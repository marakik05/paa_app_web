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_korre\Projects\paa_app_moria\data\"/>
    </mc:Choice>
  </mc:AlternateContent>
  <xr:revisionPtr revIDLastSave="0" documentId="13_ncr:1_{B9A011E2-C34D-4E05-A475-FD7020451567}" xr6:coauthVersionLast="47" xr6:coauthVersionMax="47" xr10:uidLastSave="{00000000-0000-0000-0000-000000000000}"/>
  <bookViews>
    <workbookView xWindow="-120" yWindow="-120" windowWidth="29040" windowHeight="15720" xr2:uid="{4296E9F2-55D2-4CEE-AE80-7581C3A46FDC}"/>
  </bookViews>
  <sheets>
    <sheet name="ΤΑ 2024_new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'ΤΑ 2024_new'!$A$1:$F$6047</definedName>
    <definedName name="AGELIKI">#REF!</definedName>
    <definedName name="dddd">#REF!</definedName>
    <definedName name="dejameni">#REF!</definedName>
    <definedName name="fdfsdfs">#REF!</definedName>
    <definedName name="jhgj">#REF!</definedName>
    <definedName name="kjhg">#REF!</definedName>
    <definedName name="kyu">#REF!</definedName>
    <definedName name="liveta">#REF!</definedName>
    <definedName name="lk">[1]Φύλλο2!$U$2:$Z$2954</definedName>
    <definedName name="lkol">#REF!</definedName>
    <definedName name="max">#REF!</definedName>
    <definedName name="monperOSDE">#REF!</definedName>
    <definedName name="monperTA">#REF!</definedName>
    <definedName name="parametriko2016">#REF!</definedName>
    <definedName name="parametriko2017">#REF!</definedName>
    <definedName name="pollll">#REF!</definedName>
    <definedName name="pool" localSheetId="0">#REF!</definedName>
    <definedName name="pool">#REF!</definedName>
    <definedName name="pool1">[1]Φύλλο1!$A$1:$D$54</definedName>
    <definedName name="pool10">[1]ΚωδικόςΜοεφΩςΑριθμός!$D$2:$U$2827</definedName>
    <definedName name="pool100">#REF!</definedName>
    <definedName name="pool101">#REF!</definedName>
    <definedName name="poolanimal">#REF!</definedName>
    <definedName name="poolz">#REF!</definedName>
    <definedName name="rwerw">#REF!</definedName>
    <definedName name="sass">#REF!</definedName>
    <definedName name="TA">#REF!</definedName>
    <definedName name="testas">#REF!</definedName>
    <definedName name="trete">#REF!</definedName>
    <definedName name="ytryre">#REF!</definedName>
    <definedName name="ΑΓΡΑΝΑΠΑΥΣΗ">'ΤΑ 2024_new'!$C$3:$C$5</definedName>
    <definedName name="ΑΙΓΟΠΡΟΒΑΤΑ">'ΤΑ 2024_new'!$C$6:$C$121</definedName>
    <definedName name="ΑΚΡΟΔΡΥΑ_ΚΑΡΠΟΙ_ΜΕ_ΚΕΛΥΦΟΣ">'ΤΑ 2024_new'!$C$122:$C$200</definedName>
    <definedName name="ΑΜΠΕΛΩΝΕΣ_ΓΙΑ_ΕΠΙΤΡΑΠΕΖΙΑ_ΧΡΗΣΗ">'ΤΑ 2024_new'!$C$201:$C$286</definedName>
    <definedName name="ΑΜΠΕΛΩΝΕΣ_ΓΙΑ_ΠΑΡΑΓΩΓΗ_ΟΙΝΟΥ">'ΤΑ 2024_new'!$C$287:$C$535</definedName>
    <definedName name="ΑΜΠΕΛΩΝΕΣ_ΓΙΑ_ΠΑΡΑΓΩΓΗ_ΣΤΑΦΙΔΑΣ">'ΤΑ 2024_new'!$C$536:$C$537</definedName>
    <definedName name="ΑΝΘΟΚΟΜΙΚΕΣ_ΚΑΛΛΙΕΡΓΕΙΕΣ">'ΤΑ 2024_new'!$C$538:$C$544</definedName>
    <definedName name="ΑΡΑΒΟΣΙΤΟΣ">'ΤΑ 2024_new'!$C$791:$C$1071</definedName>
    <definedName name="ΑΡΑΒΟΣΙΤΟΣ_ΕΝΣΙΡΩΣΗΣ">'ΤΑ 2024_new'!$C$545:$C$790</definedName>
    <definedName name="ΑΡΩΜΑΤΙΚΑ_ΦΥΤΑ">'ΤΑ 2024_new'!$C$1072:$C$1132</definedName>
    <definedName name="ΒΑΘΜΟΙ" localSheetId="0">[2]!Table4[ΒΑΘΜΟΙ]</definedName>
    <definedName name="ΒΑΘΜΟΙ">[2]!Table4[ΒΑΘΜΟΙ]</definedName>
    <definedName name="ΒΑΜΒΑΚΙ">'ΤΑ 2024_new'!$C$1133:$C$1522</definedName>
    <definedName name="ΒΙΟΜΗΧΑΝΙΚΗ_ΚΑΝΝΑΒΗ">'ΤΑ 2024_new'!$C$1546:$C$1718</definedName>
    <definedName name="ΒΙΟΜΗΧΑΝΙΚΗ_ΚΑΝΝΑΒΗ_ΕΚΤΟΣ_ΚΟΙΝΟΤΙΚΟΥ_ΚΑΤΑΛΟΓΟΥ">'ΤΑ 2024_new'!$C$1523:$C$1545</definedName>
    <definedName name="ΒΟΟΕΙΔΗ">'ΤΑ 2024_new'!$C$1719:$C$1838</definedName>
    <definedName name="ΒΟΣΚΟΤΟΠΟΙ">'ΤΑ 2024_new'!$C$1839:$C$1841</definedName>
    <definedName name="ΓΕΩΜΗΛΑ">'ΤΑ 2024_new'!$C$1842:$C$1848</definedName>
    <definedName name="ΓΗ_ΠΟΥ_ΔΕΝ_ΕΝΤΑΣΣΕΤΑΙ_ΣΕ_ΚΑΛΛΙΕΡΓΗΤΙΚΗ_ΔΡΑΣΤΗΡΙΟΤΗΤΑ">'ΤΑ 2024_new'!$C$1849:$C$1850</definedName>
    <definedName name="ΓΟΥΝΟΦΟΡΑ">'ΤΑ 2024_new'!$C$1851</definedName>
    <definedName name="ΔΑΣΙΚΑ_ΔΕΝΤΡΑ">'ΤΑ 2024_new'!$C$1852:$C$1864</definedName>
    <definedName name="δεξαμενή2">#REF!</definedName>
    <definedName name="δεξαμενη3">#REF!</definedName>
    <definedName name="ΕΚΤΑΣΕΙΣ_ΜΕ_ΑΠΕ">'ΤΑ 2024_new'!$C$1865</definedName>
    <definedName name="ΕΛΑΙΟΥΧΟΙ_ΣΠΟΡΟΙ">'ΤΑ 2024_new'!$C$1866:$C$1896</definedName>
    <definedName name="ΕΛΑΙΩΝΕΣ">'ΤΑ 2024_new'!$C$1897:$C$2341</definedName>
    <definedName name="ΕΝΕΡΓΕΙΑΚΕΣ_ΚΑΛΛΙΕΡΓΕΙΕΣ">'ΤΑ 2024_new'!$C$2342:$C$2365</definedName>
    <definedName name="ΕΞΑΙΡΕΤΙΚΗ_ΠΕΡΙΣΤΑΣΗ">'ΤΑ 2024_new'!$C$2366</definedName>
    <definedName name="ΕΣΠΕΡΙΔΟΕΙΔΗ">'ΤΑ 2024_new'!$C$2367:$C$2423</definedName>
    <definedName name="ΖΑΧΑΡΟΤΕΥΤΛΑ">'ΤΑ 2024_new'!$C$2424:$C$2444</definedName>
    <definedName name="ζώζ">'[3]ΣχΒελΦΠκαιΖΠγια1ηΠρόσκλ180218 '!$A$3637:$P$3941</definedName>
    <definedName name="ζωική2016">#REF!</definedName>
    <definedName name="ζωική2017">#REF!</definedName>
    <definedName name="ζωική2017extended">#REF!</definedName>
    <definedName name="ζωικηΔεξαμενή">#REF!</definedName>
    <definedName name="ΘΗΡΑΜΑΤΑ">'ΤΑ 2024_new'!$C$2445:$C$2447</definedName>
    <definedName name="ΘΗΡΑΜΑΤΙΚΑ_ΠΤΗΝΑ">'ΤΑ 2024_new'!$C$2448:$C$2450</definedName>
    <definedName name="ΙΠΠΟΕΙΔΗ">'ΤΑ 2024_new'!$C$2451:$C$2485</definedName>
    <definedName name="ΚΑΠΝΟΣ">'ΤΑ 2024_new'!$C$2486:$C$2511</definedName>
    <definedName name="Κατηγορία_ΟΣΔΕ_" localSheetId="0">#REF!</definedName>
    <definedName name="Κατηγορία_ΟΣΔΕ_">#REF!</definedName>
    <definedName name="Κατηγορία_ΟΣΔΕ2" localSheetId="0">#REF!</definedName>
    <definedName name="Κατηγορία_ΟΣΔΕ2">#REF!</definedName>
    <definedName name="ΚΗΠΕΥΤΙΚΑ">'ΤΑ 2024_new'!$C$2582:$C$2739</definedName>
    <definedName name="ΚΗΠΕΥΤΙΚΑ_ΥΠΟ_ΚΑΛΥΨΗ">'ΤΑ 2024_new'!$C$2512:$C$2581</definedName>
    <definedName name="ΚΟΝΙΚΛΟΕΙΔΗ">'ΤΑ 2024_new'!$C$2740:$C$2741</definedName>
    <definedName name="ΚΤΗΝΟΤΡΟΦΙΚΑ_ΦΥΤΑ_ΓΙΑ_ΖΩΟΤΡΟΦΕΣ">'ΤΑ 2024_new'!$C$2742:$C$3143</definedName>
    <definedName name="ΚΥΨΕΛΕΣ_ΜΕΛΙΣΣΩΝ_ΜΕΛΛΙΣΟΣΜΗΝΗ">'ΤΑ 2024_new'!$C$3144</definedName>
    <definedName name="ΛΙΝΟΣ_ΚΛΩΣΤΙΚΟΣ">'ΤΑ 2024_new'!$C$3145</definedName>
    <definedName name="ΛΙΝΟΣ_ΜΗ_ΚΛΩΣΤΙΚΟΣ">'ΤΑ 2024_new'!$C$3146:$C$3147</definedName>
    <definedName name="ΛΟΙΠΑ_ΣΙΤΗΡΑ">'ΤΑ 2024_new'!$C$3148:$C$3427</definedName>
    <definedName name="ΛΟΙΠΕΣ_ΔΕΝΔΡΩΔΕΙΣ_ΚΑΛΛΙΕΡΓΕΙΕΣ">'ΤΑ 2024_new'!$C$3428:$C$3486</definedName>
    <definedName name="ΛΟΙΠΕΣ_ΚΑΛΛΙΕΡΓΕΙΕΣ">'ΤΑ 2024_new'!$C$3487:$C$3535</definedName>
    <definedName name="ΜΕΤΑΞΟΣΚΩΛΗΚΕΣ">'ΤΑ 2024_new'!$C$3536</definedName>
    <definedName name="ΜΗ_ΕΠΙΛΕΞΙΜΕΣ_ΕΚΤΑΣΕΙΣ">'ΤΑ 2024_new'!$C$3539</definedName>
    <definedName name="ΜΗ_ΕΠΙΛΕΞΙΜΕΣ_ΕΚΤΑΣΕΙΣ_ΑΠΟ_ΑΝΑΔΑΣΩΤΕΕΣ_ΕΚΤΑΣΕΙΣ_ΚΥΡΩΜΕΝΩΝ">'ΤΑ 2024_new'!$C$3537</definedName>
    <definedName name="ΜΗ_ΕΠΙΛΕΞΙΜΕΣ_ΕΚΤΑΣΕΙΣ_ΑΠΟ_ΚΥΡΩΜΕΝΟΥΣ_ΔΑΣΙΚΟΥΣ">'ΤΑ 2024_new'!$C$3538</definedName>
    <definedName name="ΜΗΛΟΕΙΔΗ">'ΤΑ 2024_new'!$C$3540:$C$3692</definedName>
    <definedName name="ΜΠΑΝΑΝΕΣ">'ΤΑ 2024_new'!$C$3693:$C$3694</definedName>
    <definedName name="οπεκεπε2017Οκτώβριος">#REF!</definedName>
    <definedName name="οπεκεπεΠαραμετρικοΙούνιος2017">#REF!</definedName>
    <definedName name="ΟΡΝΙΘΟΕΙΔΗ">'ΤΑ 2024_new'!$C$3695:$C$3705</definedName>
    <definedName name="ΟΣΠΡΙΑ_ΒΡΩΣΙΜΑ">'ΤΑ 2024_new'!$C$3706:$C$3788</definedName>
    <definedName name="παραμ2016">#REF!</definedName>
    <definedName name="παραμ2017">#REF!</definedName>
    <definedName name="ΠΑΡΕΚΚΛΙΣΗ_ΑΓΡΑΝΑΠΑΥΣΗΣ">'ΤΑ 2024_new'!$C$3789:$C$3871</definedName>
    <definedName name="Περιγραφή_Είδους_Ποικιλίας_στο_ΟΣΔΕ" localSheetId="0">#REF!</definedName>
    <definedName name="Περιγραφή_Είδους_Ποικιλίας_στο_ΟΣΔΕ">#REF!</definedName>
    <definedName name="ΠΕΡΙΦΕΡΕΙΕΣ" localSheetId="0">[2]!Table4[ΕΠΙΛΕΞΤΕ]</definedName>
    <definedName name="ΠΕΡΙΦΕΡΕΙΕΣ">[2]!Table4[ΕΠΙΛΕΞΤΕ]</definedName>
    <definedName name="πο">#REF!</definedName>
    <definedName name="πο1">#REF!</definedName>
    <definedName name="Ποικιλία_στο_ΟΣΔΕ">#REF!</definedName>
    <definedName name="ΠΟΡΤΟΚΑΛΙΑ_ΠΡΟΣ_ΧΥΜΟΠΟΙΗΣΗ">'ΤΑ 2024_new'!$C$3872:$C$3889</definedName>
    <definedName name="ππ2017">#REF!</definedName>
    <definedName name="ΠΥΡΗΝΟΚΑΡΠΑ">'ΤΑ 2024_new'!$C$3890:$C$4540</definedName>
    <definedName name="ΡΟΔΑΚΙΝΙΕΣ_ΜΕΤΑΠΟΙΗΣΗΣ">'ΤΑ 2024_new'!$C$4541:$C$4599</definedName>
    <definedName name="ΡΥΖΙ">'ΤΑ 2024_new'!$C$4600:$C$4693</definedName>
    <definedName name="ΣΚΛΗΡΟΣ_ΣΙΤΟΣ">'ΤΑ 2024_new'!$C$4694:$C$5511</definedName>
    <definedName name="ΣΠΑΡΑΓΓΙΑ">'ΤΑ 2024_new'!$C$5512:$C$5737</definedName>
    <definedName name="ΣΠΟΡΟΠΑΡΑΓΩΓΗ">'ΤΑ 2024_new'!$C$5738:$C$6019</definedName>
    <definedName name="ΤΟΜΑΤΑ_ΒΙΟΜΗΧΑΝΙΚΗ">'ΤΑ 2024_new'!$C$6020:$C$6024</definedName>
    <definedName name="Τυπικές_Αποδόσεις_Ηπειρωτικής_Χώρας_για_προσκλήσεις_ΣΣ_ΚΑΠ" localSheetId="0">#REF!</definedName>
    <definedName name="Τυπικές_Αποδόσεις_Ηπειρωτικής_Χώρας_για_προσκλήσεις_ΣΣ_ΚΑΠ">#REF!</definedName>
    <definedName name="Τυπικές_Αποδόσεις_Κρήτης_Β._Αιγαίου_Ν._Αιγαίου_για_προσκλήσεις_ΣΣ_ΚΑΠ" localSheetId="0">#REF!</definedName>
    <definedName name="Τυπικές_Αποδόσεις_Κρήτης_Β._Αιγαίου_Ν._Αιγαίου_για_προσκλήσεις_ΣΣ_ΚΑΠ">#REF!</definedName>
    <definedName name="ΦΑΡΜΑΚΕΥΤΙΚΗ_ΚΑΝΝΑΒΗ">'ΤΑ 2024_new'!$C$6025</definedName>
    <definedName name="ΦΥΤΩΡΙΑ">'ΤΑ 2024_new'!$C$6026:$C$6034</definedName>
    <definedName name="ΧΟΙΡΟΙ">'ΤΑ 2024_new'!$C$6035:$C$6046</definedName>
    <definedName name="ΧΩΡΟΙ_ΕΚΤΡΟΦΗΣ_ΣΑΛΙΓΚΑΡΙΩΝ">'ΤΑ 2024_new'!$C$6047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E6120" i="1"/>
  <c r="D6120" i="1"/>
  <c r="E6119" i="1"/>
  <c r="D6119" i="1"/>
  <c r="E6116" i="1"/>
  <c r="D6116" i="1"/>
  <c r="E6115" i="1"/>
  <c r="D6115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L6047" i="1"/>
  <c r="A6047" i="1"/>
  <c r="L6046" i="1"/>
  <c r="A6046" i="1"/>
  <c r="L6045" i="1"/>
  <c r="A6045" i="1"/>
  <c r="L6044" i="1"/>
  <c r="A6044" i="1"/>
  <c r="L6043" i="1"/>
  <c r="A6043" i="1"/>
  <c r="L6042" i="1"/>
  <c r="A6042" i="1"/>
  <c r="L6041" i="1"/>
  <c r="A6041" i="1"/>
  <c r="L6040" i="1"/>
  <c r="A6040" i="1"/>
  <c r="L6039" i="1"/>
  <c r="A6039" i="1"/>
  <c r="L6038" i="1"/>
  <c r="A6038" i="1"/>
  <c r="L6037" i="1"/>
  <c r="A6037" i="1"/>
  <c r="L6036" i="1"/>
  <c r="A6036" i="1"/>
  <c r="L6035" i="1"/>
  <c r="A6035" i="1"/>
  <c r="L6034" i="1"/>
  <c r="A6034" i="1"/>
  <c r="L6033" i="1"/>
  <c r="A6033" i="1"/>
  <c r="L6032" i="1"/>
  <c r="A6032" i="1"/>
  <c r="L6031" i="1"/>
  <c r="A6031" i="1"/>
  <c r="L6030" i="1"/>
  <c r="A6030" i="1"/>
  <c r="L6029" i="1"/>
  <c r="A6029" i="1"/>
  <c r="L6028" i="1"/>
  <c r="A6028" i="1"/>
  <c r="L6027" i="1"/>
  <c r="A6027" i="1"/>
  <c r="L6026" i="1"/>
  <c r="A6026" i="1"/>
  <c r="L6025" i="1"/>
  <c r="A6025" i="1"/>
  <c r="L6024" i="1"/>
  <c r="A6024" i="1"/>
  <c r="L6023" i="1"/>
  <c r="A6023" i="1"/>
  <c r="L6022" i="1"/>
  <c r="A6022" i="1"/>
  <c r="L6021" i="1"/>
  <c r="A6021" i="1"/>
  <c r="L6020" i="1"/>
  <c r="A6020" i="1"/>
  <c r="L6019" i="1"/>
  <c r="A6019" i="1"/>
  <c r="L6018" i="1"/>
  <c r="A6018" i="1"/>
  <c r="L6017" i="1"/>
  <c r="A6017" i="1"/>
  <c r="L6016" i="1"/>
  <c r="A6016" i="1"/>
  <c r="L6015" i="1"/>
  <c r="A6015" i="1"/>
  <c r="L6014" i="1"/>
  <c r="A6014" i="1"/>
  <c r="L6013" i="1"/>
  <c r="A6013" i="1"/>
  <c r="L6012" i="1"/>
  <c r="A6012" i="1"/>
  <c r="L6011" i="1"/>
  <c r="A6011" i="1"/>
  <c r="L6010" i="1"/>
  <c r="A6010" i="1"/>
  <c r="L6009" i="1"/>
  <c r="A6009" i="1"/>
  <c r="L6008" i="1"/>
  <c r="A6008" i="1"/>
  <c r="L6007" i="1"/>
  <c r="A6007" i="1"/>
  <c r="L6006" i="1"/>
  <c r="A6006" i="1"/>
  <c r="L6005" i="1"/>
  <c r="A6005" i="1"/>
  <c r="L6004" i="1"/>
  <c r="A6004" i="1"/>
  <c r="L6003" i="1"/>
  <c r="A6003" i="1"/>
  <c r="L6002" i="1"/>
  <c r="A6002" i="1"/>
  <c r="L6001" i="1"/>
  <c r="A6001" i="1"/>
  <c r="L6000" i="1"/>
  <c r="A6000" i="1"/>
  <c r="L5999" i="1"/>
  <c r="A5999" i="1"/>
  <c r="L5998" i="1"/>
  <c r="A5998" i="1"/>
  <c r="L5997" i="1"/>
  <c r="A5997" i="1"/>
  <c r="L5996" i="1"/>
  <c r="A5996" i="1"/>
  <c r="L5995" i="1"/>
  <c r="A5995" i="1"/>
  <c r="L5994" i="1"/>
  <c r="A5994" i="1"/>
  <c r="L5993" i="1"/>
  <c r="A5993" i="1"/>
  <c r="L5992" i="1"/>
  <c r="A5992" i="1"/>
  <c r="L5991" i="1"/>
  <c r="A5991" i="1"/>
  <c r="L5990" i="1"/>
  <c r="A5990" i="1"/>
  <c r="L5989" i="1"/>
  <c r="A5989" i="1"/>
  <c r="L5988" i="1"/>
  <c r="A5988" i="1"/>
  <c r="L5987" i="1"/>
  <c r="A5987" i="1"/>
  <c r="L5986" i="1"/>
  <c r="A5986" i="1"/>
  <c r="L5985" i="1"/>
  <c r="A5985" i="1"/>
  <c r="L5984" i="1"/>
  <c r="A5984" i="1"/>
  <c r="L5983" i="1"/>
  <c r="A5983" i="1"/>
  <c r="L5982" i="1"/>
  <c r="A5982" i="1"/>
  <c r="L5981" i="1"/>
  <c r="A5981" i="1"/>
  <c r="L5980" i="1"/>
  <c r="A5980" i="1"/>
  <c r="L5979" i="1"/>
  <c r="A5979" i="1"/>
  <c r="L5978" i="1"/>
  <c r="A5978" i="1"/>
  <c r="L5977" i="1"/>
  <c r="A5977" i="1"/>
  <c r="L5976" i="1"/>
  <c r="A5976" i="1"/>
  <c r="L5975" i="1"/>
  <c r="A5975" i="1"/>
  <c r="L5974" i="1"/>
  <c r="A5974" i="1"/>
  <c r="L5973" i="1"/>
  <c r="A5973" i="1"/>
  <c r="L5972" i="1"/>
  <c r="A5972" i="1"/>
  <c r="L5971" i="1"/>
  <c r="A5971" i="1"/>
  <c r="L5970" i="1"/>
  <c r="A5970" i="1"/>
  <c r="L5969" i="1"/>
  <c r="A5969" i="1"/>
  <c r="L5968" i="1"/>
  <c r="A5968" i="1"/>
  <c r="L5967" i="1"/>
  <c r="A5967" i="1"/>
  <c r="L5966" i="1"/>
  <c r="A5966" i="1"/>
  <c r="L5965" i="1"/>
  <c r="A5965" i="1"/>
  <c r="L5964" i="1"/>
  <c r="A5964" i="1"/>
  <c r="L5963" i="1"/>
  <c r="A5963" i="1"/>
  <c r="L5962" i="1"/>
  <c r="A5962" i="1"/>
  <c r="L5961" i="1"/>
  <c r="A5961" i="1"/>
  <c r="L5960" i="1"/>
  <c r="A5960" i="1"/>
  <c r="L5959" i="1"/>
  <c r="A5959" i="1"/>
  <c r="L5958" i="1"/>
  <c r="A5958" i="1"/>
  <c r="L5957" i="1"/>
  <c r="A5957" i="1"/>
  <c r="L5956" i="1"/>
  <c r="A5956" i="1"/>
  <c r="L5955" i="1"/>
  <c r="A5955" i="1"/>
  <c r="L5954" i="1"/>
  <c r="A5954" i="1"/>
  <c r="L5953" i="1"/>
  <c r="A5953" i="1"/>
  <c r="L5952" i="1"/>
  <c r="A5952" i="1"/>
  <c r="L5951" i="1"/>
  <c r="A5951" i="1"/>
  <c r="L5950" i="1"/>
  <c r="A5950" i="1"/>
  <c r="L5949" i="1"/>
  <c r="A5949" i="1"/>
  <c r="L5948" i="1"/>
  <c r="A5948" i="1"/>
  <c r="L5947" i="1"/>
  <c r="A5947" i="1"/>
  <c r="L5946" i="1"/>
  <c r="A5946" i="1"/>
  <c r="L5945" i="1"/>
  <c r="A5945" i="1"/>
  <c r="L5944" i="1"/>
  <c r="A5944" i="1"/>
  <c r="L5943" i="1"/>
  <c r="A5943" i="1"/>
  <c r="L5942" i="1"/>
  <c r="A5942" i="1"/>
  <c r="L5941" i="1"/>
  <c r="A5941" i="1"/>
  <c r="L5940" i="1"/>
  <c r="A5940" i="1"/>
  <c r="L5939" i="1"/>
  <c r="A5939" i="1"/>
  <c r="L5938" i="1"/>
  <c r="A5938" i="1"/>
  <c r="L5937" i="1"/>
  <c r="A5937" i="1"/>
  <c r="L5936" i="1"/>
  <c r="A5936" i="1"/>
  <c r="L5935" i="1"/>
  <c r="A5935" i="1"/>
  <c r="L5934" i="1"/>
  <c r="A5934" i="1"/>
  <c r="L5933" i="1"/>
  <c r="A5933" i="1"/>
  <c r="L5932" i="1"/>
  <c r="A5932" i="1"/>
  <c r="L5931" i="1"/>
  <c r="A5931" i="1"/>
  <c r="L5930" i="1"/>
  <c r="A5930" i="1"/>
  <c r="L5929" i="1"/>
  <c r="A5929" i="1"/>
  <c r="L5928" i="1"/>
  <c r="A5928" i="1"/>
  <c r="L5927" i="1"/>
  <c r="A5927" i="1"/>
  <c r="L5926" i="1"/>
  <c r="A5926" i="1"/>
  <c r="L5925" i="1"/>
  <c r="A5925" i="1"/>
  <c r="L5924" i="1"/>
  <c r="A5924" i="1"/>
  <c r="L5923" i="1"/>
  <c r="A5923" i="1"/>
  <c r="L5922" i="1"/>
  <c r="A5922" i="1"/>
  <c r="L5921" i="1"/>
  <c r="A5921" i="1"/>
  <c r="L5920" i="1"/>
  <c r="A5920" i="1"/>
  <c r="L5919" i="1"/>
  <c r="A5919" i="1"/>
  <c r="L5918" i="1"/>
  <c r="A5918" i="1"/>
  <c r="L5917" i="1"/>
  <c r="A5917" i="1"/>
  <c r="L5916" i="1"/>
  <c r="A5916" i="1"/>
  <c r="L5915" i="1"/>
  <c r="A5915" i="1"/>
  <c r="L5914" i="1"/>
  <c r="A5914" i="1"/>
  <c r="L5913" i="1"/>
  <c r="A5913" i="1"/>
  <c r="L5912" i="1"/>
  <c r="A5912" i="1"/>
  <c r="L5911" i="1"/>
  <c r="A5911" i="1"/>
  <c r="L5910" i="1"/>
  <c r="A5910" i="1"/>
  <c r="L5909" i="1"/>
  <c r="A5909" i="1"/>
  <c r="L5908" i="1"/>
  <c r="A5908" i="1"/>
  <c r="L5907" i="1"/>
  <c r="A5907" i="1"/>
  <c r="L5906" i="1"/>
  <c r="A5906" i="1"/>
  <c r="L5905" i="1"/>
  <c r="A5905" i="1"/>
  <c r="L5904" i="1"/>
  <c r="A5904" i="1"/>
  <c r="L5903" i="1"/>
  <c r="A5903" i="1"/>
  <c r="L5902" i="1"/>
  <c r="A5902" i="1"/>
  <c r="L5901" i="1"/>
  <c r="A5901" i="1"/>
  <c r="L5900" i="1"/>
  <c r="A5900" i="1"/>
  <c r="L5899" i="1"/>
  <c r="A5899" i="1"/>
  <c r="L5898" i="1"/>
  <c r="A5898" i="1"/>
  <c r="L5897" i="1"/>
  <c r="A5897" i="1"/>
  <c r="L5896" i="1"/>
  <c r="A5896" i="1"/>
  <c r="L5895" i="1"/>
  <c r="A5895" i="1"/>
  <c r="L5894" i="1"/>
  <c r="A5894" i="1"/>
  <c r="L5893" i="1"/>
  <c r="A5893" i="1"/>
  <c r="L5892" i="1"/>
  <c r="A5892" i="1"/>
  <c r="L5891" i="1"/>
  <c r="A5891" i="1"/>
  <c r="L5890" i="1"/>
  <c r="A5890" i="1"/>
  <c r="L5889" i="1"/>
  <c r="A5889" i="1"/>
  <c r="L5888" i="1"/>
  <c r="A5888" i="1"/>
  <c r="L5887" i="1"/>
  <c r="A5887" i="1"/>
  <c r="L5886" i="1"/>
  <c r="A5886" i="1"/>
  <c r="L5885" i="1"/>
  <c r="A5885" i="1"/>
  <c r="L5884" i="1"/>
  <c r="A5884" i="1"/>
  <c r="L5883" i="1"/>
  <c r="A5883" i="1"/>
  <c r="L5882" i="1"/>
  <c r="A5882" i="1"/>
  <c r="L5881" i="1"/>
  <c r="A5881" i="1"/>
  <c r="L5880" i="1"/>
  <c r="A5880" i="1"/>
  <c r="L5879" i="1"/>
  <c r="A5879" i="1"/>
  <c r="L5878" i="1"/>
  <c r="A5878" i="1"/>
  <c r="L5877" i="1"/>
  <c r="A5877" i="1"/>
  <c r="L5876" i="1"/>
  <c r="A5876" i="1"/>
  <c r="L5875" i="1"/>
  <c r="A5875" i="1"/>
  <c r="L5874" i="1"/>
  <c r="A5874" i="1"/>
  <c r="L5873" i="1"/>
  <c r="A5873" i="1"/>
  <c r="L5872" i="1"/>
  <c r="A5872" i="1"/>
  <c r="L5871" i="1"/>
  <c r="A5871" i="1"/>
  <c r="L5870" i="1"/>
  <c r="A5870" i="1"/>
  <c r="L5869" i="1"/>
  <c r="A5869" i="1"/>
  <c r="L5868" i="1"/>
  <c r="A5868" i="1"/>
  <c r="L5867" i="1"/>
  <c r="A5867" i="1"/>
  <c r="L5866" i="1"/>
  <c r="A5866" i="1"/>
  <c r="L5865" i="1"/>
  <c r="A5865" i="1"/>
  <c r="L5864" i="1"/>
  <c r="A5864" i="1"/>
  <c r="L5863" i="1"/>
  <c r="A5863" i="1"/>
  <c r="L5862" i="1"/>
  <c r="A5862" i="1"/>
  <c r="L5861" i="1"/>
  <c r="A5861" i="1"/>
  <c r="L5860" i="1"/>
  <c r="A5860" i="1"/>
  <c r="L5859" i="1"/>
  <c r="A5859" i="1"/>
  <c r="L5858" i="1"/>
  <c r="A5858" i="1"/>
  <c r="L5857" i="1"/>
  <c r="A5857" i="1"/>
  <c r="L5856" i="1"/>
  <c r="A5856" i="1"/>
  <c r="L5855" i="1"/>
  <c r="A5855" i="1"/>
  <c r="L5854" i="1"/>
  <c r="A5854" i="1"/>
  <c r="L5853" i="1"/>
  <c r="A5853" i="1"/>
  <c r="L5852" i="1"/>
  <c r="A5852" i="1"/>
  <c r="L5851" i="1"/>
  <c r="A5851" i="1"/>
  <c r="L5850" i="1"/>
  <c r="A5850" i="1"/>
  <c r="L5849" i="1"/>
  <c r="A5849" i="1"/>
  <c r="L5848" i="1"/>
  <c r="A5848" i="1"/>
  <c r="L5847" i="1"/>
  <c r="A5847" i="1"/>
  <c r="L5846" i="1"/>
  <c r="A5846" i="1"/>
  <c r="L5845" i="1"/>
  <c r="A5845" i="1"/>
  <c r="L5844" i="1"/>
  <c r="A5844" i="1"/>
  <c r="L5843" i="1"/>
  <c r="A5843" i="1"/>
  <c r="L5842" i="1"/>
  <c r="A5842" i="1"/>
  <c r="L5841" i="1"/>
  <c r="A5841" i="1"/>
  <c r="L5840" i="1"/>
  <c r="A5840" i="1"/>
  <c r="L5839" i="1"/>
  <c r="A5839" i="1"/>
  <c r="L5838" i="1"/>
  <c r="A5838" i="1"/>
  <c r="L5837" i="1"/>
  <c r="A5837" i="1"/>
  <c r="L5836" i="1"/>
  <c r="A5836" i="1"/>
  <c r="L5835" i="1"/>
  <c r="A5835" i="1"/>
  <c r="L5834" i="1"/>
  <c r="A5834" i="1"/>
  <c r="L5833" i="1"/>
  <c r="A5833" i="1"/>
  <c r="L5832" i="1"/>
  <c r="A5832" i="1"/>
  <c r="L5831" i="1"/>
  <c r="A5831" i="1"/>
  <c r="L5830" i="1"/>
  <c r="A5830" i="1"/>
  <c r="L5829" i="1"/>
  <c r="A5829" i="1"/>
  <c r="L5828" i="1"/>
  <c r="A5828" i="1"/>
  <c r="L5827" i="1"/>
  <c r="A5827" i="1"/>
  <c r="L5826" i="1"/>
  <c r="A5826" i="1"/>
  <c r="L5825" i="1"/>
  <c r="A5825" i="1"/>
  <c r="L5824" i="1"/>
  <c r="A5824" i="1"/>
  <c r="L5823" i="1"/>
  <c r="A5823" i="1"/>
  <c r="L5822" i="1"/>
  <c r="A5822" i="1"/>
  <c r="L5821" i="1"/>
  <c r="A5821" i="1"/>
  <c r="L5820" i="1"/>
  <c r="A5820" i="1"/>
  <c r="L5819" i="1"/>
  <c r="A5819" i="1"/>
  <c r="L5818" i="1"/>
  <c r="A5818" i="1"/>
  <c r="L5817" i="1"/>
  <c r="A5817" i="1"/>
  <c r="L5816" i="1"/>
  <c r="A5816" i="1"/>
  <c r="L5815" i="1"/>
  <c r="A5815" i="1"/>
  <c r="L5814" i="1"/>
  <c r="A5814" i="1"/>
  <c r="L5813" i="1"/>
  <c r="A5813" i="1"/>
  <c r="L5812" i="1"/>
  <c r="A5812" i="1"/>
  <c r="L5811" i="1"/>
  <c r="A5811" i="1"/>
  <c r="L5810" i="1"/>
  <c r="A5810" i="1"/>
  <c r="L5809" i="1"/>
  <c r="A5809" i="1"/>
  <c r="L5808" i="1"/>
  <c r="A5808" i="1"/>
  <c r="L5807" i="1"/>
  <c r="A5807" i="1"/>
  <c r="L5806" i="1"/>
  <c r="A5806" i="1"/>
  <c r="L5805" i="1"/>
  <c r="A5805" i="1"/>
  <c r="L5804" i="1"/>
  <c r="A5804" i="1"/>
  <c r="L5803" i="1"/>
  <c r="A5803" i="1"/>
  <c r="L5802" i="1"/>
  <c r="A5802" i="1"/>
  <c r="L5801" i="1"/>
  <c r="A5801" i="1"/>
  <c r="L5800" i="1"/>
  <c r="A5800" i="1"/>
  <c r="L5799" i="1"/>
  <c r="A5799" i="1"/>
  <c r="L5798" i="1"/>
  <c r="A5798" i="1"/>
  <c r="L5797" i="1"/>
  <c r="A5797" i="1"/>
  <c r="L5796" i="1"/>
  <c r="A5796" i="1"/>
  <c r="L5795" i="1"/>
  <c r="A5795" i="1"/>
  <c r="L5794" i="1"/>
  <c r="A5794" i="1"/>
  <c r="L5793" i="1"/>
  <c r="A5793" i="1"/>
  <c r="L5792" i="1"/>
  <c r="A5792" i="1"/>
  <c r="L5791" i="1"/>
  <c r="A5791" i="1"/>
  <c r="L5790" i="1"/>
  <c r="A5790" i="1"/>
  <c r="L5789" i="1"/>
  <c r="A5789" i="1"/>
  <c r="L5788" i="1"/>
  <c r="A5788" i="1"/>
  <c r="L5787" i="1"/>
  <c r="A5787" i="1"/>
  <c r="L5786" i="1"/>
  <c r="A5786" i="1"/>
  <c r="L5785" i="1"/>
  <c r="A5785" i="1"/>
  <c r="L5784" i="1"/>
  <c r="A5784" i="1"/>
  <c r="L5783" i="1"/>
  <c r="A5783" i="1"/>
  <c r="L5782" i="1"/>
  <c r="A5782" i="1"/>
  <c r="L5781" i="1"/>
  <c r="A5781" i="1"/>
  <c r="L5780" i="1"/>
  <c r="A5780" i="1"/>
  <c r="L5779" i="1"/>
  <c r="A5779" i="1"/>
  <c r="L5778" i="1"/>
  <c r="A5778" i="1"/>
  <c r="L5777" i="1"/>
  <c r="A5777" i="1"/>
  <c r="L5776" i="1"/>
  <c r="A5776" i="1"/>
  <c r="L5775" i="1"/>
  <c r="A5775" i="1"/>
  <c r="L5774" i="1"/>
  <c r="A5774" i="1"/>
  <c r="L5773" i="1"/>
  <c r="A5773" i="1"/>
  <c r="L5772" i="1"/>
  <c r="A5772" i="1"/>
  <c r="L5771" i="1"/>
  <c r="A5771" i="1"/>
  <c r="L5770" i="1"/>
  <c r="A5770" i="1"/>
  <c r="L5769" i="1"/>
  <c r="A5769" i="1"/>
  <c r="L5768" i="1"/>
  <c r="A5768" i="1"/>
  <c r="L5767" i="1"/>
  <c r="A5767" i="1"/>
  <c r="L5766" i="1"/>
  <c r="A5766" i="1"/>
  <c r="L5765" i="1"/>
  <c r="A5765" i="1"/>
  <c r="L5764" i="1"/>
  <c r="A5764" i="1"/>
  <c r="L5763" i="1"/>
  <c r="A5763" i="1"/>
  <c r="L5762" i="1"/>
  <c r="A5762" i="1"/>
  <c r="L5761" i="1"/>
  <c r="A5761" i="1"/>
  <c r="L5760" i="1"/>
  <c r="A5760" i="1"/>
  <c r="L5759" i="1"/>
  <c r="A5759" i="1"/>
  <c r="L5758" i="1"/>
  <c r="A5758" i="1"/>
  <c r="L5757" i="1"/>
  <c r="A5757" i="1"/>
  <c r="L5756" i="1"/>
  <c r="A5756" i="1"/>
  <c r="L5755" i="1"/>
  <c r="A5755" i="1"/>
  <c r="L5754" i="1"/>
  <c r="A5754" i="1"/>
  <c r="L5753" i="1"/>
  <c r="A5753" i="1"/>
  <c r="L5752" i="1"/>
  <c r="A5752" i="1"/>
  <c r="L5751" i="1"/>
  <c r="A5751" i="1"/>
  <c r="L5750" i="1"/>
  <c r="A5750" i="1"/>
  <c r="L5749" i="1"/>
  <c r="A5749" i="1"/>
  <c r="L5748" i="1"/>
  <c r="A5748" i="1"/>
  <c r="L5747" i="1"/>
  <c r="A5747" i="1"/>
  <c r="L5746" i="1"/>
  <c r="A5746" i="1"/>
  <c r="L5745" i="1"/>
  <c r="A5745" i="1"/>
  <c r="L5744" i="1"/>
  <c r="A5744" i="1"/>
  <c r="L5743" i="1"/>
  <c r="A5743" i="1"/>
  <c r="L5742" i="1"/>
  <c r="A5742" i="1"/>
  <c r="L5741" i="1"/>
  <c r="A5741" i="1"/>
  <c r="L5740" i="1"/>
  <c r="A5740" i="1"/>
  <c r="L5739" i="1"/>
  <c r="A5739" i="1"/>
  <c r="L5738" i="1"/>
  <c r="A5738" i="1"/>
  <c r="L5737" i="1"/>
  <c r="A5737" i="1"/>
  <c r="L5736" i="1"/>
  <c r="A5736" i="1"/>
  <c r="L5735" i="1"/>
  <c r="A5735" i="1"/>
  <c r="L5734" i="1"/>
  <c r="A5734" i="1"/>
  <c r="L5733" i="1"/>
  <c r="A5733" i="1"/>
  <c r="L5732" i="1"/>
  <c r="A5732" i="1"/>
  <c r="L5731" i="1"/>
  <c r="A5731" i="1"/>
  <c r="L5730" i="1"/>
  <c r="A5730" i="1"/>
  <c r="L5729" i="1"/>
  <c r="A5729" i="1"/>
  <c r="L5728" i="1"/>
  <c r="A5728" i="1"/>
  <c r="L5727" i="1"/>
  <c r="A5727" i="1"/>
  <c r="L5726" i="1"/>
  <c r="A5726" i="1"/>
  <c r="L5725" i="1"/>
  <c r="A5725" i="1"/>
  <c r="L5724" i="1"/>
  <c r="A5724" i="1"/>
  <c r="L5723" i="1"/>
  <c r="A5723" i="1"/>
  <c r="L5722" i="1"/>
  <c r="A5722" i="1"/>
  <c r="L5721" i="1"/>
  <c r="A5721" i="1"/>
  <c r="L5720" i="1"/>
  <c r="A5720" i="1"/>
  <c r="L5719" i="1"/>
  <c r="A5719" i="1"/>
  <c r="L5718" i="1"/>
  <c r="A5718" i="1"/>
  <c r="L5717" i="1"/>
  <c r="A5717" i="1"/>
  <c r="L5716" i="1"/>
  <c r="A5716" i="1"/>
  <c r="L5715" i="1"/>
  <c r="A5715" i="1"/>
  <c r="L5714" i="1"/>
  <c r="A5714" i="1"/>
  <c r="L5713" i="1"/>
  <c r="A5713" i="1"/>
  <c r="L5712" i="1"/>
  <c r="A5712" i="1"/>
  <c r="L5711" i="1"/>
  <c r="A5711" i="1"/>
  <c r="L5710" i="1"/>
  <c r="A5710" i="1"/>
  <c r="L5709" i="1"/>
  <c r="A5709" i="1"/>
  <c r="L5708" i="1"/>
  <c r="A5708" i="1"/>
  <c r="L5707" i="1"/>
  <c r="A5707" i="1"/>
  <c r="L5706" i="1"/>
  <c r="A5706" i="1"/>
  <c r="L5705" i="1"/>
  <c r="A5705" i="1"/>
  <c r="L5704" i="1"/>
  <c r="A5704" i="1"/>
  <c r="L5703" i="1"/>
  <c r="A5703" i="1"/>
  <c r="L5702" i="1"/>
  <c r="A5702" i="1"/>
  <c r="L5701" i="1"/>
  <c r="A5701" i="1"/>
  <c r="L5700" i="1"/>
  <c r="A5700" i="1"/>
  <c r="L5699" i="1"/>
  <c r="A5699" i="1"/>
  <c r="L5698" i="1"/>
  <c r="A5698" i="1"/>
  <c r="L5697" i="1"/>
  <c r="A5697" i="1"/>
  <c r="L5696" i="1"/>
  <c r="A5696" i="1"/>
  <c r="L5695" i="1"/>
  <c r="A5695" i="1"/>
  <c r="L5694" i="1"/>
  <c r="A5694" i="1"/>
  <c r="L5693" i="1"/>
  <c r="A5693" i="1"/>
  <c r="L5692" i="1"/>
  <c r="A5692" i="1"/>
  <c r="L5691" i="1"/>
  <c r="A5691" i="1"/>
  <c r="L5690" i="1"/>
  <c r="A5690" i="1"/>
  <c r="L5689" i="1"/>
  <c r="A5689" i="1"/>
  <c r="L5688" i="1"/>
  <c r="A5688" i="1"/>
  <c r="L5687" i="1"/>
  <c r="A5687" i="1"/>
  <c r="L5686" i="1"/>
  <c r="A5686" i="1"/>
  <c r="L5685" i="1"/>
  <c r="A5685" i="1"/>
  <c r="L5684" i="1"/>
  <c r="A5684" i="1"/>
  <c r="L5683" i="1"/>
  <c r="A5683" i="1"/>
  <c r="L5682" i="1"/>
  <c r="A5682" i="1"/>
  <c r="L5681" i="1"/>
  <c r="A5681" i="1"/>
  <c r="L5680" i="1"/>
  <c r="A5680" i="1"/>
  <c r="L5679" i="1"/>
  <c r="A5679" i="1"/>
  <c r="L5678" i="1"/>
  <c r="A5678" i="1"/>
  <c r="L5677" i="1"/>
  <c r="A5677" i="1"/>
  <c r="L5676" i="1"/>
  <c r="A5676" i="1"/>
  <c r="L5675" i="1"/>
  <c r="A5675" i="1"/>
  <c r="L5674" i="1"/>
  <c r="A5674" i="1"/>
  <c r="L5673" i="1"/>
  <c r="A5673" i="1"/>
  <c r="L5672" i="1"/>
  <c r="A5672" i="1"/>
  <c r="L5671" i="1"/>
  <c r="A5671" i="1"/>
  <c r="L5670" i="1"/>
  <c r="A5670" i="1"/>
  <c r="L5669" i="1"/>
  <c r="A5669" i="1"/>
  <c r="L5668" i="1"/>
  <c r="A5668" i="1"/>
  <c r="L5667" i="1"/>
  <c r="A5667" i="1"/>
  <c r="L5666" i="1"/>
  <c r="A5666" i="1"/>
  <c r="L5665" i="1"/>
  <c r="A5665" i="1"/>
  <c r="L5664" i="1"/>
  <c r="A5664" i="1"/>
  <c r="L5663" i="1"/>
  <c r="A5663" i="1"/>
  <c r="L5662" i="1"/>
  <c r="A5662" i="1"/>
  <c r="L5661" i="1"/>
  <c r="A5661" i="1"/>
  <c r="L5660" i="1"/>
  <c r="A5660" i="1"/>
  <c r="L5659" i="1"/>
  <c r="A5659" i="1"/>
  <c r="L5658" i="1"/>
  <c r="A5658" i="1"/>
  <c r="L5657" i="1"/>
  <c r="A5657" i="1"/>
  <c r="L5656" i="1"/>
  <c r="A5656" i="1"/>
  <c r="L5655" i="1"/>
  <c r="A5655" i="1"/>
  <c r="L5654" i="1"/>
  <c r="A5654" i="1"/>
  <c r="L5653" i="1"/>
  <c r="A5653" i="1"/>
  <c r="L5652" i="1"/>
  <c r="A5652" i="1"/>
  <c r="L5651" i="1"/>
  <c r="A5651" i="1"/>
  <c r="L5650" i="1"/>
  <c r="A5650" i="1"/>
  <c r="L5649" i="1"/>
  <c r="A5649" i="1"/>
  <c r="L5648" i="1"/>
  <c r="A5648" i="1"/>
  <c r="L5647" i="1"/>
  <c r="A5647" i="1"/>
  <c r="L5646" i="1"/>
  <c r="A5646" i="1"/>
  <c r="L5645" i="1"/>
  <c r="A5645" i="1"/>
  <c r="L5644" i="1"/>
  <c r="A5644" i="1"/>
  <c r="L5643" i="1"/>
  <c r="A5643" i="1"/>
  <c r="L5642" i="1"/>
  <c r="A5642" i="1"/>
  <c r="L5641" i="1"/>
  <c r="A5641" i="1"/>
  <c r="L5640" i="1"/>
  <c r="A5640" i="1"/>
  <c r="L5639" i="1"/>
  <c r="A5639" i="1"/>
  <c r="L5638" i="1"/>
  <c r="A5638" i="1"/>
  <c r="L5637" i="1"/>
  <c r="A5637" i="1"/>
  <c r="L5636" i="1"/>
  <c r="A5636" i="1"/>
  <c r="L5635" i="1"/>
  <c r="A5635" i="1"/>
  <c r="L5634" i="1"/>
  <c r="A5634" i="1"/>
  <c r="L5633" i="1"/>
  <c r="A5633" i="1"/>
  <c r="L5632" i="1"/>
  <c r="A5632" i="1"/>
  <c r="L5631" i="1"/>
  <c r="A5631" i="1"/>
  <c r="L5630" i="1"/>
  <c r="A5630" i="1"/>
  <c r="L5629" i="1"/>
  <c r="A5629" i="1"/>
  <c r="L5628" i="1"/>
  <c r="A5628" i="1"/>
  <c r="L5627" i="1"/>
  <c r="A5627" i="1"/>
  <c r="L5626" i="1"/>
  <c r="A5626" i="1"/>
  <c r="L5625" i="1"/>
  <c r="A5625" i="1"/>
  <c r="L5624" i="1"/>
  <c r="A5624" i="1"/>
  <c r="L5623" i="1"/>
  <c r="A5623" i="1"/>
  <c r="L5622" i="1"/>
  <c r="A5622" i="1"/>
  <c r="L5621" i="1"/>
  <c r="A5621" i="1"/>
  <c r="L5620" i="1"/>
  <c r="A5620" i="1"/>
  <c r="L5619" i="1"/>
  <c r="A5619" i="1"/>
  <c r="L5618" i="1"/>
  <c r="A5618" i="1"/>
  <c r="L5617" i="1"/>
  <c r="A5617" i="1"/>
  <c r="L5616" i="1"/>
  <c r="A5616" i="1"/>
  <c r="L5615" i="1"/>
  <c r="A5615" i="1"/>
  <c r="L5614" i="1"/>
  <c r="A5614" i="1"/>
  <c r="L5613" i="1"/>
  <c r="A5613" i="1"/>
  <c r="L5612" i="1"/>
  <c r="A5612" i="1"/>
  <c r="L5611" i="1"/>
  <c r="A5611" i="1"/>
  <c r="L5610" i="1"/>
  <c r="A5610" i="1"/>
  <c r="L5609" i="1"/>
  <c r="A5609" i="1"/>
  <c r="L5608" i="1"/>
  <c r="A5608" i="1"/>
  <c r="L5607" i="1"/>
  <c r="A5607" i="1"/>
  <c r="L5606" i="1"/>
  <c r="A5606" i="1"/>
  <c r="L5605" i="1"/>
  <c r="A5605" i="1"/>
  <c r="L5604" i="1"/>
  <c r="A5604" i="1"/>
  <c r="L5603" i="1"/>
  <c r="A5603" i="1"/>
  <c r="L5602" i="1"/>
  <c r="A5602" i="1"/>
  <c r="L5601" i="1"/>
  <c r="A5601" i="1"/>
  <c r="L5600" i="1"/>
  <c r="A5600" i="1"/>
  <c r="L5599" i="1"/>
  <c r="A5599" i="1"/>
  <c r="L5598" i="1"/>
  <c r="A5598" i="1"/>
  <c r="L5597" i="1"/>
  <c r="A5597" i="1"/>
  <c r="L5596" i="1"/>
  <c r="A5596" i="1"/>
  <c r="L5595" i="1"/>
  <c r="A5595" i="1"/>
  <c r="L5594" i="1"/>
  <c r="A5594" i="1"/>
  <c r="L5593" i="1"/>
  <c r="A5593" i="1"/>
  <c r="L5592" i="1"/>
  <c r="A5592" i="1"/>
  <c r="L5591" i="1"/>
  <c r="A5591" i="1"/>
  <c r="L5590" i="1"/>
  <c r="A5590" i="1"/>
  <c r="L5589" i="1"/>
  <c r="A5589" i="1"/>
  <c r="L5588" i="1"/>
  <c r="A5588" i="1"/>
  <c r="L5587" i="1"/>
  <c r="A5587" i="1"/>
  <c r="L5586" i="1"/>
  <c r="A5586" i="1"/>
  <c r="L5585" i="1"/>
  <c r="A5585" i="1"/>
  <c r="L5584" i="1"/>
  <c r="A5584" i="1"/>
  <c r="L5583" i="1"/>
  <c r="A5583" i="1"/>
  <c r="L5582" i="1"/>
  <c r="A5582" i="1"/>
  <c r="L5581" i="1"/>
  <c r="A5581" i="1"/>
  <c r="L5580" i="1"/>
  <c r="A5580" i="1"/>
  <c r="L5579" i="1"/>
  <c r="A5579" i="1"/>
  <c r="L5578" i="1"/>
  <c r="A5578" i="1"/>
  <c r="L5577" i="1"/>
  <c r="A5577" i="1"/>
  <c r="L5576" i="1"/>
  <c r="A5576" i="1"/>
  <c r="L5575" i="1"/>
  <c r="A5575" i="1"/>
  <c r="L5574" i="1"/>
  <c r="A5574" i="1"/>
  <c r="L5573" i="1"/>
  <c r="A5573" i="1"/>
  <c r="L5572" i="1"/>
  <c r="A5572" i="1"/>
  <c r="L5571" i="1"/>
  <c r="A5571" i="1"/>
  <c r="L5570" i="1"/>
  <c r="A5570" i="1"/>
  <c r="L5569" i="1"/>
  <c r="A5569" i="1"/>
  <c r="L5568" i="1"/>
  <c r="A5568" i="1"/>
  <c r="L5567" i="1"/>
  <c r="A5567" i="1"/>
  <c r="L5566" i="1"/>
  <c r="A5566" i="1"/>
  <c r="L5565" i="1"/>
  <c r="A5565" i="1"/>
  <c r="L5564" i="1"/>
  <c r="A5564" i="1"/>
  <c r="L5563" i="1"/>
  <c r="A5563" i="1"/>
  <c r="L5562" i="1"/>
  <c r="A5562" i="1"/>
  <c r="L5561" i="1"/>
  <c r="A5561" i="1"/>
  <c r="L5560" i="1"/>
  <c r="A5560" i="1"/>
  <c r="L5559" i="1"/>
  <c r="A5559" i="1"/>
  <c r="L5558" i="1"/>
  <c r="A5558" i="1"/>
  <c r="L5557" i="1"/>
  <c r="A5557" i="1"/>
  <c r="L5556" i="1"/>
  <c r="A5556" i="1"/>
  <c r="L5555" i="1"/>
  <c r="A5555" i="1"/>
  <c r="L5554" i="1"/>
  <c r="A5554" i="1"/>
  <c r="L5553" i="1"/>
  <c r="A5553" i="1"/>
  <c r="L5552" i="1"/>
  <c r="A5552" i="1"/>
  <c r="L5551" i="1"/>
  <c r="A5551" i="1"/>
  <c r="L5550" i="1"/>
  <c r="A5550" i="1"/>
  <c r="L5549" i="1"/>
  <c r="A5549" i="1"/>
  <c r="L5548" i="1"/>
  <c r="A5548" i="1"/>
  <c r="L5547" i="1"/>
  <c r="A5547" i="1"/>
  <c r="L5546" i="1"/>
  <c r="A5546" i="1"/>
  <c r="L5545" i="1"/>
  <c r="A5545" i="1"/>
  <c r="L5544" i="1"/>
  <c r="A5544" i="1"/>
  <c r="L5543" i="1"/>
  <c r="A5543" i="1"/>
  <c r="L5542" i="1"/>
  <c r="A5542" i="1"/>
  <c r="L5541" i="1"/>
  <c r="A5541" i="1"/>
  <c r="L5540" i="1"/>
  <c r="A5540" i="1"/>
  <c r="L5539" i="1"/>
  <c r="A5539" i="1"/>
  <c r="L5538" i="1"/>
  <c r="A5538" i="1"/>
  <c r="L5537" i="1"/>
  <c r="A5537" i="1"/>
  <c r="L5536" i="1"/>
  <c r="A5536" i="1"/>
  <c r="L5535" i="1"/>
  <c r="A5535" i="1"/>
  <c r="L5534" i="1"/>
  <c r="A5534" i="1"/>
  <c r="L5533" i="1"/>
  <c r="A5533" i="1"/>
  <c r="L5532" i="1"/>
  <c r="A5532" i="1"/>
  <c r="L5531" i="1"/>
  <c r="A5531" i="1"/>
  <c r="L5530" i="1"/>
  <c r="A5530" i="1"/>
  <c r="L5529" i="1"/>
  <c r="A5529" i="1"/>
  <c r="L5528" i="1"/>
  <c r="A5528" i="1"/>
  <c r="L5527" i="1"/>
  <c r="A5527" i="1"/>
  <c r="L5526" i="1"/>
  <c r="A5526" i="1"/>
  <c r="L5525" i="1"/>
  <c r="A5525" i="1"/>
  <c r="L5524" i="1"/>
  <c r="A5524" i="1"/>
  <c r="L5523" i="1"/>
  <c r="A5523" i="1"/>
  <c r="L5522" i="1"/>
  <c r="A5522" i="1"/>
  <c r="L5521" i="1"/>
  <c r="A5521" i="1"/>
  <c r="L5520" i="1"/>
  <c r="A5520" i="1"/>
  <c r="L5519" i="1"/>
  <c r="A5519" i="1"/>
  <c r="L5518" i="1"/>
  <c r="A5518" i="1"/>
  <c r="L5517" i="1"/>
  <c r="A5517" i="1"/>
  <c r="L5516" i="1"/>
  <c r="A5516" i="1"/>
  <c r="L5515" i="1"/>
  <c r="A5515" i="1"/>
  <c r="L5514" i="1"/>
  <c r="A5514" i="1"/>
  <c r="L5513" i="1"/>
  <c r="A5513" i="1"/>
  <c r="L5512" i="1"/>
  <c r="A5512" i="1"/>
  <c r="L5511" i="1"/>
  <c r="A5511" i="1"/>
  <c r="L5510" i="1"/>
  <c r="A5510" i="1"/>
  <c r="L5509" i="1"/>
  <c r="A5509" i="1"/>
  <c r="L5508" i="1"/>
  <c r="A5508" i="1"/>
  <c r="L5507" i="1"/>
  <c r="A5507" i="1"/>
  <c r="L5506" i="1"/>
  <c r="A5506" i="1"/>
  <c r="L5505" i="1"/>
  <c r="A5505" i="1"/>
  <c r="L5504" i="1"/>
  <c r="A5504" i="1"/>
  <c r="L5503" i="1"/>
  <c r="A5503" i="1"/>
  <c r="L5502" i="1"/>
  <c r="A5502" i="1"/>
  <c r="L5501" i="1"/>
  <c r="A5501" i="1"/>
  <c r="L5500" i="1"/>
  <c r="A5500" i="1"/>
  <c r="L5499" i="1"/>
  <c r="A5499" i="1"/>
  <c r="L5498" i="1"/>
  <c r="A5498" i="1"/>
  <c r="L5497" i="1"/>
  <c r="A5497" i="1"/>
  <c r="L5496" i="1"/>
  <c r="A5496" i="1"/>
  <c r="L5495" i="1"/>
  <c r="A5495" i="1"/>
  <c r="L5494" i="1"/>
  <c r="A5494" i="1"/>
  <c r="L5493" i="1"/>
  <c r="A5493" i="1"/>
  <c r="L5492" i="1"/>
  <c r="A5492" i="1"/>
  <c r="L5491" i="1"/>
  <c r="A5491" i="1"/>
  <c r="L5490" i="1"/>
  <c r="A5490" i="1"/>
  <c r="L5489" i="1"/>
  <c r="A5489" i="1"/>
  <c r="L5488" i="1"/>
  <c r="A5488" i="1"/>
  <c r="L5487" i="1"/>
  <c r="A5487" i="1"/>
  <c r="L5486" i="1"/>
  <c r="A5486" i="1"/>
  <c r="L5485" i="1"/>
  <c r="A5485" i="1"/>
  <c r="L5484" i="1"/>
  <c r="A5484" i="1"/>
  <c r="L5483" i="1"/>
  <c r="A5483" i="1"/>
  <c r="L5482" i="1"/>
  <c r="A5482" i="1"/>
  <c r="L5481" i="1"/>
  <c r="A5481" i="1"/>
  <c r="L5480" i="1"/>
  <c r="A5480" i="1"/>
  <c r="L5479" i="1"/>
  <c r="A5479" i="1"/>
  <c r="L5478" i="1"/>
  <c r="A5478" i="1"/>
  <c r="L5477" i="1"/>
  <c r="A5477" i="1"/>
  <c r="L5476" i="1"/>
  <c r="A5476" i="1"/>
  <c r="L5475" i="1"/>
  <c r="A5475" i="1"/>
  <c r="L5474" i="1"/>
  <c r="A5474" i="1"/>
  <c r="L5473" i="1"/>
  <c r="A5473" i="1"/>
  <c r="L5472" i="1"/>
  <c r="A5472" i="1"/>
  <c r="L5471" i="1"/>
  <c r="A5471" i="1"/>
  <c r="L5470" i="1"/>
  <c r="A5470" i="1"/>
  <c r="L5469" i="1"/>
  <c r="A5469" i="1"/>
  <c r="L5468" i="1"/>
  <c r="A5468" i="1"/>
  <c r="L5467" i="1"/>
  <c r="A5467" i="1"/>
  <c r="L5466" i="1"/>
  <c r="A5466" i="1"/>
  <c r="L5465" i="1"/>
  <c r="A5465" i="1"/>
  <c r="L5464" i="1"/>
  <c r="A5464" i="1"/>
  <c r="L5463" i="1"/>
  <c r="A5463" i="1"/>
  <c r="L5462" i="1"/>
  <c r="A5462" i="1"/>
  <c r="L5461" i="1"/>
  <c r="A5461" i="1"/>
  <c r="L5460" i="1"/>
  <c r="A5460" i="1"/>
  <c r="L5459" i="1"/>
  <c r="A5459" i="1"/>
  <c r="L5458" i="1"/>
  <c r="A5458" i="1"/>
  <c r="L5457" i="1"/>
  <c r="A5457" i="1"/>
  <c r="L5456" i="1"/>
  <c r="A5456" i="1"/>
  <c r="L5455" i="1"/>
  <c r="A5455" i="1"/>
  <c r="L5454" i="1"/>
  <c r="A5454" i="1"/>
  <c r="L5453" i="1"/>
  <c r="A5453" i="1"/>
  <c r="L5452" i="1"/>
  <c r="A5452" i="1"/>
  <c r="L5451" i="1"/>
  <c r="A5451" i="1"/>
  <c r="L5450" i="1"/>
  <c r="A5450" i="1"/>
  <c r="L5449" i="1"/>
  <c r="A5449" i="1"/>
  <c r="L5448" i="1"/>
  <c r="A5448" i="1"/>
  <c r="L5447" i="1"/>
  <c r="A5447" i="1"/>
  <c r="L5446" i="1"/>
  <c r="A5446" i="1"/>
  <c r="L5445" i="1"/>
  <c r="A5445" i="1"/>
  <c r="L5444" i="1"/>
  <c r="A5444" i="1"/>
  <c r="L5443" i="1"/>
  <c r="A5443" i="1"/>
  <c r="L5442" i="1"/>
  <c r="A5442" i="1"/>
  <c r="L5441" i="1"/>
  <c r="A5441" i="1"/>
  <c r="L5440" i="1"/>
  <c r="A5440" i="1"/>
  <c r="L5439" i="1"/>
  <c r="A5439" i="1"/>
  <c r="L5438" i="1"/>
  <c r="A5438" i="1"/>
  <c r="L5437" i="1"/>
  <c r="A5437" i="1"/>
  <c r="L5436" i="1"/>
  <c r="A5436" i="1"/>
  <c r="L5435" i="1"/>
  <c r="A5435" i="1"/>
  <c r="L5434" i="1"/>
  <c r="A5434" i="1"/>
  <c r="L5433" i="1"/>
  <c r="A5433" i="1"/>
  <c r="L5432" i="1"/>
  <c r="A5432" i="1"/>
  <c r="L5431" i="1"/>
  <c r="A5431" i="1"/>
  <c r="L5430" i="1"/>
  <c r="A5430" i="1"/>
  <c r="L5429" i="1"/>
  <c r="A5429" i="1"/>
  <c r="L5428" i="1"/>
  <c r="A5428" i="1"/>
  <c r="L5427" i="1"/>
  <c r="A5427" i="1"/>
  <c r="L5426" i="1"/>
  <c r="A5426" i="1"/>
  <c r="L5425" i="1"/>
  <c r="A5425" i="1"/>
  <c r="L5424" i="1"/>
  <c r="A5424" i="1"/>
  <c r="L5423" i="1"/>
  <c r="A5423" i="1"/>
  <c r="L5422" i="1"/>
  <c r="A5422" i="1"/>
  <c r="L5421" i="1"/>
  <c r="A5421" i="1"/>
  <c r="L5420" i="1"/>
  <c r="A5420" i="1"/>
  <c r="L5419" i="1"/>
  <c r="A5419" i="1"/>
  <c r="L5418" i="1"/>
  <c r="A5418" i="1"/>
  <c r="L5417" i="1"/>
  <c r="A5417" i="1"/>
  <c r="L5416" i="1"/>
  <c r="A5416" i="1"/>
  <c r="L5415" i="1"/>
  <c r="A5415" i="1"/>
  <c r="L5414" i="1"/>
  <c r="A5414" i="1"/>
  <c r="L5413" i="1"/>
  <c r="A5413" i="1"/>
  <c r="L5412" i="1"/>
  <c r="A5412" i="1"/>
  <c r="L5411" i="1"/>
  <c r="A5411" i="1"/>
  <c r="L5410" i="1"/>
  <c r="A5410" i="1"/>
  <c r="L5409" i="1"/>
  <c r="A5409" i="1"/>
  <c r="L5408" i="1"/>
  <c r="A5408" i="1"/>
  <c r="L5407" i="1"/>
  <c r="A5407" i="1"/>
  <c r="L5406" i="1"/>
  <c r="A5406" i="1"/>
  <c r="L5405" i="1"/>
  <c r="A5405" i="1"/>
  <c r="L5404" i="1"/>
  <c r="A5404" i="1"/>
  <c r="L5403" i="1"/>
  <c r="A5403" i="1"/>
  <c r="L5402" i="1"/>
  <c r="A5402" i="1"/>
  <c r="L5401" i="1"/>
  <c r="A5401" i="1"/>
  <c r="L5400" i="1"/>
  <c r="A5400" i="1"/>
  <c r="L5399" i="1"/>
  <c r="A5399" i="1"/>
  <c r="L5398" i="1"/>
  <c r="A5398" i="1"/>
  <c r="L5397" i="1"/>
  <c r="A5397" i="1"/>
  <c r="L5396" i="1"/>
  <c r="A5396" i="1"/>
  <c r="L5395" i="1"/>
  <c r="A5395" i="1"/>
  <c r="L5394" i="1"/>
  <c r="A5394" i="1"/>
  <c r="L5393" i="1"/>
  <c r="A5393" i="1"/>
  <c r="L5392" i="1"/>
  <c r="A5392" i="1"/>
  <c r="L5391" i="1"/>
  <c r="A5391" i="1"/>
  <c r="L5390" i="1"/>
  <c r="A5390" i="1"/>
  <c r="L5389" i="1"/>
  <c r="A5389" i="1"/>
  <c r="L5388" i="1"/>
  <c r="A5388" i="1"/>
  <c r="L5387" i="1"/>
  <c r="A5387" i="1"/>
  <c r="L5386" i="1"/>
  <c r="A5386" i="1"/>
  <c r="L5385" i="1"/>
  <c r="A5385" i="1"/>
  <c r="L5384" i="1"/>
  <c r="A5384" i="1"/>
  <c r="L5383" i="1"/>
  <c r="A5383" i="1"/>
  <c r="L5382" i="1"/>
  <c r="A5382" i="1"/>
  <c r="L5381" i="1"/>
  <c r="A5381" i="1"/>
  <c r="L5380" i="1"/>
  <c r="A5380" i="1"/>
  <c r="L5379" i="1"/>
  <c r="A5379" i="1"/>
  <c r="L5378" i="1"/>
  <c r="A5378" i="1"/>
  <c r="L5377" i="1"/>
  <c r="A5377" i="1"/>
  <c r="L5376" i="1"/>
  <c r="A5376" i="1"/>
  <c r="L5375" i="1"/>
  <c r="A5375" i="1"/>
  <c r="L5374" i="1"/>
  <c r="A5374" i="1"/>
  <c r="L5373" i="1"/>
  <c r="A5373" i="1"/>
  <c r="L5372" i="1"/>
  <c r="A5372" i="1"/>
  <c r="L5371" i="1"/>
  <c r="A5371" i="1"/>
  <c r="L5370" i="1"/>
  <c r="A5370" i="1"/>
  <c r="L5369" i="1"/>
  <c r="A5369" i="1"/>
  <c r="L5368" i="1"/>
  <c r="A5368" i="1"/>
  <c r="L5367" i="1"/>
  <c r="A5367" i="1"/>
  <c r="L5366" i="1"/>
  <c r="A5366" i="1"/>
  <c r="L5365" i="1"/>
  <c r="A5365" i="1"/>
  <c r="L5364" i="1"/>
  <c r="A5364" i="1"/>
  <c r="L5363" i="1"/>
  <c r="A5363" i="1"/>
  <c r="L5362" i="1"/>
  <c r="A5362" i="1"/>
  <c r="L5361" i="1"/>
  <c r="A5361" i="1"/>
  <c r="L5360" i="1"/>
  <c r="A5360" i="1"/>
  <c r="L5359" i="1"/>
  <c r="A5359" i="1"/>
  <c r="L5358" i="1"/>
  <c r="A5358" i="1"/>
  <c r="L5357" i="1"/>
  <c r="A5357" i="1"/>
  <c r="L5356" i="1"/>
  <c r="A5356" i="1"/>
  <c r="L5355" i="1"/>
  <c r="A5355" i="1"/>
  <c r="L5354" i="1"/>
  <c r="A5354" i="1"/>
  <c r="L5353" i="1"/>
  <c r="A5353" i="1"/>
  <c r="L5352" i="1"/>
  <c r="A5352" i="1"/>
  <c r="L5351" i="1"/>
  <c r="A5351" i="1"/>
  <c r="L5350" i="1"/>
  <c r="A5350" i="1"/>
  <c r="L5349" i="1"/>
  <c r="A5349" i="1"/>
  <c r="L5348" i="1"/>
  <c r="A5348" i="1"/>
  <c r="L5347" i="1"/>
  <c r="A5347" i="1"/>
  <c r="L5346" i="1"/>
  <c r="A5346" i="1"/>
  <c r="L5345" i="1"/>
  <c r="A5345" i="1"/>
  <c r="L5344" i="1"/>
  <c r="A5344" i="1"/>
  <c r="L5343" i="1"/>
  <c r="A5343" i="1"/>
  <c r="L5342" i="1"/>
  <c r="A5342" i="1"/>
  <c r="L5341" i="1"/>
  <c r="A5341" i="1"/>
  <c r="L5340" i="1"/>
  <c r="A5340" i="1"/>
  <c r="L5339" i="1"/>
  <c r="A5339" i="1"/>
  <c r="L5338" i="1"/>
  <c r="A5338" i="1"/>
  <c r="L5337" i="1"/>
  <c r="A5337" i="1"/>
  <c r="L5336" i="1"/>
  <c r="A5336" i="1"/>
  <c r="L5335" i="1"/>
  <c r="A5335" i="1"/>
  <c r="L5334" i="1"/>
  <c r="A5334" i="1"/>
  <c r="L5333" i="1"/>
  <c r="A5333" i="1"/>
  <c r="L5332" i="1"/>
  <c r="A5332" i="1"/>
  <c r="L5331" i="1"/>
  <c r="A5331" i="1"/>
  <c r="L5330" i="1"/>
  <c r="A5330" i="1"/>
  <c r="L5329" i="1"/>
  <c r="A5329" i="1"/>
  <c r="L5328" i="1"/>
  <c r="A5328" i="1"/>
  <c r="L5327" i="1"/>
  <c r="A5327" i="1"/>
  <c r="L5326" i="1"/>
  <c r="A5326" i="1"/>
  <c r="L5325" i="1"/>
  <c r="A5325" i="1"/>
  <c r="L5324" i="1"/>
  <c r="A5324" i="1"/>
  <c r="L5323" i="1"/>
  <c r="A5323" i="1"/>
  <c r="L5322" i="1"/>
  <c r="A5322" i="1"/>
  <c r="L5321" i="1"/>
  <c r="A5321" i="1"/>
  <c r="L5320" i="1"/>
  <c r="A5320" i="1"/>
  <c r="L5319" i="1"/>
  <c r="A5319" i="1"/>
  <c r="L5318" i="1"/>
  <c r="A5318" i="1"/>
  <c r="L5317" i="1"/>
  <c r="A5317" i="1"/>
  <c r="L5316" i="1"/>
  <c r="A5316" i="1"/>
  <c r="L5315" i="1"/>
  <c r="A5315" i="1"/>
  <c r="L5314" i="1"/>
  <c r="A5314" i="1"/>
  <c r="L5313" i="1"/>
  <c r="A5313" i="1"/>
  <c r="L5312" i="1"/>
  <c r="A5312" i="1"/>
  <c r="L5311" i="1"/>
  <c r="A5311" i="1"/>
  <c r="L5310" i="1"/>
  <c r="A5310" i="1"/>
  <c r="L5309" i="1"/>
  <c r="A5309" i="1"/>
  <c r="L5308" i="1"/>
  <c r="A5308" i="1"/>
  <c r="L5307" i="1"/>
  <c r="A5307" i="1"/>
  <c r="L5306" i="1"/>
  <c r="A5306" i="1"/>
  <c r="L5305" i="1"/>
  <c r="A5305" i="1"/>
  <c r="L5304" i="1"/>
  <c r="A5304" i="1"/>
  <c r="L5303" i="1"/>
  <c r="A5303" i="1"/>
  <c r="L5302" i="1"/>
  <c r="A5302" i="1"/>
  <c r="L5301" i="1"/>
  <c r="A5301" i="1"/>
  <c r="L5300" i="1"/>
  <c r="A5300" i="1"/>
  <c r="L5299" i="1"/>
  <c r="A5299" i="1"/>
  <c r="L5298" i="1"/>
  <c r="A5298" i="1"/>
  <c r="L5297" i="1"/>
  <c r="A5297" i="1"/>
  <c r="L5296" i="1"/>
  <c r="A5296" i="1"/>
  <c r="L5295" i="1"/>
  <c r="A5295" i="1"/>
  <c r="L5294" i="1"/>
  <c r="A5294" i="1"/>
  <c r="L5293" i="1"/>
  <c r="A5293" i="1"/>
  <c r="L5292" i="1"/>
  <c r="A5292" i="1"/>
  <c r="L5291" i="1"/>
  <c r="A5291" i="1"/>
  <c r="L5290" i="1"/>
  <c r="A5290" i="1"/>
  <c r="L5289" i="1"/>
  <c r="A5289" i="1"/>
  <c r="L5288" i="1"/>
  <c r="A5288" i="1"/>
  <c r="L5287" i="1"/>
  <c r="A5287" i="1"/>
  <c r="L5286" i="1"/>
  <c r="A5286" i="1"/>
  <c r="L5285" i="1"/>
  <c r="A5285" i="1"/>
  <c r="L5284" i="1"/>
  <c r="A5284" i="1"/>
  <c r="L5283" i="1"/>
  <c r="A5283" i="1"/>
  <c r="L5282" i="1"/>
  <c r="A5282" i="1"/>
  <c r="L5281" i="1"/>
  <c r="A5281" i="1"/>
  <c r="L5280" i="1"/>
  <c r="A5280" i="1"/>
  <c r="L5279" i="1"/>
  <c r="A5279" i="1"/>
  <c r="L5278" i="1"/>
  <c r="A5278" i="1"/>
  <c r="L5277" i="1"/>
  <c r="A5277" i="1"/>
  <c r="L5276" i="1"/>
  <c r="A5276" i="1"/>
  <c r="L5275" i="1"/>
  <c r="A5275" i="1"/>
  <c r="L5274" i="1"/>
  <c r="A5274" i="1"/>
  <c r="L5273" i="1"/>
  <c r="A5273" i="1"/>
  <c r="L5272" i="1"/>
  <c r="A5272" i="1"/>
  <c r="L5271" i="1"/>
  <c r="A5271" i="1"/>
  <c r="L5270" i="1"/>
  <c r="A5270" i="1"/>
  <c r="L5269" i="1"/>
  <c r="A5269" i="1"/>
  <c r="L5268" i="1"/>
  <c r="A5268" i="1"/>
  <c r="L5267" i="1"/>
  <c r="A5267" i="1"/>
  <c r="L5266" i="1"/>
  <c r="A5266" i="1"/>
  <c r="L5265" i="1"/>
  <c r="A5265" i="1"/>
  <c r="L5264" i="1"/>
  <c r="A5264" i="1"/>
  <c r="L5263" i="1"/>
  <c r="A5263" i="1"/>
  <c r="L5262" i="1"/>
  <c r="A5262" i="1"/>
  <c r="L5261" i="1"/>
  <c r="A5261" i="1"/>
  <c r="L5260" i="1"/>
  <c r="A5260" i="1"/>
  <c r="L5259" i="1"/>
  <c r="A5259" i="1"/>
  <c r="L5258" i="1"/>
  <c r="A5258" i="1"/>
  <c r="L5257" i="1"/>
  <c r="A5257" i="1"/>
  <c r="L5256" i="1"/>
  <c r="A5256" i="1"/>
  <c r="L5255" i="1"/>
  <c r="A5255" i="1"/>
  <c r="L5254" i="1"/>
  <c r="A5254" i="1"/>
  <c r="L5253" i="1"/>
  <c r="A5253" i="1"/>
  <c r="L5252" i="1"/>
  <c r="A5252" i="1"/>
  <c r="L5251" i="1"/>
  <c r="A5251" i="1"/>
  <c r="L5250" i="1"/>
  <c r="A5250" i="1"/>
  <c r="L5249" i="1"/>
  <c r="A5249" i="1"/>
  <c r="L5248" i="1"/>
  <c r="A5248" i="1"/>
  <c r="L5247" i="1"/>
  <c r="A5247" i="1"/>
  <c r="L5246" i="1"/>
  <c r="A5246" i="1"/>
  <c r="L5245" i="1"/>
  <c r="A5245" i="1"/>
  <c r="L5244" i="1"/>
  <c r="A5244" i="1"/>
  <c r="L5243" i="1"/>
  <c r="A5243" i="1"/>
  <c r="L5242" i="1"/>
  <c r="A5242" i="1"/>
  <c r="L5241" i="1"/>
  <c r="A5241" i="1"/>
  <c r="L5240" i="1"/>
  <c r="A5240" i="1"/>
  <c r="L5239" i="1"/>
  <c r="A5239" i="1"/>
  <c r="L5238" i="1"/>
  <c r="A5238" i="1"/>
  <c r="L5237" i="1"/>
  <c r="A5237" i="1"/>
  <c r="L5236" i="1"/>
  <c r="A5236" i="1"/>
  <c r="L5235" i="1"/>
  <c r="A5235" i="1"/>
  <c r="L5234" i="1"/>
  <c r="A5234" i="1"/>
  <c r="L5233" i="1"/>
  <c r="A5233" i="1"/>
  <c r="L5232" i="1"/>
  <c r="A5232" i="1"/>
  <c r="L5231" i="1"/>
  <c r="A5231" i="1"/>
  <c r="L5230" i="1"/>
  <c r="A5230" i="1"/>
  <c r="L5229" i="1"/>
  <c r="A5229" i="1"/>
  <c r="L5228" i="1"/>
  <c r="A5228" i="1"/>
  <c r="L5227" i="1"/>
  <c r="A5227" i="1"/>
  <c r="L5226" i="1"/>
  <c r="A5226" i="1"/>
  <c r="L5225" i="1"/>
  <c r="A5225" i="1"/>
  <c r="L5224" i="1"/>
  <c r="A5224" i="1"/>
  <c r="L5223" i="1"/>
  <c r="A5223" i="1"/>
  <c r="L5222" i="1"/>
  <c r="A5222" i="1"/>
  <c r="L5221" i="1"/>
  <c r="A5221" i="1"/>
  <c r="L5220" i="1"/>
  <c r="A5220" i="1"/>
  <c r="L5219" i="1"/>
  <c r="A5219" i="1"/>
  <c r="L5218" i="1"/>
  <c r="A5218" i="1"/>
  <c r="L5217" i="1"/>
  <c r="A5217" i="1"/>
  <c r="L5216" i="1"/>
  <c r="A5216" i="1"/>
  <c r="L5215" i="1"/>
  <c r="A5215" i="1"/>
  <c r="L5214" i="1"/>
  <c r="A5214" i="1"/>
  <c r="L5213" i="1"/>
  <c r="A5213" i="1"/>
  <c r="L5212" i="1"/>
  <c r="A5212" i="1"/>
  <c r="L5211" i="1"/>
  <c r="A5211" i="1"/>
  <c r="L5210" i="1"/>
  <c r="A5210" i="1"/>
  <c r="L5209" i="1"/>
  <c r="A5209" i="1"/>
  <c r="L5208" i="1"/>
  <c r="A5208" i="1"/>
  <c r="L5207" i="1"/>
  <c r="A5207" i="1"/>
  <c r="L5206" i="1"/>
  <c r="A5206" i="1"/>
  <c r="L5205" i="1"/>
  <c r="A5205" i="1"/>
  <c r="L5204" i="1"/>
  <c r="A5204" i="1"/>
  <c r="L5203" i="1"/>
  <c r="A5203" i="1"/>
  <c r="L5202" i="1"/>
  <c r="A5202" i="1"/>
  <c r="L5201" i="1"/>
  <c r="A5201" i="1"/>
  <c r="L5200" i="1"/>
  <c r="A5200" i="1"/>
  <c r="L5199" i="1"/>
  <c r="A5199" i="1"/>
  <c r="L5198" i="1"/>
  <c r="A5198" i="1"/>
  <c r="L5197" i="1"/>
  <c r="A5197" i="1"/>
  <c r="L5196" i="1"/>
  <c r="A5196" i="1"/>
  <c r="L5195" i="1"/>
  <c r="A5195" i="1"/>
  <c r="L5194" i="1"/>
  <c r="A5194" i="1"/>
  <c r="L5193" i="1"/>
  <c r="A5193" i="1"/>
  <c r="L5192" i="1"/>
  <c r="A5192" i="1"/>
  <c r="L5191" i="1"/>
  <c r="A5191" i="1"/>
  <c r="L5190" i="1"/>
  <c r="A5190" i="1"/>
  <c r="L5189" i="1"/>
  <c r="A5189" i="1"/>
  <c r="L5188" i="1"/>
  <c r="A5188" i="1"/>
  <c r="L5187" i="1"/>
  <c r="A5187" i="1"/>
  <c r="L5186" i="1"/>
  <c r="A5186" i="1"/>
  <c r="L5185" i="1"/>
  <c r="A5185" i="1"/>
  <c r="L5184" i="1"/>
  <c r="A5184" i="1"/>
  <c r="L5183" i="1"/>
  <c r="A5183" i="1"/>
  <c r="L5182" i="1"/>
  <c r="A5182" i="1"/>
  <c r="L5181" i="1"/>
  <c r="A5181" i="1"/>
  <c r="L5180" i="1"/>
  <c r="A5180" i="1"/>
  <c r="L5179" i="1"/>
  <c r="A5179" i="1"/>
  <c r="L5178" i="1"/>
  <c r="A5178" i="1"/>
  <c r="L5177" i="1"/>
  <c r="A5177" i="1"/>
  <c r="L5176" i="1"/>
  <c r="A5176" i="1"/>
  <c r="L5175" i="1"/>
  <c r="A5175" i="1"/>
  <c r="L5174" i="1"/>
  <c r="A5174" i="1"/>
  <c r="L5173" i="1"/>
  <c r="A5173" i="1"/>
  <c r="L5172" i="1"/>
  <c r="A5172" i="1"/>
  <c r="L5171" i="1"/>
  <c r="A5171" i="1"/>
  <c r="L5170" i="1"/>
  <c r="A5170" i="1"/>
  <c r="L5169" i="1"/>
  <c r="A5169" i="1"/>
  <c r="L5168" i="1"/>
  <c r="A5168" i="1"/>
  <c r="L5167" i="1"/>
  <c r="A5167" i="1"/>
  <c r="L5166" i="1"/>
  <c r="A5166" i="1"/>
  <c r="L5165" i="1"/>
  <c r="A5165" i="1"/>
  <c r="L5164" i="1"/>
  <c r="A5164" i="1"/>
  <c r="L5163" i="1"/>
  <c r="A5163" i="1"/>
  <c r="L5162" i="1"/>
  <c r="A5162" i="1"/>
  <c r="L5161" i="1"/>
  <c r="A5161" i="1"/>
  <c r="L5160" i="1"/>
  <c r="A5160" i="1"/>
  <c r="L5159" i="1"/>
  <c r="A5159" i="1"/>
  <c r="L5158" i="1"/>
  <c r="A5158" i="1"/>
  <c r="L5157" i="1"/>
  <c r="A5157" i="1"/>
  <c r="L5156" i="1"/>
  <c r="A5156" i="1"/>
  <c r="L5155" i="1"/>
  <c r="A5155" i="1"/>
  <c r="L5154" i="1"/>
  <c r="A5154" i="1"/>
  <c r="L5153" i="1"/>
  <c r="A5153" i="1"/>
  <c r="L5152" i="1"/>
  <c r="A5152" i="1"/>
  <c r="L5151" i="1"/>
  <c r="A5151" i="1"/>
  <c r="L5150" i="1"/>
  <c r="A5150" i="1"/>
  <c r="L5149" i="1"/>
  <c r="A5149" i="1"/>
  <c r="L5148" i="1"/>
  <c r="A5148" i="1"/>
  <c r="L5147" i="1"/>
  <c r="A5147" i="1"/>
  <c r="L5146" i="1"/>
  <c r="A5146" i="1"/>
  <c r="L5145" i="1"/>
  <c r="A5145" i="1"/>
  <c r="L5144" i="1"/>
  <c r="A5144" i="1"/>
  <c r="L5143" i="1"/>
  <c r="A5143" i="1"/>
  <c r="L5142" i="1"/>
  <c r="A5142" i="1"/>
  <c r="L5141" i="1"/>
  <c r="A5141" i="1"/>
  <c r="L5140" i="1"/>
  <c r="A5140" i="1"/>
  <c r="L5139" i="1"/>
  <c r="A5139" i="1"/>
  <c r="L5138" i="1"/>
  <c r="A5138" i="1"/>
  <c r="L5137" i="1"/>
  <c r="A5137" i="1"/>
  <c r="L5136" i="1"/>
  <c r="A5136" i="1"/>
  <c r="L5135" i="1"/>
  <c r="A5135" i="1"/>
  <c r="L5134" i="1"/>
  <c r="A5134" i="1"/>
  <c r="L5133" i="1"/>
  <c r="A5133" i="1"/>
  <c r="L5132" i="1"/>
  <c r="A5132" i="1"/>
  <c r="L5131" i="1"/>
  <c r="A5131" i="1"/>
  <c r="L5130" i="1"/>
  <c r="A5130" i="1"/>
  <c r="L5129" i="1"/>
  <c r="A5129" i="1"/>
  <c r="L5128" i="1"/>
  <c r="A5128" i="1"/>
  <c r="L5127" i="1"/>
  <c r="A5127" i="1"/>
  <c r="L5126" i="1"/>
  <c r="A5126" i="1"/>
  <c r="L5125" i="1"/>
  <c r="A5125" i="1"/>
  <c r="L5124" i="1"/>
  <c r="A5124" i="1"/>
  <c r="L5123" i="1"/>
  <c r="A5123" i="1"/>
  <c r="L5122" i="1"/>
  <c r="A5122" i="1"/>
  <c r="L5121" i="1"/>
  <c r="A5121" i="1"/>
  <c r="L5120" i="1"/>
  <c r="A5120" i="1"/>
  <c r="L5119" i="1"/>
  <c r="A5119" i="1"/>
  <c r="L5118" i="1"/>
  <c r="A5118" i="1"/>
  <c r="L5117" i="1"/>
  <c r="A5117" i="1"/>
  <c r="L5116" i="1"/>
  <c r="A5116" i="1"/>
  <c r="L5115" i="1"/>
  <c r="A5115" i="1"/>
  <c r="L5114" i="1"/>
  <c r="A5114" i="1"/>
  <c r="L5113" i="1"/>
  <c r="A5113" i="1"/>
  <c r="L5112" i="1"/>
  <c r="A5112" i="1"/>
  <c r="L5111" i="1"/>
  <c r="A5111" i="1"/>
  <c r="L5110" i="1"/>
  <c r="A5110" i="1"/>
  <c r="L5109" i="1"/>
  <c r="A5109" i="1"/>
  <c r="L5108" i="1"/>
  <c r="A5108" i="1"/>
  <c r="L5107" i="1"/>
  <c r="A5107" i="1"/>
  <c r="L5106" i="1"/>
  <c r="A5106" i="1"/>
  <c r="L5105" i="1"/>
  <c r="A5105" i="1"/>
  <c r="L5104" i="1"/>
  <c r="A5104" i="1"/>
  <c r="L5103" i="1"/>
  <c r="A5103" i="1"/>
  <c r="L5102" i="1"/>
  <c r="A5102" i="1"/>
  <c r="L5101" i="1"/>
  <c r="A5101" i="1"/>
  <c r="L5100" i="1"/>
  <c r="A5100" i="1"/>
  <c r="L5099" i="1"/>
  <c r="A5099" i="1"/>
  <c r="L5098" i="1"/>
  <c r="A5098" i="1"/>
  <c r="L5097" i="1"/>
  <c r="A5097" i="1"/>
  <c r="L5096" i="1"/>
  <c r="A5096" i="1"/>
  <c r="L5095" i="1"/>
  <c r="A5095" i="1"/>
  <c r="L5094" i="1"/>
  <c r="A5094" i="1"/>
  <c r="L5093" i="1"/>
  <c r="A5093" i="1"/>
  <c r="L5092" i="1"/>
  <c r="A5092" i="1"/>
  <c r="L5091" i="1"/>
  <c r="A5091" i="1"/>
  <c r="L5090" i="1"/>
  <c r="A5090" i="1"/>
  <c r="L5089" i="1"/>
  <c r="A5089" i="1"/>
  <c r="L5088" i="1"/>
  <c r="A5088" i="1"/>
  <c r="L5087" i="1"/>
  <c r="A5087" i="1"/>
  <c r="L5086" i="1"/>
  <c r="A5086" i="1"/>
  <c r="L5085" i="1"/>
  <c r="A5085" i="1"/>
  <c r="L5084" i="1"/>
  <c r="A5084" i="1"/>
  <c r="L5083" i="1"/>
  <c r="A5083" i="1"/>
  <c r="L5082" i="1"/>
  <c r="A5082" i="1"/>
  <c r="L5081" i="1"/>
  <c r="A5081" i="1"/>
  <c r="L5080" i="1"/>
  <c r="A5080" i="1"/>
  <c r="L5079" i="1"/>
  <c r="A5079" i="1"/>
  <c r="L5078" i="1"/>
  <c r="A5078" i="1"/>
  <c r="L5077" i="1"/>
  <c r="A5077" i="1"/>
  <c r="L5076" i="1"/>
  <c r="A5076" i="1"/>
  <c r="L5075" i="1"/>
  <c r="A5075" i="1"/>
  <c r="L5074" i="1"/>
  <c r="A5074" i="1"/>
  <c r="L5073" i="1"/>
  <c r="A5073" i="1"/>
  <c r="L5072" i="1"/>
  <c r="A5072" i="1"/>
  <c r="L5071" i="1"/>
  <c r="A5071" i="1"/>
  <c r="L5070" i="1"/>
  <c r="A5070" i="1"/>
  <c r="L5069" i="1"/>
  <c r="A5069" i="1"/>
  <c r="L5068" i="1"/>
  <c r="A5068" i="1"/>
  <c r="L5067" i="1"/>
  <c r="A5067" i="1"/>
  <c r="L5066" i="1"/>
  <c r="A5066" i="1"/>
  <c r="L5065" i="1"/>
  <c r="A5065" i="1"/>
  <c r="L5064" i="1"/>
  <c r="A5064" i="1"/>
  <c r="L5063" i="1"/>
  <c r="A5063" i="1"/>
  <c r="L5062" i="1"/>
  <c r="A5062" i="1"/>
  <c r="L5061" i="1"/>
  <c r="A5061" i="1"/>
  <c r="L5060" i="1"/>
  <c r="A5060" i="1"/>
  <c r="L5059" i="1"/>
  <c r="A5059" i="1"/>
  <c r="L5058" i="1"/>
  <c r="A5058" i="1"/>
  <c r="L5057" i="1"/>
  <c r="A5057" i="1"/>
  <c r="L5056" i="1"/>
  <c r="A5056" i="1"/>
  <c r="L5055" i="1"/>
  <c r="A5055" i="1"/>
  <c r="L5054" i="1"/>
  <c r="A5054" i="1"/>
  <c r="L5053" i="1"/>
  <c r="A5053" i="1"/>
  <c r="L5052" i="1"/>
  <c r="A5052" i="1"/>
  <c r="L5051" i="1"/>
  <c r="A5051" i="1"/>
  <c r="L5050" i="1"/>
  <c r="A5050" i="1"/>
  <c r="L5049" i="1"/>
  <c r="A5049" i="1"/>
  <c r="L5048" i="1"/>
  <c r="A5048" i="1"/>
  <c r="L5047" i="1"/>
  <c r="A5047" i="1"/>
  <c r="L5046" i="1"/>
  <c r="A5046" i="1"/>
  <c r="L5045" i="1"/>
  <c r="A5045" i="1"/>
  <c r="L5044" i="1"/>
  <c r="A5044" i="1"/>
  <c r="L5043" i="1"/>
  <c r="A5043" i="1"/>
  <c r="L5042" i="1"/>
  <c r="A5042" i="1"/>
  <c r="L5041" i="1"/>
  <c r="A5041" i="1"/>
  <c r="L5040" i="1"/>
  <c r="A5040" i="1"/>
  <c r="L5039" i="1"/>
  <c r="A5039" i="1"/>
  <c r="L5038" i="1"/>
  <c r="A5038" i="1"/>
  <c r="L5037" i="1"/>
  <c r="A5037" i="1"/>
  <c r="L5036" i="1"/>
  <c r="A5036" i="1"/>
  <c r="L5035" i="1"/>
  <c r="A5035" i="1"/>
  <c r="L5034" i="1"/>
  <c r="A5034" i="1"/>
  <c r="L5033" i="1"/>
  <c r="A5033" i="1"/>
  <c r="L5032" i="1"/>
  <c r="A5032" i="1"/>
  <c r="L5031" i="1"/>
  <c r="A5031" i="1"/>
  <c r="L5030" i="1"/>
  <c r="A5030" i="1"/>
  <c r="L5029" i="1"/>
  <c r="A5029" i="1"/>
  <c r="L5028" i="1"/>
  <c r="A5028" i="1"/>
  <c r="L5027" i="1"/>
  <c r="A5027" i="1"/>
  <c r="L5026" i="1"/>
  <c r="A5026" i="1"/>
  <c r="L5025" i="1"/>
  <c r="A5025" i="1"/>
  <c r="L5024" i="1"/>
  <c r="A5024" i="1"/>
  <c r="L5023" i="1"/>
  <c r="A5023" i="1"/>
  <c r="L5022" i="1"/>
  <c r="A5022" i="1"/>
  <c r="L5021" i="1"/>
  <c r="A5021" i="1"/>
  <c r="L5020" i="1"/>
  <c r="A5020" i="1"/>
  <c r="L5019" i="1"/>
  <c r="A5019" i="1"/>
  <c r="L5018" i="1"/>
  <c r="A5018" i="1"/>
  <c r="L5017" i="1"/>
  <c r="A5017" i="1"/>
  <c r="L5016" i="1"/>
  <c r="A5016" i="1"/>
  <c r="L5015" i="1"/>
  <c r="A5015" i="1"/>
  <c r="L5014" i="1"/>
  <c r="A5014" i="1"/>
  <c r="L5013" i="1"/>
  <c r="A5013" i="1"/>
  <c r="L5012" i="1"/>
  <c r="A5012" i="1"/>
  <c r="L5011" i="1"/>
  <c r="A5011" i="1"/>
  <c r="L5010" i="1"/>
  <c r="A5010" i="1"/>
  <c r="L5009" i="1"/>
  <c r="A5009" i="1"/>
  <c r="L5008" i="1"/>
  <c r="A5008" i="1"/>
  <c r="L5007" i="1"/>
  <c r="A5007" i="1"/>
  <c r="L5006" i="1"/>
  <c r="A5006" i="1"/>
  <c r="L5005" i="1"/>
  <c r="A5005" i="1"/>
  <c r="L5004" i="1"/>
  <c r="A5004" i="1"/>
  <c r="L5003" i="1"/>
  <c r="A5003" i="1"/>
  <c r="L5002" i="1"/>
  <c r="A5002" i="1"/>
  <c r="L5001" i="1"/>
  <c r="A5001" i="1"/>
  <c r="L5000" i="1"/>
  <c r="A5000" i="1"/>
  <c r="L4999" i="1"/>
  <c r="A4999" i="1"/>
  <c r="L4998" i="1"/>
  <c r="A4998" i="1"/>
  <c r="L4997" i="1"/>
  <c r="A4997" i="1"/>
  <c r="L4996" i="1"/>
  <c r="A4996" i="1"/>
  <c r="L4995" i="1"/>
  <c r="A4995" i="1"/>
  <c r="L4994" i="1"/>
  <c r="A4994" i="1"/>
  <c r="L4993" i="1"/>
  <c r="A4993" i="1"/>
  <c r="L4992" i="1"/>
  <c r="A4992" i="1"/>
  <c r="L4991" i="1"/>
  <c r="A4991" i="1"/>
  <c r="L4990" i="1"/>
  <c r="A4990" i="1"/>
  <c r="L4989" i="1"/>
  <c r="A4989" i="1"/>
  <c r="L4988" i="1"/>
  <c r="A4988" i="1"/>
  <c r="L4987" i="1"/>
  <c r="A4987" i="1"/>
  <c r="L4986" i="1"/>
  <c r="A4986" i="1"/>
  <c r="L4985" i="1"/>
  <c r="A4985" i="1"/>
  <c r="L4984" i="1"/>
  <c r="A4984" i="1"/>
  <c r="L4983" i="1"/>
  <c r="A4983" i="1"/>
  <c r="L4982" i="1"/>
  <c r="A4982" i="1"/>
  <c r="L4981" i="1"/>
  <c r="A4981" i="1"/>
  <c r="L4980" i="1"/>
  <c r="A4980" i="1"/>
  <c r="L4979" i="1"/>
  <c r="A4979" i="1"/>
  <c r="L4978" i="1"/>
  <c r="A4978" i="1"/>
  <c r="L4977" i="1"/>
  <c r="A4977" i="1"/>
  <c r="L4976" i="1"/>
  <c r="A4976" i="1"/>
  <c r="L4975" i="1"/>
  <c r="A4975" i="1"/>
  <c r="L4974" i="1"/>
  <c r="A4974" i="1"/>
  <c r="L4973" i="1"/>
  <c r="A4973" i="1"/>
  <c r="L4972" i="1"/>
  <c r="A4972" i="1"/>
  <c r="L4971" i="1"/>
  <c r="A4971" i="1"/>
  <c r="L4970" i="1"/>
  <c r="A4970" i="1"/>
  <c r="L4969" i="1"/>
  <c r="A4969" i="1"/>
  <c r="L4968" i="1"/>
  <c r="A4968" i="1"/>
  <c r="L4967" i="1"/>
  <c r="A4967" i="1"/>
  <c r="L4966" i="1"/>
  <c r="A4966" i="1"/>
  <c r="L4965" i="1"/>
  <c r="A4965" i="1"/>
  <c r="L4964" i="1"/>
  <c r="A4964" i="1"/>
  <c r="L4963" i="1"/>
  <c r="A4963" i="1"/>
  <c r="L4962" i="1"/>
  <c r="A4962" i="1"/>
  <c r="L4961" i="1"/>
  <c r="A4961" i="1"/>
  <c r="L4960" i="1"/>
  <c r="A4960" i="1"/>
  <c r="L4959" i="1"/>
  <c r="A4959" i="1"/>
  <c r="L4958" i="1"/>
  <c r="A4958" i="1"/>
  <c r="L4957" i="1"/>
  <c r="A4957" i="1"/>
  <c r="L4956" i="1"/>
  <c r="A4956" i="1"/>
  <c r="L4955" i="1"/>
  <c r="A4955" i="1"/>
  <c r="L4954" i="1"/>
  <c r="A4954" i="1"/>
  <c r="L4953" i="1"/>
  <c r="A4953" i="1"/>
  <c r="L4952" i="1"/>
  <c r="A4952" i="1"/>
  <c r="L4951" i="1"/>
  <c r="A4951" i="1"/>
  <c r="L4950" i="1"/>
  <c r="A4950" i="1"/>
  <c r="L4949" i="1"/>
  <c r="A4949" i="1"/>
  <c r="L4948" i="1"/>
  <c r="A4948" i="1"/>
  <c r="L4947" i="1"/>
  <c r="A4947" i="1"/>
  <c r="L4946" i="1"/>
  <c r="A4946" i="1"/>
  <c r="L4945" i="1"/>
  <c r="A4945" i="1"/>
  <c r="L4944" i="1"/>
  <c r="A4944" i="1"/>
  <c r="L4943" i="1"/>
  <c r="A4943" i="1"/>
  <c r="L4942" i="1"/>
  <c r="A4942" i="1"/>
  <c r="L4941" i="1"/>
  <c r="A4941" i="1"/>
  <c r="L4940" i="1"/>
  <c r="A4940" i="1"/>
  <c r="L4939" i="1"/>
  <c r="A4939" i="1"/>
  <c r="L4938" i="1"/>
  <c r="A4938" i="1"/>
  <c r="L4937" i="1"/>
  <c r="A4937" i="1"/>
  <c r="L4936" i="1"/>
  <c r="A4936" i="1"/>
  <c r="L4935" i="1"/>
  <c r="A4935" i="1"/>
  <c r="L4934" i="1"/>
  <c r="A4934" i="1"/>
  <c r="L4933" i="1"/>
  <c r="A4933" i="1"/>
  <c r="L4932" i="1"/>
  <c r="A4932" i="1"/>
  <c r="L4931" i="1"/>
  <c r="A4931" i="1"/>
  <c r="L4930" i="1"/>
  <c r="A4930" i="1"/>
  <c r="L4929" i="1"/>
  <c r="A4929" i="1"/>
  <c r="L4928" i="1"/>
  <c r="A4928" i="1"/>
  <c r="L4927" i="1"/>
  <c r="A4927" i="1"/>
  <c r="L4926" i="1"/>
  <c r="A4926" i="1"/>
  <c r="L4925" i="1"/>
  <c r="A4925" i="1"/>
  <c r="L4924" i="1"/>
  <c r="A4924" i="1"/>
  <c r="L4923" i="1"/>
  <c r="A4923" i="1"/>
  <c r="L4922" i="1"/>
  <c r="A4922" i="1"/>
  <c r="L4921" i="1"/>
  <c r="A4921" i="1"/>
  <c r="L4920" i="1"/>
  <c r="A4920" i="1"/>
  <c r="L4919" i="1"/>
  <c r="A4919" i="1"/>
  <c r="L4918" i="1"/>
  <c r="A4918" i="1"/>
  <c r="L4917" i="1"/>
  <c r="A4917" i="1"/>
  <c r="L4916" i="1"/>
  <c r="A4916" i="1"/>
  <c r="L4915" i="1"/>
  <c r="A4915" i="1"/>
  <c r="L4914" i="1"/>
  <c r="A4914" i="1"/>
  <c r="L4913" i="1"/>
  <c r="A4913" i="1"/>
  <c r="L4912" i="1"/>
  <c r="A4912" i="1"/>
  <c r="L4911" i="1"/>
  <c r="A4911" i="1"/>
  <c r="L4910" i="1"/>
  <c r="A4910" i="1"/>
  <c r="L4909" i="1"/>
  <c r="A4909" i="1"/>
  <c r="L4908" i="1"/>
  <c r="A4908" i="1"/>
  <c r="L4907" i="1"/>
  <c r="A4907" i="1"/>
  <c r="L4906" i="1"/>
  <c r="A4906" i="1"/>
  <c r="L4905" i="1"/>
  <c r="A4905" i="1"/>
  <c r="L4904" i="1"/>
  <c r="A4904" i="1"/>
  <c r="L4903" i="1"/>
  <c r="A4903" i="1"/>
  <c r="L4902" i="1"/>
  <c r="A4902" i="1"/>
  <c r="L4901" i="1"/>
  <c r="A4901" i="1"/>
  <c r="L4900" i="1"/>
  <c r="A4900" i="1"/>
  <c r="L4899" i="1"/>
  <c r="A4899" i="1"/>
  <c r="L4898" i="1"/>
  <c r="A4898" i="1"/>
  <c r="L4897" i="1"/>
  <c r="A4897" i="1"/>
  <c r="L4896" i="1"/>
  <c r="A4896" i="1"/>
  <c r="L4895" i="1"/>
  <c r="A4895" i="1"/>
  <c r="L4894" i="1"/>
  <c r="A4894" i="1"/>
  <c r="L4893" i="1"/>
  <c r="A4893" i="1"/>
  <c r="L4892" i="1"/>
  <c r="A4892" i="1"/>
  <c r="L4891" i="1"/>
  <c r="A4891" i="1"/>
  <c r="L4890" i="1"/>
  <c r="A4890" i="1"/>
  <c r="L4889" i="1"/>
  <c r="A4889" i="1"/>
  <c r="L4888" i="1"/>
  <c r="A4888" i="1"/>
  <c r="L4887" i="1"/>
  <c r="A4887" i="1"/>
  <c r="L4886" i="1"/>
  <c r="A4886" i="1"/>
  <c r="L4885" i="1"/>
  <c r="A4885" i="1"/>
  <c r="L4884" i="1"/>
  <c r="A4884" i="1"/>
  <c r="L4883" i="1"/>
  <c r="A4883" i="1"/>
  <c r="L4882" i="1"/>
  <c r="A4882" i="1"/>
  <c r="L4881" i="1"/>
  <c r="A4881" i="1"/>
  <c r="L4880" i="1"/>
  <c r="A4880" i="1"/>
  <c r="L4879" i="1"/>
  <c r="A4879" i="1"/>
  <c r="L4878" i="1"/>
  <c r="A4878" i="1"/>
  <c r="L4877" i="1"/>
  <c r="A4877" i="1"/>
  <c r="L4876" i="1"/>
  <c r="A4876" i="1"/>
  <c r="L4875" i="1"/>
  <c r="A4875" i="1"/>
  <c r="L4874" i="1"/>
  <c r="A4874" i="1"/>
  <c r="L4873" i="1"/>
  <c r="A4873" i="1"/>
  <c r="L4872" i="1"/>
  <c r="A4872" i="1"/>
  <c r="L4871" i="1"/>
  <c r="A4871" i="1"/>
  <c r="L4870" i="1"/>
  <c r="A4870" i="1"/>
  <c r="L4869" i="1"/>
  <c r="A4869" i="1"/>
  <c r="L4868" i="1"/>
  <c r="A4868" i="1"/>
  <c r="L4867" i="1"/>
  <c r="A4867" i="1"/>
  <c r="L4866" i="1"/>
  <c r="A4866" i="1"/>
  <c r="L4865" i="1"/>
  <c r="A4865" i="1"/>
  <c r="L4864" i="1"/>
  <c r="A4864" i="1"/>
  <c r="L4863" i="1"/>
  <c r="A4863" i="1"/>
  <c r="L4862" i="1"/>
  <c r="A4862" i="1"/>
  <c r="L4861" i="1"/>
  <c r="A4861" i="1"/>
  <c r="L4860" i="1"/>
  <c r="A4860" i="1"/>
  <c r="L4859" i="1"/>
  <c r="A4859" i="1"/>
  <c r="L4858" i="1"/>
  <c r="A4858" i="1"/>
  <c r="L4857" i="1"/>
  <c r="A4857" i="1"/>
  <c r="L4856" i="1"/>
  <c r="A4856" i="1"/>
  <c r="L4855" i="1"/>
  <c r="A4855" i="1"/>
  <c r="L4854" i="1"/>
  <c r="A4854" i="1"/>
  <c r="L4853" i="1"/>
  <c r="A4853" i="1"/>
  <c r="L4852" i="1"/>
  <c r="A4852" i="1"/>
  <c r="L4851" i="1"/>
  <c r="A4851" i="1"/>
  <c r="L4850" i="1"/>
  <c r="A4850" i="1"/>
  <c r="L4849" i="1"/>
  <c r="A4849" i="1"/>
  <c r="L4848" i="1"/>
  <c r="A4848" i="1"/>
  <c r="L4847" i="1"/>
  <c r="A4847" i="1"/>
  <c r="L4846" i="1"/>
  <c r="A4846" i="1"/>
  <c r="L4845" i="1"/>
  <c r="A4845" i="1"/>
  <c r="L4844" i="1"/>
  <c r="A4844" i="1"/>
  <c r="L4843" i="1"/>
  <c r="A4843" i="1"/>
  <c r="L4842" i="1"/>
  <c r="A4842" i="1"/>
  <c r="L4841" i="1"/>
  <c r="A4841" i="1"/>
  <c r="L4840" i="1"/>
  <c r="A4840" i="1"/>
  <c r="L4839" i="1"/>
  <c r="A4839" i="1"/>
  <c r="L4838" i="1"/>
  <c r="A4838" i="1"/>
  <c r="L4837" i="1"/>
  <c r="A4837" i="1"/>
  <c r="L4836" i="1"/>
  <c r="A4836" i="1"/>
  <c r="L4835" i="1"/>
  <c r="A4835" i="1"/>
  <c r="L4834" i="1"/>
  <c r="A4834" i="1"/>
  <c r="L4833" i="1"/>
  <c r="A4833" i="1"/>
  <c r="L4832" i="1"/>
  <c r="A4832" i="1"/>
  <c r="L4831" i="1"/>
  <c r="A4831" i="1"/>
  <c r="L4830" i="1"/>
  <c r="A4830" i="1"/>
  <c r="L4829" i="1"/>
  <c r="A4829" i="1"/>
  <c r="L4828" i="1"/>
  <c r="A4828" i="1"/>
  <c r="L4827" i="1"/>
  <c r="A4827" i="1"/>
  <c r="L4826" i="1"/>
  <c r="A4826" i="1"/>
  <c r="L4825" i="1"/>
  <c r="A4825" i="1"/>
  <c r="L4824" i="1"/>
  <c r="A4824" i="1"/>
  <c r="L4823" i="1"/>
  <c r="A4823" i="1"/>
  <c r="L4822" i="1"/>
  <c r="A4822" i="1"/>
  <c r="L4821" i="1"/>
  <c r="A4821" i="1"/>
  <c r="L4820" i="1"/>
  <c r="A4820" i="1"/>
  <c r="L4819" i="1"/>
  <c r="A4819" i="1"/>
  <c r="L4818" i="1"/>
  <c r="A4818" i="1"/>
  <c r="L4817" i="1"/>
  <c r="A4817" i="1"/>
  <c r="L4816" i="1"/>
  <c r="A4816" i="1"/>
  <c r="L4815" i="1"/>
  <c r="A4815" i="1"/>
  <c r="L4814" i="1"/>
  <c r="A4814" i="1"/>
  <c r="L4813" i="1"/>
  <c r="A4813" i="1"/>
  <c r="L4812" i="1"/>
  <c r="A4812" i="1"/>
  <c r="L4811" i="1"/>
  <c r="A4811" i="1"/>
  <c r="L4810" i="1"/>
  <c r="A4810" i="1"/>
  <c r="L4809" i="1"/>
  <c r="A4809" i="1"/>
  <c r="L4808" i="1"/>
  <c r="A4808" i="1"/>
  <c r="L4807" i="1"/>
  <c r="A4807" i="1"/>
  <c r="L4806" i="1"/>
  <c r="A4806" i="1"/>
  <c r="L4805" i="1"/>
  <c r="A4805" i="1"/>
  <c r="L4804" i="1"/>
  <c r="A4804" i="1"/>
  <c r="L4803" i="1"/>
  <c r="A4803" i="1"/>
  <c r="L4802" i="1"/>
  <c r="A4802" i="1"/>
  <c r="L4801" i="1"/>
  <c r="A4801" i="1"/>
  <c r="L4800" i="1"/>
  <c r="A4800" i="1"/>
  <c r="L4799" i="1"/>
  <c r="A4799" i="1"/>
  <c r="L4798" i="1"/>
  <c r="A4798" i="1"/>
  <c r="L4797" i="1"/>
  <c r="A4797" i="1"/>
  <c r="L4796" i="1"/>
  <c r="A4796" i="1"/>
  <c r="L4795" i="1"/>
  <c r="A4795" i="1"/>
  <c r="L4794" i="1"/>
  <c r="A4794" i="1"/>
  <c r="L4793" i="1"/>
  <c r="A4793" i="1"/>
  <c r="L4792" i="1"/>
  <c r="A4792" i="1"/>
  <c r="L4791" i="1"/>
  <c r="A4791" i="1"/>
  <c r="L4790" i="1"/>
  <c r="A4790" i="1"/>
  <c r="L4789" i="1"/>
  <c r="A4789" i="1"/>
  <c r="L4788" i="1"/>
  <c r="A4788" i="1"/>
  <c r="L4787" i="1"/>
  <c r="A4787" i="1"/>
  <c r="L4786" i="1"/>
  <c r="A4786" i="1"/>
  <c r="L4785" i="1"/>
  <c r="A4785" i="1"/>
  <c r="L4784" i="1"/>
  <c r="A4784" i="1"/>
  <c r="L4783" i="1"/>
  <c r="A4783" i="1"/>
  <c r="L4782" i="1"/>
  <c r="A4782" i="1"/>
  <c r="L4781" i="1"/>
  <c r="A4781" i="1"/>
  <c r="L4780" i="1"/>
  <c r="A4780" i="1"/>
  <c r="L4779" i="1"/>
  <c r="A4779" i="1"/>
  <c r="L4778" i="1"/>
  <c r="A4778" i="1"/>
  <c r="L4777" i="1"/>
  <c r="A4777" i="1"/>
  <c r="L4776" i="1"/>
  <c r="A4776" i="1"/>
  <c r="L4775" i="1"/>
  <c r="A4775" i="1"/>
  <c r="L4774" i="1"/>
  <c r="A4774" i="1"/>
  <c r="L4773" i="1"/>
  <c r="A4773" i="1"/>
  <c r="L4772" i="1"/>
  <c r="A4772" i="1"/>
  <c r="L4771" i="1"/>
  <c r="A4771" i="1"/>
  <c r="L4770" i="1"/>
  <c r="A4770" i="1"/>
  <c r="L4769" i="1"/>
  <c r="A4769" i="1"/>
  <c r="L4768" i="1"/>
  <c r="A4768" i="1"/>
  <c r="L4767" i="1"/>
  <c r="A4767" i="1"/>
  <c r="L4766" i="1"/>
  <c r="A4766" i="1"/>
  <c r="L4765" i="1"/>
  <c r="A4765" i="1"/>
  <c r="L4764" i="1"/>
  <c r="A4764" i="1"/>
  <c r="L4763" i="1"/>
  <c r="A4763" i="1"/>
  <c r="L4762" i="1"/>
  <c r="A4762" i="1"/>
  <c r="L4761" i="1"/>
  <c r="A4761" i="1"/>
  <c r="L4760" i="1"/>
  <c r="A4760" i="1"/>
  <c r="L4759" i="1"/>
  <c r="A4759" i="1"/>
  <c r="L4758" i="1"/>
  <c r="A4758" i="1"/>
  <c r="L4757" i="1"/>
  <c r="A4757" i="1"/>
  <c r="L4756" i="1"/>
  <c r="A4756" i="1"/>
  <c r="L4755" i="1"/>
  <c r="A4755" i="1"/>
  <c r="L4754" i="1"/>
  <c r="A4754" i="1"/>
  <c r="L4753" i="1"/>
  <c r="A4753" i="1"/>
  <c r="L4752" i="1"/>
  <c r="A4752" i="1"/>
  <c r="L4751" i="1"/>
  <c r="A4751" i="1"/>
  <c r="L4750" i="1"/>
  <c r="A4750" i="1"/>
  <c r="L4749" i="1"/>
  <c r="A4749" i="1"/>
  <c r="L4748" i="1"/>
  <c r="A4748" i="1"/>
  <c r="L4747" i="1"/>
  <c r="A4747" i="1"/>
  <c r="L4746" i="1"/>
  <c r="A4746" i="1"/>
  <c r="L4745" i="1"/>
  <c r="A4745" i="1"/>
  <c r="L4744" i="1"/>
  <c r="A4744" i="1"/>
  <c r="L4743" i="1"/>
  <c r="A4743" i="1"/>
  <c r="L4742" i="1"/>
  <c r="A4742" i="1"/>
  <c r="L4741" i="1"/>
  <c r="A4741" i="1"/>
  <c r="L4740" i="1"/>
  <c r="A4740" i="1"/>
  <c r="L4739" i="1"/>
  <c r="A4739" i="1"/>
  <c r="L4738" i="1"/>
  <c r="A4738" i="1"/>
  <c r="L4737" i="1"/>
  <c r="A4737" i="1"/>
  <c r="L4736" i="1"/>
  <c r="A4736" i="1"/>
  <c r="L4735" i="1"/>
  <c r="A4735" i="1"/>
  <c r="L4734" i="1"/>
  <c r="A4734" i="1"/>
  <c r="L4733" i="1"/>
  <c r="A4733" i="1"/>
  <c r="L4732" i="1"/>
  <c r="A4732" i="1"/>
  <c r="L4731" i="1"/>
  <c r="A4731" i="1"/>
  <c r="L4730" i="1"/>
  <c r="A4730" i="1"/>
  <c r="L4729" i="1"/>
  <c r="A4729" i="1"/>
  <c r="L4728" i="1"/>
  <c r="A4728" i="1"/>
  <c r="L4727" i="1"/>
  <c r="A4727" i="1"/>
  <c r="L4726" i="1"/>
  <c r="A4726" i="1"/>
  <c r="L4725" i="1"/>
  <c r="A4725" i="1"/>
  <c r="L4724" i="1"/>
  <c r="A4724" i="1"/>
  <c r="L4723" i="1"/>
  <c r="A4723" i="1"/>
  <c r="L4722" i="1"/>
  <c r="A4722" i="1"/>
  <c r="L4721" i="1"/>
  <c r="A4721" i="1"/>
  <c r="L4720" i="1"/>
  <c r="A4720" i="1"/>
  <c r="L4719" i="1"/>
  <c r="A4719" i="1"/>
  <c r="L4718" i="1"/>
  <c r="A4718" i="1"/>
  <c r="L4717" i="1"/>
  <c r="A4717" i="1"/>
  <c r="L4716" i="1"/>
  <c r="A4716" i="1"/>
  <c r="L4715" i="1"/>
  <c r="A4715" i="1"/>
  <c r="L4714" i="1"/>
  <c r="A4714" i="1"/>
  <c r="L4713" i="1"/>
  <c r="A4713" i="1"/>
  <c r="L4712" i="1"/>
  <c r="A4712" i="1"/>
  <c r="L4711" i="1"/>
  <c r="A4711" i="1"/>
  <c r="L4710" i="1"/>
  <c r="A4710" i="1"/>
  <c r="L4709" i="1"/>
  <c r="A4709" i="1"/>
  <c r="L4708" i="1"/>
  <c r="A4708" i="1"/>
  <c r="L4707" i="1"/>
  <c r="A4707" i="1"/>
  <c r="L4706" i="1"/>
  <c r="A4706" i="1"/>
  <c r="L4705" i="1"/>
  <c r="A4705" i="1"/>
  <c r="L4704" i="1"/>
  <c r="A4704" i="1"/>
  <c r="L4703" i="1"/>
  <c r="A4703" i="1"/>
  <c r="L4702" i="1"/>
  <c r="A4702" i="1"/>
  <c r="L4701" i="1"/>
  <c r="A4701" i="1"/>
  <c r="L4700" i="1"/>
  <c r="A4700" i="1"/>
  <c r="L4699" i="1"/>
  <c r="A4699" i="1"/>
  <c r="L4698" i="1"/>
  <c r="A4698" i="1"/>
  <c r="L4697" i="1"/>
  <c r="A4697" i="1"/>
  <c r="L4696" i="1"/>
  <c r="A4696" i="1"/>
  <c r="L4695" i="1"/>
  <c r="A4695" i="1"/>
  <c r="L4694" i="1"/>
  <c r="A4694" i="1"/>
  <c r="L4693" i="1"/>
  <c r="A4693" i="1"/>
  <c r="L4692" i="1"/>
  <c r="A4692" i="1"/>
  <c r="L4691" i="1"/>
  <c r="A4691" i="1"/>
  <c r="L4690" i="1"/>
  <c r="A4690" i="1"/>
  <c r="L4689" i="1"/>
  <c r="A4689" i="1"/>
  <c r="L4688" i="1"/>
  <c r="A4688" i="1"/>
  <c r="L4687" i="1"/>
  <c r="A4687" i="1"/>
  <c r="L4686" i="1"/>
  <c r="A4686" i="1"/>
  <c r="L4685" i="1"/>
  <c r="A4685" i="1"/>
  <c r="L4684" i="1"/>
  <c r="A4684" i="1"/>
  <c r="L4683" i="1"/>
  <c r="A4683" i="1"/>
  <c r="L4682" i="1"/>
  <c r="A4682" i="1"/>
  <c r="L4681" i="1"/>
  <c r="A4681" i="1"/>
  <c r="L4680" i="1"/>
  <c r="A4680" i="1"/>
  <c r="L4679" i="1"/>
  <c r="A4679" i="1"/>
  <c r="L4678" i="1"/>
  <c r="A4678" i="1"/>
  <c r="L4677" i="1"/>
  <c r="A4677" i="1"/>
  <c r="L4676" i="1"/>
  <c r="A4676" i="1"/>
  <c r="L4675" i="1"/>
  <c r="A4675" i="1"/>
  <c r="L4674" i="1"/>
  <c r="A4674" i="1"/>
  <c r="L4673" i="1"/>
  <c r="A4673" i="1"/>
  <c r="L4672" i="1"/>
  <c r="A4672" i="1"/>
  <c r="L4671" i="1"/>
  <c r="A4671" i="1"/>
  <c r="L4670" i="1"/>
  <c r="A4670" i="1"/>
  <c r="L4669" i="1"/>
  <c r="A4669" i="1"/>
  <c r="L4668" i="1"/>
  <c r="A4668" i="1"/>
  <c r="L4667" i="1"/>
  <c r="A4667" i="1"/>
  <c r="L4666" i="1"/>
  <c r="A4666" i="1"/>
  <c r="L4665" i="1"/>
  <c r="A4665" i="1"/>
  <c r="L4664" i="1"/>
  <c r="A4664" i="1"/>
  <c r="L4663" i="1"/>
  <c r="A4663" i="1"/>
  <c r="L4662" i="1"/>
  <c r="A4662" i="1"/>
  <c r="L4661" i="1"/>
  <c r="A4661" i="1"/>
  <c r="L4660" i="1"/>
  <c r="A4660" i="1"/>
  <c r="L4659" i="1"/>
  <c r="A4659" i="1"/>
  <c r="L4658" i="1"/>
  <c r="A4658" i="1"/>
  <c r="L4657" i="1"/>
  <c r="A4657" i="1"/>
  <c r="L4656" i="1"/>
  <c r="A4656" i="1"/>
  <c r="L4655" i="1"/>
  <c r="A4655" i="1"/>
  <c r="L4654" i="1"/>
  <c r="A4654" i="1"/>
  <c r="L4653" i="1"/>
  <c r="A4653" i="1"/>
  <c r="L4652" i="1"/>
  <c r="A4652" i="1"/>
  <c r="L4651" i="1"/>
  <c r="A4651" i="1"/>
  <c r="L4650" i="1"/>
  <c r="A4650" i="1"/>
  <c r="L4649" i="1"/>
  <c r="A4649" i="1"/>
  <c r="L4648" i="1"/>
  <c r="A4648" i="1"/>
  <c r="L4647" i="1"/>
  <c r="A4647" i="1"/>
  <c r="L4646" i="1"/>
  <c r="A4646" i="1"/>
  <c r="L4645" i="1"/>
  <c r="A4645" i="1"/>
  <c r="L4644" i="1"/>
  <c r="A4644" i="1"/>
  <c r="L4643" i="1"/>
  <c r="A4643" i="1"/>
  <c r="L4642" i="1"/>
  <c r="A4642" i="1"/>
  <c r="L4641" i="1"/>
  <c r="A4641" i="1"/>
  <c r="L4640" i="1"/>
  <c r="A4640" i="1"/>
  <c r="L4639" i="1"/>
  <c r="A4639" i="1"/>
  <c r="L4638" i="1"/>
  <c r="A4638" i="1"/>
  <c r="L4637" i="1"/>
  <c r="A4637" i="1"/>
  <c r="L4636" i="1"/>
  <c r="A4636" i="1"/>
  <c r="L4635" i="1"/>
  <c r="A4635" i="1"/>
  <c r="L4634" i="1"/>
  <c r="A4634" i="1"/>
  <c r="L4633" i="1"/>
  <c r="A4633" i="1"/>
  <c r="L4632" i="1"/>
  <c r="A4632" i="1"/>
  <c r="L4631" i="1"/>
  <c r="A4631" i="1"/>
  <c r="L4630" i="1"/>
  <c r="A4630" i="1"/>
  <c r="L4629" i="1"/>
  <c r="A4629" i="1"/>
  <c r="L4628" i="1"/>
  <c r="A4628" i="1"/>
  <c r="L4627" i="1"/>
  <c r="A4627" i="1"/>
  <c r="L4626" i="1"/>
  <c r="A4626" i="1"/>
  <c r="L4625" i="1"/>
  <c r="A4625" i="1"/>
  <c r="L4624" i="1"/>
  <c r="A4624" i="1"/>
  <c r="L4623" i="1"/>
  <c r="A4623" i="1"/>
  <c r="L4622" i="1"/>
  <c r="A4622" i="1"/>
  <c r="L4621" i="1"/>
  <c r="A4621" i="1"/>
  <c r="L4620" i="1"/>
  <c r="A4620" i="1"/>
  <c r="L4619" i="1"/>
  <c r="A4619" i="1"/>
  <c r="L4618" i="1"/>
  <c r="A4618" i="1"/>
  <c r="L4617" i="1"/>
  <c r="A4617" i="1"/>
  <c r="L4616" i="1"/>
  <c r="A4616" i="1"/>
  <c r="L4615" i="1"/>
  <c r="A4615" i="1"/>
  <c r="L4614" i="1"/>
  <c r="A4614" i="1"/>
  <c r="L4613" i="1"/>
  <c r="A4613" i="1"/>
  <c r="L4612" i="1"/>
  <c r="A4612" i="1"/>
  <c r="L4611" i="1"/>
  <c r="A4611" i="1"/>
  <c r="L4610" i="1"/>
  <c r="A4610" i="1"/>
  <c r="L4609" i="1"/>
  <c r="A4609" i="1"/>
  <c r="L4608" i="1"/>
  <c r="A4608" i="1"/>
  <c r="L4607" i="1"/>
  <c r="A4607" i="1"/>
  <c r="L4606" i="1"/>
  <c r="A4606" i="1"/>
  <c r="L4605" i="1"/>
  <c r="A4605" i="1"/>
  <c r="L4604" i="1"/>
  <c r="A4604" i="1"/>
  <c r="L4603" i="1"/>
  <c r="A4603" i="1"/>
  <c r="L4602" i="1"/>
  <c r="A4602" i="1"/>
  <c r="L4601" i="1"/>
  <c r="A4601" i="1"/>
  <c r="L4600" i="1"/>
  <c r="A4600" i="1"/>
  <c r="L4599" i="1"/>
  <c r="A4599" i="1"/>
  <c r="L4598" i="1"/>
  <c r="A4598" i="1"/>
  <c r="L4597" i="1"/>
  <c r="A4597" i="1"/>
  <c r="L4596" i="1"/>
  <c r="A4596" i="1"/>
  <c r="L4595" i="1"/>
  <c r="A4595" i="1"/>
  <c r="L4594" i="1"/>
  <c r="A4594" i="1"/>
  <c r="L4593" i="1"/>
  <c r="A4593" i="1"/>
  <c r="L4592" i="1"/>
  <c r="A4592" i="1"/>
  <c r="L4591" i="1"/>
  <c r="A4591" i="1"/>
  <c r="L4590" i="1"/>
  <c r="A4590" i="1"/>
  <c r="L4589" i="1"/>
  <c r="A4589" i="1"/>
  <c r="L4588" i="1"/>
  <c r="A4588" i="1"/>
  <c r="L4587" i="1"/>
  <c r="A4587" i="1"/>
  <c r="L4586" i="1"/>
  <c r="A4586" i="1"/>
  <c r="L4585" i="1"/>
  <c r="A4585" i="1"/>
  <c r="L4584" i="1"/>
  <c r="A4584" i="1"/>
  <c r="L4583" i="1"/>
  <c r="A4583" i="1"/>
  <c r="L4582" i="1"/>
  <c r="A4582" i="1"/>
  <c r="L4581" i="1"/>
  <c r="A4581" i="1"/>
  <c r="L4580" i="1"/>
  <c r="A4580" i="1"/>
  <c r="L4579" i="1"/>
  <c r="A4579" i="1"/>
  <c r="L4578" i="1"/>
  <c r="A4578" i="1"/>
  <c r="L4577" i="1"/>
  <c r="A4577" i="1"/>
  <c r="L4576" i="1"/>
  <c r="A4576" i="1"/>
  <c r="L4575" i="1"/>
  <c r="A4575" i="1"/>
  <c r="L4574" i="1"/>
  <c r="A4574" i="1"/>
  <c r="L4573" i="1"/>
  <c r="A4573" i="1"/>
  <c r="L4572" i="1"/>
  <c r="A4572" i="1"/>
  <c r="L4571" i="1"/>
  <c r="A4571" i="1"/>
  <c r="L4570" i="1"/>
  <c r="A4570" i="1"/>
  <c r="L4569" i="1"/>
  <c r="A4569" i="1"/>
  <c r="L4568" i="1"/>
  <c r="A4568" i="1"/>
  <c r="L4567" i="1"/>
  <c r="A4567" i="1"/>
  <c r="L4566" i="1"/>
  <c r="A4566" i="1"/>
  <c r="L4565" i="1"/>
  <c r="A4565" i="1"/>
  <c r="L4564" i="1"/>
  <c r="A4564" i="1"/>
  <c r="L4563" i="1"/>
  <c r="A4563" i="1"/>
  <c r="L4562" i="1"/>
  <c r="A4562" i="1"/>
  <c r="L4561" i="1"/>
  <c r="A4561" i="1"/>
  <c r="L4560" i="1"/>
  <c r="A4560" i="1"/>
  <c r="L4559" i="1"/>
  <c r="A4559" i="1"/>
  <c r="L4558" i="1"/>
  <c r="A4558" i="1"/>
  <c r="L4557" i="1"/>
  <c r="A4557" i="1"/>
  <c r="L4556" i="1"/>
  <c r="A4556" i="1"/>
  <c r="L4555" i="1"/>
  <c r="A4555" i="1"/>
  <c r="L4554" i="1"/>
  <c r="A4554" i="1"/>
  <c r="L4553" i="1"/>
  <c r="A4553" i="1"/>
  <c r="L4552" i="1"/>
  <c r="A4552" i="1"/>
  <c r="L4551" i="1"/>
  <c r="A4551" i="1"/>
  <c r="L4550" i="1"/>
  <c r="A4550" i="1"/>
  <c r="L4549" i="1"/>
  <c r="A4549" i="1"/>
  <c r="L4548" i="1"/>
  <c r="A4548" i="1"/>
  <c r="L4547" i="1"/>
  <c r="A4547" i="1"/>
  <c r="L4546" i="1"/>
  <c r="A4546" i="1"/>
  <c r="L4545" i="1"/>
  <c r="A4545" i="1"/>
  <c r="L4544" i="1"/>
  <c r="A4544" i="1"/>
  <c r="L4543" i="1"/>
  <c r="A4543" i="1"/>
  <c r="L4542" i="1"/>
  <c r="A4542" i="1"/>
  <c r="L4541" i="1"/>
  <c r="A4541" i="1"/>
  <c r="L4540" i="1"/>
  <c r="A4540" i="1"/>
  <c r="L4539" i="1"/>
  <c r="A4539" i="1"/>
  <c r="L4538" i="1"/>
  <c r="A4538" i="1"/>
  <c r="L4537" i="1"/>
  <c r="A4537" i="1"/>
  <c r="L4536" i="1"/>
  <c r="A4536" i="1"/>
  <c r="L4535" i="1"/>
  <c r="A4535" i="1"/>
  <c r="L4534" i="1"/>
  <c r="A4534" i="1"/>
  <c r="L4533" i="1"/>
  <c r="A4533" i="1"/>
  <c r="L4532" i="1"/>
  <c r="A4532" i="1"/>
  <c r="L4531" i="1"/>
  <c r="A4531" i="1"/>
  <c r="L4530" i="1"/>
  <c r="A4530" i="1"/>
  <c r="L4529" i="1"/>
  <c r="A4529" i="1"/>
  <c r="L4528" i="1"/>
  <c r="A4528" i="1"/>
  <c r="L4527" i="1"/>
  <c r="A4527" i="1"/>
  <c r="L4526" i="1"/>
  <c r="A4526" i="1"/>
  <c r="L4525" i="1"/>
  <c r="A4525" i="1"/>
  <c r="L4524" i="1"/>
  <c r="A4524" i="1"/>
  <c r="L4523" i="1"/>
  <c r="A4523" i="1"/>
  <c r="L4522" i="1"/>
  <c r="A4522" i="1"/>
  <c r="L4521" i="1"/>
  <c r="A4521" i="1"/>
  <c r="L4520" i="1"/>
  <c r="A4520" i="1"/>
  <c r="L4519" i="1"/>
  <c r="A4519" i="1"/>
  <c r="L4518" i="1"/>
  <c r="A4518" i="1"/>
  <c r="L4517" i="1"/>
  <c r="A4517" i="1"/>
  <c r="L4516" i="1"/>
  <c r="A4516" i="1"/>
  <c r="L4515" i="1"/>
  <c r="A4515" i="1"/>
  <c r="L4514" i="1"/>
  <c r="A4514" i="1"/>
  <c r="L4513" i="1"/>
  <c r="A4513" i="1"/>
  <c r="L4512" i="1"/>
  <c r="A4512" i="1"/>
  <c r="L4511" i="1"/>
  <c r="A4511" i="1"/>
  <c r="L4510" i="1"/>
  <c r="A4510" i="1"/>
  <c r="L4509" i="1"/>
  <c r="A4509" i="1"/>
  <c r="L4508" i="1"/>
  <c r="A4508" i="1"/>
  <c r="L4507" i="1"/>
  <c r="A4507" i="1"/>
  <c r="L4506" i="1"/>
  <c r="A4506" i="1"/>
  <c r="L4505" i="1"/>
  <c r="A4505" i="1"/>
  <c r="L4504" i="1"/>
  <c r="A4504" i="1"/>
  <c r="L4503" i="1"/>
  <c r="A4503" i="1"/>
  <c r="L4502" i="1"/>
  <c r="A4502" i="1"/>
  <c r="L4501" i="1"/>
  <c r="A4501" i="1"/>
  <c r="L4500" i="1"/>
  <c r="A4500" i="1"/>
  <c r="L4499" i="1"/>
  <c r="A4499" i="1"/>
  <c r="L4498" i="1"/>
  <c r="A4498" i="1"/>
  <c r="L4497" i="1"/>
  <c r="A4497" i="1"/>
  <c r="L4496" i="1"/>
  <c r="A4496" i="1"/>
  <c r="L4495" i="1"/>
  <c r="A4495" i="1"/>
  <c r="L4494" i="1"/>
  <c r="A4494" i="1"/>
  <c r="L4493" i="1"/>
  <c r="A4493" i="1"/>
  <c r="L4492" i="1"/>
  <c r="A4492" i="1"/>
  <c r="L4491" i="1"/>
  <c r="A4491" i="1"/>
  <c r="L4490" i="1"/>
  <c r="A4490" i="1"/>
  <c r="L4489" i="1"/>
  <c r="A4489" i="1"/>
  <c r="L4488" i="1"/>
  <c r="A4488" i="1"/>
  <c r="L4487" i="1"/>
  <c r="A4487" i="1"/>
  <c r="L4486" i="1"/>
  <c r="A4486" i="1"/>
  <c r="L4485" i="1"/>
  <c r="A4485" i="1"/>
  <c r="L4484" i="1"/>
  <c r="A4484" i="1"/>
  <c r="L4483" i="1"/>
  <c r="A4483" i="1"/>
  <c r="L4482" i="1"/>
  <c r="A4482" i="1"/>
  <c r="L4481" i="1"/>
  <c r="A4481" i="1"/>
  <c r="L4480" i="1"/>
  <c r="A4480" i="1"/>
  <c r="L4479" i="1"/>
  <c r="A4479" i="1"/>
  <c r="L4478" i="1"/>
  <c r="A4478" i="1"/>
  <c r="L4477" i="1"/>
  <c r="A4477" i="1"/>
  <c r="L4476" i="1"/>
  <c r="A4476" i="1"/>
  <c r="L4475" i="1"/>
  <c r="A4475" i="1"/>
  <c r="L4474" i="1"/>
  <c r="A4474" i="1"/>
  <c r="L4473" i="1"/>
  <c r="A4473" i="1"/>
  <c r="L4472" i="1"/>
  <c r="A4472" i="1"/>
  <c r="L4471" i="1"/>
  <c r="A4471" i="1"/>
  <c r="L4470" i="1"/>
  <c r="A4470" i="1"/>
  <c r="L4469" i="1"/>
  <c r="A4469" i="1"/>
  <c r="L4468" i="1"/>
  <c r="A4468" i="1"/>
  <c r="L4467" i="1"/>
  <c r="A4467" i="1"/>
  <c r="L4466" i="1"/>
  <c r="A4466" i="1"/>
  <c r="L4465" i="1"/>
  <c r="A4465" i="1"/>
  <c r="L4464" i="1"/>
  <c r="A4464" i="1"/>
  <c r="L4463" i="1"/>
  <c r="A4463" i="1"/>
  <c r="L4462" i="1"/>
  <c r="A4462" i="1"/>
  <c r="L4461" i="1"/>
  <c r="A4461" i="1"/>
  <c r="L4460" i="1"/>
  <c r="A4460" i="1"/>
  <c r="L4459" i="1"/>
  <c r="A4459" i="1"/>
  <c r="L4458" i="1"/>
  <c r="A4458" i="1"/>
  <c r="L4457" i="1"/>
  <c r="A4457" i="1"/>
  <c r="L4456" i="1"/>
  <c r="A4456" i="1"/>
  <c r="L4455" i="1"/>
  <c r="A4455" i="1"/>
  <c r="L4454" i="1"/>
  <c r="A4454" i="1"/>
  <c r="L4453" i="1"/>
  <c r="A4453" i="1"/>
  <c r="L4452" i="1"/>
  <c r="A4452" i="1"/>
  <c r="L4451" i="1"/>
  <c r="A4451" i="1"/>
  <c r="L4450" i="1"/>
  <c r="A4450" i="1"/>
  <c r="L4449" i="1"/>
  <c r="A4449" i="1"/>
  <c r="L4448" i="1"/>
  <c r="A4448" i="1"/>
  <c r="L4447" i="1"/>
  <c r="A4447" i="1"/>
  <c r="L4446" i="1"/>
  <c r="A4446" i="1"/>
  <c r="L4445" i="1"/>
  <c r="A4445" i="1"/>
  <c r="L4444" i="1"/>
  <c r="A4444" i="1"/>
  <c r="L4443" i="1"/>
  <c r="A4443" i="1"/>
  <c r="L4442" i="1"/>
  <c r="A4442" i="1"/>
  <c r="L4441" i="1"/>
  <c r="A4441" i="1"/>
  <c r="L4440" i="1"/>
  <c r="A4440" i="1"/>
  <c r="L4439" i="1"/>
  <c r="A4439" i="1"/>
  <c r="L4438" i="1"/>
  <c r="A4438" i="1"/>
  <c r="L4437" i="1"/>
  <c r="A4437" i="1"/>
  <c r="L4436" i="1"/>
  <c r="A4436" i="1"/>
  <c r="L4435" i="1"/>
  <c r="A4435" i="1"/>
  <c r="L4434" i="1"/>
  <c r="A4434" i="1"/>
  <c r="L4433" i="1"/>
  <c r="A4433" i="1"/>
  <c r="L4432" i="1"/>
  <c r="A4432" i="1"/>
  <c r="L4431" i="1"/>
  <c r="A4431" i="1"/>
  <c r="L4430" i="1"/>
  <c r="A4430" i="1"/>
  <c r="L4429" i="1"/>
  <c r="A4429" i="1"/>
  <c r="L4428" i="1"/>
  <c r="A4428" i="1"/>
  <c r="L4427" i="1"/>
  <c r="A4427" i="1"/>
  <c r="L4426" i="1"/>
  <c r="A4426" i="1"/>
  <c r="L4425" i="1"/>
  <c r="A4425" i="1"/>
  <c r="L4424" i="1"/>
  <c r="A4424" i="1"/>
  <c r="L4423" i="1"/>
  <c r="A4423" i="1"/>
  <c r="L4422" i="1"/>
  <c r="A4422" i="1"/>
  <c r="L4421" i="1"/>
  <c r="A4421" i="1"/>
  <c r="L4420" i="1"/>
  <c r="A4420" i="1"/>
  <c r="L4419" i="1"/>
  <c r="A4419" i="1"/>
  <c r="L4418" i="1"/>
  <c r="A4418" i="1"/>
  <c r="L4417" i="1"/>
  <c r="A4417" i="1"/>
  <c r="L4416" i="1"/>
  <c r="A4416" i="1"/>
  <c r="L4415" i="1"/>
  <c r="A4415" i="1"/>
  <c r="L4414" i="1"/>
  <c r="A4414" i="1"/>
  <c r="L4413" i="1"/>
  <c r="A4413" i="1"/>
  <c r="L4412" i="1"/>
  <c r="A4412" i="1"/>
  <c r="L4411" i="1"/>
  <c r="A4411" i="1"/>
  <c r="L4410" i="1"/>
  <c r="A4410" i="1"/>
  <c r="L4409" i="1"/>
  <c r="A4409" i="1"/>
  <c r="L4408" i="1"/>
  <c r="A4408" i="1"/>
  <c r="L4407" i="1"/>
  <c r="A4407" i="1"/>
  <c r="L4406" i="1"/>
  <c r="A4406" i="1"/>
  <c r="L4405" i="1"/>
  <c r="A4405" i="1"/>
  <c r="L4404" i="1"/>
  <c r="A4404" i="1"/>
  <c r="L4403" i="1"/>
  <c r="A4403" i="1"/>
  <c r="L4402" i="1"/>
  <c r="A4402" i="1"/>
  <c r="L4401" i="1"/>
  <c r="A4401" i="1"/>
  <c r="L4400" i="1"/>
  <c r="A4400" i="1"/>
  <c r="L4399" i="1"/>
  <c r="A4399" i="1"/>
  <c r="L4398" i="1"/>
  <c r="A4398" i="1"/>
  <c r="L4397" i="1"/>
  <c r="A4397" i="1"/>
  <c r="L4396" i="1"/>
  <c r="A4396" i="1"/>
  <c r="L4395" i="1"/>
  <c r="A4395" i="1"/>
  <c r="L4394" i="1"/>
  <c r="A4394" i="1"/>
  <c r="L4393" i="1"/>
  <c r="A4393" i="1"/>
  <c r="L4392" i="1"/>
  <c r="A4392" i="1"/>
  <c r="L4391" i="1"/>
  <c r="A4391" i="1"/>
  <c r="L4390" i="1"/>
  <c r="A4390" i="1"/>
  <c r="L4389" i="1"/>
  <c r="A4389" i="1"/>
  <c r="L4388" i="1"/>
  <c r="A4388" i="1"/>
  <c r="L4387" i="1"/>
  <c r="A4387" i="1"/>
  <c r="L4386" i="1"/>
  <c r="A4386" i="1"/>
  <c r="L4385" i="1"/>
  <c r="A4385" i="1"/>
  <c r="L4384" i="1"/>
  <c r="A4384" i="1"/>
  <c r="L4383" i="1"/>
  <c r="A4383" i="1"/>
  <c r="L4382" i="1"/>
  <c r="A4382" i="1"/>
  <c r="L4381" i="1"/>
  <c r="A4381" i="1"/>
  <c r="L4380" i="1"/>
  <c r="A4380" i="1"/>
  <c r="L4379" i="1"/>
  <c r="A4379" i="1"/>
  <c r="L4378" i="1"/>
  <c r="A4378" i="1"/>
  <c r="L4377" i="1"/>
  <c r="A4377" i="1"/>
  <c r="L4376" i="1"/>
  <c r="A4376" i="1"/>
  <c r="L4375" i="1"/>
  <c r="A4375" i="1"/>
  <c r="L4374" i="1"/>
  <c r="A4374" i="1"/>
  <c r="L4373" i="1"/>
  <c r="A4373" i="1"/>
  <c r="L4372" i="1"/>
  <c r="A4372" i="1"/>
  <c r="L4371" i="1"/>
  <c r="A4371" i="1"/>
  <c r="L4370" i="1"/>
  <c r="A4370" i="1"/>
  <c r="L4369" i="1"/>
  <c r="A4369" i="1"/>
  <c r="L4368" i="1"/>
  <c r="A4368" i="1"/>
  <c r="L4367" i="1"/>
  <c r="A4367" i="1"/>
  <c r="L4366" i="1"/>
  <c r="A4366" i="1"/>
  <c r="L4365" i="1"/>
  <c r="A4365" i="1"/>
  <c r="L4364" i="1"/>
  <c r="A4364" i="1"/>
  <c r="L4363" i="1"/>
  <c r="A4363" i="1"/>
  <c r="L4362" i="1"/>
  <c r="A4362" i="1"/>
  <c r="L4361" i="1"/>
  <c r="A4361" i="1"/>
  <c r="L4360" i="1"/>
  <c r="A4360" i="1"/>
  <c r="L4359" i="1"/>
  <c r="A4359" i="1"/>
  <c r="L4358" i="1"/>
  <c r="A4358" i="1"/>
  <c r="L4357" i="1"/>
  <c r="A4357" i="1"/>
  <c r="L4356" i="1"/>
  <c r="A4356" i="1"/>
  <c r="L4355" i="1"/>
  <c r="A4355" i="1"/>
  <c r="L4354" i="1"/>
  <c r="A4354" i="1"/>
  <c r="L4353" i="1"/>
  <c r="A4353" i="1"/>
  <c r="L4352" i="1"/>
  <c r="A4352" i="1"/>
  <c r="L4351" i="1"/>
  <c r="A4351" i="1"/>
  <c r="L4350" i="1"/>
  <c r="A4350" i="1"/>
  <c r="L4349" i="1"/>
  <c r="A4349" i="1"/>
  <c r="L4348" i="1"/>
  <c r="A4348" i="1"/>
  <c r="L4347" i="1"/>
  <c r="A4347" i="1"/>
  <c r="L4346" i="1"/>
  <c r="A4346" i="1"/>
  <c r="L4345" i="1"/>
  <c r="A4345" i="1"/>
  <c r="L4344" i="1"/>
  <c r="A4344" i="1"/>
  <c r="L4343" i="1"/>
  <c r="A4343" i="1"/>
  <c r="L4342" i="1"/>
  <c r="A4342" i="1"/>
  <c r="L4341" i="1"/>
  <c r="A4341" i="1"/>
  <c r="L4340" i="1"/>
  <c r="A4340" i="1"/>
  <c r="L4339" i="1"/>
  <c r="A4339" i="1"/>
  <c r="L4338" i="1"/>
  <c r="A4338" i="1"/>
  <c r="L4337" i="1"/>
  <c r="A4337" i="1"/>
  <c r="L4336" i="1"/>
  <c r="A4336" i="1"/>
  <c r="L4335" i="1"/>
  <c r="A4335" i="1"/>
  <c r="L4334" i="1"/>
  <c r="A4334" i="1"/>
  <c r="L4333" i="1"/>
  <c r="A4333" i="1"/>
  <c r="L4332" i="1"/>
  <c r="A4332" i="1"/>
  <c r="L4331" i="1"/>
  <c r="A4331" i="1"/>
  <c r="L4330" i="1"/>
  <c r="A4330" i="1"/>
  <c r="L4329" i="1"/>
  <c r="A4329" i="1"/>
  <c r="L4328" i="1"/>
  <c r="A4328" i="1"/>
  <c r="L4327" i="1"/>
  <c r="A4327" i="1"/>
  <c r="L4326" i="1"/>
  <c r="A4326" i="1"/>
  <c r="L4325" i="1"/>
  <c r="A4325" i="1"/>
  <c r="L4324" i="1"/>
  <c r="A4324" i="1"/>
  <c r="L4323" i="1"/>
  <c r="A4323" i="1"/>
  <c r="L4322" i="1"/>
  <c r="A4322" i="1"/>
  <c r="L4321" i="1"/>
  <c r="A4321" i="1"/>
  <c r="L4320" i="1"/>
  <c r="A4320" i="1"/>
  <c r="L4319" i="1"/>
  <c r="A4319" i="1"/>
  <c r="L4318" i="1"/>
  <c r="A4318" i="1"/>
  <c r="L4317" i="1"/>
  <c r="A4317" i="1"/>
  <c r="L4316" i="1"/>
  <c r="A4316" i="1"/>
  <c r="L4315" i="1"/>
  <c r="A4315" i="1"/>
  <c r="L4314" i="1"/>
  <c r="A4314" i="1"/>
  <c r="L4313" i="1"/>
  <c r="A4313" i="1"/>
  <c r="L4312" i="1"/>
  <c r="A4312" i="1"/>
  <c r="L4311" i="1"/>
  <c r="A4311" i="1"/>
  <c r="L4310" i="1"/>
  <c r="A4310" i="1"/>
  <c r="L4309" i="1"/>
  <c r="A4309" i="1"/>
  <c r="L4308" i="1"/>
  <c r="A4308" i="1"/>
  <c r="L4307" i="1"/>
  <c r="A4307" i="1"/>
  <c r="L4306" i="1"/>
  <c r="A4306" i="1"/>
  <c r="L4305" i="1"/>
  <c r="A4305" i="1"/>
  <c r="L4304" i="1"/>
  <c r="A4304" i="1"/>
  <c r="L4303" i="1"/>
  <c r="A4303" i="1"/>
  <c r="L4302" i="1"/>
  <c r="A4302" i="1"/>
  <c r="L4301" i="1"/>
  <c r="A4301" i="1"/>
  <c r="L4300" i="1"/>
  <c r="A4300" i="1"/>
  <c r="L4299" i="1"/>
  <c r="A4299" i="1"/>
  <c r="L4298" i="1"/>
  <c r="A4298" i="1"/>
  <c r="L4297" i="1"/>
  <c r="A4297" i="1"/>
  <c r="L4296" i="1"/>
  <c r="A4296" i="1"/>
  <c r="L4295" i="1"/>
  <c r="A4295" i="1"/>
  <c r="L4294" i="1"/>
  <c r="A4294" i="1"/>
  <c r="L4293" i="1"/>
  <c r="A4293" i="1"/>
  <c r="L4292" i="1"/>
  <c r="A4292" i="1"/>
  <c r="L4291" i="1"/>
  <c r="A4291" i="1"/>
  <c r="L4290" i="1"/>
  <c r="A4290" i="1"/>
  <c r="L4289" i="1"/>
  <c r="A4289" i="1"/>
  <c r="L4288" i="1"/>
  <c r="A4288" i="1"/>
  <c r="L4287" i="1"/>
  <c r="A4287" i="1"/>
  <c r="L4286" i="1"/>
  <c r="A4286" i="1"/>
  <c r="L4285" i="1"/>
  <c r="A4285" i="1"/>
  <c r="L4284" i="1"/>
  <c r="A4284" i="1"/>
  <c r="L4283" i="1"/>
  <c r="A4283" i="1"/>
  <c r="L4282" i="1"/>
  <c r="A4282" i="1"/>
  <c r="L4281" i="1"/>
  <c r="A4281" i="1"/>
  <c r="L4280" i="1"/>
  <c r="A4280" i="1"/>
  <c r="L4279" i="1"/>
  <c r="A4279" i="1"/>
  <c r="L4278" i="1"/>
  <c r="A4278" i="1"/>
  <c r="L4277" i="1"/>
  <c r="A4277" i="1"/>
  <c r="L4276" i="1"/>
  <c r="A4276" i="1"/>
  <c r="L4275" i="1"/>
  <c r="A4275" i="1"/>
  <c r="L4274" i="1"/>
  <c r="A4274" i="1"/>
  <c r="L4273" i="1"/>
  <c r="A4273" i="1"/>
  <c r="L4272" i="1"/>
  <c r="A4272" i="1"/>
  <c r="L4271" i="1"/>
  <c r="A4271" i="1"/>
  <c r="L4270" i="1"/>
  <c r="A4270" i="1"/>
  <c r="L4269" i="1"/>
  <c r="A4269" i="1"/>
  <c r="L4268" i="1"/>
  <c r="A4268" i="1"/>
  <c r="L4267" i="1"/>
  <c r="A4267" i="1"/>
  <c r="L4266" i="1"/>
  <c r="A4266" i="1"/>
  <c r="L4265" i="1"/>
  <c r="A4265" i="1"/>
  <c r="L4264" i="1"/>
  <c r="A4264" i="1"/>
  <c r="L4263" i="1"/>
  <c r="A4263" i="1"/>
  <c r="L4262" i="1"/>
  <c r="A4262" i="1"/>
  <c r="L4261" i="1"/>
  <c r="A4261" i="1"/>
  <c r="L4260" i="1"/>
  <c r="A4260" i="1"/>
  <c r="L4259" i="1"/>
  <c r="A4259" i="1"/>
  <c r="L4258" i="1"/>
  <c r="A4258" i="1"/>
  <c r="L4257" i="1"/>
  <c r="A4257" i="1"/>
  <c r="L4256" i="1"/>
  <c r="A4256" i="1"/>
  <c r="L4255" i="1"/>
  <c r="A4255" i="1"/>
  <c r="L4254" i="1"/>
  <c r="A4254" i="1"/>
  <c r="L4253" i="1"/>
  <c r="A4253" i="1"/>
  <c r="L4252" i="1"/>
  <c r="A4252" i="1"/>
  <c r="L4251" i="1"/>
  <c r="A4251" i="1"/>
  <c r="L4250" i="1"/>
  <c r="A4250" i="1"/>
  <c r="L4249" i="1"/>
  <c r="A4249" i="1"/>
  <c r="L4248" i="1"/>
  <c r="A4248" i="1"/>
  <c r="L4247" i="1"/>
  <c r="A4247" i="1"/>
  <c r="L4246" i="1"/>
  <c r="A4246" i="1"/>
  <c r="L4245" i="1"/>
  <c r="A4245" i="1"/>
  <c r="L4244" i="1"/>
  <c r="A4244" i="1"/>
  <c r="L4243" i="1"/>
  <c r="A4243" i="1"/>
  <c r="L4242" i="1"/>
  <c r="A4242" i="1"/>
  <c r="L4241" i="1"/>
  <c r="A4241" i="1"/>
  <c r="L4240" i="1"/>
  <c r="A4240" i="1"/>
  <c r="L4239" i="1"/>
  <c r="A4239" i="1"/>
  <c r="L4238" i="1"/>
  <c r="A4238" i="1"/>
  <c r="L4237" i="1"/>
  <c r="A4237" i="1"/>
  <c r="L4236" i="1"/>
  <c r="A4236" i="1"/>
  <c r="L4235" i="1"/>
  <c r="A4235" i="1"/>
  <c r="L4234" i="1"/>
  <c r="A4234" i="1"/>
  <c r="L4233" i="1"/>
  <c r="A4233" i="1"/>
  <c r="L4232" i="1"/>
  <c r="A4232" i="1"/>
  <c r="L4231" i="1"/>
  <c r="A4231" i="1"/>
  <c r="L4230" i="1"/>
  <c r="A4230" i="1"/>
  <c r="L4229" i="1"/>
  <c r="A4229" i="1"/>
  <c r="L4228" i="1"/>
  <c r="A4228" i="1"/>
  <c r="L4227" i="1"/>
  <c r="A4227" i="1"/>
  <c r="L4226" i="1"/>
  <c r="A4226" i="1"/>
  <c r="L4225" i="1"/>
  <c r="A4225" i="1"/>
  <c r="L4224" i="1"/>
  <c r="A4224" i="1"/>
  <c r="L4223" i="1"/>
  <c r="A4223" i="1"/>
  <c r="L4222" i="1"/>
  <c r="A4222" i="1"/>
  <c r="L4221" i="1"/>
  <c r="A4221" i="1"/>
  <c r="L4220" i="1"/>
  <c r="A4220" i="1"/>
  <c r="L4219" i="1"/>
  <c r="A4219" i="1"/>
  <c r="L4218" i="1"/>
  <c r="A4218" i="1"/>
  <c r="L4217" i="1"/>
  <c r="A4217" i="1"/>
  <c r="L4216" i="1"/>
  <c r="A4216" i="1"/>
  <c r="L4215" i="1"/>
  <c r="A4215" i="1"/>
  <c r="L4214" i="1"/>
  <c r="A4214" i="1"/>
  <c r="L4213" i="1"/>
  <c r="A4213" i="1"/>
  <c r="L4212" i="1"/>
  <c r="A4212" i="1"/>
  <c r="L4211" i="1"/>
  <c r="A4211" i="1"/>
  <c r="L4210" i="1"/>
  <c r="A4210" i="1"/>
  <c r="L4209" i="1"/>
  <c r="A4209" i="1"/>
  <c r="L4208" i="1"/>
  <c r="A4208" i="1"/>
  <c r="L4207" i="1"/>
  <c r="A4207" i="1"/>
  <c r="L4206" i="1"/>
  <c r="A4206" i="1"/>
  <c r="L4205" i="1"/>
  <c r="A4205" i="1"/>
  <c r="L4204" i="1"/>
  <c r="A4204" i="1"/>
  <c r="L4203" i="1"/>
  <c r="A4203" i="1"/>
  <c r="L4202" i="1"/>
  <c r="A4202" i="1"/>
  <c r="L4201" i="1"/>
  <c r="A4201" i="1"/>
  <c r="L4200" i="1"/>
  <c r="A4200" i="1"/>
  <c r="L4199" i="1"/>
  <c r="A4199" i="1"/>
  <c r="L4198" i="1"/>
  <c r="A4198" i="1"/>
  <c r="L4197" i="1"/>
  <c r="A4197" i="1"/>
  <c r="L4196" i="1"/>
  <c r="A4196" i="1"/>
  <c r="L4195" i="1"/>
  <c r="A4195" i="1"/>
  <c r="L4194" i="1"/>
  <c r="A4194" i="1"/>
  <c r="L4193" i="1"/>
  <c r="A4193" i="1"/>
  <c r="L4192" i="1"/>
  <c r="A4192" i="1"/>
  <c r="L4191" i="1"/>
  <c r="A4191" i="1"/>
  <c r="L4190" i="1"/>
  <c r="A4190" i="1"/>
  <c r="L4189" i="1"/>
  <c r="A4189" i="1"/>
  <c r="L4188" i="1"/>
  <c r="A4188" i="1"/>
  <c r="L4187" i="1"/>
  <c r="A4187" i="1"/>
  <c r="L4186" i="1"/>
  <c r="A4186" i="1"/>
  <c r="L4185" i="1"/>
  <c r="A4185" i="1"/>
  <c r="L4184" i="1"/>
  <c r="A4184" i="1"/>
  <c r="L4183" i="1"/>
  <c r="A4183" i="1"/>
  <c r="L4182" i="1"/>
  <c r="A4182" i="1"/>
  <c r="L4181" i="1"/>
  <c r="A4181" i="1"/>
  <c r="L4180" i="1"/>
  <c r="A4180" i="1"/>
  <c r="L4179" i="1"/>
  <c r="A4179" i="1"/>
  <c r="L4178" i="1"/>
  <c r="A4178" i="1"/>
  <c r="L4177" i="1"/>
  <c r="A4177" i="1"/>
  <c r="L4176" i="1"/>
  <c r="A4176" i="1"/>
  <c r="L4175" i="1"/>
  <c r="A4175" i="1"/>
  <c r="L4174" i="1"/>
  <c r="A4174" i="1"/>
  <c r="L4173" i="1"/>
  <c r="A4173" i="1"/>
  <c r="L4172" i="1"/>
  <c r="A4172" i="1"/>
  <c r="L4171" i="1"/>
  <c r="A4171" i="1"/>
  <c r="L4170" i="1"/>
  <c r="A4170" i="1"/>
  <c r="L4169" i="1"/>
  <c r="A4169" i="1"/>
  <c r="L4168" i="1"/>
  <c r="A4168" i="1"/>
  <c r="L4167" i="1"/>
  <c r="A4167" i="1"/>
  <c r="L4166" i="1"/>
  <c r="A4166" i="1"/>
  <c r="L4165" i="1"/>
  <c r="A4165" i="1"/>
  <c r="L4164" i="1"/>
  <c r="A4164" i="1"/>
  <c r="L4163" i="1"/>
  <c r="A4163" i="1"/>
  <c r="L4162" i="1"/>
  <c r="A4162" i="1"/>
  <c r="L4161" i="1"/>
  <c r="A4161" i="1"/>
  <c r="L4160" i="1"/>
  <c r="A4160" i="1"/>
  <c r="L4159" i="1"/>
  <c r="A4159" i="1"/>
  <c r="L4158" i="1"/>
  <c r="A4158" i="1"/>
  <c r="L4157" i="1"/>
  <c r="A4157" i="1"/>
  <c r="L4156" i="1"/>
  <c r="A4156" i="1"/>
  <c r="L4155" i="1"/>
  <c r="A4155" i="1"/>
  <c r="L4154" i="1"/>
  <c r="A4154" i="1"/>
  <c r="L4153" i="1"/>
  <c r="A4153" i="1"/>
  <c r="L4152" i="1"/>
  <c r="A4152" i="1"/>
  <c r="L4151" i="1"/>
  <c r="A4151" i="1"/>
  <c r="L4150" i="1"/>
  <c r="A4150" i="1"/>
  <c r="L4149" i="1"/>
  <c r="A4149" i="1"/>
  <c r="L4148" i="1"/>
  <c r="A4148" i="1"/>
  <c r="L4147" i="1"/>
  <c r="A4147" i="1"/>
  <c r="L4146" i="1"/>
  <c r="A4146" i="1"/>
  <c r="L4145" i="1"/>
  <c r="A4145" i="1"/>
  <c r="L4144" i="1"/>
  <c r="A4144" i="1"/>
  <c r="L4143" i="1"/>
  <c r="A4143" i="1"/>
  <c r="L4142" i="1"/>
  <c r="A4142" i="1"/>
  <c r="L4141" i="1"/>
  <c r="A4141" i="1"/>
  <c r="L4140" i="1"/>
  <c r="A4140" i="1"/>
  <c r="L4139" i="1"/>
  <c r="A4139" i="1"/>
  <c r="L4138" i="1"/>
  <c r="A4138" i="1"/>
  <c r="L4137" i="1"/>
  <c r="A4137" i="1"/>
  <c r="L4136" i="1"/>
  <c r="A4136" i="1"/>
  <c r="L4135" i="1"/>
  <c r="A4135" i="1"/>
  <c r="L4134" i="1"/>
  <c r="A4134" i="1"/>
  <c r="L4133" i="1"/>
  <c r="A4133" i="1"/>
  <c r="L4132" i="1"/>
  <c r="A4132" i="1"/>
  <c r="L4131" i="1"/>
  <c r="A4131" i="1"/>
  <c r="L4130" i="1"/>
  <c r="A4130" i="1"/>
  <c r="L4129" i="1"/>
  <c r="A4129" i="1"/>
  <c r="L4128" i="1"/>
  <c r="A4128" i="1"/>
  <c r="L4127" i="1"/>
  <c r="A4127" i="1"/>
  <c r="L4126" i="1"/>
  <c r="A4126" i="1"/>
  <c r="L4125" i="1"/>
  <c r="A4125" i="1"/>
  <c r="L4124" i="1"/>
  <c r="A4124" i="1"/>
  <c r="L4123" i="1"/>
  <c r="A4123" i="1"/>
  <c r="L4122" i="1"/>
  <c r="A4122" i="1"/>
  <c r="L4121" i="1"/>
  <c r="A4121" i="1"/>
  <c r="L4120" i="1"/>
  <c r="A4120" i="1"/>
  <c r="L4119" i="1"/>
  <c r="A4119" i="1"/>
  <c r="L4118" i="1"/>
  <c r="A4118" i="1"/>
  <c r="L4117" i="1"/>
  <c r="A4117" i="1"/>
  <c r="L4116" i="1"/>
  <c r="A4116" i="1"/>
  <c r="L4115" i="1"/>
  <c r="A4115" i="1"/>
  <c r="L4114" i="1"/>
  <c r="A4114" i="1"/>
  <c r="L4113" i="1"/>
  <c r="A4113" i="1"/>
  <c r="L4112" i="1"/>
  <c r="A4112" i="1"/>
  <c r="L4111" i="1"/>
  <c r="A4111" i="1"/>
  <c r="L4110" i="1"/>
  <c r="A4110" i="1"/>
  <c r="L4109" i="1"/>
  <c r="A4109" i="1"/>
  <c r="L4108" i="1"/>
  <c r="A4108" i="1"/>
  <c r="L4107" i="1"/>
  <c r="A4107" i="1"/>
  <c r="L4106" i="1"/>
  <c r="A4106" i="1"/>
  <c r="L4105" i="1"/>
  <c r="A4105" i="1"/>
  <c r="L4104" i="1"/>
  <c r="A4104" i="1"/>
  <c r="L4103" i="1"/>
  <c r="A4103" i="1"/>
  <c r="L4102" i="1"/>
  <c r="A4102" i="1"/>
  <c r="L4101" i="1"/>
  <c r="A4101" i="1"/>
  <c r="L4100" i="1"/>
  <c r="A4100" i="1"/>
  <c r="L4099" i="1"/>
  <c r="A4099" i="1"/>
  <c r="L4098" i="1"/>
  <c r="A4098" i="1"/>
  <c r="L4097" i="1"/>
  <c r="A4097" i="1"/>
  <c r="L4096" i="1"/>
  <c r="A4096" i="1"/>
  <c r="L4095" i="1"/>
  <c r="A4095" i="1"/>
  <c r="L4094" i="1"/>
  <c r="A4094" i="1"/>
  <c r="L4093" i="1"/>
  <c r="A4093" i="1"/>
  <c r="L4092" i="1"/>
  <c r="A4092" i="1"/>
  <c r="L4091" i="1"/>
  <c r="A4091" i="1"/>
  <c r="L4090" i="1"/>
  <c r="A4090" i="1"/>
  <c r="L4089" i="1"/>
  <c r="A4089" i="1"/>
  <c r="L4088" i="1"/>
  <c r="A4088" i="1"/>
  <c r="L4087" i="1"/>
  <c r="A4087" i="1"/>
  <c r="L4086" i="1"/>
  <c r="A4086" i="1"/>
  <c r="L4085" i="1"/>
  <c r="A4085" i="1"/>
  <c r="L4084" i="1"/>
  <c r="A4084" i="1"/>
  <c r="L4083" i="1"/>
  <c r="A4083" i="1"/>
  <c r="L4082" i="1"/>
  <c r="A4082" i="1"/>
  <c r="L4081" i="1"/>
  <c r="A4081" i="1"/>
  <c r="L4080" i="1"/>
  <c r="A4080" i="1"/>
  <c r="L4079" i="1"/>
  <c r="A4079" i="1"/>
  <c r="L4078" i="1"/>
  <c r="A4078" i="1"/>
  <c r="L4077" i="1"/>
  <c r="A4077" i="1"/>
  <c r="L4076" i="1"/>
  <c r="A4076" i="1"/>
  <c r="L4075" i="1"/>
  <c r="A4075" i="1"/>
  <c r="L4074" i="1"/>
  <c r="A4074" i="1"/>
  <c r="L4073" i="1"/>
  <c r="A4073" i="1"/>
  <c r="L4072" i="1"/>
  <c r="A4072" i="1"/>
  <c r="L4071" i="1"/>
  <c r="A4071" i="1"/>
  <c r="L4070" i="1"/>
  <c r="A4070" i="1"/>
  <c r="L4069" i="1"/>
  <c r="A4069" i="1"/>
  <c r="L4068" i="1"/>
  <c r="A4068" i="1"/>
  <c r="L4067" i="1"/>
  <c r="A4067" i="1"/>
  <c r="L4066" i="1"/>
  <c r="A4066" i="1"/>
  <c r="L4065" i="1"/>
  <c r="A4065" i="1"/>
  <c r="L4064" i="1"/>
  <c r="A4064" i="1"/>
  <c r="L4063" i="1"/>
  <c r="A4063" i="1"/>
  <c r="L4062" i="1"/>
  <c r="A4062" i="1"/>
  <c r="L4061" i="1"/>
  <c r="A4061" i="1"/>
  <c r="L4060" i="1"/>
  <c r="A4060" i="1"/>
  <c r="L4059" i="1"/>
  <c r="A4059" i="1"/>
  <c r="L4058" i="1"/>
  <c r="A4058" i="1"/>
  <c r="L4057" i="1"/>
  <c r="A4057" i="1"/>
  <c r="L4056" i="1"/>
  <c r="A4056" i="1"/>
  <c r="L4055" i="1"/>
  <c r="A4055" i="1"/>
  <c r="L4054" i="1"/>
  <c r="A4054" i="1"/>
  <c r="L4053" i="1"/>
  <c r="A4053" i="1"/>
  <c r="L4052" i="1"/>
  <c r="A4052" i="1"/>
  <c r="L4051" i="1"/>
  <c r="A4051" i="1"/>
  <c r="L4050" i="1"/>
  <c r="A4050" i="1"/>
  <c r="L4049" i="1"/>
  <c r="A4049" i="1"/>
  <c r="L4048" i="1"/>
  <c r="A4048" i="1"/>
  <c r="L4047" i="1"/>
  <c r="A4047" i="1"/>
  <c r="L4046" i="1"/>
  <c r="A4046" i="1"/>
  <c r="L4045" i="1"/>
  <c r="A4045" i="1"/>
  <c r="L4044" i="1"/>
  <c r="A4044" i="1"/>
  <c r="L4043" i="1"/>
  <c r="A4043" i="1"/>
  <c r="L4042" i="1"/>
  <c r="A4042" i="1"/>
  <c r="L4041" i="1"/>
  <c r="A4041" i="1"/>
  <c r="L4040" i="1"/>
  <c r="A4040" i="1"/>
  <c r="L4039" i="1"/>
  <c r="A4039" i="1"/>
  <c r="L4038" i="1"/>
  <c r="A4038" i="1"/>
  <c r="L4037" i="1"/>
  <c r="A4037" i="1"/>
  <c r="L4036" i="1"/>
  <c r="A4036" i="1"/>
  <c r="L4035" i="1"/>
  <c r="A4035" i="1"/>
  <c r="L4034" i="1"/>
  <c r="A4034" i="1"/>
  <c r="L4033" i="1"/>
  <c r="A4033" i="1"/>
  <c r="L4032" i="1"/>
  <c r="A4032" i="1"/>
  <c r="L4031" i="1"/>
  <c r="A4031" i="1"/>
  <c r="L4030" i="1"/>
  <c r="A4030" i="1"/>
  <c r="L4029" i="1"/>
  <c r="A4029" i="1"/>
  <c r="L4028" i="1"/>
  <c r="A4028" i="1"/>
  <c r="L4027" i="1"/>
  <c r="A4027" i="1"/>
  <c r="L4026" i="1"/>
  <c r="A4026" i="1"/>
  <c r="L4025" i="1"/>
  <c r="A4025" i="1"/>
  <c r="L4024" i="1"/>
  <c r="A4024" i="1"/>
  <c r="L4023" i="1"/>
  <c r="A4023" i="1"/>
  <c r="L4022" i="1"/>
  <c r="A4022" i="1"/>
  <c r="L4021" i="1"/>
  <c r="A4021" i="1"/>
  <c r="L4020" i="1"/>
  <c r="A4020" i="1"/>
  <c r="L4019" i="1"/>
  <c r="A4019" i="1"/>
  <c r="L4018" i="1"/>
  <c r="A4018" i="1"/>
  <c r="L4017" i="1"/>
  <c r="A4017" i="1"/>
  <c r="L4016" i="1"/>
  <c r="A4016" i="1"/>
  <c r="L4015" i="1"/>
  <c r="A4015" i="1"/>
  <c r="L4014" i="1"/>
  <c r="A4014" i="1"/>
  <c r="L4013" i="1"/>
  <c r="A4013" i="1"/>
  <c r="L4012" i="1"/>
  <c r="A4012" i="1"/>
  <c r="L4011" i="1"/>
  <c r="A4011" i="1"/>
  <c r="L4010" i="1"/>
  <c r="A4010" i="1"/>
  <c r="L4009" i="1"/>
  <c r="A4009" i="1"/>
  <c r="L4008" i="1"/>
  <c r="A4008" i="1"/>
  <c r="L4007" i="1"/>
  <c r="A4007" i="1"/>
  <c r="L4006" i="1"/>
  <c r="A4006" i="1"/>
  <c r="L4005" i="1"/>
  <c r="A4005" i="1"/>
  <c r="L4004" i="1"/>
  <c r="A4004" i="1"/>
  <c r="L4003" i="1"/>
  <c r="A4003" i="1"/>
  <c r="L4002" i="1"/>
  <c r="A4002" i="1"/>
  <c r="L4001" i="1"/>
  <c r="A4001" i="1"/>
  <c r="L4000" i="1"/>
  <c r="A4000" i="1"/>
  <c r="L3999" i="1"/>
  <c r="A3999" i="1"/>
  <c r="L3998" i="1"/>
  <c r="A3998" i="1"/>
  <c r="L3997" i="1"/>
  <c r="A3997" i="1"/>
  <c r="L3996" i="1"/>
  <c r="A3996" i="1"/>
  <c r="L3995" i="1"/>
  <c r="A3995" i="1"/>
  <c r="L3994" i="1"/>
  <c r="A3994" i="1"/>
  <c r="L3993" i="1"/>
  <c r="A3993" i="1"/>
  <c r="L3992" i="1"/>
  <c r="A3992" i="1"/>
  <c r="L3991" i="1"/>
  <c r="A3991" i="1"/>
  <c r="L3990" i="1"/>
  <c r="A3990" i="1"/>
  <c r="L3989" i="1"/>
  <c r="A3989" i="1"/>
  <c r="L3988" i="1"/>
  <c r="A3988" i="1"/>
  <c r="L3987" i="1"/>
  <c r="A3987" i="1"/>
  <c r="L3986" i="1"/>
  <c r="A3986" i="1"/>
  <c r="L3985" i="1"/>
  <c r="A3985" i="1"/>
  <c r="L3984" i="1"/>
  <c r="A3984" i="1"/>
  <c r="L3983" i="1"/>
  <c r="A3983" i="1"/>
  <c r="L3982" i="1"/>
  <c r="A3982" i="1"/>
  <c r="L3981" i="1"/>
  <c r="A3981" i="1"/>
  <c r="L3980" i="1"/>
  <c r="A3980" i="1"/>
  <c r="L3979" i="1"/>
  <c r="A3979" i="1"/>
  <c r="L3978" i="1"/>
  <c r="A3978" i="1"/>
  <c r="L3977" i="1"/>
  <c r="A3977" i="1"/>
  <c r="L3976" i="1"/>
  <c r="A3976" i="1"/>
  <c r="L3975" i="1"/>
  <c r="A3975" i="1"/>
  <c r="L3974" i="1"/>
  <c r="A3974" i="1"/>
  <c r="L3973" i="1"/>
  <c r="A3973" i="1"/>
  <c r="L3972" i="1"/>
  <c r="A3972" i="1"/>
  <c r="L3971" i="1"/>
  <c r="A3971" i="1"/>
  <c r="L3970" i="1"/>
  <c r="A3970" i="1"/>
  <c r="L3969" i="1"/>
  <c r="A3969" i="1"/>
  <c r="L3968" i="1"/>
  <c r="A3968" i="1"/>
  <c r="L3967" i="1"/>
  <c r="A3967" i="1"/>
  <c r="L3966" i="1"/>
  <c r="A3966" i="1"/>
  <c r="L3965" i="1"/>
  <c r="A3965" i="1"/>
  <c r="L3964" i="1"/>
  <c r="A3964" i="1"/>
  <c r="L3963" i="1"/>
  <c r="A3963" i="1"/>
  <c r="L3962" i="1"/>
  <c r="A3962" i="1"/>
  <c r="L3961" i="1"/>
  <c r="A3961" i="1"/>
  <c r="L3960" i="1"/>
  <c r="A3960" i="1"/>
  <c r="L3959" i="1"/>
  <c r="A3959" i="1"/>
  <c r="L3958" i="1"/>
  <c r="A3958" i="1"/>
  <c r="L3957" i="1"/>
  <c r="A3957" i="1"/>
  <c r="L3956" i="1"/>
  <c r="A3956" i="1"/>
  <c r="L3955" i="1"/>
  <c r="A3955" i="1"/>
  <c r="L3954" i="1"/>
  <c r="A3954" i="1"/>
  <c r="L3953" i="1"/>
  <c r="A3953" i="1"/>
  <c r="L3952" i="1"/>
  <c r="A3952" i="1"/>
  <c r="L3951" i="1"/>
  <c r="A3951" i="1"/>
  <c r="L3950" i="1"/>
  <c r="A3950" i="1"/>
  <c r="L3949" i="1"/>
  <c r="A3949" i="1"/>
  <c r="L3948" i="1"/>
  <c r="A3948" i="1"/>
  <c r="L3947" i="1"/>
  <c r="A3947" i="1"/>
  <c r="L3946" i="1"/>
  <c r="A3946" i="1"/>
  <c r="L3945" i="1"/>
  <c r="A3945" i="1"/>
  <c r="L3944" i="1"/>
  <c r="A3944" i="1"/>
  <c r="L3943" i="1"/>
  <c r="A3943" i="1"/>
  <c r="L3942" i="1"/>
  <c r="A3942" i="1"/>
  <c r="L3941" i="1"/>
  <c r="A3941" i="1"/>
  <c r="L3940" i="1"/>
  <c r="A3940" i="1"/>
  <c r="L3939" i="1"/>
  <c r="A3939" i="1"/>
  <c r="L3938" i="1"/>
  <c r="A3938" i="1"/>
  <c r="L3937" i="1"/>
  <c r="A3937" i="1"/>
  <c r="L3936" i="1"/>
  <c r="A3936" i="1"/>
  <c r="L3935" i="1"/>
  <c r="A3935" i="1"/>
  <c r="L3934" i="1"/>
  <c r="A3934" i="1"/>
  <c r="L3933" i="1"/>
  <c r="A3933" i="1"/>
  <c r="L3932" i="1"/>
  <c r="A3932" i="1"/>
  <c r="L3931" i="1"/>
  <c r="A3931" i="1"/>
  <c r="L3930" i="1"/>
  <c r="A3930" i="1"/>
  <c r="L3929" i="1"/>
  <c r="A3929" i="1"/>
  <c r="L3928" i="1"/>
  <c r="A3928" i="1"/>
  <c r="L3927" i="1"/>
  <c r="A3927" i="1"/>
  <c r="L3926" i="1"/>
  <c r="A3926" i="1"/>
  <c r="L3925" i="1"/>
  <c r="A3925" i="1"/>
  <c r="L3924" i="1"/>
  <c r="A3924" i="1"/>
  <c r="L3923" i="1"/>
  <c r="A3923" i="1"/>
  <c r="L3922" i="1"/>
  <c r="A3922" i="1"/>
  <c r="L3921" i="1"/>
  <c r="A3921" i="1"/>
  <c r="L3920" i="1"/>
  <c r="A3920" i="1"/>
  <c r="L3919" i="1"/>
  <c r="A3919" i="1"/>
  <c r="L3918" i="1"/>
  <c r="A3918" i="1"/>
  <c r="L3917" i="1"/>
  <c r="A3917" i="1"/>
  <c r="L3916" i="1"/>
  <c r="A3916" i="1"/>
  <c r="L3915" i="1"/>
  <c r="A3915" i="1"/>
  <c r="L3914" i="1"/>
  <c r="A3914" i="1"/>
  <c r="L3913" i="1"/>
  <c r="A3913" i="1"/>
  <c r="L3912" i="1"/>
  <c r="A3912" i="1"/>
  <c r="L3911" i="1"/>
  <c r="A3911" i="1"/>
  <c r="L3910" i="1"/>
  <c r="A3910" i="1"/>
  <c r="L3909" i="1"/>
  <c r="A3909" i="1"/>
  <c r="L3908" i="1"/>
  <c r="A3908" i="1"/>
  <c r="L3907" i="1"/>
  <c r="A3907" i="1"/>
  <c r="L3906" i="1"/>
  <c r="A3906" i="1"/>
  <c r="L3905" i="1"/>
  <c r="A3905" i="1"/>
  <c r="L3904" i="1"/>
  <c r="A3904" i="1"/>
  <c r="L3903" i="1"/>
  <c r="A3903" i="1"/>
  <c r="L3902" i="1"/>
  <c r="A3902" i="1"/>
  <c r="L3901" i="1"/>
  <c r="A3901" i="1"/>
  <c r="L3900" i="1"/>
  <c r="A3900" i="1"/>
  <c r="L3899" i="1"/>
  <c r="A3899" i="1"/>
  <c r="L3898" i="1"/>
  <c r="A3898" i="1"/>
  <c r="L3897" i="1"/>
  <c r="A3897" i="1"/>
  <c r="L3896" i="1"/>
  <c r="A3896" i="1"/>
  <c r="L3895" i="1"/>
  <c r="A3895" i="1"/>
  <c r="L3894" i="1"/>
  <c r="A3894" i="1"/>
  <c r="L3893" i="1"/>
  <c r="A3893" i="1"/>
  <c r="L3892" i="1"/>
  <c r="A3892" i="1"/>
  <c r="L3891" i="1"/>
  <c r="A3891" i="1"/>
  <c r="L3890" i="1"/>
  <c r="A3890" i="1"/>
  <c r="L3889" i="1"/>
  <c r="A3889" i="1"/>
  <c r="L3888" i="1"/>
  <c r="A3888" i="1"/>
  <c r="L3887" i="1"/>
  <c r="A3887" i="1"/>
  <c r="L3886" i="1"/>
  <c r="A3886" i="1"/>
  <c r="L3885" i="1"/>
  <c r="A3885" i="1"/>
  <c r="L3884" i="1"/>
  <c r="A3884" i="1"/>
  <c r="L3883" i="1"/>
  <c r="A3883" i="1"/>
  <c r="L3882" i="1"/>
  <c r="A3882" i="1"/>
  <c r="L3881" i="1"/>
  <c r="A3881" i="1"/>
  <c r="L3880" i="1"/>
  <c r="A3880" i="1"/>
  <c r="L3879" i="1"/>
  <c r="A3879" i="1"/>
  <c r="L3878" i="1"/>
  <c r="A3878" i="1"/>
  <c r="L3877" i="1"/>
  <c r="A3877" i="1"/>
  <c r="L3876" i="1"/>
  <c r="A3876" i="1"/>
  <c r="L3875" i="1"/>
  <c r="A3875" i="1"/>
  <c r="L3874" i="1"/>
  <c r="A3874" i="1"/>
  <c r="L3873" i="1"/>
  <c r="A3873" i="1"/>
  <c r="L3872" i="1"/>
  <c r="A3872" i="1"/>
  <c r="L3871" i="1"/>
  <c r="A3871" i="1"/>
  <c r="L3870" i="1"/>
  <c r="A3870" i="1"/>
  <c r="L3869" i="1"/>
  <c r="A3869" i="1"/>
  <c r="L3868" i="1"/>
  <c r="A3868" i="1"/>
  <c r="L3867" i="1"/>
  <c r="A3867" i="1"/>
  <c r="L3866" i="1"/>
  <c r="A3866" i="1"/>
  <c r="L3865" i="1"/>
  <c r="A3865" i="1"/>
  <c r="L3864" i="1"/>
  <c r="A3864" i="1"/>
  <c r="L3863" i="1"/>
  <c r="A3863" i="1"/>
  <c r="L3862" i="1"/>
  <c r="A3862" i="1"/>
  <c r="L3861" i="1"/>
  <c r="A3861" i="1"/>
  <c r="L3860" i="1"/>
  <c r="A3860" i="1"/>
  <c r="L3859" i="1"/>
  <c r="A3859" i="1"/>
  <c r="L3858" i="1"/>
  <c r="A3858" i="1"/>
  <c r="L3857" i="1"/>
  <c r="A3857" i="1"/>
  <c r="L3856" i="1"/>
  <c r="A3856" i="1"/>
  <c r="L3855" i="1"/>
  <c r="A3855" i="1"/>
  <c r="L3854" i="1"/>
  <c r="A3854" i="1"/>
  <c r="L3853" i="1"/>
  <c r="A3853" i="1"/>
  <c r="L3852" i="1"/>
  <c r="A3852" i="1"/>
  <c r="L3851" i="1"/>
  <c r="A3851" i="1"/>
  <c r="L3850" i="1"/>
  <c r="A3850" i="1"/>
  <c r="L3849" i="1"/>
  <c r="A3849" i="1"/>
  <c r="L3848" i="1"/>
  <c r="A3848" i="1"/>
  <c r="L3847" i="1"/>
  <c r="A3847" i="1"/>
  <c r="L3846" i="1"/>
  <c r="A3846" i="1"/>
  <c r="L3845" i="1"/>
  <c r="A3845" i="1"/>
  <c r="L3844" i="1"/>
  <c r="A3844" i="1"/>
  <c r="L3843" i="1"/>
  <c r="A3843" i="1"/>
  <c r="L3842" i="1"/>
  <c r="A3842" i="1"/>
  <c r="L3841" i="1"/>
  <c r="A3841" i="1"/>
  <c r="L3840" i="1"/>
  <c r="A3840" i="1"/>
  <c r="L3839" i="1"/>
  <c r="A3839" i="1"/>
  <c r="L3838" i="1"/>
  <c r="A3838" i="1"/>
  <c r="L3837" i="1"/>
  <c r="A3837" i="1"/>
  <c r="L3836" i="1"/>
  <c r="A3836" i="1"/>
  <c r="L3835" i="1"/>
  <c r="A3835" i="1"/>
  <c r="L3834" i="1"/>
  <c r="A3834" i="1"/>
  <c r="L3833" i="1"/>
  <c r="A3833" i="1"/>
  <c r="L3832" i="1"/>
  <c r="A3832" i="1"/>
  <c r="L3831" i="1"/>
  <c r="A3831" i="1"/>
  <c r="L3830" i="1"/>
  <c r="A3830" i="1"/>
  <c r="L3829" i="1"/>
  <c r="A3829" i="1"/>
  <c r="L3828" i="1"/>
  <c r="A3828" i="1"/>
  <c r="L3827" i="1"/>
  <c r="A3827" i="1"/>
  <c r="L3826" i="1"/>
  <c r="A3826" i="1"/>
  <c r="L3825" i="1"/>
  <c r="A3825" i="1"/>
  <c r="L3824" i="1"/>
  <c r="A3824" i="1"/>
  <c r="L3823" i="1"/>
  <c r="A3823" i="1"/>
  <c r="L3822" i="1"/>
  <c r="A3822" i="1"/>
  <c r="L3821" i="1"/>
  <c r="A3821" i="1"/>
  <c r="L3820" i="1"/>
  <c r="A3820" i="1"/>
  <c r="L3819" i="1"/>
  <c r="A3819" i="1"/>
  <c r="L3818" i="1"/>
  <c r="A3818" i="1"/>
  <c r="L3817" i="1"/>
  <c r="A3817" i="1"/>
  <c r="L3816" i="1"/>
  <c r="A3816" i="1"/>
  <c r="L3815" i="1"/>
  <c r="A3815" i="1"/>
  <c r="L3814" i="1"/>
  <c r="A3814" i="1"/>
  <c r="L3813" i="1"/>
  <c r="A3813" i="1"/>
  <c r="L3812" i="1"/>
  <c r="A3812" i="1"/>
  <c r="L3811" i="1"/>
  <c r="A3811" i="1"/>
  <c r="L3810" i="1"/>
  <c r="A3810" i="1"/>
  <c r="L3809" i="1"/>
  <c r="A3809" i="1"/>
  <c r="L3808" i="1"/>
  <c r="A3808" i="1"/>
  <c r="L3807" i="1"/>
  <c r="A3807" i="1"/>
  <c r="L3806" i="1"/>
  <c r="A3806" i="1"/>
  <c r="L3805" i="1"/>
  <c r="A3805" i="1"/>
  <c r="L3804" i="1"/>
  <c r="A3804" i="1"/>
  <c r="L3803" i="1"/>
  <c r="A3803" i="1"/>
  <c r="L3802" i="1"/>
  <c r="A3802" i="1"/>
  <c r="L3801" i="1"/>
  <c r="A3801" i="1"/>
  <c r="L3800" i="1"/>
  <c r="A3800" i="1"/>
  <c r="L3799" i="1"/>
  <c r="A3799" i="1"/>
  <c r="L3798" i="1"/>
  <c r="A3798" i="1"/>
  <c r="L3797" i="1"/>
  <c r="A3797" i="1"/>
  <c r="L3796" i="1"/>
  <c r="A3796" i="1"/>
  <c r="L3795" i="1"/>
  <c r="A3795" i="1"/>
  <c r="L3794" i="1"/>
  <c r="A3794" i="1"/>
  <c r="L3793" i="1"/>
  <c r="A3793" i="1"/>
  <c r="L3792" i="1"/>
  <c r="A3792" i="1"/>
  <c r="L3791" i="1"/>
  <c r="A3791" i="1"/>
  <c r="L3790" i="1"/>
  <c r="A3790" i="1"/>
  <c r="L3789" i="1"/>
  <c r="A3789" i="1"/>
  <c r="L3788" i="1"/>
  <c r="A3788" i="1"/>
  <c r="L3787" i="1"/>
  <c r="A3787" i="1"/>
  <c r="L3786" i="1"/>
  <c r="A3786" i="1"/>
  <c r="L3785" i="1"/>
  <c r="A3785" i="1"/>
  <c r="L3784" i="1"/>
  <c r="A3784" i="1"/>
  <c r="L3783" i="1"/>
  <c r="A3783" i="1"/>
  <c r="L3782" i="1"/>
  <c r="A3782" i="1"/>
  <c r="L3781" i="1"/>
  <c r="A3781" i="1"/>
  <c r="L3780" i="1"/>
  <c r="A3780" i="1"/>
  <c r="L3779" i="1"/>
  <c r="A3779" i="1"/>
  <c r="L3778" i="1"/>
  <c r="A3778" i="1"/>
  <c r="L3777" i="1"/>
  <c r="A3777" i="1"/>
  <c r="L3776" i="1"/>
  <c r="A3776" i="1"/>
  <c r="L3775" i="1"/>
  <c r="A3775" i="1"/>
  <c r="L3774" i="1"/>
  <c r="A3774" i="1"/>
  <c r="L3773" i="1"/>
  <c r="A3773" i="1"/>
  <c r="L3772" i="1"/>
  <c r="A3772" i="1"/>
  <c r="L3771" i="1"/>
  <c r="A3771" i="1"/>
  <c r="L3770" i="1"/>
  <c r="A3770" i="1"/>
  <c r="L3769" i="1"/>
  <c r="A3769" i="1"/>
  <c r="L3768" i="1"/>
  <c r="A3768" i="1"/>
  <c r="L3767" i="1"/>
  <c r="A3767" i="1"/>
  <c r="L3766" i="1"/>
  <c r="A3766" i="1"/>
  <c r="L3765" i="1"/>
  <c r="A3765" i="1"/>
  <c r="L3764" i="1"/>
  <c r="A3764" i="1"/>
  <c r="L3763" i="1"/>
  <c r="A3763" i="1"/>
  <c r="L3762" i="1"/>
  <c r="A3762" i="1"/>
  <c r="L3761" i="1"/>
  <c r="A3761" i="1"/>
  <c r="L3760" i="1"/>
  <c r="A3760" i="1"/>
  <c r="L3759" i="1"/>
  <c r="A3759" i="1"/>
  <c r="L3758" i="1"/>
  <c r="A3758" i="1"/>
  <c r="L3757" i="1"/>
  <c r="A3757" i="1"/>
  <c r="L3756" i="1"/>
  <c r="A3756" i="1"/>
  <c r="L3755" i="1"/>
  <c r="A3755" i="1"/>
  <c r="L3754" i="1"/>
  <c r="A3754" i="1"/>
  <c r="L3753" i="1"/>
  <c r="A3753" i="1"/>
  <c r="L3752" i="1"/>
  <c r="A3752" i="1"/>
  <c r="L3751" i="1"/>
  <c r="A3751" i="1"/>
  <c r="L3750" i="1"/>
  <c r="A3750" i="1"/>
  <c r="L3749" i="1"/>
  <c r="A3749" i="1"/>
  <c r="L3748" i="1"/>
  <c r="A3748" i="1"/>
  <c r="L3747" i="1"/>
  <c r="A3747" i="1"/>
  <c r="L3746" i="1"/>
  <c r="A3746" i="1"/>
  <c r="L3745" i="1"/>
  <c r="A3745" i="1"/>
  <c r="L3744" i="1"/>
  <c r="A3744" i="1"/>
  <c r="L3743" i="1"/>
  <c r="A3743" i="1"/>
  <c r="L3742" i="1"/>
  <c r="A3742" i="1"/>
  <c r="L3741" i="1"/>
  <c r="A3741" i="1"/>
  <c r="L3740" i="1"/>
  <c r="A3740" i="1"/>
  <c r="L3739" i="1"/>
  <c r="A3739" i="1"/>
  <c r="L3738" i="1"/>
  <c r="A3738" i="1"/>
  <c r="L3737" i="1"/>
  <c r="A3737" i="1"/>
  <c r="L3736" i="1"/>
  <c r="A3736" i="1"/>
  <c r="L3735" i="1"/>
  <c r="A3735" i="1"/>
  <c r="L3734" i="1"/>
  <c r="A3734" i="1"/>
  <c r="L3733" i="1"/>
  <c r="A3733" i="1"/>
  <c r="L3732" i="1"/>
  <c r="A3732" i="1"/>
  <c r="L3731" i="1"/>
  <c r="A3731" i="1"/>
  <c r="L3730" i="1"/>
  <c r="A3730" i="1"/>
  <c r="L3729" i="1"/>
  <c r="A3729" i="1"/>
  <c r="L3728" i="1"/>
  <c r="A3728" i="1"/>
  <c r="L3727" i="1"/>
  <c r="A3727" i="1"/>
  <c r="L3726" i="1"/>
  <c r="A3726" i="1"/>
  <c r="L3725" i="1"/>
  <c r="A3725" i="1"/>
  <c r="L3724" i="1"/>
  <c r="A3724" i="1"/>
  <c r="L3723" i="1"/>
  <c r="A3723" i="1"/>
  <c r="L3722" i="1"/>
  <c r="A3722" i="1"/>
  <c r="L3721" i="1"/>
  <c r="A3721" i="1"/>
  <c r="L3720" i="1"/>
  <c r="A3720" i="1"/>
  <c r="L3719" i="1"/>
  <c r="A3719" i="1"/>
  <c r="L3718" i="1"/>
  <c r="A3718" i="1"/>
  <c r="L3717" i="1"/>
  <c r="A3717" i="1"/>
  <c r="L3716" i="1"/>
  <c r="A3716" i="1"/>
  <c r="L3715" i="1"/>
  <c r="A3715" i="1"/>
  <c r="L3714" i="1"/>
  <c r="A3714" i="1"/>
  <c r="L3713" i="1"/>
  <c r="A3713" i="1"/>
  <c r="L3712" i="1"/>
  <c r="A3712" i="1"/>
  <c r="L3711" i="1"/>
  <c r="A3711" i="1"/>
  <c r="L3710" i="1"/>
  <c r="A3710" i="1"/>
  <c r="L3709" i="1"/>
  <c r="A3709" i="1"/>
  <c r="L3708" i="1"/>
  <c r="A3708" i="1"/>
  <c r="L3707" i="1"/>
  <c r="A3707" i="1"/>
  <c r="L3706" i="1"/>
  <c r="A3706" i="1"/>
  <c r="L3705" i="1"/>
  <c r="E3705" i="1"/>
  <c r="D3705" i="1"/>
  <c r="A3705" i="1"/>
  <c r="L3704" i="1"/>
  <c r="E3704" i="1"/>
  <c r="D3704" i="1"/>
  <c r="A3704" i="1"/>
  <c r="L3703" i="1"/>
  <c r="E3703" i="1"/>
  <c r="D3703" i="1"/>
  <c r="A3703" i="1"/>
  <c r="L3702" i="1"/>
  <c r="E3702" i="1"/>
  <c r="D3702" i="1"/>
  <c r="A3702" i="1"/>
  <c r="L3701" i="1"/>
  <c r="E3701" i="1"/>
  <c r="D3701" i="1"/>
  <c r="A3701" i="1"/>
  <c r="L3700" i="1"/>
  <c r="E3700" i="1"/>
  <c r="D3700" i="1"/>
  <c r="A3700" i="1"/>
  <c r="L3699" i="1"/>
  <c r="E3699" i="1"/>
  <c r="D3699" i="1"/>
  <c r="A3699" i="1"/>
  <c r="L3698" i="1"/>
  <c r="E3698" i="1"/>
  <c r="D3698" i="1"/>
  <c r="A3698" i="1"/>
  <c r="L3697" i="1"/>
  <c r="E3697" i="1"/>
  <c r="D3697" i="1"/>
  <c r="A3697" i="1"/>
  <c r="L3696" i="1"/>
  <c r="E3696" i="1"/>
  <c r="D3696" i="1"/>
  <c r="A3696" i="1"/>
  <c r="L3695" i="1"/>
  <c r="E3695" i="1"/>
  <c r="D3695" i="1"/>
  <c r="A3695" i="1"/>
  <c r="L3694" i="1"/>
  <c r="A3694" i="1"/>
  <c r="L3693" i="1"/>
  <c r="A3693" i="1"/>
  <c r="L3692" i="1"/>
  <c r="A3692" i="1"/>
  <c r="L3691" i="1"/>
  <c r="A3691" i="1"/>
  <c r="L3690" i="1"/>
  <c r="A3690" i="1"/>
  <c r="L3689" i="1"/>
  <c r="A3689" i="1"/>
  <c r="L3688" i="1"/>
  <c r="A3688" i="1"/>
  <c r="L3687" i="1"/>
  <c r="A3687" i="1"/>
  <c r="L3686" i="1"/>
  <c r="A3686" i="1"/>
  <c r="L3685" i="1"/>
  <c r="A3685" i="1"/>
  <c r="L3684" i="1"/>
  <c r="A3684" i="1"/>
  <c r="L3683" i="1"/>
  <c r="A3683" i="1"/>
  <c r="L3682" i="1"/>
  <c r="A3682" i="1"/>
  <c r="L3681" i="1"/>
  <c r="A3681" i="1"/>
  <c r="L3680" i="1"/>
  <c r="A3680" i="1"/>
  <c r="L3679" i="1"/>
  <c r="A3679" i="1"/>
  <c r="L3678" i="1"/>
  <c r="A3678" i="1"/>
  <c r="L3677" i="1"/>
  <c r="A3677" i="1"/>
  <c r="L3676" i="1"/>
  <c r="A3676" i="1"/>
  <c r="L3675" i="1"/>
  <c r="A3675" i="1"/>
  <c r="L3674" i="1"/>
  <c r="A3674" i="1"/>
  <c r="L3673" i="1"/>
  <c r="A3673" i="1"/>
  <c r="L3672" i="1"/>
  <c r="A3672" i="1"/>
  <c r="L3671" i="1"/>
  <c r="A3671" i="1"/>
  <c r="L3670" i="1"/>
  <c r="A3670" i="1"/>
  <c r="L3669" i="1"/>
  <c r="A3669" i="1"/>
  <c r="L3668" i="1"/>
  <c r="A3668" i="1"/>
  <c r="L3667" i="1"/>
  <c r="A3667" i="1"/>
  <c r="L3666" i="1"/>
  <c r="A3666" i="1"/>
  <c r="L3665" i="1"/>
  <c r="A3665" i="1"/>
  <c r="L3664" i="1"/>
  <c r="A3664" i="1"/>
  <c r="L3663" i="1"/>
  <c r="A3663" i="1"/>
  <c r="L3662" i="1"/>
  <c r="A3662" i="1"/>
  <c r="L3661" i="1"/>
  <c r="A3661" i="1"/>
  <c r="L3660" i="1"/>
  <c r="A3660" i="1"/>
  <c r="L3659" i="1"/>
  <c r="A3659" i="1"/>
  <c r="L3658" i="1"/>
  <c r="A3658" i="1"/>
  <c r="L3657" i="1"/>
  <c r="A3657" i="1"/>
  <c r="L3656" i="1"/>
  <c r="A3656" i="1"/>
  <c r="L3655" i="1"/>
  <c r="A3655" i="1"/>
  <c r="L3654" i="1"/>
  <c r="A3654" i="1"/>
  <c r="L3653" i="1"/>
  <c r="A3653" i="1"/>
  <c r="L3652" i="1"/>
  <c r="A3652" i="1"/>
  <c r="L3651" i="1"/>
  <c r="A3651" i="1"/>
  <c r="L3650" i="1"/>
  <c r="A3650" i="1"/>
  <c r="L3649" i="1"/>
  <c r="A3649" i="1"/>
  <c r="L3648" i="1"/>
  <c r="A3648" i="1"/>
  <c r="L3647" i="1"/>
  <c r="A3647" i="1"/>
  <c r="L3646" i="1"/>
  <c r="A3646" i="1"/>
  <c r="L3645" i="1"/>
  <c r="A3645" i="1"/>
  <c r="L3644" i="1"/>
  <c r="A3644" i="1"/>
  <c r="L3643" i="1"/>
  <c r="A3643" i="1"/>
  <c r="L3642" i="1"/>
  <c r="A3642" i="1"/>
  <c r="L3641" i="1"/>
  <c r="A3641" i="1"/>
  <c r="L3640" i="1"/>
  <c r="A3640" i="1"/>
  <c r="L3639" i="1"/>
  <c r="A3639" i="1"/>
  <c r="L3638" i="1"/>
  <c r="A3638" i="1"/>
  <c r="L3637" i="1"/>
  <c r="A3637" i="1"/>
  <c r="L3636" i="1"/>
  <c r="A3636" i="1"/>
  <c r="L3635" i="1"/>
  <c r="A3635" i="1"/>
  <c r="L3634" i="1"/>
  <c r="A3634" i="1"/>
  <c r="L3633" i="1"/>
  <c r="A3633" i="1"/>
  <c r="L3632" i="1"/>
  <c r="A3632" i="1"/>
  <c r="L3631" i="1"/>
  <c r="A3631" i="1"/>
  <c r="L3630" i="1"/>
  <c r="A3630" i="1"/>
  <c r="L3629" i="1"/>
  <c r="A3629" i="1"/>
  <c r="L3628" i="1"/>
  <c r="A3628" i="1"/>
  <c r="L3627" i="1"/>
  <c r="A3627" i="1"/>
  <c r="L3626" i="1"/>
  <c r="A3626" i="1"/>
  <c r="L3625" i="1"/>
  <c r="A3625" i="1"/>
  <c r="L3624" i="1"/>
  <c r="A3624" i="1"/>
  <c r="L3623" i="1"/>
  <c r="A3623" i="1"/>
  <c r="L3622" i="1"/>
  <c r="A3622" i="1"/>
  <c r="L3621" i="1"/>
  <c r="A3621" i="1"/>
  <c r="L3620" i="1"/>
  <c r="A3620" i="1"/>
  <c r="L3619" i="1"/>
  <c r="A3619" i="1"/>
  <c r="L3618" i="1"/>
  <c r="A3618" i="1"/>
  <c r="L3617" i="1"/>
  <c r="A3617" i="1"/>
  <c r="L3616" i="1"/>
  <c r="A3616" i="1"/>
  <c r="L3615" i="1"/>
  <c r="A3615" i="1"/>
  <c r="L3614" i="1"/>
  <c r="A3614" i="1"/>
  <c r="L3613" i="1"/>
  <c r="A3613" i="1"/>
  <c r="L3612" i="1"/>
  <c r="A3612" i="1"/>
  <c r="L3611" i="1"/>
  <c r="A3611" i="1"/>
  <c r="L3610" i="1"/>
  <c r="A3610" i="1"/>
  <c r="L3609" i="1"/>
  <c r="A3609" i="1"/>
  <c r="L3608" i="1"/>
  <c r="A3608" i="1"/>
  <c r="L3607" i="1"/>
  <c r="A3607" i="1"/>
  <c r="L3606" i="1"/>
  <c r="A3606" i="1"/>
  <c r="L3605" i="1"/>
  <c r="A3605" i="1"/>
  <c r="L3604" i="1"/>
  <c r="A3604" i="1"/>
  <c r="L3603" i="1"/>
  <c r="A3603" i="1"/>
  <c r="L3602" i="1"/>
  <c r="A3602" i="1"/>
  <c r="L3601" i="1"/>
  <c r="A3601" i="1"/>
  <c r="L3600" i="1"/>
  <c r="A3600" i="1"/>
  <c r="L3599" i="1"/>
  <c r="A3599" i="1"/>
  <c r="L3598" i="1"/>
  <c r="A3598" i="1"/>
  <c r="L3597" i="1"/>
  <c r="A3597" i="1"/>
  <c r="L3596" i="1"/>
  <c r="A3596" i="1"/>
  <c r="L3595" i="1"/>
  <c r="A3595" i="1"/>
  <c r="L3594" i="1"/>
  <c r="A3594" i="1"/>
  <c r="L3593" i="1"/>
  <c r="A3593" i="1"/>
  <c r="L3592" i="1"/>
  <c r="A3592" i="1"/>
  <c r="L3591" i="1"/>
  <c r="A3591" i="1"/>
  <c r="L3590" i="1"/>
  <c r="A3590" i="1"/>
  <c r="L3589" i="1"/>
  <c r="A3589" i="1"/>
  <c r="L3588" i="1"/>
  <c r="A3588" i="1"/>
  <c r="L3587" i="1"/>
  <c r="A3587" i="1"/>
  <c r="L3586" i="1"/>
  <c r="A3586" i="1"/>
  <c r="L3585" i="1"/>
  <c r="A3585" i="1"/>
  <c r="L3584" i="1"/>
  <c r="A3584" i="1"/>
  <c r="L3583" i="1"/>
  <c r="A3583" i="1"/>
  <c r="L3582" i="1"/>
  <c r="A3582" i="1"/>
  <c r="L3581" i="1"/>
  <c r="A3581" i="1"/>
  <c r="L3580" i="1"/>
  <c r="A3580" i="1"/>
  <c r="L3579" i="1"/>
  <c r="A3579" i="1"/>
  <c r="L3578" i="1"/>
  <c r="A3578" i="1"/>
  <c r="L3577" i="1"/>
  <c r="A3577" i="1"/>
  <c r="L3576" i="1"/>
  <c r="A3576" i="1"/>
  <c r="L3575" i="1"/>
  <c r="A3575" i="1"/>
  <c r="L3574" i="1"/>
  <c r="A3574" i="1"/>
  <c r="L3573" i="1"/>
  <c r="A3573" i="1"/>
  <c r="L3572" i="1"/>
  <c r="A3572" i="1"/>
  <c r="L3571" i="1"/>
  <c r="A3571" i="1"/>
  <c r="L3570" i="1"/>
  <c r="A3570" i="1"/>
  <c r="L3569" i="1"/>
  <c r="A3569" i="1"/>
  <c r="L3568" i="1"/>
  <c r="A3568" i="1"/>
  <c r="L3567" i="1"/>
  <c r="A3567" i="1"/>
  <c r="L3566" i="1"/>
  <c r="A3566" i="1"/>
  <c r="L3565" i="1"/>
  <c r="A3565" i="1"/>
  <c r="L3564" i="1"/>
  <c r="A3564" i="1"/>
  <c r="L3563" i="1"/>
  <c r="A3563" i="1"/>
  <c r="L3562" i="1"/>
  <c r="A3562" i="1"/>
  <c r="L3561" i="1"/>
  <c r="A3561" i="1"/>
  <c r="L3560" i="1"/>
  <c r="A3560" i="1"/>
  <c r="L3559" i="1"/>
  <c r="A3559" i="1"/>
  <c r="L3558" i="1"/>
  <c r="A3558" i="1"/>
  <c r="L3557" i="1"/>
  <c r="A3557" i="1"/>
  <c r="L3556" i="1"/>
  <c r="A3556" i="1"/>
  <c r="L3555" i="1"/>
  <c r="A3555" i="1"/>
  <c r="L3554" i="1"/>
  <c r="A3554" i="1"/>
  <c r="L3553" i="1"/>
  <c r="A3553" i="1"/>
  <c r="L3552" i="1"/>
  <c r="A3552" i="1"/>
  <c r="L3551" i="1"/>
  <c r="A3551" i="1"/>
  <c r="L3550" i="1"/>
  <c r="A3550" i="1"/>
  <c r="L3549" i="1"/>
  <c r="A3549" i="1"/>
  <c r="L3548" i="1"/>
  <c r="A3548" i="1"/>
  <c r="L3547" i="1"/>
  <c r="A3547" i="1"/>
  <c r="L3546" i="1"/>
  <c r="A3546" i="1"/>
  <c r="L3545" i="1"/>
  <c r="A3545" i="1"/>
  <c r="L3544" i="1"/>
  <c r="A3544" i="1"/>
  <c r="L3543" i="1"/>
  <c r="A3543" i="1"/>
  <c r="L3542" i="1"/>
  <c r="A3542" i="1"/>
  <c r="L3541" i="1"/>
  <c r="A3541" i="1"/>
  <c r="L3540" i="1"/>
  <c r="A3540" i="1"/>
  <c r="L3539" i="1"/>
  <c r="A3539" i="1"/>
  <c r="L3538" i="1"/>
  <c r="A3538" i="1"/>
  <c r="L3537" i="1"/>
  <c r="A3537" i="1"/>
  <c r="L3536" i="1"/>
  <c r="A3536" i="1"/>
  <c r="L3535" i="1"/>
  <c r="A3535" i="1"/>
  <c r="L3534" i="1"/>
  <c r="A3534" i="1"/>
  <c r="L3533" i="1"/>
  <c r="A3533" i="1"/>
  <c r="L3532" i="1"/>
  <c r="A3532" i="1"/>
  <c r="L3531" i="1"/>
  <c r="A3531" i="1"/>
  <c r="L3530" i="1"/>
  <c r="A3530" i="1"/>
  <c r="L3529" i="1"/>
  <c r="A3529" i="1"/>
  <c r="L3528" i="1"/>
  <c r="A3528" i="1"/>
  <c r="L3527" i="1"/>
  <c r="A3527" i="1"/>
  <c r="L3526" i="1"/>
  <c r="A3526" i="1"/>
  <c r="L3525" i="1"/>
  <c r="A3525" i="1"/>
  <c r="L3524" i="1"/>
  <c r="A3524" i="1"/>
  <c r="L3523" i="1"/>
  <c r="A3523" i="1"/>
  <c r="L3522" i="1"/>
  <c r="A3522" i="1"/>
  <c r="L3521" i="1"/>
  <c r="A3521" i="1"/>
  <c r="L3520" i="1"/>
  <c r="A3520" i="1"/>
  <c r="L3519" i="1"/>
  <c r="E3519" i="1"/>
  <c r="D3519" i="1"/>
  <c r="A3519" i="1"/>
  <c r="L3518" i="1"/>
  <c r="A3518" i="1"/>
  <c r="L3517" i="1"/>
  <c r="A3517" i="1"/>
  <c r="L3516" i="1"/>
  <c r="E3516" i="1"/>
  <c r="D3516" i="1"/>
  <c r="A3516" i="1"/>
  <c r="L3515" i="1"/>
  <c r="A3515" i="1"/>
  <c r="L3514" i="1"/>
  <c r="A3514" i="1"/>
  <c r="L3513" i="1"/>
  <c r="A3513" i="1"/>
  <c r="L3512" i="1"/>
  <c r="E3512" i="1"/>
  <c r="D3512" i="1"/>
  <c r="A3512" i="1"/>
  <c r="L3511" i="1"/>
  <c r="E3511" i="1"/>
  <c r="D3511" i="1"/>
  <c r="A3511" i="1"/>
  <c r="L3510" i="1"/>
  <c r="E3510" i="1"/>
  <c r="D3510" i="1"/>
  <c r="A3510" i="1"/>
  <c r="L3509" i="1"/>
  <c r="E3509" i="1"/>
  <c r="D3509" i="1"/>
  <c r="A3509" i="1"/>
  <c r="L3508" i="1"/>
  <c r="E3508" i="1"/>
  <c r="D3508" i="1"/>
  <c r="A3508" i="1"/>
  <c r="L3507" i="1"/>
  <c r="E3507" i="1"/>
  <c r="D3507" i="1"/>
  <c r="A3507" i="1"/>
  <c r="L3506" i="1"/>
  <c r="A3506" i="1"/>
  <c r="L3505" i="1"/>
  <c r="E3505" i="1"/>
  <c r="D3505" i="1"/>
  <c r="A3505" i="1"/>
  <c r="L3504" i="1"/>
  <c r="E3504" i="1"/>
  <c r="D3504" i="1"/>
  <c r="A3504" i="1"/>
  <c r="L3503" i="1"/>
  <c r="E3503" i="1"/>
  <c r="D3503" i="1"/>
  <c r="A3503" i="1"/>
  <c r="L3502" i="1"/>
  <c r="E3502" i="1"/>
  <c r="D3502" i="1"/>
  <c r="A3502" i="1"/>
  <c r="L3501" i="1"/>
  <c r="E3501" i="1"/>
  <c r="D3501" i="1"/>
  <c r="A3501" i="1"/>
  <c r="L3500" i="1"/>
  <c r="A3500" i="1"/>
  <c r="L3499" i="1"/>
  <c r="A3499" i="1"/>
  <c r="L3498" i="1"/>
  <c r="A3498" i="1"/>
  <c r="L3497" i="1"/>
  <c r="A3497" i="1"/>
  <c r="L3496" i="1"/>
  <c r="A3496" i="1"/>
  <c r="L3495" i="1"/>
  <c r="A3495" i="1"/>
  <c r="L3494" i="1"/>
  <c r="A3494" i="1"/>
  <c r="L3493" i="1"/>
  <c r="A3493" i="1"/>
  <c r="L3492" i="1"/>
  <c r="A3492" i="1"/>
  <c r="L3491" i="1"/>
  <c r="A3491" i="1"/>
  <c r="L3490" i="1"/>
  <c r="A3490" i="1"/>
  <c r="L3489" i="1"/>
  <c r="A3489" i="1"/>
  <c r="L3488" i="1"/>
  <c r="A3488" i="1"/>
  <c r="L3487" i="1"/>
  <c r="A3487" i="1"/>
  <c r="L3486" i="1"/>
  <c r="A3486" i="1"/>
  <c r="L3485" i="1"/>
  <c r="A3485" i="1"/>
  <c r="L3484" i="1"/>
  <c r="A3484" i="1"/>
  <c r="L3483" i="1"/>
  <c r="A3483" i="1"/>
  <c r="L3482" i="1"/>
  <c r="A3482" i="1"/>
  <c r="L3481" i="1"/>
  <c r="A3481" i="1"/>
  <c r="L3480" i="1"/>
  <c r="A3480" i="1"/>
  <c r="L3479" i="1"/>
  <c r="A3479" i="1"/>
  <c r="L3478" i="1"/>
  <c r="A3478" i="1"/>
  <c r="L3477" i="1"/>
  <c r="A3477" i="1"/>
  <c r="L3476" i="1"/>
  <c r="A3476" i="1"/>
  <c r="L3475" i="1"/>
  <c r="A3475" i="1"/>
  <c r="L3474" i="1"/>
  <c r="A3474" i="1"/>
  <c r="L3473" i="1"/>
  <c r="A3473" i="1"/>
  <c r="L3472" i="1"/>
  <c r="A3472" i="1"/>
  <c r="L3471" i="1"/>
  <c r="A3471" i="1"/>
  <c r="L3470" i="1"/>
  <c r="A3470" i="1"/>
  <c r="L3469" i="1"/>
  <c r="A3469" i="1"/>
  <c r="L3468" i="1"/>
  <c r="A3468" i="1"/>
  <c r="L3467" i="1"/>
  <c r="A3467" i="1"/>
  <c r="L3466" i="1"/>
  <c r="A3466" i="1"/>
  <c r="L3465" i="1"/>
  <c r="A3465" i="1"/>
  <c r="L3464" i="1"/>
  <c r="A3464" i="1"/>
  <c r="L3463" i="1"/>
  <c r="A3463" i="1"/>
  <c r="L3462" i="1"/>
  <c r="A3462" i="1"/>
  <c r="L3461" i="1"/>
  <c r="A3461" i="1"/>
  <c r="L3460" i="1"/>
  <c r="A3460" i="1"/>
  <c r="L3459" i="1"/>
  <c r="A3459" i="1"/>
  <c r="L3458" i="1"/>
  <c r="A3458" i="1"/>
  <c r="L3457" i="1"/>
  <c r="A3457" i="1"/>
  <c r="L3456" i="1"/>
  <c r="A3456" i="1"/>
  <c r="L3455" i="1"/>
  <c r="A3455" i="1"/>
  <c r="L3454" i="1"/>
  <c r="A3454" i="1"/>
  <c r="L3453" i="1"/>
  <c r="A3453" i="1"/>
  <c r="L3452" i="1"/>
  <c r="A3452" i="1"/>
  <c r="L3451" i="1"/>
  <c r="A3451" i="1"/>
  <c r="L3450" i="1"/>
  <c r="A3450" i="1"/>
  <c r="L3449" i="1"/>
  <c r="A3449" i="1"/>
  <c r="L3448" i="1"/>
  <c r="A3448" i="1"/>
  <c r="L3447" i="1"/>
  <c r="A3447" i="1"/>
  <c r="L3446" i="1"/>
  <c r="A3446" i="1"/>
  <c r="L3445" i="1"/>
  <c r="A3445" i="1"/>
  <c r="L3444" i="1"/>
  <c r="A3444" i="1"/>
  <c r="L3443" i="1"/>
  <c r="A3443" i="1"/>
  <c r="L3442" i="1"/>
  <c r="A3442" i="1"/>
  <c r="L3441" i="1"/>
  <c r="A3441" i="1"/>
  <c r="L3440" i="1"/>
  <c r="A3440" i="1"/>
  <c r="L3439" i="1"/>
  <c r="A3439" i="1"/>
  <c r="L3438" i="1"/>
  <c r="A3438" i="1"/>
  <c r="L3437" i="1"/>
  <c r="A3437" i="1"/>
  <c r="L3436" i="1"/>
  <c r="A3436" i="1"/>
  <c r="L3435" i="1"/>
  <c r="A3435" i="1"/>
  <c r="L3434" i="1"/>
  <c r="A3434" i="1"/>
  <c r="L3433" i="1"/>
  <c r="A3433" i="1"/>
  <c r="L3432" i="1"/>
  <c r="A3432" i="1"/>
  <c r="L3431" i="1"/>
  <c r="A3431" i="1"/>
  <c r="L3430" i="1"/>
  <c r="A3430" i="1"/>
  <c r="L3429" i="1"/>
  <c r="A3429" i="1"/>
  <c r="L3428" i="1"/>
  <c r="A3428" i="1"/>
  <c r="L3427" i="1"/>
  <c r="A3427" i="1"/>
  <c r="L3426" i="1"/>
  <c r="A3426" i="1"/>
  <c r="L3425" i="1"/>
  <c r="A3425" i="1"/>
  <c r="L3424" i="1"/>
  <c r="A3424" i="1"/>
  <c r="L3423" i="1"/>
  <c r="A3423" i="1"/>
  <c r="L3422" i="1"/>
  <c r="A3422" i="1"/>
  <c r="L3421" i="1"/>
  <c r="A3421" i="1"/>
  <c r="L3420" i="1"/>
  <c r="A3420" i="1"/>
  <c r="L3419" i="1"/>
  <c r="A3419" i="1"/>
  <c r="L3418" i="1"/>
  <c r="A3418" i="1"/>
  <c r="L3417" i="1"/>
  <c r="A3417" i="1"/>
  <c r="L3416" i="1"/>
  <c r="A3416" i="1"/>
  <c r="L3415" i="1"/>
  <c r="A3415" i="1"/>
  <c r="L3414" i="1"/>
  <c r="A3414" i="1"/>
  <c r="L3413" i="1"/>
  <c r="A3413" i="1"/>
  <c r="L3412" i="1"/>
  <c r="A3412" i="1"/>
  <c r="L3411" i="1"/>
  <c r="A3411" i="1"/>
  <c r="L3410" i="1"/>
  <c r="A3410" i="1"/>
  <c r="L3409" i="1"/>
  <c r="A3409" i="1"/>
  <c r="L3408" i="1"/>
  <c r="A3408" i="1"/>
  <c r="L3407" i="1"/>
  <c r="A3407" i="1"/>
  <c r="L3406" i="1"/>
  <c r="A3406" i="1"/>
  <c r="L3405" i="1"/>
  <c r="A3405" i="1"/>
  <c r="L3404" i="1"/>
  <c r="A3404" i="1"/>
  <c r="L3403" i="1"/>
  <c r="A3403" i="1"/>
  <c r="L3402" i="1"/>
  <c r="A3402" i="1"/>
  <c r="L3401" i="1"/>
  <c r="A3401" i="1"/>
  <c r="L3400" i="1"/>
  <c r="A3400" i="1"/>
  <c r="L3399" i="1"/>
  <c r="A3399" i="1"/>
  <c r="L3398" i="1"/>
  <c r="A3398" i="1"/>
  <c r="L3397" i="1"/>
  <c r="A3397" i="1"/>
  <c r="L3396" i="1"/>
  <c r="A3396" i="1"/>
  <c r="L3395" i="1"/>
  <c r="A3395" i="1"/>
  <c r="L3394" i="1"/>
  <c r="A3394" i="1"/>
  <c r="L3393" i="1"/>
  <c r="A3393" i="1"/>
  <c r="L3392" i="1"/>
  <c r="A3392" i="1"/>
  <c r="L3391" i="1"/>
  <c r="A3391" i="1"/>
  <c r="L3390" i="1"/>
  <c r="A3390" i="1"/>
  <c r="L3389" i="1"/>
  <c r="A3389" i="1"/>
  <c r="L3388" i="1"/>
  <c r="A3388" i="1"/>
  <c r="L3387" i="1"/>
  <c r="A3387" i="1"/>
  <c r="L3386" i="1"/>
  <c r="A3386" i="1"/>
  <c r="L3385" i="1"/>
  <c r="A3385" i="1"/>
  <c r="L3384" i="1"/>
  <c r="A3384" i="1"/>
  <c r="L3383" i="1"/>
  <c r="A3383" i="1"/>
  <c r="L3382" i="1"/>
  <c r="A3382" i="1"/>
  <c r="L3381" i="1"/>
  <c r="A3381" i="1"/>
  <c r="L3380" i="1"/>
  <c r="A3380" i="1"/>
  <c r="L3379" i="1"/>
  <c r="A3379" i="1"/>
  <c r="L3378" i="1"/>
  <c r="A3378" i="1"/>
  <c r="L3377" i="1"/>
  <c r="A3377" i="1"/>
  <c r="L3376" i="1"/>
  <c r="A3376" i="1"/>
  <c r="L3375" i="1"/>
  <c r="A3375" i="1"/>
  <c r="L3374" i="1"/>
  <c r="A3374" i="1"/>
  <c r="L3373" i="1"/>
  <c r="A3373" i="1"/>
  <c r="L3372" i="1"/>
  <c r="A3372" i="1"/>
  <c r="L3371" i="1"/>
  <c r="A3371" i="1"/>
  <c r="L3370" i="1"/>
  <c r="A3370" i="1"/>
  <c r="L3369" i="1"/>
  <c r="A3369" i="1"/>
  <c r="L3368" i="1"/>
  <c r="A3368" i="1"/>
  <c r="L3367" i="1"/>
  <c r="A3367" i="1"/>
  <c r="L3366" i="1"/>
  <c r="A3366" i="1"/>
  <c r="L3365" i="1"/>
  <c r="A3365" i="1"/>
  <c r="L3364" i="1"/>
  <c r="A3364" i="1"/>
  <c r="L3363" i="1"/>
  <c r="A3363" i="1"/>
  <c r="L3362" i="1"/>
  <c r="A3362" i="1"/>
  <c r="L3361" i="1"/>
  <c r="A3361" i="1"/>
  <c r="L3360" i="1"/>
  <c r="A3360" i="1"/>
  <c r="L3359" i="1"/>
  <c r="A3359" i="1"/>
  <c r="L3358" i="1"/>
  <c r="A3358" i="1"/>
  <c r="L3357" i="1"/>
  <c r="A3357" i="1"/>
  <c r="L3356" i="1"/>
  <c r="A3356" i="1"/>
  <c r="L3355" i="1"/>
  <c r="A3355" i="1"/>
  <c r="L3354" i="1"/>
  <c r="A3354" i="1"/>
  <c r="L3353" i="1"/>
  <c r="A3353" i="1"/>
  <c r="L3352" i="1"/>
  <c r="A3352" i="1"/>
  <c r="L3351" i="1"/>
  <c r="A3351" i="1"/>
  <c r="L3350" i="1"/>
  <c r="A3350" i="1"/>
  <c r="L3349" i="1"/>
  <c r="A3349" i="1"/>
  <c r="L3348" i="1"/>
  <c r="A3348" i="1"/>
  <c r="L3347" i="1"/>
  <c r="A3347" i="1"/>
  <c r="L3346" i="1"/>
  <c r="A3346" i="1"/>
  <c r="L3345" i="1"/>
  <c r="A3345" i="1"/>
  <c r="L3344" i="1"/>
  <c r="A3344" i="1"/>
  <c r="L3343" i="1"/>
  <c r="A3343" i="1"/>
  <c r="L3342" i="1"/>
  <c r="A3342" i="1"/>
  <c r="L3341" i="1"/>
  <c r="A3341" i="1"/>
  <c r="L3340" i="1"/>
  <c r="A3340" i="1"/>
  <c r="L3339" i="1"/>
  <c r="A3339" i="1"/>
  <c r="L3338" i="1"/>
  <c r="A3338" i="1"/>
  <c r="L3337" i="1"/>
  <c r="A3337" i="1"/>
  <c r="L3336" i="1"/>
  <c r="A3336" i="1"/>
  <c r="L3335" i="1"/>
  <c r="A3335" i="1"/>
  <c r="L3334" i="1"/>
  <c r="A3334" i="1"/>
  <c r="L3333" i="1"/>
  <c r="A3333" i="1"/>
  <c r="L3332" i="1"/>
  <c r="A3332" i="1"/>
  <c r="L3331" i="1"/>
  <c r="A3331" i="1"/>
  <c r="L3330" i="1"/>
  <c r="A3330" i="1"/>
  <c r="L3329" i="1"/>
  <c r="A3329" i="1"/>
  <c r="L3328" i="1"/>
  <c r="A3328" i="1"/>
  <c r="L3327" i="1"/>
  <c r="A3327" i="1"/>
  <c r="L3326" i="1"/>
  <c r="A3326" i="1"/>
  <c r="L3325" i="1"/>
  <c r="A3325" i="1"/>
  <c r="L3324" i="1"/>
  <c r="A3324" i="1"/>
  <c r="L3323" i="1"/>
  <c r="A3323" i="1"/>
  <c r="L3322" i="1"/>
  <c r="A3322" i="1"/>
  <c r="L3321" i="1"/>
  <c r="A3321" i="1"/>
  <c r="L3320" i="1"/>
  <c r="A3320" i="1"/>
  <c r="L3319" i="1"/>
  <c r="A3319" i="1"/>
  <c r="L3318" i="1"/>
  <c r="A3318" i="1"/>
  <c r="L3317" i="1"/>
  <c r="A3317" i="1"/>
  <c r="L3316" i="1"/>
  <c r="A3316" i="1"/>
  <c r="L3315" i="1"/>
  <c r="A3315" i="1"/>
  <c r="L3314" i="1"/>
  <c r="A3314" i="1"/>
  <c r="L3313" i="1"/>
  <c r="A3313" i="1"/>
  <c r="L3312" i="1"/>
  <c r="A3312" i="1"/>
  <c r="L3311" i="1"/>
  <c r="A3311" i="1"/>
  <c r="L3310" i="1"/>
  <c r="A3310" i="1"/>
  <c r="L3309" i="1"/>
  <c r="A3309" i="1"/>
  <c r="L3308" i="1"/>
  <c r="A3308" i="1"/>
  <c r="L3307" i="1"/>
  <c r="A3307" i="1"/>
  <c r="L3306" i="1"/>
  <c r="A3306" i="1"/>
  <c r="L3305" i="1"/>
  <c r="A3305" i="1"/>
  <c r="L3304" i="1"/>
  <c r="A3304" i="1"/>
  <c r="L3303" i="1"/>
  <c r="A3303" i="1"/>
  <c r="L3302" i="1"/>
  <c r="A3302" i="1"/>
  <c r="L3301" i="1"/>
  <c r="A3301" i="1"/>
  <c r="L3300" i="1"/>
  <c r="A3300" i="1"/>
  <c r="L3299" i="1"/>
  <c r="A3299" i="1"/>
  <c r="L3298" i="1"/>
  <c r="A3298" i="1"/>
  <c r="L3297" i="1"/>
  <c r="A3297" i="1"/>
  <c r="L3296" i="1"/>
  <c r="A3296" i="1"/>
  <c r="L3295" i="1"/>
  <c r="A3295" i="1"/>
  <c r="L3294" i="1"/>
  <c r="A3294" i="1"/>
  <c r="L3293" i="1"/>
  <c r="A3293" i="1"/>
  <c r="L3292" i="1"/>
  <c r="A3292" i="1"/>
  <c r="L3291" i="1"/>
  <c r="A3291" i="1"/>
  <c r="L3290" i="1"/>
  <c r="A3290" i="1"/>
  <c r="L3289" i="1"/>
  <c r="A3289" i="1"/>
  <c r="L3288" i="1"/>
  <c r="A3288" i="1"/>
  <c r="L3287" i="1"/>
  <c r="A3287" i="1"/>
  <c r="L3286" i="1"/>
  <c r="A3286" i="1"/>
  <c r="L3285" i="1"/>
  <c r="A3285" i="1"/>
  <c r="L3284" i="1"/>
  <c r="A3284" i="1"/>
  <c r="L3283" i="1"/>
  <c r="A3283" i="1"/>
  <c r="L3282" i="1"/>
  <c r="A3282" i="1"/>
  <c r="L3281" i="1"/>
  <c r="A3281" i="1"/>
  <c r="L3280" i="1"/>
  <c r="A3280" i="1"/>
  <c r="L3279" i="1"/>
  <c r="A3279" i="1"/>
  <c r="L3278" i="1"/>
  <c r="A3278" i="1"/>
  <c r="L3277" i="1"/>
  <c r="A3277" i="1"/>
  <c r="L3276" i="1"/>
  <c r="A3276" i="1"/>
  <c r="L3275" i="1"/>
  <c r="A3275" i="1"/>
  <c r="L3274" i="1"/>
  <c r="A3274" i="1"/>
  <c r="L3273" i="1"/>
  <c r="A3273" i="1"/>
  <c r="L3272" i="1"/>
  <c r="A3272" i="1"/>
  <c r="L3271" i="1"/>
  <c r="A3271" i="1"/>
  <c r="L3270" i="1"/>
  <c r="A3270" i="1"/>
  <c r="L3269" i="1"/>
  <c r="A3269" i="1"/>
  <c r="L3268" i="1"/>
  <c r="A3268" i="1"/>
  <c r="L3267" i="1"/>
  <c r="A3267" i="1"/>
  <c r="L3266" i="1"/>
  <c r="A3266" i="1"/>
  <c r="L3265" i="1"/>
  <c r="A3265" i="1"/>
  <c r="L3264" i="1"/>
  <c r="A3264" i="1"/>
  <c r="L3263" i="1"/>
  <c r="A3263" i="1"/>
  <c r="L3262" i="1"/>
  <c r="A3262" i="1"/>
  <c r="L3261" i="1"/>
  <c r="A3261" i="1"/>
  <c r="L3260" i="1"/>
  <c r="A3260" i="1"/>
  <c r="L3259" i="1"/>
  <c r="A3259" i="1"/>
  <c r="L3258" i="1"/>
  <c r="A3258" i="1"/>
  <c r="L3257" i="1"/>
  <c r="A3257" i="1"/>
  <c r="L3256" i="1"/>
  <c r="A3256" i="1"/>
  <c r="L3255" i="1"/>
  <c r="A3255" i="1"/>
  <c r="L3254" i="1"/>
  <c r="A3254" i="1"/>
  <c r="L3253" i="1"/>
  <c r="A3253" i="1"/>
  <c r="L3252" i="1"/>
  <c r="A3252" i="1"/>
  <c r="L3251" i="1"/>
  <c r="A3251" i="1"/>
  <c r="L3250" i="1"/>
  <c r="A3250" i="1"/>
  <c r="L3249" i="1"/>
  <c r="A3249" i="1"/>
  <c r="L3248" i="1"/>
  <c r="A3248" i="1"/>
  <c r="L3247" i="1"/>
  <c r="A3247" i="1"/>
  <c r="L3246" i="1"/>
  <c r="A3246" i="1"/>
  <c r="L3245" i="1"/>
  <c r="A3245" i="1"/>
  <c r="L3244" i="1"/>
  <c r="A3244" i="1"/>
  <c r="L3243" i="1"/>
  <c r="A3243" i="1"/>
  <c r="L3242" i="1"/>
  <c r="A3242" i="1"/>
  <c r="L3241" i="1"/>
  <c r="A3241" i="1"/>
  <c r="L3240" i="1"/>
  <c r="A3240" i="1"/>
  <c r="L3239" i="1"/>
  <c r="A3239" i="1"/>
  <c r="L3238" i="1"/>
  <c r="A3238" i="1"/>
  <c r="L3237" i="1"/>
  <c r="A3237" i="1"/>
  <c r="L3236" i="1"/>
  <c r="A3236" i="1"/>
  <c r="L3235" i="1"/>
  <c r="A3235" i="1"/>
  <c r="L3234" i="1"/>
  <c r="A3234" i="1"/>
  <c r="L3233" i="1"/>
  <c r="A3233" i="1"/>
  <c r="L3232" i="1"/>
  <c r="A3232" i="1"/>
  <c r="L3231" i="1"/>
  <c r="A3231" i="1"/>
  <c r="L3230" i="1"/>
  <c r="A3230" i="1"/>
  <c r="L3229" i="1"/>
  <c r="A3229" i="1"/>
  <c r="L3228" i="1"/>
  <c r="A3228" i="1"/>
  <c r="L3227" i="1"/>
  <c r="A3227" i="1"/>
  <c r="L3226" i="1"/>
  <c r="A3226" i="1"/>
  <c r="L3225" i="1"/>
  <c r="A3225" i="1"/>
  <c r="L3224" i="1"/>
  <c r="A3224" i="1"/>
  <c r="L3223" i="1"/>
  <c r="A3223" i="1"/>
  <c r="L3222" i="1"/>
  <c r="A3222" i="1"/>
  <c r="L3221" i="1"/>
  <c r="A3221" i="1"/>
  <c r="L3220" i="1"/>
  <c r="A3220" i="1"/>
  <c r="L3219" i="1"/>
  <c r="A3219" i="1"/>
  <c r="L3218" i="1"/>
  <c r="A3218" i="1"/>
  <c r="L3217" i="1"/>
  <c r="A3217" i="1"/>
  <c r="L3216" i="1"/>
  <c r="A3216" i="1"/>
  <c r="L3215" i="1"/>
  <c r="A3215" i="1"/>
  <c r="L3214" i="1"/>
  <c r="A3214" i="1"/>
  <c r="L3213" i="1"/>
  <c r="A3213" i="1"/>
  <c r="L3212" i="1"/>
  <c r="A3212" i="1"/>
  <c r="L3211" i="1"/>
  <c r="A3211" i="1"/>
  <c r="L3210" i="1"/>
  <c r="A3210" i="1"/>
  <c r="L3209" i="1"/>
  <c r="A3209" i="1"/>
  <c r="L3208" i="1"/>
  <c r="A3208" i="1"/>
  <c r="L3207" i="1"/>
  <c r="A3207" i="1"/>
  <c r="L3206" i="1"/>
  <c r="A3206" i="1"/>
  <c r="L3205" i="1"/>
  <c r="A3205" i="1"/>
  <c r="L3204" i="1"/>
  <c r="A3204" i="1"/>
  <c r="L3203" i="1"/>
  <c r="A3203" i="1"/>
  <c r="L3202" i="1"/>
  <c r="A3202" i="1"/>
  <c r="L3201" i="1"/>
  <c r="A3201" i="1"/>
  <c r="L3200" i="1"/>
  <c r="A3200" i="1"/>
  <c r="L3199" i="1"/>
  <c r="A3199" i="1"/>
  <c r="L3198" i="1"/>
  <c r="A3198" i="1"/>
  <c r="L3197" i="1"/>
  <c r="A3197" i="1"/>
  <c r="L3196" i="1"/>
  <c r="A3196" i="1"/>
  <c r="L3195" i="1"/>
  <c r="A3195" i="1"/>
  <c r="L3194" i="1"/>
  <c r="A3194" i="1"/>
  <c r="L3193" i="1"/>
  <c r="A3193" i="1"/>
  <c r="L3192" i="1"/>
  <c r="A3192" i="1"/>
  <c r="L3191" i="1"/>
  <c r="A3191" i="1"/>
  <c r="L3190" i="1"/>
  <c r="A3190" i="1"/>
  <c r="L3189" i="1"/>
  <c r="A3189" i="1"/>
  <c r="L3188" i="1"/>
  <c r="A3188" i="1"/>
  <c r="L3187" i="1"/>
  <c r="A3187" i="1"/>
  <c r="L3186" i="1"/>
  <c r="A3186" i="1"/>
  <c r="L3185" i="1"/>
  <c r="A3185" i="1"/>
  <c r="L3184" i="1"/>
  <c r="A3184" i="1"/>
  <c r="L3183" i="1"/>
  <c r="A3183" i="1"/>
  <c r="L3182" i="1"/>
  <c r="A3182" i="1"/>
  <c r="L3181" i="1"/>
  <c r="A3181" i="1"/>
  <c r="L3180" i="1"/>
  <c r="A3180" i="1"/>
  <c r="L3179" i="1"/>
  <c r="A3179" i="1"/>
  <c r="L3178" i="1"/>
  <c r="A3178" i="1"/>
  <c r="L3177" i="1"/>
  <c r="A3177" i="1"/>
  <c r="L3176" i="1"/>
  <c r="A3176" i="1"/>
  <c r="L3175" i="1"/>
  <c r="A3175" i="1"/>
  <c r="L3174" i="1"/>
  <c r="A3174" i="1"/>
  <c r="L3173" i="1"/>
  <c r="A3173" i="1"/>
  <c r="L3172" i="1"/>
  <c r="A3172" i="1"/>
  <c r="L3171" i="1"/>
  <c r="A3171" i="1"/>
  <c r="L3170" i="1"/>
  <c r="A3170" i="1"/>
  <c r="L3169" i="1"/>
  <c r="A3169" i="1"/>
  <c r="L3168" i="1"/>
  <c r="A3168" i="1"/>
  <c r="L3167" i="1"/>
  <c r="A3167" i="1"/>
  <c r="L3166" i="1"/>
  <c r="A3166" i="1"/>
  <c r="L3165" i="1"/>
  <c r="A3165" i="1"/>
  <c r="L3164" i="1"/>
  <c r="A3164" i="1"/>
  <c r="L3163" i="1"/>
  <c r="A3163" i="1"/>
  <c r="L3162" i="1"/>
  <c r="A3162" i="1"/>
  <c r="L3161" i="1"/>
  <c r="A3161" i="1"/>
  <c r="L3160" i="1"/>
  <c r="A3160" i="1"/>
  <c r="L3159" i="1"/>
  <c r="A3159" i="1"/>
  <c r="L3158" i="1"/>
  <c r="A3158" i="1"/>
  <c r="L3157" i="1"/>
  <c r="A3157" i="1"/>
  <c r="L3156" i="1"/>
  <c r="A3156" i="1"/>
  <c r="L3155" i="1"/>
  <c r="A3155" i="1"/>
  <c r="L3154" i="1"/>
  <c r="A3154" i="1"/>
  <c r="L3153" i="1"/>
  <c r="A3153" i="1"/>
  <c r="L3152" i="1"/>
  <c r="A3152" i="1"/>
  <c r="L3151" i="1"/>
  <c r="A3151" i="1"/>
  <c r="L3150" i="1"/>
  <c r="A3150" i="1"/>
  <c r="L3149" i="1"/>
  <c r="A3149" i="1"/>
  <c r="L3148" i="1"/>
  <c r="A3148" i="1"/>
  <c r="L3147" i="1"/>
  <c r="A3147" i="1"/>
  <c r="L3146" i="1"/>
  <c r="A3146" i="1"/>
  <c r="L3145" i="1"/>
  <c r="A3145" i="1"/>
  <c r="L3144" i="1"/>
  <c r="A3144" i="1"/>
  <c r="L3143" i="1"/>
  <c r="A3143" i="1"/>
  <c r="L3142" i="1"/>
  <c r="A3142" i="1"/>
  <c r="L3141" i="1"/>
  <c r="A3141" i="1"/>
  <c r="L3140" i="1"/>
  <c r="A3140" i="1"/>
  <c r="L3139" i="1"/>
  <c r="A3139" i="1"/>
  <c r="L3138" i="1"/>
  <c r="A3138" i="1"/>
  <c r="L3137" i="1"/>
  <c r="A3137" i="1"/>
  <c r="L3136" i="1"/>
  <c r="A3136" i="1"/>
  <c r="L3135" i="1"/>
  <c r="A3135" i="1"/>
  <c r="L3134" i="1"/>
  <c r="A3134" i="1"/>
  <c r="L3133" i="1"/>
  <c r="A3133" i="1"/>
  <c r="L3132" i="1"/>
  <c r="A3132" i="1"/>
  <c r="L3131" i="1"/>
  <c r="A3131" i="1"/>
  <c r="L3130" i="1"/>
  <c r="A3130" i="1"/>
  <c r="L3129" i="1"/>
  <c r="A3129" i="1"/>
  <c r="L3128" i="1"/>
  <c r="A3128" i="1"/>
  <c r="L3127" i="1"/>
  <c r="A3127" i="1"/>
  <c r="L3126" i="1"/>
  <c r="A3126" i="1"/>
  <c r="L3125" i="1"/>
  <c r="A3125" i="1"/>
  <c r="L3124" i="1"/>
  <c r="A3124" i="1"/>
  <c r="L3123" i="1"/>
  <c r="A3123" i="1"/>
  <c r="L3122" i="1"/>
  <c r="A3122" i="1"/>
  <c r="L3121" i="1"/>
  <c r="A3121" i="1"/>
  <c r="L3120" i="1"/>
  <c r="A3120" i="1"/>
  <c r="L3119" i="1"/>
  <c r="A3119" i="1"/>
  <c r="L3118" i="1"/>
  <c r="A3118" i="1"/>
  <c r="L3117" i="1"/>
  <c r="A3117" i="1"/>
  <c r="L3116" i="1"/>
  <c r="A3116" i="1"/>
  <c r="L3115" i="1"/>
  <c r="A3115" i="1"/>
  <c r="L3114" i="1"/>
  <c r="A3114" i="1"/>
  <c r="L3113" i="1"/>
  <c r="A3113" i="1"/>
  <c r="L3112" i="1"/>
  <c r="A3112" i="1"/>
  <c r="L3111" i="1"/>
  <c r="A3111" i="1"/>
  <c r="L3110" i="1"/>
  <c r="A3110" i="1"/>
  <c r="L3109" i="1"/>
  <c r="A3109" i="1"/>
  <c r="L3108" i="1"/>
  <c r="A3108" i="1"/>
  <c r="L3107" i="1"/>
  <c r="A3107" i="1"/>
  <c r="L3106" i="1"/>
  <c r="A3106" i="1"/>
  <c r="L3105" i="1"/>
  <c r="A3105" i="1"/>
  <c r="L3104" i="1"/>
  <c r="A3104" i="1"/>
  <c r="L3103" i="1"/>
  <c r="A3103" i="1"/>
  <c r="L3102" i="1"/>
  <c r="A3102" i="1"/>
  <c r="L3101" i="1"/>
  <c r="A3101" i="1"/>
  <c r="L3100" i="1"/>
  <c r="A3100" i="1"/>
  <c r="L3099" i="1"/>
  <c r="A3099" i="1"/>
  <c r="L3098" i="1"/>
  <c r="A3098" i="1"/>
  <c r="L3097" i="1"/>
  <c r="A3097" i="1"/>
  <c r="L3096" i="1"/>
  <c r="A3096" i="1"/>
  <c r="L3095" i="1"/>
  <c r="A3095" i="1"/>
  <c r="L3094" i="1"/>
  <c r="A3094" i="1"/>
  <c r="L3093" i="1"/>
  <c r="A3093" i="1"/>
  <c r="L3092" i="1"/>
  <c r="A3092" i="1"/>
  <c r="L3091" i="1"/>
  <c r="A3091" i="1"/>
  <c r="L3090" i="1"/>
  <c r="A3090" i="1"/>
  <c r="L3089" i="1"/>
  <c r="A3089" i="1"/>
  <c r="L3088" i="1"/>
  <c r="A3088" i="1"/>
  <c r="L3087" i="1"/>
  <c r="A3087" i="1"/>
  <c r="L3086" i="1"/>
  <c r="A3086" i="1"/>
  <c r="L3085" i="1"/>
  <c r="A3085" i="1"/>
  <c r="L3084" i="1"/>
  <c r="A3084" i="1"/>
  <c r="L3083" i="1"/>
  <c r="A3083" i="1"/>
  <c r="L3082" i="1"/>
  <c r="A3082" i="1"/>
  <c r="L3081" i="1"/>
  <c r="A3081" i="1"/>
  <c r="L3080" i="1"/>
  <c r="A3080" i="1"/>
  <c r="L3079" i="1"/>
  <c r="A3079" i="1"/>
  <c r="L3078" i="1"/>
  <c r="A3078" i="1"/>
  <c r="L3077" i="1"/>
  <c r="A3077" i="1"/>
  <c r="L3076" i="1"/>
  <c r="A3076" i="1"/>
  <c r="L3075" i="1"/>
  <c r="A3075" i="1"/>
  <c r="L3074" i="1"/>
  <c r="A3074" i="1"/>
  <c r="L3073" i="1"/>
  <c r="A3073" i="1"/>
  <c r="L3072" i="1"/>
  <c r="A3072" i="1"/>
  <c r="L3071" i="1"/>
  <c r="A3071" i="1"/>
  <c r="L3070" i="1"/>
  <c r="A3070" i="1"/>
  <c r="L3069" i="1"/>
  <c r="A3069" i="1"/>
  <c r="L3068" i="1"/>
  <c r="A3068" i="1"/>
  <c r="L3067" i="1"/>
  <c r="A3067" i="1"/>
  <c r="L3066" i="1"/>
  <c r="A3066" i="1"/>
  <c r="L3065" i="1"/>
  <c r="A3065" i="1"/>
  <c r="L3064" i="1"/>
  <c r="A3064" i="1"/>
  <c r="L3063" i="1"/>
  <c r="A3063" i="1"/>
  <c r="L3062" i="1"/>
  <c r="A3062" i="1"/>
  <c r="L3061" i="1"/>
  <c r="A3061" i="1"/>
  <c r="L3060" i="1"/>
  <c r="A3060" i="1"/>
  <c r="L3059" i="1"/>
  <c r="A3059" i="1"/>
  <c r="L3058" i="1"/>
  <c r="A3058" i="1"/>
  <c r="L3057" i="1"/>
  <c r="A3057" i="1"/>
  <c r="L3056" i="1"/>
  <c r="A3056" i="1"/>
  <c r="L3055" i="1"/>
  <c r="A3055" i="1"/>
  <c r="L3054" i="1"/>
  <c r="A3054" i="1"/>
  <c r="L3053" i="1"/>
  <c r="A3053" i="1"/>
  <c r="L3052" i="1"/>
  <c r="A3052" i="1"/>
  <c r="L3051" i="1"/>
  <c r="A3051" i="1"/>
  <c r="L3050" i="1"/>
  <c r="A3050" i="1"/>
  <c r="L3049" i="1"/>
  <c r="A3049" i="1"/>
  <c r="L3048" i="1"/>
  <c r="A3048" i="1"/>
  <c r="L3047" i="1"/>
  <c r="A3047" i="1"/>
  <c r="L3046" i="1"/>
  <c r="A3046" i="1"/>
  <c r="L3045" i="1"/>
  <c r="A3045" i="1"/>
  <c r="L3044" i="1"/>
  <c r="A3044" i="1"/>
  <c r="L3043" i="1"/>
  <c r="A3043" i="1"/>
  <c r="L3042" i="1"/>
  <c r="A3042" i="1"/>
  <c r="L3041" i="1"/>
  <c r="A3041" i="1"/>
  <c r="L3040" i="1"/>
  <c r="A3040" i="1"/>
  <c r="L3039" i="1"/>
  <c r="A3039" i="1"/>
  <c r="L3038" i="1"/>
  <c r="A3038" i="1"/>
  <c r="L3037" i="1"/>
  <c r="A3037" i="1"/>
  <c r="L3036" i="1"/>
  <c r="A3036" i="1"/>
  <c r="L3035" i="1"/>
  <c r="A3035" i="1"/>
  <c r="L3034" i="1"/>
  <c r="A3034" i="1"/>
  <c r="L3033" i="1"/>
  <c r="A3033" i="1"/>
  <c r="L3032" i="1"/>
  <c r="A3032" i="1"/>
  <c r="L3031" i="1"/>
  <c r="A3031" i="1"/>
  <c r="L3030" i="1"/>
  <c r="A3030" i="1"/>
  <c r="L3029" i="1"/>
  <c r="A3029" i="1"/>
  <c r="L3028" i="1"/>
  <c r="A3028" i="1"/>
  <c r="L3027" i="1"/>
  <c r="A3027" i="1"/>
  <c r="L3026" i="1"/>
  <c r="A3026" i="1"/>
  <c r="L3025" i="1"/>
  <c r="A3025" i="1"/>
  <c r="L3024" i="1"/>
  <c r="A3024" i="1"/>
  <c r="L3023" i="1"/>
  <c r="A3023" i="1"/>
  <c r="L3022" i="1"/>
  <c r="A3022" i="1"/>
  <c r="L3021" i="1"/>
  <c r="A3021" i="1"/>
  <c r="L3020" i="1"/>
  <c r="A3020" i="1"/>
  <c r="L3019" i="1"/>
  <c r="A3019" i="1"/>
  <c r="L3018" i="1"/>
  <c r="A3018" i="1"/>
  <c r="L3017" i="1"/>
  <c r="A3017" i="1"/>
  <c r="L3016" i="1"/>
  <c r="A3016" i="1"/>
  <c r="L3015" i="1"/>
  <c r="A3015" i="1"/>
  <c r="L3014" i="1"/>
  <c r="A3014" i="1"/>
  <c r="L3013" i="1"/>
  <c r="A3013" i="1"/>
  <c r="L3012" i="1"/>
  <c r="A3012" i="1"/>
  <c r="L3011" i="1"/>
  <c r="A3011" i="1"/>
  <c r="L3010" i="1"/>
  <c r="A3010" i="1"/>
  <c r="L3009" i="1"/>
  <c r="A3009" i="1"/>
  <c r="L3008" i="1"/>
  <c r="A3008" i="1"/>
  <c r="L3007" i="1"/>
  <c r="A3007" i="1"/>
  <c r="L3006" i="1"/>
  <c r="A3006" i="1"/>
  <c r="L3005" i="1"/>
  <c r="A3005" i="1"/>
  <c r="L3004" i="1"/>
  <c r="A3004" i="1"/>
  <c r="L3003" i="1"/>
  <c r="A3003" i="1"/>
  <c r="L3002" i="1"/>
  <c r="A3002" i="1"/>
  <c r="L3001" i="1"/>
  <c r="A3001" i="1"/>
  <c r="L3000" i="1"/>
  <c r="A3000" i="1"/>
  <c r="L2999" i="1"/>
  <c r="A2999" i="1"/>
  <c r="L2998" i="1"/>
  <c r="A2998" i="1"/>
  <c r="L2997" i="1"/>
  <c r="A2997" i="1"/>
  <c r="L2996" i="1"/>
  <c r="A2996" i="1"/>
  <c r="L2995" i="1"/>
  <c r="A2995" i="1"/>
  <c r="L2994" i="1"/>
  <c r="A2994" i="1"/>
  <c r="L2993" i="1"/>
  <c r="A2993" i="1"/>
  <c r="L2992" i="1"/>
  <c r="A2992" i="1"/>
  <c r="L2991" i="1"/>
  <c r="A2991" i="1"/>
  <c r="L2990" i="1"/>
  <c r="A2990" i="1"/>
  <c r="L2989" i="1"/>
  <c r="A2989" i="1"/>
  <c r="L2988" i="1"/>
  <c r="A2988" i="1"/>
  <c r="L2987" i="1"/>
  <c r="A2987" i="1"/>
  <c r="L2986" i="1"/>
  <c r="A2986" i="1"/>
  <c r="L2985" i="1"/>
  <c r="A2985" i="1"/>
  <c r="L2984" i="1"/>
  <c r="A2984" i="1"/>
  <c r="L2983" i="1"/>
  <c r="A2983" i="1"/>
  <c r="L2982" i="1"/>
  <c r="A2982" i="1"/>
  <c r="L2981" i="1"/>
  <c r="A2981" i="1"/>
  <c r="L2980" i="1"/>
  <c r="A2980" i="1"/>
  <c r="L2979" i="1"/>
  <c r="A2979" i="1"/>
  <c r="L2978" i="1"/>
  <c r="A2978" i="1"/>
  <c r="L2977" i="1"/>
  <c r="A2977" i="1"/>
  <c r="L2976" i="1"/>
  <c r="A2976" i="1"/>
  <c r="L2975" i="1"/>
  <c r="A2975" i="1"/>
  <c r="L2974" i="1"/>
  <c r="A2974" i="1"/>
  <c r="L2973" i="1"/>
  <c r="A2973" i="1"/>
  <c r="L2972" i="1"/>
  <c r="A2972" i="1"/>
  <c r="L2971" i="1"/>
  <c r="A2971" i="1"/>
  <c r="L2970" i="1"/>
  <c r="A2970" i="1"/>
  <c r="L2969" i="1"/>
  <c r="A2969" i="1"/>
  <c r="L2968" i="1"/>
  <c r="A2968" i="1"/>
  <c r="L2967" i="1"/>
  <c r="A2967" i="1"/>
  <c r="L2966" i="1"/>
  <c r="A2966" i="1"/>
  <c r="L2965" i="1"/>
  <c r="A2965" i="1"/>
  <c r="L2964" i="1"/>
  <c r="A2964" i="1"/>
  <c r="L2963" i="1"/>
  <c r="A2963" i="1"/>
  <c r="L2962" i="1"/>
  <c r="A2962" i="1"/>
  <c r="L2961" i="1"/>
  <c r="A2961" i="1"/>
  <c r="L2960" i="1"/>
  <c r="A2960" i="1"/>
  <c r="L2959" i="1"/>
  <c r="A2959" i="1"/>
  <c r="L2958" i="1"/>
  <c r="A2958" i="1"/>
  <c r="L2957" i="1"/>
  <c r="A2957" i="1"/>
  <c r="L2956" i="1"/>
  <c r="A2956" i="1"/>
  <c r="L2955" i="1"/>
  <c r="A2955" i="1"/>
  <c r="L2954" i="1"/>
  <c r="A2954" i="1"/>
  <c r="L2953" i="1"/>
  <c r="A2953" i="1"/>
  <c r="L2952" i="1"/>
  <c r="A2952" i="1"/>
  <c r="L2951" i="1"/>
  <c r="A2951" i="1"/>
  <c r="L2950" i="1"/>
  <c r="A2950" i="1"/>
  <c r="L2949" i="1"/>
  <c r="A2949" i="1"/>
  <c r="L2948" i="1"/>
  <c r="A2948" i="1"/>
  <c r="L2947" i="1"/>
  <c r="A2947" i="1"/>
  <c r="L2946" i="1"/>
  <c r="A2946" i="1"/>
  <c r="L2945" i="1"/>
  <c r="A2945" i="1"/>
  <c r="L2944" i="1"/>
  <c r="A2944" i="1"/>
  <c r="L2943" i="1"/>
  <c r="A2943" i="1"/>
  <c r="L2942" i="1"/>
  <c r="A2942" i="1"/>
  <c r="L2941" i="1"/>
  <c r="A2941" i="1"/>
  <c r="L2940" i="1"/>
  <c r="A2940" i="1"/>
  <c r="L2939" i="1"/>
  <c r="A2939" i="1"/>
  <c r="L2938" i="1"/>
  <c r="A2938" i="1"/>
  <c r="L2937" i="1"/>
  <c r="A2937" i="1"/>
  <c r="L2936" i="1"/>
  <c r="A2936" i="1"/>
  <c r="L2935" i="1"/>
  <c r="A2935" i="1"/>
  <c r="L2934" i="1"/>
  <c r="A2934" i="1"/>
  <c r="L2933" i="1"/>
  <c r="A2933" i="1"/>
  <c r="L2932" i="1"/>
  <c r="A2932" i="1"/>
  <c r="L2931" i="1"/>
  <c r="A2931" i="1"/>
  <c r="L2930" i="1"/>
  <c r="A2930" i="1"/>
  <c r="L2929" i="1"/>
  <c r="A2929" i="1"/>
  <c r="L2928" i="1"/>
  <c r="A2928" i="1"/>
  <c r="L2927" i="1"/>
  <c r="A2927" i="1"/>
  <c r="L2926" i="1"/>
  <c r="A2926" i="1"/>
  <c r="L2925" i="1"/>
  <c r="A2925" i="1"/>
  <c r="L2924" i="1"/>
  <c r="A2924" i="1"/>
  <c r="L2923" i="1"/>
  <c r="A2923" i="1"/>
  <c r="L2922" i="1"/>
  <c r="A2922" i="1"/>
  <c r="L2921" i="1"/>
  <c r="A2921" i="1"/>
  <c r="L2920" i="1"/>
  <c r="A2920" i="1"/>
  <c r="L2919" i="1"/>
  <c r="A2919" i="1"/>
  <c r="L2918" i="1"/>
  <c r="A2918" i="1"/>
  <c r="L2917" i="1"/>
  <c r="A2917" i="1"/>
  <c r="L2916" i="1"/>
  <c r="A2916" i="1"/>
  <c r="L2915" i="1"/>
  <c r="A2915" i="1"/>
  <c r="L2914" i="1"/>
  <c r="A2914" i="1"/>
  <c r="L2913" i="1"/>
  <c r="A2913" i="1"/>
  <c r="L2912" i="1"/>
  <c r="A2912" i="1"/>
  <c r="L2911" i="1"/>
  <c r="A2911" i="1"/>
  <c r="L2910" i="1"/>
  <c r="A2910" i="1"/>
  <c r="L2909" i="1"/>
  <c r="A2909" i="1"/>
  <c r="L2908" i="1"/>
  <c r="A2908" i="1"/>
  <c r="L2907" i="1"/>
  <c r="A2907" i="1"/>
  <c r="L2906" i="1"/>
  <c r="A2906" i="1"/>
  <c r="L2905" i="1"/>
  <c r="A2905" i="1"/>
  <c r="L2904" i="1"/>
  <c r="A2904" i="1"/>
  <c r="L2903" i="1"/>
  <c r="A2903" i="1"/>
  <c r="L2902" i="1"/>
  <c r="A2902" i="1"/>
  <c r="L2901" i="1"/>
  <c r="A2901" i="1"/>
  <c r="L2900" i="1"/>
  <c r="A2900" i="1"/>
  <c r="L2899" i="1"/>
  <c r="A2899" i="1"/>
  <c r="L2898" i="1"/>
  <c r="A2898" i="1"/>
  <c r="L2897" i="1"/>
  <c r="A2897" i="1"/>
  <c r="L2896" i="1"/>
  <c r="A2896" i="1"/>
  <c r="L2895" i="1"/>
  <c r="A2895" i="1"/>
  <c r="L2894" i="1"/>
  <c r="A2894" i="1"/>
  <c r="L2893" i="1"/>
  <c r="A2893" i="1"/>
  <c r="L2892" i="1"/>
  <c r="A2892" i="1"/>
  <c r="L2891" i="1"/>
  <c r="A2891" i="1"/>
  <c r="L2890" i="1"/>
  <c r="A2890" i="1"/>
  <c r="L2889" i="1"/>
  <c r="A2889" i="1"/>
  <c r="L2888" i="1"/>
  <c r="A2888" i="1"/>
  <c r="L2887" i="1"/>
  <c r="A2887" i="1"/>
  <c r="L2886" i="1"/>
  <c r="A2886" i="1"/>
  <c r="L2885" i="1"/>
  <c r="A2885" i="1"/>
  <c r="L2884" i="1"/>
  <c r="A2884" i="1"/>
  <c r="L2883" i="1"/>
  <c r="A2883" i="1"/>
  <c r="L2882" i="1"/>
  <c r="A2882" i="1"/>
  <c r="L2881" i="1"/>
  <c r="A2881" i="1"/>
  <c r="L2880" i="1"/>
  <c r="A2880" i="1"/>
  <c r="L2879" i="1"/>
  <c r="A2879" i="1"/>
  <c r="L2878" i="1"/>
  <c r="A2878" i="1"/>
  <c r="L2877" i="1"/>
  <c r="A2877" i="1"/>
  <c r="L2876" i="1"/>
  <c r="A2876" i="1"/>
  <c r="L2875" i="1"/>
  <c r="A2875" i="1"/>
  <c r="L2874" i="1"/>
  <c r="A2874" i="1"/>
  <c r="L2873" i="1"/>
  <c r="A2873" i="1"/>
  <c r="L2872" i="1"/>
  <c r="A2872" i="1"/>
  <c r="L2871" i="1"/>
  <c r="A2871" i="1"/>
  <c r="L2870" i="1"/>
  <c r="A2870" i="1"/>
  <c r="L2869" i="1"/>
  <c r="A2869" i="1"/>
  <c r="L2868" i="1"/>
  <c r="A2868" i="1"/>
  <c r="L2867" i="1"/>
  <c r="A2867" i="1"/>
  <c r="L2866" i="1"/>
  <c r="A2866" i="1"/>
  <c r="L2865" i="1"/>
  <c r="A2865" i="1"/>
  <c r="L2864" i="1"/>
  <c r="A2864" i="1"/>
  <c r="L2863" i="1"/>
  <c r="A2863" i="1"/>
  <c r="L2862" i="1"/>
  <c r="A2862" i="1"/>
  <c r="L2861" i="1"/>
  <c r="A2861" i="1"/>
  <c r="L2860" i="1"/>
  <c r="A2860" i="1"/>
  <c r="L2859" i="1"/>
  <c r="A2859" i="1"/>
  <c r="L2858" i="1"/>
  <c r="A2858" i="1"/>
  <c r="L2857" i="1"/>
  <c r="A2857" i="1"/>
  <c r="L2856" i="1"/>
  <c r="A2856" i="1"/>
  <c r="L2855" i="1"/>
  <c r="A2855" i="1"/>
  <c r="L2854" i="1"/>
  <c r="A2854" i="1"/>
  <c r="L2853" i="1"/>
  <c r="A2853" i="1"/>
  <c r="L2852" i="1"/>
  <c r="A2852" i="1"/>
  <c r="L2851" i="1"/>
  <c r="A2851" i="1"/>
  <c r="L2850" i="1"/>
  <c r="A2850" i="1"/>
  <c r="L2849" i="1"/>
  <c r="A2849" i="1"/>
  <c r="L2848" i="1"/>
  <c r="A2848" i="1"/>
  <c r="L2847" i="1"/>
  <c r="A2847" i="1"/>
  <c r="L2846" i="1"/>
  <c r="A2846" i="1"/>
  <c r="L2845" i="1"/>
  <c r="A2845" i="1"/>
  <c r="L2844" i="1"/>
  <c r="A2844" i="1"/>
  <c r="L2843" i="1"/>
  <c r="A2843" i="1"/>
  <c r="L2842" i="1"/>
  <c r="A2842" i="1"/>
  <c r="L2841" i="1"/>
  <c r="A2841" i="1"/>
  <c r="L2840" i="1"/>
  <c r="A2840" i="1"/>
  <c r="L2839" i="1"/>
  <c r="A2839" i="1"/>
  <c r="L2838" i="1"/>
  <c r="A2838" i="1"/>
  <c r="L2837" i="1"/>
  <c r="A2837" i="1"/>
  <c r="L2836" i="1"/>
  <c r="A2836" i="1"/>
  <c r="L2835" i="1"/>
  <c r="A2835" i="1"/>
  <c r="L2834" i="1"/>
  <c r="A2834" i="1"/>
  <c r="L2833" i="1"/>
  <c r="A2833" i="1"/>
  <c r="L2832" i="1"/>
  <c r="A2832" i="1"/>
  <c r="L2831" i="1"/>
  <c r="A2831" i="1"/>
  <c r="L2830" i="1"/>
  <c r="A2830" i="1"/>
  <c r="L2829" i="1"/>
  <c r="A2829" i="1"/>
  <c r="L2828" i="1"/>
  <c r="A2828" i="1"/>
  <c r="L2827" i="1"/>
  <c r="A2827" i="1"/>
  <c r="L2826" i="1"/>
  <c r="A2826" i="1"/>
  <c r="L2825" i="1"/>
  <c r="A2825" i="1"/>
  <c r="L2824" i="1"/>
  <c r="A2824" i="1"/>
  <c r="L2823" i="1"/>
  <c r="A2823" i="1"/>
  <c r="L2822" i="1"/>
  <c r="A2822" i="1"/>
  <c r="L2821" i="1"/>
  <c r="A2821" i="1"/>
  <c r="L2820" i="1"/>
  <c r="A2820" i="1"/>
  <c r="L2819" i="1"/>
  <c r="A2819" i="1"/>
  <c r="L2818" i="1"/>
  <c r="A2818" i="1"/>
  <c r="L2817" i="1"/>
  <c r="A2817" i="1"/>
  <c r="L2816" i="1"/>
  <c r="A2816" i="1"/>
  <c r="L2815" i="1"/>
  <c r="A2815" i="1"/>
  <c r="L2814" i="1"/>
  <c r="A2814" i="1"/>
  <c r="L2813" i="1"/>
  <c r="A2813" i="1"/>
  <c r="L2812" i="1"/>
  <c r="A2812" i="1"/>
  <c r="L2811" i="1"/>
  <c r="A2811" i="1"/>
  <c r="L2810" i="1"/>
  <c r="A2810" i="1"/>
  <c r="L2809" i="1"/>
  <c r="A2809" i="1"/>
  <c r="L2808" i="1"/>
  <c r="A2808" i="1"/>
  <c r="L2807" i="1"/>
  <c r="A2807" i="1"/>
  <c r="L2806" i="1"/>
  <c r="A2806" i="1"/>
  <c r="L2805" i="1"/>
  <c r="A2805" i="1"/>
  <c r="L2804" i="1"/>
  <c r="A2804" i="1"/>
  <c r="L2803" i="1"/>
  <c r="A2803" i="1"/>
  <c r="L2802" i="1"/>
  <c r="A2802" i="1"/>
  <c r="L2801" i="1"/>
  <c r="A2801" i="1"/>
  <c r="L2800" i="1"/>
  <c r="A2800" i="1"/>
  <c r="L2799" i="1"/>
  <c r="A2799" i="1"/>
  <c r="L2798" i="1"/>
  <c r="A2798" i="1"/>
  <c r="L2797" i="1"/>
  <c r="A2797" i="1"/>
  <c r="L2796" i="1"/>
  <c r="A2796" i="1"/>
  <c r="L2795" i="1"/>
  <c r="A2795" i="1"/>
  <c r="L2794" i="1"/>
  <c r="A2794" i="1"/>
  <c r="L2793" i="1"/>
  <c r="A2793" i="1"/>
  <c r="L2792" i="1"/>
  <c r="A2792" i="1"/>
  <c r="L2791" i="1"/>
  <c r="A2791" i="1"/>
  <c r="L2790" i="1"/>
  <c r="A2790" i="1"/>
  <c r="L2789" i="1"/>
  <c r="A2789" i="1"/>
  <c r="L2788" i="1"/>
  <c r="A2788" i="1"/>
  <c r="L2787" i="1"/>
  <c r="A2787" i="1"/>
  <c r="L2786" i="1"/>
  <c r="A2786" i="1"/>
  <c r="L2785" i="1"/>
  <c r="A2785" i="1"/>
  <c r="L2784" i="1"/>
  <c r="A2784" i="1"/>
  <c r="L2783" i="1"/>
  <c r="A2783" i="1"/>
  <c r="L2782" i="1"/>
  <c r="A2782" i="1"/>
  <c r="L2781" i="1"/>
  <c r="A2781" i="1"/>
  <c r="L2780" i="1"/>
  <c r="A2780" i="1"/>
  <c r="L2779" i="1"/>
  <c r="A2779" i="1"/>
  <c r="L2778" i="1"/>
  <c r="A2778" i="1"/>
  <c r="L2777" i="1"/>
  <c r="A2777" i="1"/>
  <c r="L2776" i="1"/>
  <c r="A2776" i="1"/>
  <c r="L2775" i="1"/>
  <c r="A2775" i="1"/>
  <c r="L2774" i="1"/>
  <c r="A2774" i="1"/>
  <c r="L2773" i="1"/>
  <c r="A2773" i="1"/>
  <c r="L2772" i="1"/>
  <c r="A2772" i="1"/>
  <c r="L2771" i="1"/>
  <c r="A2771" i="1"/>
  <c r="L2770" i="1"/>
  <c r="A2770" i="1"/>
  <c r="L2769" i="1"/>
  <c r="A2769" i="1"/>
  <c r="L2768" i="1"/>
  <c r="A2768" i="1"/>
  <c r="L2767" i="1"/>
  <c r="A2767" i="1"/>
  <c r="L2766" i="1"/>
  <c r="A2766" i="1"/>
  <c r="L2765" i="1"/>
  <c r="A2765" i="1"/>
  <c r="L2764" i="1"/>
  <c r="A2764" i="1"/>
  <c r="L2763" i="1"/>
  <c r="A2763" i="1"/>
  <c r="L2762" i="1"/>
  <c r="A2762" i="1"/>
  <c r="L2761" i="1"/>
  <c r="A2761" i="1"/>
  <c r="L2760" i="1"/>
  <c r="A2760" i="1"/>
  <c r="L2759" i="1"/>
  <c r="A2759" i="1"/>
  <c r="L2758" i="1"/>
  <c r="A2758" i="1"/>
  <c r="L2757" i="1"/>
  <c r="A2757" i="1"/>
  <c r="L2756" i="1"/>
  <c r="A2756" i="1"/>
  <c r="L2755" i="1"/>
  <c r="A2755" i="1"/>
  <c r="L2754" i="1"/>
  <c r="A2754" i="1"/>
  <c r="L2753" i="1"/>
  <c r="A2753" i="1"/>
  <c r="L2752" i="1"/>
  <c r="A2752" i="1"/>
  <c r="L2751" i="1"/>
  <c r="A2751" i="1"/>
  <c r="L2750" i="1"/>
  <c r="A2750" i="1"/>
  <c r="L2749" i="1"/>
  <c r="A2749" i="1"/>
  <c r="L2748" i="1"/>
  <c r="A2748" i="1"/>
  <c r="L2747" i="1"/>
  <c r="A2747" i="1"/>
  <c r="L2746" i="1"/>
  <c r="A2746" i="1"/>
  <c r="L2745" i="1"/>
  <c r="A2745" i="1"/>
  <c r="L2744" i="1"/>
  <c r="A2744" i="1"/>
  <c r="L2743" i="1"/>
  <c r="A2743" i="1"/>
  <c r="L2742" i="1"/>
  <c r="A2742" i="1"/>
  <c r="L2741" i="1"/>
  <c r="A2741" i="1"/>
  <c r="L2740" i="1"/>
  <c r="A2740" i="1"/>
  <c r="L2739" i="1"/>
  <c r="A2739" i="1"/>
  <c r="L2738" i="1"/>
  <c r="A2738" i="1"/>
  <c r="L2737" i="1"/>
  <c r="A2737" i="1"/>
  <c r="L2736" i="1"/>
  <c r="A2736" i="1"/>
  <c r="L2735" i="1"/>
  <c r="A2735" i="1"/>
  <c r="L2734" i="1"/>
  <c r="A2734" i="1"/>
  <c r="L2733" i="1"/>
  <c r="A2733" i="1"/>
  <c r="L2732" i="1"/>
  <c r="A2732" i="1"/>
  <c r="L2731" i="1"/>
  <c r="A2731" i="1"/>
  <c r="L2730" i="1"/>
  <c r="A2730" i="1"/>
  <c r="L2729" i="1"/>
  <c r="A2729" i="1"/>
  <c r="L2728" i="1"/>
  <c r="A2728" i="1"/>
  <c r="L2727" i="1"/>
  <c r="A2727" i="1"/>
  <c r="L2726" i="1"/>
  <c r="A2726" i="1"/>
  <c r="L2725" i="1"/>
  <c r="A2725" i="1"/>
  <c r="L2724" i="1"/>
  <c r="A2724" i="1"/>
  <c r="L2723" i="1"/>
  <c r="A2723" i="1"/>
  <c r="L2722" i="1"/>
  <c r="A2722" i="1"/>
  <c r="L2721" i="1"/>
  <c r="A2721" i="1"/>
  <c r="L2720" i="1"/>
  <c r="A2720" i="1"/>
  <c r="L2719" i="1"/>
  <c r="A2719" i="1"/>
  <c r="L2718" i="1"/>
  <c r="A2718" i="1"/>
  <c r="L2717" i="1"/>
  <c r="A2717" i="1"/>
  <c r="L2716" i="1"/>
  <c r="A2716" i="1"/>
  <c r="L2715" i="1"/>
  <c r="A2715" i="1"/>
  <c r="L2714" i="1"/>
  <c r="A2714" i="1"/>
  <c r="L2713" i="1"/>
  <c r="A2713" i="1"/>
  <c r="L2712" i="1"/>
  <c r="A2712" i="1"/>
  <c r="L2711" i="1"/>
  <c r="A2711" i="1"/>
  <c r="L2710" i="1"/>
  <c r="A2710" i="1"/>
  <c r="L2709" i="1"/>
  <c r="A2709" i="1"/>
  <c r="L2708" i="1"/>
  <c r="A2708" i="1"/>
  <c r="L2707" i="1"/>
  <c r="A2707" i="1"/>
  <c r="L2706" i="1"/>
  <c r="A2706" i="1"/>
  <c r="L2705" i="1"/>
  <c r="A2705" i="1"/>
  <c r="L2704" i="1"/>
  <c r="A2704" i="1"/>
  <c r="L2703" i="1"/>
  <c r="A2703" i="1"/>
  <c r="L2702" i="1"/>
  <c r="A2702" i="1"/>
  <c r="L2701" i="1"/>
  <c r="A2701" i="1"/>
  <c r="L2700" i="1"/>
  <c r="A2700" i="1"/>
  <c r="L2699" i="1"/>
  <c r="A2699" i="1"/>
  <c r="L2698" i="1"/>
  <c r="A2698" i="1"/>
  <c r="L2697" i="1"/>
  <c r="A2697" i="1"/>
  <c r="L2696" i="1"/>
  <c r="A2696" i="1"/>
  <c r="L2695" i="1"/>
  <c r="A2695" i="1"/>
  <c r="L2694" i="1"/>
  <c r="A2694" i="1"/>
  <c r="L2693" i="1"/>
  <c r="A2693" i="1"/>
  <c r="L2692" i="1"/>
  <c r="A2692" i="1"/>
  <c r="L2691" i="1"/>
  <c r="A2691" i="1"/>
  <c r="L2690" i="1"/>
  <c r="A2690" i="1"/>
  <c r="L2689" i="1"/>
  <c r="A2689" i="1"/>
  <c r="L2688" i="1"/>
  <c r="A2688" i="1"/>
  <c r="L2687" i="1"/>
  <c r="A2687" i="1"/>
  <c r="L2686" i="1"/>
  <c r="A2686" i="1"/>
  <c r="L2685" i="1"/>
  <c r="A2685" i="1"/>
  <c r="L2684" i="1"/>
  <c r="A2684" i="1"/>
  <c r="L2683" i="1"/>
  <c r="A2683" i="1"/>
  <c r="L2682" i="1"/>
  <c r="A2682" i="1"/>
  <c r="L2681" i="1"/>
  <c r="A2681" i="1"/>
  <c r="L2680" i="1"/>
  <c r="A2680" i="1"/>
  <c r="L2679" i="1"/>
  <c r="A2679" i="1"/>
  <c r="L2678" i="1"/>
  <c r="A2678" i="1"/>
  <c r="L2677" i="1"/>
  <c r="A2677" i="1"/>
  <c r="L2676" i="1"/>
  <c r="A2676" i="1"/>
  <c r="L2675" i="1"/>
  <c r="A2675" i="1"/>
  <c r="L2674" i="1"/>
  <c r="A2674" i="1"/>
  <c r="L2673" i="1"/>
  <c r="A2673" i="1"/>
  <c r="L2672" i="1"/>
  <c r="A2672" i="1"/>
  <c r="L2671" i="1"/>
  <c r="A2671" i="1"/>
  <c r="L2670" i="1"/>
  <c r="A2670" i="1"/>
  <c r="L2669" i="1"/>
  <c r="A2669" i="1"/>
  <c r="L2668" i="1"/>
  <c r="A2668" i="1"/>
  <c r="L2667" i="1"/>
  <c r="A2667" i="1"/>
  <c r="L2666" i="1"/>
  <c r="A2666" i="1"/>
  <c r="L2665" i="1"/>
  <c r="A2665" i="1"/>
  <c r="L2664" i="1"/>
  <c r="A2664" i="1"/>
  <c r="L2663" i="1"/>
  <c r="A2663" i="1"/>
  <c r="L2662" i="1"/>
  <c r="A2662" i="1"/>
  <c r="L2661" i="1"/>
  <c r="A2661" i="1"/>
  <c r="L2660" i="1"/>
  <c r="A2660" i="1"/>
  <c r="L2659" i="1"/>
  <c r="A2659" i="1"/>
  <c r="L2658" i="1"/>
  <c r="A2658" i="1"/>
  <c r="L2657" i="1"/>
  <c r="A2657" i="1"/>
  <c r="L2656" i="1"/>
  <c r="A2656" i="1"/>
  <c r="L2655" i="1"/>
  <c r="A2655" i="1"/>
  <c r="L2654" i="1"/>
  <c r="A2654" i="1"/>
  <c r="L2653" i="1"/>
  <c r="A2653" i="1"/>
  <c r="L2652" i="1"/>
  <c r="A2652" i="1"/>
  <c r="L2651" i="1"/>
  <c r="A2651" i="1"/>
  <c r="L2650" i="1"/>
  <c r="A2650" i="1"/>
  <c r="L2649" i="1"/>
  <c r="A2649" i="1"/>
  <c r="L2648" i="1"/>
  <c r="A2648" i="1"/>
  <c r="L2647" i="1"/>
  <c r="A2647" i="1"/>
  <c r="L2646" i="1"/>
  <c r="A2646" i="1"/>
  <c r="L2645" i="1"/>
  <c r="A2645" i="1"/>
  <c r="L2644" i="1"/>
  <c r="A2644" i="1"/>
  <c r="L2643" i="1"/>
  <c r="A2643" i="1"/>
  <c r="L2642" i="1"/>
  <c r="A2642" i="1"/>
  <c r="L2641" i="1"/>
  <c r="A2641" i="1"/>
  <c r="L2640" i="1"/>
  <c r="A2640" i="1"/>
  <c r="L2639" i="1"/>
  <c r="A2639" i="1"/>
  <c r="L2638" i="1"/>
  <c r="A2638" i="1"/>
  <c r="L2637" i="1"/>
  <c r="A2637" i="1"/>
  <c r="L2636" i="1"/>
  <c r="A2636" i="1"/>
  <c r="L2635" i="1"/>
  <c r="A2635" i="1"/>
  <c r="L2634" i="1"/>
  <c r="A2634" i="1"/>
  <c r="L2633" i="1"/>
  <c r="A2633" i="1"/>
  <c r="L2632" i="1"/>
  <c r="A2632" i="1"/>
  <c r="L2631" i="1"/>
  <c r="A2631" i="1"/>
  <c r="L2630" i="1"/>
  <c r="A2630" i="1"/>
  <c r="L2629" i="1"/>
  <c r="A2629" i="1"/>
  <c r="L2628" i="1"/>
  <c r="A2628" i="1"/>
  <c r="L2627" i="1"/>
  <c r="A2627" i="1"/>
  <c r="L2626" i="1"/>
  <c r="A2626" i="1"/>
  <c r="L2625" i="1"/>
  <c r="A2625" i="1"/>
  <c r="L2624" i="1"/>
  <c r="A2624" i="1"/>
  <c r="L2623" i="1"/>
  <c r="A2623" i="1"/>
  <c r="L2622" i="1"/>
  <c r="A2622" i="1"/>
  <c r="L2621" i="1"/>
  <c r="A2621" i="1"/>
  <c r="L2620" i="1"/>
  <c r="A2620" i="1"/>
  <c r="L2619" i="1"/>
  <c r="A2619" i="1"/>
  <c r="L2618" i="1"/>
  <c r="A2618" i="1"/>
  <c r="L2617" i="1"/>
  <c r="A2617" i="1"/>
  <c r="L2616" i="1"/>
  <c r="A2616" i="1"/>
  <c r="L2615" i="1"/>
  <c r="A2615" i="1"/>
  <c r="L2614" i="1"/>
  <c r="A2614" i="1"/>
  <c r="L2613" i="1"/>
  <c r="A2613" i="1"/>
  <c r="L2612" i="1"/>
  <c r="A2612" i="1"/>
  <c r="L2611" i="1"/>
  <c r="A2611" i="1"/>
  <c r="L2610" i="1"/>
  <c r="A2610" i="1"/>
  <c r="L2609" i="1"/>
  <c r="A2609" i="1"/>
  <c r="L2608" i="1"/>
  <c r="A2608" i="1"/>
  <c r="L2607" i="1"/>
  <c r="A2607" i="1"/>
  <c r="L2606" i="1"/>
  <c r="A2606" i="1"/>
  <c r="L2605" i="1"/>
  <c r="A2605" i="1"/>
  <c r="L2604" i="1"/>
  <c r="A2604" i="1"/>
  <c r="L2603" i="1"/>
  <c r="A2603" i="1"/>
  <c r="L2602" i="1"/>
  <c r="A2602" i="1"/>
  <c r="L2601" i="1"/>
  <c r="A2601" i="1"/>
  <c r="L2600" i="1"/>
  <c r="A2600" i="1"/>
  <c r="L2599" i="1"/>
  <c r="A2599" i="1"/>
  <c r="L2598" i="1"/>
  <c r="A2598" i="1"/>
  <c r="L2597" i="1"/>
  <c r="A2597" i="1"/>
  <c r="L2596" i="1"/>
  <c r="A2596" i="1"/>
  <c r="L2595" i="1"/>
  <c r="A2595" i="1"/>
  <c r="L2594" i="1"/>
  <c r="A2594" i="1"/>
  <c r="L2593" i="1"/>
  <c r="A2593" i="1"/>
  <c r="L2592" i="1"/>
  <c r="A2592" i="1"/>
  <c r="L2591" i="1"/>
  <c r="A2591" i="1"/>
  <c r="L2590" i="1"/>
  <c r="A2590" i="1"/>
  <c r="L2589" i="1"/>
  <c r="A2589" i="1"/>
  <c r="L2588" i="1"/>
  <c r="A2588" i="1"/>
  <c r="L2587" i="1"/>
  <c r="A2587" i="1"/>
  <c r="L2586" i="1"/>
  <c r="A2586" i="1"/>
  <c r="L2585" i="1"/>
  <c r="A2585" i="1"/>
  <c r="L2584" i="1"/>
  <c r="A2584" i="1"/>
  <c r="L2583" i="1"/>
  <c r="A2583" i="1"/>
  <c r="L2582" i="1"/>
  <c r="A2582" i="1"/>
  <c r="L2581" i="1"/>
  <c r="A2581" i="1"/>
  <c r="L2580" i="1"/>
  <c r="A2580" i="1"/>
  <c r="L2579" i="1"/>
  <c r="A2579" i="1"/>
  <c r="L2578" i="1"/>
  <c r="A2578" i="1"/>
  <c r="L2577" i="1"/>
  <c r="A2577" i="1"/>
  <c r="L2576" i="1"/>
  <c r="A2576" i="1"/>
  <c r="L2575" i="1"/>
  <c r="A2575" i="1"/>
  <c r="L2574" i="1"/>
  <c r="A2574" i="1"/>
  <c r="L2573" i="1"/>
  <c r="A2573" i="1"/>
  <c r="L2572" i="1"/>
  <c r="A2572" i="1"/>
  <c r="L2571" i="1"/>
  <c r="A2571" i="1"/>
  <c r="L2570" i="1"/>
  <c r="A2570" i="1"/>
  <c r="L2569" i="1"/>
  <c r="A2569" i="1"/>
  <c r="L2568" i="1"/>
  <c r="A2568" i="1"/>
  <c r="L2567" i="1"/>
  <c r="A2567" i="1"/>
  <c r="L2566" i="1"/>
  <c r="E2566" i="1"/>
  <c r="D2566" i="1"/>
  <c r="A2566" i="1"/>
  <c r="L2565" i="1"/>
  <c r="E2565" i="1"/>
  <c r="D2565" i="1"/>
  <c r="A2565" i="1"/>
  <c r="L2564" i="1"/>
  <c r="A2564" i="1"/>
  <c r="L2563" i="1"/>
  <c r="A2563" i="1"/>
  <c r="L2562" i="1"/>
  <c r="A2562" i="1"/>
  <c r="L2561" i="1"/>
  <c r="A2561" i="1"/>
  <c r="L2560" i="1"/>
  <c r="A2560" i="1"/>
  <c r="L2559" i="1"/>
  <c r="A2559" i="1"/>
  <c r="L2558" i="1"/>
  <c r="A2558" i="1"/>
  <c r="L2557" i="1"/>
  <c r="A2557" i="1"/>
  <c r="L2556" i="1"/>
  <c r="A2556" i="1"/>
  <c r="L2555" i="1"/>
  <c r="A2555" i="1"/>
  <c r="L2554" i="1"/>
  <c r="E2554" i="1"/>
  <c r="D2554" i="1"/>
  <c r="A2554" i="1"/>
  <c r="L2553" i="1"/>
  <c r="E2553" i="1"/>
  <c r="D2553" i="1"/>
  <c r="A2553" i="1"/>
  <c r="L2552" i="1"/>
  <c r="E2552" i="1"/>
  <c r="D2552" i="1"/>
  <c r="A2552" i="1"/>
  <c r="L2551" i="1"/>
  <c r="E2551" i="1"/>
  <c r="D2551" i="1"/>
  <c r="A2551" i="1"/>
  <c r="L2550" i="1"/>
  <c r="E2550" i="1"/>
  <c r="D2550" i="1"/>
  <c r="A2550" i="1"/>
  <c r="L2549" i="1"/>
  <c r="E2549" i="1"/>
  <c r="D2549" i="1"/>
  <c r="A2549" i="1"/>
  <c r="L2548" i="1"/>
  <c r="A2548" i="1"/>
  <c r="L2547" i="1"/>
  <c r="A2547" i="1"/>
  <c r="L2546" i="1"/>
  <c r="A2546" i="1"/>
  <c r="L2545" i="1"/>
  <c r="A2545" i="1"/>
  <c r="L2544" i="1"/>
  <c r="A2544" i="1"/>
  <c r="L2543" i="1"/>
  <c r="A2543" i="1"/>
  <c r="L2542" i="1"/>
  <c r="A2542" i="1"/>
  <c r="L2541" i="1"/>
  <c r="A2541" i="1"/>
  <c r="L2540" i="1"/>
  <c r="E2540" i="1"/>
  <c r="D2540" i="1"/>
  <c r="A2540" i="1"/>
  <c r="L2539" i="1"/>
  <c r="E2539" i="1"/>
  <c r="D2539" i="1"/>
  <c r="A2539" i="1"/>
  <c r="L2538" i="1"/>
  <c r="E2538" i="1"/>
  <c r="D2538" i="1"/>
  <c r="A2538" i="1"/>
  <c r="L2537" i="1"/>
  <c r="E2537" i="1"/>
  <c r="D2537" i="1"/>
  <c r="A2537" i="1"/>
  <c r="L2536" i="1"/>
  <c r="E2536" i="1"/>
  <c r="D2536" i="1"/>
  <c r="A2536" i="1"/>
  <c r="L2535" i="1"/>
  <c r="A2535" i="1"/>
  <c r="L2534" i="1"/>
  <c r="A2534" i="1"/>
  <c r="L2533" i="1"/>
  <c r="A2533" i="1"/>
  <c r="L2532" i="1"/>
  <c r="A2532" i="1"/>
  <c r="L2531" i="1"/>
  <c r="A2531" i="1"/>
  <c r="L2530" i="1"/>
  <c r="A2530" i="1"/>
  <c r="L2529" i="1"/>
  <c r="A2529" i="1"/>
  <c r="L2528" i="1"/>
  <c r="A2528" i="1"/>
  <c r="L2527" i="1"/>
  <c r="A2527" i="1"/>
  <c r="L2526" i="1"/>
  <c r="A2526" i="1"/>
  <c r="L2525" i="1"/>
  <c r="A2525" i="1"/>
  <c r="L2524" i="1"/>
  <c r="A2524" i="1"/>
  <c r="L2523" i="1"/>
  <c r="A2523" i="1"/>
  <c r="L2522" i="1"/>
  <c r="A2522" i="1"/>
  <c r="L2521" i="1"/>
  <c r="A2521" i="1"/>
  <c r="L2520" i="1"/>
  <c r="A2520" i="1"/>
  <c r="L2519" i="1"/>
  <c r="A2519" i="1"/>
  <c r="L2518" i="1"/>
  <c r="A2518" i="1"/>
  <c r="L2517" i="1"/>
  <c r="A2517" i="1"/>
  <c r="L2516" i="1"/>
  <c r="A2516" i="1"/>
  <c r="L2515" i="1"/>
  <c r="A2515" i="1"/>
  <c r="L2514" i="1"/>
  <c r="A2514" i="1"/>
  <c r="L2513" i="1"/>
  <c r="A2513" i="1"/>
  <c r="L2512" i="1"/>
  <c r="A2512" i="1"/>
  <c r="L2511" i="1"/>
  <c r="A2511" i="1"/>
  <c r="L2510" i="1"/>
  <c r="A2510" i="1"/>
  <c r="L2509" i="1"/>
  <c r="A2509" i="1"/>
  <c r="L2508" i="1"/>
  <c r="A2508" i="1"/>
  <c r="L2507" i="1"/>
  <c r="A2507" i="1"/>
  <c r="L2506" i="1"/>
  <c r="A2506" i="1"/>
  <c r="L2505" i="1"/>
  <c r="A2505" i="1"/>
  <c r="L2504" i="1"/>
  <c r="A2504" i="1"/>
  <c r="L2503" i="1"/>
  <c r="A2503" i="1"/>
  <c r="L2502" i="1"/>
  <c r="A2502" i="1"/>
  <c r="L2501" i="1"/>
  <c r="A2501" i="1"/>
  <c r="L2500" i="1"/>
  <c r="A2500" i="1"/>
  <c r="L2499" i="1"/>
  <c r="A2499" i="1"/>
  <c r="L2498" i="1"/>
  <c r="A2498" i="1"/>
  <c r="L2497" i="1"/>
  <c r="A2497" i="1"/>
  <c r="L2496" i="1"/>
  <c r="A2496" i="1"/>
  <c r="L2495" i="1"/>
  <c r="A2495" i="1"/>
  <c r="L2494" i="1"/>
  <c r="A2494" i="1"/>
  <c r="L2493" i="1"/>
  <c r="A2493" i="1"/>
  <c r="L2492" i="1"/>
  <c r="A2492" i="1"/>
  <c r="L2491" i="1"/>
  <c r="A2491" i="1"/>
  <c r="L2490" i="1"/>
  <c r="A2490" i="1"/>
  <c r="L2489" i="1"/>
  <c r="A2489" i="1"/>
  <c r="L2488" i="1"/>
  <c r="A2488" i="1"/>
  <c r="L2487" i="1"/>
  <c r="A2487" i="1"/>
  <c r="L2486" i="1"/>
  <c r="A2486" i="1"/>
  <c r="L2485" i="1"/>
  <c r="A2485" i="1"/>
  <c r="L2484" i="1"/>
  <c r="A2484" i="1"/>
  <c r="L2483" i="1"/>
  <c r="A2483" i="1"/>
  <c r="L2482" i="1"/>
  <c r="A2482" i="1"/>
  <c r="L2481" i="1"/>
  <c r="A2481" i="1"/>
  <c r="L2480" i="1"/>
  <c r="A2480" i="1"/>
  <c r="L2479" i="1"/>
  <c r="A2479" i="1"/>
  <c r="L2478" i="1"/>
  <c r="A2478" i="1"/>
  <c r="L2477" i="1"/>
  <c r="A2477" i="1"/>
  <c r="L2476" i="1"/>
  <c r="A2476" i="1"/>
  <c r="L2475" i="1"/>
  <c r="A2475" i="1"/>
  <c r="L2474" i="1"/>
  <c r="A2474" i="1"/>
  <c r="L2473" i="1"/>
  <c r="A2473" i="1"/>
  <c r="L2472" i="1"/>
  <c r="A2472" i="1"/>
  <c r="L2471" i="1"/>
  <c r="A2471" i="1"/>
  <c r="L2470" i="1"/>
  <c r="A2470" i="1"/>
  <c r="L2469" i="1"/>
  <c r="A2469" i="1"/>
  <c r="L2468" i="1"/>
  <c r="A2468" i="1"/>
  <c r="L2467" i="1"/>
  <c r="A2467" i="1"/>
  <c r="L2466" i="1"/>
  <c r="A2466" i="1"/>
  <c r="L2465" i="1"/>
  <c r="A2465" i="1"/>
  <c r="L2464" i="1"/>
  <c r="A2464" i="1"/>
  <c r="L2463" i="1"/>
  <c r="A2463" i="1"/>
  <c r="L2462" i="1"/>
  <c r="A2462" i="1"/>
  <c r="L2461" i="1"/>
  <c r="A2461" i="1"/>
  <c r="L2460" i="1"/>
  <c r="A2460" i="1"/>
  <c r="L2459" i="1"/>
  <c r="A2459" i="1"/>
  <c r="L2458" i="1"/>
  <c r="A2458" i="1"/>
  <c r="L2457" i="1"/>
  <c r="A2457" i="1"/>
  <c r="L2456" i="1"/>
  <c r="A2456" i="1"/>
  <c r="L2455" i="1"/>
  <c r="A2455" i="1"/>
  <c r="L2454" i="1"/>
  <c r="A2454" i="1"/>
  <c r="L2453" i="1"/>
  <c r="A2453" i="1"/>
  <c r="L2452" i="1"/>
  <c r="A2452" i="1"/>
  <c r="L2451" i="1"/>
  <c r="A2451" i="1"/>
  <c r="L2450" i="1"/>
  <c r="A2450" i="1"/>
  <c r="L2449" i="1"/>
  <c r="A2449" i="1"/>
  <c r="L2448" i="1"/>
  <c r="A2448" i="1"/>
  <c r="L2447" i="1"/>
  <c r="A2447" i="1"/>
  <c r="L2446" i="1"/>
  <c r="A2446" i="1"/>
  <c r="L2445" i="1"/>
  <c r="A2445" i="1"/>
  <c r="L2444" i="1"/>
  <c r="A2444" i="1"/>
  <c r="L2443" i="1"/>
  <c r="A2443" i="1"/>
  <c r="L2442" i="1"/>
  <c r="A2442" i="1"/>
  <c r="L2441" i="1"/>
  <c r="A2441" i="1"/>
  <c r="L2440" i="1"/>
  <c r="A2440" i="1"/>
  <c r="L2439" i="1"/>
  <c r="A2439" i="1"/>
  <c r="L2438" i="1"/>
  <c r="A2438" i="1"/>
  <c r="L2437" i="1"/>
  <c r="A2437" i="1"/>
  <c r="L2436" i="1"/>
  <c r="A2436" i="1"/>
  <c r="L2435" i="1"/>
  <c r="A2435" i="1"/>
  <c r="L2434" i="1"/>
  <c r="A2434" i="1"/>
  <c r="L2433" i="1"/>
  <c r="A2433" i="1"/>
  <c r="L2432" i="1"/>
  <c r="A2432" i="1"/>
  <c r="L2431" i="1"/>
  <c r="A2431" i="1"/>
  <c r="L2430" i="1"/>
  <c r="A2430" i="1"/>
  <c r="L2429" i="1"/>
  <c r="A2429" i="1"/>
  <c r="L2428" i="1"/>
  <c r="A2428" i="1"/>
  <c r="L2427" i="1"/>
  <c r="A2427" i="1"/>
  <c r="L2426" i="1"/>
  <c r="A2426" i="1"/>
  <c r="L2425" i="1"/>
  <c r="A2425" i="1"/>
  <c r="L2424" i="1"/>
  <c r="A2424" i="1"/>
  <c r="L2423" i="1"/>
  <c r="A2423" i="1"/>
  <c r="L2422" i="1"/>
  <c r="A2422" i="1"/>
  <c r="L2421" i="1"/>
  <c r="A2421" i="1"/>
  <c r="L2420" i="1"/>
  <c r="A2420" i="1"/>
  <c r="L2419" i="1"/>
  <c r="A2419" i="1"/>
  <c r="L2418" i="1"/>
  <c r="A2418" i="1"/>
  <c r="L2417" i="1"/>
  <c r="A2417" i="1"/>
  <c r="L2416" i="1"/>
  <c r="A2416" i="1"/>
  <c r="L2415" i="1"/>
  <c r="A2415" i="1"/>
  <c r="L2414" i="1"/>
  <c r="A2414" i="1"/>
  <c r="L2413" i="1"/>
  <c r="A2413" i="1"/>
  <c r="L2412" i="1"/>
  <c r="A2412" i="1"/>
  <c r="L2411" i="1"/>
  <c r="A2411" i="1"/>
  <c r="L2410" i="1"/>
  <c r="A2410" i="1"/>
  <c r="L2409" i="1"/>
  <c r="A2409" i="1"/>
  <c r="L2408" i="1"/>
  <c r="A2408" i="1"/>
  <c r="L2407" i="1"/>
  <c r="A2407" i="1"/>
  <c r="L2406" i="1"/>
  <c r="A2406" i="1"/>
  <c r="L2405" i="1"/>
  <c r="A2405" i="1"/>
  <c r="L2404" i="1"/>
  <c r="A2404" i="1"/>
  <c r="L2403" i="1"/>
  <c r="A2403" i="1"/>
  <c r="L2402" i="1"/>
  <c r="A2402" i="1"/>
  <c r="L2401" i="1"/>
  <c r="A2401" i="1"/>
  <c r="L2400" i="1"/>
  <c r="A2400" i="1"/>
  <c r="L2399" i="1"/>
  <c r="A2399" i="1"/>
  <c r="L2398" i="1"/>
  <c r="A2398" i="1"/>
  <c r="L2397" i="1"/>
  <c r="A2397" i="1"/>
  <c r="L2396" i="1"/>
  <c r="A2396" i="1"/>
  <c r="L2395" i="1"/>
  <c r="A2395" i="1"/>
  <c r="L2394" i="1"/>
  <c r="A2394" i="1"/>
  <c r="L2393" i="1"/>
  <c r="A2393" i="1"/>
  <c r="L2392" i="1"/>
  <c r="A2392" i="1"/>
  <c r="L2391" i="1"/>
  <c r="A2391" i="1"/>
  <c r="L2390" i="1"/>
  <c r="A2390" i="1"/>
  <c r="L2389" i="1"/>
  <c r="A2389" i="1"/>
  <c r="L2388" i="1"/>
  <c r="A2388" i="1"/>
  <c r="L2387" i="1"/>
  <c r="A2387" i="1"/>
  <c r="L2386" i="1"/>
  <c r="A2386" i="1"/>
  <c r="L2385" i="1"/>
  <c r="A2385" i="1"/>
  <c r="L2384" i="1"/>
  <c r="A2384" i="1"/>
  <c r="L2383" i="1"/>
  <c r="A2383" i="1"/>
  <c r="L2382" i="1"/>
  <c r="A2382" i="1"/>
  <c r="L2381" i="1"/>
  <c r="A2381" i="1"/>
  <c r="L2380" i="1"/>
  <c r="A2380" i="1"/>
  <c r="L2379" i="1"/>
  <c r="A2379" i="1"/>
  <c r="L2378" i="1"/>
  <c r="A2378" i="1"/>
  <c r="L2377" i="1"/>
  <c r="A2377" i="1"/>
  <c r="L2376" i="1"/>
  <c r="A2376" i="1"/>
  <c r="L2375" i="1"/>
  <c r="A2375" i="1"/>
  <c r="L2374" i="1"/>
  <c r="A2374" i="1"/>
  <c r="L2373" i="1"/>
  <c r="A2373" i="1"/>
  <c r="L2372" i="1"/>
  <c r="A2372" i="1"/>
  <c r="L2371" i="1"/>
  <c r="A2371" i="1"/>
  <c r="L2370" i="1"/>
  <c r="A2370" i="1"/>
  <c r="L2369" i="1"/>
  <c r="A2369" i="1"/>
  <c r="L2368" i="1"/>
  <c r="A2368" i="1"/>
  <c r="L2367" i="1"/>
  <c r="A2367" i="1"/>
  <c r="L2366" i="1"/>
  <c r="A2366" i="1"/>
  <c r="L2365" i="1"/>
  <c r="A2365" i="1"/>
  <c r="L2364" i="1"/>
  <c r="A2364" i="1"/>
  <c r="L2363" i="1"/>
  <c r="A2363" i="1"/>
  <c r="L2362" i="1"/>
  <c r="A2362" i="1"/>
  <c r="L2361" i="1"/>
  <c r="A2361" i="1"/>
  <c r="L2360" i="1"/>
  <c r="A2360" i="1"/>
  <c r="L2359" i="1"/>
  <c r="A2359" i="1"/>
  <c r="L2358" i="1"/>
  <c r="A2358" i="1"/>
  <c r="L2357" i="1"/>
  <c r="A2357" i="1"/>
  <c r="L2356" i="1"/>
  <c r="A2356" i="1"/>
  <c r="L2355" i="1"/>
  <c r="A2355" i="1"/>
  <c r="L2354" i="1"/>
  <c r="A2354" i="1"/>
  <c r="L2353" i="1"/>
  <c r="A2353" i="1"/>
  <c r="L2352" i="1"/>
  <c r="A2352" i="1"/>
  <c r="L2351" i="1"/>
  <c r="A2351" i="1"/>
  <c r="L2350" i="1"/>
  <c r="A2350" i="1"/>
  <c r="L2349" i="1"/>
  <c r="A2349" i="1"/>
  <c r="L2348" i="1"/>
  <c r="A2348" i="1"/>
  <c r="L2347" i="1"/>
  <c r="A2347" i="1"/>
  <c r="L2346" i="1"/>
  <c r="A2346" i="1"/>
  <c r="L2345" i="1"/>
  <c r="A2345" i="1"/>
  <c r="L2344" i="1"/>
  <c r="A2344" i="1"/>
  <c r="L2343" i="1"/>
  <c r="A2343" i="1"/>
  <c r="L2342" i="1"/>
  <c r="A2342" i="1"/>
  <c r="L2341" i="1"/>
  <c r="A2341" i="1"/>
  <c r="L2340" i="1"/>
  <c r="A2340" i="1"/>
  <c r="L2339" i="1"/>
  <c r="A2339" i="1"/>
  <c r="L2338" i="1"/>
  <c r="A2338" i="1"/>
  <c r="L2337" i="1"/>
  <c r="A2337" i="1"/>
  <c r="L2336" i="1"/>
  <c r="A2336" i="1"/>
  <c r="L2335" i="1"/>
  <c r="A2335" i="1"/>
  <c r="L2334" i="1"/>
  <c r="A2334" i="1"/>
  <c r="L2333" i="1"/>
  <c r="A2333" i="1"/>
  <c r="L2332" i="1"/>
  <c r="A2332" i="1"/>
  <c r="L2331" i="1"/>
  <c r="A2331" i="1"/>
  <c r="L2330" i="1"/>
  <c r="A2330" i="1"/>
  <c r="L2329" i="1"/>
  <c r="A2329" i="1"/>
  <c r="L2328" i="1"/>
  <c r="A2328" i="1"/>
  <c r="L2327" i="1"/>
  <c r="A2327" i="1"/>
  <c r="L2326" i="1"/>
  <c r="A2326" i="1"/>
  <c r="L2325" i="1"/>
  <c r="A2325" i="1"/>
  <c r="L2324" i="1"/>
  <c r="A2324" i="1"/>
  <c r="L2323" i="1"/>
  <c r="A2323" i="1"/>
  <c r="L2322" i="1"/>
  <c r="A2322" i="1"/>
  <c r="L2321" i="1"/>
  <c r="A2321" i="1"/>
  <c r="L2320" i="1"/>
  <c r="A2320" i="1"/>
  <c r="L2319" i="1"/>
  <c r="A2319" i="1"/>
  <c r="L2318" i="1"/>
  <c r="A2318" i="1"/>
  <c r="L2317" i="1"/>
  <c r="A2317" i="1"/>
  <c r="L2316" i="1"/>
  <c r="A2316" i="1"/>
  <c r="L2315" i="1"/>
  <c r="A2315" i="1"/>
  <c r="L2314" i="1"/>
  <c r="A2314" i="1"/>
  <c r="L2313" i="1"/>
  <c r="A2313" i="1"/>
  <c r="L2312" i="1"/>
  <c r="A2312" i="1"/>
  <c r="L2311" i="1"/>
  <c r="A2311" i="1"/>
  <c r="L2310" i="1"/>
  <c r="A2310" i="1"/>
  <c r="L2309" i="1"/>
  <c r="A2309" i="1"/>
  <c r="L2308" i="1"/>
  <c r="A2308" i="1"/>
  <c r="L2307" i="1"/>
  <c r="A2307" i="1"/>
  <c r="L2306" i="1"/>
  <c r="A2306" i="1"/>
  <c r="L2305" i="1"/>
  <c r="A2305" i="1"/>
  <c r="L2304" i="1"/>
  <c r="A2304" i="1"/>
  <c r="L2303" i="1"/>
  <c r="A2303" i="1"/>
  <c r="L2302" i="1"/>
  <c r="A2302" i="1"/>
  <c r="L2301" i="1"/>
  <c r="A2301" i="1"/>
  <c r="L2300" i="1"/>
  <c r="A2300" i="1"/>
  <c r="L2299" i="1"/>
  <c r="A2299" i="1"/>
  <c r="L2298" i="1"/>
  <c r="A2298" i="1"/>
  <c r="L2297" i="1"/>
  <c r="A2297" i="1"/>
  <c r="L2296" i="1"/>
  <c r="A2296" i="1"/>
  <c r="L2295" i="1"/>
  <c r="A2295" i="1"/>
  <c r="L2294" i="1"/>
  <c r="A2294" i="1"/>
  <c r="L2293" i="1"/>
  <c r="A2293" i="1"/>
  <c r="L2292" i="1"/>
  <c r="A2292" i="1"/>
  <c r="L2291" i="1"/>
  <c r="A2291" i="1"/>
  <c r="L2290" i="1"/>
  <c r="A2290" i="1"/>
  <c r="L2289" i="1"/>
  <c r="A2289" i="1"/>
  <c r="L2288" i="1"/>
  <c r="A2288" i="1"/>
  <c r="L2287" i="1"/>
  <c r="A2287" i="1"/>
  <c r="L2286" i="1"/>
  <c r="A2286" i="1"/>
  <c r="L2285" i="1"/>
  <c r="A2285" i="1"/>
  <c r="L2284" i="1"/>
  <c r="A2284" i="1"/>
  <c r="L2283" i="1"/>
  <c r="A2283" i="1"/>
  <c r="L2282" i="1"/>
  <c r="A2282" i="1"/>
  <c r="L2281" i="1"/>
  <c r="A2281" i="1"/>
  <c r="L2280" i="1"/>
  <c r="A2280" i="1"/>
  <c r="L2279" i="1"/>
  <c r="A2279" i="1"/>
  <c r="L2278" i="1"/>
  <c r="A2278" i="1"/>
  <c r="L2277" i="1"/>
  <c r="A2277" i="1"/>
  <c r="L2276" i="1"/>
  <c r="A2276" i="1"/>
  <c r="L2275" i="1"/>
  <c r="A2275" i="1"/>
  <c r="L2274" i="1"/>
  <c r="A2274" i="1"/>
  <c r="L2273" i="1"/>
  <c r="A2273" i="1"/>
  <c r="L2272" i="1"/>
  <c r="A2272" i="1"/>
  <c r="L2271" i="1"/>
  <c r="A2271" i="1"/>
  <c r="L2270" i="1"/>
  <c r="A2270" i="1"/>
  <c r="L2269" i="1"/>
  <c r="A2269" i="1"/>
  <c r="L2268" i="1"/>
  <c r="A2268" i="1"/>
  <c r="L2267" i="1"/>
  <c r="A2267" i="1"/>
  <c r="L2266" i="1"/>
  <c r="A2266" i="1"/>
  <c r="L2265" i="1"/>
  <c r="A2265" i="1"/>
  <c r="L2264" i="1"/>
  <c r="A2264" i="1"/>
  <c r="L2263" i="1"/>
  <c r="A2263" i="1"/>
  <c r="L2262" i="1"/>
  <c r="A2262" i="1"/>
  <c r="L2261" i="1"/>
  <c r="A2261" i="1"/>
  <c r="L2260" i="1"/>
  <c r="A2260" i="1"/>
  <c r="L2259" i="1"/>
  <c r="A2259" i="1"/>
  <c r="L2258" i="1"/>
  <c r="A2258" i="1"/>
  <c r="L2257" i="1"/>
  <c r="A2257" i="1"/>
  <c r="L2256" i="1"/>
  <c r="A2256" i="1"/>
  <c r="L2255" i="1"/>
  <c r="A2255" i="1"/>
  <c r="L2254" i="1"/>
  <c r="A2254" i="1"/>
  <c r="L2253" i="1"/>
  <c r="A2253" i="1"/>
  <c r="L2252" i="1"/>
  <c r="A2252" i="1"/>
  <c r="L2251" i="1"/>
  <c r="A2251" i="1"/>
  <c r="L2250" i="1"/>
  <c r="A2250" i="1"/>
  <c r="L2249" i="1"/>
  <c r="A2249" i="1"/>
  <c r="L2248" i="1"/>
  <c r="A2248" i="1"/>
  <c r="L2247" i="1"/>
  <c r="A2247" i="1"/>
  <c r="L2246" i="1"/>
  <c r="A2246" i="1"/>
  <c r="L2245" i="1"/>
  <c r="A2245" i="1"/>
  <c r="L2244" i="1"/>
  <c r="A2244" i="1"/>
  <c r="L2243" i="1"/>
  <c r="A2243" i="1"/>
  <c r="L2242" i="1"/>
  <c r="A2242" i="1"/>
  <c r="L2241" i="1"/>
  <c r="A2241" i="1"/>
  <c r="L2240" i="1"/>
  <c r="A2240" i="1"/>
  <c r="L2239" i="1"/>
  <c r="A2239" i="1"/>
  <c r="L2238" i="1"/>
  <c r="A2238" i="1"/>
  <c r="L2237" i="1"/>
  <c r="A2237" i="1"/>
  <c r="L2236" i="1"/>
  <c r="A2236" i="1"/>
  <c r="L2235" i="1"/>
  <c r="A2235" i="1"/>
  <c r="L2234" i="1"/>
  <c r="A2234" i="1"/>
  <c r="L2233" i="1"/>
  <c r="A2233" i="1"/>
  <c r="L2232" i="1"/>
  <c r="A2232" i="1"/>
  <c r="L2231" i="1"/>
  <c r="A2231" i="1"/>
  <c r="L2230" i="1"/>
  <c r="A2230" i="1"/>
  <c r="L2229" i="1"/>
  <c r="A2229" i="1"/>
  <c r="L2228" i="1"/>
  <c r="A2228" i="1"/>
  <c r="L2227" i="1"/>
  <c r="A2227" i="1"/>
  <c r="L2226" i="1"/>
  <c r="A2226" i="1"/>
  <c r="L2225" i="1"/>
  <c r="A2225" i="1"/>
  <c r="L2224" i="1"/>
  <c r="A2224" i="1"/>
  <c r="L2223" i="1"/>
  <c r="A2223" i="1"/>
  <c r="L2222" i="1"/>
  <c r="A2222" i="1"/>
  <c r="L2221" i="1"/>
  <c r="A2221" i="1"/>
  <c r="L2220" i="1"/>
  <c r="A2220" i="1"/>
  <c r="L2219" i="1"/>
  <c r="A2219" i="1"/>
  <c r="L2218" i="1"/>
  <c r="A2218" i="1"/>
  <c r="L2217" i="1"/>
  <c r="A2217" i="1"/>
  <c r="L2216" i="1"/>
  <c r="A2216" i="1"/>
  <c r="L2215" i="1"/>
  <c r="A2215" i="1"/>
  <c r="L2214" i="1"/>
  <c r="A2214" i="1"/>
  <c r="L2213" i="1"/>
  <c r="A2213" i="1"/>
  <c r="L2212" i="1"/>
  <c r="A2212" i="1"/>
  <c r="L2211" i="1"/>
  <c r="A2211" i="1"/>
  <c r="L2210" i="1"/>
  <c r="A2210" i="1"/>
  <c r="L2209" i="1"/>
  <c r="A2209" i="1"/>
  <c r="L2208" i="1"/>
  <c r="A2208" i="1"/>
  <c r="L2207" i="1"/>
  <c r="A2207" i="1"/>
  <c r="L2206" i="1"/>
  <c r="A2206" i="1"/>
  <c r="L2205" i="1"/>
  <c r="A2205" i="1"/>
  <c r="L2204" i="1"/>
  <c r="A2204" i="1"/>
  <c r="L2203" i="1"/>
  <c r="A2203" i="1"/>
  <c r="L2202" i="1"/>
  <c r="A2202" i="1"/>
  <c r="L2201" i="1"/>
  <c r="A2201" i="1"/>
  <c r="L2200" i="1"/>
  <c r="A2200" i="1"/>
  <c r="L2199" i="1"/>
  <c r="A2199" i="1"/>
  <c r="L2198" i="1"/>
  <c r="A2198" i="1"/>
  <c r="L2197" i="1"/>
  <c r="A2197" i="1"/>
  <c r="L2196" i="1"/>
  <c r="A2196" i="1"/>
  <c r="L2195" i="1"/>
  <c r="A2195" i="1"/>
  <c r="L2194" i="1"/>
  <c r="A2194" i="1"/>
  <c r="L2193" i="1"/>
  <c r="A2193" i="1"/>
  <c r="L2192" i="1"/>
  <c r="A2192" i="1"/>
  <c r="L2191" i="1"/>
  <c r="A2191" i="1"/>
  <c r="L2190" i="1"/>
  <c r="A2190" i="1"/>
  <c r="L2189" i="1"/>
  <c r="A2189" i="1"/>
  <c r="L2188" i="1"/>
  <c r="A2188" i="1"/>
  <c r="L2187" i="1"/>
  <c r="A2187" i="1"/>
  <c r="L2186" i="1"/>
  <c r="A2186" i="1"/>
  <c r="L2185" i="1"/>
  <c r="A2185" i="1"/>
  <c r="L2184" i="1"/>
  <c r="A2184" i="1"/>
  <c r="L2183" i="1"/>
  <c r="A2183" i="1"/>
  <c r="L2182" i="1"/>
  <c r="A2182" i="1"/>
  <c r="L2181" i="1"/>
  <c r="A2181" i="1"/>
  <c r="L2180" i="1"/>
  <c r="A2180" i="1"/>
  <c r="L2179" i="1"/>
  <c r="A2179" i="1"/>
  <c r="L2178" i="1"/>
  <c r="A2178" i="1"/>
  <c r="L2177" i="1"/>
  <c r="A2177" i="1"/>
  <c r="L2176" i="1"/>
  <c r="A2176" i="1"/>
  <c r="L2175" i="1"/>
  <c r="A2175" i="1"/>
  <c r="L2174" i="1"/>
  <c r="A2174" i="1"/>
  <c r="L2173" i="1"/>
  <c r="A2173" i="1"/>
  <c r="L2172" i="1"/>
  <c r="A2172" i="1"/>
  <c r="L2171" i="1"/>
  <c r="A2171" i="1"/>
  <c r="L2170" i="1"/>
  <c r="A2170" i="1"/>
  <c r="L2169" i="1"/>
  <c r="A2169" i="1"/>
  <c r="L2168" i="1"/>
  <c r="A2168" i="1"/>
  <c r="L2167" i="1"/>
  <c r="A2167" i="1"/>
  <c r="L2166" i="1"/>
  <c r="A2166" i="1"/>
  <c r="L2165" i="1"/>
  <c r="A2165" i="1"/>
  <c r="L2164" i="1"/>
  <c r="A2164" i="1"/>
  <c r="L2163" i="1"/>
  <c r="A2163" i="1"/>
  <c r="L2162" i="1"/>
  <c r="A2162" i="1"/>
  <c r="L2161" i="1"/>
  <c r="A2161" i="1"/>
  <c r="L2160" i="1"/>
  <c r="A2160" i="1"/>
  <c r="L2159" i="1"/>
  <c r="A2159" i="1"/>
  <c r="L2158" i="1"/>
  <c r="A2158" i="1"/>
  <c r="L2157" i="1"/>
  <c r="A2157" i="1"/>
  <c r="L2156" i="1"/>
  <c r="A2156" i="1"/>
  <c r="L2155" i="1"/>
  <c r="A2155" i="1"/>
  <c r="L2154" i="1"/>
  <c r="A2154" i="1"/>
  <c r="L2153" i="1"/>
  <c r="A2153" i="1"/>
  <c r="L2152" i="1"/>
  <c r="A2152" i="1"/>
  <c r="L2151" i="1"/>
  <c r="A2151" i="1"/>
  <c r="L2150" i="1"/>
  <c r="A2150" i="1"/>
  <c r="L2149" i="1"/>
  <c r="A2149" i="1"/>
  <c r="L2148" i="1"/>
  <c r="A2148" i="1"/>
  <c r="L2147" i="1"/>
  <c r="A2147" i="1"/>
  <c r="L2146" i="1"/>
  <c r="A2146" i="1"/>
  <c r="L2145" i="1"/>
  <c r="A2145" i="1"/>
  <c r="L2144" i="1"/>
  <c r="A2144" i="1"/>
  <c r="L2143" i="1"/>
  <c r="A2143" i="1"/>
  <c r="L2142" i="1"/>
  <c r="A2142" i="1"/>
  <c r="L2141" i="1"/>
  <c r="A2141" i="1"/>
  <c r="L2140" i="1"/>
  <c r="A2140" i="1"/>
  <c r="L2139" i="1"/>
  <c r="A2139" i="1"/>
  <c r="L2138" i="1"/>
  <c r="A2138" i="1"/>
  <c r="L2137" i="1"/>
  <c r="A2137" i="1"/>
  <c r="L2136" i="1"/>
  <c r="A2136" i="1"/>
  <c r="L2135" i="1"/>
  <c r="A2135" i="1"/>
  <c r="L2134" i="1"/>
  <c r="A2134" i="1"/>
  <c r="L2133" i="1"/>
  <c r="A2133" i="1"/>
  <c r="L2132" i="1"/>
  <c r="A2132" i="1"/>
  <c r="L2131" i="1"/>
  <c r="A2131" i="1"/>
  <c r="L2130" i="1"/>
  <c r="A2130" i="1"/>
  <c r="L2129" i="1"/>
  <c r="A2129" i="1"/>
  <c r="L2128" i="1"/>
  <c r="A2128" i="1"/>
  <c r="L2127" i="1"/>
  <c r="A2127" i="1"/>
  <c r="L2126" i="1"/>
  <c r="A2126" i="1"/>
  <c r="L2125" i="1"/>
  <c r="A2125" i="1"/>
  <c r="L2124" i="1"/>
  <c r="A2124" i="1"/>
  <c r="L2123" i="1"/>
  <c r="A2123" i="1"/>
  <c r="L2122" i="1"/>
  <c r="A2122" i="1"/>
  <c r="L2121" i="1"/>
  <c r="A2121" i="1"/>
  <c r="L2120" i="1"/>
  <c r="A2120" i="1"/>
  <c r="L2119" i="1"/>
  <c r="A2119" i="1"/>
  <c r="L2118" i="1"/>
  <c r="A2118" i="1"/>
  <c r="L2117" i="1"/>
  <c r="A2117" i="1"/>
  <c r="L2116" i="1"/>
  <c r="A2116" i="1"/>
  <c r="L2115" i="1"/>
  <c r="A2115" i="1"/>
  <c r="L2114" i="1"/>
  <c r="A2114" i="1"/>
  <c r="L2113" i="1"/>
  <c r="A2113" i="1"/>
  <c r="L2112" i="1"/>
  <c r="A2112" i="1"/>
  <c r="L2111" i="1"/>
  <c r="A2111" i="1"/>
  <c r="L2110" i="1"/>
  <c r="A2110" i="1"/>
  <c r="L2109" i="1"/>
  <c r="A2109" i="1"/>
  <c r="L2108" i="1"/>
  <c r="A2108" i="1"/>
  <c r="L2107" i="1"/>
  <c r="A2107" i="1"/>
  <c r="L2106" i="1"/>
  <c r="A2106" i="1"/>
  <c r="L2105" i="1"/>
  <c r="A2105" i="1"/>
  <c r="L2104" i="1"/>
  <c r="A2104" i="1"/>
  <c r="L2103" i="1"/>
  <c r="A2103" i="1"/>
  <c r="L2102" i="1"/>
  <c r="A2102" i="1"/>
  <c r="L2101" i="1"/>
  <c r="A2101" i="1"/>
  <c r="L2100" i="1"/>
  <c r="A2100" i="1"/>
  <c r="L2099" i="1"/>
  <c r="A2099" i="1"/>
  <c r="L2098" i="1"/>
  <c r="A2098" i="1"/>
  <c r="L2097" i="1"/>
  <c r="A2097" i="1"/>
  <c r="L2096" i="1"/>
  <c r="A2096" i="1"/>
  <c r="L2095" i="1"/>
  <c r="A2095" i="1"/>
  <c r="L2094" i="1"/>
  <c r="A2094" i="1"/>
  <c r="L2093" i="1"/>
  <c r="A2093" i="1"/>
  <c r="L2092" i="1"/>
  <c r="A2092" i="1"/>
  <c r="L2091" i="1"/>
  <c r="A2091" i="1"/>
  <c r="L2090" i="1"/>
  <c r="A2090" i="1"/>
  <c r="L2089" i="1"/>
  <c r="A2089" i="1"/>
  <c r="L2088" i="1"/>
  <c r="A2088" i="1"/>
  <c r="L2087" i="1"/>
  <c r="A2087" i="1"/>
  <c r="L2086" i="1"/>
  <c r="A2086" i="1"/>
  <c r="L2085" i="1"/>
  <c r="A2085" i="1"/>
  <c r="L2084" i="1"/>
  <c r="A2084" i="1"/>
  <c r="L2083" i="1"/>
  <c r="A2083" i="1"/>
  <c r="L2082" i="1"/>
  <c r="A2082" i="1"/>
  <c r="L2081" i="1"/>
  <c r="A2081" i="1"/>
  <c r="L2080" i="1"/>
  <c r="A2080" i="1"/>
  <c r="L2079" i="1"/>
  <c r="A2079" i="1"/>
  <c r="L2078" i="1"/>
  <c r="A2078" i="1"/>
  <c r="L2077" i="1"/>
  <c r="A2077" i="1"/>
  <c r="L2076" i="1"/>
  <c r="A2076" i="1"/>
  <c r="L2075" i="1"/>
  <c r="A2075" i="1"/>
  <c r="L2074" i="1"/>
  <c r="A2074" i="1"/>
  <c r="L2073" i="1"/>
  <c r="A2073" i="1"/>
  <c r="L2072" i="1"/>
  <c r="A2072" i="1"/>
  <c r="L2071" i="1"/>
  <c r="A2071" i="1"/>
  <c r="L2070" i="1"/>
  <c r="A2070" i="1"/>
  <c r="L2069" i="1"/>
  <c r="A2069" i="1"/>
  <c r="L2068" i="1"/>
  <c r="A2068" i="1"/>
  <c r="L2067" i="1"/>
  <c r="A2067" i="1"/>
  <c r="L2066" i="1"/>
  <c r="A2066" i="1"/>
  <c r="L2065" i="1"/>
  <c r="A2065" i="1"/>
  <c r="L2064" i="1"/>
  <c r="A2064" i="1"/>
  <c r="L2063" i="1"/>
  <c r="A2063" i="1"/>
  <c r="L2062" i="1"/>
  <c r="A2062" i="1"/>
  <c r="L2061" i="1"/>
  <c r="A2061" i="1"/>
  <c r="L2060" i="1"/>
  <c r="A2060" i="1"/>
  <c r="L2059" i="1"/>
  <c r="A2059" i="1"/>
  <c r="L2058" i="1"/>
  <c r="A2058" i="1"/>
  <c r="L2057" i="1"/>
  <c r="A2057" i="1"/>
  <c r="L2056" i="1"/>
  <c r="A2056" i="1"/>
  <c r="L2055" i="1"/>
  <c r="A2055" i="1"/>
  <c r="L2054" i="1"/>
  <c r="A2054" i="1"/>
  <c r="L2053" i="1"/>
  <c r="A2053" i="1"/>
  <c r="L2052" i="1"/>
  <c r="A2052" i="1"/>
  <c r="L2051" i="1"/>
  <c r="A2051" i="1"/>
  <c r="L2050" i="1"/>
  <c r="A2050" i="1"/>
  <c r="L2049" i="1"/>
  <c r="A2049" i="1"/>
  <c r="L2048" i="1"/>
  <c r="A2048" i="1"/>
  <c r="L2047" i="1"/>
  <c r="A2047" i="1"/>
  <c r="L2046" i="1"/>
  <c r="A2046" i="1"/>
  <c r="L2045" i="1"/>
  <c r="A2045" i="1"/>
  <c r="L2044" i="1"/>
  <c r="A2044" i="1"/>
  <c r="L2043" i="1"/>
  <c r="A2043" i="1"/>
  <c r="L2042" i="1"/>
  <c r="A2042" i="1"/>
  <c r="L2041" i="1"/>
  <c r="A2041" i="1"/>
  <c r="L2040" i="1"/>
  <c r="A2040" i="1"/>
  <c r="L2039" i="1"/>
  <c r="A2039" i="1"/>
  <c r="L2038" i="1"/>
  <c r="A2038" i="1"/>
  <c r="L2037" i="1"/>
  <c r="A2037" i="1"/>
  <c r="L2036" i="1"/>
  <c r="A2036" i="1"/>
  <c r="L2035" i="1"/>
  <c r="A2035" i="1"/>
  <c r="L2034" i="1"/>
  <c r="A2034" i="1"/>
  <c r="L2033" i="1"/>
  <c r="A2033" i="1"/>
  <c r="L2032" i="1"/>
  <c r="A2032" i="1"/>
  <c r="L2031" i="1"/>
  <c r="A2031" i="1"/>
  <c r="L2030" i="1"/>
  <c r="A2030" i="1"/>
  <c r="L2029" i="1"/>
  <c r="A2029" i="1"/>
  <c r="L2028" i="1"/>
  <c r="A2028" i="1"/>
  <c r="L2027" i="1"/>
  <c r="A2027" i="1"/>
  <c r="L2026" i="1"/>
  <c r="A2026" i="1"/>
  <c r="L2025" i="1"/>
  <c r="A2025" i="1"/>
  <c r="L2024" i="1"/>
  <c r="A2024" i="1"/>
  <c r="L2023" i="1"/>
  <c r="A2023" i="1"/>
  <c r="L2022" i="1"/>
  <c r="A2022" i="1"/>
  <c r="L2021" i="1"/>
  <c r="A2021" i="1"/>
  <c r="L2020" i="1"/>
  <c r="A2020" i="1"/>
  <c r="L2019" i="1"/>
  <c r="A2019" i="1"/>
  <c r="L2018" i="1"/>
  <c r="A2018" i="1"/>
  <c r="L2017" i="1"/>
  <c r="A2017" i="1"/>
  <c r="L2016" i="1"/>
  <c r="A2016" i="1"/>
  <c r="L2015" i="1"/>
  <c r="A2015" i="1"/>
  <c r="L2014" i="1"/>
  <c r="A2014" i="1"/>
  <c r="L2013" i="1"/>
  <c r="A2013" i="1"/>
  <c r="L2012" i="1"/>
  <c r="A2012" i="1"/>
  <c r="L2011" i="1"/>
  <c r="A2011" i="1"/>
  <c r="L2010" i="1"/>
  <c r="A2010" i="1"/>
  <c r="L2009" i="1"/>
  <c r="A2009" i="1"/>
  <c r="L2008" i="1"/>
  <c r="A2008" i="1"/>
  <c r="L2007" i="1"/>
  <c r="A2007" i="1"/>
  <c r="L2006" i="1"/>
  <c r="A2006" i="1"/>
  <c r="L2005" i="1"/>
  <c r="A2005" i="1"/>
  <c r="L2004" i="1"/>
  <c r="A2004" i="1"/>
  <c r="L2003" i="1"/>
  <c r="A2003" i="1"/>
  <c r="L2002" i="1"/>
  <c r="A2002" i="1"/>
  <c r="L2001" i="1"/>
  <c r="A2001" i="1"/>
  <c r="L2000" i="1"/>
  <c r="A2000" i="1"/>
  <c r="L1999" i="1"/>
  <c r="A1999" i="1"/>
  <c r="L1998" i="1"/>
  <c r="A1998" i="1"/>
  <c r="L1997" i="1"/>
  <c r="A1997" i="1"/>
  <c r="L1996" i="1"/>
  <c r="A1996" i="1"/>
  <c r="L1995" i="1"/>
  <c r="A1995" i="1"/>
  <c r="L1994" i="1"/>
  <c r="A1994" i="1"/>
  <c r="L1993" i="1"/>
  <c r="A1993" i="1"/>
  <c r="L1992" i="1"/>
  <c r="A1992" i="1"/>
  <c r="L1991" i="1"/>
  <c r="A1991" i="1"/>
  <c r="L1990" i="1"/>
  <c r="A1990" i="1"/>
  <c r="L1989" i="1"/>
  <c r="A1989" i="1"/>
  <c r="L1988" i="1"/>
  <c r="A1988" i="1"/>
  <c r="L1987" i="1"/>
  <c r="A1987" i="1"/>
  <c r="L1986" i="1"/>
  <c r="A1986" i="1"/>
  <c r="L1985" i="1"/>
  <c r="A1985" i="1"/>
  <c r="L1984" i="1"/>
  <c r="A1984" i="1"/>
  <c r="L1983" i="1"/>
  <c r="A1983" i="1"/>
  <c r="L1982" i="1"/>
  <c r="A1982" i="1"/>
  <c r="L1981" i="1"/>
  <c r="A1981" i="1"/>
  <c r="L1980" i="1"/>
  <c r="A1980" i="1"/>
  <c r="L1979" i="1"/>
  <c r="A1979" i="1"/>
  <c r="L1978" i="1"/>
  <c r="A1978" i="1"/>
  <c r="L1977" i="1"/>
  <c r="A1977" i="1"/>
  <c r="L1976" i="1"/>
  <c r="A1976" i="1"/>
  <c r="L1975" i="1"/>
  <c r="A1975" i="1"/>
  <c r="L1974" i="1"/>
  <c r="A1974" i="1"/>
  <c r="L1973" i="1"/>
  <c r="A1973" i="1"/>
  <c r="L1972" i="1"/>
  <c r="A1972" i="1"/>
  <c r="L1971" i="1"/>
  <c r="A1971" i="1"/>
  <c r="L1970" i="1"/>
  <c r="A1970" i="1"/>
  <c r="L1969" i="1"/>
  <c r="A1969" i="1"/>
  <c r="L1968" i="1"/>
  <c r="A1968" i="1"/>
  <c r="L1967" i="1"/>
  <c r="A1967" i="1"/>
  <c r="L1966" i="1"/>
  <c r="A1966" i="1"/>
  <c r="L1965" i="1"/>
  <c r="A1965" i="1"/>
  <c r="L1964" i="1"/>
  <c r="A1964" i="1"/>
  <c r="L1963" i="1"/>
  <c r="A1963" i="1"/>
  <c r="L1962" i="1"/>
  <c r="A1962" i="1"/>
  <c r="L1961" i="1"/>
  <c r="A1961" i="1"/>
  <c r="L1960" i="1"/>
  <c r="A1960" i="1"/>
  <c r="L1959" i="1"/>
  <c r="A1959" i="1"/>
  <c r="L1958" i="1"/>
  <c r="A1958" i="1"/>
  <c r="L1957" i="1"/>
  <c r="A1957" i="1"/>
  <c r="L1956" i="1"/>
  <c r="A1956" i="1"/>
  <c r="L1955" i="1"/>
  <c r="A1955" i="1"/>
  <c r="L1954" i="1"/>
  <c r="A1954" i="1"/>
  <c r="L1953" i="1"/>
  <c r="A1953" i="1"/>
  <c r="L1952" i="1"/>
  <c r="A1952" i="1"/>
  <c r="L1951" i="1"/>
  <c r="A1951" i="1"/>
  <c r="L1950" i="1"/>
  <c r="A1950" i="1"/>
  <c r="L1949" i="1"/>
  <c r="A1949" i="1"/>
  <c r="L1948" i="1"/>
  <c r="A1948" i="1"/>
  <c r="L1947" i="1"/>
  <c r="A1947" i="1"/>
  <c r="L1946" i="1"/>
  <c r="A1946" i="1"/>
  <c r="L1945" i="1"/>
  <c r="A1945" i="1"/>
  <c r="L1944" i="1"/>
  <c r="A1944" i="1"/>
  <c r="L1943" i="1"/>
  <c r="A1943" i="1"/>
  <c r="L1942" i="1"/>
  <c r="A1942" i="1"/>
  <c r="L1941" i="1"/>
  <c r="A1941" i="1"/>
  <c r="L1940" i="1"/>
  <c r="A1940" i="1"/>
  <c r="L1939" i="1"/>
  <c r="A1939" i="1"/>
  <c r="L1938" i="1"/>
  <c r="A1938" i="1"/>
  <c r="L1937" i="1"/>
  <c r="A1937" i="1"/>
  <c r="L1936" i="1"/>
  <c r="A1936" i="1"/>
  <c r="L1935" i="1"/>
  <c r="A1935" i="1"/>
  <c r="L1934" i="1"/>
  <c r="A1934" i="1"/>
  <c r="L1933" i="1"/>
  <c r="A1933" i="1"/>
  <c r="L1932" i="1"/>
  <c r="A1932" i="1"/>
  <c r="L1931" i="1"/>
  <c r="A1931" i="1"/>
  <c r="L1930" i="1"/>
  <c r="A1930" i="1"/>
  <c r="L1929" i="1"/>
  <c r="A1929" i="1"/>
  <c r="L1928" i="1"/>
  <c r="A1928" i="1"/>
  <c r="L1927" i="1"/>
  <c r="A1927" i="1"/>
  <c r="L1926" i="1"/>
  <c r="A1926" i="1"/>
  <c r="L1925" i="1"/>
  <c r="A1925" i="1"/>
  <c r="L1924" i="1"/>
  <c r="A1924" i="1"/>
  <c r="L1923" i="1"/>
  <c r="A1923" i="1"/>
  <c r="L1922" i="1"/>
  <c r="A1922" i="1"/>
  <c r="L1921" i="1"/>
  <c r="A1921" i="1"/>
  <c r="L1920" i="1"/>
  <c r="A1920" i="1"/>
  <c r="L1919" i="1"/>
  <c r="A1919" i="1"/>
  <c r="L1918" i="1"/>
  <c r="A1918" i="1"/>
  <c r="L1917" i="1"/>
  <c r="A1917" i="1"/>
  <c r="L1916" i="1"/>
  <c r="A1916" i="1"/>
  <c r="L1915" i="1"/>
  <c r="A1915" i="1"/>
  <c r="L1914" i="1"/>
  <c r="A1914" i="1"/>
  <c r="L1913" i="1"/>
  <c r="A1913" i="1"/>
  <c r="L1912" i="1"/>
  <c r="A1912" i="1"/>
  <c r="L1911" i="1"/>
  <c r="A1911" i="1"/>
  <c r="L1910" i="1"/>
  <c r="A1910" i="1"/>
  <c r="L1909" i="1"/>
  <c r="A1909" i="1"/>
  <c r="L1908" i="1"/>
  <c r="A1908" i="1"/>
  <c r="L1907" i="1"/>
  <c r="A1907" i="1"/>
  <c r="L1906" i="1"/>
  <c r="A1906" i="1"/>
  <c r="L1905" i="1"/>
  <c r="A1905" i="1"/>
  <c r="L1904" i="1"/>
  <c r="A1904" i="1"/>
  <c r="L1903" i="1"/>
  <c r="A1903" i="1"/>
  <c r="L1902" i="1"/>
  <c r="A1902" i="1"/>
  <c r="L1901" i="1"/>
  <c r="A1901" i="1"/>
  <c r="L1900" i="1"/>
  <c r="A1900" i="1"/>
  <c r="L1899" i="1"/>
  <c r="A1899" i="1"/>
  <c r="L1898" i="1"/>
  <c r="A1898" i="1"/>
  <c r="L1897" i="1"/>
  <c r="A1897" i="1"/>
  <c r="L1896" i="1"/>
  <c r="A1896" i="1"/>
  <c r="L1895" i="1"/>
  <c r="A1895" i="1"/>
  <c r="L1894" i="1"/>
  <c r="A1894" i="1"/>
  <c r="L1893" i="1"/>
  <c r="A1893" i="1"/>
  <c r="L1892" i="1"/>
  <c r="A1892" i="1"/>
  <c r="L1891" i="1"/>
  <c r="A1891" i="1"/>
  <c r="L1890" i="1"/>
  <c r="A1890" i="1"/>
  <c r="L1889" i="1"/>
  <c r="A1889" i="1"/>
  <c r="L1888" i="1"/>
  <c r="A1888" i="1"/>
  <c r="L1887" i="1"/>
  <c r="A1887" i="1"/>
  <c r="L1886" i="1"/>
  <c r="A1886" i="1"/>
  <c r="L1885" i="1"/>
  <c r="A1885" i="1"/>
  <c r="L1884" i="1"/>
  <c r="A1884" i="1"/>
  <c r="L1883" i="1"/>
  <c r="A1883" i="1"/>
  <c r="L1882" i="1"/>
  <c r="A1882" i="1"/>
  <c r="L1881" i="1"/>
  <c r="A1881" i="1"/>
  <c r="L1880" i="1"/>
  <c r="A1880" i="1"/>
  <c r="L1879" i="1"/>
  <c r="A1879" i="1"/>
  <c r="L1878" i="1"/>
  <c r="A1878" i="1"/>
  <c r="L1877" i="1"/>
  <c r="A1877" i="1"/>
  <c r="L1876" i="1"/>
  <c r="A1876" i="1"/>
  <c r="L1875" i="1"/>
  <c r="A1875" i="1"/>
  <c r="L1874" i="1"/>
  <c r="A1874" i="1"/>
  <c r="L1873" i="1"/>
  <c r="A1873" i="1"/>
  <c r="L1872" i="1"/>
  <c r="A1872" i="1"/>
  <c r="L1871" i="1"/>
  <c r="A1871" i="1"/>
  <c r="L1870" i="1"/>
  <c r="A1870" i="1"/>
  <c r="L1869" i="1"/>
  <c r="A1869" i="1"/>
  <c r="L1868" i="1"/>
  <c r="A1868" i="1"/>
  <c r="L1867" i="1"/>
  <c r="A1867" i="1"/>
  <c r="L1866" i="1"/>
  <c r="A1866" i="1"/>
  <c r="L1865" i="1"/>
  <c r="A1865" i="1"/>
  <c r="L1864" i="1"/>
  <c r="A1864" i="1"/>
  <c r="L1863" i="1"/>
  <c r="A1863" i="1"/>
  <c r="L1862" i="1"/>
  <c r="A1862" i="1"/>
  <c r="L1861" i="1"/>
  <c r="A1861" i="1"/>
  <c r="L1860" i="1"/>
  <c r="A1860" i="1"/>
  <c r="L1859" i="1"/>
  <c r="A1859" i="1"/>
  <c r="L1858" i="1"/>
  <c r="A1858" i="1"/>
  <c r="L1857" i="1"/>
  <c r="A1857" i="1"/>
  <c r="L1856" i="1"/>
  <c r="A1856" i="1"/>
  <c r="L1855" i="1"/>
  <c r="A1855" i="1"/>
  <c r="L1854" i="1"/>
  <c r="A1854" i="1"/>
  <c r="L1853" i="1"/>
  <c r="A1853" i="1"/>
  <c r="L1852" i="1"/>
  <c r="A1852" i="1"/>
  <c r="L1851" i="1"/>
  <c r="A1851" i="1"/>
  <c r="L1850" i="1"/>
  <c r="A1850" i="1"/>
  <c r="L1849" i="1"/>
  <c r="A1849" i="1"/>
  <c r="L1848" i="1"/>
  <c r="A1848" i="1"/>
  <c r="L1847" i="1"/>
  <c r="A1847" i="1"/>
  <c r="L1846" i="1"/>
  <c r="A1846" i="1"/>
  <c r="L1845" i="1"/>
  <c r="A1845" i="1"/>
  <c r="L1844" i="1"/>
  <c r="A1844" i="1"/>
  <c r="L1843" i="1"/>
  <c r="A1843" i="1"/>
  <c r="L1842" i="1"/>
  <c r="A1842" i="1"/>
  <c r="L1841" i="1"/>
  <c r="A1841" i="1"/>
  <c r="L1840" i="1"/>
  <c r="A1840" i="1"/>
  <c r="L1839" i="1"/>
  <c r="A1839" i="1"/>
  <c r="L1838" i="1"/>
  <c r="A1838" i="1"/>
  <c r="L1837" i="1"/>
  <c r="A1837" i="1"/>
  <c r="L1836" i="1"/>
  <c r="A1836" i="1"/>
  <c r="L1835" i="1"/>
  <c r="A1835" i="1"/>
  <c r="L1834" i="1"/>
  <c r="A1834" i="1"/>
  <c r="L1833" i="1"/>
  <c r="A1833" i="1"/>
  <c r="L1832" i="1"/>
  <c r="A1832" i="1"/>
  <c r="L1831" i="1"/>
  <c r="A1831" i="1"/>
  <c r="L1830" i="1"/>
  <c r="A1830" i="1"/>
  <c r="L1829" i="1"/>
  <c r="A1829" i="1"/>
  <c r="L1828" i="1"/>
  <c r="A1828" i="1"/>
  <c r="L1827" i="1"/>
  <c r="A1827" i="1"/>
  <c r="L1826" i="1"/>
  <c r="A1826" i="1"/>
  <c r="L1825" i="1"/>
  <c r="A1825" i="1"/>
  <c r="L1824" i="1"/>
  <c r="A1824" i="1"/>
  <c r="L1823" i="1"/>
  <c r="A1823" i="1"/>
  <c r="L1822" i="1"/>
  <c r="A1822" i="1"/>
  <c r="L1821" i="1"/>
  <c r="A1821" i="1"/>
  <c r="L1820" i="1"/>
  <c r="A1820" i="1"/>
  <c r="L1819" i="1"/>
  <c r="A1819" i="1"/>
  <c r="L1818" i="1"/>
  <c r="A1818" i="1"/>
  <c r="L1817" i="1"/>
  <c r="A1817" i="1"/>
  <c r="L1816" i="1"/>
  <c r="A1816" i="1"/>
  <c r="L1815" i="1"/>
  <c r="A1815" i="1"/>
  <c r="L1814" i="1"/>
  <c r="A1814" i="1"/>
  <c r="L1813" i="1"/>
  <c r="A1813" i="1"/>
  <c r="L1812" i="1"/>
  <c r="A1812" i="1"/>
  <c r="L1811" i="1"/>
  <c r="A1811" i="1"/>
  <c r="L1810" i="1"/>
  <c r="A1810" i="1"/>
  <c r="L1809" i="1"/>
  <c r="A1809" i="1"/>
  <c r="L1808" i="1"/>
  <c r="A1808" i="1"/>
  <c r="L1807" i="1"/>
  <c r="A1807" i="1"/>
  <c r="L1806" i="1"/>
  <c r="A1806" i="1"/>
  <c r="L1805" i="1"/>
  <c r="A1805" i="1"/>
  <c r="L1804" i="1"/>
  <c r="A1804" i="1"/>
  <c r="L1803" i="1"/>
  <c r="A1803" i="1"/>
  <c r="L1802" i="1"/>
  <c r="A1802" i="1"/>
  <c r="L1801" i="1"/>
  <c r="A1801" i="1"/>
  <c r="L1800" i="1"/>
  <c r="A1800" i="1"/>
  <c r="L1799" i="1"/>
  <c r="A1799" i="1"/>
  <c r="L1798" i="1"/>
  <c r="A1798" i="1"/>
  <c r="L1797" i="1"/>
  <c r="A1797" i="1"/>
  <c r="L1796" i="1"/>
  <c r="A1796" i="1"/>
  <c r="L1795" i="1"/>
  <c r="A1795" i="1"/>
  <c r="L1794" i="1"/>
  <c r="A1794" i="1"/>
  <c r="L1793" i="1"/>
  <c r="A1793" i="1"/>
  <c r="L1792" i="1"/>
  <c r="A1792" i="1"/>
  <c r="L1791" i="1"/>
  <c r="A1791" i="1"/>
  <c r="L1790" i="1"/>
  <c r="A1790" i="1"/>
  <c r="L1789" i="1"/>
  <c r="A1789" i="1"/>
  <c r="L1788" i="1"/>
  <c r="A1788" i="1"/>
  <c r="L1787" i="1"/>
  <c r="A1787" i="1"/>
  <c r="L1786" i="1"/>
  <c r="A1786" i="1"/>
  <c r="L1785" i="1"/>
  <c r="A1785" i="1"/>
  <c r="L1784" i="1"/>
  <c r="A1784" i="1"/>
  <c r="L1783" i="1"/>
  <c r="A1783" i="1"/>
  <c r="L1782" i="1"/>
  <c r="A1782" i="1"/>
  <c r="L1781" i="1"/>
  <c r="A1781" i="1"/>
  <c r="L1780" i="1"/>
  <c r="A1780" i="1"/>
  <c r="L1779" i="1"/>
  <c r="A1779" i="1"/>
  <c r="L1778" i="1"/>
  <c r="A1778" i="1"/>
  <c r="L1777" i="1"/>
  <c r="A1777" i="1"/>
  <c r="L1776" i="1"/>
  <c r="A1776" i="1"/>
  <c r="L1775" i="1"/>
  <c r="A1775" i="1"/>
  <c r="L1774" i="1"/>
  <c r="A1774" i="1"/>
  <c r="L1773" i="1"/>
  <c r="A1773" i="1"/>
  <c r="L1772" i="1"/>
  <c r="A1772" i="1"/>
  <c r="L1771" i="1"/>
  <c r="A1771" i="1"/>
  <c r="L1770" i="1"/>
  <c r="A1770" i="1"/>
  <c r="L1769" i="1"/>
  <c r="A1769" i="1"/>
  <c r="L1768" i="1"/>
  <c r="A1768" i="1"/>
  <c r="L1767" i="1"/>
  <c r="A1767" i="1"/>
  <c r="L1766" i="1"/>
  <c r="A1766" i="1"/>
  <c r="L1765" i="1"/>
  <c r="A1765" i="1"/>
  <c r="L1764" i="1"/>
  <c r="A1764" i="1"/>
  <c r="L1763" i="1"/>
  <c r="A1763" i="1"/>
  <c r="L1762" i="1"/>
  <c r="A1762" i="1"/>
  <c r="L1761" i="1"/>
  <c r="A1761" i="1"/>
  <c r="L1760" i="1"/>
  <c r="A1760" i="1"/>
  <c r="L1759" i="1"/>
  <c r="A1759" i="1"/>
  <c r="L1758" i="1"/>
  <c r="A1758" i="1"/>
  <c r="L1757" i="1"/>
  <c r="A1757" i="1"/>
  <c r="L1756" i="1"/>
  <c r="A1756" i="1"/>
  <c r="L1755" i="1"/>
  <c r="A1755" i="1"/>
  <c r="L1754" i="1"/>
  <c r="A1754" i="1"/>
  <c r="L1753" i="1"/>
  <c r="A1753" i="1"/>
  <c r="L1752" i="1"/>
  <c r="A1752" i="1"/>
  <c r="L1751" i="1"/>
  <c r="A1751" i="1"/>
  <c r="L1750" i="1"/>
  <c r="A1750" i="1"/>
  <c r="L1749" i="1"/>
  <c r="A1749" i="1"/>
  <c r="L1748" i="1"/>
  <c r="A1748" i="1"/>
  <c r="L1747" i="1"/>
  <c r="A1747" i="1"/>
  <c r="L1746" i="1"/>
  <c r="A1746" i="1"/>
  <c r="L1745" i="1"/>
  <c r="A1745" i="1"/>
  <c r="L1744" i="1"/>
  <c r="A1744" i="1"/>
  <c r="L1743" i="1"/>
  <c r="A1743" i="1"/>
  <c r="L1742" i="1"/>
  <c r="A1742" i="1"/>
  <c r="L1741" i="1"/>
  <c r="A1741" i="1"/>
  <c r="L1740" i="1"/>
  <c r="A1740" i="1"/>
  <c r="L1739" i="1"/>
  <c r="A1739" i="1"/>
  <c r="L1738" i="1"/>
  <c r="A1738" i="1"/>
  <c r="L1737" i="1"/>
  <c r="A1737" i="1"/>
  <c r="L1736" i="1"/>
  <c r="A1736" i="1"/>
  <c r="L1735" i="1"/>
  <c r="A1735" i="1"/>
  <c r="L1734" i="1"/>
  <c r="A1734" i="1"/>
  <c r="L1733" i="1"/>
  <c r="A1733" i="1"/>
  <c r="L1732" i="1"/>
  <c r="A1732" i="1"/>
  <c r="L1731" i="1"/>
  <c r="A1731" i="1"/>
  <c r="L1730" i="1"/>
  <c r="A1730" i="1"/>
  <c r="L1729" i="1"/>
  <c r="A1729" i="1"/>
  <c r="L1728" i="1"/>
  <c r="A1728" i="1"/>
  <c r="L1727" i="1"/>
  <c r="A1727" i="1"/>
  <c r="L1726" i="1"/>
  <c r="A1726" i="1"/>
  <c r="L1725" i="1"/>
  <c r="A1725" i="1"/>
  <c r="L1724" i="1"/>
  <c r="A1724" i="1"/>
  <c r="L1723" i="1"/>
  <c r="A1723" i="1"/>
  <c r="L1722" i="1"/>
  <c r="A1722" i="1"/>
  <c r="L1721" i="1"/>
  <c r="A1721" i="1"/>
  <c r="L1720" i="1"/>
  <c r="A1720" i="1"/>
  <c r="L1719" i="1"/>
  <c r="A1719" i="1"/>
  <c r="L1718" i="1"/>
  <c r="A1718" i="1"/>
  <c r="L1717" i="1"/>
  <c r="A1717" i="1"/>
  <c r="L1716" i="1"/>
  <c r="A1716" i="1"/>
  <c r="L1715" i="1"/>
  <c r="A1715" i="1"/>
  <c r="L1714" i="1"/>
  <c r="A1714" i="1"/>
  <c r="L1713" i="1"/>
  <c r="A1713" i="1"/>
  <c r="L1712" i="1"/>
  <c r="A1712" i="1"/>
  <c r="L1711" i="1"/>
  <c r="A1711" i="1"/>
  <c r="L1710" i="1"/>
  <c r="A1710" i="1"/>
  <c r="L1709" i="1"/>
  <c r="A1709" i="1"/>
  <c r="L1708" i="1"/>
  <c r="A1708" i="1"/>
  <c r="L1707" i="1"/>
  <c r="A1707" i="1"/>
  <c r="L1706" i="1"/>
  <c r="A1706" i="1"/>
  <c r="L1705" i="1"/>
  <c r="A1705" i="1"/>
  <c r="L1704" i="1"/>
  <c r="A1704" i="1"/>
  <c r="L1703" i="1"/>
  <c r="A1703" i="1"/>
  <c r="L1702" i="1"/>
  <c r="A1702" i="1"/>
  <c r="L1701" i="1"/>
  <c r="A1701" i="1"/>
  <c r="L1700" i="1"/>
  <c r="A1700" i="1"/>
  <c r="L1699" i="1"/>
  <c r="A1699" i="1"/>
  <c r="L1698" i="1"/>
  <c r="A1698" i="1"/>
  <c r="L1697" i="1"/>
  <c r="A1697" i="1"/>
  <c r="L1696" i="1"/>
  <c r="A1696" i="1"/>
  <c r="L1695" i="1"/>
  <c r="A1695" i="1"/>
  <c r="L1694" i="1"/>
  <c r="A1694" i="1"/>
  <c r="L1693" i="1"/>
  <c r="A1693" i="1"/>
  <c r="L1692" i="1"/>
  <c r="A1692" i="1"/>
  <c r="L1691" i="1"/>
  <c r="A1691" i="1"/>
  <c r="L1690" i="1"/>
  <c r="A1690" i="1"/>
  <c r="L1689" i="1"/>
  <c r="A1689" i="1"/>
  <c r="L1688" i="1"/>
  <c r="A1688" i="1"/>
  <c r="L1687" i="1"/>
  <c r="A1687" i="1"/>
  <c r="L1686" i="1"/>
  <c r="A1686" i="1"/>
  <c r="L1685" i="1"/>
  <c r="A1685" i="1"/>
  <c r="L1684" i="1"/>
  <c r="A1684" i="1"/>
  <c r="L1683" i="1"/>
  <c r="A1683" i="1"/>
  <c r="L1682" i="1"/>
  <c r="A1682" i="1"/>
  <c r="L1681" i="1"/>
  <c r="A1681" i="1"/>
  <c r="L1680" i="1"/>
  <c r="A1680" i="1"/>
  <c r="L1679" i="1"/>
  <c r="A1679" i="1"/>
  <c r="L1678" i="1"/>
  <c r="A1678" i="1"/>
  <c r="L1677" i="1"/>
  <c r="A1677" i="1"/>
  <c r="L1676" i="1"/>
  <c r="A1676" i="1"/>
  <c r="L1675" i="1"/>
  <c r="A1675" i="1"/>
  <c r="L1674" i="1"/>
  <c r="A1674" i="1"/>
  <c r="L1673" i="1"/>
  <c r="A1673" i="1"/>
  <c r="L1672" i="1"/>
  <c r="A1672" i="1"/>
  <c r="L1671" i="1"/>
  <c r="A1671" i="1"/>
  <c r="L1670" i="1"/>
  <c r="A1670" i="1"/>
  <c r="L1669" i="1"/>
  <c r="A1669" i="1"/>
  <c r="L1668" i="1"/>
  <c r="A1668" i="1"/>
  <c r="L1667" i="1"/>
  <c r="A1667" i="1"/>
  <c r="L1666" i="1"/>
  <c r="A1666" i="1"/>
  <c r="L1665" i="1"/>
  <c r="A1665" i="1"/>
  <c r="L1664" i="1"/>
  <c r="A1664" i="1"/>
  <c r="L1663" i="1"/>
  <c r="A1663" i="1"/>
  <c r="L1662" i="1"/>
  <c r="A1662" i="1"/>
  <c r="L1661" i="1"/>
  <c r="A1661" i="1"/>
  <c r="L1660" i="1"/>
  <c r="A1660" i="1"/>
  <c r="L1659" i="1"/>
  <c r="A1659" i="1"/>
  <c r="L1658" i="1"/>
  <c r="A1658" i="1"/>
  <c r="L1657" i="1"/>
  <c r="A1657" i="1"/>
  <c r="L1656" i="1"/>
  <c r="A1656" i="1"/>
  <c r="L1655" i="1"/>
  <c r="A1655" i="1"/>
  <c r="L1654" i="1"/>
  <c r="A1654" i="1"/>
  <c r="L1653" i="1"/>
  <c r="A1653" i="1"/>
  <c r="L1652" i="1"/>
  <c r="A1652" i="1"/>
  <c r="L1651" i="1"/>
  <c r="A1651" i="1"/>
  <c r="L1650" i="1"/>
  <c r="A1650" i="1"/>
  <c r="L1649" i="1"/>
  <c r="A1649" i="1"/>
  <c r="L1648" i="1"/>
  <c r="A1648" i="1"/>
  <c r="L1647" i="1"/>
  <c r="A1647" i="1"/>
  <c r="L1646" i="1"/>
  <c r="A1646" i="1"/>
  <c r="L1645" i="1"/>
  <c r="A1645" i="1"/>
  <c r="L1644" i="1"/>
  <c r="A1644" i="1"/>
  <c r="L1643" i="1"/>
  <c r="A1643" i="1"/>
  <c r="L1642" i="1"/>
  <c r="A1642" i="1"/>
  <c r="L1641" i="1"/>
  <c r="A1641" i="1"/>
  <c r="L1640" i="1"/>
  <c r="A1640" i="1"/>
  <c r="L1639" i="1"/>
  <c r="A1639" i="1"/>
  <c r="L1638" i="1"/>
  <c r="A1638" i="1"/>
  <c r="L1637" i="1"/>
  <c r="A1637" i="1"/>
  <c r="L1636" i="1"/>
  <c r="A1636" i="1"/>
  <c r="L1635" i="1"/>
  <c r="A1635" i="1"/>
  <c r="L1634" i="1"/>
  <c r="A1634" i="1"/>
  <c r="L1633" i="1"/>
  <c r="A1633" i="1"/>
  <c r="L1632" i="1"/>
  <c r="A1632" i="1"/>
  <c r="L1631" i="1"/>
  <c r="A1631" i="1"/>
  <c r="L1630" i="1"/>
  <c r="A1630" i="1"/>
  <c r="L1629" i="1"/>
  <c r="A1629" i="1"/>
  <c r="L1628" i="1"/>
  <c r="A1628" i="1"/>
  <c r="L1627" i="1"/>
  <c r="A1627" i="1"/>
  <c r="L1626" i="1"/>
  <c r="A1626" i="1"/>
  <c r="L1625" i="1"/>
  <c r="A1625" i="1"/>
  <c r="L1624" i="1"/>
  <c r="A1624" i="1"/>
  <c r="L1623" i="1"/>
  <c r="A1623" i="1"/>
  <c r="L1622" i="1"/>
  <c r="A1622" i="1"/>
  <c r="L1621" i="1"/>
  <c r="A1621" i="1"/>
  <c r="L1620" i="1"/>
  <c r="A1620" i="1"/>
  <c r="L1619" i="1"/>
  <c r="A1619" i="1"/>
  <c r="L1618" i="1"/>
  <c r="A1618" i="1"/>
  <c r="L1617" i="1"/>
  <c r="A1617" i="1"/>
  <c r="L1616" i="1"/>
  <c r="A1616" i="1"/>
  <c r="L1615" i="1"/>
  <c r="A1615" i="1"/>
  <c r="L1614" i="1"/>
  <c r="A1614" i="1"/>
  <c r="L1613" i="1"/>
  <c r="A1613" i="1"/>
  <c r="L1612" i="1"/>
  <c r="A1612" i="1"/>
  <c r="L1611" i="1"/>
  <c r="A1611" i="1"/>
  <c r="L1610" i="1"/>
  <c r="A1610" i="1"/>
  <c r="L1609" i="1"/>
  <c r="A1609" i="1"/>
  <c r="L1608" i="1"/>
  <c r="A1608" i="1"/>
  <c r="L1607" i="1"/>
  <c r="A1607" i="1"/>
  <c r="L1606" i="1"/>
  <c r="A1606" i="1"/>
  <c r="L1605" i="1"/>
  <c r="A1605" i="1"/>
  <c r="L1604" i="1"/>
  <c r="A1604" i="1"/>
  <c r="L1603" i="1"/>
  <c r="A1603" i="1"/>
  <c r="L1602" i="1"/>
  <c r="A1602" i="1"/>
  <c r="L1601" i="1"/>
  <c r="A1601" i="1"/>
  <c r="L1600" i="1"/>
  <c r="A1600" i="1"/>
  <c r="L1599" i="1"/>
  <c r="A1599" i="1"/>
  <c r="L1598" i="1"/>
  <c r="A1598" i="1"/>
  <c r="L1597" i="1"/>
  <c r="A1597" i="1"/>
  <c r="L1596" i="1"/>
  <c r="A1596" i="1"/>
  <c r="L1595" i="1"/>
  <c r="A1595" i="1"/>
  <c r="L1594" i="1"/>
  <c r="A1594" i="1"/>
  <c r="L1593" i="1"/>
  <c r="A1593" i="1"/>
  <c r="L1592" i="1"/>
  <c r="A1592" i="1"/>
  <c r="L1591" i="1"/>
  <c r="A1591" i="1"/>
  <c r="L1590" i="1"/>
  <c r="A1590" i="1"/>
  <c r="L1589" i="1"/>
  <c r="A1589" i="1"/>
  <c r="L1588" i="1"/>
  <c r="A1588" i="1"/>
  <c r="L1587" i="1"/>
  <c r="A1587" i="1"/>
  <c r="L1586" i="1"/>
  <c r="A1586" i="1"/>
  <c r="L1585" i="1"/>
  <c r="A1585" i="1"/>
  <c r="L1584" i="1"/>
  <c r="A1584" i="1"/>
  <c r="L1583" i="1"/>
  <c r="A1583" i="1"/>
  <c r="L1582" i="1"/>
  <c r="A1582" i="1"/>
  <c r="L1581" i="1"/>
  <c r="A1581" i="1"/>
  <c r="L1580" i="1"/>
  <c r="A1580" i="1"/>
  <c r="L1579" i="1"/>
  <c r="A1579" i="1"/>
  <c r="L1578" i="1"/>
  <c r="A1578" i="1"/>
  <c r="L1577" i="1"/>
  <c r="A1577" i="1"/>
  <c r="L1576" i="1"/>
  <c r="A1576" i="1"/>
  <c r="L1575" i="1"/>
  <c r="A1575" i="1"/>
  <c r="L1574" i="1"/>
  <c r="A1574" i="1"/>
  <c r="L1573" i="1"/>
  <c r="A1573" i="1"/>
  <c r="L1572" i="1"/>
  <c r="A1572" i="1"/>
  <c r="L1571" i="1"/>
  <c r="A1571" i="1"/>
  <c r="L1570" i="1"/>
  <c r="A1570" i="1"/>
  <c r="L1569" i="1"/>
  <c r="A1569" i="1"/>
  <c r="L1568" i="1"/>
  <c r="A1568" i="1"/>
  <c r="L1567" i="1"/>
  <c r="A1567" i="1"/>
  <c r="L1566" i="1"/>
  <c r="A1566" i="1"/>
  <c r="L1565" i="1"/>
  <c r="A1565" i="1"/>
  <c r="L1564" i="1"/>
  <c r="A1564" i="1"/>
  <c r="L1563" i="1"/>
  <c r="A1563" i="1"/>
  <c r="L1562" i="1"/>
  <c r="A1562" i="1"/>
  <c r="L1561" i="1"/>
  <c r="A1561" i="1"/>
  <c r="L1560" i="1"/>
  <c r="A1560" i="1"/>
  <c r="L1559" i="1"/>
  <c r="A1559" i="1"/>
  <c r="L1558" i="1"/>
  <c r="A1558" i="1"/>
  <c r="L1557" i="1"/>
  <c r="A1557" i="1"/>
  <c r="L1556" i="1"/>
  <c r="A1556" i="1"/>
  <c r="L1555" i="1"/>
  <c r="A1555" i="1"/>
  <c r="L1554" i="1"/>
  <c r="A1554" i="1"/>
  <c r="L1553" i="1"/>
  <c r="A1553" i="1"/>
  <c r="L1552" i="1"/>
  <c r="A1552" i="1"/>
  <c r="L1551" i="1"/>
  <c r="A1551" i="1"/>
  <c r="L1550" i="1"/>
  <c r="A1550" i="1"/>
  <c r="L1549" i="1"/>
  <c r="A1549" i="1"/>
  <c r="L1548" i="1"/>
  <c r="A1548" i="1"/>
  <c r="L1547" i="1"/>
  <c r="A1547" i="1"/>
  <c r="L1546" i="1"/>
  <c r="A1546" i="1"/>
  <c r="L1545" i="1"/>
  <c r="A1545" i="1"/>
  <c r="L1544" i="1"/>
  <c r="A1544" i="1"/>
  <c r="L1543" i="1"/>
  <c r="A1543" i="1"/>
  <c r="L1542" i="1"/>
  <c r="A1542" i="1"/>
  <c r="L1541" i="1"/>
  <c r="A1541" i="1"/>
  <c r="L1540" i="1"/>
  <c r="A1540" i="1"/>
  <c r="L1539" i="1"/>
  <c r="A1539" i="1"/>
  <c r="L1538" i="1"/>
  <c r="A1538" i="1"/>
  <c r="L1537" i="1"/>
  <c r="A1537" i="1"/>
  <c r="L1536" i="1"/>
  <c r="A1536" i="1"/>
  <c r="L1535" i="1"/>
  <c r="A1535" i="1"/>
  <c r="L1534" i="1"/>
  <c r="A1534" i="1"/>
  <c r="L1533" i="1"/>
  <c r="A1533" i="1"/>
  <c r="L1532" i="1"/>
  <c r="A1532" i="1"/>
  <c r="L1531" i="1"/>
  <c r="A1531" i="1"/>
  <c r="L1530" i="1"/>
  <c r="A1530" i="1"/>
  <c r="L1529" i="1"/>
  <c r="A1529" i="1"/>
  <c r="L1528" i="1"/>
  <c r="A1528" i="1"/>
  <c r="L1527" i="1"/>
  <c r="A1527" i="1"/>
  <c r="L1526" i="1"/>
  <c r="A1526" i="1"/>
  <c r="L1525" i="1"/>
  <c r="A1525" i="1"/>
  <c r="L1524" i="1"/>
  <c r="A1524" i="1"/>
  <c r="L1523" i="1"/>
  <c r="A1523" i="1"/>
  <c r="L1522" i="1"/>
  <c r="A1522" i="1"/>
  <c r="L1521" i="1"/>
  <c r="A1521" i="1"/>
  <c r="L1520" i="1"/>
  <c r="A1520" i="1"/>
  <c r="L1519" i="1"/>
  <c r="A1519" i="1"/>
  <c r="L1518" i="1"/>
  <c r="A1518" i="1"/>
  <c r="L1517" i="1"/>
  <c r="A1517" i="1"/>
  <c r="L1516" i="1"/>
  <c r="A1516" i="1"/>
  <c r="L1515" i="1"/>
  <c r="A1515" i="1"/>
  <c r="L1514" i="1"/>
  <c r="A1514" i="1"/>
  <c r="L1513" i="1"/>
  <c r="A1513" i="1"/>
  <c r="L1512" i="1"/>
  <c r="A1512" i="1"/>
  <c r="L1511" i="1"/>
  <c r="A1511" i="1"/>
  <c r="L1510" i="1"/>
  <c r="A1510" i="1"/>
  <c r="L1509" i="1"/>
  <c r="A1509" i="1"/>
  <c r="L1508" i="1"/>
  <c r="A1508" i="1"/>
  <c r="L1507" i="1"/>
  <c r="A1507" i="1"/>
  <c r="L1506" i="1"/>
  <c r="A1506" i="1"/>
  <c r="L1505" i="1"/>
  <c r="A1505" i="1"/>
  <c r="L1504" i="1"/>
  <c r="A1504" i="1"/>
  <c r="L1503" i="1"/>
  <c r="A1503" i="1"/>
  <c r="L1502" i="1"/>
  <c r="A1502" i="1"/>
  <c r="L1501" i="1"/>
  <c r="A1501" i="1"/>
  <c r="L1500" i="1"/>
  <c r="A1500" i="1"/>
  <c r="L1499" i="1"/>
  <c r="A1499" i="1"/>
  <c r="L1498" i="1"/>
  <c r="A1498" i="1"/>
  <c r="L1497" i="1"/>
  <c r="A1497" i="1"/>
  <c r="L1496" i="1"/>
  <c r="A1496" i="1"/>
  <c r="L1495" i="1"/>
  <c r="A1495" i="1"/>
  <c r="L1494" i="1"/>
  <c r="A1494" i="1"/>
  <c r="L1493" i="1"/>
  <c r="A1493" i="1"/>
  <c r="L1492" i="1"/>
  <c r="A1492" i="1"/>
  <c r="L1491" i="1"/>
  <c r="A1491" i="1"/>
  <c r="L1490" i="1"/>
  <c r="A1490" i="1"/>
  <c r="L1489" i="1"/>
  <c r="A1489" i="1"/>
  <c r="L1488" i="1"/>
  <c r="A1488" i="1"/>
  <c r="L1487" i="1"/>
  <c r="A1487" i="1"/>
  <c r="L1486" i="1"/>
  <c r="A1486" i="1"/>
  <c r="L1485" i="1"/>
  <c r="A1485" i="1"/>
  <c r="L1484" i="1"/>
  <c r="A1484" i="1"/>
  <c r="L1483" i="1"/>
  <c r="A1483" i="1"/>
  <c r="L1482" i="1"/>
  <c r="A1482" i="1"/>
  <c r="L1481" i="1"/>
  <c r="A1481" i="1"/>
  <c r="L1480" i="1"/>
  <c r="A1480" i="1"/>
  <c r="L1479" i="1"/>
  <c r="A1479" i="1"/>
  <c r="L1478" i="1"/>
  <c r="A1478" i="1"/>
  <c r="L1477" i="1"/>
  <c r="A1477" i="1"/>
  <c r="L1476" i="1"/>
  <c r="A1476" i="1"/>
  <c r="L1475" i="1"/>
  <c r="A1475" i="1"/>
  <c r="L1474" i="1"/>
  <c r="A1474" i="1"/>
  <c r="L1473" i="1"/>
  <c r="A1473" i="1"/>
  <c r="L1472" i="1"/>
  <c r="A1472" i="1"/>
  <c r="L1471" i="1"/>
  <c r="A1471" i="1"/>
  <c r="L1470" i="1"/>
  <c r="A1470" i="1"/>
  <c r="L1469" i="1"/>
  <c r="A1469" i="1"/>
  <c r="L1468" i="1"/>
  <c r="A1468" i="1"/>
  <c r="L1467" i="1"/>
  <c r="A1467" i="1"/>
  <c r="L1466" i="1"/>
  <c r="A1466" i="1"/>
  <c r="L1465" i="1"/>
  <c r="A1465" i="1"/>
  <c r="L1464" i="1"/>
  <c r="A1464" i="1"/>
  <c r="L1463" i="1"/>
  <c r="A1463" i="1"/>
  <c r="L1462" i="1"/>
  <c r="A1462" i="1"/>
  <c r="L1461" i="1"/>
  <c r="A1461" i="1"/>
  <c r="L1460" i="1"/>
  <c r="A1460" i="1"/>
  <c r="L1459" i="1"/>
  <c r="A1459" i="1"/>
  <c r="L1458" i="1"/>
  <c r="A1458" i="1"/>
  <c r="L1457" i="1"/>
  <c r="A1457" i="1"/>
  <c r="L1456" i="1"/>
  <c r="A1456" i="1"/>
  <c r="L1455" i="1"/>
  <c r="A1455" i="1"/>
  <c r="L1454" i="1"/>
  <c r="A1454" i="1"/>
  <c r="L1453" i="1"/>
  <c r="A1453" i="1"/>
  <c r="L1452" i="1"/>
  <c r="A1452" i="1"/>
  <c r="L1451" i="1"/>
  <c r="A1451" i="1"/>
  <c r="L1450" i="1"/>
  <c r="A1450" i="1"/>
  <c r="L1449" i="1"/>
  <c r="A1449" i="1"/>
  <c r="L1448" i="1"/>
  <c r="A1448" i="1"/>
  <c r="L1447" i="1"/>
  <c r="A1447" i="1"/>
  <c r="L1446" i="1"/>
  <c r="A1446" i="1"/>
  <c r="L1445" i="1"/>
  <c r="A1445" i="1"/>
  <c r="L1444" i="1"/>
  <c r="A1444" i="1"/>
  <c r="L1443" i="1"/>
  <c r="A1443" i="1"/>
  <c r="L1442" i="1"/>
  <c r="A1442" i="1"/>
  <c r="L1441" i="1"/>
  <c r="A1441" i="1"/>
  <c r="L1440" i="1"/>
  <c r="A1440" i="1"/>
  <c r="L1439" i="1"/>
  <c r="A1439" i="1"/>
  <c r="L1438" i="1"/>
  <c r="A1438" i="1"/>
  <c r="L1437" i="1"/>
  <c r="A1437" i="1"/>
  <c r="L1436" i="1"/>
  <c r="A1436" i="1"/>
  <c r="L1435" i="1"/>
  <c r="A1435" i="1"/>
  <c r="L1434" i="1"/>
  <c r="A1434" i="1"/>
  <c r="L1433" i="1"/>
  <c r="A1433" i="1"/>
  <c r="L1432" i="1"/>
  <c r="A1432" i="1"/>
  <c r="L1431" i="1"/>
  <c r="A1431" i="1"/>
  <c r="L1430" i="1"/>
  <c r="A1430" i="1"/>
  <c r="L1429" i="1"/>
  <c r="A1429" i="1"/>
  <c r="L1428" i="1"/>
  <c r="A1428" i="1"/>
  <c r="L1427" i="1"/>
  <c r="A1427" i="1"/>
  <c r="L1426" i="1"/>
  <c r="A1426" i="1"/>
  <c r="L1425" i="1"/>
  <c r="A1425" i="1"/>
  <c r="L1424" i="1"/>
  <c r="A1424" i="1"/>
  <c r="L1423" i="1"/>
  <c r="A1423" i="1"/>
  <c r="L1422" i="1"/>
  <c r="A1422" i="1"/>
  <c r="L1421" i="1"/>
  <c r="A1421" i="1"/>
  <c r="L1420" i="1"/>
  <c r="A1420" i="1"/>
  <c r="L1419" i="1"/>
  <c r="A1419" i="1"/>
  <c r="L1418" i="1"/>
  <c r="A1418" i="1"/>
  <c r="L1417" i="1"/>
  <c r="A1417" i="1"/>
  <c r="L1416" i="1"/>
  <c r="A1416" i="1"/>
  <c r="L1415" i="1"/>
  <c r="A1415" i="1"/>
  <c r="L1414" i="1"/>
  <c r="A1414" i="1"/>
  <c r="L1413" i="1"/>
  <c r="A1413" i="1"/>
  <c r="L1412" i="1"/>
  <c r="A1412" i="1"/>
  <c r="L1411" i="1"/>
  <c r="A1411" i="1"/>
  <c r="L1410" i="1"/>
  <c r="A1410" i="1"/>
  <c r="L1409" i="1"/>
  <c r="A1409" i="1"/>
  <c r="L1408" i="1"/>
  <c r="A1408" i="1"/>
  <c r="L1407" i="1"/>
  <c r="A1407" i="1"/>
  <c r="L1406" i="1"/>
  <c r="A1406" i="1"/>
  <c r="L1405" i="1"/>
  <c r="A1405" i="1"/>
  <c r="L1404" i="1"/>
  <c r="A1404" i="1"/>
  <c r="L1403" i="1"/>
  <c r="A1403" i="1"/>
  <c r="L1402" i="1"/>
  <c r="A1402" i="1"/>
  <c r="L1401" i="1"/>
  <c r="A1401" i="1"/>
  <c r="L1400" i="1"/>
  <c r="A1400" i="1"/>
  <c r="L1399" i="1"/>
  <c r="A1399" i="1"/>
  <c r="L1398" i="1"/>
  <c r="A1398" i="1"/>
  <c r="L1397" i="1"/>
  <c r="A1397" i="1"/>
  <c r="L1396" i="1"/>
  <c r="A1396" i="1"/>
  <c r="L1395" i="1"/>
  <c r="A1395" i="1"/>
  <c r="L1394" i="1"/>
  <c r="A1394" i="1"/>
  <c r="L1393" i="1"/>
  <c r="A1393" i="1"/>
  <c r="L1392" i="1"/>
  <c r="A1392" i="1"/>
  <c r="L1391" i="1"/>
  <c r="A1391" i="1"/>
  <c r="L1390" i="1"/>
  <c r="A1390" i="1"/>
  <c r="L1389" i="1"/>
  <c r="A1389" i="1"/>
  <c r="L1388" i="1"/>
  <c r="A1388" i="1"/>
  <c r="L1387" i="1"/>
  <c r="A1387" i="1"/>
  <c r="L1386" i="1"/>
  <c r="A1386" i="1"/>
  <c r="L1385" i="1"/>
  <c r="A1385" i="1"/>
  <c r="L1384" i="1"/>
  <c r="A1384" i="1"/>
  <c r="L1383" i="1"/>
  <c r="A1383" i="1"/>
  <c r="L1382" i="1"/>
  <c r="A1382" i="1"/>
  <c r="L1381" i="1"/>
  <c r="A1381" i="1"/>
  <c r="L1380" i="1"/>
  <c r="A1380" i="1"/>
  <c r="L1379" i="1"/>
  <c r="A1379" i="1"/>
  <c r="L1378" i="1"/>
  <c r="A1378" i="1"/>
  <c r="L1377" i="1"/>
  <c r="A1377" i="1"/>
  <c r="L1376" i="1"/>
  <c r="A1376" i="1"/>
  <c r="L1375" i="1"/>
  <c r="A1375" i="1"/>
  <c r="L1374" i="1"/>
  <c r="A1374" i="1"/>
  <c r="L1373" i="1"/>
  <c r="A1373" i="1"/>
  <c r="L1372" i="1"/>
  <c r="A1372" i="1"/>
  <c r="L1371" i="1"/>
  <c r="A1371" i="1"/>
  <c r="L1370" i="1"/>
  <c r="A1370" i="1"/>
  <c r="L1369" i="1"/>
  <c r="A1369" i="1"/>
  <c r="L1368" i="1"/>
  <c r="A1368" i="1"/>
  <c r="L1367" i="1"/>
  <c r="A1367" i="1"/>
  <c r="L1366" i="1"/>
  <c r="A1366" i="1"/>
  <c r="L1365" i="1"/>
  <c r="A1365" i="1"/>
  <c r="L1364" i="1"/>
  <c r="A1364" i="1"/>
  <c r="L1363" i="1"/>
  <c r="A1363" i="1"/>
  <c r="L1362" i="1"/>
  <c r="A1362" i="1"/>
  <c r="L1361" i="1"/>
  <c r="A1361" i="1"/>
  <c r="L1360" i="1"/>
  <c r="A1360" i="1"/>
  <c r="L1359" i="1"/>
  <c r="A1359" i="1"/>
  <c r="L1358" i="1"/>
  <c r="A1358" i="1"/>
  <c r="L1357" i="1"/>
  <c r="A1357" i="1"/>
  <c r="L1356" i="1"/>
  <c r="A1356" i="1"/>
  <c r="L1355" i="1"/>
  <c r="A1355" i="1"/>
  <c r="L1354" i="1"/>
  <c r="A1354" i="1"/>
  <c r="L1353" i="1"/>
  <c r="A1353" i="1"/>
  <c r="L1352" i="1"/>
  <c r="A1352" i="1"/>
  <c r="L1351" i="1"/>
  <c r="A1351" i="1"/>
  <c r="L1350" i="1"/>
  <c r="A1350" i="1"/>
  <c r="L1349" i="1"/>
  <c r="A1349" i="1"/>
  <c r="L1348" i="1"/>
  <c r="A1348" i="1"/>
  <c r="L1347" i="1"/>
  <c r="A1347" i="1"/>
  <c r="L1346" i="1"/>
  <c r="A1346" i="1"/>
  <c r="L1345" i="1"/>
  <c r="A1345" i="1"/>
  <c r="L1344" i="1"/>
  <c r="A1344" i="1"/>
  <c r="L1343" i="1"/>
  <c r="A1343" i="1"/>
  <c r="L1342" i="1"/>
  <c r="A1342" i="1"/>
  <c r="L1341" i="1"/>
  <c r="A1341" i="1"/>
  <c r="L1340" i="1"/>
  <c r="A1340" i="1"/>
  <c r="L1339" i="1"/>
  <c r="A1339" i="1"/>
  <c r="L1338" i="1"/>
  <c r="A1338" i="1"/>
  <c r="L1337" i="1"/>
  <c r="A1337" i="1"/>
  <c r="L1336" i="1"/>
  <c r="A1336" i="1"/>
  <c r="L1335" i="1"/>
  <c r="A1335" i="1"/>
  <c r="L1334" i="1"/>
  <c r="A1334" i="1"/>
  <c r="L1333" i="1"/>
  <c r="A1333" i="1"/>
  <c r="L1332" i="1"/>
  <c r="A1332" i="1"/>
  <c r="L1331" i="1"/>
  <c r="A1331" i="1"/>
  <c r="L1330" i="1"/>
  <c r="A1330" i="1"/>
  <c r="L1329" i="1"/>
  <c r="A1329" i="1"/>
  <c r="L1328" i="1"/>
  <c r="A1328" i="1"/>
  <c r="L1327" i="1"/>
  <c r="A1327" i="1"/>
  <c r="L1326" i="1"/>
  <c r="A1326" i="1"/>
  <c r="L1325" i="1"/>
  <c r="A1325" i="1"/>
  <c r="L1324" i="1"/>
  <c r="A1324" i="1"/>
  <c r="L1323" i="1"/>
  <c r="A1323" i="1"/>
  <c r="L1322" i="1"/>
  <c r="A1322" i="1"/>
  <c r="L1321" i="1"/>
  <c r="A1321" i="1"/>
  <c r="L1320" i="1"/>
  <c r="A1320" i="1"/>
  <c r="L1319" i="1"/>
  <c r="A1319" i="1"/>
  <c r="L1318" i="1"/>
  <c r="A1318" i="1"/>
  <c r="L1317" i="1"/>
  <c r="A1317" i="1"/>
  <c r="L1316" i="1"/>
  <c r="A1316" i="1"/>
  <c r="L1315" i="1"/>
  <c r="A1315" i="1"/>
  <c r="L1314" i="1"/>
  <c r="A1314" i="1"/>
  <c r="L1313" i="1"/>
  <c r="A1313" i="1"/>
  <c r="L1312" i="1"/>
  <c r="A1312" i="1"/>
  <c r="L1311" i="1"/>
  <c r="A1311" i="1"/>
  <c r="L1310" i="1"/>
  <c r="A1310" i="1"/>
  <c r="L1309" i="1"/>
  <c r="A1309" i="1"/>
  <c r="L1308" i="1"/>
  <c r="A1308" i="1"/>
  <c r="L1307" i="1"/>
  <c r="A1307" i="1"/>
  <c r="L1306" i="1"/>
  <c r="A1306" i="1"/>
  <c r="L1305" i="1"/>
  <c r="A1305" i="1"/>
  <c r="L1304" i="1"/>
  <c r="A1304" i="1"/>
  <c r="L1303" i="1"/>
  <c r="A1303" i="1"/>
  <c r="L1302" i="1"/>
  <c r="A1302" i="1"/>
  <c r="L1301" i="1"/>
  <c r="A1301" i="1"/>
  <c r="L1300" i="1"/>
  <c r="A1300" i="1"/>
  <c r="L1299" i="1"/>
  <c r="A1299" i="1"/>
  <c r="L1298" i="1"/>
  <c r="A1298" i="1"/>
  <c r="L1297" i="1"/>
  <c r="A1297" i="1"/>
  <c r="L1296" i="1"/>
  <c r="A1296" i="1"/>
  <c r="L1295" i="1"/>
  <c r="A1295" i="1"/>
  <c r="L1294" i="1"/>
  <c r="A1294" i="1"/>
  <c r="L1293" i="1"/>
  <c r="A1293" i="1"/>
  <c r="L1292" i="1"/>
  <c r="A1292" i="1"/>
  <c r="L1291" i="1"/>
  <c r="A1291" i="1"/>
  <c r="L1290" i="1"/>
  <c r="A1290" i="1"/>
  <c r="L1289" i="1"/>
  <c r="A1289" i="1"/>
  <c r="L1288" i="1"/>
  <c r="A1288" i="1"/>
  <c r="L1287" i="1"/>
  <c r="A1287" i="1"/>
  <c r="L1286" i="1"/>
  <c r="A1286" i="1"/>
  <c r="L1285" i="1"/>
  <c r="A1285" i="1"/>
  <c r="L1284" i="1"/>
  <c r="A1284" i="1"/>
  <c r="L1283" i="1"/>
  <c r="A1283" i="1"/>
  <c r="L1282" i="1"/>
  <c r="A1282" i="1"/>
  <c r="L1281" i="1"/>
  <c r="A1281" i="1"/>
  <c r="L1280" i="1"/>
  <c r="A1280" i="1"/>
  <c r="L1279" i="1"/>
  <c r="A1279" i="1"/>
  <c r="L1278" i="1"/>
  <c r="A1278" i="1"/>
  <c r="L1277" i="1"/>
  <c r="A1277" i="1"/>
  <c r="L1276" i="1"/>
  <c r="A1276" i="1"/>
  <c r="L1275" i="1"/>
  <c r="A1275" i="1"/>
  <c r="L1274" i="1"/>
  <c r="A1274" i="1"/>
  <c r="L1273" i="1"/>
  <c r="A1273" i="1"/>
  <c r="L1272" i="1"/>
  <c r="A1272" i="1"/>
  <c r="L1271" i="1"/>
  <c r="A1271" i="1"/>
  <c r="L1270" i="1"/>
  <c r="A1270" i="1"/>
  <c r="L1269" i="1"/>
  <c r="A1269" i="1"/>
  <c r="L1268" i="1"/>
  <c r="A1268" i="1"/>
  <c r="L1267" i="1"/>
  <c r="A1267" i="1"/>
  <c r="L1266" i="1"/>
  <c r="A1266" i="1"/>
  <c r="L1265" i="1"/>
  <c r="A1265" i="1"/>
  <c r="L1264" i="1"/>
  <c r="A1264" i="1"/>
  <c r="L1263" i="1"/>
  <c r="A1263" i="1"/>
  <c r="L1262" i="1"/>
  <c r="A1262" i="1"/>
  <c r="L1261" i="1"/>
  <c r="A1261" i="1"/>
  <c r="L1260" i="1"/>
  <c r="A1260" i="1"/>
  <c r="L1259" i="1"/>
  <c r="A1259" i="1"/>
  <c r="L1258" i="1"/>
  <c r="A1258" i="1"/>
  <c r="L1257" i="1"/>
  <c r="A1257" i="1"/>
  <c r="L1256" i="1"/>
  <c r="A1256" i="1"/>
  <c r="L1255" i="1"/>
  <c r="A1255" i="1"/>
  <c r="L1254" i="1"/>
  <c r="A1254" i="1"/>
  <c r="L1253" i="1"/>
  <c r="A1253" i="1"/>
  <c r="L1252" i="1"/>
  <c r="A1252" i="1"/>
  <c r="L1251" i="1"/>
  <c r="A1251" i="1"/>
  <c r="L1250" i="1"/>
  <c r="A1250" i="1"/>
  <c r="L1249" i="1"/>
  <c r="A1249" i="1"/>
  <c r="L1248" i="1"/>
  <c r="A1248" i="1"/>
  <c r="L1247" i="1"/>
  <c r="A1247" i="1"/>
  <c r="L1246" i="1"/>
  <c r="A1246" i="1"/>
  <c r="L1245" i="1"/>
  <c r="A1245" i="1"/>
  <c r="L1244" i="1"/>
  <c r="A1244" i="1"/>
  <c r="L1243" i="1"/>
  <c r="A1243" i="1"/>
  <c r="L1242" i="1"/>
  <c r="A1242" i="1"/>
  <c r="L1241" i="1"/>
  <c r="A1241" i="1"/>
  <c r="L1240" i="1"/>
  <c r="A1240" i="1"/>
  <c r="L1239" i="1"/>
  <c r="A1239" i="1"/>
  <c r="L1238" i="1"/>
  <c r="A1238" i="1"/>
  <c r="L1237" i="1"/>
  <c r="A1237" i="1"/>
  <c r="L1236" i="1"/>
  <c r="A1236" i="1"/>
  <c r="L1235" i="1"/>
  <c r="A1235" i="1"/>
  <c r="L1234" i="1"/>
  <c r="A1234" i="1"/>
  <c r="L1233" i="1"/>
  <c r="A1233" i="1"/>
  <c r="L1232" i="1"/>
  <c r="A1232" i="1"/>
  <c r="L1231" i="1"/>
  <c r="A1231" i="1"/>
  <c r="L1230" i="1"/>
  <c r="A1230" i="1"/>
  <c r="L1229" i="1"/>
  <c r="A1229" i="1"/>
  <c r="L1228" i="1"/>
  <c r="A1228" i="1"/>
  <c r="L1227" i="1"/>
  <c r="A1227" i="1"/>
  <c r="L1226" i="1"/>
  <c r="A1226" i="1"/>
  <c r="L1225" i="1"/>
  <c r="A1225" i="1"/>
  <c r="L1224" i="1"/>
  <c r="A1224" i="1"/>
  <c r="L1223" i="1"/>
  <c r="A1223" i="1"/>
  <c r="L1222" i="1"/>
  <c r="A1222" i="1"/>
  <c r="L1221" i="1"/>
  <c r="A1221" i="1"/>
  <c r="L1220" i="1"/>
  <c r="A1220" i="1"/>
  <c r="L1219" i="1"/>
  <c r="A1219" i="1"/>
  <c r="L1218" i="1"/>
  <c r="A1218" i="1"/>
  <c r="L1217" i="1"/>
  <c r="A1217" i="1"/>
  <c r="L1216" i="1"/>
  <c r="A1216" i="1"/>
  <c r="L1215" i="1"/>
  <c r="A1215" i="1"/>
  <c r="L1214" i="1"/>
  <c r="A1214" i="1"/>
  <c r="L1213" i="1"/>
  <c r="A1213" i="1"/>
  <c r="L1212" i="1"/>
  <c r="A1212" i="1"/>
  <c r="L1211" i="1"/>
  <c r="A1211" i="1"/>
  <c r="L1210" i="1"/>
  <c r="A1210" i="1"/>
  <c r="L1209" i="1"/>
  <c r="A1209" i="1"/>
  <c r="L1208" i="1"/>
  <c r="A1208" i="1"/>
  <c r="L1207" i="1"/>
  <c r="A1207" i="1"/>
  <c r="L1206" i="1"/>
  <c r="A1206" i="1"/>
  <c r="L1205" i="1"/>
  <c r="A1205" i="1"/>
  <c r="L1204" i="1"/>
  <c r="A1204" i="1"/>
  <c r="L1203" i="1"/>
  <c r="A1203" i="1"/>
  <c r="L1202" i="1"/>
  <c r="A1202" i="1"/>
  <c r="L1201" i="1"/>
  <c r="A1201" i="1"/>
  <c r="L1200" i="1"/>
  <c r="A1200" i="1"/>
  <c r="L1199" i="1"/>
  <c r="A1199" i="1"/>
  <c r="L1198" i="1"/>
  <c r="A1198" i="1"/>
  <c r="L1197" i="1"/>
  <c r="A1197" i="1"/>
  <c r="L1196" i="1"/>
  <c r="A1196" i="1"/>
  <c r="L1195" i="1"/>
  <c r="A1195" i="1"/>
  <c r="L1194" i="1"/>
  <c r="A1194" i="1"/>
  <c r="L1193" i="1"/>
  <c r="A1193" i="1"/>
  <c r="L1192" i="1"/>
  <c r="A1192" i="1"/>
  <c r="L1191" i="1"/>
  <c r="A1191" i="1"/>
  <c r="L1190" i="1"/>
  <c r="A1190" i="1"/>
  <c r="L1189" i="1"/>
  <c r="A1189" i="1"/>
  <c r="L1188" i="1"/>
  <c r="A1188" i="1"/>
  <c r="L1187" i="1"/>
  <c r="A1187" i="1"/>
  <c r="L1186" i="1"/>
  <c r="A1186" i="1"/>
  <c r="L1185" i="1"/>
  <c r="A1185" i="1"/>
  <c r="L1184" i="1"/>
  <c r="A1184" i="1"/>
  <c r="L1183" i="1"/>
  <c r="A1183" i="1"/>
  <c r="L1182" i="1"/>
  <c r="A1182" i="1"/>
  <c r="L1181" i="1"/>
  <c r="A1181" i="1"/>
  <c r="L1180" i="1"/>
  <c r="A1180" i="1"/>
  <c r="L1179" i="1"/>
  <c r="A1179" i="1"/>
  <c r="L1178" i="1"/>
  <c r="A1178" i="1"/>
  <c r="L1177" i="1"/>
  <c r="A1177" i="1"/>
  <c r="L1176" i="1"/>
  <c r="A1176" i="1"/>
  <c r="L1175" i="1"/>
  <c r="A1175" i="1"/>
  <c r="L1174" i="1"/>
  <c r="A1174" i="1"/>
  <c r="L1173" i="1"/>
  <c r="A1173" i="1"/>
  <c r="L1172" i="1"/>
  <c r="A1172" i="1"/>
  <c r="L1171" i="1"/>
  <c r="A1171" i="1"/>
  <c r="L1170" i="1"/>
  <c r="A1170" i="1"/>
  <c r="L1169" i="1"/>
  <c r="A1169" i="1"/>
  <c r="L1168" i="1"/>
  <c r="A1168" i="1"/>
  <c r="L1167" i="1"/>
  <c r="A1167" i="1"/>
  <c r="L1166" i="1"/>
  <c r="A1166" i="1"/>
  <c r="L1165" i="1"/>
  <c r="A1165" i="1"/>
  <c r="L1164" i="1"/>
  <c r="A1164" i="1"/>
  <c r="L1163" i="1"/>
  <c r="A1163" i="1"/>
  <c r="L1162" i="1"/>
  <c r="A1162" i="1"/>
  <c r="L1161" i="1"/>
  <c r="A1161" i="1"/>
  <c r="L1160" i="1"/>
  <c r="A1160" i="1"/>
  <c r="L1159" i="1"/>
  <c r="A1159" i="1"/>
  <c r="L1158" i="1"/>
  <c r="A1158" i="1"/>
  <c r="L1157" i="1"/>
  <c r="A1157" i="1"/>
  <c r="L1156" i="1"/>
  <c r="A1156" i="1"/>
  <c r="L1155" i="1"/>
  <c r="A1155" i="1"/>
  <c r="L1154" i="1"/>
  <c r="A1154" i="1"/>
  <c r="L1153" i="1"/>
  <c r="A1153" i="1"/>
  <c r="L1152" i="1"/>
  <c r="A1152" i="1"/>
  <c r="L1151" i="1"/>
  <c r="A1151" i="1"/>
  <c r="L1150" i="1"/>
  <c r="A1150" i="1"/>
  <c r="L1149" i="1"/>
  <c r="A1149" i="1"/>
  <c r="L1148" i="1"/>
  <c r="A1148" i="1"/>
  <c r="L1147" i="1"/>
  <c r="A1147" i="1"/>
  <c r="L1146" i="1"/>
  <c r="A1146" i="1"/>
  <c r="L1145" i="1"/>
  <c r="A1145" i="1"/>
  <c r="L1144" i="1"/>
  <c r="A1144" i="1"/>
  <c r="L1143" i="1"/>
  <c r="A1143" i="1"/>
  <c r="L1142" i="1"/>
  <c r="A1142" i="1"/>
  <c r="L1141" i="1"/>
  <c r="A1141" i="1"/>
  <c r="L1140" i="1"/>
  <c r="A1140" i="1"/>
  <c r="L1139" i="1"/>
  <c r="A1139" i="1"/>
  <c r="L1138" i="1"/>
  <c r="A1138" i="1"/>
  <c r="L1137" i="1"/>
  <c r="A1137" i="1"/>
  <c r="L1136" i="1"/>
  <c r="A1136" i="1"/>
  <c r="L1135" i="1"/>
  <c r="A1135" i="1"/>
  <c r="L1134" i="1"/>
  <c r="A1134" i="1"/>
  <c r="L1133" i="1"/>
  <c r="A1133" i="1"/>
  <c r="L1132" i="1"/>
  <c r="A1132" i="1"/>
  <c r="L1131" i="1"/>
  <c r="A1131" i="1"/>
  <c r="L1130" i="1"/>
  <c r="A1130" i="1"/>
  <c r="L1129" i="1"/>
  <c r="A1129" i="1"/>
  <c r="L1128" i="1"/>
  <c r="A1128" i="1"/>
  <c r="L1127" i="1"/>
  <c r="A1127" i="1"/>
  <c r="L1126" i="1"/>
  <c r="A1126" i="1"/>
  <c r="L1125" i="1"/>
  <c r="A1125" i="1"/>
  <c r="L1124" i="1"/>
  <c r="A1124" i="1"/>
  <c r="L1123" i="1"/>
  <c r="A1123" i="1"/>
  <c r="L1122" i="1"/>
  <c r="A1122" i="1"/>
  <c r="L1121" i="1"/>
  <c r="A1121" i="1"/>
  <c r="L1120" i="1"/>
  <c r="A1120" i="1"/>
  <c r="L1119" i="1"/>
  <c r="A1119" i="1"/>
  <c r="L1118" i="1"/>
  <c r="A1118" i="1"/>
  <c r="L1117" i="1"/>
  <c r="A1117" i="1"/>
  <c r="L1116" i="1"/>
  <c r="A1116" i="1"/>
  <c r="L1115" i="1"/>
  <c r="A1115" i="1"/>
  <c r="L1114" i="1"/>
  <c r="A1114" i="1"/>
  <c r="L1113" i="1"/>
  <c r="A1113" i="1"/>
  <c r="L1112" i="1"/>
  <c r="A1112" i="1"/>
  <c r="L1111" i="1"/>
  <c r="A1111" i="1"/>
  <c r="L1110" i="1"/>
  <c r="A1110" i="1"/>
  <c r="L1109" i="1"/>
  <c r="A1109" i="1"/>
  <c r="L1108" i="1"/>
  <c r="A1108" i="1"/>
  <c r="L1107" i="1"/>
  <c r="A1107" i="1"/>
  <c r="L1106" i="1"/>
  <c r="A1106" i="1"/>
  <c r="L1105" i="1"/>
  <c r="A1105" i="1"/>
  <c r="L1104" i="1"/>
  <c r="A1104" i="1"/>
  <c r="L1103" i="1"/>
  <c r="A1103" i="1"/>
  <c r="L1102" i="1"/>
  <c r="A1102" i="1"/>
  <c r="L1101" i="1"/>
  <c r="A1101" i="1"/>
  <c r="L1100" i="1"/>
  <c r="A1100" i="1"/>
  <c r="L1099" i="1"/>
  <c r="A1099" i="1"/>
  <c r="L1098" i="1"/>
  <c r="A1098" i="1"/>
  <c r="L1097" i="1"/>
  <c r="A1097" i="1"/>
  <c r="L1096" i="1"/>
  <c r="A1096" i="1"/>
  <c r="L1095" i="1"/>
  <c r="A1095" i="1"/>
  <c r="L1094" i="1"/>
  <c r="A1094" i="1"/>
  <c r="L1093" i="1"/>
  <c r="A1093" i="1"/>
  <c r="L1092" i="1"/>
  <c r="A1092" i="1"/>
  <c r="L1091" i="1"/>
  <c r="A1091" i="1"/>
  <c r="L1090" i="1"/>
  <c r="A1090" i="1"/>
  <c r="L1089" i="1"/>
  <c r="A1089" i="1"/>
  <c r="L1088" i="1"/>
  <c r="A1088" i="1"/>
  <c r="L1087" i="1"/>
  <c r="A1087" i="1"/>
  <c r="L1086" i="1"/>
  <c r="A1086" i="1"/>
  <c r="L1085" i="1"/>
  <c r="A1085" i="1"/>
  <c r="L1084" i="1"/>
  <c r="A1084" i="1"/>
  <c r="L1083" i="1"/>
  <c r="A1083" i="1"/>
  <c r="L1082" i="1"/>
  <c r="A1082" i="1"/>
  <c r="L1081" i="1"/>
  <c r="A1081" i="1"/>
  <c r="L1080" i="1"/>
  <c r="A1080" i="1"/>
  <c r="L1079" i="1"/>
  <c r="A1079" i="1"/>
  <c r="L1078" i="1"/>
  <c r="A1078" i="1"/>
  <c r="L1077" i="1"/>
  <c r="A1077" i="1"/>
  <c r="L1076" i="1"/>
  <c r="A1076" i="1"/>
  <c r="L1075" i="1"/>
  <c r="A1075" i="1"/>
  <c r="L1074" i="1"/>
  <c r="A1074" i="1"/>
  <c r="L1073" i="1"/>
  <c r="A1073" i="1"/>
  <c r="L1072" i="1"/>
  <c r="A1072" i="1"/>
  <c r="L1071" i="1"/>
  <c r="A1071" i="1"/>
  <c r="L1070" i="1"/>
  <c r="A1070" i="1"/>
  <c r="L1069" i="1"/>
  <c r="A1069" i="1"/>
  <c r="L1068" i="1"/>
  <c r="A1068" i="1"/>
  <c r="L1067" i="1"/>
  <c r="A1067" i="1"/>
  <c r="L1066" i="1"/>
  <c r="A1066" i="1"/>
  <c r="L1065" i="1"/>
  <c r="A1065" i="1"/>
  <c r="L1064" i="1"/>
  <c r="A1064" i="1"/>
  <c r="L1063" i="1"/>
  <c r="A1063" i="1"/>
  <c r="L1062" i="1"/>
  <c r="A1062" i="1"/>
  <c r="L1061" i="1"/>
  <c r="A1061" i="1"/>
  <c r="L1060" i="1"/>
  <c r="A1060" i="1"/>
  <c r="L1059" i="1"/>
  <c r="A1059" i="1"/>
  <c r="L1058" i="1"/>
  <c r="A1058" i="1"/>
  <c r="L1057" i="1"/>
  <c r="A1057" i="1"/>
  <c r="L1056" i="1"/>
  <c r="A1056" i="1"/>
  <c r="L1055" i="1"/>
  <c r="A1055" i="1"/>
  <c r="L1054" i="1"/>
  <c r="A1054" i="1"/>
  <c r="L1053" i="1"/>
  <c r="A1053" i="1"/>
  <c r="L1052" i="1"/>
  <c r="A1052" i="1"/>
  <c r="L1051" i="1"/>
  <c r="A1051" i="1"/>
  <c r="L1050" i="1"/>
  <c r="A1050" i="1"/>
  <c r="L1049" i="1"/>
  <c r="A1049" i="1"/>
  <c r="L1048" i="1"/>
  <c r="A1048" i="1"/>
  <c r="L1047" i="1"/>
  <c r="A1047" i="1"/>
  <c r="L1046" i="1"/>
  <c r="A1046" i="1"/>
  <c r="L1045" i="1"/>
  <c r="A1045" i="1"/>
  <c r="L1044" i="1"/>
  <c r="A1044" i="1"/>
  <c r="L1043" i="1"/>
  <c r="A1043" i="1"/>
  <c r="L1042" i="1"/>
  <c r="A1042" i="1"/>
  <c r="L1041" i="1"/>
  <c r="A1041" i="1"/>
  <c r="L1040" i="1"/>
  <c r="A1040" i="1"/>
  <c r="L1039" i="1"/>
  <c r="A1039" i="1"/>
  <c r="L1038" i="1"/>
  <c r="A1038" i="1"/>
  <c r="L1037" i="1"/>
  <c r="A1037" i="1"/>
  <c r="L1036" i="1"/>
  <c r="A1036" i="1"/>
  <c r="L1035" i="1"/>
  <c r="A1035" i="1"/>
  <c r="L1034" i="1"/>
  <c r="A1034" i="1"/>
  <c r="L1033" i="1"/>
  <c r="A1033" i="1"/>
  <c r="L1032" i="1"/>
  <c r="A1032" i="1"/>
  <c r="L1031" i="1"/>
  <c r="A1031" i="1"/>
  <c r="L1030" i="1"/>
  <c r="A1030" i="1"/>
  <c r="L1029" i="1"/>
  <c r="A1029" i="1"/>
  <c r="L1028" i="1"/>
  <c r="A1028" i="1"/>
  <c r="L1027" i="1"/>
  <c r="A1027" i="1"/>
  <c r="L1026" i="1"/>
  <c r="A1026" i="1"/>
  <c r="L1025" i="1"/>
  <c r="A1025" i="1"/>
  <c r="L1024" i="1"/>
  <c r="A1024" i="1"/>
  <c r="L1023" i="1"/>
  <c r="A1023" i="1"/>
  <c r="L1022" i="1"/>
  <c r="A1022" i="1"/>
  <c r="L1021" i="1"/>
  <c r="A1021" i="1"/>
  <c r="L1020" i="1"/>
  <c r="A1020" i="1"/>
  <c r="L1019" i="1"/>
  <c r="A1019" i="1"/>
  <c r="L1018" i="1"/>
  <c r="A1018" i="1"/>
  <c r="L1017" i="1"/>
  <c r="A1017" i="1"/>
  <c r="L1016" i="1"/>
  <c r="A1016" i="1"/>
  <c r="L1015" i="1"/>
  <c r="A1015" i="1"/>
  <c r="L1014" i="1"/>
  <c r="A1014" i="1"/>
  <c r="L1013" i="1"/>
  <c r="A1013" i="1"/>
  <c r="L1012" i="1"/>
  <c r="A1012" i="1"/>
  <c r="L1011" i="1"/>
  <c r="A1011" i="1"/>
  <c r="L1010" i="1"/>
  <c r="A1010" i="1"/>
  <c r="L1009" i="1"/>
  <c r="A1009" i="1"/>
  <c r="L1008" i="1"/>
  <c r="A1008" i="1"/>
  <c r="L1007" i="1"/>
  <c r="A1007" i="1"/>
  <c r="L1006" i="1"/>
  <c r="A1006" i="1"/>
  <c r="L1005" i="1"/>
  <c r="A1005" i="1"/>
  <c r="L1004" i="1"/>
  <c r="A1004" i="1"/>
  <c r="L1003" i="1"/>
  <c r="A1003" i="1"/>
  <c r="L1002" i="1"/>
  <c r="A1002" i="1"/>
  <c r="L1001" i="1"/>
  <c r="A1001" i="1"/>
  <c r="L1000" i="1"/>
  <c r="A1000" i="1"/>
  <c r="L999" i="1"/>
  <c r="A999" i="1"/>
  <c r="L998" i="1"/>
  <c r="A998" i="1"/>
  <c r="L997" i="1"/>
  <c r="A997" i="1"/>
  <c r="L996" i="1"/>
  <c r="A996" i="1"/>
  <c r="L995" i="1"/>
  <c r="A995" i="1"/>
  <c r="L994" i="1"/>
  <c r="A994" i="1"/>
  <c r="L993" i="1"/>
  <c r="A993" i="1"/>
  <c r="L992" i="1"/>
  <c r="A992" i="1"/>
  <c r="L991" i="1"/>
  <c r="A991" i="1"/>
  <c r="L990" i="1"/>
  <c r="A990" i="1"/>
  <c r="L989" i="1"/>
  <c r="A989" i="1"/>
  <c r="L988" i="1"/>
  <c r="A988" i="1"/>
  <c r="L987" i="1"/>
  <c r="A987" i="1"/>
  <c r="L986" i="1"/>
  <c r="A986" i="1"/>
  <c r="L985" i="1"/>
  <c r="A985" i="1"/>
  <c r="L984" i="1"/>
  <c r="A984" i="1"/>
  <c r="L983" i="1"/>
  <c r="A983" i="1"/>
  <c r="L982" i="1"/>
  <c r="A982" i="1"/>
  <c r="L981" i="1"/>
  <c r="A981" i="1"/>
  <c r="L980" i="1"/>
  <c r="A980" i="1"/>
  <c r="L979" i="1"/>
  <c r="A979" i="1"/>
  <c r="L978" i="1"/>
  <c r="A978" i="1"/>
  <c r="L977" i="1"/>
  <c r="A977" i="1"/>
  <c r="L976" i="1"/>
  <c r="A976" i="1"/>
  <c r="L975" i="1"/>
  <c r="A975" i="1"/>
  <c r="L974" i="1"/>
  <c r="A974" i="1"/>
  <c r="L973" i="1"/>
  <c r="A973" i="1"/>
  <c r="L972" i="1"/>
  <c r="A972" i="1"/>
  <c r="L971" i="1"/>
  <c r="A971" i="1"/>
  <c r="L970" i="1"/>
  <c r="A970" i="1"/>
  <c r="L969" i="1"/>
  <c r="A969" i="1"/>
  <c r="L968" i="1"/>
  <c r="A968" i="1"/>
  <c r="L967" i="1"/>
  <c r="A967" i="1"/>
  <c r="L966" i="1"/>
  <c r="A966" i="1"/>
  <c r="L965" i="1"/>
  <c r="A965" i="1"/>
  <c r="L964" i="1"/>
  <c r="A964" i="1"/>
  <c r="L963" i="1"/>
  <c r="A963" i="1"/>
  <c r="L962" i="1"/>
  <c r="A962" i="1"/>
  <c r="L961" i="1"/>
  <c r="A961" i="1"/>
  <c r="L960" i="1"/>
  <c r="A960" i="1"/>
  <c r="L959" i="1"/>
  <c r="A959" i="1"/>
  <c r="L958" i="1"/>
  <c r="A958" i="1"/>
  <c r="L957" i="1"/>
  <c r="A957" i="1"/>
  <c r="L956" i="1"/>
  <c r="A956" i="1"/>
  <c r="L955" i="1"/>
  <c r="A955" i="1"/>
  <c r="L954" i="1"/>
  <c r="A954" i="1"/>
  <c r="L953" i="1"/>
  <c r="A953" i="1"/>
  <c r="L952" i="1"/>
  <c r="A952" i="1"/>
  <c r="L951" i="1"/>
  <c r="A951" i="1"/>
  <c r="L950" i="1"/>
  <c r="A950" i="1"/>
  <c r="L949" i="1"/>
  <c r="A949" i="1"/>
  <c r="L948" i="1"/>
  <c r="A948" i="1"/>
  <c r="L947" i="1"/>
  <c r="A947" i="1"/>
  <c r="L946" i="1"/>
  <c r="A946" i="1"/>
  <c r="L945" i="1"/>
  <c r="A945" i="1"/>
  <c r="L944" i="1"/>
  <c r="A944" i="1"/>
  <c r="L943" i="1"/>
  <c r="A943" i="1"/>
  <c r="L942" i="1"/>
  <c r="A942" i="1"/>
  <c r="L941" i="1"/>
  <c r="A941" i="1"/>
  <c r="L940" i="1"/>
  <c r="A940" i="1"/>
  <c r="L939" i="1"/>
  <c r="A939" i="1"/>
  <c r="L938" i="1"/>
  <c r="A938" i="1"/>
  <c r="L937" i="1"/>
  <c r="A937" i="1"/>
  <c r="L936" i="1"/>
  <c r="A936" i="1"/>
  <c r="L935" i="1"/>
  <c r="A935" i="1"/>
  <c r="L934" i="1"/>
  <c r="A934" i="1"/>
  <c r="L933" i="1"/>
  <c r="A933" i="1"/>
  <c r="L932" i="1"/>
  <c r="A932" i="1"/>
  <c r="L931" i="1"/>
  <c r="A931" i="1"/>
  <c r="L930" i="1"/>
  <c r="A930" i="1"/>
  <c r="L929" i="1"/>
  <c r="A929" i="1"/>
  <c r="L928" i="1"/>
  <c r="A928" i="1"/>
  <c r="L927" i="1"/>
  <c r="A927" i="1"/>
  <c r="L926" i="1"/>
  <c r="A926" i="1"/>
  <c r="L925" i="1"/>
  <c r="A925" i="1"/>
  <c r="L924" i="1"/>
  <c r="A924" i="1"/>
  <c r="L923" i="1"/>
  <c r="A923" i="1"/>
  <c r="L922" i="1"/>
  <c r="A922" i="1"/>
  <c r="L921" i="1"/>
  <c r="A921" i="1"/>
  <c r="L920" i="1"/>
  <c r="A920" i="1"/>
  <c r="L919" i="1"/>
  <c r="A919" i="1"/>
  <c r="L918" i="1"/>
  <c r="A918" i="1"/>
  <c r="L917" i="1"/>
  <c r="A917" i="1"/>
  <c r="L916" i="1"/>
  <c r="A916" i="1"/>
  <c r="L915" i="1"/>
  <c r="A915" i="1"/>
  <c r="L914" i="1"/>
  <c r="A914" i="1"/>
  <c r="L913" i="1"/>
  <c r="A913" i="1"/>
  <c r="L912" i="1"/>
  <c r="A912" i="1"/>
  <c r="L911" i="1"/>
  <c r="A911" i="1"/>
  <c r="L910" i="1"/>
  <c r="A910" i="1"/>
  <c r="L909" i="1"/>
  <c r="A909" i="1"/>
  <c r="L908" i="1"/>
  <c r="A908" i="1"/>
  <c r="L907" i="1"/>
  <c r="A907" i="1"/>
  <c r="L906" i="1"/>
  <c r="A906" i="1"/>
  <c r="L905" i="1"/>
  <c r="A905" i="1"/>
  <c r="L904" i="1"/>
  <c r="A904" i="1"/>
  <c r="L903" i="1"/>
  <c r="A903" i="1"/>
  <c r="L902" i="1"/>
  <c r="A902" i="1"/>
  <c r="L901" i="1"/>
  <c r="A901" i="1"/>
  <c r="L900" i="1"/>
  <c r="A900" i="1"/>
  <c r="L899" i="1"/>
  <c r="A899" i="1"/>
  <c r="L898" i="1"/>
  <c r="A898" i="1"/>
  <c r="L897" i="1"/>
  <c r="A897" i="1"/>
  <c r="L896" i="1"/>
  <c r="A896" i="1"/>
  <c r="L895" i="1"/>
  <c r="A895" i="1"/>
  <c r="L894" i="1"/>
  <c r="A894" i="1"/>
  <c r="L893" i="1"/>
  <c r="A893" i="1"/>
  <c r="L892" i="1"/>
  <c r="A892" i="1"/>
  <c r="L891" i="1"/>
  <c r="A891" i="1"/>
  <c r="L890" i="1"/>
  <c r="A890" i="1"/>
  <c r="L889" i="1"/>
  <c r="A889" i="1"/>
  <c r="L888" i="1"/>
  <c r="A888" i="1"/>
  <c r="L887" i="1"/>
  <c r="A887" i="1"/>
  <c r="L886" i="1"/>
  <c r="A886" i="1"/>
  <c r="L885" i="1"/>
  <c r="A885" i="1"/>
  <c r="L884" i="1"/>
  <c r="A884" i="1"/>
  <c r="L883" i="1"/>
  <c r="A883" i="1"/>
  <c r="L882" i="1"/>
  <c r="A882" i="1"/>
  <c r="L881" i="1"/>
  <c r="A881" i="1"/>
  <c r="L880" i="1"/>
  <c r="A880" i="1"/>
  <c r="L879" i="1"/>
  <c r="A879" i="1"/>
  <c r="L878" i="1"/>
  <c r="A878" i="1"/>
  <c r="L877" i="1"/>
  <c r="A877" i="1"/>
  <c r="L876" i="1"/>
  <c r="A876" i="1"/>
  <c r="L875" i="1"/>
  <c r="A875" i="1"/>
  <c r="L874" i="1"/>
  <c r="A874" i="1"/>
  <c r="L873" i="1"/>
  <c r="A873" i="1"/>
  <c r="L872" i="1"/>
  <c r="A872" i="1"/>
  <c r="L871" i="1"/>
  <c r="A871" i="1"/>
  <c r="L870" i="1"/>
  <c r="A870" i="1"/>
  <c r="L869" i="1"/>
  <c r="A869" i="1"/>
  <c r="L868" i="1"/>
  <c r="A868" i="1"/>
  <c r="L867" i="1"/>
  <c r="A867" i="1"/>
  <c r="L866" i="1"/>
  <c r="A866" i="1"/>
  <c r="L865" i="1"/>
  <c r="A865" i="1"/>
  <c r="L864" i="1"/>
  <c r="A864" i="1"/>
  <c r="L863" i="1"/>
  <c r="A863" i="1"/>
  <c r="L862" i="1"/>
  <c r="A862" i="1"/>
  <c r="L861" i="1"/>
  <c r="A861" i="1"/>
  <c r="L860" i="1"/>
  <c r="A860" i="1"/>
  <c r="L859" i="1"/>
  <c r="A859" i="1"/>
  <c r="L858" i="1"/>
  <c r="A858" i="1"/>
  <c r="L857" i="1"/>
  <c r="A857" i="1"/>
  <c r="L856" i="1"/>
  <c r="A856" i="1"/>
  <c r="L855" i="1"/>
  <c r="A855" i="1"/>
  <c r="L854" i="1"/>
  <c r="A854" i="1"/>
  <c r="L853" i="1"/>
  <c r="A853" i="1"/>
  <c r="L852" i="1"/>
  <c r="A852" i="1"/>
  <c r="L851" i="1"/>
  <c r="A851" i="1"/>
  <c r="L850" i="1"/>
  <c r="A850" i="1"/>
  <c r="L849" i="1"/>
  <c r="A849" i="1"/>
  <c r="L848" i="1"/>
  <c r="A848" i="1"/>
  <c r="L847" i="1"/>
  <c r="A847" i="1"/>
  <c r="L846" i="1"/>
  <c r="A846" i="1"/>
  <c r="L845" i="1"/>
  <c r="A845" i="1"/>
  <c r="L844" i="1"/>
  <c r="A844" i="1"/>
  <c r="L843" i="1"/>
  <c r="A843" i="1"/>
  <c r="L842" i="1"/>
  <c r="A842" i="1"/>
  <c r="L841" i="1"/>
  <c r="A841" i="1"/>
  <c r="L840" i="1"/>
  <c r="A840" i="1"/>
  <c r="L839" i="1"/>
  <c r="A839" i="1"/>
  <c r="L838" i="1"/>
  <c r="A838" i="1"/>
  <c r="L837" i="1"/>
  <c r="A837" i="1"/>
  <c r="L836" i="1"/>
  <c r="A836" i="1"/>
  <c r="L835" i="1"/>
  <c r="A835" i="1"/>
  <c r="L834" i="1"/>
  <c r="A834" i="1"/>
  <c r="L833" i="1"/>
  <c r="A833" i="1"/>
  <c r="L832" i="1"/>
  <c r="A832" i="1"/>
  <c r="L831" i="1"/>
  <c r="A831" i="1"/>
  <c r="L830" i="1"/>
  <c r="A830" i="1"/>
  <c r="L829" i="1"/>
  <c r="A829" i="1"/>
  <c r="L828" i="1"/>
  <c r="A828" i="1"/>
  <c r="L827" i="1"/>
  <c r="A827" i="1"/>
  <c r="L826" i="1"/>
  <c r="A826" i="1"/>
  <c r="L825" i="1"/>
  <c r="A825" i="1"/>
  <c r="L824" i="1"/>
  <c r="A824" i="1"/>
  <c r="L823" i="1"/>
  <c r="A823" i="1"/>
  <c r="L822" i="1"/>
  <c r="A822" i="1"/>
  <c r="L821" i="1"/>
  <c r="A821" i="1"/>
  <c r="L820" i="1"/>
  <c r="A820" i="1"/>
  <c r="L819" i="1"/>
  <c r="A819" i="1"/>
  <c r="L818" i="1"/>
  <c r="A818" i="1"/>
  <c r="L817" i="1"/>
  <c r="A817" i="1"/>
  <c r="L816" i="1"/>
  <c r="A816" i="1"/>
  <c r="L815" i="1"/>
  <c r="A815" i="1"/>
  <c r="L814" i="1"/>
  <c r="A814" i="1"/>
  <c r="L813" i="1"/>
  <c r="A813" i="1"/>
  <c r="L812" i="1"/>
  <c r="A812" i="1"/>
  <c r="L811" i="1"/>
  <c r="A811" i="1"/>
  <c r="L810" i="1"/>
  <c r="A810" i="1"/>
  <c r="L809" i="1"/>
  <c r="A809" i="1"/>
  <c r="L808" i="1"/>
  <c r="A808" i="1"/>
  <c r="L807" i="1"/>
  <c r="A807" i="1"/>
  <c r="L806" i="1"/>
  <c r="A806" i="1"/>
  <c r="L805" i="1"/>
  <c r="A805" i="1"/>
  <c r="L804" i="1"/>
  <c r="A804" i="1"/>
  <c r="L803" i="1"/>
  <c r="A803" i="1"/>
  <c r="L802" i="1"/>
  <c r="A802" i="1"/>
  <c r="L801" i="1"/>
  <c r="A801" i="1"/>
  <c r="L800" i="1"/>
  <c r="A800" i="1"/>
  <c r="L799" i="1"/>
  <c r="A799" i="1"/>
  <c r="L798" i="1"/>
  <c r="A798" i="1"/>
  <c r="L797" i="1"/>
  <c r="A797" i="1"/>
  <c r="L796" i="1"/>
  <c r="A796" i="1"/>
  <c r="L795" i="1"/>
  <c r="A795" i="1"/>
  <c r="L794" i="1"/>
  <c r="A794" i="1"/>
  <c r="L793" i="1"/>
  <c r="A793" i="1"/>
  <c r="L792" i="1"/>
  <c r="A792" i="1"/>
  <c r="L791" i="1"/>
  <c r="A791" i="1"/>
  <c r="L790" i="1"/>
  <c r="A790" i="1"/>
  <c r="L789" i="1"/>
  <c r="A789" i="1"/>
  <c r="L788" i="1"/>
  <c r="A788" i="1"/>
  <c r="L787" i="1"/>
  <c r="A787" i="1"/>
  <c r="L786" i="1"/>
  <c r="A786" i="1"/>
  <c r="L785" i="1"/>
  <c r="A785" i="1"/>
  <c r="L784" i="1"/>
  <c r="A784" i="1"/>
  <c r="L783" i="1"/>
  <c r="A783" i="1"/>
  <c r="L782" i="1"/>
  <c r="A782" i="1"/>
  <c r="L781" i="1"/>
  <c r="A781" i="1"/>
  <c r="L780" i="1"/>
  <c r="A780" i="1"/>
  <c r="L779" i="1"/>
  <c r="A779" i="1"/>
  <c r="L778" i="1"/>
  <c r="A778" i="1"/>
  <c r="L777" i="1"/>
  <c r="A777" i="1"/>
  <c r="L776" i="1"/>
  <c r="A776" i="1"/>
  <c r="L775" i="1"/>
  <c r="A775" i="1"/>
  <c r="L774" i="1"/>
  <c r="A774" i="1"/>
  <c r="L773" i="1"/>
  <c r="A773" i="1"/>
  <c r="L772" i="1"/>
  <c r="A772" i="1"/>
  <c r="L771" i="1"/>
  <c r="A771" i="1"/>
  <c r="L770" i="1"/>
  <c r="A770" i="1"/>
  <c r="L769" i="1"/>
  <c r="A769" i="1"/>
  <c r="L768" i="1"/>
  <c r="A768" i="1"/>
  <c r="L767" i="1"/>
  <c r="A767" i="1"/>
  <c r="L766" i="1"/>
  <c r="A766" i="1"/>
  <c r="L765" i="1"/>
  <c r="A765" i="1"/>
  <c r="L764" i="1"/>
  <c r="A764" i="1"/>
  <c r="L763" i="1"/>
  <c r="A763" i="1"/>
  <c r="L762" i="1"/>
  <c r="A762" i="1"/>
  <c r="L761" i="1"/>
  <c r="A761" i="1"/>
  <c r="L760" i="1"/>
  <c r="A760" i="1"/>
  <c r="L759" i="1"/>
  <c r="A759" i="1"/>
  <c r="L758" i="1"/>
  <c r="A758" i="1"/>
  <c r="L757" i="1"/>
  <c r="A757" i="1"/>
  <c r="L756" i="1"/>
  <c r="A756" i="1"/>
  <c r="L755" i="1"/>
  <c r="A755" i="1"/>
  <c r="L754" i="1"/>
  <c r="A754" i="1"/>
  <c r="L753" i="1"/>
  <c r="A753" i="1"/>
  <c r="L752" i="1"/>
  <c r="A752" i="1"/>
  <c r="L751" i="1"/>
  <c r="A751" i="1"/>
  <c r="L750" i="1"/>
  <c r="A750" i="1"/>
  <c r="L749" i="1"/>
  <c r="A749" i="1"/>
  <c r="L748" i="1"/>
  <c r="A748" i="1"/>
  <c r="L747" i="1"/>
  <c r="A747" i="1"/>
  <c r="L746" i="1"/>
  <c r="A746" i="1"/>
  <c r="L745" i="1"/>
  <c r="A745" i="1"/>
  <c r="L744" i="1"/>
  <c r="A744" i="1"/>
  <c r="L743" i="1"/>
  <c r="A743" i="1"/>
  <c r="L742" i="1"/>
  <c r="A742" i="1"/>
  <c r="L741" i="1"/>
  <c r="A741" i="1"/>
  <c r="L740" i="1"/>
  <c r="A740" i="1"/>
  <c r="L739" i="1"/>
  <c r="A739" i="1"/>
  <c r="L738" i="1"/>
  <c r="A738" i="1"/>
  <c r="L737" i="1"/>
  <c r="A737" i="1"/>
  <c r="L736" i="1"/>
  <c r="A736" i="1"/>
  <c r="L735" i="1"/>
  <c r="A735" i="1"/>
  <c r="L734" i="1"/>
  <c r="A734" i="1"/>
  <c r="L733" i="1"/>
  <c r="A733" i="1"/>
  <c r="L732" i="1"/>
  <c r="A732" i="1"/>
  <c r="L731" i="1"/>
  <c r="A731" i="1"/>
  <c r="L730" i="1"/>
  <c r="A730" i="1"/>
  <c r="L729" i="1"/>
  <c r="A729" i="1"/>
  <c r="L728" i="1"/>
  <c r="A728" i="1"/>
  <c r="L727" i="1"/>
  <c r="A727" i="1"/>
  <c r="L726" i="1"/>
  <c r="A726" i="1"/>
  <c r="L725" i="1"/>
  <c r="A725" i="1"/>
  <c r="L724" i="1"/>
  <c r="A724" i="1"/>
  <c r="L723" i="1"/>
  <c r="A723" i="1"/>
  <c r="L722" i="1"/>
  <c r="A722" i="1"/>
  <c r="L721" i="1"/>
  <c r="A721" i="1"/>
  <c r="L720" i="1"/>
  <c r="A720" i="1"/>
  <c r="L719" i="1"/>
  <c r="A719" i="1"/>
  <c r="L718" i="1"/>
  <c r="A718" i="1"/>
  <c r="L717" i="1"/>
  <c r="A717" i="1"/>
  <c r="L716" i="1"/>
  <c r="A716" i="1"/>
  <c r="L715" i="1"/>
  <c r="A715" i="1"/>
  <c r="L714" i="1"/>
  <c r="A714" i="1"/>
  <c r="L713" i="1"/>
  <c r="A713" i="1"/>
  <c r="L712" i="1"/>
  <c r="A712" i="1"/>
  <c r="L711" i="1"/>
  <c r="A711" i="1"/>
  <c r="L710" i="1"/>
  <c r="A710" i="1"/>
  <c r="L709" i="1"/>
  <c r="A709" i="1"/>
  <c r="L708" i="1"/>
  <c r="A708" i="1"/>
  <c r="L707" i="1"/>
  <c r="A707" i="1"/>
  <c r="L706" i="1"/>
  <c r="A706" i="1"/>
  <c r="L705" i="1"/>
  <c r="A705" i="1"/>
  <c r="L704" i="1"/>
  <c r="A704" i="1"/>
  <c r="L703" i="1"/>
  <c r="A703" i="1"/>
  <c r="L702" i="1"/>
  <c r="A702" i="1"/>
  <c r="L701" i="1"/>
  <c r="A701" i="1"/>
  <c r="L700" i="1"/>
  <c r="A700" i="1"/>
  <c r="L699" i="1"/>
  <c r="A699" i="1"/>
  <c r="L698" i="1"/>
  <c r="A698" i="1"/>
  <c r="L697" i="1"/>
  <c r="A697" i="1"/>
  <c r="L696" i="1"/>
  <c r="A696" i="1"/>
  <c r="L695" i="1"/>
  <c r="A695" i="1"/>
  <c r="L694" i="1"/>
  <c r="A694" i="1"/>
  <c r="L693" i="1"/>
  <c r="A693" i="1"/>
  <c r="L692" i="1"/>
  <c r="A692" i="1"/>
  <c r="L691" i="1"/>
  <c r="A691" i="1"/>
  <c r="L690" i="1"/>
  <c r="A690" i="1"/>
  <c r="L689" i="1"/>
  <c r="A689" i="1"/>
  <c r="L688" i="1"/>
  <c r="A688" i="1"/>
  <c r="L687" i="1"/>
  <c r="A687" i="1"/>
  <c r="L686" i="1"/>
  <c r="A686" i="1"/>
  <c r="L685" i="1"/>
  <c r="A685" i="1"/>
  <c r="L684" i="1"/>
  <c r="A684" i="1"/>
  <c r="L683" i="1"/>
  <c r="A683" i="1"/>
  <c r="L682" i="1"/>
  <c r="A682" i="1"/>
  <c r="L681" i="1"/>
  <c r="A681" i="1"/>
  <c r="L680" i="1"/>
  <c r="A680" i="1"/>
  <c r="L679" i="1"/>
  <c r="A679" i="1"/>
  <c r="L678" i="1"/>
  <c r="A678" i="1"/>
  <c r="L677" i="1"/>
  <c r="A677" i="1"/>
  <c r="L676" i="1"/>
  <c r="A676" i="1"/>
  <c r="L675" i="1"/>
  <c r="A675" i="1"/>
  <c r="L674" i="1"/>
  <c r="A674" i="1"/>
  <c r="L673" i="1"/>
  <c r="A673" i="1"/>
  <c r="L672" i="1"/>
  <c r="A672" i="1"/>
  <c r="L671" i="1"/>
  <c r="A671" i="1"/>
  <c r="L670" i="1"/>
  <c r="A670" i="1"/>
  <c r="L669" i="1"/>
  <c r="A669" i="1"/>
  <c r="L668" i="1"/>
  <c r="A668" i="1"/>
  <c r="L667" i="1"/>
  <c r="A667" i="1"/>
  <c r="L666" i="1"/>
  <c r="A666" i="1"/>
  <c r="L665" i="1"/>
  <c r="A665" i="1"/>
  <c r="L664" i="1"/>
  <c r="A664" i="1"/>
  <c r="L663" i="1"/>
  <c r="A663" i="1"/>
  <c r="L662" i="1"/>
  <c r="A662" i="1"/>
  <c r="L661" i="1"/>
  <c r="A661" i="1"/>
  <c r="L660" i="1"/>
  <c r="A660" i="1"/>
  <c r="L659" i="1"/>
  <c r="A659" i="1"/>
  <c r="L658" i="1"/>
  <c r="A658" i="1"/>
  <c r="L657" i="1"/>
  <c r="A657" i="1"/>
  <c r="L656" i="1"/>
  <c r="A656" i="1"/>
  <c r="L655" i="1"/>
  <c r="A655" i="1"/>
  <c r="L654" i="1"/>
  <c r="A654" i="1"/>
  <c r="L653" i="1"/>
  <c r="A653" i="1"/>
  <c r="L652" i="1"/>
  <c r="A652" i="1"/>
  <c r="L651" i="1"/>
  <c r="A651" i="1"/>
  <c r="L650" i="1"/>
  <c r="A650" i="1"/>
  <c r="L649" i="1"/>
  <c r="A649" i="1"/>
  <c r="L648" i="1"/>
  <c r="A648" i="1"/>
  <c r="L647" i="1"/>
  <c r="A647" i="1"/>
  <c r="L646" i="1"/>
  <c r="A646" i="1"/>
  <c r="L645" i="1"/>
  <c r="A645" i="1"/>
  <c r="L644" i="1"/>
  <c r="A644" i="1"/>
  <c r="L643" i="1"/>
  <c r="A643" i="1"/>
  <c r="L642" i="1"/>
  <c r="A642" i="1"/>
  <c r="L641" i="1"/>
  <c r="A641" i="1"/>
  <c r="L640" i="1"/>
  <c r="A640" i="1"/>
  <c r="L639" i="1"/>
  <c r="A639" i="1"/>
  <c r="L638" i="1"/>
  <c r="A638" i="1"/>
  <c r="L637" i="1"/>
  <c r="A637" i="1"/>
  <c r="L636" i="1"/>
  <c r="A636" i="1"/>
  <c r="L635" i="1"/>
  <c r="A635" i="1"/>
  <c r="L634" i="1"/>
  <c r="A634" i="1"/>
  <c r="L633" i="1"/>
  <c r="A633" i="1"/>
  <c r="L632" i="1"/>
  <c r="A632" i="1"/>
  <c r="L631" i="1"/>
  <c r="A631" i="1"/>
  <c r="L630" i="1"/>
  <c r="A630" i="1"/>
  <c r="L629" i="1"/>
  <c r="A629" i="1"/>
  <c r="L628" i="1"/>
  <c r="A628" i="1"/>
  <c r="L627" i="1"/>
  <c r="A627" i="1"/>
  <c r="L626" i="1"/>
  <c r="A626" i="1"/>
  <c r="L625" i="1"/>
  <c r="A625" i="1"/>
  <c r="L624" i="1"/>
  <c r="A624" i="1"/>
  <c r="L623" i="1"/>
  <c r="A623" i="1"/>
  <c r="L622" i="1"/>
  <c r="A622" i="1"/>
  <c r="L621" i="1"/>
  <c r="A621" i="1"/>
  <c r="L620" i="1"/>
  <c r="A620" i="1"/>
  <c r="L619" i="1"/>
  <c r="A619" i="1"/>
  <c r="L618" i="1"/>
  <c r="A618" i="1"/>
  <c r="L617" i="1"/>
  <c r="A617" i="1"/>
  <c r="L616" i="1"/>
  <c r="A616" i="1"/>
  <c r="L615" i="1"/>
  <c r="A615" i="1"/>
  <c r="L614" i="1"/>
  <c r="A614" i="1"/>
  <c r="L613" i="1"/>
  <c r="A613" i="1"/>
  <c r="L612" i="1"/>
  <c r="A612" i="1"/>
  <c r="L611" i="1"/>
  <c r="A611" i="1"/>
  <c r="L610" i="1"/>
  <c r="A610" i="1"/>
  <c r="L609" i="1"/>
  <c r="A609" i="1"/>
  <c r="L608" i="1"/>
  <c r="A608" i="1"/>
  <c r="L607" i="1"/>
  <c r="A607" i="1"/>
  <c r="L606" i="1"/>
  <c r="A606" i="1"/>
  <c r="L605" i="1"/>
  <c r="A605" i="1"/>
  <c r="L604" i="1"/>
  <c r="A604" i="1"/>
  <c r="L603" i="1"/>
  <c r="A603" i="1"/>
  <c r="L602" i="1"/>
  <c r="A602" i="1"/>
  <c r="L601" i="1"/>
  <c r="A601" i="1"/>
  <c r="L600" i="1"/>
  <c r="A600" i="1"/>
  <c r="L599" i="1"/>
  <c r="A599" i="1"/>
  <c r="L598" i="1"/>
  <c r="A598" i="1"/>
  <c r="L597" i="1"/>
  <c r="A597" i="1"/>
  <c r="L596" i="1"/>
  <c r="A596" i="1"/>
  <c r="L595" i="1"/>
  <c r="A595" i="1"/>
  <c r="L594" i="1"/>
  <c r="A594" i="1"/>
  <c r="L593" i="1"/>
  <c r="A593" i="1"/>
  <c r="L592" i="1"/>
  <c r="A592" i="1"/>
  <c r="L591" i="1"/>
  <c r="A591" i="1"/>
  <c r="L590" i="1"/>
  <c r="A590" i="1"/>
  <c r="L589" i="1"/>
  <c r="A589" i="1"/>
  <c r="L588" i="1"/>
  <c r="A588" i="1"/>
  <c r="L587" i="1"/>
  <c r="A587" i="1"/>
  <c r="L586" i="1"/>
  <c r="A586" i="1"/>
  <c r="L585" i="1"/>
  <c r="A585" i="1"/>
  <c r="L584" i="1"/>
  <c r="A584" i="1"/>
  <c r="L583" i="1"/>
  <c r="A583" i="1"/>
  <c r="L582" i="1"/>
  <c r="A582" i="1"/>
  <c r="L581" i="1"/>
  <c r="A581" i="1"/>
  <c r="L580" i="1"/>
  <c r="A580" i="1"/>
  <c r="L579" i="1"/>
  <c r="A579" i="1"/>
  <c r="L578" i="1"/>
  <c r="A578" i="1"/>
  <c r="L577" i="1"/>
  <c r="A577" i="1"/>
  <c r="L576" i="1"/>
  <c r="A576" i="1"/>
  <c r="L575" i="1"/>
  <c r="A575" i="1"/>
  <c r="L574" i="1"/>
  <c r="A574" i="1"/>
  <c r="L573" i="1"/>
  <c r="A573" i="1"/>
  <c r="L572" i="1"/>
  <c r="A572" i="1"/>
  <c r="L571" i="1"/>
  <c r="A571" i="1"/>
  <c r="L570" i="1"/>
  <c r="A570" i="1"/>
  <c r="L569" i="1"/>
  <c r="A569" i="1"/>
  <c r="L568" i="1"/>
  <c r="A568" i="1"/>
  <c r="L567" i="1"/>
  <c r="A567" i="1"/>
  <c r="L566" i="1"/>
  <c r="A566" i="1"/>
  <c r="L565" i="1"/>
  <c r="A565" i="1"/>
  <c r="L564" i="1"/>
  <c r="A564" i="1"/>
  <c r="L563" i="1"/>
  <c r="A563" i="1"/>
  <c r="L562" i="1"/>
  <c r="A562" i="1"/>
  <c r="L561" i="1"/>
  <c r="A561" i="1"/>
  <c r="L560" i="1"/>
  <c r="A560" i="1"/>
  <c r="L559" i="1"/>
  <c r="A559" i="1"/>
  <c r="L558" i="1"/>
  <c r="A558" i="1"/>
  <c r="L557" i="1"/>
  <c r="A557" i="1"/>
  <c r="L556" i="1"/>
  <c r="A556" i="1"/>
  <c r="L555" i="1"/>
  <c r="A555" i="1"/>
  <c r="L554" i="1"/>
  <c r="A554" i="1"/>
  <c r="L553" i="1"/>
  <c r="A553" i="1"/>
  <c r="L552" i="1"/>
  <c r="A552" i="1"/>
  <c r="L551" i="1"/>
  <c r="A551" i="1"/>
  <c r="L550" i="1"/>
  <c r="A550" i="1"/>
  <c r="L549" i="1"/>
  <c r="A549" i="1"/>
  <c r="L548" i="1"/>
  <c r="A548" i="1"/>
  <c r="L547" i="1"/>
  <c r="A547" i="1"/>
  <c r="L546" i="1"/>
  <c r="A546" i="1"/>
  <c r="L545" i="1"/>
  <c r="A545" i="1"/>
  <c r="L544" i="1"/>
  <c r="A544" i="1"/>
  <c r="L543" i="1"/>
  <c r="A543" i="1"/>
  <c r="L542" i="1"/>
  <c r="A542" i="1"/>
  <c r="L541" i="1"/>
  <c r="A541" i="1"/>
  <c r="L540" i="1"/>
  <c r="A540" i="1"/>
  <c r="L539" i="1"/>
  <c r="A539" i="1"/>
  <c r="L538" i="1"/>
  <c r="A538" i="1"/>
  <c r="L537" i="1"/>
  <c r="A537" i="1"/>
  <c r="L536" i="1"/>
  <c r="A536" i="1"/>
  <c r="L535" i="1"/>
  <c r="A535" i="1"/>
  <c r="L534" i="1"/>
  <c r="A534" i="1"/>
  <c r="L533" i="1"/>
  <c r="A533" i="1"/>
  <c r="L532" i="1"/>
  <c r="A532" i="1"/>
  <c r="L531" i="1"/>
  <c r="A531" i="1"/>
  <c r="L530" i="1"/>
  <c r="A530" i="1"/>
  <c r="L529" i="1"/>
  <c r="A529" i="1"/>
  <c r="L528" i="1"/>
  <c r="A528" i="1"/>
  <c r="L527" i="1"/>
  <c r="A527" i="1"/>
  <c r="L526" i="1"/>
  <c r="A526" i="1"/>
  <c r="L525" i="1"/>
  <c r="A525" i="1"/>
  <c r="L524" i="1"/>
  <c r="A524" i="1"/>
  <c r="L523" i="1"/>
  <c r="A523" i="1"/>
  <c r="L522" i="1"/>
  <c r="A522" i="1"/>
  <c r="L521" i="1"/>
  <c r="A521" i="1"/>
  <c r="L520" i="1"/>
  <c r="A520" i="1"/>
  <c r="L519" i="1"/>
  <c r="A519" i="1"/>
  <c r="L518" i="1"/>
  <c r="A518" i="1"/>
  <c r="L517" i="1"/>
  <c r="A517" i="1"/>
  <c r="L516" i="1"/>
  <c r="A516" i="1"/>
  <c r="L515" i="1"/>
  <c r="A515" i="1"/>
  <c r="L514" i="1"/>
  <c r="A514" i="1"/>
  <c r="L513" i="1"/>
  <c r="A513" i="1"/>
  <c r="L512" i="1"/>
  <c r="A512" i="1"/>
  <c r="L511" i="1"/>
  <c r="A511" i="1"/>
  <c r="L510" i="1"/>
  <c r="A510" i="1"/>
  <c r="L509" i="1"/>
  <c r="A509" i="1"/>
  <c r="L508" i="1"/>
  <c r="A508" i="1"/>
  <c r="L507" i="1"/>
  <c r="A507" i="1"/>
  <c r="L506" i="1"/>
  <c r="A506" i="1"/>
  <c r="L505" i="1"/>
  <c r="A505" i="1"/>
  <c r="L504" i="1"/>
  <c r="A504" i="1"/>
  <c r="L503" i="1"/>
  <c r="A503" i="1"/>
  <c r="L502" i="1"/>
  <c r="A502" i="1"/>
  <c r="L501" i="1"/>
  <c r="A501" i="1"/>
  <c r="L500" i="1"/>
  <c r="A500" i="1"/>
  <c r="L499" i="1"/>
  <c r="A499" i="1"/>
  <c r="L498" i="1"/>
  <c r="A498" i="1"/>
  <c r="L497" i="1"/>
  <c r="A497" i="1"/>
  <c r="L496" i="1"/>
  <c r="A496" i="1"/>
  <c r="L495" i="1"/>
  <c r="A495" i="1"/>
  <c r="L494" i="1"/>
  <c r="A494" i="1"/>
  <c r="L493" i="1"/>
  <c r="A493" i="1"/>
  <c r="L492" i="1"/>
  <c r="A492" i="1"/>
  <c r="L491" i="1"/>
  <c r="A491" i="1"/>
  <c r="L490" i="1"/>
  <c r="A490" i="1"/>
  <c r="L489" i="1"/>
  <c r="A489" i="1"/>
  <c r="L488" i="1"/>
  <c r="A488" i="1"/>
  <c r="L487" i="1"/>
  <c r="A487" i="1"/>
  <c r="L486" i="1"/>
  <c r="A486" i="1"/>
  <c r="L485" i="1"/>
  <c r="A485" i="1"/>
  <c r="L484" i="1"/>
  <c r="A484" i="1"/>
  <c r="L483" i="1"/>
  <c r="A483" i="1"/>
  <c r="L482" i="1"/>
  <c r="A482" i="1"/>
  <c r="L481" i="1"/>
  <c r="A481" i="1"/>
  <c r="L480" i="1"/>
  <c r="A480" i="1"/>
  <c r="L479" i="1"/>
  <c r="A479" i="1"/>
  <c r="L478" i="1"/>
  <c r="A478" i="1"/>
  <c r="L477" i="1"/>
  <c r="A477" i="1"/>
  <c r="L476" i="1"/>
  <c r="A476" i="1"/>
  <c r="L475" i="1"/>
  <c r="A475" i="1"/>
  <c r="L474" i="1"/>
  <c r="A474" i="1"/>
  <c r="L473" i="1"/>
  <c r="A473" i="1"/>
  <c r="L472" i="1"/>
  <c r="A472" i="1"/>
  <c r="L471" i="1"/>
  <c r="A471" i="1"/>
  <c r="L470" i="1"/>
  <c r="A470" i="1"/>
  <c r="L469" i="1"/>
  <c r="A469" i="1"/>
  <c r="L468" i="1"/>
  <c r="A468" i="1"/>
  <c r="L467" i="1"/>
  <c r="A467" i="1"/>
  <c r="L466" i="1"/>
  <c r="A466" i="1"/>
  <c r="L465" i="1"/>
  <c r="A465" i="1"/>
  <c r="L464" i="1"/>
  <c r="A464" i="1"/>
  <c r="L463" i="1"/>
  <c r="A463" i="1"/>
  <c r="L462" i="1"/>
  <c r="A462" i="1"/>
  <c r="L461" i="1"/>
  <c r="A461" i="1"/>
  <c r="L460" i="1"/>
  <c r="A460" i="1"/>
  <c r="L459" i="1"/>
  <c r="A459" i="1"/>
  <c r="L458" i="1"/>
  <c r="A458" i="1"/>
  <c r="L457" i="1"/>
  <c r="A457" i="1"/>
  <c r="L456" i="1"/>
  <c r="A456" i="1"/>
  <c r="L455" i="1"/>
  <c r="A455" i="1"/>
  <c r="L454" i="1"/>
  <c r="A454" i="1"/>
  <c r="L453" i="1"/>
  <c r="A453" i="1"/>
  <c r="L452" i="1"/>
  <c r="A452" i="1"/>
  <c r="L451" i="1"/>
  <c r="A451" i="1"/>
  <c r="L450" i="1"/>
  <c r="A450" i="1"/>
  <c r="L449" i="1"/>
  <c r="A449" i="1"/>
  <c r="L448" i="1"/>
  <c r="A448" i="1"/>
  <c r="L447" i="1"/>
  <c r="A447" i="1"/>
  <c r="L446" i="1"/>
  <c r="A446" i="1"/>
  <c r="L445" i="1"/>
  <c r="A445" i="1"/>
  <c r="L444" i="1"/>
  <c r="A444" i="1"/>
  <c r="L443" i="1"/>
  <c r="A443" i="1"/>
  <c r="L442" i="1"/>
  <c r="A442" i="1"/>
  <c r="L441" i="1"/>
  <c r="A441" i="1"/>
  <c r="L440" i="1"/>
  <c r="A440" i="1"/>
  <c r="L439" i="1"/>
  <c r="A439" i="1"/>
  <c r="L438" i="1"/>
  <c r="A438" i="1"/>
  <c r="L437" i="1"/>
  <c r="A437" i="1"/>
  <c r="L436" i="1"/>
  <c r="A436" i="1"/>
  <c r="L435" i="1"/>
  <c r="A435" i="1"/>
  <c r="L434" i="1"/>
  <c r="A434" i="1"/>
  <c r="L433" i="1"/>
  <c r="A433" i="1"/>
  <c r="L432" i="1"/>
  <c r="A432" i="1"/>
  <c r="L431" i="1"/>
  <c r="A431" i="1"/>
  <c r="L430" i="1"/>
  <c r="A430" i="1"/>
  <c r="L429" i="1"/>
  <c r="A429" i="1"/>
  <c r="L428" i="1"/>
  <c r="A428" i="1"/>
  <c r="L427" i="1"/>
  <c r="A427" i="1"/>
  <c r="L426" i="1"/>
  <c r="A426" i="1"/>
  <c r="L425" i="1"/>
  <c r="A425" i="1"/>
  <c r="L424" i="1"/>
  <c r="A424" i="1"/>
  <c r="L423" i="1"/>
  <c r="A423" i="1"/>
  <c r="L422" i="1"/>
  <c r="A422" i="1"/>
  <c r="L421" i="1"/>
  <c r="A421" i="1"/>
  <c r="L420" i="1"/>
  <c r="A420" i="1"/>
  <c r="L419" i="1"/>
  <c r="A419" i="1"/>
  <c r="L418" i="1"/>
  <c r="A418" i="1"/>
  <c r="L417" i="1"/>
  <c r="A417" i="1"/>
  <c r="L416" i="1"/>
  <c r="A416" i="1"/>
  <c r="L415" i="1"/>
  <c r="A415" i="1"/>
  <c r="L414" i="1"/>
  <c r="A414" i="1"/>
  <c r="L413" i="1"/>
  <c r="A413" i="1"/>
  <c r="L412" i="1"/>
  <c r="A412" i="1"/>
  <c r="L411" i="1"/>
  <c r="A411" i="1"/>
  <c r="L410" i="1"/>
  <c r="A410" i="1"/>
  <c r="L409" i="1"/>
  <c r="A409" i="1"/>
  <c r="L408" i="1"/>
  <c r="A408" i="1"/>
  <c r="L407" i="1"/>
  <c r="A407" i="1"/>
  <c r="L406" i="1"/>
  <c r="A406" i="1"/>
  <c r="L405" i="1"/>
  <c r="A405" i="1"/>
  <c r="L404" i="1"/>
  <c r="A404" i="1"/>
  <c r="L403" i="1"/>
  <c r="A403" i="1"/>
  <c r="L402" i="1"/>
  <c r="A402" i="1"/>
  <c r="L401" i="1"/>
  <c r="A401" i="1"/>
  <c r="L400" i="1"/>
  <c r="A400" i="1"/>
  <c r="L399" i="1"/>
  <c r="A399" i="1"/>
  <c r="L398" i="1"/>
  <c r="A398" i="1"/>
  <c r="L397" i="1"/>
  <c r="A397" i="1"/>
  <c r="L396" i="1"/>
  <c r="A396" i="1"/>
  <c r="L395" i="1"/>
  <c r="A395" i="1"/>
  <c r="L394" i="1"/>
  <c r="A394" i="1"/>
  <c r="L393" i="1"/>
  <c r="A393" i="1"/>
  <c r="L392" i="1"/>
  <c r="A392" i="1"/>
  <c r="L391" i="1"/>
  <c r="A391" i="1"/>
  <c r="L390" i="1"/>
  <c r="A390" i="1"/>
  <c r="L389" i="1"/>
  <c r="A389" i="1"/>
  <c r="L388" i="1"/>
  <c r="A388" i="1"/>
  <c r="L387" i="1"/>
  <c r="A387" i="1"/>
  <c r="L386" i="1"/>
  <c r="A386" i="1"/>
  <c r="L385" i="1"/>
  <c r="A385" i="1"/>
  <c r="L384" i="1"/>
  <c r="A384" i="1"/>
  <c r="L383" i="1"/>
  <c r="A383" i="1"/>
  <c r="L382" i="1"/>
  <c r="A382" i="1"/>
  <c r="L381" i="1"/>
  <c r="A381" i="1"/>
  <c r="L380" i="1"/>
  <c r="A380" i="1"/>
  <c r="L379" i="1"/>
  <c r="A379" i="1"/>
  <c r="L378" i="1"/>
  <c r="A378" i="1"/>
  <c r="L377" i="1"/>
  <c r="A377" i="1"/>
  <c r="L376" i="1"/>
  <c r="A376" i="1"/>
  <c r="L375" i="1"/>
  <c r="A375" i="1"/>
  <c r="L374" i="1"/>
  <c r="A374" i="1"/>
  <c r="L373" i="1"/>
  <c r="A373" i="1"/>
  <c r="L372" i="1"/>
  <c r="A372" i="1"/>
  <c r="L371" i="1"/>
  <c r="A371" i="1"/>
  <c r="L370" i="1"/>
  <c r="A370" i="1"/>
  <c r="L369" i="1"/>
  <c r="A369" i="1"/>
  <c r="L368" i="1"/>
  <c r="A368" i="1"/>
  <c r="L367" i="1"/>
  <c r="A367" i="1"/>
  <c r="L366" i="1"/>
  <c r="A366" i="1"/>
  <c r="L365" i="1"/>
  <c r="A365" i="1"/>
  <c r="L364" i="1"/>
  <c r="A364" i="1"/>
  <c r="L363" i="1"/>
  <c r="A363" i="1"/>
  <c r="L362" i="1"/>
  <c r="A362" i="1"/>
  <c r="L361" i="1"/>
  <c r="A361" i="1"/>
  <c r="L360" i="1"/>
  <c r="A360" i="1"/>
  <c r="L359" i="1"/>
  <c r="A359" i="1"/>
  <c r="L358" i="1"/>
  <c r="A358" i="1"/>
  <c r="L357" i="1"/>
  <c r="A357" i="1"/>
  <c r="L356" i="1"/>
  <c r="A356" i="1"/>
  <c r="L355" i="1"/>
  <c r="A355" i="1"/>
  <c r="L354" i="1"/>
  <c r="A354" i="1"/>
  <c r="L353" i="1"/>
  <c r="A353" i="1"/>
  <c r="L352" i="1"/>
  <c r="A352" i="1"/>
  <c r="L351" i="1"/>
  <c r="A351" i="1"/>
  <c r="L350" i="1"/>
  <c r="A350" i="1"/>
  <c r="L349" i="1"/>
  <c r="A349" i="1"/>
  <c r="L348" i="1"/>
  <c r="A348" i="1"/>
  <c r="L347" i="1"/>
  <c r="A347" i="1"/>
  <c r="L346" i="1"/>
  <c r="A346" i="1"/>
  <c r="L345" i="1"/>
  <c r="A345" i="1"/>
  <c r="L344" i="1"/>
  <c r="A344" i="1"/>
  <c r="L343" i="1"/>
  <c r="A343" i="1"/>
  <c r="L342" i="1"/>
  <c r="A342" i="1"/>
  <c r="L341" i="1"/>
  <c r="A341" i="1"/>
  <c r="L340" i="1"/>
  <c r="A340" i="1"/>
  <c r="L339" i="1"/>
  <c r="A339" i="1"/>
  <c r="L338" i="1"/>
  <c r="A338" i="1"/>
  <c r="L337" i="1"/>
  <c r="A337" i="1"/>
  <c r="L336" i="1"/>
  <c r="A336" i="1"/>
  <c r="L335" i="1"/>
  <c r="A335" i="1"/>
  <c r="L334" i="1"/>
  <c r="A334" i="1"/>
  <c r="L333" i="1"/>
  <c r="A333" i="1"/>
  <c r="L332" i="1"/>
  <c r="A332" i="1"/>
  <c r="L331" i="1"/>
  <c r="A331" i="1"/>
  <c r="L330" i="1"/>
  <c r="A330" i="1"/>
  <c r="L329" i="1"/>
  <c r="A329" i="1"/>
  <c r="L328" i="1"/>
  <c r="A328" i="1"/>
  <c r="L327" i="1"/>
  <c r="A327" i="1"/>
  <c r="L326" i="1"/>
  <c r="A326" i="1"/>
  <c r="L325" i="1"/>
  <c r="A325" i="1"/>
  <c r="L324" i="1"/>
  <c r="A324" i="1"/>
  <c r="L323" i="1"/>
  <c r="A323" i="1"/>
  <c r="L322" i="1"/>
  <c r="A322" i="1"/>
  <c r="L321" i="1"/>
  <c r="A321" i="1"/>
  <c r="L320" i="1"/>
  <c r="A320" i="1"/>
  <c r="L319" i="1"/>
  <c r="A319" i="1"/>
  <c r="L318" i="1"/>
  <c r="A318" i="1"/>
  <c r="L317" i="1"/>
  <c r="A317" i="1"/>
  <c r="L316" i="1"/>
  <c r="A316" i="1"/>
  <c r="L315" i="1"/>
  <c r="A315" i="1"/>
  <c r="L314" i="1"/>
  <c r="A314" i="1"/>
  <c r="L313" i="1"/>
  <c r="A313" i="1"/>
  <c r="L312" i="1"/>
  <c r="A312" i="1"/>
  <c r="L311" i="1"/>
  <c r="A311" i="1"/>
  <c r="L310" i="1"/>
  <c r="A310" i="1"/>
  <c r="L309" i="1"/>
  <c r="A309" i="1"/>
  <c r="L308" i="1"/>
  <c r="A308" i="1"/>
  <c r="L307" i="1"/>
  <c r="A307" i="1"/>
  <c r="L306" i="1"/>
  <c r="A306" i="1"/>
  <c r="L305" i="1"/>
  <c r="A305" i="1"/>
  <c r="L304" i="1"/>
  <c r="A304" i="1"/>
  <c r="L303" i="1"/>
  <c r="A303" i="1"/>
  <c r="L302" i="1"/>
  <c r="A302" i="1"/>
  <c r="L301" i="1"/>
  <c r="A301" i="1"/>
  <c r="L300" i="1"/>
  <c r="A300" i="1"/>
  <c r="L299" i="1"/>
  <c r="A299" i="1"/>
  <c r="L298" i="1"/>
  <c r="A298" i="1"/>
  <c r="L297" i="1"/>
  <c r="A297" i="1"/>
  <c r="L296" i="1"/>
  <c r="A296" i="1"/>
  <c r="L295" i="1"/>
  <c r="A295" i="1"/>
  <c r="L294" i="1"/>
  <c r="A294" i="1"/>
  <c r="L293" i="1"/>
  <c r="A293" i="1"/>
  <c r="L292" i="1"/>
  <c r="A292" i="1"/>
  <c r="L291" i="1"/>
  <c r="A291" i="1"/>
  <c r="L290" i="1"/>
  <c r="A290" i="1"/>
  <c r="L289" i="1"/>
  <c r="A289" i="1"/>
  <c r="L288" i="1"/>
  <c r="A288" i="1"/>
  <c r="L287" i="1"/>
  <c r="A287" i="1"/>
  <c r="L286" i="1"/>
  <c r="A286" i="1"/>
  <c r="L285" i="1"/>
  <c r="A285" i="1"/>
  <c r="L284" i="1"/>
  <c r="A284" i="1"/>
  <c r="L283" i="1"/>
  <c r="A283" i="1"/>
  <c r="L282" i="1"/>
  <c r="A282" i="1"/>
  <c r="L281" i="1"/>
  <c r="A281" i="1"/>
  <c r="L280" i="1"/>
  <c r="A280" i="1"/>
  <c r="L279" i="1"/>
  <c r="A279" i="1"/>
  <c r="L278" i="1"/>
  <c r="A278" i="1"/>
  <c r="L277" i="1"/>
  <c r="A277" i="1"/>
  <c r="L276" i="1"/>
  <c r="A276" i="1"/>
  <c r="L275" i="1"/>
  <c r="A275" i="1"/>
  <c r="L274" i="1"/>
  <c r="A274" i="1"/>
  <c r="L273" i="1"/>
  <c r="A273" i="1"/>
  <c r="L272" i="1"/>
  <c r="A272" i="1"/>
  <c r="L271" i="1"/>
  <c r="A271" i="1"/>
  <c r="L270" i="1"/>
  <c r="A270" i="1"/>
  <c r="L269" i="1"/>
  <c r="A269" i="1"/>
  <c r="L268" i="1"/>
  <c r="A268" i="1"/>
  <c r="L267" i="1"/>
  <c r="A267" i="1"/>
  <c r="L266" i="1"/>
  <c r="A266" i="1"/>
  <c r="L265" i="1"/>
  <c r="A265" i="1"/>
  <c r="L264" i="1"/>
  <c r="A264" i="1"/>
  <c r="L263" i="1"/>
  <c r="A263" i="1"/>
  <c r="L262" i="1"/>
  <c r="A262" i="1"/>
  <c r="L261" i="1"/>
  <c r="A261" i="1"/>
  <c r="L260" i="1"/>
  <c r="A260" i="1"/>
  <c r="L259" i="1"/>
  <c r="A259" i="1"/>
  <c r="L258" i="1"/>
  <c r="A258" i="1"/>
  <c r="L257" i="1"/>
  <c r="A257" i="1"/>
  <c r="L256" i="1"/>
  <c r="A256" i="1"/>
  <c r="L255" i="1"/>
  <c r="A255" i="1"/>
  <c r="L254" i="1"/>
  <c r="A254" i="1"/>
  <c r="L253" i="1"/>
  <c r="A253" i="1"/>
  <c r="L252" i="1"/>
  <c r="A252" i="1"/>
  <c r="L251" i="1"/>
  <c r="A251" i="1"/>
  <c r="L250" i="1"/>
  <c r="A250" i="1"/>
  <c r="L249" i="1"/>
  <c r="A249" i="1"/>
  <c r="L248" i="1"/>
  <c r="A248" i="1"/>
  <c r="L247" i="1"/>
  <c r="A247" i="1"/>
  <c r="L246" i="1"/>
  <c r="A246" i="1"/>
  <c r="L245" i="1"/>
  <c r="A245" i="1"/>
  <c r="L244" i="1"/>
  <c r="A244" i="1"/>
  <c r="L243" i="1"/>
  <c r="A243" i="1"/>
  <c r="L242" i="1"/>
  <c r="A242" i="1"/>
  <c r="L241" i="1"/>
  <c r="A241" i="1"/>
  <c r="L240" i="1"/>
  <c r="A240" i="1"/>
  <c r="L239" i="1"/>
  <c r="A239" i="1"/>
  <c r="L238" i="1"/>
  <c r="A238" i="1"/>
  <c r="L237" i="1"/>
  <c r="A237" i="1"/>
  <c r="L236" i="1"/>
  <c r="A236" i="1"/>
  <c r="L235" i="1"/>
  <c r="A235" i="1"/>
  <c r="L234" i="1"/>
  <c r="A234" i="1"/>
  <c r="L233" i="1"/>
  <c r="A233" i="1"/>
  <c r="L232" i="1"/>
  <c r="A232" i="1"/>
  <c r="L231" i="1"/>
  <c r="A231" i="1"/>
  <c r="L230" i="1"/>
  <c r="A230" i="1"/>
  <c r="L229" i="1"/>
  <c r="A229" i="1"/>
  <c r="L228" i="1"/>
  <c r="A228" i="1"/>
  <c r="L227" i="1"/>
  <c r="A227" i="1"/>
  <c r="L226" i="1"/>
  <c r="A226" i="1"/>
  <c r="L225" i="1"/>
  <c r="A225" i="1"/>
  <c r="L224" i="1"/>
  <c r="A224" i="1"/>
  <c r="L223" i="1"/>
  <c r="A223" i="1"/>
  <c r="L222" i="1"/>
  <c r="A222" i="1"/>
  <c r="L221" i="1"/>
  <c r="A221" i="1"/>
  <c r="L220" i="1"/>
  <c r="A220" i="1"/>
  <c r="L219" i="1"/>
  <c r="A219" i="1"/>
  <c r="L218" i="1"/>
  <c r="A218" i="1"/>
  <c r="L217" i="1"/>
  <c r="A217" i="1"/>
  <c r="L216" i="1"/>
  <c r="A216" i="1"/>
  <c r="L215" i="1"/>
  <c r="A215" i="1"/>
  <c r="L214" i="1"/>
  <c r="A214" i="1"/>
  <c r="L213" i="1"/>
  <c r="A213" i="1"/>
  <c r="L212" i="1"/>
  <c r="A212" i="1"/>
  <c r="L211" i="1"/>
  <c r="A211" i="1"/>
  <c r="L210" i="1"/>
  <c r="A210" i="1"/>
  <c r="L209" i="1"/>
  <c r="A209" i="1"/>
  <c r="L208" i="1"/>
  <c r="A208" i="1"/>
  <c r="L207" i="1"/>
  <c r="A207" i="1"/>
  <c r="L206" i="1"/>
  <c r="A206" i="1"/>
  <c r="L205" i="1"/>
  <c r="A205" i="1"/>
  <c r="L204" i="1"/>
  <c r="A204" i="1"/>
  <c r="L203" i="1"/>
  <c r="A203" i="1"/>
  <c r="L202" i="1"/>
  <c r="A202" i="1"/>
  <c r="L201" i="1"/>
  <c r="A201" i="1"/>
  <c r="L200" i="1"/>
  <c r="A200" i="1"/>
  <c r="L199" i="1"/>
  <c r="A199" i="1"/>
  <c r="L198" i="1"/>
  <c r="A198" i="1"/>
  <c r="L197" i="1"/>
  <c r="A197" i="1"/>
  <c r="L196" i="1"/>
  <c r="A196" i="1"/>
  <c r="L195" i="1"/>
  <c r="A195" i="1"/>
  <c r="L194" i="1"/>
  <c r="A194" i="1"/>
  <c r="L193" i="1"/>
  <c r="A193" i="1"/>
  <c r="L192" i="1"/>
  <c r="A192" i="1"/>
  <c r="L191" i="1"/>
  <c r="A191" i="1"/>
  <c r="L190" i="1"/>
  <c r="A190" i="1"/>
  <c r="L189" i="1"/>
  <c r="A189" i="1"/>
  <c r="L188" i="1"/>
  <c r="A188" i="1"/>
  <c r="L187" i="1"/>
  <c r="A187" i="1"/>
  <c r="L186" i="1"/>
  <c r="A186" i="1"/>
  <c r="L185" i="1"/>
  <c r="A185" i="1"/>
  <c r="L184" i="1"/>
  <c r="A184" i="1"/>
  <c r="L183" i="1"/>
  <c r="A183" i="1"/>
  <c r="L182" i="1"/>
  <c r="A182" i="1"/>
  <c r="L181" i="1"/>
  <c r="A181" i="1"/>
  <c r="L180" i="1"/>
  <c r="A180" i="1"/>
  <c r="L179" i="1"/>
  <c r="A179" i="1"/>
  <c r="L178" i="1"/>
  <c r="A178" i="1"/>
  <c r="L177" i="1"/>
  <c r="A177" i="1"/>
  <c r="L176" i="1"/>
  <c r="A176" i="1"/>
  <c r="L175" i="1"/>
  <c r="A175" i="1"/>
  <c r="L174" i="1"/>
  <c r="A174" i="1"/>
  <c r="L173" i="1"/>
  <c r="A173" i="1"/>
  <c r="L172" i="1"/>
  <c r="A172" i="1"/>
  <c r="L171" i="1"/>
  <c r="A171" i="1"/>
  <c r="L170" i="1"/>
  <c r="A170" i="1"/>
  <c r="L169" i="1"/>
  <c r="A169" i="1"/>
  <c r="L168" i="1"/>
  <c r="A168" i="1"/>
  <c r="L167" i="1"/>
  <c r="A167" i="1"/>
  <c r="L166" i="1"/>
  <c r="A166" i="1"/>
  <c r="L165" i="1"/>
  <c r="A165" i="1"/>
  <c r="L164" i="1"/>
  <c r="A164" i="1"/>
  <c r="L163" i="1"/>
  <c r="A163" i="1"/>
  <c r="L162" i="1"/>
  <c r="A162" i="1"/>
  <c r="L161" i="1"/>
  <c r="A161" i="1"/>
  <c r="L160" i="1"/>
  <c r="A160" i="1"/>
  <c r="L159" i="1"/>
  <c r="A159" i="1"/>
  <c r="L158" i="1"/>
  <c r="A158" i="1"/>
  <c r="L157" i="1"/>
  <c r="A157" i="1"/>
  <c r="L156" i="1"/>
  <c r="A156" i="1"/>
  <c r="L155" i="1"/>
  <c r="A155" i="1"/>
  <c r="L154" i="1"/>
  <c r="A154" i="1"/>
  <c r="L153" i="1"/>
  <c r="A153" i="1"/>
  <c r="L152" i="1"/>
  <c r="A152" i="1"/>
  <c r="L151" i="1"/>
  <c r="A151" i="1"/>
  <c r="L150" i="1"/>
  <c r="A150" i="1"/>
  <c r="L149" i="1"/>
  <c r="A149" i="1"/>
  <c r="L148" i="1"/>
  <c r="A148" i="1"/>
  <c r="L147" i="1"/>
  <c r="A147" i="1"/>
  <c r="L146" i="1"/>
  <c r="A146" i="1"/>
  <c r="L145" i="1"/>
  <c r="A145" i="1"/>
  <c r="L144" i="1"/>
  <c r="A144" i="1"/>
  <c r="L143" i="1"/>
  <c r="A143" i="1"/>
  <c r="L142" i="1"/>
  <c r="A142" i="1"/>
  <c r="L141" i="1"/>
  <c r="A141" i="1"/>
  <c r="L140" i="1"/>
  <c r="A140" i="1"/>
  <c r="L139" i="1"/>
  <c r="A139" i="1"/>
  <c r="L138" i="1"/>
  <c r="A138" i="1"/>
  <c r="L137" i="1"/>
  <c r="A137" i="1"/>
  <c r="L136" i="1"/>
  <c r="A136" i="1"/>
  <c r="L135" i="1"/>
  <c r="A135" i="1"/>
  <c r="L134" i="1"/>
  <c r="A134" i="1"/>
  <c r="L133" i="1"/>
  <c r="A133" i="1"/>
  <c r="L132" i="1"/>
  <c r="A132" i="1"/>
  <c r="L131" i="1"/>
  <c r="A131" i="1"/>
  <c r="L130" i="1"/>
  <c r="A130" i="1"/>
  <c r="L129" i="1"/>
  <c r="A129" i="1"/>
  <c r="L128" i="1"/>
  <c r="A128" i="1"/>
  <c r="L127" i="1"/>
  <c r="A127" i="1"/>
  <c r="L126" i="1"/>
  <c r="A126" i="1"/>
  <c r="L125" i="1"/>
  <c r="A125" i="1"/>
  <c r="L124" i="1"/>
  <c r="A124" i="1"/>
  <c r="L123" i="1"/>
  <c r="A123" i="1"/>
  <c r="L122" i="1"/>
  <c r="A122" i="1"/>
  <c r="L121" i="1"/>
  <c r="A121" i="1"/>
  <c r="L120" i="1"/>
  <c r="A120" i="1"/>
  <c r="L119" i="1"/>
  <c r="A119" i="1"/>
  <c r="L118" i="1"/>
  <c r="A118" i="1"/>
  <c r="L117" i="1"/>
  <c r="A117" i="1"/>
  <c r="L116" i="1"/>
  <c r="A116" i="1"/>
  <c r="L115" i="1"/>
  <c r="A115" i="1"/>
  <c r="L114" i="1"/>
  <c r="A114" i="1"/>
  <c r="L113" i="1"/>
  <c r="A113" i="1"/>
  <c r="L112" i="1"/>
  <c r="A112" i="1"/>
  <c r="L111" i="1"/>
  <c r="A111" i="1"/>
  <c r="L110" i="1"/>
  <c r="A110" i="1"/>
  <c r="L109" i="1"/>
  <c r="A109" i="1"/>
  <c r="L108" i="1"/>
  <c r="A108" i="1"/>
  <c r="L107" i="1"/>
  <c r="A107" i="1"/>
  <c r="L106" i="1"/>
  <c r="A106" i="1"/>
  <c r="L105" i="1"/>
  <c r="A105" i="1"/>
  <c r="L104" i="1"/>
  <c r="A104" i="1"/>
  <c r="L103" i="1"/>
  <c r="A103" i="1"/>
  <c r="L102" i="1"/>
  <c r="A102" i="1"/>
  <c r="L101" i="1"/>
  <c r="A101" i="1"/>
  <c r="L100" i="1"/>
  <c r="A100" i="1"/>
  <c r="L99" i="1"/>
  <c r="A99" i="1"/>
  <c r="L98" i="1"/>
  <c r="A98" i="1"/>
  <c r="L97" i="1"/>
  <c r="A97" i="1"/>
  <c r="L96" i="1"/>
  <c r="A96" i="1"/>
  <c r="L95" i="1"/>
  <c r="A95" i="1"/>
  <c r="L94" i="1"/>
  <c r="A94" i="1"/>
  <c r="L93" i="1"/>
  <c r="A93" i="1"/>
  <c r="L92" i="1"/>
  <c r="A92" i="1"/>
  <c r="L91" i="1"/>
  <c r="A91" i="1"/>
  <c r="L90" i="1"/>
  <c r="A90" i="1"/>
  <c r="L89" i="1"/>
  <c r="A89" i="1"/>
  <c r="L88" i="1"/>
  <c r="A88" i="1"/>
  <c r="L87" i="1"/>
  <c r="A87" i="1"/>
  <c r="L86" i="1"/>
  <c r="A86" i="1"/>
  <c r="L85" i="1"/>
  <c r="A85" i="1"/>
  <c r="L84" i="1"/>
  <c r="A84" i="1"/>
  <c r="L83" i="1"/>
  <c r="A83" i="1"/>
  <c r="L82" i="1"/>
  <c r="A82" i="1"/>
  <c r="L81" i="1"/>
  <c r="A81" i="1"/>
  <c r="L80" i="1"/>
  <c r="A80" i="1"/>
  <c r="L79" i="1"/>
  <c r="A79" i="1"/>
  <c r="L78" i="1"/>
  <c r="A78" i="1"/>
  <c r="L77" i="1"/>
  <c r="A77" i="1"/>
  <c r="L76" i="1"/>
  <c r="A76" i="1"/>
  <c r="L75" i="1"/>
  <c r="A75" i="1"/>
  <c r="L74" i="1"/>
  <c r="A74" i="1"/>
  <c r="L73" i="1"/>
  <c r="A73" i="1"/>
  <c r="L72" i="1"/>
  <c r="A72" i="1"/>
  <c r="L71" i="1"/>
  <c r="A71" i="1"/>
  <c r="L70" i="1"/>
  <c r="A70" i="1"/>
  <c r="L69" i="1"/>
  <c r="A69" i="1"/>
  <c r="L68" i="1"/>
  <c r="A68" i="1"/>
  <c r="L67" i="1"/>
  <c r="A67" i="1"/>
  <c r="L66" i="1"/>
  <c r="A66" i="1"/>
  <c r="L65" i="1"/>
  <c r="A65" i="1"/>
  <c r="L64" i="1"/>
  <c r="A64" i="1"/>
  <c r="L63" i="1"/>
  <c r="A63" i="1"/>
  <c r="L62" i="1"/>
  <c r="A62" i="1"/>
  <c r="L61" i="1"/>
  <c r="A61" i="1"/>
  <c r="L60" i="1"/>
  <c r="A60" i="1"/>
  <c r="L59" i="1"/>
  <c r="A59" i="1"/>
  <c r="L58" i="1"/>
  <c r="A58" i="1"/>
  <c r="L57" i="1"/>
  <c r="A57" i="1"/>
  <c r="L56" i="1"/>
  <c r="A56" i="1"/>
  <c r="L55" i="1"/>
  <c r="A55" i="1"/>
  <c r="L54" i="1"/>
  <c r="A54" i="1"/>
  <c r="L53" i="1"/>
  <c r="A53" i="1"/>
  <c r="L52" i="1"/>
  <c r="A52" i="1"/>
  <c r="L51" i="1"/>
  <c r="A51" i="1"/>
  <c r="L50" i="1"/>
  <c r="A50" i="1"/>
  <c r="L49" i="1"/>
  <c r="A49" i="1"/>
  <c r="L48" i="1"/>
  <c r="A48" i="1"/>
  <c r="L47" i="1"/>
  <c r="A47" i="1"/>
  <c r="L46" i="1"/>
  <c r="A46" i="1"/>
  <c r="L45" i="1"/>
  <c r="A45" i="1"/>
  <c r="L44" i="1"/>
  <c r="A44" i="1"/>
  <c r="L43" i="1"/>
  <c r="A43" i="1"/>
  <c r="L42" i="1"/>
  <c r="A42" i="1"/>
  <c r="L41" i="1"/>
  <c r="A41" i="1"/>
  <c r="L40" i="1"/>
  <c r="A40" i="1"/>
  <c r="L39" i="1"/>
  <c r="A39" i="1"/>
  <c r="L38" i="1"/>
  <c r="A38" i="1"/>
  <c r="L37" i="1"/>
  <c r="A37" i="1"/>
  <c r="L36" i="1"/>
  <c r="A36" i="1"/>
  <c r="L35" i="1"/>
  <c r="A35" i="1"/>
  <c r="L34" i="1"/>
  <c r="A34" i="1"/>
  <c r="L33" i="1"/>
  <c r="A33" i="1"/>
  <c r="L32" i="1"/>
  <c r="A32" i="1"/>
  <c r="L31" i="1"/>
  <c r="A31" i="1"/>
  <c r="L30" i="1"/>
  <c r="A30" i="1"/>
  <c r="L29" i="1"/>
  <c r="A29" i="1"/>
  <c r="L28" i="1"/>
  <c r="A28" i="1"/>
  <c r="L27" i="1"/>
  <c r="A27" i="1"/>
  <c r="L26" i="1"/>
  <c r="A26" i="1"/>
  <c r="L25" i="1"/>
  <c r="A25" i="1"/>
  <c r="L24" i="1"/>
  <c r="A24" i="1"/>
  <c r="L23" i="1"/>
  <c r="A23" i="1"/>
  <c r="L22" i="1"/>
  <c r="A22" i="1"/>
  <c r="L21" i="1"/>
  <c r="A21" i="1"/>
  <c r="L20" i="1"/>
  <c r="A20" i="1"/>
  <c r="L19" i="1"/>
  <c r="A19" i="1"/>
  <c r="L18" i="1"/>
  <c r="A18" i="1"/>
  <c r="L17" i="1"/>
  <c r="A17" i="1"/>
  <c r="L16" i="1"/>
  <c r="A16" i="1"/>
  <c r="L15" i="1"/>
  <c r="A15" i="1"/>
  <c r="L14" i="1"/>
  <c r="A14" i="1"/>
  <c r="L13" i="1"/>
  <c r="A13" i="1"/>
  <c r="L12" i="1"/>
  <c r="A12" i="1"/>
  <c r="L11" i="1"/>
  <c r="A11" i="1"/>
  <c r="L10" i="1"/>
  <c r="A10" i="1"/>
  <c r="L9" i="1"/>
  <c r="A9" i="1"/>
  <c r="L8" i="1"/>
  <c r="A8" i="1"/>
  <c r="L7" i="1"/>
  <c r="A7" i="1"/>
  <c r="L6" i="1"/>
  <c r="A6" i="1"/>
  <c r="L5" i="1"/>
  <c r="A5" i="1"/>
  <c r="L4" i="1"/>
  <c r="A4" i="1"/>
  <c r="L3" i="1"/>
  <c r="A3" i="1"/>
</calcChain>
</file>

<file path=xl/sharedStrings.xml><?xml version="1.0" encoding="utf-8"?>
<sst xmlns="http://schemas.openxmlformats.org/spreadsheetml/2006/main" count="32772" uniqueCount="12528">
  <si>
    <t>Column1</t>
  </si>
  <si>
    <t>Κατηγορία_ΟΣΔΕ2</t>
  </si>
  <si>
    <t>Περιγραφή_Είδους_Ποικιλίας_στο_ΟΣΔΕ</t>
  </si>
  <si>
    <t xml:space="preserve">Τυπικές Αποδόσεις Ηπειρωτικής Χώρας για προσκλήσεις ΣΣ ΚΑΠ </t>
  </si>
  <si>
    <t>Τυπικές Αποδόσεις Κρήτης -  Β. Αιγαίου - Ν. Αιγαίου για προσκλήσεις ΣΣ ΚΑΠ</t>
  </si>
  <si>
    <t xml:space="preserve">Σταθµισµένοι 
Συντελεστές 
Τυπικής 
Απόδοσης    
(€ / 
Μονάδα*) </t>
  </si>
  <si>
    <t>Μοναδική περιγραφή ΟΣΔΕ</t>
  </si>
  <si>
    <t xml:space="preserve">Μεταβολές ΤΑ 2022 πρόσκλησης σχεδίων βελτίωσης σε σχέση με ΟΣΔΕ 2022 και ΟΣΔΕ 2023. Κοίτα και κελί Α1. </t>
  </si>
  <si>
    <t>id</t>
  </si>
  <si>
    <t>Γενικός Κωδικός ΟΣΔΕ</t>
  </si>
  <si>
    <t>Κωδικός ΟΣΔΕ</t>
  </si>
  <si>
    <t>Κατηγορία_ΟΣΔΕ_</t>
  </si>
  <si>
    <t>ΑΓΡΑΝΑΠΑΥΣΗ</t>
  </si>
  <si>
    <t>ΕΚΤΑΣΗ ΣΕ ΚΑΛΗ ΓΕΩΡΓΙΚΗ ΚΑΤΑΣΤΑΣΗ</t>
  </si>
  <si>
    <t>EUR/HA</t>
  </si>
  <si>
    <t>ΑΓΡΑΝΑΠΑΥΣΗ1000</t>
  </si>
  <si>
    <t>Χωρίς μεταβολή από 2022 σε 2023&amp;2024</t>
  </si>
  <si>
    <t>ΑΓΡΑΝΑΠΑΥΣΗ ΜΕ ΕΔΑΦΟΚΑΛΥΨΗ</t>
  </si>
  <si>
    <t>ΑΓΡΑΝΑΠΑΥΣΗ3806</t>
  </si>
  <si>
    <t>ΑΓΡΑΝΑΠΑΥΣΗ ΧΩΡΙΣ ΓΕΩΡΓΙΚΗΣ ΔΡΑΣΤΗΡΙΟΤΗΤΑ</t>
  </si>
  <si>
    <t>ΑΓΡΑΝΑΠΑΥΣΗ3807</t>
  </si>
  <si>
    <t>ΑΙΓΟΠΡΟΒΑΤΑ</t>
  </si>
  <si>
    <t>ΕΡΙΦΙΑ ΑΡΣΕΝΙΚΑ, ΒΕΛΤΙΩΜΕΝΗ</t>
  </si>
  <si>
    <t>EUR/HEAD</t>
  </si>
  <si>
    <t>ΑΙΓΟΠΡΟΒΑΤΑ111001</t>
  </si>
  <si>
    <t>ΕΡΙΦΙΑ ΑΡΣΕΝΙΚΑ, ΑΥΤΟΧΘΟΝΗ</t>
  </si>
  <si>
    <t>ΑΙΓΟΠΡΟΒΑΤΑ111002</t>
  </si>
  <si>
    <t>Δεν υπάρχει στο ΟΣΔΕ 2023 2024</t>
  </si>
  <si>
    <t>ΕΡΙΦΙΑ ΑΡΣΕΝΙΚΑ, ΣΚΟΠΕΛΟΥ</t>
  </si>
  <si>
    <t>ΑΙΓΟΠΡΟΒΑΤΑ11100219</t>
  </si>
  <si>
    <t>ΕΡΙΦΙΑ ΑΡΣΕΝΙΚΑ, ΚΑΘΑΡΟΑΙΜΗ</t>
  </si>
  <si>
    <t>ΑΙΓΟΠΡΟΒΑΤΑ111003</t>
  </si>
  <si>
    <t>ΕΡΙΦΙΑ ΑΡΣΕΝΙΚΑ, ΛΟΙΠΗ</t>
  </si>
  <si>
    <t>ΑΙΓΟΠΡΟΒΑΤΑ111004</t>
  </si>
  <si>
    <t>ΕΡΙΦΙΑ ΘΗΛΥΚΑ ΒΕΛΤΙΩΜΕΝΗ</t>
  </si>
  <si>
    <t>ΑΙΓΟΠΡΟΒΑΤΑ112001</t>
  </si>
  <si>
    <t>ΕΡΙΦΙΑ ΘΗΛΥΚΑ ΑΥΤΟΧΘΟΝΗ</t>
  </si>
  <si>
    <t>ΑΙΓΟΠΡΟΒΑΤΑ112002</t>
  </si>
  <si>
    <t>ΕΡΙΦΙΑ ΘΗΛΥΚΑ ΣΚΟΠΕΛΟΥ</t>
  </si>
  <si>
    <t>ΑΙΓΟΠΡΟΒΑΤΑ11200219</t>
  </si>
  <si>
    <t>ΕΡΙΦΙΑ ΘΗΛΥΚΑ ΚΑΘΑΡΟΑΙΜA</t>
  </si>
  <si>
    <t>ΑΙΓΟΠΡΟΒΑΤΑ112003</t>
  </si>
  <si>
    <t>ΕΡΙΦΙΑ ΘΗΛΥΚΑ ΛΟΙΠA</t>
  </si>
  <si>
    <t>ΑΙΓΟΠΡΟΒΑΤΑ112004</t>
  </si>
  <si>
    <t>ΑΙΓΕΣ ΒΕΛΤΙΩΜΕΝΗ</t>
  </si>
  <si>
    <t>ΑΙΓΟΠΡΟΒΑΤΑ120001</t>
  </si>
  <si>
    <t>ΑΙΓΕΣ, ΑΥΤΟΧΘΟΝΗ</t>
  </si>
  <si>
    <t>ΑΙΓΟΠΡΟΒΑΤΑ120002</t>
  </si>
  <si>
    <t>ΑΙΓΕΣ, ΣΚΟΠΕΛΟΥ</t>
  </si>
  <si>
    <t>ΑΙΓΟΠΡΟΒΑΤΑ12000219</t>
  </si>
  <si>
    <t>ΑΙΓΕΣ, ΚΑΘΑΡΟΑΙΜΗ</t>
  </si>
  <si>
    <t>ΑΙΓΟΠΡΟΒΑΤΑ120003</t>
  </si>
  <si>
    <t>ΑΙΓΕΣ, ΛΟΙΠΗ</t>
  </si>
  <si>
    <t>ΑΙΓΟΠΡΟΒΑΤΑ120004</t>
  </si>
  <si>
    <t>ΑΙΓΕΣ, ΛΟΙΠΗ ΑΙΓΟΕΙΔΗ (&lt;30kg)</t>
  </si>
  <si>
    <t>ΑΙΓΟΠΡΟΒΑΤΑ120005</t>
  </si>
  <si>
    <t>ΑΙΓΕΣ, ΛΟΙΠΗ ΑΙΓΟΕΙΔΗ (&gt;30kg)</t>
  </si>
  <si>
    <t>ΑΙΓΟΠΡΟΒΑΤΑ120006</t>
  </si>
  <si>
    <t>ΑΜΝΟΙ ΑΡΣΕΝΙΚΟΙ, ΒΕΛΤΙΩΜΕΝΗ</t>
  </si>
  <si>
    <t>ΑΙΓΟΠΡΟΒΑΤΑ131001</t>
  </si>
  <si>
    <t>ΑΜΝΟΙ ΑΡΣΕΝΙΚΟΙ, ΑΥΤΟΧΘΟΝΗ</t>
  </si>
  <si>
    <t>ΑΙΓΟΠΡΟΒΑΤΑ131002</t>
  </si>
  <si>
    <t>ΑΜΝΟΙ ΑΡΣΕΝΙΚΟΙ, ΚΑΤΑΦΥΓΙΟΥ</t>
  </si>
  <si>
    <t>ΑΙΓΟΠΡΟΒΑΤΑ13100201</t>
  </si>
  <si>
    <t>ΑΜΝΟΙ ΑΡΣΕΝΙΚΟΙ, ΡΟΥΜΛΟΥΚΙΟΥ</t>
  </si>
  <si>
    <t>ΑΙΓΟΠΡΟΒΑΤΑ13100202</t>
  </si>
  <si>
    <t>ΑΜΝΟΙ ΑΡΣΕΝΙΚΟΙ, ΟΡΕΙΝΟ ΗΠΕΙΡΟΥ</t>
  </si>
  <si>
    <t>ΑΙΓΟΠΡΟΒΑΤΑ13100203</t>
  </si>
  <si>
    <t>ΑΜΝΟΙ ΑΡΣΕΝΙΚΟΙ, ΙΚΑΡΙΑΣ</t>
  </si>
  <si>
    <t>ΑΙΓΟΠΡΟΒΑΤΑ13100204</t>
  </si>
  <si>
    <t>ΑΜΝΟΙ ΑΡΣΕΝΙΚΟΙ, ΛΕΥΚΙΜΗΣ</t>
  </si>
  <si>
    <t>ΑΙΓΟΠΡΟΒΑΤΑ13100205</t>
  </si>
  <si>
    <t>ΑΜΝΟΙ ΑΡΣΕΝΙΚΟΙ, ΚΑΤΣΙΚΑ</t>
  </si>
  <si>
    <t>ΑΙΓΟΠΡΟΒΑΤΑ13100206</t>
  </si>
  <si>
    <t>ΑΜΝΟΙ ΑΡΣΕΝΙΚΟΙ, ΑΡΓΟΥΣ</t>
  </si>
  <si>
    <t>ΑΙΓΟΠΡΟΒΑΤΑ13100207</t>
  </si>
  <si>
    <t>ΑΜΝΟΙ ΑΡΣΕΝΙΚΟΙ, ΖΑΚΥΝΘΟΥ</t>
  </si>
  <si>
    <t>ΑΙΓΟΠΡΟΒΑΤΑ13100208</t>
  </si>
  <si>
    <t>ΑΜΝΟΙ ΑΡΣΕΝΙΚΟΙ, ΦΛΩΡΙΝΑΣ -ΠΕΛΑΓΟΝΙΑΣ</t>
  </si>
  <si>
    <t>ΑΙΓΟΠΡΟΒΑΤΑ13100209</t>
  </si>
  <si>
    <t xml:space="preserve">ΑΜΝΟΙ ΑΡΣΕΝΙΚΟΙ, ΣΑΡΑΚΑΤΣΑΝΙΚΟ </t>
  </si>
  <si>
    <t>ΑΙΓΟΠΡΟΒΑΤΑ13100210</t>
  </si>
  <si>
    <t>ΑΜΝΟΙ ΑΡΣΕΝΙΚΟΙ, ΓΛΩΣΣΑΣ ΣΚΟΠΕΛΟΥ</t>
  </si>
  <si>
    <t>ΑΙΓΟΠΡΟΒΑΤΑ13100211</t>
  </si>
  <si>
    <t>ΑΜΝΟΙ ΑΡΣΕΝΙΚΟΙ, ΚΥΜΗΣ</t>
  </si>
  <si>
    <t>ΑΙΓΟΠΡΟΒΑΤΑ13100212</t>
  </si>
  <si>
    <t>ΑΜΝΟΙ ΑΡΣΕΝΙΚΟΙ, ΑΓΡΙΝΙΟΥ</t>
  </si>
  <si>
    <t>ΑΙΓΟΠΡΟΒΑΤΑ13100213</t>
  </si>
  <si>
    <t>ΑΜΝΟΙ ΑΡΣΕΝΙΚΟΙ, ΔΡΑΜΑΣ</t>
  </si>
  <si>
    <t>ΑΙΓΟΠΡΟΒΑΤΑ13100214</t>
  </si>
  <si>
    <t>ΑΜΝΟΙ ΑΡΣΕΝΙΚΟΙ, ΘΡΑΚΗΣ</t>
  </si>
  <si>
    <t>ΑΙΓΟΠΡΟΒΑΤΑ13100215</t>
  </si>
  <si>
    <t>ΑΜΝΟΙ ΑΡΣΕΝΙΚΟΙ, ΚΑΛΑΡΡΥΤΙΚΟ</t>
  </si>
  <si>
    <t>ΑΙΓΟΠΡΟΒΑΤΑ13100216</t>
  </si>
  <si>
    <t>ΑΜΝΟΙ ΑΡΣΕΝΙΚΟΙ, ΠΗΛΙΟΥ</t>
  </si>
  <si>
    <t>ΑΙΓΟΠΡΟΒΑΤΑ13100217</t>
  </si>
  <si>
    <t>ΑΜΝΟΙ ΑΡΣΕΝΙΚΟΙ, ΣΕΡΡΩΝ</t>
  </si>
  <si>
    <t>ΑΙΓΟΠΡΟΒΑΤΑ13100218</t>
  </si>
  <si>
    <t>ΑΜΝΟΙ ΑΡΣΕΝΙΚΟΙ, ΚΑΘΑΡΟΑΙΜΗ</t>
  </si>
  <si>
    <t>ΑΙΓΟΠΡΟΒΑΤΑ131003</t>
  </si>
  <si>
    <t>ΑΜΝΟΙ ΑΡΣΕΝΙΚΟΙ, ΛΟΙΠΗ</t>
  </si>
  <si>
    <t>ΑΙΓΟΠΡΟΒΑΤΑ131004</t>
  </si>
  <si>
    <t>ΑΜΝΟΙ ΘΗΛΥΚΟΙ, ΒΕΛΤΙΩΜΕΝOI</t>
  </si>
  <si>
    <t>ΑΙΓΟΠΡΟΒΑΤΑ132001</t>
  </si>
  <si>
    <t>ΑΜΝΟΙ ΘΗΛΥΚΟΙ, ΑΥΤΟΧΘΟΝΗ</t>
  </si>
  <si>
    <t>ΑΙΓΟΠΡΟΒΑΤΑ132002</t>
  </si>
  <si>
    <t>ΑΜΝΟΙ ΘΗΛΥΚΟΙ, ΚΑΤΑΦΥΓΙΟΥ</t>
  </si>
  <si>
    <t>ΑΙΓΟΠΡΟΒΑΤΑ13200201</t>
  </si>
  <si>
    <t>ΑΜΝΟΙ ΘΗΛΥΚΟΙ, ΡΟΥΜΛΟΥΚΙΟΥ</t>
  </si>
  <si>
    <t>ΑΙΓΟΠΡΟΒΑΤΑ13200202</t>
  </si>
  <si>
    <t>ΑΜΝΟΙ ΘΗΛΥΚΟΙ, ΟΡΕΙΝΟ ΗΠΕΙΡΟΥ</t>
  </si>
  <si>
    <t>ΑΙΓΟΠΡΟΒΑΤΑ13200203</t>
  </si>
  <si>
    <t>ΑΜΝΟΙ ΘΗΛΥΚΟΙ, ΙΚΑΡΙΑΣ</t>
  </si>
  <si>
    <t>ΑΙΓΟΠΡΟΒΑΤΑ13200204</t>
  </si>
  <si>
    <t>ΑΜΝΟΙ ΘΗΛΥΚΟΙ, ΛΕΥΚΙΜΗΣ</t>
  </si>
  <si>
    <t>ΑΙΓΟΠΡΟΒΑΤΑ13200205</t>
  </si>
  <si>
    <t>ΑΜΝΟΙ ΘΗΛΥΚΟΙ, ΚΑΤΣΙΚΑ</t>
  </si>
  <si>
    <t>ΑΙΓΟΠΡΟΒΑΤΑ13200206</t>
  </si>
  <si>
    <t>ΑΜΝΟΙ ΘΗΛΥΚΟΙ, ΑΡΓΟΥΣ</t>
  </si>
  <si>
    <t>ΑΙΓΟΠΡΟΒΑΤΑ13200207</t>
  </si>
  <si>
    <t>ΑΜΝΟΙ ΘΗΛΥΚΟΙ, ΖΑΚΥΝΘΟΥ</t>
  </si>
  <si>
    <t>ΑΙΓΟΠΡΟΒΑΤΑ13200208</t>
  </si>
  <si>
    <t>ΑΜΝΟΙ ΘΗΛΥΚΟΙ, ΦΛΩΡΙΝΑΣ -ΠΕΛΑΓΟΝΙΑΣ</t>
  </si>
  <si>
    <t>ΑΙΓΟΠΡΟΒΑΤΑ13200209</t>
  </si>
  <si>
    <t xml:space="preserve">ΑΜΝΟΙ ΘΗΛΥΚΟΙ, ΣΑΡΑΚΑΤΣΑΝΙΚΟ </t>
  </si>
  <si>
    <t>ΑΙΓΟΠΡΟΒΑΤΑ13200210</t>
  </si>
  <si>
    <t>ΑΜΝΟΙ ΘΗΛΥΚΟΙ, ΓΛΩΣΣΑΣ ΣΚΟΠΕΛΟΥ</t>
  </si>
  <si>
    <t>ΑΙΓΟΠΡΟΒΑΤΑ13200211</t>
  </si>
  <si>
    <t>ΑΜΝΟΙ ΘΗΛΥΚΟΙ, ΚΥΜΗΣ</t>
  </si>
  <si>
    <t>ΑΙΓΟΠΡΟΒΑΤΑ13200212</t>
  </si>
  <si>
    <t>ΑΜΝΟΙ ΘΗΛΥΚΟΙ, ΑΓΡΙΝΙΟΥ</t>
  </si>
  <si>
    <t>ΑΙΓΟΠΡΟΒΑΤΑ13200213</t>
  </si>
  <si>
    <t>ΑΜΝΟΙ ΘΗΛΥΚΟΙ, ΔΡΑΜΑΣ</t>
  </si>
  <si>
    <t>ΑΙΓΟΠΡΟΒΑΤΑ13200214</t>
  </si>
  <si>
    <t>ΑΜΝΟΙ ΘΗΛΥΚΟΙ, ΘΡΑΚΗΣ</t>
  </si>
  <si>
    <t>ΑΙΓΟΠΡΟΒΑΤΑ13200215</t>
  </si>
  <si>
    <t>ΑΜΝΟΙ ΘΗΛΥΚΟΙ, ΚΑΛΑΡΡΥΤΙΚΟ</t>
  </si>
  <si>
    <t>ΑΙΓΟΠΡΟΒΑΤΑ13200216</t>
  </si>
  <si>
    <t>ΑΜΝΟΙ ΘΗΛΥΚΟΙ, ΠΗΛΙΟΥ</t>
  </si>
  <si>
    <t>ΑΙΓΟΠΡΟΒΑΤΑ13200217</t>
  </si>
  <si>
    <t>ΑΜΝΟΙ ΘΗΛΥΚΟΙ, ΣΕΡΡΩΝ</t>
  </si>
  <si>
    <t>ΑΙΓΟΠΡΟΒΑΤΑ13200218</t>
  </si>
  <si>
    <t>ΑΜΝΟΙ ΘΗΛΥΚΟΙ, ΚΑΘΑΡΟΑΙΜΗ</t>
  </si>
  <si>
    <t>ΑΙΓΟΠΡΟΒΑΤΑ132003</t>
  </si>
  <si>
    <t>ΑΜΝΟΙ ΘΗΛΥΚΟΙ, ΛΟΙΠΗ</t>
  </si>
  <si>
    <t>ΑΙΓΟΠΡΟΒΑΤΑ132004</t>
  </si>
  <si>
    <t>ΠΡΟΒΑΤΙΝΕΣ, ΒΕΛΤΙΩΜΕΝΗ</t>
  </si>
  <si>
    <t>ΑΙΓΟΠΡΟΒΑΤΑ140001</t>
  </si>
  <si>
    <t>ΠΡΟΒΑΤΙΝΕΣ,  ΑΥΤΟΧΘΟΝΗ</t>
  </si>
  <si>
    <t>ΑΙΓΟΠΡΟΒΑΤΑ140002</t>
  </si>
  <si>
    <t>ΠΡΟΒΑΤΙΝΕΣ,  ΚΑΤΑΦΥΓΙΟΥ</t>
  </si>
  <si>
    <t>ΑΙΓΟΠΡΟΒΑΤΑ14000201</t>
  </si>
  <si>
    <t>ΠΡΟΒΑΤΙΝΕΣ,  ΡΟΥΜΛΟΥΚΙΟΥ</t>
  </si>
  <si>
    <t>ΑΙΓΟΠΡΟΒΑΤΑ14000202</t>
  </si>
  <si>
    <t>ΠΡΟΒΑΤΙΝΕΣ,  ΟΡΕΙΝΟ ΗΠΕΙΡΟΥ</t>
  </si>
  <si>
    <t>ΑΙΓΟΠΡΟΒΑΤΑ14000203</t>
  </si>
  <si>
    <t>ΠΡΟΒΑΤΙΝΕΣ,  ΙΚΑΡΙΑΣ</t>
  </si>
  <si>
    <t>ΑΙΓΟΠΡΟΒΑΤΑ14000204</t>
  </si>
  <si>
    <t>ΠΡΟΒΑΤΙΝΕΣ,  ΛΕΥΚΙΜΗΣ</t>
  </si>
  <si>
    <t>ΑΙΓΟΠΡΟΒΑΤΑ14000205</t>
  </si>
  <si>
    <t>ΠΡΟΒΑΤΙΝΕΣ,  ΚΑΤΣΙΚΑ</t>
  </si>
  <si>
    <t>ΑΙΓΟΠΡΟΒΑΤΑ14000206</t>
  </si>
  <si>
    <t>ΠΡΟΒΑΤΙΝΕΣ,  ΑΡΓΟΥΣ</t>
  </si>
  <si>
    <t>ΑΙΓΟΠΡΟΒΑΤΑ14000207</t>
  </si>
  <si>
    <t>ΠΡΟΒΑΤΙΝΕΣ,  ΖΑΚΥΝΘΟΥ</t>
  </si>
  <si>
    <t>ΑΙΓΟΠΡΟΒΑΤΑ14000208</t>
  </si>
  <si>
    <t>ΠΡΟΒΑΤΙΝΕΣ,  ΦΛΩΡΙΝΑΣ -ΠΕΛΑΓΟΝΙΑΣ</t>
  </si>
  <si>
    <t>ΑΙΓΟΠΡΟΒΑΤΑ14000209</t>
  </si>
  <si>
    <t xml:space="preserve">ΠΡΟΒΑΤΙΝΕΣ,  ΣΑΡΑΚΑΤΣΑΝΙΚΟ </t>
  </si>
  <si>
    <t>ΑΙΓΟΠΡΟΒΑΤΑ14000210</t>
  </si>
  <si>
    <t>ΠΡΟΒΑΤΙΝΕΣ,  ΓΛΩΣΣΑΣ ΣΚΟΠΕΛΟΥ</t>
  </si>
  <si>
    <t>ΑΙΓΟΠΡΟΒΑΤΑ14000211</t>
  </si>
  <si>
    <t>ΠΡΟΒΑΤΙΝΕΣ,  ΚΥΜΗΣ</t>
  </si>
  <si>
    <t>ΑΙΓΟΠΡΟΒΑΤΑ14000212</t>
  </si>
  <si>
    <t>ΠΡΟΒΑΤΙΝΕΣ,  ΑΓΡΙΝΙΟΥ</t>
  </si>
  <si>
    <t>ΑΙΓΟΠΡΟΒΑΤΑ14000213</t>
  </si>
  <si>
    <t>ΠΡΟΒΑΤΙΝΕΣ,  ΔΡΑΜΑΣ</t>
  </si>
  <si>
    <t>ΑΙΓΟΠΡΟΒΑΤΑ14000214</t>
  </si>
  <si>
    <t>ΠΡΟΒΑΤΙΝΕΣ,  ΘΡΑΚΗΣ</t>
  </si>
  <si>
    <t>ΑΙΓΟΠΡΟΒΑΤΑ14000215</t>
  </si>
  <si>
    <t>ΠΡΟΒΑΤΙΝΕΣ,  ΚΑΛΑΡΡΥΤΙΚΟ</t>
  </si>
  <si>
    <t>ΑΙΓΟΠΡΟΒΑΤΑ14000216</t>
  </si>
  <si>
    <t>ΠΡΟΒΑΤΙΝΕΣ,  ΠΗΛΙΟΥ</t>
  </si>
  <si>
    <t>ΑΙΓΟΠΡΟΒΑΤΑ14000217</t>
  </si>
  <si>
    <t>ΠΡΟΒΑΤΙΝΕΣ,  ΣΕΡΡΩΝ</t>
  </si>
  <si>
    <t>ΑΙΓΟΠΡΟΒΑΤΑ14000218</t>
  </si>
  <si>
    <t>ΠΡΟΒΑΤΙΝΕΣ,  ΚΑΘΑΡΟΑΙΜΗ</t>
  </si>
  <si>
    <t>ΑΙΓΟΠΡΟΒΑΤΑ140003</t>
  </si>
  <si>
    <t>ΠΡΟΒΑΤΙΝΕΣ,  ΛΟΙΠΗ</t>
  </si>
  <si>
    <t>ΑΙΓΟΠΡΟΒΑΤΑ140004</t>
  </si>
  <si>
    <t>ΠΡΟΒΑΤΙΝΕΣ, ΛΟΙΠΗ ΠΡΟΒΑΤΟΕΙΔΗ (&lt;45kg)</t>
  </si>
  <si>
    <t>ΑΙΓΟΠΡΟΒΑΤΑ140007</t>
  </si>
  <si>
    <t>ΠΡΟΒΑΤΙΝΕΣ, ΛΟΙΠΗ ΠΡΟΒΑΤΟΕΙΔΗ (&gt;45kg)</t>
  </si>
  <si>
    <t>ΑΙΓΟΠΡΟΒΑΤΑ140008</t>
  </si>
  <si>
    <t>ΚΡΙΟΙ,  ΒΕΛΤΙΩΜΕΝΗ</t>
  </si>
  <si>
    <t>ΑΙΓΟΠΡΟΒΑΤΑ150001</t>
  </si>
  <si>
    <t>ΚΡΙΟΙ,  ΑΥΤΟΧΘΟΝΗ</t>
  </si>
  <si>
    <t>ΑΙΓΟΠΡΟΒΑΤΑ150002</t>
  </si>
  <si>
    <t>ΚΡΙΟΙ,  ΚΑΤΑΦΥΓΙΟΥ</t>
  </si>
  <si>
    <t>ΑΙΓΟΠΡΟΒΑΤΑ15000201</t>
  </si>
  <si>
    <t>ΚΡΙΟΙ,  ΡΟΥΜΛΟΥΚΙΟΥ</t>
  </si>
  <si>
    <t>ΑΙΓΟΠΡΟΒΑΤΑ15000202</t>
  </si>
  <si>
    <t>ΚΡΙΟΙ,  ΟΡΕΙΝΟ ΗΠΕΙΡΟΥ</t>
  </si>
  <si>
    <t>ΑΙΓΟΠΡΟΒΑΤΑ15000203</t>
  </si>
  <si>
    <t>ΚΡΙΟΙ,  ΙΚΑΡΙΑΣ</t>
  </si>
  <si>
    <t>ΑΙΓΟΠΡΟΒΑΤΑ15000204</t>
  </si>
  <si>
    <t>ΚΡΙΟΙ,  ΛΕΥΚΙΜΗΣ</t>
  </si>
  <si>
    <t>ΑΙΓΟΠΡΟΒΑΤΑ15000205</t>
  </si>
  <si>
    <t>ΚΡΙΟΙ,  ΚΑΤΣΙΚΑ</t>
  </si>
  <si>
    <t>ΑΙΓΟΠΡΟΒΑΤΑ15000206</t>
  </si>
  <si>
    <t>ΚΡΙΟΙ,  ΑΡΓΟΥΣ</t>
  </si>
  <si>
    <t>ΑΙΓΟΠΡΟΒΑΤΑ15000207</t>
  </si>
  <si>
    <t>ΚΡΙΟΙ,  ΖΑΚΥΝΘΟΥ</t>
  </si>
  <si>
    <t>ΑΙΓΟΠΡΟΒΑΤΑ15000208</t>
  </si>
  <si>
    <t>ΚΡΙΟΙ,  ΦΛΩΡΙΝΑΣ -ΠΕΛΑΓΟΝΙΑΣ</t>
  </si>
  <si>
    <t>ΑΙΓΟΠΡΟΒΑΤΑ15000209</t>
  </si>
  <si>
    <t xml:space="preserve">ΚΡΙΟΙ,  ΣΑΡΑΚΑΤΣΑΝΙΚΟ </t>
  </si>
  <si>
    <t>ΑΙΓΟΠΡΟΒΑΤΑ15000210</t>
  </si>
  <si>
    <t>ΚΡΙΟΙ,  ΓΛΩΣΣΑΣ ΣΚΟΠΕΛΟΥ</t>
  </si>
  <si>
    <t>ΑΙΓΟΠΡΟΒΑΤΑ15000211</t>
  </si>
  <si>
    <t>ΚΡΙΟΙ,  ΚΥΜΗΣ</t>
  </si>
  <si>
    <t>ΑΙΓΟΠΡΟΒΑΤΑ15000212</t>
  </si>
  <si>
    <t>ΚΡΙΟΙ,  ΑΓΡΙΝΙΟΥ</t>
  </si>
  <si>
    <t>ΑΙΓΟΠΡΟΒΑΤΑ15000213</t>
  </si>
  <si>
    <t>ΚΡΙΟΙ,  ΔΡΑΜΑΣ</t>
  </si>
  <si>
    <t>ΑΙΓΟΠΡΟΒΑΤΑ15000214</t>
  </si>
  <si>
    <t>ΚΡΙΟΙ,  ΘΡΑΚΗΣ</t>
  </si>
  <si>
    <t>ΑΙΓΟΠΡΟΒΑΤΑ15000215</t>
  </si>
  <si>
    <t>ΚΡΙΟΙ,  ΚΑΛΑΡΡΥΤΙΚΟ</t>
  </si>
  <si>
    <t>ΑΙΓΟΠΡΟΒΑΤΑ15000216</t>
  </si>
  <si>
    <t>ΚΡΙΟΙ,  ΠΗΛΙΟΥ</t>
  </si>
  <si>
    <t>ΑΙΓΟΠΡΟΒΑΤΑ15000217</t>
  </si>
  <si>
    <t>ΚΡΙΟΙ,  ΣΕΡΡΩΝ</t>
  </si>
  <si>
    <t>ΑΙΓΟΠΡΟΒΑΤΑ15000218</t>
  </si>
  <si>
    <t>ΚΡΙΟΙ,  ΚΑΘΑΡΟΑΙΜΗ</t>
  </si>
  <si>
    <t>ΑΙΓΟΠΡΟΒΑΤΑ150003</t>
  </si>
  <si>
    <t>ΚΡΙΟΙ, ΛΟΙΠΗ</t>
  </si>
  <si>
    <t>ΑΙΓΟΠΡΟΒΑΤΑ150004</t>
  </si>
  <si>
    <t>ΚΡΙΟΙ, ΛΟΙΠΗ ΠΡΟΒΑΤΟΕΙΔΗ (&lt;45kg)</t>
  </si>
  <si>
    <t>ΑΙΓΟΠΡΟΒΑΤΑ150007</t>
  </si>
  <si>
    <t>ΚΡΙΟΙ, ΛΟΙΠΗ ΠΡΟΒΑΤΟΕΙΔΗ (&gt;45kg)</t>
  </si>
  <si>
    <t>ΑΙΓΟΠΡΟΒΑΤΑ150008</t>
  </si>
  <si>
    <t>ΤΡΑΓΟI, ΒΕΛΤΙΩΜΕΝΗ</t>
  </si>
  <si>
    <t>ΑΙΓΟΠΡΟΒΑΤΑ160001</t>
  </si>
  <si>
    <t>ΤΡΑΓΟI,  ΑΥΤΟΧΘΟΝΗ</t>
  </si>
  <si>
    <t>ΑΙΓΟΠΡΟΒΑΤΑ160002</t>
  </si>
  <si>
    <t>ΤΡΑΓΟI,  ΣΚΟΠΕΛΟΥ</t>
  </si>
  <si>
    <t>ΑΙΓΟΠΡΟΒΑΤΑ16000219</t>
  </si>
  <si>
    <t>ΤΡΑΓΟI, ΚΑΘΑΡΟΑΙΜΗ</t>
  </si>
  <si>
    <t>ΑΙΓΟΠΡΟΒΑΤΑ160003</t>
  </si>
  <si>
    <t>ΤΡΑΓΟI, ΛΟΙΠΗ</t>
  </si>
  <si>
    <t>ΑΙΓΟΠΡΟΒΑΤΑ160004</t>
  </si>
  <si>
    <t>ΤΡΑΓΟI, ΛΟΙΠΗ ΑΙΓΟΕΙΔΗ (&lt;30kg)</t>
  </si>
  <si>
    <t>ΑΙΓΟΠΡΟΒΑΤΑ160005</t>
  </si>
  <si>
    <t>ΤΡΑΓΟI, ΛΟΙΠΗ ΑΙΓΟΕΙΔΗ (&gt;30kg)</t>
  </si>
  <si>
    <t>ΑΙΓΟΠΡΟΒΑΤΑ160006</t>
  </si>
  <si>
    <t>ΑΚΡΟΔΡΥΑ (ΚΑΡΠΟΙ ΜΕ ΚΕΛΥΦΟΣ)</t>
  </si>
  <si>
    <t>ΑΜΥΓΔΑΛΑ ΑΦΡΑΤΑ ΣΥΜΜΕΤΡΙΚΗ</t>
  </si>
  <si>
    <t>ΑΚΡΟΔΡΥΑ (ΚΑΡΠΟΙ ΜΕ ΚΕΛΥΦΟΣ)21001</t>
  </si>
  <si>
    <t>ΑΜΥΓΔΑΛΑ ΑΦΡΑΤΑ ΧΙΟΥ</t>
  </si>
  <si>
    <t>ΑΚΡΟΔΡΥΑ (ΚΑΡΠΟΙ ΜΕ ΚΕΛΥΦΟΣ)21002</t>
  </si>
  <si>
    <t>ΑΜΥΓΔΑΛΑ ΑΦΡΑΤΑ ΝΕ ΠΛ. ΟΥΛΤΡΑ</t>
  </si>
  <si>
    <t>ΑΚΡΟΔΡΥΑ (ΚΑΡΠΟΙ ΜΕ ΚΕΛΥΦΟΣ)21003</t>
  </si>
  <si>
    <t>ΑΜΥΓΔΑΛΑ ΑΦΡΑΤΑ ΛΟΙΠ. ΠΟΙΚΙΛ.</t>
  </si>
  <si>
    <t>ΑΚΡΟΔΡΥΑ (ΚΑΡΠΟΙ ΜΕ ΚΕΛΥΦΟΣ)21004</t>
  </si>
  <si>
    <t>ΑΜΥΓΔΑΛΑ ΦΕΡΑΝΤΟΥΕΛ</t>
  </si>
  <si>
    <t>ΑΚΡΟΔΡΥΑ (ΚΑΡΠΟΙ ΜΕ ΚΕΛΥΦΟΣ)21005</t>
  </si>
  <si>
    <t>ΑΜΥΓΔΑΛΑ ΝΟΝ ΠΑΡΕΪ</t>
  </si>
  <si>
    <t>ΑΚΡΟΔΡΥΑ (ΚΑΡΠΟΙ ΜΕ ΚΕΛΥΦΟΣ)21006</t>
  </si>
  <si>
    <t>ΚΑΡΥΔΙΑ ΣΚΛΗΡΑ ΑΓ. ΟΡΟΥΣ</t>
  </si>
  <si>
    <t>ΑΚΡΟΔΡΥΑ (ΚΑΡΠΟΙ ΜΕ ΚΕΛΥΦΟΣ)21007</t>
  </si>
  <si>
    <t>ΚΑΡΥΔΙΑ ΣΚΛΗΡ. ΧΟΝΔΡΟΚΑΡΥΔΑ</t>
  </si>
  <si>
    <t>ΑΚΡΟΔΡΥΑ (ΚΑΡΠΟΙ ΜΕ ΚΕΛΥΦΟΣ)21008</t>
  </si>
  <si>
    <t>ΚΑΡΥΔΙΑ ΣΚΛΗΡ. ΚΑΡΠΕΝΗΣΙΟΥ</t>
  </si>
  <si>
    <t>ΑΚΡΟΔΡΥΑ (ΚΑΡΠΟΙ ΜΕ ΚΕΛΥΦΟΣ)21009</t>
  </si>
  <si>
    <t>ΚΑΡΥΔΙΑ ΣΚΛΗΡ. ΑΥΓΟΥΛΑΤΑ</t>
  </si>
  <si>
    <t>ΑΚΡΟΔΡΥΑ (ΚΑΡΠΟΙ ΜΕ ΚΕΛΥΦΟΣ)21010</t>
  </si>
  <si>
    <t>ΚΑΡΥΔΙΑ ΣΚΛΗΡ. ΛΟΙΠ. ΠΟΙΚΙΛ.</t>
  </si>
  <si>
    <t>ΑΚΡΟΔΡΥΑ (ΚΑΡΠΟΙ ΜΕ ΚΕΛΥΦΟΣ)21011</t>
  </si>
  <si>
    <t>ΚΑΡΥΔΙΑ ΑΠΑΛ. ΤΣΙΠΟΚΑΡΥΔΑ</t>
  </si>
  <si>
    <t>ΑΚΡΟΔΡΥΑ (ΚΑΡΠΟΙ ΜΕ ΚΕΛΥΦΟΣ)21012</t>
  </si>
  <si>
    <t>ΚΑΡΥΔΙΑ ΑΠΑΛ. ΒΑΣΙΛΙΚΑ</t>
  </si>
  <si>
    <t>ΑΚΡΟΔΡΥΑ (ΚΑΡΠΟΙ ΜΕ ΚΕΛΥΦΟΣ)21013</t>
  </si>
  <si>
    <t>ΚΑΡΥΔΙΑ ΑΠΑΛ. ΛΟΙΠ. ΠΟΙΚΙΛ.</t>
  </si>
  <si>
    <t>ΑΚΡΟΔΡΥΑ (ΚΑΡΠΟΙ ΜΕ ΚΕΛΥΦΟΣ)21014</t>
  </si>
  <si>
    <t>ΚΑΡΥΔΙΑ ΦΡΑΝΚΕΤ</t>
  </si>
  <si>
    <t>ΑΚΡΟΔΡΥΑ (ΚΑΡΠΟΙ ΜΕ ΚΕΛΥΦΟΣ)21015</t>
  </si>
  <si>
    <t>ΚΑΡΥΔΙΑ ΚΑΛΙΦΟΡΝΙΑΣ Κ11,Κ12,ΑΜΕΡΙΚΑΝ.ΠΟΙΚΙΛΙΕΣ</t>
  </si>
  <si>
    <t>ΑΚΡΟΔΡΥΑ (ΚΑΡΠΟΙ ΜΕ ΚΕΛΥΦΟΣ)21016</t>
  </si>
  <si>
    <t>ΛΕΠΤΟΚΑΡΥΑ ΜΑΚΡΟΚΑΡΠΑ</t>
  </si>
  <si>
    <t>ΑΚΡΟΔΡΥΑ (ΚΑΡΠΟΙ ΜΕ ΚΕΛΥΦΟΣ)21017</t>
  </si>
  <si>
    <t>ΛΕΠΤΟΚΑΡΥΑ ΣΤΡΟΓΓΥΛΟΚΑΡΠΑ</t>
  </si>
  <si>
    <t>ΑΚΡΟΔΡΥΑ (ΚΑΡΠΟΙ ΜΕ ΚΕΛΥΦΟΣ)21018</t>
  </si>
  <si>
    <t>ΑΜΥΓΔΑΛΑ AI</t>
  </si>
  <si>
    <t>ΑΚΡΟΔΡΥΑ (ΚΑΡΠΟΙ ΜΕ ΚΕΛΥΦΟΣ)21019</t>
  </si>
  <si>
    <t>ΑΜΥΓΔΑΛΑ FERRAGNES</t>
  </si>
  <si>
    <t>ΑΚΡΟΔΡΥΑ (ΚΑΡΠΟΙ ΜΕ ΚΕΛΥΦΟΣ)21020</t>
  </si>
  <si>
    <t>ΑΜΥΓΔΑΛΑ MARCONA</t>
  </si>
  <si>
    <t>ΑΚΡΟΔΡΥΑ (ΚΑΡΠΟΙ ΜΕ ΚΕΛΥΦΟΣ)21021</t>
  </si>
  <si>
    <t>ΑΜΥΓΔΑΛΑ RETSOU</t>
  </si>
  <si>
    <t>ΑΚΡΟΔΡΥΑ (ΚΑΡΠΟΙ ΜΕ ΚΕΛΥΦΟΣ)21022</t>
  </si>
  <si>
    <t>ΑΜΥΓΔΑΛΑ TEXAS</t>
  </si>
  <si>
    <t>ΑΚΡΟΔΡΥΑ (ΚΑΡΠΟΙ ΜΕ ΚΕΛΥΦΟΣ)21023</t>
  </si>
  <si>
    <t>ΑΜΥΓΔΑΛΑ TROUTO</t>
  </si>
  <si>
    <t>ΑΚΡΟΔΡΥΑ (ΚΑΡΠΟΙ ΜΕ ΚΕΛΥΦΟΣ)21024</t>
  </si>
  <si>
    <t>ΚΑΡΥΔΙΑ AMIGO</t>
  </si>
  <si>
    <t>ΑΚΡΟΔΡΥΑ (ΚΑΡΠΟΙ ΜΕ ΚΕΛΥΦΟΣ)21025</t>
  </si>
  <si>
    <t>ΚΑΡΥΔΙΑ CHANDLER</t>
  </si>
  <si>
    <t>ΑΚΡΟΔΡΥΑ (ΚΑΡΠΟΙ ΜΕ ΚΕΛΥΦΟΣ)21026</t>
  </si>
  <si>
    <t>ΚΑΡΥΔΙΑ CHICO</t>
  </si>
  <si>
    <t>ΑΚΡΟΔΡΥΑ (ΚΑΡΠΟΙ ΜΕ ΚΕΛΥΦΟΣ)21027</t>
  </si>
  <si>
    <t>ΚΑΡΥΔΙΑ GUSTINE (UC52-61)</t>
  </si>
  <si>
    <t>ΑΚΡΟΔΡΥΑ (ΚΑΡΠΟΙ ΜΕ ΚΕΛΥΦΟΣ)21028</t>
  </si>
  <si>
    <t>ΚΑΡΥΔΙΑ HARTLEY</t>
  </si>
  <si>
    <t>ΑΚΡΟΔΡΥΑ (ΚΑΡΠΟΙ ΜΕ ΚΕΛΥΦΟΣ)21029</t>
  </si>
  <si>
    <t>ΚΑΡΥΔΙΑ MEYLANNAISE</t>
  </si>
  <si>
    <t>ΑΚΡΟΔΡΥΑ (ΚΑΡΠΟΙ ΜΕ ΚΕΛΥΦΟΣ)21030</t>
  </si>
  <si>
    <t>ΚΑΡΥΔΙΑ PARISIENNE</t>
  </si>
  <si>
    <t>ΑΚΡΟΔΡΥΑ (ΚΑΡΠΟΙ ΜΕ ΚΕΛΥΦΟΣ)21031</t>
  </si>
  <si>
    <t>ΚΑΡΥΔΙΑ PEDRO (UC53-113)</t>
  </si>
  <si>
    <t>ΑΚΡΟΔΡΥΑ (ΚΑΡΠΟΙ ΜΕ ΚΕΛΥΦΟΣ)21032</t>
  </si>
  <si>
    <t>ΚΑΡΥΔΙΑ RONDE DE MONTIGNAC</t>
  </si>
  <si>
    <t>ΑΚΡΟΔΡΥΑ (ΚΑΡΠΟΙ ΜΕ ΚΕΛΥΦΟΣ)21033</t>
  </si>
  <si>
    <t>ΚΑΡΥΔΙΑ SERR</t>
  </si>
  <si>
    <t>ΑΚΡΟΔΡΥΑ (ΚΑΡΠΟΙ ΜΕ ΚΕΛΥΦΟΣ)21034</t>
  </si>
  <si>
    <t>ΚΑΡΥΔΙΑ TECHAMA</t>
  </si>
  <si>
    <t>ΑΚΡΟΔΡΥΑ (ΚΑΡΠΟΙ ΜΕ ΚΕΛΥΦΟΣ)21035</t>
  </si>
  <si>
    <t>ΚΑΡΥΔΙΑ VINA</t>
  </si>
  <si>
    <t>ΑΚΡΟΔΡΥΑ (ΚΑΡΠΟΙ ΜΕ ΚΕΛΥΦΟΣ)21036</t>
  </si>
  <si>
    <t>ΦΟΥΝΤΟΥΚΙΑ ENNIS</t>
  </si>
  <si>
    <t>ΑΚΡΟΔΡΥΑ (ΚΑΡΠΟΙ ΜΕ ΚΕΛΥΦΟΣ)21037</t>
  </si>
  <si>
    <t>ΦΟΥΝΤΟΥΚΙΑ EXTRA GIAGLI</t>
  </si>
  <si>
    <t>ΑΚΡΟΔΡΥΑ (ΚΑΡΠΟΙ ΜΕ ΚΕΛΥΦΟΣ)21038</t>
  </si>
  <si>
    <t>ΦΟΥΝΤΟΥΚΙΑ NEGKRETTA</t>
  </si>
  <si>
    <t>ΑΚΡΟΔΡΥΑ (ΚΑΡΠΟΙ ΜΕ ΚΕΛΥΦΟΣ)21039</t>
  </si>
  <si>
    <t>ΦΟΥΝΤΟΥΚΙΑ TONDA ROMANA</t>
  </si>
  <si>
    <t>ΑΚΡΟΔΡΥΑ (ΚΑΡΠΟΙ ΜΕ ΚΕΛΥΦΟΣ)21040</t>
  </si>
  <si>
    <t>ΦΥΣΤΙΚΙΑ CHICO MALE</t>
  </si>
  <si>
    <t>ΑΚΡΟΔΡΥΑ (ΚΑΡΠΟΙ ΜΕ ΚΕΛΥΦΟΣ)21041</t>
  </si>
  <si>
    <t>ΦΥΣΤΙΚΙΑ KERMAN</t>
  </si>
  <si>
    <t>ΑΚΡΟΔΡΥΑ (ΚΑΡΠΟΙ ΜΕ ΚΕΛΥΦΟΣ)21042</t>
  </si>
  <si>
    <t>ΦΥΣΤΙΚΙΑ PETERS MALE</t>
  </si>
  <si>
    <t>ΑΚΡΟΔΡΥΑ (ΚΑΡΠΟΙ ΜΕ ΚΕΛΥΦΟΣ)21043</t>
  </si>
  <si>
    <t>ΦΥΣΤΙΚΙΑ TYPE A MALE</t>
  </si>
  <si>
    <t>ΑΚΡΟΔΡΥΑ (ΚΑΡΠΟΙ ΜΕ ΚΕΛΥΦΟΣ)21044</t>
  </si>
  <si>
    <t>ΦΥΣΤΙΚΙΑ TYPE B MALE</t>
  </si>
  <si>
    <t>ΑΚΡΟΔΡΥΑ (ΚΑΡΠΟΙ ΜΕ ΚΕΛΥΦΟΣ)21045</t>
  </si>
  <si>
    <t>ΦΥΣΤΙΚΙΑ TYPE C MALE</t>
  </si>
  <si>
    <t>ΑΚΡΟΔΡΥΑ (ΚΑΡΠΟΙ ΜΕ ΚΕΛΥΦΟΣ)21046</t>
  </si>
  <si>
    <t>ΑΜΥΓΔΑΛΑ TUONO</t>
  </si>
  <si>
    <t>ΑΚΡΟΔΡΥΑ (ΚΑΡΠΟΙ ΜΕ ΚΕΛΥΦΟΣ)21047</t>
  </si>
  <si>
    <t>ΑΜΥΓΔΑΛΑ SOLETA</t>
  </si>
  <si>
    <t>ΑΚΡΟΔΡΥΑ (ΚΑΡΠΟΙ ΜΕ ΚΕΛΥΦΟΣ)21048</t>
  </si>
  <si>
    <t>ΑΜΥΓΔΑΛΑ VAIRO</t>
  </si>
  <si>
    <t>ΑΚΡΟΔΡΥΑ (ΚΑΡΠΟΙ ΜΕ ΚΕΛΥΦΟΣ)21049</t>
  </si>
  <si>
    <t>ΑΜΥΓΔΑΛΑ MARINADA</t>
  </si>
  <si>
    <t>ΑΚΡΟΔΡΥΑ (ΚΑΡΠΟΙ ΜΕ ΚΕΛΥΦΟΣ)21050</t>
  </si>
  <si>
    <t>ΑΜΥΓΔΑΛΑ LAURANNE (LAURANNE-AVIJOR)</t>
  </si>
  <si>
    <t>ΑΚΡΟΔΡΥΑ (ΚΑΡΠΟΙ ΜΕ ΚΕΛΥΦΟΣ)21051</t>
  </si>
  <si>
    <t>ΑΜΥΓΔΑΛΑ MARTA</t>
  </si>
  <si>
    <t>ΑΚΡΟΔΡΥΑ (ΚΑΡΠΟΙ ΜΕ ΚΕΛΥΦΟΣ)21052</t>
  </si>
  <si>
    <t>ΦΟΥΝΤΟΥΚΙΑ KUBAN</t>
  </si>
  <si>
    <t>ΑΚΡΟΔΡΥΑ (ΚΑΡΠΟΙ ΜΕ ΚΕΛΥΦΟΣ)21053</t>
  </si>
  <si>
    <t>ΦΟΥΝΤΟΥΚΙΑ SOChi 1</t>
  </si>
  <si>
    <t>ΑΚΡΟΔΡΥΑ (ΚΑΡΠΟΙ ΜΕ ΚΕΛΥΦΟΣ)21054</t>
  </si>
  <si>
    <t>ΦΟΥΝΤΟΥΚΙΑ SOChi 2</t>
  </si>
  <si>
    <t>ΑΚΡΟΔΡΥΑ (ΚΑΡΠΟΙ ΜΕ ΚΕΛΥΦΟΣ)21055</t>
  </si>
  <si>
    <t>ΑΜΥΓΔΑΛΑ MAKAKO</t>
  </si>
  <si>
    <t>ΑΚΡΟΔΡΥΑ (ΚΑΡΠΟΙ ΜΕ ΚΕΛΥΦΟΣ)21056</t>
  </si>
  <si>
    <t>ΑΜΥΓΔΑΛΑ GUARA</t>
  </si>
  <si>
    <t>ΑΚΡΟΔΡΥΑ (ΚΑΡΠΟΙ ΜΕ ΚΕΛΥΦΟΣ)21057</t>
  </si>
  <si>
    <t>ΦΟΥΝΤΟΥΚΙΑ TONDA DI GIFFONI</t>
  </si>
  <si>
    <t>ΑΚΡΟΔΡΥΑ (ΚΑΡΠΟΙ ΜΕ ΚΕΛΥΦΟΣ)21058</t>
  </si>
  <si>
    <t>ΑΜΥΓΔΑΛΑ AVIJOR</t>
  </si>
  <si>
    <t>ΑΚΡΟΔΡΥΑ (ΚΑΡΠΟΙ ΜΕ ΚΕΛΥΦΟΣ)21059</t>
  </si>
  <si>
    <t>ΑΜΥΓΔΑΛΑ ISABELONA</t>
  </si>
  <si>
    <t>ΑΚΡΟΔΡΥΑ (ΚΑΡΠΟΙ ΜΕ ΚΕΛΥΦΟΣ)21060</t>
  </si>
  <si>
    <t>ΑΜΥΓΔΑΛΑ PENTACEBAS CSIC (PENTA)</t>
  </si>
  <si>
    <t>ΑΚΡΟΔΡΥΑ (ΚΑΡΠΟΙ ΜΕ ΚΕΛΥΦΟΣ)21061</t>
  </si>
  <si>
    <t>ΑΜΥΓΔΑΛΑ CONSTANTI</t>
  </si>
  <si>
    <t>ΑΚΡΟΔΡΥΑ (ΚΑΡΠΟΙ ΜΕ ΚΕΛΥΦΟΣ)21062</t>
  </si>
  <si>
    <t>ΑΜΥΓΔΑΛΑ VIALFAS</t>
  </si>
  <si>
    <t>ΑΚΡΟΔΡΥΑ (ΚΑΡΠΟΙ ΜΕ ΚΕΛΥΦΟΣ)21063</t>
  </si>
  <si>
    <t>ΚΑΡΥΔΙΕΣ ΕΞΑΙΡΕΣΗ</t>
  </si>
  <si>
    <t>ΑΚΡΟΔΡΥΑ (ΚΑΡΠΟΙ ΜΕ ΚΕΛΥΦΟΣ)8125</t>
  </si>
  <si>
    <t>ΑΜΥΓΔΑΛΙΕΣ</t>
  </si>
  <si>
    <t>ΑΚΡΟΔΡΥΑ (ΚΑΡΠΟΙ ΜΕ ΚΕΛΥΦΟΣ)8128</t>
  </si>
  <si>
    <t>ΑΜΥΓΔΑΛΙΕΣ - ΑΛΚΥΩΝ</t>
  </si>
  <si>
    <t>ΑΚΡΟΔΡΥΑ (ΚΑΡΠΟΙ ΜΕ ΚΕΛΥΦΟΣ)8389</t>
  </si>
  <si>
    <t>ΑΜΥΓΔΑΛΙΕΣ - ΔΡΕΠΑΝΩΤΟ</t>
  </si>
  <si>
    <t>ΑΚΡΟΔΡΥΑ (ΚΑΡΠΟΙ ΜΕ ΚΕΛΥΦΟΣ)8390</t>
  </si>
  <si>
    <t>ΑΜΥΓΔΑΛΙΕΣ - ΣΥΜΜΕΤΡΙΚΗ</t>
  </si>
  <si>
    <t>ΑΚΡΟΔΡΥΑ (ΚΑΡΠΟΙ ΜΕ ΚΕΛΥΦΟΣ)8391</t>
  </si>
  <si>
    <t>ΑΜΥΓΔΑΛΙΕΣ - ΦΥΛΛΙΣ</t>
  </si>
  <si>
    <t>ΑΚΡΟΔΡΥΑ (ΚΑΡΠΟΙ ΜΕ ΚΕΛΥΦΟΣ)8392</t>
  </si>
  <si>
    <t>ΑΜΥΓΔΑΛΙΕΣ - ΣΙΑΤΙΣΤΗΣ</t>
  </si>
  <si>
    <t>ΑΚΡΟΔΡΥΑ (ΚΑΡΠΟΙ ΜΕ ΚΕΛΥΦΟΣ)8393</t>
  </si>
  <si>
    <t>ΑΜΥΓΔΑΛΙΕΣ - ΟΨΙΜΑΝΘΗ ΒΟΛΟΥ</t>
  </si>
  <si>
    <t>ΑΚΡΟΔΡΥΑ (ΚΑΡΠΟΙ ΜΕ ΚΕΛΥΦΟΣ)8394</t>
  </si>
  <si>
    <t>ΑΜΥΓΔΑΛΙΕΣ - ΛΗΜΝΟΥ ΚΑΡΥΔΑΤΑ</t>
  </si>
  <si>
    <t>ΑΚΡΟΔΡΥΑ (ΚΑΡΠΟΙ ΜΕ ΚΕΛΥΦΟΣ)8395</t>
  </si>
  <si>
    <t>ΑΜΥΓΔΑΛΙΕΣ - ΛΗΜΝΟΥ ΑΦΡΑΤΑ</t>
  </si>
  <si>
    <t>ΑΚΡΟΔΡΥΑ (ΚΑΡΠΟΙ ΜΕ ΚΕΛΥΦΟΣ)8396</t>
  </si>
  <si>
    <t>ΑΜΥΓΔΑΛΙΕΣ - ΧΙΟΥ ΑΦΡΑΤΑ</t>
  </si>
  <si>
    <t>ΑΚΡΟΔΡΥΑ (ΚΑΡΠΟΙ ΜΕ ΚΕΛΥΦΟΣ)8397</t>
  </si>
  <si>
    <t>ΦΙΣΤΙΚΙΕΣ ΑΙΓΙΝΗΣ</t>
  </si>
  <si>
    <t>ΑΚΡΟΔΡΥΑ (ΚΑΡΠΟΙ ΜΕ ΚΕΛΥΦΟΣ)8401</t>
  </si>
  <si>
    <t>ΦΟΥΝΤΟΥΚΕΣ</t>
  </si>
  <si>
    <t>ΑΚΡΟΔΡΥΑ (ΚΑΡΠΟΙ ΜΕ ΚΕΛΥΦΟΣ)8402</t>
  </si>
  <si>
    <t>ΧΑΡΟΥΠΙΕΣ ΓΙΑ ΚΑΡΠΟ</t>
  </si>
  <si>
    <t>ΑΚΡΟΔΡΥΑ (ΚΑΡΠΟΙ ΜΕ ΚΕΛΥΦΟΣ)8403</t>
  </si>
  <si>
    <t>ΧΑΡΟΥΠΙΕΣ ΕΞΑΙΡΕΣΗ</t>
  </si>
  <si>
    <t>ΑΚΡΟΔΡΥΑ (ΚΑΡΠΟΙ ΜΕ ΚΕΛΥΦΟΣ)8404</t>
  </si>
  <si>
    <t>ΚΑΡΥΔΙΑ ΓΙΑ ΞΗΡΟ ΚΑΡΠΟ</t>
  </si>
  <si>
    <t>ΑΚΡΟΔΡΥΑ (ΚΑΡΠΟΙ ΜΕ ΚΕΛΥΦΟΣ)8405</t>
  </si>
  <si>
    <t>ΑΜΠΕΛΩΝΕΣ ΓΙΑ ΕΠΙΤΡΑΠΕΖΙΑ ΧΡΗΣΗ</t>
  </si>
  <si>
    <t>ΧΛΩΡΕΣ</t>
  </si>
  <si>
    <t>ΑΜΠΕΛΩΝΕΣ ΓΙΑ ΕΠΙΤΡΑΠΕΖΙΑ ΧΡΗΣΗ11063</t>
  </si>
  <si>
    <t>36.3</t>
  </si>
  <si>
    <t>RED GLOBE</t>
  </si>
  <si>
    <t>ΑΜΠΕΛΩΝΕΣ ΓΙΑ ΕΠΙΤΡΑΠΕΖΙΑ ΧΡΗΣΗ11085</t>
  </si>
  <si>
    <t>ΡΟΖΑΚΙ ΔΙΠΛΗΣ ΧΡΗΣΗΣ</t>
  </si>
  <si>
    <t>ΑΜΠΕΛΩΝΕΣ ΓΙΑ ΕΠΙΤΡΑΠΕΖΙΑ ΧΡΗΣΗ11086</t>
  </si>
  <si>
    <t>ΑΕΤΟΝΥΧΙ ΑΣΠΡΟ</t>
  </si>
  <si>
    <t>ΑΜΠΕΛΩΝΕΣ ΓΙΑ ΕΠΙΤΡΑΠΕΖΙΑ ΧΡΗΣΗ21246</t>
  </si>
  <si>
    <t>ΡΟΖΑΚΙ (ΑΒΟΥΖ ΑΛΗ, ΚΕΡΙΝΟ)</t>
  </si>
  <si>
    <t>ΑΜΠΕΛΩΝΕΣ ΓΙΑ ΕΠΙΤΡΑΠΕΖΙΑ ΧΡΗΣΗ21247</t>
  </si>
  <si>
    <t>ΡΑΖΑΚΙ ΔΙΠΛΗΣ ΧΡΗΣΗΣ</t>
  </si>
  <si>
    <t>ΑΜΠΕΛΩΝΕΣ ΓΙΑ ΕΠΙΤΡΑΠΕΖΙΑ ΧΡΗΣΗ21248</t>
  </si>
  <si>
    <t>ΑΛΕΝΤΟ (ALEDO)</t>
  </si>
  <si>
    <t>ΑΜΠΕΛΩΝΕΣ ΓΙΑ ΕΠΙΤΡΑΠΕΖΙΑ ΧΡΗΣΗ21250</t>
  </si>
  <si>
    <t>ΑΥΓΟΥΛΑΤΟ (ΚΟΛΟΚΥΘΑΤΟ)</t>
  </si>
  <si>
    <t>ΑΜΠΕΛΩΝΕΣ ΓΙΑ ΕΠΙΤΡΑΠΕΖΙΑ ΧΡΗΣΗ21251</t>
  </si>
  <si>
    <t>ΒΙΚΤΩΡΙΑ (VICTORIA)</t>
  </si>
  <si>
    <t>ΑΜΠΕΛΩΝΕΣ ΓΙΑ ΕΠΙΤΡΑΠΕΖΙΑ ΧΡΗΣΗ21252</t>
  </si>
  <si>
    <t>ΓΚΟΛΝΤ (GOLD)</t>
  </si>
  <si>
    <t>ΑΜΠΕΛΩΝΕΣ ΓΙΑ ΕΠΙΤΡΑΠΕΖΙΑ ΧΡΗΣΗ21253</t>
  </si>
  <si>
    <t>ΕΛΛΑΣ</t>
  </si>
  <si>
    <t>ΑΜΠΕΛΩΝΕΣ ΓΙΑ ΕΠΙΤΡΑΠΕΖΙΑ ΧΡΗΣΗ21254</t>
  </si>
  <si>
    <t>ΘΕΣΣΑΛΟΝΙΚΗ</t>
  </si>
  <si>
    <t>ΑΜΠΕΛΩΝΕΣ ΓΙΑ ΕΠΙΤΡΑΠΕΖΙΑ ΧΡΗΣΗ21255</t>
  </si>
  <si>
    <t>ΙΤΑΛΙΑ (ITALIA)</t>
  </si>
  <si>
    <t>ΑΜΠΕΛΩΝΕΣ ΓΙΑ ΕΠΙΤΡΑΠΕΖΙΑ ΧΡΗΣΗ21256</t>
  </si>
  <si>
    <t>ΚΑΛΜΕΡΙΑ (CALMERIA)</t>
  </si>
  <si>
    <t>ΑΜΠΕΛΩΝΕΣ ΓΙΑ ΕΠΙΤΡΑΠΕΖΙΑ ΧΡΗΣΗ21257</t>
  </si>
  <si>
    <t>ΚΑΡΥΔΑΤΟ (ΕΠΙΤΡΑΠΕΖΙΑ)</t>
  </si>
  <si>
    <t>ΑΜΠΕΛΩΝΕΣ ΓΙΑ ΕΠΙΤΡΑΠΕΖΙΑ ΧΡΗΣΗ21258</t>
  </si>
  <si>
    <t>ΛΕΥΚΑΣ</t>
  </si>
  <si>
    <t>ΑΜΠΕΛΩΝΕΣ ΓΙΑ ΕΠΙΤΡΑΠΕΖΙΑ ΧΡΗΣΗ21259</t>
  </si>
  <si>
    <t>ΜΟΥΣΚΑ ΡΕΝ ΝΤΕ ΒΙΝΙ (ΒΑΣΙΛΙΣΣΑ, ΡΟΖΑΚΙ ΟΥΓΓΑΡΙΑΣ)</t>
  </si>
  <si>
    <t>ΑΜΠΕΛΩΝΕΣ ΓΙΑ ΕΠΙΤΡΑΠΕΖΙΑ ΧΡΗΣΗ21260</t>
  </si>
  <si>
    <t>ΟΨΙΜΟ ΕΔΕΣΣΗΣ (ΑΜΑΣΣΙ, ΚΑΡΑΤΖΟΒΑΣ, ΦΟΥΣΤΑΝΙ)</t>
  </si>
  <si>
    <t>ΑΜΠΕΛΩΝΕΣ ΓΙΑ ΕΠΙΤΡΑΠΕΖΙΑ ΧΡΗΣΗ21261</t>
  </si>
  <si>
    <t>ΟΨΙΜΟ ΕΔΕΣΣΗΣ Δ.Χ</t>
  </si>
  <si>
    <t>ΑΜΠΕΛΩΝΕΣ ΓΙΑ ΕΠΙΤΡΑΠΕΖΙΑ ΧΡΗΣΗ21262</t>
  </si>
  <si>
    <t>ΟΨΙΜΟ ΣΟΥΦΛΙΟΥ</t>
  </si>
  <si>
    <t>ΑΜΠΕΛΩΝΕΣ ΓΙΑ ΕΠΙΤΡΑΠΕΖΙΑ ΧΡΗΣΗ21263</t>
  </si>
  <si>
    <t>ΟΧΑΝΕΣ (OHANEZ)</t>
  </si>
  <si>
    <t>ΑΜΠΕΛΩΝΕΣ ΓΙΑ ΕΠΙΤΡΑΠΕΖΙΑ ΧΡΗΣΗ21265</t>
  </si>
  <si>
    <t>ΠΕΡΛΕΤ (PERLETTE)</t>
  </si>
  <si>
    <t>ΑΜΠΕΛΩΝΕΣ ΓΙΑ ΕΠΙΤΡΑΠΕΖΙΑ ΧΡΗΣΗ21266</t>
  </si>
  <si>
    <t>ΑΛΛΕΣ</t>
  </si>
  <si>
    <t>ΑΜΠΕΛΩΝΕΣ ΓΙΑ ΕΠΙΤΡΑΠΕΖΙΑ ΧΡΗΣΗ21268</t>
  </si>
  <si>
    <t>ΒΕΡΓΙΝΑ</t>
  </si>
  <si>
    <t>ΑΜΠΕΛΩΝΕΣ ΓΙΑ ΕΠΙΤΡΑΠΕΖΙΑ ΧΡΗΣΗ21269</t>
  </si>
  <si>
    <t>ΜΟΣΧΑΤΟ ΑΛΕΞΑΝΔΡΕΙΑΣ</t>
  </si>
  <si>
    <t>ΑΜΠΕΛΩΝΕΣ ΓΙΑ ΕΠΙΤΡΑΠΕΖΙΑ ΧΡΗΣΗ21270</t>
  </si>
  <si>
    <t>ΝΕΒΑΝΤΟ</t>
  </si>
  <si>
    <t>ΑΜΠΕΛΩΝΕΣ ΓΙΑ ΕΠΙΤΡΑΠΕΖΙΑ ΧΡΗΣΗ21271</t>
  </si>
  <si>
    <t>ΣΟΥΛΤΑΝΙΝΑ</t>
  </si>
  <si>
    <t>ΑΜΠΕΛΩΝΕΣ ΓΙΑ ΕΠΙΤΡΑΠΕΖΙΑ ΧΡΗΣΗ21272</t>
  </si>
  <si>
    <t>ΚΩΝΣΤΑΝΤΙΝΑ</t>
  </si>
  <si>
    <t>ΑΜΠΕΛΩΝΕΣ ΓΙΑ ΕΠΙΤΡΑΠΕΖΙΑ ΧΡΗΣΗ21274</t>
  </si>
  <si>
    <t>ΣΟΥΠΕΡΙΟΡ ΣΙΝΤΛΕΣ (SOUPERIOR SEEDLESS) B</t>
  </si>
  <si>
    <t>ΑΜΠΕΛΩΝΕΣ ΓΙΑ ΕΠΙΤΡΑΠΕΖΙΑ ΧΡΗΣΗ21278</t>
  </si>
  <si>
    <t>ΑΕΤΟΝΥΧΙ ΜΑΥΡΟ</t>
  </si>
  <si>
    <t>ΑΜΠΕΛΩΝΕΣ ΓΙΑ ΕΠΙΤΡΑΠΕΖΙΑ ΧΡΗΣΗ22246</t>
  </si>
  <si>
    <t>ΡΑΖΑΚΙ ΜΑΥΡΟ</t>
  </si>
  <si>
    <t>ΑΜΠΕΛΩΝΕΣ ΓΙΑ ΕΠΙΤΡΑΠΕΖΙΑ ΧΡΗΣΗ22247</t>
  </si>
  <si>
    <t>ΑΛΦΟΝΣ ΛΑΒΑΛΕ (ALHONSE LAVALLEE)</t>
  </si>
  <si>
    <t>ΑΜΠΕΛΩΝΕΣ ΓΙΑ ΕΠΙΤΡΑΠΕΖΙΑ ΧΡΗΣΗ22300</t>
  </si>
  <si>
    <t>ΙΘΑΚΗ</t>
  </si>
  <si>
    <t>ΑΜΠΕΛΩΝΕΣ ΓΙΑ ΕΠΙΤΡΑΠΕΖΙΑ ΧΡΗΣΗ22301</t>
  </si>
  <si>
    <t>ΜΟΣΧΑΤΟ ΑΜΒΟΥΡΓΟΥ</t>
  </si>
  <si>
    <t>ΑΜΠΕΛΩΝΕΣ ΓΙΑ ΕΠΙΤΡΑΠΕΖΙΑ ΧΡΗΣΗ22302</t>
  </si>
  <si>
    <t>ΜΟΣΧΑΤΟ ΑΜΒΟΥΡΓΟΥ ΔΙΠΛΗΣ ΧΡΗΣΗΣ</t>
  </si>
  <si>
    <t>ΑΜΠΕΛΩΝΕΣ ΓΙΑ ΕΠΙΤΡΑΠΕΖΙΑ ΧΡΗΣΗ22303</t>
  </si>
  <si>
    <t>ΠΕΛΛΑ</t>
  </si>
  <si>
    <t>ΑΜΠΕΛΩΝΕΣ ΓΙΑ ΕΠΙΤΡΑΠΕΖΙΑ ΧΡΗΣΗ22304</t>
  </si>
  <si>
    <t>ΑΤΤΙΚΗ</t>
  </si>
  <si>
    <t>ΑΜΠΕΛΩΝΕΣ ΓΙΑ ΕΠΙΤΡΑΠΕΖΙΑ ΧΡΗΣΗ22306</t>
  </si>
  <si>
    <t>ΑΟΥΡΟΡΑ</t>
  </si>
  <si>
    <t>ΑΜΠΕΛΩΝΕΣ ΓΙΑ ΕΠΙΤΡΑΠΕΖΙΑ ΧΡΗΣΗ22307</t>
  </si>
  <si>
    <t>ΠΕΡΛΟΝ</t>
  </si>
  <si>
    <t>ΑΜΠΕΛΩΝΕΣ ΓΙΑ ΕΠΙΤΡΑΠΕΖΙΑ ΧΡΗΣΗ22308</t>
  </si>
  <si>
    <t>ΚΑΡΝΤΙΝΑΛ (CARDINAL)</t>
  </si>
  <si>
    <t>ΑΜΠΕΛΩΝΕΣ ΓΙΑ ΕΠΙΤΡΑΠΕΖΙΑ ΧΡΗΣΗ23350</t>
  </si>
  <si>
    <t>ΣΙΔΕΡΙΤΗΣ</t>
  </si>
  <si>
    <t>ΑΜΠΕΛΩΝΕΣ ΓΙΑ ΕΠΙΤΡΑΠΕΖΙΑ ΧΡΗΣΗ23351</t>
  </si>
  <si>
    <t>ΣΙΔΕΡΙΤΗΣ Δ.Χ</t>
  </si>
  <si>
    <t>ΑΜΠΕΛΩΝΕΣ ΓΙΑ ΕΠΙΤΡΑΠΕΖΙΑ ΧΡΗΣΗ23352</t>
  </si>
  <si>
    <t>ΦΡΑΟΥΛΑ</t>
  </si>
  <si>
    <t>ΑΜΠΕΛΩΝΕΣ ΓΙΑ ΕΠΙΤΡΑΠΕΖΙΑ ΧΡΗΣΗ23353</t>
  </si>
  <si>
    <t>GRIMSON</t>
  </si>
  <si>
    <t>ΑΜΠΕΛΩΝΕΣ ΓΙΑ ΕΠΙΤΡΑΠΕΖΙΑ ΧΡΗΣΗ23356</t>
  </si>
  <si>
    <t>ARRAFIFTEEN B. (ARRA 15)</t>
  </si>
  <si>
    <t>ΑΜΠΕΛΩΝΕΣ ΓΙΑ ΕΠΙΤΡΑΠΕΖΙΑ ΧΡΗΣΗ36301</t>
  </si>
  <si>
    <t>ARRANINETEEN RS. (ARRA 19)</t>
  </si>
  <si>
    <t>ΑΜΠΕΛΩΝΕΣ ΓΙΑ ΕΠΙΤΡΑΠΕΖΙΑ ΧΡΗΣΗ36302</t>
  </si>
  <si>
    <t>ARRATWENTYEIGHT RS. (ARRA 28)</t>
  </si>
  <si>
    <t>ΑΜΠΕΛΩΝΕΣ ΓΙΑ ΕΠΙΤΡΑΠΕΖΙΑ ΧΡΗΣΗ36303</t>
  </si>
  <si>
    <t>ARRATHIRTHYTWO N. (ARRA 32)</t>
  </si>
  <si>
    <t>ΑΜΠΕΛΩΝΕΣ ΓΙΑ ΕΠΙΤΡΑΠΕΖΙΑ ΧΡΗΣΗ36304</t>
  </si>
  <si>
    <t>FLAME SEEDLESS</t>
  </si>
  <si>
    <t>ΑΜΠΕΛΩΝΕΣ ΓΙΑ ΕΠΙΤΡΑΠΕΖΙΑ ΧΡΗΣΗ36305</t>
  </si>
  <si>
    <t>BLACK MAGIC N</t>
  </si>
  <si>
    <t>ΑΜΠΕΛΩΝΕΣ ΓΙΑ ΕΠΙΤΡΑΠΕΖΙΑ ΧΡΗΣΗ36306</t>
  </si>
  <si>
    <t>ATTIKI</t>
  </si>
  <si>
    <t>ΑΜΠΕΛΩΝΕΣ ΓΙΑ ΕΠΙΤΡΑΠΕΖΙΑ ΧΡΗΣΗ36307</t>
  </si>
  <si>
    <t>RALLI SEEDLESS</t>
  </si>
  <si>
    <t>ΑΜΠΕΛΩΝΕΣ ΓΙΑ ΕΠΙΤΡΑΠΕΖΙΑ ΧΡΗΣΗ36308</t>
  </si>
  <si>
    <t>ARRATWENTYNINE RS. (ΑRRA 29)</t>
  </si>
  <si>
    <t>ΑΜΠΕΛΩΝΕΣ ΓΙΑ ΕΠΙΤΡΑΠΕΖΙΑ ΧΡΗΣΗ36309</t>
  </si>
  <si>
    <t>ARRATHIRTY B. (ARRA 30)</t>
  </si>
  <si>
    <t>ΑΜΠΕΛΩΝΕΣ ΓΙΑ ΕΠΙΤΡΑΠΕΖΙΑ ΧΡΗΣΗ36310</t>
  </si>
  <si>
    <t>IFG 68-175 Rs (SWEET CELEBRATION)</t>
  </si>
  <si>
    <t>ΑΜΠΕΛΩΝΕΣ ΓΙΑ ΕΠΙΤΡΑΠΕΖΙΑ ΧΡΗΣΗ36311</t>
  </si>
  <si>
    <t>IFG ONE N. (SWEET SURRENDER)</t>
  </si>
  <si>
    <t>ΑΜΠΕΛΩΝΕΣ ΓΙΑ ΕΠΙΤΡΑΠΕΖΙΑ ΧΡΗΣΗ36312</t>
  </si>
  <si>
    <t>IFG TWO B. (SWEET SUNSHINE)</t>
  </si>
  <si>
    <t>ΑΜΠΕΛΩΝΕΣ ΓΙΑ ΕΠΙΤΡΑΠΕΖΙΑ ΧΡΗΣΗ36313</t>
  </si>
  <si>
    <t>IFG FOUR Rs. (SWEET ROMANCE)</t>
  </si>
  <si>
    <t>ΑΜΠΕΛΩΝΕΣ ΓΙΑ ΕΠΙΤΡΑΠΕΖΙΑ ΧΡΗΣΗ36314</t>
  </si>
  <si>
    <t>IFG FIVE N. (SWEET JUBILEE)</t>
  </si>
  <si>
    <t>ΑΜΠΕΛΩΝΕΣ ΓΙΑ ΕΠΙΤΡΑΠΕΖΙΑ ΧΡΗΣΗ36315</t>
  </si>
  <si>
    <t>IFG IFG SIX N. (SWEET SAPPHIRE)</t>
  </si>
  <si>
    <t>ΑΜΠΕΛΩΝΕΣ ΓΙΑ ΕΠΙΤΡΑΠΕΖΙΑ ΧΡΗΣΗ36316</t>
  </si>
  <si>
    <t>IFG SEVEN B. (COTTON CANDY)</t>
  </si>
  <si>
    <t>ΑΜΠΕΛΩΝΕΣ ΓΙΑ ΕΠΙΤΡΑΠΕΖΙΑ ΧΡΗΣΗ36317</t>
  </si>
  <si>
    <t>IFG EIGHT N. (SWEET ENCHANTMENT)</t>
  </si>
  <si>
    <t>ΑΜΠΕΛΩΝΕΣ ΓΙΑ ΕΠΙΤΡΑΠΕΖΙΑ ΧΡΗΣΗ36318</t>
  </si>
  <si>
    <t>IFG NINE Rs. (JACK'S SALUTE)</t>
  </si>
  <si>
    <t>ΑΜΠΕΛΩΝΕΣ ΓΙΑ ΕΠΙΤΡΑΠΕΖΙΑ ΧΡΗΣΗ36319</t>
  </si>
  <si>
    <t>IFG TEN B. (SWEET GLOBE)</t>
  </si>
  <si>
    <t>ΑΜΠΕΛΩΝΕΣ ΓΙΑ ΕΠΙΤΡΑΠΕΖΙΑ ΧΡΗΣΗ36320</t>
  </si>
  <si>
    <t>IFG ELEVEN B. (SUGAR CRISP)</t>
  </si>
  <si>
    <t>ΑΜΠΕΛΩΝΕΣ ΓΙΑ ΕΠΙΤΡΑΠΕΖΙΑ ΧΡΗΣΗ36321</t>
  </si>
  <si>
    <t>IFG TWELVE N. (FUNNY FINGERS)</t>
  </si>
  <si>
    <t>ΑΜΠΕΛΩΝΕΣ ΓΙΑ ΕΠΙΤΡΑΠΕΖΙΑ ΧΡΗΣΗ36322</t>
  </si>
  <si>
    <t>IFG THIRTEEN N. (SWEET SECRETS)</t>
  </si>
  <si>
    <t>ΑΜΠΕΛΩΝΕΣ ΓΙΑ ΕΠΙΤΡΑΠΕΖΙΑ ΧΡΗΣΗ36323</t>
  </si>
  <si>
    <t>IFG FOURTEEN Rs. (SWEET MAYABELLE)</t>
  </si>
  <si>
    <t>ΑΜΠΕΛΩΝΕΣ ΓΙΑ ΕΠΙΤΡΑΠΕΖΙΑ ΧΡΗΣΗ36324</t>
  </si>
  <si>
    <t>IFG FIFTEEN N. (SWEET SURPRISE)</t>
  </si>
  <si>
    <t>ΑΜΠΕΛΩΝΕΣ ΓΙΑ ΕΠΙΤΡΑΠΕΖΙΑ ΧΡΗΣΗ36325</t>
  </si>
  <si>
    <t>IFG SIXTEEN N. (SWEET FAVORS)</t>
  </si>
  <si>
    <t>ΑΜΠΕΛΩΝΕΣ ΓΙΑ ΕΠΙΤΡΑΠΕΖΙΑ ΧΡΗΣΗ36326</t>
  </si>
  <si>
    <t>IFG SEVENTEEN N. (SWEET JOY)</t>
  </si>
  <si>
    <t>ΑΜΠΕΛΩΝΕΣ ΓΙΑ ΕΠΙΤΡΑΠΕΖΙΑ ΧΡΗΣΗ36327</t>
  </si>
  <si>
    <t>IFG EIGHTEEN Rs. (SWEET NECTAR)</t>
  </si>
  <si>
    <t>ΑΜΠΕΛΩΝΕΣ ΓΙΑ ΕΠΙΤΡΑΠΕΖΙΑ ΧΡΗΣΗ36328</t>
  </si>
  <si>
    <t>IFG NINETEEN Rs. (CANDY HEARTS)</t>
  </si>
  <si>
    <t>ΑΜΠΕΛΩΝΕΣ ΓΙΑ ΕΠΙΤΡΑΠΕΖΙΑ ΧΡΗΣΗ36329</t>
  </si>
  <si>
    <t>IFG TWENTY N. (CANDY CRUNCH)</t>
  </si>
  <si>
    <t>ΑΜΠΕΛΩΝΕΣ ΓΙΑ ΕΠΙΤΡΑΠΕΖΙΑ ΧΡΗΣΗ36330</t>
  </si>
  <si>
    <t>IFG TWENTY ONE Rs. (CANDY SNAPS)</t>
  </si>
  <si>
    <t>ΑΜΠΕΛΩΝΕΣ ΓΙΑ ΕΠΙΤΡΑΠΕΖΙΑ ΧΡΗΣΗ36331</t>
  </si>
  <si>
    <t>IFG TWENTY TWO N. (CANDY DREAMS)</t>
  </si>
  <si>
    <t>ΑΜΠΕΛΩΝΕΣ ΓΙΑ ΕΠΙΤΡΑΠΕΖΙΑ ΧΡΗΣΗ36332</t>
  </si>
  <si>
    <t>GRAPAES B (PRIME SEEDLESS)</t>
  </si>
  <si>
    <t>ΑΜΠΕΛΩΝΕΣ ΓΙΑ ΕΠΙΤΡΑΠΕΖΙΑ ΧΡΗΣΗ36333</t>
  </si>
  <si>
    <t>CARATI B.</t>
  </si>
  <si>
    <t>ΑΜΠΕΛΩΝΕΣ ΓΙΑ ΕΠΙΤΡΑΠΕΖΙΑ ΧΡΗΣΗ36334</t>
  </si>
  <si>
    <t>ACS V01 (PRISTINE)</t>
  </si>
  <si>
    <t>ΑΜΠΕΛΩΝΕΣ ΓΙΑ ΕΠΙΤΡΑΠΕΖΙΑ ΧΡΗΣΗ36335</t>
  </si>
  <si>
    <t>AGASI</t>
  </si>
  <si>
    <t>ΑΜΠΕΛΩΝΕΣ ΓΙΑ ΕΠΙΤΡΑΠΕΖΙΑ ΧΡΗΣΗ36336</t>
  </si>
  <si>
    <t>ΟΣΔΕ 2023 2024</t>
  </si>
  <si>
    <t>VARO 203</t>
  </si>
  <si>
    <t>ΑΜΠΕΛΩΝΕΣ ΓΙΑ ΕΠΙΤΡΑΠΕΖΙΑ ΧΡΗΣΗ36337</t>
  </si>
  <si>
    <t>TZUR</t>
  </si>
  <si>
    <t>ΑΜΠΕΛΩΝΕΣ ΓΙΑ ΕΠΙΤΡΑΠΕΖΙΑ ΧΡΗΣΗ36338</t>
  </si>
  <si>
    <t>STAR LIGHT</t>
  </si>
  <si>
    <t>ΑΜΠΕΛΩΝΕΣ ΓΙΑ ΕΠΙΤΡΑΠΕΖΙΑ ΧΡΗΣΗ36339</t>
  </si>
  <si>
    <t>ΣΟΥΠΕΡΙΟΡ ΣΙΝΤΛΕΣ (SOUPERIOR SEEDLESS) ΥΔΡΟΠΟΝΙΚΗ ΚΑΛΛΙΕΡΓΕΙΑ</t>
  </si>
  <si>
    <t>ΑΜΠΕΛΩΝΕΣ ΓΙΑ ΕΠΙΤΡΑΠΕΖΙΑ ΧΡΗΣΗ36340</t>
  </si>
  <si>
    <t>ΑΜΠΕΛΩΝΕΣ ΓΙΑ ΕΠΙΤΡΑΠΕΖΙΑ ΧΡΗΣΗ-ΛΟΙΠΕΣ</t>
  </si>
  <si>
    <t>ΑΜΠΕΛΩΝΕΣ ΓΙΑ ΕΠΙΤΡΑΠΕΖΙΑ ΧΡΗΣΗ8202</t>
  </si>
  <si>
    <t>ΣΟΥΛΤΑΝΙΝΑ ΨΙΛΟΡΩΓΗ</t>
  </si>
  <si>
    <t>ΑΜΠΕΛΩΝΕΣ ΓΙΑ ΕΠΙΤΡΑΠΕΖΙΑ ΧΡΗΣΗ931503</t>
  </si>
  <si>
    <t>ΑΜΠΕΛΩΝΕΣ ΓΙΑ ΠΑΡΑΓΩΓΗ ΟΙΝΟΥ</t>
  </si>
  <si>
    <t>ΑΗΔΑΝΙ ΑΣΠΡΟ</t>
  </si>
  <si>
    <t>ΑΜΠΕΛΩΝΕΣ ΓΙΑ ΠΑΡΑΓΩΓΗ ΟΙΝΟΥ11001</t>
  </si>
  <si>
    <t>36.2</t>
  </si>
  <si>
    <t>ΑΘΗΡΙ</t>
  </si>
  <si>
    <t>ΑΜΠΕΛΩΝΕΣ ΓΙΑ ΠΑΡΑΓΩΓΗ ΟΙΝΟΥ11002</t>
  </si>
  <si>
    <t>ΒΟΛΙΤΣΑ ΑΣΠΡΗ</t>
  </si>
  <si>
    <t>ΑΜΠΕΛΩΝΕΣ ΓΙΑ ΠΑΡΑΓΩΓΗ ΟΙΝΟΥ11003</t>
  </si>
  <si>
    <t>ΚΟΡΙΘΙ</t>
  </si>
  <si>
    <t>ΑΜΠΕΛΩΝΕΣ ΓΙΑ ΠΑΡΑΓΩΓΗ ΟΙΝΟΥ11004</t>
  </si>
  <si>
    <t>ΠΕΤΡΟΚΟΡΙΘΟ ΑΣΠΡΟ</t>
  </si>
  <si>
    <t>ΑΜΠΕΛΩΝΕΣ ΓΙΑ ΠΑΡΑΓΩΓΗ ΟΙΝΟΥ11005</t>
  </si>
  <si>
    <t>ΠΟΤΑΜΙΣΙΟ ΑΣΠΡΟ Η ΠΟΤΑΜΙΣΙ</t>
  </si>
  <si>
    <t>ΑΜΠΕΛΩΝΕΣ ΓΙΑ ΠΑΡΑΓΩΓΗ ΟΙΝΟΥ11006</t>
  </si>
  <si>
    <t>ΑΓΟΥΜΑΣΤΟΣ</t>
  </si>
  <si>
    <t>ΑΜΠΕΛΩΝΕΣ ΓΙΑ ΠΑΡΑΓΩΓΗ ΟΙΝΟΥ11007</t>
  </si>
  <si>
    <t>ΑΡΙΝΘΟ (ARINTHO)</t>
  </si>
  <si>
    <t>ΑΜΠΕΛΩΝΕΣ ΓΙΑ ΠΑΡΑΓΩΓΗ ΟΙΝΟΥ11008</t>
  </si>
  <si>
    <t>ΑΡΚΑΔΙΝΟ</t>
  </si>
  <si>
    <t>ΑΜΠΕΛΩΝΕΣ ΓΙΑ ΠΑΡΑΓΩΓΗ ΟΙΝΟΥ11009</t>
  </si>
  <si>
    <t>ΑΣΠΡΟΒΕΡΤΖΑΜΟ</t>
  </si>
  <si>
    <t>ΑΜΠΕΛΩΝΕΣ ΓΙΑ ΠΑΡΑΓΩΓΗ ΟΙΝΟΥ11010</t>
  </si>
  <si>
    <t>ΣΑΝΤΑΜΕΡΙΑΝΑ, ΑΣΠΡΟΥΔΑ ΠΑΤΡΩΝ</t>
  </si>
  <si>
    <t>ΑΜΠΕΛΩΝΕΣ ΓΙΑ ΠΑΡΑΓΩΓΗ ΟΙΝΟΥ11011</t>
  </si>
  <si>
    <t>ΑΣΠΡΟΥΔΕΣ</t>
  </si>
  <si>
    <t>ΑΜΠΕΛΩΝΕΣ ΓΙΑ ΠΑΡΑΓΩΓΗ ΟΙΝΟΥ11012</t>
  </si>
  <si>
    <t>ΑΣΥΡΤΙΚΟ</t>
  </si>
  <si>
    <t>ΑΜΠΕΛΩΝΕΣ ΓΙΑ ΠΑΡΑΓΩΓΗ ΟΙΝΟΥ11013</t>
  </si>
  <si>
    <t>ΒΑΛΑΙΤΗΣ</t>
  </si>
  <si>
    <t>ΑΜΠΕΛΩΝΕΣ ΓΙΑ ΠΑΡΑΓΩΓΗ ΟΙΝΟΥ11014</t>
  </si>
  <si>
    <t>ΒΑΡΔΕΑ</t>
  </si>
  <si>
    <t>ΑΜΠΕΛΩΝΕΣ ΓΙΑ ΠΑΡΑΓΩΓΗ ΟΙΝΟΥ11015</t>
  </si>
  <si>
    <t>ΒΗΛΑΝΑ</t>
  </si>
  <si>
    <t>ΑΜΠΕΛΩΝΕΣ ΓΙΑ ΠΑΡΑΓΩΓΗ ΟΙΝΟΥ11016</t>
  </si>
  <si>
    <t>ΒΙΔΙΑΝΟ</t>
  </si>
  <si>
    <t>ΑΜΠΕΛΩΝΕΣ ΓΙΑ ΠΑΡΑΓΩΓΗ ΟΙΝΟΥ11017</t>
  </si>
  <si>
    <t>ΒΟΣΣΟΣ</t>
  </si>
  <si>
    <t>ΑΜΠΕΛΩΝΕΣ ΓΙΑ ΠΑΡΑΓΩΓΗ ΟΙΝΟΥ11018</t>
  </si>
  <si>
    <t>ΓΚΡΕΝΑΣ ΜΠΛΑΝΚ</t>
  </si>
  <si>
    <t>ΑΜΠΕΛΩΝΕΣ ΓΙΑ ΠΑΡΑΓΩΓΗ ΟΙΝΟΥ11019</t>
  </si>
  <si>
    <t>ΓΛΥΚΑΣΠΟΥΔΑ, ΓΛΥΚΕΡΗΘΡΑ</t>
  </si>
  <si>
    <t>ΑΜΠΕΛΩΝΕΣ ΓΙΑ ΠΑΡΑΓΩΓΗ ΟΙΝΟΥ11020</t>
  </si>
  <si>
    <t>ΓΟΥΣΤΟΛΙΔΙ (ΑΥΓΟΥΣΤΙΑΤΗΣ, ΑΥΓΟΥΣΤΟΛΙΔΙ, ΒΟΣΤΙΛΙΔΑΣ)</t>
  </si>
  <si>
    <t>ΑΜΠΕΛΩΝΕΣ ΓΙΑ ΠΑΡΑΓΩΓΗ ΟΙΝΟΥ11021</t>
  </si>
  <si>
    <t>ΔΑΦΝΙΑ</t>
  </si>
  <si>
    <t>ΑΜΠΕΛΩΝΕΣ ΓΙΑ ΠΑΡΑΓΩΓΗ ΟΙΝΟΥ11022</t>
  </si>
  <si>
    <t>ΔΕΡΜΑΤΑΣ</t>
  </si>
  <si>
    <t>ΑΜΠΕΛΩΝΕΣ ΓΙΑ ΠΑΡΑΓΩΓΗ ΟΙΝΟΥ11023</t>
  </si>
  <si>
    <t>ΖΟΥΜΙΑΤΙΚΟ (ΔΑΜΙΑΤΗΣ)</t>
  </si>
  <si>
    <t>ΑΜΠΕΛΩΝΕΣ ΓΙΑ ΠΑΡΑΓΩΓΗ ΟΙΝΟΥ11024</t>
  </si>
  <si>
    <t>ΘΡΑΨΑΘΗΡΙ</t>
  </si>
  <si>
    <t>ΑΜΠΕΛΩΝΕΣ ΓΙΑ ΠΑΡΑΓΩΓΗ ΟΙΝΟΥ11025</t>
  </si>
  <si>
    <t>ΚΑΚΟΤΡΥΓΗΣ</t>
  </si>
  <si>
    <t>ΑΜΠΕΛΩΝΕΣ ΓΙΑ ΠΑΡΑΓΩΓΗ ΟΙΝΟΥ11026</t>
  </si>
  <si>
    <t>ΚΑΡΥΔΑΤΟ (ΟΙΝΟΠΟΙΙΑΣ)</t>
  </si>
  <si>
    <t>ΑΜΠΕΛΩΝΕΣ ΓΙΑ ΠΑΡΑΓΩΓΗ ΟΙΝΟΥ11027</t>
  </si>
  <si>
    <t>ΚΟΖΑΝΙΤΗΣ</t>
  </si>
  <si>
    <t>ΑΜΠΕΛΩΝΕΣ ΓΙΑ ΠΑΡΑΓΩΓΗ ΟΙΝΟΥ11028</t>
  </si>
  <si>
    <t>ΚΟΝΤΟΚΛΑΔΙ</t>
  </si>
  <si>
    <t>ΑΜΠΕΛΩΝΕΣ ΓΙΑ ΠΑΡΑΓΩΓΗ ΟΙΝΟΥ11029</t>
  </si>
  <si>
    <t>ΚΟΥΚΟΥΛΙ</t>
  </si>
  <si>
    <t>ΑΜΠΕΛΩΝΕΣ ΓΙΑ ΠΑΡΑΓΩΓΗ ΟΙΝΟΥ11030</t>
  </si>
  <si>
    <t>ΚΟΥΜΙΩΤΗΣ</t>
  </si>
  <si>
    <t>ΑΜΠΕΛΩΝΕΣ ΓΙΑ ΠΑΡΑΓΩΓΗ ΟΙΝΟΥ11031</t>
  </si>
  <si>
    <t>ΛΑΘΟΡΘΙ</t>
  </si>
  <si>
    <t>ΑΜΠΕΛΩΝΕΣ ΓΙΑ ΠΑΡΑΓΩΓΗ ΟΙΝΟΥ11032</t>
  </si>
  <si>
    <t>ΜΑΛΑΓΟΥΖΙΑ</t>
  </si>
  <si>
    <t>ΑΜΠΕΛΩΝΕΣ ΓΙΑ ΠΑΡΑΓΩΓΗ ΟΙΝΟΥ11033</t>
  </si>
  <si>
    <t>ΜΑΛΒΑΖΙΑ</t>
  </si>
  <si>
    <t>ΑΜΠΕΛΩΝΕΣ ΓΙΑ ΠΑΡΑΓΩΓΗ ΟΙΝΟΥ11034</t>
  </si>
  <si>
    <t>ΜΟΝΕΜΒΑΣΙΑ</t>
  </si>
  <si>
    <t>ΑΜΠΕΛΩΝΕΣ ΓΙΑ ΠΑΡΑΓΩΓΗ ΟΙΝΟΥ11035</t>
  </si>
  <si>
    <t>ΑΜΠΕΛΩΝΕΣ ΓΙΑ ΠΑΡΑΓΩΓΗ ΟΙΝΟΥ11036</t>
  </si>
  <si>
    <t>ΜΟΣΧΑΤΟ ΑΛΕΞΑΝΔΡΕΙΑΣ Δ.Χ</t>
  </si>
  <si>
    <t>ΑΜΠΕΛΩΝΕΣ ΓΙΑ ΠΑΡΑΓΩΓΗ ΟΙΝΟΥ11037</t>
  </si>
  <si>
    <t>ΜΟΣΧΑΤΟ ΑΣΠΡΟ</t>
  </si>
  <si>
    <t>ΑΜΠΕΛΩΝΕΣ ΓΙΑ ΠΑΡΑΓΩΓΗ ΟΙΝΟΥ11038</t>
  </si>
  <si>
    <t>ΜΟΣΧΑΤΟ ΣΠΙΝΑΣ</t>
  </si>
  <si>
    <t>ΑΜΠΕΛΩΝΕΣ ΓΙΑ ΠΑΡΑΓΩΓΗ ΟΙΝΟΥ11039</t>
  </si>
  <si>
    <t>ΜΟΣΧΑΤΟ ΤΡΑΝΙ</t>
  </si>
  <si>
    <t>ΑΜΠΕΛΩΝΕΣ ΓΙΑ ΠΑΡΑΓΩΓΗ ΟΙΝΟΥ11040</t>
  </si>
  <si>
    <t>ΜΠΑΤΙΚΙ</t>
  </si>
  <si>
    <t>ΑΜΠΕΛΩΝΕΣ ΓΙΑ ΠΑΡΑΓΩΓΗ ΟΙΝΟΥ11041</t>
  </si>
  <si>
    <t>ΜΥΓΔΑΛΙ</t>
  </si>
  <si>
    <t>ΑΜΠΕΛΩΝΕΣ ΓΙΑ ΠΑΡΑΓΩΓΗ ΟΙΝΟΥ11042</t>
  </si>
  <si>
    <t>ΜΑΚΑΜΠΕ (MACCABEU)</t>
  </si>
  <si>
    <t>ΑΜΠΕΛΩΝΕΣ ΓΙΑ ΠΑΡΑΓΩΓΗ ΟΙΝΟΥ11043</t>
  </si>
  <si>
    <t>ΝΤΕΜΠΙΝΑ</t>
  </si>
  <si>
    <t>ΑΜΠΕΛΩΝΕΣ ΓΙΑ ΠΑΡΑΓΩΓΗ ΟΙΝΟΥ11044</t>
  </si>
  <si>
    <t>ΞΕΡΟΜΑΧΑΙΡΟΥΔΑ</t>
  </si>
  <si>
    <t>ΑΜΠΕΛΩΝΕΣ ΓΙΑ ΠΑΡΑΓΩΓΗ ΟΙΝΟΥ11045</t>
  </si>
  <si>
    <t>ΠΑΥΛΟΣ</t>
  </si>
  <si>
    <t>ΑΜΠΕΛΩΝΕΣ ΓΙΑ ΠΑΡΑΓΩΓΗ ΟΙΝΟΥ11046</t>
  </si>
  <si>
    <t>ΠΕΤΡΟΥΛΙΑΝΟΣ</t>
  </si>
  <si>
    <t>ΑΜΠΕΛΩΝΕΣ ΓΙΑ ΠΑΡΑΓΩΓΗ ΟΙΝΟΥ11047</t>
  </si>
  <si>
    <t>ΠΛΥΤΟ</t>
  </si>
  <si>
    <t>ΑΜΠΕΛΩΝΕΣ ΓΙΑ ΠΑΡΑΓΩΓΗ ΟΙΝΟΥ11048</t>
  </si>
  <si>
    <t>PΙΣΛΙΝΓΚ Β (RIESLING)</t>
  </si>
  <si>
    <t>ΑΜΠΕΛΩΝΕΣ ΓΙΑ ΠΑΡΑΓΩΓΗ ΟΙΝΟΥ11049</t>
  </si>
  <si>
    <t>ΡΟΜΠΟΛΑ</t>
  </si>
  <si>
    <t>ΑΜΠΕΛΩΝΕΣ ΓΙΑ ΠΑΡΑΓΩΓΗ ΟΙΝΟΥ11050</t>
  </si>
  <si>
    <t>ΣΑΒΒΑΤΙΑΝΟ (ΔΟΥΜΠΡΑΙΝΑ ΑΣΠΡΗ, ΚΟΥΝΤΟΥΡ ΑΣΠΡΗ, ΣΑΚ)</t>
  </si>
  <si>
    <t>ΑΜΠΕΛΩΝΕΣ ΓΙΑ ΠΑΡΑΓΩΓΗ ΟΙΝΟΥ11051</t>
  </si>
  <si>
    <t>ΣΑΡΝΤΟΝΕ (CHARDONNAY)</t>
  </si>
  <si>
    <t>ΑΜΠΕΛΩΝΕΣ ΓΙΑ ΠΑΡΑΓΩΓΗ ΟΙΝΟΥ11052</t>
  </si>
  <si>
    <t>ΣΕΜΙΓΙΟΝ (SEMILLON)</t>
  </si>
  <si>
    <t>ΑΜΠΕΛΩΝΕΣ ΓΙΑ ΠΑΡΑΓΩΓΗ ΟΙΝΟΥ11053</t>
  </si>
  <si>
    <t>ΣΚΙΑΔΟΠΟΥΛΟ</t>
  </si>
  <si>
    <t>ΑΜΠΕΛΩΝΕΣ ΓΙΑ ΠΑΡΑΓΩΓΗ ΟΙΝΟΥ11054</t>
  </si>
  <si>
    <t>ΣΥΛΒΑΝΕΡ (SYLVANER)</t>
  </si>
  <si>
    <t>ΑΜΠΕΛΩΝΕΣ ΓΙΑ ΠΑΡΑΓΩΓΗ ΟΙΝΟΥ11055</t>
  </si>
  <si>
    <t>ΣΥΛΒΑΝΕΡ ΒΕΡ (SYLVANER VERT)</t>
  </si>
  <si>
    <t>ΑΜΠΕΛΩΝΕΣ ΓΙΑ ΠΑΡΑΓΩΓΗ ΟΙΝΟΥ11056</t>
  </si>
  <si>
    <t>ΣΩΒΙΝΙΟΝ ΜΠΛΑΝΚ (SAUVIGNON BLANC)</t>
  </si>
  <si>
    <t>ΑΜΠΕΛΩΝΕΣ ΓΙΑ ΠΑΡΑΓΩΓΗ ΟΙΝΟΥ11057</t>
  </si>
  <si>
    <t>ΚΟΥΡΟΥΤΑΧΤΑΣ, ΤΑΧΤΑΣ</t>
  </si>
  <si>
    <t>ΑΜΠΕΛΩΝΕΣ ΓΙΑ ΠΑΡΑΓΩΓΗ ΟΙΝΟΥ11058</t>
  </si>
  <si>
    <t>ΤΣΑΟΥΣΙ</t>
  </si>
  <si>
    <t>ΑΜΠΕΛΩΝΕΣ ΓΙΑ ΠΑΡΑΓΩΓΗ ΟΙΝΟΥ11059</t>
  </si>
  <si>
    <t>ΤΣΑΟΥΣΙ ΔΙΠΛΗΣ ΧΡΗΣΗΣ</t>
  </si>
  <si>
    <t>ΑΜΠΕΛΩΝΕΣ ΓΙΑ ΠΑΡΑΓΩΓΗ ΟΙΝΟΥ11060</t>
  </si>
  <si>
    <t>ΤΡΑΜΙΝΕΡ (ΣΑΒΑΓΚΡΕΝ)</t>
  </si>
  <si>
    <t>ΑΜΠΕΛΩΝΕΣ ΓΙΑ ΠΑΡΑΓΩΓΗ ΟΙΝΟΥ11061</t>
  </si>
  <si>
    <t>ΦΟΛ ΜΠΛΑΝΣ (FOLLE BLANCHE)</t>
  </si>
  <si>
    <t>ΑΜΠΕΛΩΝΕΣ ΓΙΑ ΠΑΡΑΓΩΓΗ ΟΙΝΟΥ11062</t>
  </si>
  <si>
    <t>ΑΜΠΕΛΩΝΕΣ ΓΙΑ ΠΑΡΑΓΩΓΗ ΟΙΝΟΥ11063</t>
  </si>
  <si>
    <t>ΥΝΙ ΜΠΛΑΝ (UGNI BLANC)</t>
  </si>
  <si>
    <t>ΑΜΠΕΛΩΝΕΣ ΓΙΑ ΠΑΡΑΓΩΓΗ ΟΙΝΟΥ11064</t>
  </si>
  <si>
    <t>ΑΜΠΕΛΩΝΕΣ ΓΙΑ ΠΑΡΑΓΩΓΗ ΟΙΝΟΥ11065</t>
  </si>
  <si>
    <t>ΑΛΙΓΚΟΤΕ</t>
  </si>
  <si>
    <t>ΑΜΠΕΛΩΝΕΣ ΓΙΑ ΠΑΡΑΓΩΓΗ ΟΙΝΟΥ11066</t>
  </si>
  <si>
    <t>ΒΙΟΝΕ</t>
  </si>
  <si>
    <t>ΑΜΠΕΛΩΝΕΣ ΓΙΑ ΠΑΡΑΓΩΓΗ ΟΙΝΟΥ11067</t>
  </si>
  <si>
    <t>ΖΑΚΥΝΘΙΝΟ</t>
  </si>
  <si>
    <t>ΑΜΠΕΛΩΝΕΣ ΓΙΑ ΠΑΡΑΓΩΓΗ ΟΙΝΟΥ11068</t>
  </si>
  <si>
    <t>ΜΑΛΒΑΖΙΑ ΑΡΩΜΑΤΙΚΗ</t>
  </si>
  <si>
    <t>ΑΜΠΕΛΩΝΕΣ ΓΙΑ ΠΑΡΑΓΩΓΗ ΟΙΝΟΥ11069</t>
  </si>
  <si>
    <t>ΜΑΛΒΑΖΙΑ ΛΟΥΝΓΚΑ</t>
  </si>
  <si>
    <t>ΑΜΠΕΛΩΝΕΣ ΓΙΑ ΠΑΡΑΓΩΓΗ ΟΙΝΟΥ11070</t>
  </si>
  <si>
    <t>ΜΑΛΒΑΖΙΑ ΙΣΤΡΙΑΝΑ</t>
  </si>
  <si>
    <t>ΑΜΠΕΛΩΝΕΣ ΓΙΑ ΠΑΡΑΓΩΓΗ ΟΙΝΟΥ11071</t>
  </si>
  <si>
    <t>ΜΟΥΡΒΕΡΝΤΡ</t>
  </si>
  <si>
    <t>ΑΜΠΕΛΩΝΕΣ ΓΙΑ ΠΑΡΑΓΩΓΗ ΟΙΝΟΥ11072</t>
  </si>
  <si>
    <t>ΜΟΣΧΑΤΕΛΛΑ</t>
  </si>
  <si>
    <t>ΑΜΠΕΛΩΝΕΣ ΓΙΑ ΠΑΡΑΓΩΓΗ ΟΙΝΟΥ11073</t>
  </si>
  <si>
    <t>ΟΨΙΜΟΣ ΣΟΥΦΛΙΟΥ</t>
  </si>
  <si>
    <t>ΑΜΠΕΛΩΝΕΣ ΓΙΑ ΠΑΡΑΓΩΓΗ ΟΙΝΟΥ11075</t>
  </si>
  <si>
    <t>ΠΡΙΚΝΑΔΙ</t>
  </si>
  <si>
    <t>ΑΜΠΕΛΩΝΕΣ ΓΙΑ ΠΑΡΑΓΩΓΗ ΟΙΝΟΥ11076</t>
  </si>
  <si>
    <t>ΡΟΖΑΚΙ</t>
  </si>
  <si>
    <t>ΑΜΠΕΛΩΝΕΣ ΓΙΑ ΠΑΡΑΓΩΓΗ ΟΙΝΟΥ11077</t>
  </si>
  <si>
    <t>ΑΜΠΕΛΩΝΕΣ ΓΙΑ ΠΑΡΑΓΩΓΗ ΟΙΝΟΥ11078</t>
  </si>
  <si>
    <t>ΣΚΥΛΟΚΛΗΜΑ Β</t>
  </si>
  <si>
    <t>ΑΜΠΕΛΩΝΕΣ ΓΙΑ ΠΑΡΑΓΩΓΗ ΟΙΝΟΥ11079</t>
  </si>
  <si>
    <t>MALVASIA BIANCA DI CANDIA B</t>
  </si>
  <si>
    <t>ΑΜΠΕΛΩΝΕΣ ΓΙΑ ΠΑΡΑΓΩΓΗ ΟΙΝΟΥ11080</t>
  </si>
  <si>
    <t>ΑΜΠΕΛΩΝΕΣ ΓΙΑ ΠΑΡΑΓΩΓΗ ΟΙΝΟΥ11085</t>
  </si>
  <si>
    <t>ΑΜΠΕΛΩΝΕΣ ΓΙΑ ΠΑΡΑΓΩΓΗ ΟΙΝΟΥ11086</t>
  </si>
  <si>
    <t>ΣΚΛΑΒΑ</t>
  </si>
  <si>
    <t>ΑΜΠΕΛΩΝΕΣ ΓΙΑ ΠΑΡΑΓΩΓΗ ΟΙΝΟΥ11096</t>
  </si>
  <si>
    <t>ΑΗΔΑΝΙ ΜΑΥΡΟ</t>
  </si>
  <si>
    <t>ΑΜΠΕΛΩΝΕΣ ΓΙΑ ΠΑΡΑΓΩΓΗ ΟΙΝΟΥ12001</t>
  </si>
  <si>
    <t>ΑΘΗΡΙ ΜΑΥΡΟ</t>
  </si>
  <si>
    <t>ΑΜΠΕΛΩΝΕΣ ΓΙΑ ΠΑΡΑΓΩΓΗ ΟΙΝΟΥ12002</t>
  </si>
  <si>
    <t>ΒΟΛΙΤΣΑ ΜΑΥΡΗ</t>
  </si>
  <si>
    <t>ΑΜΠΕΛΩΝΕΣ ΓΙΑ ΠΑΡΑΓΩΓΗ ΟΙΝΟΥ12003</t>
  </si>
  <si>
    <t>ΚΟΡΙΘΙ ΜΑΥΡΟ</t>
  </si>
  <si>
    <t>ΑΜΠΕΛΩΝΕΣ ΓΙΑ ΠΑΡΑΓΩΓΗ ΟΙΝΟΥ12004</t>
  </si>
  <si>
    <t>ΠΕΤΡΟΚΟΡΙΘΟ ΜΑΥΡΟ</t>
  </si>
  <si>
    <t>ΑΜΠΕΛΩΝΕΣ ΓΙΑ ΠΑΡΑΓΩΓΗ ΟΙΝΟΥ12005</t>
  </si>
  <si>
    <t>ΠΟΤΑΜΙΣΙΟ</t>
  </si>
  <si>
    <t>ΑΜΠΕΛΩΝΕΣ ΓΙΑ ΠΑΡΑΓΩΓΗ ΟΙΝΟΥ12006</t>
  </si>
  <si>
    <t>ΑΓΙΑΝΝΙΩΤΙΚΟ</t>
  </si>
  <si>
    <t>ΑΜΠΕΛΩΝΕΣ ΓΙΑ ΠΑΡΑΓΩΓΗ ΟΙΝΟΥ12100</t>
  </si>
  <si>
    <t>ΑΓΙΩΡΓΙΤΙΚΟ (ΜΑΥΡΟ ΝΕΜΕΑΣ)</t>
  </si>
  <si>
    <t>ΑΜΠΕΛΩΝΕΣ ΓΙΑ ΠΑΡΑΓΩΓΗ ΟΙΝΟΥ12101</t>
  </si>
  <si>
    <t>ΑΛΙΚΑΝΤΕ ΜΠΟΥΣΕ (ALICANTE BOUSCHET)</t>
  </si>
  <si>
    <t>ΑΜΠΕΛΩΝΕΣ ΓΙΑ ΠΑΡΑΓΩΓΗ ΟΙΝΟΥ12102</t>
  </si>
  <si>
    <t>ΑΜΦΙΟΝΙ</t>
  </si>
  <si>
    <t>ΑΜΠΕΛΩΝΕΣ ΓΙΑ ΠΑΡΑΓΩΓΗ ΟΙΝΟΥ12103</t>
  </si>
  <si>
    <t>ΑΡΑΚΛΙΝΟΣ</t>
  </si>
  <si>
    <t>ΑΜΠΕΛΩΝΕΣ ΓΙΑ ΠΑΡΑΓΩΓΗ ΟΙΝΟΥ12104</t>
  </si>
  <si>
    <t>ΑΡΜΕΛΕΤΟΥΣΑ</t>
  </si>
  <si>
    <t>ΑΜΠΕΛΩΝΕΣ ΓΙΑ ΠΑΡΑΓΩΓΗ ΟΙΝΟΥ12105</t>
  </si>
  <si>
    <t>ΑΥΓΟΥΣΤΙΑΤΗΣ</t>
  </si>
  <si>
    <t>ΑΜΠΕΛΩΝΕΣ ΓΙΑ ΠΑΡΑΓΩΓΗ ΟΙΝΟΥ12106</t>
  </si>
  <si>
    <t>ΒΑΦΤΡΑ, ΒΑΨΑ</t>
  </si>
  <si>
    <t>ΑΜΠΕΛΩΝΕΣ ΓΙΑ ΠΑΡΑΓΩΓΗ ΟΙΝΟΥ12107</t>
  </si>
  <si>
    <t>ΒΕΡΤΖΑΜΙ</t>
  </si>
  <si>
    <t>ΑΜΠΕΛΩΝΕΣ ΓΙΑ ΠΑΡΑΓΩΓΗ ΟΙΝΟΥ12108</t>
  </si>
  <si>
    <t>ΒΙΟΛΕΝΤΟ</t>
  </si>
  <si>
    <t>ΑΜΠΕΛΩΝΕΣ ΓΙΑ ΠΑΡΑΓΩΓΗ ΟΙΝΟΥ12109</t>
  </si>
  <si>
    <t>ΒΛΑΧΙΚΟ</t>
  </si>
  <si>
    <t>ΑΜΠΕΛΩΝΕΣ ΓΙΑ ΠΑΡΑΓΩΓΗ ΟΙΝΟΥ12110</t>
  </si>
  <si>
    <t>ΒΟΙΔΟΜΑΤΗΣ</t>
  </si>
  <si>
    <t>ΑΜΠΕΛΩΝΕΣ ΓΙΑ ΠΑΡΑΓΩΓΗ ΟΙΝΟΥ12111</t>
  </si>
  <si>
    <t>ΒΡΑΔΙΑΝΟ</t>
  </si>
  <si>
    <t>ΑΜΠΕΛΩΝΕΣ ΓΙΑ ΠΑΡΑΓΩΓΗ ΟΙΝΟΥ12112</t>
  </si>
  <si>
    <t>ΓΚΡΕΝΑΣ ΡΟΥΖ (GRENACHE ROUGE)</t>
  </si>
  <si>
    <t>ΑΜΠΕΛΩΝΕΣ ΓΙΑ ΠΑΡΑΓΩΓΗ ΟΙΝΟΥ12113</t>
  </si>
  <si>
    <t>ΓΚΡΑΝ ΝΟΥΑΡ (GRAND NOIR)</t>
  </si>
  <si>
    <t>ΑΜΠΕΛΩΝΕΣ ΓΙΑ ΠΑΡΑΓΩΓΗ ΟΙΝΟΥ12114</t>
  </si>
  <si>
    <t>ΓΛΥΚΟΠΑΤΙ</t>
  </si>
  <si>
    <t>ΑΜΠΕΛΩΝΕΣ ΓΙΑ ΠΑΡΑΓΩΓΗ ΟΙΝΟΥ12115</t>
  </si>
  <si>
    <t>ΔΙΜΗΝΙΤΗΣ</t>
  </si>
  <si>
    <t>ΑΜΠΕΛΩΝΕΣ ΓΙΑ ΠΑΡΑΓΩΓΗ ΟΙΝΟΥ12116</t>
  </si>
  <si>
    <t>ΔΙΧΑΛΙ</t>
  </si>
  <si>
    <t>ΑΜΠΕΛΩΝΕΣ ΓΙΑ ΠΑΡΑΓΩΓΗ ΟΙΝΟΥ12117</t>
  </si>
  <si>
    <t>ΖΑΛΟΒΙΤΙΚΟ</t>
  </si>
  <si>
    <t>ΑΜΠΕΛΩΝΕΣ ΓΙΑ ΠΑΡΑΓΩΓΗ ΟΙΝΟΥ12118</t>
  </si>
  <si>
    <t>ΘΕΙΑΚΟ</t>
  </si>
  <si>
    <t>ΑΜΠΕΛΩΝΕΣ ΓΙΑ ΠΑΡΑΓΩΓΗ ΟΙΝΟΥ12119</t>
  </si>
  <si>
    <t>ΙΖΑΜΠΕΛΑ (ΤΖΩΡΤΖΙΔΙΚΑ)</t>
  </si>
  <si>
    <t>ΑΜΠΕΛΩΝΕΣ ΓΙΑ ΠΑΡΑΓΩΓΗ ΟΙΝΟΥ12120</t>
  </si>
  <si>
    <t>ΚΑΜΠΕΡΝΕ ΣΩΒΙΝΙΟΝ (CABERNET SAUVIGNON)</t>
  </si>
  <si>
    <t>ΑΜΠΕΛΩΝΕΣ ΓΙΑ ΠΑΡΑΓΩΓΗ ΟΙΝΟΥ12121</t>
  </si>
  <si>
    <t>ΚΑΜΠΕΡΝΕ ΦΡΑΝ (CABERNET FRANK)</t>
  </si>
  <si>
    <t>ΑΜΠΕΛΩΝΕΣ ΓΙΑ ΠΑΡΑΓΩΓΗ ΟΙΝΟΥ12122</t>
  </si>
  <si>
    <t>ΚΑΡΑΜΠΡΑΙΜΗΣ</t>
  </si>
  <si>
    <t>ΑΜΠΕΛΩΝΕΣ ΓΙΑ ΠΑΡΑΓΩΓΗ ΟΙΝΟΥ12123</t>
  </si>
  <si>
    <t>ΚΑΡΙΝΙΑΝ (CARIGNAN)</t>
  </si>
  <si>
    <t>ΑΜΠΕΛΩΝΕΣ ΓΙΑ ΠΑΡΑΓΩΓΗ ΟΙΝΟΥ12124</t>
  </si>
  <si>
    <t>ΚΑΡΤΣΙΩΤΗΣ</t>
  </si>
  <si>
    <t>ΑΜΠΕΛΩΝΕΣ ΓΙΑ ΠΑΡΑΓΩΓΗ ΟΙΝΟΥ12125</t>
  </si>
  <si>
    <t>ΚΑΣΤΕΛΙΩΤΙΚΟ</t>
  </si>
  <si>
    <t>ΑΜΠΕΛΩΝΕΣ ΓΙΑ ΠΑΡΑΓΩΓΗ ΟΙΝΟΥ12126</t>
  </si>
  <si>
    <t>ΚΑΤΣΑΚΟΥΛΙΑΣ</t>
  </si>
  <si>
    <t>ΑΜΠΕΛΩΝΕΣ ΓΙΑ ΠΑΡΑΓΩΓΗ ΟΙΝΟΥ12127</t>
  </si>
  <si>
    <t>ΚΟΚΚΙΝΟΒΟΣΤΙΤΣΑ</t>
  </si>
  <si>
    <t>ΑΜΠΕΛΩΝΕΣ ΓΙΑ ΠΑΡΑΓΩΓΗ ΟΙΝΟΥ12128</t>
  </si>
  <si>
    <t>ΚΟΚΚΙΝΟΡΟΜΠΟΛΑ</t>
  </si>
  <si>
    <t>ΑΜΠΕΛΩΝΕΣ ΓΙΑ ΠΑΡΑΓΩΓΗ ΟΙΝΟΥ12129</t>
  </si>
  <si>
    <t>ΚΟΛΛΙΝΙΑΤΙΚΟ</t>
  </si>
  <si>
    <t>ΑΜΠΕΛΩΝΕΣ ΓΙΑ ΠΑΡΑΓΩΓΗ ΟΙΝΟΥ12130</t>
  </si>
  <si>
    <t>ΚΟΡΙΘΙ ΚΟΚΚΙΝΟ</t>
  </si>
  <si>
    <t>ΑΜΠΕΛΩΝΕΣ ΓΙΑ ΠΑΡΑΓΩΓΗ ΟΙΝΟΥ12132</t>
  </si>
  <si>
    <t>ΚΟΡΙΤΣΑΝΟΣ</t>
  </si>
  <si>
    <t>ΑΜΠΕΛΩΝΕΣ ΓΙΑ ΠΑΡΑΓΩΓΗ ΟΙΝΟΥ12133</t>
  </si>
  <si>
    <t>ΚΟΡΦΙΑΤΗΣ</t>
  </si>
  <si>
    <t>ΑΜΠΕΛΩΝΕΣ ΓΙΑ ΠΑΡΑΓΩΓΗ ΟΙΝΟΥ12134</t>
  </si>
  <si>
    <t>ΚΟΤΣΙΦΑΛΙ</t>
  </si>
  <si>
    <t>ΑΜΠΕΛΩΝΕΣ ΓΙΑ ΠΑΡΑΓΩΓΗ ΟΙΝΟΥ12135</t>
  </si>
  <si>
    <t>ΚΟΥΜΑΡΙ</t>
  </si>
  <si>
    <t>ΑΜΠΕΛΩΝΕΣ ΓΙΑ ΠΑΡΑΓΩΓΗ ΟΙΝΟΥ12136</t>
  </si>
  <si>
    <t>ΚΟΥΜΙΝΑΤΟ</t>
  </si>
  <si>
    <t>ΑΜΠΕΛΩΝΕΣ ΓΙΑ ΠΑΡΑΓΩΓΗ ΟΙΝΟΥ12137</t>
  </si>
  <si>
    <t>ΚΡΑΣΑΤΟ</t>
  </si>
  <si>
    <t>ΑΜΠΕΛΩΝΕΣ ΓΙΑ ΠΑΡΑΓΩΓΗ ΟΙΝΟΥ12139</t>
  </si>
  <si>
    <t>ΚΥΔΩΝΙΤΣΑ</t>
  </si>
  <si>
    <t>ΑΜΠΕΛΩΝΕΣ ΓΙΑ ΠΑΡΑΓΩΓΗ ΟΙΝΟΥ12140</t>
  </si>
  <si>
    <t>ΛΑΔΙΚΙΝΟ</t>
  </si>
  <si>
    <t>ΑΜΠΕΛΩΝΕΣ ΓΙΑ ΠΑΡΑΓΩΓΗ ΟΙΝΟΥ12141</t>
  </si>
  <si>
    <t>ΛΗΜΝΙΟ (ΚΑΛΑΜΠΑΚΙ, ΝΤΟΥΡΟΥ ΚΑΡΑ)</t>
  </si>
  <si>
    <t>ΑΜΠΕΛΩΝΕΣ ΓΙΑ ΠΑΡΑΓΩΓΗ ΟΙΝΟΥ12142</t>
  </si>
  <si>
    <t>ΛΙΑΤΙΚΟ</t>
  </si>
  <si>
    <t>ΑΜΠΕΛΩΝΕΣ ΓΙΑ ΠΑΡΑΓΩΓΗ ΟΙΝΟΥ12143</t>
  </si>
  <si>
    <t>ΜΑΝΔΗΛΑΡΙΑ (ΑΜΟΡΓΙΑΝΟ, ΔΟΥΜΠΡ ΜΑΥΡΗ, ΚΟΥΝΤ ΜΑΥΡΗ)</t>
  </si>
  <si>
    <t>ΑΜΠΕΛΩΝΕΣ ΓΙΑ ΠΑΡΑΓΩΓΗ ΟΙΝΟΥ12144</t>
  </si>
  <si>
    <t>ΜΑΥΡΟΔΑΦΝΗ</t>
  </si>
  <si>
    <t>ΑΜΠΕΛΩΝΕΣ ΓΙΑ ΠΑΡΑΓΩΓΗ ΟΙΝΟΥ12145</t>
  </si>
  <si>
    <t>ΜΑΥΡΟΚΟΡΑΚΑΣ</t>
  </si>
  <si>
    <t>ΑΜΠΕΛΩΝΕΣ ΓΙΑ ΠΑΡΑΓΩΓΗ ΟΙΝΟΥ12146</t>
  </si>
  <si>
    <t>ΜΑΥΡΟ ΑΡΑΧΩΒΑΣ</t>
  </si>
  <si>
    <t>ΑΜΠΕΛΩΝΕΣ ΓΙΑ ΠΑΡΑΓΩΓΗ ΟΙΝΟΥ12147</t>
  </si>
  <si>
    <t>ΜΑΥΡΟ ΚΑΛΑΒΡΥΤΙΝΟ</t>
  </si>
  <si>
    <t>ΑΜΠΕΛΩΝΕΣ ΓΙΑ ΠΑΡΑΓΩΓΗ ΟΙΝΟΥ12148</t>
  </si>
  <si>
    <t>ΜΑΥΡΟ ΜΕΣΣΕΝΙΚΟΛΑ</t>
  </si>
  <si>
    <t>ΑΜΠΕΛΩΝΕΣ ΓΙΑ ΠΑΡΑΓΩΓΗ ΟΙΝΟΥ12149</t>
  </si>
  <si>
    <t>ΜΑΥΡΟΥΔΙ</t>
  </si>
  <si>
    <t>ΑΜΠΕΛΩΝΕΣ ΓΙΑ ΠΑΡΑΓΩΓΗ ΟΙΝΟΥ12150</t>
  </si>
  <si>
    <t>ΜΕΡΛΟ (MERLOT)</t>
  </si>
  <si>
    <t>ΑΜΠΕΛΩΝΕΣ ΓΙΑ ΠΑΡΑΓΩΓΗ ΟΙΝΟΥ12151</t>
  </si>
  <si>
    <t>ΜΟΣΧΟΜΑΥΡΟ (ΜΟΣΧΟΓΚΑΛΤΣΟ)</t>
  </si>
  <si>
    <t>ΑΜΠΕΛΩΝΕΣ ΓΙΑ ΠΑΡΑΓΩΓΗ ΟΙΝΟΥ12152</t>
  </si>
  <si>
    <t>ΜΟΥΔΙΑΤΙΚΟ</t>
  </si>
  <si>
    <t>ΑΜΠΕΛΩΝΕΣ ΓΙΑ ΠΑΡΑΓΩΓΗ ΟΙΝΟΥ12153</t>
  </si>
  <si>
    <t>ΜΟΥΧΤΑΡΟ</t>
  </si>
  <si>
    <t>ΑΜΠΕΛΩΝΕΣ ΓΙΑ ΠΑΡΑΓΩΓΗ ΟΙΝΟΥ12154</t>
  </si>
  <si>
    <t>ΜΠΑΡΜΠΕΡΑ (BARBERA)</t>
  </si>
  <si>
    <t>ΑΜΠΕΛΩΝΕΣ ΓΙΑ ΠΑΡΑΓΩΓΗ ΟΙΝΟΥ12155</t>
  </si>
  <si>
    <t>ΜΠΕΚΑΡΙ</t>
  </si>
  <si>
    <t>ΑΜΠΕΛΩΝΕΣ ΓΙΑ ΠΑΡΑΓΩΓΗ ΟΙΝΟΥ12156</t>
  </si>
  <si>
    <t>ΝΕΓΚΟΣΚΑ</t>
  </si>
  <si>
    <t>ΑΜΠΕΛΩΝΕΣ ΓΙΑ ΠΑΡΑΓΩΓΗ ΟΙΝΟΥ12157</t>
  </si>
  <si>
    <t>ΜΑΥΡΟ ΝΑΟΥΣΑΣ, ΞΥΝΟΚΑΛΤΣΟ, ΞΥΝΟΜΑΥΡΟ, ΠΟΠΟΛΚΑ</t>
  </si>
  <si>
    <t>ΑΜΠΕΛΩΝΕΣ ΓΙΑ ΠΑΡΑΓΩΓΗ ΟΙΝΟΥ12159</t>
  </si>
  <si>
    <t>ΠΑΜΙΔΙ</t>
  </si>
  <si>
    <t>ΑΜΠΕΛΩΝΕΣ ΓΙΑ ΠΑΡΑΓΩΓΗ ΟΙΝΟΥ12160</t>
  </si>
  <si>
    <t>ΠΑΠΑΔΙΚΟ</t>
  </si>
  <si>
    <t>ΑΜΠΕΛΩΝΕΣ ΓΙΑ ΠΑΡΑΓΩΓΗ ΟΙΝΟΥ12161</t>
  </si>
  <si>
    <t>ΠΑΠΑΣ ΚΑΡΑ</t>
  </si>
  <si>
    <t>ΑΜΠΕΛΩΝΕΣ ΓΙΑ ΠΑΡΑΓΩΓΗ ΟΙΝΟΥ12162</t>
  </si>
  <si>
    <t>ΠΑΤΡΙΝΟ</t>
  </si>
  <si>
    <t>ΑΜΠΕΛΩΝΕΣ ΓΙΑ ΠΑΡΑΓΩΓΗ ΟΙΝΟΥ12163</t>
  </si>
  <si>
    <t>ΠΙΝΟ ΝΟΥΑΡ (PINOT NOIR)</t>
  </si>
  <si>
    <t>ΑΜΠΕΛΩΝΕΣ ΓΙΑ ΠΑΡΑΓΩΓΗ ΟΙΝΟΥ12164</t>
  </si>
  <si>
    <t>ΠΡΟΒΑΤΙΝΑ</t>
  </si>
  <si>
    <t>ΑΜΠΕΛΩΝΕΣ ΓΙΑ ΠΑΡΑΓΩΓΗ ΟΙΝΟΥ12165</t>
  </si>
  <si>
    <t>ΡΕΦΟΣΚΟ</t>
  </si>
  <si>
    <t>ΑΜΠΕΛΩΝΕΣ ΓΙΑ ΠΑΡΑΓΩΓΗ ΟΙΝΟΥ12166</t>
  </si>
  <si>
    <t>ΡΗΤΙΝΟ</t>
  </si>
  <si>
    <t>ΑΜΠΕΛΩΝΕΣ ΓΙΑ ΠΑΡΑΓΩΓΗ ΟΙΝΟΥ12167</t>
  </si>
  <si>
    <t>ΡΟΥΣΣΑΙΤΗΣ</t>
  </si>
  <si>
    <t>ΑΜΠΕΛΩΝΕΣ ΓΙΑ ΠΑΡΑΓΩΓΗ ΟΙΝΟΥ12168</t>
  </si>
  <si>
    <t>ΡΩΜΕΙΚΟ</t>
  </si>
  <si>
    <t>ΑΜΠΕΛΩΝΕΣ ΓΙΑ ΠΑΡΑΓΩΓΗ ΟΙΝΟΥ12169</t>
  </si>
  <si>
    <t>ΣΕΝΣΩ (CINSAUT)</t>
  </si>
  <si>
    <t>ΑΜΠΕΛΩΝΕΣ ΓΙΑ ΠΑΡΑΓΩΓΗ ΟΙΝΟΥ12170</t>
  </si>
  <si>
    <t>ΣΕΝ ΛΩΡΑΝ</t>
  </si>
  <si>
    <t>ΑΜΠΕΛΩΝΕΣ ΓΙΑ ΠΑΡΑΓΩΓΗ ΟΙΝΟΥ12171</t>
  </si>
  <si>
    <t>ΣΕΡΙΦΙΩΤΙΚΟ</t>
  </si>
  <si>
    <t>ΑΜΠΕΛΩΝΕΣ ΓΙΑ ΠΑΡΑΓΩΓΗ ΟΙΝΟΥ12172</t>
  </si>
  <si>
    <t>ΣΕΦΚΑ</t>
  </si>
  <si>
    <t>ΑΜΠΕΛΩΝΕΣ ΓΙΑ ΠΑΡΑΓΩΓΗ ΟΙΝΟΥ12173</t>
  </si>
  <si>
    <t>ΣΚΟΠΕΛΙΤΙΚΟ</t>
  </si>
  <si>
    <t>ΑΜΠΕΛΩΝΕΣ ΓΙΑ ΠΑΡΑΓΩΓΗ ΟΙΝΟΥ12174</t>
  </si>
  <si>
    <t>ΣΚΥΛΟΠΝΙΚΤΗΣ Ν (ΣΚΥΛΟΚΛΙΜΑ)</t>
  </si>
  <si>
    <t>ΑΜΠΕΛΩΝΕΣ ΓΙΑ ΠΑΡΑΓΩΓΗ ΟΙΝΟΥ12175</t>
  </si>
  <si>
    <t>ΑΜΠΕΛΑΚΙΩΤΙΚΟ, ΣΤΑΥΡΩΤΟ</t>
  </si>
  <si>
    <t>ΑΜΠΕΛΩΝΕΣ ΓΙΑ ΠΑΡΑΓΩΓΗ ΟΙΝΟΥ12176</t>
  </si>
  <si>
    <t>ΣΥΚΙΩΤΗΣ</t>
  </si>
  <si>
    <t>ΑΜΠΕΛΩΝΕΣ ΓΙΑ ΠΑΡΑΓΩΓΗ ΟΙΝΟΥ12177</t>
  </si>
  <si>
    <t>ΣΥΡΑΧ (SYRAH)</t>
  </si>
  <si>
    <t>ΑΜΠΕΛΩΝΕΣ ΓΙΑ ΠΑΡΑΓΩΓΗ ΟΙΝΟΥ12178</t>
  </si>
  <si>
    <t>ΤΕΜΠΡΑΝΙΛΟ (TEMPRANILLO)</t>
  </si>
  <si>
    <t>ΑΜΠΕΛΩΝΕΣ ΓΙΑ ΠΑΡΑΓΩΓΗ ΟΙΝΟΥ12179</t>
  </si>
  <si>
    <t>ΤΟΥΡΚΟΠΟΥΛΑ</t>
  </si>
  <si>
    <t>ΑΜΠΕΛΩΝΕΣ ΓΙΑ ΠΑΡΑΓΩΓΗ ΟΙΝΟΥ12180</t>
  </si>
  <si>
    <t>ΤΣΑΡΔΑΝΑ</t>
  </si>
  <si>
    <t>ΑΜΠΕΛΩΝΕΣ ΓΙΑ ΠΑΡΑΓΩΓΗ ΟΙΝΟΥ12181</t>
  </si>
  <si>
    <t>ΦΕΙΔΙΑ</t>
  </si>
  <si>
    <t>ΑΜΠΕΛΩΝΕΣ ΓΙΑ ΠΑΡΑΓΩΓΗ ΟΙΝΟΥ12182</t>
  </si>
  <si>
    <t>ΦΩΚΙΑΝΟ</t>
  </si>
  <si>
    <t>ΑΜΠΕΛΩΝΕΣ ΓΙΑ ΠΑΡΑΓΩΓΗ ΟΙΝΟΥ12183</t>
  </si>
  <si>
    <t>ΧΟΝΔΡΟΜΑΥΡΟ</t>
  </si>
  <si>
    <t>ΑΜΠΕΛΩΝΕΣ ΓΙΑ ΠΑΡΑΓΩΓΗ ΟΙΝΟΥ12184</t>
  </si>
  <si>
    <t>ΧΙΩΤΙΚΟ ΚΡΑΣΕΡΟ</t>
  </si>
  <si>
    <t>ΑΜΠΕΛΩΝΕΣ ΓΙΑ ΠΑΡΑΓΩΓΗ ΟΙΝΟΥ12185</t>
  </si>
  <si>
    <t>ΨΙΛΟΜΑΥΡΟ</t>
  </si>
  <si>
    <t>ΑΜΠΕΛΩΝΕΣ ΓΙΑ ΠΑΡΑΓΩΓΗ ΟΙΝΟΥ12186</t>
  </si>
  <si>
    <t>ΨΙΛΟΜΑΥΡΟ ΚΑΛΑΒΡΥΤΩΝ</t>
  </si>
  <si>
    <t>ΑΜΠΕΛΩΝΕΣ ΓΙΑ ΠΑΡΑΓΩΓΗ ΟΙΝΟΥ12187</t>
  </si>
  <si>
    <t>ΓΚΑΜΕ (GAMAY)</t>
  </si>
  <si>
    <t>ΑΜΠΕΛΩΝΕΣ ΓΙΑ ΠΑΡΑΓΩΓΗ ΟΙΝΟΥ12189</t>
  </si>
  <si>
    <t>ΚΟΡΙΝΘΙΑΚΗ</t>
  </si>
  <si>
    <t>ΑΜΠΕΛΩΝΕΣ ΓΙΑ ΠΑΡΑΓΩΓΗ ΟΙΝΟΥ12190</t>
  </si>
  <si>
    <t>ΑΜΠΕΛΩΝΕΣ ΓΙΑ ΠΑΡΑΓΩΓΗ ΟΙΝΟΥ12191</t>
  </si>
  <si>
    <t>ΜΟΥΡΒΕΝΤΡ</t>
  </si>
  <si>
    <t>ΑΜΠΕΛΩΝΕΣ ΓΙΑ ΠΑΡΑΓΩΓΗ ΟΙΝΟΥ12192</t>
  </si>
  <si>
    <t>ΛΗΜΝΙΩΝΑ</t>
  </si>
  <si>
    <t>ΑΜΠΕΛΩΝΕΣ ΓΙΑ ΠΑΡΑΓΩΓΗ ΟΙΝΟΥ12193</t>
  </si>
  <si>
    <t>ΜΠΕΓΛΕΡΙ</t>
  </si>
  <si>
    <t>ΑΜΠΕΛΩΝΕΣ ΓΙΑ ΠΑΡΑΓΩΓΗ ΟΙΝΟΥ12195</t>
  </si>
  <si>
    <t>ΚΟΤΣΙΦΩΛΙΑΤΙΚΟ</t>
  </si>
  <si>
    <t>ΑΜΠΕΛΩΝΕΣ ΓΙΑ ΠΑΡΑΓΩΓΗ ΟΙΝΟΥ12197</t>
  </si>
  <si>
    <t>ΚΟΥΤΣΟΥΜΠΕΛΙ</t>
  </si>
  <si>
    <t>ΑΜΠΕΛΩΝΕΣ ΓΙΑ ΠΑΡΑΓΩΓΗ ΟΙΝΟΥ13222</t>
  </si>
  <si>
    <t>ΜΟΣΧΟΦΙΛΕΡΟ</t>
  </si>
  <si>
    <t>ΑΜΠΕΛΩΝΕΣ ΓΙΑ ΠΑΡΑΓΩΓΗ ΟΙΝΟΥ13223</t>
  </si>
  <si>
    <t>ΡΟΔΙΤΗΣ (ΑΛΕΠΟΥ)</t>
  </si>
  <si>
    <t>ΑΜΠΕΛΩΝΕΣ ΓΙΑ ΠΑΡΑΓΩΓΗ ΟΙΝΟΥ13224</t>
  </si>
  <si>
    <t>ΦΙΛΕΡΙ</t>
  </si>
  <si>
    <t>ΑΜΠΕΛΩΝΕΣ ΓΙΑ ΠΑΡΑΓΩΓΗ ΟΙΝΟΥ13225</t>
  </si>
  <si>
    <t>ΑΜΠΕΛΩΝΕΣ ΓΙΑ ΠΑΡΑΓΩΓΗ ΟΙΝΟΥ13228</t>
  </si>
  <si>
    <t>ΑΜΠΕΛΩΝΕΣ ΓΙΑ ΠΑΡΑΓΩΓΗ ΟΙΝΟΥ21246</t>
  </si>
  <si>
    <t>ΑΜΠΕΛΩΝΕΣ ΓΙΑ ΠΑΡΑΓΩΓΗ ΟΙΝΟΥ21247</t>
  </si>
  <si>
    <t>ΑΜΠΕΛΩΝΕΣ ΓΙΑ ΠΑΡΑΓΩΓΗ ΟΙΝΟΥ21248</t>
  </si>
  <si>
    <t>ΑΜΠΕΛΩΝΕΣ ΓΙΑ ΠΑΡΑΓΩΓΗ ΟΙΝΟΥ21251</t>
  </si>
  <si>
    <t>ΑΜΠΕΛΩΝΕΣ ΓΙΑ ΠΑΡΑΓΩΓΗ ΟΙΝΟΥ21252</t>
  </si>
  <si>
    <t>ΑΜΠΕΛΩΝΕΣ ΓΙΑ ΠΑΡΑΓΩΓΗ ΟΙΝΟΥ21253</t>
  </si>
  <si>
    <t>ΑΜΠΕΛΩΝΕΣ ΓΙΑ ΠΑΡΑΓΩΓΗ ΟΙΝΟΥ21254</t>
  </si>
  <si>
    <t>ΑΜΠΕΛΩΝΕΣ ΓΙΑ ΠΑΡΑΓΩΓΗ ΟΙΝΟΥ21255</t>
  </si>
  <si>
    <t>ΑΜΠΕΛΩΝΕΣ ΓΙΑ ΠΑΡΑΓΩΓΗ ΟΙΝΟΥ21256</t>
  </si>
  <si>
    <t>ΑΜΠΕΛΩΝΕΣ ΓΙΑ ΠΑΡΑΓΩΓΗ ΟΙΝΟΥ21257</t>
  </si>
  <si>
    <t>ΑΜΠΕΛΩΝΕΣ ΓΙΑ ΠΑΡΑΓΩΓΗ ΟΙΝΟΥ21258</t>
  </si>
  <si>
    <t>ΑΜΠΕΛΩΝΕΣ ΓΙΑ ΠΑΡΑΓΩΓΗ ΟΙΝΟΥ21261</t>
  </si>
  <si>
    <t>ΑΜΠΕΛΩΝΕΣ ΓΙΑ ΠΑΡΑΓΩΓΗ ΟΙΝΟΥ21262</t>
  </si>
  <si>
    <t>ΑΜΠΕΛΩΝΕΣ ΓΙΑ ΠΑΡΑΓΩΓΗ ΟΙΝΟΥ21266</t>
  </si>
  <si>
    <t>ΑΜΠΕΛΩΝΕΣ ΓΙΑ ΠΑΡΑΓΩΓΗ ΟΙΝΟΥ21269</t>
  </si>
  <si>
    <t>ΑΜΠΕΛΩΝΕΣ ΓΙΑ ΠΑΡΑΓΩΓΗ ΟΙΝΟΥ21270</t>
  </si>
  <si>
    <t>ΑΜΠΕΛΩΝΕΣ ΓΙΑ ΠΑΡΑΓΩΓΗ ΟΙΝΟΥ21271</t>
  </si>
  <si>
    <t>ΑΜΠΕΛΩΝΕΣ ΓΙΑ ΠΑΡΑΓΩΓΗ ΟΙΝΟΥ21274</t>
  </si>
  <si>
    <t>ΑΜΠΕΛΩΝΕΣ ΓΙΑ ΠΑΡΑΓΩΓΗ ΟΙΝΟΥ21278</t>
  </si>
  <si>
    <t>ΑΜΠΕΛΩΝΕΣ ΓΙΑ ΠΑΡΑΓΩΓΗ ΟΙΝΟΥ22246</t>
  </si>
  <si>
    <t>ΑΜΠΕΛΩΝΕΣ ΓΙΑ ΠΑΡΑΓΩΓΗ ΟΙΝΟΥ22247</t>
  </si>
  <si>
    <t>ΑΜΠΕΛΩΝΕΣ ΓΙΑ ΠΑΡΑΓΩΓΗ ΟΙΝΟΥ22300</t>
  </si>
  <si>
    <t>ΑΜΠΕΛΩΝΕΣ ΓΙΑ ΠΑΡΑΓΩΓΗ ΟΙΝΟΥ22302</t>
  </si>
  <si>
    <t>ΑΜΠΕΛΩΝΕΣ ΓΙΑ ΠΑΡΑΓΩΓΗ ΟΙΝΟΥ22303</t>
  </si>
  <si>
    <t>ΑΜΠΕΛΩΝΕΣ ΓΙΑ ΠΑΡΑΓΩΓΗ ΟΙΝΟΥ22306</t>
  </si>
  <si>
    <t>ΑΜΠΕΛΩΝΕΣ ΓΙΑ ΠΑΡΑΓΩΓΗ ΟΙΝΟΥ22308</t>
  </si>
  <si>
    <t>ΑΜΠΕΛΩΝΕΣ ΓΙΑ ΠΑΡΑΓΩΓΗ ΟΙΝΟΥ23350</t>
  </si>
  <si>
    <t>ΑΜΠΕΛΩΝΕΣ ΓΙΑ ΠΑΡΑΓΩΓΗ ΟΙΝΟΥ23352</t>
  </si>
  <si>
    <t>ΑΜΠΕΛΩΝΕΣ ΓΙΑ ΠΑΡΑΓΩΓΗ ΟΙΝΟΥ23353</t>
  </si>
  <si>
    <t>ΑΜΠΕΛΩΝΕΣ ΓΙΑ ΠΑΡΑΓΩΓΗ ΟΙΝΟΥ23355</t>
  </si>
  <si>
    <t>ΣΟΥΛΤΑΝΙΝΑ Δ.Χ</t>
  </si>
  <si>
    <t>ΑΜΠΕΛΩΝΕΣ ΓΙΑ ΠΑΡΑΓΩΓΗ ΟΙΝΟΥ31501</t>
  </si>
  <si>
    <t>ΣΟΥΛΤΑΝΙΝΑ Τ.Χ</t>
  </si>
  <si>
    <t>ΑΜΠΕΛΩΝΕΣ ΓΙΑ ΠΑΡΑΓΩΓΗ ΟΙΝΟΥ31502</t>
  </si>
  <si>
    <t>ΚΟΡΙΝΘΙΑΚΗ Δ.Χ</t>
  </si>
  <si>
    <t>ΑΜΠΕΛΩΝΕΣ ΓΙΑ ΠΑΡΑΓΩΓΗ ΟΙΝΟΥ32511</t>
  </si>
  <si>
    <t>ΤΣΑΠΟΥΡΝΟ Ν</t>
  </si>
  <si>
    <t>ΑΜΠΕΛΩΝΕΣ ΓΙΑ ΠΑΡΑΓΩΓΗ ΟΙΝΟΥ362001</t>
  </si>
  <si>
    <t>AGLIANICO N</t>
  </si>
  <si>
    <t>ΑΜΠΕΛΩΝΕΣ ΓΙΑ ΠΑΡΑΓΩΓΗ ΟΙΝΟΥ362002</t>
  </si>
  <si>
    <t>VERDICCHIO BIANCO B</t>
  </si>
  <si>
    <t>ΑΜΠΕΛΩΝΕΣ ΓΙΑ ΠΑΡΑΓΩΓΗ ΟΙΝΟΥ362003</t>
  </si>
  <si>
    <t>VIOGNIER B</t>
  </si>
  <si>
    <t>ΑΜΠΕΛΩΝΕΣ ΓΙΑ ΠΑΡΑΓΩΓΗ ΟΙΝΟΥ362004</t>
  </si>
  <si>
    <t>ΚΟΪΝΙΆΡΙΚΟ Ν</t>
  </si>
  <si>
    <t>ΑΜΠΕΛΩΝΕΣ ΓΙΑ ΠΑΡΑΓΩΓΗ ΟΙΝΟΥ362005</t>
  </si>
  <si>
    <t>ΜΑΛΟΥΚΑΤΟ</t>
  </si>
  <si>
    <t>ΑΜΠΕΛΩΝΕΣ ΓΙΑ ΠΑΡΑΓΩΓΗ ΟΙΝΟΥ362007</t>
  </si>
  <si>
    <t>ΧΙΔΗΡΙΩΤΙΚΟ Ν  (ΚΑΛΛΟΝΙΑΤΙΚΟ)</t>
  </si>
  <si>
    <t>ΑΜΠΕΛΩΝΕΣ ΓΙΑ ΠΑΡΑΓΩΓΗ ΟΙΝΟΥ36201</t>
  </si>
  <si>
    <t>ΜΟΣΧΑΤΟ ΜΑΥΡΟ</t>
  </si>
  <si>
    <t>ΑΜΠΕΛΩΝΕΣ ΓΙΑ ΠΑΡΑΓΩΓΗ ΟΙΝΟΥ36202</t>
  </si>
  <si>
    <t>MONTEPULCIANO</t>
  </si>
  <si>
    <t>ΑΜΠΕΛΩΝΕΣ ΓΙΑ ΠΑΡΑΓΩΓΗ ΟΙΝΟΥ36203</t>
  </si>
  <si>
    <t>CΟΤ (MALBEC)</t>
  </si>
  <si>
    <t>ΑΜΠΕΛΩΝΕΣ ΓΙΑ ΠΑΡΑΓΩΓΗ ΟΙΝΟΥ36204</t>
  </si>
  <si>
    <t>TANNAT N</t>
  </si>
  <si>
    <t>ΑΜΠΕΛΩΝΕΣ ΓΙΑ ΠΑΡΑΓΩΓΗ ΟΙΝΟΥ36205</t>
  </si>
  <si>
    <t>ΨΑΡΟΣΥΡΙΚΟ Ν</t>
  </si>
  <si>
    <t>ΑΜΠΕΛΩΝΕΣ ΓΙΑ ΠΑΡΑΓΩΓΗ ΟΙΝΟΥ36206</t>
  </si>
  <si>
    <t>GEWURZTRAMINER RS</t>
  </si>
  <si>
    <t>ΑΜΠΕΛΩΝΕΣ ΓΙΑ ΠΑΡΑΓΩΓΗ ΟΙΝΟΥ36207</t>
  </si>
  <si>
    <t>GRECANICO B</t>
  </si>
  <si>
    <t>ΑΜΠΕΛΩΝΕΣ ΓΙΑ ΠΑΡΑΓΩΓΗ ΟΙΝΟΥ36208</t>
  </si>
  <si>
    <t>ΥΒΡΙΔΙΑ</t>
  </si>
  <si>
    <t>ΑΜΠΕΛΩΝΕΣ ΓΙΑ ΠΑΡΑΓΩΓΗ ΟΙΝΟΥ40520</t>
  </si>
  <si>
    <t>ΕΚΤΑΣΗ ΥΠΟ ΕΜΒΟΛΙΑΣΜ</t>
  </si>
  <si>
    <t>ΑΜΠΕΛΩΝΕΣ ΓΙΑ ΠΑΡΑΓΩΓΗ ΟΙΝΟΥ40523</t>
  </si>
  <si>
    <t>ΠΟΠ-ΑΜΠΕΛΩΝΕΣ ΓΙΑ ΠΑΡΑΓΩΓΗ ΟΙΝΩΝ ΠΟΙΟΤΗΤΑΣ</t>
  </si>
  <si>
    <t>ΑΜΠΕΛΩΝΕΣ ΓΙΑ ΠΑΡΑΓΩΓΗ ΟΙΝΟΥ6005</t>
  </si>
  <si>
    <t>ΜΟΣΧΑΤΟ ΑΛΕΞ/ΡΕΙΑΣ</t>
  </si>
  <si>
    <t>ΑΜΠΕΛΩΝΕΣ ΓΙΑ ΠΑΡΑΓΩΓΗ ΟΙΝΟΥ61037</t>
  </si>
  <si>
    <t>ΟΨΙΜΟ ΕΔΕΣΣΗΣ</t>
  </si>
  <si>
    <t>ΑΜΠΕΛΩΝΕΣ ΓΙΑ ΠΑΡΑΓΩΓΗ ΟΙΝΟΥ61262</t>
  </si>
  <si>
    <t>ΑΜΠΕΛΩΝΕΣ ΓΙΑ ΠΑΡΑΓΩΓΗ ΟΙΝΟΥ62303</t>
  </si>
  <si>
    <t>ΝΥΧΑΤΟ ΑΣΠΡΟ</t>
  </si>
  <si>
    <t>ΑΜΠΕΛΩΝΕΣ ΓΙΑ ΠΑΡΑΓΩΓΗ ΟΙΝΟΥ63347</t>
  </si>
  <si>
    <t>ΜΠΟΓΙΑΛΑΜΑΔΕΣ</t>
  </si>
  <si>
    <t>ΑΜΠΕΛΩΝΕΣ ΓΙΑ ΠΑΡΑΓΩΓΗ ΟΙΝΟΥ63348</t>
  </si>
  <si>
    <t>ΣΤΑΥΡΟΧΙΩΤΗΣ</t>
  </si>
  <si>
    <t>ΑΜΠΕΛΩΝΕΣ ΓΙΑ ΠΑΡΑΓΩΓΗ ΟΙΝΟΥ63349</t>
  </si>
  <si>
    <t>ΠΛΑΤΑΝΙ</t>
  </si>
  <si>
    <t>ΑΜΠΕΛΩΝΕΣ ΓΙΑ ΠΑΡΑΓΩΓΗ ΟΙΝΟΥ63350</t>
  </si>
  <si>
    <t>ΚΑΤΣΑΝΟ</t>
  </si>
  <si>
    <t>ΑΜΠΕΛΩΝΕΣ ΓΙΑ ΠΑΡΑΓΩΓΗ ΟΙΝΟΥ63351</t>
  </si>
  <si>
    <t>ΒΑΦΤΡΑ ΑΣΠΡΗ</t>
  </si>
  <si>
    <t>ΑΜΠΕΛΩΝΕΣ ΓΙΑ ΠΑΡΑΓΩΓΗ ΟΙΝΟΥ63353</t>
  </si>
  <si>
    <t>ΑΣΠΡΟΥΔΑ ΣΑΝΤΟΡΙΝΗΣ</t>
  </si>
  <si>
    <t>ΑΜΠΕΛΩΝΕΣ ΓΙΑ ΠΑΡΑΓΩΓΗ ΟΙΝΟΥ63354</t>
  </si>
  <si>
    <t>ΜΑΥΡΟΤΡΑΓΑΝΟ</t>
  </si>
  <si>
    <t>ΑΜΠΕΛΩΝΕΣ ΓΙΑ ΠΑΡΑΓΩΓΗ ΟΙΝΟΥ63355</t>
  </si>
  <si>
    <t>ΓΑΙΔΟΥΡΙΑ</t>
  </si>
  <si>
    <t>ΑΜΠΕΛΩΝΕΣ ΓΙΑ ΠΑΡΑΓΩΓΗ ΟΙΝΟΥ63357</t>
  </si>
  <si>
    <t>ΑΜΠΕΛΩΝΕΣ ΓΙΑ ΠΑΡΑΓΩΓΗ ΟΙΝΟΥ-ΛΟΙΠΕΣ</t>
  </si>
  <si>
    <t>ΑΜΠΕΛΩΝΕΣ ΓΙΑ ΠΑΡΑΓΩΓΗ ΟΙΝΟΥ8201</t>
  </si>
  <si>
    <t>ΠΓΕ-ΑΜΠΕΛΩΝΕΣ ΓΙΑ ΠΑΡΑΓΩΓΗ ΟΙΝΩΝ ΠΟΙΟΤΗΤΑΣ</t>
  </si>
  <si>
    <t>ΑΜΠΕΛΩΝΕΣ ΓΙΑ ΠΑΡΑΓΩΓΗ ΟΙΝΟΥ96007</t>
  </si>
  <si>
    <t>ΑΜΠΕΛΩΝΕΣ ΓΙΑ ΠΑΡΑΓΩΓΗ ΣΤΑΦΙΔΑΣ</t>
  </si>
  <si>
    <t>ΑΜΠΕΛΩΝΕΣ ΓΙΑ ΠΑΡΑΓΩΓΗ ΣΤΑΦΙΔΑΣ - ΣΟΥΛΤΑΝΙΝΑ</t>
  </si>
  <si>
    <t>ΑΜΠΕΛΩΝΕΣ ΓΙΑ ΠΑΡΑΓΩΓΗ ΣΤΑΦΙΔΑΣ8217</t>
  </si>
  <si>
    <t>28.1</t>
  </si>
  <si>
    <t>ΑΜΠΕΛΩΝΕΣ ΓΙΑ ΠΑΡΑΓΩΓΗ ΣΤΑΦΙΔΑΣ - ΚΟΡΙΝΘΙΑΚΗ</t>
  </si>
  <si>
    <t>ΑΜΠΕΛΩΝΕΣ ΓΙΑ ΠΑΡΑΓΩΓΗ ΣΤΑΦΙΔΑΣ8218</t>
  </si>
  <si>
    <t>ΑΝΘΟΚΟΜΙΚΕΣ ΚΑΛΛΙΕΡΓΕΙΕΣ</t>
  </si>
  <si>
    <t>ΑΝΘΗ ΚΑΙ ΚΑΛΛΩΠΙΣΤΙΚΑ</t>
  </si>
  <si>
    <t>ΑΝΘΟΚΟΜΙΚΕΣ ΚΑΛΛΙΕΡΓΕΙΕΣ8112</t>
  </si>
  <si>
    <t>ΑΝΘΗ ΚΑΙ ΚΑΛΛΩΠΙΣΤΙΚΑ ΦΥΤΑ ΘΕΡΜΟΚΗΠΙΟΥ</t>
  </si>
  <si>
    <t>ΑΝΘΟΚΟΜΙΚΕΣ ΚΑΛΛΙΕΡΓΕΙΕΣ8120</t>
  </si>
  <si>
    <t>ΔΡΕΠΤΑ (ΚΟΜΜΕΝΑ) ΑΝΘΗ ΥΠΑΙΘΡΟΥ</t>
  </si>
  <si>
    <t>ΑΝΘΟΚΟΜΙΚΕΣ ΚΑΛΛΙΕΡΓΕΙΕΣ8650</t>
  </si>
  <si>
    <t>ΦΥΤΑ ΚΗΠΟΤΕΧΝΙΑΣ ΚΑΙ ΑΛΛΑ ΑΝΘΟΚΟΜΙΚΑ ΦΥΤΑ ΕΞΩΤΕΡΙΚΟΥ ΧΩΡΟΥ</t>
  </si>
  <si>
    <t>ΑΝΘΟΚΟΜΙΚΕΣ ΚΑΛΛΙΕΡΓΕΙΕΣ8651</t>
  </si>
  <si>
    <t>ΓΚΑΖΟΝ</t>
  </si>
  <si>
    <t>ΑΝΘΟΚΟΜΙΚΕΣ ΚΑΛΛΙΕΡΓΕΙΕΣ8652</t>
  </si>
  <si>
    <t>ΓΛΑΣΤΡΙΚΑ ΘΕΡΜΟΚΗΠΙΟΥ ΕΣΩΤΕΡΙΚΟΥ ΧΩΡΟΥ</t>
  </si>
  <si>
    <t>ΑΝΘΟΚΟΜΙΚΕΣ ΚΑΛΛΙΕΡΓΕΙΕΣ8653</t>
  </si>
  <si>
    <t>ΔΡΕΠΤΑ (ΚΟΜΜΕΝΑ) ΑΝΘΗ ΘΕΡΜΟΚΗΠΙΟΥ</t>
  </si>
  <si>
    <t>ΑΝΘΟΚΟΜΙΚΕΣ ΚΑΛΛΙΕΡΓΕΙΕΣ8654</t>
  </si>
  <si>
    <t>ΑΡΑΒΟΣΙΤΟΣ ΕΝΣΙΡΩΣΗΣ</t>
  </si>
  <si>
    <t>ΑΡΑΒΟΣΙΤΟΣ RESERVE</t>
  </si>
  <si>
    <t>ΑΡΑΒΟΣΙΤΟΣ ΕΝΣΙΡΩΣΗΣ31021</t>
  </si>
  <si>
    <t>3.2</t>
  </si>
  <si>
    <t>ΑΡΑΒΟΣΙΤΟΣ SY INOVE</t>
  </si>
  <si>
    <t>ΑΡΑΒΟΣΙΤΟΣ ΕΝΣΙΡΩΣΗΣ31024</t>
  </si>
  <si>
    <t>ΑΡΑΒΟΣΙΤΟΣ PR31Υ43</t>
  </si>
  <si>
    <t>ΑΡΑΒΟΣΙΤΟΣ ΕΝΣΙΡΩΣΗΣ32001</t>
  </si>
  <si>
    <t>ΑΡΑΒΟΣΙΤΟΣ P1134</t>
  </si>
  <si>
    <t>ΑΡΑΒΟΣΙΤΟΣ ΕΝΣΙΡΩΣΗΣ32002</t>
  </si>
  <si>
    <t>ΑΡΑΒΟΣΙΤΟΣ LG30600</t>
  </si>
  <si>
    <t>ΑΡΑΒΟΣΙΤΟΣ ΕΝΣΙΡΩΣΗΣ32003</t>
  </si>
  <si>
    <t>ΑΡΑΒΟΣΙΤΟΣ LG31545</t>
  </si>
  <si>
    <t>ΑΡΑΒΟΣΙΤΟΣ ΕΝΣΙΡΩΣΗΣ32004</t>
  </si>
  <si>
    <t>ΑΡΑΒΟΣΙΤΟΣ AGRISTER</t>
  </si>
  <si>
    <t>ΑΡΑΒΟΣΙΤΟΣ ΕΝΣΙΡΩΣΗΣ32005</t>
  </si>
  <si>
    <t>ΑΡΑΒΟΣΙΤΟΣ ANTISS</t>
  </si>
  <si>
    <t>ΑΡΑΒΟΣΙΤΟΣ ΕΝΣΙΡΩΣΗΣ32006</t>
  </si>
  <si>
    <t>ΑΡΑΒΟΣΙΤΟΣ AVELINE</t>
  </si>
  <si>
    <t>ΑΡΑΒΟΣΙΤΟΣ ΕΝΣΙΡΩΣΗΣ32007</t>
  </si>
  <si>
    <t>ΑΡΑΒΟΣΙΤΟΣ LG30709</t>
  </si>
  <si>
    <t>ΑΡΑΒΟΣΙΤΟΣ ΕΝΣΙΡΩΣΗΣ32008</t>
  </si>
  <si>
    <t>ΑΡΑΒΟΣΙΤΟΣ LG3490</t>
  </si>
  <si>
    <t>ΑΡΑΒΟΣΙΤΟΣ ΕΝΣΙΡΩΣΗΣ32009</t>
  </si>
  <si>
    <t>ΑΡΑΒΟΣΙΤΟΣ LG30550</t>
  </si>
  <si>
    <t>ΑΡΑΒΟΣΙΤΟΣ ΕΝΣΙΡΩΣΗΣ32010</t>
  </si>
  <si>
    <t>ΑΡΑΒΟΣΙΤΟΣ LG30597</t>
  </si>
  <si>
    <t>ΑΡΑΒΟΣΙΤΟΣ ΕΝΣΙΡΩΣΗΣ32011</t>
  </si>
  <si>
    <t>ΑΡΑΒΟΣΙΤΟΣ GUADIANA</t>
  </si>
  <si>
    <t>ΑΡΑΒΟΣΙΤΟΣ ΕΝΣΙΡΩΣΗΣ32012</t>
  </si>
  <si>
    <t>ΑΡΑΒΟΣΙΤΟΣ SY HYDRO</t>
  </si>
  <si>
    <t>ΑΡΑΒΟΣΙΤΟΣ ΕΝΣΙΡΩΣΗΣ32013</t>
  </si>
  <si>
    <t>ΑΡΑΒΟΣΙΤΟΣ CISKO</t>
  </si>
  <si>
    <t>ΑΡΑΒΟΣΙΤΟΣ ΕΝΣΙΡΩΣΗΣ32014</t>
  </si>
  <si>
    <t>ΑΡΑΒΟΣΙΤΟΣ SY JULLEN</t>
  </si>
  <si>
    <t>ΑΡΑΒΟΣΙΤΟΣ ΕΝΣΙΡΩΣΗΣ32015</t>
  </si>
  <si>
    <t>ΑΡΑΒΟΣΙΤΟΣ NK FAMOSO</t>
  </si>
  <si>
    <t>ΑΡΑΒΟΣΙΤΟΣ ΕΝΣΙΡΩΣΗΣ32016</t>
  </si>
  <si>
    <t>ΑΡΑΒΟΣΙΤΟΣ SY COMPETO</t>
  </si>
  <si>
    <t>ΑΡΑΒΟΣΙΤΟΣ ΕΝΣΙΡΩΣΗΣ32017</t>
  </si>
  <si>
    <t>ΑΡΑΒΟΣΙΤΟΣ SY DECISO</t>
  </si>
  <si>
    <t>ΑΡΑΒΟΣΙΤΟΣ ΕΝΣΙΡΩΣΗΣ32018</t>
  </si>
  <si>
    <t>ΑΡΑΒΟΣΙΤΟΣ SY MIAMI</t>
  </si>
  <si>
    <t>ΑΡΑΒΟΣΙΤΟΣ ΕΝΣΙΡΩΣΗΣ32019</t>
  </si>
  <si>
    <t>ΑΡΑΒΟΣΙΤΟΣ NK PAKO</t>
  </si>
  <si>
    <t>ΑΡΑΒΟΣΙΤΟΣ ΕΝΣΙΡΩΣΗΣ32020</t>
  </si>
  <si>
    <t>ΑΡΑΒΟΣΙΤΟΣ DKC 5276</t>
  </si>
  <si>
    <t>ΑΡΑΒΟΣΙΤΟΣ ΕΝΣΙΡΩΣΗΣ32021</t>
  </si>
  <si>
    <t>ΑΡΑΒΟΣΙΤΟΣ AGN 720</t>
  </si>
  <si>
    <t>ΑΡΑΒΟΣΙΤΟΣ ΕΝΣΙΡΩΣΗΣ32022</t>
  </si>
  <si>
    <t>ΑΡΑΒΟΣΙΤΟΣ AS 170 SILAZ</t>
  </si>
  <si>
    <t>ΑΡΑΒΟΣΙΤΟΣ ΕΝΣΙΡΩΣΗΣ32023</t>
  </si>
  <si>
    <t>ΑΡΑΒΟΣΙΤΟΣ AS 537</t>
  </si>
  <si>
    <t>ΑΡΑΒΟΣΙΤΟΣ ΕΝΣΙΡΩΣΗΣ32024</t>
  </si>
  <si>
    <t>ΑΡΑΒΟΣΙΤΟΣ DKC 6724</t>
  </si>
  <si>
    <t>ΑΡΑΒΟΣΙΤΟΣ ΕΝΣΙΡΩΣΗΣ32025</t>
  </si>
  <si>
    <t>ΑΡΑΒΟΣΙΤΟΣ SY SENKO</t>
  </si>
  <si>
    <t>ΑΡΑΒΟΣΙΤΟΣ ΕΝΣΙΡΩΣΗΣ32026</t>
  </si>
  <si>
    <t>ΑΡΑΒΟΣΙΤΟΣ CALGARY</t>
  </si>
  <si>
    <t>ΑΡΑΒΟΣΙΤΟΣ ΕΝΣΙΡΩΣΗΣ32027</t>
  </si>
  <si>
    <t>ΑΡΑΒΟΣΙΤΟΣ DKC 6442</t>
  </si>
  <si>
    <t>ΑΡΑΒΟΣΙΤΟΣ ΕΝΣΙΡΩΣΗΣ32028</t>
  </si>
  <si>
    <t>ΑΡΑΒΟΣΙΤΟΣ AS 72</t>
  </si>
  <si>
    <t>ΑΡΑΒΟΣΙΤΟΣ ΕΝΣΙΡΩΣΗΣ32029</t>
  </si>
  <si>
    <t>ΑΡΑΒΟΣΙΤΟΣ KEFRANCOS</t>
  </si>
  <si>
    <t>ΑΡΑΒΟΣΙΤΟΣ ΕΝΣΙΡΩΣΗΣ32030</t>
  </si>
  <si>
    <t>ΑΡΑΒΟΣΙΤΟΣ DUGI</t>
  </si>
  <si>
    <t>ΑΡΑΒΟΣΙΤΟΣ ΕΝΣΙΡΩΣΗΣ32031</t>
  </si>
  <si>
    <t>ΑΡΑΒΟΣΙΤΟΣ P1565</t>
  </si>
  <si>
    <t>ΑΡΑΒΟΣΙΤΟΣ ΕΝΣΙΡΩΣΗΣ32032</t>
  </si>
  <si>
    <t>ΑΡΑΒΟΣΙΤΟΣ MAS 66C</t>
  </si>
  <si>
    <t>ΑΡΑΒΟΣΙΤΟΣ ΕΝΣΙΡΩΣΗΣ32033</t>
  </si>
  <si>
    <t>ΑΡΑΒΟΣΙΤΟΣ KALUMET</t>
  </si>
  <si>
    <t>ΑΡΑΒΟΣΙΤΟΣ ΕΝΣΙΡΩΣΗΣ32034</t>
  </si>
  <si>
    <t>ΑΡΑΒΟΣΙΤΟΣ COLONIA</t>
  </si>
  <si>
    <t>ΑΡΑΒΟΣΙΤΟΣ ΕΝΣΙΡΩΣΗΣ32035</t>
  </si>
  <si>
    <t>ΑΡΑΒΟΣΙΤΟΣ KERMESS</t>
  </si>
  <si>
    <t>ΑΡΑΒΟΣΙΤΟΣ ΕΝΣΙΡΩΣΗΣ32036</t>
  </si>
  <si>
    <t>ΑΡΑΒΟΣΙΤΟΣ AS 730</t>
  </si>
  <si>
    <t>ΑΡΑΒΟΣΙΤΟΣ ΕΝΣΙΡΩΣΗΣ32037</t>
  </si>
  <si>
    <t>ΑΡΑΒΟΣΙΤΟΣ AS5M10</t>
  </si>
  <si>
    <t>ΑΡΑΒΟΣΙΤΟΣ ΕΝΣΙΡΩΣΗΣ32038</t>
  </si>
  <si>
    <t>ΑΡΑΒΟΣΙΤΟΣ EGEAN</t>
  </si>
  <si>
    <t>ΑΡΑΒΟΣΙΤΟΣ ΕΝΣΙΡΩΣΗΣ32039</t>
  </si>
  <si>
    <t>ΑΡΑΒΟΣΙΤΟΣ FLAME</t>
  </si>
  <si>
    <t>ΑΡΑΒΟΣΙΤΟΣ ΕΝΣΙΡΩΣΗΣ32040</t>
  </si>
  <si>
    <t>ΑΡΑΒΟΣΙΤΟΣ GW 1282</t>
  </si>
  <si>
    <t>ΑΡΑΒΟΣΙΤΟΣ ΕΝΣΙΡΩΣΗΣ32041</t>
  </si>
  <si>
    <t xml:space="preserve">ΑΡΑΒΟΣΙΤΟΣ GW 2110 </t>
  </si>
  <si>
    <t>ΑΡΑΒΟΣΙΤΟΣ ΕΝΣΙΡΩΣΗΣ32042</t>
  </si>
  <si>
    <t>ΑΡΑΒΟΣΙΤΟΣ GW 3436</t>
  </si>
  <si>
    <t>ΑΡΑΒΟΣΙΤΟΣ ΕΝΣΙΡΩΣΗΣ32043</t>
  </si>
  <si>
    <t>ΑΡΑΒΟΣΙΤΟΣ GW 3808</t>
  </si>
  <si>
    <t>ΑΡΑΒΟΣΙΤΟΣ ΕΝΣΙΡΩΣΗΣ32044</t>
  </si>
  <si>
    <t>ΑΡΑΒΟΣΙΤΟΣ HARIS NS</t>
  </si>
  <si>
    <t>ΑΡΑΒΟΣΙΤΟΣ ΕΝΣΙΡΩΣΗΣ32045</t>
  </si>
  <si>
    <t>ΑΡΑΒΟΣΙΤΟΣ MAS 54T</t>
  </si>
  <si>
    <t>ΑΡΑΒΟΣΙΤΟΣ ΕΝΣΙΡΩΣΗΣ32046</t>
  </si>
  <si>
    <t>ΑΡΑΒΟΣΙΤΟΣ ODYSSEAS</t>
  </si>
  <si>
    <t>ΑΡΑΒΟΣΙΤΟΣ ΕΝΣΙΡΩΣΗΣ32047</t>
  </si>
  <si>
    <t>ΑΡΑΒΟΣΙΤΟΣ STATUS</t>
  </si>
  <si>
    <t>ΑΡΑΒΟΣΙΤΟΣ ΕΝΣΙΡΩΣΗΣ32048</t>
  </si>
  <si>
    <t>ΑΡΑΒΟΣΙΤΟΣ DIAS</t>
  </si>
  <si>
    <t>ΑΡΑΒΟΣΙΤΟΣ ΕΝΣΙΡΩΣΗΣ32049</t>
  </si>
  <si>
    <t xml:space="preserve">ΑΡΑΒΟΣΙΤΟΣ GW 8008 </t>
  </si>
  <si>
    <t>ΑΡΑΒΟΣΙΤΟΣ ΕΝΣΙΡΩΣΗΣ32050</t>
  </si>
  <si>
    <t>ΑΡΑΒΟΣΙΤΟΣ GW 8266</t>
  </si>
  <si>
    <t>ΑΡΑΒΟΣΙΤΟΣ ΕΝΣΙΡΩΣΗΣ32051</t>
  </si>
  <si>
    <t>ΑΡΑΒΟΣΙΤΟΣ WHANGAMATA</t>
  </si>
  <si>
    <t>ΑΡΑΒΟΣΙΤΟΣ ΕΝΣΙΡΩΣΗΣ32052</t>
  </si>
  <si>
    <t>ΑΡΑΒΟΣΙΤΟΣ AGN 520</t>
  </si>
  <si>
    <t>ΑΡΑΒΟΣΙΤΟΣ ΕΝΣΙΡΩΣΗΣ32053</t>
  </si>
  <si>
    <t>ΑΡΑΒΟΣΙΤΟΣ AGN 717</t>
  </si>
  <si>
    <t>ΑΡΑΒΟΣΙΤΟΣ ΕΝΣΙΡΩΣΗΣ32054</t>
  </si>
  <si>
    <t>ΑΡΑΒΟΣΙΤΟΣ AGN 735</t>
  </si>
  <si>
    <t>ΑΡΑΒΟΣΙΤΟΣ ΕΝΣΙΡΩΣΗΣ32055</t>
  </si>
  <si>
    <t>ΑΡΑΒΟΣΙΤΟΣ DANDI</t>
  </si>
  <si>
    <t>ΑΡΑΒΟΣΙΤΟΣ ΕΝΣΙΡΩΣΗΣ32056</t>
  </si>
  <si>
    <t>ΑΡΑΒΟΣΙΤΟΣ GW 0185</t>
  </si>
  <si>
    <t>ΑΡΑΒΟΣΙΤΟΣ ΕΝΣΙΡΩΣΗΣ32057</t>
  </si>
  <si>
    <t xml:space="preserve">ΑΡΑΒΟΣΙΤΟΣ GW 0494 </t>
  </si>
  <si>
    <t>ΑΡΑΒΟΣΙΤΟΣ ΕΝΣΙΡΩΣΗΣ32058</t>
  </si>
  <si>
    <t>ΑΡΑΒΟΣΙΤΟΣ GW 8002</t>
  </si>
  <si>
    <t>ΑΡΑΒΟΣΙΤΟΣ ΕΝΣΙΡΩΣΗΣ32059</t>
  </si>
  <si>
    <t>ΑΡΑΒΟΣΙΤΟΣ GW 8430</t>
  </si>
  <si>
    <t>ΑΡΑΒΟΣΙΤΟΣ ΕΝΣΙΡΩΣΗΣ32060</t>
  </si>
  <si>
    <t>ΑΡΑΒΟΣΙΤΟΣ GW 8691</t>
  </si>
  <si>
    <t>ΑΡΑΒΟΣΙΤΟΣ ΕΝΣΙΡΩΣΗΣ32061</t>
  </si>
  <si>
    <t>ΑΡΑΒΟΣΙΤΟΣ MPOUMPOULINA</t>
  </si>
  <si>
    <t>ΑΡΑΒΟΣΙΤΟΣ ΕΝΣΙΡΩΣΗΣ32062</t>
  </si>
  <si>
    <t>ΑΡΑΒΟΣΙΤΟΣ ZOLA</t>
  </si>
  <si>
    <t>ΑΡΑΒΟΣΙΤΟΣ ΕΝΣΙΡΩΣΗΣ32063</t>
  </si>
  <si>
    <t>ΑΡΑΒΟΣΙΤΟΣ AGN 715</t>
  </si>
  <si>
    <t>ΑΡΑΒΟΣΙΤΟΣ ΕΝΣΙΡΩΣΗΣ32064</t>
  </si>
  <si>
    <t>ΑΡΑΒΟΣΙΤΟΣ JETA</t>
  </si>
  <si>
    <t>ΑΡΑΒΟΣΙΤΟΣ ΕΝΣΙΡΩΣΗΣ32065</t>
  </si>
  <si>
    <t>ΑΡΑΒΟΣΙΤΟΣ JOLLY</t>
  </si>
  <si>
    <t>ΑΡΑΒΟΣΙΤΟΣ ΕΝΣΙΡΩΣΗΣ32066</t>
  </si>
  <si>
    <t>ΑΡΑΒΟΣΙΤΟΣ KONSUR</t>
  </si>
  <si>
    <t>ΑΡΑΒΟΣΙΤΟΣ ΕΝΣΙΡΩΣΗΣ32067</t>
  </si>
  <si>
    <t>ΑΡΑΒΟΣΙΤΟΣ PIROS NS</t>
  </si>
  <si>
    <t>ΑΡΑΒΟΣΙΤΟΣ ΕΝΣΙΡΩΣΗΣ32068</t>
  </si>
  <si>
    <t>ΑΡΑΒΟΣΙΤΟΣ ZP 717</t>
  </si>
  <si>
    <t>ΑΡΑΒΟΣΙΤΟΣ ΕΝΣΙΡΩΣΗΣ32069</t>
  </si>
  <si>
    <t>ΑΡΑΒΟΣΙΤΟΣ ZP 758</t>
  </si>
  <si>
    <t>ΑΡΑΒΟΣΙΤΟΣ ΕΝΣΙΡΩΣΗΣ32070</t>
  </si>
  <si>
    <t>ΑΡΑΒΟΣΙΤΟΣ AGN 340</t>
  </si>
  <si>
    <t>ΑΡΑΒΟΣΙΤΟΣ ΕΝΣΙΡΩΣΗΣ32071</t>
  </si>
  <si>
    <t>ΑΡΑΒΟΣΙΤΟΣ AS 66</t>
  </si>
  <si>
    <t>ΑΡΑΒΟΣΙΤΟΣ ΕΝΣΙΡΩΣΗΣ32072</t>
  </si>
  <si>
    <t>ΑΡΑΒΟΣΙΤΟΣ GW 9003</t>
  </si>
  <si>
    <t>ΑΡΑΒΟΣΙΤΟΣ ΕΝΣΙΡΩΣΗΣ32073</t>
  </si>
  <si>
    <t>ΑΡΑΒΟΣΙΤΟΣ IZABETA</t>
  </si>
  <si>
    <t>ΑΡΑΒΟΣΙΤΟΣ ΕΝΣΙΡΩΣΗΣ32074</t>
  </si>
  <si>
    <t>ΑΡΑΒΟΣΙΤΟΣ AGN 625</t>
  </si>
  <si>
    <t>ΑΡΑΒΟΣΙΤΟΣ ΕΝΣΙΡΩΣΗΣ32075</t>
  </si>
  <si>
    <t>ΑΡΑΒΟΣΙΤΟΣ DALMAC</t>
  </si>
  <si>
    <t>ΑΡΑΒΟΣΙΤΟΣ ΕΝΣΙΡΩΣΗΣ32076</t>
  </si>
  <si>
    <t xml:space="preserve">ΑΡΑΒΟΣΙΤΟΣ GW 2122 </t>
  </si>
  <si>
    <t>ΑΡΑΒΟΣΙΤΟΣ ΕΝΣΙΡΩΣΗΣ32077</t>
  </si>
  <si>
    <t>ΑΡΑΒΟΣΙΤΟΣ GW 8831</t>
  </si>
  <si>
    <t>ΑΡΑΒΟΣΙΤΟΣ ΕΝΣΙΡΩΣΗΣ32078</t>
  </si>
  <si>
    <t>ΑΡΑΒΟΣΙΤΟΣ JAMESON</t>
  </si>
  <si>
    <t>ΑΡΑΒΟΣΙΤΟΣ ΕΝΣΙΡΩΣΗΣ32079</t>
  </si>
  <si>
    <t>ΑΡΑΒΟΣΙΤΟΣ AGN 290</t>
  </si>
  <si>
    <t>ΑΡΑΒΟΣΙΤΟΣ ΕΝΣΙΡΩΣΗΣ32080</t>
  </si>
  <si>
    <t>ΑΡΑΒΟΣΙΤΟΣ GW 4798</t>
  </si>
  <si>
    <t>ΑΡΑΒΟΣΙΤΟΣ ΕΝΣΙΡΩΣΗΣ32081</t>
  </si>
  <si>
    <t>ΑΡΑΒΟΣΙΤΟΣ GW 6479</t>
  </si>
  <si>
    <t>ΑΡΑΒΟΣΙΤΟΣ ΕΝΣΙΡΩΣΗΣ32082</t>
  </si>
  <si>
    <t>ΑΡΑΒΟΣΙΤΟΣ GW 8653</t>
  </si>
  <si>
    <t>ΑΡΑΒΟΣΙΤΟΣ ΕΝΣΙΡΩΣΗΣ32083</t>
  </si>
  <si>
    <t>ΑΡΑΒΟΣΙΤΟΣ HAMILTON</t>
  </si>
  <si>
    <t>ΑΡΑΒΟΣΙΤΟΣ ΕΝΣΙΡΩΣΗΣ32084</t>
  </si>
  <si>
    <t>ΑΡΑΒΟΣΙΤΟΣ MAKEDONIA</t>
  </si>
  <si>
    <t>ΑΡΑΒΟΣΙΤΟΣ ΕΝΣΙΡΩΣΗΣ32085</t>
  </si>
  <si>
    <t>ΑΡΑΒΟΣΙΤΟΣ AGN 260</t>
  </si>
  <si>
    <t>ΑΡΑΒΟΣΙΤΟΣ ΕΝΣΙΡΩΣΗΣ32086</t>
  </si>
  <si>
    <t>ΑΡΑΒΟΣΙΤΟΣ AGN 672</t>
  </si>
  <si>
    <t>ΑΡΑΒΟΣΙΤΟΣ ΕΝΣΙΡΩΣΗΣ32087</t>
  </si>
  <si>
    <t>ΑΡΑΒΟΣΙΤΟΣ AS 54</t>
  </si>
  <si>
    <t>ΑΡΑΒΟΣΙΤΟΣ ΕΝΣΙΡΩΣΗΣ32088</t>
  </si>
  <si>
    <t>ΑΡΑΒΟΣΙΤΟΣ AS5M11</t>
  </si>
  <si>
    <t>ΑΡΑΒΟΣΙΤΟΣ ΕΝΣΙΡΩΣΗΣ32089</t>
  </si>
  <si>
    <t>ΑΡΑΒΟΣΙΤΟΣ AS6M10</t>
  </si>
  <si>
    <t>ΑΡΑΒΟΣΙΤΟΣ ΕΝΣΙΡΩΣΗΣ32090</t>
  </si>
  <si>
    <t>ΑΡΑΒΟΣΙΤΟΣ DOXA</t>
  </si>
  <si>
    <t>ΑΡΑΒΟΣΙΤΟΣ ΕΝΣΙΡΩΣΗΣ32091</t>
  </si>
  <si>
    <t xml:space="preserve">ΑΡΑΒΟΣΙΤΟΣ GW 037 </t>
  </si>
  <si>
    <t>ΑΡΑΒΟΣΙΤΟΣ ΕΝΣΙΡΩΣΗΣ32092</t>
  </si>
  <si>
    <t>ΑΡΑΒΟΣΙΤΟΣ GW 7634</t>
  </si>
  <si>
    <t>ΑΡΑΒΟΣΙΤΟΣ ΕΝΣΙΡΩΣΗΣ32093</t>
  </si>
  <si>
    <t>ΑΡΑΒΟΣΙΤΟΣ KORDUNA</t>
  </si>
  <si>
    <t>ΑΡΑΒΟΣΙΤΟΣ ΕΝΣΙΡΩΣΗΣ32094</t>
  </si>
  <si>
    <t>ΑΡΑΒΟΣΙΤΟΣ MAS 66WX</t>
  </si>
  <si>
    <t>ΑΡΑΒΟΣΙΤΟΣ ΕΝΣΙΡΩΣΗΣ32095</t>
  </si>
  <si>
    <t>ΑΡΑΒΟΣΙΤΟΣ MAS 78T</t>
  </si>
  <si>
    <t>ΑΡΑΒΟΣΙΤΟΣ ΕΝΣΙΡΩΣΗΣ32096</t>
  </si>
  <si>
    <t>ΑΡΑΒΟΣΙΤΟΣ P1758</t>
  </si>
  <si>
    <t>ΑΡΑΒΟΣΙΤΟΣ ΕΝΣΙΡΩΣΗΣ32097</t>
  </si>
  <si>
    <t>ΑΡΑΒΟΣΙΤΟΣ P1921</t>
  </si>
  <si>
    <t>ΑΡΑΒΟΣΙΤΟΣ ΕΝΣΙΡΩΣΗΣ32098</t>
  </si>
  <si>
    <t>ΑΡΑΒΟΣΙΤΟΣ LG31630</t>
  </si>
  <si>
    <t>ΑΡΑΒΟΣΙΤΟΣ ΕΝΣΙΡΩΣΗΣ32099</t>
  </si>
  <si>
    <t>ΑΡΑΒΟΣΙΤΟΣ DKC6728</t>
  </si>
  <si>
    <t>ΑΡΑΒΟΣΙΤΟΣ ΕΝΣΙΡΩΣΗΣ32100</t>
  </si>
  <si>
    <t>ΑΡΑΒΟΣΙΤΟΣ P0729</t>
  </si>
  <si>
    <t>ΑΡΑΒΟΣΙΤΟΣ ΕΝΣΙΡΩΣΗΣ32101</t>
  </si>
  <si>
    <t>ΑΡΑΒΟΣΙΤΟΣ P0937</t>
  </si>
  <si>
    <t>ΑΡΑΒΟΣΙΤΟΣ ΕΝΣΙΡΩΣΗΣ32102</t>
  </si>
  <si>
    <t>ΑΡΑΒΟΣΙΤΟΣ P1524</t>
  </si>
  <si>
    <t>ΑΡΑΒΟΣΙΤΟΣ ΕΝΣΙΡΩΣΗΣ32103</t>
  </si>
  <si>
    <t>ΑΡΑΒΟΣΙΤΟΣ ZP488</t>
  </si>
  <si>
    <t>ΑΡΑΒΟΣΙΤΟΣ ΕΝΣΙΡΩΣΗΣ32104</t>
  </si>
  <si>
    <t>ΑΡΑΒΟΣΙΤΟΣ P1570</t>
  </si>
  <si>
    <t>ΑΡΑΒΟΣΙΤΟΣ ΕΝΣΙΡΩΣΗΣ32105</t>
  </si>
  <si>
    <t>ΑΡΑΒΟΣΙΤΟΣ DKC6815</t>
  </si>
  <si>
    <t>ΑΡΑΒΟΣΙΤΟΣ ΕΝΣΙΡΩΣΗΣ32106</t>
  </si>
  <si>
    <t>ΑΡΑΒΟΣΙΤΟΣ SNH 8606</t>
  </si>
  <si>
    <t>ΑΡΑΒΟΣΙΤΟΣ ΕΝΣΙΡΩΣΗΣ32107</t>
  </si>
  <si>
    <t>ΑΡΑΒΟΣΙΤΟΣ P2105</t>
  </si>
  <si>
    <t>ΑΡΑΒΟΣΙΤΟΣ ΕΝΣΙΡΩΣΗΣ32108</t>
  </si>
  <si>
    <t>ΑΡΑΒΟΣΙΤΟΣ DKC 6980</t>
  </si>
  <si>
    <t>ΑΡΑΒΟΣΙΤΟΣ ΕΝΣΙΡΩΣΗΣ32109</t>
  </si>
  <si>
    <t>ΑΡΑΒΟΣΙΤΟΣ DKC 6777</t>
  </si>
  <si>
    <t>ΑΡΑΒΟΣΙΤΟΣ ΕΝΣΙΡΩΣΗΣ32110</t>
  </si>
  <si>
    <t>ΑΡΑΒΟΣΙΤΟΣ DKC 7050</t>
  </si>
  <si>
    <t>ΑΡΑΒΟΣΙΤΟΣ ΕΝΣΙΡΩΣΗΣ32111</t>
  </si>
  <si>
    <t>ΑΡΑΒΟΣΙΤΟΣ P1049</t>
  </si>
  <si>
    <t>ΑΡΑΒΟΣΙΤΟΣ ΕΝΣΙΡΩΣΗΣ32112</t>
  </si>
  <si>
    <t>ΑΡΑΒΟΣΙΤΟΣ P1535</t>
  </si>
  <si>
    <t>ΑΡΑΒΟΣΙΤΟΣ ΕΝΣΙΡΩΣΗΣ32113</t>
  </si>
  <si>
    <t>ΑΡΑΒΟΣΙΤΟΣ P9911</t>
  </si>
  <si>
    <t>ΑΡΑΒΟΣΙΤΟΣ ΕΝΣΙΡΩΣΗΣ32114</t>
  </si>
  <si>
    <t>ΑΡΑΒΟΣΙΤΟΣ DKC6340</t>
  </si>
  <si>
    <t>ΑΡΑΒΟΣΙΤΟΣ ΕΝΣΙΡΩΣΗΣ32115</t>
  </si>
  <si>
    <t>ΑΡΑΒΟΣΙΤΟΣ KEFIEROS</t>
  </si>
  <si>
    <t>ΑΡΑΒΟΣΙΤΟΣ ΕΝΣΙΡΩΣΗΣ32116</t>
  </si>
  <si>
    <t>ΑΡΑΒΟΣΙΤΟΣ AHIPARA</t>
  </si>
  <si>
    <t>ΑΡΑΒΟΣΙΤΟΣ ΕΝΣΙΡΩΣΗΣ32117</t>
  </si>
  <si>
    <t>ΑΡΑΒΟΣΙΤΟΣ AKAROA</t>
  </si>
  <si>
    <t>ΑΡΑΒΟΣΙΤΟΣ ΕΝΣΙΡΩΣΗΣ32118</t>
  </si>
  <si>
    <t xml:space="preserve">ΑΡΑΒΟΣΙΤΟΣ GW 3159 </t>
  </si>
  <si>
    <t>ΑΡΑΒΟΣΙΤΟΣ ΕΝΣΙΡΩΣΗΣ32119</t>
  </si>
  <si>
    <t>ΑΡΑΒΟΣΙΤΟΣ GW 3807</t>
  </si>
  <si>
    <t>ΑΡΑΒΟΣΙΤΟΣ ΕΝΣΙΡΩΣΗΣ32120</t>
  </si>
  <si>
    <t>ΑΡΑΒΟΣΙΤΟΣ DKC 5530</t>
  </si>
  <si>
    <t>ΑΡΑΒΟΣΙΤΟΣ ΕΝΣΙΡΩΣΗΣ32121</t>
  </si>
  <si>
    <t>ΑΡΑΒΟΣΙΤΟΣ ZP 341</t>
  </si>
  <si>
    <t>ΑΡΑΒΟΣΙΤΟΣ ΕΝΣΙΡΩΣΗΣ32122</t>
  </si>
  <si>
    <t>ΑΡΑΒΟΣΙΤΟΣ PIANTONI</t>
  </si>
  <si>
    <t>ΑΡΑΒΟΣΙΤΟΣ ΕΝΣΙΡΩΣΗΣ32123</t>
  </si>
  <si>
    <t>ΑΡΑΒΟΣΙΤΟΣ LEONIDAS</t>
  </si>
  <si>
    <t>ΑΡΑΒΟΣΙΤΟΣ ΕΝΣΙΡΩΣΗΣ32124</t>
  </si>
  <si>
    <t>ΑΡΑΒΟΣΙΤΟΣ P1454</t>
  </si>
  <si>
    <t>ΑΡΑΒΟΣΙΤΟΣ ΕΝΣΙΡΩΣΗΣ32125</t>
  </si>
  <si>
    <t>ΑΡΑΒΟΣΙΤΟΣ LG31700</t>
  </si>
  <si>
    <t>ΑΡΑΒΟΣΙΤΟΣ ΕΝΣΙΡΩΣΗΣ32126</t>
  </si>
  <si>
    <t>ΑΡΑΒΟΣΙΤΟΣ MAS64P</t>
  </si>
  <si>
    <t>ΑΡΑΒΟΣΙΤΟΣ ΕΝΣΙΡΩΣΗΣ32127</t>
  </si>
  <si>
    <t>ΑΡΑΒΟΣΙΤΟΣ P1672</t>
  </si>
  <si>
    <t>ΑΡΑΒΟΣΙΤΟΣ ΕΝΣΙΡΩΣΗΣ32128</t>
  </si>
  <si>
    <t>ΑΡΑΒΟΣΙΤΟΣ P1916</t>
  </si>
  <si>
    <t>ΑΡΑΒΟΣΙΤΟΣ ΕΝΣΙΡΩΣΗΣ32129</t>
  </si>
  <si>
    <t>ΑΡΑΒΟΣΙΤΟΣ DKC6897</t>
  </si>
  <si>
    <t>ΑΡΑΒΟΣΙΤΟΣ ΕΝΣΙΡΩΣΗΣ32130</t>
  </si>
  <si>
    <t>ΑΡΑΒΟΣΙΤΟΣ GW 4627</t>
  </si>
  <si>
    <t>ΑΡΑΒΟΣΙΤΟΣ ΕΝΣΙΡΩΣΗΣ32131</t>
  </si>
  <si>
    <t>ΑΡΑΒΟΣΙΤΟΣ LG31695</t>
  </si>
  <si>
    <t>ΑΡΑΒΟΣΙΤΟΣ ΕΝΣΙΡΩΣΗΣ32132</t>
  </si>
  <si>
    <t>ΑΡΑΒΟΣΙΤΟΣ DKC6050</t>
  </si>
  <si>
    <t>ΑΡΑΒΟΣΙΤΟΣ ΕΝΣΙΡΩΣΗΣ32133</t>
  </si>
  <si>
    <t>ΑΡΑΒΟΣΙΤΟΣ DKC5182</t>
  </si>
  <si>
    <t>ΑΡΑΒΟΣΙΤΟΣ ΕΝΣΙΡΩΣΗΣ32134</t>
  </si>
  <si>
    <t>ΑΡΑΒΟΣΙΤΟΣ P0900</t>
  </si>
  <si>
    <t>ΑΡΑΒΟΣΙΤΟΣ ΕΝΣΙΡΩΣΗΣ32135</t>
  </si>
  <si>
    <t>ΑΡΑΒΟΣΙΤΟΣ P0023</t>
  </si>
  <si>
    <t>ΑΡΑΒΟΣΙΤΟΣ ΕΝΣΙΡΩΣΗΣ32136</t>
  </si>
  <si>
    <t>ΑΡΑΒΟΣΙΤΟΣ 68K</t>
  </si>
  <si>
    <t>ΑΡΑΒΟΣΙΤΟΣ ΕΝΣΙΡΩΣΗΣ32137</t>
  </si>
  <si>
    <t>ΑΡΑΒΟΣΙΤΟΣ KWS INTELIGENS</t>
  </si>
  <si>
    <t>ΑΡΑΒΟΣΙΤΟΣ ΕΝΣΙΡΩΣΗΣ32138</t>
  </si>
  <si>
    <t>ΑΡΑΒΟΣΙΤΟΣ FUERZA</t>
  </si>
  <si>
    <t>ΑΡΑΒΟΣΙΤΟΣ ΕΝΣΙΡΩΣΗΣ32139</t>
  </si>
  <si>
    <t>ΑΡΑΒΟΣΙΤΟΣ SNH 9609</t>
  </si>
  <si>
    <t>ΑΡΑΒΟΣΙΤΟΣ ΕΝΣΙΡΩΣΗΣ32140</t>
  </si>
  <si>
    <t>ΑΡΑΒΟΣΙΤΟΣ OTAKAU</t>
  </si>
  <si>
    <t>ΑΡΑΒΟΣΙΤΟΣ ΕΝΣΙΡΩΣΗΣ32141</t>
  </si>
  <si>
    <t>ΑΡΑΒΟΣΙΤΟΣ RUNANGA</t>
  </si>
  <si>
    <t>ΑΡΑΒΟΣΙΤΟΣ ΕΝΣΙΡΩΣΗΣ32142</t>
  </si>
  <si>
    <t>ΑΡΑΒΟΣΙΤΟΣ P2085</t>
  </si>
  <si>
    <t>ΑΡΑΒΟΣΙΤΟΣ ΕΝΣΙΡΩΣΗΣ32143</t>
  </si>
  <si>
    <t>ΑΡΑΒΟΣΙΤΟΣ SMEDEREVO</t>
  </si>
  <si>
    <t>ΑΡΑΒΟΣΙΤΟΣ ΕΝΣΙΡΩΣΗΣ32144</t>
  </si>
  <si>
    <t>ΑΡΑΒΟΣΙΤΟΣ DKC6492</t>
  </si>
  <si>
    <t>ΑΡΑΒΟΣΙΤΟΣ ΕΝΣΙΡΩΣΗΣ32145</t>
  </si>
  <si>
    <t>ΑΡΑΒΟΣΙΤΟΣ DKC6092</t>
  </si>
  <si>
    <t>ΑΡΑΒΟΣΙΤΟΣ ΕΝΣΙΡΩΣΗΣ32146</t>
  </si>
  <si>
    <t>ΑΡΑΒΟΣΙΤΟΣ SY GIANT</t>
  </si>
  <si>
    <t>ΑΡΑΒΟΣΙΤΟΣ ΕΝΣΙΡΩΣΗΣ32147</t>
  </si>
  <si>
    <t>ΑΡΑΒΟΣΙΤΟΣ SNH9503</t>
  </si>
  <si>
    <t>ΑΡΑΒΟΣΙΤΟΣ ΕΝΣΙΡΩΣΗΣ32148</t>
  </si>
  <si>
    <t>ΑΡΑΒΟΣΙΤΟΣ ABANTO</t>
  </si>
  <si>
    <t>ΑΡΑΒΟΣΙΤΟΣ ΕΝΣΙΡΩΣΗΣ32149</t>
  </si>
  <si>
    <t>ΑΡΑΒΟΣΙΤΟΣ MAY 75</t>
  </si>
  <si>
    <t>ΑΡΑΒΟΣΙΤΟΣ ΕΝΣΙΡΩΣΗΣ32150</t>
  </si>
  <si>
    <t>ΑΡΑΒΟΣΙΤΟΣ WICHITA</t>
  </si>
  <si>
    <t>ΑΡΑΒΟΣΙΤΟΣ ΕΝΣΙΡΩΣΗΣ32151</t>
  </si>
  <si>
    <t>ΑΡΑΒΟΣΙΤΟΣ DKC6919</t>
  </si>
  <si>
    <t>ΑΡΑΒΟΣΙΤΟΣ ΕΝΣΙΡΩΣΗΣ32152</t>
  </si>
  <si>
    <t>ΑΡΑΒΟΣΙΤΟΣ DKC6808</t>
  </si>
  <si>
    <t>ΑΡΑΒΟΣΙΤΟΣ ΕΝΣΙΡΩΣΗΣ32153</t>
  </si>
  <si>
    <t>ΑΡΑΒΟΣΙΤΟΣ LG30685</t>
  </si>
  <si>
    <t>ΑΡΑΒΟΣΙΤΟΣ ΕΝΣΙΡΩΣΗΣ32154</t>
  </si>
  <si>
    <t>ΑΡΑΒΟΣΙΤΟΣ FENWAY</t>
  </si>
  <si>
    <t>ΑΡΑΒΟΣΙΤΟΣ ΕΝΣΙΡΩΣΗΣ32155</t>
  </si>
  <si>
    <t>ΑΡΑΒΟΣΙΤΟΣ DKC6812</t>
  </si>
  <si>
    <t>ΑΡΑΒΟΣΙΤΟΣ ΕΝΣΙΡΩΣΗΣ32156</t>
  </si>
  <si>
    <t>ΑΡΑΒΟΣΙΤΟΣ SY GLADIUS</t>
  </si>
  <si>
    <t>ΑΡΑΒΟΣΙΤΟΣ ΕΝΣΙΡΩΣΗΣ32157</t>
  </si>
  <si>
    <t>ΑΡΑΒΟΣΙΤΟΣ SY GIANTS</t>
  </si>
  <si>
    <t>ΑΡΑΒΟΣΙΤΟΣ ΕΝΣΙΡΩΣΗΣ32158</t>
  </si>
  <si>
    <t>ΑΡΑΒΟΣΙΤΟΣ SY ANDROMEDA</t>
  </si>
  <si>
    <t>ΑΡΑΒΟΣΙΤΟΣ ΕΝΣΙΡΩΣΗΣ32159</t>
  </si>
  <si>
    <t>ΑΡΑΒΟΣΙΤΟΣ P1441</t>
  </si>
  <si>
    <t>ΑΡΑΒΟΣΙΤΟΣ ΕΝΣΙΡΩΣΗΣ32160</t>
  </si>
  <si>
    <t>ΑΡΑΒΟΣΙΤΟΣ P1884</t>
  </si>
  <si>
    <t>ΑΡΑΒΟΣΙΤΟΣ ΕΝΣΙΡΩΣΗΣ32161</t>
  </si>
  <si>
    <t>ΑΡΑΒΟΣΙΤΟΣ DKC7084</t>
  </si>
  <si>
    <t>ΑΡΑΒΟΣΙΤΟΣ ΕΝΣΙΡΩΣΗΣ32162</t>
  </si>
  <si>
    <t>ΑΡΑΒΟΣΙΤΟΣ KWS KULMOS</t>
  </si>
  <si>
    <t>ΑΡΑΒΟΣΙΤΟΣ ΕΝΣΙΡΩΣΗΣ32163</t>
  </si>
  <si>
    <t>ΑΡΑΒΟΣΙΤΟΣ DKC7107</t>
  </si>
  <si>
    <t>ΑΡΑΒΟΣΙΤΟΣ ΕΝΣΙΡΩΣΗΣ32164</t>
  </si>
  <si>
    <t>ΑΡΑΒΟΣΙΤΟΣ KWS POSEIDO</t>
  </si>
  <si>
    <t>ΑΡΑΒΟΣΙΤΟΣ ΕΝΣΙΡΩΣΗΣ32165</t>
  </si>
  <si>
    <t>ΑΡΑΒΟΣΙΤΟΣ MAS 582D</t>
  </si>
  <si>
    <t>ΑΡΑΒΟΣΙΤΟΣ ΕΝΣΙΡΩΣΗΣ32167</t>
  </si>
  <si>
    <t>ΑΡΑΒΟΣΙΤΟΣ KWS OLIMPION</t>
  </si>
  <si>
    <t>ΑΡΑΒΟΣΙΤΟΣ ΕΝΣΙΡΩΣΗΣ32168</t>
  </si>
  <si>
    <t>ΑΡΑΒΟΣΙΤΟΣ ZP606</t>
  </si>
  <si>
    <t>ΑΡΑΒΟΣΙΤΟΣ ΕΝΣΙΡΩΣΗΣ32169</t>
  </si>
  <si>
    <t>ΑΡΑΒΟΣΙΤΟΣ DKC5404</t>
  </si>
  <si>
    <t>ΑΡΑΒΟΣΙΤΟΣ ΕΝΣΙΡΩΣΗΣ32170</t>
  </si>
  <si>
    <t>ΑΡΑΒΟΣΙΤΟΣ ZP560</t>
  </si>
  <si>
    <t>ΑΡΑΒΟΣΙΤΟΣ ΕΝΣΙΡΩΣΗΣ32171</t>
  </si>
  <si>
    <t>ΑΡΑΒΟΣΙΤΟΣ P2141</t>
  </si>
  <si>
    <t>ΑΡΑΒΟΣΙΤΟΣ ΕΝΣΙΡΩΣΗΣ32172</t>
  </si>
  <si>
    <t>ΑΡΑΒΟΣΙΤΟΣ LG30692</t>
  </si>
  <si>
    <t>ΑΡΑΒΟΣΙΤΟΣ ΕΝΣΙΡΩΣΗΣ32173</t>
  </si>
  <si>
    <t>ΑΡΑΒΟΣΙΤΟΣ LG31677</t>
  </si>
  <si>
    <t>ΑΡΑΒΟΣΙΤΟΣ ΕΝΣΙΡΩΣΗΣ32174</t>
  </si>
  <si>
    <t>ΑΡΑΒΟΣΙΤΟΣ LG31642</t>
  </si>
  <si>
    <t>ΑΡΑΒΟΣΙΤΟΣ ΕΝΣΙΡΩΣΗΣ32175</t>
  </si>
  <si>
    <t>ΑΡΑΒΟΣΙΤΟΣ 72MAY80</t>
  </si>
  <si>
    <t>ΑΡΑΒΟΣΙΤΟΣ ΕΝΣΙΡΩΣΗΣ32176</t>
  </si>
  <si>
    <t>ΑΡΑΒΟΣΙΤΟΣ KWS ELEKTRO</t>
  </si>
  <si>
    <t>ΑΡΑΒΟΣΙΤΟΣ ΕΝΣΙΡΩΣΗΣ32178</t>
  </si>
  <si>
    <t>ΑΡΑΒΟΣΙΤΟΣ SY BAMBUS</t>
  </si>
  <si>
    <t>ΑΡΑΒΟΣΙΤΟΣ ΕΝΣΙΡΩΣΗΣ32179</t>
  </si>
  <si>
    <t>ΑΡΑΒΟΣΙΤΟΣ 77MAY35</t>
  </si>
  <si>
    <t>ΑΡΑΒΟΣΙΤΟΣ ΕΝΣΙΡΩΣΗΣ32181</t>
  </si>
  <si>
    <t>ΑΡΑΒΟΣΙΤΟΣ P1332</t>
  </si>
  <si>
    <t>ΑΡΑΒΟΣΙΤΟΣ ΕΝΣΙΡΩΣΗΣ32182</t>
  </si>
  <si>
    <t>ΑΡΑΒΟΣΙΤΟΣ ZP 707</t>
  </si>
  <si>
    <t>ΑΡΑΒΟΣΙΤΟΣ ΕΝΣΙΡΩΣΗΣ32183</t>
  </si>
  <si>
    <t>ΑΡΑΒΟΣΙΤΟΣ P9241</t>
  </si>
  <si>
    <t>ΑΡΑΒΟΣΙΤΟΣ ΕΝΣΙΡΩΣΗΣ32184</t>
  </si>
  <si>
    <t>ΑΡΑΒΟΣΙΤΟΣ KOLOSSEUS</t>
  </si>
  <si>
    <t>ΑΡΑΒΟΣΙΤΟΣ ΕΝΣΙΡΩΣΗΣ32185</t>
  </si>
  <si>
    <t>ΑΡΑΒΟΣΙΤΟΣ SY CARIOCA</t>
  </si>
  <si>
    <t>ΑΡΑΒΟΣΙΤΟΣ ΕΝΣΙΡΩΣΗΣ32186</t>
  </si>
  <si>
    <t>ΑΡΑΒΟΣΙΤΟΣ SY ARNOLD</t>
  </si>
  <si>
    <t>ΑΡΑΒΟΣΙΤΟΣ ΕΝΣΙΡΩΣΗΣ32187</t>
  </si>
  <si>
    <t>ΑΡΑΒΟΣΙΤΟΣ P1541</t>
  </si>
  <si>
    <t>ΑΡΑΒΟΣΙΤΟΣ ΕΝΣΙΡΩΣΗΣ32188</t>
  </si>
  <si>
    <t>ΑΡΑΒΟΣΙΤΟΣ INDEM668</t>
  </si>
  <si>
    <t>ΑΡΑΒΟΣΙΤΟΣ ΕΝΣΙΡΩΣΗΣ32189</t>
  </si>
  <si>
    <t>ΑΡΑΒΟΣΙΤΟΣ SY PROSPERIC</t>
  </si>
  <si>
    <t>ΑΡΑΒΟΣΙΤΟΣ ΕΝΣΙΡΩΣΗΣ32190</t>
  </si>
  <si>
    <t>ΑΡΑΒΟΣΙΤΟΣ SY FONTERO</t>
  </si>
  <si>
    <t>ΑΡΑΒΟΣΙΤΟΣ ΕΝΣΙΡΩΣΗΣ32191</t>
  </si>
  <si>
    <t>ΑΡΑΒΟΣΙΤΟΣ ZPSC600</t>
  </si>
  <si>
    <t>ΑΡΑΒΟΣΙΤΟΣ ΕΝΣΙΡΩΣΗΣ32192</t>
  </si>
  <si>
    <t>ΑΡΑΒΟΣΙΤΟΣ KERBANIS</t>
  </si>
  <si>
    <t>ΑΡΑΒΟΣΙΤΟΣ ΕΝΣΙΡΩΣΗΣ32193</t>
  </si>
  <si>
    <t>ΑΡΑΒΟΣΙΤΟΣ ZP 7357</t>
  </si>
  <si>
    <t>ΑΡΑΒΟΣΙΤΟΣ ΕΝΣΙΡΩΣΗΣ32194</t>
  </si>
  <si>
    <t>ΑΡΑΒΟΣΙΤΟΣ ALTAMIRA</t>
  </si>
  <si>
    <t>ΑΡΑΒΟΣΙΤΟΣ ΕΝΣΙΡΩΣΗΣ32195</t>
  </si>
  <si>
    <t>ΑΡΑΒΟΣΙΤΟΣ ALTEA</t>
  </si>
  <si>
    <t>ΑΡΑΒΟΣΙΤΟΣ ΕΝΣΙΡΩΣΗΣ32197</t>
  </si>
  <si>
    <t>ΑΡΑΒΟΣΙΤΟΣ ANTILLA</t>
  </si>
  <si>
    <t>ΑΡΑΒΟΣΙΤΟΣ ΕΝΣΙΡΩΣΗΣ32198</t>
  </si>
  <si>
    <t>ΑΡΑΒΟΣΙΤΟΣ HATAY</t>
  </si>
  <si>
    <t>ΑΡΑΒΟΣΙΤΟΣ ΕΝΣΙΡΩΣΗΣ32199</t>
  </si>
  <si>
    <t>ΑΡΑΒΟΣΙΤΟΣ LERMA</t>
  </si>
  <si>
    <t>ΑΡΑΒΟΣΙΤΟΣ ΕΝΣΙΡΩΣΗΣ32200</t>
  </si>
  <si>
    <t>ΑΡΑΒΟΣΙΤΟΣ PORTBOU</t>
  </si>
  <si>
    <t>ΑΡΑΒΟΣΙΤΟΣ ΕΝΣΙΡΩΣΗΣ32201</t>
  </si>
  <si>
    <t>ΑΡΑΒΟΣΙΤΟΣ SAGUNTO</t>
  </si>
  <si>
    <t>ΑΡΑΒΟΣΙΤΟΣ ΕΝΣΙΡΩΣΗΣ32202</t>
  </si>
  <si>
    <t>ΑΡΑΒΟΣΙΤΟΣ SNH8605</t>
  </si>
  <si>
    <t>ΑΡΑΒΟΣΙΤΟΣ ΕΝΣΙΡΩΣΗΣ32203</t>
  </si>
  <si>
    <t>ΑΡΑΒΟΣΙΤΟΣ SNH9402</t>
  </si>
  <si>
    <t>ΑΡΑΒΟΣΙΤΟΣ ΕΝΣΙΡΩΣΗΣ32204</t>
  </si>
  <si>
    <t>ΑΡΑΒΟΣΙΤΟΣ P1517W</t>
  </si>
  <si>
    <t>ΑΡΑΒΟΣΙΤΟΣ ΕΝΣΙΡΩΣΗΣ32205</t>
  </si>
  <si>
    <t>ΑΡΑΒΟΣΙΤΟΣ P0710</t>
  </si>
  <si>
    <t>ΑΡΑΒΟΣΙΤΟΣ ΕΝΣΙΡΩΣΗΣ32207</t>
  </si>
  <si>
    <t>ΑΡΑΒΟΣΙΤΟΣ KWS HYPOLITO</t>
  </si>
  <si>
    <t>ΑΡΑΒΟΣΙΤΟΣ ΕΝΣΙΡΩΣΗΣ32208</t>
  </si>
  <si>
    <t>ΑΡΑΒΟΣΙΤΟΣ GW3378</t>
  </si>
  <si>
    <t>ΑΡΑΒΟΣΙΤΟΣ ΕΝΣΙΡΩΣΗΣ32209</t>
  </si>
  <si>
    <t>ΑΡΑΒΟΣΙΤΟΣ ALIGAR</t>
  </si>
  <si>
    <t>ΑΡΑΒΟΣΙΤΟΣ ΕΝΣΙΡΩΣΗΣ32210</t>
  </si>
  <si>
    <t>ΑΡΑΒΟΣΙΤΟΣ 75ΜΑΥ75</t>
  </si>
  <si>
    <t>ΑΡΑΒΟΣΙΤΟΣ ΕΝΣΙΡΩΣΗΣ32211</t>
  </si>
  <si>
    <t>ΑΡΑΒΟΣΙΤΟΣ KWS KERUBINO</t>
  </si>
  <si>
    <t>ΑΡΑΒΟΣΙΤΟΣ ΕΝΣΙΡΩΣΗΣ32212</t>
  </si>
  <si>
    <t>ΑΡΑΒΟΣΙΤΟΣ P0920</t>
  </si>
  <si>
    <t>ΑΡΑΒΟΣΙΤΟΣ ΕΝΣΙΡΩΣΗΣ32213</t>
  </si>
  <si>
    <t>ΑΡΑΒΟΣΙΤΟΣ SNH3616A5</t>
  </si>
  <si>
    <t>ΑΡΑΒΟΣΙΤΟΣ ΕΝΣΙΡΩΣΗΣ32214</t>
  </si>
  <si>
    <t>ΑΡΑΒΟΣΙΤΟΣ</t>
  </si>
  <si>
    <t>ΑΡΑΒΟΣΙΤΟΣ ΕΝΣΙΡΩΣΗΣ32215</t>
  </si>
  <si>
    <t>ΑΡΑΒΟΣΙΤΟΣ KEBEOS</t>
  </si>
  <si>
    <t>ΑΡΑΒΟΣΙΤΟΣ ΕΝΣΙΡΩΣΗΣ32216</t>
  </si>
  <si>
    <t>ΑΡΑΒΟΣΙΤΟΣ KWS KANTICO</t>
  </si>
  <si>
    <t>ΑΡΑΒΟΣΙΤΟΣ ΕΝΣΙΡΩΣΗΣ32217</t>
  </si>
  <si>
    <t>ΑΡΑΒΟΣΙΤΟΣ P1410</t>
  </si>
  <si>
    <t>ΑΡΑΒΟΣΙΤΟΣ ΕΝΣΙΡΩΣΗΣ32218</t>
  </si>
  <si>
    <t>ΑΡΑΒΟΣΙΤΟΣ SY FUERZA</t>
  </si>
  <si>
    <t>ΑΡΑΒΟΣΙΤΟΣ ΕΝΣΙΡΩΣΗΣ32219</t>
  </si>
  <si>
    <t>ΑΡΑΒΟΣΙΤΟΣ MAS 59K</t>
  </si>
  <si>
    <t>ΑΡΑΒΟΣΙΤΟΣ ΕΝΣΙΡΩΣΗΣ32221</t>
  </si>
  <si>
    <t>ΑΡΑΒΟΣΙΤΟΣ P2046</t>
  </si>
  <si>
    <t>ΑΡΑΒΟΣΙΤΟΣ ΕΝΣΙΡΩΣΗΣ32222</t>
  </si>
  <si>
    <t>ΑΡΑΒΟΣΙΤΟΣ KWS LEONIDAS</t>
  </si>
  <si>
    <t>ΑΡΑΒΟΣΙΤΟΣ ΕΝΣΙΡΩΣΗΣ32223</t>
  </si>
  <si>
    <t>ΑΡΑΒΟΣΙΤΟΣ SNH7603</t>
  </si>
  <si>
    <t>ΑΡΑΒΟΣΙΤΟΣ ΕΝΣΙΡΩΣΗΣ32224</t>
  </si>
  <si>
    <t>ΑΡΑΒΟΣΙΤΟΣ GRIGRI CS</t>
  </si>
  <si>
    <t>ΑΡΑΒΟΣΙΤΟΣ ΕΝΣΙΡΩΣΗΣ32225</t>
  </si>
  <si>
    <t>ΑΡΑΒΟΣΙΤΟΣ P9889</t>
  </si>
  <si>
    <t>ΑΡΑΒΟΣΙΤΟΣ ΕΝΣΙΡΩΣΗΣ32226</t>
  </si>
  <si>
    <t>ΑΡΑΒΟΣΙΤΟΣ ZP ERRIKO</t>
  </si>
  <si>
    <t>ΑΡΑΒΟΣΙΤΟΣ ΕΝΣΙΡΩΣΗΣ32227</t>
  </si>
  <si>
    <t>ΑΡΑΒΟΣΙΤΟΣ P0551</t>
  </si>
  <si>
    <t>ΑΡΑΒΟΣΙΤΟΣ ΕΝΣΙΡΩΣΗΣ32228</t>
  </si>
  <si>
    <t>ΑΡΑΒΟΣΙΤΟΣ P0450</t>
  </si>
  <si>
    <t>ΑΡΑΒΟΣΙΤΟΣ ΕΝΣΙΡΩΣΗΣ32229</t>
  </si>
  <si>
    <t>ΑΡΑΒΟΣΙΤΟΣ P9978</t>
  </si>
  <si>
    <t>ΑΡΑΒΟΣΙΤΟΣ ΕΝΣΙΡΩΣΗΣ32230</t>
  </si>
  <si>
    <t>ΑΡΑΒΟΣΙΤΟΣ KWS CAMILLO</t>
  </si>
  <si>
    <t>ΑΡΑΒΟΣΙΤΟΣ ΕΝΣΙΡΩΣΗΣ32231</t>
  </si>
  <si>
    <t>ΑΡΑΒΟΣΙΤΟΣ P1096</t>
  </si>
  <si>
    <t>ΑΡΑΒΟΣΙΤΟΣ ΕΝΣΙΡΩΣΗΣ32232</t>
  </si>
  <si>
    <t>ΑΡΑΒΟΣΙΤΟΣ TOPOLA</t>
  </si>
  <si>
    <t>ΑΡΑΒΟΣΙΤΟΣ ΕΝΣΙΡΩΣΗΣ32233</t>
  </si>
  <si>
    <t>ΑΡΑΒΟΣΙΤΟΣ P9903</t>
  </si>
  <si>
    <t>ΑΡΑΒΟΣΙΤΟΣ ΕΝΣΙΡΩΣΗΣ32234</t>
  </si>
  <si>
    <t>ΑΡΑΒΟΣΙΤΟΣ KONFITES</t>
  </si>
  <si>
    <t>ΑΡΑΒΟΣΙΤΟΣ ΕΝΣΙΡΩΣΗΣ32235</t>
  </si>
  <si>
    <t>ΑΡΑΒΟΣΙΤΟΣ OVERLAND</t>
  </si>
  <si>
    <t>ΑΡΑΒΟΣΙΤΟΣ ΕΝΣΙΡΩΣΗΣ32236</t>
  </si>
  <si>
    <t>ΑΡΑΒΟΣΙΤΟΣ P0260</t>
  </si>
  <si>
    <t>ΑΡΑΒΟΣΙΤΟΣ ΕΝΣΙΡΩΣΗΣ32237</t>
  </si>
  <si>
    <t>ΑΡΑΒΟΣΙΤΟΣ P9610</t>
  </si>
  <si>
    <t>ΑΡΑΒΟΣΙΤΟΣ ΕΝΣΙΡΩΣΗΣ32238</t>
  </si>
  <si>
    <t>ΑΡΑΒΟΣΙΟΣ GUSTA</t>
  </si>
  <si>
    <t>ΑΡΑΒΟΣΙΤΟΣ ΕΝΣΙΡΩΣΗΣ32239</t>
  </si>
  <si>
    <t>ΑΡΑΒΟΣΙΤΟΣ CAPUZI</t>
  </si>
  <si>
    <t>ΑΡΑΒΟΣΙΤΟΣ ΕΝΣΙΡΩΣΗΣ32240</t>
  </si>
  <si>
    <t>ΑΡΑΒΟΣΙΤΟΣ MANCINI</t>
  </si>
  <si>
    <t>ΑΡΑΒΟΣΙΤΟΣ ΕΝΣΙΡΩΣΗΣ32241</t>
  </si>
  <si>
    <t>ΑΡΑΒΟΣΙΤΟΣ TOPECA</t>
  </si>
  <si>
    <t>ΑΡΑΒΟΣΙΤΟΣ ΕΝΣΙΡΩΣΗΣ32242</t>
  </si>
  <si>
    <t>ΑΡΑΒΟΣΙΤΟΣ SHANIYA</t>
  </si>
  <si>
    <t>ΑΡΑΒΟΣΙΤΟΣ ΕΝΣΙΡΩΣΗΣ32243</t>
  </si>
  <si>
    <t>ΑΡΑΒΟΣΙΤΟΣ DS23188C</t>
  </si>
  <si>
    <t>ΑΡΑΒΟΣΙΤΟΣ ΕΝΣΙΡΩΣΗΣ32244</t>
  </si>
  <si>
    <t>ΑΡΑΒΟΣΙΤΟΣ ΑΘΗΝΑ</t>
  </si>
  <si>
    <t>ΑΡΑΒΟΣΙΤΟΣ ΕΝΣΙΡΩΣΗΣ8002</t>
  </si>
  <si>
    <t>ΑΡΑΒΟΣΙΤΟΣ ΑΛΕΞΑΝΔΡΟΣ</t>
  </si>
  <si>
    <t>ΑΡΑΒΟΣΙΤΟΣ ΕΝΣΙΡΩΣΗΣ8005</t>
  </si>
  <si>
    <t>ΑΡΑΒΟΣΙΤΟΣ ΑΝΘΙΠΠΗ</t>
  </si>
  <si>
    <t>ΑΡΑΒΟΣΙΤΟΣ ΕΝΣΙΡΩΣΗΣ8011</t>
  </si>
  <si>
    <t>ΑΡΑΒΟΣΙΤΟΣ ΑΞΙΟΣ</t>
  </si>
  <si>
    <t>ΑΡΑΒΟΣΙΤΟΣ ΕΝΣΙΡΩΣΗΣ8012</t>
  </si>
  <si>
    <t>ΑΡΑΒΟΣΙΤΟΣ ΑΡΗΣ</t>
  </si>
  <si>
    <t>ΑΡΑΒΟΣΙΤΟΣ ΕΝΣΙΡΩΣΗΣ8014</t>
  </si>
  <si>
    <t>ΑΡΑΒΟΣΙΤΟΣ Z.P 704</t>
  </si>
  <si>
    <t>ΑΡΑΒΟΣΙΤΟΣ ΕΝΣΙΡΩΣΗΣ8016</t>
  </si>
  <si>
    <t>ΑΡΑΒΟΣΙΤΟΣ31001</t>
  </si>
  <si>
    <t>3.1</t>
  </si>
  <si>
    <t>ΑΡΑΒΟΣΙΤΟΣ31002</t>
  </si>
  <si>
    <t>ΑΡΑΒΟΣΙΤΟΣ31003</t>
  </si>
  <si>
    <t>ΑΡΑΒΟΣΙΤΟΣ LG3440</t>
  </si>
  <si>
    <t>ΑΡΑΒΟΣΙΤΟΣ31004</t>
  </si>
  <si>
    <t>ΑΡΑΒΟΣΙΤΟΣ LG3710</t>
  </si>
  <si>
    <t>ΑΡΑΒΟΣΙΤΟΣ31005</t>
  </si>
  <si>
    <t>ΑΡΑΒΟΣΙΤΟΣ LG3713</t>
  </si>
  <si>
    <t>ΑΡΑΒΟΣΙΤΟΣ31006</t>
  </si>
  <si>
    <t>ΑΡΑΒΟΣΙΤΟΣ31007</t>
  </si>
  <si>
    <t>ΑΡΑΒΟΣΙΤΟΣ31008</t>
  </si>
  <si>
    <t>ΑΡΑΒΟΣΙΤΟΣ LG3535</t>
  </si>
  <si>
    <t>ΑΡΑΒΟΣΙΤΟΣ31009</t>
  </si>
  <si>
    <t>ΑΡΑΒΟΣΙΤΟΣ31010</t>
  </si>
  <si>
    <t>ΑΡΑΒΟΣΙΤΟΣ31011</t>
  </si>
  <si>
    <t>ΑΡΑΒΟΣΙΤΟΣ LG30681</t>
  </si>
  <si>
    <t>ΑΡΑΒΟΣΙΤΟΣ31012</t>
  </si>
  <si>
    <t>ΑΡΑΒΟΣΙΤΟΣ31013</t>
  </si>
  <si>
    <t>ΑΡΑΒΟΣΙΤΟΣ PONCHO</t>
  </si>
  <si>
    <t>ΑΡΑΒΟΣΙΤΟΣ31014</t>
  </si>
  <si>
    <t>ΑΡΑΒΟΣΙΤΟΣ31015</t>
  </si>
  <si>
    <t>ΑΡΑΒΟΣΙΤΟΣ31016</t>
  </si>
  <si>
    <t>ΑΡΑΒΟΣΙΤΟΣ31017</t>
  </si>
  <si>
    <t>ΑΡΑΒΟΣΙΤΟΣ31018</t>
  </si>
  <si>
    <t>ΑΡΑΒΟΣΙΤΟΣ NK GIGANTIC</t>
  </si>
  <si>
    <t>ΑΡΑΒΟΣΙΤΟΣ31019</t>
  </si>
  <si>
    <t>ΑΡΑΒΟΣΙΤΟΣ31021</t>
  </si>
  <si>
    <t>ΑΡΑΒΟΣΙΤΟΣ31022</t>
  </si>
  <si>
    <t>ΑΡΑΒΟΣΙΤΟΣ31023</t>
  </si>
  <si>
    <t>ΑΡΑΒΟΣΙΤΟΣ31024</t>
  </si>
  <si>
    <t>ΑΡΑΒΟΣΙΤΟΣ31025</t>
  </si>
  <si>
    <t>ΑΡΑΒΟΣΙΤΟΣ NKFACTOR</t>
  </si>
  <si>
    <t>ΑΡΑΒΟΣΙΤΟΣ31026</t>
  </si>
  <si>
    <t>ΑΡΑΒΟΣΙΤΟΣ31027</t>
  </si>
  <si>
    <t>ΑΡΑΒΟΣΙΤΟΣ DKC5276</t>
  </si>
  <si>
    <t>ΑΡΑΒΟΣΙΤΟΣ31028</t>
  </si>
  <si>
    <t>ΑΡΑΒΟΣΙΤΟΣ31029</t>
  </si>
  <si>
    <t>ΑΡΑΒΟΣΙΤΟΣ ΑΡΑΒΟΣΙΤΟΣ 89ΜΑΥ70</t>
  </si>
  <si>
    <t>ΑΡΑΒΟΣΙΤΟΣ31030</t>
  </si>
  <si>
    <t>AS 170 SILAZ</t>
  </si>
  <si>
    <t>ΑΡΑΒΟΣΙΤΟΣ31031</t>
  </si>
  <si>
    <t>AS 537</t>
  </si>
  <si>
    <t>ΑΡΑΒΟΣΙΤΟΣ31032</t>
  </si>
  <si>
    <t>ΑΡΑΒΟΣΙΤΟΣ PR31D24</t>
  </si>
  <si>
    <t>ΑΡΑΒΟΣΙΤΟΣ31033</t>
  </si>
  <si>
    <t>ΑΡΑΒΟΣΙΤΟΣ DKC6724</t>
  </si>
  <si>
    <t>ΑΡΑΒΟΣΙΤΟΣ31034</t>
  </si>
  <si>
    <t>ΑΡΑΒΟΣΙΤΟΣ31035</t>
  </si>
  <si>
    <t>ΑΡΑΒΟΣΙΤΟΣ CALGARI</t>
  </si>
  <si>
    <t>ΑΡΑΒΟΣΙΤΟΣ31036</t>
  </si>
  <si>
    <t>ΑΡΑΒΟΣΙΤΟΣ31037</t>
  </si>
  <si>
    <t>ΑΡΑΒΟΣΙΤΟΣ AS72 AS 72</t>
  </si>
  <si>
    <t>ΑΡΑΒΟΣΙΤΟΣ31038</t>
  </si>
  <si>
    <t>ΑΡΑΒΟΣΙΤΟΣ31039</t>
  </si>
  <si>
    <t>ΑΡΑΒΟΣΙΤΟΣ BC 678</t>
  </si>
  <si>
    <t>ΑΡΑΒΟΣΙΤΟΣ31040</t>
  </si>
  <si>
    <t>ΑΡΑΒΟΣΙΤΟΣ31041</t>
  </si>
  <si>
    <t>ΑΡΑΒΟΣΙΤΟΣ31042</t>
  </si>
  <si>
    <t>ΑΡΑΒΟΣΙΤΟΣ31043</t>
  </si>
  <si>
    <t>ΑΡΑΒΟΣΙΤΟΣ31044</t>
  </si>
  <si>
    <t>ΑΡΑΒΟΣΙΤΟΣ31045</t>
  </si>
  <si>
    <t>ΑΡΑΒΟΣΙΤΟΣ31046</t>
  </si>
  <si>
    <t>ΑΡΑΒΟΣΙΤΟΣ PR31Y43</t>
  </si>
  <si>
    <t>ΑΡΑΒΟΣΙΤΟΣ31047</t>
  </si>
  <si>
    <t>ΑΡΑΒΟΣΙΤΟΣ31048</t>
  </si>
  <si>
    <t>ΑΡΑΒΟΣΙΤΟΣ31049</t>
  </si>
  <si>
    <t>ΑΡΑΒΟΣΙΤΟΣ31050</t>
  </si>
  <si>
    <t>ΑΡΑΒΟΣΙΤΟΣ31051</t>
  </si>
  <si>
    <t>ΑΡΑΒΟΣΙΤΟΣ31052</t>
  </si>
  <si>
    <t>ΑΡΑΒΟΣΙΤΟΣ31053</t>
  </si>
  <si>
    <t>ΑΡΑΒΟΣΙΤΟΣ31054</t>
  </si>
  <si>
    <t>ΑΡΑΒΟΣΙΤΟΣ31055</t>
  </si>
  <si>
    <t>ΑΡΑΒΟΣΙΤΟΣ GW 572</t>
  </si>
  <si>
    <t>ΑΡΑΒΟΣΙΤΟΣ31056</t>
  </si>
  <si>
    <t>ΑΡΑΒΟΣΙΤΟΣ31057</t>
  </si>
  <si>
    <t>ΑΡΑΒΟΣΙΤΟΣ MARI NS</t>
  </si>
  <si>
    <t>ΑΡΑΒΟΣΙΤΟΣ31058</t>
  </si>
  <si>
    <t>ΑΡΑΒΟΣΙΤΟΣ31059</t>
  </si>
  <si>
    <t>ΑΡΑΒΟΣΙΤΟΣ31060</t>
  </si>
  <si>
    <t>ΑΡΑΒΟΣΙΤΟΣ31061</t>
  </si>
  <si>
    <t>ΑΡΑΒΟΣΙΤΟΣ31062</t>
  </si>
  <si>
    <t>ΑΡΑΒΟΣΙΤΟΣ31063</t>
  </si>
  <si>
    <t>ΑΡΑΒΟΣΙΤΟΣ31064</t>
  </si>
  <si>
    <t>ΑΡΑΒΟΣΙΤΟΣ31065</t>
  </si>
  <si>
    <t>ΑΡΑΒΟΣΙΤΟΣ31066</t>
  </si>
  <si>
    <t>ΑΡΑΒΟΣΙΤΟΣ31067</t>
  </si>
  <si>
    <t>ΑΡΑΒΟΣΙΤΟΣ31068</t>
  </si>
  <si>
    <t>ΑΡΑΒΟΣΙΤΟΣ31069</t>
  </si>
  <si>
    <t>ΑΡΑΒΟΣΙΤΟΣ31070</t>
  </si>
  <si>
    <t>ΑΡΑΒΟΣΙΤΟΣ31071</t>
  </si>
  <si>
    <t>ΑΡΑΒΟΣΙΤΟΣ31072</t>
  </si>
  <si>
    <t>ΑΡΑΒΟΣΙΤΟΣ31073</t>
  </si>
  <si>
    <t>ΑΡΑΒΟΣΙΤΟΣ31074</t>
  </si>
  <si>
    <t>ΑΡΑΒΟΣΙΤΟΣ31075</t>
  </si>
  <si>
    <t>ΑΡΑΒΟΣΙΤΟΣ31076</t>
  </si>
  <si>
    <t>ΑΡΑΒΟΣΙΤΟΣ31077</t>
  </si>
  <si>
    <t>ΑΡΑΒΟΣΙΤΟΣ31078</t>
  </si>
  <si>
    <t>ΑΡΑΒΟΣΙΤΟΣ31079</t>
  </si>
  <si>
    <t>ΑΡΑΒΟΣΙΤΟΣ31080</t>
  </si>
  <si>
    <t>ΑΡΑΒΟΣΙΤΟΣ31081</t>
  </si>
  <si>
    <t>ΑΡΑΒΟΣΙΤΟΣ31082</t>
  </si>
  <si>
    <t>ΑΡΑΒΟΣΙΤΟΣ31083</t>
  </si>
  <si>
    <t>ΑΡΑΒΟΣΙΤΟΣ31084</t>
  </si>
  <si>
    <t>ΑΡΑΒΟΣΙΤΟΣ31085</t>
  </si>
  <si>
    <t>ΑΡΑΒΟΣΙΤΟΣ31086</t>
  </si>
  <si>
    <t>ΑΡΑΒΟΣΙΤΟΣ ISABETA</t>
  </si>
  <si>
    <t>ΑΡΑΒΟΣΙΤΟΣ31087</t>
  </si>
  <si>
    <t>ΑΡΑΒΟΣΙΤΟΣ UNIMEZA</t>
  </si>
  <si>
    <t>ΑΡΑΒΟΣΙΤΟΣ31088</t>
  </si>
  <si>
    <t>ΑΡΑΒΟΣΙΤΟΣ31089</t>
  </si>
  <si>
    <t>ΑΡΑΒΟΣΙΤΟΣ ANTHI NS</t>
  </si>
  <si>
    <t>ΑΡΑΒΟΣΙΤΟΣ31090</t>
  </si>
  <si>
    <t>ΑΡΑΒΟΣΙΤΟΣ31091</t>
  </si>
  <si>
    <t>ΑΡΑΒΟΣΙΤΟΣ31092</t>
  </si>
  <si>
    <t>ΑΡΑΒΟΣΙΤΟΣ31093</t>
  </si>
  <si>
    <t>ΑΡΑΒΟΣΙΤΟΣ31094</t>
  </si>
  <si>
    <t>ΑΡΑΒΟΣΙΤΟΣ31095</t>
  </si>
  <si>
    <t>ΑΡΑΒΟΣΙΤΟΣ EFRAT</t>
  </si>
  <si>
    <t>ΑΡΑΒΟΣΙΤΟΣ31096</t>
  </si>
  <si>
    <t>ΑΡΑΒΟΣΙΤΟΣ31097</t>
  </si>
  <si>
    <t>ΑΡΑΒΟΣΙΤΟΣ31098</t>
  </si>
  <si>
    <t>ΑΡΑΒΟΣΙΤΟΣ31099</t>
  </si>
  <si>
    <t>ΑΡΑΒΟΣΙΤΟΣ31100</t>
  </si>
  <si>
    <t>ΑΡΑΒΟΣΙΤΟΣ JOSIA</t>
  </si>
  <si>
    <t>ΑΡΑΒΟΣΙΤΟΣ31101</t>
  </si>
  <si>
    <t>ΑΡΑΒΟΣΙΤΟΣ31102</t>
  </si>
  <si>
    <t>ΑΡΑΒΟΣΙΤΟΣ31103</t>
  </si>
  <si>
    <t>ΑΡΑΒΟΣΙΤΟΣ31104</t>
  </si>
  <si>
    <t>ΑΡΑΒΟΣΙΤΟΣ31105</t>
  </si>
  <si>
    <t>ΑΡΑΒΟΣΙΤΟΣ31106</t>
  </si>
  <si>
    <t>ΑΡΑΒΟΣΙΤΟΣ31107</t>
  </si>
  <si>
    <t>ΑΡΑΒΟΣΙΤΟΣ31108</t>
  </si>
  <si>
    <t>ΑΡΑΒΟΣΙΤΟΣ EVITA NS</t>
  </si>
  <si>
    <t>ΑΡΑΒΟΣΙΤΟΣ31109</t>
  </si>
  <si>
    <t>ΑΡΑΒΟΣΙΤΟΣ31110</t>
  </si>
  <si>
    <t>ΑΡΑΒΟΣΙΤΟΣ31111</t>
  </si>
  <si>
    <t>ΑΡΑΒΟΣΙΤΟΣ31112</t>
  </si>
  <si>
    <t>ΑΡΑΒΟΣΙΤΟΣ31113</t>
  </si>
  <si>
    <t>ΑΡΑΒΟΣΙΤΟΣ31114</t>
  </si>
  <si>
    <t>ΑΡΑΒΟΣΙΤΟΣ31115</t>
  </si>
  <si>
    <t>ΑΡΑΒΟΣΙΤΟΣ31116</t>
  </si>
  <si>
    <t>ΑΡΑΒΟΣΙΤΟΣ31117</t>
  </si>
  <si>
    <t>ΑΡΑΒΟΣΙΤΟΣ31118</t>
  </si>
  <si>
    <t>ΑΡΑΒΟΣΙΤΟΣ DKC6442</t>
  </si>
  <si>
    <t>ΑΡΑΒΟΣΙΤΟΣ31119</t>
  </si>
  <si>
    <t>ΑΡΑΒΟΣΙΤΟΣ31120</t>
  </si>
  <si>
    <t>ΑΡΑΒΟΣΙΤΟΣ31121</t>
  </si>
  <si>
    <t>ΑΡΑΒΟΣΙΤΟΣ P1949</t>
  </si>
  <si>
    <t>ΑΡΑΒΟΣΙΤΟΣ31122</t>
  </si>
  <si>
    <t>ΑΡΑΒΟΣΙΤΟΣ31123</t>
  </si>
  <si>
    <t>ΑΡΑΒΟΣΙΤΟΣ31124</t>
  </si>
  <si>
    <t>ΑΡΑΒΟΣΙΤΟΣ31125</t>
  </si>
  <si>
    <t>ΑΡΑΒΟΣΙΤΟΣ31126</t>
  </si>
  <si>
    <t>ΑΡΑΒΟΣΙΤΟΣ31127</t>
  </si>
  <si>
    <t>ΑΡΑΒΟΣΙΤΟΣ31128</t>
  </si>
  <si>
    <t>ΑΡΑΒΟΣΙΤΟΣ31129</t>
  </si>
  <si>
    <t>ΑΡΑΒΟΣΙΤΟΣ31130</t>
  </si>
  <si>
    <t>ΑΡΑΒΟΣΙΤΟΣ31131</t>
  </si>
  <si>
    <t>ΑΡΑΒΟΣΙΤΟΣ31132</t>
  </si>
  <si>
    <t>ΑΡΑΒΟΣΙΤΟΣ BORA</t>
  </si>
  <si>
    <t>ΑΡΑΒΟΣΙΤΟΣ31133</t>
  </si>
  <si>
    <t>ΑΡΑΒΟΣΙΤΟΣ31134</t>
  </si>
  <si>
    <t>ΑΡΑΒΟΣΙΤΟΣ31135</t>
  </si>
  <si>
    <t>ΑΡΑΒΟΣΙΤΟΣ31136</t>
  </si>
  <si>
    <t>ΑΡΑΒΟΣΙΤΟΣ31137</t>
  </si>
  <si>
    <t>ΑΡΑΒΟΣΙΤΟΣ31139</t>
  </si>
  <si>
    <t>ΑΡΑΒΟΣΙΤΟΣ31140</t>
  </si>
  <si>
    <t>ΑΡΑΒΟΣΙΤΟΣ31141</t>
  </si>
  <si>
    <t>ΑΡΑΒΟΣΙΤΟΣ31142</t>
  </si>
  <si>
    <t>ΑΡΑΒΟΣΙΤΟΣ31143</t>
  </si>
  <si>
    <t>ΑΡΑΒΟΣΙΤΟΣ31144</t>
  </si>
  <si>
    <t>ΑΡΑΒΟΣΙΤΟΣ31145</t>
  </si>
  <si>
    <t>ΑΡΑΒΟΣΙΤΟΣ31146</t>
  </si>
  <si>
    <t>ΑΡΑΒΟΣΙΤΟΣ31147</t>
  </si>
  <si>
    <t>ΑΡΑΒΟΣΙΤΟΣ31148</t>
  </si>
  <si>
    <t>MAS64P</t>
  </si>
  <si>
    <t>ΑΡΑΒΟΣΙΤΟΣ31149</t>
  </si>
  <si>
    <t>ΑΡΑΒΟΣΙΤΟΣ 68Κ</t>
  </si>
  <si>
    <t>ΑΡΑΒΟΣΙΤΟΣ31150</t>
  </si>
  <si>
    <t>ΑΡΑΒΟΣΙΤΟΣ31151</t>
  </si>
  <si>
    <t>ΑΡΑΒΟΣΙΤΟΣ31152</t>
  </si>
  <si>
    <t>ΑΡΑΒΟΣΙΤΟΣ31153</t>
  </si>
  <si>
    <t>ΑΡΑΒΟΣΙΤΟΣ31154</t>
  </si>
  <si>
    <t>ΑΡΑΒΟΣΙΤΟΣ31155</t>
  </si>
  <si>
    <t>ΑΡΑΒΟΣΙΤΟΣ31156</t>
  </si>
  <si>
    <t>ΑΡΑΒΟΣΙΤΟΣ31157</t>
  </si>
  <si>
    <t>ΑΡΑΒΟΣΙΤΟΣ31158</t>
  </si>
  <si>
    <t>ΑΡΑΒΟΣΙΤΟΣ31159</t>
  </si>
  <si>
    <t>ΑΡΑΒΟΣΙΤΟΣ31160</t>
  </si>
  <si>
    <t>ΑΡΑΒΟΣΙΤΟΣ31161</t>
  </si>
  <si>
    <t>ΑΡΑΒΟΣΙΤΟΣ31162</t>
  </si>
  <si>
    <t>ΑΡΑΒΟΣΙΤΟΣ31163</t>
  </si>
  <si>
    <t>ΑΡΑΒΟΣΙΤΟΣ31164</t>
  </si>
  <si>
    <t>ΑΡΑΒΟΣΙΤΟΣ31165</t>
  </si>
  <si>
    <t>ΑΡΑΒΟΣΙΤΟΣ31166</t>
  </si>
  <si>
    <t>ΑΡΑΒΟΣΙΤΟΣ31167</t>
  </si>
  <si>
    <t>ΑΡΑΒΟΣΙΤΟΣ31168</t>
  </si>
  <si>
    <t>ΑΡΑΒΟΣΙΤΟΣ31169</t>
  </si>
  <si>
    <t>ΑΡΑΒΟΣΙΤΟΣ31170</t>
  </si>
  <si>
    <t>ΑΡΑΒΟΣΙΤΟΣ31171</t>
  </si>
  <si>
    <t>ΑΡΑΒΟΣΙΤΟΣ31172</t>
  </si>
  <si>
    <t>ΑΡΑΒΟΣΙΤΟΣ31173</t>
  </si>
  <si>
    <t>ΑΡΑΒΟΣΙΤΟΣ31174</t>
  </si>
  <si>
    <t>ΑΡΑΒΟΣΙΤΟΣ31175</t>
  </si>
  <si>
    <t>ΑΡΑΒΟΣΙΤΟΣ31176</t>
  </si>
  <si>
    <t>ΑΡΑΒΟΣΙΤΟΣ31177</t>
  </si>
  <si>
    <t>ΑΡΑΒΟΣΙΤΟΣ31178</t>
  </si>
  <si>
    <t>ΑΡΑΒΟΣΙΤΟΣ31180</t>
  </si>
  <si>
    <t>ΑΡΑΒΟΣΙΤΟΣ31181</t>
  </si>
  <si>
    <t>ΑΡΑΒΟΣΙΤΟΣ31182</t>
  </si>
  <si>
    <t>ΑΡΑΒΟΣΙΤΟΣ31183</t>
  </si>
  <si>
    <t>ΑΡΑΒΟΣΙΤΟΣ31184</t>
  </si>
  <si>
    <t>ΑΡΑΒΟΣΙΤΟΣ31185</t>
  </si>
  <si>
    <t>ΑΡΑΒΟΣΙΤΟΣ31186</t>
  </si>
  <si>
    <t>ΑΡΑΒΟΣΙΤΟΣ31187</t>
  </si>
  <si>
    <t>ΑΡΑΒΟΣΙΤΟΣ31188</t>
  </si>
  <si>
    <t>ΑΡΑΒΟΣΙΤΟΣ31189</t>
  </si>
  <si>
    <t>ΑΡΑΒΟΣΙΤΟΣ31190</t>
  </si>
  <si>
    <t>ΑΡΑΒΟΣΙΤΟΣ31192</t>
  </si>
  <si>
    <t>ΑΡΑΒΟΣΙΤΟΣ31194</t>
  </si>
  <si>
    <t>ΑΡΑΒΟΣΙΤΟΣ31195</t>
  </si>
  <si>
    <t>ΑΡΑΒΟΣΙΤΟΣ31196</t>
  </si>
  <si>
    <t>ΑΡΑΒΟΣΙΤΟΣ31197</t>
  </si>
  <si>
    <t>ΑΡΑΒΟΣΙΤΟΣ31198</t>
  </si>
  <si>
    <t>ΑΡΑΒΟΣΙΤΟΣ31199</t>
  </si>
  <si>
    <t>ΑΡΑΒΟΣΙΤΟΣ31200</t>
  </si>
  <si>
    <t>ΑΡΑΒΟΣΙΤΟΣ31201</t>
  </si>
  <si>
    <t>ΑΡΑΒΟΣΙΤΟΣ31202</t>
  </si>
  <si>
    <t>ΑΡΑΒΟΣΙΤΟΣ31203</t>
  </si>
  <si>
    <t>ΑΡΑΒΟΣΙΤΟΣ31205</t>
  </si>
  <si>
    <t>ΑΡΑΒΟΣΙΤΟΣ31206</t>
  </si>
  <si>
    <t>ΑΡΑΒΟΣΙΤΟΣ31208</t>
  </si>
  <si>
    <t>ΑΡΑΒΟΣΙΤΟΣ31209</t>
  </si>
  <si>
    <t>ΑΡΑΒΟΣΙΤΟΣ31210</t>
  </si>
  <si>
    <t>ΑΡΑΒΟΣΙΤΟΣ31211</t>
  </si>
  <si>
    <t>ΑΡΑΒΟΣΙΤΟΣ31212</t>
  </si>
  <si>
    <t>ΑΡΑΒΟΣΙΤΟΣ31213</t>
  </si>
  <si>
    <t>ΑΡΑΒΟΣΙΤΟΣ31214</t>
  </si>
  <si>
    <t>ΑΡΑΒΟΣΙΤΟΣ31215</t>
  </si>
  <si>
    <t>ΑΡΑΒΟΣΙΤΟΣ31216</t>
  </si>
  <si>
    <t>ΑΡΑΒΟΣΙΤΟΣ31217</t>
  </si>
  <si>
    <t>ΑΡΑΒΟΣΙΤΟΣ31218</t>
  </si>
  <si>
    <t>ΑΡΑΒΟΣΙΤΟΣ31219</t>
  </si>
  <si>
    <t>ΑΡΑΒΟΣΙΤΟΣ31220</t>
  </si>
  <si>
    <t>ΑΡΑΒΟΣΙΤΟΣ31221</t>
  </si>
  <si>
    <t>ΑΡΑΒΟΣΙΤΟΣ31222</t>
  </si>
  <si>
    <t>ΑΡΑΒΟΣΙΤΟΣ31224</t>
  </si>
  <si>
    <t>ΑΡΑΒΟΣΙΤΟΣ31225</t>
  </si>
  <si>
    <t>ΑΡΑΒΟΣΙΤΟΣ31226</t>
  </si>
  <si>
    <t>ΑΡΑΒΟΣΙΤΟΣ31227</t>
  </si>
  <si>
    <t>ΑΡΑΒΟΣΙΤΟΣ31228</t>
  </si>
  <si>
    <t>ΑΡΑΒΟΣΙΤΟΣ31229</t>
  </si>
  <si>
    <t>ΑΡΑΒΟΣΙΤΟΣ31230</t>
  </si>
  <si>
    <t>ΑΡΑΒΟΣΙΤΟΣ31231</t>
  </si>
  <si>
    <t>ΑΡΑΒΟΣΙΤΟΣ31232</t>
  </si>
  <si>
    <t>ΑΡΑΒΟΣΙΤΟΣ31234</t>
  </si>
  <si>
    <t>ΑΡΑΒΟΣΙΤΟΣ31235</t>
  </si>
  <si>
    <t>ΑΡΑΒΟΣΙΤΟΣ31236</t>
  </si>
  <si>
    <t>ΑΡΑΒΟΣΙΤΟΣ31237</t>
  </si>
  <si>
    <t>ΑΡΑΒΟΣΙΤΟΣ31238</t>
  </si>
  <si>
    <t>ΑΡΑΒΟΣΙΤΟΣ31239</t>
  </si>
  <si>
    <t>ΑΡΑΒΟΣΙΤΟΣ31240</t>
  </si>
  <si>
    <t>ΑΡΑΒΟΣΙΤΟΣ31241</t>
  </si>
  <si>
    <t>ΑΡΑΒΟΣΙΤΟΣ31242</t>
  </si>
  <si>
    <t>ΑΡΑΒΟΣΙΤΟΣ31243</t>
  </si>
  <si>
    <t>ΑΡΑΒΟΣΙΤΟΣ31244</t>
  </si>
  <si>
    <t>ΑΡΑΒΟΣΙΤΟΣ31245</t>
  </si>
  <si>
    <t>ΑΡΑΒΟΣΙΤΟΣ31246</t>
  </si>
  <si>
    <t>ΑΡΑΒΟΣΙΤΟΣ31248</t>
  </si>
  <si>
    <t>ΑΡΑΒΟΣΙΤΟΣ31249</t>
  </si>
  <si>
    <t>ΑΡΑΒΟΣΙΤΟΣ31250</t>
  </si>
  <si>
    <t>ΑΡΑΒΟΣΙΤΟΣ31251</t>
  </si>
  <si>
    <t>ΑΡΑΒΟΣΙΤΟΣ31252</t>
  </si>
  <si>
    <t>ΑΡΑΒΟΣΙΤΟΣ31253</t>
  </si>
  <si>
    <t>ΑΡΑΒΟΣΙΤΟΣ31254</t>
  </si>
  <si>
    <t>ΑΡΑΒΟΣΙΤΟΣ31255</t>
  </si>
  <si>
    <t>ΑΡΑΒΟΣΙΤΟΣ31256</t>
  </si>
  <si>
    <t>ΑΡΑΒΟΣΙΤΟΣ31257</t>
  </si>
  <si>
    <t>ΑΡΑΒΟΣΙΤΟΣ31258</t>
  </si>
  <si>
    <t>ΑΡΑΒΟΣΙΤΟΣ31259</t>
  </si>
  <si>
    <t>ΑΡΑΒΟΣΙΤΟΣ31260</t>
  </si>
  <si>
    <t>ΑΡΑΒΟΣΙΤΟΣ31261</t>
  </si>
  <si>
    <t>ΑΡΑΒΟΣΙΤΟΣ31262</t>
  </si>
  <si>
    <t>ΑΡΑΒΟΣΙΤΟΣ31263</t>
  </si>
  <si>
    <t>ΑΡΑΒΟΣΙΤΟΣ31264</t>
  </si>
  <si>
    <t>ΑΡΑΒΟΣΙΤΟΣ31265</t>
  </si>
  <si>
    <t>ΑΡΑΒΟΣΙΤΟΣ31266</t>
  </si>
  <si>
    <t>ΑΡΑΒΟΣΙΤΟΣ31267</t>
  </si>
  <si>
    <t>ΑΡΑΒΟΣΙΤΟΣ31268</t>
  </si>
  <si>
    <t>ΑΡΑΒΟΣΙΤΟΣ31269</t>
  </si>
  <si>
    <t>ΑΡΑΒΟΣΙΤΟΣ31270</t>
  </si>
  <si>
    <t>ΑΡΑΒΟΣΙΤΟΣ31271</t>
  </si>
  <si>
    <t>ΑΡΑΒΟΣΙΤΟΣ ADDA 90</t>
  </si>
  <si>
    <t>ΑΡΑΒΟΣΙΤΟΣ8001</t>
  </si>
  <si>
    <t>ΑΡΑΒΟΣΙΤΟΣ8002</t>
  </si>
  <si>
    <t>ΑΡΑΒΟΣΙΤΟΣ AJACE</t>
  </si>
  <si>
    <t>ΑΡΑΒΟΣΙΤΟΣ8003</t>
  </si>
  <si>
    <t>ΑΡΑΒΟΣΙΤΟΣ ALBATROS T1069</t>
  </si>
  <si>
    <t>ΑΡΑΒΟΣΙΤΟΣ8004</t>
  </si>
  <si>
    <t>ΑΡΑΒΟΣΙΤΟΣ8005</t>
  </si>
  <si>
    <t>ΑΡΑΒΟΣΙΤΟΣ ALNUS-PX9646</t>
  </si>
  <si>
    <t>ΑΡΑΒΟΣΙΤΟΣ8006</t>
  </si>
  <si>
    <t>ΑΡΑΒΟΣΙΤΟΣ ALTON</t>
  </si>
  <si>
    <t>ΑΡΑΒΟΣΙΤΟΣ8007</t>
  </si>
  <si>
    <t>ΑΡΑΒΟΣΙΤΟΣ AMANDA</t>
  </si>
  <si>
    <t>ΑΡΑΒΟΣΙΤΟΣ8008</t>
  </si>
  <si>
    <t>ΑΡΑΒΟΣΙΤΟΣ AMARANTO</t>
  </si>
  <si>
    <t>ΑΡΑΒΟΣΙΤΟΣ8009</t>
  </si>
  <si>
    <t>ΑΡΑΒΟΣΙΤΟΣ AMERICA</t>
  </si>
  <si>
    <t>ΑΡΑΒΟΣΙΤΟΣ8010</t>
  </si>
  <si>
    <t>ΑΡΑΒΟΣΙΤΟΣ8011</t>
  </si>
  <si>
    <t>ΑΡΑΒΟΣΙΤΟΣ8012</t>
  </si>
  <si>
    <t>ΑΡΑΒΟΣΙΤΟΣ PIONEER</t>
  </si>
  <si>
    <t>ΑΡΑΒΟΣΙΤΟΣ8013</t>
  </si>
  <si>
    <t>ΑΡΑΒΟΣΙΤΟΣ8014</t>
  </si>
  <si>
    <t>ΑΡΑΒΟΣΙΤΟΣ FUNKS-PRISM-G4760</t>
  </si>
  <si>
    <t>ΑΡΑΒΟΣΙΤΟΣ8015</t>
  </si>
  <si>
    <t>ΑΡΑΒΟΣΙΤΟΣ8016</t>
  </si>
  <si>
    <t>ΑΡΑΒΟΣΙΤΟΣ NICKERSON</t>
  </si>
  <si>
    <t>ΑΡΑΒΟΣΙΤΟΣ8017</t>
  </si>
  <si>
    <t>ΑΡΑΒΟΣΙΤΟΣ CORTES</t>
  </si>
  <si>
    <t>ΑΡΑΒΟΣΙΤΟΣ8018</t>
  </si>
  <si>
    <t>ΑΡΑΒΟΣΙΤΟΣ DEKALB</t>
  </si>
  <si>
    <t>ΑΡΑΒΟΣΙΤΟΣ8019</t>
  </si>
  <si>
    <t>ΑΡΑΒΟΣΙΤΟΣ ΓΛΥΚΟΣ</t>
  </si>
  <si>
    <t>ΑΡΑΒΟΣΙΤΟΣ8020</t>
  </si>
  <si>
    <t>ΑΡΩΜΑΤΙΚΑ ΦΥΤΑ</t>
  </si>
  <si>
    <t>CURRY</t>
  </si>
  <si>
    <t>ΑΡΩΜΑΤΙΚΑ ΦΥΤΑ1010</t>
  </si>
  <si>
    <t>ΚΑΡΔΑΜΟ</t>
  </si>
  <si>
    <t>ΑΡΩΜΑΤΙΚΑ ΦΥΤΑ10238</t>
  </si>
  <si>
    <t>ΣΙΝΑΠΙ</t>
  </si>
  <si>
    <t>ΑΡΩΜΑΤΙΚΑ ΦΥΤΑ18101</t>
  </si>
  <si>
    <t>ΧΑΜΟΜΗΛΙ</t>
  </si>
  <si>
    <t>ΑΡΩΜΑΤΙΚΑ ΦΥΤΑ18102</t>
  </si>
  <si>
    <t>ΑΓΡΙΟΣ ΔΥΟΣΜΟΣ</t>
  </si>
  <si>
    <t>ΑΡΩΜΑΤΙΚΑ ΦΥΤΑ18103</t>
  </si>
  <si>
    <t>ΣΠΑΘΟΧΟΡΤΟ</t>
  </si>
  <si>
    <t>ΑΡΩΜΑΤΙΚΑ ΦΥΤΑ18104</t>
  </si>
  <si>
    <t>ΤΣΟΥΚΝΙΔΑ</t>
  </si>
  <si>
    <t>ΑΡΩΜΑΤΙΚΑ ΦΥΤΑ18105</t>
  </si>
  <si>
    <t>ΛΟΥΙΖΑ</t>
  </si>
  <si>
    <t>ΑΡΩΜΑΤΙΚΑ ΦΥΤΑ18106</t>
  </si>
  <si>
    <t>ΚΡΙΤΑΜΑ</t>
  </si>
  <si>
    <t>ΑΡΩΜΑΤΙΚΑ ΦΥΤΑ18107</t>
  </si>
  <si>
    <t>ΔΥΟΣΜΟΣ</t>
  </si>
  <si>
    <t>ΑΡΩΜΑΤΙΚΑ ΦΥΤΑ18108</t>
  </si>
  <si>
    <t>ΑΡΩΜΑΤΙΚΑ ΔΙΑΦΟΡΑ</t>
  </si>
  <si>
    <t>ΑΡΩΜΑΤΙΚΑ ΦΥΤΑ41001</t>
  </si>
  <si>
    <t>ΑΘΑΝΑΤΟΣ - ΑΓΑΥΗ</t>
  </si>
  <si>
    <t>ΑΡΩΜΑΤΙΚΑ ΦΥΤΑ41002</t>
  </si>
  <si>
    <t>ΚΑΛΕΝΤΟΥΛΑ</t>
  </si>
  <si>
    <t>ΑΡΩΜΑΤΙΚΑ ΦΥΤΑ41003</t>
  </si>
  <si>
    <t>ΤΡΙΑΝΤΑΦΥΛΛΙΑ ROSA DAMASCENA</t>
  </si>
  <si>
    <t>ΑΡΩΜΑΤΙΚΑ ΦΥΤΑ41004</t>
  </si>
  <si>
    <t>ΑΓΡΙΟ ΤΡΙΑΝΤΑΦΥΛΛΟ</t>
  </si>
  <si>
    <t>ΑΡΩΜΑΤΙΚΑ ΦΥΤΑ41005</t>
  </si>
  <si>
    <t>ΕΧΙΝΑΚΕΙΑ</t>
  </si>
  <si>
    <t>ΑΡΩΜΑΤΙΚΑ ΦΥΤΑ41006</t>
  </si>
  <si>
    <t>ΤΡΙΓΩΝΕΛΛΑ</t>
  </si>
  <si>
    <t>ΑΡΩΜΑΤΙΚΑ ΦΥΤΑ41007</t>
  </si>
  <si>
    <t>ΡΕΙΚΙ</t>
  </si>
  <si>
    <t>ΑΡΩΜΑΤΙΚΑ ΦΥΤΑ41008</t>
  </si>
  <si>
    <t>ΒΑΛΕΡΙΑΝΑ</t>
  </si>
  <si>
    <t>ΑΡΩΜΑΤΙΚΑ ΦΥΤΑ41009</t>
  </si>
  <si>
    <t>ΖΑΜΠΟΥΚΟ (Sambucus nigra)</t>
  </si>
  <si>
    <t>ΑΡΩΜΑΤΙΚΑ ΦΥΤΑ41010</t>
  </si>
  <si>
    <t>ΔΑΦΝΗ (Laurus)</t>
  </si>
  <si>
    <t>ΑΡΩΜΑΤΙΚΑ ΦΥΤΑ41011</t>
  </si>
  <si>
    <t>ΕΛΙΧΡΥΣΟΣ</t>
  </si>
  <si>
    <t>ΑΡΩΜΑΤΙΚΑ ΦΥΤΑ41012</t>
  </si>
  <si>
    <t>ΘΡΟΥΜΠΙ</t>
  </si>
  <si>
    <t>ΑΡΩΜΑΤΙΚΑ ΦΥΤΑ41013</t>
  </si>
  <si>
    <t>ΕΣΤΡΑΓΚΟΝ (Artemisia Dracunculus)</t>
  </si>
  <si>
    <t>ΑΡΩΜΑΤΙΚΑ ΦΥΤΑ41014</t>
  </si>
  <si>
    <t>ΦΛΙΣΚΟΥΝΙ (Mentha pulegium)</t>
  </si>
  <si>
    <t>ΑΡΩΜΑΤΙΚΑ ΦΥΤΑ41015</t>
  </si>
  <si>
    <t>ΚΟΥΡΚΟΥΜΑΣ ή ΚΙΤΡΙΝΟΡΙΖΑ</t>
  </si>
  <si>
    <t>ΑΡΩΜΑΤΙΚΑ ΦΥΤΑ41016</t>
  </si>
  <si>
    <t>ΤΡΙΑΝΤΑΦΥΛΛΙΑ ROSA CENTIFOLIA</t>
  </si>
  <si>
    <t>ΑΡΩΜΑΤΙΚΑ ΦΥΤΑ41017</t>
  </si>
  <si>
    <t>ΑΡΤΕΜΙΣΙΑ Ή ΑΨΙΘΙΑ</t>
  </si>
  <si>
    <t>ΑΡΩΜΑΤΙΚΑ ΦΥΤΑ41018</t>
  </si>
  <si>
    <t>ΛΑΔΑΝΙΑ ή ΚΙΣΤΟΣ</t>
  </si>
  <si>
    <t>ΑΡΩΜΑΤΙΚΑ ΦΥΤΑ41019</t>
  </si>
  <si>
    <t>ΛΕΜΟΝΟΧΟΡΤΟ</t>
  </si>
  <si>
    <t>ΑΡΩΜΑΤΙΚΑ ΦΥΤΑ41020</t>
  </si>
  <si>
    <t>ΠΑΣΙΦΛΟΡΑ ή ΡΟΛΟΓΙΑ (Passiflora)</t>
  </si>
  <si>
    <t>ΑΡΩΜΑΤΙΚΑ ΦΥΤΑ41021</t>
  </si>
  <si>
    <t>ΜΑΥΡΟ ΣΙΝΑΠΙ</t>
  </si>
  <si>
    <t>ΑΡΩΜΑΤΙΚΑ ΦΥΤΑ41024</t>
  </si>
  <si>
    <t>ΝΙΓΚΕΛΑ</t>
  </si>
  <si>
    <t>ΑΡΩΜΑΤΙΚΑ ΦΥΤΑ41025</t>
  </si>
  <si>
    <t>ΜΟΥΚΟΥΝΑ</t>
  </si>
  <si>
    <t>ΑΡΩΜΑΤΙΚΑ ΦΥΤΑ41026</t>
  </si>
  <si>
    <t>ΛΙΟΠΟΥΡΝΑ-ΓΚΙ</t>
  </si>
  <si>
    <t>ΑΡΩΜΑΤΙΚΑ ΦΥΤΑ4990</t>
  </si>
  <si>
    <t>ΔΙΚΤΑΜΟΣ</t>
  </si>
  <si>
    <t>ΑΡΩΜΑΤΙΚΑ ΦΥΤΑ8133</t>
  </si>
  <si>
    <t>ΚΡΟΚΟΣ</t>
  </si>
  <si>
    <t>ΑΡΩΜΑΤΙΚΑ ΦΥΤΑ8134</t>
  </si>
  <si>
    <t>ΜΑΡΑΘΟΣ</t>
  </si>
  <si>
    <t>ΑΡΩΜΑΤΙΚΑ ΦΥΤΑ8135</t>
  </si>
  <si>
    <t>ΜΕΝΤΑ</t>
  </si>
  <si>
    <t>ΑΡΩΜΑΤΙΚΑ ΦΥΤΑ8136</t>
  </si>
  <si>
    <t>ΡΙΓΑΝΗ</t>
  </si>
  <si>
    <t>ΑΡΩΜΑΤΙΚΑ ΦΥΤΑ8137</t>
  </si>
  <si>
    <t>ΦΑΣΚΟΜΗΛΟ</t>
  </si>
  <si>
    <t>ΑΡΩΜΑΤΙΚΑ ΦΥΤΑ8138</t>
  </si>
  <si>
    <t>ΤΣΑΙ ΤΟΥ ΒΟΥΝΟΥ</t>
  </si>
  <si>
    <t>ΑΡΩΜΑΤΙΚΑ ΦΥΤΑ8139</t>
  </si>
  <si>
    <t>ΒΑΣΙΛΙΚΟΣ</t>
  </si>
  <si>
    <t>ΑΡΩΜΑΤΙΚΑ ΦΥΤΑ8141</t>
  </si>
  <si>
    <t>ΓΙΑΣΕΜΙ</t>
  </si>
  <si>
    <t>ΑΡΩΜΑΤΙΚΑ ΦΥΤΑ8142</t>
  </si>
  <si>
    <t>ΓΛΥΚΑΝΙΣΟ - ΜΑΡΑΘΟΣΠΟΡΟΣ</t>
  </si>
  <si>
    <t>ΑΡΩΜΑΤΙΚΑ ΦΥΤΑ8143</t>
  </si>
  <si>
    <t>ΔΕΝΔΡΟΛΙΒΑΝΟ</t>
  </si>
  <si>
    <t>ΑΡΩΜΑΤΙΚΑ ΦΥΤΑ8144</t>
  </si>
  <si>
    <t>ΘΥΜΑΡΙ</t>
  </si>
  <si>
    <t>ΑΡΩΜΑΤΙΚΑ ΦΥΤΑ8145</t>
  </si>
  <si>
    <t>ΚΟΡΙΑΝΔΡΟΣ</t>
  </si>
  <si>
    <t>ΑΡΩΜΑΤΙΚΑ ΦΥΤΑ8146</t>
  </si>
  <si>
    <t>ΚΥΜΙΝΟ</t>
  </si>
  <si>
    <t>ΑΡΩΜΑΤΙΚΑ ΦΥΤΑ8147</t>
  </si>
  <si>
    <t>ΛΕΒΑΝΤΑ</t>
  </si>
  <si>
    <t>ΑΡΩΜΑΤΙΚΑ ΦΥΤΑ8148</t>
  </si>
  <si>
    <t>ΜΑΝΤΖΟΥΡΑΝΑ</t>
  </si>
  <si>
    <t>ΑΡΩΜΑΤΙΚΑ ΦΥΤΑ8149</t>
  </si>
  <si>
    <t>ΜΕΛΙΣΣΟΧΟΡΤΟ</t>
  </si>
  <si>
    <t>ΑΡΩΜΑΤΙΚΑ ΦΥΤΑ8151</t>
  </si>
  <si>
    <t>ΣΛΑΒΙΑ ΣΚΛΑΡΕΑ</t>
  </si>
  <si>
    <t>ΑΡΩΜΑΤΙΚΑ ΦΥΤΑ8152</t>
  </si>
  <si>
    <t>ΥΣΣΩΠΟΣ</t>
  </si>
  <si>
    <t>ΑΡΩΜΑΤΙΚΑ ΦΥΤΑ8153</t>
  </si>
  <si>
    <t>ΓΛΥΚΟΡΙΖΑ</t>
  </si>
  <si>
    <t>ΑΡΩΜΑΤΙΚΑ ΦΥΤΑ8154</t>
  </si>
  <si>
    <t>ΚΡΟΚΟΣ (ΒΙΟΛΟΓΙΚΟΣ)</t>
  </si>
  <si>
    <t>ΑΡΩΜΑΤΙΚΑ ΦΥΤΑ8156</t>
  </si>
  <si>
    <t>ΤΣΑΙ ΤΟΥ ΒΟΥΝΟΥ - ΤΟΠΙΚΟΙ ΠΛΗΘΥΣΜΟΙ</t>
  </si>
  <si>
    <t>ΑΡΩΜΑΤΙΚΑ ΦΥΤΑ8157</t>
  </si>
  <si>
    <t>ΓΛΥΚΑΝΙΣΟ - ΤΟΠΙΚΗ ΛΕΣΒΟΥ, ΧΙΟΥ</t>
  </si>
  <si>
    <t>ΑΡΩΜΑΤΙΚΑ ΦΥΤΑ8158</t>
  </si>
  <si>
    <t>ΡΙΓΑΝΗ - ΤΟΠΙΚΟΙ ΠΛΗΘΥΣΜΟΙ</t>
  </si>
  <si>
    <t>ΑΡΩΜΑΤΙΚΑ ΦΥΤΑ8159</t>
  </si>
  <si>
    <t>ΔΙΚΤΑΜΟΣ - ΤΟΠΙΚΟΙ ΠΛΗΘΥΣΜΟΙ</t>
  </si>
  <si>
    <t>ΑΡΩΜΑΤΙΚΑ ΦΥΤΑ8160</t>
  </si>
  <si>
    <t>ΦΑΚΕΛΩΤΗ</t>
  </si>
  <si>
    <t>ΑΡΩΜΑΤΙΚΑ ΦΥΤΑ8760</t>
  </si>
  <si>
    <t>ΒΑΜΒΑΚΙ</t>
  </si>
  <si>
    <t>REGINA</t>
  </si>
  <si>
    <t>ΒΑΜΒΑΚΙ1050</t>
  </si>
  <si>
    <t>MIRKANA</t>
  </si>
  <si>
    <t>ΒΑΜΒΑΚΙ1098</t>
  </si>
  <si>
    <t>CARLA</t>
  </si>
  <si>
    <t>ΒΑΜΒΑΚΙ12007</t>
  </si>
  <si>
    <t>ARMADA</t>
  </si>
  <si>
    <t>ΒΑΜΒΑΚΙ12008</t>
  </si>
  <si>
    <t>GAIA</t>
  </si>
  <si>
    <t>ΒΑΜΒΑΚΙ12009</t>
  </si>
  <si>
    <t>ETNA</t>
  </si>
  <si>
    <t>ΒΑΜΒΑΚΙ12010</t>
  </si>
  <si>
    <t>ETNA-YΒΡΙΔΙΟ</t>
  </si>
  <si>
    <t>ΒΑΜΒΑΚΙ12011</t>
  </si>
  <si>
    <t>EUROPA-YBΡΙΔΙΟ</t>
  </si>
  <si>
    <t>ΒΑΜΒΑΚΙ12012</t>
  </si>
  <si>
    <t>INTERCOTT 195-ΥΒΡΙΔΙΟ</t>
  </si>
  <si>
    <t>ΒΑΜΒΑΚΙ12013</t>
  </si>
  <si>
    <t>INTERCOTT 211-ΥΒΡΙΔΙΟ</t>
  </si>
  <si>
    <t>ΒΑΜΒΑΚΙ12014</t>
  </si>
  <si>
    <t>INTERCOTT 670-YΒΡΙΔΙΟ</t>
  </si>
  <si>
    <t>ΒΑΜΒΑΚΙ12015</t>
  </si>
  <si>
    <t>INTERCOTT 701-ΥΒΡΙΔΙΟ</t>
  </si>
  <si>
    <t>ΒΑΜΒΑΚΙ12016</t>
  </si>
  <si>
    <t>SEVILLA-YBΡΙΔΙΟ</t>
  </si>
  <si>
    <t>ΒΑΜΒΑΚΙ12017</t>
  </si>
  <si>
    <t>PRG 9706</t>
  </si>
  <si>
    <t>ΒΑΜΒΑΚΙ12018</t>
  </si>
  <si>
    <t>PHY 983</t>
  </si>
  <si>
    <t>ΒΑΜΒΑΚΙ12019</t>
  </si>
  <si>
    <t>PG 2018</t>
  </si>
  <si>
    <t>ΒΑΜΒΑΚΙ12020</t>
  </si>
  <si>
    <t>ZENITH</t>
  </si>
  <si>
    <t>ΒΑΜΒΑΚΙ12021</t>
  </si>
  <si>
    <t>ALICIA</t>
  </si>
  <si>
    <t>ΒΑΜΒΑΚΙ12022</t>
  </si>
  <si>
    <t>AURELIA</t>
  </si>
  <si>
    <t>ΒΑΜΒΑΚΙ12023</t>
  </si>
  <si>
    <t>ADRA</t>
  </si>
  <si>
    <t>ΒΑΜΒΑΚΙ12024</t>
  </si>
  <si>
    <t>PIRIN</t>
  </si>
  <si>
    <t>ΒΑΜΒΑΚΙ12025</t>
  </si>
  <si>
    <t>MANUELA</t>
  </si>
  <si>
    <t>ΒΑΜΒΑΚΙ12026</t>
  </si>
  <si>
    <t>PRG 9048</t>
  </si>
  <si>
    <t>ΒΑΜΒΑΚΙ12027</t>
  </si>
  <si>
    <t>BA 440</t>
  </si>
  <si>
    <t>ΒΑΜΒΑΚΙ12028</t>
  </si>
  <si>
    <t>ALIDA</t>
  </si>
  <si>
    <t>ΒΑΜΒΑΚΙ12029</t>
  </si>
  <si>
    <t>TROY</t>
  </si>
  <si>
    <t>ΒΑΜΒΑΚΙ12030</t>
  </si>
  <si>
    <t>OLIVIA</t>
  </si>
  <si>
    <t>ΒΑΜΒΑΚΙ12031</t>
  </si>
  <si>
    <t>AIDA</t>
  </si>
  <si>
    <t>ΒΑΜΒΑΚΙ12032</t>
  </si>
  <si>
    <t>BELITSA</t>
  </si>
  <si>
    <t>ΒΑΜΒΑΚΙ12033</t>
  </si>
  <si>
    <t>DEBLA</t>
  </si>
  <si>
    <t>ΒΑΜΒΑΚΙ12034</t>
  </si>
  <si>
    <t>DUPLO</t>
  </si>
  <si>
    <t>ΒΑΜΒΑΚΙ12035</t>
  </si>
  <si>
    <t>PERUN</t>
  </si>
  <si>
    <t>ΒΑΜΒΑΚΙ12036</t>
  </si>
  <si>
    <t>PHY48</t>
  </si>
  <si>
    <t>ΒΑΜΒΑΚΙ12037</t>
  </si>
  <si>
    <t>HA 1432 -YBΡΙΔΙΟ ***</t>
  </si>
  <si>
    <t>ΒΑΜΒΑΚΙ12038</t>
  </si>
  <si>
    <t>LAZER</t>
  </si>
  <si>
    <t>ΒΑΜΒΑΚΙ12039</t>
  </si>
  <si>
    <t>ACALA SJ-2</t>
  </si>
  <si>
    <t>ΒΑΜΒΑΚΙ12198</t>
  </si>
  <si>
    <t>ACHILLEAS</t>
  </si>
  <si>
    <t>ΒΑΜΒΑΚΙ12199</t>
  </si>
  <si>
    <t>AKSEL</t>
  </si>
  <si>
    <t>ΒΑΜΒΑΚΙ12200</t>
  </si>
  <si>
    <t>ATHINA</t>
  </si>
  <si>
    <t>ΒΑΜΒΑΚΙ12201</t>
  </si>
  <si>
    <t>AUREA</t>
  </si>
  <si>
    <t>ΒΑΜΒΑΚΙ12202</t>
  </si>
  <si>
    <t>AVANGARD 264</t>
  </si>
  <si>
    <t>ΒΑΜΒΑΚΙ12203</t>
  </si>
  <si>
    <t>AZAHAR</t>
  </si>
  <si>
    <t>ΒΑΜΒΑΚΙ12204</t>
  </si>
  <si>
    <t>BEKY</t>
  </si>
  <si>
    <t>ΒΑΜΒΑΚΙ12205</t>
  </si>
  <si>
    <t>BEYAZ ALTIN 320</t>
  </si>
  <si>
    <t>ΒΑΜΒΑΚΙ12206</t>
  </si>
  <si>
    <t>BLUES</t>
  </si>
  <si>
    <t>ΒΑΜΒΑΚΙ12207</t>
  </si>
  <si>
    <t>BOYANA</t>
  </si>
  <si>
    <t>ΒΑΜΒΑΚΙ12208</t>
  </si>
  <si>
    <t>C-310</t>
  </si>
  <si>
    <t>ΒΑΜΒΑΚΙ12209</t>
  </si>
  <si>
    <t>CARLOTA</t>
  </si>
  <si>
    <t>ΒΑΜΒΑΚΙ12210</t>
  </si>
  <si>
    <t>CHIRPAN 539</t>
  </si>
  <si>
    <t>ΒΑΜΒΑΚΙ12211</t>
  </si>
  <si>
    <t>CONCHITA</t>
  </si>
  <si>
    <t>ΒΑΜΒΑΚΙ12212</t>
  </si>
  <si>
    <t>CONDOR</t>
  </si>
  <si>
    <t>ΒΑΜΒΑΚΙ12213</t>
  </si>
  <si>
    <t>CORONA</t>
  </si>
  <si>
    <t>ΒΑΜΒΑΚΙ12214</t>
  </si>
  <si>
    <t>CREMA-111</t>
  </si>
  <si>
    <t>ΒΑΜΒΑΚΙ12215</t>
  </si>
  <si>
    <t>CS37</t>
  </si>
  <si>
    <t>ΒΑΜΒΑΚΙ12216</t>
  </si>
  <si>
    <t>CT 13</t>
  </si>
  <si>
    <t>ΒΑΜΒΑΚΙ12217</t>
  </si>
  <si>
    <t>DARMI</t>
  </si>
  <si>
    <t>ΒΑΜΒΑΚΙ12218</t>
  </si>
  <si>
    <t>DENITSA</t>
  </si>
  <si>
    <t>ΒΑΜΒΑΚΙ12219</t>
  </si>
  <si>
    <t>DORINA</t>
  </si>
  <si>
    <t>ΒΑΜΒΑΚΙ12220</t>
  </si>
  <si>
    <t>DP 399</t>
  </si>
  <si>
    <t>ΒΑΜΒΑΚΙ12221</t>
  </si>
  <si>
    <t>DP 411</t>
  </si>
  <si>
    <t>ΒΑΜΒΑΚΙ12222</t>
  </si>
  <si>
    <t>DP 414</t>
  </si>
  <si>
    <t>ΒΑΜΒΑΚΙ12223</t>
  </si>
  <si>
    <t>DP 435</t>
  </si>
  <si>
    <t>ΒΑΜΒΑΚΙ12224</t>
  </si>
  <si>
    <t>DP 466</t>
  </si>
  <si>
    <t>ΒΑΜΒΑΚΙ12225</t>
  </si>
  <si>
    <t>DP 499</t>
  </si>
  <si>
    <t>ΒΑΜΒΑΚΙ12226</t>
  </si>
  <si>
    <t>E1</t>
  </si>
  <si>
    <t>ΒΑΜΒΑΚΙ12227</t>
  </si>
  <si>
    <t>EFES</t>
  </si>
  <si>
    <t>ΒΑΜΒΑΚΙ12228</t>
  </si>
  <si>
    <t>ELPIDA</t>
  </si>
  <si>
    <t>ΒΑΜΒΑΚΙ12229</t>
  </si>
  <si>
    <t>ESPERIA</t>
  </si>
  <si>
    <t>ΒΑΜΒΑΚΙ12230</t>
  </si>
  <si>
    <t>FILIPOPOLIS</t>
  </si>
  <si>
    <t>ΒΑΜΒΑΚΙ12232</t>
  </si>
  <si>
    <t>FIONA</t>
  </si>
  <si>
    <t>ΒΑΜΒΑΚΙ12233</t>
  </si>
  <si>
    <t>FOKION</t>
  </si>
  <si>
    <t>ΒΑΜΒΑΚΙ12234</t>
  </si>
  <si>
    <t>GLORIA</t>
  </si>
  <si>
    <t>ΒΑΜΒΑΚΙ12235</t>
  </si>
  <si>
    <t>GRETA</t>
  </si>
  <si>
    <t>ΒΑΜΒΑΚΙ12236</t>
  </si>
  <si>
    <t>GUADALQUIVIR</t>
  </si>
  <si>
    <t>ΒΑΜΒΑΚΙ12237</t>
  </si>
  <si>
    <t>HA-1280</t>
  </si>
  <si>
    <t>ΒΑΜΒΑΚΙ12238</t>
  </si>
  <si>
    <t>HA-1409</t>
  </si>
  <si>
    <t>ΒΑΜΒΑΚΙ12239</t>
  </si>
  <si>
    <t>HELENA</t>
  </si>
  <si>
    <t>ΒΑΜΒΑΚΙ12240</t>
  </si>
  <si>
    <t>HELIUS</t>
  </si>
  <si>
    <t>ΒΑΜΒΑΚΙ12241</t>
  </si>
  <si>
    <t>IPK NELINA</t>
  </si>
  <si>
    <t>ΒΑΜΒΑΚΙ12245</t>
  </si>
  <si>
    <t>IPTP VENO</t>
  </si>
  <si>
    <t>ΒΑΜΒΑΚΙ12246</t>
  </si>
  <si>
    <t>ISIS</t>
  </si>
  <si>
    <t>ΒΑΜΒΑΚΙ12247</t>
  </si>
  <si>
    <t>IZABELL</t>
  </si>
  <si>
    <t>ΒΑΜΒΑΚΙ12248</t>
  </si>
  <si>
    <t>KALIA</t>
  </si>
  <si>
    <t>ΒΑΜΒΑΚΙ12249</t>
  </si>
  <si>
    <t>LACHATA</t>
  </si>
  <si>
    <t>ΒΑΜΒΑΚΙ12250</t>
  </si>
  <si>
    <t>LAMDA 206</t>
  </si>
  <si>
    <t>ΒΑΜΒΑΚΙ12251</t>
  </si>
  <si>
    <t>LIGUR</t>
  </si>
  <si>
    <t>ΒΑΜΒΑΚΙ12252</t>
  </si>
  <si>
    <t>LUELA</t>
  </si>
  <si>
    <t>ΒΑΜΒΑΚΙ12253</t>
  </si>
  <si>
    <t>MARISMENA</t>
  </si>
  <si>
    <t>ΒΑΜΒΑΚΙ12254</t>
  </si>
  <si>
    <t>MAX 9</t>
  </si>
  <si>
    <t>ΒΑΜΒΑΚΙ12255</t>
  </si>
  <si>
    <t>MEGASEED</t>
  </si>
  <si>
    <t>ΒΑΜΒΑΚΙ12256</t>
  </si>
  <si>
    <t>MELINA</t>
  </si>
  <si>
    <t>ΒΑΜΒΑΚΙ12257</t>
  </si>
  <si>
    <t>NATA</t>
  </si>
  <si>
    <t>ΒΑΜΒΑΚΙ12258</t>
  </si>
  <si>
    <t>NATALIYA</t>
  </si>
  <si>
    <t>ΒΑΜΒΑΚΙ12259</t>
  </si>
  <si>
    <t>OLYMPUS 10</t>
  </si>
  <si>
    <t>ΒΑΜΒΑΚΙ12260</t>
  </si>
  <si>
    <t>POCKET</t>
  </si>
  <si>
    <t>ΒΑΜΒΑΚΙ12261</t>
  </si>
  <si>
    <t>PRIME 1004</t>
  </si>
  <si>
    <t>ΒΑΜΒΑΚΙ12262</t>
  </si>
  <si>
    <t>RECITAL</t>
  </si>
  <si>
    <t>ΒΑΜΒΑΚΙ12263</t>
  </si>
  <si>
    <t>REFLEX</t>
  </si>
  <si>
    <t>ΒΑΜΒΑΚΙ12264</t>
  </si>
  <si>
    <t>REINA</t>
  </si>
  <si>
    <t>ΒΑΜΒΑΚΙ12265</t>
  </si>
  <si>
    <t>ROSITA</t>
  </si>
  <si>
    <t>ΒΑΜΒΑΚΙ12266</t>
  </si>
  <si>
    <t>RUMI</t>
  </si>
  <si>
    <t>ΒΑΜΒΑΚΙ12267</t>
  </si>
  <si>
    <t>SILVIA</t>
  </si>
  <si>
    <t>ΒΑΜΒΑΚΙ12269</t>
  </si>
  <si>
    <t>SINA</t>
  </si>
  <si>
    <t>ΒΑΜΒΑΚΙ12270</t>
  </si>
  <si>
    <t>SIRIUS</t>
  </si>
  <si>
    <t>ΒΑΜΒΑΚΙ12271</t>
  </si>
  <si>
    <t>SOLERA</t>
  </si>
  <si>
    <t>ΒΑΜΒΑΚΙ12272</t>
  </si>
  <si>
    <t>ST 132</t>
  </si>
  <si>
    <t>ΒΑΜΒΑΚΙ12273</t>
  </si>
  <si>
    <t>ST 439</t>
  </si>
  <si>
    <t>ΒΑΜΒΑΚΙ12274</t>
  </si>
  <si>
    <t>ST 453</t>
  </si>
  <si>
    <t>ΒΑΜΒΑΚΙ12275</t>
  </si>
  <si>
    <t>ST 477</t>
  </si>
  <si>
    <t>ΒΑΜΒΑΚΙ12276</t>
  </si>
  <si>
    <t>ST 488</t>
  </si>
  <si>
    <t>ΒΑΜΒΑΚΙ12277</t>
  </si>
  <si>
    <t>ST 575</t>
  </si>
  <si>
    <t>ΒΑΜΒΑΚΙ12278</t>
  </si>
  <si>
    <t>TEBA</t>
  </si>
  <si>
    <t>ΒΑΜΒΑΚΙ12279</t>
  </si>
  <si>
    <t>TEIDE</t>
  </si>
  <si>
    <t>ΒΑΜΒΑΚΙ12280</t>
  </si>
  <si>
    <t>THEKA</t>
  </si>
  <si>
    <t>ΒΑΜΒΑΚΙ12281</t>
  </si>
  <si>
    <t>TRAKIYA</t>
  </si>
  <si>
    <t>ΒΑΜΒΑΚΙ12282</t>
  </si>
  <si>
    <t>VIKI IPTP</t>
  </si>
  <si>
    <t>ΒΑΜΒΑΚΙ12283</t>
  </si>
  <si>
    <t>VIKY</t>
  </si>
  <si>
    <t>ΒΑΜΒΑΚΙ12284</t>
  </si>
  <si>
    <t>VULCANO</t>
  </si>
  <si>
    <t>ΒΑΜΒΑΚΙ12285</t>
  </si>
  <si>
    <t>ALEPO</t>
  </si>
  <si>
    <t>ΒΑΜΒΑΚΙ12286</t>
  </si>
  <si>
    <t>EDESSA</t>
  </si>
  <si>
    <t>ΒΑΜΒΑΚΙ12287</t>
  </si>
  <si>
    <t>KENDRA</t>
  </si>
  <si>
    <t>ΒΑΜΒΑΚΙ12288</t>
  </si>
  <si>
    <t>LAGIRALDA</t>
  </si>
  <si>
    <t>ΒΑΜΒΑΚΙ12289</t>
  </si>
  <si>
    <t>LANOVIA</t>
  </si>
  <si>
    <t>ΒΑΜΒΑΚΙ12290</t>
  </si>
  <si>
    <t>ARMONIA</t>
  </si>
  <si>
    <t>ΒΑΜΒΑΚΙ12291</t>
  </si>
  <si>
    <t>BRIDGET</t>
  </si>
  <si>
    <t>ΒΑΜΒΑΚΙ12292</t>
  </si>
  <si>
    <t>CYNTIA</t>
  </si>
  <si>
    <t>ΒΑΜΒΑΚΙ12293</t>
  </si>
  <si>
    <t>EGEYA</t>
  </si>
  <si>
    <t>ΒΑΜΒΑΚΙ12294</t>
  </si>
  <si>
    <t>ESA015</t>
  </si>
  <si>
    <t>ΒΑΜΒΑΚΙ12295</t>
  </si>
  <si>
    <t>FIDEL</t>
  </si>
  <si>
    <t>ΒΑΜΒΑΚΙ12296</t>
  </si>
  <si>
    <t>LIMA</t>
  </si>
  <si>
    <t>ΒΑΜΒΑΚΙ12297</t>
  </si>
  <si>
    <t>NIKE</t>
  </si>
  <si>
    <t>ΒΑΜΒΑΚΙ12298</t>
  </si>
  <si>
    <t>PG 1150</t>
  </si>
  <si>
    <t>ΒΑΜΒΑΚΙ12299</t>
  </si>
  <si>
    <t>PRIME 4246</t>
  </si>
  <si>
    <t>ΒΑΜΒΑΚΙ12300</t>
  </si>
  <si>
    <t>SCARLET</t>
  </si>
  <si>
    <t>ΒΑΜΒΑΚΙ12301</t>
  </si>
  <si>
    <t>TZVETELINA</t>
  </si>
  <si>
    <t>ΒΑΜΒΑΚΙ12302</t>
  </si>
  <si>
    <t>VALERIA</t>
  </si>
  <si>
    <t>ΒΑΜΒΑΚΙ12303</t>
  </si>
  <si>
    <t>PHYNTA</t>
  </si>
  <si>
    <t>ΒΑΜΒΑΚΙ12304</t>
  </si>
  <si>
    <t>AIRLAB</t>
  </si>
  <si>
    <t>ΒΑΜΒΑΚΙ12305</t>
  </si>
  <si>
    <t>ARIA</t>
  </si>
  <si>
    <t>ΒΑΜΒΑΚΙ12306</t>
  </si>
  <si>
    <t>FILIA</t>
  </si>
  <si>
    <t>ΒΑΜΒΑΚΙ12307</t>
  </si>
  <si>
    <t>KLEA</t>
  </si>
  <si>
    <t>ΒΑΜΒΑΚΙ12308</t>
  </si>
  <si>
    <t>L 206</t>
  </si>
  <si>
    <t>ΒΑΜΒΑΚΙ12309</t>
  </si>
  <si>
    <t>MARKELLA</t>
  </si>
  <si>
    <t>ΒΑΜΒΑΚΙ12310</t>
  </si>
  <si>
    <t>MORELIA</t>
  </si>
  <si>
    <t>ΒΑΜΒΑΚΙ12311</t>
  </si>
  <si>
    <t>PHY44</t>
  </si>
  <si>
    <t>ΒΑΜΒΑΚΙ12312</t>
  </si>
  <si>
    <t>PHY64</t>
  </si>
  <si>
    <t>ΒΑΜΒΑΚΙ12313</t>
  </si>
  <si>
    <t>PHYLONG 1</t>
  </si>
  <si>
    <t>ΒΑΜΒΑΚΙ12314</t>
  </si>
  <si>
    <t>PHYNAL</t>
  </si>
  <si>
    <t>ΒΑΜΒΑΚΙ12315</t>
  </si>
  <si>
    <t>SANDY</t>
  </si>
  <si>
    <t>ΒΑΜΒΑΚΙ12316</t>
  </si>
  <si>
    <t>SIRO</t>
  </si>
  <si>
    <t>ΒΑΜΒΑΚΙ12317</t>
  </si>
  <si>
    <t>STONEVILLE-1324</t>
  </si>
  <si>
    <t>ΒΑΜΒΑΚΙ12318</t>
  </si>
  <si>
    <t>UZI</t>
  </si>
  <si>
    <t>ΒΑΜΒΑΚΙ12319</t>
  </si>
  <si>
    <t>ZAXIR</t>
  </si>
  <si>
    <t>ΒΑΜΒΑΚΙ12320</t>
  </si>
  <si>
    <t>ΒΑΜΒΑΚΙ12321</t>
  </si>
  <si>
    <t>ANABEL</t>
  </si>
  <si>
    <t>ΒΑΜΒΑΚΙ12322</t>
  </si>
  <si>
    <t>BA 1010</t>
  </si>
  <si>
    <t>ΒΑΜΒΑΚΙ12323</t>
  </si>
  <si>
    <t>KRISTAL</t>
  </si>
  <si>
    <t>ΒΑΜΒΑΚΙ12324</t>
  </si>
  <si>
    <t>MELANI</t>
  </si>
  <si>
    <t>ΒΑΜΒΑΚΙ12325</t>
  </si>
  <si>
    <t>NOVELIA</t>
  </si>
  <si>
    <t>ΒΑΜΒΑΚΙ12326</t>
  </si>
  <si>
    <t>ΒΑΜΒΑΚΙ12327</t>
  </si>
  <si>
    <t>TOTEMIA</t>
  </si>
  <si>
    <t>ΒΑΜΒΑΚΙ12328</t>
  </si>
  <si>
    <t>VERED 171</t>
  </si>
  <si>
    <t>ΒΑΜΒΑΚΙ12329</t>
  </si>
  <si>
    <t>CONCHA</t>
  </si>
  <si>
    <t>ΒΑΜΒΑΚΙ12330</t>
  </si>
  <si>
    <t>ST 830</t>
  </si>
  <si>
    <t>ΒΑΜΒΑΚΙ12331</t>
  </si>
  <si>
    <t>ERIKA</t>
  </si>
  <si>
    <t>ΒΑΜΒΑΚΙ12332</t>
  </si>
  <si>
    <t>BALAIKA</t>
  </si>
  <si>
    <t>ΒΑΜΒΑΚΙ12333</t>
  </si>
  <si>
    <t>IRIDA</t>
  </si>
  <si>
    <t>ΒΑΜΒΑΚΙ12334</t>
  </si>
  <si>
    <t>ADORA</t>
  </si>
  <si>
    <t>ΒΑΜΒΑΚΙ12335</t>
  </si>
  <si>
    <t>ST 810</t>
  </si>
  <si>
    <t>ΒΑΜΒΑΚΙ12336</t>
  </si>
  <si>
    <t>MONICA</t>
  </si>
  <si>
    <t>ΒΑΜΒΑΚΙ12337</t>
  </si>
  <si>
    <t>KORINA (ΚΟΡΙΝΑ)</t>
  </si>
  <si>
    <t>ΒΑΜΒΑΚΙ1256</t>
  </si>
  <si>
    <t>MYRTO (ΜΥΡΤΩ)</t>
  </si>
  <si>
    <t>ΒΑΜΒΑΚΙ1258</t>
  </si>
  <si>
    <t>EVA</t>
  </si>
  <si>
    <t>ΒΑΜΒΑΚΙ1259</t>
  </si>
  <si>
    <t>OURANIA</t>
  </si>
  <si>
    <t>ΒΑΜΒΑΚΙ1336</t>
  </si>
  <si>
    <t>STONEVILLE-506</t>
  </si>
  <si>
    <t>ΒΑΜΒΑΚΙ1458</t>
  </si>
  <si>
    <t>ST 324</t>
  </si>
  <si>
    <t>ΒΑΜΒΑΚΙ1461</t>
  </si>
  <si>
    <t>AVGI</t>
  </si>
  <si>
    <t>ΒΑΜΒΑΚΙ1479</t>
  </si>
  <si>
    <t>ILION</t>
  </si>
  <si>
    <t>ΒΑΜΒΑΚΙ1562</t>
  </si>
  <si>
    <t>PENTA</t>
  </si>
  <si>
    <t>ΒΑΜΒΑΚΙ1563</t>
  </si>
  <si>
    <t>ALFA</t>
  </si>
  <si>
    <t>ΒΑΜΒΑΚΙ1564</t>
  </si>
  <si>
    <t>ZOI</t>
  </si>
  <si>
    <t>ΒΑΜΒΑΚΙ1597</t>
  </si>
  <si>
    <t>NEVADA</t>
  </si>
  <si>
    <t>ΒΑΜΒΑΚΙ1642</t>
  </si>
  <si>
    <t>ROXY</t>
  </si>
  <si>
    <t>ΒΑΜΒΑΚΙ1655</t>
  </si>
  <si>
    <t>CONTESSA</t>
  </si>
  <si>
    <t>ΒΑΜΒΑΚΙ1656</t>
  </si>
  <si>
    <t>TROPICANA</t>
  </si>
  <si>
    <t>ΒΑΜΒΑΚΙ1657</t>
  </si>
  <si>
    <t>EL DORADO</t>
  </si>
  <si>
    <t>ΒΑΜΒΑΚΙ1661</t>
  </si>
  <si>
    <t>BALKA</t>
  </si>
  <si>
    <t>ΒΑΜΒΑΚΙ1662</t>
  </si>
  <si>
    <t>MAYA</t>
  </si>
  <si>
    <t>ΒΑΜΒΑΚΙ1663</t>
  </si>
  <si>
    <t>KING</t>
  </si>
  <si>
    <t>ΒΑΜΒΑΚΙ1680</t>
  </si>
  <si>
    <t>SURE GROW 501</t>
  </si>
  <si>
    <t>ΒΑΜΒΑΚΙ1687</t>
  </si>
  <si>
    <t>SURE GROW 404</t>
  </si>
  <si>
    <t>ΒΑΜΒΑΚΙ1688</t>
  </si>
  <si>
    <t>SINDOS 80 (ΣΙΝΔΟΣ 80)</t>
  </si>
  <si>
    <t>ΒΑΜΒΑΚΙ169</t>
  </si>
  <si>
    <t>MONTANA</t>
  </si>
  <si>
    <t>ΒΑΜΒΑΚΙ1690</t>
  </si>
  <si>
    <t>YUMA</t>
  </si>
  <si>
    <t>ΒΑΜΒΑΚΙ1691</t>
  </si>
  <si>
    <t>APOLLONIA</t>
  </si>
  <si>
    <t>ΒΑΜΒΑΚΙ1692</t>
  </si>
  <si>
    <t>OLYMPIA</t>
  </si>
  <si>
    <t>ΒΑΜΒΑΚΙ1693</t>
  </si>
  <si>
    <t>CHRISTIDIS (ΧΡΗΣΤΙΔΗΣ)</t>
  </si>
  <si>
    <t>ΒΑΜΒΑΚΙ1694</t>
  </si>
  <si>
    <t>ETHIAGE-1</t>
  </si>
  <si>
    <t>ΒΑΜΒΑΚΙ1695</t>
  </si>
  <si>
    <t>PONDEROSA</t>
  </si>
  <si>
    <t>ΒΑΜΒΑΚΙ1697</t>
  </si>
  <si>
    <t>4S (4Σ)</t>
  </si>
  <si>
    <t>ΒΑΜΒΑΚΙ170</t>
  </si>
  <si>
    <t>CARAT</t>
  </si>
  <si>
    <t>ΒΑΜΒΑΚΙ1707</t>
  </si>
  <si>
    <t>AΚALA SINDOY (ΑΚΑΛΑ ΣΙΝΔΟΥ)</t>
  </si>
  <si>
    <t>ΒΑΜΒΑΚΙ172</t>
  </si>
  <si>
    <t>IPEN</t>
  </si>
  <si>
    <t>ΒΑΜΒΑΚΙ1728</t>
  </si>
  <si>
    <t>RENATA</t>
  </si>
  <si>
    <t>ΒΑΜΒΑΚΙ1730</t>
  </si>
  <si>
    <t>CHRISTINA</t>
  </si>
  <si>
    <t>ΒΑΜΒΑΚΙ1734</t>
  </si>
  <si>
    <t>ROMILA</t>
  </si>
  <si>
    <t>ΒΑΜΒΑΚΙ1736</t>
  </si>
  <si>
    <t>INDIANA</t>
  </si>
  <si>
    <t>ΒΑΜΒΑΚΙ1737</t>
  </si>
  <si>
    <t>LIA</t>
  </si>
  <si>
    <t>ΒΑΜΒΑΚΙ1739</t>
  </si>
  <si>
    <t>AMARA</t>
  </si>
  <si>
    <t>ΒΑΜΒΑΚΙ1740</t>
  </si>
  <si>
    <t>SURE GROW 125</t>
  </si>
  <si>
    <t>ΒΑΜΒΑΚΙ1747</t>
  </si>
  <si>
    <t>DIVA</t>
  </si>
  <si>
    <t>ΒΑΜΒΑΚΙ1748</t>
  </si>
  <si>
    <t>STEFANIA</t>
  </si>
  <si>
    <t>ΒΑΜΒΑΚΙ1773</t>
  </si>
  <si>
    <t>BOLINA</t>
  </si>
  <si>
    <t>ΒΑΜΒΑΚΙ1778</t>
  </si>
  <si>
    <t>SAMOS (ΣΑΜΟΣ)</t>
  </si>
  <si>
    <t>ΒΑΜΒΑΚΙ180</t>
  </si>
  <si>
    <t>EXPRESS</t>
  </si>
  <si>
    <t>ΒΑΜΒΑΚΙ1809</t>
  </si>
  <si>
    <t>DALIA</t>
  </si>
  <si>
    <t>ΒΑΜΒΑΚΙ1813</t>
  </si>
  <si>
    <t>LUCIA (ΛΟΥΚΙΑ)</t>
  </si>
  <si>
    <t>ΒΑΜΒΑΚΙ1814</t>
  </si>
  <si>
    <t>ASTRA</t>
  </si>
  <si>
    <t>ΒΑΜΒΑΚΙ1817</t>
  </si>
  <si>
    <t>VENTO</t>
  </si>
  <si>
    <t>ΒΑΜΒΑΚΙ1818</t>
  </si>
  <si>
    <t>MACEDON</t>
  </si>
  <si>
    <t>ΒΑΜΒΑΚΙ1821</t>
  </si>
  <si>
    <t>DIMITRA</t>
  </si>
  <si>
    <t>ΒΑΜΒΑΚΙ1830</t>
  </si>
  <si>
    <t>NOVA</t>
  </si>
  <si>
    <t>ΒΑΜΒΑΚΙ1834</t>
  </si>
  <si>
    <t>BRAVADA</t>
  </si>
  <si>
    <t>ΒΑΜΒΑΚΙ1835</t>
  </si>
  <si>
    <t>ALPINA</t>
  </si>
  <si>
    <t>ΒΑΜΒΑΚΙ1839</t>
  </si>
  <si>
    <t>ROMANOS</t>
  </si>
  <si>
    <t>ΒΑΜΒΑΚΙ1841</t>
  </si>
  <si>
    <t>ELINA</t>
  </si>
  <si>
    <t>ΒΑΜΒΑΚΙ1842</t>
  </si>
  <si>
    <t>GEDERA 5</t>
  </si>
  <si>
    <t>ΒΑΜΒΑΚΙ1843</t>
  </si>
  <si>
    <t>ARIANA-1</t>
  </si>
  <si>
    <t>ΒΑΜΒΑΚΙ1844</t>
  </si>
  <si>
    <t>LUNA</t>
  </si>
  <si>
    <t>ΒΑΜΒΑΚΙ1845</t>
  </si>
  <si>
    <t>ANTAIOS</t>
  </si>
  <si>
    <t>ΒΑΜΒΑΚΙ1849</t>
  </si>
  <si>
    <t>PROMITHEAS (ΠΡΟΜΗΘΕΑΣ)</t>
  </si>
  <si>
    <t>ΒΑΜΒΑΚΙ1850</t>
  </si>
  <si>
    <t>DELTA ODALO</t>
  </si>
  <si>
    <t>ΒΑΜΒΑΚΙ1877</t>
  </si>
  <si>
    <t>ARENA</t>
  </si>
  <si>
    <t>ΒΑΜΒΑΚΙ1884</t>
  </si>
  <si>
    <t>VELOS</t>
  </si>
  <si>
    <t>ΒΑΜΒΑΚΙ1885</t>
  </si>
  <si>
    <t>JOAN</t>
  </si>
  <si>
    <t>ΒΑΜΒΑΚΙ1888</t>
  </si>
  <si>
    <t>VAKI - 230</t>
  </si>
  <si>
    <t>ΒΑΜΒΑΚΙ1889</t>
  </si>
  <si>
    <t>SANDRA</t>
  </si>
  <si>
    <t>ΒΑΜΒΑΚΙ1892</t>
  </si>
  <si>
    <t>PALOMA</t>
  </si>
  <si>
    <t>ΒΑΜΒΑΚΙ1898</t>
  </si>
  <si>
    <t>NORIS</t>
  </si>
  <si>
    <t>ΒΑΜΒΑΚΙ1906</t>
  </si>
  <si>
    <t>FLORA</t>
  </si>
  <si>
    <t>ΒΑΜΒΑΚΙ1907</t>
  </si>
  <si>
    <t>KALIDON</t>
  </si>
  <si>
    <t>ΒΑΜΒΑΚΙ1913</t>
  </si>
  <si>
    <t>FANTOM</t>
  </si>
  <si>
    <t>ΒΑΜΒΑΚΙ1914</t>
  </si>
  <si>
    <t>PRIMERA</t>
  </si>
  <si>
    <t>ΒΑΜΒΑΚΙ1915</t>
  </si>
  <si>
    <t>ST 373</t>
  </si>
  <si>
    <t>ΒΑΜΒΑΚΙ1917</t>
  </si>
  <si>
    <t>DORA</t>
  </si>
  <si>
    <t>ΒΑΜΒΑΚΙ1918</t>
  </si>
  <si>
    <t>SOFIA</t>
  </si>
  <si>
    <t>ΒΑΜΒΑΚΙ1928</t>
  </si>
  <si>
    <t>FOTINI</t>
  </si>
  <si>
    <t>ΒΑΜΒΑΚΙ1929</t>
  </si>
  <si>
    <t>IONIA</t>
  </si>
  <si>
    <t>ΒΑΜΒΑΚΙ1931</t>
  </si>
  <si>
    <t>PONTOS</t>
  </si>
  <si>
    <t>ΒΑΜΒΑΚΙ1932</t>
  </si>
  <si>
    <t>KARLILA</t>
  </si>
  <si>
    <t>ΒΑΜΒΑΚΙ1982</t>
  </si>
  <si>
    <t>CRONOS</t>
  </si>
  <si>
    <t>ΒΑΜΒΑΚΙ1984</t>
  </si>
  <si>
    <t>HERMES</t>
  </si>
  <si>
    <t>ΒΑΜΒΑΚΙ1985</t>
  </si>
  <si>
    <t>ARTEMIS</t>
  </si>
  <si>
    <t>ΒΑΜΒΑΚΙ1986</t>
  </si>
  <si>
    <t>IRINI</t>
  </si>
  <si>
    <t>ΒΑΜΒΑΚΙ2008</t>
  </si>
  <si>
    <t>CELIA</t>
  </si>
  <si>
    <t>ΒΑΜΒΑΚΙ2011</t>
  </si>
  <si>
    <t>GEDERA 10</t>
  </si>
  <si>
    <t>ΒΑΜΒΑΚΙ2025</t>
  </si>
  <si>
    <t>MILENIUM</t>
  </si>
  <si>
    <t>ΒΑΜΒΑΚΙ2030</t>
  </si>
  <si>
    <t>ANITA</t>
  </si>
  <si>
    <t>ΒΑΜΒΑΚΙ2063</t>
  </si>
  <si>
    <t>SPEED</t>
  </si>
  <si>
    <t>ΒΑΜΒΑΚΙ2078</t>
  </si>
  <si>
    <t>CANON</t>
  </si>
  <si>
    <t>ΒΑΜΒΑΚΙ2080</t>
  </si>
  <si>
    <t>CAMPO</t>
  </si>
  <si>
    <t>ΒΑΜΒΑΚΙ2099</t>
  </si>
  <si>
    <t>LIDER</t>
  </si>
  <si>
    <t>ΒΑΜΒΑΚΙ2100</t>
  </si>
  <si>
    <t>FOIVI</t>
  </si>
  <si>
    <t>ΒΑΜΒΑΚΙ2115</t>
  </si>
  <si>
    <t>IDEAL</t>
  </si>
  <si>
    <t>ΒΑΜΒΑΚΙ2116</t>
  </si>
  <si>
    <t>SAMANTHA</t>
  </si>
  <si>
    <t>ΒΑΜΒΑΚΙ2117</t>
  </si>
  <si>
    <t>ILEKTRA</t>
  </si>
  <si>
    <t>ΒΑΜΒΑΚΙ2119</t>
  </si>
  <si>
    <t>ANDROMEDA</t>
  </si>
  <si>
    <t>ΒΑΜΒΑΚΙ2120</t>
  </si>
  <si>
    <t>ASSOS</t>
  </si>
  <si>
    <t>ΒΑΜΒΑΚΙ2122</t>
  </si>
  <si>
    <t>SUN</t>
  </si>
  <si>
    <t>ΒΑΜΒΑΚΙ2123</t>
  </si>
  <si>
    <t>ESMERALDA</t>
  </si>
  <si>
    <t>ΒΑΜΒΑΚΙ2124</t>
  </si>
  <si>
    <t>PANDORA</t>
  </si>
  <si>
    <t>ΒΑΜΒΑΚΙ2128</t>
  </si>
  <si>
    <t>ROKA</t>
  </si>
  <si>
    <t>ΒΑΜΒΑΚΙ2131</t>
  </si>
  <si>
    <t>LACTA</t>
  </si>
  <si>
    <t>ΒΑΜΒΑΚΙ2132</t>
  </si>
  <si>
    <t>LEON</t>
  </si>
  <si>
    <t>ΒΑΜΒΑΚΙ2188</t>
  </si>
  <si>
    <t>ALEXANDROS</t>
  </si>
  <si>
    <t>ΒΑΜΒΑΚΙ2202</t>
  </si>
  <si>
    <t>COTTON CLUB</t>
  </si>
  <si>
    <t>ΒΑΜΒΑΚΙ2210</t>
  </si>
  <si>
    <t>BABYLON</t>
  </si>
  <si>
    <t>ΒΑΜΒΑΚΙ2211</t>
  </si>
  <si>
    <t>AMANTA</t>
  </si>
  <si>
    <t>ΒΑΜΒΑΚΙ2212</t>
  </si>
  <si>
    <t>DYNASTY</t>
  </si>
  <si>
    <t>ΒΑΜΒΑΚΙ2213</t>
  </si>
  <si>
    <t>FOCUS</t>
  </si>
  <si>
    <t>ΒΑΜΒΑΚΙ2214</t>
  </si>
  <si>
    <t>ESPADA</t>
  </si>
  <si>
    <t>ΒΑΜΒΑΚΙ2215</t>
  </si>
  <si>
    <t>SYMBOL</t>
  </si>
  <si>
    <t>ΒΑΜΒΑΚΙ2216</t>
  </si>
  <si>
    <t>ILIANA</t>
  </si>
  <si>
    <t>ΒΑΜΒΑΚΙ2217</t>
  </si>
  <si>
    <t>MYTHOS (ΜΥΘΟΣ)</t>
  </si>
  <si>
    <t>ΒΑΜΒΑΚΙ2218</t>
  </si>
  <si>
    <t>ATLAS</t>
  </si>
  <si>
    <t>ΒΑΜΒΑΚΙ2219</t>
  </si>
  <si>
    <t>ST 463</t>
  </si>
  <si>
    <t>ΒΑΜΒΑΚΙ2221</t>
  </si>
  <si>
    <t>CELESTIA</t>
  </si>
  <si>
    <t>ΒΑΜΒΑΚΙ2224</t>
  </si>
  <si>
    <t>ST 457</t>
  </si>
  <si>
    <t>ΒΑΜΒΑΚΙ2313</t>
  </si>
  <si>
    <t>ST 468</t>
  </si>
  <si>
    <t>ΒΑΜΒΑΚΙ2314</t>
  </si>
  <si>
    <t>PERLA</t>
  </si>
  <si>
    <t>ΒΑΜΒΑΚΙ2318</t>
  </si>
  <si>
    <t>ORION</t>
  </si>
  <si>
    <t>ΒΑΜΒΑΚΙ2319</t>
  </si>
  <si>
    <t>IMPREZA</t>
  </si>
  <si>
    <t>ΒΑΜΒΑΚΙ2320</t>
  </si>
  <si>
    <t>LONZA</t>
  </si>
  <si>
    <t>ΒΑΜΒΑΚΙ2324</t>
  </si>
  <si>
    <t>MIRAGE</t>
  </si>
  <si>
    <t>ΒΑΜΒΑΚΙ2326</t>
  </si>
  <si>
    <t>PLATINA</t>
  </si>
  <si>
    <t>ΒΑΜΒΑΚΙ2327</t>
  </si>
  <si>
    <t>FAMOSA</t>
  </si>
  <si>
    <t>ΒΑΜΒΑΚΙ2328</t>
  </si>
  <si>
    <t>ANAIS</t>
  </si>
  <si>
    <t>ΒΑΜΒΑΚΙ2329</t>
  </si>
  <si>
    <t>SERIA</t>
  </si>
  <si>
    <t>ΒΑΜΒΑΚΙ2330</t>
  </si>
  <si>
    <t>ALMON</t>
  </si>
  <si>
    <t>ΒΑΜΒΑΚΙ2331</t>
  </si>
  <si>
    <t>COBRA</t>
  </si>
  <si>
    <t>ΒΑΜΒΑΚΙ2333</t>
  </si>
  <si>
    <t>ZARKO</t>
  </si>
  <si>
    <t>ΒΑΜΒΑΚΙ2334</t>
  </si>
  <si>
    <t>FAYTOS</t>
  </si>
  <si>
    <t>ΒΑΜΒΑΚΙ2336</t>
  </si>
  <si>
    <t>FOIVOS</t>
  </si>
  <si>
    <t>ΒΑΜΒΑΚΙ2337</t>
  </si>
  <si>
    <t>AVRA</t>
  </si>
  <si>
    <t>ΒΑΜΒΑΚΙ2338</t>
  </si>
  <si>
    <t>DELTA DIAMOND</t>
  </si>
  <si>
    <t>ΒΑΜΒΑΚΙ2341</t>
  </si>
  <si>
    <t>EXTRA</t>
  </si>
  <si>
    <t>ΒΑΜΒΑΚΙ2342</t>
  </si>
  <si>
    <t>NIMA</t>
  </si>
  <si>
    <t>ΒΑΜΒΑΚΙ2387</t>
  </si>
  <si>
    <t>MARTHA</t>
  </si>
  <si>
    <t>ΒΑΜΒΑΚΙ2447</t>
  </si>
  <si>
    <t>X020</t>
  </si>
  <si>
    <t>ΒΑΜΒΑΚΙ2448</t>
  </si>
  <si>
    <t>ANETO</t>
  </si>
  <si>
    <t>ΒΑΜΒΑΚΙ2449</t>
  </si>
  <si>
    <t>DP468</t>
  </si>
  <si>
    <t>ΒΑΜΒΑΚΙ2450</t>
  </si>
  <si>
    <t>DP 577</t>
  </si>
  <si>
    <t>ΒΑΜΒΑΚΙ2451</t>
  </si>
  <si>
    <t>DP 419</t>
  </si>
  <si>
    <t>ΒΑΜΒΑΚΙ2452</t>
  </si>
  <si>
    <t>THESSALIA</t>
  </si>
  <si>
    <t>ΒΑΜΒΑΚΙ2453</t>
  </si>
  <si>
    <t>NIKI</t>
  </si>
  <si>
    <t>ΒΑΜΒΑΚΙ2454</t>
  </si>
  <si>
    <t>JUNCAL</t>
  </si>
  <si>
    <t>ΒΑΜΒΑΚΙ2457</t>
  </si>
  <si>
    <t>DELFOS</t>
  </si>
  <si>
    <t>ΒΑΜΒΑΚΙ2458</t>
  </si>
  <si>
    <t>EVDOKIA</t>
  </si>
  <si>
    <t>ΒΑΜΒΑΚΙ2459</t>
  </si>
  <si>
    <t>TZORTZINA</t>
  </si>
  <si>
    <t>ΒΑΜΒΑΚΙ2460</t>
  </si>
  <si>
    <t>OSCAR</t>
  </si>
  <si>
    <t>ΒΑΜΒΑΚΙ2461</t>
  </si>
  <si>
    <t>STUKA</t>
  </si>
  <si>
    <t>ΒΑΜΒΑΚΙ2462</t>
  </si>
  <si>
    <t>PIGAL</t>
  </si>
  <si>
    <t>ΒΑΜΒΑΚΙ2463</t>
  </si>
  <si>
    <t>NEILOS</t>
  </si>
  <si>
    <t>ΒΑΜΒΑΚΙ2464</t>
  </si>
  <si>
    <t>ST 446</t>
  </si>
  <si>
    <t>ΒΑΜΒΑΚΙ2465</t>
  </si>
  <si>
    <t>ST 431</t>
  </si>
  <si>
    <t>ΒΑΜΒΑΚΙ2466</t>
  </si>
  <si>
    <t>ST 525</t>
  </si>
  <si>
    <t>ΒΑΜΒΑΚΙ2467</t>
  </si>
  <si>
    <t>PIGASOS</t>
  </si>
  <si>
    <t>ΒΑΜΒΑΚΙ2468</t>
  </si>
  <si>
    <t>PROTEAS</t>
  </si>
  <si>
    <t>ΒΑΜΒΑΚΙ2470</t>
  </si>
  <si>
    <t>COSMOS</t>
  </si>
  <si>
    <t>ΒΑΜΒΑΚΙ2471</t>
  </si>
  <si>
    <t>ICARUS</t>
  </si>
  <si>
    <t>ΒΑΜΒΑΚΙ2489</t>
  </si>
  <si>
    <t>DONNA</t>
  </si>
  <si>
    <t>ΒΑΜΒΑΚΙ2570</t>
  </si>
  <si>
    <t>ORFEAS</t>
  </si>
  <si>
    <t>ΒΑΜΒΑΚΙ2575</t>
  </si>
  <si>
    <t>TOTA</t>
  </si>
  <si>
    <t>ΒΑΜΒΑΚΙ2576</t>
  </si>
  <si>
    <t>CT 1</t>
  </si>
  <si>
    <t>ΒΑΜΒΑΚΙ2585</t>
  </si>
  <si>
    <t>CT 12</t>
  </si>
  <si>
    <t>ΒΑΜΒΑΚΙ2586</t>
  </si>
  <si>
    <t>EKATI</t>
  </si>
  <si>
    <t>ΒΑΜΒΑΚΙ2588</t>
  </si>
  <si>
    <t>KK801</t>
  </si>
  <si>
    <t>ΒΑΜΒΑΚΙ2589</t>
  </si>
  <si>
    <t>KK803</t>
  </si>
  <si>
    <t>ΒΑΜΒΑΚΙ2590</t>
  </si>
  <si>
    <t>KK805</t>
  </si>
  <si>
    <t>ΒΑΜΒΑΚΙ2592</t>
  </si>
  <si>
    <t>KK807</t>
  </si>
  <si>
    <t>ΒΑΜΒΑΚΙ2593</t>
  </si>
  <si>
    <t>KK808</t>
  </si>
  <si>
    <t>ΒΑΜΒΑΚΙ2594</t>
  </si>
  <si>
    <t>CANDIA</t>
  </si>
  <si>
    <t>ΒΑΜΒΑΚΙ2678</t>
  </si>
  <si>
    <t>LAURA</t>
  </si>
  <si>
    <t>ΒΑΜΒΑΚΙ2680</t>
  </si>
  <si>
    <t>NEFELI</t>
  </si>
  <si>
    <t>ΒΑΜΒΑΚΙ2682</t>
  </si>
  <si>
    <t>KALLINA</t>
  </si>
  <si>
    <t>ΒΑΜΒΑΚΙ2878</t>
  </si>
  <si>
    <t>ELSA</t>
  </si>
  <si>
    <t>ΒΑΜΒΑΚΙ2879</t>
  </si>
  <si>
    <t>APHRICA</t>
  </si>
  <si>
    <t>ΒΑΜΒΑΚΙ2880</t>
  </si>
  <si>
    <t>LAMBADA</t>
  </si>
  <si>
    <t>ΒΑΜΒΑΚΙ2881</t>
  </si>
  <si>
    <t>ST 405</t>
  </si>
  <si>
    <t>ΒΑΜΒΑΚΙ2882</t>
  </si>
  <si>
    <t>SELECT</t>
  </si>
  <si>
    <t>ΒΑΜΒΑΚΙ2883</t>
  </si>
  <si>
    <t>ATLANDA</t>
  </si>
  <si>
    <t>ΒΑΜΒΑΚΙ2884</t>
  </si>
  <si>
    <t>EVITA</t>
  </si>
  <si>
    <t>ΒΑΜΒΑΚΙ2885</t>
  </si>
  <si>
    <t>JULIA</t>
  </si>
  <si>
    <t>ΒΑΜΒΑΚΙ2886</t>
  </si>
  <si>
    <t>CARMEN</t>
  </si>
  <si>
    <t>ΒΑΜΒΑΚΙ2888</t>
  </si>
  <si>
    <t>CLAUDIA</t>
  </si>
  <si>
    <t>ΒΑΜΒΑΚΙ2889</t>
  </si>
  <si>
    <t>DP 396</t>
  </si>
  <si>
    <t>ΒΑΜΒΑΚΙ2890</t>
  </si>
  <si>
    <t>ALBARIZA</t>
  </si>
  <si>
    <t>ΒΑΜΒΑΚΙ2891</t>
  </si>
  <si>
    <t>TOSCA</t>
  </si>
  <si>
    <t>ΒΑΜΒΑΚΙ2892</t>
  </si>
  <si>
    <t>INTERCOTT 211</t>
  </si>
  <si>
    <t>ΒΑΜΒΑΚΙ2893</t>
  </si>
  <si>
    <t>DP 332</t>
  </si>
  <si>
    <t>ΒΑΜΒΑΚΙ2894</t>
  </si>
  <si>
    <t>BETICA</t>
  </si>
  <si>
    <t>ΒΑΜΒΑΚΙ2895</t>
  </si>
  <si>
    <t>ST 478</t>
  </si>
  <si>
    <t>ΒΑΜΒΑΚΙ2896</t>
  </si>
  <si>
    <t>DP 402</t>
  </si>
  <si>
    <t>ΒΑΜΒΑΚΙ2897</t>
  </si>
  <si>
    <t>ST 363</t>
  </si>
  <si>
    <t>ΒΑΜΒΑΚΙ2898</t>
  </si>
  <si>
    <t>DP 349</t>
  </si>
  <si>
    <t>ΒΑΜΒΑΚΙ2899</t>
  </si>
  <si>
    <t>CRUIS</t>
  </si>
  <si>
    <t>ΒΑΜΒΑΚΙ2900</t>
  </si>
  <si>
    <t>SAVINA</t>
  </si>
  <si>
    <t>ΒΑΜΒΑΚΙ2901</t>
  </si>
  <si>
    <t>HERSI</t>
  </si>
  <si>
    <t>ΒΑΜΒΑΚΙ2902</t>
  </si>
  <si>
    <t>SPEED R1</t>
  </si>
  <si>
    <t>ΒΑΜΒΑΚΙ2903</t>
  </si>
  <si>
    <t>DP 401</t>
  </si>
  <si>
    <t>ΒΑΜΒΑΚΙ2904</t>
  </si>
  <si>
    <t>ZETA 2</t>
  </si>
  <si>
    <t>ΒΑΜΒΑΚΙ664</t>
  </si>
  <si>
    <t>ZETA 5</t>
  </si>
  <si>
    <t>ΒΑΜΒΑΚΙ665</t>
  </si>
  <si>
    <t>ΒΑΜΒΑΚΙ ΞΗΡΙΚΟ</t>
  </si>
  <si>
    <t>ΒΑΜΒΑΚΙ8108</t>
  </si>
  <si>
    <t>ST 402</t>
  </si>
  <si>
    <t>ΒΑΜΒΑΚΙ8667</t>
  </si>
  <si>
    <t>ST 318</t>
  </si>
  <si>
    <t>ΒΑΜΒΑΚΙ8668</t>
  </si>
  <si>
    <t>ST 474</t>
  </si>
  <si>
    <t>ΒΑΜΒΑΚΙ98110</t>
  </si>
  <si>
    <t>ΒΑΜΒΑΚΙ98111</t>
  </si>
  <si>
    <t>NELI</t>
  </si>
  <si>
    <t>ΒΑΜΒΑΚΙ98112</t>
  </si>
  <si>
    <t>FLASH</t>
  </si>
  <si>
    <t>ΒΑΜΒΑΚΙ98113</t>
  </si>
  <si>
    <t>BEYAZ ALTIN 151</t>
  </si>
  <si>
    <t>ΒΑΜΒΑΚΙ98114</t>
  </si>
  <si>
    <t>LYDIA</t>
  </si>
  <si>
    <t>ΒΑΜΒΑΚΙ98115</t>
  </si>
  <si>
    <t>AMAZONA</t>
  </si>
  <si>
    <t>ΒΑΜΒΑΚΙ98116</t>
  </si>
  <si>
    <t>NATASA</t>
  </si>
  <si>
    <t>ΒΑΜΒΑΚΙ98117</t>
  </si>
  <si>
    <t>DP 377</t>
  </si>
  <si>
    <t>ΒΑΜΒΑΚΙ98118</t>
  </si>
  <si>
    <t>PRG 9811</t>
  </si>
  <si>
    <t>ΒΑΜΒΑΚΙ98119</t>
  </si>
  <si>
    <t>COKO</t>
  </si>
  <si>
    <t>ΒΑΜΒΑΚΙ98120</t>
  </si>
  <si>
    <t>LIDRA</t>
  </si>
  <si>
    <t>ΒΑΜΒΑΚΙ98121</t>
  </si>
  <si>
    <t>CARISMA</t>
  </si>
  <si>
    <t>ΒΑΜΒΑΚΙ98122</t>
  </si>
  <si>
    <t>PRIME 1848</t>
  </si>
  <si>
    <t>ΒΑΜΒΑΚΙ98123</t>
  </si>
  <si>
    <t>MISTRAL</t>
  </si>
  <si>
    <t>ΒΑΜΒΑΚΙ98124</t>
  </si>
  <si>
    <t>ΒΙΟΜΗΧΑΝΙΚΗ ΚΑΝΝΑΒΗ ΕΚΤΟΣ ΚΟΙΝΟΤΙΚΟΥ ΚΑΤΑΛΟΓΟΥ</t>
  </si>
  <si>
    <t>ΒΙΟΜΗΧΑΝΙΚΗ ΚΑΝΝΑΒΗ ΕΚΤΟΣ ΚΟΙΝΟΤΙΚΟΥ ΚΑΤΑΛΟΓΟΥ44001</t>
  </si>
  <si>
    <t>ΒΙΟΜ. ΚΑΝΝΑΒΗ MOUNTAIN MANGO (ΧΩΡΑ ΠΡΟΕΛΕΥΣΗΣ ΗΠΑ)</t>
  </si>
  <si>
    <t>ΒΙΟΜΗΧΑΝΙΚΗ ΚΑΝΝΑΒΗ ΕΚΤΟΣ ΚΟΙΝΟΤΙΚΟΥ ΚΑΤΑΛΟΓΟΥ44002</t>
  </si>
  <si>
    <t>ΒΙΟΜ. ΚΑΝΝΑΒΗ MOUNTAIN MANGO - ΘΕΡΜΟΚΗΠΙΑΚΗ ΚΑΛΛΙΕΡΓΕΙΑ (ΧΩΡΑ ΠΡΟΕΛΕΥΣΗΣ ΗΠΑ)</t>
  </si>
  <si>
    <t>ΒΙΟΜΗΧΑΝΙΚΗ ΚΑΝΝΑΒΗ ΕΚΤΟΣ ΚΟΙΝΟΤΙΚΟΥ ΚΑΤΑΛΟΓΟΥ44003</t>
  </si>
  <si>
    <t>ΒΙΟΜ. ΚΑΝΝΑΒΗ KATANA (ΧΩΡΑ ΠΡΟΕΛΕΥΣΗΣ ΗΠΑ)</t>
  </si>
  <si>
    <t>ΒΙΟΜΗΧΑΝΙΚΗ ΚΑΝΝΑΒΗ ΕΚΤΟΣ ΚΟΙΝΟΤΙΚΟΥ ΚΑΤΑΛΟΓΟΥ44004</t>
  </si>
  <si>
    <t>ΒΙΟΜ. ΚΑΝΝΑΒΗ KATANA - ΘΕΡΜΟΚΗΠΙΑΚΗ ΚΑΛΛΙΕΡΓΕΙΑ (ΧΩΡΑ ΠΡΟΕΛΕΥΣΗΣ ΗΠΑ)</t>
  </si>
  <si>
    <t>ΒΙΟΜΗΧΑΝΙΚΗ ΚΑΝΝΑΒΗ ΕΚΤΟΣ ΚΟΙΝΟΤΙΚΟΥ ΚΑΤΑΛΟΓΟΥ44005</t>
  </si>
  <si>
    <t>ΒΙΟΜ. ΚΑΝΝΑΒΗ CHERRY WINE (ΧΩΡΑ ΠΡΟΕΛΕΥΣΗΣ ΗΠΑ)</t>
  </si>
  <si>
    <t>ΒΙΟΜΗΧΑΝΙΚΗ ΚΑΝΝΑΒΗ ΕΚΤΟΣ ΚΟΙΝΟΤΙΚΟΥ ΚΑΤΑΛΟΓΟΥ44006</t>
  </si>
  <si>
    <t>ΒΙΟΜ. ΚΑΝΝΑΒΗ CHERRY WINE - ΘΕΡΜΟΚΗΠΙΑΚΗ ΚΑΛΛΙΕΡΓΕΙΑ (ΧΩΡΑ ΠΡΟΕΛΕΥΣΗΣ ΗΠΑ)</t>
  </si>
  <si>
    <t>ΒΙΟΜΗΧΑΝΙΚΗ ΚΑΝΝΑΒΗ ΕΚΤΟΣ ΚΟΙΝΟΤΙΚΟΥ ΚΑΤΑΛΟΓΟΥ44007</t>
  </si>
  <si>
    <t>ΒΙΟΜ. ΚΑΝΝΑΒΗ CHERRY BLOSSOM (ΧΩΡΑ ΠΡΟΕΛΕΥΣΗΣ ΗΠΑ)</t>
  </si>
  <si>
    <t>ΒΙΟΜΗΧΑΝΙΚΗ ΚΑΝΝΑΒΗ ΕΚΤΟΣ ΚΟΙΝΟΤΙΚΟΥ ΚΑΤΑΛΟΓΟΥ44008</t>
  </si>
  <si>
    <t>ΒΙΟΜ. ΚΑΝΝΑΒΗ CHERRY BLOSSOM - ΘΕΡΜΟΚΗΠΙΑΚΗ ΚΑΛΛΙΕΡΓΕΙΑ (ΧΩΡΑ ΠΡΟΕΛΕΥΣΗΣ ΗΠΑ)</t>
  </si>
  <si>
    <t>ΒΙΟΜΗΧΑΝΙΚΗ ΚΑΝΝΑΒΗ ΕΚΤΟΣ ΚΟΙΝΟΤΙΚΟΥ ΚΑΤΑΛΟΓΟΥ44009</t>
  </si>
  <si>
    <t>ΒΙΟΜ. ΚΑΝΝΑΒΗ HAN FN H (ΧΩΡΑ ΠΡΟΕΛΕΥΣΗΣ ΚΙΝΑ)</t>
  </si>
  <si>
    <t>ΒΙΟΜΗΧΑΝΙΚΗ ΚΑΝΝΑΒΗ ΕΚΤΟΣ ΚΟΙΝΟΤΙΚΟΥ ΚΑΤΑΛΟΓΟΥ44010</t>
  </si>
  <si>
    <t>ΒΙΟΜ. ΚΑΝΝΑΒΗ HAN FN H - ΘΕΡΜΟΚΗΠΙΑΚΗ ΚΑΛΛΙΕΡΓΕΙΑ (ΧΩΡΑ ΠΡΟΕΛΕΥΣΗΣ ΚΙΝΑ)</t>
  </si>
  <si>
    <t>ΒΙΟΜΗΧΑΝΙΚΗ ΚΑΝΝΑΒΗ ΕΚΤΟΣ ΚΟΙΝΟΤΙΚΟΥ ΚΑΤΑΛΟΓΟΥ44011</t>
  </si>
  <si>
    <t>ΒΙΟΜ. ΚΑΝΝΑΒΗ BUFFALO SOLDIER (ΧΩΡΑ ΠΡΟΕΛΕΥΣΗΣ ΗΠΑ)</t>
  </si>
  <si>
    <t>ΒΙΟΜΗΧΑΝΙΚΗ ΚΑΝΝΑΒΗ ΕΚΤΟΣ ΚΟΙΝΟΤΙΚΟΥ ΚΑΤΑΛΟΓΟΥ44012</t>
  </si>
  <si>
    <t>ΒΙΟΜ. ΚΑΝΝΑΒΗ BUFFALO SOLDIER - ΘΕΡΜΟΚΗΠΙΑΚΗ ΚΑΛΛΙΕΡΓΕΙΑ (ΧΩΡΑ ΠΡΟΕΛΕΥΣΗΣ ΗΠΑ)</t>
  </si>
  <si>
    <t>ΒΙΟΜΗΧΑΝΙΚΗ ΚΑΝΝΑΒΗ ΕΚΤΟΣ ΚΟΙΝΟΤΙΚΟΥ ΚΑΤΑΛΟΓΟΥ44013</t>
  </si>
  <si>
    <t>ΒΙΟΜ. ΚΑΝΝΑΒΗ MATTERHORN CBG (ΧΩΡΑ ΠΡΟΕΛΕΥΣΗΣ ΗΠΑ)</t>
  </si>
  <si>
    <t>ΒΙΟΜΗΧΑΝΙΚΗ ΚΑΝΝΑΒΗ ΕΚΤΟΣ ΚΟΙΝΟΤΙΚΟΥ ΚΑΤΑΛΟΓΟΥ44014</t>
  </si>
  <si>
    <t>ΒΙΟΜ. ΚΑΝΝΑΒΗ MATTERHORN CBG - ΘΕΡΜΟΚΗΠΙΑΚΗ ΚΑΛΛΙΕΡΓΕΙΑ (ΧΩΡΑ ΠΡΟΕΛΕΥΣΗΣ ΗΠΑ)</t>
  </si>
  <si>
    <t>ΒΙΟΜΗΧΑΝΙΚΗ ΚΑΝΝΑΒΗ ΕΚΤΟΣ ΚΟΙΝΟΤΙΚΟΥ ΚΑΤΑΛΟΓΟΥ44015</t>
  </si>
  <si>
    <t>ΒΙΟΜ. ΚΑΝΝΑΒΗ STORMY DANIELS (ΧΩΡΑ ΠΡΟΕΛΕΥΣΗΣ ΗΠΑ)</t>
  </si>
  <si>
    <t>ΒΙΟΜΗΧΑΝΙΚΗ ΚΑΝΝΑΒΗ ΕΚΤΟΣ ΚΟΙΝΟΤΙΚΟΥ ΚΑΤΑΛΟΓΟΥ44016</t>
  </si>
  <si>
    <t>ΒΙΟΜ. ΚΑΝΝΑΒΗ STORMY DANIELS - ΘΕΡΜΟΚΗΠΙΑΚΗ ΚΑΛΛΙΕΡΓΕΙΑ (ΧΩΡΑ ΠΡΟΕΛΕΥΣΗΣ ΗΠΑ)</t>
  </si>
  <si>
    <t>ΒΙΟΜΗΧΑΝΙΚΗ ΚΑΝΝΑΒΗ ΕΚΤΟΣ ΚΟΙΝΟΤΙΚΟΥ ΚΑΤΑΛΟΓΟΥ44017</t>
  </si>
  <si>
    <t>ΒΙΟΜ. ΚΑΝΝΑΒΗ MOUNTAIN BLIZZARD (ΧΩΡΑ ΠΡΟΕΛΕΥΣΗΣ ΗΠΑ)</t>
  </si>
  <si>
    <t>ΒΙΟΜΗΧΑΝΙΚΗ ΚΑΝΝΑΒΗ ΕΚΤΟΣ ΚΟΙΝΟΤΙΚΟΥ ΚΑΤΑΛΟΓΟΥ44018</t>
  </si>
  <si>
    <t>ΒΙΟΜ. ΚΑΝΝΑΒΗ MOUNTAIN BLIZZARD - ΘΕΡΜΟΚΗΠΙΑΚΗ ΚΑΛΛΙΕΡΓΕΙΑ (ΧΩΡΑ ΠΡΟΕΛΕΥΣΗΣ ΗΠΑ)</t>
  </si>
  <si>
    <t>ΒΙΟΜΗΧΑΝΙΚΗ ΚΑΝΝΑΒΗ ΕΚΤΟΣ ΚΟΙΝΟΤΙΚΟΥ ΚΑΤΑΛΟΓΟΥ44019</t>
  </si>
  <si>
    <t>ΒΙΟΜ. ΚΑΝΝΑΒΗ QUICK KUSH (ΧΩΡΑ ΠΡΟΕΛΕΥΣΗΣ ΗΠΑ)</t>
  </si>
  <si>
    <t>ΒΙΟΜΗΧΑΝΙΚΗ ΚΑΝΝΑΒΗ ΕΚΤΟΣ ΚΟΙΝΟΤΙΚΟΥ ΚΑΤΑΛΟΓΟΥ44020</t>
  </si>
  <si>
    <t>ΒΙΟΜ. ΚΑΝΝΑΒΗ QUICK KUSH - ΘΕΡΜΟΚΗΠΙΑΚΗ ΚΑΛΛΙΕΡΓΕΙΑ (ΧΩΡΑ ΠΡΟΕΛΕΥΣΗΣ ΗΠΑ)</t>
  </si>
  <si>
    <t>ΒΙΟΜΗΧΑΝΙΚΗ ΚΑΝΝΑΒΗ ΕΚΤΟΣ ΚΟΙΝΟΤΙΚΟΥ ΚΑΤΑΛΟΓΟΥ44021</t>
  </si>
  <si>
    <t>ΒΙΟΜ. ΚΑΝΝΑΒΗ CHERRY WINAMED (ΧΩΡΑ ΠΡΟΕΛΕΥΣΗΣ ΚΑΝΑΔΑΣ)</t>
  </si>
  <si>
    <t>ΒΙΟΜΗΧΑΝΙΚΗ ΚΑΝΝΑΒΗ ΕΚΤΟΣ ΚΟΙΝΟΤΙΚΟΥ ΚΑΤΑΛΟΓΟΥ44022</t>
  </si>
  <si>
    <t>ΒΙΟΜ. ΚΑΝΝΑΒΗ CHERRY WINAMED - ΘΕΡΜΟΚΗΠΙΑΚΗ ΚΑΛΛΙΕΡΓΕΙΑ (ΧΩΡΑ ΠΡΟΕΛΕΥΣΗΣ ΚΑΝΑΔΑΣ)</t>
  </si>
  <si>
    <t>ΒΙΟΜΗΧΑΝΙΚΗ ΚΑΝΝΑΒΗ ΕΚΤΟΣ ΚΟΙΝΟΤΙΚΟΥ ΚΑΤΑΛΟΓΟΥ44023</t>
  </si>
  <si>
    <t>ΒΙΟΜΗΧΑΝΙΚΗ ΚΑΝΝΑΒΗ</t>
  </si>
  <si>
    <t>ANTAL</t>
  </si>
  <si>
    <t>ΒΙΟΜΗΧΑΝΙΚΗ ΚΑΝΝΑΒΗ69001</t>
  </si>
  <si>
    <t>ARMANCA</t>
  </si>
  <si>
    <t>ΒΙΟΜΗΧΑΝΙΚΗ ΚΑΝΝΑΒΗ69002</t>
  </si>
  <si>
    <t>BENIKO</t>
  </si>
  <si>
    <t>ΒΙΟΜΗΧΑΝΙΚΗ ΚΑΝΝΑΒΗ69003</t>
  </si>
  <si>
    <t>BIALOBREZESKIE</t>
  </si>
  <si>
    <t>ΒΙΟΜΗΧΑΝΙΚΗ ΚΑΝΝΑΒΗ69004</t>
  </si>
  <si>
    <t>CANNAKOMP</t>
  </si>
  <si>
    <t>ΒΙΟΜΗΧΑΝΙΚΗ ΚΑΝΝΑΒΗ69005</t>
  </si>
  <si>
    <t>CARMA</t>
  </si>
  <si>
    <t>ΒΙΟΜΗΧΑΝΙΚΗ ΚΑΝΝΑΒΗ69006</t>
  </si>
  <si>
    <t>CARMAGNOLA</t>
  </si>
  <si>
    <t>ΒΙΟΜΗΧΑΝΙΚΗ ΚΑΝΝΑΒΗ69007</t>
  </si>
  <si>
    <t>CHAMAELEON</t>
  </si>
  <si>
    <t>ΒΙΟΜΗΧΑΝΙΚΗ ΚΑΝΝΑΒΗ69008</t>
  </si>
  <si>
    <t>CODIMONO</t>
  </si>
  <si>
    <t>ΒΙΟΜΗΧΑΝΙΚΗ ΚΑΝΝΑΒΗ69009</t>
  </si>
  <si>
    <t>CS</t>
  </si>
  <si>
    <t>ΒΙΟΜΗΧΑΝΙΚΗ ΚΑΝΝΑΒΗ69010</t>
  </si>
  <si>
    <t>DACIA SECUIENI</t>
  </si>
  <si>
    <t>ΒΙΟΜΗΧΑΝΙΚΗ ΚΑΝΝΑΒΗ69011</t>
  </si>
  <si>
    <t>DELTA-LLOSA</t>
  </si>
  <si>
    <t>ΒΙΟΜΗΧΑΝΙΚΗ ΚΑΝΝΑΒΗ69012</t>
  </si>
  <si>
    <t>DELTA-405</t>
  </si>
  <si>
    <t>ΒΙΟΜΗΧΑΝΙΚΗ ΚΑΝΝΑΒΗ69013</t>
  </si>
  <si>
    <t>DENISE</t>
  </si>
  <si>
    <t>ΒΙΟΜΗΧΑΝΙΚΗ ΚΑΝΝΑΒΗ69014</t>
  </si>
  <si>
    <t>DIANA</t>
  </si>
  <si>
    <t>ΒΙΟΜΗΧΑΝΙΚΗ ΚΑΝΝΑΒΗ69015</t>
  </si>
  <si>
    <t>DIOICA 88</t>
  </si>
  <si>
    <t>ΒΙΟΜΗΧΑΝΙΚΗ ΚΑΝΝΑΒΗ69016</t>
  </si>
  <si>
    <t>EPSILON 68</t>
  </si>
  <si>
    <t>ΒΙΟΜΗΧΑΝΙΚΗ ΚΑΝΝΑΒΗ69017</t>
  </si>
  <si>
    <t>FEDORA 17</t>
  </si>
  <si>
    <t>ΒΙΟΜΗΧΑΝΙΚΗ ΚΑΝΝΑΒΗ69018</t>
  </si>
  <si>
    <t>FELINA 32</t>
  </si>
  <si>
    <t>ΒΙΟΜΗΧΑΝΙΚΗ ΚΑΝΝΑΒΗ69019</t>
  </si>
  <si>
    <t>FERIMON</t>
  </si>
  <si>
    <t>ΒΙΟΜΗΧΑΝΙΚΗ ΚΑΝΝΑΒΗ69020</t>
  </si>
  <si>
    <t>FIBRANOVA</t>
  </si>
  <si>
    <t>ΒΙΟΜΗΧΑΝΙΚΗ ΚΑΝΝΑΒΗ69021</t>
  </si>
  <si>
    <t>FIBROL</t>
  </si>
  <si>
    <t>ΒΙΟΜΗΧΑΝΙΚΗ ΚΑΝΝΑΒΗ69022</t>
  </si>
  <si>
    <t>FINOLA</t>
  </si>
  <si>
    <t>ΒΙΟΜΗΧΑΝΙΚΗ ΚΑΝΝΑΒΗ69023</t>
  </si>
  <si>
    <t>FUTURA 75</t>
  </si>
  <si>
    <t>ΒΙΟΜΗΧΑΝΙΚΗ ΚΑΝΝΑΒΗ69024</t>
  </si>
  <si>
    <t>IVORY</t>
  </si>
  <si>
    <t>ΒΙΟΜΗΧΑΝΙΚΗ ΚΑΝΝΑΒΗ69025</t>
  </si>
  <si>
    <t>KC DORA</t>
  </si>
  <si>
    <t>ΒΙΟΜΗΧΑΝΙΚΗ ΚΑΝΝΑΒΗ69026</t>
  </si>
  <si>
    <t>KC VIRTUS</t>
  </si>
  <si>
    <t>ΒΙΟΜΗΧΑΝΙΚΗ ΚΑΝΝΑΒΗ69027</t>
  </si>
  <si>
    <t>KC ZUZANA</t>
  </si>
  <si>
    <t>ΒΙΟΜΗΧΑΝΙΚΗ ΚΑΝΝΑΒΗ69028</t>
  </si>
  <si>
    <t>KOMPOLTI</t>
  </si>
  <si>
    <t>ΒΙΟΜΗΧΑΝΙΚΗ ΚΑΝΝΑΒΗ69029</t>
  </si>
  <si>
    <t>KOMPOLTI HIBRID TC</t>
  </si>
  <si>
    <t>ΒΙΟΜΗΧΑΝΙΚΗ ΚΑΝΝΑΒΗ69030</t>
  </si>
  <si>
    <t>LIPKO</t>
  </si>
  <si>
    <t>ΒΙΟΜΗΧΑΝΙΚΗ ΚΑΝΝΑΒΗ69031</t>
  </si>
  <si>
    <t>LOVRIN 110</t>
  </si>
  <si>
    <t>ΒΙΟΜΗΧΑΝΙΚΗ ΚΑΝΝΑΒΗ69032</t>
  </si>
  <si>
    <t>MARCELLO</t>
  </si>
  <si>
    <t>ΒΙΟΜΗΧΑΝΙΚΗ ΚΑΝΝΑΒΗ69033</t>
  </si>
  <si>
    <t>MARKANT</t>
  </si>
  <si>
    <t>ΒΙΟΜΗΧΑΝΙΚΗ ΚΑΝΝΑΒΗ69034</t>
  </si>
  <si>
    <t>MONOICA</t>
  </si>
  <si>
    <t>ΒΙΟΜΗΧΑΝΙΚΗ ΚΑΝΝΑΒΗ69035</t>
  </si>
  <si>
    <t>RAJAN</t>
  </si>
  <si>
    <t>ΒΙΟΜΗΧΑΝΙΚΗ ΚΑΝΝΑΒΗ69036</t>
  </si>
  <si>
    <t>SANTHICA 23</t>
  </si>
  <si>
    <t>ΒΙΟΜΗΧΑΝΙΚΗ ΚΑΝΝΑΒΗ69037</t>
  </si>
  <si>
    <t>SANTHICA 27</t>
  </si>
  <si>
    <t>ΒΙΟΜΗΧΑΝΙΚΗ ΚΑΝΝΑΒΗ69038</t>
  </si>
  <si>
    <t>SANTHICA 70</t>
  </si>
  <si>
    <t>ΒΙΟΜΗΧΑΝΙΚΗ ΚΑΝΝΑΒΗ69039</t>
  </si>
  <si>
    <t>SECUIENI JUBILEU</t>
  </si>
  <si>
    <t>ΒΙΟΜΗΧΑΝΙΚΗ ΚΑΝΝΑΒΗ69040</t>
  </si>
  <si>
    <t>SILVANA</t>
  </si>
  <si>
    <t>ΒΙΟΜΗΧΑΝΙΚΗ ΚΑΝΝΑΒΗ69041</t>
  </si>
  <si>
    <t>SZARVASI</t>
  </si>
  <si>
    <t>ΒΙΟΜΗΧΑΝΙΚΗ ΚΑΝΝΑΒΗ69042</t>
  </si>
  <si>
    <t>TIBORSZALLASI</t>
  </si>
  <si>
    <t>ΒΙΟΜΗΧΑΝΙΚΗ ΚΑΝΝΑΒΗ69043</t>
  </si>
  <si>
    <t>TISZA</t>
  </si>
  <si>
    <t>ΒΙΟΜΗΧΑΝΙΚΗ ΚΑΝΝΑΒΗ69044</t>
  </si>
  <si>
    <t>TYGRA</t>
  </si>
  <si>
    <t>ΒΙΟΜΗΧΑΝΙΚΗ ΚΑΝΝΑΒΗ69045</t>
  </si>
  <si>
    <t>UNICO B</t>
  </si>
  <si>
    <t>ΒΙΟΜΗΧΑΝΙΚΗ ΚΑΝΝΑΒΗ69046</t>
  </si>
  <si>
    <t>USO-31</t>
  </si>
  <si>
    <t>ΒΙΟΜΗΧΑΝΙΚΗ ΚΑΝΝΑΒΗ69047</t>
  </si>
  <si>
    <t>WIELKOPOLSKIE</t>
  </si>
  <si>
    <t>ΒΙΟΜΗΧΑΝΙΚΗ ΚΑΝΝΑΒΗ69048</t>
  </si>
  <si>
    <t>WOJKO</t>
  </si>
  <si>
    <t>ΒΙΟΜΗΧΑΝΙΚΗ ΚΑΝΝΑΒΗ69049</t>
  </si>
  <si>
    <t>ZENIT</t>
  </si>
  <si>
    <t>ΒΙΟΜΗΧΑΝΙΚΗ ΚΑΝΝΑΒΗ69050</t>
  </si>
  <si>
    <t>CARMALEONTE</t>
  </si>
  <si>
    <t>ΒΙΟΜΗΧΑΝΙΚΗ ΚΑΝΝΑΒΗ69051</t>
  </si>
  <si>
    <t>ELETTA CAMPANA</t>
  </si>
  <si>
    <t>ΒΙΟΜΗΧΑΝΙΚΗ ΚΑΝΝΑΒΗ69052</t>
  </si>
  <si>
    <t>FIBRANTE</t>
  </si>
  <si>
    <t>ΒΙΟΜΗΧΑΝΙΚΗ ΚΑΝΝΑΒΗ69053</t>
  </si>
  <si>
    <t>FIBROL FIBROR 79</t>
  </si>
  <si>
    <t>ΒΙΟΜΗΧΑΝΙΚΗ ΚΑΝΝΑΒΗ69054</t>
  </si>
  <si>
    <t>GLYANA</t>
  </si>
  <si>
    <t>ΒΙΟΜΗΧΑΝΙΚΗ ΚΑΝΝΑΒΗ69055</t>
  </si>
  <si>
    <t>HENOLA</t>
  </si>
  <si>
    <t>ΒΙΟΜΗΧΑΝΙΚΗ ΚΑΝΝΑΒΗ69056</t>
  </si>
  <si>
    <t>KC BONUSZ</t>
  </si>
  <si>
    <t>ΒΙΟΜΗΧΑΝΙΚΗ ΚΑΝΝΑΒΗ69057</t>
  </si>
  <si>
    <t>RATZA</t>
  </si>
  <si>
    <t>ΒΙΟΜΗΧΑΝΙΚΗ ΚΑΝΝΑΒΗ69058</t>
  </si>
  <si>
    <t>SUCCESIV</t>
  </si>
  <si>
    <t>ΒΙΟΜΗΧΑΝΙΚΗ ΚΑΝΝΑΒΗ69059</t>
  </si>
  <si>
    <t>VILLANOVA</t>
  </si>
  <si>
    <t>ΒΙΟΜΗΧΑΝΙΚΗ ΚΑΝΝΑΒΗ69060</t>
  </si>
  <si>
    <t>ARMANCA (ΘΕΡΜΟΚΗΠΙΑΚΗ ΚΑΛΛΙΕΡΓΕΙΑ)</t>
  </si>
  <si>
    <t>ΒΙΟΜΗΧΑΝΙΚΗ ΚΑΝΝΑΒΗ69061</t>
  </si>
  <si>
    <t>CARMAGNOLA (ΘΕΡΜΟΚΗΠΙΑΚΗ ΚΑΛΛΙΕΡΓΕΙΑ)</t>
  </si>
  <si>
    <t>ΒΙΟΜΗΧΑΝΙΚΗ ΚΑΝΝΑΒΗ69062</t>
  </si>
  <si>
    <t>DELTA-405 (ΘΕΡΜΟΚΗΠΙΑΚΗ ΚΑΛΛΙΕΡΓΕΙΑ)</t>
  </si>
  <si>
    <t>ΒΙΟΜΗΧΑΝΙΚΗ ΚΑΝΝΑΒΗ69063</t>
  </si>
  <si>
    <t>ELETTA CAMPANA (ΘΕΡΜΟΚΗΠΙΑΚΗ ΚΑΛΛΙΕΡΓΕΙΑ)</t>
  </si>
  <si>
    <t>ΒΙΟΜΗΧΑΝΙΚΗ ΚΑΝΝΑΒΗ69064</t>
  </si>
  <si>
    <t>FINOLA (ΘΕΡΜΟΚΗΠΙΑΚΗ ΚΑΛΛΙΕΡΓΕΙΑ)</t>
  </si>
  <si>
    <t>ΒΙΟΜΗΧΑΝΙΚΗ ΚΑΝΝΑΒΗ69065</t>
  </si>
  <si>
    <t>FUTURA 75 (ΘΕΡΜΟΚΗΠΙΑΚΗ ΚΑΛΛΙΕΡΓΕΙΑ)</t>
  </si>
  <si>
    <t>ΒΙΟΜΗΧΑΝΙΚΗ ΚΑΝΝΑΒΗ69066</t>
  </si>
  <si>
    <t>GLIANA (ΘΕΡΜΟΚΗΠΙΑΚΗ ΚΑΛΛΙΕΡΓΕΙΑ)</t>
  </si>
  <si>
    <t>ΒΙΟΜΗΧΑΝΙΚΗ ΚΑΝΝΑΒΗ69067</t>
  </si>
  <si>
    <t>IVORY (ΘΕΡΜΟΚΗΠΙΑΚΗ ΚΑΛΛΙΕΡΓΕΙΑ)</t>
  </si>
  <si>
    <t>ΒΙΟΜΗΧΑΝΙΚΗ ΚΑΝΝΑΒΗ69068</t>
  </si>
  <si>
    <t>MONOICA (ΘΕΡΜΟΚΗΠΙΑΚΗ ΚΑΛΛΙΕΡΓΕΙΑ)</t>
  </si>
  <si>
    <t>ΒΙΟΜΗΧΑΝΙΚΗ ΚΑΝΝΑΒΗ69069</t>
  </si>
  <si>
    <t>RAJAN (ΘΕΡΜΟΚΗΠΙΑΚΗ ΚΑΛΛΙΕΡΓΕΙΑ)</t>
  </si>
  <si>
    <t>ΒΙΟΜΗΧΑΝΙΚΗ ΚΑΝΝΑΒΗ69070</t>
  </si>
  <si>
    <t>SZARVASI (ΘΕΡΜΟΚΗΠΙΑΚΗ ΚΑΛΛΙΕΡΓΕΙΑ)</t>
  </si>
  <si>
    <t>ΒΙΟΜΗΧΑΝΙΚΗ ΚΑΝΝΑΒΗ69071</t>
  </si>
  <si>
    <t>WOJKO (ΘΕΡΜΟΚΗΠΙΑΚΗ ΚΑΛΛΙΕΡΓΕΙΑ)</t>
  </si>
  <si>
    <t>ΒΙΟΜΗΧΑΝΙΚΗ ΚΑΝΝΑΒΗ69072</t>
  </si>
  <si>
    <t>ANTAL (ΘΕΡΜΟΚΗΠΙΑΚΗ ΚΑΛΛΙΕΡΓΕΙΑ)</t>
  </si>
  <si>
    <t>ΒΙΟΜΗΧΑΝΙΚΗ ΚΑΝΝΑΒΗ69073</t>
  </si>
  <si>
    <t>AUSTA SK</t>
  </si>
  <si>
    <t>ΒΙΟΜΗΧΑΝΙΚΗ ΚΑΝΝΑΒΗ69074</t>
  </si>
  <si>
    <t>CARMALEONTE (ΘΕΡΜΟΚΗΠΙΑΚΗ ΚΑΛΛΙΕΡΓΕΙΑ)</t>
  </si>
  <si>
    <t>ΒΙΟΜΗΧΑΝΙΚΗ ΚΑΝΝΑΒΗ69075</t>
  </si>
  <si>
    <t>FIBRANTE (ΘΕΡΜΟΚΗΠΙΑΚΗ ΚΑΛΛΙΕΡΓΕΙΑ)</t>
  </si>
  <si>
    <t>ΒΙΟΜΗΧΑΝΙΚΗ ΚΑΝΝΑΒΗ69076</t>
  </si>
  <si>
    <t>HENOLA (ΘΕΡΜΟΚΗΠΙΑΚΗ ΚΑΛΛΙΕΡΓΕΙΑ)</t>
  </si>
  <si>
    <t>ΒΙΟΜΗΧΑΝΙΚΗ ΚΑΝΝΑΒΗ69077</t>
  </si>
  <si>
    <t>KC BONUSZ (ΘΕΡΜΟΚΗΠΙΑΚΗ ΚΑΛΛΙΕΡΓΕΙΑ)</t>
  </si>
  <si>
    <t>ΒΙΟΜΗΧΑΝΙΚΗ ΚΑΝΝΑΒΗ69078</t>
  </si>
  <si>
    <t>KCA BORANA</t>
  </si>
  <si>
    <t>ΒΙΟΜΗΧΑΝΙΚΗ ΚΑΝΝΑΒΗ69079</t>
  </si>
  <si>
    <t>KCA BORANA (ΘΕΡΜΟΚΗΠΙΑΚΗ ΚΑΛΛΙΕΡΓΕΙΑ)</t>
  </si>
  <si>
    <t>ΒΙΟΜΗΧΑΝΙΚΗ ΚΑΝΝΑΒΗ69080</t>
  </si>
  <si>
    <t>LIPKO (ΘΕΡΜΟΚΗΠΙΑΚΗ ΚΑΛΛΙΕΡΓΕΙΑ)</t>
  </si>
  <si>
    <t>ΒΙΟΜΗΧΑΝΙΚΗ ΚΑΝΝΑΒΗ69081</t>
  </si>
  <si>
    <t>LOVRIN 110 (ΘΕΡΜΟΚΗΠΙΑΚΗ ΚΑΛΛΙΕΡΓΕΙΑ)</t>
  </si>
  <si>
    <t>ΒΙΟΜΗΧΑΝΙΚΗ ΚΑΝΝΑΒΗ69082</t>
  </si>
  <si>
    <t>MARKANT (ΘΕΡΜΟΚΗΠΙΑΚΗ ΚΑΛΛΙΕΡΓΕΙΑ)</t>
  </si>
  <si>
    <t>ΒΙΟΜΗΧΑΝΙΚΗ ΚΑΝΝΑΒΗ69083</t>
  </si>
  <si>
    <t>USO-31 (ΘΕΡΜΟΚΗΠΙΑΚΗ ΚΑΛΛΙΕΡΓΕΙΑ)</t>
  </si>
  <si>
    <t>ΒΙΟΜΗΧΑΝΙΚΗ ΚΑΝΝΑΒΗ69084</t>
  </si>
  <si>
    <t>ZENIT (ΘΕΡΜΟΚΗΠΙΑΚΗ ΚΑΛΛΙΕΡΓΕΙΑ)</t>
  </si>
  <si>
    <t>ΒΙΟΜΗΧΑΝΙΚΗ ΚΑΝΝΑΒΗ69085</t>
  </si>
  <si>
    <t>CHAMAELEON (ΘΕΡΜΟΚΗΠΙΑΚΗ ΚΑΛΛΙΕΡΓΕΙΑ)</t>
  </si>
  <si>
    <t>ΒΙΟΜΗΧΑΝΙΚΗ ΚΑΝΝΑΒΗ69086</t>
  </si>
  <si>
    <t>GLECIA (ΘΕΡΜΟΚΗΠΙΑΚΗ ΚΑΛΛΙΕΡΓΕΙΑ)</t>
  </si>
  <si>
    <t>ΒΙΟΜΗΧΑΝΙΚΗ ΚΑΝΝΑΒΗ69087</t>
  </si>
  <si>
    <t>GLYANA (ΘΕΡΜΟΚΗΠΙΑΚΗ ΚΑΛΛΙΕΡΓΕΙΑ)</t>
  </si>
  <si>
    <t>ΒΙΟΜΗΧΑΝΙΚΗ ΚΑΝΝΑΒΗ69088</t>
  </si>
  <si>
    <t>SANTHICA 70 (ΘΕΡΜΟΚΗΠΙΑΚΗ ΚΑΛΛΙΕΡΓΕΙΑ)</t>
  </si>
  <si>
    <t>ΒΙΟΜΗΧΑΝΙΚΗ ΚΑΝΝΑΒΗ69089</t>
  </si>
  <si>
    <t>SECUIENI JUBILEU (ΘΕΡΜΟΚΗΠΙΑΚΗ ΚΑΛΛΙΕΡΓΕΙΑ)</t>
  </si>
  <si>
    <t>ΒΙΟΜΗΧΑΝΙΚΗ ΚΑΝΝΑΒΗ69090</t>
  </si>
  <si>
    <t>SILVANA (ΘΕΡΜΟΚΗΠΙΑΚΗ ΚΑΛΛΙΕΡΓΕΙΑ)</t>
  </si>
  <si>
    <t>ΒΙΟΜΗΧΑΝΙΚΗ ΚΑΝΝΑΒΗ69091</t>
  </si>
  <si>
    <t>TISZA (ΘΕΡΜΟΚΗΠΙΑΚΗ ΚΑΛΛΙΕΡΓΕΙΑ)</t>
  </si>
  <si>
    <t>ΒΙΟΜΗΧΑΝΙΚΗ ΚΑΝΝΑΒΗ69092</t>
  </si>
  <si>
    <t>UNIKO B (ΘΕΡΜΟΚΗΠΙΑΚΗ ΚΑΛΛΙΕΡΓΕΙΑ)</t>
  </si>
  <si>
    <t>ΒΙΟΜΗΧΑΝΙΚΗ ΚΑΝΝΑΒΗ69093</t>
  </si>
  <si>
    <t>VILLANOVA (ΘΕΡΜΟΚΗΠΙΑΚΗ ΚΑΛΛΙΕΡΓΕΙΑ)</t>
  </si>
  <si>
    <t>ΒΙΟΜΗΧΑΝΙΚΗ ΚΑΝΝΑΒΗ69094</t>
  </si>
  <si>
    <t>WIELKOPOLSKIE (ΘΕΡΜΟΚΗΠΙΑΚΗ ΚΑΛΛΙΕΡΓΕΙΑ)</t>
  </si>
  <si>
    <t>ΒΙΟΜΗΧΑΝΙΚΗ ΚΑΝΝΑΒΗ69095</t>
  </si>
  <si>
    <t>CANNAKOMP (ΘΕΡΜΟΚΗΠΙΑΚΗ ΚΑΛΛΙΕΡΓΕΙΑ)</t>
  </si>
  <si>
    <t>ΒΙΟΜΗΧΑΝΙΚΗ ΚΑΝΝΑΒΗ69096</t>
  </si>
  <si>
    <t>CARMA (ΘΕΡΜΟΚΗΠΙΑΚΗ ΚΑΛΛΙΕΡΓΕΙΑ)</t>
  </si>
  <si>
    <t>ΒΙΟΜΗΧΑΝΙΚΗ ΚΑΝΝΑΒΗ69097</t>
  </si>
  <si>
    <t>CS (ΘΕΡΜΟΚΗΠΙΑΚΗ ΚΑΛΛΙΕΡΓΕΙΑ)</t>
  </si>
  <si>
    <t>ΒΙΟΜΗΧΑΝΙΚΗ ΚΑΝΝΑΒΗ69098</t>
  </si>
  <si>
    <t>DELTA-LLOSA (ΘΕΡΜΟΚΗΠΙΑΚΗ ΚΑΛΛΙΕΡΓΕΙΑ)</t>
  </si>
  <si>
    <t>ΒΙΟΜΗΧΑΝΙΚΗ ΚΑΝΝΑΒΗ69099</t>
  </si>
  <si>
    <t>KOMPOLTI (ΘΕΡΜΟΚΗΠΙΑΚΗ ΚΑΛΛΙΕΡΓΕΙΑ)</t>
  </si>
  <si>
    <t>ΒΙΟΜΗΧΑΝΙΚΗ ΚΑΝΝΑΒΗ69100</t>
  </si>
  <si>
    <t>CODIMONO (ΘΕΡΜΟΚΗΠΙΑΚΗ ΚΑΛΛΙΕΡΓΕΙΑ)</t>
  </si>
  <si>
    <t>ΒΙΟΜΗΧΑΝΙΚΗ ΚΑΝΝΑΒΗ69101</t>
  </si>
  <si>
    <t>DACIA SECUIENI (ΘΕΡΜΟΚΗΠΙΑΚΗ ΚΑΛΛΙΕΡΓΕΙΑ)</t>
  </si>
  <si>
    <t>ΒΙΟΜΗΧΑΝΙΚΗ ΚΑΝΝΑΒΗ69102</t>
  </si>
  <si>
    <t>DENISE (ΘΕΡΜΟΚΗΠΙΑΚΗ ΚΑΛΛΙΕΡΓΕΙΑ)</t>
  </si>
  <si>
    <t>ΒΙΟΜΗΧΑΝΙΚΗ ΚΑΝΝΑΒΗ69103</t>
  </si>
  <si>
    <t>DIOICA 88 (ΘΕΡΜΟΚΗΠΙΑΚΗ ΚΑΛΛΙΕΡΓΕΙΑ)</t>
  </si>
  <si>
    <t>ΒΙΟΜΗΧΑΝΙΚΗ ΚΑΝΝΑΒΗ69104</t>
  </si>
  <si>
    <t>FEDORA 17 (ΘΕΡΜΟΚΗΠΙΑΚΗ ΚΑΛΛΙΕΡΓΕΙΑ)</t>
  </si>
  <si>
    <t>ΒΙΟΜΗΧΑΝΙΚΗ ΚΑΝΝΑΒΗ69105</t>
  </si>
  <si>
    <t>FIBROR 79 (ΘΕΡΜΟΚΗΠΙΑΚΗ ΚΑΛΛΙΕΡΓΕΙΑ)</t>
  </si>
  <si>
    <t>ΒΙΟΜΗΧΑΝΙΚΗ ΚΑΝΝΑΒΗ69106</t>
  </si>
  <si>
    <t>KC ZUZANA (ΘΕΡΜΟΚΗΠΙΑΚΗ ΚΑΛΛΙΕΡΓΕΙΑ)</t>
  </si>
  <si>
    <t>ΒΙΟΜΗΧΑΝΙΚΗ ΚΑΝΝΑΒΗ69107</t>
  </si>
  <si>
    <t>KOMPOLTI HIBRID TC (ΘΕΡΜΟΚΗΠΙΑΚΗ ΚΑΛΛΙΕΡΓΕΙΑ)</t>
  </si>
  <si>
    <t>ΒΙΟΜΗΧΑΝΙΚΗ ΚΑΝΝΑΒΗ69108</t>
  </si>
  <si>
    <t>MARCELLO (ΘΕΡΜΟΚΗΠΙΑΚΗ ΚΑΛΛΙΕΡΓΕΙΑ)</t>
  </si>
  <si>
    <t>ΒΙΟΜΗΧΑΝΙΚΗ ΚΑΝΝΑΒΗ69109</t>
  </si>
  <si>
    <t>SANTHICA 23 (ΘΕΡΜΟΚΗΠΙΑΚΗ ΚΑΛΛΙΕΡΓΕΙΑ)</t>
  </si>
  <si>
    <t>ΒΙΟΜΗΧΑΝΙΚΗ ΚΑΝΝΑΒΗ69110</t>
  </si>
  <si>
    <t>EARLINA 8 FC (ΘΕΡΜΟΚΗΠΙΑΚΗ ΚΑΛΛΙΕΡΓΕΙΑ)</t>
  </si>
  <si>
    <t>ΒΙΟΜΗΧΑΝΙΚΗ ΚΑΝΝΑΒΗ69111</t>
  </si>
  <si>
    <t>FIBRANOVA (ΘΕΡΜΟΚΗΠΙΑΚΗ ΚΑΛΛΙΕΡΓΕΙΑ)</t>
  </si>
  <si>
    <t>ΒΙΟΜΗΧΑΝΙΚΗ ΚΑΝΝΑΒΗ69112</t>
  </si>
  <si>
    <t>RATZA (ΘΕΡΜΟΚΗΠΙΑΚΗ ΚΑΛΛΙΕΡΓΕΙΑ)</t>
  </si>
  <si>
    <t>ΒΙΟΜΗΧΑΝΙΚΗ ΚΑΝΝΑΒΗ69113</t>
  </si>
  <si>
    <t>SANTHICA 27 (ΘΕΡΜΟΚΗΠΙΑΚΗ ΚΑΛΛΙΕΡΓΕΙΑ)</t>
  </si>
  <si>
    <t>ΒΙΟΜΗΧΑΝΙΚΗ ΚΑΝΝΑΒΗ69114</t>
  </si>
  <si>
    <t>SUCCESIV (ΘΕΡΜΟΚΗΠΙΑΚΗ ΚΑΛΛΙΕΡΓΕΙΑ)</t>
  </si>
  <si>
    <t>ΒΙΟΜΗΧΑΝΙΚΗ ΚΑΝΝΑΒΗ69115</t>
  </si>
  <si>
    <t>TIBORSZALLASI (ΘΕΡΜΟΚΗΠΙΑΚΗ ΚΑΛΛΙΕΡΓΕΙΑ)</t>
  </si>
  <si>
    <t>ΒΙΟΜΗΧΑΝΙΚΗ ΚΑΝΝΑΒΗ69116</t>
  </si>
  <si>
    <t>AUSTA SK (ΘΕΡΜΟΚΗΠΙΑΚΗ ΚΑΛΛΙΕΡΓΕΙΑ)</t>
  </si>
  <si>
    <t>ΒΙΟΜΗΧΑΝΙΚΗ ΚΑΝΝΑΒΗ69117</t>
  </si>
  <si>
    <t>BENIKO (ΘΕΡΜΟΚΗΠΙΑΚΗ ΚΑΛΛΙΕΡΓΕΙΑ)</t>
  </si>
  <si>
    <t>ΒΙΟΜΗΧΑΝΙΚΗ ΚΑΝΝΑΒΗ69118</t>
  </si>
  <si>
    <t>DIANA (ΘΕΡΜΟΚΗΠΙΑΚΗ ΚΑΛΛΙΕΡΓΕΙΑ)</t>
  </si>
  <si>
    <t>ΒΙΟΜΗΧΑΝΙΚΗ ΚΑΝΝΑΒΗ69119</t>
  </si>
  <si>
    <t>EARLINA 8 FC</t>
  </si>
  <si>
    <t>ΒΙΟΜΗΧΑΝΙΚΗ ΚΑΝΝΑΒΗ69120</t>
  </si>
  <si>
    <t>FELINA 32 (ΘΕΡΜΟΚΗΠΙΑΚΗ ΚΑΛΛΙΕΡΓΕΙΑ)</t>
  </si>
  <si>
    <t>ΒΙΟΜΗΧΑΝΙΚΗ ΚΑΝΝΑΒΗ69121</t>
  </si>
  <si>
    <t>FERIMON (ΘΕΡΜΟΚΗΠΙΑΚΗ ΚΑΛΛΙΕΡΓΕΙΑ)</t>
  </si>
  <si>
    <t>ΒΙΟΜΗΧΑΝΙΚΗ ΚΑΝΝΑΒΗ69122</t>
  </si>
  <si>
    <t>GLECIA</t>
  </si>
  <si>
    <t>ΒΙΟΜΗΧΑΝΙΚΗ ΚΑΝΝΑΒΗ69123</t>
  </si>
  <si>
    <t>KC VIRTUS (ΘΕΡΜΟΚΗΠΙΑΚΗ ΚΑΛΛΙΕΡΓΕΙΑ)</t>
  </si>
  <si>
    <t>ΒΙΟΜΗΧΑΝΙΚΗ ΚΑΝΝΑΒΗ69124</t>
  </si>
  <si>
    <t>BIALOBREZESKIE (ΘΕΡΜΟΚΗΠΙΑΚΗ ΚΑΛΛΙΕΡΓΕΙΑ)</t>
  </si>
  <si>
    <t>ΒΙΟΜΗΧΑΝΙΚΗ ΚΑΝΝΑΒΗ69125</t>
  </si>
  <si>
    <t>EPSILON 68 (ΘΕΡΜΟΚΗΠΙΑΚΗ ΚΑΛΛΙΕΡΓΕΙΑ)</t>
  </si>
  <si>
    <t>ΒΙΟΜΗΧΑΝΙΚΗ ΚΑΝΝΑΒΗ69126</t>
  </si>
  <si>
    <t>FIBROL (ΘΕΡΜΟΚΗΠΙΑΚΗ ΚΑΛΛΙΕΡΓΕΙΑ)</t>
  </si>
  <si>
    <t>ΒΙΟΜΗΧΑΝΙΚΗ ΚΑΝΝΑΒΗ69127</t>
  </si>
  <si>
    <t>GLIANA</t>
  </si>
  <si>
    <t>ΒΙΟΜΗΧΑΝΙΚΗ ΚΑΝΝΑΒΗ69128</t>
  </si>
  <si>
    <t>KC DORA (ΘΕΡΜΟΚΗΠΙΑΚΗ ΚΑΛΛΙΕΡΓΕΙΑ)</t>
  </si>
  <si>
    <t>ΒΙΟΜΗΧΑΝΙΚΗ ΚΑΝΝΑΒΗ69129</t>
  </si>
  <si>
    <t>TYGRA (ΘΕΡΜΟΚΗΠΙΑΚΗ ΚΑΛΛΙΕΡΓΕΙΑ)</t>
  </si>
  <si>
    <t>ΒΙΟΜΗΧΑΝΙΚΗ ΚΑΝΝΑΒΗ69130</t>
  </si>
  <si>
    <t>ASSO</t>
  </si>
  <si>
    <t>ΒΙΟΜΗΧΑΝΙΚΗ ΚΑΝΝΑΒΗ69131</t>
  </si>
  <si>
    <t>ASSO (ΘΕΡΜΟΚΗΠΙΑΚΗ ΚΑΛΛΙΕΡΓΕΙΑ)</t>
  </si>
  <si>
    <t>ΒΙΟΜΗΧΑΝΙΚΗ ΚΑΝΝΑΒΗ69132</t>
  </si>
  <si>
    <t>BALATON</t>
  </si>
  <si>
    <t>ΒΙΟΜΗΧΑΝΙΚΗ ΚΑΝΝΑΒΗ69133</t>
  </si>
  <si>
    <t>BALATON (ΘΕΡΜΟΚΗΠΙΑΚΗ ΚΑΛΛΙΕΡΓΕΙΑ)</t>
  </si>
  <si>
    <t>ΒΙΟΜΗΧΑΝΙΚΗ ΚΑΝΝΑΒΗ69134</t>
  </si>
  <si>
    <t>FUTURA 83</t>
  </si>
  <si>
    <t>ΒΙΟΜΗΧΑΝΙΚΗ ΚΑΝΝΑΒΗ69135</t>
  </si>
  <si>
    <t>FUTURA 83 (ΘΕΡΜΟΚΗΠΙΑΚΗ ΚΑΛΛΙΕΡΓΕΙΑ)</t>
  </si>
  <si>
    <t>ΒΙΟΜΗΧΑΝΙΚΗ ΚΑΝΝΑΒΗ69136</t>
  </si>
  <si>
    <t>ORION 33</t>
  </si>
  <si>
    <t>ΒΙΟΜΗΧΑΝΙΚΗ ΚΑΝΝΑΒΗ69137</t>
  </si>
  <si>
    <t>ORION 33 (ΘΕΡΜΟΚΗΠΙΑΚΗ ΚΑΛΛΙΕΡΓΕΙΑ)</t>
  </si>
  <si>
    <t>ΒΙΟΜΗΧΑΝΙΚΗ ΚΑΝΝΑΒΗ69138</t>
  </si>
  <si>
    <t>TEODORA</t>
  </si>
  <si>
    <t>ΒΙΟΜΗΧΑΝΙΚΗ ΚΑΝΝΑΒΗ69139</t>
  </si>
  <si>
    <t>THEODORA (ΘΕΡΜΟΚΗΠΙΑΚΗ ΚΑΛΛΙΕΡΓΕΙΑ)</t>
  </si>
  <si>
    <t>ΒΙΟΜΗΧΑΝΙΚΗ ΚΑΝΝΑΒΗ69140</t>
  </si>
  <si>
    <t>ADZELVIESI</t>
  </si>
  <si>
    <t>ΒΙΟΜΗΧΑΝΙΚΗ ΚΑΝΝΑΒΗ69141</t>
  </si>
  <si>
    <t>ADZELVIESI (ΘΕΡΜΟΚΗΠΙΑΚΗ ΚΑΛΛΙΕΡΓΕΙΑ)</t>
  </si>
  <si>
    <t>ΒΙΟΜΗΧΑΝΙΚΗ ΚΑΝΝΑΒΗ69142</t>
  </si>
  <si>
    <t>MGC 1013</t>
  </si>
  <si>
    <t>ΒΙΟΜΗΧΑΝΙΚΗ ΚΑΝΝΑΒΗ69143</t>
  </si>
  <si>
    <t>MGC 1013 (ΘΕΡΜΟΚΗΠΙΑΚΗ ΚΑΛΛΙΕΡΓΕΙΑ)</t>
  </si>
  <si>
    <t>ΒΙΟΜΗΧΑΝΙΚΗ ΚΑΝΝΑΒΗ69144</t>
  </si>
  <si>
    <t>ΒΙΟΜΗΧΑΝΙΚΗ ΚΑΝΝΑΒΗ69145</t>
  </si>
  <si>
    <t>HELENA (ΘΕΡΜΟΚΗΠΙΑΚΗ ΚΑΛΛΙΕΡΓΕΙΑ)</t>
  </si>
  <si>
    <t>ΒΙΟΜΗΧΑΝΙΚΗ ΚΑΝΝΑΒΗ69146</t>
  </si>
  <si>
    <t>MARINA</t>
  </si>
  <si>
    <t>ΒΙΟΜΗΧΑΝΙΚΗ ΚΑΝΝΑΒΗ69147</t>
  </si>
  <si>
    <t>MARINA (ΘΕΡΜΟΚΗΠΙΑΚΗ ΚΑΛΛΙΕΡΓΕΙΑ)</t>
  </si>
  <si>
    <t>ΒΙΟΜΗΧΑΝΙΚΗ ΚΑΝΝΑΒΗ69148</t>
  </si>
  <si>
    <t>MATRIX</t>
  </si>
  <si>
    <t>ΒΙΟΜΗΧΑΝΙΚΗ ΚΑΝΝΑΒΗ69149</t>
  </si>
  <si>
    <t>MATRIX (ΘΕΡΜΟΚΗΠΙΑΚΗ ΚΑΛΛΙΕΡΓΕΙΑ)</t>
  </si>
  <si>
    <t>ΒΙΟΜΗΧΑΝΙΚΗ ΚΑΝΝΑΒΗ69150</t>
  </si>
  <si>
    <t>MIETKO</t>
  </si>
  <si>
    <t>ΒΙΟΜΗΧΑΝΙΚΗ ΚΑΝΝΑΒΗ69151</t>
  </si>
  <si>
    <t>MIETKO (ΘΕΡΜΟΚΗΠΙΑΚΗ ΚΑΛΛΙΕΡΓΕΙΑ)</t>
  </si>
  <si>
    <t>ΒΙΟΜΗΧΑΝΙΚΗ ΚΑΝΝΑΒΗ69152</t>
  </si>
  <si>
    <t>ΒΙΟΜΗΧΑΝΙΚΗ ΚΑΝΝΑΒΗ69153</t>
  </si>
  <si>
    <t>OLIVIA (ΘΕΡΜΟΚΗΠΙΑΚΗ ΚΑΛΛΙΕΡΓΕΙΑ)</t>
  </si>
  <si>
    <t>ΒΙΟΜΗΧΑΝΙΚΗ ΚΑΝΝΑΒΗ69154</t>
  </si>
  <si>
    <t>PURINI</t>
  </si>
  <si>
    <t>ΒΙΟΜΗΧΑΝΙΚΗ ΚΑΝΝΑΒΗ69155</t>
  </si>
  <si>
    <t>PURINI (ΘΕΡΜΟΚΗΠΙΑΚΗ ΚΑΛΛΙΕΡΓΕΙΑ)</t>
  </si>
  <si>
    <t>ΒΙΟΜΗΧΑΝΙΚΗ ΚΑΝΝΑΒΗ69156</t>
  </si>
  <si>
    <t>ΒΙΟΜΗΧΑΝΙΚΗ ΚΑΝΝΑΒΗ69157</t>
  </si>
  <si>
    <t>SOFIA (ΘΕΡΜΟΚΗΠΙΑΚΗ ΚΑΛΛΙΕΡΓΕΙΑ)</t>
  </si>
  <si>
    <t>ΒΙΟΜΗΧΑΝΙΚΗ ΚΑΝΝΑΒΗ69158</t>
  </si>
  <si>
    <t>ALIVE SK</t>
  </si>
  <si>
    <t>ΒΙΟΜΗΧΑΝΙΚΗ ΚΑΝΝΑΒΗ69159</t>
  </si>
  <si>
    <t>ALIVE SK (ΘΕΡΜΟΚΗΠΙΑΚΗ ΚΑΛΛΙΕΡΓΕΙΑ)</t>
  </si>
  <si>
    <t>ΒΙΟΜΗΧΑΝΙΚΗ ΚΑΝΝΑΒΗ69160</t>
  </si>
  <si>
    <t>ESTICA</t>
  </si>
  <si>
    <t>ΒΙΟΜΗΧΑΝΙΚΗ ΚΑΝΝΑΒΗ69161</t>
  </si>
  <si>
    <t>ESTICA (ΘΕΡΜΟΚΗΠΙΑΚΗ ΚΑΛΛΙΕΡΓΕΙΑ)</t>
  </si>
  <si>
    <t>ΒΙΟΜΗΧΑΝΙΚΗ ΚΑΝΝΑΒΗ69162</t>
  </si>
  <si>
    <t>ΒΙΟΜΗΧΑΝΙΚΗ ΚΑΝΝΑΒΗ69163</t>
  </si>
  <si>
    <t>FIONA (ΘΕΡΜΟΚΗΠΙΑΚΗ ΚΑΛΛΙΕΡΓΕΙΑ)</t>
  </si>
  <si>
    <t>ΒΙΟΜΗΧΑΝΙΚΗ ΚΑΝΝΑΒΗ69164</t>
  </si>
  <si>
    <t>LOJA</t>
  </si>
  <si>
    <t>ΒΙΟΜΗΧΑΝΙΚΗ ΚΑΝΝΑΒΗ69165</t>
  </si>
  <si>
    <t>LOJA (ΘΕΡΜΟΚΗΠΙΑΚΗ ΚΑΛΛΙΕΡΓΕΙΑ)</t>
  </si>
  <si>
    <t>ΒΙΟΜΗΧΑΝΙΚΗ ΚΑΝΝΑΒΗ69166</t>
  </si>
  <si>
    <t>MARA 21</t>
  </si>
  <si>
    <t>ΒΙΟΜΗΧΑΝΙΚΗ ΚΑΝΝΑΒΗ69167</t>
  </si>
  <si>
    <t>MARA 21 (ΘΕΡΜΟΚΗΠΙΑΚΗ ΚΑΛΛΙΕΡΓΕΙΑ)</t>
  </si>
  <si>
    <t>ΒΙΟΜΗΧΑΝΙΚΗ ΚΑΝΝΑΒΗ69168</t>
  </si>
  <si>
    <t>MUKA 76</t>
  </si>
  <si>
    <t>ΒΙΟΜΗΧΑΝΙΚΗ ΚΑΝΝΑΒΗ69169</t>
  </si>
  <si>
    <t>MUKA 76 (ΘΕΡΜΟΚΗΠΙΑΚΗ ΚΑΛΛΙΕΡΓΕΙΑ)</t>
  </si>
  <si>
    <t>ΒΙΟΜΗΧΑΝΙΚΗ ΚΑΝΝΑΒΗ69170</t>
  </si>
  <si>
    <t>MIDWEST</t>
  </si>
  <si>
    <t>ΒΙΟΜΗΧΑΝΙΚΗ ΚΑΝΝΑΒΗ69171</t>
  </si>
  <si>
    <t>NORTHWEST</t>
  </si>
  <si>
    <t>ΒΙΟΜΗΧΑΝΙΚΗ ΚΑΝΝΑΒΗ69172</t>
  </si>
  <si>
    <t>ENECTAROL</t>
  </si>
  <si>
    <t>ΒΙΟΜΗΧΑΝΙΚΗ ΚΑΝΝΑΒΗ69173</t>
  </si>
  <si>
    <t>ΒΟΟΕΙΔΗ</t>
  </si>
  <si>
    <t>ΒΟΟΕΙΔΗ, ΑΡΣΕΝΙΚΑ, &lt; 1 ΜΗΝΟΣ, ΓΑΛΑΚΤΟΠΑΡΑΓΩΓΗΣ, ΒΕΛΤΙΩΜΕΝΗ</t>
  </si>
  <si>
    <t>ΒΟΟΕΙΔΗ211111</t>
  </si>
  <si>
    <t>ΒΟΟΕΙΔΗ, ΑΡΣΕΝΙΚΑ, &lt; 1 ΜΗΝΟΣ, ΓΑΛΑΚΤΟΠΑΡΑΓΩΓΉΣ, ΑΥΤΟΧΘΟΝΗ</t>
  </si>
  <si>
    <t>ΒΟΟΕΙΔΗ211112</t>
  </si>
  <si>
    <t>ΒΟΟΕΙΔΗ, ΑΡΣΕΝΙΚΑ, &lt; 1 ΜΗΝΟΣ, ΓΑΛΑΚΤΟΠΑΡΑΓΩΓΉΣ, ΚΑΘΑΡΟΑΙΜΗ</t>
  </si>
  <si>
    <t>ΒΟΟΕΙΔΗ211113</t>
  </si>
  <si>
    <t>ΒΟΟΕΙΔΗ, ΑΡΣΕΝΙΚΑ, &lt; 1 ΜΗΝΟΣ, ΓΑΛΑΚΤΟΠΑΡΑΓΩΓΉΣ, ΛΟΙΠΗ</t>
  </si>
  <si>
    <t>ΒΟΟΕΙΔΗ211114</t>
  </si>
  <si>
    <t>ΒΟΟΕΙΔΗ, ΑΡΣΕΝΙΚΑ, &lt; 1 ΜΗΝΟΣ, ΚΡΕΟΠΑΡΑΓΩΓΗΣ, ΑΥΤΟΧΘΟΝΗ</t>
  </si>
  <si>
    <t>ΒΟΟΕΙΔΗ211122</t>
  </si>
  <si>
    <t>ΒΟΟΕΙΔΗ, ΑΡΣΕΝΙΚΑ, &lt; 1 ΜΗΝΟΣ, ΚΡΕΟΠΑΡΑΓΩΓΗΣ, ΚΑΘΑΡΟΑΙΜΗ</t>
  </si>
  <si>
    <t>ΒΟΟΕΙΔΗ211123</t>
  </si>
  <si>
    <t>ΒΟΟΕΙΔΗ, ΑΡΣΕΝΙΚΑ, &lt; 1 ΜΗΝΟΣ, ΚΡΕΟΠΑΡΑΓΩΓΗΣ, ΒΕΛΤΙΩΜΕΝΗ (&gt;550kg)</t>
  </si>
  <si>
    <t>ΒΟΟΕΙΔΗ211125</t>
  </si>
  <si>
    <t>ΒΟΟΕΙΔΗ, ΑΡΣΕΝΙΚΑ, &lt; 1 ΜΗΝΟΣ, ΚΡΕΟΠΑΡΑΓΩΓΗΣ, ΛΟΙΠΗ (&lt;400kg)</t>
  </si>
  <si>
    <t>ΒΟΟΕΙΔΗ211126</t>
  </si>
  <si>
    <t>ΒΟΟΕΙΔΗ, ΑΡΣΕΝΙΚΑ, &lt; 1 ΜΗΝΟΣ ΚΡΕΟΠΑΡΑΓΩΓΗΣ, ΛΟΙΠΗ (400 - 550kg)</t>
  </si>
  <si>
    <t>ΒΟΟΕΙΔΗ211127</t>
  </si>
  <si>
    <t>ΒΟΟΕΙΔΗ, ΑΡΣΕΝΙΚΑ, &lt; 1 ΜΗΝΟΣ, ΜΙΚΤΗ, ΑΥΤΟΧΘΟΝΗ</t>
  </si>
  <si>
    <t>ΒΟΟΕΙΔΗ211132</t>
  </si>
  <si>
    <t>ΒΟΟΕΙΔΗ, ΑΡΣΕΝΙΚΑ, &lt; 1 ΜΗΝΟΣ, ΜΙΚΤΗ, ΚΑΘΑΡΟΑΙΜΗ</t>
  </si>
  <si>
    <t>ΒΟΟΕΙΔΗ211133</t>
  </si>
  <si>
    <t>ΒΟΟΕΙΔΗ, ΑΡΣΕΝΙΚΑ,&lt; 1 ΜΗΝΟΣ, ΜΙΚΤΗ, ΛΟΙΠΗ</t>
  </si>
  <si>
    <t>ΒΟΟΕΙΔΗ211134</t>
  </si>
  <si>
    <t>ΒΟΟΕΙΔΗ, ΑΡΣΕΝΙΚΑ, 1 - 6 ΜΗΝΩΝ, ΓΑΛΑΚΤΟΠΑΡΑΓΩΓΗΣ, ΒΕΛΤΙΩΜΕΝΗ</t>
  </si>
  <si>
    <t>ΒΟΟΕΙΔΗ211211</t>
  </si>
  <si>
    <t>ΒΟΟΕΙΔΗ, ΑΡΣΕΝΙΚΑ, 1 - 6 ΜΗΝΩΝ, ΓΑΛΑΚΤΟΠΑΡΑΓΩΓΉΣ, ΑΥΤΟΧΘΟΝΗ</t>
  </si>
  <si>
    <t>ΒΟΟΕΙΔΗ211212</t>
  </si>
  <si>
    <t>ΒΟΟΕΙΔΗ, ΑΡΣΕΝΙΚΑ, 1 - 6 ΜΗΝΩΝ, ΓΑΛΑΚΤΟΠΑΡΑΓΩΓΉΣ, ΚΑΘΑΡΟΑΙΜΗ</t>
  </si>
  <si>
    <t>ΒΟΟΕΙΔΗ211213</t>
  </si>
  <si>
    <t>ΒΟΟΕΙΔΗ, ΑΡΣΕΝΙΚΑ, 1 - 6 ΜΗΝΩΝ, ΓΑΛΑΚΤΟΠΑΡΑΓΩΓΉΣ, ΛΟΙΠΗ</t>
  </si>
  <si>
    <t>ΒΟΟΕΙΔΗ211214</t>
  </si>
  <si>
    <t>ΒΟΟΕΙΔΗ, ΑΡΣΕΝΙΚΑ, 1 - 6 ΜΗΝΩΝ, ΚΡΕΟΠΑΡΑΓΩΓΗΣ, ΑΥΤΟΧΘΟΝΗ</t>
  </si>
  <si>
    <t>ΒΟΟΕΙΔΗ211222</t>
  </si>
  <si>
    <t>ΒΟΟΕΙΔΗ, ΑΡΣΕΝΙΚΑ, 1 - 6 ΜΗΝΩΝ, ΚΡΕΟΠΑΡΑΓΩΓΗΣ, ΚΑΘΑΡΟΑΙΜΗ</t>
  </si>
  <si>
    <t>ΒΟΟΕΙΔΗ211223</t>
  </si>
  <si>
    <t>ΒΟΟΕΙΔΗ, ΑΡΣΕΝΙΚΑ, 1 - 6 ΜΗΝΩΝ, ΚΡΕΟΠΑΡΑΓΩΓΗΣ, ΒΕΛΤΙΩΜΕΝΗ (&gt;550kg)</t>
  </si>
  <si>
    <t>ΒΟΟΕΙΔΗ211225</t>
  </si>
  <si>
    <t>ΒΟΟΕΙΔΗ, ΑΡΣΕΝΙΚΑ, 1 - 6 ΜΗΝΩΝ, ΚΡΕΟΠΑΡΑΓΩΓΗΣ, ΛΟΙΠΗ (&lt;400kg)</t>
  </si>
  <si>
    <t>ΒΟΟΕΙΔΗ211226</t>
  </si>
  <si>
    <t>ΒΟΟΕΙΔΗ, ΑΡΣΕΝΙΚΑ, 1 - 6 ΜΗΝΩΝ, ΚΡΕΟΠΑΡΑΓΩΓΗΣ, ΛΟΙΠΗ (400 - 550kg)</t>
  </si>
  <si>
    <t>ΒΟΟΕΙΔΗ211227</t>
  </si>
  <si>
    <t>ΒΟΟΕΙΔΗ, ΑΡΣΕΝΙΚΑ, 1 - 6 ΜΗΝΩΝ, ΜΙΚΤΗ, ΑΥΤΟΧΘΟΝΗ</t>
  </si>
  <si>
    <t>ΒΟΟΕΙΔΗ211232</t>
  </si>
  <si>
    <t>ΒΟΟΕΙΔΗ, ΑΡΣΕΝΙΚΑ, 1 - 6 ΜΗΝΩΝ, ΜΙΚΤΗ, ΚΑΘΑΡΟΑΙΜΗ</t>
  </si>
  <si>
    <t>ΒΟΟΕΙΔΗ211233</t>
  </si>
  <si>
    <t>ΒΟΟΕΙΔΗ, ΑΡΣΕΝΙΚΑ, 1 - 6 ΜΗΝΩΝ, ΜΙΚΤΗ, ΛΟΙΠΗ</t>
  </si>
  <si>
    <t>ΒΟΟΕΙΔΗ211234</t>
  </si>
  <si>
    <t>ΒΟΟΕΙΔΗ, ΑΡΣΕΝΙΚΑ, 6 - 24 ΜΗΝΩΝ, ΓΑΛΑΚΤΟΠΑΡΑΓΩΓΗΣ, ΒΕΛΤΙΩΜΕΝΗ</t>
  </si>
  <si>
    <t>ΒΟΟΕΙΔΗ211511</t>
  </si>
  <si>
    <t>ΒΟΟΕΙΔΗ, ΑΡΣΕΝΙΚΑ, 6 - 24 ΜΗΝΩΝ, ΓΑΛΑΚΤΟΠΑΡΑΓΩΓΉΣ, ΑΥΤΟΧΘΟΝΗ</t>
  </si>
  <si>
    <t>ΒΟΟΕΙΔΗ211512</t>
  </si>
  <si>
    <t>ΒΟΟΕΙΔΗ, ΑΡΣΕΝΙΚΑ, 6 - 24 ΜΗΝΩΝ, ΓΑΛΑΚΤΟΠΑΡΑΓΩΓΉΣ, ΚΑΘΑΡΟΑΙΜΗ</t>
  </si>
  <si>
    <t>ΒΟΟΕΙΔΗ211513</t>
  </si>
  <si>
    <t>ΒΟΟΕΙΔΗ, ΑΡΣΕΝΙΚΑ, 6 - 24 ΜΗΝΩΝ, ΓΑΛΑΚΤΟΠΑΡΑΓΩΓΉΣ, ΛΟΙΠΗ</t>
  </si>
  <si>
    <t>ΒΟΟΕΙΔΗ211514</t>
  </si>
  <si>
    <t>ΒΟΟΕΙΔΗ, ΑΡΣΕΝΙΚΑ, 6 - 24 ΜΗΝΩΝ, ΚΡΕΟΠΑΡΑΓΩΓΗΣ, ΑΥΤΟΧΘΟΝΗ</t>
  </si>
  <si>
    <t>ΒΟΟΕΙΔΗ211522</t>
  </si>
  <si>
    <t>ΒΟΟΕΙΔΗ, ΑΡΣΕΝΙΚΑ, 6 - 24 ΜΗΝΩΝ, ΚΡΕΟΠΑΡΑΓΩΓΗΣ, ΚΑΘΑΡΟΑΙΜΗ</t>
  </si>
  <si>
    <t>ΒΟΟΕΙΔΗ211523</t>
  </si>
  <si>
    <t>ΒΟΟΕΙΔΗ, ΑΡΣΕΝΙΚΑ, 6 - 24 ΜΗΝΩΝ, ΚΡΕΟΠΑΡΑΓΩΓΗΣ, ΒΕΛΤΙΩΜΕΝΗ (&gt;550kg)</t>
  </si>
  <si>
    <t>ΒΟΟΕΙΔΗ211525</t>
  </si>
  <si>
    <t>ΒΟΟΕΙΔΗ, ΑΡΣΕΝΙΚΑ, 6 - 24 ΜΗΝΩΝ, ΚΡΕΟΠΑΡΑΓΩΓΗΣ, ΛΟΙΠΗ (&lt;400kg)</t>
  </si>
  <si>
    <t>ΒΟΟΕΙΔΗ211526</t>
  </si>
  <si>
    <t>ΒΟΟΕΙΔΗ, ΑΡΣΕΝΙΚΑ, 6 - 24 ΜΗΝΩΝ, ΚΡΕΟΠΑΡΑΓΩΓΗΣ, ΛΟΙΠΗ (400 - 550kg)</t>
  </si>
  <si>
    <t>ΒΟΟΕΙΔΗ211527</t>
  </si>
  <si>
    <t>ΒΟΟΕΙΔΗ, ΑΡΣΕΝΙΚΑ, 6 - 24 ΜΗΝΩΝ, ΜΙΚΤΗ, ΑΥΤΟΧΘΟΝΗ</t>
  </si>
  <si>
    <t>ΒΟΟΕΙΔΗ211532</t>
  </si>
  <si>
    <t>ΒΟΟΕΙΔΗ, ΑΡΣΕΝΙΚΑ, 6 - 24 ΜΗΝΩΝ, ΜΙΚΤΗ, ΚΑΘΑΡΟΑΙΜΗ</t>
  </si>
  <si>
    <t>ΒΟΟΕΙΔΗ211533</t>
  </si>
  <si>
    <t>ΒΟΟΕΙΔΗ, ΑΡΣΕΝΙΚΑ, 6 - 24 ΜΗΝΩΝ, ΜΙΚΤΗ, ΛΟΙΠΗ</t>
  </si>
  <si>
    <t>ΒΟΟΕΙΔΗ211534</t>
  </si>
  <si>
    <t>ΒΟΟΕΙΔΗ, ΑΡΣΕΝΙΚΑ, 2 - 6 ΕΤΩΝ, ΓΑΛΑΚΤΟΠΑΡΑΓΩΓΗΣ, ΒΕΛΤΙΩΜΕΝΗ</t>
  </si>
  <si>
    <t>ΒΟΟΕΙΔΗ211611</t>
  </si>
  <si>
    <t>ΒΟΟΕΙΔΗ, ΑΡΣΕΝΙΚΑ, 2 - 6 ΕΤΩΝ, ΓΑΛΑΚΤΟΠΑΡΑΓΩΓΉΣ, ΑΥΤΟΧΘΟΝΗ</t>
  </si>
  <si>
    <t>ΒΟΟΕΙΔΗ211612</t>
  </si>
  <si>
    <t>ΒΟΟΕΙΔΗ, ΑΡΣΕΝΙΚΑ, 2 - 6 ΕΤΩΝ, ΓΑΛΑΚΤΟΠΑΡΑΓΩΓΉΣ, ΚΑΘΑΡΟΑΙΜΗ</t>
  </si>
  <si>
    <t>ΒΟΟΕΙΔΗ211613</t>
  </si>
  <si>
    <t>ΒΟΟΕΙΔΗ, ΑΡΣΕΝΙΚΑ, 2 - 6 ΕΤΩΝ, ΓΑΛΑΚΤΟΠΑΡΑΓΩΓΉΣ, ΛΟΙΠΗ</t>
  </si>
  <si>
    <t>ΒΟΟΕΙΔΗ211614</t>
  </si>
  <si>
    <t>ΒΟΟΕΙΔΗ, ΑΡΣΕΝΙΚΑ, 2 - 6 ΕΤΩΝ, ΚΡΕΟΠΑΡΑΓΩΓΗΣ, ΑΥΤΟΧΘΟΝΗ</t>
  </si>
  <si>
    <t>ΒΟΟΕΙΔΗ211622</t>
  </si>
  <si>
    <t>ΒΟΟΕΙΔΗ, ΑΡΣΕΝΙΚΑ, 2 - 6 ΕΤΩΝ, ΚΡΕΟΠΑΡΑΓΩΓΗΣ, ΚΑΘΑΡΟΑΙΜΗ</t>
  </si>
  <si>
    <t>ΒΟΟΕΙΔΗ211623</t>
  </si>
  <si>
    <t>ΒΟΟΕΙΔΗ, ΑΡΣΕΝΙΚΑ, 2 - 6 ΕΤΩΝ, ΚΡΕΟΠΑΡΑΓΩΓΗΣ, ΒΕΛΤΙΩΜΕΝΗ (&gt;550kg)</t>
  </si>
  <si>
    <t>ΒΟΟΕΙΔΗ211625</t>
  </si>
  <si>
    <t>ΒΟΟΕΙΔΗ, ΑΡΣΕΝΙΚΑ, 2 - 6 ΕΤΩΝ, ΚΡΕΟΠΑΡΑΓΩΓΗΣ, ΛΟΙΠΗ (&lt;400kg)</t>
  </si>
  <si>
    <t>ΒΟΟΕΙΔΗ211626</t>
  </si>
  <si>
    <t>ΒΟΟΕΙΔΗ, ΑΡΣΕΝΙΚΑ, 2 - 6 ΕΤΩΝ, ΚΡΕΟΠΑΡΑΓΩΓΗΣ, ΛΟΙΠΗ (400 - 550kg)</t>
  </si>
  <si>
    <t>ΒΟΟΕΙΔΗ211627</t>
  </si>
  <si>
    <t>ΒΟΟΕΙΔΗ, ΑΡΣΕΝΙΚΑ, 2 - 6 ΕΤΩΝ, ΜΙΚΤΗ, ΑΥΤΟΧΘΟΝΗ</t>
  </si>
  <si>
    <t>ΒΟΟΕΙΔΗ211632</t>
  </si>
  <si>
    <t>ΒΟΟΕΙΔΗ, ΑΡΣΕΝΙΚΑ, 2 - 6 ΕΤΩΝ, ΜΙΚΤΗ, ΚΑΘΑΡΟΑΙΜΗ</t>
  </si>
  <si>
    <t>ΒΟΟΕΙΔΗ211633</t>
  </si>
  <si>
    <t>ΒΟΟΕΙΔΗ, ΑΡΣΕΝΙΚΑ, 2 - 6 ΕΤΩΝ, ΜΙΚΤΗ, ΛΟΙΠΗ</t>
  </si>
  <si>
    <t>ΒΟΟΕΙΔΗ211634</t>
  </si>
  <si>
    <t>ΒΟΟΕΙΔΗ, ΑΡΣΕΝΙΚΑ, &gt; 6 ΕΤΩΝ, ΓΑΛΑΚΤΟΠΑΡΑΓΩΓΗΣ, ΒΕΛΤΙΩΜΕΝΗ</t>
  </si>
  <si>
    <t>ΒΟΟΕΙΔΗ211711</t>
  </si>
  <si>
    <t>ΒΟΟΕΙΔΗ, ΑΡΣΕΝΙΚΑ, &gt; 6 ΕΤΩΝ, ΓΑΛΑΚΤΟΠΑΡΑΓΩΓΉΣ, ΑΥΤΟΧΘΟΝΗ</t>
  </si>
  <si>
    <t>ΒΟΟΕΙΔΗ211712</t>
  </si>
  <si>
    <t>ΒΟΟΕΙΔΗ, ΑΡΣΕΝΙΚΑ, &gt; 6 ΕΤΩΝ, ΓΑΛΑΚΤΟΠΑΡΑΓΩΓΉΣ, ΚΑΘΑΡΟΑΙΜΗ</t>
  </si>
  <si>
    <t>ΒΟΟΕΙΔΗ211713</t>
  </si>
  <si>
    <t>ΒΟΟΕΙΔΗ, ΑΡΣΕΝΙΚΑ, &gt; 6 ΕΤΩΝ, ΓΑΛΑΚΤΟΠΑΡΑΓΩΓΉΣ, ΛΟΙΠΗ</t>
  </si>
  <si>
    <t>ΒΟΟΕΙΔΗ211714</t>
  </si>
  <si>
    <t>ΒΟΟΕΙΔΗ, ΑΡΣΕΝΙΚΑ, &gt; 6 ΕΤΩΝ, ΚΡΕΟΠΑΡΑΓΩΓΗΣ, ΑΥΤΟΧΘΟΝΗ</t>
  </si>
  <si>
    <t>ΒΟΟΕΙΔΗ211722</t>
  </si>
  <si>
    <t>ΒΟΟΕΙΔΗ, ΑΡΣΕΝΙΚΑ, &gt; 6 ΕΤΩΝ, ΚΡΕΟΠΑΡΑΓΩΓΗΣ, ΚΑΘΑΡΟΑΙΜΗ</t>
  </si>
  <si>
    <t>ΒΟΟΕΙΔΗ211723</t>
  </si>
  <si>
    <t>ΒΟΟΕΙΔΗ, ΑΡΣΕΝΙΚΑ, &gt; 6 ΕΤΩΝ, ΚΡΕΟΠΑΡΑΓΩΓΗΣ, ΒΕΛΤΙΩΜΕΝΗ (&gt;550kg)</t>
  </si>
  <si>
    <t>ΒΟΟΕΙΔΗ211725</t>
  </si>
  <si>
    <t>ΒΟΟΕΙΔΗ, ΑΡΣΕΝΙΚΑ, &gt; 6 ΕΤΩΝ, ΚΡΕΟΠΑΡΑΓΩΓΗΣ, ΛΟΙΠΗ (&lt;400kg)</t>
  </si>
  <si>
    <t>ΒΟΟΕΙΔΗ211726</t>
  </si>
  <si>
    <t>ΒΟΟΕΙΔΗ, ΑΡΣΕΝΙΚΑ, &gt; 6 ΕΤΩΝ, ΚΡΕΟΠΑΡΑΓΩΓΗΣ, ΛΟΙΠΗ (400 - 550kg)</t>
  </si>
  <si>
    <t>ΒΟΟΕΙΔΗ211727</t>
  </si>
  <si>
    <t>ΒΟΟΕΙΔΗ, ΑΡΣΕΝΙΚΑ, &gt; 6 ΕΤΩΝ, ΜΙΚΤΗ, ΑΥΤΟΧΘΟΝΗ</t>
  </si>
  <si>
    <t>ΒΟΟΕΙΔΗ211732</t>
  </si>
  <si>
    <t>ΒΟΟΕΙΔΗ, ΑΡΣΕΝΙΚΑ, &gt; 6 ΕΤΩΝ, ΜΙΚΤΗ, ΚΑΘΑΡΟΑΙΜΗ</t>
  </si>
  <si>
    <t>ΒΟΟΕΙΔΗ211733</t>
  </si>
  <si>
    <t>ΒΟΟΕΙΔΗ, ΑΡΣΕΝΙΚΑ, &gt; 6 ΕΤΩΝ, ΜΙΚΤΗ, ΛΟΙΠΗ</t>
  </si>
  <si>
    <t>ΒΟΟΕΙΔΗ211734</t>
  </si>
  <si>
    <t>ΒΟΟΕΙΔΗ, ΘΗΛΥΚΑ, &lt; 1 ΜΗΝΟΣ, ΓΑΛΑΚΤΟΠΑΡΑΓΩΓΉΣ, ΒΕΛΤΙΩΜΕΝΗ</t>
  </si>
  <si>
    <t>ΒΟΟΕΙΔΗ212111</t>
  </si>
  <si>
    <t>ΒΟΟΕΙΔΗ, ΘΗΛΥΚΑ, &lt; 1 ΜΗΝΟΣ, ΓΑΛΑΚΤΟΠΑΡΑΓΩΓΉΣ, ΑΥΤΟΧΘΟΝΗ</t>
  </si>
  <si>
    <t>ΒΟΟΕΙΔΗ212112</t>
  </si>
  <si>
    <t>ΒΟΟΕΙΔΗ, ΘΗΛΥΚΑ, &lt; 1 ΜΗΝΟΣ, ΓΑΛΑΚΤΟΠΑΡΑΓΩΓΉΣ, ΚΑΘΑΡΟΑΙΜΗ</t>
  </si>
  <si>
    <t>ΒΟΟΕΙΔΗ212113</t>
  </si>
  <si>
    <t>ΒΟΟΕΙΔΗ, ΘΗΛΥΚΑ, &lt; 1 ΜΗΝΟΣ, ΓΑΛΑΚΤΟΠΑΡΑΓΩΓΉΣ, ΛΟΙΠΗ</t>
  </si>
  <si>
    <t>ΒΟΟΕΙΔΗ212114</t>
  </si>
  <si>
    <t>ΒΟΟΕΙΔΗ, ΘΗΛΥΚΑ, &lt; 1 ΜΗΝΟΣ, ΚΡΕΟΠΑΡΑΓΩΓΗΣ, ΑΥΤΟΧΘΟΝΗ</t>
  </si>
  <si>
    <t>ΒΟΟΕΙΔΗ212122</t>
  </si>
  <si>
    <t>ΒΟΟΕΙΔΗ, ΘΗΛΥΚΑ, &lt; 1 ΜΗΝΟΣ, ΚΡΕΟΠΑΡΑΓΩΓΗΣ, ΚΑΘΑΡΟΑΙΜΗ</t>
  </si>
  <si>
    <t>ΒΟΟΕΙΔΗ212123</t>
  </si>
  <si>
    <t>ΒΟΟΕΙΔΗ, ΘΗΛΥΚΑ,  &lt; 1 ΜΗΝΟΣ, ΚΡΕΟΠΑΡΑΓΩΓΗΣ, ΒΕΛΤΙΩΜΕΝΗ (&gt;550kg)</t>
  </si>
  <si>
    <t>ΒΟΟΕΙΔΗ212125</t>
  </si>
  <si>
    <t>ΒΟΟΕΙΔΗ, ΘΗΛΥΚΑ, &lt; 1 ΜΗΝΟΣ, ΚΡΕΟΠΑΡΑΓΩΓΗΣ, ΛΟΙΠΗ (&lt;400kg)</t>
  </si>
  <si>
    <t>ΒΟΟΕΙΔΗ212126</t>
  </si>
  <si>
    <t>ΒΟΟΕΙΔΗ, ΘΗΛΥΚΑ, &lt; 1 ΜΗΝΟΣ, ΚΡΕΟΠΑΡΑΓΩΓΗΣ, ΛΟΙΠΗ (400 - 550kg)</t>
  </si>
  <si>
    <t>ΒΟΟΕΙΔΗ212127</t>
  </si>
  <si>
    <t>ΒΟΟΕΙΔΗ, ΘΗΛΥΚΑ, &lt; 1 ΜΗΝΟΣ, ΜΙΚΤΗ, ΑΥΤΟΧΘΟΝΗ</t>
  </si>
  <si>
    <t>ΒΟΟΕΙΔΗ212132</t>
  </si>
  <si>
    <t>ΒΟΟΕΙΔΗ, ΘΗΛΥΚΑ, &lt; 1 ΜΗΝΟΣ, ΜΙΚΤΗ, ΚΑΘΑΡΟΑΙΜΗ</t>
  </si>
  <si>
    <t>ΒΟΟΕΙΔΗ212133</t>
  </si>
  <si>
    <t>ΒΟΟΕΙΔΗ, ΘΗΛΥΚΑ, &lt; 1 ΜΗΝΟΣ, ΜΙΚΤΗ, ΛΟΙΠΗ</t>
  </si>
  <si>
    <t>ΒΟΟΕΙΔΗ212134</t>
  </si>
  <si>
    <t>ΒΟΟΕΙΔΗ, ΘΗΛΥΚΑ, 1 - 6 ΜΗΝΩΝ, ΓΑΛΑΚΤΟΠΑΡΑΓΩΓΉΣ, ΒΕΛΤΙΩΜΕΝΗ</t>
  </si>
  <si>
    <t>ΒΟΟΕΙΔΗ212211</t>
  </si>
  <si>
    <t>ΒΟΟΕΙΔΗ, ΘΗΛΥΚΑ, 1 - 6 ΜΗΝΩΝ, ΓΑΛΑΚΤΟΠΑΡΑΓΩΓΉΣ, ΑΥΤΟΧΘΟΝΗ</t>
  </si>
  <si>
    <t>ΒΟΟΕΙΔΗ212212</t>
  </si>
  <si>
    <t>ΒΟΟΕΙΔΗ, ΘΗΛΥΚΑ, 1 - 6 ΜΗΝΩΝ, ΓΑΛΑΚΤΟΠΑΡΑΓΩΓΉΣ, ΚΑΘΑΡΟΑΙΜΗ</t>
  </si>
  <si>
    <t>ΒΟΟΕΙΔΗ212213</t>
  </si>
  <si>
    <t>ΒΟΟΕΙΔΗ, ΘΗΛΥΚΑ, 1 - 6 ΜΗΝΩΝ, ΓΑΛΑΚΤΟΠΑΡΑΓΩΓΉΣ, ΛΟΙΠΗ</t>
  </si>
  <si>
    <t>ΒΟΟΕΙΔΗ212214</t>
  </si>
  <si>
    <t>ΒΟΟΕΙΔΗ, ΘΗΛΥΚΑ, 1 - 6 ΜΗΝΩΝ, ΚΡΕΟΠΑΡΑΓΩΓΗΣ, ΑΥΤΟΧΘΟΝΗ</t>
  </si>
  <si>
    <t>ΒΟΟΕΙΔΗ212222</t>
  </si>
  <si>
    <t>ΒΟΟΕΙΔΗ, ΘΗΛΥΚΑ, 1 - 6 ΜΗΝΩΝ, ΚΡΕΟΠΑΡΑΓΩΓΗΣ, ΚΑΘΑΡΟΑΙΜΗ</t>
  </si>
  <si>
    <t>ΒΟΟΕΙΔΗ212223</t>
  </si>
  <si>
    <t>ΒΟΟΕΙΔΗ, ΘΗΛΥΚΑ, 1 - 6 ΜΗΝΩΝ, ΚΡΕΟΠΑΡΑΓΩΓΗΣ, ΒΕΛΤΙΩΜΕΝΗ (&gt;550kg)</t>
  </si>
  <si>
    <t>ΒΟΟΕΙΔΗ212225</t>
  </si>
  <si>
    <t>ΒΟΟΕΙΔΗ, ΘΗΛΥΚΑ, 1 - 6 ΜΗΝΩΝ, ΚΡΕΟΠΑΡΑΓΩΓΗΣ, ΛΟΙΠΗ (&lt;400kg)</t>
  </si>
  <si>
    <t>ΒΟΟΕΙΔΗ212226</t>
  </si>
  <si>
    <t>ΒΟΟΕΙΔΗ, ΘΗΛΥΚΑ, 1 - 6 ΜΗΝΩΝ, ΚΡΕΟΠΑΡΑΓΩΓΗΣ, ΛΟΙΠΗ (400 - 550kg)</t>
  </si>
  <si>
    <t>ΒΟΟΕΙΔΗ212227</t>
  </si>
  <si>
    <t>ΒΟΟΕΙΔΗ, ΘΗΛΥΚΑ, 1 - 6 ΜΗΝΩΝ, ΜΙΚΤΗ, ΑΥΤΟΧΘΟΝΗ</t>
  </si>
  <si>
    <t>ΒΟΟΕΙΔΗ212232</t>
  </si>
  <si>
    <t>ΒΟΟΕΙΔΗ, ΘΗΛΥΚΑ, 1 - 6 ΜΗΝΩΝ, ΜΙΚΤΗ, ΚΑΘΑΡΟΑΙΜΗ</t>
  </si>
  <si>
    <t>ΒΟΟΕΙΔΗ212233</t>
  </si>
  <si>
    <t>ΒΟΟΕΙΔΗ, ΘΗΛΥΚΑ, 1 - 6 ΜΗΝΩΝ, ΜΙΚΤΗ, ΛΟΙΠΗ</t>
  </si>
  <si>
    <t>ΒΟΟΕΙΔΗ212234</t>
  </si>
  <si>
    <t>ΒΟΟΕΙΔΗ, ΘΗΛΥΚΑ, 6 - 24 ΜΗΝΩΝ, ΓΑΛΑΚΤΟΠΑΡΑΓΩΓΉΣ, ΒΕΛΤΙΩΜΕΝΗ</t>
  </si>
  <si>
    <t>ΒΟΟΕΙΔΗ212511</t>
  </si>
  <si>
    <t>ΒΟΟΕΙΔΗ, ΘΗΛΥΚΑ, 6 - 24 ΜΗΝΩΝ, ΓΑΛΑΚΤΟΠΑΡΑΓΩΓΉΣ, ΑΥΤΟΧΘΟΝΗ</t>
  </si>
  <si>
    <t>ΒΟΟΕΙΔΗ212512</t>
  </si>
  <si>
    <t>ΒΟΟΕΙΔΗ, ΘΗΛΥΚΑ, 6 - 24 ΜΗΝΩΝ, ΓΑΛΑΚΤΟΠΑΡΑΓΩΓΉΣ, ΚΑΘΑΡΟΑΙΜΗ</t>
  </si>
  <si>
    <t>ΒΟΟΕΙΔΗ212513</t>
  </si>
  <si>
    <t>ΒΟΟΕΙΔΗ, ΘΗΛΥΚΑ, 6 - 24 ΜΗΝΩΝ, ΓΑΛΑΚΤΟΠΑΡΑΓΩΓΉΣ, ΛΟΙΠΗ</t>
  </si>
  <si>
    <t>ΒΟΟΕΙΔΗ212514</t>
  </si>
  <si>
    <t>ΒΟΟΕΙΔΗ, ΘΗΛΥΚΑ, 6 - 24 ΜΗΝΩΝ, ΚΡΕΟΠΑΡΑΓΩΓΗΣ, ΑΥΤΟΧΘΟΝΗ</t>
  </si>
  <si>
    <t>ΒΟΟΕΙΔΗ212522</t>
  </si>
  <si>
    <t>ΒΟΟΕΙΔΗ, ΘΗΛΥΚΑ, 6 - 24 ΜΗΝΩΝ, ΚΡΕΟΠΑΡΑΓΩΓΗΣ, ΚΑΘΑΡΟΑΙΜΗ</t>
  </si>
  <si>
    <t>ΒΟΟΕΙΔΗ212523</t>
  </si>
  <si>
    <t>ΒΟΟΕΙΔΗ, ΘΗΛΥΚΑ, 6 - 24 ΜΗΝΩΝ, ΚΡΕΟΠΑΡΑΓΩΓΗΣ, ΒΕΛΤΙΩΜΕΝΗ (&gt;550kg)</t>
  </si>
  <si>
    <t>ΒΟΟΕΙΔΗ212525</t>
  </si>
  <si>
    <t>ΒΟΟΕΙΔΗ, ΘΗΛΥΚΑ, 6 - 24 ΜΗΝΩΝ, ΚΡΕΟΠΑΡΑΓΩΓΗΣ, ΛΟΙΠΗ (&lt;400kg)</t>
  </si>
  <si>
    <t>ΒΟΟΕΙΔΗ212526</t>
  </si>
  <si>
    <t>ΒΟΟΕΙΔΗ, ΘΗΛΥΚΑ, 6 - 24 ΜΗΝΩΝ, ΚΡΕΟΠΑΡΑΓΩΓΗΣ, ΛΟΙΠΗ (400 - 550kg)</t>
  </si>
  <si>
    <t>ΒΟΟΕΙΔΗ212527</t>
  </si>
  <si>
    <t>ΒΟΟΕΙΔΗ, ΘΗΛΥΚΑ, 6 - 24 ΜΗΝΩΝ, ΜΙΚΤΗ, ΑΥΤΟΧΘΟΝΗ</t>
  </si>
  <si>
    <t>ΒΟΟΕΙΔΗ212532</t>
  </si>
  <si>
    <t>ΒΟΟΕΙΔΗ, ΘΗΛΥΚΑ, 6 - 24 ΜΗΝΩΝ, ΜΙΚΤΗ, ΚΑΘΑΡΟΑΙΜΗ</t>
  </si>
  <si>
    <t>ΒΟΟΕΙΔΗ212533</t>
  </si>
  <si>
    <t>ΒΟΟΕΙΔΗ, ΘΗΛΥΚΑ, 6 - 24 ΜΗΝΩΝ, ΜΙΚΤΗ, ΛΟΙΠΗ</t>
  </si>
  <si>
    <t>ΒΟΟΕΙΔΗ212534</t>
  </si>
  <si>
    <t>ΒΟΟΕΙΔΗ, ΘΗΛΥΚΑ, 2 - 6 ΕΤΩΝ, ΓΑΛΑΚΤΟΠΑΡΑΓΩΓΉΣ, ΒΕΛΤΙΩΜΕΝΗ</t>
  </si>
  <si>
    <t>ΒΟΟΕΙΔΗ212611</t>
  </si>
  <si>
    <t>ΒΟΟΕΙΔΗ, ΘΗΛΥΚΑ, 2 - 6 ΕΤΩΝ, ΓΑΛΑΚΤΟΠΑΡΑΓΩΓΉΣ, ΑΥΤΟΧΘΟΝΗ</t>
  </si>
  <si>
    <t>ΒΟΟΕΙΔΗ212612</t>
  </si>
  <si>
    <t>ΒΟΟΕΙΔΗ, ΘΗΛΥΚΑ, 2 - 6 ΕΤΩΝ, ΓΑΛΑΚΤΟΠΑΡΑΓΩΓΉΣ, ΚΑΘΑΡΟΑΙΜΗ</t>
  </si>
  <si>
    <t>ΒΟΟΕΙΔΗ212613</t>
  </si>
  <si>
    <t>ΒΟΟΕΙΔΗ, ΘΗΛΥΚΑ, 2 - 6 ΕΤΩΝ, ΓΑΛΑΚΤΟΠΑΡΑΓΩΓΉΣ, ΛΟΙΠΗ</t>
  </si>
  <si>
    <t>ΒΟΟΕΙΔΗ212614</t>
  </si>
  <si>
    <t>ΒΟΟΕΙΔΗ, ΘΗΛΥΚΑ, 2 - 6 ΕΤΩΝ, ΚΡΕΟΠΑΡΑΓΩΓΗΣ, ΑΥΤΟΧΘΟΝΗ</t>
  </si>
  <si>
    <t>ΒΟΟΕΙΔΗ212622</t>
  </si>
  <si>
    <t>ΒΟΟΕΙΔΗ, ΘΗΛΥΚΑ, 2 - 6 ΕΤΩΝ, ΚΡΕΟΠΑΡΑΓΩΓΗΣ, ΚΑΘΑΡΟΑΙΜΗ</t>
  </si>
  <si>
    <t>ΒΟΟΕΙΔΗ212623</t>
  </si>
  <si>
    <t>ΒΟΟΕΙΔΗ, ΘΗΛΥΚΑ, 2 - 6 ΕΤΩΝ, ΚΡΕΟΠΑΡΑΓΩΓΗΣ, ΒΕΛΤΙΩΜΕΝΗ (&gt;550kg)</t>
  </si>
  <si>
    <t>ΒΟΟΕΙΔΗ212625</t>
  </si>
  <si>
    <t>ΒΟΟΕΙΔΗ, ΘΗΛΥΚΑ, 2 - 6 ΕΤΩΝ, ΚΡΕΟΠΑΡΑΓΩΓΗΣ, ΛΟΙΠΗ (&lt;400kg)</t>
  </si>
  <si>
    <t>ΒΟΟΕΙΔΗ212626</t>
  </si>
  <si>
    <t>ΒΟΟΕΙΔΗ, ΘΗΛΥΚΑ, 2 - 6 ΕΤΩΝ, ΚΡΕΟΠΑΡΑΓΩΓΗΣ, ΛΟΙΠΗ (400 - 550kg)</t>
  </si>
  <si>
    <t>ΒΟΟΕΙΔΗ212627</t>
  </si>
  <si>
    <t>ΒΟΟΕΙΔΗ, ΘΗΛΥΚΑ, 2 - 6 ΕΤΩΝ, ΜΙΚΤΗ, ΑΥΤΟΧΘΟΝΗ</t>
  </si>
  <si>
    <t>ΒΟΟΕΙΔΗ212632</t>
  </si>
  <si>
    <t>ΒΟΟΕΙΔΗ, ΘΗΛΥΚΑ, 2 - 6 ΕΤΩΝ, ΜΙΚΤΗ, ΚΑΘΑΡΟΑΙΜΗ</t>
  </si>
  <si>
    <t>ΒΟΟΕΙΔΗ212633</t>
  </si>
  <si>
    <t>ΒΟΟΕΙΔΗ, ΘΗΛΥΚΑ, 2 - 6 ΕΤΩΝ, ΜΙΚΤΗ, ΛΟΙΠΗ</t>
  </si>
  <si>
    <t>ΒΟΟΕΙΔΗ212634</t>
  </si>
  <si>
    <t>ΒΟΟΕΙΔΗ, ΘΗΛΥΚΑ, &gt; 6 ΕΤΩΝ, ΓΑΛΑΚΤΟΠΑΡΑΓΩΓΉΣ, ΒΕΛΤΙΩΜΕΝΗ</t>
  </si>
  <si>
    <t>ΒΟΟΕΙΔΗ212711</t>
  </si>
  <si>
    <t>ΒΟΟΕΙΔΗ, ΘΗΛΥΚΑ, &gt; 6 ΕΤΩΝ, ΓΑΛΑΚΤΟΠΑΡΑΓΩΓΉΣ, ΑΥΤΟΧΘΟΝΗ</t>
  </si>
  <si>
    <t>ΒΟΟΕΙΔΗ212712</t>
  </si>
  <si>
    <t>ΒΟΟΕΙΔΗ, ΘΗΛΥΚΑ, &gt; 6 ΕΤΩΝ, ΓΑΛΑΚΤΟΠΑΡΑΓΩΓΉΣ, ΚΑΘΑΡΟΑΙΜΗ</t>
  </si>
  <si>
    <t>ΒΟΟΕΙΔΗ212713</t>
  </si>
  <si>
    <t>ΒΟΟΕΙΔΗ, ΘΗΛΥΚΑ, &gt; 6 ΕΤΩΝ, ΓΑΛΑΚΤΟΠΑΡΑΓΩΓΉΣ, ΛΟΙΠΗ</t>
  </si>
  <si>
    <t>ΒΟΟΕΙΔΗ212714</t>
  </si>
  <si>
    <t>ΒΟΟΕΙΔΗ, ΘΗΛΥΚΑ, &gt; 6 ΕΤΩΝ, ΚΡΕΟΠΑΡΑΓΩΓΗΣ, ΑΥΤΟΧΘΟΝΗ</t>
  </si>
  <si>
    <t>ΒΟΟΕΙΔΗ212722</t>
  </si>
  <si>
    <t>ΒΟΟΕΙΔΗ, ΘΗΛΥΚΑ, &gt; 6 ΕΤΩΝ, ΚΡΕΟΠΑΡΑΓΩΓΗΣ, ΚΑΘΑΡΟΑΙΜΗ</t>
  </si>
  <si>
    <t>ΒΟΟΕΙΔΗ212723</t>
  </si>
  <si>
    <t>ΒΟΟΕΙΔΗ, ΘΗΛΥΚΑ, &gt; 6 ΕΤΩΝ, ΚΡΕΟΠΑΡΑΓΩΓΗΣ, ΒΕΛΤΙΩΜΕΝΗ (&gt;550kg)</t>
  </si>
  <si>
    <t>ΒΟΟΕΙΔΗ212725</t>
  </si>
  <si>
    <t>ΒΟΟΕΙΔΗ, ΘΗΛΥΚΑ, &gt; 6 ΕΤΩΝ, ΚΡΕΟΠΑΡΑΓΩΓΗΣ, ΛΟΙΠΗ (&lt;400kg)</t>
  </si>
  <si>
    <t>ΒΟΟΕΙΔΗ212726</t>
  </si>
  <si>
    <t>ΒΟΟΕΙΔΗ, ΘΗΛΥΚΑ, &gt; 6 ΕΤΩΝ, ΚΡΕΟΠΑΡΑΓΩΓΗΣ, ΛΟΙΠΗ (400 - 550kg)</t>
  </si>
  <si>
    <t>ΒΟΟΕΙΔΗ212727</t>
  </si>
  <si>
    <t>ΒΟΟΕΙΔΗ, ΘΗΛΥΚΑ, &gt; 6 ΕΤΩΝ, ΜΙΚΤΗ, ΑΥΤΟΧΘΟΝΗ</t>
  </si>
  <si>
    <t>ΒΟΟΕΙΔΗ212732</t>
  </si>
  <si>
    <t>ΒΟΟΕΙΔΗ, ΘΗΛΥΚΑ, &gt; 6 ΕΤΩΝ, ΜΙΚΤΗ, ΚΑΘΑΡΟΑΙΜΗ</t>
  </si>
  <si>
    <t>ΒΟΟΕΙΔΗ212733</t>
  </si>
  <si>
    <t>ΒΟΟΕΙΔΗ, ΘΗΛΥΚΑ, &gt; 6 ΕΤΩΝ, ΜΙΚΤΗ, ΛΟΙΠΗ</t>
  </si>
  <si>
    <t>ΒΟΟΕΙΔΗ212734</t>
  </si>
  <si>
    <t>ΒΟΣΚΟΤΟΠΟΙ</t>
  </si>
  <si>
    <t>ΒΟΣΚΟΤΟΠΟΣ</t>
  </si>
  <si>
    <t>ΒΟΣΚΟΤΟΠΟΙ10500</t>
  </si>
  <si>
    <t>ΒΟΣΚΟΤΟΠΟΣ ΠΑΡΑΓΩΓΙΚΟΣ</t>
  </si>
  <si>
    <t>ΒΟΣΚΟΤΟΠΟΙ90001</t>
  </si>
  <si>
    <t>ΒΟΣΚΟΤΟΠΟΣ ΣΕ ΚΑΛΗ ΚΑΤΑΣΤΑΣΗ</t>
  </si>
  <si>
    <t>ΒΟΣΚΟΤΟΠΟΙ90002</t>
  </si>
  <si>
    <t>ΓΕΩΜΗΛΑ</t>
  </si>
  <si>
    <t>ΠΑΤΑΤΕΣ ΓΙΑ ΠΑΡΑΓΩΓΗ ΑΜΥΛΟΥ</t>
  </si>
  <si>
    <t>ΓΕΩΜHΛΑ10100</t>
  </si>
  <si>
    <t>ΒΙΟΜΗΧΑΝΙΚΗ ΠΑΤΑΤΑ</t>
  </si>
  <si>
    <t>ΓΕΩΜHΛΑ24001</t>
  </si>
  <si>
    <t>ΠΑΤΑΤΑ LADY CLAIRE</t>
  </si>
  <si>
    <t>ΓΕΩΜHΛΑ24002</t>
  </si>
  <si>
    <t>ΑΝΟΙΞΙΑΤΙΚΗ</t>
  </si>
  <si>
    <t>ΓΕΩΜHΛΑ6001</t>
  </si>
  <si>
    <t>ΚΑΛΟΚΑΙΡΙΝΗ</t>
  </si>
  <si>
    <t>ΓΕΩΜHΛΑ6002</t>
  </si>
  <si>
    <t>ΦΘΙΝΟΠΩΡΙΝΗ</t>
  </si>
  <si>
    <t>ΓΕΩΜHΛΑ6003</t>
  </si>
  <si>
    <t>ΠΑΤΑΤΕΣ</t>
  </si>
  <si>
    <t>ΓΕΩΜHΛΑ6006</t>
  </si>
  <si>
    <t>ΓΗ ΠΟΥ ΔΕΝ ΕΝΤΑΣΣΕΤΑΙ ΣΕ ΚΑΛΛΙΕΡΓΗΤΙΚΗ ΔΡΑΣΤΗΡΙΟΤΗΤΑ</t>
  </si>
  <si>
    <t>ΦΑΡΜΑΚΕΥΤΙΚΗ ΚΑΝΝΑΒΗ</t>
  </si>
  <si>
    <t>ΓΗ ΠΟΥ ΔΕΝ ΕΝΤΑΣΣΕΤΑΙ ΣΕ ΚΑΛΛΙΕΡΓΗΤΙΚΗ ΔΡΑΣΤΗΡΙΟΤΗΤΑ42001</t>
  </si>
  <si>
    <t>ΑΚΑΛΛΙΕΡΓΗΤΑ</t>
  </si>
  <si>
    <t>ΓΗ ΠΟΥ ΔΕΝ ΕΝΤΑΣΣΕΤΑΙ ΣΕ ΚΑΛΛΙΕΡΓΗΤΙΚΗ ΔΡΑΣΤΗΡΙΟΤΗΤΑ8150</t>
  </si>
  <si>
    <t>ΓΟΥΝΟΦΟΡΑ</t>
  </si>
  <si>
    <t>ΓΟΥΝΟΦΟΡΑ1210000</t>
  </si>
  <si>
    <t>ΔΑΣΙΚΑ ΔΕΝΤΡΑ</t>
  </si>
  <si>
    <t>ΜΟΥΡΙΕΣ - ΕΞΑΙΡΕΣΗ</t>
  </si>
  <si>
    <t>ΔΑΣΙΚΑ ΔΕΝΤΡΑ14035</t>
  </si>
  <si>
    <t>ΠΕΥΚΗ</t>
  </si>
  <si>
    <t>ΔΑΣΙΚΑ ΔΕΝΤΡΑ49001</t>
  </si>
  <si>
    <t>ΑΛΜΥΡΙΚΙΑ</t>
  </si>
  <si>
    <t>ΔΑΣΙΚΑ ΔΕΝΤΡΑ49002</t>
  </si>
  <si>
    <t>ΕΛΑΤΗ</t>
  </si>
  <si>
    <t>ΔΑΣΙΚΑ ΔΕΝΤΡΑ49003</t>
  </si>
  <si>
    <t>ΚΟΥΚΟΥΝΑΡΙΑ</t>
  </si>
  <si>
    <t>ΔΑΣΙΚΑ ΔΕΝΤΡΑ49004</t>
  </si>
  <si>
    <t>ΚΥΠΑΡΙΣΣΟΣ</t>
  </si>
  <si>
    <t>ΔΑΣΙΚΑ ΔΕΝΤΡΑ49005</t>
  </si>
  <si>
    <t>ΚΕΔΡΟΣ</t>
  </si>
  <si>
    <t>ΔΑΣΙΚΑ ΔΕΝΤΡΑ49006</t>
  </si>
  <si>
    <t>ΣΦΕΝΔΑΜΟΣ</t>
  </si>
  <si>
    <t>ΔΑΣΙΚΑ ΔΕΝΤΡΑ49007</t>
  </si>
  <si>
    <t>ΟΞΥΑ</t>
  </si>
  <si>
    <t>ΔΑΣΙΚΑ ΔΕΝΤΡΑ49008</t>
  </si>
  <si>
    <t>ΔΡΥΣ</t>
  </si>
  <si>
    <t>ΔΑΣΙΚΑ ΔΕΝΤΡΑ49009</t>
  </si>
  <si>
    <t>ΔΙΑΦΟΡΑ ΔΑΣΙΚΑ ΔΕΝΤΡΑ</t>
  </si>
  <si>
    <t>ΔΑΣΙΚΑ ΔΕΝΤΡΑ9108001</t>
  </si>
  <si>
    <t>ΛΕΥΚΕΣ</t>
  </si>
  <si>
    <t>ΔΑΣΙΚΑ ΔΕΝΤΡΑ9108003</t>
  </si>
  <si>
    <t>ΑΚΑΚΙΕΣ</t>
  </si>
  <si>
    <t>ΔΑΣΙΚΑ ΔΕΝΤΡΑ9108004</t>
  </si>
  <si>
    <t>ΕΚΤΑΣΕΙΣ ΜΕ ΑΠΕ</t>
  </si>
  <si>
    <t>ΕΚΤΑΣΕΙΣ ΜΕ ΑΠΕ9108000</t>
  </si>
  <si>
    <t>ΕΛΑΙΟΥΧΟΙ ΣΠΟΡΟΙ</t>
  </si>
  <si>
    <t>ΗΛΙΑΝΘΟΣ LG59580</t>
  </si>
  <si>
    <t>ΕΛΑΙΟΥΧΟΙ ΣΠΟΡΟΙ40001</t>
  </si>
  <si>
    <t>ΣΟΓΙΑ AMMA</t>
  </si>
  <si>
    <t>ΕΛΑΙΟΥΧΟΙ ΣΠΟΡΟΙ40002</t>
  </si>
  <si>
    <t>ΗΛΙΑΝΘΟΣ ES AROMATIC SU</t>
  </si>
  <si>
    <t>ΕΛΑΙΟΥΧΟΙ ΣΠΟΡΟΙ40003</t>
  </si>
  <si>
    <t>ΗΛΙΑΝΘΟΣ BILOBA CLP</t>
  </si>
  <si>
    <t>ΕΛΑΙΟΥΧΟΙ ΣΠΟΡΟΙ40004</t>
  </si>
  <si>
    <t>ΧΙΑ / ΤΣΙΑ / ΚΙΑ</t>
  </si>
  <si>
    <t>ΕΛΑΙΟΥΧΟΙ ΣΠΟΡΟΙ40005</t>
  </si>
  <si>
    <t>ΚΑΜΕΛΙΝΑ</t>
  </si>
  <si>
    <t>ΕΛΑΙΟΥΧΟΙ ΣΠΟΡΟΙ40006</t>
  </si>
  <si>
    <t>ΛΙΝΑΡΙ</t>
  </si>
  <si>
    <t>ΕΛΑΙΟΥΧΟΙ ΣΠΟΡΟΙ40007</t>
  </si>
  <si>
    <t>ΗΛΙΑΝΘΟΣ P64HE133 (ΞΗΡΙΚΌΣ)</t>
  </si>
  <si>
    <t>ΕΛΑΙΟΥΧΟΙ ΣΠΟΡΟΙ40008</t>
  </si>
  <si>
    <t>ΗΛΙΑΝΘΟΣ P64HE133 (ΠΟΤΙΣΤΙΚΌΣ)</t>
  </si>
  <si>
    <t>ΕΛΑΙΟΥΧΟΙ ΣΠΟΡΟΙ40009</t>
  </si>
  <si>
    <t>ΗΛΙΑΝΘΟΣ SY BACARDI CLP (ΞΗΡΙΚΌΣ)</t>
  </si>
  <si>
    <t>ΕΛΑΙΟΥΧΟΙ ΣΠΟΡΟΙ40010</t>
  </si>
  <si>
    <t>ΗΛΙΑΝΘΟΣ SY BACARDI CLP (ΠΟΤΙΣΤΙΚΌΣ)</t>
  </si>
  <si>
    <t>ΕΛΑΙΟΥΧΟΙ ΣΠΟΡΟΙ40011</t>
  </si>
  <si>
    <t>ΗΛΙΑΝΘΟΣ SILLOUET (ΞΗΡΙΚΟΣ)</t>
  </si>
  <si>
    <t>ΕΛΑΙΟΥΧΟΙ ΣΠΟΡΟΙ40012</t>
  </si>
  <si>
    <t>ΗΛΙΑΝΘΟΣ SILLOUET (ΠΟΤΙΣΤΙΚΟΣ)</t>
  </si>
  <si>
    <t>ΕΛΑΙΟΥΧΟΙ ΣΠΟΡΟΙ40013</t>
  </si>
  <si>
    <t>ΗΛΙΑΝΘΟΣ SUOMI (ΠΟΤΙΣΤΙΚΟΣ)</t>
  </si>
  <si>
    <t>ΕΛΑΙΟΥΧΟΙ ΣΠΟΡΟΙ40014</t>
  </si>
  <si>
    <t>ΗΛΙΑΝΘΟΣ SUOMI (ΞΗΡΙΚΟΣ)</t>
  </si>
  <si>
    <t>ΕΛΑΙΟΥΧΟΙ ΣΠΟΡΟΙ40015</t>
  </si>
  <si>
    <t>ΗΛΙΑΝΘΟΣ P64LΕ99 (ΠΟΤΙΣΤΙΚΟΣ)</t>
  </si>
  <si>
    <t>ΕΛΑΙΟΥΧΟΙ ΣΠΟΡΟΙ40016</t>
  </si>
  <si>
    <t>ΗΛΙΑΝΘΟΣ P64LΕ99 (ΞΗΡΙΚΟΣ)</t>
  </si>
  <si>
    <t>ΕΛΑΙΟΥΧΟΙ ΣΠΟΡΟΙ40017</t>
  </si>
  <si>
    <t>ΕΛΑΙΟΚΡΑΜΒΗ</t>
  </si>
  <si>
    <t>ΕΛΑΙΟΥΧΟΙ ΣΠΟΡΟΙ6299</t>
  </si>
  <si>
    <t>ΗΛΙΑΝΘΟΣ QUIRO (ΗΠΑ)</t>
  </si>
  <si>
    <t>ΕΛΑΙΟΥΧΟΙ ΣΠΟΡΟΙ6301</t>
  </si>
  <si>
    <t>ΗΛΙΑΝΘΟΣ TURBO (ROM)</t>
  </si>
  <si>
    <t>ΕΛΑΙΟΥΧΟΙ ΣΠΟΡΟΙ6302</t>
  </si>
  <si>
    <t>ΗΛΙΑΝΘΟΣ PHARAON (ΗΠΑ)</t>
  </si>
  <si>
    <t>ΕΛΑΙΟΥΧΟΙ ΣΠΟΡΟΙ6303</t>
  </si>
  <si>
    <t>ΗΛΙΑΝΘΟΣ SUNSTAR (ΗΠΑ)</t>
  </si>
  <si>
    <t>ΕΛΑΙΟΥΧΟΙ ΣΠΟΡΟΙ6304</t>
  </si>
  <si>
    <t>ΗΛΙΑΝΘΟΣ ΚΑΒΗΣΟΣ (ΕΛΛΑΣ)</t>
  </si>
  <si>
    <t>ΕΛΑΙΟΥΧΟΙ ΣΠΟΡΟΙ6305</t>
  </si>
  <si>
    <t>ΗΛΙΑΝΘΟΣ ΠΑΣΑΤΕΜΠΟΣ</t>
  </si>
  <si>
    <t>ΕΛΑΙΟΥΧΟΙ ΣΠΟΡΟΙ6310</t>
  </si>
  <si>
    <t>ΚΟΛΟΚΥΘΟΣΠΟΡΟΣ</t>
  </si>
  <si>
    <t>ΕΛΑΙΟΥΧΟΙ ΣΠΟΡΟΙ6311</t>
  </si>
  <si>
    <t>ΗΛΙΑΝΘΟΣ</t>
  </si>
  <si>
    <t>ΕΛΑΙΟΥΧΟΙ ΣΠΟΡΟΙ6398</t>
  </si>
  <si>
    <t>ΣΟΓΙΑ WEBER</t>
  </si>
  <si>
    <t>ΕΛΑΙΟΥΧΟΙ ΣΠΟΡΟΙ6401</t>
  </si>
  <si>
    <t>ΣΟΓΙΑ WILLIAMS</t>
  </si>
  <si>
    <t>ΕΛΑΙΟΥΧΟΙ ΣΠΟΡΟΙ6402</t>
  </si>
  <si>
    <t>ΣΟΥΣΑΜΙ</t>
  </si>
  <si>
    <t>ΕΛΑΙΟΥΧΟΙ ΣΠΟΡΟΙ8703</t>
  </si>
  <si>
    <t>ΣΟΥΣΑΜΙ ΓΕΩΡΓΙΟΥΠΟΛΗΣ</t>
  </si>
  <si>
    <t>ΕΛΑΙΟΥΧΟΙ ΣΠΟΡΟΙ8746</t>
  </si>
  <si>
    <t>ΣΟΥΣΑΜΙ ΕΒΡΟΥ</t>
  </si>
  <si>
    <t>ΕΛΑΙΟΥΧΟΙ ΣΠΟΡΟΙ8747</t>
  </si>
  <si>
    <t>ΕΛΑΙΩΝΕΣ</t>
  </si>
  <si>
    <t>ΑΜΦΙΣΣΗΣ (ΒΟΛΙΩΤΙΚΗ, ΠΗΛΙΟΥ, ΣΤΥΛΙΔΟΣ, ΑΓΡΙΝΙΟΥ), ΓΙΑ ΠΑΡΑΓΩΓΗ ΕΛΑΙΟΛΑΔΟΥ</t>
  </si>
  <si>
    <t>ΕΛΑΙΩΝΕΣ1000153</t>
  </si>
  <si>
    <t>ΑΜΥΓΔΑΛΟΛΗΑ (ΣΤΡΑΒΟΜΥΤΑ, ΚΟΥΡΟΜΥΤΑ), ΓΙΑ ΠΑΡΑΓΩΓΗ ΕΛΑΙΟΛΑΔΟΥ</t>
  </si>
  <si>
    <t>ΕΛΑΙΩΝΕΣ1000154</t>
  </si>
  <si>
    <t>ΑΔΡΑΜΥΤΤΙΝΗ (ΑΔΡΑΜΥΤΙΚΗ ΛΕΣΒΟΥ, ΑΙΒΑΛΙΩΤΙΚΗ,  ΦΡΑΓΚ), ΓΙΑ ΠΑΡΑΓΩΓΗ ΕΛΑΙΟΛΑΔΟΥ</t>
  </si>
  <si>
    <t>ΕΛΑΙΩΝΕΣ1000155</t>
  </si>
  <si>
    <t>ΑΓΟΥΡΟΜΑΝΑΚΟΛΙΑ (ΑΓΟΥΡΟΜΑΝΑΚΟ, ΑΓΟΥΡΟΜΑΝΑΚΙ), ΓΙΑ ΠΑΡΑΓΩΓΗ ΕΛΑΙΟΛΑΔΟΥ</t>
  </si>
  <si>
    <t>ΕΛΑΙΩΝΕΣ1000156</t>
  </si>
  <si>
    <t>ARBEQUINE (ARBEQUINA, ARBEQUIN), ΓΙΑ ΠΑΡΑΓΩΓΗ ΕΛΑΙΟΛΑΔΟΥ</t>
  </si>
  <si>
    <t>ΕΛΑΙΩΝΕΣ1000157</t>
  </si>
  <si>
    <t>ΒΑΣΙΛΙΚΑΔΑ (ΒΑΣΙΛΙΚΗ), ΓΙΑ ΠΑΡΑΓΩΓΗ ΕΛΑΙΟΛΑΔΟΥ</t>
  </si>
  <si>
    <t>ΕΛΑΙΩΝΕΣ1000158</t>
  </si>
  <si>
    <t>ΒΑΛΑΝΟΛΙΑ (ΜΥΤΙΛΙΝΙΑ, ΚΟΛΟΒΗ, ΒΑΛΑΝΑ), ΓΙΑ ΠΑΡΑΓΩΓΗ ΕΛΑΙΟΛΑΔΟΥ</t>
  </si>
  <si>
    <t>ΕΛΑΙΩΝΕΣ1000159</t>
  </si>
  <si>
    <t>ΓΑΙΔΟΥΡΕΛΙΑ (ΔΑΜΑΣΚΗΝΑΤΗ, ΑΔΡΟΚΑΡΠΗ), ΓΙΑ ΠΑΡΑΓΩΓΗ ΕΛΑΙΟΛΑΔΟΥ</t>
  </si>
  <si>
    <t>ΕΛΑΙΩΝΕΣ1000160</t>
  </si>
  <si>
    <t>ΔΑΜΑΣΚΗΝΑΤΗ ΛΕΣΒΟΥ, ΓΙΑ ΠΑΡΑΓΩΓΗ ΕΛΑΙΟΛΑΔΟΥ</t>
  </si>
  <si>
    <t>ΕΛΑΙΩΝΕΣ1000161</t>
  </si>
  <si>
    <t>ΔΑΦΝΕΛΙA (ΔΑΦΝΟΚΑΡΠΗ), ΓΙΑ ΠΑΡΑΓΩΓΗ ΕΛΑΙΟΛΑΔΟΥ</t>
  </si>
  <si>
    <t>ΕΛΑΙΩΝΕΣ1000162</t>
  </si>
  <si>
    <t>GORDAL, ΓΙΑ ΠΑΡΑΓΩΓΗ ΕΛΑΙΟΛΑΔΟΥ</t>
  </si>
  <si>
    <t>ΕΛΑΙΩΝΕΣ1000163</t>
  </si>
  <si>
    <t>ΘΡΟΥΜΠΑ (ΘΡΟΥΜΠΟΛΙΑ, ΘΑΣΙΤΙΚΗ, ΛΑΔΟΛΙΑ, ΘΑΣΟΥ), ΓΙΑ ΠΑΡΑΓΩΓΗ ΕΛΑΙΟΛΑΔΟΥ</t>
  </si>
  <si>
    <t>ΕΛΑΙΩΝΕΣ1000164</t>
  </si>
  <si>
    <t>ΚΟΥΤΣΟΥΡΕΛΙΑ (ΚΟΥΡΤΕΛΙΑ, ΚΟΥΡΕΛΙΑ), ΓΙΑ ΠΑΡΑΓΩΓΗ ΕΛΑΙΟΛΑΔΟΥ</t>
  </si>
  <si>
    <t>ΕΛΑΙΩΝΕΣ1000165</t>
  </si>
  <si>
    <t>ΚΟΡΩΝΕΙΚΗ (ΚΟΡΩΝΗ, ΒΑΤΣΙΚΗ, ΚΡΗΤΙΚΙΑ, ΚΟΡΩΝΙΑ ΚΡΗ), ΓΙΑ ΠΑΡΑΓΩΓΗ ΕΛΑΙΟΛΑΔΟΥ</t>
  </si>
  <si>
    <t>ΕΛΑΙΩΝΕΣ1000166</t>
  </si>
  <si>
    <t>ΚΑΛΟΚΑΙΡΙΔΑ (ΠΡΩΙΜΗ), ΓΙΑ ΠΑΡΑΓΩΓΗ ΕΛΑΙΟΛΑΔΟΥ</t>
  </si>
  <si>
    <t>ΕΛΑΙΩΝΕΣ1000167</t>
  </si>
  <si>
    <t>ΚΑΛΑΜΩΝ (ΚΑΛΑΜΑΤΙΑΝΗ, ΤΣΙΓΚΟΛΙ, ΑΕΤΟΝΥΧΙ), ΓΙΑ ΠΑΡΑΓΩΓΗ ΕΛΑΙΟΛΑΔΟΥ</t>
  </si>
  <si>
    <t>ΕΛΑΙΩΝΕΣ1000168</t>
  </si>
  <si>
    <t>ΚΟΛΥΜΠΑΔΑ, ΓΙΑ ΠΑΡΑΓΩΓΗ ΕΛΑΙΟΛΑΔΟΥ</t>
  </si>
  <si>
    <t>ΕΛΑΙΩΝΕΣ1000169</t>
  </si>
  <si>
    <t>ΚΑΡΟΛΗΑ, ΓΙΑ ΠΑΡΑΓΩΓΗ ΕΛΑΙΟΛΑΔΟΥ</t>
  </si>
  <si>
    <t>ΕΛΑΙΩΝΕΣ1000170</t>
  </si>
  <si>
    <t>ΚΟΘΡΕΙΚΗ (ΜΑΝΑΚΙ, ΜΑΝΑΚΟΛΙΑ, ΓΛΥΚΟΜΑΝΑΚΟ), ΓΙΑ ΠΑΡΑΓΩΓΗ ΕΛΑΙΟΛΑΔΟΥ</t>
  </si>
  <si>
    <t>ΕΛΑΙΩΝΕΣ1000171</t>
  </si>
  <si>
    <t>ΚΑΡΥΔΟΛΙΑ, ΓΙΑ ΠΑΡΑΓΩΓΗ ΕΛΑΙΟΛΑΔΟΥ</t>
  </si>
  <si>
    <t>ΕΛΑΙΩΝΕΣ1000172</t>
  </si>
  <si>
    <t>ΚΑΡΥΔΟΛΙΑ ΣΠΕΤΣΩΝ, ΓΙΑ ΠΑΡΑΓΩΓΗ ΕΛΑΙΟΛΑΔΟΥ</t>
  </si>
  <si>
    <t>ΕΛΑΙΩΝΕΣ1000173</t>
  </si>
  <si>
    <t>ΚΛΩΝΑΡΕΣ ΚΟΡΩΠΙΟΥ, ΓΙΑ ΠΑΡΑΓΩΓΗ ΕΛΑΙΟΛΑΔΟΥ</t>
  </si>
  <si>
    <t>ΕΛΑΙΩΝΕΣ1000174</t>
  </si>
  <si>
    <t>ΚΑΡΟΛΙΑ ΙΣΤΙΑΙΑΣ, ΓΙΑ ΠΑΡΑΓΩΓΗ ΕΛΑΙΟΛΑΔΟΥ</t>
  </si>
  <si>
    <t>ΕΛΑΙΩΝΕΣ1000175</t>
  </si>
  <si>
    <t>ΚΟΛΥΡΕΙΚΗ, ΓΙΑ ΠΑΡΑΓΩΓΗ ΕΛΑΙΟΛΑΔΟΥ</t>
  </si>
  <si>
    <t>ΕΛΑΙΩΝΕΣ1000176</t>
  </si>
  <si>
    <t>LECHINO (LECHIN DE SEVILLA), ΓΙΑ ΠΑΡΑΓΩΓΗ ΕΛΑΙΟΛΑΔΟΥ</t>
  </si>
  <si>
    <t>ΕΛΑΙΩΝΕΣ1000177</t>
  </si>
  <si>
    <t>ΛΙΑΝΟΛΗΑ ΚΕΡΚΥΡΑΣ (ΠΡΕΒΕΖΑΝΑ, ΝΕΡΟΛΙΑ,  ΚΑΡΦΟΛΙΑ), ΓΙΑ ΠΑΡΑΓΩΓΗ ΕΛΑΙΟΛΑΔΟΥ</t>
  </si>
  <si>
    <t>ΕΛΑΙΩΝΕΣ1000178</t>
  </si>
  <si>
    <t>LUCQUES, ΓΙΑ ΠΑΡΑΓΩΓΗ ΕΛΑΙΟΛΑΔΟΥ</t>
  </si>
  <si>
    <t>ΕΛΑΙΩΝΕΣ1000179</t>
  </si>
  <si>
    <t>ΜΑΥΡΕΛΗΑ (ΜΕΘΩΝΙΑ, ΜΑΥΡΟΛΙΑ, ΜΟΥΤΡΟΛΙΑ), ΓΙΑ ΠΑΡΑΓΩΓΗ ΕΛΑΙΟΛΑΔΟΥ</t>
  </si>
  <si>
    <t>ΕΛΑΙΩΝΕΣ1000180</t>
  </si>
  <si>
    <t>ΜΥΡΤΟΛΗΑ, ΓΙΑ ΠΑΡΑΓΩΓΗ ΕΛΑΙΟΛΑΔΟΥ</t>
  </si>
  <si>
    <t>ΕΛΑΙΩΝΕΣ1000181</t>
  </si>
  <si>
    <t>MEXINE, ΓΙΑ ΠΑΡΑΓΩΓΗ ΕΛΑΙΟΛΑΔΟΥ</t>
  </si>
  <si>
    <t>ΕΛΑΙΩΝΕΣ1000182</t>
  </si>
  <si>
    <t>ΜΕΓΑΡΕΙΤΙΚΗ (ΠΕΡΑΧΩΡΙΤΙΚΗ, ΒΟΙΒΟΔΙΤΙΚΗ, ΒΟΒΩΔΗ), ΓΙΑ ΠΑΡΑΓΩΓΗ ΕΛΑΙΟΛΑΔΟΥ</t>
  </si>
  <si>
    <t>ΕΛΑΙΩΝΕΣ1000183</t>
  </si>
  <si>
    <t>MANZANILLA JAEN, ΓΙΑ ΠΑΡΑΓΩΓΗ ΕΛΑΙΟΛΑΔΟΥ</t>
  </si>
  <si>
    <t>ΕΛΑΙΩΝΕΣ1000184</t>
  </si>
  <si>
    <t>MANZANILLA DOS HERMANOS, ΓΙΑ ΠΑΡΑΓΩΓΗ ΕΛΑΙΟΛΑΔΟΥ</t>
  </si>
  <si>
    <t>ΕΛΑΙΩΝΕΣ1000185</t>
  </si>
  <si>
    <t>MANZANILLA, ΓΙΑ ΠΑΡΑΓΩΓΗ ΕΛΑΙΟΛΑΔΟΥ</t>
  </si>
  <si>
    <t>ΕΛΑΙΩΝΕΣ1000186</t>
  </si>
  <si>
    <t>ΜΕΛΟΛΙΑ (ΕΛΙΑ ΗΔΙΚΑΡΠΗ), ΓΙΑ ΠΑΡΑΓΩΓΗ ΕΛΑΙΟΛΑΔΟΥ</t>
  </si>
  <si>
    <t>ΕΛΑΙΩΝΕΣ1000187</t>
  </si>
  <si>
    <t>MISSION, ΓΙΑ ΠΑΡΑΓΩΓΗ ΕΛΑΙΟΛΑΔΟΥ</t>
  </si>
  <si>
    <t>ΕΛΑΙΩΝΕΣ1000188</t>
  </si>
  <si>
    <t>PICUAL (NEVADILLO BLANCO), ΓΙΑ ΠΑΡΑΓΩΓΗ ΕΛΑΙΟΛΑΔΟΥ</t>
  </si>
  <si>
    <t>ΕΛΑΙΩΝΕΣ1000189</t>
  </si>
  <si>
    <t>ΠΑΤΡΙΝΗ, ΓΙΑ ΠΑΡΑΓΩΓΗ ΕΛΑΙΟΛΑΔΟΥ</t>
  </si>
  <si>
    <t>ΕΛΑΙΩΝΕΣ1000190</t>
  </si>
  <si>
    <t>PICHOLIN ή PICHOLINE, ΓΙΑ ΠΑΡΑΓΩΓΗ ΕΛΑΙΟΛΑΔΟΥ</t>
  </si>
  <si>
    <t>ΕΛΑΙΩΝΕΣ1000191</t>
  </si>
  <si>
    <t>ΠΙΚΡΟΛΙΑ, ΓΙΑ ΠΑΡΑΓΩΓΗ ΕΛΑΙΟΛΑΔΟΥ</t>
  </si>
  <si>
    <t>ΕΛΑΙΩΝΕΣ1000192</t>
  </si>
  <si>
    <t>REDDING PICHOLINE, ΓΙΑ ΠΑΡΑΓΩΓΗ ΕΛΑΙΟΛΑΔΟΥ</t>
  </si>
  <si>
    <t>ΕΛΑΙΩΝΕΣ1000193</t>
  </si>
  <si>
    <t>ROUSETTE, ΓΙΑ ΠΑΡΑΓΩΓΗ ΕΛΑΙΟΛΑΔΟΥ</t>
  </si>
  <si>
    <t>ΕΛΑΙΩΝΕΣ1000194</t>
  </si>
  <si>
    <t>SALONENQUE, ΓΙΑ ΠΑΡΑΓΩΓΗ ΕΛΑΙΟΛΑΔΟΥ</t>
  </si>
  <si>
    <t>ΕΛΑΙΩΝΕΣ1000195</t>
  </si>
  <si>
    <t>ΣΤΡΟΓΓΥΛΟΛΙΑ (ΓΑΛΑΝΗ, ΠΡΑΣΙΝΟΛΙΑ), ΓΙΑ ΠΑΡΑΓΩΓΗ ΕΛΑΙΟΛΑΔΟΥ</t>
  </si>
  <si>
    <t>ΕΛΑΙΩΝΕΣ1000196</t>
  </si>
  <si>
    <t>S. FRANCESCO, ΓΙΑ ΠΑΡΑΓΩΓΗ ΕΛΑΙΟΛΑΔΟΥ</t>
  </si>
  <si>
    <t>ΕΛΑΙΩΝΕΣ1000197</t>
  </si>
  <si>
    <t>S. AGOSTINO (S. AUGUSTINE), ΓΙΑ ΠΑΡΑΓΩΓΗ ΕΛΑΙΟΛΑΔΟΥ</t>
  </si>
  <si>
    <t>ΕΛΑΙΩΝΕΣ1000198</t>
  </si>
  <si>
    <t>SIGOISE, ΓΙΑ ΠΑΡΑΓΩΓΗ ΕΛΑΙΟΛΑΔΟΥ</t>
  </si>
  <si>
    <t>ΕΛΑΙΩΝΕΣ1000199</t>
  </si>
  <si>
    <t>ΤΡΑΓΟΛΙΑ, ΓΙΑ ΠΑΡΑΓΩΓΗ ΕΛΑΙΟΛΑΔΟΥ</t>
  </si>
  <si>
    <t>ΕΛΑΙΩΝΕΣ1000200</t>
  </si>
  <si>
    <t>ΤΣΟΥΝΑΤΗ (ΜΑΤΣΟΛΗΑ, ΑΘΗΝΟΛΙΑ), ΓΙΑ ΠΑΡΑΓΩΓΗ ΕΛΑΙΟΛΑΔΟΥ</t>
  </si>
  <si>
    <t>ΕΛΑΙΩΝΕΣ1000201</t>
  </si>
  <si>
    <t>FRANTOIO, ΓΙΑ ΠΑΡΑΓΩΓΗ ΕΛΑΙΟΛΑΔΟΥ</t>
  </si>
  <si>
    <t>ΕΛΑΙΩΝΕΣ1000202</t>
  </si>
  <si>
    <t>ΧΑΛΚΙΔΙΚΗΣ, ΓΙΑ ΠΑΡΑΓΩΓΗ ΕΛΑΙΟΛΑΔΟΥ</t>
  </si>
  <si>
    <t>ΕΛΑΙΩΝΕΣ1000203</t>
  </si>
  <si>
    <t>ΧΟΝΔΡΟΛΗΑ, ΓΙΑ ΠΑΡΑΓΩΓΗ ΕΛΑΙΟΛΑΔΟΥ</t>
  </si>
  <si>
    <t>ΕΛΑΙΩΝΕΣ1000204</t>
  </si>
  <si>
    <t>ΧΟΝΔΡΟΛΗΑ ΧΑΛΚΙΔΙΚΗΣ, ΓΙΑ ΠΑΡΑΓΩΓΗ ΕΛΑΙΟΛΑΔΟΥ</t>
  </si>
  <si>
    <t>ΕΛΑΙΩΝΕΣ1000205</t>
  </si>
  <si>
    <t>ΧΡΥΣΟΛΙΑ, ΓΙΑ ΠΑΡΑΓΩΓΗ ΕΛΑΙΟΛΑΔΟΥ</t>
  </si>
  <si>
    <t>ΕΛΑΙΩΝΕΣ1000206</t>
  </si>
  <si>
    <t>SEVILLANO, ΓΙΑ ΠΑΡΑΓΩΓΗ ΕΛΑΙΟΛΑΔΟΥ</t>
  </si>
  <si>
    <t>ΕΛΑΙΩΝΕΣ1000207</t>
  </si>
  <si>
    <t>OBLONCA, ΓΙΑ ΠΑΡΑΓΩΓΗ ΕΛΑΙΟΛΑΔΟΥ</t>
  </si>
  <si>
    <t>ΕΛΑΙΩΝΕΣ1000208</t>
  </si>
  <si>
    <t>KADESH, ΓΙΑ ΠΑΡΑΓΩΓΗ ΕΛΑΙΟΛΑΔΟΥ</t>
  </si>
  <si>
    <t>ΕΛΑΙΩΝΕΣ1000209</t>
  </si>
  <si>
    <t>SOYRI, ΓΙΑ ΠΑΡΑΓΩΓΗ ΕΛΑΙΟΛΑΔΟΥ</t>
  </si>
  <si>
    <t>ΕΛΑΙΩΝΕΣ1000210</t>
  </si>
  <si>
    <t>ZARZARIEGA, ΓΙΑ ΠΑΡΑΓΩΓΗ ΕΛΑΙΟΛΑΔΟΥ</t>
  </si>
  <si>
    <t>ΕΛΑΙΩΝΕΣ1000211</t>
  </si>
  <si>
    <t>CORNICABRA, ΓΙΑ ΠΑΡΑΓΩΓΗ ΕΛΑΙΟΛΑΔΟΥ</t>
  </si>
  <si>
    <t>ΕΛΑΙΩΝΕΣ1000212</t>
  </si>
  <si>
    <t>ECIJANO, ΓΙΑ ΠΑΡΑΓΩΓΗ ΕΛΑΙΟΛΑΔΟΥ</t>
  </si>
  <si>
    <t>ΕΛΑΙΩΝΕΣ1000213</t>
  </si>
  <si>
    <t>VERDIAL, ΓΙΑ ΠΑΡΑΓΩΓΗ ΕΛΑΙΟΛΑΔΟΥ</t>
  </si>
  <si>
    <t>ΕΛΑΙΩΝΕΣ1000214</t>
  </si>
  <si>
    <t>BAROUNI, ΓΙΑ ΠΑΡΑΓΩΓΗ ΕΛΑΙΟΛΑΔΟΥ</t>
  </si>
  <si>
    <t>ΕΛΑΙΩΝΕΣ1000215</t>
  </si>
  <si>
    <t>PIACENTE, ΓΙΑ ΠΑΡΑΓΩΓΗ ΕΛΑΙΟΛΑΔΟΥ</t>
  </si>
  <si>
    <t>ΕΛΑΙΩΝΕΣ1000216</t>
  </si>
  <si>
    <t>DOLCE AGOCIA, ΓΙΑ ΠΑΡΑΓΩΓΗ ΕΛΑΙΟΛΑΔΟΥ</t>
  </si>
  <si>
    <t>ΕΛΑΙΩΝΕΣ1000217</t>
  </si>
  <si>
    <t>HOJIBLANCA, ΓΙΑ ΠΑΡΑΓΩΓΗ ΕΛΑΙΟΛΑΔΟΥ</t>
  </si>
  <si>
    <t>ΕΛΑΙΩΝΕΣ1000218</t>
  </si>
  <si>
    <t>CORATINA, ΓΙΑ ΠΑΡΑΓΩΓΗ ΕΛΑΙΟΛΑΔΟΥ</t>
  </si>
  <si>
    <t>ΕΛΑΙΩΝΕΣ1000219</t>
  </si>
  <si>
    <t>NEGRAL, ΓΙΑ ΠΑΡΑΓΩΓΗ ΕΛΑΙΟΛΑΔΟΥ</t>
  </si>
  <si>
    <t>ΕΛΑΙΩΝΕΣ1000220</t>
  </si>
  <si>
    <t>FARGA, ΓΙΑ ΠΑΡΑΓΩΓΗ ΕΛΑΙΟΛΑΔΟΥ</t>
  </si>
  <si>
    <t>ΕΛΑΙΩΝΕΣ1000221</t>
  </si>
  <si>
    <t>NABAL, ΓΙΑ ΠΑΡΑΓΩΓΗ ΕΛΑΙΟΛΑΔΟΥ</t>
  </si>
  <si>
    <t>ΕΛΑΙΩΝΕΣ1000222</t>
  </si>
  <si>
    <t>MORISCA, ΓΙΑ ΠΑΡΑΓΩΓΗ ΕΛΑΙΟΛΑΔΟΥ</t>
  </si>
  <si>
    <t>ΕΛΑΙΩΝΕΣ1000223</t>
  </si>
  <si>
    <t>EMPELTRE, ΓΙΑ ΠΑΡΑΓΩΓΗ ΕΛΑΙΟΛΑΔΟΥ</t>
  </si>
  <si>
    <t>ΕΛΑΙΩΝΕΣ1000224</t>
  </si>
  <si>
    <t>CASALIVA, ΓΙΑ ΠΑΡΑΓΩΓΗ ΕΛΑΙΟΛΑΔΟΥ</t>
  </si>
  <si>
    <t>ΕΛΑΙΩΝΕΣ1000225</t>
  </si>
  <si>
    <t>LEUCOCARPA, ΓΙΑ ΠΑΡΑΓΩΓΗ ΕΛΑΙΟΛΑΔΟΥ</t>
  </si>
  <si>
    <t>ΕΛΑΙΩΝΕΣ1000226</t>
  </si>
  <si>
    <t>CORNEZUELO, ΓΙΑ ΠΑΡΑΓΩΓΗ ΕΛΑΙΟΛΑΔΟΥ</t>
  </si>
  <si>
    <t>ΕΛΑΙΩΝΕΣ1000227</t>
  </si>
  <si>
    <t>RAZZOLA, ΓΙΑ ΠΑΡΑΓΩΓΗ ΕΛΑΙΟΛΑΔΟΥ</t>
  </si>
  <si>
    <t>ΕΛΑΙΩΝΕΣ1000228</t>
  </si>
  <si>
    <t>FECCIARO, ΓΙΑ ΠΑΡΑΓΩΓΗ ΕΛΑΙΟΛΑΔΟΥ</t>
  </si>
  <si>
    <t>ΕΛΑΙΩΝΕΣ1000229</t>
  </si>
  <si>
    <t>CUCCO, ΓΙΑ ΠΑΡΑΓΩΓΗ ΕΛΑΙΟΛΑΔΟΥ</t>
  </si>
  <si>
    <t>ΕΛΑΙΩΝΕΣ1000230</t>
  </si>
  <si>
    <t>MAURINO, ΓΙΑ ΠΑΡΑΓΩΓΗ ΕΛΑΙΟΛΑΔΟΥ</t>
  </si>
  <si>
    <t>ΕΛΑΙΩΝΕΣ1000231</t>
  </si>
  <si>
    <t>ΑΓΡΙΕΛΙΑ</t>
  </si>
  <si>
    <t>ΕΛΑΙΩΝΕΣ1000232</t>
  </si>
  <si>
    <t>ΘΙΑΚΗ (ΑΝΩ ΗΣΑΝΑ, ΘΙΑΚΟ, ΠΛΕΞΙΔΕΝΙΑ, ΝΤΟΠΙΑ), ΓΙΑ ΠΑΡΑΓΩΓΗ ΕΛΑΙΟΛΑΔΟΥ</t>
  </si>
  <si>
    <t>ΕΛΑΙΩΝΕΣ1000589</t>
  </si>
  <si>
    <t>ΑΓΙΟΡΙΤΙΚΗ, ΓΙΑ ΠΑΡΑΓΩΓΗ ΕΛΑΙΟΛΑΔΟΥ</t>
  </si>
  <si>
    <t>ΕΛΑΙΩΝΕΣ1000648</t>
  </si>
  <si>
    <t>BLANQUETA, ΓΙΑ ΠΑΡΑΓΩΓΗ ΕΛΑΙΟΛΑΔΟΥ</t>
  </si>
  <si>
    <t>ΕΛΑΙΩΝΕΣ1000649</t>
  </si>
  <si>
    <t>BLANQUETA DE ELVAS, ΓΙΑ ΠΑΡΑΓΩΓΗ ΕΛΑΙΟΛΑΔΟΥ</t>
  </si>
  <si>
    <t>ΕΛΑΙΩΝΕΣ1000650</t>
  </si>
  <si>
    <t>BOUTEILLAN, ΓΙΑ ΠΑΡΑΓΩΓΗ ΕΛΑΙΟΛΑΔΟΥ</t>
  </si>
  <si>
    <t>ΕΛΑΙΩΝΕΣ1000651</t>
  </si>
  <si>
    <t>ΓΑΛΑΤΣΑΝΙΚΗ, ΓΙΑ ΠΑΡΑΓΩΓΗ ΕΛΑΙΟΛΑΔΟΥ</t>
  </si>
  <si>
    <t>ΕΛΑΙΩΝΕΣ1000652</t>
  </si>
  <si>
    <t>ΖΑΚΥΝΘΟΥ, ΓΙΑ ΠΑΡΑΓΩΓΗ ΕΛΑΙΟΛΑΔΟΥ</t>
  </si>
  <si>
    <t>ΕΛΑΙΩΝΕΣ1000653</t>
  </si>
  <si>
    <t>FRANCIVENTO, ΓΙΑ ΠΑΡΑΓΩΓΗ ΕΛΑΙΟΛΑΔΟΥ</t>
  </si>
  <si>
    <t>ΕΛΑΙΩΝΕΣ1000654</t>
  </si>
  <si>
    <t>GORDAL SEVILLANA, ΓΙΑ ΠΑΡΑΓΩΓΗ ΕΛΑΙΟΛΑΔΟΥ</t>
  </si>
  <si>
    <t>ΕΛΑΙΩΝΕΣ1000655</t>
  </si>
  <si>
    <t>GRAPPOLO, ΓΙΑ ΠΑΡΑΓΩΓΗ ΕΛΑΙΟΛΑΔΟΥ</t>
  </si>
  <si>
    <t>ΕΛΑΙΩΝΕΣ1000656</t>
  </si>
  <si>
    <t>LECHIO DEL CORNO, ΓΙΑ ΠΑΡΑΓΩΓΗ ΕΛΑΙΟΛΑΔΟΥ</t>
  </si>
  <si>
    <t>ΕΛΑΙΩΝΕΣ1000657</t>
  </si>
  <si>
    <t>ΛΕΥΚΑΔΑΣ ΑΣΠΡΟΛΙΑ, ΓΙΑ ΠΑΡΑΓΩΓΗ ΕΛΑΙΟΛΑΔΟΥ</t>
  </si>
  <si>
    <t>ΕΛΑΙΩΝΕΣ1000658</t>
  </si>
  <si>
    <t>MANZANILLA DE CARMONA, ΓΙΑ ΠΑΡΑΓΩΓΗ ΕΛΑΙΟΛΑΔΟΥ</t>
  </si>
  <si>
    <t>ΕΛΑΙΩΝΕΣ1000659</t>
  </si>
  <si>
    <t>MANZANILLA ISR., ΓΙΑ ΠΑΡΑΓΩΓΗ ΕΛΑΙΟΛΑΔΟΥ</t>
  </si>
  <si>
    <t>ΕΛΑΙΩΝΕΣ1000660</t>
  </si>
  <si>
    <t>MANZANILLA NORMAL, ΓΙΑ ΠΑΡΑΓΩΓΗ ΕΛΑΙΟΛΑΔΟΥ</t>
  </si>
  <si>
    <t>ΕΛΑΙΩΝΕΣ1000661</t>
  </si>
  <si>
    <t>MAROCAN PICHOLINE, ΓΙΑ ΠΑΡΑΓΩΓΗ ΕΛΑΙΟΛΑΔΟΥ</t>
  </si>
  <si>
    <t>ΕΛΑΙΩΝΕΣ1000662</t>
  </si>
  <si>
    <t>ΜΑΡΩΝΕΙΑΣ, ΓΙΑ ΠΑΡΑΓΩΓΗ ΕΛΑΙΟΛΑΔΟΥ</t>
  </si>
  <si>
    <t>ΕΛΑΙΩΝΕΣ1000663</t>
  </si>
  <si>
    <t>MERHAVIA, ΓΙΑ ΠΑΡΑΓΩΓΗ ΕΛΑΙΟΛΑΔΟΥ</t>
  </si>
  <si>
    <t>ΕΛΑΙΩΝΕΣ1000664</t>
  </si>
  <si>
    <t>NASUICHI, ΓΙΑ ΠΑΡΑΓΩΓΗ ΕΛΑΙΟΛΑΔΟΥ</t>
  </si>
  <si>
    <t>ΕΛΑΙΩΝΕΣ1000665</t>
  </si>
  <si>
    <t>NEVADILLO BLANCO, ΓΙΑ ΠΑΡΑΓΩΓΗ ΕΛΑΙΟΛΑΔΟΥ</t>
  </si>
  <si>
    <t>ΕΛΑΙΩΝΕΣ1000666</t>
  </si>
  <si>
    <t>NEVADILLO NEGRO, ΓΙΑ ΠΑΡΑΓΩΓΗ ΕΛΑΙΟΛΑΔΟΥ</t>
  </si>
  <si>
    <t>ΕΛΑΙΩΝΕΣ1000667</t>
  </si>
  <si>
    <t>OLIVA DE CERIGNOLA, ΓΙΑ ΠΑΡΑΓΩΓΗ ΕΛΑΙΟΛΑΔΟΥ</t>
  </si>
  <si>
    <t>ΕΛΑΙΩΝΕΣ1000668</t>
  </si>
  <si>
    <t>PENDOLINO, ΓΙΑ ΠΑΡΑΓΩΓΗ ΕΛΑΙΟΛΑΔΟΥ</t>
  </si>
  <si>
    <t>ΕΛΑΙΩΝΕΣ1000669</t>
  </si>
  <si>
    <t>ΡΑΧΑΤΗ, ΓΙΑ ΠΑΡΑΓΩΓΗ ΕΛΑΙΟΛΑΔΟΥ</t>
  </si>
  <si>
    <t>ΕΛΑΙΩΝΕΣ1000670</t>
  </si>
  <si>
    <t>REAL SEVILLANA, ΓΙΑ ΠΑΡΑΓΩΓΗ ΕΛΑΙΟΛΑΔΟΥ</t>
  </si>
  <si>
    <t>ΕΛΑΙΩΝΕΣ1000671</t>
  </si>
  <si>
    <t>ΡΟΒΙΩΝ (ΠΡΑΣΙΝΗ), ΓΙΑ ΠΑΡΑΓΩΓΗ ΕΛΑΙΟΛΑΔΟΥ</t>
  </si>
  <si>
    <t>ΕΛΑΙΩΝΕΣ1000672</t>
  </si>
  <si>
    <t>ROSCIOLA, ΓΙΑ ΠΑΡΑΓΩΓΗ ΕΛΑΙΟΛΑΔΟΥ</t>
  </si>
  <si>
    <t>ΕΛΑΙΩΝΕΣ1000673</t>
  </si>
  <si>
    <t>SDE ELIAO, ΓΙΑ ΠΑΡΑΓΩΓΗ ΕΛΑΙΟΛΑΔΟΥ</t>
  </si>
  <si>
    <t>ΕΛΑΙΩΝΕΣ1000674</t>
  </si>
  <si>
    <t>SORANI, ΓΙΑ ΠΑΡΑΓΩΓΗ ΕΛΑΙΟΛΑΔΟΥ</t>
  </si>
  <si>
    <t>ΕΛΑΙΩΝΕΣ1000675</t>
  </si>
  <si>
    <t>TEMPIANILLO LUCENA, ΓΙΑ ΠΑΡΑΓΩΓΗ ΕΛΑΙΟΛΑΔΟΥ</t>
  </si>
  <si>
    <t>ΕΛΑΙΩΝΕΣ1000676</t>
  </si>
  <si>
    <t>ZORZALENO, ΓΙΑ ΠΑΡΑΓΩΓΗ ΕΛΑΙΟΛΑΔΟΥ</t>
  </si>
  <si>
    <t>ΕΛΑΙΩΝΕΣ1000677</t>
  </si>
  <si>
    <t>ΧΩΡΙΣ ΚΑΛΛΙΕΡΓΕΙΑ, ΓΙΑ ΠΑΡΑΓΩΓΗ ΕΛΑΙΟΛΑΔΟΥ</t>
  </si>
  <si>
    <t>ΕΛΑΙΩΝΕΣ1001000</t>
  </si>
  <si>
    <t>ΕΛΑΙΩΝΕΣ ΓΙΑ ΠΑΡΑΓΩΓΗ ΕΛΑΙΟΛΑΔΟΥ - ΛΟΙΠΕΣ, ΓΙΑ ΠΑΡΑΓΩΓΗ ΕΛΑΙΟΛΑΔΟΥ</t>
  </si>
  <si>
    <t>ΕΛΑΙΩΝΕΣ1008191</t>
  </si>
  <si>
    <t>ΑΜΦΙΣΣΗΣ (ΒΟΛΙΩΤΙΚΗ, ΠΗΛΙΟΥ, ΣΤΥΛΙΔΟΣ, ΑΓΡΙΝΙΟΥ)</t>
  </si>
  <si>
    <t>ΕΛΑΙΩΝΕΣ153</t>
  </si>
  <si>
    <t>ΑΜΥΓΔΑΛΟΛΗΑ (ΣΤΡΑΒΟΜΥΤΑ, ΚΟΥΡΟΜΥΤΑ)</t>
  </si>
  <si>
    <t>ΕΛΑΙΩΝΕΣ154</t>
  </si>
  <si>
    <t>ΑΔΡΑΜΥΤΤΙΝΗ (ΑΔΡΑΜΥΤΙΚΗ ΛΕΣΒΟΥ, ΑΙΒΑΛΙΩΤΙΚΗ, ΦΡΑΓΚ)</t>
  </si>
  <si>
    <t>ΕΛΑΙΩΝΕΣ155</t>
  </si>
  <si>
    <t>ΑΓΟΥΡΟΜΑΝΑΚΟΛΙΑ (ΑΓΟΥΡΟΜΑΝΑΚΟ, ΑΓΟΥΡΟΜΑΝΑΚΙ)</t>
  </si>
  <si>
    <t>ΕΛΑΙΩΝΕΣ156</t>
  </si>
  <si>
    <t>ARBEQUINE (ARBEQUINA, ARBEQUIN)</t>
  </si>
  <si>
    <t>ΕΛΑΙΩΝΕΣ157</t>
  </si>
  <si>
    <t>ΒΑΣΙΛΙΚΑΔΑ (ΒΑΣΙΛΙΚΗ)</t>
  </si>
  <si>
    <t>ΕΛΑΙΩΝΕΣ158</t>
  </si>
  <si>
    <t>ΒΑΛΑΝΟΛΙΑ (ΜΥΤΙΛΙΝΙΑ, ΚΟΛΟΒΗ, ΒΑΛΑΝΑ)</t>
  </si>
  <si>
    <t>ΕΛΑΙΩΝΕΣ159</t>
  </si>
  <si>
    <t>ΓΑΙΔΟΥΡΕΛΙΑ (ΔΑΜΑΣΚΗΝΑΤΗ, ΑΔΡΟΚΑΡΠΗ)</t>
  </si>
  <si>
    <t>ΕΛΑΙΩΝΕΣ160</t>
  </si>
  <si>
    <t>ΔΑΜΑΣΚΗΝΑΤΗ ΛΕΣΒΟΥ</t>
  </si>
  <si>
    <t>ΕΛΑΙΩΝΕΣ161</t>
  </si>
  <si>
    <t>ΔΑΦΝΕΛΙA  (ΔΑΦΝΟΚΑΡΠΗ)</t>
  </si>
  <si>
    <t>ΕΛΑΙΩΝΕΣ162</t>
  </si>
  <si>
    <t>GORDAL</t>
  </si>
  <si>
    <t>ΕΛΑΙΩΝΕΣ163</t>
  </si>
  <si>
    <t>ΘΡΟΥΜΠΑ (ΘΡΟΥΜΠΟΛΙΑ, ΘΑΣΙΤΙΚΗ, ΛΑΔΟΛΙΑ, ΘΑΣΟΥ)</t>
  </si>
  <si>
    <t>ΕΛΑΙΩΝΕΣ164</t>
  </si>
  <si>
    <t>ΚΟΥΤΣΟΥΡΕΛΙΑ (ΚΟΥΡΤΕΛΙΑ,ΚΟΥΡΕΛΙΑ)</t>
  </si>
  <si>
    <t>ΕΛΑΙΩΝΕΣ165</t>
  </si>
  <si>
    <t>ΚΟΡΩΝΕΙΚΗ (ΚΟΡΩΝΗ, ΒΑΤΣΙΚΗ, ΚΡΗΤΙΚΙΑ, ΚΟΡΩΝΙΑ ΚΡΗ)</t>
  </si>
  <si>
    <t>ΕΛΑΙΩΝΕΣ166</t>
  </si>
  <si>
    <t>ΚΑΛΟΚΑΙΡΙΔΑ (ΠΡΩΙΜΗ)</t>
  </si>
  <si>
    <t>ΕΛΑΙΩΝΕΣ167</t>
  </si>
  <si>
    <t>ΚΑΛΑΜΩΝ (ΚΑΛΑΜΑΤΙΑΝΗ, ΤΣΙΓΚΟΛΙ, ΑΕΤΟΝΥΧΙ)</t>
  </si>
  <si>
    <t>ΕΛΑΙΩΝΕΣ168</t>
  </si>
  <si>
    <t>ΚΟΛΥΜΠΑΔΑ</t>
  </si>
  <si>
    <t>ΕΛΑΙΩΝΕΣ169</t>
  </si>
  <si>
    <t>ΚΑΡΟΛΗΑ</t>
  </si>
  <si>
    <t>ΕΛΑΙΩΝΕΣ170</t>
  </si>
  <si>
    <t>ΚΟΘΡΕΙΚΗ (ΜΑΝΑΚΙ, ΜΑΝΑΚΟΛΙΑ, ΓΛΥΚΟΜΑΝΑΚΟ)</t>
  </si>
  <si>
    <t>ΕΛΑΙΩΝΕΣ171</t>
  </si>
  <si>
    <t>ΚΑΡΥΔΟΛΙΑ</t>
  </si>
  <si>
    <t>ΕΛΑΙΩΝΕΣ172</t>
  </si>
  <si>
    <t>ΚΑΡΥΔΟΛΙΑ ΣΠΕΤΣΩΝ</t>
  </si>
  <si>
    <t>ΕΛΑΙΩΝΕΣ173</t>
  </si>
  <si>
    <t>ΚΛΩΝΑΡΕΣ ΚΟΡΩΠΙΟΥ</t>
  </si>
  <si>
    <t>ΕΛΑΙΩΝΕΣ174</t>
  </si>
  <si>
    <t>ΚΑΡΟΛΙΑ ΙΣΤΙΑΙΑΣ</t>
  </si>
  <si>
    <t>ΕΛΑΙΩΝΕΣ175</t>
  </si>
  <si>
    <t>ΚΟΛΥΡΕΙΚΗ</t>
  </si>
  <si>
    <t>ΕΛΑΙΩΝΕΣ176</t>
  </si>
  <si>
    <t>LECHINO (LECHIN DE SEVILLA)</t>
  </si>
  <si>
    <t>ΕΛΑΙΩΝΕΣ177</t>
  </si>
  <si>
    <t>ΛΙΑΝΟΛΗΑ ΚΕΡΚΥΡΑΣ (ΠΡΕΒΕΖΑΝΑ, ΝΕΡΟΛΙΑ, ΚΑΡΦΟΛΙΑ)</t>
  </si>
  <si>
    <t>ΕΛΑΙΩΝΕΣ178</t>
  </si>
  <si>
    <t>LUCQUES</t>
  </si>
  <si>
    <t>ΕΛΑΙΩΝΕΣ179</t>
  </si>
  <si>
    <t>ΜΑΥΡΕΛΗΑ (ΜΕΘΩΝΙΑ, ΜΑΥΡΟΛΙΑ, ΜΟΥΤΡΟΛΙΑ)</t>
  </si>
  <si>
    <t>ΕΛΑΙΩΝΕΣ180</t>
  </si>
  <si>
    <t>ΜΥΡΤΟΛΗΑ</t>
  </si>
  <si>
    <t>ΕΛΑΙΩΝΕΣ181</t>
  </si>
  <si>
    <t>MEXINE</t>
  </si>
  <si>
    <t>ΕΛΑΙΩΝΕΣ182</t>
  </si>
  <si>
    <t>ΜΕΓΑΡΕΙΤΙΚΗ (ΠΕΡΑΧΩΡΙΤΙΚΗ, ΒΟΙΒΟΔΙΤΙΚΗ, ΒΟΒΩΔΗ)</t>
  </si>
  <si>
    <t>ΕΛΑΙΩΝΕΣ183</t>
  </si>
  <si>
    <t>MANZANILLA JAEN</t>
  </si>
  <si>
    <t>ΕΛΑΙΩΝΕΣ184</t>
  </si>
  <si>
    <t>MANZANILLA DOS HERMANOS</t>
  </si>
  <si>
    <t>ΕΛΑΙΩΝΕΣ185</t>
  </si>
  <si>
    <t>MANZANILLA</t>
  </si>
  <si>
    <t>ΕΛΑΙΩΝΕΣ186</t>
  </si>
  <si>
    <t>ΜΕΛΟΛΙΑ (ΕΛΙΑ ΗΔΙΚΑΡΠΗ)</t>
  </si>
  <si>
    <t>ΕΛΑΙΩΝΕΣ187</t>
  </si>
  <si>
    <t>MISSION</t>
  </si>
  <si>
    <t>ΕΛΑΙΩΝΕΣ188</t>
  </si>
  <si>
    <t>PICUAL (NEVADILLO BLANCO)</t>
  </si>
  <si>
    <t>ΕΛΑΙΩΝΕΣ189</t>
  </si>
  <si>
    <t>ΠΑΤΡΙΝΗ</t>
  </si>
  <si>
    <t>ΕΛΑΙΩΝΕΣ190</t>
  </si>
  <si>
    <t>PICHOLIN ή PICHOLINE</t>
  </si>
  <si>
    <t>ΕΛΑΙΩΝΕΣ191</t>
  </si>
  <si>
    <t>ΠΙΚΡΟΛΙΑ</t>
  </si>
  <si>
    <t>ΕΛΑΙΩΝΕΣ192</t>
  </si>
  <si>
    <t>REDDING PICHOLINE</t>
  </si>
  <si>
    <t>ΕΛΑΙΩΝΕΣ193</t>
  </si>
  <si>
    <t>ROUSETTE</t>
  </si>
  <si>
    <t>ΕΛΑΙΩΝΕΣ194</t>
  </si>
  <si>
    <t>SALONENQUE</t>
  </si>
  <si>
    <t>ΕΛΑΙΩΝΕΣ195</t>
  </si>
  <si>
    <t>ΣΤΡΟΓΓΥΛΟΛΙΑ (ΓΑΛΑΝΗ, ΠΡΑΣΙΝΟΛΙΑ)</t>
  </si>
  <si>
    <t>ΕΛΑΙΩΝΕΣ196</t>
  </si>
  <si>
    <t>S. FRANCESCO</t>
  </si>
  <si>
    <t>ΕΛΑΙΩΝΕΣ197</t>
  </si>
  <si>
    <t>S. AGOSTINO (S. AUGUSTINE)</t>
  </si>
  <si>
    <t>ΕΛΑΙΩΝΕΣ198</t>
  </si>
  <si>
    <t>SIGOISE</t>
  </si>
  <si>
    <t>ΕΛΑΙΩΝΕΣ199</t>
  </si>
  <si>
    <t>ΤΡΑΓΟΛΙΑ</t>
  </si>
  <si>
    <t>ΕΛΑΙΩΝΕΣ200</t>
  </si>
  <si>
    <t>ΑΜΦΙΣΣΗΣ (ΒΟΛΙΩΤΙΚΗ, ΠΗΛΙΟΥ, ΣΤΥΛΙΔΟΣ, ΑΓΡΙΝΙΟΥ), ΓΙΑ ΠΑΡΑΓΩΓΗ ΕΠΙΤΡΑΠΕΖΙΑΣ</t>
  </si>
  <si>
    <t>ΕΛΑΙΩΝΕΣ2000153</t>
  </si>
  <si>
    <t>ΑΜΥΓΔΑΛΟΛΗΑ (ΣΤΡΑΒΟΜΥΤΑ, ΚΟΥΡΟΜΥΤΑ), ΓΙΑ ΠΑΡΑΓΩΓΗ ΕΠΙΤΡΑΠΕΖΙΑΣ</t>
  </si>
  <si>
    <t>ΕΛΑΙΩΝΕΣ2000154</t>
  </si>
  <si>
    <t>ΑΔΡΑΜΥΤΤΙΝΗ (ΑΔΡΑΜΥΤΙΚΗ ΛΕΣΒΟΥ, ΑΙΒΑΛΙΩΤΙΚΗ, ΦΡΑΓΚ), ΓΙΑ ΠΑΡΑΓΩΓΗ ΕΠΙΤΡΑΠΕΖΙΑΣ</t>
  </si>
  <si>
    <t>ΕΛΑΙΩΝΕΣ2000155</t>
  </si>
  <si>
    <t>ΑΓΟΥΡΟΜΑΝΑΚΟΛΙΑ (ΑΓΟΥΡΟΜΑΝΑΚΟ, ΑΓΟΥΡΟΜΑΝΑΚΙ), ΓΙΑ ΠΑΡΑΓΩΓΗ ΕΠΙΤΡΑΠΕΖΙΑΣ</t>
  </si>
  <si>
    <t>ΕΛΑΙΩΝΕΣ2000156</t>
  </si>
  <si>
    <t>ARBEQUINE (ARBEQUINA, ARBEQUIN), ΓΙΑ ΠΑΡΑΓΩΓΗ ΕΠΙΤΡΑΠΕΖΙΑΣ</t>
  </si>
  <si>
    <t>ΕΛΑΙΩΝΕΣ2000157</t>
  </si>
  <si>
    <t>ΒΑΣΙΛΙΚΑΔΑ (ΒΑΣΙΛΙΚΗ), ΓΙΑ ΠΑΡΑΓΩΓΗ ΕΠΙΤΡΑΠΕΖΙΑΣ</t>
  </si>
  <si>
    <t>ΕΛΑΙΩΝΕΣ2000158</t>
  </si>
  <si>
    <t>ΒΑΛΑΝΟΛΙΑ (ΜΥΤΙΛΙΝΙΑ, ΚΟΛΟΒΗ,  ΒΑΛΑΝΑ), ΓΙΑ ΠΑΡΑΓΩΓΗ ΕΠΙΤΡΑΠΕΖΙΑΣ</t>
  </si>
  <si>
    <t>ΕΛΑΙΩΝΕΣ2000159</t>
  </si>
  <si>
    <t>ΓΑΙΔΟΥΡΕΛΙΑ (ΔΑΜΑΣΚΗΝΑΤΗ, ΑΔΡΟΚΑΡΠΗ), ΓΙΑ ΠΑΡΑΓΩΓΗ ΕΠΙΤΡΑΠΕΖΙΑΣ</t>
  </si>
  <si>
    <t>ΕΛΑΙΩΝΕΣ2000160</t>
  </si>
  <si>
    <t>ΔΑΜΑΣΚΗΝΑΤΗ ΛΕΣΒΟΥ, ΓΙΑ ΠΑΡΑΓΩΓΗ ΕΠΙΤΡΑΠΕΖΙΑΣ</t>
  </si>
  <si>
    <t>ΕΛΑΙΩΝΕΣ2000161</t>
  </si>
  <si>
    <t>ΔΑΦΝΕΛΙA (ΔΑΦΝΟΚΑΡΠΗ), ΓΙΑ ΠΑΡΑΓΩΓΗ ΕΠΙΤΡΑΠΕΖΙΑΣ</t>
  </si>
  <si>
    <t>ΕΛΑΙΩΝΕΣ2000162</t>
  </si>
  <si>
    <t>GORDAL, ΓΙΑ ΠΑΡΑΓΩΓΗ ΕΠΙΤΡΑΠΕΖΙΑΣ</t>
  </si>
  <si>
    <t>ΕΛΑΙΩΝΕΣ2000163</t>
  </si>
  <si>
    <t>ΘΡΟΥΜΠΑ (ΘΡΟΥΜΠΟΛΙΑ, ΘΑΣΙΤΙΚΗ,  ΛΑΔΟΛΙΑ,  ΘΑΣΟΥ), ΓΙΑ ΠΑΡΑΓΩΓΗ ΕΠΙΤΡΑΠΕΖΙΑΣ</t>
  </si>
  <si>
    <t>ΕΛΑΙΩΝΕΣ2000164</t>
  </si>
  <si>
    <t>ΚΟΥΤΣΟΥΡΕΛΙΑ (ΚΟΥΡΤΕΛΙΑ, ΚΟΥΡΕΛΙΑ), ΓΙΑ ΠΑΡΑΓΩΓΗ ΕΠΙΤΡΑΠΕΖΙΑΣ</t>
  </si>
  <si>
    <t>ΕΛΑΙΩΝΕΣ2000165</t>
  </si>
  <si>
    <t>ΚΟΡΩΝΕΙΚΗ (ΚΟΡΩΝΗ, ΒΑΤΣΙΚΗ, ΚΡΗΤΙΚΙΑ, ΚΟΡΩΝΙΑ ΚΡΗ), ΓΙΑ ΠΑΡΑΓΩΓΗ ΕΠΙΤΡΑΠΕΖΙΑΣ</t>
  </si>
  <si>
    <t>ΕΛΑΙΩΝΕΣ2000166</t>
  </si>
  <si>
    <t>ΚΑΛΟΚΑΙΡΙΔΑ (ΠΡΩΙΜΗ), ΓΙΑ ΠΑΡΑΓΩΓΗ ΕΠΙΤΡΑΠΕΖΙΑΣ</t>
  </si>
  <si>
    <t>ΕΛΑΙΩΝΕΣ2000167</t>
  </si>
  <si>
    <t>ΚΑΛΑΜΩΝ (ΚΑΛΑΜΑΤΙΑΝΗ, ΤΣΙΓΚΟΛΙ,  ΑΕΤΟΝΥΧΙ), ΓΙΑ ΠΑΡΑΓΩΓΗ ΕΠΙΤΡΑΠΕΖΙΑΣ</t>
  </si>
  <si>
    <t>ΕΛΑΙΩΝΕΣ2000168</t>
  </si>
  <si>
    <t>ΚΟΛΥΜΠΑΔΑ, ΓΙΑ ΠΑΡΑΓΩΓΗ ΕΠΙΤΡΑΠΕΖΙΑΣ</t>
  </si>
  <si>
    <t>ΕΛΑΙΩΝΕΣ2000169</t>
  </si>
  <si>
    <t>ΚΑΡΟΛΗΑ, ΓΙΑ ΠΑΡΑΓΩΓΗ ΕΠΙΤΡΑΠΕΖΙΑΣ</t>
  </si>
  <si>
    <t>ΕΛΑΙΩΝΕΣ2000170</t>
  </si>
  <si>
    <t>ΚΟΘΡΕΙΚΗ (ΜΑΝΑΚΙ, ΜΑΝΑΚΟΛΙΑ, ΓΛΥΚΟΜΑΝΑΚΟ), ΓΙΑ ΠΑΡΑΓΩΓΗ ΕΠΙΤΡΑΠΕΖΙΑΣ</t>
  </si>
  <si>
    <t>ΕΛΑΙΩΝΕΣ2000171</t>
  </si>
  <si>
    <t>ΚΑΡΥΔΟΛΙΑ, ΓΙΑ ΠΑΡΑΓΩΓΗ ΕΠΙΤΡΑΠΕΖΙΑΣ</t>
  </si>
  <si>
    <t>ΕΛΑΙΩΝΕΣ2000172</t>
  </si>
  <si>
    <t>ΚΑΡΥΔΟΛΙΑ ΣΠΕΤΣΩΝ, ΓΙΑ ΠΑΡΑΓΩΓΗ ΕΠΙΤΡΑΠΕΖΙΑΣ</t>
  </si>
  <si>
    <t>ΕΛΑΙΩΝΕΣ2000173</t>
  </si>
  <si>
    <t>ΚΛΩΝΑΡΕΣ ΚΟΡΩΠΙΟΥ, ΓΙΑ ΠΑΡΑΓΩΓΗ ΕΠΙΤΡΑΠΕΖΙΑΣ</t>
  </si>
  <si>
    <t>ΕΛΑΙΩΝΕΣ2000174</t>
  </si>
  <si>
    <t>ΚΑΡΟΛΙΑ ΙΣΤΙΑΙΑΣ, ΓΙΑ ΠΑΡΑΓΩΓΗ ΕΠΙΤΡΑΠΕΖΙΑΣ</t>
  </si>
  <si>
    <t>ΕΛΑΙΩΝΕΣ2000175</t>
  </si>
  <si>
    <t>ΚΟΛΥΡΕΙΚΗ, ΓΙΑ ΠΑΡΑΓΩΓΗ ΕΠΙΤΡΑΠΕΖΙΑΣ</t>
  </si>
  <si>
    <t>ΕΛΑΙΩΝΕΣ2000176</t>
  </si>
  <si>
    <t>LECHINO (LECHIN DE SEVILLA), ΓΙΑ ΠΑΡΑΓΩΓΗ ΕΠΙΤΡΑΠΕΖΙΑΣ</t>
  </si>
  <si>
    <t>ΕΛΑΙΩΝΕΣ2000177</t>
  </si>
  <si>
    <t>ΛΙΑΝΟΛΗΑ ΚΕΡΚΥΡΑΣ (ΠΡΕΒΕΖΑΝΑ, ΝΕΡΟΛΙΑ,  ΚΑΡΦΟΛΙΑ), ΓΙΑ ΠΑΡΑΓΩΓΗ ΕΠΙΤΡΑΠΕΖΙΑΣ</t>
  </si>
  <si>
    <t>ΕΛΑΙΩΝΕΣ2000178</t>
  </si>
  <si>
    <t>LUCQUES, ΓΙΑ ΠΑΡΑΓΩΓΗ ΕΠΙΤΡΑΠΕΖΙΑΣ</t>
  </si>
  <si>
    <t>ΕΛΑΙΩΝΕΣ2000179</t>
  </si>
  <si>
    <t>ΜΑΥΡΕΛΗΑ (ΜΕΘΩΝΙΑ, ΜΑΥΡΟΛΙΑ,  ΜΟΥΤΡΟΛΙΑ), ΓΙΑ ΠΑΡΑΓΩΓΗ ΕΠΙΤΡΑΠΕΖΙΑΣ</t>
  </si>
  <si>
    <t>ΕΛΑΙΩΝΕΣ2000180</t>
  </si>
  <si>
    <t>ΜΥΡΤΟΛΗΑ, ΓΙΑ ΠΑΡΑΓΩΓΗ ΕΠΙΤΡΑΠΕΖΙΑΣ</t>
  </si>
  <si>
    <t>ΕΛΑΙΩΝΕΣ2000181</t>
  </si>
  <si>
    <t>MEXINE, ΓΙΑ ΠΑΡΑΓΩΓΗ ΕΠΙΤΡΑΠΕΖΙΑΣ</t>
  </si>
  <si>
    <t>ΕΛΑΙΩΝΕΣ2000182</t>
  </si>
  <si>
    <t>ΜΕΓΑΡΕΙΤΙΚΗ (ΠΕΡΑΧΩΡΙΤΙΚΗ, ΒΟΙΒΟΔΙΤΙΚΗ,  ΒΟΒΩΔΗ), ΓΙΑ ΠΑΡΑΓΩΓΗ ΕΠΙΤΡΑΠΕΖΙΑΣ</t>
  </si>
  <si>
    <t>ΕΛΑΙΩΝΕΣ2000183</t>
  </si>
  <si>
    <t>MANZANILLA JAEN, ΓΙΑ ΠΑΡΑΓΩΓΗ ΕΠΙΤΡΑΠΕΖΙΑΣ</t>
  </si>
  <si>
    <t>ΕΛΑΙΩΝΕΣ2000184</t>
  </si>
  <si>
    <t>MANZANILLA DOS HERMANOS, ΓΙΑ ΠΑΡΑΓΩΓΗ ΕΠΙΤΡΑΠΕΖΙΑΣ</t>
  </si>
  <si>
    <t>ΕΛΑΙΩΝΕΣ2000185</t>
  </si>
  <si>
    <t>MANZANILLA, ΓΙΑ ΠΑΡΑΓΩΓΗ ΕΠΙΤΡΑΠΕΖΙΑΣ</t>
  </si>
  <si>
    <t>ΕΛΑΙΩΝΕΣ2000186</t>
  </si>
  <si>
    <t>ΜΕΛΟΛΙΑ (ΕΛΙΑ ΗΔΙΚΑΡΠΗ), ΓΙΑ ΠΑΡΑΓΩΓΗ ΕΠΙΤΡΑΠΕΖΙΑΣ</t>
  </si>
  <si>
    <t>ΕΛΑΙΩΝΕΣ2000187</t>
  </si>
  <si>
    <t>MISSION, ΓΙΑ ΠΑΡΑΓΩΓΗ ΕΠΙΤΡΑΠΕΖΙΑΣ</t>
  </si>
  <si>
    <t>ΕΛΑΙΩΝΕΣ2000188</t>
  </si>
  <si>
    <t>PICUAL (NEVADILLO BLANCO), ΓΙΑ ΠΑΡΑΓΩΓΗ ΕΠΙΤΡΑΠΕΖΙΑΣ</t>
  </si>
  <si>
    <t>ΕΛΑΙΩΝΕΣ2000189</t>
  </si>
  <si>
    <t>ΠΑΤΡΙΝΗ, ΓΙΑ ΠΑΡΑΓΩΓΗ ΕΠΙΤΡΑΠΕΖΙΑΣ</t>
  </si>
  <si>
    <t>ΕΛΑΙΩΝΕΣ2000190</t>
  </si>
  <si>
    <t>PICHOLIN ή PICHOLINE, ΓΙΑ ΠΑΡΑΓΩΓΗ ΕΠΙΤΡΑΠΕΖΙΑΣ</t>
  </si>
  <si>
    <t>ΕΛΑΙΩΝΕΣ2000191</t>
  </si>
  <si>
    <t>ΠΙΚΡΟΛΙΑ, ΓΙΑ ΠΑΡΑΓΩΓΗ ΕΠΙΤΡΑΠΕΖΙΑΣ</t>
  </si>
  <si>
    <t>ΕΛΑΙΩΝΕΣ2000192</t>
  </si>
  <si>
    <t>REDDING PICHOLINE, ΓΙΑ ΠΑΡΑΓΩΓΗ ΕΠΙΤΡΑΠΕΖΙΑΣ</t>
  </si>
  <si>
    <t>ΕΛΑΙΩΝΕΣ2000193</t>
  </si>
  <si>
    <t>ROUSETTE, ΓΙΑ ΠΑΡΑΓΩΓΗ ΕΠΙΤΡΑΠΕΖΙΑΣ</t>
  </si>
  <si>
    <t>ΕΛΑΙΩΝΕΣ2000194</t>
  </si>
  <si>
    <t>SALONENQUE, ΓΙΑ ΠΑΡΑΓΩΓΗ ΕΠΙΤΡΑΠΕΖΙΑΣ</t>
  </si>
  <si>
    <t>ΕΛΑΙΩΝΕΣ2000195</t>
  </si>
  <si>
    <t>ΣΤΡΟΓΓΥΛΟΛΙΑ (ΓΑΛΑΝΗ, ΠΡΑΣΙΝΟΛΙΑ), ΓΙΑ ΠΑΡΑΓΩΓΗ ΕΠΙΤΡΑΠΕΖΙΑΣ</t>
  </si>
  <si>
    <t>ΕΛΑΙΩΝΕΣ2000196</t>
  </si>
  <si>
    <t>S. FRANCESCO, ΓΙΑ ΠΑΡΑΓΩΓΗ ΕΠΙΤΡΑΠΕΖΙΑΣ</t>
  </si>
  <si>
    <t>ΕΛΑΙΩΝΕΣ2000197</t>
  </si>
  <si>
    <t>S. AGOSTINO (S. AUGUSTINE), ΓΙΑ ΠΑΡΑΓΩΓΗ ΕΠΙΤΡΑΠΕΖΙΑΣ</t>
  </si>
  <si>
    <t>ΕΛΑΙΩΝΕΣ2000198</t>
  </si>
  <si>
    <t>SIGOISE, ΓΙΑ ΠΑΡΑΓΩΓΗ ΕΠΙΤΡΑΠΕΖΙΑΣ</t>
  </si>
  <si>
    <t>ΕΛΑΙΩΝΕΣ2000199</t>
  </si>
  <si>
    <t>ΤΡΑΓΟΛΙΑ, ΓΙΑ ΠΑΡΑΓΩΓΗ ΕΠΙΤΡΑΠΕΖΙΑΣ</t>
  </si>
  <si>
    <t>ΕΛΑΙΩΝΕΣ2000200</t>
  </si>
  <si>
    <t>ΤΣΟΥΝΑΤΗ (ΜΑΤΣΟΛΗΑ, ΑΘΗΝΟΛΙΑ), ΓΙΑ ΠΑΡΑΓΩΓΗ ΕΠΙΤΡΑΠΕΖΙΑΣ</t>
  </si>
  <si>
    <t>ΕΛΑΙΩΝΕΣ2000201</t>
  </si>
  <si>
    <t>FRANTOIO, ΓΙΑ ΠΑΡΑΓΩΓΗ ΕΠΙΤΡΑΠΕΖΙΑΣ</t>
  </si>
  <si>
    <t>ΕΛΑΙΩΝΕΣ2000202</t>
  </si>
  <si>
    <t>ΧΑΛΚΙΔΙΚΗΣ, ΓΙΑ ΠΑΡΑΓΩΓΗ ΕΠΙΤΡΑΠΕΖΙΑΣ</t>
  </si>
  <si>
    <t>ΕΛΑΙΩΝΕΣ2000203</t>
  </si>
  <si>
    <t>ΧΟΝΔΡΟΛΗΑ, ΓΙΑ ΠΑΡΑΓΩΓΗ ΕΠΙΤΡΑΠΕΖΙΑΣ</t>
  </si>
  <si>
    <t>ΕΛΑΙΩΝΕΣ2000204</t>
  </si>
  <si>
    <t>ΧΟΝΔΡΟΛΗΑ ΧΑΛΚΙΔΙΚΗΣ, ΓΙΑ ΠΑΡΑΓΩΓΗ ΕΠΙΤΡΑΠΕΖΙΑΣ</t>
  </si>
  <si>
    <t>ΕΛΑΙΩΝΕΣ2000205</t>
  </si>
  <si>
    <t>ΧΡΥΣΟΛΙΑ, ΓΙΑ ΠΑΡΑΓΩΓΗ ΕΠΙΤΡΑΠΕΖΙΑΣ</t>
  </si>
  <si>
    <t>ΕΛΑΙΩΝΕΣ2000206</t>
  </si>
  <si>
    <t>SEVILLANO, ΓΙΑ ΠΑΡΑΓΩΓΗ ΕΠΙΤΡΑΠΕΖΙΑΣ</t>
  </si>
  <si>
    <t>ΕΛΑΙΩΝΕΣ2000207</t>
  </si>
  <si>
    <t>OBLONCA, ΓΙΑ ΠΑΡΑΓΩΓΗ ΕΠΙΤΡΑΠΕΖΙΑΣ</t>
  </si>
  <si>
    <t>ΕΛΑΙΩΝΕΣ2000208</t>
  </si>
  <si>
    <t>KADESH, ΓΙΑ ΠΑΡΑΓΩΓΗ ΕΠΙΤΡΑΠΕΖΙΑΣ</t>
  </si>
  <si>
    <t>ΕΛΑΙΩΝΕΣ2000209</t>
  </si>
  <si>
    <t>SOYRI, ΓΙΑ ΠΑΡΑΓΩΓΗ ΕΠΙΤΡΑΠΕΖΙΑΣ</t>
  </si>
  <si>
    <t>ΕΛΑΙΩΝΕΣ2000210</t>
  </si>
  <si>
    <t>ZARZARIEGA, ΓΙΑ ΠΑΡΑΓΩΓΗ ΕΠΙΤΡΑΠΕΖΙΑΣ</t>
  </si>
  <si>
    <t>ΕΛΑΙΩΝΕΣ2000211</t>
  </si>
  <si>
    <t>CORNICABRA, ΓΙΑ ΠΑΡΑΓΩΓΗ ΕΠΙΤΡΑΠΕΖΙΑΣ</t>
  </si>
  <si>
    <t>ΕΛΑΙΩΝΕΣ2000212</t>
  </si>
  <si>
    <t>ECIJANO, ΓΙΑ ΠΑΡΑΓΩΓΗ ΕΠΙΤΡΑΠΕΖΙΑΣ</t>
  </si>
  <si>
    <t>ΕΛΑΙΩΝΕΣ2000213</t>
  </si>
  <si>
    <t>VERDIAL, ΓΙΑ ΠΑΡΑΓΩΓΗ ΕΠΙΤΡΑΠΕΖΙΑΣ</t>
  </si>
  <si>
    <t>ΕΛΑΙΩΝΕΣ2000214</t>
  </si>
  <si>
    <t>BAROUNI, ΓΙΑ ΠΑΡΑΓΩΓΗ ΕΠΙΤΡΑΠΕΖΙΑΣ</t>
  </si>
  <si>
    <t>ΕΛΑΙΩΝΕΣ2000215</t>
  </si>
  <si>
    <t>PIACENTE, ΓΙΑ ΠΑΡΑΓΩΓΗ ΕΠΙΤΡΑΠΕΖΙΑΣ</t>
  </si>
  <si>
    <t>ΕΛΑΙΩΝΕΣ2000216</t>
  </si>
  <si>
    <t>DOLCE AGOCIA, ΓΙΑ ΠΑΡΑΓΩΓΗ ΕΠΙΤΡΑΠΕΖΙΑΣ</t>
  </si>
  <si>
    <t>ΕΛΑΙΩΝΕΣ2000217</t>
  </si>
  <si>
    <t>HOJIBLANCA, ΓΙΑ ΠΑΡΑΓΩΓΗ ΕΠΙΤΡΑΠΕΖΙΑΣ</t>
  </si>
  <si>
    <t>ΕΛΑΙΩΝΕΣ2000218</t>
  </si>
  <si>
    <t>CORATINA, ΓΙΑ ΠΑΡΑΓΩΓΗ ΕΠΙΤΡΑΠΕΖΙΑΣ</t>
  </si>
  <si>
    <t>ΕΛΑΙΩΝΕΣ2000219</t>
  </si>
  <si>
    <t>NEGRAL, ΓΙΑ ΠΑΡΑΓΩΓΗ ΕΠΙΤΡΑΠΕΖΙΑΣ</t>
  </si>
  <si>
    <t>ΕΛΑΙΩΝΕΣ2000220</t>
  </si>
  <si>
    <t>FARGA, ΓΙΑ ΠΑΡΑΓΩΓΗ ΕΠΙΤΡΑΠΕΖΙΑΣ</t>
  </si>
  <si>
    <t>ΕΛΑΙΩΝΕΣ2000221</t>
  </si>
  <si>
    <t>NABAL, ΓΙΑ ΠΑΡΑΓΩΓΗ ΕΠΙΤΡΑΠΕΖΙΑΣ</t>
  </si>
  <si>
    <t>ΕΛΑΙΩΝΕΣ2000222</t>
  </si>
  <si>
    <t>MORISCA, ΓΙΑ ΠΑΡΑΓΩΓΗ ΕΠΙΤΡΑΠΕΖΙΑΣ</t>
  </si>
  <si>
    <t>ΕΛΑΙΩΝΕΣ2000223</t>
  </si>
  <si>
    <t>EMPELTRE, ΓΙΑ ΠΑΡΑΓΩΓΗ ΕΠΙΤΡΑΠΕΖΙΑΣ</t>
  </si>
  <si>
    <t>ΕΛΑΙΩΝΕΣ2000224</t>
  </si>
  <si>
    <t>CASALIVA, ΓΙΑ ΠΑΡΑΓΩΓΗ ΕΠΙΤΡΑΠΕΖΙΑΣ</t>
  </si>
  <si>
    <t>ΕΛΑΙΩΝΕΣ2000225</t>
  </si>
  <si>
    <t>LEUCOCARPA, ΓΙΑ ΠΑΡΑΓΩΓΗ ΕΠΙΤΡΑΠΕΖΙΑΣ</t>
  </si>
  <si>
    <t>ΕΛΑΙΩΝΕΣ2000226</t>
  </si>
  <si>
    <t>CORNEZUELO, ΓΙΑ ΠΑΡΑΓΩΓΗ ΕΠΙΤΡΑΠΕΖΙΑΣ</t>
  </si>
  <si>
    <t>ΕΛΑΙΩΝΕΣ2000227</t>
  </si>
  <si>
    <t>RAZZOLA, ΓΙΑ ΠΑΡΑΓΩΓΗ ΕΠΙΤΡΑΠΕΖΙΑΣ</t>
  </si>
  <si>
    <t>ΕΛΑΙΩΝΕΣ2000228</t>
  </si>
  <si>
    <t>FECCIARO, ΓΙΑ ΠΑΡΑΓΩΓΗ ΕΠΙΤΡΑΠΕΖΙΑΣ</t>
  </si>
  <si>
    <t>ΕΛΑΙΩΝΕΣ2000229</t>
  </si>
  <si>
    <t>CUCCO, ΓΙΑ ΠΑΡΑΓΩΓΗ ΕΠΙΤΡΑΠΕΖΙΑΣ</t>
  </si>
  <si>
    <t>ΕΛΑΙΩΝΕΣ2000230</t>
  </si>
  <si>
    <t>MAURINO, ΓΙΑ ΠΑΡΑΓΩΓΗ ΕΠΙΤΡΑΠΕΖΙΑΣ</t>
  </si>
  <si>
    <t>ΕΛΑΙΩΝΕΣ2000231</t>
  </si>
  <si>
    <t>ΘΙΑΚΗ (ΑΝΩ ΗΣΑΝΑ, ΘΙΑΚΟ, ΠΛΕΞΙΔΕΝΙΑ, ΝΤΟΠΙΑ), ΓΙΑ ΠΑΡΑΓΩΓΗ ΕΠΙΤΡΑΠΕΖΙΑΣ</t>
  </si>
  <si>
    <t>ΕΛΑΙΩΝΕΣ2000589</t>
  </si>
  <si>
    <t>ΑΓΙΟΡΙΤΙΚΗ, ΓΙΑ ΠΑΡΑΓΩΓΗ ΕΠΙΤΡΑΠΕΖΙΑΣ</t>
  </si>
  <si>
    <t>ΕΛΑΙΩΝΕΣ2000648</t>
  </si>
  <si>
    <t>BLANQUETA, ΓΙΑ ΠΑΡΑΓΩΓΗ ΕΠΙΤΡΑΠΕΖΙΑΣ</t>
  </si>
  <si>
    <t>ΕΛΑΙΩΝΕΣ2000649</t>
  </si>
  <si>
    <t>BLANQUETA DE ELVAS, ΓΙΑ ΠΑΡΑΓΩΓΗ ΕΠΙΤΡΑΠΕΖΙΑΣ</t>
  </si>
  <si>
    <t>ΕΛΑΙΩΝΕΣ2000650</t>
  </si>
  <si>
    <t>BOUTEILLAN, ΓΙΑ ΠΑΡΑΓΩΓΗ ΕΠΙΤΡΑΠΕΖΙΑΣ</t>
  </si>
  <si>
    <t>ΕΛΑΙΩΝΕΣ2000651</t>
  </si>
  <si>
    <t>ΓΑΛΑΤΣΑΝΙΚΗ, ΓΙΑ ΠΑΡΑΓΩΓΗ ΕΠΙΤΡΑΠΕΖΙΑΣ</t>
  </si>
  <si>
    <t>ΕΛΑΙΩΝΕΣ2000652</t>
  </si>
  <si>
    <t>ΖΑΚΥΝΘΟΥ, ΓΙΑ ΠΑΡΑΓΩΓΗ ΕΠΙΤΡΑΠΕΖΙΑΣ</t>
  </si>
  <si>
    <t>ΕΛΑΙΩΝΕΣ2000653</t>
  </si>
  <si>
    <t>FRANCIVENTO, ΓΙΑ ΠΑΡΑΓΩΓΗ ΕΠΙΤΡΑΠΕΖΙΑΣ</t>
  </si>
  <si>
    <t>ΕΛΑΙΩΝΕΣ2000654</t>
  </si>
  <si>
    <t>GORDAL SEVILLANA, ΓΙΑ ΠΑΡΑΓΩΓΗ ΕΠΙΤΡΑΠΕΖΙΑΣ</t>
  </si>
  <si>
    <t>ΕΛΑΙΩΝΕΣ2000655</t>
  </si>
  <si>
    <t>GRAPPOLO, ΓΙΑ ΠΑΡΑΓΩΓΗ ΕΠΙΤΡΑΠΕΖΙΑΣ</t>
  </si>
  <si>
    <t>ΕΛΑΙΩΝΕΣ2000656</t>
  </si>
  <si>
    <t>LECHIO DEL CORNO, ΓΙΑ ΠΑΡΑΓΩΓΗ ΕΠΙΤΡΑΠΕΖΙΑΣ</t>
  </si>
  <si>
    <t>ΕΛΑΙΩΝΕΣ2000657</t>
  </si>
  <si>
    <t>ΛΕΥΚΑΔΑΣ ΑΣΠΡΟΛΙΑ, ΓΙΑ ΠΑΡΑΓΩΓΗ ΕΠΙΤΡΑΠΕΖΙΑΣ</t>
  </si>
  <si>
    <t>ΕΛΑΙΩΝΕΣ2000658</t>
  </si>
  <si>
    <t>MANZANILLA DE CARMONA, ΓΙΑ ΠΑΡΑΓΩΓΗ ΕΠΙΤΡΑΠΕΖΙΑΣ</t>
  </si>
  <si>
    <t>ΕΛΑΙΩΝΕΣ2000659</t>
  </si>
  <si>
    <t>MANZANILLA ISR., ΓΙΑ ΠΑΡΑΓΩΓΗ ΕΠΙΤΡΑΠΕΖΙΑΣ</t>
  </si>
  <si>
    <t>ΕΛΑΙΩΝΕΣ2000660</t>
  </si>
  <si>
    <t>MANZANILLA NORMAL, ΓΙΑ ΠΑΡΑΓΩΓΗ ΕΠΙΤΡΑΠΕΖΙΑΣ</t>
  </si>
  <si>
    <t>ΕΛΑΙΩΝΕΣ2000661</t>
  </si>
  <si>
    <t>MAROCAN PICHOLINE, ΓΙΑ ΠΑΡΑΓΩΓΗ ΕΠΙΤΡΑΠΕΖΙΑΣ</t>
  </si>
  <si>
    <t>ΕΛΑΙΩΝΕΣ2000662</t>
  </si>
  <si>
    <t>ΜΑΡΩΝΕΙΑΣ, ΓΙΑ ΠΑΡΑΓΩΓΗ ΕΠΙΤΡΑΠΕΖΙΑΣ</t>
  </si>
  <si>
    <t>ΕΛΑΙΩΝΕΣ2000663</t>
  </si>
  <si>
    <t>MERHAVIA, ΓΙΑ ΠΑΡΑΓΩΓΗ ΕΠΙΤΡΑΠΕΖΙΑΣ</t>
  </si>
  <si>
    <t>ΕΛΑΙΩΝΕΣ2000664</t>
  </si>
  <si>
    <t>NASUICHI, ΓΙΑ ΠΑΡΑΓΩΓΗ ΕΠΙΤΡΑΠΕΖΙΑΣ</t>
  </si>
  <si>
    <t>ΕΛΑΙΩΝΕΣ2000665</t>
  </si>
  <si>
    <t>NEVADILLO BLANCO, ΓΙΑ ΠΑΡΑΓΩΓΗ ΕΠΙΤΡΑΠΕΖΙΑΣ</t>
  </si>
  <si>
    <t>ΕΛΑΙΩΝΕΣ2000666</t>
  </si>
  <si>
    <t>NEVADILLO NEGRO, ΓΙΑ ΠΑΡΑΓΩΓΗ ΕΠΙΤΡΑΠΕΖΙΑΣ</t>
  </si>
  <si>
    <t>ΕΛΑΙΩΝΕΣ2000667</t>
  </si>
  <si>
    <t>OLIVA DE CERIGNOLA, ΓΙΑ ΠΑΡΑΓΩΓΗ ΕΠΙΤΡΑΠΕΖΙΑΣ</t>
  </si>
  <si>
    <t>ΕΛΑΙΩΝΕΣ2000668</t>
  </si>
  <si>
    <t>PENDOLINO, ΓΙΑ ΠΑΡΑΓΩΓΗ ΕΠΙΤΡΑΠΕΖΙΑΣ</t>
  </si>
  <si>
    <t>ΕΛΑΙΩΝΕΣ2000669</t>
  </si>
  <si>
    <t>ΡΑΧΑΤΗ, ΓΙΑ ΠΑΡΑΓΩΓΗ ΕΠΙΤΡΑΠΕΖΙΑΣ</t>
  </si>
  <si>
    <t>ΕΛΑΙΩΝΕΣ2000670</t>
  </si>
  <si>
    <t>REAL SEVILLANA, ΓΙΑ ΠΑΡΑΓΩΓΗ ΕΠΙΤΡΑΠΕΖΙΑΣ</t>
  </si>
  <si>
    <t>ΕΛΑΙΩΝΕΣ2000671</t>
  </si>
  <si>
    <t>ΡΟΒΙΩΝ (ΠΡΑΣΙΝΗ), ΓΙΑ ΠΑΡΑΓΩΓΗ ΕΠΙΤΡΑΠΕΖΙΑΣ</t>
  </si>
  <si>
    <t>ΕΛΑΙΩΝΕΣ2000672</t>
  </si>
  <si>
    <t>ROSCIOLA, ΓΙΑ ΠΑΡΑΓΩΓΗ ΕΠΙΤΡΑΠΕΖΙΑΣ</t>
  </si>
  <si>
    <t>ΕΛΑΙΩΝΕΣ2000673</t>
  </si>
  <si>
    <t>SDE ELIAO, ΓΙΑ ΠΑΡΑΓΩΓΗ ΕΠΙΤΡΑΠΕΖΙΑΣ</t>
  </si>
  <si>
    <t>ΕΛΑΙΩΝΕΣ2000674</t>
  </si>
  <si>
    <t>SORANI, ΓΙΑ ΠΑΡΑΓΩΓΗ ΕΠΙΤΡΑΠΕΖΙΑΣ</t>
  </si>
  <si>
    <t>ΕΛΑΙΩΝΕΣ2000675</t>
  </si>
  <si>
    <t>TEMPIANILLO LUCENA, ΓΙΑ ΠΑΡΑΓΩΓΗ ΕΠΙΤΡΑΠΕΖΙΑΣ</t>
  </si>
  <si>
    <t>ΕΛΑΙΩΝΕΣ2000676</t>
  </si>
  <si>
    <t>ZORZALENO, ΓΙΑ ΠΑΡΑΓΩΓΗ ΕΠΙΤΡΑΠΕΖΙΑΣ</t>
  </si>
  <si>
    <t>ΕΛΑΙΩΝΕΣ2000677</t>
  </si>
  <si>
    <t>ΕΛΑΙΩΝΕΣ ΓΙΑ ΠΑΡΑΓΩΓΗ ΕΠΙΤΡΑΠΕΖΙΑΣ ΕΛΙΑΣ - ΛΟΙΠΕΣ, ΓΙΑ ΠΑΡΑΓΩΓΗ ΕΠΙΤΡΑΠΕΖΙΑΣ</t>
  </si>
  <si>
    <t>ΕΛΑΙΩΝΕΣ2008190</t>
  </si>
  <si>
    <t>ΤΣΟΥΝΑΤΗ (ΜΑΤΣΟΛΗΑ, ΑΘΗΝΟΛΙΑ)</t>
  </si>
  <si>
    <t>ΕΛΑΙΩΝΕΣ201</t>
  </si>
  <si>
    <t>FRANTOIO</t>
  </si>
  <si>
    <t>ΕΛΑΙΩΝΕΣ202</t>
  </si>
  <si>
    <t>ΧΑΛΚΙΔΙΚΗΣ</t>
  </si>
  <si>
    <t>ΕΛΑΙΩΝΕΣ203</t>
  </si>
  <si>
    <t>ΧΟΝΔΡΟΛΗΑ</t>
  </si>
  <si>
    <t>ΕΛΑΙΩΝΕΣ204</t>
  </si>
  <si>
    <t>ΧΟΝΔΡΟΛΗΑ ΧΑΛΚΙΔΙΚΗΣ</t>
  </si>
  <si>
    <t>ΕΛΑΙΩΝΕΣ205</t>
  </si>
  <si>
    <t>ΧΡΥΣΟΛΙΑ</t>
  </si>
  <si>
    <t>ΕΛΑΙΩΝΕΣ206</t>
  </si>
  <si>
    <t>SEVILLANO</t>
  </si>
  <si>
    <t>ΕΛΑΙΩΝΕΣ207</t>
  </si>
  <si>
    <t>OBLONCA</t>
  </si>
  <si>
    <t>ΕΛΑΙΩΝΕΣ208</t>
  </si>
  <si>
    <t>KADESH</t>
  </si>
  <si>
    <t>ΕΛΑΙΩΝΕΣ209</t>
  </si>
  <si>
    <t>SOYRI</t>
  </si>
  <si>
    <t>ΕΛΑΙΩΝΕΣ210</t>
  </si>
  <si>
    <t>ZARZARIEGA</t>
  </si>
  <si>
    <t>ΕΛΑΙΩΝΕΣ211</t>
  </si>
  <si>
    <t>CORNICABRA</t>
  </si>
  <si>
    <t>ΕΛΑΙΩΝΕΣ212</t>
  </si>
  <si>
    <t>ECIJANO</t>
  </si>
  <si>
    <t>ΕΛΑΙΩΝΕΣ213</t>
  </si>
  <si>
    <t>VERDIAL</t>
  </si>
  <si>
    <t>ΕΛΑΙΩΝΕΣ214</t>
  </si>
  <si>
    <t>BAROUNI</t>
  </si>
  <si>
    <t>ΕΛΑΙΩΝΕΣ215</t>
  </si>
  <si>
    <t>PIACENTE</t>
  </si>
  <si>
    <t>ΕΛΑΙΩΝΕΣ216</t>
  </si>
  <si>
    <t>DOLCE AGOCIA</t>
  </si>
  <si>
    <t>ΕΛΑΙΩΝΕΣ217</t>
  </si>
  <si>
    <t>HOJIBLANCA</t>
  </si>
  <si>
    <t>ΕΛΑΙΩΝΕΣ218</t>
  </si>
  <si>
    <t>CORATINA</t>
  </si>
  <si>
    <t>ΕΛΑΙΩΝΕΣ219</t>
  </si>
  <si>
    <t>NEGRAL</t>
  </si>
  <si>
    <t>ΕΛΑΙΩΝΕΣ220</t>
  </si>
  <si>
    <t>FARGA</t>
  </si>
  <si>
    <t>ΕΛΑΙΩΝΕΣ221</t>
  </si>
  <si>
    <t>NABAL</t>
  </si>
  <si>
    <t>ΕΛΑΙΩΝΕΣ222</t>
  </si>
  <si>
    <t>MORISCA</t>
  </si>
  <si>
    <t>ΕΛΑΙΩΝΕΣ223</t>
  </si>
  <si>
    <t>EMPELTRE</t>
  </si>
  <si>
    <t>ΕΛΑΙΩΝΕΣ224</t>
  </si>
  <si>
    <t>CASALIVA</t>
  </si>
  <si>
    <t>ΕΛΑΙΩΝΕΣ225</t>
  </si>
  <si>
    <t>LEUCOCARPA</t>
  </si>
  <si>
    <t>ΕΛΑΙΩΝΕΣ226</t>
  </si>
  <si>
    <t>CORNEZUELO</t>
  </si>
  <si>
    <t>ΕΛΑΙΩΝΕΣ227</t>
  </si>
  <si>
    <t>RAZZOLA</t>
  </si>
  <si>
    <t>ΕΛΑΙΩΝΕΣ228</t>
  </si>
  <si>
    <t>FECCIARO</t>
  </si>
  <si>
    <t>ΕΛΑΙΩΝΕΣ229</t>
  </si>
  <si>
    <t>CUCCO</t>
  </si>
  <si>
    <t>ΕΛΑΙΩΝΕΣ230</t>
  </si>
  <si>
    <t>MAURINO</t>
  </si>
  <si>
    <t>ΕΛΑΙΩΝΕΣ231</t>
  </si>
  <si>
    <t>ΑΜΦΙΣΣΗΣ (ΒΟΛΙΩΤΙΚΗ, ΠΗΛΙΟΥ, ΣΤΥΛΙΔΟΣ, ΑΓΡΙΝΙΟΥ), ΔΙΠΛΗΣ ΚΑΤΕΥΘΥΝΣΗΣ</t>
  </si>
  <si>
    <t>ΕΛΑΙΩΝΕΣ3000153</t>
  </si>
  <si>
    <t>ΑΜΥΓΔΑΛΟΛΗΑ (ΣΤΡΑΒΟΜΥΤΑ, ΚΟΥΡΟΜΥΤΑ), ΔΙΠΛΗΣ ΚΑΤΕΥΘΥΝΣΗΣ</t>
  </si>
  <si>
    <t>ΕΛΑΙΩΝΕΣ3000154</t>
  </si>
  <si>
    <t>ΑΔΡΑΜΥΤΤΙΝΗ (ΑΔΡΑΜΥΤΙΚΗ ΛΕΣΒΟΥ, ΑΙΒΑΛΙΩΤΙΚΗ,  ΦΡΑΓΚ), ΔΙΠΛΗΣ ΚΑΤΕΥΘΥΝΣΗΣ</t>
  </si>
  <si>
    <t>ΕΛΑΙΩΝΕΣ3000155</t>
  </si>
  <si>
    <t>ΑΓΟΥΡΟΜΑΝΑΚΟΛΙΑ (ΑΓΟΥΡΟΜΑΝΑΚΟ, ΑΓΟΥΡΟΜΑΝΑΚΙ), ΔΙΠΛΗΣ ΚΑΤΕΥΘΥΝΣΗΣ</t>
  </si>
  <si>
    <t>ΕΛΑΙΩΝΕΣ3000156</t>
  </si>
  <si>
    <t>ARBEQUINE (ARBEQUINA, ARBEQUIN), ΔΙΠΛΗΣ ΚΑΤΕΥΘΥΝΣΗΣ</t>
  </si>
  <si>
    <t>ΕΛΑΙΩΝΕΣ3000157</t>
  </si>
  <si>
    <t>ΒΑΣΙΛΙΚΑΔΑ (ΒΑΣΙΛΙΚΗ), ΔΙΠΛΗΣ ΚΑΤΕΥΘΥΝΣΗΣ</t>
  </si>
  <si>
    <t>ΕΛΑΙΩΝΕΣ3000158</t>
  </si>
  <si>
    <t>ΒΑΛΑΝΟΛΙΑ (ΜΥΤΙΛΙΝΙΑ, ΚΟΛΟΒΗ,  ΒΑΛΑΝΑ), ΔΙΠΛΗΣ ΚΑΤΕΥΘΥΝΣΗΣ</t>
  </si>
  <si>
    <t>ΕΛΑΙΩΝΕΣ3000159</t>
  </si>
  <si>
    <t>ΓΑΙΔΟΥΡΕΛΙΑ (ΔΑΜΑΣΚΗΝΑΤΗ, ΑΔΡΟΚΑΡΠΗ), ΔΙΠΛΗΣ ΚΑΤΕΥΘΥΝΣΗΣ</t>
  </si>
  <si>
    <t>ΕΛΑΙΩΝΕΣ3000160</t>
  </si>
  <si>
    <t>ΔΑΜΑΣΚΗΝΑΤΗ ΛΕΣΒΟΥ, ΔΙΠΛΗΣ ΚΑΤΕΥΘΥΝΣΗΣ</t>
  </si>
  <si>
    <t>ΕΛΑΙΩΝΕΣ3000161</t>
  </si>
  <si>
    <t>ΔΑΦΝΕΛΙA (ΔΑΦΝΟΚΑΡΠΗ), ΔΙΠΛΗΣ ΚΑΤΕΥΘΥΝΣΗΣ</t>
  </si>
  <si>
    <t>ΕΛΑΙΩΝΕΣ3000162</t>
  </si>
  <si>
    <t>GORDAL, ΔΙΠΛΗΣ ΚΑΤΕΥΘΥΝΣΗΣ</t>
  </si>
  <si>
    <t>ΕΛΑΙΩΝΕΣ3000163</t>
  </si>
  <si>
    <t>ΘΡΟΥΜΠΑ (ΘΡΟΥΜΠΟΛΙΑ, ΘΑΣΙΤΙΚΗ, ΛΑΔΟΛΙΑ, ΘΑΣΟΥ), ΔΙΠΛΗΣ ΚΑΤΕΥΘΥΝΣΗΣ</t>
  </si>
  <si>
    <t>ΕΛΑΙΩΝΕΣ3000164</t>
  </si>
  <si>
    <t>ΚΟΥΤΣΟΥΡΕΛΙΑ (ΚΟΥΡΤΕΛΙΑ, ΚΟΥΡΕΛΙΑ), ΔΙΠΛΗΣ ΚΑΤΕΥΘΥΝΣΗΣ</t>
  </si>
  <si>
    <t>ΕΛΑΙΩΝΕΣ3000165</t>
  </si>
  <si>
    <t>ΚΟΡΩΝΕΙΚΗ (ΚΟΡΩΝΗ, ΒΑΤΣΙΚΗ,  ΚΡΗΤΙΚΙΑ,  ΚΟΡΩΝΙΑ ΚΡΗ), ΔΙΠΛΗΣ ΚΑΤΕΥΘΥΝΣΗΣ</t>
  </si>
  <si>
    <t>ΕΛΑΙΩΝΕΣ3000166</t>
  </si>
  <si>
    <t>ΚΑΛΟΚΑΙΡΙΔΑ (ΠΡΩΙΜΗ), ΔΙΠΛΗΣ ΚΑΤΕΥΘΥΝΣΗΣ</t>
  </si>
  <si>
    <t>ΕΛΑΙΩΝΕΣ3000167</t>
  </si>
  <si>
    <t>ΚΑΛΑΜΩΝ (ΚΑΛΑΜΑΤΙΑΝΗ, ΤΣΙΓΚΟΛΙ,  ΑΕΤΟΝΥΧΙ), ΔΙΠΛΗΣ ΚΑΤΕΥΘΥΝΣΗΣ</t>
  </si>
  <si>
    <t>ΕΛΑΙΩΝΕΣ3000168</t>
  </si>
  <si>
    <t>ΚΟΛΥΜΠΑΔΑ, ΔΙΠΛΗΣ ΚΑΤΕΥΘΥΝΣΗΣ</t>
  </si>
  <si>
    <t>ΕΛΑΙΩΝΕΣ3000169</t>
  </si>
  <si>
    <t>ΚΑΡΟΛΗΑ, ΔΙΠΛΗΣ ΚΑΤΕΥΘΥΝΣΗΣ</t>
  </si>
  <si>
    <t>ΕΛΑΙΩΝΕΣ3000170</t>
  </si>
  <si>
    <t>ΚΟΘΡΕΙΚΗ (ΜΑΝΑΚΙ, ΜΑΝΑΚΟΛΙΑ, ΓΛΥΚΟΜΑΝΑΚΟ), ΔΙΠΛΗΣ ΚΑΤΕΥΘΥΝΣΗΣ</t>
  </si>
  <si>
    <t>ΕΛΑΙΩΝΕΣ3000171</t>
  </si>
  <si>
    <t>ΚΑΡΥΔΟΛΙΑ, ΔΙΠΛΗΣ ΚΑΤΕΥΘΥΝΣΗΣ</t>
  </si>
  <si>
    <t>ΕΛΑΙΩΝΕΣ3000172</t>
  </si>
  <si>
    <t>ΚΑΡΥΔΟΛΙΑ ΣΠΕΤΣΩΝ, ΔΙΠΛΗΣ ΚΑΤΕΥΘΥΝΣΗΣ</t>
  </si>
  <si>
    <t>ΕΛΑΙΩΝΕΣ3000173</t>
  </si>
  <si>
    <t>ΚΛΩΝΑΡΕΣ ΚΟΡΩΠΙΟΥ, ΔΙΠΛΗΣ ΚΑΤΕΥΘΥΝΣΗΣ</t>
  </si>
  <si>
    <t>ΕΛΑΙΩΝΕΣ3000174</t>
  </si>
  <si>
    <t>ΚΑΡΟΛΙΑ ΙΣΤΙΑΙΑΣ, ΔΙΠΛΗΣ ΚΑΤΕΥΘΥΝΣΗΣ</t>
  </si>
  <si>
    <t>ΕΛΑΙΩΝΕΣ3000175</t>
  </si>
  <si>
    <t>ΚΟΛΥΡΕΙΚΗ, ΔΙΠΛΗΣ ΚΑΤΕΥΘΥΝΣΗΣ</t>
  </si>
  <si>
    <t>ΕΛΑΙΩΝΕΣ3000176</t>
  </si>
  <si>
    <t>LECHINO (LECHIN DE SEVILLA), ΔΙΠΛΗΣ ΚΑΤΕΥΘΥΝΣΗΣ</t>
  </si>
  <si>
    <t>ΕΛΑΙΩΝΕΣ3000177</t>
  </si>
  <si>
    <t>ΛΙΑΝΟΛΗΑ ΚΕΡΚΥΡΑΣ (ΠΡΕΒΕΖΑΝΑ, ΝΕΡΟΛΙΑ,  ΚΑΡΦΟΛΙΑ), ΔΙΠΛΗΣ ΚΑΤΕΥΘΥΝΣΗΣ</t>
  </si>
  <si>
    <t>ΕΛΑΙΩΝΕΣ3000178</t>
  </si>
  <si>
    <t>LUCQUES, ΔΙΠΛΗΣ ΚΑΤΕΥΘΥΝΣΗΣ</t>
  </si>
  <si>
    <t>ΕΛΑΙΩΝΕΣ3000179</t>
  </si>
  <si>
    <t>ΜΑΥΡΕΛΗΑ (ΜΕΘΩΝΙΑ, ΜΑΥΡΟΛΙΑ,  ΜΟΥΤΡΟΛΙΑ), ΔΙΠΛΗΣ ΚΑΤΕΥΘΥΝΣΗΣ</t>
  </si>
  <si>
    <t>ΕΛΑΙΩΝΕΣ3000180</t>
  </si>
  <si>
    <t>ΜΥΡΤΟΛΗΑ, ΔΙΠΛΗΣ ΚΑΤΕΥΘΥΝΣΗΣ</t>
  </si>
  <si>
    <t>ΕΛΑΙΩΝΕΣ3000181</t>
  </si>
  <si>
    <t>MEXINE, ΔΙΠΛΗΣ ΚΑΤΕΥΘΥΝΣΗΣ</t>
  </si>
  <si>
    <t>ΕΛΑΙΩΝΕΣ3000182</t>
  </si>
  <si>
    <t>ΜΕΓΑΡΕΙΤΙΚΗ (ΠΕΡΑΧΩΡΙΤΙΚΗ, ΒΟΙΒΟΔΙΤΙΚΗ,  ΒΟΒΩΔΗ), ΔΙΠΛΗΣ ΚΑΤΕΥΘΥΝΣΗΣ</t>
  </si>
  <si>
    <t>ΕΛΑΙΩΝΕΣ3000183</t>
  </si>
  <si>
    <t>MANZANILLA JAEN, ΔΙΠΛΗΣ ΚΑΤΕΥΘΥΝΣΗΣ</t>
  </si>
  <si>
    <t>ΕΛΑΙΩΝΕΣ3000184</t>
  </si>
  <si>
    <t>MANZANILLA DOS HERMANOS, ΔΙΠΛΗΣ ΚΑΤΕΥΘΥΝΣΗΣ</t>
  </si>
  <si>
    <t>ΕΛΑΙΩΝΕΣ3000185</t>
  </si>
  <si>
    <t>MANZANILLA, ΔΙΠΛΗΣ ΚΑΤΕΥΘΥΝΣΗΣ</t>
  </si>
  <si>
    <t>ΕΛΑΙΩΝΕΣ3000186</t>
  </si>
  <si>
    <t>ΜΕΛΟΛΙΑ (ΕΛΙΑ ΗΔΙΚΑΡΠΗ), ΔΙΠΛΗΣ ΚΑΤΕΥΘΥΝΣΗΣ</t>
  </si>
  <si>
    <t>ΕΛΑΙΩΝΕΣ3000187</t>
  </si>
  <si>
    <t>MISSION, ΔΙΠΛΗΣ ΚΑΤΕΥΘΥΝΣΗΣ</t>
  </si>
  <si>
    <t>ΕΛΑΙΩΝΕΣ3000188</t>
  </si>
  <si>
    <t>PICUAL (NEVADILLO BLANCO), ΔΙΠΛΗΣ ΚΑΤΕΥΘΥΝΣΗΣ</t>
  </si>
  <si>
    <t>ΕΛΑΙΩΝΕΣ3000189</t>
  </si>
  <si>
    <t>ΠΑΤΡΙΝΗ, ΔΙΠΛΗΣ ΚΑΤΕΥΘΥΝΣΗΣ</t>
  </si>
  <si>
    <t>ΕΛΑΙΩΝΕΣ3000190</t>
  </si>
  <si>
    <t>PICHOLIN ή PICHOLINE, ΔΙΠΛΗΣ ΚΑΤΕΥΘΥΝΣΗΣ</t>
  </si>
  <si>
    <t>ΕΛΑΙΩΝΕΣ3000191</t>
  </si>
  <si>
    <t>ΠΙΚΡΟΛΙΑ, ΔΙΠΛΗΣ ΚΑΤΕΥΘΥΝΣΗΣ</t>
  </si>
  <si>
    <t>ΕΛΑΙΩΝΕΣ3000192</t>
  </si>
  <si>
    <t>REDDING PICHOLINE, ΔΙΠΛΗΣ ΚΑΤΕΥΘΥΝΣΗΣ</t>
  </si>
  <si>
    <t>ΕΛΑΙΩΝΕΣ3000193</t>
  </si>
  <si>
    <t>ROUSETTE, ΔΙΠΛΗΣ ΚΑΤΕΥΘΥΝΣΗΣ</t>
  </si>
  <si>
    <t>ΕΛΑΙΩΝΕΣ3000194</t>
  </si>
  <si>
    <t>SALONENQUE, ΔΙΠΛΗΣ ΚΑΤΕΥΘΥΝΣΗΣ</t>
  </si>
  <si>
    <t>ΕΛΑΙΩΝΕΣ3000195</t>
  </si>
  <si>
    <t>ΣΤΡΟΓΓΥΛΟΛΙΑ (ΓΑΛΑΝΗ, ΠΡΑΣΙΝΟΛΙΑ), ΔΙΠΛΗΣ ΚΑΤΕΥΘΥΝΣΗΣ</t>
  </si>
  <si>
    <t>ΕΛΑΙΩΝΕΣ3000196</t>
  </si>
  <si>
    <t>S. FRANCESCO, ΔΙΠΛΗΣ ΚΑΤΕΥΘΥΝΣΗΣ</t>
  </si>
  <si>
    <t>ΕΛΑΙΩΝΕΣ3000197</t>
  </si>
  <si>
    <t>S. AGOSTINO (S. AUGUSTINE), ΔΙΠΛΗΣ ΚΑΤΕΥΘΥΝΣΗΣ</t>
  </si>
  <si>
    <t>ΕΛΑΙΩΝΕΣ3000198</t>
  </si>
  <si>
    <t>SIGOISE, ΔΙΠΛΗΣ ΚΑΤΕΥΘΥΝΣΗΣ</t>
  </si>
  <si>
    <t>ΕΛΑΙΩΝΕΣ3000199</t>
  </si>
  <si>
    <t>ΤΡΑΓΟΛΙΑ, ΔΙΠΛΗΣ ΚΑΤΕΥΘΥΝΣΗΣ</t>
  </si>
  <si>
    <t>ΕΛΑΙΩΝΕΣ3000200</t>
  </si>
  <si>
    <t>ΤΣΟΥΝΑΤΗ (ΜΑΤΣΟΛΗΑ, ΑΘΗΝΟΛΙΑ), ΔΙΠΛΗΣ ΚΑΤΕΥΘΥΝΣΗΣ</t>
  </si>
  <si>
    <t>ΕΛΑΙΩΝΕΣ3000201</t>
  </si>
  <si>
    <t>FRANTOIO, ΔΙΠΛΗΣ ΚΑΤΕΥΘΥΝΣΗΣ</t>
  </si>
  <si>
    <t>ΕΛΑΙΩΝΕΣ3000202</t>
  </si>
  <si>
    <t>ΧΑΛΚΙΔΙΚΗΣ, ΔΙΠΛΗΣ ΚΑΤΕΥΘΥΝΣΗΣ</t>
  </si>
  <si>
    <t>ΕΛΑΙΩΝΕΣ3000203</t>
  </si>
  <si>
    <t>ΧΟΝΔΡΟΛΗΑ, ΔΙΠΛΗΣ ΚΑΤΕΥΘΥΝΣΗΣ</t>
  </si>
  <si>
    <t>ΕΛΑΙΩΝΕΣ3000204</t>
  </si>
  <si>
    <t>ΧΟΝΔΡΟΛΗΑ ΧΑΛΚΙΔΙΚΗΣ, ΔΙΠΛΗΣ ΚΑΤΕΥΘΥΝΣΗΣ</t>
  </si>
  <si>
    <t>ΕΛΑΙΩΝΕΣ3000205</t>
  </si>
  <si>
    <t>ΧΡΥΣΟΛΙΑ, ΔΙΠΛΗΣ ΚΑΤΕΥΘΥΝΣΗΣ</t>
  </si>
  <si>
    <t>ΕΛΑΙΩΝΕΣ3000206</t>
  </si>
  <si>
    <t>SEVILLANO, ΔΙΠΛΗΣ ΚΑΤΕΥΘΥΝΣΗΣ</t>
  </si>
  <si>
    <t>ΕΛΑΙΩΝΕΣ3000207</t>
  </si>
  <si>
    <t>OBLONCA, ΔΙΠΛΗΣ ΚΑΤΕΥΘΥΝΣΗΣ</t>
  </si>
  <si>
    <t>ΕΛΑΙΩΝΕΣ3000208</t>
  </si>
  <si>
    <t>KADESH, ΔΙΠΛΗΣ ΚΑΤΕΥΘΥΝΣΗΣ</t>
  </si>
  <si>
    <t>ΕΛΑΙΩΝΕΣ3000209</t>
  </si>
  <si>
    <t>SOYRI, ΔΙΠΛΗΣ ΚΑΤΕΥΘΥΝΣΗΣ</t>
  </si>
  <si>
    <t>ΕΛΑΙΩΝΕΣ3000210</t>
  </si>
  <si>
    <t>ZARZARIEGA, ΔΙΠΛΗΣ ΚΑΤΕΥΘΥΝΣΗΣ</t>
  </si>
  <si>
    <t>ΕΛΑΙΩΝΕΣ3000211</t>
  </si>
  <si>
    <t>CORNICABRA, ΔΙΠΛΗΣ ΚΑΤΕΥΘΥΝΣΗΣ</t>
  </si>
  <si>
    <t>ΕΛΑΙΩΝΕΣ3000212</t>
  </si>
  <si>
    <t>ECIJANO, ΔΙΠΛΗΣ ΚΑΤΕΥΘΥΝΣΗΣ</t>
  </si>
  <si>
    <t>ΕΛΑΙΩΝΕΣ3000213</t>
  </si>
  <si>
    <t>VERDIAL, ΔΙΠΛΗΣ ΚΑΤΕΥΘΥΝΣΗΣ</t>
  </si>
  <si>
    <t>ΕΛΑΙΩΝΕΣ3000214</t>
  </si>
  <si>
    <t>BAROUNI, ΔΙΠΛΗΣ ΚΑΤΕΥΘΥΝΣΗΣ</t>
  </si>
  <si>
    <t>ΕΛΑΙΩΝΕΣ3000215</t>
  </si>
  <si>
    <t>PIACENTE, ΔΙΠΛΗΣ ΚΑΤΕΥΘΥΝΣΗΣ</t>
  </si>
  <si>
    <t>ΕΛΑΙΩΝΕΣ3000216</t>
  </si>
  <si>
    <t>DOLCE AGOCIA, ΔΙΠΛΗΣ ΚΑΤΕΥΘΥΝΣΗΣ</t>
  </si>
  <si>
    <t>ΕΛΑΙΩΝΕΣ3000217</t>
  </si>
  <si>
    <t>HOJIBLANCA, ΔΙΠΛΗΣ ΚΑΤΕΥΘΥΝΣΗΣ</t>
  </si>
  <si>
    <t>ΕΛΑΙΩΝΕΣ3000218</t>
  </si>
  <si>
    <t>CORATINA, ΔΙΠΛΗΣ ΚΑΤΕΥΘΥΝΣΗΣ</t>
  </si>
  <si>
    <t>ΕΛΑΙΩΝΕΣ3000219</t>
  </si>
  <si>
    <t>NEGRAL, ΔΙΠΛΗΣ ΚΑΤΕΥΘΥΝΣΗΣ</t>
  </si>
  <si>
    <t>ΕΛΑΙΩΝΕΣ3000220</t>
  </si>
  <si>
    <t>FARGA, ΔΙΠΛΗΣ ΚΑΤΕΥΘΥΝΣΗΣ</t>
  </si>
  <si>
    <t>ΕΛΑΙΩΝΕΣ3000221</t>
  </si>
  <si>
    <t>NABAL, ΔΙΠΛΗΣ ΚΑΤΕΥΘΥΝΣΗΣ</t>
  </si>
  <si>
    <t>ΕΛΑΙΩΝΕΣ3000222</t>
  </si>
  <si>
    <t>MORISCA, ΔΙΠΛΗΣ ΚΑΤΕΥΘΥΝΣΗΣ</t>
  </si>
  <si>
    <t>ΕΛΑΙΩΝΕΣ3000223</t>
  </si>
  <si>
    <t>EMPELTRE, ΔΙΠΛΗΣ ΚΑΤΕΥΘΥΝΣΗΣ</t>
  </si>
  <si>
    <t>ΕΛΑΙΩΝΕΣ3000224</t>
  </si>
  <si>
    <t>CASALIVA, ΔΙΠΛΗΣ ΚΑΤΕΥΘΥΝΣΗΣ</t>
  </si>
  <si>
    <t>ΕΛΑΙΩΝΕΣ3000225</t>
  </si>
  <si>
    <t>LEUCOCARPA, ΔΙΠΛΗΣ ΚΑΤΕΥΘΥΝΣΗΣ</t>
  </si>
  <si>
    <t>ΕΛΑΙΩΝΕΣ3000226</t>
  </si>
  <si>
    <t>CORNEZUELO, ΔΙΠΛΗΣ ΚΑΤΕΥΘΥΝΣΗΣ</t>
  </si>
  <si>
    <t>ΕΛΑΙΩΝΕΣ3000227</t>
  </si>
  <si>
    <t>RAZZOLA, ΔΙΠΛΗΣ ΚΑΤΕΥΘΥΝΣΗΣ</t>
  </si>
  <si>
    <t>ΕΛΑΙΩΝΕΣ3000228</t>
  </si>
  <si>
    <t>FECCIARO, ΔΙΠΛΗΣ ΚΑΤΕΥΘΥΝΣΗΣ</t>
  </si>
  <si>
    <t>ΕΛΑΙΩΝΕΣ3000229</t>
  </si>
  <si>
    <t>CUCCO, ΔΙΠΛΗΣ ΚΑΤΕΥΘΥΝΣΗΣ</t>
  </si>
  <si>
    <t>ΕΛΑΙΩΝΕΣ3000230</t>
  </si>
  <si>
    <t>MAURINO, ΔΙΠΛΗΣ ΚΑΤΕΥΘΥΝΣΗΣ</t>
  </si>
  <si>
    <t>ΕΛΑΙΩΝΕΣ3000231</t>
  </si>
  <si>
    <t>ΘΙΑΚΗ (ΑΝΩ ΗΣΑΝΑ, ΘΙΑΚΟ,  ΠΛΕΞΙΔΕΝΙΑ,  ΝΤΟΠΙΑ), ΔΙΠΛΗΣ ΚΑΤΕΥΘΥΝΣΗΣ</t>
  </si>
  <si>
    <t>ΕΛΑΙΩΝΕΣ3000589</t>
  </si>
  <si>
    <t>ΑΓΙΟΡΙΤΙΚΗ, ΔΙΠΛΗΣ ΚΑΤΕΥΘΥΝΣΗΣ</t>
  </si>
  <si>
    <t>ΕΛΑΙΩΝΕΣ3000648</t>
  </si>
  <si>
    <t>BLANQUETA, ΔΙΠΛΗΣ ΚΑΤΕΥΘΥΝΣΗΣ</t>
  </si>
  <si>
    <t>ΕΛΑΙΩΝΕΣ3000649</t>
  </si>
  <si>
    <t>BLANQUETA DE ELVAS, ΔΙΠΛΗΣ ΚΑΤΕΥΘΥΝΣΗΣ</t>
  </si>
  <si>
    <t>ΕΛΑΙΩΝΕΣ3000650</t>
  </si>
  <si>
    <t>BOUTEILLAN, ΔΙΠΛΗΣ ΚΑΤΕΥΘΥΝΣΗΣ</t>
  </si>
  <si>
    <t>ΕΛΑΙΩΝΕΣ3000651</t>
  </si>
  <si>
    <t>ΓΑΛΑΤΣΑΝΙΚΗ, ΔΙΠΛΗΣ ΚΑΤΕΥΘΥΝΣΗΣ</t>
  </si>
  <si>
    <t>ΕΛΑΙΩΝΕΣ3000652</t>
  </si>
  <si>
    <t>ΖΑΚΥΝΘΟΥ, ΔΙΠΛΗΣ ΚΑΤΕΥΘΥΝΣΗΣ</t>
  </si>
  <si>
    <t>ΕΛΑΙΩΝΕΣ3000653</t>
  </si>
  <si>
    <t>FRANCIVENTO, ΔΙΠΛΗΣ ΚΑΤΕΥΘΥΝΣΗΣ</t>
  </si>
  <si>
    <t>ΕΛΑΙΩΝΕΣ3000654</t>
  </si>
  <si>
    <t>GORDAL SEVILLANA, ΔΙΠΛΗΣ ΚΑΤΕΥΘΥΝΣΗΣ</t>
  </si>
  <si>
    <t>ΕΛΑΙΩΝΕΣ3000655</t>
  </si>
  <si>
    <t>GRAPPOLO, ΔΙΠΛΗΣ ΚΑΤΕΥΘΥΝΣΗΣ</t>
  </si>
  <si>
    <t>ΕΛΑΙΩΝΕΣ3000656</t>
  </si>
  <si>
    <t>LECHIO DEL CORNO, ΔΙΠΛΗΣ ΚΑΤΕΥΘΥΝΣΗΣ</t>
  </si>
  <si>
    <t>ΕΛΑΙΩΝΕΣ3000657</t>
  </si>
  <si>
    <t>ΛΕΥΚΑΔΑΣ ΑΣΠΡΟΛΙΑ, ΔΙΠΛΗΣ ΚΑΤΕΥΘΥΝΣΗΣ</t>
  </si>
  <si>
    <t>ΕΛΑΙΩΝΕΣ3000658</t>
  </si>
  <si>
    <t>MANZANILLA DE CARMONA, ΔΙΠΛΗΣ ΚΑΤΕΥΘΥΝΣΗΣ</t>
  </si>
  <si>
    <t>ΕΛΑΙΩΝΕΣ3000659</t>
  </si>
  <si>
    <t>MANZANILLA ISR., ΔΙΠΛΗΣ ΚΑΤΕΥΘΥΝΣΗΣ</t>
  </si>
  <si>
    <t>ΕΛΑΙΩΝΕΣ3000660</t>
  </si>
  <si>
    <t>MANZANILLA NORMAL, ΔΙΠΛΗΣ ΚΑΤΕΥΘΥΝΣΗΣ</t>
  </si>
  <si>
    <t>ΕΛΑΙΩΝΕΣ3000661</t>
  </si>
  <si>
    <t>MAROCAN PICHOLINE, ΔΙΠΛΗΣ ΚΑΤΕΥΘΥΝΣΗΣ</t>
  </si>
  <si>
    <t>ΕΛΑΙΩΝΕΣ3000662</t>
  </si>
  <si>
    <t>ΜΑΡΩΝΕΙΑΣ, ΔΙΠΛΗΣ ΚΑΤΕΥΘΥΝΣΗΣ</t>
  </si>
  <si>
    <t>ΕΛΑΙΩΝΕΣ3000663</t>
  </si>
  <si>
    <t>MERHAVIA, ΔΙΠΛΗΣ ΚΑΤΕΥΘΥΝΣΗΣ</t>
  </si>
  <si>
    <t>ΕΛΑΙΩΝΕΣ3000664</t>
  </si>
  <si>
    <t>NASUICHI, ΔΙΠΛΗΣ ΚΑΤΕΥΘΥΝΣΗΣ</t>
  </si>
  <si>
    <t>ΕΛΑΙΩΝΕΣ3000665</t>
  </si>
  <si>
    <t>NEVADILLO BLANCO, ΔΙΠΛΗΣ ΚΑΤΕΥΘΥΝΣΗΣ</t>
  </si>
  <si>
    <t>ΕΛΑΙΩΝΕΣ3000666</t>
  </si>
  <si>
    <t>NEVADILLO NEGRO, ΔΙΠΛΗΣ ΚΑΤΕΥΘΥΝΣΗΣ</t>
  </si>
  <si>
    <t>ΕΛΑΙΩΝΕΣ3000667</t>
  </si>
  <si>
    <t>OLIVA DE CERIGNOLA, ΔΙΠΛΗΣ ΚΑΤΕΥΘΥΝΣΗΣ</t>
  </si>
  <si>
    <t>ΕΛΑΙΩΝΕΣ3000668</t>
  </si>
  <si>
    <t>PENDOLINO, ΔΙΠΛΗΣ ΚΑΤΕΥΘΥΝΣΗΣ</t>
  </si>
  <si>
    <t>ΕΛΑΙΩΝΕΣ3000669</t>
  </si>
  <si>
    <t>ΡΑΧΑΤΗ, ΔΙΠΛΗΣ ΚΑΤΕΥΘΥΝΣΗΣ</t>
  </si>
  <si>
    <t>ΕΛΑΙΩΝΕΣ3000670</t>
  </si>
  <si>
    <t>REAL SEVILLANA, ΔΙΠΛΗΣ ΚΑΤΕΥΘΥΝΣΗΣ</t>
  </si>
  <si>
    <t>ΕΛΑΙΩΝΕΣ3000671</t>
  </si>
  <si>
    <t>ΡΟΒΙΩΝ (ΠΡΑΣΙΝΗ), ΔΙΠΛΗΣ ΚΑΤΕΥΘΥΝΣΗΣ</t>
  </si>
  <si>
    <t>ΕΛΑΙΩΝΕΣ3000672</t>
  </si>
  <si>
    <t>ROSCIOLA, ΔΙΠΛΗΣ ΚΑΤΕΥΘΥΝΣΗΣ</t>
  </si>
  <si>
    <t>ΕΛΑΙΩΝΕΣ3000673</t>
  </si>
  <si>
    <t>SDE ELIAO, ΔΙΠΛΗΣ ΚΑΤΕΥΘΥΝΣΗΣ</t>
  </si>
  <si>
    <t>ΕΛΑΙΩΝΕΣ3000674</t>
  </si>
  <si>
    <t>SORANI, ΔΙΠΛΗΣ ΚΑΤΕΥΘΥΝΣΗΣ</t>
  </si>
  <si>
    <t>ΕΛΑΙΩΝΕΣ3000675</t>
  </si>
  <si>
    <t>TEMPIANILLO LUCENA, ΔΙΠΛΗΣ ΚΑΤΕΥΘΥΝΣΗΣ</t>
  </si>
  <si>
    <t>ΕΛΑΙΩΝΕΣ3000676</t>
  </si>
  <si>
    <t>ZORZALENO, ΔΙΠΛΗΣ ΚΑΤΕΥΘΥΝΣΗΣ</t>
  </si>
  <si>
    <t>ΕΛΑΙΩΝΕΣ3000677</t>
  </si>
  <si>
    <t>ΕΛΑΙΩΝΕΣ ΚΟΙΝΗΣ ΚΑΤΕΥΘΥΝΣΗΣ - ΛΟΙΠΕΣ, ΔΙΠΛΗΣ ΚΑΤΕΥΘΥΝΣΗΣ</t>
  </si>
  <si>
    <t>ΕΛΑΙΩΝΕΣ3008192</t>
  </si>
  <si>
    <t>ΘΙΑΚΗ (ΑΝΩ ΗΣΑΝΑ, ΘΙΑΚΟ, ΠΛΕΞΙΔΕΝΙΑ, ΝΤΟΠΙΑ)</t>
  </si>
  <si>
    <t>ΕΛΑΙΩΝΕΣ589</t>
  </si>
  <si>
    <t>ΑΓΙΟΡΙΤΙΚΗ</t>
  </si>
  <si>
    <t>ΕΛΑΙΩΝΕΣ648</t>
  </si>
  <si>
    <t>BLANQUETA</t>
  </si>
  <si>
    <t>ΕΛΑΙΩΝΕΣ649</t>
  </si>
  <si>
    <t>BLANQUETA DE ELVAS</t>
  </si>
  <si>
    <t>ΕΛΑΙΩΝΕΣ650</t>
  </si>
  <si>
    <t>BOUTEILLAN</t>
  </si>
  <si>
    <t>ΕΛΑΙΩΝΕΣ651</t>
  </si>
  <si>
    <t>ΓΑΛΑΤΣΑΝΙΚΗ</t>
  </si>
  <si>
    <t>ΕΛΑΙΩΝΕΣ652</t>
  </si>
  <si>
    <t>ΖΑΚΥΝΘΟΥ</t>
  </si>
  <si>
    <t>ΕΛΑΙΩΝΕΣ653</t>
  </si>
  <si>
    <t>FRANCIVENTO</t>
  </si>
  <si>
    <t>ΕΛΑΙΩΝΕΣ654</t>
  </si>
  <si>
    <t>GORDAL SEVILLANA</t>
  </si>
  <si>
    <t>ΕΛΑΙΩΝΕΣ655</t>
  </si>
  <si>
    <t>GRAPPOLO</t>
  </si>
  <si>
    <t>ΕΛΑΙΩΝΕΣ656</t>
  </si>
  <si>
    <t>LECHIO DEL CORNO</t>
  </si>
  <si>
    <t>ΕΛΑΙΩΝΕΣ657</t>
  </si>
  <si>
    <t>ΛΕΥΚΑΔΑΣ ΑΣΠΡΟΛΙΑ</t>
  </si>
  <si>
    <t>ΕΛΑΙΩΝΕΣ658</t>
  </si>
  <si>
    <t>MANZANILLA DE CARMONA</t>
  </si>
  <si>
    <t>ΕΛΑΙΩΝΕΣ659</t>
  </si>
  <si>
    <t>MANZANILLA ISR.</t>
  </si>
  <si>
    <t>ΕΛΑΙΩΝΕΣ660</t>
  </si>
  <si>
    <t>MANZANILLA NORMAL</t>
  </si>
  <si>
    <t>ΕΛΑΙΩΝΕΣ661</t>
  </si>
  <si>
    <t>MAROCAN PICHOLINE</t>
  </si>
  <si>
    <t>ΕΛΑΙΩΝΕΣ662</t>
  </si>
  <si>
    <t>ΜΑΡΩΝΕΙΑΣ</t>
  </si>
  <si>
    <t>ΕΛΑΙΩΝΕΣ663</t>
  </si>
  <si>
    <t>MERHAVIA</t>
  </si>
  <si>
    <t>ΕΛΑΙΩΝΕΣ664</t>
  </si>
  <si>
    <t>NASUICHI</t>
  </si>
  <si>
    <t>ΕΛΑΙΩΝΕΣ665</t>
  </si>
  <si>
    <t>NEVADILLO BLANCO</t>
  </si>
  <si>
    <t>ΕΛΑΙΩΝΕΣ666</t>
  </si>
  <si>
    <t>NEVADILLO NEGRO</t>
  </si>
  <si>
    <t>ΕΛΑΙΩΝΕΣ667</t>
  </si>
  <si>
    <t>OLIVA DE CERIGNOLA</t>
  </si>
  <si>
    <t>ΕΛΑΙΩΝΕΣ668</t>
  </si>
  <si>
    <t>PENDOLINO</t>
  </si>
  <si>
    <t>ΕΛΑΙΩΝΕΣ669</t>
  </si>
  <si>
    <t>ΡΑΧΑΤΗ</t>
  </si>
  <si>
    <t>ΕΛΑΙΩΝΕΣ670</t>
  </si>
  <si>
    <t>REAL SEVILLANA</t>
  </si>
  <si>
    <t>ΕΛΑΙΩΝΕΣ671</t>
  </si>
  <si>
    <t>ΡΟΒΙΩΝ (ΠΡΑΣΙΝΗ)</t>
  </si>
  <si>
    <t>ΕΛΑΙΩΝΕΣ672</t>
  </si>
  <si>
    <t>ROSCIOLA</t>
  </si>
  <si>
    <t>ΕΛΑΙΩΝΕΣ673</t>
  </si>
  <si>
    <t>SDE ELIAO</t>
  </si>
  <si>
    <t>ΕΛΑΙΩΝΕΣ674</t>
  </si>
  <si>
    <t>SORANI</t>
  </si>
  <si>
    <t>ΕΛΑΙΩΝΕΣ675</t>
  </si>
  <si>
    <t>TEMPIANILLO LUCENA</t>
  </si>
  <si>
    <t>ΕΛΑΙΩΝΕΣ676</t>
  </si>
  <si>
    <t>ZORZALENO</t>
  </si>
  <si>
    <t>ΕΛΑΙΩΝΕΣ677</t>
  </si>
  <si>
    <t>ΕΝΕΡΓΕΙΑΚΕΣ ΚΑΛΛΙΕΡΓΕΙΕΣ</t>
  </si>
  <si>
    <t>ΗΛΙΑΝΘΟΣ TALENTO</t>
  </si>
  <si>
    <t>ΕΝΕΡΓΕΙΑΚΕΣ ΚΑΛΛΙΕΡΓΕΙΕΣ16001</t>
  </si>
  <si>
    <t>ΗΛΙΑΝΘΟΣ SY EXPERTO</t>
  </si>
  <si>
    <t>ΕΝΕΡΓΕΙΑΚΕΣ ΚΑΛΛΙΕΡΓΕΙΕΣ16002</t>
  </si>
  <si>
    <t>ΗΛΙΑΝΘΟΣ P64LE99</t>
  </si>
  <si>
    <t>ΕΝΕΡΓΕΙΑΚΕΣ ΚΑΛΛΙΕΡΓΕΙΕΣ16003</t>
  </si>
  <si>
    <t>ΗΛΙΑΝΘΟΣ NK ΝΕΟΜΑ</t>
  </si>
  <si>
    <t>ΕΝΕΡΓΕΙΑΚΕΣ ΚΑΛΛΙΕΡΓΕΙΕΣ16004</t>
  </si>
  <si>
    <t>ΗΛΙΑΝΘΟΣ 64LP130</t>
  </si>
  <si>
    <t>ΕΝΕΡΓΕΙΑΚΕΣ ΚΑΛΛΙΕΡΓΕΙΕΣ16005</t>
  </si>
  <si>
    <t>ΗΛΙΑΝΘΟΣ ES TERRAMIS CL</t>
  </si>
  <si>
    <t>ΕΝΕΡΓΕΙΑΚΕΣ ΚΑΛΛΙΕΡΓΕΙΕΣ16006</t>
  </si>
  <si>
    <t>ΗΛΙΑΝΘΟΣ ES NOVAMIS CL</t>
  </si>
  <si>
    <t>ΕΝΕΡΓΕΙΑΚΕΣ ΚΑΛΛΙΕΡΓΕΙΕΣ16007</t>
  </si>
  <si>
    <t>ΗΛΙΑΝΘΟΣ KLARIKA CL</t>
  </si>
  <si>
    <t>ΕΝΕΡΓΕΙΑΚΕΣ ΚΑΛΛΙΕΡΓΕΙΕΣ16008</t>
  </si>
  <si>
    <t>ΕΝΕΡΓΕΙΑΚΕΣ ΚΑΛΛΙΕΡΓΕΙΕΣ16009</t>
  </si>
  <si>
    <t>ΕΝΕΡΓΕΙΑΚΕΣ ΚΑΛΛΙΕΡΓΕΙΕΣ16010</t>
  </si>
  <si>
    <t>ΕΝΕΡΓΕΙΑΚΕΣ ΚΑΛΛΙΕΡΓΕΙΕΣ16011</t>
  </si>
  <si>
    <t>ΕΝΕΡΓΕΙΑΚΕΣ ΚΑΛΛΙΕΡΓΕΙΕΣ16012</t>
  </si>
  <si>
    <t>ΕΝΕΡΓΕΙΑΚΕΣ ΚΑΛΛΙΕΡΓΕΙΕΣ16013</t>
  </si>
  <si>
    <t>ΕΝΕΡΓΕΙΑΚΕΣ ΚΑΛΛΙΕΡΓΕΙΕΣ16014</t>
  </si>
  <si>
    <t>ΕΝΕΡΓΕΙΑΚΕΣ ΚΑΛΛΙΕΡΓΕΙΕΣ6299</t>
  </si>
  <si>
    <t>ΕΝΕΡΓΕΙΑΚΕΣ ΚΑΛΛΙΕΡΓΕΙΕΣ6301</t>
  </si>
  <si>
    <t>ΕΝΕΡΓΕΙΑΚΕΣ ΚΑΛΛΙΕΡΓΕΙΕΣ6302</t>
  </si>
  <si>
    <t>ΕΝΕΡΓΕΙΑΚΕΣ ΚΑΛΛΙΕΡΓΕΙΕΣ6303</t>
  </si>
  <si>
    <t>ΕΝΕΡΓΕΙΑΚΕΣ ΚΑΛΛΙΕΡΓΕΙΕΣ6304</t>
  </si>
  <si>
    <t>ΕΝΕΡΓΕΙΑΚΕΣ ΚΑΛΛΙΕΡΓΕΙΕΣ6305</t>
  </si>
  <si>
    <t>ΗΛΙΑΝΘΟΣ ΔΙΑΦΟΡΑ</t>
  </si>
  <si>
    <t>ΕΝΕΡΓΕΙΑΚΕΣ ΚΑΛΛΙΕΡΓΕΙΕΣ6306</t>
  </si>
  <si>
    <t>ΣΟΓΙΑ</t>
  </si>
  <si>
    <t>ΕΝΕΡΓΕΙΑΚΕΣ ΚΑΛΛΙΕΡΓΕΙΕΣ6499</t>
  </si>
  <si>
    <t>ΑΓΡΙΟΑΓΓΙΝΑΡΑ</t>
  </si>
  <si>
    <t>ΕΝΕΡΓΕΙΑΚΕΣ ΚΑΛΛΙΕΡΓΕΙΕΣ8702</t>
  </si>
  <si>
    <t>ΑΤΡΑΚΤΥΛΙΔΑ</t>
  </si>
  <si>
    <t>ΕΝΕΡΓΕΙΑΚΕΣ ΚΑΛΛΙΕΡΓΕΙΕΣ8705</t>
  </si>
  <si>
    <t>ΕΞΑΙΡΕΤΙΚΗ ΠΕΡΙΣΤΑΣΗ</t>
  </si>
  <si>
    <t>ΑΓΩΓΟΣ ΤΑΠ</t>
  </si>
  <si>
    <t>ΕΞΑΙΡΕΤΙΚΗ ΠΕΡΙΣΤΑΣΗ97001</t>
  </si>
  <si>
    <t>ΕΣΠΕΡΙΔΟΕΙΔΗ</t>
  </si>
  <si>
    <t>ΠΟΡΤΟΚΑΛΙΕΣ</t>
  </si>
  <si>
    <t>ΕΣΠΕΡΙΔΟΕΙΔΗ10912</t>
  </si>
  <si>
    <t>ΦΡΑΠΕΣ</t>
  </si>
  <si>
    <t>ΕΣΠΕΡΙΔΟΕΙΔΗ10914</t>
  </si>
  <si>
    <t>ΣΑΤΣΟΥΜΕΣ</t>
  </si>
  <si>
    <t>ΕΣΠΕΡΙΔΟΕΙΔΗ10915</t>
  </si>
  <si>
    <t>ΚΛΙΜΕΝΤΙΝΕΣ</t>
  </si>
  <si>
    <t>ΕΣΠΕΡΙΔΟΕΙΔΗ10916</t>
  </si>
  <si>
    <t>ΜΑΝΤΑΡΙΝΙΑ ΚΑΛΥΜΝΟΥ</t>
  </si>
  <si>
    <t>ΕΣΠΕΡΙΔΟΕΙΔΗ10917</t>
  </si>
  <si>
    <t>ΚΙΤΡΑ EΤROG (ΙΟΥΔΑΪΚΑ)</t>
  </si>
  <si>
    <t>ΕΣΠΕΡΙΔΟΕΙΔΗ37002</t>
  </si>
  <si>
    <t>ΛΕΜΟΝΙΑ ΚΑΝΟΝ. ΠΑΡΑΓ. (ΚΙΤΡΙΝΑ)</t>
  </si>
  <si>
    <t>ΕΣΠΕΡΙΔΟΕΙΔΗ37003</t>
  </si>
  <si>
    <t>ΛΕΜΟΝΙΑ ΔΙΦΟΡΑ</t>
  </si>
  <si>
    <t>ΕΣΠΕΡΙΔΟΕΙΔΗ37004</t>
  </si>
  <si>
    <t>ΜΑΝΔΑΡΙΝΙΑ ΚΟΙΝΑ</t>
  </si>
  <si>
    <t>ΕΣΠΕΡΙΔΟΕΙΔΗ37005</t>
  </si>
  <si>
    <t>ΜΑΝΔΑΡΙΝΙΑ ΚΛΗΜΕΝΤΙΝΗ</t>
  </si>
  <si>
    <t>ΕΣΠΕΡΙΔΟΕΙΔΗ37006</t>
  </si>
  <si>
    <t>ΜΑΝΔΑΡΙΝΙΑ ΣΑΤΣΟΥΜΑ</t>
  </si>
  <si>
    <t>ΕΣΠΕΡΙΔΟΕΙΔΗ37007</t>
  </si>
  <si>
    <t>ΜΑΝΔΑΡΙΝΙΑ ΕΝΚΟΡ</t>
  </si>
  <si>
    <t>ΕΣΠΕΡΙΔΟΕΙΔΗ37008</t>
  </si>
  <si>
    <t>ΜΑΝΔΑΡΙΝΙΑ ΟΡΤΑΝΙΚ</t>
  </si>
  <si>
    <t>ΕΣΠΕΡΙΔΟΕΙΔΗ37009</t>
  </si>
  <si>
    <t>ΜΑΝΔΑΡΙΝΙΑ ΚΑΡΑ</t>
  </si>
  <si>
    <t>ΕΣΠΕΡΙΔΟΕΙΔΗ37010</t>
  </si>
  <si>
    <t>ΜΑΝΔΑΡΙΝΙΑ ΜΙΝΕΟΛΑ</t>
  </si>
  <si>
    <t>ΕΣΠΕΡΙΔΟΕΙΔΗ37011</t>
  </si>
  <si>
    <t>ΜΑΝΔΑΡΙΝΙΑ ΦΟΡΤΟΥΝΑ</t>
  </si>
  <si>
    <t>ΕΣΠΕΡΙΔΟΕΙΔΗ37012</t>
  </si>
  <si>
    <t>ΜΑΝΔΑΡΙΝΙΑ ΝΟΒΑ-ΠΕΪΤΖ</t>
  </si>
  <si>
    <t>ΕΣΠΕΡΙΔΟΕΙΔΗ37013</t>
  </si>
  <si>
    <t>MANTAPINIA MARISOL</t>
  </si>
  <si>
    <t>ΕΣΠΕΡΙΔΟΕΙΔΗ37014</t>
  </si>
  <si>
    <t>ΠΟΡΤΟΚΑΛΙΑ ΚΟΙΝ. ΠΟΙΚΙΛ.</t>
  </si>
  <si>
    <t>ΕΣΠΕΡΙΔΟΕΙΔΗ37016</t>
  </si>
  <si>
    <t>ΠΟΡΤΟΚΑΛΙΑ ΓΙΑΦΦΑ</t>
  </si>
  <si>
    <t>ΕΣΠΕΡΙΔΟΕΙΔΗ37017</t>
  </si>
  <si>
    <t>ΠΟΡΤΟΚΑΛΙΑ ΟΒΑΛ ΚΑΛΑΒΡΙΑΣ</t>
  </si>
  <si>
    <t>ΕΣΠΕΡΙΔΟΕΙΔΗ37018</t>
  </si>
  <si>
    <t>ΠΟΡΤΟΚΑΛΙΑ ΒΑΛΕΝΤΣΙΑ</t>
  </si>
  <si>
    <t>ΕΣΠΕΡΙΔΟΕΙΔΗ37019</t>
  </si>
  <si>
    <t>ΠΟΡΤΟΚΑΛΙΑ ΒΑΛΕΝΤΣΙΑ-ΜΙΚΡΟΚΑΡΠΙΑ</t>
  </si>
  <si>
    <t>ΕΣΠΕΡΙΔΟΕΙΔΗ37020</t>
  </si>
  <si>
    <t>ΠΟΡΤΟΚΑΛΙΑ ΜΠΟΝΑΤΣΑ</t>
  </si>
  <si>
    <t>ΕΣΠΕΡΙΔΟΕΙΔΗ37021</t>
  </si>
  <si>
    <t>ΠΟΡΤΟΚΑΛΙΑ ΝEWHΑLL</t>
  </si>
  <si>
    <t>ΕΣΠΕΡΙΔΟΕΙΔΗ37022</t>
  </si>
  <si>
    <t>ΠΟΡΤΟΚΑΛΙΑ ΝΑΒΕΛΙΝΑ</t>
  </si>
  <si>
    <t>ΕΣΠΕΡΙΔΟΕΙΔΗ37023</t>
  </si>
  <si>
    <t>ΠΟΡΤΟΚΑΛΙΑ ΝΑVELΑΤE</t>
  </si>
  <si>
    <t>ΕΣΠΕΡΙΔΟΕΙΔΗ37024</t>
  </si>
  <si>
    <t>ΠΟΡΤΟΚΑΛΙΑ ΛΟΙΠ. ΟΜΦΑΛ. ΠΟΙΚΙΛ.</t>
  </si>
  <si>
    <t>ΕΣΠΕΡΙΔΟΕΙΔΗ37025</t>
  </si>
  <si>
    <t>ΠΟΡΤΟΚΑΛΙΑ ΜORO</t>
  </si>
  <si>
    <t>ΕΣΠΕΡΙΔΟΕΙΔΗ37026</t>
  </si>
  <si>
    <t>ΠΟΡΤΟΚΑΛΙΑ ΤΑROCCO</t>
  </si>
  <si>
    <t>ΕΣΠΕΡΙΔΟΕΙΔΗ37027</t>
  </si>
  <si>
    <t>ΠΟΡΤΟΚΑΛΙΑ ΛΟΙΠ. ΑΙΜΑΤΟΧΡ. ΠΟΙΚΙΛ.</t>
  </si>
  <si>
    <t>ΕΣΠΕΡΙΔΟΕΙΔΗ37028</t>
  </si>
  <si>
    <t>ΠΟΡΤΟΚΑΛΙΑ ΓΛΥΚΟΧ. ΠΟΙΚΙΛ.</t>
  </si>
  <si>
    <t>ΕΣΠΕΡΙΔΟΕΙΔΗ37029</t>
  </si>
  <si>
    <t>ΠΟΡΤΟΚΑΛΙΑ ΣΑΛΟΥΣΤΙΑΝΑ</t>
  </si>
  <si>
    <t>ΕΣΠΕΡΙΔΟΕΙΔΗ37030</t>
  </si>
  <si>
    <t>ΠΟΡΤΟΚΑΛΙΑ ΤΥΜΠΑΚΙΟΥ</t>
  </si>
  <si>
    <t>ΕΣΠΕΡΙΔΟΕΙΔΗ37031</t>
  </si>
  <si>
    <t>ΠΟΡΤΟΚΑΛΙΑ LANE LATE</t>
  </si>
  <si>
    <t>ΕΣΠΕΡΙΔΟΕΙΔΗ37032</t>
  </si>
  <si>
    <t>ΠΕΡΓΑΜΟΝΤΟ</t>
  </si>
  <si>
    <t>ΕΣΠΕΡΙΔΟΕΙΔΗ37033</t>
  </si>
  <si>
    <t>ΝΕΡΑΤΖΙΕΣ</t>
  </si>
  <si>
    <t>ΕΣΠΕΡΙΔΟΕΙΔΗ37034</t>
  </si>
  <si>
    <t>ΠΟΡΤΟΚΑΛΙΑ WASHINGTON NAVEL (ΜΕΡΛΙΝ)</t>
  </si>
  <si>
    <t>ΕΣΠΕΡΙΔΟΕΙΔΗ37035</t>
  </si>
  <si>
    <t>ΜΟΣΧΟΛΕΜΟΝΟ - ΛΑΪΜ</t>
  </si>
  <si>
    <t>ΕΣΠΕΡΙΔΟΕΙΔΗ37036</t>
  </si>
  <si>
    <t>ΜΑΝΔΑΡΙΝΙΑ ΝΟΒΑ</t>
  </si>
  <si>
    <t>ΕΣΠΕΡΙΔΟΕΙΔΗ37038</t>
  </si>
  <si>
    <t>ΜΑΝΔΑΡΙΝΙΑ MURCOTT</t>
  </si>
  <si>
    <t>ΕΣΠΕΡΙΔΟΕΙΔΗ37039</t>
  </si>
  <si>
    <t>GRAPE FRUIT</t>
  </si>
  <si>
    <t>ΕΣΠΕΡΙΔΟΕΙΔΗ8166</t>
  </si>
  <si>
    <t>ΠΟΡΤΟΚΑΛΙΕΣ ΜΑΛΤΑΣ</t>
  </si>
  <si>
    <t>ΕΣΠΕΡΙΔΟΕΙΔΗ8167</t>
  </si>
  <si>
    <t>ΠΟΡΤΟΚΑΛΙΕΣ - ΣΑΓΚΟΥΙΝΙ ΓΟΥΡΙΤΣΗΣ</t>
  </si>
  <si>
    <t>ΕΣΠΕΡΙΔΟΕΙΔΗ8168</t>
  </si>
  <si>
    <t>ΜΑΝΤΑΡΙΝΙΕΣ - ΧΙΩΤΙΚΟ ΚΟΙΝΟ</t>
  </si>
  <si>
    <t>ΕΣΠΕΡΙΔΟΕΙΔΗ8169</t>
  </si>
  <si>
    <t>ΠΟΡΤΟΚΑΛΙΕΣ - LANE LATE</t>
  </si>
  <si>
    <t>ΕΣΠΕΡΙΔΟΕΙΔΗ8171</t>
  </si>
  <si>
    <t>ΛΕΜΟΝΙΕΣ</t>
  </si>
  <si>
    <t>ΕΣΠΕΡΙΔΟΕΙΔΗ8172</t>
  </si>
  <si>
    <t>ΕΣΠΕΡΙΔΟΕΙΔΗ8173</t>
  </si>
  <si>
    <t>ΜΑΝΤΑΡΙΝΙΕΣ</t>
  </si>
  <si>
    <t>ΕΣΠΕΡΙΔΟΕΙΔΗ8174</t>
  </si>
  <si>
    <t>ΚΟΥΜ ΚΟΥΑΤ</t>
  </si>
  <si>
    <t>ΕΣΠΕΡΙΔΟΕΙΔΗ8177</t>
  </si>
  <si>
    <t>ΚΙΤΡΑ</t>
  </si>
  <si>
    <t>ΕΣΠΕΡΙΔΟΕΙΔΗ8178</t>
  </si>
  <si>
    <t>GRAPE FRUIT ΜΕΤΑΠΟΙΗΣΗΣ</t>
  </si>
  <si>
    <t>ΕΣΠΕΡΙΔΟΕΙΔΗ8212</t>
  </si>
  <si>
    <t>ΛΕΜΟΝΙΕΣ ΜΕΤΑΠΟΙΗΣΗΣ</t>
  </si>
  <si>
    <t>ΕΣΠΕΡΙΔΟΕΙΔΗ8213</t>
  </si>
  <si>
    <t>ΜΑΝΤΑΡΙΝΙΕΣ ΜΕΤΑΠΟΙΗΣΗΣ</t>
  </si>
  <si>
    <t>ΕΣΠΕΡΙΔΟΕΙΔΗ8215</t>
  </si>
  <si>
    <t>ΦΡΑΠΕΣ ΜΕΤΑΠΟΙΗΣΗΣ</t>
  </si>
  <si>
    <t>ΕΣΠΕΡΙΔΟΕΙΔΗ8301</t>
  </si>
  <si>
    <t>ΣΑΤΣΟΥΜΕΣ ΜΕΤΑΠΟΙΗΣΗΣ</t>
  </si>
  <si>
    <t>ΕΣΠΕΡΙΔΟΕΙΔΗ8302</t>
  </si>
  <si>
    <t>ΚΛΙΜΕΝΤΙΝΕΣ ΜΕΤΑΠΟΙΗΣΗΣ</t>
  </si>
  <si>
    <t>ΕΣΠΕΡΙΔΟΕΙΔΗ8303</t>
  </si>
  <si>
    <t>ΖΑΧΑΡΟΤΕΥΤΛΑ</t>
  </si>
  <si>
    <t>ΖΑΧΑΡΟΤΕΥΤΛΑ CRETA</t>
  </si>
  <si>
    <t>ΖΑΧΑΡΟΤΕΥΤΛΑ10050</t>
  </si>
  <si>
    <t>ΖΑΧΑΡΟΤΕΥΤΛΑ PALMA</t>
  </si>
  <si>
    <t>ΖΑΧΑΡΟΤΕΥΤΛΑ10051</t>
  </si>
  <si>
    <t>ΖΑΧΑΡΟΤΕΥΤΛΑ YASMINE</t>
  </si>
  <si>
    <t>ΖΑΧΑΡΟΤΕΥΤΛΑ10052</t>
  </si>
  <si>
    <t>ΖΑΧΑΡΟΤΕΥΤΛΑ EFESOS</t>
  </si>
  <si>
    <t>ΖΑΧΑΡΟΤΕΥΤΛΑ10053</t>
  </si>
  <si>
    <t>ΖΑΧΑΡΟΤΕΥΤΛΑ DIAMANT</t>
  </si>
  <si>
    <t>ΖΑΧΑΡΟΤΕΥΤΛΑ10054</t>
  </si>
  <si>
    <t>ΖΑΧΑΡΟΤΕΥΤΛΑ MERAK</t>
  </si>
  <si>
    <t>ΖΑΧΑΡΟΤΕΥΤΛΑ10055</t>
  </si>
  <si>
    <t>ΖΑΧΑΡΟΤΕΥΤΛΑ FRED</t>
  </si>
  <si>
    <t>ΖΑΧΑΡΟΤΕΥΤΛΑ10056</t>
  </si>
  <si>
    <t>ΖΑΧΑΡΟΤΕΥΤΛΑ KEVIN</t>
  </si>
  <si>
    <t>ΖΑΧΑΡΟΤΕΥΤΛΑ10057</t>
  </si>
  <si>
    <t>ΖΑΧΑΡΟΤΕΥΤΛΑ ARIETE</t>
  </si>
  <si>
    <t>ΖΑΧΑΡΟΤΕΥΤΛΑ10058</t>
  </si>
  <si>
    <t>ΖΑΧΑΡΟΤΕΥΤΛΑ TAIFUN</t>
  </si>
  <si>
    <t>ΖΑΧΑΡΟΤΕΥΤΛΑ10059</t>
  </si>
  <si>
    <t>ΖΑΧΑΡΟΤΕΥΤΛΑ NAGANO</t>
  </si>
  <si>
    <t>ΖΑΧΑΡΟΤΕΥΤΛΑ10060</t>
  </si>
  <si>
    <t>ΖΑΧΑΡΟΤΕΥΤΛΑ KONRAD</t>
  </si>
  <si>
    <t>ΖΑΧΑΡΟΤΕΥΤΛΑ10061</t>
  </si>
  <si>
    <t>ΖΑΧΑΡΟΤΕΥΤΛΑ CONTINENTAL</t>
  </si>
  <si>
    <t>ΖΑΧΑΡΟΤΕΥΤΛΑ10062</t>
  </si>
  <si>
    <t>ΖΑΧΑΡΟΤΕΥΤΛΑ NESTORIX</t>
  </si>
  <si>
    <t>ΖΑΧΑΡΟΤΕΥΤΛΑ10063</t>
  </si>
  <si>
    <t>ΖΑΧΑΡΟΤΕΥΤΛΑ TILMAN</t>
  </si>
  <si>
    <t>ΖΑΧΑΡΟΤΕΥΤΛΑ10064</t>
  </si>
  <si>
    <t>ΖΑΧΑΡΟΤΕΥΤΛΑ DOROTEA</t>
  </si>
  <si>
    <t>ΖΑΧΑΡΟΤΕΥΤΛΑ10065</t>
  </si>
  <si>
    <t>ΖΑΧΑΡΟΤΕΥΤΛΑ FLORES</t>
  </si>
  <si>
    <t>ΖΑΧΑΡΟΤΕΥΤΛΑ10066</t>
  </si>
  <si>
    <t>ΖΑΧΑΡΟΤΕΥΤΛΑ VARIOS</t>
  </si>
  <si>
    <t>ΖΑΧΑΡΟΤΕΥΤΛΑ10067</t>
  </si>
  <si>
    <t>ΖΑΧΑΡΟΤΕΥΤΛΑ LIMOUSINE</t>
  </si>
  <si>
    <t>ΖΑΧΑΡΟΤΕΥΤΛΑ10068</t>
  </si>
  <si>
    <t>ΖΑΧΑΡΟΤΕΥΤΛΑ IMPACT</t>
  </si>
  <si>
    <t>ΖΑΧΑΡΟΤΕΥΤΛΑ1994</t>
  </si>
  <si>
    <t>ΖΑΧΑΡΟΤΕΥΤΛΑ CERVIA</t>
  </si>
  <si>
    <t>ΖΑΧΑΡΟΤΕΥΤΛΑ2167</t>
  </si>
  <si>
    <t>ΘΗΡΑΜΑΤΑ</t>
  </si>
  <si>
    <t>ΕΛΑΦΙΑ</t>
  </si>
  <si>
    <t>ΘΗΡΑΜΑΤΑ1310000</t>
  </si>
  <si>
    <t>ΖΑΡΚΑΔΙΑ</t>
  </si>
  <si>
    <t>ΘΗΡΑΜΑΤΑ1320000</t>
  </si>
  <si>
    <t>ΑΓΡΙΟΠΡΟΒΑΤΑ</t>
  </si>
  <si>
    <t>ΘΗΡΑΜΑΤΑ1330000</t>
  </si>
  <si>
    <t>ΘΗΡΑΜΑΤΙΚΑ ΠΤΗΝΑ</t>
  </si>
  <si>
    <t>ΦΑΣΙΑΝΟΙ</t>
  </si>
  <si>
    <t>ΘΗΡΑΜΑΤΙΚΑ ΠΤΗΝΑ910000</t>
  </si>
  <si>
    <t>ΠΕΡΔΙΚΕΣ</t>
  </si>
  <si>
    <t>ΘΗΡΑΜΑΤΙΚΑ ΠΤΗΝΑ920000</t>
  </si>
  <si>
    <t>ΟΡΤΥΚΙΑ</t>
  </si>
  <si>
    <t>ΘΗΡΑΜΑΤΙΚΑ ΠΤΗΝΑ930000</t>
  </si>
  <si>
    <t>ΙΠΠΟΕΙΔΗ</t>
  </si>
  <si>
    <t>ΙΠΠΟΙ, &lt; 6 ΜΗΝΩΝ, ΛΟΙΠΗ</t>
  </si>
  <si>
    <t>ΙΠΠΟΕΙΔΗ310304</t>
  </si>
  <si>
    <t>ΙΠΠΟΙ, ΑΡΣΕΝΙΚΟΙ, &lt; 6 ΜΗΝΩΝ, ΑΥΤΟΧΘΟΝΗ</t>
  </si>
  <si>
    <t>ΙΠΠΟΕΙΔΗ311302</t>
  </si>
  <si>
    <t>ΙΠΠΟΙ, ΑΡΣΕΝΙΚΟΙ, &lt; 6 ΜΗΝΩΝ, ΗΛΕΙΑΣ</t>
  </si>
  <si>
    <t>ΙΠΠΟΕΙΔΗ31130201</t>
  </si>
  <si>
    <t>ΙΠΠΟΙ, ΑΡΣΕΝΙΚΟΙ, &lt; 6 ΜΗΝΩΝ, ΠΗΝΕΙΑΣ</t>
  </si>
  <si>
    <t>ΙΠΠΟΕΙΔΗ31130202</t>
  </si>
  <si>
    <t>ΙΠΠΟΙ, ΑΡΣΕΝΙΚΟΙ, &lt; 6 ΜΗΝΩΝ, ΘΕΣΣΑΛΙΑΣ</t>
  </si>
  <si>
    <t>ΙΠΠΟΕΙΔΗ31130203</t>
  </si>
  <si>
    <t>ΙΠΠΟΙ, ΑΡΣΕΝΙΚΟΙ, &lt; 6 ΜΗΝΩΝ, ΣΚΥΡΟΥ</t>
  </si>
  <si>
    <t>ΙΠΠΟΕΙΔΗ31130204</t>
  </si>
  <si>
    <t>ΙΠΠΟΙ, ΑΡΣΕΝΙΚΟΙ, &lt; 6 ΜΗΝΩΝ, ΠΙΝΔΟΥ</t>
  </si>
  <si>
    <t>ΙΠΠΟΕΙΔΗ31130205</t>
  </si>
  <si>
    <t>ΙΠΠΟΙ, ΑΡΣΕΝΙΚΟΙ, &lt; 6 ΜΗΝΩΝ, ΜΕΣΣΑΡΑ</t>
  </si>
  <si>
    <t>ΙΠΠΟΕΙΔΗ31130206</t>
  </si>
  <si>
    <t>ΙΠΠΟΙ, ΑΡΣΕΝΙΚΟΙ, &gt; 6 ΜΗΝΩΝ, ΑΥΤΟΧΘΟΝΗ</t>
  </si>
  <si>
    <t>ΙΠΠΟΕΙΔΗ311402</t>
  </si>
  <si>
    <t>ΙΠΠΟΙ, ΑΡΣΕΝΙΚΟΙ, &gt; 6 ΜΗΝΩΝ, ΗΛΕΙΑΣ</t>
  </si>
  <si>
    <t>ΙΠΠΟΕΙΔΗ31140201</t>
  </si>
  <si>
    <t>ΙΠΠΟΙ, ΑΡΣΕΝΙΚΟΙ, &gt; 6 ΜΗΝΩΝ, ΠΗΝΕΙΑΣ</t>
  </si>
  <si>
    <t>ΙΠΠΟΕΙΔΗ31140202</t>
  </si>
  <si>
    <t>ΙΠΠΟΙ, ΑΡΣΕΝΙΚΟΙ, &gt; 6 ΜΗΝΩΝ, ΘΕΣΣΑΛΙΑΣ</t>
  </si>
  <si>
    <t>ΙΠΠΟΕΙΔΗ31140203</t>
  </si>
  <si>
    <t>ΙΠΠΟΙ, ΑΡΣΕΝΙΚΟΙ, &gt; 6 ΜΗΝΩΝ, ΣΚΥΡΟΥ</t>
  </si>
  <si>
    <t>ΙΠΠΟΕΙΔΗ31140204</t>
  </si>
  <si>
    <t>ΙΠΠΟΙ, ΑΡΣΕΝΙΚΟΙ, &gt; 6 ΜΗΝΩΝ, ΠΙΝΔΟΥ</t>
  </si>
  <si>
    <t>ΙΠΠΟΕΙΔΗ31140205</t>
  </si>
  <si>
    <t>ΙΠΠΟΙ, ΑΡΣΕΝΙΚΟΙ, &gt; 6 ΜΗΝΩΝ, ΜΕΣΣΑΡΑ</t>
  </si>
  <si>
    <t>ΙΠΠΟΕΙΔΗ31140206</t>
  </si>
  <si>
    <t>ΙΠΠΟΙ, ΑΡΣΕΝΙΚΟΙ &gt; 6 ΜΗΝΩΝ, ΛΟΙΠΗ</t>
  </si>
  <si>
    <t>ΙΠΠΟΕΙΔΗ311404</t>
  </si>
  <si>
    <t>ΙΠΠΟΙ, ΘΗΛΥΚΟΙ, &lt; 6 ΜΗΝΩΝ, ΑΥΤΟΧΘΟΝΗ</t>
  </si>
  <si>
    <t>ΙΠΠΟΕΙΔΗ312302</t>
  </si>
  <si>
    <t>ΙΠΠΟΙ, ΘΗΛΥΚΟΙ, &lt; 6 ΜΗΝΩΝ, ΗΛΕΙΑΣ</t>
  </si>
  <si>
    <t>ΙΠΠΟΕΙΔΗ31230201</t>
  </si>
  <si>
    <t>ΙΠΠΟΙ, ΘΗΛΥΚΟΙ, &lt; 6 ΜΗΝΩΝ, ΠΗΝΕΙΑΣ</t>
  </si>
  <si>
    <t>ΙΠΠΟΕΙΔΗ31230202</t>
  </si>
  <si>
    <t>ΙΠΠΟΙ, ΘΗΛΥΚΟΙ, &lt; 6 ΜΗΝΩΝ, ΘΕΣΣΑΛΙΑΣ</t>
  </si>
  <si>
    <t>ΙΠΠΟΕΙΔΗ31230203</t>
  </si>
  <si>
    <t>ΙΠΠΟΙ, ΘΗΛΥΚΟΙ, &lt; 6 ΜΗΝΩΝ, ΣΚΥΡΟΥ</t>
  </si>
  <si>
    <t>ΙΠΠΟΕΙΔΗ31230204</t>
  </si>
  <si>
    <t>ΙΠΠΟΙ, ΘΗΛΥΚΟΙ, &lt; 6 ΜΗΝΩΝ, ΠΙΝΔΟΥ</t>
  </si>
  <si>
    <t>ΙΠΠΟΕΙΔΗ31230205</t>
  </si>
  <si>
    <t>ΙΠΠΟΙ, ΘΗΛΥΚΟΙ, &lt; 6 ΜΗΝΩΝ, ΜΕΣΣΑΡΑ</t>
  </si>
  <si>
    <t>ΙΠΠΟΕΙΔΗ31230206</t>
  </si>
  <si>
    <t>ΙΠΠΟΙ, ΘΗΛΥΚΟΙ, &gt; 6 ΜΗΝΩΝ, ΑΥΤΟΧΘΟΝΗ</t>
  </si>
  <si>
    <t>ΙΠΠΟΕΙΔΗ312402</t>
  </si>
  <si>
    <t>ΙΠΠΟΙ, ΘΗΛΥΚΟΙ, &gt; 6 ΜΗΝΩΝ, ΗΛΕΙΑΣ</t>
  </si>
  <si>
    <t>ΙΠΠΟΕΙΔΗ31240201</t>
  </si>
  <si>
    <t>ΙΠΠΟΙ, ΘΗΛΥΚΟΙ, &gt; 6 ΜΗΝΩΝ, ΠΗΝΕΙΑΣ</t>
  </si>
  <si>
    <t>ΙΠΠΟΕΙΔΗ31240202</t>
  </si>
  <si>
    <t>ΙΠΠΟΙ, ΘΗΛΥΚΟΙ, &gt; 6 ΜΗΝΩΝ, ΘΕΣΣΑΛΙΑΣ</t>
  </si>
  <si>
    <t>ΙΠΠΟΕΙΔΗ31240203</t>
  </si>
  <si>
    <t>ΙΠΠΟΙ, ΘΗΛΥΚΟΙ, &gt; 6 ΜΗΝΩΝ, ΣΚΥΡΟΥ</t>
  </si>
  <si>
    <t>ΙΠΠΟΕΙΔΗ31240204</t>
  </si>
  <si>
    <t>ΙΠΠΟΙ, ΘΗΛΥΚΟΙ, &gt; 6 ΜΗΝΩΝ, ΠΙΝΔΟΥ</t>
  </si>
  <si>
    <t>ΙΠΠΟΕΙΔΗ31240205</t>
  </si>
  <si>
    <t>ΙΠΠΟΙ, ΘΗΛΥΚΟΙ, &gt; 6 ΜΗΝΩΝ, ΜΕΣΣΑΡΑ</t>
  </si>
  <si>
    <t>ΙΠΠΟΕΙΔΗ31240206</t>
  </si>
  <si>
    <t>ΙΠΠΟΙ, ΘΗΛΥΚΟΙ &gt; 6 ΜΗΝΩΝ, ΛΟΙΠΗ</t>
  </si>
  <si>
    <t>ΙΠΠΟΕΙΔΗ312404</t>
  </si>
  <si>
    <t>ΗΜΙΟΝΟΙ, &lt; 6 ΜΗΝΩΝ</t>
  </si>
  <si>
    <t>ΙΠΠΟΕΙΔΗ320300</t>
  </si>
  <si>
    <t>ΗΜΙΟΝΟΙ, &gt; 6 ΜΗΝΩΝ</t>
  </si>
  <si>
    <t>ΙΠΠΟΕΙΔΗ320400</t>
  </si>
  <si>
    <t>ΟΝΟΙ, &lt; 6 ΜΗΝΩΝ</t>
  </si>
  <si>
    <t>ΙΠΠΟΕΙΔΗ330300</t>
  </si>
  <si>
    <t>ΟΝΟΙ, &gt; 6 ΜΗΝΩΝ</t>
  </si>
  <si>
    <t>ΙΠΠΟΕΙΔΗ330400</t>
  </si>
  <si>
    <t>ΚΑΠΝΟΣ</t>
  </si>
  <si>
    <t>ΚΑΠΝΟΣ ΜΠΑΣΜΑΣ</t>
  </si>
  <si>
    <t>ΚΑΠΝΟΣ1700</t>
  </si>
  <si>
    <t>ΚΑΠΝΟΣ ΑΡΓΥΡΟΥΔΗΣ 14Α</t>
  </si>
  <si>
    <t>ΚΑΠΝΟΣ17001</t>
  </si>
  <si>
    <t>ΚΑΠΝΟΣ ΔΟΞΑΤΟ</t>
  </si>
  <si>
    <t>ΚΑΠΝΟΣ17002</t>
  </si>
  <si>
    <t>ΚΑΠΝΟΣ ΞΑΝΘΗ 81</t>
  </si>
  <si>
    <t>ΚΑΠΝΟΣ17003</t>
  </si>
  <si>
    <t>ΚΑΠΝΟΣ ΔΡΑΜΑ Ζ7</t>
  </si>
  <si>
    <t>ΚΑΠΝΟΣ17004</t>
  </si>
  <si>
    <t>ΚΑΠΝΟΣ ΚΑΡΑΤΖΟΒΑ 7</t>
  </si>
  <si>
    <t>ΚΑΠΝΟΣ17005</t>
  </si>
  <si>
    <t>ΚΑΠΝΟΣ ΜΑΥΡΟΣ ΥΠΑΤΗΣ</t>
  </si>
  <si>
    <t>ΚΑΠΝΟΣ17006</t>
  </si>
  <si>
    <t>ΚΑΠΝΟΣ ΝΙΓΡΙΤΑ 34</t>
  </si>
  <si>
    <t>ΚΑΠΝΟΣ17007</t>
  </si>
  <si>
    <t>ΚΑΠΝΟΣ ΝΙΚΗ</t>
  </si>
  <si>
    <t>ΚΑΠΝΟΣ17008</t>
  </si>
  <si>
    <t>ΚΑΠΝΟΣ ΞΑΝΘΗ 2Α</t>
  </si>
  <si>
    <t>ΚΑΠΝΟΣ17009</t>
  </si>
  <si>
    <t>ΚΑΠΝΟΣ ΑΡΓΟΥΣ ΠΡΟΣΥΜΝΗ</t>
  </si>
  <si>
    <t>ΚΑΠΝΟΣ17010</t>
  </si>
  <si>
    <t>ΚΑΠΝΟΣ ΖΙΧΝΑ ΠΑΓΓΑΙΟΥ</t>
  </si>
  <si>
    <t>ΚΑΠΝΟΣ17011</t>
  </si>
  <si>
    <t>ΚΑΠΝΟΣ ΠΤΟΛΕΜΑΙΔΑ 63</t>
  </si>
  <si>
    <t>ΚΑΠΝΟΣ17012</t>
  </si>
  <si>
    <t>ΚΑΠΝΟΣ ΣΑΜΨΟΥΣ 79</t>
  </si>
  <si>
    <t>ΚΑΠΝΟΣ17013</t>
  </si>
  <si>
    <t>ΚΑΠΝΟΣ ΤΡΑΠΕΖΟΥΣ</t>
  </si>
  <si>
    <t>ΚΑΠΝΟΣ17014</t>
  </si>
  <si>
    <t>ΚΑΠΝΟΣ ΘΕΣΣΑΛΙΑ 26</t>
  </si>
  <si>
    <t>ΚΑΠΝΟΣ17015</t>
  </si>
  <si>
    <t>ΚΑΠΝΟΣ ΚΟΝΤ ΖΑΓΚΛΙΒΕΡ.Ζ</t>
  </si>
  <si>
    <t>ΚΑΠΝΟΣ17016</t>
  </si>
  <si>
    <t>ΚΑΠΝΟΣ ΚΑΤΕΡΙΝΗΣ</t>
  </si>
  <si>
    <t>ΚΑΠΝΟΣ1810</t>
  </si>
  <si>
    <t>ΚΑΠΝΟΣ Σ-79 (ΚΑΤΕΡΙΝΗ)</t>
  </si>
  <si>
    <t>ΚΑΠΝΟΣ1830</t>
  </si>
  <si>
    <t>ΚΑΠΝΟΣ Κ. Κ. ΚΛΑΣΣΙΚΑ</t>
  </si>
  <si>
    <t>ΚΑΠΝΟΣ1910</t>
  </si>
  <si>
    <t>ΚΑΠΝΟΣ ΕΛΑΣΣΟΝΑ</t>
  </si>
  <si>
    <t>ΚΑΠΝΟΣ1920</t>
  </si>
  <si>
    <t>ΚΑΠΝΟΣ ΜΥΡ. ΑΓΡΙΝΙΟΥ</t>
  </si>
  <si>
    <t>ΚΑΠΝΟΣ2100</t>
  </si>
  <si>
    <t>ΚΑΠΝΟΣ ΤΣΕΜΠΕΛΙΑ</t>
  </si>
  <si>
    <t>ΚΑΠΝΟΣ2300</t>
  </si>
  <si>
    <t>ΚΑΠΝΟΣ ΜΑΥΡΑ</t>
  </si>
  <si>
    <t>ΚΑΠΝΟΣ2400</t>
  </si>
  <si>
    <t>ΚΑΠΝΟΣ ΜΠΕΡΛΕΥ</t>
  </si>
  <si>
    <t>ΚΑΠΝΟΣ2500</t>
  </si>
  <si>
    <t>ΚΑΠΝΟΣ ΒΙΡΤΖΙΝΙΑ</t>
  </si>
  <si>
    <t>ΚΑΠΝΟΣ2600</t>
  </si>
  <si>
    <t>ΚΗΠΕΥΤΙΚΑ ΥΠΟ ΚΑΛΥΨΗ</t>
  </si>
  <si>
    <t>ΜΑΡΟΥΛΙ - ΜΑΡΟΥΛΙΑ ΣΑΛΑΤΑ ΘΕΡΜΟΚΗΠΙΟΥ</t>
  </si>
  <si>
    <t>ΚΗΠΕΥΤΙΚΑ ΥΠΟ ΚΑΛΥΨΗ10209</t>
  </si>
  <si>
    <t>ΚΑΡΠΟΥΖΙ ΠΡΩΙΜO ΚΑΛΥΨΗ</t>
  </si>
  <si>
    <t>ΚΗΠΕΥΤΙΚΑ ΥΠΟ ΚΑΛΥΨΗ10210</t>
  </si>
  <si>
    <t>ΜΕΛΙΤΖΑΝΑ ΘΕΡΜΟΚΗΠΙΟΥ</t>
  </si>
  <si>
    <t>ΚΗΠΕΥΤΙΚΑ ΥΠΟ ΚΑΛΥΨΗ10212</t>
  </si>
  <si>
    <t>ΚΑΡΠΟΥΖΙ ΘΕΡΜΟΚΗΠΙΟΥ</t>
  </si>
  <si>
    <t>ΚΗΠΕΥΤΙΚΑ ΥΠΟ ΚΑΛΥΨΗ102120</t>
  </si>
  <si>
    <t>ΦΡΑΟΥΛΑ ΘΕΡΜΟΚΗΠΙΟΥ</t>
  </si>
  <si>
    <t>ΚΗΠΕΥΤΙΚΑ ΥΠΟ ΚΑΛΥΨΗ102122</t>
  </si>
  <si>
    <t>ΣΠΑΝΑΚΙ</t>
  </si>
  <si>
    <t>ΚΗΠΕΥΤΙΚΑ ΥΠΟ ΚΑΛΥΨΗ10215</t>
  </si>
  <si>
    <t>ΣΠΑΝΑΚΙ ΒΙΟΜΗΧΑΝΙΑΣ</t>
  </si>
  <si>
    <t>ΚΗΠΕΥΤΙΚΑ ΥΠΟ ΚΑΛΥΨΗ10216</t>
  </si>
  <si>
    <t>ΑΝΤΙΔΙ</t>
  </si>
  <si>
    <t>ΚΗΠΕΥΤΙΚΑ ΥΠΟ ΚΑΛΥΨΗ10224</t>
  </si>
  <si>
    <t>ΣΕΛΙΝΟ</t>
  </si>
  <si>
    <t>ΚΗΠΕΥΤΙΚΑ ΥΠΟ ΚΑΛΥΨΗ10230</t>
  </si>
  <si>
    <t>ΠΕΠΟΝΙ ΧΑΜΗΛΗΣ ΚΑΛΥΨΗΣ</t>
  </si>
  <si>
    <t>ΚΗΠΕΥΤΙΚΑ ΥΠΟ ΚΑΛΥΨΗ10231</t>
  </si>
  <si>
    <t>ΑΝΗΘΟΣ</t>
  </si>
  <si>
    <t>ΚΗΠΕΥΤΙΚΑ ΥΠΟ ΚΑΛΥΨΗ10232</t>
  </si>
  <si>
    <t>ΜΑΙΝΤΑΝΟΣ</t>
  </si>
  <si>
    <t>ΚΗΠΕΥΤΙΚΑ ΥΠΟ ΚΑΛΥΨΗ10233</t>
  </si>
  <si>
    <t>ΡΟΚΑ</t>
  </si>
  <si>
    <t>ΚΗΠΕΥΤΙΚΑ ΥΠΟ ΚΑΛΥΨΗ10234</t>
  </si>
  <si>
    <t>ΡΟΚΑ - ΚΡΗΤΗΣ</t>
  </si>
  <si>
    <t>ΚΗΠΕΥΤΙΚΑ ΥΠΟ ΚΑΛΥΨΗ10248</t>
  </si>
  <si>
    <t>ΡΟΚΑ - ΙΟΝΙΩΝ</t>
  </si>
  <si>
    <t>ΚΗΠΕΥΤΙΚΑ ΥΠΟ ΚΑΛΥΨΗ10249</t>
  </si>
  <si>
    <t>ΦΡΑΟΥΛΑ ΧΑΜΗΛΗΣ - ΥΨΗΛΗΣ ΚΑΛΥΨΗΣ</t>
  </si>
  <si>
    <t>ΚΗΠΕΥΤΙΚΑ ΥΠΟ ΚΑΛΥΨΗ107001</t>
  </si>
  <si>
    <t>ΠΕΠΙΤΟ</t>
  </si>
  <si>
    <t>ΚΗΠΕΥΤΙΚΑ ΥΠΟ ΚΑΛΥΨΗ10836</t>
  </si>
  <si>
    <t>ΚΗΠΕΥΤΙΚΑ ΥΠΟ ΚΑΛΥΨΗ18108</t>
  </si>
  <si>
    <t>ΚΑΡΟΤΑ ΘΕΡΜΟΚΗΠΙΟΥ</t>
  </si>
  <si>
    <t>ΚΗΠΕΥΤΙΚΑ ΥΠΟ ΚΑΛΥΨΗ39001</t>
  </si>
  <si>
    <t>ΚΑΡΟΤΑ ΘΕΡΜΟΚΗΠΙΟΥ ΕΞΑΙΡΕΣΗ</t>
  </si>
  <si>
    <t>ΚΗΠΕΥΤΙΚΑ ΥΠΟ ΚΑΛΥΨΗ39002</t>
  </si>
  <si>
    <t>ΤΕΥΤΛΑ - ΠΑΝΤΖΑΡΙΑ</t>
  </si>
  <si>
    <t>ΚΗΠΕΥΤΙΚΑ ΥΠΟ ΚΑΛΥΨΗ39003</t>
  </si>
  <si>
    <t>ΤΟΜΑΤΑΚΙ ΒΕΛΑΝΙΔΙ</t>
  </si>
  <si>
    <t>ΚΗΠΕΥΤΙΚΑ ΥΠΟ ΚΑΛΥΨΗ39004</t>
  </si>
  <si>
    <t>ΤΟΜΑΤΑ MANDOLIN</t>
  </si>
  <si>
    <t>ΚΗΠΕΥΤΙΚΑ ΥΠΟ ΚΑΛΥΨΗ39005</t>
  </si>
  <si>
    <t>ΠΡΑΣΣΟ</t>
  </si>
  <si>
    <t>ΚΗΠΕΥΤΙΚΑ ΥΠΟ ΚΑΛΥΨΗ39006</t>
  </si>
  <si>
    <t>ΜΑΝΙΤΑΡΙΑ ΠΛΕΥΡΩΤΟΥΣ ΚΙΤΡΙΝΑ</t>
  </si>
  <si>
    <t>ΚΗΠΕΥΤΙΚΑ ΥΠΟ ΚΑΛΥΨΗ39007</t>
  </si>
  <si>
    <t>ΜΑΝΙΤΑΡΙΑ ΛΕΝΤΙΝΟΥΛΑ</t>
  </si>
  <si>
    <t>ΚΗΠΕΥΤΙΚΑ ΥΠΟ ΚΑΛΥΨΗ39008</t>
  </si>
  <si>
    <t>ΜΑΝΙΤΑΡΙΑ PORTOBELLO</t>
  </si>
  <si>
    <t>ΚΗΠΕΥΤΙΚΑ ΥΠΟ ΚΑΛΥΨΗ39009</t>
  </si>
  <si>
    <t>ΜΑΝΙΤΑΡΙΑ ΓΑΝΟΔΕΡΜΑ</t>
  </si>
  <si>
    <t>ΚΗΠΕΥΤΙΚΑ ΥΠΟ ΚΑΛΥΨΗ39010</t>
  </si>
  <si>
    <t>ΜΑΝΙΤΑΡΙΑ ΣΙΤΑΚΕ (SHIITAKE)</t>
  </si>
  <si>
    <t>ΚΗΠΕΥΤΙΚΑ ΥΠΟ ΚΑΛΥΨΗ39011</t>
  </si>
  <si>
    <t>ΚΡΙΤΑΜΟ ή ΑΛΜΥΡΑ</t>
  </si>
  <si>
    <t>ΚΗΠΕΥΤΙΚΑ ΥΠΟ ΚΑΛΥΨΗ39012</t>
  </si>
  <si>
    <t>ΤΟΜΑΤΑΚΙ CHERRY (ΥΠΟ ΚΑΛΥΨΗ)</t>
  </si>
  <si>
    <t>ΚΗΠΕΥΤΙΚΑ ΥΠΟ ΚΑΛΥΨΗ39013</t>
  </si>
  <si>
    <t>ΚΟΛΙΑΝΔΡΟΣ</t>
  </si>
  <si>
    <t>ΚΗΠΕΥΤΙΚΑ ΥΠΟ ΚΑΛΥΨΗ39014</t>
  </si>
  <si>
    <t>ΒΛΗΤΑ ΥΠΟ ΚΑΛΥΨΗ</t>
  </si>
  <si>
    <t>ΚΗΠΕΥΤΙΚΑ ΥΠΟ ΚΑΛΥΨΗ39015</t>
  </si>
  <si>
    <t>ΣΕΣΚΟΥΛΟ ΥΠΟ ΚΑΛΥΨΗ</t>
  </si>
  <si>
    <t>ΚΗΠΕΥΤΙΚΑ ΥΠΟ ΚΑΛΥΨΗ39016</t>
  </si>
  <si>
    <t>ΣΧΟΙΝΟΠΡΑΣΟ ΥΠΟ ΚΑΛΥΨΗ</t>
  </si>
  <si>
    <t>ΚΗΠΕΥΤΙΚΑ ΥΠΟ ΚΑΛΥΨΗ39017</t>
  </si>
  <si>
    <t>ΜΠΡΟΚΟΛΟ ΥΠΟ ΚΑΛΥΨΗ</t>
  </si>
  <si>
    <t>ΚΗΠΕΥΤΙΚΑ ΥΠΟ ΚΑΛΥΨΗ39018</t>
  </si>
  <si>
    <t>ΡΑΠΑΝΑΚΙ ΥΠΟ ΚΑΛΥΨΗ</t>
  </si>
  <si>
    <t>ΚΗΠΕΥΤΙΚΑ ΥΠΟ ΚΑΛΥΨΗ39019</t>
  </si>
  <si>
    <t>ΜΑΝΙΤΑΡΙΑ LION'S MANE / ΕΡΙΚΙΟ ΤΟ ΑΓΚΑΘΩΤΟ Ή ΑΡΝΑΚΙ (Hericium erinaceus)</t>
  </si>
  <si>
    <t>ΚΗΠΕΥΤΙΚΑ ΥΠΟ ΚΑΛΥΨΗ39020</t>
  </si>
  <si>
    <t>ΜΑΝΙΤΑΡΙΑ BLUE OYSTER (Pleurotus ostreauts v. columbinus)</t>
  </si>
  <si>
    <t>ΚΗΠΕΥΤΙΚΑ ΥΠΟ ΚΑΛΥΨΗ39021</t>
  </si>
  <si>
    <t>ΜΑΝΙΤΑΡΙΑ BLACK PEARL OYSTER ( Pleurotus ostreatus)</t>
  </si>
  <si>
    <t>ΚΗΠΕΥΤΙΚΑ ΥΠΟ ΚΑΛΥΨΗ39022</t>
  </si>
  <si>
    <t>ΜΑΝΙΤΑΡΙΑ CORDYCEPS ( Cordyceps militaris)</t>
  </si>
  <si>
    <t>ΚΗΠΕΥΤΙΚΑ ΥΠΟ ΚΑΛΥΨΗ39023</t>
  </si>
  <si>
    <t>ΜΑΝΙΤΑΡΙΑ KING STROPHARIA (Stropharia rugosoannulata)</t>
  </si>
  <si>
    <t>ΚΗΠΕΥΤΙΚΑ ΥΠΟ ΚΑΛΥΨΗ39024</t>
  </si>
  <si>
    <t>ΜΑΝΙΤΑΡΙΑ ΒΩΛΙΤΗΣ Ο ΕΔΩΔΙΜΟΣ (Boletus edulis)</t>
  </si>
  <si>
    <t>ΚΗΠΕΥΤΙΚΑ ΥΠΟ ΚΑΛΥΨΗ39025</t>
  </si>
  <si>
    <t>ΚΟΥΝΟΥΠΙΔΙ ΥΠΟ ΚΑΛΥΨΗ</t>
  </si>
  <si>
    <t>ΚΗΠΕΥΤΙΚΑ ΥΠΟ ΚΑΛΥΨΗ39026</t>
  </si>
  <si>
    <t>ΠΙΠΕΡΙΕΣ ΦΛΩΡΙΝΗΣ ΥΠΟ ΚΑΛΥΨΗ</t>
  </si>
  <si>
    <t>ΚΗΠΕΥΤΙΚΑ ΥΠΟ ΚΑΛΥΨΗ39027</t>
  </si>
  <si>
    <t>ΜΑΝΙΤΑΡΙΑ ΤΡΟΥΦΕΣ</t>
  </si>
  <si>
    <t>ΚΗΠΕΥΤΙΚΑ ΥΠΟ ΚΑΛΥΨΗ8546</t>
  </si>
  <si>
    <t>ΑΓΓΟΥΡΙ ΘΕΡΜΟΚΗΠΙΟΥ</t>
  </si>
  <si>
    <t>ΚΗΠΕΥΤΙΚΑ ΥΠΟ ΚΑΛΥΨΗ8670</t>
  </si>
  <si>
    <t>ΚΟΛΟΚΥΘΑΚΙ ΘΕΡΜΟΚΗΠΙΟΥ</t>
  </si>
  <si>
    <t>ΚΗΠΕΥΤΙΚΑ ΥΠΟ ΚΑΛΥΨΗ8671</t>
  </si>
  <si>
    <t>ΤΟΜΑΤΑ ΘΕΡΜΟΚΗΠΙΟΥ</t>
  </si>
  <si>
    <t>ΚΗΠΕΥΤΙΚΑ ΥΠΟ ΚΑΛΥΨΗ8672</t>
  </si>
  <si>
    <t>ΠΕΠΟΝΙ ΘΕΡΜΟΚΗΠΙΟΥ</t>
  </si>
  <si>
    <t>ΚΗΠΕΥΤΙΚΑ ΥΠΟ ΚΑΛΥΨΗ8673</t>
  </si>
  <si>
    <t>ΠΙΠΕΡΙΑ ΘΕΡΜΟΚΗΠΙΟΥ</t>
  </si>
  <si>
    <t>ΚΗΠΕΥΤΙΚΑ ΥΠΟ ΚΑΛΥΨΗ8674</t>
  </si>
  <si>
    <t>ΦΑΣΟΛΑΚΙΑ ΘΕΡΜΟΚΗΠΙΟΥ</t>
  </si>
  <si>
    <t>ΚΗΠΕΥΤΙΚΑ ΥΠΟ ΚΑΛΥΨΗ8675</t>
  </si>
  <si>
    <t>ΚΡΕΜΜΥΔΑΚΙΑ ΣΚΟΡΔΑΚΙΑ ΝΩΠΑ</t>
  </si>
  <si>
    <t>ΚΗΠΕΥΤΙΚΑ ΥΠΟ ΚΑΛΥΨΗ8681</t>
  </si>
  <si>
    <t>ΜΑΝΙΤΑΡΙΑ AGARICUS (εκτάριο, 8 κοπές)</t>
  </si>
  <si>
    <t>ΚΗΠΕΥΤΙΚΑ ΥΠΟ ΚΑΛΥΨΗ8710</t>
  </si>
  <si>
    <t>ΜΑΝΙΤΑΡΙΑ PLEUROTUS (εκτάριο, 8 κοπές)</t>
  </si>
  <si>
    <t>ΚΗΠΕΥΤΙΚΑ ΥΠΟ ΚΑΛΥΨΗ8712</t>
  </si>
  <si>
    <t>ΛΑΧΑΝΟ ΘΕΡΜΟΚΗΠΙΟΥ Λάχανο Brasicaceae</t>
  </si>
  <si>
    <t>ΚΗΠΕΥΤΙΚΑ ΥΠΟ ΚΑΛΥΨΗ8713</t>
  </si>
  <si>
    <t>ΦΑΣΟΛΑΚΙΑ ΘΕΡΜΟΚΗΠΙΟΥ ΕΞΑΙΡΕΣΗ</t>
  </si>
  <si>
    <t>ΚΗΠΕΥΤΙΚΑ ΥΠΟ ΚΑΛΥΨΗ9107002</t>
  </si>
  <si>
    <t>ΠΙΠΕΡΙΑ ΘΕΡΜΟΚΗΠΙΟΥ ΕΞΑΙΡΕΣΗ</t>
  </si>
  <si>
    <t>ΚΗΠΕΥΤΙΚΑ ΥΠΟ ΚΑΛΥΨΗ9107003</t>
  </si>
  <si>
    <t>ΤΟΜΑΤΑ ΘΕΡΜΟΚΗΠΙΟΥ ΕΞΑΙΡΕΣΗ</t>
  </si>
  <si>
    <t>ΚΗΠΕΥΤΙΚΑ ΥΠΟ ΚΑΛΥΨΗ9107004</t>
  </si>
  <si>
    <t>ΚΟΛΟΚΥΘΑΚΙ ΘΕΡΜΟΚΗΠΙΟΥ ΕΞΑΙΡΕΣΗ</t>
  </si>
  <si>
    <t>ΚΗΠΕΥΤΙΚΑ ΥΠΟ ΚΑΛΥΨΗ9107005</t>
  </si>
  <si>
    <t>ΜΕΛΙΤΖΑΝΑ ΘΕΡΜΟΚΗΠΙΟΥ ΕΞΑΙΡΕΣΗ</t>
  </si>
  <si>
    <t>ΚΗΠΕΥΤΙΚΑ ΥΠΟ ΚΑΛΥΨΗ9107006</t>
  </si>
  <si>
    <t>ΜΑΡΟΥΛΙ - ΜΑΡΟΥΛΙΑ ΣΑΛΑΤΑ ΘΕΡΜΟΚΗΠΙΟΥ ΕΞΑΙΡΕΣΗ</t>
  </si>
  <si>
    <t>ΚΗΠΕΥΤΙΚΑ ΥΠΟ ΚΑΛΥΨΗ9107007</t>
  </si>
  <si>
    <t>ΑΓΓΟΥΡΙ ΘΕΡΜΟΚΗΠΙΟΥ ΕΞΑΙΡΕΣΗ</t>
  </si>
  <si>
    <t>ΚΗΠΕΥΤΙΚΑ ΥΠΟ ΚΑΛΥΨΗ9107008</t>
  </si>
  <si>
    <t>ΚΑΡΠΟΥΖΙ ΘΕΡΜΟΚΗΠΙΟΥ ΕΞΑΙΡΕΣΗ</t>
  </si>
  <si>
    <t>ΚΗΠΕΥΤΙΚΑ ΥΠΟ ΚΑΛΥΨΗ9107009</t>
  </si>
  <si>
    <t>ΠΕΠΟΝΙ ΘΕΡΜΟΚΗΠΙΟΥ ΕΞΑΙΡΕΣΗ</t>
  </si>
  <si>
    <t>ΚΗΠΕΥΤΙΚΑ ΥΠΟ ΚΑΛΥΨΗ9107010</t>
  </si>
  <si>
    <t>ΦΡΑΟΥΛΑ ΘΕΡΜΟΚΗΠΙΟΥ ΕΞΑΙΡΕΣΗ</t>
  </si>
  <si>
    <t>ΚΗΠΕΥΤΙΚΑ ΥΠΟ ΚΑΛΥΨΗ9107011</t>
  </si>
  <si>
    <t>ΦΑΣΟΛΑΚΙΑ ΧΑΝΤΡΕΣ</t>
  </si>
  <si>
    <t>ΚΗΠΕΥΤΙΚΑ ΥΠΟ ΚΑΛΥΨΗ9107034</t>
  </si>
  <si>
    <t>ΣΤΑΜΝΑΓΚΑΘΙ</t>
  </si>
  <si>
    <t>ΚΗΠΕΥΤΙΚΑ ΥΠΟ ΚΑΛΥΨΗ9107035</t>
  </si>
  <si>
    <t>ΠΑΤΑΤΑ ΘΕΡΜΟΚΗΠΙΟΥ</t>
  </si>
  <si>
    <t>ΚΗΠΕΥΤΙΚΑ ΥΠΟ ΚΑΛΥΨΗ98200</t>
  </si>
  <si>
    <t>ΠΑΤΑΤΑ ΘΕΡΜΟΚΗΠΙΟΥ ΕΞΑΙΡΕΣΗ</t>
  </si>
  <si>
    <t>ΚΗΠΕΥΤΙΚΑ ΥΠΟ ΚΑΛΥΨΗ98201</t>
  </si>
  <si>
    <t>ΚΗΠΕΥΤΙΚΑ</t>
  </si>
  <si>
    <t>ΜΠΙΖΕΛΙΑ</t>
  </si>
  <si>
    <t>ΚΗΠΕΥΤΙΚΑ1003</t>
  </si>
  <si>
    <t>ΠΕΠΟΝΙ - ΑΡΓΟΥΣ</t>
  </si>
  <si>
    <t>ΚΗΠΕΥΤΙΚΑ10195</t>
  </si>
  <si>
    <t>ΠΕΠΟΝΙ - ΖΑΚΥΝΘΟΥ</t>
  </si>
  <si>
    <t>ΚΗΠΕΥΤΙΚΑ10196</t>
  </si>
  <si>
    <t>ΠΕΠΟΝΙ - ΑΓΓΟΥΡΟΠΕΠΟΝΟ</t>
  </si>
  <si>
    <t>ΚΗΠΕΥΤΙΚΑ10197</t>
  </si>
  <si>
    <t>ΠΕΠΟΝΙ - ΚΑΣΙΔΙΑΡΙΚΟ</t>
  </si>
  <si>
    <t>ΚΗΠΕΥΤΙΚΑ10198</t>
  </si>
  <si>
    <t>ΠΕΠΟΝΙ - ΧΡΥΣΗ ΚΕΦΑΛΗ</t>
  </si>
  <si>
    <t>ΚΗΠΕΥΤΙΚΑ10199</t>
  </si>
  <si>
    <t>ΑΓΓΙΝΑΡΕΣ ΠΡΩΪΜΕΣ &amp; ΜΕΣΟΠΡΩΪΜΕΣ</t>
  </si>
  <si>
    <t>ΚΗΠΕΥΤΙΚΑ10204</t>
  </si>
  <si>
    <t>ΑΓΓΙΝΑΡΕΣ ΟΨΙΜΕΣ</t>
  </si>
  <si>
    <t>ΚΗΠΕΥΤΙΚΑ10205</t>
  </si>
  <si>
    <t>ΠΕΠΟΝΙ ΥΠΑΙΘΡΙΟ &amp; ΘΡΑΚΙΩΤΙΚΟ</t>
  </si>
  <si>
    <t>ΚΗΠΕΥΤΙΚΑ10206</t>
  </si>
  <si>
    <t>ΦΑΣΟΛΑΚΙΑ ΒΙΟΜΗΧΑΝΙΑΣ</t>
  </si>
  <si>
    <t>ΚΗΠΕΥΤΙΚΑ10207</t>
  </si>
  <si>
    <t>ΦΑΣΟΛΑΚΙΑ ΥΠΑΙΘΡΙΑ</t>
  </si>
  <si>
    <t>ΚΗΠΕΥΤΙΚΑ10208</t>
  </si>
  <si>
    <t>ΚΑΡΟΤΑ ΡΙΖΕΣ</t>
  </si>
  <si>
    <t>ΚΗΠΕΥΤΙΚΑ10211</t>
  </si>
  <si>
    <t>ΜΕΛΙΤΖΑΝΑ ΥΠΑΙΘΡΙΑ</t>
  </si>
  <si>
    <t>ΚΗΠΕΥΤΙΚΑ10213</t>
  </si>
  <si>
    <t>ΣΕΣΚΟΥΛΟ</t>
  </si>
  <si>
    <t>ΚΗΠΕΥΤΙΚΑ10214</t>
  </si>
  <si>
    <t>ΚΗΠΕΥΤΙΚΑ10215</t>
  </si>
  <si>
    <t>ΚΗΠΕΥΤΙΚΑ10216</t>
  </si>
  <si>
    <t>ΖΩΧΟΣ</t>
  </si>
  <si>
    <t>ΚΗΠΕΥΤΙΚΑ10217</t>
  </si>
  <si>
    <t>ΡΑΠΑΝΑΚΙ</t>
  </si>
  <si>
    <t>ΚΗΠΕΥΤΙΚΑ10218</t>
  </si>
  <si>
    <t>ΡΑΙΒΕΣ</t>
  </si>
  <si>
    <t>ΚΗΠΕΥΤΙΚΑ10219</t>
  </si>
  <si>
    <t>ΚΗΠΕΥΤΙΚΑ10220</t>
  </si>
  <si>
    <t>ΚΡΕΜΜΥΔΙ ΣΠΟΡΟΣ</t>
  </si>
  <si>
    <t>ΚΗΠΕΥΤΙΚΑ10221</t>
  </si>
  <si>
    <t>ΚΡΕΜΜΥΔΙ ΚΟΚΚΑΡΙ</t>
  </si>
  <si>
    <t>ΚΗΠΕΥΤΙΚΑ10222</t>
  </si>
  <si>
    <t>ΚΗΠΕΥΤΙΚΑ10223</t>
  </si>
  <si>
    <t>ΚΗΠΕΥΤΙΚΑ10224</t>
  </si>
  <si>
    <t>ΒΛΗΤΑ</t>
  </si>
  <si>
    <t>ΚΗΠΕΥΤΙΚΑ10225</t>
  </si>
  <si>
    <t>ΜΠΡΟΚΟΛΟ</t>
  </si>
  <si>
    <t>ΚΗΠΕΥΤΙΚΑ10226</t>
  </si>
  <si>
    <t>ΛΑΧΑΝΟ ΒΡΥΞΕΛΛΩΝ</t>
  </si>
  <si>
    <t>ΚΗΠΕΥΤΙΚΑ10227</t>
  </si>
  <si>
    <t>ΡΑΔΙΚΙΑ</t>
  </si>
  <si>
    <t>ΚΗΠΕΥΤΙΚΑ10228</t>
  </si>
  <si>
    <t>ΡΑΔΙΚΙΑ ΑΓΡΙΑ</t>
  </si>
  <si>
    <t>ΚΗΠΕΥΤΙΚΑ10229</t>
  </si>
  <si>
    <t>ΚΗΠΕΥΤΙΚΑ10230</t>
  </si>
  <si>
    <t>ΚΗΠΕΥΤΙΚΑ10232</t>
  </si>
  <si>
    <t>ΚΗΠΕΥΤΙΚΑ10233</t>
  </si>
  <si>
    <t>ΚΗΠΕΥΤΙΚΑ10234</t>
  </si>
  <si>
    <t>ΚΗΠΕΥΤΙΚΑ10235</t>
  </si>
  <si>
    <t>ΚΑΥΚΑΛΗΘΡΑ</t>
  </si>
  <si>
    <t>ΚΗΠΕΥΤΙΚΑ10236</t>
  </si>
  <si>
    <t>ΚΟΛΟΚΥΘΑΚΙ ΥΠΑΙΘΡΙΟ</t>
  </si>
  <si>
    <t>ΚΗΠΕΥΤΙΚΑ10237</t>
  </si>
  <si>
    <t>ΤΟΜΑΤΑ ΟΜ. COΜODORE ΥΠΑΙΘΡ ΕΜΠΟΡ</t>
  </si>
  <si>
    <t>ΚΗΠΕΥΤΙΚΑ10239</t>
  </si>
  <si>
    <t>ΚΟΥΚΙΑ ΝΩΠΑ</t>
  </si>
  <si>
    <t>ΚΗΠΕΥΤΙΚΑ10241</t>
  </si>
  <si>
    <t>ΜΠΑΜΙΑ ΒΙΟΜΗΧΑΝΙΚΗ</t>
  </si>
  <si>
    <t>ΚΗΠΕΥΤΙΚΑ10243</t>
  </si>
  <si>
    <t>ΑΡΑΚΑΣ ΒΙΟΜΗΧΑΝΙΚΟΣ</t>
  </si>
  <si>
    <t>ΚΗΠΕΥΤΙΚΑ10244</t>
  </si>
  <si>
    <t>ΠΕΠΟΝΙ - ΞΥΛΑΓΓΟΥΡΟ</t>
  </si>
  <si>
    <t>ΚΗΠΕΥΤΙΚΑ10245</t>
  </si>
  <si>
    <t>ΜΕΛΙΤΖΑΝΑ - ΑΣΠΡΗ</t>
  </si>
  <si>
    <t>ΚΗΠΕΥΤΙΚΑ10246</t>
  </si>
  <si>
    <t>ΜΕΛΙΤΖΑΝΑ ΑΡΓΙΤΙΚΗ</t>
  </si>
  <si>
    <t>ΚΗΠΕΥΤΙΚΑ10247</t>
  </si>
  <si>
    <t>ΚΗΠΕΥΤΙΚΑ10248</t>
  </si>
  <si>
    <t>ΚΗΠΕΥΤΙΚΑ10249</t>
  </si>
  <si>
    <t>ΤΟΜΑΤΑ - ΟΡΜΥΛΙΑΣ</t>
  </si>
  <si>
    <t>ΚΗΠΕΥΤΙΚΑ10250</t>
  </si>
  <si>
    <t>ΤΟΜΑΤΑ - ΜΗΛΟ ΚΕΦΑΛΛΗΝΙΑΣ</t>
  </si>
  <si>
    <t>ΚΗΠΕΥΤΙΚΑ10251</t>
  </si>
  <si>
    <t>ΤΟΜΑΤΑ - ΚΥΚΛΑΔΩΝ</t>
  </si>
  <si>
    <t>ΚΗΠΕΥΤΙΚΑ10252</t>
  </si>
  <si>
    <t>ΤΟΜΑΤΑ - ΚΩΣ</t>
  </si>
  <si>
    <t>ΚΗΠΕΥΤΙΚΑ10253</t>
  </si>
  <si>
    <t>ΤΟΜΑΤΑ - ΚΥΡΗΝΘΟΥ, ΜΑΝΤΟΥΔΙΟΥ</t>
  </si>
  <si>
    <t>ΚΗΠΕΥΤΙΚΑ10254</t>
  </si>
  <si>
    <t>ΤΟΜΑΤΑ - ΙΘΑΚΗ</t>
  </si>
  <si>
    <t>ΚΗΠΕΥΤΙΚΑ10255</t>
  </si>
  <si>
    <t>ΤΟΜΑΤΑ - ΝΤΟΜΑΤΕΛΑ</t>
  </si>
  <si>
    <t>ΚΗΠΕΥΤΙΚΑ10256</t>
  </si>
  <si>
    <t>ΤΟΜΑΤΑ - ΤΡΙΓΩΝΟ ΕΒΡΟΥ</t>
  </si>
  <si>
    <t>ΚΗΠΕΥΤΙΚΑ10257</t>
  </si>
  <si>
    <t>ΤΟΜΑΤΑ - ΚΑΡΑΜΠΟΛΑ</t>
  </si>
  <si>
    <t>ΚΗΠΕΥΤΙΚΑ10258</t>
  </si>
  <si>
    <t>ΤΟΜΑΤΑ - ΥΔΡΟΥΣΑ</t>
  </si>
  <si>
    <t>ΚΗΠΕΥΤΙΚΑ10259</t>
  </si>
  <si>
    <t>ΤΟΜΑΤΑ - ΚΡΑΣΟΥΛΙΑ</t>
  </si>
  <si>
    <t>ΚΗΠΕΥΤΙΚΑ10260</t>
  </si>
  <si>
    <t>ΤΟΜΑΤΑ - ΤΟΜΑΤΑΚΙ ΞΗΡΙΚΟ</t>
  </si>
  <si>
    <t>ΚΗΠΕΥΤΙΚΑ10261</t>
  </si>
  <si>
    <t>ΤΟΜΑΤΑ - ΑΝΔΡΟΥ</t>
  </si>
  <si>
    <t>ΚΗΠΕΥΤΙΚΑ10262</t>
  </si>
  <si>
    <t>ΤΟΜΑΤΑ - ΧΙΟΥ</t>
  </si>
  <si>
    <t>ΚΗΠΕΥΤΙΚΑ10263</t>
  </si>
  <si>
    <t>ΤΟΜΑΤΑ - ΖΑΚΥΝΘΟΥ</t>
  </si>
  <si>
    <t>ΚΗΠΕΥΤΙΚΑ10264</t>
  </si>
  <si>
    <t>ΤΟΜΑΤΑ - ΠΑΞΩΝ</t>
  </si>
  <si>
    <t>ΚΗΠΕΥΤΙΚΑ10265</t>
  </si>
  <si>
    <t>ΦΑΣΟΛΙΑ - ΑΡΙΔΑΙΑ</t>
  </si>
  <si>
    <t>ΚΗΠΕΥΤΙΚΑ10266</t>
  </si>
  <si>
    <t>ΦΑΣΟΛΙΑ - ΚΑΡΙΟΠΟΥΛΑ ΙΣΤΙΑΙΑΣ</t>
  </si>
  <si>
    <t>ΚΗΠΕΥΤΙΚΑ10267</t>
  </si>
  <si>
    <t>ΦΑΣΟΛΙΑ - ΨΑΧΝΩΝ</t>
  </si>
  <si>
    <t>ΚΗΠΕΥΤΙΚΑ10268</t>
  </si>
  <si>
    <t>ΦΑΣΟΛΙΑ - ΜΠΑΜΠΑΚΙΑΣ</t>
  </si>
  <si>
    <t>ΚΗΠΕΥΤΙΚΑ10269</t>
  </si>
  <si>
    <t>ΦΑΣΟΛΙΑ - ΤΗΝΟΥ</t>
  </si>
  <si>
    <t>ΚΗΠΕΥΤΙΚΑ10270</t>
  </si>
  <si>
    <t>ΦΑΣΟΛΙΑ - ΜΕΛΙΤΖΑΝΙ</t>
  </si>
  <si>
    <t>ΚΗΠΕΥΤΙΚΑ10271</t>
  </si>
  <si>
    <t>ΦΑΣΟΛΙΑ - ΠΙΤΣΙΛΩΤΟ</t>
  </si>
  <si>
    <t>ΚΗΠΕΥΤΙΚΑ10272</t>
  </si>
  <si>
    <t>ΦΑΣΟΛΙΑ - ΚΟΥΦΕΤΟ</t>
  </si>
  <si>
    <t>ΚΗΠΕΥΤΙΚΑ10273</t>
  </si>
  <si>
    <t>ΦΑΣΟΛΙΑ - ΠΑΣΤΑΛΙΑ</t>
  </si>
  <si>
    <t>ΚΗΠΕΥΤΙΚΑ10274</t>
  </si>
  <si>
    <t>ΦΑΣΟΛΙΑ - ΤΣΑΟΥΛΙ ΣΤΡΟΠΩΝΩΝ</t>
  </si>
  <si>
    <t>ΚΗΠΕΥΤΙΚΑ10275</t>
  </si>
  <si>
    <t>ΜΠΑΜΙΑ ΠΥΛΑΙΑΣ</t>
  </si>
  <si>
    <t>ΚΗΠΕΥΤΙΚΑ10276</t>
  </si>
  <si>
    <t>ΠΙΠΕΡΙΑ - ΚΑΡΑΤΖΟΒΑΣ</t>
  </si>
  <si>
    <t>ΚΗΠΕΥΤΙΚΑ10277</t>
  </si>
  <si>
    <t>ΠΙΠΕΡΙΑ - ΚΑΥΤΕΡΗ ΙΕΡΑΠΕΤΡΑΣ</t>
  </si>
  <si>
    <t>ΚΗΠΕΥΤΙΚΑ10278</t>
  </si>
  <si>
    <t>ΠΙΠΕΡΙΑ - ΜΥΤΕΡΟ</t>
  </si>
  <si>
    <t>ΚΗΠΕΥΤΙΚΑ10279</t>
  </si>
  <si>
    <t>ΠΙΠΕΡΙΑ - ΣΤΑΥΡΟΣ</t>
  </si>
  <si>
    <t>ΚΗΠΕΥΤΙΚΑ10280</t>
  </si>
  <si>
    <t>ΑΓΚΙΝΑΡΑ - ΑΤΤΙΚΗΣ</t>
  </si>
  <si>
    <t>ΚΗΠΕΥΤΙΚΑ10281</t>
  </si>
  <si>
    <t>ΑΓΚΙΝΑΡΑ - ΚΡΗΤΗΣ</t>
  </si>
  <si>
    <t>ΚΗΠΕΥΤΙΚΑ10282</t>
  </si>
  <si>
    <t>ΑΓΚΙΝΑΡΑ - ΑΓΚΙΝΑΡΑΚΙ</t>
  </si>
  <si>
    <t>ΚΗΠΕΥΤΙΚΑ10283</t>
  </si>
  <si>
    <t>ΑΓΓΟΥΡΙ ΑΝΔΡΟΥ</t>
  </si>
  <si>
    <t>ΚΗΠΕΥΤΙΚΑ10284</t>
  </si>
  <si>
    <t>ΑΓΓΟΥΡΙ - ΠΑΛΙΟΥΡΙΑΣ</t>
  </si>
  <si>
    <t>ΚΗΠΕΥΤΙΚΑ10285</t>
  </si>
  <si>
    <t>ΑΓΓΟΥΡΙ  ΚΝΩΣΣΟΥ</t>
  </si>
  <si>
    <t>ΚΗΠΕΥΤΙΚΑ10286</t>
  </si>
  <si>
    <t>ΦΡΑΟΥΛΑ - ΚΕΡΚΥΡΑΙΚΗ ΜΙΚΡΟΚΑΡΠΗ</t>
  </si>
  <si>
    <t>ΚΗΠΕΥΤΙΚΑ10287</t>
  </si>
  <si>
    <t>ΦΡΑΟΥΛΑ - ΖΑΚΥΝΘΙΝΗ</t>
  </si>
  <si>
    <t>ΚΗΠΕΥΤΙΚΑ10288</t>
  </si>
  <si>
    <t>ΚΟΛΟΚΥΘΙ - ΡΕΤΖΕΛΙΑ</t>
  </si>
  <si>
    <t>ΚΗΠΕΥΤΙΚΑ10289</t>
  </si>
  <si>
    <t>ΚΟΛΟΚΥΘΙ - ΠΑΣΑΤΕΜΠΟ</t>
  </si>
  <si>
    <t>ΚΗΠΕΥΤΙΚΑ10290</t>
  </si>
  <si>
    <t>ΚΟΛΟΚΥΘΙ - ΓΥΜΝΟΣΠΕΡΜΟ ΘΡΑΚΗΣ</t>
  </si>
  <si>
    <t>ΚΗΠΕΥΤΙΚΑ10291</t>
  </si>
  <si>
    <t>ΚΟΛΟΚΥΘΙ - ΚΑΛΑΜΠΑΚΙ</t>
  </si>
  <si>
    <t>ΚΗΠΕΥΤΙΚΑ10292</t>
  </si>
  <si>
    <t>ΚΟΛΟΚΥΘΙ - ΑΓ. ΠΑΡΑΣΚΕΥΗ</t>
  </si>
  <si>
    <t>ΚΗΠΕΥΤΙΚΑ10293</t>
  </si>
  <si>
    <t>ΚΡΕΜΜΥΔΙ - ΖΑΚΥΝΘΙΝΟ ΝΕΡΟΚΡΟΜΜΥΔΟ</t>
  </si>
  <si>
    <t>ΚΗΠΕΥΤΙΚΑ10294</t>
  </si>
  <si>
    <t>ΚΡΕΜΜΥΔΙ - ΑΝΔΡΟΥ</t>
  </si>
  <si>
    <t>ΚΗΠΕΥΤΙΚΑ10295</t>
  </si>
  <si>
    <t>ΣΚΟΡΔΟ - ΕΡΥΣΣΟΥ</t>
  </si>
  <si>
    <t>ΚΗΠΕΥΤΙΚΑ10296</t>
  </si>
  <si>
    <t>ΣΚΟΡΔΟ - ΒΥΣΣΑΣ</t>
  </si>
  <si>
    <t>ΚΗΠΕΥΤΙΚΑ10297</t>
  </si>
  <si>
    <t>ΣΚΟΡΔΟ - ΞΥΛΑΓΑΝΗΣ</t>
  </si>
  <si>
    <t>ΚΗΠΕΥΤΙΚΑ10298</t>
  </si>
  <si>
    <t>ΣΚΟΡΔΟ - ΤΡΙΠΟΛΕΩΣ</t>
  </si>
  <si>
    <t>ΚΗΠΕΥΤΙΚΑ10299</t>
  </si>
  <si>
    <t>ΜΕΛΙΤΖΑΝΕΣ ΜΕΤΑΠΟΙΗΣΗΣ</t>
  </si>
  <si>
    <t>ΚΗΠΕΥΤΙΚΑ10813</t>
  </si>
  <si>
    <t>ΑΡΑΚΑΣ ΥΠΑΙΘΡΙΟΣ</t>
  </si>
  <si>
    <t>ΚΗΠΕΥΤΙΚΑ10814</t>
  </si>
  <si>
    <t>ΡΑΝΤΙΤΣΙΟ</t>
  </si>
  <si>
    <t>ΚΗΠΕΥΤΙΚΑ10815</t>
  </si>
  <si>
    <t>ΑΙΣΜΠΕΡΓΚ</t>
  </si>
  <si>
    <t>ΚΗΠΕΥΤΙΚΑ10816</t>
  </si>
  <si>
    <t>ΕΠΙΤΡΑΠΕΖΙΑ ΤΟΜΑΤΑ ROYAL</t>
  </si>
  <si>
    <t>ΚΗΠΕΥΤΙΚΑ10817</t>
  </si>
  <si>
    <t>ΚΑΡΠΟΥΖΙ ΜΙΝΙ</t>
  </si>
  <si>
    <t>ΚΗΠΕΥΤΙΚΑ10818</t>
  </si>
  <si>
    <t>ΦΙΝΟΚΙΟ</t>
  </si>
  <si>
    <t>ΚΗΠΕΥΤΙΚΑ10819</t>
  </si>
  <si>
    <t>ΜΥΡΩΝΙΑ</t>
  </si>
  <si>
    <t>ΚΗΠΕΥΤΙΚΑ10820</t>
  </si>
  <si>
    <t>ΣΕΛΕΡΥ</t>
  </si>
  <si>
    <t>ΚΗΠΕΥΤΙΚΑ10835</t>
  </si>
  <si>
    <t>ΚΗΠΕΥΤΙΚΑ10836</t>
  </si>
  <si>
    <t>ΤΟΜΑΤΑΚΙ ΣΑΝΤΟΡΙΝΗΣ</t>
  </si>
  <si>
    <t>ΚΗΠΕΥΤΙΚΑ10904</t>
  </si>
  <si>
    <t>ΑΓΚΙΝΑΡΑ ΤΗΝΟΥ</t>
  </si>
  <si>
    <t>ΚΗΠΕΥΤΙΚΑ10905</t>
  </si>
  <si>
    <t>Καλαμπόκι POPCORN</t>
  </si>
  <si>
    <t>ΚΗΠΕΥΤΙΚΑ14100</t>
  </si>
  <si>
    <t>ARVIKA</t>
  </si>
  <si>
    <t>ΚΗΠΕΥΤΙΚΑ38001</t>
  </si>
  <si>
    <t>LIVIOLETTA</t>
  </si>
  <si>
    <t>ΚΗΠΕΥΤΙΚΑ38002</t>
  </si>
  <si>
    <t>ΚΑΛΑΜΠΟΚΙ ΓΛΥΚΟ</t>
  </si>
  <si>
    <t>ΚΗΠΕΥΤΙΚΑ38003</t>
  </si>
  <si>
    <t>ΒΡΟΥΒΙΑ (ΒΟΛΒΟΙ)</t>
  </si>
  <si>
    <t>ΚΗΠΕΥΤΙΚΑ38004</t>
  </si>
  <si>
    <t>ΤΟΜΑΤΙΝΙ ΒΕΛΑΝΙΔΙ</t>
  </si>
  <si>
    <t>ΚΗΠΕΥΤΙΚΑ38005</t>
  </si>
  <si>
    <t>ΚΙΝΕΖΙΚΟ ΛΑΧΑΝΟ</t>
  </si>
  <si>
    <t>ΚΗΠΕΥΤΙΚΑ38006</t>
  </si>
  <si>
    <t>ΓΛΥΚΟΚΟΛΟΚΥΘΑ</t>
  </si>
  <si>
    <t>ΚΗΠΕΥΤΙΚΑ38007</t>
  </si>
  <si>
    <t>ΦΑΣΟΛΑΚΙΑ ΠΛΑΚΕ ΜΕ ΥΠΟΣΤΗΛΩΣΗ</t>
  </si>
  <si>
    <t>ΚΗΠΕΥΤΙΚΑ38008</t>
  </si>
  <si>
    <t>ΑΝΤΡΑΚΛΑ/ΓΛΥΣΤΡΙΔΑ</t>
  </si>
  <si>
    <t>ΚΗΠΕΥΤΙΚΑ38009</t>
  </si>
  <si>
    <t>ΑΜΠΕΛΟΦΑΣΟΛΑ</t>
  </si>
  <si>
    <t>ΚΗΠΕΥΤΙΚΑ38010</t>
  </si>
  <si>
    <t>ΚΗΠΕΥΤΙΚΑ38011</t>
  </si>
  <si>
    <t>ΠΑΠΟΥΛΕΣ (LATHYRUS OCHRUS)</t>
  </si>
  <si>
    <t>ΚΗΠΕΥΤΙΚΑ38012</t>
  </si>
  <si>
    <t>ΒΙΟΜΗΧΑΝΙΚΟ ΑΓΓΟΥΡΙ</t>
  </si>
  <si>
    <t>ΚΗΠΕΥΤΙΚΑ38013</t>
  </si>
  <si>
    <t>ΛΑΠΑΘΟ</t>
  </si>
  <si>
    <t>ΚΗΠΕΥΤΙΚΑ38014</t>
  </si>
  <si>
    <t>ΤΟΜΑΤΑ EBIA</t>
  </si>
  <si>
    <t>ΚΗΠΕΥΤΙΚΑ38015</t>
  </si>
  <si>
    <t>ΤΟΜΑΤΑ MOUNTAIN FRESH PLUS</t>
  </si>
  <si>
    <t>ΚΗΠΕΥΤΙΚΑ38016</t>
  </si>
  <si>
    <t>ΛΑΧΑΝΟ ΚΟΚΚΙΝΟ</t>
  </si>
  <si>
    <t>ΚΗΠΕΥΤΙΚΑ38017</t>
  </si>
  <si>
    <t>ΑΓΚΙΝΑΡΑ ΙΡΙΩΝ</t>
  </si>
  <si>
    <t>ΚΗΠΕΥΤΙΚΑ38018</t>
  </si>
  <si>
    <t>ΠΕΠΟΝΙ GALIA</t>
  </si>
  <si>
    <t>ΚΗΠΕΥΤΙΚΑ38019</t>
  </si>
  <si>
    <t>ΤΟΜΑΤΑΚΙ CHERRY</t>
  </si>
  <si>
    <t>ΚΗΠΕΥΤΙΚΑ38020</t>
  </si>
  <si>
    <t>ΣΕΛΙΝΟΡΙΖΑ</t>
  </si>
  <si>
    <t>ΚΗΠΕΥΤΙΚΑ38021</t>
  </si>
  <si>
    <t>ΗΛΙΑΝΘΟΣ Ο ΚΟΝΔΥΛΩΔΗΣ (ΑΓΓΙΝΑΡΑ ΙΕΡΟΥΣΑΛΗΜ ή ΤΟΠΙΝΑΜΠΟΥΡ)</t>
  </si>
  <si>
    <t>ΚΗΠΕΥΤΙΚΑ38022</t>
  </si>
  <si>
    <t>ΚΑΡΠΟΥΖΙ CRIMSON SWEET</t>
  </si>
  <si>
    <t>ΚΗΠΕΥΤΙΚΑ38023</t>
  </si>
  <si>
    <t>ΦΑΣΟΛΙΑ</t>
  </si>
  <si>
    <t>ΚΗΠΕΥΤΙΚΑ8102</t>
  </si>
  <si>
    <t>ΚΗΠΕΥΤΙΚΑ8135</t>
  </si>
  <si>
    <t>ΤΟΜΑΤΕΣ</t>
  </si>
  <si>
    <t>ΚΗΠΕΥΤΙΚΑ8181</t>
  </si>
  <si>
    <t>ΚΑΡΠΟΥΖΙ ΥΠΑΙΘΡΙΟ</t>
  </si>
  <si>
    <t>ΚΗΠΕΥΤΙΚΑ8195</t>
  </si>
  <si>
    <t>ΠΕΠΟΝΙ</t>
  </si>
  <si>
    <t>ΚΗΠΕΥΤΙΚΑ8196</t>
  </si>
  <si>
    <t>ΓΛΥΚΟΠΑΤΑΤΕΣ</t>
  </si>
  <si>
    <t>ΚΗΠΕΥΤΙΚΑ8240</t>
  </si>
  <si>
    <t>ΜΑΡΟΥΛΙ</t>
  </si>
  <si>
    <t>ΚΗΠΕΥΤΙΚΑ8676</t>
  </si>
  <si>
    <t>ΚΟΥΝΟΥΠΙΔΙ</t>
  </si>
  <si>
    <t>ΚΗΠΕΥΤΙΚΑ8677</t>
  </si>
  <si>
    <t>ΛΑΧΑΝΟ</t>
  </si>
  <si>
    <t>ΚΗΠΕΥΤΙΚΑ8678</t>
  </si>
  <si>
    <t>ΜΠΑΜΙΑ</t>
  </si>
  <si>
    <t>ΚΗΠΕΥΤΙΚΑ8679</t>
  </si>
  <si>
    <t>ΤΟΜΑΤΟΠΙΠΕΡΙΑ</t>
  </si>
  <si>
    <t>ΚΗΠΕΥΤΙΚΑ8680</t>
  </si>
  <si>
    <t>ΚΗΠΕΥΤΙΚΑ8681</t>
  </si>
  <si>
    <t>ΠΙΠΕΡΙΑ ΥΠΑΙΘΡΟΥ</t>
  </si>
  <si>
    <t>ΚΗΠΕΥΤΙΚΑ8682</t>
  </si>
  <si>
    <t>ΣΚΟΡΔΟ ΞΕΡΟ</t>
  </si>
  <si>
    <t>ΚΗΠΕΥΤΙΚΑ8683</t>
  </si>
  <si>
    <t>ΑΓΓΟΥΡΙ ΥΠΑΙΘΡΟΥ</t>
  </si>
  <si>
    <t>ΚΗΠΕΥΤΙΚΑ8685</t>
  </si>
  <si>
    <t>ΚΗΠΕΥΤΙΚΑ8686</t>
  </si>
  <si>
    <t>ΚΡΕΜΜΥΔΙ ΞΕΡΟ</t>
  </si>
  <si>
    <t>ΚΗΠΕΥΤΙΚΑ8689</t>
  </si>
  <si>
    <t>ΚΟΛΟΚΥΘΕΣ</t>
  </si>
  <si>
    <t>ΚΗΠΕΥΤΙΚΑ8690</t>
  </si>
  <si>
    <t>ΠΙΠΕΡΙΑ ΠΡΟΣ ΜΕΤΑΠΟΙΗΣΗ</t>
  </si>
  <si>
    <t>ΚΗΠΕΥΤΙΚΑ8698</t>
  </si>
  <si>
    <t>ΚΗΠΕΥΤΙΚΑ9107034</t>
  </si>
  <si>
    <t>ΚΑΡΠΟΥΖΙ OBLA</t>
  </si>
  <si>
    <t>ΚΗΠΕΥΤΙΚΑ98202</t>
  </si>
  <si>
    <t>ΜΕΛΙΤΖΑΝΕΣ ΦΛΑΣΚΕΣ</t>
  </si>
  <si>
    <t>ΚΗΠΕΥΤΙΚΑ98203</t>
  </si>
  <si>
    <t>ΜΕΛΙΤΖΑΝΕΣ ΤΣΑΚΩΝΙΚΕΣ</t>
  </si>
  <si>
    <t>ΚΗΠΕΥΤΙΚΑ98204</t>
  </si>
  <si>
    <t>ΠΙΠΕΡΙΑ ΚΕΡΑΤΟ</t>
  </si>
  <si>
    <t>ΚΗΠΕΥΤΙΚΑ98205</t>
  </si>
  <si>
    <t>ΠΙΠΕΡΙΕΣ ΦΛΩΡΙΝΗΣ</t>
  </si>
  <si>
    <t>ΚΗΠΕΥΤΙΚΑ98207</t>
  </si>
  <si>
    <t>ΛΑΧΑΝΙΔΑ ΑΣΠΡΗ</t>
  </si>
  <si>
    <t>ΚΗΠΕΥΤΙΚΑ98208</t>
  </si>
  <si>
    <t>ΛΑΧΑΝΙΔΑ ΚΟΚΚΙΝΗ (KALE)</t>
  </si>
  <si>
    <t>ΚΗΠΕΥΤΙΚΑ98209</t>
  </si>
  <si>
    <t>ΚΟΝΙΚΛΟΕΙΔΗ</t>
  </si>
  <si>
    <t>ΚΟΥΝΕΛΙΑ</t>
  </si>
  <si>
    <t>ΚΟΝΙΚΛΟΕΙΔΗ810000</t>
  </si>
  <si>
    <t>ΛΑΓΟΙ</t>
  </si>
  <si>
    <t>ΚΟΝΙΚΛΟΕΙΔΗ820000</t>
  </si>
  <si>
    <t>ΚΤΗΝΟΤΡΟΦΙΚΑ ΦΥΤΑ ΓΙΑ ΖΩΟΤΡΟΦΕΣ</t>
  </si>
  <si>
    <t>ΒΙΚΟΣ ALEXANDROS</t>
  </si>
  <si>
    <t>ΚΤΗΝΟΤΡΟΦΙΚΑ ΦΥΤΑ ΓΙΑ ΖΩΟΤΡΟΦΕΣ1131</t>
  </si>
  <si>
    <t>ΒΙΚΟΣ ΑΧΙΛΛΕΑΣ (Β1-90)</t>
  </si>
  <si>
    <t>ΚΤΗΝΟΤΡΟΦΙΚΑ ΦΥΤΑ ΓΙΑ ΖΩΟΤΡΟΦΕΣ1132</t>
  </si>
  <si>
    <t>ΒΙΚΟΣ EVINOS</t>
  </si>
  <si>
    <t>ΚΤΗΝΟΤΡΟΦΙΚΑ ΦΥΤΑ ΓΙΑ ΖΩΟΤΡΟΦΕΣ1133</t>
  </si>
  <si>
    <t>ΒΙΚΟΣ ZAFYROS</t>
  </si>
  <si>
    <t>ΚΤΗΝΟΤΡΟΦΙΚΑ ΦΥΤΑ ΓΙΑ ΖΩΟΤΡΟΦΕΣ1134</t>
  </si>
  <si>
    <t>ΒΙΚΟΣ ΜΙΝΩΣ (Β1-45)</t>
  </si>
  <si>
    <t>ΚΤΗΝΟΤΡΟΦΙΚΑ ΦΥΤΑ ΓΙΑ ΖΩΟΤΡΟΦΕΣ1135</t>
  </si>
  <si>
    <t>ΒΙΚΟΣ WARRIOR (M7-392)</t>
  </si>
  <si>
    <t>ΚΤΗΝΟΤΡΟΦΙΚΑ ΦΥΤΑ ΓΙΑ ΖΩΟΤΡΟΦΕΣ1136</t>
  </si>
  <si>
    <t>ΒΙΚΟΣ TEMPI</t>
  </si>
  <si>
    <t>ΚΤΗΝΟΤΡΟΦΙΚΑ ΦΥΤΑ ΓΙΑ ΖΩΟΤΡΟΦΕΣ1137</t>
  </si>
  <si>
    <t>ΒΙΚΟΣ ΛΟΙΠΕΣ ΠΟΙΚΙΛΙΕΣ</t>
  </si>
  <si>
    <t>ΚΤΗΝΟΤΡΟΦΙΚΑ ΦΥΤΑ ΓΙΑ ΖΩΟΤΡΟΦΕΣ1138</t>
  </si>
  <si>
    <t>ΡΟΒΗ ΕΓΧΩΡΙΕΣ ΠΟΙΚΙΛΙΕΣ</t>
  </si>
  <si>
    <t>ΚΤΗΝΟΤΡΟΦΙΚΑ ΦΥΤΑ ΓΙΑ ΖΩΟΤΡΟΦΕΣ1141</t>
  </si>
  <si>
    <t>ΡΟΒΗ ΛΟΙΠΕΣ ΠΟΙΚΙΛΙΕΣ</t>
  </si>
  <si>
    <t>ΚΤΗΝΟΤΡΟΦΙΚΑ ΦΥΤΑ ΓΙΑ ΖΩΟΤΡΟΦΕΣ1142</t>
  </si>
  <si>
    <t>ΒΙΚΟΣ ΧΛΩΡΗΣ ΛΙΠΑΝΣΗΣ</t>
  </si>
  <si>
    <t>ΚΤΗΝΟΤΡΟΦΙΚΑ ΦΥΤΑ ΓΙΑ ΖΩΟΤΡΟΦΕΣ1143</t>
  </si>
  <si>
    <t>ΡΟΒΗ ΚΡΗΤΗΣ</t>
  </si>
  <si>
    <t>ΚΤΗΝΟΤΡΟΦΙΚΑ ΦΥΤΑ ΓΙΑ ΖΩΟΤΡΟΦΕΣ1152</t>
  </si>
  <si>
    <t>ΡΟΒΗ ΓΡΕΒΕΝΩΝ</t>
  </si>
  <si>
    <t>ΚΤΗΝΟΤΡΟΦΙΚΑ ΦΥΤΑ ΓΙΑ ΖΩΟΤΡΟΦΕΣ1153</t>
  </si>
  <si>
    <t>ΡΟΒΗ ΙΟΝΙΩΝ</t>
  </si>
  <si>
    <t>ΚΤΗΝΟΤΡΟΦΙΚΑ ΦΥΤΑ ΓΙΑ ΖΩΟΤΡΟΦΕΣ1154</t>
  </si>
  <si>
    <t>ΠΕΡΚΟ</t>
  </si>
  <si>
    <t>ΚΤΗΝΟΤΡΟΦΙΚΑ ΦΥΤΑ ΓΙΑ ΖΩΟΤΡΟΦΕΣ13001</t>
  </si>
  <si>
    <t>ΣΜΙΓΟΣ ΚΑΡΠΟΣ</t>
  </si>
  <si>
    <t>ΚΤΗΝΟΤΡΟΦΙΚΑ ΦΥΤΑ ΓΙΑ ΖΩΟΤΡΟΦΕΣ13002</t>
  </si>
  <si>
    <t>ΣΙΚΑΛΗ ΔΙΑΦΟΡΕΣ</t>
  </si>
  <si>
    <t>ΚΤΗΝΟΤΡΟΦΙΚΑ ΦΥΤΑ ΓΙΑ ΖΩΟΤΡΟΦΕΣ2000</t>
  </si>
  <si>
    <t>ΚΡΙΘΑΡΙ MUCHO</t>
  </si>
  <si>
    <t>ΚΤΗΝΟΤΡΟΦΙΚΑ ΦΥΤΑ ΓΙΑ ΖΩΟΤΡΟΦΕΣ20001</t>
  </si>
  <si>
    <t>ΚΡΙΘΑΡΙ CHA CHA</t>
  </si>
  <si>
    <t>ΚΤΗΝΟΤΡΟΦΙΚΑ ΦΥΤΑ ΓΙΑ ΖΩΟΤΡΟΦΕΣ20002</t>
  </si>
  <si>
    <t>ΛΑΘΟΥΡΙ ΚΤΗΝΟΤΡΟΦΙΚΟ ARGOS</t>
  </si>
  <si>
    <t>ΚΤΗΝΟΤΡΟΦΙΚΑ ΦΥΤΑ ΓΙΑ ΖΩΟΤΡΟΦΕΣ2203</t>
  </si>
  <si>
    <t>ΚΕΧΡΙ ΔΙΑΦΟΡΕΣ</t>
  </si>
  <si>
    <t>ΚΤΗΝΟΤΡΟΦΙΚΑ ΦΥΤΑ ΓΙΑ ΖΩΟΤΡΟΦΕΣ3000</t>
  </si>
  <si>
    <t>ΚΤΗΝΟΤΡΟΦΙΚΑ ΦΥΤΑ ΓΙΑ ΖΩΟΤΡΟΦΕΣ3099</t>
  </si>
  <si>
    <t>ΦΑΓΟΠΥΡΟ ΔΙΑΦΟΡΕΣ</t>
  </si>
  <si>
    <t>ΚΤΗΝΟΤΡΟΦΙΚΑ ΦΥΤΑ ΓΙΑ ΖΩΟΤΡΟΦΕΣ4000</t>
  </si>
  <si>
    <t>ΦΑΓΟΠΥΡΟ/ΜΑΥΡΟΣΙΤΑΡΟ</t>
  </si>
  <si>
    <t>ΚΤΗΝΟΤΡΟΦΙΚΑ ΦΥΤΑ ΓΙΑ ΖΩΟΤΡΟΦΕΣ4099</t>
  </si>
  <si>
    <t>ΦΟΥΛΙΑ ΠΟΛΥΚΑΡΠΗ (Μ-9643)</t>
  </si>
  <si>
    <t>ΚΤΗΝΟΤΡΟΦΙΚΑ ΦΥΤΑ ΓΙΑ ΖΩΟΤΡΟΦΕΣ6101</t>
  </si>
  <si>
    <t>ΚΤΗΝΟΤΡΟΦΙΚΑ ΦΥΤΑ ΓΙΑ ΖΩΟΤΡΟΦΕΣ6299</t>
  </si>
  <si>
    <t>ΣΟΓΙΑ - ΚΑΡΠΟΣ ΓΙΑ ΖΩΟΤΡΟΦΕΣ</t>
  </si>
  <si>
    <t>ΚΤΗΝΟΤΡΟΦΙΚΑ ΦΥΤΑ ΓΙΑ ΖΩΟΤΡΟΦΕΣ6405</t>
  </si>
  <si>
    <t>ΚΟΥΚΙ ΚΤΗΝΟΤΡΟΦΙΚΟ TANAGRA</t>
  </si>
  <si>
    <t>ΚΤΗΝΟΤΡΟΦΙΚΑ ΦΥΤΑ ΓΙΑ ΖΩΟΤΡΟΦΕΣ6602</t>
  </si>
  <si>
    <t>ΜΠΙΖΕΛΙΑ ΞΕΡΑ (ΠΙΣΣΑ) ΒΕΡΜΙΟ (Μ-8772)</t>
  </si>
  <si>
    <t>ΚΤΗΝΟΤΡΟΦΙΚΑ ΦΥΤΑ ΓΙΑ ΖΩΟΤΡΟΦΕΣ6701</t>
  </si>
  <si>
    <t>ΜΠΙΖΕΛΙ / ΠΙΣΟ ΚΤΗΝΟΤΡΟΦΙΚΟ DODONI</t>
  </si>
  <si>
    <t>ΚΤΗΝΟΤΡΟΦΙΚΑ ΦΥΤΑ ΓΙΑ ΖΩΟΤΡΟΦΕΣ6702</t>
  </si>
  <si>
    <t>ΜΠΙΖΕΛΙΑ ΞΕΡΑ (ΠΙΣΣΑ) ΙΘΩΜΗ (Μ-9771)</t>
  </si>
  <si>
    <t>ΚΤΗΝΟΤΡΟΦΙΚΑ ΦΥΤΑ ΓΙΑ ΖΩΟΤΡΟΦΕΣ6703</t>
  </si>
  <si>
    <t>ΜΠΙΖΕΛΙΑ ΞΕΡΑ (ΠΙΣΣΑ) ΚΑΡΠΑΘΟΣ (Κ-251)</t>
  </si>
  <si>
    <t>ΚΤΗΝΟΤΡΟΦΙΚΑ ΦΥΤΑ ΓΙΑ ΖΩΟΤΡΟΦΕΣ6704</t>
  </si>
  <si>
    <t>ΜΠΙΖΕΛΙ / ΠΙΣΟ ΚΤΗΝΟΤΡΟΦΙΚΟ OLYMPOS</t>
  </si>
  <si>
    <t>ΚΤΗΝΟΤΡΟΦΙΚΑ ΦΥΤΑ ΓΙΑ ΖΩΟΤΡΟΦΕΣ6705</t>
  </si>
  <si>
    <t>ΒΡΩΜΗ ΔΙΑΦΟΡΑ</t>
  </si>
  <si>
    <t>ΚΤΗΝΟΤΡΟΦΙΚΑ ΦΥΤΑ ΓΙΑ ΖΩΟΤΡΟΦΕΣ6800</t>
  </si>
  <si>
    <t>ΒΡΩΜΗ ΒΕΡΜΙΟ</t>
  </si>
  <si>
    <t>ΚΤΗΝΟΤΡΟΦΙΚΑ ΦΥΤΑ ΓΙΑ ΖΩΟΤΡΟΦΕΣ6801</t>
  </si>
  <si>
    <t>ΒΡΩΜΗ ΚΑΣΑΝΔΡΑ</t>
  </si>
  <si>
    <t>ΚΤΗΝΟΤΡΟΦΙΚΑ ΦΥΤΑ ΓΙΑ ΖΩΟΤΡΟΦΕΣ6802</t>
  </si>
  <si>
    <t>ΚΡΙΘΑΡΙ ΔΙΑΦΟΡΑ</t>
  </si>
  <si>
    <t>ΚΤΗΝΟΤΡΟΦΙΚΑ ΦΥΤΑ ΓΙΑ ΖΩΟΤΡΟΦΕΣ6900</t>
  </si>
  <si>
    <t>ΚΡΙΘΑΡΙ AURA</t>
  </si>
  <si>
    <t>ΚΤΗΝΟΤΡΟΦΙΚΑ ΦΥΤΑ ΓΙΑ ΖΩΟΤΡΟΦΕΣ6901</t>
  </si>
  <si>
    <t>ΚΡΙΘΑΡΙ BANDULLA</t>
  </si>
  <si>
    <t>ΚΤΗΝΟΤΡΟΦΙΚΑ ΦΥΤΑ ΓΙΑ ΖΩΟΤΡΟΦΕΣ6902</t>
  </si>
  <si>
    <t>ΚΡΙΘΑΡΙ CARINA</t>
  </si>
  <si>
    <t>ΚΤΗΝΟΤΡΟΦΙΚΑ ΦΥΤΑ ΓΙΑ ΖΩΟΤΡΟΦΕΣ6903</t>
  </si>
  <si>
    <t>ΚΡΙΘΑΡΙ CERISE</t>
  </si>
  <si>
    <t>ΚΤΗΝΟΤΡΟΦΙΚΑ ΦΥΤΑ ΓΙΑ ΖΩΟΤΡΟΦΕΣ6904</t>
  </si>
  <si>
    <t>ΚΡΙΘΑΡΙ CORNEL</t>
  </si>
  <si>
    <t>ΚΤΗΝΟΤΡΟΦΙΚΑ ΦΥΤΑ ΓΙΑ ΖΩΟΤΡΟΦΕΣ6905</t>
  </si>
  <si>
    <t>ΚΡΙΘΑΡΙ ΓΡΑΜΜΟΣ</t>
  </si>
  <si>
    <t>ΚΤΗΝΟΤΡΟΦΙΚΑ ΦΥΤΑ ΓΙΑ ΖΩΟΤΡΟΦΕΣ6906</t>
  </si>
  <si>
    <t>ΚΡΙΘΑΡΙ DELTA</t>
  </si>
  <si>
    <t>ΚΤΗΝΟΤΡΟΦΙΚΑ ΦΥΤΑ ΓΙΑ ΖΩΟΤΡΟΦΕΣ6907</t>
  </si>
  <si>
    <t>ΚΡΙΘΑΡΙ GEORGE</t>
  </si>
  <si>
    <t>ΚΤΗΝΟΤΡΟΦΙΚΑ ΦΥΤΑ ΓΙΑ ΖΩΟΤΡΟΦΕΣ6908</t>
  </si>
  <si>
    <t>ΚΡΙΘΑΡΙ GRIT</t>
  </si>
  <si>
    <t>ΚΤΗΝΟΤΡΟΦΙΚΑ ΦΥΤΑ ΓΙΑ ΖΩΟΤΡΟΦΕΣ6909</t>
  </si>
  <si>
    <t>ΚΡΙΘΑΡΙ HARRY</t>
  </si>
  <si>
    <t>ΚΤΗΝΟΤΡΟΦΙΚΑ ΦΥΤΑ ΓΙΑ ΖΩΟΤΡΟΦΕΣ6910</t>
  </si>
  <si>
    <t>ΚΡΙΘΑΡΙ HELENA</t>
  </si>
  <si>
    <t>ΚΤΗΝΟΤΡΟΦΙΚΑ ΦΥΤΑ ΓΙΑ ΖΩΟΤΡΟΦΕΣ6911</t>
  </si>
  <si>
    <t>ΚΡΙΘΑΡΙ IDA</t>
  </si>
  <si>
    <t>ΚΤΗΝΟΤΡΟΦΙΚΑ ΦΥΤΑ ΓΙΑ ΖΩΟΤΡΟΦΕΣ6912</t>
  </si>
  <si>
    <t>ΚΡΙΘΑΡΙ IGRI</t>
  </si>
  <si>
    <t>ΚΤΗΝΟΤΡΟΦΙΚΑ ΦΥΤΑ ΓΙΑ ΖΩΟΤΡΟΦΕΣ6913</t>
  </si>
  <si>
    <t>ΚΡΙΘΑΡΙ IRANIA</t>
  </si>
  <si>
    <t>ΚΤΗΝΟΤΡΟΦΙΚΑ ΦΥΤΑ ΓΙΑ ΖΩΟΤΡΟΦΕΣ6914</t>
  </si>
  <si>
    <t>ΚΡΙΘΑΡΙ IRLA</t>
  </si>
  <si>
    <t>ΚΤΗΝΟΤΡΟΦΙΚΑ ΦΥΤΑ ΓΙΑ ΖΩΟΤΡΟΦΕΣ6915</t>
  </si>
  <si>
    <t>ΚΡΙΘΑΡΙ ΚΑΔΜΟΣ</t>
  </si>
  <si>
    <t>ΚΤΗΝΟΤΡΟΦΙΚΑ ΦΥΤΑ ΓΙΑ ΖΩΟΤΡΟΦΕΣ6916</t>
  </si>
  <si>
    <t>ΚΡΙΘΑΡΙ ΚΑΛΥΜΝΟΣ</t>
  </si>
  <si>
    <t>ΚΤΗΝΟΤΡΟΦΙΚΑ ΦΥΤΑ ΓΙΑ ΖΩΟΤΡΟΦΕΣ6917</t>
  </si>
  <si>
    <t>ΚΡΙΘΑΡΙ ΚΑΜΕΙΡΟΣ</t>
  </si>
  <si>
    <t>ΚΤΗΝΟΤΡΟΦΙΚΑ ΦΥΤΑ ΓΙΑ ΖΩΟΤΡΟΦΕΣ6918</t>
  </si>
  <si>
    <t>ΚΡΙΘΑΡΙ ΚΑΡΠΑΘΟΣ</t>
  </si>
  <si>
    <t>ΚΤΗΝΟΤΡΟΦΙΚΑ ΦΥΤΑ ΓΙΑ ΖΩΟΤΡΟΦΕΣ6919</t>
  </si>
  <si>
    <t>ΚΡΙΘΑΡΙ ΚΑΣΣΟΣ</t>
  </si>
  <si>
    <t>ΚΤΗΝΟΤΡΟΦΙΚΑ ΦΥΤΑ ΓΙΑ ΖΩΟΤΡΟΦΕΣ6920</t>
  </si>
  <si>
    <t>ΚΡΙΘΑΡΙ KASKADE</t>
  </si>
  <si>
    <t>ΚΤΗΝΟΤΡΟΦΙΚΑ ΦΥΤΑ ΓΙΑ ΖΩΟΤΡΟΦΕΣ6921</t>
  </si>
  <si>
    <t>ΚΡΙΘΑΡΙ ΚΙΡΚΗ</t>
  </si>
  <si>
    <t>ΚΤΗΝΟΤΡΟΦΙΚΑ ΦΥΤΑ ΓΙΑ ΖΩΟΤΡΟΦΕΣ6922</t>
  </si>
  <si>
    <t>ΚΡΙΘΑΡΙ ΚΛΙΠΠΕΡ 71</t>
  </si>
  <si>
    <t>ΚΤΗΝΟΤΡΟΦΙΚΑ ΦΥΤΑ ΓΙΑ ΖΩΟΤΡΟΦΕΣ6923</t>
  </si>
  <si>
    <t>ΚΡΙΘΑΡΙ ΚΡΙΤΩΝ</t>
  </si>
  <si>
    <t>ΚΤΗΝΟΤΡΟΦΙΚΑ ΦΥΤΑ ΓΙΑ ΖΩΟΤΡΟΦΕΣ6925</t>
  </si>
  <si>
    <t>ΚΡΙΘΑΡΙ ΚΡΟΝΟΣ</t>
  </si>
  <si>
    <t>ΚΤΗΝΟΤΡΟΦΙΚΑ ΦΥΤΑ ΓΙΑ ΖΩΟΤΡΟΦΕΣ6926</t>
  </si>
  <si>
    <t>ΚΡΙΘΑΡΙ ΚΥΜ</t>
  </si>
  <si>
    <t>ΚΤΗΝΟΤΡΟΦΙΚΑ ΦΥΤΑ ΓΙΑ ΖΩΟΤΡΟΦΕΣ6927</t>
  </si>
  <si>
    <t>ΚΡΙΘΑΡΙ MENUET</t>
  </si>
  <si>
    <t>ΚΤΗΝΟΤΡΟΦΙΚΑ ΦΥΤΑ ΓΙΑ ΖΩΟΤΡΟΦΕΣ6928</t>
  </si>
  <si>
    <t>ΚΡΙΘΑΡΙ ΝΙΚΗ</t>
  </si>
  <si>
    <t>ΚΤΗΝΟΤΡΟΦΙΚΑ ΦΥΤΑ ΓΙΑ ΖΩΟΤΡΟΦΕΣ6929</t>
  </si>
  <si>
    <t>ΚΡΙΘΑΡΙ PRESTO</t>
  </si>
  <si>
    <t>ΚΤΗΝΟΤΡΟΦΙΚΑ ΦΥΤΑ ΓΙΑ ΖΩΟΤΡΟΦΕΣ6930</t>
  </si>
  <si>
    <t>ΚΡΙΘΑΡΙ SONJA</t>
  </si>
  <si>
    <t>ΚΤΗΝΟΤΡΟΦΙΚΑ ΦΥΤΑ ΓΙΑ ΖΩΟΤΡΟΦΕΣ6931</t>
  </si>
  <si>
    <t>ΚΡΙΘΑΡΙ ΣΟΦΙΑ</t>
  </si>
  <si>
    <t>ΚΤΗΝΟΤΡΟΦΙΚΑ ΦΥΤΑ ΓΙΑ ΖΩΟΤΡΟΦΕΣ6932</t>
  </si>
  <si>
    <t>ΚΡΙΘΑΡΙ ΣΠΙΘΑ</t>
  </si>
  <si>
    <t>ΚΤΗΝΟΤΡΟΦΙΚΑ ΦΥΤΑ ΓΙΑ ΖΩΟΤΡΟΦΕΣ6933</t>
  </si>
  <si>
    <t>ΚΡΙΘΑΡΙ TORKEL</t>
  </si>
  <si>
    <t>ΚΤΗΝΟΤΡΟΦΙΚΑ ΦΥΤΑ ΓΙΑ ΖΩΟΤΡΟΦΕΣ6934</t>
  </si>
  <si>
    <t>ΚΡΙΘΑΡΙ TROUBADOUR</t>
  </si>
  <si>
    <t>ΚΤΗΝΟΤΡΟΦΙΚΑ ΦΥΤΑ ΓΙΑ ΖΩΟΤΡΟΦΕΣ6935</t>
  </si>
  <si>
    <t>ΚΡΙΘΑΡΙ VIOLA</t>
  </si>
  <si>
    <t>ΚΤΗΝΟΤΡΟΦΙΚΑ ΦΥΤΑ ΓΙΑ ΖΩΟΤΡΟΦΕΣ6936</t>
  </si>
  <si>
    <t>ΚΡΙΘΑΡΙ ΑΘΗΝΑΙΔΑ</t>
  </si>
  <si>
    <t>ΚΤΗΝΟΤΡΟΦΙΚΑ ΦΥΤΑ ΓΙΑ ΖΩΟΤΡΟΦΕΣ6937</t>
  </si>
  <si>
    <t>ΚΡΙΘΑΡΙ ΑΤΤΙΚΗ</t>
  </si>
  <si>
    <t>ΚΤΗΝΟΤΡΟΦΙΚΑ ΦΥΤΑ ΓΙΑ ΖΩΟΤΡΟΦΕΣ6938</t>
  </si>
  <si>
    <t>ΚΡΙΘΑΡΙ DIANA</t>
  </si>
  <si>
    <t>ΚΤΗΝΟΤΡΟΦΙΚΑ ΦΥΤΑ ΓΙΑ ΖΩΟΤΡΟΦΕΣ6939</t>
  </si>
  <si>
    <t>ΚΡΙΘΑΡΙ ΕΛΑΣΣΟΝΑ</t>
  </si>
  <si>
    <t>ΚΤΗΝΟΤΡΟΦΙΚΑ ΦΥΤΑ ΓΙΑ ΖΩΟΤΡΟΦΕΣ6940</t>
  </si>
  <si>
    <t>ΚΡΙΘΑΡΙ HEMUS</t>
  </si>
  <si>
    <t>ΚΤΗΝΟΤΡΟΦΙΚΑ ΦΥΤΑ ΓΙΑ ΖΩΟΤΡΟΦΕΣ6941</t>
  </si>
  <si>
    <t>ΚΡΙΘΑΡΙ KARNOBAT</t>
  </si>
  <si>
    <t>ΚΤΗΝΟΤΡΟΦΙΚΑ ΦΥΤΑ ΓΙΑ ΖΩΟΤΡΟΦΕΣ6942</t>
  </si>
  <si>
    <t>ΚΡΙΘΑΡΙ KATJA</t>
  </si>
  <si>
    <t>ΚΤΗΝΟΤΡΟΦΙΚΑ ΦΥΤΑ ΓΙΑ ΖΩΟΤΡΟΦΕΣ6943</t>
  </si>
  <si>
    <t>ΚΡΙΘΑΡΙ ΚΡΗΝΗ</t>
  </si>
  <si>
    <t>ΚΤΗΝΟΤΡΟΦΙΚΑ ΦΥΤΑ ΓΙΑ ΖΩΟΤΡΟΦΕΣ6944</t>
  </si>
  <si>
    <t>ΣΟΡΓΟ ΔΙΑΦΟΡΑ</t>
  </si>
  <si>
    <t>ΚΤΗΝΟΤΡΟΦΙΚΑ ΦΥΤΑ ΓΙΑ ΖΩΟΤΡΟΦΕΣ7300</t>
  </si>
  <si>
    <t>ΣΟΡΓΟ ΚΡΟΚΙΟΝ</t>
  </si>
  <si>
    <t>ΚΤΗΝΟΤΡΟΦΙΚΑ ΦΥΤΑ ΓΙΑ ΖΩΟΤΡΟΦΕΣ7301</t>
  </si>
  <si>
    <t>ΤΡΙΤΙΚΑΛΕ ΔΙΑΦΟΡΑ</t>
  </si>
  <si>
    <t>ΚΤΗΝΟΤΡΟΦΙΚΑ ΦΥΤΑ ΓΙΑ ΖΩΟΤΡΟΦΕΣ7600</t>
  </si>
  <si>
    <t>ΤΡΙΤΙΚΑΛΕ ΒΡΟΝΤΗ</t>
  </si>
  <si>
    <t>ΚΤΗΝΟΤΡΟΦΙΚΑ ΦΥΤΑ ΓΙΑ ΖΩΟΤΡΟΦΕΣ7601</t>
  </si>
  <si>
    <t>ΤΡΙΤΙΚΑΛΕ ΒΡΥΤΩ</t>
  </si>
  <si>
    <t>ΚΤΗΝΟΤΡΟΦΙΚΑ ΦΥΤΑ ΓΙΑ ΖΩΟΤΡΟΦΕΣ7602</t>
  </si>
  <si>
    <t>ΤΡΙΤΙΚΑΛΕ ΔΑΔΑ</t>
  </si>
  <si>
    <t>ΚΤΗΝΟΤΡΟΦΙΚΑ ΦΥΤΑ ΓΙΑ ΖΩΟΤΡΟΦΕΣ7603</t>
  </si>
  <si>
    <t>ΤΡΙΤΙΚΑΛΕ ΘΙΣΒΗ</t>
  </si>
  <si>
    <t>ΚΤΗΝΟΤΡΟΦΙΚΑ ΦΥΤΑ ΓΙΑ ΖΩΟΤΡΟΦΕΣ7604</t>
  </si>
  <si>
    <t>ΤΡΙΤΙΚΑΛΕ ΝΙΟΒΗ</t>
  </si>
  <si>
    <t>ΚΤΗΝΟΤΡΟΦΙΚΑ ΦΥΤΑ ΓΙΑ ΖΩΟΤΡΟΦΕΣ7605</t>
  </si>
  <si>
    <t>ΛΟΛΙΟΥΜ</t>
  </si>
  <si>
    <t>ΚΤΗΝΟΤΡΟΦΙΚΑ ΦΥΤΑ ΓΙΑ ΖΩΟΤΡΟΦΕΣ7607</t>
  </si>
  <si>
    <t>ΣΙΤΟΣ ΜΑΛΑΚΟΣ ΔΙΑΦΟΡΑ</t>
  </si>
  <si>
    <t>ΚΤΗΝΟΤΡΟΦΙΚΑ ΦΥΤΑ ΓΙΑ ΖΩΟΤΡΟΦΕΣ7700</t>
  </si>
  <si>
    <t>ΣΙΤΟΣ ΜΑΛΑΚΟΣ ΑΙΓΕΣ</t>
  </si>
  <si>
    <t>ΚΤΗΝΟΤΡΟΦΙΚΑ ΦΥΤΑ ΓΙΑ ΖΩΟΤΡΟΦΕΣ7701</t>
  </si>
  <si>
    <t>ΣΙΤΟΣ ΜΑΛΑΚΟΣ ΑΛΦΕΙΟΣ</t>
  </si>
  <si>
    <t>ΚΤΗΝΟΤΡΟΦΙΚΑ ΦΥΤΑ ΓΙΑ ΖΩΟΤΡΟΦΕΣ7702</t>
  </si>
  <si>
    <t>ΣΙΤΟΣ ΜΑΛΑΚΟΣ ΑΜΥΝΤΑΣ</t>
  </si>
  <si>
    <t>ΚΤΗΝΟΤΡΟΦΙΚΑ ΦΥΤΑ ΓΙΑ ΖΩΟΤΡΟΦΕΣ7703</t>
  </si>
  <si>
    <t>ΣΙΤΟΣ ΜΑΛΑΚΟΣ ΑΞΙΟΣ</t>
  </si>
  <si>
    <t>ΚΤΗΝΟΤΡΟΦΙΚΑ ΦΥΤΑ ΓΙΑ ΖΩΟΤΡΟΦΕΣ7704</t>
  </si>
  <si>
    <t>ΣΙΤΟΣ ΜΑΛΑΚΟΣ ΑΡΑΧΘΟΣ</t>
  </si>
  <si>
    <t>ΚΤΗΝΟΤΡΟΦΙΚΑ ΦΥΤΑ ΓΙΑ ΖΩΟΤΡΟΦΕΣ7705</t>
  </si>
  <si>
    <t>ΣΙΤΟΣ ΜΑΛΑΚΟΣ ARTEMIS</t>
  </si>
  <si>
    <t>ΚΤΗΝΟΤΡΟΦΙΚΑ ΦΥΤΑ ΓΙΑ ΖΩΟΤΡΟΦΕΣ7706</t>
  </si>
  <si>
    <t>ΣΙΤΟΣ ΜΑΛΑΚΟΣ ΑΧΕΛΩΟΣ</t>
  </si>
  <si>
    <t>ΚΤΗΝΟΤΡΟΦΙΚΑ ΦΥΤΑ ΓΙΑ ΖΩΟΤΡΟΦΕΣ7707</t>
  </si>
  <si>
    <t>ΣΙΤΟΣ ΜΑΛΑΚΟΣ ΒΕΡΓΙΝΑ</t>
  </si>
  <si>
    <t>ΚΤΗΝΟΤΡΟΦΙΚΑ ΦΥΤΑ ΓΙΑ ΖΩΟΤΡΟΦΕΣ7708</t>
  </si>
  <si>
    <t>ΣΙΤΟΣ ΜΑΛΑΚΟΣ ΒΙΤΣΙ</t>
  </si>
  <si>
    <t>ΚΤΗΝΟΤΡΟΦΙΚΑ ΦΥΤΑ ΓΙΑ ΖΩΟΤΡΟΦΕΣ7709</t>
  </si>
  <si>
    <t>ΣΙΤΟΣ ΜΑΛΑΚΟΣ ΓΑΛΗΝΗ "Ε"</t>
  </si>
  <si>
    <t>ΚΤΗΝΟΤΡΟΦΙΚΑ ΦΥΤΑ ΓΙΑ ΖΩΟΤΡΟΦΕΣ7710</t>
  </si>
  <si>
    <t>ΣΙΤΟΣ ΜΑΛΑΚΟΣ CASTAN</t>
  </si>
  <si>
    <t>ΚΤΗΝΟΤΡΟΦΙΚΑ ΦΥΤΑ ΓΙΑ ΖΩΟΤΡΟΦΕΣ7711</t>
  </si>
  <si>
    <t>ΣΙΤΟΣ ΜΑΛΑΚΟΣ CHECCO</t>
  </si>
  <si>
    <t>ΚΤΗΝΟΤΡΟΦΙΚΑ ΦΥΤΑ ΓΙΑ ΖΩΟΤΡΟΦΕΣ7712</t>
  </si>
  <si>
    <t>ΣΙΤΟΣ ΜΑΛΑΚΟΣ ΓΕΚΟΡΑ "Ε"</t>
  </si>
  <si>
    <t>ΚΤΗΝΟΤΡΟΦΙΚΑ ΦΥΤΑ ΓΙΑ ΖΩΟΤΡΟΦΕΣ7713</t>
  </si>
  <si>
    <t>ΣΙΤΟΣ ΜΑΛΑΚΟΣ ΓΕΝΟΡΟΖΟ "Ε"</t>
  </si>
  <si>
    <t>ΚΤΗΝΟΤΡΟΦΙΚΑ ΦΥΤΑ ΓΙΑ ΖΩΟΤΡΟΦΕΣ7714</t>
  </si>
  <si>
    <t>ΣΙΤΟΣ ΜΑΛΑΚΟΣ GEMINI</t>
  </si>
  <si>
    <t>ΚΤΗΝΟΤΡΟΦΙΚΑ ΦΥΤΑ ΓΙΑ ΖΩΟΤΡΟΦΕΣ7715</t>
  </si>
  <si>
    <t>ΣΙΤΟΣ ΜΑΛΑΚΟΣ GENOROSO</t>
  </si>
  <si>
    <t>ΚΤΗΝΟΤΡΟΦΙΚΑ ΦΥΤΑ ΓΙΑ ΖΩΟΤΡΟΦΕΣ7716</t>
  </si>
  <si>
    <t>ΣΙΤΟΣ ΜΑΛΑΚΟΣ ΓΟΡΓΟΝΑ</t>
  </si>
  <si>
    <t>ΚΤΗΝΟΤΡΟΦΙΚΑ ΦΥΤΑ ΓΙΑ ΖΩΟΤΡΟΦΕΣ7717</t>
  </si>
  <si>
    <t>ΣΙΤΟΣ ΜΑΛΑΚΟΣ ΔΙΟ</t>
  </si>
  <si>
    <t>ΚΤΗΝΟΤΡΟΦΙΚΑ ΦΥΤΑ ΓΙΑ ΖΩΟΤΡΟΦΕΣ7718</t>
  </si>
  <si>
    <t>ΣΙΤΟΣ ΜΑΛΑΚΟΣ ΔΩΔΩΝΗ</t>
  </si>
  <si>
    <t>ΚΤΗΝΟΤΡΟΦΙΚΑ ΦΥΤΑ ΓΙΑ ΖΩΟΤΡΟΦΕΣ7719</t>
  </si>
  <si>
    <t>ΣΙΤΟΣ ΜΑΛΑΚΟΣ ΕΒΡΟΣ</t>
  </si>
  <si>
    <t>ΚΤΗΝΟΤΡΟΦΙΚΑ ΦΥΤΑ ΓΙΑ ΖΩΟΤΡΟΦΕΣ7720</t>
  </si>
  <si>
    <t>ΣΙΤΟΣ ΜΑΛΑΚΟΣ Η-78234</t>
  </si>
  <si>
    <t>ΚΤΗΝΟΤΡΟΦΙΚΑ ΦΥΤΑ ΓΙΑ ΖΩΟΤΡΟΦΕΣ7721</t>
  </si>
  <si>
    <t>ΣΙΤΟΣ ΜΑΛΑΚΟΣ Η-785813</t>
  </si>
  <si>
    <t>ΚΤΗΝΟΤΡΟΦΙΚΑ ΦΥΤΑ ΓΙΑ ΖΩΟΤΡΟΦΕΣ7722</t>
  </si>
  <si>
    <t>ΣΙΤΟΣ ΜΑΛΑΚΟΣ ΘΕΡΜΗ</t>
  </si>
  <si>
    <t>ΚΤΗΝΟΤΡΟΦΙΚΑ ΦΥΤΑ ΓΙΑ ΖΩΟΤΡΟΦΕΣ7723</t>
  </si>
  <si>
    <t>ΣΙΤΟΣ ΜΑΛΑΚΟΣ ΘΥΑΜΙΣ</t>
  </si>
  <si>
    <t>ΚΤΗΝΟΤΡΟΦΙΚΑ ΦΥΤΑ ΓΙΑ ΖΩΟΤΡΟΦΕΣ7724</t>
  </si>
  <si>
    <t>ΣΙΤΟΣ ΜΑΛΑΚΟΣ JANTAR</t>
  </si>
  <si>
    <t>ΚΤΗΝΟΤΡΟΦΙΚΑ ΦΥΤΑ ΓΙΑ ΖΩΟΤΡΟΦΕΣ7725</t>
  </si>
  <si>
    <t>ΣΙΤΟΣ ΜΑΛΑΚΟΣ IRNERIO</t>
  </si>
  <si>
    <t>ΚΤΗΝΟΤΡΟΦΙΚΑ ΦΥΤΑ ΓΙΑ ΖΩΟΤΡΟΦΕΣ7726</t>
  </si>
  <si>
    <t>ΣΙΤΟΣ ΜΑΛΑΚΟΣ KATIA</t>
  </si>
  <si>
    <t>ΚΤΗΝΟΤΡΟΦΙΚΑ ΦΥΤΑ ΓΙΑ ΖΩΟΤΡΟΦΕΣ7727</t>
  </si>
  <si>
    <t>ΣΙΤΟΣ ΜΑΛΑΚΟΣ ΛΟΥΔΙΑΣ</t>
  </si>
  <si>
    <t>ΚΤΗΝΟΤΡΟΦΙΚΑ ΦΥΤΑ ΓΙΑ ΖΩΟΤΡΟΦΕΣ7728</t>
  </si>
  <si>
    <t>ΣΙΤΟΣ ΜΑΛΑΚΟΣ ΛΟΥΡΟΣ</t>
  </si>
  <si>
    <t>ΚΤΗΝΟΤΡΟΦΙΚΑ ΦΥΤΑ ΓΙΑ ΖΩΟΤΡΟΦΕΣ7729</t>
  </si>
  <si>
    <t>ΣΙΤΟΣ ΜΑΛΑΚΟΣ ΛΥΔΙΑ</t>
  </si>
  <si>
    <t>ΚΤΗΝΟΤΡΟΦΙΚΑ ΦΥΤΑ ΓΙΑ ΖΩΟΤΡΟΦΕΣ7730</t>
  </si>
  <si>
    <t>ΣΙΤΟΣ ΜΑΛΑΚΟΣ MEC</t>
  </si>
  <si>
    <t>ΚΤΗΝΟΤΡΟΦΙΚΑ ΦΥΤΑ ΓΙΑ ΖΩΟΤΡΟΦΕΣ7731</t>
  </si>
  <si>
    <t>ΣΙΤΟΣ ΜΑΛΑΚΟΣ ΜΕΛΙΑ</t>
  </si>
  <si>
    <t>ΚΤΗΝΟΤΡΟΦΙΚΑ ΦΥΤΑ ΓΙΑ ΖΩΟΤΡΟΦΕΣ7732</t>
  </si>
  <si>
    <t>ΣΙΤΟΣ ΜΑΛΑΚΟΣ ΜΥΚΟΝΟΣ</t>
  </si>
  <si>
    <t>ΚΤΗΝΟΤΡΟΦΙΚΑ ΦΥΤΑ ΓΙΑ ΖΩΟΤΡΟΦΕΣ7733</t>
  </si>
  <si>
    <t>ΣΙΤΟΣ ΜΑΛΑΚΟΣ ΝΕΣΤΟΣ</t>
  </si>
  <si>
    <t>ΚΤΗΝΟΤΡΟΦΙΚΑ ΦΥΤΑ ΓΙΑ ΖΩΟΤΡΟΦΕΣ7734</t>
  </si>
  <si>
    <t>ΣΙΤΟΣ ΜΑΛΑΚΟΣ ΝΙΚΗ</t>
  </si>
  <si>
    <t>ΚΤΗΝΟΤΡΟΦΙΚΑ ΦΥΤΑ ΓΙΑ ΖΩΟΤΡΟΦΕΣ7735</t>
  </si>
  <si>
    <t>ΣΙΤΟΣ ΜΑΛΑΚΟΣ ΞΕΝΙΑ</t>
  </si>
  <si>
    <t>ΚΤΗΝΟΤΡΟΦΙΚΑ ΦΥΤΑ ΓΙΑ ΖΩΟΤΡΟΦΕΣ7736</t>
  </si>
  <si>
    <t>ΣΙΤΟΣ ΜΑΛΑΚΟΣ ORSO</t>
  </si>
  <si>
    <t>ΚΤΗΝΟΤΡΟΦΙΚΑ ΦΥΤΑ ΓΙΑ ΖΩΟΤΡΟΦΕΣ7737</t>
  </si>
  <si>
    <t>ΣΙΤΟΣ ΜΑΛΑΚΟΣ ΠΕΛΛΑ</t>
  </si>
  <si>
    <t>ΚΤΗΝΟΤΡΟΦΙΚΑ ΦΥΤΑ ΓΙΑ ΖΩΟΤΡΟΦΕΣ7738</t>
  </si>
  <si>
    <t>ΣΙΤΟΣ ΜΑΛΑΚΟΣ ΠΗΝΕΙΟΣ</t>
  </si>
  <si>
    <t>ΚΤΗΝΟΤΡΟΦΙΚΑ ΦΥΤΑ ΓΙΑ ΖΩΟΤΡΟΦΕΣ7739</t>
  </si>
  <si>
    <t>ΣΙΤΟΣ ΜΑΛΑΚΟΣ ΠΤΟΛΕΜΑΙΣ-1001</t>
  </si>
  <si>
    <t>ΚΤΗΝΟΤΡΟΦΙΚΑ ΦΥΤΑ ΓΙΑ ΖΩΟΤΡΟΦΕΣ7740</t>
  </si>
  <si>
    <t>ΣΙΤΟΣ ΜΑΛΑΚΟΣ RINCONADA</t>
  </si>
  <si>
    <t>ΚΤΗΝΟΤΡΟΦΙΚΑ ΦΥΤΑ ΓΙΑ ΖΩΟΤΡΟΦΕΣ7741</t>
  </si>
  <si>
    <t>ΣΙΤΟΣ ΜΑΛΑΚΟΣ ΣΙΕΤΕ ΣΕΡ.</t>
  </si>
  <si>
    <t>ΚΤΗΝΟΤΡΟΦΙΚΑ ΦΥΤΑ ΓΙΑ ΖΩΟΤΡΟΦΕΣ7742</t>
  </si>
  <si>
    <t>ΣΙΤΟΣ ΜΑΛΑΚΟΣ SAVODO I</t>
  </si>
  <si>
    <t>ΚΤΗΝΟΤΡΟΦΙΚΑ ΦΥΤΑ ΓΙΑ ΖΩΟΤΡΟΦΕΣ7743</t>
  </si>
  <si>
    <t>ΣΙΤΟΣ ΜΑΛΑΚΟΣ SK-136</t>
  </si>
  <si>
    <t>ΚΤΗΝΟΤΡΟΦΙΚΑ ΦΥΤΑ ΓΙΑ ΖΩΟΤΡΟΦΕΣ7744</t>
  </si>
  <si>
    <t>ΣΙΤΟΣ ΜΑΛΑΚΟΣ SCORJANKA</t>
  </si>
  <si>
    <t>ΚΤΗΝΟΤΡΟΦΙΚΑ ΦΥΤΑ ΓΙΑ ΖΩΟΤΡΟΦΕΣ7745</t>
  </si>
  <si>
    <t>ΣΙΤΟΣ ΜΑΛΑΚΟΣ SPADA</t>
  </si>
  <si>
    <t>ΚΤΗΝΟΤΡΟΦΙΚΑ ΦΥΤΑ ΓΙΑ ΖΩΟΤΡΟΦΕΣ7746</t>
  </si>
  <si>
    <t>ΣΙΤΟΣ ΜΑΛΑΚΟΣ ΣΤΡΥΜΩΝΑΣ</t>
  </si>
  <si>
    <t>ΚΤΗΝΟΤΡΟΦΙΚΑ ΦΥΤΑ ΓΙΑ ΖΩΟΤΡΟΦΕΣ7747</t>
  </si>
  <si>
    <t>ΣΙΤΟΣ ΜΑΛΑΚΟΣ Τα-399</t>
  </si>
  <si>
    <t>ΚΤΗΝΟΤΡΟΦΙΚΑ ΦΥΤΑ ΓΙΑ ΖΩΟΤΡΟΦΕΣ7748</t>
  </si>
  <si>
    <t>ΣΙΤΟΣ ΜΑΛΑΚΟΣ TRIDA</t>
  </si>
  <si>
    <t>ΚΤΗΝΟΤΡΟΦΙΚΑ ΦΥΤΑ ΓΙΑ ΖΩΟΤΡΟΦΕΣ7749</t>
  </si>
  <si>
    <t>ΣΙΤΟΣ ΜΑΛΑΚΟΣ VRATSA</t>
  </si>
  <si>
    <t>ΚΤΗΝΟΤΡΟΦΙΚΑ ΦΥΤΑ ΓΙΑ ΖΩΟΤΡΟΦΕΣ7750</t>
  </si>
  <si>
    <t>ΣΙΤΟΣ ΜΑΛΑΚΟΣ ΣΚΟΡΔΑΛΙΑΡΗΣ</t>
  </si>
  <si>
    <t>ΚΤΗΝΟΤΡΟΦΙΚΑ ΦΥΤΑ ΓΙΑ ΖΩΟΤΡΟΦΕΣ7777</t>
  </si>
  <si>
    <t>ΣΙΤΟΣ ΜΑΛΑΚΟΣ ΣΚΛΗΡΟΠΕΤΡΑ</t>
  </si>
  <si>
    <t>ΚΤΗΝΟΤΡΟΦΙΚΑ ΦΥΤΑ ΓΙΑ ΖΩΟΤΡΟΦΕΣ7778</t>
  </si>
  <si>
    <t>ΣΙΤΟΣ ΜΑΛΑΚΟΣ ΑΡΝΑΟΥΤΙ</t>
  </si>
  <si>
    <t>ΚΤΗΝΟΤΡΟΦΙΚΑ ΦΥΤΑ ΓΙΑ ΖΩΟΤΡΟΦΕΣ7779</t>
  </si>
  <si>
    <t>ΣΙΚΑΛΗ ΒΕΥΗ ΦΛΩΡΙΝΑΣ</t>
  </si>
  <si>
    <t>ΚΤΗΝΟΤΡΟΦΙΚΑ ΦΥΤΑ ΓΙΑ ΖΩΟΤΡΟΦΕΣ7781</t>
  </si>
  <si>
    <t>ΒΡΩΜΗ ΤΡΙΚΑΛΩΝ</t>
  </si>
  <si>
    <t>ΚΤΗΝΟΤΡΟΦΙΚΑ ΦΥΤΑ ΓΙΑ ΖΩΟΤΡΟΦΕΣ7782</t>
  </si>
  <si>
    <t>ΚΡΙΘΑΡΙ ΣΕΡΙΦΟΥ</t>
  </si>
  <si>
    <t>ΚΤΗΝΟΤΡΟΦΙΚΑ ΦΥΤΑ ΓΙΑ ΖΩΟΤΡΟΦΕΣ7783</t>
  </si>
  <si>
    <t>ΚΡΙΘΑΡΙ ΚΥΘΝΟΥ</t>
  </si>
  <si>
    <t>ΚΤΗΝΟΤΡΟΦΙΚΑ ΦΥΤΑ ΓΙΑ ΖΩΟΤΡΟΦΕΣ7784</t>
  </si>
  <si>
    <t>ΚΡΙΘΑΡΙ ΤΡΙΚΑΛΩΝ</t>
  </si>
  <si>
    <t>ΚΤΗΝΟΤΡΟΦΙΚΑ ΦΥΤΑ ΓΙΑ ΖΩΟΤΡΟΦΕΣ7785</t>
  </si>
  <si>
    <t>ΚΡΙΘΑΡΙ ΝΑΞΟΥ</t>
  </si>
  <si>
    <t>ΚΤΗΝΟΤΡΟΦΙΚΑ ΦΥΤΑ ΓΙΑ ΖΩΟΤΡΟΦΕΣ7786</t>
  </si>
  <si>
    <t>ΑΛΟΓΟΚΡΙΘΟ</t>
  </si>
  <si>
    <t>ΚΤΗΝΟΤΡΟΦΙΚΑ ΦΥΤΑ ΓΙΑ ΖΩΟΤΡΟΦΕΣ7787</t>
  </si>
  <si>
    <t>ΓΟΥΜΑΡΟΚΡΙΘΟ</t>
  </si>
  <si>
    <t>ΚΤΗΝΟΤΡΟΦΙΚΑ ΦΥΤΑ ΓΙΑ ΖΩΟΤΡΟΦΕΣ7788</t>
  </si>
  <si>
    <t>ΚΡΙΘΑΡΙ ΕΞΑΣΤΙΧΟ</t>
  </si>
  <si>
    <t>ΚΤΗΝΟΤΡΟΦΙΚΑ ΦΥΤΑ ΓΙΑ ΖΩΟΤΡΟΦΕΣ7789</t>
  </si>
  <si>
    <t>ΣΙΤΟΣ ΜΑΛΑΚΟΣ ΓΚΡΙΝΙΑΣ</t>
  </si>
  <si>
    <t>ΚΤΗΝΟΤΡΟΦΙΚΑ ΦΥΤΑ ΓΙΑ ΖΩΟΤΡΟΦΕΣ7790</t>
  </si>
  <si>
    <t>ΣΙΤΟΣ ΜΑΛΑΚΟΣ ΤΣΟΥΓΚΡΙΑΣ</t>
  </si>
  <si>
    <t>ΚΤΗΝΟΤΡΟΦΙΚΑ ΦΥΤΑ ΓΙΑ ΖΩΟΤΡΟΦΕΣ7791</t>
  </si>
  <si>
    <t>ΣΙΤΟΣ ΜΑΛΑΚΟΣ ΤΣΙΓΚΡΙΠΑ</t>
  </si>
  <si>
    <t>ΚΤΗΝΟΤΡΟΦΙΚΑ ΦΥΤΑ ΓΙΑ ΖΩΟΤΡΟΦΕΣ7792</t>
  </si>
  <si>
    <t>ΣΙΤΟΣ ΜΑΛΑΚΟΣ ΖΟΥΛΙΤΣΑ</t>
  </si>
  <si>
    <t>ΚΤΗΝΟΤΡΟΦΙΚΑ ΦΥΤΑ ΓΙΑ ΖΩΟΤΡΟΦΕΣ7793</t>
  </si>
  <si>
    <t>ΣΙΤΟΣ ΜΑΛΑΚΟΣ ΔΡΙΜΙΝΙΤΣΑ</t>
  </si>
  <si>
    <t>ΚΤΗΝΟΤΡΟΦΙΚΑ ΦΥΤΑ ΓΙΑ ΖΩΟΤΡΟΦΕΣ7794</t>
  </si>
  <si>
    <t>ΣΙΤΟΣ ΜΑΛΑΚΟΣ ΚΑΤΡΑΝΙΤΣΑ</t>
  </si>
  <si>
    <t>ΚΤΗΝΟΤΡΟΦΙΚΑ ΦΥΤΑ ΓΙΑ ΖΩΟΤΡΟΦΕΣ7795</t>
  </si>
  <si>
    <t>ΣΙΤΟΣ ΜΑΛΑΚΟΣ ΑΣΠΡΟΣ ΤΣΙΟΥΛΟΣ</t>
  </si>
  <si>
    <t>ΚΤΗΝΟΤΡΟΦΙΚΑ ΦΥΤΑ ΓΙΑ ΖΩΟΤΡΟΦΕΣ7796</t>
  </si>
  <si>
    <t>ΣΙΤΟΣ ΜΑΛΑΚΟΣ ΚΟΥΤΡΟΥΛΙ</t>
  </si>
  <si>
    <t>ΚΤΗΝΟΤΡΟΦΙΚΑ ΦΥΤΑ ΓΙΑ ΖΩΟΤΡΟΦΕΣ7797</t>
  </si>
  <si>
    <t>ΣΙΤΟΣ ΜΑΛΑΚΟΣ ΞΥΛΟΚΑΣΤΡΟ</t>
  </si>
  <si>
    <t>ΚΤΗΝΟΤΡΟΦΙΚΑ ΦΥΤΑ ΓΙΑ ΖΩΟΤΡΟΦΕΣ7798</t>
  </si>
  <si>
    <t>ΣΙΤΟΣ ΣΚΛΗΡΟΣ ΔΙΑΦΟΡΑ</t>
  </si>
  <si>
    <t>ΚΤΗΝΟΤΡΟΦΙΚΑ ΦΥΤΑ ΓΙΑ ΖΩΟΤΡΟΦΕΣ7800</t>
  </si>
  <si>
    <t>ΑΡΑΒΟΣΙΤΟΣ ΔΙΑΦΟΡΑ</t>
  </si>
  <si>
    <t>ΚΤΗΝΟΤΡΟΦΙΚΑ ΦΥΤΑ ΓΙΑ ΖΩΟΤΡΟΦΕΣ8000</t>
  </si>
  <si>
    <t>ΛΟΥΠΙΝΟ ΛΕΥΚΟ</t>
  </si>
  <si>
    <t>ΚΤΗΝΟΤΡΟΦΙΚΑ ΦΥΤΑ ΓΙΑ ΖΩΟΤΡΟΦΕΣ80020</t>
  </si>
  <si>
    <t>ΛΟΥΠΙΝΟ ΚΥΑΝΟ</t>
  </si>
  <si>
    <t>ΚΤΗΝΟΤΡΟΦΙΚΑ ΦΥΤΑ ΓΙΑ ΖΩΟΤΡΟΦΕΣ80021</t>
  </si>
  <si>
    <t>ΛΟΥΠΙΝΟ ΚΙΤΡΙΝΟ</t>
  </si>
  <si>
    <t>ΚΤΗΝΟΤΡΟΦΙΚΑ ΦΥΤΑ ΓΙΑ ΖΩΟΤΡΟΦΕΣ80022</t>
  </si>
  <si>
    <t>ΡΕΒΥΘΙ ΚΤΗΝΟΤΡΟΦΙΚΟ</t>
  </si>
  <si>
    <t>ΚΤΗΝΟΤΡΟΦΙΚΑ ΦΥΤΑ ΓΙΑ ΖΩΟΤΡΟΦΕΣ80023</t>
  </si>
  <si>
    <t>ΒΙΚΟΣ CUMBRE </t>
  </si>
  <si>
    <t>ΚΤΗΝΟΤΡΟΦΙΚΑ ΦΥΤΑ ΓΙΑ ΖΩΟΤΡΟΦΕΣ80024</t>
  </si>
  <si>
    <t>ΒΙΚΟΣ SENDA DA-247</t>
  </si>
  <si>
    <t>ΚΤΗΝΟΤΡΟΦΙΚΑ ΦΥΤΑ ΓΙΑ ΖΩΟΤΡΟΦΕΣ80025</t>
  </si>
  <si>
    <t>ΒΙΚΟΣ KALLIROI</t>
  </si>
  <si>
    <t>ΚΤΗΝΟΤΡΟΦΙΚΑ ΦΥΤΑ ΓΙΑ ΖΩΟΤΡΟΦΕΣ80026</t>
  </si>
  <si>
    <t>ΚΟΥΚΙΑ ΔΙΑΦΟΡΑ</t>
  </si>
  <si>
    <t>ΚΤΗΝΟΤΡΟΦΙΚΑ ΦΥΤΑ ΓΙΑ ΖΩΟΤΡΟΦΕΣ80027</t>
  </si>
  <si>
    <t>ΒΙΚΟΣ OMIROS</t>
  </si>
  <si>
    <t>ΚΤΗΝΟΤΡΟΦΙΚΑ ΦΥΤΑ ΓΙΑ ΖΩΟΤΡΟΦΕΣ80028</t>
  </si>
  <si>
    <t>ΚΟΥΚΙ ΚΤΗΝΟΤΡΟΦΙΚΟ  SOLON</t>
  </si>
  <si>
    <t>ΚΤΗΝΟΤΡΟΦΙΚΑ ΦΥΤΑ ΓΙΑ ΖΩΟΤΡΟΦΕΣ80029</t>
  </si>
  <si>
    <t>ΚΡΙΘΑΡΙ OLYMPIC</t>
  </si>
  <si>
    <t>ΚΤΗΝΟΤΡΟΦΙΚΑ ΦΥΤΑ ΓΙΑ ΖΩΟΤΡΟΦΕΣ80030</t>
  </si>
  <si>
    <t>ΜΠΙΖΕΛΙ / ΠΙΣΟ ΚΤΗΝΟΤΡΟΦΙΚΟ RIF</t>
  </si>
  <si>
    <t>ΚΤΗΝΟΤΡΟΦΙΚΑ ΦΥΤΑ ΓΙΑ ΖΩΟΤΡΟΦΕΣ80031</t>
  </si>
  <si>
    <t>ΒΙΚΟΣ PIGASOS</t>
  </si>
  <si>
    <t>ΚΤΗΝΟΤΡΟΦΙΚΑ ΦΥΤΑ ΓΙΑ ΖΩΟΤΡΟΦΕΣ80032</t>
  </si>
  <si>
    <t>ΒΙΚΟΣ MARIANNA</t>
  </si>
  <si>
    <t>ΚΤΗΝΟΤΡΟΦΙΚΑ ΦΥΤΑ ΓΙΑ ΖΩΟΤΡΟΦΕΣ80033</t>
  </si>
  <si>
    <t>ΒΙΚΟΣ KADMOS</t>
  </si>
  <si>
    <t>ΚΤΗΝΟΤΡΟΦΙΚΑ ΦΥΤΑ ΓΙΑ ΖΩΟΤΡΟΦΕΣ80034</t>
  </si>
  <si>
    <t>ΒΙΚΟΣ  MIRABELLA (118/7)</t>
  </si>
  <si>
    <t>ΚΤΗΝΟΤΡΟΦΙΚΑ ΦΥΤΑ ΓΙΑ ΖΩΟΤΡΟΦΕΣ80035</t>
  </si>
  <si>
    <t>ΒΙΚΟΣ FILIPPOS</t>
  </si>
  <si>
    <t>ΚΤΗΝΟΤΡΟΦΙΚΑ ΦΥΤΑ ΓΙΑ ΖΩΟΤΡΟΦΕΣ80036</t>
  </si>
  <si>
    <t>ΒΙΚΟΣ LEONIDAS</t>
  </si>
  <si>
    <t>ΚΤΗΝΟΤΡΟΦΙΚΑ ΦΥΤΑ ΓΙΑ ΖΩΟΤΡΟΦΕΣ80037</t>
  </si>
  <si>
    <t>ΒΙΚΟΣ ROMEO</t>
  </si>
  <si>
    <t>ΚΤΗΝΟΤΡΟΦΙΚΑ ΦΥΤΑ ΓΙΑ ΖΩΟΤΡΟΦΕΣ80038</t>
  </si>
  <si>
    <t>ΚΟΥΚΙ ΚΤΗΝΟΤΡΟΦΙΚΟ POLYKARPI</t>
  </si>
  <si>
    <t>ΚΤΗΝΟΤΡΟΦΙΚΑ ΦΥΤΑ ΓΙΑ ΖΩΟΤΡΟΦΕΣ80039</t>
  </si>
  <si>
    <t>ΚΟΥΚΙ ΚΤΗΝΟΤΡΟΦΙΚΟ PAVLOS</t>
  </si>
  <si>
    <t>ΚΤΗΝΟΤΡΟΦΙΚΑ ΦΥΤΑ ΓΙΑ ΖΩΟΤΡΟΦΕΣ80040</t>
  </si>
  <si>
    <t>ΛΑΘΟΥΡΙ ΚΤΗΝΟΤΡΟΦΙΚΟ CHIOS</t>
  </si>
  <si>
    <t>ΚΤΗΝΟΤΡΟΦΙΚΑ ΦΥΤΑ ΓΙΑ ΖΩΟΤΡΟΦΕΣ80041</t>
  </si>
  <si>
    <t>ΛΑΘΟΥΡΙ ΚΤΗΝΟΤΡΟΦΙΚΟ KRITI</t>
  </si>
  <si>
    <t>ΚΤΗΝΟΤΡΟΦΙΚΑ ΦΥΤΑ ΓΙΑ ΖΩΟΤΡΟΦΕΣ80042</t>
  </si>
  <si>
    <t>ΛΑΘΟΥΡΙ ΚΤΗΝΟΤΡΟΦΙΚΟ RODOS</t>
  </si>
  <si>
    <t>ΚΤΗΝΟΤΡΟΦΙΚΑ ΦΥΤΑ ΓΙΑ ΖΩΟΤΡΟΦΕΣ80043</t>
  </si>
  <si>
    <t>ΜΠΙΖΕΛΙ / ΠΙΣΟ ΚΤΗΝΟΤΡΟΦΙΚΟ ODYSSEAS</t>
  </si>
  <si>
    <t>ΚΤΗΝΟΤΡΟΦΙΚΑ ΦΥΤΑ ΓΙΑ ΖΩΟΤΡΟΦΕΣ80044</t>
  </si>
  <si>
    <t>ΜΠΙΖΕΛΙ / ΠΙΣΟ ΚΤΗΝΟΤΡΟΦΙΚΟ PISSO</t>
  </si>
  <si>
    <t>ΚΤΗΝΟΤΡΟΦΙΚΑ ΦΥΤΑ ΓΙΑ ΖΩΟΤΡΟΦΕΣ80045</t>
  </si>
  <si>
    <t>ΒΙΚΟΣ ISTROS</t>
  </si>
  <si>
    <t>ΚΤΗΝΟΤΡΟΦΙΚΑ ΦΥΤΑ ΓΙΑ ΖΩΟΤΡΟΦΕΣ80046</t>
  </si>
  <si>
    <t>ΒΙΚΟΣ IDICE</t>
  </si>
  <si>
    <t>ΚΤΗΝΟΤΡΟΦΙΚΑ ΦΥΤΑ ΓΙΑ ΖΩΟΤΡΟΦΕΣ80047</t>
  </si>
  <si>
    <t>ΒΙΚΟΣ KIMON</t>
  </si>
  <si>
    <t>ΚΤΗΝΟΤΡΟΦΙΚΑ ΦΥΤΑ ΓΙΑ ΖΩΟΤΡΟΦΕΣ80048</t>
  </si>
  <si>
    <t>ΒΙΚΟΣ SENDA DA 247</t>
  </si>
  <si>
    <t>ΚΤΗΝΟΤΡΟΦΙΚΑ ΦΥΤΑ ΓΙΑ ΖΩΟΤΡΟΦΕΣ80049</t>
  </si>
  <si>
    <t>ΚΤΗΝΟΤΡΟΦΙΚΟ ΜΠΙΖΕΛΙ RESPECT</t>
  </si>
  <si>
    <t>ΚΤΗΝΟΤΡΟΦΙΚΑ ΦΥΤΑ ΓΙΑ ΖΩΟΤΡΟΦΕΣ80050</t>
  </si>
  <si>
    <t>ΚΤΗΝΟΤΡΟΦΙΚΟ ΜΠΙΖΕΛΙ ARVIKA</t>
  </si>
  <si>
    <t>ΚΤΗΝΟΤΡΟΦΙΚΑ ΦΥΤΑ ΓΙΑ ΖΩΟΤΡΟΦΕΣ80051</t>
  </si>
  <si>
    <t>ΜΗΔΙΚΗ Η ΗΜΕΡΟΣ AGNM68</t>
  </si>
  <si>
    <t>ΚΤΗΝΟΤΡΟΦΙΚΑ ΦΥΤΑ ΓΙΑ ΖΩΟΤΡΟΦΕΣ80052</t>
  </si>
  <si>
    <t>ΜΗΔΙΚΗ Η ΗΜΕΡΟΣ AGNM72</t>
  </si>
  <si>
    <t>ΚΤΗΝΟΤΡΟΦΙΚΑ ΦΥΤΑ ΓΙΑ ΖΩΟΤΡΟΦΕΣ80053</t>
  </si>
  <si>
    <t>ΜΗΔΙΚΗ Η ΗΜΕΡΟΣ CHAIRONIA</t>
  </si>
  <si>
    <t>ΚΤΗΝΟΤΡΟΦΙΚΑ ΦΥΤΑ ΓΙΑ ΖΩΟΤΡΟΦΕΣ80054</t>
  </si>
  <si>
    <t>ΜΗΔΙΚΗ Η ΗΜΕΡΟΣ CHLOI</t>
  </si>
  <si>
    <t>ΚΤΗΝΟΤΡΟΦΙΚΑ ΦΥΤΑ ΓΙΑ ΖΩΟΤΡΟΦΕΣ80055</t>
  </si>
  <si>
    <t>ΜΗΔΙΚΗ Η ΗΜΕΡΟΣ CORSA</t>
  </si>
  <si>
    <t>ΚΤΗΝΟΤΡΟΦΙΚΑ ΦΥΤΑ ΓΙΑ ΖΩΟΤΡΟΦΕΣ80056</t>
  </si>
  <si>
    <t>ΜΗΔΙΚΗ Η ΗΜΕΡΟΣ DOLICHI</t>
  </si>
  <si>
    <t>ΚΤΗΝΟΤΡΟΦΙΚΑ ΦΥΤΑ ΓΙΑ ΖΩΟΤΡΟΦΕΣ80057</t>
  </si>
  <si>
    <t>ΜΗΔΙΚΗ Η ΗΜΕΡΟΣ EGANH</t>
  </si>
  <si>
    <t>ΚΤΗΝΟΤΡΟΦΙΚΑ ΦΥΤΑ ΓΙΑ ΖΩΟΤΡΟΦΕΣ80058</t>
  </si>
  <si>
    <t>ΜΗΔΙΚΗ Η ΗΜΕΡΟΣ ELISAVET</t>
  </si>
  <si>
    <t>ΚΤΗΝΟΤΡΟΦΙΚΑ ΦΥΤΑ ΓΙΑ ΖΩΟΤΡΟΦΕΣ80059</t>
  </si>
  <si>
    <t>ΜΗΔΙΚΗ Η ΗΜΕΡΟΣ FLORINA</t>
  </si>
  <si>
    <t>ΚΤΗΝΟΤΡΟΦΙΚΑ ΦΥΤΑ ΓΙΑ ΖΩΟΤΡΟΦΕΣ80060</t>
  </si>
  <si>
    <t>ΜΗΔΙΚΗ Η ΗΜΕΡΟΣ IONIAN</t>
  </si>
  <si>
    <t>ΚΤΗΝΟΤΡΟΦΙΚΑ ΦΥΤΑ ΓΙΑ ΖΩΟΤΡΟΦΕΣ80061</t>
  </si>
  <si>
    <t>ΜΗΔΙΚΗ Η ΗΜΕΡΟΣ LARISSA</t>
  </si>
  <si>
    <t>ΚΤΗΝΟΤΡΟΦΙΚΑ ΦΥΤΑ ΓΙΑ ΖΩΟΤΡΟΦΕΣ80062</t>
  </si>
  <si>
    <t>ΜΗΔΙΚΗ Η ΗΜΕΡΟΣ LUXOR</t>
  </si>
  <si>
    <t>ΚΤΗΝΟΤΡΟΦΙΚΑ ΦΥΤΑ ΓΙΑ ΖΩΟΤΡΟΦΕΣ80063</t>
  </si>
  <si>
    <t>ΜΗΔΙΚΗ Η ΗΜΕΡΟΣ MAXIMA</t>
  </si>
  <si>
    <t>ΚΤΗΝΟΤΡΟΦΙΚΑ ΦΥΤΑ ΓΙΑ ΖΩΟΤΡΟΦΕΣ80064</t>
  </si>
  <si>
    <t>ΜΗΔΙΚΗ Η ΗΜΕΡΟΣ MEDINA</t>
  </si>
  <si>
    <t>ΚΤΗΝΟΤΡΟΦΙΚΑ ΦΥΤΑ ΓΙΑ ΖΩΟΤΡΟΦΕΣ80065</t>
  </si>
  <si>
    <t>ΜΗΔΙΚΗ Η ΗΜΕΡΟΣ NIKITA</t>
  </si>
  <si>
    <t>ΚΤΗΝΟΤΡΟΦΙΚΑ ΦΥΤΑ ΓΙΑ ΖΩΟΤΡΟΦΕΣ80066</t>
  </si>
  <si>
    <t>ΜΗΔΙΚΗ Η ΗΜΕΡΟΣ NUBIRA</t>
  </si>
  <si>
    <t>ΚΤΗΝΟΤΡΟΦΙΚΑ ΦΥΤΑ ΓΙΑ ΖΩΟΤΡΟΦΕΣ80067</t>
  </si>
  <si>
    <t>ΜΗΔΙΚΗ Η ΗΜΕΡΟΣ PELLA</t>
  </si>
  <si>
    <t>ΚΤΗΝΟΤΡΟΦΙΚΑ ΦΥΤΑ ΓΙΑ ΖΩΟΤΡΟΦΕΣ80068</t>
  </si>
  <si>
    <t>ΜΗΔΙΚΗ Η ΗΜΕΡΟΣ ULTIMA</t>
  </si>
  <si>
    <t>ΚΤΗΝΟΤΡΟΦΙΚΑ ΦΥΤΑ ΓΙΑ ΖΩΟΤΡΟΦΕΣ80069</t>
  </si>
  <si>
    <t>ΜΗΔΙΚΗ Η ΗΜΕΡΟΣ YLIKI</t>
  </si>
  <si>
    <t>ΚΤΗΝΟΤΡΟΦΙΚΑ ΦΥΤΑ ΓΙΑ ΖΩΟΤΡΟΦΕΣ80070</t>
  </si>
  <si>
    <t>ΜΗΔΙΚΗ Η ΗΜΕΡΟΣ YPATI 84</t>
  </si>
  <si>
    <t>ΚΤΗΝΟΤΡΟΦΙΚΑ ΦΥΤΑ ΓΙΑ ΖΩΟΤΡΟΦΕΣ80071</t>
  </si>
  <si>
    <t>ΜΗΔΙΚΗ Η ΛΥΚΙΣΚΗ Ή ΛΟΥΠΟΥΛΙΝΑ</t>
  </si>
  <si>
    <t>ΚΤΗΝΟΤΡΟΦΙΚΑ ΦΥΤΑ ΓΙΑ ΖΩΟΤΡΟΦΕΣ80072</t>
  </si>
  <si>
    <t>ΜΗΔΙΚΗ ΠΟΙΚΙΛΙΑ ΣΤΙΚΤΗ ΥΒΡΙΔΙΟ</t>
  </si>
  <si>
    <t>ΚΤΗΝΟΤΡΟΦΙΚΑ ΦΥΤΑ ΓΙΑ ΖΩΟΤΡΟΦΕΣ80073</t>
  </si>
  <si>
    <t>ΜΗΔΙΚΗ ΔΕΔΡΩΔΗΣ NAXOS</t>
  </si>
  <si>
    <t>ΚΤΗΝΟΤΡΟΦΙΚΑ ΦΥΤΑ ΓΙΑ ΖΩΟΤΡΟΦΕΣ80074</t>
  </si>
  <si>
    <t>ΑΓΡΙΟΤΡΙΦΥΛΛΟ</t>
  </si>
  <si>
    <t>ΚΤΗΝΟΤΡΟΦΙΚΑ ΦΥΤΑ ΓΙΑ ΖΩΟΤΡΟΦΕΣ80075</t>
  </si>
  <si>
    <t>ΤΡΙΦΥΛΛΙ ΤΟ ΑΛΕΞΑΝΔΡΙΝΟ KASTALIA</t>
  </si>
  <si>
    <t>ΚΤΗΝΟΤΡΟΦΙΚΑ ΦΥΤΑ ΓΙΑ ΖΩΟΤΡΟΦΕΣ80076</t>
  </si>
  <si>
    <t>ΤΡΙΦΥΛΛΙ ΤΟ ΑΛΕΞΑΝΔΡΙΝΟ PINIAS</t>
  </si>
  <si>
    <t>ΚΤΗΝΟΤΡΟΦΙΚΑ ΦΥΤΑ ΓΙΑ ΖΩΟΤΡΟΦΕΣ80077</t>
  </si>
  <si>
    <t>ΤΡΙΦΥΛΛΙ ΤΟ ΝΟΘΟ Ή ΥΒΡΙΔΙΟ</t>
  </si>
  <si>
    <t>ΚΤΗΝΟΤΡΟΦΙΚΑ ΦΥΤΑ ΓΙΑ ΖΩΟΤΡΟΦΕΣ80078</t>
  </si>
  <si>
    <t>ΤΡΙΦΥΛΛΙ ΤΟ ΣΑΡΚΟΧΡΟΥΝ</t>
  </si>
  <si>
    <t>ΚΤΗΝΟΤΡΟΦΙΚΑ ΦΥΤΑ ΓΙΑ ΖΩΟΤΡΟΦΕΣ80079</t>
  </si>
  <si>
    <t>ΤΡΙΦΥΛΛΙ ΤΟ ΛΕΙΜΩΝΙΟ</t>
  </si>
  <si>
    <t>ΚΤΗΝΟΤΡΟΦΙΚΑ ΦΥΤΑ ΓΙΑ ΖΩΟΤΡΟΦΕΣ80080</t>
  </si>
  <si>
    <t>ΤΡΙΦΥΛΛΙ ΤΟ ΕΡΠΟΝ Ή ΛΕΥΚΟ KONITSA</t>
  </si>
  <si>
    <t>ΚΤΗΝΟΤΡΟΦΙΚΑ ΦΥΤΑ ΓΙΑ ΖΩΟΤΡΟΦΕΣ80081</t>
  </si>
  <si>
    <t>ΤΡΙΦΥΛΛΙ ΤΟ ΎΠΤΙΟ Ή ΠΕΡΣΙΚΟ ASOPOS</t>
  </si>
  <si>
    <t>ΚΤΗΝΟΤΡΟΦΙΚΑ ΦΥΤΑ ΓΙΑ ΖΩΟΤΡΟΦΕΣ80082</t>
  </si>
  <si>
    <t>ΤΡΙΦΥΛΛΙ ΤΟ ΎΠΤΙΟ Ή ΠΕΡΣΙΚΟ MORNOS</t>
  </si>
  <si>
    <t>ΚΤΗΝΟΤΡΟΦΙΚΑ ΦΥΤΑ ΓΙΑ ΖΩΟΤΡΟΦΕΣ80083</t>
  </si>
  <si>
    <t>ΤΡΙΦΥΛΛΙ ΤΟ ΎΠΤΙΟ Ή ΠΕΡΣΙΚΟ OSSA II</t>
  </si>
  <si>
    <t>ΚΤΗΝΟΤΡΟΦΙΚΑ ΦΥΤΑ ΓΙΑ ΖΩΟΤΡΟΦΕΣ80084</t>
  </si>
  <si>
    <t>ΤΡΙΦΥΛΛΙ ΥΠΟΓΕΙΟ</t>
  </si>
  <si>
    <t>ΚΤΗΝΟΤΡΟΦΙΚΑ ΦΥΤΑ ΓΙΑ ΖΩΟΤΡΟΦΕΣ80085</t>
  </si>
  <si>
    <t>ΜΠΙΖΕΛΙ/ΠΙΣΟ ΚΤΗΝΟΤΡΟΦΙΚΟ LIVIOLETTA</t>
  </si>
  <si>
    <t>ΚΤΗΝΟΤΡΟΦΙΚΑ ΦΥΤΑ ΓΙΑ ΖΩΟΤΡΟΦΕΣ80086</t>
  </si>
  <si>
    <t>ΜΠΙΖΕΛΙ/ΠΙΣΟ ΚΤΗΝΟΤΡΟΦΙΚΟ ASSAS</t>
  </si>
  <si>
    <t>ΚΤΗΝΟΤΡΟΦΙΚΑ ΦΥΤΑ ΓΙΑ ΖΩΟΤΡΟΦΕΣ80087</t>
  </si>
  <si>
    <t>ΚΤΗΝΟΤΡΟΦΙΚΟ ΜΠΙΖΕΛΙ ASCENSION</t>
  </si>
  <si>
    <t>ΚΤΗΝΟΤΡΟΦΙΚΑ ΦΥΤΑ ΓΙΑ ΖΩΟΤΡΟΦΕΣ80088</t>
  </si>
  <si>
    <t>ΚΤΗΝΟΤΡΟΦΙΚΟ ΜΠΙΖΕΛΙ AVIRON</t>
  </si>
  <si>
    <t>ΚΤΗΝΟΤΡΟΦΙΚΑ ΦΥΤΑ ΓΙΑ ΖΩΟΤΡΟΦΕΣ80089</t>
  </si>
  <si>
    <t>ΒΙΚΟΣ SFINGE</t>
  </si>
  <si>
    <t>ΚΤΗΝΟΤΡΟΦΙΚΑ ΦΥΤΑ ΓΙΑ ΖΩΟΤΡΟΦΕΣ80090</t>
  </si>
  <si>
    <t>ΚΤΗΝΟΤΡΟΦΙΚΟ ΚΟΥΚΙ ALBUS</t>
  </si>
  <si>
    <t>ΚΤΗΝΟΤΡΟΦΙΚΑ ΦΥΤΑ ΓΙΑ ΖΩΟΤΡΟΦΕΣ80091</t>
  </si>
  <si>
    <t>ΜΗΔΙΚΗ JULIA</t>
  </si>
  <si>
    <t>ΚΤΗΝΟΤΡΟΦΙΚΑ ΦΥΤΑ ΓΙΑ ΖΩΟΤΡΟΦΕΣ80092</t>
  </si>
  <si>
    <t>ΜΗΔΙΚΗ EZZELINA</t>
  </si>
  <si>
    <t>ΚΤΗΝΟΤΡΟΦΙΚΑ ΦΥΤΑ ΓΙΑ ΖΩΟΤΡΟΦΕΣ80093</t>
  </si>
  <si>
    <t>ΜΗΔΙΚΗ BLUE ACE</t>
  </si>
  <si>
    <t>ΚΤΗΝΟΤΡΟΦΙΚΑ ΦΥΤΑ ΓΙΑ ΖΩΟΤΡΟΦΕΣ80094</t>
  </si>
  <si>
    <t>ΜΗΔΙΚΗ VICTORIA</t>
  </si>
  <si>
    <t>ΚΤΗΝΟΤΡΟΦΙΚΑ ΦΥΤΑ ΓΙΑ ΖΩΟΤΡΟΦΕΣ80095</t>
  </si>
  <si>
    <t>ΣΟΡΓΟ NUTRI HONEY</t>
  </si>
  <si>
    <t>ΚΤΗΝΟΤΡΟΦΙΚΑ ΦΥΤΑ ΓΙΑ ΖΩΟΤΡΟΦΕΣ80096</t>
  </si>
  <si>
    <t>ΚΤΗΝΟΤΡΟΦΙΚΟ ΚΟΥΚΙ MERKUR</t>
  </si>
  <si>
    <t>ΚΤΗΝΟΤΡΟΦΙΚΑ ΦΥΤΑ ΓΙΑ ΖΩΟΤΡΟΦΕΣ80097</t>
  </si>
  <si>
    <t>ΜΗΔΙΚΗ ICON</t>
  </si>
  <si>
    <t>ΚΤΗΝΟΤΡΟΦΙΚΑ ΦΥΤΑ ΓΙΑ ΖΩΟΤΡΟΦΕΣ80098</t>
  </si>
  <si>
    <t>ΜΗΔΙΚΗ CANE</t>
  </si>
  <si>
    <t>ΚΤΗΝΟΤΡΟΦΙΚΑ ΦΥΤΑ ΓΙΑ ΖΩΟΤΡΟΦΕΣ80099</t>
  </si>
  <si>
    <t>ΜΗΔΙΚΗ GEA</t>
  </si>
  <si>
    <t>ΚΤΗΝΟΤΡΟΦΙΚΑ ΦΥΤΑ ΓΙΑ ΖΩΟΤΡΟΦΕΣ80100</t>
  </si>
  <si>
    <t>ΜΗΔΙΚΗ PROSEMENTI BOLOGNA</t>
  </si>
  <si>
    <t>ΚΤΗΝΟΤΡΟΦΙΚΑ ΦΥΤΑ ΓΙΑ ΖΩΟΤΡΟΦΕΣ80101</t>
  </si>
  <si>
    <t>ΜΗΔΙΚΗ CLAUDIA</t>
  </si>
  <si>
    <t>ΚΤΗΝΟΤΡΟΦΙΚΑ ΦΥΤΑ ΓΙΑ ΖΩΟΤΡΟΦΕΣ80102</t>
  </si>
  <si>
    <t>ΠΕΝΝΙΖΕΤΟ ΤΟ ΓΛΑΥΚΟ BABALA</t>
  </si>
  <si>
    <t>ΚΤΗΝΟΤΡΟΦΙΚΑ ΦΥΤΑ ΓΙΑ ΖΩΟΤΡΟΦΕΣ80103</t>
  </si>
  <si>
    <t>ΚΡΙΘΑΡΙ LEFKA</t>
  </si>
  <si>
    <t>ΚΤΗΝΟΤΡΟΦΙΚΑ ΦΥΤΑ ΓΙΑ ΖΩΟΤΡΟΦΕΣ80104</t>
  </si>
  <si>
    <t>ΚΡΙΘΑΡΙ DIM 601</t>
  </si>
  <si>
    <t>ΚΤΗΝΟΤΡΟΦΙΚΑ ΦΥΤΑ ΓΙΑ ΖΩΟΤΡΟΦΕΣ80105</t>
  </si>
  <si>
    <t>ΤΡΙΦΥΛΛΙ ΤΟ ΑΛΕΞΑΝΔΡΙΝΟ ALEX</t>
  </si>
  <si>
    <t>ΚΤΗΝΟΤΡΟΦΙΚΑ ΦΥΤΑ ΓΙΑ ΖΩΟΤΡΟΦΕΣ80106</t>
  </si>
  <si>
    <t>ΤΡΙΦΥΛΛΙ ΤΟ ΑΛΕΞΑΝΔΡΙΝΟ ΤΙΜ</t>
  </si>
  <si>
    <t>ΚΤΗΝΟΤΡΟΦΙΚΑ ΦΥΤΑ ΓΙΑ ΖΩΟΤΡΟΦΕΣ80107</t>
  </si>
  <si>
    <t>ΚΡΟΤΑΛΑΡΙΑ (CROTALARIA JUNCEA)</t>
  </si>
  <si>
    <t>ΚΤΗΝΟΤΡΟΦΙΚΑ ΦΥΤΑ ΓΙΑ ΖΩΟΤΡΟΦΕΣ80108</t>
  </si>
  <si>
    <t>ΜΗΔΙΚΗ Η ΗΜΕΡΟΣ PR59N59</t>
  </si>
  <si>
    <t>ΚΤΗΝΟΤΡΟΦΙΚΑ ΦΥΤΑ ΓΙΑ ΖΩΟΤΡΟΦΕΣ80109</t>
  </si>
  <si>
    <t>ΚΡΙΘΑΡΙ NURE</t>
  </si>
  <si>
    <t>ΚΤΗΝΟΤΡΟΦΙΚΑ ΦΥΤΑ ΓΙΑ ΖΩΟΤΡΟΦΕΣ80110</t>
  </si>
  <si>
    <t>ΚΟΥΚΙ ΚΤΗΝΟΤΡΟΦΙΚΟ SCURO DI TORRE LAMA</t>
  </si>
  <si>
    <t>ΚΤΗΝΟΤΡΟΦΙΚΑ ΦΥΤΑ ΓΙΑ ΖΩΟΤΡΟΦΕΣ80111</t>
  </si>
  <si>
    <t>ΚΟΥΚΙ ΚΤΗΝΟΤΡΟΦΙΚΟ CHIARO DI TORRE LAMA</t>
  </si>
  <si>
    <t>ΚΤΗΝΟΤΡΟΦΙΚΑ ΦΥΤΑ ΓΙΑ ΖΩΟΤΡΟΦΕΣ80112</t>
  </si>
  <si>
    <t>ΜΠΙΖΕΛΙ/ΠΙΣΟ ΚΤΗΝΟΤΡΟΦΙΚΟ FORRIMAX</t>
  </si>
  <si>
    <t>ΚΤΗΝΟΤΡΟΦΙΚΑ ΦΥΤΑ ΓΙΑ ΖΩΟΤΡΟΦΕΣ80113</t>
  </si>
  <si>
    <t>ΛΟΥΠΙΝΟ ΛΕΥΚΟ  TENNIS</t>
  </si>
  <si>
    <t>ΚΤΗΝΟΤΡΟΦΙΚΑ ΦΥΤΑ ΓΙΑ ΖΩΟΤΡΟΦΕΣ80114</t>
  </si>
  <si>
    <t>ΜΠΙΖΕΛΙ/ΠΙΣΟ ΚΤΗΝΟΤΡΟΦΙΚΟ ENDURO</t>
  </si>
  <si>
    <t>ΚΤΗΝΟΤΡΟΦΙΚΑ ΦΥΤΑ ΓΙΑ ΖΩΟΤΡΟΦΕΣ80115</t>
  </si>
  <si>
    <t>ΜΗΔΙΚΗ Η ΗΜΕΡΟΣ NEFELI</t>
  </si>
  <si>
    <t>ΚΤΗΝΟΤΡΟΦΙΚΑ ΦΥΤΑ ΓΙΑ ΖΩΟΤΡΟΦΕΣ80116</t>
  </si>
  <si>
    <t>ΛΟΛΙΟΥΜ NIVAL</t>
  </si>
  <si>
    <t>ΚΤΗΝΟΤΡΟΦΙΚΑ ΦΥΤΑ ΓΙΑ ΖΩΟΤΡΟΦΕΣ80117</t>
  </si>
  <si>
    <t>ΣΟΡΓΟ ΤΟΥ ΣΟΥΔΑΝ BOVITAL</t>
  </si>
  <si>
    <t>ΚΤΗΝΟΤΡΟΦΙΚΑ ΦΥΤΑ ΓΙΑ ΖΩΟΤΡΟΦΕΣ80118</t>
  </si>
  <si>
    <t>ΜΗΔΙΚΗ Η ΗΜΕΡΟΣ ARISTI</t>
  </si>
  <si>
    <t>ΚΤΗΝΟΤΡΟΦΙΚΑ ΦΥΤΑ ΓΙΑ ΖΩΟΤΡΟΦΕΣ80119</t>
  </si>
  <si>
    <t>ΜΗΔΙΚΗ Η ΗΜΕΡΟΣ BABYLON</t>
  </si>
  <si>
    <t>ΚΤΗΝΟΤΡΟΦΙΚΑ ΦΥΤΑ ΓΙΑ ΖΩΟΤΡΟΦΕΣ80120</t>
  </si>
  <si>
    <t>ΜΗΔΙΚΗ Η ΗΜΕΡΟΣ BONITA</t>
  </si>
  <si>
    <t>ΚΤΗΝΟΤΡΟΦΙΚΑ ΦΥΤΑ ΓΙΑ ΖΩΟΤΡΟΦΕΣ80121</t>
  </si>
  <si>
    <t>ΜΗΔΙΚΗ Η ΗΜΕΡΟΣ CHRISTIN</t>
  </si>
  <si>
    <t>ΚΤΗΝΟΤΡΟΦΙΚΑ ΦΥΤΑ ΓΙΑ ΖΩΟΤΡΟΦΕΣ80122</t>
  </si>
  <si>
    <t>ΜΗΔΙΚΗ Η ΗΜΕΡΟΣ KALLIOPI</t>
  </si>
  <si>
    <t>ΚΤΗΝΟΤΡΟΦΙΚΑ ΦΥΤΑ ΓΙΑ ΖΩΟΤΡΟΦΕΣ80123</t>
  </si>
  <si>
    <t>ΜΗΔΙΚΗ Η ΗΜΕΡΟΣ LIDER</t>
  </si>
  <si>
    <t>ΚΤΗΝΟΤΡΟΦΙΚΑ ΦΥΤΑ ΓΙΑ ΖΩΟΤΡΟΦΕΣ80124</t>
  </si>
  <si>
    <t>ΜΗΔΙΚΗ Η ΗΜΕΡΟΣ NG610</t>
  </si>
  <si>
    <t>ΚΤΗΝΟΤΡΟΦΙΚΑ ΦΥΤΑ ΓΙΑ ΖΩΟΤΡΟΦΕΣ80125</t>
  </si>
  <si>
    <t>ΜΗΔΙΚΗ Η ΗΜΕΡΟΣ NG900</t>
  </si>
  <si>
    <t>ΚΤΗΝΟΤΡΟΦΙΚΑ ΦΥΤΑ ΓΙΑ ΖΩΟΤΡΟΦΕΣ80126</t>
  </si>
  <si>
    <t>ΜΗΔΙΚΗ Η ΗΜΕΡΟΣ NG999</t>
  </si>
  <si>
    <t>ΚΤΗΝΟΤΡΟΦΙΚΑ ΦΥΤΑ ΓΙΑ ΖΩΟΤΡΟΦΕΣ80127</t>
  </si>
  <si>
    <t>ΜΗΔΙΚΗ Η ΗΜΕΡΟΣ PRINCE</t>
  </si>
  <si>
    <t>ΚΤΗΝΟΤΡΟΦΙΚΑ ΦΥΤΑ ΓΙΑ ΖΩΟΤΡΟΦΕΣ80128</t>
  </si>
  <si>
    <t>ΜΗΔΙΚΗ Η ΗΜΕΡΟΣ ROMANZA</t>
  </si>
  <si>
    <t>ΚΤΗΝΟΤΡΟΦΙΚΑ ΦΥΤΑ ΓΙΑ ΖΩΟΤΡΟΦΕΣ80129</t>
  </si>
  <si>
    <t>ΜΗΔΙΚΗ Η ΗΜΕΡΟΣ VASILIKI</t>
  </si>
  <si>
    <t>ΚΤΗΝΟΤΡΟΦΙΚΑ ΦΥΤΑ ΓΙΑ ΖΩΟΤΡΟΦΕΣ80130</t>
  </si>
  <si>
    <t>ΜΠΙΖΕΛΙ / ΠΙΣΟ ΚΤΗΝΟΤΡΟΦΙΚΟ ΔΙΑΤΗΡΗΣΗΣ KURAKATSI</t>
  </si>
  <si>
    <t>ΚΤΗΝΟΤΡΟΦΙΚΑ ΦΥΤΑ ΓΙΑ ΖΩΟΤΡΟΦΕΣ80131</t>
  </si>
  <si>
    <t>ΜΗΔΙΚΗ Η ΗΜΕΡΟΣ MINERVA</t>
  </si>
  <si>
    <t>ΚΤΗΝΟΤΡΟΦΙΚΑ ΦΥΤΑ ΓΙΑ ΖΩΟΤΡΟΦΕΣ80132</t>
  </si>
  <si>
    <t>ΒΙΚΟΣ PERSEAS</t>
  </si>
  <si>
    <t>ΚΤΗΝΟΤΡΟΦΙΚΑ ΦΥΤΑ ΓΙΑ ΖΩΟΤΡΟΦΕΣ80133</t>
  </si>
  <si>
    <t>ΜΠΙΖΕΛΙ/ΠΙΣΟ ΚΤΗΝΟΤΡΟΦΙΚΟ ANDREA</t>
  </si>
  <si>
    <t>ΚΤΗΝΟΤΡΟΦΙΚΑ ΦΥΤΑ ΓΙΑ ΖΩΟΤΡΟΦΕΣ80134</t>
  </si>
  <si>
    <t>ΜΠΙΖΕΛΙ/ΠΙΣΟ ΚΤΗΝΟΤΡΟΦΙΚΟ ASTRONAUTE</t>
  </si>
  <si>
    <t>ΚΤΗΝΟΤΡΟΦΙΚΑ ΦΥΤΑ ΓΙΑ ΖΩΟΤΡΟΦΕΣ80135</t>
  </si>
  <si>
    <t>ΚΡΙΘΑΡΙ GRACE</t>
  </si>
  <si>
    <t>ΚΤΗΝΟΤΡΟΦΙΚΑ ΦΥΤΑ ΓΙΑ ΖΩΟΤΡΟΦΕΣ80136</t>
  </si>
  <si>
    <t>ΜΗΔΙΚΗ Η ΗΜΕΡΟΣ BLUE MOON</t>
  </si>
  <si>
    <t>ΚΤΗΝΟΤΡΟΦΙΚΑ ΦΥΤΑ ΓΙΑ ΖΩΟΤΡΟΦΕΣ80137</t>
  </si>
  <si>
    <t>ΜΠΙΖΕΛΙ / ΠΙΣΟ ΚΤΗΝΟΤΡΟΦΙΚΟ THISEAS</t>
  </si>
  <si>
    <t>ΚΤΗΝΟΤΡΟΦΙΚΑ ΦΥΤΑ ΓΙΑ ΖΩΟΤΡΟΦΕΣ80138</t>
  </si>
  <si>
    <t>ΜΗΔΙΚΗ RIVIERA VICENTINA</t>
  </si>
  <si>
    <t>ΚΤΗΝΟΤΡΟΦΙΚΑ ΦΥΤΑ ΓΙΑ ΖΩΟΤΡΟΦΕΣ80139</t>
  </si>
  <si>
    <t>ΒΙΚΟΣ JOSE</t>
  </si>
  <si>
    <t>ΚΤΗΝΟΤΡΟΦΙΚΑ ΦΥΤΑ ΓΙΑ ΖΩΟΤΡΟΦΕΣ80140</t>
  </si>
  <si>
    <t>ΚΤΗΝΟΤΡΟΦΙΚΟ ΜΠΙΖΕΛΙ NAVARRO</t>
  </si>
  <si>
    <t>ΚΤΗΝΟΤΡΟΦΙΚΑ ΦΥΤΑ ΓΙΑ ΖΩΟΤΡΟΦΕΣ80141</t>
  </si>
  <si>
    <t>ΚΤΗΝΟΤΡΟΦΙΚΟ ΜΠΙΖΕΛΙ GUIFREDO</t>
  </si>
  <si>
    <t>ΚΤΗΝΟΤΡΟΦΙΚΑ ΦΥΤΑ ΓΙΑ ΖΩΟΤΡΟΦΕΣ80142</t>
  </si>
  <si>
    <t>ΚΡΙΘΑΡΙ RGT PLANET</t>
  </si>
  <si>
    <t>ΚΤΗΝΟΤΡΟΦΙΚΑ ΦΥΤΑ ΓΙΑ ΖΩΟΤΡΟΦΕΣ80143</t>
  </si>
  <si>
    <t>ΜΗΔΙΚΗ Η ΗΜΕΡΟΣ LA BELLA CAMPAGNOLA</t>
  </si>
  <si>
    <t>ΚΤΗΝΟΤΡΟΦΙΚΑ ΦΥΤΑ ΓΙΑ ΖΩΟΤΡΟΦΕΣ80144</t>
  </si>
  <si>
    <t>ΚΡΙΘΑΡΙ FELIX</t>
  </si>
  <si>
    <t>ΚΤΗΝΟΤΡΟΦΙΚΑ ΦΥΤΑ ΓΙΑ ΖΩΟΤΡΟΦΕΣ80145</t>
  </si>
  <si>
    <t>ΣΙΤΟΣ ΜΑΛΑΚΟΣ OREINO</t>
  </si>
  <si>
    <t>ΚΤΗΝΟΤΡΟΦΙΚΑ ΦΥΤΑ ΓΙΑ ΖΩΟΤΡΟΦΕΣ80146</t>
  </si>
  <si>
    <t>ΚΡΙΘΑΡΙ SABER</t>
  </si>
  <si>
    <t>ΚΤΗΝΟΤΡΟΦΙΚΑ ΦΥΤΑ ΓΙΑ ΖΩΟΤΡΟΦΕΣ80147</t>
  </si>
  <si>
    <t>ΚΤΗΝΟΤΡΟΦΙΚΟ ΜΠΙΖΕΛΙ OSSA</t>
  </si>
  <si>
    <t>ΚΤΗΝΟΤΡΟΦΙΚΑ ΦΥΤΑ ΓΙΑ ΖΩΟΤΡΟΦΕΣ80148</t>
  </si>
  <si>
    <t>ΚΤΗΝΟΤΡΟΦΙΚΟ ΜΠΙΖΕΛΙ SAOS</t>
  </si>
  <si>
    <t>ΚΤΗΝΟΤΡΟΦΙΚΑ ΦΥΤΑ ΓΙΑ ΖΩΟΤΡΟΦΕΣ80149</t>
  </si>
  <si>
    <t>ΚΤΗΝΟΤΡΟΦΙΚΟ ΜΠΙΖΕΛΙ GUINDA</t>
  </si>
  <si>
    <t>ΚΤΗΝΟΤΡΟΦΙΚΑ ΦΥΤΑ ΓΙΑ ΖΩΟΤΡΟΦΕΣ80150</t>
  </si>
  <si>
    <t>ΣΙΤΟΣ ΜΑΛΑΚΟΣ PROFESORE</t>
  </si>
  <si>
    <t>ΚΤΗΝΟΤΡΟΦΙΚΑ ΦΥΤΑ ΓΙΑ ΖΩΟΤΡΟΦΕΣ80151</t>
  </si>
  <si>
    <t>ΣΙΤΟΣ ΜΑΛΑΚΟΣ ALFARRAS</t>
  </si>
  <si>
    <t>ΚΤΗΝΟΤΡΟΦΙΚΑ ΦΥΤΑ ΓΙΑ ΖΩΟΤΡΟΦΕΣ80152</t>
  </si>
  <si>
    <t>ΣΙΤΟΣ ΜΑΛΑΚΟΣ RUMARIO</t>
  </si>
  <si>
    <t>ΚΤΗΝΟΤΡΟΦΙΚΑ ΦΥΤΑ ΓΙΑ ΖΩΟΤΡΟΦΕΣ80153</t>
  </si>
  <si>
    <t>ΣΙΤΟΣ ΜΑΛΑΚΟΣ JABALCON</t>
  </si>
  <si>
    <t>ΚΤΗΝΟΤΡΟΦΙΚΑ ΦΥΤΑ ΓΙΑ ΖΩΟΤΡΟΦΕΣ80154</t>
  </si>
  <si>
    <t>ΤΡΙΤΙΚΑΛΕ ALKMINI</t>
  </si>
  <si>
    <t>ΚΤΗΝΟΤΡΟΦΙΚΑ ΦΥΤΑ ΓΙΑ ΖΩΟΤΡΟΦΕΣ80155</t>
  </si>
  <si>
    <t>ΤΡΙΤΙΚΑΛΕ ARETI</t>
  </si>
  <si>
    <t>ΚΤΗΝΟΤΡΟΦΙΚΑ ΦΥΤΑ ΓΙΑ ΖΩΟΤΡΟΦΕΣ80156</t>
  </si>
  <si>
    <t>ΤΡΙΤΙΚΑΛΕ ATHIENOU</t>
  </si>
  <si>
    <t>ΚΤΗΝΟΤΡΟΦΙΚΑ ΦΥΤΑ ΓΙΑ ΖΩΟΤΡΟΦΕΣ80157</t>
  </si>
  <si>
    <t>ΤΡΙΤΙΚΑΛΕ IRAKLIS</t>
  </si>
  <si>
    <t>ΚΤΗΝΟΤΡΟΦΙΚΑ ΦΥΤΑ ΓΙΑ ΖΩΟΤΡΟΦΕΣ80158</t>
  </si>
  <si>
    <t>ΤΡΙΤΙΚΑΛΕ TALAVERA</t>
  </si>
  <si>
    <t>ΚΤΗΝΟΤΡΟΦΙΚΑ ΦΥΤΑ ΓΙΑ ΖΩΟΤΡΟΦΕΣ80159</t>
  </si>
  <si>
    <t>ΤΡΙΤΙΚΑΛΕ ZUHAT</t>
  </si>
  <si>
    <t>ΚΤΗΝΟΤΡΟΦΙΚΑ ΦΥΤΑ ΓΙΑ ΖΩΟΤΡΟΦΕΣ80160</t>
  </si>
  <si>
    <t>ΚΡΙΘΑΡΙ ANDROMEDA</t>
  </si>
  <si>
    <t>ΚΤΗΝΟΤΡΟΦΙΚΑ ΦΥΤΑ ΓΙΑ ΖΩΟΤΡΟΦΕΣ80161</t>
  </si>
  <si>
    <t>ΒΙΚΟΣ MILUKA</t>
  </si>
  <si>
    <t>ΚΤΗΝΟΤΡΟΦΙΚΑ ΦΥΤΑ ΓΙΑ ΖΩΟΤΡΟΦΕΣ80162</t>
  </si>
  <si>
    <t>ΜΗΔΙΚΗ Η ΗΜΕΡΟΣ SILVERADO</t>
  </si>
  <si>
    <t>ΚΤΗΝΟΤΡΟΦΙΚΑ ΦΥΤΑ ΓΙΑ ΖΩΟΤΡΟΦΕΣ80163</t>
  </si>
  <si>
    <t>ΚΟΥΚΙ ΚΤΗΝΟΤΡΟΦΙΚΟ VESUVIO</t>
  </si>
  <si>
    <t>ΚΤΗΝΟΤΡΟΦΙΚΑ ΦΥΤΑ ΓΙΑ ΖΩΟΤΡΟΦΕΣ80164</t>
  </si>
  <si>
    <t>ΤΡΙΦΥΛΛΙ ΤΟ ΑΛΕΞΑΝΔΡΙΝΟ MARMILLA</t>
  </si>
  <si>
    <t>ΚΤΗΝΟΤΡΟΦΙΚΑ ΦΥΤΑ ΓΙΑ ΖΩΟΤΡΟΦΕΣ80165</t>
  </si>
  <si>
    <t>ΚΤΗΝΟΤΡΟΦΙΚΟ ΜΠΙΖΕΛΙ LISA</t>
  </si>
  <si>
    <t>ΚΤΗΝΟΤΡΟΦΙΚΑ ΦΥΤΑ ΓΙΑ ΖΩΟΤΡΟΦΕΣ80166</t>
  </si>
  <si>
    <t>ΚΡΙΘΑΡΙ HIMALAYA</t>
  </si>
  <si>
    <t>ΚΤΗΝΟΤΡΟΦΙΚΑ ΦΥΤΑ ΓΙΑ ΖΩΟΤΡΟΦΕΣ80167</t>
  </si>
  <si>
    <t>ΚΡΙΘΑΡΙ REA</t>
  </si>
  <si>
    <t>ΚΤΗΝΟΤΡΟΦΙΚΑ ΦΥΤΑ ΓΙΑ ΖΩΟΤΡΟΦΕΣ80168</t>
  </si>
  <si>
    <t>ΚΤΗΝΟΤΡΟΦΙΚΟ ΜΠΙΖΕΛΙ GUIMAS</t>
  </si>
  <si>
    <t>ΚΤΗΝΟΤΡΟΦΙΚΑ ΦΥΤΑ ΓΙΑ ΖΩΟΤΡΟΦΕΣ80169</t>
  </si>
  <si>
    <t>ΚΤΗΝΟΤΡΟΦΙΚΟ ΜΠΙΖΕΛΙ GUIVERT</t>
  </si>
  <si>
    <t>ΚΤΗΝΟΤΡΟΦΙΚΑ ΦΥΤΑ ΓΙΑ ΖΩΟΤΡΟΦΕΣ80170</t>
  </si>
  <si>
    <t>ΜΠΙΖΕΛΙ / ΠΙΣΟ ΚΤΗΝΟΤΡΟΦΙΚΟ GUINDA</t>
  </si>
  <si>
    <t>ΚΤΗΝΟΤΡΟΦΙΚΑ ΦΥΤΑ ΓΙΑ ΖΩΟΤΡΟΦΕΣ80171</t>
  </si>
  <si>
    <t>ΜΠΙΖΕΛΙ / ΠΙΣΟ ΚΤΗΝΟΤΡΟΦΙΚΟ OSSA</t>
  </si>
  <si>
    <t>ΚΤΗΝΟΤΡΟΦΙΚΑ ΦΥΤΑ ΓΙΑ ΖΩΟΤΡΟΦΕΣ80172</t>
  </si>
  <si>
    <t>ΜΠΙΖΕΛΙ / ΠΙΣΟ ΚΤΗΝΟΤΡΟΦΙΚΟ SAOS</t>
  </si>
  <si>
    <t>ΚΤΗΝΟΤΡΟΦΙΚΑ ΦΥΤΑ ΓΙΑ ΖΩΟΤΡΟΦΕΣ80173</t>
  </si>
  <si>
    <t>ΚΤΗΝΟΤΡΟΦΙΚΑ ΦΥΤΑ ΓΙΑ ΖΩΟΤΡΟΦΕΣ80174</t>
  </si>
  <si>
    <t>ΚΡΙΘΑΡΙ FATIMA</t>
  </si>
  <si>
    <t>ΚΤΗΝΟΤΡΟΦΙΚΑ ΦΥΤΑ ΓΙΑ ΖΩΟΤΡΟΦΕΣ80175</t>
  </si>
  <si>
    <t>ΚΡΙΘΑΡΙ CANNON</t>
  </si>
  <si>
    <t>ΚΤΗΝΟΤΡΟΦΙΚΑ ΦΥΤΑ ΓΙΑ ΖΩΟΤΡΟΦΕΣ80176</t>
  </si>
  <si>
    <t>ΒΙΚΟΣ PANDORA</t>
  </si>
  <si>
    <t>ΚΤΗΝΟΤΡΟΦΙΚΑ ΦΥΤΑ ΓΙΑ ΖΩΟΤΡΟΦΕΣ80177</t>
  </si>
  <si>
    <t>ΚΤΗΝΟΤΡΟΦΙΚΟ ΚΟΥΚΙ ENRICO</t>
  </si>
  <si>
    <t>ΚΤΗΝΟΤΡΟΦΙΚΑ ΦΥΤΑ ΓΙΑ ΖΩΟΤΡΟΦΕΣ80178</t>
  </si>
  <si>
    <t>ΚΤΗΝΟΤΡΟΦΙΚΟ ΚΟΥΚΙ KASOS</t>
  </si>
  <si>
    <t>ΚΤΗΝΟΤΡΟΦΙΚΑ ΦΥΤΑ ΓΙΑ ΖΩΟΤΡΟΦΕΣ80179</t>
  </si>
  <si>
    <t>ΤΡΙΦΥΛΛΙ TO ΑΛΕΞΑΝΔΡΙΝΟ MIRIAM</t>
  </si>
  <si>
    <t>ΚΤΗΝΟΤΡΟΦΙΚΑ ΦΥΤΑ ΓΙΑ ΖΩΟΤΡΟΦΕΣ80180</t>
  </si>
  <si>
    <t>ΤΡΙΦΥΛΛΙ TO ΑΛΕΞΑΝΔΡΙΝΟ OTTO</t>
  </si>
  <si>
    <t>ΚΤΗΝΟΤΡΟΦΙΚΑ ΦΥΤΑ ΓΙΑ ΖΩΟΤΡΟΦΕΣ80181</t>
  </si>
  <si>
    <t>ΣΟΡΓΟ ΤΟΥ ΣΟΥΔΑΝ ADVANCEGRAZER</t>
  </si>
  <si>
    <t>ΚΤΗΝΟΤΡΟΦΙΚΑ ΦΥΤΑ ΓΙΑ ΖΩΟΤΡΟΦΕΣ80182</t>
  </si>
  <si>
    <t>ΜΠΙΖΕΛΙ / ΠΙΣΟ ΚΤΗΝΟΤΡΟΦΙΚΟ ARKTA</t>
  </si>
  <si>
    <t>ΚΤΗΝΟΤΡΟΦΙΚΑ ΦΥΤΑ ΓΙΑ ΖΩΟΤΡΟΦΕΣ80183</t>
  </si>
  <si>
    <t>ΒΙΚΟΣ OTHELLOS</t>
  </si>
  <si>
    <t>ΚΤΗΝΟΤΡΟΦΙΚΑ ΦΥΤΑ ΓΙΑ ΖΩΟΤΡΟΦΕΣ80184</t>
  </si>
  <si>
    <t>ΚΡΙΘΑΡΙ IS MALTIGO</t>
  </si>
  <si>
    <t>ΚΤΗΝΟΤΡΟΦΙΚΑ ΦΥΤΑ ΓΙΑ ΖΩΟΤΡΟΦΕΣ80185</t>
  </si>
  <si>
    <t>ΚΡΙΘΑΡΙ THEODORA</t>
  </si>
  <si>
    <t>ΚΤΗΝΟΤΡΟΦΙΚΑ ΦΥΤΑ ΓΙΑ ΖΩΟΤΡΟΦΕΣ80186</t>
  </si>
  <si>
    <t>ΚΡΙΘΑΡΙ ZOO</t>
  </si>
  <si>
    <t>ΚΤΗΝΟΤΡΟΦΙΚΑ ΦΥΤΑ ΓΙΑ ΖΩΟΤΡΟΦΕΣ80187</t>
  </si>
  <si>
    <t>ΚΡΙΘΑΡΙ AVUS</t>
  </si>
  <si>
    <t>ΚΤΗΝΟΤΡΟΦΙΚΑ ΦΥΤΑ ΓΙΑ ΖΩΟΤΡΟΦΕΣ80188</t>
  </si>
  <si>
    <t>ΚΡΙΘΑΡΙ AVALON</t>
  </si>
  <si>
    <t>ΚΤΗΝΟΤΡΟΦΙΚΑ ΦΥΤΑ ΓΙΑ ΖΩΟΤΡΟΦΕΣ80189</t>
  </si>
  <si>
    <t>ΚΡΙΘΑΡΙ LAVANDA</t>
  </si>
  <si>
    <t>ΚΤΗΝΟΤΡΟΦΙΚΑ ΦΥΤΑ ΓΙΑ ΖΩΟΤΡΟΦΕΣ80190</t>
  </si>
  <si>
    <t>ΚΡΙΘΑΡΙ CLEMENTINE</t>
  </si>
  <si>
    <t>ΚΤΗΝΟΤΡΟΦΙΚΑ ΦΥΤΑ ΓΙΑ ΖΩΟΤΡΟΦΕΣ80191</t>
  </si>
  <si>
    <t>ΚΡΙΘΑΡΙ MALTESSE</t>
  </si>
  <si>
    <t>ΚΤΗΝΟΤΡΟΦΙΚΑ ΦΥΤΑ ΓΙΑ ΖΩΟΤΡΟΦΕΣ80192</t>
  </si>
  <si>
    <t>ΚΡΙΘΑΡΙ JUVENTA</t>
  </si>
  <si>
    <t>ΚΤΗΝΟΤΡΟΦΙΚΑ ΦΥΤΑ ΓΙΑ ΖΩΟΤΡΟΦΕΣ80193</t>
  </si>
  <si>
    <t>ΚΡΙΘΑΡΙ PANAGIAS</t>
  </si>
  <si>
    <t>ΚΤΗΝΟΤΡΟΦΙΚΑ ΦΥΤΑ ΓΙΑ ΖΩΟΤΡΟΦΕΣ80194</t>
  </si>
  <si>
    <t>ΚΡΙΘΑΡΙ EXPLORA</t>
  </si>
  <si>
    <t>ΚΤΗΝΟΤΡΟΦΙΚΑ ΦΥΤΑ ΓΙΑ ΖΩΟΤΡΟΦΕΣ80195</t>
  </si>
  <si>
    <t>ΚΡΙΘΑΡΙ GUZEL</t>
  </si>
  <si>
    <t>ΚΤΗΝΟΤΡΟΦΙΚΑ ΦΥΤΑ ΓΙΑ ΖΩΟΤΡΟΦΕΣ80196</t>
  </si>
  <si>
    <t>ΣΙΤΟΣ ΜΑΛΑΚΟΣ ARGONE</t>
  </si>
  <si>
    <t>ΚΤΗΝΟΤΡΟΦΙΚΑ ΦΥΤΑ ΓΙΑ ΖΩΟΤΡΟΦΕΣ80197</t>
  </si>
  <si>
    <t>ΣΙΤΟΣ ΜΑΛΑΚΟΣ SALVIA</t>
  </si>
  <si>
    <t>ΚΤΗΝΟΤΡΟΦΙΚΑ ΦΥΤΑ ΓΙΑ ΖΩΟΤΡΟΦΕΣ80198</t>
  </si>
  <si>
    <t>ΣΙΤΟΣ ΜΑΛΑΚΟΣ BELLINI</t>
  </si>
  <si>
    <t>ΚΤΗΝΟΤΡΟΦΙΚΑ ΦΥΤΑ ΓΙΑ ΖΩΟΤΡΟΦΕΣ80199</t>
  </si>
  <si>
    <t>ΣΙΤΟΣ ΜΑΛΑΚΟΣ TIEPOLO</t>
  </si>
  <si>
    <t>ΚΤΗΝΟΤΡΟΦΙΚΑ ΦΥΤΑ ΓΙΑ ΖΩΟΤΡΟΦΕΣ80200</t>
  </si>
  <si>
    <t>ΣΙΤΟΣ ΜΑΛΑΚΟΣ ABT219</t>
  </si>
  <si>
    <t>ΚΤΗΝΟΤΡΟΦΙΚΑ ΦΥΤΑ ΓΙΑ ΖΩΟΤΡΟΦΕΣ80201</t>
  </si>
  <si>
    <t>ΣΙΤΟΣ ΜΑΛΑΚΟΣ AMBURGO</t>
  </si>
  <si>
    <t>ΚΤΗΝΟΤΡΟΦΙΚΑ ΦΥΤΑ ΓΙΑ ΖΩΟΤΡΟΦΕΣ80202</t>
  </si>
  <si>
    <t>ΣΙΤΟΣ ΜΑΛΑΚΟΣ TEJADA</t>
  </si>
  <si>
    <t>ΚΤΗΝΟΤΡΟΦΙΚΑ ΦΥΤΑ ΓΙΑ ΖΩΟΤΡΟΦΕΣ80203</t>
  </si>
  <si>
    <t>ΣΙΤΟΣ ΜΑΛΑΚΟΣ RGT COSACO</t>
  </si>
  <si>
    <t>ΚΤΗΝΟΤΡΟΦΙΚΑ ΦΥΤΑ ΓΙΑ ΖΩΟΤΡΟΦΕΣ80204</t>
  </si>
  <si>
    <t>ΣΙΤΟΣ ΜΑΛΑΚΟΣ FALADO</t>
  </si>
  <si>
    <t>ΚΤΗΝΟΤΡΟΦΙΚΑ ΦΥΤΑ ΓΙΑ ΖΩΟΤΡΟΦΕΣ80205</t>
  </si>
  <si>
    <t>ΣΙΤΟΣ ΜΑΛΑΚΟΣ DELFOS</t>
  </si>
  <si>
    <t>ΚΤΗΝΟΤΡΟΦΙΚΑ ΦΥΤΑ ΓΙΑ ΖΩΟΤΡΟΦΕΣ80206</t>
  </si>
  <si>
    <t>ΣΙΤΟΣ ΜΑΛΑΚΟΣ KWS ULTIM</t>
  </si>
  <si>
    <t>ΚΤΗΝΟΤΡΟΦΙΚΑ ΦΥΤΑ ΓΙΑ ΖΩΟΤΡΟΦΕΣ80207</t>
  </si>
  <si>
    <t>ΜΗΔΙΚΗ PREMARIACCO</t>
  </si>
  <si>
    <t>ΚΤΗΝΟΤΡΟΦΙΚΑ ΦΥΤΑ ΓΙΑ ΖΩΟΤΡΟΦΕΣ80208</t>
  </si>
  <si>
    <t>ΜΗΔΙΚΗ EMILIANA</t>
  </si>
  <si>
    <t>ΚΤΗΝΟΤΡΟΦΙΚΑ ΦΥΤΑ ΓΙΑ ΖΩΟΤΡΟΦΕΣ80209</t>
  </si>
  <si>
    <t>ΜΗΔΙΚΗ NARDIAN</t>
  </si>
  <si>
    <t>ΚΤΗΝΟΤΡΟΦΙΚΑ ΦΥΤΑ ΓΙΑ ΖΩΟΤΡΟΦΕΣ80210</t>
  </si>
  <si>
    <t>ΜΗΔΙΚΗ LODI</t>
  </si>
  <si>
    <t>ΚΤΗΝΟΤΡΟΦΙΚΑ ΦΥΤΑ ΓΙΑ ΖΩΟΤΡΟΦΕΣ80211</t>
  </si>
  <si>
    <t>ΜΗΔΙΚΗ LA TORRE</t>
  </si>
  <si>
    <t>ΚΤΗΝΟΤΡΟΦΙΚΑ ΦΥΤΑ ΓΙΑ ΖΩΟΤΡΟΦΕΣ80212</t>
  </si>
  <si>
    <t>ΜΗΔΙΚΗ MARINA</t>
  </si>
  <si>
    <t>ΚΤΗΝΟΤΡΟΦΙΚΑ ΦΥΤΑ ΓΙΑ ΖΩΟΤΡΟΦΕΣ80213</t>
  </si>
  <si>
    <t>ΤΡΙΦΥΛΛΙ MARMILLA</t>
  </si>
  <si>
    <t>ΚΤΗΝΟΤΡΟΦΙΚΑ ΦΥΤΑ ΓΙΑ ΖΩΟΤΡΟΦΕΣ80214</t>
  </si>
  <si>
    <t>ΚΡΙΘΑΡΙ AQUIRONE</t>
  </si>
  <si>
    <t>ΚΤΗΝΟΤΡΟΦΙΚΑ ΦΥΤΑ ΓΙΑ ΖΩΟΤΡΟΦΕΣ80215</t>
  </si>
  <si>
    <t>ΚΡΙΘΑΡΙ COLORADO</t>
  </si>
  <si>
    <t>ΚΤΗΝΟΤΡΟΦΙΚΑ ΦΥΤΑ ΓΙΑ ΖΩΟΤΡΟΦΕΣ80216</t>
  </si>
  <si>
    <t>ΚΡΙΘΑΡΙ MOCHINA 5</t>
  </si>
  <si>
    <t>ΚΤΗΝΟΤΡΟΦΙΚΑ ΦΥΤΑ ΓΙΑ ΖΩΟΤΡΟΦΕΣ80217</t>
  </si>
  <si>
    <t>ΚΡΙΘΑΡΙ BELCANTO</t>
  </si>
  <si>
    <t>ΚΤΗΝΟΤΡΟΦΙΚΑ ΦΥΤΑ ΓΙΑ ΖΩΟΤΡΟΦΕΣ80218</t>
  </si>
  <si>
    <t>ΚΡΙΘΑΡΙ PERSEFONI</t>
  </si>
  <si>
    <t>ΚΤΗΝΟΤΡΟΦΙΚΑ ΦΥΤΑ ΓΙΑ ΖΩΟΤΡΟΦΕΣ80219</t>
  </si>
  <si>
    <t>ΚΡΙΘΑΡΙ FENICE</t>
  </si>
  <si>
    <t>ΚΤΗΝΟΤΡΟΦΙΚΑ ΦΥΤΑ ΓΙΑ ΖΩΟΤΡΟΦΕΣ80220</t>
  </si>
  <si>
    <t>ΚΡΙΘΑΡΙ ZERBO</t>
  </si>
  <si>
    <t>ΚΤΗΝΟΤΡΟΦΙΚΑ ΦΥΤΑ ΓΙΑ ΖΩΟΤΡΟΦΕΣ80221</t>
  </si>
  <si>
    <t>ΚΡΙΘΑΡΙ OKIROI</t>
  </si>
  <si>
    <t>ΚΤΗΝΟΤΡΟΦΙΚΑ ΦΥΤΑ ΓΙΑ ΖΩΟΤΡΟΦΕΣ80222</t>
  </si>
  <si>
    <t>ΣΙΤΟΣ ΜΑΛΑΚΟΣ BOLERO</t>
  </si>
  <si>
    <t>ΚΤΗΝΟΤΡΟΦΙΚΑ ΦΥΤΑ ΓΙΑ ΖΩΟΤΡΟΦΕΣ80223</t>
  </si>
  <si>
    <t>ΣΙΤΟΣ ΜΑΛΑΚΟΣ ANTILLE</t>
  </si>
  <si>
    <t>ΚΤΗΝΟΤΡΟΦΙΚΑ ΦΥΤΑ ΓΙΑ ΖΩΟΤΡΟΦΕΣ80224</t>
  </si>
  <si>
    <t>ΣΙΤΟΣ ΜΑΛΑΚΟΣ GAIA</t>
  </si>
  <si>
    <t>ΚΤΗΝΟΤΡΟΦΙΚΑ ΦΥΤΑ ΓΙΑ ΖΩΟΤΡΟΦΕΣ80225</t>
  </si>
  <si>
    <t>ΣΙΤΟΣ ΜΑΛΑΚΟΣ ARTUR NICK</t>
  </si>
  <si>
    <t>ΚΤΗΝΟΤΡΟΦΙΚΑ ΦΥΤΑ ΓΙΑ ΖΩΟΤΡΟΦΕΣ80226</t>
  </si>
  <si>
    <t>ΣΙΤΟΣ ΜΑΛΑΚΟΣ FRENETIC</t>
  </si>
  <si>
    <t>ΚΤΗΝΟΤΡΟΦΙΚΑ ΦΥΤΑ ΓΙΑ ΖΩΟΤΡΟΦΕΣ80227</t>
  </si>
  <si>
    <t>ΣΙΤΟΣ ΜΑΛΑΚΟΣ YECORA "E"</t>
  </si>
  <si>
    <t>ΚΤΗΝΟΤΡΟΦΙΚΑ ΦΥΤΑ ΓΙΑ ΖΩΟΤΡΟΦΕΣ80228</t>
  </si>
  <si>
    <t>ΣΙΤΟΣ ΜΑΛΑΚΟΣ DONATELLO</t>
  </si>
  <si>
    <t>ΚΤΗΝΟΤΡΟΦΙΚΑ ΦΥΤΑ ΓΙΑ ΖΩΟΤΡΟΦΕΣ80229</t>
  </si>
  <si>
    <t>ΣΙΤΟΣ ΜΑΛΑΚΟΣ ALAGIR</t>
  </si>
  <si>
    <t>ΚΤΗΝΟΤΡΟΦΙΚΑ ΦΥΤΑ ΓΙΑ ΖΩΟΤΡΟΦΕΣ80230</t>
  </si>
  <si>
    <t>ΤΡΙΤΙΚΑΛΕ SILENO</t>
  </si>
  <si>
    <t>ΚΤΗΝΟΤΡΟΦΙΚΑ ΦΥΤΑ ΓΙΑ ΖΩΟΤΡΟΦΕΣ80231</t>
  </si>
  <si>
    <t>ΤΡΙΤΙΚΑΛΕ DUBLET</t>
  </si>
  <si>
    <t>ΚΤΗΝΟΤΡΟΦΙΚΑ ΦΥΤΑ ΓΙΑ ΖΩΟΤΡΟΦΕΣ80232</t>
  </si>
  <si>
    <t>ΒΡΩΜΗ PIGASOS</t>
  </si>
  <si>
    <t>ΚΤΗΝΟΤΡΟΦΙΚΑ ΦΥΤΑ ΓΙΑ ΖΩΟΤΡΟΦΕΣ80233</t>
  </si>
  <si>
    <t>ΒΡΩΜΗ FLEGA</t>
  </si>
  <si>
    <t>ΚΤΗΝΟΤΡΟΦΙΚΑ ΦΥΤΑ ΓΙΑ ΖΩΟΤΡΟΦΕΣ80234</t>
  </si>
  <si>
    <t>ΣΙΚΑΛΗ DANKOWSKIE GRANAT</t>
  </si>
  <si>
    <t>ΚΤΗΝΟΤΡΟΦΙΚΑ ΦΥΤΑ ΓΙΑ ΖΩΟΤΡΟΦΕΣ80235</t>
  </si>
  <si>
    <t>ΜΗΔΙΚΗ SCALIGERA</t>
  </si>
  <si>
    <t>ΚΤΗΝΟΤΡΟΦΙΚΑ ΦΥΤΑ ΓΙΑ ΖΩΟΤΡΟΦΕΣ80236</t>
  </si>
  <si>
    <t>ΜΗΔΙΚΗ LETIZIA</t>
  </si>
  <si>
    <t>ΚΤΗΝΟΤΡΟΦΙΚΑ ΦΥΤΑ ΓΙΑ ΖΩΟΤΡΟΦΕΣ80237</t>
  </si>
  <si>
    <t>ΜΗΔΙΚΗ AGN M72</t>
  </si>
  <si>
    <t>ΚΤΗΝΟΤΡΟΦΙΚΑ ΦΥΤΑ ΓΙΑ ΖΩΟΤΡΟΦΕΣ80238</t>
  </si>
  <si>
    <t>ΚΡΙΘΑΡΙ SEBASTIAN</t>
  </si>
  <si>
    <t>ΚΤΗΝΟΤΡΟΦΙΚΑ ΦΥΤΑ ΓΙΑ ΖΩΟΤΡΟΦΕΣ80239</t>
  </si>
  <si>
    <t>ΒΙΚΟΣ GRAVESA 81</t>
  </si>
  <si>
    <t>ΚΤΗΝΟΤΡΟΦΙΚΑ ΦΥΤΑ ΓΙΑ ΖΩΟΤΡΟΦΕΣ80240</t>
  </si>
  <si>
    <t>ΣΙΤΟΣ ΜΑΛΑΚΟΣ GIUNONE</t>
  </si>
  <si>
    <t>ΚΤΗΝΟΤΡΟΦΙΚΑ ΦΥΤΑ ΓΙΑ ΖΩΟΤΡΟΦΕΣ80241</t>
  </si>
  <si>
    <t>ΣΙΤΟΣ ΜΑΛΑΚΟΣ GEMMA</t>
  </si>
  <si>
    <t>ΚΤΗΝΟΤΡΟΦΙΚΑ ΦΥΤΑ ΓΙΑ ΖΩΟΤΡΟΦΕΣ80242</t>
  </si>
  <si>
    <t>ΣΙΤΟΣ ΜΑΛΑΚΟΣ ALHAMBRA</t>
  </si>
  <si>
    <t>ΚΤΗΝΟΤΡΟΦΙΚΑ ΦΥΤΑ ΓΙΑ ΖΩΟΤΡΟΦΕΣ80243</t>
  </si>
  <si>
    <t>ΚΡΙΘΑΡΙ TRAVELER</t>
  </si>
  <si>
    <t>ΚΤΗΝΟΤΡΟΦΙΚΑ ΦΥΤΑ ΓΙΑ ΖΩΟΤΡΟΦΕΣ80244</t>
  </si>
  <si>
    <t>ΜΗΔΙΚΗ EUGENIA</t>
  </si>
  <si>
    <t>ΚΤΗΝΟΤΡΟΦΙΚΑ ΦΥΤΑ ΓΙΑ ΖΩΟΤΡΟΦΕΣ80245</t>
  </si>
  <si>
    <t>ΜΗΔΙΚΗ GUILIA</t>
  </si>
  <si>
    <t>ΚΤΗΝΟΤΡΟΦΙΚΑ ΦΥΤΑ ΓΙΑ ΖΩΟΤΡΟΦΕΣ80246</t>
  </si>
  <si>
    <t>ΒΙΚΟΣ NIKIAN</t>
  </si>
  <si>
    <t>ΚΤΗΝΟΤΡΟΦΙΚΑ ΦΥΤΑ ΓΙΑ ΖΩΟΤΡΟΦΕΣ80247</t>
  </si>
  <si>
    <t>ΣΑΝΟΣ ΜΗΔΙΚΗΣ-ΖΩΟΤΡΟΦΕΣ</t>
  </si>
  <si>
    <t>ΚΤΗΝΟΤΡΟΦΙΚΑ ΦΥΤΑ ΓΙΑ ΖΩΟΤΡΟΦΕΣ8109</t>
  </si>
  <si>
    <t>ΣΑΝΟΣ ΚΡΙΘΑΡΙΟΥ, ΒΡΩΜΗΣ, ΒΙΚΟΥ, ΑΛΛΟΙ ΣΑΝΟΙ</t>
  </si>
  <si>
    <t>ΚΤΗΝΟΤΡΟΦΙΚΑ ΦΥΤΑ ΓΙΑ ΖΩΟΤΡΟΦΕΣ8110</t>
  </si>
  <si>
    <t>ΤΡΙΦΥΛΛΙ-ΖΩΟΤΡΟΦΕΣ</t>
  </si>
  <si>
    <t>ΚΤΗΝΟΤΡΟΦΙΚΑ ΦΥΤΑ ΓΙΑ ΖΩΟΤΡΟΦΕΣ8114</t>
  </si>
  <si>
    <t>ΤΡΙΦΥΛΛΙ ΓΙΑ ΑΠΟΞΗΡΑΝΣΗ - ΑΦΥΔΑΤΩΣΗ</t>
  </si>
  <si>
    <t>ΚΤΗΝΟΤΡΟΦΙΚΑ ΦΥΤΑ ΓΙΑ ΖΩΟΤΡΟΦΕΣ8121</t>
  </si>
  <si>
    <t>ΜΗΔΙΚΗ ΓΙΑ ΑΠΟΞΗΡΑΝΣΗ - ΑΦΥΔΑΤΩΣΗ</t>
  </si>
  <si>
    <t>ΚΤΗΝΟΤΡΟΦΙΚΑ ΦΥΤΑ ΓΙΑ ΖΩΟΤΡΟΦΕΣ8122</t>
  </si>
  <si>
    <t>ΚΟΦΤΟΛΙΒΑΔΑ</t>
  </si>
  <si>
    <t>ΚΤΗΝΟΤΡΟΦΙΚΑ ΦΥΤΑ ΓΙΑ ΖΩΟΤΡΟΦΕΣ8688</t>
  </si>
  <si>
    <t>ΚΤΗΝΟΤΡΟΦΙΚΑ ΦΥΤΑ ΓΙΑ ΖΩΟΤΡΟΦΕΣ8702</t>
  </si>
  <si>
    <t>ΚΡΙΘΑΡΙ ΛΗΜΝΟΥ</t>
  </si>
  <si>
    <t>ΚΤΗΝΟΤΡΟΦΙΚΑ ΦΥΤΑ ΓΙΑ ΖΩΟΤΡΟΦΕΣ9109066</t>
  </si>
  <si>
    <t>ΞΗΡΙΚΗ ΜΗΔΙΚΗ ΓΙΑ ΖΩΟΤΡΟΦΗ ΚΑΙ ΧΛΩΡΑ ΝΟΜΗ</t>
  </si>
  <si>
    <t>ΚΤΗΝΟΤΡΟΦΙΚΑ ΦΥΤΑ ΓΙΑ ΖΩΟΤΡΟΦΕΣ96000</t>
  </si>
  <si>
    <t>ΣΙΤΟΣ ΜΑΛΑΚΟΣ TRITICUM AESTIVUM</t>
  </si>
  <si>
    <t>ΚΤΗΝΟΤΡΟΦΙΚΑ ΦΥΤΑ ΓΙΑ ΖΩΟΤΡΟΦΕΣ99179</t>
  </si>
  <si>
    <t>ΣΙΤΟΣ ΔΙΚΚΟΚΟΣ TRITICUM DICOCCUM</t>
  </si>
  <si>
    <t>ΚΤΗΝΟΤΡΟΦΙΚΑ ΦΥΤΑ ΓΙΑ ΖΩΟΤΡΟΦΕΣ99283</t>
  </si>
  <si>
    <t>ΚΥΨΕΛΕΣ ΜΕΛΙΣΣΩΝ - ΜΕΛΛΙΣΟΣΜΗΝΗ</t>
  </si>
  <si>
    <t>EUR/HIVE</t>
  </si>
  <si>
    <t>ΚΥΨΕΛΕΣ ΜΕΛΙΣΣΩΝ - ΜΕΛΛΙΣΟΣΜΗΝΗ1010000</t>
  </si>
  <si>
    <t>ΛΙΝΟΣ ΚΛΩΣΤΙΚΟΣ</t>
  </si>
  <si>
    <t>ΛΙΝΟΣ ΚΛΩΣΤΙΚΟΣ1401</t>
  </si>
  <si>
    <t>ΛΙΝΟΣ ΜΗ ΚΛΩΣΤΙΚΟΣ</t>
  </si>
  <si>
    <t>ΛΙΝΟΣ ΜΗ ΚΛΩΣΤΙΚΟΣ1301</t>
  </si>
  <si>
    <t>ΛΙΝΑΡΟΣΠΟΡΟΣ</t>
  </si>
  <si>
    <t>ΛΙΝΟΣ ΜΗ ΚΛΩΣΤΙΚΟΣ1302</t>
  </si>
  <si>
    <t>ΛΟΙΠΑ ΣΙΤΗΡΑ</t>
  </si>
  <si>
    <t>ΛΟΙΠΑ ΣΙΤΗΡΑ2000</t>
  </si>
  <si>
    <t>ΛΟΙΠΑ ΣΙΤΗΡΑ20001</t>
  </si>
  <si>
    <t>ΛΟΙΠΑ ΣΙΤΗΡΑ20002</t>
  </si>
  <si>
    <t>ΚΡΙΘΑΡΙ MESETA</t>
  </si>
  <si>
    <t>ΛΟΙΠΑ ΣΙΤΗΡΑ20003</t>
  </si>
  <si>
    <t>ΛΟΙΠΑ ΣΙΤΗΡΑ20004</t>
  </si>
  <si>
    <t>ΜΟΝΟΚΟΚΚΟ ΣΙΤΑΡΙ ΚΑΠΛΟΥΤΖΑΣ</t>
  </si>
  <si>
    <t>ΛΟΙΠΑ ΣΙΤΗΡΑ20005</t>
  </si>
  <si>
    <t>ΜΑΛΑΚΟΣ ΣΙΤΟΣ ZANZIBAR</t>
  </si>
  <si>
    <t>ΛΟΙΠΑ ΣΙΤΗΡΑ20006</t>
  </si>
  <si>
    <t>ΚΡΙΘΑΡΙ IS MALTEA</t>
  </si>
  <si>
    <t>ΛΟΙΠΑ ΣΙΤΗΡΑ20007</t>
  </si>
  <si>
    <t>ΚΡΙΘΑΡΙ ZHANA</t>
  </si>
  <si>
    <t>ΛΟΙΠΑ ΣΙΤΗΡΑ20008</t>
  </si>
  <si>
    <t>ΣΙΤΟΣ ΜΑΛΑΚΟΣ TIGRE</t>
  </si>
  <si>
    <t>ΛΟΙΠΑ ΣΙΤΗΡΑ20009</t>
  </si>
  <si>
    <t>ΛΟΙΠΑ ΣΙΤΗΡΑ20010</t>
  </si>
  <si>
    <t>ΣΙΤΟΣ ΜΑΛΑΚΟΣ ELISSAVET</t>
  </si>
  <si>
    <t>ΛΟΙΠΑ ΣΙΤΗΡΑ20011</t>
  </si>
  <si>
    <t>TRITORDEUM BULEL</t>
  </si>
  <si>
    <t>ΛΟΙΠΑ ΣΙΤΗΡΑ20012</t>
  </si>
  <si>
    <t>ΒΡΩΜΗ FULVIA</t>
  </si>
  <si>
    <t>ΛΟΙΠΑ ΣΙΤΗΡΑ20013</t>
  </si>
  <si>
    <t>ΛΟΙΠΑ ΣΙΤΗΡΑ20014</t>
  </si>
  <si>
    <t>ΛΟΙΠΑ ΣΙΤΗΡΑ20015</t>
  </si>
  <si>
    <t>ΛΟΙΠΑ ΣΙΤΗΡΑ20017</t>
  </si>
  <si>
    <t>ΛΟΙΠΑ ΣΙΤΗΡΑ20018</t>
  </si>
  <si>
    <t>ΛΟΙΠΑ ΣΙΤΗΡΑ20019</t>
  </si>
  <si>
    <t>ΛΟΙΠΑ ΣΙΤΗΡΑ20020</t>
  </si>
  <si>
    <t>ΛΟΙΠΑ ΣΙΤΗΡΑ20021</t>
  </si>
  <si>
    <t>ΛΟΙΠΑ ΣΙΤΗΡΑ20022</t>
  </si>
  <si>
    <t>ΛΟΙΠΑ ΣΙΤΗΡΑ20023</t>
  </si>
  <si>
    <t>ΛΟΙΠΑ ΣΙΤΗΡΑ20024</t>
  </si>
  <si>
    <t>ΛΟΙΠΑ ΣΙΤΗΡΑ20025</t>
  </si>
  <si>
    <t>ΛΟΙΠΑ ΣΙΤΗΡΑ20026</t>
  </si>
  <si>
    <t>ΛΟΙΠΑ ΣΙΤΗΡΑ20027</t>
  </si>
  <si>
    <t>ΛΟΙΠΑ ΣΙΤΗΡΑ20028</t>
  </si>
  <si>
    <t>ΛΟΙΠΑ ΣΙΤΗΡΑ20029</t>
  </si>
  <si>
    <t>ΛΟΙΠΑ ΣΙΤΗΡΑ20030</t>
  </si>
  <si>
    <t>ΛΟΙΠΑ ΣΙΤΗΡΑ20031</t>
  </si>
  <si>
    <t>ΣΙΤΟΣ Η ΣΠΕΛΤΑ (ΟΛΥΡΑ ή ΑΓΡΙΟΣΙΤΑΡΟ ή ΝΤΙΝΚΕΛ) (TRITICUM SPELTA)</t>
  </si>
  <si>
    <t>ΛΟΙΠΑ ΣΙΤΗΡΑ20032</t>
  </si>
  <si>
    <t>ΛΟΙΠΑ ΣΙΤΗΡΑ20036</t>
  </si>
  <si>
    <t>ΤΕΦ</t>
  </si>
  <si>
    <t>ΛΟΙΠΑ ΣΙΤΗΡΑ20037</t>
  </si>
  <si>
    <t>ΣΙΤΑΡΟΚΡΙΘΑΡΟ</t>
  </si>
  <si>
    <t>ΛΟΙΠΑ ΣΙΤΗΡΑ20038</t>
  </si>
  <si>
    <t>ΣΙΤΟΣ ΜΑΛΑΚΟΣ ANFORETA</t>
  </si>
  <si>
    <t>ΛΟΙΠΑ ΣΙΤΗΡΑ20039</t>
  </si>
  <si>
    <t>ΣΙΤΟΣ ΜΑΛΑΚΟΣ REBELDE</t>
  </si>
  <si>
    <t>ΛΟΙΠΑ ΣΙΤΗΡΑ20041</t>
  </si>
  <si>
    <t>ΣΙΤΟΣ ΜΑΛΑΚΟΣ SICARIO</t>
  </si>
  <si>
    <t>ΛΟΙΠΑ ΣΙΤΗΡΑ20043</t>
  </si>
  <si>
    <t>ΣΙΤΟΣ ΜΑΛΑΚΟΣ CALIFA SUR</t>
  </si>
  <si>
    <t>ΛΟΙΠΑ ΣΙΤΗΡΑ20044</t>
  </si>
  <si>
    <t>ΣΙΤΟΣ ΜΑΛΑΚΟΣ AFRICA</t>
  </si>
  <si>
    <t>ΛΟΙΠΑ ΣΙΤΗΡΑ20045</t>
  </si>
  <si>
    <t>ΣΙΤΟΣ ΜΑΛΑΚΟΣ SKERZZO</t>
  </si>
  <si>
    <t>ΛΟΙΠΑ ΣΙΤΗΡΑ20046</t>
  </si>
  <si>
    <t>ΣΙΤΟΣ ΜΑΛΑΚΟΣ BOLOGNA</t>
  </si>
  <si>
    <t>ΛΟΙΠΑ ΣΙΤΗΡΑ20047</t>
  </si>
  <si>
    <t>ΣΙΤΟΣ ΜΑΛΑΚΟΣ GKOGKAS2</t>
  </si>
  <si>
    <t>ΛΟΙΠΑ ΣΙΤΗΡΑ20048</t>
  </si>
  <si>
    <t>ΣΙΤΟΣ ΜΑΛΑΚΟΣ ANAPO</t>
  </si>
  <si>
    <t>ΛΟΙΠΑ ΣΙΤΗΡΑ20049</t>
  </si>
  <si>
    <t>ΛΟΙΠΑ ΣΙΤΗΡΑ20050</t>
  </si>
  <si>
    <t>ΣΙΤΟΣ ΜΑΛΑΚΟΣ COSMIC</t>
  </si>
  <si>
    <t>ΛΟΙΠΑ ΣΙΤΗΡΑ20051</t>
  </si>
  <si>
    <t>ΣΙΤΟΣ ΜΑΛΑΚΟΣ AXUM</t>
  </si>
  <si>
    <t>ΛΟΙΠΑ ΣΙΤΗΡΑ20052</t>
  </si>
  <si>
    <t>ΣΙΤΟΣ ΜΑΛΑΚΟΣ STAVENTO</t>
  </si>
  <si>
    <t>ΛΟΙΠΑ ΣΙΤΗΡΑ20054</t>
  </si>
  <si>
    <t>ΣΙΤΟΣ ΜΑΛΑΚΟΣ  SOLEHIO</t>
  </si>
  <si>
    <t>ΛΟΙΠΑ ΣΙΤΗΡΑ20055</t>
  </si>
  <si>
    <t>ΣΙΤΟΣ ΜΑΛΑΚΟΣ LANCILLOTTO</t>
  </si>
  <si>
    <t>ΛΟΙΠΑ ΣΙΤΗΡΑ20056</t>
  </si>
  <si>
    <t>ΣΙΤΟΣ ΜΑΛΑΚΟΣ DIM 401</t>
  </si>
  <si>
    <t>ΛΟΙΠΑ ΣΙΤΗΡΑ20057</t>
  </si>
  <si>
    <t>ΛΟΙΠΑ ΣΙΤΗΡΑ20058</t>
  </si>
  <si>
    <t>ΣΙΤΟΣ ΜΑΛΑΚΟΣ BASMATI</t>
  </si>
  <si>
    <t>ΛΟΙΠΑ ΣΙΤΗΡΑ20059</t>
  </si>
  <si>
    <t>ΣΙΤΟΣ ΜΑΛΑΚΟΣ GIORGIONE</t>
  </si>
  <si>
    <t>ΛΟΙΠΑ ΣΙΤΗΡΑ20060</t>
  </si>
  <si>
    <t>ΛΟΙΠΑ ΣΙΤΗΡΑ20061</t>
  </si>
  <si>
    <t>ΛΟΙΠΑ ΣΙΤΗΡΑ20062</t>
  </si>
  <si>
    <t>ΣΙΤΟΣ ΜΑΛΑΚΟΣ BRAMANTE</t>
  </si>
  <si>
    <t>ΛΟΙΠΑ ΣΙΤΗΡΑ20063</t>
  </si>
  <si>
    <t>ΣΙΤΟΣ ΜΑΛΑΚΟΣ PALESIO</t>
  </si>
  <si>
    <t>ΛΟΙΠΑ ΣΙΤΗΡΑ20064</t>
  </si>
  <si>
    <t>ΣΙΤΟΣ ΜΑΛΑΚΟΣ ALEPPO</t>
  </si>
  <si>
    <t>ΛΟΙΠΑ ΣΙΤΗΡΑ20065</t>
  </si>
  <si>
    <t>ΣΙΤΟΣ ΜΑΛΑΚΟΣ FORCALI</t>
  </si>
  <si>
    <t>ΛΟΙΠΑ ΣΙΤΗΡΑ20066</t>
  </si>
  <si>
    <t>ΚΡΙΘΑΡΙ JALLON</t>
  </si>
  <si>
    <t>ΛΟΙΠΑ ΣΙΤΗΡΑ20067</t>
  </si>
  <si>
    <t>ΚΡΙΘΑΡΙ MILFORD</t>
  </si>
  <si>
    <t>ΛΟΙΠΑ ΣΙΤΗΡΑ20068</t>
  </si>
  <si>
    <t>ΛΟΙΠΑ ΣΙΤΗΡΑ20069</t>
  </si>
  <si>
    <t>ΚΡΙΘΑΡΙ BRUNILDA</t>
  </si>
  <si>
    <t>ΛΟΙΠΑ ΣΙΤΗΡΑ20070</t>
  </si>
  <si>
    <t>ΚΡΙΘΑΡΙ FORTUNA</t>
  </si>
  <si>
    <t>ΛΟΙΠΑ ΣΙΤΗΡΑ20071</t>
  </si>
  <si>
    <t>ΚΡΙΘΑΡΙ TRIPTOLEMOS</t>
  </si>
  <si>
    <t>ΛΟΙΠΑ ΣΙΤΗΡΑ20072</t>
  </si>
  <si>
    <t>ΚΡΙΘΑΡΙ ALASTRO</t>
  </si>
  <si>
    <t>ΛΟΙΠΑ ΣΙΤΗΡΑ20073</t>
  </si>
  <si>
    <t>ΛΟΙΠΑ ΣΙΤΗΡΑ20074</t>
  </si>
  <si>
    <t>ΚΡΙΘΑΡΙ RGT ASTEROID</t>
  </si>
  <si>
    <t>ΛΟΙΠΑ ΣΙΤΗΡΑ20075</t>
  </si>
  <si>
    <t>ΚΡΙΘΑΡΙ LEANDRA</t>
  </si>
  <si>
    <t>ΛΟΙΠΑ ΣΙΤΗΡΑ20076</t>
  </si>
  <si>
    <t>ΚΡΙΘΑΡΙ DIMITRA</t>
  </si>
  <si>
    <t>ΛΟΙΠΑ ΣΙΤΗΡΑ20077</t>
  </si>
  <si>
    <t>ΚΡΙΘΑΡΙ TRIKOMO</t>
  </si>
  <si>
    <t>ΛΟΙΠΑ ΣΙΤΗΡΑ20078</t>
  </si>
  <si>
    <t>ΚΡΙΘΑΡΙ MARTINO</t>
  </si>
  <si>
    <t>ΛΟΙΠΑ ΣΙΤΗΡΑ20079</t>
  </si>
  <si>
    <t>ΚΡΙΘΑΡΙ LEXI</t>
  </si>
  <si>
    <t>ΛΟΙΠΑ ΣΙΤΗΡΑ20080</t>
  </si>
  <si>
    <t>ΚΡΙΘΑΡΙ  AQUIRONE</t>
  </si>
  <si>
    <t>ΛΟΙΠΑ ΣΙΤΗΡΑ20081</t>
  </si>
  <si>
    <t>ΚΡΙΘΑΡΙ  IS MALTIGO</t>
  </si>
  <si>
    <t>ΛΟΙΠΑ ΣΙΤΗΡΑ20082</t>
  </si>
  <si>
    <t>ΤΡΙΤΙΚΑΛΕ QUIRINALE</t>
  </si>
  <si>
    <t>ΛΟΙΠΑ ΣΙΤΗΡΑ20083</t>
  </si>
  <si>
    <t>ΛΟΙΠΑ ΣΙΤΗΡΑ20084</t>
  </si>
  <si>
    <t>ΣΙΤΟΣ ΜΑΛΑΚΟΣ TINTORETTO</t>
  </si>
  <si>
    <t>ΛΟΙΠΑ ΣΙΤΗΡΑ20085</t>
  </si>
  <si>
    <t>ΣΙΤΟΣ ΜΑΛΑΚΟΣ AFRODITE</t>
  </si>
  <si>
    <t>ΛΟΙΠΑ ΣΙΤΗΡΑ20086</t>
  </si>
  <si>
    <t>ΣΙΤΟΣ ΜΑΛΑΚΟΣ YECORA</t>
  </si>
  <si>
    <t>ΛΟΙΠΑ ΣΙΤΗΡΑ20087</t>
  </si>
  <si>
    <t>ΣΙΤΟΣ ΜΑΛΑΚΟΣ BISANZIO</t>
  </si>
  <si>
    <t>ΛΟΙΠΑ ΣΙΤΗΡΑ20088</t>
  </si>
  <si>
    <t>ΛΟΙΠΑ ΣΙΤΗΡΑ20089</t>
  </si>
  <si>
    <t>ΛΟΙΠΑ ΣΙΤΗΡΑ20090</t>
  </si>
  <si>
    <t>ΣΙΤΟΣ ΜΑΛΑΚΟΣ RGT TOCAYO</t>
  </si>
  <si>
    <t>ΛΟΙΠΑ ΣΙΤΗΡΑ20091</t>
  </si>
  <si>
    <t>ΣΙΤΟΣ ΜΑΛΑΚΟΣ RGT PANIGALE</t>
  </si>
  <si>
    <t>ΛΟΙΠΑ ΣΙΤΗΡΑ20092</t>
  </si>
  <si>
    <t>ΣΙΤΟΣ ΜΑΛΑΚΟΣ ACUNA</t>
  </si>
  <si>
    <t>ΛΟΙΠΑ ΣΙΤΗΡΑ20093</t>
  </si>
  <si>
    <t>ΣΙΤΟΣ ΜΑΛΑΚΟΣ GUERCINO</t>
  </si>
  <si>
    <t>ΛΟΙΠΑ ΣΙΤΗΡΑ20094</t>
  </si>
  <si>
    <t>ΣΙΤΟΣ ΜΑΛΑΚΟΣ IZALCO CS</t>
  </si>
  <si>
    <t>ΛΟΙΠΑ ΣΙΤΗΡΑ20095</t>
  </si>
  <si>
    <t>ΣΙΤΟΣ ΜΑΛΑΚΟΣ GREKAU</t>
  </si>
  <si>
    <t>ΛΟΙΠΑ ΣΙΤΗΡΑ20097</t>
  </si>
  <si>
    <t>ΣΙΤΟΣ ΜΑΛΑΚΟΣ STENDAL</t>
  </si>
  <si>
    <t>ΛΟΙΠΑ ΣΙΤΗΡΑ20099</t>
  </si>
  <si>
    <t>ΣΙΤΟΣ ΜΑΛΑΚΟΣ MANDARIN</t>
  </si>
  <si>
    <t>ΛΟΙΠΑ ΣΙΤΗΡΑ20100</t>
  </si>
  <si>
    <t>ΚΡΙΘΑΡΙ KWS JOYAU</t>
  </si>
  <si>
    <t>ΛΟΙΠΑ ΣΙΤΗΡΑ20101</t>
  </si>
  <si>
    <t>ΚΡΙΘΑΡΙ MONROE</t>
  </si>
  <si>
    <t>ΛΟΙΠΑ ΣΙΤΗΡΑ20102</t>
  </si>
  <si>
    <t>ΚΡΙΘΑΡΙ FINOLA</t>
  </si>
  <si>
    <t>ΛΟΙΠΑ ΣΙΤΗΡΑ20103</t>
  </si>
  <si>
    <t>ΚΡΙΘΑΡΙ KWS AMADORA</t>
  </si>
  <si>
    <t>ΛΟΙΠΑ ΣΙΤΗΡΑ20104</t>
  </si>
  <si>
    <t>ΚΡΙΘΑΡΙ GREKAU</t>
  </si>
  <si>
    <t>ΛΟΙΠΑ ΣΙΤΗΡΑ20105</t>
  </si>
  <si>
    <t>ΚΡΙΘΑΡΙ THESSALONIKI</t>
  </si>
  <si>
    <t>ΛΟΙΠΑ ΣΙΤΗΡΑ20106</t>
  </si>
  <si>
    <t>ΛΟΙΠΑ ΣΙΤΗΡΑ20107</t>
  </si>
  <si>
    <t>ΚΡΙΘΑΡΙ SYDNEY</t>
  </si>
  <si>
    <t>ΛΟΙΠΑ ΣΙΤΗΡΑ20108</t>
  </si>
  <si>
    <t>ΚΡΙΘΑΡΙ COMETA</t>
  </si>
  <si>
    <t>ΛΟΙΠΑ ΣΙΤΗΡΑ20109</t>
  </si>
  <si>
    <t>ΚΡΙΘΑΡΙ LUTECE</t>
  </si>
  <si>
    <t>ΛΟΙΠΑ ΣΙΤΗΡΑ20110</t>
  </si>
  <si>
    <t>ΚΡΙΘΑΡΙ BOLERO</t>
  </si>
  <si>
    <t>ΛΟΙΠΑ ΣΙΤΗΡΑ20111</t>
  </si>
  <si>
    <t>ΒΡΩΜΗ ARGENTINA</t>
  </si>
  <si>
    <t>ΛΟΙΠΑ ΣΙΤΗΡΑ20112</t>
  </si>
  <si>
    <t>ΣΙΤΟΣ ΜΑΛΑΚΟΣ KWS CRITERIUM</t>
  </si>
  <si>
    <t>ΛΟΙΠΑ ΣΙΤΗΡΑ20113</t>
  </si>
  <si>
    <t>ΚΡΙΘΑΡΙ PILASTRO</t>
  </si>
  <si>
    <t>ΛΟΙΠΑ ΣΙΤΗΡΑ20114</t>
  </si>
  <si>
    <t>ΚΡΙΘΑΡΙ STRIKER</t>
  </si>
  <si>
    <t>ΛΟΙΠΑ ΣΙΤΗΡΑ20115</t>
  </si>
  <si>
    <t>ΛΟΙΠΑ ΣΙΤΗΡΑ20116</t>
  </si>
  <si>
    <t>ΛΟΙΠΑ ΣΙΤΗΡΑ20117</t>
  </si>
  <si>
    <t>ΛΟΙΠΑ ΣΙΤΗΡΑ20118</t>
  </si>
  <si>
    <t>ΛΟΙΠΑ ΣΙΤΗΡΑ20119</t>
  </si>
  <si>
    <t>ΛΟΙΠΑ ΣΙΤΗΡΑ20120</t>
  </si>
  <si>
    <t>ΛΟΙΠΑ ΣΙΤΗΡΑ20121</t>
  </si>
  <si>
    <t>ΛΟΙΠΑ ΣΙΤΗΡΑ20122</t>
  </si>
  <si>
    <t>ΛΟΙΠΑ ΣΙΤΗΡΑ20123</t>
  </si>
  <si>
    <t>ΛΟΙΠΑ ΣΙΤΗΡΑ20124</t>
  </si>
  <si>
    <t>ΛΟΙΠΑ ΣΙΤΗΡΑ20125</t>
  </si>
  <si>
    <t>ΛΟΙΠΑ ΣΙΤΗΡΑ20126</t>
  </si>
  <si>
    <t>ΛΟΙΠΑ ΣΙΤΗΡΑ20127</t>
  </si>
  <si>
    <t>ΛΟΙΠΑ ΣΙΤΗΡΑ20128</t>
  </si>
  <si>
    <t>ΛΟΙΠΑ ΣΙΤΗΡΑ20129</t>
  </si>
  <si>
    <t>ΛΟΙΠΑ ΣΙΤΗΡΑ20130</t>
  </si>
  <si>
    <t>ΛΟΙΠΑ ΣΙΤΗΡΑ20131</t>
  </si>
  <si>
    <t>ΛΟΙΠΑ ΣΙΤΗΡΑ20132</t>
  </si>
  <si>
    <t>ΛΟΙΠΑ ΣΙΤΗΡΑ20133</t>
  </si>
  <si>
    <t>ΛΟΙΠΑ ΣΙΤΗΡΑ20134</t>
  </si>
  <si>
    <t>ΛΟΙΠΑ ΣΙΤΗΡΑ20135</t>
  </si>
  <si>
    <t>ΛΟΙΠΑ ΣΙΤΗΡΑ20136</t>
  </si>
  <si>
    <t>ΛΟΙΠΑ ΣΙΤΗΡΑ20137</t>
  </si>
  <si>
    <t>ΛΟΙΠΑ ΣΙΤΗΡΑ20138</t>
  </si>
  <si>
    <t>ΛΟΙΠΑ ΣΙΤΗΡΑ20139</t>
  </si>
  <si>
    <t>ΛΟΙΠΑ ΣΙΤΗΡΑ20140</t>
  </si>
  <si>
    <t>ΛΟΙΠΑ ΣΙΤΗΡΑ20141</t>
  </si>
  <si>
    <t>ΛΟΙΠΑ ΣΙΤΗΡΑ20142</t>
  </si>
  <si>
    <t>ΛΟΙΠΑ ΣΙΤΗΡΑ20143</t>
  </si>
  <si>
    <t>ΛΟΙΠΑ ΣΙΤΗΡΑ20144</t>
  </si>
  <si>
    <t>ΛΟΙΠΑ ΣΙΤΗΡΑ20145</t>
  </si>
  <si>
    <t>ΛΟΙΠΑ ΣΙΤΗΡΑ20146</t>
  </si>
  <si>
    <t>ΛΟΙΠΑ ΣΙΤΗΡΑ20147</t>
  </si>
  <si>
    <t>ΛΟΙΠΑ ΣΙΤΗΡΑ20148</t>
  </si>
  <si>
    <t>ΛΟΙΠΑ ΣΙΤΗΡΑ20149</t>
  </si>
  <si>
    <t>ΛΟΙΠΑ ΣΙΤΗΡΑ20150</t>
  </si>
  <si>
    <t>ΛΟΙΠΑ ΣΙΤΗΡΑ20151</t>
  </si>
  <si>
    <t>ΛΟΙΠΑ ΣΙΤΗΡΑ3000</t>
  </si>
  <si>
    <t>ΛΟΙΠΑ ΣΙΤΗΡΑ3099</t>
  </si>
  <si>
    <t>ΛΟΙΠΑ ΣΙΤΗΡΑ4000</t>
  </si>
  <si>
    <t>ΛΟΙΠΑ ΣΙΤΗΡΑ4099</t>
  </si>
  <si>
    <t>ΛΟΙΠΑ ΣΙΤΗΡΑ6800</t>
  </si>
  <si>
    <t>ΛΟΙΠΑ ΣΙΤΗΡΑ6801</t>
  </si>
  <si>
    <t>ΛΟΙΠΑ ΣΙΤΗΡΑ6802</t>
  </si>
  <si>
    <t>ΛΟΙΠΑ ΣΙΤΗΡΑ6900</t>
  </si>
  <si>
    <t>ΛΟΙΠΑ ΣΙΤΗΡΑ6901</t>
  </si>
  <si>
    <t>ΛΟΙΠΑ ΣΙΤΗΡΑ6902</t>
  </si>
  <si>
    <t>ΛΟΙΠΑ ΣΙΤΗΡΑ6903</t>
  </si>
  <si>
    <t>ΛΟΙΠΑ ΣΙΤΗΡΑ6904</t>
  </si>
  <si>
    <t>ΛΟΙΠΑ ΣΙΤΗΡΑ6905</t>
  </si>
  <si>
    <t>ΛΟΙΠΑ ΣΙΤΗΡΑ6906</t>
  </si>
  <si>
    <t>ΛΟΙΠΑ ΣΙΤΗΡΑ6907</t>
  </si>
  <si>
    <t>ΛΟΙΠΑ ΣΙΤΗΡΑ6908</t>
  </si>
  <si>
    <t>ΛΟΙΠΑ ΣΙΤΗΡΑ6909</t>
  </si>
  <si>
    <t>ΛΟΙΠΑ ΣΙΤΗΡΑ6910</t>
  </si>
  <si>
    <t>ΛΟΙΠΑ ΣΙΤΗΡΑ6911</t>
  </si>
  <si>
    <t>ΛΟΙΠΑ ΣΙΤΗΡΑ6912</t>
  </si>
  <si>
    <t>ΛΟΙΠΑ ΣΙΤΗΡΑ6913</t>
  </si>
  <si>
    <t>ΛΟΙΠΑ ΣΙΤΗΡΑ6914</t>
  </si>
  <si>
    <t>ΛΟΙΠΑ ΣΙΤΗΡΑ6915</t>
  </si>
  <si>
    <t>ΛΟΙΠΑ ΣΙΤΗΡΑ6916</t>
  </si>
  <si>
    <t>ΛΟΙΠΑ ΣΙΤΗΡΑ6917</t>
  </si>
  <si>
    <t>ΛΟΙΠΑ ΣΙΤΗΡΑ6918</t>
  </si>
  <si>
    <t>ΛΟΙΠΑ ΣΙΤΗΡΑ6919</t>
  </si>
  <si>
    <t>ΛΟΙΠΑ ΣΙΤΗΡΑ6920</t>
  </si>
  <si>
    <t>ΛΟΙΠΑ ΣΙΤΗΡΑ6921</t>
  </si>
  <si>
    <t>ΛΟΙΠΑ ΣΙΤΗΡΑ6922</t>
  </si>
  <si>
    <t>ΛΟΙΠΑ ΣΙΤΗΡΑ6923</t>
  </si>
  <si>
    <t>ΛΟΙΠΑ ΣΙΤΗΡΑ6925</t>
  </si>
  <si>
    <t>ΛΟΙΠΑ ΣΙΤΗΡΑ6926</t>
  </si>
  <si>
    <t>ΛΟΙΠΑ ΣΙΤΗΡΑ6927</t>
  </si>
  <si>
    <t>ΛΟΙΠΑ ΣΙΤΗΡΑ6928</t>
  </si>
  <si>
    <t>ΛΟΙΠΑ ΣΙΤΗΡΑ6929</t>
  </si>
  <si>
    <t>ΛΟΙΠΑ ΣΙΤΗΡΑ6930</t>
  </si>
  <si>
    <t>ΛΟΙΠΑ ΣΙΤΗΡΑ6931</t>
  </si>
  <si>
    <t>ΛΟΙΠΑ ΣΙΤΗΡΑ6932</t>
  </si>
  <si>
    <t>ΛΟΙΠΑ ΣΙΤΗΡΑ6933</t>
  </si>
  <si>
    <t>ΛΟΙΠΑ ΣΙΤΗΡΑ6934</t>
  </si>
  <si>
    <t>ΛΟΙΠΑ ΣΙΤΗΡΑ6935</t>
  </si>
  <si>
    <t>ΛΟΙΠΑ ΣΙΤΗΡΑ6936</t>
  </si>
  <si>
    <t>ΛΟΙΠΑ ΣΙΤΗΡΑ6937</t>
  </si>
  <si>
    <t>ΛΟΙΠΑ ΣΙΤΗΡΑ6938</t>
  </si>
  <si>
    <t>ΛΟΙΠΑ ΣΙΤΗΡΑ6939</t>
  </si>
  <si>
    <t>ΛΟΙΠΑ ΣΙΤΗΡΑ6940</t>
  </si>
  <si>
    <t>ΛΟΙΠΑ ΣΙΤΗΡΑ6941</t>
  </si>
  <si>
    <t>ΛΟΙΠΑ ΣΙΤΗΡΑ6942</t>
  </si>
  <si>
    <t>ΛΟΙΠΑ ΣΙΤΗΡΑ6943</t>
  </si>
  <si>
    <t>ΛΟΙΠΑ ΣΙΤΗΡΑ6944</t>
  </si>
  <si>
    <t>ΛΟΙΠΑ ΣΙΤΗΡΑ7600</t>
  </si>
  <si>
    <t>ΛΟΙΠΑ ΣΙΤΗΡΑ7601</t>
  </si>
  <si>
    <t>ΛΟΙΠΑ ΣΙΤΗΡΑ7602</t>
  </si>
  <si>
    <t>ΛΟΙΠΑ ΣΙΤΗΡΑ7603</t>
  </si>
  <si>
    <t>ΛΟΙΠΑ ΣΙΤΗΡΑ7604</t>
  </si>
  <si>
    <t>ΛΟΙΠΑ ΣΙΤΗΡΑ7605</t>
  </si>
  <si>
    <t>ΛΟΙΠΑ ΣΙΤΗΡΑ7700</t>
  </si>
  <si>
    <t>ΛΟΙΠΑ ΣΙΤΗΡΑ7701</t>
  </si>
  <si>
    <t>ΛΟΙΠΑ ΣΙΤΗΡΑ7702</t>
  </si>
  <si>
    <t>ΛΟΙΠΑ ΣΙΤΗΡΑ7703</t>
  </si>
  <si>
    <t>ΛΟΙΠΑ ΣΙΤΗΡΑ7704</t>
  </si>
  <si>
    <t>ΛΟΙΠΑ ΣΙΤΗΡΑ7705</t>
  </si>
  <si>
    <t>ΛΟΙΠΑ ΣΙΤΗΡΑ7706</t>
  </si>
  <si>
    <t>ΛΟΙΠΑ ΣΙΤΗΡΑ7707</t>
  </si>
  <si>
    <t>ΛΟΙΠΑ ΣΙΤΗΡΑ7708</t>
  </si>
  <si>
    <t>ΛΟΙΠΑ ΣΙΤΗΡΑ7709</t>
  </si>
  <si>
    <t>ΛΟΙΠΑ ΣΙΤΗΡΑ7710</t>
  </si>
  <si>
    <t>ΛΟΙΠΑ ΣΙΤΗΡΑ7711</t>
  </si>
  <si>
    <t>ΛΟΙΠΑ ΣΙΤΗΡΑ7712</t>
  </si>
  <si>
    <t>ΛΟΙΠΑ ΣΙΤΗΡΑ7713</t>
  </si>
  <si>
    <t>ΛΟΙΠΑ ΣΙΤΗΡΑ7714</t>
  </si>
  <si>
    <t>ΛΟΙΠΑ ΣΙΤΗΡΑ7715</t>
  </si>
  <si>
    <t>ΛΟΙΠΑ ΣΙΤΗΡΑ7716</t>
  </si>
  <si>
    <t>ΛΟΙΠΑ ΣΙΤΗΡΑ7717</t>
  </si>
  <si>
    <t>ΛΟΙΠΑ ΣΙΤΗΡΑ7718</t>
  </si>
  <si>
    <t>ΛΟΙΠΑ ΣΙΤΗΡΑ7719</t>
  </si>
  <si>
    <t>ΛΟΙΠΑ ΣΙΤΗΡΑ7720</t>
  </si>
  <si>
    <t>ΛΟΙΠΑ ΣΙΤΗΡΑ7721</t>
  </si>
  <si>
    <t>ΛΟΙΠΑ ΣΙΤΗΡΑ7722</t>
  </si>
  <si>
    <t>ΛΟΙΠΑ ΣΙΤΗΡΑ7723</t>
  </si>
  <si>
    <t>ΛΟΙΠΑ ΣΙΤΗΡΑ7724</t>
  </si>
  <si>
    <t>ΛΟΙΠΑ ΣΙΤΗΡΑ7725</t>
  </si>
  <si>
    <t>ΛΟΙΠΑ ΣΙΤΗΡΑ7726</t>
  </si>
  <si>
    <t>ΛΟΙΠΑ ΣΙΤΗΡΑ7727</t>
  </si>
  <si>
    <t>ΛΟΙΠΑ ΣΙΤΗΡΑ7728</t>
  </si>
  <si>
    <t>ΛΟΙΠΑ ΣΙΤΗΡΑ7729</t>
  </si>
  <si>
    <t>ΛΟΙΠΑ ΣΙΤΗΡΑ7730</t>
  </si>
  <si>
    <t>ΛΟΙΠΑ ΣΙΤΗΡΑ7731</t>
  </si>
  <si>
    <t>ΛΟΙΠΑ ΣΙΤΗΡΑ7732</t>
  </si>
  <si>
    <t>ΛΟΙΠΑ ΣΙΤΗΡΑ7733</t>
  </si>
  <si>
    <t>ΛΟΙΠΑ ΣΙΤΗΡΑ7734</t>
  </si>
  <si>
    <t>ΛΟΙΠΑ ΣΙΤΗΡΑ7735</t>
  </si>
  <si>
    <t>ΛΟΙΠΑ ΣΙΤΗΡΑ7736</t>
  </si>
  <si>
    <t>ΛΟΙΠΑ ΣΙΤΗΡΑ7737</t>
  </si>
  <si>
    <t>ΛΟΙΠΑ ΣΙΤΗΡΑ7738</t>
  </si>
  <si>
    <t>ΛΟΙΠΑ ΣΙΤΗΡΑ7739</t>
  </si>
  <si>
    <t>ΛΟΙΠΑ ΣΙΤΗΡΑ7740</t>
  </si>
  <si>
    <t>ΛΟΙΠΑ ΣΙΤΗΡΑ7741</t>
  </si>
  <si>
    <t>ΛΟΙΠΑ ΣΙΤΗΡΑ7742</t>
  </si>
  <si>
    <t>ΛΟΙΠΑ ΣΙΤΗΡΑ7743</t>
  </si>
  <si>
    <t>ΛΟΙΠΑ ΣΙΤΗΡΑ7744</t>
  </si>
  <si>
    <t>ΛΟΙΠΑ ΣΙΤΗΡΑ7745</t>
  </si>
  <si>
    <t>ΛΟΙΠΑ ΣΙΤΗΡΑ7746</t>
  </si>
  <si>
    <t>ΛΟΙΠΑ ΣΙΤΗΡΑ7747</t>
  </si>
  <si>
    <t>ΛΟΙΠΑ ΣΙΤΗΡΑ7748</t>
  </si>
  <si>
    <t>ΛΟΙΠΑ ΣΙΤΗΡΑ7749</t>
  </si>
  <si>
    <t>ΛΟΙΠΑ ΣΙΤΗΡΑ7750</t>
  </si>
  <si>
    <t>ΛΟΙΠΑ ΣΙΤΗΡΑ7777</t>
  </si>
  <si>
    <t>ΛΟΙΠΑ ΣΙΤΗΡΑ7778</t>
  </si>
  <si>
    <t>ΛΟΙΠΑ ΣΙΤΗΡΑ7779</t>
  </si>
  <si>
    <t>ΛΟΙΠΑ ΣΙΤΗΡΑ7781</t>
  </si>
  <si>
    <t>ΛΟΙΠΑ ΣΙΤΗΡΑ7782</t>
  </si>
  <si>
    <t>ΛΟΙΠΑ ΣΙΤΗΡΑ7783</t>
  </si>
  <si>
    <t>ΛΟΙΠΑ ΣΙΤΗΡΑ7784</t>
  </si>
  <si>
    <t>ΛΟΙΠΑ ΣΙΤΗΡΑ7785</t>
  </si>
  <si>
    <t>ΛΟΙΠΑ ΣΙΤΗΡΑ7786</t>
  </si>
  <si>
    <t>ΛΟΙΠΑ ΣΙΤΗΡΑ7787</t>
  </si>
  <si>
    <t>ΛΟΙΠΑ ΣΙΤΗΡΑ7788</t>
  </si>
  <si>
    <t>ΛΟΙΠΑ ΣΙΤΗΡΑ7789</t>
  </si>
  <si>
    <t>ΛΟΙΠΑ ΣΙΤΗΡΑ7790</t>
  </si>
  <si>
    <t>ΛΟΙΠΑ ΣΙΤΗΡΑ7791</t>
  </si>
  <si>
    <t>ΛΟΙΠΑ ΣΙΤΗΡΑ7792</t>
  </si>
  <si>
    <t>ΛΟΙΠΑ ΣΙΤΗΡΑ7793</t>
  </si>
  <si>
    <t>ΛΟΙΠΑ ΣΙΤΗΡΑ7794</t>
  </si>
  <si>
    <t>ΛΟΙΠΑ ΣΙΤΗΡΑ7795</t>
  </si>
  <si>
    <t>ΛΟΙΠΑ ΣΙΤΗΡΑ7796</t>
  </si>
  <si>
    <t>ΛΟΙΠΑ ΣΙΤΗΡΑ7797</t>
  </si>
  <si>
    <t>ΛΟΙΠΑ ΣΙΤΗΡΑ7798</t>
  </si>
  <si>
    <t>ΛΟΙΠΑ ΣΙΤΗΡΑ7800</t>
  </si>
  <si>
    <t>ΛΟΙΠΑ ΣΙΤΗΡΑ80030</t>
  </si>
  <si>
    <t>ΛΟΙΠΑ ΣΙΤΗΡΑ80104</t>
  </si>
  <si>
    <t>ΛΟΙΠΑ ΣΙΤΗΡΑ80105</t>
  </si>
  <si>
    <t>ΛΟΙΠΑ ΣΙΤΗΡΑ8110</t>
  </si>
  <si>
    <t>ΛΟΙΠΑ ΣΙΤΗΡΑ9109066</t>
  </si>
  <si>
    <t>ΛΟΙΠΑ ΣΙΤΗΡΑ99179</t>
  </si>
  <si>
    <t>ΛΟΙΠΑ ΣΙΤΗΡΑ99283</t>
  </si>
  <si>
    <t>ΛΟΙΠΕΣ ΔΕΝΔΡΩΔΕΙΣ ΚΑΛΛΙΕΡΓΕΙΕΣ</t>
  </si>
  <si>
    <t>ΞΗΡΑ ΜΗ ΜΕΤΑΠΟΙΗΜΕΝΑ ΣΥΚΑ ΤΑΞΙΑΡΧΗ</t>
  </si>
  <si>
    <t>ΛΟΙΠΕΣ ΔΕΝΔΡΩΔΕΙΣ ΚΑΛΛΙΕΡΓΕΙΕΣ10851</t>
  </si>
  <si>
    <t>45.2</t>
  </si>
  <si>
    <t>ΜΑΣΤΙΧΟΔΕΝΔΡΑ</t>
  </si>
  <si>
    <t>ΛΟΙΠΕΣ ΔΕΝΔΡΩΔΕΙΣ ΚΑΛΛΙΕΡΓΕΙΕΣ10907</t>
  </si>
  <si>
    <t>ΜΑΣΤΙΧΟΔΕΝΔΡΑ ΕΞΑΙΡΕΣΗ</t>
  </si>
  <si>
    <t>ΛΟΙΠΕΣ ΔΕΝΔΡΩΔΕΙΣ ΚΑΛΛΙΕΡΓΕΙΕΣ10908</t>
  </si>
  <si>
    <t>ΜΟΥΡΙΕΣ</t>
  </si>
  <si>
    <t>ΛΟΙΠΕΣ ΔΕΝΔΡΩΔΕΙΣ ΚΑΛΛΙΕΡΓΕΙΕΣ14034</t>
  </si>
  <si>
    <t>ΛΟΙΠΕΣ ΔΕΝΔΡΩΔΕΙΣ ΚΑΛΛΙΕΡΓΕΙΕΣ14035</t>
  </si>
  <si>
    <t>ΕΥΚΑΛΥΠΤΟΣ</t>
  </si>
  <si>
    <t>ΛΟΙΠΕΣ ΔΕΝΔΡΩΔΕΙΣ ΚΑΛΛΙΕΡΓΕΙΕΣ14052</t>
  </si>
  <si>
    <t>ΠΑΥΛΩΝΙΑ Ή ΠΑΟΥΛΟΒΝΙΑ</t>
  </si>
  <si>
    <t>ΛΟΙΠΕΣ ΔΕΝΔΡΩΔΕΙΣ ΚΑΛΛΙΕΡΓΕΙΕΣ14053</t>
  </si>
  <si>
    <t>ΑΚΤΙΝΙΔΙΑ ΑΜΠΟΤ</t>
  </si>
  <si>
    <t>ΛΟΙΠΕΣ ΔΕΝΔΡΩΔΕΙΣ ΚΑΛΛΙΕΡΓΕΙΕΣ45201</t>
  </si>
  <si>
    <t>ΑΚΤΙΝΙΔΙΑ ΑΛΛΙΣΟΝ</t>
  </si>
  <si>
    <t>ΛΟΙΠΕΣ ΔΕΝΔΡΩΔΕΙΣ ΚΑΛΛΙΕΡΓΕΙΕΣ45202</t>
  </si>
  <si>
    <t>ΑΚΤΙΝΙΔΙΑ ΜΠΡΟΥΝΟ</t>
  </si>
  <si>
    <t>ΛΟΙΠΕΣ ΔΕΝΔΡΩΔΕΙΣ ΚΑΛΛΙΕΡΓΕΙΕΣ45203</t>
  </si>
  <si>
    <t>ΑΚΤΙΝΙΔΙΑ ΧΕΫΓΟΥΟΡΝΤ</t>
  </si>
  <si>
    <t>ΛΟΙΠΕΣ ΔΕΝΔΡΩΔΕΙΣ ΚΑΛΛΙΕΡΓΕΙΕΣ45204</t>
  </si>
  <si>
    <t>ΑΚΤΙΝΙΔΙΑ ΜΟΝΤΥ</t>
  </si>
  <si>
    <t>ΛΟΙΠΕΣ ΔΕΝΔΡΩΔΕΙΣ ΚΑΛΛΙΕΡΓΕΙΕΣ45205</t>
  </si>
  <si>
    <t>ΜΟΥΣΜΟΥΛΑ ΚΟΙΝΑ ΙΑΠΩΝΙΚΑ</t>
  </si>
  <si>
    <t>ΛΟΙΠΕΣ ΔΕΝΔΡΩΔΕΙΣ ΚΑΛΛΙΕΡΓΕΙΕΣ45206</t>
  </si>
  <si>
    <t>ΜΟΥΣΜΟΥΛΑ ΓΕΡΜΑΝΙΚΑ</t>
  </si>
  <si>
    <t>ΛΟΙΠΕΣ ΔΕΝΔΡΩΔΕΙΣ ΚΑΛΛΙΕΡΓΕΙΕΣ45207</t>
  </si>
  <si>
    <t>ΤΖΙΤΖΙΦΙΑ</t>
  </si>
  <si>
    <t>ΛΟΙΠΕΣ ΔΕΝΔΡΩΔΕΙΣ ΚΑΛΛΙΕΡΓΕΙΕΣ45208</t>
  </si>
  <si>
    <t>ΚΡΑΙΤΑΓΟΣ</t>
  </si>
  <si>
    <t>ΛΟΙΠΕΣ ΔΕΝΔΡΩΔΕΙΣ ΚΑΛΛΙΕΡΓΕΙΕΣ45209</t>
  </si>
  <si>
    <t>DRAGON FRUIT</t>
  </si>
  <si>
    <t>ΛΟΙΠΕΣ ΔΕΝΔΡΩΔΕΙΣ ΚΑΛΛΙΕΡΓΕΙΕΣ45210</t>
  </si>
  <si>
    <t>ΠΑΣΙΦΛΩΡΑ (PASSION FRUIT)</t>
  </si>
  <si>
    <t>ΛΟΙΠΕΣ ΔΕΝΔΡΩΔΕΙΣ ΚΑΛΛΙΕΡΓΕΙΕΣ45211</t>
  </si>
  <si>
    <t>ΓΚΟΥΑΒΑ</t>
  </si>
  <si>
    <t>ΛΟΙΠΕΣ ΔΕΝΔΡΩΔΕΙΣ ΚΑΛΛΙΕΡΓΕΙΕΣ45212</t>
  </si>
  <si>
    <t>ΜΑΝΓΚΟ</t>
  </si>
  <si>
    <t>ΛΟΙΠΕΣ ΔΕΝΔΡΩΔΕΙΣ ΚΑΛΛΙΕΡΓΕΙΕΣ45213</t>
  </si>
  <si>
    <t>ΠΑΠΑΓΙΑ</t>
  </si>
  <si>
    <t>ΛΟΙΠΕΣ ΔΕΝΔΡΩΔΕΙΣ ΚΑΛΛΙΕΡΓΕΙΕΣ45214</t>
  </si>
  <si>
    <t>ΑΡΚΕΥΘΟΣ</t>
  </si>
  <si>
    <t>ΛΟΙΠΕΣ ΔΕΝΔΡΩΔΕΙΣ ΚΑΛΛΙΕΡΓΕΙΕΣ45215</t>
  </si>
  <si>
    <t>ΛΕΥΚΗ ΙΤΙΑ</t>
  </si>
  <si>
    <t>ΛΟΙΠΕΣ ΔΕΝΔΡΩΔΕΙΣ ΚΑΛΛΙΕΡΓΕΙΕΣ45216</t>
  </si>
  <si>
    <t>ΦΛΑΜΟΥΡΙΑ</t>
  </si>
  <si>
    <t>ΛΟΙΠΕΣ ΔΕΝΔΡΩΔΕΙΣ ΚΑΛΛΙΕΡΓΕΙΕΣ45217</t>
  </si>
  <si>
    <t>ΦΕΪΖΟΑ (Feijoa sellowiana)</t>
  </si>
  <si>
    <t>ΛΟΙΠΕΣ ΔΕΝΔΡΩΔΕΙΣ ΚΑΛΛΙΕΡΓΕΙΕΣ45218</t>
  </si>
  <si>
    <t>ΑΚΤΙΝΙΔΙΑ TSECHELIDIS</t>
  </si>
  <si>
    <t>ΛΟΙΠΕΣ ΔΕΝΔΡΩΔΕΙΣ ΚΑΛΛΙΕΡΓΕΙΕΣ45219</t>
  </si>
  <si>
    <t>ΛΟΙΠΕΣ ΔΕΝΔΡΩΔΕΙΣ ΚΑΛΛΙΕΡΓΕΙΕΣ45220</t>
  </si>
  <si>
    <t>ΤΕΡΕΒΙΝΘΟΣ (ΤΣΙΤΣΙΡΑΒΛΙΑ)</t>
  </si>
  <si>
    <t>ΛΟΙΠΕΣ ΔΕΝΔΡΩΔΕΙΣ ΚΑΛΛΙΕΡΓΕΙΕΣ45221</t>
  </si>
  <si>
    <t>ΡΟΔΙΕΣ ΕΡΜΙΟΝΗΣ</t>
  </si>
  <si>
    <t>ΛΟΙΠΕΣ ΔΕΝΔΡΩΔΕΙΣ ΚΑΛΛΙΕΡΓΕΙΕΣ45222</t>
  </si>
  <si>
    <t>ΣΥΚΙΕΣ MISSION</t>
  </si>
  <si>
    <t>ΛΟΙΠΕΣ ΔΕΝΔΡΩΔΕΙΣ ΚΑΛΛΙΕΡΓΕΙΕΣ45223</t>
  </si>
  <si>
    <t>ΣΥΚΙΕΣ SMYRNAIKI</t>
  </si>
  <si>
    <t>ΛΟΙΠΕΣ ΔΕΝΔΡΩΔΕΙΣ ΚΑΛΛΙΕΡΓΕΙΕΣ45224</t>
  </si>
  <si>
    <t>ΚΑΡΥΔΙΑ PECAN</t>
  </si>
  <si>
    <t>ΛΟΙΠΕΣ ΔΕΝΔΡΩΔΕΙΣ ΚΑΛΛΙΕΡΓΕΙΕΣ45225</t>
  </si>
  <si>
    <t>ΑΚΤΙΝΙΔΙΑ GREENLIGHT</t>
  </si>
  <si>
    <t>ΛΟΙΠΕΣ ΔΕΝΔΡΩΔΕΙΣ ΚΑΛΛΙΕΡΓΕΙΕΣ45226</t>
  </si>
  <si>
    <t>ΦΤΕΛΙΑ</t>
  </si>
  <si>
    <t>ΛΟΙΠΕΣ ΔΕΝΔΡΩΔΕΙΣ ΚΑΛΛΙΕΡΓΕΙΕΣ45227</t>
  </si>
  <si>
    <t>ΜΟΡΙΝΓΚΑ (MORINGA OLEIFERA)</t>
  </si>
  <si>
    <t>ΛΟΙΠΕΣ ΔΕΝΔΡΩΔΕΙΣ ΚΑΛΛΙΕΡΓΕΙΕΣ45228</t>
  </si>
  <si>
    <t>ΑΚΤΙΝΙΔΙΑ BOERICA</t>
  </si>
  <si>
    <t>ΛΟΙΠΕΣ ΔΕΝΔΡΩΔΕΙΣ ΚΑΛΛΙΕΡΓΕΙΕΣ45229</t>
  </si>
  <si>
    <t>ΡΟΔΙΕΣ ACCO</t>
  </si>
  <si>
    <t>ΛΟΙΠΕΣ ΔΕΝΔΡΩΔΕΙΣ ΚΑΛΛΙΕΡΓΕΙΕΣ45230</t>
  </si>
  <si>
    <t>ΡΟΔΙΕΣ WONDERFUL</t>
  </si>
  <si>
    <t>ΛΟΙΠΕΣ ΔΕΝΔΡΩΔΕΙΣ ΚΑΛΛΙΕΡΓΕΙΕΣ45231</t>
  </si>
  <si>
    <t>ΑΚΤΙΝΙΔΙΑ   AC 497 076</t>
  </si>
  <si>
    <t>ΛΟΙΠΕΣ ΔΕΝΔΡΩΔΕΙΣ ΚΑΛΛΙΕΡΓΕΙΕΣ45232</t>
  </si>
  <si>
    <t>ΑΚΤΙΝΙΔΙΑ   AC 501 022</t>
  </si>
  <si>
    <t>ΛΟΙΠΕΣ ΔΕΝΔΡΩΔΕΙΣ ΚΑΛΛΙΕΡΓΕΙΕΣ45233</t>
  </si>
  <si>
    <t>ΓΚΙΝΓΚΟ ΜΠΙΛΟΜΠΑ (GINKGO BILOBA)</t>
  </si>
  <si>
    <t>ΛΟΙΠΕΣ ΔΕΝΔΡΩΔΕΙΣ ΚΑΛΛΙΕΡΓΕΙΕΣ45234</t>
  </si>
  <si>
    <t>ΛΩΤΟΙ JIRO</t>
  </si>
  <si>
    <t>ΛΟΙΠΕΣ ΔΕΝΔΡΩΔΕΙΣ ΚΑΛΛΙΕΡΓΕΙΕΣ45235</t>
  </si>
  <si>
    <t>ΚΑΣΤΑΝΙΕΣ ΓΙΑ ΚΑΡΠΟ</t>
  </si>
  <si>
    <t>ΛΟΙΠΕΣ ΔΕΝΔΡΩΔΕΙΣ ΚΑΛΛΙΕΡΓΕΙΕΣ8126</t>
  </si>
  <si>
    <t>ΑΚΤΙΝΙΔΙΟ</t>
  </si>
  <si>
    <t>ΛΟΙΠΕΣ ΔΕΝΔΡΩΔΕΙΣ ΚΑΛΛΙΕΡΓΕΙΕΣ8194</t>
  </si>
  <si>
    <t>ΡΟΔΙΕΣ</t>
  </si>
  <si>
    <t>ΛΟΙΠΕΣ ΔΕΝΔΡΩΔΕΙΣ ΚΑΛΛΙΕΡΓΕΙΕΣ8197</t>
  </si>
  <si>
    <t>ΣΥΚΙΕΣ ΝΩΠΕΣ Β</t>
  </si>
  <si>
    <t>ΛΟΙΠΕΣ ΔΕΝΔΡΩΔΕΙΣ ΚΑΛΛΙΕΡΓΕΙΕΣ8198</t>
  </si>
  <si>
    <t>ΑΒΟΚΑΝΤΟ</t>
  </si>
  <si>
    <t>ΛΟΙΠΕΣ ΔΕΝΔΡΩΔΕΙΣ ΚΑΛΛΙΕΡΓΕΙΕΣ8199</t>
  </si>
  <si>
    <t>ΣΥΚΙΕΣ ΝΩΠΕΣ Α</t>
  </si>
  <si>
    <t>ΛΟΙΠΕΣ ΔΕΝΔΡΩΔΕΙΣ ΚΑΛΛΙΕΡΓΕΙΕΣ8204</t>
  </si>
  <si>
    <t>ΞΗΡΑ ΜΗ ΜΕΤΑΠΟΙΗΜΕΝΑ ΣΥΚΑ</t>
  </si>
  <si>
    <t>ΛΟΙΠΕΣ ΔΕΝΔΡΩΔΕΙΣ ΚΑΛΛΙΕΡΓΕΙΕΣ8501</t>
  </si>
  <si>
    <t>ΛΩΤΟΙ</t>
  </si>
  <si>
    <t>ΛΟΙΠΕΣ ΔΕΝΔΡΩΔΕΙΣ ΚΑΛΛΙΕΡΓΕΙΕΣ8609</t>
  </si>
  <si>
    <t>ΜΕΣΠΙΛΙΕΣ (ΜΟΥΣΜΟΥΛΙΕΣ)</t>
  </si>
  <si>
    <t>ΛΟΙΠΕΣ ΔΕΝΔΡΩΔΕΙΣ ΚΑΛΛΙΕΡΓΕΙΕΣ8610</t>
  </si>
  <si>
    <t>ΣΥΚΑ - ΑΙΔΙΝΙΟΥ ΛΕΣΒΟΥ</t>
  </si>
  <si>
    <t>ΛΟΙΠΕΣ ΔΕΝΔΡΩΔΕΙΣ ΚΑΛΛΙΕΡΓΕΙΕΣ8774</t>
  </si>
  <si>
    <t>ΣΥΚΑ - ΜΠΟΥΚΝΕΣ ΣΑΜΟΥ</t>
  </si>
  <si>
    <t>ΛΟΙΠΕΣ ΔΕΝΔΡΩΔΕΙΣ ΚΑΛΛΙΕΡΓΕΙΕΣ8775</t>
  </si>
  <si>
    <t>ΣΥΚΑ ΤΗΝΟΥ</t>
  </si>
  <si>
    <t>ΛΟΙΠΕΣ ΔΕΝΔΡΩΔΕΙΣ ΚΑΛΛΙΕΡΓΕΙΕΣ8776</t>
  </si>
  <si>
    <t>ΤΣΙΚΟΥΔΙΑ (ΣΧΟΙΝΟΣ)</t>
  </si>
  <si>
    <t>ΛΟΙΠΕΣ ΔΕΝΔΡΩΔΕΙΣ ΚΑΛΛΙΕΡΓΕΙΕΣ8777</t>
  </si>
  <si>
    <t>ΒΕΛΑΝΙΔΙΕΣ</t>
  </si>
  <si>
    <t>ΛΟΙΠΕΣ ΔΕΝΔΡΩΔΕΙΣ ΚΑΛΛΙΕΡΓΕΙΕΣ8778</t>
  </si>
  <si>
    <t>ΚΑΣΤΑΝΙΕΣ ΕΞΑΙΡΕΣΗ</t>
  </si>
  <si>
    <t>ΛΟΙΠΕΣ ΔΕΝΔΡΩΔΕΙΣ ΚΑΛΛΙΕΡΓΕΙΕΣ8779</t>
  </si>
  <si>
    <t>ΚΡΑΝΑ</t>
  </si>
  <si>
    <t>ΛΟΙΠΕΣ ΔΕΝΔΡΩΔΕΙΣ ΚΑΛΛΙΕΡΓΕΙΕΣ8783</t>
  </si>
  <si>
    <t>ΞΗΡΑ ΜΗ ΜΕΤΑΠΟΙΗΜΕΝΑ ΣΥΚΑ ΚΥΜΗΣ</t>
  </si>
  <si>
    <t>ΛΟΙΠΕΣ ΔΕΝΔΡΩΔΕΙΣ ΚΑΛΛΙΕΡΓΕΙΕΣ98503</t>
  </si>
  <si>
    <t>ΛΟΙΠΕΣ ΚΑΛΛΙΕΡΓΕΙΕΣ</t>
  </si>
  <si>
    <t>ΣΜΕΟΥΡΑ - RUSPBERRY</t>
  </si>
  <si>
    <t>ΛΟΙΠΕΣ ΚΑΛΛΙΕΡΓΕΙΕΣ45101</t>
  </si>
  <si>
    <t>45.1</t>
  </si>
  <si>
    <t>ΚΙΝΟΑ</t>
  </si>
  <si>
    <t>ΛΟΙΠΕΣ ΚΑΛΛΙΕΡΓΕΙΕΣ45102</t>
  </si>
  <si>
    <t>ΤΖΙΝΤΖΕΡ</t>
  </si>
  <si>
    <t>ΛΟΙΠΕΣ ΚΑΛΛΙΕΡΓΕΙΕΣ45103</t>
  </si>
  <si>
    <t>ΖΑΧΑΡΟΚΑΛΑΜΟ (SACCHARUM OFFINARUM)</t>
  </si>
  <si>
    <t>ΛΟΙΠΕΣ ΚΑΛΛΙΕΡΓΕΙΕΣ45104</t>
  </si>
  <si>
    <t>ΕΛΑΙΑΓΝΟΣ UMBELLATA</t>
  </si>
  <si>
    <t>ΛΟΙΠΕΣ ΚΑΛΛΙΕΡΓΕΙΕΣ45105</t>
  </si>
  <si>
    <t>ΦΡΑΓΚΟΣΤΑΦΥΛΛΟ</t>
  </si>
  <si>
    <t>ΛΟΙΠΕΣ ΚΑΛΛΙΕΡΓΕΙΕΣ45106</t>
  </si>
  <si>
    <t>ΠΑΛΙΟΥΡΙ</t>
  </si>
  <si>
    <t>ΛΟΙΠΕΣ ΚΑΛΛΙΕΡΓΕΙΕΣ45107</t>
  </si>
  <si>
    <t>ΓΑΪΔΟΥΡΑΓΚΑΘΟ</t>
  </si>
  <si>
    <t>ΛΟΙΠΕΣ ΚΑΛΛΙΕΡΓΕΙΕΣ45108</t>
  </si>
  <si>
    <t>ΛΥΓΑΡΙΑ (VITEX AGNUS CASTUS)</t>
  </si>
  <si>
    <t>ΛΟΙΠΕΣ ΚΑΛΛΙΕΡΓΕΙΕΣ45109</t>
  </si>
  <si>
    <t>ΠΕΠΙΝΟ (Solanum muricatum)</t>
  </si>
  <si>
    <t>ΛΟΙΠΕΣ ΚΑΛΛΙΕΡΓΕΙΕΣ45110</t>
  </si>
  <si>
    <t>GOLDEN BERRY</t>
  </si>
  <si>
    <t>ΛΟΙΠΕΣ ΚΑΛΛΙΕΡΓΕΙΕΣ45111</t>
  </si>
  <si>
    <t>CRANBERRY</t>
  </si>
  <si>
    <t>ΛΟΙΠΕΣ ΚΑΛΛΙΕΡΓΕΙΕΣ45112</t>
  </si>
  <si>
    <t>Μελισσοκομική Καλλιέργεια Νίγηρας - NIGER</t>
  </si>
  <si>
    <t>ΛΟΙΠΕΣ ΚΑΛΛΙΕΡΓΕΙΕΣ45113</t>
  </si>
  <si>
    <t>ΤΕΡΕΒΙΝΘΟΣ/ΤΣΙΤΣΙΡΑΒΛΑ</t>
  </si>
  <si>
    <t>ΛΟΙΠΕΣ ΚΑΛΛΙΕΡΓΕΙΕΣ45114</t>
  </si>
  <si>
    <t>ΛΟΙΠΕΣ ΚΑΛΛΙΕΡΓΕΙΕΣ45115</t>
  </si>
  <si>
    <t>ΛΟΙΠΕΣ ΚΑΛΛΙΕΡΓΕΙΕΣ45116</t>
  </si>
  <si>
    <t>ΛΟΙΠΕΣ ΚΑΛΛΙΕΡΓΕΙΕΣ45117</t>
  </si>
  <si>
    <t>ΛΟΙΠΕΣ ΚΑΛΛΙΕΡΓΕΙΕΣ45118</t>
  </si>
  <si>
    <t>ΛΟΙΠΕΣ ΚΑΛΛΙΕΡΓΕΙΕΣ45119</t>
  </si>
  <si>
    <t>UVA CRISPA (ΛΑΓΟΚΕΡΑΣΟ)</t>
  </si>
  <si>
    <t>ΛΟΙΠΕΣ ΚΑΛΛΙΕΡΓΕΙΕΣ45120</t>
  </si>
  <si>
    <t>ΛΟΙΠΕΣ ΚΑΛΛΙΕΡΓΕΙΕΣ45121</t>
  </si>
  <si>
    <t>ΛΟΙΠΕΣ ΚΑΛΛΙΕΡΓΕΙΕΣ45122</t>
  </si>
  <si>
    <t>ΛΟΙΠΕΣ ΚΑΛΛΙΕΡΓΕΙΕΣ45123</t>
  </si>
  <si>
    <t>ΛΟΙΠΕΣ ΚΑΛΛΙΕΡΓΕΙΕΣ45124</t>
  </si>
  <si>
    <t>ΛΟΙΠΕΣ ΚΑΛΛΙΕΡΓΕΙΕΣ45125</t>
  </si>
  <si>
    <t>ΛΟΙΠΕΣ ΚΑΛΛΙΕΡΓΕΙΕΣ45126</t>
  </si>
  <si>
    <t>ΑΡΑΧΙΔΑ ΓΕΩΡΓΙΟΥΠΟΛΗΣ</t>
  </si>
  <si>
    <t>ΛΟΙΠΕΣ ΚΑΛΛΙΕΡΓΕΙΕΣ8100</t>
  </si>
  <si>
    <t>ΛΥΚΙΣΚΟΣ</t>
  </si>
  <si>
    <t>ΛΟΙΠΕΣ ΚΑΛΛΙΕΡΓΕΙΕΣ8124</t>
  </si>
  <si>
    <t>ΒΑΤΟΜΟΥΡΑ</t>
  </si>
  <si>
    <t>ΛΟΙΠΕΣ ΚΑΛΛΙΕΡΓΕΙΕΣ8687</t>
  </si>
  <si>
    <t>ΛΟΙΠΕΣ ΚΑΛΛΙΕΡΓΕΙΕΣ8700</t>
  </si>
  <si>
    <t>ΜΑΝΙΤΑΡΙΑ ΤΡΟΥΦΑ</t>
  </si>
  <si>
    <t>ΛΟΙΠΕΣ ΚΑΛΛΙΕΡΓΕΙΕΣ8701</t>
  </si>
  <si>
    <t>ΙΠΠΟΦΑΕΣ</t>
  </si>
  <si>
    <t>ΛΟΙΠΕΣ ΚΑΛΛΙΕΡΓΕΙΕΣ8706</t>
  </si>
  <si>
    <t>ΛΟΙΠΕΣ ΚΑΛΛΙΕΡΓΕΙΕΣ8709</t>
  </si>
  <si>
    <t>ΣΟΡΓΟ - ΣΚΟΥΠΟΧΟΡΤΟ ΕΒΡΟΥ</t>
  </si>
  <si>
    <t>ΛΟΙΠΕΣ ΚΑΛΛΙΕΡΓΕΙΕΣ8744</t>
  </si>
  <si>
    <t>ΑΣΚΟΛΥΜΠΡΟΣ</t>
  </si>
  <si>
    <t>ΛΟΙΠΕΣ ΚΑΛΛΙΕΡΓΕΙΕΣ8745</t>
  </si>
  <si>
    <t>ΚΑΠΠΑΡΗ - ΤΟΠΙΚΟΙ ΠΛΗΘΥΣΜΟΙ</t>
  </si>
  <si>
    <t>ΛΟΙΠΕΣ ΚΑΛΛΙΕΡΓΕΙΕΣ8748</t>
  </si>
  <si>
    <t>ΛΙΦΗ Ή ΛΟΥΦΑ ΚΑΤΕΡΙΝΗΣ</t>
  </si>
  <si>
    <t>ΛΟΙΠΕΣ ΚΑΛΛΙΕΡΓΕΙΕΣ8749</t>
  </si>
  <si>
    <t>ΛΟΙΠΕΣ ΚΑΛΛΙΕΡΓΕΙΕΣ8760</t>
  </si>
  <si>
    <t>ΑΛΟΗ</t>
  </si>
  <si>
    <t>ΛΟΙΠΕΣ ΚΑΛΛΙΕΡΓΕΙΕΣ8781</t>
  </si>
  <si>
    <t>ΠΡΩΤΕΑΣ</t>
  </si>
  <si>
    <t>ΛΟΙΠΕΣ ΚΑΛΛΙΕΡΓΕΙΕΣ8782</t>
  </si>
  <si>
    <t>ΑΡΩΝΙΑ</t>
  </si>
  <si>
    <t>ΛΟΙΠΕΣ ΚΑΛΛΙΕΡΓΕΙΕΣ8784</t>
  </si>
  <si>
    <t>ΛΗΜΟΝΙΟ</t>
  </si>
  <si>
    <t>ΛΟΙΠΕΣ ΚΑΛΛΙΕΡΓΕΙΕΣ8785</t>
  </si>
  <si>
    <t>ΜΥΡΤΙΛΛΟ (BLUEBERRY)</t>
  </si>
  <si>
    <t>ΛΟΙΠΕΣ ΚΑΛΛΙΕΡΓΕΙΕΣ8786</t>
  </si>
  <si>
    <t>ΓΚΟΤΖΙ ΜΠΕΡΙ</t>
  </si>
  <si>
    <t>ΛΟΙΠΕΣ ΚΑΛΛΙΕΡΓΕΙΕΣ8787</t>
  </si>
  <si>
    <t>ΛΟΥΦΑ</t>
  </si>
  <si>
    <t>ΛΟΙΠΕΣ ΚΑΛΛΙΕΡΓΕΙΕΣ8788</t>
  </si>
  <si>
    <t>ΦΥΣΑΛΙΔΑ</t>
  </si>
  <si>
    <t>ΛΟΙΠΕΣ ΚΑΛΛΙΕΡΓΕΙΕΣ8789</t>
  </si>
  <si>
    <t>ΦΡΑΓΚΟΣΥΚΙΕΣ</t>
  </si>
  <si>
    <t>ΛΟΙΠΕΣ ΚΑΛΛΙΕΡΓΕΙΕΣ95771700</t>
  </si>
  <si>
    <t>STEVIA (ΥΠΟΚΑΤΑΣΤΑΤΟ ΖΑΧΑΡΗΣ ΣΕ ΠΕΙΡΑΜΑΤΙΚΟ ΣΤΑΔΙΟ)</t>
  </si>
  <si>
    <t>ΛΟΙΠΕΣ ΚΑΛΛΙΕΡΓΕΙΕΣ95771701</t>
  </si>
  <si>
    <t>ΚΟΛΟΚΑΣΙ</t>
  </si>
  <si>
    <t>ΛΟΙΠΕΣ ΚΑΛΛΙΕΡΓΕΙΕΣ98206</t>
  </si>
  <si>
    <t>ΜΕΤΑΞΟΣΚΩΛΗΚΕΣ</t>
  </si>
  <si>
    <t>ΜΕΤΑΞΟΣΚΩΛΗΚΕΣ, ΚΟΥΤΙΑ</t>
  </si>
  <si>
    <t>EUR/KOYTI</t>
  </si>
  <si>
    <t>ΜΕΤΑΞΟΣΚΩΛΗΚΕΣ1110000</t>
  </si>
  <si>
    <t>ΜΗ ΕΠΙΛΕΞΙΜΕΣ ΕΚΤΑΣΕΙΣ ΑΠΟ ΑΝΑΔΑΣΩΤΕΕΣ ΕΚΤΑΣΕΙΣ ΚΥΡΩΜΕΝΩΝ</t>
  </si>
  <si>
    <t>ΜΗ ΕΠΙΛΕΞΙΜΕΣ ΕΚΤΑΣΕΙΣ ΑΠΟ ΑΝΑΔΑΣΩΤΕΕΣ ΕΚΤΑΣΕΙΣ ΚΥΡΩΜΕΝΩΝ96001</t>
  </si>
  <si>
    <t>ΜΗ ΕΠΙΛΕΞΙΜΕΣ ΕΚΤΑΣΕΙΣ ΑΠΟ ΚΥΡΩΜΕΝΟΥΣ ΔΑΣΙΚΟΥΣ</t>
  </si>
  <si>
    <t>ΜΗ ΕΠΙΛΕΞΙΜΕΣ ΕΚΤΑΣΕΙΣ ΑΠΟ ΚΥΡΩΜΕΝΟΥΣ ΔΑΣΙΚΟΥΣ98001</t>
  </si>
  <si>
    <t>ΜΗ ΕΠΙΛΕΞΙΜΕΣ ΕΚΤΑΣΕΙΣ</t>
  </si>
  <si>
    <t>ΜΗ ΕΠΙΛΕΞΙΜΕΣ ΕΚΤΑΣΕΙΣ99001</t>
  </si>
  <si>
    <t>ΜΗΛΟΕΙΔΗ</t>
  </si>
  <si>
    <t>ΑΧΛΑΔΙΕΣ Α</t>
  </si>
  <si>
    <t>ΜΗΛΟΕΙΔΗ14004</t>
  </si>
  <si>
    <t>ΜΗΛΙΕΣ Α</t>
  </si>
  <si>
    <t>ΜΗΛΟΕΙΔΗ14005</t>
  </si>
  <si>
    <t>ΑΧΛΑΔΙΑ ΚΟΝΤΟΥΛΕΣ - ABATE FETEL</t>
  </si>
  <si>
    <t>ΜΗΛΟΕΙΔΗ14032</t>
  </si>
  <si>
    <t>ΑΧΛΑΔΙΑ ΣΙΣΥ</t>
  </si>
  <si>
    <t>ΜΗΛΟΕΙΔΗ66314</t>
  </si>
  <si>
    <t>ΑΧΛΑΔΙΑ ΑΠΟΣΤΟΛΙΑΤΙΚΑ</t>
  </si>
  <si>
    <t>ΜΗΛΟΕΙΔΗ67001</t>
  </si>
  <si>
    <t>ΑΧΛΑΔΙΑ ΜΟΣΧΑΠΙΔΟ</t>
  </si>
  <si>
    <t>ΜΗΛΟΕΙΔΗ67002</t>
  </si>
  <si>
    <t>ΑΧΛΑΔΙΑ ΜΟΣΧΑΡΔΙΝΙ</t>
  </si>
  <si>
    <t>ΜΗΛΟΕΙΔΗ67003</t>
  </si>
  <si>
    <t>ΑΧΛΑΔΙΑ ΑΧΤΣΕΣ, ΜΥΤΙΛΗΝ.</t>
  </si>
  <si>
    <t>ΜΗΛΟΕΙΔΗ67004</t>
  </si>
  <si>
    <t>ΑΧΛΑΔΙΑ ΖΕΝΤΙΛΕ</t>
  </si>
  <si>
    <t>ΜΗΛΟΕΙΔΗ67005</t>
  </si>
  <si>
    <t>ΑΧΛΑΔΙΑ ΚΟΣΣΙΑ</t>
  </si>
  <si>
    <t>ΜΗΛΟΕΙΔΗ67006</t>
  </si>
  <si>
    <t>ΑΧΛΑΔΙΑ ΝΤ. ΓΚΙΓΙΟ</t>
  </si>
  <si>
    <t>ΜΗΛΟΕΙΔΗ67007</t>
  </si>
  <si>
    <t>ΑΧΛΑΔΙΑ ΚΟΝΤΟΥΛΕΣ</t>
  </si>
  <si>
    <t>ΜΗΛΟΕΙΔΗ67008</t>
  </si>
  <si>
    <t>ΑΧΛΑΔΙΑ ΜΟΡΕΤΤΙΝΙ</t>
  </si>
  <si>
    <t>ΜΗΛΟΕΙΔΗ67009</t>
  </si>
  <si>
    <t>ΑΧΛΑΔΙΑ ΔΟΥΚΕΣΣΑ</t>
  </si>
  <si>
    <t>ΜΗΛΟΕΙΔΗ67010</t>
  </si>
  <si>
    <t>ΑΧΛΑΔΙΑ ΣΑΝΤΑ ΜΑΡΙΑ</t>
  </si>
  <si>
    <t>ΜΗΛΟΕΙΔΗ67011</t>
  </si>
  <si>
    <t>ΑΧΛΑΔΙΑ ΟΥΪΛΛΙΑΜΣ</t>
  </si>
  <si>
    <t>ΜΗΛΟΕΙΔΗ67012</t>
  </si>
  <si>
    <t>ΑΧΛΑΔΙΑ ΚΟΚΚΙΝ. ΟΥΪΛΛΙΑΜΣ</t>
  </si>
  <si>
    <t>ΜΗΛΟΕΙΔΗ67013</t>
  </si>
  <si>
    <t>ΑΧΛΑΔΙΑ ΚΡΥΣΤΑΛΛΙ</t>
  </si>
  <si>
    <t>ΜΗΛΟΕΙΔΗ67014</t>
  </si>
  <si>
    <t>ΑΧΛΑΔΙΑ ΜΠΕΡ ΑΡΝΤΥ</t>
  </si>
  <si>
    <t>ΜΗΛΟΕΙΔΗ67015</t>
  </si>
  <si>
    <t>ΑΧΛΑΔΙΑ ΚΑΪΖΕΡ</t>
  </si>
  <si>
    <t>ΜΗΛΟΕΙΔΗ67016</t>
  </si>
  <si>
    <t>ΑΧΛΑΔΙΑ ΚΙΟΥΡΕ, ΚΑΜΠΑΝΕΣ</t>
  </si>
  <si>
    <t>ΜΗΛΟΕΙΔΗ67017</t>
  </si>
  <si>
    <t>ΑΧΛΑΔΙΑ ΑΜΠΑΤ ΦΕΤΕΛ</t>
  </si>
  <si>
    <t>ΜΗΛΟΕΙΔΗ67018</t>
  </si>
  <si>
    <t>ΑΧΛΑΔΙΑ ΝΤΕΚΑΝΑ ΝΤΕ ΚΟΜΙΣΙΟ</t>
  </si>
  <si>
    <t>ΜΗΛΟΕΙΔΗ67019</t>
  </si>
  <si>
    <t>ΑΧΛΑΔΙΑ ΠΑΣΣΑ ΚΡΑΣΣΑΝΑ</t>
  </si>
  <si>
    <t>ΜΗΛΟΕΙΔΗ67020</t>
  </si>
  <si>
    <t>ΑΧΛΑΔΙΑ ΓΚΡΑΝΤ ΤΣΑΜΠΙΟΝ</t>
  </si>
  <si>
    <t>ΜΗΛΟΕΙΔΗ67021</t>
  </si>
  <si>
    <t>ΑΧΛΑΔΙΑ ΚΟΝΦΕΡΕΝΣ</t>
  </si>
  <si>
    <t>ΜΗΛΟΕΙΔΗ67022</t>
  </si>
  <si>
    <t>ΑΧΛΑΔΙΑ ΧΑΪΛΑΝΤ</t>
  </si>
  <si>
    <t>ΜΗΛΟΕΙΔΗ67023</t>
  </si>
  <si>
    <t>ΑΧΛΑΔΙΑ ΤΖΕΝΕΡΑΛ ΛΕΚΛΕΡΚ</t>
  </si>
  <si>
    <t>ΜΗΛΟΕΙΔΗ67024</t>
  </si>
  <si>
    <t>ΑΧΛΑΔΙΑ ΣΕΡΠΟΥ</t>
  </si>
  <si>
    <t>ΜΗΛΟΕΙΔΗ67025</t>
  </si>
  <si>
    <t>ΑΧΛΑΔΙΑ ΔΙΑΦ. ΕΓΧΩΡ. ΛΟΙΠ. ΠΟΙΚΙΛ.</t>
  </si>
  <si>
    <t>ΜΗΛΟΕΙΔΗ67026</t>
  </si>
  <si>
    <t>ΑΧΛΑΔΙΑ ΔΙΑΣΤΑΥΡ. ΚΟΝΤΟΥΛΑΣ</t>
  </si>
  <si>
    <t>ΜΗΛΟΕΙΔΗ67027</t>
  </si>
  <si>
    <t>ΑΧΛΑΔΙΑ ΝΤΕΒΟΪ</t>
  </si>
  <si>
    <t>ΜΗΛΟΕΙΔΗ67028</t>
  </si>
  <si>
    <t>ΑΧΛΑΔΙΑ ΝΑΣΙ</t>
  </si>
  <si>
    <t>ΜΗΛΟΕΙΔΗ67029</t>
  </si>
  <si>
    <t>ΑΧΛΑΔΙΑ ΚΙΦΙΡ</t>
  </si>
  <si>
    <t>ΜΗΛΟΕΙΔΗ67030</t>
  </si>
  <si>
    <t>ΑΧΛΑΔΙΑ ΕΤΡΟΥΣΚΑ</t>
  </si>
  <si>
    <t>ΜΗΛΟΕΙΔΗ67031</t>
  </si>
  <si>
    <t>ΑΧΛΑΔ. ΧΑΡΟΛΝΤ ΣΟΥΪΦΤ</t>
  </si>
  <si>
    <t>ΜΗΛΟΕΙΔΗ67032</t>
  </si>
  <si>
    <t>ΑΧΛΑΔΙΑ ΤΟΣΚΑ</t>
  </si>
  <si>
    <t>ΜΗΛΟΕΙΔΗ67033</t>
  </si>
  <si>
    <t>ΑΧΛΑΔΙΑ ΠΑΚΑΜΣ</t>
  </si>
  <si>
    <t>ΜΗΛΟΕΙΔΗ67034</t>
  </si>
  <si>
    <t>ΑΧΛΑΔΙΑ ΝΤΕΒΕΣΙ (DEVECI)</t>
  </si>
  <si>
    <t>ΜΗΛΟΕΙΔΗ67035</t>
  </si>
  <si>
    <t>ΜΗΛΑ ΣΑΜΕΡ ΡΕΝΤ</t>
  </si>
  <si>
    <t>ΜΗΛΟΕΙΔΗ67036</t>
  </si>
  <si>
    <t>ΜΗΛΑ ΤΖΕΡΣΕΫ ΜΑΚ</t>
  </si>
  <si>
    <t>ΜΗΛΟΕΙΔΗ67037</t>
  </si>
  <si>
    <t>ΜΗΛΑ ΝΤΕΛΙΣΙΟΥΣ</t>
  </si>
  <si>
    <t>ΜΗΛΟΕΙΔΗ67038</t>
  </si>
  <si>
    <t>ΜΗΛΑ ΣΤΑΡΚΙΝΓΚ ΝΤΕΛΙΣΙΟΥΣ</t>
  </si>
  <si>
    <t>ΜΗΛΟΕΙΔΗ67039</t>
  </si>
  <si>
    <t>ΜΗΛΑ ΙΜΠΕΡΙΑΛ</t>
  </si>
  <si>
    <t>ΜΗΛΟΕΙΔΗ67040</t>
  </si>
  <si>
    <t>ΜΗΛΑ ΡΟΥΑΓΙΑΛ ΝΤΕΛΙΣΙΟΥΣ</t>
  </si>
  <si>
    <t>ΜΗΛΟΕΙΔΗ67041</t>
  </si>
  <si>
    <t>ΜΗΛΑ ΧΑΪ ΕΡΛΥ</t>
  </si>
  <si>
    <t>ΜΗΛΟΕΙΔΗ67042</t>
  </si>
  <si>
    <t>ΜΗΛΑ ΡΕΝΤ ΤΣΙΦ</t>
  </si>
  <si>
    <t>ΜΗΛΟΕΙΔΗ67043</t>
  </si>
  <si>
    <t>ΜΗΛΑ ΣΤΑΡΚΡΙΜΣΟΝ</t>
  </si>
  <si>
    <t>ΜΗΛΟΕΙΔΗ67044</t>
  </si>
  <si>
    <t>ΜΗΛΑ ΠΙΛΑΦΑ ΤΡΙΠΟΛΕΩΣ</t>
  </si>
  <si>
    <t>ΜΗΛΟΕΙΔΗ67045</t>
  </si>
  <si>
    <t>ΜΗΛΑ ΤΖΟΝΑΓΚΟΛΝΤ</t>
  </si>
  <si>
    <t>ΜΗΛΟΕΙΔΗ67046</t>
  </si>
  <si>
    <t>ΜΗΛΑ ΓΚΡΑΝΥ ΣΜΙΘ</t>
  </si>
  <si>
    <t>ΜΗΛΟΕΙΔΗ67047</t>
  </si>
  <si>
    <t>ΜΗΛΑ ΓΚΟΛΝΤΕΝ</t>
  </si>
  <si>
    <t>ΜΗΛΟΕΙΔΗ67048</t>
  </si>
  <si>
    <t>ΜΗΛΑ ΜΟΥΤΣΟΥ</t>
  </si>
  <si>
    <t>ΜΗΛΟΕΙΔΗ67049</t>
  </si>
  <si>
    <t>ΜΗΛΑ ΡΕΝΕΤΤΕΣ</t>
  </si>
  <si>
    <t>ΜΗΛΟΕΙΔΗ67050</t>
  </si>
  <si>
    <t>ΜΗΛΑ ΜΠΕΛΦΟΡ</t>
  </si>
  <si>
    <t>ΜΗΛΟΕΙΔΗ67051</t>
  </si>
  <si>
    <t>ΜΗΛΑ ΤΖΟΝΑΘΑΝ,  ΑΜΕΡΙΚ.</t>
  </si>
  <si>
    <t>ΜΗΛΟΕΙΔΗ67052</t>
  </si>
  <si>
    <t>ΜΗΛΑ ΚΑΡΛΑΤ</t>
  </si>
  <si>
    <t>ΜΗΛΟΕΙΔΗ67053</t>
  </si>
  <si>
    <t>ΜΗΛΑ ΜΕΓΑΣ ΑΛΕΞΑΝΔΡΟΣ</t>
  </si>
  <si>
    <t>ΜΗΛΟΕΙΔΗ67054</t>
  </si>
  <si>
    <t>ΜΗΛΑ ΜΠΛΑΚ ΜΠΕΝ ΝΤΕΪΒΙΣ</t>
  </si>
  <si>
    <t>ΜΗΛΟΕΙΔΗ67055</t>
  </si>
  <si>
    <t>ΜΗΛΑ ΚΙΝΓΚ ΝΤΕΪΒΙΝΤ</t>
  </si>
  <si>
    <t>ΜΗΛΟΕΙΔΗ67056</t>
  </si>
  <si>
    <t>ΜΗΛΑ ΠΡΩΙΜΟ ΦΙΡΙΚΙ</t>
  </si>
  <si>
    <t>ΜΗΛΟΕΙΔΗ67057</t>
  </si>
  <si>
    <t>ΜΗΛΑ ΟΨΙΜΟ ΦΙΡΙΚΙ</t>
  </si>
  <si>
    <t>ΜΗΛΟΕΙΔΗ67058</t>
  </si>
  <si>
    <t>ΜΗΛΑ ΚΥΔΩΝΟΜΗΛΑ</t>
  </si>
  <si>
    <t>ΜΗΛΟΕΙΔΗ67059</t>
  </si>
  <si>
    <t>ΜΗΛΑ ΝΤΙ ΚΟΜΕΡΣ</t>
  </si>
  <si>
    <t>ΜΗΛΟΕΙΔΗ67060</t>
  </si>
  <si>
    <t>ΜΗΛΑ ΣΚΙΟΥΠΙΑ</t>
  </si>
  <si>
    <t>ΜΗΛΟΕΙΔΗ67061</t>
  </si>
  <si>
    <t>ΜΗΛΑ ΛΟΙΠ. ΠΟΙΚΙΛΙΩΝ</t>
  </si>
  <si>
    <t>ΜΗΛΟΕΙΔΗ67062</t>
  </si>
  <si>
    <t>ΜΗΛΑ ΕΓΧΩΡ. ΔΙΑΦΟΡ. ΠΕΡΙΟΧ.</t>
  </si>
  <si>
    <t>ΜΗΛΟΕΙΔΗ67063</t>
  </si>
  <si>
    <t>ΜΗΛΑ ΑΚΑΝΕ</t>
  </si>
  <si>
    <t>ΜΗΛΟΕΙΔΗ67064</t>
  </si>
  <si>
    <t>ΜΗΛΑ ΝΤΑΜΠΛΡΕΝΤ</t>
  </si>
  <si>
    <t>ΜΗΛΟΕΙΔΗ67065</t>
  </si>
  <si>
    <t>ΜΗΛΑ ΤΟΠ ΡΕΝΤ</t>
  </si>
  <si>
    <t>ΜΗΛΟΕΙΔΗ67066</t>
  </si>
  <si>
    <t>ΜΗΛΑ ΜΕΛΡΟΟΥΖ</t>
  </si>
  <si>
    <t>ΜΗΛΟΕΙΔΗ67067</t>
  </si>
  <si>
    <t>ΜΗΛΑ ΚΟΥΠΕΡ</t>
  </si>
  <si>
    <t>ΜΗΛΟΕΙΔΗ67068</t>
  </si>
  <si>
    <t>ΜΗΛΑ ΟΖΑΡΚ ΓΚΟΛΝΤ</t>
  </si>
  <si>
    <t>ΜΗΛΟΕΙΔΗ67069</t>
  </si>
  <si>
    <t>ΜΗΛΑ ΝΕΡΟ ΡΕΝΤ ΡΟΟΥΜ</t>
  </si>
  <si>
    <t>ΜΗΛΟΕΙΔΗ67070</t>
  </si>
  <si>
    <t>ΜΗΛΑ ΟΡΕΓΚΟΝ</t>
  </si>
  <si>
    <t>ΜΗΛΟΕΙΔΗ67071</t>
  </si>
  <si>
    <t>ΜΗΛΑ ΧΑΪΕΝ</t>
  </si>
  <si>
    <t>ΜΗΛΟΕΙΔΗ67072</t>
  </si>
  <si>
    <t>ΜΗΛΑ ΓΚΟΛΝΤΕΝ Β</t>
  </si>
  <si>
    <t>ΜΗΛΟΕΙΔΗ67073</t>
  </si>
  <si>
    <t>ΜΗΛΑ ΤΖΟ ΚΑΡΕΝΤ</t>
  </si>
  <si>
    <t>ΜΗΛΟΕΙΔΗ67074</t>
  </si>
  <si>
    <t>ΜΗΛΑ ΜΟΝΤΙΑΛ ΓΚΑΛΑ</t>
  </si>
  <si>
    <t>ΜΗΛΟΕΙΔΗ67075</t>
  </si>
  <si>
    <t>ΜΗΛΑ ΓΟΥΕΛΣΠΟΥΡ</t>
  </si>
  <si>
    <t>ΜΗΛΟΕΙΔΗ67076</t>
  </si>
  <si>
    <t>ΜΗΛΑ ΦΟΥΤΖΙ</t>
  </si>
  <si>
    <t>ΜΗΛΟΕΙΔΗ67077</t>
  </si>
  <si>
    <t>ΜΗΛΑ ΜΟΛΙΟ ΝΤΕΛΙΣΙΟΥΣ</t>
  </si>
  <si>
    <t>ΜΗΛΟΕΙΔΗ67078</t>
  </si>
  <si>
    <t>ΜΗΛΑ ΡΟΥΑΓΙΑΛ ΓΚΑΛΑ</t>
  </si>
  <si>
    <t>ΜΗΛΟΕΙΔΗ67079</t>
  </si>
  <si>
    <t>ΜΗΛΑ ΡΟΥΑΓ.ΓΚΑΛΑ ΠΕΔ</t>
  </si>
  <si>
    <t>ΜΗΛΟΕΙΔΗ67080</t>
  </si>
  <si>
    <t>ΜΗΛΑ ΣΚΑΪ ΛΑΪΝ</t>
  </si>
  <si>
    <t>ΜΗΛΟΕΙΔΗ67081</t>
  </si>
  <si>
    <t>ΜΗΛΑ ΠΡΙΜΑ</t>
  </si>
  <si>
    <t>ΜΗΛΟΕΙΔΗ67082</t>
  </si>
  <si>
    <t>ΜΗΛΑ ΣΜΟΥΘΙ ΓΚΟΛΝΤΕΝ</t>
  </si>
  <si>
    <t>ΜΗΛΟΕΙΔΗ67083</t>
  </si>
  <si>
    <t>ΜΗΛΑ ΝΤΕ ΡΟΜΑ</t>
  </si>
  <si>
    <t>ΜΗΛΟΕΙΔΗ67084</t>
  </si>
  <si>
    <t>ΜΗΛΑ ΣΚΑΡΛΕΤ</t>
  </si>
  <si>
    <t>ΜΗΛΟΕΙΔΗ67085</t>
  </si>
  <si>
    <t>ΜΗΛΑ ΓΚΑΛΑ</t>
  </si>
  <si>
    <t>ΜΗΛΟΕΙΔΗ67086</t>
  </si>
  <si>
    <t>ΜΗΛΑ PINK LADY</t>
  </si>
  <si>
    <t>ΜΗΛΟΕΙΔΗ67087</t>
  </si>
  <si>
    <t>ΜΗΛΑ GALAXY</t>
  </si>
  <si>
    <t>ΜΗΛΟΕΙΔΗ67088</t>
  </si>
  <si>
    <t>ΜΗΛΑ ΦΛΩΡΙΝΑ</t>
  </si>
  <si>
    <t>ΜΗΛΟΕΙΔΗ67089</t>
  </si>
  <si>
    <t>ΜΗΛΑ ΡΕΝΤ ΓΚΑΛΑ</t>
  </si>
  <si>
    <t>ΜΗΛΟΕΙΔΗ67090</t>
  </si>
  <si>
    <t>ΜΗΛΑ ΣΝΙΓΚΑ ΓΚΑΛΑ</t>
  </si>
  <si>
    <t>ΜΗΛΟΕΙΔΗ67091</t>
  </si>
  <si>
    <t>ΜΗΛΑ JEROMINE</t>
  </si>
  <si>
    <t>ΜΗΛΟΕΙΔΗ67092</t>
  </si>
  <si>
    <t>ΜΗΛΑ DOUBLE RED ROME BEAUTY</t>
  </si>
  <si>
    <t>ΜΗΛΟΕΙΔΗ67093</t>
  </si>
  <si>
    <t>ΜΗΛΑ ELSTAR</t>
  </si>
  <si>
    <t>ΜΗΛΟΕΙΔΗ67094</t>
  </si>
  <si>
    <t>ΜΗΛΑ FYRIKI</t>
  </si>
  <si>
    <t>ΜΗΛΟΕΙΔΗ67095</t>
  </si>
  <si>
    <t>ΜΗΛΑ FYRIKI ASPERMO</t>
  </si>
  <si>
    <t>ΜΗΛΟΕΙΔΗ67096</t>
  </si>
  <si>
    <t>ΜΗΛΑ FYRIKI TZOUMAGKA</t>
  </si>
  <si>
    <t>ΜΗΛΟΕΙΔΗ67097</t>
  </si>
  <si>
    <t>ΜΗΛΑ GIOURA SPUR</t>
  </si>
  <si>
    <t>ΜΗΛΟΕΙΔΗ67098</t>
  </si>
  <si>
    <t>ΜΗΛΑ GOLDEN DELICIOUS</t>
  </si>
  <si>
    <t>ΜΗΛΟΕΙΔΗ67099</t>
  </si>
  <si>
    <t>ΜΗΛΑ GRANNY SMITH SPUR</t>
  </si>
  <si>
    <t>ΜΗΛΟΕΙΔΗ67100</t>
  </si>
  <si>
    <t>ΜΗΛΑ IDARED</t>
  </si>
  <si>
    <t>ΜΗΛΟΕΙΔΗ67101</t>
  </si>
  <si>
    <t>ΜΗΛΑ IMPERIAL DOUBLE RED DELICIOUS</t>
  </si>
  <si>
    <t>ΜΗΛΟΕΙΔΗ67102</t>
  </si>
  <si>
    <t>ΜΗΛΑ KALLIGA</t>
  </si>
  <si>
    <t>ΜΗΛΟΕΙΔΗ67103</t>
  </si>
  <si>
    <t>ΜΗΛΑ LUSGOLDEN</t>
  </si>
  <si>
    <t>ΜΗΛΟΕΙΔΗ67104</t>
  </si>
  <si>
    <t>ΜΗΛΑ RED DELICIOUS</t>
  </si>
  <si>
    <t>ΜΗΛΟΕΙΔΗ67105</t>
  </si>
  <si>
    <t>ΜΗΛΑ PILAFA (NTELITSIOUS PILAFA)</t>
  </si>
  <si>
    <t>ΜΗΛΟΕΙΔΗ67106</t>
  </si>
  <si>
    <t>ΜΗΛΑ PRIAM</t>
  </si>
  <si>
    <t>ΜΗΛΟΕΙΔΗ67107</t>
  </si>
  <si>
    <t>ΜΗΛΑ REINES DE REINETTES</t>
  </si>
  <si>
    <t>ΜΗΛΟΕΙΔΗ67108</t>
  </si>
  <si>
    <t>ΜΗΛΑ SMOOTHEE</t>
  </si>
  <si>
    <t>ΜΗΛΟΕΙΔΗ67109</t>
  </si>
  <si>
    <t>ΜΗΛΑ YELLOW SPUR</t>
  </si>
  <si>
    <t>ΜΗΛΟΕΙΔΗ67110</t>
  </si>
  <si>
    <t>ΜΗΛΑ SUPER CHIEF</t>
  </si>
  <si>
    <t>ΜΗΛΟΕΙΔΗ67111</t>
  </si>
  <si>
    <t>ΜΗΛΑ STARK GUGGER (RED VELOX)</t>
  </si>
  <si>
    <t>ΜΗΛΟΕΙΔΗ67112</t>
  </si>
  <si>
    <t>ΜΗΛΑ FORLADY</t>
  </si>
  <si>
    <t>ΜΗΛΟΕΙΔΗ67113</t>
  </si>
  <si>
    <t>ΜΗΛΑ CRIPPS PINK (PINK LADY)</t>
  </si>
  <si>
    <t>ΜΗΛΟΕΙΔΗ67114</t>
  </si>
  <si>
    <t>ΜΗΛΑ SUMMER RICH</t>
  </si>
  <si>
    <t>ΜΗΛΟΕΙΔΗ67115</t>
  </si>
  <si>
    <t>ΜΗΛΑ ROAT (KING ROAT)</t>
  </si>
  <si>
    <t>ΜΗΛΟΕΙΔΗ67116</t>
  </si>
  <si>
    <t>ΜΗΛΑ FUJIVW (KING FUJI)</t>
  </si>
  <si>
    <t>ΜΗΛΟΕΙΔΗ67117</t>
  </si>
  <si>
    <t>ΜΗΛΑ GALA 2013 (DARK BARON)</t>
  </si>
  <si>
    <t>ΜΗΛΟΕΙΔΗ67118</t>
  </si>
  <si>
    <t>ΜΗΛΑ GALA SCHNICO RED</t>
  </si>
  <si>
    <t>ΜΗΛΟΕΙΔΗ67119</t>
  </si>
  <si>
    <t>ΜΗΛΑ BLACK BEN (BLACK BEN DAVIS)</t>
  </si>
  <si>
    <t>ΜΗΛΟΕΙΔΗ67120</t>
  </si>
  <si>
    <t>ΜΗΛΑ RED BARON</t>
  </si>
  <si>
    <t>ΜΗΛΟΕΙΔΗ67121</t>
  </si>
  <si>
    <t>ΜΗΛΑ DEVIL GALA</t>
  </si>
  <si>
    <t>ΜΗΛΟΕΙΔΗ67122</t>
  </si>
  <si>
    <t>ΜΗΛΑ ATZEK</t>
  </si>
  <si>
    <t>ΜΗΛΟΕΙΔΗ67123</t>
  </si>
  <si>
    <t>ΜΗΛΑ COOP 39 (CRIMSON CRISP)</t>
  </si>
  <si>
    <t>ΜΗΛΟΕΙΔΗ67124</t>
  </si>
  <si>
    <t>ΜΗΛΑ GOLDEN REINDERS</t>
  </si>
  <si>
    <t>ΜΗΛΟΕΙΔΗ67125</t>
  </si>
  <si>
    <t>ΜΗΛΑ KF 576 (GALA DARK ANN)</t>
  </si>
  <si>
    <t>ΜΗΛΟΕΙΔΗ67126</t>
  </si>
  <si>
    <t>ΜΗΛΑ GALA PERATHONER (GALA RED LUM)</t>
  </si>
  <si>
    <t>ΜΗΛΟΕΙΔΗ67127</t>
  </si>
  <si>
    <t>ΑΜΥΓΔΑΛΑ BURALMONDTWO (SHASTA)</t>
  </si>
  <si>
    <t>ΜΗΛΟΕΙΔΗ67128</t>
  </si>
  <si>
    <t>ΑΜΎΓΔΑΛΑ ALM 21</t>
  </si>
  <si>
    <t>ΜΗΛΟΕΙΔΗ67129</t>
  </si>
  <si>
    <t>ΜΉΛΑ DEVIL GALA</t>
  </si>
  <si>
    <t>ΜΗΛΟΕΙΔΗ67130</t>
  </si>
  <si>
    <t>ΜΉΛΑ FENZEM1</t>
  </si>
  <si>
    <t>ΜΗΛΟΕΙΔΗ67131</t>
  </si>
  <si>
    <t>ΜΉΛΑ FENPLUS</t>
  </si>
  <si>
    <t>ΜΗΛΟΕΙΔΗ67132</t>
  </si>
  <si>
    <t>ΜΉΛΑ SIMMONS</t>
  </si>
  <si>
    <t>ΜΗΛΟΕΙΔΗ67133</t>
  </si>
  <si>
    <t>ΜΉΛΑ JEROMINE</t>
  </si>
  <si>
    <t>ΜΗΛΟΕΙΔΗ67134</t>
  </si>
  <si>
    <t>ΜΉΛΑ AZTEC</t>
  </si>
  <si>
    <t>ΜΗΛΟΕΙΔΗ67135</t>
  </si>
  <si>
    <t>ΜΉΛΑ APISTAR</t>
  </si>
  <si>
    <t>ΜΗΛΟΕΙΔΗ67136</t>
  </si>
  <si>
    <t>ΜΉΛΑ KARNEVAL</t>
  </si>
  <si>
    <t>ΜΗΛΟΕΙΔΗ67137</t>
  </si>
  <si>
    <t>ΜΉΛΑ MARS (UEB 2602)</t>
  </si>
  <si>
    <t>ΜΗΛΟΕΙΔΗ67138</t>
  </si>
  <si>
    <t>ΑΧΛΑΔΙΕΣ Β</t>
  </si>
  <si>
    <t>ΜΗΛΟΕΙΔΗ8131</t>
  </si>
  <si>
    <t>ΜΗΛΙΕΣ Β</t>
  </si>
  <si>
    <t>ΜΗΛΟΕΙΔΗ8132</t>
  </si>
  <si>
    <t>ΚΥΔΩΝΙΕΣ</t>
  </si>
  <si>
    <t>ΜΗΛΟΕΙΔΗ8606</t>
  </si>
  <si>
    <t>ΑΧΛΑΔΙΑ - ΑΧΤΣΕΔΕΣ ΛΕΣΒΟΥ</t>
  </si>
  <si>
    <t>ΜΗΛΟΕΙΔΗ8757</t>
  </si>
  <si>
    <t>ΑΧΛΑΔΙΑ - ΜΠΟΥΣΔΟΥΒΑΝΤΙΚΟ</t>
  </si>
  <si>
    <t>ΜΗΛΟΕΙΔΗ8758</t>
  </si>
  <si>
    <t>ΑΧΛΑΔΙΑ - ΑΥΓΟΥΣΤΙΑΤΙΚΟ</t>
  </si>
  <si>
    <t>ΜΗΛΟΕΙΔΗ8759</t>
  </si>
  <si>
    <t>ΜΗΛΑ - ΞΥΝΟΜΗΛΑ ΑΓΙΑΣΟΥ</t>
  </si>
  <si>
    <t>ΜΗΛΟΕΙΔΗ8768</t>
  </si>
  <si>
    <t>ΜΗΛΑ - ΚΥΔΩΝΟΜΗΛΟ ΝΑΟΥΣΑΣ</t>
  </si>
  <si>
    <t>ΜΗΛΟΕΙΔΗ8769</t>
  </si>
  <si>
    <t>ΜΗΛΑ - ΚΑΛΛΙΓΑ ΑΙΓΙΝΙΟΥ</t>
  </si>
  <si>
    <t>ΜΗΛΟΕΙΔΗ8771</t>
  </si>
  <si>
    <t>ΜΗΛΑ - ΝΤΟΠΙΟ ΚΑΡΠΑΘΙ</t>
  </si>
  <si>
    <t>ΜΗΛΟΕΙΔΗ8772</t>
  </si>
  <si>
    <t>ΜΗΛΑ - ΡΕΝΕΤΕΣ ΑΓΙΑΣΟΥ</t>
  </si>
  <si>
    <t>ΜΗΛΟΕΙΔΗ8773</t>
  </si>
  <si>
    <t>ΜΠΑΝΑΝΕΣ</t>
  </si>
  <si>
    <t>ΜΠΑΝΑΝΕΣ8602</t>
  </si>
  <si>
    <t>ΜΠΑΝΑΝΕΣ ΥΠΟ ΚΑΛΥΨΗ</t>
  </si>
  <si>
    <t>ΜΠΑΝΑΝΕΣ9107013</t>
  </si>
  <si>
    <t>ΟΡΝΙΘΟΕΙΔΗ</t>
  </si>
  <si>
    <t>ΟΡΝΙΘΕΣ ΚΡΕΟΠΑΡΑΓΩΓΗΣ</t>
  </si>
  <si>
    <t>ΟΡΝΙΘΟΕΙΔΗ610020</t>
  </si>
  <si>
    <t>ΟΡΝΙΘΕΣ ΑΝΑΠΑΡΑΓΩΓΗΣ</t>
  </si>
  <si>
    <t>ΟΡΝΙΘΟΕΙΔΗ610040</t>
  </si>
  <si>
    <t>ΟΡΝΙΘΕΣ ΩΟΠΑΡΑΓΩΓΗΣ</t>
  </si>
  <si>
    <t>ΟΡΝΙΘΟΕΙΔΗ610050</t>
  </si>
  <si>
    <t>ΧΗΝΕΣ ΚΡΕΟΠΑΡΑΓΩΓΗΣ</t>
  </si>
  <si>
    <t>ΟΡΝΙΘΟΕΙΔΗ620020</t>
  </si>
  <si>
    <t>ΧΗΝΕΣ ΑΝΑΠΑΡΑΓΩΓΗΣ</t>
  </si>
  <si>
    <t>ΟΡΝΙΘΟΕΙΔΗ620040</t>
  </si>
  <si>
    <t>ΠΑΠΙΕΣ ΚΡΕΟΠΑΡΑΓΩΓΗΣ</t>
  </si>
  <si>
    <t>ΟΡΝΙΘΟΕΙΔΗ630020</t>
  </si>
  <si>
    <t>ΠΑΠΙΕΣ ΑΝΑΠΑΡΑΓΩΓΗΣ</t>
  </si>
  <si>
    <t>ΟΡΝΙΘΟΕΙΔΗ630040</t>
  </si>
  <si>
    <t>ΓΑΛΟΠΟΥΛΕΣ ΚΡΕΟΠΑΡΑΓΩΓΗΣ</t>
  </si>
  <si>
    <t>ΟΡΝΙΘΟΕΙΔΗ640020</t>
  </si>
  <si>
    <t>ΓΑΛΟΠΟΥΛΕΣ ΑΝΑΠΑΡΑΓΩΓΗΣ</t>
  </si>
  <si>
    <t>ΟΡΝΙΘΟΕΙΔΗ640040</t>
  </si>
  <si>
    <t>ΣΤΡΟΥΘΟΚΑΜΗΛΟΙ ΚΡΕΟΠΑΡΑΓΩΓΗΣ</t>
  </si>
  <si>
    <t>ΟΡΝΙΘΟΕΙΔΗ650020</t>
  </si>
  <si>
    <t>ΣΤΡΟΥΘΟΚΑΜΗΛΟΙ ΑΝΑΠΑΡΑΓΩΓΗΣ</t>
  </si>
  <si>
    <t>ΟΡΝΙΘΟΕΙΔΗ650040</t>
  </si>
  <si>
    <t>ΟΣΠΡΙΑ ΒΡΩΣΙΜΑ</t>
  </si>
  <si>
    <t>ΦΑΣΟΛΙΑ ΠΛΑΚΕ - ΓΙΓΑΝΤΕΣ</t>
  </si>
  <si>
    <t>ΟΣΠΡΙΑ ΒΡΩΣΙΜΑ1043</t>
  </si>
  <si>
    <t>ΚΟΥΚΙ ΒΡΩΣΙΜΟ</t>
  </si>
  <si>
    <t>ΟΣΠΡΙΑ ΒΡΩΣΙΜΑ1044</t>
  </si>
  <si>
    <t>ΦΑΣΟΛΙΑ ΜΙΚΡΟΣΠΕΡΜΑ</t>
  </si>
  <si>
    <t>ΟΣΠΡΙΑ ΒΡΩΣΙΜΑ1045</t>
  </si>
  <si>
    <t>ΦΑΣΟΛΙΑ ΜΕΣΟΣΠΕΡΜΑ</t>
  </si>
  <si>
    <t>ΟΣΠΡΙΑ ΒΡΩΣΙΜΑ1046</t>
  </si>
  <si>
    <t>ΦΑΣΟΛΙΑ ΞΕΡΑ ΔΙΑΦΟΡΑ</t>
  </si>
  <si>
    <t>ΟΣΠΡΙΑ ΒΡΩΣΙΜΑ10601</t>
  </si>
  <si>
    <t>ΟΣΠΡΙΑ ΒΡΩΣΙΜΑ10902</t>
  </si>
  <si>
    <t>ΛΑΘΟΥΡΙ ΒΡΩΣΙΜΟ / ΦΑΒΑ ΣΑΝΤΟΡΙΝΗΣ</t>
  </si>
  <si>
    <t>ΟΣΠΡΙΑ ΒΡΩΣΙΜΑ10903</t>
  </si>
  <si>
    <t>ΛΑΘΟΥΡΙ ΑΦΚΟΣ</t>
  </si>
  <si>
    <t>ΟΣΠΡΙΑ ΒΡΩΣΙΜΑ11087</t>
  </si>
  <si>
    <t>ΛΑΘΟΥΡΙ ΚΛΥΜΕΝΟ</t>
  </si>
  <si>
    <t>ΟΣΠΡΙΑ ΒΡΩΣΙΜΑ11088</t>
  </si>
  <si>
    <t>ΡΕΒΥΘΙΑ AMORGOS</t>
  </si>
  <si>
    <t>ΟΣΠΡΙΑ ΒΡΩΣΙΜΑ11089</t>
  </si>
  <si>
    <t>ΡΕΒΥΘΙΑ ANDROS</t>
  </si>
  <si>
    <t>ΟΣΠΡΙΑ ΒΡΩΣΙΜΑ11090</t>
  </si>
  <si>
    <t>ΡΕΒΥΘΙΑ GAVDOS</t>
  </si>
  <si>
    <t>ΟΣΠΡΙΑ ΒΡΩΣΙΜΑ11091</t>
  </si>
  <si>
    <t>ΡΕΒΥΘΙΑ KERYNEIA</t>
  </si>
  <si>
    <t>ΟΣΠΡΙΑ ΒΡΩΣΙΜΑ11092</t>
  </si>
  <si>
    <t>ΡΕΒΥΘΙΑ SERIFOS</t>
  </si>
  <si>
    <t>ΟΣΠΡΙΑ ΒΡΩΣΙΜΑ11093</t>
  </si>
  <si>
    <t>ΡΕΒΥΘΙΑ YARDEN</t>
  </si>
  <si>
    <t>ΟΣΠΡΙΑ ΒΡΩΣΙΜΑ11094</t>
  </si>
  <si>
    <t>ΦΑΚΕΣ ATHINA</t>
  </si>
  <si>
    <t>ΟΣΠΡΙΑ ΒΡΩΣΙΜΑ11095</t>
  </si>
  <si>
    <t>ΦΑΚΕΣ ELPIDA</t>
  </si>
  <si>
    <t>ΟΣΠΡΙΑ ΒΡΩΣΙΜΑ11097</t>
  </si>
  <si>
    <t>ΦΑΚΕΣ IKARIA</t>
  </si>
  <si>
    <t>ΟΣΠΡΙΑ ΒΡΩΣΙΜΑ11098</t>
  </si>
  <si>
    <t>ΦΑΣΟΛΙΑ ARIDEA</t>
  </si>
  <si>
    <t>ΟΣΠΡΙΑ ΒΡΩΣΙΜΑ11099</t>
  </si>
  <si>
    <t>ΦΑΣΟΛΙΑ IRO</t>
  </si>
  <si>
    <t>ΟΣΠΡΙΑ ΒΡΩΣΙΜΑ11100</t>
  </si>
  <si>
    <t>ΦΑΣΟΛΙΑ LIDA</t>
  </si>
  <si>
    <t>ΟΣΠΡΙΑ ΒΡΩΣΙΜΑ11101</t>
  </si>
  <si>
    <t>ΦΑΣΟΛΙΑ MIRSINI</t>
  </si>
  <si>
    <t>ΟΣΠΡΙΑ ΒΡΩΣΙΜΑ11102</t>
  </si>
  <si>
    <t>ΦΑΣΟΛΙΑ PIRGETOS</t>
  </si>
  <si>
    <t>ΟΣΠΡΙΑ ΒΡΩΣΙΜΑ11103</t>
  </si>
  <si>
    <t>ΦΑΣΟΛΙΑ RAPSANI</t>
  </si>
  <si>
    <t>ΟΣΠΡΙΑ ΒΡΩΣΙΜΑ11104</t>
  </si>
  <si>
    <t>ΦΑΣΟΛΙΑ SEMELI</t>
  </si>
  <si>
    <t>ΟΣΠΡΙΑ ΒΡΩΣΙΜΑ11105</t>
  </si>
  <si>
    <t>ΦΑΣΟΛΙΑ AISES</t>
  </si>
  <si>
    <t>ΟΣΠΡΙΑ ΒΡΩΣΙΜΑ11106</t>
  </si>
  <si>
    <t>ΦΑΣΟΛΙΑ MIRTO</t>
  </si>
  <si>
    <t>ΟΣΠΡΙΑ ΒΡΩΣΙΜΑ11107</t>
  </si>
  <si>
    <t>ΦΑΣΟΛΙΑ STARAZAGROSKI "E"</t>
  </si>
  <si>
    <t>ΟΣΠΡΙΑ ΒΡΩΣΙΜΑ11108</t>
  </si>
  <si>
    <t>ΦΑΣΟΛΙΑ ZARGANA KAVALAS</t>
  </si>
  <si>
    <t>ΟΣΠΡΙΑ ΒΡΩΣΙΜΑ11109</t>
  </si>
  <si>
    <t>ΦΑΣΟΛΙΑ ALEXANDROS</t>
  </si>
  <si>
    <t>ΟΣΠΡΙΑ ΒΡΩΣΙΜΑ11110</t>
  </si>
  <si>
    <t>ΦΑΣΟΛΙΑ BARBOUNI ANARICHOMENO</t>
  </si>
  <si>
    <t>ΟΣΠΡΙΑ ΒΡΩΣΙΜΑ11111</t>
  </si>
  <si>
    <t>ΦΑΣΟΛΙΑ BARBOUNI PLATI</t>
  </si>
  <si>
    <t>ΟΣΠΡΙΑ ΒΡΩΣΙΜΑ11112</t>
  </si>
  <si>
    <t>ΦΑΣΟΛΙΑ DANAI</t>
  </si>
  <si>
    <t>ΟΣΠΡΙΑ ΒΡΩΣΙΜΑ11113</t>
  </si>
  <si>
    <t>ΦΑΣΟΛΙΑ HANDRELIA</t>
  </si>
  <si>
    <t>ΟΣΠΡΙΑ ΒΡΩΣΙΜΑ11114</t>
  </si>
  <si>
    <t>ΦΑΣΟΛΙΑ HANDRES</t>
  </si>
  <si>
    <t>ΟΣΠΡΙΑ ΒΡΩΣΙΜΑ11115</t>
  </si>
  <si>
    <t>ΦΑΣΟΛΙΑ JUSTY</t>
  </si>
  <si>
    <t>ΟΣΠΡΙΑ ΒΡΩΣΙΜΑ11116</t>
  </si>
  <si>
    <t>ΦΑΣΟΛΙΑ KANARINIA</t>
  </si>
  <si>
    <t>ΟΣΠΡΙΑ ΒΡΩΣΙΜΑ11117</t>
  </si>
  <si>
    <t>ΦΑΣΟΛΙΑ KRINI</t>
  </si>
  <si>
    <t>ΟΣΠΡΙΑ ΒΡΩΣΙΜΑ11118</t>
  </si>
  <si>
    <t>ΦΑΣΟΛΙΑ LASITHIOU</t>
  </si>
  <si>
    <t>ΟΣΠΡΙΑ ΒΡΩΣΙΜΑ11119</t>
  </si>
  <si>
    <t>ΦΑΣΟΛΙΑ LYDIA</t>
  </si>
  <si>
    <t>ΟΣΠΡΙΑ ΒΡΩΣΙΜΑ11120</t>
  </si>
  <si>
    <t>ΦΑΣΟΛΙΑ PRESPA</t>
  </si>
  <si>
    <t>ΟΣΠΡΙΑ ΒΡΩΣΙΜΑ11121</t>
  </si>
  <si>
    <t>ΦΑΣΟΛΙΑ THELMA</t>
  </si>
  <si>
    <t>ΟΣΠΡΙΑ ΒΡΩΣΙΜΑ11122</t>
  </si>
  <si>
    <t>ΦΑΣΟΛΙΑ TSAOULIA</t>
  </si>
  <si>
    <t>ΟΣΠΡΙΑ ΒΡΩΣΙΜΑ11123</t>
  </si>
  <si>
    <t>ΦΑΣΟΛΙΑ VITSI</t>
  </si>
  <si>
    <t>ΟΣΠΡΙΑ ΒΡΩΣΙΜΑ11124</t>
  </si>
  <si>
    <t>ΦΑΣΟΛΙΑ ZARGANA CHRISOUPOLIS</t>
  </si>
  <si>
    <t>ΟΣΠΡΙΑ ΒΡΩΣΙΜΑ11125</t>
  </si>
  <si>
    <t>ΦΑΚΕΣ LITO</t>
  </si>
  <si>
    <t>ΟΣΠΡΙΑ ΒΡΩΣΙΜΑ11126</t>
  </si>
  <si>
    <t>ΦΑΣΟΛΙΑ KARMEN</t>
  </si>
  <si>
    <t>ΟΣΠΡΙΑ ΒΡΩΣΙΜΑ11127</t>
  </si>
  <si>
    <t>ΦΑΚΕΣ DEMOCRITOS</t>
  </si>
  <si>
    <t>ΟΣΠΡΙΑ ΒΡΩΣΙΜΑ11128</t>
  </si>
  <si>
    <t>ΦΑΣΟΛΙΑ LINGOT</t>
  </si>
  <si>
    <t>ΟΣΠΡΙΑ ΒΡΩΣΙΜΑ11129</t>
  </si>
  <si>
    <t>ΦΑΣΟΛΙΑ MAGIRUS</t>
  </si>
  <si>
    <t>ΟΣΠΡΙΑ ΒΡΩΣΙΜΑ11130</t>
  </si>
  <si>
    <t>ΦΑΣΟΛΙΑ CANNELLINO</t>
  </si>
  <si>
    <t>ΟΣΠΡΙΑ ΒΡΩΣΙΜΑ11131</t>
  </si>
  <si>
    <t>ΛΑΘΟΥΡΙ ΒΡΩΣΙΜΟ MALEME 107</t>
  </si>
  <si>
    <t>ΟΣΠΡΙΑ ΒΡΩΣΙΜΑ11132</t>
  </si>
  <si>
    <t>ΛΑΘΟΥΡΙ ΒΡΩΣΙΜΟ PERLA</t>
  </si>
  <si>
    <t>ΟΣΠΡΙΑ ΒΡΩΣΙΜΑ11133</t>
  </si>
  <si>
    <t>ΦΑΚΕΣ CHARA</t>
  </si>
  <si>
    <t>ΟΣΠΡΙΑ ΒΡΩΣΙΜΑ11134</t>
  </si>
  <si>
    <t>ΦΑΣΟΛΙΑ LUMINOSA</t>
  </si>
  <si>
    <t>ΟΣΠΡΙΑ ΒΡΩΣΙΜΑ11135</t>
  </si>
  <si>
    <t>ΦΑΣΟΛΙ ΑΣΠΡΟΜΥΤΙΚΟ ΑΤΣΙΚΗΣ ΛΗΜΝΟΥ</t>
  </si>
  <si>
    <t>ΟΣΠΡΙΑ ΒΡΩΣΙΜΑ11136</t>
  </si>
  <si>
    <t>ΛΑΘΟΥΡΙ ΒΡΩΣΙΜΟ</t>
  </si>
  <si>
    <t>ΟΣΠΡΙΑ ΒΡΩΣΙΜΑ11137</t>
  </si>
  <si>
    <t>ΡΕΒΥΘΙΑ ΜΕΓΑΛΟΣΠΕΡΜΑ ΘΗΒΑΣ Τ. ΜΑΡΟΚΟΥ</t>
  </si>
  <si>
    <t>ΟΣΠΡΙΑ ΒΡΩΣΙΜΑ1114</t>
  </si>
  <si>
    <t>ΡΕΒΥΘΙΑ THIVA</t>
  </si>
  <si>
    <t>ΟΣΠΡΙΑ ΒΡΩΣΙΜΑ1115</t>
  </si>
  <si>
    <t>ΡΕΒΥΘΙΑ ΜΕΓΑΛΟΣΠΕΡΜΑ ΛΟΙΠΕΣ ΠΟΙΚΙΛΙΕΣ</t>
  </si>
  <si>
    <t>ΟΣΠΡΙΑ ΒΡΩΣΙΜΑ1116</t>
  </si>
  <si>
    <t>ΡΕΒΥΘΙΑ ΜΙΚΡΟΣΠΕΡΜΑ ΛΟΙΠΕΣ ΠΟΙΚΙΛΙΕΣ</t>
  </si>
  <si>
    <t>ΟΣΠΡΙΑ ΒΡΩΣΙΜΑ1117</t>
  </si>
  <si>
    <t>ΡΕΒΥΘΙΑ ΜΕΣΟΣΠΕΡΜΑ ΛΟΙΠΕΣ ΠΟΙΚΙΛΙΕΣ</t>
  </si>
  <si>
    <t>ΟΣΠΡΙΑ ΒΡΩΣΙΜΑ1118</t>
  </si>
  <si>
    <t>ΦΑΚΕΣ ΛΕΠΤΟΣΠΕΡΜΕΣ ΠΕΛΑΣΓΙΑ (Φ-1)</t>
  </si>
  <si>
    <t>ΟΣΠΡΙΑ ΒΡΩΣΙΜΑ1121</t>
  </si>
  <si>
    <t>ΦΑΚΕΣ ΛΕΠΤΟΣΠΕΡΜΕΣ ΑΡΑΧΩΒΑΣ (Φ-30)</t>
  </si>
  <si>
    <t>ΟΣΠΡΙΑ ΒΡΩΣΙΜΑ1122</t>
  </si>
  <si>
    <t>ΦΑΚΕΣ ΛΕΠΤΟΣΠΕΡΜΕΣ ΑΡΚΑΔΙΑΣ (Μ-12463)</t>
  </si>
  <si>
    <t>ΟΣΠΡΙΑ ΒΡΩΣΙΜΑ1123</t>
  </si>
  <si>
    <t>ΦΑΚΕΣ DIMITRA</t>
  </si>
  <si>
    <t>ΟΣΠΡΙΑ ΒΡΩΣΙΜΑ1124</t>
  </si>
  <si>
    <t>ΦΑΚΕΣ ΠΛΑΤΥΣΠΕΡΜΕΣ ΘΕΣΣΑΛΙΑΣ (Μ-1956)</t>
  </si>
  <si>
    <t>ΟΣΠΡΙΑ ΒΡΩΣΙΜΑ1125</t>
  </si>
  <si>
    <t>ΦΑΚΕΣ ΠΛΑΤΥΣΠΕΡΜΕΣ ΛΟΙΠΕΣ ΠΟΙΚΙΛΙΕΣ</t>
  </si>
  <si>
    <t>ΟΣΠΡΙΑ ΒΡΩΣΙΜΑ1126</t>
  </si>
  <si>
    <t>ΦΑΚΕΣ ΜΕΣΟΣΠΕΡΜΕΣ ΛΟΙΠΕΣ ΠΟΙΚΙΛΙΕΣ</t>
  </si>
  <si>
    <t>ΟΣΠΡΙΑ ΒΡΩΣΙΜΑ1127</t>
  </si>
  <si>
    <t>ΦΑΚΕΣ ΛΕΠΤΟΣΠΕΡΜΕΣ ΛΟΙΠΕΣ ΠΟΙΚΙΛΙΕΣ</t>
  </si>
  <si>
    <t>ΟΣΠΡΙΑ ΒΡΩΣΙΜΑ1128</t>
  </si>
  <si>
    <t>ΦΑΚΕΣ ΜΕΣΟΣΠΕΡΜΕΣ ΕΓΧΩΡΙΕΣ ΠΟΙΚΙΛΙΕΣ</t>
  </si>
  <si>
    <t>ΟΣΠΡΙΑ ΒΡΩΣΙΜΑ1129</t>
  </si>
  <si>
    <t>ΦΑΣΟΛΙΑ - ΓΙΓΑΝΤΕΣ ΕΛΕΦΑΝΤΕΣ</t>
  </si>
  <si>
    <t>ΟΣΠΡΙΑ ΒΡΩΣΙΜΑ1144</t>
  </si>
  <si>
    <t>ΦΑΚΕΣ ΜΟΛΟΥ</t>
  </si>
  <si>
    <t>ΟΣΠΡΙΑ ΒΡΩΣΙΜΑ1145</t>
  </si>
  <si>
    <t>ΦΑΚΕΣ ΕΓΚΛΟΥΒΗΣ</t>
  </si>
  <si>
    <t>ΟΣΠΡΙΑ ΒΡΩΣΙΜΑ1146</t>
  </si>
  <si>
    <t>ΦΑΚΕΣ THESSALIA</t>
  </si>
  <si>
    <t>ΟΣΠΡΙΑ ΒΡΩΣΙΜΑ1147</t>
  </si>
  <si>
    <t>ΦΑΚΕΣ  SAMOS</t>
  </si>
  <si>
    <t>ΟΣΠΡΙΑ ΒΡΩΣΙΜΑ1148</t>
  </si>
  <si>
    <t>ΛΑΘΟΥΡΙ ΒΡΩΣΙΜΟ / ΦΑΒΑ ΠΑΡΟΥ</t>
  </si>
  <si>
    <t>ΟΣΠΡΙΑ ΒΡΩΣΙΜΑ1149</t>
  </si>
  <si>
    <t>ΛΑΘΟΥΡΙ ΒΡΩΣΙΜΟ / ΦΑΒΑ ΚΑΡΥΑΣ</t>
  </si>
  <si>
    <t>ΟΣΠΡΙΑ ΒΡΩΣΙΜΑ1150</t>
  </si>
  <si>
    <t>ΛΑΘΟΥΡΙ ΒΡΩΣΙΜΟ / ΦΑΒΑ ΠΑΠΟΥΛΑ</t>
  </si>
  <si>
    <t>ΟΣΠΡΙΑ ΒΡΩΣΙΜΑ1151</t>
  </si>
  <si>
    <t>ΦΑΣΟΛΙΑ - ΒΑΝΙΛΙΕΣ ΦΕΝΕΟΥ</t>
  </si>
  <si>
    <t>ΟΣΠΡΙΑ ΒΡΩΣΙΜΑ1155</t>
  </si>
  <si>
    <t>ΛΑΘΟΥΡΙ ΒΡΩΣΙΜΟ / ΦΑΒΑ ΦΕΝΕΟΥ</t>
  </si>
  <si>
    <t>ΟΣΠΡΙΑ ΒΡΩΣΙΜΑ1156</t>
  </si>
  <si>
    <t>ΦΑΣΟΛΙΑ ΞΕΡΑ ΜΑΥΡΟΜΑΤΙΚΑ (ΓΥΦΤΙΚΑ)</t>
  </si>
  <si>
    <t>ΟΣΠΡΙΑ ΒΡΩΣΙΜΑ1157</t>
  </si>
  <si>
    <t>ΦΑΣΟΛΙΑ ΑΜΠΕΛΟΦΑΣΟΥΛΑ</t>
  </si>
  <si>
    <t>ΟΣΠΡΙΑ ΒΡΩΣΙΜΑ1158</t>
  </si>
  <si>
    <t>ΠΑΡΕΚΚΛΙΣΗ ΑΓΡΑΝΑΠΑΥΣΗΣ</t>
  </si>
  <si>
    <t>ΑΓΡΑΝΑΠΑΥΣΗ ΠΑΡΕΚΚΛΙΣΗ - ΑΓΓΟΥΡΙ</t>
  </si>
  <si>
    <t>ΠΑΡΕΚΚΛΙΣΗ ΑΓΡΑΝΑΠΑΥΣΗΣ610001</t>
  </si>
  <si>
    <t>ΑΓΡΑΝΑΠΑΥΣΗ ΠΑΡΕΚΚΛΙΣΗ - ΑΓΡΙΟΑΓΓΙΝΑΡΑ</t>
  </si>
  <si>
    <t>ΠΑΡΕΚΚΛΙΣΗ ΑΓΡΑΝΑΠΑΥΣΗΣ610002</t>
  </si>
  <si>
    <t>ΑΓΡΑΝΑΠΑΥΣΗ ΠΑΡΕΚΚΛΙΣΗ - ΑΝΗΘΟΣ</t>
  </si>
  <si>
    <t>ΠΑΡΕΚΚΛΙΣΗ ΑΓΡΑΝΑΠΑΥΣΗΣ610003</t>
  </si>
  <si>
    <t xml:space="preserve">ΑΓΡΑΝΑΠΑΥΣΗ ΠΑΡΕΚΚΛΙΣΗ - ΑΝΤΙΔΙ - ΣΤΑΜΝΑΓΚΑΘΙ -ΡΑΔΙΚΙΑ - ΡΑΝΤΙΤΣΙΟ </t>
  </si>
  <si>
    <t>ΠΑΡΕΚΚΛΙΣΗ ΑΓΡΑΝΑΠΑΥΣΗΣ610004</t>
  </si>
  <si>
    <t>ΑΓΡΑΝΑΠΑΥΣΗ ΠΑΡΕΚΚΛΙΣΗ - ΑΝΤΡΑΚΛΑ/ΓΛΥΣΤΡΙΔΑ</t>
  </si>
  <si>
    <t>ΠΑΡΕΚΚΛΙΣΗ ΑΓΡΑΝΑΠΑΥΣΗΣ610005</t>
  </si>
  <si>
    <t>ΑΓΡΑΝΑΠΑΥΣΗ ΠΑΡΕΚΚΛΙΣΗ - ΑΡΑΒΟΣΙΤΟΣ</t>
  </si>
  <si>
    <t>ΠΑΡΕΚΚΛΙΣΗ ΑΓΡΑΝΑΠΑΥΣΗΣ610006</t>
  </si>
  <si>
    <t>ΑΓΡΑΝΑΠΑΥΣΗ ΠΑΡΕΚΚΛΙΣΗ - ΑΡΑΧΙΔΑ</t>
  </si>
  <si>
    <t>ΠΑΡΕΚΚΛΙΣΗ ΑΓΡΑΝΑΠΑΥΣΗΣ610007</t>
  </si>
  <si>
    <t>ΑΓΡΑΝΑΠΑΥΣΗ ΠΑΡΕΚΚΛΙΣΗ - ΑΤΡΑΚΤΥΛΙΔΑ</t>
  </si>
  <si>
    <t>ΠΑΡΕΚΚΛΙΣΗ ΑΓΡΑΝΑΠΑΥΣΗΣ610008</t>
  </si>
  <si>
    <t>ΑΓΡΑΝΑΠΑΥΣΗ ΠΑΡΕΚΚΛΙΣΗ - ΒΛΗΤΑ</t>
  </si>
  <si>
    <t>ΠΑΡΕΚΚΛΙΣΗ ΑΓΡΑΝΑΠΑΥΣΗΣ610009</t>
  </si>
  <si>
    <t>ΑΓΡΑΝΑΠΑΥΣΗ ΠΑΡΕΚΚΛΙΣΗ - ΒΡΟΥΒΑ</t>
  </si>
  <si>
    <t>ΠΑΡΕΚΚΛΙΣΗ ΑΓΡΑΝΑΠΑΥΣΗΣ610010</t>
  </si>
  <si>
    <t>ΑΓΡΑΝΑΠΑΥΣΗ ΠΑΡΕΚΚΛΙΣΗ - ΓΕΩΜHΛΑ</t>
  </si>
  <si>
    <t>ΠΑΡΕΚΚΛΙΣΗ ΑΓΡΑΝΑΠΑΥΣΗΣ610011</t>
  </si>
  <si>
    <t>ΑΓΡΑΝΑΠΑΥΣΗ ΠΑΡΕΚΚΛΙΣΗ - ΓΛΥΚΟΠΑΤΑΤΕΣ</t>
  </si>
  <si>
    <t>ΠΑΡΕΚΚΛΙΣΗ ΑΓΡΑΝΑΠΑΥΣΗΣ610012</t>
  </si>
  <si>
    <t>ΑΓΡΑΝΑΠΑΥΣΗ ΠΑΡΕΚΚΛΙΣΗ - ΕΛΑΙΟΚΡΑΜΒΗ</t>
  </si>
  <si>
    <t>ΠΑΡΕΚΚΛΙΣΗ ΑΓΡΑΝΑΠΑΥΣΗΣ610013</t>
  </si>
  <si>
    <t>ΑΓΡΑΝΑΠΑΥΣΗ ΠΑΡΕΚΚΛΙΣΗ - ΖΩΧΟΣ</t>
  </si>
  <si>
    <t>ΠΑΡΕΚΚΛΙΣΗ ΑΓΡΑΝΑΠΑΥΣΗΣ610014</t>
  </si>
  <si>
    <t>ΑΓΡΑΝΑΠΑΥΣΗ ΠΑΡΕΚΚΛΙΣΗ - ΗΛΙΑΝΘΟΣ</t>
  </si>
  <si>
    <t>ΠΑΡΕΚΚΛΙΣΗ ΑΓΡΑΝΑΠΑΥΣΗΣ610015</t>
  </si>
  <si>
    <t>ΑΓΡΑΝΑΠΑΥΣΗ ΠΑΡΕΚΚΛΙΣΗ - ΚΑΡΟΤΑ</t>
  </si>
  <si>
    <t>ΠΑΡΕΚΚΛΙΣΗ ΑΓΡΑΝΑΠΑΥΣΗΣ610016</t>
  </si>
  <si>
    <t>ΑΓΡΑΝΑΠΑΥΣΗ ΠΑΡΕΚΚΛΙΣΗ - ΚΑΡΠΟΥΖΙ</t>
  </si>
  <si>
    <t>ΠΑΡΕΚΚΛΙΣΗ ΑΓΡΑΝΑΠΑΥΣΗΣ610017</t>
  </si>
  <si>
    <t>ΑΓΡΑΝΑΠΑΥΣΗ ΠΑΡΕΚΚΛΙΣΗ - ΚΑΥΚΑΛΗΘΡΑ</t>
  </si>
  <si>
    <t>ΠΑΡΕΚΚΛΙΣΗ ΑΓΡΑΝΑΠΑΥΣΗΣ610018</t>
  </si>
  <si>
    <t>ΑΓΡΑΝΑΠΑΥΣΗ ΠΑΡΕΚΚΛΙΣΗ - ΚΕΧΡΙ</t>
  </si>
  <si>
    <t>ΠΑΡΕΚΚΛΙΣΗ ΑΓΡΑΝΑΠΑΥΣΗΣ610019</t>
  </si>
  <si>
    <t>ΠΑΡΕΚΚΛΙΣΗ ΑΓΡΑΝΑΠΑΥΣΗΣ610020</t>
  </si>
  <si>
    <t>ΑΓΡΑΝΑΠΑΥΣΗ ΠΑΡΕΚΚΛΙΣΗ - ΚΙΝΕΖΙΚΟ ΛΑΧΑΝΟ</t>
  </si>
  <si>
    <t>ΠΑΡΕΚΚΛΙΣΗ ΑΓΡΑΝΑΠΑΥΣΗΣ610021</t>
  </si>
  <si>
    <t>ΑΓΡΑΝΑΠΑΥΣΗ ΠΑΡΕΚΚΛΙΣΗ - ΚΟΛΟΚΑΣΙ</t>
  </si>
  <si>
    <t>ΠΑΡΕΚΚΛΙΣΗ ΑΓΡΑΝΑΠΑΥΣΗΣ610022</t>
  </si>
  <si>
    <t>ΑΓΡΑΝΑΠΑΥΣΗ ΠΑΡΕΚΚΛΙΣΗ - ΚΟΛΟΚΥΘΕΣ</t>
  </si>
  <si>
    <t>ΠΑΡΕΚΚΛΙΣΗ ΑΓΡΑΝΑΠΑΥΣΗΣ610023</t>
  </si>
  <si>
    <t>ΑΓΡΑΝΑΠΑΥΣΗ ΠΑΡΕΚΚΛΙΣΗ - ΚΟΥΚΙ</t>
  </si>
  <si>
    <t>ΠΑΡΕΚΚΛΙΣΗ ΑΓΡΑΝΑΠΑΥΣΗΣ610024</t>
  </si>
  <si>
    <t>ΑΓΡΑΝΑΠΑΥΣΗ ΠΑΡΕΚΚΛΙΣΗ - ΚΟΥΚΙΑ</t>
  </si>
  <si>
    <t>ΠΑΡΕΚΚΛΙΣΗ ΑΓΡΑΝΑΠΑΥΣΗΣ610025</t>
  </si>
  <si>
    <t>ΑΓΡΑΝΑΠΑΥΣΗ ΠΑΡΕΚΚΛΙΣΗ - ΚΟΥΝΟΥΠΙΔΙ</t>
  </si>
  <si>
    <t>ΠΑΡΕΚΚΛΙΣΗ ΑΓΡΑΝΑΠΑΥΣΗΣ610026</t>
  </si>
  <si>
    <t>ΑΓΡΑΝΑΠΑΥΣΗ ΠΑΡΕΚΚΛΙΣΗ - ΚΟΦΤΟΛΙΒΑΔΑ</t>
  </si>
  <si>
    <t>ΠΑΡΕΚΚΛΙΣΗ ΑΓΡΑΝΑΠΑΥΣΗΣ610027</t>
  </si>
  <si>
    <t>ΑΓΡΑΝΑΠΑΥΣΗ ΠΑΡΕΚΚΛΙΣΗ - ΚΡΕΜΜΥΔΑΚΙΑ</t>
  </si>
  <si>
    <t>ΠΑΡΕΚΚΛΙΣΗ ΑΓΡΑΝΑΠΑΥΣΗΣ610028</t>
  </si>
  <si>
    <t>ΑΓΡΑΝΑΠΑΥΣΗ ΠΑΡΕΚΚΛΙΣΗ - ΚΡΕΜΜΥΔΙ</t>
  </si>
  <si>
    <t>ΠΑΡΕΚΚΛΙΣΗ ΑΓΡΑΝΑΠΑΥΣΗΣ610029</t>
  </si>
  <si>
    <t>ΑΓΡΑΝΑΠΑΥΣΗ ΠΑΡΕΚΚΛΙΣΗ - ΚΡΙΤΑΜΟ/ΑΛΜΥΡΑ</t>
  </si>
  <si>
    <t>ΠΑΡΕΚΚΛΙΣΗ ΑΓΡΑΝΑΠΑΥΣΗΣ610030</t>
  </si>
  <si>
    <t>ΑΓΡΑΝΑΠΑΥΣΗ ΠΑΡΕΚΚΛΙΣΗ - ΛΑΘΟΥΡΙ</t>
  </si>
  <si>
    <t>ΠΑΡΕΚΚΛΙΣΗ ΑΓΡΑΝΑΠΑΥΣΗΣ610031</t>
  </si>
  <si>
    <t>ΑΓΡΑΝΑΠΑΥΣΗ ΠΑΡΕΚΚΛΙΣΗ - ΛΑΠΑΘΟ</t>
  </si>
  <si>
    <t>ΠΑΡΕΚΚΛΙΣΗ ΑΓΡΑΝΑΠΑΥΣΗΣ610032</t>
  </si>
  <si>
    <t>ΑΓΡΑΝΑΠΑΥΣΗ ΠΑΡΕΚΚΛΙΣΗ - ΛΑΧΑΝΑ</t>
  </si>
  <si>
    <t>ΠΑΡΕΚΚΛΙΣΗ ΑΓΡΑΝΑΠΑΥΣΗΣ610033</t>
  </si>
  <si>
    <t>ΑΓΡΑΝΑΠΑΥΣΗ ΠΑΡΕΚΚΛΙΣΗ - ΛΑΧΑΝΟ ΒΡΥΞΕΛΛΩΝ</t>
  </si>
  <si>
    <t>ΠΑΡΕΚΚΛΙΣΗ ΑΓΡΑΝΑΠΑΥΣΗΣ610034</t>
  </si>
  <si>
    <t>ΑΓΡΑΝΑΠΑΥΣΗ ΠΑΡΕΚΚΛΙΣΗ - ΛΟΛΙΟΥΜ</t>
  </si>
  <si>
    <t>ΠΑΡΕΚΚΛΙΣΗ ΑΓΡΑΝΑΠΑΥΣΗΣ610035</t>
  </si>
  <si>
    <t>ΑΓΡΑΝΑΠΑΥΣΗ ΠΑΡΕΚΚΛΙΣΗ - ΛΟΥΠΙΝΟ</t>
  </si>
  <si>
    <t>ΠΑΡΕΚΚΛΙΣΗ ΑΓΡΑΝΑΠΑΥΣΗΣ610036</t>
  </si>
  <si>
    <t>ΑΓΡΑΝΑΠΑΥΣΗ ΠΑΡΕΚΚΛΙΣΗ - ΜΑΙΝΤΑΝΟΣ</t>
  </si>
  <si>
    <t>ΠΑΡΕΚΚΛΙΣΗ ΑΓΡΑΝΑΠΑΥΣΗΣ610037</t>
  </si>
  <si>
    <t>ΑΓΡΑΝΑΠΑΥΣΗ ΠΑΡΕΚΚΛΙΣΗ - ΜΑΡΑΘΟΣ</t>
  </si>
  <si>
    <t>ΠΑΡΕΚΚΛΙΣΗ ΑΓΡΑΝΑΠΑΥΣΗΣ610038</t>
  </si>
  <si>
    <t>ΑΓΡΑΝΑΠΑΥΣΗ ΠΑΡΕΚΚΛΙΣΗ - ΜΑΡΟΥΛΙ</t>
  </si>
  <si>
    <t>ΠΑΡΕΚΚΛΙΣΗ ΑΓΡΑΝΑΠΑΥΣΗΣ610039</t>
  </si>
  <si>
    <t>ΑΓΡΑΝΑΠΑΥΣΗ ΠΑΡΕΚΚΛΙΣΗ - ΜΕΛΙΤΖΑΝΑ</t>
  </si>
  <si>
    <t>ΠΑΡΕΚΚΛΙΣΗ ΑΓΡΑΝΑΠΑΥΣΗΣ610040</t>
  </si>
  <si>
    <t>ΑΓΡΑΝΑΠΑΥΣΗ ΠΑΡΕΚΚΛΙΣΗ - ΜΠΑΜΙΑ</t>
  </si>
  <si>
    <t>ΠΑΡΕΚΚΛΙΣΗ ΑΓΡΑΝΑΠΑΥΣΗΣ610041</t>
  </si>
  <si>
    <t>ΑΓΡΑΝΑΠΑΥΣΗ ΠΑΡΕΚΚΛΙΣΗ - ΜΠΙΖΕΛΙ</t>
  </si>
  <si>
    <t>ΠΑΡΕΚΚΛΙΣΗ ΑΓΡΑΝΑΠΑΥΣΗΣ610042</t>
  </si>
  <si>
    <t>ΑΓΡΑΝΑΠΑΥΣΗ ΠΑΡΕΚΚΛΙΣΗ - ΜΠΡΟΚΟΛΟ</t>
  </si>
  <si>
    <t>ΠΑΡΕΚΚΛΙΣΗ ΑΓΡΑΝΑΠΑΥΣΗΣ610043</t>
  </si>
  <si>
    <t>ΑΓΡΑΝΑΠΑΥΣΗ ΠΑΡΕΚΚΛΙΣΗ - ΜΥΡΩΝΙΑ</t>
  </si>
  <si>
    <t>ΠΑΡΕΚΚΛΙΣΗ ΑΓΡΑΝΑΠΑΥΣΗΣ610044</t>
  </si>
  <si>
    <t>ΑΓΡΑΝΑΠΑΥΣΗ ΠΑΡΕΚΚΛΙΣΗ - ΠΑΠΟΥΛΕΣ</t>
  </si>
  <si>
    <t>ΠΑΡΕΚΚΛΙΣΗ ΑΓΡΑΝΑΠΑΥΣΗΣ610045</t>
  </si>
  <si>
    <t>ΑΓΡΑΝΑΠΑΥΣΗ ΠΑΡΕΚΚΛΙΣΗ - ΠΑΤΖΑΡΙΑ</t>
  </si>
  <si>
    <t>ΠΑΡΕΚΚΛΙΣΗ ΑΓΡΑΝΑΠΑΥΣΗΣ610046</t>
  </si>
  <si>
    <t>ΑΓΡΑΝΑΠΑΥΣΗ ΠΑΡΕΚΚΛΙΣΗ - ΠΕΠΙΤΟ</t>
  </si>
  <si>
    <t>ΠΑΡΕΚΚΛΙΣΗ ΑΓΡΑΝΑΠΑΥΣΗΣ610047</t>
  </si>
  <si>
    <t>ΑΓΡΑΝΑΠΑΥΣΗ ΠΑΡΕΚΚΛΙΣΗ - ΠΕΠΟΝΙ</t>
  </si>
  <si>
    <t>ΠΑΡΕΚΚΛΙΣΗ ΑΓΡΑΝΑΠΑΥΣΗΣ610048</t>
  </si>
  <si>
    <t>ΑΓΡΑΝΑΠΑΥΣΗ ΠΑΡΕΚΚΛΙΣΗ - ΠΙΠΕΡΙΑ</t>
  </si>
  <si>
    <t>ΠΑΡΕΚΚΛΙΣΗ ΑΓΡΑΝΑΠΑΥΣΗΣ610049</t>
  </si>
  <si>
    <t>ΑΓΡΑΝΑΠΑΥΣΗ ΠΑΡΕΚΚΛΙΣΗ - ΠΡΑΣΣΟ</t>
  </si>
  <si>
    <t>ΠΑΡΕΚΚΛΙΣΗ ΑΓΡΑΝΑΠΑΥΣΗΣ610050</t>
  </si>
  <si>
    <t>ΑΓΡΑΝΑΠΑΥΣΗ ΠΑΡΕΚΚΛΙΣΗ - ΡΑΙΒΑ</t>
  </si>
  <si>
    <t>ΠΑΡΕΚΚΛΙΣΗ ΑΓΡΑΝΑΠΑΥΣΗΣ610051</t>
  </si>
  <si>
    <t>ΑΓΡΑΝΑΠΑΥΣΗ ΠΑΡΕΚΚΛΙΣΗ - ΡΑΠΑΝΑΚΙ</t>
  </si>
  <si>
    <t>ΠΑΡΕΚΚΛΙΣΗ ΑΓΡΑΝΑΠΑΥΣΗΣ610052</t>
  </si>
  <si>
    <t>ΑΓΡΑΝΑΠΑΥΣΗ ΠΑΡΕΚΚΛΙΣΗ - ΡΕΒΥΘΙ</t>
  </si>
  <si>
    <t>ΠΑΡΕΚΚΛΙΣΗ ΑΓΡΑΝΑΠΑΥΣΗΣ610053</t>
  </si>
  <si>
    <t>ΑΓΡΑΝΑΠΑΥΣΗ ΠΑΡΕΚΚΛΙΣΗ - ΡΕΒΥΘΙΑ</t>
  </si>
  <si>
    <t>ΠΑΡΕΚΚΛΙΣΗ ΑΓΡΑΝΑΠΑΥΣΗΣ610054</t>
  </si>
  <si>
    <t>ΑΓΡΑΝΑΠΑΥΣΗ ΠΑΡΕΚΚΛΙΣΗ - ΡΟΒΗ</t>
  </si>
  <si>
    <t>ΠΑΡΕΚΚΛΙΣΗ ΑΓΡΑΝΑΠΑΥΣΗΣ610055</t>
  </si>
  <si>
    <t>ΑΓΡΑΝΑΠΑΥΣΗ ΠΑΡΕΚΚΛΙΣΗ - ΡΟΚΑ</t>
  </si>
  <si>
    <t>ΠΑΡΕΚΚΛΙΣΗ ΑΓΡΑΝΑΠΑΥΣΗΣ610056</t>
  </si>
  <si>
    <t>ΑΓΡΑΝΑΠΑΥΣΗ ΠΑΡΕΚΚΛΙΣΗ - ΣΑΝΟΣ</t>
  </si>
  <si>
    <t>ΠΑΡΕΚΚΛΙΣΗ ΑΓΡΑΝΑΠΑΥΣΗΣ610057</t>
  </si>
  <si>
    <t>ΑΓΡΑΝΑΠΑΥΣΗ ΠΑΡΕΚΚΛΙΣΗ - ΣΕΛΙΝΟ</t>
  </si>
  <si>
    <t>ΠΑΡΕΚΚΛΙΣΗ ΑΓΡΑΝΑΠΑΥΣΗΣ610058</t>
  </si>
  <si>
    <t>ΑΓΡΑΝΑΠΑΥΣΗ ΠΑΡΕΚΚΛΙΣΗ - ΣΕΣΚΟΥΛΟ</t>
  </si>
  <si>
    <t>ΠΑΡΕΚΚΛΙΣΗ ΑΓΡΑΝΑΠΑΥΣΗΣ610059</t>
  </si>
  <si>
    <t>ΑΓΡΑΝΑΠΑΥΣΗ ΠΑΡΕΚΚΛΙΣΗ - ΣΚΟΡΔΟ</t>
  </si>
  <si>
    <t>ΠΑΡΕΚΚΛΙΣΗ ΑΓΡΑΝΑΠΑΥΣΗΣ610060</t>
  </si>
  <si>
    <t>ΑΓΡΑΝΑΠΑΥΣΗ ΠΑΡΕΚΚΛΙΣΗ - ΣΟΓΙΑ</t>
  </si>
  <si>
    <t>ΠΑΡΕΚΚΛΙΣΗ ΑΓΡΑΝΑΠΑΥΣΗΣ610061</t>
  </si>
  <si>
    <t>ΑΓΡΑΝΑΠΑΥΣΗ ΠΑΡΕΚΚΛΙΣΗ - ΣΟΡΓΟ</t>
  </si>
  <si>
    <t>ΠΑΡΕΚΚΛΙΣΗ ΑΓΡΑΝΑΠΑΥΣΗΣ610062</t>
  </si>
  <si>
    <t>ΑΓΡΑΝΑΠΑΥΣΗ ΠΑΡΕΚΚΛΙΣΗ - ΣΟΥΣΑΜΙ</t>
  </si>
  <si>
    <t>ΠΑΡΕΚΚΛΙΣΗ ΑΓΡΑΝΑΠΑΥΣΗΣ610063</t>
  </si>
  <si>
    <t>ΑΓΡΑΝΑΠΑΥΣΗ ΠΑΡΕΚΚΛΙΣΗ - ΣΠΑΝΑΚΙ</t>
  </si>
  <si>
    <t>ΠΑΡΕΚΚΛΙΣΗ ΑΓΡΑΝΑΠΑΥΣΗΣ610064</t>
  </si>
  <si>
    <t>ΑΓΡΑΝΑΠΑΥΣΗ ΠΑΡΕΚΚΛΙΣΗ - ΣΠΑΡΑΓΓΙΑ</t>
  </si>
  <si>
    <t>ΠΑΡΕΚΚΛΙΣΗ ΑΓΡΑΝΑΠΑΥΣΗΣ610065</t>
  </si>
  <si>
    <t>ΑΓΡΑΝΑΠΑΥΣΗ ΠΑΡΕΚΚΛΙΣΗ - ΣΤΕΒΙΑ</t>
  </si>
  <si>
    <t>ΠΑΡΕΚΚΛΙΣΗ ΑΓΡΑΝΑΠΑΥΣΗΣ610066</t>
  </si>
  <si>
    <t>ΑΓΡΑΝΑΠΑΥΣΗ ΠΑΡΕΚΚΛΙΣΗ - ΤΟΜΑΤΑ</t>
  </si>
  <si>
    <t>ΠΑΡΕΚΚΛΙΣΗ ΑΓΡΑΝΑΠΑΥΣΗΣ610067</t>
  </si>
  <si>
    <t>ΑΓΡΑΝΑΠΑΥΣΗ ΠΑΡΕΚΚΛΙΣΗ - ΤΟΜΑΤΑ ΒΙΟΜΗΧΑΝΙΚΗ</t>
  </si>
  <si>
    <t>ΠΑΡΕΚΚΛΙΣΗ ΑΓΡΑΝΑΠΑΥΣΗΣ610068</t>
  </si>
  <si>
    <t>ΑΓΡΑΝΑΠΑΥΣΗ ΠΑΡΕΚΚΛΙΣΗ - ΤΟΠΙΝΑΜΠΟΥΡ</t>
  </si>
  <si>
    <t>ΠΑΡΕΚΚΛΙΣΗ ΑΓΡΑΝΑΠΑΥΣΗΣ610069</t>
  </si>
  <si>
    <t>ΑΓΡΑΝΑΠΑΥΣΗ ΠΑΡΕΚΚΛΙΣΗ - ΤΡΙΦΥΛΛΙ</t>
  </si>
  <si>
    <t>ΠΑΡΕΚΚΛΙΣΗ ΑΓΡΑΝΑΠΑΥΣΗΣ610070</t>
  </si>
  <si>
    <t>ΑΓΡΑΝΑΠΑΥΣΗ ΠΑΡΕΚΚΛΙΣΗ - ΦΑΓΟΠΥΡΟ</t>
  </si>
  <si>
    <t>ΠΑΡΕΚΚΛΙΣΗ ΑΓΡΑΝΑΠΑΥΣΗΣ610071</t>
  </si>
  <si>
    <t>ΑΓΡΑΝΑΠΑΥΣΗ ΠΑΡΕΚΚΛΙΣΗ - ΦΑΚΕΛΩΤΗ</t>
  </si>
  <si>
    <t>ΠΑΡΕΚΚΛΙΣΗ ΑΓΡΑΝΑΠΑΥΣΗΣ610072</t>
  </si>
  <si>
    <t>ΑΓΡΑΝΑΠΑΥΣΗ ΠΑΡΕΚΚΛΙΣΗ - ΦΑΚΕΣ</t>
  </si>
  <si>
    <t>ΠΑΡΕΚΚΛΙΣΗ ΑΓΡΑΝΑΠΑΥΣΗΣ610073</t>
  </si>
  <si>
    <t>ΑΓΡΑΝΑΠΑΥΣΗ ΠΑΡΕΚΚΛΙΣΗ - ΦΑΣΟΛΑΚΙΑ</t>
  </si>
  <si>
    <t>ΠΑΡΕΚΚΛΙΣΗ ΑΓΡΑΝΑΠΑΥΣΗΣ610074</t>
  </si>
  <si>
    <t>ΑΓΡΑΝΑΠΑΥΣΗ ΠΑΡΕΚΚΛΙΣΗ - ΦΑΣΟΛΙΑ</t>
  </si>
  <si>
    <t>ΠΑΡΕΚΚΛΙΣΗ ΑΓΡΑΝΑΠΑΥΣΗΣ610075</t>
  </si>
  <si>
    <t xml:space="preserve">ΑΓΡΑΝΑΠΑΥΣΗ ΠΑΡΕΚΚΛΙΣΗ - ΦΑΣΟΛΙΑ </t>
  </si>
  <si>
    <t>ΠΑΡΕΚΚΛΙΣΗ ΑΓΡΑΝΑΠΑΥΣΗΣ610076</t>
  </si>
  <si>
    <t>ΑΓΡΑΝΑΠΑΥΣΗ ΠΑΡΕΚΚΛΙΣΗ - ΦΟΙΝΟΚΙΟ</t>
  </si>
  <si>
    <t>ΠΑΡΕΚΚΛΙΣΗ ΑΓΡΑΝΑΠΑΥΣΗΣ610077</t>
  </si>
  <si>
    <t>ΑΓΡΑΝΑΠΑΥΣΗ ΠΑΡΕΚΚΛΙΣΗ - ΦΟΥΛΙΑ</t>
  </si>
  <si>
    <t>ΠΑΡΕΚΚΛΙΣΗ ΑΓΡΑΝΑΠΑΥΣΗΣ610078</t>
  </si>
  <si>
    <t>ΑΓΡΑΝΑΠΑΥΣΗ ΠΑΡΕΚΚΛΙΣΗ - ΦΡΑΟΥΛΑ</t>
  </si>
  <si>
    <t>ΠΑΡΕΚΚΛΙΣΗ ΑΓΡΑΝΑΠΑΥΣΗΣ610079</t>
  </si>
  <si>
    <t>ΑΓΡΑΝΑΠΑΥΣΗ ΠΑΡΕΚΚΛΙΣΗ - ΡΥΖΙ</t>
  </si>
  <si>
    <t>ΠΑΡΕΚΚΛΙΣΗ ΑΓΡΑΝΑΠΑΥΣΗΣ610080</t>
  </si>
  <si>
    <t>ΑΓΡΑΝΑΠΑΥΣΗ ΠΑΡΕΚΚΛΙΣΗ - ΚΡΙΘΑΡΙ</t>
  </si>
  <si>
    <t>ΠΑΡΕΚΚΛΙΣΗ ΑΓΡΑΝΑΠΑΥΣΗΣ610081</t>
  </si>
  <si>
    <t>6.1</t>
  </si>
  <si>
    <t>ΑΓΡΑΝΑΠΑΥΣΗ ΠΑΡΕΚΚΛΙΣΗ - ΣΚΛΗΡΟ ΣΙΤΑΡΙ</t>
  </si>
  <si>
    <t>ΠΑΡΕΚΚΛΙΣΗ ΑΓΡΑΝΑΠΑΥΣΗΣ610082</t>
  </si>
  <si>
    <t>ΑΓΡΑΝΑΠΑΥΣΗ ΠΑΡΕΚΚΛΙΣΗ - ΜΑΛΑΚΟ ΣΙΤΑΡΙ</t>
  </si>
  <si>
    <t>ΠΑΡΕΚΚΛΙΣΗ ΑΓΡΑΝΑΠΑΥΣΗΣ610083</t>
  </si>
  <si>
    <t>ΠΟΡΤΟΚΑΛΙΑ ΠΡΟΣ ΧΥΜΟΠΟΙΗΣΗ</t>
  </si>
  <si>
    <t>ΠΟΡΤΟΚΑΛΙΑ ΠΡΟΣ ΧΥΜΟΠΟΙΗΣΗ19001</t>
  </si>
  <si>
    <t>ΠΟΡΤΟΚΑΛΙΑ ΠΡΟΣ ΧΥΜΟΠΟΙΗΣΗ19002</t>
  </si>
  <si>
    <t>ΠΟΡΤΟΚΑΛΙΑ ΠΡΟΣ ΧΥΜΟΠΟΙΗΣΗ19003</t>
  </si>
  <si>
    <t>ΠΟΡΤΟΚΑΛΙΑ ΠΡΟΣ ΧΥΜΟΠΟΙΗΣΗ19004</t>
  </si>
  <si>
    <t>ΠΟΡΤΟΚΑΛΙΑ ΠΡΟΣ ΧΥΜΟΠΟΙΗΣΗ19005</t>
  </si>
  <si>
    <t>ΠΟΡΤΟΚΑΛΙΑ ΠΡΟΣ ΧΥΜΟΠΟΙΗΣΗ19006</t>
  </si>
  <si>
    <t>ΠΟΡΤΟΚΑΛΙΑ ΠΡΟΣ ΧΥΜΟΠΟΙΗΣΗ19007</t>
  </si>
  <si>
    <t>ΠΟΡΤΟΚΑΛΙΑ ΠΡΟΣ ΧΥΜΟΠΟΙΗΣΗ19008</t>
  </si>
  <si>
    <t>ΠΟΡΤΟΚΑΛΙΑ ΠΡΟΣ ΧΥΜΟΠΟΙΗΣΗ19009</t>
  </si>
  <si>
    <t>ΠΟΡΤΟΚΑΛΙΑ ΠΡΟΣ ΧΥΜΟΠΟΙΗΣΗ19010</t>
  </si>
  <si>
    <t>ΠΟΡΤΟΚΑΛΙΑ ΠΡΟΣ ΧΥΜΟΠΟΙΗΣΗ19011</t>
  </si>
  <si>
    <t>ΠΟΡΤΟΚΑΛΙΑ ΠΡΟΣ ΧΥΜΟΠΟΙΗΣΗ19012</t>
  </si>
  <si>
    <t>ΠΟΡΤΟΚΑΛΙΑ ΠΡΟΣ ΧΥΜΟΠΟΙΗΣΗ19013</t>
  </si>
  <si>
    <t>ΠΟΡΤΟΚΑΛΙΑ ΠΡΟΣ ΧΥΜΟΠΟΙΗΣΗ19014</t>
  </si>
  <si>
    <t>ΠΟΡΤΟΚΑΛΙΑ ΠΡΟΣ ΧΥΜΟΠΟΙΗΣΗ19015</t>
  </si>
  <si>
    <t>ΠΟΡΤΟΚΑΛΙΑ ΠΡΟΣ ΧΥΜΟΠΟΙΗΣΗ19016</t>
  </si>
  <si>
    <t>ΠΟΡΤΟΚΑΛΙΑ ΠΡΟΣ ΧΥΜΟΠΟΙΗΣΗ19017</t>
  </si>
  <si>
    <t>ΠΟΡΤΟΚΑΛΙΑ ΠΡΟΣ ΧΥΜΟΠΟΙΗΣΗ19018</t>
  </si>
  <si>
    <t>ΠΥΡΗΝΟΚΑΡΠΑ</t>
  </si>
  <si>
    <t>ΔΑΜΑΣΚΗΝΑ ΣΚΟΠΕΛΟΥ</t>
  </si>
  <si>
    <t>ΠΥΡΗΝΟΚΑΡΠΑ10901</t>
  </si>
  <si>
    <t>ΚΕΡΑΣΙΕΣ Α</t>
  </si>
  <si>
    <t>ΠΥΡΗΝΟΚΑΡΠΑ14003</t>
  </si>
  <si>
    <t>ΚΕΡΑΣΙΕΣ Γ</t>
  </si>
  <si>
    <t>ΠΥΡΗΝΟΚΑΡΠΑ14006</t>
  </si>
  <si>
    <t>ΡΟΔΑΚΙΝΙΕΣ Β</t>
  </si>
  <si>
    <t>ΠΥΡΗΝΟΚΑΡΠΑ14007</t>
  </si>
  <si>
    <t>ΝΕΚΤΑΡΙΝΙΕΣ Β</t>
  </si>
  <si>
    <t>ΠΥΡΗΝΟΚΑΡΠΑ14008</t>
  </si>
  <si>
    <t>ΒΕΡΙΚΟΚΑ ΧΥΜΟΠΟΙΙΑΣ</t>
  </si>
  <si>
    <t>ΠΥΡΗΝΟΚΑΡΠΑ14036</t>
  </si>
  <si>
    <t>ΡΟΔΑΚΙΝΑ ΕΠΙΤΡΑΠΕΖΙΑ ΥΠΕΡΠΡΩΙΜΑ</t>
  </si>
  <si>
    <t>ΠΥΡΗΝΟΚΑΡΠΑ14037</t>
  </si>
  <si>
    <t>ΝΕΚΤΑΡΙΝΙΑ ΕΠΙΤΡΑΠΕΖΙΑ ΥΠΕΡΠΡΩΙΜΑ</t>
  </si>
  <si>
    <t>ΠΥΡΗΝΟΚΑΡΠΑ14038</t>
  </si>
  <si>
    <t>ΠΥΡΗΝΟΚΑΡΠΑ66</t>
  </si>
  <si>
    <t>ΒΕΡΙΚΚΟΚΑ ΠΡΩΙΜ. ΠΟΡΟΥ</t>
  </si>
  <si>
    <t>ΠΥΡΗΝΟΚΑΡΠΑ66001</t>
  </si>
  <si>
    <t>ΒΕΡΙΚΚΟΚΑ ΤΣΑΟΥΛΙΑ</t>
  </si>
  <si>
    <t>ΠΥΡΗΝΟΚΑΡΠΑ66002</t>
  </si>
  <si>
    <t>ΒΕΡΙΚΚΟΚΑ ΠΑΥΛΗ ΡΟΔΟΥ</t>
  </si>
  <si>
    <t>ΠΥΡΗΝΟΚΑΡΠΑ66003</t>
  </si>
  <si>
    <t>ΒΕΡΙΚΚΟΚΑ ΠΡΩΪΜΑ ΤΙΡΥΝΘΑΣ</t>
  </si>
  <si>
    <t>ΠΥΡΗΝΟΚΑΡΠΑ66004</t>
  </si>
  <si>
    <t>ΒΕΡΙΚΚΟΚΑ ΓΛΥΚΟΚΥΡ. (ΚΑΪΣΙΑ)</t>
  </si>
  <si>
    <t>ΠΥΡΗΝΟΚΑΡΠΑ66005</t>
  </si>
  <si>
    <t>ΒΕΡΙΚΚΟΚΑ ΠΛΑΚΑ</t>
  </si>
  <si>
    <t>ΠΥΡΗΝΟΚΑΡΠΑ66006</t>
  </si>
  <si>
    <t>ΒΕΡΙΚΚΟΚΑ ΜΠΕΜΠΕΚΟΥ</t>
  </si>
  <si>
    <t>ΠΥΡΗΝΟΚΑΡΠΑ66007</t>
  </si>
  <si>
    <t>ΒΕΡΙΚΚΟΚΑ ΔΙΑΜΑΝΤΟΠΟΥΛΟΥ</t>
  </si>
  <si>
    <t>ΠΥΡΗΝΟΚΑΡΠΑ66008</t>
  </si>
  <si>
    <t>ΒΕΡΙΚΚΟΚΑ ΧΑΣΙΩΤΙΚΑ</t>
  </si>
  <si>
    <t>ΠΥΡΗΝΟΚΑΡΠΑ66009</t>
  </si>
  <si>
    <t>ΒΕΡΙΚΚΟΚΑ LUΙΖEΤ</t>
  </si>
  <si>
    <t>ΠΥΡΗΝΟΚΑΡΠΑ66010</t>
  </si>
  <si>
    <t>ΒΕΡΙΚΚΟΚΑ PΑVΙOΤ</t>
  </si>
  <si>
    <t>ΠΥΡΗΝΟΚΑΡΠΑ66011</t>
  </si>
  <si>
    <t>ΒΕΡΙΚΚΟΚΑ ROΥΑL</t>
  </si>
  <si>
    <t>ΠΥΡΗΝΟΚΑΡΠΑ66012</t>
  </si>
  <si>
    <t>ΒΕΡΙΚΚΟΚΑ ΜΑΛΑΤΙΑ ΑΠΟΞΗΡΑΝΣ.</t>
  </si>
  <si>
    <t>ΠΥΡΗΝΟΚΑΡΠΑ66013</t>
  </si>
  <si>
    <t>ΒΕΡΙΚΚΟΚΑ ΛΟΙΠ. ΠΟΙΚΙΛ.</t>
  </si>
  <si>
    <t>ΠΥΡΗΝΟΚΑΡΠΑ66014</t>
  </si>
  <si>
    <t>ΒΕΡΙΚΚΟΚΑ ΧΑΡΚΟ</t>
  </si>
  <si>
    <t>ΠΥΡΗΝΟΚΑΡΠΑ66015</t>
  </si>
  <si>
    <t>ΒΕΡΙΚΚΟΚΑ ΠΕΛΛΑΣ</t>
  </si>
  <si>
    <t>ΠΥΡΗΝΟΚΑΡΠΑ66016</t>
  </si>
  <si>
    <t>ΒΕΡΙΚΚΟΚΑ ΑΟΥΡΟΡΑ</t>
  </si>
  <si>
    <t>ΠΥΡΗΝΟΚΑΡΠΑ66017</t>
  </si>
  <si>
    <t>ΒΕΡΙΚΚΟΚΑ ΝΤΟΛΤΣΙΝΕΑ</t>
  </si>
  <si>
    <t>ΠΥΡΗΝΟΚΑΡΠΑ66018</t>
  </si>
  <si>
    <t>ΒΕΡΙΚΚΟΚΑ ΠΟΡΤΙΤΣΙ</t>
  </si>
  <si>
    <t>ΠΥΡΗΝΟΚΑΡΠΑ66019</t>
  </si>
  <si>
    <t>ΒΕΡΙΚΚΟΚΑ ΝΙΝΦΑ</t>
  </si>
  <si>
    <t>ΠΥΡΗΝΟΚΑΡΠΑ66020</t>
  </si>
  <si>
    <t>ΒΕΡΙΚΚΟΚΑ ΟΡΑΝΤΖ ΡΕΝΤ</t>
  </si>
  <si>
    <t>ΠΥΡΗΝΟΚΑΡΠΑ66021</t>
  </si>
  <si>
    <t>ΒΕΡΙΚΚΟΚΑ ΣΑΝ ΤΖΑΪΑΝΤ</t>
  </si>
  <si>
    <t>ΠΥΡΗΝΟΚΑΡΠΑ66022</t>
  </si>
  <si>
    <t>ΒΕΡΙΚΚΟΚΑ ΠΙΝΚ ΚΟΤ</t>
  </si>
  <si>
    <t>ΠΥΡΗΝΟΚΑΡΠΑ66023</t>
  </si>
  <si>
    <t>ΒΕΡΙΚΟΚΑ ΒΙΤΙΛΛΟ</t>
  </si>
  <si>
    <t>ΠΥΡΗΝΟΚΑΡΠΑ66024</t>
  </si>
  <si>
    <t>ΒΕΡΙΚΚΟΚΑ ΜΠΕΡΖΕΡΟΝ</t>
  </si>
  <si>
    <t>ΠΥΡΗΝΟΚΑΡΠΑ66025</t>
  </si>
  <si>
    <t>ΒΕΡΙΚΟΚΑ ΣΑΜΠΑΤΙΝΑ</t>
  </si>
  <si>
    <t>ΠΥΡΗΝΟΚΑΡΠΑ66026</t>
  </si>
  <si>
    <t>ΒΕΡΙΚΟΚΑ ΚΑΡΜΕΝ</t>
  </si>
  <si>
    <t>ΠΥΡΗΝΟΚΑΡΠΑ66027</t>
  </si>
  <si>
    <t>ΒΕΡΙΚΟΚΑ ΝΗΡΗΙΣ</t>
  </si>
  <si>
    <t>ΠΥΡΗΝΟΚΑΡΠΑ66028</t>
  </si>
  <si>
    <t>ΒΕΡΙΚΟΚΑ ΝΙΟΒΗ</t>
  </si>
  <si>
    <t>ΠΥΡΗΝΟΚΑΡΠΑ66029</t>
  </si>
  <si>
    <t>ΒΕΡΙΚΟΚΑ ΝΟΣΤΟΣ</t>
  </si>
  <si>
    <t>ΠΥΡΗΝΟΚΑΡΠΑ66030</t>
  </si>
  <si>
    <t>ΒΕΡΙΚΟΚΑ ΚΟΛΙΟΠΟΥΛΟΥ</t>
  </si>
  <si>
    <t>ΠΥΡΗΝΟΚΑΡΠΑ66031</t>
  </si>
  <si>
    <t>ΔΑΜΑΣΚΗΝΑ ΝΩΠΑ</t>
  </si>
  <si>
    <t>ΠΥΡΗΝΟΚΑΡΠΑ66032</t>
  </si>
  <si>
    <t>ΚΟΡΟΜΗΛΑ</t>
  </si>
  <si>
    <t>ΠΥΡΗΝΟΚΑΡΠΑ66033</t>
  </si>
  <si>
    <t>ΔΑΜΑΣΚΗΝΑ ΣΑΝΤΑ ΡΟΖΑ</t>
  </si>
  <si>
    <t>ΠΥΡΗΝΟΚΑΡΠΑ66034</t>
  </si>
  <si>
    <t>ΔΑΜΑΣΚΗΝΑ ΜΠΛΑΚ ΜΠΙΟΥΤΥ</t>
  </si>
  <si>
    <t>ΠΥΡΗΝΟΚΑΡΠΑ66035</t>
  </si>
  <si>
    <t>ΔΑΜΑΣΚΗΝΑ ΜΠΛΑΚ ΣΤΑΡ</t>
  </si>
  <si>
    <t>ΠΥΡΗΝΟΚΑΡΠΑ66036</t>
  </si>
  <si>
    <t>ΔΑΜΑΣΚΗΝΑ ΚΑΛΙΤΑ</t>
  </si>
  <si>
    <t>ΠΥΡΗΝΟΚΑΡΠΑ66037</t>
  </si>
  <si>
    <t>ΔΑΜΑΣΚΗΝΑ ΜΠΛΑΚ ΓΚΟΛΝΤ</t>
  </si>
  <si>
    <t>ΠΥΡΗΝΟΚΑΡΠΑ66038</t>
  </si>
  <si>
    <t>ΔΑΜΑΣΚΗΝΑ ΜΠΛΑΚ ΝΤΑΪΜΟΝΤ</t>
  </si>
  <si>
    <t>ΠΥΡΗΝΟΚΑΡΠΑ66039</t>
  </si>
  <si>
    <t>ΔΑΜΑΣΚΗΝΑ ΛΑΡΟΝΤΑ</t>
  </si>
  <si>
    <t>ΠΥΡΗΝΟΚΑΡΠΑ66040</t>
  </si>
  <si>
    <t>ΔΑΜΑΣΚΗΝΑ ΑΖΕΝ</t>
  </si>
  <si>
    <t>ΠΥΡΗΝΟΚΑΡΠΑ66041</t>
  </si>
  <si>
    <t>ΔΑΜΑΣΚΗΝΑ ΦΡΙΑΡ</t>
  </si>
  <si>
    <t>ΠΥΡΗΝΟΚΑΡΠΑ66042</t>
  </si>
  <si>
    <t>ΔΑΜΑΣΚΗΝΑ ΣΤΑΝΛΕΫ</t>
  </si>
  <si>
    <t>ΠΥΡΗΝΟΚΑΡΠΑ66043</t>
  </si>
  <si>
    <t>ΔΑΜΑΣΚΗΝΑ ΠΡΕΖΙΝΤΕΝΤ</t>
  </si>
  <si>
    <t>ΠΥΡΗΝΟΚΑΡΠΑ66044</t>
  </si>
  <si>
    <t>ΔΑΜΑΣΚΗΝΑ ΑΝΤΖΕΛΙΝΟ</t>
  </si>
  <si>
    <t>ΠΥΡΗΝΟΚΑΡΠΑ66045</t>
  </si>
  <si>
    <t>ΔΑΜΑΣΚΗΝΑ ΜΠΛΑΚ ΓΟΥΛΦ</t>
  </si>
  <si>
    <t>ΠΥΡΗΝΟΚΑΡΠΑ66046</t>
  </si>
  <si>
    <t>ΔΑΜΑΣΚ.ΡΕΝΤΚΛ.,ΒΑΙΟΛ</t>
  </si>
  <si>
    <t>ΠΥΡΗΝΟΚΑΡΠΑ66047</t>
  </si>
  <si>
    <t>ΔΑΜΑΣΚ. ΜΙΝΤΝΑΪΤΣΑΝ</t>
  </si>
  <si>
    <t>ΠΥΡΗΝΟΚΑΡΠΑ66048</t>
  </si>
  <si>
    <t>ΔΑΜΑΣΚ. ΜΠΕΛΛΑ ΝΤΙ ΜΠΑΡΜΠΙΝΑ</t>
  </si>
  <si>
    <t>ΠΥΡΗΝΟΚΑΡΠΑ66049</t>
  </si>
  <si>
    <t>ΔΑΜΑΣΚ. ΡΟΖΑ ΝΤΕ ΦΕΛΙΣΙΟΥΣ</t>
  </si>
  <si>
    <t>ΠΥΡΗΝΟΚΑΡΠΑ66050</t>
  </si>
  <si>
    <t>ΔΑΜΑΣΚ. ΦΟΡΤΣΟΥΝ</t>
  </si>
  <si>
    <t>ΠΥΡΗΝΟΚΑΡΠΑ66051</t>
  </si>
  <si>
    <t>ΔΑΜΑΣΚ. T.C. sun</t>
  </si>
  <si>
    <t>ΠΥΡΗΝΟΚΑΡΠΑ66052</t>
  </si>
  <si>
    <t>ΔΑΜΑΣΚΗΝΑ ΡΕΝΤ ΜΠΙΟΥΤΥ</t>
  </si>
  <si>
    <t>ΠΥΡΗΝΟΚΑΡΠΑ66053</t>
  </si>
  <si>
    <t>ΔΑΜΑΣΚΗΝΑ ΜΠΛΑΚ ΑΜΠΕΡ</t>
  </si>
  <si>
    <t>ΠΥΡΗΝΟΚΑΡΠΑ66054</t>
  </si>
  <si>
    <t>ΔΑΜΑΣΚΗΝΑ ΟΤΟΜ ΤΖΑΪΑΝΤ</t>
  </si>
  <si>
    <t>ΠΥΡΗΝΟΚΑΡΠΑ66055</t>
  </si>
  <si>
    <t>ΔΑΜΑΣΚΗΝΑ OCTOBER SUN</t>
  </si>
  <si>
    <t>ΠΥΡΗΝΟΚΑΡΠΑ66056</t>
  </si>
  <si>
    <t>ΔΑΜΑΣΚΗΝΑ ΣΑΝΤΑ ΡΟΖΑ ΟΨΙΜΑ</t>
  </si>
  <si>
    <t>ΠΥΡΗΝΟΚΑΡΠΑ66057</t>
  </si>
  <si>
    <t>ΚΕΡΑΣΙΑ ΠΡΩΙΜΑ</t>
  </si>
  <si>
    <t>ΠΥΡΗΝΟΚΑΡΠΑ66058</t>
  </si>
  <si>
    <t>ΚΕΡΑΣΙΑ ΠΙΚΑΡΩ ΜΠΟΥΡΛΑ</t>
  </si>
  <si>
    <t>ΠΥΡΗΝΟΚΑΡΠΑ66059</t>
  </si>
  <si>
    <t>ΚΕΡΑΣΙΑ ΠΙΚΑΡΩ ΜΠΟΥΡΛΑ ΥΠΕΡΠΡΩΙΜΑ</t>
  </si>
  <si>
    <t>ΠΥΡΗΝΟΚΑΡΠΑ66060</t>
  </si>
  <si>
    <t>ΚΕΡΑΣΙΑ ΜΑΥΡΟ ΕΔΕΣΣΗΣ</t>
  </si>
  <si>
    <t>ΠΥΡΗΝΟΚΑΡΠΑ66061</t>
  </si>
  <si>
    <t>ΚΕΡΑΣΙΑ ΤΡΑΓΑΝΑ ΒΟΛΟΥ</t>
  </si>
  <si>
    <t>ΠΥΡΗΝΟΚΑΡΠΑ66062</t>
  </si>
  <si>
    <t>ΚΕΡΑΣΙΑ ΓΑΛΑΝΑ - ΝΑΠΟΛΕΩΝ</t>
  </si>
  <si>
    <t>ΠΥΡΗΝΟΚΑΡΠΑ66063</t>
  </si>
  <si>
    <t>ΚΕΡΑΣΙΑ ΦΡΑΟΥΛΑ ΒΟΛΟΥ</t>
  </si>
  <si>
    <t>ΠΥΡΗΝΟΚΑΡΠΑ66064</t>
  </si>
  <si>
    <t>ΚΕΡΑΣΙΑ ΛΟΙΠ. ΠΟΙΚΙΛ.</t>
  </si>
  <si>
    <t>ΠΥΡΗΝΟΚΑΡΠΑ66065</t>
  </si>
  <si>
    <t>ΚΕΡΑΣΙΑ ΒΑΝ</t>
  </si>
  <si>
    <t>ΠΥΡΗΝΟΚΑΡΠΑ66066</t>
  </si>
  <si>
    <t>ΚΕΡΑΣΙΑ ΧΑΡΝΤΙΖΑΝΤ</t>
  </si>
  <si>
    <t>ΠΥΡΗΝΟΚΑΡΠΑ66067</t>
  </si>
  <si>
    <t>ΚΕΡΑΣΙΑ ΜΑΡΜΟΝΤ</t>
  </si>
  <si>
    <t>ΠΥΡΗΝΟΚΑΡΠΑ66068</t>
  </si>
  <si>
    <t>ΚΕΡΑΣΙΑ ΠΙΣΤΟΓΙΑ</t>
  </si>
  <si>
    <t>ΠΥΡΗΝΟΚΑΡΠΑ66069</t>
  </si>
  <si>
    <t>ΚΕΡΑΣΙΑ ΜΠΙΓΚ</t>
  </si>
  <si>
    <t>ΠΥΡΗΝΟΚΑΡΠΑ66070</t>
  </si>
  <si>
    <t>ΚΕΡΑΣΙΑ ΣΤΕΛΛΑ</t>
  </si>
  <si>
    <t>ΠΥΡΗΝΟΚΑΡΠΑ66071</t>
  </si>
  <si>
    <t>ΚΕΡΑΣΙΑ ΔΕΛΜΑΡ</t>
  </si>
  <si>
    <t>ΠΥΡΗΝΟΚΑΡΠΑ66072</t>
  </si>
  <si>
    <t>ΚΕΡΑΣΙΑ ΠΡΙΜΑΒΕΡΑ</t>
  </si>
  <si>
    <t>ΠΥΡΗΝΟΚΑΡΠΑ66073</t>
  </si>
  <si>
    <t>ΚΕΡΑΣΙΑ ΒΕΡΟΝΑ</t>
  </si>
  <si>
    <t>ΠΥΡΗΝΟΚΑΡΠΑ66074</t>
  </si>
  <si>
    <t>ΚΕΡΑΣΙΑ ΛΑΜΠΕ</t>
  </si>
  <si>
    <t>ΠΥΡΗΝΟΚΑΡΠΑ66075</t>
  </si>
  <si>
    <t>ΚΕΡΑΣΙΑ ΒΑΛΕΡΑ</t>
  </si>
  <si>
    <t>ΠΥΡΗΝΟΚΑΡΠΑ66076</t>
  </si>
  <si>
    <t>ΚΕΡΑΣΙΑ ΦΕΡΟΒΙΑ</t>
  </si>
  <si>
    <t>ΠΥΡΗΝΟΚΑΡΠΑ66077</t>
  </si>
  <si>
    <t>ΚΕΡΑΣΙΑ ΝΤΟΥΙΛ</t>
  </si>
  <si>
    <t>ΠΥΡΗΝΟΚΑΡΠΑ66078</t>
  </si>
  <si>
    <t>ΚΕΡΑΣΙΑ ΒΟΓΚ</t>
  </si>
  <si>
    <t>ΠΥΡΗΝΟΚΑΡΠΑ66079</t>
  </si>
  <si>
    <t>ΚΕΡΑΣΙΑ ΛΑΡΙΕΝ</t>
  </si>
  <si>
    <t>ΠΥΡΗΝΟΚΑΡΠΑ66080</t>
  </si>
  <si>
    <t>ΚΕΡΑΣΙΑ ΣΑΜΠΑΡΜΠΣ</t>
  </si>
  <si>
    <t>ΠΥΡΗΝΟΚΑΡΠΑ66081</t>
  </si>
  <si>
    <t>ΚΕΡΑΣΙΑ ΚΟΚΚΙΝΟ ΑΝΑΣΤΑΣΙΑΣ</t>
  </si>
  <si>
    <t>ΠΥΡΗΝΟΚΑΡΠΑ66082</t>
  </si>
  <si>
    <t>ΚΕΡΑΣΙΑ ΧΕΝΤΕΛΦΙΓΚ</t>
  </si>
  <si>
    <t>ΠΥΡΗΝΟΚΑΡΠΑ66083</t>
  </si>
  <si>
    <t>ΚΕΡΑΣΙΑ ΤΣΙΝΟΥΚ</t>
  </si>
  <si>
    <t>ΠΥΡΗΝΟΚΑΡΠΑ66084</t>
  </si>
  <si>
    <t>ΚΕΡΑΣΙΑ ΓΚΙΓΙΩΜ</t>
  </si>
  <si>
    <t>ΠΥΡΗΝΟΚΑΡΠΑ66085</t>
  </si>
  <si>
    <t>ΚΕΡΑΣΙΑ ΚΡ21</t>
  </si>
  <si>
    <t>ΠΥΡΗΝΟΚΑΡΠΑ66086</t>
  </si>
  <si>
    <t>ΚΕΡΑΣΙΑ ΝΤΟΡΑΝΑ</t>
  </si>
  <si>
    <t>ΠΥΡΗΝΟΚΑΡΠΑ66087</t>
  </si>
  <si>
    <t>ΚΕΡΑΣΙΑ ΑΝΤΡΙΑΝΑ</t>
  </si>
  <si>
    <t>ΠΥΡΗΝΟΚΑΡΠΑ66088</t>
  </si>
  <si>
    <t>ΚΕΡΑΣΙΑ ΛΕΜΟΝΙΔΗ</t>
  </si>
  <si>
    <t>ΠΥΡΗΝΟΚΑΡΠΑ66089</t>
  </si>
  <si>
    <t>ΚΕΡΑΣΙΑ ΣΤΑΡΚΡΙΜΣΟΝ</t>
  </si>
  <si>
    <t>ΠΥΡΗΝΟΚΑΡΠΑ66090</t>
  </si>
  <si>
    <t>ΚΕΡΑΣΙΑ ΠΡΕΚΟΣ ΜΠΕΡΝΑΡ</t>
  </si>
  <si>
    <t>ΠΥΡΗΝΟΚΑΡΠΑ66091</t>
  </si>
  <si>
    <t>ΚΕΡΑΣΙΑ GERMERSDORFER</t>
  </si>
  <si>
    <t>ΠΥΡΗΝΟΚΑΡΠΑ66092</t>
  </si>
  <si>
    <t>ΚΕΡΑΣΙΑ ΜΙΣΕΛ ΝΟΥΑΡ</t>
  </si>
  <si>
    <t>ΠΥΡΗΝΟΚΑΡΠΑ66093</t>
  </si>
  <si>
    <t>ΚΕΡΑΣΙΑ ΒΑΣΙΛΕΙΑΔΗ</t>
  </si>
  <si>
    <t>ΠΥΡΗΝΟΚΑΡΠΑ66094</t>
  </si>
  <si>
    <t>ΚΕΡΑΣΙΑ ΤΖΩΡΤΖΙΑ</t>
  </si>
  <si>
    <t>ΠΥΡΗΝΟΚΑΡΠΑ66095</t>
  </si>
  <si>
    <t>ΚΕΡΑΣΙΑ ΚΑΝΑΝΤΙΑΝ ΤΖΑΪΑΝΤ</t>
  </si>
  <si>
    <t>ΠΥΡΗΝΟΚΑΡΠΑ66096</t>
  </si>
  <si>
    <t>ΚΕΡΑΣΙΑ ΣΕΝΤΑΚ</t>
  </si>
  <si>
    <t>ΠΥΡΗΝΟΚΑΡΠΑ66097</t>
  </si>
  <si>
    <t>ΚΕΡΑΣΙΑ ΣΟΥΪΤ ΧΑΡΤ</t>
  </si>
  <si>
    <t>ΠΥΡΗΝΟΚΑΡΠΑ66098</t>
  </si>
  <si>
    <t>ΚΕΡΑΣΙΑ ΜΠΑΚΙΡΤΖΕΙΚΑ</t>
  </si>
  <si>
    <t>ΠΥΡΗΝΟΚΑΡΠΑ66099</t>
  </si>
  <si>
    <t>ΚΕΡΑΣΙΑ ΦΑΝ ΛΕΙΤ</t>
  </si>
  <si>
    <t>ΠΥΡΗΝΟΚΑΡΠΑ66100</t>
  </si>
  <si>
    <t>ΚΕΡΑΣΙΑ ΓΚΡΕΙ ΣΤΑΡ</t>
  </si>
  <si>
    <t>ΠΥΡΗΝΟΚΑΡΠΑ66101</t>
  </si>
  <si>
    <t>ΚΕΡΑΣΙΑ ΕΡΛΥ ΣΤΑΡ</t>
  </si>
  <si>
    <t>ΠΥΡΗΝΟΚΑΡΠΑ66102</t>
  </si>
  <si>
    <t>ΚΕΡΑΣΙΑ ΣΝΑΙΝΤΕΡ (SCHNEIDER)</t>
  </si>
  <si>
    <t>ΠΥΡΗΝΟΚΑΡΠΑ66103</t>
  </si>
  <si>
    <t>ΚΕΡΑΣΙΑ ΡΕΓΓΙΝΑ</t>
  </si>
  <si>
    <t>ΠΥΡΗΝΟΚΑΡΠΑ66104</t>
  </si>
  <si>
    <t>ΚΕΡΑΣΙΑ SKEENA</t>
  </si>
  <si>
    <t>ΠΥΡΗΝΟΚΑΡΠΑ66105</t>
  </si>
  <si>
    <t>ΚΕΡΑΣΙΑ KORDIA</t>
  </si>
  <si>
    <t>ΠΥΡΗΝΟΚΑΡΠΑ66106</t>
  </si>
  <si>
    <t>ΚΕΡΑΣΙΑ ΛΑΠΕΝ</t>
  </si>
  <si>
    <t>ΠΥΡΗΝΟΚΑΡΠΑ66107</t>
  </si>
  <si>
    <t>ΝΕΚΤΑΡΙΝ ΜΕΪΜΠΕΛ</t>
  </si>
  <si>
    <t>ΠΥΡΗΝΟΚΑΡΠΑ66108</t>
  </si>
  <si>
    <t>ΝΕΚΤΑΡΙΝ ΜΕΪΡΕΝΤ</t>
  </si>
  <si>
    <t>ΠΥΡΗΝΟΚΑΡΠΑ66109</t>
  </si>
  <si>
    <t>ΝΕΚΤΑΡΙΝ ΑΡΜΚΙΝΓΚ</t>
  </si>
  <si>
    <t>ΠΥΡΗΝΟΚΑΡΠΑ66110</t>
  </si>
  <si>
    <t>ΝΕΚΤΑΡΙΝ ΕΡΛΥΤΖΕΜ</t>
  </si>
  <si>
    <t>ΠΥΡΗΝΟΚΑΡΠΑ66111</t>
  </si>
  <si>
    <t>ΝΕΚΤΑΡΙΝ ΚΡΙΜΣΟΝ ΓΚΟΛΝΤ</t>
  </si>
  <si>
    <t>ΠΥΡΗΝΟΚΑΡΠΑ66112</t>
  </si>
  <si>
    <t>ΝΕΚΤΑΡΙΝ ΡΕΝΤ ΤΖΙΟΥΝ</t>
  </si>
  <si>
    <t>ΠΥΡΗΝΟΚΑΡΠΑ66113</t>
  </si>
  <si>
    <t>ΝΕΚΤΑΡΙΝ ΜΕΪΓΚΡΑΝΤ</t>
  </si>
  <si>
    <t>ΠΥΡΗΝΟΚΑΡΠΑ66114</t>
  </si>
  <si>
    <t>ΝΕΚΤΑΡΙΝ ΣΤΑΡΚ ΕΡΛΥΜΠΛΕΪΖ</t>
  </si>
  <si>
    <t>ΠΥΡΗΝΟΚΑΡΠΑ66115</t>
  </si>
  <si>
    <t>ΝΕΚΤΑΡΙΝ. ΕΡΛΥ ΣΑΝΓΚΡΑΝΤ</t>
  </si>
  <si>
    <t>ΠΥΡΗΝΟΚΑΡΠΑ66116</t>
  </si>
  <si>
    <t>ΝΕΚΤΑΡΙΝ. ΙΝΤΙΠΕΝΤΕΝΣ</t>
  </si>
  <si>
    <t>ΠΥΡΗΝΟΚΑΡΠΑ66117</t>
  </si>
  <si>
    <t>ΝΕΚΤΑΡΙΝ. ΦΑΙΡΜΠΡΑΪΤ</t>
  </si>
  <si>
    <t>ΠΥΡΗΝΟΚΑΡΠΑ66118</t>
  </si>
  <si>
    <t>ΝΕΚΤΑΡΙΝ. ΡΑΜΠΕΤΓΚΟΛΝΤ</t>
  </si>
  <si>
    <t>ΠΥΡΗΝΟΚΑΡΠΑ66119</t>
  </si>
  <si>
    <t>ΝΕΚΤΑΡΙΝΙΑ Νο 4</t>
  </si>
  <si>
    <t>ΠΥΡΗΝΟΚΑΡΠΑ66120</t>
  </si>
  <si>
    <t>ΝΕΚΤΑΡΙΝΙΑ Νο 5</t>
  </si>
  <si>
    <t>ΠΥΡΗΝΟΚΑΡΠΑ66121</t>
  </si>
  <si>
    <t>ΝΕΚΤΑΡΙΝΙΑ Νο 6</t>
  </si>
  <si>
    <t>ΠΥΡΗΝΟΚΑΡΠΑ66122</t>
  </si>
  <si>
    <t>ΝΕΚΤΑΡΙΝ. ΣΤΑΡΚ ΣΑΝ ΓΚΛΟ</t>
  </si>
  <si>
    <t>ΠΥΡΗΝΟΚΑΡΠΑ66123</t>
  </si>
  <si>
    <t>ΝΕΚΤΑΡΙΝ. ΦΛΕΪΒΟΡ ΤΟΠ</t>
  </si>
  <si>
    <t>ΠΥΡΗΝΟΚΑΡΠΑ66124</t>
  </si>
  <si>
    <t>ΝΕΚΤΑΡΙΝ. ΣΤΑΡΚ ΡΕΝΤ ΓΚΟΛΝΤ</t>
  </si>
  <si>
    <t>ΠΥΡΗΝΟΚΑΡΠΑ66125</t>
  </si>
  <si>
    <t>ΝΕΚΤΑΡΙΝ. ΦΑΝΤΑΣΙΑ</t>
  </si>
  <si>
    <t>ΠΥΡΗΝΟΚΑΡΠΑ66126</t>
  </si>
  <si>
    <t>ΝΕΚΤΑΡΙΝΙΑ Νο 8</t>
  </si>
  <si>
    <t>ΠΥΡΗΝΟΚΑΡΠΑ66127</t>
  </si>
  <si>
    <t>ΝΕΚΤΑΡΙΝΙΑ Νο 9</t>
  </si>
  <si>
    <t>ΠΥΡΗΝΟΚΑΡΠΑ66128</t>
  </si>
  <si>
    <t>ΝΕΚΤΑΡΙΝ. ΦΛΕΪΜ ΚΙΣ</t>
  </si>
  <si>
    <t>ΠΥΡΗΝΟΚΑΡΠΑ66129</t>
  </si>
  <si>
    <t>ΝΕΚΤΑΡΙΝ. ΦΕΑΡΛΕΪΝ</t>
  </si>
  <si>
    <t>ΠΥΡΗΝΟΚΑΡΠΑ66130</t>
  </si>
  <si>
    <t>ΝΕΚΤΑΡΙΝ. Φ100 ΜΕΣΟΠΡ.</t>
  </si>
  <si>
    <t>ΠΥΡΗΝΟΚΑΡΠΑ66131</t>
  </si>
  <si>
    <t>ΝΕΚΤΑΡΙΝ. Κ. ΜΕΛΙΚΗ</t>
  </si>
  <si>
    <t>ΠΥΡΗΝΟΚΑΡΠΑ66132</t>
  </si>
  <si>
    <t>ΝΕΚΤΑΡΙΝ. ΑΟΥΡΕΛΙΑ ΓΚΡΑΝΤ</t>
  </si>
  <si>
    <t>ΠΥΡΗΝΟΚΑΡΠΑ66133</t>
  </si>
  <si>
    <t>ΝΕΚΤΑΡΙΝ. ΜΑΡΙΑ ΑΙΜΙΛΙΑ</t>
  </si>
  <si>
    <t>ΠΥΡΗΝΟΚΑΡΠΑ66134</t>
  </si>
  <si>
    <t>ΝΕΚΤΑΡΙΝ. ΣΝΟΟΥ ΚΟΥΪΝ</t>
  </si>
  <si>
    <t>ΠΥΡΗΝΟΚΑΡΠΑ66135</t>
  </si>
  <si>
    <t>ΝΕΚΤΑΡΙΝ. ΣΠΡΙΝΓΚ ΡΕΝΤ</t>
  </si>
  <si>
    <t>ΠΥΡΗΝΟΚΑΡΠΑ66136</t>
  </si>
  <si>
    <t>ΝΕΚΤΑΡΙΝ. ΣΑΜΕΡ ΓΚΟΛΝΤ</t>
  </si>
  <si>
    <t>ΠΥΡΗΝΟΚΑΡΠΑ66137</t>
  </si>
  <si>
    <t>ΝΕΚΤΑΡΙΝ. ΣΟΥΠΕΡ ΡΕΝΤ</t>
  </si>
  <si>
    <t>ΠΥΡΗΝΟΚΑΡΠΑ66138</t>
  </si>
  <si>
    <t>ΝΕΚΤΑΡΙΝ. ΜΑΤΣΟΥΚΕΛΑ</t>
  </si>
  <si>
    <t>ΠΥΡΗΝΟΚΑΡΠΑ66139</t>
  </si>
  <si>
    <t>ΝΕΚΤΑΡΙΝ. ΓΟΥΑΪΝΜΠΕΡΓΚΕΡ</t>
  </si>
  <si>
    <t>ΠΥΡΗΝΟΚΑΡΠΑ66140</t>
  </si>
  <si>
    <t>ΝΕΚΤΑΡΙΝ. ΤΕΪΣΤΙΦΡΙ</t>
  </si>
  <si>
    <t>ΠΥΡΗΝΟΚΑΡΠΑ66141</t>
  </si>
  <si>
    <t>ΝΕΚΤΑΡΙΝ. ΟΤΟΜΝΦΡΙ</t>
  </si>
  <si>
    <t>ΠΥΡΗΝΟΚΑΡΠΑ66142</t>
  </si>
  <si>
    <t>ΝΕΚΤΑΡΙΝ. ΣΟΥΠΕΡ ΚΡΙΜΣΟΝ</t>
  </si>
  <si>
    <t>ΠΥΡΗΝΟΚΑΡΠΑ66143</t>
  </si>
  <si>
    <t>ΝΕΚΤΑΡΙΝ. ΚΑΛ-84</t>
  </si>
  <si>
    <t>ΠΥΡΗΝΟΚΑΡΠΑ66144</t>
  </si>
  <si>
    <t>ΝΕΚΤΑΡΙΝΙΑ Νο 2</t>
  </si>
  <si>
    <t>ΠΥΡΗΝΟΚΑΡΠΑ66145</t>
  </si>
  <si>
    <t>ΝΕΚΤΑΡΙΝΙΑ Νο 3</t>
  </si>
  <si>
    <t>ΠΥΡΗΝΟΚΑΡΠΑ66146</t>
  </si>
  <si>
    <t>ΝΕΚΤΑΡΙΝΙΑ ΒΕΝΟΥΣ</t>
  </si>
  <si>
    <t>ΠΥΡΗΝΟΚΑΡΠΑ66147</t>
  </si>
  <si>
    <t>ΝΕΚΤΑΡΙΝ. ΚΑΛΤΕΖΙ 2000</t>
  </si>
  <si>
    <t>ΠΥΡΗΝΟΚΑΡΠΑ66148</t>
  </si>
  <si>
    <t>ΝΕΚΤΑΡΙΝ. ΚΑΛΤΕΖΙ 2010</t>
  </si>
  <si>
    <t>ΠΥΡΗΝΟΚΑΡΠΑ66149</t>
  </si>
  <si>
    <t>ΝΕΚΤΑΡΙΝ. ΚΑΛΤΕΖΙ 2020</t>
  </si>
  <si>
    <t>ΠΥΡΗΝΟΚΑΡΠΑ66150</t>
  </si>
  <si>
    <t>ΝΕΚΤΑΡΙΝ. ΚΑΣΣΙΟΠΗ</t>
  </si>
  <si>
    <t>ΠΥΡΗΝΟΚΑΡΠΑ66151</t>
  </si>
  <si>
    <t>ΝΕΚΤΑΡΙΝ. ΛΕΓΚΡΑΝΤ</t>
  </si>
  <si>
    <t>ΠΥΡΗΝΟΚΑΡΠΑ66152</t>
  </si>
  <si>
    <t>ΝΕΚΤΑΡΙΝ. ΒΕΓΚΑΣ</t>
  </si>
  <si>
    <t>ΠΥΡΗΝΟΚΑΡΠΑ66153</t>
  </si>
  <si>
    <t>ΝΕΚΤΑΡΙΝΙΑ Νο7</t>
  </si>
  <si>
    <t>ΠΥΡΗΝΟΚΑΡΠΑ66154</t>
  </si>
  <si>
    <t>ΝΕΚΤΑΡΙΝ. ΠΕΚΑΣΟ</t>
  </si>
  <si>
    <t>ΠΥΡΗΝΟΚΑΡΠΑ66155</t>
  </si>
  <si>
    <t>ΝΕΚΤΑΡΙΝ. ΙΝΤΕΡ ΜΠΙΑΝΚΑ</t>
  </si>
  <si>
    <t>ΠΥΡΗΝΟΚΑΡΠΑ66156</t>
  </si>
  <si>
    <t>ΝΕΚΤΑΡΙΝ. ΣΑΝ ΦΡΙ</t>
  </si>
  <si>
    <t>ΠΥΡΗΝΟΚΑΡΠΑ66157</t>
  </si>
  <si>
    <t>ΝΕΚΤΑΡΙΝ. ΚΑΛΙΦΟΡΝΙΑ</t>
  </si>
  <si>
    <t>ΠΥΡΗΝΟΚΑΡΠΑ66158</t>
  </si>
  <si>
    <t>ΝΕΚΤΑΡΙΝ. ΤΖΟΥΛΙΕΤ</t>
  </si>
  <si>
    <t>ΠΥΡΗΝΟΚΑΡΠΑ66159</t>
  </si>
  <si>
    <t>ΝΕΚΤΑΡΙΝΙΑ Φ14</t>
  </si>
  <si>
    <t>ΠΥΡΗΝΟΚΑΡΠΑ66160</t>
  </si>
  <si>
    <t>ΝΕΚΤΑΡΙΝ. ΣΑΜΕΡ ΓΚΡΑΝΤ</t>
  </si>
  <si>
    <t>ΠΥΡΗΝΟΚΑΡΠΑ66161</t>
  </si>
  <si>
    <t>ΝΕΚΤΑΡΙΝ. ΦΡΙΝΤΙ</t>
  </si>
  <si>
    <t>ΠΥΡΗΝΟΚΑΡΠΑ66162</t>
  </si>
  <si>
    <t>ΝΕΚΤΑΡΙΝ. ΝΕΚΤΑΡΟΣ</t>
  </si>
  <si>
    <t>ΠΥΡΗΝΟΚΑΡΠΑ66163</t>
  </si>
  <si>
    <t>ΝΕΚΤΑΡΙΝ. ΦΕΝΤΑΛΕΪΤ</t>
  </si>
  <si>
    <t>ΠΥΡΗΝΟΚΑΡΠΑ66164</t>
  </si>
  <si>
    <t>ΝΕΚΤΑΡΙΝ. ΚΑΛΤΕΖΙ 85</t>
  </si>
  <si>
    <t>ΠΥΡΗΝΟΚΑΡΠΑ66165</t>
  </si>
  <si>
    <t>ΝΕΚΤΑΡΙΝ. ΡΕΝΤΦΕΑΡ</t>
  </si>
  <si>
    <t>ΠΥΡΗΝΟΚΑΡΠΑ66166</t>
  </si>
  <si>
    <t>ΝΕΚΤΑΡΙΝ. ΣΤΑΡ ΓΚΡΑΝΤ</t>
  </si>
  <si>
    <t>ΠΥΡΗΝΟΚΑΡΠΑ66167</t>
  </si>
  <si>
    <t>ΝΕΚΤΑΡΙΝ. ΟΥΪΛΣΟΝ</t>
  </si>
  <si>
    <t>ΠΥΡΗΝΟΚΑΡΠΑ66168</t>
  </si>
  <si>
    <t>ΝΕΚΤΑΡΙΝ. ΣΙΛΒΕΡ ΚΙΝΓΚ</t>
  </si>
  <si>
    <t>ΠΥΡΗΝΟΚΑΡΠΑ66169</t>
  </si>
  <si>
    <t>ΝΕΚΤΑΡΙΝ. ΡΙΤΑ ΣΤΑΡ</t>
  </si>
  <si>
    <t>ΠΥΡΗΝΟΚΑΡΠΑ66170</t>
  </si>
  <si>
    <t>ΝΕΚΤΑΡΙΝ. ΡΕΝΤ ΝΤΙΛΑΪΤ</t>
  </si>
  <si>
    <t>ΠΥΡΗΝΟΚΑΡΠΑ66171</t>
  </si>
  <si>
    <t>ΝΕΚΤΑΡΙΝ. ΜΟΡΣΙΑΝΙ</t>
  </si>
  <si>
    <t>ΠΥΡΗΝΟΚΑΡΠΑ66172</t>
  </si>
  <si>
    <t>ΝΕΚΤΑΡΙΝ. ΝΙΚΗ</t>
  </si>
  <si>
    <t>ΠΥΡΗΝΟΚΑΡΠΑ66173</t>
  </si>
  <si>
    <t>ΝΕΚΤΑΡΙΝ. ΑΡΜΟΝΙΑ</t>
  </si>
  <si>
    <t>ΠΥΡΗΝΟΚΑΡΠΑ66174</t>
  </si>
  <si>
    <t>ΝΕΚΤΑΡΙΝ. ΦΛΕΪΒΟΡ ΓΚΟΛΝΤ</t>
  </si>
  <si>
    <t>ΠΥΡΗΝΟΚΑΡΠΑ66175</t>
  </si>
  <si>
    <t>ΝΕΚΤΑΡΙΝ. ΝΤΕΛΙΣΙΟΥΣ ΣΟΥΪΤ</t>
  </si>
  <si>
    <t>ΠΥΡΗΝΟΚΑΡΠΑ66176</t>
  </si>
  <si>
    <t>ΝΕΚΤΑΡΙΝ. ΜΙΡΕΝΤΣΙ</t>
  </si>
  <si>
    <t>ΠΥΡΗΝΟΚΑΡΠΑ66177</t>
  </si>
  <si>
    <t>ΝΕΚΤΑΡΙΝ. ΜΠΙΓΚ ΤΟΠ</t>
  </si>
  <si>
    <t>ΠΥΡΗΝΟΚΑΡΠΑ66178</t>
  </si>
  <si>
    <t>ΝΕΚΤΑΡ. ΜΕΙ ΣΤΑΡ</t>
  </si>
  <si>
    <t>ΠΥΡΗΝΟΚΑΡΠΑ66179</t>
  </si>
  <si>
    <t>ΝΕΚΤΑΡ. ΑΝΤΡΙΑΝΑ</t>
  </si>
  <si>
    <t>ΠΥΡΗΝΟΚΑΡΠΑ66180</t>
  </si>
  <si>
    <t>ΝΕΚΤΑΡΙΝΙΑ ΔΙΑΦΟΡΩΝ ΠΟΙΚΙΛΙΩΝ ΠΡΩΙΜΑ</t>
  </si>
  <si>
    <t>ΠΥΡΗΝΟΚΑΡΠΑ66181</t>
  </si>
  <si>
    <t>ΝΕΚΤΑΡΙΝΙΑ ΔΙΑΦΟΡΩΝ ΠΟΙΚΙΛΙΩΝ ΜΕΣΟΠΡΩΙΜΑ</t>
  </si>
  <si>
    <t>ΠΥΡΗΝΟΚΑΡΠΑ66182</t>
  </si>
  <si>
    <t>ΝΕΚΤΑΡΙΝΙΑ ΔΙΑΦΟΡΩΝ ΠΟΙΚΙΛΙΩΝ ΟΨΙΜΑ</t>
  </si>
  <si>
    <t>ΠΥΡΗΝΟΚΑΡΠΑ66183</t>
  </si>
  <si>
    <t>ΝΕΚΤΑΡΙΝΙΑ ΡΟΖ ΝΤΑΪΜΟΝΤ</t>
  </si>
  <si>
    <t>ΠΥΡΗΝΟΚΑΡΠΑ66184</t>
  </si>
  <si>
    <t>ΝΕΚΤΑΡΙΝΙΑ ΛΑΟΥΡΑ</t>
  </si>
  <si>
    <t>ΠΥΡΗΝΟΚΑΡΠΑ66185</t>
  </si>
  <si>
    <t>ΝΕΚΤΑΡΙΝΙΑ ΑΜΠΡΑ</t>
  </si>
  <si>
    <t>ΠΥΡΗΝΟΚΑΡΠΑ66186</t>
  </si>
  <si>
    <t>ΝΕΚΤΑΡΙΝΙΑ ΩΡΙΩΝ</t>
  </si>
  <si>
    <t>ΠΥΡΗΝΟΚΑΡΠΑ66187</t>
  </si>
  <si>
    <t>ΝΕΚΤΑΡΙΝΙΑ ΣΠΡΙΝΓΚ ΜΠΡΑΪΤ</t>
  </si>
  <si>
    <t>ΠΥΡΗΝΟΚΑΡΠΑ66188</t>
  </si>
  <si>
    <t>ΝΕΚΤΑΡΙΝΙΑ ΣΙΝΘΙΑ</t>
  </si>
  <si>
    <t>ΠΥΡΗΝΟΚΑΡΠΑ66189</t>
  </si>
  <si>
    <t>ΝΕΚΤΑΡΙΝΙΑ ΕΡΛΥ ΝΤΡΙΜ</t>
  </si>
  <si>
    <t>ΠΥΡΗΝΟΚΑΡΠΑ66190</t>
  </si>
  <si>
    <t>ΡΟΔΑΚΙΝΑ ΡΟΥΑΓΙΑΛ ΕΪΠΡΙΛ</t>
  </si>
  <si>
    <t>ΠΥΡΗΝΟΚΑΡΠΑ66191</t>
  </si>
  <si>
    <t>ΡΟΔΑΚΙΝΑ ΕΡΛΥΚΡΕΣΤ</t>
  </si>
  <si>
    <t>ΠΥΡΗΝΟΚΑΡΠΑ66192</t>
  </si>
  <si>
    <t>ΡΟΔΑΚΙΝΑ ΣΠΡΙΝΓΚΤΑΪΜ ΥΠΕΡΠΡΩΙΜΗ</t>
  </si>
  <si>
    <t>ΠΥΡΗΝΟΚΑΡΠΑ66193</t>
  </si>
  <si>
    <t>ΡΟΔΑΚΙΝΑ ΣΠΡΙΝΓΚΤΑΪΜ</t>
  </si>
  <si>
    <t>ΠΥΡΗΝΟΚΑΡΠΑ66194</t>
  </si>
  <si>
    <t>ΡΟΔΑΚΙΝΑ ΡΟΥΑΓΙΑΛ ΓΚΟΛΝΤ</t>
  </si>
  <si>
    <t>ΠΥΡΗΝΟΚΑΡΠΑ66195</t>
  </si>
  <si>
    <t>ΡΟΔΑΚΙΝΑ ΑΡΜ ΓΚΟΛΝΤ</t>
  </si>
  <si>
    <t>ΠΥΡΗΝΟΚΑΡΠΑ66196</t>
  </si>
  <si>
    <t>ΡΟΔΑΚΙΝΑ ΜΕΪΚΡΕΣΤ</t>
  </si>
  <si>
    <t>ΠΥΡΗΝΟΚΑΡΠΑ66197</t>
  </si>
  <si>
    <t>ΡΟΔΑΚΙΝΑ ΣΠΡΙΝΓΚ ΚΡΕΣΤ</t>
  </si>
  <si>
    <t>ΠΥΡΗΝΟΚΑΡΠΑ66198</t>
  </si>
  <si>
    <t>ΡΟΔΑΚΙΝΑ ΕΡΛΥΡΕΝΤ</t>
  </si>
  <si>
    <t>ΠΥΡΗΝΟΚΑΡΠΑ66199</t>
  </si>
  <si>
    <t>ΡΟΔΑΚΙΝΑ ΕΡΛΥ ΚΟΡΟΝΕΤ</t>
  </si>
  <si>
    <t>ΠΥΡΗΝΟΚΑΡΠΑ66200</t>
  </si>
  <si>
    <t>ΡΟΔΑΚΙΝΑ ΤΖΟΥΝΓΚΟΛΝΤ</t>
  </si>
  <si>
    <t>ΠΥΡΗΝΟΚΑΡΠΑ66201</t>
  </si>
  <si>
    <t>ΡΟΔΑΚΙΝΑ ΡΟΥΑΓΙΑΛ ΜΕΪ</t>
  </si>
  <si>
    <t>ΠΥΡΗΝΟΚΑΡΠΑ66202</t>
  </si>
  <si>
    <t>ΡΟΔΑΚΙΝΑ ΜΕΡΙΛ ΤΖΕΜ ΦΡΙ</t>
  </si>
  <si>
    <t>ΠΥΡΗΝΟΚΑΡΠΑ66203</t>
  </si>
  <si>
    <t>ΡΟΔΑΚΙΝΑ ΚΑΡΝΤΙΝΑΛ</t>
  </si>
  <si>
    <t>ΠΥΡΗΝΟΚΑΡΠΑ66204</t>
  </si>
  <si>
    <t>ΡΟΔΑΚΙΝΑ ΝΤΙΞΙΡΕΝΤ</t>
  </si>
  <si>
    <t>ΠΥΡΗΝΟΚΑΡΠΑ66205</t>
  </si>
  <si>
    <t>ΡΟΔΑΚΙΝΑ ΡΕΝΤ ΚΑΠ</t>
  </si>
  <si>
    <t>ΠΥΡΗΝΟΚΑΡΠΑ66206</t>
  </si>
  <si>
    <t>ΡΟΔΑΚΙΝΑ ΣΑΝ ΧΑΒΕΝ</t>
  </si>
  <si>
    <t>ΠΥΡΗΝΟΚΑΡΠΑ66207</t>
  </si>
  <si>
    <t>ΡΟΔΑΚΙΝΑ ΜΕΡΙΛΤΖΕΜ</t>
  </si>
  <si>
    <t>ΠΥΡΗΝΟΚΑΡΠΑ66208</t>
  </si>
  <si>
    <t>ΡΟΔΑΚ. ΡΕΝΤΜΠΕΡΝΤ ΚΛΙΝΚ,  ΑΜΕΡΙΚΑΝ</t>
  </si>
  <si>
    <t>ΠΥΡΗΝΟΚΑΡΠΑ66209</t>
  </si>
  <si>
    <t>ΡΟΔΑΚΙΝΑ ΤΖΕΡΣΕΫΛΑΝΤ</t>
  </si>
  <si>
    <t>ΠΥΡΗΝΟΚΑΡΠΑ66210</t>
  </si>
  <si>
    <t>ΡΟΔΑΚΙΝΑ ΡΕΓΚΙΝΑ</t>
  </si>
  <si>
    <t>ΠΥΡΗΝΟΚΑΡΠΑ66211</t>
  </si>
  <si>
    <t>ΡΟΔΑΚΙΝΑ ΕΡΛΥ ΡΕΝΤ ΧΑΒΕΝ</t>
  </si>
  <si>
    <t>ΠΥΡΗΝΟΚΑΡΠΑ66212</t>
  </si>
  <si>
    <t>ΡΟΔΑΚΙΝΑ ΚΟΡΟΝΕΤ</t>
  </si>
  <si>
    <t>ΠΥΡΗΝΟΚΑΡΠΑ66213</t>
  </si>
  <si>
    <t>ΡΟΔΑΚΙΝΑ ΑΜΣΝΤΕΝ</t>
  </si>
  <si>
    <t>ΠΥΡΗΝΟΚΑΡΠΑ66214</t>
  </si>
  <si>
    <t>ΡΟΔΑΚΙΝΑ ΡΕΝΤ ΧΑΒΕΝ</t>
  </si>
  <si>
    <t>ΠΥΡΗΝΟΚΑΡΠΑ66215</t>
  </si>
  <si>
    <t>ΡΟΔΑΚΙΝΑ ΣΑΝΚΛΑΟΥΝΤ</t>
  </si>
  <si>
    <t>ΠΥΡΗΝΟΚΑΡΠΑ66216</t>
  </si>
  <si>
    <t>ΡΟΔΑΚΙΝΑ ΣΑΟΥΘΛΑΝΤ</t>
  </si>
  <si>
    <t>ΠΥΡΗΝΟΚΑΡΠΑ66217</t>
  </si>
  <si>
    <t>ΡΟΔΑΚΙΝΑ ΦΕΡ ΧΑΒΕΝ</t>
  </si>
  <si>
    <t>ΠΥΡΗΝΟΚΑΡΠΑ66218</t>
  </si>
  <si>
    <t>ΡΟΔΑΚΙΝΑ ΡΕΝΤ ΓΚΛΟΟΥΜΠ</t>
  </si>
  <si>
    <t>ΠΥΡΗΝΟΚΑΡΠΑ66219</t>
  </si>
  <si>
    <t>ΡΟΔΑΚΙΝΑ ΛΙΠΟΧΩΡΙΟΥ</t>
  </si>
  <si>
    <t>ΠΥΡΗΝΟΚΑΡΠΑ66220</t>
  </si>
  <si>
    <t>ΡΟΔΑΚΙΝΑ ΛΟΡΙΝΓΚ</t>
  </si>
  <si>
    <t>ΠΥΡΗΝΟΚΑΡΠΑ66221</t>
  </si>
  <si>
    <t>ΡΟΔΑΚΙΝΑ ΣΑΝ ΚΡΕΣΤ</t>
  </si>
  <si>
    <t>ΠΥΡΗΝΟΚΑΡΠΑ66222</t>
  </si>
  <si>
    <t>ΡΟΔΑΚ. ΜΠΛΕΪΚ, ΡΕΝΤΣΚΙΝ</t>
  </si>
  <si>
    <t>ΠΥΡΗΝΟΚΑΡΠΑ66223</t>
  </si>
  <si>
    <t>ΡΟΔΑΚΙΝΑ ΠΗΛΙΟΥ</t>
  </si>
  <si>
    <t>ΠΥΡΗΝΟΚΑΡΠΑ66224</t>
  </si>
  <si>
    <t>ΡΟΔΑΚΙΝΑ ΜΙΣΕΛΕΝ</t>
  </si>
  <si>
    <t>ΠΥΡΗΝΟΚΑΡΠΑ66225</t>
  </si>
  <si>
    <t>ΡΟΔΑΚΙΝΑ ΕΛΜΠΕΡΤΑ ΠΡΩΪΜΗ</t>
  </si>
  <si>
    <t>ΠΥΡΗΝΟΚΑΡΠΑ66226</t>
  </si>
  <si>
    <t>ΡΟΔΑΚΙΝΑ ΕΛΜΠΕΡΤΑ ΜΕΣΟΠΡΩΪΜΗ</t>
  </si>
  <si>
    <t>ΠΥΡΗΝΟΚΑΡΠΑ66227</t>
  </si>
  <si>
    <t>ΡΟΔΑΚΙΝΑ ΕΛΜΠΕΡΤΑ ΟΨΙΜΗ</t>
  </si>
  <si>
    <t>ΠΥΡΗΝΟΚΑΡΠΑ66228</t>
  </si>
  <si>
    <t>ΡΟΔΑΚΙΝΑ ΧΑΛ</t>
  </si>
  <si>
    <t>ΠΥΡΗΝΟΚΑΡΠΑ66229</t>
  </si>
  <si>
    <t>ΡΟΔΑΚΙΝΑ ΧΑΛ ΚΟΣΜΑ</t>
  </si>
  <si>
    <t>ΠΥΡΗΝΟΚΑΡΠΑ66230</t>
  </si>
  <si>
    <t>ΡΟΔΑΚΙΝΑ ΧΑΝΕΪ ΝΤΙΟΥ ΧΕΪΛ</t>
  </si>
  <si>
    <t>ΠΥΡΗΝΟΚΑΡΠΑ66231</t>
  </si>
  <si>
    <t>ΡΟΔΑΚΙΝΑ ΦΕΑΡ ΤΑΪΜ</t>
  </si>
  <si>
    <t>ΠΥΡΗΝΟΚΑΡΠΑ66232</t>
  </si>
  <si>
    <t>ΡΟΔΑΚΙΝΑ ΚΟΤΟΝΙΑ ΜΑΣΙΜΑ</t>
  </si>
  <si>
    <t>ΠΥΡΗΝΟΚΑΡΠΑ66233</t>
  </si>
  <si>
    <t>ΡΟΔΑΚΙΝΑ ΔΙΑΦ. ΥΠΕΡΠΡΩΪΜΑ</t>
  </si>
  <si>
    <t>ΠΥΡΗΝΟΚΑΡΠΑ66234</t>
  </si>
  <si>
    <t>ΡΟΔΑΚΙΝΑ ΔΙΑΦ. ΠΡΩΪΜΑ</t>
  </si>
  <si>
    <t>ΠΥΡΗΝΟΚΑΡΠΑ66235</t>
  </si>
  <si>
    <t>ΡΟΔΑΚΙΝΑ ΔΙΑΦ. ΜΕΣΟΠΡΩΪΜΑ</t>
  </si>
  <si>
    <t>ΠΥΡΗΝΟΚΑΡΠΑ66236</t>
  </si>
  <si>
    <t>ΡΟΔΑΚΙΝΑ ΔΙΑΦ. ΟΨΙΜΑ</t>
  </si>
  <si>
    <t>ΠΥΡΗΝΟΚΑΡΠΑ66237</t>
  </si>
  <si>
    <t>ΡΟΔΑΚΙΝΑ ΡΟΥΜΠΙΝΤΟΥ</t>
  </si>
  <si>
    <t>ΠΥΡΗΝΟΚΑΡΠΑ66238</t>
  </si>
  <si>
    <t>ΡΟΔΑΚΙΝΑ ΔΟΥΚΙΣΣΑ</t>
  </si>
  <si>
    <t>ΠΥΡΗΝΟΚΑΡΠΑ66239</t>
  </si>
  <si>
    <t>ΡΟΔΑΚΙΝΑ ΜΕΡΙΛ ΦΙΕΣΤΑ</t>
  </si>
  <si>
    <t>ΠΥΡΗΝΟΚΑΡΠΑ66240</t>
  </si>
  <si>
    <t>ΡΟΔΑΚΙΝΑ ΒΙΚΤΩΡΙΑ</t>
  </si>
  <si>
    <t>ΠΥΡΗΝΟΚΑΡΠΑ66241</t>
  </si>
  <si>
    <t>ΡΟΔΑΚΙΝΑ ΜΑΡΙΑ ΜΠΙΑΝΚΑ</t>
  </si>
  <si>
    <t>ΠΥΡΗΝΟΚΑΡΠΑ66242</t>
  </si>
  <si>
    <t>ΡΟΔΑΚΙΝΑ ΚΑΡΛ ΡΕΝΤ</t>
  </si>
  <si>
    <t>ΠΥΡΗΝΟΚΑΡΠΑ66243</t>
  </si>
  <si>
    <t>ΡΟΔΑΚΙΝΑ ΣΠΡΙΝΓΚ ΛΕΪΝΤΥ</t>
  </si>
  <si>
    <t>ΠΥΡΗΝΟΚΑΡΠΑ66244</t>
  </si>
  <si>
    <t>ΡΟΔΑΚΙΝΑ ΡΕΝΤ ΚΑΛ</t>
  </si>
  <si>
    <t>ΠΥΡΗΝΟΚΑΡΠΑ66245</t>
  </si>
  <si>
    <t>ΡΟΔΑΚΙΝΑ ΔΕΛΗΣΑΒΒΑ</t>
  </si>
  <si>
    <t>ΠΥΡΗΝΟΚΑΡΠΑ66246</t>
  </si>
  <si>
    <t>ΡΟΔΑΚΙΝΑ ΦΑΓΙΕΤ</t>
  </si>
  <si>
    <t>ΠΥΡΗΝΟΚΑΡΠΑ66247</t>
  </si>
  <si>
    <t>ΡΟΔΑΚ. ΜΕΡΙΛ ΦΡΑΝΤΖΕΣΚΑΪΝ</t>
  </si>
  <si>
    <t>ΠΥΡΗΝΟΚΑΡΠΑ66248</t>
  </si>
  <si>
    <t>ΡΟΔΑΚΙΝΑ ΤΟΣΚΙΝΑ</t>
  </si>
  <si>
    <t>ΠΥΡΗΝΟΚΑΡΠΑ66249</t>
  </si>
  <si>
    <t>ΡΟΔΑΚΙΝΑ ΡΕΝΤ ΤΟΠ</t>
  </si>
  <si>
    <t>ΠΥΡΗΝΟΚΑΡΠΑ66250</t>
  </si>
  <si>
    <t>ΡΟΔΑΚΙΝΑ ΣΑΝ ΚΛΑΟΥΣ</t>
  </si>
  <si>
    <t>ΠΥΡΗΝΟΚΑΡΠΑ66251</t>
  </si>
  <si>
    <t>ΡΟΔΑΚΙΝΑ ΜΕΪ ΓΚΟΛΝΤ</t>
  </si>
  <si>
    <t>ΠΥΡΗΝΟΚΑΡΠΑ66252</t>
  </si>
  <si>
    <t>ΡΟΔΑΚΙΝΑ ΚΑΠΤΕΝ</t>
  </si>
  <si>
    <t>ΠΥΡΗΝΟΚΑΡΠΑ66253</t>
  </si>
  <si>
    <t>ΡΟΔΑΚΙΝΑ ΠΑΠΑΓΙΑΝΝΗ</t>
  </si>
  <si>
    <t>ΠΥΡΗΝΟΚΑΡΠΑ66254</t>
  </si>
  <si>
    <t>ΡΟΔΑΚΙΝΑ ΜΟΡΕΤΤΙΝΙ</t>
  </si>
  <si>
    <t>ΠΥΡΗΝΟΚΑΡΠΑ66255</t>
  </si>
  <si>
    <t>ΡΟΔΑΚΙΝΑ ΠΡΙΓΚΗΠΙΣΣΑ ΑΝΝΑ</t>
  </si>
  <si>
    <t>ΠΥΡΗΝΟΚΑΡΠΑ66256</t>
  </si>
  <si>
    <t>ΡΟΔΑΚΙΝΑ ΓΚΡΕΖΑΝΟ</t>
  </si>
  <si>
    <t>ΠΥΡΗΝΟΚΑΡΠΑ66257</t>
  </si>
  <si>
    <t>ΡΟΔΑΚΙΝΑ ΦΛΕΪΒΟΡ ΚΡΕΣΤ</t>
  </si>
  <si>
    <t>ΠΥΡΗΝΟΚΑΡΠΑ66258</t>
  </si>
  <si>
    <t>ΡΟΔΑΚΙΝΑ ΟΨΙΜΟ ΝΑΟΥΣΣΑΣ</t>
  </si>
  <si>
    <t>ΠΥΡΗΝΟΚΑΡΠΑ66259</t>
  </si>
  <si>
    <t>ΡΟΔΑΚΙΝΑ ΒΙΛΙ ΜΠΡΑΟΥΝ</t>
  </si>
  <si>
    <t>ΠΥΡΗΝΟΚΑΡΠΑ66260</t>
  </si>
  <si>
    <t>ΡΟΔΑΚΙΝΑ Κ. ΗΜΑΘΙΑΣ</t>
  </si>
  <si>
    <t>ΠΥΡΗΝΟΚΑΡΠΑ66261</t>
  </si>
  <si>
    <t>ΡΟΔΑΚΙΝΑ ΠΑΟΛΑ ΚΑΒΙΚΙ</t>
  </si>
  <si>
    <t>ΠΥΡΗΝΟΚΑΡΠΑ66262</t>
  </si>
  <si>
    <t>ΡΟΔΑΚΙΝΑ ΑΪΡΙΣ ΡΟΣΟ</t>
  </si>
  <si>
    <t>ΠΥΡΗΝΟΚΑΡΠΑ66263</t>
  </si>
  <si>
    <t>ΡΟΔΑΚΙΝΑ ΤΖΟΥΛΑΪ ΛΕΪΝΤΥ</t>
  </si>
  <si>
    <t>ΠΥΡΗΝΟΚΑΡΠΑ66264</t>
  </si>
  <si>
    <t>ΡΟΔΑΚΙΝΑ ΦΛΑΜΙΝΙΑ</t>
  </si>
  <si>
    <t>ΠΥΡΗΝΟΚΑΡΠΑ66265</t>
  </si>
  <si>
    <t>ΡΟΔΑΚΙΝΑ ΣΠΡΙΝΓΚ ΓΚΟΛΝΤ</t>
  </si>
  <si>
    <t>ΠΥΡΗΝΟΚΑΡΠΑ66266</t>
  </si>
  <si>
    <t>ΡΟΔΑΚΙΝΑ ΕΛΕΓΚΑΝΤ ΛΕΪΝΤΥ</t>
  </si>
  <si>
    <t>ΠΥΡΗΝΟΚΑΡΠΑ66267</t>
  </si>
  <si>
    <t>ΡΟΔΑΚΙΝΑ ΛΟΥΙΖΑ ΜΑΡΙΑ</t>
  </si>
  <si>
    <t>ΠΥΡΗΝΟΚΑΡΠΑ66268</t>
  </si>
  <si>
    <t>ΡΟΔΑΚΙΝΑ W2</t>
  </si>
  <si>
    <t>ΠΥΡΗΝΟΚΑΡΠΑ66269</t>
  </si>
  <si>
    <t>ΡΟΔΑΚΙΝΑ ΣΠΡΙΝΓΚ ΜΠΕΛ</t>
  </si>
  <si>
    <t>ΠΥΡΗΝΟΚΑΡΠΑ66270</t>
  </si>
  <si>
    <t>ΡΟΔΑΚΙΝ. ΛΕΥΚΟΣΑΡΚ. ΝΑΟΥΣ.</t>
  </si>
  <si>
    <t>ΠΥΡΗΝΟΚΑΡΠΑ66271</t>
  </si>
  <si>
    <t>ΡΟΔΑΚΙΝΑ ΦΑΙΡ ΤΖΙΜ</t>
  </si>
  <si>
    <t>ΠΥΡΗΝΟΚΑΡΠΑ66272</t>
  </si>
  <si>
    <t>ΡΟΔΑΚΙΝΑ ΑΟΥΡΕΛΙΑ</t>
  </si>
  <si>
    <t>ΠΥΡΗΝΟΚΑΡΠΑ66273</t>
  </si>
  <si>
    <t>ΡΟΔΑΚΙΝΑ ΓΚΛΟΟΥ ΧΕΒΕΝ</t>
  </si>
  <si>
    <t>ΠΥΡΗΝΟΚΑΡΠΑ66274</t>
  </si>
  <si>
    <t>ΡΟΔΑΚΙΝΑ ΣΠΙΝ ΚΡΕΜ</t>
  </si>
  <si>
    <t>ΠΥΡΗΝΟΚΑΡΠΑ66275</t>
  </si>
  <si>
    <t>ΡΟΔΑΚΙΝΑ ΩΓΚΟΣΤ ΣΑΝΙ</t>
  </si>
  <si>
    <t>ΠΥΡΗΝΟΚΑΡΠΑ66276</t>
  </si>
  <si>
    <t>ΡΟΔΑΚΙΝΑ ΣΑΝ ΡΕΝΤ</t>
  </si>
  <si>
    <t>ΠΥΡΗΝΟΚΑΡΠΑ66277</t>
  </si>
  <si>
    <t>ΡΟΔΑΚΙΝΑ Ο ΧΕΝΡΙ</t>
  </si>
  <si>
    <t>ΠΥΡΗΝΟΚΑΡΠΑ66278</t>
  </si>
  <si>
    <t>ΡΟΔΑΚΙΝΑ ΠΡΟΦΗΤΗΣ ΗΛΙΑΣ</t>
  </si>
  <si>
    <t>ΠΥΡΗΝΟΚΑΡΠΑ66279</t>
  </si>
  <si>
    <t>ΡΟΔΑΚΙΝΑ ΡΟΥΑΓΙΑΛ ΓΚΛΟΡΙ</t>
  </si>
  <si>
    <t>ΠΥΡΗΝΟΚΑΡΠΑ66280</t>
  </si>
  <si>
    <t>ΡΟΔΑΚΙΝ. ΣΟΥΠΕΡ ΓΚΟΛΝΤΕΝ ΚΡΕΣΤ</t>
  </si>
  <si>
    <t>ΠΥΡΗΝΟΚΑΡΠΑ66281</t>
  </si>
  <si>
    <t>ΡΟΔΑΚΙΝΑ ΛΕΥΚΟ ΒΕΡΜΙΟΥ</t>
  </si>
  <si>
    <t>ΠΥΡΗΝΟΚΑΡΠΑ66282</t>
  </si>
  <si>
    <t>ΡΟΔΑΚΙΝΑ ΤΟΠΑΪΤ</t>
  </si>
  <si>
    <t>ΠΥΡΗΝΟΚΑΡΠΑ66283</t>
  </si>
  <si>
    <t>ΡΟΔΑΚΙΝΑ ΣΠΡΙΝΓΚ ΦΛΑΟΥΕΡ</t>
  </si>
  <si>
    <t>ΠΥΡΗΝΟΚΑΡΠΑ66284</t>
  </si>
  <si>
    <t>ΡΟΔΑΚΙΝΑ ΕΪΠΡΙΛ ΜΕΪ</t>
  </si>
  <si>
    <t>ΠΥΡΗΝΟΚΑΡΠΑ66285</t>
  </si>
  <si>
    <t>ΡΟΔΑΚΙΝΑ ΕΡΛΥ ΡΕΝΤ ΦΡΙ</t>
  </si>
  <si>
    <t>ΠΥΡΗΝΟΚΑΡΠΑ66286</t>
  </si>
  <si>
    <t>ΡΟΔΑΚΙΝΑ ΚΡΕΣΤ ΧΕΪ</t>
  </si>
  <si>
    <t>ΠΥΡΗΝΟΚΑΡΠΑ66287</t>
  </si>
  <si>
    <t>ΡΟΔΑΚΙΝΑ ΑΡΜ ΚΡΕΣΤ</t>
  </si>
  <si>
    <t>ΠΥΡΗΝΟΚΑΡΠΑ66288</t>
  </si>
  <si>
    <t>ΡΟΔΑΚΙΝΑ ΛΕΥΚΟ ΡΕΝΤ ΧΑΒΕΝ</t>
  </si>
  <si>
    <t>ΠΥΡΗΝΟΚΑΡΠΑ66289</t>
  </si>
  <si>
    <t>ΡΟΔΑΚΙΝΑ ΝΙΡΙΝΙΑ</t>
  </si>
  <si>
    <t>ΠΥΡΗΝΟΚΑΡΠΑ66290</t>
  </si>
  <si>
    <t>ΡΟΔΑΚΙΝΑ ΣΑΜΕΡΙΝΓΚ</t>
  </si>
  <si>
    <t>ΠΥΡΗΝΟΚΑΡΠΑ66291</t>
  </si>
  <si>
    <t>ΡΟΔΑΚΙΝΑ ΑΛΙΓΚΕΝ</t>
  </si>
  <si>
    <t>ΠΥΡΗΝΟΚΑΡΠΑ66292</t>
  </si>
  <si>
    <t>ΡΟΔΑΚΙΝΑ ΣΤΑΡ ΛΑΪΤ</t>
  </si>
  <si>
    <t>ΠΥΡΗΝΟΚΑΡΠΑ66293</t>
  </si>
  <si>
    <t>ΡΟΔΑΚΙΝΑ ΧΑΛΕΒΑ</t>
  </si>
  <si>
    <t>ΠΥΡΗΝΟΚΑΡΠΑ66294</t>
  </si>
  <si>
    <t>ΡΟΔΑΚΙΝΑ ΚΙΝ-ΚΑΡ</t>
  </si>
  <si>
    <t>ΠΥΡΗΝΟΚΑΡΠΑ66295</t>
  </si>
  <si>
    <t>ΡΟΔΑΚΙΝΑ ΦΛΕΪΜ ΚΡΕΣΤ</t>
  </si>
  <si>
    <t>ΠΥΡΗΝΟΚΑΡΠΑ66296</t>
  </si>
  <si>
    <t>ΡΟΔΑΚΙΝΑ ΡΟΥΑΓΙΑΛ ΤΖΙΜ</t>
  </si>
  <si>
    <t>ΠΥΡΗΝΟΚΑΡΠΑ66297</t>
  </si>
  <si>
    <t>ΡΟΔΑΚΙΝΑ ΣΥΜΦΩΝΙΑ</t>
  </si>
  <si>
    <t>ΠΥΡΗΝΟΚΑΡΠΑ66298</t>
  </si>
  <si>
    <t>ΡΟΔΑΚΙΝΑ ΜΑΡΙΑ ΓΚΛΟΡΙΑ</t>
  </si>
  <si>
    <t>ΠΥΡΗΝΟΚΑΡΠΑ66299</t>
  </si>
  <si>
    <t>ΡΟΔΑΚΙΝΑ ΕΡΛ ΓΚΡΑΝΤ ΛΕΪΝΤΥ</t>
  </si>
  <si>
    <t>ΠΥΡΗΝΟΚΑΡΠΑ66300</t>
  </si>
  <si>
    <t>ΡΟΔΑΚΙΝΑ ΓΟΥΑΪΤ ΛΕΪΝΤΥ</t>
  </si>
  <si>
    <t>ΠΥΡΗΝΟΚΑΡΠΑ66301</t>
  </si>
  <si>
    <t>ΡΟΔΑΚΙΝΑ ΣΑΝ ΛΑΪΦ</t>
  </si>
  <si>
    <t>ΠΥΡΗΝΟΚΑΡΠΑ66302</t>
  </si>
  <si>
    <t>ΡΟΔΑΚΙΝΑ ΕΤΟΥΑΛ</t>
  </si>
  <si>
    <t>ΠΥΡΗΝΟΚΑΡΠΑ66303</t>
  </si>
  <si>
    <t>ΡΟΔΑΚΙΝΑ ΡΕΝΤ ΛΕΪΝΤΥ</t>
  </si>
  <si>
    <t>ΠΥΡΗΝΟΚΑΡΠΑ66304</t>
  </si>
  <si>
    <t>ΡΟΔΑΚΙΝΑ ΦΡΑΝΣΟΥΑ</t>
  </si>
  <si>
    <t>ΠΥΡΗΝΟΚΑΡΠΑ66305</t>
  </si>
  <si>
    <t>ΡΟΔΑΚΙΝΑ ΡΕΝΤ ΜΠΟΥΛΕΤ</t>
  </si>
  <si>
    <t>ΠΥΡΗΝΟΚΑΡΠΑ66306</t>
  </si>
  <si>
    <t>ΡΟΔΑΚΙΝΑ ΡΙΤΣΙ ΜΕΪ</t>
  </si>
  <si>
    <t>ΠΥΡΗΝΟΚΑΡΠΑ66307</t>
  </si>
  <si>
    <t>ΡΟΔΑΚΙΝΑ ΚΟΥΪΝ ΚΡΕΣΤ</t>
  </si>
  <si>
    <t>ΠΥΡΗΝΟΚΑΡΠΑ66308</t>
  </si>
  <si>
    <t>ΡΟΔΑΚΙΝΑ ΡΟΥΜΠΙΡΙΤΣ</t>
  </si>
  <si>
    <t>ΠΥΡΗΝΟΚΑΡΠΑ66309</t>
  </si>
  <si>
    <t>ΡΟΔΑΚΙΝΑ ΚΙΝΕΖΙΚΑ</t>
  </si>
  <si>
    <t>ΠΥΡΗΝΟΚΑΡΠΑ66310</t>
  </si>
  <si>
    <t>ΡΟΔΑΚΙΝΑ RICH LADY</t>
  </si>
  <si>
    <t>ΠΥΡΗΝΟΚΑΡΠΑ66311</t>
  </si>
  <si>
    <t>ΡΟΔΑΚΙΝΑ ΛΕΜΟΝΑΤΑ</t>
  </si>
  <si>
    <t>ΠΥΡΗΝΟΚΑΡΠΑ66312</t>
  </si>
  <si>
    <t>ΡΟΔΑΚΙΝΑ ΓΚΛΑΝΤΙΣ</t>
  </si>
  <si>
    <t>ΠΥΡΗΝΟΚΑΡΠΑ66313</t>
  </si>
  <si>
    <t>ΡΟΔΑΚΙΝΑ TSUNAMI</t>
  </si>
  <si>
    <t>ΠΥΡΗΝΟΚΑΡΠΑ66315</t>
  </si>
  <si>
    <t>ΡΟΔΑΚΙΝΑ RUBISTA</t>
  </si>
  <si>
    <t>ΠΥΡΗΝΟΚΑΡΠΑ66316</t>
  </si>
  <si>
    <t>ΚΕΡΑΣΙΑ BLACK STAR</t>
  </si>
  <si>
    <t>ΠΥΡΗΝΟΚΑΡΠΑ66317</t>
  </si>
  <si>
    <t>ΑΓΡΙΕΣ ΒΥΣΣΙΝΙΕΣ</t>
  </si>
  <si>
    <t>ΠΥΡΗΝΟΚΑΡΠΑ66318</t>
  </si>
  <si>
    <t>ΒΕΡΙΚΟΚΑ PRIMAYA</t>
  </si>
  <si>
    <t>ΠΥΡΗΝΟΚΑΡΠΑ66319</t>
  </si>
  <si>
    <t>ΒΕΡΙΚΟΚΑ PRIMARIS</t>
  </si>
  <si>
    <t>ΠΥΡΗΝΟΚΑΡΠΑ66320</t>
  </si>
  <si>
    <t>ΒΕΡΙΚΟΚΑ TSUNAMI</t>
  </si>
  <si>
    <t>ΠΥΡΗΝΟΚΑΡΠΑ66321</t>
  </si>
  <si>
    <t>ΒΕΡΙΚΟΚΑ ΦΑΡΜΠΑΛΥ</t>
  </si>
  <si>
    <t>ΠΥΡΗΝΟΚΑΡΠΑ66322</t>
  </si>
  <si>
    <t>ΝΕΚΤΑΡΙΝΙΑ ΛΕΥΚΟΣΑΡΚΑ MAGIC</t>
  </si>
  <si>
    <t>ΠΥΡΗΝΟΚΑΡΠΑ66323</t>
  </si>
  <si>
    <t>ΡΟΔΑΚΙΝΑ ΛΕΥΚΟΣΑΡΚΑ UFO</t>
  </si>
  <si>
    <t>ΠΥΡΗΝΟΚΑΡΠΑ66324</t>
  </si>
  <si>
    <t>ΝΕΚΤΑΡΙΝΙΑ ΑΛΙ ΤΟΠ</t>
  </si>
  <si>
    <t>ΠΥΡΗΝΟΚΑΡΠΑ66325</t>
  </si>
  <si>
    <t>ΝΕΚΤΑΡΙΝΙΑ ΑΛΙΤΣΙΑ</t>
  </si>
  <si>
    <t>ΠΥΡΗΝΟΚΑΡΠΑ66326</t>
  </si>
  <si>
    <t>ΝΕΚΤΑΡΙΝΙΑ ΕΡΛΙ ΜΠΟΜΠΑ</t>
  </si>
  <si>
    <t>ΠΥΡΗΝΟΚΑΡΠΑ66327</t>
  </si>
  <si>
    <t>ΝΕΚΤΑΡΙΝΙΑ ΚΕΙ ΣΟΥΙΤ</t>
  </si>
  <si>
    <t>ΠΥΡΗΝΟΚΑΡΠΑ66328</t>
  </si>
  <si>
    <t>ΝΕΚΤΑΡΙΝΙΑ ΛΟΥΤΣΙΑΝΑ</t>
  </si>
  <si>
    <t>ΠΥΡΗΝΟΚΑΡΠΑ66329</t>
  </si>
  <si>
    <t>ΝΕΚΤΑΡΙΝΙΑ ΜΑΤΖΙΚ</t>
  </si>
  <si>
    <t>ΠΥΡΗΝΟΚΑΡΠΑ66330</t>
  </si>
  <si>
    <t>ΝΕΚΤΑΡΙΝΙΑ ΜΠΙΓΚ ΜΠΑΝΚ</t>
  </si>
  <si>
    <t>ΠΥΡΗΝΟΚΑΡΠΑ66331</t>
  </si>
  <si>
    <t>ΝΕΚΤΑΡΙΝΙΑ ΜΠΙΓΚ ΧΕΒΕΝ</t>
  </si>
  <si>
    <t>ΠΥΡΗΝΟΚΑΡΠΑ66332</t>
  </si>
  <si>
    <t>ΝΕΚΤΑΡΙΝΙΑ ΝΤΑΙΜΟΝΤ ΡΕΙ</t>
  </si>
  <si>
    <t>ΠΥΡΗΝΟΚΑΡΠΑ66333</t>
  </si>
  <si>
    <t>ΝΕΚΤΑΡΙΝΙΑ ΡΕΤ ΓΚΟΛΤ</t>
  </si>
  <si>
    <t>ΠΥΡΗΝΟΚΑΡΠΑ66334</t>
  </si>
  <si>
    <t>ΝΕΚΤΑΡΙΝΙΑ ΣΟΥΙΤ ΛΕΙΝΤΙ</t>
  </si>
  <si>
    <t>ΠΥΡΗΝΟΚΑΡΠΑ66335</t>
  </si>
  <si>
    <t>ΝΕΚΤΑΡΙΝΙΑ ΦΑΙΡ ΤΟΠ</t>
  </si>
  <si>
    <t>ΠΥΡΗΝΟΚΑΡΠΑ66336</t>
  </si>
  <si>
    <t>ΝΕΚΤΑΡΙΝΙΑ ΧΟΝΕΥ ΡΟΥΑΓΙΑΛ</t>
  </si>
  <si>
    <t>ΠΥΡΗΝΟΚΑΡΠΑ66337</t>
  </si>
  <si>
    <t>ΡΟΔΑΚΙΝΑ ΒΙΣΤΑ ΡΙΤΣ</t>
  </si>
  <si>
    <t>ΠΥΡΗΝΟΚΑΡΠΑ66338</t>
  </si>
  <si>
    <t>ΡΟΔΑΚΙΝΑ ΓΚΡΙΣΠΣΟΝ ΛΕΙΝΤΗ</t>
  </si>
  <si>
    <t>ΠΥΡΗΝΟΚΑΡΠΑ66339</t>
  </si>
  <si>
    <t>ΡΟΔΑΚΙΝΑ ΕΡΛΙ ΜΕΙ</t>
  </si>
  <si>
    <t>ΠΥΡΗΝΟΚΑΡΠΑ66340</t>
  </si>
  <si>
    <t>ΡΟΔΑΚΙΝΑ ΕΡΛΙ ΡΙΤΣ</t>
  </si>
  <si>
    <t>ΠΥΡΗΝΟΚΑΡΠΑ66341</t>
  </si>
  <si>
    <t>ΡΟΔΑΚΙΝΑ ΗΡΑΚΛΗΣ</t>
  </si>
  <si>
    <t>ΠΥΡΗΝΟΚΑΡΠΑ66342</t>
  </si>
  <si>
    <t>ΡΟΔΑΚΙΝΑ ΚΕΒΙΝΑ</t>
  </si>
  <si>
    <t>ΠΥΡΗΝΟΚΑΡΠΑ66343</t>
  </si>
  <si>
    <t>ΡΟΔΑΚΙΝΑ ΛΟΛΙΤΑ</t>
  </si>
  <si>
    <t>ΠΥΡΗΝΟΚΑΡΠΑ66344</t>
  </si>
  <si>
    <t>ΡΟΔΑΚΙΝΑ ΜΑΟΥΡΑ</t>
  </si>
  <si>
    <t>ΠΥΡΗΝΟΚΑΡΠΑ66345</t>
  </si>
  <si>
    <t>ΡΟΔΑΚΙΝΑ ΜΑΡΑΘΟΝ</t>
  </si>
  <si>
    <t>ΠΥΡΗΝΟΚΑΡΠΑ66346</t>
  </si>
  <si>
    <t>ΡΟΔΑΚΙΝΑ ΜΑΡΙΑ ΜΑΡΘΑ</t>
  </si>
  <si>
    <t>ΠΥΡΗΝΟΚΑΡΠΑ66347</t>
  </si>
  <si>
    <t>ΡΟΔΑΚΙΝΑ ΜΠΟΡΝΤΟ</t>
  </si>
  <si>
    <t>ΠΥΡΗΝΟΚΑΡΠΑ66348</t>
  </si>
  <si>
    <t>ΡΟΔΑΚΙΝΑ ΜΠΡΙΤΝΕΙ ΛΕΙΝ</t>
  </si>
  <si>
    <t>ΠΥΡΗΝΟΚΑΡΠΑ66349</t>
  </si>
  <si>
    <t>ΡΟΔΑΚΙΝΑ ΟΚΤΑΒΙΑ</t>
  </si>
  <si>
    <t>ΠΥΡΗΝΟΚΑΡΠΑ66350</t>
  </si>
  <si>
    <t>ΡΟΔΑΚΙΝΑ ΟΥΦΟ</t>
  </si>
  <si>
    <t>ΠΥΡΗΝΟΚΑΡΠΑ66351</t>
  </si>
  <si>
    <t>ΡΟΔΑΚΙΝΑ ΠΑΤΤΥ</t>
  </si>
  <si>
    <t>ΠΥΡΗΝΟΚΑΡΠΑ66352</t>
  </si>
  <si>
    <t>ΡΟΔΑΚΙΝΑ ΡΕΤ ΒΑΙΛΕΡ</t>
  </si>
  <si>
    <t>ΠΥΡΗΝΟΚΑΡΠΑ66353</t>
  </si>
  <si>
    <t>ΡΟΔΑΚΙΝΑ ΡΟΥΑΓΙΑΛ ΛΙ</t>
  </si>
  <si>
    <t>ΠΥΡΗΝΟΚΑΡΠΑ66354</t>
  </si>
  <si>
    <t>ΡΟΔΑΚΙΝΑ ΡΟΥΑΓΙΑΛ ΜΑΝΤΖΕΣΤΙΚ</t>
  </si>
  <si>
    <t>ΠΥΡΗΝΟΚΑΡΠΑ66355</t>
  </si>
  <si>
    <t>ΡΟΔΑΚΙΝΑ ΡΟΥΑΓΙΑΛ ΣΑΜΕΡ</t>
  </si>
  <si>
    <t>ΠΥΡΗΝΟΚΑΡΠΑ66356</t>
  </si>
  <si>
    <t>ΡΟΔΑΚΙΝΑ ΡΟΥΑΓΙΑΛ ΤΑΙΜ</t>
  </si>
  <si>
    <t>ΠΥΡΗΝΟΚΑΡΠΑ66357</t>
  </si>
  <si>
    <t>ΡΟΔΑΚΙΝΑ ΡΟΥΑΓΙΑΛ ΤΖΕΜ</t>
  </si>
  <si>
    <t>ΠΥΡΗΝΟΚΑΡΠΑ66358</t>
  </si>
  <si>
    <t>ΡΟΔΑΚΙΝΑ ΣΟΥΙΤ ΝΤΡΙΜ</t>
  </si>
  <si>
    <t>ΠΥΡΗΝΟΚΑΡΠΑ66359</t>
  </si>
  <si>
    <t>ΡΟΔΑΚΙΝΑ ΣΟΥΙΤ ΣΚΑΡΛΕΤ</t>
  </si>
  <si>
    <t>ΠΥΡΗΝΟΚΑΡΠΑ66360</t>
  </si>
  <si>
    <t>ΡΟΔΑΚΙΝΑ ΤΑΡΝΤΥ ΜΠΕΛ</t>
  </si>
  <si>
    <t>ΠΥΡΗΝΟΚΑΡΠΑ66361</t>
  </si>
  <si>
    <t>ΡΟΔΑΚΙΝΑ ΤΕΙΣΤΥ ΡΕΝΤ</t>
  </si>
  <si>
    <t>ΠΥΡΗΝΟΚΑΡΠΑ66362</t>
  </si>
  <si>
    <t>ΡΟΔΑΚΙΝΑ ΤΖΑΙΑΝΤ</t>
  </si>
  <si>
    <t>ΠΥΡΗΝΟΚΑΡΠΑ66363</t>
  </si>
  <si>
    <t>ΒΕΡΙΚΚΟΚΑ TOYACO (TOMCOT)</t>
  </si>
  <si>
    <t>ΠΥΡΗΝΟΚΑΡΠΑ66364</t>
  </si>
  <si>
    <t>ΒΕΡΙΚΚΟΚΑ KIOTO</t>
  </si>
  <si>
    <t>ΠΥΡΗΝΟΚΑΡΠΑ66365</t>
  </si>
  <si>
    <t>ΒΕΡΙΚΚΟΚΑ BO 90.610.010 (BORA)</t>
  </si>
  <si>
    <t>ΠΥΡΗΝΟΚΑΡΠΑ66366</t>
  </si>
  <si>
    <t>ΒΕΡΙΚΚΟΚΑ FARALIA</t>
  </si>
  <si>
    <t>ΠΥΡΗΝΟΚΑΡΠΑ66367</t>
  </si>
  <si>
    <t>ΒΕΡΙΚΚΟΚΑ LADY COT</t>
  </si>
  <si>
    <t>ΠΥΡΗΝΟΚΑΡΠΑ66368</t>
  </si>
  <si>
    <t>ΒΕΡΙΚΚΟΚΑ FARDAO</t>
  </si>
  <si>
    <t>ΠΥΡΗΝΟΚΑΡΠΑ66369</t>
  </si>
  <si>
    <t>ΚΕΡΑΣΙΑ SUMMIT</t>
  </si>
  <si>
    <t>ΠΥΡΗΝΟΚΑΡΠΑ66370</t>
  </si>
  <si>
    <t>ΚΕΡΑΣΙΑ SUMSTE (SAMBA)</t>
  </si>
  <si>
    <t>ΠΥΡΗΝΟΚΑΡΠΑ66371</t>
  </si>
  <si>
    <t>ΚΕΡΑΣΙΑ EARLY LORY</t>
  </si>
  <si>
    <t>ΠΥΡΗΝΟΚΑΡΠΑ66372</t>
  </si>
  <si>
    <t>ΝΕΚΤΑΡΙΝΙΑ ZAITRETA (RED FALL)</t>
  </si>
  <si>
    <t>ΠΥΡΗΝΟΚΑΡΠΑ66373</t>
  </si>
  <si>
    <t>ΡΟΔΑΚΙΝΑ SWEET SCARLET</t>
  </si>
  <si>
    <t>ΠΥΡΗΝΟΚΑΡΠΑ66374</t>
  </si>
  <si>
    <t>ΝΕΚΤΑΡΙΝΙΑ BIG BANG</t>
  </si>
  <si>
    <t>ΠΥΡΗΝΟΚΑΡΠΑ66375</t>
  </si>
  <si>
    <t>ΒΕΡΙΚΟΚΑ COULOUMINE (ORANGE RUBIS)</t>
  </si>
  <si>
    <t>ΠΥΡΗΝΟΚΑΡΠΑ66376</t>
  </si>
  <si>
    <t>ΒΕΡΙΚΟΚΚΑ WONDER COT</t>
  </si>
  <si>
    <t>ΠΥΡΗΝΟΚΑΡΠΑ66377</t>
  </si>
  <si>
    <t>ΒΕΡΙΚΚΟΚΑ PRICIA</t>
  </si>
  <si>
    <t>ΠΥΡΗΝΟΚΑΡΠΑ66378</t>
  </si>
  <si>
    <t>ΔΑΜΑΣΚΗΝΑ OWEN-T</t>
  </si>
  <si>
    <t>ΠΥΡΗΝΟΚΑΡΠΑ66379</t>
  </si>
  <si>
    <t>ΒΕΡΙΚΚΟΚΑ MAGIC COT</t>
  </si>
  <si>
    <t>ΠΥΡΗΝΟΚΑΡΠΑ66380</t>
  </si>
  <si>
    <t>ΒΕΡΙΚΚΟΚΑ LILLY COT</t>
  </si>
  <si>
    <t>ΠΥΡΗΝΟΚΑΡΠΑ66381</t>
  </si>
  <si>
    <t>ΡΟΔΑΚΙΝΑ RED STAR</t>
  </si>
  <si>
    <t>ΠΥΡΗΝΟΚΑΡΠΑ66382</t>
  </si>
  <si>
    <t>ΡΟΔΑΚΙΝΑ SUMMER LADY</t>
  </si>
  <si>
    <t>ΠΥΡΗΝΟΚΑΡΠΑ66383</t>
  </si>
  <si>
    <t>ΝΕΚΤΑΡΙΝΙΑ GEA</t>
  </si>
  <si>
    <t>ΠΥΡΗΝΟΚΑΡΠΑ66384</t>
  </si>
  <si>
    <t>ΝΕΚΤΑΡΙΝΙΑ AMIGA</t>
  </si>
  <si>
    <t>ΠΥΡΗΝΟΚΑΡΠΑ66385</t>
  </si>
  <si>
    <t>ΝΕΚΤΑΡΙΝΙΑ BLACKRED VI (BLACK RUBY)</t>
  </si>
  <si>
    <t>ΠΥΡΗΝΟΚΑΡΠΑ66386</t>
  </si>
  <si>
    <t>ΚΕΡΑΣΙΑ SUMNUE (CRISTALINA)</t>
  </si>
  <si>
    <t>ΠΥΡΗΝΟΚΑΡΠΑ66387</t>
  </si>
  <si>
    <t>ΚΕΡΑΣΙΑ MARIANT (GIANT RED)</t>
  </si>
  <si>
    <t>ΠΥΡΗΝΟΚΑΡΠΑ66388</t>
  </si>
  <si>
    <t>ΒΕΡΙΚΟΚΑ FARBALY</t>
  </si>
  <si>
    <t>ΠΥΡΗΝΟΚΑΡΠΑ66389</t>
  </si>
  <si>
    <t>ΒΕΡΙΚΟΚΑ IPSE140 (RUBISTA)</t>
  </si>
  <si>
    <t>ΠΥΡΗΝΟΚΑΡΠΑ66390</t>
  </si>
  <si>
    <t>ΒΕΡΙΚΟΚΑ MOGADOR</t>
  </si>
  <si>
    <t>ΠΥΡΗΝΟΚΑΡΠΑ66391</t>
  </si>
  <si>
    <t>ΡΟΔΑΚΙΝΑ ROSA DEL WEST</t>
  </si>
  <si>
    <t>ΠΥΡΗΝΟΚΑΡΠΑ66392</t>
  </si>
  <si>
    <t>ΡΟΔΑΚΙΝΑ SAGITTARIA</t>
  </si>
  <si>
    <t>ΠΥΡΗΝΟΚΑΡΠΑ66393</t>
  </si>
  <si>
    <t>ΡΟΔΑΚΙΝΑ PRO511 (VICO)</t>
  </si>
  <si>
    <t>ΠΥΡΗΝΟΚΑΡΠΑ66394</t>
  </si>
  <si>
    <t>ΡΟΔΑΚΙΝΑ PRO_513 (SEGRE)</t>
  </si>
  <si>
    <t>ΠΥΡΗΝΟΚΑΡΠΑ66395</t>
  </si>
  <si>
    <t>ΡΟΔΑΚΙΝΑ PRO_C_17 (SILOS)</t>
  </si>
  <si>
    <t>ΠΥΡΗΝΟΚΑΡΠΑ66396</t>
  </si>
  <si>
    <t>ΡΟΔΑΚΙΝΑ PRO_520 (CINCA)</t>
  </si>
  <si>
    <t>ΠΥΡΗΝΟΚΑΡΠΑ66397</t>
  </si>
  <si>
    <t>ΡΟΔΑΚΙΝΑ PRO_C_67 (YUSO)</t>
  </si>
  <si>
    <t>ΠΥΡΗΝΟΚΑΡΠΑ66398</t>
  </si>
  <si>
    <t>ΡΟΔΑΚΙΝΑ PRO 545 (JERTE)</t>
  </si>
  <si>
    <t>ΠΥΡΗΝΟΚΑΡΠΑ66399</t>
  </si>
  <si>
    <t>ΡΟΔΑΚΙΝΑ PRO 561 (EBRO)</t>
  </si>
  <si>
    <t>ΠΥΡΗΝΟΚΑΡΠΑ66400</t>
  </si>
  <si>
    <t>ΡΟΔΑΚΙΝΑ PRO 796 (DUERO)</t>
  </si>
  <si>
    <t>ΠΥΡΗΝΟΚΑΡΠΑ66401</t>
  </si>
  <si>
    <t>ΡΟΔΑΚΙΝΑ PRO 798 (TIETAR)</t>
  </si>
  <si>
    <t>ΠΥΡΗΝΟΚΑΡΠΑ66402</t>
  </si>
  <si>
    <t>ΝΕΚΤΑΡΙΝΙΑ HONEY BLAZE</t>
  </si>
  <si>
    <t>ΠΥΡΗΝΟΚΑΡΠΑ66403</t>
  </si>
  <si>
    <t>ΔΑΜΑΣΚΗΝΑ BLACK_SPLENDOR</t>
  </si>
  <si>
    <t>ΠΥΡΗΝΟΚΑΡΠΑ66404</t>
  </si>
  <si>
    <t>ΝΕΚΤΑΡΙΝΙΑ ZAISIRLY (ROYAL QUEEN)</t>
  </si>
  <si>
    <t>ΠΥΡΗΝΟΚΑΡΠΑ66405</t>
  </si>
  <si>
    <t>ΒΕΡΙΚΟΚΑ FARLIS</t>
  </si>
  <si>
    <t>ΠΥΡΗΝΟΚΑΡΠΑ66406</t>
  </si>
  <si>
    <t>ΒΕΡΙΚΟΚΑ FARIUS</t>
  </si>
  <si>
    <t>ΠΥΡΗΝΟΚΑΡΠΑ66407</t>
  </si>
  <si>
    <t>ΒΕΡΙΚΟΚΑ FARHIAL</t>
  </si>
  <si>
    <t>ΠΥΡΗΝΟΚΑΡΠΑ66408</t>
  </si>
  <si>
    <t>ΒΕΡΙΚΟΚΑ LIDO</t>
  </si>
  <si>
    <t>ΠΥΡΗΝΟΚΑΡΠΑ66409</t>
  </si>
  <si>
    <t>ΒΕΡΙΚΟΚΑ MILORD</t>
  </si>
  <si>
    <t>ΠΥΡΗΝΟΚΑΡΠΑ66410</t>
  </si>
  <si>
    <t>ΡΟΔΑΚΙΝΑ SUGAR TIME</t>
  </si>
  <si>
    <t>ΠΥΡΗΝΟΚΑΡΠΑ66411</t>
  </si>
  <si>
    <t>ΚΕΡΑΣΙΑ SUMELE (SATIN)</t>
  </si>
  <si>
    <t>ΠΥΡΗΝΟΚΑΡΠΑ66412</t>
  </si>
  <si>
    <t>ΒΕΡΙΚΟΚΑ MIKADO</t>
  </si>
  <si>
    <t>ΠΥΡΗΝΟΚΑΡΠΑ66413</t>
  </si>
  <si>
    <t>ΚΕΡΑΣΙΑ ROCKET</t>
  </si>
  <si>
    <t>ΠΥΡΗΝΟΚΑΡΠΑ66414</t>
  </si>
  <si>
    <t>ΡΟΔΑΚΙΝΑ SUMMER RICH</t>
  </si>
  <si>
    <t>ΠΥΡΗΝΟΚΑΡΠΑ66415</t>
  </si>
  <si>
    <t>ΡΟΔΑΚΙΝΑ KAWEAH</t>
  </si>
  <si>
    <t>ΠΥΡΗΝΟΚΑΡΠΑ66416</t>
  </si>
  <si>
    <t>ΡΟΔΑΚΙΝΑ PLATIBELL</t>
  </si>
  <si>
    <t>ΠΥΡΗΝΟΚΑΡΠΑ66417</t>
  </si>
  <si>
    <t>ΡΟΔΑΚΙΝΑ PLATIMOON</t>
  </si>
  <si>
    <t>ΠΥΡΗΝΟΚΑΡΠΑ66418</t>
  </si>
  <si>
    <t>ΡΟΔΑΚΙΝΑ PLATIFUN</t>
  </si>
  <si>
    <t>ΠΥΡΗΝΟΚΑΡΠΑ66419</t>
  </si>
  <si>
    <t>ΡΟΔΑΚΙΝΑ PLATIFIRST</t>
  </si>
  <si>
    <t>ΠΥΡΗΝΟΚΑΡΠΑ66420</t>
  </si>
  <si>
    <t>ΡΟΔΑΚΙΝΑ CARIOCA</t>
  </si>
  <si>
    <t>ΠΥΡΗΝΟΚΑΡΠΑ66421</t>
  </si>
  <si>
    <t>ΝΕΚΤΑΡΙΝΙΑ HONEY KIST</t>
  </si>
  <si>
    <t>ΠΥΡΗΝΟΚΑΡΠΑ66422</t>
  </si>
  <si>
    <t>ΚΕΡΑΣΙΑ PACIFIC RED</t>
  </si>
  <si>
    <t>ΠΥΡΗΝΟΚΑΡΠΑ66423</t>
  </si>
  <si>
    <t>ΡΟΔΑΚΙΝΑ ZAISULA (ROYAL PRIDE)</t>
  </si>
  <si>
    <t>ΠΥΡΗΝΟΚΑΡΠΑ66424</t>
  </si>
  <si>
    <t>ΡΟΔΑΚΙΝΑ ISFROPLAT 4 (UFO 4)</t>
  </si>
  <si>
    <t>ΠΥΡΗΝΟΚΑΡΠΑ66425</t>
  </si>
  <si>
    <t>ΡΟΔΑΚΙΝΑ ISFROPLAT 5 (UFO 5)</t>
  </si>
  <si>
    <t>ΠΥΡΗΝΟΚΑΡΠΑ66426</t>
  </si>
  <si>
    <t>ΡΟΔΑΚΙΝΑ ISFROPLAT 8 (UFO 8)</t>
  </si>
  <si>
    <t>ΠΥΡΗΝΟΚΑΡΠΑ66427</t>
  </si>
  <si>
    <t>ΡΟΔΑΚΙΝΑ ZAIBIJI (ROYAL SWEET)</t>
  </si>
  <si>
    <t>ΠΥΡΗΝΟΚΑΡΠΑ66428</t>
  </si>
  <si>
    <t>ΡΟΔΑΚΙΝΑ RED VALLEY</t>
  </si>
  <si>
    <t>ΠΥΡΗΝΟΚΑΡΠΑ66429</t>
  </si>
  <si>
    <t>ΒΕΡΙΚΚΟΚΑ MEDIABEL</t>
  </si>
  <si>
    <t>ΠΥΡΗΝΟΚΑΡΠΑ66430</t>
  </si>
  <si>
    <t>ΚΕΡΑΣΙΑ SUMN314CH (SABRINA)</t>
  </si>
  <si>
    <t>ΠΥΡΗΝΟΚΑΡΠΑ66431</t>
  </si>
  <si>
    <t>ΚΕΡΑΣΙΑ BIGI SOL (EARLY BG)</t>
  </si>
  <si>
    <t>ΠΥΡΗΝΟΚΑΡΠΑ66432</t>
  </si>
  <si>
    <t>ΚΕΡΑΣΙΑ PANARO 1 (SWEET EARLY)</t>
  </si>
  <si>
    <t>ΠΥΡΗΝΟΚΑΡΠΑ66433</t>
  </si>
  <si>
    <t>ΚΕΡΑΣΙΑ NIMBA</t>
  </si>
  <si>
    <t>ΠΥΡΗΝΟΚΑΡΠΑ66434</t>
  </si>
  <si>
    <t>ΡΟΔΑΚΙΝΑ MAY CREST</t>
  </si>
  <si>
    <t>ΠΥΡΗΝΟΚΑΡΠΑ66435</t>
  </si>
  <si>
    <t>ΡΟΔΑΚΙΝΑ ZAILATI (GLADYS)</t>
  </si>
  <si>
    <t>ΠΥΡΗΝΟΚΑΡΠΑ66436</t>
  </si>
  <si>
    <t>ΝΕΚΤΑΡΙΝΙΑ ORION</t>
  </si>
  <si>
    <t>ΠΥΡΗΝΟΚΑΡΠΑ66437</t>
  </si>
  <si>
    <t>ΚΕΡΑΣΙΑ BIG STAR</t>
  </si>
  <si>
    <t>ΠΥΡΗΝΟΚΑΡΠΑ66438</t>
  </si>
  <si>
    <t>ΒΕΡΙΚΟΚΑ FLOPRIA</t>
  </si>
  <si>
    <t>ΠΥΡΗΝΟΚΑΡΠΑ66439</t>
  </si>
  <si>
    <t>ΡΟΔΑΚΙΝΑ FLATREINE (ASF 0796)</t>
  </si>
  <si>
    <t>ΠΥΡΗΝΟΚΑΡΠΑ66440</t>
  </si>
  <si>
    <t>ΡΟΔΑΚΙΝΑ FLATSTAR (ASF 0798)</t>
  </si>
  <si>
    <t>ΠΥΡΗΝΟΚΑΡΠΑ66441</t>
  </si>
  <si>
    <t>ΡΟΔΑΚΙΝΑ MAILLARFLAΤ (SWEET CUP)</t>
  </si>
  <si>
    <t>ΠΥΡΗΝΟΚΑΡΠΑ66442</t>
  </si>
  <si>
    <t>ΡΟΔΑΚΙΝΑ PRO 514 (EXTREME 514)</t>
  </si>
  <si>
    <t>ΠΥΡΗΝΟΚΑΡΠΑ66443</t>
  </si>
  <si>
    <t>ΡΟΔΑΚΙΝΑ PRO 725 (EXTREME 725)</t>
  </si>
  <si>
    <t>ΠΥΡΗΝΟΚΑΡΠΑ66444</t>
  </si>
  <si>
    <t>ΡΟΔΑΚΙΝΑ PRO 436 (EXTREME 436)</t>
  </si>
  <si>
    <t>ΠΥΡΗΝΟΚΑΡΠΑ66445</t>
  </si>
  <si>
    <t>ΡΟΔΑΚΙΝΑ PRO 460 (EXTREME 460)</t>
  </si>
  <si>
    <t>ΠΥΡΗΝΟΚΑΡΠΑ66446</t>
  </si>
  <si>
    <t>ΡΟΔΑΚΙΝΑ PRO 568 (EXTREME 568)</t>
  </si>
  <si>
    <t>ΠΥΡΗΝΟΚΑΡΠΑ66447</t>
  </si>
  <si>
    <t>ΝΕΚΤΑΡΙΝΙΑ PLATIMOON</t>
  </si>
  <si>
    <t>ΠΥΡΗΝΟΚΑΡΠΑ66448</t>
  </si>
  <si>
    <t>ΝΕΚΤΑΡΙΝΙΑ MESEMBRINE (MESEBRIN)</t>
  </si>
  <si>
    <t>ΠΥΡΗΝΟΚΑΡΠΑ66449</t>
  </si>
  <si>
    <t>ΝΕΚΤΑΡΙΝΙΑ ZAI809NB (QUEEN GLOBE)</t>
  </si>
  <si>
    <t>ΠΥΡΗΝΟΚΑΡΠΑ66450</t>
  </si>
  <si>
    <t>ΝΕΚΤΑΡΙΝΙΑ MAX</t>
  </si>
  <si>
    <t>ΠΥΡΗΝΟΚΑΡΠΑ66451</t>
  </si>
  <si>
    <t>ΝΕΚΤΑΡΙΝΙΑ GARCICA</t>
  </si>
  <si>
    <t>ΠΥΡΗΝΟΚΑΡΠΑ66452</t>
  </si>
  <si>
    <t>ΝΕΚΤΑΡΙΝΙΑ PRO 761 (EXTREME 761)</t>
  </si>
  <si>
    <t>ΠΥΡΗΝΟΚΑΡΠΑ66453</t>
  </si>
  <si>
    <t>ΝΕΚΤΑΡΙΝΙΑ PRO 710 (EXTREME 710)</t>
  </si>
  <si>
    <t>ΠΥΡΗΝΟΚΑΡΠΑ66454</t>
  </si>
  <si>
    <t>ΝΕΚΤΑΡΙΝΙΑ PRO C 165 (EXTREME 165 - EXTREME RED)</t>
  </si>
  <si>
    <t>ΠΥΡΗΝΟΚΑΡΠΑ66455</t>
  </si>
  <si>
    <t>ΝΕΚΤΑΡΙΝΙΑ PRO C 140 (EXTREME 140 - EXTREME SHINE)</t>
  </si>
  <si>
    <t>ΠΥΡΗΝΟΚΑΡΠΑ66456</t>
  </si>
  <si>
    <t>ΝΕΚΤΑΡΙΝΙΑ PRO 733 (EXTREME 733)</t>
  </si>
  <si>
    <t>ΠΥΡΗΝΟΚΑΡΠΑ66457</t>
  </si>
  <si>
    <t>ΝΕΚΤΑΡΙΝΙΑ PRO 614 (EXTREME 614 - EXTREME CANDY )</t>
  </si>
  <si>
    <t>ΠΥΡΗΝΟΚΑΡΠΑ66458</t>
  </si>
  <si>
    <t>ΝΕΚΤΑΡΙΝΙΑ LADY ERICA</t>
  </si>
  <si>
    <t>ΠΥΡΗΝΟΚΑΡΠΑ66459</t>
  </si>
  <si>
    <t>ΚΕΡΑΣΙΑ NORTHSTAR</t>
  </si>
  <si>
    <t>ΠΥΡΗΝΟΚΑΡΠΑ66460</t>
  </si>
  <si>
    <t>ΚΕΡΑΣΙΑ PA1UNIBO (SWEET ARYANA)</t>
  </si>
  <si>
    <t>ΠΥΡΗΝΟΚΑΡΠΑ66461</t>
  </si>
  <si>
    <t>ΚΕΡΑΣΙΑ PRIME GIANT</t>
  </si>
  <si>
    <t>ΠΥΡΗΝΟΚΑΡΠΑ66462</t>
  </si>
  <si>
    <t>ΚΕΡΑΣΙΑ CARMEN</t>
  </si>
  <si>
    <t>ΠΥΡΗΝΟΚΑΡΠΑ66463</t>
  </si>
  <si>
    <t>ΚΕΡΑΣΙΑ 0900 ZIRAAT</t>
  </si>
  <si>
    <t>ΠΥΡΗΝΟΚΑΡΠΑ66464</t>
  </si>
  <si>
    <t>ΡΟΔΑΚΙΝΑ ZEE DIAMOND</t>
  </si>
  <si>
    <t>ΠΥΡΗΝΟΚΑΡΠΑ66465</t>
  </si>
  <si>
    <t>ΚΕΡΑΣΙΑ DURONE</t>
  </si>
  <si>
    <t>ΠΥΡΗΝΟΚΑΡΠΑ66466</t>
  </si>
  <si>
    <t>ΒΕΡΙΚΟΚΑ MAYACOT</t>
  </si>
  <si>
    <t>ΠΥΡΗΝΟΚΑΡΠΑ66467</t>
  </si>
  <si>
    <t>ΒΕΡΙΚΟΚΑ LUNAFULL</t>
  </si>
  <si>
    <t>ΠΥΡΗΝΟΚΑΡΠΑ66468</t>
  </si>
  <si>
    <t>ΒΕΡΙΚΟΝΑ EA 4006 (BIG RED)</t>
  </si>
  <si>
    <t>ΠΥΡΗΝΟΚΑΡΠΑ66469</t>
  </si>
  <si>
    <t>ΡΟΔΑΚΙΝΑ ZAITRETA (RED FALL)</t>
  </si>
  <si>
    <t>ΠΥΡΗΝΟΚΑΡΠΑ66470</t>
  </si>
  <si>
    <t>ΒΕΡΙΚΟΚΑ FARBELA</t>
  </si>
  <si>
    <t>ΠΥΡΗΝΟΚΑΡΠΑ66471</t>
  </si>
  <si>
    <t>ΝΕΚΤΑΡΙΝΙΑ HONEY GLO</t>
  </si>
  <si>
    <t>ΠΥΡΗΝΟΚΑΡΠΑ66472</t>
  </si>
  <si>
    <t>ΡΟΔΑΚΙΝΑ ZEE LADY</t>
  </si>
  <si>
    <t>ΠΥΡΗΝΟΚΑΡΠΑ66473</t>
  </si>
  <si>
    <t>ΒΕΡΙΚΟΚΑ ANEGAT</t>
  </si>
  <si>
    <t>ΠΥΡΗΝΟΚΑΡΠΑ66474</t>
  </si>
  <si>
    <t>ΝΕΚΤΑΡΙΝΙΑ CRIMSON BABY</t>
  </si>
  <si>
    <t>ΠΥΡΗΝΟΚΑΡΠΑ66475</t>
  </si>
  <si>
    <t>ΝΕΚΤΑΡΙΝΙΑ DIANA</t>
  </si>
  <si>
    <t>ΠΥΡΗΝΟΚΑΡΠΑ66476</t>
  </si>
  <si>
    <t>ΝΕΚΤΑΡΙΝΙΑ EARLY MAY</t>
  </si>
  <si>
    <t>ΠΥΡΗΝΟΚΑΡΠΑ66477</t>
  </si>
  <si>
    <t>ΝΕΚΤΑΡΙΝΙΑ GRANSUN</t>
  </si>
  <si>
    <t>ΠΥΡΗΝΟΚΑΡΠΑ66478</t>
  </si>
  <si>
    <t>ΝΕΚΤΑΡΙΝΙΑ MAY FIRE</t>
  </si>
  <si>
    <t>ΠΥΡΗΝΟΚΑΡΠΑ66479</t>
  </si>
  <si>
    <t>ΝΕΚΤΑΡΙΝΙΑ MORSIANI 51</t>
  </si>
  <si>
    <t>ΠΥΡΗΝΟΚΑΡΠΑ66480</t>
  </si>
  <si>
    <t>ΝΕΚΤΑΡΙΝΙΑ MORSIANI 90</t>
  </si>
  <si>
    <t>ΠΥΡΗΝΟΚΑΡΠΑ66481</t>
  </si>
  <si>
    <t>ΝΕΚΤΑΡΙΝΙΑ REDQUEEN</t>
  </si>
  <si>
    <t>ΠΥΡΗΝΟΚΑΡΠΑ66482</t>
  </si>
  <si>
    <t>ΡΟΔΑΚΙΝΑ EARLY MAYCREST</t>
  </si>
  <si>
    <t>ΠΥΡΗΝΟΚΑΡΠΑ66483</t>
  </si>
  <si>
    <t>ΡΟΔΑΚΙΝΑ PULCHRA</t>
  </si>
  <si>
    <t>ΠΥΡΗΝΟΚΑΡΠΑ66484</t>
  </si>
  <si>
    <t>ΡΟΔΑΚΙΝΑ STARCREST</t>
  </si>
  <si>
    <t>ΠΥΡΗΝΟΚΑΡΠΑ66485</t>
  </si>
  <si>
    <t>ΡΟΔΑΚΙΝΑ PRO C 1 (EARLY FRESH)</t>
  </si>
  <si>
    <t>ΠΥΡΗΝΟΚΑΡΠΑ66486</t>
  </si>
  <si>
    <t>ΡΟΔΑΚΙΝΑ BOLERO</t>
  </si>
  <si>
    <t>ΠΥΡΗΝΟΚΑΡΠΑ66487</t>
  </si>
  <si>
    <t>ΡΟΔΑΚΙΝΑ FERGOLD</t>
  </si>
  <si>
    <t>ΠΥΡΗΝΟΚΑΡΠΑ66488</t>
  </si>
  <si>
    <t>ΡΟΔΑΚΙΝΑ BABYLONE</t>
  </si>
  <si>
    <t>ΠΥΡΗΝΟΚΑΡΠΑ66489</t>
  </si>
  <si>
    <t>ΡΟΔΑΚΙΝΑ ISFROPLAT 3 (UFO 3)</t>
  </si>
  <si>
    <t>ΠΥΡΗΝΟΚΑΡΠΑ66490</t>
  </si>
  <si>
    <t>ΡΟΔΑΚΙΝΑ OSIRIS</t>
  </si>
  <si>
    <t>ΠΥΡΗΝΟΚΑΡΠΑ66491</t>
  </si>
  <si>
    <t>ΡΟΔΑΚΙΝΑ FILOE</t>
  </si>
  <si>
    <t>ΠΥΡΗΝΟΚΑΡΠΑ66492</t>
  </si>
  <si>
    <t>ΡΟΔΑΚΙΝΑ SAMANTHA</t>
  </si>
  <si>
    <t>ΠΥΡΗΝΟΚΑΡΠΑ66493</t>
  </si>
  <si>
    <t>ΝΕΚΤΑΡΙΝΙΑ ISFRONET 2 (PLATINET 2)</t>
  </si>
  <si>
    <t>ΠΥΡΗΝΟΚΑΡΠΑ66494</t>
  </si>
  <si>
    <t>ΝΕΚΤΑΡΙΝΙΑ ISFRONET 3 (PLATINET 3)</t>
  </si>
  <si>
    <t>ΠΥΡΗΝΟΚΑΡΠΑ66495</t>
  </si>
  <si>
    <t>ΝΕΚΤΑΡΙΝΙΑ ZAITREME (LATE FIRE)</t>
  </si>
  <si>
    <t>ΠΥΡΗΝΟΚΑΡΠΑ66496</t>
  </si>
  <si>
    <t>ΝΕΚΤΑΡΙΝΙΑ MONPHIR (ZEPHYR)</t>
  </si>
  <si>
    <t>ΠΥΡΗΝΟΚΑΡΠΑ66497</t>
  </si>
  <si>
    <t>ΝΕΚΤΑΡΙΝΙΑ  KINOLEA</t>
  </si>
  <si>
    <t>ΠΥΡΗΝΟΚΑΡΠΑ66498</t>
  </si>
  <si>
    <t>ΔΑΜΑΣΚΗΝΑ CRIMSON GLO</t>
  </si>
  <si>
    <t>ΠΥΡΗΝΟΚΑΡΠΑ66499</t>
  </si>
  <si>
    <t>ΔΑΜΑΣΚΗΝΑ PRO1C (EBONY 51)</t>
  </si>
  <si>
    <t>ΠΥΡΗΝΟΚΑΡΠΑ66500</t>
  </si>
  <si>
    <t>ΔΑΜΑΣΚΗΝΑ PRO55C (EBONY 55)</t>
  </si>
  <si>
    <t>ΠΥΡΗΝΟΚΑΡΠΑ66501</t>
  </si>
  <si>
    <t>ΝΕΚΤΑΡΙΝΙΑ ISFRONET 1 (PLATINET 1)</t>
  </si>
  <si>
    <t>ΠΥΡΗΝΟΚΑΡΠΑ66502</t>
  </si>
  <si>
    <t>ΝΕΚΤΑΡΙΝΙΑ PRO 618 (EXTREME 618)</t>
  </si>
  <si>
    <t>ΠΥΡΗΝΟΚΑΡΠΑ66503</t>
  </si>
  <si>
    <t>ΒΕΡΙΚΟΚΑ NESTOR</t>
  </si>
  <si>
    <t>ΠΥΡΗΝΟΚΑΡΠΑ66504</t>
  </si>
  <si>
    <t>ΒΕΡΙΚΟΚΑ ROBADA</t>
  </si>
  <si>
    <t>ΠΥΡΗΝΟΚΑΡΠΑ66505</t>
  </si>
  <si>
    <t>ΚΕΡΑΣΙΑ PA2UNIBO (SWEET LORENZ)</t>
  </si>
  <si>
    <t>ΠΥΡΗΝΟΚΑΡΠΑ66506</t>
  </si>
  <si>
    <t>ΚΕΡΑΣΙΑ PA3UNIBO (SWEET GABRIEL)</t>
  </si>
  <si>
    <t>ΠΥΡΗΝΟΚΑΡΠΑ66507</t>
  </si>
  <si>
    <t>ΚΕΡΑΣΙΑ SUMLETA</t>
  </si>
  <si>
    <t>ΠΥΡΗΝΟΚΑΡΠΑ66508</t>
  </si>
  <si>
    <t>ΚΕΡΑΣΙΑ VALERY TSCHKALOV</t>
  </si>
  <si>
    <t>ΠΥΡΗΝΟΚΑΡΠΑ66510</t>
  </si>
  <si>
    <t>ΝΕΚΤΑΡΙΝΙΑ PRO C 329 (EXTREME BEAUTY)</t>
  </si>
  <si>
    <t>ΠΥΡΗΝΟΚΑΡΠΑ66511</t>
  </si>
  <si>
    <t>ΝΕΚΤΑΡΙΝΙΑ NECTADIVA</t>
  </si>
  <si>
    <t>ΠΥΡΗΝΟΚΑΡΠΑ66512</t>
  </si>
  <si>
    <t>ΚΕΡΑΣΙΑ PANARO 1 (SWEET EARLY) - ΘΕΡΜΟΚΗΠΙΑΚΗ ΚΑΛΛΙΕΡΓΕΙΑ</t>
  </si>
  <si>
    <t>ΠΥΡΗΝΟΚΑΡΠΑ66513</t>
  </si>
  <si>
    <t>ΚΕΡΑΣΙΑ BIGI SOL (EARLY BG) - ΘΕΡΜΟΚΗΠΙΑΚΗ ΚΑΛΛΙΕΡΓΕΙΑ</t>
  </si>
  <si>
    <t>ΠΥΡΗΝΟΚΑΡΠΑ66514</t>
  </si>
  <si>
    <t>ΝΕΚΤΑΡΙΝΙΑ ΕΡΛΙ ΜΠΟΜΠΑ - ΘΕΡΜΟΚΗΠΙΑΚΗ ΚΑΛΛΙΕΡΓΕΙΑ</t>
  </si>
  <si>
    <t>ΠΥΡΗΝΟΚΑΡΠΑ66515</t>
  </si>
  <si>
    <t>ΒΕΡΙΚΟΚΑ FARCLO</t>
  </si>
  <si>
    <t>ΠΥΡΗΝΟΚΑΡΠΑ66516</t>
  </si>
  <si>
    <t>ΒΕΡΙΚΟΚΑ COLORADO</t>
  </si>
  <si>
    <t>ΠΥΡΗΝΟΚΑΡΠΑ66517</t>
  </si>
  <si>
    <t>ΒΕΡΙΚΟΚΑ SHAMADE</t>
  </si>
  <si>
    <t>ΠΥΡΗΝΟΚΑΡΠΑ66518</t>
  </si>
  <si>
    <t>ΒΕΡΙΚΟΚΑ MADRIGAL</t>
  </si>
  <si>
    <t>ΠΥΡΗΝΟΚΑΡΠΑ66519</t>
  </si>
  <si>
    <t>ΒΕΡΙΚΟΚΑ SHERPA</t>
  </si>
  <si>
    <t>ΠΥΡΗΝΟΚΑΡΠΑ66520</t>
  </si>
  <si>
    <t>ΚΕΡΑΣΙΑ PA4UNIBO (SWEET VALINA)</t>
  </si>
  <si>
    <t>ΠΥΡΗΝΟΚΑΡΠΑ66521</t>
  </si>
  <si>
    <t>ΝΕΚΤΑΡΙΝΙΑ GARNET</t>
  </si>
  <si>
    <t>ΠΥΡΗΝΟΚΑΡΠΑ66522</t>
  </si>
  <si>
    <t>ΝΕΚΤΑΡΙΝΙΑ NERID 02985 (ROMAGNA MIA)</t>
  </si>
  <si>
    <t>ΠΥΡΗΝΟΚΑΡΠΑ66523</t>
  </si>
  <si>
    <t>ΝΕΚΤΑΡΙΝΙΑ NERID 00397 (ROMAGNA TOP)</t>
  </si>
  <si>
    <t>ΠΥΡΗΝΟΚΑΡΠΑ66524</t>
  </si>
  <si>
    <t>ΝΕΚΤΑΡΙΝΙΑ NERID 00522 (ROMAGNA QUEEN)</t>
  </si>
  <si>
    <t>ΠΥΡΗΝΟΚΑΡΠΑ66525</t>
  </si>
  <si>
    <t>ΝΕΚΤΑΡΙΝΙΑ NERID 01348 (ROMAGNA RED)</t>
  </si>
  <si>
    <t>ΠΥΡΗΝΟΚΑΡΠΑ66526</t>
  </si>
  <si>
    <t>ΝΕΚΤΑΡΙΝΙΑ NERID 99790 (ROMAGNA LATE)</t>
  </si>
  <si>
    <t>ΠΥΡΗΝΟΚΑΡΠΑ66527</t>
  </si>
  <si>
    <t>ΝΕΚΤΑΡΙΝΙΑ NERID 07577 (ROMAGNA LADY)</t>
  </si>
  <si>
    <t>ΠΥΡΗΝΟΚΑΡΠΑ66528</t>
  </si>
  <si>
    <t>ΝΕΚΤΑΡΙΝΙΑ NERID 65165 (ROMAGNA SUMMER)</t>
  </si>
  <si>
    <t>ΠΥΡΗΝΟΚΑΡΠΑ66529</t>
  </si>
  <si>
    <t>ΒΑΝΙΛΙΑ</t>
  </si>
  <si>
    <t>ΠΥΡΗΝΟΚΑΡΠΑ66530</t>
  </si>
  <si>
    <t>ΡΟΔΑΚΙΝΑ ISFROPLAT 7 (UFO 7)</t>
  </si>
  <si>
    <t>ΠΥΡΗΝΟΚΑΡΠΑ66531</t>
  </si>
  <si>
    <t>ΡΟΔΑΚΙΝΑ ISFROPLAT 9 (UFO 9)</t>
  </si>
  <si>
    <t>ΠΥΡΗΝΟΚΑΡΠΑ66532</t>
  </si>
  <si>
    <t>ΝΕΚΤΑΡΙΝΙΑ PIT STOP</t>
  </si>
  <si>
    <t>ΠΥΡΗΝΟΚΑΡΠΑ66533</t>
  </si>
  <si>
    <t>ΝΕΚΤΑΡΙΝΙΑ PRO 606 (FRESH GARNET)</t>
  </si>
  <si>
    <t>ΠΥΡΗΝΟΚΑΡΠΑ66534</t>
  </si>
  <si>
    <t>ΝΕΚΤΑΡΙΝΙΑ ZAI845NJ (BIG GLORY)</t>
  </si>
  <si>
    <t>ΠΥΡΗΝΟΚΑΡΠΑ66535</t>
  </si>
  <si>
    <t>ΝΕΚΤΑΡΙΝΙΑ PRO 28 (EXTREME 28)</t>
  </si>
  <si>
    <t>ΠΥΡΗΝΟΚΑΡΠΑ66536</t>
  </si>
  <si>
    <t>ΡΟΔΑΚΙNΑ ROME STAR</t>
  </si>
  <si>
    <t>ΠΥΡΗΝΟΚΑΡΠΑ66537</t>
  </si>
  <si>
    <t>ΒΕΡΙΚΟΚΑ RUBY</t>
  </si>
  <si>
    <t>ΠΥΡΗΝΟΚΑΡΠΑ66538</t>
  </si>
  <si>
    <t>ΚΕΡΑΣΙΑ FRISCO</t>
  </si>
  <si>
    <t>ΠΥΡΗΝΟΚΑΡΠΑ66539</t>
  </si>
  <si>
    <t>ΚΕΡΑΣΙΑ LALA STAR</t>
  </si>
  <si>
    <t>ΠΥΡΗΝΟΚΑΡΠΑ66540</t>
  </si>
  <si>
    <t>ΚΕΡΑΣΙΑ TRAGANA EDESSAS</t>
  </si>
  <si>
    <t>ΠΥΡΗΝΟΚΑΡΠΑ66541</t>
  </si>
  <si>
    <t>ΝΕΚΤΑΡΙΝΙΑ PRO_563 (EXTREME GLOBE)</t>
  </si>
  <si>
    <t>ΠΥΡΗΝΟΚΑΡΠΑ66542</t>
  </si>
  <si>
    <t>ΝΕΚΤΑΡΙΝΙΑ PRO_606 (GREEN GARNET)</t>
  </si>
  <si>
    <t>ΠΥΡΗΝΟΚΑΡΠΑ66543</t>
  </si>
  <si>
    <t>ΡΟΔΑΚΙΝΑ PESCO (ROYAL ESTATE)</t>
  </si>
  <si>
    <t>ΠΥΡΗΝΟΚΑΡΠΑ66544</t>
  </si>
  <si>
    <t>ΡΟΔΑΚΙΝΑ ANDROSS</t>
  </si>
  <si>
    <t>ΠΥΡΗΝΟΚΑΡΠΑ66545</t>
  </si>
  <si>
    <t>ΚΕΡΑΣΙΑ FOLFER</t>
  </si>
  <si>
    <t>ΠΥΡΗΝΟΚΑΡΠΑ66546</t>
  </si>
  <si>
    <t>ΝΕΚΤΑΡΙΝΙΑ PIT LANE</t>
  </si>
  <si>
    <t>ΠΥΡΗΝΟΚΑΡΠΑ66547</t>
  </si>
  <si>
    <t>ΝΕΚΤΑΡΙΝΙΑ LAMI NECTAR</t>
  </si>
  <si>
    <t>ΠΥΡΗΝΟΚΑΡΠΑ66548</t>
  </si>
  <si>
    <t>ΝΕΚΤΑΡΙΝΙΑ DOLZA 2</t>
  </si>
  <si>
    <t>ΠΥΡΗΝΟΚΑΡΠΑ66549</t>
  </si>
  <si>
    <t>ΝΕΚΤΑΡΙΝΙΑ DOLZA 3</t>
  </si>
  <si>
    <t>ΠΥΡΗΝΟΚΑΡΠΑ66550</t>
  </si>
  <si>
    <t>ΚΕΡΑΣΙΑ RITA</t>
  </si>
  <si>
    <t>ΠΥΡΗΝΟΚΑΡΠΑ66551</t>
  </si>
  <si>
    <t>ΒΕΡΊΚΟΚΑ BOLERO</t>
  </si>
  <si>
    <t>ΠΥΡΗΝΟΚΑΡΠΑ66552</t>
  </si>
  <si>
    <t>ΒΕΡΊΚΟΚΑ BORSALINO</t>
  </si>
  <si>
    <t>ΠΥΡΗΝΟΚΑΡΠΑ66553</t>
  </si>
  <si>
    <t>ΒΕΡΊΚΟΚΑ DOMINO</t>
  </si>
  <si>
    <t>ΠΥΡΗΝΟΚΑΡΠΑ66554</t>
  </si>
  <si>
    <t>ΒΕΡΊΚΟΚΑ NELSON</t>
  </si>
  <si>
    <t>ΠΥΡΗΝΟΚΑΡΠΑ66555</t>
  </si>
  <si>
    <t>ΒΕΡΊΚΟΚΑ PRIMASSI</t>
  </si>
  <si>
    <t>ΠΥΡΗΝΟΚΑΡΠΑ66556</t>
  </si>
  <si>
    <t>ΒΕΡΊΚΟΚΑ PRIMIDI</t>
  </si>
  <si>
    <t>ΠΥΡΗΝΟΚΑΡΠΑ66557</t>
  </si>
  <si>
    <t>ΒΕΡΊΚΟΚΑ MEDFLO</t>
  </si>
  <si>
    <t>ΠΥΡΗΝΟΚΑΡΠΑ66558</t>
  </si>
  <si>
    <t>ΡΟΔΆΚΙΝΑ ΠΛΑΤΎΚΑΡΠΑ KIWANI</t>
  </si>
  <si>
    <t>ΠΥΡΗΝΟΚΑΡΠΑ66559</t>
  </si>
  <si>
    <t>ΡΟΔΆΚΙΝΑ ΠΛΑΤΎΚΑΡΠΑ ZODIAC</t>
  </si>
  <si>
    <t>ΠΥΡΗΝΟΚΑΡΠΑ66560</t>
  </si>
  <si>
    <t>ΡΟΔΆΚΙΝΑ ΠΛΑΤΎΚΑΡΠΑ CONTESSA</t>
  </si>
  <si>
    <t>ΠΥΡΗΝΟΚΑΡΠΑ66561</t>
  </si>
  <si>
    <t>ΡΟΔΆΚΙΝΑ ΠΛΑΤΎΚΑΡΠΑ CYCLADE</t>
  </si>
  <si>
    <t>ΠΥΡΗΝΟΚΑΡΠΑ66562</t>
  </si>
  <si>
    <t>ΝΕΚΤΑΡΊΝΙΑ ΠΛΑΤΎΚΑΡΠΑ LUISELLA</t>
  </si>
  <si>
    <t>ΠΥΡΗΝΟΚΑΡΠΑ66563</t>
  </si>
  <si>
    <t>ΝΕΚΤΑΡΊΝΙΑ ΚΙΤΡΙΝΌΣΑΡΚΑ PATAGONIA</t>
  </si>
  <si>
    <t>ΠΥΡΗΝΟΚΑΡΠΑ66564</t>
  </si>
  <si>
    <t>ΝΕΚΤΑΡΊΝΙΑ ΚΙΤΡΙΝΌΣΑΡΚΑ COPACABANA</t>
  </si>
  <si>
    <t>ΠΥΡΗΝΟΚΑΡΠΑ66565</t>
  </si>
  <si>
    <t>ΝΕΚΤΑΡΊΝΙΑ ΚΙΤΡΙΝΌΣΑΡΚΑ CARACAS</t>
  </si>
  <si>
    <t>ΠΥΡΗΝΟΚΑΡΠΑ66566</t>
  </si>
  <si>
    <t>ΝΕΚΤΑΡΊΝΙΑ ΚΙΤΡΙΝΌΣΑΡΚΑ MOMBASA</t>
  </si>
  <si>
    <t>ΠΥΡΗΝΟΚΑΡΠΑ66567</t>
  </si>
  <si>
    <t>ΝΕΚΤΑΡΊΝΙΑ ΚΙΤΡΙΝΌΣΑΡΚΑ ATANAIS</t>
  </si>
  <si>
    <t>ΠΥΡΗΝΟΚΑΡΠΑ66568</t>
  </si>
  <si>
    <t>ΝΕΚΤΑΡΊΝΙΑ ΚΙΤΡΙΝΌΣΑΡΚΑ MATISS</t>
  </si>
  <si>
    <t>ΠΥΡΗΝΟΚΑΡΠΑ66569</t>
  </si>
  <si>
    <t>ΝΕΚΤΑΡΊΝΙΑ ΚΙΤΡΙΝΌΣΑΡΚΑ LUCIANA</t>
  </si>
  <si>
    <t>ΠΥΡΗΝΟΚΑΡΠΑ66570</t>
  </si>
  <si>
    <t>ΝΕΚΤΑΡΊΝΙΑ ΚΙΤΡΙΝΌΣΑΡΚΑ CLARISS</t>
  </si>
  <si>
    <t>ΠΥΡΗΝΟΚΑΡΠΑ66571</t>
  </si>
  <si>
    <t>ΝΕΚΤΑΡΊΝΙΑ ΚΙΤΡΙΝΌΣΑΡΚΑ ESMERALDA</t>
  </si>
  <si>
    <t>ΠΥΡΗΝΟΚΑΡΠΑ66572</t>
  </si>
  <si>
    <t>ΝΕΚΤΑΡΊΝΙΑ ΚΙΤΡΙΝΌΣΑΡΚΑ ZAITROBO</t>
  </si>
  <si>
    <t>ΠΥΡΗΝΟΚΑΡΠΑ66573</t>
  </si>
  <si>
    <t>ΝΕΚΤΑΡΊΝΙΑ ΚΙΤΡΙΝΌΣΑΡΚΑ ZAI845NJ</t>
  </si>
  <si>
    <t>ΠΥΡΗΝΟΚΑΡΠΑ66574</t>
  </si>
  <si>
    <t>ΝΕΚΤΑΡΊΝΙΑ ΚΙΤΡΙΝΌΣΑΡΚΑ ZAI843NJ</t>
  </si>
  <si>
    <t>ΠΥΡΗΝΟΚΑΡΠΑ66575</t>
  </si>
  <si>
    <t>ΝΕΚΤΑΡΊΝΙΑ ΚΙΤΡΙΝΌΣΑΡΚΑ ZAI827NJ</t>
  </si>
  <si>
    <t>ΠΥΡΗΝΟΚΑΡΠΑ66576</t>
  </si>
  <si>
    <t>ΝΕΚΤΑΡΊΝΙΑ ΛΕΥΚΌΣΑΡΚΑ BOREAL</t>
  </si>
  <si>
    <t>ΠΥΡΗΝΟΚΑΡΠΑ66577</t>
  </si>
  <si>
    <t>ΝΕΚΤΑΡΊΝΙΑ ΛΕΥΚΌΣΑΡΚΑ VAHINE</t>
  </si>
  <si>
    <t>ΠΥΡΗΝΟΚΑΡΠΑ66578</t>
  </si>
  <si>
    <t>ΝΕΚΤΑΡΊΝΙΑ ΛΕΥΚΌΣΑΡΚΑ TIFANY</t>
  </si>
  <si>
    <t>ΠΥΡΗΝΟΚΑΡΠΑ66579</t>
  </si>
  <si>
    <t>ΡΟΔΆΚΙΝΑ ASTORIA</t>
  </si>
  <si>
    <t>ΠΥΡΗΝΟΚΑΡΠΑ66580</t>
  </si>
  <si>
    <t>ΡΟΔΆΚΙΝΑ POMPADOUR</t>
  </si>
  <si>
    <t>ΠΥΡΗΝΟΚΑΡΠΑ66581</t>
  </si>
  <si>
    <t>ΡΟΔΆΚΙΝΑ LOLA</t>
  </si>
  <si>
    <t>ΠΥΡΗΝΟΚΑΡΠΑ66582</t>
  </si>
  <si>
    <t>ΡΟΔΆΚΙΝΑ ARTEMIS</t>
  </si>
  <si>
    <t>ΠΥΡΗΝΟΚΑΡΠΑ66583</t>
  </si>
  <si>
    <t>ΡΟΔΆΚΙΝΑ CARLA</t>
  </si>
  <si>
    <t>ΠΥΡΗΝΟΚΑΡΠΑ66584</t>
  </si>
  <si>
    <t>ΡΟΔΆΚΙΝΑ PAMPANA</t>
  </si>
  <si>
    <t>ΠΥΡΗΝΟΚΑΡΠΑ66585</t>
  </si>
  <si>
    <t>ΡΟΔΆΚΙΝΑ ARIZONA</t>
  </si>
  <si>
    <t>ΠΥΡΗΝΟΚΑΡΠΑ66586</t>
  </si>
  <si>
    <t>ΡΟΔΆΚΙΝΑ SOLEDORA</t>
  </si>
  <si>
    <t>ΠΥΡΗΝΟΚΑΡΠΑ66587</t>
  </si>
  <si>
    <t>ΡΟΔΆΚΙΝΑ FOTON RED</t>
  </si>
  <si>
    <t>ΠΥΡΗΝΟΚΑΡΠΑ66588</t>
  </si>
  <si>
    <t>ΡΟΔΆΚΙΝΑ ZAIRISUP</t>
  </si>
  <si>
    <t>ΠΥΡΗΝΟΚΑΡΠΑ66589</t>
  </si>
  <si>
    <t>ΡΟΔΆΚΙΝΑ BRITTNEY LANE</t>
  </si>
  <si>
    <t>ΠΥΡΗΝΟΚΑΡΠΑ66590</t>
  </si>
  <si>
    <t>ΡΟΔΆΚΙΝΑ ZAIMAJAL</t>
  </si>
  <si>
    <t>ΠΥΡΗΝΟΚΑΡΠΑ66591</t>
  </si>
  <si>
    <t>ΡΟΔΆΚΙΝΑ ZAI719PJ</t>
  </si>
  <si>
    <t>ΠΥΡΗΝΟΚΑΡΠΑ66592</t>
  </si>
  <si>
    <t>ΡΟΔΆΚΙΝΑ SWEET DREAM</t>
  </si>
  <si>
    <t>ΠΥΡΗΝΟΚΑΡΠΑ66593</t>
  </si>
  <si>
    <t>ΡΟΔΆΚΙΝΑ ZAIGADI</t>
  </si>
  <si>
    <t>ΠΥΡΗΝΟΚΑΡΠΑ66594</t>
  </si>
  <si>
    <t>ΡΟΔΆΚΙΝΑ SWEET HENRY</t>
  </si>
  <si>
    <t>ΠΥΡΗΝΟΚΑΡΠΑ66595</t>
  </si>
  <si>
    <t>ΡΟΔΆΚΙΝΑ LAMBADA</t>
  </si>
  <si>
    <t>ΠΥΡΗΝΟΚΑΡΠΑ66596</t>
  </si>
  <si>
    <t>ΔΑΜΆΣΚΗΝΑ APOLINA</t>
  </si>
  <si>
    <t>ΠΥΡΗΝΟΚΑΡΠΑ66597</t>
  </si>
  <si>
    <t>ΔΑΜΆΣΚΗΝΑ CRIMSON GLO</t>
  </si>
  <si>
    <t>ΠΥΡΗΝΟΚΑΡΠΑ66598</t>
  </si>
  <si>
    <t>ΔΑΜΆΣΚΗΝΑ SWEET CHRISTINE</t>
  </si>
  <si>
    <t>ΠΥΡΗΝΟΚΑΡΠΑ66599</t>
  </si>
  <si>
    <t>ΚΕΡΆΣΙΑ NARANA</t>
  </si>
  <si>
    <t>ΠΥΡΗΝΟΚΑΡΠΑ66600</t>
  </si>
  <si>
    <t>ΚΕΡΆΣΙΑ PISUE 192 (SWING)</t>
  </si>
  <si>
    <t>ΠΥΡΗΝΟΚΑΡΠΑ66601</t>
  </si>
  <si>
    <t>ΚΕΡΆΣΙΑ ZAI107CZ</t>
  </si>
  <si>
    <t>ΠΥΡΗΝΟΚΑΡΠΑ66602</t>
  </si>
  <si>
    <t>ΚΕΡΆΣΙΑ SPC106</t>
  </si>
  <si>
    <t>ΠΥΡΗΝΟΚΑΡΠΑ66603</t>
  </si>
  <si>
    <t>ΚΕΡΆΣΙΑ ROYAL EDIE</t>
  </si>
  <si>
    <t>ΠΥΡΗΝΟΚΑΡΠΑ66604</t>
  </si>
  <si>
    <t>ΚΕΡΆΣΙΑ ROYAL HELEN</t>
  </si>
  <si>
    <t>ΠΥΡΗΝΟΚΑΡΠΑ66605</t>
  </si>
  <si>
    <t>ΒΎΣΣΙΝΑ ACHAT</t>
  </si>
  <si>
    <t>ΠΥΡΗΝΟΚΑΡΠΑ66606</t>
  </si>
  <si>
    <t>ΒΕΡΊΚΟΚΑ AVILCO (BERGEVAL)</t>
  </si>
  <si>
    <t>ΠΥΡΗΝΟΚΑΡΠΑ66607</t>
  </si>
  <si>
    <t>ΒΕΡΊΚΟΚΑ CEBASRED</t>
  </si>
  <si>
    <t>ΠΥΡΗΝΟΚΑΡΠΑ66608</t>
  </si>
  <si>
    <t>ΔΑΜΆΣΚΗΝΑ EARLIQUEEN</t>
  </si>
  <si>
    <t>ΠΥΡΗΝΟΚΑΡΠΑ66609</t>
  </si>
  <si>
    <t>ΝΕΚΤΑΡΙΝΙΑ REBUS 028</t>
  </si>
  <si>
    <t>ΠΥΡΗΝΟΚΑΡΠΑ66610</t>
  </si>
  <si>
    <t>ΚΕΡΑΣΙΕΣ Β</t>
  </si>
  <si>
    <t>ΠΥΡΗΝΟΚΑΡΠΑ8127</t>
  </si>
  <si>
    <t>ΡΟΔΑΚΙΝΙΕΣ Α</t>
  </si>
  <si>
    <t>ΠΥΡΗΝΟΚΑΡΠΑ8129</t>
  </si>
  <si>
    <t>ΒΕΡΙΚΟΚΙΕΣ ΜΕΤΑΠΟΙΗΣΗΣ</t>
  </si>
  <si>
    <t>ΠΥΡΗΝΟΚΑΡΠΑ8221</t>
  </si>
  <si>
    <t>ΞΗΡΑ ΜΗ ΜΕΤΑΠΟΙΗΜΕΝΑ ΔΑΜΑΣΚΗΝΑ</t>
  </si>
  <si>
    <t>ΠΥΡΗΝΟΚΑΡΠΑ8502</t>
  </si>
  <si>
    <t>ΡΟΔΑΚΙΝΑ - ΛΕΥΚΟΣΑΡΚΟ ΑΓΡΙΟ</t>
  </si>
  <si>
    <t>ΠΥΡΗΝΟΚΑΡΠΑ8544</t>
  </si>
  <si>
    <t>ΡΟΔΑΚΙΝΑ - ΚΟΝΤΟΝΙ ΝΑΟΥΣΑΣ</t>
  </si>
  <si>
    <t>ΠΥΡΗΝΟΚΑΡΠΑ8545</t>
  </si>
  <si>
    <t>ΝΕΚΤΑΡΙΝΙΕΣ Α</t>
  </si>
  <si>
    <t>ΠΥΡΗΝΟΚΑΡΠΑ8603</t>
  </si>
  <si>
    <t>ΒΕΡΥΚΟΚΙΕΣ ΜΕΤΑΠΟΙΗΣΗΣ</t>
  </si>
  <si>
    <t>ΠΥΡΗΝΟΚΑΡΠΑ8605</t>
  </si>
  <si>
    <t>ΚΟΡΟΜΗΛΙΕΣ-ΤΖΑΝΕΡΙΕΣ</t>
  </si>
  <si>
    <t>ΠΥΡΗΝΟΚΑΡΠΑ8607</t>
  </si>
  <si>
    <t>ΒΥΣΣΙΝΙΕΣ</t>
  </si>
  <si>
    <t>ΠΥΡΗΝΟΚΑΡΠΑ8608</t>
  </si>
  <si>
    <t>ΒΕΡΥΚΟΚΙΕΣ - ΙΚΑΡΙΑΣ</t>
  </si>
  <si>
    <t>ΠΥΡΗΝΟΚΑΡΠΑ8691</t>
  </si>
  <si>
    <t>ΒΕΡΥΚΟΚΙΕΣ - ΠΛΑΚΕΣ ΠΗΛΙΟΥ</t>
  </si>
  <si>
    <t>ΠΥΡΗΝΟΚΑΡΠΑ8692</t>
  </si>
  <si>
    <t>ΒΕΡΥΚΟΚΙΕΣ - ΠΛΑΚΕΣ ΣΕΡΡΩΝ</t>
  </si>
  <si>
    <t>ΠΥΡΗΝΟΚΑΡΠΑ8693</t>
  </si>
  <si>
    <t>ΒΕΡΥΚΟΚΙΕΣ - ΧΑΤΖΗΠΑΥΛΗ</t>
  </si>
  <si>
    <t>ΠΥΡΗΝΟΚΑΡΠΑ8694</t>
  </si>
  <si>
    <t>ΒΕΡΥΚΟΚΙΕΣ - ΤΖΕΡΤΖΕΛΑ ΠΗΛΙΟΥ</t>
  </si>
  <si>
    <t>ΠΥΡΗΝΟΚΑΡΠΑ8695</t>
  </si>
  <si>
    <t>ΒΕΡΥΚΟΚΙΕΣ- ΙΚΑΡΙΑΣ</t>
  </si>
  <si>
    <t>ΠΥΡΗΝΟΚΑΡΠΑ8696</t>
  </si>
  <si>
    <t>ΠΥΡΗΝΟΚΑΡΠΑ8697</t>
  </si>
  <si>
    <t>ΠΥΡΗΝΟΚΑΡΠΑ8707</t>
  </si>
  <si>
    <t>ΠΥΡΗΝΟΚΑΡΠΑ8708</t>
  </si>
  <si>
    <t>ΒΥΣΣΙΝΙΕΣ - ΠΗΛΙΟΥ</t>
  </si>
  <si>
    <t>ΠΥΡΗΝΟΚΑΡΠΑ8714</t>
  </si>
  <si>
    <t>ΔΑΜΑΣΚΗΝΙΕΣ - ΜΠΕΡΕΚΕΤΙΑ</t>
  </si>
  <si>
    <t>ΠΥΡΗΝΟΚΑΡΠΑ8715</t>
  </si>
  <si>
    <t>ΔΑΜΑΣΚΗΝΙΕΣ - ΓΑΙΔΟΥΡΟΔΑΜΑΣΚΗΝΟ</t>
  </si>
  <si>
    <t>ΠΥΡΗΝΟΚΑΡΠΑ8716</t>
  </si>
  <si>
    <t>ΔΑΜΑΣΚΗΝΙΕΣ - ΚΟΙΛΑ</t>
  </si>
  <si>
    <t>ΠΥΡΗΝΟΚΑΡΠΑ8717</t>
  </si>
  <si>
    <t>ΔΑΜΑΣΚΗΝΙΕΣ - ΚΟΡΟΜΗΛΟΔΑΜΑΣΚΗΝΟ</t>
  </si>
  <si>
    <t>ΠΥΡΗΝΟΚΑΡΠΑ8718</t>
  </si>
  <si>
    <t>ΔΑΜΑΣΚΗΝΙΕΣ ΛΗΜΝΟΥ</t>
  </si>
  <si>
    <t>ΠΥΡΗΝΟΚΑΡΠΑ8719</t>
  </si>
  <si>
    <t>ΠΥΡΗΝΟΚΑΡΠΑ8720</t>
  </si>
  <si>
    <t>ΚΕΡΑΣΙΑ - ΣΕΡΡΩΝ (ΜΑΥΡΟ)</t>
  </si>
  <si>
    <t>ΠΥΡΗΝΟΚΑΡΠΑ8728</t>
  </si>
  <si>
    <t>ΚΕΡΑΣΙΑ - ΛΕΥΚΟ ΙΩΑΝΝΙΝΩΝ</t>
  </si>
  <si>
    <t>ΠΥΡΗΝΟΚΑΡΠΑ8729</t>
  </si>
  <si>
    <t>ΚΕΡΑΣΙΑ - ΦΡΑΟΥΛΑ ΒΟΛΟΥ</t>
  </si>
  <si>
    <t>ΠΥΡΗΝΟΚΑΡΠΑ8730</t>
  </si>
  <si>
    <t>ΚΕΡΑΣΙΑ - ΤΡΑΓΑΝΑ ΑΓΙΑΣΟΥ</t>
  </si>
  <si>
    <t>ΠΥΡΗΝΟΚΑΡΠΑ8731</t>
  </si>
  <si>
    <t>ΚΕΡΑΣΙΑ - ΒΙΤΑΛΟΥ</t>
  </si>
  <si>
    <t>ΠΥΡΗΝΟΚΑΡΠΑ8732</t>
  </si>
  <si>
    <t>ΚΕΡΑΣΙΑ - ΠΡΩΙΜΟ ΚΗΦΙΣΙΑΣ</t>
  </si>
  <si>
    <t>ΠΥΡΗΝΟΚΑΡΠΑ8733</t>
  </si>
  <si>
    <t>ΚΕΡΑΣΙΑ - ΜΕΤΟΧΙΟΥ ΣΤΡΟΠΩΝΩΝ</t>
  </si>
  <si>
    <t>ΠΥΡΗΝΟΚΑΡΠΑ8734</t>
  </si>
  <si>
    <t>ΚΕΡΑΣΙΑ - ΓΕΡΟΠΛΑΤΑΝΟΥ</t>
  </si>
  <si>
    <t>ΠΥΡΗΝΟΚΑΡΠΑ8735</t>
  </si>
  <si>
    <t>ΡΟΔΑΚΙΝΙΕΣ ΜΕΤΑΠΟΙΗΣΗΣ</t>
  </si>
  <si>
    <t>ΡΟΔΑΚΙΝΑ ROMEA</t>
  </si>
  <si>
    <t>ΡΟΔΑΚΙΝΙΕΣ ΜΕΤΑΠΟΙΗΣΗΣ14039</t>
  </si>
  <si>
    <t>20.2</t>
  </si>
  <si>
    <t>ΡΟΔΑΚΙΝΑ CATHERINA</t>
  </si>
  <si>
    <t>ΡΟΔΑΚΙΝΙΕΣ ΜΕΤΑΠΟΙΗΣΗΣ14040</t>
  </si>
  <si>
    <t>ΡΟΔΑΚΙΝΑ FORTUNA</t>
  </si>
  <si>
    <t>ΡΟΔΑΚΙΝΙΕΣ ΜΕΤΑΠΟΙΗΣΗΣ14041</t>
  </si>
  <si>
    <t>ΡΟΔΑΚΙΝΑ LOADEL</t>
  </si>
  <si>
    <t>ΡΟΔΑΚΙΝΙΕΣ ΜΕΤΑΠΟΙΗΣΗΣ14042</t>
  </si>
  <si>
    <t>ΡΟΔΑΚΙΝΑ Ι.Φ.Δ.-Α37</t>
  </si>
  <si>
    <t>ΡΟΔΑΚΙΝΙΕΣ ΜΕΤΑΠΟΙΗΣΗΣ14043</t>
  </si>
  <si>
    <t>ΡΟΔΑΚΙΝΑ Ι.Φ.Δ.-ΙΒ42</t>
  </si>
  <si>
    <t>ΡΟΔΑΚΙΝΙΕΣ ΜΕΤΑΠΟΙΗΣΗΣ14044</t>
  </si>
  <si>
    <t>ΡΟΔΑΚΙΝΑ EVERTS</t>
  </si>
  <si>
    <t>ΡΟΔΑΚΙΝΙΕΣ ΜΕΤΑΠΟΙΗΣΗΣ14045</t>
  </si>
  <si>
    <t>ΡΟΔΑΚΙΝΑ Ι.Φ.Δ.-Ε45</t>
  </si>
  <si>
    <t>ΡΟΔΑΚΙΝΙΕΣ ΜΕΤΑΠΟΙΗΣΗΣ14046</t>
  </si>
  <si>
    <t>ΡΟΔΑΚΙΝΙΕΣ ΜΕΤΑΠΟΙΗΣΗΣ14047</t>
  </si>
  <si>
    <t>ΡΟΔΑΚΙΝΑ BOWEN</t>
  </si>
  <si>
    <t>ΡΟΔΑΚΙΝΙΕΣ ΜΕΤΑΠΟΙΗΣΗΣ14048</t>
  </si>
  <si>
    <t>ΡΟΔΑΚΙΝΑ MERRIAM</t>
  </si>
  <si>
    <t>ΡΟΔΑΚΙΝΙΕΣ ΜΕΤΑΠΟΙΗΣΗΣ14049</t>
  </si>
  <si>
    <t>ΡΟΔΑΚΙΝΑ VIVIAN</t>
  </si>
  <si>
    <t>ΡΟΔΑΚΙΝΙΕΣ ΜΕΤΑΠΟΙΗΣΗΣ14050</t>
  </si>
  <si>
    <t>ΡΟΔΑΚΙΝΑ VIVIAN ΜΕΤΑΛΛΑΓΗ</t>
  </si>
  <si>
    <t>ΡΟΔΑΚΙΝΙΕΣ ΜΕΤΑΠΟΙΗΣΗΣ14051</t>
  </si>
  <si>
    <t>ΡΟΔΑΚΙΝΑ ΚΑΤΕΡΙΝΑ</t>
  </si>
  <si>
    <t>ΡΟΔΑΚΙΝΙΕΣ ΜΕΤΑΠΟΙΗΣΗΣ20201</t>
  </si>
  <si>
    <t>ΡΟΔΑΚΙΝΑ ΦΟΡΤΟΥΝΑ</t>
  </si>
  <si>
    <t>ΡΟΔΑΚΙΝΙΕΣ ΜΕΤΑΠΟΙΗΣΗΣ20202</t>
  </si>
  <si>
    <t>ΡΟΔΑΚΙΝΑ ΛΟΑΝΤΕΛ</t>
  </si>
  <si>
    <t>ΡΟΔΑΚΙΝΙΕΣ ΜΕΤΑΠΟΙΗΣΗΣ20203</t>
  </si>
  <si>
    <t>ΡΟΔΑΚΙΝΑ ΜΠΕΙΜΠΙ ΓΚΟΛΝΤ Νο5</t>
  </si>
  <si>
    <t>ΡΟΔΑΚΙΝΙΕΣ ΜΕΤΑΠΟΙΗΣΗΣ20204</t>
  </si>
  <si>
    <t>ΡΟΔΑΚΙΝΑ ΜΠΕΙΜΠΙ ΓΚΟΛΝΤ Νο6</t>
  </si>
  <si>
    <t>ΡΟΔΑΚΙΝΙΕΣ ΜΕΤΑΠΟΙΗΣΗΣ20205</t>
  </si>
  <si>
    <t>ΡΟΔΑΚΙΝΑ ΒΙΒΙΑΝ</t>
  </si>
  <si>
    <t>ΡΟΔΑΚΙΝΙΕΣ ΜΕΤΑΠΟΙΗΣΗΣ20206</t>
  </si>
  <si>
    <t>ΡΟΔΑΚΙΝΑ ΝΤΙΞΟΝ</t>
  </si>
  <si>
    <t>ΡΟΔΑΚΙΝΙΕΣ ΜΕΤΑΠΟΙΗΣΗΣ20207</t>
  </si>
  <si>
    <t>ΡΟΔΑΚΙΝΑ ΜΠΟΟΝΕΝ</t>
  </si>
  <si>
    <t>ΡΟΔΑΚΙΝΙΕΣ ΜΕΤΑΠΟΙΗΣΗΣ20208</t>
  </si>
  <si>
    <t>ΡΟΔΑΚΙΝΑ ΑΝΤΡΟΣ</t>
  </si>
  <si>
    <t>ΡΟΔΑΚΙΝΙΕΣ ΜΕΤΑΠΟΙΗΣΗΣ20209</t>
  </si>
  <si>
    <t>ΡΟΔΑΚΙΝΑ ΓΙΟΥΓΚΕΡΜΑΝ</t>
  </si>
  <si>
    <t>ΡΟΔΑΚΙΝΙΕΣ ΜΕΤΑΠΟΙΗΣΗΣ20210</t>
  </si>
  <si>
    <t>ΡΟΔΑΚΙΝΑ ΚΑΡΟΛΙΝΑ</t>
  </si>
  <si>
    <t>ΡΟΔΑΚΙΝΙΕΣ ΜΕΤΑΠΟΙΗΣΗΣ20211</t>
  </si>
  <si>
    <t>ΡΟΔΑΚΙΝΑ ΚΛΑΜΠ</t>
  </si>
  <si>
    <t>ΡΟΔΑΚΙΝΙΕΣ ΜΕΤΑΠΟΙΗΣΗΣ20212</t>
  </si>
  <si>
    <t>ΡΟΔΑΚΙΝΑ ΧΑΛΦΟΡΝΤ</t>
  </si>
  <si>
    <t>ΡΟΔΑΚΙΝΙΕΣ ΜΕΤΑΠΟΙΗΣΗΣ20213</t>
  </si>
  <si>
    <t>ΡΟΔΑΚΙΝΑ ΕΒΕΡΤΣ</t>
  </si>
  <si>
    <t>ΡΟΔΑΚΙΝΙΕΣ ΜΕΤΑΠΟΙΗΣΗΣ20214</t>
  </si>
  <si>
    <t>ΡΟΔΑΚΙΝΑ ΣΤΑΡΝ</t>
  </si>
  <si>
    <t>ΡΟΔΑΚΙΝΙΕΣ ΜΕΤΑΠΟΙΗΣΗΣ20215</t>
  </si>
  <si>
    <t>ΡΟΔΑΚΙΝΑ ΣΙΕΣΤΑ</t>
  </si>
  <si>
    <t>ΡΟΔΑΚΙΝΙΕΣ ΜΕΤΑΠΟΙΗΣΗΣ20216</t>
  </si>
  <si>
    <t>ΡΟΔΑΚΙΝΑ ΚΑΡΣΟΝ</t>
  </si>
  <si>
    <t>ΡΟΔΑΚΙΝΙΕΣ ΜΕΤΑΠΟΙΗΣΗΣ20218</t>
  </si>
  <si>
    <t>ΡΟΔΑΚΙΝΑ ΓΚΟΛΝΤΕΝ ΚΟΥΙΝ</t>
  </si>
  <si>
    <t>ΡΟΔΑΚΙΝΙΕΣ ΜΕΤΑΠΟΙΗΣΗΣ20219</t>
  </si>
  <si>
    <t>ΡΟΔΑΚΙΝΑ ΧΕΡΙΝΓΚΤΟΝ</t>
  </si>
  <si>
    <t>ΡΟΔΑΚΙΝΙΕΣ ΜΕΤΑΠΟΙΗΣΗΣ20220</t>
  </si>
  <si>
    <t>ΡΟΔΑΚΙΝΑ ΣΑΝ ΛΟΡΕΝΖΟ</t>
  </si>
  <si>
    <t>ΡΟΔΑΚΙΝΙΕΣ ΜΕΤΑΠΟΙΗΣΗΣ20221</t>
  </si>
  <si>
    <t>ΡΟΔΑΚΙΝΑ ΜΥΡΙΑΜ</t>
  </si>
  <si>
    <t>ΡΟΔΑΚΙΝΙΕΣ ΜΕΤΑΠΟΙΗΣΗΣ20222</t>
  </si>
  <si>
    <t>ΡΟΔΑΚΙΝΑ ΣΟΝΟΡΑ</t>
  </si>
  <si>
    <t>ΡΟΔΑΚΙΝΙΕΣ ΜΕΤΑΠΟΙΗΣΗΣ20223</t>
  </si>
  <si>
    <t>ΡΟΔΑΚ. ΟΚΟΥΜΠΟ</t>
  </si>
  <si>
    <t>ΡΟΔΑΚΙΝΙΕΣ ΜΕΤΑΠΟΙΗΣΗΣ20224</t>
  </si>
  <si>
    <t>ΡΟΔΑΚΙΝΑ Α37</t>
  </si>
  <si>
    <t>ΡΟΔΑΚΙΝΙΕΣ ΜΕΤΑΠΟΙΗΣΗΣ20225</t>
  </si>
  <si>
    <t>ΡΟΔΑΚΙΝΑ ΚΑΛΙΦΟΡΝΙΑ</t>
  </si>
  <si>
    <t>ΡΟΔΑΚΙΝΙΕΣ ΜΕΤΑΠΟΙΗΣΗΣ20226</t>
  </si>
  <si>
    <t>ΡΟΔΑΚΙΝΑ FERCLUSE</t>
  </si>
  <si>
    <t>ΡΟΔΑΚΙΝΙΕΣ ΜΕΤΑΠΟΙΗΣΗΣ20227</t>
  </si>
  <si>
    <t>ΡΟΔΑΚΙΝΑ FERLOT</t>
  </si>
  <si>
    <t>ΡΟΔΑΚΙΝΙΕΣ ΜΕΤΑΠΟΙΗΣΗΣ20228</t>
  </si>
  <si>
    <t>ΡΟΔΑΚΙΝΑ FERLATE</t>
  </si>
  <si>
    <t>ΡΟΔΑΚΙΝΙΕΣ ΜΕΤΑΠΟΙΗΣΗΣ20229</t>
  </si>
  <si>
    <t>ΡΟΔΑΚΙΝΑ PRO C 236 (VERUELA)</t>
  </si>
  <si>
    <t>ΡΟΔΑΚΙΝΙΕΣ ΜΕΤΑΠΟΙΗΣΗΣ20230</t>
  </si>
  <si>
    <t>ΡΟΔΑΚΙΝΑ PRO C 84 (GUADALUPE)</t>
  </si>
  <si>
    <t>ΡΟΔΑΚΙΝΙΕΣ ΜΕΤΑΠΟΙΗΣΗΣ20231</t>
  </si>
  <si>
    <t>ΡΟΔΑΚΙΝΑ PRO C 105 (YUSTE)</t>
  </si>
  <si>
    <t>ΡΟΔΑΚΙΝΙΕΣ ΜΕΤΑΠΟΙΗΣΗΣ20232</t>
  </si>
  <si>
    <t>ΡΟΔΑΚΙΝΑ PRO 443 (JALON)</t>
  </si>
  <si>
    <t>ΡΟΔΑΚΙΝΙΕΣ ΜΕΤΑΠΟΙΗΣΗΣ20233</t>
  </si>
  <si>
    <t>ΡΟΔΑΚΙΝΑ PRO C 182 (LEYRE)</t>
  </si>
  <si>
    <t>ΡΟΔΑΚΙΝΙΕΣ ΜΕΤΑΠΟΙΗΣΗΣ20234</t>
  </si>
  <si>
    <t>ΡΟΔΑΚΙΝΑ PRO C 220 (POBLET)</t>
  </si>
  <si>
    <t>ΡΟΔΑΚΙΝΙΕΣ ΜΕΤΑΠΟΙΗΣΗΣ20235</t>
  </si>
  <si>
    <t>ΡΟΔΑΚΙΝΑ PRO 570</t>
  </si>
  <si>
    <t>ΡΟΔΑΚΙΝΙΕΣ ΜΕΤΑΠΟΙΗΣΗΣ20236</t>
  </si>
  <si>
    <t>ΡΟΔΑΚΙΝΑ MIREILLE MEYSTAR</t>
  </si>
  <si>
    <t>ΡΟΔΑΚΙΝΙΕΣ ΜΕΤΑΠΟΙΗΣΗΣ20237</t>
  </si>
  <si>
    <t>ΡΟΔΑΚΙΝΑ PUNTO IT</t>
  </si>
  <si>
    <t>ΡΟΔΑΚΙΝΙΕΣ ΜΕΤΑΠΟΙΗΣΗΣ20238</t>
  </si>
  <si>
    <t>ΡΟΔΑΚΙΝΑ ZAI27PAV (MARLEN)</t>
  </si>
  <si>
    <t>ΡΟΔΑΚΙΝΙΕΣ ΜΕΤΑΠΟΙΗΣΗΣ20239</t>
  </si>
  <si>
    <t>ΡΟΔΑΚΙΝΑ ZAI17PAV (MIREL)</t>
  </si>
  <si>
    <t>ΡΟΔΑΚΙΝΙΕΣ ΜΕΤΑΠΟΙΗΣΗΣ20240</t>
  </si>
  <si>
    <t>ΡΟΔΑΚΙΝΑ ZAI21PAV (HARBEL)</t>
  </si>
  <si>
    <t>ΡΟΔΑΚΙΝΙΕΣ ΜΕΤΑΠΟΙΗΣΗΣ20241</t>
  </si>
  <si>
    <t>ΡΟΔΑΚΙΝΑ PUNTOIT</t>
  </si>
  <si>
    <t>ΡΟΔΑΚΙΝΙΕΣ ΜΕΤΑΠΟΙΗΣΗΣ20242</t>
  </si>
  <si>
    <t>ΡΟΔΑΚΙΝΑ PUNTOCOM</t>
  </si>
  <si>
    <t>ΡΟΔΑΚΙΝΙΕΣ ΜΕΤΑΠΟΙΗΣΗΣ20243</t>
  </si>
  <si>
    <t>ΡΟΔΑΚΙΝΑ GELO 1 (ICEPEACH)</t>
  </si>
  <si>
    <t>ΡΟΔΑΚΙΝΙΕΣ ΜΕΤΑΠΟΙΗΣΗΣ20244</t>
  </si>
  <si>
    <t>ΡΟΔΑΚΙΝΑ GELO 2 (ICEPEACH)</t>
  </si>
  <si>
    <t>ΡΟΔΑΚΙΝΙΕΣ ΜΕΤΑΠΟΙΗΣΗΣ20245</t>
  </si>
  <si>
    <t>ΡΟΔΑΚΙΝΑ GELO 3 (ICEPEACH)</t>
  </si>
  <si>
    <t>ΡΟΔΑΚΙΝΙΕΣ ΜΕΤΑΠΟΙΗΣΗΣ20246</t>
  </si>
  <si>
    <t>ΡΟΔΆΚΙΝΑ EVERTS ΕΠΙΛΟΓΗ VLG</t>
  </si>
  <si>
    <t>ΡΟΔΑΚΙΝΙΕΣ ΜΕΤΑΠΟΙΗΣΗΣ20247</t>
  </si>
  <si>
    <t>ΡΥΖΙ</t>
  </si>
  <si>
    <t>ΡΥΖΙ RONALDO</t>
  </si>
  <si>
    <t>ΡΥΖΙ70001</t>
  </si>
  <si>
    <t>ΡΥΖΙ LUNA CL</t>
  </si>
  <si>
    <t>ΡΥΖΙ70002</t>
  </si>
  <si>
    <t>ΡΥΖΙ SAMBA</t>
  </si>
  <si>
    <t>ΡΥΖΙ70003</t>
  </si>
  <si>
    <t>ΡΥΖΙ GLORIA</t>
  </si>
  <si>
    <t>ΡΥΖΙ70004</t>
  </si>
  <si>
    <t>ΡΥΖΙ DUCATO</t>
  </si>
  <si>
    <t>ΡΥΖΙ70005</t>
  </si>
  <si>
    <t>ΡΥΖΙ ERIDANO</t>
  </si>
  <si>
    <t>ΡΥΖΙ70006</t>
  </si>
  <si>
    <t>ΡΥΖΙ FENICE</t>
  </si>
  <si>
    <t>ΡΥΖΙ70007</t>
  </si>
  <si>
    <t>ΡΥΖΙ SAGITTARIO</t>
  </si>
  <si>
    <t>ΡΥΖΙ70008</t>
  </si>
  <si>
    <t>ΡΥΖΙ VOLANO</t>
  </si>
  <si>
    <t>ΡΥΖΙ70009</t>
  </si>
  <si>
    <t>ΡΥΖΙ BALDO</t>
  </si>
  <si>
    <t>ΡΥΖΙ70010</t>
  </si>
  <si>
    <t>ΡΥΖΙ GLADIO</t>
  </si>
  <si>
    <t>ΡΥΖΙ70011</t>
  </si>
  <si>
    <t>ΡΥΖΙ SELENIO</t>
  </si>
  <si>
    <t>ΡΥΖΙ70012</t>
  </si>
  <si>
    <t>ΡΥΖΙ ADONE</t>
  </si>
  <si>
    <t>ΡΥΖΙ70013</t>
  </si>
  <si>
    <t>ΡΥΖΙ AGANE</t>
  </si>
  <si>
    <t>ΡΥΖΙ70014</t>
  </si>
  <si>
    <t>ΡΥΖΙ ARCHIMEDE</t>
  </si>
  <si>
    <t>ΡΥΖΙ70015</t>
  </si>
  <si>
    <t>ΡΥΖΙ ARIANNA CL</t>
  </si>
  <si>
    <t>ΡΥΖΙ70016</t>
  </si>
  <si>
    <t>ΡΥΖΙ DAVID CL</t>
  </si>
  <si>
    <t>ΡΥΖΙ70017</t>
  </si>
  <si>
    <t>ΡΥΖΙ EGEO CL</t>
  </si>
  <si>
    <t>ΡΥΖΙ70018</t>
  </si>
  <si>
    <t>ΡΥΖΙ FILIPPO</t>
  </si>
  <si>
    <t>ΡΥΖΙ70019</t>
  </si>
  <si>
    <t>ΡΥΖΙ GOLDEN BON</t>
  </si>
  <si>
    <t>ΡΥΖΙ70020</t>
  </si>
  <si>
    <t>ΡΥΖΙ IRIDE CL</t>
  </si>
  <si>
    <t>ΡΥΖΙ70021</t>
  </si>
  <si>
    <t>ΡΥΖΙ KRYSTALLINO</t>
  </si>
  <si>
    <t>ΡΥΖΙ70022</t>
  </si>
  <si>
    <t>ΡΥΖΙ NEMESI CL</t>
  </si>
  <si>
    <t>ΡΥΖΙ70023</t>
  </si>
  <si>
    <t>ΡΥΖΙ POLLUCE CL</t>
  </si>
  <si>
    <t>ΡΥΖΙ70024</t>
  </si>
  <si>
    <t>ΡΥΖΙ ZORBA</t>
  </si>
  <si>
    <t>ΡΥΖΙ70025</t>
  </si>
  <si>
    <t>ΡΥΖΙ LEONIDAS CL</t>
  </si>
  <si>
    <t>ΡΥΖΙ70026</t>
  </si>
  <si>
    <t>ΡΥΖΙ HISPAMAR</t>
  </si>
  <si>
    <t>ΡΥΖΙ70027</t>
  </si>
  <si>
    <t>ΡΥΖΙ SIRIO CL</t>
  </si>
  <si>
    <t>ΡΥΖΙ70028</t>
  </si>
  <si>
    <t>ΡΥΖΙ VASCO</t>
  </si>
  <si>
    <t>ΡΥΖΙ70029</t>
  </si>
  <si>
    <t>ΡΥΖΙ MARE CL</t>
  </si>
  <si>
    <t>ΡΥΖΙ70030</t>
  </si>
  <si>
    <t>ΡΥΖΙ BARONE CL</t>
  </si>
  <si>
    <t>ΡΥΖΙ70031</t>
  </si>
  <si>
    <t>ΡΥΖΙ MECO</t>
  </si>
  <si>
    <t>ΡΥΖΙ70032</t>
  </si>
  <si>
    <t>ΡΥΖΙ S. ANDREA</t>
  </si>
  <si>
    <t>ΡΥΖΙ70033</t>
  </si>
  <si>
    <t>ΡΥΖΙ VENERE</t>
  </si>
  <si>
    <t>ΡΥΖΙ70034</t>
  </si>
  <si>
    <t>ΡΥΖΙ CL26</t>
  </si>
  <si>
    <t>ΡΥΖΙ70035</t>
  </si>
  <si>
    <t>ΡΥΖΙ CL28</t>
  </si>
  <si>
    <t>ΡΥΖΙ70036</t>
  </si>
  <si>
    <t>ΡΥΖΙ CL33</t>
  </si>
  <si>
    <t>ΡΥΖΙ70037</t>
  </si>
  <si>
    <t>ΡΥΖΙ RIBE</t>
  </si>
  <si>
    <t>ΡΥΖΙ70038</t>
  </si>
  <si>
    <t>ΡΥΖΙ KIKKO</t>
  </si>
  <si>
    <t>ΡΥΖΙ70039</t>
  </si>
  <si>
    <t>ΡΥΖΙ CL 111</t>
  </si>
  <si>
    <t>ΡΥΖΙ70040</t>
  </si>
  <si>
    <t>ΡΥΖΙ LIMPERATORE</t>
  </si>
  <si>
    <t>ΡΥΖΙ70041</t>
  </si>
  <si>
    <t>ΡΥΖΙ LEONARDO</t>
  </si>
  <si>
    <t>ΡΥΖΙ70042</t>
  </si>
  <si>
    <t>ΡΥΖΙ ALLEGRO</t>
  </si>
  <si>
    <t>ΡΥΖΙ70043</t>
  </si>
  <si>
    <t>ΡΥΖΙ CERERE</t>
  </si>
  <si>
    <t>ΡΥΖΙ70044</t>
  </si>
  <si>
    <t>ΡΥΖΙ LASER</t>
  </si>
  <si>
    <t>ΡΥΖΙ70045</t>
  </si>
  <si>
    <t>ΡΥΖΙ MERIDIO</t>
  </si>
  <si>
    <t>ΡΥΖΙ70046</t>
  </si>
  <si>
    <t>ΡΥΖΙ OPALE</t>
  </si>
  <si>
    <t>ΡΥΖΙ70047</t>
  </si>
  <si>
    <t>ΡΥΖΙ CENTAURO</t>
  </si>
  <si>
    <t>ΡΥΖΙ70048</t>
  </si>
  <si>
    <t>ΡΥΖΙ CL388</t>
  </si>
  <si>
    <t>ΡΥΖΙ70049</t>
  </si>
  <si>
    <t>ΡΥΖΙ CORIMBO</t>
  </si>
  <si>
    <t>ΡΥΖΙ70050</t>
  </si>
  <si>
    <t>ΡΥΖΙ APOLLO</t>
  </si>
  <si>
    <t>ΡΥΖΙ70051</t>
  </si>
  <si>
    <t>ΡΥΖΙ UNICO</t>
  </si>
  <si>
    <t>ΡΥΖΙ70052</t>
  </si>
  <si>
    <t>ΡΥΖΙ BORANDOTTO</t>
  </si>
  <si>
    <t>ΡΥΖΙ70053</t>
  </si>
  <si>
    <t>ΡΥΖΙ PVL024</t>
  </si>
  <si>
    <t>ΡΥΖΙ70054</t>
  </si>
  <si>
    <t>ΡΥΖΙ CL35</t>
  </si>
  <si>
    <t>ΡΥΖΙ70055</t>
  </si>
  <si>
    <t>ΡΥΖΙ EDISON</t>
  </si>
  <si>
    <t>ΡΥΖΙ70056</t>
  </si>
  <si>
    <t>ΡΥΖΙ ZAR</t>
  </si>
  <si>
    <t>ΡΥΖΙ70057</t>
  </si>
  <si>
    <t>ΡΥΖΙ ELENI</t>
  </si>
  <si>
    <t>ΡΥΖΙ70058</t>
  </si>
  <si>
    <t>ΡΥΖΙ ISPANIKI "A" (ΙΣΠΑΝΙΚΗ Α)</t>
  </si>
  <si>
    <t>ΡΥΖΙ7101</t>
  </si>
  <si>
    <t>ΡΥΖΙ MAKEDONIA (ΜΑΚΕΔΟΝΙΑ)</t>
  </si>
  <si>
    <t>ΡΥΖΙ7102</t>
  </si>
  <si>
    <t>ΡΥΖΙ AXIOS (ΑΞΙΟΣ)</t>
  </si>
  <si>
    <t>ΡΥΖΙ7103</t>
  </si>
  <si>
    <t>ΡΥΖΙ DION (ΔΙΟΝ)</t>
  </si>
  <si>
    <t>ΡΥΖΙ7104</t>
  </si>
  <si>
    <t>ΡΥΖΙ EVROPI (ΕΥΡΩΠΗ)</t>
  </si>
  <si>
    <t>ΡΥΖΙ7105</t>
  </si>
  <si>
    <t>ΡΥΖΙ MELAS (ΜΕΛΑΣ)</t>
  </si>
  <si>
    <t>ΡΥΖΙ7106</t>
  </si>
  <si>
    <t>ΡΥΖΙ ROXANI (ΡΩΞΑΝΗ)</t>
  </si>
  <si>
    <t>ΡΥΖΙ7107</t>
  </si>
  <si>
    <t>ΡΥΖΙ STRYMONAS (ΣΤΡΥΜΩΝΑΣ)</t>
  </si>
  <si>
    <t>ΡΥΖΙ7108</t>
  </si>
  <si>
    <t>ΡΥΖΙ ARIETE</t>
  </si>
  <si>
    <t>ΡΥΖΙ7109</t>
  </si>
  <si>
    <t>ΡΥΖΙ LIDO</t>
  </si>
  <si>
    <t>ΡΥΖΙ7110</t>
  </si>
  <si>
    <t>PYZI KORAL</t>
  </si>
  <si>
    <t>ΡΥΖΙ7111</t>
  </si>
  <si>
    <t>PYZI TURBO</t>
  </si>
  <si>
    <t>ΡΥΖΙ7112</t>
  </si>
  <si>
    <t>PYZI CHERVO</t>
  </si>
  <si>
    <t>ΡΥΖΙ7113</t>
  </si>
  <si>
    <t>PYZI ZENA</t>
  </si>
  <si>
    <t>ΡΥΖΙ7114</t>
  </si>
  <si>
    <t>ΡΥΖΙ SMERALDO</t>
  </si>
  <si>
    <t>ΡΥΖΙ7115</t>
  </si>
  <si>
    <t>ΡΥΖΙ THAIBONNET</t>
  </si>
  <si>
    <t>ΡΥΖΙ7116</t>
  </si>
  <si>
    <t>ΡΥΖΙ ARCADIA</t>
  </si>
  <si>
    <t>ΡΥΖΙ7117</t>
  </si>
  <si>
    <t>ΡΥΖΙ COCO</t>
  </si>
  <si>
    <t>ΡΥΖΙ7118</t>
  </si>
  <si>
    <t>ΡΥΖΙ COSMIC</t>
  </si>
  <si>
    <t>ΡΥΖΙ7119</t>
  </si>
  <si>
    <t>ΡΥΖΙ EDEN</t>
  </si>
  <si>
    <t>ΡΥΖΙ7120</t>
  </si>
  <si>
    <t>ΡΥΖΙ FILIRA</t>
  </si>
  <si>
    <t>ΡΥΖΙ7121</t>
  </si>
  <si>
    <t>ΡΥΖΙ KIR</t>
  </si>
  <si>
    <t>ΡΥΖΙ7122</t>
  </si>
  <si>
    <t>ΡΥΖΙ MISTIK</t>
  </si>
  <si>
    <t>ΡΥΖΙ7123</t>
  </si>
  <si>
    <t>ΡΥΖΙ MIURA</t>
  </si>
  <si>
    <t>ΡΥΖΙ7124</t>
  </si>
  <si>
    <t>ΡΥΖΙ NIKI</t>
  </si>
  <si>
    <t>ΡΥΖΙ7125</t>
  </si>
  <si>
    <t>ΡΥΖΙ OLYMPIADA (ΟΛΥΜΠΙΑΔΑ)</t>
  </si>
  <si>
    <t>ΡΥΖΙ7126</t>
  </si>
  <si>
    <t>ΡΥΖΙ REA (ΡΕΑ)</t>
  </si>
  <si>
    <t>ΡΥΖΙ7127</t>
  </si>
  <si>
    <t>ΡΥΖΙ ARISTOTELE</t>
  </si>
  <si>
    <t>ΡΥΖΙ7128</t>
  </si>
  <si>
    <t>ΡΥΖΙ ATENA</t>
  </si>
  <si>
    <t>ΡΥΖΙ7129</t>
  </si>
  <si>
    <t>ΡΥΖΙ JEFERSON</t>
  </si>
  <si>
    <t>ΡΥΖΙ7130</t>
  </si>
  <si>
    <t>ΡΥΖΙ ACHILLE</t>
  </si>
  <si>
    <t>ΡΥΖΙ7131</t>
  </si>
  <si>
    <t>ΡΥΖΙ ALEXANDROS</t>
  </si>
  <si>
    <t>ΡΥΖΙ7140</t>
  </si>
  <si>
    <t>ΡΥΖΙ DIMITRA</t>
  </si>
  <si>
    <t>ΡΥΖΙ7144</t>
  </si>
  <si>
    <t>ΡΥΖΙ  GOLDEN RICE</t>
  </si>
  <si>
    <t>ΡΥΖΙ7146</t>
  </si>
  <si>
    <t>ΡΥΖΙ KALLISTON</t>
  </si>
  <si>
    <t>ΡΥΖΙ7147</t>
  </si>
  <si>
    <t>ΡΥΖΙ ΛΟΙΠΕΣ ΠΟΙΚΙΛΙΕΣ</t>
  </si>
  <si>
    <t>ΡΥΖΙ7199</t>
  </si>
  <si>
    <t>ΣΚΛΗΡΟΣ ΣΙΤΟΣ</t>
  </si>
  <si>
    <t>ΣΙΤΟΣ ΣΚΛΗΡΟΣ ETTORE</t>
  </si>
  <si>
    <t>ΣΚΛΗΡΟΣ ΣΙΤΟΣ10200</t>
  </si>
  <si>
    <t>ΣΙΤΟΣ ΣΚΛΗΡΟΣ MARAKAS</t>
  </si>
  <si>
    <t>ΣΚΛΗΡΟΣ ΣΙΤΟΣ10201</t>
  </si>
  <si>
    <t>ΣΙΤΟΣ ΣΚΛΗΡΟΣ OURANIA</t>
  </si>
  <si>
    <t>ΣΚΛΗΡΟΣ ΣΙΤΟΣ10202</t>
  </si>
  <si>
    <t>ΣΙΤΟΣ ΣΚΛΗΡΟΣ CUSPIDE</t>
  </si>
  <si>
    <t>ΣΚΛΗΡΟΣ ΣΙΤΟΣ10203</t>
  </si>
  <si>
    <t>ΣΙΤΟΣ ΣΚΛΗΡΟΣ OVIDIO</t>
  </si>
  <si>
    <t>ΣΚΛΗΡΟΣ ΣΙΤΟΣ10240</t>
  </si>
  <si>
    <t>ΣΙΤΟΣ ΣΚΛΗΡΟΣ LATINUR</t>
  </si>
  <si>
    <t>ΣΚΛΗΡΟΣ ΣΙΤΟΣ10242</t>
  </si>
  <si>
    <t>ΣΙΤΟΣ ΣΚΛΗΡΟΣ EMILIO LEPIDO</t>
  </si>
  <si>
    <t>ΣΚΛΗΡΟΣ ΣΙΤΟΣ10305</t>
  </si>
  <si>
    <t>ΣΙΤΟΣ ΣΚΛΗΡΟΣ OBELIX</t>
  </si>
  <si>
    <t>ΣΚΛΗΡΟΣ ΣΙΤΟΣ10306</t>
  </si>
  <si>
    <t>ΣΙΤΟΣ ΣΚΛΗΡΟΣ GIBRALTAR</t>
  </si>
  <si>
    <t>ΣΚΛΗΡΟΣ ΣΙΤΟΣ10307</t>
  </si>
  <si>
    <t>ΣΙΤΟΣ ΣΚΛΗΡΟΣ FABULIS</t>
  </si>
  <si>
    <t>ΣΚΛΗΡΟΣ ΣΙΤΟΣ10308</t>
  </si>
  <si>
    <t>ΣΙΤΟΣ ΣΚΛΗΡΟΣ BONIDURO</t>
  </si>
  <si>
    <t>ΣΚΛΗΡΟΣ ΣΙΤΟΣ10309</t>
  </si>
  <si>
    <t>ΣΙΤΟΣ ΣΚΛΗΡΟΣ ALEMANNO</t>
  </si>
  <si>
    <t>ΣΚΛΗΡΟΣ ΣΙΤΟΣ10310</t>
  </si>
  <si>
    <t>ΣΙΤΟΣ ΣΚΛΗΡΟΣ CALO</t>
  </si>
  <si>
    <t>ΣΚΛΗΡΟΣ ΣΙΤΟΣ10311</t>
  </si>
  <si>
    <t>ΣΙΤΟΣ ΣΚΛΗΡΟΣ APALOOSA</t>
  </si>
  <si>
    <t>ΣΚΛΗΡΟΣ ΣΙΤΟΣ10312</t>
  </si>
  <si>
    <t>ΣΙΤΟΣ ΣΚΛΗΡΟΣ MARIO</t>
  </si>
  <si>
    <t>ΣΚΛΗΡΟΣ ΣΙΤΟΣ10313</t>
  </si>
  <si>
    <t>ΣΚΛΗΡΟΣ ΣΙΤΟΣ FURIO CAMILLO</t>
  </si>
  <si>
    <t>ΣΚΛΗΡΟΣ ΣΙΤΟΣ10314</t>
  </si>
  <si>
    <t>ΣΙΤΟΣ ΣΚΛΗΡΟΣ ATHORIS</t>
  </si>
  <si>
    <t>ΣΚΛΗΡΟΣ ΣΙΤΟΣ10315</t>
  </si>
  <si>
    <t>ΣΙΤΟΣ ΣΚΛΗΡΟΣ ATOUDUR</t>
  </si>
  <si>
    <t>ΣΚΛΗΡΟΣ ΣΙΤΟΣ10316</t>
  </si>
  <si>
    <t>ΣΙΤΟΣ ΣΚΛΗΡΟΣ AUGUR</t>
  </si>
  <si>
    <t>ΣΚΛΗΡΟΣ ΣΙΤΟΣ10317</t>
  </si>
  <si>
    <t>ΣΙΤΟΣ ΣΚΛΗΡΟΣ AUGUSTO</t>
  </si>
  <si>
    <t>ΣΚΛΗΡΟΣ ΣΙΤΟΣ10318</t>
  </si>
  <si>
    <t>ΣΙΤΟΣ ΣΚΛΗΡΟΣ AURADUR</t>
  </si>
  <si>
    <t>ΣΚΛΗΡΟΣ ΣΙΤΟΣ10319</t>
  </si>
  <si>
    <t>ΣΙΤΟΣ ΣΚΛΗΡΟΣ AUREO</t>
  </si>
  <si>
    <t>ΣΚΛΗΡΟΣ ΣΙΤΟΣ10320</t>
  </si>
  <si>
    <t>ΣΙΤΟΣ ΣΚΛΗΡΟΣ AURIS</t>
  </si>
  <si>
    <t>ΣΚΛΗΡΟΣ ΣΙΤΟΣ10321</t>
  </si>
  <si>
    <t>ΣΙΤΟΣ ΣΚΛΗΡΟΣ AVENTUR</t>
  </si>
  <si>
    <t>ΣΚΛΗΡΟΣ ΣΙΤΟΣ10322</t>
  </si>
  <si>
    <t>ΣΙΤΟΣ ΣΚΛΗΡΟΣ AYLLON</t>
  </si>
  <si>
    <t>ΣΚΛΗΡΟΣ ΣΙΤΟΣ10323</t>
  </si>
  <si>
    <t>ΣΙΤΟΣ ΣΚΛΗΡΟΣ BABYLONE</t>
  </si>
  <si>
    <t>ΣΚΛΗΡΟΣ ΣΙΤΟΣ10324</t>
  </si>
  <si>
    <t>ΣΙΤΟΣ ΣΚΛΗΡΟΣ BALSAMO</t>
  </si>
  <si>
    <t>ΣΚΛΗΡΟΣ ΣΙΤΟΣ10325</t>
  </si>
  <si>
    <t>ΣΙΤΟΣ ΣΚΛΗΡΟΣ BAZTAN</t>
  </si>
  <si>
    <t>ΣΚΛΗΡΟΣ ΣΙΤΟΣ10326</t>
  </si>
  <si>
    <t>ΣΙΤΟΣ ΣΚΛΗΡΟΣ BELDUR</t>
  </si>
  <si>
    <t>ΣΚΛΗΡΟΣ ΣΙΤΟΣ10327</t>
  </si>
  <si>
    <t>ΣΙΤΟΣ ΣΚΛΗΡΟΣ BYZANCE</t>
  </si>
  <si>
    <t>ΣΚΛΗΡΟΣ ΣΙΤΟΣ10328</t>
  </si>
  <si>
    <t>ΣΙΤΟΣ ΣΚΛΗΡΟΣ CALERO</t>
  </si>
  <si>
    <t>ΣΚΛΗΡΟΣ ΣΙΤΟΣ10329</t>
  </si>
  <si>
    <t>ΣΙΤΟΣ ΣΚΛΗΡΟΣ CAMPODORO</t>
  </si>
  <si>
    <t>ΣΚΛΗΡΟΣ ΣΙΤΟΣ10330</t>
  </si>
  <si>
    <t>ΣΙΤΟΣ ΣΚΛΗΡΟΣ CANCILLER</t>
  </si>
  <si>
    <t>ΣΚΛΗΡΟΣ ΣΙΤΟΣ10331</t>
  </si>
  <si>
    <t>ΣΙΤΟΣ ΣΚΛΗΡΟΣ CANTICO</t>
  </si>
  <si>
    <t>ΣΚΛΗΡΟΣ ΣΙΤΟΣ10332</t>
  </si>
  <si>
    <t>ΣΙΤΟΣ ΣΚΛΗΡΟΣ CASTELDOUX</t>
  </si>
  <si>
    <t>ΣΚΛΗΡΟΣ ΣΙΤΟΣ10333</t>
  </si>
  <si>
    <t>ΣΙΤΟΣ ΣΚΛΗΡΟΣ CASTELPORZIANO</t>
  </si>
  <si>
    <t>ΣΚΛΗΡΟΣ ΣΙΤΟΣ10334</t>
  </si>
  <si>
    <t>ΣΙΤΟΣ ΣΚΛΗΡΟΣ CASTRO</t>
  </si>
  <si>
    <t>ΣΚΛΗΡΟΣ ΣΙΤΟΣ10335</t>
  </si>
  <si>
    <t>ΣΙΤΟΣ ΣΚΛΗΡΟΣ CATASTA</t>
  </si>
  <si>
    <t>ΣΚΛΗΡΟΣ ΣΙΤΟΣ10336</t>
  </si>
  <si>
    <t>ΣΙΤΟΣ ΣΚΛΗΡΟΣ CELTA</t>
  </si>
  <si>
    <t>ΣΚΛΗΡΟΣ ΣΙΤΟΣ10337</t>
  </si>
  <si>
    <t>ΣΙΤΟΣ ΣΚΛΗΡΟΣ CESARE</t>
  </si>
  <si>
    <t>ΣΚΛΗΡΟΣ ΣΙΤΟΣ10338</t>
  </si>
  <si>
    <t>ΣΙΤΟΣ ΣΚΛΗΡΟΣ CHIARA</t>
  </si>
  <si>
    <t>ΣΚΛΗΡΟΣ ΣΙΤΟΣ10339</t>
  </si>
  <si>
    <t>ΣΙΤΟΣ ΣΚΛΗΡΟΣ CHISTERA</t>
  </si>
  <si>
    <t>ΣΚΛΗΡΟΣ ΣΙΤΟΣ10340</t>
  </si>
  <si>
    <t>ΣΙΤΟΣ ΣΚΛΗΡΟΣ CLETO</t>
  </si>
  <si>
    <t>ΣΚΛΗΡΟΣ ΣΙΤΟΣ10341</t>
  </si>
  <si>
    <t>ΣΙΤΟΣ ΣΚΛΗΡΟΣ CLIODUR</t>
  </si>
  <si>
    <t>ΣΚΛΗΡΟΣ ΣΙΤΟΣ10342</t>
  </si>
  <si>
    <t>ΣΙΤΟΣ ΣΚΛΗΡΟΣ COFFA</t>
  </si>
  <si>
    <t>ΣΚΛΗΡΟΣ ΣΙΤΟΣ10343</t>
  </si>
  <si>
    <t>ΣΙΤΟΣ ΣΚΛΗΡΟΣ COLARCO</t>
  </si>
  <si>
    <t>ΣΚΛΗΡΟΣ ΣΙΤΟΣ10344</t>
  </si>
  <si>
    <t>ΣΙΤΟΣ ΣΚΛΗΡΟΣ COLENO</t>
  </si>
  <si>
    <t>ΣΚΛΗΡΟΣ ΣΙΤΟΣ10345</t>
  </si>
  <si>
    <t>ΣΙΤΟΣ ΣΚΛΗΡΟΣ COLOMBO</t>
  </si>
  <si>
    <t>ΣΚΛΗΡΟΣ ΣΙΤΟΣ10346</t>
  </si>
  <si>
    <t>ΣΙΤΟΣ ΣΚΛΗΡΟΣ CONDURUM</t>
  </si>
  <si>
    <t>ΣΚΛΗΡΟΣ ΣΙΤΟΣ10347</t>
  </si>
  <si>
    <t>ΣΙΤΟΣ ΣΚΛΗΡΟΣ CORALLO</t>
  </si>
  <si>
    <t>ΣΚΛΗΡΟΣ ΣΙΤΟΣ10348</t>
  </si>
  <si>
    <t>ΣΙΤΟΣ ΣΚΛΗΡΟΣ CORIOLIS</t>
  </si>
  <si>
    <t>ΣΚΛΗΡΟΣ ΣΙΤΟΣ10349</t>
  </si>
  <si>
    <t>ΣΙΤΟΣ ΣΚΛΗΡΟΣ COUSSUR</t>
  </si>
  <si>
    <t>ΣΚΛΗΡΟΣ ΣΙΤΟΣ10350</t>
  </si>
  <si>
    <t>ΣΙΤΟΣ ΣΚΛΗΡΟΣ CREDIT</t>
  </si>
  <si>
    <t>ΣΚΛΗΡΟΣ ΣΙΤΟΣ10351</t>
  </si>
  <si>
    <t>ΣΙΤΟΣ ΣΚΛΗΡΟΣ CRIVU</t>
  </si>
  <si>
    <t>ΣΚΛΗΡΟΣ ΣΙΤΟΣ10352</t>
  </si>
  <si>
    <t>ΣΙΤΟΣ ΣΚΛΗΡΟΣ CULTUR</t>
  </si>
  <si>
    <t>ΣΚΛΗΡΟΣ ΣΙΤΟΣ10353</t>
  </si>
  <si>
    <t>ΣΙΤΟΣ ΣΚΛΗΡΟΣ CURCUMA</t>
  </si>
  <si>
    <t>ΣΚΛΗΡΟΣ ΣΙΤΟΣ10354</t>
  </si>
  <si>
    <t>ΣΙΤΟΣ ΣΚΛΗΡΟΣ DAKTER</t>
  </si>
  <si>
    <t>ΣΚΛΗΡΟΣ ΣΙΤΟΣ10355</t>
  </si>
  <si>
    <t>ΣΙΤΟΣ ΣΚΛΗΡΟΣ  DARIO</t>
  </si>
  <si>
    <t>ΣΚΛΗΡΟΣ ΣΙΤΟΣ10356</t>
  </si>
  <si>
    <t>ΣΙΤΟΣ ΣΚΛΗΡΟΣ DAURUR</t>
  </si>
  <si>
    <t>ΣΚΛΗΡΟΣ ΣΙΤΟΣ10357</t>
  </si>
  <si>
    <t>ΣΙΤΟΣ ΣΚΛΗΡΟΣ DELTANIS</t>
  </si>
  <si>
    <t>ΣΚΛΗΡΟΣ ΣΙΤΟΣ10358</t>
  </si>
  <si>
    <t>ΣΙΤΟΣ ΣΚΛΗΡΟΣ DENITSA</t>
  </si>
  <si>
    <t>ΣΚΛΗΡΟΣ ΣΙΤΟΣ10359</t>
  </si>
  <si>
    <t>ΣΙΤΟΣ ΣΚΛΗΡΟΣ DEYANA</t>
  </si>
  <si>
    <t>ΣΚΛΗΡΟΣ ΣΙΤΟΣ10360</t>
  </si>
  <si>
    <t>ΣΙΤΟΣ ΣΚΛΗΡΟΣ DIAMANTE</t>
  </si>
  <si>
    <t>ΣΚΛΗΡΟΣ ΣΙΤΟΣ10361</t>
  </si>
  <si>
    <t>ΣΙΤΟΣ ΣΚΛΗΡΟΣ DILMANA</t>
  </si>
  <si>
    <t>ΣΚΛΗΡΟΣ ΣΙΤΟΣ10362</t>
  </si>
  <si>
    <t>ΣΙΤΟΣ ΣΚΛΗΡΟΣ DIMOKRITOS</t>
  </si>
  <si>
    <t>ΣΚΛΗΡΟΣ ΣΙΤΟΣ10363</t>
  </si>
  <si>
    <t>ΣΙΤΟΣ ΣΚΛΗΡΟΣ DON ISIDORO</t>
  </si>
  <si>
    <t>ΣΚΛΗΡΟΣ ΣΙΤΟΣ10364</t>
  </si>
  <si>
    <t>ΣΙΤΟΣ ΣΚΛΗΡΟΣ DON JAIME</t>
  </si>
  <si>
    <t>ΣΚΛΗΡΟΣ ΣΙΤΟΣ10365</t>
  </si>
  <si>
    <t>ΣΙΤΟΣ ΣΚΛΗΡΟΣ DON JAVIER</t>
  </si>
  <si>
    <t>ΣΚΛΗΡΟΣ ΣΙΤΟΣ10366</t>
  </si>
  <si>
    <t>ΣΙΤΟΣ ΣΚΛΗΡΟΣ DON MATTEO</t>
  </si>
  <si>
    <t>ΣΚΛΗΡΟΣ ΣΙΤΟΣ10367</t>
  </si>
  <si>
    <t>ΣΙΤΟΣ ΣΚΛΗΡΟΣ DON NORMAN</t>
  </si>
  <si>
    <t>ΣΚΛΗΡΟΣ ΣΙΤΟΣ10368</t>
  </si>
  <si>
    <t>ΣΙΤΟΣ ΣΚΛΗΡΟΣ DON ORO</t>
  </si>
  <si>
    <t>ΣΚΛΗΡΟΣ ΣΙΤΟΣ10369</t>
  </si>
  <si>
    <t>ΣΙΤΟΣ ΣΚΛΗΡΟΣ DON RICARDO</t>
  </si>
  <si>
    <t>ΣΚΛΗΡΟΣ ΣΙΤΟΣ10370</t>
  </si>
  <si>
    <t>ΣΙΤΟΣ ΣΚΛΗΡΟΣ DON VALENTI-N</t>
  </si>
  <si>
    <t>ΣΚΛΗΡΟΣ ΣΙΤΟΣ10371</t>
  </si>
  <si>
    <t>ΣΙΤΟΣ ΣΚΛΗΡΟΣ DORIDUR</t>
  </si>
  <si>
    <t>ΣΚΛΗΡΟΣ ΣΙΤΟΣ10372</t>
  </si>
  <si>
    <t>ΣΙΤΟΣ ΣΚΛΗΡΟΣ DUCADOS</t>
  </si>
  <si>
    <t>ΣΚΛΗΡΟΣ ΣΙΤΟΣ10373</t>
  </si>
  <si>
    <t>ΣΙΤΟΣ ΣΚΛΗΡΟΣ DURABELLE</t>
  </si>
  <si>
    <t>ΣΚΛΗΡΟΣ ΣΙΤΟΣ10374</t>
  </si>
  <si>
    <t>ΣΙΤΟΣ ΣΚΛΗΡΟΣ DURADON</t>
  </si>
  <si>
    <t>ΣΚΛΗΡΟΣ ΣΙΤΟΣ10375</t>
  </si>
  <si>
    <t>ΣΙΤΟΣ ΣΚΛΗΡΟΣ  DURAMANT</t>
  </si>
  <si>
    <t>ΣΚΛΗΡΟΣ ΣΙΤΟΣ10376</t>
  </si>
  <si>
    <t>ΣΙΤΟΣ ΣΚΛΗΡΟΣ DURAMONTE</t>
  </si>
  <si>
    <t>ΣΚΛΗΡΟΣ ΣΙΤΟΣ10377</t>
  </si>
  <si>
    <t>ΣΙΤΟΣ ΣΚΛΗΡΟΣ DURASOL</t>
  </si>
  <si>
    <t>ΣΚΛΗΡΟΣ ΣΙΤΟΣ10378</t>
  </si>
  <si>
    <t>ΣΙΤΟΣ ΣΚΛΗΡΟΣ DURASUR</t>
  </si>
  <si>
    <t>ΣΚΛΗΡΟΣ ΣΙΤΟΣ10379</t>
  </si>
  <si>
    <t>ΣΙΤΟΣ ΣΚΛΗΡΟΣ DURATEC</t>
  </si>
  <si>
    <t>ΣΚΛΗΡΟΣ ΣΙΤΟΣ10380</t>
  </si>
  <si>
    <t>ΣΙΤΟΣ ΣΚΛΗΡΟΣ DUROBONUS</t>
  </si>
  <si>
    <t>ΣΚΛΗΡΟΣ ΣΙΤΟΣ10381</t>
  </si>
  <si>
    <t>ΣΙΤΟΣ ΣΚΛΗΡΟΣ DUROFLAVUS</t>
  </si>
  <si>
    <t>ΣΚΛΗΡΟΣ ΣΙΤΟΣ10382</t>
  </si>
  <si>
    <t>ΣΙΤΟΣ ΣΚΛΗΡΟΣ DUROFOX</t>
  </si>
  <si>
    <t>ΣΚΛΗΡΟΣ ΣΙΤΟΣ10383</t>
  </si>
  <si>
    <t>ΣΙΤΟΣ ΣΚΛΗΡΟΣ DUROMAX</t>
  </si>
  <si>
    <t>ΣΚΛΗΡΟΣ ΣΙΤΟΣ10384</t>
  </si>
  <si>
    <t>ΣΙΤΟΣ ΣΚΛΗΡΟΣ DURONESSE</t>
  </si>
  <si>
    <t>ΣΚΛΗΡΟΣ ΣΙΤΟΣ10385</t>
  </si>
  <si>
    <t>ΣΙΤΟΣ ΣΚΛΗΡΟΣ EGEO</t>
  </si>
  <si>
    <t>ΣΚΛΗΡΟΣ ΣΙΤΟΣ10386</t>
  </si>
  <si>
    <t>ΣΙΤΟΣ ΣΚΛΗΡΟΣ ELSADUR</t>
  </si>
  <si>
    <t>ΣΚΛΗΡΟΣ ΣΙΤΟΣ10387</t>
  </si>
  <si>
    <t>ΣΙΤΟΣ ΣΚΛΗΡΟΣ EPIDORO</t>
  </si>
  <si>
    <t>ΣΚΛΗΡΟΣ ΣΙΤΟΣ10388</t>
  </si>
  <si>
    <t>ΣΙΤΟΣ ΣΚΛΗΡΟΣ ERMOCOLLE</t>
  </si>
  <si>
    <t>ΣΚΛΗΡΟΣ ΣΙΤΟΣ10389</t>
  </si>
  <si>
    <t>ΣΙΤΟΣ ΣΚΛΗΡΟΣ ESTOPA</t>
  </si>
  <si>
    <t>ΣΚΛΗΡΟΣ ΣΙΤΟΣ10390</t>
  </si>
  <si>
    <t>ΣΙΤΟΣ ΣΚΛΗΡΟΣ EURODURO</t>
  </si>
  <si>
    <t>ΣΚΛΗΡΟΣ ΣΙΤΟΣ10391</t>
  </si>
  <si>
    <t>ΣΙΤΟΣ ΣΚΛΗΡΟΣ FARAH</t>
  </si>
  <si>
    <t>ΣΚΛΗΡΟΣ ΣΙΤΟΣ10392</t>
  </si>
  <si>
    <t>ΣΙΤΟΣ ΣΚΛΗΡΟΣ FLORIDOU</t>
  </si>
  <si>
    <t>ΣΚΛΗΡΟΣ ΣΙΤΟΣ10393</t>
  </si>
  <si>
    <t>ΣΙΤΟΣ ΣΚΛΗΡΟΣ ACADUR</t>
  </si>
  <si>
    <t>ΣΚΛΗΡΟΣ ΣΙΤΟΣ10395</t>
  </si>
  <si>
    <t>ΣΙΤΟΣ ΣΚΛΗΡΟΣ ACERES</t>
  </si>
  <si>
    <t>ΣΚΛΗΡΟΣ ΣΙΤΟΣ10396</t>
  </si>
  <si>
    <t>ΣΙΤΟΣ ΣΚΛΗΡΟΣ ACTISUR</t>
  </si>
  <si>
    <t>ΣΚΛΗΡΟΣ ΣΙΤΟΣ10397</t>
  </si>
  <si>
    <t>ΣΙΤΟΣ ΣΚΛΗΡΟΣ ADONE</t>
  </si>
  <si>
    <t>ΣΚΛΗΡΟΣ ΣΙΤΟΣ10398</t>
  </si>
  <si>
    <t>ΣΙΤΟΣ ΣΚΛΗΡΟΣ ALEXIS</t>
  </si>
  <si>
    <t>ΣΚΛΗΡΟΣ ΣΙΤΟΣ10399</t>
  </si>
  <si>
    <t>ΣΙΤΟΣ ΣΚΛΗΡΟΣ ALIRON</t>
  </si>
  <si>
    <t>ΣΚΛΗΡΟΣ ΣΙΤΟΣ10400</t>
  </si>
  <si>
    <t>ΣΙΤΟΣ ΣΚΛΗΡΟΣ AMEDEO</t>
  </si>
  <si>
    <t>ΣΚΛΗΡΟΣ ΣΙΤΟΣ10401</t>
  </si>
  <si>
    <t>ΣΙΤΟΣ ΣΚΛΗΡΟΣ AMPSICORA</t>
  </si>
  <si>
    <t>ΣΚΛΗΡΟΣ ΣΙΤΟΣ10402</t>
  </si>
  <si>
    <t>ΣΙΤΟΣ ΣΚΛΗΡΟΣ ANCALEI</t>
  </si>
  <si>
    <t>ΣΚΛΗΡΟΣ ΣΙΤΟΣ10403</t>
  </si>
  <si>
    <t>ΣΙΤΟΣ ΣΚΛΗΡΟΣ ANTALIS</t>
  </si>
  <si>
    <t>ΣΚΛΗΡΟΣ ΣΙΤΟΣ10404</t>
  </si>
  <si>
    <t>ΣΙΤΟΣ ΣΚΛΗΡΟΣ ANTESIA</t>
  </si>
  <si>
    <t>ΣΚΛΗΡΟΣ ΣΙΤΟΣ10405</t>
  </si>
  <si>
    <t>ΣΙΤΟΣ ΣΚΛΗΡΟΣ ANTOLOGIA</t>
  </si>
  <si>
    <t>ΣΚΛΗΡΟΣ ΣΙΤΟΣ10406</t>
  </si>
  <si>
    <t>ΣΙΤΟΣ ΣΚΛΗΡΟΣ ANVERGUR</t>
  </si>
  <si>
    <t>ΣΚΛΗΡΟΣ ΣΙΤΟΣ10407</t>
  </si>
  <si>
    <t>ΣΙΤΟΣ ΣΚΛΗΡΟΣ ARIOSTO</t>
  </si>
  <si>
    <t>ΣΚΛΗΡΟΣ ΣΙΤΟΣ10408</t>
  </si>
  <si>
    <t>ΣΙΤΟΣ ΣΚΛΗΡΟΣ IS PENTADUR</t>
  </si>
  <si>
    <t>ΣΚΛΗΡΟΣ ΣΙΤΟΣ10409</t>
  </si>
  <si>
    <t>ΣΙΤΟΣ ΣΚΛΗΡΟΣ IS SPIRADUR</t>
  </si>
  <si>
    <t>ΣΚΛΗΡΟΣ ΣΙΤΟΣ10410</t>
  </si>
  <si>
    <t>ΣΙΤΟΣ ΣΚΛΗΡΟΣ ISMUR</t>
  </si>
  <si>
    <t>ΣΚΛΗΡΟΣ ΣΙΤΟΣ10411</t>
  </si>
  <si>
    <t>ΣΙΤΟΣ ΣΚΛΗΡΟΣ ISOLA</t>
  </si>
  <si>
    <t>ΣΚΛΗΡΟΣ ΣΙΤΟΣ10412</t>
  </si>
  <si>
    <t>ΣΙΤΟΣ ΣΚΛΗΡΟΣ ISTRODUR</t>
  </si>
  <si>
    <t>ΣΚΛΗΡΟΣ ΣΙΤΟΣ10413</t>
  </si>
  <si>
    <t>ΣΙΤΟΣ ΣΚΛΗΡΟΣ KEHLIBAR</t>
  </si>
  <si>
    <t>ΣΚΛΗΡΟΣ ΣΙΤΟΣ10414</t>
  </si>
  <si>
    <t>ΣΙΤΟΣ ΣΚΛΗΡΟΣ KENOBI</t>
  </si>
  <si>
    <t>ΣΚΛΗΡΟΣ ΣΙΤΟΣ10415</t>
  </si>
  <si>
    <t>ΣΙΤΟΣ ΣΚΛΗΡΟΣ KIKO NICK</t>
  </si>
  <si>
    <t>ΣΚΛΗΡΟΣ ΣΙΤΟΣ10416</t>
  </si>
  <si>
    <t>ΣΙΤΟΣ ΣΚΛΗΡΟΣ KOMNATA</t>
  </si>
  <si>
    <t>ΣΚΛΗΡΟΣ ΣΙΤΟΣ10417</t>
  </si>
  <si>
    <t>ΣΙΤΟΣ ΣΚΛΗΡΟΣ K26</t>
  </si>
  <si>
    <t>ΣΚΛΗΡΟΣ ΣΙΤΟΣ10418</t>
  </si>
  <si>
    <t>ΣΙΤΟΣ ΣΚΛΗΡΟΣ LANCIA</t>
  </si>
  <si>
    <t>ΣΚΛΗΡΟΣ ΣΙΤΟΣ10419</t>
  </si>
  <si>
    <t>ΣΙΤΟΣ ΣΚΛΗΡΟΣ LEARCO</t>
  </si>
  <si>
    <t>ΣΚΛΗΡΟΣ ΣΙΤΟΣ10420</t>
  </si>
  <si>
    <t>ΣΙΤΟΣ ΣΚΛΗΡΟΣ LECITUR</t>
  </si>
  <si>
    <t>ΣΚΛΗΡΟΣ ΣΙΤΟΣ10421</t>
  </si>
  <si>
    <t>ΣΙΤΟΣ ΣΚΛΗΡΟΣ LEMARES</t>
  </si>
  <si>
    <t>ΣΚΛΗΡΟΣ ΣΙΤΟΣ10422</t>
  </si>
  <si>
    <t>ΣΙΤΟΣ ΣΚΛΗΡΟΣ LG ANUBIS</t>
  </si>
  <si>
    <t>ΣΚΛΗΡΟΣ ΣΙΤΟΣ10423</t>
  </si>
  <si>
    <t>ΣΙΤΟΣ ΣΚΛΗΡΟΣ LG BORIS</t>
  </si>
  <si>
    <t>ΣΚΛΗΡΟΣ ΣΙΤΟΣ10424</t>
  </si>
  <si>
    <t>ΣΙΤΟΣ ΣΚΛΗΡΟΣ LIBERDUR</t>
  </si>
  <si>
    <t>ΣΚΛΗΡΟΣ ΣΙΤΟΣ10425</t>
  </si>
  <si>
    <t>ΣΙΤΟΣ ΣΚΛΗΡΟΣ LICINIUS</t>
  </si>
  <si>
    <t>ΣΚΛΗΡΟΣ ΣΙΤΟΣ10426</t>
  </si>
  <si>
    <t>ΣΙΤΟΣ ΣΚΛΗΡΟΣ LOGIDUR</t>
  </si>
  <si>
    <t>ΣΚΛΗΡΟΣ ΣΙΤΟΣ10427</t>
  </si>
  <si>
    <t>ΣΙΤΟΣ ΣΚΛΗΡΟΣ LUMINUR</t>
  </si>
  <si>
    <t>ΣΚΛΗΡΟΣ ΣΙΤΟΣ10428</t>
  </si>
  <si>
    <t>ΣΙΤΟΣ ΣΚΛΗΡΟΣ LUNADUR</t>
  </si>
  <si>
    <t>ΣΚΛΗΡΟΣ ΣΙΤΟΣ10429</t>
  </si>
  <si>
    <t>ΣΙΤΟΣ ΣΚΛΗΡΟΣ LUPIDUR</t>
  </si>
  <si>
    <t>ΣΚΛΗΡΟΣ ΣΙΤΟΣ10430</t>
  </si>
  <si>
    <t>ΣΙΤΟΣ ΣΚΛΗΡΟΣ LUSODUR</t>
  </si>
  <si>
    <t>ΣΚΛΗΡΟΣ ΣΙΤΟΣ10431</t>
  </si>
  <si>
    <t>ΣΙΤΟΣ ΣΚΛΗΡΟΣ LYLOU</t>
  </si>
  <si>
    <t>ΣΚΛΗΡΟΣ ΣΙΤΟΣ10432</t>
  </si>
  <si>
    <t>ΣΙΤΟΣ ΣΚΛΗΡΟΣ MACISTE</t>
  </si>
  <si>
    <t>ΣΚΛΗΡΟΣ ΣΙΤΟΣ10433</t>
  </si>
  <si>
    <t>ΣΙΤΟΣ ΣΚΛΗΡΟΣ MAESTA</t>
  </si>
  <si>
    <t>ΣΚΛΗΡΟΣ ΣΙΤΟΣ10434</t>
  </si>
  <si>
    <t>ΣΙΤΟΣ ΣΚΛΗΡΟΣ MAGELLANO</t>
  </si>
  <si>
    <t>ΣΚΛΗΡΟΣ ΣΙΤΟΣ10435</t>
  </si>
  <si>
    <t>ΣΙΤΟΣ ΣΚΛΗΡΟΣ MALENA</t>
  </si>
  <si>
    <t>ΣΚΛΗΡΟΣ ΣΙΤΟΣ10436</t>
  </si>
  <si>
    <t>ΣΙΤΟΣ ΣΚΛΗΡΟΣ MALVADUR</t>
  </si>
  <si>
    <t>ΣΚΛΗΡΟΣ ΣΙΤΟΣ10437</t>
  </si>
  <si>
    <t>ΣΙΤΟΣ ΣΚΛΗΡΟΣ MARIALVA</t>
  </si>
  <si>
    <t>ΣΚΛΗΡΟΣ ΣΙΤΟΣ10438</t>
  </si>
  <si>
    <t>ΣΙΤΟΣ ΣΚΛΗΡΟΣ MARTINUR</t>
  </si>
  <si>
    <t>ΣΚΛΗΡΟΣ ΣΙΤΟΣ10439</t>
  </si>
  <si>
    <t>ΣΙΤΟΣ ΣΚΛΗΡΟΣ MELINA</t>
  </si>
  <si>
    <t>ΣΚΛΗΡΟΣ ΣΙΤΟΣ10440</t>
  </si>
  <si>
    <t>ΣΙΤΟΣ ΣΚΛΗΡΟΣ MEMPHIS</t>
  </si>
  <si>
    <t>ΣΚΛΗΡΟΣ ΣΙΤΟΣ10441</t>
  </si>
  <si>
    <t>ΣΙΤΟΣ ΣΚΛΗΡΟΣ MIMOSSE</t>
  </si>
  <si>
    <t>ΣΚΛΗΡΟΣ ΣΙΤΟΣ10442</t>
  </si>
  <si>
    <t>ΣΙΤΟΣ ΣΚΛΗΡΟΣ MIRABEL</t>
  </si>
  <si>
    <t>ΣΚΛΗΡΟΣ ΣΙΤΟΣ10443</t>
  </si>
  <si>
    <t>ΣΙΤΟΣ ΣΚΛΗΡΟΣ MV HUNDUR</t>
  </si>
  <si>
    <t>ΣΚΛΗΡΟΣ ΣΙΤΟΣ10444</t>
  </si>
  <si>
    <t>ΣΙΤΟΣ ΣΚΛΗΡΟΣ MV MAKARONI</t>
  </si>
  <si>
    <t>ΣΚΛΗΡΟΣ ΣΙΤΟΣ10445</t>
  </si>
  <si>
    <t>ΣΙΤΟΣ ΣΚΛΗΡΟΣ MV PENNEDUR</t>
  </si>
  <si>
    <t>ΣΚΛΗΡΟΣ ΣΙΤΟΣ10446</t>
  </si>
  <si>
    <t>ΣΙΤΟΣ ΣΚΛΗΡΟΣ MV SZULADUR</t>
  </si>
  <si>
    <t>ΣΚΛΗΡΟΣ ΣΙΤΟΣ10447</t>
  </si>
  <si>
    <t>ΣΙΤΟΣ ΣΚΛΗΡΟΣ NAZARENO</t>
  </si>
  <si>
    <t>ΣΚΛΗΡΟΣ ΣΙΤΟΣ10448</t>
  </si>
  <si>
    <t>ΣΙΤΟΣ ΣΚΛΗΡΟΣ NEMESIS</t>
  </si>
  <si>
    <t>ΣΚΛΗΡΟΣ ΣΙΤΟΣ10449</t>
  </si>
  <si>
    <t>ΣΙΤΟΣ ΣΚΛΗΡΟΣ NERUDA</t>
  </si>
  <si>
    <t>ΣΚΛΗΡΟΣ ΣΙΤΟΣ10450</t>
  </si>
  <si>
    <t>ΣΙΤΟΣ ΣΚΛΗΡΟΣ NICODUR</t>
  </si>
  <si>
    <t>ΣΚΛΗΡΟΣ ΣΙΤΟΣ10451</t>
  </si>
  <si>
    <t>ΣΙΤΟΣ ΣΚΛΗΡΟΣ NINETTA</t>
  </si>
  <si>
    <t>ΣΚΛΗΡΟΣ ΣΙΤΟΣ10452</t>
  </si>
  <si>
    <t>ΣΙΤΟΣ ΣΚΛΗΡΟΣ NOBILIS</t>
  </si>
  <si>
    <t>ΣΚΛΗΡΟΣ ΣΙΤΟΣ10453</t>
  </si>
  <si>
    <t>ΣΙΤΟΣ ΣΚΛΗΡΟΣ NOUR</t>
  </si>
  <si>
    <t>ΣΚΛΗΡΟΣ ΣΙΤΟΣ10454</t>
  </si>
  <si>
    <t>ΣΙΤΟΣ ΣΚΛΗΡΟΣ OLIVER</t>
  </si>
  <si>
    <t>ΣΚΛΗΡΟΣ ΣΙΤΟΣ10455</t>
  </si>
  <si>
    <t>ΣΙΤΟΣ ΣΚΛΗΡΟΣ OMNIS</t>
  </si>
  <si>
    <t>ΣΚΛΗΡΟΣ ΣΙΤΟΣ10456</t>
  </si>
  <si>
    <t>ΣΙΤΟΣ ΣΚΛΗΡΟΣ OPERA</t>
  </si>
  <si>
    <t>ΣΚΛΗΡΟΣ ΣΙΤΟΣ10457</t>
  </si>
  <si>
    <t>ΣΙΤΟΣ ΣΚΛΗΡΟΣ ORFEO</t>
  </si>
  <si>
    <t>ΣΚΛΗΡΟΣ ΣΙΤΟΣ10458</t>
  </si>
  <si>
    <t>ΣΙΤΟΣ ΣΚΛΗΡΟΣ ORIZZONTE</t>
  </si>
  <si>
    <t>ΣΚΛΗΡΟΣ ΣΙΤΟΣ10459</t>
  </si>
  <si>
    <t>ΣΙΤΟΣ ΣΚΛΗΡΟΣ ORSSUR</t>
  </si>
  <si>
    <t>ΣΚΛΗΡΟΣ ΣΙΤΟΣ10460</t>
  </si>
  <si>
    <t>ΣΙΤΟΣ ΣΚΛΗΡΟΣ PABLO</t>
  </si>
  <si>
    <t>ΣΚΛΗΡΟΣ ΣΙΤΟΣ10461</t>
  </si>
  <si>
    <t>ΣΙΤΟΣ ΣΚΛΗΡΟΣ PAPRIKA</t>
  </si>
  <si>
    <t>ΣΚΛΗΡΟΣ ΣΙΤΟΣ10462</t>
  </si>
  <si>
    <t>ΣΙΤΟΣ ΣΚΛΗΡΟΣ PASTADOU</t>
  </si>
  <si>
    <t>ΣΚΛΗΡΟΣ ΣΙΤΟΣ10463</t>
  </si>
  <si>
    <t>ΣΙΤΟΣ ΣΚΛΗΡΟΣ  PENAFIEL</t>
  </si>
  <si>
    <t>ΣΚΛΗΡΟΣ ΣΙΤΟΣ10464</t>
  </si>
  <si>
    <t>ΣΙΤΟΣ ΣΚΛΗΡΟΣ PESCADOU</t>
  </si>
  <si>
    <t>ΣΚΛΗΡΟΣ ΣΙΤΟΣ10465</t>
  </si>
  <si>
    <t>ΣΙΤΟΣ ΣΚΛΗΡΟΣ PHARAON</t>
  </si>
  <si>
    <t>ΣΚΛΗΡΟΣ ΣΙΤΟΣ10466</t>
  </si>
  <si>
    <t>ΣΙΤΟΣ ΣΚΛΗΡΟΣ PICTUR</t>
  </si>
  <si>
    <t>ΣΚΛΗΡΟΣ ΣΙΤΟΣ10467</t>
  </si>
  <si>
    <t>ΣΙΤΟΣ ΣΚΛΗΡΟΣ PIGRECO</t>
  </si>
  <si>
    <t>ΣΚΛΗΡΟΣ ΣΙΤΟΣ10468</t>
  </si>
  <si>
    <t>ΣΙΤΟΣ ΣΚΛΗΡΟΣ PIPADUR</t>
  </si>
  <si>
    <t>ΣΚΛΗΡΟΣ ΣΙΤΟΣ10469</t>
  </si>
  <si>
    <t>ΣΙΤΟΣ ΣΚΛΗΡΟΣ PITAGORA</t>
  </si>
  <si>
    <t>ΣΚΛΗΡΟΣ ΣΙΤΟΣ10470</t>
  </si>
  <si>
    <t>ΣΙΤΟΣ ΣΚΛΗΡΟΣ PLADUR</t>
  </si>
  <si>
    <t>ΣΚΛΗΡΟΣ ΣΙΤΟΣ10471</t>
  </si>
  <si>
    <t>ΣΙΤΟΣ ΣΚΛΗΡΟΣ PLUSSUR</t>
  </si>
  <si>
    <t>ΣΚΛΗΡΟΣ ΣΙΤΟΣ10472</t>
  </si>
  <si>
    <t>ΣΙΤΟΣ ΣΚΛΗΡΟΣ SY BANCO</t>
  </si>
  <si>
    <t>ΣΚΛΗΡΟΣ ΣΙΤΟΣ10473</t>
  </si>
  <si>
    <t>ΣΙΤΟΣ ΣΚΛΗΡΟΣ SY CYSCO</t>
  </si>
  <si>
    <t>ΣΚΛΗΡΟΣ ΣΙΤΟΣ10474</t>
  </si>
  <si>
    <t>ΣΙΤΟΣ ΣΚΛΗΡΟΣ SY ESPERTO</t>
  </si>
  <si>
    <t>ΣΚΛΗΡΟΣ ΣΙΤΟΣ10475</t>
  </si>
  <si>
    <t>ΣΙΤΟΣ ΣΚΛΗΡΟΣ SY LIDO</t>
  </si>
  <si>
    <t>ΣΚΛΗΡΟΣ ΣΙΤΟΣ10476</t>
  </si>
  <si>
    <t>ΣΙΤΟΣ ΣΚΛΗΡΟΣ SY TEXTO</t>
  </si>
  <si>
    <t>ΣΚΛΗΡΟΣ ΣΙΤΟΣ10477</t>
  </si>
  <si>
    <t>ΣΙΤΟΣ ΣΚΛΗΡΟΣ TABLUR</t>
  </si>
  <si>
    <t>ΣΚΛΗΡΟΣ ΣΙΤΟΣ10478</t>
  </si>
  <si>
    <t>ΣΙΤΟΣ ΣΚΛΗΡΟΣ TAMADUR</t>
  </si>
  <si>
    <t>ΣΚΛΗΡΟΣ ΣΙΤΟΣ10479</t>
  </si>
  <si>
    <t>ΣΙΤΟΣ ΣΚΛΗΡΟΣ TAPPO</t>
  </si>
  <si>
    <t>ΣΚΛΗΡΟΣ ΣΙΤΟΣ10480</t>
  </si>
  <si>
    <t>ΣΙΤΟΣ ΣΚΛΗΡΟΣ TARANTO</t>
  </si>
  <si>
    <t>ΣΚΛΗΡΟΣ ΣΙΤΟΣ10481</t>
  </si>
  <si>
    <t>ΣΙΤΟΣ ΣΚΛΗΡΟΣ TEMPODUR</t>
  </si>
  <si>
    <t>ΣΚΛΗΡΟΣ ΣΙΤΟΣ10482</t>
  </si>
  <si>
    <t>ΣΙΤΟΣ ΣΚΛΗΡΟΣ TEODORICO</t>
  </si>
  <si>
    <t>ΣΚΛΗΡΟΣ ΣΙΤΟΣ10483</t>
  </si>
  <si>
    <t>ΣΙΤΟΣ ΣΚΛΗΡΟΣ TEXUR</t>
  </si>
  <si>
    <t>ΣΚΛΗΡΟΣ ΣΙΤΟΣ10484</t>
  </si>
  <si>
    <t>ΣΙΤΟΣ ΣΚΛΗΡΟΣ THRAKI</t>
  </si>
  <si>
    <t>ΣΚΛΗΡΟΣ ΣΙΤΟΣ10485</t>
  </si>
  <si>
    <t>ΣΙΤΟΣ ΣΚΛΗΡΟΣ TIREX</t>
  </si>
  <si>
    <t>ΣΚΛΗΡΟΣ ΣΙΤΟΣ10486</t>
  </si>
  <si>
    <t>ΣΙΤΟΣ ΣΚΛΗΡΟΣ TITO FLAVIO</t>
  </si>
  <si>
    <t>ΣΚΛΗΡΟΣ ΣΙΤΟΣ10487</t>
  </si>
  <si>
    <t>ΣΙΤΟΣ ΣΚΛΗΡΟΣ TOSCADOU</t>
  </si>
  <si>
    <t>ΣΚΛΗΡΟΣ ΣΙΤΟΣ10488</t>
  </si>
  <si>
    <t>ΣΙΤΟΣ ΣΚΛΗΡΟΣ TRAKIETS</t>
  </si>
  <si>
    <t>ΣΚΛΗΡΟΣ ΣΙΤΟΣ10489</t>
  </si>
  <si>
    <t>ΣΙΤΟΣ ΣΚΛΗΡΟΣ TREDUR</t>
  </si>
  <si>
    <t>ΣΚΛΗΡΟΣ ΣΙΤΟΣ10490</t>
  </si>
  <si>
    <t>ΣΙΤΟΣ ΣΚΛΗΡΟΣ TRIMULATO</t>
  </si>
  <si>
    <t>ΣΚΛΗΡΟΣ ΣΙΤΟΣ10491</t>
  </si>
  <si>
    <t>ΣΙΤΟΣ ΣΚΛΗΡΟΣ TRIONFO</t>
  </si>
  <si>
    <t>ΣΚΛΗΡΟΣ ΣΙΤΟΣ10492</t>
  </si>
  <si>
    <t>ΣΙΤΟΣ ΣΚΛΗΡΟΣ TRIPUDIO</t>
  </si>
  <si>
    <t>ΣΚΛΗΡΟΣ ΣΙΤΟΣ10493</t>
  </si>
  <si>
    <t>ΣΙΤΟΣ ΣΚΛΗΡΟΣ TSERERA</t>
  </si>
  <si>
    <t>ΣΚΛΗΡΟΣ ΣΙΤΟΣ10494</t>
  </si>
  <si>
    <t>ΣΙΤΟΣ ΣΚΛΗΡΟΣ TURCHESE</t>
  </si>
  <si>
    <t>ΣΚΛΗΡΟΣ ΣΙΤΟΣ10495</t>
  </si>
  <si>
    <t>ΣΙΤΟΣ ΣΚΛΗΡΟΣ TUSSUR</t>
  </si>
  <si>
    <t>ΣΚΛΗΡΟΣ ΣΙΤΟΣ10496</t>
  </si>
  <si>
    <t>ΣΙΤΟΣ ΣΚΛΗΡΟΣ VALERIO</t>
  </si>
  <si>
    <t>ΣΚΛΗΡΟΣ ΣΙΤΟΣ10497</t>
  </si>
  <si>
    <t>ΣΙΤΟΣ ΣΚΛΗΡΟΣ VALNOVA</t>
  </si>
  <si>
    <t>ΣΚΛΗΡΟΣ ΣΙΤΟΣ10498</t>
  </si>
  <si>
    <t>ΣΙΤΟΣ ΣΚΛΗΡΟΣ VAUBAN</t>
  </si>
  <si>
    <t>ΣΚΛΗΡΟΣ ΣΙΤΟΣ10499</t>
  </si>
  <si>
    <t>ΣΙΤΟΣ ΣΚΛΗΡΟΣ PR22D89</t>
  </si>
  <si>
    <t>ΣΚΛΗΡΟΣ ΣΙΤΟΣ10501</t>
  </si>
  <si>
    <t>ΣΙΤΟΣ ΣΚΛΗΡΟΣ P33D84</t>
  </si>
  <si>
    <t>ΣΚΛΗΡΟΣ ΣΙΤΟΣ10502</t>
  </si>
  <si>
    <t>ΣΙΤΟΣ ΣΚΛΗΡΟΣ PREDEL</t>
  </si>
  <si>
    <t>ΣΚΛΗΡΟΣ ΣΙΤΟΣ10503</t>
  </si>
  <si>
    <t>ΣΙΤΟΣ ΣΚΛΗΡΟΣ PRIMADUR</t>
  </si>
  <si>
    <t>ΣΚΛΗΡΟΣ ΣΙΤΟΣ10504</t>
  </si>
  <si>
    <t>ΣΙΤΟΣ ΣΚΛΗΡΟΣ PRINCIPE</t>
  </si>
  <si>
    <t>ΣΚΛΗΡΟΣ ΣΙΤΟΣ10505</t>
  </si>
  <si>
    <t>ΣΙΤΟΣ ΣΚΛΗΡΟΣ PROGRESS</t>
  </si>
  <si>
    <t>ΣΚΛΗΡΟΣ ΣΙΤΟΣ10506</t>
  </si>
  <si>
    <t>ΣΙΤΟΣ ΣΚΛΗΡΟΣ PROSPERO</t>
  </si>
  <si>
    <t>ΣΚΛΗΡΟΣ ΣΙΤΟΣ10507</t>
  </si>
  <si>
    <t>ΣΙΤΟΣ ΣΚΛΗΡΟΣ QUALIDOU</t>
  </si>
  <si>
    <t>ΣΚΛΗΡΟΣ ΣΙΤΟΣ10508</t>
  </si>
  <si>
    <t>ΣΙΤΟΣ ΣΚΛΗΡΟΣ RAMIREZ</t>
  </si>
  <si>
    <t>ΣΚΛΗΡΟΣ ΣΙΤΟΣ10509</t>
  </si>
  <si>
    <t>ΣΙΤΟΣ ΣΚΛΗΡΟΣ RAYLIDUR</t>
  </si>
  <si>
    <t>ΣΚΛΗΡΟΣ ΣΙΤΟΣ10510</t>
  </si>
  <si>
    <t>ΣΙΤΟΣ ΣΚΛΗΡΟΣ REDIDENARI</t>
  </si>
  <si>
    <t>ΣΚΛΗΡΟΣ ΣΙΤΟΣ10511</t>
  </si>
  <si>
    <t>ΣΙΤΟΣ ΣΚΛΗΡΟΣ REGUR</t>
  </si>
  <si>
    <t>ΣΚΛΗΡΟΣ ΣΙΤΟΣ10512</t>
  </si>
  <si>
    <t>ΣΙΤΟΣ ΣΚΛΗΡΟΣ RELIEF</t>
  </si>
  <si>
    <t>ΣΚΛΗΡΟΣ ΣΙΤΟΣ10513</t>
  </si>
  <si>
    <t>ΣΙΤΟΣ ΣΚΛΗΡΟΣ REYADUR</t>
  </si>
  <si>
    <t>ΣΚΛΗΡΟΣ ΣΙΤΟΣ10514</t>
  </si>
  <si>
    <t>ΣΙΤΟΣ ΣΚΛΗΡΟΣ RGT ALBIOZUR</t>
  </si>
  <si>
    <t>ΣΚΛΗΡΟΣ ΣΙΤΟΣ10515</t>
  </si>
  <si>
    <t>ΣΙΤΟΣ ΣΚΛΗΡΟΣ RGT FAIONUR</t>
  </si>
  <si>
    <t>ΣΚΛΗΡΟΣ ΣΙΤΟΣ10516</t>
  </si>
  <si>
    <t>ΣΙΤΟΣ ΣΚΛΗΡΟΣ RGT FIERTIMUR</t>
  </si>
  <si>
    <t>ΣΚΛΗΡΟΣ ΣΙΤΟΣ10517</t>
  </si>
  <si>
    <t>ΣΙΤΟΣ ΣΚΛΗΡΟΣ RGT MUSCLUR</t>
  </si>
  <si>
    <t>ΣΚΛΗΡΟΣ ΣΙΤΟΣ10518</t>
  </si>
  <si>
    <t>ΣΙΤΟΣ ΣΚΛΗΡΟΣ RGT NATUR</t>
  </si>
  <si>
    <t>ΣΚΛΗΡΟΣ ΣΙΤΟΣ10519</t>
  </si>
  <si>
    <t>ΣΙΤΟΣ ΣΚΛΗΡΟΣ RGT NOMUR</t>
  </si>
  <si>
    <t>ΣΚΛΗΡΟΣ ΣΙΤΟΣ10520</t>
  </si>
  <si>
    <t>ΣΙΤΟΣ ΣΚΛΗΡΟΣ RGT OLIVADUR</t>
  </si>
  <si>
    <t>ΣΚΛΗΡΟΣ ΣΙΤΟΣ10521</t>
  </si>
  <si>
    <t>ΣΙΤΟΣ ΣΚΛΗΡΟΣ RGT RANGODUR</t>
  </si>
  <si>
    <t>ΣΚΛΗΡΟΣ ΣΙΤΟΣ10522</t>
  </si>
  <si>
    <t>ΣΙΤΟΣ ΣΚΛΗΡΟΣ RGT ROBINUR</t>
  </si>
  <si>
    <t>ΣΚΛΗΡΟΣ ΣΙΤΟΣ10523</t>
  </si>
  <si>
    <t>ΣΙΤΟΣ ΣΚΛΗΡΟΣ RGT SILODUR</t>
  </si>
  <si>
    <t>ΣΚΛΗΡΟΣ ΣΙΤΟΣ10524</t>
  </si>
  <si>
    <t>ΣΙΤΟΣ ΣΚΛΗΡΟΣ RGT VOILUR</t>
  </si>
  <si>
    <t>ΣΚΛΗΡΟΣ ΣΙΤΟΣ10525</t>
  </si>
  <si>
    <t>ΣΙΤΟΣ ΣΚΛΗΡΟΣ RIVELDUR</t>
  </si>
  <si>
    <t>ΣΚΛΗΡΟΣ ΣΙΤΟΣ10526</t>
  </si>
  <si>
    <t>ΣΙΤΟΣ ΣΚΛΗΡΟΣ ROCCADOU</t>
  </si>
  <si>
    <t>ΣΚΛΗΡΟΣ ΣΙΤΟΣ10527</t>
  </si>
  <si>
    <t>ΣΙΤΟΣ ΣΚΛΗΡΟΣ SALGADO</t>
  </si>
  <si>
    <t>ΣΚΛΗΡΟΣ ΣΙΤΟΣ10528</t>
  </si>
  <si>
    <t>ΣΙΤΟΣ ΣΚΛΗΡΟΣ SANT'AGATA</t>
  </si>
  <si>
    <t>ΣΚΛΗΡΟΣ ΣΙΤΟΣ10529</t>
  </si>
  <si>
    <t>ΣΙΤΟΣ ΣΚΛΗΡΟΣ SANTOGRAAL</t>
  </si>
  <si>
    <t>ΣΚΛΗΡΟΣ ΣΙΤΟΣ10530</t>
  </si>
  <si>
    <t>ΣΙΤΟΣ ΣΚΛΗΡΟΣ SANTUR</t>
  </si>
  <si>
    <t>ΣΚΛΗΡΟΣ ΣΙΤΟΣ10531</t>
  </si>
  <si>
    <t>ΣΙΤΟΣ ΣΚΛΗΡΟΣ SATURN 1</t>
  </si>
  <si>
    <t>ΣΚΛΗΡΟΣ ΣΙΤΟΣ10532</t>
  </si>
  <si>
    <t>ΣΙΤΟΣ ΣΚΛΗΡΟΣ SAYA</t>
  </si>
  <si>
    <t>ΣΚΛΗΡΟΣ ΣΙΤΟΣ10533</t>
  </si>
  <si>
    <t>ΣΙΤΟΣ ΣΚΛΗΡΟΣ SECOLO</t>
  </si>
  <si>
    <t>ΣΚΛΗΡΟΣ ΣΙΤΟΣ10534</t>
  </si>
  <si>
    <t>ΣΙΤΟΣ ΣΚΛΗΡΟΣ SEMORELO</t>
  </si>
  <si>
    <t>ΣΚΛΗΡΟΣ ΣΙΤΟΣ10535</t>
  </si>
  <si>
    <t>ΣΙΤΟΣ ΣΚΛΗΡΟΣ SERAFO NICK</t>
  </si>
  <si>
    <t>ΣΚΛΗΡΟΣ ΣΙΤΟΣ10536</t>
  </si>
  <si>
    <t>ΣΙΤΟΣ ΣΚΛΗΡΟΣ SERRACIN</t>
  </si>
  <si>
    <t>ΣΚΛΗΡΟΣ ΣΙΤΟΣ10537</t>
  </si>
  <si>
    <t>ΣΙΤΟΣ ΣΚΛΗΡΟΣ SEVERINA</t>
  </si>
  <si>
    <t>ΣΚΛΗΡΟΣ ΣΙΤΟΣ10538</t>
  </si>
  <si>
    <t>ΣΙΤΟΣ ΣΚΛΗΡΟΣ SEVERO</t>
  </si>
  <si>
    <t>ΣΚΛΗΡΟΣ ΣΙΤΟΣ10539</t>
  </si>
  <si>
    <t>ΣΙΤΟΣ ΣΚΛΗΡΟΣ SFINGE</t>
  </si>
  <si>
    <t>ΣΚΛΗΡΟΣ ΣΙΤΟΣ10540</t>
  </si>
  <si>
    <t>ΣΙΤΟΣ ΣΚΛΗΡΟΣ SIMAR</t>
  </si>
  <si>
    <t>ΣΚΛΗΡΟΣ ΣΙΤΟΣ10541</t>
  </si>
  <si>
    <t>ΣΙΤΟΣ ΣΚΛΗΡΟΣ SMH87</t>
  </si>
  <si>
    <t>ΣΚΛΗΡΟΣ ΣΙΤΟΣ10542</t>
  </si>
  <si>
    <t>ΣΙΤΟΣ ΣΚΛΗΡΟΣ SOLSTIZIO</t>
  </si>
  <si>
    <t>ΣΚΛΗΡΟΣ ΣΙΤΟΣ10543</t>
  </si>
  <si>
    <t>ΣΙΤΟΣ ΣΚΛΗΡΟΣ SSV DONIKA</t>
  </si>
  <si>
    <t>ΣΚΛΗΡΟΣ ΣΙΤΟΣ10544</t>
  </si>
  <si>
    <t>ΣΙΤΟΣ ΣΚΛΗΡΟΣ STELLADUR</t>
  </si>
  <si>
    <t>ΣΚΛΗΡΟΣ ΣΙΤΟΣ10545</t>
  </si>
  <si>
    <t>ΣΙΤΟΣ ΣΚΛΗΡΟΣ SUMMA</t>
  </si>
  <si>
    <t>ΣΚΛΗΡΟΣ ΣΙΤΟΣ10546</t>
  </si>
  <si>
    <t>ΣΙΤΟΣ ΣΚΛΗΡΟΣ SURMESUR</t>
  </si>
  <si>
    <t>ΣΚΛΗΡΟΣ ΣΙΤΟΣ10547</t>
  </si>
  <si>
    <t>ΣΙΤΟΣ ΣΚΛΗΡΟΣ GIBUS</t>
  </si>
  <si>
    <t>ΣΚΛΗΡΟΣ ΣΙΤΟΣ10548</t>
  </si>
  <si>
    <t>ΣΙΤΟΣ ΣΚΛΗΡΟΣ GINSENG</t>
  </si>
  <si>
    <t>ΣΚΛΗΡΟΣ ΣΙΤΟΣ10549</t>
  </si>
  <si>
    <t>ΣΙΤΟΣ ΣΚΛΗΡΟΣ GIULIO</t>
  </si>
  <si>
    <t>ΣΚΛΗΡΟΣ ΣΙΤΟΣ10550</t>
  </si>
  <si>
    <t>ΣΙΤΟΣ ΣΚΛΗΡΟΣ GIUSTO</t>
  </si>
  <si>
    <t>ΣΚΛΗΡΟΣ ΣΙΤΟΣ10551</t>
  </si>
  <si>
    <t>ΣΙΤΟΣ ΣΚΛΗΡΟΣ GK BETADUR</t>
  </si>
  <si>
    <t>ΣΚΛΗΡΟΣ ΣΙΤΟΣ10552</t>
  </si>
  <si>
    <t>ΣΙΤΟΣ ΣΚΛΗΡΟΣ GK JULIDUR</t>
  </si>
  <si>
    <t>ΣΚΛΗΡΟΣ ΣΙΤΟΣ10553</t>
  </si>
  <si>
    <t>ΣΙΤΟΣ ΣΚΛΗΡΟΣ GK SELYEMDUR</t>
  </si>
  <si>
    <t>ΣΚΛΗΡΟΣ ΣΙΤΟΣ10554</t>
  </si>
  <si>
    <t>ΣΙΤΟΣ ΣΚΛΗΡΟΣ GLUCODUR</t>
  </si>
  <si>
    <t>ΣΚΛΗΡΟΣ ΣΙΤΟΣ10555</t>
  </si>
  <si>
    <t>ΣΙΤΟΣ ΣΚΛΗΡΟΣ GRADOR</t>
  </si>
  <si>
    <t>ΣΚΛΗΡΟΣ ΣΙΤΟΣ10556</t>
  </si>
  <si>
    <t>ΣΙΤΟΣ ΣΚΛΗΡΟΣ GRANDA</t>
  </si>
  <si>
    <t>ΣΚΛΗΡΟΣ ΣΙΤΟΣ10557</t>
  </si>
  <si>
    <t>ΣΙΤΟΣ ΣΚΛΗΡΟΣ GRANDUR</t>
  </si>
  <si>
    <t>ΣΚΛΗΡΟΣ ΣΙΤΟΣ10558</t>
  </si>
  <si>
    <t>ΣΙΤΟΣ ΣΚΛΗΡΟΣ GRANDUR FD</t>
  </si>
  <si>
    <t>ΣΚΛΗΡΟΣ ΣΙΤΟΣ10559</t>
  </si>
  <si>
    <t>ΣΙΤΟΣ ΣΚΛΗΡΟΣ GROWBAR</t>
  </si>
  <si>
    <t>ΣΚΛΗΡΟΣ ΣΙΤΟΣ10560</t>
  </si>
  <si>
    <t>ΣΙΤΟΣ ΣΚΛΗΡΟΣ GUALLARDO</t>
  </si>
  <si>
    <t>ΣΚΛΗΡΟΣ ΣΙΤΟΣ10561</t>
  </si>
  <si>
    <t>ΣΙΤΟΣ ΣΚΛΗΡΟΣ GVATI</t>
  </si>
  <si>
    <t>ΣΚΛΗΡΟΣ ΣΙΤΟΣ10562</t>
  </si>
  <si>
    <t>ΣΙΤΟΣ ΣΚΛΗΡΟΣ HARISTIDE</t>
  </si>
  <si>
    <t>ΣΚΛΗΡΟΣ ΣΙΤΟΣ10563</t>
  </si>
  <si>
    <t>ΣΙΤΟΣ ΣΚΛΗΡΟΣ HATHOR</t>
  </si>
  <si>
    <t>ΣΚΛΗΡΟΣ ΣΙΤΟΣ10564</t>
  </si>
  <si>
    <t>ΣΙΤΟΣ ΣΚΛΗΡΟΣ HELVIO</t>
  </si>
  <si>
    <t>ΣΚΛΗΡΟΣ ΣΙΤΟΣ10565</t>
  </si>
  <si>
    <t>ΣΙΤΟΣ ΣΚΛΗΡΟΣ HISPASANO</t>
  </si>
  <si>
    <t>ΣΚΛΗΡΟΣ ΣΙΤΟΣ10566</t>
  </si>
  <si>
    <t>ΣΙΤΟΣ ΣΚΛΗΡΟΣ IBERUS</t>
  </si>
  <si>
    <t>ΣΚΛΗΡΟΣ ΣΙΤΟΣ10567</t>
  </si>
  <si>
    <t>ΣΙΤΟΣ ΣΚΛΗΡΟΣ IPK DENI</t>
  </si>
  <si>
    <t>ΣΚΛΗΡΟΣ ΣΙΤΟΣ10568</t>
  </si>
  <si>
    <t>ΣΙΤΟΣ ΣΚΛΗΡΟΣ IPK ELBRUS</t>
  </si>
  <si>
    <t>ΣΚΛΗΡΟΣ ΣΙΤΟΣ10569</t>
  </si>
  <si>
    <t>ΣΙΤΟΣ ΣΚΛΗΡΟΣ IS DURAGOLD</t>
  </si>
  <si>
    <t>ΣΚΛΗΡΟΣ ΣΙΤΟΣ10570</t>
  </si>
  <si>
    <t>ΣΙΤΟΣ ΣΚΛΗΡΟΣ IS DURANEGRA</t>
  </si>
  <si>
    <t>ΣΚΛΗΡΟΣ ΣΙΤΟΣ10571</t>
  </si>
  <si>
    <t>ΣΙΤΟΣ ΣΚΛΗΡΟΣ IS DURAPEX</t>
  </si>
  <si>
    <t>ΣΚΛΗΡΟΣ ΣΙΤΟΣ10572</t>
  </si>
  <si>
    <t>ΣΙΤΟΣ ΣΚΛΗΡΟΣ IS KARMADUR</t>
  </si>
  <si>
    <t>ΣΚΛΗΡΟΣ ΣΙΤΟΣ10573</t>
  </si>
  <si>
    <t>ΣΙΤΟΣ ΣΚΛΗΡΟΣ VESPUCCI</t>
  </si>
  <si>
    <t>ΣΚΛΗΡΟΣ ΣΙΤΟΣ10574</t>
  </si>
  <si>
    <t>ΣΙΤΟΣ ΣΚΛΗΡΟΣ VICKTORIYA</t>
  </si>
  <si>
    <t>ΣΚΛΗΡΟΣ ΣΙΤΟΣ10575</t>
  </si>
  <si>
    <t>ΣΙΤΟΣ ΣΚΛΗΡΟΣ VITROSOL</t>
  </si>
  <si>
    <t>ΣΚΛΗΡΟΣ ΣΙΤΟΣ10576</t>
  </si>
  <si>
    <t>ΣΙΤΟΣ ΣΚΛΗΡΟΣ VULCI</t>
  </si>
  <si>
    <t>ΣΚΛΗΡΟΣ ΣΙΤΟΣ10577</t>
  </si>
  <si>
    <t>ΣΙΤΟΣ ΣΚΛΗΡΟΣ WINTERGOLD</t>
  </si>
  <si>
    <t>ΣΚΛΗΡΟΣ ΣΙΤΟΣ10578</t>
  </si>
  <si>
    <t>ΣΙΤΟΣ ΣΚΛΗΡΟΣ YAVAROS C79 (=NUNO)</t>
  </si>
  <si>
    <t>ΣΚΛΗΡΟΣ ΣΙΤΟΣ10579</t>
  </si>
  <si>
    <t>ΣΙΤΟΣ ΣΚΛΗΡΟΣ YELODUR</t>
  </si>
  <si>
    <t>ΣΚΛΗΡΟΣ ΣΙΤΟΣ10580</t>
  </si>
  <si>
    <t>ΣΙΤΟΣ ΣΚΛΗΡΟΣ ZETAE</t>
  </si>
  <si>
    <t>ΣΚΛΗΡΟΣ ΣΙΤΟΣ10581</t>
  </si>
  <si>
    <t>ΣΙΤΟΣ ΣΚΛΗΡΟΣ ZOI</t>
  </si>
  <si>
    <t>ΣΚΛΗΡΟΣ ΣΙΤΟΣ10582</t>
  </si>
  <si>
    <t>ΣΙΤΟΣ ΣΚΛΗΡΟΣ CLOVIS</t>
  </si>
  <si>
    <t>ΣΚΛΗΡΟΣ ΣΙΤΟΣ10583</t>
  </si>
  <si>
    <t>ΣΙΤΟΣ ΣΚΛΗΡΟΣ HOMER</t>
  </si>
  <si>
    <t>ΣΚΛΗΡΟΣ ΣΙΤΟΣ10584</t>
  </si>
  <si>
    <t>ΣΙΤΟΣ ΣΚΛΗΡΟΣ CALCAS</t>
  </si>
  <si>
    <t>ΣΚΛΗΡΟΣ ΣΙΤΟΣ10585</t>
  </si>
  <si>
    <t>ΣΙΤΟΣ ΣΚΛΗΡΟΣ CICLOPE</t>
  </si>
  <si>
    <t>ΣΚΛΗΡΟΣ ΣΙΤΟΣ10586</t>
  </si>
  <si>
    <t>ΣΙΤΟΣ ΣΚΛΗΡΟΣ COSMOSTAR</t>
  </si>
  <si>
    <t>ΣΚΛΗΡΟΣ ΣΙΤΟΣ10587</t>
  </si>
  <si>
    <t>ΣΙΤΟΣ ΣΚΛΗΡΟΣ DOMIZIANO</t>
  </si>
  <si>
    <t>ΣΚΛΗΡΟΣ ΣΙΤΟΣ10588</t>
  </si>
  <si>
    <t>ΣΙΤΟΣ ΣΚΛΗΡΟΣ GAMEX</t>
  </si>
  <si>
    <t>ΣΚΛΗΡΟΣ ΣΙΤΟΣ10589</t>
  </si>
  <si>
    <t>ΣΙΤΟΣ ΣΚΛΗΡΟΣ AKENATON</t>
  </si>
  <si>
    <t>ΣΚΛΗΡΟΣ ΣΙΤΟΣ10590</t>
  </si>
  <si>
    <t>ΣΙΤΟΣ ΣΚΛΗΡΟΣ KHETI</t>
  </si>
  <si>
    <t>ΣΚΛΗΡΟΣ ΣΙΤΟΣ10591</t>
  </si>
  <si>
    <t>ΣΙΤΟΣ ΣΚΛΗΡΟΣ TORRESE</t>
  </si>
  <si>
    <t>ΣΚΛΗΡΟΣ ΣΙΤΟΣ10592</t>
  </si>
  <si>
    <t>ΣΙΤΟΣ ΣΚΛΗΡΟΣ RGT IZALMUR</t>
  </si>
  <si>
    <t>ΣΚΛΗΡΟΣ ΣΙΤΟΣ10593</t>
  </si>
  <si>
    <t>ΣΙΤΟΣ ΣΚΛΗΡΟΣ SOLEA</t>
  </si>
  <si>
    <t>ΣΚΛΗΡΟΣ ΣΙΤΟΣ10594</t>
  </si>
  <si>
    <t>ΣΙΤΟΣ ΣΚΛΗΡΟΣ GIGADUR</t>
  </si>
  <si>
    <t>ΣΚΛΗΡΟΣ ΣΙΤΟΣ10595</t>
  </si>
  <si>
    <t>ΣΙΤΟΣ ΣΚΛΗΡΟΣ HEKABE</t>
  </si>
  <si>
    <t>ΣΚΛΗΡΟΣ ΣΙΤΟΣ10596</t>
  </si>
  <si>
    <t>ΣΙΤΟΣ ΣΚΛΗΡΟΣ ZVEZDITSA</t>
  </si>
  <si>
    <t>ΣΚΛΗΡΟΣ ΣΙΤΟΣ10597</t>
  </si>
  <si>
    <t>ΣΙΤΟΣ ΣΚΛΗΡΟΣ ASTERIX</t>
  </si>
  <si>
    <t>ΣΚΛΗΡΟΣ ΣΙΤΟΣ10598</t>
  </si>
  <si>
    <t>ΣΙΤΟΣ ΣΚΛΗΡΟΣ PORTOFINO</t>
  </si>
  <si>
    <t>ΣΚΛΗΡΟΣ ΣΙΤΟΣ10599</t>
  </si>
  <si>
    <t>ΣΙΤΟΣ ΣΚΛΗΡΟΣ MIRELA</t>
  </si>
  <si>
    <t>ΣΚΛΗΡΟΣ ΣΙΤΟΣ10600</t>
  </si>
  <si>
    <t>ΣΙΤΟΣ ΣΚΛΗΡΟΣ ANETO</t>
  </si>
  <si>
    <t>ΣΚΛΗΡΟΣ ΣΙΤΟΣ10602</t>
  </si>
  <si>
    <t>ΣΙΤΟΣ ΣΚΛΗΡΟΣ CABOTO</t>
  </si>
  <si>
    <t>ΣΚΛΗΡΟΣ ΣΙΤΟΣ10603</t>
  </si>
  <si>
    <t>ΣΙΤΟΣ ΣΚΛΗΡΟΣ CARATO</t>
  </si>
  <si>
    <t>ΣΚΛΗΡΟΣ ΣΙΤΟΣ10604</t>
  </si>
  <si>
    <t>ΣΙΤΟΣ ΣΚΛΗΡΟΣ CERES</t>
  </si>
  <si>
    <t>ΣΚΛΗΡΟΣ ΣΙΤΟΣ10605</t>
  </si>
  <si>
    <t>ΣΙΤΟΣ ΣΚΛΗΡΟΣ CORDOUE</t>
  </si>
  <si>
    <t>ΣΚΛΗΡΟΣ ΣΙΤΟΣ10606</t>
  </si>
  <si>
    <t>ΣΙΤΟΣ ΣΚΛΗΡΟΣ DUROFINUS</t>
  </si>
  <si>
    <t>ΣΚΛΗΡΟΣ ΣΙΤΟΣ10607</t>
  </si>
  <si>
    <t>ΣΙΤΟΣ ΣΚΛΗΡΟΣ ECEM</t>
  </si>
  <si>
    <t>ΣΚΛΗΡΟΣ ΣΙΤΟΣ10608</t>
  </si>
  <si>
    <t>ΣΙΤΟΣ ΣΚΛΗΡΟΣ FUEGO</t>
  </si>
  <si>
    <t>ΣΚΛΗΡΟΣ ΣΙΤΟΣ10609</t>
  </si>
  <si>
    <t>ΣΙΤΟΣ ΣΚΛΗΡΟΣ FULGUR SZS</t>
  </si>
  <si>
    <t>ΣΚΛΗΡΟΣ ΣΙΤΟΣ10610</t>
  </si>
  <si>
    <t>ΣΙΤΟΣ ΣΚΛΗΡΟΣ HELIKS</t>
  </si>
  <si>
    <t>ΣΚΛΗΡΟΣ ΣΙΤΟΣ10611</t>
  </si>
  <si>
    <t>ΣΙΤΟΣ ΣΚΛΗΡΟΣ HERAKLION</t>
  </si>
  <si>
    <t>ΣΚΛΗΡΟΣ ΣΙΤΟΣ10612</t>
  </si>
  <si>
    <t>ΣΙΤΟΣ ΣΚΛΗΡΟΣ IDEFIX</t>
  </si>
  <si>
    <t>ΣΚΛΗΡΟΣ ΣΙΤΟΣ10613</t>
  </si>
  <si>
    <t>ΣΙΤΟΣ ΣΚΛΗΡΟΣ INCONTRO</t>
  </si>
  <si>
    <t>ΣΚΛΗΡΟΣ ΣΙΤΟΣ10614</t>
  </si>
  <si>
    <t>ΣΙΤΟΣ ΣΚΛΗΡΟΣ LG CONFIANZA</t>
  </si>
  <si>
    <t>ΣΚΛΗΡΟΣ ΣΙΤΟΣ10615</t>
  </si>
  <si>
    <t>ΣΙΤΟΣ ΣΚΛΗΡΟΣ LUMINA</t>
  </si>
  <si>
    <t>ΣΚΛΗΡΟΣ ΣΙΤΟΣ10616</t>
  </si>
  <si>
    <t>ΣΙΤΟΣ ΣΚΛΗΡΟΣ NADIF</t>
  </si>
  <si>
    <t>ΣΚΛΗΡΟΣ ΣΙΤΟΣ10617</t>
  </si>
  <si>
    <t>ΣΙΤΟΣ ΣΚΛΗΡΟΣ NATAL</t>
  </si>
  <si>
    <t>ΣΚΛΗΡΟΣ ΣΙΤΟΣ10618</t>
  </si>
  <si>
    <t>ΣΙΤΟΣ ΣΚΛΗΡΟΣ PLATONE</t>
  </si>
  <si>
    <t>ΣΚΛΗΡΟΣ ΣΙΤΟΣ10619</t>
  </si>
  <si>
    <t>ΣΙΤΟΣ ΣΚΛΗΡΟΣ PVL 1636</t>
  </si>
  <si>
    <t>ΣΚΛΗΡΟΣ ΣΙΤΟΣ10620</t>
  </si>
  <si>
    <t>ΣΙΤΟΣ ΣΚΛΗΡΟΣ PVL 2517</t>
  </si>
  <si>
    <t>ΣΚΛΗΡΟΣ ΣΙΤΟΣ10621</t>
  </si>
  <si>
    <t>ΣΙΤΟΣ ΣΚΛΗΡΟΣ PVL 6575</t>
  </si>
  <si>
    <t>ΣΚΛΗΡΟΣ ΣΙΤΟΣ10622</t>
  </si>
  <si>
    <t>ΣΙΤΟΣ ΣΚΛΗΡΟΣ REALE</t>
  </si>
  <si>
    <t>ΣΚΛΗΡΟΣ ΣΙΤΟΣ10623</t>
  </si>
  <si>
    <t>ΣΙΤΟΣ ΣΚΛΗΡΟΣ RGT AVENTADUR</t>
  </si>
  <si>
    <t>ΣΚΛΗΡΟΣ ΣΙΤΟΣ10624</t>
  </si>
  <si>
    <t>ΣΙΤΟΣ ΣΚΛΗΡΟΣ RGT CAVOUR</t>
  </si>
  <si>
    <t>ΣΚΛΗΡΟΣ ΣΙΤΟΣ10625</t>
  </si>
  <si>
    <t>ΣΙΤΟΣ ΣΚΛΗΡΟΣ RGT PARTITUR RARTITUR</t>
  </si>
  <si>
    <t>ΣΚΛΗΡΟΣ ΣΙΤΟΣ10626</t>
  </si>
  <si>
    <t>ΣΙΤΟΣ ΣΚΛΗΡΟΣ SAMBADUR</t>
  </si>
  <si>
    <t>ΣΚΛΗΡΟΣ ΣΙΤΟΣ10627</t>
  </si>
  <si>
    <t>ΣΙΤΟΣ ΣΚΛΗΡΟΣ TANCREDI</t>
  </si>
  <si>
    <t>ΣΚΛΗΡΟΣ ΣΙΤΟΣ10628</t>
  </si>
  <si>
    <t>ΣΙΤΟΣ ΣΚΛΗΡΟΣ TESSADUR</t>
  </si>
  <si>
    <t>ΣΚΛΗΡΟΣ ΣΙΤΟΣ10629</t>
  </si>
  <si>
    <t>ΣΙΤΟΣ ΣΚΛΗΡΟΣ TOCCO</t>
  </si>
  <si>
    <t>ΣΚΛΗΡΟΣ ΣΙΤΟΣ10630</t>
  </si>
  <si>
    <t>ΣΙΤΟΣ ΣΚΛΗΡΟΣ VOLARE</t>
  </si>
  <si>
    <t>ΣΚΛΗΡΟΣ ΣΙΤΟΣ10631</t>
  </si>
  <si>
    <t>ΣΙΤΟΣ ΣΚΛΗΡΟΣ AVISPA</t>
  </si>
  <si>
    <t>ΣΚΛΗΡΟΣ ΣΙΤΟΣ10632</t>
  </si>
  <si>
    <t>ΣΙΤΟΣ ΣΚΛΗΡΟΣ MV PELSODUR</t>
  </si>
  <si>
    <t>ΣΚΛΗΡΟΣ ΣΙΤΟΣ10633</t>
  </si>
  <si>
    <t>ΣΙΤΟΣ ΣΚΛΗΡΟΣ OTTAVIANO</t>
  </si>
  <si>
    <t>ΣΚΛΗΡΟΣ ΣΙΤΟΣ10634</t>
  </si>
  <si>
    <t>ΣΙΤΟΣ ΣΚΛΗΡΟΣ BARONIO</t>
  </si>
  <si>
    <t>ΣΚΛΗΡΟΣ ΣΙΤΟΣ10635</t>
  </si>
  <si>
    <t>ΣΙΤΟΣ ΣΚΛΗΡΟΣ FADO</t>
  </si>
  <si>
    <t>ΣΚΛΗΡΟΣ ΣΙΤΟΣ10636</t>
  </si>
  <si>
    <t>ΣΙΤΟΣ ΣΚΛΗΡΟΣ P22D84</t>
  </si>
  <si>
    <t>ΣΚΛΗΡΟΣ ΣΙΤΟΣ10637</t>
  </si>
  <si>
    <t>ΣΙΤΟΣ ΣΚΛΗΡΟΣ RGT ENCABLUR</t>
  </si>
  <si>
    <t>ΣΚΛΗΡΟΣ ΣΙΤΟΣ10638</t>
  </si>
  <si>
    <t>ΣΙΤΟΣ ΣΚΛΗΡΟΣ TROUBADUR</t>
  </si>
  <si>
    <t>ΣΚΛΗΡΟΣ ΣΙΤΟΣ10639</t>
  </si>
  <si>
    <t>ΣΙΤΟΣ ΣΚΛΗΡΟΣ CIBERIO</t>
  </si>
  <si>
    <t>ΣΚΛΗΡΟΣ ΣΙΤΟΣ10640</t>
  </si>
  <si>
    <t>ΣΙΤΟΣ ΣΚΛΗΡΟΣ DON ORTEGA</t>
  </si>
  <si>
    <t>ΣΚΛΗΡΟΣ ΣΙΤΟΣ10641</t>
  </si>
  <si>
    <t>ΣΙΤΟΣ ΣΚΛΗΡΟΣ INCANTO</t>
  </si>
  <si>
    <t>ΣΚΛΗΡΟΣ ΣΙΤΟΣ10642</t>
  </si>
  <si>
    <t>ΣΙΤΟΣ ΣΚΛΗΡΟΣ LG ORIGEN</t>
  </si>
  <si>
    <t>ΣΚΛΗΡΟΣ ΣΙΤΟΣ10643</t>
  </si>
  <si>
    <t>ΣΙΤΟΣ ΣΚΛΗΡΟΣ RGT VOLTADUR</t>
  </si>
  <si>
    <t>ΣΚΛΗΡΟΣ ΣΙΤΟΣ10644</t>
  </si>
  <si>
    <t>ΣΙΤΟΣ ΣΚΛΗΡΟΣ ARTURO</t>
  </si>
  <si>
    <t>ΣΚΛΗΡΟΣ ΣΙΤΟΣ10645</t>
  </si>
  <si>
    <t>ΣΙΤΟΣ ΣΚΛΗΡΟΣ DIOGENE</t>
  </si>
  <si>
    <t>ΣΚΛΗΡΟΣ ΣΙΤΟΣ10646</t>
  </si>
  <si>
    <t>ΣΙΤΟΣ ΣΚΛΗΡΟΣ PURO</t>
  </si>
  <si>
    <t>ΣΚΛΗΡΟΣ ΣΙΤΟΣ10647</t>
  </si>
  <si>
    <t>ΣΙΤΟΣ ΣΚΛΗΡΟΣ SY NILO</t>
  </si>
  <si>
    <t>ΣΚΛΗΡΟΣ ΣΙΤΟΣ10648</t>
  </si>
  <si>
    <t>ΣΙΤΟΣ ΣΚΛΗΡΟΣ VADIO</t>
  </si>
  <si>
    <t>ΣΚΛΗΡΟΣ ΣΙΤΟΣ10649</t>
  </si>
  <si>
    <t>ΣΙΤΟΣ ΣΚΛΗΡΟΣ NURAGHE</t>
  </si>
  <si>
    <t>ΣΚΛΗΡΟΣ ΣΙΤΟΣ10650</t>
  </si>
  <si>
    <t>ΣΙΤΟΣ ΣΚΛΗΡΟΣ PANORAMIX</t>
  </si>
  <si>
    <t>ΣΚΛΗΡΟΣ ΣΙΤΟΣ10651</t>
  </si>
  <si>
    <t>ΣΙΤΟΣ ΣΚΛΗΡΟΣ RGT FALCODUR</t>
  </si>
  <si>
    <t>ΣΚΛΗΡΟΣ ΣΙΤΟΣ10652</t>
  </si>
  <si>
    <t>ΣΙΤΟΣ ΣΚΛΗΡΟΣ RGT LEONDUR</t>
  </si>
  <si>
    <t>ΣΚΛΗΡΟΣ ΣΙΤΟΣ10653</t>
  </si>
  <si>
    <t>ΣΙΤΟΣ ΣΚΛΗΡΟΣ SY GANIMEDE</t>
  </si>
  <si>
    <t>ΣΚΛΗΡΟΣ ΣΙΤΟΣ10654</t>
  </si>
  <si>
    <t>ΣΙΤΟΣ ΣΚΛΗΡΟΣ DIADUR</t>
  </si>
  <si>
    <t>ΣΚΛΗΡΟΣ ΣΙΤΟΣ10655</t>
  </si>
  <si>
    <t>ΣΙΤΟΣ ΣΚΛΗΡΟΣ DOMINO</t>
  </si>
  <si>
    <t>ΣΚΛΗΡΟΣ ΣΙΤΟΣ10656</t>
  </si>
  <si>
    <t>ΣΙΤΟΣ ΣΚΛΗΡΟΣ RGT XIRIUR</t>
  </si>
  <si>
    <t>ΣΚΛΗΡΟΣ ΣΙΤΟΣ10657</t>
  </si>
  <si>
    <t>ΣΙΤΟΣ ΣΚΛΗΡΟΣ SY ATLANTE</t>
  </si>
  <si>
    <t>ΣΚΛΗΡΟΣ ΣΙΤΟΣ10658</t>
  </si>
  <si>
    <t>ΣΙΤΟΣ ΣΚΛΗΡΟΣ ARES VSD</t>
  </si>
  <si>
    <t>ΣΚΛΗΡΟΣ ΣΙΤΟΣ10659</t>
  </si>
  <si>
    <t>ΣΙΤΟΣ ΣΚΛΗΡΟΣ BELTORAX</t>
  </si>
  <si>
    <t>ΣΚΛΗΡΟΣ ΣΙΤΟΣ10660</t>
  </si>
  <si>
    <t>ΣΙΤΟΣ ΣΚΛΗΡΟΣ BRIGANTE</t>
  </si>
  <si>
    <t>ΣΚΛΗΡΟΣ ΣΙΤΟΣ10661</t>
  </si>
  <si>
    <t>ΣΙΤΟΣ ΣΚΛΗΡΟΣ EUNOBLE</t>
  </si>
  <si>
    <t>ΣΚΛΗΡΟΣ ΣΙΤΟΣ10662</t>
  </si>
  <si>
    <t>ΣΙΤΟΣ ΣΚΛΗΡΟΣ SENIOR</t>
  </si>
  <si>
    <t>ΣΚΛΗΡΟΣ ΣΙΤΟΣ10663</t>
  </si>
  <si>
    <t>ΣΙΤΟΣ ΣΚΛΗΡΟΣ SY LEONARDO</t>
  </si>
  <si>
    <t>ΣΚΛΗΡΟΣ ΣΙΤΟΣ10664</t>
  </si>
  <si>
    <t>ΣΙΤΟΣ ΣΚΛΗΡΟΣ LG BELAKIS</t>
  </si>
  <si>
    <t>ΣΚΛΗΡΟΣ ΣΙΤΟΣ10665</t>
  </si>
  <si>
    <t>ΣΙΤΟΣ ΣΚΛΗΡΟΣ MV MASNIDUR</t>
  </si>
  <si>
    <t>ΣΚΛΗΡΟΣ ΣΙΤΟΣ10666</t>
  </si>
  <si>
    <t>ΣΙΤΟΣ ΣΚΛΗΡΟΣ PR22D63</t>
  </si>
  <si>
    <t>ΣΚΛΗΡΟΣ ΣΙΤΟΣ10667</t>
  </si>
  <si>
    <t>ΣΙΤΟΣ ΣΚΛΗΡΟΣ AKTIDA</t>
  </si>
  <si>
    <t>ΣΚΛΗΡΟΣ ΣΙΤΟΣ10668</t>
  </si>
  <si>
    <t>ΣΙΤΟΣ ΣΚΛΗΡΟΣ EBNEFSIS</t>
  </si>
  <si>
    <t>ΣΚΛΗΡΟΣ ΣΙΤΟΣ10669</t>
  </si>
  <si>
    <t>ΣΙΤΟΣ ΣΚΛΗΡΟΣ PROMITHEAS</t>
  </si>
  <si>
    <t>ΣΚΛΗΡΟΣ ΣΙΤΟΣ10670</t>
  </si>
  <si>
    <t>ΣΙΤΟΣ ΣΚΛΗΡΟΣ LABOMBA</t>
  </si>
  <si>
    <t>ΣΚΛΗΡΟΣ ΣΙΤΟΣ10671</t>
  </si>
  <si>
    <t>ΣΙΤΟΣ ΣΚΛΗΡΟΣ TIMAIOS</t>
  </si>
  <si>
    <t>ΣΚΛΗΡΟΣ ΣΙΤΟΣ10672</t>
  </si>
  <si>
    <t>ΣΙΤΟΣ ΣΚΛΗΡΟΣ BERING</t>
  </si>
  <si>
    <t>ΣΚΛΗΡΟΣ ΣΙΤΟΣ10673</t>
  </si>
  <si>
    <t>ΣΙΤΟΣ ΣΚΛΗΡΟΣ BG DURIAMO 2S</t>
  </si>
  <si>
    <t>ΣΚΛΗΡΟΣ ΣΙΤΟΣ10674</t>
  </si>
  <si>
    <t>ΣΙΤΟΣ ΣΚΛΗΡΟΣ BRANCALEONE</t>
  </si>
  <si>
    <t>ΣΚΛΗΡΟΣ ΣΙΤΟΣ10675</t>
  </si>
  <si>
    <t>ΣΙΤΟΣ ΣΚΛΗΡΟΣ CONTADOU</t>
  </si>
  <si>
    <t>ΣΚΛΗΡΟΣ ΣΙΤΟΣ10676</t>
  </si>
  <si>
    <t>ΣΙΤΟΣ ΣΚΛΗΡΟΣ DURALIS</t>
  </si>
  <si>
    <t>ΣΚΛΗΡΟΣ ΣΙΤΟΣ10677</t>
  </si>
  <si>
    <t>ΣΙΤΟΣ ΣΚΛΗΡΟΣ ERMES</t>
  </si>
  <si>
    <t>ΣΚΛΗΡΟΣ ΣΙΤΟΣ10678</t>
  </si>
  <si>
    <t>ΣΙΤΟΣ ΣΚΛΗΡΟΣ ERMES VSD</t>
  </si>
  <si>
    <t>ΣΚΛΗΡΟΣ ΣΙΤΟΣ10679</t>
  </si>
  <si>
    <t>ΣΙΤΟΣ ΣΚΛΗΡΟΣ GS ARMANDO</t>
  </si>
  <si>
    <t>ΣΚΛΗΡΟΣ ΣΙΤΟΣ10680</t>
  </si>
  <si>
    <t>ΣΙΤΟΣ ΣΚΛΗΡΟΣ GREGORIO</t>
  </si>
  <si>
    <t>ΣΚΛΗΡΟΣ ΣΙΤΟΣ10681</t>
  </si>
  <si>
    <t>ΣΙΤΟΣ ΣΚΛΗΡΟΣ IS DURABLANK</t>
  </si>
  <si>
    <t>ΣΚΛΗΡΟΣ ΣΙΤΟΣ10682</t>
  </si>
  <si>
    <t>ΣΙΤΟΣ ΣΚΛΗΡΟΣ IS FORTIDUR</t>
  </si>
  <si>
    <t>ΣΚΛΗΡΟΣ ΣΙΤΟΣ10683</t>
  </si>
  <si>
    <t>ΣΙΤΟΣ ΣΚΛΗΡΟΣ LG ACROPOLIS</t>
  </si>
  <si>
    <t>ΣΚΛΗΡΟΣ ΣΙΤΟΣ10684</t>
  </si>
  <si>
    <t>ΣΙΤΟΣ ΣΚΛΗΡΟΣ LG HIPNOSIS</t>
  </si>
  <si>
    <t>ΣΚΛΗΡΟΣ ΣΙΤΟΣ10685</t>
  </si>
  <si>
    <t>ΣΙΤΟΣ ΣΚΛΗΡΟΣ LG DAVIS</t>
  </si>
  <si>
    <t>ΣΚΛΗΡΟΣ ΣΙΤΟΣ10686</t>
  </si>
  <si>
    <t>ΣΙΤΟΣ ΣΚΛΗΡΟΣ LG FRUCTIS</t>
  </si>
  <si>
    <t>ΣΚΛΗΡΟΣ ΣΙΤΟΣ10687</t>
  </si>
  <si>
    <t>ΣΙΤΟΣ ΣΚΛΗΡΟΣ LG INDIANAPOLIS</t>
  </si>
  <si>
    <t>ΣΚΛΗΡΟΣ ΣΙΤΟΣ10688</t>
  </si>
  <si>
    <t>ΣΙΤΟΣ ΣΚΛΗΡΟΣ LG YSATIS</t>
  </si>
  <si>
    <t>ΣΚΛΗΡΟΣ ΣΙΤΟΣ10689</t>
  </si>
  <si>
    <t>ΣΙΤΟΣ ΣΚΛΗΡΟΣ LIMBODUR</t>
  </si>
  <si>
    <t>ΣΚΛΗΡΟΣ ΣΙΤΟΣ10690</t>
  </si>
  <si>
    <t>ΣΙΤΟΣ ΣΚΛΗΡΟΣ LOGAN</t>
  </si>
  <si>
    <t>ΣΚΛΗΡΟΣ ΣΙΤΟΣ10691</t>
  </si>
  <si>
    <t>ΣΙΤΟΣ ΣΚΛΗΡΟΣ MAMELI</t>
  </si>
  <si>
    <t>ΣΚΛΗΡΟΣ ΣΙΤΟΣ10692</t>
  </si>
  <si>
    <t>ΣΙΤΟΣ ΣΚΛΗΡΟΣ MONTALE</t>
  </si>
  <si>
    <t>ΣΚΛΗΡΟΣ ΣΙΤΟΣ10693</t>
  </si>
  <si>
    <t>ΣΙΤΟΣ ΣΚΛΗΡΟΣ MAKRODUR</t>
  </si>
  <si>
    <t>ΣΚΛΗΡΟΣ ΣΙΤΟΣ10694</t>
  </si>
  <si>
    <t>ΣΙΤΟΣ ΣΚΛΗΡΟΣ MATUSALEM</t>
  </si>
  <si>
    <t>ΣΚΛΗΡΟΣ ΣΙΤΟΣ10695</t>
  </si>
  <si>
    <t>ΣΙΤΟΣ ΣΚΛΗΡΟΣ MV VEKADUR</t>
  </si>
  <si>
    <t>ΣΚΛΗΡΟΣ ΣΙΤΟΣ10696</t>
  </si>
  <si>
    <t>ΣΙΤΟΣ ΣΚΛΗΡΟΣ NONNO MARIANO</t>
  </si>
  <si>
    <t>ΣΚΛΗΡΟΣ ΣΙΤΟΣ10697</t>
  </si>
  <si>
    <t>ΣΙΤΟΣ ΣΚΛΗΡΟΣ PRESIDENT</t>
  </si>
  <si>
    <t>ΣΚΛΗΡΟΣ ΣΙΤΟΣ10698</t>
  </si>
  <si>
    <t>ΣΙΤΟΣ ΣΚΛΗΡΟΣ RGT BETICUR</t>
  </si>
  <si>
    <t>ΣΚΛΗΡΟΣ ΣΙΤΟΣ10699</t>
  </si>
  <si>
    <t>ΣΙΤΟΣ ΣΚΛΗΡΟΣ RGT FERNANDUR</t>
  </si>
  <si>
    <t>ΣΚΛΗΡΟΣ ΣΙΤΟΣ10701</t>
  </si>
  <si>
    <t>ΣΙΤΟΣ ΣΚΛΗΡΟΣ RGT MONBECUR</t>
  </si>
  <si>
    <t>ΣΚΛΗΡΟΣ ΣΙΤΟΣ10702</t>
  </si>
  <si>
    <t>ΣΙΤΟΣ ΣΚΛΗΡΟΣ RGT RUMBADUR</t>
  </si>
  <si>
    <t>ΣΚΛΗΡΟΣ ΣΙΤΟΣ10703</t>
  </si>
  <si>
    <t>ΣΙΤΟΣ ΣΚΛΗΡΟΣ RICCODUR</t>
  </si>
  <si>
    <t>ΣΚΛΗΡΟΣ ΣΙΤΟΣ10704</t>
  </si>
  <si>
    <t>ΣΙΤΟΣ ΣΚΛΗΡΟΣ SAMARCANDA</t>
  </si>
  <si>
    <t>ΣΚΛΗΡΟΣ ΣΙΤΟΣ10705</t>
  </si>
  <si>
    <t>ΣΙΤΟΣ ΣΚΛΗΡΟΣ SANDUR</t>
  </si>
  <si>
    <t>ΣΚΛΗΡΟΣ ΣΙΤΟΣ10706</t>
  </si>
  <si>
    <t>ΣΙΤΟΣ ΣΚΛΗΡΟΣ SEMIDOU</t>
  </si>
  <si>
    <t>ΣΚΛΗΡΟΣ ΣΙΤΟΣ10707</t>
  </si>
  <si>
    <t>ΣΙΤΟΣ ΣΚΛΗΡΟΣ SHARDANA</t>
  </si>
  <si>
    <t>ΣΚΛΗΡΟΣ ΣΙΤΟΣ10708</t>
  </si>
  <si>
    <t>ΣΙΤΟΣ ΣΚΛΗΡΟΣ SHAZAM</t>
  </si>
  <si>
    <t>ΣΚΛΗΡΟΣ ΣΙΤΟΣ10709</t>
  </si>
  <si>
    <t>ΣΙΤΟΣ ΣΚΛΗΡΟΣ SHEREKHAN</t>
  </si>
  <si>
    <t>ΣΚΛΗΡΟΣ ΣΙΤΟΣ10710</t>
  </si>
  <si>
    <t>ΣΙΤΟΣ ΣΚΛΗΡΟΣ SM METIS</t>
  </si>
  <si>
    <t>ΣΚΛΗΡΟΣ ΣΙΤΟΣ10711</t>
  </si>
  <si>
    <t>ΣΙΤΟΣ ΣΚΛΗΡΟΣ SY 516079</t>
  </si>
  <si>
    <t>ΣΚΛΗΡΟΣ ΣΙΤΟΣ10712</t>
  </si>
  <si>
    <t>ΣΙΤΟΣ ΣΚΛΗΡΟΣ SY ALFIERE</t>
  </si>
  <si>
    <t>ΣΚΛΗΡΟΣ ΣΙΤΟΣ10713</t>
  </si>
  <si>
    <t>ΣΙΤΟΣ ΣΚΛΗΡΟΣ SY EVROS</t>
  </si>
  <si>
    <t>ΣΚΛΗΡΟΣ ΣΙΤΟΣ10714</t>
  </si>
  <si>
    <t>ΣΙΤΟΣ ΣΚΛΗΡΟΣ SY TIDE</t>
  </si>
  <si>
    <t>ΣΚΛΗΡΟΣ ΣΙΤΟΣ10715</t>
  </si>
  <si>
    <t>ΣΙΤΟΣ ΣΚΛΗΡΟΣ TELEMACO</t>
  </si>
  <si>
    <t>ΣΚΛΗΡΟΣ ΣΙΤΟΣ10716</t>
  </si>
  <si>
    <t>ΣΙΤΟΣ ΣΚΛΗΡΟΣ VIOMI</t>
  </si>
  <si>
    <t>ΣΚΛΗΡΟΣ ΣΙΤΟΣ10717</t>
  </si>
  <si>
    <t>ΣΙΤΟΣ ΣΚΛΗΡΟΣ VERACE</t>
  </si>
  <si>
    <t>ΣΚΛΗΡΟΣ ΣΙΤΟΣ10718</t>
  </si>
  <si>
    <t>ΣΙΤΟΣ ΣΚΛΗΡΟΣ RGT BRIKODUR</t>
  </si>
  <si>
    <t>ΣΚΛΗΡΟΣ ΣΙΤΟΣ10719</t>
  </si>
  <si>
    <t>ΣΙΤΟΣ ΣΚΛΗΡΟΣ BRUNO</t>
  </si>
  <si>
    <t>ΣΚΛΗΡΟΣ ΣΙΤΟΣ10720</t>
  </si>
  <si>
    <t>ΣΙΤΟΣ ΣΚΛΗΡΟΣ CAMPIONATO</t>
  </si>
  <si>
    <t>ΣΚΛΗΡΟΣ ΣΙΤΟΣ10721</t>
  </si>
  <si>
    <t>ΣΙΤΟΣ ΣΚΛΗΡΟΣ AD 118</t>
  </si>
  <si>
    <t>ΣΚΛΗΡΟΣ ΣΙΤΟΣ10722</t>
  </si>
  <si>
    <t>ΣΙΤΟΣ ΣΚΛΗΡΟΣ BG FLEXADUR 2S</t>
  </si>
  <si>
    <t>ΣΚΛΗΡΟΣ ΣΙΤΟΣ10723</t>
  </si>
  <si>
    <t>ΣΙΤΟΣ ΣΚΛΗΡΟΣ FARIDUR</t>
  </si>
  <si>
    <t>ΣΚΛΗΡΟΣ ΣΙΤΟΣ10724</t>
  </si>
  <si>
    <t>ΣΙΤΟΣ ΣΚΛΗΡΟΣ GITAGO</t>
  </si>
  <si>
    <t>ΣΚΛΗΡΟΣ ΣΙΤΟΣ10725</t>
  </si>
  <si>
    <t>ΣΙΤΟΣ ΣΚΛΗΡΟΣ LIMNOS</t>
  </si>
  <si>
    <t>ΣΚΛΗΡΟΣ ΣΙΤΟΣ10726</t>
  </si>
  <si>
    <t>ΣΙΤΟΣ ΣΚΛΗΡΟΣ SM ERIS</t>
  </si>
  <si>
    <t>ΣΚΛΗΡΟΣ ΣΙΤΟΣ10727</t>
  </si>
  <si>
    <t>ΣΙΤΟΣ ΣΚΛΗΡΟΣ SM TETYDA</t>
  </si>
  <si>
    <t>ΣΚΛΗΡΟΣ ΣΙΤΟΣ10728</t>
  </si>
  <si>
    <t>ΣΙΤΟΣ ΣΚΛΗΡΟΣ PYRROS</t>
  </si>
  <si>
    <t>ΣΚΛΗΡΟΣ ΣΙΤΟΣ10729</t>
  </si>
  <si>
    <t>ΣΙΤΟΣ ΣΚΛΗΡΟΣ RGT AGRODUR</t>
  </si>
  <si>
    <t>ΣΚΛΗΡΟΣ ΣΙΤΟΣ10730</t>
  </si>
  <si>
    <t>ΣΙΤΟΣ ΣΚΛΗΡΟΣ RGT JASDUR</t>
  </si>
  <si>
    <t>ΣΚΛΗΡΟΣ ΣΙΤΟΣ10731</t>
  </si>
  <si>
    <t>ΣΙΤΟΣ ΣΚΛΗΡΟΣ RGT TACODUR</t>
  </si>
  <si>
    <t>ΣΚΛΗΡΟΣ ΣΙΤΟΣ10732</t>
  </si>
  <si>
    <t>ΣΙΤΟΣ ΣΚΛΗΡΟΣ RGT VANUR</t>
  </si>
  <si>
    <t>ΣΚΛΗΡΟΣ ΣΙΤΟΣ10733</t>
  </si>
  <si>
    <t>ΣΙΤΟΣ ΣΚΛΗΡΟΣ SARITSAM</t>
  </si>
  <si>
    <t>ΣΚΛΗΡΟΣ ΣΙΤΟΣ10734</t>
  </si>
  <si>
    <t>ΣΙΤΟΣ ΣΚΛΗΡΟΣ VULCANO VSD</t>
  </si>
  <si>
    <t>ΣΚΛΗΡΟΣ ΣΙΤΟΣ10735</t>
  </si>
  <si>
    <t>ΣΙΤΟΣ ΣΚΛΗΡΟΣ AMARCORD</t>
  </si>
  <si>
    <t>ΣΚΛΗΡΟΣ ΣΙΤΟΣ10736</t>
  </si>
  <si>
    <t>ΣΙΤΟΣ ΣΚΛΗΡΟΣ ARISTOTELIS</t>
  </si>
  <si>
    <t>ΣΚΛΗΡΟΣ ΣΙΤΟΣ10737</t>
  </si>
  <si>
    <t>ΣΙΤΟΣ ΣΚΛΗΡΟΣ BACCO</t>
  </si>
  <si>
    <t>ΣΚΛΗΡΟΣ ΣΙΤΟΣ10738</t>
  </si>
  <si>
    <t>ΣΙΤΟΣ ΣΚΛΗΡΟΣ BRIDAO</t>
  </si>
  <si>
    <t>ΣΚΛΗΡΟΣ ΣΙΤΟΣ10739</t>
  </si>
  <si>
    <t>ΣΙΤΟΣ ΣΚΛΗΡΟΣ CANAILLOU</t>
  </si>
  <si>
    <t>ΣΚΛΗΡΟΣ ΣΙΤΟΣ10740</t>
  </si>
  <si>
    <t>ΣΙΤΟΣ ΣΚΛΗΡΟΣ CARTESIO</t>
  </si>
  <si>
    <t>ΣΚΛΗΡΟΣ ΣΙΤΟΣ10741</t>
  </si>
  <si>
    <t>ΣΙΤΟΣ ΣΚΛΗΡΟΣ DEYCHE</t>
  </si>
  <si>
    <t>ΣΚΛΗΡΟΣ ΣΙΤΟΣ10742</t>
  </si>
  <si>
    <t>ΣΙΤΟΣ ΣΚΛΗΡΟΣ DON CRISTOBAL</t>
  </si>
  <si>
    <t>ΣΚΛΗΡΟΣ ΣΙΤΟΣ10743</t>
  </si>
  <si>
    <t>ΣΙΤΟΣ ΣΚΛΗΡΟΣ ELIO VSD</t>
  </si>
  <si>
    <t>ΣΚΛΗΡΟΣ ΣΙΤΟΣ10744</t>
  </si>
  <si>
    <t>ΣΙΤΟΣ ΣΚΛΗΡΟΣ FEDERICO II</t>
  </si>
  <si>
    <t>ΣΚΛΗΡΟΣ ΣΙΤΟΣ10745</t>
  </si>
  <si>
    <t>ΣΙΤΟΣ ΣΚΛΗΡΟΣ GUADIX</t>
  </si>
  <si>
    <t>ΣΚΛΗΡΟΣ ΣΙΤΟΣ10746</t>
  </si>
  <si>
    <t>ΣΙΤΟΣ ΣΚΛΗΡΟΣ LG AVENSIS</t>
  </si>
  <si>
    <t>ΣΚΛΗΡΟΣ ΣΙΤΟΣ10747</t>
  </si>
  <si>
    <t>ΣΙΤΟΣ ΣΚΛΗΡΟΣ MV MAGNADUR</t>
  </si>
  <si>
    <t>ΣΚΛΗΡΟΣ ΣΙΤΟΣ10748</t>
  </si>
  <si>
    <t>ΣΙΤΟΣ ΣΚΛΗΡΟΣ PATRIARCA</t>
  </si>
  <si>
    <t>ΣΚΛΗΡΟΣ ΣΙΤΟΣ10749</t>
  </si>
  <si>
    <t>ΣΙΤΟΣ ΣΚΛΗΡΟΣ RGT BELALUR</t>
  </si>
  <si>
    <t>ΣΚΛΗΡΟΣ ΣΙΤΟΣ10750</t>
  </si>
  <si>
    <t>ΣΙΤΟΣ ΣΚΛΗΡΟΣ RGT DIOGEDUR</t>
  </si>
  <si>
    <t>ΣΚΛΗΡΟΣ ΣΙΤΟΣ10751</t>
  </si>
  <si>
    <t>ΣΙΤΟΣ ΣΚΛΗΡΟΣ RGT ESTEDUR</t>
  </si>
  <si>
    <t>ΣΚΛΗΡΟΣ ΣΙΤΟΣ10752</t>
  </si>
  <si>
    <t>ΣΙΤΟΣ ΣΚΛΗΡΟΣ RGT FESTADUR</t>
  </si>
  <si>
    <t>ΣΚΛΗΡΟΣ ΣΙΤΟΣ10753</t>
  </si>
  <si>
    <t>ΣΙΤΟΣ ΣΚΛΗΡΟΣ RGT KAPSUR</t>
  </si>
  <si>
    <t>ΣΚΛΗΡΟΣ ΣΙΤΟΣ10754</t>
  </si>
  <si>
    <t>ΣΙΤΟΣ ΣΚΛΗΡΟΣ RGT RAMUR</t>
  </si>
  <si>
    <t>ΣΚΛΗΡΟΣ ΣΙΤΟΣ10755</t>
  </si>
  <si>
    <t>ΣΙΤΟΣ ΣΚΛΗΡΟΣ RGT SACRADUR</t>
  </si>
  <si>
    <t>ΣΚΛΗΡΟΣ ΣΙΤΟΣ10756</t>
  </si>
  <si>
    <t>ΣΙΤΟΣ ΣΚΛΗΡΟΣ RGT SOISSUR</t>
  </si>
  <si>
    <t>ΣΚΛΗΡΟΣ ΣΙΤΟΣ10757</t>
  </si>
  <si>
    <t>ΣΙΤΟΣ ΣΚΛΗΡΟΣ RGT TALEDUR</t>
  </si>
  <si>
    <t>ΣΚΛΗΡΟΣ ΣΙΤΟΣ10758</t>
  </si>
  <si>
    <t>ΣΙΤΟΣ ΣΚΛΗΡΟΣ SAALEDUR</t>
  </si>
  <si>
    <t>ΣΚΛΗΡΟΣ ΣΙΤΟΣ10759</t>
  </si>
  <si>
    <t>ΣΙΤΟΣ ΣΚΛΗΡΟΣ SPINETO</t>
  </si>
  <si>
    <t>ΣΚΛΗΡΟΣ ΣΙΤΟΣ10760</t>
  </si>
  <si>
    <t>ΣΙΤΟΣ ΣΚΛΗΡΟΣ SY INDREN</t>
  </si>
  <si>
    <t>ΣΚΛΗΡΟΣ ΣΙΤΟΣ10761</t>
  </si>
  <si>
    <t>ΣΙΤΟΣ ΣΚΛΗΡΟΣ SY PRODIGIO</t>
  </si>
  <si>
    <t>ΣΚΛΗΡΟΣ ΣΙΤΟΣ10762</t>
  </si>
  <si>
    <t>ΣΙΤΟΣ ΣΚΛΗΡΟΣ TENARIS</t>
  </si>
  <si>
    <t>ΣΚΛΗΡΟΣ ΣΙΤΟΣ10763</t>
  </si>
  <si>
    <t>ΣΙΤΟΣ ΣΚΛΗΡΟΣ VIDEODUR</t>
  </si>
  <si>
    <t>ΣΚΛΗΡΟΣ ΣΙΤΟΣ10764</t>
  </si>
  <si>
    <t>ΣΚΛΗΡΟΣ ΣΙΤΟΣ PVL1636</t>
  </si>
  <si>
    <t>ΣΚΛΗΡΟΣ ΣΙΤΟΣ10765</t>
  </si>
  <si>
    <t>ΣΙΤΟΣ ΣΚΛΗΡΟΣ FELSINA</t>
  </si>
  <si>
    <t>ΣΚΛΗΡΟΣ ΣΙΤΟΣ10766</t>
  </si>
  <si>
    <t>ΣΚΛΗΡΟΣ ΣΙΤΟΣ DEVES</t>
  </si>
  <si>
    <t>ΣΚΛΗΡΟΣ ΣΙΤΟΣ10767</t>
  </si>
  <si>
    <t>ΣΙΤΟΣ ΣΚΛΗΡΟΣ STEMI</t>
  </si>
  <si>
    <t>ΣΚΛΗΡΟΣ ΣΙΤΟΣ2990</t>
  </si>
  <si>
    <t>ΣΙΤΟΣ ΣΚΛΗΡΟΣ GATTUSO</t>
  </si>
  <si>
    <t>ΣΚΛΗΡΟΣ ΣΙΤΟΣ7772</t>
  </si>
  <si>
    <t>ΣΙΤΟΣ ΣΚΛΗΡΟΣ PORTODUR</t>
  </si>
  <si>
    <t>ΣΚΛΗΡΟΣ ΣΙΤΟΣ7773</t>
  </si>
  <si>
    <t>ΣΙΤΟΣ ΣΚΛΗΡΟΣ IRINTE</t>
  </si>
  <si>
    <t>ΣΚΛΗΡΟΣ ΣΙΤΟΣ7774</t>
  </si>
  <si>
    <t>ΣΙΤΟΣ ΜΟΝΟΚΟΚΚΟΣ ΚΑΠΛΟΥΤΖΑΣ</t>
  </si>
  <si>
    <t>ΣΚΛΗΡΟΣ ΣΙΤΟΣ7776</t>
  </si>
  <si>
    <t>ΣΙΤΟΣ ΣΚΛΗΡΟΣ ATHOS (ΑΘΩΣ)</t>
  </si>
  <si>
    <t>ΣΚΛΗΡΟΣ ΣΙΤΟΣ7801</t>
  </si>
  <si>
    <t>ΣΙΤΟΣ ΣΚΛΗΡΟΣ AMANTA</t>
  </si>
  <si>
    <t>ΣΚΛΗΡΟΣ ΣΙΤΟΣ7802</t>
  </si>
  <si>
    <t>ΣΙΤΟΣ ΣΚΛΗΡΟΣ KARISTO</t>
  </si>
  <si>
    <t>ΣΚΛΗΡΟΣ ΣΙΤΟΣ7803</t>
  </si>
  <si>
    <t>ΣΙΤΟΣ ΣΚΛΗΡΟΣ KIARA</t>
  </si>
  <si>
    <t>ΣΚΛΗΡΟΣ ΣΙΤΟΣ7804</t>
  </si>
  <si>
    <t>ΣΙΤΟΣ ΣΚΛΗΡΟΣ KORDO</t>
  </si>
  <si>
    <t>ΣΚΛΗΡΟΣ ΣΙΤΟΣ7805</t>
  </si>
  <si>
    <t>ΣΙΤΟΣ ΣΚΛΗΡΟΣ KALITHEA (ΚΑΛΛΙΘΕΑ)</t>
  </si>
  <si>
    <t>ΣΚΛΗΡΟΣ ΣΙΤΟΣ7806</t>
  </si>
  <si>
    <t>ΣΙΤΟΣ ΣΚΛΗΡΟΣ MATT</t>
  </si>
  <si>
    <t>ΣΚΛΗΡΟΣ ΣΙΤΟΣ7807</t>
  </si>
  <si>
    <t>ΣΙΤΟΣ ΣΚΛΗΡΟΣ MEXIKALI 81 (ΜΕΞΙΚΑΛΙ 81)</t>
  </si>
  <si>
    <t>ΣΚΛΗΡΟΣ ΣΙΤΟΣ7808</t>
  </si>
  <si>
    <t>ΣΙΤΟΣ ΣΚΛΗΡΟΣ ROYALDUR</t>
  </si>
  <si>
    <t>ΣΚΛΗΡΟΣ ΣΙΤΟΣ7809</t>
  </si>
  <si>
    <t>ΣΙΤΟΣ ΣΚΛΗΡΟΣ ΣΑΜΟΣ</t>
  </si>
  <si>
    <t>ΣΚΛΗΡΟΣ ΣΙΤΟΣ7810</t>
  </si>
  <si>
    <t>ΣΙΤΟΣ ΣΚΛΗΡΟΣ ΣΑΝΤΑ</t>
  </si>
  <si>
    <t>ΣΚΛΗΡΟΣ ΣΙΤΟΣ7811</t>
  </si>
  <si>
    <t>ΣΙΤΟΣ ΣΚΛΗΡΟΣ ΣΑΠΦΩ</t>
  </si>
  <si>
    <t>ΣΚΛΗΡΟΣ ΣΙΤΟΣ7812</t>
  </si>
  <si>
    <t>ΣΙΤΟΣ ΣΚΛΗΡΟΣ ΣΑΡΤΗ</t>
  </si>
  <si>
    <t>ΣΚΛΗΡΟΣ ΣΙΤΟΣ7813</t>
  </si>
  <si>
    <t>ΣΙΤΟΣ ΣΚΛΗΡΟΣ SELAS (ΣΕΛΑΣ)</t>
  </si>
  <si>
    <t>ΣΚΛΗΡΟΣ ΣΙΤΟΣ7814</t>
  </si>
  <si>
    <t>ΣΙΤΟΣ ΣΚΛΗΡΟΣ SKITI (ΣΚΗΤΗ)</t>
  </si>
  <si>
    <t>ΣΚΛΗΡΟΣ ΣΙΤΟΣ7815</t>
  </si>
  <si>
    <t>ΣΙΤΟΣ ΣΚΛΗΡΟΣ ΣΥΜΗ</t>
  </si>
  <si>
    <t>ΣΚΛΗΡΟΣ ΣΙΤΟΣ7816</t>
  </si>
  <si>
    <t>ΣΙΤΟΣ ΣΚΛΗΡΟΣ ΣΥΡΟΣ</t>
  </si>
  <si>
    <t>ΣΚΛΗΡΟΣ ΣΙΤΟΣ7817</t>
  </si>
  <si>
    <t>ΣΙΤΟΣ ΣΚΛΗΡΟΣ APOLLO</t>
  </si>
  <si>
    <t>ΣΚΛΗΡΟΣ ΣΙΤΟΣ7819</t>
  </si>
  <si>
    <t>ΣΙΤΟΣ ΣΚΛΗΡΟΣ S. CAPELLI</t>
  </si>
  <si>
    <t>ΣΚΛΗΡΟΣ ΣΙΤΟΣ7820</t>
  </si>
  <si>
    <t>ΣΙΤΟΣ ΣΚΛΗΡΟΣ ΚΑΠΕΙΤΙ</t>
  </si>
  <si>
    <t>ΣΚΛΗΡΟΣ ΣΙΤΟΣ7843</t>
  </si>
  <si>
    <t>ΣΙΤΟΣ ΣΚΛΗΡΟΣ AIAS (ΑΙΑΣ)</t>
  </si>
  <si>
    <t>ΣΚΛΗΡΟΣ ΣΙΤΟΣ7844</t>
  </si>
  <si>
    <t>ΣΙΤΟΣ ΣΚΛΗΡΟΣ ANNA</t>
  </si>
  <si>
    <t>ΣΚΛΗΡΟΣ ΣΙΤΟΣ7845</t>
  </si>
  <si>
    <t>ΣΙΤΟΣ ΣΚΛΗΡΟΣ ATLAS</t>
  </si>
  <si>
    <t>ΣΚΛΗΡΟΣ ΣΙΤΟΣ7846</t>
  </si>
  <si>
    <t>ΣΙΤΟΣ ΣΚΛΗΡΟΣ BOB (ΜΠΟΜΠ)</t>
  </si>
  <si>
    <t>ΣΚΛΗΡΟΣ ΣΙΤΟΣ7847</t>
  </si>
  <si>
    <t>ΣΙΤΟΣ ΣΚΛΗΡΟΣ COSMODUR</t>
  </si>
  <si>
    <t>ΣΚΛΗΡΟΣ ΣΙΤΟΣ7848</t>
  </si>
  <si>
    <t>ΣΙΤΟΣ ΣΚΛΗΡΟΣ GRECODUR</t>
  </si>
  <si>
    <t>ΣΚΛΗΡΟΣ ΣΙΤΟΣ7849</t>
  </si>
  <si>
    <t>ΣΙΤΟΣ ΣΚΛΗΡΟΣ IONIO</t>
  </si>
  <si>
    <t>ΣΚΛΗΡΟΣ ΣΙΤΟΣ7850</t>
  </si>
  <si>
    <t>ΣΙΤΟΣ ΣΚΛΗΡΟΣ KRONOS (ΚΡΟΝΟΣ)</t>
  </si>
  <si>
    <t>ΣΚΛΗΡΟΣ ΣΙΤΟΣ7851</t>
  </si>
  <si>
    <t>ΣΙΤΟΣ ΣΚΛΗΡΟΣ MESSAPIA</t>
  </si>
  <si>
    <t>ΣΚΛΗΡΟΣ ΣΙΤΟΣ7852</t>
  </si>
  <si>
    <t>ΣΙΤΟΣ ΣΚΛΗΡΟΣ NEGRIDURO</t>
  </si>
  <si>
    <t>ΣΚΛΗΡΟΣ ΣΙΤΟΣ7853</t>
  </si>
  <si>
    <t>ΣΙΤΟΣ ΣΚΛΗΡΟΣ PAPADAKIS (ΠΑΠΑΔΑΚΙΣ)</t>
  </si>
  <si>
    <t>ΣΚΛΗΡΟΣ ΣΙΤΟΣ7854</t>
  </si>
  <si>
    <t>ΣΙΤΟΣ ΣΚΛΗΡΟΣ PONTOS (ΠΟΝΤΟΣ)</t>
  </si>
  <si>
    <t>ΣΚΛΗΡΟΣ ΣΙΤΟΣ7855</t>
  </si>
  <si>
    <t>ΣΙΤΟΣ ΣΚΛΗΡΟΣ SIFNOS (ΣΙΦΝΟΣ)</t>
  </si>
  <si>
    <t>ΣΚΛΗΡΟΣ ΣΙΤΟΣ7856</t>
  </si>
  <si>
    <t>ΣΙΤΟΣ ΣΚΛΗΡΟΣ TEMPRADUR</t>
  </si>
  <si>
    <t>ΣΚΛΗΡΟΣ ΣΙΤΟΣ7857</t>
  </si>
  <si>
    <t>ΣΙΤΟΣ ΣΚΛΗΡΟΣ ADAMELLO</t>
  </si>
  <si>
    <t>ΣΚΛΗΡΟΣ ΣΙΤΟΣ7858</t>
  </si>
  <si>
    <t>ΣΙΤΟΣ ΣΚΛΗΡΟΣ ALFARO</t>
  </si>
  <si>
    <t>ΣΚΛΗΡΟΣ ΣΙΤΟΣ7859</t>
  </si>
  <si>
    <t>ΣΙΤΟΣ ΣΚΛΗΡΟΣ ANCO MARZIO</t>
  </si>
  <si>
    <t>ΣΚΛΗΡΟΣ ΣΙΤΟΣ7861</t>
  </si>
  <si>
    <t>ΣΙΤΟΣ ΣΚΛΗΡΟΣ APPIO</t>
  </si>
  <si>
    <t>ΣΚΛΗΡΟΣ ΣΙΤΟΣ7862</t>
  </si>
  <si>
    <t>ΣΙΤΟΣ ΣΚΛΗΡΟΣ APPULO</t>
  </si>
  <si>
    <t>ΣΚΛΗΡΟΣ ΣΙΤΟΣ7863</t>
  </si>
  <si>
    <t>ΣΙΤΟΣ ΣΚΛΗΡΟΣ ARCANGELO</t>
  </si>
  <si>
    <t>ΣΚΛΗΡΟΣ ΣΙΤΟΣ7864</t>
  </si>
  <si>
    <t>ΣΙΤΟΣ ΣΚΛΗΡΟΣ ARCOBALENO</t>
  </si>
  <si>
    <t>ΣΚΛΗΡΟΣ ΣΙΤΟΣ7865</t>
  </si>
  <si>
    <t>ΣΙΤΟΣ ΣΚΛΗΡΟΣ ARCOLINO</t>
  </si>
  <si>
    <t>ΣΚΛΗΡΟΣ ΣΙΤΟΣ7866</t>
  </si>
  <si>
    <t>ΣΚΛΗΡΟΣ ΣΙΤΟΣ7867</t>
  </si>
  <si>
    <t>ΣΙΤΟΣ ΣΚΛΗΡΟΣ BAIO</t>
  </si>
  <si>
    <t>ΣΚΛΗΡΟΣ ΣΙΤΟΣ7868</t>
  </si>
  <si>
    <t>ΣΙΤΟΣ ΣΚΛΗΡΟΣ BALIDURO</t>
  </si>
  <si>
    <t>ΣΚΛΗΡΟΣ ΣΙΤΟΣ7869</t>
  </si>
  <si>
    <t>ΣΙΤΟΣ ΣΚΛΗΡΟΣ BOLO</t>
  </si>
  <si>
    <t>ΣΚΛΗΡΟΣ ΣΙΤΟΣ7872</t>
  </si>
  <si>
    <t>ΣΙΤΟΣ ΣΚΛΗΡΟΣ BORELLO</t>
  </si>
  <si>
    <t>ΣΚΛΗΡΟΣ ΣΙΤΟΣ7873</t>
  </si>
  <si>
    <t>ΣΙΤΟΣ ΣΚΛΗΡΟΣ BRADANO</t>
  </si>
  <si>
    <t>ΣΚΛΗΡΟΣ ΣΙΤΟΣ7874</t>
  </si>
  <si>
    <t>ΣΙΤΟΣ ΣΚΛΗΡΟΣ BRINDUR</t>
  </si>
  <si>
    <t>ΣΚΛΗΡΟΣ ΣΙΤΟΣ7875</t>
  </si>
  <si>
    <t>ΣΙΤΟΣ ΣΚΛΗΡΟΣ BRONTE</t>
  </si>
  <si>
    <t>ΣΚΛΗΡΟΣ ΣΙΤΟΣ7876</t>
  </si>
  <si>
    <t>ΣΙΤΟΣ ΣΚΛΗΡΟΣ CANNIZZO</t>
  </si>
  <si>
    <t>ΣΚΛΗΡΟΣ ΣΙΤΟΣ7878</t>
  </si>
  <si>
    <t>ΣΙΤΟΣ ΣΚΛΗΡΟΣ CAPPELLI</t>
  </si>
  <si>
    <t>ΣΚΛΗΡΟΣ ΣΙΤΟΣ7879</t>
  </si>
  <si>
    <t>ΣΙΤΟΣ ΣΚΛΗΡΟΣ CAPRI</t>
  </si>
  <si>
    <t>ΣΚΛΗΡΟΣ ΣΙΤΟΣ7880</t>
  </si>
  <si>
    <t>ΣΙΤΟΣ ΣΚΛΗΡΟΣ CARIOCA</t>
  </si>
  <si>
    <t>ΣΚΛΗΡΟΣ ΣΙΤΟΣ7881</t>
  </si>
  <si>
    <t>ΣΙΤΟΣ ΣΚΛΗΡΟΣ CASANOVA</t>
  </si>
  <si>
    <t>ΣΚΛΗΡΟΣ ΣΙΤΟΣ7882</t>
  </si>
  <si>
    <t>ΣΙΤΟΣ ΣΚΛΗΡΟΣ CICCIO</t>
  </si>
  <si>
    <t>ΣΚΛΗΡΟΣ ΣΙΤΟΣ7884</t>
  </si>
  <si>
    <t>ΣΙΤΟΣ ΣΚΛΗΡΟΣ CIRILLO</t>
  </si>
  <si>
    <t>ΣΚΛΗΡΟΣ ΣΙΤΟΣ7885</t>
  </si>
  <si>
    <t>ΣΙΤΟΣ ΣΚΛΗΡΟΣ CLAUDIO</t>
  </si>
  <si>
    <t>ΣΚΛΗΡΟΣ ΣΙΤΟΣ7886</t>
  </si>
  <si>
    <t>ΣΙΤΟΣ ΣΚΛΗΡΟΣ COLORADO</t>
  </si>
  <si>
    <t>ΣΚΛΗΡΟΣ ΣΙΤΟΣ7887</t>
  </si>
  <si>
    <t>ΣΙΤΟΣ ΣΚΛΗΡΟΣ COLOSSEO</t>
  </si>
  <si>
    <t>ΣΚΛΗΡΟΣ ΣΙΤΟΣ7888</t>
  </si>
  <si>
    <t>ΣΙΤΟΣ ΣΚΛΗΡΟΣ CONCADORO</t>
  </si>
  <si>
    <t>ΣΚΛΗΡΟΣ ΣΙΤΟΣ7889</t>
  </si>
  <si>
    <t>ΣΙΤΟΣ ΣΚΛΗΡΟΣ CRESO</t>
  </si>
  <si>
    <t>ΣΚΛΗΡΟΣ ΣΙΤΟΣ7890</t>
  </si>
  <si>
    <t>ΣΙΤΟΣ ΣΚΛΗΡΟΣ CRISPIERO</t>
  </si>
  <si>
    <t>ΣΚΛΗΡΟΣ ΣΙΤΟΣ7891</t>
  </si>
  <si>
    <t>ΣΙΤΟΣ ΣΚΛΗΡΟΣ DAUNIA</t>
  </si>
  <si>
    <t>ΣΚΛΗΡΟΣ ΣΙΤΟΣ7892</t>
  </si>
  <si>
    <t>ΣΙΤΟΣ ΣΚΛΗΡΟΣ DERRICK</t>
  </si>
  <si>
    <t>ΣΚΛΗΡΟΣ ΣΙΤΟΣ7893</t>
  </si>
  <si>
    <t>ΣΙΤΟΣ ΣΚΛΗΡΟΣ DUETTO</t>
  </si>
  <si>
    <t>ΣΚΛΗΡΟΣ ΣΙΤΟΣ7894</t>
  </si>
  <si>
    <t>ΣΙΤΟΣ ΣΚΛΗΡΟΣ DUILIO</t>
  </si>
  <si>
    <t>ΣΚΛΗΡΟΣ ΣΙΤΟΣ7895</t>
  </si>
  <si>
    <t>ΣΙΤΟΣ ΣΚΛΗΡΟΣ DUPRI</t>
  </si>
  <si>
    <t>ΣΚΛΗΡΟΣ ΣΙΤΟΣ7896</t>
  </si>
  <si>
    <t>ΣΙΤΟΣ ΣΚΛΗΡΟΣ DURANGO</t>
  </si>
  <si>
    <t>ΣΚΛΗΡΟΣ ΣΙΤΟΣ7897</t>
  </si>
  <si>
    <t>ΣΙΤΟΣ ΣΚΛΗΡΟΣ DURBEL</t>
  </si>
  <si>
    <t>ΣΚΛΗΡΟΣ ΣΙΤΟΣ7898</t>
  </si>
  <si>
    <t>ΣΙΤΟΣ ΣΚΛΗΡΟΣ DYLAN</t>
  </si>
  <si>
    <t>ΣΚΛΗΡΟΣ ΣΙΤΟΣ7901</t>
  </si>
  <si>
    <t>ΣΙΤΟΣ ΣΚΛΗΡΟΣ FIORE</t>
  </si>
  <si>
    <t>ΣΚΛΗΡΟΣ ΣΙΤΟΣ7906</t>
  </si>
  <si>
    <t>ΣΙΤΟΣ ΣΚΛΗΡΟΣ FLAMINIO</t>
  </si>
  <si>
    <t>ΣΚΛΗΡΟΣ ΣΙΤΟΣ7907</t>
  </si>
  <si>
    <t>ΣΙΤΟΣ ΣΚΛΗΡΟΣ FLAVIO</t>
  </si>
  <si>
    <t>ΣΚΛΗΡΟΣ ΣΙΤΟΣ7908</t>
  </si>
  <si>
    <t>ΣΙΤΟΣ ΣΚΛΗΡΟΣ FORTORE</t>
  </si>
  <si>
    <t>ΣΚΛΗΡΟΣ ΣΙΤΟΣ7909</t>
  </si>
  <si>
    <t>ΣΙΤΟΣ ΣΚΛΗΡΟΣ GARDENA</t>
  </si>
  <si>
    <t>ΣΚΛΗΡΟΣ ΣΙΤΟΣ7910</t>
  </si>
  <si>
    <t>ΣΙΤΟΣ ΣΚΛΗΡΟΣ GARGANO</t>
  </si>
  <si>
    <t>ΣΚΛΗΡΟΣ ΣΙΤΟΣ7911</t>
  </si>
  <si>
    <t>ΣΙΤΟΣ ΣΚΛΗΡΟΣ GHIBLI</t>
  </si>
  <si>
    <t>ΣΚΛΗΡΟΣ ΣΙΤΟΣ7912</t>
  </si>
  <si>
    <t>ΣΙΤΟΣ ΣΚΛΗΡΟΣ GIANNI</t>
  </si>
  <si>
    <t>ΣΚΛΗΡΟΣ ΣΙΤΟΣ7913</t>
  </si>
  <si>
    <t>ΣΙΤΟΣ ΣΚΛΗΡΟΣ GIEMME</t>
  </si>
  <si>
    <t>ΣΚΛΗΡΟΣ ΣΙΤΟΣ7914</t>
  </si>
  <si>
    <t>ΣΙΤΟΣ ΣΚΛΗΡΟΣ GIOTTO</t>
  </si>
  <si>
    <t>ΣΚΛΗΡΟΣ ΣΙΤΟΣ7915</t>
  </si>
  <si>
    <t>ΣΙΤΟΣ ΣΚΛΗΡΟΣ GIOVE</t>
  </si>
  <si>
    <t>ΣΚΛΗΡΟΣ ΣΙΤΟΣ7916</t>
  </si>
  <si>
    <t>ΣΙΤΟΣ ΣΚΛΗΡΟΣ GRAZIA</t>
  </si>
  <si>
    <t>ΣΚΛΗΡΟΣ ΣΙΤΟΣ7918</t>
  </si>
  <si>
    <t>ΣΙΤΟΣ ΣΚΛΗΡΟΣ IRIDE</t>
  </si>
  <si>
    <t>ΣΚΛΗΡΟΣ ΣΙΤΟΣ7921</t>
  </si>
  <si>
    <t>ΣΙΤΟΣ ΣΚΛΗΡΟΣ ITALO</t>
  </si>
  <si>
    <t>ΣΚΛΗΡΟΣ ΣΙΤΟΣ7922</t>
  </si>
  <si>
    <t>ΣΙΤΟΣ ΣΚΛΗΡΟΣ KARALIS</t>
  </si>
  <si>
    <t>ΣΚΛΗΡΟΣ ΣΙΤΟΣ7923</t>
  </si>
  <si>
    <t>ΣΙΤΟΣ ΣΚΛΗΡΟΣ KIEVLANKA</t>
  </si>
  <si>
    <t>ΣΚΛΗΡΟΣ ΣΙΤΟΣ7924</t>
  </si>
  <si>
    <t>ΣΙΤΟΣ ΣΚΛΗΡΟΣ LATINO</t>
  </si>
  <si>
    <t>ΣΚΛΗΡΟΣ ΣΙΤΟΣ7925</t>
  </si>
  <si>
    <t>ΣΙΤΟΣ ΣΚΛΗΡΟΣ LESINA</t>
  </si>
  <si>
    <t>ΣΚΛΗΡΟΣ ΣΙΤΟΣ7926</t>
  </si>
  <si>
    <t>ΣΙΤΟΣ ΣΚΛΗΡΟΣ LEVANTE</t>
  </si>
  <si>
    <t>ΣΚΛΗΡΟΣ ΣΙΤΟΣ7927</t>
  </si>
  <si>
    <t>ΣΙΤΟΣ ΣΚΛΗΡΟΣ LIBECCIO</t>
  </si>
  <si>
    <t>ΣΚΛΗΡΟΣ ΣΙΤΟΣ7928</t>
  </si>
  <si>
    <t>ΣΙΤΟΣ ΣΚΛΗΡΟΣ MADURO</t>
  </si>
  <si>
    <t>ΣΚΛΗΡΟΣ ΣΙΤΟΣ7929</t>
  </si>
  <si>
    <t>ΣΙΤΟΣ ΣΚΛΗΡΟΣ MARCO</t>
  </si>
  <si>
    <t>ΣΚΛΗΡΟΣ ΣΙΤΟΣ7930</t>
  </si>
  <si>
    <t>ΣΙΤΟΣ ΣΚΛΗΡΟΣ MERIDIANO</t>
  </si>
  <si>
    <t>ΣΚΛΗΡΟΣ ΣΙΤΟΣ7931</t>
  </si>
  <si>
    <t>ΣΙΤΟΣ ΣΚΛΗΡΟΣ MONGIBELLO</t>
  </si>
  <si>
    <t>ΣΚΛΗΡΟΣ ΣΙΤΟΣ7932</t>
  </si>
  <si>
    <t>ΣΙΤΟΣ ΣΚΛΗΡΟΣ NEFER</t>
  </si>
  <si>
    <t>ΣΚΛΗΡΟΣ ΣΙΤΟΣ7933</t>
  </si>
  <si>
    <t>ΣΙΤΟΣ ΣΚΛΗΡΟΣ NEODUR</t>
  </si>
  <si>
    <t>ΣΚΛΗΡΟΣ ΣΙΤΟΣ7934</t>
  </si>
  <si>
    <t>ΣΙΤΟΣ ΣΚΛΗΡΟΣ NERONE</t>
  </si>
  <si>
    <t>ΣΚΛΗΡΟΣ ΣΙΤΟΣ7935</t>
  </si>
  <si>
    <t>ΣΙΤΟΣ ΣΚΛΗΡΟΣ NORBA</t>
  </si>
  <si>
    <t>ΣΚΛΗΡΟΣ ΣΙΤΟΣ7936</t>
  </si>
  <si>
    <t>ΣΙΤΟΣ ΣΚΛΗΡΟΣ NORMANNO</t>
  </si>
  <si>
    <t>ΣΚΛΗΡΟΣ ΣΙΤΟΣ7937</t>
  </si>
  <si>
    <t>ΣΙΤΟΣ ΣΚΛΗΡΟΣ OFANTO</t>
  </si>
  <si>
    <t>ΣΚΛΗΡΟΣ ΣΙΤΟΣ7938</t>
  </si>
  <si>
    <t>ΣΙΤΟΣ ΣΚΛΗΡΟΣ OROBEL</t>
  </si>
  <si>
    <t>ΣΚΛΗΡΟΣ ΣΙΤΟΣ7939</t>
  </si>
  <si>
    <t>ΣΙΤΟΣ ΣΚΛΗΡΟΣ PARSIFAL</t>
  </si>
  <si>
    <t>ΣΚΛΗΡΟΣ ΣΙΤΟΣ7940</t>
  </si>
  <si>
    <t>ΣΙΤΟΣ ΣΚΛΗΡΟΣ PEDRISCO</t>
  </si>
  <si>
    <t>ΣΚΛΗΡΟΣ ΣΙΤΟΣ7941</t>
  </si>
  <si>
    <t>ΣΙΤΟΣ ΣΚΛΗΡΟΣ PERSEO</t>
  </si>
  <si>
    <t>ΣΚΛΗΡΟΣ ΣΙΤΟΣ7942</t>
  </si>
  <si>
    <t>ΣΙΤΟΣ ΣΚΛΗΡΟΣ PIETRAFITTA</t>
  </si>
  <si>
    <t>ΣΚΛΗΡΟΣ ΣΙΤΟΣ7944</t>
  </si>
  <si>
    <t>ΣΙΤΟΣ ΣΚΛΗΡΟΣ PLATANI</t>
  </si>
  <si>
    <t>ΣΚΛΗΡΟΣ ΣΙΤΟΣ7945</t>
  </si>
  <si>
    <t>ΣΙΤΟΣ ΣΚΛΗΡΟΣ PLINIO</t>
  </si>
  <si>
    <t>ΣΚΛΗΡΟΣ ΣΙΤΟΣ7946</t>
  </si>
  <si>
    <t>ΣΙΤΟΣ ΣΚΛΗΡΟΣ PORTOBELLO</t>
  </si>
  <si>
    <t>ΣΚΛΗΡΟΣ ΣΙΤΟΣ7947</t>
  </si>
  <si>
    <t>ΣΙΤΟΣ ΣΚΛΗΡΟΣ PORTORICO</t>
  </si>
  <si>
    <t>ΣΚΛΗΡΟΣ ΣΙΤΟΣ7948</t>
  </si>
  <si>
    <t>ΣΙΤΟΣ ΣΚΛΗΡΟΣ PR22D40</t>
  </si>
  <si>
    <t>ΣΚΛΗΡΟΣ ΣΙΤΟΣ7949</t>
  </si>
  <si>
    <t>ΣΙΤΟΣ ΣΚΛΗΡΟΣ PR22D66</t>
  </si>
  <si>
    <t>ΣΚΛΗΡΟΣ ΣΙΤΟΣ7950</t>
  </si>
  <si>
    <t>ΣΙΤΟΣ ΣΚΛΗΡΟΣ PR22D78</t>
  </si>
  <si>
    <t>ΣΚΛΗΡΟΣ ΣΙΤΟΣ7951</t>
  </si>
  <si>
    <t>ΣΙΤΟΣ ΣΚΛΗΡΟΣ PRECO</t>
  </si>
  <si>
    <t>ΣΚΛΗΡΟΣ ΣΙΤΟΣ7952</t>
  </si>
  <si>
    <t>ΣΙΤΟΣ ΣΚΛΗΡΟΣ PROMETEO</t>
  </si>
  <si>
    <t>ΣΚΛΗΡΟΣ ΣΙΤΟΣ7953</t>
  </si>
  <si>
    <t>ΣΙΤΟΣ ΣΚΛΗΡΟΣ PROVENZAL</t>
  </si>
  <si>
    <t>ΣΚΛΗΡΟΣ ΣΙΤΟΣ7954</t>
  </si>
  <si>
    <t>ΣΙΤΟΣ ΣΚΛΗΡΟΣ QUADRATO</t>
  </si>
  <si>
    <t>ΣΚΛΗΡΟΣ ΣΙΤΟΣ7956</t>
  </si>
  <si>
    <t>ΣΙΤΟΣ ΣΚΛΗΡΟΣ RADIOSO</t>
  </si>
  <si>
    <t>ΣΚΛΗΡΟΣ ΣΙΤΟΣ7957</t>
  </si>
  <si>
    <t>ΣΙΤΟΣ ΣΚΛΗΡΟΣ RINGO</t>
  </si>
  <si>
    <t>ΣΚΛΗΡΟΣ ΣΙΤΟΣ7958</t>
  </si>
  <si>
    <t>ΣΙΤΟΣ ΣΚΛΗΡΟΣ RUSTICANO</t>
  </si>
  <si>
    <t>ΣΚΛΗΡΟΣ ΣΙΤΟΣ7959</t>
  </si>
  <si>
    <t>ΣΙΤΟΣ ΣΚΛΗΡΟΣ SAN CARLO</t>
  </si>
  <si>
    <t>ΣΚΛΗΡΟΣ ΣΙΤΟΣ7960</t>
  </si>
  <si>
    <t>ΣΙΤΟΣ ΣΚΛΗΡΟΣ SEMOLON</t>
  </si>
  <si>
    <t>ΣΚΛΗΡΟΣ ΣΙΤΟΣ7961</t>
  </si>
  <si>
    <t>ΣΙΤΟΣ ΣΚΛΗΡΟΣ SILUR</t>
  </si>
  <si>
    <t>ΣΚΛΗΡΟΣ ΣΙΤΟΣ7963</t>
  </si>
  <si>
    <t>ΣΙΤΟΣ ΣΚΛΗΡΟΣ SIMETO</t>
  </si>
  <si>
    <t>ΣΚΛΗΡΟΣ ΣΙΤΟΣ7964</t>
  </si>
  <si>
    <t>ΣΙΤΟΣ ΣΚΛΗΡΟΣ SOLEX</t>
  </si>
  <si>
    <t>ΣΚΛΗΡΟΣ ΣΙΤΟΣ7965</t>
  </si>
  <si>
    <t>ΣΙΤΟΣ ΣΚΛΗΡΟΣ SORRENTO</t>
  </si>
  <si>
    <t>ΣΚΛΗΡΟΣ ΣΙΤΟΣ7966</t>
  </si>
  <si>
    <t>ΣΙΤΟΣ ΣΚΛΗΡΟΣ SORRISO</t>
  </si>
  <si>
    <t>ΣΚΛΗΡΟΣ ΣΙΤΟΣ7967</t>
  </si>
  <si>
    <t>ΣΙΤΟΣ ΣΚΛΗΡΟΣ SVEVO</t>
  </si>
  <si>
    <t>ΣΚΛΗΡΟΣ ΣΙΤΟΣ7968</t>
  </si>
  <si>
    <t>ΣΙΤΟΣ ΣΚΛΗΡΟΣ TIZIANA</t>
  </si>
  <si>
    <t>ΣΚΛΗΡΟΣ ΣΙΤΟΣ7970</t>
  </si>
  <si>
    <t>ΣΙΤΟΣ ΣΚΛΗΡΟΣ TORREBIANCA</t>
  </si>
  <si>
    <t>ΣΚΛΗΡΟΣ ΣΙΤΟΣ7971</t>
  </si>
  <si>
    <t>ΣΙΤΟΣ ΣΚΛΗΡΟΣ TRESOR</t>
  </si>
  <si>
    <t>ΣΚΛΗΡΟΣ ΣΙΤΟΣ7972</t>
  </si>
  <si>
    <t>ΣΙΤΟΣ ΣΚΛΗΡΟΣ VALBELICE</t>
  </si>
  <si>
    <t>ΣΚΛΗΡΟΣ ΣΙΤΟΣ7974</t>
  </si>
  <si>
    <t>ΣΙΤΟΣ ΣΚΛΗΡΟΣ VALSALSO</t>
  </si>
  <si>
    <t>ΣΚΛΗΡΟΣ ΣΙΤΟΣ7977</t>
  </si>
  <si>
    <t>ΣΙΤΟΣ ΣΚΛΗΡΟΣ VARANO</t>
  </si>
  <si>
    <t>ΣΚΛΗΡΟΣ ΣΙΤΟΣ7978</t>
  </si>
  <si>
    <t>ΣΙΤΟΣ ΣΚΛΗΡΟΣ VENDETTA</t>
  </si>
  <si>
    <t>ΣΚΛΗΡΟΣ ΣΙΤΟΣ7979</t>
  </si>
  <si>
    <t>ΣΙΤΟΣ ΣΚΛΗΡΟΣ VENTO</t>
  </si>
  <si>
    <t>ΣΚΛΗΡΟΣ ΣΙΤΟΣ7980</t>
  </si>
  <si>
    <t>ΣΙΤΟΣ ΣΚΛΗΡΟΣ VERDI</t>
  </si>
  <si>
    <t>ΣΚΛΗΡΟΣ ΣΙΤΟΣ7981</t>
  </si>
  <si>
    <t>ΣΙΤΟΣ ΣΚΛΗΡΟΣ VESUVIO</t>
  </si>
  <si>
    <t>ΣΚΛΗΡΟΣ ΣΙΤΟΣ7983</t>
  </si>
  <si>
    <t>ΣΙΤΟΣ ΣΚΛΗΡΟΣ VETRODUR</t>
  </si>
  <si>
    <t>ΣΚΛΗΡΟΣ ΣΙΤΟΣ7984</t>
  </si>
  <si>
    <t>ΣΙΤΟΣ ΣΚΛΗΡΟΣ VETTORE</t>
  </si>
  <si>
    <t>ΣΚΛΗΡΟΣ ΣΙΤΟΣ7985</t>
  </si>
  <si>
    <t>ΣΙΤΟΣ ΣΚΛΗΡΟΣ VINCI</t>
  </si>
  <si>
    <t>ΣΚΛΗΡΟΣ ΣΙΤΟΣ7986</t>
  </si>
  <si>
    <t>ΣΙΤΟΣ ΣΚΛΗΡΟΣ VIRGILIO</t>
  </si>
  <si>
    <t>ΣΚΛΗΡΟΣ ΣΙΤΟΣ7987</t>
  </si>
  <si>
    <t>ΣΙΤΟΣ ΣΚΛΗΡΟΣ VITRICO</t>
  </si>
  <si>
    <t>ΣΚΛΗΡΟΣ ΣΙΤΟΣ7988</t>
  </si>
  <si>
    <t>ΣΙΤΟΣ ΣΚΛΗΡΟΣ VITROMAX</t>
  </si>
  <si>
    <t>ΣΚΛΗΡΟΣ ΣΙΤΟΣ7989</t>
  </si>
  <si>
    <t>ΣΙΤΟΣ ΣΚΛΗΡΟΣ VITRON</t>
  </si>
  <si>
    <t>ΣΚΛΗΡΟΣ ΣΙΤΟΣ7990</t>
  </si>
  <si>
    <t>ΣΙΤΟΣ ΣΚΛΗΡΟΣ ACALOU</t>
  </si>
  <si>
    <t>ΣΚΛΗΡΟΣ ΣΙΤΟΣ7991</t>
  </si>
  <si>
    <t>ΣΙΤΟΣ ΣΚΛΗΡΟΣ AGRIDUR</t>
  </si>
  <si>
    <t>ΣΚΛΗΡΟΣ ΣΙΤΟΣ7992</t>
  </si>
  <si>
    <t>ΣΙΤΟΣ ΣΚΛΗΡΟΣ ALLUR</t>
  </si>
  <si>
    <t>ΣΚΛΗΡΟΣ ΣΙΤΟΣ7993</t>
  </si>
  <si>
    <t>ΣΙΤΟΣ ΣΚΛΗΡΟΣ AMOSIS</t>
  </si>
  <si>
    <t>ΣΚΛΗΡΟΣ ΣΙΤΟΣ7994</t>
  </si>
  <si>
    <t>ΣΙΤΟΣ ΣΚΛΗΡΟΣ ARAMON</t>
  </si>
  <si>
    <t>ΣΚΛΗΡΟΣ ΣΙΤΟΣ7995</t>
  </si>
  <si>
    <t>ΣΙΤΟΣ ΣΚΛΗΡΟΣ ARCALIS</t>
  </si>
  <si>
    <t>ΣΚΛΗΡΟΣ ΣΙΤΟΣ7996</t>
  </si>
  <si>
    <t>ΣΙΤΟΣ ΣΚΛΗΡΟΣ ARGELES</t>
  </si>
  <si>
    <t>ΣΚΛΗΡΟΣ ΣΙΤΟΣ7997</t>
  </si>
  <si>
    <t>ΣΙΤΟΣ ΣΚΛΗΡΟΣ ARSTAR</t>
  </si>
  <si>
    <t>ΣΚΛΗΡΟΣ ΣΙΤΟΣ7998</t>
  </si>
  <si>
    <t>ΣΙΤΟΣ ΣΚΛΗΡΟΣ ARTIMON</t>
  </si>
  <si>
    <t>ΣΚΛΗΡΟΣ ΣΙΤΟΣ7999</t>
  </si>
  <si>
    <t>ΣΙΤΟΣ ΣΚΛΗΡΟΣ AUROC</t>
  </si>
  <si>
    <t>ΣΚΛΗΡΟΣ ΣΙΤΟΣ9000</t>
  </si>
  <si>
    <t>ΣΙΤΟΣ ΣΚΛΗΡΟΣ BARCAROL</t>
  </si>
  <si>
    <t>ΣΚΛΗΡΟΣ ΣΙΤΟΣ9001</t>
  </si>
  <si>
    <t>ΣΙΤΟΣ ΣΚΛΗΡΟΣ BIENSUR</t>
  </si>
  <si>
    <t>ΣΚΛΗΡΟΣ ΣΙΤΟΣ9002</t>
  </si>
  <si>
    <t>ΣΙΤΟΣ ΣΚΛΗΡΟΣ BYBLOS</t>
  </si>
  <si>
    <t>ΣΚΛΗΡΟΣ ΣΙΤΟΣ9003</t>
  </si>
  <si>
    <t>ΣΙΤΟΣ ΣΚΛΗΡΟΣ DURIAC</t>
  </si>
  <si>
    <t>ΣΚΛΗΡΟΣ ΣΙΤΟΣ9004</t>
  </si>
  <si>
    <t>ΣΙΤΟΣ ΣΚΛΗΡΟΣ EXCALIBUR</t>
  </si>
  <si>
    <t>ΣΚΛΗΡΟΣ ΣΙΤΟΣ9005</t>
  </si>
  <si>
    <t>ΣΙΤΟΣ ΣΚΛΗΡΟΣ EXELDUR</t>
  </si>
  <si>
    <t>ΣΚΛΗΡΟΣ ΣΙΤΟΣ9006</t>
  </si>
  <si>
    <t>ΣΙΤΟΣ ΣΚΛΗΡΟΣ GALADUR</t>
  </si>
  <si>
    <t>ΣΚΛΗΡΟΣ ΣΙΤΟΣ9007</t>
  </si>
  <si>
    <t>ΣΙΤΟΣ ΣΚΛΗΡΟΣ GARIC</t>
  </si>
  <si>
    <t>ΣΚΛΗΡΟΣ ΣΙΤΟΣ9008</t>
  </si>
  <si>
    <t>ΣΙΤΟΣ ΣΚΛΗΡΟΣ JANEIRO</t>
  </si>
  <si>
    <t>ΣΚΛΗΡΟΣ ΣΙΤΟΣ9009</t>
  </si>
  <si>
    <t>ΣΙΤΟΣ ΣΚΛΗΡΟΣ JOYAU</t>
  </si>
  <si>
    <t>ΣΚΛΗΡΟΣ ΣΙΤΟΣ9010</t>
  </si>
  <si>
    <t>ΣΙΤΟΣ ΣΚΛΗΡΟΣ KARUR</t>
  </si>
  <si>
    <t>ΣΚΛΗΡΟΣ ΣΙΤΟΣ9011</t>
  </si>
  <si>
    <t>ΣΙΤΟΣ ΣΚΛΗΡΟΣ LEMUR</t>
  </si>
  <si>
    <t>ΣΚΛΗΡΟΣ ΣΙΤΟΣ9012</t>
  </si>
  <si>
    <t>ΣΙΤΟΣ ΣΚΛΗΡΟΣ LLOYD</t>
  </si>
  <si>
    <t>ΣΚΛΗΡΟΣ ΣΙΤΟΣ9013</t>
  </si>
  <si>
    <t>ΣΙΤΟΣ ΣΚΛΗΡΟΣ MONTSEGUR</t>
  </si>
  <si>
    <t>ΣΚΛΗΡΟΣ ΣΙΤΟΣ9014</t>
  </si>
  <si>
    <t>ΣΙΤΟΣ ΣΚΛΗΡΟΣ NOVADUR</t>
  </si>
  <si>
    <t>ΣΚΛΗΡΟΣ ΣΙΤΟΣ9015</t>
  </si>
  <si>
    <t>ΣΙΤΟΣ ΣΚΛΗΡΟΣ ORJAUNE</t>
  </si>
  <si>
    <t>ΣΚΛΗΡΟΣ ΣΙΤΟΣ9016</t>
  </si>
  <si>
    <t>ΣΙΤΟΣ ΣΚΛΗΡΟΣ ORLU</t>
  </si>
  <si>
    <t>ΣΚΛΗΡΟΣ ΣΙΤΟΣ9017</t>
  </si>
  <si>
    <t>ΣΙΤΟΣ ΣΚΛΗΡΟΣ REAUMUR</t>
  </si>
  <si>
    <t>ΣΚΛΗΡΟΣ ΣΙΤΟΣ9019</t>
  </si>
  <si>
    <t>ΣΙΤΟΣ ΣΚΛΗΡΟΣ SACHEM</t>
  </si>
  <si>
    <t>ΣΚΛΗΡΟΣ ΣΙΤΟΣ9020</t>
  </si>
  <si>
    <t>ΣΙΤΟΣ ΣΚΛΗΡΟΣ SALSA</t>
  </si>
  <si>
    <t>ΣΚΛΗΡΟΣ ΣΙΤΟΣ9021</t>
  </si>
  <si>
    <t>ΣΙΤΟΣ ΣΚΛΗΡΟΣ VIVADUR</t>
  </si>
  <si>
    <t>ΣΚΛΗΡΟΣ ΣΙΤΟΣ9022</t>
  </si>
  <si>
    <t>ΣΙΤΟΣ ΣΚΛΗΡΟΣ ALACON</t>
  </si>
  <si>
    <t>ΣΚΛΗΡΟΣ ΣΙΤΟΣ9023</t>
  </si>
  <si>
    <t>ΣΙΤΟΣ ΣΚΛΗΡΟΣ ALDEANO</t>
  </si>
  <si>
    <t>ΣΚΛΗΡΟΣ ΣΙΤΟΣ9024</t>
  </si>
  <si>
    <t>ΣΙΤΟΣ ΣΚΛΗΡΟΣ ALDURA</t>
  </si>
  <si>
    <t>ΣΚΛΗΡΟΣ ΣΙΤΟΣ9025</t>
  </si>
  <si>
    <t>ΣΙΤΟΣ ΣΚΛΗΡΟΣ ALTAR-AOS</t>
  </si>
  <si>
    <t>ΣΚΛΗΡΟΣ ΣΙΤΟΣ9026</t>
  </si>
  <si>
    <t>ΣΙΤΟΣ ΣΚΛΗΡΟΣ AMILCAR</t>
  </si>
  <si>
    <t>ΣΚΛΗΡΟΣ ΣΙΤΟΣ9027</t>
  </si>
  <si>
    <t>ΣΙΤΟΣ ΣΚΛΗΡΟΣ ANIBAL</t>
  </si>
  <si>
    <t>ΣΚΛΗΡΟΣ ΣΙΤΟΣ9028</t>
  </si>
  <si>
    <t>ΣΙΤΟΣ ΣΚΛΗΡΟΣ ANTON</t>
  </si>
  <si>
    <t>ΣΚΛΗΡΟΣ ΣΙΤΟΣ9029</t>
  </si>
  <si>
    <t>ΣΙΤΟΣ ΣΚΛΗΡΟΣ ARACENA</t>
  </si>
  <si>
    <t>ΣΚΛΗΡΟΣ ΣΙΤΟΣ9030</t>
  </si>
  <si>
    <t>ΣΙΤΟΣ ΣΚΛΗΡΟΣ ARCODURO</t>
  </si>
  <si>
    <t>ΣΚΛΗΡΟΣ ΣΙΤΟΣ9031</t>
  </si>
  <si>
    <t>ΣΙΤΟΣ ΣΚΛΗΡΟΣ ARGOS</t>
  </si>
  <si>
    <t>ΣΚΛΗΡΟΣ ΣΙΤΟΣ9032</t>
  </si>
  <si>
    <t>ΣΙΤΟΣ ΣΚΛΗΡΟΣ ARIESOL</t>
  </si>
  <si>
    <t>ΣΚΛΗΡΟΣ ΣΙΤΟΣ9033</t>
  </si>
  <si>
    <t>ΣΙΤΟΣ ΣΚΛΗΡΟΣ ARONDE</t>
  </si>
  <si>
    <t>ΣΚΛΗΡΟΣ ΣΙΤΟΣ9034</t>
  </si>
  <si>
    <t>ΣΙΤΟΣ ΣΚΛΗΡΟΣ ARQUERO</t>
  </si>
  <si>
    <t>ΣΚΛΗΡΟΣ ΣΙΤΟΣ9035</t>
  </si>
  <si>
    <t>ΣΙΤΟΣ ΣΚΛΗΡΟΣ ARTENA</t>
  </si>
  <si>
    <t>ΣΚΛΗΡΟΣ ΣΙΤΟΣ9036</t>
  </si>
  <si>
    <t>ΣΙΤΟΣ ΣΚΛΗΡΟΣ ASDRUBAL</t>
  </si>
  <si>
    <t>ΣΚΛΗΡΟΣ ΣΙΤΟΣ9037</t>
  </si>
  <si>
    <t>ΣΙΤΟΣ ΣΚΛΗΡΟΣ ASTIGI</t>
  </si>
  <si>
    <t>ΣΚΛΗΡΟΣ ΣΙΤΟΣ9038</t>
  </si>
  <si>
    <t>ΣΙΤΟΣ ΣΚΛΗΡΟΣ ASTRODUR</t>
  </si>
  <si>
    <t>ΣΚΛΗΡΟΣ ΣΙΤΟΣ9039</t>
  </si>
  <si>
    <t>ΣΙΤΟΣ ΣΚΛΗΡΟΣ ATTILA</t>
  </si>
  <si>
    <t>ΣΚΛΗΡΟΣ ΣΙΤΟΣ9040</t>
  </si>
  <si>
    <t>ΣΙΤΟΣ ΣΚΛΗΡΟΣ AVERROES</t>
  </si>
  <si>
    <t>ΣΚΛΗΡΟΣ ΣΙΤΟΣ9041</t>
  </si>
  <si>
    <t>ΣΙΤΟΣ ΣΚΛΗΡΟΣ BOABDIL</t>
  </si>
  <si>
    <t>ΣΚΛΗΡΟΣ ΣΙΤΟΣ9042</t>
  </si>
  <si>
    <t>ΣΙΤΟΣ ΣΚΛΗΡΟΣ BOLENGA</t>
  </si>
  <si>
    <t>ΣΚΛΗΡΟΣ ΣΙΤΟΣ9043</t>
  </si>
  <si>
    <t>ΣΙΤΟΣ ΣΚΛΗΡΟΣ BOLIDO</t>
  </si>
  <si>
    <t>ΣΚΛΗΡΟΣ ΣΙΤΟΣ9044</t>
  </si>
  <si>
    <t>ΣΙΤΟΣ ΣΚΛΗΡΟΣ BOMBASI</t>
  </si>
  <si>
    <t>ΣΚΛΗΡΟΣ ΣΙΤΟΣ9045</t>
  </si>
  <si>
    <t>ΣΙΤΟΣ ΣΚΛΗΡΟΣ BONZO</t>
  </si>
  <si>
    <t>ΣΚΛΗΡΟΣ ΣΙΤΟΣ9046</t>
  </si>
  <si>
    <t>ΣΙΤΟΣ ΣΚΛΗΡΟΣ BORGIA</t>
  </si>
  <si>
    <t>ΣΚΛΗΡΟΣ ΣΙΤΟΣ9047</t>
  </si>
  <si>
    <t>ΣΙΤΟΣ ΣΚΛΗΡΟΣ BORLI</t>
  </si>
  <si>
    <t>ΣΚΛΗΡΟΣ ΣΙΤΟΣ9048</t>
  </si>
  <si>
    <t>ΣΙΤΟΣ ΣΚΛΗΡΟΣ BRAVADUR</t>
  </si>
  <si>
    <t>ΣΚΛΗΡΟΣ ΣΙΤΟΣ9049</t>
  </si>
  <si>
    <t>ΣΙΤΟΣ ΣΚΛΗΡΟΣ BURGOS</t>
  </si>
  <si>
    <t>ΣΚΛΗΡΟΣ ΣΙΤΟΣ9050</t>
  </si>
  <si>
    <t>ΣΙΤΟΣ ΣΚΛΗΡΟΣ CAMACHO</t>
  </si>
  <si>
    <t>ΣΚΛΗΡΟΣ ΣΙΤΟΣ9051</t>
  </si>
  <si>
    <t>ΣΙΤΟΣ ΣΚΛΗΡΟΣ CANYON</t>
  </si>
  <si>
    <t>ΣΚΛΗΡΟΣ ΣΙΤΟΣ9052</t>
  </si>
  <si>
    <t>ΣΙΤΟΣ ΣΚΛΗΡΟΣ CARPIO</t>
  </si>
  <si>
    <t>ΣΚΛΗΡΟΣ ΣΙΤΟΣ9053</t>
  </si>
  <si>
    <t>ΣΙΤΟΣ ΣΚΛΗΡΟΣ CARTAGO</t>
  </si>
  <si>
    <t>ΣΚΛΗΡΟΣ ΣΙΤΟΣ9054</t>
  </si>
  <si>
    <t>ΣΙΤΟΣ ΣΚΛΗΡΟΣ CIBELES</t>
  </si>
  <si>
    <t>ΣΚΛΗΡΟΣ ΣΙΤΟΣ9055</t>
  </si>
  <si>
    <t>ΣΙΤΟΣ ΣΚΛΗΡΟΣ CLAROFINO</t>
  </si>
  <si>
    <t>ΣΚΛΗΡΟΣ ΣΙΤΟΣ9056</t>
  </si>
  <si>
    <t>ΣΙΤΟΣ ΣΚΛΗΡΟΣ CHAGO</t>
  </si>
  <si>
    <t>ΣΚΛΗΡΟΣ ΣΙΤΟΣ9057</t>
  </si>
  <si>
    <t>ΣΙΤΟΣ ΣΚΛΗΡΟΣ D-2536</t>
  </si>
  <si>
    <t>ΣΚΛΗΡΟΣ ΣΙΤΟΣ9058</t>
  </si>
  <si>
    <t>ΣΙΤΟΣ ΣΚΛΗΡΟΣ D-2663</t>
  </si>
  <si>
    <t>ΣΚΛΗΡΟΣ ΣΙΤΟΣ9059</t>
  </si>
  <si>
    <t>ΣΙΤΟΣ ΣΚΛΗΡΟΣ D-3816</t>
  </si>
  <si>
    <t>ΣΚΛΗΡΟΣ ΣΙΤΟΣ9060</t>
  </si>
  <si>
    <t>ΣΙΤΟΣ ΣΚΛΗΡΟΣ D-5262</t>
  </si>
  <si>
    <t>ΣΚΛΗΡΟΣ ΣΙΤΟΣ9061</t>
  </si>
  <si>
    <t>ΣΙΤΟΣ ΣΚΛΗΡΟΣ DEBANO</t>
  </si>
  <si>
    <t>ΣΚΛΗΡΟΣ ΣΙΤΟΣ9062</t>
  </si>
  <si>
    <t>ΣΙΤΟΣ ΣΚΛΗΡΟΣ DELTON</t>
  </si>
  <si>
    <t>ΣΚΛΗΡΟΣ ΣΙΤΟΣ9063</t>
  </si>
  <si>
    <t>ΣΙΤΟΣ ΣΚΛΗΡΟΣ DON DURO</t>
  </si>
  <si>
    <t>ΣΚΛΗΡΟΣ ΣΙΤΟΣ9064</t>
  </si>
  <si>
    <t>ΣΙΤΟΣ ΣΚΛΗΡΟΣ DON FRANCISCO</t>
  </si>
  <si>
    <t>ΣΚΛΗΡΟΣ ΣΙΤΟΣ9065</t>
  </si>
  <si>
    <t>ΣΙΤΟΣ ΣΚΛΗΡΟΣ DON JOSE</t>
  </si>
  <si>
    <t>ΣΚΛΗΡΟΣ ΣΙΤΟΣ9066</t>
  </si>
  <si>
    <t>ΣΙΤΟΣ ΣΚΛΗΡΟΣ DON MANUEL</t>
  </si>
  <si>
    <t>ΣΚΛΗΡΟΣ ΣΙΤΟΣ9067</t>
  </si>
  <si>
    <t>ΣΙΤΟΣ ΣΚΛΗΡΟΣ DON PEDRO</t>
  </si>
  <si>
    <t>ΣΚΛΗΡΟΣ ΣΙΤΟΣ9068</t>
  </si>
  <si>
    <t>ΣΙΤΟΣ ΣΚΛΗΡΟΣ DON RAFAEL</t>
  </si>
  <si>
    <t>ΣΚΛΗΡΟΣ ΣΙΤΟΣ9069</t>
  </si>
  <si>
    <t>ΣΙΤΟΣ ΣΚΛΗΡΟΣ DON SEBASTIAN</t>
  </si>
  <si>
    <t>ΣΚΛΗΡΟΣ ΣΙΤΟΣ9070</t>
  </si>
  <si>
    <t>ΣΙΤΟΣ ΣΚΛΗΡΟΣ DORONDON</t>
  </si>
  <si>
    <t>ΣΚΛΗΡΟΣ ΣΙΤΟΣ9071</t>
  </si>
  <si>
    <t>ΣΙΤΟΣ ΣΚΛΗΡΟΣ DURATON</t>
  </si>
  <si>
    <t>ΣΚΛΗΡΟΣ ΣΙΤΟΣ9072</t>
  </si>
  <si>
    <t>ΣΙΤΟΣ ΣΚΛΗΡΟΣ DURCAL</t>
  </si>
  <si>
    <t>ΣΚΛΗΡΟΣ ΣΙΤΟΣ9073</t>
  </si>
  <si>
    <t>ΣΙΤΟΣ ΣΚΛΗΡΟΣ DUROI</t>
  </si>
  <si>
    <t>ΣΚΛΗΡΟΣ ΣΙΤΟΣ9074</t>
  </si>
  <si>
    <t>ΣΙΤΟΣ ΣΚΛΗΡΟΣ DURTRES</t>
  </si>
  <si>
    <t>ΣΚΛΗΡΟΣ ΣΙΤΟΣ9075</t>
  </si>
  <si>
    <t>ΣΙΤΟΣ ΣΚΛΗΡΟΣ EPIDUR</t>
  </si>
  <si>
    <t>ΣΚΛΗΡΟΣ ΣΙΤΟΣ9076</t>
  </si>
  <si>
    <t>ΣΙΤΟΣ ΣΚΛΗΡΟΣ ESTRIBO</t>
  </si>
  <si>
    <t>ΣΚΛΗΡΟΣ ΣΙΤΟΣ9077</t>
  </si>
  <si>
    <t>ΣΙΤΟΣ ΣΚΛΗΡΟΣ EXTREMENO</t>
  </si>
  <si>
    <t>ΣΚΛΗΡΟΣ ΣΙΤΟΣ9078</t>
  </si>
  <si>
    <t>ΣΙΤΟΣ ΣΚΛΗΡΟΣ FABIO</t>
  </si>
  <si>
    <t>ΣΚΛΗΡΟΣ ΣΙΤΟΣ9079</t>
  </si>
  <si>
    <t>ΣΙΤΟΣ ΣΚΛΗΡΟΣ GA 0115</t>
  </si>
  <si>
    <t>ΣΚΛΗΡΟΣ ΣΙΤΟΣ9080</t>
  </si>
  <si>
    <t>ΣΙΤΟΣ ΣΚΛΗΡΟΣ GALLARETA</t>
  </si>
  <si>
    <t>ΣΚΛΗΡΟΣ ΣΙΤΟΣ9081</t>
  </si>
  <si>
    <t>ΣΙΤΟΣ ΣΚΛΗΡΟΣ GARFIO</t>
  </si>
  <si>
    <t>ΣΚΛΗΡΟΣ ΣΙΤΟΣ9082</t>
  </si>
  <si>
    <t>ΣΙΤΟΣ ΣΚΛΗΡΟΣ HELIDUR</t>
  </si>
  <si>
    <t>ΣΚΛΗΡΟΣ ΣΙΤΟΣ9083</t>
  </si>
  <si>
    <t>ΣΙΤΟΣ ΣΚΛΗΡΟΣ IBERICO</t>
  </si>
  <si>
    <t>ΣΚΛΗΡΟΣ ΣΙΤΟΣ9084</t>
  </si>
  <si>
    <t>ΣΙΤΟΣ ΣΚΛΗΡΟΣ ILLORA</t>
  </si>
  <si>
    <t>ΣΚΛΗΡΟΣ ΣΙΤΟΣ9085</t>
  </si>
  <si>
    <t>ΣΙΤΟΣ ΣΚΛΗΡΟΣ JABATO</t>
  </si>
  <si>
    <t>ΣΚΛΗΡΟΣ ΣΙΤΟΣ9086</t>
  </si>
  <si>
    <t>ΣΙΤΟΣ ΣΚΛΗΡΟΣ LLANOS</t>
  </si>
  <si>
    <t>ΣΚΛΗΡΟΣ ΣΙΤΟΣ9087</t>
  </si>
  <si>
    <t>ΣΙΤΟΣ ΣΚΛΗΡΟΣ MELLARIA</t>
  </si>
  <si>
    <t>ΣΚΛΗΡΟΣ ΣΙΤΟΣ9088</t>
  </si>
  <si>
    <t>ΣΙΤΟΣ ΣΚΛΗΡΟΣ MEXA</t>
  </si>
  <si>
    <t>ΣΚΛΗΡΟΣ ΣΙΤΟΣ9099</t>
  </si>
  <si>
    <t>ΣΙΤΟΣ ΣΚΛΗΡΟΣ MOLINO</t>
  </si>
  <si>
    <t>ΣΚΛΗΡΟΣ ΣΙΤΟΣ9100</t>
  </si>
  <si>
    <t>ΣΙΤΟΣ ΣΚΛΗΡΟΣ MON 0101</t>
  </si>
  <si>
    <t>ΣΚΛΗΡΟΣ ΣΙΤΟΣ9101</t>
  </si>
  <si>
    <t>ΣΙΤΟΣ ΣΚΛΗΡΟΣ MONCAYO</t>
  </si>
  <si>
    <t>ΣΚΛΗΡΟΣ ΣΙΤΟΣ9102</t>
  </si>
  <si>
    <t>ΣΙΤΟΣ ΣΚΛΗΡΟΣ MUNDIAL</t>
  </si>
  <si>
    <t>ΣΚΛΗΡΟΣ ΣΙΤΟΣ9103</t>
  </si>
  <si>
    <t>ΣΙΤΟΣ ΣΚΛΗΡΟΣ NAVAJO</t>
  </si>
  <si>
    <t>ΣΚΛΗΡΟΣ ΣΙΤΟΣ9104</t>
  </si>
  <si>
    <t>ΣΙΤΟΣ ΣΚΛΗΡΟΣ NUNO (ΣΥΝΩΝΥΜΟ YAVAROS C 79)</t>
  </si>
  <si>
    <t>ΣΚΛΗΡΟΣ ΣΙΤΟΣ9105</t>
  </si>
  <si>
    <t>ΣΙΤΟΣ ΣΚΛΗΡΟΣ PARAMO TD 330</t>
  </si>
  <si>
    <t>ΣΚΛΗΡΟΣ ΣΙΤΟΣ9106</t>
  </si>
  <si>
    <t>ΣΙΤΟΣ ΣΚΛΗΡΟΣ PASTOR</t>
  </si>
  <si>
    <t>ΣΚΛΗΡΟΣ ΣΙΤΟΣ9107</t>
  </si>
  <si>
    <t>ΣΙΤΟΣ ΣΚΛΗΡΟΣ PEDROSO</t>
  </si>
  <si>
    <t>ΣΚΛΗΡΟΣ ΣΙΤΟΣ9108</t>
  </si>
  <si>
    <t>ΣΙΤΟΣ ΣΚΛΗΡΟΣ PELAYO (AG CT 32)</t>
  </si>
  <si>
    <t>ΣΚΛΗΡΟΣ ΣΙΤΟΣ9109</t>
  </si>
  <si>
    <t>ΣΙΤΟΣ ΣΚΛΗΡΟΣ PENAFIEL</t>
  </si>
  <si>
    <t>ΣΚΛΗΡΟΣ ΣΙΤΟΣ9110</t>
  </si>
  <si>
    <t>ΣΙΤΟΣ ΣΚΛΗΡΟΣ PRYOR</t>
  </si>
  <si>
    <t>ΣΚΛΗΡΟΣ ΣΙΤΟΣ9111</t>
  </si>
  <si>
    <t>ΣΙΤΟΣ ΣΚΛΗΡΟΣ QUIJANO</t>
  </si>
  <si>
    <t>ΣΚΛΗΡΟΣ ΣΙΤΟΣ9112</t>
  </si>
  <si>
    <t>ΣΙΤΟΣ ΣΚΛΗΡΟΣ REGALLO</t>
  </si>
  <si>
    <t>ΣΚΛΗΡΟΣ ΣΙΤΟΣ9113</t>
  </si>
  <si>
    <t>ΣΙΤΟΣ ΣΚΛΗΡΟΣ RIO ZUJAR</t>
  </si>
  <si>
    <t>ΣΚΛΗΡΟΣ ΣΙΤΟΣ9114</t>
  </si>
  <si>
    <t>ΣΙΤΟΣ ΣΚΛΗΡΟΣ ROQUENO</t>
  </si>
  <si>
    <t>ΣΚΛΗΡΟΣ ΣΙΤΟΣ9115</t>
  </si>
  <si>
    <t>ΣΙΤΟΣ ΣΚΛΗΡΟΣ SAJEL</t>
  </si>
  <si>
    <t>ΣΚΛΗΡΟΣ ΣΙΤΟΣ9116</t>
  </si>
  <si>
    <t>ΣΙΤΟΣ ΣΚΛΗΡΟΣ SENADUR</t>
  </si>
  <si>
    <t>ΣΚΛΗΡΟΣ ΣΙΤΟΣ9117</t>
  </si>
  <si>
    <t>ΣΙΤΟΣ ΣΚΛΗΡΟΣ SENECA</t>
  </si>
  <si>
    <t>ΣΚΛΗΡΟΣ ΣΙΤΟΣ9118</t>
  </si>
  <si>
    <t>ΣΙΤΟΣ ΣΚΛΗΡΟΣ SOLDUR</t>
  </si>
  <si>
    <t>ΣΚΛΗΡΟΣ ΣΙΤΟΣ9119</t>
  </si>
  <si>
    <t>ΣΙΤΟΣ ΣΚΛΗΡΟΣ SOTENO</t>
  </si>
  <si>
    <t>ΣΚΛΗΡΟΣ ΣΙΤΟΣ9120</t>
  </si>
  <si>
    <t>ΣΙΤΟΣ ΣΚΛΗΡΟΣ SULA</t>
  </si>
  <si>
    <t>ΣΚΛΗΡΟΣ ΣΙΤΟΣ9121</t>
  </si>
  <si>
    <t>ΣΙΤΟΣ ΣΚΛΗΡΟΣ TANGO</t>
  </si>
  <si>
    <t>ΣΚΛΗΡΟΣ ΣΙΤΟΣ9122</t>
  </si>
  <si>
    <t>ΣΙΤΟΣ ΣΚΛΗΡΟΣ TDR 97 SC</t>
  </si>
  <si>
    <t>ΣΚΛΗΡΟΣ ΣΙΤΟΣ9123</t>
  </si>
  <si>
    <t>ΣΙΤΟΣ ΣΚΛΗΡΟΣ TIEDRA</t>
  </si>
  <si>
    <t>ΣΚΛΗΡΟΣ ΣΙΤΟΣ9124</t>
  </si>
  <si>
    <t>ΣΙΤΟΣ ΣΚΛΗΡΟΣ TITO NICK</t>
  </si>
  <si>
    <t>ΣΚΛΗΡΟΣ ΣΙΤΟΣ9125</t>
  </si>
  <si>
    <t>ΣΙΤΟΣ ΣΚΛΗΡΟΣ TONO</t>
  </si>
  <si>
    <t>ΣΚΛΗΡΟΣ ΣΙΤΟΣ9126</t>
  </si>
  <si>
    <t>ΣΙΤΟΣ ΣΚΛΗΡΟΣ VALIRA</t>
  </si>
  <si>
    <t>ΣΚΛΗΡΟΣ ΣΙΤΟΣ9127</t>
  </si>
  <si>
    <t>ΣΙΤΟΣ ΣΚΛΗΡΟΣ AMBRODUR</t>
  </si>
  <si>
    <t>ΣΚΛΗΡΟΣ ΣΙΤΟΣ9128</t>
  </si>
  <si>
    <t>ΣΙΤΟΣ ΣΚΛΗΡΟΣ BELENO</t>
  </si>
  <si>
    <t>ΣΚΛΗΡΟΣ ΣΙΤΟΣ9130</t>
  </si>
  <si>
    <t>ΣΙΤΟΣ ΣΚΛΗΡΟΣ GRECALE</t>
  </si>
  <si>
    <t>ΣΚΛΗΡΟΣ ΣΙΤΟΣ9131</t>
  </si>
  <si>
    <t>ΣΙΤΟΣ ΣΚΛΗΡΟΣ ICARO</t>
  </si>
  <si>
    <t>ΣΚΛΗΡΟΣ ΣΙΤΟΣ9132</t>
  </si>
  <si>
    <t>ΣΙΤΟΣ ΣΚΛΗΡΟΣ ULISSE</t>
  </si>
  <si>
    <t>ΣΚΛΗΡΟΣ ΣΙΤΟΣ9133</t>
  </si>
  <si>
    <t>ΣΙΤΟΣ ΣΚΛΗΡΟΣ AGAMEMNON</t>
  </si>
  <si>
    <t>ΣΚΛΗΡΟΣ ΣΙΤΟΣ9134</t>
  </si>
  <si>
    <t>ΣΙΤΟΣ ΣΚΛΗΡΟΣ ALLESSANDRO</t>
  </si>
  <si>
    <t>ΣΚΛΗΡΟΣ ΣΙΤΟΣ9135</t>
  </si>
  <si>
    <t>ΣΙΤΟΣ ΣΚΛΗΡΟΣ CONNIGOLD</t>
  </si>
  <si>
    <t>ΣΚΛΗΡΟΣ ΣΙΤΟΣ9136</t>
  </si>
  <si>
    <t>ΣΙΤΟΣ ΣΚΛΗΡΟΣ PTOLEMEOS</t>
  </si>
  <si>
    <t>ΣΚΛΗΡΟΣ ΣΙΤΟΣ9137</t>
  </si>
  <si>
    <t>ΣΙΤΟΣ ΣΚΛΗΡΟΣ SUPERDUR</t>
  </si>
  <si>
    <t>ΣΚΛΗΡΟΣ ΣΙΤΟΣ9138</t>
  </si>
  <si>
    <t>ΣΙΤΟΣ ΣΚΛΗΡΟΣ ARDENTE</t>
  </si>
  <si>
    <t>ΣΚΛΗΡΟΣ ΣΙΤΟΣ9139</t>
  </si>
  <si>
    <t>ΣΙΤΟΣ ΣΚΛΗΡΟΣ FLORADUR</t>
  </si>
  <si>
    <t>ΣΚΛΗΡΟΣ ΣΙΤΟΣ9141</t>
  </si>
  <si>
    <t>ΣΙΤΟΣ ΣΚΛΗΡΟΣ IMHOTEP</t>
  </si>
  <si>
    <t>ΣΚΛΗΡΟΣ ΣΙΤΟΣ9142</t>
  </si>
  <si>
    <t>ΣΙΤΟΣ ΣΚΛΗΡΟΣ NEOLATINO</t>
  </si>
  <si>
    <t>ΣΚΛΗΡΟΣ ΣΙΤΟΣ9143</t>
  </si>
  <si>
    <t>ΣΙΤΟΣ ΣΚΛΗΡΟΣ ROSADUR</t>
  </si>
  <si>
    <t>ΣΚΛΗΡΟΣ ΣΙΤΟΣ9144</t>
  </si>
  <si>
    <t>ΣΙΤΟΣ ΣΚΛΗΡΟΣ SARAGOLLA</t>
  </si>
  <si>
    <t>ΣΚΛΗΡΟΣ ΣΙΤΟΣ9145</t>
  </si>
  <si>
    <t>ΣΙΤΟΣ ΣΚΛΗΡΟΣ SIMADUR</t>
  </si>
  <si>
    <t>ΣΚΛΗΡΟΣ ΣΙΤΟΣ9146</t>
  </si>
  <si>
    <t>ΣΚΛΗΡΟΣ ΣΙΤΟΣ9147</t>
  </si>
  <si>
    <t>ΣΙΤΟΣ ΣΚΛΗΡΟΣ MAESTRALE</t>
  </si>
  <si>
    <t>ΣΚΛΗΡΟΣ ΣΙΤΟΣ9148</t>
  </si>
  <si>
    <t>ΣΙΤΟΣ ΣΚΛΗΡΟΣ CHRYSSODUR</t>
  </si>
  <si>
    <t>ΣΚΛΗΡΟΣ ΣΙΤΟΣ9149</t>
  </si>
  <si>
    <t>ΣΙΤΟΣ ΣΚΛΗΡΟΣ CATERVO</t>
  </si>
  <si>
    <t>ΣΚΛΗΡΟΣ ΣΙΤΟΣ9151</t>
  </si>
  <si>
    <t>ΣΙΤΟΣ ΣΚΛΗΡΟΣ NEOKRONOS</t>
  </si>
  <si>
    <t>ΣΚΛΗΡΟΣ ΣΙΤΟΣ9152</t>
  </si>
  <si>
    <t>ΣΙΤΟΣ ΣΚΛΗΡΟΣ KANAKIS</t>
  </si>
  <si>
    <t>ΣΚΛΗΡΟΣ ΣΙΤΟΣ9193</t>
  </si>
  <si>
    <t>ΣΙΤΟΣ ΣΚΛΗΡΟΣ ACHILLE</t>
  </si>
  <si>
    <t>ΣΚΛΗΡΟΣ ΣΙΤΟΣ9194</t>
  </si>
  <si>
    <t>ΣΙΤΟΣ ΣΚΛΗΡΟΣ ΕΚΑΒΗ</t>
  </si>
  <si>
    <t>ΣΚΛΗΡΟΣ ΣΙΤΟΣ9195</t>
  </si>
  <si>
    <t>ΣΙΤΟΣ ΣΚΛΗΡΟΣ ΜΑΥΡΑΓΑΝΙ</t>
  </si>
  <si>
    <t>ΣΚΛΗΡΟΣ ΣΙΤΟΣ9400</t>
  </si>
  <si>
    <t>ΣΙΤΟΣ ΣΚΛΗΡΟΣ ΚΟΚΚΙΝΑΘΕΡΙ</t>
  </si>
  <si>
    <t>ΣΚΛΗΡΟΣ ΣΙΤΟΣ9401</t>
  </si>
  <si>
    <t>ΣΙΤΟΣ ΣΚΛΗΡΟΣ ΜΑΥΡΑΘΕΡΙ</t>
  </si>
  <si>
    <t>ΣΚΛΗΡΟΣ ΣΙΤΟΣ9402</t>
  </si>
  <si>
    <t>ΣΙΤΟΣ ΣΚΛΗΡΟΣ ΑΣΠΡΑΘΕΡΙ</t>
  </si>
  <si>
    <t>ΣΚΛΗΡΟΣ ΣΙΤΟΣ9403</t>
  </si>
  <si>
    <t>ΣΙΤΟΣ ΣΚΛΗΡΟΣ ΚΟΚΚΙΝΟΣΤΑΡΟ</t>
  </si>
  <si>
    <t>ΣΚΛΗΡΟΣ ΣΙΤΟΣ9404</t>
  </si>
  <si>
    <t>ΣΙΤΟΣ ΣΚΛΗΡΟΣ ΑΣΠΡΟΣΤΑΡΟ</t>
  </si>
  <si>
    <t>ΣΚΛΗΡΟΣ ΣΙΤΟΣ9405</t>
  </si>
  <si>
    <t>ΣΙΤΟΣ ΣΚΛΗΡΟΣ ΑΣΠΡΟΣΙΤΙ</t>
  </si>
  <si>
    <t>ΣΚΛΗΡΟΣ ΣΙΤΟΣ9406</t>
  </si>
  <si>
    <t>ΣΙΤΟΣ ΣΚΛΗΡΟΣ ΔΙΜΗΝΙ</t>
  </si>
  <si>
    <t>ΣΚΛΗΡΟΣ ΣΙΤΟΣ9407</t>
  </si>
  <si>
    <t>ΣΙΤΟΣ ΣΚΛΗΡΟΣ ΤΡΙΜΗΝΙ</t>
  </si>
  <si>
    <t>ΣΚΛΗΡΟΣ ΣΙΤΟΣ9408</t>
  </si>
  <si>
    <t>ΣΙΤΟΣ ΣΚΛΗΡΟΣ ΝΤΕΒΕΣ</t>
  </si>
  <si>
    <t>ΣΚΛΗΡΟΣ ΣΙΤΟΣ9409</t>
  </si>
  <si>
    <t>ΣΙΤΟΣ ΣΚΛΗΡΟΣ ΕΡΕΤΡΕΙΑ</t>
  </si>
  <si>
    <t>ΣΚΛΗΡΟΣ ΣΙΤΟΣ9410</t>
  </si>
  <si>
    <t>ΣΙΤΟΣ ΣΚΛΗΡΟΣ ΦΡΑΓΚΟΣΙΤΑΡΟ</t>
  </si>
  <si>
    <t>ΣΚΛΗΡΟΣ ΣΙΤΟΣ9411</t>
  </si>
  <si>
    <t>ΣΙΤΟΣ ΣΚΛΗΡΟΣ ΓΡΕΜΕΝΙΑΣ</t>
  </si>
  <si>
    <t>ΣΚΛΗΡΟΣ ΣΙΤΟΣ9412</t>
  </si>
  <si>
    <t>ΣΙΤΟΣ ΣΚΛΗΡΟΣ ΑΡΑΠΑΚΙ</t>
  </si>
  <si>
    <t>ΣΚΛΗΡΟΣ ΣΙΤΟΣ9413</t>
  </si>
  <si>
    <t>ΣΙΤΟΣ ΣΚΛΗΡΟΣ ΤΣΙΠΟΥΡΑ</t>
  </si>
  <si>
    <t>ΣΚΛΗΡΟΣ ΣΙΤΟΣ9414</t>
  </si>
  <si>
    <t>ΣΙΤΟΣ ΣΚΛΗΡΟΣ ΚΟΝΤΟΥΖΙ</t>
  </si>
  <si>
    <t>ΣΚΛΗΡΟΣ ΣΙΤΟΣ9415</t>
  </si>
  <si>
    <t>ΣΙΤΟΣ ΣΚΛΗΡΟΣ ΗΛΕΚΤΡΑ</t>
  </si>
  <si>
    <t>ΣΚΛΗΡΟΣ ΣΙΤΟΣ9416</t>
  </si>
  <si>
    <t>ΣΙΤΟΣ ΣΚΛΗΡΟΣ ΛΗΜΝΟΣ</t>
  </si>
  <si>
    <t>ΣΚΛΗΡΟΣ ΣΙΤΟΣ9417</t>
  </si>
  <si>
    <t>ΣΙΤΟΣ ΣΚΛΗΡΟΣ CINCINNATO</t>
  </si>
  <si>
    <t>ΣΚΛΗΡΟΣ ΣΙΤΟΣ9418</t>
  </si>
  <si>
    <t>ΣΙΤΟΣ ΣΚΛΗΡΟΣ DURAMAR</t>
  </si>
  <si>
    <t>ΣΚΛΗΡΟΣ ΣΙΤΟΣ99153</t>
  </si>
  <si>
    <t>ΣΙΤΟΣ ΣΚΛΗΡΟΣ Κ26</t>
  </si>
  <si>
    <t>ΣΚΛΗΡΟΣ ΣΙΤΟΣ99154</t>
  </si>
  <si>
    <t>ΣΙΤΟΣ ΣΚΛΗΡΟΣ SCULPTUR</t>
  </si>
  <si>
    <t>ΣΚΛΗΡΟΣ ΣΙΤΟΣ99155</t>
  </si>
  <si>
    <t>ΣΙΤΟΣ ΣΚΛΗΡΟΣ ATHINA</t>
  </si>
  <si>
    <t>ΣΚΛΗΡΟΣ ΣΙΤΟΣ99156</t>
  </si>
  <si>
    <t>ΣΙΤΟΣ ΣΚΛΗΡΟΣ CALIMBRA</t>
  </si>
  <si>
    <t>ΣΚΛΗΡΟΣ ΣΙΤΟΣ99157</t>
  </si>
  <si>
    <t>ΣΙΤΟΣ ΣΚΛΗΡΟΣ DONDURO</t>
  </si>
  <si>
    <t>ΣΚΛΗΡΟΣ ΣΙΤΟΣ99158</t>
  </si>
  <si>
    <t>ΣΙΤΟΣ ΣΚΛΗΡΟΣ ELPIDA</t>
  </si>
  <si>
    <t>ΣΚΛΗΡΟΣ ΣΙΤΟΣ99159</t>
  </si>
  <si>
    <t>ΣΙΤΟΣ ΣΚΛΗΡΟΣ ILIADUR</t>
  </si>
  <si>
    <t>ΣΚΛΗΡΟΣ ΣΙΤΟΣ99160</t>
  </si>
  <si>
    <t>ΣΙΤΟΣ ΣΚΛΗΡΟΣ MAGDUR</t>
  </si>
  <si>
    <t>ΣΚΛΗΡΟΣ ΣΙΤΟΣ99161</t>
  </si>
  <si>
    <t>ΣΙΤΟΣ ΣΚΛΗΡΟΣ OZARK</t>
  </si>
  <si>
    <t>ΣΚΛΗΡΟΣ ΣΙΤΟΣ99162</t>
  </si>
  <si>
    <t>ΣΙΤΟΣ ΣΚΛΗΡΟΣ PISTI</t>
  </si>
  <si>
    <t>ΣΚΛΗΡΟΣ ΣΙΤΟΣ99163</t>
  </si>
  <si>
    <t>ΣΙΤΟΣ ΣΚΛΗΡΟΣ SKYROS (ΣΚΥΡΟΣ)</t>
  </si>
  <si>
    <t>ΣΚΛΗΡΟΣ ΣΙΤΟΣ99164</t>
  </si>
  <si>
    <t>ΣΙΤΟΣ ΣΚΛΗΡΟΣ TERRANO</t>
  </si>
  <si>
    <t>ΣΚΛΗΡΟΣ ΣΙΤΟΣ99165</t>
  </si>
  <si>
    <t>ΣΙΤΟΣ ΣΚΛΗΡΟΣ TRAIANO</t>
  </si>
  <si>
    <t>ΣΚΛΗΡΟΣ ΣΙΤΟΣ99166</t>
  </si>
  <si>
    <t>ΣΙΤΟΣ ΣΚΛΗΡΟΣ TRAPEZIO</t>
  </si>
  <si>
    <t>ΣΚΛΗΡΟΣ ΣΙΤΟΣ99167</t>
  </si>
  <si>
    <t>ΣΙΤΟΣ ΣΚΛΗΡΟΣ VAFFANDUR</t>
  </si>
  <si>
    <t>ΣΚΛΗΡΟΣ ΣΙΤΟΣ99168</t>
  </si>
  <si>
    <t>ΣΙΤΟΣ ΣΚΛΗΡΟΣ VAIOS</t>
  </si>
  <si>
    <t>ΣΚΛΗΡΟΣ ΣΙΤΟΣ99169</t>
  </si>
  <si>
    <t>ΣΙΤΟΣ ΣΚΛΗΡΟΣ CORE</t>
  </si>
  <si>
    <t>ΣΚΛΗΡΟΣ ΣΙΤΟΣ99170</t>
  </si>
  <si>
    <t>ΣΙΤΟΣ ΣΚΛΗΡΟΣ MIMMO</t>
  </si>
  <si>
    <t>ΣΚΛΗΡΟΣ ΣΙΤΟΣ99171</t>
  </si>
  <si>
    <t>ΣΙΤΟΣ ΣΚΛΗΡΟΣ JOSEPHINA</t>
  </si>
  <si>
    <t>ΣΚΛΗΡΟΣ ΣΙΤΟΣ99172</t>
  </si>
  <si>
    <t>ΣΙΤΟΣ ΣΚΛΗΡΟΣ MONASTIR</t>
  </si>
  <si>
    <t>ΣΚΛΗΡΟΣ ΣΙΤΟΣ99173</t>
  </si>
  <si>
    <t>ΣΙΤΟΣ ΣΚΛΗΡΟΣ MARCO AURELIO</t>
  </si>
  <si>
    <t>ΣΚΛΗΡΟΣ ΣΙΤΟΣ99174</t>
  </si>
  <si>
    <t>ΣΙΤΟΣ ΣΚΛΗΡΟΣ MASSIMO MERIDIO</t>
  </si>
  <si>
    <t>ΣΚΛΗΡΟΣ ΣΙΤΟΣ99175</t>
  </si>
  <si>
    <t>ΣΙΤΟΣ ΣΚΛΗΡΟΣ SPARTACO</t>
  </si>
  <si>
    <t>ΣΚΛΗΡΟΣ ΣΙΤΟΣ99176</t>
  </si>
  <si>
    <t>ΣΙΤΟΣ ΣΚΛΗΡΟΣ DORATO</t>
  </si>
  <si>
    <t>ΣΚΛΗΡΟΣ ΣΙΤΟΣ99177</t>
  </si>
  <si>
    <t>ΣΙΤΟΣ ΣΚΛΗΡΟΣ TRITICUM DURUM</t>
  </si>
  <si>
    <t>ΣΚΛΗΡΟΣ ΣΙΤΟΣ99178</t>
  </si>
  <si>
    <t>ΣΙΤΟΣ ΣΚΛΗΡΟΣ CANNAVARO</t>
  </si>
  <si>
    <t>ΣΚΛΗΡΟΣ ΣΙΤΟΣ99180</t>
  </si>
  <si>
    <t>ΣΙΤΟΣ ΣΚΛΗΡΟΣ MIRADOUX</t>
  </si>
  <si>
    <t>ΣΚΛΗΡΟΣ ΣΙΤΟΣ99281</t>
  </si>
  <si>
    <t>ΣΙΤΟΣ ΣΚΛΗΡΟΣ ISILDUR</t>
  </si>
  <si>
    <t>ΣΚΛΗΡΟΣ ΣΙΤΟΣ99282</t>
  </si>
  <si>
    <t>ΣΙΤΟΣ ΣΚΛΗΡΟΣ ODISSEO</t>
  </si>
  <si>
    <t>ΣΚΛΗΡΟΣ ΣΙΤΟΣ99284</t>
  </si>
  <si>
    <t>ΣΙΤΟΣ ΣΚΛΗΡΟΣ KOMBO</t>
  </si>
  <si>
    <t>ΣΚΛΗΡΟΣ ΣΙΤΟΣ99285</t>
  </si>
  <si>
    <t>ΣΙΤΟΣ ΣΚΛΗΡΟΣ SAADI</t>
  </si>
  <si>
    <t>ΣΚΛΗΡΟΣ ΣΙΤΟΣ99286</t>
  </si>
  <si>
    <t>ΣΙΤΟΣ ΣΚΛΗΡΟΣ DUNAVIS</t>
  </si>
  <si>
    <t>ΣΚΛΗΡΟΣ ΣΙΤΟΣ99287</t>
  </si>
  <si>
    <t>ΣΠΑΡΑΓΓΙΑ</t>
  </si>
  <si>
    <t>ΣΠΑΡΑΓΓΙΑ ABRIL</t>
  </si>
  <si>
    <t>ΣΠΑΡΑΓΓΙΑ68001</t>
  </si>
  <si>
    <t>ΣΠΑΡΑΓΓΙΑ ANDREAS</t>
  </si>
  <si>
    <t>ΣΠΑΡΑΓΓΙΑ68002</t>
  </si>
  <si>
    <t>ΣΠΑΡΑΓΓΙΑ ANGELA</t>
  </si>
  <si>
    <t>ΣΠΑΡΑΓΓΙΑ68003</t>
  </si>
  <si>
    <t>ΣΠΑΡΑΓΓΙΑ ARGENTEUIL</t>
  </si>
  <si>
    <t>ΣΠΑΡΑΓΓΙΑ68004</t>
  </si>
  <si>
    <t>ΣΠΑΡΑΓΓΙΑ ARGENTEUIL HATIVE</t>
  </si>
  <si>
    <t>ΣΠΑΡΑΓΓΙΑ68005</t>
  </si>
  <si>
    <t>ΣΠΑΡΑΓΓΙΑ ARIANE</t>
  </si>
  <si>
    <t>ΣΠΑΡΑΓΓΙΑ68006</t>
  </si>
  <si>
    <t>ΣΠΑΡΑΓΓΙΑ ATLAS</t>
  </si>
  <si>
    <t>ΣΠΑΡΑΓΓΙΑ68007</t>
  </si>
  <si>
    <t>ΣΠΑΡΑΓΓΙΑ ATTICUS</t>
  </si>
  <si>
    <t>ΣΠΑΡΑΓΓΙΑ68008</t>
  </si>
  <si>
    <t>ΣΠΑΡΑΓΓΙΑ AVALIM</t>
  </si>
  <si>
    <t>ΣΠΑΡΑΓΓΙΑ68009</t>
  </si>
  <si>
    <t>ΣΠΑΡΑΓΓΙΑ BACCHUS</t>
  </si>
  <si>
    <t>ΣΠΑΡΑΓΓΙΑ68010</t>
  </si>
  <si>
    <t>ΣΠΑΡΑΓΓΙΑ BACKLIM</t>
  </si>
  <si>
    <t>ΣΠΑΡΑΓΓΙΑ68011</t>
  </si>
  <si>
    <t>ΣΠΑΡΑΓΓΙΑ BLANCO DE NAVARRA</t>
  </si>
  <si>
    <t>ΣΠΑΡΑΓΓΙΑ68012</t>
  </si>
  <si>
    <t>ΣΠΑΡΑΓΓΙΑ BURGUNDINE</t>
  </si>
  <si>
    <t>ΣΠΑΡΑΓΓΙΑ68013</t>
  </si>
  <si>
    <t>ΣΠΑΡΑΓΓΙΑ CIPRES</t>
  </si>
  <si>
    <t>ΣΠΑΡΑΓΓΙΑ68014</t>
  </si>
  <si>
    <t>ΣΠΑΡΑΓΓΙΑ CUMULUS</t>
  </si>
  <si>
    <t>ΣΠΑΡΑΓΓΙΑ68015</t>
  </si>
  <si>
    <t>ΣΠΑΡΑΓΓΙΑ CYGNUS</t>
  </si>
  <si>
    <t>ΣΠΑΡΑΓΓΙΑ68016</t>
  </si>
  <si>
    <t>ΣΠΑΡΑΓΓΙΑ BARBELLA</t>
  </si>
  <si>
    <t>ΣΠΑΡΑΓΓΙΑ68017</t>
  </si>
  <si>
    <t>ΣΠΑΡΑΓΓΙΑ DARIANA</t>
  </si>
  <si>
    <t>ΣΠΑΡΑΓΓΙΑ68018</t>
  </si>
  <si>
    <t>ΣΠΑΡΑΓΓΙΑ DARLISE</t>
  </si>
  <si>
    <t>ΣΠΑΡΑΓΓΙΑ68019</t>
  </si>
  <si>
    <t>ΣΠΑΡΑΓΓΙΑ DARZILA</t>
  </si>
  <si>
    <t>ΣΠΑΡΑΓΓΙΑ68020</t>
  </si>
  <si>
    <t>ΣΠΑΡΑΓΓΙΑ DEPAOLI</t>
  </si>
  <si>
    <t>ΣΠΑΡΑΓΓΙΑ68021</t>
  </si>
  <si>
    <t>ΣΠΑΡΑΓΓΙΑ EMMA</t>
  </si>
  <si>
    <t>ΣΠΑΡΑΓΓΙΑ68022</t>
  </si>
  <si>
    <t>ΣΠΑΡΑΓΓΙΑ EPOSS</t>
  </si>
  <si>
    <t>ΣΠΑΡΑΓΓΙΑ68023</t>
  </si>
  <si>
    <t>ΣΠΑΡΑΓΓΙΑ ERCOLE</t>
  </si>
  <si>
    <t>ΣΠΑΡΑΓΓΙΑ68024</t>
  </si>
  <si>
    <t>ΣΠΑΡΑΓΓΙΑ FORTEMS</t>
  </si>
  <si>
    <t>ΣΠΑΡΑΓΓΙΑ68025</t>
  </si>
  <si>
    <t>ΣΠΑΡΑΓΓΙΑ FRANCO</t>
  </si>
  <si>
    <t>ΣΠΑΡΑΓΓΙΑ68026</t>
  </si>
  <si>
    <t>ΣΠΑΡΑΓΓΙΑ GIJNLIM</t>
  </si>
  <si>
    <t>ΣΠΑΡΑΓΓΙΑ68027</t>
  </si>
  <si>
    <t>ΣΠΑΡΑΓΓΙΑ GTIOVE</t>
  </si>
  <si>
    <t>ΣΠΑΡΑΓΓΙΑ68028</t>
  </si>
  <si>
    <t>ΣΠΑΡΑΓΓΙΑ GRANDE</t>
  </si>
  <si>
    <t>ΣΠΑΡΑΓΓΙΑ68029</t>
  </si>
  <si>
    <t>ΣΠΑΡΑΓΓΙΑ HANNIBAL</t>
  </si>
  <si>
    <t>ΣΠΑΡΑΓΓΙΑ68030</t>
  </si>
  <si>
    <t>ΣΠΑΡΑΓΓΙΑ HERKOLIM</t>
  </si>
  <si>
    <t>ΣΠΑΡΑΓΓΙΑ68031</t>
  </si>
  <si>
    <t>ΣΠΑΡΑΓΓΙΑ HORLIM</t>
  </si>
  <si>
    <t>ΣΠΑΡΑΓΓΙΑ68032</t>
  </si>
  <si>
    <t>ΣΠΑΡΑΓΓΙΑ HT 801</t>
  </si>
  <si>
    <t>ΣΠΑΡΑΓΓΙΑ68033</t>
  </si>
  <si>
    <t>ΣΠΑΡΑΓΓΙΑ ITALO</t>
  </si>
  <si>
    <t>ΣΠΑΡΑΓΓΙΑ68034</t>
  </si>
  <si>
    <t>ΣΠΑΡΑΓΓΙΑ JALEO</t>
  </si>
  <si>
    <t>ΣΠΑΡΑΓΓΙΑ68035</t>
  </si>
  <si>
    <t>ΣΠΑΡΑΓΓΙΑ LIMA</t>
  </si>
  <si>
    <t>ΣΠΑΡΑΓΓΙΑ68036</t>
  </si>
  <si>
    <t>ΣΠΑΡΑΓΓΙΑ MAGNUS</t>
  </si>
  <si>
    <t>ΣΠΑΡΑΓΓΙΑ68037</t>
  </si>
  <si>
    <t>ΣΠΑΡΑΓΓΙΑ MARTE</t>
  </si>
  <si>
    <t>ΣΠΑΡΑΓΓΙΑ68038</t>
  </si>
  <si>
    <t>ΣΠΑΡΑΓΓΙΑ MARY WASHINGTON</t>
  </si>
  <si>
    <t>ΣΠΑΡΑΓΓΙΑ68039</t>
  </si>
  <si>
    <t>ΣΠΑΡΑΓΓΙΑ MONDEO</t>
  </si>
  <si>
    <t>ΣΠΑΡΑΓΓΙΑ68040</t>
  </si>
  <si>
    <t>ΣΠΑΡΑΓΓΙΑ NOVALIS VALLIERES</t>
  </si>
  <si>
    <t>ΣΠΑΡΑΓΓΙΑ68041</t>
  </si>
  <si>
    <t>ΣΠΑΡΑΓΓΙΑ OBELISK</t>
  </si>
  <si>
    <t>ΣΠΑΡΑΓΓΙΑ68042</t>
  </si>
  <si>
    <t>ΣΠΑΡΑΓΓΙΑ PLACOSESP</t>
  </si>
  <si>
    <t>ΣΠΑΡΑΓΓΙΑ68043</t>
  </si>
  <si>
    <t>ΣΠΑΡΑΓΓΙΑ PLAMARESP</t>
  </si>
  <si>
    <t>ΣΠΑΡΑΓΓΙΑ68044</t>
  </si>
  <si>
    <t>ΣΠΑΡΑΓΓΙΑ PLASENESP</t>
  </si>
  <si>
    <t>ΣΠΑΡΑΓΓΙΑ68045</t>
  </si>
  <si>
    <t>ΣΠΑΡΑΓΓΙΑ PORTLIM</t>
  </si>
  <si>
    <t>ΣΠΑΡΑΓΓΙΑ68046</t>
  </si>
  <si>
    <t>ΣΠΑΡΑΓΓΙΑ PREBELLE</t>
  </si>
  <si>
    <t>ΣΠΑΡΑΓΓΙΑ68047</t>
  </si>
  <si>
    <t>ΣΠΑΡΑΓΓΙΑ PRIMA</t>
  </si>
  <si>
    <t>ΣΠΑΡΑΓΓΙΑ68048</t>
  </si>
  <si>
    <t>ΣΠΑΡΑΓΓΙΑ PRIMAVERDE</t>
  </si>
  <si>
    <t>ΣΠΑΡΑΓΓΙΑ68049</t>
  </si>
  <si>
    <t>ΣΠΑΡΑΓΓΙΑ PRIMEMS</t>
  </si>
  <si>
    <t>ΣΠΑΡΑΓΓΙΑ68050</t>
  </si>
  <si>
    <t>ΣΠΑΡΑΓΓΙΑ PRIUS</t>
  </si>
  <si>
    <t>ΣΠΑΡΑΓΓΙΑ68051</t>
  </si>
  <si>
    <t>ΣΠΑΡΑΓΓΙΑ RAFFAELO</t>
  </si>
  <si>
    <t>ΣΠΑΡΑΓΓΙΑ68052</t>
  </si>
  <si>
    <t>ΣΠΑΡΑΓΓΙΑ RAMADA</t>
  </si>
  <si>
    <t>ΣΠΑΡΑΓΓΙΑ68053</t>
  </si>
  <si>
    <t>ΣΠΑΡΑΓΓΙΑ RAMBO</t>
  </si>
  <si>
    <t>ΣΠΑΡΑΓΓΙΑ68054</t>
  </si>
  <si>
    <t>ΣΠΑΡΑΓΓΙΑ RAMIRES</t>
  </si>
  <si>
    <t>ΣΠΑΡΑΓΓΙΑ68055</t>
  </si>
  <si>
    <t>ΣΠΑΡΑΓΓΙΑ RAPSODY</t>
  </si>
  <si>
    <t>ΣΠΑΡΑΓΓΙΑ68056</t>
  </si>
  <si>
    <t>ΣΠΑΡΑΓΓΙΑ RAVEL</t>
  </si>
  <si>
    <t>ΣΠΑΡΑΓΓΙΑ68057</t>
  </si>
  <si>
    <t>ΣΠΑΡΑΓΓΙΑ ROSALIE</t>
  </si>
  <si>
    <t>ΣΠΑΡΑΓΓΙΑ68058</t>
  </si>
  <si>
    <t>ΣΠΑΡΑΓΓΙΑ SCHWETZINGER MEISTERSCHUB</t>
  </si>
  <si>
    <t>ΣΠΑΡΑΓΓΙΑ68059</t>
  </si>
  <si>
    <t>ΣΠΑΡΑΓΓΙΑ STEINEO</t>
  </si>
  <si>
    <t>ΣΠΑΡΑΓΓΙΑ68060</t>
  </si>
  <si>
    <t>ΣΠΑΡΑΓΓΙΑ STEINERS VIOLETTA</t>
  </si>
  <si>
    <t>ΣΠΑΡΑΓΓΙΑ68061</t>
  </si>
  <si>
    <t>ΣΠΑΡΑΓΓΙΑ STEINIVA</t>
  </si>
  <si>
    <t>ΣΠΑΡΑΓΓΙΑ68062</t>
  </si>
  <si>
    <t>ΣΠΑΡΑΓΓΙΑ SUNLIM</t>
  </si>
  <si>
    <t>ΣΠΑΡΑΓΓΙΑ68063</t>
  </si>
  <si>
    <t>ΣΠΑΡΑΓΓΙΑ TALLEMS</t>
  </si>
  <si>
    <t>ΣΠΑΡΑΓΓΙΑ68064</t>
  </si>
  <si>
    <t>ΣΠΑΡΑΓΓΙΑ THIELIM</t>
  </si>
  <si>
    <t>ΣΠΑΡΑΓΓΙΑ68065</t>
  </si>
  <si>
    <t>ΣΠΑΡΑΓΓΙΑ UC 157</t>
  </si>
  <si>
    <t>ΣΠΑΡΑΓΓΙΑ68066</t>
  </si>
  <si>
    <t>ΣΠΑΡΑΓΓΙΑ VALLIERES RACAUTS</t>
  </si>
  <si>
    <t>ΣΠΑΡΑΓΓΙΑ68067</t>
  </si>
  <si>
    <t>ΣΠΑΡΑΓΓΙΑ VALPRIMA</t>
  </si>
  <si>
    <t>ΣΠΑΡΑΓΓΙΑ68068</t>
  </si>
  <si>
    <t>ΣΠΑΡΑΓΓΙΑ VEGALIM</t>
  </si>
  <si>
    <t>ΣΠΑΡΑΓΓΙΑ68069</t>
  </si>
  <si>
    <t>ΣΠΑΡΑΓΓΙΑ VETRA</t>
  </si>
  <si>
    <t>ΣΠΑΡΑΓΓΙΑ68070</t>
  </si>
  <si>
    <t>ΣΠΑΡΑΓΓΙΑ VITALIM</t>
  </si>
  <si>
    <t>ΣΠΑΡΑΓΓΙΑ68071</t>
  </si>
  <si>
    <t>ΣΠΑΡΑΓΓΙΑ VITTORIO</t>
  </si>
  <si>
    <t>ΣΠΑΡΑΓΓΙΑ68072</t>
  </si>
  <si>
    <t>ΣΠΑΡΑΓΓΙΑ VOLTAIRE</t>
  </si>
  <si>
    <t>ΣΠΑΡΑΓΓΙΑ68073</t>
  </si>
  <si>
    <t>ΣΠΑΡΑΓΓΙΑ WHITE ANGEL</t>
  </si>
  <si>
    <t>ΣΠΑΡΑΓΓΙΑ68074</t>
  </si>
  <si>
    <t>ΣΠΑΡΑΓΓΙΑ XENOLIM</t>
  </si>
  <si>
    <t>ΣΠΑΡΑΓΓΙΑ68075</t>
  </si>
  <si>
    <t>ΣΠΑΡΑΓΓΙΑ ZENO</t>
  </si>
  <si>
    <t>ΣΠΑΡΑΓΓΙΑ68076</t>
  </si>
  <si>
    <t>ΣΠΑΡΑΓΓΙΑ GROLIM</t>
  </si>
  <si>
    <t>ΣΠΑΡΑΓΓΙΑ68077</t>
  </si>
  <si>
    <t>ΣΠΑΡΑΓΓΙΑ DARSIANE</t>
  </si>
  <si>
    <t>ΣΠΑΡΑΓΓΙΑ68078</t>
  </si>
  <si>
    <t>ΣΠΑΡΑΓΓΙΑ SANTENSE</t>
  </si>
  <si>
    <t>ΣΠΑΡΑΓΓΙΑ68079</t>
  </si>
  <si>
    <t>ΣΠΑΡΑΓΓΙΑ ABRIL - ΜΗ ΠΑΡΑΓΩΓΙΚΑ</t>
  </si>
  <si>
    <t>ΣΠΑΡΑΓΓΙΑ68080</t>
  </si>
  <si>
    <t>ΣΠΑΡΑΓΓΙΑ ANDREAS - ΜΗ ΠΑΡΑΓΩΓΙΚΑ</t>
  </si>
  <si>
    <t>ΣΠΑΡΑΓΓΙΑ68081</t>
  </si>
  <si>
    <t>ΣΠΑΡΑΓΓΙΑ ANGELA - ΜΗ ΠΑΡΑΓΩΓΙΚΑ</t>
  </si>
  <si>
    <t>ΣΠΑΡΑΓΓΙΑ68082</t>
  </si>
  <si>
    <t>ΣΠΑΡΑΓΓΙΑ ARGENTEUIL - ΜΗ ΠΑΡΑΓΩΓΙΚΑ</t>
  </si>
  <si>
    <t>ΣΠΑΡΑΓΓΙΑ68083</t>
  </si>
  <si>
    <t>ΣΠΑΡΑΓΓΙΑ ARGENTEUIL HATIVE - ΜΗ ΠΑΡΑΓΩΓΙΚΑ</t>
  </si>
  <si>
    <t>ΣΠΑΡΑΓΓΙΑ68084</t>
  </si>
  <si>
    <t>ΣΠΑΡΑΓΓΙΑ ARIANE - ΜΗ ΠΑΡΑΓΩΓΙΚΑ</t>
  </si>
  <si>
    <t>ΣΠΑΡΑΓΓΙΑ68085</t>
  </si>
  <si>
    <t>ΣΠΑΡΑΓΓΙΑ ATLAS - ΜΗ ΠΑΡΑΓΩΓΙΚΑ</t>
  </si>
  <si>
    <t>ΣΠΑΡΑΓΓΙΑ68086</t>
  </si>
  <si>
    <t>ΣΠΑΡΑΓΓΙΑ ATTICUS - ΜΗ ΠΑΡΑΓΩΓΙΚΑ</t>
  </si>
  <si>
    <t>ΣΠΑΡΑΓΓΙΑ68087</t>
  </si>
  <si>
    <t>ΣΠΑΡΑΓΓΙΑ AVALIM - ΜΗ ΠΑΡΑΓΩΓΙΚΑ</t>
  </si>
  <si>
    <t>ΣΠΑΡΑΓΓΙΑ68088</t>
  </si>
  <si>
    <t>ΣΠΑΡΑΓΓΙΑ BACCHUS - ΜΗ ΠΑΡΑΓΩΓΙΚΑ</t>
  </si>
  <si>
    <t>ΣΠΑΡΑΓΓΙΑ68089</t>
  </si>
  <si>
    <t>ΣΠΑΡΑΓΓΙΑ BACKLIM - ΜΗ ΠΑΡΑΓΩΓΙΚΑ</t>
  </si>
  <si>
    <t>ΣΠΑΡΑΓΓΙΑ68090</t>
  </si>
  <si>
    <t>ΣΠΑΡΑΓΓΙΑ BLANCO DE NAVARRA - ΜΗ ΠΑΡΑΓΩΓΙΚΑ</t>
  </si>
  <si>
    <t>ΣΠΑΡΑΓΓΙΑ68091</t>
  </si>
  <si>
    <t>ΣΠΑΡΑΓΓΙΑ BURGUNDINE - ΜΗ ΠΑΡΑΓΩΓΙΚΑ</t>
  </si>
  <si>
    <t>ΣΠΑΡΑΓΓΙΑ68092</t>
  </si>
  <si>
    <t>ΣΠΑΡΑΓΓΙΑ CIPRES - ΜΗ ΠΑΡΑΓΩΓΙΚΑ</t>
  </si>
  <si>
    <t>ΣΠΑΡΑΓΓΙΑ68093</t>
  </si>
  <si>
    <t>ΣΠΑΡΑΓΓΙΑ CUMULUS - ΜΗ ΠΑΡΑΓΩΓΙΚΑ</t>
  </si>
  <si>
    <t>ΣΠΑΡΑΓΓΙΑ68094</t>
  </si>
  <si>
    <t>ΣΠΑΡΑΓΓΙΑ CYGNUS - ΜΗ ΠΑΡΑΓΩΓΙΚΑ</t>
  </si>
  <si>
    <t>ΣΠΑΡΑΓΓΙΑ68095</t>
  </si>
  <si>
    <t>ΣΠΑΡΑΓΓΙΑ BARBELLA - ΜΗ ΠΑΡΑΓΩΓΙΚΑ</t>
  </si>
  <si>
    <t>ΣΠΑΡΑΓΓΙΑ68096</t>
  </si>
  <si>
    <t>ΣΠΑΡΑΓΓΙΑ DARIANA - ΜΗ ΠΑΡΑΓΩΓΙΚΑ</t>
  </si>
  <si>
    <t>ΣΠΑΡΑΓΓΙΑ68097</t>
  </si>
  <si>
    <t>ΣΠΑΡΑΓΓΙΑ DARLISE - ΜΗ ΠΑΡΑΓΩΓΙΚΑ</t>
  </si>
  <si>
    <t>ΣΠΑΡΑΓΓΙΑ68098</t>
  </si>
  <si>
    <t>ΣΠΑΡΑΓΓΙΑ DARZILA - ΜΗ ΠΑΡΑΓΩΓΙΚΑ</t>
  </si>
  <si>
    <t>ΣΠΑΡΑΓΓΙΑ68099</t>
  </si>
  <si>
    <t>ΣΠΑΡΑΓΓΙΑ DEPAOLI - ΜΗ ΠΑΡΑΓΩΓΙΚΑ</t>
  </si>
  <si>
    <t>ΣΠΑΡΑΓΓΙΑ68100</t>
  </si>
  <si>
    <t>ΣΠΑΡΑΓΓΙΑ EMMA - ΜΗ ΠΑΡΑΓΩΓΙΚΑ</t>
  </si>
  <si>
    <t>ΣΠΑΡΑΓΓΙΑ68101</t>
  </si>
  <si>
    <t>ΣΠΑΡΑΓΓΙΑ EPOSS - ΜΗ ΠΑΡΑΓΩΓΙΚΑ</t>
  </si>
  <si>
    <t>ΣΠΑΡΑΓΓΙΑ68102</t>
  </si>
  <si>
    <t>ΣΠΑΡΑΓΓΙΑ ERCOLE - ΜΗ ΠΑΡΑΓΩΓΙΚΑ</t>
  </si>
  <si>
    <t>ΣΠΑΡΑΓΓΙΑ68103</t>
  </si>
  <si>
    <t>ΣΠΑΡΑΓΓΙΑ FORTEMS - ΜΗ ΠΑΡΑΓΩΓΙΚΑ</t>
  </si>
  <si>
    <t>ΣΠΑΡΑΓΓΙΑ68104</t>
  </si>
  <si>
    <t>ΣΠΑΡΑΓΓΙΑ FRANCO - ΜΗ ΠΑΡΑΓΩΓΙΚΑ</t>
  </si>
  <si>
    <t>ΣΠΑΡΑΓΓΙΑ68105</t>
  </si>
  <si>
    <t>ΣΠΑΡΑΓΓΙΑ GIJNLIM - ΜΗ ΠΑΡΑΓΩΓΙΚΑ</t>
  </si>
  <si>
    <t>ΣΠΑΡΑΓΓΙΑ68106</t>
  </si>
  <si>
    <t>ΣΠΑΡΑΓΓΙΑ GTIOVE - ΜΗ ΠΑΡΑΓΩΓΙΚΑ</t>
  </si>
  <si>
    <t>ΣΠΑΡΑΓΓΙΑ68107</t>
  </si>
  <si>
    <t>ΣΠΑΡΑΓΓΙΑ GRANDE - ΜΗ ΠΑΡΑΓΩΓΙΚΑ</t>
  </si>
  <si>
    <t>ΣΠΑΡΑΓΓΙΑ68108</t>
  </si>
  <si>
    <t>ΣΠΑΡΑΓΓΙΑ HANNIBAL - ΜΗ ΠΑΡΑΓΩΓΙΚΑ</t>
  </si>
  <si>
    <t>ΣΠΑΡΑΓΓΙΑ68109</t>
  </si>
  <si>
    <t>ΣΠΑΡΑΓΓΙΑ HERKOLIM - ΜΗ ΠΑΡΑΓΩΓΙΚΑ</t>
  </si>
  <si>
    <t>ΣΠΑΡΑΓΓΙΑ68110</t>
  </si>
  <si>
    <t>ΣΠΑΡΑΓΓΙΑ HORLIM - ΜΗ ΠΑΡΑΓΩΓΙΚΑ</t>
  </si>
  <si>
    <t>ΣΠΑΡΑΓΓΙΑ68111</t>
  </si>
  <si>
    <t>ΣΠΑΡΑΓΓΙΑ HT 801 - ΜΗ ΠΑΡΑΓΩΓΙΚΑ</t>
  </si>
  <si>
    <t>ΣΠΑΡΑΓΓΙΑ68112</t>
  </si>
  <si>
    <t>ΣΠΑΡΑΓΓΙΑ ITALO - ΜΗ ΠΑΡΑΓΩΓΙΚΑ</t>
  </si>
  <si>
    <t>ΣΠΑΡΑΓΓΙΑ68113</t>
  </si>
  <si>
    <t>ΣΠΑΡΑΓΓΙΑ JALEO - ΜΗ ΠΑΡΑΓΩΓΙΚΑ</t>
  </si>
  <si>
    <t>ΣΠΑΡΑΓΓΙΑ68114</t>
  </si>
  <si>
    <t>ΣΠΑΡΑΓΓΙΑ LIMA - ΜΗ ΠΑΡΑΓΩΓΙΚΑ</t>
  </si>
  <si>
    <t>ΣΠΑΡΑΓΓΙΑ68115</t>
  </si>
  <si>
    <t>ΣΠΑΡΑΓΓΙΑ MAGNUS - ΜΗ ΠΑΡΑΓΩΓΙΚΑ</t>
  </si>
  <si>
    <t>ΣΠΑΡΑΓΓΙΑ68116</t>
  </si>
  <si>
    <t>ΣΠΑΡΑΓΓΙΑ MARTE - ΜΗ ΠΑΡΑΓΩΓΙΚΑ</t>
  </si>
  <si>
    <t>ΣΠΑΡΑΓΓΙΑ68117</t>
  </si>
  <si>
    <t>ΣΠΑΡΑΓΓΙΑ MARY WASHINGTON - ΜΗ ΠΑΡΑΓΩΓΙΚΑ</t>
  </si>
  <si>
    <t>ΣΠΑΡΑΓΓΙΑ68118</t>
  </si>
  <si>
    <t>ΣΠΑΡΑΓΓΙΑ MONDEO - ΜΗ ΠΑΡΑΓΩΓΙΚΑ</t>
  </si>
  <si>
    <t>ΣΠΑΡΑΓΓΙΑ68119</t>
  </si>
  <si>
    <t>ΣΠΑΡΑΓΓΙΑ NOVALIS VALLIERES - ΜΗ ΠΑΡΑΓΩΓΙΚΑ</t>
  </si>
  <si>
    <t>ΣΠΑΡΑΓΓΙΑ68120</t>
  </si>
  <si>
    <t>ΣΠΑΡΑΓΓΙΑ OBELISK - ΜΗ ΠΑΡΑΓΩΓΙΚΑ</t>
  </si>
  <si>
    <t>ΣΠΑΡΑΓΓΙΑ68121</t>
  </si>
  <si>
    <t>ΣΠΑΡΑΓΓΙΑ PLACOSESP - ΜΗ ΠΑΡΑΓΩΓΙΚΑ</t>
  </si>
  <si>
    <t>ΣΠΑΡΑΓΓΙΑ68122</t>
  </si>
  <si>
    <t>ΣΠΑΡΑΓΓΙΑ PLAMARESP - ΜΗ ΠΑΡΑΓΩΓΙΚΑ</t>
  </si>
  <si>
    <t>ΣΠΑΡΑΓΓΙΑ68123</t>
  </si>
  <si>
    <t>ΣΠΑΡΑΓΓΙΑ PLASENESP - ΜΗ ΠΑΡΑΓΩΓΙΚΑ</t>
  </si>
  <si>
    <t>ΣΠΑΡΑΓΓΙΑ68124</t>
  </si>
  <si>
    <t>ΣΠΑΡΑΓΓΙΑ PORTLIM - ΜΗ ΠΑΡΑΓΩΓΙΚΑ</t>
  </si>
  <si>
    <t>ΣΠΑΡΑΓΓΙΑ68125</t>
  </si>
  <si>
    <t>ΣΠΑΡΑΓΓΙΑ PREBELLE - ΜΗ ΠΑΡΑΓΩΓΙΚΑ</t>
  </si>
  <si>
    <t>ΣΠΑΡΑΓΓΙΑ68126</t>
  </si>
  <si>
    <t>ΣΠΑΡΑΓΓΙΑ PRIMA - ΜΗ ΠΑΡΑΓΩΓΙΚΑ</t>
  </si>
  <si>
    <t>ΣΠΑΡΑΓΓΙΑ68127</t>
  </si>
  <si>
    <t>ΣΠΑΡΑΓΓΙΑ PRIMAVERDE - ΜΗ ΠΑΡΑΓΩΓΙΚΑ</t>
  </si>
  <si>
    <t>ΣΠΑΡΑΓΓΙΑ68128</t>
  </si>
  <si>
    <t>ΣΠΑΡΑΓΓΙΑ PRIMEMS - ΜΗ ΠΑΡΑΓΩΓΙΚΑ</t>
  </si>
  <si>
    <t>ΣΠΑΡΑΓΓΙΑ68129</t>
  </si>
  <si>
    <t>ΣΠΑΡΑΓΓΙΑ PRIUS - ΜΗ ΠΑΡΑΓΩΓΙΚΑ</t>
  </si>
  <si>
    <t>ΣΠΑΡΑΓΓΙΑ68130</t>
  </si>
  <si>
    <t>ΣΠΑΡΑΓΓΙΑ RAFFAELO - ΜΗ ΠΑΡΑΓΩΓΙΚΑ</t>
  </si>
  <si>
    <t>ΣΠΑΡΑΓΓΙΑ68131</t>
  </si>
  <si>
    <t>ΣΠΑΡΑΓΓΙΑ RAMADA - ΜΗ ΠΑΡΑΓΩΓΙΚΑ</t>
  </si>
  <si>
    <t>ΣΠΑΡΑΓΓΙΑ68132</t>
  </si>
  <si>
    <t>ΣΠΑΡΑΓΓΙΑ RAMBO - ΜΗ ΠΑΡΑΓΩΓΙΚΑ</t>
  </si>
  <si>
    <t>ΣΠΑΡΑΓΓΙΑ68133</t>
  </si>
  <si>
    <t>ΣΠΑΡΑΓΓΙΑ RAMIRES - ΜΗ ΠΑΡΑΓΩΓΙΚΑ</t>
  </si>
  <si>
    <t>ΣΠΑΡΑΓΓΙΑ68134</t>
  </si>
  <si>
    <t>ΣΠΑΡΑΓΓΙΑ RAPSODY - ΜΗ ΠΑΡΑΓΩΓΙΚΑ</t>
  </si>
  <si>
    <t>ΣΠΑΡΑΓΓΙΑ68135</t>
  </si>
  <si>
    <t>ΣΠΑΡΑΓΓΙΑ RAVEL - ΜΗ ΠΑΡΑΓΩΓΙΚΑ</t>
  </si>
  <si>
    <t>ΣΠΑΡΑΓΓΙΑ68136</t>
  </si>
  <si>
    <t>ΣΠΑΡΑΓΓΙΑ ROSALIE - ΜΗ ΠΑΡΑΓΩΓΙΚΑ</t>
  </si>
  <si>
    <t>ΣΠΑΡΑΓΓΙΑ68137</t>
  </si>
  <si>
    <t>ΣΠΑΡΑΓΓΙΑ SCHWETZINGER MEISTERSCHUB - ΜΗ ΠΑΡΑΓΩΓΙΚΑ</t>
  </si>
  <si>
    <t>ΣΠΑΡΑΓΓΙΑ68138</t>
  </si>
  <si>
    <t>ΣΠΑΡΑΓΓΙΑ STEINEO - ΜΗ ΠΑΡΑΓΩΓΙΚΑ</t>
  </si>
  <si>
    <t>ΣΠΑΡΑΓΓΙΑ68139</t>
  </si>
  <si>
    <t>ΣΠΑΡΑΓΓΙΑ STEINERS VIOLETTA - ΜΗ ΠΑΡΑΓΩΓΙΚΑ</t>
  </si>
  <si>
    <t>ΣΠΑΡΑΓΓΙΑ68140</t>
  </si>
  <si>
    <t>ΣΠΑΡΑΓΓΙΑ STEINIVA - ΜΗ ΠΑΡΑΓΩΓΙΚΑ</t>
  </si>
  <si>
    <t>ΣΠΑΡΑΓΓΙΑ68141</t>
  </si>
  <si>
    <t>ΣΠΑΡΑΓΓΙΑ SUNLIM - ΜΗ ΠΑΡΑΓΩΓΙΚΑ</t>
  </si>
  <si>
    <t>ΣΠΑΡΑΓΓΙΑ68142</t>
  </si>
  <si>
    <t>ΣΠΑΡΑΓΓΙΑ TALLEMS - ΜΗ ΠΑΡΑΓΩΓΙΚΑ</t>
  </si>
  <si>
    <t>ΣΠΑΡΑΓΓΙΑ68143</t>
  </si>
  <si>
    <t>ΣΠΑΡΑΓΓΙΑ THIELIM - ΜΗ ΠΑΡΑΓΩΓΙΚΑ</t>
  </si>
  <si>
    <t>ΣΠΑΡΑΓΓΙΑ68144</t>
  </si>
  <si>
    <t>ΣΠΑΡΑΓΓΙΑ UC 157 - ΜΗ ΠΑΡΑΓΩΓΙΚΑ</t>
  </si>
  <si>
    <t>ΣΠΑΡΑΓΓΙΑ68145</t>
  </si>
  <si>
    <t>ΣΠΑΡΑΓΓΙΑ VALLIERES RACAUTS - ΜΗ ΠΑΡΑΓΩΓΙΚΑ</t>
  </si>
  <si>
    <t>ΣΠΑΡΑΓΓΙΑ68146</t>
  </si>
  <si>
    <t>ΣΠΑΡΑΓΓΙΑ VALPRIMA - ΜΗ ΠΑΡΑΓΩΓΙΚΑ</t>
  </si>
  <si>
    <t>ΣΠΑΡΑΓΓΙΑ68147</t>
  </si>
  <si>
    <t>ΣΠΑΡΑΓΓΙΑ VEGALIM - ΜΗ ΠΑΡΑΓΩΓΙΚΑ</t>
  </si>
  <si>
    <t>ΣΠΑΡΑΓΓΙΑ68148</t>
  </si>
  <si>
    <t>ΣΠΑΡΑΓΓΙΑ VETRA - ΜΗ ΠΑΡΑΓΩΓΙΚΑ</t>
  </si>
  <si>
    <t>ΣΠΑΡΑΓΓΙΑ68149</t>
  </si>
  <si>
    <t>ΣΠΑΡΑΓΓΙΑ VITALIM - ΜΗ ΠΑΡΑΓΩΓΙΚΑ</t>
  </si>
  <si>
    <t>ΣΠΑΡΑΓΓΙΑ68150</t>
  </si>
  <si>
    <t>ΣΠΑΡΑΓΓΙΑ VITTORIO - ΜΗ ΠΑΡΑΓΩΓΙΚΑ</t>
  </si>
  <si>
    <t>ΣΠΑΡΑΓΓΙΑ68151</t>
  </si>
  <si>
    <t>ΣΠΑΡΑΓΓΙΑ VOLTAIRE - ΜΗ ΠΑΡΑΓΩΓΙΚΑ</t>
  </si>
  <si>
    <t>ΣΠΑΡΑΓΓΙΑ68152</t>
  </si>
  <si>
    <t>ΣΠΑΡΑΓΓΙΑ WHITE ANGEL - ΜΗ ΠΑΡΑΓΩΓΙΚΑ</t>
  </si>
  <si>
    <t>ΣΠΑΡΑΓΓΙΑ68153</t>
  </si>
  <si>
    <t>ΣΠΑΡΑΓΓΙΑ XENOLIM - ΜΗ ΠΑΡΑΓΩΓΙΚΑ</t>
  </si>
  <si>
    <t>ΣΠΑΡΑΓΓΙΑ68154</t>
  </si>
  <si>
    <t>ΣΠΑΡΑΓΓΙΑ ZENO - ΜΗ ΠΑΡΑΓΩΓΙΚΑ</t>
  </si>
  <si>
    <t>ΣΠΑΡΑΓΓΙΑ68155</t>
  </si>
  <si>
    <t>ΣΠΑΡΑΓΓΙΑ GROLIM - ΜΗ ΠΑΡΑΓΩΓΙΚΑ</t>
  </si>
  <si>
    <t>ΣΠΑΡΑΓΓΙΑ68156</t>
  </si>
  <si>
    <t>ΣΠΑΡΑΓΓΙΑ DARSIANE - ΜΗ ΠΑΡΑΓΩΓΙΚΑ</t>
  </si>
  <si>
    <t>ΣΠΑΡΑΓΓΙΑ68157</t>
  </si>
  <si>
    <t>ΣΠΑΡΑΓΓΙΑ SANTENSE - ΜΗ ΠΑΡΑΓΩΓΙΚΑ</t>
  </si>
  <si>
    <t>ΣΠΑΡΑΓΓΙΑ68158</t>
  </si>
  <si>
    <t>ΣΠΑΡΑΓΓΙΑ FRUHLIM</t>
  </si>
  <si>
    <t>ΣΠΑΡΑΓΓΙΑ68159</t>
  </si>
  <si>
    <t>ΣΠΑΡΑΓΓΙΑ GIOVE</t>
  </si>
  <si>
    <t>ΣΠΑΡΑΓΓΙΑ68160</t>
  </si>
  <si>
    <t>ΣΠΑΡΑΓΓΙΑ PORTHOS</t>
  </si>
  <si>
    <t>ΣΠΑΡΑΓΓΙΑ68161</t>
  </si>
  <si>
    <t>ΣΠΑΡΑΓΓΙΑ RAMON</t>
  </si>
  <si>
    <t>ΣΠΑΡΑΓΓΙΑ68162</t>
  </si>
  <si>
    <t>ΣΠΑΡΑΓΓΙΑ SEQUOIA</t>
  </si>
  <si>
    <t>ΣΠΑΡΑΓΓΙΑ68163</t>
  </si>
  <si>
    <t>ΣΠΑΡΑΓΓΙΑ TERRALIM</t>
  </si>
  <si>
    <t>ΣΠΑΡΑΓΓΙΑ68164</t>
  </si>
  <si>
    <t>ΣΠΑΡΑΓΓΙΑ PORTHOS - ΜΗ ΠΑΡΑΓΩΓΙΚΑ</t>
  </si>
  <si>
    <t>ΣΠΑΡΑΓΓΙΑ68165</t>
  </si>
  <si>
    <t>ΣΠΑΡΑΓΓΙΑ RAMON - ΜΗ ΠΑΡΑΓΩΓΙΚΑ</t>
  </si>
  <si>
    <t>ΣΠΑΡΑΓΓΙΑ68166</t>
  </si>
  <si>
    <t>ΣΠΑΡΑΓΓΙΑ SEQUOIA - ΜΗ ΠΑΡΑΓΩΓΙΚΑ</t>
  </si>
  <si>
    <t>ΣΠΑΡΑΓΓΙΑ68167</t>
  </si>
  <si>
    <t>ΣΠΑΡΑΓΓΙΑ FRUHLIM - ΜΗ ΠΑΡΑΓΩΓΙΚΑ</t>
  </si>
  <si>
    <t>ΣΠΑΡΑΓΓΙΑ68168</t>
  </si>
  <si>
    <t>ΣΠΑΡΑΓΓΙΑ GIOVE - ΜΗ ΠΑΡΑΓΩΓΙΚΑ</t>
  </si>
  <si>
    <t>ΣΠΑΡΑΓΓΙΑ68169</t>
  </si>
  <si>
    <t>ΣΠΑΡΑΓΓΙΑ TERRALIM - ΜΗ ΠΑΡΑΓΩΓΙΚΑ</t>
  </si>
  <si>
    <t>ΣΠΑΡΑΓΓΙΑ68170</t>
  </si>
  <si>
    <t>ΣΠΑΡΑΓΓΙΑ GUELPH MILLENNIUM</t>
  </si>
  <si>
    <t>ΣΠΑΡΑΓΓΙΑ68171</t>
  </si>
  <si>
    <t>ΣΠΑΡΑΓΓΙΑ GUELPH EVOLUTION</t>
  </si>
  <si>
    <t>ΣΠΑΡΑΓΓΙΑ68172</t>
  </si>
  <si>
    <t>ΣΠΑΡΑΓΓΙΑ GUELPH MILLENNIUM - ΜΗ ΠΑΡΑΓΩΓΙΚΑ</t>
  </si>
  <si>
    <t>ΣΠΑΡΑΓΓΙΑ68173</t>
  </si>
  <si>
    <t>ΣΠΑΡΑΓΓΙΑ ERASMUS</t>
  </si>
  <si>
    <t>ΣΠΑΡΑΓΓΙΑ68174</t>
  </si>
  <si>
    <t>ΣΠΑΡΑΓΓΙΑ ERASMUS - ΜΗ ΠΑΡΑΓΩΓΙΚΑ</t>
  </si>
  <si>
    <t>ΣΠΑΡΑΓΓΙΑ68175</t>
  </si>
  <si>
    <t>ΣΠΑΡΑΓΓΙΑ MAXLIM - ΜΗ ΠΑΡΑΓΩΓΙΚΑ</t>
  </si>
  <si>
    <t>ΣΠΑΡΑΓΓΙΑ68176</t>
  </si>
  <si>
    <t>ΣΠΑΡΑΓΓΙΑ ASPALIM</t>
  </si>
  <si>
    <t>ΣΠΑΡΑΓΓΙΑ68177</t>
  </si>
  <si>
    <t>ΣΠΑΡΑΓΓΙΑ CANTICUS - ΜΗ ΠΑΡΑΓΩΓΙΚΑ</t>
  </si>
  <si>
    <t>ΣΠΑΡΑΓΓΙΑ68178</t>
  </si>
  <si>
    <t>ΣΠΑΡΑΓΓΙΑ FINALUS - ΜΗ ΠΑΡΑΓΩΓΙΚΑ</t>
  </si>
  <si>
    <t>ΣΠΑΡΑΓΓΙΑ68179</t>
  </si>
  <si>
    <t>ΣΠΑΡΑΓΓΙΑ ALBENGA - ΜΗ ΠΑΡΑΓΩΓΙΚΑ</t>
  </si>
  <si>
    <t>ΣΠΑΡΑΓΓΙΑ68180</t>
  </si>
  <si>
    <t>ΣΠΑΡΑΓΓΙΑ FINALUS</t>
  </si>
  <si>
    <t>ΣΠΑΡΑΓΓΙΑ68181</t>
  </si>
  <si>
    <t>ΣΠΑΡΑΓΓΙΑ GUELPH EVOLUTION - ΜΗ ΠΑΡΑΓΩΓΙΚΑ</t>
  </si>
  <si>
    <t>ΣΠΑΡΑΓΓΙΑ68182</t>
  </si>
  <si>
    <t>ΣΠΑΡΑΓΓΙΑ VERDUS - ΜΗ ΠΑΡΑΓΩΓΙΚΑ</t>
  </si>
  <si>
    <t>ΣΠΑΡΑΓΓΙΑ68183</t>
  </si>
  <si>
    <t>ΣΠΑΡΑΓΓΙΑ ALBENGA</t>
  </si>
  <si>
    <t>ΣΠΑΡΑΓΓΙΑ68184</t>
  </si>
  <si>
    <t>ΣΠΑΡΑΓΓΙΑ ASPALIM - ΜΗ ΠΑΡΑΓΩΓΙΚΑ</t>
  </si>
  <si>
    <t>ΣΠΑΡΑΓΓΙΑ68185</t>
  </si>
  <si>
    <t>ΣΠΑΡΑΓΓΙΑ EC12 - ΜΗ ΠΑΡΑΓΩΓΙΚΑ</t>
  </si>
  <si>
    <t>ΣΠΑΡΑΓΓΙΑ68186</t>
  </si>
  <si>
    <t>ΣΠΑΡΑΓΓΙΑ MAXLIM</t>
  </si>
  <si>
    <t>ΣΠΑΡΑΓΓΙΑ68187</t>
  </si>
  <si>
    <t>ΣΠΑΡΑΓΓΙΑ PACIFIC 2000</t>
  </si>
  <si>
    <t>ΣΠΑΡΑΓΓΙΑ68188</t>
  </si>
  <si>
    <t>ΣΠΑΡΑΓΓΙΑ PACIFIC 2000 - ΜΗ ΠΑΡΑΓΩΓΙΚΑ</t>
  </si>
  <si>
    <t>ΣΠΑΡΑΓΓΙΑ68189</t>
  </si>
  <si>
    <t>ΣΠΑΡΑΓΓΙΑ CANTICUS</t>
  </si>
  <si>
    <t>ΣΠΑΡΑΓΓΙΑ68190</t>
  </si>
  <si>
    <t>ΣΠΑΡΑΓΓΙΑ EC12</t>
  </si>
  <si>
    <t>ΣΠΑΡΑΓΓΙΑ68191</t>
  </si>
  <si>
    <t>ΣΠΑΡΑΓΓΙΑ VERDUS</t>
  </si>
  <si>
    <t>ΣΠΑΡΑΓΓΙΑ68192</t>
  </si>
  <si>
    <t>ΣΠΑΡΑΓΓΙΑ ROBΒEΜS</t>
  </si>
  <si>
    <t>ΣΠΑΡΑΓΓΙΑ68193</t>
  </si>
  <si>
    <t>ΣΠΑΡΑΓΓΙΑ ROBΒEΜS - ΜΗ ΠΑΡΑΓΩΓΙΚΑ</t>
  </si>
  <si>
    <t>ΣΠΑΡΑΓΓΙΑ68194</t>
  </si>
  <si>
    <t>ΣΠΑΡΑΓΓΙΑ AMADEUS</t>
  </si>
  <si>
    <t>ΣΠΑΡΑΓΓΙΑ68195</t>
  </si>
  <si>
    <t>ΣΠΑΡΑΓΓΙΑ AMADEUS - ΜΗ ΠΑΡΑΓΩΓΙΚΑ</t>
  </si>
  <si>
    <t>ΣΠΑΡΑΓΓΙΑ68196</t>
  </si>
  <si>
    <t>ΣΠΑΡΑΓΓΙΑ ATHOS</t>
  </si>
  <si>
    <t>ΣΠΑΡΑΓΓΙΑ68197</t>
  </si>
  <si>
    <t>ΣΠΑΡΑΓΓΙΑ ATHOS - ΜΗ ΠΑΡΑΓΩΓΙΚΑ</t>
  </si>
  <si>
    <t>ΣΠΑΡΑΓΓΙΑ68198</t>
  </si>
  <si>
    <t>ΣΠΑΡΑΓΓΙΑ DARVADOR</t>
  </si>
  <si>
    <t>ΣΠΑΡΑΓΓΙΑ68199</t>
  </si>
  <si>
    <t>ΣΠΑΡΑΓΓΙΑ DARVADOR - ΜΗ ΠΑΡΑΓΩΓΙΚΑ</t>
  </si>
  <si>
    <t>ΣΠΑΡΑΓΓΙΑ68200</t>
  </si>
  <si>
    <t>ΣΠΑΡΑΓΓΙΑ EROS</t>
  </si>
  <si>
    <t>ΣΠΑΡΑΓΓΙΑ68201</t>
  </si>
  <si>
    <t>ΣΠΑΡΑΓΓΙΑ EROS - ΜΗ ΠΑΡΑΓΩΓΙΚΑ</t>
  </si>
  <si>
    <t>ΣΠΑΡΑΓΓΙΑ68202</t>
  </si>
  <si>
    <t>ΣΠΑΡΑΓΓΙΑ MARCO</t>
  </si>
  <si>
    <t>ΣΠΑΡΑΓΓΙΑ68203</t>
  </si>
  <si>
    <t>ΣΠΑΡΑΓΓΙΑ MARCO - ΜΗ ΠΑΡΑΓΩΓΙΚΑ</t>
  </si>
  <si>
    <t>ΣΠΑΡΑΓΓΙΑ68204</t>
  </si>
  <si>
    <t>ΣΠΑΡΑΓΓΙΑ SPARTACUS</t>
  </si>
  <si>
    <t>ΣΠΑΡΑΓΓΙΑ68205</t>
  </si>
  <si>
    <t>ΣΠΑΡΑΓΓΙΑ SPARTACUS - ΜΗ ΠΑΡΑΓΩΓΙΚΑ</t>
  </si>
  <si>
    <t>ΣΠΑΡΑΓΓΙΑ68206</t>
  </si>
  <si>
    <t>ΣΠΑΡΑΓΓΙΑ STARLIM</t>
  </si>
  <si>
    <t>ΣΠΑΡΑΓΓΙΑ68207</t>
  </si>
  <si>
    <t>ΣΠΑΡΑΓΓΙΑ STARLIM - ΜΗ ΠΑΡΑΓΩΓΙΚΑ</t>
  </si>
  <si>
    <t>ΣΠΑΡΑΓΓΙΑ68208</t>
  </si>
  <si>
    <t>ΣΠΑΡΑΓΓΙΑ GREENIC</t>
  </si>
  <si>
    <t>ΣΠΑΡΑΓΓΙΑ68209</t>
  </si>
  <si>
    <t>ΣΠΑΡΑΓΓΙΑ GREENIC - ΜΗ ΠΑΡΑΓΩΓΙΚΑ</t>
  </si>
  <si>
    <t>ΣΠΑΡΑΓΓΙΑ68210</t>
  </si>
  <si>
    <t>ΣΠΑΡΑΓΓΙΑ GREENOX</t>
  </si>
  <si>
    <t>ΣΠΑΡΑΓΓΙΑ68211</t>
  </si>
  <si>
    <t>ΣΠΑΡΑΓΓΙΑ GREENOX - ΜΗ ΠΑΡΑΓΩΓΙΚΑ</t>
  </si>
  <si>
    <t>ΣΠΑΡΑΓΓΙΑ68212</t>
  </si>
  <si>
    <t>ΣΠΑΡΑΓΓΙΑ INTILIM</t>
  </si>
  <si>
    <t>ΣΠΑΡΑΓΓΙΑ68213</t>
  </si>
  <si>
    <t>ΣΠΑΡΑΓΓΙΑ INTILIM - ΜΗ ΠΑΡΑΓΩΓΙΚΑ</t>
  </si>
  <si>
    <t>ΣΠΑΡΑΓΓΙΑ68214</t>
  </si>
  <si>
    <t>ΣΠΑΡΑΓΓΙΑ LUNALIM</t>
  </si>
  <si>
    <t>ΣΠΑΡΑΓΓΙΑ68215</t>
  </si>
  <si>
    <t>ΣΠΑΡΑΓΓΙΑ LUNALIM - ΜΗ ΠΑΡΑΓΩΓΙΚΑ</t>
  </si>
  <si>
    <t>ΣΠΑΡΑΓΓΙΑ68216</t>
  </si>
  <si>
    <t>ΣΠΑΡΑΓΓΙΑ MARALIM</t>
  </si>
  <si>
    <t>ΣΠΑΡΑΓΓΙΑ68217</t>
  </si>
  <si>
    <t>ΣΠΑΡΑΓΓΙΑ MARALIM - ΜΗ ΠΑΡΑΓΩΓΙΚΑ</t>
  </si>
  <si>
    <t>ΣΠΑΡΑΓΓΙΑ68218</t>
  </si>
  <si>
    <t>ΣΠΑΡΑΓΓΙΑ PRESTEMS</t>
  </si>
  <si>
    <t>ΣΠΑΡΑΓΓΙΑ68219</t>
  </si>
  <si>
    <t>ΣΠΑΡΑΓΓΙΑ PRESTEMS - ΜΗ ΠΑΡΑΓΩΓΙΚΑ</t>
  </si>
  <si>
    <t>ΣΠΑΡΑΓΓΙΑ68220</t>
  </si>
  <si>
    <t>ΣΠΑΡΑΓΓΙΑ RADIUS</t>
  </si>
  <si>
    <t>ΣΠΑΡΑΓΓΙΑ68221</t>
  </si>
  <si>
    <t>ΣΠΑΡΑΓΓΙΑ RADIUS - ΜΗ ΠΑΡΑΓΩΓΙΚΑ</t>
  </si>
  <si>
    <t>ΣΠΑΡΑΓΓΙΑ68222</t>
  </si>
  <si>
    <t>ΣΠΑΡΑΓΓΙΑ SOLIM</t>
  </si>
  <si>
    <t>ΣΠΑΡΑΓΓΙΑ68223</t>
  </si>
  <si>
    <t>ΣΠΑΡΑΓΓΙΑ SOLIM - ΜΗ ΠΑΡΑΓΩΓΙΚΑ</t>
  </si>
  <si>
    <t>ΣΠΑΡΑΓΓΙΑ68224</t>
  </si>
  <si>
    <t>ΣΠΑΡΑΓΓΙΑ8203</t>
  </si>
  <si>
    <t>ΣΠΑΡΑΓΓΙΑ ΜΗ ΠΑΡΑΓΩΓΙΚΑ</t>
  </si>
  <si>
    <t>ΣΠΑΡΑΓΓΙΑ8205</t>
  </si>
  <si>
    <t>ΣΠΟΡΟΠΑΡΑΓΩΓΗ</t>
  </si>
  <si>
    <t>ΜΗΔΙΚΗ ΣΠΟΡΟΠΑΡΑΓΩΓΗΣ - MEDICAGO SATIVA</t>
  </si>
  <si>
    <t>ΣΠΟΡΟΠΑΡΑΓΩΓΗ10301</t>
  </si>
  <si>
    <t>ΤΡΙΦΥΛΛΙ ΑΛΕΞΑΝΔΡΙΝΟ ΣΠΟΡΟΠΑΡΑΓΩΓΗΣ -TRIFOLIUM ALE</t>
  </si>
  <si>
    <t>ΣΠΟΡΟΠΑΡΑΓΩΓΗ10302</t>
  </si>
  <si>
    <t>ΤΡΙΦΥΛΛΙ ΠΕΡΣΙΑΣ ΣΠΟΡΟΠΑΡΑΓΩΓΗΣ-TRIFOLIUM RESUPINA</t>
  </si>
  <si>
    <t>ΣΠΟΡΟΠΑΡΑΓΩΓΗ10303</t>
  </si>
  <si>
    <t>ΒΙΚΟΣ ΣΠΟΡΟΠΑΡΑΓΩΓΗΣ VICIA SATIVA</t>
  </si>
  <si>
    <t>ΣΠΟΡΟΠΑΡΑΓΩΓΗ10304</t>
  </si>
  <si>
    <t>ΡΕΒΥΘΙ ΚΤΗΝΟΤΡΟΦΙΚΟ ΣΠΟΡΟΠΑΡΑΓΩΓΗΣ</t>
  </si>
  <si>
    <t>ΣΠΟΡΟΠΑΡΑΓΩΓΗ25001</t>
  </si>
  <si>
    <t>ΗΔΥΣΑΡΥ ΤΟ ΣΤΕΦΑΝΟΦΟΡΟ ΣΠΟΡΟΠΑΡΑΓΩΓΗΣ</t>
  </si>
  <si>
    <t>ΣΠΟΡΟΠΑΡΑΓΩΓΗ25002</t>
  </si>
  <si>
    <t>ΛΩΤΟΣ Ο ΚΕΡΑΤΙΟΦΟΡΟΣ ΣΠΟΡΟΠΑΡΑΓΩΓΗΣ</t>
  </si>
  <si>
    <t>ΣΠΟΡΟΠΑΡΑΓΩΓΗ25003</t>
  </si>
  <si>
    <t>ΛΟΥΠΙΝΟ ΤΟ ΛΕΥΚΟ ΣΠΟΡΟΠΑΡΑΓΩΓΗΣ</t>
  </si>
  <si>
    <t>ΣΠΟΡΟΠΑΡΑΓΩΓΗ25004</t>
  </si>
  <si>
    <t>ΛΟΥΠΙΝΟ ΤΟ ΣΤΕΝΟΦΥΛΛΟ (ΜΠΛΕ) ΣΠΟΡΟΠΑΡΑΓΩΓΗΣ</t>
  </si>
  <si>
    <t>ΣΠΟΡΟΠΑΡΑΓΩΓΗ25005</t>
  </si>
  <si>
    <t>ΛΟΥΠΙΝΟ ΤΟ ΚΙΤΡΙΝΟ ΣΠΟΡΟΠΑΡΑΓΩΓΗΣ</t>
  </si>
  <si>
    <t>ΣΠΟΡΟΠΑΡΑΓΩΓΗ25006</t>
  </si>
  <si>
    <t>ΛΑΘΟΥΡΙ ΚΤΗΝΟΤΡΟΦΙΚΟ ΣΠΟΡΟΠΑΡΑΓΩΓΗΣ</t>
  </si>
  <si>
    <t>ΣΠΟΡΟΠΑΡΑΓΩΓΗ25007</t>
  </si>
  <si>
    <t>ΜΗΔΙΚΗ Η ΛΥΚΙΣΚΗ ΣΠΟΡΟΠΑΡΑΓΩΓΗΣ</t>
  </si>
  <si>
    <t>ΣΠΟΡΟΠΑΡΑΓΩΓΗ25008</t>
  </si>
  <si>
    <t>ΜΗΔΙΚΗ Η ΗΜΕΡΟΣ ΣΠΟΡΟΠΑΡΑΓΩΓΗΣ</t>
  </si>
  <si>
    <t>ΣΠΟΡΟΠΑΡΑΓΩΓΗ25009</t>
  </si>
  <si>
    <t>ΜΗΔΙΚΗ ΣΤΥΚΤΗ ΣΠΟΡΟΠΑΡΑΓΩΓΗΣ</t>
  </si>
  <si>
    <t>ΣΠΟΡΟΠΑΡΑΓΩΓΗ25010</t>
  </si>
  <si>
    <t>ΜΗΔΙΚΗ Η ΔΕΝΔΡΩΔΗΣ ΣΠΟΡΟΠΑΡΑΓΩΓΗΣ</t>
  </si>
  <si>
    <t>ΣΠΟΡΟΠΑΡΑΓΩΓΗ25011</t>
  </si>
  <si>
    <t>ΑΓΡΙΟΤΡΙΦΥΛΛΟ ΣΠΟΡΟΠΑΡΑΓΩΓΗΣ</t>
  </si>
  <si>
    <t>ΣΠΟΡΟΠΑΡΑΓΩΓΗ25012</t>
  </si>
  <si>
    <t>ΜΕΛΙΛΩΤΟΣ ΣΠΟΡΟΠΑΡΑΓΩΓΗΣ</t>
  </si>
  <si>
    <t>ΣΠΟΡΟΠΑΡΑΓΩΓΗ25013</t>
  </si>
  <si>
    <t>ΟΝΟΒΡΥΧΙΑ Η ΗΜΕΡΟΣ ΣΠΟΡΟΠΑΡΑΓΩΓΗΣ</t>
  </si>
  <si>
    <t>ΣΠΟΡΟΠΑΡΑΓΩΓΗ25014</t>
  </si>
  <si>
    <t>ΚΤΗΝΟΤΡΟΦΙΚΟ ΜΠΙΖΕΛΙ ΣΠΟΡΟΠΑΡΑΓΩΓΗΣ</t>
  </si>
  <si>
    <t>ΣΠΟΡΟΠΑΡΑΓΩΓΗ25015</t>
  </si>
  <si>
    <t>ΤΡΙΦΥΛΛΙ ΑΛΕΞΑΝΔΡΙΝΟ ΣΠΟΡΟΠΑΡΑΓΩΓΗΣ</t>
  </si>
  <si>
    <t>ΣΠΟΡΟΠΑΡΑΓΩΓΗ25016</t>
  </si>
  <si>
    <t>ΤΡΙΦΥΛΛΙ ΝΟΘΟΝ ΣΠΟΡΟΠΑΡΑΓΩΓΗΣ</t>
  </si>
  <si>
    <t>ΣΠΟΡΟΠΑΡΑΓΩΓΗ25017</t>
  </si>
  <si>
    <t>ΤΡΙΦΥΛΛΙ ΣΑΡΚΟΧΡΟΥΝ ΣΠΟΡΟΠΑΡΑΓΩΓΗΣ</t>
  </si>
  <si>
    <t>ΣΠΟΡΟΠΑΡΑΓΩΓΗ25018</t>
  </si>
  <si>
    <t>ΤΡΙΦΥΛΛΙ ΛΕΙΜΩΝΙΟΝ ΣΠΟΡΟΠΑΡΑΓΩΓΗΣ</t>
  </si>
  <si>
    <t>ΣΠΟΡΟΠΑΡΑΓΩΓΗ25019</t>
  </si>
  <si>
    <t>ΤΡΙΦΥΛΛΙ ΕΡΠΟΝ ΣΠΟΡΟΠΑΡΑΓΩΓΗΣ</t>
  </si>
  <si>
    <t>ΣΠΟΡΟΠΑΡΑΓΩΓΗ25020</t>
  </si>
  <si>
    <t>ΤΡΙΦΥΛΛΙ ΥΠΤΙΟΝ ΣΠΟΡΟΠΑΡΑΓΩΓΗΣ</t>
  </si>
  <si>
    <t>ΣΠΟΡΟΠΑΡΑΓΩΓΗ25021</t>
  </si>
  <si>
    <t>ΤΡΙΦΥΛΛΙ ΥΠΟΓΕΙΟ ΣΠΟΡΟΠΑΡΑΓΩΓΗΣ</t>
  </si>
  <si>
    <t>ΣΠΟΡΟΠΑΡΑΓΩΓΗ25022</t>
  </si>
  <si>
    <t>ΤΡΙΓΩΝΙΣΚΗ (ΜΟΣΧΟΣΙΤΑΡΟ)  ΣΠΟΡΟΠΑΡΑΓΩΓΗΣ</t>
  </si>
  <si>
    <t>ΣΠΟΡΟΠΑΡΑΓΩΓΗ25023</t>
  </si>
  <si>
    <t>ΚΤΗΝΟΤΡΟΦΙΚΟ ΚΟΥΚΙ ΣΠΟΡΟΠΑΡΑΓΩΓΗΣ</t>
  </si>
  <si>
    <t>ΣΠΟΡΟΠΑΡΑΓΩΓΗ25024</t>
  </si>
  <si>
    <t>ΒΙΚΟΣ ΟΥΓΓΡΙΚΟΣ ΣΠΟΡΟΠΑΡΑΓΩΓΗΣ</t>
  </si>
  <si>
    <t>ΣΠΟΡΟΠΑΡΑΓΩΓΗ25025</t>
  </si>
  <si>
    <t>ΒΙΚΟΣ ΚΤΗΝΟΤΡΟΦΙΚΟΣ ΣΠΟΡΟΠΑΡΑΓΩΓΗΣ</t>
  </si>
  <si>
    <t>ΣΠΟΡΟΠΑΡΑΓΩΓΗ25026</t>
  </si>
  <si>
    <t>ΒΙΚΟΣ ΑΓΡΙΟΣ ΣΠΟΡΟΠΑΡΑΓΩΓΗΣ</t>
  </si>
  <si>
    <t>ΣΠΟΡΟΠΑΡΑΓΩΓΗ25027</t>
  </si>
  <si>
    <t>ΡΟΒΗ ΣΠΟΡΟΠΑΡΑΓΩΓΗΣ</t>
  </si>
  <si>
    <t>ΣΠΟΡΟΠΑΡΑΓΩΓΗ25028</t>
  </si>
  <si>
    <t>ΦΑΚΗ ΣΠΟΡΟΠΑΡΑΓΩΓΗΣ</t>
  </si>
  <si>
    <t>ΣΠΟΡΟΠΑΡΑΓΩΓΗ25029</t>
  </si>
  <si>
    <t>ΡΕΒΥΘΙ ΣΠΟΡΟΠΑΡΑΓΩΓΗΣ</t>
  </si>
  <si>
    <t>ΣΠΟΡΟΠΑΡΑΓΩΓΗ25030</t>
  </si>
  <si>
    <t>ΚΟΥΚΙ ΒΡΩΣΙΜΟ ΣΠΟΡΟΠΑΡΑΓΩΓΗΣ</t>
  </si>
  <si>
    <t>ΣΠΟΡΟΠΑΡΑΓΩΓΗ25031</t>
  </si>
  <si>
    <t>ΛΑΘΟΥΡΙ ΒΡΩΣΙΜΟ ΣΠΟΡΟΠΑΡΑΓΩΓΗΣ</t>
  </si>
  <si>
    <t>ΣΠΟΡΟΠΑΡΑΓΩΓΗ25032</t>
  </si>
  <si>
    <t>ΛΑΘΟΥΡΙ ΩΧΡΟΣ ΣΠΟΡΟΠΑΡΑΓΩΓΗΣ</t>
  </si>
  <si>
    <t>ΣΠΟΡΟΠΑΡΑΓΩΓΗ25033</t>
  </si>
  <si>
    <t>ΛΑΘΟΥΡΙ ΚΛΥΜΕΝΟ ΣΠΟΡΟΠΑΡΑΓΩΓΗΣ</t>
  </si>
  <si>
    <t>ΣΠΟΡΟΠΑΡΑΓΩΓΗ25034</t>
  </si>
  <si>
    <t>ΦΑΣΟΛΙΑ ΚΟΙΝΑ ΣΠΟΡΟΠΑΡΑΓΩΓΗΣ</t>
  </si>
  <si>
    <t>ΣΠΟΡΟΠΑΡΑΓΩΓΗ25035</t>
  </si>
  <si>
    <t>ΦΑΣΟΛΙΑ ΓΙΓΑΝΤΕΣ ΣΠΟΡΟΠΑΡΑΓΩΓΗΣ</t>
  </si>
  <si>
    <t>ΣΠΟΡΟΠΑΡΑΓΩΓΗ25036</t>
  </si>
  <si>
    <t>ΦΑΣΟΛΙΑ ΜΑΥΡΟΜΑΤΙΚΑ ΣΠΟΡΟΠΑΡΑΓΩΓΗΣ</t>
  </si>
  <si>
    <t>ΣΠΟΡΟΠΑΡΑΓΩΓΗ25037</t>
  </si>
  <si>
    <t>ΒΑΜΒΑΚΙ ΣΠΟΡΟΠΑΡΑΓΩΓΗΣ</t>
  </si>
  <si>
    <t>ΣΠΟΡΟΠΑΡΑΓΩΓΗ25038</t>
  </si>
  <si>
    <t>ΣΟΓΙΑ ΣΠΟΡΟΠΑΡΑΓΩΓΗΣ</t>
  </si>
  <si>
    <t>ΣΠΟΡΟΠΑΡΑΓΩΓΗ25039</t>
  </si>
  <si>
    <t>ICON</t>
  </si>
  <si>
    <t>ΣΠΟΡΟΠΑΡΑΓΩΓΗ25040</t>
  </si>
  <si>
    <t>ΡΥΖΙ ΣΠΟΡΟΠΑΡΑΓΩΓΗΣ GALLILEO</t>
  </si>
  <si>
    <t>ΣΠΟΡΟΠΑΡΑΓΩΓΗ25041</t>
  </si>
  <si>
    <t>ΒΙΚΟΣ ΣΠΟΡΟΠΑΡΑΓΩΓΗΣ ALEXANDROS</t>
  </si>
  <si>
    <t>ΣΠΟΡΟΠΑΡΑΓΩΓΗ25042</t>
  </si>
  <si>
    <t>ΒΙΚΟΣ ΣΠΟΡΟΠΑΡΑΓΩΓΗΣ OMIROS</t>
  </si>
  <si>
    <t>ΣΠΟΡΟΠΑΡΑΓΩΓΗ25043</t>
  </si>
  <si>
    <t>ΒΙΚΟΣ ΣΠΟΡΟΠΑΡΑΓΩΓΗΣ IDICE</t>
  </si>
  <si>
    <t>ΣΠΟΡΟΠΑΡΑΓΩΓΗ25044</t>
  </si>
  <si>
    <t>ΒΙΚΟΣ ΣΠΟΡΟΠΑΡΑΓΩΓΗΣ TEMPI</t>
  </si>
  <si>
    <t>ΣΠΟΡΟΠΑΡΑΓΩΓΗ25045</t>
  </si>
  <si>
    <t>ΚΤΗΝΟΤΡΟΦΙΚΟ ΚΟΥΚΙ ΣΠΟΡΟΠΑΡΑΓΩΓΗΣ SOLON</t>
  </si>
  <si>
    <t>ΣΠΟΡΟΠΑΡΑΓΩΓΗ25046</t>
  </si>
  <si>
    <t>ΒΙΚΟΣ ΣΠΟΡΟΠΑΡΑΓΩΓΗΣ MARIANNA</t>
  </si>
  <si>
    <t>ΣΠΟΡΟΠΑΡΑΓΩΓΗ25047</t>
  </si>
  <si>
    <t>ΒΙΚΟΣ ΣΠΟΡΟΠΑΡΑΓΩΓΗΣ KALLIROI</t>
  </si>
  <si>
    <t>ΣΠΟΡΟΠΑΡΑΓΩΓΗ25048</t>
  </si>
  <si>
    <t>ΒΙΚΟΣ ΣΠΟΡΟΠΑΡΑΓΩΓΗΣ PIGASOS</t>
  </si>
  <si>
    <t>ΣΠΟΡΟΠΑΡΑΓΩΓΗ25049</t>
  </si>
  <si>
    <t>ΜΗΔΙΚΗ ΣΠΟΡΟΠΑΡΑΓΩΓΗΣ YLIKI</t>
  </si>
  <si>
    <t>ΣΠΟΡΟΠΑΡΑΓΩΓΗ25050</t>
  </si>
  <si>
    <t>ΚΤΗΝΟΤΡΟΦΙΚΟ ΚΟΥΚΙ ΣΠΟΡΟΠΑΡΑΓΩΓΗΣ POLYKARPI</t>
  </si>
  <si>
    <t>ΣΠΟΡΟΠΑΡΑΓΩΓΗ25051</t>
  </si>
  <si>
    <t>ΜΗΔΙΚΗ ΣΠΟΡΟΠΑΡΑΓΩΓΗΣ GEA</t>
  </si>
  <si>
    <t>ΣΠΟΡΟΠΑΡΑΓΩΓΗ25052</t>
  </si>
  <si>
    <t>ΒΙΚΟΣ ΣΠΟΡΟΠΑΡΑΓΩΓΗΣ EVINOS</t>
  </si>
  <si>
    <t>ΣΠΟΡΟΠΑΡΑΓΩΓΗ25053</t>
  </si>
  <si>
    <t>ΒΙΚΟΣ ΣΠΟΡΟΠΑΡΑΓΩΓΗΣ ZEFYROS</t>
  </si>
  <si>
    <t>ΣΠΟΡΟΠΑΡΑΓΩΓΗ25054</t>
  </si>
  <si>
    <t>ΚΤΗΝΟΤΡΟΦΙΚΟ ΜΠΙΖΕΛΙ ΣΠΟΡΟΠΑΡΑΓΩΓΗΣ DODONI</t>
  </si>
  <si>
    <t>ΣΠΟΡΟΠΑΡΑΓΩΓΗ25055</t>
  </si>
  <si>
    <t>ΜΗΔΙΚΗ ΣΠΟΡΟΠΑΡΑΓΩΓΗΣ YPATI</t>
  </si>
  <si>
    <t>ΣΠΟΡΟΠΑΡΑΓΩΓΗ25056</t>
  </si>
  <si>
    <t>ΜΗΔΙΚΗ ΣΠΟΡΟΠΑΡΑΓΩΓΗΣ AGN M72</t>
  </si>
  <si>
    <t>ΣΠΟΡΟΠΑΡΑΓΩΓΗ25057</t>
  </si>
  <si>
    <t>ΜΗΔΙΚΗ ΣΠΟΡΟΠΑΡΑΓΩΓΗΣ LARISSA</t>
  </si>
  <si>
    <t>ΣΠΟΡΟΠΑΡΑΓΩΓΗ25058</t>
  </si>
  <si>
    <t>ΚΤΗΝΟΤΡΟΦΙΚΟ ΜΠΙΖΕΛI ΣΠΟΡΟΠΑΡΑΓΩΓΗΣ ASSAS</t>
  </si>
  <si>
    <t>ΣΠΟΡΟΠΑΡΑΓΩΓΗ25059</t>
  </si>
  <si>
    <t>ΚΤΗΝΟΤΡΟΦΙΚΟ ΜΠΙΖΕΛI ΣΠΟΡΟΠΑΡΑΓΩΓΗΣ DOVE</t>
  </si>
  <si>
    <t>ΣΠΟΡΟΠΑΡΑΓΩΓΗ25060</t>
  </si>
  <si>
    <t>ΒΙΚΟΣ ΣΠΟΡΟΠΑΡΑΓΩΓΗΣ SFINGE</t>
  </si>
  <si>
    <t>ΣΠΟΡΟΠΑΡΑΓΩΓΗ25061</t>
  </si>
  <si>
    <t>ΜΗΔΙΚΗ ΣΠΟΡΟΠΑΡΑΓΩΓΗΣ DOLICHI</t>
  </si>
  <si>
    <t>ΣΠΟΡΟΠΑΡΑΓΩΓΗ25062</t>
  </si>
  <si>
    <t>ΜΗΔΙΚΗ ΣΠΟΡΟΠΑΡΑΓΩΓΗΣ NIKITA</t>
  </si>
  <si>
    <t>ΣΠΟΡΟΠΑΡΑΓΩΓΗ25063</t>
  </si>
  <si>
    <t>ΜΗΔΙΚΗ ΣΠΟΡΟΠΑΡΑΓΩΓΗΣ CORSA</t>
  </si>
  <si>
    <t>ΣΠΟΡΟΠΑΡΑΓΩΓΗ25064</t>
  </si>
  <si>
    <t>ΜΗΔΙΚΗ ΣΠΟΡΟΠΑΡΑΓΩΓΗΣ LUXOR</t>
  </si>
  <si>
    <t>ΣΠΟΡΟΠΑΡΑΓΩΓΗ25065</t>
  </si>
  <si>
    <t>ΜΗΔΙΚΗ ΣΠΟΡΟΠΑΡΑΓΩΓΗΣ BLUE ACE</t>
  </si>
  <si>
    <t>ΣΠΟΡΟΠΑΡΑΓΩΓΗ25066</t>
  </si>
  <si>
    <t>ΜΗΔΙΚΗ ΣΠΟΡΟΠΑΡΑΓΩΓΗΣ ICON</t>
  </si>
  <si>
    <t>ΣΠΟΡΟΠΑΡΑΓΩΓΗ25067</t>
  </si>
  <si>
    <t>ΜΗΔΙΚΗ ΣΠΟΡΟΠΑΡΑΓΩΓΗΣ IONIAN</t>
  </si>
  <si>
    <t>ΣΠΟΡΟΠΑΡΑΓΩΓΗ25068</t>
  </si>
  <si>
    <t>ΦΑΚΗ ΣΠΟΡΟΠΑΡΑΓΩΓΗΣ DIMITRA</t>
  </si>
  <si>
    <t>ΣΠΟΡΟΠΑΡΑΓΩΓΗ25069</t>
  </si>
  <si>
    <t>ΦΑΚΗ ΣΠΟΡΟΠΑΡΑΓΩΓΗΣ THESSALIA</t>
  </si>
  <si>
    <t>ΣΠΟΡΟΠΑΡΑΓΩΓΗ25070</t>
  </si>
  <si>
    <t>ΦΑΚΗ ΣΠΟΡΟΠΑΡΑΓΩΓΗΣ SAMOS</t>
  </si>
  <si>
    <t>ΣΠΟΡΟΠΑΡΑΓΩΓΗ25071</t>
  </si>
  <si>
    <t>ΡΕΒΙΘΙ ΣΠΟΡΟΠΑΡΑΓΩΓΗΣ GAVDOS</t>
  </si>
  <si>
    <t>ΣΠΟΡΟΠΑΡΑΓΩΓΗ25072</t>
  </si>
  <si>
    <t>ΒΙΚΟΣ ΣΠΟΡΟΠΑΡΑΓΩΓΗΣ ISTROS</t>
  </si>
  <si>
    <t>ΣΠΟΡΟΠΑΡΑΓΩΓΗ25073</t>
  </si>
  <si>
    <t>ΒΙΚΟΣ ΣΠΟΡΟΠΑΡΑΓΩΓΗΣ FILIPPOS</t>
  </si>
  <si>
    <t>ΣΠΟΡΟΠΑΡΑΓΩΓΗ25074</t>
  </si>
  <si>
    <t>ΒΙΚΟΣ ΣΠΟΡΟΠΑΡΑΓΩΓΗΣ CUMBRE</t>
  </si>
  <si>
    <t>ΣΠΟΡΟΠΑΡΑΓΩΓΗ25075</t>
  </si>
  <si>
    <t>ΒΙΚΟΣ ΣΠΟΡΟΠΑΡΑΓΩΓΗΣ KIMON</t>
  </si>
  <si>
    <t>ΣΠΟΡΟΠΑΡΑΓΩΓΗ25076</t>
  </si>
  <si>
    <t>ΒΙΚΟΣ ΣΠΟΡΟΠΑΡΑΓΩΓΗΣ LEONIDAS</t>
  </si>
  <si>
    <t>ΣΠΟΡΟΠΑΡΑΓΩΓΗ25077</t>
  </si>
  <si>
    <t>ΒΙΚΟΣ ΣΠΟΡΟΠΑΡΑΓΩΓΗΣ MIRABELLA (118/7)</t>
  </si>
  <si>
    <t>ΣΠΟΡΟΠΑΡΑΓΩΓΗ25078</t>
  </si>
  <si>
    <t>ΒΙΚΟΣ ΣΠΟΡΟΠΑΡΑΓΩΓΗΣ ROMEO</t>
  </si>
  <si>
    <t>ΣΠΟΡΟΠΑΡΑΓΩΓΗ25079</t>
  </si>
  <si>
    <t>ΒΙΚΟΣ ΣΠΟΡΟΠΑΡΑΓΩΓΗΣ SENDA DA-247</t>
  </si>
  <si>
    <t>ΣΠΟΡΟΠΑΡΑΓΩΓΗ25080</t>
  </si>
  <si>
    <t>ΚΤΗΝΟΤΡΟΦΙΚΟ ΚΟΥΚΙ ΣΠΟΡΟΠΑΡΑΓΩΓΗΣ PAVLOS</t>
  </si>
  <si>
    <t>ΣΠΟΡΟΠΑΡΑΓΩΓΗ25081</t>
  </si>
  <si>
    <t>ΚΤΗΝΟΤΡΟΦΙΚΟ ΚΟΥΚΙ ΣΠΟΡΟΠΑΡΑΓΩΓΗΣ TANAGRA</t>
  </si>
  <si>
    <t>ΣΠΟΡΟΠΑΡΑΓΩΓΗ25082</t>
  </si>
  <si>
    <t>ΚΤΗΝΟΤΡΟΦΙΚΟ ΜΠΙΖΕΛΙ ΣΠΟΡΟΠΑΡΑΓΩΓΗΣ ARVIKA</t>
  </si>
  <si>
    <t>ΣΠΟΡΟΠΑΡΑΓΩΓΗ25083</t>
  </si>
  <si>
    <t>ΚΤΗΝΟΤΡΟΦΙΚΟ ΜΠΙΖΕΛΙ ΣΠΟΡΟΠΑΡΑΓΩΓΗΣ ODYSSEAS</t>
  </si>
  <si>
    <t>ΣΠΟΡΟΠΑΡΑΓΩΓΗ25084</t>
  </si>
  <si>
    <t>ΚΤΗΝΟΤΡΟΦΙΚΟ ΜΠΙΖΕΛΙ ΣΠΟΡΟΠΑΡΑΓΩΓΗΣ OLYMPOS</t>
  </si>
  <si>
    <t>ΣΠΟΡΟΠΑΡΑΓΩΓΗ25085</t>
  </si>
  <si>
    <t>ΚΤΗΝΟΤΡΟΦΙΚΟ ΜΠΙΖΕΛΙ ΣΠΟΡΟΠΑΡΑΓΩΓΗΣ PISSO</t>
  </si>
  <si>
    <t>ΣΠΟΡΟΠΑΡΑΓΩΓΗ25086</t>
  </si>
  <si>
    <t>ΚΤΗΝΟΤΡΟΦΙΚΟ ΜΠΙΖΕΛΙ ΣΠΟΡΟΠΑΡΑΓΩΓΗΣ RESPECT</t>
  </si>
  <si>
    <t>ΣΠΟΡΟΠΑΡΑΓΩΓΗ25087</t>
  </si>
  <si>
    <t>ΚΤΗΝΟΤΡΟΦΙΚΟ ΜΠΙΖΕΛΙ ΣΠΟΡΟΠΑΡΑΓΩΓΗΣ RIF</t>
  </si>
  <si>
    <t>ΣΠΟΡΟΠΑΡΑΓΩΓΗ25088</t>
  </si>
  <si>
    <t>ΛΑΘΟΥΡΙ ΚΤΗΝΟΤΡΟΦΙΚΟ ΣΠΟΡΟΠΑΡΑΓΩΓΗΣ ARGOS</t>
  </si>
  <si>
    <t>ΣΠΟΡΟΠΑΡΑΓΩΓΗ25089</t>
  </si>
  <si>
    <t>ΛΑΘΟΥΡΙ ΚΤΗΝΟΤΡΟΦΙΚΟ ΣΠΟΡΟΠΑΡΑΓΩΓΗΣ CHIOS</t>
  </si>
  <si>
    <t>ΣΠΟΡΟΠΑΡΑΓΩΓΗ25090</t>
  </si>
  <si>
    <t>ΛΑΘΟΥΡΙ ΚΤΗΝΟΤΡΟΦΙΚΟ ΣΠΟΡΟΠΑΡΑΓΩΓΗΣ KRITI</t>
  </si>
  <si>
    <t>ΣΠΟΡΟΠΑΡΑΓΩΓΗ25091</t>
  </si>
  <si>
    <t>ΛΑΘΟΥΡΙ ΚΤΗΝΟΤΡΟΦΙΚΟ ΣΠΟΡΟΠΑΡΑΓΩΓΗΣ RODOS</t>
  </si>
  <si>
    <t>ΣΠΟΡΟΠΑΡΑΓΩΓΗ25092</t>
  </si>
  <si>
    <t>ΜΗΔΙΚΗ Η ΔΕΝΔΡΩΔΗΣ ΣΠΟΡΟΠΑΡΑΓΩΓΗΣ NAXOS</t>
  </si>
  <si>
    <t>ΣΠΟΡΟΠΑΡΑΓΩΓΗ25093</t>
  </si>
  <si>
    <t>ΜΗΔΙΚΗ ΣΠΟΡΟΠΑΡΑΓΩΓΗΣ AGN M68</t>
  </si>
  <si>
    <t>ΣΠΟΡΟΠΑΡΑΓΩΓΗ25094</t>
  </si>
  <si>
    <t>ΜΗΔΙΚΗ ΣΠΟΡΟΠΑΡΑΓΩΓΗΣ CHAIRONIA</t>
  </si>
  <si>
    <t>ΣΠΟΡΟΠΑΡΑΓΩΓΗ25095</t>
  </si>
  <si>
    <t>ΜΗΔΙΚΗ ΣΠΟΡΟΠΑΡΑΓΩΓΗΣ CHLOI</t>
  </si>
  <si>
    <t>ΣΠΟΡΟΠΑΡΑΓΩΓΗ25096</t>
  </si>
  <si>
    <t>ΜΗΔΙΚΗ ΣΠΟΡΟΠΑΡΑΓΩΓΗΣ EGANH</t>
  </si>
  <si>
    <t>ΣΠΟΡΟΠΑΡΑΓΩΓΗ25097</t>
  </si>
  <si>
    <t>ΜΗΔΙΚΗ ΣΠΟΡΟΠΑΡΑΓΩΓΗΣ ELISAVET</t>
  </si>
  <si>
    <t>ΣΠΟΡΟΠΑΡΑΓΩΓΗ25098</t>
  </si>
  <si>
    <t>ΜΗΔΙΚΗ ΣΠΟΡΟΠΑΡΑΓΩΓΗΣ FLORINA</t>
  </si>
  <si>
    <t>ΣΠΟΡΟΠΑΡΑΓΩΓΗ25099</t>
  </si>
  <si>
    <t>ΜΗΔΙΚΗ ΣΠΟΡΟΠΑΡΑΓΩΓΗΣ MEDINA</t>
  </si>
  <si>
    <t>ΣΠΟΡΟΠΑΡΑΓΩΓΗ25100</t>
  </si>
  <si>
    <t>ΜΗΔΙΚΗ ΣΠΟΡΟΠΑΡΑΓΩΓΗΣ NUBIRA</t>
  </si>
  <si>
    <t>ΣΠΟΡΟΠΑΡΑΓΩΓΗ25101</t>
  </si>
  <si>
    <t>ΜΗΔΙΚΗ ΣΠΟΡΟΠΑΡΑΓΩΓΗΣ PELLA</t>
  </si>
  <si>
    <t>ΣΠΟΡΟΠΑΡΑΓΩΓΗ25102</t>
  </si>
  <si>
    <t>ΡΕΒΙΘΙ ΒΡΩΣΙΜΟ ΣΠΟΡΟΠΑΡΑΓΩΓΗΣ AMORGOS</t>
  </si>
  <si>
    <t>ΣΠΟΡΟΠΑΡΑΓΩΓΗ25103</t>
  </si>
  <si>
    <t>ΡΕΒΙΘΙ ΒΡΩΣΙΜΟ ΣΠΟΡΟΠΑΡΑΓΩΓΗΣ ANDROS</t>
  </si>
  <si>
    <t>ΣΠΟΡΟΠΑΡΑΓΩΓΗ25104</t>
  </si>
  <si>
    <t>ΡΕΒΙΘΙ ΒΡΩΣΙΜΟ ΣΠΟΡΟΠΑΡΑΓΩΓΗΣ SERIFOS</t>
  </si>
  <si>
    <t>ΣΠΟΡΟΠΑΡΑΓΩΓΗ25105</t>
  </si>
  <si>
    <t>ΡΕΒΙΘΙ ΒΡΩΣΙΜΟ ΣΠΟΡΟΠΑΡΑΓΩΓΗΣ THIVA</t>
  </si>
  <si>
    <t>ΣΠΟΡΟΠΑΡΑΓΩΓΗ25106</t>
  </si>
  <si>
    <t>ΡΕΒΙΘΙ ΒΡΩΣΙΜΟ ΣΠΟΡΟΠΑΡΑΓΩΓΗΣ YARDEN</t>
  </si>
  <si>
    <t>ΣΠΟΡΟΠΑΡΑΓΩΓΗ25107</t>
  </si>
  <si>
    <t>ΤΡΙΦΥΛΛΙ ΑΛΕΞΑΝΔΡΙΝΟ ΣΠΟΡΟΠΑΡΑΓΩΓΗΣ KASTALIA</t>
  </si>
  <si>
    <t>ΣΠΟΡΟΠΑΡΑΓΩΓΗ25108</t>
  </si>
  <si>
    <t>ΤΡΙΦΥΛΛΙ ΑΛΕΞΑΝΔΡΙΝΟ ΣΠΟΡΟΠΑΡΑΓΩΓΗΣ PINIAS</t>
  </si>
  <si>
    <t>ΣΠΟΡΟΠΑΡΑΓΩΓΗ25109</t>
  </si>
  <si>
    <t>ΤΡΙΦΥΛΛΙ ΕΡΠΟΝ ΣΠΟΡΟΠΑΡΑΓΩΓΗΣ KONITSA</t>
  </si>
  <si>
    <t>ΣΠΟΡΟΠΑΡΑΓΩΓΗ25110</t>
  </si>
  <si>
    <t>ΤΡΙΦΥΛΛΙ ΠΕΡΣΙΚΟ ΣΠΟΡΟΠΑΡΑΓΩΓΗΣ ASOPOS</t>
  </si>
  <si>
    <t>ΣΠΟΡΟΠΑΡΑΓΩΓΗ25111</t>
  </si>
  <si>
    <t>ΤΡΙΦΥΛΛΙ ΠΕΡΣΙΚΟ ΣΠΟΡΟΠΑΡΑΓΩΓΗΣ MORNOS</t>
  </si>
  <si>
    <t>ΣΠΟΡΟΠΑΡΑΓΩΓΗ25112</t>
  </si>
  <si>
    <t>ΤΡΙΦΥΛΛΙ ΠΕΡΣΙΚΟ ΣΠΟΡΟΠΑΡΑΓΩΓΗΣ OSSA II</t>
  </si>
  <si>
    <t>ΣΠΟΡΟΠΑΡΑΓΩΓΗ25113</t>
  </si>
  <si>
    <t>ΦΑΚΗ ΣΠΟΡΟΠΑΡΑΓΩΓΗΣ ATHINA</t>
  </si>
  <si>
    <t>ΣΠΟΡΟΠΑΡΑΓΩΓΗ25114</t>
  </si>
  <si>
    <t>ΦΑΚΗ ΣΠΟΡΟΠΑΡΑΓΩΓΗΣ DEMOCRITOS</t>
  </si>
  <si>
    <t>ΣΠΟΡΟΠΑΡΑΓΩΓΗ25115</t>
  </si>
  <si>
    <t>ΦΑΚΗ ΣΠΟΡΟΠΑΡΑΓΩΓΗΣ ELPIDA</t>
  </si>
  <si>
    <t>ΣΠΟΡΟΠΑΡΑΓΩΓΗ25116</t>
  </si>
  <si>
    <t>ΦΑΚΗ ΣΠΟΡΟΠΑΡΑΓΩΓΗΣ IKARIA</t>
  </si>
  <si>
    <t>ΣΠΟΡΟΠΑΡΑΓΩΓΗ25117</t>
  </si>
  <si>
    <t>ΦΑΚΗ ΣΠΟΡΟΠΑΡΑΓΩΓΗΣ LITO</t>
  </si>
  <si>
    <t>ΣΠΟΡΟΠΑΡΑΓΩΓΗ25118</t>
  </si>
  <si>
    <t>ΦΑΣΟΛΙΑ ΚΟΙΝΑ ΣΠΟΡΟΠΑΡΑΓΩΓΗΣ ARIDEA</t>
  </si>
  <si>
    <t>ΣΠΟΡΟΠΑΡΑΓΩΓΗ25119</t>
  </si>
  <si>
    <t>ΦΑΣΟΛΙΑ ΚΟΙΝΑ ΣΠΟΡΟΠΑΡΑΓΩΓΗΣ IRO</t>
  </si>
  <si>
    <t>ΣΠΟΡΟΠΑΡΑΓΩΓΗ25120</t>
  </si>
  <si>
    <t>ΦΑΣΟΛΙΑ ΚΟΙΝΑ ΣΠΟΡΟΠΑΡΑΓΩΓΗΣ LIDA</t>
  </si>
  <si>
    <t>ΣΠΟΡΟΠΑΡΑΓΩΓΗ25121</t>
  </si>
  <si>
    <t>ΦΑΣΟΛΙΑ ΚΟΙΝΑ ΣΠΟΡΟΠΑΡΑΓΩΓΗΣ MIRSINI</t>
  </si>
  <si>
    <t>ΣΠΟΡΟΠΑΡΑΓΩΓΗ25122</t>
  </si>
  <si>
    <t>ΦΑΣΟΛΙΑ ΚΟΙΝΑ ΣΠΟΡΟΠΑΡΑΓΩΓΗΣ PIRGETOS</t>
  </si>
  <si>
    <t>ΣΠΟΡΟΠΑΡΑΓΩΓΗ25123</t>
  </si>
  <si>
    <t>ΦΑΣΟΛΙΑ ΚΟΙΝΑ ΣΠΟΡΟΠΑΡΑΓΩΓΗΣ RAPSANI</t>
  </si>
  <si>
    <t>ΣΠΟΡΟΠΑΡΑΓΩΓΗ25124</t>
  </si>
  <si>
    <t>ΦΑΣΟΛΙΑ ΚΟΙΝΑ ΣΠΟΡΟΠΑΡΑΓΩΓΗΣ SEMELI</t>
  </si>
  <si>
    <t>ΣΠΟΡΟΠΑΡΑΓΩΓΗ25125</t>
  </si>
  <si>
    <t>ΒΙΚΟΣ ΣΠΟΡΟΠΑΡΑΓΩΓΗΣ JOSE</t>
  </si>
  <si>
    <t>ΣΠΟΡΟΠΑΡΑΓΩΓΗ25126</t>
  </si>
  <si>
    <t>ΜΗΔΙΚΗ ΣΠΟΡΟΠΑΡΑΓΩΓΗΣ PREMARIACCO</t>
  </si>
  <si>
    <t>ΣΠΟΡΟΠΑΡΑΓΩΓΗ25127</t>
  </si>
  <si>
    <t>ΤΡΙΦΥΛΛΙ ΑΛΕΞΑΝΔΡΙΝΟ ΣΠΟΡΟΠΑΡΑΓΩΓΗΣ ALEX</t>
  </si>
  <si>
    <t>ΣΠΟΡΟΠΑΡΑΓΩΓΗ25128</t>
  </si>
  <si>
    <t>ΒΙΣΕΡΟΥΛΑ Η ΠΕΛΕΚΙΝΗ ΣΠΟΡΟΠΑΡΑΓΩΓΗΣ</t>
  </si>
  <si>
    <t>ΣΠΟΡΟΠΑΡΑΓΩΓΗ25129</t>
  </si>
  <si>
    <t>ΓΑΛΕΛΑ Η ΑΝΑΤΟΛΙΚΗ ΣΠΟΡΟΠΑΡΑΓΩΓΗΣ</t>
  </si>
  <si>
    <t>ΣΠΟΡΟΠΑΡΑΓΩΓΗ25130</t>
  </si>
  <si>
    <t>ΜΗΔΙΚΗ Η ΑΚΑΝΘΩΔΗΣ ΣΠΟΡΟΠΑΡΑΓΩΓΗΣ</t>
  </si>
  <si>
    <t>ΣΠΟΡΟΠΑΡΑΓΩΓΗ25131</t>
  </si>
  <si>
    <t>ΜΗΔΙΚΗ Η ΙΤΑΛΙΚΗ ΣΠΟΡΟΠΑΡΑΓΩΓΗΣ</t>
  </si>
  <si>
    <t>ΣΠΟΡΟΠΑΡΑΓΩΓΗ25132</t>
  </si>
  <si>
    <t>ΜΗΔΙΚΗ Η ΠΑΡΑΛΙΟΣ ΣΠΟΡΟΠΑΡΑΓΩΓΗΣ</t>
  </si>
  <si>
    <t>ΣΠΟΡΟΠΑΡΑΓΩΓΗ25133</t>
  </si>
  <si>
    <t>ΜΗΔΙΚΗ Η ΣΦΑΙΡΟΚΑΡΠΟΣ ΣΠΟΡΟΠΑΡΑΓΩΓΗΣ</t>
  </si>
  <si>
    <t>ΣΠΟΡΟΠΑΡΑΓΩΓΗ25134</t>
  </si>
  <si>
    <t>ΜΗΔΙΚΗ Η ΠΟΛΥΜΟΡΦΗ ΣΠΟΡΟΠΑΡΑΓΩΓΗΣ</t>
  </si>
  <si>
    <t>ΣΠΟΡΟΠΑΡΑΓΩΓΗ25135</t>
  </si>
  <si>
    <t>ΜΗΔΙΚΗ Η ΡΙΚΝΗ ΣΠΟΡΟΠΑΡΑΓΩΓΗΣ</t>
  </si>
  <si>
    <t>ΣΠΟΡΟΠΑΡΑΓΩΓΗ25136</t>
  </si>
  <si>
    <t>ΜΗΔΙΚΗ Η ΠΙΝΑΚΟΕΙΔΗΣ ΣΠΟΡΟΠΑΡΑΓΩΓΗΣ</t>
  </si>
  <si>
    <t>ΣΠΟΡΟΠΑΡΑΓΩΓΗ25137</t>
  </si>
  <si>
    <t>ΜΗΔΙΚΗ ΒΑΡΕΛΩΤΗ ΣΠΟΡΟΠΑΡΑΓΩΓΗΣ</t>
  </si>
  <si>
    <t>ΣΠΟΡΟΠΑΡΑΓΩΓΗ25138</t>
  </si>
  <si>
    <t>ΟΡΝΙΘΟΠΟΥΣ Ο ΠΕΠΛΑΤΥΣΜΕΝΟΣ ΣΠΟΡΟΠΑΡΑΓΩΓΗΣ</t>
  </si>
  <si>
    <t>ΣΠΟΡΟΠΑΡΑΓΩΓΗ25139</t>
  </si>
  <si>
    <t>ΟΡΝΙΘΟΠΟΥΣ Ο ΒΡΩΣΙΜΟΣ ΣΠΟΡΟΠΑΡΑΓΩΓΗΣ</t>
  </si>
  <si>
    <t>ΣΠΟΡΟΠΑΡΑΓΩΓΗ25140</t>
  </si>
  <si>
    <t>ΤΡΙΦΥΛΛΙ ΤΟ ΧΑΜΑΙΚΕΡΑΣΟ ΣΠΟΡΟΠΑΡΑΓΩΓΗΣ</t>
  </si>
  <si>
    <t>ΣΠΟΡΟΠΑΡΑΓΩΓΗ25141</t>
  </si>
  <si>
    <t>ΤΡΙΦΥΛΛΙ ΤΟ ΑΔΕΝΙΚΟ ΣΠΟΡΟΠΑΡΑΓΩΓΗΣ</t>
  </si>
  <si>
    <t>ΣΠΟΡΟΠΑΡΑΓΩΓΗ25142</t>
  </si>
  <si>
    <t>ΤΡΙΦΥΛΛΙ ΤΟ ΡΟΔΟΧΡΟΥΝ ΣΠΟΡΟΠΑΡΑΓΩΓΗΣ</t>
  </si>
  <si>
    <t>ΣΠΟΡΟΠΑΡΑΓΩΓΗ25143</t>
  </si>
  <si>
    <t>ΤΡΙΦΥΛΛΙ ΤΟ ΜΑΡΟΚΙΝΟ ΣΠΟΡΟΠΑΡΑΓΩΓΗΣ</t>
  </si>
  <si>
    <t>ΣΠΟΡΟΠΑΡΑΓΩΓΗ25144</t>
  </si>
  <si>
    <t>ΤΡΙΦΥΛΛΙ BALANSA ΣΠΟΡΟΠΑΡΑΓΩΓΗΣ</t>
  </si>
  <si>
    <t>ΣΠΟΡΟΠΑΡΑΓΩΓΗ25145</t>
  </si>
  <si>
    <t>ΤΡΙΦΥΛΛΙ SQUARROSE ΣΠΟΡΟΠΑΡΑΓΩΓΗΣ</t>
  </si>
  <si>
    <t>ΣΠΟΡΟΠΑΡΑΓΩΓΗ25146</t>
  </si>
  <si>
    <t>ΤΡΙΦΥΛΛΙ ΤΟ ΚΥΣΤΩΔΕΣ ΣΠΟΡΟΠΑΡΑΓΩΓΗΣ</t>
  </si>
  <si>
    <t>ΣΠΟΡΟΠΑΡΑΓΩΓΗ25147</t>
  </si>
  <si>
    <t>ΒΙΚΟΣ Ο ΙΩΔΗΣ ΣΠΟΡΟΠΑΡΑΓΩΓΗΣ</t>
  </si>
  <si>
    <t>ΣΠΟΡΟΠΑΡΑΓΩΓΗ25148</t>
  </si>
  <si>
    <t>ΚΤΗΝΟΤΡΟΦΙΚΟ ΜΠΙΖΕΛΙ ΣΠΟΡΟΠΑΡΑΓΩΓΗΣ LIVIOLETTA</t>
  </si>
  <si>
    <t>ΣΠΟΡΟΠΑΡΑΓΩΓΗ25149</t>
  </si>
  <si>
    <t>ΦΑΣΟΛΙ BARBOUNI ANARICHOMENO ΣΠΟΡΟΠΑΡΑΓΩΓΗΣ</t>
  </si>
  <si>
    <t>ΣΠΟΡΟΠΑΡΑΓΩΓΗ25150</t>
  </si>
  <si>
    <t>ΚΤΗΝΟΤΡΟΦΙΚΟ ΜΠΙΖΕΛΙ ΣΠΟΡΟΠΑΡΑΓΩΓΗΣ LISA</t>
  </si>
  <si>
    <t>ΣΠΟΡΟΠΑΡΑΓΩΓΗ25151</t>
  </si>
  <si>
    <t>ΚΤΗΝΟΤΡΟΦΙΚΟ ΜΠΙΖΕΛΙ ΣΠΟΡΟΠΑΡΑΓΩΓΗΣ ASCENSION</t>
  </si>
  <si>
    <t>ΣΠΟΡΟΠΑΡΑΓΩΓΗ25152</t>
  </si>
  <si>
    <t>ΚΤΗΝΟΤΡΟΦΙΚΟ ΜΠΙΖΕΛΙ ΣΠΟΡΟΠΑΡΑΓΩΓΗΣ AVIRON</t>
  </si>
  <si>
    <t>ΣΠΟΡΟΠΑΡΑΓΩΓΗ25153</t>
  </si>
  <si>
    <t>ΣΠΟΡΟΠΑΡΑΓΩΓΗ25154</t>
  </si>
  <si>
    <t>ΜΗΔΙΚΗ ΣΠΟΡΟΠΑΡΑΓΩΓΗΣ JULIA</t>
  </si>
  <si>
    <t>ΣΠΟΡΟΠΑΡΑΓΩΓΗ25155</t>
  </si>
  <si>
    <t>ΜΗΔΙΚΗ ΣΠΟΡΟΠΑΡΑΓΩΓΗΣ EZZELINA</t>
  </si>
  <si>
    <t>ΣΠΟΡΟΠΑΡΑΓΩΓΗ25156</t>
  </si>
  <si>
    <t>ΣΠΟΡΟΠΑΡΑΓΩΓΗ25157</t>
  </si>
  <si>
    <t>ΜΗΔΙΚΗ ΣΠΟΡΟΠΑΡΑΓΩΓΗΣ VICTORIA</t>
  </si>
  <si>
    <t>ΣΠΟΡΟΠΑΡΑΓΩΓΗ25158</t>
  </si>
  <si>
    <t>ΚΤΗΝΟΤΡΟΦΙΚΟ ΚΟΥΚΙ ΣΠΟΡΟΠΑΡΑΓΩΓΗΣ ALBUS</t>
  </si>
  <si>
    <t>ΣΠΟΡΟΠΑΡΑΓΩΓΗ25159</t>
  </si>
  <si>
    <t>ΚΤΗΝΟΤΡΟΦΙΚΟ ΚΟΥΚΙ ΣΠΟΡΟΠΑΡΑΓΩΓΗΣ MERKUR</t>
  </si>
  <si>
    <t>ΣΠΟΡΟΠΑΡΑΓΩΓΗ25160</t>
  </si>
  <si>
    <t>ΜΗΔΙΚΗ ΣΠΟΡΟΠΑΡΑΓΩΓΗΣ CANE</t>
  </si>
  <si>
    <t>ΣΠΟΡΟΠΑΡΑΓΩΓΗ25161</t>
  </si>
  <si>
    <t>ΣΠΟΡΟΠΑΡΑΓΩΓΗ25162</t>
  </si>
  <si>
    <t>ΜΗΔΙΚΗ ΣΠΟΡΟΠΑΡΑΓΩΓΗΣ PROSEMENTI BOLOGNA</t>
  </si>
  <si>
    <t>ΣΠΟΡΟΠΑΡΑΓΩΓΗ25163</t>
  </si>
  <si>
    <t>ΜΗΔΙΚΗ ΣΠΟΡΟΠΑΡΑΓΩΓΗΣ CLAUDIA</t>
  </si>
  <si>
    <t>ΣΠΟΡΟΠΑΡΑΓΩΓΗ25164</t>
  </si>
  <si>
    <t>ΖΑΧΑΡΟΤΕΥΤΛΑ ΣΠΟΡΟΠΑΡΑΓΩΓΗΣ CRETA</t>
  </si>
  <si>
    <t>ΣΠΟΡΟΠΑΡΑΓΩΓΗ25165</t>
  </si>
  <si>
    <t>ΖΑΧΑΡΟΤΕΥΤΛΑ ΣΠΟΡΟΠΑΡΑΓΩΓΗΣ MERAK</t>
  </si>
  <si>
    <t>ΣΠΟΡΟΠΑΡΑΓΩΓΗ25166</t>
  </si>
  <si>
    <t>ΖΑΧΑΡΟΤΕΥΤΛΑ ΣΠΟΡΟΠΑΡΑΓΩΓΗΣ KEVIN</t>
  </si>
  <si>
    <t>ΣΠΟΡΟΠΑΡΑΓΩΓΗ25167</t>
  </si>
  <si>
    <t>ΖΑΧΑΡΟΤΕΥΤΛΑ ΣΠΟΡΟΠΑΡΑΓΩΓΗΣ TAIFUN</t>
  </si>
  <si>
    <t>ΣΠΟΡΟΠΑΡΑΓΩΓΗ25168</t>
  </si>
  <si>
    <t>ΖΑΧΑΡΟΤΕΥΤΛΑ ΣΠΟΡΟΠΑΡΑΓΩΓΗΣ KONRAD</t>
  </si>
  <si>
    <t>ΣΠΟΡΟΠΑΡΑΓΩΓΗ25169</t>
  </si>
  <si>
    <t>ΖΑΧΑΡΟΤΕΥΤΛΑ ΣΠΟΡΟΠΑΡΑΓΩΓΗΣ FRED</t>
  </si>
  <si>
    <t>ΣΠΟΡΟΠΑΡΑΓΩΓΗ25170</t>
  </si>
  <si>
    <t>ΖΑΧΑΡΟΤΕΥΤΛΑ ΣΠΟΡΟΠΑΡΑΓΩΓΗΣ NAGANO</t>
  </si>
  <si>
    <t>ΣΠΟΡΟΠΑΡΑΓΩΓΗ25171</t>
  </si>
  <si>
    <t>ΖΑΧΑΡΟΤΕΥΤΛΑ ΣΠΟΡΟΠΑΡΑΓΩΓΗΣ PALMA</t>
  </si>
  <si>
    <t>ΣΠΟΡΟΠΑΡΑΓΩΓΗ25172</t>
  </si>
  <si>
    <t>ΖΑΧΑΡΟΤΕΥΤΛΑ ΣΠΟΡΟΠΑΡΑΓΩΓΗΣ CONTINENTAL</t>
  </si>
  <si>
    <t>ΣΠΟΡΟΠΑΡΑΓΩΓΗ25173</t>
  </si>
  <si>
    <t>ΖΑΧΑΡΟΤΕΥΤΛΑ ΣΠΟΡΟΠΑΡΑΓΩΓΗΣ EFESOS</t>
  </si>
  <si>
    <t>ΣΠΟΡΟΠΑΡΑΓΩΓΗ25174</t>
  </si>
  <si>
    <t>ΖΑΧΑΡΟΤΕΥΤΛΑ ΣΠΟΡΟΠΑΡΑΓΩΓΗΣ NESTORIX</t>
  </si>
  <si>
    <t>ΣΠΟΡΟΠΑΡΑΓΩΓΗ25175</t>
  </si>
  <si>
    <t>ΖΑΧΑΡΟΤΕΥΤΛΑ ΣΠΟΡΟΠΑΡΑΓΩΓΗΣ TILMAN</t>
  </si>
  <si>
    <t>ΣΠΟΡΟΠΑΡΑΓΩΓΗ25176</t>
  </si>
  <si>
    <t>ΚΤΗΝΟΤΡΟΦΙΚΟ ΜΠΙΖΕΛΙ ΣΠΟΡΟΠΑΡΑΓΩΓΗΣ ANDREA</t>
  </si>
  <si>
    <t>ΣΠΟΡΟΠΑΡΑΓΩΓΗ25177</t>
  </si>
  <si>
    <t>ΒΙΚΟΣ ΣΠΟΡΟΠΑΡΑΓΩΓΗΣ MILUKA</t>
  </si>
  <si>
    <t>ΣΠΟΡΟΠΑΡΑΓΩΓΗ25178</t>
  </si>
  <si>
    <t>ΦΑΣΟΛΙΑ ZARGANA CHRISOUPOLIS KAVALAS ΣΠΟΡΟΠΑΡΑΓΩΓΗΣ</t>
  </si>
  <si>
    <t>ΣΠΟΡΟΠΑΡΑΓΩΓΗ25179</t>
  </si>
  <si>
    <t>ΜΗΔΙΚΗ ΣΠΟΡΟΠΑΡΑΓΩΓΗΣ PR59N59</t>
  </si>
  <si>
    <t>ΣΠΟΡΟΠΑΡΑΓΩΓΗ25180</t>
  </si>
  <si>
    <t>ΚΤΗΝΟΤΡΟΦΙΚΟ ΚΟΥΚΙ ΣΠΟΡΟΠΑΡΑΓΩΓΗΣ SCURO DI TORRE LAMA</t>
  </si>
  <si>
    <t>ΣΠΟΡΟΠΑΡΑΓΩΓΗ25181</t>
  </si>
  <si>
    <t>ΚΤΗΝΟΤΡΟΦΙΚΟ ΜΠΙΖΕΛΙ ΣΠΟΡΟΠΑΡΑΓΩΓΗΣ GUIFREDO</t>
  </si>
  <si>
    <t>ΣΠΟΡΟΠΑΡΑΓΩΓΗ25182</t>
  </si>
  <si>
    <t>ΒΙΚΟΣ ΣΠΟΡΟΠΑΡΑΓΩΓΗΣ OTHELLOS</t>
  </si>
  <si>
    <t>ΣΠΟΡΟΠΑΡΑΓΩΓΗ25183</t>
  </si>
  <si>
    <t>ΚΤΗΝΟΤΡΟΦΙΚΟ ΜΠΙΖΕΛΙ ΣΠΟΡΟΠΑΡΑΓΩΓΗΣ NAVARRO</t>
  </si>
  <si>
    <t>ΣΠΟΡΟΠΑΡΑΓΩΓΗ25184</t>
  </si>
  <si>
    <t>ΚΤΗΝΟΤΡΟΦΙΚΟ ΜΠΙΖΕΛΙ ΣΠΟΡΟΠΑΡΑΓΩΓΗΣ FORRIMAX</t>
  </si>
  <si>
    <t>ΣΠΟΡΟΠΑΡΑΓΩΓΗ25185</t>
  </si>
  <si>
    <t>ΚΤΗΝΟΤΡΟΦΙΚΟ ΚΟΥΚΙ ΣΠΟΡΟΠΑΡΑΓΩΓΗΣ CHIARO DI TORRE LAMA</t>
  </si>
  <si>
    <t>ΣΠΟΡΟΠΑΡΑΓΩΓΗ25186</t>
  </si>
  <si>
    <t>ΛΟΥΠΙΝΟ ΛΕΥΚΟ ΣΠΟΡΟΠΑΡΑΓΩΓΗΣ TENNIS</t>
  </si>
  <si>
    <t>ΣΠΟΡΟΠΑΡΑΓΩΓΗ25187</t>
  </si>
  <si>
    <t>ΣΠΟΡΟΠΑΡΑΓΩΓΗ25188</t>
  </si>
  <si>
    <t>ΚΤΗΝΟΤΡΟΦΙΚΟ ΜΠΙΖΕΛΙ ΣΠΟΡΟΠΑΡΑΓΩΓΗΣ ENDURO</t>
  </si>
  <si>
    <t>ΣΠΟΡΟΠΑΡΑΓΩΓΗ25189</t>
  </si>
  <si>
    <t>ΜΗΔΙΚΗ ΣΠΟΡΟΠΑΡΑΓΩΓΗΣ NEFELI</t>
  </si>
  <si>
    <t>ΣΠΟΡΟΠΑΡΑΓΩΓΗ25190</t>
  </si>
  <si>
    <t>ΦΑΣΟΛΙΑ ΣΠΟΡΟΠΑΡΑΓΩΓΗΣ MOV19</t>
  </si>
  <si>
    <t>ΣΠΟΡΟΠΑΡΑΓΩΓΗ25191</t>
  </si>
  <si>
    <t>ΜΗΔΙΚΗ ΣΠΟΡΟΠΑΡΑΓΩΓΗΣ NG610</t>
  </si>
  <si>
    <t>ΣΠΟΡΟΠΑΡΑΓΩΓΗ25192</t>
  </si>
  <si>
    <t>ΜΗΔΙΚΗ ΣΠΟΡΟΠΑΡΑΓΩΓΗΣ NG900</t>
  </si>
  <si>
    <t>ΣΠΟΡΟΠΑΡΑΓΩΓΗ25193</t>
  </si>
  <si>
    <t>ΜΗΔΙΚΗ ΣΠΟΡΟΠΑΡΑΓΩΓΗΣ NG999</t>
  </si>
  <si>
    <t>ΣΠΟΡΟΠΑΡΑΓΩΓΗ25194</t>
  </si>
  <si>
    <t>ΜΗΔΙΚΗ ΣΠΟΡΟΠΑΡΑΓΩΓΗΣ PRINCE</t>
  </si>
  <si>
    <t>ΣΠΟΡΟΠΑΡΑΓΩΓΗ25195</t>
  </si>
  <si>
    <t>ΜΗΔΙΚΗ ΣΠΟΡΟΠΑΡΑΓΩΓΗΣ ROMANZA</t>
  </si>
  <si>
    <t>ΣΠΟΡΟΠΑΡΑΓΩΓΗ25196</t>
  </si>
  <si>
    <t>ΜΗΔΙΚΗ ΣΠΟΡΟΠΑΡΑΓΩΓΗΣ VASILIKI</t>
  </si>
  <si>
    <t>ΣΠΟΡΟΠΑΡΑΓΩΓΗ25197</t>
  </si>
  <si>
    <t>ΜΗΔΙΚΗ ΣΠΟΡΟΠΑΡΑΓΩΓΗΣ ARISTI</t>
  </si>
  <si>
    <t>ΣΠΟΡΟΠΑΡΑΓΩΓΗ25198</t>
  </si>
  <si>
    <t>ΜΗΔΙΚΗ ΣΠΟΡΟΠΑΡΑΓΩΓΗΣ BABYLON</t>
  </si>
  <si>
    <t>ΣΠΟΡΟΠΑΡΑΓΩΓΗ25199</t>
  </si>
  <si>
    <t>ΜΗΔΙΚΗ ΣΠΟΡΟΠΑΡΑΓΩΓΗΣ BONITA</t>
  </si>
  <si>
    <t>ΣΠΟΡΟΠΑΡΑΓΩΓΗ25200</t>
  </si>
  <si>
    <t>ΜΗΔΙΚΗ ΣΠΟΡΟΠΑΡΑΓΩΓΗΣ CRISTIN</t>
  </si>
  <si>
    <t>ΣΠΟΡΟΠΑΡΑΓΩΓΗ25201</t>
  </si>
  <si>
    <t>ΜΗΔΙΚΗ ΣΠΟΡΟΠΑΡΑΓΩΓΗΣ KALLIOPI</t>
  </si>
  <si>
    <t>ΣΠΟΡΟΠΑΡΑΓΩΓΗ25202</t>
  </si>
  <si>
    <t>ΜΗΔΙΚΗ ΣΠΟΡΟΠΑΡΑΓΩΓΗΣ LIDER</t>
  </si>
  <si>
    <t>ΣΠΟΡΟΠΑΡΑΓΩΓΗ25203</t>
  </si>
  <si>
    <t>ΣΠΟΡΟΠΑΡΑΓΩΓΗ25204</t>
  </si>
  <si>
    <t>ΜΗΔΙΚΗ ΣΠΟΡΟΠΑΡΑΓΩΓΗΣ MINERVA</t>
  </si>
  <si>
    <t>ΣΠΟΡΟΠΑΡΑΓΩΓΗ25205</t>
  </si>
  <si>
    <t>ΒΙΚΟΣ ΣΠΟΡΟΠΑΡΑΓΩΓΗΣ PERSEAS</t>
  </si>
  <si>
    <t>ΣΠΟΡΟΠΑΡΑΓΩΓΗ25206</t>
  </si>
  <si>
    <t>ΤΡΙΤΙΚΑΛΕ ΣΠΟΡΟΠΑΡΑΓΩΓΗΣ CATRIA</t>
  </si>
  <si>
    <t>ΣΠΟΡΟΠΑΡΑΓΩΓΗ25207</t>
  </si>
  <si>
    <t>ΜΗΔΙΚΗ ΣΠΟΡΟΠΑΡΑΓΩΓΗΣ BLUE MOON</t>
  </si>
  <si>
    <t>ΣΠΟΡΟΠΑΡΑΓΩΓΗ25208</t>
  </si>
  <si>
    <t>ΦΑΣΟΛΙA KOINA (ΦΑΣΟΛΙ ΝΑΝΟΣ)  ΣΠΟΡΟΠΑΡΑΓΩΓΗΣ AISES</t>
  </si>
  <si>
    <t>ΣΠΟΡΟΠΑΡΑΓΩΓΗ25209</t>
  </si>
  <si>
    <t>ΦΑΣΟΛΙA KOINA (ΦΑΣΟΛΙ ΝΑΝΟΣ)  ΣΠΟΡΟΠΑΡΑΓΩΓΗΣ ZARGANA KAVALAS</t>
  </si>
  <si>
    <t>ΣΠΟΡΟΠΑΡΑΓΩΓΗ25210</t>
  </si>
  <si>
    <t>ΚΤΗΝΟΤΡΟΦΙΚΟ ΜΠΙΖΕΛΙ ΣΠΟΡΟΠΑΡΑΓΩΓΗΣ THISEAS</t>
  </si>
  <si>
    <t>ΣΠΟΡΟΠΑΡΑΓΩΓΗ25211</t>
  </si>
  <si>
    <t>ΜΗΔΙΚΗ ΣΠΟΡΟΠΑΡΑΓΩΓΗΣ RIVIERA VICENTINA</t>
  </si>
  <si>
    <t>ΣΠΟΡΟΠΑΡΑΓΩΓΗ25212</t>
  </si>
  <si>
    <t>ΚΤΗΝΟΤΡΟΦΙΚΟ ΜΠΙΖΕΛΙ ΣΠΟΡΟΠΑΡΑΓΩΓΗΣ OSSA</t>
  </si>
  <si>
    <t>ΣΠΟΡΟΠΑΡΑΓΩΓΗ25213</t>
  </si>
  <si>
    <t>ΚΤΗΝΟΤΡΟΦΙΚΟ ΜΠΙΖΕΛΙ ΣΠΟΡΟΠΑΡΑΓΩΓΗΣ SAOS</t>
  </si>
  <si>
    <t>ΣΠΟΡΟΠΑΡΑΓΩΓΗ25214</t>
  </si>
  <si>
    <t>ΚΤΗΝΟΤΡΟΦΙΚΟ ΜΠΙΖΕΛΙ ΣΠΟΡΟΠΑΡΑΓΩΓΗΣ GUINDA</t>
  </si>
  <si>
    <t>ΣΠΟΡΟΠΑΡΑΓΩΓΗ25215</t>
  </si>
  <si>
    <t>ΣΠΟΡΟΠΑΡΑΓΩΓΗ25216</t>
  </si>
  <si>
    <t>ΜΗΔΙΚΗ ΣΠΟΡΟΠΑΡΑΓΩΓΗΣ SILVERADO</t>
  </si>
  <si>
    <t>ΣΠΟΡΟΠΑΡΑΓΩΓΗ25217</t>
  </si>
  <si>
    <t>ΚΤΗΝΟΤΡΟΦΙΚΟ ΚΟΥΚΙ ΣΠΟΡΟΠΑΡΑΓΩΓΗΣ VESUVIO</t>
  </si>
  <si>
    <t>ΣΠΟΡΟΠΑΡΑΓΩΓΗ25218</t>
  </si>
  <si>
    <t>ΤΡΙΦΥΛΛΙ ΑΛΕΞΑΝΔΡΙΝΟ ΣΠΟΡΟΠΑΡΑΓΩΓΗΣ MARMILLA</t>
  </si>
  <si>
    <t>ΣΠΟΡΟΠΑΡΑΓΩΓΗ25219</t>
  </si>
  <si>
    <t>ΦΑΚΗ ΣΠΟΡΟΠΑΡΑΓΩΓΗΣ CHARA</t>
  </si>
  <si>
    <t>ΣΠΟΡΟΠΑΡΑΓΩΓΗ25220</t>
  </si>
  <si>
    <t>ΦΑΣΟΛΙΑ ΚΟΙΝΑ ΣΠΟΡΟΠΑΡΑΓΩΓΗΣ LUMINOSA</t>
  </si>
  <si>
    <t>ΣΠΟΡΟΠΑΡΑΓΩΓΗ25221</t>
  </si>
  <si>
    <t>ΒΙΚΟΣ ΣΠΟΡΟΠΑΡΑΓΩΓΗΣ PANDORA</t>
  </si>
  <si>
    <t>ΣΠΟΡΟΠΑΡΑΓΩΓΗ25222</t>
  </si>
  <si>
    <t>ΚΤΗΝΟΤΡΟΦΙΚΟ ΚΟΥΚΙ ΣΠΟΡΟΠΑΡΑΓΩΓΗΣ ENRICO</t>
  </si>
  <si>
    <t>ΣΠΟΡΟΠΑΡΑΓΩΓΗ25223</t>
  </si>
  <si>
    <t>ΚΤΗΝΟΤΡΟΦΙΚΟ ΚΟΥΚΙ ΣΠΟΡΟΠΑΡΑΓΩΓΗΣ KASOS</t>
  </si>
  <si>
    <t>ΣΠΟΡΟΠΑΡΑΓΩΓΗ25224</t>
  </si>
  <si>
    <t>ΤΡΙΦΥΛΛΙ ΑΛΕΞΑΝΔΡΙΝΟ ΣΠΟΡΟΠΑΡΑΓΩΓΗΣ MIRIAM</t>
  </si>
  <si>
    <t>ΣΠΟΡΟΠΑΡΑΓΩΓΗ25225</t>
  </si>
  <si>
    <t>ΤΡΙΦΥΛΛΙ ΑΛΕΞΑΝΔΡΙΝΟ ΣΠΟΡΟΠΑΡΑΓΩΓΗΣ OTTO</t>
  </si>
  <si>
    <t>ΣΠΟΡΟΠΑΡΑΓΩΓΗ25226</t>
  </si>
  <si>
    <t>ΦΑΣΟΛΙ ΣΠΟΡΟΠΑΡΑΓΩΓΗΣ ΚΟΚ 20</t>
  </si>
  <si>
    <t>ΣΠΟΡΟΠΑΡΑΓΩΓΗ25227</t>
  </si>
  <si>
    <t>ΜΗΔΙΚΗ ΣΠΟΡΟΠΑΡΑΓΩΓΗΣ OLYMPOS</t>
  </si>
  <si>
    <t>ΣΠΟΡΟΠΑΡΑΓΩΓΗ25228</t>
  </si>
  <si>
    <t>ΜΗΔΙΚΗ ΣΠΟΡΟΠΑΡΑΓΩΓΗΣ HYPERION</t>
  </si>
  <si>
    <t>ΣΠΟΡΟΠΑΡΑΓΩΓΗ25229</t>
  </si>
  <si>
    <t>ΚΤΗΝΟΤΡΟΦΙΚΟ ΜΠΙΖΕΛΙ ΣΠΟΡΟΠΑΡΑΓΩΓΗΣ ARKTA</t>
  </si>
  <si>
    <t>ΣΠΟΡΟΠΑΡΑΓΩΓΗ25230</t>
  </si>
  <si>
    <t>ΤΡΙΤΙΚΑΛΕ ΣΠΟΡΟΠΑΡΑΓΩΓΗΣ ZUHAT</t>
  </si>
  <si>
    <t>ΣΠΟΡΟΠΑΡΑΓΩΓΗ25231</t>
  </si>
  <si>
    <t>ΜΗΔΙΚΗ ΣΠΟΡΟΠΑΡΑΓΩΓΗΣ SCALIGERA</t>
  </si>
  <si>
    <t>ΣΠΟΡΟΠΑΡΑΓΩΓΗ25232</t>
  </si>
  <si>
    <t>ΜΗΔΙΚΗ ΣΠΟΡΟΠΑΡΑΓΩΓΗΣ LETIZIA</t>
  </si>
  <si>
    <t>ΣΠΟΡΟΠΑΡΑΓΩΓΗ25233</t>
  </si>
  <si>
    <t>ΒΙΚΟΣ ΣΠΟΡΟΠΑΡΑΓΩΓΗΣ GRAVESA 81</t>
  </si>
  <si>
    <t>ΣΠΟΡΟΠΑΡΑΓΩΓΗ25234</t>
  </si>
  <si>
    <t>ΣΠΟΡΟΠΑΡΑΓΩΓΗ25235</t>
  </si>
  <si>
    <t>ΣΠΟΡΟΠΑΡΑΓΩΓΗ25236</t>
  </si>
  <si>
    <t>ΡΥΖΙ ΣΠΟΡΟΠΑΡΑΓΩΓΗΣ ISPANIKI "A" (ΙΣΠΑΝΙΚΗ Α)</t>
  </si>
  <si>
    <t>ΣΠΟΡΟΠΑΡΑΓΩΓΗ7501</t>
  </si>
  <si>
    <t>ΡΥΖΙ ΣΠΟΡΟΠΑΡΑΓΩΓΗΣ MAKEDONIA (ΜΑΚΕΔΟΝΙΑ)</t>
  </si>
  <si>
    <t>ΣΠΟΡΟΠΑΡΑΓΩΓΗ7502</t>
  </si>
  <si>
    <t>ΡΥΖΙ ΣΠΟΡΟΠΑΡΑΓΩΓΗΣ AXIOS (ΑΞΙΟΣ)</t>
  </si>
  <si>
    <t>ΣΠΟΡΟΠΑΡΑΓΩΓΗ7503</t>
  </si>
  <si>
    <t>ΡΥΖΙ ΣΠΟΡΟΠΑΡΑΓΩΓΗΣ DION (ΔΙΟΝ)</t>
  </si>
  <si>
    <t>ΣΠΟΡΟΠΑΡΑΓΩΓΗ7504</t>
  </si>
  <si>
    <t>ΡΥΖΙ ΣΠΟΡΟΠΑΡΑΓΩΓΗΣ EVROPI (ΕΥΡΩΠΗ)</t>
  </si>
  <si>
    <t>ΣΠΟΡΟΠΑΡΑΓΩΓΗ7505</t>
  </si>
  <si>
    <t>ΡΥΖΙ ΣΠΟΡΟΠΑΡΑΓΩΓΗΣ MELAS (ΜΕΛΑΣ)</t>
  </si>
  <si>
    <t>ΣΠΟΡΟΠΑΡΑΓΩΓΗ7506</t>
  </si>
  <si>
    <t>ΡΥΖΙ ΣΠΟΡΟΠΑΡΑΓΩΓΗΣ ROXANI (ΡΩΞΑΝΗ)</t>
  </si>
  <si>
    <t>ΣΠΟΡΟΠΑΡΑΓΩΓΗ7507</t>
  </si>
  <si>
    <t>ΡΥΖΙ ΣΠΟΡΟΠΑΡΑΓΩΓΗΣ STRYMONAS (ΣΤΡΥΜΩΝΑΣ)</t>
  </si>
  <si>
    <t>ΣΠΟΡΟΠΑΡΑΓΩΓΗ7508</t>
  </si>
  <si>
    <t>PYZΙ ΣΠΟΡΟΠΑΡΑΓΩΓΗΣ ARIETE</t>
  </si>
  <si>
    <t>ΣΠΟΡΟΠΑΡΑΓΩΓΗ7509</t>
  </si>
  <si>
    <t>PYZΙ ΣΠΟΡΟΠΑΡΑΓΩΓΗΣ LIDO</t>
  </si>
  <si>
    <t>ΣΠΟΡΟΠΑΡΑΓΩΓΗ7510</t>
  </si>
  <si>
    <t>PYZΙ ΣΠΟΡΟΠΑΡΑΓΩΓΗΣ KORAL</t>
  </si>
  <si>
    <t>ΣΠΟΡΟΠΑΡΑΓΩΓΗ7511</t>
  </si>
  <si>
    <t>PYZΙ ΣΠΟΡΟΠΑΡΑΓΩΓΗΣ TURBO</t>
  </si>
  <si>
    <t>ΣΠΟΡΟΠΑΡΑΓΩΓΗ7512</t>
  </si>
  <si>
    <t>PYZΙ ΣΠΟΡΟΠΑΡΑΓΩΓΗΣ CHERVO</t>
  </si>
  <si>
    <t>ΣΠΟΡΟΠΑΡΑΓΩΓΗ7513</t>
  </si>
  <si>
    <t>PYZΙ ΣΠΟΡΟΠΑΡΑΓΩΓΗΣ ZENA</t>
  </si>
  <si>
    <t>ΣΠΟΡΟΠΑΡΑΓΩΓΗ7514</t>
  </si>
  <si>
    <t>PYZΙ ΣΠΟΡΟΠΑΡΑΓΩΓΗΣ SMERALDO</t>
  </si>
  <si>
    <t>ΣΠΟΡΟΠΑΡΑΓΩΓΗ7515</t>
  </si>
  <si>
    <t>PYZΙ ΣΠΟΡΟΠΑΡΑΓΩΓΗΣ THAIBONNET ή L-202</t>
  </si>
  <si>
    <t>ΣΠΟΡΟΠΑΡΑΓΩΓΗ7516</t>
  </si>
  <si>
    <t>ΡΥΖΙ ΣΠΟΡΟΠΑΡΑΓΩΓΗΣ ARCADIA</t>
  </si>
  <si>
    <t>ΣΠΟΡΟΠΑΡΑΓΩΓΗ7517</t>
  </si>
  <si>
    <t>ΡΥΖΙ ΣΠΟΡΟΠΑΡΑΓΩΓΗΣ COCO</t>
  </si>
  <si>
    <t>ΣΠΟΡΟΠΑΡΑΓΩΓΗ7518</t>
  </si>
  <si>
    <t>ΡΥΖΙ ΣΠΟΡΟΠΑΡΑΓΩΓΗΣ COSMIC</t>
  </si>
  <si>
    <t>ΣΠΟΡΟΠΑΡΑΓΩΓΗ7519</t>
  </si>
  <si>
    <t>ΡΥΖΙ ΣΠΟΡΟΠΑΡΑΓΩΓΗΣ EDEN</t>
  </si>
  <si>
    <t>ΣΠΟΡΟΠΑΡΑΓΩΓΗ7520</t>
  </si>
  <si>
    <t>ΡΥΖΙ ΣΠΟΡΟΠΑΡΑΓΩΓΗΣ FILIRA</t>
  </si>
  <si>
    <t>ΣΠΟΡΟΠΑΡΑΓΩΓΗ7521</t>
  </si>
  <si>
    <t>ΡΥΖΙ ΣΠΟΡΟΠΑΡΑΓΩΓΗΣ KIR</t>
  </si>
  <si>
    <t>ΣΠΟΡΟΠΑΡΑΓΩΓΗ7522</t>
  </si>
  <si>
    <t>ΡΥΖΙ ΣΠΟΡΟΠΑΡΑΓΩΓΗΣ MISTIK</t>
  </si>
  <si>
    <t>ΣΠΟΡΟΠΑΡΑΓΩΓΗ7523</t>
  </si>
  <si>
    <t>ΡΥΖΙ ΣΠΟΡΟΠΑΡΑΓΩΓΗΣ MIURA</t>
  </si>
  <si>
    <t>ΣΠΟΡΟΠΑΡΑΓΩΓΗ7524</t>
  </si>
  <si>
    <t>ΡΥΖΙ ΣΠΟΡΟΠΑΡΑΓΩΓΗΣ NIKI</t>
  </si>
  <si>
    <t>ΣΠΟΡΟΠΑΡΑΓΩΓΗ7525</t>
  </si>
  <si>
    <t>ΡΥΖΙ ΣΠΟΡΟΠΑΡΑΓΩΓΗΣ OLYMPIADA (ΟΛΥΜΠΙΑΔΑ)</t>
  </si>
  <si>
    <t>ΣΠΟΡΟΠΑΡΑΓΩΓΗ7526</t>
  </si>
  <si>
    <t>ΡΥΖΙ ΣΠΟΡΟΠΑΡΑΓΩΓΗΣ REA (ΡΕΑ)</t>
  </si>
  <si>
    <t>ΣΠΟΡΟΠΑΡΑΓΩΓΗ7527</t>
  </si>
  <si>
    <t>ΡΥΖΙ ΣΠΟΡΟΠΑΡΑΓΩΓΗΣ RIVA</t>
  </si>
  <si>
    <t>ΣΠΟΡΟΠΑΡΑΓΩΓΗ7528</t>
  </si>
  <si>
    <t>ΡΥΖΙ ΣΠΟΡΟΠΑΡΑΓΩΓΗΣ ROMA</t>
  </si>
  <si>
    <t>ΣΠΟΡΟΠΑΡΑΓΩΓΗ7529</t>
  </si>
  <si>
    <t>ΡΥΖΙ ΣΠΟΡΟΠΑΡΑΓΩΓΗΣ STRELLA</t>
  </si>
  <si>
    <t>ΣΠΟΡΟΠΑΡΑΓΩΓΗ7530</t>
  </si>
  <si>
    <t>ΡΥΖΙ ΣΠΟΡΟΠΑΡΑΓΩΓΗΣ BLUBELLE E</t>
  </si>
  <si>
    <t>ΣΠΟΡΟΠΑΡΑΓΩΓΗ7531</t>
  </si>
  <si>
    <t>ΡΥΖΙ ΣΠΟΡΟΠΑΡΑΓΩΓΗΣ ALEXANDROS</t>
  </si>
  <si>
    <t>ΣΠΟΡΟΠΑΡΑΓΩΓΗ7540</t>
  </si>
  <si>
    <t>ΡΥΖΙ ΣΠΟΡΟΠΑΡΑΓΩΓΗΣ DIMITRA</t>
  </si>
  <si>
    <t>ΣΠΟΡΟΠΑΡΑΓΩΓΗ7544</t>
  </si>
  <si>
    <t>ΡΥΖΙ ΣΠΟΡΟΠΑΡΑΓΩΓΗΣ GOLDEN RICE</t>
  </si>
  <si>
    <t>ΣΠΟΡΟΠΑΡΑΓΩΓΗ7546</t>
  </si>
  <si>
    <t>ΡΥΖΙ ΣΠΟΡΟΠΑΡΑΓΩΓΗΣ KALLISTON</t>
  </si>
  <si>
    <t>ΣΠΟΡΟΠΑΡΑΓΩΓΗ7547</t>
  </si>
  <si>
    <t>ΡΥΖΙ ΣΠΟΡΟΠΑΡΑΓΩΓΗΣ - ΛΟΙΠΑ</t>
  </si>
  <si>
    <t>ΣΠΟΡΟΠΑΡΑΓΩΓΗ7599</t>
  </si>
  <si>
    <t>ΣΙΤΟΣ - ΚΡΙΘΑΡΙ - ΣΠΟΡΟΠΑΡΑΓΩΓΗ</t>
  </si>
  <si>
    <t>ΣΠΟΡΟΠΑΡΑΓΩΓΗ7780</t>
  </si>
  <si>
    <t>ΖΑΧΑΡΟΤΕΥΤΛΑ ΣΠΟΡΟΠΑΡΑΓΩΓΗΣ</t>
  </si>
  <si>
    <t>ΣΠΟΡΟΠΑΡΑΓΩΓΗ8115</t>
  </si>
  <si>
    <t>ΠΑΤΑΤΕΣ ΣΠΟΡΟΠΑΡΑΓΩΓΗΣ</t>
  </si>
  <si>
    <t>ΣΠΟΡΟΠΑΡΑΓΩΓΗ8116</t>
  </si>
  <si>
    <t>ΣΠΟΡΟΠΑΡΑΓΩΓΗ8117</t>
  </si>
  <si>
    <t>ΜΠΑΜΙΑ ΣΠΟΡΟΠΑΡΑΓΩΓΗΣ</t>
  </si>
  <si>
    <t>ΣΠΟΡΟΠΑΡΑΓΩΓΗ8761</t>
  </si>
  <si>
    <t>ΠΙΠΕΡΙΑ ΣΠΟΡΟΠΑΡΑΓΩΓΗΣ</t>
  </si>
  <si>
    <t>ΣΠΟΡΟΠΑΡΑΓΩΓΗ8762</t>
  </si>
  <si>
    <t>ΤΟΜΑΤΑ ΒΙΟΜΗΧΑΝΙΚΗ</t>
  </si>
  <si>
    <t>ΤΟΜΑΤΑ ΒΙΟΜΗΧΑΝΙΚΗ10904</t>
  </si>
  <si>
    <t>ΒΙΟΜΗΧΑΝΙΚΗ ΤΟΜΑΤΑ CAPEA</t>
  </si>
  <si>
    <t>ΤΟΜΑΤΑ ΒΙΟΜΗΧΑΝΙΚΗ18001</t>
  </si>
  <si>
    <t>ΒΙΟΜΗΧΑΝΙΚΗ ΤΟΜΑΤΑ RIO GRANDE</t>
  </si>
  <si>
    <t>ΤΟΜΑΤΑ ΒΙΟΜΗΧΑΝΙΚΗ18002</t>
  </si>
  <si>
    <t>ΤΟΜΑΤΑ ΒΙΟΜΗΧΑΝΙΚΗ8216</t>
  </si>
  <si>
    <t>ΤΟΜΑΤΑ - ΡΩΜΑ</t>
  </si>
  <si>
    <t>ΤΟΜΑΤΑ ΒΙΟΜΗΧΑΝΙΚΗ8230</t>
  </si>
  <si>
    <t>ΦΑΡΜΑΚΕΥΤΙΚΗ ΚΑΝΝΑΒΗ42001</t>
  </si>
  <si>
    <t>ΦΥΤΩΡΙΑ</t>
  </si>
  <si>
    <t>ΦΥΤΩΡΙΑ ΑΜΠΕΛΙΩΝ</t>
  </si>
  <si>
    <t>ΦΥΤΩΡΙΑ45301</t>
  </si>
  <si>
    <t>45.3</t>
  </si>
  <si>
    <t>ΦΥΤΩΡΙΑ ΑΡΩΜΑΤΙΚΩΝ ΦΥΤΩΝ</t>
  </si>
  <si>
    <t>ΦΥΤΩΡΙΑ45302</t>
  </si>
  <si>
    <t>ΦΥΤΩΡΙΑ MICRO GREEN</t>
  </si>
  <si>
    <t>ΦΥΤΩΡΙΑ45303</t>
  </si>
  <si>
    <t>ΦΥΤΩΡΙΑΚΗ ΕΠΙΧΕΙΡΗΣΗ ΜΗΤΡΙΚΩΝ ΦΥΤΕΙΩΝ ΑΜΠΕΛΟΥ</t>
  </si>
  <si>
    <t>ΦΥΤΩΡΙΑ45304</t>
  </si>
  <si>
    <t>ΦΥΤΩΡΙΑ ΑΝΘΟΚΟΜΙΚΩΝ</t>
  </si>
  <si>
    <t>ΦΥΤΩΡΙΑ8750</t>
  </si>
  <si>
    <t>ΦΥΤΩΡΙΑ ΕΛΙΑΣ</t>
  </si>
  <si>
    <t>ΦΥΤΩΡΙΑ8751</t>
  </si>
  <si>
    <t>ΦΥΤΩΡΙΑ ΛΑΧΑΝΙΚΩΝ</t>
  </si>
  <si>
    <t>ΦΥΤΩΡΙΑ8752</t>
  </si>
  <si>
    <t>ΦΥΤΩΡΙΑ ΕΛΑΤΗΣ ΚΑΙ ΛΟΙΠΩΝ ΔΑΣΙΚΩΝ ΔΕΝΔΡΩΝ</t>
  </si>
  <si>
    <t>ΦΥΤΩΡΙΑ8753</t>
  </si>
  <si>
    <t>ΦΥΤΩΡΙΑ ΚΑΡΠΟΦΟΡΩΝ ΔΕΝΔΡΩΝ ΚΑΙ ΘΑΜΝΩΝ</t>
  </si>
  <si>
    <t>ΦΥΤΩΡΙΑ8754</t>
  </si>
  <si>
    <t>ΧΟΙΡΟΙ</t>
  </si>
  <si>
    <t>ΚΑΠΡΟΙ ΑΥΤΟΧΘΟΝΗ</t>
  </si>
  <si>
    <t>ΧΟΙΡΟΙ410002</t>
  </si>
  <si>
    <t>ΚΑΠΡΟΙ ΕΓΧΩΡΙΟΣ ΕΛΛΗΝΙΚΟΣ ΧΟΙΡΟΣ</t>
  </si>
  <si>
    <t>ΧΟΙΡΟΙ41000201</t>
  </si>
  <si>
    <t>ΚΑΠΡΟΙ ΛΟΙΠΗ</t>
  </si>
  <si>
    <t>ΧΟΙΡΟΙ410004</t>
  </si>
  <si>
    <t>ΧΟΙΡΟΜΗΤΕΡΕΣ, ΑΥΤΟΧΘΟΝΗ</t>
  </si>
  <si>
    <t>ΧΟΙΡΟΙ420002</t>
  </si>
  <si>
    <t>ΧΟΙΡΟΜΗΤΕΡΕΣ, ΕΓΧΩΡΙΟΣ ΕΛΛΗΝΙΚΟΣ ΧΟΙΡΟΣ</t>
  </si>
  <si>
    <t>ΧΟΙΡΟΙ42000201</t>
  </si>
  <si>
    <t>ΧΟΙΡΟΜΗΤΕΡΕΣ ΛΟΙΠΗ</t>
  </si>
  <si>
    <t>ΧΟΙΡΟΙ420004</t>
  </si>
  <si>
    <t>ΠΑΧΥΝΟΜΕΝΑ ΧΟΙΡΙΔΙΑ, ΑΡΣΕΝΙΚΑ, ΑΥΤΟΧΘΟΝΗ</t>
  </si>
  <si>
    <t>ΧΟΙΡΟΙ431002</t>
  </si>
  <si>
    <t>ΠΑΧΥΝΟΜΕΝΑ ΧΟΙΡΙΔΙΑ, ΑΡΣΕΝΙΚΑ, ΕΓΧΩΡΙΟΣ ΕΛΛΗΝΙΚΟΣ ΧΟΙΡΟΣ</t>
  </si>
  <si>
    <t>ΧΟΙΡΟΙ43100201</t>
  </si>
  <si>
    <t>ΠΑΧΥΝΟΜΕΝΑ ΧΟΙΡΙΔΙΑ, ΑΡΣΕΝΙΚΑ, ΛΟΙΠΗ</t>
  </si>
  <si>
    <t>ΧΟΙΡΟΙ431004</t>
  </si>
  <si>
    <t>ΠΑΧΥΝΟΜΕΝΑ ΧΟΙΡΙΔΙΑ, ΘΗΛΥΚΑ, ΑΥΤΟΧΘΟΝΗ</t>
  </si>
  <si>
    <t>ΧΟΙΡΟΙ432002</t>
  </si>
  <si>
    <t>ΠΑΧΥΝΟΜΕΝΑ ΧΟΙΡΙΔΙΑ, ΘΗΛΥΚΑ, ΕΓΧΩΡΙΟΣ ΕΛΛΗΝΙΚΟΣ ΧΟΙΡΟΣ</t>
  </si>
  <si>
    <t>ΧΟΙΡΟΙ43200201</t>
  </si>
  <si>
    <t>ΠΑΧΥΝΟΜΕΝΑ ΧΟΙΡΙΔΙΑ, ΘΗΛΥΚΑ, ΛΟΙΠΗ</t>
  </si>
  <si>
    <t>ΧΟΙΡΟΙ432004</t>
  </si>
  <si>
    <t>ΧΩΡΟΙ ΕΚΤΡΟΦΗΣ ΣΑΛΙΓΚΑΡΙΩΝ</t>
  </si>
  <si>
    <t>ΕΚΤΡΟΦΗ ΣΑΛΙΓΚΑΡΙΩΝ</t>
  </si>
  <si>
    <t>ΧΩΡΟΙ ΕΚΤΡΟΦΗΣ ΣΑΛΙΓΚΑΡΙΩΝ10300</t>
  </si>
  <si>
    <t>ΓΕΩΜHΛΑ</t>
  </si>
  <si>
    <t>ΦΥΣΤΙΚΙΑ EGINIS</t>
  </si>
  <si>
    <t>ΜΗΛΑ STARKING DELICIOUS</t>
  </si>
  <si>
    <t>AGRO A74</t>
  </si>
  <si>
    <t>ΒΕΡΙΚΟΚΑ ΠΡΩΪΜΑ ΤΙΡΥΝΘΑΣ</t>
  </si>
  <si>
    <t>ΒΕΡΙΚΟΚΑ ΛΟΙΠ. ΠΟΙΚΙΛ.</t>
  </si>
  <si>
    <t>ΑΜΥΓΔΑΛΑ FERRADUEL</t>
  </si>
  <si>
    <t>ΒΕΡΙΚΟΚΑ ΜΠΕΜΠΕΚΟΥ</t>
  </si>
  <si>
    <t>ΜΗΔΙΚΗ GIULIA</t>
  </si>
  <si>
    <t>ΚΡΙΘΑΡΙ LEXY</t>
  </si>
  <si>
    <t>ST402</t>
  </si>
  <si>
    <t>ΜΑΝΔΑΡΙΝΙΑ ΠΕΪΤΖ</t>
  </si>
  <si>
    <t>ST318</t>
  </si>
  <si>
    <t>AGRO A67</t>
  </si>
  <si>
    <t>AGRO A94</t>
  </si>
  <si>
    <t>ΦΑΚΕΣ SAMOS</t>
  </si>
  <si>
    <t>ΜΗΛΑ OREGON</t>
  </si>
  <si>
    <t>ΜΗΔΙΚΗ AGN M68</t>
  </si>
  <si>
    <t>ΒΕΡΙΚΟΚΑ LADY COT</t>
  </si>
  <si>
    <t>ΒΕΡΙΚΟΚΑ LILLY COT</t>
  </si>
  <si>
    <t>ΜΗΛΑ GALA</t>
  </si>
  <si>
    <t>ΑΚΤΙΝΙΔΙΑ SORELI</t>
  </si>
  <si>
    <t>ΜΗΔΙΚΗ YLIKI</t>
  </si>
  <si>
    <t>ΜΗΔΙΚΗ FRIGOS</t>
  </si>
  <si>
    <t>ΒΕΡΙΚΟΚΑ ΟΡΑΝΤΖ ΡΕΝΤ</t>
  </si>
  <si>
    <t>ΣΚΛΗΡΟΣ ΣΙΤΟΣΣΙΤΟΣ ΣΚΛΗΡΟΣ FURIO CAMILLO</t>
  </si>
  <si>
    <t>ΣΚΛΗΡΟΣ ΣΙΤΟΣΣΙΤΟΣ ΣΚΛΗΡΟΣ COLLIODUR</t>
  </si>
  <si>
    <t>ΣΚΛΗΡΟΣ ΣΙΤΟΣΣΙΤΟΣ ΣΚΛΗΡΟΣ PVL1636</t>
  </si>
  <si>
    <t>ΣΚΛΗΡΟΣ ΣΙΤΟΣΣΙΤΟΣ ΣΚΛΗΡΟΣ PVL2517</t>
  </si>
  <si>
    <t>ΣΚΛΗΡΟΣ ΣΙΤΟΣΣΙΤΟΣ ΣΚΛΗΡΟΣ PVL6575</t>
  </si>
  <si>
    <t>ΣΚΛΗΡΟΣ ΣΙΤΟΣΣΙΤΟΣ ΣΚΛΗΡΟΣ  ARTHURO</t>
  </si>
  <si>
    <t>ΒΑΜΒΑΚΙST373</t>
  </si>
  <si>
    <t>ΒΑΜΒΑΚΙST463</t>
  </si>
  <si>
    <t>ΒΑΜΒΑΚΙST457</t>
  </si>
  <si>
    <t>ΒΑΜΒΑΚΙST405</t>
  </si>
  <si>
    <t>ΒΑΜΒΑΚΙCYNTHIA</t>
  </si>
  <si>
    <t>ΒΑΜΒΑΚΙDP396</t>
  </si>
  <si>
    <t>ΒΑΜΒΑΚΙDP332</t>
  </si>
  <si>
    <t>ΒΑΜΒΑΚΙST474</t>
  </si>
  <si>
    <t>ΒΑΜΒΑΚΙDP377</t>
  </si>
  <si>
    <t>ΚΑΠΝΟΣΚΑΠΝΟΣ ΚΑΤΕΡΙΝΗΣ ΚΑΤΕΡΙΝΗΣ 53</t>
  </si>
  <si>
    <t>ΚΑΠΝΟΣΚΑΠΝΟΣ ΤΣΕΜΠΕΛΙΑ ΤΣΕΜΠ. ΑΓΡΙΝΙΟΥ 21</t>
  </si>
  <si>
    <t>ΚΑΠΝΟΣΚΑΠΝΟΣ ΜΠΕΡΛΕΥ ΜΠΕΡΛΕΥ 21Ε</t>
  </si>
  <si>
    <t>ΚΑΠΝΟΣΚΑΠΝΟΣ ΒΙΡΤΖΙΝΙΑ ΒΙΡΤΖΙΝΙΑ Ε9</t>
  </si>
  <si>
    <t>ΛΟΙΠΑ ΣΙΤΗΡΑΣΙΤΟΣ ΜΑΛΑΚΟΣ  ZANZIBAR</t>
  </si>
  <si>
    <t>ΚΤΗΝΟΤΡΟΦΙΚΑ ΦΥΤΑ ΓΙΑ ΖΩΟΤΡΟΦΕΣΚΡΙΘΑΡΙ KWS IDA</t>
  </si>
  <si>
    <t>ΛΟΙΠΑ ΣΙΤΗΡΑΚΡΙΘΑΡΙ ATHENAIDA</t>
  </si>
  <si>
    <t>ΛΟΙΠΑ ΣΙΤΗΡΑΣΙΤΟΣ ΜΑΛΑΚΟΣ VERGINA</t>
  </si>
  <si>
    <t>ΚΤΗΝΟΤΡΟΦΙΚΑ ΦΥΤΑ ΓΙΑ ΖΩΟΤΡΟΦΕΣΣΙΤΟΣ ΜΑΛΑΚΟΣ VERGINA</t>
  </si>
  <si>
    <t>ΛΟΙΠΑ ΣΙΤΗΡΑΣΙΤΟΣ ΜΑΛΑΚΟΣ DIO</t>
  </si>
  <si>
    <t>ΚΤΗΝΟΤΡΟΦΙΚΑ ΦΥΤΑ ΓΙΑ ΖΩΟΤΡΟΦΕΣΣΙΤΟΣ ΜΑΛΑΚΟΣ DIO</t>
  </si>
  <si>
    <t>ΛΟΙΠΑ ΣΙΤΗΡΑΣΙΤΟΣ ΜΑΛΑΚΟΣ DODONI</t>
  </si>
  <si>
    <t>ΚΤΗΝΟΤΡΟΦΙΚΑ ΦΥΤΑ ΓΙΑ ΖΩΟΤΡΟΦΕΣΣΙΤΟΣ ΜΑΛΑΚΟΣ DODONI</t>
  </si>
  <si>
    <t>ΑΚΡΟΔΡΥΑ (ΚΑΡΠΟΙ ΜΕ ΚΕΛΥΦΟΣ)ΑΜΥΓΔΑΛΑ NON PAREIL</t>
  </si>
  <si>
    <t>ΑΚΡΟΔΡΥΑ (ΚΑΡΠΟΙ ΜΕ ΚΕΛΥΦΟΣ)ΚΑΡΥΔΙΑ FRANQUETTE</t>
  </si>
  <si>
    <t>ΑΚΡΟΔΡΥΑ (ΚΑΡΠΟΙ ΜΕ ΚΕΛΥΦΟΣ)ΑΜΥΓΔΑΛΑ FYLLIS</t>
  </si>
  <si>
    <t>ΓΕΩΜHΛΑΠΑΤΑΤΕΣ ΓΙΑ ΠΑΡΑΓΩΓΗ ΑΜΥΛΟΥ</t>
  </si>
  <si>
    <t>ΓΕΩΜHΛΑΒΙΟΜΗΧΑΝΙΚΗ ΠΑΤΑΤΑ</t>
  </si>
  <si>
    <t>ΣΠΟΡΟΠΑΡΑΓΩΓΗΜΗΔΙΚΗ ΣΠΟΡΟΠΑΡΑΓΩΓΗΣ YPATI 84</t>
  </si>
  <si>
    <t>ΣΠΟΡΟΠΑΡΑΓΩΓΗΡΕΒΙΘΙ ΒΡΩΣΙΜΟ ΣΠΟΡΟΠΑΡΑΓΩΓΗΣ GAVDOS</t>
  </si>
  <si>
    <t>ΑΡΑΒΟΣΙΤΟΣΑΡΑΒΟΣΙΤΟΣ DKC 5276</t>
  </si>
  <si>
    <t>ΑΡΑΒΟΣΙΤΟΣΑΡΑΒΟΣΙΤΟΣ DKC 6724</t>
  </si>
  <si>
    <t>ΑΡΑΒΟΣΙΤΟΣΑΡΑΒΟΣΙΤΟΣ AS 72</t>
  </si>
  <si>
    <t>ΚΗΠΕΥΤΙΚΑ ΥΠΟ ΚΑΛΥΨΗΜΑΝΙΤΑΡΙΑ AGARICUS</t>
  </si>
  <si>
    <t>ΚΗΠΕΥΤΙΚΑ ΥΠΟ ΚΑΛΥΨΗΜΑΝΙΤΑΡΙΑ PLEUROTUS</t>
  </si>
  <si>
    <t>ΚΗΠΕΥΤΙΚΑ ΥΠΟ ΚΑΛΥΨΗΛΑΧΑΝΟ ΘΕΡΜΟΚΗΠΙΟΥ Λάχανο Brasicacea</t>
  </si>
  <si>
    <t>ΑΡΩΜΑΤΙΚΑ ΦΥΤΑΣΠΑΘΟΧΟΡΤΟ ή ΒΑΛΣΑΜΟ ή ΥΠΕΡΙΚΟΝ</t>
  </si>
  <si>
    <t>ΛΟΙΠΕΣ ΚΑΛΛΙΕΡΓΕΙΕΣΜΑΝΙΤΑΡΙΑ PLEUROTUS</t>
  </si>
  <si>
    <t>ΛΟΙΠΕΣ ΚΑΛΛΙΕΡΓΕΙΕΣΜΑΝΙΤΑΡΙΑ AGARICUS</t>
  </si>
  <si>
    <t>ΠΥΡΗΝΟΚΑΡΠΑΒΕΡΙΚΟΚΑ ΠΡΩΙΜ. ΠΟΡΟΥ</t>
  </si>
  <si>
    <t>ΠΥΡΗΝΟΚΑΡΠΑΒΕΡΙΚΟΚΑ ΤΣΑΟΥΛΙΑ</t>
  </si>
  <si>
    <t>ΠΥΡΗΝΟΚΑΡΠΑΒΕΡΙΚΟΚΑ ΠΑΥΛΗ ΡΟΔΟΥ</t>
  </si>
  <si>
    <t>ΠΥΡΗΝΟΚΑΡΠΑΒΕΡΙΚΟΚΑ ΓΛΥΚΟΚΥΡ. (ΚΑΪΣΙΑ)</t>
  </si>
  <si>
    <t>ΠΥΡΗΝΟΚΑΡΠΑΒΕΡΙΚΟΚΑ ΠΛΑΚΑ</t>
  </si>
  <si>
    <t>ΠΥΡΗΝΟΚΑΡΠΑΒΕΡΙΚΟΚΑ ΔΙΑΜΑΝΤΟΠΟΥΛΟΥ</t>
  </si>
  <si>
    <t>ΠΥΡΗΝΟΚΑΡΠΑΒΕΡΙΚΟΚΑ ΧΑΣΙΩΤΙΚΑ</t>
  </si>
  <si>
    <t>ΠΥΡΗΝΟΚΑΡΠΑΒΕΡΙΚΟΚΑ LUΙΖEΤ</t>
  </si>
  <si>
    <t>ΠΥΡΗΝΟΚΑΡΠΑΒΕΡΙΚΟΚΑ PΑVΙOΤ</t>
  </si>
  <si>
    <t>ΠΥΡΗΝΟΚΑΡΠΑΒΕΡΙΚΟΚΑ ROΥΑL</t>
  </si>
  <si>
    <t>ΠΥΡΗΝΟΚΑΡΠΑΒΕΡΙΚΟΚΑ ΧΑΡΚΟ</t>
  </si>
  <si>
    <t>ΠΥΡΗΝΟΚΑΡΠΑΒΕΡΙΚΟΚΑ ΠΕΛΛΑΣ</t>
  </si>
  <si>
    <t>ΠΥΡΗΝΟΚΑΡΠΑΒΕΡΙΚΟΚΑ ΑΟΥΡΟΡΑ</t>
  </si>
  <si>
    <t>ΠΥΡΗΝΟΚΑΡΠΑΒΕΡΙΚΟΚΑ ΠΟΡΤΙΤΣΙ</t>
  </si>
  <si>
    <t>ΠΥΡΗΝΟΚΑΡΠΑΒΕΡΙΚΟΚΑ ΝΙΝΦΑ</t>
  </si>
  <si>
    <t>ΠΥΡΗΝΟΚΑΡΠΑΒΕΡΙΚΟΚΑ ΣΑΝ ΤΖΑΪΑΝΤ</t>
  </si>
  <si>
    <t>ΠΥΡΗΝΟΚΑΡΠΑΒΕΡΙΚΟΚΑ ΠΙΝΚ ΚΟΤ</t>
  </si>
  <si>
    <t>ΠΥΡΗΝΟΚΑΡΠΑΒΕΡΙΚΟΚΑ ΜΠΕΡΖΕΡΟΝ</t>
  </si>
  <si>
    <t>ΠΥΡΗΝΟΚΑΡΠΑΒΕΡΙΚΟΚΑ TOYACO (TOMCOT)</t>
  </si>
  <si>
    <t>ΠΥΡΗΝΟΚΑΡΠΑΒΕΡΙΚΟΚΑ KIOTO</t>
  </si>
  <si>
    <t>ΠΥΡΗΝΟΚΑΡΠΑΒΕΡΙΚΟΚΑ BO 90.610.010 (BORA)</t>
  </si>
  <si>
    <t>ΠΥΡΗΝΟΚΑΡΠΑΒΕΡΙΚΟΚΑ FARALIA</t>
  </si>
  <si>
    <t>ΠΥΡΗΝΟΚΑΡΠΑΒΕΡΙΚΟΚΑ FARDAO</t>
  </si>
  <si>
    <t>ΠΥΡΗΝΟΚΑΡΠΑΒΕΡΙΚΟΚΑ WONDER COT</t>
  </si>
  <si>
    <t>ΠΥΡΗΝΟΚΑΡΠΑΒΕΡΙΚΟΚΑ PRICIA</t>
  </si>
  <si>
    <t>ΠΥΡΗΝΟΚΑΡΠΑΒΕΡΙΚΟΚΑ MAGIC COT</t>
  </si>
  <si>
    <t>ΠΥΡΗΝΟΚΑΡΠΑΡΟΔΑΚΙΝΑ PLATIBELLE</t>
  </si>
  <si>
    <t>ΠΥΡΗΝΟΚΑΡΠΑΒΕΡΙΚΟΚΑ MEDIABEL</t>
  </si>
  <si>
    <t>ΠΥΡΗΝΟΚΑΡΠΑΒΕΡΙΚΟΚΑ ΜΕΤΑΠΟΙΗΣΗΣ</t>
  </si>
  <si>
    <t>ΠΥΡΗΝΟΚΑΡΠΑΒΕΡΙΚΟΚΑ - ΙΚΑΡΙΑΣ</t>
  </si>
  <si>
    <t>ΠΥΡΗΝΟΚΑΡΠΑΒΕΡΙΚΟΚΑ - ΠΛΑΚΕΣ ΠΗΛΙΟΥ</t>
  </si>
  <si>
    <t>ΠΥΡΗΝΟΚΑΡΠΑΒΕΡΙΚΟΚΑ - ΠΛΑΚΕΣ ΣΕΡΡΩΝ</t>
  </si>
  <si>
    <t>ΜΗΛΟΕΙΔΗΜΗΛΑ SUMMERRED</t>
  </si>
  <si>
    <t>ΜΗΛΟΕΙΔΗΜΗΛΑ JERSEYMAC</t>
  </si>
  <si>
    <t>ΜΗΛΟΕΙΔΗΜΗΛΑ STARKRIMSON</t>
  </si>
  <si>
    <t>ΜΗΛΟΕΙΔΗΜΗΛΑ JONAGOLD</t>
  </si>
  <si>
    <t>ΜΗΛΟΕΙΔΗΜΗΛΑ GRANNY SMITH</t>
  </si>
  <si>
    <t>ΜΗΛΟΕΙΔΗΜΗΛΑ MUTSU</t>
  </si>
  <si>
    <t>ΜΗΛΟΕΙΔΗΜΗΛΑ JONATHAN</t>
  </si>
  <si>
    <t>ΜΗΛΟΕΙΔΗΜΗΛΑ TOP RED</t>
  </si>
  <si>
    <t>ΜΗΛΟΕΙΔΗΜΗΛΑ MELROSE</t>
  </si>
  <si>
    <t>ΜΗΛΟΕΙΔΗΜΗΛΑ OZAK GOLD</t>
  </si>
  <si>
    <t>ΜΗΛΟΕΙΔΗΜΗΛΑ JONAGORED</t>
  </si>
  <si>
    <t>ΜΗΛΟΕΙΔΗΜΗΛΑ WELLSPUR DELICIOUS</t>
  </si>
  <si>
    <t>ΜΗΛΟΕΙΔΗΜΗΛΑ FUJI</t>
  </si>
  <si>
    <t>ΜΗΛΟΕΙΔΗΜΗΛΑ ROYAL GALA</t>
  </si>
  <si>
    <t>ΜΗΛΟΕΙΔΗΜΗΛΑ PRIMA</t>
  </si>
  <si>
    <t>ΜΗΛΟΕΙΔΗΜΗΛΑ BELLEZA_DE_ROMA</t>
  </si>
  <si>
    <t>ΜΗΛΟΕΙΔΗΜΗΛΑ SCARLET</t>
  </si>
  <si>
    <t>ΜΗΛΟΕΙΔΗΜΗΛΑ QUERINA (FLORINA)</t>
  </si>
  <si>
    <t>ΒΙΟΜΗΧΑΝΙΚΗ ΚΑΝΝΑΒΗFIBROR 79</t>
  </si>
  <si>
    <t>ΚΤΗΝΟΤΡΟΦΙΚΑ ΦΥΤΑ ΓΙΑ ΖΩΟΤΡΟΦΕΣΒΙΚΟΣ ZEFYROS</t>
  </si>
  <si>
    <t>ΚΤΗΝΟΤΡΟΦΙΚΑ ΦΥΤΑ ΓΙΑ ΖΩΟΤΡΟΦΕΣΜΠΙΖΕΛΙ / ΠΙΣΟ ΚΤΗΝΟΤΡΟΦΙΚΟ RESPECT</t>
  </si>
  <si>
    <t>ΚΤΗΝΟΤΡΟΦΙΚΑ ΦΥΤΑ ΓΙΑ ΖΩΟΤΡΟΦΕΣΜΠΙΖΕΛΙ / ΠΙΣΟ ΚΤΗΝΟΤΡΟΦΙΚΟ ARVIKA</t>
  </si>
  <si>
    <t>ΚΤΗΝΟΤΡΟΦΙΚΑ ΦΥΤΑ ΓΙΑ ΖΩΟΤΡΟΦΕΣΜΗΔΙΚΗ Η ΗΜΕΡΟΣ AGN M68</t>
  </si>
  <si>
    <t>ΚΤΗΝΟΤΡΟΦΙΚΑ ΦΥΤΑ ΓΙΑ ΖΩΟΤΡΟΦΕΣΜΗΔΙΚΗ Η ΗΜΕΡΟΣ AGN M72</t>
  </si>
  <si>
    <t>ΚΤΗΝΟΤΡΟΦΙΚΑ ΦΥΤΑ ΓΙΑ ΖΩΟΤΡΟΦΕΣΤΡΙΦΥΛΛΙ ΤΟ ΑΛΕΞΑΝΔΡΙΝΟ TIM</t>
  </si>
  <si>
    <t>ΒΑΜΒΑΚΙHA 1432 -YBΡΙΔΙΟ</t>
  </si>
  <si>
    <t>ΓΕΩΜHΛΑΠΑΤΑΤΑ LADY CLAIRE</t>
  </si>
  <si>
    <t>ΑΡΑΒΟΣΙΤΟΣΑΡΑΒΟΣΙΤΟΣ MAS64P</t>
  </si>
  <si>
    <t>ΕΝΕΡΓΕΙΑΚΕΣ ΚΑΛΛΙΕΡΓΕΙΕΣΗΛΙΑΝΘΟΣ LG59580</t>
  </si>
  <si>
    <t>ΠΥΡΗΝΟΚΑΡΠΑΒΕΡΙΚΟΚΑ BOLERO</t>
  </si>
  <si>
    <t>ΠΥΡΗΝΟΚΑΡΠΑΒΕΡΙΚΟΚΑ BORSALINO</t>
  </si>
  <si>
    <t>ΠΥΡΗΝΟΚΑΡΠΑΒΕΡΙΚΟΚΑ DOMINO</t>
  </si>
  <si>
    <t>ΠΥΡΗΝΟΚΑΡΠΑΒΕΡΙΚΟΚΑ NELSON</t>
  </si>
  <si>
    <t>ΠΥΡΗΝΟΚΑΡΠΑΒΕΡΙΚΟΚΑ PRIMIDI</t>
  </si>
  <si>
    <t>ΠΥΡΗΝΟΚΑΡΠΑΒΕΡΙΚΟΚΑ MEDFLO</t>
  </si>
  <si>
    <t>ΕΝΕΡΓΕΙΑΚΕΣ ΚΑΛΛΙΕΡΓΕΙΕΣΗΛΙΑΝΘΟΣ P64HE133 (ΠΟΤΙΣΤΙΚΌΣ)</t>
  </si>
  <si>
    <t>ΕΝΕΡΓΕΙΑΚΕΣ ΚΑΛΛΙΕΡΓΕΙΕΣΗΛΙΑΝΘΟΣ SY BACARDI CLP (ΞΗΡΙΚΌΣ)</t>
  </si>
  <si>
    <t>ΕΝΕΡΓΕΙΑΚΕΣ ΚΑΛΛΙΕΡΓΕΙΕΣΗΛΙΑΝΘΟΣ SY BACARDI CLP (ΠΟΤΙΣΤΙΚΌΣ)</t>
  </si>
  <si>
    <t>ΛΟΙΠΑ ΣΙΤΗΡΑΚΡΙΘΑΡΙ LG BOLERO</t>
  </si>
  <si>
    <t>ΠΥΡΗΝΟΚΑΡΠΑΒΕΡΊΚΟΚΑ AVILCO</t>
  </si>
  <si>
    <t>ΠΥΡΗΝΟΚΑΡΠΑΒΕΡΙΚΟΚΑ CEBASRED</t>
  </si>
  <si>
    <t>ΛΟΙΠΑ ΣΙΤΗΡΑΚΡΙΘΑΡΙ LG BELCANTO</t>
  </si>
  <si>
    <t>ΣΚΛΗΡΟΣ ΣΙΤΟΣΣΙΤΟΣ ΣΚΛΗΡΟΣ MANIFESTO</t>
  </si>
  <si>
    <t>ΣΚΛΗΡΟΣ ΣΙΤΟΣΣΙΤΟΣ ΣΚΛΗΡΟΣ ROCAILLOU</t>
  </si>
  <si>
    <t>ΣΚΛΗΡΟΣ ΣΙΤΟΣΣΙΤΟΣ ΣΚΛΗΡΟΣ PELOPAS</t>
  </si>
  <si>
    <t>ΟΣΠΡΙΑ ΒΡΩΣΙΜΑΦΑΣΟΛΙΑ SPLENDIDO</t>
  </si>
  <si>
    <t>ΟΣΠΡΙΑ ΒΡΩΣΙΜΑΦΑΣΟΛΙΑ ST. ANDREAS</t>
  </si>
  <si>
    <t>ΟΣΠΡΙΑ ΒΡΩΣΙΜΑΦΑΣΟΛΙΑ GREAT NORTHERN</t>
  </si>
  <si>
    <t>ΟΣΠΡΙΑ ΒΡΩΣΙΜΑΦΑΣΟΛΙΑ BORLOTTO LINGUA DI FUOCO NANO</t>
  </si>
  <si>
    <t>ΒΑΜΒΑΚΙMAY 455</t>
  </si>
  <si>
    <t>ΕΝΕΡΓΕΙΑΚΕΣ ΚΑΛΛΙΕΡΓΕΙΕΣΗΛΙΑΝΘΟΣ ES BELFIS (ΞΗΡΙΚΟΣ)</t>
  </si>
  <si>
    <t>ΕΝΕΡΓΕΙΑΚΕΣ ΚΑΛΛΙΕΡΓΕΙΕΣΗΛΙΑΝΘΟΣ ES BELFIS (ΠΟΤΙΣΤΙΚΟΣ)</t>
  </si>
  <si>
    <t>ΕΝΕΡΓΕΙΑΚΕΣ ΚΑΛΛΙΕΡΓΕΙΕΣΗΛΙΑΝΘΟΣ SUBEO (ΞΗΡΙΚΟΣ)</t>
  </si>
  <si>
    <t>ΕΝΕΡΓΕΙΑΚΕΣ ΚΑΛΛΙΕΡΓΕΙΕΣΗΛΙΑΝΘΟΣ SUBEO (ΠΟΤΙΣΤΙΚΟΣ)</t>
  </si>
  <si>
    <t>ΛΟΙΠΑ ΣΙΤΗΡΑΚΡΙΘΑΡΙ ESOPO</t>
  </si>
  <si>
    <t>ΛΟΙΠΑ ΣΙΤΗΡΑΚΡΙΘΑΡΙ FUTURA</t>
  </si>
  <si>
    <t>ΛΟΙΠΑ ΣΙΤΗΡΑΚΡΙΘΑΡΙ TEKTOO</t>
  </si>
  <si>
    <t>ΛΟΙΠΑ ΣΙΤΗΡΑΣΙΚΑΛΗ SILENO</t>
  </si>
  <si>
    <t>ΛΟΙΠΑ ΣΙΤΗΡΑΣΙΚΑΛΗ SITO 70</t>
  </si>
  <si>
    <t>ΚΤΗΝΟΤΡΟΦΙΚΑ ΦΥΤΑ ΓΙΑ ΖΩΟΤΡΟΦΕΣΣΙΚΑΛΗ SITO 70</t>
  </si>
  <si>
    <t>ΛΟΙΠΑ ΣΙΤΗΡΑΣΙΤΟΣ ΔΙΚΟΚΚΟΣ DILOFOS</t>
  </si>
  <si>
    <t>ΛΟΙΠΑ ΣΙΤΗΡΑΣΙΤΟΣ ΜΑΛΑΚΟΣ ADRIATIC</t>
  </si>
  <si>
    <t xml:space="preserve">ΛΟΙΠΑ ΣΙΤΗΡΑΣΙΤΟΣ ΜΑΛΑΚΟΣ KWS LAZULI </t>
  </si>
  <si>
    <t>ΛΟΙΠΑ ΣΙΤΗΡΑΣΙΤΟΣ ΜΑΛΑΚΟΣ LUCILLA</t>
  </si>
  <si>
    <t>ΛΟΙΠΑ ΣΙΤΗΡΑΤΡΙΤΙΚΑΛΕ CATRIA</t>
  </si>
  <si>
    <t>ΛΟΙΠΑ ΣΙΤΗΡΑΤΡΙΤΙΚΑΛΕ RAMDAM</t>
  </si>
  <si>
    <t>ΛΟΙΠΑ ΣΙΤΗΡΑΣΙΤΟΣ ΜΑΛΑΚΟΣ FILON</t>
  </si>
  <si>
    <t>ΛΟΙΠΑ ΣΙΤΗΡΑΣΙΤΟΣ ΜΑΛΑΚΟΣ LG ACORAZADO</t>
  </si>
  <si>
    <t>ΛΟΙΠΑ ΣΙΤΗΡΑΣΙΤΟΣ ΜΑΛΑΚΟΣ CANALETTO</t>
  </si>
  <si>
    <t>ΛΟΙΠΑ ΣΙΤΗΡΑΣΙΤΟΣ ΜΑΛΑΚΟΣ GRANNY</t>
  </si>
  <si>
    <t>ΛΟΙΠΑ ΣΙΤΗΡΑΣΙΚΑΛΗ PHTHIA</t>
  </si>
  <si>
    <t>ΛΟΙΠΑ ΣΙΤΗΡΑΣΙΤΟΣ ΜΑΛΑΚΟΣ ALGERI</t>
  </si>
  <si>
    <t>ΛΟΙΠΑ ΣΙΤΗΡΑΒΡΩΜΗ PALLINI</t>
  </si>
  <si>
    <t>ΛΟΙΠΑ ΣΙΤΗΡΑΒΡΩΜΗ PREVISION</t>
  </si>
  <si>
    <t>ΛΟΙΠΑ ΣΙΤΗΡΑΤΡΙΤΙΚΑΛΕ BONDADOSO</t>
  </si>
  <si>
    <t xml:space="preserve">ΛΟΙΠΑ ΣΙΤΗΡΑΣΙΚΑΛΗ ANTONINSKIE </t>
  </si>
  <si>
    <t>ΛΟΙΠΑ ΣΙΤΗΡΑΚΡΙΘΑΡΙ ACHILIOS</t>
  </si>
  <si>
    <t>ΛΟΙΠΑ ΣΙΤΗΡΑΚΡΙΘΑΡΙ KIKEON</t>
  </si>
  <si>
    <t>ΛΟΙΠΑ ΣΙΤΗΡΑΚΡΙΘΑΡΙ ARDA</t>
  </si>
  <si>
    <t>ΛΟΙΠΑ ΣΙΤΗΡΑΤΡΙΤΙΚΑΛΕ TRICANTO</t>
  </si>
  <si>
    <t>ΛΟΙΠΑ ΣΙΤΗΡΑΤΡΙΤΙΚΑΛΕ FORRICALE</t>
  </si>
  <si>
    <t>ΛΟΙΠΑ ΣΙΤΗΡΑΤΡΙΤΙΚΑΛΕ TRITANO</t>
  </si>
  <si>
    <t>ΛΟΙΠΑ ΣΙΤΗΡΑΣΙΤΟΣ ΜΑΛΑΚΟΣ DRUSILLA</t>
  </si>
  <si>
    <t>ΑΚΡΟΔΡΥΑ (ΚΑΡΠΟΙ ΜΕ ΚΕΛΥΦΟΣ)ΦΟΥΝΤΟΥΚΙΑ BARCELONA</t>
  </si>
  <si>
    <t>ΓΕΩΜHΛΑΠΑΤΑΤΑ JELLY</t>
  </si>
  <si>
    <t>ΣΠΟΡΟΠΑΡΑΓΩΓΗΚΤΗΝΟΤΡΟΦΙΚΟ ΜΠΙΖΕΛΙ ΣΠΟΡΟΠΑΡΑΓΩΓΗΣ TURNIA</t>
  </si>
  <si>
    <t>ΣΠΟΡΟΠΑΡΑΓΩΓΗΛΟΥΠΙΝΟ ΛΕΥΚΟ ΣΠΟΡΟΠΑΡΑΓΩΓΗΣ ZULIKA</t>
  </si>
  <si>
    <t>ΣΠΟΡΟΠΑΡΑΓΩΓΗΣΚΛΗΡΟΣ ΣΙΤΟΣ ΣΠΟΡΟΠΑΡΑΓΩΓΗΣ TEODORICO</t>
  </si>
  <si>
    <t>ΣΠΟΡΟΠΑΡΑΓΩΓΗΛΟΥΠΙΝΟ ΛΕΥΚΟ ΣΠΟΡΟΠΑΡΑΓΩΓΗΣ NELLY</t>
  </si>
  <si>
    <t>ΑΡΑΒΟΣΙΤΟΣΑΡΑΒΟΣΙΤΟΣ DKC5016</t>
  </si>
  <si>
    <t>ΑΡΑΒΟΣΙΤΟΣ ΕΝΣΙΡΩΣΗΣΑΡΑΒΟΣΙΤΟΣ DKC5016</t>
  </si>
  <si>
    <t>ΑΡΑΒΟΣΙΤΟΣΑΡΑΒΟΣΙΤΟΣ DKC5432</t>
  </si>
  <si>
    <t>ΑΡΑΒΟΣΙΤΟΣ ΕΝΣΙΡΩΣΗΣΑΡΑΒΟΣΙΤΟΣ DKC5432</t>
  </si>
  <si>
    <t>ΑΡΑΒΟΣΙΤΟΣΑΡΑΒΟΣΙΤΟΣ DKC5812</t>
  </si>
  <si>
    <t>ΑΡΑΒΟΣΙΤΟΣ ΕΝΣΙΡΩΣΗΣΑΡΑΒΟΣΙΤΟΣ DKC5812</t>
  </si>
  <si>
    <t>ΑΡΑΒΟΣΙΤΟΣΑΡΑΒΟΣΙΤΟΣ DKC6131</t>
  </si>
  <si>
    <t>ΑΡΑΒΟΣΙΤΟΣ ΕΝΣΙΡΩΣΗΣΑΡΑΒΟΣΙΤΟΣ DKC6131</t>
  </si>
  <si>
    <t>ΑΡΑΒΟΣΙΤΟΣΑΡΑΒΟΣΙΤΟΣ DKC6537</t>
  </si>
  <si>
    <t>ΑΡΑΒΟΣΙΤΟΣ ΕΝΣΙΡΩΣΗΣΑΡΑΒΟΣΙΤΟΣ DKC6537</t>
  </si>
  <si>
    <t>ΑΡΑΒΟΣΙΤΟΣΑΡΑΒΟΣΙΤΟΣ DKC6625</t>
  </si>
  <si>
    <t>ΑΡΑΒΟΣΙΤΟΣΑΡΑΒΟΣΙΤΟΣ DKC6731</t>
  </si>
  <si>
    <t>ΑΡΑΒΟΣΙΤΟΣ ΕΝΣΙΡΩΣΗΣΑΡΑΒΟΣΙΤΟΣ DKC6731</t>
  </si>
  <si>
    <t>ΑΡΑΒΟΣΙΤΟΣΑΡΑΒΟΣΙΤΟΣ DKC7023</t>
  </si>
  <si>
    <t>ΑΡΑΒΟΣΙΤΟΣ ΕΝΣΙΡΩΣΗΣΑΡΑΒΟΣΙΤΟΣ DKC7023</t>
  </si>
  <si>
    <t>ΑΡΑΒΟΣΙΤΟΣΑΡΑΒΟΣΙΤΟΣ LG31688</t>
  </si>
  <si>
    <t>ΑΡΑΒΟΣΙΤΟΣ ΕΝΣΙΡΩΣΗΣΑΡΑΒΟΣΙΤΟΣ LG31688</t>
  </si>
  <si>
    <t>ΑΡΑΒΟΣΙΤΟΣΑΡΑΒΟΣΙΤΟΣ SY BLADE</t>
  </si>
  <si>
    <t>ΑΡΑΒΟΣΙΤΟΣΑΡΑΒΟΣΙΤΟΣ SY CROMATIC</t>
  </si>
  <si>
    <t>ΑΡΑΒΟΣΙΤΟΣΑΡΑΒΟΣΙΤΟΣ SY KURSOR</t>
  </si>
  <si>
    <t>ΑΡΑΒΟΣΙΤΟΣΑΡΑΒΟΣΙΤΟΣ SERIFOS</t>
  </si>
  <si>
    <t>ΑΡΑΒΟΣΙΤΟΣΑΡΑΒΟΣΙΤΟΣ SAMOS</t>
  </si>
  <si>
    <t>ΑΡΑΒΟΣΙΤΟΣ ΕΝΣΙΡΩΣΗΣΑΡΑΒΟΣΙΤΟΣ SAMOS</t>
  </si>
  <si>
    <t>ΑΡΑΒΟΣΙΤΟΣΑΡΑΒΟΣΙΤΟΣ ZP6263</t>
  </si>
  <si>
    <t>ΑΡΑΒΟΣΙΤΟΣΑΡΑΒΟΣΙΤΟΣ P15382</t>
  </si>
  <si>
    <t>ΑΡΑΒΟΣΙΤΟΣΑΡΑΒΟΣΙΤΟΣ  P21416</t>
  </si>
  <si>
    <t>ΑΡΑΒΟΣΙΤΟΣ ΕΝΣΙΡΩΣΗΣΑΡΑΒΟΣΙΤΟΣ  P21416</t>
  </si>
  <si>
    <t>ΑΡΑΒΟΣΙΤΟΣΑΡΑΒΟΣΙΤΟΣ SIMPATICO KWS</t>
  </si>
  <si>
    <t>ΑΡΑΒΟΣΙΤΟΣΑΡΑΒΟΣΙΤΟΣ DKC6836SC</t>
  </si>
  <si>
    <t>ΑΡΑΒΟΣΙΤΟΣ ΕΝΣΙΡΩΣΗΣΑΡΑΒΟΣΙΤΟΣ DKC6836SC</t>
  </si>
  <si>
    <t>ΑΡΑΒΟΣΙΤΟΣΑΡΑΒΟΣΙΤΟΣ 7210R</t>
  </si>
  <si>
    <t>ΑΡΑΒΟΣΙΤΟΣΑΡΑΒΟΣΙΤΟΣ ZP427</t>
  </si>
  <si>
    <t>ΑΡΑΒΟΣΙΤΟΣΑΡΑΒΟΣΙΤΟΣ LG31662</t>
  </si>
  <si>
    <t>ΑΡΑΒΟΣΙΤΟΣΑΡΑΒΟΣΙΤΟΣ P2183</t>
  </si>
  <si>
    <t>ΑΡΑΒΟΣΙΤΟΣ ΕΝΣΙΡΩΣΗΣΑΡΑΒΟΣΙΤΟΣ P2183</t>
  </si>
  <si>
    <t>ΑΡΑΒΟΣΙΤΟΣΑΡΑΒΟΣΙΤΟΣ ZP 5601</t>
  </si>
  <si>
    <t>ΑΡΑΒΟΣΙΤΟΣΑΡΑΒΟΣΙΤΟΣ P15268</t>
  </si>
  <si>
    <t>ΑΡΑΒΟΣΙΤΟΣ ΕΝΣΙΡΩΣΗΣΑΡΑΒΟΣΙΤΟΣ P15268</t>
  </si>
  <si>
    <t>ΑΜΠΕΛΩΝΕΣ ΓΙΑ ΕΠΙΤΡΑΠΕΖΙΑ ΧΡΗΣΗREGAL SEEDLESS</t>
  </si>
  <si>
    <t>ΚΗΠΕΥΤΙΚΑΠΕΠΟΝΙ ANANAS D AMERIQUE A CH. VERTE</t>
  </si>
  <si>
    <t>ΚΗΠΕΥΤΙΚΑΚΑΡΠΟΥΖΙ SUNNY FLORIDA</t>
  </si>
  <si>
    <t>ΚΗΠΕΥΤΙΚΑΠΙΠΕΡΙΑ YANKA</t>
  </si>
  <si>
    <t>ΚΗΠΕΥΤΙΚΑ ΥΠΟ ΚΑΛΥΨΗΣΕΛΕΡΥ ΘΕΡΜΟΚΗΠΙΟΥ</t>
  </si>
  <si>
    <t xml:space="preserve">ΚΗΠΕΥΤΙΚΑ ΥΠΟ ΚΑΛΥΨΗΤΟΜΑΤΑ EKSTASIS  </t>
  </si>
  <si>
    <t xml:space="preserve">ΚΗΠΕΥΤΙΚΑΤΟΜΑΤΑ EKSTASIS  </t>
  </si>
  <si>
    <t>ΕΛΑΙΟΥΧΟΙ ΣΠΟΡΟΙΗΛΙΑΝΘΟΣ ES BELFIS (ΞΗΡΙΚΟΣ)</t>
  </si>
  <si>
    <t>ΕΛΑΙΟΥΧΟΙ ΣΠΟΡΟΙΗΛΙΑΝΘΟΣ SUBEO (ΠΟΤΙΣΤΙΚΟΣ)</t>
  </si>
  <si>
    <t>ΕΝΕΡΓΕΙΑΚΕΣ ΚΑΛΛΙΕΡΓΕΙΕΣΗΛΙΑΝΘΟΣ  SUVEX  (ΞΗΡΙΚΟΣ)</t>
  </si>
  <si>
    <t>ΕΝΕΡΓΕΙΑΚΕΣ ΚΑΛΛΙΕΡΓΕΙΕΣΗΛΙΑΝΘΟΣ SUVEX  (ΠΟΤΙΣΤΙΚΟΣ)</t>
  </si>
  <si>
    <t>ΕΝΕΡΓΕΙΑΚΕΣ ΚΑΛΛΙΕΡΓΕΙΕΣΗΛΙΑΝΘΟΣ FD18E41 (ΞΗΡΙΚΟΣ)</t>
  </si>
  <si>
    <t>ΕΝΕΡΓΕΙΑΚΕΣ ΚΑΛΛΙΕΡΓΕΙΕΣΗΛΙΑΝΘΟΣ FD18E41 (ΠΟΤΙΣΤΙΚΟΣ)</t>
  </si>
  <si>
    <t>ΕΛΑΙΟΥΧΟΙ ΣΠΟΡΟΙΗΛΙΑΝΘΟΣ FD18E41 (ΠΟΤΙΣΤΙΚΟΣ)</t>
  </si>
  <si>
    <t>ΕΝΕΡΓΕΙΑΚΕΣ ΚΑΛΛΙΕΡΓΕΙΕΣΗΛΙΑΝΘΟΣ DRACARIS CLP (ΞΗΡΙΚΟΣ)</t>
  </si>
  <si>
    <t>ΕΛΑΙΟΥΧΟΙ ΣΠΟΡΟΙΗΛΙΑΝΘΟΣ DRACARIS CLP (ΞΗΡΙΚΟΣ)</t>
  </si>
  <si>
    <t>ΕΝΕΡΓΕΙΑΚΕΣ ΚΑΛΛΙΕΡΓΕΙΕΣΗΛΙΑΝΘΟΣ DRACARIS CLP (ΠΟΤΙΣΤΙΚΟΣ)</t>
  </si>
  <si>
    <t>ΕΛΑΙΟΥΧΟΙ ΣΠΟΡΟΙΗΛΙΑΝΘΟΣ DRACARIS CLP (ΠΟΤΙΣΤΙΚΟΣ)</t>
  </si>
  <si>
    <t>ΕΝΕΡΓΕΙΑΚΕΣ ΚΑΛΛΙΕΡΓΕΙΕΣΗΛΙΑΝΘΟΣ ARNETES SU (ΞΗΡΙΚΟΣ)</t>
  </si>
  <si>
    <t>ΕΛΑΙΟΥΧΟΙ ΣΠΟΡΟΙΗΛΙΑΝΘΟΣ ARNETES SU (ΞΗΡΙΚΟΣ)</t>
  </si>
  <si>
    <t>ΕΝΕΡΓΕΙΑΚΕΣ ΚΑΛΛΙΕΡΓΕΙΕΣΗΛΙΑΝΘΟΣ ARNETES SU (ΠΟΤΙΣΤΙΚΟΣ)</t>
  </si>
  <si>
    <t>ΕΛΑΙΟΥΧΟΙ ΣΠΟΡΟΙΗΛΙΑΝΘΟΣ ARNETES SU (ΠΟΤΙΣΤΙΚΟΣ)</t>
  </si>
  <si>
    <t>ΕΝΕΡΓΕΙΑΚΕΣ ΚΑΛΛΙΕΡΓΕΙΕΣΗΛΙΑΝΘΟΣ MAS 89HOCL (ΞΗΡΙΚΟΣ)</t>
  </si>
  <si>
    <t>ΕΝΕΡΓΕΙΑΚΕΣ ΚΑΛΛΙΕΡΓΕΙΕΣΗΛΙΑΝΘΟΣ MAS 89HOCL (ΠΟΤΙΣΤΙΚΟΣ)</t>
  </si>
  <si>
    <t>ΕΝΕΡΓΕΙΑΚΕΣ ΚΑΛΛΙΕΡΓΕΙΕΣΗΛΙΑΝΘΟΣ P64LE136 (ΞΗΡΙΚΟΣ)</t>
  </si>
  <si>
    <t>ΕΝΕΡΓΕΙΑΚΕΣ ΚΑΛΛΙΕΡΓΕΙΕΣΗΛΙΑΝΘΟΣ P64LE136 (ΠΟΤΙΣΤΙΚΟΣ)</t>
  </si>
  <si>
    <t>ΕΝΕΡΓΕΙΑΚΕΣ ΚΑΛΛΙΕΡΓΕΙΕΣΗΛΙΑΝΘΟΣ SURELI (ΞΗΡΙΚΟΣ)</t>
  </si>
  <si>
    <t>ΕΛΑΙΟΥΧΟΙ ΣΠΟΡΟΙΗΛΙΑΝΘΟΣ SURELI (ΞΗΡΙΚΟΣ)</t>
  </si>
  <si>
    <t>ΕΝΕΡΓΕΙΑΚΕΣ ΚΑΛΛΙΕΡΓΕΙΕΣΗΛΙΑΝΘΟΣ SURELI (ΠΟΤΙΣΤΙΚΟΣ)</t>
  </si>
  <si>
    <t>ΕΛΑΙΟΥΧΟΙ ΣΠΟΡΟΙΗΛΙΑΝΘΟΣ SURELI (ΠΟΤΙΣΤΙΚΟΣ)</t>
  </si>
  <si>
    <t>ΕΝΕΡΓΕΙΑΚΕΣ ΚΑΛΛΙΕΡΓΕΙΕΣΗΛΙΑΝΘΟΣ SY CHELSEA CLP  (ΞΗΡΙΚΟΣ)</t>
  </si>
  <si>
    <t>ΕΝΕΡΓΕΙΑΚΕΣ ΚΑΛΛΙΕΡΓΕΙΕΣΗΛΙΑΝΘΟΣ SY CHELSEA CLP  (ΠΟΤΙΣΤΙΚΟΣ)</t>
  </si>
  <si>
    <t>ΕΝΕΡΓΕΙΑΚΕΣ ΚΑΛΛΙΕΡΓΕΙΕΣΗΛΙΑΝΘΟΣ SY FLAVIO CLP (ΞΗΡΙΚΟΣ)</t>
  </si>
  <si>
    <t>ΕΝΕΡΓΕΙΑΚΕΣ ΚΑΛΛΙΕΡΓΕΙΕΣΗΛΙΑΝΘΟΣ SY FLAVIO CLP (ΠΟΤΙΣΤΙΚΟΣ)</t>
  </si>
  <si>
    <t>ΕΛΑΙΟΥΧΟΙ ΣΠΟΡΟΙΣΟΓΙΑ P21T45</t>
  </si>
  <si>
    <t>ΕΛΑΙΟΥΧΟΙ ΣΠΟΡΟΙΗΛΙΑΝΘΟΣ P63LE113  (ΞΗΡΙΚΟΣ)</t>
  </si>
  <si>
    <t>ΕΝΕΡΓΕΙΑΚΕΣ ΚΑΛΛΙΕΡΓΕΙΕΣΗΛΙΑΝΘΟΣ P63LE113  (ΠΟΤΙΣΤΙΚΟΣ)</t>
  </si>
  <si>
    <t>ΕΛΑΙΟΥΧΟΙ ΣΠΟΡΟΙΗΛΙΑΝΘΟΣ P63LE113  (ΠΟΤΙΣΤΙΚΟΣ)</t>
  </si>
  <si>
    <t>ΕΝΕΡΓΕΙΑΚΕΣ ΚΑΛΛΙΕΡΓΕΙΕΣΗΛΙΑΝΘΟΣ P64LE162  (ΞΗΡΙΚΟΣ)</t>
  </si>
  <si>
    <t>ΕΛΑΙΟΥΧΟΙ ΣΠΟΡΟΙΗΛΙΑΝΘΟΣ P64LE162  (ΞΗΡΙΚΟΣ)</t>
  </si>
  <si>
    <t>ΕΝΕΡΓΕΙΑΚΕΣ ΚΑΛΛΙΕΡΓΕΙΕΣΗΛΙΑΝΘΟΣ P64LE162  (ΠΟΤΙΣΤΙΚΟΣ)</t>
  </si>
  <si>
    <t>ΕΝΕΡΓΕΙΑΚΕΣ ΚΑΛΛΙΕΡΓΕΙΕΣΗΛΙΑΝΘΟΣ P62LE122  (ΞΗΡΙΚΟΣ)</t>
  </si>
  <si>
    <t>ΕΛΑΙΟΥΧΟΙ ΣΠΟΡΟΙΗΛΙΑΝΘΟΣ P62LE122  (ΞΗΡΙΚΟΣ)</t>
  </si>
  <si>
    <t>ΛΟΙΠΕΣ ΔΕΝΔΡΩΔΕΙΣ ΚΑΛΛΙΕΡΓΕΙΕΣΑΚΤΙΝΙΔΙΑ SUMMER 3373</t>
  </si>
  <si>
    <t>ΠΥΡΗΝΟΚΑΡΠΑΒΕΡΙΚΟΚΑ COCOT</t>
  </si>
  <si>
    <t>ΠΥΡΗΝΟΚΑΡΠΑΒΕΡΙΚΟΚΑ ROUGIBON</t>
  </si>
  <si>
    <t>ΠΥΡΗΝΟΚΑΡΠΑΚΕΡΑΣΙΑ BIG LORY</t>
  </si>
  <si>
    <t>ΠΥΡΗΝΟΚΑΡΠΑΚΕΡΑΣΙΑ CELESTE</t>
  </si>
  <si>
    <t xml:space="preserve">ΠΥΡΗΝΟΚΑΡΠΑΚΕΡΑΣΙΑ FERDOUCE </t>
  </si>
  <si>
    <t>ΠΥΡΗΝΟΚΑΡΠΑΝΕΚΤΑΡΙΝΙΑ CANOPEE</t>
  </si>
  <si>
    <t>ΠΥΡΗΝΟΚΑΡΠΑΝΕΚΤΑΡΙΝΙΑ FEBE</t>
  </si>
  <si>
    <t>ΠΥΡΗΝΟΚΑΡΠΑΒΕΡΙΚΟΚΑ CSIC CEBAS MIRLOBLANCO</t>
  </si>
  <si>
    <t>ΠΥΡΗΝΟΚΑΡΠΑΒΕΡΙΚΟΚΑ ROXANA</t>
  </si>
  <si>
    <t>ΠΥΡΗΝΟΚΑΡΠΑΒΕΡΙΚΟΚΑ RUBILIS</t>
  </si>
  <si>
    <t>ΠΥΡΗΝΟΚΑΡΠΑΒΕΡΙΚΟΚΑ SEMIRAMIS</t>
  </si>
  <si>
    <t>ΠΥΡΗΝΟΚΑΡΠΑΡΟΔΑΚΙΝΑ SWEET HENRY</t>
  </si>
  <si>
    <t>ΠΥΡΗΝΟΚΑΡΠΑΚΕΡΑΣΙΑ JUSTYNA</t>
  </si>
  <si>
    <t xml:space="preserve">ΠΥΡΗΝΟΚΑΡΠΑΚΕΡΑΣΙΑ TAMARA </t>
  </si>
  <si>
    <t>ΠΥΡΗΝΟΚΑΡΠΑΚΕΡΑΣΙΑ ΜΠΡΟΥΚΣ/BROOKS</t>
  </si>
  <si>
    <t>ΠΥΡΗΝΟΚΑΡΠΑ ΚΕΡΑΣΙΑ 13S2009</t>
  </si>
  <si>
    <t>ΠΥΡΗΝΟΚΑΡΠΑΒΕΡΙΚΟΚΑ DELICOT</t>
  </si>
  <si>
    <t>ΠΥΡΗΝΟΚΑΡΠΑΡΟΔΑΚΙΝΑ PRO 314</t>
  </si>
  <si>
    <t>ΠΥΡΗΝΟΚΑΡΠΑΚΕΡΑΣΙΑ EARLY KORVIK</t>
  </si>
  <si>
    <t>ΠΥΡΗΝΟΚΑΡΠΑΚΕΡΑΣΙΑ FELICITA</t>
  </si>
  <si>
    <t>ΠΥΡΗΝΟΚΑΡΠΑΒΕΡΙΚΟΚΑ PERLE COT</t>
  </si>
  <si>
    <t>ΜΗΛΟΕΙΔΗΜΗΛΑ RED JONAPRINCE</t>
  </si>
  <si>
    <t>ΡΥΖΙΡΥΖΙ DANTE</t>
  </si>
  <si>
    <t>ΚΤΗΝΟΤΡΟΦΙΚΑ ΦΥΤΑ ΓΙΑ ΖΩΟΤΡΟΦΕΣΚΤΗΝΟΤΡΟΦΙΚΟ ΜΠΙΖΕΛΙ ESO</t>
  </si>
  <si>
    <t>ΚΤΗΝΟΤΡΟΦΙΚΑ ΦΥΤΑ ΓΙΑ ΖΩΟΤΡΟΦΕΣΚΤΗΝΟΤΡΟΦΙΚΟ ΜΠΙΖΕΛΙ MEFISTO</t>
  </si>
  <si>
    <t>ΚΤΗΝΟΤΡΟΦΙΚΑ ΦΥΤΑ ΓΙΑ ΖΩΟΤΡΟΦΕΣΚΤΗΝΟΤΡΟΦΙΚΟ ΜΠΙΖΕΛΙ TURNIA</t>
  </si>
  <si>
    <t>ΚΤΗΝΟΤΡΟΦΙΚΑ ΦΥΤΑ ΓΙΑ ΖΩΟΤΡΟΦΕΣΛΟΛΙΟΥΜ BIGBOSS</t>
  </si>
  <si>
    <t>ΚΤΗΝΟΤΡΟΦΙΚΑ ΦΥΤΑ ΓΙΑ ΖΩΟΤΡΟΦΕΣΛΟΛΙΟΥΜ TURTETRA</t>
  </si>
  <si>
    <t>ΚΤΗΝΟΤΡΟΦΙΚΑ ΦΥΤΑ ΓΙΑ ΖΩΟΤΡΟΦΕΣΛΟΥΠΙΝΟ ΛΕΥΚΟ  MULTITALIA</t>
  </si>
  <si>
    <t>ΚΤΗΝΟΤΡΟΦΙΚΑ ΦΥΤΑ ΓΙΑ ΖΩΟΤΡΟΦΕΣΜΗΔΙΚΗ CASALINA</t>
  </si>
  <si>
    <t>ΚΤΗΝΟΤΡΟΦΙΚΑ ΦΥΤΑ ΓΙΑ ΖΩΟΤΡΟΦΕΣΜΗΔΙΚΗ CELSIUS</t>
  </si>
  <si>
    <t>ΚΤΗΝΟΤΡΟΦΙΚΑ ΦΥΤΑ ΓΙΑ ΖΩΟΤΡΟΦΕΣΜΗΔΙΚΗ CENTRAL</t>
  </si>
  <si>
    <t>ΚΤΗΝΟΤΡΟΦΙΚΑ ΦΥΤΑ ΓΙΑ ΖΩΟΤΡΟΦΕΣΜΗΔΙΚΗ ERIDE</t>
  </si>
  <si>
    <t>ΚΤΗΝΟΤΡΟΦΙΚΑ ΦΥΤΑ ΓΙΑ ΖΩΟΤΡΟΦΕΣΜΗΔΙΚΗ ISIDE</t>
  </si>
  <si>
    <t>ΚΤΗΝΟΤΡΟΦΙΚΑ ΦΥΤΑ ΓΙΑ ΖΩΟΤΡΟΦΕΣΜΗΔΙΚΗ LA ROCCA</t>
  </si>
  <si>
    <t>ΚΤΗΝΟΤΡΟΦΙΚΑ ΦΥΤΑ ΓΙΑ ΖΩΟΤΡΟΦΕΣΜΗΔΙΚΗ MARAVIGLIA</t>
  </si>
  <si>
    <t>ΚΤΗΝΟΤΡΟΦΙΚΑ ΦΥΤΑ ΓΙΑ ΖΩΟΤΡΟΦΕΣΜΗΔΙΚΗ PALLADIANA</t>
  </si>
  <si>
    <t>ΚΤΗΝΟΤΡΟΦΙΚΑ ΦΥΤΑ ΓΙΑ ΖΩΟΤΡΟΦΕΣΜΗΔΙΚΗ PICENA GR</t>
  </si>
  <si>
    <t>ΚΤΗΝΟΤΡΟΦΙΚΑ ΦΥΤΑ ΓΙΑ ΖΩΟΤΡΟΦΕΣΜΗΔΙΚΗ POMPOSA</t>
  </si>
  <si>
    <t>ΚΤΗΝΟΤΡΟΦΙΚΑ ΦΥΤΑ ΓΙΑ ΖΩΟΤΡΟΦΕΣΜΗΔΙΚΗ ZENITH</t>
  </si>
  <si>
    <t>ΚΤΗΝΟΤΡΟΦΙΚΑ ΦΥΤΑ ΓΙΑ ΖΩΟΤΡΟΦΕΣΣΟΡΓΟ MATACO</t>
  </si>
  <si>
    <t>ΚΤΗΝΟΤΡΟΦΙΚΑ ΦΥΤΑ ΓΙΑ ΖΩΟΤΡΟΦΕΣΤΡΙΤΙΚΑΛΕ AGRANO</t>
  </si>
  <si>
    <t>ΚΤΗΝΟΤΡΟΦΙΚΑ ΦΥΤΑ ΓΙΑ ΖΩΟΤΡΟΦΕΣΤΡΙΦΥΛΛΙ LILIBEO</t>
  </si>
  <si>
    <t>ΚΤΗΝΟΤΡΟΦΙΚΑ ΦΥΤΑ ΓΙΑ ΖΩΟΤΡΟΦΕΣΜΗΔΙΚΗ ADORNA</t>
  </si>
  <si>
    <t>ΚΤΗΝΟΤΡΟΦΙΚΑ ΦΥΤΑ ΓΙΑ ΖΩΟΤΡΟΦΕΣΜΗΔΙΚΗ NS ALFA</t>
  </si>
  <si>
    <t>ΚΤΗΝΟΤΡΟΦΙΚΑ ΦΥΤΑ ΓΙΑ ΖΩΟΤΡΟΦΕΣΜΗΔΙΚΗ ALBA</t>
  </si>
  <si>
    <t>ΚΤΗΝΟΤΡΟΦΙΚΑ ΦΥΤΑ ΓΙΑ ΖΩΟΤΡΟΦΕΣΜΗΔΙΚΗ VENICE</t>
  </si>
  <si>
    <t>ΚΤΗΝΟΤΡΟΦΙΚΑ ΦΥΤΑ ΓΙΑ ΖΩΟΤΡΟΦΕΣΛΟΛΙΟΥΜ CERONTE</t>
  </si>
  <si>
    <t>ΚΤΗΝΟΤΡΟΦΙΚΑ ΦΥΤΑ ΓΙΑ ΖΩΟΤΡΟΦΕΣΚΤΗΝΟΤΡΟΦΙΚΟ ΜΠΙΖΕΛΙ MILWA</t>
  </si>
  <si>
    <t>ΚΤΗΝΟΤΡΟΦΙΚΑ ΦΥΤΑ ΓΙΑ ΖΩΟΤΡΟΦΕΣΤΡΙΦΥΛΛΙ ΤΟ ΑΛΕΞΑΝΔΡΙΝΟ AXI</t>
  </si>
  <si>
    <t>ΚΤΗΝΟΤΡΟΦΙΚΑ ΦΥΤΑ ΓΙΑ ΖΩΟΤΡΟΦΕΣΤΡΙΦΥΛΛΙ ΤΟ ΕΡΠΟΝ Ή ΛΕΥΚΟ HAIFA</t>
  </si>
  <si>
    <t>ΚΤΗΝΟΤΡΟΦΙΚΑ ΦΥΤΑ ΓΙΑ ΖΩΟΤΡΟΦΕΣΚΤΗΝΟΤΡΟΦΙΚΟ ΜΠΙΖΕΛΙ AUDIT</t>
  </si>
  <si>
    <t>ΚΤΗΝΟΤΡΟΦΙΚΑ ΦΥΤΑ ΓΙΑ ΖΩΟΤΡΟΦΕΣΛΟΥΠΙΝΟ ΚΥΑΝΟ BOREGINE</t>
  </si>
  <si>
    <t>ΚΤΗΝΟΤΡΟΦΙΚΑ ΦΥΤΑ ΓΙΑ ΖΩΟΤΡΟΦΕΣΒΙΚΟΣ GRETA</t>
  </si>
  <si>
    <t>ΚΤΗΝΟΤΡΟΦΙΚΑ ΦΥΤΑ ΓΙΑ ΖΩΟΤΡΟΦΕΣΜΗΔΙΚΗ DOBROGEA</t>
  </si>
  <si>
    <t>ΚΤΗΝΟΤΡΟΦΙΚΑ ΦΥΤΑ ΓΙΑ ΖΩΟΤΡΟΦΕΣΜΗΔΙΚΗ SIRIVER</t>
  </si>
  <si>
    <t>ΚΤΗΝΟΤΡΟΦΙΚΑ ΦΥΤΑ ΓΙΑ ΖΩΟΤΡΟΦΕΣΜΗΔΙΚΗ VERDOR</t>
  </si>
  <si>
    <t>ΚΤΗΝΟΤΡΟΦΙΚΑ ΦΥΤΑ ΓΙΑ ΖΩΟΤΡΟΦΕΣΜΗΔΙΚΗ VALAHIA</t>
  </si>
  <si>
    <t>ΚΤΗΝΟΤΡΟΦΙΚΑ ΦΥΤΑ ΓΙΑ ΖΩΟΤΡΟΦΕΣΜΗΔΙΚΗ SABRINA</t>
  </si>
  <si>
    <t>ΚΤΗΝΟΤΡΟΦΙΚΑ ΦΥΤΑ ΓΙΑ ΖΩΟΤΡΟΦΕΣΜΗΔΙΚΗ AURORA</t>
  </si>
  <si>
    <t>ΚΤΗΝΟΤΡΟΦΙΚΑ ΦΥΤΑ ΓΙΑ ΖΩΟΤΡΟΦΕΣΜΗΔΙΚΗ DELTA</t>
  </si>
  <si>
    <t>ΚΤΗΝΟΤΡΟΦΙΚΑ ΦΥΤΑ ΓΙΑ ΖΩΟΤΡΟΦΕΣΜΗΔΙΚΗ PLATO</t>
  </si>
  <si>
    <t>ΚΤΗΝΟΤΡΟΦΙΚΑ ΦΥΤΑ ΓΙΑ ΖΩΟΤΡΟΦΕΣΜΗΔΙΚΗ PR58N57</t>
  </si>
  <si>
    <t>ΚΤΗΝΟΤΡΟΦΙΚΑ ΦΥΤΑ ΓΙΑ ΖΩΟΤΡΟΦΕΣΚΤΗΝΟΤΡΟΦΙΚΟ ΜΠΙΖΕΛΙ TRENDY</t>
  </si>
  <si>
    <t>ΚΤΗΝΟΤΡΟΦΙΚΑ ΦΥΤΑ ΓΙΑ ΖΩΟΤΡΟΦΕΣΛΟΥΠΙΝΟ ΛΕΥΚΟ  NELLY</t>
  </si>
  <si>
    <t>ΚΤΗΝΟΤΡΟΦΙΚΑ ΦΥΤΑ ΓΙΑ ΖΩΟΤΡΟΦΕΣΛΟΥΠΙΝΟ ΛΕΥΚΟ  ZULIKA</t>
  </si>
  <si>
    <t>ΚΤΗΝΟΤΡΟΦΙΚΑ ΦΥΤΑ ΓΙΑ ΖΩΟΤΡΟΦΕΣΚΡΙΘΑΡΙ THESSALONIKI</t>
  </si>
  <si>
    <t>ΚΤΗΝΟΤΡΟΦΙΚΑ ΦΥΤΑ ΓΙΑ ΖΩΟΤΡΟΦΕΣΛΟΛΙΟΥΜ MASTER</t>
  </si>
  <si>
    <t>ΚΤΗΝΟΤΡΟΦΙΚΑ ΦΥΤΑ ΓΙΑ ΖΩΟΤΡΟΦΕΣΤΡΙΦΥΛΛΙ ΑΛΕΞΑΝΔΡΙΝΟ ERIX</t>
  </si>
  <si>
    <t>ΚΤΗΝΟΤΡΟΦΙΚΑ ΦΥΤΑ ΓΙΑ ΖΩΟΤΡΟΦΕΣΛΟΛΙΟΥΜ ATTAIN</t>
  </si>
  <si>
    <t>ΚΤΗΝΟΤΡΟΦΙΚΑ ΦΥΤΑ ΓΙΑ ΖΩΟΤΡΟΦΕΣΚΡΙΘΑΡΙ MARTINO</t>
  </si>
  <si>
    <t>ΚΤΗΝΟΤΡΟΦΙΚΑ ΦΥΤΑ ΓΙΑ ΖΩΟΤΡΟΦΕΣΣΟΡΓΟ KING 61 DR</t>
  </si>
  <si>
    <t>ΚΤΗΝΟΤΡΟΦΙΚΑ ΦΥΤΑ ΓΙΑ ΖΩΟΤΡΟΦΕΣΣΟΡΓΟ RUZROK</t>
  </si>
  <si>
    <t>ΚΤΗΝΟΤΡΟΦΙΚΑ ΦΥΤΑ ΓΙΑ ΖΩΟΤΡΟΦΕΣΤΡΙΦΥΛΛΙ ΣΑΡΚΟΧΡΟΥΝ KARDINAL</t>
  </si>
  <si>
    <t>ΚΤΗΝΟΤΡΟΦΙΚΑ ΦΥΤΑ ΓΙΑ ΖΩΟΤΡΟΦΕΣΤΡΙΦΥΛΛΙ ΣΑΡΚΟΧΡΟΥΝ SIGNAL</t>
  </si>
  <si>
    <t>ΚΤΗΝΟΤΡΟΦΙΚΑ ΦΥΤΑ ΓΙΑ ΖΩΟΤΡΟΦΕΣΜΗΔΙΚΗ DIMITRA</t>
  </si>
  <si>
    <t>ΚΤΗΝΟΤΡΟΦΙΚΑ ΦΥΤΑ ΓΙΑ ΖΩΟΤΡΟΦΕΣΛΟΛΙΟΥΜ POLLANUM</t>
  </si>
  <si>
    <t>ΚΤΗΝΟΤΡΟΦΙΚΑ ΦΥΤΑ ΓΙΑ ΖΩΟΤΡΟΦΕΣΛΟΛΙΟΥΜ SULTANO</t>
  </si>
  <si>
    <t>ΚΤΗΝΟΤΡΟΦΙΚΑ ΦΥΤΑ ΓΙΑ ΖΩΟΤΡΟΦΕΣΜΗΔΙΚΗ OS 66</t>
  </si>
  <si>
    <t>ΚΤΗΝΟΤΡΟΦΙΚΑ ΦΥΤΑ ΓΙΑ ΖΩΟΤΡΟΦΕΣΣΟΡΓΟ BOVITAL</t>
  </si>
  <si>
    <t>ΚΤΗΝΟΤΡΟΦΙΚΑ ΦΥΤΑ ΓΙΑ ΖΩΟΤΡΟΦΕΣΤΡΙΦΥΛΛΙ ΤΟ ΑΛΕΞΑΝΔΡΙΝΟ TIGRI</t>
  </si>
  <si>
    <t>ΚΤΗΝΟΤΡΟΦΙΚΑ ΦΥΤΑ ΓΙΑ ΖΩΟΤΡΟΦΕΣΛΟΛΙΟΥΜ JEANNE</t>
  </si>
  <si>
    <t>ΜΗ ΚΑΛΛΙΕΡΓΗΣΙΜΕΣ ΕΚΤΑΣΕΙΣ ΛΟΓΩ ΦΥΣΙΚΩΝ ΚΑΤΑΣΤΡΟΦΩΝΑΓΡΟΤΕΜΑΧΙΑ ΛΙΜΝΗΣ ΚΑΡΛΑΣ</t>
  </si>
  <si>
    <t>ΜΗ ΚΑΛΛΙΕΡΓΗΣΙΜΕΣ ΕΚΤΑΣΕΙΣ ΛΟΓΩ ΦΥΣΙΚΩΝ ΚΑΤΑΣΤΡΟΦΩΝΑΓΡΟΤΕΜΑΧΙΑ ΠΛΗΓΕΝΤΑ ΑΠΟ ΠΥΡΚΑΓΙΑ</t>
  </si>
  <si>
    <t>ΜΗ ΚΑΛΛΙΕΡΓΗΣΙΜΕΣ ΕΚΤΑΣΕΙΣ ΛΟΓΩ ΦΥΣΙΚΩΝ ΚΑΤΑΣΤΡΟΦΩΝΑΓΡΟΤΕΜΑΧΙΑ ΠΛΗΜΜΥΡΙΣΜΕΝΑ ΜΕ ΦΕΡΤΑ ΥΛΙΚΑ</t>
  </si>
  <si>
    <t>ΕΝΕΡΓΕΙΑΚΕΣ ΚΑΛΛΙΕΡΓΕΙΕΣΗΛΙΑΝΘΟΣ SILLOUET</t>
  </si>
  <si>
    <t>ΕΝΕΡΓΕΙΑΚΕΣ ΚΑΛΛΙΕΡΓΕΙΕΣΗΛΙΑΝΘΟΣ P64HE244</t>
  </si>
  <si>
    <t>ΛΟΙΠΑ ΣΙΤΗΡΑΚΡΙΘΑΡΙ KWS THALIS</t>
  </si>
  <si>
    <t>ΛΟΙΠΑ ΣΙΤΗΡΑΣΙΤΟΣ ΜΑΛΑΚΟΣ GANDUJA</t>
  </si>
  <si>
    <t>ΛΟΙΠΑ ΣΙΤΗΡΑΣΙΤΟΣ ΜΑΛΑΚΟΣ ROTA</t>
  </si>
  <si>
    <t>ΛΟΙΠΑ ΣΙΤΗΡΑΣΙΤΟΣ ΜΑΛΑΚΟΣ AVENUE</t>
  </si>
  <si>
    <t>ΛΟΙΠΑ ΣΙΤΗΡΑΒΡΩΜΗ GENZIANA</t>
  </si>
  <si>
    <t>ΑΚΡΟΔΡΥΑ (ΚΑΡΠΟΙ ΜΕ ΚΕΛΥΦΟΣ)ΑΜΥΓΔΑΛΑ ANTONETA</t>
  </si>
  <si>
    <t>ΑΡΑΒΟΣΙΤΟΣ ΕΝΣΙΡΩΣΗΣΑΡΑΒΟΣΙΤΟΣ  MAS 576N</t>
  </si>
  <si>
    <t>ΑΡΑΒΟΣΙΤΟΣΑΡΑΒΟΣΙΤΟΣ  MAS 576N</t>
  </si>
  <si>
    <t>ΑΡΑΒΟΣΙΤΟΣΑΡΑΒΟΣΙΤΟΣ  P0164</t>
  </si>
  <si>
    <t>ΕΛΑΙΟΥΧΟΙ ΣΠΟΡΟΙΗΛΙΑΝΘΟΣ P64HE244</t>
  </si>
  <si>
    <t>ΛΟΙΠΕΣ ΔΕΝΔΡΩΔΕΙΣ ΚΑΛΛΙΕΡΓΕΙΕΣΣΥΚΙΕΣ</t>
  </si>
  <si>
    <t>ΠΥΡΗΝΟΚΑΡΠΑΚΕΡΑΣΙΑ FERMINA</t>
  </si>
  <si>
    <t>ΠΥΡΗΝΟΚΑΡΠΑΚΕΡΑΣΙΑ FERDIVA</t>
  </si>
  <si>
    <t>ΠΥΡΗΝΟΚΑΡΠΑΒΕΡΙΚΟΚΑ FRISSON</t>
  </si>
  <si>
    <t>ΠΥΡΗΝΟΚΑΡΠΑΒΕΡΙΚΟΚΑ ROYAL ROUSSILLON</t>
  </si>
  <si>
    <t>ΠΥΡΗΝΟΚΑΡΠΑΚΕΡΑΣΙΑ AIDA</t>
  </si>
  <si>
    <t>ΠΥΡΗΝΟΚΑΡΠΑΚΕΡΑΣΙΑ CHRISTIANA</t>
  </si>
  <si>
    <t>ΠΥΡΗΝΟΚΑΡΠΑΚΕΡΑΣΙΑ IRENA</t>
  </si>
  <si>
    <t>ΠΥΡΗΝΟΚΑΡΠΑΚΕΡΑΣΙΑ MIKA</t>
  </si>
  <si>
    <t>ΠΥΡΗΝΟΚΑΡΠΑΚΕΡΑΣΙΑ KASANDRA</t>
  </si>
  <si>
    <t>ΠΥΡΗΝΟΚΑΡΠΑΚΕΡΑΣΙΑ VANDA</t>
  </si>
  <si>
    <t>ΠΥΡΗΝΟΚΑΡΠΑΒΕΡΙΚΟΚΑ MURCIANA</t>
  </si>
  <si>
    <t>ΠΥΡΗΝΟΚΑΡΠΑΒΕΡΙΚΟΚΑ CSIC MIRLO ANARANJADO</t>
  </si>
  <si>
    <t>ΠΥΡΗΝΟΚΑΡΠΑΔΑΜΑΣΚΗΝΑ PRO 61 C (EBONY 61)</t>
  </si>
  <si>
    <t>ΠΥΡΗΝΟΚΑΡΠΑΔΑΜΑΣΚΗΝΑ PRO 79 C (EXTREME BLONDY JUNE)</t>
  </si>
  <si>
    <t xml:space="preserve">ΠΥΡΗΝΟΚΑΡΠΑΝΕΚΤΑΡΙΝΙΑ PRO C 15 (FRESH QUEEN) </t>
  </si>
  <si>
    <t>ΠΥΡΗΝΟΚΑΡΠΑΝΕΚΤΑΡΙΝΙΑ PRO 751 (EXTREME 751)</t>
  </si>
  <si>
    <t>ΠΥΡΗΝΟΚΑΡΠΑΝΕΚΤΑΡΙΝΙΑ PRO 786 (EXTREME SUGAR)</t>
  </si>
  <si>
    <t>ΠΥΡΗΝΟΚΑΡΠΑΝΕΚΤΑΡΙΝΙΑ PRO 867 (EXTREME 867)</t>
  </si>
  <si>
    <t>ΠΥΡΗΝΟΚΑΡΠΑΝΕΚΤΑΡΙΝΙΑ PRO 218 (EXTREME MOON)</t>
  </si>
  <si>
    <t>ΠΥΡΗΝΟΚΑΡΠΑΡΟΔΑΚΙΝΑ PRO 486 (EXTREME ONIS)</t>
  </si>
  <si>
    <t>ΠΥΡΗΝΟΚΑΡΠΑΡΟΔΑΚΙΝΑ PRO C 638 (EXTREME JULY)</t>
  </si>
  <si>
    <t>ΠΥΡΗΝΟΚΑΡΠΑΡΟΔΑΚΙΝΑ PRO 346 (EXTREME 346)</t>
  </si>
  <si>
    <t>ΠΥΡΗΝΟΚΑΡΠΑΡΟΔΑΚΙΝΑ PRO 646 (PLANE SUMMER)</t>
  </si>
  <si>
    <t>ΠΥΡΗΝΟΚΑΡΠΑΡΟΔΑΚΙΝΑ PRO C 185 (PLANE STAR)</t>
  </si>
  <si>
    <t>ΠΥΡΗΝΟΚΑΡΠΑΡΟΔΑΚΙΝΑ PRO C 206 (PLANE GOLD)</t>
  </si>
  <si>
    <t>ΠΥΡΗΝΟΚΑΡΠΑΡΟΔΑΚΙΝΑ PRO_716 (PLANE DELFOS)</t>
  </si>
  <si>
    <t>ΠΥΡΗΝΟΚΑΡΠΑΡΟΔΑΚΙΝΑ PRO 838 (EXTREME 838)</t>
  </si>
  <si>
    <t xml:space="preserve">ΠΥΡΗΝΟΚΑΡΠΑΚΕΡΑΣΙΑ BABELLE </t>
  </si>
  <si>
    <t>ΜΗΛΟΕΙΔΗΜΗΛΑ FUJION</t>
  </si>
  <si>
    <t>ΚΤΗΝΟΤΡΟΦΙΚΑ ΦΥΤΑ ΓΙΑ ΖΩΟΤΡΟΦΕΣΛΟΛΙΟΥΜ JIVET</t>
  </si>
  <si>
    <t>ΚΤΗΝΟΤΡΟΦΙΚΑ ΦΥΤΑ ΓΙΑ ΖΩΟΤΡΟΦΕΣΛΟΛΙΟΥΜ MELQUATRO</t>
  </si>
  <si>
    <t>ΚΤΗΝΟΤΡΟΦΙΚΑ ΦΥΤΑ ΓΙΑ ΖΩΟΤΡΟΦΕΣΛΟΛΙΟΥΜ BAQUEANO</t>
  </si>
  <si>
    <t>ΚΤΗΝΟΤΡΟΦΙΚΑ ΦΥΤΑ ΓΙΑ ΖΩΟΤΡΟΦΕΣΤΡΙΦΥΛΛΙ ΤΟ ΑΛΕΞΑΝΔΡΙΝΟ LAURA</t>
  </si>
  <si>
    <t>ΚΤΗΝΟΤΡΟΦΙΚΑ ΦΥΤΑ ΓΙΑ ΖΩΟΤΡΟΦΕΣΤΡΙΦΥΛΛΙ ΤΟ ΛΕΙΜΩΝΙΟ AIACE</t>
  </si>
  <si>
    <t xml:space="preserve">ΚΤΗΝΟΤΡΟΦΙΚΑ ΦΥΤΑ ΓΙΑ ΖΩΟΤΡΟΦΕΣΚΤΗΝΟΤΡΟΦΙΚΟ ΜΠΙΖΕΛΙ MILWA                                                  </t>
  </si>
  <si>
    <t>ΚΤΗΝΟΤΡΟΦΙΚΑ ΦΥΤΑ ΓΙΑ ΖΩΟΤΡΟΦΕΣΣΟΡΓΟ LATTE</t>
  </si>
  <si>
    <t>ΚΤΗΝΟΤΡΟΦΙΚΑ ΦΥΤΑ ΓΙΑ ΖΩΟΤΡΟΦΕΣΜΗΔΙΚΗ OLYMPOS</t>
  </si>
  <si>
    <t>ΒΑΜΒΑΚΙARIEL</t>
  </si>
  <si>
    <t>ΒΑΜΒΑΚΙGS 2071</t>
  </si>
  <si>
    <t>ΑΡΑΒΟΣΙΤΟΣ ΕΝΣΙΡΩΣΗΣΑΡΑΒΟΣΙΤΟΣ SY ULTIMATE</t>
  </si>
  <si>
    <t>ΑΡΑΒΟΣΙΤΟΣΑΡΑΒΟΣΙΤΟΣ SY ULTIMATE</t>
  </si>
  <si>
    <t xml:space="preserve">ΑΡΑΒΟΣΙΤΟΣΑΡΑΒΟΣΙΤΟΣ SY UNITRON </t>
  </si>
  <si>
    <t xml:space="preserve">ΑΡΑΒΟΣΙΤΟΣ ΕΝΣΙΡΩΣΗΣΑΡΑΒΟΣΙΤΟΣ SY UNITRON </t>
  </si>
  <si>
    <t>ΑΡΑΒΟΣΙΤΟΣ ΕΝΣΙΡΩΣΗΣΑΡΑΒΟΣΙΤΟΣ SY CALIBER</t>
  </si>
  <si>
    <t>ΑΡΑΒΟΣΙΤΟΣΑΡΑΒΟΣΙΤΟΣ SY CALIBER</t>
  </si>
  <si>
    <t xml:space="preserve">ΑΡΑΒΟΣΙΤΟΣ ΕΝΣΙΡΩΣΗΣΑΡΑΒΟΣΙΤΟΣ P18610  </t>
  </si>
  <si>
    <t xml:space="preserve">ΑΡΑΒΟΣΙΤΟΣΑΡΑΒΟΣΙΤΟΣ P18610  </t>
  </si>
  <si>
    <t xml:space="preserve">ΑΡΑΒΟΣΙΤΟΣ ΕΝΣΙΡΩΣΗΣΑΡΑΒΟΣΙΤΟΣ INITIO  </t>
  </si>
  <si>
    <t xml:space="preserve">ΑΡΑΒΟΣΙΤΟΣΑΡΑΒΟΣΙΤΟΣ INITIO  </t>
  </si>
  <si>
    <t>ΕΣΠΕΡΙΔΟΕΙΔΗΜΑΝΤΑΡΙΝΙΑ AFOURER</t>
  </si>
  <si>
    <t>ΡΥΖΙΡΥΖΙ KINDER PV</t>
  </si>
  <si>
    <t>ΡΥΖΙΡΥΖΙ DIVA PV</t>
  </si>
  <si>
    <t>ΚΤΗΝΟΤΡΟΦΙΚΑ ΦΥΤΑ ΓΙΑ ΖΩΟΤΡΟΦΕΣΤΡΙΦΥΛΛΙ ΤΟ ΕΡΠΟΝ Ή ΛΕΥΚΟ GORBY</t>
  </si>
  <si>
    <t>ΚΤΗΝΟΤΡΟΦΙΚΑ ΦΥΤΑ ΓΙΑ ΖΩΟΤΡΟΦΕΣΛΟΛΙΟΥΜ KOGA</t>
  </si>
  <si>
    <t>ΚΤΗΝΟΤΡΟΦΙΚΑ ΦΥΤΑ ΓΙΑ ΖΩΟΤΡΟΦΕΣΣΟΡΓΟ HAY DAY</t>
  </si>
  <si>
    <t>ΚΤΗΝΟΤΡΟΦΙΚΑ ΦΥΤΑ ΓΙΑ ΖΩΟΤΡΟΦΕΣΜΗΔΙΚΗ VANDA</t>
  </si>
  <si>
    <t>ΣΚΛΗΡΟΣ ΣΙΤΟΣΣΙΤΟΣ ΣΚΛΗΡΟΣ ARCONTE</t>
  </si>
  <si>
    <t xml:space="preserve">ΒΑΜΒΑΚΙDANAE </t>
  </si>
  <si>
    <t>ΕΝΕΡΓΕΙΑΚΕΣ ΚΑΛΛΙΕΡΓΕΙΕΣΗΛΙΑΝΘΟΣ INTERSTELLAR  (ΞΗΡΙΚΌΣ)</t>
  </si>
  <si>
    <t>ΕΝΕΡΓΕΙΑΚΕΣ ΚΑΛΛΙΕΡΓΕΙΕΣΗΛΙΑΝΘΟΣ INTERSTELLAR (ΠΟΤΙΣΤΙΚΟΣ)</t>
  </si>
  <si>
    <t>ΕΝΕΡΓΕΙΑΚΕΣ ΚΑΛΛΙΕΡΓΕΙΕΣΗΛΙΑΝΘΟΣ P64LP130  (ΞΗΡΙΚΌΣ)</t>
  </si>
  <si>
    <t>ΕΝΕΡΓΕΙΑΚΕΣ ΚΑΛΛΙΕΡΓΕΙΕΣΗΛΙΑΝΘΟΣ P64LP146 (ΞΗΡΙΚΌΣ)</t>
  </si>
  <si>
    <t>ΕΝΕΡΓΕΙΑΚΕΣ ΚΑΛΛΙΕΡΓΕΙΕΣΗΛΙΑΝΘΟΣ P64LP146 (ΠΟΤΙΣΤΙΚΟΣ)</t>
  </si>
  <si>
    <t>ΑΡΑΒΟΣΙΤΟΣΑΡΑΒΟΣΙΤΟΣ PL 700</t>
  </si>
  <si>
    <t>ΑΡΑΒΟΣΙΤΟΣ ΕΝΣΙΡΩΣΗΣΑΡΑΒΟΣΙΤΟΣ PL 700</t>
  </si>
  <si>
    <t xml:space="preserve">ΑΡΑΒΟΣΙΤΟΣΑΡΑΒΟΣΙΤΟΣ KWS PRIMATO </t>
  </si>
  <si>
    <t>ΑΡΑΒΟΣΙΤΟΣΑΡΑΒΟΣΙΤΟΣ KWS KALEIDO</t>
  </si>
  <si>
    <t>ΑΡΑΒΟΣΙΤΟΣ ΕΝΣΙΡΩΣΗΣΑΡΑΒΟΣΙΤΟΣ KWS KALEIDO</t>
  </si>
  <si>
    <t>ΑΡΑΒΟΣΙΤΟΣ ΕΝΣΙΡΩΣΗΣΑΡΑΒΟΣΙΤΟΣ DKC6648SC</t>
  </si>
  <si>
    <t>ΑΡΑΒΟΣΙΤΟΣΑΡΑΒΟΣΙΤΟΣ DKC6648SC</t>
  </si>
  <si>
    <t>ΑΡΑΒΟΣΙΤΟΣΑΡΑΒΟΣΙΤΟΣ MAS 674L</t>
  </si>
  <si>
    <t>ΠΥΡΗΝΟΚΑΡΠΑΒΕΡΙΚΟΚΑ ORIGAT</t>
  </si>
  <si>
    <t>ΠΥΡΗΝΟΚΑΡΠΑΔΑΜΑΣΚΗΝΑ GREENRED</t>
  </si>
  <si>
    <t>ΠΥΡΗΝΟΚΑΡΠΑΒΕΡΙΚΟΚΑ SWIRED</t>
  </si>
  <si>
    <t>ΠΥΡΗΝΟΚΑΡΠΑΒΕΡIΚΟΚΑ AGOSTINO</t>
  </si>
  <si>
    <t>ΡΥΖΙΡΥΖΙ INFINITO</t>
  </si>
  <si>
    <t>ΚΤΗΝΟΤΡΟΦΙΚΑ ΦΥΤΑ ΓΙΑ ΖΩΟΤΡΟΦΕΣΜΗΔΙΚΗ TEQUILLA</t>
  </si>
  <si>
    <t>ΚΤΗΝΟΤΡΟΦΙΚΑ ΦΥΤΑ ΓΙΑ ΖΩΟΤΡΟΦΕΣΜΗΔΙΚΗ AZZURRA</t>
  </si>
  <si>
    <t>ΚΤΗΝΟΤΡΟΦΙΚΑ ΦΥΤΑ ΓΙΑ ΖΩΟΤΡΟΦΕΣΜΗΔΙΚΗ HYPERION</t>
  </si>
  <si>
    <t>ΚΤΗΝΟΤΡΟΦΙΚΑ ΦΥΤΑ ΓΙΑ ΖΩΟΤΡΟΦΕΣΜΗΔΙΚΗ PAOLA</t>
  </si>
  <si>
    <t>ΚΤΗΝΟΤΡΟΦΙΚΑ ΦΥΤΑ ΓΙΑ ΖΩΟΤΡΟΦΕΣΒΙΚΟΣ HANKA</t>
  </si>
  <si>
    <t>ΛΟΙΠΑ ΣΙΤΗΡΑΚΡΙΘΑΡΙ ΖΗΑΝΑ</t>
  </si>
  <si>
    <t>ΑΡΑΒΟΣΙΤΟΣΑΡΑΒΟΣΙΤΟΣ P9413</t>
  </si>
  <si>
    <t>ΚΤΗΝΟΤΡΟΦΙΚΑ ΦΥΤΑ ΓΙΑ ΖΩΟΤΡΟΦΕΣΤΡΙΦΥΛΛΙ ΤΟ ΑΛΕΞΑΝΔΡΙΝΟ MAREMMA</t>
  </si>
  <si>
    <t>ΚΤΗΝΟΤΡΟΦΙΚΑ ΦΥΤΑ ΓΙΑ ΖΩΟΤΡΟΦΕΣΤΡΙΦΥΛΛΙ ΤΟ ΑΛΕΞΑΝΔΡΙΝΟ CERRO</t>
  </si>
  <si>
    <t>ΕΛΑΙΟΥΧΟΙ ΣΠΟΡΟΙΗΛΙΑΝΘΟΣ P64HP630</t>
  </si>
  <si>
    <t>ΕΛΑΙΟΥΧΟΙ ΣΠΟΡΟΙΗΛΙΑΝΘΟΣ SULIANO</t>
  </si>
  <si>
    <t>ΕΝΕΡΓΕΙΑΚΕΣ ΚΑΛΛΙΕΡΓΕΙΕΣΗΛΙΑΝΘΟΣ SULIANO</t>
  </si>
  <si>
    <t>ΕΛΑΙΟΥΧΟΙ ΣΠΟΡΟΙΗΛΙΑΝΘΟΣ P64LE168</t>
  </si>
  <si>
    <t>ΕΛΑΙΟΥΧΟΙ ΣΠΟΡΟΙΗΛΙΑΝΘΟΣ MICHEL</t>
  </si>
  <si>
    <t>ΕΛΑΙΟΥΧΟΙ ΣΠΟΡΟΙΗΛΙΑΝΘΟΣ ES JURASSIC SU</t>
  </si>
  <si>
    <t>ΕΛΑΙΟΥΧΟΙ ΣΠΟΡΟΙΗΛΙΑΝΘΟΣ RGT VOLLCANO CLP</t>
  </si>
  <si>
    <t>ΕΝΕΡΓΕΙΑΚΕΣ ΚΑΛΛΙΕΡΓΕΙΕΣΗΛΙΑΝΘΟΣ RGT VOLLCANO CLP</t>
  </si>
  <si>
    <t>ΕΛΑΙΟΥΧΟΙ ΣΠΟΡΟΙΗΛΙΑΝΘΟΣ ES ELECRIC CLP</t>
  </si>
  <si>
    <t>ΕΝΕΡΓΕΙΑΚΕΣ ΚΑΛΛΙΕΡΓΕΙΕΣΗΛΙΑΝΘΟΣ ES ELECRIC CLP</t>
  </si>
  <si>
    <t>ΕΝΕΡΓΕΙΑΚΕΣ ΚΑΛΛΙΕΡΓΕΙΕΣΗΛΙΑΝΘΟΣ ZEPPELIN</t>
  </si>
  <si>
    <t>ΛΟΙΠΑ ΣΙΤΗΡΑΣΙΤΟΣ ΜΑΛΑΚΟΣ SOLEHIO</t>
  </si>
  <si>
    <t>ΛΟΙΠΑ ΣΙΤΗΡΑΣΙΤΟΣ ΜΑΛΑΚΟΣ ARABELLA</t>
  </si>
  <si>
    <t>ΛΟΙΠΑ ΣΙΤΗΡΑΚΡΙΘΑΡΙ ΒΙΖΟΝ</t>
  </si>
  <si>
    <t>ΓΕΩΜHΛΑΠΑΤΑΤΑ AGRIA</t>
  </si>
  <si>
    <t>ΣΠΟΡΟΠΑΡΑΓΩΓΗΛΟΥΠΙΝΟ ΚΥΑΝΟ ΣΠΟΡΟΠΑΡΑΓΩΓΗΣ TANGO</t>
  </si>
  <si>
    <t>ΣΠΟΡΟΠΑΡΑΓΩΓΗΚΤΗΝΟΤΡΟΦΙΚΟ ΜΠΙΖΕΛΙ ΣΠΟΡΟΠΑΡΑΓΩΓΗΣ ROCH</t>
  </si>
  <si>
    <t>ΣΠΟΡΟΠΑΡΑΓΩΓΗΜΗΔΙΚΗ ΣΠΟΡΟΠΑΡΑΓΩΓΗΣ AZZURRA</t>
  </si>
  <si>
    <t>ΑΡΑΒΟΣΙΤΟΣΑΡΑΒΟΣΙΤΟΣ LG31704</t>
  </si>
  <si>
    <t>ΑΡΑΒΟΣΙΤΟΣΑΡΑΒΟΣΙΤΟΣ INVADOR</t>
  </si>
  <si>
    <t>ΑΡΑΒΟΣΙΤΟΣΑΡΑΒΟΣΙΤΟΣ P08316</t>
  </si>
  <si>
    <t>ΑΡΑΒΟΣΙΤΟΣΑΡΑΒΟΣΙΤΟΣ P00199</t>
  </si>
  <si>
    <t>ΑΡΑΒΟΣΙΤΟΣΑΡΑΒΟΣΙΤΟΣ P09518</t>
  </si>
  <si>
    <t>ΑΡΑΒΟΣΙΤΟΣΑΡΑΒΟΣΙΤΟΣ P99474</t>
  </si>
  <si>
    <t>ΑΡΑΒΟΣΙΤΟΣΑΡΑΒΟΣΙΤΟΣ P03376</t>
  </si>
  <si>
    <t>ΕΛΑΙΟΥΧΟΙ ΣΠΟΡΟΙΗΛΙΑΝΘΟΣ P64LP146</t>
  </si>
  <si>
    <t>ΛΟΙΠΕΣ ΔΕΝΔΡΩΔΕΙΣ ΚΑΛΛΙΕΡΓΕΙΕΣΛΩΤΟΙ ROJO BRILLANTE</t>
  </si>
  <si>
    <t>ΠΥΡΗΝΟΚΑΡΠΑΒΕΡIΚΟΚΑ SMART COT</t>
  </si>
  <si>
    <t>ΡΥΖΙΡΥΖΙ IBERICO CL</t>
  </si>
  <si>
    <t>ΚΤΗΝΟΤΡΟΦΙΚΑ ΦΥΤΑ ΓΙΑ ΖΩΟΤΡΟΦΕΣΤΡΙΦΥΛΛΙ ΤΟ ΑΛΕΞΑΝΔΡΙΝΟ BLUEGOLD</t>
  </si>
  <si>
    <t>ΚΤΗΝΟΤΡΟΦΙΚΑ ΦΥΤΑ ΓΙΑ ΖΩΟΤΡΟΦΕΣΤΡΙΦΥΛΛΙ ΤΟ ΕΡΠΟΝ Ή ΛΕΥΚΟ GRASSLANDS HUIA</t>
  </si>
  <si>
    <t>ΚΤΗΝΟΤΡΟΦΙΚΑ ΦΥΤΑ ΓΙΑ ΖΩΟΤΡΟΦΕΣΤΡΙΦΥΛΛΙ TRIFOLIUM SQUARROSUM (ΣΚΟΥΑΡΟΣΟ)</t>
  </si>
  <si>
    <t>ΚΤΗΝΟΤΡΟΦΙΚΑ ΦΥΤΑ ΓΙΑ ΖΩΟΤΡΟΦΕΣΛΟΥΠΙΝΟ ΚΥΑΝΟ TANGO</t>
  </si>
  <si>
    <t>ΚΤΗΝΟΤΡΟΦΙΚΑ ΦΥΤΑ ΓΙΑ ΖΩΟΤΡΟΦΕΣΜΗΔΙΚΗ Η ΗΜΕΡΟΣ BANAT VS</t>
  </si>
  <si>
    <t>ΚΤΗΝΟΤΡΟΦΙΚΑ ΦΥΤΑ ΓΙΑ ΖΩΟΤΡΟΦΕΣΜΗΔΙΚΗ Η ΗΜΕΡΟΣ GIGANTE ROMEA</t>
  </si>
  <si>
    <t>ΚΤΗΝΟΤΡΟΦΙΚΑ ΦΥΤΑ ΓΙΑ ΖΩΟΤΡΟΦΕΣΜΗΔΙΚΗ Η ΗΜΕΡΟΣ ALPHA</t>
  </si>
  <si>
    <t>ΛΟΙΠΑ ΣΙΤΗΡΑΣΙΤΟΣ ΜΑΛΑΚΟΣ NEMO</t>
  </si>
  <si>
    <t>ΚΤΗΝΟΤΡΟΦΙΚΑ ΦΥΤΑ ΓΙΑ ΖΩΟΤΡΟΦΕΣΤΡΙΦΥΛΛΙ ΤΟ ΑΛΕΞΑΝΔΡΙΝΟ LEILA</t>
  </si>
  <si>
    <t>ΣΙΤΟΣ ΣΚΛΗΡΟΣ FURIO CAMILLO</t>
  </si>
  <si>
    <t>ΣΙΤΟΣ ΣΚΛΗΡΟΣ COLLIODUR</t>
  </si>
  <si>
    <t>ΣΙΤΟΣ ΣΚΛΗΡΟΣ PVL1636</t>
  </si>
  <si>
    <t>ΣΙΤΟΣ ΣΚΛΗΡΟΣ PVL2517</t>
  </si>
  <si>
    <t>ΣΙΤΟΣ ΣΚΛΗΡΟΣ PVL6575</t>
  </si>
  <si>
    <t>ΣΙΤΟΣ ΣΚΛΗΡΟΣ  ARTHURO</t>
  </si>
  <si>
    <t>ST373</t>
  </si>
  <si>
    <t>ST463</t>
  </si>
  <si>
    <t>ST457</t>
  </si>
  <si>
    <t>ST405</t>
  </si>
  <si>
    <t>CYNTHIA</t>
  </si>
  <si>
    <t>DP396</t>
  </si>
  <si>
    <t>DP332</t>
  </si>
  <si>
    <t>ST474</t>
  </si>
  <si>
    <t>DP377</t>
  </si>
  <si>
    <t>ΚΑΠΝΟΣ ΚΑΤΕΡΙΝΗΣ ΚΑΤΕΡΙΝΗΣ 53</t>
  </si>
  <si>
    <t>ΚΑΠΝΟΣ ΤΣΕΜΠΕΛΙΑ ΤΣΕΜΠ. ΑΓΡΙΝΙΟΥ 21</t>
  </si>
  <si>
    <t>ΚΑΠΝΟΣ ΜΠΕΡΛΕΥ ΜΠΕΡΛΕΥ 21Ε</t>
  </si>
  <si>
    <t>ΚΑΠΝΟΣ ΒΙΡΤΖΙΝΙΑ ΒΙΡΤΖΙΝΙΑ Ε9</t>
  </si>
  <si>
    <t>ΣΙΤΟΣ ΜΑΛΑΚΟΣ  ZANZIBAR</t>
  </si>
  <si>
    <t>ΚΡΙΘΑΡΙ KWS IDA</t>
  </si>
  <si>
    <t>ΚΡΙΘΑΡΙ ATHENAIDA</t>
  </si>
  <si>
    <t>ΣΙΤΟΣ ΜΑΛΑΚΟΣ VERGINA</t>
  </si>
  <si>
    <t>ΣΙΤΟΣ ΜΑΛΑΚΟΣ DIO</t>
  </si>
  <si>
    <t>ΣΙΤΟΣ ΜΑΛΑΚΟΣ DODONI</t>
  </si>
  <si>
    <t>ΑΜΥΓΔΑΛΑ NON PAREIL</t>
  </si>
  <si>
    <t>ΚΑΡΥΔΙΑ FRANQUETTE</t>
  </si>
  <si>
    <t>ΑΜΥΓΔΑΛΑ FYLLIS</t>
  </si>
  <si>
    <t>ΜΗΔΙΚΗ ΣΠΟΡΟΠΑΡΑΓΩΓΗΣ YPATI 84</t>
  </si>
  <si>
    <t>ΡΕΒΙΘΙ ΒΡΩΣΙΜΟ ΣΠΟΡΟΠΑΡΑΓΩΓΗΣ GAVDOS</t>
  </si>
  <si>
    <t>ΜΑΝΙΤΑΡΙΑ AGARICUS</t>
  </si>
  <si>
    <t>ΜΑΝΙΤΑΡΙΑ PLEUROTUS</t>
  </si>
  <si>
    <t>ΛΑΧΑΝΟ ΘΕΡΜΟΚΗΠΙΟΥ Λάχανο Brasicacea</t>
  </si>
  <si>
    <t>ΣΠΑΘΟΧΟΡΤΟ ή ΒΑΛΣΑΜΟ ή ΥΠΕΡΙΚΟΝ</t>
  </si>
  <si>
    <t>ΒΕΡΙΚΟΚΑ ΠΡΩΙΜ. ΠΟΡΟΥ</t>
  </si>
  <si>
    <t>ΒΕΡΙΚΟΚΑ ΤΣΑΟΥΛΙΑ</t>
  </si>
  <si>
    <t>ΒΕΡΙΚΟΚΑ ΠΑΥΛΗ ΡΟΔΟΥ</t>
  </si>
  <si>
    <t>ΒΕΡΙΚΟΚΑ ΓΛΥΚΟΚΥΡ. (ΚΑΪΣΙΑ)</t>
  </si>
  <si>
    <t>ΒΕΡΙΚΟΚΑ ΠΛΑΚΑ</t>
  </si>
  <si>
    <t>ΒΕΡΙΚΟΚΑ ΔΙΑΜΑΝΤΟΠΟΥΛΟΥ</t>
  </si>
  <si>
    <t>ΒΕΡΙΚΟΚΑ ΧΑΣΙΩΤΙΚΑ</t>
  </si>
  <si>
    <t>ΒΕΡΙΚΟΚΑ LUΙΖEΤ</t>
  </si>
  <si>
    <t>ΒΕΡΙΚΟΚΑ PΑVΙOΤ</t>
  </si>
  <si>
    <t>ΒΕΡΙΚΟΚΑ ROΥΑL</t>
  </si>
  <si>
    <t>ΒΕΡΙΚΟΚΑ ΧΑΡΚΟ</t>
  </si>
  <si>
    <t>ΒΕΡΙΚΟΚΑ ΠΕΛΛΑΣ</t>
  </si>
  <si>
    <t>ΒΕΡΙΚΟΚΑ ΑΟΥΡΟΡΑ</t>
  </si>
  <si>
    <t>ΒΕΡΙΚΟΚΑ ΠΟΡΤΙΤΣΙ</t>
  </si>
  <si>
    <t>ΒΕΡΙΚΟΚΑ ΝΙΝΦΑ</t>
  </si>
  <si>
    <t>ΒΕΡΙΚΟΚΑ ΣΑΝ ΤΖΑΪΑΝΤ</t>
  </si>
  <si>
    <t>ΒΕΡΙΚΟΚΑ ΠΙΝΚ ΚΟΤ</t>
  </si>
  <si>
    <t>ΒΕΡΙΚΟΚΑ ΜΠΕΡΖΕΡΟΝ</t>
  </si>
  <si>
    <t>ΒΕΡΙΚΟΚΑ TOYACO (TOMCOT)</t>
  </si>
  <si>
    <t>ΒΕΡΙΚΟΚΑ KIOTO</t>
  </si>
  <si>
    <t>ΒΕΡΙΚΟΚΑ BO 90.610.010 (BORA)</t>
  </si>
  <si>
    <t>ΒΕΡΙΚΟΚΑ FARALIA</t>
  </si>
  <si>
    <t>ΒΕΡΙΚΟΚΑ FARDAO</t>
  </si>
  <si>
    <t>ΒΕΡΙΚΟΚΑ WONDER COT</t>
  </si>
  <si>
    <t>ΒΕΡΙΚΟΚΑ PRICIA</t>
  </si>
  <si>
    <t>ΒΕΡΙΚΟΚΑ MAGIC COT</t>
  </si>
  <si>
    <t>ΡΟΔΑΚΙΝΑ PLATIBELLE</t>
  </si>
  <si>
    <t>ΒΕΡΙΚΟΚΑ MEDIABEL</t>
  </si>
  <si>
    <t>ΒΕΡΙΚΟΚΑ ΜΕΤΑΠΟΙΗΣΗΣ</t>
  </si>
  <si>
    <t>ΒΕΡΙΚΟΚΑ - ΙΚΑΡΙΑΣ</t>
  </si>
  <si>
    <t>ΒΕΡΙΚΟΚΑ - ΠΛΑΚΕΣ ΠΗΛΙΟΥ</t>
  </si>
  <si>
    <t>ΒΕΡΙΚΟΚΑ - ΠΛΑΚΕΣ ΣΕΡΡΩΝ</t>
  </si>
  <si>
    <t>ΜΗΛΑ SUMMERRED</t>
  </si>
  <si>
    <t>ΜΗΛΑ JERSEYMAC</t>
  </si>
  <si>
    <t>ΜΗΛΑ STARKRIMSON</t>
  </si>
  <si>
    <t>ΜΗΛΑ JONAGOLD</t>
  </si>
  <si>
    <t>ΜΗΛΑ GRANNY SMITH</t>
  </si>
  <si>
    <t>ΜΗΛΑ MUTSU</t>
  </si>
  <si>
    <t>ΜΗΛΑ JONATHAN</t>
  </si>
  <si>
    <t>ΜΗΛΑ TOP RED</t>
  </si>
  <si>
    <t>ΜΗΛΑ MELROSE</t>
  </si>
  <si>
    <t>ΜΗΛΑ OZAK GOLD</t>
  </si>
  <si>
    <t>ΜΗΛΑ JONAGORED</t>
  </si>
  <si>
    <t>ΜΗΛΑ WELLSPUR DELICIOUS</t>
  </si>
  <si>
    <t>ΜΗΛΑ FUJI</t>
  </si>
  <si>
    <t>ΜΗΛΑ ROYAL GALA</t>
  </si>
  <si>
    <t>ΜΗΛΑ PRIMA</t>
  </si>
  <si>
    <t>ΜΗΛΑ BELLEZA_DE_ROMA</t>
  </si>
  <si>
    <t>ΜΗΛΑ SCARLET</t>
  </si>
  <si>
    <t>ΜΗΛΑ QUERINA (FLORINA)</t>
  </si>
  <si>
    <t>FIBROR 79</t>
  </si>
  <si>
    <t>ΒΙΚΟΣ ZEFYROS</t>
  </si>
  <si>
    <t>ΜΠΙΖΕΛΙ / ΠΙΣΟ ΚΤΗΝΟΤΡΟΦΙΚΟ RESPECT</t>
  </si>
  <si>
    <t>ΜΠΙΖΕΛΙ / ΠΙΣΟ ΚΤΗΝΟΤΡΟΦΙΚΟ ARVIKA</t>
  </si>
  <si>
    <t>ΜΗΔΙΚΗ Η ΗΜΕΡΟΣ AGN M68</t>
  </si>
  <si>
    <t>ΜΗΔΙΚΗ Η ΗΜΕΡΟΣ AGN M72</t>
  </si>
  <si>
    <t>ΤΡΙΦΥΛΛΙ ΤΟ ΑΛΕΞΑΝΔΡΙΝΟ TIM</t>
  </si>
  <si>
    <t>HA 1432 -YBΡΙΔΙΟ</t>
  </si>
  <si>
    <t>ΒΕΡΙΚΟΚΑ BOLERO</t>
  </si>
  <si>
    <t>ΒΕΡΙΚΟΚΑ BORSALINO</t>
  </si>
  <si>
    <t>ΒΕΡΙΚΟΚΑ DOMINO</t>
  </si>
  <si>
    <t>ΒΕΡΙΚΟΚΑ NELSON</t>
  </si>
  <si>
    <t>ΒΕΡΙΚΟΚΑ PRIMIDI</t>
  </si>
  <si>
    <t>ΒΕΡΙΚΟΚΑ MEDFLO</t>
  </si>
  <si>
    <t>ΚΡΙΘΑΡΙ LG BOLERO</t>
  </si>
  <si>
    <t>ΒΕΡΊΚΟΚΑ AVILCO</t>
  </si>
  <si>
    <t>ΒΕΡΙΚΟΚΑ CEBASRED</t>
  </si>
  <si>
    <t>ΚΡΙΘΑΡΙ LG BELCANTO</t>
  </si>
  <si>
    <t>ΣΙΤΟΣ ΣΚΛΗΡΟΣ MANIFESTO</t>
  </si>
  <si>
    <t>ΣΙΤΟΣ ΣΚΛΗΡΟΣ ROCAILLOU</t>
  </si>
  <si>
    <t>ΣΙΤΟΣ ΣΚΛΗΡΟΣ PELOPAS</t>
  </si>
  <si>
    <t>ΦΑΣΟΛΙΑ SPLENDIDO</t>
  </si>
  <si>
    <t>ΦΑΣΟΛΙΑ ST. ANDREAS</t>
  </si>
  <si>
    <t>ΦΑΣΟΛΙΑ GREAT NORTHERN</t>
  </si>
  <si>
    <t>ΦΑΣΟΛΙΑ BORLOTTO LINGUA DI FUOCO NANO</t>
  </si>
  <si>
    <t>MAY 455</t>
  </si>
  <si>
    <t>ΗΛΙΑΝΘΟΣ ES BELFIS (ΞΗΡΙΚΟΣ)</t>
  </si>
  <si>
    <t>ΗΛΙΑΝΘΟΣ ES BELFIS (ΠΟΤΙΣΤΙΚΟΣ)</t>
  </si>
  <si>
    <t>ΗΛΙΑΝΘΟΣ SUBEO (ΞΗΡΙΚΟΣ)</t>
  </si>
  <si>
    <t>ΗΛΙΑΝΘΟΣ SUBEO (ΠΟΤΙΣΤΙΚΟΣ)</t>
  </si>
  <si>
    <t>ΚΡΙΘΑΡΙ ESOPO</t>
  </si>
  <si>
    <t>ΚΡΙΘΑΡΙ FUTURA</t>
  </si>
  <si>
    <t>ΚΡΙΘΑΡΙ TEKTOO</t>
  </si>
  <si>
    <t>ΣΙΚΑΛΗ SILENO</t>
  </si>
  <si>
    <t>ΣΙΚΑΛΗ SITO 70</t>
  </si>
  <si>
    <t>ΣΙΤΟΣ ΔΙΚΟΚΚΟΣ DILOFOS</t>
  </si>
  <si>
    <t>ΣΙΤΟΣ ΜΑΛΑΚΟΣ ADRIATIC</t>
  </si>
  <si>
    <t xml:space="preserve">ΣΙΤΟΣ ΜΑΛΑΚΟΣ KWS LAZULI </t>
  </si>
  <si>
    <t>ΣΙΤΟΣ ΜΑΛΑΚΟΣ LUCILLA</t>
  </si>
  <si>
    <t>ΤΡΙΤΙΚΑΛΕ CATRIA</t>
  </si>
  <si>
    <t>ΤΡΙΤΙΚΑΛΕ RAMDAM</t>
  </si>
  <si>
    <t>ΣΙΤΟΣ ΜΑΛΑΚΟΣ FILON</t>
  </si>
  <si>
    <t>ΣΙΤΟΣ ΜΑΛΑΚΟΣ LG ACORAZADO</t>
  </si>
  <si>
    <t>ΣΙΤΟΣ ΜΑΛΑΚΟΣ CANALETTO</t>
  </si>
  <si>
    <t>ΣΙΤΟΣ ΜΑΛΑΚΟΣ GRANNY</t>
  </si>
  <si>
    <t>ΣΙΚΑΛΗ PHTHIA</t>
  </si>
  <si>
    <t>ΣΙΤΟΣ ΜΑΛΑΚΟΣ ALGERI</t>
  </si>
  <si>
    <t>ΒΡΩΜΗ PALLINI</t>
  </si>
  <si>
    <t>ΒΡΩΜΗ PREVISION</t>
  </si>
  <si>
    <t>ΤΡΙΤΙΚΑΛΕ BONDADOSO</t>
  </si>
  <si>
    <t xml:space="preserve">ΣΙΚΑΛΗ ANTONINSKIE </t>
  </si>
  <si>
    <t>ΚΡΙΘΑΡΙ ACHILIOS</t>
  </si>
  <si>
    <t>ΚΡΙΘΑΡΙ KIKEON</t>
  </si>
  <si>
    <t>ΚΡΙΘΑΡΙ ARDA</t>
  </si>
  <si>
    <t>ΤΡΙΤΙΚΑΛΕ TRICANTO</t>
  </si>
  <si>
    <t>ΤΡΙΤΙΚΑΛΕ FORRICALE</t>
  </si>
  <si>
    <t>ΤΡΙΤΙΚΑΛΕ TRITANO</t>
  </si>
  <si>
    <t>ΣΙΤΟΣ ΜΑΛΑΚΟΣ DRUSILLA</t>
  </si>
  <si>
    <t>ΦΟΥΝΤΟΥΚΙΑ BARCELONA</t>
  </si>
  <si>
    <t>ΠΑΤΑΤΑ JELLY</t>
  </si>
  <si>
    <t>ΚΤΗΝΟΤΡΟΦΙΚΟ ΜΠΙΖΕΛΙ ΣΠΟΡΟΠΑΡΑΓΩΓΗΣ TURNIA</t>
  </si>
  <si>
    <t>ΛΟΥΠΙΝΟ ΛΕΥΚΟ ΣΠΟΡΟΠΑΡΑΓΩΓΗΣ ZULIKA</t>
  </si>
  <si>
    <t>ΣΚΛΗΡΟΣ ΣΙΤΟΣ ΣΠΟΡΟΠΑΡΑΓΩΓΗΣ TEODORICO</t>
  </si>
  <si>
    <t>ΛΟΥΠΙΝΟ ΛΕΥΚΟ ΣΠΟΡΟΠΑΡΑΓΩΓΗΣ NELLY</t>
  </si>
  <si>
    <t>ΑΡΑΒΟΣΙΤΟΣ DKC5016</t>
  </si>
  <si>
    <t>ΑΡΑΒΟΣΙΤΟΣ DKC5432</t>
  </si>
  <si>
    <t>ΑΡΑΒΟΣΙΤΟΣ DKC5812</t>
  </si>
  <si>
    <t>ΑΡΑΒΟΣΙΤΟΣ DKC6131</t>
  </si>
  <si>
    <t>ΑΡΑΒΟΣΙΤΟΣ DKC6537</t>
  </si>
  <si>
    <t>ΑΡΑΒΟΣΙΤΟΣ DKC6625</t>
  </si>
  <si>
    <t>ΑΡΑΒΟΣΙΤΟΣ DKC6731</t>
  </si>
  <si>
    <t>ΑΡΑΒΟΣΙΤΟΣ DKC7023</t>
  </si>
  <si>
    <t>ΑΡΑΒΟΣΙΤΟΣ LG31688</t>
  </si>
  <si>
    <t>ΑΡΑΒΟΣΙΤΟΣ SY BLADE</t>
  </si>
  <si>
    <t>ΑΡΑΒΟΣΙΤΟΣ SY CROMATIC</t>
  </si>
  <si>
    <t>ΑΡΑΒΟΣΙΤΟΣ SY KURSOR</t>
  </si>
  <si>
    <t>ΑΡΑΒΟΣΙΤΟΣ SERIFOS</t>
  </si>
  <si>
    <t>ΑΡΑΒΟΣΙΤΟΣ SAMOS</t>
  </si>
  <si>
    <t>ΑΡΑΒΟΣΙΤΟΣ ZP6263</t>
  </si>
  <si>
    <t>ΑΡΑΒΟΣΙΤΟΣ P15382</t>
  </si>
  <si>
    <t>ΑΡΑΒΟΣΙΤΟΣ  P21416</t>
  </si>
  <si>
    <t>ΑΡΑΒΟΣΙΤΟΣ SIMPATICO KWS</t>
  </si>
  <si>
    <t>ΑΡΑΒΟΣΙΤΟΣ DKC6836SC</t>
  </si>
  <si>
    <t>ΑΡΑΒΟΣΙΤΟΣ 7210R</t>
  </si>
  <si>
    <t>ΑΡΑΒΟΣΙΤΟΣ ZP427</t>
  </si>
  <si>
    <t>ΑΡΑΒΟΣΙΤΟΣ LG31662</t>
  </si>
  <si>
    <t>ΑΡΑΒΟΣΙΤΟΣ P2183</t>
  </si>
  <si>
    <t>ΑΡΑΒΟΣΙΤΟΣ ZP 5601</t>
  </si>
  <si>
    <t>ΑΡΑΒΟΣΙΤΟΣ P15268</t>
  </si>
  <si>
    <t>REGAL SEEDLESS</t>
  </si>
  <si>
    <t>ΠΕΠΟΝΙ ANANAS D AMERIQUE A CH. VERTE</t>
  </si>
  <si>
    <t>ΚΑΡΠΟΥΖΙ SUNNY FLORIDA</t>
  </si>
  <si>
    <t>ΠΙΠΕΡΙΑ YANKA</t>
  </si>
  <si>
    <t>ΣΕΛΕΡΥ ΘΕΡΜΟΚΗΠΙΟΥ</t>
  </si>
  <si>
    <t xml:space="preserve">ΤΟΜΑΤΑ EKSTASIS  </t>
  </si>
  <si>
    <t>ΗΛΙΑΝΘΟΣ  SUVEX  (ΞΗΡΙΚΟΣ)</t>
  </si>
  <si>
    <t>ΗΛΙΑΝΘΟΣ SUVEX  (ΠΟΤΙΣΤΙΚΟΣ)</t>
  </si>
  <si>
    <t>ΗΛΙΑΝΘΟΣ FD18E41 (ΞΗΡΙΚΟΣ)</t>
  </si>
  <si>
    <t>ΗΛΙΑΝΘΟΣ FD18E41 (ΠΟΤΙΣΤΙΚΟΣ)</t>
  </si>
  <si>
    <t>ΗΛΙΑΝΘΟΣ DRACARIS CLP (ΞΗΡΙΚΟΣ)</t>
  </si>
  <si>
    <t>ΗΛΙΑΝΘΟΣ DRACARIS CLP (ΠΟΤΙΣΤΙΚΟΣ)</t>
  </si>
  <si>
    <t>ΗΛΙΑΝΘΟΣ ARNETES SU (ΞΗΡΙΚΟΣ)</t>
  </si>
  <si>
    <t>ΗΛΙΑΝΘΟΣ ARNETES SU (ΠΟΤΙΣΤΙΚΟΣ)</t>
  </si>
  <si>
    <t>ΗΛΙΑΝΘΟΣ MAS 89HOCL (ΞΗΡΙΚΟΣ)</t>
  </si>
  <si>
    <t>ΗΛΙΑΝΘΟΣ MAS 89HOCL (ΠΟΤΙΣΤΙΚΟΣ)</t>
  </si>
  <si>
    <t>ΗΛΙΑΝΘΟΣ P64LE136 (ΞΗΡΙΚΟΣ)</t>
  </si>
  <si>
    <t>ΗΛΙΑΝΘΟΣ P64LE136 (ΠΟΤΙΣΤΙΚΟΣ)</t>
  </si>
  <si>
    <t>ΗΛΙΑΝΘΟΣ SURELI (ΞΗΡΙΚΟΣ)</t>
  </si>
  <si>
    <t>ΗΛΙΑΝΘΟΣ SURELI (ΠΟΤΙΣΤΙΚΟΣ)</t>
  </si>
  <si>
    <t>ΗΛΙΑΝΘΟΣ SY CHELSEA CLP  (ΞΗΡΙΚΟΣ)</t>
  </si>
  <si>
    <t>ΗΛΙΑΝΘΟΣ SY CHELSEA CLP  (ΠΟΤΙΣΤΙΚΟΣ)</t>
  </si>
  <si>
    <t>ΗΛΙΑΝΘΟΣ SY FLAVIO CLP (ΞΗΡΙΚΟΣ)</t>
  </si>
  <si>
    <t>ΗΛΙΑΝΘΟΣ SY FLAVIO CLP (ΠΟΤΙΣΤΙΚΟΣ)</t>
  </si>
  <si>
    <t>ΣΟΓΙΑ P21T45</t>
  </si>
  <si>
    <t>ΗΛΙΑΝΘΟΣ P63LE113  (ΞΗΡΙΚΟΣ)</t>
  </si>
  <si>
    <t>ΗΛΙΑΝΘΟΣ P63LE113  (ΠΟΤΙΣΤΙΚΟΣ)</t>
  </si>
  <si>
    <t>ΗΛΙΑΝΘΟΣ P64LE162  (ΞΗΡΙΚΟΣ)</t>
  </si>
  <si>
    <t>ΗΛΙΑΝΘΟΣ P64LE162  (ΠΟΤΙΣΤΙΚΟΣ)</t>
  </si>
  <si>
    <t>ΗΛΙΑΝΘΟΣ P62LE122  (ΞΗΡΙΚΟΣ)</t>
  </si>
  <si>
    <t>ΑΚΤΙΝΙΔΙΑ SUMMER 3373</t>
  </si>
  <si>
    <t>ΒΕΡΙΚΟΚΑ COCOT</t>
  </si>
  <si>
    <t>ΒΕΡΙΚΟΚΑ ROUGIBON</t>
  </si>
  <si>
    <t>ΚΕΡΑΣΙΑ BIG LORY</t>
  </si>
  <si>
    <t>ΚΕΡΑΣΙΑ CELESTE</t>
  </si>
  <si>
    <t xml:space="preserve">ΚΕΡΑΣΙΑ FERDOUCE </t>
  </si>
  <si>
    <t>ΝΕΚΤΑΡΙΝΙΑ CANOPEE</t>
  </si>
  <si>
    <t>ΝΕΚΤΑΡΙΝΙΑ FEBE</t>
  </si>
  <si>
    <t>ΒΕΡΙΚΟΚΑ CSIC CEBAS MIRLOBLANCO</t>
  </si>
  <si>
    <t>ΒΕΡΙΚΟΚΑ ROXANA</t>
  </si>
  <si>
    <t>ΒΕΡΙΚΟΚΑ RUBILIS</t>
  </si>
  <si>
    <t>ΒΕΡΙΚΟΚΑ SEMIRAMIS</t>
  </si>
  <si>
    <t>ΡΟΔΑΚΙΝΑ SWEET HENRY</t>
  </si>
  <si>
    <t>ΚΕΡΑΣΙΑ JUSTYNA</t>
  </si>
  <si>
    <t xml:space="preserve">ΚΕΡΑΣΙΑ TAMARA </t>
  </si>
  <si>
    <t>ΚΕΡΑΣΙΑ ΜΠΡΟΥΚΣ/BROOKS</t>
  </si>
  <si>
    <t xml:space="preserve"> ΚΕΡΑΣΙΑ 13S2009</t>
  </si>
  <si>
    <t>ΒΕΡΙΚΟΚΑ DELICOT</t>
  </si>
  <si>
    <t>ΡΟΔΑΚΙΝΑ PRO 314</t>
  </si>
  <si>
    <t>ΚΕΡΑΣΙΑ EARLY KORVIK</t>
  </si>
  <si>
    <t>ΚΕΡΑΣΙΑ FELICITA</t>
  </si>
  <si>
    <t>ΒΕΡΙΚΟΚΑ PERLE COT</t>
  </si>
  <si>
    <t>ΜΗΛΑ RED JONAPRINCE</t>
  </si>
  <si>
    <t>ΡΥΖΙ DANTE</t>
  </si>
  <si>
    <t>ΚΤΗΝΟΤΡΟΦΙΚΟ ΜΠΙΖΕΛΙ ESO</t>
  </si>
  <si>
    <t>ΚΤΗΝΟΤΡΟΦΙΚΟ ΜΠΙΖΕΛΙ MEFISTO</t>
  </si>
  <si>
    <t>ΚΤΗΝΟΤΡΟΦΙΚΟ ΜΠΙΖΕΛΙ TURNIA</t>
  </si>
  <si>
    <t>ΛΟΛΙΟΥΜ BIGBOSS</t>
  </si>
  <si>
    <t>ΛΟΛΙΟΥΜ TURTETRA</t>
  </si>
  <si>
    <t>ΛΟΥΠΙΝΟ ΛΕΥΚΟ  MULTITALIA</t>
  </si>
  <si>
    <t>ΜΗΔΙΚΗ CASALINA</t>
  </si>
  <si>
    <t>ΜΗΔΙΚΗ CELSIUS</t>
  </si>
  <si>
    <t>ΜΗΔΙΚΗ CENTRAL</t>
  </si>
  <si>
    <t>ΜΗΔΙΚΗ ERIDE</t>
  </si>
  <si>
    <t>ΜΗΔΙΚΗ ISIDE</t>
  </si>
  <si>
    <t>ΜΗΔΙΚΗ LA ROCCA</t>
  </si>
  <si>
    <t>ΜΗΔΙΚΗ MARAVIGLIA</t>
  </si>
  <si>
    <t>ΜΗΔΙΚΗ PALLADIANA</t>
  </si>
  <si>
    <t>ΜΗΔΙΚΗ PICENA GR</t>
  </si>
  <si>
    <t>ΜΗΔΙΚΗ POMPOSA</t>
  </si>
  <si>
    <t>ΜΗΔΙΚΗ ZENITH</t>
  </si>
  <si>
    <t>ΣΟΡΓΟ MATACO</t>
  </si>
  <si>
    <t>ΤΡΙΤΙΚΑΛΕ AGRANO</t>
  </si>
  <si>
    <t>ΤΡΙΦΥΛΛΙ LILIBEO</t>
  </si>
  <si>
    <t>ΜΗΔΙΚΗ ADORNA</t>
  </si>
  <si>
    <t>ΜΗΔΙΚΗ NS ALFA</t>
  </si>
  <si>
    <t>ΜΗΔΙΚΗ ALBA</t>
  </si>
  <si>
    <t>ΜΗΔΙΚΗ VENICE</t>
  </si>
  <si>
    <t>ΛΟΛΙΟΥΜ CERONTE</t>
  </si>
  <si>
    <t>ΚΤΗΝΟΤΡΟΦΙΚΟ ΜΠΙΖΕΛΙ MILWA</t>
  </si>
  <si>
    <t>ΤΡΙΦΥΛΛΙ ΤΟ ΑΛΕΞΑΝΔΡΙΝΟ AXI</t>
  </si>
  <si>
    <t>ΤΡΙΦΥΛΛΙ ΤΟ ΕΡΠΟΝ Ή ΛΕΥΚΟ HAIFA</t>
  </si>
  <si>
    <t>ΚΤΗΝΟΤΡΟΦΙΚΟ ΜΠΙΖΕΛΙ AUDIT</t>
  </si>
  <si>
    <t>ΛΟΥΠΙΝΟ ΚΥΑΝΟ BOREGINE</t>
  </si>
  <si>
    <t>ΒΙΚΟΣ GRETA</t>
  </si>
  <si>
    <t>ΜΗΔΙΚΗ DOBROGEA</t>
  </si>
  <si>
    <t>ΜΗΔΙΚΗ SIRIVER</t>
  </si>
  <si>
    <t>ΜΗΔΙΚΗ VERDOR</t>
  </si>
  <si>
    <t>ΜΗΔΙΚΗ VALAHIA</t>
  </si>
  <si>
    <t>ΜΗΔΙΚΗ SABRINA</t>
  </si>
  <si>
    <t>ΜΗΔΙΚΗ AURORA</t>
  </si>
  <si>
    <t>ΜΗΔΙΚΗ DELTA</t>
  </si>
  <si>
    <t>ΜΗΔΙΚΗ PLATO</t>
  </si>
  <si>
    <t>ΜΗΔΙΚΗ PR58N57</t>
  </si>
  <si>
    <t>ΚΤΗΝΟΤΡΟΦΙΚΟ ΜΠΙΖΕΛΙ TRENDY</t>
  </si>
  <si>
    <t>ΛΟΥΠΙΝΟ ΛΕΥΚΟ  NELLY</t>
  </si>
  <si>
    <t>ΛΟΥΠΙΝΟ ΛΕΥΚΟ  ZULIKA</t>
  </si>
  <si>
    <t>ΛΟΛΙΟΥΜ MASTER</t>
  </si>
  <si>
    <t>ΤΡΙΦΥΛΛΙ ΑΛΕΞΑΝΔΡΙΝΟ ERIX</t>
  </si>
  <si>
    <t>ΛΟΛΙΟΥΜ ATTAIN</t>
  </si>
  <si>
    <t>ΣΟΡΓΟ KING 61 DR</t>
  </si>
  <si>
    <t>ΣΟΡΓΟ RUZROK</t>
  </si>
  <si>
    <t>ΤΡΙΦΥΛΛΙ ΣΑΡΚΟΧΡΟΥΝ KARDINAL</t>
  </si>
  <si>
    <t>ΤΡΙΦΥΛΛΙ ΣΑΡΚΟΧΡΟΥΝ SIGNAL</t>
  </si>
  <si>
    <t>ΜΗΔΙΚΗ DIMITRA</t>
  </si>
  <si>
    <t>ΛΟΛΙΟΥΜ POLLANUM</t>
  </si>
  <si>
    <t>ΛΟΛΙΟΥΜ SULTANO</t>
  </si>
  <si>
    <t>ΜΗΔΙΚΗ OS 66</t>
  </si>
  <si>
    <t>ΣΟΡΓΟ BOVITAL</t>
  </si>
  <si>
    <t>ΤΡΙΦΥΛΛΙ ΤΟ ΑΛΕΞΑΝΔΡΙΝΟ TIGRI</t>
  </si>
  <si>
    <t>ΛΟΛΙΟΥΜ JEANNE</t>
  </si>
  <si>
    <t>ΜΗ ΚΑΛΛΙΕΡΓΗΣΙΜΕΣ ΕΚΤΑΣΕΙΣ ΛΟΓΩ ΦΥΣΙΚΩΝ ΚΑΤΑΣΤΡΟΦΩΝ</t>
  </si>
  <si>
    <t>ΑΓΡΟΤΕΜΑΧΙΑ ΛΙΜΝΗΣ ΚΑΡΛΑΣ</t>
  </si>
  <si>
    <t>ΑΓΡΟΤΕΜΑΧΙΑ ΠΛΗΓΕΝΤΑ ΑΠΟ ΠΥΡΚΑΓΙΑ</t>
  </si>
  <si>
    <t>ΑΓΡΟΤΕΜΑΧΙΑ ΠΛΗΜΜΥΡΙΣΜΕΝΑ ΜΕ ΦΕΡΤΑ ΥΛΙΚΑ</t>
  </si>
  <si>
    <t>ΗΛΙΑΝΘΟΣ SILLOUET</t>
  </si>
  <si>
    <t>ΗΛΙΑΝΘΟΣ P64HE244</t>
  </si>
  <si>
    <t>ΚΡΙΘΑΡΙ KWS THALIS</t>
  </si>
  <si>
    <t>ΣΙΤΟΣ ΜΑΛΑΚΟΣ GANDUJA</t>
  </si>
  <si>
    <t>ΣΙΤΟΣ ΜΑΛΑΚΟΣ ROTA</t>
  </si>
  <si>
    <t>ΣΙΤΟΣ ΜΑΛΑΚΟΣ AVENUE</t>
  </si>
  <si>
    <t>ΒΡΩΜΗ GENZIANA</t>
  </si>
  <si>
    <t>ΑΜΥΓΔΑΛΑ ANTONETA</t>
  </si>
  <si>
    <t>ΑΡΑΒΟΣΙΤΟΣ  MAS 576N</t>
  </si>
  <si>
    <t>ΑΡΑΒΟΣΙΤΟΣ  P0164</t>
  </si>
  <si>
    <t>ΣΥΚΙΕΣ</t>
  </si>
  <si>
    <t>ΚΕΡΑΣΙΑ FERMINA</t>
  </si>
  <si>
    <t>ΚΕΡΑΣΙΑ FERDIVA</t>
  </si>
  <si>
    <t>ΒΕΡΙΚΟΚΑ FRISSON</t>
  </si>
  <si>
    <t>ΒΕΡΙΚΟΚΑ ROYAL ROUSSILLON</t>
  </si>
  <si>
    <t>ΚΕΡΑΣΙΑ AIDA</t>
  </si>
  <si>
    <t>ΚΕΡΑΣΙΑ CHRISTIANA</t>
  </si>
  <si>
    <t>ΚΕΡΑΣΙΑ IRENA</t>
  </si>
  <si>
    <t>ΚΕΡΑΣΙΑ MIKA</t>
  </si>
  <si>
    <t>ΚΕΡΑΣΙΑ KASANDRA</t>
  </si>
  <si>
    <t>ΚΕΡΑΣΙΑ VANDA</t>
  </si>
  <si>
    <t>ΒΕΡΙΚΟΚΑ MURCIANA</t>
  </si>
  <si>
    <t>ΒΕΡΙΚΟΚΑ CSIC MIRLO ANARANJADO</t>
  </si>
  <si>
    <t>ΔΑΜΑΣΚΗΝΑ PRO 61 C (EBONY 61)</t>
  </si>
  <si>
    <t>ΔΑΜΑΣΚΗΝΑ PRO 79 C (EXTREME BLONDY JUNE)</t>
  </si>
  <si>
    <t xml:space="preserve">ΝΕΚΤΑΡΙΝΙΑ PRO C 15 (FRESH QUEEN) </t>
  </si>
  <si>
    <t>ΝΕΚΤΑΡΙΝΙΑ PRO 751 (EXTREME 751)</t>
  </si>
  <si>
    <t>ΝΕΚΤΑΡΙΝΙΑ PRO 786 (EXTREME SUGAR)</t>
  </si>
  <si>
    <t>ΝΕΚΤΑΡΙΝΙΑ PRO 867 (EXTREME 867)</t>
  </si>
  <si>
    <t>ΝΕΚΤΑΡΙΝΙΑ PRO 218 (EXTREME MOON)</t>
  </si>
  <si>
    <t>ΡΟΔΑΚΙΝΑ PRO 486 (EXTREME ONIS)</t>
  </si>
  <si>
    <t>ΡΟΔΑΚΙΝΑ PRO C 638 (EXTREME JULY)</t>
  </si>
  <si>
    <t>ΡΟΔΑΚΙΝΑ PRO 346 (EXTREME 346)</t>
  </si>
  <si>
    <t>ΡΟΔΑΚΙΝΑ PRO 646 (PLANE SUMMER)</t>
  </si>
  <si>
    <t>ΡΟΔΑΚΙΝΑ PRO C 185 (PLANE STAR)</t>
  </si>
  <si>
    <t>ΡΟΔΑΚΙΝΑ PRO C 206 (PLANE GOLD)</t>
  </si>
  <si>
    <t>ΡΟΔΑΚΙΝΑ PRO_716 (PLANE DELFOS)</t>
  </si>
  <si>
    <t>ΡΟΔΑΚΙΝΑ PRO 838 (EXTREME 838)</t>
  </si>
  <si>
    <t xml:space="preserve">ΚΕΡΑΣΙΑ BABELLE </t>
  </si>
  <si>
    <t>ΜΗΛΑ FUJION</t>
  </si>
  <si>
    <t>ΛΟΛΙΟΥΜ JIVET</t>
  </si>
  <si>
    <t>ΛΟΛΙΟΥΜ MELQUATRO</t>
  </si>
  <si>
    <t>ΛΟΛΙΟΥΜ BAQUEANO</t>
  </si>
  <si>
    <t>ΤΡΙΦΥΛΛΙ ΤΟ ΑΛΕΞΑΝΔΡΙΝΟ LAURA</t>
  </si>
  <si>
    <t>ΤΡΙΦΥΛΛΙ ΤΟ ΛΕΙΜΩΝΙΟ AIACE</t>
  </si>
  <si>
    <t xml:space="preserve">ΚΤΗΝΟΤΡΟΦΙΚΟ ΜΠΙΖΕΛΙ MILWA                                                  </t>
  </si>
  <si>
    <t>ΣΟΡΓΟ LATTE</t>
  </si>
  <si>
    <t>ΜΗΔΙΚΗ OLYMPOS</t>
  </si>
  <si>
    <t>ARIEL</t>
  </si>
  <si>
    <t>GS 2071</t>
  </si>
  <si>
    <t>ΑΡΑΒΟΣΙΤΟΣ SY ULTIMATE</t>
  </si>
  <si>
    <t xml:space="preserve">ΑΡΑΒΟΣΙΤΟΣ SY UNITRON </t>
  </si>
  <si>
    <t>ΑΡΑΒΟΣΙΤΟΣ SY CALIBER</t>
  </si>
  <si>
    <t xml:space="preserve">ΑΡΑΒΟΣΙΤΟΣ P18610  </t>
  </si>
  <si>
    <t xml:space="preserve">ΑΡΑΒΟΣΙΤΟΣ INITIO  </t>
  </si>
  <si>
    <t>ΜΑΝΤΑΡΙΝΙΑ AFOURER</t>
  </si>
  <si>
    <t>ΡΥΖΙ KINDER PV</t>
  </si>
  <si>
    <t>ΡΥΖΙ DIVA PV</t>
  </si>
  <si>
    <t>ΤΡΙΦΥΛΛΙ ΤΟ ΕΡΠΟΝ Ή ΛΕΥΚΟ GORBY</t>
  </si>
  <si>
    <t>ΛΟΛΙΟΥΜ KOGA</t>
  </si>
  <si>
    <t>ΣΟΡΓΟ HAY DAY</t>
  </si>
  <si>
    <t>ΜΗΔΙΚΗ VANDA</t>
  </si>
  <si>
    <t>ΣΙΤΟΣ ΣΚΛΗΡΟΣ ARCONTE</t>
  </si>
  <si>
    <t xml:space="preserve">DANAE </t>
  </si>
  <si>
    <t>ΗΛΙΑΝΘΟΣ INTERSTELLAR  (ΞΗΡΙΚΌΣ)</t>
  </si>
  <si>
    <t>ΗΛΙΑΝΘΟΣ INTERSTELLAR (ΠΟΤΙΣΤΙΚΟΣ)</t>
  </si>
  <si>
    <t>ΗΛΙΑΝΘΟΣ P64LP130  (ΞΗΡΙΚΌΣ)</t>
  </si>
  <si>
    <t>ΗΛΙΑΝΘΟΣ P64LP146 (ΞΗΡΙΚΌΣ)</t>
  </si>
  <si>
    <t>ΗΛΙΑΝΘΟΣ P64LP146 (ΠΟΤΙΣΤΙΚΟΣ)</t>
  </si>
  <si>
    <t>ΑΡΑΒΟΣΙΤΟΣ PL 700</t>
  </si>
  <si>
    <t xml:space="preserve">ΑΡΑΒΟΣΙΤΟΣ KWS PRIMATO </t>
  </si>
  <si>
    <t>ΑΡΑΒΟΣΙΤΟΣ KWS KALEIDO</t>
  </si>
  <si>
    <t>ΑΡΑΒΟΣΙΤΟΣ DKC6648SC</t>
  </si>
  <si>
    <t>ΑΡΑΒΟΣΙΤΟΣ MAS 674L</t>
  </si>
  <si>
    <t>ΒΕΡΙΚΟΚΑ ORIGAT</t>
  </si>
  <si>
    <t>ΔΑΜΑΣΚΗΝΑ GREENRED</t>
  </si>
  <si>
    <t>ΒΕΡΙΚΟΚΑ SWIRED</t>
  </si>
  <si>
    <t>ΒΕΡIΚΟΚΑ AGOSTINO</t>
  </si>
  <si>
    <t>ΡΥΖΙ INFINITO</t>
  </si>
  <si>
    <t>ΜΗΔΙΚΗ TEQUILLA</t>
  </si>
  <si>
    <t>ΜΗΔΙΚΗ AZZURRA</t>
  </si>
  <si>
    <t>ΜΗΔΙΚΗ HYPERION</t>
  </si>
  <si>
    <t>ΜΗΔΙΚΗ PAOLA</t>
  </si>
  <si>
    <t>ΒΙΚΟΣ HANKA</t>
  </si>
  <si>
    <t>ΚΡΙΘΑΡΙ ΖΗΑΝΑ</t>
  </si>
  <si>
    <t>ΑΡΑΒΟΣΙΤΟΣ P9413</t>
  </si>
  <si>
    <t>ΤΡΙΦΥΛΛΙ ΤΟ ΑΛΕΞΑΝΔΡΙΝΟ MAREMMA</t>
  </si>
  <si>
    <t>ΤΡΙΦΥΛΛΙ ΤΟ ΑΛΕΞΑΝΔΡΙΝΟ CERRO</t>
  </si>
  <si>
    <t>ΗΛΙΑΝΘΟΣ P64HP630</t>
  </si>
  <si>
    <t>ΗΛΙΑΝΘΟΣ SULIANO</t>
  </si>
  <si>
    <t>ΗΛΙΑΝΘΟΣ P64LE168</t>
  </si>
  <si>
    <t>ΗΛΙΑΝΘΟΣ MICHEL</t>
  </si>
  <si>
    <t>ΗΛΙΑΝΘΟΣ ES JURASSIC SU</t>
  </si>
  <si>
    <t>ΗΛΙΑΝΘΟΣ RGT VOLLCANO CLP</t>
  </si>
  <si>
    <t>ΗΛΙΑΝΘΟΣ ES ELECRIC CLP</t>
  </si>
  <si>
    <t>ΗΛΙΑΝΘΟΣ ZEPPELIN</t>
  </si>
  <si>
    <t>ΣΙΤΟΣ ΜΑΛΑΚΟΣ SOLEHIO</t>
  </si>
  <si>
    <t>ΣΙΤΟΣ ΜΑΛΑΚΟΣ ARABELLA</t>
  </si>
  <si>
    <t>ΚΡΙΘΑΡΙ ΒΙΖΟΝ</t>
  </si>
  <si>
    <t>ΠΑΤΑΤΑ AGRIA</t>
  </si>
  <si>
    <t>ΛΟΥΠΙΝΟ ΚΥΑΝΟ ΣΠΟΡΟΠΑΡΑΓΩΓΗΣ TANGO</t>
  </si>
  <si>
    <t>ΚΤΗΝΟΤΡΟΦΙΚΟ ΜΠΙΖΕΛΙ ΣΠΟΡΟΠΑΡΑΓΩΓΗΣ ROCH</t>
  </si>
  <si>
    <t>ΜΗΔΙΚΗ ΣΠΟΡΟΠΑΡΑΓΩΓΗΣ AZZURRA</t>
  </si>
  <si>
    <t>ΑΡΑΒΟΣΙΤΟΣ LG31704</t>
  </si>
  <si>
    <t>ΑΡΑΒΟΣΙΤΟΣ INVADOR</t>
  </si>
  <si>
    <t>ΑΡΑΒΟΣΙΤΟΣ P08316</t>
  </si>
  <si>
    <t>ΑΡΑΒΟΣΙΤΟΣ P00199</t>
  </si>
  <si>
    <t>ΑΡΑΒΟΣΙΤΟΣ P09518</t>
  </si>
  <si>
    <t>ΑΡΑΒΟΣΙΤΟΣ P99474</t>
  </si>
  <si>
    <t>ΑΡΑΒΟΣΙΤΟΣ P03376</t>
  </si>
  <si>
    <t>ΗΛΙΑΝΘΟΣ P64LP146</t>
  </si>
  <si>
    <t>ΛΩΤΟΙ ROJO BRILLANTE</t>
  </si>
  <si>
    <t>ΒΕΡIΚΟΚΑ SMART COT</t>
  </si>
  <si>
    <t>ΡΥΖΙ IBERICO CL</t>
  </si>
  <si>
    <t>ΤΡΙΦΥΛΛΙ ΤΟ ΑΛΕΞΑΝΔΡΙΝΟ BLUEGOLD</t>
  </si>
  <si>
    <t>ΤΡΙΦΥΛΛΙ ΤΟ ΕΡΠΟΝ Ή ΛΕΥΚΟ GRASSLANDS HUIA</t>
  </si>
  <si>
    <t>ΤΡΙΦΥΛΛΙ TRIFOLIUM SQUARROSUM (ΣΚΟΥΑΡΟΣΟ)</t>
  </si>
  <si>
    <t>ΛΟΥΠΙΝΟ ΚΥΑΝΟ TANGO</t>
  </si>
  <si>
    <t>ΜΗΔΙΚΗ Η ΗΜΕΡΟΣ BANAT VS</t>
  </si>
  <si>
    <t>ΜΗΔΙΚΗ Η ΗΜΕΡΟΣ GIGANTE ROMEA</t>
  </si>
  <si>
    <t>ΜΗΔΙΚΗ Η ΗΜΕΡΟΣ ALPHA</t>
  </si>
  <si>
    <t>ΣΙΤΟΣ ΜΑΛΑΚΟΣ NEMO</t>
  </si>
  <si>
    <t>ΤΡΙΦΥΛΛΙ ΤΟ ΑΛΕΞΑΝΔΡΙΝΟ LEILA</t>
  </si>
  <si>
    <t>ΙΜΙΟΝΟΙ, &gt; 6 ΜΗΝΩΝ</t>
  </si>
  <si>
    <t>ΙΠΠΟΕΙΔΗΙΜΙΟΝΟΙ, &gt; 6 ΜΗΝΩΝ</t>
  </si>
  <si>
    <t>ΙΠΠΟΙ, ΑΡΣΕΝΙΚΟΙ, &gt; 6 ΜΗΝΩΝ, ΡΟΔΟΠΗΣ</t>
  </si>
  <si>
    <t>ΙΠΠΟΕΙΔΗΙΠΠΟΙ, ΑΡΣΕΝΙΚΟΙ, &gt; 6 ΜΗΝΩΝ, ΡΟΔΟΠΗΣ</t>
  </si>
  <si>
    <t>ΙΠΠΟΙ, ΘΗΛΥΚΟΙ, &gt; 6 ΜΗΝΩΝ, ΡΟΔΟΠΗΣ</t>
  </si>
  <si>
    <t>ΙΠΠΟΕΙΔΗΙΠΠΟΙ, ΘΗΛΥΚΟΙ, &gt; 6 ΜΗΝΩΝ, ΡΟΔΟΠΗΣ</t>
  </si>
  <si>
    <t>ΠΡΟΒΑΤΙΝΕΣ,  ΣΑΡΑΚΑΤΣΑΝΙΚΟ</t>
  </si>
  <si>
    <t>ΑΙΓΟΠΡΟΒΑΤΑΠΡΟΒΑΤΙΝΕΣ,  ΣΑΡΑΚΑΤΣΑΝΙΚΟ</t>
  </si>
  <si>
    <t>ΚΡΙΟΙ, ΚΑΡΑΓΚΟΥΝΙΚΟ</t>
  </si>
  <si>
    <t>ΑΙΓΟΠΡΟΒΑΤΑΚΡΙΟΙ, ΚΑΡΑΓΚΟΥΝΙΚΟ</t>
  </si>
  <si>
    <t>ΙΜΙΟΝΟΙ, &lt; 6 ΜΗΝΩΝ</t>
  </si>
  <si>
    <t>ΙΠΠΟΕΙΔΗΙΜΙΟΝΟΙ, &lt; 6 ΜΗΝΩΝ</t>
  </si>
  <si>
    <t>ΑΜΝΟΙ ΑΡΣΕΝΙΚΟΙ, ΟΡΕΙΝΟ ΛΗΜΝΟΥ</t>
  </si>
  <si>
    <t>ΑΙΓΟΠΡΟΒΑΤΑΑΜΝΟΙ ΑΡΣΕΝΙΚΟΙ, ΟΡΕΙΝΟ ΛΗΜΝΟΥ</t>
  </si>
  <si>
    <t>ΑΜΝΟΙ ΘΗΛΥΚΟΙ, ΟΡΕΙΝΟ ΛΗΜΝΟΥ</t>
  </si>
  <si>
    <t>ΑΙΓΟΠΡΟΒΑΤΑΑΜΝΟΙ ΘΗΛΥΚΟΙ, ΟΡΕΙΝΟ ΛΗΜΝΟΥ</t>
  </si>
  <si>
    <t>ΚΡΙΟΙ,  ΟΡΕΙΝΟ ΛΗΜΝΟΥ</t>
  </si>
  <si>
    <t>ΑΙΓΟΠΡΟΒΑΤΑΚΡΙΟΙ,  ΟΡΕΙΝΟ ΛΗΜΝΟΥ</t>
  </si>
  <si>
    <t>ΠΡΟΒΑΤΙΝΕΣ,  ΟΡΕΙΝΟ ΛΗΜΝΟΥ</t>
  </si>
  <si>
    <t>ΑΙΓΟΠΡΟΒΑΤΑΠΡΟΒΑΤΙΝΕΣ,  ΟΡΕΙΝΟ ΛΗΜΝΟΥ</t>
  </si>
  <si>
    <t>ΑΜΝΟΙ ΑΡΣΕΝΙΚΟΙ, ΚΑΡΑΓΚΟΥΝΙΚΟ</t>
  </si>
  <si>
    <t>ΑΙΓΟΠΡΟΒΑΤΑΑΜΝΟΙ ΑΡΣΕΝΙΚΟΙ, ΚΑΡΑΓΚΟΥΝΙΚΟ</t>
  </si>
  <si>
    <t>ΑΜΝΟΙ ΘΗΛΥΚΟΙ ΚΑΡΑΓΚΟΥΝΙΚΟ</t>
  </si>
  <si>
    <t>ΑΙΓΟΠΡΟΒΑΤΑΑΜΝΟΙ ΘΗΛΥΚΟΙ ΚΑΡΑΓΚΟΥΝΙΚΟ</t>
  </si>
  <si>
    <t>ΠΡΟΒΑΤΙΝΕΣ ΚΑΡΑΓΚΟΥΝΙΚΟ</t>
  </si>
  <si>
    <t>ΑΙΓΟΠΡΟΒΑΤΑΠΡΟΒΑΤΙΝΕΣ ΚΑΡΑΓΚΟΥΝΙΚΟ</t>
  </si>
  <si>
    <t>ΚΡΙΟΙ,  ΣΑΡΑΚΑΤΣΑΝΙΚΟ</t>
  </si>
  <si>
    <t>ΑΙΓΟΠΡΟΒΑΤΑΚΡΙΟΙ,  ΣΑΡΑΚΑΤΣΑΝΙΚΟ</t>
  </si>
  <si>
    <t>ΙΠΠΟΙ, ΑΡΣΕΝΙΚΟΙ, &lt; 6 ΜΗΝΩΝ, ΡΟΔΟΠΗΣ</t>
  </si>
  <si>
    <t>ΙΠΠΟΕΙΔΗΙΠΠΟΙ, ΑΡΣΕΝΙΚΟΙ, &lt; 6 ΜΗΝΩΝ, ΡΟΔΟΠΗΣ</t>
  </si>
  <si>
    <t>ΙΠΠΟΙ, ΘΗΛΥΚΟΙ, &lt; 6 ΜΗΝΩΝ, ΡΟΔΟΠΗΣ</t>
  </si>
  <si>
    <t>ΙΠΠΟΕΙΔΗΙΠΠΟΙ, ΘΗΛΥΚΟΙ, &lt; 6 ΜΗΝΩΝ, ΡΟΔΟΠΗΣ</t>
  </si>
  <si>
    <t>ΑΜΝΟΙ ΑΡΣΕΝΙΚΟΙ, ΣΑΡΑΚΑΤΣΑΝΙΚΟ</t>
  </si>
  <si>
    <t>ΑΙΓΟΠΡΟΒΑΤΑΑΜΝΟΙ ΑΡΣΕΝΙΚΟΙ, ΣΑΡΑΚΑΤΣΑΝΙΚΟ</t>
  </si>
  <si>
    <t>ΑΜΝΟΙ ΘΗΛΥΚΟΙ, ΣΑΡΑΚΑΤΣΑΝΙΚΟ</t>
  </si>
  <si>
    <t>ΑΙΓΟΠΡΟΒΑΤΑΑΜΝΟΙ ΘΗΛΥΚΟΙ, ΣΑΡΑΚΑΤΣΑΝΙΚΟ</t>
  </si>
  <si>
    <t>--Επιλέξτε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</si>
</sst>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9"/>
      <color indexed="8"/>
      <name val="Calibri"/>
      <family val="2"/>
      <charset val="161"/>
    </font>
    <font>
      <b/>
      <sz val="9"/>
      <color theme="7"/>
      <name val="Arial"/>
      <family val="2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sz val="11"/>
      <name val="Calibri"/>
      <family val="2"/>
      <scheme val="minor"/>
    </font>
    <font>
      <sz val="10"/>
      <color indexed="8"/>
      <name val="Arial"/>
      <family val="2"/>
      <charset val="161"/>
    </font>
    <font>
      <sz val="10"/>
      <name val="Calibri"/>
      <family val="2"/>
    </font>
    <font>
      <sz val="12"/>
      <name val="Calibri"/>
      <family val="2"/>
    </font>
    <font>
      <sz val="9"/>
      <name val="Calibri"/>
      <family val="2"/>
    </font>
    <font>
      <sz val="9"/>
      <name val="Calibri"/>
      <family val="2"/>
      <charset val="161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4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20" fillId="0" borderId="0"/>
  </cellStyleXfs>
  <cellXfs count="129">
    <xf numFmtId="0" fontId="0" fillId="0" borderId="0" xfId="0"/>
    <xf numFmtId="0" fontId="4" fillId="0" borderId="0" xfId="1"/>
    <xf numFmtId="0" fontId="4" fillId="0" borderId="0" xfId="3" applyFont="1"/>
    <xf numFmtId="0" fontId="11" fillId="0" borderId="0" xfId="3" applyFont="1"/>
    <xf numFmtId="0" fontId="13" fillId="0" borderId="2" xfId="4" applyFont="1" applyBorder="1" applyAlignment="1">
      <alignment horizontal="left" vertical="center" wrapText="1"/>
    </xf>
    <xf numFmtId="0" fontId="14" fillId="0" borderId="2" xfId="4" applyFont="1" applyBorder="1" applyAlignment="1">
      <alignment vertical="center" wrapText="1"/>
    </xf>
    <xf numFmtId="0" fontId="15" fillId="0" borderId="3" xfId="5" applyFont="1" applyBorder="1" applyAlignment="1">
      <alignment horizontal="left" vertical="center" wrapText="1"/>
    </xf>
    <xf numFmtId="0" fontId="15" fillId="0" borderId="3" xfId="4" applyFont="1" applyBorder="1" applyAlignment="1">
      <alignment horizontal="left" vertical="center" wrapText="1"/>
    </xf>
    <xf numFmtId="0" fontId="15" fillId="0" borderId="2" xfId="4" applyFont="1" applyBorder="1" applyAlignment="1">
      <alignment horizontal="left" vertical="center" wrapText="1"/>
    </xf>
    <xf numFmtId="0" fontId="16" fillId="0" borderId="2" xfId="2" applyFont="1" applyBorder="1" applyAlignment="1">
      <alignment horizontal="center" vertical="center"/>
    </xf>
    <xf numFmtId="0" fontId="15" fillId="0" borderId="2" xfId="4" applyFont="1" applyBorder="1" applyAlignment="1">
      <alignment horizontal="center" vertical="center" wrapText="1"/>
    </xf>
    <xf numFmtId="0" fontId="15" fillId="0" borderId="3" xfId="2" applyFont="1" applyBorder="1" applyAlignment="1">
      <alignment horizontal="left" vertical="center"/>
    </xf>
    <xf numFmtId="0" fontId="15" fillId="0" borderId="2" xfId="2" quotePrefix="1" applyFont="1" applyBorder="1" applyAlignment="1">
      <alignment horizontal="center" vertical="center"/>
    </xf>
    <xf numFmtId="0" fontId="15" fillId="0" borderId="2" xfId="2" applyFont="1" applyBorder="1" applyAlignment="1">
      <alignment horizontal="center" vertical="center"/>
    </xf>
    <xf numFmtId="0" fontId="14" fillId="0" borderId="2" xfId="2" applyFont="1" applyBorder="1" applyAlignment="1">
      <alignment vertical="center"/>
    </xf>
    <xf numFmtId="0" fontId="13" fillId="0" borderId="2" xfId="3" applyFont="1" applyBorder="1" applyAlignment="1">
      <alignment horizontal="left" vertical="center"/>
    </xf>
    <xf numFmtId="0" fontId="15" fillId="0" borderId="2" xfId="3" applyFont="1" applyBorder="1" applyAlignment="1">
      <alignment horizontal="center" vertical="center"/>
    </xf>
    <xf numFmtId="0" fontId="13" fillId="0" borderId="2" xfId="2" applyFont="1" applyBorder="1" applyAlignment="1">
      <alignment horizontal="left" vertical="center"/>
    </xf>
    <xf numFmtId="0" fontId="13" fillId="0" borderId="2" xfId="5" applyFont="1" applyBorder="1" applyAlignment="1">
      <alignment horizontal="left" vertical="center" wrapText="1"/>
    </xf>
    <xf numFmtId="0" fontId="14" fillId="0" borderId="2" xfId="5" applyFont="1" applyBorder="1" applyAlignment="1">
      <alignment vertical="center" wrapText="1"/>
    </xf>
    <xf numFmtId="0" fontId="15" fillId="0" borderId="2" xfId="5" applyFont="1" applyBorder="1" applyAlignment="1">
      <alignment horizontal="center" vertical="center" wrapText="1"/>
    </xf>
    <xf numFmtId="0" fontId="13" fillId="0" borderId="2" xfId="3" applyFont="1" applyBorder="1"/>
    <xf numFmtId="0" fontId="14" fillId="0" borderId="2" xfId="3" applyFont="1" applyBorder="1"/>
    <xf numFmtId="0" fontId="17" fillId="0" borderId="2" xfId="3" applyFont="1" applyBorder="1"/>
    <xf numFmtId="0" fontId="18" fillId="0" borderId="2" xfId="3" applyFont="1" applyBorder="1"/>
    <xf numFmtId="0" fontId="11" fillId="0" borderId="3" xfId="2" applyFont="1" applyBorder="1" applyAlignment="1">
      <alignment horizontal="left" vertical="center"/>
    </xf>
    <xf numFmtId="0" fontId="3" fillId="0" borderId="2" xfId="3" applyBorder="1" applyAlignment="1">
      <alignment horizontal="center" vertical="center"/>
    </xf>
    <xf numFmtId="0" fontId="19" fillId="0" borderId="2" xfId="3" applyFont="1" applyBorder="1" applyAlignment="1">
      <alignment horizontal="center" vertical="center"/>
    </xf>
    <xf numFmtId="0" fontId="15" fillId="7" borderId="3" xfId="5" applyFont="1" applyFill="1" applyBorder="1" applyAlignment="1">
      <alignment horizontal="left" vertical="center" wrapText="1"/>
    </xf>
    <xf numFmtId="0" fontId="4" fillId="0" borderId="3" xfId="2" applyFont="1" applyBorder="1" applyAlignment="1">
      <alignment horizontal="left" vertical="center"/>
    </xf>
    <xf numFmtId="0" fontId="3" fillId="0" borderId="2" xfId="3" applyBorder="1"/>
    <xf numFmtId="0" fontId="4" fillId="0" borderId="2" xfId="2" applyFont="1" applyBorder="1"/>
    <xf numFmtId="0" fontId="15" fillId="5" borderId="3" xfId="5" applyFont="1" applyFill="1" applyBorder="1" applyAlignment="1">
      <alignment horizontal="left" vertical="center" wrapText="1"/>
    </xf>
    <xf numFmtId="0" fontId="15" fillId="5" borderId="2" xfId="4" applyFont="1" applyFill="1" applyBorder="1" applyAlignment="1">
      <alignment horizontal="left" vertical="center" wrapText="1"/>
    </xf>
    <xf numFmtId="0" fontId="16" fillId="5" borderId="2" xfId="2" applyFont="1" applyFill="1" applyBorder="1" applyAlignment="1">
      <alignment horizontal="center" vertical="center"/>
    </xf>
    <xf numFmtId="2" fontId="15" fillId="0" borderId="3" xfId="5" applyNumberFormat="1" applyFont="1" applyBorder="1" applyAlignment="1">
      <alignment horizontal="left" vertical="center" wrapText="1"/>
    </xf>
    <xf numFmtId="0" fontId="19" fillId="0" borderId="3" xfId="2" applyFont="1" applyBorder="1" applyAlignment="1">
      <alignment horizontal="left" vertical="center"/>
    </xf>
    <xf numFmtId="0" fontId="17" fillId="0" borderId="4" xfId="3" applyFont="1" applyBorder="1"/>
    <xf numFmtId="0" fontId="18" fillId="0" borderId="4" xfId="3" applyFont="1" applyBorder="1"/>
    <xf numFmtId="0" fontId="15" fillId="0" borderId="5" xfId="5" applyFont="1" applyBorder="1" applyAlignment="1">
      <alignment horizontal="left" vertical="center" wrapText="1"/>
    </xf>
    <xf numFmtId="0" fontId="16" fillId="0" borderId="4" xfId="2" applyFont="1" applyBorder="1" applyAlignment="1">
      <alignment horizontal="center" vertical="center"/>
    </xf>
    <xf numFmtId="0" fontId="3" fillId="0" borderId="4" xfId="3" applyBorder="1" applyAlignment="1">
      <alignment horizontal="center" vertical="center"/>
    </xf>
    <xf numFmtId="0" fontId="19" fillId="0" borderId="4" xfId="3" applyFont="1" applyBorder="1" applyAlignment="1">
      <alignment horizontal="center" vertical="center"/>
    </xf>
    <xf numFmtId="0" fontId="13" fillId="0" borderId="0" xfId="5" applyFont="1" applyAlignment="1">
      <alignment horizontal="left" vertical="center" wrapText="1"/>
    </xf>
    <xf numFmtId="0" fontId="14" fillId="0" borderId="0" xfId="5" applyFont="1" applyAlignment="1">
      <alignment vertical="center" wrapText="1"/>
    </xf>
    <xf numFmtId="0" fontId="15" fillId="0" borderId="0" xfId="5" applyFont="1" applyAlignment="1">
      <alignment horizontal="left" vertical="center" wrapText="1"/>
    </xf>
    <xf numFmtId="0" fontId="15" fillId="0" borderId="0" xfId="4" applyFont="1" applyAlignment="1">
      <alignment horizontal="left" vertical="center" wrapText="1"/>
    </xf>
    <xf numFmtId="0" fontId="16" fillId="0" borderId="0" xfId="2" applyFont="1" applyAlignment="1">
      <alignment horizontal="center" vertical="center"/>
    </xf>
    <xf numFmtId="0" fontId="15" fillId="0" borderId="0" xfId="5" applyFont="1" applyAlignment="1">
      <alignment horizontal="center" vertical="center" wrapText="1"/>
    </xf>
    <xf numFmtId="0" fontId="13" fillId="0" borderId="0" xfId="4" applyFont="1" applyAlignment="1">
      <alignment horizontal="left" vertical="center" wrapText="1"/>
    </xf>
    <xf numFmtId="0" fontId="14" fillId="0" borderId="0" xfId="4" applyFont="1" applyAlignment="1">
      <alignment vertical="center" wrapText="1"/>
    </xf>
    <xf numFmtId="0" fontId="15" fillId="0" borderId="0" xfId="4" applyFont="1" applyAlignment="1">
      <alignment horizontal="center" vertical="center" wrapText="1"/>
    </xf>
    <xf numFmtId="0" fontId="13" fillId="0" borderId="0" xfId="3" applyFont="1"/>
    <xf numFmtId="0" fontId="14" fillId="0" borderId="0" xfId="3" applyFont="1"/>
    <xf numFmtId="0" fontId="15" fillId="0" borderId="0" xfId="3" applyFont="1" applyAlignment="1">
      <alignment horizontal="center" vertical="center"/>
    </xf>
    <xf numFmtId="0" fontId="17" fillId="0" borderId="0" xfId="3" applyFont="1"/>
    <xf numFmtId="0" fontId="18" fillId="0" borderId="0" xfId="3" applyFont="1"/>
    <xf numFmtId="0" fontId="4" fillId="0" borderId="0" xfId="2" applyFont="1" applyAlignment="1">
      <alignment horizontal="left" vertical="center"/>
    </xf>
    <xf numFmtId="0" fontId="3" fillId="0" borderId="0" xfId="3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13" fillId="5" borderId="0" xfId="4" applyFont="1" applyFill="1" applyAlignment="1">
      <alignment horizontal="left" vertical="center" wrapText="1"/>
    </xf>
    <xf numFmtId="0" fontId="14" fillId="5" borderId="0" xfId="4" applyFont="1" applyFill="1" applyAlignment="1">
      <alignment vertical="center" wrapText="1"/>
    </xf>
    <xf numFmtId="0" fontId="15" fillId="5" borderId="0" xfId="4" applyFont="1" applyFill="1" applyAlignment="1">
      <alignment horizontal="center" vertical="center" wrapText="1"/>
    </xf>
    <xf numFmtId="0" fontId="3" fillId="0" borderId="0" xfId="3"/>
    <xf numFmtId="0" fontId="4" fillId="0" borderId="0" xfId="2" applyFont="1"/>
    <xf numFmtId="0" fontId="13" fillId="0" borderId="0" xfId="2" applyFont="1" applyAlignment="1">
      <alignment horizontal="left" vertical="center"/>
    </xf>
    <xf numFmtId="0" fontId="14" fillId="0" borderId="0" xfId="2" applyFont="1" applyAlignment="1">
      <alignment vertical="center"/>
    </xf>
    <xf numFmtId="0" fontId="15" fillId="0" borderId="0" xfId="2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1" fillId="8" borderId="0" xfId="3" applyFont="1" applyFill="1"/>
    <xf numFmtId="0" fontId="13" fillId="8" borderId="0" xfId="2" applyFont="1" applyFill="1" applyAlignment="1">
      <alignment horizontal="left" vertical="center"/>
    </xf>
    <xf numFmtId="0" fontId="14" fillId="8" borderId="0" xfId="2" applyFont="1" applyFill="1" applyAlignment="1">
      <alignment vertical="center"/>
    </xf>
    <xf numFmtId="0" fontId="15" fillId="8" borderId="3" xfId="5" applyFont="1" applyFill="1" applyBorder="1" applyAlignment="1">
      <alignment horizontal="left" vertical="center" wrapText="1"/>
    </xf>
    <xf numFmtId="0" fontId="4" fillId="8" borderId="0" xfId="2" applyFont="1" applyFill="1"/>
    <xf numFmtId="0" fontId="3" fillId="8" borderId="0" xfId="2" applyFill="1" applyAlignment="1">
      <alignment horizontal="center" vertical="center"/>
    </xf>
    <xf numFmtId="0" fontId="4" fillId="8" borderId="0" xfId="2" applyFont="1" applyFill="1" applyAlignment="1">
      <alignment horizontal="center" vertical="center"/>
    </xf>
    <xf numFmtId="0" fontId="19" fillId="8" borderId="0" xfId="2" applyFont="1" applyFill="1" applyAlignment="1">
      <alignment horizontal="center" vertical="center"/>
    </xf>
    <xf numFmtId="0" fontId="20" fillId="8" borderId="0" xfId="6" applyFill="1" applyAlignment="1">
      <alignment horizontal="left" vertical="top"/>
    </xf>
    <xf numFmtId="0" fontId="4" fillId="8" borderId="0" xfId="3" applyFont="1" applyFill="1"/>
    <xf numFmtId="0" fontId="15" fillId="8" borderId="5" xfId="5" applyFont="1" applyFill="1" applyBorder="1" applyAlignment="1">
      <alignment horizontal="left" vertical="center" wrapText="1"/>
    </xf>
    <xf numFmtId="0" fontId="4" fillId="8" borderId="0" xfId="1" applyFill="1"/>
    <xf numFmtId="0" fontId="17" fillId="0" borderId="0" xfId="2" applyFont="1"/>
    <xf numFmtId="0" fontId="18" fillId="0" borderId="0" xfId="2" applyFont="1"/>
    <xf numFmtId="0" fontId="19" fillId="0" borderId="0" xfId="2" applyFont="1"/>
    <xf numFmtId="0" fontId="3" fillId="0" borderId="0" xfId="2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20" fillId="0" borderId="0" xfId="6" applyAlignment="1">
      <alignment horizontal="left" vertical="top"/>
    </xf>
    <xf numFmtId="0" fontId="4" fillId="9" borderId="0" xfId="2" applyFont="1" applyFill="1"/>
    <xf numFmtId="0" fontId="3" fillId="9" borderId="0" xfId="2" applyFill="1" applyAlignment="1">
      <alignment horizontal="center" vertical="center"/>
    </xf>
    <xf numFmtId="0" fontId="4" fillId="9" borderId="0" xfId="2" applyFont="1" applyFill="1" applyAlignment="1">
      <alignment horizontal="center" vertical="center"/>
    </xf>
    <xf numFmtId="0" fontId="19" fillId="9" borderId="0" xfId="2" applyFont="1" applyFill="1" applyAlignment="1">
      <alignment horizontal="center" vertical="center"/>
    </xf>
    <xf numFmtId="0" fontId="20" fillId="9" borderId="0" xfId="6" applyFill="1" applyAlignment="1">
      <alignment horizontal="left" vertical="top"/>
    </xf>
    <xf numFmtId="0" fontId="4" fillId="9" borderId="0" xfId="3" applyFont="1" applyFill="1"/>
    <xf numFmtId="0" fontId="11" fillId="9" borderId="0" xfId="0" applyFont="1" applyFill="1"/>
    <xf numFmtId="0" fontId="13" fillId="9" borderId="0" xfId="0" applyFont="1" applyFill="1" applyAlignment="1">
      <alignment horizontal="left" vertical="center"/>
    </xf>
    <xf numFmtId="0" fontId="14" fillId="9" borderId="0" xfId="0" applyFont="1" applyFill="1" applyAlignment="1">
      <alignment vertical="center"/>
    </xf>
    <xf numFmtId="0" fontId="4" fillId="5" borderId="0" xfId="2" applyFont="1" applyFill="1"/>
    <xf numFmtId="0" fontId="3" fillId="5" borderId="0" xfId="2" applyFill="1" applyAlignment="1">
      <alignment horizontal="center" vertical="center"/>
    </xf>
    <xf numFmtId="0" fontId="4" fillId="5" borderId="0" xfId="2" applyFont="1" applyFill="1" applyAlignment="1">
      <alignment horizontal="center" vertical="center"/>
    </xf>
    <xf numFmtId="0" fontId="19" fillId="5" borderId="0" xfId="2" applyFont="1" applyFill="1" applyAlignment="1">
      <alignment horizontal="center" vertical="center"/>
    </xf>
    <xf numFmtId="0" fontId="20" fillId="5" borderId="0" xfId="6" applyFill="1" applyAlignment="1">
      <alignment horizontal="left" vertical="top"/>
    </xf>
    <xf numFmtId="0" fontId="4" fillId="5" borderId="0" xfId="3" applyFont="1" applyFill="1"/>
    <xf numFmtId="0" fontId="2" fillId="9" borderId="0" xfId="2" applyFont="1" applyFill="1"/>
    <xf numFmtId="0" fontId="0" fillId="9" borderId="0" xfId="0" applyFill="1"/>
    <xf numFmtId="0" fontId="2" fillId="0" borderId="0" xfId="2" applyFont="1"/>
    <xf numFmtId="0" fontId="5" fillId="2" borderId="7" xfId="2" applyFont="1" applyFill="1" applyBorder="1" applyAlignment="1">
      <alignment horizontal="center" vertical="center" wrapText="1"/>
    </xf>
    <xf numFmtId="0" fontId="6" fillId="2" borderId="7" xfId="2" applyFont="1" applyFill="1" applyBorder="1" applyAlignment="1">
      <alignment horizontal="center" vertical="center" wrapText="1"/>
    </xf>
    <xf numFmtId="0" fontId="7" fillId="3" borderId="7" xfId="2" applyFont="1" applyFill="1" applyBorder="1" applyAlignment="1">
      <alignment horizontal="left" vertical="center" wrapText="1"/>
    </xf>
    <xf numFmtId="0" fontId="8" fillId="4" borderId="8" xfId="3" applyFont="1" applyFill="1" applyBorder="1" applyAlignment="1">
      <alignment horizontal="center" vertical="center" wrapText="1"/>
    </xf>
    <xf numFmtId="0" fontId="9" fillId="5" borderId="4" xfId="2" applyFont="1" applyFill="1" applyBorder="1" applyAlignment="1">
      <alignment horizontal="center" vertical="center" wrapText="1"/>
    </xf>
    <xf numFmtId="0" fontId="10" fillId="6" borderId="4" xfId="2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 vertical="center" wrapText="1"/>
    </xf>
    <xf numFmtId="0" fontId="9" fillId="2" borderId="4" xfId="2" applyFont="1" applyFill="1" applyBorder="1" applyAlignment="1">
      <alignment horizontal="center" vertical="center" wrapText="1"/>
    </xf>
    <xf numFmtId="0" fontId="13" fillId="0" borderId="1" xfId="4" applyFont="1" applyBorder="1" applyAlignment="1">
      <alignment horizontal="left" vertical="center" wrapText="1"/>
    </xf>
    <xf numFmtId="0" fontId="14" fillId="0" borderId="1" xfId="4" applyFont="1" applyBorder="1" applyAlignment="1">
      <alignment vertical="center" wrapText="1"/>
    </xf>
    <xf numFmtId="0" fontId="15" fillId="0" borderId="6" xfId="5" applyFont="1" applyBorder="1" applyAlignment="1">
      <alignment horizontal="left" vertical="center" wrapText="1"/>
    </xf>
    <xf numFmtId="0" fontId="15" fillId="0" borderId="6" xfId="4" applyFont="1" applyBorder="1" applyAlignment="1">
      <alignment horizontal="left" vertical="center" wrapText="1"/>
    </xf>
    <xf numFmtId="0" fontId="15" fillId="0" borderId="1" xfId="4" applyFont="1" applyBorder="1" applyAlignment="1">
      <alignment horizontal="left" vertical="center" wrapText="1"/>
    </xf>
    <xf numFmtId="0" fontId="16" fillId="0" borderId="1" xfId="2" applyFont="1" applyBorder="1" applyAlignment="1">
      <alignment horizontal="center" vertical="center"/>
    </xf>
    <xf numFmtId="0" fontId="15" fillId="0" borderId="1" xfId="4" applyFont="1" applyBorder="1" applyAlignment="1">
      <alignment horizontal="center" vertical="center" wrapText="1"/>
    </xf>
    <xf numFmtId="0" fontId="11" fillId="0" borderId="0" xfId="1" applyFont="1"/>
    <xf numFmtId="0" fontId="1" fillId="0" borderId="0" xfId="2" applyFont="1"/>
    <xf numFmtId="0" fontId="9" fillId="0" borderId="0" xfId="2" applyFont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49" fontId="13" fillId="0" borderId="0" xfId="2" applyNumberFormat="1" applyFont="1" applyAlignment="1">
      <alignment horizontal="left" vertical="center"/>
    </xf>
  </cellXfs>
  <cellStyles count="7">
    <cellStyle name="Normal" xfId="0" builtinId="0"/>
    <cellStyle name="Normal 2" xfId="1" xr:uid="{3C180329-5B52-4BCB-AB0F-D28D24AA6C83}"/>
    <cellStyle name="Normal 2 2 2" xfId="3" xr:uid="{D4520EA8-FDD5-4D53-B366-63AD4A604F45}"/>
    <cellStyle name="Normal 3" xfId="6" xr:uid="{A41385AE-14DB-4E47-8804-32C246C9490E}"/>
    <cellStyle name="Normal_Sheet1" xfId="4" xr:uid="{D815A30C-5B85-47F5-AC41-9B2C1F7222F6}"/>
    <cellStyle name="Normal_Sheet3" xfId="5" xr:uid="{B0DE1C02-4594-4484-9823-1E66CFE22B63}"/>
    <cellStyle name="Κανονικό 2 2" xfId="2" xr:uid="{F17CB9A5-F8C3-46DC-98E3-83A98200B94B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1.10\rdp\Users\etsiatouras\AppData\Local\Microsoft\Windows\Temporary%20Internet%20Files\Content.Outlook\B4WC6N32\&#932;&#949;&#955;&#953;&#954;&#972;&#931;&#927;&#956;&#949;&#927;&#960;&#954;&#951;&#960;&#949;&#965;&#964;&#953;&#954;&#940;&#913;&#957;&#952;&#949;&#954;&#964;&#953;&#954;&#940;&#922;&#964;&#951;&#957;&#959;&#964;&#961;&#959;&#966;&#953;&#954;&#940;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a_lagogianni/Desktop/&#928;3-75_&#917;&#966;&#945;&#961;&#956;&#959;&#947;&#942;%20&#917;&#955;&#941;&#947;&#967;&#959;&#965;%20&#917;&#960;&#953;&#955;&#949;&#958;&#953;&#956;&#972;&#964;&#951;&#964;&#945;&#962;%20%20&#924;&#959;&#961;&#953;&#959;&#948;&#972;&#964;&#951;&#963;&#951;&#962;%20&#925;&#941;&#969;&#957;%20&#913;&#947;&#961;&#959;&#964;&#974;&#957;%20v4_&#932;&#917;&#931;&#932;1.xlsx" TargetMode="External"/><Relationship Id="rId2" Type="http://schemas.openxmlformats.org/officeDocument/2006/relationships/externalLinkPath" Target="file:///C:\Users\a_lagogianni\Desktop\&#928;3-75_&#917;&#966;&#945;&#961;&#956;&#959;&#947;&#942;%20&#917;&#955;&#941;&#947;&#967;&#959;&#965;%20&#917;&#960;&#953;&#955;&#949;&#958;&#953;&#956;&#972;&#964;&#951;&#964;&#945;&#962;%20%20&#924;&#959;&#961;&#953;&#959;&#948;&#972;&#964;&#951;&#963;&#951;&#962;%20&#925;&#941;&#969;&#957;%20&#913;&#947;&#961;&#959;&#964;&#974;&#957;%20v4_&#932;&#917;&#931;&#932;1.xlsx" TargetMode="External"/><Relationship Id="rId1" Type="http://schemas.openxmlformats.org/officeDocument/2006/relationships/externalLinkPath" Target="/Users/a_lagogianni/Desktop/&#928;3-75_&#917;&#966;&#945;&#961;&#956;&#959;&#947;&#942;%20&#917;&#955;&#941;&#947;&#967;&#959;&#965;%20&#917;&#960;&#953;&#955;&#949;&#958;&#953;&#956;&#972;&#964;&#951;&#964;&#945;&#962;%20%20&#924;&#959;&#961;&#953;&#959;&#948;&#972;&#964;&#951;&#963;&#951;&#962;%20&#925;&#941;&#969;&#957;%20&#913;&#947;&#961;&#959;&#964;&#974;&#957;%20v4_&#932;&#917;&#931;&#932;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1.10\rdp\Users\m_korre\Downloads\20180327%20&#924;&#949;%20&#917;&#960;&#945;&#957;&#945;&#966;&#959;&#961;&#940;%20&#955;&#959;&#953;&#960;&#974;&#957;%20&#945;&#953;&#947;&#959;&#960;&#961;&#959;&#946;&#945;&#964;&#959;&#949;&#953;&#948;&#974;&#95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ΦΠμεαρχικήΜορφΚωδικοπ"/>
      <sheetName val="BIDB15_EZO"/>
      <sheetName val="Φύλλο1"/>
      <sheetName val="Φύλλο2"/>
      <sheetName val="ΦΠμεΚωδικΩςΑριθμό"/>
      <sheetName val="ΚωδικόςΜοεφΩςΑριθμός"/>
      <sheetName val="Δημοσίευση ΦΠ 13.5.2016"/>
      <sheetName val="Δημοσίευση ΖΠ 13.5.2016"/>
    </sheetNames>
    <sheetDataSet>
      <sheetData sheetId="0"/>
      <sheetData sheetId="1"/>
      <sheetData sheetId="2">
        <row r="1">
          <cell r="A1" t="str">
            <v>B_1_1_1</v>
          </cell>
          <cell r="B1" t="str">
            <v xml:space="preserve">Μαλακό και ημίσκληρο σιτάρι και όλυρα </v>
          </cell>
          <cell r="C1" t="str">
            <v>Περιλαμβάνονται και σπόροι για σπορά</v>
          </cell>
          <cell r="D1">
            <v>411</v>
          </cell>
        </row>
        <row r="2">
          <cell r="A2" t="str">
            <v>B_1_1_2</v>
          </cell>
          <cell r="B2" t="str">
            <v>Σκληρό σιτάρι</v>
          </cell>
          <cell r="C2" t="str">
            <v>Περιλαμβάνονται και σπόροι για σπορά</v>
          </cell>
          <cell r="D2">
            <v>324</v>
          </cell>
        </row>
        <row r="3">
          <cell r="A3" t="str">
            <v>B_1_1_3</v>
          </cell>
          <cell r="B3" t="str">
            <v>Σίκαλη (περιλαμβάνονται και τα μείγματα σπόρων-σμιγός)</v>
          </cell>
          <cell r="C3" t="str">
            <v>Περιλαμβάνονται και σπόροι για σπορά</v>
          </cell>
          <cell r="D3">
            <v>281</v>
          </cell>
        </row>
        <row r="4">
          <cell r="A4" t="str">
            <v>B_1_1_4</v>
          </cell>
          <cell r="B4" t="str">
            <v xml:space="preserve">Κριθάρι </v>
          </cell>
          <cell r="C4" t="str">
            <v>Περιλαμβάνονται και σπόροι για σπορά</v>
          </cell>
          <cell r="D4">
            <v>364</v>
          </cell>
        </row>
        <row r="5">
          <cell r="A5" t="str">
            <v>B_1_1_5</v>
          </cell>
          <cell r="B5" t="str">
            <v xml:space="preserve">Βρώμη </v>
          </cell>
          <cell r="C5" t="str">
            <v>Περιλαμβάνονται και σπόροι για σπορά</v>
          </cell>
          <cell r="D5">
            <v>386</v>
          </cell>
        </row>
        <row r="6">
          <cell r="A6" t="str">
            <v>B_1_1_6</v>
          </cell>
          <cell r="B6" t="str">
            <v>Αραβόσιτος για καρπό (αμιγής)</v>
          </cell>
          <cell r="C6" t="str">
            <v>Περιλαμβάνονται και σπόροι για σπορά</v>
          </cell>
          <cell r="D6">
            <v>1583</v>
          </cell>
        </row>
        <row r="7">
          <cell r="A7" t="str">
            <v>B_1_1_7</v>
          </cell>
          <cell r="B7" t="str">
            <v xml:space="preserve">Ρύζι </v>
          </cell>
          <cell r="C7" t="str">
            <v>Περιλαμβάνονται και σπόροι για σπορά</v>
          </cell>
          <cell r="D7">
            <v>1569</v>
          </cell>
        </row>
        <row r="8">
          <cell r="A8" t="str">
            <v>B_1_1_99</v>
          </cell>
          <cell r="B8" t="str">
            <v>Άλλα σιτηρά για παραγωγή καρπού (τριτικάλε, σόργο, νταρί, φαλαρίδα, κεχρί κλπ.)</v>
          </cell>
          <cell r="C8" t="str">
            <v>Περιλαμβάνονται και σπόροι για σπορά</v>
          </cell>
          <cell r="D8">
            <v>358</v>
          </cell>
        </row>
        <row r="9">
          <cell r="A9" t="str">
            <v>B_1_10</v>
          </cell>
          <cell r="B9" t="str">
            <v xml:space="preserve">Φυτείες σποροπαραγωγής και σπορόφυτα </v>
          </cell>
          <cell r="C9" t="str">
            <v>ΔΕΝ περιλαμβάνονται τα σιτηρά, όσπρια, πατάτες, ρύζι και φυτά για ελαιούχους σπόρους</v>
          </cell>
          <cell r="D9">
            <v>4027</v>
          </cell>
        </row>
        <row r="10">
          <cell r="A10" t="str">
            <v>B_1_11</v>
          </cell>
          <cell r="B10" t="str">
            <v>Άλλες καλλιέργειες αρόσιμων εκτάσεων</v>
          </cell>
          <cell r="C10" t="str">
            <v>Ξερά κρεμμύδια, ξερά σκόρδα, κοκκάρι, γλυκοπατάτα, κ.α.</v>
          </cell>
          <cell r="D10">
            <v>3727</v>
          </cell>
        </row>
        <row r="11">
          <cell r="A11" t="str">
            <v>B_1_12_1</v>
          </cell>
          <cell r="B11" t="str">
            <v xml:space="preserve">Γαίες υπό αγρανάπαυση </v>
          </cell>
          <cell r="C11" t="str">
            <v>Χωρίς επιδοτήσεις</v>
          </cell>
          <cell r="D11">
            <v>103</v>
          </cell>
        </row>
        <row r="12">
          <cell r="A12" t="str">
            <v>B_1_12_2</v>
          </cell>
          <cell r="B12" t="str">
            <v>Γαίες υπό αγρανάπαυση</v>
          </cell>
          <cell r="C12" t="str">
            <v>Για τις οποίες καταβάλλονται επιδοτήσεις</v>
          </cell>
          <cell r="D12">
            <v>140</v>
          </cell>
        </row>
        <row r="13">
          <cell r="A13" t="str">
            <v>B_1_2_1</v>
          </cell>
          <cell r="B13" t="str">
            <v xml:space="preserve">Όσπρια για ξηρό καρπό (περιλαμβάνονται και σπόροι για σπορά):     
α. Βρώσιμα όσπρια και μείγματα βρώσιμων οσπρίων με σιτηρά (φασόλια με αραβόσιτο) και μεταξύ τους,                                                                                           </v>
          </cell>
          <cell r="C13" t="str">
            <v>Μπιζέλια, φασόλια, κουκιά, φούλια και γλυκά λούπινα</v>
          </cell>
          <cell r="D13">
            <v>1834</v>
          </cell>
        </row>
        <row r="14">
          <cell r="A14" t="str">
            <v>B_1_2_2</v>
          </cell>
          <cell r="B14" t="str">
            <v xml:space="preserve">Όσπρια για ξηρό καρπό (περιλαμβάνονται και σπόροι για σπορά):     
α. Βρώσιμα όσπρια και μείγματα βρώσιμων οσπρίων με σιτηρά και μεταξύ τους,                                                                                                               β. </v>
          </cell>
          <cell r="C14" t="str">
            <v>Φακές, Ρεβίθια, Αρακάς, Λαθούρια και άλλα πρωτεϊνούχα φυτά</v>
          </cell>
          <cell r="D14">
            <v>1886</v>
          </cell>
        </row>
        <row r="15">
          <cell r="A15" t="str">
            <v>B_1_3</v>
          </cell>
          <cell r="B15" t="str">
            <v xml:space="preserve">Γεώμηλα </v>
          </cell>
          <cell r="C15" t="str">
            <v xml:space="preserve">Περιλαμβάνονται οι πρώιμες πατάτες και ο πατατόσπορος:  
α. Ανοιξιάτικες        
β. Καλοκαιρινές 
γ. Φθινοπωρινές και χειμερινές                                                                                                             </v>
          </cell>
          <cell r="D15">
            <v>9177</v>
          </cell>
        </row>
        <row r="16">
          <cell r="A16" t="str">
            <v>B_1_4</v>
          </cell>
          <cell r="B16" t="str">
            <v xml:space="preserve">Ζαχαρότευτλα </v>
          </cell>
          <cell r="C16" t="str">
            <v>ΔΕΝ περιλαμβάνονται οι σπόροι για σπορά.</v>
          </cell>
          <cell r="D16">
            <v>2591</v>
          </cell>
        </row>
        <row r="17">
          <cell r="A17" t="str">
            <v>B_1_5</v>
          </cell>
          <cell r="B17" t="str">
            <v xml:space="preserve">Κτηνοτροφικά φυτά με ριζώματα, βολβούς, ή κονδύλους, κ.λ.π. και κτηνοτροφικά λάχανα </v>
          </cell>
          <cell r="C17" t="str">
            <v>Κτηνοτροφικά τεύτλα, γλυκοπατάτες ζωοτροφής, κολοκάσι, καρότα ζωοτροφής, γογγύλια ζωοτροφής, λάχανα και λαχανίδες για ζωοτροφή.
ΔΕΝ περιλαμβάνονται οι σπόροι για σπορά.</v>
          </cell>
          <cell r="D17">
            <v>105</v>
          </cell>
        </row>
        <row r="18">
          <cell r="A18" t="str">
            <v>B_1_6_1</v>
          </cell>
          <cell r="B18" t="str">
            <v xml:space="preserve">Καπνός </v>
          </cell>
          <cell r="C18" t="str">
            <v>ΔΕΝ περιλαμβάνονται οι εκτάσεις σποροπαραγωγής</v>
          </cell>
          <cell r="D18">
            <v>5735</v>
          </cell>
        </row>
        <row r="19">
          <cell r="A19" t="str">
            <v>B_1_6_11</v>
          </cell>
          <cell r="B19" t="str">
            <v xml:space="preserve">Άλλα κλωστικά (ινώδη) φυτά </v>
          </cell>
          <cell r="C19" t="str">
            <v>Γιούτα, αγαύη κλπ.
ΔΕΝ περιλαμβάνονται οι εκτάσεις σποροπαραγωγής.</v>
          </cell>
          <cell r="D19">
            <v>1115</v>
          </cell>
        </row>
        <row r="20">
          <cell r="A20" t="str">
            <v>B_1_6_12</v>
          </cell>
          <cell r="B20" t="str">
            <v xml:space="preserve">Αρωματικά, φαρμακευτικά και αρτυματικά φυτά </v>
          </cell>
          <cell r="C20" t="str">
            <v>Χαμομήλι, κύμινο, λεβάντα, μαντζουράνα, μέντα, κρόκος, φασκόμηλο, ρίγανη, γλυκάνισος, πιπεριές για κόκκινο πιπέρι, δίκταμο, αλόη κλπ.
ΔΕΝ περιλαμβάνονται οι εκτάσεις σποροπαραγωγής.</v>
          </cell>
          <cell r="D20">
            <v>9500</v>
          </cell>
        </row>
        <row r="21">
          <cell r="A21" t="str">
            <v>B_1_6_3</v>
          </cell>
          <cell r="B21" t="str">
            <v xml:space="preserve">Βαμβάκι </v>
          </cell>
          <cell r="C21" t="str">
            <v>ΔΕΝ περιλαμβάνονται οι εκτάσεις σποροπαραγωγής</v>
          </cell>
          <cell r="D21">
            <v>1516</v>
          </cell>
        </row>
        <row r="22">
          <cell r="A22" t="str">
            <v>B_1_6_4</v>
          </cell>
          <cell r="B22" t="str">
            <v>Ελαιούχα φυτά και σπόροι  / Ελαιοκράμβη και αγριογογγύλη</v>
          </cell>
          <cell r="C22" t="str">
            <v>Περιλαμβάνονται οι σπόροι για σπορά</v>
          </cell>
          <cell r="D22">
            <v>1261</v>
          </cell>
        </row>
        <row r="23">
          <cell r="A23" t="str">
            <v>B_1_6_5</v>
          </cell>
          <cell r="B23" t="str">
            <v>Ελαιούχα φυτά και σπόροι / Ηλίανθος</v>
          </cell>
          <cell r="C23" t="str">
            <v>Περιλαμβάνονται οι σπόροι για σπορά</v>
          </cell>
          <cell r="D23">
            <v>1314</v>
          </cell>
        </row>
        <row r="24">
          <cell r="A24" t="str">
            <v>B_1_6_6</v>
          </cell>
          <cell r="B24" t="str">
            <v>Ελαιούχα φυτά και σπόροι  / Σόγια</v>
          </cell>
          <cell r="C24" t="str">
            <v>Περιλαμβάνονται οι σπόροι για σπορά</v>
          </cell>
          <cell r="D24">
            <v>1305</v>
          </cell>
        </row>
        <row r="25">
          <cell r="A25" t="str">
            <v>B_1_6_8</v>
          </cell>
          <cell r="B25" t="str">
            <v xml:space="preserve">Άλλα ελαιούχα φυτά και σπόροι </v>
          </cell>
          <cell r="C25" t="str">
            <v xml:space="preserve">Σουσάμι, αραχίδα, σινάπι κλπ.
Περιλαμβάνονται οι σπόροι για σπορά. </v>
          </cell>
          <cell r="D25">
            <v>1287</v>
          </cell>
        </row>
        <row r="26">
          <cell r="A26" t="str">
            <v>B_1_6_9</v>
          </cell>
          <cell r="B26" t="str">
            <v>Κλωστικά (ινώδη) φυτά / κλωστικό λινάρι</v>
          </cell>
          <cell r="C26" t="str">
            <v>ΔΕΝ περιλαμβάνονται οι εκτάσεις σποροπαραγωγής</v>
          </cell>
          <cell r="D26">
            <v>1236</v>
          </cell>
        </row>
        <row r="27">
          <cell r="A27" t="str">
            <v>B_1_6_99</v>
          </cell>
          <cell r="B27" t="str">
            <v xml:space="preserve">Άλλα βιομηχανικά φυτά που δεν αναφέρονται αλλού </v>
          </cell>
          <cell r="C27" t="str">
            <v>Κολοκύθια για πασατέμπο, σόργο για σκούπες, ζαχαροκάλαμο, μη κλωστικό λινάρι, λούφα, στέβια κλπ.
ΔΕΝ περιλαμβάνονται οι εκτάσεις σποροπαραγωγής.</v>
          </cell>
          <cell r="D27">
            <v>1261</v>
          </cell>
        </row>
        <row r="28">
          <cell r="A28" t="str">
            <v>B_1_7_1_1</v>
          </cell>
          <cell r="B28" t="str">
            <v xml:space="preserve">Νωπά λαχανικά, πεπονοειδή, φράουλες / καλλιέργειες ανοικτού αγρού (μεγάλης έκτασης) </v>
          </cell>
          <cell r="C28" t="str">
            <v>Εφαρμόζεται σύστημα αμειψισποράς με άλλες αροτραίες καλλιέργειες και συνήθως τα προϊόντα προορίζονται για βιομηχανική επεξεργασία.
Πεπόνια, καρπούζια, βιομηχανική τομάτα, γλυκό καλαμπόκι κ.α.</v>
          </cell>
          <cell r="D28">
            <v>7525</v>
          </cell>
        </row>
        <row r="29">
          <cell r="A29" t="str">
            <v>B_1_7_1_2</v>
          </cell>
          <cell r="B29" t="str">
            <v xml:space="preserve">Νωπά λαχανικά, πεπονοειδή, φράουλες / καλλιέργειες κηπευτικής μορφής (μικρής έκτασης)  </v>
          </cell>
          <cell r="C29" t="str">
            <v xml:space="preserve">Εφαρμόζεται η εναλλαγή καλλιεργειών με άλλες κηπευτικές καλλιέργειες.
Μελιτζάνες, τομάτες, πιπεριές, χλωρά φασόλια, μπάμιες, φράουλες, σπαράγγια κ.α.
</v>
          </cell>
          <cell r="D29">
            <v>11775</v>
          </cell>
        </row>
        <row r="30">
          <cell r="A30" t="str">
            <v>B_1_7_2</v>
          </cell>
          <cell r="B30" t="str">
            <v xml:space="preserve">Νωπά λαχανικά, πεπονοειδή, φράουλες  / καλλιέργειες σε θερμοκήπια ή άλλα προσπελάσιμα στέγαστρα </v>
          </cell>
          <cell r="D30">
            <v>68926</v>
          </cell>
        </row>
        <row r="31">
          <cell r="A31" t="str">
            <v>B_1_8_1</v>
          </cell>
          <cell r="B31" t="str">
            <v xml:space="preserve">Άνθη και καλλωπιστικά φυτά στο ύπαιθρο </v>
          </cell>
          <cell r="C31" t="str">
            <v>Λουλούδια, βολβοί, καλλωπιστικοί θάμνοι κ.α.
ΔΕΝ περιλαμβάνονται τα φυτώρια.</v>
          </cell>
          <cell r="D31">
            <v>44409</v>
          </cell>
        </row>
        <row r="32">
          <cell r="A32" t="str">
            <v>B_1_8_2</v>
          </cell>
          <cell r="B32" t="str">
            <v xml:space="preserve">Άνθη και καλλωπιστικά φυτά σε θερμοκήπια ή άλλα προσπελάσιμα στέγαστρα </v>
          </cell>
          <cell r="C32" t="str">
            <v>Λουλούδια, βολβοί, καλλωπιστικοί θάμνοι κ.α.
ΔΕΝ περιλαμβάνονται τα φυτώρια.</v>
          </cell>
          <cell r="D32">
            <v>138656</v>
          </cell>
        </row>
        <row r="33">
          <cell r="A33" t="str">
            <v>B_1_9_1</v>
          </cell>
          <cell r="B33" t="str">
            <v xml:space="preserve">Καλλιέργειες κτηνοτροφικών φυτών-Πολυετείς καλ/γειες χλωρών φυτών που διαρκούν περισσότερο από ένα (1) έτος και λιγότερο από πέντε (5) έτη. </v>
          </cell>
          <cell r="C33" t="str">
            <v>Προσωρινές χορτολιβαδικές εκτάσεις σπαρμένες με μηδική, λοιπά πολυετή τριφύλλια και λειμώνες.</v>
          </cell>
          <cell r="D33">
            <v>2286</v>
          </cell>
        </row>
        <row r="34">
          <cell r="A34" t="str">
            <v>B_1_9_2_1</v>
          </cell>
          <cell r="B34" t="str">
            <v xml:space="preserve">Χλωρός αραβόσιτος </v>
          </cell>
          <cell r="C34" t="str">
            <v>Προορίζεται για ζωοτροφή ή ενσίρωση</v>
          </cell>
          <cell r="D34">
            <v>1487</v>
          </cell>
        </row>
        <row r="35">
          <cell r="A35" t="str">
            <v>B_1_9_2_2</v>
          </cell>
          <cell r="B35" t="str">
            <v>Κτηνοτροφικά ψυχανθή που συγκομίζονται χλωρά</v>
          </cell>
          <cell r="C35" t="str">
            <v>Φακές, μπιζέλια, τριφύλλια, μηδική, βίκος, λαθούρια, λούπινα, μείγματα ψυχανθών κ.α.</v>
          </cell>
          <cell r="D35">
            <v>1474</v>
          </cell>
        </row>
        <row r="36">
          <cell r="A36" t="str">
            <v>B_1_9_2_99</v>
          </cell>
          <cell r="B36" t="str">
            <v xml:space="preserve">Άλλα κτηνοτροφικά φυτά που συγκομίζονται χλωρά και δεν αναφέρονται αλλού </v>
          </cell>
          <cell r="C36" t="str">
            <v>Σιτηρά, ετήσιο σόργο, σόγια, ελαιοκράμβη κ.α.</v>
          </cell>
          <cell r="D36">
            <v>1382</v>
          </cell>
        </row>
        <row r="37">
          <cell r="A37" t="str">
            <v>B_2</v>
          </cell>
          <cell r="B37" t="str">
            <v xml:space="preserve">Οικογενειακοί λαχανόκηποι </v>
          </cell>
          <cell r="C37" t="str">
            <v>Μέχρι ένα (1) στρέμμα με λαχανικά, οπωροφόρα δένδρα και αμπέλια, κυρίως, για χρήση από την οικογένεια του κατόχου και όχι για πώληση.</v>
          </cell>
          <cell r="D37">
            <v>142</v>
          </cell>
        </row>
        <row r="38">
          <cell r="A38" t="str">
            <v>B_3_1</v>
          </cell>
          <cell r="B38" t="str">
            <v>Βοσκότοποι και λιβάδια</v>
          </cell>
          <cell r="C38" t="str">
            <v>Εξαιρούνται οι άγονοι βοσκότοποι</v>
          </cell>
          <cell r="D38">
            <v>105</v>
          </cell>
        </row>
        <row r="39">
          <cell r="A39" t="str">
            <v>B_3_2</v>
          </cell>
          <cell r="B39" t="str">
            <v>Άγονοι βοσκότοποι</v>
          </cell>
          <cell r="D39">
            <v>105</v>
          </cell>
        </row>
        <row r="40">
          <cell r="A40" t="str">
            <v>B_3_3</v>
          </cell>
          <cell r="B40" t="str">
            <v xml:space="preserve">Μόνιμα λιβάδια και βοσκότοποι </v>
          </cell>
          <cell r="C40" t="str">
            <v>Μη χρησιμοποιούμενα, πλέον, για παραγωγικούς σκοπούς, αλλά είναι επιλέξιμα για ενισχύσεις</v>
          </cell>
          <cell r="D40">
            <v>141</v>
          </cell>
        </row>
        <row r="41">
          <cell r="A41" t="str">
            <v>B_4_1_1_1</v>
          </cell>
          <cell r="B41" t="str">
            <v xml:space="preserve">Φυτείες οπωροφόρων δέντρων και θάμνοι νωπών φρούτων εύκρατης προέλευσης
</v>
          </cell>
          <cell r="C41" t="str">
            <v>α. Πυρηνόκαρπα: Ροδακινιές, Βερυκοκιές, Κερασιές, Κορομηλιές, Δαμασκηνιές, Βυσσινιές, Νεκταρινιές κ.α.  
β. Μηλοειδή: Μηλιές, Αχλαδιές, Κυδωνιές κ.α.       
γ. Λοιπά δένδρα και θάμνοι νωπών φρούτων: Μουσμουλιές, Συκιές, Μουριές, Ροδιές, Φραγκοσυκιές,  Σμέ</v>
          </cell>
          <cell r="D41">
            <v>6750</v>
          </cell>
        </row>
        <row r="42">
          <cell r="A42" t="str">
            <v>B_4_1_1_2</v>
          </cell>
          <cell r="B42" t="str">
            <v xml:space="preserve">Φυτείες οπωροφόρων δέντρων υποτροπικής προέλευσης </v>
          </cell>
          <cell r="C42" t="str">
            <v>α. Ακτινίδια                               
β. Λοιπά: Μπανανιές υπαίθριες, Αβοκάντο κ.α.</v>
          </cell>
          <cell r="D42">
            <v>5238</v>
          </cell>
        </row>
        <row r="43">
          <cell r="A43" t="str">
            <v>B_4_1_3</v>
          </cell>
          <cell r="B43" t="str">
            <v xml:space="preserve">Καρποί με κέλυφος                                                    </v>
          </cell>
          <cell r="C43" t="str">
            <v>Αμυγδαλιές, Καρυδιές, Καστανιές, Φυστικές (Αιγίνης), Φουντουκιές, Λεπτοκαρυές κ.α.</v>
          </cell>
          <cell r="D43">
            <v>5057</v>
          </cell>
        </row>
        <row r="44">
          <cell r="A44" t="str">
            <v>B_4_2</v>
          </cell>
          <cell r="B44" t="str">
            <v xml:space="preserve">Εσπεριδοειδώνες                                                                            </v>
          </cell>
          <cell r="C44" t="str">
            <v>Πορτοκαλιές, Λεμονιές, Μανταρινιές, Νερατζιές, Κιτριές, Γκρέιπφρουτ, Περγαμόντο, Φράπες, Κουμκουάτ κ.α.</v>
          </cell>
          <cell r="D44">
            <v>5135</v>
          </cell>
        </row>
        <row r="45">
          <cell r="A45" t="str">
            <v>B_4_3_1</v>
          </cell>
          <cell r="B45" t="str">
            <v>Ελαιώνες που ο καρπός τους προορίζεται συνήθως για επιτραπέζια χρήση</v>
          </cell>
          <cell r="C45" t="str">
            <v>Ελαιώνες που συνήθως παράγουν επιτραπέζιες ελιές</v>
          </cell>
          <cell r="D45">
            <v>2953</v>
          </cell>
        </row>
        <row r="46">
          <cell r="A46" t="str">
            <v>B_4_3_2</v>
          </cell>
          <cell r="B46" t="str">
            <v>Ελαιώνες που ο καρπός τους προορίζεται συνήθως για ελαιοποίηση</v>
          </cell>
          <cell r="C46" t="str">
            <v>Ελαιώνες που συνήθως παράγουν ελιές για λάδι</v>
          </cell>
          <cell r="D46">
            <v>1882</v>
          </cell>
        </row>
        <row r="47">
          <cell r="A47" t="str">
            <v>B_4_4_1</v>
          </cell>
          <cell r="B47" t="str">
            <v>Αμπελώνες που τα προϊόντα τους προορίζονται συνήθως για οίνους ποιότητας (ονομασίας προελεύσεως και ελεγχόμενης ποιότητας)</v>
          </cell>
          <cell r="C47" t="str">
            <v>Αμπελώνες, οι οποίοι συνήθως παράγουν οίνους ποιότητας (ΠΟΠ, ΠΓΕ)</v>
          </cell>
          <cell r="D47">
            <v>7066</v>
          </cell>
        </row>
        <row r="48">
          <cell r="A48" t="str">
            <v>B_4_4_2</v>
          </cell>
          <cell r="B48" t="str">
            <v>Αμπελώνες που τα προϊόντα τους προορίζονται συνήθως για λοιπούς οίνους</v>
          </cell>
          <cell r="C48" t="str">
            <v>Αμπελώνες, οι οποίοι συνήθως παράγουν άλλους οίνους</v>
          </cell>
          <cell r="D48">
            <v>6868</v>
          </cell>
        </row>
        <row r="49">
          <cell r="A49" t="str">
            <v>B_4_4_3</v>
          </cell>
          <cell r="B49" t="str">
            <v xml:space="preserve">Αμπελώνες που τα προϊόντα τους προορίζονται συνήθως για επιτραπέζια σταφύλια </v>
          </cell>
          <cell r="C49" t="str">
            <v xml:space="preserve">Επιτραπέζια σταφύλια </v>
          </cell>
          <cell r="D49">
            <v>9612</v>
          </cell>
        </row>
        <row r="50">
          <cell r="A50" t="str">
            <v>B_4_4_4</v>
          </cell>
          <cell r="B50" t="str">
            <v xml:space="preserve">Σταφίδες </v>
          </cell>
          <cell r="C50" t="str">
            <v>Ξερή σουλτανίνα ή κορινθιακή</v>
          </cell>
          <cell r="D50">
            <v>4606</v>
          </cell>
        </row>
        <row r="51">
          <cell r="A51" t="str">
            <v>B_4_5</v>
          </cell>
          <cell r="B51" t="str">
            <v xml:space="preserve">Φυτώρια                                                                                                       </v>
          </cell>
          <cell r="C51" t="str">
            <v>α. Καρποφόρων δένδρων     
β. Αμπελιών 
γ. Διακοσμητικών φυτών  
δ. Δασικών δέντρων κ.α.</v>
          </cell>
          <cell r="D51">
            <v>52170</v>
          </cell>
        </row>
        <row r="52">
          <cell r="A52" t="str">
            <v>B_4_6</v>
          </cell>
          <cell r="B52" t="str">
            <v xml:space="preserve">Άλλες μόνιμες καλλιέργειες                                                                      </v>
          </cell>
          <cell r="C52" t="str">
            <v xml:space="preserve">α. Λοιπές δενδρώδεις καλλιέργειες (Μαστιχόδενδρα, Χαρουπιές, Σχίνος κ.α.) 
β. Άλλες πολυετείς (μόνιμες) φυτείες (βουρλότοποι, καλαμιώνες, λυγαριές της εκμετάλλευσης, ιτιές, ινδικοί κάλαμοι, καλάμια μπαμπού κ.α.)                                            </v>
          </cell>
          <cell r="D52">
            <v>1859</v>
          </cell>
        </row>
        <row r="53">
          <cell r="A53" t="str">
            <v>B_4_7</v>
          </cell>
          <cell r="B53" t="str">
            <v xml:space="preserve">Μόνιμες καλλιέργειες σε θερμοκήπια </v>
          </cell>
          <cell r="C53" t="str">
            <v>Μπανανιές κ.α.</v>
          </cell>
          <cell r="D53">
            <v>32062</v>
          </cell>
        </row>
        <row r="54">
          <cell r="A54" t="str">
            <v>B_6_1</v>
          </cell>
          <cell r="B54" t="str">
            <v xml:space="preserve">Μανιτάρια </v>
          </cell>
          <cell r="C54" t="str">
            <v xml:space="preserve">Μανιτάρια </v>
          </cell>
          <cell r="D54">
            <v>10814</v>
          </cell>
        </row>
      </sheetData>
      <sheetData sheetId="3">
        <row r="2">
          <cell r="U2">
            <v>12990</v>
          </cell>
          <cell r="V2" t="str">
            <v>1</v>
          </cell>
          <cell r="W2" t="str">
            <v>ΣΚΛΗΡΟΣ ΣΙΤΟΣ</v>
          </cell>
          <cell r="X2" t="str">
            <v>2990</v>
          </cell>
        </row>
        <row r="3">
          <cell r="U3">
            <v>15153</v>
          </cell>
          <cell r="V3" t="str">
            <v>15</v>
          </cell>
          <cell r="W3" t="str">
            <v>ΕΛΑΙΩΝΕΣ</v>
          </cell>
          <cell r="X3" t="str">
            <v>153</v>
          </cell>
        </row>
        <row r="4">
          <cell r="U4">
            <v>15154</v>
          </cell>
          <cell r="V4" t="str">
            <v>15</v>
          </cell>
          <cell r="W4" t="str">
            <v>ΕΛΑΙΩΝΕΣ</v>
          </cell>
          <cell r="X4" t="str">
            <v>154</v>
          </cell>
        </row>
        <row r="5">
          <cell r="U5">
            <v>15155</v>
          </cell>
          <cell r="V5" t="str">
            <v>15</v>
          </cell>
          <cell r="W5" t="str">
            <v>ΕΛΑΙΩΝΕΣ</v>
          </cell>
          <cell r="X5" t="str">
            <v>155</v>
          </cell>
        </row>
        <row r="6">
          <cell r="U6">
            <v>15156</v>
          </cell>
          <cell r="V6" t="str">
            <v>15</v>
          </cell>
          <cell r="W6" t="str">
            <v>ΕΛΑΙΩΝΕΣ</v>
          </cell>
          <cell r="X6" t="str">
            <v>156</v>
          </cell>
        </row>
        <row r="7">
          <cell r="U7">
            <v>15157</v>
          </cell>
          <cell r="V7" t="str">
            <v>15</v>
          </cell>
          <cell r="W7" t="str">
            <v>ΕΛΑΙΩΝΕΣ</v>
          </cell>
          <cell r="X7" t="str">
            <v>157</v>
          </cell>
        </row>
        <row r="8">
          <cell r="U8">
            <v>15158</v>
          </cell>
          <cell r="V8" t="str">
            <v>15</v>
          </cell>
          <cell r="W8" t="str">
            <v>ΕΛΑΙΩΝΕΣ</v>
          </cell>
          <cell r="X8" t="str">
            <v>158</v>
          </cell>
        </row>
        <row r="9">
          <cell r="U9">
            <v>15159</v>
          </cell>
          <cell r="V9" t="str">
            <v>15</v>
          </cell>
          <cell r="W9" t="str">
            <v>ΕΛΑΙΩΝΕΣ</v>
          </cell>
          <cell r="X9" t="str">
            <v>159</v>
          </cell>
        </row>
        <row r="10">
          <cell r="U10">
            <v>15160</v>
          </cell>
          <cell r="V10" t="str">
            <v>15</v>
          </cell>
          <cell r="W10" t="str">
            <v>ΕΛΑΙΩΝΕΣ</v>
          </cell>
          <cell r="X10" t="str">
            <v>160</v>
          </cell>
        </row>
        <row r="11">
          <cell r="U11">
            <v>15161</v>
          </cell>
          <cell r="V11" t="str">
            <v>15</v>
          </cell>
          <cell r="W11" t="str">
            <v>ΕΛΑΙΩΝΕΣ</v>
          </cell>
          <cell r="X11" t="str">
            <v>161</v>
          </cell>
        </row>
        <row r="12">
          <cell r="U12">
            <v>15162</v>
          </cell>
          <cell r="V12" t="str">
            <v>15</v>
          </cell>
          <cell r="W12" t="str">
            <v>ΕΛΑΙΩΝΕΣ</v>
          </cell>
          <cell r="X12" t="str">
            <v>162</v>
          </cell>
        </row>
        <row r="13">
          <cell r="U13">
            <v>15163</v>
          </cell>
          <cell r="V13" t="str">
            <v>15</v>
          </cell>
          <cell r="W13" t="str">
            <v>ΕΛΑΙΩΝΕΣ</v>
          </cell>
          <cell r="X13" t="str">
            <v>163</v>
          </cell>
        </row>
        <row r="14">
          <cell r="U14">
            <v>15164</v>
          </cell>
          <cell r="V14" t="str">
            <v>15</v>
          </cell>
          <cell r="W14" t="str">
            <v>ΕΛΑΙΩΝΕΣ</v>
          </cell>
          <cell r="X14" t="str">
            <v>164</v>
          </cell>
        </row>
        <row r="15">
          <cell r="U15">
            <v>15165</v>
          </cell>
          <cell r="V15" t="str">
            <v>15</v>
          </cell>
          <cell r="W15" t="str">
            <v>ΕΛΑΙΩΝΕΣ</v>
          </cell>
          <cell r="X15" t="str">
            <v>165</v>
          </cell>
        </row>
        <row r="16">
          <cell r="U16">
            <v>15166</v>
          </cell>
          <cell r="V16" t="str">
            <v>15</v>
          </cell>
          <cell r="W16" t="str">
            <v>ΕΛΑΙΩΝΕΣ</v>
          </cell>
          <cell r="X16" t="str">
            <v>166</v>
          </cell>
        </row>
        <row r="17">
          <cell r="U17">
            <v>15167</v>
          </cell>
          <cell r="V17" t="str">
            <v>15</v>
          </cell>
          <cell r="W17" t="str">
            <v>ΕΛΑΙΩΝΕΣ</v>
          </cell>
          <cell r="X17" t="str">
            <v>167</v>
          </cell>
        </row>
        <row r="18">
          <cell r="U18">
            <v>15168</v>
          </cell>
          <cell r="V18" t="str">
            <v>15</v>
          </cell>
          <cell r="W18" t="str">
            <v>ΕΛΑΙΩΝΕΣ</v>
          </cell>
          <cell r="X18" t="str">
            <v>168</v>
          </cell>
        </row>
        <row r="19">
          <cell r="U19">
            <v>15169</v>
          </cell>
          <cell r="V19" t="str">
            <v>15</v>
          </cell>
          <cell r="W19" t="str">
            <v>ΕΛΑΙΩΝΕΣ</v>
          </cell>
          <cell r="X19" t="str">
            <v>169</v>
          </cell>
        </row>
        <row r="20">
          <cell r="U20">
            <v>15170</v>
          </cell>
          <cell r="V20" t="str">
            <v>15</v>
          </cell>
          <cell r="W20" t="str">
            <v>ΕΛΑΙΩΝΕΣ</v>
          </cell>
          <cell r="X20" t="str">
            <v>170</v>
          </cell>
        </row>
        <row r="21">
          <cell r="U21">
            <v>15171</v>
          </cell>
          <cell r="V21" t="str">
            <v>15</v>
          </cell>
          <cell r="W21" t="str">
            <v>ΕΛΑΙΩΝΕΣ</v>
          </cell>
          <cell r="X21" t="str">
            <v>171</v>
          </cell>
        </row>
        <row r="22">
          <cell r="U22">
            <v>15172</v>
          </cell>
          <cell r="V22" t="str">
            <v>15</v>
          </cell>
          <cell r="W22" t="str">
            <v>ΕΛΑΙΩΝΕΣ</v>
          </cell>
          <cell r="X22" t="str">
            <v>172</v>
          </cell>
        </row>
        <row r="23">
          <cell r="U23">
            <v>15173</v>
          </cell>
          <cell r="V23" t="str">
            <v>15</v>
          </cell>
          <cell r="W23" t="str">
            <v>ΕΛΑΙΩΝΕΣ</v>
          </cell>
          <cell r="X23" t="str">
            <v>173</v>
          </cell>
        </row>
        <row r="24">
          <cell r="U24">
            <v>15174</v>
          </cell>
          <cell r="V24" t="str">
            <v>15</v>
          </cell>
          <cell r="W24" t="str">
            <v>ΕΛΑΙΩΝΕΣ</v>
          </cell>
          <cell r="X24" t="str">
            <v>174</v>
          </cell>
        </row>
        <row r="25">
          <cell r="U25">
            <v>15175</v>
          </cell>
          <cell r="V25" t="str">
            <v>15</v>
          </cell>
          <cell r="W25" t="str">
            <v>ΕΛΑΙΩΝΕΣ</v>
          </cell>
          <cell r="X25" t="str">
            <v>175</v>
          </cell>
        </row>
        <row r="26">
          <cell r="U26">
            <v>15176</v>
          </cell>
          <cell r="V26" t="str">
            <v>15</v>
          </cell>
          <cell r="W26" t="str">
            <v>ΕΛΑΙΩΝΕΣ</v>
          </cell>
          <cell r="X26" t="str">
            <v>176</v>
          </cell>
        </row>
        <row r="27">
          <cell r="U27">
            <v>15177</v>
          </cell>
          <cell r="V27" t="str">
            <v>15</v>
          </cell>
          <cell r="W27" t="str">
            <v>ΕΛΑΙΩΝΕΣ</v>
          </cell>
          <cell r="X27" t="str">
            <v>177</v>
          </cell>
        </row>
        <row r="28">
          <cell r="U28">
            <v>15178</v>
          </cell>
          <cell r="V28" t="str">
            <v>15</v>
          </cell>
          <cell r="W28" t="str">
            <v>ΕΛΑΙΩΝΕΣ</v>
          </cell>
          <cell r="X28" t="str">
            <v>178</v>
          </cell>
        </row>
        <row r="29">
          <cell r="U29">
            <v>15179</v>
          </cell>
          <cell r="V29" t="str">
            <v>15</v>
          </cell>
          <cell r="W29" t="str">
            <v>ΕΛΑΙΩΝΕΣ</v>
          </cell>
          <cell r="X29" t="str">
            <v>179</v>
          </cell>
        </row>
        <row r="30">
          <cell r="U30">
            <v>15180</v>
          </cell>
          <cell r="V30" t="str">
            <v>15</v>
          </cell>
          <cell r="W30" t="str">
            <v>ΕΛΑΙΩΝΕΣ</v>
          </cell>
          <cell r="X30" t="str">
            <v>180</v>
          </cell>
        </row>
        <row r="31">
          <cell r="U31">
            <v>15181</v>
          </cell>
          <cell r="V31" t="str">
            <v>15</v>
          </cell>
          <cell r="W31" t="str">
            <v>ΕΛΑΙΩΝΕΣ</v>
          </cell>
          <cell r="X31" t="str">
            <v>181</v>
          </cell>
        </row>
        <row r="32">
          <cell r="U32">
            <v>15182</v>
          </cell>
          <cell r="V32" t="str">
            <v>15</v>
          </cell>
          <cell r="W32" t="str">
            <v>ΕΛΑΙΩΝΕΣ</v>
          </cell>
          <cell r="X32" t="str">
            <v>182</v>
          </cell>
        </row>
        <row r="33">
          <cell r="U33">
            <v>15183</v>
          </cell>
          <cell r="V33" t="str">
            <v>15</v>
          </cell>
          <cell r="W33" t="str">
            <v>ΕΛΑΙΩΝΕΣ</v>
          </cell>
          <cell r="X33" t="str">
            <v>183</v>
          </cell>
        </row>
        <row r="34">
          <cell r="U34">
            <v>15184</v>
          </cell>
          <cell r="V34" t="str">
            <v>15</v>
          </cell>
          <cell r="W34" t="str">
            <v>ΕΛΑΙΩΝΕΣ</v>
          </cell>
          <cell r="X34" t="str">
            <v>184</v>
          </cell>
        </row>
        <row r="35">
          <cell r="U35">
            <v>15185</v>
          </cell>
          <cell r="V35" t="str">
            <v>15</v>
          </cell>
          <cell r="W35" t="str">
            <v>ΕΛΑΙΩΝΕΣ</v>
          </cell>
          <cell r="X35" t="str">
            <v>185</v>
          </cell>
        </row>
        <row r="36">
          <cell r="U36">
            <v>15186</v>
          </cell>
          <cell r="V36" t="str">
            <v>15</v>
          </cell>
          <cell r="W36" t="str">
            <v>ΕΛΑΙΩΝΕΣ</v>
          </cell>
          <cell r="X36" t="str">
            <v>186</v>
          </cell>
        </row>
        <row r="37">
          <cell r="U37">
            <v>15187</v>
          </cell>
          <cell r="V37" t="str">
            <v>15</v>
          </cell>
          <cell r="W37" t="str">
            <v>ΕΛΑΙΩΝΕΣ</v>
          </cell>
          <cell r="X37" t="str">
            <v>187</v>
          </cell>
        </row>
        <row r="38">
          <cell r="U38">
            <v>15188</v>
          </cell>
          <cell r="V38" t="str">
            <v>15</v>
          </cell>
          <cell r="W38" t="str">
            <v>ΕΛΑΙΩΝΕΣ</v>
          </cell>
          <cell r="X38" t="str">
            <v>188</v>
          </cell>
        </row>
        <row r="39">
          <cell r="U39">
            <v>15189</v>
          </cell>
          <cell r="V39" t="str">
            <v>15</v>
          </cell>
          <cell r="W39" t="str">
            <v>ΕΛΑΙΩΝΕΣ</v>
          </cell>
          <cell r="X39" t="str">
            <v>189</v>
          </cell>
        </row>
        <row r="40">
          <cell r="U40">
            <v>15190</v>
          </cell>
          <cell r="V40" t="str">
            <v>15</v>
          </cell>
          <cell r="W40" t="str">
            <v>ΕΛΑΙΩΝΕΣ</v>
          </cell>
          <cell r="X40" t="str">
            <v>190</v>
          </cell>
        </row>
        <row r="41">
          <cell r="U41">
            <v>15191</v>
          </cell>
          <cell r="V41" t="str">
            <v>15</v>
          </cell>
          <cell r="W41" t="str">
            <v>ΕΛΑΙΩΝΕΣ</v>
          </cell>
          <cell r="X41" t="str">
            <v>191</v>
          </cell>
        </row>
        <row r="42">
          <cell r="U42">
            <v>15192</v>
          </cell>
          <cell r="V42" t="str">
            <v>15</v>
          </cell>
          <cell r="W42" t="str">
            <v>ΕΛΑΙΩΝΕΣ</v>
          </cell>
          <cell r="X42" t="str">
            <v>192</v>
          </cell>
        </row>
        <row r="43">
          <cell r="U43">
            <v>15193</v>
          </cell>
          <cell r="V43" t="str">
            <v>15</v>
          </cell>
          <cell r="W43" t="str">
            <v>ΕΛΑΙΩΝΕΣ</v>
          </cell>
          <cell r="X43" t="str">
            <v>193</v>
          </cell>
        </row>
        <row r="44">
          <cell r="U44">
            <v>15194</v>
          </cell>
          <cell r="V44" t="str">
            <v>15</v>
          </cell>
          <cell r="W44" t="str">
            <v>ΕΛΑΙΩΝΕΣ</v>
          </cell>
          <cell r="X44" t="str">
            <v>194</v>
          </cell>
        </row>
        <row r="45">
          <cell r="U45">
            <v>15195</v>
          </cell>
          <cell r="V45" t="str">
            <v>15</v>
          </cell>
          <cell r="W45" t="str">
            <v>ΕΛΑΙΩΝΕΣ</v>
          </cell>
          <cell r="X45" t="str">
            <v>195</v>
          </cell>
        </row>
        <row r="46">
          <cell r="U46">
            <v>15196</v>
          </cell>
          <cell r="V46" t="str">
            <v>15</v>
          </cell>
          <cell r="W46" t="str">
            <v>ΕΛΑΙΩΝΕΣ</v>
          </cell>
          <cell r="X46" t="str">
            <v>196</v>
          </cell>
        </row>
        <row r="47">
          <cell r="U47">
            <v>15197</v>
          </cell>
          <cell r="V47" t="str">
            <v>15</v>
          </cell>
          <cell r="W47" t="str">
            <v>ΕΛΑΙΩΝΕΣ</v>
          </cell>
          <cell r="X47" t="str">
            <v>197</v>
          </cell>
        </row>
        <row r="48">
          <cell r="U48">
            <v>15198</v>
          </cell>
          <cell r="V48" t="str">
            <v>15</v>
          </cell>
          <cell r="W48" t="str">
            <v>ΕΛΑΙΩΝΕΣ</v>
          </cell>
          <cell r="X48" t="str">
            <v>198</v>
          </cell>
        </row>
        <row r="49">
          <cell r="U49">
            <v>15199</v>
          </cell>
          <cell r="V49" t="str">
            <v>15</v>
          </cell>
          <cell r="W49" t="str">
            <v>ΕΛΑΙΩΝΕΣ</v>
          </cell>
          <cell r="X49" t="str">
            <v>199</v>
          </cell>
        </row>
        <row r="50">
          <cell r="U50">
            <v>15200</v>
          </cell>
          <cell r="V50" t="str">
            <v>15</v>
          </cell>
          <cell r="W50" t="str">
            <v>ΕΛΑΙΩΝΕΣ</v>
          </cell>
          <cell r="X50" t="str">
            <v>200</v>
          </cell>
        </row>
        <row r="51">
          <cell r="U51">
            <v>15201</v>
          </cell>
          <cell r="V51" t="str">
            <v>15</v>
          </cell>
          <cell r="W51" t="str">
            <v>ΕΛΑΙΩΝΕΣ</v>
          </cell>
          <cell r="X51" t="str">
            <v>201</v>
          </cell>
        </row>
        <row r="52">
          <cell r="U52">
            <v>15202</v>
          </cell>
          <cell r="V52" t="str">
            <v>15</v>
          </cell>
          <cell r="W52" t="str">
            <v>ΕΛΑΙΩΝΕΣ</v>
          </cell>
          <cell r="X52" t="str">
            <v>202</v>
          </cell>
        </row>
        <row r="53">
          <cell r="U53">
            <v>15203</v>
          </cell>
          <cell r="V53" t="str">
            <v>15</v>
          </cell>
          <cell r="W53" t="str">
            <v>ΕΛΑΙΩΝΕΣ</v>
          </cell>
          <cell r="X53" t="str">
            <v>203</v>
          </cell>
        </row>
        <row r="54">
          <cell r="U54">
            <v>15204</v>
          </cell>
          <cell r="V54" t="str">
            <v>15</v>
          </cell>
          <cell r="W54" t="str">
            <v>ΕΛΑΙΩΝΕΣ</v>
          </cell>
          <cell r="X54" t="str">
            <v>204</v>
          </cell>
        </row>
        <row r="55">
          <cell r="U55">
            <v>15205</v>
          </cell>
          <cell r="V55" t="str">
            <v>15</v>
          </cell>
          <cell r="W55" t="str">
            <v>ΕΛΑΙΩΝΕΣ</v>
          </cell>
          <cell r="X55" t="str">
            <v>205</v>
          </cell>
        </row>
        <row r="56">
          <cell r="U56">
            <v>15206</v>
          </cell>
          <cell r="V56" t="str">
            <v>15</v>
          </cell>
          <cell r="W56" t="str">
            <v>ΕΛΑΙΩΝΕΣ</v>
          </cell>
          <cell r="X56" t="str">
            <v>206</v>
          </cell>
        </row>
        <row r="57">
          <cell r="U57">
            <v>15207</v>
          </cell>
          <cell r="V57" t="str">
            <v>15</v>
          </cell>
          <cell r="W57" t="str">
            <v>ΕΛΑΙΩΝΕΣ</v>
          </cell>
          <cell r="X57" t="str">
            <v>207</v>
          </cell>
        </row>
        <row r="58">
          <cell r="U58">
            <v>15208</v>
          </cell>
          <cell r="V58" t="str">
            <v>15</v>
          </cell>
          <cell r="W58" t="str">
            <v>ΕΛΑΙΩΝΕΣ</v>
          </cell>
          <cell r="X58" t="str">
            <v>208</v>
          </cell>
        </row>
        <row r="59">
          <cell r="U59">
            <v>15209</v>
          </cell>
          <cell r="V59" t="str">
            <v>15</v>
          </cell>
          <cell r="W59" t="str">
            <v>ΕΛΑΙΩΝΕΣ</v>
          </cell>
          <cell r="X59" t="str">
            <v>209</v>
          </cell>
        </row>
        <row r="60">
          <cell r="U60">
            <v>15210</v>
          </cell>
          <cell r="V60" t="str">
            <v>15</v>
          </cell>
          <cell r="W60" t="str">
            <v>ΕΛΑΙΩΝΕΣ</v>
          </cell>
          <cell r="X60" t="str">
            <v>210</v>
          </cell>
        </row>
        <row r="61">
          <cell r="U61">
            <v>15211</v>
          </cell>
          <cell r="V61" t="str">
            <v>15</v>
          </cell>
          <cell r="W61" t="str">
            <v>ΕΛΑΙΩΝΕΣ</v>
          </cell>
          <cell r="X61" t="str">
            <v>211</v>
          </cell>
        </row>
        <row r="62">
          <cell r="U62">
            <v>15212</v>
          </cell>
          <cell r="V62" t="str">
            <v>15</v>
          </cell>
          <cell r="W62" t="str">
            <v>ΕΛΑΙΩΝΕΣ</v>
          </cell>
          <cell r="X62" t="str">
            <v>212</v>
          </cell>
        </row>
        <row r="63">
          <cell r="U63">
            <v>15213</v>
          </cell>
          <cell r="V63" t="str">
            <v>15</v>
          </cell>
          <cell r="W63" t="str">
            <v>ΕΛΑΙΩΝΕΣ</v>
          </cell>
          <cell r="X63" t="str">
            <v>213</v>
          </cell>
        </row>
        <row r="64">
          <cell r="U64">
            <v>15214</v>
          </cell>
          <cell r="V64" t="str">
            <v>15</v>
          </cell>
          <cell r="W64" t="str">
            <v>ΕΛΑΙΩΝΕΣ</v>
          </cell>
          <cell r="X64" t="str">
            <v>214</v>
          </cell>
        </row>
        <row r="65">
          <cell r="U65">
            <v>15215</v>
          </cell>
          <cell r="V65" t="str">
            <v>15</v>
          </cell>
          <cell r="W65" t="str">
            <v>ΕΛΑΙΩΝΕΣ</v>
          </cell>
          <cell r="X65" t="str">
            <v>215</v>
          </cell>
        </row>
        <row r="66">
          <cell r="U66">
            <v>15216</v>
          </cell>
          <cell r="V66" t="str">
            <v>15</v>
          </cell>
          <cell r="W66" t="str">
            <v>ΕΛΑΙΩΝΕΣ</v>
          </cell>
          <cell r="X66" t="str">
            <v>216</v>
          </cell>
        </row>
        <row r="67">
          <cell r="U67">
            <v>15217</v>
          </cell>
          <cell r="V67" t="str">
            <v>15</v>
          </cell>
          <cell r="W67" t="str">
            <v>ΕΛΑΙΩΝΕΣ</v>
          </cell>
          <cell r="X67" t="str">
            <v>217</v>
          </cell>
        </row>
        <row r="68">
          <cell r="U68">
            <v>15218</v>
          </cell>
          <cell r="V68" t="str">
            <v>15</v>
          </cell>
          <cell r="W68" t="str">
            <v>ΕΛΑΙΩΝΕΣ</v>
          </cell>
          <cell r="X68" t="str">
            <v>218</v>
          </cell>
        </row>
        <row r="69">
          <cell r="U69">
            <v>15219</v>
          </cell>
          <cell r="V69" t="str">
            <v>15</v>
          </cell>
          <cell r="W69" t="str">
            <v>ΕΛΑΙΩΝΕΣ</v>
          </cell>
          <cell r="X69" t="str">
            <v>219</v>
          </cell>
        </row>
        <row r="70">
          <cell r="U70">
            <v>15220</v>
          </cell>
          <cell r="V70" t="str">
            <v>15</v>
          </cell>
          <cell r="W70" t="str">
            <v>ΕΛΑΙΩΝΕΣ</v>
          </cell>
          <cell r="X70" t="str">
            <v>220</v>
          </cell>
        </row>
        <row r="71">
          <cell r="U71">
            <v>15221</v>
          </cell>
          <cell r="V71" t="str">
            <v>15</v>
          </cell>
          <cell r="W71" t="str">
            <v>ΕΛΑΙΩΝΕΣ</v>
          </cell>
          <cell r="X71" t="str">
            <v>221</v>
          </cell>
        </row>
        <row r="72">
          <cell r="U72">
            <v>15222</v>
          </cell>
          <cell r="V72" t="str">
            <v>15</v>
          </cell>
          <cell r="W72" t="str">
            <v>ΕΛΑΙΩΝΕΣ</v>
          </cell>
          <cell r="X72" t="str">
            <v>222</v>
          </cell>
        </row>
        <row r="73">
          <cell r="U73">
            <v>15223</v>
          </cell>
          <cell r="V73" t="str">
            <v>15</v>
          </cell>
          <cell r="W73" t="str">
            <v>ΕΛΑΙΩΝΕΣ</v>
          </cell>
          <cell r="X73" t="str">
            <v>223</v>
          </cell>
        </row>
        <row r="74">
          <cell r="U74">
            <v>15224</v>
          </cell>
          <cell r="V74" t="str">
            <v>15</v>
          </cell>
          <cell r="W74" t="str">
            <v>ΕΛΑΙΩΝΕΣ</v>
          </cell>
          <cell r="X74" t="str">
            <v>224</v>
          </cell>
        </row>
        <row r="75">
          <cell r="U75">
            <v>15225</v>
          </cell>
          <cell r="V75" t="str">
            <v>15</v>
          </cell>
          <cell r="W75" t="str">
            <v>ΕΛΑΙΩΝΕΣ</v>
          </cell>
          <cell r="X75" t="str">
            <v>225</v>
          </cell>
        </row>
        <row r="76">
          <cell r="U76">
            <v>15226</v>
          </cell>
          <cell r="V76" t="str">
            <v>15</v>
          </cell>
          <cell r="W76" t="str">
            <v>ΕΛΑΙΩΝΕΣ</v>
          </cell>
          <cell r="X76" t="str">
            <v>226</v>
          </cell>
        </row>
        <row r="77">
          <cell r="U77">
            <v>15227</v>
          </cell>
          <cell r="V77" t="str">
            <v>15</v>
          </cell>
          <cell r="W77" t="str">
            <v>ΕΛΑΙΩΝΕΣ</v>
          </cell>
          <cell r="X77" t="str">
            <v>227</v>
          </cell>
        </row>
        <row r="78">
          <cell r="U78">
            <v>15228</v>
          </cell>
          <cell r="V78" t="str">
            <v>15</v>
          </cell>
          <cell r="W78" t="str">
            <v>ΕΛΑΙΩΝΕΣ</v>
          </cell>
          <cell r="X78" t="str">
            <v>228</v>
          </cell>
        </row>
        <row r="79">
          <cell r="U79">
            <v>15229</v>
          </cell>
          <cell r="V79" t="str">
            <v>15</v>
          </cell>
          <cell r="W79" t="str">
            <v>ΕΛΑΙΩΝΕΣ</v>
          </cell>
          <cell r="X79" t="str">
            <v>229</v>
          </cell>
        </row>
        <row r="80">
          <cell r="U80">
            <v>15230</v>
          </cell>
          <cell r="V80" t="str">
            <v>15</v>
          </cell>
          <cell r="W80" t="str">
            <v>ΕΛΑΙΩΝΕΣ</v>
          </cell>
          <cell r="X80" t="str">
            <v>230</v>
          </cell>
        </row>
        <row r="81">
          <cell r="U81">
            <v>15231</v>
          </cell>
          <cell r="V81" t="str">
            <v>15</v>
          </cell>
          <cell r="W81" t="str">
            <v>ΕΛΑΙΩΝΕΣ</v>
          </cell>
          <cell r="X81" t="str">
            <v>231</v>
          </cell>
        </row>
        <row r="82">
          <cell r="U82">
            <v>15589</v>
          </cell>
          <cell r="V82" t="str">
            <v>15</v>
          </cell>
          <cell r="W82" t="str">
            <v>ΕΛΑΙΩΝΕΣ</v>
          </cell>
          <cell r="X82" t="str">
            <v>589</v>
          </cell>
        </row>
        <row r="83">
          <cell r="U83">
            <v>15648</v>
          </cell>
          <cell r="V83" t="str">
            <v>15</v>
          </cell>
          <cell r="W83" t="str">
            <v>ΕΛΑΙΩΝΕΣ</v>
          </cell>
          <cell r="X83" t="str">
            <v>648</v>
          </cell>
        </row>
        <row r="84">
          <cell r="U84">
            <v>15649</v>
          </cell>
          <cell r="V84" t="str">
            <v>15</v>
          </cell>
          <cell r="W84" t="str">
            <v>ΕΛΑΙΩΝΕΣ</v>
          </cell>
          <cell r="X84" t="str">
            <v>649</v>
          </cell>
        </row>
        <row r="85">
          <cell r="U85">
            <v>15650</v>
          </cell>
          <cell r="V85" t="str">
            <v>15</v>
          </cell>
          <cell r="W85" t="str">
            <v>ΕΛΑΙΩΝΕΣ</v>
          </cell>
          <cell r="X85" t="str">
            <v>650</v>
          </cell>
        </row>
        <row r="86">
          <cell r="U86">
            <v>15651</v>
          </cell>
          <cell r="V86" t="str">
            <v>15</v>
          </cell>
          <cell r="W86" t="str">
            <v>ΕΛΑΙΩΝΕΣ</v>
          </cell>
          <cell r="X86" t="str">
            <v>651</v>
          </cell>
        </row>
        <row r="87">
          <cell r="U87">
            <v>15652</v>
          </cell>
          <cell r="V87" t="str">
            <v>15</v>
          </cell>
          <cell r="W87" t="str">
            <v>ΕΛΑΙΩΝΕΣ</v>
          </cell>
          <cell r="X87" t="str">
            <v>652</v>
          </cell>
        </row>
        <row r="88">
          <cell r="U88">
            <v>15653</v>
          </cell>
          <cell r="V88" t="str">
            <v>15</v>
          </cell>
          <cell r="W88" t="str">
            <v>ΕΛΑΙΩΝΕΣ</v>
          </cell>
          <cell r="X88" t="str">
            <v>653</v>
          </cell>
        </row>
        <row r="89">
          <cell r="U89">
            <v>15654</v>
          </cell>
          <cell r="V89" t="str">
            <v>15</v>
          </cell>
          <cell r="W89" t="str">
            <v>ΕΛΑΙΩΝΕΣ</v>
          </cell>
          <cell r="X89" t="str">
            <v>654</v>
          </cell>
        </row>
        <row r="90">
          <cell r="U90">
            <v>15655</v>
          </cell>
          <cell r="V90" t="str">
            <v>15</v>
          </cell>
          <cell r="W90" t="str">
            <v>ΕΛΑΙΩΝΕΣ</v>
          </cell>
          <cell r="X90" t="str">
            <v>655</v>
          </cell>
        </row>
        <row r="91">
          <cell r="U91">
            <v>15656</v>
          </cell>
          <cell r="V91" t="str">
            <v>15</v>
          </cell>
          <cell r="W91" t="str">
            <v>ΕΛΑΙΩΝΕΣ</v>
          </cell>
          <cell r="X91" t="str">
            <v>656</v>
          </cell>
        </row>
        <row r="92">
          <cell r="U92">
            <v>15657</v>
          </cell>
          <cell r="V92" t="str">
            <v>15</v>
          </cell>
          <cell r="W92" t="str">
            <v>ΕΛΑΙΩΝΕΣ</v>
          </cell>
          <cell r="X92" t="str">
            <v>657</v>
          </cell>
        </row>
        <row r="93">
          <cell r="U93">
            <v>15658</v>
          </cell>
          <cell r="V93" t="str">
            <v>15</v>
          </cell>
          <cell r="W93" t="str">
            <v>ΕΛΑΙΩΝΕΣ</v>
          </cell>
          <cell r="X93" t="str">
            <v>658</v>
          </cell>
        </row>
        <row r="94">
          <cell r="U94">
            <v>15659</v>
          </cell>
          <cell r="V94" t="str">
            <v>15</v>
          </cell>
          <cell r="W94" t="str">
            <v>ΕΛΑΙΩΝΕΣ</v>
          </cell>
          <cell r="X94" t="str">
            <v>659</v>
          </cell>
        </row>
        <row r="95">
          <cell r="U95">
            <v>15660</v>
          </cell>
          <cell r="V95" t="str">
            <v>15</v>
          </cell>
          <cell r="W95" t="str">
            <v>ΕΛΑΙΩΝΕΣ</v>
          </cell>
          <cell r="X95" t="str">
            <v>660</v>
          </cell>
        </row>
        <row r="96">
          <cell r="U96">
            <v>15661</v>
          </cell>
          <cell r="V96" t="str">
            <v>15</v>
          </cell>
          <cell r="W96" t="str">
            <v>ΕΛΑΙΩΝΕΣ</v>
          </cell>
          <cell r="X96" t="str">
            <v>661</v>
          </cell>
        </row>
        <row r="97">
          <cell r="U97">
            <v>15662</v>
          </cell>
          <cell r="V97" t="str">
            <v>15</v>
          </cell>
          <cell r="W97" t="str">
            <v>ΕΛΑΙΩΝΕΣ</v>
          </cell>
          <cell r="X97" t="str">
            <v>662</v>
          </cell>
        </row>
        <row r="98">
          <cell r="U98">
            <v>15663</v>
          </cell>
          <cell r="V98" t="str">
            <v>15</v>
          </cell>
          <cell r="W98" t="str">
            <v>ΕΛΑΙΩΝΕΣ</v>
          </cell>
          <cell r="X98" t="str">
            <v>663</v>
          </cell>
        </row>
        <row r="99">
          <cell r="U99">
            <v>15664</v>
          </cell>
          <cell r="V99" t="str">
            <v>15</v>
          </cell>
          <cell r="W99" t="str">
            <v>ΕΛΑΙΩΝΕΣ</v>
          </cell>
          <cell r="X99" t="str">
            <v>664</v>
          </cell>
        </row>
        <row r="100">
          <cell r="U100">
            <v>15665</v>
          </cell>
          <cell r="V100" t="str">
            <v>15</v>
          </cell>
          <cell r="W100" t="str">
            <v>ΕΛΑΙΩΝΕΣ</v>
          </cell>
          <cell r="X100" t="str">
            <v>665</v>
          </cell>
        </row>
        <row r="101">
          <cell r="U101">
            <v>15666</v>
          </cell>
          <cell r="V101" t="str">
            <v>15</v>
          </cell>
          <cell r="W101" t="str">
            <v>ΕΛΑΙΩΝΕΣ</v>
          </cell>
          <cell r="X101" t="str">
            <v>666</v>
          </cell>
        </row>
        <row r="102">
          <cell r="U102">
            <v>15667</v>
          </cell>
          <cell r="V102" t="str">
            <v>15</v>
          </cell>
          <cell r="W102" t="str">
            <v>ΕΛΑΙΩΝΕΣ</v>
          </cell>
          <cell r="X102" t="str">
            <v>667</v>
          </cell>
        </row>
        <row r="103">
          <cell r="U103">
            <v>15668</v>
          </cell>
          <cell r="V103" t="str">
            <v>15</v>
          </cell>
          <cell r="W103" t="str">
            <v>ΕΛΑΙΩΝΕΣ</v>
          </cell>
          <cell r="X103" t="str">
            <v>668</v>
          </cell>
        </row>
        <row r="104">
          <cell r="U104">
            <v>15669</v>
          </cell>
          <cell r="V104" t="str">
            <v>15</v>
          </cell>
          <cell r="W104" t="str">
            <v>ΕΛΑΙΩΝΕΣ</v>
          </cell>
          <cell r="X104" t="str">
            <v>669</v>
          </cell>
        </row>
        <row r="105">
          <cell r="U105">
            <v>15670</v>
          </cell>
          <cell r="V105" t="str">
            <v>15</v>
          </cell>
          <cell r="W105" t="str">
            <v>ΕΛΑΙΩΝΕΣ</v>
          </cell>
          <cell r="X105" t="str">
            <v>670</v>
          </cell>
        </row>
        <row r="106">
          <cell r="U106">
            <v>15671</v>
          </cell>
          <cell r="V106" t="str">
            <v>15</v>
          </cell>
          <cell r="W106" t="str">
            <v>ΕΛΑΙΩΝΕΣ</v>
          </cell>
          <cell r="X106" t="str">
            <v>671</v>
          </cell>
        </row>
        <row r="107">
          <cell r="U107">
            <v>15672</v>
          </cell>
          <cell r="V107" t="str">
            <v>15</v>
          </cell>
          <cell r="W107" t="str">
            <v>ΕΛΑΙΩΝΕΣ</v>
          </cell>
          <cell r="X107" t="str">
            <v>672</v>
          </cell>
        </row>
        <row r="108">
          <cell r="U108">
            <v>15673</v>
          </cell>
          <cell r="V108" t="str">
            <v>15</v>
          </cell>
          <cell r="W108" t="str">
            <v>ΕΛΑΙΩΝΕΣ</v>
          </cell>
          <cell r="X108" t="str">
            <v>673</v>
          </cell>
        </row>
        <row r="109">
          <cell r="U109">
            <v>15674</v>
          </cell>
          <cell r="V109" t="str">
            <v>15</v>
          </cell>
          <cell r="W109" t="str">
            <v>ΕΛΑΙΩΝΕΣ</v>
          </cell>
          <cell r="X109" t="str">
            <v>674</v>
          </cell>
        </row>
        <row r="110">
          <cell r="U110">
            <v>15675</v>
          </cell>
          <cell r="V110" t="str">
            <v>15</v>
          </cell>
          <cell r="W110" t="str">
            <v>ΕΛΑΙΩΝΕΣ</v>
          </cell>
          <cell r="X110" t="str">
            <v>675</v>
          </cell>
        </row>
        <row r="111">
          <cell r="U111">
            <v>15676</v>
          </cell>
          <cell r="V111" t="str">
            <v>15</v>
          </cell>
          <cell r="W111" t="str">
            <v>ΕΛΑΙΩΝΕΣ</v>
          </cell>
          <cell r="X111" t="str">
            <v>676</v>
          </cell>
        </row>
        <row r="112">
          <cell r="U112">
            <v>15677</v>
          </cell>
          <cell r="V112" t="str">
            <v>15</v>
          </cell>
          <cell r="W112" t="str">
            <v>ΕΛΑΙΩΝΕΣ</v>
          </cell>
          <cell r="X112" t="str">
            <v>677</v>
          </cell>
        </row>
        <row r="113">
          <cell r="U113">
            <v>17772</v>
          </cell>
          <cell r="V113" t="str">
            <v>1</v>
          </cell>
          <cell r="W113" t="str">
            <v>ΣΚΛΗΡΟΣ ΣΙΤΟΣ</v>
          </cell>
          <cell r="X113" t="str">
            <v>7772</v>
          </cell>
        </row>
        <row r="114">
          <cell r="U114">
            <v>17773</v>
          </cell>
          <cell r="V114" t="str">
            <v>1</v>
          </cell>
          <cell r="W114" t="str">
            <v>ΣΚΛΗΡΟΣ ΣΙΤΟΣ</v>
          </cell>
          <cell r="X114" t="str">
            <v>7773</v>
          </cell>
        </row>
        <row r="115">
          <cell r="U115">
            <v>17774</v>
          </cell>
          <cell r="V115" t="str">
            <v>1</v>
          </cell>
          <cell r="W115" t="str">
            <v>ΣΚΛΗΡΟΣ ΣΙΤΟΣ</v>
          </cell>
          <cell r="X115" t="str">
            <v>7774</v>
          </cell>
        </row>
        <row r="116">
          <cell r="U116">
            <v>17776</v>
          </cell>
          <cell r="V116" t="str">
            <v>1</v>
          </cell>
          <cell r="W116" t="str">
            <v>ΣΚΛΗΡΟΣ ΣΙΤΟΣ</v>
          </cell>
          <cell r="X116" t="str">
            <v>7776</v>
          </cell>
        </row>
        <row r="117">
          <cell r="U117">
            <v>17801</v>
          </cell>
          <cell r="V117" t="str">
            <v>1</v>
          </cell>
          <cell r="W117" t="str">
            <v>ΣΚΛΗΡΟΣ ΣΙΤΟΣ</v>
          </cell>
          <cell r="X117" t="str">
            <v>7801</v>
          </cell>
        </row>
        <row r="118">
          <cell r="U118">
            <v>17802</v>
          </cell>
          <cell r="V118" t="str">
            <v>1</v>
          </cell>
          <cell r="W118" t="str">
            <v>ΣΚΛΗΡΟΣ ΣΙΤΟΣ</v>
          </cell>
          <cell r="X118" t="str">
            <v>7802</v>
          </cell>
        </row>
        <row r="119">
          <cell r="U119">
            <v>17803</v>
          </cell>
          <cell r="V119" t="str">
            <v>1</v>
          </cell>
          <cell r="W119" t="str">
            <v>ΣΚΛΗΡΟΣ ΣΙΤΟΣ</v>
          </cell>
          <cell r="X119" t="str">
            <v>7803</v>
          </cell>
        </row>
        <row r="120">
          <cell r="U120">
            <v>17804</v>
          </cell>
          <cell r="V120" t="str">
            <v>1</v>
          </cell>
          <cell r="W120" t="str">
            <v>ΣΚΛΗΡΟΣ ΣΙΤΟΣ</v>
          </cell>
          <cell r="X120" t="str">
            <v>7804</v>
          </cell>
        </row>
        <row r="121">
          <cell r="U121">
            <v>17805</v>
          </cell>
          <cell r="V121" t="str">
            <v>1</v>
          </cell>
          <cell r="W121" t="str">
            <v>ΣΚΛΗΡΟΣ ΣΙΤΟΣ</v>
          </cell>
          <cell r="X121" t="str">
            <v>7805</v>
          </cell>
        </row>
        <row r="122">
          <cell r="U122">
            <v>17806</v>
          </cell>
          <cell r="V122" t="str">
            <v>1</v>
          </cell>
          <cell r="W122" t="str">
            <v>ΣΚΛΗΡΟΣ ΣΙΤΟΣ</v>
          </cell>
          <cell r="X122" t="str">
            <v>7806</v>
          </cell>
        </row>
        <row r="123">
          <cell r="U123">
            <v>17807</v>
          </cell>
          <cell r="V123" t="str">
            <v>1</v>
          </cell>
          <cell r="W123" t="str">
            <v>ΣΚΛΗΡΟΣ ΣΙΤΟΣ</v>
          </cell>
          <cell r="X123" t="str">
            <v>7807</v>
          </cell>
        </row>
        <row r="124">
          <cell r="U124">
            <v>17808</v>
          </cell>
          <cell r="V124" t="str">
            <v>1</v>
          </cell>
          <cell r="W124" t="str">
            <v>ΣΚΛΗΡΟΣ ΣΙΤΟΣ</v>
          </cell>
          <cell r="X124" t="str">
            <v>7808</v>
          </cell>
        </row>
        <row r="125">
          <cell r="U125">
            <v>17809</v>
          </cell>
          <cell r="V125" t="str">
            <v>1</v>
          </cell>
          <cell r="W125" t="str">
            <v>ΣΚΛΗΡΟΣ ΣΙΤΟΣ</v>
          </cell>
          <cell r="X125" t="str">
            <v>7809</v>
          </cell>
        </row>
        <row r="126">
          <cell r="U126">
            <v>17810</v>
          </cell>
          <cell r="V126" t="str">
            <v>1</v>
          </cell>
          <cell r="W126" t="str">
            <v>ΣΚΛΗΡΟΣ ΣΙΤΟΣ</v>
          </cell>
          <cell r="X126" t="str">
            <v>7810</v>
          </cell>
        </row>
        <row r="127">
          <cell r="U127">
            <v>17811</v>
          </cell>
          <cell r="V127" t="str">
            <v>1</v>
          </cell>
          <cell r="W127" t="str">
            <v>ΣΚΛΗΡΟΣ ΣΙΤΟΣ</v>
          </cell>
          <cell r="X127" t="str">
            <v>7811</v>
          </cell>
        </row>
        <row r="128">
          <cell r="U128">
            <v>17812</v>
          </cell>
          <cell r="V128" t="str">
            <v>1</v>
          </cell>
          <cell r="W128" t="str">
            <v>ΣΚΛΗΡΟΣ ΣΙΤΟΣ</v>
          </cell>
          <cell r="X128" t="str">
            <v>7812</v>
          </cell>
        </row>
        <row r="129">
          <cell r="U129">
            <v>17813</v>
          </cell>
          <cell r="V129" t="str">
            <v>1</v>
          </cell>
          <cell r="W129" t="str">
            <v>ΣΚΛΗΡΟΣ ΣΙΤΟΣ</v>
          </cell>
          <cell r="X129" t="str">
            <v>7813</v>
          </cell>
        </row>
        <row r="130">
          <cell r="U130">
            <v>17814</v>
          </cell>
          <cell r="V130" t="str">
            <v>1</v>
          </cell>
          <cell r="W130" t="str">
            <v>ΣΚΛΗΡΟΣ ΣΙΤΟΣ</v>
          </cell>
          <cell r="X130" t="str">
            <v>7814</v>
          </cell>
        </row>
        <row r="131">
          <cell r="U131">
            <v>17815</v>
          </cell>
          <cell r="V131" t="str">
            <v>1</v>
          </cell>
          <cell r="W131" t="str">
            <v>ΣΚΛΗΡΟΣ ΣΙΤΟΣ</v>
          </cell>
          <cell r="X131" t="str">
            <v>7815</v>
          </cell>
        </row>
        <row r="132">
          <cell r="U132">
            <v>17816</v>
          </cell>
          <cell r="V132" t="str">
            <v>1</v>
          </cell>
          <cell r="W132" t="str">
            <v>ΣΚΛΗΡΟΣ ΣΙΤΟΣ</v>
          </cell>
          <cell r="X132" t="str">
            <v>7816</v>
          </cell>
        </row>
        <row r="133">
          <cell r="U133">
            <v>17817</v>
          </cell>
          <cell r="V133" t="str">
            <v>1</v>
          </cell>
          <cell r="W133" t="str">
            <v>ΣΚΛΗΡΟΣ ΣΙΤΟΣ</v>
          </cell>
          <cell r="X133" t="str">
            <v>7817</v>
          </cell>
        </row>
        <row r="134">
          <cell r="U134">
            <v>17819</v>
          </cell>
          <cell r="V134" t="str">
            <v>1</v>
          </cell>
          <cell r="W134" t="str">
            <v>ΣΚΛΗΡΟΣ ΣΙΤΟΣ</v>
          </cell>
          <cell r="X134" t="str">
            <v>7819</v>
          </cell>
        </row>
        <row r="135">
          <cell r="U135">
            <v>17820</v>
          </cell>
          <cell r="V135" t="str">
            <v>1</v>
          </cell>
          <cell r="W135" t="str">
            <v>ΣΚΛΗΡΟΣ ΣΙΤΟΣ</v>
          </cell>
          <cell r="X135" t="str">
            <v>7820</v>
          </cell>
        </row>
        <row r="136">
          <cell r="U136">
            <v>17843</v>
          </cell>
          <cell r="V136" t="str">
            <v>1</v>
          </cell>
          <cell r="W136" t="str">
            <v>ΣΚΛΗΡΟΣ ΣΙΤΟΣ</v>
          </cell>
          <cell r="X136" t="str">
            <v>7843</v>
          </cell>
        </row>
        <row r="137">
          <cell r="U137">
            <v>17844</v>
          </cell>
          <cell r="V137" t="str">
            <v>1</v>
          </cell>
          <cell r="W137" t="str">
            <v>ΣΚΛΗΡΟΣ ΣΙΤΟΣ</v>
          </cell>
          <cell r="X137" t="str">
            <v>7844</v>
          </cell>
        </row>
        <row r="138">
          <cell r="U138">
            <v>17845</v>
          </cell>
          <cell r="V138" t="str">
            <v>1</v>
          </cell>
          <cell r="W138" t="str">
            <v>ΣΚΛΗΡΟΣ ΣΙΤΟΣ</v>
          </cell>
          <cell r="X138" t="str">
            <v>7845</v>
          </cell>
        </row>
        <row r="139">
          <cell r="U139">
            <v>17846</v>
          </cell>
          <cell r="V139" t="str">
            <v>1</v>
          </cell>
          <cell r="W139" t="str">
            <v>ΣΚΛΗΡΟΣ ΣΙΤΟΣ</v>
          </cell>
          <cell r="X139" t="str">
            <v>7846</v>
          </cell>
        </row>
        <row r="140">
          <cell r="U140">
            <v>17847</v>
          </cell>
          <cell r="V140" t="str">
            <v>1</v>
          </cell>
          <cell r="W140" t="str">
            <v>ΣΚΛΗΡΟΣ ΣΙΤΟΣ</v>
          </cell>
          <cell r="X140" t="str">
            <v>7847</v>
          </cell>
        </row>
        <row r="141">
          <cell r="U141">
            <v>17848</v>
          </cell>
          <cell r="V141" t="str">
            <v>1</v>
          </cell>
          <cell r="W141" t="str">
            <v>ΣΚΛΗΡΟΣ ΣΙΤΟΣ</v>
          </cell>
          <cell r="X141" t="str">
            <v>7848</v>
          </cell>
        </row>
        <row r="142">
          <cell r="U142">
            <v>17849</v>
          </cell>
          <cell r="V142" t="str">
            <v>1</v>
          </cell>
          <cell r="W142" t="str">
            <v>ΣΚΛΗΡΟΣ ΣΙΤΟΣ</v>
          </cell>
          <cell r="X142" t="str">
            <v>7849</v>
          </cell>
        </row>
        <row r="143">
          <cell r="U143">
            <v>17850</v>
          </cell>
          <cell r="V143" t="str">
            <v>1</v>
          </cell>
          <cell r="W143" t="str">
            <v>ΣΚΛΗΡΟΣ ΣΙΤΟΣ</v>
          </cell>
          <cell r="X143" t="str">
            <v>7850</v>
          </cell>
        </row>
        <row r="144">
          <cell r="U144">
            <v>17851</v>
          </cell>
          <cell r="V144" t="str">
            <v>1</v>
          </cell>
          <cell r="W144" t="str">
            <v>ΣΚΛΗΡΟΣ ΣΙΤΟΣ</v>
          </cell>
          <cell r="X144" t="str">
            <v>7851</v>
          </cell>
        </row>
        <row r="145">
          <cell r="U145">
            <v>17852</v>
          </cell>
          <cell r="V145" t="str">
            <v>1</v>
          </cell>
          <cell r="W145" t="str">
            <v>ΣΚΛΗΡΟΣ ΣΙΤΟΣ</v>
          </cell>
          <cell r="X145" t="str">
            <v>7852</v>
          </cell>
        </row>
        <row r="146">
          <cell r="U146">
            <v>17853</v>
          </cell>
          <cell r="V146" t="str">
            <v>1</v>
          </cell>
          <cell r="W146" t="str">
            <v>ΣΚΛΗΡΟΣ ΣΙΤΟΣ</v>
          </cell>
          <cell r="X146" t="str">
            <v>7853</v>
          </cell>
        </row>
        <row r="147">
          <cell r="U147">
            <v>17854</v>
          </cell>
          <cell r="V147" t="str">
            <v>1</v>
          </cell>
          <cell r="W147" t="str">
            <v>ΣΚΛΗΡΟΣ ΣΙΤΟΣ</v>
          </cell>
          <cell r="X147" t="str">
            <v>7854</v>
          </cell>
        </row>
        <row r="148">
          <cell r="U148">
            <v>17855</v>
          </cell>
          <cell r="V148" t="str">
            <v>1</v>
          </cell>
          <cell r="W148" t="str">
            <v>ΣΚΛΗΡΟΣ ΣΙΤΟΣ</v>
          </cell>
          <cell r="X148" t="str">
            <v>7855</v>
          </cell>
        </row>
        <row r="149">
          <cell r="U149">
            <v>17856</v>
          </cell>
          <cell r="V149" t="str">
            <v>1</v>
          </cell>
          <cell r="W149" t="str">
            <v>ΣΚΛΗΡΟΣ ΣΙΤΟΣ</v>
          </cell>
          <cell r="X149" t="str">
            <v>7856</v>
          </cell>
        </row>
        <row r="150">
          <cell r="U150">
            <v>17857</v>
          </cell>
          <cell r="V150" t="str">
            <v>1</v>
          </cell>
          <cell r="W150" t="str">
            <v>ΣΚΛΗΡΟΣ ΣΙΤΟΣ</v>
          </cell>
          <cell r="X150" t="str">
            <v>7857</v>
          </cell>
        </row>
        <row r="151">
          <cell r="U151">
            <v>17858</v>
          </cell>
          <cell r="V151" t="str">
            <v>1</v>
          </cell>
          <cell r="W151" t="str">
            <v>ΣΚΛΗΡΟΣ ΣΙΤΟΣ</v>
          </cell>
          <cell r="X151" t="str">
            <v>7858</v>
          </cell>
        </row>
        <row r="152">
          <cell r="U152">
            <v>17859</v>
          </cell>
          <cell r="V152" t="str">
            <v>1</v>
          </cell>
          <cell r="W152" t="str">
            <v>ΣΚΛΗΡΟΣ ΣΙΤΟΣ</v>
          </cell>
          <cell r="X152" t="str">
            <v>7859</v>
          </cell>
        </row>
        <row r="153">
          <cell r="U153">
            <v>17861</v>
          </cell>
          <cell r="V153" t="str">
            <v>1</v>
          </cell>
          <cell r="W153" t="str">
            <v>ΣΚΛΗΡΟΣ ΣΙΤΟΣ</v>
          </cell>
          <cell r="X153" t="str">
            <v>7861</v>
          </cell>
        </row>
        <row r="154">
          <cell r="U154">
            <v>17862</v>
          </cell>
          <cell r="V154" t="str">
            <v>1</v>
          </cell>
          <cell r="W154" t="str">
            <v>ΣΚΛΗΡΟΣ ΣΙΤΟΣ</v>
          </cell>
          <cell r="X154" t="str">
            <v>7862</v>
          </cell>
        </row>
        <row r="155">
          <cell r="U155">
            <v>17863</v>
          </cell>
          <cell r="V155" t="str">
            <v>1</v>
          </cell>
          <cell r="W155" t="str">
            <v>ΣΚΛΗΡΟΣ ΣΙΤΟΣ</v>
          </cell>
          <cell r="X155" t="str">
            <v>7863</v>
          </cell>
        </row>
        <row r="156">
          <cell r="U156">
            <v>17864</v>
          </cell>
          <cell r="V156" t="str">
            <v>1</v>
          </cell>
          <cell r="W156" t="str">
            <v>ΣΚΛΗΡΟΣ ΣΙΤΟΣ</v>
          </cell>
          <cell r="X156" t="str">
            <v>7864</v>
          </cell>
        </row>
        <row r="157">
          <cell r="U157">
            <v>17865</v>
          </cell>
          <cell r="V157" t="str">
            <v>1</v>
          </cell>
          <cell r="W157" t="str">
            <v>ΣΚΛΗΡΟΣ ΣΙΤΟΣ</v>
          </cell>
          <cell r="X157" t="str">
            <v>7865</v>
          </cell>
        </row>
        <row r="158">
          <cell r="U158">
            <v>17866</v>
          </cell>
          <cell r="V158" t="str">
            <v>1</v>
          </cell>
          <cell r="W158" t="str">
            <v>ΣΚΛΗΡΟΣ ΣΙΤΟΣ</v>
          </cell>
          <cell r="X158" t="str">
            <v>7866</v>
          </cell>
        </row>
        <row r="159">
          <cell r="U159">
            <v>17867</v>
          </cell>
          <cell r="V159" t="str">
            <v>1</v>
          </cell>
          <cell r="W159" t="str">
            <v>ΣΚΛΗΡΟΣ ΣΙΤΟΣ</v>
          </cell>
          <cell r="X159" t="str">
            <v>7867</v>
          </cell>
        </row>
        <row r="160">
          <cell r="U160">
            <v>17868</v>
          </cell>
          <cell r="V160" t="str">
            <v>1</v>
          </cell>
          <cell r="W160" t="str">
            <v>ΣΚΛΗΡΟΣ ΣΙΤΟΣ</v>
          </cell>
          <cell r="X160" t="str">
            <v>7868</v>
          </cell>
        </row>
        <row r="161">
          <cell r="U161">
            <v>17869</v>
          </cell>
          <cell r="V161" t="str">
            <v>1</v>
          </cell>
          <cell r="W161" t="str">
            <v>ΣΚΛΗΡΟΣ ΣΙΤΟΣ</v>
          </cell>
          <cell r="X161" t="str">
            <v>7869</v>
          </cell>
        </row>
        <row r="162">
          <cell r="U162">
            <v>17872</v>
          </cell>
          <cell r="V162" t="str">
            <v>1</v>
          </cell>
          <cell r="W162" t="str">
            <v>ΣΚΛΗΡΟΣ ΣΙΤΟΣ</v>
          </cell>
          <cell r="X162" t="str">
            <v>7872</v>
          </cell>
        </row>
        <row r="163">
          <cell r="U163">
            <v>17873</v>
          </cell>
          <cell r="V163" t="str">
            <v>1</v>
          </cell>
          <cell r="W163" t="str">
            <v>ΣΚΛΗΡΟΣ ΣΙΤΟΣ</v>
          </cell>
          <cell r="X163" t="str">
            <v>7873</v>
          </cell>
        </row>
        <row r="164">
          <cell r="U164">
            <v>17874</v>
          </cell>
          <cell r="V164" t="str">
            <v>1</v>
          </cell>
          <cell r="W164" t="str">
            <v>ΣΚΛΗΡΟΣ ΣΙΤΟΣ</v>
          </cell>
          <cell r="X164" t="str">
            <v>7874</v>
          </cell>
        </row>
        <row r="165">
          <cell r="U165">
            <v>17875</v>
          </cell>
          <cell r="V165" t="str">
            <v>1</v>
          </cell>
          <cell r="W165" t="str">
            <v>ΣΚΛΗΡΟΣ ΣΙΤΟΣ</v>
          </cell>
          <cell r="X165" t="str">
            <v>7875</v>
          </cell>
        </row>
        <row r="166">
          <cell r="U166">
            <v>17876</v>
          </cell>
          <cell r="V166" t="str">
            <v>1</v>
          </cell>
          <cell r="W166" t="str">
            <v>ΣΚΛΗΡΟΣ ΣΙΤΟΣ</v>
          </cell>
          <cell r="X166" t="str">
            <v>7876</v>
          </cell>
        </row>
        <row r="167">
          <cell r="U167">
            <v>17878</v>
          </cell>
          <cell r="V167" t="str">
            <v>1</v>
          </cell>
          <cell r="W167" t="str">
            <v>ΣΚΛΗΡΟΣ ΣΙΤΟΣ</v>
          </cell>
          <cell r="X167" t="str">
            <v>7878</v>
          </cell>
        </row>
        <row r="168">
          <cell r="U168">
            <v>17879</v>
          </cell>
          <cell r="V168" t="str">
            <v>1</v>
          </cell>
          <cell r="W168" t="str">
            <v>ΣΚΛΗΡΟΣ ΣΙΤΟΣ</v>
          </cell>
          <cell r="X168" t="str">
            <v>7879</v>
          </cell>
        </row>
        <row r="169">
          <cell r="U169">
            <v>17880</v>
          </cell>
          <cell r="V169" t="str">
            <v>1</v>
          </cell>
          <cell r="W169" t="str">
            <v>ΣΚΛΗΡΟΣ ΣΙΤΟΣ</v>
          </cell>
          <cell r="X169" t="str">
            <v>7880</v>
          </cell>
        </row>
        <row r="170">
          <cell r="U170">
            <v>17881</v>
          </cell>
          <cell r="V170" t="str">
            <v>1</v>
          </cell>
          <cell r="W170" t="str">
            <v>ΣΚΛΗΡΟΣ ΣΙΤΟΣ</v>
          </cell>
          <cell r="X170" t="str">
            <v>7881</v>
          </cell>
        </row>
        <row r="171">
          <cell r="U171">
            <v>17882</v>
          </cell>
          <cell r="V171" t="str">
            <v>1</v>
          </cell>
          <cell r="W171" t="str">
            <v>ΣΚΛΗΡΟΣ ΣΙΤΟΣ</v>
          </cell>
          <cell r="X171" t="str">
            <v>7882</v>
          </cell>
        </row>
        <row r="172">
          <cell r="U172">
            <v>17884</v>
          </cell>
          <cell r="V172" t="str">
            <v>1</v>
          </cell>
          <cell r="W172" t="str">
            <v>ΣΚΛΗΡΟΣ ΣΙΤΟΣ</v>
          </cell>
          <cell r="X172" t="str">
            <v>7884</v>
          </cell>
        </row>
        <row r="173">
          <cell r="U173">
            <v>17885</v>
          </cell>
          <cell r="V173" t="str">
            <v>1</v>
          </cell>
          <cell r="W173" t="str">
            <v>ΣΚΛΗΡΟΣ ΣΙΤΟΣ</v>
          </cell>
          <cell r="X173" t="str">
            <v>7885</v>
          </cell>
        </row>
        <row r="174">
          <cell r="U174">
            <v>17886</v>
          </cell>
          <cell r="V174" t="str">
            <v>1</v>
          </cell>
          <cell r="W174" t="str">
            <v>ΣΚΛΗΡΟΣ ΣΙΤΟΣ</v>
          </cell>
          <cell r="X174" t="str">
            <v>7886</v>
          </cell>
        </row>
        <row r="175">
          <cell r="U175">
            <v>17887</v>
          </cell>
          <cell r="V175" t="str">
            <v>1</v>
          </cell>
          <cell r="W175" t="str">
            <v>ΣΚΛΗΡΟΣ ΣΙΤΟΣ</v>
          </cell>
          <cell r="X175" t="str">
            <v>7887</v>
          </cell>
        </row>
        <row r="176">
          <cell r="U176">
            <v>17888</v>
          </cell>
          <cell r="V176" t="str">
            <v>1</v>
          </cell>
          <cell r="W176" t="str">
            <v>ΣΚΛΗΡΟΣ ΣΙΤΟΣ</v>
          </cell>
          <cell r="X176" t="str">
            <v>7888</v>
          </cell>
        </row>
        <row r="177">
          <cell r="U177">
            <v>17889</v>
          </cell>
          <cell r="V177" t="str">
            <v>1</v>
          </cell>
          <cell r="W177" t="str">
            <v>ΣΚΛΗΡΟΣ ΣΙΤΟΣ</v>
          </cell>
          <cell r="X177" t="str">
            <v>7889</v>
          </cell>
        </row>
        <row r="178">
          <cell r="U178">
            <v>17890</v>
          </cell>
          <cell r="V178" t="str">
            <v>1</v>
          </cell>
          <cell r="W178" t="str">
            <v>ΣΚΛΗΡΟΣ ΣΙΤΟΣ</v>
          </cell>
          <cell r="X178" t="str">
            <v>7890</v>
          </cell>
        </row>
        <row r="179">
          <cell r="U179">
            <v>17891</v>
          </cell>
          <cell r="V179" t="str">
            <v>1</v>
          </cell>
          <cell r="W179" t="str">
            <v>ΣΚΛΗΡΟΣ ΣΙΤΟΣ</v>
          </cell>
          <cell r="X179" t="str">
            <v>7891</v>
          </cell>
        </row>
        <row r="180">
          <cell r="U180">
            <v>17892</v>
          </cell>
          <cell r="V180" t="str">
            <v>1</v>
          </cell>
          <cell r="W180" t="str">
            <v>ΣΚΛΗΡΟΣ ΣΙΤΟΣ</v>
          </cell>
          <cell r="X180" t="str">
            <v>7892</v>
          </cell>
        </row>
        <row r="181">
          <cell r="U181">
            <v>17893</v>
          </cell>
          <cell r="V181" t="str">
            <v>1</v>
          </cell>
          <cell r="W181" t="str">
            <v>ΣΚΛΗΡΟΣ ΣΙΤΟΣ</v>
          </cell>
          <cell r="X181" t="str">
            <v>7893</v>
          </cell>
        </row>
        <row r="182">
          <cell r="U182">
            <v>17894</v>
          </cell>
          <cell r="V182" t="str">
            <v>1</v>
          </cell>
          <cell r="W182" t="str">
            <v>ΣΚΛΗΡΟΣ ΣΙΤΟΣ</v>
          </cell>
          <cell r="X182" t="str">
            <v>7894</v>
          </cell>
        </row>
        <row r="183">
          <cell r="U183">
            <v>17895</v>
          </cell>
          <cell r="V183" t="str">
            <v>1</v>
          </cell>
          <cell r="W183" t="str">
            <v>ΣΚΛΗΡΟΣ ΣΙΤΟΣ</v>
          </cell>
          <cell r="X183" t="str">
            <v>7895</v>
          </cell>
        </row>
        <row r="184">
          <cell r="U184">
            <v>17896</v>
          </cell>
          <cell r="V184" t="str">
            <v>1</v>
          </cell>
          <cell r="W184" t="str">
            <v>ΣΚΛΗΡΟΣ ΣΙΤΟΣ</v>
          </cell>
          <cell r="X184" t="str">
            <v>7896</v>
          </cell>
        </row>
        <row r="185">
          <cell r="U185">
            <v>17897</v>
          </cell>
          <cell r="V185" t="str">
            <v>1</v>
          </cell>
          <cell r="W185" t="str">
            <v>ΣΚΛΗΡΟΣ ΣΙΤΟΣ</v>
          </cell>
          <cell r="X185" t="str">
            <v>7897</v>
          </cell>
        </row>
        <row r="186">
          <cell r="U186">
            <v>17898</v>
          </cell>
          <cell r="V186" t="str">
            <v>1</v>
          </cell>
          <cell r="W186" t="str">
            <v>ΣΚΛΗΡΟΣ ΣΙΤΟΣ</v>
          </cell>
          <cell r="X186" t="str">
            <v>7898</v>
          </cell>
        </row>
        <row r="187">
          <cell r="U187">
            <v>17901</v>
          </cell>
          <cell r="V187" t="str">
            <v>1</v>
          </cell>
          <cell r="W187" t="str">
            <v>ΣΚΛΗΡΟΣ ΣΙΤΟΣ</v>
          </cell>
          <cell r="X187" t="str">
            <v>7901</v>
          </cell>
        </row>
        <row r="188">
          <cell r="U188">
            <v>17906</v>
          </cell>
          <cell r="V188" t="str">
            <v>1</v>
          </cell>
          <cell r="W188" t="str">
            <v>ΣΚΛΗΡΟΣ ΣΙΤΟΣ</v>
          </cell>
          <cell r="X188" t="str">
            <v>7906</v>
          </cell>
        </row>
        <row r="189">
          <cell r="U189">
            <v>17907</v>
          </cell>
          <cell r="V189" t="str">
            <v>1</v>
          </cell>
          <cell r="W189" t="str">
            <v>ΣΚΛΗΡΟΣ ΣΙΤΟΣ</v>
          </cell>
          <cell r="X189" t="str">
            <v>7907</v>
          </cell>
        </row>
        <row r="190">
          <cell r="U190">
            <v>17908</v>
          </cell>
          <cell r="V190" t="str">
            <v>1</v>
          </cell>
          <cell r="W190" t="str">
            <v>ΣΚΛΗΡΟΣ ΣΙΤΟΣ</v>
          </cell>
          <cell r="X190" t="str">
            <v>7908</v>
          </cell>
        </row>
        <row r="191">
          <cell r="U191">
            <v>17909</v>
          </cell>
          <cell r="V191" t="str">
            <v>1</v>
          </cell>
          <cell r="W191" t="str">
            <v>ΣΚΛΗΡΟΣ ΣΙΤΟΣ</v>
          </cell>
          <cell r="X191" t="str">
            <v>7909</v>
          </cell>
        </row>
        <row r="192">
          <cell r="U192">
            <v>17910</v>
          </cell>
          <cell r="V192" t="str">
            <v>1</v>
          </cell>
          <cell r="W192" t="str">
            <v>ΣΚΛΗΡΟΣ ΣΙΤΟΣ</v>
          </cell>
          <cell r="X192" t="str">
            <v>7910</v>
          </cell>
        </row>
        <row r="193">
          <cell r="U193">
            <v>17911</v>
          </cell>
          <cell r="V193" t="str">
            <v>1</v>
          </cell>
          <cell r="W193" t="str">
            <v>ΣΚΛΗΡΟΣ ΣΙΤΟΣ</v>
          </cell>
          <cell r="X193" t="str">
            <v>7911</v>
          </cell>
        </row>
        <row r="194">
          <cell r="U194">
            <v>17912</v>
          </cell>
          <cell r="V194" t="str">
            <v>1</v>
          </cell>
          <cell r="W194" t="str">
            <v>ΣΚΛΗΡΟΣ ΣΙΤΟΣ</v>
          </cell>
          <cell r="X194" t="str">
            <v>7912</v>
          </cell>
        </row>
        <row r="195">
          <cell r="U195">
            <v>17913</v>
          </cell>
          <cell r="V195" t="str">
            <v>1</v>
          </cell>
          <cell r="W195" t="str">
            <v>ΣΚΛΗΡΟΣ ΣΙΤΟΣ</v>
          </cell>
          <cell r="X195" t="str">
            <v>7913</v>
          </cell>
        </row>
        <row r="196">
          <cell r="U196">
            <v>17914</v>
          </cell>
          <cell r="V196" t="str">
            <v>1</v>
          </cell>
          <cell r="W196" t="str">
            <v>ΣΚΛΗΡΟΣ ΣΙΤΟΣ</v>
          </cell>
          <cell r="X196" t="str">
            <v>7914</v>
          </cell>
        </row>
        <row r="197">
          <cell r="U197">
            <v>17915</v>
          </cell>
          <cell r="V197" t="str">
            <v>1</v>
          </cell>
          <cell r="W197" t="str">
            <v>ΣΚΛΗΡΟΣ ΣΙΤΟΣ</v>
          </cell>
          <cell r="X197" t="str">
            <v>7915</v>
          </cell>
        </row>
        <row r="198">
          <cell r="U198">
            <v>17916</v>
          </cell>
          <cell r="V198" t="str">
            <v>1</v>
          </cell>
          <cell r="W198" t="str">
            <v>ΣΚΛΗΡΟΣ ΣΙΤΟΣ</v>
          </cell>
          <cell r="X198" t="str">
            <v>7916</v>
          </cell>
        </row>
        <row r="199">
          <cell r="U199">
            <v>17918</v>
          </cell>
          <cell r="V199" t="str">
            <v>1</v>
          </cell>
          <cell r="W199" t="str">
            <v>ΣΚΛΗΡΟΣ ΣΙΤΟΣ</v>
          </cell>
          <cell r="X199" t="str">
            <v>7918</v>
          </cell>
        </row>
        <row r="200">
          <cell r="U200">
            <v>17921</v>
          </cell>
          <cell r="V200" t="str">
            <v>1</v>
          </cell>
          <cell r="W200" t="str">
            <v>ΣΚΛΗΡΟΣ ΣΙΤΟΣ</v>
          </cell>
          <cell r="X200" t="str">
            <v>7921</v>
          </cell>
        </row>
        <row r="201">
          <cell r="U201">
            <v>17922</v>
          </cell>
          <cell r="V201" t="str">
            <v>1</v>
          </cell>
          <cell r="W201" t="str">
            <v>ΣΚΛΗΡΟΣ ΣΙΤΟΣ</v>
          </cell>
          <cell r="X201" t="str">
            <v>7922</v>
          </cell>
        </row>
        <row r="202">
          <cell r="U202">
            <v>17923</v>
          </cell>
          <cell r="V202" t="str">
            <v>1</v>
          </cell>
          <cell r="W202" t="str">
            <v>ΣΚΛΗΡΟΣ ΣΙΤΟΣ</v>
          </cell>
          <cell r="X202" t="str">
            <v>7923</v>
          </cell>
        </row>
        <row r="203">
          <cell r="U203">
            <v>17924</v>
          </cell>
          <cell r="V203" t="str">
            <v>1</v>
          </cell>
          <cell r="W203" t="str">
            <v>ΣΚΛΗΡΟΣ ΣΙΤΟΣ</v>
          </cell>
          <cell r="X203" t="str">
            <v>7924</v>
          </cell>
        </row>
        <row r="204">
          <cell r="U204">
            <v>17925</v>
          </cell>
          <cell r="V204" t="str">
            <v>1</v>
          </cell>
          <cell r="W204" t="str">
            <v>ΣΚΛΗΡΟΣ ΣΙΤΟΣ</v>
          </cell>
          <cell r="X204" t="str">
            <v>7925</v>
          </cell>
        </row>
        <row r="205">
          <cell r="U205">
            <v>17926</v>
          </cell>
          <cell r="V205" t="str">
            <v>1</v>
          </cell>
          <cell r="W205" t="str">
            <v>ΣΚΛΗΡΟΣ ΣΙΤΟΣ</v>
          </cell>
          <cell r="X205" t="str">
            <v>7926</v>
          </cell>
        </row>
        <row r="206">
          <cell r="U206">
            <v>17927</v>
          </cell>
          <cell r="V206" t="str">
            <v>1</v>
          </cell>
          <cell r="W206" t="str">
            <v>ΣΚΛΗΡΟΣ ΣΙΤΟΣ</v>
          </cell>
          <cell r="X206" t="str">
            <v>7927</v>
          </cell>
        </row>
        <row r="207">
          <cell r="U207">
            <v>17928</v>
          </cell>
          <cell r="V207" t="str">
            <v>1</v>
          </cell>
          <cell r="W207" t="str">
            <v>ΣΚΛΗΡΟΣ ΣΙΤΟΣ</v>
          </cell>
          <cell r="X207" t="str">
            <v>7928</v>
          </cell>
        </row>
        <row r="208">
          <cell r="U208">
            <v>17929</v>
          </cell>
          <cell r="V208" t="str">
            <v>1</v>
          </cell>
          <cell r="W208" t="str">
            <v>ΣΚΛΗΡΟΣ ΣΙΤΟΣ</v>
          </cell>
          <cell r="X208" t="str">
            <v>7929</v>
          </cell>
        </row>
        <row r="209">
          <cell r="U209">
            <v>17930</v>
          </cell>
          <cell r="V209" t="str">
            <v>1</v>
          </cell>
          <cell r="W209" t="str">
            <v>ΣΚΛΗΡΟΣ ΣΙΤΟΣ</v>
          </cell>
          <cell r="X209" t="str">
            <v>7930</v>
          </cell>
        </row>
        <row r="210">
          <cell r="U210">
            <v>17931</v>
          </cell>
          <cell r="V210" t="str">
            <v>1</v>
          </cell>
          <cell r="W210" t="str">
            <v>ΣΚΛΗΡΟΣ ΣΙΤΟΣ</v>
          </cell>
          <cell r="X210" t="str">
            <v>7931</v>
          </cell>
        </row>
        <row r="211">
          <cell r="U211">
            <v>17932</v>
          </cell>
          <cell r="V211" t="str">
            <v>1</v>
          </cell>
          <cell r="W211" t="str">
            <v>ΣΚΛΗΡΟΣ ΣΙΤΟΣ</v>
          </cell>
          <cell r="X211" t="str">
            <v>7932</v>
          </cell>
        </row>
        <row r="212">
          <cell r="U212">
            <v>17933</v>
          </cell>
          <cell r="V212" t="str">
            <v>1</v>
          </cell>
          <cell r="W212" t="str">
            <v>ΣΚΛΗΡΟΣ ΣΙΤΟΣ</v>
          </cell>
          <cell r="X212" t="str">
            <v>7933</v>
          </cell>
        </row>
        <row r="213">
          <cell r="U213">
            <v>17934</v>
          </cell>
          <cell r="V213" t="str">
            <v>1</v>
          </cell>
          <cell r="W213" t="str">
            <v>ΣΚΛΗΡΟΣ ΣΙΤΟΣ</v>
          </cell>
          <cell r="X213" t="str">
            <v>7934</v>
          </cell>
        </row>
        <row r="214">
          <cell r="U214">
            <v>17935</v>
          </cell>
          <cell r="V214" t="str">
            <v>1</v>
          </cell>
          <cell r="W214" t="str">
            <v>ΣΚΛΗΡΟΣ ΣΙΤΟΣ</v>
          </cell>
          <cell r="X214" t="str">
            <v>7935</v>
          </cell>
        </row>
        <row r="215">
          <cell r="U215">
            <v>17936</v>
          </cell>
          <cell r="V215" t="str">
            <v>1</v>
          </cell>
          <cell r="W215" t="str">
            <v>ΣΚΛΗΡΟΣ ΣΙΤΟΣ</v>
          </cell>
          <cell r="X215" t="str">
            <v>7936</v>
          </cell>
        </row>
        <row r="216">
          <cell r="U216">
            <v>17937</v>
          </cell>
          <cell r="V216" t="str">
            <v>1</v>
          </cell>
          <cell r="W216" t="str">
            <v>ΣΚΛΗΡΟΣ ΣΙΤΟΣ</v>
          </cell>
          <cell r="X216" t="str">
            <v>7937</v>
          </cell>
        </row>
        <row r="217">
          <cell r="U217">
            <v>17938</v>
          </cell>
          <cell r="V217" t="str">
            <v>1</v>
          </cell>
          <cell r="W217" t="str">
            <v>ΣΚΛΗΡΟΣ ΣΙΤΟΣ</v>
          </cell>
          <cell r="X217" t="str">
            <v>7938</v>
          </cell>
        </row>
        <row r="218">
          <cell r="U218">
            <v>17939</v>
          </cell>
          <cell r="V218" t="str">
            <v>1</v>
          </cell>
          <cell r="W218" t="str">
            <v>ΣΚΛΗΡΟΣ ΣΙΤΟΣ</v>
          </cell>
          <cell r="X218" t="str">
            <v>7939</v>
          </cell>
        </row>
        <row r="219">
          <cell r="U219">
            <v>17940</v>
          </cell>
          <cell r="V219" t="str">
            <v>1</v>
          </cell>
          <cell r="W219" t="str">
            <v>ΣΚΛΗΡΟΣ ΣΙΤΟΣ</v>
          </cell>
          <cell r="X219" t="str">
            <v>7940</v>
          </cell>
        </row>
        <row r="220">
          <cell r="U220">
            <v>17941</v>
          </cell>
          <cell r="V220" t="str">
            <v>1</v>
          </cell>
          <cell r="W220" t="str">
            <v>ΣΚΛΗΡΟΣ ΣΙΤΟΣ</v>
          </cell>
          <cell r="X220" t="str">
            <v>7941</v>
          </cell>
        </row>
        <row r="221">
          <cell r="U221">
            <v>17942</v>
          </cell>
          <cell r="V221" t="str">
            <v>1</v>
          </cell>
          <cell r="W221" t="str">
            <v>ΣΚΛΗΡΟΣ ΣΙΤΟΣ</v>
          </cell>
          <cell r="X221" t="str">
            <v>7942</v>
          </cell>
        </row>
        <row r="222">
          <cell r="U222">
            <v>17944</v>
          </cell>
          <cell r="V222" t="str">
            <v>1</v>
          </cell>
          <cell r="W222" t="str">
            <v>ΣΚΛΗΡΟΣ ΣΙΤΟΣ</v>
          </cell>
          <cell r="X222" t="str">
            <v>7944</v>
          </cell>
        </row>
        <row r="223">
          <cell r="U223">
            <v>17945</v>
          </cell>
          <cell r="V223" t="str">
            <v>1</v>
          </cell>
          <cell r="W223" t="str">
            <v>ΣΚΛΗΡΟΣ ΣΙΤΟΣ</v>
          </cell>
          <cell r="X223" t="str">
            <v>7945</v>
          </cell>
        </row>
        <row r="224">
          <cell r="U224">
            <v>17946</v>
          </cell>
          <cell r="V224" t="str">
            <v>1</v>
          </cell>
          <cell r="W224" t="str">
            <v>ΣΚΛΗΡΟΣ ΣΙΤΟΣ</v>
          </cell>
          <cell r="X224" t="str">
            <v>7946</v>
          </cell>
        </row>
        <row r="225">
          <cell r="U225">
            <v>17947</v>
          </cell>
          <cell r="V225" t="str">
            <v>1</v>
          </cell>
          <cell r="W225" t="str">
            <v>ΣΚΛΗΡΟΣ ΣΙΤΟΣ</v>
          </cell>
          <cell r="X225" t="str">
            <v>7947</v>
          </cell>
        </row>
        <row r="226">
          <cell r="U226">
            <v>17948</v>
          </cell>
          <cell r="V226" t="str">
            <v>1</v>
          </cell>
          <cell r="W226" t="str">
            <v>ΣΚΛΗΡΟΣ ΣΙΤΟΣ</v>
          </cell>
          <cell r="X226" t="str">
            <v>7948</v>
          </cell>
        </row>
        <row r="227">
          <cell r="U227">
            <v>17949</v>
          </cell>
          <cell r="V227" t="str">
            <v>1</v>
          </cell>
          <cell r="W227" t="str">
            <v>ΣΚΛΗΡΟΣ ΣΙΤΟΣ</v>
          </cell>
          <cell r="X227" t="str">
            <v>7949</v>
          </cell>
        </row>
        <row r="228">
          <cell r="U228">
            <v>17950</v>
          </cell>
          <cell r="V228" t="str">
            <v>1</v>
          </cell>
          <cell r="W228" t="str">
            <v>ΣΚΛΗΡΟΣ ΣΙΤΟΣ</v>
          </cell>
          <cell r="X228" t="str">
            <v>7950</v>
          </cell>
        </row>
        <row r="229">
          <cell r="U229">
            <v>17951</v>
          </cell>
          <cell r="V229" t="str">
            <v>1</v>
          </cell>
          <cell r="W229" t="str">
            <v>ΣΚΛΗΡΟΣ ΣΙΤΟΣ</v>
          </cell>
          <cell r="X229" t="str">
            <v>7951</v>
          </cell>
        </row>
        <row r="230">
          <cell r="U230">
            <v>17952</v>
          </cell>
          <cell r="V230" t="str">
            <v>1</v>
          </cell>
          <cell r="W230" t="str">
            <v>ΣΚΛΗΡΟΣ ΣΙΤΟΣ</v>
          </cell>
          <cell r="X230" t="str">
            <v>7952</v>
          </cell>
        </row>
        <row r="231">
          <cell r="U231">
            <v>17953</v>
          </cell>
          <cell r="V231" t="str">
            <v>1</v>
          </cell>
          <cell r="W231" t="str">
            <v>ΣΚΛΗΡΟΣ ΣΙΤΟΣ</v>
          </cell>
          <cell r="X231" t="str">
            <v>7953</v>
          </cell>
        </row>
        <row r="232">
          <cell r="U232">
            <v>17954</v>
          </cell>
          <cell r="V232" t="str">
            <v>1</v>
          </cell>
          <cell r="W232" t="str">
            <v>ΣΚΛΗΡΟΣ ΣΙΤΟΣ</v>
          </cell>
          <cell r="X232" t="str">
            <v>7954</v>
          </cell>
        </row>
        <row r="233">
          <cell r="U233">
            <v>17956</v>
          </cell>
          <cell r="V233" t="str">
            <v>1</v>
          </cell>
          <cell r="W233" t="str">
            <v>ΣΚΛΗΡΟΣ ΣΙΤΟΣ</v>
          </cell>
          <cell r="X233" t="str">
            <v>7956</v>
          </cell>
        </row>
        <row r="234">
          <cell r="U234">
            <v>17957</v>
          </cell>
          <cell r="V234" t="str">
            <v>1</v>
          </cell>
          <cell r="W234" t="str">
            <v>ΣΚΛΗΡΟΣ ΣΙΤΟΣ</v>
          </cell>
          <cell r="X234" t="str">
            <v>7957</v>
          </cell>
        </row>
        <row r="235">
          <cell r="U235">
            <v>17958</v>
          </cell>
          <cell r="V235" t="str">
            <v>1</v>
          </cell>
          <cell r="W235" t="str">
            <v>ΣΚΛΗΡΟΣ ΣΙΤΟΣ</v>
          </cell>
          <cell r="X235" t="str">
            <v>7958</v>
          </cell>
        </row>
        <row r="236">
          <cell r="U236">
            <v>17959</v>
          </cell>
          <cell r="V236" t="str">
            <v>1</v>
          </cell>
          <cell r="W236" t="str">
            <v>ΣΚΛΗΡΟΣ ΣΙΤΟΣ</v>
          </cell>
          <cell r="X236" t="str">
            <v>7959</v>
          </cell>
        </row>
        <row r="237">
          <cell r="U237">
            <v>17960</v>
          </cell>
          <cell r="V237" t="str">
            <v>1</v>
          </cell>
          <cell r="W237" t="str">
            <v>ΣΚΛΗΡΟΣ ΣΙΤΟΣ</v>
          </cell>
          <cell r="X237" t="str">
            <v>7960</v>
          </cell>
        </row>
        <row r="238">
          <cell r="U238">
            <v>17961</v>
          </cell>
          <cell r="V238" t="str">
            <v>1</v>
          </cell>
          <cell r="W238" t="str">
            <v>ΣΚΛΗΡΟΣ ΣΙΤΟΣ</v>
          </cell>
          <cell r="X238" t="str">
            <v>7961</v>
          </cell>
        </row>
        <row r="239">
          <cell r="U239">
            <v>17963</v>
          </cell>
          <cell r="V239" t="str">
            <v>1</v>
          </cell>
          <cell r="W239" t="str">
            <v>ΣΚΛΗΡΟΣ ΣΙΤΟΣ</v>
          </cell>
          <cell r="X239" t="str">
            <v>7963</v>
          </cell>
        </row>
        <row r="240">
          <cell r="U240">
            <v>17964</v>
          </cell>
          <cell r="V240" t="str">
            <v>1</v>
          </cell>
          <cell r="W240" t="str">
            <v>ΣΚΛΗΡΟΣ ΣΙΤΟΣ</v>
          </cell>
          <cell r="X240" t="str">
            <v>7964</v>
          </cell>
        </row>
        <row r="241">
          <cell r="U241">
            <v>17965</v>
          </cell>
          <cell r="V241" t="str">
            <v>1</v>
          </cell>
          <cell r="W241" t="str">
            <v>ΣΚΛΗΡΟΣ ΣΙΤΟΣ</v>
          </cell>
          <cell r="X241" t="str">
            <v>7965</v>
          </cell>
        </row>
        <row r="242">
          <cell r="U242">
            <v>17966</v>
          </cell>
          <cell r="V242" t="str">
            <v>1</v>
          </cell>
          <cell r="W242" t="str">
            <v>ΣΚΛΗΡΟΣ ΣΙΤΟΣ</v>
          </cell>
          <cell r="X242" t="str">
            <v>7966</v>
          </cell>
        </row>
        <row r="243">
          <cell r="U243">
            <v>17967</v>
          </cell>
          <cell r="V243" t="str">
            <v>1</v>
          </cell>
          <cell r="W243" t="str">
            <v>ΣΚΛΗΡΟΣ ΣΙΤΟΣ</v>
          </cell>
          <cell r="X243" t="str">
            <v>7967</v>
          </cell>
        </row>
        <row r="244">
          <cell r="U244">
            <v>17968</v>
          </cell>
          <cell r="V244" t="str">
            <v>1</v>
          </cell>
          <cell r="W244" t="str">
            <v>ΣΚΛΗΡΟΣ ΣΙΤΟΣ</v>
          </cell>
          <cell r="X244" t="str">
            <v>7968</v>
          </cell>
        </row>
        <row r="245">
          <cell r="U245">
            <v>17970</v>
          </cell>
          <cell r="V245" t="str">
            <v>1</v>
          </cell>
          <cell r="W245" t="str">
            <v>ΣΚΛΗΡΟΣ ΣΙΤΟΣ</v>
          </cell>
          <cell r="X245" t="str">
            <v>7970</v>
          </cell>
        </row>
        <row r="246">
          <cell r="U246">
            <v>17971</v>
          </cell>
          <cell r="V246" t="str">
            <v>1</v>
          </cell>
          <cell r="W246" t="str">
            <v>ΣΚΛΗΡΟΣ ΣΙΤΟΣ</v>
          </cell>
          <cell r="X246" t="str">
            <v>7971</v>
          </cell>
        </row>
        <row r="247">
          <cell r="U247">
            <v>17972</v>
          </cell>
          <cell r="V247" t="str">
            <v>1</v>
          </cell>
          <cell r="W247" t="str">
            <v>ΣΚΛΗΡΟΣ ΣΙΤΟΣ</v>
          </cell>
          <cell r="X247" t="str">
            <v>7972</v>
          </cell>
        </row>
        <row r="248">
          <cell r="U248">
            <v>17974</v>
          </cell>
          <cell r="V248" t="str">
            <v>1</v>
          </cell>
          <cell r="W248" t="str">
            <v>ΣΚΛΗΡΟΣ ΣΙΤΟΣ</v>
          </cell>
          <cell r="X248" t="str">
            <v>7974</v>
          </cell>
        </row>
        <row r="249">
          <cell r="U249">
            <v>17977</v>
          </cell>
          <cell r="V249" t="str">
            <v>1</v>
          </cell>
          <cell r="W249" t="str">
            <v>ΣΚΛΗΡΟΣ ΣΙΤΟΣ</v>
          </cell>
          <cell r="X249" t="str">
            <v>7977</v>
          </cell>
        </row>
        <row r="250">
          <cell r="U250">
            <v>17978</v>
          </cell>
          <cell r="V250" t="str">
            <v>1</v>
          </cell>
          <cell r="W250" t="str">
            <v>ΣΚΛΗΡΟΣ ΣΙΤΟΣ</v>
          </cell>
          <cell r="X250" t="str">
            <v>7978</v>
          </cell>
        </row>
        <row r="251">
          <cell r="U251">
            <v>17979</v>
          </cell>
          <cell r="V251" t="str">
            <v>1</v>
          </cell>
          <cell r="W251" t="str">
            <v>ΣΚΛΗΡΟΣ ΣΙΤΟΣ</v>
          </cell>
          <cell r="X251" t="str">
            <v>7979</v>
          </cell>
        </row>
        <row r="252">
          <cell r="U252">
            <v>17980</v>
          </cell>
          <cell r="V252" t="str">
            <v>1</v>
          </cell>
          <cell r="W252" t="str">
            <v>ΣΚΛΗΡΟΣ ΣΙΤΟΣ</v>
          </cell>
          <cell r="X252" t="str">
            <v>7980</v>
          </cell>
        </row>
        <row r="253">
          <cell r="U253">
            <v>17981</v>
          </cell>
          <cell r="V253" t="str">
            <v>1</v>
          </cell>
          <cell r="W253" t="str">
            <v>ΣΚΛΗΡΟΣ ΣΙΤΟΣ</v>
          </cell>
          <cell r="X253" t="str">
            <v>7981</v>
          </cell>
        </row>
        <row r="254">
          <cell r="U254">
            <v>17983</v>
          </cell>
          <cell r="V254" t="str">
            <v>1</v>
          </cell>
          <cell r="W254" t="str">
            <v>ΣΚΛΗΡΟΣ ΣΙΤΟΣ</v>
          </cell>
          <cell r="X254" t="str">
            <v>7983</v>
          </cell>
        </row>
        <row r="255">
          <cell r="U255">
            <v>17984</v>
          </cell>
          <cell r="V255" t="str">
            <v>1</v>
          </cell>
          <cell r="W255" t="str">
            <v>ΣΚΛΗΡΟΣ ΣΙΤΟΣ</v>
          </cell>
          <cell r="X255" t="str">
            <v>7984</v>
          </cell>
        </row>
        <row r="256">
          <cell r="U256">
            <v>17985</v>
          </cell>
          <cell r="V256" t="str">
            <v>1</v>
          </cell>
          <cell r="W256" t="str">
            <v>ΣΚΛΗΡΟΣ ΣΙΤΟΣ</v>
          </cell>
          <cell r="X256" t="str">
            <v>7985</v>
          </cell>
        </row>
        <row r="257">
          <cell r="U257">
            <v>17986</v>
          </cell>
          <cell r="V257" t="str">
            <v>1</v>
          </cell>
          <cell r="W257" t="str">
            <v>ΣΚΛΗΡΟΣ ΣΙΤΟΣ</v>
          </cell>
          <cell r="X257" t="str">
            <v>7986</v>
          </cell>
        </row>
        <row r="258">
          <cell r="U258">
            <v>17987</v>
          </cell>
          <cell r="V258" t="str">
            <v>1</v>
          </cell>
          <cell r="W258" t="str">
            <v>ΣΚΛΗΡΟΣ ΣΙΤΟΣ</v>
          </cell>
          <cell r="X258" t="str">
            <v>7987</v>
          </cell>
        </row>
        <row r="259">
          <cell r="U259">
            <v>17988</v>
          </cell>
          <cell r="V259" t="str">
            <v>1</v>
          </cell>
          <cell r="W259" t="str">
            <v>ΣΚΛΗΡΟΣ ΣΙΤΟΣ</v>
          </cell>
          <cell r="X259" t="str">
            <v>7988</v>
          </cell>
        </row>
        <row r="260">
          <cell r="U260">
            <v>17989</v>
          </cell>
          <cell r="V260" t="str">
            <v>1</v>
          </cell>
          <cell r="W260" t="str">
            <v>ΣΚΛΗΡΟΣ ΣΙΤΟΣ</v>
          </cell>
          <cell r="X260" t="str">
            <v>7989</v>
          </cell>
        </row>
        <row r="261">
          <cell r="U261">
            <v>17990</v>
          </cell>
          <cell r="V261" t="str">
            <v>1</v>
          </cell>
          <cell r="W261" t="str">
            <v>ΣΚΛΗΡΟΣ ΣΙΤΟΣ</v>
          </cell>
          <cell r="X261" t="str">
            <v>7990</v>
          </cell>
        </row>
        <row r="262">
          <cell r="U262">
            <v>17991</v>
          </cell>
          <cell r="V262" t="str">
            <v>1</v>
          </cell>
          <cell r="W262" t="str">
            <v>ΣΚΛΗΡΟΣ ΣΙΤΟΣ</v>
          </cell>
          <cell r="X262" t="str">
            <v>7991</v>
          </cell>
        </row>
        <row r="263">
          <cell r="U263">
            <v>17992</v>
          </cell>
          <cell r="V263" t="str">
            <v>1</v>
          </cell>
          <cell r="W263" t="str">
            <v>ΣΚΛΗΡΟΣ ΣΙΤΟΣ</v>
          </cell>
          <cell r="X263" t="str">
            <v>7992</v>
          </cell>
        </row>
        <row r="264">
          <cell r="U264">
            <v>17993</v>
          </cell>
          <cell r="V264" t="str">
            <v>1</v>
          </cell>
          <cell r="W264" t="str">
            <v>ΣΚΛΗΡΟΣ ΣΙΤΟΣ</v>
          </cell>
          <cell r="X264" t="str">
            <v>7993</v>
          </cell>
        </row>
        <row r="265">
          <cell r="U265">
            <v>17994</v>
          </cell>
          <cell r="V265" t="str">
            <v>1</v>
          </cell>
          <cell r="W265" t="str">
            <v>ΣΚΛΗΡΟΣ ΣΙΤΟΣ</v>
          </cell>
          <cell r="X265" t="str">
            <v>7994</v>
          </cell>
        </row>
        <row r="266">
          <cell r="U266">
            <v>17995</v>
          </cell>
          <cell r="V266" t="str">
            <v>1</v>
          </cell>
          <cell r="W266" t="str">
            <v>ΣΚΛΗΡΟΣ ΣΙΤΟΣ</v>
          </cell>
          <cell r="X266" t="str">
            <v>7995</v>
          </cell>
        </row>
        <row r="267">
          <cell r="U267">
            <v>17996</v>
          </cell>
          <cell r="V267" t="str">
            <v>1</v>
          </cell>
          <cell r="W267" t="str">
            <v>ΣΚΛΗΡΟΣ ΣΙΤΟΣ</v>
          </cell>
          <cell r="X267" t="str">
            <v>7996</v>
          </cell>
        </row>
        <row r="268">
          <cell r="U268">
            <v>17997</v>
          </cell>
          <cell r="V268" t="str">
            <v>1</v>
          </cell>
          <cell r="W268" t="str">
            <v>ΣΚΛΗΡΟΣ ΣΙΤΟΣ</v>
          </cell>
          <cell r="X268" t="str">
            <v>7997</v>
          </cell>
        </row>
        <row r="269">
          <cell r="U269">
            <v>17998</v>
          </cell>
          <cell r="V269" t="str">
            <v>1</v>
          </cell>
          <cell r="W269" t="str">
            <v>ΣΚΛΗΡΟΣ ΣΙΤΟΣ</v>
          </cell>
          <cell r="X269" t="str">
            <v>7998</v>
          </cell>
        </row>
        <row r="270">
          <cell r="U270">
            <v>17999</v>
          </cell>
          <cell r="V270" t="str">
            <v>1</v>
          </cell>
          <cell r="W270" t="str">
            <v>ΣΚΛΗΡΟΣ ΣΙΤΟΣ</v>
          </cell>
          <cell r="X270" t="str">
            <v>7999</v>
          </cell>
        </row>
        <row r="271">
          <cell r="U271">
            <v>19000</v>
          </cell>
          <cell r="V271" t="str">
            <v>1</v>
          </cell>
          <cell r="W271" t="str">
            <v>ΣΚΛΗΡΟΣ ΣΙΤΟΣ</v>
          </cell>
          <cell r="X271" t="str">
            <v>9000</v>
          </cell>
        </row>
        <row r="272">
          <cell r="U272">
            <v>19001</v>
          </cell>
          <cell r="V272" t="str">
            <v>1</v>
          </cell>
          <cell r="W272" t="str">
            <v>ΣΚΛΗΡΟΣ ΣΙΤΟΣ</v>
          </cell>
          <cell r="X272" t="str">
            <v>9001</v>
          </cell>
        </row>
        <row r="273">
          <cell r="U273">
            <v>19002</v>
          </cell>
          <cell r="V273" t="str">
            <v>1</v>
          </cell>
          <cell r="W273" t="str">
            <v>ΣΚΛΗΡΟΣ ΣΙΤΟΣ</v>
          </cell>
          <cell r="X273" t="str">
            <v>9002</v>
          </cell>
        </row>
        <row r="274">
          <cell r="U274">
            <v>19003</v>
          </cell>
          <cell r="V274" t="str">
            <v>1</v>
          </cell>
          <cell r="W274" t="str">
            <v>ΣΚΛΗΡΟΣ ΣΙΤΟΣ</v>
          </cell>
          <cell r="X274" t="str">
            <v>9003</v>
          </cell>
        </row>
        <row r="275">
          <cell r="U275">
            <v>19004</v>
          </cell>
          <cell r="V275" t="str">
            <v>1</v>
          </cell>
          <cell r="W275" t="str">
            <v>ΣΚΛΗΡΟΣ ΣΙΤΟΣ</v>
          </cell>
          <cell r="X275" t="str">
            <v>9004</v>
          </cell>
        </row>
        <row r="276">
          <cell r="U276">
            <v>19005</v>
          </cell>
          <cell r="V276" t="str">
            <v>1</v>
          </cell>
          <cell r="W276" t="str">
            <v>ΣΚΛΗΡΟΣ ΣΙΤΟΣ</v>
          </cell>
          <cell r="X276" t="str">
            <v>9005</v>
          </cell>
        </row>
        <row r="277">
          <cell r="U277">
            <v>19006</v>
          </cell>
          <cell r="V277" t="str">
            <v>1</v>
          </cell>
          <cell r="W277" t="str">
            <v>ΣΚΛΗΡΟΣ ΣΙΤΟΣ</v>
          </cell>
          <cell r="X277" t="str">
            <v>9006</v>
          </cell>
        </row>
        <row r="278">
          <cell r="U278">
            <v>19007</v>
          </cell>
          <cell r="V278" t="str">
            <v>1</v>
          </cell>
          <cell r="W278" t="str">
            <v>ΣΚΛΗΡΟΣ ΣΙΤΟΣ</v>
          </cell>
          <cell r="X278" t="str">
            <v>9007</v>
          </cell>
        </row>
        <row r="279">
          <cell r="U279">
            <v>19008</v>
          </cell>
          <cell r="V279" t="str">
            <v>1</v>
          </cell>
          <cell r="W279" t="str">
            <v>ΣΚΛΗΡΟΣ ΣΙΤΟΣ</v>
          </cell>
          <cell r="X279" t="str">
            <v>9008</v>
          </cell>
        </row>
        <row r="280">
          <cell r="U280">
            <v>19009</v>
          </cell>
          <cell r="V280" t="str">
            <v>1</v>
          </cell>
          <cell r="W280" t="str">
            <v>ΣΚΛΗΡΟΣ ΣΙΤΟΣ</v>
          </cell>
          <cell r="X280" t="str">
            <v>9009</v>
          </cell>
        </row>
        <row r="281">
          <cell r="U281">
            <v>19010</v>
          </cell>
          <cell r="V281" t="str">
            <v>1</v>
          </cell>
          <cell r="W281" t="str">
            <v>ΣΚΛΗΡΟΣ ΣΙΤΟΣ</v>
          </cell>
          <cell r="X281" t="str">
            <v>9010</v>
          </cell>
        </row>
        <row r="282">
          <cell r="U282">
            <v>19011</v>
          </cell>
          <cell r="V282" t="str">
            <v>1</v>
          </cell>
          <cell r="W282" t="str">
            <v>ΣΚΛΗΡΟΣ ΣΙΤΟΣ</v>
          </cell>
          <cell r="X282" t="str">
            <v>9011</v>
          </cell>
        </row>
        <row r="283">
          <cell r="U283">
            <v>19012</v>
          </cell>
          <cell r="V283" t="str">
            <v>1</v>
          </cell>
          <cell r="W283" t="str">
            <v>ΣΚΛΗΡΟΣ ΣΙΤΟΣ</v>
          </cell>
          <cell r="X283" t="str">
            <v>9012</v>
          </cell>
        </row>
        <row r="284">
          <cell r="U284">
            <v>19013</v>
          </cell>
          <cell r="V284" t="str">
            <v>1</v>
          </cell>
          <cell r="W284" t="str">
            <v>ΣΚΛΗΡΟΣ ΣΙΤΟΣ</v>
          </cell>
          <cell r="X284" t="str">
            <v>9013</v>
          </cell>
        </row>
        <row r="285">
          <cell r="U285">
            <v>19014</v>
          </cell>
          <cell r="V285" t="str">
            <v>1</v>
          </cell>
          <cell r="W285" t="str">
            <v>ΣΚΛΗΡΟΣ ΣΙΤΟΣ</v>
          </cell>
          <cell r="X285" t="str">
            <v>9014</v>
          </cell>
        </row>
        <row r="286">
          <cell r="U286">
            <v>19015</v>
          </cell>
          <cell r="V286" t="str">
            <v>1</v>
          </cell>
          <cell r="W286" t="str">
            <v>ΣΚΛΗΡΟΣ ΣΙΤΟΣ</v>
          </cell>
          <cell r="X286" t="str">
            <v>9015</v>
          </cell>
        </row>
        <row r="287">
          <cell r="U287">
            <v>19016</v>
          </cell>
          <cell r="V287" t="str">
            <v>1</v>
          </cell>
          <cell r="W287" t="str">
            <v>ΣΚΛΗΡΟΣ ΣΙΤΟΣ</v>
          </cell>
          <cell r="X287" t="str">
            <v>9016</v>
          </cell>
        </row>
        <row r="288">
          <cell r="U288">
            <v>19017</v>
          </cell>
          <cell r="V288" t="str">
            <v>1</v>
          </cell>
          <cell r="W288" t="str">
            <v>ΣΚΛΗΡΟΣ ΣΙΤΟΣ</v>
          </cell>
          <cell r="X288" t="str">
            <v>9017</v>
          </cell>
        </row>
        <row r="289">
          <cell r="U289">
            <v>19019</v>
          </cell>
          <cell r="V289" t="str">
            <v>1</v>
          </cell>
          <cell r="W289" t="str">
            <v>ΣΚΛΗΡΟΣ ΣΙΤΟΣ</v>
          </cell>
          <cell r="X289" t="str">
            <v>9019</v>
          </cell>
        </row>
        <row r="290">
          <cell r="U290">
            <v>19020</v>
          </cell>
          <cell r="V290" t="str">
            <v>1</v>
          </cell>
          <cell r="W290" t="str">
            <v>ΣΚΛΗΡΟΣ ΣΙΤΟΣ</v>
          </cell>
          <cell r="X290" t="str">
            <v>9020</v>
          </cell>
        </row>
        <row r="291">
          <cell r="U291">
            <v>19021</v>
          </cell>
          <cell r="V291" t="str">
            <v>1</v>
          </cell>
          <cell r="W291" t="str">
            <v>ΣΚΛΗΡΟΣ ΣΙΤΟΣ</v>
          </cell>
          <cell r="X291" t="str">
            <v>9021</v>
          </cell>
        </row>
        <row r="292">
          <cell r="U292">
            <v>19022</v>
          </cell>
          <cell r="V292" t="str">
            <v>1</v>
          </cell>
          <cell r="W292" t="str">
            <v>ΣΚΛΗΡΟΣ ΣΙΤΟΣ</v>
          </cell>
          <cell r="X292" t="str">
            <v>9022</v>
          </cell>
        </row>
        <row r="293">
          <cell r="U293">
            <v>19023</v>
          </cell>
          <cell r="V293" t="str">
            <v>1</v>
          </cell>
          <cell r="W293" t="str">
            <v>ΣΚΛΗΡΟΣ ΣΙΤΟΣ</v>
          </cell>
          <cell r="X293" t="str">
            <v>9023</v>
          </cell>
        </row>
        <row r="294">
          <cell r="U294">
            <v>19024</v>
          </cell>
          <cell r="V294" t="str">
            <v>1</v>
          </cell>
          <cell r="W294" t="str">
            <v>ΣΚΛΗΡΟΣ ΣΙΤΟΣ</v>
          </cell>
          <cell r="X294" t="str">
            <v>9024</v>
          </cell>
        </row>
        <row r="295">
          <cell r="U295">
            <v>19025</v>
          </cell>
          <cell r="V295" t="str">
            <v>1</v>
          </cell>
          <cell r="W295" t="str">
            <v>ΣΚΛΗΡΟΣ ΣΙΤΟΣ</v>
          </cell>
          <cell r="X295" t="str">
            <v>9025</v>
          </cell>
        </row>
        <row r="296">
          <cell r="U296">
            <v>19026</v>
          </cell>
          <cell r="V296" t="str">
            <v>1</v>
          </cell>
          <cell r="W296" t="str">
            <v>ΣΚΛΗΡΟΣ ΣΙΤΟΣ</v>
          </cell>
          <cell r="X296" t="str">
            <v>9026</v>
          </cell>
        </row>
        <row r="297">
          <cell r="U297">
            <v>19027</v>
          </cell>
          <cell r="V297" t="str">
            <v>1</v>
          </cell>
          <cell r="W297" t="str">
            <v>ΣΚΛΗΡΟΣ ΣΙΤΟΣ</v>
          </cell>
          <cell r="X297" t="str">
            <v>9027</v>
          </cell>
        </row>
        <row r="298">
          <cell r="U298">
            <v>19028</v>
          </cell>
          <cell r="V298" t="str">
            <v>1</v>
          </cell>
          <cell r="W298" t="str">
            <v>ΣΚΛΗΡΟΣ ΣΙΤΟΣ</v>
          </cell>
          <cell r="X298" t="str">
            <v>9028</v>
          </cell>
        </row>
        <row r="299">
          <cell r="U299">
            <v>19029</v>
          </cell>
          <cell r="V299" t="str">
            <v>1</v>
          </cell>
          <cell r="W299" t="str">
            <v>ΣΚΛΗΡΟΣ ΣΙΤΟΣ</v>
          </cell>
          <cell r="X299" t="str">
            <v>9029</v>
          </cell>
        </row>
        <row r="300">
          <cell r="U300">
            <v>19030</v>
          </cell>
          <cell r="V300" t="str">
            <v>1</v>
          </cell>
          <cell r="W300" t="str">
            <v>ΣΚΛΗΡΟΣ ΣΙΤΟΣ</v>
          </cell>
          <cell r="X300" t="str">
            <v>9030</v>
          </cell>
        </row>
        <row r="301">
          <cell r="U301">
            <v>19031</v>
          </cell>
          <cell r="V301" t="str">
            <v>1</v>
          </cell>
          <cell r="W301" t="str">
            <v>ΣΚΛΗΡΟΣ ΣΙΤΟΣ</v>
          </cell>
          <cell r="X301" t="str">
            <v>9031</v>
          </cell>
        </row>
        <row r="302">
          <cell r="U302">
            <v>19032</v>
          </cell>
          <cell r="V302" t="str">
            <v>1</v>
          </cell>
          <cell r="W302" t="str">
            <v>ΣΚΛΗΡΟΣ ΣΙΤΟΣ</v>
          </cell>
          <cell r="X302" t="str">
            <v>9032</v>
          </cell>
        </row>
        <row r="303">
          <cell r="U303">
            <v>19033</v>
          </cell>
          <cell r="V303" t="str">
            <v>1</v>
          </cell>
          <cell r="W303" t="str">
            <v>ΣΚΛΗΡΟΣ ΣΙΤΟΣ</v>
          </cell>
          <cell r="X303" t="str">
            <v>9033</v>
          </cell>
        </row>
        <row r="304">
          <cell r="U304">
            <v>19034</v>
          </cell>
          <cell r="V304" t="str">
            <v>1</v>
          </cell>
          <cell r="W304" t="str">
            <v>ΣΚΛΗΡΟΣ ΣΙΤΟΣ</v>
          </cell>
          <cell r="X304" t="str">
            <v>9034</v>
          </cell>
        </row>
        <row r="305">
          <cell r="U305">
            <v>19035</v>
          </cell>
          <cell r="V305" t="str">
            <v>1</v>
          </cell>
          <cell r="W305" t="str">
            <v>ΣΚΛΗΡΟΣ ΣΙΤΟΣ</v>
          </cell>
          <cell r="X305" t="str">
            <v>9035</v>
          </cell>
        </row>
        <row r="306">
          <cell r="U306">
            <v>19036</v>
          </cell>
          <cell r="V306" t="str">
            <v>1</v>
          </cell>
          <cell r="W306" t="str">
            <v>ΣΚΛΗΡΟΣ ΣΙΤΟΣ</v>
          </cell>
          <cell r="X306" t="str">
            <v>9036</v>
          </cell>
        </row>
        <row r="307">
          <cell r="U307">
            <v>19037</v>
          </cell>
          <cell r="V307" t="str">
            <v>1</v>
          </cell>
          <cell r="W307" t="str">
            <v>ΣΚΛΗΡΟΣ ΣΙΤΟΣ</v>
          </cell>
          <cell r="X307" t="str">
            <v>9037</v>
          </cell>
        </row>
        <row r="308">
          <cell r="U308">
            <v>19038</v>
          </cell>
          <cell r="V308" t="str">
            <v>1</v>
          </cell>
          <cell r="W308" t="str">
            <v>ΣΚΛΗΡΟΣ ΣΙΤΟΣ</v>
          </cell>
          <cell r="X308" t="str">
            <v>9038</v>
          </cell>
        </row>
        <row r="309">
          <cell r="U309">
            <v>19039</v>
          </cell>
          <cell r="V309" t="str">
            <v>1</v>
          </cell>
          <cell r="W309" t="str">
            <v>ΣΚΛΗΡΟΣ ΣΙΤΟΣ</v>
          </cell>
          <cell r="X309" t="str">
            <v>9039</v>
          </cell>
        </row>
        <row r="310">
          <cell r="U310">
            <v>19040</v>
          </cell>
          <cell r="V310" t="str">
            <v>1</v>
          </cell>
          <cell r="W310" t="str">
            <v>ΣΚΛΗΡΟΣ ΣΙΤΟΣ</v>
          </cell>
          <cell r="X310" t="str">
            <v>9040</v>
          </cell>
        </row>
        <row r="311">
          <cell r="U311">
            <v>19041</v>
          </cell>
          <cell r="V311" t="str">
            <v>1</v>
          </cell>
          <cell r="W311" t="str">
            <v>ΣΚΛΗΡΟΣ ΣΙΤΟΣ</v>
          </cell>
          <cell r="X311" t="str">
            <v>9041</v>
          </cell>
        </row>
        <row r="312">
          <cell r="U312">
            <v>19042</v>
          </cell>
          <cell r="V312" t="str">
            <v>1</v>
          </cell>
          <cell r="W312" t="str">
            <v>ΣΚΛΗΡΟΣ ΣΙΤΟΣ</v>
          </cell>
          <cell r="X312" t="str">
            <v>9042</v>
          </cell>
        </row>
        <row r="313">
          <cell r="U313">
            <v>19043</v>
          </cell>
          <cell r="V313" t="str">
            <v>1</v>
          </cell>
          <cell r="W313" t="str">
            <v>ΣΚΛΗΡΟΣ ΣΙΤΟΣ</v>
          </cell>
          <cell r="X313" t="str">
            <v>9043</v>
          </cell>
        </row>
        <row r="314">
          <cell r="U314">
            <v>19044</v>
          </cell>
          <cell r="V314" t="str">
            <v>1</v>
          </cell>
          <cell r="W314" t="str">
            <v>ΣΚΛΗΡΟΣ ΣΙΤΟΣ</v>
          </cell>
          <cell r="X314" t="str">
            <v>9044</v>
          </cell>
        </row>
        <row r="315">
          <cell r="U315">
            <v>19045</v>
          </cell>
          <cell r="V315" t="str">
            <v>1</v>
          </cell>
          <cell r="W315" t="str">
            <v>ΣΚΛΗΡΟΣ ΣΙΤΟΣ</v>
          </cell>
          <cell r="X315" t="str">
            <v>9045</v>
          </cell>
        </row>
        <row r="316">
          <cell r="U316">
            <v>19046</v>
          </cell>
          <cell r="V316" t="str">
            <v>1</v>
          </cell>
          <cell r="W316" t="str">
            <v>ΣΚΛΗΡΟΣ ΣΙΤΟΣ</v>
          </cell>
          <cell r="X316" t="str">
            <v>9046</v>
          </cell>
        </row>
        <row r="317">
          <cell r="U317">
            <v>19047</v>
          </cell>
          <cell r="V317" t="str">
            <v>1</v>
          </cell>
          <cell r="W317" t="str">
            <v>ΣΚΛΗΡΟΣ ΣΙΤΟΣ</v>
          </cell>
          <cell r="X317" t="str">
            <v>9047</v>
          </cell>
        </row>
        <row r="318">
          <cell r="U318">
            <v>19048</v>
          </cell>
          <cell r="V318" t="str">
            <v>1</v>
          </cell>
          <cell r="W318" t="str">
            <v>ΣΚΛΗΡΟΣ ΣΙΤΟΣ</v>
          </cell>
          <cell r="X318" t="str">
            <v>9048</v>
          </cell>
        </row>
        <row r="319">
          <cell r="U319">
            <v>19049</v>
          </cell>
          <cell r="V319" t="str">
            <v>1</v>
          </cell>
          <cell r="W319" t="str">
            <v>ΣΚΛΗΡΟΣ ΣΙΤΟΣ</v>
          </cell>
          <cell r="X319" t="str">
            <v>9049</v>
          </cell>
        </row>
        <row r="320">
          <cell r="U320">
            <v>19050</v>
          </cell>
          <cell r="V320" t="str">
            <v>1</v>
          </cell>
          <cell r="W320" t="str">
            <v>ΣΚΛΗΡΟΣ ΣΙΤΟΣ</v>
          </cell>
          <cell r="X320" t="str">
            <v>9050</v>
          </cell>
        </row>
        <row r="321">
          <cell r="U321">
            <v>19051</v>
          </cell>
          <cell r="V321" t="str">
            <v>1</v>
          </cell>
          <cell r="W321" t="str">
            <v>ΣΚΛΗΡΟΣ ΣΙΤΟΣ</v>
          </cell>
          <cell r="X321" t="str">
            <v>9051</v>
          </cell>
        </row>
        <row r="322">
          <cell r="U322">
            <v>19052</v>
          </cell>
          <cell r="V322" t="str">
            <v>1</v>
          </cell>
          <cell r="W322" t="str">
            <v>ΣΚΛΗΡΟΣ ΣΙΤΟΣ</v>
          </cell>
          <cell r="X322" t="str">
            <v>9052</v>
          </cell>
        </row>
        <row r="323">
          <cell r="U323">
            <v>19053</v>
          </cell>
          <cell r="V323" t="str">
            <v>1</v>
          </cell>
          <cell r="W323" t="str">
            <v>ΣΚΛΗΡΟΣ ΣΙΤΟΣ</v>
          </cell>
          <cell r="X323" t="str">
            <v>9053</v>
          </cell>
        </row>
        <row r="324">
          <cell r="U324">
            <v>19054</v>
          </cell>
          <cell r="V324" t="str">
            <v>1</v>
          </cell>
          <cell r="W324" t="str">
            <v>ΣΚΛΗΡΟΣ ΣΙΤΟΣ</v>
          </cell>
          <cell r="X324" t="str">
            <v>9054</v>
          </cell>
        </row>
        <row r="325">
          <cell r="U325">
            <v>19055</v>
          </cell>
          <cell r="V325" t="str">
            <v>1</v>
          </cell>
          <cell r="W325" t="str">
            <v>ΣΚΛΗΡΟΣ ΣΙΤΟΣ</v>
          </cell>
          <cell r="X325" t="str">
            <v>9055</v>
          </cell>
        </row>
        <row r="326">
          <cell r="U326">
            <v>19056</v>
          </cell>
          <cell r="V326" t="str">
            <v>1</v>
          </cell>
          <cell r="W326" t="str">
            <v>ΣΚΛΗΡΟΣ ΣΙΤΟΣ</v>
          </cell>
          <cell r="X326" t="str">
            <v>9056</v>
          </cell>
        </row>
        <row r="327">
          <cell r="U327">
            <v>19057</v>
          </cell>
          <cell r="V327" t="str">
            <v>1</v>
          </cell>
          <cell r="W327" t="str">
            <v>ΣΚΛΗΡΟΣ ΣΙΤΟΣ</v>
          </cell>
          <cell r="X327" t="str">
            <v>9057</v>
          </cell>
        </row>
        <row r="328">
          <cell r="U328">
            <v>19058</v>
          </cell>
          <cell r="V328" t="str">
            <v>1</v>
          </cell>
          <cell r="W328" t="str">
            <v>ΣΚΛΗΡΟΣ ΣΙΤΟΣ</v>
          </cell>
          <cell r="X328" t="str">
            <v>9058</v>
          </cell>
        </row>
        <row r="329">
          <cell r="U329">
            <v>19059</v>
          </cell>
          <cell r="V329" t="str">
            <v>1</v>
          </cell>
          <cell r="W329" t="str">
            <v>ΣΚΛΗΡΟΣ ΣΙΤΟΣ</v>
          </cell>
          <cell r="X329" t="str">
            <v>9059</v>
          </cell>
        </row>
        <row r="330">
          <cell r="U330">
            <v>19060</v>
          </cell>
          <cell r="V330" t="str">
            <v>1</v>
          </cell>
          <cell r="W330" t="str">
            <v>ΣΚΛΗΡΟΣ ΣΙΤΟΣ</v>
          </cell>
          <cell r="X330" t="str">
            <v>9060</v>
          </cell>
        </row>
        <row r="331">
          <cell r="U331">
            <v>19061</v>
          </cell>
          <cell r="V331" t="str">
            <v>1</v>
          </cell>
          <cell r="W331" t="str">
            <v>ΣΚΛΗΡΟΣ ΣΙΤΟΣ</v>
          </cell>
          <cell r="X331" t="str">
            <v>9061</v>
          </cell>
        </row>
        <row r="332">
          <cell r="U332">
            <v>19062</v>
          </cell>
          <cell r="V332" t="str">
            <v>1</v>
          </cell>
          <cell r="W332" t="str">
            <v>ΣΚΛΗΡΟΣ ΣΙΤΟΣ</v>
          </cell>
          <cell r="X332" t="str">
            <v>9062</v>
          </cell>
        </row>
        <row r="333">
          <cell r="U333">
            <v>19063</v>
          </cell>
          <cell r="V333" t="str">
            <v>1</v>
          </cell>
          <cell r="W333" t="str">
            <v>ΣΚΛΗΡΟΣ ΣΙΤΟΣ</v>
          </cell>
          <cell r="X333" t="str">
            <v>9063</v>
          </cell>
        </row>
        <row r="334">
          <cell r="U334">
            <v>19064</v>
          </cell>
          <cell r="V334" t="str">
            <v>1</v>
          </cell>
          <cell r="W334" t="str">
            <v>ΣΚΛΗΡΟΣ ΣΙΤΟΣ</v>
          </cell>
          <cell r="X334" t="str">
            <v>9064</v>
          </cell>
        </row>
        <row r="335">
          <cell r="U335">
            <v>19065</v>
          </cell>
          <cell r="V335" t="str">
            <v>1</v>
          </cell>
          <cell r="W335" t="str">
            <v>ΣΚΛΗΡΟΣ ΣΙΤΟΣ</v>
          </cell>
          <cell r="X335" t="str">
            <v>9065</v>
          </cell>
        </row>
        <row r="336">
          <cell r="U336">
            <v>19066</v>
          </cell>
          <cell r="V336" t="str">
            <v>1</v>
          </cell>
          <cell r="W336" t="str">
            <v>ΣΚΛΗΡΟΣ ΣΙΤΟΣ</v>
          </cell>
          <cell r="X336" t="str">
            <v>9066</v>
          </cell>
        </row>
        <row r="337">
          <cell r="U337">
            <v>19067</v>
          </cell>
          <cell r="V337" t="str">
            <v>1</v>
          </cell>
          <cell r="W337" t="str">
            <v>ΣΚΛΗΡΟΣ ΣΙΤΟΣ</v>
          </cell>
          <cell r="X337" t="str">
            <v>9067</v>
          </cell>
        </row>
        <row r="338">
          <cell r="U338">
            <v>19068</v>
          </cell>
          <cell r="V338" t="str">
            <v>1</v>
          </cell>
          <cell r="W338" t="str">
            <v>ΣΚΛΗΡΟΣ ΣΙΤΟΣ</v>
          </cell>
          <cell r="X338" t="str">
            <v>9068</v>
          </cell>
        </row>
        <row r="339">
          <cell r="U339">
            <v>19069</v>
          </cell>
          <cell r="V339" t="str">
            <v>1</v>
          </cell>
          <cell r="W339" t="str">
            <v>ΣΚΛΗΡΟΣ ΣΙΤΟΣ</v>
          </cell>
          <cell r="X339" t="str">
            <v>9069</v>
          </cell>
        </row>
        <row r="340">
          <cell r="U340">
            <v>19070</v>
          </cell>
          <cell r="V340" t="str">
            <v>1</v>
          </cell>
          <cell r="W340" t="str">
            <v>ΣΚΛΗΡΟΣ ΣΙΤΟΣ</v>
          </cell>
          <cell r="X340" t="str">
            <v>9070</v>
          </cell>
        </row>
        <row r="341">
          <cell r="U341">
            <v>19071</v>
          </cell>
          <cell r="V341" t="str">
            <v>1</v>
          </cell>
          <cell r="W341" t="str">
            <v>ΣΚΛΗΡΟΣ ΣΙΤΟΣ</v>
          </cell>
          <cell r="X341" t="str">
            <v>9071</v>
          </cell>
        </row>
        <row r="342">
          <cell r="U342">
            <v>19072</v>
          </cell>
          <cell r="V342" t="str">
            <v>1</v>
          </cell>
          <cell r="W342" t="str">
            <v>ΣΚΛΗΡΟΣ ΣΙΤΟΣ</v>
          </cell>
          <cell r="X342" t="str">
            <v>9072</v>
          </cell>
        </row>
        <row r="343">
          <cell r="U343">
            <v>19073</v>
          </cell>
          <cell r="V343" t="str">
            <v>1</v>
          </cell>
          <cell r="W343" t="str">
            <v>ΣΚΛΗΡΟΣ ΣΙΤΟΣ</v>
          </cell>
          <cell r="X343" t="str">
            <v>9073</v>
          </cell>
        </row>
        <row r="344">
          <cell r="U344">
            <v>19074</v>
          </cell>
          <cell r="V344" t="str">
            <v>1</v>
          </cell>
          <cell r="W344" t="str">
            <v>ΣΚΛΗΡΟΣ ΣΙΤΟΣ</v>
          </cell>
          <cell r="X344" t="str">
            <v>9074</v>
          </cell>
        </row>
        <row r="345">
          <cell r="U345">
            <v>19075</v>
          </cell>
          <cell r="V345" t="str">
            <v>1</v>
          </cell>
          <cell r="W345" t="str">
            <v>ΣΚΛΗΡΟΣ ΣΙΤΟΣ</v>
          </cell>
          <cell r="X345" t="str">
            <v>9075</v>
          </cell>
        </row>
        <row r="346">
          <cell r="U346">
            <v>19076</v>
          </cell>
          <cell r="V346" t="str">
            <v>1</v>
          </cell>
          <cell r="W346" t="str">
            <v>ΣΚΛΗΡΟΣ ΣΙΤΟΣ</v>
          </cell>
          <cell r="X346" t="str">
            <v>9076</v>
          </cell>
        </row>
        <row r="347">
          <cell r="U347">
            <v>19077</v>
          </cell>
          <cell r="V347" t="str">
            <v>1</v>
          </cell>
          <cell r="W347" t="str">
            <v>ΣΚΛΗΡΟΣ ΣΙΤΟΣ</v>
          </cell>
          <cell r="X347" t="str">
            <v>9077</v>
          </cell>
        </row>
        <row r="348">
          <cell r="U348">
            <v>19078</v>
          </cell>
          <cell r="V348" t="str">
            <v>1</v>
          </cell>
          <cell r="W348" t="str">
            <v>ΣΚΛΗΡΟΣ ΣΙΤΟΣ</v>
          </cell>
          <cell r="X348" t="str">
            <v>9078</v>
          </cell>
        </row>
        <row r="349">
          <cell r="U349">
            <v>19079</v>
          </cell>
          <cell r="V349" t="str">
            <v>1</v>
          </cell>
          <cell r="W349" t="str">
            <v>ΣΚΛΗΡΟΣ ΣΙΤΟΣ</v>
          </cell>
          <cell r="X349" t="str">
            <v>9079</v>
          </cell>
        </row>
        <row r="350">
          <cell r="U350">
            <v>19080</v>
          </cell>
          <cell r="V350" t="str">
            <v>1</v>
          </cell>
          <cell r="W350" t="str">
            <v>ΣΚΛΗΡΟΣ ΣΙΤΟΣ</v>
          </cell>
          <cell r="X350" t="str">
            <v>9080</v>
          </cell>
        </row>
        <row r="351">
          <cell r="U351">
            <v>19081</v>
          </cell>
          <cell r="V351" t="str">
            <v>1</v>
          </cell>
          <cell r="W351" t="str">
            <v>ΣΚΛΗΡΟΣ ΣΙΤΟΣ</v>
          </cell>
          <cell r="X351" t="str">
            <v>9081</v>
          </cell>
        </row>
        <row r="352">
          <cell r="U352">
            <v>19082</v>
          </cell>
          <cell r="V352" t="str">
            <v>1</v>
          </cell>
          <cell r="W352" t="str">
            <v>ΣΚΛΗΡΟΣ ΣΙΤΟΣ</v>
          </cell>
          <cell r="X352" t="str">
            <v>9082</v>
          </cell>
        </row>
        <row r="353">
          <cell r="U353">
            <v>19083</v>
          </cell>
          <cell r="V353" t="str">
            <v>1</v>
          </cell>
          <cell r="W353" t="str">
            <v>ΣΚΛΗΡΟΣ ΣΙΤΟΣ</v>
          </cell>
          <cell r="X353" t="str">
            <v>9083</v>
          </cell>
        </row>
        <row r="354">
          <cell r="U354">
            <v>19084</v>
          </cell>
          <cell r="V354" t="str">
            <v>1</v>
          </cell>
          <cell r="W354" t="str">
            <v>ΣΚΛΗΡΟΣ ΣΙΤΟΣ</v>
          </cell>
          <cell r="X354" t="str">
            <v>9084</v>
          </cell>
        </row>
        <row r="355">
          <cell r="U355">
            <v>19085</v>
          </cell>
          <cell r="V355" t="str">
            <v>1</v>
          </cell>
          <cell r="W355" t="str">
            <v>ΣΚΛΗΡΟΣ ΣΙΤΟΣ</v>
          </cell>
          <cell r="X355" t="str">
            <v>9085</v>
          </cell>
        </row>
        <row r="356">
          <cell r="U356">
            <v>19086</v>
          </cell>
          <cell r="V356" t="str">
            <v>1</v>
          </cell>
          <cell r="W356" t="str">
            <v>ΣΚΛΗΡΟΣ ΣΙΤΟΣ</v>
          </cell>
          <cell r="X356" t="str">
            <v>9086</v>
          </cell>
        </row>
        <row r="357">
          <cell r="U357">
            <v>19087</v>
          </cell>
          <cell r="V357" t="str">
            <v>1</v>
          </cell>
          <cell r="W357" t="str">
            <v>ΣΚΛΗΡΟΣ ΣΙΤΟΣ</v>
          </cell>
          <cell r="X357" t="str">
            <v>9087</v>
          </cell>
        </row>
        <row r="358">
          <cell r="U358">
            <v>19088</v>
          </cell>
          <cell r="V358" t="str">
            <v>1</v>
          </cell>
          <cell r="W358" t="str">
            <v>ΣΚΛΗΡΟΣ ΣΙΤΟΣ</v>
          </cell>
          <cell r="X358" t="str">
            <v>9088</v>
          </cell>
        </row>
        <row r="359">
          <cell r="U359">
            <v>19099</v>
          </cell>
          <cell r="V359" t="str">
            <v>1</v>
          </cell>
          <cell r="W359" t="str">
            <v>ΣΚΛΗΡΟΣ ΣΙΤΟΣ</v>
          </cell>
          <cell r="X359" t="str">
            <v>9099</v>
          </cell>
        </row>
        <row r="360">
          <cell r="U360">
            <v>19100</v>
          </cell>
          <cell r="V360" t="str">
            <v>1</v>
          </cell>
          <cell r="W360" t="str">
            <v>ΣΚΛΗΡΟΣ ΣΙΤΟΣ</v>
          </cell>
          <cell r="X360" t="str">
            <v>9100</v>
          </cell>
        </row>
        <row r="361">
          <cell r="U361">
            <v>19101</v>
          </cell>
          <cell r="V361" t="str">
            <v>1</v>
          </cell>
          <cell r="W361" t="str">
            <v>ΣΚΛΗΡΟΣ ΣΙΤΟΣ</v>
          </cell>
          <cell r="X361" t="str">
            <v>9101</v>
          </cell>
        </row>
        <row r="362">
          <cell r="U362">
            <v>19102</v>
          </cell>
          <cell r="V362" t="str">
            <v>1</v>
          </cell>
          <cell r="W362" t="str">
            <v>ΣΚΛΗΡΟΣ ΣΙΤΟΣ</v>
          </cell>
          <cell r="X362" t="str">
            <v>9102</v>
          </cell>
        </row>
        <row r="363">
          <cell r="U363">
            <v>19103</v>
          </cell>
          <cell r="V363" t="str">
            <v>1</v>
          </cell>
          <cell r="W363" t="str">
            <v>ΣΚΛΗΡΟΣ ΣΙΤΟΣ</v>
          </cell>
          <cell r="X363" t="str">
            <v>9103</v>
          </cell>
        </row>
        <row r="364">
          <cell r="U364">
            <v>19104</v>
          </cell>
          <cell r="V364" t="str">
            <v>1</v>
          </cell>
          <cell r="W364" t="str">
            <v>ΣΚΛΗΡΟΣ ΣΙΤΟΣ</v>
          </cell>
          <cell r="X364" t="str">
            <v>9104</v>
          </cell>
        </row>
        <row r="365">
          <cell r="U365">
            <v>19105</v>
          </cell>
          <cell r="V365" t="str">
            <v>1</v>
          </cell>
          <cell r="W365" t="str">
            <v>ΣΚΛΗΡΟΣ ΣΙΤΟΣ</v>
          </cell>
          <cell r="X365" t="str">
            <v>9105</v>
          </cell>
        </row>
        <row r="366">
          <cell r="U366">
            <v>19106</v>
          </cell>
          <cell r="V366" t="str">
            <v>1</v>
          </cell>
          <cell r="W366" t="str">
            <v>ΣΚΛΗΡΟΣ ΣΙΤΟΣ</v>
          </cell>
          <cell r="X366" t="str">
            <v>9106</v>
          </cell>
        </row>
        <row r="367">
          <cell r="U367">
            <v>19107</v>
          </cell>
          <cell r="V367" t="str">
            <v>1</v>
          </cell>
          <cell r="W367" t="str">
            <v>ΣΚΛΗΡΟΣ ΣΙΤΟΣ</v>
          </cell>
          <cell r="X367" t="str">
            <v>9107</v>
          </cell>
        </row>
        <row r="368">
          <cell r="U368">
            <v>19108</v>
          </cell>
          <cell r="V368" t="str">
            <v>1</v>
          </cell>
          <cell r="W368" t="str">
            <v>ΣΚΛΗΡΟΣ ΣΙΤΟΣ</v>
          </cell>
          <cell r="X368" t="str">
            <v>9108</v>
          </cell>
        </row>
        <row r="369">
          <cell r="U369">
            <v>19109</v>
          </cell>
          <cell r="V369" t="str">
            <v>1</v>
          </cell>
          <cell r="W369" t="str">
            <v>ΣΚΛΗΡΟΣ ΣΙΤΟΣ</v>
          </cell>
          <cell r="X369" t="str">
            <v>9109</v>
          </cell>
        </row>
        <row r="370">
          <cell r="U370">
            <v>19110</v>
          </cell>
          <cell r="V370" t="str">
            <v>1</v>
          </cell>
          <cell r="W370" t="str">
            <v>ΣΚΛΗΡΟΣ ΣΙΤΟΣ</v>
          </cell>
          <cell r="X370" t="str">
            <v>9110</v>
          </cell>
        </row>
        <row r="371">
          <cell r="U371">
            <v>19111</v>
          </cell>
          <cell r="V371" t="str">
            <v>1</v>
          </cell>
          <cell r="W371" t="str">
            <v>ΣΚΛΗΡΟΣ ΣΙΤΟΣ</v>
          </cell>
          <cell r="X371" t="str">
            <v>9111</v>
          </cell>
        </row>
        <row r="372">
          <cell r="U372">
            <v>19112</v>
          </cell>
          <cell r="V372" t="str">
            <v>1</v>
          </cell>
          <cell r="W372" t="str">
            <v>ΣΚΛΗΡΟΣ ΣΙΤΟΣ</v>
          </cell>
          <cell r="X372" t="str">
            <v>9112</v>
          </cell>
        </row>
        <row r="373">
          <cell r="U373">
            <v>19113</v>
          </cell>
          <cell r="V373" t="str">
            <v>1</v>
          </cell>
          <cell r="W373" t="str">
            <v>ΣΚΛΗΡΟΣ ΣΙΤΟΣ</v>
          </cell>
          <cell r="X373" t="str">
            <v>9113</v>
          </cell>
        </row>
        <row r="374">
          <cell r="U374">
            <v>19114</v>
          </cell>
          <cell r="V374" t="str">
            <v>1</v>
          </cell>
          <cell r="W374" t="str">
            <v>ΣΚΛΗΡΟΣ ΣΙΤΟΣ</v>
          </cell>
          <cell r="X374" t="str">
            <v>9114</v>
          </cell>
        </row>
        <row r="375">
          <cell r="U375">
            <v>19115</v>
          </cell>
          <cell r="V375" t="str">
            <v>1</v>
          </cell>
          <cell r="W375" t="str">
            <v>ΣΚΛΗΡΟΣ ΣΙΤΟΣ</v>
          </cell>
          <cell r="X375" t="str">
            <v>9115</v>
          </cell>
        </row>
        <row r="376">
          <cell r="U376">
            <v>19116</v>
          </cell>
          <cell r="V376" t="str">
            <v>1</v>
          </cell>
          <cell r="W376" t="str">
            <v>ΣΚΛΗΡΟΣ ΣΙΤΟΣ</v>
          </cell>
          <cell r="X376" t="str">
            <v>9116</v>
          </cell>
        </row>
        <row r="377">
          <cell r="U377">
            <v>19117</v>
          </cell>
          <cell r="V377" t="str">
            <v>1</v>
          </cell>
          <cell r="W377" t="str">
            <v>ΣΚΛΗΡΟΣ ΣΙΤΟΣ</v>
          </cell>
          <cell r="X377" t="str">
            <v>9117</v>
          </cell>
        </row>
        <row r="378">
          <cell r="U378">
            <v>19118</v>
          </cell>
          <cell r="V378" t="str">
            <v>1</v>
          </cell>
          <cell r="W378" t="str">
            <v>ΣΚΛΗΡΟΣ ΣΙΤΟΣ</v>
          </cell>
          <cell r="X378" t="str">
            <v>9118</v>
          </cell>
        </row>
        <row r="379">
          <cell r="U379">
            <v>19119</v>
          </cell>
          <cell r="V379" t="str">
            <v>1</v>
          </cell>
          <cell r="W379" t="str">
            <v>ΣΚΛΗΡΟΣ ΣΙΤΟΣ</v>
          </cell>
          <cell r="X379" t="str">
            <v>9119</v>
          </cell>
        </row>
        <row r="380">
          <cell r="U380">
            <v>19120</v>
          </cell>
          <cell r="V380" t="str">
            <v>1</v>
          </cell>
          <cell r="W380" t="str">
            <v>ΣΚΛΗΡΟΣ ΣΙΤΟΣ</v>
          </cell>
          <cell r="X380" t="str">
            <v>9120</v>
          </cell>
        </row>
        <row r="381">
          <cell r="U381">
            <v>19121</v>
          </cell>
          <cell r="V381" t="str">
            <v>1</v>
          </cell>
          <cell r="W381" t="str">
            <v>ΣΚΛΗΡΟΣ ΣΙΤΟΣ</v>
          </cell>
          <cell r="X381" t="str">
            <v>9121</v>
          </cell>
        </row>
        <row r="382">
          <cell r="U382">
            <v>19122</v>
          </cell>
          <cell r="V382" t="str">
            <v>1</v>
          </cell>
          <cell r="W382" t="str">
            <v>ΣΚΛΗΡΟΣ ΣΙΤΟΣ</v>
          </cell>
          <cell r="X382" t="str">
            <v>9122</v>
          </cell>
        </row>
        <row r="383">
          <cell r="U383">
            <v>19123</v>
          </cell>
          <cell r="V383" t="str">
            <v>1</v>
          </cell>
          <cell r="W383" t="str">
            <v>ΣΚΛΗΡΟΣ ΣΙΤΟΣ</v>
          </cell>
          <cell r="X383" t="str">
            <v>9123</v>
          </cell>
        </row>
        <row r="384">
          <cell r="U384">
            <v>19124</v>
          </cell>
          <cell r="V384" t="str">
            <v>1</v>
          </cell>
          <cell r="W384" t="str">
            <v>ΣΚΛΗΡΟΣ ΣΙΤΟΣ</v>
          </cell>
          <cell r="X384" t="str">
            <v>9124</v>
          </cell>
        </row>
        <row r="385">
          <cell r="U385">
            <v>19125</v>
          </cell>
          <cell r="V385" t="str">
            <v>1</v>
          </cell>
          <cell r="W385" t="str">
            <v>ΣΚΛΗΡΟΣ ΣΙΤΟΣ</v>
          </cell>
          <cell r="X385" t="str">
            <v>9125</v>
          </cell>
        </row>
        <row r="386">
          <cell r="U386">
            <v>19126</v>
          </cell>
          <cell r="V386" t="str">
            <v>1</v>
          </cell>
          <cell r="W386" t="str">
            <v>ΣΚΛΗΡΟΣ ΣΙΤΟΣ</v>
          </cell>
          <cell r="X386" t="str">
            <v>9126</v>
          </cell>
        </row>
        <row r="387">
          <cell r="U387">
            <v>19127</v>
          </cell>
          <cell r="V387" t="str">
            <v>1</v>
          </cell>
          <cell r="W387" t="str">
            <v>ΣΚΛΗΡΟΣ ΣΙΤΟΣ</v>
          </cell>
          <cell r="X387" t="str">
            <v>9127</v>
          </cell>
        </row>
        <row r="388">
          <cell r="U388">
            <v>19128</v>
          </cell>
          <cell r="V388" t="str">
            <v>1</v>
          </cell>
          <cell r="W388" t="str">
            <v>ΣΚΛΗΡΟΣ ΣΙΤΟΣ</v>
          </cell>
          <cell r="X388" t="str">
            <v>9128</v>
          </cell>
        </row>
        <row r="389">
          <cell r="U389">
            <v>19130</v>
          </cell>
          <cell r="V389" t="str">
            <v>1</v>
          </cell>
          <cell r="W389" t="str">
            <v>ΣΚΛΗΡΟΣ ΣΙΤΟΣ</v>
          </cell>
          <cell r="X389" t="str">
            <v>9130</v>
          </cell>
        </row>
        <row r="390">
          <cell r="U390">
            <v>19131</v>
          </cell>
          <cell r="V390" t="str">
            <v>1</v>
          </cell>
          <cell r="W390" t="str">
            <v>ΣΚΛΗΡΟΣ ΣΙΤΟΣ</v>
          </cell>
          <cell r="X390" t="str">
            <v>9131</v>
          </cell>
        </row>
        <row r="391">
          <cell r="U391">
            <v>19132</v>
          </cell>
          <cell r="V391" t="str">
            <v>1</v>
          </cell>
          <cell r="W391" t="str">
            <v>ΣΚΛΗΡΟΣ ΣΙΤΟΣ</v>
          </cell>
          <cell r="X391" t="str">
            <v>9132</v>
          </cell>
        </row>
        <row r="392">
          <cell r="U392">
            <v>19133</v>
          </cell>
          <cell r="V392" t="str">
            <v>1</v>
          </cell>
          <cell r="W392" t="str">
            <v>ΣΚΛΗΡΟΣ ΣΙΤΟΣ</v>
          </cell>
          <cell r="X392" t="str">
            <v>9133</v>
          </cell>
        </row>
        <row r="393">
          <cell r="U393">
            <v>19134</v>
          </cell>
          <cell r="V393" t="str">
            <v>1</v>
          </cell>
          <cell r="W393" t="str">
            <v>ΣΚΛΗΡΟΣ ΣΙΤΟΣ</v>
          </cell>
          <cell r="X393" t="str">
            <v>9134</v>
          </cell>
        </row>
        <row r="394">
          <cell r="U394">
            <v>19135</v>
          </cell>
          <cell r="V394" t="str">
            <v>1</v>
          </cell>
          <cell r="W394" t="str">
            <v>ΣΚΛΗΡΟΣ ΣΙΤΟΣ</v>
          </cell>
          <cell r="X394" t="str">
            <v>9135</v>
          </cell>
        </row>
        <row r="395">
          <cell r="U395">
            <v>19136</v>
          </cell>
          <cell r="V395" t="str">
            <v>1</v>
          </cell>
          <cell r="W395" t="str">
            <v>ΣΚΛΗΡΟΣ ΣΙΤΟΣ</v>
          </cell>
          <cell r="X395" t="str">
            <v>9136</v>
          </cell>
        </row>
        <row r="396">
          <cell r="U396">
            <v>19137</v>
          </cell>
          <cell r="V396" t="str">
            <v>1</v>
          </cell>
          <cell r="W396" t="str">
            <v>ΣΚΛΗΡΟΣ ΣΙΤΟΣ</v>
          </cell>
          <cell r="X396" t="str">
            <v>9137</v>
          </cell>
        </row>
        <row r="397">
          <cell r="U397">
            <v>19138</v>
          </cell>
          <cell r="V397" t="str">
            <v>1</v>
          </cell>
          <cell r="W397" t="str">
            <v>ΣΚΛΗΡΟΣ ΣΙΤΟΣ</v>
          </cell>
          <cell r="X397" t="str">
            <v>9138</v>
          </cell>
        </row>
        <row r="398">
          <cell r="U398">
            <v>19139</v>
          </cell>
          <cell r="V398" t="str">
            <v>1</v>
          </cell>
          <cell r="W398" t="str">
            <v>ΣΚΛΗΡΟΣ ΣΙΤΟΣ</v>
          </cell>
          <cell r="X398" t="str">
            <v>9139</v>
          </cell>
        </row>
        <row r="399">
          <cell r="U399">
            <v>19141</v>
          </cell>
          <cell r="V399" t="str">
            <v>1</v>
          </cell>
          <cell r="W399" t="str">
            <v>ΣΚΛΗΡΟΣ ΣΙΤΟΣ</v>
          </cell>
          <cell r="X399" t="str">
            <v>9141</v>
          </cell>
        </row>
        <row r="400">
          <cell r="U400">
            <v>19142</v>
          </cell>
          <cell r="V400" t="str">
            <v>1</v>
          </cell>
          <cell r="W400" t="str">
            <v>ΣΚΛΗΡΟΣ ΣΙΤΟΣ</v>
          </cell>
          <cell r="X400" t="str">
            <v>9142</v>
          </cell>
        </row>
        <row r="401">
          <cell r="U401">
            <v>19143</v>
          </cell>
          <cell r="V401" t="str">
            <v>1</v>
          </cell>
          <cell r="W401" t="str">
            <v>ΣΚΛΗΡΟΣ ΣΙΤΟΣ</v>
          </cell>
          <cell r="X401" t="str">
            <v>9143</v>
          </cell>
        </row>
        <row r="402">
          <cell r="U402">
            <v>19144</v>
          </cell>
          <cell r="V402" t="str">
            <v>1</v>
          </cell>
          <cell r="W402" t="str">
            <v>ΣΚΛΗΡΟΣ ΣΙΤΟΣ</v>
          </cell>
          <cell r="X402" t="str">
            <v>9144</v>
          </cell>
        </row>
        <row r="403">
          <cell r="U403">
            <v>19145</v>
          </cell>
          <cell r="V403" t="str">
            <v>1</v>
          </cell>
          <cell r="W403" t="str">
            <v>ΣΚΛΗΡΟΣ ΣΙΤΟΣ</v>
          </cell>
          <cell r="X403" t="str">
            <v>9145</v>
          </cell>
        </row>
        <row r="404">
          <cell r="U404">
            <v>19146</v>
          </cell>
          <cell r="V404" t="str">
            <v>1</v>
          </cell>
          <cell r="W404" t="str">
            <v>ΣΚΛΗΡΟΣ ΣΙΤΟΣ</v>
          </cell>
          <cell r="X404" t="str">
            <v>9146</v>
          </cell>
        </row>
        <row r="405">
          <cell r="U405">
            <v>19147</v>
          </cell>
          <cell r="V405" t="str">
            <v>1</v>
          </cell>
          <cell r="W405" t="str">
            <v>ΣΚΛΗΡΟΣ ΣΙΤΟΣ</v>
          </cell>
          <cell r="X405" t="str">
            <v>9147</v>
          </cell>
        </row>
        <row r="406">
          <cell r="U406">
            <v>19148</v>
          </cell>
          <cell r="V406" t="str">
            <v>1</v>
          </cell>
          <cell r="W406" t="str">
            <v>ΣΚΛΗΡΟΣ ΣΙΤΟΣ</v>
          </cell>
          <cell r="X406" t="str">
            <v>9148</v>
          </cell>
        </row>
        <row r="407">
          <cell r="U407">
            <v>19149</v>
          </cell>
          <cell r="V407" t="str">
            <v>1</v>
          </cell>
          <cell r="W407" t="str">
            <v>ΣΚΛΗΡΟΣ ΣΙΤΟΣ</v>
          </cell>
          <cell r="X407" t="str">
            <v>9149</v>
          </cell>
        </row>
        <row r="408">
          <cell r="U408">
            <v>19151</v>
          </cell>
          <cell r="V408" t="str">
            <v>1</v>
          </cell>
          <cell r="W408" t="str">
            <v>ΣΚΛΗΡΟΣ ΣΙΤΟΣ</v>
          </cell>
          <cell r="X408" t="str">
            <v>9151</v>
          </cell>
        </row>
        <row r="409">
          <cell r="U409">
            <v>19152</v>
          </cell>
          <cell r="V409" t="str">
            <v>1</v>
          </cell>
          <cell r="W409" t="str">
            <v>ΣΚΛΗΡΟΣ ΣΙΤΟΣ</v>
          </cell>
          <cell r="X409" t="str">
            <v>9152</v>
          </cell>
        </row>
        <row r="410">
          <cell r="U410">
            <v>19193</v>
          </cell>
          <cell r="V410" t="str">
            <v>1</v>
          </cell>
          <cell r="W410" t="str">
            <v>ΣΚΛΗΡΟΣ ΣΙΤΟΣ</v>
          </cell>
          <cell r="X410" t="str">
            <v>9193</v>
          </cell>
        </row>
        <row r="411">
          <cell r="U411">
            <v>19194</v>
          </cell>
          <cell r="V411" t="str">
            <v>1</v>
          </cell>
          <cell r="W411" t="str">
            <v>ΣΚΛΗΡΟΣ ΣΙΤΟΣ</v>
          </cell>
          <cell r="X411" t="str">
            <v>9194</v>
          </cell>
        </row>
        <row r="412">
          <cell r="U412">
            <v>19195</v>
          </cell>
          <cell r="V412" t="str">
            <v>1</v>
          </cell>
          <cell r="W412" t="str">
            <v>ΣΚΛΗΡΟΣ ΣΙΤΟΣ</v>
          </cell>
          <cell r="X412" t="str">
            <v>9195</v>
          </cell>
        </row>
        <row r="413">
          <cell r="U413">
            <v>19400</v>
          </cell>
          <cell r="V413" t="str">
            <v>1</v>
          </cell>
          <cell r="W413" t="str">
            <v>ΣΚΛΗΡΟΣ ΣΙΤΟΣ</v>
          </cell>
          <cell r="X413" t="str">
            <v>9400</v>
          </cell>
        </row>
        <row r="414">
          <cell r="U414">
            <v>19401</v>
          </cell>
          <cell r="V414" t="str">
            <v>1</v>
          </cell>
          <cell r="W414" t="str">
            <v>ΣΚΛΗΡΟΣ ΣΙΤΟΣ</v>
          </cell>
          <cell r="X414" t="str">
            <v>9401</v>
          </cell>
        </row>
        <row r="415">
          <cell r="U415">
            <v>19402</v>
          </cell>
          <cell r="V415" t="str">
            <v>1</v>
          </cell>
          <cell r="W415" t="str">
            <v>ΣΚΛΗΡΟΣ ΣΙΤΟΣ</v>
          </cell>
          <cell r="X415" t="str">
            <v>9402</v>
          </cell>
        </row>
        <row r="416">
          <cell r="U416">
            <v>19403</v>
          </cell>
          <cell r="V416" t="str">
            <v>1</v>
          </cell>
          <cell r="W416" t="str">
            <v>ΣΚΛΗΡΟΣ ΣΙΤΟΣ</v>
          </cell>
          <cell r="X416" t="str">
            <v>9403</v>
          </cell>
        </row>
        <row r="417">
          <cell r="U417">
            <v>19404</v>
          </cell>
          <cell r="V417" t="str">
            <v>1</v>
          </cell>
          <cell r="W417" t="str">
            <v>ΣΚΛΗΡΟΣ ΣΙΤΟΣ</v>
          </cell>
          <cell r="X417" t="str">
            <v>9404</v>
          </cell>
        </row>
        <row r="418">
          <cell r="U418">
            <v>19405</v>
          </cell>
          <cell r="V418" t="str">
            <v>1</v>
          </cell>
          <cell r="W418" t="str">
            <v>ΣΚΛΗΡΟΣ ΣΙΤΟΣ</v>
          </cell>
          <cell r="X418" t="str">
            <v>9405</v>
          </cell>
        </row>
        <row r="419">
          <cell r="U419">
            <v>19406</v>
          </cell>
          <cell r="V419" t="str">
            <v>1</v>
          </cell>
          <cell r="W419" t="str">
            <v>ΣΚΛΗΡΟΣ ΣΙΤΟΣ</v>
          </cell>
          <cell r="X419" t="str">
            <v>9406</v>
          </cell>
        </row>
        <row r="420">
          <cell r="U420">
            <v>19407</v>
          </cell>
          <cell r="V420" t="str">
            <v>1</v>
          </cell>
          <cell r="W420" t="str">
            <v>ΣΚΛΗΡΟΣ ΣΙΤΟΣ</v>
          </cell>
          <cell r="X420" t="str">
            <v>9407</v>
          </cell>
        </row>
        <row r="421">
          <cell r="U421">
            <v>19408</v>
          </cell>
          <cell r="V421" t="str">
            <v>1</v>
          </cell>
          <cell r="W421" t="str">
            <v>ΣΚΛΗΡΟΣ ΣΙΤΟΣ</v>
          </cell>
          <cell r="X421" t="str">
            <v>9408</v>
          </cell>
        </row>
        <row r="422">
          <cell r="U422">
            <v>19409</v>
          </cell>
          <cell r="V422" t="str">
            <v>1</v>
          </cell>
          <cell r="W422" t="str">
            <v>ΣΚΛΗΡΟΣ ΣΙΤΟΣ</v>
          </cell>
          <cell r="X422" t="str">
            <v>9409</v>
          </cell>
        </row>
        <row r="423">
          <cell r="U423">
            <v>19410</v>
          </cell>
          <cell r="V423" t="str">
            <v>1</v>
          </cell>
          <cell r="W423" t="str">
            <v>ΣΚΛΗΡΟΣ ΣΙΤΟΣ</v>
          </cell>
          <cell r="X423" t="str">
            <v>9410</v>
          </cell>
        </row>
        <row r="424">
          <cell r="U424">
            <v>19411</v>
          </cell>
          <cell r="V424" t="str">
            <v>1</v>
          </cell>
          <cell r="W424" t="str">
            <v>ΣΚΛΗΡΟΣ ΣΙΤΟΣ</v>
          </cell>
          <cell r="X424" t="str">
            <v>9411</v>
          </cell>
        </row>
        <row r="425">
          <cell r="U425">
            <v>19412</v>
          </cell>
          <cell r="V425" t="str">
            <v>1</v>
          </cell>
          <cell r="W425" t="str">
            <v>ΣΚΛΗΡΟΣ ΣΙΤΟΣ</v>
          </cell>
          <cell r="X425" t="str">
            <v>9412</v>
          </cell>
        </row>
        <row r="426">
          <cell r="U426">
            <v>19413</v>
          </cell>
          <cell r="V426" t="str">
            <v>1</v>
          </cell>
          <cell r="W426" t="str">
            <v>ΣΚΛΗΡΟΣ ΣΙΤΟΣ</v>
          </cell>
          <cell r="X426" t="str">
            <v>9413</v>
          </cell>
        </row>
        <row r="427">
          <cell r="U427">
            <v>19414</v>
          </cell>
          <cell r="V427" t="str">
            <v>1</v>
          </cell>
          <cell r="W427" t="str">
            <v>ΣΚΛΗΡΟΣ ΣΙΤΟΣ</v>
          </cell>
          <cell r="X427" t="str">
            <v>9414</v>
          </cell>
        </row>
        <row r="428">
          <cell r="U428">
            <v>19415</v>
          </cell>
          <cell r="V428" t="str">
            <v>1</v>
          </cell>
          <cell r="W428" t="str">
            <v>ΣΚΛΗΡΟΣ ΣΙΤΟΣ</v>
          </cell>
          <cell r="X428" t="str">
            <v>9415</v>
          </cell>
        </row>
        <row r="429">
          <cell r="U429">
            <v>19416</v>
          </cell>
          <cell r="V429" t="str">
            <v>1</v>
          </cell>
          <cell r="W429" t="str">
            <v>ΣΚΛΗΡΟΣ ΣΙΤΟΣ</v>
          </cell>
          <cell r="X429" t="str">
            <v>9416</v>
          </cell>
        </row>
        <row r="430">
          <cell r="U430">
            <v>19417</v>
          </cell>
          <cell r="V430" t="str">
            <v>1</v>
          </cell>
          <cell r="W430" t="str">
            <v>ΣΚΛΗΡΟΣ ΣΙΤΟΣ</v>
          </cell>
          <cell r="X430" t="str">
            <v>9417</v>
          </cell>
        </row>
        <row r="431">
          <cell r="U431">
            <v>19418</v>
          </cell>
          <cell r="V431" t="str">
            <v>1</v>
          </cell>
          <cell r="W431" t="str">
            <v>ΣΚΛΗΡΟΣ ΣΙΤΟΣ</v>
          </cell>
          <cell r="X431" t="str">
            <v>9418</v>
          </cell>
        </row>
        <row r="432">
          <cell r="U432">
            <v>22000</v>
          </cell>
          <cell r="V432" t="str">
            <v>2</v>
          </cell>
          <cell r="W432" t="str">
            <v>ΛΟΙΠΑ ΣΙΤΗΡΑ</v>
          </cell>
          <cell r="X432" t="str">
            <v>2000</v>
          </cell>
        </row>
        <row r="433">
          <cell r="U433">
            <v>23000</v>
          </cell>
          <cell r="V433" t="str">
            <v>2</v>
          </cell>
          <cell r="W433" t="str">
            <v>ΛΟΙΠΑ ΣΙΤΗΡΑ</v>
          </cell>
          <cell r="X433" t="str">
            <v>3000</v>
          </cell>
        </row>
        <row r="434">
          <cell r="U434">
            <v>23099</v>
          </cell>
          <cell r="V434" t="str">
            <v>2</v>
          </cell>
          <cell r="W434" t="str">
            <v>ΛΟΙΠΑ ΣΙΤΗΡΑ</v>
          </cell>
          <cell r="X434" t="str">
            <v>3099</v>
          </cell>
        </row>
        <row r="435">
          <cell r="U435">
            <v>24000</v>
          </cell>
          <cell r="V435" t="str">
            <v>2</v>
          </cell>
          <cell r="W435" t="str">
            <v>ΛΟΙΠΑ ΣΙΤΗΡΑ</v>
          </cell>
          <cell r="X435" t="str">
            <v>4000</v>
          </cell>
        </row>
        <row r="436">
          <cell r="U436">
            <v>24099</v>
          </cell>
          <cell r="V436" t="str">
            <v>2</v>
          </cell>
          <cell r="W436" t="str">
            <v>ΛΟΙΠΑ ΣΙΤΗΡΑ</v>
          </cell>
          <cell r="X436" t="str">
            <v>4099</v>
          </cell>
        </row>
        <row r="437">
          <cell r="U437">
            <v>26800</v>
          </cell>
          <cell r="V437" t="str">
            <v>2</v>
          </cell>
          <cell r="W437" t="str">
            <v>ΛΟΙΠΑ ΣΙΤΗΡΑ</v>
          </cell>
          <cell r="X437" t="str">
            <v>6800</v>
          </cell>
        </row>
        <row r="438">
          <cell r="U438">
            <v>26801</v>
          </cell>
          <cell r="V438" t="str">
            <v>2</v>
          </cell>
          <cell r="W438" t="str">
            <v>ΛΟΙΠΑ ΣΙΤΗΡΑ</v>
          </cell>
          <cell r="X438" t="str">
            <v>6801</v>
          </cell>
        </row>
        <row r="439">
          <cell r="U439">
            <v>26802</v>
          </cell>
          <cell r="V439" t="str">
            <v>2</v>
          </cell>
          <cell r="W439" t="str">
            <v>ΛΟΙΠΑ ΣΙΤΗΡΑ</v>
          </cell>
          <cell r="X439" t="str">
            <v>6802</v>
          </cell>
        </row>
        <row r="440">
          <cell r="U440">
            <v>26900</v>
          </cell>
          <cell r="V440" t="str">
            <v>2</v>
          </cell>
          <cell r="W440" t="str">
            <v>ΛΟΙΠΑ ΣΙΤΗΡΑ</v>
          </cell>
          <cell r="X440" t="str">
            <v>6900</v>
          </cell>
        </row>
        <row r="441">
          <cell r="U441">
            <v>26901</v>
          </cell>
          <cell r="V441" t="str">
            <v>2</v>
          </cell>
          <cell r="W441" t="str">
            <v>ΛΟΙΠΑ ΣΙΤΗΡΑ</v>
          </cell>
          <cell r="X441" t="str">
            <v>6901</v>
          </cell>
        </row>
        <row r="442">
          <cell r="U442">
            <v>26902</v>
          </cell>
          <cell r="V442" t="str">
            <v>2</v>
          </cell>
          <cell r="W442" t="str">
            <v>ΛΟΙΠΑ ΣΙΤΗΡΑ</v>
          </cell>
          <cell r="X442" t="str">
            <v>6902</v>
          </cell>
        </row>
        <row r="443">
          <cell r="U443">
            <v>26903</v>
          </cell>
          <cell r="V443" t="str">
            <v>2</v>
          </cell>
          <cell r="W443" t="str">
            <v>ΛΟΙΠΑ ΣΙΤΗΡΑ</v>
          </cell>
          <cell r="X443" t="str">
            <v>6903</v>
          </cell>
        </row>
        <row r="444">
          <cell r="U444">
            <v>26904</v>
          </cell>
          <cell r="V444" t="str">
            <v>2</v>
          </cell>
          <cell r="W444" t="str">
            <v>ΛΟΙΠΑ ΣΙΤΗΡΑ</v>
          </cell>
          <cell r="X444" t="str">
            <v>6904</v>
          </cell>
        </row>
        <row r="445">
          <cell r="U445">
            <v>26905</v>
          </cell>
          <cell r="V445" t="str">
            <v>2</v>
          </cell>
          <cell r="W445" t="str">
            <v>ΛΟΙΠΑ ΣΙΤΗΡΑ</v>
          </cell>
          <cell r="X445" t="str">
            <v>6905</v>
          </cell>
        </row>
        <row r="446">
          <cell r="U446">
            <v>26906</v>
          </cell>
          <cell r="V446" t="str">
            <v>2</v>
          </cell>
          <cell r="W446" t="str">
            <v>ΛΟΙΠΑ ΣΙΤΗΡΑ</v>
          </cell>
          <cell r="X446" t="str">
            <v>6906</v>
          </cell>
        </row>
        <row r="447">
          <cell r="U447">
            <v>26907</v>
          </cell>
          <cell r="V447" t="str">
            <v>2</v>
          </cell>
          <cell r="W447" t="str">
            <v>ΛΟΙΠΑ ΣΙΤΗΡΑ</v>
          </cell>
          <cell r="X447" t="str">
            <v>6907</v>
          </cell>
        </row>
        <row r="448">
          <cell r="U448">
            <v>26908</v>
          </cell>
          <cell r="V448" t="str">
            <v>2</v>
          </cell>
          <cell r="W448" t="str">
            <v>ΛΟΙΠΑ ΣΙΤΗΡΑ</v>
          </cell>
          <cell r="X448" t="str">
            <v>6908</v>
          </cell>
        </row>
        <row r="449">
          <cell r="U449">
            <v>26909</v>
          </cell>
          <cell r="V449" t="str">
            <v>2</v>
          </cell>
          <cell r="W449" t="str">
            <v>ΛΟΙΠΑ ΣΙΤΗΡΑ</v>
          </cell>
          <cell r="X449" t="str">
            <v>6909</v>
          </cell>
        </row>
        <row r="450">
          <cell r="U450">
            <v>26910</v>
          </cell>
          <cell r="V450" t="str">
            <v>2</v>
          </cell>
          <cell r="W450" t="str">
            <v>ΛΟΙΠΑ ΣΙΤΗΡΑ</v>
          </cell>
          <cell r="X450" t="str">
            <v>6910</v>
          </cell>
        </row>
        <row r="451">
          <cell r="U451">
            <v>26911</v>
          </cell>
          <cell r="V451" t="str">
            <v>2</v>
          </cell>
          <cell r="W451" t="str">
            <v>ΛΟΙΠΑ ΣΙΤΗΡΑ</v>
          </cell>
          <cell r="X451" t="str">
            <v>6911</v>
          </cell>
        </row>
        <row r="452">
          <cell r="U452">
            <v>26912</v>
          </cell>
          <cell r="V452" t="str">
            <v>2</v>
          </cell>
          <cell r="W452" t="str">
            <v>ΛΟΙΠΑ ΣΙΤΗΡΑ</v>
          </cell>
          <cell r="X452" t="str">
            <v>6912</v>
          </cell>
        </row>
        <row r="453">
          <cell r="U453">
            <v>26913</v>
          </cell>
          <cell r="V453" t="str">
            <v>2</v>
          </cell>
          <cell r="W453" t="str">
            <v>ΛΟΙΠΑ ΣΙΤΗΡΑ</v>
          </cell>
          <cell r="X453" t="str">
            <v>6913</v>
          </cell>
        </row>
        <row r="454">
          <cell r="U454">
            <v>26914</v>
          </cell>
          <cell r="V454" t="str">
            <v>2</v>
          </cell>
          <cell r="W454" t="str">
            <v>ΛΟΙΠΑ ΣΙΤΗΡΑ</v>
          </cell>
          <cell r="X454" t="str">
            <v>6914</v>
          </cell>
        </row>
        <row r="455">
          <cell r="U455">
            <v>26915</v>
          </cell>
          <cell r="V455" t="str">
            <v>2</v>
          </cell>
          <cell r="W455" t="str">
            <v>ΛΟΙΠΑ ΣΙΤΗΡΑ</v>
          </cell>
          <cell r="X455" t="str">
            <v>6915</v>
          </cell>
        </row>
        <row r="456">
          <cell r="U456">
            <v>26916</v>
          </cell>
          <cell r="V456" t="str">
            <v>2</v>
          </cell>
          <cell r="W456" t="str">
            <v>ΛΟΙΠΑ ΣΙΤΗΡΑ</v>
          </cell>
          <cell r="X456" t="str">
            <v>6916</v>
          </cell>
        </row>
        <row r="457">
          <cell r="U457">
            <v>26917</v>
          </cell>
          <cell r="V457" t="str">
            <v>2</v>
          </cell>
          <cell r="W457" t="str">
            <v>ΛΟΙΠΑ ΣΙΤΗΡΑ</v>
          </cell>
          <cell r="X457" t="str">
            <v>6917</v>
          </cell>
        </row>
        <row r="458">
          <cell r="U458">
            <v>26918</v>
          </cell>
          <cell r="V458" t="str">
            <v>2</v>
          </cell>
          <cell r="W458" t="str">
            <v>ΛΟΙΠΑ ΣΙΤΗΡΑ</v>
          </cell>
          <cell r="X458" t="str">
            <v>6918</v>
          </cell>
        </row>
        <row r="459">
          <cell r="U459">
            <v>26919</v>
          </cell>
          <cell r="V459" t="str">
            <v>2</v>
          </cell>
          <cell r="W459" t="str">
            <v>ΛΟΙΠΑ ΣΙΤΗΡΑ</v>
          </cell>
          <cell r="X459" t="str">
            <v>6919</v>
          </cell>
        </row>
        <row r="460">
          <cell r="U460">
            <v>26920</v>
          </cell>
          <cell r="V460" t="str">
            <v>2</v>
          </cell>
          <cell r="W460" t="str">
            <v>ΛΟΙΠΑ ΣΙΤΗΡΑ</v>
          </cell>
          <cell r="X460" t="str">
            <v>6920</v>
          </cell>
        </row>
        <row r="461">
          <cell r="U461">
            <v>26921</v>
          </cell>
          <cell r="V461" t="str">
            <v>2</v>
          </cell>
          <cell r="W461" t="str">
            <v>ΛΟΙΠΑ ΣΙΤΗΡΑ</v>
          </cell>
          <cell r="X461" t="str">
            <v>6921</v>
          </cell>
        </row>
        <row r="462">
          <cell r="U462">
            <v>26922</v>
          </cell>
          <cell r="V462" t="str">
            <v>2</v>
          </cell>
          <cell r="W462" t="str">
            <v>ΛΟΙΠΑ ΣΙΤΗΡΑ</v>
          </cell>
          <cell r="X462" t="str">
            <v>6922</v>
          </cell>
        </row>
        <row r="463">
          <cell r="U463">
            <v>26923</v>
          </cell>
          <cell r="V463" t="str">
            <v>2</v>
          </cell>
          <cell r="W463" t="str">
            <v>ΛΟΙΠΑ ΣΙΤΗΡΑ</v>
          </cell>
          <cell r="X463" t="str">
            <v>6923</v>
          </cell>
        </row>
        <row r="464">
          <cell r="U464">
            <v>26925</v>
          </cell>
          <cell r="V464" t="str">
            <v>2</v>
          </cell>
          <cell r="W464" t="str">
            <v>ΛΟΙΠΑ ΣΙΤΗΡΑ</v>
          </cell>
          <cell r="X464" t="str">
            <v>6925</v>
          </cell>
        </row>
        <row r="465">
          <cell r="U465">
            <v>26926</v>
          </cell>
          <cell r="V465" t="str">
            <v>2</v>
          </cell>
          <cell r="W465" t="str">
            <v>ΛΟΙΠΑ ΣΙΤΗΡΑ</v>
          </cell>
          <cell r="X465" t="str">
            <v>6926</v>
          </cell>
        </row>
        <row r="466">
          <cell r="U466">
            <v>26927</v>
          </cell>
          <cell r="V466" t="str">
            <v>2</v>
          </cell>
          <cell r="W466" t="str">
            <v>ΛΟΙΠΑ ΣΙΤΗΡΑ</v>
          </cell>
          <cell r="X466" t="str">
            <v>6927</v>
          </cell>
        </row>
        <row r="467">
          <cell r="U467">
            <v>26928</v>
          </cell>
          <cell r="V467" t="str">
            <v>2</v>
          </cell>
          <cell r="W467" t="str">
            <v>ΛΟΙΠΑ ΣΙΤΗΡΑ</v>
          </cell>
          <cell r="X467" t="str">
            <v>6928</v>
          </cell>
        </row>
        <row r="468">
          <cell r="U468">
            <v>26929</v>
          </cell>
          <cell r="V468" t="str">
            <v>2</v>
          </cell>
          <cell r="W468" t="str">
            <v>ΛΟΙΠΑ ΣΙΤΗΡΑ</v>
          </cell>
          <cell r="X468" t="str">
            <v>6929</v>
          </cell>
        </row>
        <row r="469">
          <cell r="U469">
            <v>26930</v>
          </cell>
          <cell r="V469" t="str">
            <v>2</v>
          </cell>
          <cell r="W469" t="str">
            <v>ΛΟΙΠΑ ΣΙΤΗΡΑ</v>
          </cell>
          <cell r="X469" t="str">
            <v>6930</v>
          </cell>
        </row>
        <row r="470">
          <cell r="U470">
            <v>26931</v>
          </cell>
          <cell r="V470" t="str">
            <v>2</v>
          </cell>
          <cell r="W470" t="str">
            <v>ΛΟΙΠΑ ΣΙΤΗΡΑ</v>
          </cell>
          <cell r="X470" t="str">
            <v>6931</v>
          </cell>
        </row>
        <row r="471">
          <cell r="U471">
            <v>26932</v>
          </cell>
          <cell r="V471" t="str">
            <v>2</v>
          </cell>
          <cell r="W471" t="str">
            <v>ΛΟΙΠΑ ΣΙΤΗΡΑ</v>
          </cell>
          <cell r="X471" t="str">
            <v>6932</v>
          </cell>
        </row>
        <row r="472">
          <cell r="U472">
            <v>26933</v>
          </cell>
          <cell r="V472" t="str">
            <v>2</v>
          </cell>
          <cell r="W472" t="str">
            <v>ΛΟΙΠΑ ΣΙΤΗΡΑ</v>
          </cell>
          <cell r="X472" t="str">
            <v>6933</v>
          </cell>
        </row>
        <row r="473">
          <cell r="U473">
            <v>26934</v>
          </cell>
          <cell r="V473" t="str">
            <v>2</v>
          </cell>
          <cell r="W473" t="str">
            <v>ΛΟΙΠΑ ΣΙΤΗΡΑ</v>
          </cell>
          <cell r="X473" t="str">
            <v>6934</v>
          </cell>
        </row>
        <row r="474">
          <cell r="U474">
            <v>26935</v>
          </cell>
          <cell r="V474" t="str">
            <v>2</v>
          </cell>
          <cell r="W474" t="str">
            <v>ΛΟΙΠΑ ΣΙΤΗΡΑ</v>
          </cell>
          <cell r="X474" t="str">
            <v>6935</v>
          </cell>
        </row>
        <row r="475">
          <cell r="U475">
            <v>26936</v>
          </cell>
          <cell r="V475" t="str">
            <v>2</v>
          </cell>
          <cell r="W475" t="str">
            <v>ΛΟΙΠΑ ΣΙΤΗΡΑ</v>
          </cell>
          <cell r="X475" t="str">
            <v>6936</v>
          </cell>
        </row>
        <row r="476">
          <cell r="U476">
            <v>26937</v>
          </cell>
          <cell r="V476" t="str">
            <v>2</v>
          </cell>
          <cell r="W476" t="str">
            <v>ΛΟΙΠΑ ΣΙΤΗΡΑ</v>
          </cell>
          <cell r="X476" t="str">
            <v>6937</v>
          </cell>
        </row>
        <row r="477">
          <cell r="U477">
            <v>26938</v>
          </cell>
          <cell r="V477" t="str">
            <v>2</v>
          </cell>
          <cell r="W477" t="str">
            <v>ΛΟΙΠΑ ΣΙΤΗΡΑ</v>
          </cell>
          <cell r="X477" t="str">
            <v>6938</v>
          </cell>
        </row>
        <row r="478">
          <cell r="U478">
            <v>26939</v>
          </cell>
          <cell r="V478" t="str">
            <v>2</v>
          </cell>
          <cell r="W478" t="str">
            <v>ΛΟΙΠΑ ΣΙΤΗΡΑ</v>
          </cell>
          <cell r="X478" t="str">
            <v>6939</v>
          </cell>
        </row>
        <row r="479">
          <cell r="U479">
            <v>26940</v>
          </cell>
          <cell r="V479" t="str">
            <v>2</v>
          </cell>
          <cell r="W479" t="str">
            <v>ΛΟΙΠΑ ΣΙΤΗΡΑ</v>
          </cell>
          <cell r="X479" t="str">
            <v>6940</v>
          </cell>
        </row>
        <row r="480">
          <cell r="U480">
            <v>26941</v>
          </cell>
          <cell r="V480" t="str">
            <v>2</v>
          </cell>
          <cell r="W480" t="str">
            <v>ΛΟΙΠΑ ΣΙΤΗΡΑ</v>
          </cell>
          <cell r="X480" t="str">
            <v>6941</v>
          </cell>
        </row>
        <row r="481">
          <cell r="U481">
            <v>26942</v>
          </cell>
          <cell r="V481" t="str">
            <v>2</v>
          </cell>
          <cell r="W481" t="str">
            <v>ΛΟΙΠΑ ΣΙΤΗΡΑ</v>
          </cell>
          <cell r="X481" t="str">
            <v>6942</v>
          </cell>
        </row>
        <row r="482">
          <cell r="U482">
            <v>26943</v>
          </cell>
          <cell r="V482" t="str">
            <v>2</v>
          </cell>
          <cell r="W482" t="str">
            <v>ΛΟΙΠΑ ΣΙΤΗΡΑ</v>
          </cell>
          <cell r="X482" t="str">
            <v>6943</v>
          </cell>
        </row>
        <row r="483">
          <cell r="U483">
            <v>26944</v>
          </cell>
          <cell r="V483" t="str">
            <v>2</v>
          </cell>
          <cell r="W483" t="str">
            <v>ΛΟΙΠΑ ΣΙΤΗΡΑ</v>
          </cell>
          <cell r="X483" t="str">
            <v>6944</v>
          </cell>
        </row>
        <row r="484">
          <cell r="U484">
            <v>27600</v>
          </cell>
          <cell r="V484" t="str">
            <v>2</v>
          </cell>
          <cell r="W484" t="str">
            <v>ΛΟΙΠΑ ΣΙΤΗΡΑ</v>
          </cell>
          <cell r="X484" t="str">
            <v>7600</v>
          </cell>
        </row>
        <row r="485">
          <cell r="U485">
            <v>27601</v>
          </cell>
          <cell r="V485" t="str">
            <v>2</v>
          </cell>
          <cell r="W485" t="str">
            <v>ΛΟΙΠΑ ΣΙΤΗΡΑ</v>
          </cell>
          <cell r="X485" t="str">
            <v>7601</v>
          </cell>
        </row>
        <row r="486">
          <cell r="U486">
            <v>27602</v>
          </cell>
          <cell r="V486" t="str">
            <v>2</v>
          </cell>
          <cell r="W486" t="str">
            <v>ΛΟΙΠΑ ΣΙΤΗΡΑ</v>
          </cell>
          <cell r="X486" t="str">
            <v>7602</v>
          </cell>
        </row>
        <row r="487">
          <cell r="U487">
            <v>27603</v>
          </cell>
          <cell r="V487" t="str">
            <v>2</v>
          </cell>
          <cell r="W487" t="str">
            <v>ΛΟΙΠΑ ΣΙΤΗΡΑ</v>
          </cell>
          <cell r="X487" t="str">
            <v>7603</v>
          </cell>
        </row>
        <row r="488">
          <cell r="U488">
            <v>27604</v>
          </cell>
          <cell r="V488" t="str">
            <v>2</v>
          </cell>
          <cell r="W488" t="str">
            <v>ΛΟΙΠΑ ΣΙΤΗΡΑ</v>
          </cell>
          <cell r="X488" t="str">
            <v>7604</v>
          </cell>
        </row>
        <row r="489">
          <cell r="U489">
            <v>27605</v>
          </cell>
          <cell r="V489" t="str">
            <v>2</v>
          </cell>
          <cell r="W489" t="str">
            <v>ΛΟΙΠΑ ΣΙΤΗΡΑ</v>
          </cell>
          <cell r="X489" t="str">
            <v>7605</v>
          </cell>
        </row>
        <row r="490">
          <cell r="U490">
            <v>27700</v>
          </cell>
          <cell r="V490" t="str">
            <v>2</v>
          </cell>
          <cell r="W490" t="str">
            <v>ΛΟΙΠΑ ΣΙΤΗΡΑ</v>
          </cell>
          <cell r="X490" t="str">
            <v>7700</v>
          </cell>
        </row>
        <row r="491">
          <cell r="U491">
            <v>27701</v>
          </cell>
          <cell r="V491" t="str">
            <v>2</v>
          </cell>
          <cell r="W491" t="str">
            <v>ΛΟΙΠΑ ΣΙΤΗΡΑ</v>
          </cell>
          <cell r="X491" t="str">
            <v>7701</v>
          </cell>
        </row>
        <row r="492">
          <cell r="U492">
            <v>27702</v>
          </cell>
          <cell r="V492" t="str">
            <v>2</v>
          </cell>
          <cell r="W492" t="str">
            <v>ΛΟΙΠΑ ΣΙΤΗΡΑ</v>
          </cell>
          <cell r="X492" t="str">
            <v>7702</v>
          </cell>
        </row>
        <row r="493">
          <cell r="U493">
            <v>27703</v>
          </cell>
          <cell r="V493" t="str">
            <v>2</v>
          </cell>
          <cell r="W493" t="str">
            <v>ΛΟΙΠΑ ΣΙΤΗΡΑ</v>
          </cell>
          <cell r="X493" t="str">
            <v>7703</v>
          </cell>
        </row>
        <row r="494">
          <cell r="U494">
            <v>27704</v>
          </cell>
          <cell r="V494" t="str">
            <v>2</v>
          </cell>
          <cell r="W494" t="str">
            <v>ΛΟΙΠΑ ΣΙΤΗΡΑ</v>
          </cell>
          <cell r="X494" t="str">
            <v>7704</v>
          </cell>
        </row>
        <row r="495">
          <cell r="U495">
            <v>27705</v>
          </cell>
          <cell r="V495" t="str">
            <v>2</v>
          </cell>
          <cell r="W495" t="str">
            <v>ΛΟΙΠΑ ΣΙΤΗΡΑ</v>
          </cell>
          <cell r="X495" t="str">
            <v>7705</v>
          </cell>
        </row>
        <row r="496">
          <cell r="U496">
            <v>27706</v>
          </cell>
          <cell r="V496" t="str">
            <v>2</v>
          </cell>
          <cell r="W496" t="str">
            <v>ΛΟΙΠΑ ΣΙΤΗΡΑ</v>
          </cell>
          <cell r="X496" t="str">
            <v>7706</v>
          </cell>
        </row>
        <row r="497">
          <cell r="U497">
            <v>27707</v>
          </cell>
          <cell r="V497" t="str">
            <v>2</v>
          </cell>
          <cell r="W497" t="str">
            <v>ΛΟΙΠΑ ΣΙΤΗΡΑ</v>
          </cell>
          <cell r="X497" t="str">
            <v>7707</v>
          </cell>
        </row>
        <row r="498">
          <cell r="U498">
            <v>27708</v>
          </cell>
          <cell r="V498" t="str">
            <v>2</v>
          </cell>
          <cell r="W498" t="str">
            <v>ΛΟΙΠΑ ΣΙΤΗΡΑ</v>
          </cell>
          <cell r="X498" t="str">
            <v>7708</v>
          </cell>
        </row>
        <row r="499">
          <cell r="U499">
            <v>27709</v>
          </cell>
          <cell r="V499" t="str">
            <v>2</v>
          </cell>
          <cell r="W499" t="str">
            <v>ΛΟΙΠΑ ΣΙΤΗΡΑ</v>
          </cell>
          <cell r="X499" t="str">
            <v>7709</v>
          </cell>
        </row>
        <row r="500">
          <cell r="U500">
            <v>27710</v>
          </cell>
          <cell r="V500" t="str">
            <v>2</v>
          </cell>
          <cell r="W500" t="str">
            <v>ΛΟΙΠΑ ΣΙΤΗΡΑ</v>
          </cell>
          <cell r="X500" t="str">
            <v>7710</v>
          </cell>
        </row>
        <row r="501">
          <cell r="U501">
            <v>27711</v>
          </cell>
          <cell r="V501" t="str">
            <v>2</v>
          </cell>
          <cell r="W501" t="str">
            <v>ΛΟΙΠΑ ΣΙΤΗΡΑ</v>
          </cell>
          <cell r="X501" t="str">
            <v>7711</v>
          </cell>
        </row>
        <row r="502">
          <cell r="U502">
            <v>27712</v>
          </cell>
          <cell r="V502" t="str">
            <v>2</v>
          </cell>
          <cell r="W502" t="str">
            <v>ΛΟΙΠΑ ΣΙΤΗΡΑ</v>
          </cell>
          <cell r="X502" t="str">
            <v>7712</v>
          </cell>
        </row>
        <row r="503">
          <cell r="U503">
            <v>27713</v>
          </cell>
          <cell r="V503" t="str">
            <v>2</v>
          </cell>
          <cell r="W503" t="str">
            <v>ΛΟΙΠΑ ΣΙΤΗΡΑ</v>
          </cell>
          <cell r="X503" t="str">
            <v>7713</v>
          </cell>
        </row>
        <row r="504">
          <cell r="U504">
            <v>27714</v>
          </cell>
          <cell r="V504" t="str">
            <v>2</v>
          </cell>
          <cell r="W504" t="str">
            <v>ΛΟΙΠΑ ΣΙΤΗΡΑ</v>
          </cell>
          <cell r="X504" t="str">
            <v>7714</v>
          </cell>
        </row>
        <row r="505">
          <cell r="U505">
            <v>27715</v>
          </cell>
          <cell r="V505" t="str">
            <v>2</v>
          </cell>
          <cell r="W505" t="str">
            <v>ΛΟΙΠΑ ΣΙΤΗΡΑ</v>
          </cell>
          <cell r="X505" t="str">
            <v>7715</v>
          </cell>
        </row>
        <row r="506">
          <cell r="U506">
            <v>27716</v>
          </cell>
          <cell r="V506" t="str">
            <v>2</v>
          </cell>
          <cell r="W506" t="str">
            <v>ΛΟΙΠΑ ΣΙΤΗΡΑ</v>
          </cell>
          <cell r="X506" t="str">
            <v>7716</v>
          </cell>
        </row>
        <row r="507">
          <cell r="U507">
            <v>27717</v>
          </cell>
          <cell r="V507" t="str">
            <v>2</v>
          </cell>
          <cell r="W507" t="str">
            <v>ΛΟΙΠΑ ΣΙΤΗΡΑ</v>
          </cell>
          <cell r="X507" t="str">
            <v>7717</v>
          </cell>
        </row>
        <row r="508">
          <cell r="U508">
            <v>27718</v>
          </cell>
          <cell r="V508" t="str">
            <v>2</v>
          </cell>
          <cell r="W508" t="str">
            <v>ΛΟΙΠΑ ΣΙΤΗΡΑ</v>
          </cell>
          <cell r="X508" t="str">
            <v>7718</v>
          </cell>
        </row>
        <row r="509">
          <cell r="U509">
            <v>27719</v>
          </cell>
          <cell r="V509" t="str">
            <v>2</v>
          </cell>
          <cell r="W509" t="str">
            <v>ΛΟΙΠΑ ΣΙΤΗΡΑ</v>
          </cell>
          <cell r="X509" t="str">
            <v>7719</v>
          </cell>
        </row>
        <row r="510">
          <cell r="U510">
            <v>27720</v>
          </cell>
          <cell r="V510" t="str">
            <v>2</v>
          </cell>
          <cell r="W510" t="str">
            <v>ΛΟΙΠΑ ΣΙΤΗΡΑ</v>
          </cell>
          <cell r="X510" t="str">
            <v>7720</v>
          </cell>
        </row>
        <row r="511">
          <cell r="U511">
            <v>27721</v>
          </cell>
          <cell r="V511" t="str">
            <v>2</v>
          </cell>
          <cell r="W511" t="str">
            <v>ΛΟΙΠΑ ΣΙΤΗΡΑ</v>
          </cell>
          <cell r="X511" t="str">
            <v>7721</v>
          </cell>
        </row>
        <row r="512">
          <cell r="U512">
            <v>27722</v>
          </cell>
          <cell r="V512" t="str">
            <v>2</v>
          </cell>
          <cell r="W512" t="str">
            <v>ΛΟΙΠΑ ΣΙΤΗΡΑ</v>
          </cell>
          <cell r="X512" t="str">
            <v>7722</v>
          </cell>
        </row>
        <row r="513">
          <cell r="U513">
            <v>27723</v>
          </cell>
          <cell r="V513" t="str">
            <v>2</v>
          </cell>
          <cell r="W513" t="str">
            <v>ΛΟΙΠΑ ΣΙΤΗΡΑ</v>
          </cell>
          <cell r="X513" t="str">
            <v>7723</v>
          </cell>
        </row>
        <row r="514">
          <cell r="U514">
            <v>27724</v>
          </cell>
          <cell r="V514" t="str">
            <v>2</v>
          </cell>
          <cell r="W514" t="str">
            <v>ΛΟΙΠΑ ΣΙΤΗΡΑ</v>
          </cell>
          <cell r="X514" t="str">
            <v>7724</v>
          </cell>
        </row>
        <row r="515">
          <cell r="U515">
            <v>27725</v>
          </cell>
          <cell r="V515" t="str">
            <v>2</v>
          </cell>
          <cell r="W515" t="str">
            <v>ΛΟΙΠΑ ΣΙΤΗΡΑ</v>
          </cell>
          <cell r="X515" t="str">
            <v>7725</v>
          </cell>
        </row>
        <row r="516">
          <cell r="U516">
            <v>27726</v>
          </cell>
          <cell r="V516" t="str">
            <v>2</v>
          </cell>
          <cell r="W516" t="str">
            <v>ΛΟΙΠΑ ΣΙΤΗΡΑ</v>
          </cell>
          <cell r="X516" t="str">
            <v>7726</v>
          </cell>
        </row>
        <row r="517">
          <cell r="U517">
            <v>27727</v>
          </cell>
          <cell r="V517" t="str">
            <v>2</v>
          </cell>
          <cell r="W517" t="str">
            <v>ΛΟΙΠΑ ΣΙΤΗΡΑ</v>
          </cell>
          <cell r="X517" t="str">
            <v>7727</v>
          </cell>
        </row>
        <row r="518">
          <cell r="U518">
            <v>27728</v>
          </cell>
          <cell r="V518" t="str">
            <v>2</v>
          </cell>
          <cell r="W518" t="str">
            <v>ΛΟΙΠΑ ΣΙΤΗΡΑ</v>
          </cell>
          <cell r="X518" t="str">
            <v>7728</v>
          </cell>
        </row>
        <row r="519">
          <cell r="U519">
            <v>27729</v>
          </cell>
          <cell r="V519" t="str">
            <v>2</v>
          </cell>
          <cell r="W519" t="str">
            <v>ΛΟΙΠΑ ΣΙΤΗΡΑ</v>
          </cell>
          <cell r="X519" t="str">
            <v>7729</v>
          </cell>
        </row>
        <row r="520">
          <cell r="U520">
            <v>27730</v>
          </cell>
          <cell r="V520" t="str">
            <v>2</v>
          </cell>
          <cell r="W520" t="str">
            <v>ΛΟΙΠΑ ΣΙΤΗΡΑ</v>
          </cell>
          <cell r="X520" t="str">
            <v>7730</v>
          </cell>
        </row>
        <row r="521">
          <cell r="U521">
            <v>27731</v>
          </cell>
          <cell r="V521" t="str">
            <v>2</v>
          </cell>
          <cell r="W521" t="str">
            <v>ΛΟΙΠΑ ΣΙΤΗΡΑ</v>
          </cell>
          <cell r="X521" t="str">
            <v>7731</v>
          </cell>
        </row>
        <row r="522">
          <cell r="U522">
            <v>27732</v>
          </cell>
          <cell r="V522" t="str">
            <v>2</v>
          </cell>
          <cell r="W522" t="str">
            <v>ΛΟΙΠΑ ΣΙΤΗΡΑ</v>
          </cell>
          <cell r="X522" t="str">
            <v>7732</v>
          </cell>
        </row>
        <row r="523">
          <cell r="U523">
            <v>27733</v>
          </cell>
          <cell r="V523" t="str">
            <v>2</v>
          </cell>
          <cell r="W523" t="str">
            <v>ΛΟΙΠΑ ΣΙΤΗΡΑ</v>
          </cell>
          <cell r="X523" t="str">
            <v>7733</v>
          </cell>
        </row>
        <row r="524">
          <cell r="U524">
            <v>27734</v>
          </cell>
          <cell r="V524" t="str">
            <v>2</v>
          </cell>
          <cell r="W524" t="str">
            <v>ΛΟΙΠΑ ΣΙΤΗΡΑ</v>
          </cell>
          <cell r="X524" t="str">
            <v>7734</v>
          </cell>
        </row>
        <row r="525">
          <cell r="U525">
            <v>27735</v>
          </cell>
          <cell r="V525" t="str">
            <v>2</v>
          </cell>
          <cell r="W525" t="str">
            <v>ΛΟΙΠΑ ΣΙΤΗΡΑ</v>
          </cell>
          <cell r="X525" t="str">
            <v>7735</v>
          </cell>
        </row>
        <row r="526">
          <cell r="U526">
            <v>27736</v>
          </cell>
          <cell r="V526" t="str">
            <v>2</v>
          </cell>
          <cell r="W526" t="str">
            <v>ΛΟΙΠΑ ΣΙΤΗΡΑ</v>
          </cell>
          <cell r="X526" t="str">
            <v>7736</v>
          </cell>
        </row>
        <row r="527">
          <cell r="U527">
            <v>27737</v>
          </cell>
          <cell r="V527" t="str">
            <v>2</v>
          </cell>
          <cell r="W527" t="str">
            <v>ΛΟΙΠΑ ΣΙΤΗΡΑ</v>
          </cell>
          <cell r="X527" t="str">
            <v>7737</v>
          </cell>
        </row>
        <row r="528">
          <cell r="U528">
            <v>27738</v>
          </cell>
          <cell r="V528" t="str">
            <v>2</v>
          </cell>
          <cell r="W528" t="str">
            <v>ΛΟΙΠΑ ΣΙΤΗΡΑ</v>
          </cell>
          <cell r="X528" t="str">
            <v>7738</v>
          </cell>
        </row>
        <row r="529">
          <cell r="U529">
            <v>27739</v>
          </cell>
          <cell r="V529" t="str">
            <v>2</v>
          </cell>
          <cell r="W529" t="str">
            <v>ΛΟΙΠΑ ΣΙΤΗΡΑ</v>
          </cell>
          <cell r="X529" t="str">
            <v>7739</v>
          </cell>
        </row>
        <row r="530">
          <cell r="U530">
            <v>27740</v>
          </cell>
          <cell r="V530" t="str">
            <v>2</v>
          </cell>
          <cell r="W530" t="str">
            <v>ΛΟΙΠΑ ΣΙΤΗΡΑ</v>
          </cell>
          <cell r="X530" t="str">
            <v>7740</v>
          </cell>
        </row>
        <row r="531">
          <cell r="U531">
            <v>27741</v>
          </cell>
          <cell r="V531" t="str">
            <v>2</v>
          </cell>
          <cell r="W531" t="str">
            <v>ΛΟΙΠΑ ΣΙΤΗΡΑ</v>
          </cell>
          <cell r="X531" t="str">
            <v>7741</v>
          </cell>
        </row>
        <row r="532">
          <cell r="U532">
            <v>27742</v>
          </cell>
          <cell r="V532" t="str">
            <v>2</v>
          </cell>
          <cell r="W532" t="str">
            <v>ΛΟΙΠΑ ΣΙΤΗΡΑ</v>
          </cell>
          <cell r="X532" t="str">
            <v>7742</v>
          </cell>
        </row>
        <row r="533">
          <cell r="U533">
            <v>27743</v>
          </cell>
          <cell r="V533" t="str">
            <v>2</v>
          </cell>
          <cell r="W533" t="str">
            <v>ΛΟΙΠΑ ΣΙΤΗΡΑ</v>
          </cell>
          <cell r="X533" t="str">
            <v>7743</v>
          </cell>
        </row>
        <row r="534">
          <cell r="U534">
            <v>27744</v>
          </cell>
          <cell r="V534" t="str">
            <v>2</v>
          </cell>
          <cell r="W534" t="str">
            <v>ΛΟΙΠΑ ΣΙΤΗΡΑ</v>
          </cell>
          <cell r="X534" t="str">
            <v>7744</v>
          </cell>
        </row>
        <row r="535">
          <cell r="U535">
            <v>27745</v>
          </cell>
          <cell r="V535" t="str">
            <v>2</v>
          </cell>
          <cell r="W535" t="str">
            <v>ΛΟΙΠΑ ΣΙΤΗΡΑ</v>
          </cell>
          <cell r="X535" t="str">
            <v>7745</v>
          </cell>
        </row>
        <row r="536">
          <cell r="U536">
            <v>27746</v>
          </cell>
          <cell r="V536" t="str">
            <v>2</v>
          </cell>
          <cell r="W536" t="str">
            <v>ΛΟΙΠΑ ΣΙΤΗΡΑ</v>
          </cell>
          <cell r="X536" t="str">
            <v>7746</v>
          </cell>
        </row>
        <row r="537">
          <cell r="U537">
            <v>27747</v>
          </cell>
          <cell r="V537" t="str">
            <v>2</v>
          </cell>
          <cell r="W537" t="str">
            <v>ΛΟΙΠΑ ΣΙΤΗΡΑ</v>
          </cell>
          <cell r="X537" t="str">
            <v>7747</v>
          </cell>
        </row>
        <row r="538">
          <cell r="U538">
            <v>27748</v>
          </cell>
          <cell r="V538" t="str">
            <v>2</v>
          </cell>
          <cell r="W538" t="str">
            <v>ΛΟΙΠΑ ΣΙΤΗΡΑ</v>
          </cell>
          <cell r="X538" t="str">
            <v>7748</v>
          </cell>
        </row>
        <row r="539">
          <cell r="U539">
            <v>27749</v>
          </cell>
          <cell r="V539" t="str">
            <v>2</v>
          </cell>
          <cell r="W539" t="str">
            <v>ΛΟΙΠΑ ΣΙΤΗΡΑ</v>
          </cell>
          <cell r="X539" t="str">
            <v>7749</v>
          </cell>
        </row>
        <row r="540">
          <cell r="U540">
            <v>27750</v>
          </cell>
          <cell r="V540" t="str">
            <v>2</v>
          </cell>
          <cell r="W540" t="str">
            <v>ΛΟΙΠΑ ΣΙΤΗΡΑ</v>
          </cell>
          <cell r="X540" t="str">
            <v>7750</v>
          </cell>
        </row>
        <row r="541">
          <cell r="U541">
            <v>27777</v>
          </cell>
          <cell r="V541" t="str">
            <v>2</v>
          </cell>
          <cell r="W541" t="str">
            <v>ΛΟΙΠΑ ΣΙΤΗΡΑ</v>
          </cell>
          <cell r="X541" t="str">
            <v>7777</v>
          </cell>
        </row>
        <row r="542">
          <cell r="U542">
            <v>27778</v>
          </cell>
          <cell r="V542" t="str">
            <v>2</v>
          </cell>
          <cell r="W542" t="str">
            <v>ΛΟΙΠΑ ΣΙΤΗΡΑ</v>
          </cell>
          <cell r="X542" t="str">
            <v>7778</v>
          </cell>
        </row>
        <row r="543">
          <cell r="U543">
            <v>27779</v>
          </cell>
          <cell r="V543" t="str">
            <v>2</v>
          </cell>
          <cell r="W543" t="str">
            <v>ΛΟΙΠΑ ΣΙΤΗΡΑ</v>
          </cell>
          <cell r="X543" t="str">
            <v>7779</v>
          </cell>
        </row>
        <row r="544">
          <cell r="U544">
            <v>27781</v>
          </cell>
          <cell r="V544" t="str">
            <v>2</v>
          </cell>
          <cell r="W544" t="str">
            <v>ΛΟΙΠΑ ΣΙΤΗΡΑ</v>
          </cell>
          <cell r="X544" t="str">
            <v>7781</v>
          </cell>
        </row>
        <row r="545">
          <cell r="U545">
            <v>27782</v>
          </cell>
          <cell r="V545" t="str">
            <v>2</v>
          </cell>
          <cell r="W545" t="str">
            <v>ΛΟΙΠΑ ΣΙΤΗΡΑ</v>
          </cell>
          <cell r="X545" t="str">
            <v>7782</v>
          </cell>
        </row>
        <row r="546">
          <cell r="U546">
            <v>27783</v>
          </cell>
          <cell r="V546" t="str">
            <v>2</v>
          </cell>
          <cell r="W546" t="str">
            <v>ΛΟΙΠΑ ΣΙΤΗΡΑ</v>
          </cell>
          <cell r="X546" t="str">
            <v>7783</v>
          </cell>
        </row>
        <row r="547">
          <cell r="U547">
            <v>27784</v>
          </cell>
          <cell r="V547" t="str">
            <v>2</v>
          </cell>
          <cell r="W547" t="str">
            <v>ΛΟΙΠΑ ΣΙΤΗΡΑ</v>
          </cell>
          <cell r="X547" t="str">
            <v>7784</v>
          </cell>
        </row>
        <row r="548">
          <cell r="U548">
            <v>27785</v>
          </cell>
          <cell r="V548" t="str">
            <v>2</v>
          </cell>
          <cell r="W548" t="str">
            <v>ΛΟΙΠΑ ΣΙΤΗΡΑ</v>
          </cell>
          <cell r="X548" t="str">
            <v>7785</v>
          </cell>
        </row>
        <row r="549">
          <cell r="U549">
            <v>27786</v>
          </cell>
          <cell r="V549" t="str">
            <v>2</v>
          </cell>
          <cell r="W549" t="str">
            <v>ΛΟΙΠΑ ΣΙΤΗΡΑ</v>
          </cell>
          <cell r="X549" t="str">
            <v>7786</v>
          </cell>
        </row>
        <row r="550">
          <cell r="U550">
            <v>27787</v>
          </cell>
          <cell r="V550" t="str">
            <v>2</v>
          </cell>
          <cell r="W550" t="str">
            <v>ΛΟΙΠΑ ΣΙΤΗΡΑ</v>
          </cell>
          <cell r="X550" t="str">
            <v>7787</v>
          </cell>
        </row>
        <row r="551">
          <cell r="U551">
            <v>27788</v>
          </cell>
          <cell r="V551" t="str">
            <v>2</v>
          </cell>
          <cell r="W551" t="str">
            <v>ΛΟΙΠΑ ΣΙΤΗΡΑ</v>
          </cell>
          <cell r="X551" t="str">
            <v>7788</v>
          </cell>
        </row>
        <row r="552">
          <cell r="U552">
            <v>27789</v>
          </cell>
          <cell r="V552" t="str">
            <v>2</v>
          </cell>
          <cell r="W552" t="str">
            <v>ΛΟΙΠΑ ΣΙΤΗΡΑ</v>
          </cell>
          <cell r="X552" t="str">
            <v>7789</v>
          </cell>
        </row>
        <row r="553">
          <cell r="U553">
            <v>27790</v>
          </cell>
          <cell r="V553" t="str">
            <v>2</v>
          </cell>
          <cell r="W553" t="str">
            <v>ΛΟΙΠΑ ΣΙΤΗΡΑ</v>
          </cell>
          <cell r="X553" t="str">
            <v>7790</v>
          </cell>
        </row>
        <row r="554">
          <cell r="U554">
            <v>27791</v>
          </cell>
          <cell r="V554" t="str">
            <v>2</v>
          </cell>
          <cell r="W554" t="str">
            <v>ΛΟΙΠΑ ΣΙΤΗΡΑ</v>
          </cell>
          <cell r="X554" t="str">
            <v>7791</v>
          </cell>
        </row>
        <row r="555">
          <cell r="U555">
            <v>27792</v>
          </cell>
          <cell r="V555" t="str">
            <v>2</v>
          </cell>
          <cell r="W555" t="str">
            <v>ΛΟΙΠΑ ΣΙΤΗΡΑ</v>
          </cell>
          <cell r="X555" t="str">
            <v>7792</v>
          </cell>
        </row>
        <row r="556">
          <cell r="U556">
            <v>27793</v>
          </cell>
          <cell r="V556" t="str">
            <v>2</v>
          </cell>
          <cell r="W556" t="str">
            <v>ΛΟΙΠΑ ΣΙΤΗΡΑ</v>
          </cell>
          <cell r="X556" t="str">
            <v>7793</v>
          </cell>
        </row>
        <row r="557">
          <cell r="U557">
            <v>27794</v>
          </cell>
          <cell r="V557" t="str">
            <v>2</v>
          </cell>
          <cell r="W557" t="str">
            <v>ΛΟΙΠΑ ΣΙΤΗΡΑ</v>
          </cell>
          <cell r="X557" t="str">
            <v>7794</v>
          </cell>
        </row>
        <row r="558">
          <cell r="U558">
            <v>27795</v>
          </cell>
          <cell r="V558" t="str">
            <v>2</v>
          </cell>
          <cell r="W558" t="str">
            <v>ΛΟΙΠΑ ΣΙΤΗΡΑ</v>
          </cell>
          <cell r="X558" t="str">
            <v>7795</v>
          </cell>
        </row>
        <row r="559">
          <cell r="U559">
            <v>27796</v>
          </cell>
          <cell r="V559" t="str">
            <v>2</v>
          </cell>
          <cell r="W559" t="str">
            <v>ΛΟΙΠΑ ΣΙΤΗΡΑ</v>
          </cell>
          <cell r="X559" t="str">
            <v>7796</v>
          </cell>
        </row>
        <row r="560">
          <cell r="U560">
            <v>27797</v>
          </cell>
          <cell r="V560" t="str">
            <v>2</v>
          </cell>
          <cell r="W560" t="str">
            <v>ΛΟΙΠΑ ΣΙΤΗΡΑ</v>
          </cell>
          <cell r="X560" t="str">
            <v>7797</v>
          </cell>
        </row>
        <row r="561">
          <cell r="U561">
            <v>27798</v>
          </cell>
          <cell r="V561" t="str">
            <v>2</v>
          </cell>
          <cell r="W561" t="str">
            <v>ΛΟΙΠΑ ΣΙΤΗΡΑ</v>
          </cell>
          <cell r="X561" t="str">
            <v>7798</v>
          </cell>
        </row>
        <row r="562">
          <cell r="U562">
            <v>27800</v>
          </cell>
          <cell r="V562" t="str">
            <v>2</v>
          </cell>
          <cell r="W562" t="str">
            <v>ΛΟΙΠΑ ΣΙΤΗΡΑ</v>
          </cell>
          <cell r="X562" t="str">
            <v>7800</v>
          </cell>
        </row>
        <row r="563">
          <cell r="U563">
            <v>28110</v>
          </cell>
          <cell r="V563" t="str">
            <v>2</v>
          </cell>
          <cell r="W563" t="str">
            <v>ΛΟΙΠΑ ΣΙΤΗΡΑ</v>
          </cell>
          <cell r="X563" t="str">
            <v>8110</v>
          </cell>
        </row>
        <row r="564">
          <cell r="U564">
            <v>46299</v>
          </cell>
          <cell r="V564" t="str">
            <v>4</v>
          </cell>
          <cell r="W564" t="str">
            <v>ΕΛΑΙΟΥΧΟΙ ΣΠΟΡΟΙ</v>
          </cell>
          <cell r="X564" t="str">
            <v>6299</v>
          </cell>
        </row>
        <row r="565">
          <cell r="U565">
            <v>46301</v>
          </cell>
          <cell r="V565" t="str">
            <v>4</v>
          </cell>
          <cell r="W565" t="str">
            <v>ΕΛΑΙΟΥΧΟΙ ΣΠΟΡΟΙ</v>
          </cell>
          <cell r="X565" t="str">
            <v>6301</v>
          </cell>
        </row>
        <row r="566">
          <cell r="U566">
            <v>46302</v>
          </cell>
          <cell r="V566" t="str">
            <v>4</v>
          </cell>
          <cell r="W566" t="str">
            <v>ΕΛΑΙΟΥΧΟΙ ΣΠΟΡΟΙ</v>
          </cell>
          <cell r="X566" t="str">
            <v>6302</v>
          </cell>
        </row>
        <row r="567">
          <cell r="U567">
            <v>46303</v>
          </cell>
          <cell r="V567" t="str">
            <v>4</v>
          </cell>
          <cell r="W567" t="str">
            <v>ΕΛΑΙΟΥΧΟΙ ΣΠΟΡΟΙ</v>
          </cell>
          <cell r="X567" t="str">
            <v>6303</v>
          </cell>
        </row>
        <row r="568">
          <cell r="U568">
            <v>46304</v>
          </cell>
          <cell r="V568" t="str">
            <v>4</v>
          </cell>
          <cell r="W568" t="str">
            <v>ΕΛΑΙΟΥΧΟΙ ΣΠΟΡΟΙ</v>
          </cell>
          <cell r="X568" t="str">
            <v>6304</v>
          </cell>
        </row>
        <row r="569">
          <cell r="U569">
            <v>46305</v>
          </cell>
          <cell r="V569" t="str">
            <v>4</v>
          </cell>
          <cell r="W569" t="str">
            <v>ΕΛΑΙΟΥΧΟΙ ΣΠΟΡΟΙ</v>
          </cell>
          <cell r="X569" t="str">
            <v>6305</v>
          </cell>
        </row>
        <row r="570">
          <cell r="U570">
            <v>46310</v>
          </cell>
          <cell r="V570" t="str">
            <v>4</v>
          </cell>
          <cell r="W570" t="str">
            <v>ΕΛΑΙΟΥΧΟΙ ΣΠΟΡΟΙ</v>
          </cell>
          <cell r="X570" t="str">
            <v>6310</v>
          </cell>
        </row>
        <row r="571">
          <cell r="U571">
            <v>46311</v>
          </cell>
          <cell r="V571" t="str">
            <v>4</v>
          </cell>
          <cell r="W571" t="str">
            <v>ΕΛΑΙΟΥΧΟΙ ΣΠΟΡΟΙ</v>
          </cell>
          <cell r="X571" t="str">
            <v>6311</v>
          </cell>
        </row>
        <row r="572">
          <cell r="U572">
            <v>46398</v>
          </cell>
          <cell r="V572" t="str">
            <v>4</v>
          </cell>
          <cell r="W572" t="str">
            <v>ΕΛΑΙΟΥΧΟΙ ΣΠΟΡΟΙ</v>
          </cell>
          <cell r="X572" t="str">
            <v>6398</v>
          </cell>
        </row>
        <row r="573">
          <cell r="U573">
            <v>46401</v>
          </cell>
          <cell r="V573" t="str">
            <v>4</v>
          </cell>
          <cell r="W573" t="str">
            <v>ΕΛΑΙΟΥΧΟΙ ΣΠΟΡΟΙ</v>
          </cell>
          <cell r="X573" t="str">
            <v>6401</v>
          </cell>
        </row>
        <row r="574">
          <cell r="U574">
            <v>46402</v>
          </cell>
          <cell r="V574" t="str">
            <v>4</v>
          </cell>
          <cell r="W574" t="str">
            <v>ΕΛΑΙΟΥΧΟΙ ΣΠΟΡΟΙ</v>
          </cell>
          <cell r="X574" t="str">
            <v>6402</v>
          </cell>
        </row>
        <row r="575">
          <cell r="U575">
            <v>48703</v>
          </cell>
          <cell r="V575" t="str">
            <v>4</v>
          </cell>
          <cell r="W575" t="str">
            <v>ΕΛΑΙΟΥΧΟΙ ΣΠΟΡΟΙ</v>
          </cell>
          <cell r="X575" t="str">
            <v>8703</v>
          </cell>
        </row>
        <row r="576">
          <cell r="U576">
            <v>48746</v>
          </cell>
          <cell r="V576" t="str">
            <v>4</v>
          </cell>
          <cell r="W576" t="str">
            <v>ΕΛΑΙΟΥΧΟΙ ΣΠΟΡΟΙ</v>
          </cell>
          <cell r="X576" t="str">
            <v>8746</v>
          </cell>
        </row>
        <row r="577">
          <cell r="U577">
            <v>48747</v>
          </cell>
          <cell r="V577" t="str">
            <v>4</v>
          </cell>
          <cell r="W577" t="str">
            <v>ΕΛΑΙΟΥΧΟΙ ΣΠΟΡΟΙ</v>
          </cell>
          <cell r="X577" t="str">
            <v>8747</v>
          </cell>
        </row>
        <row r="578">
          <cell r="U578">
            <v>61000</v>
          </cell>
          <cell r="V578" t="str">
            <v>6</v>
          </cell>
          <cell r="W578" t="str">
            <v>ΑΓΡΑΝΑΠΑΥΣΗ</v>
          </cell>
          <cell r="X578" t="str">
            <v>1000</v>
          </cell>
        </row>
        <row r="579">
          <cell r="U579">
            <v>77101</v>
          </cell>
          <cell r="V579" t="str">
            <v>7</v>
          </cell>
          <cell r="W579" t="str">
            <v>ΡΥΖΙ</v>
          </cell>
          <cell r="X579" t="str">
            <v>7101</v>
          </cell>
        </row>
        <row r="580">
          <cell r="U580">
            <v>77102</v>
          </cell>
          <cell r="V580" t="str">
            <v>7</v>
          </cell>
          <cell r="W580" t="str">
            <v>ΡΥΖΙ</v>
          </cell>
          <cell r="X580" t="str">
            <v>7102</v>
          </cell>
        </row>
        <row r="581">
          <cell r="U581">
            <v>77103</v>
          </cell>
          <cell r="V581" t="str">
            <v>7</v>
          </cell>
          <cell r="W581" t="str">
            <v>ΡΥΖΙ</v>
          </cell>
          <cell r="X581" t="str">
            <v>7103</v>
          </cell>
        </row>
        <row r="582">
          <cell r="U582">
            <v>77104</v>
          </cell>
          <cell r="V582" t="str">
            <v>7</v>
          </cell>
          <cell r="W582" t="str">
            <v>ΡΥΖΙ</v>
          </cell>
          <cell r="X582" t="str">
            <v>7104</v>
          </cell>
        </row>
        <row r="583">
          <cell r="U583">
            <v>77105</v>
          </cell>
          <cell r="V583" t="str">
            <v>7</v>
          </cell>
          <cell r="W583" t="str">
            <v>ΡΥΖΙ</v>
          </cell>
          <cell r="X583" t="str">
            <v>7105</v>
          </cell>
        </row>
        <row r="584">
          <cell r="U584">
            <v>77106</v>
          </cell>
          <cell r="V584" t="str">
            <v>7</v>
          </cell>
          <cell r="W584" t="str">
            <v>ΡΥΖΙ</v>
          </cell>
          <cell r="X584" t="str">
            <v>7106</v>
          </cell>
        </row>
        <row r="585">
          <cell r="U585">
            <v>77107</v>
          </cell>
          <cell r="V585" t="str">
            <v>7</v>
          </cell>
          <cell r="W585" t="str">
            <v>ΡΥΖΙ</v>
          </cell>
          <cell r="X585" t="str">
            <v>7107</v>
          </cell>
        </row>
        <row r="586">
          <cell r="U586">
            <v>77108</v>
          </cell>
          <cell r="V586" t="str">
            <v>7</v>
          </cell>
          <cell r="W586" t="str">
            <v>ΡΥΖΙ</v>
          </cell>
          <cell r="X586" t="str">
            <v>7108</v>
          </cell>
        </row>
        <row r="587">
          <cell r="U587">
            <v>77109</v>
          </cell>
          <cell r="V587" t="str">
            <v>7</v>
          </cell>
          <cell r="W587" t="str">
            <v>ΡΥΖΙ</v>
          </cell>
          <cell r="X587" t="str">
            <v>7109</v>
          </cell>
        </row>
        <row r="588">
          <cell r="U588">
            <v>77110</v>
          </cell>
          <cell r="V588" t="str">
            <v>7</v>
          </cell>
          <cell r="W588" t="str">
            <v>ΡΥΖΙ</v>
          </cell>
          <cell r="X588" t="str">
            <v>7110</v>
          </cell>
        </row>
        <row r="589">
          <cell r="U589">
            <v>77111</v>
          </cell>
          <cell r="V589" t="str">
            <v>7</v>
          </cell>
          <cell r="W589" t="str">
            <v>ΡΥΖΙ</v>
          </cell>
          <cell r="X589" t="str">
            <v>7111</v>
          </cell>
        </row>
        <row r="590">
          <cell r="U590">
            <v>77112</v>
          </cell>
          <cell r="V590" t="str">
            <v>7</v>
          </cell>
          <cell r="W590" t="str">
            <v>ΡΥΖΙ</v>
          </cell>
          <cell r="X590" t="str">
            <v>7112</v>
          </cell>
        </row>
        <row r="591">
          <cell r="U591">
            <v>77113</v>
          </cell>
          <cell r="V591" t="str">
            <v>7</v>
          </cell>
          <cell r="W591" t="str">
            <v>ΡΥΖΙ</v>
          </cell>
          <cell r="X591" t="str">
            <v>7113</v>
          </cell>
        </row>
        <row r="592">
          <cell r="U592">
            <v>77114</v>
          </cell>
          <cell r="V592" t="str">
            <v>7</v>
          </cell>
          <cell r="W592" t="str">
            <v>ΡΥΖΙ</v>
          </cell>
          <cell r="X592" t="str">
            <v>7114</v>
          </cell>
        </row>
        <row r="593">
          <cell r="U593">
            <v>77115</v>
          </cell>
          <cell r="V593" t="str">
            <v>7</v>
          </cell>
          <cell r="W593" t="str">
            <v>ΡΥΖΙ</v>
          </cell>
          <cell r="X593" t="str">
            <v>7115</v>
          </cell>
        </row>
        <row r="594">
          <cell r="U594">
            <v>77116</v>
          </cell>
          <cell r="V594" t="str">
            <v>7</v>
          </cell>
          <cell r="W594" t="str">
            <v>ΡΥΖΙ</v>
          </cell>
          <cell r="X594" t="str">
            <v>7116</v>
          </cell>
        </row>
        <row r="595">
          <cell r="U595">
            <v>77117</v>
          </cell>
          <cell r="V595" t="str">
            <v>7</v>
          </cell>
          <cell r="W595" t="str">
            <v>ΡΥΖΙ</v>
          </cell>
          <cell r="X595" t="str">
            <v>7117</v>
          </cell>
        </row>
        <row r="596">
          <cell r="U596">
            <v>77118</v>
          </cell>
          <cell r="V596" t="str">
            <v>7</v>
          </cell>
          <cell r="W596" t="str">
            <v>ΡΥΖΙ</v>
          </cell>
          <cell r="X596" t="str">
            <v>7118</v>
          </cell>
        </row>
        <row r="597">
          <cell r="U597">
            <v>77119</v>
          </cell>
          <cell r="V597" t="str">
            <v>7</v>
          </cell>
          <cell r="W597" t="str">
            <v>ΡΥΖΙ</v>
          </cell>
          <cell r="X597" t="str">
            <v>7119</v>
          </cell>
        </row>
        <row r="598">
          <cell r="U598">
            <v>77120</v>
          </cell>
          <cell r="V598" t="str">
            <v>7</v>
          </cell>
          <cell r="W598" t="str">
            <v>ΡΥΖΙ</v>
          </cell>
          <cell r="X598" t="str">
            <v>7120</v>
          </cell>
        </row>
        <row r="599">
          <cell r="U599">
            <v>77121</v>
          </cell>
          <cell r="V599" t="str">
            <v>7</v>
          </cell>
          <cell r="W599" t="str">
            <v>ΡΥΖΙ</v>
          </cell>
          <cell r="X599" t="str">
            <v>7121</v>
          </cell>
        </row>
        <row r="600">
          <cell r="U600">
            <v>77122</v>
          </cell>
          <cell r="V600" t="str">
            <v>7</v>
          </cell>
          <cell r="W600" t="str">
            <v>ΡΥΖΙ</v>
          </cell>
          <cell r="X600" t="str">
            <v>7122</v>
          </cell>
        </row>
        <row r="601">
          <cell r="U601">
            <v>77123</v>
          </cell>
          <cell r="V601" t="str">
            <v>7</v>
          </cell>
          <cell r="W601" t="str">
            <v>ΡΥΖΙ</v>
          </cell>
          <cell r="X601" t="str">
            <v>7123</v>
          </cell>
        </row>
        <row r="602">
          <cell r="U602">
            <v>77124</v>
          </cell>
          <cell r="V602" t="str">
            <v>7</v>
          </cell>
          <cell r="W602" t="str">
            <v>ΡΥΖΙ</v>
          </cell>
          <cell r="X602" t="str">
            <v>7124</v>
          </cell>
        </row>
        <row r="603">
          <cell r="U603">
            <v>77125</v>
          </cell>
          <cell r="V603" t="str">
            <v>7</v>
          </cell>
          <cell r="W603" t="str">
            <v>ΡΥΖΙ</v>
          </cell>
          <cell r="X603" t="str">
            <v>7125</v>
          </cell>
        </row>
        <row r="604">
          <cell r="U604">
            <v>77126</v>
          </cell>
          <cell r="V604" t="str">
            <v>7</v>
          </cell>
          <cell r="W604" t="str">
            <v>ΡΥΖΙ</v>
          </cell>
          <cell r="X604" t="str">
            <v>7126</v>
          </cell>
        </row>
        <row r="605">
          <cell r="U605">
            <v>77127</v>
          </cell>
          <cell r="V605" t="str">
            <v>7</v>
          </cell>
          <cell r="W605" t="str">
            <v>ΡΥΖΙ</v>
          </cell>
          <cell r="X605" t="str">
            <v>7127</v>
          </cell>
        </row>
        <row r="606">
          <cell r="U606">
            <v>77128</v>
          </cell>
          <cell r="V606" t="str">
            <v>7</v>
          </cell>
          <cell r="W606" t="str">
            <v>ΡΥΖΙ</v>
          </cell>
          <cell r="X606" t="str">
            <v>7128</v>
          </cell>
        </row>
        <row r="607">
          <cell r="U607">
            <v>77129</v>
          </cell>
          <cell r="V607" t="str">
            <v>7</v>
          </cell>
          <cell r="W607" t="str">
            <v>ΡΥΖΙ</v>
          </cell>
          <cell r="X607" t="str">
            <v>7129</v>
          </cell>
        </row>
        <row r="608">
          <cell r="U608">
            <v>77130</v>
          </cell>
          <cell r="V608" t="str">
            <v>7</v>
          </cell>
          <cell r="W608" t="str">
            <v>ΡΥΖΙ</v>
          </cell>
          <cell r="X608" t="str">
            <v>7130</v>
          </cell>
        </row>
        <row r="609">
          <cell r="U609">
            <v>77131</v>
          </cell>
          <cell r="V609" t="str">
            <v>7</v>
          </cell>
          <cell r="W609" t="str">
            <v>ΡΥΖΙ</v>
          </cell>
          <cell r="X609" t="str">
            <v>7131</v>
          </cell>
        </row>
        <row r="610">
          <cell r="U610">
            <v>77140</v>
          </cell>
          <cell r="V610" t="str">
            <v>7</v>
          </cell>
          <cell r="W610" t="str">
            <v>ΡΥΖΙ</v>
          </cell>
          <cell r="X610" t="str">
            <v>7140</v>
          </cell>
        </row>
        <row r="611">
          <cell r="U611">
            <v>77144</v>
          </cell>
          <cell r="V611" t="str">
            <v>7</v>
          </cell>
          <cell r="W611" t="str">
            <v>ΡΥΖΙ</v>
          </cell>
          <cell r="X611" t="str">
            <v>7144</v>
          </cell>
        </row>
        <row r="612">
          <cell r="U612">
            <v>77146</v>
          </cell>
          <cell r="V612" t="str">
            <v>7</v>
          </cell>
          <cell r="W612" t="str">
            <v>ΡΥΖΙ</v>
          </cell>
          <cell r="X612" t="str">
            <v>7146</v>
          </cell>
        </row>
        <row r="613">
          <cell r="U613">
            <v>77147</v>
          </cell>
          <cell r="V613" t="str">
            <v>7</v>
          </cell>
          <cell r="W613" t="str">
            <v>ΡΥΖΙ</v>
          </cell>
          <cell r="X613" t="str">
            <v>7147</v>
          </cell>
        </row>
        <row r="614">
          <cell r="U614">
            <v>77199</v>
          </cell>
          <cell r="V614" t="str">
            <v>7</v>
          </cell>
          <cell r="W614" t="str">
            <v>ΡΥΖΙ</v>
          </cell>
          <cell r="X614" t="str">
            <v>7199</v>
          </cell>
        </row>
        <row r="615">
          <cell r="U615">
            <v>81131</v>
          </cell>
          <cell r="V615" t="str">
            <v>8</v>
          </cell>
          <cell r="W615" t="str">
            <v>ΚΤΗΝΟΤΡΟΦΙΚΑ ΦΥΤΑ ΓΙΑ ΖΩΟΤΡΟΦΕΣ</v>
          </cell>
          <cell r="X615" t="str">
            <v>1131</v>
          </cell>
        </row>
        <row r="616">
          <cell r="U616">
            <v>81132</v>
          </cell>
          <cell r="V616" t="str">
            <v>8</v>
          </cell>
          <cell r="W616" t="str">
            <v>ΚΤΗΝΟΤΡΟΦΙΚΑ ΦΥΤΑ ΓΙΑ ΖΩΟΤΡΟΦΕΣ</v>
          </cell>
          <cell r="X616" t="str">
            <v>1132</v>
          </cell>
        </row>
        <row r="617">
          <cell r="U617">
            <v>81133</v>
          </cell>
          <cell r="V617" t="str">
            <v>8</v>
          </cell>
          <cell r="W617" t="str">
            <v>ΚΤΗΝΟΤΡΟΦΙΚΑ ΦΥΤΑ ΓΙΑ ΖΩΟΤΡΟΦΕΣ</v>
          </cell>
          <cell r="X617" t="str">
            <v>1133</v>
          </cell>
        </row>
        <row r="618">
          <cell r="U618">
            <v>81134</v>
          </cell>
          <cell r="V618" t="str">
            <v>8</v>
          </cell>
          <cell r="W618" t="str">
            <v>ΚΤΗΝΟΤΡΟΦΙΚΑ ΦΥΤΑ ΓΙΑ ΖΩΟΤΡΟΦΕΣ</v>
          </cell>
          <cell r="X618" t="str">
            <v>1134</v>
          </cell>
        </row>
        <row r="619">
          <cell r="U619">
            <v>81135</v>
          </cell>
          <cell r="V619" t="str">
            <v>8</v>
          </cell>
          <cell r="W619" t="str">
            <v>ΚΤΗΝΟΤΡΟΦΙΚΑ ΦΥΤΑ ΓΙΑ ΖΩΟΤΡΟΦΕΣ</v>
          </cell>
          <cell r="X619" t="str">
            <v>1135</v>
          </cell>
        </row>
        <row r="620">
          <cell r="U620">
            <v>81136</v>
          </cell>
          <cell r="V620" t="str">
            <v>8</v>
          </cell>
          <cell r="W620" t="str">
            <v>ΚΤΗΝΟΤΡΟΦΙΚΑ ΦΥΤΑ ΓΙΑ ΖΩΟΤΡΟΦΕΣ</v>
          </cell>
          <cell r="X620" t="str">
            <v>1136</v>
          </cell>
        </row>
        <row r="621">
          <cell r="U621">
            <v>81137</v>
          </cell>
          <cell r="V621" t="str">
            <v>8</v>
          </cell>
          <cell r="W621" t="str">
            <v>ΚΤΗΝΟΤΡΟΦΙΚΑ ΦΥΤΑ ΓΙΑ ΖΩΟΤΡΟΦΕΣ</v>
          </cell>
          <cell r="X621" t="str">
            <v>1137</v>
          </cell>
        </row>
        <row r="622">
          <cell r="U622">
            <v>81138</v>
          </cell>
          <cell r="V622" t="str">
            <v>8</v>
          </cell>
          <cell r="W622" t="str">
            <v>ΚΤΗΝΟΤΡΟΦΙΚΑ ΦΥΤΑ ΓΙΑ ΖΩΟΤΡΟΦΕΣ</v>
          </cell>
          <cell r="X622" t="str">
            <v>1138</v>
          </cell>
        </row>
        <row r="623">
          <cell r="U623">
            <v>81141</v>
          </cell>
          <cell r="V623" t="str">
            <v>8</v>
          </cell>
          <cell r="W623" t="str">
            <v>ΚΤΗΝΟΤΡΟΦΙΚΑ ΦΥΤΑ ΓΙΑ ΖΩΟΤΡΟΦΕΣ</v>
          </cell>
          <cell r="X623" t="str">
            <v>1141</v>
          </cell>
        </row>
        <row r="624">
          <cell r="U624">
            <v>81142</v>
          </cell>
          <cell r="V624" t="str">
            <v>8</v>
          </cell>
          <cell r="W624" t="str">
            <v>ΚΤΗΝΟΤΡΟΦΙΚΑ ΦΥΤΑ ΓΙΑ ΖΩΟΤΡΟΦΕΣ</v>
          </cell>
          <cell r="X624" t="str">
            <v>1142</v>
          </cell>
        </row>
        <row r="625">
          <cell r="U625">
            <v>81143</v>
          </cell>
          <cell r="V625" t="str">
            <v>8</v>
          </cell>
          <cell r="W625" t="str">
            <v>ΚΤΗΝΟΤΡΟΦΙΚΑ ΦΥΤΑ ΓΙΑ ΖΩΟΤΡΟΦΕΣ</v>
          </cell>
          <cell r="X625" t="str">
            <v>1143</v>
          </cell>
        </row>
        <row r="626">
          <cell r="U626">
            <v>81152</v>
          </cell>
          <cell r="V626" t="str">
            <v>8</v>
          </cell>
          <cell r="W626" t="str">
            <v>ΚΤΗΝΟΤΡΟΦΙΚΑ ΦΥΤΑ ΓΙΑ ΖΩΟΤΡΟΦΕΣ</v>
          </cell>
          <cell r="X626" t="str">
            <v>1152</v>
          </cell>
        </row>
        <row r="627">
          <cell r="U627">
            <v>81153</v>
          </cell>
          <cell r="V627" t="str">
            <v>8</v>
          </cell>
          <cell r="W627" t="str">
            <v>ΚΤΗΝΟΤΡΟΦΙΚΑ ΦΥΤΑ ΓΙΑ ΖΩΟΤΡΟΦΕΣ</v>
          </cell>
          <cell r="X627" t="str">
            <v>1153</v>
          </cell>
        </row>
        <row r="628">
          <cell r="U628">
            <v>81154</v>
          </cell>
          <cell r="V628" t="str">
            <v>8</v>
          </cell>
          <cell r="W628" t="str">
            <v>ΚΤΗΝΟΤΡΟΦΙΚΑ ΦΥΤΑ ΓΙΑ ΖΩΟΤΡΟΦΕΣ</v>
          </cell>
          <cell r="X628" t="str">
            <v>1154</v>
          </cell>
        </row>
        <row r="629">
          <cell r="U629">
            <v>82000</v>
          </cell>
          <cell r="V629" t="str">
            <v>8</v>
          </cell>
          <cell r="W629" t="str">
            <v>ΚΤΗΝΟΤΡΟΦΙΚΑ ΦΥΤΑ ΓΙΑ ΖΩΟΤΡΟΦΕΣ</v>
          </cell>
          <cell r="X629" t="str">
            <v>2000</v>
          </cell>
        </row>
        <row r="630">
          <cell r="U630">
            <v>82203</v>
          </cell>
          <cell r="V630" t="str">
            <v>8</v>
          </cell>
          <cell r="W630" t="str">
            <v>ΚΤΗΝΟΤΡΟΦΙΚΑ ΦΥΤΑ ΓΙΑ ΖΩΟΤΡΟΦΕΣ</v>
          </cell>
          <cell r="X630" t="str">
            <v>2203</v>
          </cell>
        </row>
        <row r="631">
          <cell r="U631">
            <v>83000</v>
          </cell>
          <cell r="V631" t="str">
            <v>8</v>
          </cell>
          <cell r="W631" t="str">
            <v>ΚΤΗΝΟΤΡΟΦΙΚΑ ΦΥΤΑ ΓΙΑ ΖΩΟΤΡΟΦΕΣ</v>
          </cell>
          <cell r="X631" t="str">
            <v>3000</v>
          </cell>
        </row>
        <row r="632">
          <cell r="U632">
            <v>83099</v>
          </cell>
          <cell r="V632" t="str">
            <v>8</v>
          </cell>
          <cell r="W632" t="str">
            <v>ΚΤΗΝΟΤΡΟΦΙΚΑ ΦΥΤΑ ΓΙΑ ΖΩΟΤΡΟΦΕΣ</v>
          </cell>
          <cell r="X632" t="str">
            <v>3099</v>
          </cell>
        </row>
        <row r="633">
          <cell r="U633">
            <v>84000</v>
          </cell>
          <cell r="V633" t="str">
            <v>8</v>
          </cell>
          <cell r="W633" t="str">
            <v>ΚΤΗΝΟΤΡΟΦΙΚΑ ΦΥΤΑ ΓΙΑ ΖΩΟΤΡΟΦΕΣ</v>
          </cell>
          <cell r="X633" t="str">
            <v>4000</v>
          </cell>
        </row>
        <row r="634">
          <cell r="U634">
            <v>84099</v>
          </cell>
          <cell r="V634" t="str">
            <v>8</v>
          </cell>
          <cell r="W634" t="str">
            <v>ΚΤΗΝΟΤΡΟΦΙΚΑ ΦΥΤΑ ΓΙΑ ΖΩΟΤΡΟΦΕΣ</v>
          </cell>
          <cell r="X634" t="str">
            <v>4099</v>
          </cell>
        </row>
        <row r="635">
          <cell r="U635">
            <v>86101</v>
          </cell>
          <cell r="V635" t="str">
            <v>8</v>
          </cell>
          <cell r="W635" t="str">
            <v>ΚΤΗΝΟΤΡΟΦΙΚΑ ΦΥΤΑ ΓΙΑ ΖΩΟΤΡΟΦΕΣ</v>
          </cell>
          <cell r="X635" t="str">
            <v>6101</v>
          </cell>
        </row>
        <row r="636">
          <cell r="U636">
            <v>86299</v>
          </cell>
          <cell r="V636" t="str">
            <v>8</v>
          </cell>
          <cell r="W636" t="str">
            <v>ΚΤΗΝΟΤΡΟΦΙΚΑ ΦΥΤΑ ΓΙΑ ΖΩΟΤΡΟΦΕΣ</v>
          </cell>
          <cell r="X636" t="str">
            <v>6299</v>
          </cell>
        </row>
        <row r="637">
          <cell r="U637">
            <v>86405</v>
          </cell>
          <cell r="V637" t="str">
            <v>8</v>
          </cell>
          <cell r="W637" t="str">
            <v>ΚΤΗΝΟΤΡΟΦΙΚΑ ΦΥΤΑ ΓΙΑ ΖΩΟΤΡΟΦΕΣ</v>
          </cell>
          <cell r="X637" t="str">
            <v>6405</v>
          </cell>
        </row>
        <row r="638">
          <cell r="U638">
            <v>86602</v>
          </cell>
          <cell r="V638" t="str">
            <v>8</v>
          </cell>
          <cell r="W638" t="str">
            <v>ΚΤΗΝΟΤΡΟΦΙΚΑ ΦΥΤΑ ΓΙΑ ΖΩΟΤΡΟΦΕΣ</v>
          </cell>
          <cell r="X638" t="str">
            <v>6602</v>
          </cell>
        </row>
        <row r="639">
          <cell r="U639">
            <v>86701</v>
          </cell>
          <cell r="V639" t="str">
            <v>8</v>
          </cell>
          <cell r="W639" t="str">
            <v>ΚΤΗΝΟΤΡΟΦΙΚΑ ΦΥΤΑ ΓΙΑ ΖΩΟΤΡΟΦΕΣ</v>
          </cell>
          <cell r="X639" t="str">
            <v>6701</v>
          </cell>
        </row>
        <row r="640">
          <cell r="U640">
            <v>86702</v>
          </cell>
          <cell r="V640" t="str">
            <v>8</v>
          </cell>
          <cell r="W640" t="str">
            <v>ΚΤΗΝΟΤΡΟΦΙΚΑ ΦΥΤΑ ΓΙΑ ΖΩΟΤΡΟΦΕΣ</v>
          </cell>
          <cell r="X640" t="str">
            <v>6702</v>
          </cell>
        </row>
        <row r="641">
          <cell r="U641">
            <v>86703</v>
          </cell>
          <cell r="V641" t="str">
            <v>8</v>
          </cell>
          <cell r="W641" t="str">
            <v>ΚΤΗΝΟΤΡΟΦΙΚΑ ΦΥΤΑ ΓΙΑ ΖΩΟΤΡΟΦΕΣ</v>
          </cell>
          <cell r="X641" t="str">
            <v>6703</v>
          </cell>
        </row>
        <row r="642">
          <cell r="U642">
            <v>86704</v>
          </cell>
          <cell r="V642" t="str">
            <v>8</v>
          </cell>
          <cell r="W642" t="str">
            <v>ΚΤΗΝΟΤΡΟΦΙΚΑ ΦΥΤΑ ΓΙΑ ΖΩΟΤΡΟΦΕΣ</v>
          </cell>
          <cell r="X642" t="str">
            <v>6704</v>
          </cell>
        </row>
        <row r="643">
          <cell r="U643">
            <v>86705</v>
          </cell>
          <cell r="V643" t="str">
            <v>8</v>
          </cell>
          <cell r="W643" t="str">
            <v>ΚΤΗΝΟΤΡΟΦΙΚΑ ΦΥΤΑ ΓΙΑ ΖΩΟΤΡΟΦΕΣ</v>
          </cell>
          <cell r="X643" t="str">
            <v>6705</v>
          </cell>
        </row>
        <row r="644">
          <cell r="U644">
            <v>86800</v>
          </cell>
          <cell r="V644" t="str">
            <v>8</v>
          </cell>
          <cell r="W644" t="str">
            <v>ΚΤΗΝΟΤΡΟΦΙΚΑ ΦΥΤΑ ΓΙΑ ΖΩΟΤΡΟΦΕΣ</v>
          </cell>
          <cell r="X644" t="str">
            <v>6800</v>
          </cell>
        </row>
        <row r="645">
          <cell r="U645">
            <v>86801</v>
          </cell>
          <cell r="V645" t="str">
            <v>8</v>
          </cell>
          <cell r="W645" t="str">
            <v>ΚΤΗΝΟΤΡΟΦΙΚΑ ΦΥΤΑ ΓΙΑ ΖΩΟΤΡΟΦΕΣ</v>
          </cell>
          <cell r="X645" t="str">
            <v>6801</v>
          </cell>
        </row>
        <row r="646">
          <cell r="U646">
            <v>86802</v>
          </cell>
          <cell r="V646" t="str">
            <v>8</v>
          </cell>
          <cell r="W646" t="str">
            <v>ΚΤΗΝΟΤΡΟΦΙΚΑ ΦΥΤΑ ΓΙΑ ΖΩΟΤΡΟΦΕΣ</v>
          </cell>
          <cell r="X646" t="str">
            <v>6802</v>
          </cell>
        </row>
        <row r="647">
          <cell r="U647">
            <v>86900</v>
          </cell>
          <cell r="V647" t="str">
            <v>8</v>
          </cell>
          <cell r="W647" t="str">
            <v>ΚΤΗΝΟΤΡΟΦΙΚΑ ΦΥΤΑ ΓΙΑ ΖΩΟΤΡΟΦΕΣ</v>
          </cell>
          <cell r="X647" t="str">
            <v>6900</v>
          </cell>
        </row>
        <row r="648">
          <cell r="U648">
            <v>86901</v>
          </cell>
          <cell r="V648" t="str">
            <v>8</v>
          </cell>
          <cell r="W648" t="str">
            <v>ΚΤΗΝΟΤΡΟΦΙΚΑ ΦΥΤΑ ΓΙΑ ΖΩΟΤΡΟΦΕΣ</v>
          </cell>
          <cell r="X648" t="str">
            <v>6901</v>
          </cell>
        </row>
        <row r="649">
          <cell r="U649">
            <v>86902</v>
          </cell>
          <cell r="V649" t="str">
            <v>8</v>
          </cell>
          <cell r="W649" t="str">
            <v>ΚΤΗΝΟΤΡΟΦΙΚΑ ΦΥΤΑ ΓΙΑ ΖΩΟΤΡΟΦΕΣ</v>
          </cell>
          <cell r="X649" t="str">
            <v>6902</v>
          </cell>
        </row>
        <row r="650">
          <cell r="U650">
            <v>86903</v>
          </cell>
          <cell r="V650" t="str">
            <v>8</v>
          </cell>
          <cell r="W650" t="str">
            <v>ΚΤΗΝΟΤΡΟΦΙΚΑ ΦΥΤΑ ΓΙΑ ΖΩΟΤΡΟΦΕΣ</v>
          </cell>
          <cell r="X650" t="str">
            <v>6903</v>
          </cell>
        </row>
        <row r="651">
          <cell r="U651">
            <v>86904</v>
          </cell>
          <cell r="V651" t="str">
            <v>8</v>
          </cell>
          <cell r="W651" t="str">
            <v>ΚΤΗΝΟΤΡΟΦΙΚΑ ΦΥΤΑ ΓΙΑ ΖΩΟΤΡΟΦΕΣ</v>
          </cell>
          <cell r="X651" t="str">
            <v>6904</v>
          </cell>
        </row>
        <row r="652">
          <cell r="U652">
            <v>86905</v>
          </cell>
          <cell r="V652" t="str">
            <v>8</v>
          </cell>
          <cell r="W652" t="str">
            <v>ΚΤΗΝΟΤΡΟΦΙΚΑ ΦΥΤΑ ΓΙΑ ΖΩΟΤΡΟΦΕΣ</v>
          </cell>
          <cell r="X652" t="str">
            <v>6905</v>
          </cell>
        </row>
        <row r="653">
          <cell r="U653">
            <v>86906</v>
          </cell>
          <cell r="V653" t="str">
            <v>8</v>
          </cell>
          <cell r="W653" t="str">
            <v>ΚΤΗΝΟΤΡΟΦΙΚΑ ΦΥΤΑ ΓΙΑ ΖΩΟΤΡΟΦΕΣ</v>
          </cell>
          <cell r="X653" t="str">
            <v>6906</v>
          </cell>
        </row>
        <row r="654">
          <cell r="U654">
            <v>86907</v>
          </cell>
          <cell r="V654" t="str">
            <v>8</v>
          </cell>
          <cell r="W654" t="str">
            <v>ΚΤΗΝΟΤΡΟΦΙΚΑ ΦΥΤΑ ΓΙΑ ΖΩΟΤΡΟΦΕΣ</v>
          </cell>
          <cell r="X654" t="str">
            <v>6907</v>
          </cell>
        </row>
        <row r="655">
          <cell r="U655">
            <v>86908</v>
          </cell>
          <cell r="V655" t="str">
            <v>8</v>
          </cell>
          <cell r="W655" t="str">
            <v>ΚΤΗΝΟΤΡΟΦΙΚΑ ΦΥΤΑ ΓΙΑ ΖΩΟΤΡΟΦΕΣ</v>
          </cell>
          <cell r="X655" t="str">
            <v>6908</v>
          </cell>
        </row>
        <row r="656">
          <cell r="U656">
            <v>86909</v>
          </cell>
          <cell r="V656" t="str">
            <v>8</v>
          </cell>
          <cell r="W656" t="str">
            <v>ΚΤΗΝΟΤΡΟΦΙΚΑ ΦΥΤΑ ΓΙΑ ΖΩΟΤΡΟΦΕΣ</v>
          </cell>
          <cell r="X656" t="str">
            <v>6909</v>
          </cell>
        </row>
        <row r="657">
          <cell r="U657">
            <v>86910</v>
          </cell>
          <cell r="V657" t="str">
            <v>8</v>
          </cell>
          <cell r="W657" t="str">
            <v>ΚΤΗΝΟΤΡΟΦΙΚΑ ΦΥΤΑ ΓΙΑ ΖΩΟΤΡΟΦΕΣ</v>
          </cell>
          <cell r="X657" t="str">
            <v>6910</v>
          </cell>
        </row>
        <row r="658">
          <cell r="U658">
            <v>86911</v>
          </cell>
          <cell r="V658" t="str">
            <v>8</v>
          </cell>
          <cell r="W658" t="str">
            <v>ΚΤΗΝΟΤΡΟΦΙΚΑ ΦΥΤΑ ΓΙΑ ΖΩΟΤΡΟΦΕΣ</v>
          </cell>
          <cell r="X658" t="str">
            <v>6911</v>
          </cell>
        </row>
        <row r="659">
          <cell r="U659">
            <v>86912</v>
          </cell>
          <cell r="V659" t="str">
            <v>8</v>
          </cell>
          <cell r="W659" t="str">
            <v>ΚΤΗΝΟΤΡΟΦΙΚΑ ΦΥΤΑ ΓΙΑ ΖΩΟΤΡΟΦΕΣ</v>
          </cell>
          <cell r="X659" t="str">
            <v>6912</v>
          </cell>
        </row>
        <row r="660">
          <cell r="U660">
            <v>86913</v>
          </cell>
          <cell r="V660" t="str">
            <v>8</v>
          </cell>
          <cell r="W660" t="str">
            <v>ΚΤΗΝΟΤΡΟΦΙΚΑ ΦΥΤΑ ΓΙΑ ΖΩΟΤΡΟΦΕΣ</v>
          </cell>
          <cell r="X660" t="str">
            <v>6913</v>
          </cell>
        </row>
        <row r="661">
          <cell r="U661">
            <v>86914</v>
          </cell>
          <cell r="V661" t="str">
            <v>8</v>
          </cell>
          <cell r="W661" t="str">
            <v>ΚΤΗΝΟΤΡΟΦΙΚΑ ΦΥΤΑ ΓΙΑ ΖΩΟΤΡΟΦΕΣ</v>
          </cell>
          <cell r="X661" t="str">
            <v>6914</v>
          </cell>
        </row>
        <row r="662">
          <cell r="U662">
            <v>86915</v>
          </cell>
          <cell r="V662" t="str">
            <v>8</v>
          </cell>
          <cell r="W662" t="str">
            <v>ΚΤΗΝΟΤΡΟΦΙΚΑ ΦΥΤΑ ΓΙΑ ΖΩΟΤΡΟΦΕΣ</v>
          </cell>
          <cell r="X662" t="str">
            <v>6915</v>
          </cell>
        </row>
        <row r="663">
          <cell r="U663">
            <v>86916</v>
          </cell>
          <cell r="V663" t="str">
            <v>8</v>
          </cell>
          <cell r="W663" t="str">
            <v>ΚΤΗΝΟΤΡΟΦΙΚΑ ΦΥΤΑ ΓΙΑ ΖΩΟΤΡΟΦΕΣ</v>
          </cell>
          <cell r="X663" t="str">
            <v>6916</v>
          </cell>
        </row>
        <row r="664">
          <cell r="U664">
            <v>86917</v>
          </cell>
          <cell r="V664" t="str">
            <v>8</v>
          </cell>
          <cell r="W664" t="str">
            <v>ΚΤΗΝΟΤΡΟΦΙΚΑ ΦΥΤΑ ΓΙΑ ΖΩΟΤΡΟΦΕΣ</v>
          </cell>
          <cell r="X664" t="str">
            <v>6917</v>
          </cell>
        </row>
        <row r="665">
          <cell r="U665">
            <v>86918</v>
          </cell>
          <cell r="V665" t="str">
            <v>8</v>
          </cell>
          <cell r="W665" t="str">
            <v>ΚΤΗΝΟΤΡΟΦΙΚΑ ΦΥΤΑ ΓΙΑ ΖΩΟΤΡΟΦΕΣ</v>
          </cell>
          <cell r="X665" t="str">
            <v>6918</v>
          </cell>
        </row>
        <row r="666">
          <cell r="U666">
            <v>86919</v>
          </cell>
          <cell r="V666" t="str">
            <v>8</v>
          </cell>
          <cell r="W666" t="str">
            <v>ΚΤΗΝΟΤΡΟΦΙΚΑ ΦΥΤΑ ΓΙΑ ΖΩΟΤΡΟΦΕΣ</v>
          </cell>
          <cell r="X666" t="str">
            <v>6919</v>
          </cell>
        </row>
        <row r="667">
          <cell r="U667">
            <v>86920</v>
          </cell>
          <cell r="V667" t="str">
            <v>8</v>
          </cell>
          <cell r="W667" t="str">
            <v>ΚΤΗΝΟΤΡΟΦΙΚΑ ΦΥΤΑ ΓΙΑ ΖΩΟΤΡΟΦΕΣ</v>
          </cell>
          <cell r="X667" t="str">
            <v>6920</v>
          </cell>
        </row>
        <row r="668">
          <cell r="U668">
            <v>86921</v>
          </cell>
          <cell r="V668" t="str">
            <v>8</v>
          </cell>
          <cell r="W668" t="str">
            <v>ΚΤΗΝΟΤΡΟΦΙΚΑ ΦΥΤΑ ΓΙΑ ΖΩΟΤΡΟΦΕΣ</v>
          </cell>
          <cell r="X668" t="str">
            <v>6921</v>
          </cell>
        </row>
        <row r="669">
          <cell r="U669">
            <v>86922</v>
          </cell>
          <cell r="V669" t="str">
            <v>8</v>
          </cell>
          <cell r="W669" t="str">
            <v>ΚΤΗΝΟΤΡΟΦΙΚΑ ΦΥΤΑ ΓΙΑ ΖΩΟΤΡΟΦΕΣ</v>
          </cell>
          <cell r="X669" t="str">
            <v>6922</v>
          </cell>
        </row>
        <row r="670">
          <cell r="U670">
            <v>86923</v>
          </cell>
          <cell r="V670" t="str">
            <v>8</v>
          </cell>
          <cell r="W670" t="str">
            <v>ΚΤΗΝΟΤΡΟΦΙΚΑ ΦΥΤΑ ΓΙΑ ΖΩΟΤΡΟΦΕΣ</v>
          </cell>
          <cell r="X670" t="str">
            <v>6923</v>
          </cell>
        </row>
        <row r="671">
          <cell r="U671">
            <v>86925</v>
          </cell>
          <cell r="V671" t="str">
            <v>8</v>
          </cell>
          <cell r="W671" t="str">
            <v>ΚΤΗΝΟΤΡΟΦΙΚΑ ΦΥΤΑ ΓΙΑ ΖΩΟΤΡΟΦΕΣ</v>
          </cell>
          <cell r="X671" t="str">
            <v>6925</v>
          </cell>
        </row>
        <row r="672">
          <cell r="U672">
            <v>86926</v>
          </cell>
          <cell r="V672" t="str">
            <v>8</v>
          </cell>
          <cell r="W672" t="str">
            <v>ΚΤΗΝΟΤΡΟΦΙΚΑ ΦΥΤΑ ΓΙΑ ΖΩΟΤΡΟΦΕΣ</v>
          </cell>
          <cell r="X672" t="str">
            <v>6926</v>
          </cell>
        </row>
        <row r="673">
          <cell r="U673">
            <v>86927</v>
          </cell>
          <cell r="V673" t="str">
            <v>8</v>
          </cell>
          <cell r="W673" t="str">
            <v>ΚΤΗΝΟΤΡΟΦΙΚΑ ΦΥΤΑ ΓΙΑ ΖΩΟΤΡΟΦΕΣ</v>
          </cell>
          <cell r="X673" t="str">
            <v>6927</v>
          </cell>
        </row>
        <row r="674">
          <cell r="U674">
            <v>86928</v>
          </cell>
          <cell r="V674" t="str">
            <v>8</v>
          </cell>
          <cell r="W674" t="str">
            <v>ΚΤΗΝΟΤΡΟΦΙΚΑ ΦΥΤΑ ΓΙΑ ΖΩΟΤΡΟΦΕΣ</v>
          </cell>
          <cell r="X674" t="str">
            <v>6928</v>
          </cell>
        </row>
        <row r="675">
          <cell r="U675">
            <v>86929</v>
          </cell>
          <cell r="V675" t="str">
            <v>8</v>
          </cell>
          <cell r="W675" t="str">
            <v>ΚΤΗΝΟΤΡΟΦΙΚΑ ΦΥΤΑ ΓΙΑ ΖΩΟΤΡΟΦΕΣ</v>
          </cell>
          <cell r="X675" t="str">
            <v>6929</v>
          </cell>
        </row>
        <row r="676">
          <cell r="U676">
            <v>86930</v>
          </cell>
          <cell r="V676" t="str">
            <v>8</v>
          </cell>
          <cell r="W676" t="str">
            <v>ΚΤΗΝΟΤΡΟΦΙΚΑ ΦΥΤΑ ΓΙΑ ΖΩΟΤΡΟΦΕΣ</v>
          </cell>
          <cell r="X676" t="str">
            <v>6930</v>
          </cell>
        </row>
        <row r="677">
          <cell r="U677">
            <v>86931</v>
          </cell>
          <cell r="V677" t="str">
            <v>8</v>
          </cell>
          <cell r="W677" t="str">
            <v>ΚΤΗΝΟΤΡΟΦΙΚΑ ΦΥΤΑ ΓΙΑ ΖΩΟΤΡΟΦΕΣ</v>
          </cell>
          <cell r="X677" t="str">
            <v>6931</v>
          </cell>
        </row>
        <row r="678">
          <cell r="U678">
            <v>86932</v>
          </cell>
          <cell r="V678" t="str">
            <v>8</v>
          </cell>
          <cell r="W678" t="str">
            <v>ΚΤΗΝΟΤΡΟΦΙΚΑ ΦΥΤΑ ΓΙΑ ΖΩΟΤΡΟΦΕΣ</v>
          </cell>
          <cell r="X678" t="str">
            <v>6932</v>
          </cell>
        </row>
        <row r="679">
          <cell r="U679">
            <v>86933</v>
          </cell>
          <cell r="V679" t="str">
            <v>8</v>
          </cell>
          <cell r="W679" t="str">
            <v>ΚΤΗΝΟΤΡΟΦΙΚΑ ΦΥΤΑ ΓΙΑ ΖΩΟΤΡΟΦΕΣ</v>
          </cell>
          <cell r="X679" t="str">
            <v>6933</v>
          </cell>
        </row>
        <row r="680">
          <cell r="U680">
            <v>86934</v>
          </cell>
          <cell r="V680" t="str">
            <v>8</v>
          </cell>
          <cell r="W680" t="str">
            <v>ΚΤΗΝΟΤΡΟΦΙΚΑ ΦΥΤΑ ΓΙΑ ΖΩΟΤΡΟΦΕΣ</v>
          </cell>
          <cell r="X680" t="str">
            <v>6934</v>
          </cell>
        </row>
        <row r="681">
          <cell r="U681">
            <v>86935</v>
          </cell>
          <cell r="V681" t="str">
            <v>8</v>
          </cell>
          <cell r="W681" t="str">
            <v>ΚΤΗΝΟΤΡΟΦΙΚΑ ΦΥΤΑ ΓΙΑ ΖΩΟΤΡΟΦΕΣ</v>
          </cell>
          <cell r="X681" t="str">
            <v>6935</v>
          </cell>
        </row>
        <row r="682">
          <cell r="U682">
            <v>86936</v>
          </cell>
          <cell r="V682" t="str">
            <v>8</v>
          </cell>
          <cell r="W682" t="str">
            <v>ΚΤΗΝΟΤΡΟΦΙΚΑ ΦΥΤΑ ΓΙΑ ΖΩΟΤΡΟΦΕΣ</v>
          </cell>
          <cell r="X682" t="str">
            <v>6936</v>
          </cell>
        </row>
        <row r="683">
          <cell r="U683">
            <v>86937</v>
          </cell>
          <cell r="V683" t="str">
            <v>8</v>
          </cell>
          <cell r="W683" t="str">
            <v>ΚΤΗΝΟΤΡΟΦΙΚΑ ΦΥΤΑ ΓΙΑ ΖΩΟΤΡΟΦΕΣ</v>
          </cell>
          <cell r="X683" t="str">
            <v>6937</v>
          </cell>
        </row>
        <row r="684">
          <cell r="U684">
            <v>86938</v>
          </cell>
          <cell r="V684" t="str">
            <v>8</v>
          </cell>
          <cell r="W684" t="str">
            <v>ΚΤΗΝΟΤΡΟΦΙΚΑ ΦΥΤΑ ΓΙΑ ΖΩΟΤΡΟΦΕΣ</v>
          </cell>
          <cell r="X684" t="str">
            <v>6938</v>
          </cell>
        </row>
        <row r="685">
          <cell r="U685">
            <v>86939</v>
          </cell>
          <cell r="V685" t="str">
            <v>8</v>
          </cell>
          <cell r="W685" t="str">
            <v>ΚΤΗΝΟΤΡΟΦΙΚΑ ΦΥΤΑ ΓΙΑ ΖΩΟΤΡΟΦΕΣ</v>
          </cell>
          <cell r="X685" t="str">
            <v>6939</v>
          </cell>
        </row>
        <row r="686">
          <cell r="U686">
            <v>86940</v>
          </cell>
          <cell r="V686" t="str">
            <v>8</v>
          </cell>
          <cell r="W686" t="str">
            <v>ΚΤΗΝΟΤΡΟΦΙΚΑ ΦΥΤΑ ΓΙΑ ΖΩΟΤΡΟΦΕΣ</v>
          </cell>
          <cell r="X686" t="str">
            <v>6940</v>
          </cell>
        </row>
        <row r="687">
          <cell r="U687">
            <v>86941</v>
          </cell>
          <cell r="V687" t="str">
            <v>8</v>
          </cell>
          <cell r="W687" t="str">
            <v>ΚΤΗΝΟΤΡΟΦΙΚΑ ΦΥΤΑ ΓΙΑ ΖΩΟΤΡΟΦΕΣ</v>
          </cell>
          <cell r="X687" t="str">
            <v>6941</v>
          </cell>
        </row>
        <row r="688">
          <cell r="U688">
            <v>86942</v>
          </cell>
          <cell r="V688" t="str">
            <v>8</v>
          </cell>
          <cell r="W688" t="str">
            <v>ΚΤΗΝΟΤΡΟΦΙΚΑ ΦΥΤΑ ΓΙΑ ΖΩΟΤΡΟΦΕΣ</v>
          </cell>
          <cell r="X688" t="str">
            <v>6942</v>
          </cell>
        </row>
        <row r="689">
          <cell r="U689">
            <v>86943</v>
          </cell>
          <cell r="V689" t="str">
            <v>8</v>
          </cell>
          <cell r="W689" t="str">
            <v>ΚΤΗΝΟΤΡΟΦΙΚΑ ΦΥΤΑ ΓΙΑ ΖΩΟΤΡΟΦΕΣ</v>
          </cell>
          <cell r="X689" t="str">
            <v>6943</v>
          </cell>
        </row>
        <row r="690">
          <cell r="U690">
            <v>86944</v>
          </cell>
          <cell r="V690" t="str">
            <v>8</v>
          </cell>
          <cell r="W690" t="str">
            <v>ΚΤΗΝΟΤΡΟΦΙΚΑ ΦΥΤΑ ΓΙΑ ΖΩΟΤΡΟΦΕΣ</v>
          </cell>
          <cell r="X690" t="str">
            <v>6944</v>
          </cell>
        </row>
        <row r="691">
          <cell r="U691">
            <v>87300</v>
          </cell>
          <cell r="V691" t="str">
            <v>8</v>
          </cell>
          <cell r="W691" t="str">
            <v>ΚΤΗΝΟΤΡΟΦΙΚΑ ΦΥΤΑ ΓΙΑ ΖΩΟΤΡΟΦΕΣ</v>
          </cell>
          <cell r="X691" t="str">
            <v>7300</v>
          </cell>
        </row>
        <row r="692">
          <cell r="U692">
            <v>87301</v>
          </cell>
          <cell r="V692" t="str">
            <v>8</v>
          </cell>
          <cell r="W692" t="str">
            <v>ΚΤΗΝΟΤΡΟΦΙΚΑ ΦΥΤΑ ΓΙΑ ΖΩΟΤΡΟΦΕΣ</v>
          </cell>
          <cell r="X692" t="str">
            <v>7301</v>
          </cell>
        </row>
        <row r="693">
          <cell r="U693">
            <v>87600</v>
          </cell>
          <cell r="V693" t="str">
            <v>8</v>
          </cell>
          <cell r="W693" t="str">
            <v>ΚΤΗΝΟΤΡΟΦΙΚΑ ΦΥΤΑ ΓΙΑ ΖΩΟΤΡΟΦΕΣ</v>
          </cell>
          <cell r="X693" t="str">
            <v>7600</v>
          </cell>
        </row>
        <row r="694">
          <cell r="U694">
            <v>87601</v>
          </cell>
          <cell r="V694" t="str">
            <v>8</v>
          </cell>
          <cell r="W694" t="str">
            <v>ΚΤΗΝΟΤΡΟΦΙΚΑ ΦΥΤΑ ΓΙΑ ΖΩΟΤΡΟΦΕΣ</v>
          </cell>
          <cell r="X694" t="str">
            <v>7601</v>
          </cell>
        </row>
        <row r="695">
          <cell r="U695">
            <v>87602</v>
          </cell>
          <cell r="V695" t="str">
            <v>8</v>
          </cell>
          <cell r="W695" t="str">
            <v>ΚΤΗΝΟΤΡΟΦΙΚΑ ΦΥΤΑ ΓΙΑ ΖΩΟΤΡΟΦΕΣ</v>
          </cell>
          <cell r="X695" t="str">
            <v>7602</v>
          </cell>
        </row>
        <row r="696">
          <cell r="U696">
            <v>87603</v>
          </cell>
          <cell r="V696" t="str">
            <v>8</v>
          </cell>
          <cell r="W696" t="str">
            <v>ΚΤΗΝΟΤΡΟΦΙΚΑ ΦΥΤΑ ΓΙΑ ΖΩΟΤΡΟΦΕΣ</v>
          </cell>
          <cell r="X696" t="str">
            <v>7603</v>
          </cell>
        </row>
        <row r="697">
          <cell r="U697">
            <v>87604</v>
          </cell>
          <cell r="V697" t="str">
            <v>8</v>
          </cell>
          <cell r="W697" t="str">
            <v>ΚΤΗΝΟΤΡΟΦΙΚΑ ΦΥΤΑ ΓΙΑ ΖΩΟΤΡΟΦΕΣ</v>
          </cell>
          <cell r="X697" t="str">
            <v>7604</v>
          </cell>
        </row>
        <row r="698">
          <cell r="U698">
            <v>87605</v>
          </cell>
          <cell r="V698" t="str">
            <v>8</v>
          </cell>
          <cell r="W698" t="str">
            <v>ΚΤΗΝΟΤΡΟΦΙΚΑ ΦΥΤΑ ΓΙΑ ΖΩΟΤΡΟΦΕΣ</v>
          </cell>
          <cell r="X698" t="str">
            <v>7605</v>
          </cell>
        </row>
        <row r="699">
          <cell r="U699">
            <v>87607</v>
          </cell>
          <cell r="V699" t="str">
            <v>8</v>
          </cell>
          <cell r="W699" t="str">
            <v>ΚΤΗΝΟΤΡΟΦΙΚΑ ΦΥΤΑ ΓΙΑ ΖΩΟΤΡΟΦΕΣ</v>
          </cell>
          <cell r="X699" t="str">
            <v>7607</v>
          </cell>
        </row>
        <row r="700">
          <cell r="U700">
            <v>87700</v>
          </cell>
          <cell r="V700" t="str">
            <v>8</v>
          </cell>
          <cell r="W700" t="str">
            <v>ΚΤΗΝΟΤΡΟΦΙΚΑ ΦΥΤΑ ΓΙΑ ΖΩΟΤΡΟΦΕΣ</v>
          </cell>
          <cell r="X700" t="str">
            <v>7700</v>
          </cell>
        </row>
        <row r="701">
          <cell r="U701">
            <v>87701</v>
          </cell>
          <cell r="V701" t="str">
            <v>8</v>
          </cell>
          <cell r="W701" t="str">
            <v>ΚΤΗΝΟΤΡΟΦΙΚΑ ΦΥΤΑ ΓΙΑ ΖΩΟΤΡΟΦΕΣ</v>
          </cell>
          <cell r="X701" t="str">
            <v>7701</v>
          </cell>
        </row>
        <row r="702">
          <cell r="U702">
            <v>87702</v>
          </cell>
          <cell r="V702" t="str">
            <v>8</v>
          </cell>
          <cell r="W702" t="str">
            <v>ΚΤΗΝΟΤΡΟΦΙΚΑ ΦΥΤΑ ΓΙΑ ΖΩΟΤΡΟΦΕΣ</v>
          </cell>
          <cell r="X702" t="str">
            <v>7702</v>
          </cell>
        </row>
        <row r="703">
          <cell r="U703">
            <v>87703</v>
          </cell>
          <cell r="V703" t="str">
            <v>8</v>
          </cell>
          <cell r="W703" t="str">
            <v>ΚΤΗΝΟΤΡΟΦΙΚΑ ΦΥΤΑ ΓΙΑ ΖΩΟΤΡΟΦΕΣ</v>
          </cell>
          <cell r="X703" t="str">
            <v>7703</v>
          </cell>
        </row>
        <row r="704">
          <cell r="U704">
            <v>87704</v>
          </cell>
          <cell r="V704" t="str">
            <v>8</v>
          </cell>
          <cell r="W704" t="str">
            <v>ΚΤΗΝΟΤΡΟΦΙΚΑ ΦΥΤΑ ΓΙΑ ΖΩΟΤΡΟΦΕΣ</v>
          </cell>
          <cell r="X704" t="str">
            <v>7704</v>
          </cell>
        </row>
        <row r="705">
          <cell r="U705">
            <v>87705</v>
          </cell>
          <cell r="V705" t="str">
            <v>8</v>
          </cell>
          <cell r="W705" t="str">
            <v>ΚΤΗΝΟΤΡΟΦΙΚΑ ΦΥΤΑ ΓΙΑ ΖΩΟΤΡΟΦΕΣ</v>
          </cell>
          <cell r="X705" t="str">
            <v>7705</v>
          </cell>
        </row>
        <row r="706">
          <cell r="U706">
            <v>87706</v>
          </cell>
          <cell r="V706" t="str">
            <v>8</v>
          </cell>
          <cell r="W706" t="str">
            <v>ΚΤΗΝΟΤΡΟΦΙΚΑ ΦΥΤΑ ΓΙΑ ΖΩΟΤΡΟΦΕΣ</v>
          </cell>
          <cell r="X706" t="str">
            <v>7706</v>
          </cell>
        </row>
        <row r="707">
          <cell r="U707">
            <v>87707</v>
          </cell>
          <cell r="V707" t="str">
            <v>8</v>
          </cell>
          <cell r="W707" t="str">
            <v>ΚΤΗΝΟΤΡΟΦΙΚΑ ΦΥΤΑ ΓΙΑ ΖΩΟΤΡΟΦΕΣ</v>
          </cell>
          <cell r="X707" t="str">
            <v>7707</v>
          </cell>
        </row>
        <row r="708">
          <cell r="U708">
            <v>87708</v>
          </cell>
          <cell r="V708" t="str">
            <v>8</v>
          </cell>
          <cell r="W708" t="str">
            <v>ΚΤΗΝΟΤΡΟΦΙΚΑ ΦΥΤΑ ΓΙΑ ΖΩΟΤΡΟΦΕΣ</v>
          </cell>
          <cell r="X708" t="str">
            <v>7708</v>
          </cell>
        </row>
        <row r="709">
          <cell r="U709">
            <v>87709</v>
          </cell>
          <cell r="V709" t="str">
            <v>8</v>
          </cell>
          <cell r="W709" t="str">
            <v>ΚΤΗΝΟΤΡΟΦΙΚΑ ΦΥΤΑ ΓΙΑ ΖΩΟΤΡΟΦΕΣ</v>
          </cell>
          <cell r="X709" t="str">
            <v>7709</v>
          </cell>
        </row>
        <row r="710">
          <cell r="U710">
            <v>87710</v>
          </cell>
          <cell r="V710" t="str">
            <v>8</v>
          </cell>
          <cell r="W710" t="str">
            <v>ΚΤΗΝΟΤΡΟΦΙΚΑ ΦΥΤΑ ΓΙΑ ΖΩΟΤΡΟΦΕΣ</v>
          </cell>
          <cell r="X710" t="str">
            <v>7710</v>
          </cell>
        </row>
        <row r="711">
          <cell r="U711">
            <v>87711</v>
          </cell>
          <cell r="V711" t="str">
            <v>8</v>
          </cell>
          <cell r="W711" t="str">
            <v>ΚΤΗΝΟΤΡΟΦΙΚΑ ΦΥΤΑ ΓΙΑ ΖΩΟΤΡΟΦΕΣ</v>
          </cell>
          <cell r="X711" t="str">
            <v>7711</v>
          </cell>
        </row>
        <row r="712">
          <cell r="U712">
            <v>87712</v>
          </cell>
          <cell r="V712" t="str">
            <v>8</v>
          </cell>
          <cell r="W712" t="str">
            <v>ΚΤΗΝΟΤΡΟΦΙΚΑ ΦΥΤΑ ΓΙΑ ΖΩΟΤΡΟΦΕΣ</v>
          </cell>
          <cell r="X712" t="str">
            <v>7712</v>
          </cell>
        </row>
        <row r="713">
          <cell r="U713">
            <v>87713</v>
          </cell>
          <cell r="V713" t="str">
            <v>8</v>
          </cell>
          <cell r="W713" t="str">
            <v>ΚΤΗΝΟΤΡΟΦΙΚΑ ΦΥΤΑ ΓΙΑ ΖΩΟΤΡΟΦΕΣ</v>
          </cell>
          <cell r="X713" t="str">
            <v>7713</v>
          </cell>
        </row>
        <row r="714">
          <cell r="U714">
            <v>87714</v>
          </cell>
          <cell r="V714" t="str">
            <v>8</v>
          </cell>
          <cell r="W714" t="str">
            <v>ΚΤΗΝΟΤΡΟΦΙΚΑ ΦΥΤΑ ΓΙΑ ΖΩΟΤΡΟΦΕΣ</v>
          </cell>
          <cell r="X714" t="str">
            <v>7714</v>
          </cell>
        </row>
        <row r="715">
          <cell r="U715">
            <v>87715</v>
          </cell>
          <cell r="V715" t="str">
            <v>8</v>
          </cell>
          <cell r="W715" t="str">
            <v>ΚΤΗΝΟΤΡΟΦΙΚΑ ΦΥΤΑ ΓΙΑ ΖΩΟΤΡΟΦΕΣ</v>
          </cell>
          <cell r="X715" t="str">
            <v>7715</v>
          </cell>
        </row>
        <row r="716">
          <cell r="U716">
            <v>87716</v>
          </cell>
          <cell r="V716" t="str">
            <v>8</v>
          </cell>
          <cell r="W716" t="str">
            <v>ΚΤΗΝΟΤΡΟΦΙΚΑ ΦΥΤΑ ΓΙΑ ΖΩΟΤΡΟΦΕΣ</v>
          </cell>
          <cell r="X716" t="str">
            <v>7716</v>
          </cell>
        </row>
        <row r="717">
          <cell r="U717">
            <v>87717</v>
          </cell>
          <cell r="V717" t="str">
            <v>8</v>
          </cell>
          <cell r="W717" t="str">
            <v>ΚΤΗΝΟΤΡΟΦΙΚΑ ΦΥΤΑ ΓΙΑ ΖΩΟΤΡΟΦΕΣ</v>
          </cell>
          <cell r="X717" t="str">
            <v>7717</v>
          </cell>
        </row>
        <row r="718">
          <cell r="U718">
            <v>87718</v>
          </cell>
          <cell r="V718" t="str">
            <v>8</v>
          </cell>
          <cell r="W718" t="str">
            <v>ΚΤΗΝΟΤΡΟΦΙΚΑ ΦΥΤΑ ΓΙΑ ΖΩΟΤΡΟΦΕΣ</v>
          </cell>
          <cell r="X718" t="str">
            <v>7718</v>
          </cell>
        </row>
        <row r="719">
          <cell r="U719">
            <v>87719</v>
          </cell>
          <cell r="V719" t="str">
            <v>8</v>
          </cell>
          <cell r="W719" t="str">
            <v>ΚΤΗΝΟΤΡΟΦΙΚΑ ΦΥΤΑ ΓΙΑ ΖΩΟΤΡΟΦΕΣ</v>
          </cell>
          <cell r="X719" t="str">
            <v>7719</v>
          </cell>
        </row>
        <row r="720">
          <cell r="U720">
            <v>87720</v>
          </cell>
          <cell r="V720" t="str">
            <v>8</v>
          </cell>
          <cell r="W720" t="str">
            <v>ΚΤΗΝΟΤΡΟΦΙΚΑ ΦΥΤΑ ΓΙΑ ΖΩΟΤΡΟΦΕΣ</v>
          </cell>
          <cell r="X720" t="str">
            <v>7720</v>
          </cell>
        </row>
        <row r="721">
          <cell r="U721">
            <v>87721</v>
          </cell>
          <cell r="V721" t="str">
            <v>8</v>
          </cell>
          <cell r="W721" t="str">
            <v>ΚΤΗΝΟΤΡΟΦΙΚΑ ΦΥΤΑ ΓΙΑ ΖΩΟΤΡΟΦΕΣ</v>
          </cell>
          <cell r="X721" t="str">
            <v>7721</v>
          </cell>
        </row>
        <row r="722">
          <cell r="U722">
            <v>87722</v>
          </cell>
          <cell r="V722" t="str">
            <v>8</v>
          </cell>
          <cell r="W722" t="str">
            <v>ΚΤΗΝΟΤΡΟΦΙΚΑ ΦΥΤΑ ΓΙΑ ΖΩΟΤΡΟΦΕΣ</v>
          </cell>
          <cell r="X722" t="str">
            <v>7722</v>
          </cell>
        </row>
        <row r="723">
          <cell r="U723">
            <v>87723</v>
          </cell>
          <cell r="V723" t="str">
            <v>8</v>
          </cell>
          <cell r="W723" t="str">
            <v>ΚΤΗΝΟΤΡΟΦΙΚΑ ΦΥΤΑ ΓΙΑ ΖΩΟΤΡΟΦΕΣ</v>
          </cell>
          <cell r="X723" t="str">
            <v>7723</v>
          </cell>
        </row>
        <row r="724">
          <cell r="U724">
            <v>87724</v>
          </cell>
          <cell r="V724" t="str">
            <v>8</v>
          </cell>
          <cell r="W724" t="str">
            <v>ΚΤΗΝΟΤΡΟΦΙΚΑ ΦΥΤΑ ΓΙΑ ΖΩΟΤΡΟΦΕΣ</v>
          </cell>
          <cell r="X724" t="str">
            <v>7724</v>
          </cell>
        </row>
        <row r="725">
          <cell r="U725">
            <v>87725</v>
          </cell>
          <cell r="V725" t="str">
            <v>8</v>
          </cell>
          <cell r="W725" t="str">
            <v>ΚΤΗΝΟΤΡΟΦΙΚΑ ΦΥΤΑ ΓΙΑ ΖΩΟΤΡΟΦΕΣ</v>
          </cell>
          <cell r="X725" t="str">
            <v>7725</v>
          </cell>
        </row>
        <row r="726">
          <cell r="U726">
            <v>87726</v>
          </cell>
          <cell r="V726" t="str">
            <v>8</v>
          </cell>
          <cell r="W726" t="str">
            <v>ΚΤΗΝΟΤΡΟΦΙΚΑ ΦΥΤΑ ΓΙΑ ΖΩΟΤΡΟΦΕΣ</v>
          </cell>
          <cell r="X726" t="str">
            <v>7726</v>
          </cell>
        </row>
        <row r="727">
          <cell r="U727">
            <v>87727</v>
          </cell>
          <cell r="V727" t="str">
            <v>8</v>
          </cell>
          <cell r="W727" t="str">
            <v>ΚΤΗΝΟΤΡΟΦΙΚΑ ΦΥΤΑ ΓΙΑ ΖΩΟΤΡΟΦΕΣ</v>
          </cell>
          <cell r="X727" t="str">
            <v>7727</v>
          </cell>
        </row>
        <row r="728">
          <cell r="U728">
            <v>87728</v>
          </cell>
          <cell r="V728" t="str">
            <v>8</v>
          </cell>
          <cell r="W728" t="str">
            <v>ΚΤΗΝΟΤΡΟΦΙΚΑ ΦΥΤΑ ΓΙΑ ΖΩΟΤΡΟΦΕΣ</v>
          </cell>
          <cell r="X728" t="str">
            <v>7728</v>
          </cell>
        </row>
        <row r="729">
          <cell r="U729">
            <v>87729</v>
          </cell>
          <cell r="V729" t="str">
            <v>8</v>
          </cell>
          <cell r="W729" t="str">
            <v>ΚΤΗΝΟΤΡΟΦΙΚΑ ΦΥΤΑ ΓΙΑ ΖΩΟΤΡΟΦΕΣ</v>
          </cell>
          <cell r="X729" t="str">
            <v>7729</v>
          </cell>
        </row>
        <row r="730">
          <cell r="U730">
            <v>87730</v>
          </cell>
          <cell r="V730" t="str">
            <v>8</v>
          </cell>
          <cell r="W730" t="str">
            <v>ΚΤΗΝΟΤΡΟΦΙΚΑ ΦΥΤΑ ΓΙΑ ΖΩΟΤΡΟΦΕΣ</v>
          </cell>
          <cell r="X730" t="str">
            <v>7730</v>
          </cell>
        </row>
        <row r="731">
          <cell r="U731">
            <v>87731</v>
          </cell>
          <cell r="V731" t="str">
            <v>8</v>
          </cell>
          <cell r="W731" t="str">
            <v>ΚΤΗΝΟΤΡΟΦΙΚΑ ΦΥΤΑ ΓΙΑ ΖΩΟΤΡΟΦΕΣ</v>
          </cell>
          <cell r="X731" t="str">
            <v>7731</v>
          </cell>
        </row>
        <row r="732">
          <cell r="U732">
            <v>87732</v>
          </cell>
          <cell r="V732" t="str">
            <v>8</v>
          </cell>
          <cell r="W732" t="str">
            <v>ΚΤΗΝΟΤΡΟΦΙΚΑ ΦΥΤΑ ΓΙΑ ΖΩΟΤΡΟΦΕΣ</v>
          </cell>
          <cell r="X732" t="str">
            <v>7732</v>
          </cell>
        </row>
        <row r="733">
          <cell r="U733">
            <v>87733</v>
          </cell>
          <cell r="V733" t="str">
            <v>8</v>
          </cell>
          <cell r="W733" t="str">
            <v>ΚΤΗΝΟΤΡΟΦΙΚΑ ΦΥΤΑ ΓΙΑ ΖΩΟΤΡΟΦΕΣ</v>
          </cell>
          <cell r="X733" t="str">
            <v>7733</v>
          </cell>
        </row>
        <row r="734">
          <cell r="U734">
            <v>87734</v>
          </cell>
          <cell r="V734" t="str">
            <v>8</v>
          </cell>
          <cell r="W734" t="str">
            <v>ΚΤΗΝΟΤΡΟΦΙΚΑ ΦΥΤΑ ΓΙΑ ΖΩΟΤΡΟΦΕΣ</v>
          </cell>
          <cell r="X734" t="str">
            <v>7734</v>
          </cell>
        </row>
        <row r="735">
          <cell r="U735">
            <v>87735</v>
          </cell>
          <cell r="V735" t="str">
            <v>8</v>
          </cell>
          <cell r="W735" t="str">
            <v>ΚΤΗΝΟΤΡΟΦΙΚΑ ΦΥΤΑ ΓΙΑ ΖΩΟΤΡΟΦΕΣ</v>
          </cell>
          <cell r="X735" t="str">
            <v>7735</v>
          </cell>
        </row>
        <row r="736">
          <cell r="U736">
            <v>87736</v>
          </cell>
          <cell r="V736" t="str">
            <v>8</v>
          </cell>
          <cell r="W736" t="str">
            <v>ΚΤΗΝΟΤΡΟΦΙΚΑ ΦΥΤΑ ΓΙΑ ΖΩΟΤΡΟΦΕΣ</v>
          </cell>
          <cell r="X736" t="str">
            <v>7736</v>
          </cell>
        </row>
        <row r="737">
          <cell r="U737">
            <v>87737</v>
          </cell>
          <cell r="V737" t="str">
            <v>8</v>
          </cell>
          <cell r="W737" t="str">
            <v>ΚΤΗΝΟΤΡΟΦΙΚΑ ΦΥΤΑ ΓΙΑ ΖΩΟΤΡΟΦΕΣ</v>
          </cell>
          <cell r="X737" t="str">
            <v>7737</v>
          </cell>
        </row>
        <row r="738">
          <cell r="U738">
            <v>87738</v>
          </cell>
          <cell r="V738" t="str">
            <v>8</v>
          </cell>
          <cell r="W738" t="str">
            <v>ΚΤΗΝΟΤΡΟΦΙΚΑ ΦΥΤΑ ΓΙΑ ΖΩΟΤΡΟΦΕΣ</v>
          </cell>
          <cell r="X738" t="str">
            <v>7738</v>
          </cell>
        </row>
        <row r="739">
          <cell r="U739">
            <v>87739</v>
          </cell>
          <cell r="V739" t="str">
            <v>8</v>
          </cell>
          <cell r="W739" t="str">
            <v>ΚΤΗΝΟΤΡΟΦΙΚΑ ΦΥΤΑ ΓΙΑ ΖΩΟΤΡΟΦΕΣ</v>
          </cell>
          <cell r="X739" t="str">
            <v>7739</v>
          </cell>
        </row>
        <row r="740">
          <cell r="U740">
            <v>87740</v>
          </cell>
          <cell r="V740" t="str">
            <v>8</v>
          </cell>
          <cell r="W740" t="str">
            <v>ΚΤΗΝΟΤΡΟΦΙΚΑ ΦΥΤΑ ΓΙΑ ΖΩΟΤΡΟΦΕΣ</v>
          </cell>
          <cell r="X740" t="str">
            <v>7740</v>
          </cell>
        </row>
        <row r="741">
          <cell r="U741">
            <v>87741</v>
          </cell>
          <cell r="V741" t="str">
            <v>8</v>
          </cell>
          <cell r="W741" t="str">
            <v>ΚΤΗΝΟΤΡΟΦΙΚΑ ΦΥΤΑ ΓΙΑ ΖΩΟΤΡΟΦΕΣ</v>
          </cell>
          <cell r="X741" t="str">
            <v>7741</v>
          </cell>
        </row>
        <row r="742">
          <cell r="U742">
            <v>87742</v>
          </cell>
          <cell r="V742" t="str">
            <v>8</v>
          </cell>
          <cell r="W742" t="str">
            <v>ΚΤΗΝΟΤΡΟΦΙΚΑ ΦΥΤΑ ΓΙΑ ΖΩΟΤΡΟΦΕΣ</v>
          </cell>
          <cell r="X742" t="str">
            <v>7742</v>
          </cell>
        </row>
        <row r="743">
          <cell r="U743">
            <v>87743</v>
          </cell>
          <cell r="V743" t="str">
            <v>8</v>
          </cell>
          <cell r="W743" t="str">
            <v>ΚΤΗΝΟΤΡΟΦΙΚΑ ΦΥΤΑ ΓΙΑ ΖΩΟΤΡΟΦΕΣ</v>
          </cell>
          <cell r="X743" t="str">
            <v>7743</v>
          </cell>
        </row>
        <row r="744">
          <cell r="U744">
            <v>87744</v>
          </cell>
          <cell r="V744" t="str">
            <v>8</v>
          </cell>
          <cell r="W744" t="str">
            <v>ΚΤΗΝΟΤΡΟΦΙΚΑ ΦΥΤΑ ΓΙΑ ΖΩΟΤΡΟΦΕΣ</v>
          </cell>
          <cell r="X744" t="str">
            <v>7744</v>
          </cell>
        </row>
        <row r="745">
          <cell r="U745">
            <v>87745</v>
          </cell>
          <cell r="V745" t="str">
            <v>8</v>
          </cell>
          <cell r="W745" t="str">
            <v>ΚΤΗΝΟΤΡΟΦΙΚΑ ΦΥΤΑ ΓΙΑ ΖΩΟΤΡΟΦΕΣ</v>
          </cell>
          <cell r="X745" t="str">
            <v>7745</v>
          </cell>
        </row>
        <row r="746">
          <cell r="U746">
            <v>87746</v>
          </cell>
          <cell r="V746" t="str">
            <v>8</v>
          </cell>
          <cell r="W746" t="str">
            <v>ΚΤΗΝΟΤΡΟΦΙΚΑ ΦΥΤΑ ΓΙΑ ΖΩΟΤΡΟΦΕΣ</v>
          </cell>
          <cell r="X746" t="str">
            <v>7746</v>
          </cell>
        </row>
        <row r="747">
          <cell r="U747">
            <v>87747</v>
          </cell>
          <cell r="V747" t="str">
            <v>8</v>
          </cell>
          <cell r="W747" t="str">
            <v>ΚΤΗΝΟΤΡΟΦΙΚΑ ΦΥΤΑ ΓΙΑ ΖΩΟΤΡΟΦΕΣ</v>
          </cell>
          <cell r="X747" t="str">
            <v>7747</v>
          </cell>
        </row>
        <row r="748">
          <cell r="U748">
            <v>87748</v>
          </cell>
          <cell r="V748" t="str">
            <v>8</v>
          </cell>
          <cell r="W748" t="str">
            <v>ΚΤΗΝΟΤΡΟΦΙΚΑ ΦΥΤΑ ΓΙΑ ΖΩΟΤΡΟΦΕΣ</v>
          </cell>
          <cell r="X748" t="str">
            <v>7748</v>
          </cell>
        </row>
        <row r="749">
          <cell r="U749">
            <v>87749</v>
          </cell>
          <cell r="V749" t="str">
            <v>8</v>
          </cell>
          <cell r="W749" t="str">
            <v>ΚΤΗΝΟΤΡΟΦΙΚΑ ΦΥΤΑ ΓΙΑ ΖΩΟΤΡΟΦΕΣ</v>
          </cell>
          <cell r="X749" t="str">
            <v>7749</v>
          </cell>
        </row>
        <row r="750">
          <cell r="U750">
            <v>87750</v>
          </cell>
          <cell r="V750" t="str">
            <v>8</v>
          </cell>
          <cell r="W750" t="str">
            <v>ΚΤΗΝΟΤΡΟΦΙΚΑ ΦΥΤΑ ΓΙΑ ΖΩΟΤΡΟΦΕΣ</v>
          </cell>
          <cell r="X750" t="str">
            <v>7750</v>
          </cell>
        </row>
        <row r="751">
          <cell r="U751">
            <v>87777</v>
          </cell>
          <cell r="V751" t="str">
            <v>8</v>
          </cell>
          <cell r="W751" t="str">
            <v>ΚΤΗΝΟΤΡΟΦΙΚΑ ΦΥΤΑ ΓΙΑ ΖΩΟΤΡΟΦΕΣ</v>
          </cell>
          <cell r="X751" t="str">
            <v>7777</v>
          </cell>
        </row>
        <row r="752">
          <cell r="U752">
            <v>87778</v>
          </cell>
          <cell r="V752" t="str">
            <v>8</v>
          </cell>
          <cell r="W752" t="str">
            <v>ΚΤΗΝΟΤΡΟΦΙΚΑ ΦΥΤΑ ΓΙΑ ΖΩΟΤΡΟΦΕΣ</v>
          </cell>
          <cell r="X752" t="str">
            <v>7778</v>
          </cell>
        </row>
        <row r="753">
          <cell r="U753">
            <v>87779</v>
          </cell>
          <cell r="V753" t="str">
            <v>8</v>
          </cell>
          <cell r="W753" t="str">
            <v>ΚΤΗΝΟΤΡΟΦΙΚΑ ΦΥΤΑ ΓΙΑ ΖΩΟΤΡΟΦΕΣ</v>
          </cell>
          <cell r="X753" t="str">
            <v>7779</v>
          </cell>
        </row>
        <row r="754">
          <cell r="U754">
            <v>87781</v>
          </cell>
          <cell r="V754" t="str">
            <v>8</v>
          </cell>
          <cell r="W754" t="str">
            <v>ΚΤΗΝΟΤΡΟΦΙΚΑ ΦΥΤΑ ΓΙΑ ΖΩΟΤΡΟΦΕΣ</v>
          </cell>
          <cell r="X754" t="str">
            <v>7781</v>
          </cell>
        </row>
        <row r="755">
          <cell r="U755">
            <v>87782</v>
          </cell>
          <cell r="V755" t="str">
            <v>8</v>
          </cell>
          <cell r="W755" t="str">
            <v>ΚΤΗΝΟΤΡΟΦΙΚΑ ΦΥΤΑ ΓΙΑ ΖΩΟΤΡΟΦΕΣ</v>
          </cell>
          <cell r="X755" t="str">
            <v>7782</v>
          </cell>
        </row>
        <row r="756">
          <cell r="U756">
            <v>87783</v>
          </cell>
          <cell r="V756" t="str">
            <v>8</v>
          </cell>
          <cell r="W756" t="str">
            <v>ΚΤΗΝΟΤΡΟΦΙΚΑ ΦΥΤΑ ΓΙΑ ΖΩΟΤΡΟΦΕΣ</v>
          </cell>
          <cell r="X756" t="str">
            <v>7783</v>
          </cell>
        </row>
        <row r="757">
          <cell r="U757">
            <v>87784</v>
          </cell>
          <cell r="V757" t="str">
            <v>8</v>
          </cell>
          <cell r="W757" t="str">
            <v>ΚΤΗΝΟΤΡΟΦΙΚΑ ΦΥΤΑ ΓΙΑ ΖΩΟΤΡΟΦΕΣ</v>
          </cell>
          <cell r="X757" t="str">
            <v>7784</v>
          </cell>
        </row>
        <row r="758">
          <cell r="U758">
            <v>87785</v>
          </cell>
          <cell r="V758" t="str">
            <v>8</v>
          </cell>
          <cell r="W758" t="str">
            <v>ΚΤΗΝΟΤΡΟΦΙΚΑ ΦΥΤΑ ΓΙΑ ΖΩΟΤΡΟΦΕΣ</v>
          </cell>
          <cell r="X758" t="str">
            <v>7785</v>
          </cell>
        </row>
        <row r="759">
          <cell r="U759">
            <v>87786</v>
          </cell>
          <cell r="V759" t="str">
            <v>8</v>
          </cell>
          <cell r="W759" t="str">
            <v>ΚΤΗΝΟΤΡΟΦΙΚΑ ΦΥΤΑ ΓΙΑ ΖΩΟΤΡΟΦΕΣ</v>
          </cell>
          <cell r="X759" t="str">
            <v>7786</v>
          </cell>
        </row>
        <row r="760">
          <cell r="U760">
            <v>87787</v>
          </cell>
          <cell r="V760" t="str">
            <v>8</v>
          </cell>
          <cell r="W760" t="str">
            <v>ΚΤΗΝΟΤΡΟΦΙΚΑ ΦΥΤΑ ΓΙΑ ΖΩΟΤΡΟΦΕΣ</v>
          </cell>
          <cell r="X760" t="str">
            <v>7787</v>
          </cell>
        </row>
        <row r="761">
          <cell r="U761">
            <v>87788</v>
          </cell>
          <cell r="V761" t="str">
            <v>8</v>
          </cell>
          <cell r="W761" t="str">
            <v>ΚΤΗΝΟΤΡΟΦΙΚΑ ΦΥΤΑ ΓΙΑ ΖΩΟΤΡΟΦΕΣ</v>
          </cell>
          <cell r="X761" t="str">
            <v>7788</v>
          </cell>
        </row>
        <row r="762">
          <cell r="U762">
            <v>87789</v>
          </cell>
          <cell r="V762" t="str">
            <v>8</v>
          </cell>
          <cell r="W762" t="str">
            <v>ΚΤΗΝΟΤΡΟΦΙΚΑ ΦΥΤΑ ΓΙΑ ΖΩΟΤΡΟΦΕΣ</v>
          </cell>
          <cell r="X762" t="str">
            <v>7789</v>
          </cell>
        </row>
        <row r="763">
          <cell r="U763">
            <v>87790</v>
          </cell>
          <cell r="V763" t="str">
            <v>8</v>
          </cell>
          <cell r="W763" t="str">
            <v>ΚΤΗΝΟΤΡΟΦΙΚΑ ΦΥΤΑ ΓΙΑ ΖΩΟΤΡΟΦΕΣ</v>
          </cell>
          <cell r="X763" t="str">
            <v>7790</v>
          </cell>
        </row>
        <row r="764">
          <cell r="U764">
            <v>87791</v>
          </cell>
          <cell r="V764" t="str">
            <v>8</v>
          </cell>
          <cell r="W764" t="str">
            <v>ΚΤΗΝΟΤΡΟΦΙΚΑ ΦΥΤΑ ΓΙΑ ΖΩΟΤΡΟΦΕΣ</v>
          </cell>
          <cell r="X764" t="str">
            <v>7791</v>
          </cell>
        </row>
        <row r="765">
          <cell r="U765">
            <v>87792</v>
          </cell>
          <cell r="V765" t="str">
            <v>8</v>
          </cell>
          <cell r="W765" t="str">
            <v>ΚΤΗΝΟΤΡΟΦΙΚΑ ΦΥΤΑ ΓΙΑ ΖΩΟΤΡΟΦΕΣ</v>
          </cell>
          <cell r="X765" t="str">
            <v>7792</v>
          </cell>
        </row>
        <row r="766">
          <cell r="U766">
            <v>87793</v>
          </cell>
          <cell r="V766" t="str">
            <v>8</v>
          </cell>
          <cell r="W766" t="str">
            <v>ΚΤΗΝΟΤΡΟΦΙΚΑ ΦΥΤΑ ΓΙΑ ΖΩΟΤΡΟΦΕΣ</v>
          </cell>
          <cell r="X766" t="str">
            <v>7793</v>
          </cell>
        </row>
        <row r="767">
          <cell r="U767">
            <v>87794</v>
          </cell>
          <cell r="V767" t="str">
            <v>8</v>
          </cell>
          <cell r="W767" t="str">
            <v>ΚΤΗΝΟΤΡΟΦΙΚΑ ΦΥΤΑ ΓΙΑ ΖΩΟΤΡΟΦΕΣ</v>
          </cell>
          <cell r="X767" t="str">
            <v>7794</v>
          </cell>
        </row>
        <row r="768">
          <cell r="U768">
            <v>87795</v>
          </cell>
          <cell r="V768" t="str">
            <v>8</v>
          </cell>
          <cell r="W768" t="str">
            <v>ΚΤΗΝΟΤΡΟΦΙΚΑ ΦΥΤΑ ΓΙΑ ΖΩΟΤΡΟΦΕΣ</v>
          </cell>
          <cell r="X768" t="str">
            <v>7795</v>
          </cell>
        </row>
        <row r="769">
          <cell r="U769">
            <v>87796</v>
          </cell>
          <cell r="V769" t="str">
            <v>8</v>
          </cell>
          <cell r="W769" t="str">
            <v>ΚΤΗΝΟΤΡΟΦΙΚΑ ΦΥΤΑ ΓΙΑ ΖΩΟΤΡΟΦΕΣ</v>
          </cell>
          <cell r="X769" t="str">
            <v>7796</v>
          </cell>
        </row>
        <row r="770">
          <cell r="U770">
            <v>87797</v>
          </cell>
          <cell r="V770" t="str">
            <v>8</v>
          </cell>
          <cell r="W770" t="str">
            <v>ΚΤΗΝΟΤΡΟΦΙΚΑ ΦΥΤΑ ΓΙΑ ΖΩΟΤΡΟΦΕΣ</v>
          </cell>
          <cell r="X770" t="str">
            <v>7797</v>
          </cell>
        </row>
        <row r="771">
          <cell r="U771">
            <v>87798</v>
          </cell>
          <cell r="V771" t="str">
            <v>8</v>
          </cell>
          <cell r="W771" t="str">
            <v>ΚΤΗΝΟΤΡΟΦΙΚΑ ΦΥΤΑ ΓΙΑ ΖΩΟΤΡΟΦΕΣ</v>
          </cell>
          <cell r="X771" t="str">
            <v>7798</v>
          </cell>
        </row>
        <row r="772">
          <cell r="U772">
            <v>87800</v>
          </cell>
          <cell r="V772" t="str">
            <v>8</v>
          </cell>
          <cell r="W772" t="str">
            <v>ΚΤΗΝΟΤΡΟΦΙΚΑ ΦΥΤΑ ΓΙΑ ΖΩΟΤΡΟΦΕΣ</v>
          </cell>
          <cell r="X772" t="str">
            <v>7800</v>
          </cell>
        </row>
        <row r="773">
          <cell r="U773">
            <v>88000</v>
          </cell>
          <cell r="V773" t="str">
            <v>8</v>
          </cell>
          <cell r="W773" t="str">
            <v>ΚΤΗΝΟΤΡΟΦΙΚΑ ΦΥΤΑ ΓΙΑ ΖΩΟΤΡΟΦΕΣ</v>
          </cell>
          <cell r="X773" t="str">
            <v>8000</v>
          </cell>
        </row>
        <row r="774">
          <cell r="U774">
            <v>88109</v>
          </cell>
          <cell r="V774" t="str">
            <v>8</v>
          </cell>
          <cell r="W774" t="str">
            <v>ΚΤΗΝΟΤΡΟΦΙΚΑ ΦΥΤΑ ΓΙΑ ΖΩΟΤΡΟΦΕΣ</v>
          </cell>
          <cell r="X774" t="str">
            <v>8109</v>
          </cell>
        </row>
        <row r="775">
          <cell r="U775">
            <v>88110</v>
          </cell>
          <cell r="V775" t="str">
            <v>8</v>
          </cell>
          <cell r="W775" t="str">
            <v>ΚΤΗΝΟΤΡΟΦΙΚΑ ΦΥΤΑ ΓΙΑ ΖΩΟΤΡΟΦΕΣ</v>
          </cell>
          <cell r="X775" t="str">
            <v>8110</v>
          </cell>
        </row>
        <row r="776">
          <cell r="U776">
            <v>88114</v>
          </cell>
          <cell r="V776" t="str">
            <v>8</v>
          </cell>
          <cell r="W776" t="str">
            <v>ΚΤΗΝΟΤΡΟΦΙΚΑ ΦΥΤΑ ΓΙΑ ΖΩΟΤΡΟΦΕΣ</v>
          </cell>
          <cell r="X776" t="str">
            <v>8114</v>
          </cell>
        </row>
        <row r="777">
          <cell r="U777">
            <v>88121</v>
          </cell>
          <cell r="V777" t="str">
            <v>8</v>
          </cell>
          <cell r="W777" t="str">
            <v>ΚΤΗΝΟΤΡΟΦΙΚΑ ΦΥΤΑ ΓΙΑ ΖΩΟΤΡΟΦΕΣ</v>
          </cell>
          <cell r="X777" t="str">
            <v>8121</v>
          </cell>
        </row>
        <row r="778">
          <cell r="U778">
            <v>88122</v>
          </cell>
          <cell r="V778" t="str">
            <v>8</v>
          </cell>
          <cell r="W778" t="str">
            <v>ΚΤΗΝΟΤΡΟΦΙΚΑ ΦΥΤΑ ΓΙΑ ΖΩΟΤΡΟΦΕΣ</v>
          </cell>
          <cell r="X778" t="str">
            <v>8122</v>
          </cell>
        </row>
        <row r="779">
          <cell r="U779">
            <v>88688</v>
          </cell>
          <cell r="V779" t="str">
            <v>8</v>
          </cell>
          <cell r="W779" t="str">
            <v>ΚΤΗΝΟΤΡΟΦΙΚΑ ΦΥΤΑ ΓΙΑ ΖΩΟΤΡΟΦΕΣ</v>
          </cell>
          <cell r="X779" t="str">
            <v>8688</v>
          </cell>
        </row>
        <row r="780">
          <cell r="U780">
            <v>88702</v>
          </cell>
          <cell r="V780" t="str">
            <v>8</v>
          </cell>
          <cell r="W780" t="str">
            <v>ΚΤΗΝΟΤΡΟΦΙΚΑ ΦΥΤΑ ΓΙΑ ΖΩΟΤΡΟΦΕΣ</v>
          </cell>
          <cell r="X780" t="str">
            <v>8702</v>
          </cell>
        </row>
        <row r="781">
          <cell r="U781">
            <v>110200</v>
          </cell>
          <cell r="V781" t="str">
            <v>1</v>
          </cell>
          <cell r="W781" t="str">
            <v>ΣΚΛΗΡΟΣ ΣΙΤΟΣ</v>
          </cell>
          <cell r="X781" t="str">
            <v>10200</v>
          </cell>
        </row>
        <row r="782">
          <cell r="U782">
            <v>110201</v>
          </cell>
          <cell r="V782" t="str">
            <v>1</v>
          </cell>
          <cell r="W782" t="str">
            <v>ΣΚΛΗΡΟΣ ΣΙΤΟΣ</v>
          </cell>
          <cell r="X782" t="str">
            <v>10201</v>
          </cell>
        </row>
        <row r="783">
          <cell r="U783">
            <v>110202</v>
          </cell>
          <cell r="V783" t="str">
            <v>1</v>
          </cell>
          <cell r="W783" t="str">
            <v>ΣΚΛΗΡΟΣ ΣΙΤΟΣ</v>
          </cell>
          <cell r="X783" t="str">
            <v>10202</v>
          </cell>
        </row>
        <row r="784">
          <cell r="U784">
            <v>110203</v>
          </cell>
          <cell r="V784" t="str">
            <v>1</v>
          </cell>
          <cell r="W784" t="str">
            <v>ΣΚΛΗΡΟΣ ΣΙΤΟΣ</v>
          </cell>
          <cell r="X784" t="str">
            <v>10203</v>
          </cell>
        </row>
        <row r="785">
          <cell r="U785">
            <v>110240</v>
          </cell>
          <cell r="V785" t="str">
            <v>1</v>
          </cell>
          <cell r="W785" t="str">
            <v>ΣΚΛΗΡΟΣ ΣΙΤΟΣ</v>
          </cell>
          <cell r="X785" t="str">
            <v>10240</v>
          </cell>
        </row>
        <row r="786">
          <cell r="U786">
            <v>110242</v>
          </cell>
          <cell r="V786" t="str">
            <v>1</v>
          </cell>
          <cell r="W786" t="str">
            <v>ΣΚΛΗΡΟΣ ΣΙΤΟΣ</v>
          </cell>
          <cell r="X786" t="str">
            <v>10242</v>
          </cell>
        </row>
        <row r="787">
          <cell r="U787">
            <v>110305</v>
          </cell>
          <cell r="V787" t="str">
            <v>1</v>
          </cell>
          <cell r="W787" t="str">
            <v>ΣΚΛΗΡΟΣ ΣΙΤΟΣ</v>
          </cell>
          <cell r="X787" t="str">
            <v>10305</v>
          </cell>
        </row>
        <row r="788">
          <cell r="U788">
            <v>111043</v>
          </cell>
          <cell r="V788" t="str">
            <v>11</v>
          </cell>
          <cell r="W788" t="str">
            <v>ΟΣΠΡΙΑ ΒΡΩΣΙΜΑ</v>
          </cell>
          <cell r="X788" t="str">
            <v>1043</v>
          </cell>
        </row>
        <row r="789">
          <cell r="U789">
            <v>111044</v>
          </cell>
          <cell r="V789" t="str">
            <v>11</v>
          </cell>
          <cell r="W789" t="str">
            <v>ΟΣΠΡΙΑ ΒΡΩΣΙΜΑ</v>
          </cell>
          <cell r="X789" t="str">
            <v>1044</v>
          </cell>
        </row>
        <row r="790">
          <cell r="U790">
            <v>111045</v>
          </cell>
          <cell r="V790" t="str">
            <v>11</v>
          </cell>
          <cell r="W790" t="str">
            <v>ΟΣΠΡΙΑ ΒΡΩΣΙΜΑ</v>
          </cell>
          <cell r="X790" t="str">
            <v>1045</v>
          </cell>
        </row>
        <row r="791">
          <cell r="U791">
            <v>111046</v>
          </cell>
          <cell r="V791" t="str">
            <v>11</v>
          </cell>
          <cell r="W791" t="str">
            <v>ΟΣΠΡΙΑ ΒΡΩΣΙΜΑ</v>
          </cell>
          <cell r="X791" t="str">
            <v>1046</v>
          </cell>
        </row>
        <row r="792">
          <cell r="U792">
            <v>111114</v>
          </cell>
          <cell r="V792" t="str">
            <v>11</v>
          </cell>
          <cell r="W792" t="str">
            <v>ΟΣΠΡΙΑ ΒΡΩΣΙΜΑ</v>
          </cell>
          <cell r="X792" t="str">
            <v>1114</v>
          </cell>
        </row>
        <row r="793">
          <cell r="U793">
            <v>111115</v>
          </cell>
          <cell r="V793" t="str">
            <v>11</v>
          </cell>
          <cell r="W793" t="str">
            <v>ΟΣΠΡΙΑ ΒΡΩΣΙΜΑ</v>
          </cell>
          <cell r="X793" t="str">
            <v>1115</v>
          </cell>
        </row>
        <row r="794">
          <cell r="U794">
            <v>111116</v>
          </cell>
          <cell r="V794" t="str">
            <v>11</v>
          </cell>
          <cell r="W794" t="str">
            <v>ΟΣΠΡΙΑ ΒΡΩΣΙΜΑ</v>
          </cell>
          <cell r="X794" t="str">
            <v>1116</v>
          </cell>
        </row>
        <row r="795">
          <cell r="U795">
            <v>111117</v>
          </cell>
          <cell r="V795" t="str">
            <v>11</v>
          </cell>
          <cell r="W795" t="str">
            <v>ΟΣΠΡΙΑ ΒΡΩΣΙΜΑ</v>
          </cell>
          <cell r="X795" t="str">
            <v>1117</v>
          </cell>
        </row>
        <row r="796">
          <cell r="U796">
            <v>111118</v>
          </cell>
          <cell r="V796" t="str">
            <v>11</v>
          </cell>
          <cell r="W796" t="str">
            <v>ΟΣΠΡΙΑ ΒΡΩΣΙΜΑ</v>
          </cell>
          <cell r="X796" t="str">
            <v>1118</v>
          </cell>
        </row>
        <row r="797">
          <cell r="U797">
            <v>111121</v>
          </cell>
          <cell r="V797" t="str">
            <v>11</v>
          </cell>
          <cell r="W797" t="str">
            <v>ΟΣΠΡΙΑ ΒΡΩΣΙΜΑ</v>
          </cell>
          <cell r="X797" t="str">
            <v>1121</v>
          </cell>
        </row>
        <row r="798">
          <cell r="U798">
            <v>111122</v>
          </cell>
          <cell r="V798" t="str">
            <v>11</v>
          </cell>
          <cell r="W798" t="str">
            <v>ΟΣΠΡΙΑ ΒΡΩΣΙΜΑ</v>
          </cell>
          <cell r="X798" t="str">
            <v>1122</v>
          </cell>
        </row>
        <row r="799">
          <cell r="U799">
            <v>111123</v>
          </cell>
          <cell r="V799" t="str">
            <v>11</v>
          </cell>
          <cell r="W799" t="str">
            <v>ΟΣΠΡΙΑ ΒΡΩΣΙΜΑ</v>
          </cell>
          <cell r="X799" t="str">
            <v>1123</v>
          </cell>
        </row>
        <row r="800">
          <cell r="U800">
            <v>111124</v>
          </cell>
          <cell r="V800" t="str">
            <v>11</v>
          </cell>
          <cell r="W800" t="str">
            <v>ΟΣΠΡΙΑ ΒΡΩΣΙΜΑ</v>
          </cell>
          <cell r="X800" t="str">
            <v>1124</v>
          </cell>
        </row>
        <row r="801">
          <cell r="U801">
            <v>111125</v>
          </cell>
          <cell r="V801" t="str">
            <v>11</v>
          </cell>
          <cell r="W801" t="str">
            <v>ΟΣΠΡΙΑ ΒΡΩΣΙΜΑ</v>
          </cell>
          <cell r="X801" t="str">
            <v>1125</v>
          </cell>
        </row>
        <row r="802">
          <cell r="U802">
            <v>111126</v>
          </cell>
          <cell r="V802" t="str">
            <v>11</v>
          </cell>
          <cell r="W802" t="str">
            <v>ΟΣΠΡΙΑ ΒΡΩΣΙΜΑ</v>
          </cell>
          <cell r="X802" t="str">
            <v>1126</v>
          </cell>
        </row>
        <row r="803">
          <cell r="U803">
            <v>111127</v>
          </cell>
          <cell r="V803" t="str">
            <v>11</v>
          </cell>
          <cell r="W803" t="str">
            <v>ΟΣΠΡΙΑ ΒΡΩΣΙΜΑ</v>
          </cell>
          <cell r="X803" t="str">
            <v>1127</v>
          </cell>
        </row>
        <row r="804">
          <cell r="U804">
            <v>111128</v>
          </cell>
          <cell r="V804" t="str">
            <v>11</v>
          </cell>
          <cell r="W804" t="str">
            <v>ΟΣΠΡΙΑ ΒΡΩΣΙΜΑ</v>
          </cell>
          <cell r="X804" t="str">
            <v>1128</v>
          </cell>
        </row>
        <row r="805">
          <cell r="U805">
            <v>111129</v>
          </cell>
          <cell r="V805" t="str">
            <v>11</v>
          </cell>
          <cell r="W805" t="str">
            <v>ΟΣΠΡΙΑ ΒΡΩΣΙΜΑ</v>
          </cell>
          <cell r="X805" t="str">
            <v>1129</v>
          </cell>
        </row>
        <row r="806">
          <cell r="U806">
            <v>111144</v>
          </cell>
          <cell r="V806" t="str">
            <v>11</v>
          </cell>
          <cell r="W806" t="str">
            <v>ΟΣΠΡΙΑ ΒΡΩΣΙΜΑ</v>
          </cell>
          <cell r="X806" t="str">
            <v>1144</v>
          </cell>
        </row>
        <row r="807">
          <cell r="U807">
            <v>111145</v>
          </cell>
          <cell r="V807" t="str">
            <v>11</v>
          </cell>
          <cell r="W807" t="str">
            <v>ΟΣΠΡΙΑ ΒΡΩΣΙΜΑ</v>
          </cell>
          <cell r="X807" t="str">
            <v>1145</v>
          </cell>
        </row>
        <row r="808">
          <cell r="U808">
            <v>111146</v>
          </cell>
          <cell r="V808" t="str">
            <v>11</v>
          </cell>
          <cell r="W808" t="str">
            <v>ΟΣΠΡΙΑ ΒΡΩΣΙΜΑ</v>
          </cell>
          <cell r="X808" t="str">
            <v>1146</v>
          </cell>
        </row>
        <row r="809">
          <cell r="U809">
            <v>111147</v>
          </cell>
          <cell r="V809" t="str">
            <v>11</v>
          </cell>
          <cell r="W809" t="str">
            <v>ΟΣΠΡΙΑ ΒΡΩΣΙΜΑ</v>
          </cell>
          <cell r="X809" t="str">
            <v>1147</v>
          </cell>
        </row>
        <row r="810">
          <cell r="U810">
            <v>111148</v>
          </cell>
          <cell r="V810" t="str">
            <v>11</v>
          </cell>
          <cell r="W810" t="str">
            <v>ΟΣΠΡΙΑ ΒΡΩΣΙΜΑ</v>
          </cell>
          <cell r="X810" t="str">
            <v>1148</v>
          </cell>
        </row>
        <row r="811">
          <cell r="U811">
            <v>111149</v>
          </cell>
          <cell r="V811" t="str">
            <v>11</v>
          </cell>
          <cell r="W811" t="str">
            <v>ΟΣΠΡΙΑ ΒΡΩΣΙΜΑ</v>
          </cell>
          <cell r="X811" t="str">
            <v>1149</v>
          </cell>
        </row>
        <row r="812">
          <cell r="U812">
            <v>111150</v>
          </cell>
          <cell r="V812" t="str">
            <v>11</v>
          </cell>
          <cell r="W812" t="str">
            <v>ΟΣΠΡΙΑ ΒΡΩΣΙΜΑ</v>
          </cell>
          <cell r="X812" t="str">
            <v>1150</v>
          </cell>
        </row>
        <row r="813">
          <cell r="U813">
            <v>111151</v>
          </cell>
          <cell r="V813" t="str">
            <v>11</v>
          </cell>
          <cell r="W813" t="str">
            <v>ΟΣΠΡΙΑ ΒΡΩΣΙΜΑ</v>
          </cell>
          <cell r="X813" t="str">
            <v>1151</v>
          </cell>
        </row>
        <row r="814">
          <cell r="U814">
            <v>111155</v>
          </cell>
          <cell r="V814" t="str">
            <v>11</v>
          </cell>
          <cell r="W814" t="str">
            <v>ΟΣΠΡΙΑ ΒΡΩΣΙΜΑ</v>
          </cell>
          <cell r="X814" t="str">
            <v>1155</v>
          </cell>
        </row>
        <row r="815">
          <cell r="U815">
            <v>111156</v>
          </cell>
          <cell r="V815" t="str">
            <v>11</v>
          </cell>
          <cell r="W815" t="str">
            <v>ΟΣΠΡΙΑ ΒΡΩΣΙΜΑ</v>
          </cell>
          <cell r="X815" t="str">
            <v>1156</v>
          </cell>
        </row>
        <row r="816">
          <cell r="U816">
            <v>111157</v>
          </cell>
          <cell r="V816" t="str">
            <v>11</v>
          </cell>
          <cell r="W816" t="str">
            <v>ΟΣΠΡΙΑ ΒΡΩΣΙΜΑ</v>
          </cell>
          <cell r="X816" t="str">
            <v>1157</v>
          </cell>
        </row>
        <row r="817">
          <cell r="U817">
            <v>111158</v>
          </cell>
          <cell r="V817" t="str">
            <v>11</v>
          </cell>
          <cell r="W817" t="str">
            <v>ΟΣΠΡΙΑ ΒΡΩΣΙΜΑ</v>
          </cell>
          <cell r="X817" t="str">
            <v>1158</v>
          </cell>
        </row>
        <row r="818">
          <cell r="U818">
            <v>122678</v>
          </cell>
          <cell r="V818" t="str">
            <v>12</v>
          </cell>
          <cell r="W818" t="str">
            <v>ΒΑΜΒΑΚΙ</v>
          </cell>
          <cell r="X818" t="str">
            <v>2678</v>
          </cell>
        </row>
        <row r="819">
          <cell r="U819">
            <v>122680</v>
          </cell>
          <cell r="V819" t="str">
            <v>12</v>
          </cell>
          <cell r="W819" t="str">
            <v>ΒΑΜΒΑΚΙ</v>
          </cell>
          <cell r="X819" t="str">
            <v>2680</v>
          </cell>
        </row>
        <row r="820">
          <cell r="U820">
            <v>122682</v>
          </cell>
          <cell r="V820" t="str">
            <v>12</v>
          </cell>
          <cell r="W820" t="str">
            <v>ΒΑΜΒΑΚΙ</v>
          </cell>
          <cell r="X820" t="str">
            <v>2682</v>
          </cell>
        </row>
        <row r="821">
          <cell r="U821">
            <v>122883</v>
          </cell>
          <cell r="V821" t="str">
            <v>12</v>
          </cell>
          <cell r="W821" t="str">
            <v>ΒΑΜΒΑΚΙ</v>
          </cell>
          <cell r="X821" t="str">
            <v>2883</v>
          </cell>
        </row>
        <row r="822">
          <cell r="U822">
            <v>122884</v>
          </cell>
          <cell r="V822" t="str">
            <v>12</v>
          </cell>
          <cell r="W822" t="str">
            <v>ΒΑΜΒΑΚΙ</v>
          </cell>
          <cell r="X822" t="str">
            <v>2884</v>
          </cell>
        </row>
        <row r="823">
          <cell r="U823">
            <v>122885</v>
          </cell>
          <cell r="V823" t="str">
            <v>12</v>
          </cell>
          <cell r="W823" t="str">
            <v>ΒΑΜΒΑΚΙ</v>
          </cell>
          <cell r="X823" t="str">
            <v>2885</v>
          </cell>
        </row>
        <row r="824">
          <cell r="U824">
            <v>122886</v>
          </cell>
          <cell r="V824" t="str">
            <v>12</v>
          </cell>
          <cell r="W824" t="str">
            <v>ΒΑΜΒΑΚΙ</v>
          </cell>
          <cell r="X824" t="str">
            <v>2886</v>
          </cell>
        </row>
        <row r="825">
          <cell r="U825">
            <v>122888</v>
          </cell>
          <cell r="V825" t="str">
            <v>12</v>
          </cell>
          <cell r="W825" t="str">
            <v>ΒΑΜΒΑΚΙ</v>
          </cell>
          <cell r="X825" t="str">
            <v>2888</v>
          </cell>
        </row>
        <row r="826">
          <cell r="U826">
            <v>122889</v>
          </cell>
          <cell r="V826" t="str">
            <v>12</v>
          </cell>
          <cell r="W826" t="str">
            <v>ΒΑΜΒΑΚΙ</v>
          </cell>
          <cell r="X826" t="str">
            <v>2889</v>
          </cell>
        </row>
        <row r="827">
          <cell r="U827">
            <v>122890</v>
          </cell>
          <cell r="V827" t="str">
            <v>12</v>
          </cell>
          <cell r="W827" t="str">
            <v>ΒΑΜΒΑΚΙ</v>
          </cell>
          <cell r="X827" t="str">
            <v>2890</v>
          </cell>
        </row>
        <row r="828">
          <cell r="U828">
            <v>122891</v>
          </cell>
          <cell r="V828" t="str">
            <v>12</v>
          </cell>
          <cell r="W828" t="str">
            <v>ΒΑΜΒΑΚΙ</v>
          </cell>
          <cell r="X828" t="str">
            <v>2891</v>
          </cell>
        </row>
        <row r="829">
          <cell r="U829">
            <v>122892</v>
          </cell>
          <cell r="V829" t="str">
            <v>12</v>
          </cell>
          <cell r="W829" t="str">
            <v>ΒΑΜΒΑΚΙ</v>
          </cell>
          <cell r="X829" t="str">
            <v>2892</v>
          </cell>
        </row>
        <row r="830">
          <cell r="U830">
            <v>122893</v>
          </cell>
          <cell r="V830" t="str">
            <v>12</v>
          </cell>
          <cell r="W830" t="str">
            <v>ΒΑΜΒΑΚΙ</v>
          </cell>
          <cell r="X830" t="str">
            <v>2893</v>
          </cell>
        </row>
        <row r="831">
          <cell r="U831">
            <v>122894</v>
          </cell>
          <cell r="V831" t="str">
            <v>12</v>
          </cell>
          <cell r="W831" t="str">
            <v>ΒΑΜΒΑΚΙ</v>
          </cell>
          <cell r="X831" t="str">
            <v>2894</v>
          </cell>
        </row>
        <row r="832">
          <cell r="U832">
            <v>122895</v>
          </cell>
          <cell r="V832" t="str">
            <v>12</v>
          </cell>
          <cell r="W832" t="str">
            <v>ΒΑΜΒΑΚΙ</v>
          </cell>
          <cell r="X832" t="str">
            <v>2895</v>
          </cell>
        </row>
        <row r="833">
          <cell r="U833">
            <v>122896</v>
          </cell>
          <cell r="V833" t="str">
            <v>12</v>
          </cell>
          <cell r="W833" t="str">
            <v>ΒΑΜΒΑΚΙ</v>
          </cell>
          <cell r="X833" t="str">
            <v>2896</v>
          </cell>
        </row>
        <row r="834">
          <cell r="U834">
            <v>122897</v>
          </cell>
          <cell r="V834" t="str">
            <v>12</v>
          </cell>
          <cell r="W834" t="str">
            <v>ΒΑΜΒΑΚΙ</v>
          </cell>
          <cell r="X834" t="str">
            <v>2897</v>
          </cell>
        </row>
        <row r="835">
          <cell r="U835">
            <v>122898</v>
          </cell>
          <cell r="V835" t="str">
            <v>12</v>
          </cell>
          <cell r="W835" t="str">
            <v>ΒΑΜΒΑΚΙ</v>
          </cell>
          <cell r="X835" t="str">
            <v>2898</v>
          </cell>
        </row>
        <row r="836">
          <cell r="U836">
            <v>122899</v>
          </cell>
          <cell r="V836" t="str">
            <v>12</v>
          </cell>
          <cell r="W836" t="str">
            <v>ΒΑΜΒΑΚΙ</v>
          </cell>
          <cell r="X836" t="str">
            <v>2899</v>
          </cell>
        </row>
        <row r="837">
          <cell r="U837">
            <v>122900</v>
          </cell>
          <cell r="V837" t="str">
            <v>12</v>
          </cell>
          <cell r="W837" t="str">
            <v>ΒΑΜΒΑΚΙ</v>
          </cell>
          <cell r="X837" t="str">
            <v>2900</v>
          </cell>
        </row>
        <row r="838">
          <cell r="U838">
            <v>122901</v>
          </cell>
          <cell r="V838" t="str">
            <v>12</v>
          </cell>
          <cell r="W838" t="str">
            <v>ΒΑΜΒΑΚΙ</v>
          </cell>
          <cell r="X838" t="str">
            <v>2901</v>
          </cell>
        </row>
        <row r="839">
          <cell r="U839">
            <v>122902</v>
          </cell>
          <cell r="V839" t="str">
            <v>12</v>
          </cell>
          <cell r="W839" t="str">
            <v>ΒΑΜΒΑΚΙ</v>
          </cell>
          <cell r="X839" t="str">
            <v>2902</v>
          </cell>
        </row>
        <row r="840">
          <cell r="U840">
            <v>122903</v>
          </cell>
          <cell r="V840" t="str">
            <v>12</v>
          </cell>
          <cell r="W840" t="str">
            <v>ΒΑΜΒΑΚΙ</v>
          </cell>
          <cell r="X840" t="str">
            <v>2903</v>
          </cell>
        </row>
        <row r="841">
          <cell r="U841">
            <v>122904</v>
          </cell>
          <cell r="V841" t="str">
            <v>12</v>
          </cell>
          <cell r="W841" t="str">
            <v>ΒΑΜΒΑΚΙ</v>
          </cell>
          <cell r="X841" t="str">
            <v>2904</v>
          </cell>
        </row>
        <row r="842">
          <cell r="U842">
            <v>128108</v>
          </cell>
          <cell r="V842" t="str">
            <v>12</v>
          </cell>
          <cell r="W842" t="str">
            <v>ΒΑΜΒΑΚΙ</v>
          </cell>
          <cell r="X842" t="str">
            <v>8108</v>
          </cell>
        </row>
        <row r="843">
          <cell r="U843">
            <v>131301</v>
          </cell>
          <cell r="V843" t="str">
            <v>13</v>
          </cell>
          <cell r="W843" t="str">
            <v>ΛΙΝΟΣ ΜΗ ΚΛΩΣΤΙΚΟΣ</v>
          </cell>
          <cell r="X843" t="str">
            <v>1301</v>
          </cell>
        </row>
        <row r="844">
          <cell r="U844">
            <v>141401</v>
          </cell>
          <cell r="V844" t="str">
            <v>14</v>
          </cell>
          <cell r="W844" t="str">
            <v>ΛΙΝΟΣ ΚΛΩΣΤΙΚΟΣ</v>
          </cell>
          <cell r="X844" t="str">
            <v>1401</v>
          </cell>
        </row>
        <row r="845">
          <cell r="U845">
            <v>166299</v>
          </cell>
          <cell r="V845" t="str">
            <v>16</v>
          </cell>
          <cell r="W845" t="str">
            <v>ΕΝΕΡΓΕΙΑΚΕΣ ΚΑΛΛΙΕΡΓΕΙΕΣ</v>
          </cell>
          <cell r="X845" t="str">
            <v>6299</v>
          </cell>
        </row>
        <row r="846">
          <cell r="U846">
            <v>166301</v>
          </cell>
          <cell r="V846" t="str">
            <v>16</v>
          </cell>
          <cell r="W846" t="str">
            <v>ΕΝΕΡΓΕΙΑΚΕΣ ΚΑΛΛΙΕΡΓΕΙΕΣ</v>
          </cell>
          <cell r="X846" t="str">
            <v>6301</v>
          </cell>
        </row>
        <row r="847">
          <cell r="U847">
            <v>166302</v>
          </cell>
          <cell r="V847" t="str">
            <v>16</v>
          </cell>
          <cell r="W847" t="str">
            <v>ΕΝΕΡΓΕΙΑΚΕΣ ΚΑΛΛΙΕΡΓΕΙΕΣ</v>
          </cell>
          <cell r="X847" t="str">
            <v>6302</v>
          </cell>
        </row>
        <row r="848">
          <cell r="U848">
            <v>166303</v>
          </cell>
          <cell r="V848" t="str">
            <v>16</v>
          </cell>
          <cell r="W848" t="str">
            <v>ΕΝΕΡΓΕΙΑΚΕΣ ΚΑΛΛΙΕΡΓΕΙΕΣ</v>
          </cell>
          <cell r="X848" t="str">
            <v>6303</v>
          </cell>
        </row>
        <row r="849">
          <cell r="U849">
            <v>166304</v>
          </cell>
          <cell r="V849" t="str">
            <v>16</v>
          </cell>
          <cell r="W849" t="str">
            <v>ΕΝΕΡΓΕΙΑΚΕΣ ΚΑΛΛΙΕΡΓΕΙΕΣ</v>
          </cell>
          <cell r="X849" t="str">
            <v>6304</v>
          </cell>
        </row>
        <row r="850">
          <cell r="U850">
            <v>166305</v>
          </cell>
          <cell r="V850" t="str">
            <v>16</v>
          </cell>
          <cell r="W850" t="str">
            <v>ΕΝΕΡΓΕΙΑΚΕΣ ΚΑΛΛΙΕΡΓΕΙΕΣ</v>
          </cell>
          <cell r="X850" t="str">
            <v>6305</v>
          </cell>
        </row>
        <row r="851">
          <cell r="U851">
            <v>166306</v>
          </cell>
          <cell r="V851" t="str">
            <v>16</v>
          </cell>
          <cell r="W851" t="str">
            <v>ΕΝΕΡΓΕΙΑΚΕΣ ΚΑΛΛΙΕΡΓΕΙΕΣ</v>
          </cell>
          <cell r="X851" t="str">
            <v>6306</v>
          </cell>
        </row>
        <row r="852">
          <cell r="U852">
            <v>166499</v>
          </cell>
          <cell r="V852" t="str">
            <v>16</v>
          </cell>
          <cell r="W852" t="str">
            <v>ΕΝΕΡΓΕΙΑΚΕΣ ΚΑΛΛΙΕΡΓΕΙΕΣ</v>
          </cell>
          <cell r="X852" t="str">
            <v>6499</v>
          </cell>
        </row>
        <row r="853">
          <cell r="U853">
            <v>168702</v>
          </cell>
          <cell r="V853" t="str">
            <v>16</v>
          </cell>
          <cell r="W853" t="str">
            <v>ΕΝΕΡΓΕΙΑΚΕΣ ΚΑΛΛΙΕΡΓΕΙΕΣ</v>
          </cell>
          <cell r="X853" t="str">
            <v>8702</v>
          </cell>
        </row>
        <row r="854">
          <cell r="U854">
            <v>168705</v>
          </cell>
          <cell r="V854" t="str">
            <v>16</v>
          </cell>
          <cell r="W854" t="str">
            <v>ΕΝΕΡΓΕΙΑΚΕΣ ΚΑΛΛΙΕΡΓΕΙΕΣ</v>
          </cell>
          <cell r="X854" t="str">
            <v>8705</v>
          </cell>
        </row>
        <row r="855">
          <cell r="U855">
            <v>171700</v>
          </cell>
          <cell r="V855" t="str">
            <v>17</v>
          </cell>
          <cell r="W855" t="str">
            <v>ΚΑΠΝΟΣ</v>
          </cell>
          <cell r="X855" t="str">
            <v>1700</v>
          </cell>
        </row>
        <row r="856">
          <cell r="U856">
            <v>171810</v>
          </cell>
          <cell r="V856" t="str">
            <v>17</v>
          </cell>
          <cell r="W856" t="str">
            <v>ΚΑΠΝΟΣ</v>
          </cell>
          <cell r="X856" t="str">
            <v>1810</v>
          </cell>
        </row>
        <row r="857">
          <cell r="U857">
            <v>171830</v>
          </cell>
          <cell r="V857" t="str">
            <v>17</v>
          </cell>
          <cell r="W857" t="str">
            <v>ΚΑΠΝΟΣ</v>
          </cell>
          <cell r="X857" t="str">
            <v>1830</v>
          </cell>
        </row>
        <row r="858">
          <cell r="U858">
            <v>171910</v>
          </cell>
          <cell r="V858" t="str">
            <v>17</v>
          </cell>
          <cell r="W858" t="str">
            <v>ΚΑΠΝΟΣ</v>
          </cell>
          <cell r="X858" t="str">
            <v>1910</v>
          </cell>
        </row>
        <row r="859">
          <cell r="U859">
            <v>171920</v>
          </cell>
          <cell r="V859" t="str">
            <v>17</v>
          </cell>
          <cell r="W859" t="str">
            <v>ΚΑΠΝΟΣ</v>
          </cell>
          <cell r="X859" t="str">
            <v>1920</v>
          </cell>
        </row>
        <row r="860">
          <cell r="U860">
            <v>172100</v>
          </cell>
          <cell r="V860" t="str">
            <v>17</v>
          </cell>
          <cell r="W860" t="str">
            <v>ΚΑΠΝΟΣ</v>
          </cell>
          <cell r="X860" t="str">
            <v>2100</v>
          </cell>
        </row>
        <row r="861">
          <cell r="U861">
            <v>172300</v>
          </cell>
          <cell r="V861" t="str">
            <v>17</v>
          </cell>
          <cell r="W861" t="str">
            <v>ΚΑΠΝΟΣ</v>
          </cell>
          <cell r="X861" t="str">
            <v>2300</v>
          </cell>
        </row>
        <row r="862">
          <cell r="U862">
            <v>172400</v>
          </cell>
          <cell r="V862" t="str">
            <v>17</v>
          </cell>
          <cell r="W862" t="str">
            <v>ΚΑΠΝΟΣ</v>
          </cell>
          <cell r="X862" t="str">
            <v>2400</v>
          </cell>
        </row>
        <row r="863">
          <cell r="U863">
            <v>172500</v>
          </cell>
          <cell r="V863" t="str">
            <v>17</v>
          </cell>
          <cell r="W863" t="str">
            <v>ΚΑΠΝΟΣ</v>
          </cell>
          <cell r="X863" t="str">
            <v>2500</v>
          </cell>
        </row>
        <row r="864">
          <cell r="U864">
            <v>172600</v>
          </cell>
          <cell r="V864" t="str">
            <v>17</v>
          </cell>
          <cell r="W864" t="str">
            <v>ΚΑΠΝΟΣ</v>
          </cell>
          <cell r="X864" t="str">
            <v>2600</v>
          </cell>
        </row>
        <row r="865">
          <cell r="U865">
            <v>188216</v>
          </cell>
          <cell r="V865" t="str">
            <v>18</v>
          </cell>
          <cell r="W865" t="str">
            <v>ΤΟΜΑΤΑ ΒΙΟΜΗΧΑΝΙΚΗ</v>
          </cell>
          <cell r="X865" t="str">
            <v>8216</v>
          </cell>
        </row>
        <row r="866">
          <cell r="U866">
            <v>188230</v>
          </cell>
          <cell r="V866" t="str">
            <v>18</v>
          </cell>
          <cell r="W866" t="str">
            <v>ΤΟΜΑΤΑ ΒΙΟΜΗΧΑΝΙΚΗ</v>
          </cell>
          <cell r="X866" t="str">
            <v>8230</v>
          </cell>
        </row>
        <row r="867">
          <cell r="U867">
            <v>199153</v>
          </cell>
          <cell r="V867" t="str">
            <v>1</v>
          </cell>
          <cell r="W867" t="str">
            <v>ΣΚΛΗΡΟΣ ΣΙΤΟΣ</v>
          </cell>
          <cell r="X867" t="str">
            <v>99153</v>
          </cell>
        </row>
        <row r="868">
          <cell r="U868">
            <v>199154</v>
          </cell>
          <cell r="V868" t="str">
            <v>1</v>
          </cell>
          <cell r="W868" t="str">
            <v>ΣΚΛΗΡΟΣ ΣΙΤΟΣ</v>
          </cell>
          <cell r="X868" t="str">
            <v>99154</v>
          </cell>
        </row>
        <row r="869">
          <cell r="U869">
            <v>199155</v>
          </cell>
          <cell r="V869" t="str">
            <v>1</v>
          </cell>
          <cell r="W869" t="str">
            <v>ΣΚΛΗΡΟΣ ΣΙΤΟΣ</v>
          </cell>
          <cell r="X869" t="str">
            <v>99155</v>
          </cell>
        </row>
        <row r="870">
          <cell r="U870">
            <v>199156</v>
          </cell>
          <cell r="V870" t="str">
            <v>1</v>
          </cell>
          <cell r="W870" t="str">
            <v>ΣΚΛΗΡΟΣ ΣΙΤΟΣ</v>
          </cell>
          <cell r="X870" t="str">
            <v>99156</v>
          </cell>
        </row>
        <row r="871">
          <cell r="U871">
            <v>199157</v>
          </cell>
          <cell r="V871" t="str">
            <v>1</v>
          </cell>
          <cell r="W871" t="str">
            <v>ΣΚΛΗΡΟΣ ΣΙΤΟΣ</v>
          </cell>
          <cell r="X871" t="str">
            <v>99157</v>
          </cell>
        </row>
        <row r="872">
          <cell r="U872">
            <v>199158</v>
          </cell>
          <cell r="V872" t="str">
            <v>1</v>
          </cell>
          <cell r="W872" t="str">
            <v>ΣΚΛΗΡΟΣ ΣΙΤΟΣ</v>
          </cell>
          <cell r="X872" t="str">
            <v>99158</v>
          </cell>
        </row>
        <row r="873">
          <cell r="U873">
            <v>199159</v>
          </cell>
          <cell r="V873" t="str">
            <v>1</v>
          </cell>
          <cell r="W873" t="str">
            <v>ΣΚΛΗΡΟΣ ΣΙΤΟΣ</v>
          </cell>
          <cell r="X873" t="str">
            <v>99159</v>
          </cell>
        </row>
        <row r="874">
          <cell r="U874">
            <v>199160</v>
          </cell>
          <cell r="V874" t="str">
            <v>1</v>
          </cell>
          <cell r="W874" t="str">
            <v>ΣΚΛΗΡΟΣ ΣΙΤΟΣ</v>
          </cell>
          <cell r="X874" t="str">
            <v>99160</v>
          </cell>
        </row>
        <row r="875">
          <cell r="U875">
            <v>199161</v>
          </cell>
          <cell r="V875" t="str">
            <v>1</v>
          </cell>
          <cell r="W875" t="str">
            <v>ΣΚΛΗΡΟΣ ΣΙΤΟΣ</v>
          </cell>
          <cell r="X875" t="str">
            <v>99161</v>
          </cell>
        </row>
        <row r="876">
          <cell r="U876">
            <v>199162</v>
          </cell>
          <cell r="V876" t="str">
            <v>1</v>
          </cell>
          <cell r="W876" t="str">
            <v>ΣΚΛΗΡΟΣ ΣΙΤΟΣ</v>
          </cell>
          <cell r="X876" t="str">
            <v>99162</v>
          </cell>
        </row>
        <row r="877">
          <cell r="U877">
            <v>199163</v>
          </cell>
          <cell r="V877" t="str">
            <v>1</v>
          </cell>
          <cell r="W877" t="str">
            <v>ΣΚΛΗΡΟΣ ΣΙΤΟΣ</v>
          </cell>
          <cell r="X877" t="str">
            <v>99163</v>
          </cell>
        </row>
        <row r="878">
          <cell r="U878">
            <v>199164</v>
          </cell>
          <cell r="V878" t="str">
            <v>1</v>
          </cell>
          <cell r="W878" t="str">
            <v>ΣΚΛΗΡΟΣ ΣΙΤΟΣ</v>
          </cell>
          <cell r="X878" t="str">
            <v>99164</v>
          </cell>
        </row>
        <row r="879">
          <cell r="U879">
            <v>199165</v>
          </cell>
          <cell r="V879" t="str">
            <v>1</v>
          </cell>
          <cell r="W879" t="str">
            <v>ΣΚΛΗΡΟΣ ΣΙΤΟΣ</v>
          </cell>
          <cell r="X879" t="str">
            <v>99165</v>
          </cell>
        </row>
        <row r="880">
          <cell r="U880">
            <v>199166</v>
          </cell>
          <cell r="V880" t="str">
            <v>1</v>
          </cell>
          <cell r="W880" t="str">
            <v>ΣΚΛΗΡΟΣ ΣΙΤΟΣ</v>
          </cell>
          <cell r="X880" t="str">
            <v>99166</v>
          </cell>
        </row>
        <row r="881">
          <cell r="U881">
            <v>199167</v>
          </cell>
          <cell r="V881" t="str">
            <v>1</v>
          </cell>
          <cell r="W881" t="str">
            <v>ΣΚΛΗΡΟΣ ΣΙΤΟΣ</v>
          </cell>
          <cell r="X881" t="str">
            <v>99167</v>
          </cell>
        </row>
        <row r="882">
          <cell r="U882">
            <v>199168</v>
          </cell>
          <cell r="V882" t="str">
            <v>1</v>
          </cell>
          <cell r="W882" t="str">
            <v>ΣΚΛΗΡΟΣ ΣΙΤΟΣ</v>
          </cell>
          <cell r="X882" t="str">
            <v>99168</v>
          </cell>
        </row>
        <row r="883">
          <cell r="U883">
            <v>199169</v>
          </cell>
          <cell r="V883" t="str">
            <v>1</v>
          </cell>
          <cell r="W883" t="str">
            <v>ΣΚΛΗΡΟΣ ΣΙΤΟΣ</v>
          </cell>
          <cell r="X883" t="str">
            <v>99169</v>
          </cell>
        </row>
        <row r="884">
          <cell r="U884">
            <v>199170</v>
          </cell>
          <cell r="V884" t="str">
            <v>1</v>
          </cell>
          <cell r="W884" t="str">
            <v>ΣΚΛΗΡΟΣ ΣΙΤΟΣ</v>
          </cell>
          <cell r="X884" t="str">
            <v>99170</v>
          </cell>
        </row>
        <row r="885">
          <cell r="U885">
            <v>199171</v>
          </cell>
          <cell r="V885" t="str">
            <v>1</v>
          </cell>
          <cell r="W885" t="str">
            <v>ΣΚΛΗΡΟΣ ΣΙΤΟΣ</v>
          </cell>
          <cell r="X885" t="str">
            <v>99171</v>
          </cell>
        </row>
        <row r="886">
          <cell r="U886">
            <v>199172</v>
          </cell>
          <cell r="V886" t="str">
            <v>1</v>
          </cell>
          <cell r="W886" t="str">
            <v>ΣΚΛΗΡΟΣ ΣΙΤΟΣ</v>
          </cell>
          <cell r="X886" t="str">
            <v>99172</v>
          </cell>
        </row>
        <row r="887">
          <cell r="U887">
            <v>199173</v>
          </cell>
          <cell r="V887" t="str">
            <v>1</v>
          </cell>
          <cell r="W887" t="str">
            <v>ΣΚΛΗΡΟΣ ΣΙΤΟΣ</v>
          </cell>
          <cell r="X887" t="str">
            <v>99173</v>
          </cell>
        </row>
        <row r="888">
          <cell r="U888">
            <v>199174</v>
          </cell>
          <cell r="V888" t="str">
            <v>1</v>
          </cell>
          <cell r="W888" t="str">
            <v>ΣΚΛΗΡΟΣ ΣΙΤΟΣ</v>
          </cell>
          <cell r="X888" t="str">
            <v>99174</v>
          </cell>
        </row>
        <row r="889">
          <cell r="U889">
            <v>199175</v>
          </cell>
          <cell r="V889" t="str">
            <v>1</v>
          </cell>
          <cell r="W889" t="str">
            <v>ΣΚΛΗΡΟΣ ΣΙΤΟΣ</v>
          </cell>
          <cell r="X889" t="str">
            <v>99175</v>
          </cell>
        </row>
        <row r="890">
          <cell r="U890">
            <v>199176</v>
          </cell>
          <cell r="V890" t="str">
            <v>1</v>
          </cell>
          <cell r="W890" t="str">
            <v>ΣΚΛΗΡΟΣ ΣΙΤΟΣ</v>
          </cell>
          <cell r="X890" t="str">
            <v>99176</v>
          </cell>
        </row>
        <row r="891">
          <cell r="U891">
            <v>199177</v>
          </cell>
          <cell r="V891" t="str">
            <v>1</v>
          </cell>
          <cell r="W891" t="str">
            <v>ΣΚΛΗΡΟΣ ΣΙΤΟΣ</v>
          </cell>
          <cell r="X891" t="str">
            <v>99177</v>
          </cell>
        </row>
        <row r="892">
          <cell r="U892">
            <v>199178</v>
          </cell>
          <cell r="V892" t="str">
            <v>1</v>
          </cell>
          <cell r="W892" t="str">
            <v>ΣΚΛΗΡΟΣ ΣΙΤΟΣ</v>
          </cell>
          <cell r="X892" t="str">
            <v>99178</v>
          </cell>
        </row>
        <row r="893">
          <cell r="U893">
            <v>199180</v>
          </cell>
          <cell r="V893" t="str">
            <v>1</v>
          </cell>
          <cell r="W893" t="str">
            <v>ΣΚΛΗΡΟΣ ΣΙΤΟΣ</v>
          </cell>
          <cell r="X893" t="str">
            <v>99180</v>
          </cell>
        </row>
        <row r="894">
          <cell r="U894">
            <v>199281</v>
          </cell>
          <cell r="V894" t="str">
            <v>1</v>
          </cell>
          <cell r="W894" t="str">
            <v>ΣΚΛΗΡΟΣ ΣΙΤΟΣ</v>
          </cell>
          <cell r="X894" t="str">
            <v>99281</v>
          </cell>
        </row>
        <row r="895">
          <cell r="U895">
            <v>199282</v>
          </cell>
          <cell r="V895" t="str">
            <v>1</v>
          </cell>
          <cell r="W895" t="str">
            <v>ΣΚΛΗΡΟΣ ΣΙΤΟΣ</v>
          </cell>
          <cell r="X895" t="str">
            <v>99282</v>
          </cell>
        </row>
        <row r="896">
          <cell r="U896">
            <v>199284</v>
          </cell>
          <cell r="V896" t="str">
            <v>1</v>
          </cell>
          <cell r="W896" t="str">
            <v>ΣΚΛΗΡΟΣ ΣΙΤΟΣ</v>
          </cell>
          <cell r="X896" t="str">
            <v>99284</v>
          </cell>
        </row>
        <row r="897">
          <cell r="U897">
            <v>199285</v>
          </cell>
          <cell r="V897" t="str">
            <v>1</v>
          </cell>
          <cell r="W897" t="str">
            <v>ΣΚΛΗΡΟΣ ΣΙΤΟΣ</v>
          </cell>
          <cell r="X897" t="str">
            <v>99285</v>
          </cell>
        </row>
        <row r="898">
          <cell r="U898">
            <v>199286</v>
          </cell>
          <cell r="V898" t="str">
            <v>1</v>
          </cell>
          <cell r="W898" t="str">
            <v>ΣΚΛΗΡΟΣ ΣΙΤΟΣ</v>
          </cell>
          <cell r="X898" t="str">
            <v>99286</v>
          </cell>
        </row>
        <row r="899">
          <cell r="U899">
            <v>199287</v>
          </cell>
          <cell r="V899" t="str">
            <v>1</v>
          </cell>
          <cell r="W899" t="str">
            <v>ΣΚΛΗΡΟΣ ΣΙΤΟΣ</v>
          </cell>
          <cell r="X899" t="str">
            <v>99287</v>
          </cell>
        </row>
        <row r="900">
          <cell r="U900">
            <v>218125</v>
          </cell>
          <cell r="V900" t="str">
            <v>21</v>
          </cell>
          <cell r="W900" t="str">
            <v>ΑΚΡΟΔΡΥΑ (ΚΑΡΠΟΙ ΜΕ ΚΕΛΥΦΟΣ)</v>
          </cell>
          <cell r="X900" t="str">
            <v>8125</v>
          </cell>
        </row>
        <row r="901">
          <cell r="U901">
            <v>218128</v>
          </cell>
          <cell r="V901" t="str">
            <v>21</v>
          </cell>
          <cell r="W901" t="str">
            <v>ΑΚΡΟΔΡΥΑ (ΚΑΡΠΟΙ ΜΕ ΚΕΛΥΦΟΣ)</v>
          </cell>
          <cell r="X901" t="str">
            <v>8128</v>
          </cell>
        </row>
        <row r="902">
          <cell r="U902">
            <v>218389</v>
          </cell>
          <cell r="V902" t="str">
            <v>21</v>
          </cell>
          <cell r="W902" t="str">
            <v>ΑΚΡΟΔΡΥΑ (ΚΑΡΠΟΙ ΜΕ ΚΕΛΥΦΟΣ)</v>
          </cell>
          <cell r="X902" t="str">
            <v>8389</v>
          </cell>
        </row>
        <row r="903">
          <cell r="U903">
            <v>218390</v>
          </cell>
          <cell r="V903" t="str">
            <v>21</v>
          </cell>
          <cell r="W903" t="str">
            <v>ΑΚΡΟΔΡΥΑ (ΚΑΡΠΟΙ ΜΕ ΚΕΛΥΦΟΣ)</v>
          </cell>
          <cell r="X903" t="str">
            <v>8390</v>
          </cell>
        </row>
        <row r="904">
          <cell r="U904">
            <v>218391</v>
          </cell>
          <cell r="V904" t="str">
            <v>21</v>
          </cell>
          <cell r="W904" t="str">
            <v>ΑΚΡΟΔΡΥΑ (ΚΑΡΠΟΙ ΜΕ ΚΕΛΥΦΟΣ)</v>
          </cell>
          <cell r="X904" t="str">
            <v>8391</v>
          </cell>
        </row>
        <row r="905">
          <cell r="U905">
            <v>218392</v>
          </cell>
          <cell r="V905" t="str">
            <v>21</v>
          </cell>
          <cell r="W905" t="str">
            <v>ΑΚΡΟΔΡΥΑ (ΚΑΡΠΟΙ ΜΕ ΚΕΛΥΦΟΣ)</v>
          </cell>
          <cell r="X905" t="str">
            <v>8392</v>
          </cell>
        </row>
        <row r="906">
          <cell r="U906">
            <v>218393</v>
          </cell>
          <cell r="V906" t="str">
            <v>21</v>
          </cell>
          <cell r="W906" t="str">
            <v>ΑΚΡΟΔΡΥΑ (ΚΑΡΠΟΙ ΜΕ ΚΕΛΥΦΟΣ)</v>
          </cell>
          <cell r="X906" t="str">
            <v>8393</v>
          </cell>
        </row>
        <row r="907">
          <cell r="U907">
            <v>218394</v>
          </cell>
          <cell r="V907" t="str">
            <v>21</v>
          </cell>
          <cell r="W907" t="str">
            <v>ΑΚΡΟΔΡΥΑ (ΚΑΡΠΟΙ ΜΕ ΚΕΛΥΦΟΣ)</v>
          </cell>
          <cell r="X907" t="str">
            <v>8394</v>
          </cell>
        </row>
        <row r="908">
          <cell r="U908">
            <v>218395</v>
          </cell>
          <cell r="V908" t="str">
            <v>21</v>
          </cell>
          <cell r="W908" t="str">
            <v>ΑΚΡΟΔΡΥΑ (ΚΑΡΠΟΙ ΜΕ ΚΕΛΥΦΟΣ)</v>
          </cell>
          <cell r="X908" t="str">
            <v>8395</v>
          </cell>
        </row>
        <row r="909">
          <cell r="U909">
            <v>218396</v>
          </cell>
          <cell r="V909" t="str">
            <v>21</v>
          </cell>
          <cell r="W909" t="str">
            <v>ΑΚΡΟΔΡΥΑ (ΚΑΡΠΟΙ ΜΕ ΚΕΛΥΦΟΣ)</v>
          </cell>
          <cell r="X909" t="str">
            <v>8396</v>
          </cell>
        </row>
        <row r="910">
          <cell r="U910">
            <v>218397</v>
          </cell>
          <cell r="V910" t="str">
            <v>21</v>
          </cell>
          <cell r="W910" t="str">
            <v>ΑΚΡΟΔΡΥΑ (ΚΑΡΠΟΙ ΜΕ ΚΕΛΥΦΟΣ)</v>
          </cell>
          <cell r="X910" t="str">
            <v>8397</v>
          </cell>
        </row>
        <row r="911">
          <cell r="U911">
            <v>218401</v>
          </cell>
          <cell r="V911" t="str">
            <v>21</v>
          </cell>
          <cell r="W911" t="str">
            <v>ΑΚΡΟΔΡΥΑ (ΚΑΡΠΟΙ ΜΕ ΚΕΛΥΦΟΣ)</v>
          </cell>
          <cell r="X911" t="str">
            <v>8401</v>
          </cell>
        </row>
        <row r="912">
          <cell r="U912">
            <v>218402</v>
          </cell>
          <cell r="V912" t="str">
            <v>21</v>
          </cell>
          <cell r="W912" t="str">
            <v>ΑΚΡΟΔΡΥΑ (ΚΑΡΠΟΙ ΜΕ ΚΕΛΥΦΟΣ)</v>
          </cell>
          <cell r="X912" t="str">
            <v>8402</v>
          </cell>
        </row>
        <row r="913">
          <cell r="U913">
            <v>218403</v>
          </cell>
          <cell r="V913" t="str">
            <v>21</v>
          </cell>
          <cell r="W913" t="str">
            <v>ΑΚΡΟΔΡΥΑ (ΚΑΡΠΟΙ ΜΕ ΚΕΛΥΦΟΣ)</v>
          </cell>
          <cell r="X913" t="str">
            <v>8403</v>
          </cell>
        </row>
        <row r="914">
          <cell r="U914">
            <v>218404</v>
          </cell>
          <cell r="V914" t="str">
            <v>21</v>
          </cell>
          <cell r="W914" t="str">
            <v>ΑΚΡΟΔΡΥΑ (ΚΑΡΠΟΙ ΜΕ ΚΕΛΥΦΟΣ)</v>
          </cell>
          <cell r="X914" t="str">
            <v>8404</v>
          </cell>
        </row>
        <row r="915">
          <cell r="U915">
            <v>218405</v>
          </cell>
          <cell r="V915" t="str">
            <v>21</v>
          </cell>
          <cell r="W915" t="str">
            <v>ΑΚΡΟΔΡΥΑ (ΚΑΡΠΟΙ ΜΕ ΚΕΛΥΦΟΣ)</v>
          </cell>
          <cell r="X915" t="str">
            <v>8405</v>
          </cell>
        </row>
        <row r="916">
          <cell r="U916">
            <v>246001</v>
          </cell>
          <cell r="V916" t="str">
            <v>24</v>
          </cell>
          <cell r="W916" t="str">
            <v>ΓΕΩΜHΛΑ</v>
          </cell>
          <cell r="X916" t="str">
            <v>6001</v>
          </cell>
        </row>
        <row r="917">
          <cell r="U917">
            <v>246002</v>
          </cell>
          <cell r="V917" t="str">
            <v>24</v>
          </cell>
          <cell r="W917" t="str">
            <v>ΓΕΩΜHΛΑ</v>
          </cell>
          <cell r="X917" t="str">
            <v>6002</v>
          </cell>
        </row>
        <row r="918">
          <cell r="U918">
            <v>246003</v>
          </cell>
          <cell r="V918" t="str">
            <v>24</v>
          </cell>
          <cell r="W918" t="str">
            <v>ΓΕΩΜHΛΑ</v>
          </cell>
          <cell r="X918" t="str">
            <v>6003</v>
          </cell>
        </row>
        <row r="919">
          <cell r="U919">
            <v>257501</v>
          </cell>
          <cell r="V919" t="str">
            <v>25</v>
          </cell>
          <cell r="W919" t="str">
            <v>ΣΠΟΡΟΠΑΡΑΓΩΓΗ</v>
          </cell>
          <cell r="X919" t="str">
            <v>7501</v>
          </cell>
        </row>
        <row r="920">
          <cell r="U920">
            <v>257502</v>
          </cell>
          <cell r="V920" t="str">
            <v>25</v>
          </cell>
          <cell r="W920" t="str">
            <v>ΣΠΟΡΟΠΑΡΑΓΩΓΗ</v>
          </cell>
          <cell r="X920" t="str">
            <v>7502</v>
          </cell>
        </row>
        <row r="921">
          <cell r="U921">
            <v>257503</v>
          </cell>
          <cell r="V921" t="str">
            <v>25</v>
          </cell>
          <cell r="W921" t="str">
            <v>ΣΠΟΡΟΠΑΡΑΓΩΓΗ</v>
          </cell>
          <cell r="X921" t="str">
            <v>7503</v>
          </cell>
        </row>
        <row r="922">
          <cell r="U922">
            <v>257504</v>
          </cell>
          <cell r="V922" t="str">
            <v>25</v>
          </cell>
          <cell r="W922" t="str">
            <v>ΣΠΟΡΟΠΑΡΑΓΩΓΗ</v>
          </cell>
          <cell r="X922" t="str">
            <v>7504</v>
          </cell>
        </row>
        <row r="923">
          <cell r="U923">
            <v>257505</v>
          </cell>
          <cell r="V923" t="str">
            <v>25</v>
          </cell>
          <cell r="W923" t="str">
            <v>ΣΠΟΡΟΠΑΡΑΓΩΓΗ</v>
          </cell>
          <cell r="X923" t="str">
            <v>7505</v>
          </cell>
        </row>
        <row r="924">
          <cell r="U924">
            <v>257506</v>
          </cell>
          <cell r="V924" t="str">
            <v>25</v>
          </cell>
          <cell r="W924" t="str">
            <v>ΣΠΟΡΟΠΑΡΑΓΩΓΗ</v>
          </cell>
          <cell r="X924" t="str">
            <v>7506</v>
          </cell>
        </row>
        <row r="925">
          <cell r="U925">
            <v>257507</v>
          </cell>
          <cell r="V925" t="str">
            <v>25</v>
          </cell>
          <cell r="W925" t="str">
            <v>ΣΠΟΡΟΠΑΡΑΓΩΓΗ</v>
          </cell>
          <cell r="X925" t="str">
            <v>7507</v>
          </cell>
        </row>
        <row r="926">
          <cell r="U926">
            <v>257508</v>
          </cell>
          <cell r="V926" t="str">
            <v>25</v>
          </cell>
          <cell r="W926" t="str">
            <v>ΣΠΟΡΟΠΑΡΑΓΩΓΗ</v>
          </cell>
          <cell r="X926" t="str">
            <v>7508</v>
          </cell>
        </row>
        <row r="927">
          <cell r="U927">
            <v>257509</v>
          </cell>
          <cell r="V927" t="str">
            <v>25</v>
          </cell>
          <cell r="W927" t="str">
            <v>ΣΠΟΡΟΠΑΡΑΓΩΓΗ</v>
          </cell>
          <cell r="X927" t="str">
            <v>7509</v>
          </cell>
        </row>
        <row r="928">
          <cell r="U928">
            <v>257510</v>
          </cell>
          <cell r="V928" t="str">
            <v>25</v>
          </cell>
          <cell r="W928" t="str">
            <v>ΣΠΟΡΟΠΑΡΑΓΩΓΗ</v>
          </cell>
          <cell r="X928" t="str">
            <v>7510</v>
          </cell>
        </row>
        <row r="929">
          <cell r="U929">
            <v>257511</v>
          </cell>
          <cell r="V929" t="str">
            <v>25</v>
          </cell>
          <cell r="W929" t="str">
            <v>ΣΠΟΡΟΠΑΡΑΓΩΓΗ</v>
          </cell>
          <cell r="X929" t="str">
            <v>7511</v>
          </cell>
        </row>
        <row r="930">
          <cell r="U930">
            <v>257512</v>
          </cell>
          <cell r="V930" t="str">
            <v>25</v>
          </cell>
          <cell r="W930" t="str">
            <v>ΣΠΟΡΟΠΑΡΑΓΩΓΗ</v>
          </cell>
          <cell r="X930" t="str">
            <v>7512</v>
          </cell>
        </row>
        <row r="931">
          <cell r="U931">
            <v>257513</v>
          </cell>
          <cell r="V931" t="str">
            <v>25</v>
          </cell>
          <cell r="W931" t="str">
            <v>ΣΠΟΡΟΠΑΡΑΓΩΓΗ</v>
          </cell>
          <cell r="X931" t="str">
            <v>7513</v>
          </cell>
        </row>
        <row r="932">
          <cell r="U932">
            <v>257514</v>
          </cell>
          <cell r="V932" t="str">
            <v>25</v>
          </cell>
          <cell r="W932" t="str">
            <v>ΣΠΟΡΟΠΑΡΑΓΩΓΗ</v>
          </cell>
          <cell r="X932" t="str">
            <v>7514</v>
          </cell>
        </row>
        <row r="933">
          <cell r="U933">
            <v>257515</v>
          </cell>
          <cell r="V933" t="str">
            <v>25</v>
          </cell>
          <cell r="W933" t="str">
            <v>ΣΠΟΡΟΠΑΡΑΓΩΓΗ</v>
          </cell>
          <cell r="X933" t="str">
            <v>7515</v>
          </cell>
        </row>
        <row r="934">
          <cell r="U934">
            <v>257516</v>
          </cell>
          <cell r="V934" t="str">
            <v>25</v>
          </cell>
          <cell r="W934" t="str">
            <v>ΣΠΟΡΟΠΑΡΑΓΩΓΗ</v>
          </cell>
          <cell r="X934" t="str">
            <v>7516</v>
          </cell>
        </row>
        <row r="935">
          <cell r="U935">
            <v>257517</v>
          </cell>
          <cell r="V935" t="str">
            <v>25</v>
          </cell>
          <cell r="W935" t="str">
            <v>ΣΠΟΡΟΠΑΡΑΓΩΓΗ</v>
          </cell>
          <cell r="X935" t="str">
            <v>7517</v>
          </cell>
        </row>
        <row r="936">
          <cell r="U936">
            <v>257518</v>
          </cell>
          <cell r="V936" t="str">
            <v>25</v>
          </cell>
          <cell r="W936" t="str">
            <v>ΣΠΟΡΟΠΑΡΑΓΩΓΗ</v>
          </cell>
          <cell r="X936" t="str">
            <v>7518</v>
          </cell>
        </row>
        <row r="937">
          <cell r="U937">
            <v>257519</v>
          </cell>
          <cell r="V937" t="str">
            <v>25</v>
          </cell>
          <cell r="W937" t="str">
            <v>ΣΠΟΡΟΠΑΡΑΓΩΓΗ</v>
          </cell>
          <cell r="X937" t="str">
            <v>7519</v>
          </cell>
        </row>
        <row r="938">
          <cell r="U938">
            <v>257520</v>
          </cell>
          <cell r="V938" t="str">
            <v>25</v>
          </cell>
          <cell r="W938" t="str">
            <v>ΣΠΟΡΟΠΑΡΑΓΩΓΗ</v>
          </cell>
          <cell r="X938" t="str">
            <v>7520</v>
          </cell>
        </row>
        <row r="939">
          <cell r="U939">
            <v>257521</v>
          </cell>
          <cell r="V939" t="str">
            <v>25</v>
          </cell>
          <cell r="W939" t="str">
            <v>ΣΠΟΡΟΠΑΡΑΓΩΓΗ</v>
          </cell>
          <cell r="X939" t="str">
            <v>7521</v>
          </cell>
        </row>
        <row r="940">
          <cell r="U940">
            <v>257522</v>
          </cell>
          <cell r="V940" t="str">
            <v>25</v>
          </cell>
          <cell r="W940" t="str">
            <v>ΣΠΟΡΟΠΑΡΑΓΩΓΗ</v>
          </cell>
          <cell r="X940" t="str">
            <v>7522</v>
          </cell>
        </row>
        <row r="941">
          <cell r="U941">
            <v>257523</v>
          </cell>
          <cell r="V941" t="str">
            <v>25</v>
          </cell>
          <cell r="W941" t="str">
            <v>ΣΠΟΡΟΠΑΡΑΓΩΓΗ</v>
          </cell>
          <cell r="X941" t="str">
            <v>7523</v>
          </cell>
        </row>
        <row r="942">
          <cell r="U942">
            <v>257524</v>
          </cell>
          <cell r="V942" t="str">
            <v>25</v>
          </cell>
          <cell r="W942" t="str">
            <v>ΣΠΟΡΟΠΑΡΑΓΩΓΗ</v>
          </cell>
          <cell r="X942" t="str">
            <v>7524</v>
          </cell>
        </row>
        <row r="943">
          <cell r="U943">
            <v>257525</v>
          </cell>
          <cell r="V943" t="str">
            <v>25</v>
          </cell>
          <cell r="W943" t="str">
            <v>ΣΠΟΡΟΠΑΡΑΓΩΓΗ</v>
          </cell>
          <cell r="X943" t="str">
            <v>7525</v>
          </cell>
        </row>
        <row r="944">
          <cell r="U944">
            <v>257526</v>
          </cell>
          <cell r="V944" t="str">
            <v>25</v>
          </cell>
          <cell r="W944" t="str">
            <v>ΣΠΟΡΟΠΑΡΑΓΩΓΗ</v>
          </cell>
          <cell r="X944" t="str">
            <v>7526</v>
          </cell>
        </row>
        <row r="945">
          <cell r="U945">
            <v>257527</v>
          </cell>
          <cell r="V945" t="str">
            <v>25</v>
          </cell>
          <cell r="W945" t="str">
            <v>ΣΠΟΡΟΠΑΡΑΓΩΓΗ</v>
          </cell>
          <cell r="X945" t="str">
            <v>7527</v>
          </cell>
        </row>
        <row r="946">
          <cell r="U946">
            <v>257528</v>
          </cell>
          <cell r="V946" t="str">
            <v>25</v>
          </cell>
          <cell r="W946" t="str">
            <v>ΣΠΟΡΟΠΑΡΑΓΩΓΗ</v>
          </cell>
          <cell r="X946" t="str">
            <v>7528</v>
          </cell>
        </row>
        <row r="947">
          <cell r="U947">
            <v>257529</v>
          </cell>
          <cell r="V947" t="str">
            <v>25</v>
          </cell>
          <cell r="W947" t="str">
            <v>ΣΠΟΡΟΠΑΡΑΓΩΓΗ</v>
          </cell>
          <cell r="X947" t="str">
            <v>7529</v>
          </cell>
        </row>
        <row r="948">
          <cell r="U948">
            <v>257530</v>
          </cell>
          <cell r="V948" t="str">
            <v>25</v>
          </cell>
          <cell r="W948" t="str">
            <v>ΣΠΟΡΟΠΑΡΑΓΩΓΗ</v>
          </cell>
          <cell r="X948" t="str">
            <v>7530</v>
          </cell>
        </row>
        <row r="949">
          <cell r="U949">
            <v>257531</v>
          </cell>
          <cell r="V949" t="str">
            <v>25</v>
          </cell>
          <cell r="W949" t="str">
            <v>ΣΠΟΡΟΠΑΡΑΓΩΓΗ</v>
          </cell>
          <cell r="X949" t="str">
            <v>7531</v>
          </cell>
        </row>
        <row r="950">
          <cell r="U950">
            <v>257540</v>
          </cell>
          <cell r="V950" t="str">
            <v>25</v>
          </cell>
          <cell r="W950" t="str">
            <v>ΣΠΟΡΟΠΑΡΑΓΩΓΗ</v>
          </cell>
          <cell r="X950" t="str">
            <v>7540</v>
          </cell>
        </row>
        <row r="951">
          <cell r="U951">
            <v>257544</v>
          </cell>
          <cell r="V951" t="str">
            <v>25</v>
          </cell>
          <cell r="W951" t="str">
            <v>ΣΠΟΡΟΠΑΡΑΓΩΓΗ</v>
          </cell>
          <cell r="X951" t="str">
            <v>7544</v>
          </cell>
        </row>
        <row r="952">
          <cell r="U952">
            <v>257546</v>
          </cell>
          <cell r="V952" t="str">
            <v>25</v>
          </cell>
          <cell r="W952" t="str">
            <v>ΣΠΟΡΟΠΑΡΑΓΩΓΗ</v>
          </cell>
          <cell r="X952" t="str">
            <v>7546</v>
          </cell>
        </row>
        <row r="953">
          <cell r="U953">
            <v>257547</v>
          </cell>
          <cell r="V953" t="str">
            <v>25</v>
          </cell>
          <cell r="W953" t="str">
            <v>ΣΠΟΡΟΠΑΡΑΓΩΓΗ</v>
          </cell>
          <cell r="X953" t="str">
            <v>7547</v>
          </cell>
        </row>
        <row r="954">
          <cell r="U954">
            <v>257599</v>
          </cell>
          <cell r="V954" t="str">
            <v>25</v>
          </cell>
          <cell r="W954" t="str">
            <v>ΣΠΟΡΟΠΑΡΑΓΩΓΗ</v>
          </cell>
          <cell r="X954" t="str">
            <v>7599</v>
          </cell>
        </row>
        <row r="955">
          <cell r="U955">
            <v>257780</v>
          </cell>
          <cell r="V955" t="str">
            <v>25</v>
          </cell>
          <cell r="W955" t="str">
            <v>ΣΠΟΡΟΠΑΡΑΓΩΓΗ</v>
          </cell>
          <cell r="X955" t="str">
            <v>7780</v>
          </cell>
        </row>
        <row r="956">
          <cell r="U956">
            <v>258115</v>
          </cell>
          <cell r="V956" t="str">
            <v>25</v>
          </cell>
          <cell r="W956" t="str">
            <v>ΣΠΟΡΟΠΑΡΑΓΩΓΗ</v>
          </cell>
          <cell r="X956" t="str">
            <v>8115</v>
          </cell>
        </row>
        <row r="957">
          <cell r="U957">
            <v>258116</v>
          </cell>
          <cell r="V957" t="str">
            <v>25</v>
          </cell>
          <cell r="W957" t="str">
            <v>ΣΠΟΡΟΠΑΡΑΓΩΓΗ</v>
          </cell>
          <cell r="X957" t="str">
            <v>8116</v>
          </cell>
        </row>
        <row r="958">
          <cell r="U958">
            <v>258117</v>
          </cell>
          <cell r="V958" t="str">
            <v>25</v>
          </cell>
          <cell r="W958" t="str">
            <v>ΣΠΟΡΟΠΑΡΑΓΩΓΗ</v>
          </cell>
          <cell r="X958" t="str">
            <v>8117</v>
          </cell>
        </row>
        <row r="959">
          <cell r="U959">
            <v>258761</v>
          </cell>
          <cell r="V959" t="str">
            <v>25</v>
          </cell>
          <cell r="W959" t="str">
            <v>ΣΠΟΡΟΠΑΡΑΓΩΓΗ</v>
          </cell>
          <cell r="X959" t="str">
            <v>8761</v>
          </cell>
        </row>
        <row r="960">
          <cell r="U960">
            <v>258762</v>
          </cell>
          <cell r="V960" t="str">
            <v>25</v>
          </cell>
          <cell r="W960" t="str">
            <v>ΣΠΟΡΟΠΑΡΑΓΩΓΗ</v>
          </cell>
          <cell r="X960" t="str">
            <v>8762</v>
          </cell>
        </row>
        <row r="961">
          <cell r="U961">
            <v>298602</v>
          </cell>
          <cell r="V961" t="str">
            <v>29</v>
          </cell>
          <cell r="W961" t="str">
            <v>ΜΠΑΝΑΝΕΣ</v>
          </cell>
          <cell r="X961" t="str">
            <v>8602</v>
          </cell>
        </row>
        <row r="962">
          <cell r="U962">
            <v>299179</v>
          </cell>
          <cell r="V962" t="str">
            <v>2</v>
          </cell>
          <cell r="W962" t="str">
            <v>ΛΟΙΠΑ ΣΙΤΗΡΑ</v>
          </cell>
          <cell r="X962" t="str">
            <v>99179</v>
          </cell>
        </row>
        <row r="963">
          <cell r="U963">
            <v>299283</v>
          </cell>
          <cell r="V963" t="str">
            <v>2</v>
          </cell>
          <cell r="W963" t="str">
            <v>ΛΟΙΠΑ ΣΙΤΗΡΑ</v>
          </cell>
          <cell r="X963" t="str">
            <v>99283</v>
          </cell>
        </row>
        <row r="964">
          <cell r="U964">
            <v>318001</v>
          </cell>
          <cell r="V964" t="str">
            <v>3.1</v>
          </cell>
          <cell r="W964" t="str">
            <v>ΑΡΑΒΟΣΙΤΟΣ</v>
          </cell>
          <cell r="X964" t="str">
            <v>8001</v>
          </cell>
        </row>
        <row r="965">
          <cell r="U965">
            <v>318002</v>
          </cell>
          <cell r="V965" t="str">
            <v>3.1</v>
          </cell>
          <cell r="W965" t="str">
            <v>ΑΡΑΒΟΣΙΤΟΣ</v>
          </cell>
          <cell r="X965" t="str">
            <v>8002</v>
          </cell>
        </row>
        <row r="966">
          <cell r="U966">
            <v>318003</v>
          </cell>
          <cell r="V966" t="str">
            <v>3.1</v>
          </cell>
          <cell r="W966" t="str">
            <v>ΑΡΑΒΟΣΙΤΟΣ</v>
          </cell>
          <cell r="X966" t="str">
            <v>8003</v>
          </cell>
        </row>
        <row r="967">
          <cell r="U967">
            <v>318004</v>
          </cell>
          <cell r="V967" t="str">
            <v>3.1</v>
          </cell>
          <cell r="W967" t="str">
            <v>ΑΡΑΒΟΣΙΤΟΣ</v>
          </cell>
          <cell r="X967" t="str">
            <v>8004</v>
          </cell>
        </row>
        <row r="968">
          <cell r="U968">
            <v>318005</v>
          </cell>
          <cell r="V968" t="str">
            <v>3.1</v>
          </cell>
          <cell r="W968" t="str">
            <v>ΑΡΑΒΟΣΙΤΟΣ</v>
          </cell>
          <cell r="X968" t="str">
            <v>8005</v>
          </cell>
        </row>
        <row r="969">
          <cell r="U969">
            <v>318006</v>
          </cell>
          <cell r="V969" t="str">
            <v>3.1</v>
          </cell>
          <cell r="W969" t="str">
            <v>ΑΡΑΒΟΣΙΤΟΣ</v>
          </cell>
          <cell r="X969" t="str">
            <v>8006</v>
          </cell>
        </row>
        <row r="970">
          <cell r="U970">
            <v>318007</v>
          </cell>
          <cell r="V970" t="str">
            <v>3.1</v>
          </cell>
          <cell r="W970" t="str">
            <v>ΑΡΑΒΟΣΙΤΟΣ</v>
          </cell>
          <cell r="X970" t="str">
            <v>8007</v>
          </cell>
        </row>
        <row r="971">
          <cell r="U971">
            <v>318008</v>
          </cell>
          <cell r="V971" t="str">
            <v>3.1</v>
          </cell>
          <cell r="W971" t="str">
            <v>ΑΡΑΒΟΣΙΤΟΣ</v>
          </cell>
          <cell r="X971" t="str">
            <v>8008</v>
          </cell>
        </row>
        <row r="972">
          <cell r="U972">
            <v>318009</v>
          </cell>
          <cell r="V972" t="str">
            <v>3.1</v>
          </cell>
          <cell r="W972" t="str">
            <v>ΑΡΑΒΟΣΙΤΟΣ</v>
          </cell>
          <cell r="X972" t="str">
            <v>8009</v>
          </cell>
        </row>
        <row r="973">
          <cell r="U973">
            <v>318010</v>
          </cell>
          <cell r="V973" t="str">
            <v>3.1</v>
          </cell>
          <cell r="W973" t="str">
            <v>ΑΡΑΒΟΣΙΤΟΣ</v>
          </cell>
          <cell r="X973" t="str">
            <v>8010</v>
          </cell>
        </row>
        <row r="974">
          <cell r="U974">
            <v>318011</v>
          </cell>
          <cell r="V974" t="str">
            <v>3.1</v>
          </cell>
          <cell r="W974" t="str">
            <v>ΑΡΑΒΟΣΙΤΟΣ</v>
          </cell>
          <cell r="X974" t="str">
            <v>8011</v>
          </cell>
        </row>
        <row r="975">
          <cell r="U975">
            <v>318012</v>
          </cell>
          <cell r="V975" t="str">
            <v>3.1</v>
          </cell>
          <cell r="W975" t="str">
            <v>ΑΡΑΒΟΣΙΤΟΣ</v>
          </cell>
          <cell r="X975" t="str">
            <v>8012</v>
          </cell>
        </row>
        <row r="976">
          <cell r="U976">
            <v>318013</v>
          </cell>
          <cell r="V976" t="str">
            <v>3.1</v>
          </cell>
          <cell r="W976" t="str">
            <v>ΑΡΑΒΟΣΙΤΟΣ</v>
          </cell>
          <cell r="X976" t="str">
            <v>8013</v>
          </cell>
        </row>
        <row r="977">
          <cell r="U977">
            <v>318014</v>
          </cell>
          <cell r="V977" t="str">
            <v>3.1</v>
          </cell>
          <cell r="W977" t="str">
            <v>ΑΡΑΒΟΣΙΤΟΣ</v>
          </cell>
          <cell r="X977" t="str">
            <v>8014</v>
          </cell>
        </row>
        <row r="978">
          <cell r="U978">
            <v>318015</v>
          </cell>
          <cell r="V978" t="str">
            <v>3.1</v>
          </cell>
          <cell r="W978" t="str">
            <v>ΑΡΑΒΟΣΙΤΟΣ</v>
          </cell>
          <cell r="X978" t="str">
            <v>8015</v>
          </cell>
        </row>
        <row r="979">
          <cell r="U979">
            <v>318016</v>
          </cell>
          <cell r="V979" t="str">
            <v>3.1</v>
          </cell>
          <cell r="W979" t="str">
            <v>ΑΡΑΒΟΣΙΤΟΣ</v>
          </cell>
          <cell r="X979" t="str">
            <v>8016</v>
          </cell>
        </row>
        <row r="980">
          <cell r="U980">
            <v>318017</v>
          </cell>
          <cell r="V980" t="str">
            <v>3.1</v>
          </cell>
          <cell r="W980" t="str">
            <v>ΑΡΑΒΟΣΙΤΟΣ</v>
          </cell>
          <cell r="X980" t="str">
            <v>8017</v>
          </cell>
        </row>
        <row r="981">
          <cell r="U981">
            <v>318018</v>
          </cell>
          <cell r="V981" t="str">
            <v>3.1</v>
          </cell>
          <cell r="W981" t="str">
            <v>ΑΡΑΒΟΣΙΤΟΣ</v>
          </cell>
          <cell r="X981" t="str">
            <v>8018</v>
          </cell>
        </row>
        <row r="982">
          <cell r="U982">
            <v>318019</v>
          </cell>
          <cell r="V982" t="str">
            <v>3.1</v>
          </cell>
          <cell r="W982" t="str">
            <v>ΑΡΑΒΟΣΙΤΟΣ</v>
          </cell>
          <cell r="X982" t="str">
            <v>8019</v>
          </cell>
        </row>
        <row r="983">
          <cell r="U983">
            <v>318020</v>
          </cell>
          <cell r="V983" t="str">
            <v>3.1</v>
          </cell>
          <cell r="W983" t="str">
            <v>ΑΡΑΒΟΣΙΤΟΣ</v>
          </cell>
          <cell r="X983" t="str">
            <v>8020</v>
          </cell>
        </row>
        <row r="984">
          <cell r="U984">
            <v>328002</v>
          </cell>
          <cell r="V984" t="str">
            <v>3.2</v>
          </cell>
          <cell r="W984" t="str">
            <v>ΑΡΑΒΟΣΙΤΟΣ ΕΝΣΙΡΩΣΗΣ</v>
          </cell>
          <cell r="X984" t="str">
            <v>8002</v>
          </cell>
        </row>
        <row r="985">
          <cell r="U985">
            <v>328005</v>
          </cell>
          <cell r="V985" t="str">
            <v>3.2</v>
          </cell>
          <cell r="W985" t="str">
            <v>ΑΡΑΒΟΣΙΤΟΣ ΕΝΣΙΡΩΣΗΣ</v>
          </cell>
          <cell r="X985" t="str">
            <v>8005</v>
          </cell>
        </row>
        <row r="986">
          <cell r="U986">
            <v>328011</v>
          </cell>
          <cell r="V986" t="str">
            <v>3.2</v>
          </cell>
          <cell r="W986" t="str">
            <v>ΑΡΑΒΟΣΙΤΟΣ ΕΝΣΙΡΩΣΗΣ</v>
          </cell>
          <cell r="X986" t="str">
            <v>8011</v>
          </cell>
        </row>
        <row r="987">
          <cell r="U987">
            <v>328012</v>
          </cell>
          <cell r="V987" t="str">
            <v>3.2</v>
          </cell>
          <cell r="W987" t="str">
            <v>ΑΡΑΒΟΣΙΤΟΣ ΕΝΣΙΡΩΣΗΣ</v>
          </cell>
          <cell r="X987" t="str">
            <v>8012</v>
          </cell>
        </row>
        <row r="988">
          <cell r="U988">
            <v>328014</v>
          </cell>
          <cell r="V988" t="str">
            <v>3.2</v>
          </cell>
          <cell r="W988" t="str">
            <v>ΑΡΑΒΟΣΙΤΟΣ ΕΝΣΙΡΩΣΗΣ</v>
          </cell>
          <cell r="X988" t="str">
            <v>8014</v>
          </cell>
        </row>
        <row r="989">
          <cell r="U989">
            <v>328016</v>
          </cell>
          <cell r="V989" t="str">
            <v>3.2</v>
          </cell>
          <cell r="W989" t="str">
            <v>ΑΡΑΒΟΣΙΤΟΣ ΕΝΣΙΡΩΣΗΣ</v>
          </cell>
          <cell r="X989" t="str">
            <v>8016</v>
          </cell>
        </row>
        <row r="990">
          <cell r="U990">
            <v>378166</v>
          </cell>
          <cell r="V990" t="str">
            <v>37</v>
          </cell>
          <cell r="W990" t="str">
            <v>ΕΣΠΕΡΙΔΟΕΙΔΗ</v>
          </cell>
          <cell r="X990" t="str">
            <v>8166</v>
          </cell>
        </row>
        <row r="991">
          <cell r="U991">
            <v>378167</v>
          </cell>
          <cell r="V991" t="str">
            <v>37</v>
          </cell>
          <cell r="W991" t="str">
            <v>ΕΣΠΕΡΙΔΟΕΙΔΗ</v>
          </cell>
          <cell r="X991" t="str">
            <v>8167</v>
          </cell>
        </row>
        <row r="992">
          <cell r="U992">
            <v>378168</v>
          </cell>
          <cell r="V992" t="str">
            <v>37</v>
          </cell>
          <cell r="W992" t="str">
            <v>ΕΣΠΕΡΙΔΟΕΙΔΗ</v>
          </cell>
          <cell r="X992" t="str">
            <v>8168</v>
          </cell>
        </row>
        <row r="993">
          <cell r="U993">
            <v>378169</v>
          </cell>
          <cell r="V993" t="str">
            <v>37</v>
          </cell>
          <cell r="W993" t="str">
            <v>ΕΣΠΕΡΙΔΟΕΙΔΗ</v>
          </cell>
          <cell r="X993" t="str">
            <v>8169</v>
          </cell>
        </row>
        <row r="994">
          <cell r="U994">
            <v>378171</v>
          </cell>
          <cell r="V994" t="str">
            <v>37</v>
          </cell>
          <cell r="W994" t="str">
            <v>ΕΣΠΕΡΙΔΟΕΙΔΗ</v>
          </cell>
          <cell r="X994" t="str">
            <v>8171</v>
          </cell>
        </row>
        <row r="995">
          <cell r="U995">
            <v>378172</v>
          </cell>
          <cell r="V995" t="str">
            <v>37</v>
          </cell>
          <cell r="W995" t="str">
            <v>ΕΣΠΕΡΙΔΟΕΙΔΗ</v>
          </cell>
          <cell r="X995" t="str">
            <v>8172</v>
          </cell>
        </row>
        <row r="996">
          <cell r="U996">
            <v>378173</v>
          </cell>
          <cell r="V996" t="str">
            <v>37</v>
          </cell>
          <cell r="W996" t="str">
            <v>ΕΣΠΕΡΙΔΟΕΙΔΗ</v>
          </cell>
          <cell r="X996" t="str">
            <v>8173</v>
          </cell>
        </row>
        <row r="997">
          <cell r="U997">
            <v>378174</v>
          </cell>
          <cell r="V997" t="str">
            <v>37</v>
          </cell>
          <cell r="W997" t="str">
            <v>ΕΣΠΕΡΙΔΟΕΙΔΗ</v>
          </cell>
          <cell r="X997" t="str">
            <v>8174</v>
          </cell>
        </row>
        <row r="998">
          <cell r="U998">
            <v>378177</v>
          </cell>
          <cell r="V998" t="str">
            <v>37</v>
          </cell>
          <cell r="W998" t="str">
            <v>ΕΣΠΕΡΙΔΟΕΙΔΗ</v>
          </cell>
          <cell r="X998" t="str">
            <v>8177</v>
          </cell>
        </row>
        <row r="999">
          <cell r="U999">
            <v>378178</v>
          </cell>
          <cell r="V999" t="str">
            <v>37</v>
          </cell>
          <cell r="W999" t="str">
            <v>ΕΣΠΕΡΙΔΟΕΙΔΗ</v>
          </cell>
          <cell r="X999" t="str">
            <v>8178</v>
          </cell>
        </row>
        <row r="1000">
          <cell r="U1000">
            <v>378212</v>
          </cell>
          <cell r="V1000" t="str">
            <v>37</v>
          </cell>
          <cell r="W1000" t="str">
            <v>ΕΣΠΕΡΙΔΟΕΙΔΗ</v>
          </cell>
          <cell r="X1000" t="str">
            <v>8212</v>
          </cell>
        </row>
        <row r="1001">
          <cell r="U1001">
            <v>378213</v>
          </cell>
          <cell r="V1001" t="str">
            <v>37</v>
          </cell>
          <cell r="W1001" t="str">
            <v>ΕΣΠΕΡΙΔΟΕΙΔΗ</v>
          </cell>
          <cell r="X1001" t="str">
            <v>8213</v>
          </cell>
        </row>
        <row r="1002">
          <cell r="U1002">
            <v>378215</v>
          </cell>
          <cell r="V1002" t="str">
            <v>37</v>
          </cell>
          <cell r="W1002" t="str">
            <v>ΕΣΠΕΡΙΔΟΕΙΔΗ</v>
          </cell>
          <cell r="X1002" t="str">
            <v>8215</v>
          </cell>
        </row>
        <row r="1003">
          <cell r="U1003">
            <v>378301</v>
          </cell>
          <cell r="V1003" t="str">
            <v>37</v>
          </cell>
          <cell r="W1003" t="str">
            <v>ΕΣΠΕΡΙΔΟΕΙΔΗ</v>
          </cell>
          <cell r="X1003" t="str">
            <v>8301</v>
          </cell>
        </row>
        <row r="1004">
          <cell r="U1004">
            <v>378302</v>
          </cell>
          <cell r="V1004" t="str">
            <v>37</v>
          </cell>
          <cell r="W1004" t="str">
            <v>ΕΣΠΕΡΙΔΟΕΙΔΗ</v>
          </cell>
          <cell r="X1004" t="str">
            <v>8302</v>
          </cell>
        </row>
        <row r="1005">
          <cell r="U1005">
            <v>378303</v>
          </cell>
          <cell r="V1005" t="str">
            <v>37</v>
          </cell>
          <cell r="W1005" t="str">
            <v>ΕΣΠΕΡΙΔΟΕΙΔΗ</v>
          </cell>
          <cell r="X1005" t="str">
            <v>8303</v>
          </cell>
        </row>
        <row r="1006">
          <cell r="U1006">
            <v>381003</v>
          </cell>
          <cell r="V1006" t="str">
            <v>38</v>
          </cell>
          <cell r="W1006" t="str">
            <v>ΚΗΠΕΥΤΙΚΑ</v>
          </cell>
          <cell r="X1006" t="str">
            <v>1003</v>
          </cell>
        </row>
        <row r="1007">
          <cell r="U1007">
            <v>388102</v>
          </cell>
          <cell r="V1007" t="str">
            <v>38</v>
          </cell>
          <cell r="W1007" t="str">
            <v>ΚΗΠΕΥΤΙΚΑ</v>
          </cell>
          <cell r="X1007" t="str">
            <v>8102</v>
          </cell>
        </row>
        <row r="1008">
          <cell r="U1008">
            <v>388181</v>
          </cell>
          <cell r="V1008" t="str">
            <v>38</v>
          </cell>
          <cell r="W1008" t="str">
            <v>ΚΗΠΕΥΤΙΚΑ</v>
          </cell>
          <cell r="X1008" t="str">
            <v>8181</v>
          </cell>
        </row>
        <row r="1009">
          <cell r="U1009">
            <v>388195</v>
          </cell>
          <cell r="V1009" t="str">
            <v>38</v>
          </cell>
          <cell r="W1009" t="str">
            <v>ΚΗΠΕΥΤΙΚΑ</v>
          </cell>
          <cell r="X1009" t="str">
            <v>8195</v>
          </cell>
        </row>
        <row r="1010">
          <cell r="U1010">
            <v>388196</v>
          </cell>
          <cell r="V1010" t="str">
            <v>38</v>
          </cell>
          <cell r="W1010" t="str">
            <v>ΚΗΠΕΥΤΙΚΑ</v>
          </cell>
          <cell r="X1010" t="str">
            <v>8196</v>
          </cell>
        </row>
        <row r="1011">
          <cell r="U1011">
            <v>388240</v>
          </cell>
          <cell r="V1011" t="str">
            <v>38</v>
          </cell>
          <cell r="W1011" t="str">
            <v>ΚΗΠΕΥΤΙΚΑ</v>
          </cell>
          <cell r="X1011" t="str">
            <v>8240</v>
          </cell>
        </row>
        <row r="1012">
          <cell r="U1012">
            <v>388676</v>
          </cell>
          <cell r="V1012" t="str">
            <v>38</v>
          </cell>
          <cell r="W1012" t="str">
            <v>ΚΗΠΕΥΤΙΚΑ</v>
          </cell>
          <cell r="X1012" t="str">
            <v>8676</v>
          </cell>
        </row>
        <row r="1013">
          <cell r="U1013">
            <v>388677</v>
          </cell>
          <cell r="V1013" t="str">
            <v>38</v>
          </cell>
          <cell r="W1013" t="str">
            <v>ΚΗΠΕΥΤΙΚΑ</v>
          </cell>
          <cell r="X1013" t="str">
            <v>8677</v>
          </cell>
        </row>
        <row r="1014">
          <cell r="U1014">
            <v>388678</v>
          </cell>
          <cell r="V1014" t="str">
            <v>38</v>
          </cell>
          <cell r="W1014" t="str">
            <v>ΚΗΠΕΥΤΙΚΑ</v>
          </cell>
          <cell r="X1014" t="str">
            <v>8678</v>
          </cell>
        </row>
        <row r="1015">
          <cell r="U1015">
            <v>388679</v>
          </cell>
          <cell r="V1015" t="str">
            <v>38</v>
          </cell>
          <cell r="W1015" t="str">
            <v>ΚΗΠΕΥΤΙΚΑ</v>
          </cell>
          <cell r="X1015" t="str">
            <v>8679</v>
          </cell>
        </row>
        <row r="1016">
          <cell r="U1016">
            <v>388680</v>
          </cell>
          <cell r="V1016" t="str">
            <v>38</v>
          </cell>
          <cell r="W1016" t="str">
            <v>ΚΗΠΕΥΤΙΚΑ</v>
          </cell>
          <cell r="X1016" t="str">
            <v>8680</v>
          </cell>
        </row>
        <row r="1017">
          <cell r="U1017">
            <v>388681</v>
          </cell>
          <cell r="V1017" t="str">
            <v>38</v>
          </cell>
          <cell r="W1017" t="str">
            <v>ΚΗΠΕΥΤΙΚΑ</v>
          </cell>
          <cell r="X1017" t="str">
            <v>8681</v>
          </cell>
        </row>
        <row r="1018">
          <cell r="U1018">
            <v>388682</v>
          </cell>
          <cell r="V1018" t="str">
            <v>38</v>
          </cell>
          <cell r="W1018" t="str">
            <v>ΚΗΠΕΥΤΙΚΑ</v>
          </cell>
          <cell r="X1018" t="str">
            <v>8682</v>
          </cell>
        </row>
        <row r="1019">
          <cell r="U1019">
            <v>388683</v>
          </cell>
          <cell r="V1019" t="str">
            <v>38</v>
          </cell>
          <cell r="W1019" t="str">
            <v>ΚΗΠΕΥΤΙΚΑ</v>
          </cell>
          <cell r="X1019" t="str">
            <v>8683</v>
          </cell>
        </row>
        <row r="1020">
          <cell r="U1020">
            <v>388685</v>
          </cell>
          <cell r="V1020" t="str">
            <v>38</v>
          </cell>
          <cell r="W1020" t="str">
            <v>ΚΗΠΕΥΤΙΚΑ</v>
          </cell>
          <cell r="X1020" t="str">
            <v>8685</v>
          </cell>
        </row>
        <row r="1021">
          <cell r="U1021">
            <v>388686</v>
          </cell>
          <cell r="V1021" t="str">
            <v>38</v>
          </cell>
          <cell r="W1021" t="str">
            <v>ΚΗΠΕΥΤΙΚΑ</v>
          </cell>
          <cell r="X1021" t="str">
            <v>8686</v>
          </cell>
        </row>
        <row r="1022">
          <cell r="U1022">
            <v>388689</v>
          </cell>
          <cell r="V1022" t="str">
            <v>38</v>
          </cell>
          <cell r="W1022" t="str">
            <v>ΚΗΠΕΥΤΙΚΑ</v>
          </cell>
          <cell r="X1022" t="str">
            <v>8689</v>
          </cell>
        </row>
        <row r="1023">
          <cell r="U1023">
            <v>388690</v>
          </cell>
          <cell r="V1023" t="str">
            <v>38</v>
          </cell>
          <cell r="W1023" t="str">
            <v>ΚΗΠΕΥΤΙΚΑ</v>
          </cell>
          <cell r="X1023" t="str">
            <v>8690</v>
          </cell>
        </row>
        <row r="1024">
          <cell r="U1024">
            <v>388698</v>
          </cell>
          <cell r="V1024" t="str">
            <v>38</v>
          </cell>
          <cell r="W1024" t="str">
            <v>ΚΗΠΕΥΤΙΚΑ</v>
          </cell>
          <cell r="X1024" t="str">
            <v>8698</v>
          </cell>
        </row>
        <row r="1025">
          <cell r="U1025">
            <v>398546</v>
          </cell>
          <cell r="V1025" t="str">
            <v>39</v>
          </cell>
          <cell r="W1025" t="str">
            <v>ΚΗΠΕΥΤΙΚΑ ΥΠΟ ΚΑΛΥΨΗ</v>
          </cell>
          <cell r="X1025" t="str">
            <v>8546</v>
          </cell>
        </row>
        <row r="1026">
          <cell r="U1026">
            <v>398670</v>
          </cell>
          <cell r="V1026" t="str">
            <v>39</v>
          </cell>
          <cell r="W1026" t="str">
            <v>ΚΗΠΕΥΤΙΚΑ ΥΠΟ ΚΑΛΥΨΗ</v>
          </cell>
          <cell r="X1026" t="str">
            <v>8670</v>
          </cell>
        </row>
        <row r="1027">
          <cell r="U1027">
            <v>398671</v>
          </cell>
          <cell r="V1027" t="str">
            <v>39</v>
          </cell>
          <cell r="W1027" t="str">
            <v>ΚΗΠΕΥΤΙΚΑ ΥΠΟ ΚΑΛΥΨΗ</v>
          </cell>
          <cell r="X1027" t="str">
            <v>8671</v>
          </cell>
        </row>
        <row r="1028">
          <cell r="U1028">
            <v>398672</v>
          </cell>
          <cell r="V1028" t="str">
            <v>39</v>
          </cell>
          <cell r="W1028" t="str">
            <v>ΚΗΠΕΥΤΙΚΑ ΥΠΟ ΚΑΛΥΨΗ</v>
          </cell>
          <cell r="X1028" t="str">
            <v>8672</v>
          </cell>
        </row>
        <row r="1029">
          <cell r="U1029">
            <v>398673</v>
          </cell>
          <cell r="V1029" t="str">
            <v>39</v>
          </cell>
          <cell r="W1029" t="str">
            <v>ΚΗΠΕΥΤΙΚΑ ΥΠΟ ΚΑΛΥΨΗ</v>
          </cell>
          <cell r="X1029" t="str">
            <v>8673</v>
          </cell>
        </row>
        <row r="1030">
          <cell r="U1030">
            <v>398674</v>
          </cell>
          <cell r="V1030" t="str">
            <v>39</v>
          </cell>
          <cell r="W1030" t="str">
            <v>ΚΗΠΕΥΤΙΚΑ ΥΠΟ ΚΑΛΥΨΗ</v>
          </cell>
          <cell r="X1030" t="str">
            <v>8674</v>
          </cell>
        </row>
        <row r="1031">
          <cell r="U1031">
            <v>398675</v>
          </cell>
          <cell r="V1031" t="str">
            <v>39</v>
          </cell>
          <cell r="W1031" t="str">
            <v>ΚΗΠΕΥΤΙΚΑ ΥΠΟ ΚΑΛΥΨΗ</v>
          </cell>
          <cell r="X1031" t="str">
            <v>8675</v>
          </cell>
        </row>
        <row r="1032">
          <cell r="U1032">
            <v>398710</v>
          </cell>
          <cell r="V1032" t="str">
            <v>39</v>
          </cell>
          <cell r="W1032" t="str">
            <v>ΚΗΠΕΥΤΙΚΑ ΥΠΟ ΚΑΛΥΨΗ</v>
          </cell>
          <cell r="X1032" t="str">
            <v>8710</v>
          </cell>
        </row>
        <row r="1033">
          <cell r="U1033">
            <v>398712</v>
          </cell>
          <cell r="V1033" t="str">
            <v>39</v>
          </cell>
          <cell r="W1033" t="str">
            <v>ΚΗΠΕΥΤΙΚΑ ΥΠΟ ΚΑΛΥΨΗ</v>
          </cell>
          <cell r="X1033" t="str">
            <v>8712</v>
          </cell>
        </row>
        <row r="1034">
          <cell r="U1034">
            <v>408112</v>
          </cell>
          <cell r="V1034" t="str">
            <v>40</v>
          </cell>
          <cell r="W1034" t="str">
            <v>ΑΝΘΟΚΟΜΙΚΕΣ ΚΑΛΛΙΕΡΓΕΙΕΣ</v>
          </cell>
          <cell r="X1034" t="str">
            <v>8112</v>
          </cell>
        </row>
        <row r="1035">
          <cell r="U1035">
            <v>408120</v>
          </cell>
          <cell r="V1035" t="str">
            <v>40</v>
          </cell>
          <cell r="W1035" t="str">
            <v>ΑΝΘΟΚΟΜΙΚΕΣ ΚΑΛΛΙΕΡΓΕΙΕΣ</v>
          </cell>
          <cell r="X1035" t="str">
            <v>8120</v>
          </cell>
        </row>
        <row r="1036">
          <cell r="U1036">
            <v>408650</v>
          </cell>
          <cell r="V1036" t="str">
            <v>40</v>
          </cell>
          <cell r="W1036" t="str">
            <v>ΑΝΘΟΚΟΜΙΚΕΣ ΚΑΛΛΙΕΡΓΕΙΕΣ</v>
          </cell>
          <cell r="X1036" t="str">
            <v>8650</v>
          </cell>
        </row>
        <row r="1037">
          <cell r="U1037">
            <v>408651</v>
          </cell>
          <cell r="V1037" t="str">
            <v>40</v>
          </cell>
          <cell r="W1037" t="str">
            <v>ΑΝΘΟΚΟΜΙΚΕΣ ΚΑΛΛΙΕΡΓΕΙΕΣ</v>
          </cell>
          <cell r="X1037" t="str">
            <v>8651</v>
          </cell>
        </row>
        <row r="1038">
          <cell r="U1038">
            <v>408652</v>
          </cell>
          <cell r="V1038" t="str">
            <v>40</v>
          </cell>
          <cell r="W1038" t="str">
            <v>ΑΝΘΟΚΟΜΙΚΕΣ ΚΑΛΛΙΕΡΓΕΙΕΣ</v>
          </cell>
          <cell r="X1038" t="str">
            <v>8652</v>
          </cell>
        </row>
        <row r="1039">
          <cell r="U1039">
            <v>408653</v>
          </cell>
          <cell r="V1039" t="str">
            <v>40</v>
          </cell>
          <cell r="W1039" t="str">
            <v>ΑΝΘΟΚΟΜΙΚΕΣ ΚΑΛΛΙΕΡΓΕΙΕΣ</v>
          </cell>
          <cell r="X1039" t="str">
            <v>8653</v>
          </cell>
        </row>
        <row r="1040">
          <cell r="U1040">
            <v>408654</v>
          </cell>
          <cell r="V1040" t="str">
            <v>40</v>
          </cell>
          <cell r="W1040" t="str">
            <v>ΑΝΘΟΚΟΜΙΚΕΣ ΚΑΛΛΙΕΡΓΕΙΕΣ</v>
          </cell>
          <cell r="X1040" t="str">
            <v>8654</v>
          </cell>
        </row>
        <row r="1041">
          <cell r="U1041">
            <v>411010</v>
          </cell>
          <cell r="V1041" t="str">
            <v>41</v>
          </cell>
          <cell r="W1041" t="str">
            <v>ΑΡΩΜΑΤΙΚΑ ΦΥΤΑ</v>
          </cell>
          <cell r="X1041" t="str">
            <v>1010</v>
          </cell>
        </row>
        <row r="1042">
          <cell r="U1042">
            <v>414990</v>
          </cell>
          <cell r="V1042" t="str">
            <v>41</v>
          </cell>
          <cell r="W1042" t="str">
            <v>ΑΡΩΜΑΤΙΚΑ ΦΥΤΑ</v>
          </cell>
          <cell r="X1042" t="str">
            <v>4990</v>
          </cell>
        </row>
        <row r="1043">
          <cell r="U1043">
            <v>418133</v>
          </cell>
          <cell r="V1043" t="str">
            <v>41</v>
          </cell>
          <cell r="W1043" t="str">
            <v>ΑΡΩΜΑΤΙΚΑ ΦΥΤΑ</v>
          </cell>
          <cell r="X1043" t="str">
            <v>8133</v>
          </cell>
        </row>
        <row r="1044">
          <cell r="U1044">
            <v>418134</v>
          </cell>
          <cell r="V1044" t="str">
            <v>41</v>
          </cell>
          <cell r="W1044" t="str">
            <v>ΑΡΩΜΑΤΙΚΑ ΦΥΤΑ</v>
          </cell>
          <cell r="X1044" t="str">
            <v>8134</v>
          </cell>
        </row>
        <row r="1045">
          <cell r="U1045">
            <v>418135</v>
          </cell>
          <cell r="V1045" t="str">
            <v>41</v>
          </cell>
          <cell r="W1045" t="str">
            <v>ΑΡΩΜΑΤΙΚΑ ΦΥΤΑ</v>
          </cell>
          <cell r="X1045" t="str">
            <v>8135</v>
          </cell>
        </row>
        <row r="1046">
          <cell r="U1046">
            <v>418136</v>
          </cell>
          <cell r="V1046" t="str">
            <v>41</v>
          </cell>
          <cell r="W1046" t="str">
            <v>ΑΡΩΜΑΤΙΚΑ ΦΥΤΑ</v>
          </cell>
          <cell r="X1046" t="str">
            <v>8136</v>
          </cell>
        </row>
        <row r="1047">
          <cell r="U1047">
            <v>418137</v>
          </cell>
          <cell r="V1047" t="str">
            <v>41</v>
          </cell>
          <cell r="W1047" t="str">
            <v>ΑΡΩΜΑΤΙΚΑ ΦΥΤΑ</v>
          </cell>
          <cell r="X1047" t="str">
            <v>8137</v>
          </cell>
        </row>
        <row r="1048">
          <cell r="U1048">
            <v>418138</v>
          </cell>
          <cell r="V1048" t="str">
            <v>41</v>
          </cell>
          <cell r="W1048" t="str">
            <v>ΑΡΩΜΑΤΙΚΑ ΦΥΤΑ</v>
          </cell>
          <cell r="X1048" t="str">
            <v>8138</v>
          </cell>
        </row>
        <row r="1049">
          <cell r="U1049">
            <v>418139</v>
          </cell>
          <cell r="V1049" t="str">
            <v>41</v>
          </cell>
          <cell r="W1049" t="str">
            <v>ΑΡΩΜΑΤΙΚΑ ΦΥΤΑ</v>
          </cell>
          <cell r="X1049" t="str">
            <v>8139</v>
          </cell>
        </row>
        <row r="1050">
          <cell r="U1050">
            <v>418141</v>
          </cell>
          <cell r="V1050" t="str">
            <v>41</v>
          </cell>
          <cell r="W1050" t="str">
            <v>ΑΡΩΜΑΤΙΚΑ ΦΥΤΑ</v>
          </cell>
          <cell r="X1050" t="str">
            <v>8141</v>
          </cell>
        </row>
        <row r="1051">
          <cell r="U1051">
            <v>418142</v>
          </cell>
          <cell r="V1051" t="str">
            <v>41</v>
          </cell>
          <cell r="W1051" t="str">
            <v>ΑΡΩΜΑΤΙΚΑ ΦΥΤΑ</v>
          </cell>
          <cell r="X1051" t="str">
            <v>8142</v>
          </cell>
        </row>
        <row r="1052">
          <cell r="U1052">
            <v>418143</v>
          </cell>
          <cell r="V1052" t="str">
            <v>41</v>
          </cell>
          <cell r="W1052" t="str">
            <v>ΑΡΩΜΑΤΙΚΑ ΦΥΤΑ</v>
          </cell>
          <cell r="X1052" t="str">
            <v>8143</v>
          </cell>
        </row>
        <row r="1053">
          <cell r="U1053">
            <v>418144</v>
          </cell>
          <cell r="V1053" t="str">
            <v>41</v>
          </cell>
          <cell r="W1053" t="str">
            <v>ΑΡΩΜΑΤΙΚΑ ΦΥΤΑ</v>
          </cell>
          <cell r="X1053" t="str">
            <v>8144</v>
          </cell>
        </row>
        <row r="1054">
          <cell r="U1054">
            <v>418145</v>
          </cell>
          <cell r="V1054" t="str">
            <v>41</v>
          </cell>
          <cell r="W1054" t="str">
            <v>ΑΡΩΜΑΤΙΚΑ ΦΥΤΑ</v>
          </cell>
          <cell r="X1054" t="str">
            <v>8145</v>
          </cell>
        </row>
        <row r="1055">
          <cell r="U1055">
            <v>418146</v>
          </cell>
          <cell r="V1055" t="str">
            <v>41</v>
          </cell>
          <cell r="W1055" t="str">
            <v>ΑΡΩΜΑΤΙΚΑ ΦΥΤΑ</v>
          </cell>
          <cell r="X1055" t="str">
            <v>8146</v>
          </cell>
        </row>
        <row r="1056">
          <cell r="U1056">
            <v>418147</v>
          </cell>
          <cell r="V1056" t="str">
            <v>41</v>
          </cell>
          <cell r="W1056" t="str">
            <v>ΑΡΩΜΑΤΙΚΑ ΦΥΤΑ</v>
          </cell>
          <cell r="X1056" t="str">
            <v>8147</v>
          </cell>
        </row>
        <row r="1057">
          <cell r="U1057">
            <v>418148</v>
          </cell>
          <cell r="V1057" t="str">
            <v>41</v>
          </cell>
          <cell r="W1057" t="str">
            <v>ΑΡΩΜΑΤΙΚΑ ΦΥΤΑ</v>
          </cell>
          <cell r="X1057" t="str">
            <v>8148</v>
          </cell>
        </row>
        <row r="1058">
          <cell r="U1058">
            <v>418149</v>
          </cell>
          <cell r="V1058" t="str">
            <v>41</v>
          </cell>
          <cell r="W1058" t="str">
            <v>ΑΡΩΜΑΤΙΚΑ ΦΥΤΑ</v>
          </cell>
          <cell r="X1058" t="str">
            <v>8149</v>
          </cell>
        </row>
        <row r="1059">
          <cell r="U1059">
            <v>418151</v>
          </cell>
          <cell r="V1059" t="str">
            <v>41</v>
          </cell>
          <cell r="W1059" t="str">
            <v>ΑΡΩΜΑΤΙΚΑ ΦΥΤΑ</v>
          </cell>
          <cell r="X1059" t="str">
            <v>8151</v>
          </cell>
        </row>
        <row r="1060">
          <cell r="U1060">
            <v>418152</v>
          </cell>
          <cell r="V1060" t="str">
            <v>41</v>
          </cell>
          <cell r="W1060" t="str">
            <v>ΑΡΩΜΑΤΙΚΑ ΦΥΤΑ</v>
          </cell>
          <cell r="X1060" t="str">
            <v>8152</v>
          </cell>
        </row>
        <row r="1061">
          <cell r="U1061">
            <v>418153</v>
          </cell>
          <cell r="V1061" t="str">
            <v>41</v>
          </cell>
          <cell r="W1061" t="str">
            <v>ΑΡΩΜΑΤΙΚΑ ΦΥΤΑ</v>
          </cell>
          <cell r="X1061" t="str">
            <v>8153</v>
          </cell>
        </row>
        <row r="1062">
          <cell r="U1062">
            <v>418154</v>
          </cell>
          <cell r="V1062" t="str">
            <v>41</v>
          </cell>
          <cell r="W1062" t="str">
            <v>ΑΡΩΜΑΤΙΚΑ ΦΥΤΑ</v>
          </cell>
          <cell r="X1062" t="str">
            <v>8154</v>
          </cell>
        </row>
        <row r="1063">
          <cell r="U1063">
            <v>418156</v>
          </cell>
          <cell r="V1063" t="str">
            <v>41</v>
          </cell>
          <cell r="W1063" t="str">
            <v>ΑΡΩΜΑΤΙΚΑ ΦΥΤΑ</v>
          </cell>
          <cell r="X1063" t="str">
            <v>8156</v>
          </cell>
        </row>
        <row r="1064">
          <cell r="U1064">
            <v>418157</v>
          </cell>
          <cell r="V1064" t="str">
            <v>41</v>
          </cell>
          <cell r="W1064" t="str">
            <v>ΑΡΩΜΑΤΙΚΑ ΦΥΤΑ</v>
          </cell>
          <cell r="X1064" t="str">
            <v>8157</v>
          </cell>
        </row>
        <row r="1065">
          <cell r="U1065">
            <v>418158</v>
          </cell>
          <cell r="V1065" t="str">
            <v>41</v>
          </cell>
          <cell r="W1065" t="str">
            <v>ΑΡΩΜΑΤΙΚΑ ΦΥΤΑ</v>
          </cell>
          <cell r="X1065" t="str">
            <v>8158</v>
          </cell>
        </row>
        <row r="1066">
          <cell r="U1066">
            <v>418159</v>
          </cell>
          <cell r="V1066" t="str">
            <v>41</v>
          </cell>
          <cell r="W1066" t="str">
            <v>ΑΡΩΜΑΤΙΚΑ ΦΥΤΑ</v>
          </cell>
          <cell r="X1066" t="str">
            <v>8159</v>
          </cell>
        </row>
        <row r="1067">
          <cell r="U1067">
            <v>418160</v>
          </cell>
          <cell r="V1067" t="str">
            <v>41</v>
          </cell>
          <cell r="W1067" t="str">
            <v>ΑΡΩΜΑΤΙΚΑ ΦΥΤΑ</v>
          </cell>
          <cell r="X1067" t="str">
            <v>8160</v>
          </cell>
        </row>
        <row r="1068">
          <cell r="U1068">
            <v>418760</v>
          </cell>
          <cell r="V1068" t="str">
            <v>41</v>
          </cell>
          <cell r="W1068" t="str">
            <v>ΑΡΩΜΑΤΙΚΑ ΦΥΤΑ</v>
          </cell>
          <cell r="X1068" t="str">
            <v>8760</v>
          </cell>
        </row>
        <row r="1069">
          <cell r="U1069">
            <v>428150</v>
          </cell>
          <cell r="V1069" t="str">
            <v>42</v>
          </cell>
          <cell r="W1069" t="str">
            <v>ΓΗ ΠΟΥ ΔΕΝ ΕΝΤΑΣΣΕΤΑΙ ΣΕ ΚΑΛΛΙΕΡΓΗΤΙΚΗ ΔΡΑΣΤΗΡΙΟΤΗΤΑ</v>
          </cell>
          <cell r="X1069" t="str">
            <v>8150</v>
          </cell>
        </row>
        <row r="1070">
          <cell r="U1070">
            <v>668127</v>
          </cell>
          <cell r="V1070" t="str">
            <v>66</v>
          </cell>
          <cell r="W1070" t="str">
            <v>ΠΥΡΗΝΟΚΑΡΠΑ</v>
          </cell>
          <cell r="X1070" t="str">
            <v>8127</v>
          </cell>
        </row>
        <row r="1071">
          <cell r="U1071">
            <v>668129</v>
          </cell>
          <cell r="V1071" t="str">
            <v>66</v>
          </cell>
          <cell r="W1071" t="str">
            <v>ΠΥΡΗΝΟΚΑΡΠΑ</v>
          </cell>
          <cell r="X1071" t="str">
            <v>8129</v>
          </cell>
        </row>
        <row r="1072">
          <cell r="U1072">
            <v>668221</v>
          </cell>
          <cell r="V1072" t="str">
            <v>66</v>
          </cell>
          <cell r="W1072" t="str">
            <v>ΠΥΡΗΝΟΚΑΡΠΑ</v>
          </cell>
          <cell r="X1072" t="str">
            <v>8221</v>
          </cell>
        </row>
        <row r="1073">
          <cell r="U1073">
            <v>668502</v>
          </cell>
          <cell r="V1073" t="str">
            <v>66</v>
          </cell>
          <cell r="W1073" t="str">
            <v>ΠΥΡΗΝΟΚΑΡΠΑ</v>
          </cell>
          <cell r="X1073" t="str">
            <v>8502</v>
          </cell>
        </row>
        <row r="1074">
          <cell r="U1074">
            <v>668544</v>
          </cell>
          <cell r="V1074" t="str">
            <v>66</v>
          </cell>
          <cell r="W1074" t="str">
            <v>ΠΥΡΗΝΟΚΑΡΠΑ</v>
          </cell>
          <cell r="X1074" t="str">
            <v>8544</v>
          </cell>
        </row>
        <row r="1075">
          <cell r="U1075">
            <v>668545</v>
          </cell>
          <cell r="V1075" t="str">
            <v>66</v>
          </cell>
          <cell r="W1075" t="str">
            <v>ΠΥΡΗΝΟΚΑΡΠΑ</v>
          </cell>
          <cell r="X1075" t="str">
            <v>8545</v>
          </cell>
        </row>
        <row r="1076">
          <cell r="U1076">
            <v>668603</v>
          </cell>
          <cell r="V1076" t="str">
            <v>66</v>
          </cell>
          <cell r="W1076" t="str">
            <v>ΠΥΡΗΝΟΚΑΡΠΑ</v>
          </cell>
          <cell r="X1076" t="str">
            <v>8603</v>
          </cell>
        </row>
        <row r="1077">
          <cell r="U1077">
            <v>668605</v>
          </cell>
          <cell r="V1077" t="str">
            <v>66</v>
          </cell>
          <cell r="W1077" t="str">
            <v>ΠΥΡΗΝΟΚΑΡΠΑ</v>
          </cell>
          <cell r="X1077" t="str">
            <v>8605</v>
          </cell>
        </row>
        <row r="1078">
          <cell r="U1078">
            <v>668607</v>
          </cell>
          <cell r="V1078" t="str">
            <v>66</v>
          </cell>
          <cell r="W1078" t="str">
            <v>ΠΥΡΗΝΟΚΑΡΠΑ</v>
          </cell>
          <cell r="X1078" t="str">
            <v>8607</v>
          </cell>
        </row>
        <row r="1079">
          <cell r="U1079">
            <v>668608</v>
          </cell>
          <cell r="V1079" t="str">
            <v>66</v>
          </cell>
          <cell r="W1079" t="str">
            <v>ΠΥΡΗΝΟΚΑΡΠΑ</v>
          </cell>
          <cell r="X1079" t="str">
            <v>8608</v>
          </cell>
        </row>
        <row r="1080">
          <cell r="U1080">
            <v>668691</v>
          </cell>
          <cell r="V1080" t="str">
            <v>66</v>
          </cell>
          <cell r="W1080" t="str">
            <v>ΠΥΡΗΝΟΚΑΡΠΑ</v>
          </cell>
          <cell r="X1080" t="str">
            <v>8691</v>
          </cell>
        </row>
        <row r="1081">
          <cell r="U1081">
            <v>668692</v>
          </cell>
          <cell r="V1081" t="str">
            <v>66</v>
          </cell>
          <cell r="W1081" t="str">
            <v>ΠΥΡΗΝΟΚΑΡΠΑ</v>
          </cell>
          <cell r="X1081" t="str">
            <v>8692</v>
          </cell>
        </row>
        <row r="1082">
          <cell r="U1082">
            <v>668693</v>
          </cell>
          <cell r="V1082" t="str">
            <v>66</v>
          </cell>
          <cell r="W1082" t="str">
            <v>ΠΥΡΗΝΟΚΑΡΠΑ</v>
          </cell>
          <cell r="X1082" t="str">
            <v>8693</v>
          </cell>
        </row>
        <row r="1083">
          <cell r="U1083">
            <v>668694</v>
          </cell>
          <cell r="V1083" t="str">
            <v>66</v>
          </cell>
          <cell r="W1083" t="str">
            <v>ΠΥΡΗΝΟΚΑΡΠΑ</v>
          </cell>
          <cell r="X1083" t="str">
            <v>8694</v>
          </cell>
        </row>
        <row r="1084">
          <cell r="U1084">
            <v>668695</v>
          </cell>
          <cell r="V1084" t="str">
            <v>66</v>
          </cell>
          <cell r="W1084" t="str">
            <v>ΠΥΡΗΝΟΚΑΡΠΑ</v>
          </cell>
          <cell r="X1084" t="str">
            <v>8695</v>
          </cell>
        </row>
        <row r="1085">
          <cell r="U1085">
            <v>668696</v>
          </cell>
          <cell r="V1085" t="str">
            <v>66</v>
          </cell>
          <cell r="W1085" t="str">
            <v>ΠΥΡΗΝΟΚΑΡΠΑ</v>
          </cell>
          <cell r="X1085" t="str">
            <v>8696</v>
          </cell>
        </row>
        <row r="1086">
          <cell r="U1086">
            <v>668697</v>
          </cell>
          <cell r="V1086" t="str">
            <v>66</v>
          </cell>
          <cell r="W1086" t="str">
            <v>ΠΥΡΗΝΟΚΑΡΠΑ</v>
          </cell>
          <cell r="X1086" t="str">
            <v>8697</v>
          </cell>
        </row>
        <row r="1087">
          <cell r="U1087">
            <v>668707</v>
          </cell>
          <cell r="V1087" t="str">
            <v>66</v>
          </cell>
          <cell r="W1087" t="str">
            <v>ΠΥΡΗΝΟΚΑΡΠΑ</v>
          </cell>
          <cell r="X1087" t="str">
            <v>8707</v>
          </cell>
        </row>
        <row r="1088">
          <cell r="U1088">
            <v>668708</v>
          </cell>
          <cell r="V1088" t="str">
            <v>66</v>
          </cell>
          <cell r="W1088" t="str">
            <v>ΠΥΡΗΝΟΚΑΡΠΑ</v>
          </cell>
          <cell r="X1088" t="str">
            <v>8708</v>
          </cell>
        </row>
        <row r="1089">
          <cell r="U1089">
            <v>668714</v>
          </cell>
          <cell r="V1089" t="str">
            <v>66</v>
          </cell>
          <cell r="W1089" t="str">
            <v>ΠΥΡΗΝΟΚΑΡΠΑ</v>
          </cell>
          <cell r="X1089" t="str">
            <v>8714</v>
          </cell>
        </row>
        <row r="1090">
          <cell r="U1090">
            <v>668715</v>
          </cell>
          <cell r="V1090" t="str">
            <v>66</v>
          </cell>
          <cell r="W1090" t="str">
            <v>ΠΥΡΗΝΟΚΑΡΠΑ</v>
          </cell>
          <cell r="X1090" t="str">
            <v>8715</v>
          </cell>
        </row>
        <row r="1091">
          <cell r="U1091">
            <v>668716</v>
          </cell>
          <cell r="V1091" t="str">
            <v>66</v>
          </cell>
          <cell r="W1091" t="str">
            <v>ΠΥΡΗΝΟΚΑΡΠΑ</v>
          </cell>
          <cell r="X1091" t="str">
            <v>8716</v>
          </cell>
        </row>
        <row r="1092">
          <cell r="U1092">
            <v>668717</v>
          </cell>
          <cell r="V1092" t="str">
            <v>66</v>
          </cell>
          <cell r="W1092" t="str">
            <v>ΠΥΡΗΝΟΚΑΡΠΑ</v>
          </cell>
          <cell r="X1092" t="str">
            <v>8717</v>
          </cell>
        </row>
        <row r="1093">
          <cell r="U1093">
            <v>668718</v>
          </cell>
          <cell r="V1093" t="str">
            <v>66</v>
          </cell>
          <cell r="W1093" t="str">
            <v>ΠΥΡΗΝΟΚΑΡΠΑ</v>
          </cell>
          <cell r="X1093" t="str">
            <v>8718</v>
          </cell>
        </row>
        <row r="1094">
          <cell r="U1094">
            <v>668719</v>
          </cell>
          <cell r="V1094" t="str">
            <v>66</v>
          </cell>
          <cell r="W1094" t="str">
            <v>ΠΥΡΗΝΟΚΑΡΠΑ</v>
          </cell>
          <cell r="X1094" t="str">
            <v>8719</v>
          </cell>
        </row>
        <row r="1095">
          <cell r="U1095">
            <v>668720</v>
          </cell>
          <cell r="V1095" t="str">
            <v>66</v>
          </cell>
          <cell r="W1095" t="str">
            <v>ΠΥΡΗΝΟΚΑΡΠΑ</v>
          </cell>
          <cell r="X1095" t="str">
            <v>8720</v>
          </cell>
        </row>
        <row r="1096">
          <cell r="U1096">
            <v>668728</v>
          </cell>
          <cell r="V1096" t="str">
            <v>66</v>
          </cell>
          <cell r="W1096" t="str">
            <v>ΠΥΡΗΝΟΚΑΡΠΑ</v>
          </cell>
          <cell r="X1096" t="str">
            <v>8728</v>
          </cell>
        </row>
        <row r="1097">
          <cell r="U1097">
            <v>668729</v>
          </cell>
          <cell r="V1097" t="str">
            <v>66</v>
          </cell>
          <cell r="W1097" t="str">
            <v>ΠΥΡΗΝΟΚΑΡΠΑ</v>
          </cell>
          <cell r="X1097" t="str">
            <v>8729</v>
          </cell>
        </row>
        <row r="1098">
          <cell r="U1098">
            <v>668730</v>
          </cell>
          <cell r="V1098" t="str">
            <v>66</v>
          </cell>
          <cell r="W1098" t="str">
            <v>ΠΥΡΗΝΟΚΑΡΠΑ</v>
          </cell>
          <cell r="X1098" t="str">
            <v>8730</v>
          </cell>
        </row>
        <row r="1099">
          <cell r="U1099">
            <v>668731</v>
          </cell>
          <cell r="V1099" t="str">
            <v>66</v>
          </cell>
          <cell r="W1099" t="str">
            <v>ΠΥΡΗΝΟΚΑΡΠΑ</v>
          </cell>
          <cell r="X1099" t="str">
            <v>8731</v>
          </cell>
        </row>
        <row r="1100">
          <cell r="U1100">
            <v>668732</v>
          </cell>
          <cell r="V1100" t="str">
            <v>66</v>
          </cell>
          <cell r="W1100" t="str">
            <v>ΠΥΡΗΝΟΚΑΡΠΑ</v>
          </cell>
          <cell r="X1100" t="str">
            <v>8732</v>
          </cell>
        </row>
        <row r="1101">
          <cell r="U1101">
            <v>668733</v>
          </cell>
          <cell r="V1101" t="str">
            <v>66</v>
          </cell>
          <cell r="W1101" t="str">
            <v>ΠΥΡΗΝΟΚΑΡΠΑ</v>
          </cell>
          <cell r="X1101" t="str">
            <v>8733</v>
          </cell>
        </row>
        <row r="1102">
          <cell r="U1102">
            <v>668734</v>
          </cell>
          <cell r="V1102" t="str">
            <v>66</v>
          </cell>
          <cell r="W1102" t="str">
            <v>ΠΥΡΗΝΟΚΑΡΠΑ</v>
          </cell>
          <cell r="X1102" t="str">
            <v>8734</v>
          </cell>
        </row>
        <row r="1103">
          <cell r="U1103">
            <v>668735</v>
          </cell>
          <cell r="V1103" t="str">
            <v>66</v>
          </cell>
          <cell r="W1103" t="str">
            <v>ΠΥΡΗΝΟΚΑΡΠΑ</v>
          </cell>
          <cell r="X1103" t="str">
            <v>8735</v>
          </cell>
        </row>
        <row r="1104">
          <cell r="U1104">
            <v>678131</v>
          </cell>
          <cell r="V1104" t="str">
            <v>67</v>
          </cell>
          <cell r="W1104" t="str">
            <v>ΜΗΛΟΕΙΔΗ</v>
          </cell>
          <cell r="X1104" t="str">
            <v>8131</v>
          </cell>
        </row>
        <row r="1105">
          <cell r="U1105">
            <v>678132</v>
          </cell>
          <cell r="V1105" t="str">
            <v>67</v>
          </cell>
          <cell r="W1105" t="str">
            <v>ΜΗΛΟΕΙΔΗ</v>
          </cell>
          <cell r="X1105" t="str">
            <v>8132</v>
          </cell>
        </row>
        <row r="1106">
          <cell r="U1106">
            <v>678606</v>
          </cell>
          <cell r="V1106" t="str">
            <v>67</v>
          </cell>
          <cell r="W1106" t="str">
            <v>ΜΗΛΟΕΙΔΗ</v>
          </cell>
          <cell r="X1106" t="str">
            <v>8606</v>
          </cell>
        </row>
        <row r="1107">
          <cell r="U1107">
            <v>678757</v>
          </cell>
          <cell r="V1107" t="str">
            <v>67</v>
          </cell>
          <cell r="W1107" t="str">
            <v>ΜΗΛΟΕΙΔΗ</v>
          </cell>
          <cell r="X1107" t="str">
            <v>8757</v>
          </cell>
        </row>
        <row r="1108">
          <cell r="U1108">
            <v>678758</v>
          </cell>
          <cell r="V1108" t="str">
            <v>67</v>
          </cell>
          <cell r="W1108" t="str">
            <v>ΜΗΛΟΕΙΔΗ</v>
          </cell>
          <cell r="X1108" t="str">
            <v>8758</v>
          </cell>
        </row>
        <row r="1109">
          <cell r="U1109">
            <v>678759</v>
          </cell>
          <cell r="V1109" t="str">
            <v>67</v>
          </cell>
          <cell r="W1109" t="str">
            <v>ΜΗΛΟΕΙΔΗ</v>
          </cell>
          <cell r="X1109" t="str">
            <v>8759</v>
          </cell>
        </row>
        <row r="1110">
          <cell r="U1110">
            <v>678768</v>
          </cell>
          <cell r="V1110" t="str">
            <v>67</v>
          </cell>
          <cell r="W1110" t="str">
            <v>ΜΗΛΟΕΙΔΗ</v>
          </cell>
          <cell r="X1110" t="str">
            <v>8768</v>
          </cell>
        </row>
        <row r="1111">
          <cell r="U1111">
            <v>678769</v>
          </cell>
          <cell r="V1111" t="str">
            <v>67</v>
          </cell>
          <cell r="W1111" t="str">
            <v>ΜΗΛΟΕΙΔΗ</v>
          </cell>
          <cell r="X1111" t="str">
            <v>8769</v>
          </cell>
        </row>
        <row r="1112">
          <cell r="U1112">
            <v>678771</v>
          </cell>
          <cell r="V1112" t="str">
            <v>67</v>
          </cell>
          <cell r="W1112" t="str">
            <v>ΜΗΛΟΕΙΔΗ</v>
          </cell>
          <cell r="X1112" t="str">
            <v>8771</v>
          </cell>
        </row>
        <row r="1113">
          <cell r="U1113">
            <v>678772</v>
          </cell>
          <cell r="V1113" t="str">
            <v>67</v>
          </cell>
          <cell r="W1113" t="str">
            <v>ΜΗΛΟΕΙΔΗ</v>
          </cell>
          <cell r="X1113" t="str">
            <v>8772</v>
          </cell>
        </row>
        <row r="1114">
          <cell r="U1114">
            <v>678773</v>
          </cell>
          <cell r="V1114" t="str">
            <v>67</v>
          </cell>
          <cell r="W1114" t="str">
            <v>ΜΗΛΟΕΙΔΗ</v>
          </cell>
          <cell r="X1114" t="str">
            <v>8773</v>
          </cell>
        </row>
        <row r="1115">
          <cell r="U1115">
            <v>688203</v>
          </cell>
          <cell r="V1115" t="str">
            <v>68</v>
          </cell>
          <cell r="W1115" t="str">
            <v>ΣΠΑΡΑΓΓΙΑ</v>
          </cell>
          <cell r="X1115" t="str">
            <v>8203</v>
          </cell>
        </row>
        <row r="1116">
          <cell r="U1116">
            <v>688205</v>
          </cell>
          <cell r="V1116" t="str">
            <v>68</v>
          </cell>
          <cell r="W1116" t="str">
            <v>ΣΠΑΡΑΓΓΙΑ</v>
          </cell>
          <cell r="X1116" t="str">
            <v>8205</v>
          </cell>
        </row>
        <row r="1117">
          <cell r="U1117">
            <v>770001</v>
          </cell>
          <cell r="V1117" t="str">
            <v>7</v>
          </cell>
          <cell r="W1117" t="str">
            <v>ΡΥΖΙ</v>
          </cell>
          <cell r="X1117" t="str">
            <v>70001</v>
          </cell>
        </row>
        <row r="1118">
          <cell r="U1118">
            <v>770002</v>
          </cell>
          <cell r="V1118" t="str">
            <v>7</v>
          </cell>
          <cell r="W1118" t="str">
            <v>ΡΥΖΙ</v>
          </cell>
          <cell r="X1118" t="str">
            <v>70002</v>
          </cell>
        </row>
        <row r="1119">
          <cell r="U1119">
            <v>770003</v>
          </cell>
          <cell r="V1119" t="str">
            <v>7</v>
          </cell>
          <cell r="W1119" t="str">
            <v>ΡΥΖΙ</v>
          </cell>
          <cell r="X1119" t="str">
            <v>70003</v>
          </cell>
        </row>
        <row r="1120">
          <cell r="U1120">
            <v>770004</v>
          </cell>
          <cell r="V1120" t="str">
            <v>7</v>
          </cell>
          <cell r="W1120" t="str">
            <v>ΡΥΖΙ</v>
          </cell>
          <cell r="X1120" t="str">
            <v>70004</v>
          </cell>
        </row>
        <row r="1121">
          <cell r="U1121">
            <v>770005</v>
          </cell>
          <cell r="V1121" t="str">
            <v>7</v>
          </cell>
          <cell r="W1121" t="str">
            <v>ΡΥΖΙ</v>
          </cell>
          <cell r="X1121" t="str">
            <v>70005</v>
          </cell>
        </row>
        <row r="1122">
          <cell r="U1122">
            <v>770006</v>
          </cell>
          <cell r="V1122" t="str">
            <v>7</v>
          </cell>
          <cell r="W1122" t="str">
            <v>ΡΥΖΙ</v>
          </cell>
          <cell r="X1122" t="str">
            <v>70006</v>
          </cell>
        </row>
        <row r="1123">
          <cell r="U1123">
            <v>770007</v>
          </cell>
          <cell r="V1123" t="str">
            <v>7</v>
          </cell>
          <cell r="W1123" t="str">
            <v>ΡΥΖΙ</v>
          </cell>
          <cell r="X1123" t="str">
            <v>70007</v>
          </cell>
        </row>
        <row r="1124">
          <cell r="U1124">
            <v>770008</v>
          </cell>
          <cell r="V1124" t="str">
            <v>7</v>
          </cell>
          <cell r="W1124" t="str">
            <v>ΡΥΖΙ</v>
          </cell>
          <cell r="X1124" t="str">
            <v>70008</v>
          </cell>
        </row>
        <row r="1125">
          <cell r="U1125">
            <v>770009</v>
          </cell>
          <cell r="V1125" t="str">
            <v>7</v>
          </cell>
          <cell r="W1125" t="str">
            <v>ΡΥΖΙ</v>
          </cell>
          <cell r="X1125" t="str">
            <v>70009</v>
          </cell>
        </row>
        <row r="1126">
          <cell r="U1126">
            <v>770010</v>
          </cell>
          <cell r="V1126" t="str">
            <v>7</v>
          </cell>
          <cell r="W1126" t="str">
            <v>ΡΥΖΙ</v>
          </cell>
          <cell r="X1126" t="str">
            <v>70010</v>
          </cell>
        </row>
        <row r="1127">
          <cell r="U1127">
            <v>770011</v>
          </cell>
          <cell r="V1127" t="str">
            <v>7</v>
          </cell>
          <cell r="W1127" t="str">
            <v>ΡΥΖΙ</v>
          </cell>
          <cell r="X1127" t="str">
            <v>70011</v>
          </cell>
        </row>
        <row r="1128">
          <cell r="U1128">
            <v>813001</v>
          </cell>
          <cell r="V1128" t="str">
            <v>8</v>
          </cell>
          <cell r="W1128" t="str">
            <v>ΚΤΗΝΟΤΡΟΦΙΚΑ ΦΥΤΑ ΓΙΑ ΖΩΟΤΡΟΦΕΣ</v>
          </cell>
          <cell r="X1128" t="str">
            <v>13001</v>
          </cell>
        </row>
        <row r="1129">
          <cell r="U1129">
            <v>813002</v>
          </cell>
          <cell r="V1129" t="str">
            <v>8</v>
          </cell>
          <cell r="W1129" t="str">
            <v>ΚΤΗΝΟΤΡΟΦΙΚΑ ΦΥΤΑ ΓΙΑ ΖΩΟΤΡΟΦΕΣ</v>
          </cell>
          <cell r="X1129" t="str">
            <v>13002</v>
          </cell>
        </row>
        <row r="1130">
          <cell r="U1130">
            <v>880020</v>
          </cell>
          <cell r="V1130" t="str">
            <v>8</v>
          </cell>
          <cell r="W1130" t="str">
            <v>ΚΤΗΝΟΤΡΟΦΙΚΑ ΦΥΤΑ ΓΙΑ ΖΩΟΤΡΟΦΕΣ</v>
          </cell>
          <cell r="X1130" t="str">
            <v>80020</v>
          </cell>
        </row>
        <row r="1131">
          <cell r="U1131">
            <v>880021</v>
          </cell>
          <cell r="V1131" t="str">
            <v>8</v>
          </cell>
          <cell r="W1131" t="str">
            <v>ΚΤΗΝΟΤΡΟΦΙΚΑ ΦΥΤΑ ΓΙΑ ΖΩΟΤΡΟΦΕΣ</v>
          </cell>
          <cell r="X1131" t="str">
            <v>80021</v>
          </cell>
        </row>
        <row r="1132">
          <cell r="U1132">
            <v>880022</v>
          </cell>
          <cell r="V1132" t="str">
            <v>8</v>
          </cell>
          <cell r="W1132" t="str">
            <v>ΚΤΗΝΟΤΡΟΦΙΚΑ ΦΥΤΑ ΓΙΑ ΖΩΟΤΡΟΦΕΣ</v>
          </cell>
          <cell r="X1132" t="str">
            <v>80022</v>
          </cell>
        </row>
        <row r="1133">
          <cell r="U1133">
            <v>880023</v>
          </cell>
          <cell r="V1133" t="str">
            <v>8</v>
          </cell>
          <cell r="W1133" t="str">
            <v>ΚΤΗΝΟΤΡΟΦΙΚΑ ΦΥΤΑ ΓΙΑ ΖΩΟΤΡΟΦΕΣ</v>
          </cell>
          <cell r="X1133" t="str">
            <v>80023</v>
          </cell>
        </row>
        <row r="1134">
          <cell r="U1134">
            <v>880024</v>
          </cell>
          <cell r="V1134" t="str">
            <v>8</v>
          </cell>
          <cell r="W1134" t="str">
            <v>ΚΤΗΝΟΤΡΟΦΙΚΑ ΦΥΤΑ ΓΙΑ ΖΩΟΤΡΟΦΕΣ</v>
          </cell>
          <cell r="X1134" t="str">
            <v>80024</v>
          </cell>
        </row>
        <row r="1135">
          <cell r="U1135">
            <v>880025</v>
          </cell>
          <cell r="V1135" t="str">
            <v>8</v>
          </cell>
          <cell r="W1135" t="str">
            <v>ΚΤΗΝΟΤΡΟΦΙΚΑ ΦΥΤΑ ΓΙΑ ΖΩΟΤΡΟΦΕΣ</v>
          </cell>
          <cell r="X1135" t="str">
            <v>80025</v>
          </cell>
        </row>
        <row r="1136">
          <cell r="U1136">
            <v>880026</v>
          </cell>
          <cell r="V1136" t="str">
            <v>8</v>
          </cell>
          <cell r="W1136" t="str">
            <v>ΚΤΗΝΟΤΡΟΦΙΚΑ ΦΥΤΑ ΓΙΑ ΖΩΟΤΡΟΦΕΣ</v>
          </cell>
          <cell r="X1136" t="str">
            <v>80026</v>
          </cell>
        </row>
        <row r="1137">
          <cell r="U1137">
            <v>880027</v>
          </cell>
          <cell r="V1137" t="str">
            <v>8</v>
          </cell>
          <cell r="W1137" t="str">
            <v>ΚΤΗΝΟΤΡΟΦΙΚΑ ΦΥΤΑ ΓΙΑ ΖΩΟΤΡΟΦΕΣ</v>
          </cell>
          <cell r="X1137" t="str">
            <v>80027</v>
          </cell>
        </row>
        <row r="1138">
          <cell r="U1138">
            <v>880028</v>
          </cell>
          <cell r="V1138" t="str">
            <v>8</v>
          </cell>
          <cell r="W1138" t="str">
            <v>ΚΤΗΝΟΤΡΟΦΙΚΑ ΦΥΤΑ ΓΙΑ ΖΩΟΤΡΟΦΕΣ</v>
          </cell>
          <cell r="X1138" t="str">
            <v>80028</v>
          </cell>
        </row>
        <row r="1139">
          <cell r="U1139">
            <v>880029</v>
          </cell>
          <cell r="V1139" t="str">
            <v>8</v>
          </cell>
          <cell r="W1139" t="str">
            <v>ΚΤΗΝΟΤΡΟΦΙΚΑ ΦΥΤΑ ΓΙΑ ΖΩΟΤΡΟΦΕΣ</v>
          </cell>
          <cell r="X1139" t="str">
            <v>80029</v>
          </cell>
        </row>
        <row r="1140">
          <cell r="U1140">
            <v>896000</v>
          </cell>
          <cell r="V1140" t="str">
            <v>8</v>
          </cell>
          <cell r="W1140" t="str">
            <v>ΚΤΗΝΟΤΡΟΦΙΚΑ ΦΥΤΑ ΓΙΑ ΖΩΟΤΡΟΦΕΣ</v>
          </cell>
          <cell r="X1140" t="str">
            <v>96000</v>
          </cell>
        </row>
        <row r="1141">
          <cell r="U1141">
            <v>899179</v>
          </cell>
          <cell r="V1141" t="str">
            <v>8</v>
          </cell>
          <cell r="W1141" t="str">
            <v>ΚΤΗΝΟΤΡΟΦΙΚΑ ΦΥΤΑ ΓΙΑ ΖΩΟΤΡΟΦΕΣ</v>
          </cell>
          <cell r="X1141" t="str">
            <v>99179</v>
          </cell>
        </row>
        <row r="1142">
          <cell r="U1142">
            <v>899283</v>
          </cell>
          <cell r="V1142" t="str">
            <v>8</v>
          </cell>
          <cell r="W1142" t="str">
            <v>ΚΤΗΝΟΤΡΟΦΙΚΑ ΦΥΤΑ ΓΙΑ ΖΩΟΤΡΟΦΕΣ</v>
          </cell>
          <cell r="X1142" t="str">
            <v>99283</v>
          </cell>
        </row>
        <row r="1143">
          <cell r="U1143">
            <v>910500</v>
          </cell>
          <cell r="V1143" t="str">
            <v>9</v>
          </cell>
          <cell r="W1143" t="str">
            <v>ΒΟΣΚΟΤΟΠΟΙ</v>
          </cell>
          <cell r="X1143" t="str">
            <v>10500</v>
          </cell>
        </row>
        <row r="1144">
          <cell r="U1144">
            <v>1001994</v>
          </cell>
          <cell r="V1144" t="str">
            <v>10</v>
          </cell>
          <cell r="W1144" t="str">
            <v>ΖΑΧΑΡΟΤΕΥΤΛΑ</v>
          </cell>
          <cell r="X1144" t="str">
            <v>01994</v>
          </cell>
        </row>
        <row r="1145">
          <cell r="U1145">
            <v>1002167</v>
          </cell>
          <cell r="V1145" t="str">
            <v>10</v>
          </cell>
          <cell r="W1145" t="str">
            <v>ΖΑΧΑΡΟΤΕΥΤΛΑ</v>
          </cell>
          <cell r="X1145" t="str">
            <v>02167</v>
          </cell>
        </row>
        <row r="1146">
          <cell r="U1146">
            <v>1010050</v>
          </cell>
          <cell r="V1146" t="str">
            <v>10</v>
          </cell>
          <cell r="W1146" t="str">
            <v>ΖΑΧΑΡΟΤΕΥΤΛΑ</v>
          </cell>
          <cell r="X1146" t="str">
            <v>10050</v>
          </cell>
        </row>
        <row r="1147">
          <cell r="U1147">
            <v>1010051</v>
          </cell>
          <cell r="V1147" t="str">
            <v>10</v>
          </cell>
          <cell r="W1147" t="str">
            <v>ΖΑΧΑΡΟΤΕΥΤΛΑ</v>
          </cell>
          <cell r="X1147" t="str">
            <v>10051</v>
          </cell>
        </row>
        <row r="1148">
          <cell r="U1148">
            <v>1010052</v>
          </cell>
          <cell r="V1148" t="str">
            <v>10</v>
          </cell>
          <cell r="W1148" t="str">
            <v>ΖΑΧΑΡΟΤΕΥΤΛΑ</v>
          </cell>
          <cell r="X1148" t="str">
            <v>10052</v>
          </cell>
        </row>
        <row r="1149">
          <cell r="U1149">
            <v>1010053</v>
          </cell>
          <cell r="V1149" t="str">
            <v>10</v>
          </cell>
          <cell r="W1149" t="str">
            <v>ΖΑΧΑΡΟΤΕΥΤΛΑ</v>
          </cell>
          <cell r="X1149" t="str">
            <v>10053</v>
          </cell>
        </row>
        <row r="1150">
          <cell r="U1150">
            <v>1010054</v>
          </cell>
          <cell r="V1150" t="str">
            <v>10</v>
          </cell>
          <cell r="W1150" t="str">
            <v>ΖΑΧΑΡΟΤΕΥΤΛΑ</v>
          </cell>
          <cell r="X1150" t="str">
            <v>10054</v>
          </cell>
        </row>
        <row r="1151">
          <cell r="U1151">
            <v>1010055</v>
          </cell>
          <cell r="V1151" t="str">
            <v>10</v>
          </cell>
          <cell r="W1151" t="str">
            <v>ΖΑΧΑΡΟΤΕΥΤΛΑ</v>
          </cell>
          <cell r="X1151" t="str">
            <v>10055</v>
          </cell>
        </row>
        <row r="1152">
          <cell r="U1152">
            <v>1010056</v>
          </cell>
          <cell r="V1152" t="str">
            <v>10</v>
          </cell>
          <cell r="W1152" t="str">
            <v>ΖΑΧΑΡΟΤΕΥΤΛΑ</v>
          </cell>
          <cell r="X1152" t="str">
            <v>10056</v>
          </cell>
        </row>
        <row r="1153">
          <cell r="U1153">
            <v>1010057</v>
          </cell>
          <cell r="V1153" t="str">
            <v>10</v>
          </cell>
          <cell r="W1153" t="str">
            <v>ΖΑΧΑΡΟΤΕΥΤΛΑ</v>
          </cell>
          <cell r="X1153" t="str">
            <v>10057</v>
          </cell>
        </row>
        <row r="1154">
          <cell r="U1154">
            <v>1010058</v>
          </cell>
          <cell r="V1154" t="str">
            <v>10</v>
          </cell>
          <cell r="W1154" t="str">
            <v>ΖΑΧΑΡΟΤΕΥΤΛΑ</v>
          </cell>
          <cell r="X1154" t="str">
            <v>10058</v>
          </cell>
        </row>
        <row r="1155">
          <cell r="U1155">
            <v>1110601</v>
          </cell>
          <cell r="V1155" t="str">
            <v>11</v>
          </cell>
          <cell r="W1155" t="str">
            <v>ΟΣΠΡΙΑ ΒΡΩΣΙΜΑ</v>
          </cell>
          <cell r="X1155" t="str">
            <v>10601</v>
          </cell>
        </row>
        <row r="1156">
          <cell r="U1156">
            <v>1110902</v>
          </cell>
          <cell r="V1156" t="str">
            <v>11</v>
          </cell>
          <cell r="W1156" t="str">
            <v>ΟΣΠΡΙΑ ΒΡΩΣΙΜΑ</v>
          </cell>
          <cell r="X1156" t="str">
            <v>10902</v>
          </cell>
        </row>
        <row r="1157">
          <cell r="U1157">
            <v>1110903</v>
          </cell>
          <cell r="V1157" t="str">
            <v>11</v>
          </cell>
          <cell r="W1157" t="str">
            <v>ΟΣΠΡΙΑ ΒΡΩΣΙΜΑ</v>
          </cell>
          <cell r="X1157" t="str">
            <v>10903</v>
          </cell>
        </row>
        <row r="1158">
          <cell r="U1158">
            <v>1111087</v>
          </cell>
          <cell r="V1158" t="str">
            <v>11</v>
          </cell>
          <cell r="W1158" t="str">
            <v>ΟΣΠΡΙΑ ΒΡΩΣΙΜΑ</v>
          </cell>
          <cell r="X1158" t="str">
            <v>11087</v>
          </cell>
        </row>
        <row r="1159">
          <cell r="U1159">
            <v>1111088</v>
          </cell>
          <cell r="V1159" t="str">
            <v>11</v>
          </cell>
          <cell r="W1159" t="str">
            <v>ΟΣΠΡΙΑ ΒΡΩΣΙΜΑ</v>
          </cell>
          <cell r="X1159" t="str">
            <v>11088</v>
          </cell>
        </row>
        <row r="1160">
          <cell r="U1160">
            <v>1200169</v>
          </cell>
          <cell r="V1160" t="str">
            <v>12</v>
          </cell>
          <cell r="W1160" t="str">
            <v>ΒΑΜΒΑΚΙ</v>
          </cell>
          <cell r="X1160" t="str">
            <v>00169</v>
          </cell>
        </row>
        <row r="1161">
          <cell r="U1161">
            <v>1200170</v>
          </cell>
          <cell r="V1161" t="str">
            <v>12</v>
          </cell>
          <cell r="W1161" t="str">
            <v>ΒΑΜΒΑΚΙ</v>
          </cell>
          <cell r="X1161" t="str">
            <v>00170</v>
          </cell>
        </row>
        <row r="1162">
          <cell r="U1162">
            <v>1200172</v>
          </cell>
          <cell r="V1162" t="str">
            <v>12</v>
          </cell>
          <cell r="W1162" t="str">
            <v>ΒΑΜΒΑΚΙ</v>
          </cell>
          <cell r="X1162" t="str">
            <v>00172</v>
          </cell>
        </row>
        <row r="1163">
          <cell r="U1163">
            <v>1200180</v>
          </cell>
          <cell r="V1163" t="str">
            <v>12</v>
          </cell>
          <cell r="W1163" t="str">
            <v>ΒΑΜΒΑΚΙ</v>
          </cell>
          <cell r="X1163" t="str">
            <v>00180</v>
          </cell>
        </row>
        <row r="1164">
          <cell r="U1164">
            <v>1200664</v>
          </cell>
          <cell r="V1164" t="str">
            <v>12</v>
          </cell>
          <cell r="W1164" t="str">
            <v>ΒΑΜΒΑΚΙ</v>
          </cell>
          <cell r="X1164" t="str">
            <v>00664</v>
          </cell>
        </row>
        <row r="1165">
          <cell r="U1165">
            <v>1200665</v>
          </cell>
          <cell r="V1165" t="str">
            <v>12</v>
          </cell>
          <cell r="W1165" t="str">
            <v>ΒΑΜΒΑΚΙ</v>
          </cell>
          <cell r="X1165" t="str">
            <v>00665</v>
          </cell>
        </row>
        <row r="1166">
          <cell r="U1166">
            <v>1201050</v>
          </cell>
          <cell r="V1166" t="str">
            <v>12</v>
          </cell>
          <cell r="W1166" t="str">
            <v>ΒΑΜΒΑΚΙ</v>
          </cell>
          <cell r="X1166" t="str">
            <v>01050</v>
          </cell>
        </row>
        <row r="1167">
          <cell r="U1167">
            <v>1201098</v>
          </cell>
          <cell r="V1167" t="str">
            <v>12</v>
          </cell>
          <cell r="W1167" t="str">
            <v>ΒΑΜΒΑΚΙ</v>
          </cell>
          <cell r="X1167" t="str">
            <v>01098</v>
          </cell>
        </row>
        <row r="1168">
          <cell r="U1168">
            <v>1201256</v>
          </cell>
          <cell r="V1168" t="str">
            <v>12</v>
          </cell>
          <cell r="W1168" t="str">
            <v>ΒΑΜΒΑΚΙ</v>
          </cell>
          <cell r="X1168" t="str">
            <v>01256</v>
          </cell>
        </row>
        <row r="1169">
          <cell r="U1169">
            <v>1201258</v>
          </cell>
          <cell r="V1169" t="str">
            <v>12</v>
          </cell>
          <cell r="W1169" t="str">
            <v>ΒΑΜΒΑΚΙ</v>
          </cell>
          <cell r="X1169" t="str">
            <v>01258</v>
          </cell>
        </row>
        <row r="1170">
          <cell r="U1170">
            <v>1201259</v>
          </cell>
          <cell r="V1170" t="str">
            <v>12</v>
          </cell>
          <cell r="W1170" t="str">
            <v>ΒΑΜΒΑΚΙ</v>
          </cell>
          <cell r="X1170" t="str">
            <v>01259</v>
          </cell>
        </row>
        <row r="1171">
          <cell r="U1171">
            <v>1201336</v>
          </cell>
          <cell r="V1171" t="str">
            <v>12</v>
          </cell>
          <cell r="W1171" t="str">
            <v>ΒΑΜΒΑΚΙ</v>
          </cell>
          <cell r="X1171" t="str">
            <v>01336</v>
          </cell>
        </row>
        <row r="1172">
          <cell r="U1172">
            <v>1201458</v>
          </cell>
          <cell r="V1172" t="str">
            <v>12</v>
          </cell>
          <cell r="W1172" t="str">
            <v>ΒΑΜΒΑΚΙ</v>
          </cell>
          <cell r="X1172" t="str">
            <v>01458</v>
          </cell>
        </row>
        <row r="1173">
          <cell r="U1173">
            <v>1201461</v>
          </cell>
          <cell r="V1173" t="str">
            <v>12</v>
          </cell>
          <cell r="W1173" t="str">
            <v>ΒΑΜΒΑΚΙ</v>
          </cell>
          <cell r="X1173" t="str">
            <v>01461</v>
          </cell>
        </row>
        <row r="1174">
          <cell r="U1174">
            <v>1201479</v>
          </cell>
          <cell r="V1174" t="str">
            <v>12</v>
          </cell>
          <cell r="W1174" t="str">
            <v>ΒΑΜΒΑΚΙ</v>
          </cell>
          <cell r="X1174" t="str">
            <v>01479</v>
          </cell>
        </row>
        <row r="1175">
          <cell r="U1175">
            <v>1201562</v>
          </cell>
          <cell r="V1175" t="str">
            <v>12</v>
          </cell>
          <cell r="W1175" t="str">
            <v>ΒΑΜΒΑΚΙ</v>
          </cell>
          <cell r="X1175" t="str">
            <v>01562</v>
          </cell>
        </row>
        <row r="1176">
          <cell r="U1176">
            <v>1201563</v>
          </cell>
          <cell r="V1176" t="str">
            <v>12</v>
          </cell>
          <cell r="W1176" t="str">
            <v>ΒΑΜΒΑΚΙ</v>
          </cell>
          <cell r="X1176" t="str">
            <v>01563</v>
          </cell>
        </row>
        <row r="1177">
          <cell r="U1177">
            <v>1201564</v>
          </cell>
          <cell r="V1177" t="str">
            <v>12</v>
          </cell>
          <cell r="W1177" t="str">
            <v>ΒΑΜΒΑΚΙ</v>
          </cell>
          <cell r="X1177" t="str">
            <v>01564</v>
          </cell>
        </row>
        <row r="1178">
          <cell r="U1178">
            <v>1201597</v>
          </cell>
          <cell r="V1178" t="str">
            <v>12</v>
          </cell>
          <cell r="W1178" t="str">
            <v>ΒΑΜΒΑΚΙ</v>
          </cell>
          <cell r="X1178" t="str">
            <v>01597</v>
          </cell>
        </row>
        <row r="1179">
          <cell r="U1179">
            <v>1201642</v>
          </cell>
          <cell r="V1179" t="str">
            <v>12</v>
          </cell>
          <cell r="W1179" t="str">
            <v>ΒΑΜΒΑΚΙ</v>
          </cell>
          <cell r="X1179" t="str">
            <v>01642</v>
          </cell>
        </row>
        <row r="1180">
          <cell r="U1180">
            <v>1201655</v>
          </cell>
          <cell r="V1180" t="str">
            <v>12</v>
          </cell>
          <cell r="W1180" t="str">
            <v>ΒΑΜΒΑΚΙ</v>
          </cell>
          <cell r="X1180" t="str">
            <v>01655</v>
          </cell>
        </row>
        <row r="1181">
          <cell r="U1181">
            <v>1201656</v>
          </cell>
          <cell r="V1181" t="str">
            <v>12</v>
          </cell>
          <cell r="W1181" t="str">
            <v>ΒΑΜΒΑΚΙ</v>
          </cell>
          <cell r="X1181" t="str">
            <v>01656</v>
          </cell>
        </row>
        <row r="1182">
          <cell r="U1182">
            <v>1201657</v>
          </cell>
          <cell r="V1182" t="str">
            <v>12</v>
          </cell>
          <cell r="W1182" t="str">
            <v>ΒΑΜΒΑΚΙ</v>
          </cell>
          <cell r="X1182" t="str">
            <v>01657</v>
          </cell>
        </row>
        <row r="1183">
          <cell r="U1183">
            <v>1201661</v>
          </cell>
          <cell r="V1183" t="str">
            <v>12</v>
          </cell>
          <cell r="W1183" t="str">
            <v>ΒΑΜΒΑΚΙ</v>
          </cell>
          <cell r="X1183" t="str">
            <v>01661</v>
          </cell>
        </row>
        <row r="1184">
          <cell r="U1184">
            <v>1201662</v>
          </cell>
          <cell r="V1184" t="str">
            <v>12</v>
          </cell>
          <cell r="W1184" t="str">
            <v>ΒΑΜΒΑΚΙ</v>
          </cell>
          <cell r="X1184" t="str">
            <v>01662</v>
          </cell>
        </row>
        <row r="1185">
          <cell r="U1185">
            <v>1201663</v>
          </cell>
          <cell r="V1185" t="str">
            <v>12</v>
          </cell>
          <cell r="W1185" t="str">
            <v>ΒΑΜΒΑΚΙ</v>
          </cell>
          <cell r="X1185" t="str">
            <v>01663</v>
          </cell>
        </row>
        <row r="1186">
          <cell r="U1186">
            <v>1201680</v>
          </cell>
          <cell r="V1186" t="str">
            <v>12</v>
          </cell>
          <cell r="W1186" t="str">
            <v>ΒΑΜΒΑΚΙ</v>
          </cell>
          <cell r="X1186" t="str">
            <v>01680</v>
          </cell>
        </row>
        <row r="1187">
          <cell r="U1187">
            <v>1201687</v>
          </cell>
          <cell r="V1187" t="str">
            <v>12</v>
          </cell>
          <cell r="W1187" t="str">
            <v>ΒΑΜΒΑΚΙ</v>
          </cell>
          <cell r="X1187" t="str">
            <v>01687</v>
          </cell>
        </row>
        <row r="1188">
          <cell r="U1188">
            <v>1201688</v>
          </cell>
          <cell r="V1188" t="str">
            <v>12</v>
          </cell>
          <cell r="W1188" t="str">
            <v>ΒΑΜΒΑΚΙ</v>
          </cell>
          <cell r="X1188" t="str">
            <v>01688</v>
          </cell>
        </row>
        <row r="1189">
          <cell r="U1189">
            <v>1201690</v>
          </cell>
          <cell r="V1189" t="str">
            <v>12</v>
          </cell>
          <cell r="W1189" t="str">
            <v>ΒΑΜΒΑΚΙ</v>
          </cell>
          <cell r="X1189" t="str">
            <v>01690</v>
          </cell>
        </row>
        <row r="1190">
          <cell r="U1190">
            <v>1201691</v>
          </cell>
          <cell r="V1190" t="str">
            <v>12</v>
          </cell>
          <cell r="W1190" t="str">
            <v>ΒΑΜΒΑΚΙ</v>
          </cell>
          <cell r="X1190" t="str">
            <v>01691</v>
          </cell>
        </row>
        <row r="1191">
          <cell r="U1191">
            <v>1201692</v>
          </cell>
          <cell r="V1191" t="str">
            <v>12</v>
          </cell>
          <cell r="W1191" t="str">
            <v>ΒΑΜΒΑΚΙ</v>
          </cell>
          <cell r="X1191" t="str">
            <v>01692</v>
          </cell>
        </row>
        <row r="1192">
          <cell r="U1192">
            <v>1201693</v>
          </cell>
          <cell r="V1192" t="str">
            <v>12</v>
          </cell>
          <cell r="W1192" t="str">
            <v>ΒΑΜΒΑΚΙ</v>
          </cell>
          <cell r="X1192" t="str">
            <v>01693</v>
          </cell>
        </row>
        <row r="1193">
          <cell r="U1193">
            <v>1201694</v>
          </cell>
          <cell r="V1193" t="str">
            <v>12</v>
          </cell>
          <cell r="W1193" t="str">
            <v>ΒΑΜΒΑΚΙ</v>
          </cell>
          <cell r="X1193" t="str">
            <v>01694</v>
          </cell>
        </row>
        <row r="1194">
          <cell r="U1194">
            <v>1201695</v>
          </cell>
          <cell r="V1194" t="str">
            <v>12</v>
          </cell>
          <cell r="W1194" t="str">
            <v>ΒΑΜΒΑΚΙ</v>
          </cell>
          <cell r="X1194" t="str">
            <v>01695</v>
          </cell>
        </row>
        <row r="1195">
          <cell r="U1195">
            <v>1201697</v>
          </cell>
          <cell r="V1195" t="str">
            <v>12</v>
          </cell>
          <cell r="W1195" t="str">
            <v>ΒΑΜΒΑΚΙ</v>
          </cell>
          <cell r="X1195" t="str">
            <v>01697</v>
          </cell>
        </row>
        <row r="1196">
          <cell r="U1196">
            <v>1201707</v>
          </cell>
          <cell r="V1196" t="str">
            <v>12</v>
          </cell>
          <cell r="W1196" t="str">
            <v>ΒΑΜΒΑΚΙ</v>
          </cell>
          <cell r="X1196" t="str">
            <v>01707</v>
          </cell>
        </row>
        <row r="1197">
          <cell r="U1197">
            <v>1201728</v>
          </cell>
          <cell r="V1197" t="str">
            <v>12</v>
          </cell>
          <cell r="W1197" t="str">
            <v>ΒΑΜΒΑΚΙ</v>
          </cell>
          <cell r="X1197" t="str">
            <v>01728</v>
          </cell>
        </row>
        <row r="1198">
          <cell r="U1198">
            <v>1201730</v>
          </cell>
          <cell r="V1198" t="str">
            <v>12</v>
          </cell>
          <cell r="W1198" t="str">
            <v>ΒΑΜΒΑΚΙ</v>
          </cell>
          <cell r="X1198" t="str">
            <v>01730</v>
          </cell>
        </row>
        <row r="1199">
          <cell r="U1199">
            <v>1201734</v>
          </cell>
          <cell r="V1199" t="str">
            <v>12</v>
          </cell>
          <cell r="W1199" t="str">
            <v>ΒΑΜΒΑΚΙ</v>
          </cell>
          <cell r="X1199" t="str">
            <v>01734</v>
          </cell>
        </row>
        <row r="1200">
          <cell r="U1200">
            <v>1201736</v>
          </cell>
          <cell r="V1200" t="str">
            <v>12</v>
          </cell>
          <cell r="W1200" t="str">
            <v>ΒΑΜΒΑΚΙ</v>
          </cell>
          <cell r="X1200" t="str">
            <v>01736</v>
          </cell>
        </row>
        <row r="1201">
          <cell r="U1201">
            <v>1201737</v>
          </cell>
          <cell r="V1201" t="str">
            <v>12</v>
          </cell>
          <cell r="W1201" t="str">
            <v>ΒΑΜΒΑΚΙ</v>
          </cell>
          <cell r="X1201" t="str">
            <v>01737</v>
          </cell>
        </row>
        <row r="1202">
          <cell r="U1202">
            <v>1201739</v>
          </cell>
          <cell r="V1202" t="str">
            <v>12</v>
          </cell>
          <cell r="W1202" t="str">
            <v>ΒΑΜΒΑΚΙ</v>
          </cell>
          <cell r="X1202" t="str">
            <v>01739</v>
          </cell>
        </row>
        <row r="1203">
          <cell r="U1203">
            <v>1201740</v>
          </cell>
          <cell r="V1203" t="str">
            <v>12</v>
          </cell>
          <cell r="W1203" t="str">
            <v>ΒΑΜΒΑΚΙ</v>
          </cell>
          <cell r="X1203" t="str">
            <v>01740</v>
          </cell>
        </row>
        <row r="1204">
          <cell r="U1204">
            <v>1201747</v>
          </cell>
          <cell r="V1204" t="str">
            <v>12</v>
          </cell>
          <cell r="W1204" t="str">
            <v>ΒΑΜΒΑΚΙ</v>
          </cell>
          <cell r="X1204" t="str">
            <v>01747</v>
          </cell>
        </row>
        <row r="1205">
          <cell r="U1205">
            <v>1201748</v>
          </cell>
          <cell r="V1205" t="str">
            <v>12</v>
          </cell>
          <cell r="W1205" t="str">
            <v>ΒΑΜΒΑΚΙ</v>
          </cell>
          <cell r="X1205" t="str">
            <v>01748</v>
          </cell>
        </row>
        <row r="1206">
          <cell r="U1206">
            <v>1201773</v>
          </cell>
          <cell r="V1206" t="str">
            <v>12</v>
          </cell>
          <cell r="W1206" t="str">
            <v>ΒΑΜΒΑΚΙ</v>
          </cell>
          <cell r="X1206" t="str">
            <v>01773</v>
          </cell>
        </row>
        <row r="1207">
          <cell r="U1207">
            <v>1201778</v>
          </cell>
          <cell r="V1207" t="str">
            <v>12</v>
          </cell>
          <cell r="W1207" t="str">
            <v>ΒΑΜΒΑΚΙ</v>
          </cell>
          <cell r="X1207" t="str">
            <v>01778</v>
          </cell>
        </row>
        <row r="1208">
          <cell r="U1208">
            <v>1201809</v>
          </cell>
          <cell r="V1208" t="str">
            <v>12</v>
          </cell>
          <cell r="W1208" t="str">
            <v>ΒΑΜΒΑΚΙ</v>
          </cell>
          <cell r="X1208" t="str">
            <v>01809</v>
          </cell>
        </row>
        <row r="1209">
          <cell r="U1209">
            <v>1201813</v>
          </cell>
          <cell r="V1209" t="str">
            <v>12</v>
          </cell>
          <cell r="W1209" t="str">
            <v>ΒΑΜΒΑΚΙ</v>
          </cell>
          <cell r="X1209" t="str">
            <v>01813</v>
          </cell>
        </row>
        <row r="1210">
          <cell r="U1210">
            <v>1201814</v>
          </cell>
          <cell r="V1210" t="str">
            <v>12</v>
          </cell>
          <cell r="W1210" t="str">
            <v>ΒΑΜΒΑΚΙ</v>
          </cell>
          <cell r="X1210" t="str">
            <v>01814</v>
          </cell>
        </row>
        <row r="1211">
          <cell r="U1211">
            <v>1201817</v>
          </cell>
          <cell r="V1211" t="str">
            <v>12</v>
          </cell>
          <cell r="W1211" t="str">
            <v>ΒΑΜΒΑΚΙ</v>
          </cell>
          <cell r="X1211" t="str">
            <v>01817</v>
          </cell>
        </row>
        <row r="1212">
          <cell r="U1212">
            <v>1201818</v>
          </cell>
          <cell r="V1212" t="str">
            <v>12</v>
          </cell>
          <cell r="W1212" t="str">
            <v>ΒΑΜΒΑΚΙ</v>
          </cell>
          <cell r="X1212" t="str">
            <v>01818</v>
          </cell>
        </row>
        <row r="1213">
          <cell r="U1213">
            <v>1201821</v>
          </cell>
          <cell r="V1213" t="str">
            <v>12</v>
          </cell>
          <cell r="W1213" t="str">
            <v>ΒΑΜΒΑΚΙ</v>
          </cell>
          <cell r="X1213" t="str">
            <v>01821</v>
          </cell>
        </row>
        <row r="1214">
          <cell r="U1214">
            <v>1201830</v>
          </cell>
          <cell r="V1214" t="str">
            <v>12</v>
          </cell>
          <cell r="W1214" t="str">
            <v>ΒΑΜΒΑΚΙ</v>
          </cell>
          <cell r="X1214" t="str">
            <v>01830</v>
          </cell>
        </row>
        <row r="1215">
          <cell r="U1215">
            <v>1201834</v>
          </cell>
          <cell r="V1215" t="str">
            <v>12</v>
          </cell>
          <cell r="W1215" t="str">
            <v>ΒΑΜΒΑΚΙ</v>
          </cell>
          <cell r="X1215" t="str">
            <v>01834</v>
          </cell>
        </row>
        <row r="1216">
          <cell r="U1216">
            <v>1201835</v>
          </cell>
          <cell r="V1216" t="str">
            <v>12</v>
          </cell>
          <cell r="W1216" t="str">
            <v>ΒΑΜΒΑΚΙ</v>
          </cell>
          <cell r="X1216" t="str">
            <v>01835</v>
          </cell>
        </row>
        <row r="1217">
          <cell r="U1217">
            <v>1201839</v>
          </cell>
          <cell r="V1217" t="str">
            <v>12</v>
          </cell>
          <cell r="W1217" t="str">
            <v>ΒΑΜΒΑΚΙ</v>
          </cell>
          <cell r="X1217" t="str">
            <v>01839</v>
          </cell>
        </row>
        <row r="1218">
          <cell r="U1218">
            <v>1201841</v>
          </cell>
          <cell r="V1218" t="str">
            <v>12</v>
          </cell>
          <cell r="W1218" t="str">
            <v>ΒΑΜΒΑΚΙ</v>
          </cell>
          <cell r="X1218" t="str">
            <v>01841</v>
          </cell>
        </row>
        <row r="1219">
          <cell r="U1219">
            <v>1201842</v>
          </cell>
          <cell r="V1219" t="str">
            <v>12</v>
          </cell>
          <cell r="W1219" t="str">
            <v>ΒΑΜΒΑΚΙ</v>
          </cell>
          <cell r="X1219" t="str">
            <v>01842</v>
          </cell>
        </row>
        <row r="1220">
          <cell r="U1220">
            <v>1201843</v>
          </cell>
          <cell r="V1220" t="str">
            <v>12</v>
          </cell>
          <cell r="W1220" t="str">
            <v>ΒΑΜΒΑΚΙ</v>
          </cell>
          <cell r="X1220" t="str">
            <v>01843</v>
          </cell>
        </row>
        <row r="1221">
          <cell r="U1221">
            <v>1201844</v>
          </cell>
          <cell r="V1221" t="str">
            <v>12</v>
          </cell>
          <cell r="W1221" t="str">
            <v>ΒΑΜΒΑΚΙ</v>
          </cell>
          <cell r="X1221" t="str">
            <v>01844</v>
          </cell>
        </row>
        <row r="1222">
          <cell r="U1222">
            <v>1201845</v>
          </cell>
          <cell r="V1222" t="str">
            <v>12</v>
          </cell>
          <cell r="W1222" t="str">
            <v>ΒΑΜΒΑΚΙ</v>
          </cell>
          <cell r="X1222" t="str">
            <v>01845</v>
          </cell>
        </row>
        <row r="1223">
          <cell r="U1223">
            <v>1201849</v>
          </cell>
          <cell r="V1223" t="str">
            <v>12</v>
          </cell>
          <cell r="W1223" t="str">
            <v>ΒΑΜΒΑΚΙ</v>
          </cell>
          <cell r="X1223" t="str">
            <v>01849</v>
          </cell>
        </row>
        <row r="1224">
          <cell r="U1224">
            <v>1201850</v>
          </cell>
          <cell r="V1224" t="str">
            <v>12</v>
          </cell>
          <cell r="W1224" t="str">
            <v>ΒΑΜΒΑΚΙ</v>
          </cell>
          <cell r="X1224" t="str">
            <v>01850</v>
          </cell>
        </row>
        <row r="1225">
          <cell r="U1225">
            <v>1201877</v>
          </cell>
          <cell r="V1225" t="str">
            <v>12</v>
          </cell>
          <cell r="W1225" t="str">
            <v>ΒΑΜΒΑΚΙ</v>
          </cell>
          <cell r="X1225" t="str">
            <v>01877</v>
          </cell>
        </row>
        <row r="1226">
          <cell r="U1226">
            <v>1201884</v>
          </cell>
          <cell r="V1226" t="str">
            <v>12</v>
          </cell>
          <cell r="W1226" t="str">
            <v>ΒΑΜΒΑΚΙ</v>
          </cell>
          <cell r="X1226" t="str">
            <v>01884</v>
          </cell>
        </row>
        <row r="1227">
          <cell r="U1227">
            <v>1201885</v>
          </cell>
          <cell r="V1227" t="str">
            <v>12</v>
          </cell>
          <cell r="W1227" t="str">
            <v>ΒΑΜΒΑΚΙ</v>
          </cell>
          <cell r="X1227" t="str">
            <v>01885</v>
          </cell>
        </row>
        <row r="1228">
          <cell r="U1228">
            <v>1201888</v>
          </cell>
          <cell r="V1228" t="str">
            <v>12</v>
          </cell>
          <cell r="W1228" t="str">
            <v>ΒΑΜΒΑΚΙ</v>
          </cell>
          <cell r="X1228" t="str">
            <v>01888</v>
          </cell>
        </row>
        <row r="1229">
          <cell r="U1229">
            <v>1201889</v>
          </cell>
          <cell r="V1229" t="str">
            <v>12</v>
          </cell>
          <cell r="W1229" t="str">
            <v>ΒΑΜΒΑΚΙ</v>
          </cell>
          <cell r="X1229" t="str">
            <v>01889</v>
          </cell>
        </row>
        <row r="1230">
          <cell r="U1230">
            <v>1201892</v>
          </cell>
          <cell r="V1230" t="str">
            <v>12</v>
          </cell>
          <cell r="W1230" t="str">
            <v>ΒΑΜΒΑΚΙ</v>
          </cell>
          <cell r="X1230" t="str">
            <v>01892</v>
          </cell>
        </row>
        <row r="1231">
          <cell r="U1231">
            <v>1201898</v>
          </cell>
          <cell r="V1231" t="str">
            <v>12</v>
          </cell>
          <cell r="W1231" t="str">
            <v>ΒΑΜΒΑΚΙ</v>
          </cell>
          <cell r="X1231" t="str">
            <v>01898</v>
          </cell>
        </row>
        <row r="1232">
          <cell r="U1232">
            <v>1201906</v>
          </cell>
          <cell r="V1232" t="str">
            <v>12</v>
          </cell>
          <cell r="W1232" t="str">
            <v>ΒΑΜΒΑΚΙ</v>
          </cell>
          <cell r="X1232" t="str">
            <v>01906</v>
          </cell>
        </row>
        <row r="1233">
          <cell r="U1233">
            <v>1201907</v>
          </cell>
          <cell r="V1233" t="str">
            <v>12</v>
          </cell>
          <cell r="W1233" t="str">
            <v>ΒΑΜΒΑΚΙ</v>
          </cell>
          <cell r="X1233" t="str">
            <v>01907</v>
          </cell>
        </row>
        <row r="1234">
          <cell r="U1234">
            <v>1201913</v>
          </cell>
          <cell r="V1234" t="str">
            <v>12</v>
          </cell>
          <cell r="W1234" t="str">
            <v>ΒΑΜΒΑΚΙ</v>
          </cell>
          <cell r="X1234" t="str">
            <v>01913</v>
          </cell>
        </row>
        <row r="1235">
          <cell r="U1235">
            <v>1201914</v>
          </cell>
          <cell r="V1235" t="str">
            <v>12</v>
          </cell>
          <cell r="W1235" t="str">
            <v>ΒΑΜΒΑΚΙ</v>
          </cell>
          <cell r="X1235" t="str">
            <v>01914</v>
          </cell>
        </row>
        <row r="1236">
          <cell r="U1236">
            <v>1201915</v>
          </cell>
          <cell r="V1236" t="str">
            <v>12</v>
          </cell>
          <cell r="W1236" t="str">
            <v>ΒΑΜΒΑΚΙ</v>
          </cell>
          <cell r="X1236" t="str">
            <v>01915</v>
          </cell>
        </row>
        <row r="1237">
          <cell r="U1237">
            <v>1201917</v>
          </cell>
          <cell r="V1237" t="str">
            <v>12</v>
          </cell>
          <cell r="W1237" t="str">
            <v>ΒΑΜΒΑΚΙ</v>
          </cell>
          <cell r="X1237" t="str">
            <v>01917</v>
          </cell>
        </row>
        <row r="1238">
          <cell r="U1238">
            <v>1201918</v>
          </cell>
          <cell r="V1238" t="str">
            <v>12</v>
          </cell>
          <cell r="W1238" t="str">
            <v>ΒΑΜΒΑΚΙ</v>
          </cell>
          <cell r="X1238" t="str">
            <v>01918</v>
          </cell>
        </row>
        <row r="1239">
          <cell r="U1239">
            <v>1201928</v>
          </cell>
          <cell r="V1239" t="str">
            <v>12</v>
          </cell>
          <cell r="W1239" t="str">
            <v>ΒΑΜΒΑΚΙ</v>
          </cell>
          <cell r="X1239" t="str">
            <v>01928</v>
          </cell>
        </row>
        <row r="1240">
          <cell r="U1240">
            <v>1201929</v>
          </cell>
          <cell r="V1240" t="str">
            <v>12</v>
          </cell>
          <cell r="W1240" t="str">
            <v>ΒΑΜΒΑΚΙ</v>
          </cell>
          <cell r="X1240" t="str">
            <v>01929</v>
          </cell>
        </row>
        <row r="1241">
          <cell r="U1241">
            <v>1201931</v>
          </cell>
          <cell r="V1241" t="str">
            <v>12</v>
          </cell>
          <cell r="W1241" t="str">
            <v>ΒΑΜΒΑΚΙ</v>
          </cell>
          <cell r="X1241" t="str">
            <v>01931</v>
          </cell>
        </row>
        <row r="1242">
          <cell r="U1242">
            <v>1201932</v>
          </cell>
          <cell r="V1242" t="str">
            <v>12</v>
          </cell>
          <cell r="W1242" t="str">
            <v>ΒΑΜΒΑΚΙ</v>
          </cell>
          <cell r="X1242" t="str">
            <v>01932</v>
          </cell>
        </row>
        <row r="1243">
          <cell r="U1243">
            <v>1201982</v>
          </cell>
          <cell r="V1243" t="str">
            <v>12</v>
          </cell>
          <cell r="W1243" t="str">
            <v>ΒΑΜΒΑΚΙ</v>
          </cell>
          <cell r="X1243" t="str">
            <v>01982</v>
          </cell>
        </row>
        <row r="1244">
          <cell r="U1244">
            <v>1201984</v>
          </cell>
          <cell r="V1244" t="str">
            <v>12</v>
          </cell>
          <cell r="W1244" t="str">
            <v>ΒΑΜΒΑΚΙ</v>
          </cell>
          <cell r="X1244" t="str">
            <v>01984</v>
          </cell>
        </row>
        <row r="1245">
          <cell r="U1245">
            <v>1201985</v>
          </cell>
          <cell r="V1245" t="str">
            <v>12</v>
          </cell>
          <cell r="W1245" t="str">
            <v>ΒΑΜΒΑΚΙ</v>
          </cell>
          <cell r="X1245" t="str">
            <v>01985</v>
          </cell>
        </row>
        <row r="1246">
          <cell r="U1246">
            <v>1201986</v>
          </cell>
          <cell r="V1246" t="str">
            <v>12</v>
          </cell>
          <cell r="W1246" t="str">
            <v>ΒΑΜΒΑΚΙ</v>
          </cell>
          <cell r="X1246" t="str">
            <v>01986</v>
          </cell>
        </row>
        <row r="1247">
          <cell r="U1247">
            <v>1202008</v>
          </cell>
          <cell r="V1247" t="str">
            <v>12</v>
          </cell>
          <cell r="W1247" t="str">
            <v>ΒΑΜΒΑΚΙ</v>
          </cell>
          <cell r="X1247" t="str">
            <v>02008</v>
          </cell>
        </row>
        <row r="1248">
          <cell r="U1248">
            <v>1202011</v>
          </cell>
          <cell r="V1248" t="str">
            <v>12</v>
          </cell>
          <cell r="W1248" t="str">
            <v>ΒΑΜΒΑΚΙ</v>
          </cell>
          <cell r="X1248" t="str">
            <v>02011</v>
          </cell>
        </row>
        <row r="1249">
          <cell r="U1249">
            <v>1202025</v>
          </cell>
          <cell r="V1249" t="str">
            <v>12</v>
          </cell>
          <cell r="W1249" t="str">
            <v>ΒΑΜΒΑΚΙ</v>
          </cell>
          <cell r="X1249" t="str">
            <v>02025</v>
          </cell>
        </row>
        <row r="1250">
          <cell r="U1250">
            <v>1202030</v>
          </cell>
          <cell r="V1250" t="str">
            <v>12</v>
          </cell>
          <cell r="W1250" t="str">
            <v>ΒΑΜΒΑΚΙ</v>
          </cell>
          <cell r="X1250" t="str">
            <v>02030</v>
          </cell>
        </row>
        <row r="1251">
          <cell r="U1251">
            <v>1202063</v>
          </cell>
          <cell r="V1251" t="str">
            <v>12</v>
          </cell>
          <cell r="W1251" t="str">
            <v>ΒΑΜΒΑΚΙ</v>
          </cell>
          <cell r="X1251" t="str">
            <v>02063</v>
          </cell>
        </row>
        <row r="1252">
          <cell r="U1252">
            <v>1202078</v>
          </cell>
          <cell r="V1252" t="str">
            <v>12</v>
          </cell>
          <cell r="W1252" t="str">
            <v>ΒΑΜΒΑΚΙ</v>
          </cell>
          <cell r="X1252" t="str">
            <v>02078</v>
          </cell>
        </row>
        <row r="1253">
          <cell r="U1253">
            <v>1202080</v>
          </cell>
          <cell r="V1253" t="str">
            <v>12</v>
          </cell>
          <cell r="W1253" t="str">
            <v>ΒΑΜΒΑΚΙ</v>
          </cell>
          <cell r="X1253" t="str">
            <v>02080</v>
          </cell>
        </row>
        <row r="1254">
          <cell r="U1254">
            <v>1202099</v>
          </cell>
          <cell r="V1254" t="str">
            <v>12</v>
          </cell>
          <cell r="W1254" t="str">
            <v>ΒΑΜΒΑΚΙ</v>
          </cell>
          <cell r="X1254" t="str">
            <v>02099</v>
          </cell>
        </row>
        <row r="1255">
          <cell r="U1255">
            <v>1202100</v>
          </cell>
          <cell r="V1255" t="str">
            <v>12</v>
          </cell>
          <cell r="W1255" t="str">
            <v>ΒΑΜΒΑΚΙ</v>
          </cell>
          <cell r="X1255" t="str">
            <v>02100</v>
          </cell>
        </row>
        <row r="1256">
          <cell r="U1256">
            <v>1202115</v>
          </cell>
          <cell r="V1256" t="str">
            <v>12</v>
          </cell>
          <cell r="W1256" t="str">
            <v>ΒΑΜΒΑΚΙ</v>
          </cell>
          <cell r="X1256" t="str">
            <v>02115</v>
          </cell>
        </row>
        <row r="1257">
          <cell r="U1257">
            <v>1202116</v>
          </cell>
          <cell r="V1257" t="str">
            <v>12</v>
          </cell>
          <cell r="W1257" t="str">
            <v>ΒΑΜΒΑΚΙ</v>
          </cell>
          <cell r="X1257" t="str">
            <v>02116</v>
          </cell>
        </row>
        <row r="1258">
          <cell r="U1258">
            <v>1202117</v>
          </cell>
          <cell r="V1258" t="str">
            <v>12</v>
          </cell>
          <cell r="W1258" t="str">
            <v>ΒΑΜΒΑΚΙ</v>
          </cell>
          <cell r="X1258" t="str">
            <v>02117</v>
          </cell>
        </row>
        <row r="1259">
          <cell r="U1259">
            <v>1202119</v>
          </cell>
          <cell r="V1259" t="str">
            <v>12</v>
          </cell>
          <cell r="W1259" t="str">
            <v>ΒΑΜΒΑΚΙ</v>
          </cell>
          <cell r="X1259" t="str">
            <v>02119</v>
          </cell>
        </row>
        <row r="1260">
          <cell r="U1260">
            <v>1202120</v>
          </cell>
          <cell r="V1260" t="str">
            <v>12</v>
          </cell>
          <cell r="W1260" t="str">
            <v>ΒΑΜΒΑΚΙ</v>
          </cell>
          <cell r="X1260" t="str">
            <v>02120</v>
          </cell>
        </row>
        <row r="1261">
          <cell r="U1261">
            <v>1202122</v>
          </cell>
          <cell r="V1261" t="str">
            <v>12</v>
          </cell>
          <cell r="W1261" t="str">
            <v>ΒΑΜΒΑΚΙ</v>
          </cell>
          <cell r="X1261" t="str">
            <v>02122</v>
          </cell>
        </row>
        <row r="1262">
          <cell r="U1262">
            <v>1202123</v>
          </cell>
          <cell r="V1262" t="str">
            <v>12</v>
          </cell>
          <cell r="W1262" t="str">
            <v>ΒΑΜΒΑΚΙ</v>
          </cell>
          <cell r="X1262" t="str">
            <v>02123</v>
          </cell>
        </row>
        <row r="1263">
          <cell r="U1263">
            <v>1202124</v>
          </cell>
          <cell r="V1263" t="str">
            <v>12</v>
          </cell>
          <cell r="W1263" t="str">
            <v>ΒΑΜΒΑΚΙ</v>
          </cell>
          <cell r="X1263" t="str">
            <v>02124</v>
          </cell>
        </row>
        <row r="1264">
          <cell r="U1264">
            <v>1202128</v>
          </cell>
          <cell r="V1264" t="str">
            <v>12</v>
          </cell>
          <cell r="W1264" t="str">
            <v>ΒΑΜΒΑΚΙ</v>
          </cell>
          <cell r="X1264" t="str">
            <v>02128</v>
          </cell>
        </row>
        <row r="1265">
          <cell r="U1265">
            <v>1202131</v>
          </cell>
          <cell r="V1265" t="str">
            <v>12</v>
          </cell>
          <cell r="W1265" t="str">
            <v>ΒΑΜΒΑΚΙ</v>
          </cell>
          <cell r="X1265" t="str">
            <v>02131</v>
          </cell>
        </row>
        <row r="1266">
          <cell r="U1266">
            <v>1202132</v>
          </cell>
          <cell r="V1266" t="str">
            <v>12</v>
          </cell>
          <cell r="W1266" t="str">
            <v>ΒΑΜΒΑΚΙ</v>
          </cell>
          <cell r="X1266" t="str">
            <v>02132</v>
          </cell>
        </row>
        <row r="1267">
          <cell r="U1267">
            <v>1202188</v>
          </cell>
          <cell r="V1267" t="str">
            <v>12</v>
          </cell>
          <cell r="W1267" t="str">
            <v>ΒΑΜΒΑΚΙ</v>
          </cell>
          <cell r="X1267" t="str">
            <v>02188</v>
          </cell>
        </row>
        <row r="1268">
          <cell r="U1268">
            <v>1202202</v>
          </cell>
          <cell r="V1268" t="str">
            <v>12</v>
          </cell>
          <cell r="W1268" t="str">
            <v>ΒΑΜΒΑΚΙ</v>
          </cell>
          <cell r="X1268" t="str">
            <v>02202</v>
          </cell>
        </row>
        <row r="1269">
          <cell r="U1269">
            <v>1202210</v>
          </cell>
          <cell r="V1269" t="str">
            <v>12</v>
          </cell>
          <cell r="W1269" t="str">
            <v>ΒΑΜΒΑΚΙ</v>
          </cell>
          <cell r="X1269" t="str">
            <v>02210</v>
          </cell>
        </row>
        <row r="1270">
          <cell r="U1270">
            <v>1202211</v>
          </cell>
          <cell r="V1270" t="str">
            <v>12</v>
          </cell>
          <cell r="W1270" t="str">
            <v>ΒΑΜΒΑΚΙ</v>
          </cell>
          <cell r="X1270" t="str">
            <v>02211</v>
          </cell>
        </row>
        <row r="1271">
          <cell r="U1271">
            <v>1202212</v>
          </cell>
          <cell r="V1271" t="str">
            <v>12</v>
          </cell>
          <cell r="W1271" t="str">
            <v>ΒΑΜΒΑΚΙ</v>
          </cell>
          <cell r="X1271" t="str">
            <v>02212</v>
          </cell>
        </row>
        <row r="1272">
          <cell r="U1272">
            <v>1202213</v>
          </cell>
          <cell r="V1272" t="str">
            <v>12</v>
          </cell>
          <cell r="W1272" t="str">
            <v>ΒΑΜΒΑΚΙ</v>
          </cell>
          <cell r="X1272" t="str">
            <v>02213</v>
          </cell>
        </row>
        <row r="1273">
          <cell r="U1273">
            <v>1202214</v>
          </cell>
          <cell r="V1273" t="str">
            <v>12</v>
          </cell>
          <cell r="W1273" t="str">
            <v>ΒΑΜΒΑΚΙ</v>
          </cell>
          <cell r="X1273" t="str">
            <v>02214</v>
          </cell>
        </row>
        <row r="1274">
          <cell r="U1274">
            <v>1202215</v>
          </cell>
          <cell r="V1274" t="str">
            <v>12</v>
          </cell>
          <cell r="W1274" t="str">
            <v>ΒΑΜΒΑΚΙ</v>
          </cell>
          <cell r="X1274" t="str">
            <v>02215</v>
          </cell>
        </row>
        <row r="1275">
          <cell r="U1275">
            <v>1202216</v>
          </cell>
          <cell r="V1275" t="str">
            <v>12</v>
          </cell>
          <cell r="W1275" t="str">
            <v>ΒΑΜΒΑΚΙ</v>
          </cell>
          <cell r="X1275" t="str">
            <v>02216</v>
          </cell>
        </row>
        <row r="1276">
          <cell r="U1276">
            <v>1202217</v>
          </cell>
          <cell r="V1276" t="str">
            <v>12</v>
          </cell>
          <cell r="W1276" t="str">
            <v>ΒΑΜΒΑΚΙ</v>
          </cell>
          <cell r="X1276" t="str">
            <v>02217</v>
          </cell>
        </row>
        <row r="1277">
          <cell r="U1277">
            <v>1202218</v>
          </cell>
          <cell r="V1277" t="str">
            <v>12</v>
          </cell>
          <cell r="W1277" t="str">
            <v>ΒΑΜΒΑΚΙ</v>
          </cell>
          <cell r="X1277" t="str">
            <v>02218</v>
          </cell>
        </row>
        <row r="1278">
          <cell r="U1278">
            <v>1202219</v>
          </cell>
          <cell r="V1278" t="str">
            <v>12</v>
          </cell>
          <cell r="W1278" t="str">
            <v>ΒΑΜΒΑΚΙ</v>
          </cell>
          <cell r="X1278" t="str">
            <v>02219</v>
          </cell>
        </row>
        <row r="1279">
          <cell r="U1279">
            <v>1202221</v>
          </cell>
          <cell r="V1279" t="str">
            <v>12</v>
          </cell>
          <cell r="W1279" t="str">
            <v>ΒΑΜΒΑΚΙ</v>
          </cell>
          <cell r="X1279" t="str">
            <v>02221</v>
          </cell>
        </row>
        <row r="1280">
          <cell r="U1280">
            <v>1202224</v>
          </cell>
          <cell r="V1280" t="str">
            <v>12</v>
          </cell>
          <cell r="W1280" t="str">
            <v>ΒΑΜΒΑΚΙ</v>
          </cell>
          <cell r="X1280" t="str">
            <v>02224</v>
          </cell>
        </row>
        <row r="1281">
          <cell r="U1281">
            <v>1202313</v>
          </cell>
          <cell r="V1281" t="str">
            <v>12</v>
          </cell>
          <cell r="W1281" t="str">
            <v>ΒΑΜΒΑΚΙ</v>
          </cell>
          <cell r="X1281" t="str">
            <v>02313</v>
          </cell>
        </row>
        <row r="1282">
          <cell r="U1282">
            <v>1202314</v>
          </cell>
          <cell r="V1282" t="str">
            <v>12</v>
          </cell>
          <cell r="W1282" t="str">
            <v>ΒΑΜΒΑΚΙ</v>
          </cell>
          <cell r="X1282" t="str">
            <v>02314</v>
          </cell>
        </row>
        <row r="1283">
          <cell r="U1283">
            <v>1202318</v>
          </cell>
          <cell r="V1283" t="str">
            <v>12</v>
          </cell>
          <cell r="W1283" t="str">
            <v>ΒΑΜΒΑΚΙ</v>
          </cell>
          <cell r="X1283" t="str">
            <v>02318</v>
          </cell>
        </row>
        <row r="1284">
          <cell r="U1284">
            <v>1202319</v>
          </cell>
          <cell r="V1284" t="str">
            <v>12</v>
          </cell>
          <cell r="W1284" t="str">
            <v>ΒΑΜΒΑΚΙ</v>
          </cell>
          <cell r="X1284" t="str">
            <v>02319</v>
          </cell>
        </row>
        <row r="1285">
          <cell r="U1285">
            <v>1202320</v>
          </cell>
          <cell r="V1285" t="str">
            <v>12</v>
          </cell>
          <cell r="W1285" t="str">
            <v>ΒΑΜΒΑΚΙ</v>
          </cell>
          <cell r="X1285" t="str">
            <v>02320</v>
          </cell>
        </row>
        <row r="1286">
          <cell r="U1286">
            <v>1202324</v>
          </cell>
          <cell r="V1286" t="str">
            <v>12</v>
          </cell>
          <cell r="W1286" t="str">
            <v>ΒΑΜΒΑΚΙ</v>
          </cell>
          <cell r="X1286" t="str">
            <v>02324</v>
          </cell>
        </row>
        <row r="1287">
          <cell r="U1287">
            <v>1202326</v>
          </cell>
          <cell r="V1287" t="str">
            <v>12</v>
          </cell>
          <cell r="W1287" t="str">
            <v>ΒΑΜΒΑΚΙ</v>
          </cell>
          <cell r="X1287" t="str">
            <v>02326</v>
          </cell>
        </row>
        <row r="1288">
          <cell r="U1288">
            <v>1202327</v>
          </cell>
          <cell r="V1288" t="str">
            <v>12</v>
          </cell>
          <cell r="W1288" t="str">
            <v>ΒΑΜΒΑΚΙ</v>
          </cell>
          <cell r="X1288" t="str">
            <v>02327</v>
          </cell>
        </row>
        <row r="1289">
          <cell r="U1289">
            <v>1202328</v>
          </cell>
          <cell r="V1289" t="str">
            <v>12</v>
          </cell>
          <cell r="W1289" t="str">
            <v>ΒΑΜΒΑΚΙ</v>
          </cell>
          <cell r="X1289" t="str">
            <v>02328</v>
          </cell>
        </row>
        <row r="1290">
          <cell r="U1290">
            <v>1202329</v>
          </cell>
          <cell r="V1290" t="str">
            <v>12</v>
          </cell>
          <cell r="W1290" t="str">
            <v>ΒΑΜΒΑΚΙ</v>
          </cell>
          <cell r="X1290" t="str">
            <v>02329</v>
          </cell>
        </row>
        <row r="1291">
          <cell r="U1291">
            <v>1202330</v>
          </cell>
          <cell r="V1291" t="str">
            <v>12</v>
          </cell>
          <cell r="W1291" t="str">
            <v>ΒΑΜΒΑΚΙ</v>
          </cell>
          <cell r="X1291" t="str">
            <v>02330</v>
          </cell>
        </row>
        <row r="1292">
          <cell r="U1292">
            <v>1202331</v>
          </cell>
          <cell r="V1292" t="str">
            <v>12</v>
          </cell>
          <cell r="W1292" t="str">
            <v>ΒΑΜΒΑΚΙ</v>
          </cell>
          <cell r="X1292" t="str">
            <v>02331</v>
          </cell>
        </row>
        <row r="1293">
          <cell r="U1293">
            <v>1202333</v>
          </cell>
          <cell r="V1293" t="str">
            <v>12</v>
          </cell>
          <cell r="W1293" t="str">
            <v>ΒΑΜΒΑΚΙ</v>
          </cell>
          <cell r="X1293" t="str">
            <v>02333</v>
          </cell>
        </row>
        <row r="1294">
          <cell r="U1294">
            <v>1202334</v>
          </cell>
          <cell r="V1294" t="str">
            <v>12</v>
          </cell>
          <cell r="W1294" t="str">
            <v>ΒΑΜΒΑΚΙ</v>
          </cell>
          <cell r="X1294" t="str">
            <v>02334</v>
          </cell>
        </row>
        <row r="1295">
          <cell r="U1295">
            <v>1202336</v>
          </cell>
          <cell r="V1295" t="str">
            <v>12</v>
          </cell>
          <cell r="W1295" t="str">
            <v>ΒΑΜΒΑΚΙ</v>
          </cell>
          <cell r="X1295" t="str">
            <v>02336</v>
          </cell>
        </row>
        <row r="1296">
          <cell r="U1296">
            <v>1202337</v>
          </cell>
          <cell r="V1296" t="str">
            <v>12</v>
          </cell>
          <cell r="W1296" t="str">
            <v>ΒΑΜΒΑΚΙ</v>
          </cell>
          <cell r="X1296" t="str">
            <v>02337</v>
          </cell>
        </row>
        <row r="1297">
          <cell r="U1297">
            <v>1202338</v>
          </cell>
          <cell r="V1297" t="str">
            <v>12</v>
          </cell>
          <cell r="W1297" t="str">
            <v>ΒΑΜΒΑΚΙ</v>
          </cell>
          <cell r="X1297" t="str">
            <v>02338</v>
          </cell>
        </row>
        <row r="1298">
          <cell r="U1298">
            <v>1202341</v>
          </cell>
          <cell r="V1298" t="str">
            <v>12</v>
          </cell>
          <cell r="W1298" t="str">
            <v>ΒΑΜΒΑΚΙ</v>
          </cell>
          <cell r="X1298" t="str">
            <v>02341</v>
          </cell>
        </row>
        <row r="1299">
          <cell r="U1299">
            <v>1202342</v>
          </cell>
          <cell r="V1299" t="str">
            <v>12</v>
          </cell>
          <cell r="W1299" t="str">
            <v>ΒΑΜΒΑΚΙ</v>
          </cell>
          <cell r="X1299" t="str">
            <v>02342</v>
          </cell>
        </row>
        <row r="1300">
          <cell r="U1300">
            <v>1202387</v>
          </cell>
          <cell r="V1300" t="str">
            <v>12</v>
          </cell>
          <cell r="W1300" t="str">
            <v>ΒΑΜΒΑΚΙ</v>
          </cell>
          <cell r="X1300" t="str">
            <v>02387</v>
          </cell>
        </row>
        <row r="1301">
          <cell r="U1301">
            <v>1202447</v>
          </cell>
          <cell r="V1301" t="str">
            <v>12</v>
          </cell>
          <cell r="W1301" t="str">
            <v>ΒΑΜΒΑΚΙ</v>
          </cell>
          <cell r="X1301" t="str">
            <v>02447</v>
          </cell>
        </row>
        <row r="1302">
          <cell r="U1302">
            <v>1202448</v>
          </cell>
          <cell r="V1302" t="str">
            <v>12</v>
          </cell>
          <cell r="W1302" t="str">
            <v>ΒΑΜΒΑΚΙ</v>
          </cell>
          <cell r="X1302" t="str">
            <v>02448</v>
          </cell>
        </row>
        <row r="1303">
          <cell r="U1303">
            <v>1202449</v>
          </cell>
          <cell r="V1303" t="str">
            <v>12</v>
          </cell>
          <cell r="W1303" t="str">
            <v>ΒΑΜΒΑΚΙ</v>
          </cell>
          <cell r="X1303" t="str">
            <v>02449</v>
          </cell>
        </row>
        <row r="1304">
          <cell r="U1304">
            <v>1202450</v>
          </cell>
          <cell r="V1304" t="str">
            <v>12</v>
          </cell>
          <cell r="W1304" t="str">
            <v>ΒΑΜΒΑΚΙ</v>
          </cell>
          <cell r="X1304" t="str">
            <v>02450</v>
          </cell>
        </row>
        <row r="1305">
          <cell r="U1305">
            <v>1202451</v>
          </cell>
          <cell r="V1305" t="str">
            <v>12</v>
          </cell>
          <cell r="W1305" t="str">
            <v>ΒΑΜΒΑΚΙ</v>
          </cell>
          <cell r="X1305" t="str">
            <v>02451</v>
          </cell>
        </row>
        <row r="1306">
          <cell r="U1306">
            <v>1202452</v>
          </cell>
          <cell r="V1306" t="str">
            <v>12</v>
          </cell>
          <cell r="W1306" t="str">
            <v>ΒΑΜΒΑΚΙ</v>
          </cell>
          <cell r="X1306" t="str">
            <v>02452</v>
          </cell>
        </row>
        <row r="1307">
          <cell r="U1307">
            <v>1202453</v>
          </cell>
          <cell r="V1307" t="str">
            <v>12</v>
          </cell>
          <cell r="W1307" t="str">
            <v>ΒΑΜΒΑΚΙ</v>
          </cell>
          <cell r="X1307" t="str">
            <v>02453</v>
          </cell>
        </row>
        <row r="1308">
          <cell r="U1308">
            <v>1202454</v>
          </cell>
          <cell r="V1308" t="str">
            <v>12</v>
          </cell>
          <cell r="W1308" t="str">
            <v>ΒΑΜΒΑΚΙ</v>
          </cell>
          <cell r="X1308" t="str">
            <v>02454</v>
          </cell>
        </row>
        <row r="1309">
          <cell r="U1309">
            <v>1202457</v>
          </cell>
          <cell r="V1309" t="str">
            <v>12</v>
          </cell>
          <cell r="W1309" t="str">
            <v>ΒΑΜΒΑΚΙ</v>
          </cell>
          <cell r="X1309" t="str">
            <v>02457</v>
          </cell>
        </row>
        <row r="1310">
          <cell r="U1310">
            <v>1202458</v>
          </cell>
          <cell r="V1310" t="str">
            <v>12</v>
          </cell>
          <cell r="W1310" t="str">
            <v>ΒΑΜΒΑΚΙ</v>
          </cell>
          <cell r="X1310" t="str">
            <v>02458</v>
          </cell>
        </row>
        <row r="1311">
          <cell r="U1311">
            <v>1202459</v>
          </cell>
          <cell r="V1311" t="str">
            <v>12</v>
          </cell>
          <cell r="W1311" t="str">
            <v>ΒΑΜΒΑΚΙ</v>
          </cell>
          <cell r="X1311" t="str">
            <v>02459</v>
          </cell>
        </row>
        <row r="1312">
          <cell r="U1312">
            <v>1202460</v>
          </cell>
          <cell r="V1312" t="str">
            <v>12</v>
          </cell>
          <cell r="W1312" t="str">
            <v>ΒΑΜΒΑΚΙ</v>
          </cell>
          <cell r="X1312" t="str">
            <v>02460</v>
          </cell>
        </row>
        <row r="1313">
          <cell r="U1313">
            <v>1202461</v>
          </cell>
          <cell r="V1313" t="str">
            <v>12</v>
          </cell>
          <cell r="W1313" t="str">
            <v>ΒΑΜΒΑΚΙ</v>
          </cell>
          <cell r="X1313" t="str">
            <v>02461</v>
          </cell>
        </row>
        <row r="1314">
          <cell r="U1314">
            <v>1202462</v>
          </cell>
          <cell r="V1314" t="str">
            <v>12</v>
          </cell>
          <cell r="W1314" t="str">
            <v>ΒΑΜΒΑΚΙ</v>
          </cell>
          <cell r="X1314" t="str">
            <v>02462</v>
          </cell>
        </row>
        <row r="1315">
          <cell r="U1315">
            <v>1202463</v>
          </cell>
          <cell r="V1315" t="str">
            <v>12</v>
          </cell>
          <cell r="W1315" t="str">
            <v>ΒΑΜΒΑΚΙ</v>
          </cell>
          <cell r="X1315" t="str">
            <v>02463</v>
          </cell>
        </row>
        <row r="1316">
          <cell r="U1316">
            <v>1202464</v>
          </cell>
          <cell r="V1316" t="str">
            <v>12</v>
          </cell>
          <cell r="W1316" t="str">
            <v>ΒΑΜΒΑΚΙ</v>
          </cell>
          <cell r="X1316" t="str">
            <v>02464</v>
          </cell>
        </row>
        <row r="1317">
          <cell r="U1317">
            <v>1202465</v>
          </cell>
          <cell r="V1317" t="str">
            <v>12</v>
          </cell>
          <cell r="W1317" t="str">
            <v>ΒΑΜΒΑΚΙ</v>
          </cell>
          <cell r="X1317" t="str">
            <v>02465</v>
          </cell>
        </row>
        <row r="1318">
          <cell r="U1318">
            <v>1202466</v>
          </cell>
          <cell r="V1318" t="str">
            <v>12</v>
          </cell>
          <cell r="W1318" t="str">
            <v>ΒΑΜΒΑΚΙ</v>
          </cell>
          <cell r="X1318" t="str">
            <v>02466</v>
          </cell>
        </row>
        <row r="1319">
          <cell r="U1319">
            <v>1202467</v>
          </cell>
          <cell r="V1319" t="str">
            <v>12</v>
          </cell>
          <cell r="W1319" t="str">
            <v>ΒΑΜΒΑΚΙ</v>
          </cell>
          <cell r="X1319" t="str">
            <v>02467</v>
          </cell>
        </row>
        <row r="1320">
          <cell r="U1320">
            <v>1202468</v>
          </cell>
          <cell r="V1320" t="str">
            <v>12</v>
          </cell>
          <cell r="W1320" t="str">
            <v>ΒΑΜΒΑΚΙ</v>
          </cell>
          <cell r="X1320" t="str">
            <v>02468</v>
          </cell>
        </row>
        <row r="1321">
          <cell r="U1321">
            <v>1202470</v>
          </cell>
          <cell r="V1321" t="str">
            <v>12</v>
          </cell>
          <cell r="W1321" t="str">
            <v>ΒΑΜΒΑΚΙ</v>
          </cell>
          <cell r="X1321" t="str">
            <v>02470</v>
          </cell>
        </row>
        <row r="1322">
          <cell r="U1322">
            <v>1202471</v>
          </cell>
          <cell r="V1322" t="str">
            <v>12</v>
          </cell>
          <cell r="W1322" t="str">
            <v>ΒΑΜΒΑΚΙ</v>
          </cell>
          <cell r="X1322" t="str">
            <v>02471</v>
          </cell>
        </row>
        <row r="1323">
          <cell r="U1323">
            <v>1202489</v>
          </cell>
          <cell r="V1323" t="str">
            <v>12</v>
          </cell>
          <cell r="W1323" t="str">
            <v>ΒΑΜΒΑΚΙ</v>
          </cell>
          <cell r="X1323" t="str">
            <v>02489</v>
          </cell>
        </row>
        <row r="1324">
          <cell r="U1324">
            <v>1202570</v>
          </cell>
          <cell r="V1324" t="str">
            <v>12</v>
          </cell>
          <cell r="W1324" t="str">
            <v>ΒΑΜΒΑΚΙ</v>
          </cell>
          <cell r="X1324" t="str">
            <v>02570</v>
          </cell>
        </row>
        <row r="1325">
          <cell r="U1325">
            <v>1202575</v>
          </cell>
          <cell r="V1325" t="str">
            <v>12</v>
          </cell>
          <cell r="W1325" t="str">
            <v>ΒΑΜΒΑΚΙ</v>
          </cell>
          <cell r="X1325" t="str">
            <v>02575</v>
          </cell>
        </row>
        <row r="1326">
          <cell r="U1326">
            <v>1202576</v>
          </cell>
          <cell r="V1326" t="str">
            <v>12</v>
          </cell>
          <cell r="W1326" t="str">
            <v>ΒΑΜΒΑΚΙ</v>
          </cell>
          <cell r="X1326" t="str">
            <v>02576</v>
          </cell>
        </row>
        <row r="1327">
          <cell r="U1327">
            <v>1202585</v>
          </cell>
          <cell r="V1327" t="str">
            <v>12</v>
          </cell>
          <cell r="W1327" t="str">
            <v>ΒΑΜΒΑΚΙ</v>
          </cell>
          <cell r="X1327" t="str">
            <v>02585</v>
          </cell>
        </row>
        <row r="1328">
          <cell r="U1328">
            <v>1202586</v>
          </cell>
          <cell r="V1328" t="str">
            <v>12</v>
          </cell>
          <cell r="W1328" t="str">
            <v>ΒΑΜΒΑΚΙ</v>
          </cell>
          <cell r="X1328" t="str">
            <v>02586</v>
          </cell>
        </row>
        <row r="1329">
          <cell r="U1329">
            <v>1202588</v>
          </cell>
          <cell r="V1329" t="str">
            <v>12</v>
          </cell>
          <cell r="W1329" t="str">
            <v>ΒΑΜΒΑΚΙ</v>
          </cell>
          <cell r="X1329" t="str">
            <v>02588</v>
          </cell>
        </row>
        <row r="1330">
          <cell r="U1330">
            <v>1202589</v>
          </cell>
          <cell r="V1330" t="str">
            <v>12</v>
          </cell>
          <cell r="W1330" t="str">
            <v>ΒΑΜΒΑΚΙ</v>
          </cell>
          <cell r="X1330" t="str">
            <v>02589</v>
          </cell>
        </row>
        <row r="1331">
          <cell r="U1331">
            <v>1202590</v>
          </cell>
          <cell r="V1331" t="str">
            <v>12</v>
          </cell>
          <cell r="W1331" t="str">
            <v>ΒΑΜΒΑΚΙ</v>
          </cell>
          <cell r="X1331" t="str">
            <v>02590</v>
          </cell>
        </row>
        <row r="1332">
          <cell r="U1332">
            <v>1202592</v>
          </cell>
          <cell r="V1332" t="str">
            <v>12</v>
          </cell>
          <cell r="W1332" t="str">
            <v>ΒΑΜΒΑΚΙ</v>
          </cell>
          <cell r="X1332" t="str">
            <v>02592</v>
          </cell>
        </row>
        <row r="1333">
          <cell r="U1333">
            <v>1202593</v>
          </cell>
          <cell r="V1333" t="str">
            <v>12</v>
          </cell>
          <cell r="W1333" t="str">
            <v>ΒΑΜΒΑΚΙ</v>
          </cell>
          <cell r="X1333" t="str">
            <v>02593</v>
          </cell>
        </row>
        <row r="1334">
          <cell r="U1334">
            <v>1202594</v>
          </cell>
          <cell r="V1334" t="str">
            <v>12</v>
          </cell>
          <cell r="W1334" t="str">
            <v>ΒΑΜΒΑΚΙ</v>
          </cell>
          <cell r="X1334" t="str">
            <v>02594</v>
          </cell>
        </row>
        <row r="1335">
          <cell r="U1335">
            <v>1202878</v>
          </cell>
          <cell r="V1335" t="str">
            <v>12</v>
          </cell>
          <cell r="W1335" t="str">
            <v>ΒΑΜΒΑΚΙ</v>
          </cell>
          <cell r="X1335" t="str">
            <v>02878</v>
          </cell>
        </row>
        <row r="1336">
          <cell r="U1336">
            <v>1202879</v>
          </cell>
          <cell r="V1336" t="str">
            <v>12</v>
          </cell>
          <cell r="W1336" t="str">
            <v>ΒΑΜΒΑΚΙ</v>
          </cell>
          <cell r="X1336" t="str">
            <v>02879</v>
          </cell>
        </row>
        <row r="1337">
          <cell r="U1337">
            <v>1202880</v>
          </cell>
          <cell r="V1337" t="str">
            <v>12</v>
          </cell>
          <cell r="W1337" t="str">
            <v>ΒΑΜΒΑΚΙ</v>
          </cell>
          <cell r="X1337" t="str">
            <v>02880</v>
          </cell>
        </row>
        <row r="1338">
          <cell r="U1338">
            <v>1202881</v>
          </cell>
          <cell r="V1338" t="str">
            <v>12</v>
          </cell>
          <cell r="W1338" t="str">
            <v>ΒΑΜΒΑΚΙ</v>
          </cell>
          <cell r="X1338" t="str">
            <v>02881</v>
          </cell>
        </row>
        <row r="1339">
          <cell r="U1339">
            <v>1202882</v>
          </cell>
          <cell r="V1339" t="str">
            <v>12</v>
          </cell>
          <cell r="W1339" t="str">
            <v>ΒΑΜΒΑΚΙ</v>
          </cell>
          <cell r="X1339" t="str">
            <v>02882</v>
          </cell>
        </row>
        <row r="1340">
          <cell r="U1340">
            <v>1208667</v>
          </cell>
          <cell r="V1340" t="str">
            <v>12</v>
          </cell>
          <cell r="W1340" t="str">
            <v>ΒΑΜΒΑΚΙ</v>
          </cell>
          <cell r="X1340" t="str">
            <v>08667</v>
          </cell>
        </row>
        <row r="1341">
          <cell r="U1341">
            <v>1208668</v>
          </cell>
          <cell r="V1341" t="str">
            <v>12</v>
          </cell>
          <cell r="W1341" t="str">
            <v>ΒΑΜΒΑΚΙ</v>
          </cell>
          <cell r="X1341" t="str">
            <v>08668</v>
          </cell>
        </row>
        <row r="1342">
          <cell r="U1342">
            <v>1212007</v>
          </cell>
          <cell r="V1342" t="str">
            <v>12</v>
          </cell>
          <cell r="W1342" t="str">
            <v>ΒΑΜΒΑΚΙ</v>
          </cell>
          <cell r="X1342" t="str">
            <v>12007</v>
          </cell>
        </row>
        <row r="1343">
          <cell r="U1343">
            <v>1212008</v>
          </cell>
          <cell r="V1343" t="str">
            <v>12</v>
          </cell>
          <cell r="W1343" t="str">
            <v>ΒΑΜΒΑΚΙ</v>
          </cell>
          <cell r="X1343" t="str">
            <v>12008</v>
          </cell>
        </row>
        <row r="1344">
          <cell r="U1344">
            <v>1212009</v>
          </cell>
          <cell r="V1344" t="str">
            <v>12</v>
          </cell>
          <cell r="W1344" t="str">
            <v>ΒΑΜΒΑΚΙ</v>
          </cell>
          <cell r="X1344" t="str">
            <v>12009</v>
          </cell>
        </row>
        <row r="1345">
          <cell r="U1345">
            <v>1212010</v>
          </cell>
          <cell r="V1345" t="str">
            <v>12</v>
          </cell>
          <cell r="W1345" t="str">
            <v>ΒΑΜΒΑΚΙ</v>
          </cell>
          <cell r="X1345" t="str">
            <v>12010</v>
          </cell>
        </row>
        <row r="1346">
          <cell r="U1346">
            <v>1212011</v>
          </cell>
          <cell r="V1346" t="str">
            <v>12</v>
          </cell>
          <cell r="W1346" t="str">
            <v>ΒΑΜΒΑΚΙ</v>
          </cell>
          <cell r="X1346" t="str">
            <v>12011</v>
          </cell>
        </row>
        <row r="1347">
          <cell r="U1347">
            <v>1212012</v>
          </cell>
          <cell r="V1347" t="str">
            <v>12</v>
          </cell>
          <cell r="W1347" t="str">
            <v>ΒΑΜΒΑΚΙ</v>
          </cell>
          <cell r="X1347" t="str">
            <v>12012</v>
          </cell>
        </row>
        <row r="1348">
          <cell r="U1348">
            <v>1212013</v>
          </cell>
          <cell r="V1348" t="str">
            <v>12</v>
          </cell>
          <cell r="W1348" t="str">
            <v>ΒΑΜΒΑΚΙ</v>
          </cell>
          <cell r="X1348" t="str">
            <v>12013</v>
          </cell>
        </row>
        <row r="1349">
          <cell r="U1349">
            <v>1212014</v>
          </cell>
          <cell r="V1349" t="str">
            <v>12</v>
          </cell>
          <cell r="W1349" t="str">
            <v>ΒΑΜΒΑΚΙ</v>
          </cell>
          <cell r="X1349" t="str">
            <v>12014</v>
          </cell>
        </row>
        <row r="1350">
          <cell r="U1350">
            <v>1212015</v>
          </cell>
          <cell r="V1350" t="str">
            <v>12</v>
          </cell>
          <cell r="W1350" t="str">
            <v>ΒΑΜΒΑΚΙ</v>
          </cell>
          <cell r="X1350" t="str">
            <v>12015</v>
          </cell>
        </row>
        <row r="1351">
          <cell r="U1351">
            <v>1212016</v>
          </cell>
          <cell r="V1351" t="str">
            <v>12</v>
          </cell>
          <cell r="W1351" t="str">
            <v>ΒΑΜΒΑΚΙ</v>
          </cell>
          <cell r="X1351" t="str">
            <v>12016</v>
          </cell>
        </row>
        <row r="1352">
          <cell r="U1352">
            <v>1212017</v>
          </cell>
          <cell r="V1352" t="str">
            <v>12</v>
          </cell>
          <cell r="W1352" t="str">
            <v>ΒΑΜΒΑΚΙ</v>
          </cell>
          <cell r="X1352" t="str">
            <v>12017</v>
          </cell>
        </row>
        <row r="1353">
          <cell r="U1353">
            <v>1212018</v>
          </cell>
          <cell r="V1353" t="str">
            <v>12</v>
          </cell>
          <cell r="W1353" t="str">
            <v>ΒΑΜΒΑΚΙ</v>
          </cell>
          <cell r="X1353" t="str">
            <v>12018</v>
          </cell>
        </row>
        <row r="1354">
          <cell r="U1354">
            <v>1212019</v>
          </cell>
          <cell r="V1354" t="str">
            <v>12</v>
          </cell>
          <cell r="W1354" t="str">
            <v>ΒΑΜΒΑΚΙ</v>
          </cell>
          <cell r="X1354" t="str">
            <v>12019</v>
          </cell>
        </row>
        <row r="1355">
          <cell r="U1355">
            <v>1212020</v>
          </cell>
          <cell r="V1355" t="str">
            <v>12</v>
          </cell>
          <cell r="W1355" t="str">
            <v>ΒΑΜΒΑΚΙ</v>
          </cell>
          <cell r="X1355" t="str">
            <v>12020</v>
          </cell>
        </row>
        <row r="1356">
          <cell r="U1356">
            <v>1298110</v>
          </cell>
          <cell r="V1356" t="str">
            <v>12</v>
          </cell>
          <cell r="W1356" t="str">
            <v>ΒΑΜΒΑΚΙ</v>
          </cell>
          <cell r="X1356" t="str">
            <v>98110</v>
          </cell>
        </row>
        <row r="1357">
          <cell r="U1357">
            <v>1298111</v>
          </cell>
          <cell r="V1357" t="str">
            <v>12</v>
          </cell>
          <cell r="W1357" t="str">
            <v>ΒΑΜΒΑΚΙ</v>
          </cell>
          <cell r="X1357" t="str">
            <v>98111</v>
          </cell>
        </row>
        <row r="1358">
          <cell r="U1358">
            <v>1298112</v>
          </cell>
          <cell r="V1358" t="str">
            <v>12</v>
          </cell>
          <cell r="W1358" t="str">
            <v>ΒΑΜΒΑΚΙ</v>
          </cell>
          <cell r="X1358" t="str">
            <v>98112</v>
          </cell>
        </row>
        <row r="1359">
          <cell r="U1359">
            <v>1298113</v>
          </cell>
          <cell r="V1359" t="str">
            <v>12</v>
          </cell>
          <cell r="W1359" t="str">
            <v>ΒΑΜΒΑΚΙ</v>
          </cell>
          <cell r="X1359" t="str">
            <v>98113</v>
          </cell>
        </row>
        <row r="1360">
          <cell r="U1360">
            <v>1298114</v>
          </cell>
          <cell r="V1360" t="str">
            <v>12</v>
          </cell>
          <cell r="W1360" t="str">
            <v>ΒΑΜΒΑΚΙ</v>
          </cell>
          <cell r="X1360" t="str">
            <v>98114</v>
          </cell>
        </row>
        <row r="1361">
          <cell r="U1361">
            <v>1298115</v>
          </cell>
          <cell r="V1361" t="str">
            <v>12</v>
          </cell>
          <cell r="W1361" t="str">
            <v>ΒΑΜΒΑΚΙ</v>
          </cell>
          <cell r="X1361" t="str">
            <v>98115</v>
          </cell>
        </row>
        <row r="1362">
          <cell r="U1362">
            <v>1298116</v>
          </cell>
          <cell r="V1362" t="str">
            <v>12</v>
          </cell>
          <cell r="W1362" t="str">
            <v>ΒΑΜΒΑΚΙ</v>
          </cell>
          <cell r="X1362" t="str">
            <v>98116</v>
          </cell>
        </row>
        <row r="1363">
          <cell r="U1363">
            <v>1298117</v>
          </cell>
          <cell r="V1363" t="str">
            <v>12</v>
          </cell>
          <cell r="W1363" t="str">
            <v>ΒΑΜΒΑΚΙ</v>
          </cell>
          <cell r="X1363" t="str">
            <v>98117</v>
          </cell>
        </row>
        <row r="1364">
          <cell r="U1364">
            <v>1298118</v>
          </cell>
          <cell r="V1364" t="str">
            <v>12</v>
          </cell>
          <cell r="W1364" t="str">
            <v>ΒΑΜΒΑΚΙ</v>
          </cell>
          <cell r="X1364" t="str">
            <v>98118</v>
          </cell>
        </row>
        <row r="1365">
          <cell r="U1365">
            <v>1298119</v>
          </cell>
          <cell r="V1365" t="str">
            <v>12</v>
          </cell>
          <cell r="W1365" t="str">
            <v>ΒΑΜΒΑΚΙ</v>
          </cell>
          <cell r="X1365" t="str">
            <v>98119</v>
          </cell>
        </row>
        <row r="1366">
          <cell r="U1366">
            <v>1298120</v>
          </cell>
          <cell r="V1366" t="str">
            <v>12</v>
          </cell>
          <cell r="W1366" t="str">
            <v>ΒΑΜΒΑΚΙ</v>
          </cell>
          <cell r="X1366" t="str">
            <v>98120</v>
          </cell>
        </row>
        <row r="1367">
          <cell r="U1367">
            <v>1298121</v>
          </cell>
          <cell r="V1367" t="str">
            <v>12</v>
          </cell>
          <cell r="W1367" t="str">
            <v>ΒΑΜΒΑΚΙ</v>
          </cell>
          <cell r="X1367" t="str">
            <v>98121</v>
          </cell>
        </row>
        <row r="1368">
          <cell r="U1368">
            <v>1298122</v>
          </cell>
          <cell r="V1368" t="str">
            <v>12</v>
          </cell>
          <cell r="W1368" t="str">
            <v>ΒΑΜΒΑΚΙ</v>
          </cell>
          <cell r="X1368" t="str">
            <v>98122</v>
          </cell>
        </row>
        <row r="1369">
          <cell r="U1369">
            <v>1298123</v>
          </cell>
          <cell r="V1369" t="str">
            <v>12</v>
          </cell>
          <cell r="W1369" t="str">
            <v>ΒΑΜΒΑΚΙ</v>
          </cell>
          <cell r="X1369" t="str">
            <v>98123</v>
          </cell>
        </row>
        <row r="1370">
          <cell r="U1370">
            <v>1298124</v>
          </cell>
          <cell r="V1370" t="str">
            <v>12</v>
          </cell>
          <cell r="W1370" t="str">
            <v>ΒΑΜΒΑΚΙ</v>
          </cell>
          <cell r="X1370" t="str">
            <v>98124</v>
          </cell>
        </row>
        <row r="1371">
          <cell r="U1371">
            <v>1810904</v>
          </cell>
          <cell r="V1371" t="str">
            <v>18</v>
          </cell>
          <cell r="W1371" t="str">
            <v>ΤΟΜΑΤΑ ΒΙΟΜΗΧΑΝΙΚΗ</v>
          </cell>
          <cell r="X1371" t="str">
            <v>10904</v>
          </cell>
        </row>
        <row r="1372">
          <cell r="U1372">
            <v>1919001</v>
          </cell>
          <cell r="V1372" t="str">
            <v>19</v>
          </cell>
          <cell r="W1372" t="str">
            <v>ΠΟΡΤΟΚΑΛΙΑ ΠΡΟΣ ΧΥΜΟΠΟΙΗΣΗ</v>
          </cell>
          <cell r="X1372" t="str">
            <v>19001</v>
          </cell>
        </row>
        <row r="1373">
          <cell r="U1373">
            <v>1919002</v>
          </cell>
          <cell r="V1373" t="str">
            <v>19</v>
          </cell>
          <cell r="W1373" t="str">
            <v>ΠΟΡΤΟΚΑΛΙΑ ΠΡΟΣ ΧΥΜΟΠΟΙΗΣΗ</v>
          </cell>
          <cell r="X1373" t="str">
            <v>19002</v>
          </cell>
        </row>
        <row r="1374">
          <cell r="U1374">
            <v>1919003</v>
          </cell>
          <cell r="V1374" t="str">
            <v>19</v>
          </cell>
          <cell r="W1374" t="str">
            <v>ΠΟΡΤΟΚΑΛΙΑ ΠΡΟΣ ΧΥΜΟΠΟΙΗΣΗ</v>
          </cell>
          <cell r="X1374" t="str">
            <v>19003</v>
          </cell>
        </row>
        <row r="1375">
          <cell r="U1375">
            <v>1919004</v>
          </cell>
          <cell r="V1375" t="str">
            <v>19</v>
          </cell>
          <cell r="W1375" t="str">
            <v>ΠΟΡΤΟΚΑΛΙΑ ΠΡΟΣ ΧΥΜΟΠΟΙΗΣΗ</v>
          </cell>
          <cell r="X1375" t="str">
            <v>19004</v>
          </cell>
        </row>
        <row r="1376">
          <cell r="U1376">
            <v>1919005</v>
          </cell>
          <cell r="V1376" t="str">
            <v>19</v>
          </cell>
          <cell r="W1376" t="str">
            <v>ΠΟΡΤΟΚΑΛΙΑ ΠΡΟΣ ΧΥΜΟΠΟΙΗΣΗ</v>
          </cell>
          <cell r="X1376" t="str">
            <v>19005</v>
          </cell>
        </row>
        <row r="1377">
          <cell r="U1377">
            <v>1919006</v>
          </cell>
          <cell r="V1377" t="str">
            <v>19</v>
          </cell>
          <cell r="W1377" t="str">
            <v>ΠΟΡΤΟΚΑΛΙΑ ΠΡΟΣ ΧΥΜΟΠΟΙΗΣΗ</v>
          </cell>
          <cell r="X1377" t="str">
            <v>19006</v>
          </cell>
        </row>
        <row r="1378">
          <cell r="U1378">
            <v>1919007</v>
          </cell>
          <cell r="V1378" t="str">
            <v>19</v>
          </cell>
          <cell r="W1378" t="str">
            <v>ΠΟΡΤΟΚΑΛΙΑ ΠΡΟΣ ΧΥΜΟΠΟΙΗΣΗ</v>
          </cell>
          <cell r="X1378" t="str">
            <v>19007</v>
          </cell>
        </row>
        <row r="1379">
          <cell r="U1379">
            <v>1919008</v>
          </cell>
          <cell r="V1379" t="str">
            <v>19</v>
          </cell>
          <cell r="W1379" t="str">
            <v>ΠΟΡΤΟΚΑΛΙΑ ΠΡΟΣ ΧΥΜΟΠΟΙΗΣΗ</v>
          </cell>
          <cell r="X1379" t="str">
            <v>19008</v>
          </cell>
        </row>
        <row r="1380">
          <cell r="U1380">
            <v>1919009</v>
          </cell>
          <cell r="V1380" t="str">
            <v>19</v>
          </cell>
          <cell r="W1380" t="str">
            <v>ΠΟΡΤΟΚΑΛΙΑ ΠΡΟΣ ΧΥΜΟΠΟΙΗΣΗ</v>
          </cell>
          <cell r="X1380" t="str">
            <v>19009</v>
          </cell>
        </row>
        <row r="1381">
          <cell r="U1381">
            <v>1919010</v>
          </cell>
          <cell r="V1381" t="str">
            <v>19</v>
          </cell>
          <cell r="W1381" t="str">
            <v>ΠΟΡΤΟΚΑΛΙΑ ΠΡΟΣ ΧΥΜΟΠΟΙΗΣΗ</v>
          </cell>
          <cell r="X1381" t="str">
            <v>19010</v>
          </cell>
        </row>
        <row r="1382">
          <cell r="U1382">
            <v>1919011</v>
          </cell>
          <cell r="V1382" t="str">
            <v>19</v>
          </cell>
          <cell r="W1382" t="str">
            <v>ΠΟΡΤΟΚΑΛΙΑ ΠΡΟΣ ΧΥΜΟΠΟΙΗΣΗ</v>
          </cell>
          <cell r="X1382" t="str">
            <v>19011</v>
          </cell>
        </row>
        <row r="1383">
          <cell r="U1383">
            <v>1919012</v>
          </cell>
          <cell r="V1383" t="str">
            <v>19</v>
          </cell>
          <cell r="W1383" t="str">
            <v>ΠΟΡΤΟΚΑΛΙΑ ΠΡΟΣ ΧΥΜΟΠΟΙΗΣΗ</v>
          </cell>
          <cell r="X1383" t="str">
            <v>19012</v>
          </cell>
        </row>
        <row r="1384">
          <cell r="U1384">
            <v>1919013</v>
          </cell>
          <cell r="V1384" t="str">
            <v>19</v>
          </cell>
          <cell r="W1384" t="str">
            <v>ΠΟΡΤΟΚΑΛΙΑ ΠΡΟΣ ΧΥΜΟΠΟΙΗΣΗ</v>
          </cell>
          <cell r="X1384" t="str">
            <v>19013</v>
          </cell>
        </row>
        <row r="1385">
          <cell r="U1385">
            <v>1919014</v>
          </cell>
          <cell r="V1385" t="str">
            <v>19</v>
          </cell>
          <cell r="W1385" t="str">
            <v>ΠΟΡΤΟΚΑΛΙΑ ΠΡΟΣ ΧΥΜΟΠΟΙΗΣΗ</v>
          </cell>
          <cell r="X1385" t="str">
            <v>19014</v>
          </cell>
        </row>
        <row r="1386">
          <cell r="U1386">
            <v>1919015</v>
          </cell>
          <cell r="V1386" t="str">
            <v>19</v>
          </cell>
          <cell r="W1386" t="str">
            <v>ΠΟΡΤΟΚΑΛΙΑ ΠΡΟΣ ΧΥΜΟΠΟΙΗΣΗ</v>
          </cell>
          <cell r="X1386" t="str">
            <v>19015</v>
          </cell>
        </row>
        <row r="1387">
          <cell r="U1387">
            <v>1919016</v>
          </cell>
          <cell r="V1387" t="str">
            <v>19</v>
          </cell>
          <cell r="W1387" t="str">
            <v>ΠΟΡΤΟΚΑΛΙΑ ΠΡΟΣ ΧΥΜΟΠΟΙΗΣΗ</v>
          </cell>
          <cell r="X1387" t="str">
            <v>19016</v>
          </cell>
        </row>
        <row r="1388">
          <cell r="U1388">
            <v>1919017</v>
          </cell>
          <cell r="V1388" t="str">
            <v>19</v>
          </cell>
          <cell r="W1388" t="str">
            <v>ΠΟΡΤΟΚΑΛΙΑ ΠΡΟΣ ΧΥΜΟΠΟΙΗΣΗ</v>
          </cell>
          <cell r="X1388" t="str">
            <v>19017</v>
          </cell>
        </row>
        <row r="1389">
          <cell r="U1389">
            <v>2121001</v>
          </cell>
          <cell r="V1389" t="str">
            <v>21</v>
          </cell>
          <cell r="W1389" t="str">
            <v>ΑΚΡΟΔΡΥΑ (ΚΑΡΠΟΙ ΜΕ ΚΕΛΥΦΟΣ)</v>
          </cell>
          <cell r="X1389" t="str">
            <v>21001</v>
          </cell>
        </row>
        <row r="1390">
          <cell r="U1390">
            <v>2121002</v>
          </cell>
          <cell r="V1390" t="str">
            <v>21</v>
          </cell>
          <cell r="W1390" t="str">
            <v>ΑΚΡΟΔΡΥΑ (ΚΑΡΠΟΙ ΜΕ ΚΕΛΥΦΟΣ)</v>
          </cell>
          <cell r="X1390" t="str">
            <v>21002</v>
          </cell>
        </row>
        <row r="1391">
          <cell r="U1391">
            <v>2121003</v>
          </cell>
          <cell r="V1391" t="str">
            <v>21</v>
          </cell>
          <cell r="W1391" t="str">
            <v>ΑΚΡΟΔΡΥΑ (ΚΑΡΠΟΙ ΜΕ ΚΕΛΥΦΟΣ)</v>
          </cell>
          <cell r="X1391" t="str">
            <v>21003</v>
          </cell>
        </row>
        <row r="1392">
          <cell r="U1392">
            <v>2121004</v>
          </cell>
          <cell r="V1392" t="str">
            <v>21</v>
          </cell>
          <cell r="W1392" t="str">
            <v>ΑΚΡΟΔΡΥΑ (ΚΑΡΠΟΙ ΜΕ ΚΕΛΥΦΟΣ)</v>
          </cell>
          <cell r="X1392" t="str">
            <v>21004</v>
          </cell>
        </row>
        <row r="1393">
          <cell r="U1393">
            <v>2121005</v>
          </cell>
          <cell r="V1393" t="str">
            <v>21</v>
          </cell>
          <cell r="W1393" t="str">
            <v>ΑΚΡΟΔΡΥΑ (ΚΑΡΠΟΙ ΜΕ ΚΕΛΥΦΟΣ)</v>
          </cell>
          <cell r="X1393" t="str">
            <v>21005</v>
          </cell>
        </row>
        <row r="1394">
          <cell r="U1394">
            <v>2121006</v>
          </cell>
          <cell r="V1394" t="str">
            <v>21</v>
          </cell>
          <cell r="W1394" t="str">
            <v>ΑΚΡΟΔΡΥΑ (ΚΑΡΠΟΙ ΜΕ ΚΕΛΥΦΟΣ)</v>
          </cell>
          <cell r="X1394" t="str">
            <v>21006</v>
          </cell>
        </row>
        <row r="1395">
          <cell r="U1395">
            <v>2121007</v>
          </cell>
          <cell r="V1395" t="str">
            <v>21</v>
          </cell>
          <cell r="W1395" t="str">
            <v>ΑΚΡΟΔΡΥΑ (ΚΑΡΠΟΙ ΜΕ ΚΕΛΥΦΟΣ)</v>
          </cell>
          <cell r="X1395" t="str">
            <v>21007</v>
          </cell>
        </row>
        <row r="1396">
          <cell r="U1396">
            <v>2121008</v>
          </cell>
          <cell r="V1396" t="str">
            <v>21</v>
          </cell>
          <cell r="W1396" t="str">
            <v>ΑΚΡΟΔΡΥΑ (ΚΑΡΠΟΙ ΜΕ ΚΕΛΥΦΟΣ)</v>
          </cell>
          <cell r="X1396" t="str">
            <v>21008</v>
          </cell>
        </row>
        <row r="1397">
          <cell r="U1397">
            <v>2121009</v>
          </cell>
          <cell r="V1397" t="str">
            <v>21</v>
          </cell>
          <cell r="W1397" t="str">
            <v>ΑΚΡΟΔΡΥΑ (ΚΑΡΠΟΙ ΜΕ ΚΕΛΥΦΟΣ)</v>
          </cell>
          <cell r="X1397" t="str">
            <v>21009</v>
          </cell>
        </row>
        <row r="1398">
          <cell r="U1398">
            <v>2121010</v>
          </cell>
          <cell r="V1398" t="str">
            <v>21</v>
          </cell>
          <cell r="W1398" t="str">
            <v>ΑΚΡΟΔΡΥΑ (ΚΑΡΠΟΙ ΜΕ ΚΕΛΥΦΟΣ)</v>
          </cell>
          <cell r="X1398" t="str">
            <v>21010</v>
          </cell>
        </row>
        <row r="1399">
          <cell r="U1399">
            <v>2121011</v>
          </cell>
          <cell r="V1399" t="str">
            <v>21</v>
          </cell>
          <cell r="W1399" t="str">
            <v>ΑΚΡΟΔΡΥΑ (ΚΑΡΠΟΙ ΜΕ ΚΕΛΥΦΟΣ)</v>
          </cell>
          <cell r="X1399" t="str">
            <v>21011</v>
          </cell>
        </row>
        <row r="1400">
          <cell r="U1400">
            <v>2121012</v>
          </cell>
          <cell r="V1400" t="str">
            <v>21</v>
          </cell>
          <cell r="W1400" t="str">
            <v>ΑΚΡΟΔΡΥΑ (ΚΑΡΠΟΙ ΜΕ ΚΕΛΥΦΟΣ)</v>
          </cell>
          <cell r="X1400" t="str">
            <v>21012</v>
          </cell>
        </row>
        <row r="1401">
          <cell r="U1401">
            <v>2121013</v>
          </cell>
          <cell r="V1401" t="str">
            <v>21</v>
          </cell>
          <cell r="W1401" t="str">
            <v>ΑΚΡΟΔΡΥΑ (ΚΑΡΠΟΙ ΜΕ ΚΕΛΥΦΟΣ)</v>
          </cell>
          <cell r="X1401" t="str">
            <v>21013</v>
          </cell>
        </row>
        <row r="1402">
          <cell r="U1402">
            <v>2121014</v>
          </cell>
          <cell r="V1402" t="str">
            <v>21</v>
          </cell>
          <cell r="W1402" t="str">
            <v>ΑΚΡΟΔΡΥΑ (ΚΑΡΠΟΙ ΜΕ ΚΕΛΥΦΟΣ)</v>
          </cell>
          <cell r="X1402" t="str">
            <v>21014</v>
          </cell>
        </row>
        <row r="1403">
          <cell r="U1403">
            <v>2121015</v>
          </cell>
          <cell r="V1403" t="str">
            <v>21</v>
          </cell>
          <cell r="W1403" t="str">
            <v>ΑΚΡΟΔΡΥΑ (ΚΑΡΠΟΙ ΜΕ ΚΕΛΥΦΟΣ)</v>
          </cell>
          <cell r="X1403" t="str">
            <v>21015</v>
          </cell>
        </row>
        <row r="1404">
          <cell r="U1404">
            <v>2121016</v>
          </cell>
          <cell r="V1404" t="str">
            <v>21</v>
          </cell>
          <cell r="W1404" t="str">
            <v>ΑΚΡΟΔΡΥΑ (ΚΑΡΠΟΙ ΜΕ ΚΕΛΥΦΟΣ)</v>
          </cell>
          <cell r="X1404" t="str">
            <v>21016</v>
          </cell>
        </row>
        <row r="1405">
          <cell r="U1405">
            <v>2121017</v>
          </cell>
          <cell r="V1405" t="str">
            <v>21</v>
          </cell>
          <cell r="W1405" t="str">
            <v>ΑΚΡΟΔΡΥΑ (ΚΑΡΠΟΙ ΜΕ ΚΕΛΥΦΟΣ)</v>
          </cell>
          <cell r="X1405" t="str">
            <v>21017</v>
          </cell>
        </row>
        <row r="1406">
          <cell r="U1406">
            <v>2121018</v>
          </cell>
          <cell r="V1406" t="str">
            <v>21</v>
          </cell>
          <cell r="W1406" t="str">
            <v>ΑΚΡΟΔΡΥΑ (ΚΑΡΠΟΙ ΜΕ ΚΕΛΥΦΟΣ)</v>
          </cell>
          <cell r="X1406" t="str">
            <v>21018</v>
          </cell>
        </row>
        <row r="1407">
          <cell r="U1407">
            <v>2410100</v>
          </cell>
          <cell r="V1407" t="str">
            <v>24</v>
          </cell>
          <cell r="W1407" t="str">
            <v>ΓΕΩΜHΛΑ</v>
          </cell>
          <cell r="X1407" t="str">
            <v>10100</v>
          </cell>
        </row>
        <row r="1408">
          <cell r="U1408">
            <v>2510301</v>
          </cell>
          <cell r="V1408" t="str">
            <v>25</v>
          </cell>
          <cell r="W1408" t="str">
            <v>ΣΠΟΡΟΠΑΡΑΓΩΓΗ</v>
          </cell>
          <cell r="X1408" t="str">
            <v>10301</v>
          </cell>
        </row>
        <row r="1409">
          <cell r="U1409">
            <v>2510302</v>
          </cell>
          <cell r="V1409" t="str">
            <v>25</v>
          </cell>
          <cell r="W1409" t="str">
            <v>ΣΠΟΡΟΠΑΡΑΓΩΓΗ</v>
          </cell>
          <cell r="X1409" t="str">
            <v>10302</v>
          </cell>
        </row>
        <row r="1410">
          <cell r="U1410">
            <v>2510303</v>
          </cell>
          <cell r="V1410" t="str">
            <v>25</v>
          </cell>
          <cell r="W1410" t="str">
            <v>ΣΠΟΡΟΠΑΡΑΓΩΓΗ</v>
          </cell>
          <cell r="X1410" t="str">
            <v>10303</v>
          </cell>
        </row>
        <row r="1411">
          <cell r="U1411">
            <v>2510304</v>
          </cell>
          <cell r="V1411" t="str">
            <v>25</v>
          </cell>
          <cell r="W1411" t="str">
            <v>ΣΠΟΡΟΠΑΡΑΓΩΓΗ</v>
          </cell>
          <cell r="X1411" t="str">
            <v>10304</v>
          </cell>
        </row>
        <row r="1412">
          <cell r="U1412">
            <v>2525001</v>
          </cell>
          <cell r="V1412" t="str">
            <v>25</v>
          </cell>
          <cell r="W1412" t="str">
            <v>ΣΠΟΡΟΠΑΡΑΓΩΓΗ</v>
          </cell>
          <cell r="X1412" t="str">
            <v>25001</v>
          </cell>
        </row>
        <row r="1413">
          <cell r="U1413">
            <v>2525002</v>
          </cell>
          <cell r="V1413" t="str">
            <v>25</v>
          </cell>
          <cell r="W1413" t="str">
            <v>ΣΠΟΡΟΠΑΡΑΓΩΓΗ</v>
          </cell>
          <cell r="X1413" t="str">
            <v>25002</v>
          </cell>
        </row>
        <row r="1414">
          <cell r="U1414">
            <v>2525003</v>
          </cell>
          <cell r="V1414" t="str">
            <v>25</v>
          </cell>
          <cell r="W1414" t="str">
            <v>ΣΠΟΡΟΠΑΡΑΓΩΓΗ</v>
          </cell>
          <cell r="X1414" t="str">
            <v>25003</v>
          </cell>
        </row>
        <row r="1415">
          <cell r="U1415">
            <v>2525004</v>
          </cell>
          <cell r="V1415" t="str">
            <v>25</v>
          </cell>
          <cell r="W1415" t="str">
            <v>ΣΠΟΡΟΠΑΡΑΓΩΓΗ</v>
          </cell>
          <cell r="X1415" t="str">
            <v>25004</v>
          </cell>
        </row>
        <row r="1416">
          <cell r="U1416">
            <v>2525005</v>
          </cell>
          <cell r="V1416" t="str">
            <v>25</v>
          </cell>
          <cell r="W1416" t="str">
            <v>ΣΠΟΡΟΠΑΡΑΓΩΓΗ</v>
          </cell>
          <cell r="X1416" t="str">
            <v>25005</v>
          </cell>
        </row>
        <row r="1417">
          <cell r="U1417">
            <v>2525006</v>
          </cell>
          <cell r="V1417" t="str">
            <v>25</v>
          </cell>
          <cell r="W1417" t="str">
            <v>ΣΠΟΡΟΠΑΡΑΓΩΓΗ</v>
          </cell>
          <cell r="X1417" t="str">
            <v>25006</v>
          </cell>
        </row>
        <row r="1418">
          <cell r="U1418">
            <v>2525007</v>
          </cell>
          <cell r="V1418" t="str">
            <v>25</v>
          </cell>
          <cell r="W1418" t="str">
            <v>ΣΠΟΡΟΠΑΡΑΓΩΓΗ</v>
          </cell>
          <cell r="X1418" t="str">
            <v>25007</v>
          </cell>
        </row>
        <row r="1419">
          <cell r="U1419">
            <v>2525008</v>
          </cell>
          <cell r="V1419" t="str">
            <v>25</v>
          </cell>
          <cell r="W1419" t="str">
            <v>ΣΠΟΡΟΠΑΡΑΓΩΓΗ</v>
          </cell>
          <cell r="X1419" t="str">
            <v>25008</v>
          </cell>
        </row>
        <row r="1420">
          <cell r="U1420">
            <v>2525009</v>
          </cell>
          <cell r="V1420" t="str">
            <v>25</v>
          </cell>
          <cell r="W1420" t="str">
            <v>ΣΠΟΡΟΠΑΡΑΓΩΓΗ</v>
          </cell>
          <cell r="X1420" t="str">
            <v>25009</v>
          </cell>
        </row>
        <row r="1421">
          <cell r="U1421">
            <v>2525010</v>
          </cell>
          <cell r="V1421" t="str">
            <v>25</v>
          </cell>
          <cell r="W1421" t="str">
            <v>ΣΠΟΡΟΠΑΡΑΓΩΓΗ</v>
          </cell>
          <cell r="X1421" t="str">
            <v>25010</v>
          </cell>
        </row>
        <row r="1422">
          <cell r="U1422">
            <v>2525011</v>
          </cell>
          <cell r="V1422" t="str">
            <v>25</v>
          </cell>
          <cell r="W1422" t="str">
            <v>ΣΠΟΡΟΠΑΡΑΓΩΓΗ</v>
          </cell>
          <cell r="X1422" t="str">
            <v>25011</v>
          </cell>
        </row>
        <row r="1423">
          <cell r="U1423">
            <v>2525012</v>
          </cell>
          <cell r="V1423" t="str">
            <v>25</v>
          </cell>
          <cell r="W1423" t="str">
            <v>ΣΠΟΡΟΠΑΡΑΓΩΓΗ</v>
          </cell>
          <cell r="X1423" t="str">
            <v>25012</v>
          </cell>
        </row>
        <row r="1424">
          <cell r="U1424">
            <v>2525013</v>
          </cell>
          <cell r="V1424" t="str">
            <v>25</v>
          </cell>
          <cell r="W1424" t="str">
            <v>ΣΠΟΡΟΠΑΡΑΓΩΓΗ</v>
          </cell>
          <cell r="X1424" t="str">
            <v>25013</v>
          </cell>
        </row>
        <row r="1425">
          <cell r="U1425">
            <v>2525014</v>
          </cell>
          <cell r="V1425" t="str">
            <v>25</v>
          </cell>
          <cell r="W1425" t="str">
            <v>ΣΠΟΡΟΠΑΡΑΓΩΓΗ</v>
          </cell>
          <cell r="X1425" t="str">
            <v>25014</v>
          </cell>
        </row>
        <row r="1426">
          <cell r="U1426">
            <v>2525015</v>
          </cell>
          <cell r="V1426" t="str">
            <v>25</v>
          </cell>
          <cell r="W1426" t="str">
            <v>ΣΠΟΡΟΠΑΡΑΓΩΓΗ</v>
          </cell>
          <cell r="X1426" t="str">
            <v>25015</v>
          </cell>
        </row>
        <row r="1427">
          <cell r="U1427">
            <v>2525016</v>
          </cell>
          <cell r="V1427" t="str">
            <v>25</v>
          </cell>
          <cell r="W1427" t="str">
            <v>ΣΠΟΡΟΠΑΡΑΓΩΓΗ</v>
          </cell>
          <cell r="X1427" t="str">
            <v>25016</v>
          </cell>
        </row>
        <row r="1428">
          <cell r="U1428">
            <v>2525017</v>
          </cell>
          <cell r="V1428" t="str">
            <v>25</v>
          </cell>
          <cell r="W1428" t="str">
            <v>ΣΠΟΡΟΠΑΡΑΓΩΓΗ</v>
          </cell>
          <cell r="X1428" t="str">
            <v>25017</v>
          </cell>
        </row>
        <row r="1429">
          <cell r="U1429">
            <v>2525018</v>
          </cell>
          <cell r="V1429" t="str">
            <v>25</v>
          </cell>
          <cell r="W1429" t="str">
            <v>ΣΠΟΡΟΠΑΡΑΓΩΓΗ</v>
          </cell>
          <cell r="X1429" t="str">
            <v>25018</v>
          </cell>
        </row>
        <row r="1430">
          <cell r="U1430">
            <v>2525019</v>
          </cell>
          <cell r="V1430" t="str">
            <v>25</v>
          </cell>
          <cell r="W1430" t="str">
            <v>ΣΠΟΡΟΠΑΡΑΓΩΓΗ</v>
          </cell>
          <cell r="X1430" t="str">
            <v>25019</v>
          </cell>
        </row>
        <row r="1431">
          <cell r="U1431">
            <v>2525020</v>
          </cell>
          <cell r="V1431" t="str">
            <v>25</v>
          </cell>
          <cell r="W1431" t="str">
            <v>ΣΠΟΡΟΠΑΡΑΓΩΓΗ</v>
          </cell>
          <cell r="X1431" t="str">
            <v>25020</v>
          </cell>
        </row>
        <row r="1432">
          <cell r="U1432">
            <v>2525021</v>
          </cell>
          <cell r="V1432" t="str">
            <v>25</v>
          </cell>
          <cell r="W1432" t="str">
            <v>ΣΠΟΡΟΠΑΡΑΓΩΓΗ</v>
          </cell>
          <cell r="X1432" t="str">
            <v>25021</v>
          </cell>
        </row>
        <row r="1433">
          <cell r="U1433">
            <v>2525022</v>
          </cell>
          <cell r="V1433" t="str">
            <v>25</v>
          </cell>
          <cell r="W1433" t="str">
            <v>ΣΠΟΡΟΠΑΡΑΓΩΓΗ</v>
          </cell>
          <cell r="X1433" t="str">
            <v>25022</v>
          </cell>
        </row>
        <row r="1434">
          <cell r="U1434">
            <v>2525023</v>
          </cell>
          <cell r="V1434" t="str">
            <v>25</v>
          </cell>
          <cell r="W1434" t="str">
            <v>ΣΠΟΡΟΠΑΡΑΓΩΓΗ</v>
          </cell>
          <cell r="X1434" t="str">
            <v>25023</v>
          </cell>
        </row>
        <row r="1435">
          <cell r="U1435">
            <v>2525024</v>
          </cell>
          <cell r="V1435" t="str">
            <v>25</v>
          </cell>
          <cell r="W1435" t="str">
            <v>ΣΠΟΡΟΠΑΡΑΓΩΓΗ</v>
          </cell>
          <cell r="X1435" t="str">
            <v>25024</v>
          </cell>
        </row>
        <row r="1436">
          <cell r="U1436">
            <v>2525025</v>
          </cell>
          <cell r="V1436" t="str">
            <v>25</v>
          </cell>
          <cell r="W1436" t="str">
            <v>ΣΠΟΡΟΠΑΡΑΓΩΓΗ</v>
          </cell>
          <cell r="X1436" t="str">
            <v>25025</v>
          </cell>
        </row>
        <row r="1437">
          <cell r="U1437">
            <v>2525026</v>
          </cell>
          <cell r="V1437" t="str">
            <v>25</v>
          </cell>
          <cell r="W1437" t="str">
            <v>ΣΠΟΡΟΠΑΡΑΓΩΓΗ</v>
          </cell>
          <cell r="X1437" t="str">
            <v>25026</v>
          </cell>
        </row>
        <row r="1438">
          <cell r="U1438">
            <v>2525027</v>
          </cell>
          <cell r="V1438" t="str">
            <v>25</v>
          </cell>
          <cell r="W1438" t="str">
            <v>ΣΠΟΡΟΠΑΡΑΓΩΓΗ</v>
          </cell>
          <cell r="X1438" t="str">
            <v>25027</v>
          </cell>
        </row>
        <row r="1439">
          <cell r="U1439">
            <v>2525028</v>
          </cell>
          <cell r="V1439" t="str">
            <v>25</v>
          </cell>
          <cell r="W1439" t="str">
            <v>ΣΠΟΡΟΠΑΡΑΓΩΓΗ</v>
          </cell>
          <cell r="X1439" t="str">
            <v>25028</v>
          </cell>
        </row>
        <row r="1440">
          <cell r="U1440">
            <v>2525029</v>
          </cell>
          <cell r="V1440" t="str">
            <v>25</v>
          </cell>
          <cell r="W1440" t="str">
            <v>ΣΠΟΡΟΠΑΡΑΓΩΓΗ</v>
          </cell>
          <cell r="X1440" t="str">
            <v>25029</v>
          </cell>
        </row>
        <row r="1441">
          <cell r="U1441">
            <v>2525030</v>
          </cell>
          <cell r="V1441" t="str">
            <v>25</v>
          </cell>
          <cell r="W1441" t="str">
            <v>ΣΠΟΡΟΠΑΡΑΓΩΓΗ</v>
          </cell>
          <cell r="X1441" t="str">
            <v>25030</v>
          </cell>
        </row>
        <row r="1442">
          <cell r="U1442">
            <v>2525031</v>
          </cell>
          <cell r="V1442" t="str">
            <v>25</v>
          </cell>
          <cell r="W1442" t="str">
            <v>ΣΠΟΡΟΠΑΡΑΓΩΓΗ</v>
          </cell>
          <cell r="X1442" t="str">
            <v>25031</v>
          </cell>
        </row>
        <row r="1443">
          <cell r="U1443">
            <v>2525032</v>
          </cell>
          <cell r="V1443" t="str">
            <v>25</v>
          </cell>
          <cell r="W1443" t="str">
            <v>ΣΠΟΡΟΠΑΡΑΓΩΓΗ</v>
          </cell>
          <cell r="X1443" t="str">
            <v>25032</v>
          </cell>
        </row>
        <row r="1444">
          <cell r="U1444">
            <v>2525033</v>
          </cell>
          <cell r="V1444" t="str">
            <v>25</v>
          </cell>
          <cell r="W1444" t="str">
            <v>ΣΠΟΡΟΠΑΡΑΓΩΓΗ</v>
          </cell>
          <cell r="X1444" t="str">
            <v>25033</v>
          </cell>
        </row>
        <row r="1445">
          <cell r="U1445">
            <v>2525034</v>
          </cell>
          <cell r="V1445" t="str">
            <v>25</v>
          </cell>
          <cell r="W1445" t="str">
            <v>ΣΠΟΡΟΠΑΡΑΓΩΓΗ</v>
          </cell>
          <cell r="X1445" t="str">
            <v>25034</v>
          </cell>
        </row>
        <row r="1446">
          <cell r="U1446">
            <v>2525035</v>
          </cell>
          <cell r="V1446" t="str">
            <v>25</v>
          </cell>
          <cell r="W1446" t="str">
            <v>ΣΠΟΡΟΠΑΡΑΓΩΓΗ</v>
          </cell>
          <cell r="X1446" t="str">
            <v>25035</v>
          </cell>
        </row>
        <row r="1447">
          <cell r="U1447">
            <v>2525036</v>
          </cell>
          <cell r="V1447" t="str">
            <v>25</v>
          </cell>
          <cell r="W1447" t="str">
            <v>ΣΠΟΡΟΠΑΡΑΓΩΓΗ</v>
          </cell>
          <cell r="X1447" t="str">
            <v>25036</v>
          </cell>
        </row>
        <row r="1448">
          <cell r="U1448">
            <v>2525037</v>
          </cell>
          <cell r="V1448" t="str">
            <v>25</v>
          </cell>
          <cell r="W1448" t="str">
            <v>ΣΠΟΡΟΠΑΡΑΓΩΓΗ</v>
          </cell>
          <cell r="X1448" t="str">
            <v>25037</v>
          </cell>
        </row>
        <row r="1449">
          <cell r="U1449">
            <v>2525038</v>
          </cell>
          <cell r="V1449" t="str">
            <v>25</v>
          </cell>
          <cell r="W1449" t="str">
            <v>ΣΠΟΡΟΠΑΡΑΓΩΓΗ</v>
          </cell>
          <cell r="X1449" t="str">
            <v>25038</v>
          </cell>
        </row>
        <row r="1450">
          <cell r="U1450">
            <v>2525039</v>
          </cell>
          <cell r="V1450" t="str">
            <v>25</v>
          </cell>
          <cell r="W1450" t="str">
            <v>ΣΠΟΡΟΠΑΡΑΓΩΓΗ</v>
          </cell>
          <cell r="X1450" t="str">
            <v>25039</v>
          </cell>
        </row>
        <row r="1451">
          <cell r="U1451">
            <v>2525040</v>
          </cell>
          <cell r="V1451" t="str">
            <v>25</v>
          </cell>
          <cell r="W1451" t="str">
            <v>ΣΠΟΡΟΠΑΡΑΓΩΓΗ</v>
          </cell>
          <cell r="X1451" t="str">
            <v>25040</v>
          </cell>
        </row>
        <row r="1452">
          <cell r="U1452">
            <v>2525041</v>
          </cell>
          <cell r="V1452" t="str">
            <v>25</v>
          </cell>
          <cell r="W1452" t="str">
            <v>ΣΠΟΡΟΠΑΡΑΓΩΓΗ</v>
          </cell>
          <cell r="X1452" t="str">
            <v>25041</v>
          </cell>
        </row>
        <row r="1453">
          <cell r="U1453">
            <v>2818217</v>
          </cell>
          <cell r="V1453" t="str">
            <v>28.1</v>
          </cell>
          <cell r="W1453" t="str">
            <v>ΑΜΠΕΛΩΝΕΣ ΓΙΑ ΠΑΡΑΓΩΓΗ ΣΤΑΦΙΔΑΣ</v>
          </cell>
          <cell r="X1453" t="str">
            <v>8217</v>
          </cell>
        </row>
        <row r="1454">
          <cell r="U1454">
            <v>2818218</v>
          </cell>
          <cell r="V1454" t="str">
            <v>28.1</v>
          </cell>
          <cell r="W1454" t="str">
            <v>ΑΜΠΕΛΩΝΕΣ ΓΙΑ ΠΑΡΑΓΩΓΗ ΣΤΑΦΙΔΑΣ</v>
          </cell>
          <cell r="X1454" t="str">
            <v>8218</v>
          </cell>
        </row>
        <row r="1455">
          <cell r="U1455">
            <v>3131001</v>
          </cell>
          <cell r="V1455" t="str">
            <v>3.1</v>
          </cell>
          <cell r="W1455" t="str">
            <v>ΑΡΑΒΟΣΙΤΟΣ</v>
          </cell>
          <cell r="X1455" t="str">
            <v>31001</v>
          </cell>
        </row>
        <row r="1456">
          <cell r="U1456">
            <v>3131002</v>
          </cell>
          <cell r="V1456" t="str">
            <v>3.1</v>
          </cell>
          <cell r="W1456" t="str">
            <v>ΑΡΑΒΟΣΙΤΟΣ</v>
          </cell>
          <cell r="X1456" t="str">
            <v>31002</v>
          </cell>
        </row>
        <row r="1457">
          <cell r="U1457">
            <v>3131003</v>
          </cell>
          <cell r="V1457" t="str">
            <v>3.1</v>
          </cell>
          <cell r="W1457" t="str">
            <v>ΑΡΑΒΟΣΙΤΟΣ</v>
          </cell>
          <cell r="X1457" t="str">
            <v>31003</v>
          </cell>
        </row>
        <row r="1458">
          <cell r="U1458">
            <v>3131004</v>
          </cell>
          <cell r="V1458" t="str">
            <v>3.1</v>
          </cell>
          <cell r="W1458" t="str">
            <v>ΑΡΑΒΟΣΙΤΟΣ</v>
          </cell>
          <cell r="X1458" t="str">
            <v>31004</v>
          </cell>
        </row>
        <row r="1459">
          <cell r="U1459">
            <v>3131005</v>
          </cell>
          <cell r="V1459" t="str">
            <v>3.1</v>
          </cell>
          <cell r="W1459" t="str">
            <v>ΑΡΑΒΟΣΙΤΟΣ</v>
          </cell>
          <cell r="X1459" t="str">
            <v>31005</v>
          </cell>
        </row>
        <row r="1460">
          <cell r="U1460">
            <v>3131006</v>
          </cell>
          <cell r="V1460" t="str">
            <v>3.1</v>
          </cell>
          <cell r="W1460" t="str">
            <v>ΑΡΑΒΟΣΙΤΟΣ</v>
          </cell>
          <cell r="X1460" t="str">
            <v>31006</v>
          </cell>
        </row>
        <row r="1461">
          <cell r="U1461">
            <v>3131007</v>
          </cell>
          <cell r="V1461" t="str">
            <v>3.1</v>
          </cell>
          <cell r="W1461" t="str">
            <v>ΑΡΑΒΟΣΙΤΟΣ</v>
          </cell>
          <cell r="X1461" t="str">
            <v>31007</v>
          </cell>
        </row>
        <row r="1462">
          <cell r="U1462">
            <v>3131008</v>
          </cell>
          <cell r="V1462" t="str">
            <v>3.1</v>
          </cell>
          <cell r="W1462" t="str">
            <v>ΑΡΑΒΟΣΙΤΟΣ</v>
          </cell>
          <cell r="X1462" t="str">
            <v>31008</v>
          </cell>
        </row>
        <row r="1463">
          <cell r="U1463">
            <v>3131009</v>
          </cell>
          <cell r="V1463" t="str">
            <v>3.1</v>
          </cell>
          <cell r="W1463" t="str">
            <v>ΑΡΑΒΟΣΙΤΟΣ</v>
          </cell>
          <cell r="X1463" t="str">
            <v>31009</v>
          </cell>
        </row>
        <row r="1464">
          <cell r="U1464">
            <v>3131010</v>
          </cell>
          <cell r="V1464" t="str">
            <v>3.1</v>
          </cell>
          <cell r="W1464" t="str">
            <v>ΑΡΑΒΟΣΙΤΟΣ</v>
          </cell>
          <cell r="X1464" t="str">
            <v>31010</v>
          </cell>
        </row>
        <row r="1465">
          <cell r="U1465">
            <v>3131011</v>
          </cell>
          <cell r="V1465" t="str">
            <v>3.1</v>
          </cell>
          <cell r="W1465" t="str">
            <v>ΑΡΑΒΟΣΙΤΟΣ</v>
          </cell>
          <cell r="X1465" t="str">
            <v>31011</v>
          </cell>
        </row>
        <row r="1466">
          <cell r="U1466">
            <v>3131012</v>
          </cell>
          <cell r="V1466" t="str">
            <v>3.1</v>
          </cell>
          <cell r="W1466" t="str">
            <v>ΑΡΑΒΟΣΙΤΟΣ</v>
          </cell>
          <cell r="X1466" t="str">
            <v>31012</v>
          </cell>
        </row>
        <row r="1467">
          <cell r="U1467">
            <v>3131013</v>
          </cell>
          <cell r="V1467" t="str">
            <v>3.1</v>
          </cell>
          <cell r="W1467" t="str">
            <v>ΑΡΑΒΟΣΙΤΟΣ</v>
          </cell>
          <cell r="X1467" t="str">
            <v>31013</v>
          </cell>
        </row>
        <row r="1468">
          <cell r="U1468">
            <v>3131014</v>
          </cell>
          <cell r="V1468" t="str">
            <v>3.1</v>
          </cell>
          <cell r="W1468" t="str">
            <v>ΑΡΑΒΟΣΙΤΟΣ</v>
          </cell>
          <cell r="X1468" t="str">
            <v>31014</v>
          </cell>
        </row>
        <row r="1469">
          <cell r="U1469">
            <v>3131015</v>
          </cell>
          <cell r="V1469" t="str">
            <v>3.1</v>
          </cell>
          <cell r="W1469" t="str">
            <v>ΑΡΑΒΟΣΙΤΟΣ</v>
          </cell>
          <cell r="X1469" t="str">
            <v>31015</v>
          </cell>
        </row>
        <row r="1470">
          <cell r="U1470">
            <v>3131016</v>
          </cell>
          <cell r="V1470" t="str">
            <v>3.1</v>
          </cell>
          <cell r="W1470" t="str">
            <v>ΑΡΑΒΟΣΙΤΟΣ</v>
          </cell>
          <cell r="X1470" t="str">
            <v>31016</v>
          </cell>
        </row>
        <row r="1471">
          <cell r="U1471">
            <v>3131017</v>
          </cell>
          <cell r="V1471" t="str">
            <v>3.1</v>
          </cell>
          <cell r="W1471" t="str">
            <v>ΑΡΑΒΟΣΙΤΟΣ</v>
          </cell>
          <cell r="X1471" t="str">
            <v>31017</v>
          </cell>
        </row>
        <row r="1472">
          <cell r="U1472">
            <v>3131018</v>
          </cell>
          <cell r="V1472" t="str">
            <v>3.1</v>
          </cell>
          <cell r="W1472" t="str">
            <v>ΑΡΑΒΟΣΙΤΟΣ</v>
          </cell>
          <cell r="X1472" t="str">
            <v>31018</v>
          </cell>
        </row>
        <row r="1473">
          <cell r="U1473">
            <v>3131019</v>
          </cell>
          <cell r="V1473" t="str">
            <v>3.1</v>
          </cell>
          <cell r="W1473" t="str">
            <v>ΑΡΑΒΟΣΙΤΟΣ</v>
          </cell>
          <cell r="X1473" t="str">
            <v>31019</v>
          </cell>
        </row>
        <row r="1474">
          <cell r="U1474">
            <v>3131021</v>
          </cell>
          <cell r="V1474" t="str">
            <v>3.1</v>
          </cell>
          <cell r="W1474" t="str">
            <v>ΑΡΑΒΟΣΙΤΟΣ</v>
          </cell>
          <cell r="X1474" t="str">
            <v>31021</v>
          </cell>
        </row>
        <row r="1475">
          <cell r="U1475">
            <v>3131022</v>
          </cell>
          <cell r="V1475" t="str">
            <v>3.1</v>
          </cell>
          <cell r="W1475" t="str">
            <v>ΑΡΑΒΟΣΙΤΟΣ</v>
          </cell>
          <cell r="X1475" t="str">
            <v>31022</v>
          </cell>
        </row>
        <row r="1476">
          <cell r="U1476">
            <v>3131023</v>
          </cell>
          <cell r="V1476" t="str">
            <v>3.1</v>
          </cell>
          <cell r="W1476" t="str">
            <v>ΑΡΑΒΟΣΙΤΟΣ</v>
          </cell>
          <cell r="X1476" t="str">
            <v>31023</v>
          </cell>
        </row>
        <row r="1477">
          <cell r="U1477">
            <v>3131024</v>
          </cell>
          <cell r="V1477" t="str">
            <v>3.1</v>
          </cell>
          <cell r="W1477" t="str">
            <v>ΑΡΑΒΟΣΙΤΟΣ</v>
          </cell>
          <cell r="X1477" t="str">
            <v>31024</v>
          </cell>
        </row>
        <row r="1478">
          <cell r="U1478">
            <v>3131025</v>
          </cell>
          <cell r="V1478" t="str">
            <v>3.1</v>
          </cell>
          <cell r="W1478" t="str">
            <v>ΑΡΑΒΟΣΙΤΟΣ</v>
          </cell>
          <cell r="X1478" t="str">
            <v>31025</v>
          </cell>
        </row>
        <row r="1479">
          <cell r="U1479">
            <v>3131026</v>
          </cell>
          <cell r="V1479" t="str">
            <v>3.1</v>
          </cell>
          <cell r="W1479" t="str">
            <v>ΑΡΑΒΟΣΙΤΟΣ</v>
          </cell>
          <cell r="X1479" t="str">
            <v>31026</v>
          </cell>
        </row>
        <row r="1480">
          <cell r="U1480">
            <v>3131027</v>
          </cell>
          <cell r="V1480" t="str">
            <v>3.1</v>
          </cell>
          <cell r="W1480" t="str">
            <v>ΑΡΑΒΟΣΙΤΟΣ</v>
          </cell>
          <cell r="X1480" t="str">
            <v>31027</v>
          </cell>
        </row>
        <row r="1481">
          <cell r="U1481">
            <v>3131028</v>
          </cell>
          <cell r="V1481" t="str">
            <v>3.1</v>
          </cell>
          <cell r="W1481" t="str">
            <v>ΑΡΑΒΟΣΙΤΟΣ</v>
          </cell>
          <cell r="X1481" t="str">
            <v>31028</v>
          </cell>
        </row>
        <row r="1482">
          <cell r="U1482">
            <v>3131029</v>
          </cell>
          <cell r="V1482" t="str">
            <v>3.1</v>
          </cell>
          <cell r="W1482" t="str">
            <v>ΑΡΑΒΟΣΙΤΟΣ</v>
          </cell>
          <cell r="X1482" t="str">
            <v>31029</v>
          </cell>
        </row>
        <row r="1483">
          <cell r="U1483">
            <v>3131030</v>
          </cell>
          <cell r="V1483" t="str">
            <v>3.1</v>
          </cell>
          <cell r="W1483" t="str">
            <v>ΑΡΑΒΟΣΙΤΟΣ</v>
          </cell>
          <cell r="X1483" t="str">
            <v>31030</v>
          </cell>
        </row>
        <row r="1484">
          <cell r="U1484">
            <v>3626005</v>
          </cell>
          <cell r="V1484" t="str">
            <v>36.2</v>
          </cell>
          <cell r="W1484" t="str">
            <v>ΑΜΠΕΛΩΝΕΣ ΓΙΑ ΠΑΡΑΓΩΓΗ ΟΙΝΟΥ</v>
          </cell>
          <cell r="X1484" t="str">
            <v>6005</v>
          </cell>
        </row>
        <row r="1485">
          <cell r="U1485">
            <v>3628201</v>
          </cell>
          <cell r="V1485" t="str">
            <v>36.2</v>
          </cell>
          <cell r="W1485" t="str">
            <v>ΑΜΠΕΛΩΝΕΣ ΓΙΑ ΠΑΡΑΓΩΓΗ ΟΙΝΟΥ</v>
          </cell>
          <cell r="X1485" t="str">
            <v>8201</v>
          </cell>
        </row>
        <row r="1486">
          <cell r="U1486">
            <v>3638202</v>
          </cell>
          <cell r="V1486" t="str">
            <v>36.3</v>
          </cell>
          <cell r="W1486" t="str">
            <v>ΑΜΠΕΛΩΝΕΣ ΓΙΑ ΕΠΙΤΡΑΠΕΖΙΑ ΧΡΗΣΗ</v>
          </cell>
          <cell r="X1486" t="str">
            <v>8202</v>
          </cell>
        </row>
        <row r="1487">
          <cell r="U1487">
            <v>3710912</v>
          </cell>
          <cell r="V1487" t="str">
            <v>37</v>
          </cell>
          <cell r="W1487" t="str">
            <v>ΕΣΠΕΡΙΔΟΕΙΔΗ</v>
          </cell>
          <cell r="X1487" t="str">
            <v>10912</v>
          </cell>
        </row>
        <row r="1488">
          <cell r="U1488">
            <v>3710914</v>
          </cell>
          <cell r="V1488" t="str">
            <v>37</v>
          </cell>
          <cell r="W1488" t="str">
            <v>ΕΣΠΕΡΙΔΟΕΙΔΗ</v>
          </cell>
          <cell r="X1488" t="str">
            <v>10914</v>
          </cell>
        </row>
        <row r="1489">
          <cell r="U1489">
            <v>3710915</v>
          </cell>
          <cell r="V1489" t="str">
            <v>37</v>
          </cell>
          <cell r="W1489" t="str">
            <v>ΕΣΠΕΡΙΔΟΕΙΔΗ</v>
          </cell>
          <cell r="X1489" t="str">
            <v>10915</v>
          </cell>
        </row>
        <row r="1490">
          <cell r="U1490">
            <v>3710916</v>
          </cell>
          <cell r="V1490" t="str">
            <v>37</v>
          </cell>
          <cell r="W1490" t="str">
            <v>ΕΣΠΕΡΙΔΟΕΙΔΗ</v>
          </cell>
          <cell r="X1490" t="str">
            <v>10916</v>
          </cell>
        </row>
        <row r="1491">
          <cell r="U1491">
            <v>3710917</v>
          </cell>
          <cell r="V1491" t="str">
            <v>37</v>
          </cell>
          <cell r="W1491" t="str">
            <v>ΕΣΠΕΡΙΔΟΕΙΔΗ</v>
          </cell>
          <cell r="X1491" t="str">
            <v>10917</v>
          </cell>
        </row>
        <row r="1492">
          <cell r="U1492">
            <v>3737002</v>
          </cell>
          <cell r="V1492" t="str">
            <v>37</v>
          </cell>
          <cell r="W1492" t="str">
            <v>ΕΣΠΕΡΙΔΟΕΙΔΗ</v>
          </cell>
          <cell r="X1492" t="str">
            <v>37002</v>
          </cell>
        </row>
        <row r="1493">
          <cell r="U1493">
            <v>3737003</v>
          </cell>
          <cell r="V1493" t="str">
            <v>37</v>
          </cell>
          <cell r="W1493" t="str">
            <v>ΕΣΠΕΡΙΔΟΕΙΔΗ</v>
          </cell>
          <cell r="X1493" t="str">
            <v>37003</v>
          </cell>
        </row>
        <row r="1494">
          <cell r="U1494">
            <v>3737004</v>
          </cell>
          <cell r="V1494" t="str">
            <v>37</v>
          </cell>
          <cell r="W1494" t="str">
            <v>ΕΣΠΕΡΙΔΟΕΙΔΗ</v>
          </cell>
          <cell r="X1494" t="str">
            <v>37004</v>
          </cell>
        </row>
        <row r="1495">
          <cell r="U1495">
            <v>3737005</v>
          </cell>
          <cell r="V1495" t="str">
            <v>37</v>
          </cell>
          <cell r="W1495" t="str">
            <v>ΕΣΠΕΡΙΔΟΕΙΔΗ</v>
          </cell>
          <cell r="X1495" t="str">
            <v>37005</v>
          </cell>
        </row>
        <row r="1496">
          <cell r="U1496">
            <v>3737006</v>
          </cell>
          <cell r="V1496" t="str">
            <v>37</v>
          </cell>
          <cell r="W1496" t="str">
            <v>ΕΣΠΕΡΙΔΟΕΙΔΗ</v>
          </cell>
          <cell r="X1496" t="str">
            <v>37006</v>
          </cell>
        </row>
        <row r="1497">
          <cell r="U1497">
            <v>3737007</v>
          </cell>
          <cell r="V1497" t="str">
            <v>37</v>
          </cell>
          <cell r="W1497" t="str">
            <v>ΕΣΠΕΡΙΔΟΕΙΔΗ</v>
          </cell>
          <cell r="X1497" t="str">
            <v>37007</v>
          </cell>
        </row>
        <row r="1498">
          <cell r="U1498">
            <v>3737008</v>
          </cell>
          <cell r="V1498" t="str">
            <v>37</v>
          </cell>
          <cell r="W1498" t="str">
            <v>ΕΣΠΕΡΙΔΟΕΙΔΗ</v>
          </cell>
          <cell r="X1498" t="str">
            <v>37008</v>
          </cell>
        </row>
        <row r="1499">
          <cell r="U1499">
            <v>3737009</v>
          </cell>
          <cell r="V1499" t="str">
            <v>37</v>
          </cell>
          <cell r="W1499" t="str">
            <v>ΕΣΠΕΡΙΔΟΕΙΔΗ</v>
          </cell>
          <cell r="X1499" t="str">
            <v>37009</v>
          </cell>
        </row>
        <row r="1500">
          <cell r="U1500">
            <v>3737010</v>
          </cell>
          <cell r="V1500" t="str">
            <v>37</v>
          </cell>
          <cell r="W1500" t="str">
            <v>ΕΣΠΕΡΙΔΟΕΙΔΗ</v>
          </cell>
          <cell r="X1500" t="str">
            <v>37010</v>
          </cell>
        </row>
        <row r="1501">
          <cell r="U1501">
            <v>3737011</v>
          </cell>
          <cell r="V1501" t="str">
            <v>37</v>
          </cell>
          <cell r="W1501" t="str">
            <v>ΕΣΠΕΡΙΔΟΕΙΔΗ</v>
          </cell>
          <cell r="X1501" t="str">
            <v>37011</v>
          </cell>
        </row>
        <row r="1502">
          <cell r="U1502">
            <v>3737012</v>
          </cell>
          <cell r="V1502" t="str">
            <v>37</v>
          </cell>
          <cell r="W1502" t="str">
            <v>ΕΣΠΕΡΙΔΟΕΙΔΗ</v>
          </cell>
          <cell r="X1502" t="str">
            <v>37012</v>
          </cell>
        </row>
        <row r="1503">
          <cell r="U1503">
            <v>3737013</v>
          </cell>
          <cell r="V1503" t="str">
            <v>37</v>
          </cell>
          <cell r="W1503" t="str">
            <v>ΕΣΠΕΡΙΔΟΕΙΔΗ</v>
          </cell>
          <cell r="X1503" t="str">
            <v>37013</v>
          </cell>
        </row>
        <row r="1504">
          <cell r="U1504">
            <v>3737014</v>
          </cell>
          <cell r="V1504" t="str">
            <v>37</v>
          </cell>
          <cell r="W1504" t="str">
            <v>ΕΣΠΕΡΙΔΟΕΙΔΗ</v>
          </cell>
          <cell r="X1504" t="str">
            <v>37014</v>
          </cell>
        </row>
        <row r="1505">
          <cell r="U1505">
            <v>3737016</v>
          </cell>
          <cell r="V1505" t="str">
            <v>37</v>
          </cell>
          <cell r="W1505" t="str">
            <v>ΕΣΠΕΡΙΔΟΕΙΔΗ</v>
          </cell>
          <cell r="X1505" t="str">
            <v>37016</v>
          </cell>
        </row>
        <row r="1506">
          <cell r="U1506">
            <v>3737017</v>
          </cell>
          <cell r="V1506" t="str">
            <v>37</v>
          </cell>
          <cell r="W1506" t="str">
            <v>ΕΣΠΕΡΙΔΟΕΙΔΗ</v>
          </cell>
          <cell r="X1506" t="str">
            <v>37017</v>
          </cell>
        </row>
        <row r="1507">
          <cell r="U1507">
            <v>3737018</v>
          </cell>
          <cell r="V1507" t="str">
            <v>37</v>
          </cell>
          <cell r="W1507" t="str">
            <v>ΕΣΠΕΡΙΔΟΕΙΔΗ</v>
          </cell>
          <cell r="X1507" t="str">
            <v>37018</v>
          </cell>
        </row>
        <row r="1508">
          <cell r="U1508">
            <v>3737019</v>
          </cell>
          <cell r="V1508" t="str">
            <v>37</v>
          </cell>
          <cell r="W1508" t="str">
            <v>ΕΣΠΕΡΙΔΟΕΙΔΗ</v>
          </cell>
          <cell r="X1508" t="str">
            <v>37019</v>
          </cell>
        </row>
        <row r="1509">
          <cell r="U1509">
            <v>3737020</v>
          </cell>
          <cell r="V1509" t="str">
            <v>37</v>
          </cell>
          <cell r="W1509" t="str">
            <v>ΕΣΠΕΡΙΔΟΕΙΔΗ</v>
          </cell>
          <cell r="X1509" t="str">
            <v>37020</v>
          </cell>
        </row>
        <row r="1510">
          <cell r="U1510">
            <v>3737021</v>
          </cell>
          <cell r="V1510" t="str">
            <v>37</v>
          </cell>
          <cell r="W1510" t="str">
            <v>ΕΣΠΕΡΙΔΟΕΙΔΗ</v>
          </cell>
          <cell r="X1510" t="str">
            <v>37021</v>
          </cell>
        </row>
        <row r="1511">
          <cell r="U1511">
            <v>3737022</v>
          </cell>
          <cell r="V1511" t="str">
            <v>37</v>
          </cell>
          <cell r="W1511" t="str">
            <v>ΕΣΠΕΡΙΔΟΕΙΔΗ</v>
          </cell>
          <cell r="X1511" t="str">
            <v>37022</v>
          </cell>
        </row>
        <row r="1512">
          <cell r="U1512">
            <v>3737023</v>
          </cell>
          <cell r="V1512" t="str">
            <v>37</v>
          </cell>
          <cell r="W1512" t="str">
            <v>ΕΣΠΕΡΙΔΟΕΙΔΗ</v>
          </cell>
          <cell r="X1512" t="str">
            <v>37023</v>
          </cell>
        </row>
        <row r="1513">
          <cell r="U1513">
            <v>3737024</v>
          </cell>
          <cell r="V1513" t="str">
            <v>37</v>
          </cell>
          <cell r="W1513" t="str">
            <v>ΕΣΠΕΡΙΔΟΕΙΔΗ</v>
          </cell>
          <cell r="X1513" t="str">
            <v>37024</v>
          </cell>
        </row>
        <row r="1514">
          <cell r="U1514">
            <v>3737025</v>
          </cell>
          <cell r="V1514" t="str">
            <v>37</v>
          </cell>
          <cell r="W1514" t="str">
            <v>ΕΣΠΕΡΙΔΟΕΙΔΗ</v>
          </cell>
          <cell r="X1514" t="str">
            <v>37025</v>
          </cell>
        </row>
        <row r="1515">
          <cell r="U1515">
            <v>3737026</v>
          </cell>
          <cell r="V1515" t="str">
            <v>37</v>
          </cell>
          <cell r="W1515" t="str">
            <v>ΕΣΠΕΡΙΔΟΕΙΔΗ</v>
          </cell>
          <cell r="X1515" t="str">
            <v>37026</v>
          </cell>
        </row>
        <row r="1516">
          <cell r="U1516">
            <v>3737027</v>
          </cell>
          <cell r="V1516" t="str">
            <v>37</v>
          </cell>
          <cell r="W1516" t="str">
            <v>ΕΣΠΕΡΙΔΟΕΙΔΗ</v>
          </cell>
          <cell r="X1516" t="str">
            <v>37027</v>
          </cell>
        </row>
        <row r="1517">
          <cell r="U1517">
            <v>3737028</v>
          </cell>
          <cell r="V1517" t="str">
            <v>37</v>
          </cell>
          <cell r="W1517" t="str">
            <v>ΕΣΠΕΡΙΔΟΕΙΔΗ</v>
          </cell>
          <cell r="X1517" t="str">
            <v>37028</v>
          </cell>
        </row>
        <row r="1518">
          <cell r="U1518">
            <v>3737029</v>
          </cell>
          <cell r="V1518" t="str">
            <v>37</v>
          </cell>
          <cell r="W1518" t="str">
            <v>ΕΣΠΕΡΙΔΟΕΙΔΗ</v>
          </cell>
          <cell r="X1518" t="str">
            <v>37029</v>
          </cell>
        </row>
        <row r="1519">
          <cell r="U1519">
            <v>3737030</v>
          </cell>
          <cell r="V1519" t="str">
            <v>37</v>
          </cell>
          <cell r="W1519" t="str">
            <v>ΕΣΠΕΡΙΔΟΕΙΔΗ</v>
          </cell>
          <cell r="X1519" t="str">
            <v>37030</v>
          </cell>
        </row>
        <row r="1520">
          <cell r="U1520">
            <v>3737031</v>
          </cell>
          <cell r="V1520" t="str">
            <v>37</v>
          </cell>
          <cell r="W1520" t="str">
            <v>ΕΣΠΕΡΙΔΟΕΙΔΗ</v>
          </cell>
          <cell r="X1520" t="str">
            <v>37031</v>
          </cell>
        </row>
        <row r="1521">
          <cell r="U1521">
            <v>3737032</v>
          </cell>
          <cell r="V1521" t="str">
            <v>37</v>
          </cell>
          <cell r="W1521" t="str">
            <v>ΕΣΠΕΡΙΔΟΕΙΔΗ</v>
          </cell>
          <cell r="X1521" t="str">
            <v>37032</v>
          </cell>
        </row>
        <row r="1522">
          <cell r="U1522">
            <v>3810195</v>
          </cell>
          <cell r="V1522" t="str">
            <v>38</v>
          </cell>
          <cell r="W1522" t="str">
            <v>ΚΗΠΕΥΤΙΚΑ</v>
          </cell>
          <cell r="X1522" t="str">
            <v>10195</v>
          </cell>
        </row>
        <row r="1523">
          <cell r="U1523">
            <v>3810196</v>
          </cell>
          <cell r="V1523" t="str">
            <v>38</v>
          </cell>
          <cell r="W1523" t="str">
            <v>ΚΗΠΕΥΤΙΚΑ</v>
          </cell>
          <cell r="X1523" t="str">
            <v>10196</v>
          </cell>
        </row>
        <row r="1524">
          <cell r="U1524">
            <v>3810197</v>
          </cell>
          <cell r="V1524" t="str">
            <v>38</v>
          </cell>
          <cell r="W1524" t="str">
            <v>ΚΗΠΕΥΤΙΚΑ</v>
          </cell>
          <cell r="X1524" t="str">
            <v>10197</v>
          </cell>
        </row>
        <row r="1525">
          <cell r="U1525">
            <v>3810198</v>
          </cell>
          <cell r="V1525" t="str">
            <v>38</v>
          </cell>
          <cell r="W1525" t="str">
            <v>ΚΗΠΕΥΤΙΚΑ</v>
          </cell>
          <cell r="X1525" t="str">
            <v>10198</v>
          </cell>
        </row>
        <row r="1526">
          <cell r="U1526">
            <v>3810199</v>
          </cell>
          <cell r="V1526" t="str">
            <v>38</v>
          </cell>
          <cell r="W1526" t="str">
            <v>ΚΗΠΕΥΤΙΚΑ</v>
          </cell>
          <cell r="X1526" t="str">
            <v>10199</v>
          </cell>
        </row>
        <row r="1527">
          <cell r="U1527">
            <v>3810204</v>
          </cell>
          <cell r="V1527" t="str">
            <v>38</v>
          </cell>
          <cell r="W1527" t="str">
            <v>ΚΗΠΕΥΤΙΚΑ</v>
          </cell>
          <cell r="X1527" t="str">
            <v>10204</v>
          </cell>
        </row>
        <row r="1528">
          <cell r="U1528">
            <v>3810205</v>
          </cell>
          <cell r="V1528" t="str">
            <v>38</v>
          </cell>
          <cell r="W1528" t="str">
            <v>ΚΗΠΕΥΤΙΚΑ</v>
          </cell>
          <cell r="X1528" t="str">
            <v>10205</v>
          </cell>
        </row>
        <row r="1529">
          <cell r="U1529">
            <v>3810206</v>
          </cell>
          <cell r="V1529" t="str">
            <v>38</v>
          </cell>
          <cell r="W1529" t="str">
            <v>ΚΗΠΕΥΤΙΚΑ</v>
          </cell>
          <cell r="X1529" t="str">
            <v>10206</v>
          </cell>
        </row>
        <row r="1530">
          <cell r="U1530">
            <v>3810207</v>
          </cell>
          <cell r="V1530" t="str">
            <v>38</v>
          </cell>
          <cell r="W1530" t="str">
            <v>ΚΗΠΕΥΤΙΚΑ</v>
          </cell>
          <cell r="X1530" t="str">
            <v>10207</v>
          </cell>
        </row>
        <row r="1531">
          <cell r="U1531">
            <v>3810208</v>
          </cell>
          <cell r="V1531" t="str">
            <v>38</v>
          </cell>
          <cell r="W1531" t="str">
            <v>ΚΗΠΕΥΤΙΚΑ</v>
          </cell>
          <cell r="X1531" t="str">
            <v>10208</v>
          </cell>
        </row>
        <row r="1532">
          <cell r="U1532">
            <v>3810211</v>
          </cell>
          <cell r="V1532" t="str">
            <v>38</v>
          </cell>
          <cell r="W1532" t="str">
            <v>ΚΗΠΕΥΤΙΚΑ</v>
          </cell>
          <cell r="X1532" t="str">
            <v>10211</v>
          </cell>
        </row>
        <row r="1533">
          <cell r="U1533">
            <v>3810213</v>
          </cell>
          <cell r="V1533" t="str">
            <v>38</v>
          </cell>
          <cell r="W1533" t="str">
            <v>ΚΗΠΕΥΤΙΚΑ</v>
          </cell>
          <cell r="X1533" t="str">
            <v>10213</v>
          </cell>
        </row>
        <row r="1534">
          <cell r="U1534">
            <v>3810214</v>
          </cell>
          <cell r="V1534" t="str">
            <v>38</v>
          </cell>
          <cell r="W1534" t="str">
            <v>ΚΗΠΕΥΤΙΚΑ</v>
          </cell>
          <cell r="X1534" t="str">
            <v>10214</v>
          </cell>
        </row>
        <row r="1535">
          <cell r="U1535">
            <v>3810215</v>
          </cell>
          <cell r="V1535" t="str">
            <v>38</v>
          </cell>
          <cell r="W1535" t="str">
            <v>ΚΗΠΕΥΤΙΚΑ</v>
          </cell>
          <cell r="X1535" t="str">
            <v>10215</v>
          </cell>
        </row>
        <row r="1536">
          <cell r="U1536">
            <v>3810216</v>
          </cell>
          <cell r="V1536" t="str">
            <v>38</v>
          </cell>
          <cell r="W1536" t="str">
            <v>ΚΗΠΕΥΤΙΚΑ</v>
          </cell>
          <cell r="X1536" t="str">
            <v>10216</v>
          </cell>
        </row>
        <row r="1537">
          <cell r="U1537">
            <v>3810217</v>
          </cell>
          <cell r="V1537" t="str">
            <v>38</v>
          </cell>
          <cell r="W1537" t="str">
            <v>ΚΗΠΕΥΤΙΚΑ</v>
          </cell>
          <cell r="X1537" t="str">
            <v>10217</v>
          </cell>
        </row>
        <row r="1538">
          <cell r="U1538">
            <v>3810218</v>
          </cell>
          <cell r="V1538" t="str">
            <v>38</v>
          </cell>
          <cell r="W1538" t="str">
            <v>ΚΗΠΕΥΤΙΚΑ</v>
          </cell>
          <cell r="X1538" t="str">
            <v>10218</v>
          </cell>
        </row>
        <row r="1539">
          <cell r="U1539">
            <v>3810219</v>
          </cell>
          <cell r="V1539" t="str">
            <v>38</v>
          </cell>
          <cell r="W1539" t="str">
            <v>ΚΗΠΕΥΤΙΚΑ</v>
          </cell>
          <cell r="X1539" t="str">
            <v>10219</v>
          </cell>
        </row>
        <row r="1540">
          <cell r="U1540">
            <v>3810220</v>
          </cell>
          <cell r="V1540" t="str">
            <v>38</v>
          </cell>
          <cell r="W1540" t="str">
            <v>ΚΗΠΕΥΤΙΚΑ</v>
          </cell>
          <cell r="X1540" t="str">
            <v>10220</v>
          </cell>
        </row>
        <row r="1541">
          <cell r="U1541">
            <v>3810221</v>
          </cell>
          <cell r="V1541" t="str">
            <v>38</v>
          </cell>
          <cell r="W1541" t="str">
            <v>ΚΗΠΕΥΤΙΚΑ</v>
          </cell>
          <cell r="X1541" t="str">
            <v>10221</v>
          </cell>
        </row>
        <row r="1542">
          <cell r="U1542">
            <v>3810222</v>
          </cell>
          <cell r="V1542" t="str">
            <v>38</v>
          </cell>
          <cell r="W1542" t="str">
            <v>ΚΗΠΕΥΤΙΚΑ</v>
          </cell>
          <cell r="X1542" t="str">
            <v>10222</v>
          </cell>
        </row>
        <row r="1543">
          <cell r="U1543">
            <v>3810223</v>
          </cell>
          <cell r="V1543" t="str">
            <v>38</v>
          </cell>
          <cell r="W1543" t="str">
            <v>ΚΗΠΕΥΤΙΚΑ</v>
          </cell>
          <cell r="X1543" t="str">
            <v>10223</v>
          </cell>
        </row>
        <row r="1544">
          <cell r="U1544">
            <v>3810224</v>
          </cell>
          <cell r="V1544" t="str">
            <v>38</v>
          </cell>
          <cell r="W1544" t="str">
            <v>ΚΗΠΕΥΤΙΚΑ</v>
          </cell>
          <cell r="X1544" t="str">
            <v>10224</v>
          </cell>
        </row>
        <row r="1545">
          <cell r="U1545">
            <v>3810225</v>
          </cell>
          <cell r="V1545" t="str">
            <v>38</v>
          </cell>
          <cell r="W1545" t="str">
            <v>ΚΗΠΕΥΤΙΚΑ</v>
          </cell>
          <cell r="X1545" t="str">
            <v>10225</v>
          </cell>
        </row>
        <row r="1546">
          <cell r="U1546">
            <v>3810226</v>
          </cell>
          <cell r="V1546" t="str">
            <v>38</v>
          </cell>
          <cell r="W1546" t="str">
            <v>ΚΗΠΕΥΤΙΚΑ</v>
          </cell>
          <cell r="X1546" t="str">
            <v>10226</v>
          </cell>
        </row>
        <row r="1547">
          <cell r="U1547">
            <v>3810227</v>
          </cell>
          <cell r="V1547" t="str">
            <v>38</v>
          </cell>
          <cell r="W1547" t="str">
            <v>ΚΗΠΕΥΤΙΚΑ</v>
          </cell>
          <cell r="X1547" t="str">
            <v>10227</v>
          </cell>
        </row>
        <row r="1548">
          <cell r="U1548">
            <v>3810228</v>
          </cell>
          <cell r="V1548" t="str">
            <v>38</v>
          </cell>
          <cell r="W1548" t="str">
            <v>ΚΗΠΕΥΤΙΚΑ</v>
          </cell>
          <cell r="X1548" t="str">
            <v>10228</v>
          </cell>
        </row>
        <row r="1549">
          <cell r="U1549">
            <v>3810229</v>
          </cell>
          <cell r="V1549" t="str">
            <v>38</v>
          </cell>
          <cell r="W1549" t="str">
            <v>ΚΗΠΕΥΤΙΚΑ</v>
          </cell>
          <cell r="X1549" t="str">
            <v>10229</v>
          </cell>
        </row>
        <row r="1550">
          <cell r="U1550">
            <v>3810230</v>
          </cell>
          <cell r="V1550" t="str">
            <v>38</v>
          </cell>
          <cell r="W1550" t="str">
            <v>ΚΗΠΕΥΤΙΚΑ</v>
          </cell>
          <cell r="X1550" t="str">
            <v>10230</v>
          </cell>
        </row>
        <row r="1551">
          <cell r="U1551">
            <v>3810232</v>
          </cell>
          <cell r="V1551" t="str">
            <v>38</v>
          </cell>
          <cell r="W1551" t="str">
            <v>ΚΗΠΕΥΤΙΚΑ</v>
          </cell>
          <cell r="X1551" t="str">
            <v>10232</v>
          </cell>
        </row>
        <row r="1552">
          <cell r="U1552">
            <v>3810233</v>
          </cell>
          <cell r="V1552" t="str">
            <v>38</v>
          </cell>
          <cell r="W1552" t="str">
            <v>ΚΗΠΕΥΤΙΚΑ</v>
          </cell>
          <cell r="X1552" t="str">
            <v>10233</v>
          </cell>
        </row>
        <row r="1553">
          <cell r="U1553">
            <v>3810234</v>
          </cell>
          <cell r="V1553" t="str">
            <v>38</v>
          </cell>
          <cell r="W1553" t="str">
            <v>ΚΗΠΕΥΤΙΚΑ</v>
          </cell>
          <cell r="X1553" t="str">
            <v>10234</v>
          </cell>
        </row>
        <row r="1554">
          <cell r="U1554">
            <v>3810235</v>
          </cell>
          <cell r="V1554" t="str">
            <v>38</v>
          </cell>
          <cell r="W1554" t="str">
            <v>ΚΗΠΕΥΤΙΚΑ</v>
          </cell>
          <cell r="X1554" t="str">
            <v>10235</v>
          </cell>
        </row>
        <row r="1555">
          <cell r="U1555">
            <v>3810236</v>
          </cell>
          <cell r="V1555" t="str">
            <v>38</v>
          </cell>
          <cell r="W1555" t="str">
            <v>ΚΗΠΕΥΤΙΚΑ</v>
          </cell>
          <cell r="X1555" t="str">
            <v>10236</v>
          </cell>
        </row>
        <row r="1556">
          <cell r="U1556">
            <v>3810237</v>
          </cell>
          <cell r="V1556" t="str">
            <v>38</v>
          </cell>
          <cell r="W1556" t="str">
            <v>ΚΗΠΕΥΤΙΚΑ</v>
          </cell>
          <cell r="X1556" t="str">
            <v>10237</v>
          </cell>
        </row>
        <row r="1557">
          <cell r="U1557">
            <v>3810239</v>
          </cell>
          <cell r="V1557" t="str">
            <v>38</v>
          </cell>
          <cell r="W1557" t="str">
            <v>ΚΗΠΕΥΤΙΚΑ</v>
          </cell>
          <cell r="X1557" t="str">
            <v>10239</v>
          </cell>
        </row>
        <row r="1558">
          <cell r="U1558">
            <v>3810241</v>
          </cell>
          <cell r="V1558" t="str">
            <v>38</v>
          </cell>
          <cell r="W1558" t="str">
            <v>ΚΗΠΕΥΤΙΚΑ</v>
          </cell>
          <cell r="X1558" t="str">
            <v>10241</v>
          </cell>
        </row>
        <row r="1559">
          <cell r="U1559">
            <v>3810243</v>
          </cell>
          <cell r="V1559" t="str">
            <v>38</v>
          </cell>
          <cell r="W1559" t="str">
            <v>ΚΗΠΕΥΤΙΚΑ</v>
          </cell>
          <cell r="X1559" t="str">
            <v>10243</v>
          </cell>
        </row>
        <row r="1560">
          <cell r="U1560">
            <v>3810244</v>
          </cell>
          <cell r="V1560" t="str">
            <v>38</v>
          </cell>
          <cell r="W1560" t="str">
            <v>ΚΗΠΕΥΤΙΚΑ</v>
          </cell>
          <cell r="X1560" t="str">
            <v>10244</v>
          </cell>
        </row>
        <row r="1561">
          <cell r="U1561">
            <v>3810245</v>
          </cell>
          <cell r="V1561" t="str">
            <v>38</v>
          </cell>
          <cell r="W1561" t="str">
            <v>ΚΗΠΕΥΤΙΚΑ</v>
          </cell>
          <cell r="X1561" t="str">
            <v>10245</v>
          </cell>
        </row>
        <row r="1562">
          <cell r="U1562">
            <v>3810246</v>
          </cell>
          <cell r="V1562" t="str">
            <v>38</v>
          </cell>
          <cell r="W1562" t="str">
            <v>ΚΗΠΕΥΤΙΚΑ</v>
          </cell>
          <cell r="X1562" t="str">
            <v>10246</v>
          </cell>
        </row>
        <row r="1563">
          <cell r="U1563">
            <v>3810247</v>
          </cell>
          <cell r="V1563" t="str">
            <v>38</v>
          </cell>
          <cell r="W1563" t="str">
            <v>ΚΗΠΕΥΤΙΚΑ</v>
          </cell>
          <cell r="X1563" t="str">
            <v>10247</v>
          </cell>
        </row>
        <row r="1564">
          <cell r="U1564">
            <v>3810248</v>
          </cell>
          <cell r="V1564" t="str">
            <v>38</v>
          </cell>
          <cell r="W1564" t="str">
            <v>ΚΗΠΕΥΤΙΚΑ</v>
          </cell>
          <cell r="X1564" t="str">
            <v>10248</v>
          </cell>
        </row>
        <row r="1565">
          <cell r="U1565">
            <v>3810249</v>
          </cell>
          <cell r="V1565" t="str">
            <v>38</v>
          </cell>
          <cell r="W1565" t="str">
            <v>ΚΗΠΕΥΤΙΚΑ</v>
          </cell>
          <cell r="X1565" t="str">
            <v>10249</v>
          </cell>
        </row>
        <row r="1566">
          <cell r="U1566">
            <v>3810250</v>
          </cell>
          <cell r="V1566" t="str">
            <v>38</v>
          </cell>
          <cell r="W1566" t="str">
            <v>ΚΗΠΕΥΤΙΚΑ</v>
          </cell>
          <cell r="X1566" t="str">
            <v>10250</v>
          </cell>
        </row>
        <row r="1567">
          <cell r="U1567">
            <v>3810251</v>
          </cell>
          <cell r="V1567" t="str">
            <v>38</v>
          </cell>
          <cell r="W1567" t="str">
            <v>ΚΗΠΕΥΤΙΚΑ</v>
          </cell>
          <cell r="X1567" t="str">
            <v>10251</v>
          </cell>
        </row>
        <row r="1568">
          <cell r="U1568">
            <v>3810252</v>
          </cell>
          <cell r="V1568" t="str">
            <v>38</v>
          </cell>
          <cell r="W1568" t="str">
            <v>ΚΗΠΕΥΤΙΚΑ</v>
          </cell>
          <cell r="X1568" t="str">
            <v>10252</v>
          </cell>
        </row>
        <row r="1569">
          <cell r="U1569">
            <v>3810253</v>
          </cell>
          <cell r="V1569" t="str">
            <v>38</v>
          </cell>
          <cell r="W1569" t="str">
            <v>ΚΗΠΕΥΤΙΚΑ</v>
          </cell>
          <cell r="X1569" t="str">
            <v>10253</v>
          </cell>
        </row>
        <row r="1570">
          <cell r="U1570">
            <v>3810254</v>
          </cell>
          <cell r="V1570" t="str">
            <v>38</v>
          </cell>
          <cell r="W1570" t="str">
            <v>ΚΗΠΕΥΤΙΚΑ</v>
          </cell>
          <cell r="X1570" t="str">
            <v>10254</v>
          </cell>
        </row>
        <row r="1571">
          <cell r="U1571">
            <v>3810255</v>
          </cell>
          <cell r="V1571" t="str">
            <v>38</v>
          </cell>
          <cell r="W1571" t="str">
            <v>ΚΗΠΕΥΤΙΚΑ</v>
          </cell>
          <cell r="X1571" t="str">
            <v>10255</v>
          </cell>
        </row>
        <row r="1572">
          <cell r="U1572">
            <v>3810256</v>
          </cell>
          <cell r="V1572" t="str">
            <v>38</v>
          </cell>
          <cell r="W1572" t="str">
            <v>ΚΗΠΕΥΤΙΚΑ</v>
          </cell>
          <cell r="X1572" t="str">
            <v>10256</v>
          </cell>
        </row>
        <row r="1573">
          <cell r="U1573">
            <v>3810257</v>
          </cell>
          <cell r="V1573" t="str">
            <v>38</v>
          </cell>
          <cell r="W1573" t="str">
            <v>ΚΗΠΕΥΤΙΚΑ</v>
          </cell>
          <cell r="X1573" t="str">
            <v>10257</v>
          </cell>
        </row>
        <row r="1574">
          <cell r="U1574">
            <v>3810258</v>
          </cell>
          <cell r="V1574" t="str">
            <v>38</v>
          </cell>
          <cell r="W1574" t="str">
            <v>ΚΗΠΕΥΤΙΚΑ</v>
          </cell>
          <cell r="X1574" t="str">
            <v>10258</v>
          </cell>
        </row>
        <row r="1575">
          <cell r="U1575">
            <v>3810259</v>
          </cell>
          <cell r="V1575" t="str">
            <v>38</v>
          </cell>
          <cell r="W1575" t="str">
            <v>ΚΗΠΕΥΤΙΚΑ</v>
          </cell>
          <cell r="X1575" t="str">
            <v>10259</v>
          </cell>
        </row>
        <row r="1576">
          <cell r="U1576">
            <v>3810260</v>
          </cell>
          <cell r="V1576" t="str">
            <v>38</v>
          </cell>
          <cell r="W1576" t="str">
            <v>ΚΗΠΕΥΤΙΚΑ</v>
          </cell>
          <cell r="X1576" t="str">
            <v>10260</v>
          </cell>
        </row>
        <row r="1577">
          <cell r="U1577">
            <v>3810261</v>
          </cell>
          <cell r="V1577" t="str">
            <v>38</v>
          </cell>
          <cell r="W1577" t="str">
            <v>ΚΗΠΕΥΤΙΚΑ</v>
          </cell>
          <cell r="X1577" t="str">
            <v>10261</v>
          </cell>
        </row>
        <row r="1578">
          <cell r="U1578">
            <v>3810262</v>
          </cell>
          <cell r="V1578" t="str">
            <v>38</v>
          </cell>
          <cell r="W1578" t="str">
            <v>ΚΗΠΕΥΤΙΚΑ</v>
          </cell>
          <cell r="X1578" t="str">
            <v>10262</v>
          </cell>
        </row>
        <row r="1579">
          <cell r="U1579">
            <v>3810263</v>
          </cell>
          <cell r="V1579" t="str">
            <v>38</v>
          </cell>
          <cell r="W1579" t="str">
            <v>ΚΗΠΕΥΤΙΚΑ</v>
          </cell>
          <cell r="X1579" t="str">
            <v>10263</v>
          </cell>
        </row>
        <row r="1580">
          <cell r="U1580">
            <v>3810264</v>
          </cell>
          <cell r="V1580" t="str">
            <v>38</v>
          </cell>
          <cell r="W1580" t="str">
            <v>ΚΗΠΕΥΤΙΚΑ</v>
          </cell>
          <cell r="X1580" t="str">
            <v>10264</v>
          </cell>
        </row>
        <row r="1581">
          <cell r="U1581">
            <v>3810265</v>
          </cell>
          <cell r="V1581" t="str">
            <v>38</v>
          </cell>
          <cell r="W1581" t="str">
            <v>ΚΗΠΕΥΤΙΚΑ</v>
          </cell>
          <cell r="X1581" t="str">
            <v>10265</v>
          </cell>
        </row>
        <row r="1582">
          <cell r="U1582">
            <v>3810266</v>
          </cell>
          <cell r="V1582" t="str">
            <v>38</v>
          </cell>
          <cell r="W1582" t="str">
            <v>ΚΗΠΕΥΤΙΚΑ</v>
          </cell>
          <cell r="X1582" t="str">
            <v>10266</v>
          </cell>
        </row>
        <row r="1583">
          <cell r="U1583">
            <v>3810267</v>
          </cell>
          <cell r="V1583" t="str">
            <v>38</v>
          </cell>
          <cell r="W1583" t="str">
            <v>ΚΗΠΕΥΤΙΚΑ</v>
          </cell>
          <cell r="X1583" t="str">
            <v>10267</v>
          </cell>
        </row>
        <row r="1584">
          <cell r="U1584">
            <v>3810268</v>
          </cell>
          <cell r="V1584" t="str">
            <v>38</v>
          </cell>
          <cell r="W1584" t="str">
            <v>ΚΗΠΕΥΤΙΚΑ</v>
          </cell>
          <cell r="X1584" t="str">
            <v>10268</v>
          </cell>
        </row>
        <row r="1585">
          <cell r="U1585">
            <v>3810269</v>
          </cell>
          <cell r="V1585" t="str">
            <v>38</v>
          </cell>
          <cell r="W1585" t="str">
            <v>ΚΗΠΕΥΤΙΚΑ</v>
          </cell>
          <cell r="X1585" t="str">
            <v>10269</v>
          </cell>
        </row>
        <row r="1586">
          <cell r="U1586">
            <v>3810270</v>
          </cell>
          <cell r="V1586" t="str">
            <v>38</v>
          </cell>
          <cell r="W1586" t="str">
            <v>ΚΗΠΕΥΤΙΚΑ</v>
          </cell>
          <cell r="X1586" t="str">
            <v>10270</v>
          </cell>
        </row>
        <row r="1587">
          <cell r="U1587">
            <v>3810271</v>
          </cell>
          <cell r="V1587" t="str">
            <v>38</v>
          </cell>
          <cell r="W1587" t="str">
            <v>ΚΗΠΕΥΤΙΚΑ</v>
          </cell>
          <cell r="X1587" t="str">
            <v>10271</v>
          </cell>
        </row>
        <row r="1588">
          <cell r="U1588">
            <v>3810272</v>
          </cell>
          <cell r="V1588" t="str">
            <v>38</v>
          </cell>
          <cell r="W1588" t="str">
            <v>ΚΗΠΕΥΤΙΚΑ</v>
          </cell>
          <cell r="X1588" t="str">
            <v>10272</v>
          </cell>
        </row>
        <row r="1589">
          <cell r="U1589">
            <v>3810273</v>
          </cell>
          <cell r="V1589" t="str">
            <v>38</v>
          </cell>
          <cell r="W1589" t="str">
            <v>ΚΗΠΕΥΤΙΚΑ</v>
          </cell>
          <cell r="X1589" t="str">
            <v>10273</v>
          </cell>
        </row>
        <row r="1590">
          <cell r="U1590">
            <v>3810274</v>
          </cell>
          <cell r="V1590" t="str">
            <v>38</v>
          </cell>
          <cell r="W1590" t="str">
            <v>ΚΗΠΕΥΤΙΚΑ</v>
          </cell>
          <cell r="X1590" t="str">
            <v>10274</v>
          </cell>
        </row>
        <row r="1591">
          <cell r="U1591">
            <v>3810275</v>
          </cell>
          <cell r="V1591" t="str">
            <v>38</v>
          </cell>
          <cell r="W1591" t="str">
            <v>ΚΗΠΕΥΤΙΚΑ</v>
          </cell>
          <cell r="X1591" t="str">
            <v>10275</v>
          </cell>
        </row>
        <row r="1592">
          <cell r="U1592">
            <v>3810276</v>
          </cell>
          <cell r="V1592" t="str">
            <v>38</v>
          </cell>
          <cell r="W1592" t="str">
            <v>ΚΗΠΕΥΤΙΚΑ</v>
          </cell>
          <cell r="X1592" t="str">
            <v>10276</v>
          </cell>
        </row>
        <row r="1593">
          <cell r="U1593">
            <v>3810277</v>
          </cell>
          <cell r="V1593" t="str">
            <v>38</v>
          </cell>
          <cell r="W1593" t="str">
            <v>ΚΗΠΕΥΤΙΚΑ</v>
          </cell>
          <cell r="X1593" t="str">
            <v>10277</v>
          </cell>
        </row>
        <row r="1594">
          <cell r="U1594">
            <v>3810278</v>
          </cell>
          <cell r="V1594" t="str">
            <v>38</v>
          </cell>
          <cell r="W1594" t="str">
            <v>ΚΗΠΕΥΤΙΚΑ</v>
          </cell>
          <cell r="X1594" t="str">
            <v>10278</v>
          </cell>
        </row>
        <row r="1595">
          <cell r="U1595">
            <v>3810279</v>
          </cell>
          <cell r="V1595" t="str">
            <v>38</v>
          </cell>
          <cell r="W1595" t="str">
            <v>ΚΗΠΕΥΤΙΚΑ</v>
          </cell>
          <cell r="X1595" t="str">
            <v>10279</v>
          </cell>
        </row>
        <row r="1596">
          <cell r="U1596">
            <v>3810280</v>
          </cell>
          <cell r="V1596" t="str">
            <v>38</v>
          </cell>
          <cell r="W1596" t="str">
            <v>ΚΗΠΕΥΤΙΚΑ</v>
          </cell>
          <cell r="X1596" t="str">
            <v>10280</v>
          </cell>
        </row>
        <row r="1597">
          <cell r="U1597">
            <v>3810281</v>
          </cell>
          <cell r="V1597" t="str">
            <v>38</v>
          </cell>
          <cell r="W1597" t="str">
            <v>ΚΗΠΕΥΤΙΚΑ</v>
          </cell>
          <cell r="X1597" t="str">
            <v>10281</v>
          </cell>
        </row>
        <row r="1598">
          <cell r="U1598">
            <v>3810282</v>
          </cell>
          <cell r="V1598" t="str">
            <v>38</v>
          </cell>
          <cell r="W1598" t="str">
            <v>ΚΗΠΕΥΤΙΚΑ</v>
          </cell>
          <cell r="X1598" t="str">
            <v>10282</v>
          </cell>
        </row>
        <row r="1599">
          <cell r="U1599">
            <v>3810283</v>
          </cell>
          <cell r="V1599" t="str">
            <v>38</v>
          </cell>
          <cell r="W1599" t="str">
            <v>ΚΗΠΕΥΤΙΚΑ</v>
          </cell>
          <cell r="X1599" t="str">
            <v>10283</v>
          </cell>
        </row>
        <row r="1600">
          <cell r="U1600">
            <v>3810284</v>
          </cell>
          <cell r="V1600" t="str">
            <v>38</v>
          </cell>
          <cell r="W1600" t="str">
            <v>ΚΗΠΕΥΤΙΚΑ</v>
          </cell>
          <cell r="X1600" t="str">
            <v>10284</v>
          </cell>
        </row>
        <row r="1601">
          <cell r="U1601">
            <v>3810285</v>
          </cell>
          <cell r="V1601" t="str">
            <v>38</v>
          </cell>
          <cell r="W1601" t="str">
            <v>ΚΗΠΕΥΤΙΚΑ</v>
          </cell>
          <cell r="X1601" t="str">
            <v>10285</v>
          </cell>
        </row>
        <row r="1602">
          <cell r="U1602">
            <v>3810286</v>
          </cell>
          <cell r="V1602" t="str">
            <v>38</v>
          </cell>
          <cell r="W1602" t="str">
            <v>ΚΗΠΕΥΤΙΚΑ</v>
          </cell>
          <cell r="X1602" t="str">
            <v>10286</v>
          </cell>
        </row>
        <row r="1603">
          <cell r="U1603">
            <v>3810287</v>
          </cell>
          <cell r="V1603" t="str">
            <v>38</v>
          </cell>
          <cell r="W1603" t="str">
            <v>ΚΗΠΕΥΤΙΚΑ</v>
          </cell>
          <cell r="X1603" t="str">
            <v>10287</v>
          </cell>
        </row>
        <row r="1604">
          <cell r="U1604">
            <v>3810288</v>
          </cell>
          <cell r="V1604" t="str">
            <v>38</v>
          </cell>
          <cell r="W1604" t="str">
            <v>ΚΗΠΕΥΤΙΚΑ</v>
          </cell>
          <cell r="X1604" t="str">
            <v>10288</v>
          </cell>
        </row>
        <row r="1605">
          <cell r="U1605">
            <v>3810289</v>
          </cell>
          <cell r="V1605" t="str">
            <v>38</v>
          </cell>
          <cell r="W1605" t="str">
            <v>ΚΗΠΕΥΤΙΚΑ</v>
          </cell>
          <cell r="X1605" t="str">
            <v>10289</v>
          </cell>
        </row>
        <row r="1606">
          <cell r="U1606">
            <v>3810290</v>
          </cell>
          <cell r="V1606" t="str">
            <v>38</v>
          </cell>
          <cell r="W1606" t="str">
            <v>ΚΗΠΕΥΤΙΚΑ</v>
          </cell>
          <cell r="X1606" t="str">
            <v>10290</v>
          </cell>
        </row>
        <row r="1607">
          <cell r="U1607">
            <v>3810291</v>
          </cell>
          <cell r="V1607" t="str">
            <v>38</v>
          </cell>
          <cell r="W1607" t="str">
            <v>ΚΗΠΕΥΤΙΚΑ</v>
          </cell>
          <cell r="X1607" t="str">
            <v>10291</v>
          </cell>
        </row>
        <row r="1608">
          <cell r="U1608">
            <v>3810292</v>
          </cell>
          <cell r="V1608" t="str">
            <v>38</v>
          </cell>
          <cell r="W1608" t="str">
            <v>ΚΗΠΕΥΤΙΚΑ</v>
          </cell>
          <cell r="X1608" t="str">
            <v>10292</v>
          </cell>
        </row>
        <row r="1609">
          <cell r="U1609">
            <v>3810293</v>
          </cell>
          <cell r="V1609" t="str">
            <v>38</v>
          </cell>
          <cell r="W1609" t="str">
            <v>ΚΗΠΕΥΤΙΚΑ</v>
          </cell>
          <cell r="X1609" t="str">
            <v>10293</v>
          </cell>
        </row>
        <row r="1610">
          <cell r="U1610">
            <v>3810294</v>
          </cell>
          <cell r="V1610" t="str">
            <v>38</v>
          </cell>
          <cell r="W1610" t="str">
            <v>ΚΗΠΕΥΤΙΚΑ</v>
          </cell>
          <cell r="X1610" t="str">
            <v>10294</v>
          </cell>
        </row>
        <row r="1611">
          <cell r="U1611">
            <v>3810295</v>
          </cell>
          <cell r="V1611" t="str">
            <v>38</v>
          </cell>
          <cell r="W1611" t="str">
            <v>ΚΗΠΕΥΤΙΚΑ</v>
          </cell>
          <cell r="X1611" t="str">
            <v>10295</v>
          </cell>
        </row>
        <row r="1612">
          <cell r="U1612">
            <v>3810296</v>
          </cell>
          <cell r="V1612" t="str">
            <v>38</v>
          </cell>
          <cell r="W1612" t="str">
            <v>ΚΗΠΕΥΤΙΚΑ</v>
          </cell>
          <cell r="X1612" t="str">
            <v>10296</v>
          </cell>
        </row>
        <row r="1613">
          <cell r="U1613">
            <v>3810297</v>
          </cell>
          <cell r="V1613" t="str">
            <v>38</v>
          </cell>
          <cell r="W1613" t="str">
            <v>ΚΗΠΕΥΤΙΚΑ</v>
          </cell>
          <cell r="X1613" t="str">
            <v>10297</v>
          </cell>
        </row>
        <row r="1614">
          <cell r="U1614">
            <v>3810298</v>
          </cell>
          <cell r="V1614" t="str">
            <v>38</v>
          </cell>
          <cell r="W1614" t="str">
            <v>ΚΗΠΕΥΤΙΚΑ</v>
          </cell>
          <cell r="X1614" t="str">
            <v>10298</v>
          </cell>
        </row>
        <row r="1615">
          <cell r="U1615">
            <v>3810299</v>
          </cell>
          <cell r="V1615" t="str">
            <v>38</v>
          </cell>
          <cell r="W1615" t="str">
            <v>ΚΗΠΕΥΤΙΚΑ</v>
          </cell>
          <cell r="X1615" t="str">
            <v>10299</v>
          </cell>
        </row>
        <row r="1616">
          <cell r="U1616">
            <v>3810813</v>
          </cell>
          <cell r="V1616" t="str">
            <v>38</v>
          </cell>
          <cell r="W1616" t="str">
            <v>ΚΗΠΕΥΤΙΚΑ</v>
          </cell>
          <cell r="X1616" t="str">
            <v>10813</v>
          </cell>
        </row>
        <row r="1617">
          <cell r="U1617">
            <v>3810814</v>
          </cell>
          <cell r="V1617" t="str">
            <v>38</v>
          </cell>
          <cell r="W1617" t="str">
            <v>ΚΗΠΕΥΤΙΚΑ</v>
          </cell>
          <cell r="X1617" t="str">
            <v>10814</v>
          </cell>
        </row>
        <row r="1618">
          <cell r="U1618">
            <v>3810815</v>
          </cell>
          <cell r="V1618" t="str">
            <v>38</v>
          </cell>
          <cell r="W1618" t="str">
            <v>ΚΗΠΕΥΤΙΚΑ</v>
          </cell>
          <cell r="X1618" t="str">
            <v>10815</v>
          </cell>
        </row>
        <row r="1619">
          <cell r="U1619">
            <v>3810816</v>
          </cell>
          <cell r="V1619" t="str">
            <v>38</v>
          </cell>
          <cell r="W1619" t="str">
            <v>ΚΗΠΕΥΤΙΚΑ</v>
          </cell>
          <cell r="X1619" t="str">
            <v>10816</v>
          </cell>
        </row>
        <row r="1620">
          <cell r="U1620">
            <v>3810817</v>
          </cell>
          <cell r="V1620" t="str">
            <v>38</v>
          </cell>
          <cell r="W1620" t="str">
            <v>ΚΗΠΕΥΤΙΚΑ</v>
          </cell>
          <cell r="X1620" t="str">
            <v>10817</v>
          </cell>
        </row>
        <row r="1621">
          <cell r="U1621">
            <v>3810818</v>
          </cell>
          <cell r="V1621" t="str">
            <v>38</v>
          </cell>
          <cell r="W1621" t="str">
            <v>ΚΗΠΕΥΤΙΚΑ</v>
          </cell>
          <cell r="X1621" t="str">
            <v>10818</v>
          </cell>
        </row>
        <row r="1622">
          <cell r="U1622">
            <v>3810819</v>
          </cell>
          <cell r="V1622" t="str">
            <v>38</v>
          </cell>
          <cell r="W1622" t="str">
            <v>ΚΗΠΕΥΤΙΚΑ</v>
          </cell>
          <cell r="X1622" t="str">
            <v>10819</v>
          </cell>
        </row>
        <row r="1623">
          <cell r="U1623">
            <v>3810820</v>
          </cell>
          <cell r="V1623" t="str">
            <v>38</v>
          </cell>
          <cell r="W1623" t="str">
            <v>ΚΗΠΕΥΤΙΚΑ</v>
          </cell>
          <cell r="X1623" t="str">
            <v>10820</v>
          </cell>
        </row>
        <row r="1624">
          <cell r="U1624">
            <v>3810835</v>
          </cell>
          <cell r="V1624" t="str">
            <v>38</v>
          </cell>
          <cell r="W1624" t="str">
            <v>ΚΗΠΕΥΤΙΚΑ</v>
          </cell>
          <cell r="X1624" t="str">
            <v>10835</v>
          </cell>
        </row>
        <row r="1625">
          <cell r="U1625">
            <v>3810836</v>
          </cell>
          <cell r="V1625" t="str">
            <v>38</v>
          </cell>
          <cell r="W1625" t="str">
            <v>ΚΗΠΕΥΤΙΚΑ</v>
          </cell>
          <cell r="X1625" t="str">
            <v>10836</v>
          </cell>
        </row>
        <row r="1626">
          <cell r="U1626">
            <v>3810904</v>
          </cell>
          <cell r="V1626" t="str">
            <v>38</v>
          </cell>
          <cell r="W1626" t="str">
            <v>ΚΗΠΕΥΤΙΚΑ</v>
          </cell>
          <cell r="X1626" t="str">
            <v>10904</v>
          </cell>
        </row>
        <row r="1627">
          <cell r="U1627">
            <v>3810905</v>
          </cell>
          <cell r="V1627" t="str">
            <v>38</v>
          </cell>
          <cell r="W1627" t="str">
            <v>ΚΗΠΕΥΤΙΚΑ</v>
          </cell>
          <cell r="X1627" t="str">
            <v>10905</v>
          </cell>
        </row>
        <row r="1628">
          <cell r="U1628">
            <v>3814100</v>
          </cell>
          <cell r="V1628" t="str">
            <v>38</v>
          </cell>
          <cell r="W1628" t="str">
            <v>ΚΗΠΕΥΤΙΚΑ</v>
          </cell>
          <cell r="X1628" t="str">
            <v>14100</v>
          </cell>
        </row>
        <row r="1629">
          <cell r="U1629">
            <v>3838001</v>
          </cell>
          <cell r="V1629" t="str">
            <v>38</v>
          </cell>
          <cell r="W1629" t="str">
            <v>ΚΗΠΕΥΤΙΚΑ</v>
          </cell>
          <cell r="X1629" t="str">
            <v>38001</v>
          </cell>
        </row>
        <row r="1630">
          <cell r="U1630">
            <v>3838002</v>
          </cell>
          <cell r="V1630" t="str">
            <v>38</v>
          </cell>
          <cell r="W1630" t="str">
            <v>ΚΗΠΕΥΤΙΚΑ</v>
          </cell>
          <cell r="X1630" t="str">
            <v>38002</v>
          </cell>
        </row>
        <row r="1631">
          <cell r="U1631">
            <v>3898202</v>
          </cell>
          <cell r="V1631" t="str">
            <v>38</v>
          </cell>
          <cell r="W1631" t="str">
            <v>ΚΗΠΕΥΤΙΚΑ</v>
          </cell>
          <cell r="X1631" t="str">
            <v>98202</v>
          </cell>
        </row>
        <row r="1632">
          <cell r="U1632">
            <v>3898203</v>
          </cell>
          <cell r="V1632" t="str">
            <v>38</v>
          </cell>
          <cell r="W1632" t="str">
            <v>ΚΗΠΕΥΤΙΚΑ</v>
          </cell>
          <cell r="X1632" t="str">
            <v>98203</v>
          </cell>
        </row>
        <row r="1633">
          <cell r="U1633">
            <v>3898204</v>
          </cell>
          <cell r="V1633" t="str">
            <v>38</v>
          </cell>
          <cell r="W1633" t="str">
            <v>ΚΗΠΕΥΤΙΚΑ</v>
          </cell>
          <cell r="X1633" t="str">
            <v>98204</v>
          </cell>
        </row>
        <row r="1634">
          <cell r="U1634">
            <v>3898205</v>
          </cell>
          <cell r="V1634" t="str">
            <v>38</v>
          </cell>
          <cell r="W1634" t="str">
            <v>ΚΗΠΕΥΤΙΚΑ</v>
          </cell>
          <cell r="X1634" t="str">
            <v>98205</v>
          </cell>
        </row>
        <row r="1635">
          <cell r="U1635">
            <v>3910209</v>
          </cell>
          <cell r="V1635" t="str">
            <v>39</v>
          </cell>
          <cell r="W1635" t="str">
            <v>ΚΗΠΕΥΤΙΚΑ ΥΠΟ ΚΑΛΥΨΗ</v>
          </cell>
          <cell r="X1635" t="str">
            <v>10209</v>
          </cell>
        </row>
        <row r="1636">
          <cell r="U1636">
            <v>3910210</v>
          </cell>
          <cell r="V1636" t="str">
            <v>39</v>
          </cell>
          <cell r="W1636" t="str">
            <v>ΚΗΠΕΥΤΙΚΑ ΥΠΟ ΚΑΛΥΨΗ</v>
          </cell>
          <cell r="X1636" t="str">
            <v>10210</v>
          </cell>
        </row>
        <row r="1637">
          <cell r="U1637">
            <v>3910212</v>
          </cell>
          <cell r="V1637" t="str">
            <v>39</v>
          </cell>
          <cell r="W1637" t="str">
            <v>ΚΗΠΕΥΤΙΚΑ ΥΠΟ ΚΑΛΥΨΗ</v>
          </cell>
          <cell r="X1637" t="str">
            <v>10212</v>
          </cell>
        </row>
        <row r="1638">
          <cell r="U1638">
            <v>3910215</v>
          </cell>
          <cell r="V1638" t="str">
            <v>39</v>
          </cell>
          <cell r="W1638" t="str">
            <v>ΚΗΠΕΥΤΙΚΑ ΥΠΟ ΚΑΛΥΨΗ</v>
          </cell>
          <cell r="X1638" t="str">
            <v>10215</v>
          </cell>
        </row>
        <row r="1639">
          <cell r="U1639">
            <v>3910216</v>
          </cell>
          <cell r="V1639" t="str">
            <v>39</v>
          </cell>
          <cell r="W1639" t="str">
            <v>ΚΗΠΕΥΤΙΚΑ ΥΠΟ ΚΑΛΥΨΗ</v>
          </cell>
          <cell r="X1639" t="str">
            <v>10216</v>
          </cell>
        </row>
        <row r="1640">
          <cell r="U1640">
            <v>3910224</v>
          </cell>
          <cell r="V1640" t="str">
            <v>39</v>
          </cell>
          <cell r="W1640" t="str">
            <v>ΚΗΠΕΥΤΙΚΑ ΥΠΟ ΚΑΛΥΨΗ</v>
          </cell>
          <cell r="X1640" t="str">
            <v>10224</v>
          </cell>
        </row>
        <row r="1641">
          <cell r="U1641">
            <v>3910231</v>
          </cell>
          <cell r="V1641" t="str">
            <v>39</v>
          </cell>
          <cell r="W1641" t="str">
            <v>ΚΗΠΕΥΤΙΚΑ ΥΠΟ ΚΑΛΥΨΗ</v>
          </cell>
          <cell r="X1641" t="str">
            <v>10231</v>
          </cell>
        </row>
        <row r="1642">
          <cell r="U1642">
            <v>3910232</v>
          </cell>
          <cell r="V1642" t="str">
            <v>39</v>
          </cell>
          <cell r="W1642" t="str">
            <v>ΚΗΠΕΥΤΙΚΑ ΥΠΟ ΚΑΛΥΨΗ</v>
          </cell>
          <cell r="X1642" t="str">
            <v>10232</v>
          </cell>
        </row>
        <row r="1643">
          <cell r="U1643">
            <v>3910233</v>
          </cell>
          <cell r="V1643" t="str">
            <v>39</v>
          </cell>
          <cell r="W1643" t="str">
            <v>ΚΗΠΕΥΤΙΚΑ ΥΠΟ ΚΑΛΥΨΗ</v>
          </cell>
          <cell r="X1643" t="str">
            <v>10233</v>
          </cell>
        </row>
        <row r="1644">
          <cell r="U1644">
            <v>3910234</v>
          </cell>
          <cell r="V1644" t="str">
            <v>39</v>
          </cell>
          <cell r="W1644" t="str">
            <v>ΚΗΠΕΥΤΙΚΑ ΥΠΟ ΚΑΛΥΨΗ</v>
          </cell>
          <cell r="X1644" t="str">
            <v>10234</v>
          </cell>
        </row>
        <row r="1645">
          <cell r="U1645">
            <v>3910248</v>
          </cell>
          <cell r="V1645" t="str">
            <v>39</v>
          </cell>
          <cell r="W1645" t="str">
            <v>ΚΗΠΕΥΤΙΚΑ ΥΠΟ ΚΑΛΥΨΗ</v>
          </cell>
          <cell r="X1645" t="str">
            <v>10248</v>
          </cell>
        </row>
        <row r="1646">
          <cell r="U1646">
            <v>3910249</v>
          </cell>
          <cell r="V1646" t="str">
            <v>39</v>
          </cell>
          <cell r="W1646" t="str">
            <v>ΚΗΠΕΥΤΙΚΑ ΥΠΟ ΚΑΛΥΨΗ</v>
          </cell>
          <cell r="X1646" t="str">
            <v>10249</v>
          </cell>
        </row>
        <row r="1647">
          <cell r="U1647">
            <v>3910836</v>
          </cell>
          <cell r="V1647" t="str">
            <v>39</v>
          </cell>
          <cell r="W1647" t="str">
            <v>ΚΗΠΕΥΤΙΚΑ ΥΠΟ ΚΑΛΥΨΗ</v>
          </cell>
          <cell r="X1647" t="str">
            <v>10836</v>
          </cell>
        </row>
        <row r="1648">
          <cell r="U1648">
            <v>3918108</v>
          </cell>
          <cell r="V1648" t="str">
            <v>39</v>
          </cell>
          <cell r="W1648" t="str">
            <v>ΚΗΠΕΥΤΙΚΑ ΥΠΟ ΚΑΛΥΨΗ</v>
          </cell>
          <cell r="X1648" t="str">
            <v>18108</v>
          </cell>
        </row>
        <row r="1649">
          <cell r="U1649">
            <v>3998200</v>
          </cell>
          <cell r="V1649" t="str">
            <v>39</v>
          </cell>
          <cell r="W1649" t="str">
            <v>ΚΗΠΕΥΤΙΚΑ ΥΠΟ ΚΑΛΥΨΗ</v>
          </cell>
          <cell r="X1649" t="str">
            <v>98200</v>
          </cell>
        </row>
        <row r="1650">
          <cell r="U1650">
            <v>3998201</v>
          </cell>
          <cell r="V1650" t="str">
            <v>39</v>
          </cell>
          <cell r="W1650" t="str">
            <v>ΚΗΠΕΥΤΙΚΑ ΥΠΟ ΚΑΛΥΨΗ</v>
          </cell>
          <cell r="X1650" t="str">
            <v>98201</v>
          </cell>
        </row>
        <row r="1651">
          <cell r="U1651">
            <v>4110238</v>
          </cell>
          <cell r="V1651" t="str">
            <v>41</v>
          </cell>
          <cell r="W1651" t="str">
            <v>ΑΡΩΜΑΤΙΚΑ ΦΥΤΑ</v>
          </cell>
          <cell r="X1651" t="str">
            <v>10238</v>
          </cell>
        </row>
        <row r="1652">
          <cell r="U1652">
            <v>4118101</v>
          </cell>
          <cell r="V1652" t="str">
            <v>41</v>
          </cell>
          <cell r="W1652" t="str">
            <v>ΑΡΩΜΑΤΙΚΑ ΦΥΤΑ</v>
          </cell>
          <cell r="X1652" t="str">
            <v>18101</v>
          </cell>
        </row>
        <row r="1653">
          <cell r="U1653">
            <v>4118102</v>
          </cell>
          <cell r="V1653" t="str">
            <v>41</v>
          </cell>
          <cell r="W1653" t="str">
            <v>ΑΡΩΜΑΤΙΚΑ ΦΥΤΑ</v>
          </cell>
          <cell r="X1653" t="str">
            <v>18102</v>
          </cell>
        </row>
        <row r="1654">
          <cell r="U1654">
            <v>4118103</v>
          </cell>
          <cell r="V1654" t="str">
            <v>41</v>
          </cell>
          <cell r="W1654" t="str">
            <v>ΑΡΩΜΑΤΙΚΑ ΦΥΤΑ</v>
          </cell>
          <cell r="X1654" t="str">
            <v>18103</v>
          </cell>
        </row>
        <row r="1655">
          <cell r="U1655">
            <v>4118104</v>
          </cell>
          <cell r="V1655" t="str">
            <v>41</v>
          </cell>
          <cell r="W1655" t="str">
            <v>ΑΡΩΜΑΤΙΚΑ ΦΥΤΑ</v>
          </cell>
          <cell r="X1655" t="str">
            <v>18104</v>
          </cell>
        </row>
        <row r="1656">
          <cell r="U1656">
            <v>4118105</v>
          </cell>
          <cell r="V1656" t="str">
            <v>41</v>
          </cell>
          <cell r="W1656" t="str">
            <v>ΑΡΩΜΑΤΙΚΑ ΦΥΤΑ</v>
          </cell>
          <cell r="X1656" t="str">
            <v>18105</v>
          </cell>
        </row>
        <row r="1657">
          <cell r="U1657">
            <v>4118106</v>
          </cell>
          <cell r="V1657" t="str">
            <v>41</v>
          </cell>
          <cell r="W1657" t="str">
            <v>ΑΡΩΜΑΤΙΚΑ ΦΥΤΑ</v>
          </cell>
          <cell r="X1657" t="str">
            <v>18106</v>
          </cell>
        </row>
        <row r="1658">
          <cell r="U1658">
            <v>4118107</v>
          </cell>
          <cell r="V1658" t="str">
            <v>41</v>
          </cell>
          <cell r="W1658" t="str">
            <v>ΑΡΩΜΑΤΙΚΑ ΦΥΤΑ</v>
          </cell>
          <cell r="X1658" t="str">
            <v>18107</v>
          </cell>
        </row>
        <row r="1659">
          <cell r="U1659">
            <v>4118108</v>
          </cell>
          <cell r="V1659" t="str">
            <v>41</v>
          </cell>
          <cell r="W1659" t="str">
            <v>ΑΡΩΜΑΤΙΚΑ ΦΥΤΑ</v>
          </cell>
          <cell r="X1659" t="str">
            <v>18108</v>
          </cell>
        </row>
        <row r="1660">
          <cell r="U1660">
            <v>4141001</v>
          </cell>
          <cell r="V1660" t="str">
            <v>41</v>
          </cell>
          <cell r="W1660" t="str">
            <v>ΑΡΩΜΑΤΙΚΑ ΦΥΤΑ</v>
          </cell>
          <cell r="X1660" t="str">
            <v>41001</v>
          </cell>
        </row>
        <row r="1661">
          <cell r="U1661">
            <v>4141002</v>
          </cell>
          <cell r="V1661" t="str">
            <v>41</v>
          </cell>
          <cell r="W1661" t="str">
            <v>ΑΡΩΜΑΤΙΚΑ ΦΥΤΑ</v>
          </cell>
          <cell r="X1661" t="str">
            <v>41002</v>
          </cell>
        </row>
        <row r="1662">
          <cell r="U1662">
            <v>4141003</v>
          </cell>
          <cell r="V1662" t="str">
            <v>41</v>
          </cell>
          <cell r="W1662" t="str">
            <v>ΑΡΩΜΑΤΙΚΑ ΦΥΤΑ</v>
          </cell>
          <cell r="X1662" t="str">
            <v>41003</v>
          </cell>
        </row>
        <row r="1663">
          <cell r="U1663">
            <v>4518100</v>
          </cell>
          <cell r="V1663" t="str">
            <v>45.1</v>
          </cell>
          <cell r="W1663" t="str">
            <v>ΛΟΙΠΕΣ ΚΑΛΛΙΕΡΓΕΙΕΣ</v>
          </cell>
          <cell r="X1663" t="str">
            <v>8100</v>
          </cell>
        </row>
        <row r="1664">
          <cell r="U1664">
            <v>4518124</v>
          </cell>
          <cell r="V1664" t="str">
            <v>45.1</v>
          </cell>
          <cell r="W1664" t="str">
            <v>ΛΟΙΠΕΣ ΚΑΛΛΙΕΡΓΕΙΕΣ</v>
          </cell>
          <cell r="X1664" t="str">
            <v>8124</v>
          </cell>
        </row>
        <row r="1665">
          <cell r="U1665">
            <v>4518687</v>
          </cell>
          <cell r="V1665" t="str">
            <v>45.1</v>
          </cell>
          <cell r="W1665" t="str">
            <v>ΛΟΙΠΕΣ ΚΑΛΛΙΕΡΓΕΙΕΣ</v>
          </cell>
          <cell r="X1665" t="str">
            <v>8687</v>
          </cell>
        </row>
        <row r="1666">
          <cell r="U1666">
            <v>4518700</v>
          </cell>
          <cell r="V1666" t="str">
            <v>45.1</v>
          </cell>
          <cell r="W1666" t="str">
            <v>ΛΟΙΠΕΣ ΚΑΛΛΙΕΡΓΕΙΕΣ</v>
          </cell>
          <cell r="X1666" t="str">
            <v>8700</v>
          </cell>
        </row>
        <row r="1667">
          <cell r="U1667">
            <v>4518701</v>
          </cell>
          <cell r="V1667" t="str">
            <v>45.1</v>
          </cell>
          <cell r="W1667" t="str">
            <v>ΛΟΙΠΕΣ ΚΑΛΛΙΕΡΓΕΙΕΣ</v>
          </cell>
          <cell r="X1667" t="str">
            <v>8701</v>
          </cell>
        </row>
        <row r="1668">
          <cell r="U1668">
            <v>4518706</v>
          </cell>
          <cell r="V1668" t="str">
            <v>45.1</v>
          </cell>
          <cell r="W1668" t="str">
            <v>ΛΟΙΠΕΣ ΚΑΛΛΙΕΡΓΕΙΕΣ</v>
          </cell>
          <cell r="X1668" t="str">
            <v>8706</v>
          </cell>
        </row>
        <row r="1669">
          <cell r="U1669">
            <v>4518709</v>
          </cell>
          <cell r="V1669" t="str">
            <v>45.1</v>
          </cell>
          <cell r="W1669" t="str">
            <v>ΛΟΙΠΕΣ ΚΑΛΛΙΕΡΓΕΙΕΣ</v>
          </cell>
          <cell r="X1669" t="str">
            <v>8709</v>
          </cell>
        </row>
        <row r="1670">
          <cell r="U1670">
            <v>4518744</v>
          </cell>
          <cell r="V1670" t="str">
            <v>45.1</v>
          </cell>
          <cell r="W1670" t="str">
            <v>ΛΟΙΠΕΣ ΚΑΛΛΙΕΡΓΕΙΕΣ</v>
          </cell>
          <cell r="X1670" t="str">
            <v>8744</v>
          </cell>
        </row>
        <row r="1671">
          <cell r="U1671">
            <v>4518745</v>
          </cell>
          <cell r="V1671" t="str">
            <v>45.1</v>
          </cell>
          <cell r="W1671" t="str">
            <v>ΛΟΙΠΕΣ ΚΑΛΛΙΕΡΓΕΙΕΣ</v>
          </cell>
          <cell r="X1671" t="str">
            <v>8745</v>
          </cell>
        </row>
        <row r="1672">
          <cell r="U1672">
            <v>4518748</v>
          </cell>
          <cell r="V1672" t="str">
            <v>45.1</v>
          </cell>
          <cell r="W1672" t="str">
            <v>ΛΟΙΠΕΣ ΚΑΛΛΙΕΡΓΕΙΕΣ</v>
          </cell>
          <cell r="X1672" t="str">
            <v>8748</v>
          </cell>
        </row>
        <row r="1673">
          <cell r="U1673">
            <v>4518749</v>
          </cell>
          <cell r="V1673" t="str">
            <v>45.1</v>
          </cell>
          <cell r="W1673" t="str">
            <v>ΛΟΙΠΕΣ ΚΑΛΛΙΕΡΓΕΙΕΣ</v>
          </cell>
          <cell r="X1673" t="str">
            <v>8749</v>
          </cell>
        </row>
        <row r="1674">
          <cell r="U1674">
            <v>4518760</v>
          </cell>
          <cell r="V1674" t="str">
            <v>45.1</v>
          </cell>
          <cell r="W1674" t="str">
            <v>ΛΟΙΠΕΣ ΚΑΛΛΙΕΡΓΕΙΕΣ</v>
          </cell>
          <cell r="X1674" t="str">
            <v>8760</v>
          </cell>
        </row>
        <row r="1675">
          <cell r="U1675">
            <v>4518781</v>
          </cell>
          <cell r="V1675" t="str">
            <v>45.1</v>
          </cell>
          <cell r="W1675" t="str">
            <v>ΛΟΙΠΕΣ ΚΑΛΛΙΕΡΓΕΙΕΣ</v>
          </cell>
          <cell r="X1675" t="str">
            <v>8781</v>
          </cell>
        </row>
        <row r="1676">
          <cell r="U1676">
            <v>4518782</v>
          </cell>
          <cell r="V1676" t="str">
            <v>45.1</v>
          </cell>
          <cell r="W1676" t="str">
            <v>ΛΟΙΠΕΣ ΚΑΛΛΙΕΡΓΕΙΕΣ</v>
          </cell>
          <cell r="X1676" t="str">
            <v>8782</v>
          </cell>
        </row>
        <row r="1677">
          <cell r="U1677">
            <v>4518784</v>
          </cell>
          <cell r="V1677" t="str">
            <v>45.1</v>
          </cell>
          <cell r="W1677" t="str">
            <v>ΛΟΙΠΕΣ ΚΑΛΛΙΕΡΓΕΙΕΣ</v>
          </cell>
          <cell r="X1677" t="str">
            <v>8784</v>
          </cell>
        </row>
        <row r="1678">
          <cell r="U1678">
            <v>4518785</v>
          </cell>
          <cell r="V1678" t="str">
            <v>45.1</v>
          </cell>
          <cell r="W1678" t="str">
            <v>ΛΟΙΠΕΣ ΚΑΛΛΙΕΡΓΕΙΕΣ</v>
          </cell>
          <cell r="X1678" t="str">
            <v>8785</v>
          </cell>
        </row>
        <row r="1679">
          <cell r="U1679">
            <v>4518786</v>
          </cell>
          <cell r="V1679" t="str">
            <v>45.1</v>
          </cell>
          <cell r="W1679" t="str">
            <v>ΛΟΙΠΕΣ ΚΑΛΛΙΕΡΓΕΙΕΣ</v>
          </cell>
          <cell r="X1679" t="str">
            <v>8786</v>
          </cell>
        </row>
        <row r="1680">
          <cell r="U1680">
            <v>4518787</v>
          </cell>
          <cell r="V1680" t="str">
            <v>45.1</v>
          </cell>
          <cell r="W1680" t="str">
            <v>ΛΟΙΠΕΣ ΚΑΛΛΙΕΡΓΕΙΕΣ</v>
          </cell>
          <cell r="X1680" t="str">
            <v>8787</v>
          </cell>
        </row>
        <row r="1681">
          <cell r="U1681">
            <v>4518788</v>
          </cell>
          <cell r="V1681" t="str">
            <v>45.1</v>
          </cell>
          <cell r="W1681" t="str">
            <v>ΛΟΙΠΕΣ ΚΑΛΛΙΕΡΓΕΙΕΣ</v>
          </cell>
          <cell r="X1681" t="str">
            <v>8788</v>
          </cell>
        </row>
        <row r="1682">
          <cell r="U1682">
            <v>4518789</v>
          </cell>
          <cell r="V1682" t="str">
            <v>45.1</v>
          </cell>
          <cell r="W1682" t="str">
            <v>ΛΟΙΠΕΣ ΚΑΛΛΙΕΡΓΕΙΕΣ</v>
          </cell>
          <cell r="X1682" t="str">
            <v>8789</v>
          </cell>
        </row>
        <row r="1683">
          <cell r="U1683">
            <v>4528126</v>
          </cell>
          <cell r="V1683" t="str">
            <v>45.2</v>
          </cell>
          <cell r="W1683" t="str">
            <v>ΛΟΙΠΕΣ ΔΕΝΔΡΩΔΕΙΣ ΚΑΛΛΙΕΡΓΕΙΕΣ</v>
          </cell>
          <cell r="X1683" t="str">
            <v>8126</v>
          </cell>
        </row>
        <row r="1684">
          <cell r="U1684">
            <v>4528194</v>
          </cell>
          <cell r="V1684" t="str">
            <v>45.2</v>
          </cell>
          <cell r="W1684" t="str">
            <v>ΛΟΙΠΕΣ ΔΕΝΔΡΩΔΕΙΣ ΚΑΛΛΙΕΡΓΕΙΕΣ</v>
          </cell>
          <cell r="X1684" t="str">
            <v>8194</v>
          </cell>
        </row>
        <row r="1685">
          <cell r="U1685">
            <v>4528197</v>
          </cell>
          <cell r="V1685" t="str">
            <v>45.2</v>
          </cell>
          <cell r="W1685" t="str">
            <v>ΛΟΙΠΕΣ ΔΕΝΔΡΩΔΕΙΣ ΚΑΛΛΙΕΡΓΕΙΕΣ</v>
          </cell>
          <cell r="X1685" t="str">
            <v>8197</v>
          </cell>
        </row>
        <row r="1686">
          <cell r="U1686">
            <v>4528198</v>
          </cell>
          <cell r="V1686" t="str">
            <v>45.2</v>
          </cell>
          <cell r="W1686" t="str">
            <v>ΛΟΙΠΕΣ ΔΕΝΔΡΩΔΕΙΣ ΚΑΛΛΙΕΡΓΕΙΕΣ</v>
          </cell>
          <cell r="X1686" t="str">
            <v>8198</v>
          </cell>
        </row>
        <row r="1687">
          <cell r="U1687">
            <v>4528199</v>
          </cell>
          <cell r="V1687" t="str">
            <v>45.2</v>
          </cell>
          <cell r="W1687" t="str">
            <v>ΛΟΙΠΕΣ ΔΕΝΔΡΩΔΕΙΣ ΚΑΛΛΙΕΡΓΕΙΕΣ</v>
          </cell>
          <cell r="X1687" t="str">
            <v>8199</v>
          </cell>
        </row>
        <row r="1688">
          <cell r="U1688">
            <v>4528204</v>
          </cell>
          <cell r="V1688" t="str">
            <v>45.2</v>
          </cell>
          <cell r="W1688" t="str">
            <v>ΛΟΙΠΕΣ ΔΕΝΔΡΩΔΕΙΣ ΚΑΛΛΙΕΡΓΕΙΕΣ</v>
          </cell>
          <cell r="X1688" t="str">
            <v>8204</v>
          </cell>
        </row>
        <row r="1689">
          <cell r="U1689">
            <v>4528501</v>
          </cell>
          <cell r="V1689" t="str">
            <v>45.2</v>
          </cell>
          <cell r="W1689" t="str">
            <v>ΛΟΙΠΕΣ ΔΕΝΔΡΩΔΕΙΣ ΚΑΛΛΙΕΡΓΕΙΕΣ</v>
          </cell>
          <cell r="X1689" t="str">
            <v>8501</v>
          </cell>
        </row>
        <row r="1690">
          <cell r="U1690">
            <v>4528609</v>
          </cell>
          <cell r="V1690" t="str">
            <v>45.2</v>
          </cell>
          <cell r="W1690" t="str">
            <v>ΛΟΙΠΕΣ ΔΕΝΔΡΩΔΕΙΣ ΚΑΛΛΙΕΡΓΕΙΕΣ</v>
          </cell>
          <cell r="X1690" t="str">
            <v>8609</v>
          </cell>
        </row>
        <row r="1691">
          <cell r="U1691">
            <v>4528610</v>
          </cell>
          <cell r="V1691" t="str">
            <v>45.2</v>
          </cell>
          <cell r="W1691" t="str">
            <v>ΛΟΙΠΕΣ ΔΕΝΔΡΩΔΕΙΣ ΚΑΛΛΙΕΡΓΕΙΕΣ</v>
          </cell>
          <cell r="X1691" t="str">
            <v>8610</v>
          </cell>
        </row>
        <row r="1692">
          <cell r="U1692">
            <v>4528774</v>
          </cell>
          <cell r="V1692" t="str">
            <v>45.2</v>
          </cell>
          <cell r="W1692" t="str">
            <v>ΛΟΙΠΕΣ ΔΕΝΔΡΩΔΕΙΣ ΚΑΛΛΙΕΡΓΕΙΕΣ</v>
          </cell>
          <cell r="X1692" t="str">
            <v>8774</v>
          </cell>
        </row>
        <row r="1693">
          <cell r="U1693">
            <v>4528775</v>
          </cell>
          <cell r="V1693" t="str">
            <v>45.2</v>
          </cell>
          <cell r="W1693" t="str">
            <v>ΛΟΙΠΕΣ ΔΕΝΔΡΩΔΕΙΣ ΚΑΛΛΙΕΡΓΕΙΕΣ</v>
          </cell>
          <cell r="X1693" t="str">
            <v>8775</v>
          </cell>
        </row>
        <row r="1694">
          <cell r="U1694">
            <v>4528776</v>
          </cell>
          <cell r="V1694" t="str">
            <v>45.2</v>
          </cell>
          <cell r="W1694" t="str">
            <v>ΛΟΙΠΕΣ ΔΕΝΔΡΩΔΕΙΣ ΚΑΛΛΙΕΡΓΕΙΕΣ</v>
          </cell>
          <cell r="X1694" t="str">
            <v>8776</v>
          </cell>
        </row>
        <row r="1695">
          <cell r="U1695">
            <v>4528777</v>
          </cell>
          <cell r="V1695" t="str">
            <v>45.2</v>
          </cell>
          <cell r="W1695" t="str">
            <v>ΛΟΙΠΕΣ ΔΕΝΔΡΩΔΕΙΣ ΚΑΛΛΙΕΡΓΕΙΕΣ</v>
          </cell>
          <cell r="X1695" t="str">
            <v>8777</v>
          </cell>
        </row>
        <row r="1696">
          <cell r="U1696">
            <v>4528778</v>
          </cell>
          <cell r="V1696" t="str">
            <v>45.2</v>
          </cell>
          <cell r="W1696" t="str">
            <v>ΛΟΙΠΕΣ ΔΕΝΔΡΩΔΕΙΣ ΚΑΛΛΙΕΡΓΕΙΕΣ</v>
          </cell>
          <cell r="X1696" t="str">
            <v>8778</v>
          </cell>
        </row>
        <row r="1697">
          <cell r="U1697">
            <v>4528779</v>
          </cell>
          <cell r="V1697" t="str">
            <v>45.2</v>
          </cell>
          <cell r="W1697" t="str">
            <v>ΛΟΙΠΕΣ ΔΕΝΔΡΩΔΕΙΣ ΚΑΛΛΙΕΡΓΕΙΕΣ</v>
          </cell>
          <cell r="X1697" t="str">
            <v>8779</v>
          </cell>
        </row>
        <row r="1698">
          <cell r="U1698">
            <v>4528783</v>
          </cell>
          <cell r="V1698" t="str">
            <v>45.2</v>
          </cell>
          <cell r="W1698" t="str">
            <v>ΛΟΙΠΕΣ ΔΕΝΔΡΩΔΕΙΣ ΚΑΛΛΙΕΡΓΕΙΕΣ</v>
          </cell>
          <cell r="X1698" t="str">
            <v>8783</v>
          </cell>
        </row>
        <row r="1699">
          <cell r="U1699">
            <v>4538750</v>
          </cell>
          <cell r="V1699" t="str">
            <v>45.3</v>
          </cell>
          <cell r="W1699" t="str">
            <v>ΦΥΤΩΡΙΑ</v>
          </cell>
          <cell r="X1699" t="str">
            <v>8750</v>
          </cell>
        </row>
        <row r="1700">
          <cell r="U1700">
            <v>4538751</v>
          </cell>
          <cell r="V1700" t="str">
            <v>45.3</v>
          </cell>
          <cell r="W1700" t="str">
            <v>ΦΥΤΩΡΙΑ</v>
          </cell>
          <cell r="X1700" t="str">
            <v>8751</v>
          </cell>
        </row>
        <row r="1701">
          <cell r="U1701">
            <v>4538752</v>
          </cell>
          <cell r="V1701" t="str">
            <v>45.3</v>
          </cell>
          <cell r="W1701" t="str">
            <v>ΦΥΤΩΡΙΑ</v>
          </cell>
          <cell r="X1701" t="str">
            <v>8752</v>
          </cell>
        </row>
        <row r="1702">
          <cell r="U1702">
            <v>4538753</v>
          </cell>
          <cell r="V1702" t="str">
            <v>45.3</v>
          </cell>
          <cell r="W1702" t="str">
            <v>ΦΥΤΩΡΙΑ</v>
          </cell>
          <cell r="X1702" t="str">
            <v>8753</v>
          </cell>
        </row>
        <row r="1703">
          <cell r="U1703">
            <v>4538754</v>
          </cell>
          <cell r="V1703" t="str">
            <v>45.3</v>
          </cell>
          <cell r="W1703" t="str">
            <v>ΦΥΤΩΡΙΑ</v>
          </cell>
          <cell r="X1703" t="str">
            <v>8754</v>
          </cell>
        </row>
        <row r="1704">
          <cell r="U1704">
            <v>4710300</v>
          </cell>
          <cell r="V1704" t="str">
            <v>47</v>
          </cell>
          <cell r="W1704" t="str">
            <v>ΧΩΡΟΙ ΕΚΤΡΟΦΗΣ ΣΑΛΙΓΚΑΡΙΩΝ</v>
          </cell>
          <cell r="X1704" t="str">
            <v>10300</v>
          </cell>
        </row>
        <row r="1705">
          <cell r="U1705">
            <v>6610901</v>
          </cell>
          <cell r="V1705" t="str">
            <v>66</v>
          </cell>
          <cell r="W1705" t="str">
            <v>ΠΥΡΗΝΟΚΑΡΠΑ</v>
          </cell>
          <cell r="X1705" t="str">
            <v>10901</v>
          </cell>
        </row>
        <row r="1706">
          <cell r="U1706">
            <v>6614003</v>
          </cell>
          <cell r="V1706" t="str">
            <v>66</v>
          </cell>
          <cell r="W1706" t="str">
            <v>ΠΥΡΗΝΟΚΑΡΠΑ</v>
          </cell>
          <cell r="X1706" t="str">
            <v>14003</v>
          </cell>
        </row>
        <row r="1707">
          <cell r="U1707">
            <v>6614006</v>
          </cell>
          <cell r="V1707" t="str">
            <v>66</v>
          </cell>
          <cell r="W1707" t="str">
            <v>ΠΥΡΗΝΟΚΑΡΠΑ</v>
          </cell>
          <cell r="X1707" t="str">
            <v>14006</v>
          </cell>
        </row>
        <row r="1708">
          <cell r="U1708">
            <v>6614007</v>
          </cell>
          <cell r="V1708" t="str">
            <v>66</v>
          </cell>
          <cell r="W1708" t="str">
            <v>ΠΥΡΗΝΟΚΑΡΠΑ</v>
          </cell>
          <cell r="X1708" t="str">
            <v>14007</v>
          </cell>
        </row>
        <row r="1709">
          <cell r="U1709">
            <v>6614008</v>
          </cell>
          <cell r="V1709" t="str">
            <v>66</v>
          </cell>
          <cell r="W1709" t="str">
            <v>ΠΥΡΗΝΟΚΑΡΠΑ</v>
          </cell>
          <cell r="X1709" t="str">
            <v>14008</v>
          </cell>
        </row>
        <row r="1710">
          <cell r="U1710">
            <v>6614036</v>
          </cell>
          <cell r="V1710" t="str">
            <v>66</v>
          </cell>
          <cell r="W1710" t="str">
            <v>ΠΥΡΗΝΟΚΑΡΠΑ</v>
          </cell>
          <cell r="X1710" t="str">
            <v>14036</v>
          </cell>
        </row>
        <row r="1711">
          <cell r="U1711">
            <v>6614037</v>
          </cell>
          <cell r="V1711" t="str">
            <v>66</v>
          </cell>
          <cell r="W1711" t="str">
            <v>ΠΥΡΗΝΟΚΑΡΠΑ</v>
          </cell>
          <cell r="X1711" t="str">
            <v>14037</v>
          </cell>
        </row>
        <row r="1712">
          <cell r="U1712">
            <v>6614038</v>
          </cell>
          <cell r="V1712" t="str">
            <v>66</v>
          </cell>
          <cell r="W1712" t="str">
            <v>ΠΥΡΗΝΟΚΑΡΠΑ</v>
          </cell>
          <cell r="X1712" t="str">
            <v>14038</v>
          </cell>
        </row>
        <row r="1713">
          <cell r="U1713">
            <v>6666001</v>
          </cell>
          <cell r="V1713" t="str">
            <v>66</v>
          </cell>
          <cell r="W1713" t="str">
            <v>ΠΥΡΗΝΟΚΑΡΠΑ</v>
          </cell>
          <cell r="X1713" t="str">
            <v>66001</v>
          </cell>
        </row>
        <row r="1714">
          <cell r="U1714">
            <v>6666002</v>
          </cell>
          <cell r="V1714" t="str">
            <v>66</v>
          </cell>
          <cell r="W1714" t="str">
            <v>ΠΥΡΗΝΟΚΑΡΠΑ</v>
          </cell>
          <cell r="X1714" t="str">
            <v>66002</v>
          </cell>
        </row>
        <row r="1715">
          <cell r="U1715">
            <v>6666003</v>
          </cell>
          <cell r="V1715" t="str">
            <v>66</v>
          </cell>
          <cell r="W1715" t="str">
            <v>ΠΥΡΗΝΟΚΑΡΠΑ</v>
          </cell>
          <cell r="X1715" t="str">
            <v>66003</v>
          </cell>
        </row>
        <row r="1716">
          <cell r="U1716">
            <v>6666004</v>
          </cell>
          <cell r="V1716" t="str">
            <v>66</v>
          </cell>
          <cell r="W1716" t="str">
            <v>ΠΥΡΗΝΟΚΑΡΠΑ</v>
          </cell>
          <cell r="X1716" t="str">
            <v>66004</v>
          </cell>
        </row>
        <row r="1717">
          <cell r="U1717">
            <v>6666005</v>
          </cell>
          <cell r="V1717" t="str">
            <v>66</v>
          </cell>
          <cell r="W1717" t="str">
            <v>ΠΥΡΗΝΟΚΑΡΠΑ</v>
          </cell>
          <cell r="X1717" t="str">
            <v>66005</v>
          </cell>
        </row>
        <row r="1718">
          <cell r="U1718">
            <v>6666006</v>
          </cell>
          <cell r="V1718" t="str">
            <v>66</v>
          </cell>
          <cell r="W1718" t="str">
            <v>ΠΥΡΗΝΟΚΑΡΠΑ</v>
          </cell>
          <cell r="X1718" t="str">
            <v>66006</v>
          </cell>
        </row>
        <row r="1719">
          <cell r="U1719">
            <v>6666007</v>
          </cell>
          <cell r="V1719" t="str">
            <v>66</v>
          </cell>
          <cell r="W1719" t="str">
            <v>ΠΥΡΗΝΟΚΑΡΠΑ</v>
          </cell>
          <cell r="X1719" t="str">
            <v>66007</v>
          </cell>
        </row>
        <row r="1720">
          <cell r="U1720">
            <v>6666008</v>
          </cell>
          <cell r="V1720" t="str">
            <v>66</v>
          </cell>
          <cell r="W1720" t="str">
            <v>ΠΥΡΗΝΟΚΑΡΠΑ</v>
          </cell>
          <cell r="X1720" t="str">
            <v>66008</v>
          </cell>
        </row>
        <row r="1721">
          <cell r="U1721">
            <v>6666009</v>
          </cell>
          <cell r="V1721" t="str">
            <v>66</v>
          </cell>
          <cell r="W1721" t="str">
            <v>ΠΥΡΗΝΟΚΑΡΠΑ</v>
          </cell>
          <cell r="X1721" t="str">
            <v>66009</v>
          </cell>
        </row>
        <row r="1722">
          <cell r="U1722">
            <v>6666010</v>
          </cell>
          <cell r="V1722" t="str">
            <v>66</v>
          </cell>
          <cell r="W1722" t="str">
            <v>ΠΥΡΗΝΟΚΑΡΠΑ</v>
          </cell>
          <cell r="X1722" t="str">
            <v>66010</v>
          </cell>
        </row>
        <row r="1723">
          <cell r="U1723">
            <v>6666011</v>
          </cell>
          <cell r="V1723" t="str">
            <v>66</v>
          </cell>
          <cell r="W1723" t="str">
            <v>ΠΥΡΗΝΟΚΑΡΠΑ</v>
          </cell>
          <cell r="X1723" t="str">
            <v>66011</v>
          </cell>
        </row>
        <row r="1724">
          <cell r="U1724">
            <v>6666012</v>
          </cell>
          <cell r="V1724" t="str">
            <v>66</v>
          </cell>
          <cell r="W1724" t="str">
            <v>ΠΥΡΗΝΟΚΑΡΠΑ</v>
          </cell>
          <cell r="X1724" t="str">
            <v>66012</v>
          </cell>
        </row>
        <row r="1725">
          <cell r="U1725">
            <v>6666013</v>
          </cell>
          <cell r="V1725" t="str">
            <v>66</v>
          </cell>
          <cell r="W1725" t="str">
            <v>ΠΥΡΗΝΟΚΑΡΠΑ</v>
          </cell>
          <cell r="X1725" t="str">
            <v>66013</v>
          </cell>
        </row>
        <row r="1726">
          <cell r="U1726">
            <v>6666014</v>
          </cell>
          <cell r="V1726" t="str">
            <v>66</v>
          </cell>
          <cell r="W1726" t="str">
            <v>ΠΥΡΗΝΟΚΑΡΠΑ</v>
          </cell>
          <cell r="X1726" t="str">
            <v>66014</v>
          </cell>
        </row>
        <row r="1727">
          <cell r="U1727">
            <v>6666015</v>
          </cell>
          <cell r="V1727" t="str">
            <v>66</v>
          </cell>
          <cell r="W1727" t="str">
            <v>ΠΥΡΗΝΟΚΑΡΠΑ</v>
          </cell>
          <cell r="X1727" t="str">
            <v>66015</v>
          </cell>
        </row>
        <row r="1728">
          <cell r="U1728">
            <v>6666016</v>
          </cell>
          <cell r="V1728" t="str">
            <v>66</v>
          </cell>
          <cell r="W1728" t="str">
            <v>ΠΥΡΗΝΟΚΑΡΠΑ</v>
          </cell>
          <cell r="X1728" t="str">
            <v>66016</v>
          </cell>
        </row>
        <row r="1729">
          <cell r="U1729">
            <v>6666017</v>
          </cell>
          <cell r="V1729" t="str">
            <v>66</v>
          </cell>
          <cell r="W1729" t="str">
            <v>ΠΥΡΗΝΟΚΑΡΠΑ</v>
          </cell>
          <cell r="X1729" t="str">
            <v>66017</v>
          </cell>
        </row>
        <row r="1730">
          <cell r="U1730">
            <v>6666018</v>
          </cell>
          <cell r="V1730" t="str">
            <v>66</v>
          </cell>
          <cell r="W1730" t="str">
            <v>ΠΥΡΗΝΟΚΑΡΠΑ</v>
          </cell>
          <cell r="X1730" t="str">
            <v>66018</v>
          </cell>
        </row>
        <row r="1731">
          <cell r="U1731">
            <v>6666019</v>
          </cell>
          <cell r="V1731" t="str">
            <v>66</v>
          </cell>
          <cell r="W1731" t="str">
            <v>ΠΥΡΗΝΟΚΑΡΠΑ</v>
          </cell>
          <cell r="X1731" t="str">
            <v>66019</v>
          </cell>
        </row>
        <row r="1732">
          <cell r="U1732">
            <v>6666020</v>
          </cell>
          <cell r="V1732" t="str">
            <v>66</v>
          </cell>
          <cell r="W1732" t="str">
            <v>ΠΥΡΗΝΟΚΑΡΠΑ</v>
          </cell>
          <cell r="X1732" t="str">
            <v>66020</v>
          </cell>
        </row>
        <row r="1733">
          <cell r="U1733">
            <v>6666021</v>
          </cell>
          <cell r="V1733" t="str">
            <v>66</v>
          </cell>
          <cell r="W1733" t="str">
            <v>ΠΥΡΗΝΟΚΑΡΠΑ</v>
          </cell>
          <cell r="X1733" t="str">
            <v>66021</v>
          </cell>
        </row>
        <row r="1734">
          <cell r="U1734">
            <v>6666022</v>
          </cell>
          <cell r="V1734" t="str">
            <v>66</v>
          </cell>
          <cell r="W1734" t="str">
            <v>ΠΥΡΗΝΟΚΑΡΠΑ</v>
          </cell>
          <cell r="X1734" t="str">
            <v>66022</v>
          </cell>
        </row>
        <row r="1735">
          <cell r="U1735">
            <v>6666023</v>
          </cell>
          <cell r="V1735" t="str">
            <v>66</v>
          </cell>
          <cell r="W1735" t="str">
            <v>ΠΥΡΗΝΟΚΑΡΠΑ</v>
          </cell>
          <cell r="X1735" t="str">
            <v>66023</v>
          </cell>
        </row>
        <row r="1736">
          <cell r="U1736">
            <v>6666024</v>
          </cell>
          <cell r="V1736" t="str">
            <v>66</v>
          </cell>
          <cell r="W1736" t="str">
            <v>ΠΥΡΗΝΟΚΑΡΠΑ</v>
          </cell>
          <cell r="X1736" t="str">
            <v>66024</v>
          </cell>
        </row>
        <row r="1737">
          <cell r="U1737">
            <v>6666025</v>
          </cell>
          <cell r="V1737" t="str">
            <v>66</v>
          </cell>
          <cell r="W1737" t="str">
            <v>ΠΥΡΗΝΟΚΑΡΠΑ</v>
          </cell>
          <cell r="X1737" t="str">
            <v>66025</v>
          </cell>
        </row>
        <row r="1738">
          <cell r="U1738">
            <v>6666026</v>
          </cell>
          <cell r="V1738" t="str">
            <v>66</v>
          </cell>
          <cell r="W1738" t="str">
            <v>ΠΥΡΗΝΟΚΑΡΠΑ</v>
          </cell>
          <cell r="X1738" t="str">
            <v>66026</v>
          </cell>
        </row>
        <row r="1739">
          <cell r="U1739">
            <v>6666027</v>
          </cell>
          <cell r="V1739" t="str">
            <v>66</v>
          </cell>
          <cell r="W1739" t="str">
            <v>ΠΥΡΗΝΟΚΑΡΠΑ</v>
          </cell>
          <cell r="X1739" t="str">
            <v>66027</v>
          </cell>
        </row>
        <row r="1740">
          <cell r="U1740">
            <v>6666028</v>
          </cell>
          <cell r="V1740" t="str">
            <v>66</v>
          </cell>
          <cell r="W1740" t="str">
            <v>ΠΥΡΗΝΟΚΑΡΠΑ</v>
          </cell>
          <cell r="X1740" t="str">
            <v>66028</v>
          </cell>
        </row>
        <row r="1741">
          <cell r="U1741">
            <v>6666029</v>
          </cell>
          <cell r="V1741" t="str">
            <v>66</v>
          </cell>
          <cell r="W1741" t="str">
            <v>ΠΥΡΗΝΟΚΑΡΠΑ</v>
          </cell>
          <cell r="X1741" t="str">
            <v>66029</v>
          </cell>
        </row>
        <row r="1742">
          <cell r="U1742">
            <v>6666030</v>
          </cell>
          <cell r="V1742" t="str">
            <v>66</v>
          </cell>
          <cell r="W1742" t="str">
            <v>ΠΥΡΗΝΟΚΑΡΠΑ</v>
          </cell>
          <cell r="X1742" t="str">
            <v>66030</v>
          </cell>
        </row>
        <row r="1743">
          <cell r="U1743">
            <v>6666031</v>
          </cell>
          <cell r="V1743" t="str">
            <v>66</v>
          </cell>
          <cell r="W1743" t="str">
            <v>ΠΥΡΗΝΟΚΑΡΠΑ</v>
          </cell>
          <cell r="X1743" t="str">
            <v>66031</v>
          </cell>
        </row>
        <row r="1744">
          <cell r="U1744">
            <v>6666032</v>
          </cell>
          <cell r="V1744" t="str">
            <v>66</v>
          </cell>
          <cell r="W1744" t="str">
            <v>ΠΥΡΗΝΟΚΑΡΠΑ</v>
          </cell>
          <cell r="X1744" t="str">
            <v>66032</v>
          </cell>
        </row>
        <row r="1745">
          <cell r="U1745">
            <v>6666033</v>
          </cell>
          <cell r="V1745" t="str">
            <v>66</v>
          </cell>
          <cell r="W1745" t="str">
            <v>ΠΥΡΗΝΟΚΑΡΠΑ</v>
          </cell>
          <cell r="X1745" t="str">
            <v>66033</v>
          </cell>
        </row>
        <row r="1746">
          <cell r="U1746">
            <v>6666034</v>
          </cell>
          <cell r="V1746" t="str">
            <v>66</v>
          </cell>
          <cell r="W1746" t="str">
            <v>ΠΥΡΗΝΟΚΑΡΠΑ</v>
          </cell>
          <cell r="X1746" t="str">
            <v>66034</v>
          </cell>
        </row>
        <row r="1747">
          <cell r="U1747">
            <v>6666035</v>
          </cell>
          <cell r="V1747" t="str">
            <v>66</v>
          </cell>
          <cell r="W1747" t="str">
            <v>ΠΥΡΗΝΟΚΑΡΠΑ</v>
          </cell>
          <cell r="X1747" t="str">
            <v>66035</v>
          </cell>
        </row>
        <row r="1748">
          <cell r="U1748">
            <v>6666036</v>
          </cell>
          <cell r="V1748" t="str">
            <v>66</v>
          </cell>
          <cell r="W1748" t="str">
            <v>ΠΥΡΗΝΟΚΑΡΠΑ</v>
          </cell>
          <cell r="X1748" t="str">
            <v>66036</v>
          </cell>
        </row>
        <row r="1749">
          <cell r="U1749">
            <v>6666037</v>
          </cell>
          <cell r="V1749" t="str">
            <v>66</v>
          </cell>
          <cell r="W1749" t="str">
            <v>ΠΥΡΗΝΟΚΑΡΠΑ</v>
          </cell>
          <cell r="X1749" t="str">
            <v>66037</v>
          </cell>
        </row>
        <row r="1750">
          <cell r="U1750">
            <v>6666038</v>
          </cell>
          <cell r="V1750" t="str">
            <v>66</v>
          </cell>
          <cell r="W1750" t="str">
            <v>ΠΥΡΗΝΟΚΑΡΠΑ</v>
          </cell>
          <cell r="X1750" t="str">
            <v>66038</v>
          </cell>
        </row>
        <row r="1751">
          <cell r="U1751">
            <v>6666039</v>
          </cell>
          <cell r="V1751" t="str">
            <v>66</v>
          </cell>
          <cell r="W1751" t="str">
            <v>ΠΥΡΗΝΟΚΑΡΠΑ</v>
          </cell>
          <cell r="X1751" t="str">
            <v>66039</v>
          </cell>
        </row>
        <row r="1752">
          <cell r="U1752">
            <v>6666040</v>
          </cell>
          <cell r="V1752" t="str">
            <v>66</v>
          </cell>
          <cell r="W1752" t="str">
            <v>ΠΥΡΗΝΟΚΑΡΠΑ</v>
          </cell>
          <cell r="X1752" t="str">
            <v>66040</v>
          </cell>
        </row>
        <row r="1753">
          <cell r="U1753">
            <v>6666041</v>
          </cell>
          <cell r="V1753" t="str">
            <v>66</v>
          </cell>
          <cell r="W1753" t="str">
            <v>ΠΥΡΗΝΟΚΑΡΠΑ</v>
          </cell>
          <cell r="X1753" t="str">
            <v>66041</v>
          </cell>
        </row>
        <row r="1754">
          <cell r="U1754">
            <v>6666042</v>
          </cell>
          <cell r="V1754" t="str">
            <v>66</v>
          </cell>
          <cell r="W1754" t="str">
            <v>ΠΥΡΗΝΟΚΑΡΠΑ</v>
          </cell>
          <cell r="X1754" t="str">
            <v>66042</v>
          </cell>
        </row>
        <row r="1755">
          <cell r="U1755">
            <v>6666043</v>
          </cell>
          <cell r="V1755" t="str">
            <v>66</v>
          </cell>
          <cell r="W1755" t="str">
            <v>ΠΥΡΗΝΟΚΑΡΠΑ</v>
          </cell>
          <cell r="X1755" t="str">
            <v>66043</v>
          </cell>
        </row>
        <row r="1756">
          <cell r="U1756">
            <v>6666044</v>
          </cell>
          <cell r="V1756" t="str">
            <v>66</v>
          </cell>
          <cell r="W1756" t="str">
            <v>ΠΥΡΗΝΟΚΑΡΠΑ</v>
          </cell>
          <cell r="X1756" t="str">
            <v>66044</v>
          </cell>
        </row>
        <row r="1757">
          <cell r="U1757">
            <v>6666045</v>
          </cell>
          <cell r="V1757" t="str">
            <v>66</v>
          </cell>
          <cell r="W1757" t="str">
            <v>ΠΥΡΗΝΟΚΑΡΠΑ</v>
          </cell>
          <cell r="X1757" t="str">
            <v>66045</v>
          </cell>
        </row>
        <row r="1758">
          <cell r="U1758">
            <v>6666046</v>
          </cell>
          <cell r="V1758" t="str">
            <v>66</v>
          </cell>
          <cell r="W1758" t="str">
            <v>ΠΥΡΗΝΟΚΑΡΠΑ</v>
          </cell>
          <cell r="X1758" t="str">
            <v>66046</v>
          </cell>
        </row>
        <row r="1759">
          <cell r="U1759">
            <v>6666047</v>
          </cell>
          <cell r="V1759" t="str">
            <v>66</v>
          </cell>
          <cell r="W1759" t="str">
            <v>ΠΥΡΗΝΟΚΑΡΠΑ</v>
          </cell>
          <cell r="X1759" t="str">
            <v>66047</v>
          </cell>
        </row>
        <row r="1760">
          <cell r="U1760">
            <v>6666048</v>
          </cell>
          <cell r="V1760" t="str">
            <v>66</v>
          </cell>
          <cell r="W1760" t="str">
            <v>ΠΥΡΗΝΟΚΑΡΠΑ</v>
          </cell>
          <cell r="X1760" t="str">
            <v>66048</v>
          </cell>
        </row>
        <row r="1761">
          <cell r="U1761">
            <v>6666049</v>
          </cell>
          <cell r="V1761" t="str">
            <v>66</v>
          </cell>
          <cell r="W1761" t="str">
            <v>ΠΥΡΗΝΟΚΑΡΠΑ</v>
          </cell>
          <cell r="X1761" t="str">
            <v>66049</v>
          </cell>
        </row>
        <row r="1762">
          <cell r="U1762">
            <v>6666050</v>
          </cell>
          <cell r="V1762" t="str">
            <v>66</v>
          </cell>
          <cell r="W1762" t="str">
            <v>ΠΥΡΗΝΟΚΑΡΠΑ</v>
          </cell>
          <cell r="X1762" t="str">
            <v>66050</v>
          </cell>
        </row>
        <row r="1763">
          <cell r="U1763">
            <v>6666051</v>
          </cell>
          <cell r="V1763" t="str">
            <v>66</v>
          </cell>
          <cell r="W1763" t="str">
            <v>ΠΥΡΗΝΟΚΑΡΠΑ</v>
          </cell>
          <cell r="X1763" t="str">
            <v>66051</v>
          </cell>
        </row>
        <row r="1764">
          <cell r="U1764">
            <v>6666052</v>
          </cell>
          <cell r="V1764" t="str">
            <v>66</v>
          </cell>
          <cell r="W1764" t="str">
            <v>ΠΥΡΗΝΟΚΑΡΠΑ</v>
          </cell>
          <cell r="X1764" t="str">
            <v>66052</v>
          </cell>
        </row>
        <row r="1765">
          <cell r="U1765">
            <v>6666053</v>
          </cell>
          <cell r="V1765" t="str">
            <v>66</v>
          </cell>
          <cell r="W1765" t="str">
            <v>ΠΥΡΗΝΟΚΑΡΠΑ</v>
          </cell>
          <cell r="X1765" t="str">
            <v>66053</v>
          </cell>
        </row>
        <row r="1766">
          <cell r="U1766">
            <v>6666054</v>
          </cell>
          <cell r="V1766" t="str">
            <v>66</v>
          </cell>
          <cell r="W1766" t="str">
            <v>ΠΥΡΗΝΟΚΑΡΠΑ</v>
          </cell>
          <cell r="X1766" t="str">
            <v>66054</v>
          </cell>
        </row>
        <row r="1767">
          <cell r="U1767">
            <v>6666055</v>
          </cell>
          <cell r="V1767" t="str">
            <v>66</v>
          </cell>
          <cell r="W1767" t="str">
            <v>ΠΥΡΗΝΟΚΑΡΠΑ</v>
          </cell>
          <cell r="X1767" t="str">
            <v>66055</v>
          </cell>
        </row>
        <row r="1768">
          <cell r="U1768">
            <v>6666056</v>
          </cell>
          <cell r="V1768" t="str">
            <v>66</v>
          </cell>
          <cell r="W1768" t="str">
            <v>ΠΥΡΗΝΟΚΑΡΠΑ</v>
          </cell>
          <cell r="X1768" t="str">
            <v>66056</v>
          </cell>
        </row>
        <row r="1769">
          <cell r="U1769">
            <v>6666057</v>
          </cell>
          <cell r="V1769" t="str">
            <v>66</v>
          </cell>
          <cell r="W1769" t="str">
            <v>ΠΥΡΗΝΟΚΑΡΠΑ</v>
          </cell>
          <cell r="X1769" t="str">
            <v>66057</v>
          </cell>
        </row>
        <row r="1770">
          <cell r="U1770">
            <v>6666058</v>
          </cell>
          <cell r="V1770" t="str">
            <v>66</v>
          </cell>
          <cell r="W1770" t="str">
            <v>ΠΥΡΗΝΟΚΑΡΠΑ</v>
          </cell>
          <cell r="X1770" t="str">
            <v>66058</v>
          </cell>
        </row>
        <row r="1771">
          <cell r="U1771">
            <v>6666059</v>
          </cell>
          <cell r="V1771" t="str">
            <v>66</v>
          </cell>
          <cell r="W1771" t="str">
            <v>ΠΥΡΗΝΟΚΑΡΠΑ</v>
          </cell>
          <cell r="X1771" t="str">
            <v>66059</v>
          </cell>
        </row>
        <row r="1772">
          <cell r="U1772">
            <v>6666060</v>
          </cell>
          <cell r="V1772" t="str">
            <v>66</v>
          </cell>
          <cell r="W1772" t="str">
            <v>ΠΥΡΗΝΟΚΑΡΠΑ</v>
          </cell>
          <cell r="X1772" t="str">
            <v>66060</v>
          </cell>
        </row>
        <row r="1773">
          <cell r="U1773">
            <v>6666061</v>
          </cell>
          <cell r="V1773" t="str">
            <v>66</v>
          </cell>
          <cell r="W1773" t="str">
            <v>ΠΥΡΗΝΟΚΑΡΠΑ</v>
          </cell>
          <cell r="X1773" t="str">
            <v>66061</v>
          </cell>
        </row>
        <row r="1774">
          <cell r="U1774">
            <v>6666062</v>
          </cell>
          <cell r="V1774" t="str">
            <v>66</v>
          </cell>
          <cell r="W1774" t="str">
            <v>ΠΥΡΗΝΟΚΑΡΠΑ</v>
          </cell>
          <cell r="X1774" t="str">
            <v>66062</v>
          </cell>
        </row>
        <row r="1775">
          <cell r="U1775">
            <v>6666063</v>
          </cell>
          <cell r="V1775" t="str">
            <v>66</v>
          </cell>
          <cell r="W1775" t="str">
            <v>ΠΥΡΗΝΟΚΑΡΠΑ</v>
          </cell>
          <cell r="X1775" t="str">
            <v>66063</v>
          </cell>
        </row>
        <row r="1776">
          <cell r="U1776">
            <v>6666064</v>
          </cell>
          <cell r="V1776" t="str">
            <v>66</v>
          </cell>
          <cell r="W1776" t="str">
            <v>ΠΥΡΗΝΟΚΑΡΠΑ</v>
          </cell>
          <cell r="X1776" t="str">
            <v>66064</v>
          </cell>
        </row>
        <row r="1777">
          <cell r="U1777">
            <v>6666065</v>
          </cell>
          <cell r="V1777" t="str">
            <v>66</v>
          </cell>
          <cell r="W1777" t="str">
            <v>ΠΥΡΗΝΟΚΑΡΠΑ</v>
          </cell>
          <cell r="X1777" t="str">
            <v>66065</v>
          </cell>
        </row>
        <row r="1778">
          <cell r="U1778">
            <v>6666066</v>
          </cell>
          <cell r="V1778" t="str">
            <v>66</v>
          </cell>
          <cell r="W1778" t="str">
            <v>ΠΥΡΗΝΟΚΑΡΠΑ</v>
          </cell>
          <cell r="X1778" t="str">
            <v>66066</v>
          </cell>
        </row>
        <row r="1779">
          <cell r="U1779">
            <v>6666067</v>
          </cell>
          <cell r="V1779" t="str">
            <v>66</v>
          </cell>
          <cell r="W1779" t="str">
            <v>ΠΥΡΗΝΟΚΑΡΠΑ</v>
          </cell>
          <cell r="X1779" t="str">
            <v>66067</v>
          </cell>
        </row>
        <row r="1780">
          <cell r="U1780">
            <v>6666068</v>
          </cell>
          <cell r="V1780" t="str">
            <v>66</v>
          </cell>
          <cell r="W1780" t="str">
            <v>ΠΥΡΗΝΟΚΑΡΠΑ</v>
          </cell>
          <cell r="X1780" t="str">
            <v>66068</v>
          </cell>
        </row>
        <row r="1781">
          <cell r="U1781">
            <v>6666069</v>
          </cell>
          <cell r="V1781" t="str">
            <v>66</v>
          </cell>
          <cell r="W1781" t="str">
            <v>ΠΥΡΗΝΟΚΑΡΠΑ</v>
          </cell>
          <cell r="X1781" t="str">
            <v>66069</v>
          </cell>
        </row>
        <row r="1782">
          <cell r="U1782">
            <v>6666070</v>
          </cell>
          <cell r="V1782" t="str">
            <v>66</v>
          </cell>
          <cell r="W1782" t="str">
            <v>ΠΥΡΗΝΟΚΑΡΠΑ</v>
          </cell>
          <cell r="X1782" t="str">
            <v>66070</v>
          </cell>
        </row>
        <row r="1783">
          <cell r="U1783">
            <v>6666071</v>
          </cell>
          <cell r="V1783" t="str">
            <v>66</v>
          </cell>
          <cell r="W1783" t="str">
            <v>ΠΥΡΗΝΟΚΑΡΠΑ</v>
          </cell>
          <cell r="X1783" t="str">
            <v>66071</v>
          </cell>
        </row>
        <row r="1784">
          <cell r="U1784">
            <v>6666072</v>
          </cell>
          <cell r="V1784" t="str">
            <v>66</v>
          </cell>
          <cell r="W1784" t="str">
            <v>ΠΥΡΗΝΟΚΑΡΠΑ</v>
          </cell>
          <cell r="X1784" t="str">
            <v>66072</v>
          </cell>
        </row>
        <row r="1785">
          <cell r="U1785">
            <v>6666073</v>
          </cell>
          <cell r="V1785" t="str">
            <v>66</v>
          </cell>
          <cell r="W1785" t="str">
            <v>ΠΥΡΗΝΟΚΑΡΠΑ</v>
          </cell>
          <cell r="X1785" t="str">
            <v>66073</v>
          </cell>
        </row>
        <row r="1786">
          <cell r="U1786">
            <v>6666074</v>
          </cell>
          <cell r="V1786" t="str">
            <v>66</v>
          </cell>
          <cell r="W1786" t="str">
            <v>ΠΥΡΗΝΟΚΑΡΠΑ</v>
          </cell>
          <cell r="X1786" t="str">
            <v>66074</v>
          </cell>
        </row>
        <row r="1787">
          <cell r="U1787">
            <v>6666075</v>
          </cell>
          <cell r="V1787" t="str">
            <v>66</v>
          </cell>
          <cell r="W1787" t="str">
            <v>ΠΥΡΗΝΟΚΑΡΠΑ</v>
          </cell>
          <cell r="X1787" t="str">
            <v>66075</v>
          </cell>
        </row>
        <row r="1788">
          <cell r="U1788">
            <v>6666076</v>
          </cell>
          <cell r="V1788" t="str">
            <v>66</v>
          </cell>
          <cell r="W1788" t="str">
            <v>ΠΥΡΗΝΟΚΑΡΠΑ</v>
          </cell>
          <cell r="X1788" t="str">
            <v>66076</v>
          </cell>
        </row>
        <row r="1789">
          <cell r="U1789">
            <v>6666077</v>
          </cell>
          <cell r="V1789" t="str">
            <v>66</v>
          </cell>
          <cell r="W1789" t="str">
            <v>ΠΥΡΗΝΟΚΑΡΠΑ</v>
          </cell>
          <cell r="X1789" t="str">
            <v>66077</v>
          </cell>
        </row>
        <row r="1790">
          <cell r="U1790">
            <v>6666078</v>
          </cell>
          <cell r="V1790" t="str">
            <v>66</v>
          </cell>
          <cell r="W1790" t="str">
            <v>ΠΥΡΗΝΟΚΑΡΠΑ</v>
          </cell>
          <cell r="X1790" t="str">
            <v>66078</v>
          </cell>
        </row>
        <row r="1791">
          <cell r="U1791">
            <v>6666079</v>
          </cell>
          <cell r="V1791" t="str">
            <v>66</v>
          </cell>
          <cell r="W1791" t="str">
            <v>ΠΥΡΗΝΟΚΑΡΠΑ</v>
          </cell>
          <cell r="X1791" t="str">
            <v>66079</v>
          </cell>
        </row>
        <row r="1792">
          <cell r="U1792">
            <v>6666080</v>
          </cell>
          <cell r="V1792" t="str">
            <v>66</v>
          </cell>
          <cell r="W1792" t="str">
            <v>ΠΥΡΗΝΟΚΑΡΠΑ</v>
          </cell>
          <cell r="X1792" t="str">
            <v>66080</v>
          </cell>
        </row>
        <row r="1793">
          <cell r="U1793">
            <v>6666081</v>
          </cell>
          <cell r="V1793" t="str">
            <v>66</v>
          </cell>
          <cell r="W1793" t="str">
            <v>ΠΥΡΗΝΟΚΑΡΠΑ</v>
          </cell>
          <cell r="X1793" t="str">
            <v>66081</v>
          </cell>
        </row>
        <row r="1794">
          <cell r="U1794">
            <v>6666082</v>
          </cell>
          <cell r="V1794" t="str">
            <v>66</v>
          </cell>
          <cell r="W1794" t="str">
            <v>ΠΥΡΗΝΟΚΑΡΠΑ</v>
          </cell>
          <cell r="X1794" t="str">
            <v>66082</v>
          </cell>
        </row>
        <row r="1795">
          <cell r="U1795">
            <v>6666083</v>
          </cell>
          <cell r="V1795" t="str">
            <v>66</v>
          </cell>
          <cell r="W1795" t="str">
            <v>ΠΥΡΗΝΟΚΑΡΠΑ</v>
          </cell>
          <cell r="X1795" t="str">
            <v>66083</v>
          </cell>
        </row>
        <row r="1796">
          <cell r="U1796">
            <v>6666084</v>
          </cell>
          <cell r="V1796" t="str">
            <v>66</v>
          </cell>
          <cell r="W1796" t="str">
            <v>ΠΥΡΗΝΟΚΑΡΠΑ</v>
          </cell>
          <cell r="X1796" t="str">
            <v>66084</v>
          </cell>
        </row>
        <row r="1797">
          <cell r="U1797">
            <v>6666085</v>
          </cell>
          <cell r="V1797" t="str">
            <v>66</v>
          </cell>
          <cell r="W1797" t="str">
            <v>ΠΥΡΗΝΟΚΑΡΠΑ</v>
          </cell>
          <cell r="X1797" t="str">
            <v>66085</v>
          </cell>
        </row>
        <row r="1798">
          <cell r="U1798">
            <v>6666086</v>
          </cell>
          <cell r="V1798" t="str">
            <v>66</v>
          </cell>
          <cell r="W1798" t="str">
            <v>ΠΥΡΗΝΟΚΑΡΠΑ</v>
          </cell>
          <cell r="X1798" t="str">
            <v>66086</v>
          </cell>
        </row>
        <row r="1799">
          <cell r="U1799">
            <v>6666087</v>
          </cell>
          <cell r="V1799" t="str">
            <v>66</v>
          </cell>
          <cell r="W1799" t="str">
            <v>ΠΥΡΗΝΟΚΑΡΠΑ</v>
          </cell>
          <cell r="X1799" t="str">
            <v>66087</v>
          </cell>
        </row>
        <row r="1800">
          <cell r="U1800">
            <v>6666088</v>
          </cell>
          <cell r="V1800" t="str">
            <v>66</v>
          </cell>
          <cell r="W1800" t="str">
            <v>ΠΥΡΗΝΟΚΑΡΠΑ</v>
          </cell>
          <cell r="X1800" t="str">
            <v>66088</v>
          </cell>
        </row>
        <row r="1801">
          <cell r="U1801">
            <v>6666089</v>
          </cell>
          <cell r="V1801" t="str">
            <v>66</v>
          </cell>
          <cell r="W1801" t="str">
            <v>ΠΥΡΗΝΟΚΑΡΠΑ</v>
          </cell>
          <cell r="X1801" t="str">
            <v>66089</v>
          </cell>
        </row>
        <row r="1802">
          <cell r="U1802">
            <v>6666090</v>
          </cell>
          <cell r="V1802" t="str">
            <v>66</v>
          </cell>
          <cell r="W1802" t="str">
            <v>ΠΥΡΗΝΟΚΑΡΠΑ</v>
          </cell>
          <cell r="X1802" t="str">
            <v>66090</v>
          </cell>
        </row>
        <row r="1803">
          <cell r="U1803">
            <v>6666091</v>
          </cell>
          <cell r="V1803" t="str">
            <v>66</v>
          </cell>
          <cell r="W1803" t="str">
            <v>ΠΥΡΗΝΟΚΑΡΠΑ</v>
          </cell>
          <cell r="X1803" t="str">
            <v>66091</v>
          </cell>
        </row>
        <row r="1804">
          <cell r="U1804">
            <v>6666092</v>
          </cell>
          <cell r="V1804" t="str">
            <v>66</v>
          </cell>
          <cell r="W1804" t="str">
            <v>ΠΥΡΗΝΟΚΑΡΠΑ</v>
          </cell>
          <cell r="X1804" t="str">
            <v>66092</v>
          </cell>
        </row>
        <row r="1805">
          <cell r="U1805">
            <v>6666093</v>
          </cell>
          <cell r="V1805" t="str">
            <v>66</v>
          </cell>
          <cell r="W1805" t="str">
            <v>ΠΥΡΗΝΟΚΑΡΠΑ</v>
          </cell>
          <cell r="X1805" t="str">
            <v>66093</v>
          </cell>
        </row>
        <row r="1806">
          <cell r="U1806">
            <v>6666094</v>
          </cell>
          <cell r="V1806" t="str">
            <v>66</v>
          </cell>
          <cell r="W1806" t="str">
            <v>ΠΥΡΗΝΟΚΑΡΠΑ</v>
          </cell>
          <cell r="X1806" t="str">
            <v>66094</v>
          </cell>
        </row>
        <row r="1807">
          <cell r="U1807">
            <v>6666095</v>
          </cell>
          <cell r="V1807" t="str">
            <v>66</v>
          </cell>
          <cell r="W1807" t="str">
            <v>ΠΥΡΗΝΟΚΑΡΠΑ</v>
          </cell>
          <cell r="X1807" t="str">
            <v>66095</v>
          </cell>
        </row>
        <row r="1808">
          <cell r="U1808">
            <v>6666096</v>
          </cell>
          <cell r="V1808" t="str">
            <v>66</v>
          </cell>
          <cell r="W1808" t="str">
            <v>ΠΥΡΗΝΟΚΑΡΠΑ</v>
          </cell>
          <cell r="X1808" t="str">
            <v>66096</v>
          </cell>
        </row>
        <row r="1809">
          <cell r="U1809">
            <v>6666097</v>
          </cell>
          <cell r="V1809" t="str">
            <v>66</v>
          </cell>
          <cell r="W1809" t="str">
            <v>ΠΥΡΗΝΟΚΑΡΠΑ</v>
          </cell>
          <cell r="X1809" t="str">
            <v>66097</v>
          </cell>
        </row>
        <row r="1810">
          <cell r="U1810">
            <v>6666098</v>
          </cell>
          <cell r="V1810" t="str">
            <v>66</v>
          </cell>
          <cell r="W1810" t="str">
            <v>ΠΥΡΗΝΟΚΑΡΠΑ</v>
          </cell>
          <cell r="X1810" t="str">
            <v>66098</v>
          </cell>
        </row>
        <row r="1811">
          <cell r="U1811">
            <v>6666099</v>
          </cell>
          <cell r="V1811" t="str">
            <v>66</v>
          </cell>
          <cell r="W1811" t="str">
            <v>ΠΥΡΗΝΟΚΑΡΠΑ</v>
          </cell>
          <cell r="X1811" t="str">
            <v>66099</v>
          </cell>
        </row>
        <row r="1812">
          <cell r="U1812">
            <v>6666100</v>
          </cell>
          <cell r="V1812" t="str">
            <v>66</v>
          </cell>
          <cell r="W1812" t="str">
            <v>ΠΥΡΗΝΟΚΑΡΠΑ</v>
          </cell>
          <cell r="X1812" t="str">
            <v>66100</v>
          </cell>
        </row>
        <row r="1813">
          <cell r="U1813">
            <v>6666101</v>
          </cell>
          <cell r="V1813" t="str">
            <v>66</v>
          </cell>
          <cell r="W1813" t="str">
            <v>ΠΥΡΗΝΟΚΑΡΠΑ</v>
          </cell>
          <cell r="X1813" t="str">
            <v>66101</v>
          </cell>
        </row>
        <row r="1814">
          <cell r="U1814">
            <v>6666102</v>
          </cell>
          <cell r="V1814" t="str">
            <v>66</v>
          </cell>
          <cell r="W1814" t="str">
            <v>ΠΥΡΗΝΟΚΑΡΠΑ</v>
          </cell>
          <cell r="X1814" t="str">
            <v>66102</v>
          </cell>
        </row>
        <row r="1815">
          <cell r="U1815">
            <v>6666103</v>
          </cell>
          <cell r="V1815" t="str">
            <v>66</v>
          </cell>
          <cell r="W1815" t="str">
            <v>ΠΥΡΗΝΟΚΑΡΠΑ</v>
          </cell>
          <cell r="X1815" t="str">
            <v>66103</v>
          </cell>
        </row>
        <row r="1816">
          <cell r="U1816">
            <v>6666104</v>
          </cell>
          <cell r="V1816" t="str">
            <v>66</v>
          </cell>
          <cell r="W1816" t="str">
            <v>ΠΥΡΗΝΟΚΑΡΠΑ</v>
          </cell>
          <cell r="X1816" t="str">
            <v>66104</v>
          </cell>
        </row>
        <row r="1817">
          <cell r="U1817">
            <v>6666105</v>
          </cell>
          <cell r="V1817" t="str">
            <v>66</v>
          </cell>
          <cell r="W1817" t="str">
            <v>ΠΥΡΗΝΟΚΑΡΠΑ</v>
          </cell>
          <cell r="X1817" t="str">
            <v>66105</v>
          </cell>
        </row>
        <row r="1818">
          <cell r="U1818">
            <v>6666106</v>
          </cell>
          <cell r="V1818" t="str">
            <v>66</v>
          </cell>
          <cell r="W1818" t="str">
            <v>ΠΥΡΗΝΟΚΑΡΠΑ</v>
          </cell>
          <cell r="X1818" t="str">
            <v>66106</v>
          </cell>
        </row>
        <row r="1819">
          <cell r="U1819">
            <v>6666107</v>
          </cell>
          <cell r="V1819" t="str">
            <v>66</v>
          </cell>
          <cell r="W1819" t="str">
            <v>ΠΥΡΗΝΟΚΑΡΠΑ</v>
          </cell>
          <cell r="X1819" t="str">
            <v>66107</v>
          </cell>
        </row>
        <row r="1820">
          <cell r="U1820">
            <v>6666108</v>
          </cell>
          <cell r="V1820" t="str">
            <v>66</v>
          </cell>
          <cell r="W1820" t="str">
            <v>ΠΥΡΗΝΟΚΑΡΠΑ</v>
          </cell>
          <cell r="X1820" t="str">
            <v>66108</v>
          </cell>
        </row>
        <row r="1821">
          <cell r="U1821">
            <v>6666109</v>
          </cell>
          <cell r="V1821" t="str">
            <v>66</v>
          </cell>
          <cell r="W1821" t="str">
            <v>ΠΥΡΗΝΟΚΑΡΠΑ</v>
          </cell>
          <cell r="X1821" t="str">
            <v>66109</v>
          </cell>
        </row>
        <row r="1822">
          <cell r="U1822">
            <v>6666110</v>
          </cell>
          <cell r="V1822" t="str">
            <v>66</v>
          </cell>
          <cell r="W1822" t="str">
            <v>ΠΥΡΗΝΟΚΑΡΠΑ</v>
          </cell>
          <cell r="X1822" t="str">
            <v>66110</v>
          </cell>
        </row>
        <row r="1823">
          <cell r="U1823">
            <v>6666111</v>
          </cell>
          <cell r="V1823" t="str">
            <v>66</v>
          </cell>
          <cell r="W1823" t="str">
            <v>ΠΥΡΗΝΟΚΑΡΠΑ</v>
          </cell>
          <cell r="X1823" t="str">
            <v>66111</v>
          </cell>
        </row>
        <row r="1824">
          <cell r="U1824">
            <v>6666112</v>
          </cell>
          <cell r="V1824" t="str">
            <v>66</v>
          </cell>
          <cell r="W1824" t="str">
            <v>ΠΥΡΗΝΟΚΑΡΠΑ</v>
          </cell>
          <cell r="X1824" t="str">
            <v>66112</v>
          </cell>
        </row>
        <row r="1825">
          <cell r="U1825">
            <v>6666113</v>
          </cell>
          <cell r="V1825" t="str">
            <v>66</v>
          </cell>
          <cell r="W1825" t="str">
            <v>ΠΥΡΗΝΟΚΑΡΠΑ</v>
          </cell>
          <cell r="X1825" t="str">
            <v>66113</v>
          </cell>
        </row>
        <row r="1826">
          <cell r="U1826">
            <v>6666114</v>
          </cell>
          <cell r="V1826" t="str">
            <v>66</v>
          </cell>
          <cell r="W1826" t="str">
            <v>ΠΥΡΗΝΟΚΑΡΠΑ</v>
          </cell>
          <cell r="X1826" t="str">
            <v>66114</v>
          </cell>
        </row>
        <row r="1827">
          <cell r="U1827">
            <v>6666115</v>
          </cell>
          <cell r="V1827" t="str">
            <v>66</v>
          </cell>
          <cell r="W1827" t="str">
            <v>ΠΥΡΗΝΟΚΑΡΠΑ</v>
          </cell>
          <cell r="X1827" t="str">
            <v>66115</v>
          </cell>
        </row>
        <row r="1828">
          <cell r="U1828">
            <v>6666116</v>
          </cell>
          <cell r="V1828" t="str">
            <v>66</v>
          </cell>
          <cell r="W1828" t="str">
            <v>ΠΥΡΗΝΟΚΑΡΠΑ</v>
          </cell>
          <cell r="X1828" t="str">
            <v>66116</v>
          </cell>
        </row>
        <row r="1829">
          <cell r="U1829">
            <v>6666117</v>
          </cell>
          <cell r="V1829" t="str">
            <v>66</v>
          </cell>
          <cell r="W1829" t="str">
            <v>ΠΥΡΗΝΟΚΑΡΠΑ</v>
          </cell>
          <cell r="X1829" t="str">
            <v>66117</v>
          </cell>
        </row>
        <row r="1830">
          <cell r="U1830">
            <v>6666118</v>
          </cell>
          <cell r="V1830" t="str">
            <v>66</v>
          </cell>
          <cell r="W1830" t="str">
            <v>ΠΥΡΗΝΟΚΑΡΠΑ</v>
          </cell>
          <cell r="X1830" t="str">
            <v>66118</v>
          </cell>
        </row>
        <row r="1831">
          <cell r="U1831">
            <v>6666119</v>
          </cell>
          <cell r="V1831" t="str">
            <v>66</v>
          </cell>
          <cell r="W1831" t="str">
            <v>ΠΥΡΗΝΟΚΑΡΠΑ</v>
          </cell>
          <cell r="X1831" t="str">
            <v>66119</v>
          </cell>
        </row>
        <row r="1832">
          <cell r="U1832">
            <v>6666120</v>
          </cell>
          <cell r="V1832" t="str">
            <v>66</v>
          </cell>
          <cell r="W1832" t="str">
            <v>ΠΥΡΗΝΟΚΑΡΠΑ</v>
          </cell>
          <cell r="X1832" t="str">
            <v>66120</v>
          </cell>
        </row>
        <row r="1833">
          <cell r="U1833">
            <v>6666121</v>
          </cell>
          <cell r="V1833" t="str">
            <v>66</v>
          </cell>
          <cell r="W1833" t="str">
            <v>ΠΥΡΗΝΟΚΑΡΠΑ</v>
          </cell>
          <cell r="X1833" t="str">
            <v>66121</v>
          </cell>
        </row>
        <row r="1834">
          <cell r="U1834">
            <v>6666122</v>
          </cell>
          <cell r="V1834" t="str">
            <v>66</v>
          </cell>
          <cell r="W1834" t="str">
            <v>ΠΥΡΗΝΟΚΑΡΠΑ</v>
          </cell>
          <cell r="X1834" t="str">
            <v>66122</v>
          </cell>
        </row>
        <row r="1835">
          <cell r="U1835">
            <v>6666123</v>
          </cell>
          <cell r="V1835" t="str">
            <v>66</v>
          </cell>
          <cell r="W1835" t="str">
            <v>ΠΥΡΗΝΟΚΑΡΠΑ</v>
          </cell>
          <cell r="X1835" t="str">
            <v>66123</v>
          </cell>
        </row>
        <row r="1836">
          <cell r="U1836">
            <v>6666124</v>
          </cell>
          <cell r="V1836" t="str">
            <v>66</v>
          </cell>
          <cell r="W1836" t="str">
            <v>ΠΥΡΗΝΟΚΑΡΠΑ</v>
          </cell>
          <cell r="X1836" t="str">
            <v>66124</v>
          </cell>
        </row>
        <row r="1837">
          <cell r="U1837">
            <v>6666125</v>
          </cell>
          <cell r="V1837" t="str">
            <v>66</v>
          </cell>
          <cell r="W1837" t="str">
            <v>ΠΥΡΗΝΟΚΑΡΠΑ</v>
          </cell>
          <cell r="X1837" t="str">
            <v>66125</v>
          </cell>
        </row>
        <row r="1838">
          <cell r="U1838">
            <v>6666126</v>
          </cell>
          <cell r="V1838" t="str">
            <v>66</v>
          </cell>
          <cell r="W1838" t="str">
            <v>ΠΥΡΗΝΟΚΑΡΠΑ</v>
          </cell>
          <cell r="X1838" t="str">
            <v>66126</v>
          </cell>
        </row>
        <row r="1839">
          <cell r="U1839">
            <v>6666127</v>
          </cell>
          <cell r="V1839" t="str">
            <v>66</v>
          </cell>
          <cell r="W1839" t="str">
            <v>ΠΥΡΗΝΟΚΑΡΠΑ</v>
          </cell>
          <cell r="X1839" t="str">
            <v>66127</v>
          </cell>
        </row>
        <row r="1840">
          <cell r="U1840">
            <v>6666128</v>
          </cell>
          <cell r="V1840" t="str">
            <v>66</v>
          </cell>
          <cell r="W1840" t="str">
            <v>ΠΥΡΗΝΟΚΑΡΠΑ</v>
          </cell>
          <cell r="X1840" t="str">
            <v>66128</v>
          </cell>
        </row>
        <row r="1841">
          <cell r="U1841">
            <v>6666129</v>
          </cell>
          <cell r="V1841" t="str">
            <v>66</v>
          </cell>
          <cell r="W1841" t="str">
            <v>ΠΥΡΗΝΟΚΑΡΠΑ</v>
          </cell>
          <cell r="X1841" t="str">
            <v>66129</v>
          </cell>
        </row>
        <row r="1842">
          <cell r="U1842">
            <v>6666130</v>
          </cell>
          <cell r="V1842" t="str">
            <v>66</v>
          </cell>
          <cell r="W1842" t="str">
            <v>ΠΥΡΗΝΟΚΑΡΠΑ</v>
          </cell>
          <cell r="X1842" t="str">
            <v>66130</v>
          </cell>
        </row>
        <row r="1843">
          <cell r="U1843">
            <v>6666131</v>
          </cell>
          <cell r="V1843" t="str">
            <v>66</v>
          </cell>
          <cell r="W1843" t="str">
            <v>ΠΥΡΗΝΟΚΑΡΠΑ</v>
          </cell>
          <cell r="X1843" t="str">
            <v>66131</v>
          </cell>
        </row>
        <row r="1844">
          <cell r="U1844">
            <v>6666132</v>
          </cell>
          <cell r="V1844" t="str">
            <v>66</v>
          </cell>
          <cell r="W1844" t="str">
            <v>ΠΥΡΗΝΟΚΑΡΠΑ</v>
          </cell>
          <cell r="X1844" t="str">
            <v>66132</v>
          </cell>
        </row>
        <row r="1845">
          <cell r="U1845">
            <v>6666133</v>
          </cell>
          <cell r="V1845" t="str">
            <v>66</v>
          </cell>
          <cell r="W1845" t="str">
            <v>ΠΥΡΗΝΟΚΑΡΠΑ</v>
          </cell>
          <cell r="X1845" t="str">
            <v>66133</v>
          </cell>
        </row>
        <row r="1846">
          <cell r="U1846">
            <v>6666134</v>
          </cell>
          <cell r="V1846" t="str">
            <v>66</v>
          </cell>
          <cell r="W1846" t="str">
            <v>ΠΥΡΗΝΟΚΑΡΠΑ</v>
          </cell>
          <cell r="X1846" t="str">
            <v>66134</v>
          </cell>
        </row>
        <row r="1847">
          <cell r="U1847">
            <v>6666135</v>
          </cell>
          <cell r="V1847" t="str">
            <v>66</v>
          </cell>
          <cell r="W1847" t="str">
            <v>ΠΥΡΗΝΟΚΑΡΠΑ</v>
          </cell>
          <cell r="X1847" t="str">
            <v>66135</v>
          </cell>
        </row>
        <row r="1848">
          <cell r="U1848">
            <v>6666136</v>
          </cell>
          <cell r="V1848" t="str">
            <v>66</v>
          </cell>
          <cell r="W1848" t="str">
            <v>ΠΥΡΗΝΟΚΑΡΠΑ</v>
          </cell>
          <cell r="X1848" t="str">
            <v>66136</v>
          </cell>
        </row>
        <row r="1849">
          <cell r="U1849">
            <v>6666137</v>
          </cell>
          <cell r="V1849" t="str">
            <v>66</v>
          </cell>
          <cell r="W1849" t="str">
            <v>ΠΥΡΗΝΟΚΑΡΠΑ</v>
          </cell>
          <cell r="X1849" t="str">
            <v>66137</v>
          </cell>
        </row>
        <row r="1850">
          <cell r="U1850">
            <v>6666138</v>
          </cell>
          <cell r="V1850" t="str">
            <v>66</v>
          </cell>
          <cell r="W1850" t="str">
            <v>ΠΥΡΗΝΟΚΑΡΠΑ</v>
          </cell>
          <cell r="X1850" t="str">
            <v>66138</v>
          </cell>
        </row>
        <row r="1851">
          <cell r="U1851">
            <v>6666139</v>
          </cell>
          <cell r="V1851" t="str">
            <v>66</v>
          </cell>
          <cell r="W1851" t="str">
            <v>ΠΥΡΗΝΟΚΑΡΠΑ</v>
          </cell>
          <cell r="X1851" t="str">
            <v>66139</v>
          </cell>
        </row>
        <row r="1852">
          <cell r="U1852">
            <v>6666140</v>
          </cell>
          <cell r="V1852" t="str">
            <v>66</v>
          </cell>
          <cell r="W1852" t="str">
            <v>ΠΥΡΗΝΟΚΑΡΠΑ</v>
          </cell>
          <cell r="X1852" t="str">
            <v>66140</v>
          </cell>
        </row>
        <row r="1853">
          <cell r="U1853">
            <v>6666141</v>
          </cell>
          <cell r="V1853" t="str">
            <v>66</v>
          </cell>
          <cell r="W1853" t="str">
            <v>ΠΥΡΗΝΟΚΑΡΠΑ</v>
          </cell>
          <cell r="X1853" t="str">
            <v>66141</v>
          </cell>
        </row>
        <row r="1854">
          <cell r="U1854">
            <v>6666142</v>
          </cell>
          <cell r="V1854" t="str">
            <v>66</v>
          </cell>
          <cell r="W1854" t="str">
            <v>ΠΥΡΗΝΟΚΑΡΠΑ</v>
          </cell>
          <cell r="X1854" t="str">
            <v>66142</v>
          </cell>
        </row>
        <row r="1855">
          <cell r="U1855">
            <v>6666143</v>
          </cell>
          <cell r="V1855" t="str">
            <v>66</v>
          </cell>
          <cell r="W1855" t="str">
            <v>ΠΥΡΗΝΟΚΑΡΠΑ</v>
          </cell>
          <cell r="X1855" t="str">
            <v>66143</v>
          </cell>
        </row>
        <row r="1856">
          <cell r="U1856">
            <v>6666144</v>
          </cell>
          <cell r="V1856" t="str">
            <v>66</v>
          </cell>
          <cell r="W1856" t="str">
            <v>ΠΥΡΗΝΟΚΑΡΠΑ</v>
          </cell>
          <cell r="X1856" t="str">
            <v>66144</v>
          </cell>
        </row>
        <row r="1857">
          <cell r="U1857">
            <v>6666145</v>
          </cell>
          <cell r="V1857" t="str">
            <v>66</v>
          </cell>
          <cell r="W1857" t="str">
            <v>ΠΥΡΗΝΟΚΑΡΠΑ</v>
          </cell>
          <cell r="X1857" t="str">
            <v>66145</v>
          </cell>
        </row>
        <row r="1858">
          <cell r="U1858">
            <v>6666146</v>
          </cell>
          <cell r="V1858" t="str">
            <v>66</v>
          </cell>
          <cell r="W1858" t="str">
            <v>ΠΥΡΗΝΟΚΑΡΠΑ</v>
          </cell>
          <cell r="X1858" t="str">
            <v>66146</v>
          </cell>
        </row>
        <row r="1859">
          <cell r="U1859">
            <v>6666147</v>
          </cell>
          <cell r="V1859" t="str">
            <v>66</v>
          </cell>
          <cell r="W1859" t="str">
            <v>ΠΥΡΗΝΟΚΑΡΠΑ</v>
          </cell>
          <cell r="X1859" t="str">
            <v>66147</v>
          </cell>
        </row>
        <row r="1860">
          <cell r="U1860">
            <v>6666148</v>
          </cell>
          <cell r="V1860" t="str">
            <v>66</v>
          </cell>
          <cell r="W1860" t="str">
            <v>ΠΥΡΗΝΟΚΑΡΠΑ</v>
          </cell>
          <cell r="X1860" t="str">
            <v>66148</v>
          </cell>
        </row>
        <row r="1861">
          <cell r="U1861">
            <v>6666149</v>
          </cell>
          <cell r="V1861" t="str">
            <v>66</v>
          </cell>
          <cell r="W1861" t="str">
            <v>ΠΥΡΗΝΟΚΑΡΠΑ</v>
          </cell>
          <cell r="X1861" t="str">
            <v>66149</v>
          </cell>
        </row>
        <row r="1862">
          <cell r="U1862">
            <v>6666150</v>
          </cell>
          <cell r="V1862" t="str">
            <v>66</v>
          </cell>
          <cell r="W1862" t="str">
            <v>ΠΥΡΗΝΟΚΑΡΠΑ</v>
          </cell>
          <cell r="X1862" t="str">
            <v>66150</v>
          </cell>
        </row>
        <row r="1863">
          <cell r="U1863">
            <v>6666151</v>
          </cell>
          <cell r="V1863" t="str">
            <v>66</v>
          </cell>
          <cell r="W1863" t="str">
            <v>ΠΥΡΗΝΟΚΑΡΠΑ</v>
          </cell>
          <cell r="X1863" t="str">
            <v>66151</v>
          </cell>
        </row>
        <row r="1864">
          <cell r="U1864">
            <v>6666152</v>
          </cell>
          <cell r="V1864" t="str">
            <v>66</v>
          </cell>
          <cell r="W1864" t="str">
            <v>ΠΥΡΗΝΟΚΑΡΠΑ</v>
          </cell>
          <cell r="X1864" t="str">
            <v>66152</v>
          </cell>
        </row>
        <row r="1865">
          <cell r="U1865">
            <v>6666153</v>
          </cell>
          <cell r="V1865" t="str">
            <v>66</v>
          </cell>
          <cell r="W1865" t="str">
            <v>ΠΥΡΗΝΟΚΑΡΠΑ</v>
          </cell>
          <cell r="X1865" t="str">
            <v>66153</v>
          </cell>
        </row>
        <row r="1866">
          <cell r="U1866">
            <v>6666154</v>
          </cell>
          <cell r="V1866" t="str">
            <v>66</v>
          </cell>
          <cell r="W1866" t="str">
            <v>ΠΥΡΗΝΟΚΑΡΠΑ</v>
          </cell>
          <cell r="X1866" t="str">
            <v>66154</v>
          </cell>
        </row>
        <row r="1867">
          <cell r="U1867">
            <v>6666155</v>
          </cell>
          <cell r="V1867" t="str">
            <v>66</v>
          </cell>
          <cell r="W1867" t="str">
            <v>ΠΥΡΗΝΟΚΑΡΠΑ</v>
          </cell>
          <cell r="X1867" t="str">
            <v>66155</v>
          </cell>
        </row>
        <row r="1868">
          <cell r="U1868">
            <v>6666156</v>
          </cell>
          <cell r="V1868" t="str">
            <v>66</v>
          </cell>
          <cell r="W1868" t="str">
            <v>ΠΥΡΗΝΟΚΑΡΠΑ</v>
          </cell>
          <cell r="X1868" t="str">
            <v>66156</v>
          </cell>
        </row>
        <row r="1869">
          <cell r="U1869">
            <v>6666157</v>
          </cell>
          <cell r="V1869" t="str">
            <v>66</v>
          </cell>
          <cell r="W1869" t="str">
            <v>ΠΥΡΗΝΟΚΑΡΠΑ</v>
          </cell>
          <cell r="X1869" t="str">
            <v>66157</v>
          </cell>
        </row>
        <row r="1870">
          <cell r="U1870">
            <v>6666158</v>
          </cell>
          <cell r="V1870" t="str">
            <v>66</v>
          </cell>
          <cell r="W1870" t="str">
            <v>ΠΥΡΗΝΟΚΑΡΠΑ</v>
          </cell>
          <cell r="X1870" t="str">
            <v>66158</v>
          </cell>
        </row>
        <row r="1871">
          <cell r="U1871">
            <v>6666159</v>
          </cell>
          <cell r="V1871" t="str">
            <v>66</v>
          </cell>
          <cell r="W1871" t="str">
            <v>ΠΥΡΗΝΟΚΑΡΠΑ</v>
          </cell>
          <cell r="X1871" t="str">
            <v>66159</v>
          </cell>
        </row>
        <row r="1872">
          <cell r="U1872">
            <v>6666160</v>
          </cell>
          <cell r="V1872" t="str">
            <v>66</v>
          </cell>
          <cell r="W1872" t="str">
            <v>ΠΥΡΗΝΟΚΑΡΠΑ</v>
          </cell>
          <cell r="X1872" t="str">
            <v>66160</v>
          </cell>
        </row>
        <row r="1873">
          <cell r="U1873">
            <v>6666161</v>
          </cell>
          <cell r="V1873" t="str">
            <v>66</v>
          </cell>
          <cell r="W1873" t="str">
            <v>ΠΥΡΗΝΟΚΑΡΠΑ</v>
          </cell>
          <cell r="X1873" t="str">
            <v>66161</v>
          </cell>
        </row>
        <row r="1874">
          <cell r="U1874">
            <v>6666162</v>
          </cell>
          <cell r="V1874" t="str">
            <v>66</v>
          </cell>
          <cell r="W1874" t="str">
            <v>ΠΥΡΗΝΟΚΑΡΠΑ</v>
          </cell>
          <cell r="X1874" t="str">
            <v>66162</v>
          </cell>
        </row>
        <row r="1875">
          <cell r="U1875">
            <v>6666163</v>
          </cell>
          <cell r="V1875" t="str">
            <v>66</v>
          </cell>
          <cell r="W1875" t="str">
            <v>ΠΥΡΗΝΟΚΑΡΠΑ</v>
          </cell>
          <cell r="X1875" t="str">
            <v>66163</v>
          </cell>
        </row>
        <row r="1876">
          <cell r="U1876">
            <v>6666164</v>
          </cell>
          <cell r="V1876" t="str">
            <v>66</v>
          </cell>
          <cell r="W1876" t="str">
            <v>ΠΥΡΗΝΟΚΑΡΠΑ</v>
          </cell>
          <cell r="X1876" t="str">
            <v>66164</v>
          </cell>
        </row>
        <row r="1877">
          <cell r="U1877">
            <v>6666165</v>
          </cell>
          <cell r="V1877" t="str">
            <v>66</v>
          </cell>
          <cell r="W1877" t="str">
            <v>ΠΥΡΗΝΟΚΑΡΠΑ</v>
          </cell>
          <cell r="X1877" t="str">
            <v>66165</v>
          </cell>
        </row>
        <row r="1878">
          <cell r="U1878">
            <v>6666166</v>
          </cell>
          <cell r="V1878" t="str">
            <v>66</v>
          </cell>
          <cell r="W1878" t="str">
            <v>ΠΥΡΗΝΟΚΑΡΠΑ</v>
          </cell>
          <cell r="X1878" t="str">
            <v>66166</v>
          </cell>
        </row>
        <row r="1879">
          <cell r="U1879">
            <v>6666167</v>
          </cell>
          <cell r="V1879" t="str">
            <v>66</v>
          </cell>
          <cell r="W1879" t="str">
            <v>ΠΥΡΗΝΟΚΑΡΠΑ</v>
          </cell>
          <cell r="X1879" t="str">
            <v>66167</v>
          </cell>
        </row>
        <row r="1880">
          <cell r="U1880">
            <v>6666168</v>
          </cell>
          <cell r="V1880" t="str">
            <v>66</v>
          </cell>
          <cell r="W1880" t="str">
            <v>ΠΥΡΗΝΟΚΑΡΠΑ</v>
          </cell>
          <cell r="X1880" t="str">
            <v>66168</v>
          </cell>
        </row>
        <row r="1881">
          <cell r="U1881">
            <v>6666169</v>
          </cell>
          <cell r="V1881" t="str">
            <v>66</v>
          </cell>
          <cell r="W1881" t="str">
            <v>ΠΥΡΗΝΟΚΑΡΠΑ</v>
          </cell>
          <cell r="X1881" t="str">
            <v>66169</v>
          </cell>
        </row>
        <row r="1882">
          <cell r="U1882">
            <v>6666170</v>
          </cell>
          <cell r="V1882" t="str">
            <v>66</v>
          </cell>
          <cell r="W1882" t="str">
            <v>ΠΥΡΗΝΟΚΑΡΠΑ</v>
          </cell>
          <cell r="X1882" t="str">
            <v>66170</v>
          </cell>
        </row>
        <row r="1883">
          <cell r="U1883">
            <v>6666171</v>
          </cell>
          <cell r="V1883" t="str">
            <v>66</v>
          </cell>
          <cell r="W1883" t="str">
            <v>ΠΥΡΗΝΟΚΑΡΠΑ</v>
          </cell>
          <cell r="X1883" t="str">
            <v>66171</v>
          </cell>
        </row>
        <row r="1884">
          <cell r="U1884">
            <v>6666172</v>
          </cell>
          <cell r="V1884" t="str">
            <v>66</v>
          </cell>
          <cell r="W1884" t="str">
            <v>ΠΥΡΗΝΟΚΑΡΠΑ</v>
          </cell>
          <cell r="X1884" t="str">
            <v>66172</v>
          </cell>
        </row>
        <row r="1885">
          <cell r="U1885">
            <v>6666173</v>
          </cell>
          <cell r="V1885" t="str">
            <v>66</v>
          </cell>
          <cell r="W1885" t="str">
            <v>ΠΥΡΗΝΟΚΑΡΠΑ</v>
          </cell>
          <cell r="X1885" t="str">
            <v>66173</v>
          </cell>
        </row>
        <row r="1886">
          <cell r="U1886">
            <v>6666174</v>
          </cell>
          <cell r="V1886" t="str">
            <v>66</v>
          </cell>
          <cell r="W1886" t="str">
            <v>ΠΥΡΗΝΟΚΑΡΠΑ</v>
          </cell>
          <cell r="X1886" t="str">
            <v>66174</v>
          </cell>
        </row>
        <row r="1887">
          <cell r="U1887">
            <v>6666175</v>
          </cell>
          <cell r="V1887" t="str">
            <v>66</v>
          </cell>
          <cell r="W1887" t="str">
            <v>ΠΥΡΗΝΟΚΑΡΠΑ</v>
          </cell>
          <cell r="X1887" t="str">
            <v>66175</v>
          </cell>
        </row>
        <row r="1888">
          <cell r="U1888">
            <v>6666176</v>
          </cell>
          <cell r="V1888" t="str">
            <v>66</v>
          </cell>
          <cell r="W1888" t="str">
            <v>ΠΥΡΗΝΟΚΑΡΠΑ</v>
          </cell>
          <cell r="X1888" t="str">
            <v>66176</v>
          </cell>
        </row>
        <row r="1889">
          <cell r="U1889">
            <v>6666177</v>
          </cell>
          <cell r="V1889" t="str">
            <v>66</v>
          </cell>
          <cell r="W1889" t="str">
            <v>ΠΥΡΗΝΟΚΑΡΠΑ</v>
          </cell>
          <cell r="X1889" t="str">
            <v>66177</v>
          </cell>
        </row>
        <row r="1890">
          <cell r="U1890">
            <v>6666178</v>
          </cell>
          <cell r="V1890" t="str">
            <v>66</v>
          </cell>
          <cell r="W1890" t="str">
            <v>ΠΥΡΗΝΟΚΑΡΠΑ</v>
          </cell>
          <cell r="X1890" t="str">
            <v>66178</v>
          </cell>
        </row>
        <row r="1891">
          <cell r="U1891">
            <v>6666179</v>
          </cell>
          <cell r="V1891" t="str">
            <v>66</v>
          </cell>
          <cell r="W1891" t="str">
            <v>ΠΥΡΗΝΟΚΑΡΠΑ</v>
          </cell>
          <cell r="X1891" t="str">
            <v>66179</v>
          </cell>
        </row>
        <row r="1892">
          <cell r="U1892">
            <v>6666180</v>
          </cell>
          <cell r="V1892" t="str">
            <v>66</v>
          </cell>
          <cell r="W1892" t="str">
            <v>ΠΥΡΗΝΟΚΑΡΠΑ</v>
          </cell>
          <cell r="X1892" t="str">
            <v>66180</v>
          </cell>
        </row>
        <row r="1893">
          <cell r="U1893">
            <v>6666181</v>
          </cell>
          <cell r="V1893" t="str">
            <v>66</v>
          </cell>
          <cell r="W1893" t="str">
            <v>ΠΥΡΗΝΟΚΑΡΠΑ</v>
          </cell>
          <cell r="X1893" t="str">
            <v>66181</v>
          </cell>
        </row>
        <row r="1894">
          <cell r="U1894">
            <v>6666182</v>
          </cell>
          <cell r="V1894" t="str">
            <v>66</v>
          </cell>
          <cell r="W1894" t="str">
            <v>ΠΥΡΗΝΟΚΑΡΠΑ</v>
          </cell>
          <cell r="X1894" t="str">
            <v>66182</v>
          </cell>
        </row>
        <row r="1895">
          <cell r="U1895">
            <v>6666183</v>
          </cell>
          <cell r="V1895" t="str">
            <v>66</v>
          </cell>
          <cell r="W1895" t="str">
            <v>ΠΥΡΗΝΟΚΑΡΠΑ</v>
          </cell>
          <cell r="X1895" t="str">
            <v>66183</v>
          </cell>
        </row>
        <row r="1896">
          <cell r="U1896">
            <v>6666184</v>
          </cell>
          <cell r="V1896" t="str">
            <v>66</v>
          </cell>
          <cell r="W1896" t="str">
            <v>ΠΥΡΗΝΟΚΑΡΠΑ</v>
          </cell>
          <cell r="X1896" t="str">
            <v>66184</v>
          </cell>
        </row>
        <row r="1897">
          <cell r="U1897">
            <v>6666185</v>
          </cell>
          <cell r="V1897" t="str">
            <v>66</v>
          </cell>
          <cell r="W1897" t="str">
            <v>ΠΥΡΗΝΟΚΑΡΠΑ</v>
          </cell>
          <cell r="X1897" t="str">
            <v>66185</v>
          </cell>
        </row>
        <row r="1898">
          <cell r="U1898">
            <v>6666186</v>
          </cell>
          <cell r="V1898" t="str">
            <v>66</v>
          </cell>
          <cell r="W1898" t="str">
            <v>ΠΥΡΗΝΟΚΑΡΠΑ</v>
          </cell>
          <cell r="X1898" t="str">
            <v>66186</v>
          </cell>
        </row>
        <row r="1899">
          <cell r="U1899">
            <v>6666187</v>
          </cell>
          <cell r="V1899" t="str">
            <v>66</v>
          </cell>
          <cell r="W1899" t="str">
            <v>ΠΥΡΗΝΟΚΑΡΠΑ</v>
          </cell>
          <cell r="X1899" t="str">
            <v>66187</v>
          </cell>
        </row>
        <row r="1900">
          <cell r="U1900">
            <v>6666188</v>
          </cell>
          <cell r="V1900" t="str">
            <v>66</v>
          </cell>
          <cell r="W1900" t="str">
            <v>ΠΥΡΗΝΟΚΑΡΠΑ</v>
          </cell>
          <cell r="X1900" t="str">
            <v>66188</v>
          </cell>
        </row>
        <row r="1901">
          <cell r="U1901">
            <v>6666189</v>
          </cell>
          <cell r="V1901" t="str">
            <v>66</v>
          </cell>
          <cell r="W1901" t="str">
            <v>ΠΥΡΗΝΟΚΑΡΠΑ</v>
          </cell>
          <cell r="X1901" t="str">
            <v>66189</v>
          </cell>
        </row>
        <row r="1902">
          <cell r="U1902">
            <v>6666190</v>
          </cell>
          <cell r="V1902" t="str">
            <v>66</v>
          </cell>
          <cell r="W1902" t="str">
            <v>ΠΥΡΗΝΟΚΑΡΠΑ</v>
          </cell>
          <cell r="X1902" t="str">
            <v>66190</v>
          </cell>
        </row>
        <row r="1903">
          <cell r="U1903">
            <v>6666191</v>
          </cell>
          <cell r="V1903" t="str">
            <v>66</v>
          </cell>
          <cell r="W1903" t="str">
            <v>ΠΥΡΗΝΟΚΑΡΠΑ</v>
          </cell>
          <cell r="X1903" t="str">
            <v>66191</v>
          </cell>
        </row>
        <row r="1904">
          <cell r="U1904">
            <v>6666192</v>
          </cell>
          <cell r="V1904" t="str">
            <v>66</v>
          </cell>
          <cell r="W1904" t="str">
            <v>ΠΥΡΗΝΟΚΑΡΠΑ</v>
          </cell>
          <cell r="X1904" t="str">
            <v>66192</v>
          </cell>
        </row>
        <row r="1905">
          <cell r="U1905">
            <v>6666193</v>
          </cell>
          <cell r="V1905" t="str">
            <v>66</v>
          </cell>
          <cell r="W1905" t="str">
            <v>ΠΥΡΗΝΟΚΑΡΠΑ</v>
          </cell>
          <cell r="X1905" t="str">
            <v>66193</v>
          </cell>
        </row>
        <row r="1906">
          <cell r="U1906">
            <v>6666194</v>
          </cell>
          <cell r="V1906" t="str">
            <v>66</v>
          </cell>
          <cell r="W1906" t="str">
            <v>ΠΥΡΗΝΟΚΑΡΠΑ</v>
          </cell>
          <cell r="X1906" t="str">
            <v>66194</v>
          </cell>
        </row>
        <row r="1907">
          <cell r="U1907">
            <v>6666195</v>
          </cell>
          <cell r="V1907" t="str">
            <v>66</v>
          </cell>
          <cell r="W1907" t="str">
            <v>ΠΥΡΗΝΟΚΑΡΠΑ</v>
          </cell>
          <cell r="X1907" t="str">
            <v>66195</v>
          </cell>
        </row>
        <row r="1908">
          <cell r="U1908">
            <v>6666196</v>
          </cell>
          <cell r="V1908" t="str">
            <v>66</v>
          </cell>
          <cell r="W1908" t="str">
            <v>ΠΥΡΗΝΟΚΑΡΠΑ</v>
          </cell>
          <cell r="X1908" t="str">
            <v>66196</v>
          </cell>
        </row>
        <row r="1909">
          <cell r="U1909">
            <v>6666197</v>
          </cell>
          <cell r="V1909" t="str">
            <v>66</v>
          </cell>
          <cell r="W1909" t="str">
            <v>ΠΥΡΗΝΟΚΑΡΠΑ</v>
          </cell>
          <cell r="X1909" t="str">
            <v>66197</v>
          </cell>
        </row>
        <row r="1910">
          <cell r="U1910">
            <v>6666198</v>
          </cell>
          <cell r="V1910" t="str">
            <v>66</v>
          </cell>
          <cell r="W1910" t="str">
            <v>ΠΥΡΗΝΟΚΑΡΠΑ</v>
          </cell>
          <cell r="X1910" t="str">
            <v>66198</v>
          </cell>
        </row>
        <row r="1911">
          <cell r="U1911">
            <v>6666199</v>
          </cell>
          <cell r="V1911" t="str">
            <v>66</v>
          </cell>
          <cell r="W1911" t="str">
            <v>ΠΥΡΗΝΟΚΑΡΠΑ</v>
          </cell>
          <cell r="X1911" t="str">
            <v>66199</v>
          </cell>
        </row>
        <row r="1912">
          <cell r="U1912">
            <v>6666200</v>
          </cell>
          <cell r="V1912" t="str">
            <v>66</v>
          </cell>
          <cell r="W1912" t="str">
            <v>ΠΥΡΗΝΟΚΑΡΠΑ</v>
          </cell>
          <cell r="X1912" t="str">
            <v>66200</v>
          </cell>
        </row>
        <row r="1913">
          <cell r="U1913">
            <v>6666201</v>
          </cell>
          <cell r="V1913" t="str">
            <v>66</v>
          </cell>
          <cell r="W1913" t="str">
            <v>ΠΥΡΗΝΟΚΑΡΠΑ</v>
          </cell>
          <cell r="X1913" t="str">
            <v>66201</v>
          </cell>
        </row>
        <row r="1914">
          <cell r="U1914">
            <v>6666202</v>
          </cell>
          <cell r="V1914" t="str">
            <v>66</v>
          </cell>
          <cell r="W1914" t="str">
            <v>ΠΥΡΗΝΟΚΑΡΠΑ</v>
          </cell>
          <cell r="X1914" t="str">
            <v>66202</v>
          </cell>
        </row>
        <row r="1915">
          <cell r="U1915">
            <v>6666203</v>
          </cell>
          <cell r="V1915" t="str">
            <v>66</v>
          </cell>
          <cell r="W1915" t="str">
            <v>ΠΥΡΗΝΟΚΑΡΠΑ</v>
          </cell>
          <cell r="X1915" t="str">
            <v>66203</v>
          </cell>
        </row>
        <row r="1916">
          <cell r="U1916">
            <v>6666204</v>
          </cell>
          <cell r="V1916" t="str">
            <v>66</v>
          </cell>
          <cell r="W1916" t="str">
            <v>ΠΥΡΗΝΟΚΑΡΠΑ</v>
          </cell>
          <cell r="X1916" t="str">
            <v>66204</v>
          </cell>
        </row>
        <row r="1917">
          <cell r="U1917">
            <v>6666205</v>
          </cell>
          <cell r="V1917" t="str">
            <v>66</v>
          </cell>
          <cell r="W1917" t="str">
            <v>ΠΥΡΗΝΟΚΑΡΠΑ</v>
          </cell>
          <cell r="X1917" t="str">
            <v>66205</v>
          </cell>
        </row>
        <row r="1918">
          <cell r="U1918">
            <v>6666206</v>
          </cell>
          <cell r="V1918" t="str">
            <v>66</v>
          </cell>
          <cell r="W1918" t="str">
            <v>ΠΥΡΗΝΟΚΑΡΠΑ</v>
          </cell>
          <cell r="X1918" t="str">
            <v>66206</v>
          </cell>
        </row>
        <row r="1919">
          <cell r="U1919">
            <v>6666207</v>
          </cell>
          <cell r="V1919" t="str">
            <v>66</v>
          </cell>
          <cell r="W1919" t="str">
            <v>ΠΥΡΗΝΟΚΑΡΠΑ</v>
          </cell>
          <cell r="X1919" t="str">
            <v>66207</v>
          </cell>
        </row>
        <row r="1920">
          <cell r="U1920">
            <v>6666208</v>
          </cell>
          <cell r="V1920" t="str">
            <v>66</v>
          </cell>
          <cell r="W1920" t="str">
            <v>ΠΥΡΗΝΟΚΑΡΠΑ</v>
          </cell>
          <cell r="X1920" t="str">
            <v>66208</v>
          </cell>
        </row>
        <row r="1921">
          <cell r="U1921">
            <v>6666209</v>
          </cell>
          <cell r="V1921" t="str">
            <v>66</v>
          </cell>
          <cell r="W1921" t="str">
            <v>ΠΥΡΗΝΟΚΑΡΠΑ</v>
          </cell>
          <cell r="X1921" t="str">
            <v>66209</v>
          </cell>
        </row>
        <row r="1922">
          <cell r="U1922">
            <v>6666210</v>
          </cell>
          <cell r="V1922" t="str">
            <v>66</v>
          </cell>
          <cell r="W1922" t="str">
            <v>ΠΥΡΗΝΟΚΑΡΠΑ</v>
          </cell>
          <cell r="X1922" t="str">
            <v>66210</v>
          </cell>
        </row>
        <row r="1923">
          <cell r="U1923">
            <v>6666211</v>
          </cell>
          <cell r="V1923" t="str">
            <v>66</v>
          </cell>
          <cell r="W1923" t="str">
            <v>ΠΥΡΗΝΟΚΑΡΠΑ</v>
          </cell>
          <cell r="X1923" t="str">
            <v>66211</v>
          </cell>
        </row>
        <row r="1924">
          <cell r="U1924">
            <v>6666212</v>
          </cell>
          <cell r="V1924" t="str">
            <v>66</v>
          </cell>
          <cell r="W1924" t="str">
            <v>ΠΥΡΗΝΟΚΑΡΠΑ</v>
          </cell>
          <cell r="X1924" t="str">
            <v>66212</v>
          </cell>
        </row>
        <row r="1925">
          <cell r="U1925">
            <v>6666213</v>
          </cell>
          <cell r="V1925" t="str">
            <v>66</v>
          </cell>
          <cell r="W1925" t="str">
            <v>ΠΥΡΗΝΟΚΑΡΠΑ</v>
          </cell>
          <cell r="X1925" t="str">
            <v>66213</v>
          </cell>
        </row>
        <row r="1926">
          <cell r="U1926">
            <v>6666214</v>
          </cell>
          <cell r="V1926" t="str">
            <v>66</v>
          </cell>
          <cell r="W1926" t="str">
            <v>ΠΥΡΗΝΟΚΑΡΠΑ</v>
          </cell>
          <cell r="X1926" t="str">
            <v>66214</v>
          </cell>
        </row>
        <row r="1927">
          <cell r="U1927">
            <v>6666215</v>
          </cell>
          <cell r="V1927" t="str">
            <v>66</v>
          </cell>
          <cell r="W1927" t="str">
            <v>ΠΥΡΗΝΟΚΑΡΠΑ</v>
          </cell>
          <cell r="X1927" t="str">
            <v>66215</v>
          </cell>
        </row>
        <row r="1928">
          <cell r="U1928">
            <v>6666216</v>
          </cell>
          <cell r="V1928" t="str">
            <v>66</v>
          </cell>
          <cell r="W1928" t="str">
            <v>ΠΥΡΗΝΟΚΑΡΠΑ</v>
          </cell>
          <cell r="X1928" t="str">
            <v>66216</v>
          </cell>
        </row>
        <row r="1929">
          <cell r="U1929">
            <v>6666217</v>
          </cell>
          <cell r="V1929" t="str">
            <v>66</v>
          </cell>
          <cell r="W1929" t="str">
            <v>ΠΥΡΗΝΟΚΑΡΠΑ</v>
          </cell>
          <cell r="X1929" t="str">
            <v>66217</v>
          </cell>
        </row>
        <row r="1930">
          <cell r="U1930">
            <v>6666218</v>
          </cell>
          <cell r="V1930" t="str">
            <v>66</v>
          </cell>
          <cell r="W1930" t="str">
            <v>ΠΥΡΗΝΟΚΑΡΠΑ</v>
          </cell>
          <cell r="X1930" t="str">
            <v>66218</v>
          </cell>
        </row>
        <row r="1931">
          <cell r="U1931">
            <v>6666219</v>
          </cell>
          <cell r="V1931" t="str">
            <v>66</v>
          </cell>
          <cell r="W1931" t="str">
            <v>ΠΥΡΗΝΟΚΑΡΠΑ</v>
          </cell>
          <cell r="X1931" t="str">
            <v>66219</v>
          </cell>
        </row>
        <row r="1932">
          <cell r="U1932">
            <v>6666220</v>
          </cell>
          <cell r="V1932" t="str">
            <v>66</v>
          </cell>
          <cell r="W1932" t="str">
            <v>ΠΥΡΗΝΟΚΑΡΠΑ</v>
          </cell>
          <cell r="X1932" t="str">
            <v>66220</v>
          </cell>
        </row>
        <row r="1933">
          <cell r="U1933">
            <v>6666221</v>
          </cell>
          <cell r="V1933" t="str">
            <v>66</v>
          </cell>
          <cell r="W1933" t="str">
            <v>ΠΥΡΗΝΟΚΑΡΠΑ</v>
          </cell>
          <cell r="X1933" t="str">
            <v>66221</v>
          </cell>
        </row>
        <row r="1934">
          <cell r="U1934">
            <v>6666222</v>
          </cell>
          <cell r="V1934" t="str">
            <v>66</v>
          </cell>
          <cell r="W1934" t="str">
            <v>ΠΥΡΗΝΟΚΑΡΠΑ</v>
          </cell>
          <cell r="X1934" t="str">
            <v>66222</v>
          </cell>
        </row>
        <row r="1935">
          <cell r="U1935">
            <v>6666223</v>
          </cell>
          <cell r="V1935" t="str">
            <v>66</v>
          </cell>
          <cell r="W1935" t="str">
            <v>ΠΥΡΗΝΟΚΑΡΠΑ</v>
          </cell>
          <cell r="X1935" t="str">
            <v>66223</v>
          </cell>
        </row>
        <row r="1936">
          <cell r="U1936">
            <v>6666224</v>
          </cell>
          <cell r="V1936" t="str">
            <v>66</v>
          </cell>
          <cell r="W1936" t="str">
            <v>ΠΥΡΗΝΟΚΑΡΠΑ</v>
          </cell>
          <cell r="X1936" t="str">
            <v>66224</v>
          </cell>
        </row>
        <row r="1937">
          <cell r="U1937">
            <v>6666225</v>
          </cell>
          <cell r="V1937" t="str">
            <v>66</v>
          </cell>
          <cell r="W1937" t="str">
            <v>ΠΥΡΗΝΟΚΑΡΠΑ</v>
          </cell>
          <cell r="X1937" t="str">
            <v>66225</v>
          </cell>
        </row>
        <row r="1938">
          <cell r="U1938">
            <v>6666226</v>
          </cell>
          <cell r="V1938" t="str">
            <v>66</v>
          </cell>
          <cell r="W1938" t="str">
            <v>ΠΥΡΗΝΟΚΑΡΠΑ</v>
          </cell>
          <cell r="X1938" t="str">
            <v>66226</v>
          </cell>
        </row>
        <row r="1939">
          <cell r="U1939">
            <v>6666227</v>
          </cell>
          <cell r="V1939" t="str">
            <v>66</v>
          </cell>
          <cell r="W1939" t="str">
            <v>ΠΥΡΗΝΟΚΑΡΠΑ</v>
          </cell>
          <cell r="X1939" t="str">
            <v>66227</v>
          </cell>
        </row>
        <row r="1940">
          <cell r="U1940">
            <v>6666228</v>
          </cell>
          <cell r="V1940" t="str">
            <v>66</v>
          </cell>
          <cell r="W1940" t="str">
            <v>ΠΥΡΗΝΟΚΑΡΠΑ</v>
          </cell>
          <cell r="X1940" t="str">
            <v>66228</v>
          </cell>
        </row>
        <row r="1941">
          <cell r="U1941">
            <v>6666229</v>
          </cell>
          <cell r="V1941" t="str">
            <v>66</v>
          </cell>
          <cell r="W1941" t="str">
            <v>ΠΥΡΗΝΟΚΑΡΠΑ</v>
          </cell>
          <cell r="X1941" t="str">
            <v>66229</v>
          </cell>
        </row>
        <row r="1942">
          <cell r="U1942">
            <v>6666230</v>
          </cell>
          <cell r="V1942" t="str">
            <v>66</v>
          </cell>
          <cell r="W1942" t="str">
            <v>ΠΥΡΗΝΟΚΑΡΠΑ</v>
          </cell>
          <cell r="X1942" t="str">
            <v>66230</v>
          </cell>
        </row>
        <row r="1943">
          <cell r="U1943">
            <v>6666231</v>
          </cell>
          <cell r="V1943" t="str">
            <v>66</v>
          </cell>
          <cell r="W1943" t="str">
            <v>ΠΥΡΗΝΟΚΑΡΠΑ</v>
          </cell>
          <cell r="X1943" t="str">
            <v>66231</v>
          </cell>
        </row>
        <row r="1944">
          <cell r="U1944">
            <v>6666232</v>
          </cell>
          <cell r="V1944" t="str">
            <v>66</v>
          </cell>
          <cell r="W1944" t="str">
            <v>ΠΥΡΗΝΟΚΑΡΠΑ</v>
          </cell>
          <cell r="X1944" t="str">
            <v>66232</v>
          </cell>
        </row>
        <row r="1945">
          <cell r="U1945">
            <v>6666233</v>
          </cell>
          <cell r="V1945" t="str">
            <v>66</v>
          </cell>
          <cell r="W1945" t="str">
            <v>ΠΥΡΗΝΟΚΑΡΠΑ</v>
          </cell>
          <cell r="X1945" t="str">
            <v>66233</v>
          </cell>
        </row>
        <row r="1946">
          <cell r="U1946">
            <v>6666234</v>
          </cell>
          <cell r="V1946" t="str">
            <v>66</v>
          </cell>
          <cell r="W1946" t="str">
            <v>ΠΥΡΗΝΟΚΑΡΠΑ</v>
          </cell>
          <cell r="X1946" t="str">
            <v>66234</v>
          </cell>
        </row>
        <row r="1947">
          <cell r="U1947">
            <v>6666235</v>
          </cell>
          <cell r="V1947" t="str">
            <v>66</v>
          </cell>
          <cell r="W1947" t="str">
            <v>ΠΥΡΗΝΟΚΑΡΠΑ</v>
          </cell>
          <cell r="X1947" t="str">
            <v>66235</v>
          </cell>
        </row>
        <row r="1948">
          <cell r="U1948">
            <v>6666236</v>
          </cell>
          <cell r="V1948" t="str">
            <v>66</v>
          </cell>
          <cell r="W1948" t="str">
            <v>ΠΥΡΗΝΟΚΑΡΠΑ</v>
          </cell>
          <cell r="X1948" t="str">
            <v>66236</v>
          </cell>
        </row>
        <row r="1949">
          <cell r="U1949">
            <v>6666237</v>
          </cell>
          <cell r="V1949" t="str">
            <v>66</v>
          </cell>
          <cell r="W1949" t="str">
            <v>ΠΥΡΗΝΟΚΑΡΠΑ</v>
          </cell>
          <cell r="X1949" t="str">
            <v>66237</v>
          </cell>
        </row>
        <row r="1950">
          <cell r="U1950">
            <v>6666238</v>
          </cell>
          <cell r="V1950" t="str">
            <v>66</v>
          </cell>
          <cell r="W1950" t="str">
            <v>ΠΥΡΗΝΟΚΑΡΠΑ</v>
          </cell>
          <cell r="X1950" t="str">
            <v>66238</v>
          </cell>
        </row>
        <row r="1951">
          <cell r="U1951">
            <v>6666239</v>
          </cell>
          <cell r="V1951" t="str">
            <v>66</v>
          </cell>
          <cell r="W1951" t="str">
            <v>ΠΥΡΗΝΟΚΑΡΠΑ</v>
          </cell>
          <cell r="X1951" t="str">
            <v>66239</v>
          </cell>
        </row>
        <row r="1952">
          <cell r="U1952">
            <v>6666240</v>
          </cell>
          <cell r="V1952" t="str">
            <v>66</v>
          </cell>
          <cell r="W1952" t="str">
            <v>ΠΥΡΗΝΟΚΑΡΠΑ</v>
          </cell>
          <cell r="X1952" t="str">
            <v>66240</v>
          </cell>
        </row>
        <row r="1953">
          <cell r="U1953">
            <v>6666241</v>
          </cell>
          <cell r="V1953" t="str">
            <v>66</v>
          </cell>
          <cell r="W1953" t="str">
            <v>ΠΥΡΗΝΟΚΑΡΠΑ</v>
          </cell>
          <cell r="X1953" t="str">
            <v>66241</v>
          </cell>
        </row>
        <row r="1954">
          <cell r="U1954">
            <v>6666242</v>
          </cell>
          <cell r="V1954" t="str">
            <v>66</v>
          </cell>
          <cell r="W1954" t="str">
            <v>ΠΥΡΗΝΟΚΑΡΠΑ</v>
          </cell>
          <cell r="X1954" t="str">
            <v>66242</v>
          </cell>
        </row>
        <row r="1955">
          <cell r="U1955">
            <v>6666243</v>
          </cell>
          <cell r="V1955" t="str">
            <v>66</v>
          </cell>
          <cell r="W1955" t="str">
            <v>ΠΥΡΗΝΟΚΑΡΠΑ</v>
          </cell>
          <cell r="X1955" t="str">
            <v>66243</v>
          </cell>
        </row>
        <row r="1956">
          <cell r="U1956">
            <v>6666244</v>
          </cell>
          <cell r="V1956" t="str">
            <v>66</v>
          </cell>
          <cell r="W1956" t="str">
            <v>ΠΥΡΗΝΟΚΑΡΠΑ</v>
          </cell>
          <cell r="X1956" t="str">
            <v>66244</v>
          </cell>
        </row>
        <row r="1957">
          <cell r="U1957">
            <v>6666245</v>
          </cell>
          <cell r="V1957" t="str">
            <v>66</v>
          </cell>
          <cell r="W1957" t="str">
            <v>ΠΥΡΗΝΟΚΑΡΠΑ</v>
          </cell>
          <cell r="X1957" t="str">
            <v>66245</v>
          </cell>
        </row>
        <row r="1958">
          <cell r="U1958">
            <v>6666246</v>
          </cell>
          <cell r="V1958" t="str">
            <v>66</v>
          </cell>
          <cell r="W1958" t="str">
            <v>ΠΥΡΗΝΟΚΑΡΠΑ</v>
          </cell>
          <cell r="X1958" t="str">
            <v>66246</v>
          </cell>
        </row>
        <row r="1959">
          <cell r="U1959">
            <v>6666247</v>
          </cell>
          <cell r="V1959" t="str">
            <v>66</v>
          </cell>
          <cell r="W1959" t="str">
            <v>ΠΥΡΗΝΟΚΑΡΠΑ</v>
          </cell>
          <cell r="X1959" t="str">
            <v>66247</v>
          </cell>
        </row>
        <row r="1960">
          <cell r="U1960">
            <v>6666248</v>
          </cell>
          <cell r="V1960" t="str">
            <v>66</v>
          </cell>
          <cell r="W1960" t="str">
            <v>ΠΥΡΗΝΟΚΑΡΠΑ</v>
          </cell>
          <cell r="X1960" t="str">
            <v>66248</v>
          </cell>
        </row>
        <row r="1961">
          <cell r="U1961">
            <v>6666249</v>
          </cell>
          <cell r="V1961" t="str">
            <v>66</v>
          </cell>
          <cell r="W1961" t="str">
            <v>ΠΥΡΗΝΟΚΑΡΠΑ</v>
          </cell>
          <cell r="X1961" t="str">
            <v>66249</v>
          </cell>
        </row>
        <row r="1962">
          <cell r="U1962">
            <v>6666250</v>
          </cell>
          <cell r="V1962" t="str">
            <v>66</v>
          </cell>
          <cell r="W1962" t="str">
            <v>ΠΥΡΗΝΟΚΑΡΠΑ</v>
          </cell>
          <cell r="X1962" t="str">
            <v>66250</v>
          </cell>
        </row>
        <row r="1963">
          <cell r="U1963">
            <v>6666251</v>
          </cell>
          <cell r="V1963" t="str">
            <v>66</v>
          </cell>
          <cell r="W1963" t="str">
            <v>ΠΥΡΗΝΟΚΑΡΠΑ</v>
          </cell>
          <cell r="X1963" t="str">
            <v>66251</v>
          </cell>
        </row>
        <row r="1964">
          <cell r="U1964">
            <v>6666252</v>
          </cell>
          <cell r="V1964" t="str">
            <v>66</v>
          </cell>
          <cell r="W1964" t="str">
            <v>ΠΥΡΗΝΟΚΑΡΠΑ</v>
          </cell>
          <cell r="X1964" t="str">
            <v>66252</v>
          </cell>
        </row>
        <row r="1965">
          <cell r="U1965">
            <v>6666253</v>
          </cell>
          <cell r="V1965" t="str">
            <v>66</v>
          </cell>
          <cell r="W1965" t="str">
            <v>ΠΥΡΗΝΟΚΑΡΠΑ</v>
          </cell>
          <cell r="X1965" t="str">
            <v>66253</v>
          </cell>
        </row>
        <row r="1966">
          <cell r="U1966">
            <v>6666254</v>
          </cell>
          <cell r="V1966" t="str">
            <v>66</v>
          </cell>
          <cell r="W1966" t="str">
            <v>ΠΥΡΗΝΟΚΑΡΠΑ</v>
          </cell>
          <cell r="X1966" t="str">
            <v>66254</v>
          </cell>
        </row>
        <row r="1967">
          <cell r="U1967">
            <v>6666255</v>
          </cell>
          <cell r="V1967" t="str">
            <v>66</v>
          </cell>
          <cell r="W1967" t="str">
            <v>ΠΥΡΗΝΟΚΑΡΠΑ</v>
          </cell>
          <cell r="X1967" t="str">
            <v>66255</v>
          </cell>
        </row>
        <row r="1968">
          <cell r="U1968">
            <v>6666256</v>
          </cell>
          <cell r="V1968" t="str">
            <v>66</v>
          </cell>
          <cell r="W1968" t="str">
            <v>ΠΥΡΗΝΟΚΑΡΠΑ</v>
          </cell>
          <cell r="X1968" t="str">
            <v>66256</v>
          </cell>
        </row>
        <row r="1969">
          <cell r="U1969">
            <v>6666257</v>
          </cell>
          <cell r="V1969" t="str">
            <v>66</v>
          </cell>
          <cell r="W1969" t="str">
            <v>ΠΥΡΗΝΟΚΑΡΠΑ</v>
          </cell>
          <cell r="X1969" t="str">
            <v>66257</v>
          </cell>
        </row>
        <row r="1970">
          <cell r="U1970">
            <v>6666258</v>
          </cell>
          <cell r="V1970" t="str">
            <v>66</v>
          </cell>
          <cell r="W1970" t="str">
            <v>ΠΥΡΗΝΟΚΑΡΠΑ</v>
          </cell>
          <cell r="X1970" t="str">
            <v>66258</v>
          </cell>
        </row>
        <row r="1971">
          <cell r="U1971">
            <v>6666259</v>
          </cell>
          <cell r="V1971" t="str">
            <v>66</v>
          </cell>
          <cell r="W1971" t="str">
            <v>ΠΥΡΗΝΟΚΑΡΠΑ</v>
          </cell>
          <cell r="X1971" t="str">
            <v>66259</v>
          </cell>
        </row>
        <row r="1972">
          <cell r="U1972">
            <v>6666260</v>
          </cell>
          <cell r="V1972" t="str">
            <v>66</v>
          </cell>
          <cell r="W1972" t="str">
            <v>ΠΥΡΗΝΟΚΑΡΠΑ</v>
          </cell>
          <cell r="X1972" t="str">
            <v>66260</v>
          </cell>
        </row>
        <row r="1973">
          <cell r="U1973">
            <v>6666261</v>
          </cell>
          <cell r="V1973" t="str">
            <v>66</v>
          </cell>
          <cell r="W1973" t="str">
            <v>ΠΥΡΗΝΟΚΑΡΠΑ</v>
          </cell>
          <cell r="X1973" t="str">
            <v>66261</v>
          </cell>
        </row>
        <row r="1974">
          <cell r="U1974">
            <v>6666262</v>
          </cell>
          <cell r="V1974" t="str">
            <v>66</v>
          </cell>
          <cell r="W1974" t="str">
            <v>ΠΥΡΗΝΟΚΑΡΠΑ</v>
          </cell>
          <cell r="X1974" t="str">
            <v>66262</v>
          </cell>
        </row>
        <row r="1975">
          <cell r="U1975">
            <v>6666263</v>
          </cell>
          <cell r="V1975" t="str">
            <v>66</v>
          </cell>
          <cell r="W1975" t="str">
            <v>ΠΥΡΗΝΟΚΑΡΠΑ</v>
          </cell>
          <cell r="X1975" t="str">
            <v>66263</v>
          </cell>
        </row>
        <row r="1976">
          <cell r="U1976">
            <v>6666264</v>
          </cell>
          <cell r="V1976" t="str">
            <v>66</v>
          </cell>
          <cell r="W1976" t="str">
            <v>ΠΥΡΗΝΟΚΑΡΠΑ</v>
          </cell>
          <cell r="X1976" t="str">
            <v>66264</v>
          </cell>
        </row>
        <row r="1977">
          <cell r="U1977">
            <v>6666265</v>
          </cell>
          <cell r="V1977" t="str">
            <v>66</v>
          </cell>
          <cell r="W1977" t="str">
            <v>ΠΥΡΗΝΟΚΑΡΠΑ</v>
          </cell>
          <cell r="X1977" t="str">
            <v>66265</v>
          </cell>
        </row>
        <row r="1978">
          <cell r="U1978">
            <v>6666266</v>
          </cell>
          <cell r="V1978" t="str">
            <v>66</v>
          </cell>
          <cell r="W1978" t="str">
            <v>ΠΥΡΗΝΟΚΑΡΠΑ</v>
          </cell>
          <cell r="X1978" t="str">
            <v>66266</v>
          </cell>
        </row>
        <row r="1979">
          <cell r="U1979">
            <v>6666267</v>
          </cell>
          <cell r="V1979" t="str">
            <v>66</v>
          </cell>
          <cell r="W1979" t="str">
            <v>ΠΥΡΗΝΟΚΑΡΠΑ</v>
          </cell>
          <cell r="X1979" t="str">
            <v>66267</v>
          </cell>
        </row>
        <row r="1980">
          <cell r="U1980">
            <v>6666268</v>
          </cell>
          <cell r="V1980" t="str">
            <v>66</v>
          </cell>
          <cell r="W1980" t="str">
            <v>ΠΥΡΗΝΟΚΑΡΠΑ</v>
          </cell>
          <cell r="X1980" t="str">
            <v>66268</v>
          </cell>
        </row>
        <row r="1981">
          <cell r="U1981">
            <v>6666269</v>
          </cell>
          <cell r="V1981" t="str">
            <v>66</v>
          </cell>
          <cell r="W1981" t="str">
            <v>ΠΥΡΗΝΟΚΑΡΠΑ</v>
          </cell>
          <cell r="X1981" t="str">
            <v>66269</v>
          </cell>
        </row>
        <row r="1982">
          <cell r="U1982">
            <v>6666270</v>
          </cell>
          <cell r="V1982" t="str">
            <v>66</v>
          </cell>
          <cell r="W1982" t="str">
            <v>ΠΥΡΗΝΟΚΑΡΠΑ</v>
          </cell>
          <cell r="X1982" t="str">
            <v>66270</v>
          </cell>
        </row>
        <row r="1983">
          <cell r="U1983">
            <v>6666271</v>
          </cell>
          <cell r="V1983" t="str">
            <v>66</v>
          </cell>
          <cell r="W1983" t="str">
            <v>ΠΥΡΗΝΟΚΑΡΠΑ</v>
          </cell>
          <cell r="X1983" t="str">
            <v>66271</v>
          </cell>
        </row>
        <row r="1984">
          <cell r="U1984">
            <v>6666272</v>
          </cell>
          <cell r="V1984" t="str">
            <v>66</v>
          </cell>
          <cell r="W1984" t="str">
            <v>ΠΥΡΗΝΟΚΑΡΠΑ</v>
          </cell>
          <cell r="X1984" t="str">
            <v>66272</v>
          </cell>
        </row>
        <row r="1985">
          <cell r="U1985">
            <v>6666273</v>
          </cell>
          <cell r="V1985" t="str">
            <v>66</v>
          </cell>
          <cell r="W1985" t="str">
            <v>ΠΥΡΗΝΟΚΑΡΠΑ</v>
          </cell>
          <cell r="X1985" t="str">
            <v>66273</v>
          </cell>
        </row>
        <row r="1986">
          <cell r="U1986">
            <v>6666274</v>
          </cell>
          <cell r="V1986" t="str">
            <v>66</v>
          </cell>
          <cell r="W1986" t="str">
            <v>ΠΥΡΗΝΟΚΑΡΠΑ</v>
          </cell>
          <cell r="X1986" t="str">
            <v>66274</v>
          </cell>
        </row>
        <row r="1987">
          <cell r="U1987">
            <v>6666275</v>
          </cell>
          <cell r="V1987" t="str">
            <v>66</v>
          </cell>
          <cell r="W1987" t="str">
            <v>ΠΥΡΗΝΟΚΑΡΠΑ</v>
          </cell>
          <cell r="X1987" t="str">
            <v>66275</v>
          </cell>
        </row>
        <row r="1988">
          <cell r="U1988">
            <v>6666276</v>
          </cell>
          <cell r="V1988" t="str">
            <v>66</v>
          </cell>
          <cell r="W1988" t="str">
            <v>ΠΥΡΗΝΟΚΑΡΠΑ</v>
          </cell>
          <cell r="X1988" t="str">
            <v>66276</v>
          </cell>
        </row>
        <row r="1989">
          <cell r="U1989">
            <v>6666277</v>
          </cell>
          <cell r="V1989" t="str">
            <v>66</v>
          </cell>
          <cell r="W1989" t="str">
            <v>ΠΥΡΗΝΟΚΑΡΠΑ</v>
          </cell>
          <cell r="X1989" t="str">
            <v>66277</v>
          </cell>
        </row>
        <row r="1990">
          <cell r="U1990">
            <v>6666278</v>
          </cell>
          <cell r="V1990" t="str">
            <v>66</v>
          </cell>
          <cell r="W1990" t="str">
            <v>ΠΥΡΗΝΟΚΑΡΠΑ</v>
          </cell>
          <cell r="X1990" t="str">
            <v>66278</v>
          </cell>
        </row>
        <row r="1991">
          <cell r="U1991">
            <v>6666279</v>
          </cell>
          <cell r="V1991" t="str">
            <v>66</v>
          </cell>
          <cell r="W1991" t="str">
            <v>ΠΥΡΗΝΟΚΑΡΠΑ</v>
          </cell>
          <cell r="X1991" t="str">
            <v>66279</v>
          </cell>
        </row>
        <row r="1992">
          <cell r="U1992">
            <v>6666280</v>
          </cell>
          <cell r="V1992" t="str">
            <v>66</v>
          </cell>
          <cell r="W1992" t="str">
            <v>ΠΥΡΗΝΟΚΑΡΠΑ</v>
          </cell>
          <cell r="X1992" t="str">
            <v>66280</v>
          </cell>
        </row>
        <row r="1993">
          <cell r="U1993">
            <v>6666281</v>
          </cell>
          <cell r="V1993" t="str">
            <v>66</v>
          </cell>
          <cell r="W1993" t="str">
            <v>ΠΥΡΗΝΟΚΑΡΠΑ</v>
          </cell>
          <cell r="X1993" t="str">
            <v>66281</v>
          </cell>
        </row>
        <row r="1994">
          <cell r="U1994">
            <v>6666282</v>
          </cell>
          <cell r="V1994" t="str">
            <v>66</v>
          </cell>
          <cell r="W1994" t="str">
            <v>ΠΥΡΗΝΟΚΑΡΠΑ</v>
          </cell>
          <cell r="X1994" t="str">
            <v>66282</v>
          </cell>
        </row>
        <row r="1995">
          <cell r="U1995">
            <v>6666283</v>
          </cell>
          <cell r="V1995" t="str">
            <v>66</v>
          </cell>
          <cell r="W1995" t="str">
            <v>ΠΥΡΗΝΟΚΑΡΠΑ</v>
          </cell>
          <cell r="X1995" t="str">
            <v>66283</v>
          </cell>
        </row>
        <row r="1996">
          <cell r="U1996">
            <v>6666284</v>
          </cell>
          <cell r="V1996" t="str">
            <v>66</v>
          </cell>
          <cell r="W1996" t="str">
            <v>ΠΥΡΗΝΟΚΑΡΠΑ</v>
          </cell>
          <cell r="X1996" t="str">
            <v>66284</v>
          </cell>
        </row>
        <row r="1997">
          <cell r="U1997">
            <v>6666285</v>
          </cell>
          <cell r="V1997" t="str">
            <v>66</v>
          </cell>
          <cell r="W1997" t="str">
            <v>ΠΥΡΗΝΟΚΑΡΠΑ</v>
          </cell>
          <cell r="X1997" t="str">
            <v>66285</v>
          </cell>
        </row>
        <row r="1998">
          <cell r="U1998">
            <v>6666286</v>
          </cell>
          <cell r="V1998" t="str">
            <v>66</v>
          </cell>
          <cell r="W1998" t="str">
            <v>ΠΥΡΗΝΟΚΑΡΠΑ</v>
          </cell>
          <cell r="X1998" t="str">
            <v>66286</v>
          </cell>
        </row>
        <row r="1999">
          <cell r="U1999">
            <v>6666287</v>
          </cell>
          <cell r="V1999" t="str">
            <v>66</v>
          </cell>
          <cell r="W1999" t="str">
            <v>ΠΥΡΗΝΟΚΑΡΠΑ</v>
          </cell>
          <cell r="X1999" t="str">
            <v>66287</v>
          </cell>
        </row>
        <row r="2000">
          <cell r="U2000">
            <v>6666288</v>
          </cell>
          <cell r="V2000" t="str">
            <v>66</v>
          </cell>
          <cell r="W2000" t="str">
            <v>ΠΥΡΗΝΟΚΑΡΠΑ</v>
          </cell>
          <cell r="X2000" t="str">
            <v>66288</v>
          </cell>
        </row>
        <row r="2001">
          <cell r="U2001">
            <v>6666289</v>
          </cell>
          <cell r="V2001" t="str">
            <v>66</v>
          </cell>
          <cell r="W2001" t="str">
            <v>ΠΥΡΗΝΟΚΑΡΠΑ</v>
          </cell>
          <cell r="X2001" t="str">
            <v>66289</v>
          </cell>
        </row>
        <row r="2002">
          <cell r="U2002">
            <v>6666290</v>
          </cell>
          <cell r="V2002" t="str">
            <v>66</v>
          </cell>
          <cell r="W2002" t="str">
            <v>ΠΥΡΗΝΟΚΑΡΠΑ</v>
          </cell>
          <cell r="X2002" t="str">
            <v>66290</v>
          </cell>
        </row>
        <row r="2003">
          <cell r="U2003">
            <v>6666291</v>
          </cell>
          <cell r="V2003" t="str">
            <v>66</v>
          </cell>
          <cell r="W2003" t="str">
            <v>ΠΥΡΗΝΟΚΑΡΠΑ</v>
          </cell>
          <cell r="X2003" t="str">
            <v>66291</v>
          </cell>
        </row>
        <row r="2004">
          <cell r="U2004">
            <v>6666292</v>
          </cell>
          <cell r="V2004" t="str">
            <v>66</v>
          </cell>
          <cell r="W2004" t="str">
            <v>ΠΥΡΗΝΟΚΑΡΠΑ</v>
          </cell>
          <cell r="X2004" t="str">
            <v>66292</v>
          </cell>
        </row>
        <row r="2005">
          <cell r="U2005">
            <v>6666293</v>
          </cell>
          <cell r="V2005" t="str">
            <v>66</v>
          </cell>
          <cell r="W2005" t="str">
            <v>ΠΥΡΗΝΟΚΑΡΠΑ</v>
          </cell>
          <cell r="X2005" t="str">
            <v>66293</v>
          </cell>
        </row>
        <row r="2006">
          <cell r="U2006">
            <v>6666294</v>
          </cell>
          <cell r="V2006" t="str">
            <v>66</v>
          </cell>
          <cell r="W2006" t="str">
            <v>ΠΥΡΗΝΟΚΑΡΠΑ</v>
          </cell>
          <cell r="X2006" t="str">
            <v>66294</v>
          </cell>
        </row>
        <row r="2007">
          <cell r="U2007">
            <v>6666295</v>
          </cell>
          <cell r="V2007" t="str">
            <v>66</v>
          </cell>
          <cell r="W2007" t="str">
            <v>ΠΥΡΗΝΟΚΑΡΠΑ</v>
          </cell>
          <cell r="X2007" t="str">
            <v>66295</v>
          </cell>
        </row>
        <row r="2008">
          <cell r="U2008">
            <v>6666296</v>
          </cell>
          <cell r="V2008" t="str">
            <v>66</v>
          </cell>
          <cell r="W2008" t="str">
            <v>ΠΥΡΗΝΟΚΑΡΠΑ</v>
          </cell>
          <cell r="X2008" t="str">
            <v>66296</v>
          </cell>
        </row>
        <row r="2009">
          <cell r="U2009">
            <v>6666297</v>
          </cell>
          <cell r="V2009" t="str">
            <v>66</v>
          </cell>
          <cell r="W2009" t="str">
            <v>ΠΥΡΗΝΟΚΑΡΠΑ</v>
          </cell>
          <cell r="X2009" t="str">
            <v>66297</v>
          </cell>
        </row>
        <row r="2010">
          <cell r="U2010">
            <v>6666298</v>
          </cell>
          <cell r="V2010" t="str">
            <v>66</v>
          </cell>
          <cell r="W2010" t="str">
            <v>ΠΥΡΗΝΟΚΑΡΠΑ</v>
          </cell>
          <cell r="X2010" t="str">
            <v>66298</v>
          </cell>
        </row>
        <row r="2011">
          <cell r="U2011">
            <v>6666299</v>
          </cell>
          <cell r="V2011" t="str">
            <v>66</v>
          </cell>
          <cell r="W2011" t="str">
            <v>ΠΥΡΗΝΟΚΑΡΠΑ</v>
          </cell>
          <cell r="X2011" t="str">
            <v>66299</v>
          </cell>
        </row>
        <row r="2012">
          <cell r="U2012">
            <v>6666300</v>
          </cell>
          <cell r="V2012" t="str">
            <v>66</v>
          </cell>
          <cell r="W2012" t="str">
            <v>ΠΥΡΗΝΟΚΑΡΠΑ</v>
          </cell>
          <cell r="X2012" t="str">
            <v>66300</v>
          </cell>
        </row>
        <row r="2013">
          <cell r="U2013">
            <v>6666301</v>
          </cell>
          <cell r="V2013" t="str">
            <v>66</v>
          </cell>
          <cell r="W2013" t="str">
            <v>ΠΥΡΗΝΟΚΑΡΠΑ</v>
          </cell>
          <cell r="X2013" t="str">
            <v>66301</v>
          </cell>
        </row>
        <row r="2014">
          <cell r="U2014">
            <v>6666302</v>
          </cell>
          <cell r="V2014" t="str">
            <v>66</v>
          </cell>
          <cell r="W2014" t="str">
            <v>ΠΥΡΗΝΟΚΑΡΠΑ</v>
          </cell>
          <cell r="X2014" t="str">
            <v>66302</v>
          </cell>
        </row>
        <row r="2015">
          <cell r="U2015">
            <v>6666303</v>
          </cell>
          <cell r="V2015" t="str">
            <v>66</v>
          </cell>
          <cell r="W2015" t="str">
            <v>ΠΥΡΗΝΟΚΑΡΠΑ</v>
          </cell>
          <cell r="X2015" t="str">
            <v>66303</v>
          </cell>
        </row>
        <row r="2016">
          <cell r="U2016">
            <v>6666304</v>
          </cell>
          <cell r="V2016" t="str">
            <v>66</v>
          </cell>
          <cell r="W2016" t="str">
            <v>ΠΥΡΗΝΟΚΑΡΠΑ</v>
          </cell>
          <cell r="X2016" t="str">
            <v>66304</v>
          </cell>
        </row>
        <row r="2017">
          <cell r="U2017">
            <v>6666305</v>
          </cell>
          <cell r="V2017" t="str">
            <v>66</v>
          </cell>
          <cell r="W2017" t="str">
            <v>ΠΥΡΗΝΟΚΑΡΠΑ</v>
          </cell>
          <cell r="X2017" t="str">
            <v>66305</v>
          </cell>
        </row>
        <row r="2018">
          <cell r="U2018">
            <v>6666306</v>
          </cell>
          <cell r="V2018" t="str">
            <v>66</v>
          </cell>
          <cell r="W2018" t="str">
            <v>ΠΥΡΗΝΟΚΑΡΠΑ</v>
          </cell>
          <cell r="X2018" t="str">
            <v>66306</v>
          </cell>
        </row>
        <row r="2019">
          <cell r="U2019">
            <v>6666307</v>
          </cell>
          <cell r="V2019" t="str">
            <v>66</v>
          </cell>
          <cell r="W2019" t="str">
            <v>ΠΥΡΗΝΟΚΑΡΠΑ</v>
          </cell>
          <cell r="X2019" t="str">
            <v>66307</v>
          </cell>
        </row>
        <row r="2020">
          <cell r="U2020">
            <v>6666308</v>
          </cell>
          <cell r="V2020" t="str">
            <v>66</v>
          </cell>
          <cell r="W2020" t="str">
            <v>ΠΥΡΗΝΟΚΑΡΠΑ</v>
          </cell>
          <cell r="X2020" t="str">
            <v>66308</v>
          </cell>
        </row>
        <row r="2021">
          <cell r="U2021">
            <v>6666309</v>
          </cell>
          <cell r="V2021" t="str">
            <v>66</v>
          </cell>
          <cell r="W2021" t="str">
            <v>ΠΥΡΗΝΟΚΑΡΠΑ</v>
          </cell>
          <cell r="X2021" t="str">
            <v>66309</v>
          </cell>
        </row>
        <row r="2022">
          <cell r="U2022">
            <v>6666310</v>
          </cell>
          <cell r="V2022" t="str">
            <v>66</v>
          </cell>
          <cell r="W2022" t="str">
            <v>ΠΥΡΗΝΟΚΑΡΠΑ</v>
          </cell>
          <cell r="X2022" t="str">
            <v>66310</v>
          </cell>
        </row>
        <row r="2023">
          <cell r="U2023">
            <v>6666311</v>
          </cell>
          <cell r="V2023" t="str">
            <v>66</v>
          </cell>
          <cell r="W2023" t="str">
            <v>ΠΥΡΗΝΟΚΑΡΠΑ</v>
          </cell>
          <cell r="X2023" t="str">
            <v>66311</v>
          </cell>
        </row>
        <row r="2024">
          <cell r="U2024">
            <v>6666312</v>
          </cell>
          <cell r="V2024" t="str">
            <v>66</v>
          </cell>
          <cell r="W2024" t="str">
            <v>ΠΥΡΗΝΟΚΑΡΠΑ</v>
          </cell>
          <cell r="X2024" t="str">
            <v>66312</v>
          </cell>
        </row>
        <row r="2025">
          <cell r="U2025">
            <v>6666313</v>
          </cell>
          <cell r="V2025" t="str">
            <v>66</v>
          </cell>
          <cell r="W2025" t="str">
            <v>ΠΥΡΗΝΟΚΑΡΠΑ</v>
          </cell>
          <cell r="X2025" t="str">
            <v>66313</v>
          </cell>
        </row>
        <row r="2026">
          <cell r="U2026">
            <v>6714004</v>
          </cell>
          <cell r="V2026" t="str">
            <v>67</v>
          </cell>
          <cell r="W2026" t="str">
            <v>ΜΗΛΟΕΙΔΗ</v>
          </cell>
          <cell r="X2026" t="str">
            <v>14004</v>
          </cell>
        </row>
        <row r="2027">
          <cell r="U2027">
            <v>6714005</v>
          </cell>
          <cell r="V2027" t="str">
            <v>67</v>
          </cell>
          <cell r="W2027" t="str">
            <v>ΜΗΛΟΕΙΔΗ</v>
          </cell>
          <cell r="X2027" t="str">
            <v>14005</v>
          </cell>
        </row>
        <row r="2028">
          <cell r="U2028">
            <v>6714032</v>
          </cell>
          <cell r="V2028" t="str">
            <v>67</v>
          </cell>
          <cell r="W2028" t="str">
            <v>ΜΗΛΟΕΙΔΗ</v>
          </cell>
          <cell r="X2028" t="str">
            <v>14032</v>
          </cell>
        </row>
        <row r="2029">
          <cell r="U2029">
            <v>6767001</v>
          </cell>
          <cell r="V2029" t="str">
            <v>67</v>
          </cell>
          <cell r="W2029" t="str">
            <v>ΜΗΛΟΕΙΔΗ</v>
          </cell>
          <cell r="X2029" t="str">
            <v>67001</v>
          </cell>
        </row>
        <row r="2030">
          <cell r="U2030">
            <v>6767002</v>
          </cell>
          <cell r="V2030" t="str">
            <v>67</v>
          </cell>
          <cell r="W2030" t="str">
            <v>ΜΗΛΟΕΙΔΗ</v>
          </cell>
          <cell r="X2030" t="str">
            <v>67002</v>
          </cell>
        </row>
        <row r="2031">
          <cell r="U2031">
            <v>6767003</v>
          </cell>
          <cell r="V2031" t="str">
            <v>67</v>
          </cell>
          <cell r="W2031" t="str">
            <v>ΜΗΛΟΕΙΔΗ</v>
          </cell>
          <cell r="X2031" t="str">
            <v>67003</v>
          </cell>
        </row>
        <row r="2032">
          <cell r="U2032">
            <v>6767004</v>
          </cell>
          <cell r="V2032" t="str">
            <v>67</v>
          </cell>
          <cell r="W2032" t="str">
            <v>ΜΗΛΟΕΙΔΗ</v>
          </cell>
          <cell r="X2032" t="str">
            <v>67004</v>
          </cell>
        </row>
        <row r="2033">
          <cell r="U2033">
            <v>6767005</v>
          </cell>
          <cell r="V2033" t="str">
            <v>67</v>
          </cell>
          <cell r="W2033" t="str">
            <v>ΜΗΛΟΕΙΔΗ</v>
          </cell>
          <cell r="X2033" t="str">
            <v>67005</v>
          </cell>
        </row>
        <row r="2034">
          <cell r="U2034">
            <v>6767006</v>
          </cell>
          <cell r="V2034" t="str">
            <v>67</v>
          </cell>
          <cell r="W2034" t="str">
            <v>ΜΗΛΟΕΙΔΗ</v>
          </cell>
          <cell r="X2034" t="str">
            <v>67006</v>
          </cell>
        </row>
        <row r="2035">
          <cell r="U2035">
            <v>6767007</v>
          </cell>
          <cell r="V2035" t="str">
            <v>67</v>
          </cell>
          <cell r="W2035" t="str">
            <v>ΜΗΛΟΕΙΔΗ</v>
          </cell>
          <cell r="X2035" t="str">
            <v>67007</v>
          </cell>
        </row>
        <row r="2036">
          <cell r="U2036">
            <v>6767008</v>
          </cell>
          <cell r="V2036" t="str">
            <v>67</v>
          </cell>
          <cell r="W2036" t="str">
            <v>ΜΗΛΟΕΙΔΗ</v>
          </cell>
          <cell r="X2036" t="str">
            <v>67008</v>
          </cell>
        </row>
        <row r="2037">
          <cell r="U2037">
            <v>6767009</v>
          </cell>
          <cell r="V2037" t="str">
            <v>67</v>
          </cell>
          <cell r="W2037" t="str">
            <v>ΜΗΛΟΕΙΔΗ</v>
          </cell>
          <cell r="X2037" t="str">
            <v>67009</v>
          </cell>
        </row>
        <row r="2038">
          <cell r="U2038">
            <v>6767010</v>
          </cell>
          <cell r="V2038" t="str">
            <v>67</v>
          </cell>
          <cell r="W2038" t="str">
            <v>ΜΗΛΟΕΙΔΗ</v>
          </cell>
          <cell r="X2038" t="str">
            <v>67010</v>
          </cell>
        </row>
        <row r="2039">
          <cell r="U2039">
            <v>6767011</v>
          </cell>
          <cell r="V2039" t="str">
            <v>67</v>
          </cell>
          <cell r="W2039" t="str">
            <v>ΜΗΛΟΕΙΔΗ</v>
          </cell>
          <cell r="X2039" t="str">
            <v>67011</v>
          </cell>
        </row>
        <row r="2040">
          <cell r="U2040">
            <v>6767012</v>
          </cell>
          <cell r="V2040" t="str">
            <v>67</v>
          </cell>
          <cell r="W2040" t="str">
            <v>ΜΗΛΟΕΙΔΗ</v>
          </cell>
          <cell r="X2040" t="str">
            <v>67012</v>
          </cell>
        </row>
        <row r="2041">
          <cell r="U2041">
            <v>6767013</v>
          </cell>
          <cell r="V2041" t="str">
            <v>67</v>
          </cell>
          <cell r="W2041" t="str">
            <v>ΜΗΛΟΕΙΔΗ</v>
          </cell>
          <cell r="X2041" t="str">
            <v>67013</v>
          </cell>
        </row>
        <row r="2042">
          <cell r="U2042">
            <v>6767014</v>
          </cell>
          <cell r="V2042" t="str">
            <v>67</v>
          </cell>
          <cell r="W2042" t="str">
            <v>ΜΗΛΟΕΙΔΗ</v>
          </cell>
          <cell r="X2042" t="str">
            <v>67014</v>
          </cell>
        </row>
        <row r="2043">
          <cell r="U2043">
            <v>6767015</v>
          </cell>
          <cell r="V2043" t="str">
            <v>67</v>
          </cell>
          <cell r="W2043" t="str">
            <v>ΜΗΛΟΕΙΔΗ</v>
          </cell>
          <cell r="X2043" t="str">
            <v>67015</v>
          </cell>
        </row>
        <row r="2044">
          <cell r="U2044">
            <v>6767016</v>
          </cell>
          <cell r="V2044" t="str">
            <v>67</v>
          </cell>
          <cell r="W2044" t="str">
            <v>ΜΗΛΟΕΙΔΗ</v>
          </cell>
          <cell r="X2044" t="str">
            <v>67016</v>
          </cell>
        </row>
        <row r="2045">
          <cell r="U2045">
            <v>6767017</v>
          </cell>
          <cell r="V2045" t="str">
            <v>67</v>
          </cell>
          <cell r="W2045" t="str">
            <v>ΜΗΛΟΕΙΔΗ</v>
          </cell>
          <cell r="X2045" t="str">
            <v>67017</v>
          </cell>
        </row>
        <row r="2046">
          <cell r="U2046">
            <v>6767018</v>
          </cell>
          <cell r="V2046" t="str">
            <v>67</v>
          </cell>
          <cell r="W2046" t="str">
            <v>ΜΗΛΟΕΙΔΗ</v>
          </cell>
          <cell r="X2046" t="str">
            <v>67018</v>
          </cell>
        </row>
        <row r="2047">
          <cell r="U2047">
            <v>6767019</v>
          </cell>
          <cell r="V2047" t="str">
            <v>67</v>
          </cell>
          <cell r="W2047" t="str">
            <v>ΜΗΛΟΕΙΔΗ</v>
          </cell>
          <cell r="X2047" t="str">
            <v>67019</v>
          </cell>
        </row>
        <row r="2048">
          <cell r="U2048">
            <v>6767020</v>
          </cell>
          <cell r="V2048" t="str">
            <v>67</v>
          </cell>
          <cell r="W2048" t="str">
            <v>ΜΗΛΟΕΙΔΗ</v>
          </cell>
          <cell r="X2048" t="str">
            <v>67020</v>
          </cell>
        </row>
        <row r="2049">
          <cell r="U2049">
            <v>6767021</v>
          </cell>
          <cell r="V2049" t="str">
            <v>67</v>
          </cell>
          <cell r="W2049" t="str">
            <v>ΜΗΛΟΕΙΔΗ</v>
          </cell>
          <cell r="X2049" t="str">
            <v>67021</v>
          </cell>
        </row>
        <row r="2050">
          <cell r="U2050">
            <v>6767022</v>
          </cell>
          <cell r="V2050" t="str">
            <v>67</v>
          </cell>
          <cell r="W2050" t="str">
            <v>ΜΗΛΟΕΙΔΗ</v>
          </cell>
          <cell r="X2050" t="str">
            <v>67022</v>
          </cell>
        </row>
        <row r="2051">
          <cell r="U2051">
            <v>6767023</v>
          </cell>
          <cell r="V2051" t="str">
            <v>67</v>
          </cell>
          <cell r="W2051" t="str">
            <v>ΜΗΛΟΕΙΔΗ</v>
          </cell>
          <cell r="X2051" t="str">
            <v>67023</v>
          </cell>
        </row>
        <row r="2052">
          <cell r="U2052">
            <v>6767024</v>
          </cell>
          <cell r="V2052" t="str">
            <v>67</v>
          </cell>
          <cell r="W2052" t="str">
            <v>ΜΗΛΟΕΙΔΗ</v>
          </cell>
          <cell r="X2052" t="str">
            <v>67024</v>
          </cell>
        </row>
        <row r="2053">
          <cell r="U2053">
            <v>6767025</v>
          </cell>
          <cell r="V2053" t="str">
            <v>67</v>
          </cell>
          <cell r="W2053" t="str">
            <v>ΜΗΛΟΕΙΔΗ</v>
          </cell>
          <cell r="X2053" t="str">
            <v>67025</v>
          </cell>
        </row>
        <row r="2054">
          <cell r="U2054">
            <v>6767026</v>
          </cell>
          <cell r="V2054" t="str">
            <v>67</v>
          </cell>
          <cell r="W2054" t="str">
            <v>ΜΗΛΟΕΙΔΗ</v>
          </cell>
          <cell r="X2054" t="str">
            <v>67026</v>
          </cell>
        </row>
        <row r="2055">
          <cell r="U2055">
            <v>6767027</v>
          </cell>
          <cell r="V2055" t="str">
            <v>67</v>
          </cell>
          <cell r="W2055" t="str">
            <v>ΜΗΛΟΕΙΔΗ</v>
          </cell>
          <cell r="X2055" t="str">
            <v>67027</v>
          </cell>
        </row>
        <row r="2056">
          <cell r="U2056">
            <v>6767028</v>
          </cell>
          <cell r="V2056" t="str">
            <v>67</v>
          </cell>
          <cell r="W2056" t="str">
            <v>ΜΗΛΟΕΙΔΗ</v>
          </cell>
          <cell r="X2056" t="str">
            <v>67028</v>
          </cell>
        </row>
        <row r="2057">
          <cell r="U2057">
            <v>6767029</v>
          </cell>
          <cell r="V2057" t="str">
            <v>67</v>
          </cell>
          <cell r="W2057" t="str">
            <v>ΜΗΛΟΕΙΔΗ</v>
          </cell>
          <cell r="X2057" t="str">
            <v>67029</v>
          </cell>
        </row>
        <row r="2058">
          <cell r="U2058">
            <v>6767030</v>
          </cell>
          <cell r="V2058" t="str">
            <v>67</v>
          </cell>
          <cell r="W2058" t="str">
            <v>ΜΗΛΟΕΙΔΗ</v>
          </cell>
          <cell r="X2058" t="str">
            <v>67030</v>
          </cell>
        </row>
        <row r="2059">
          <cell r="U2059">
            <v>6767031</v>
          </cell>
          <cell r="V2059" t="str">
            <v>67</v>
          </cell>
          <cell r="W2059" t="str">
            <v>ΜΗΛΟΕΙΔΗ</v>
          </cell>
          <cell r="X2059" t="str">
            <v>67031</v>
          </cell>
        </row>
        <row r="2060">
          <cell r="U2060">
            <v>6767032</v>
          </cell>
          <cell r="V2060" t="str">
            <v>67</v>
          </cell>
          <cell r="W2060" t="str">
            <v>ΜΗΛΟΕΙΔΗ</v>
          </cell>
          <cell r="X2060" t="str">
            <v>67032</v>
          </cell>
        </row>
        <row r="2061">
          <cell r="U2061">
            <v>6767033</v>
          </cell>
          <cell r="V2061" t="str">
            <v>67</v>
          </cell>
          <cell r="W2061" t="str">
            <v>ΜΗΛΟΕΙΔΗ</v>
          </cell>
          <cell r="X2061" t="str">
            <v>67033</v>
          </cell>
        </row>
        <row r="2062">
          <cell r="U2062">
            <v>6767034</v>
          </cell>
          <cell r="V2062" t="str">
            <v>67</v>
          </cell>
          <cell r="W2062" t="str">
            <v>ΜΗΛΟΕΙΔΗ</v>
          </cell>
          <cell r="X2062" t="str">
            <v>67034</v>
          </cell>
        </row>
        <row r="2063">
          <cell r="U2063">
            <v>6767035</v>
          </cell>
          <cell r="V2063" t="str">
            <v>67</v>
          </cell>
          <cell r="W2063" t="str">
            <v>ΜΗΛΟΕΙΔΗ</v>
          </cell>
          <cell r="X2063" t="str">
            <v>67035</v>
          </cell>
        </row>
        <row r="2064">
          <cell r="U2064">
            <v>6767036</v>
          </cell>
          <cell r="V2064" t="str">
            <v>67</v>
          </cell>
          <cell r="W2064" t="str">
            <v>ΜΗΛΟΕΙΔΗ</v>
          </cell>
          <cell r="X2064" t="str">
            <v>67036</v>
          </cell>
        </row>
        <row r="2065">
          <cell r="U2065">
            <v>6767037</v>
          </cell>
          <cell r="V2065" t="str">
            <v>67</v>
          </cell>
          <cell r="W2065" t="str">
            <v>ΜΗΛΟΕΙΔΗ</v>
          </cell>
          <cell r="X2065" t="str">
            <v>67037</v>
          </cell>
        </row>
        <row r="2066">
          <cell r="U2066">
            <v>6767038</v>
          </cell>
          <cell r="V2066" t="str">
            <v>67</v>
          </cell>
          <cell r="W2066" t="str">
            <v>ΜΗΛΟΕΙΔΗ</v>
          </cell>
          <cell r="X2066" t="str">
            <v>67038</v>
          </cell>
        </row>
        <row r="2067">
          <cell r="U2067">
            <v>6767039</v>
          </cell>
          <cell r="V2067" t="str">
            <v>67</v>
          </cell>
          <cell r="W2067" t="str">
            <v>ΜΗΛΟΕΙΔΗ</v>
          </cell>
          <cell r="X2067" t="str">
            <v>67039</v>
          </cell>
        </row>
        <row r="2068">
          <cell r="U2068">
            <v>6767040</v>
          </cell>
          <cell r="V2068" t="str">
            <v>67</v>
          </cell>
          <cell r="W2068" t="str">
            <v>ΜΗΛΟΕΙΔΗ</v>
          </cell>
          <cell r="X2068" t="str">
            <v>67040</v>
          </cell>
        </row>
        <row r="2069">
          <cell r="U2069">
            <v>6767041</v>
          </cell>
          <cell r="V2069" t="str">
            <v>67</v>
          </cell>
          <cell r="W2069" t="str">
            <v>ΜΗΛΟΕΙΔΗ</v>
          </cell>
          <cell r="X2069" t="str">
            <v>67041</v>
          </cell>
        </row>
        <row r="2070">
          <cell r="U2070">
            <v>6767042</v>
          </cell>
          <cell r="V2070" t="str">
            <v>67</v>
          </cell>
          <cell r="W2070" t="str">
            <v>ΜΗΛΟΕΙΔΗ</v>
          </cell>
          <cell r="X2070" t="str">
            <v>67042</v>
          </cell>
        </row>
        <row r="2071">
          <cell r="U2071">
            <v>6767043</v>
          </cell>
          <cell r="V2071" t="str">
            <v>67</v>
          </cell>
          <cell r="W2071" t="str">
            <v>ΜΗΛΟΕΙΔΗ</v>
          </cell>
          <cell r="X2071" t="str">
            <v>67043</v>
          </cell>
        </row>
        <row r="2072">
          <cell r="U2072">
            <v>6767044</v>
          </cell>
          <cell r="V2072" t="str">
            <v>67</v>
          </cell>
          <cell r="W2072" t="str">
            <v>ΜΗΛΟΕΙΔΗ</v>
          </cell>
          <cell r="X2072" t="str">
            <v>67044</v>
          </cell>
        </row>
        <row r="2073">
          <cell r="U2073">
            <v>6767045</v>
          </cell>
          <cell r="V2073" t="str">
            <v>67</v>
          </cell>
          <cell r="W2073" t="str">
            <v>ΜΗΛΟΕΙΔΗ</v>
          </cell>
          <cell r="X2073" t="str">
            <v>67045</v>
          </cell>
        </row>
        <row r="2074">
          <cell r="U2074">
            <v>6767046</v>
          </cell>
          <cell r="V2074" t="str">
            <v>67</v>
          </cell>
          <cell r="W2074" t="str">
            <v>ΜΗΛΟΕΙΔΗ</v>
          </cell>
          <cell r="X2074" t="str">
            <v>67046</v>
          </cell>
        </row>
        <row r="2075">
          <cell r="U2075">
            <v>6767047</v>
          </cell>
          <cell r="V2075" t="str">
            <v>67</v>
          </cell>
          <cell r="W2075" t="str">
            <v>ΜΗΛΟΕΙΔΗ</v>
          </cell>
          <cell r="X2075" t="str">
            <v>67047</v>
          </cell>
        </row>
        <row r="2076">
          <cell r="U2076">
            <v>6767048</v>
          </cell>
          <cell r="V2076" t="str">
            <v>67</v>
          </cell>
          <cell r="W2076" t="str">
            <v>ΜΗΛΟΕΙΔΗ</v>
          </cell>
          <cell r="X2076" t="str">
            <v>67048</v>
          </cell>
        </row>
        <row r="2077">
          <cell r="U2077">
            <v>6767049</v>
          </cell>
          <cell r="V2077" t="str">
            <v>67</v>
          </cell>
          <cell r="W2077" t="str">
            <v>ΜΗΛΟΕΙΔΗ</v>
          </cell>
          <cell r="X2077" t="str">
            <v>67049</v>
          </cell>
        </row>
        <row r="2078">
          <cell r="U2078">
            <v>6767050</v>
          </cell>
          <cell r="V2078" t="str">
            <v>67</v>
          </cell>
          <cell r="W2078" t="str">
            <v>ΜΗΛΟΕΙΔΗ</v>
          </cell>
          <cell r="X2078" t="str">
            <v>67050</v>
          </cell>
        </row>
        <row r="2079">
          <cell r="U2079">
            <v>6767051</v>
          </cell>
          <cell r="V2079" t="str">
            <v>67</v>
          </cell>
          <cell r="W2079" t="str">
            <v>ΜΗΛΟΕΙΔΗ</v>
          </cell>
          <cell r="X2079" t="str">
            <v>67051</v>
          </cell>
        </row>
        <row r="2080">
          <cell r="U2080">
            <v>6767052</v>
          </cell>
          <cell r="V2080" t="str">
            <v>67</v>
          </cell>
          <cell r="W2080" t="str">
            <v>ΜΗΛΟΕΙΔΗ</v>
          </cell>
          <cell r="X2080" t="str">
            <v>67052</v>
          </cell>
        </row>
        <row r="2081">
          <cell r="U2081">
            <v>6767053</v>
          </cell>
          <cell r="V2081" t="str">
            <v>67</v>
          </cell>
          <cell r="W2081" t="str">
            <v>ΜΗΛΟΕΙΔΗ</v>
          </cell>
          <cell r="X2081" t="str">
            <v>67053</v>
          </cell>
        </row>
        <row r="2082">
          <cell r="U2082">
            <v>6767054</v>
          </cell>
          <cell r="V2082" t="str">
            <v>67</v>
          </cell>
          <cell r="W2082" t="str">
            <v>ΜΗΛΟΕΙΔΗ</v>
          </cell>
          <cell r="X2082" t="str">
            <v>67054</v>
          </cell>
        </row>
        <row r="2083">
          <cell r="U2083">
            <v>6767055</v>
          </cell>
          <cell r="V2083" t="str">
            <v>67</v>
          </cell>
          <cell r="W2083" t="str">
            <v>ΜΗΛΟΕΙΔΗ</v>
          </cell>
          <cell r="X2083" t="str">
            <v>67055</v>
          </cell>
        </row>
        <row r="2084">
          <cell r="U2084">
            <v>6767056</v>
          </cell>
          <cell r="V2084" t="str">
            <v>67</v>
          </cell>
          <cell r="W2084" t="str">
            <v>ΜΗΛΟΕΙΔΗ</v>
          </cell>
          <cell r="X2084" t="str">
            <v>67056</v>
          </cell>
        </row>
        <row r="2085">
          <cell r="U2085">
            <v>6767057</v>
          </cell>
          <cell r="V2085" t="str">
            <v>67</v>
          </cell>
          <cell r="W2085" t="str">
            <v>ΜΗΛΟΕΙΔΗ</v>
          </cell>
          <cell r="X2085" t="str">
            <v>67057</v>
          </cell>
        </row>
        <row r="2086">
          <cell r="U2086">
            <v>6767058</v>
          </cell>
          <cell r="V2086" t="str">
            <v>67</v>
          </cell>
          <cell r="W2086" t="str">
            <v>ΜΗΛΟΕΙΔΗ</v>
          </cell>
          <cell r="X2086" t="str">
            <v>67058</v>
          </cell>
        </row>
        <row r="2087">
          <cell r="U2087">
            <v>6767059</v>
          </cell>
          <cell r="V2087" t="str">
            <v>67</v>
          </cell>
          <cell r="W2087" t="str">
            <v>ΜΗΛΟΕΙΔΗ</v>
          </cell>
          <cell r="X2087" t="str">
            <v>67059</v>
          </cell>
        </row>
        <row r="2088">
          <cell r="U2088">
            <v>6767060</v>
          </cell>
          <cell r="V2088" t="str">
            <v>67</v>
          </cell>
          <cell r="W2088" t="str">
            <v>ΜΗΛΟΕΙΔΗ</v>
          </cell>
          <cell r="X2088" t="str">
            <v>67060</v>
          </cell>
        </row>
        <row r="2089">
          <cell r="U2089">
            <v>6767061</v>
          </cell>
          <cell r="V2089" t="str">
            <v>67</v>
          </cell>
          <cell r="W2089" t="str">
            <v>ΜΗΛΟΕΙΔΗ</v>
          </cell>
          <cell r="X2089" t="str">
            <v>67061</v>
          </cell>
        </row>
        <row r="2090">
          <cell r="U2090">
            <v>6767062</v>
          </cell>
          <cell r="V2090" t="str">
            <v>67</v>
          </cell>
          <cell r="W2090" t="str">
            <v>ΜΗΛΟΕΙΔΗ</v>
          </cell>
          <cell r="X2090" t="str">
            <v>67062</v>
          </cell>
        </row>
        <row r="2091">
          <cell r="U2091">
            <v>6767063</v>
          </cell>
          <cell r="V2091" t="str">
            <v>67</v>
          </cell>
          <cell r="W2091" t="str">
            <v>ΜΗΛΟΕΙΔΗ</v>
          </cell>
          <cell r="X2091" t="str">
            <v>67063</v>
          </cell>
        </row>
        <row r="2092">
          <cell r="U2092">
            <v>6767064</v>
          </cell>
          <cell r="V2092" t="str">
            <v>67</v>
          </cell>
          <cell r="W2092" t="str">
            <v>ΜΗΛΟΕΙΔΗ</v>
          </cell>
          <cell r="X2092" t="str">
            <v>67064</v>
          </cell>
        </row>
        <row r="2093">
          <cell r="U2093">
            <v>6767065</v>
          </cell>
          <cell r="V2093" t="str">
            <v>67</v>
          </cell>
          <cell r="W2093" t="str">
            <v>ΜΗΛΟΕΙΔΗ</v>
          </cell>
          <cell r="X2093" t="str">
            <v>67065</v>
          </cell>
        </row>
        <row r="2094">
          <cell r="U2094">
            <v>6767066</v>
          </cell>
          <cell r="V2094" t="str">
            <v>67</v>
          </cell>
          <cell r="W2094" t="str">
            <v>ΜΗΛΟΕΙΔΗ</v>
          </cell>
          <cell r="X2094" t="str">
            <v>67066</v>
          </cell>
        </row>
        <row r="2095">
          <cell r="U2095">
            <v>6767067</v>
          </cell>
          <cell r="V2095" t="str">
            <v>67</v>
          </cell>
          <cell r="W2095" t="str">
            <v>ΜΗΛΟΕΙΔΗ</v>
          </cell>
          <cell r="X2095" t="str">
            <v>67067</v>
          </cell>
        </row>
        <row r="2096">
          <cell r="U2096">
            <v>6767068</v>
          </cell>
          <cell r="V2096" t="str">
            <v>67</v>
          </cell>
          <cell r="W2096" t="str">
            <v>ΜΗΛΟΕΙΔΗ</v>
          </cell>
          <cell r="X2096" t="str">
            <v>67068</v>
          </cell>
        </row>
        <row r="2097">
          <cell r="U2097">
            <v>6767069</v>
          </cell>
          <cell r="V2097" t="str">
            <v>67</v>
          </cell>
          <cell r="W2097" t="str">
            <v>ΜΗΛΟΕΙΔΗ</v>
          </cell>
          <cell r="X2097" t="str">
            <v>67069</v>
          </cell>
        </row>
        <row r="2098">
          <cell r="U2098">
            <v>6767070</v>
          </cell>
          <cell r="V2098" t="str">
            <v>67</v>
          </cell>
          <cell r="W2098" t="str">
            <v>ΜΗΛΟΕΙΔΗ</v>
          </cell>
          <cell r="X2098" t="str">
            <v>67070</v>
          </cell>
        </row>
        <row r="2099">
          <cell r="U2099">
            <v>6767071</v>
          </cell>
          <cell r="V2099" t="str">
            <v>67</v>
          </cell>
          <cell r="W2099" t="str">
            <v>ΜΗΛΟΕΙΔΗ</v>
          </cell>
          <cell r="X2099" t="str">
            <v>67071</v>
          </cell>
        </row>
        <row r="2100">
          <cell r="U2100">
            <v>6767072</v>
          </cell>
          <cell r="V2100" t="str">
            <v>67</v>
          </cell>
          <cell r="W2100" t="str">
            <v>ΜΗΛΟΕΙΔΗ</v>
          </cell>
          <cell r="X2100" t="str">
            <v>67072</v>
          </cell>
        </row>
        <row r="2101">
          <cell r="U2101">
            <v>6767073</v>
          </cell>
          <cell r="V2101" t="str">
            <v>67</v>
          </cell>
          <cell r="W2101" t="str">
            <v>ΜΗΛΟΕΙΔΗ</v>
          </cell>
          <cell r="X2101" t="str">
            <v>67073</v>
          </cell>
        </row>
        <row r="2102">
          <cell r="U2102">
            <v>6767074</v>
          </cell>
          <cell r="V2102" t="str">
            <v>67</v>
          </cell>
          <cell r="W2102" t="str">
            <v>ΜΗΛΟΕΙΔΗ</v>
          </cell>
          <cell r="X2102" t="str">
            <v>67074</v>
          </cell>
        </row>
        <row r="2103">
          <cell r="U2103">
            <v>6767075</v>
          </cell>
          <cell r="V2103" t="str">
            <v>67</v>
          </cell>
          <cell r="W2103" t="str">
            <v>ΜΗΛΟΕΙΔΗ</v>
          </cell>
          <cell r="X2103" t="str">
            <v>67075</v>
          </cell>
        </row>
        <row r="2104">
          <cell r="U2104">
            <v>6767076</v>
          </cell>
          <cell r="V2104" t="str">
            <v>67</v>
          </cell>
          <cell r="W2104" t="str">
            <v>ΜΗΛΟΕΙΔΗ</v>
          </cell>
          <cell r="X2104" t="str">
            <v>67076</v>
          </cell>
        </row>
        <row r="2105">
          <cell r="U2105">
            <v>6767077</v>
          </cell>
          <cell r="V2105" t="str">
            <v>67</v>
          </cell>
          <cell r="W2105" t="str">
            <v>ΜΗΛΟΕΙΔΗ</v>
          </cell>
          <cell r="X2105" t="str">
            <v>67077</v>
          </cell>
        </row>
        <row r="2106">
          <cell r="U2106">
            <v>6767078</v>
          </cell>
          <cell r="V2106" t="str">
            <v>67</v>
          </cell>
          <cell r="W2106" t="str">
            <v>ΜΗΛΟΕΙΔΗ</v>
          </cell>
          <cell r="X2106" t="str">
            <v>67078</v>
          </cell>
        </row>
        <row r="2107">
          <cell r="U2107">
            <v>6767079</v>
          </cell>
          <cell r="V2107" t="str">
            <v>67</v>
          </cell>
          <cell r="W2107" t="str">
            <v>ΜΗΛΟΕΙΔΗ</v>
          </cell>
          <cell r="X2107" t="str">
            <v>67079</v>
          </cell>
        </row>
        <row r="2108">
          <cell r="U2108">
            <v>6767080</v>
          </cell>
          <cell r="V2108" t="str">
            <v>67</v>
          </cell>
          <cell r="W2108" t="str">
            <v>ΜΗΛΟΕΙΔΗ</v>
          </cell>
          <cell r="X2108" t="str">
            <v>67080</v>
          </cell>
        </row>
        <row r="2109">
          <cell r="U2109">
            <v>6767081</v>
          </cell>
          <cell r="V2109" t="str">
            <v>67</v>
          </cell>
          <cell r="W2109" t="str">
            <v>ΜΗΛΟΕΙΔΗ</v>
          </cell>
          <cell r="X2109" t="str">
            <v>67081</v>
          </cell>
        </row>
        <row r="2110">
          <cell r="U2110">
            <v>6767082</v>
          </cell>
          <cell r="V2110" t="str">
            <v>67</v>
          </cell>
          <cell r="W2110" t="str">
            <v>ΜΗΛΟΕΙΔΗ</v>
          </cell>
          <cell r="X2110" t="str">
            <v>67082</v>
          </cell>
        </row>
        <row r="2111">
          <cell r="U2111">
            <v>6767083</v>
          </cell>
          <cell r="V2111" t="str">
            <v>67</v>
          </cell>
          <cell r="W2111" t="str">
            <v>ΜΗΛΟΕΙΔΗ</v>
          </cell>
          <cell r="X2111" t="str">
            <v>67083</v>
          </cell>
        </row>
        <row r="2112">
          <cell r="U2112">
            <v>6767084</v>
          </cell>
          <cell r="V2112" t="str">
            <v>67</v>
          </cell>
          <cell r="W2112" t="str">
            <v>ΜΗΛΟΕΙΔΗ</v>
          </cell>
          <cell r="X2112" t="str">
            <v>67084</v>
          </cell>
        </row>
        <row r="2113">
          <cell r="U2113">
            <v>6767085</v>
          </cell>
          <cell r="V2113" t="str">
            <v>67</v>
          </cell>
          <cell r="W2113" t="str">
            <v>ΜΗΛΟΕΙΔΗ</v>
          </cell>
          <cell r="X2113" t="str">
            <v>67085</v>
          </cell>
        </row>
        <row r="2114">
          <cell r="U2114">
            <v>6767086</v>
          </cell>
          <cell r="V2114" t="str">
            <v>67</v>
          </cell>
          <cell r="W2114" t="str">
            <v>ΜΗΛΟΕΙΔΗ</v>
          </cell>
          <cell r="X2114" t="str">
            <v>67086</v>
          </cell>
        </row>
        <row r="2115">
          <cell r="U2115">
            <v>6767087</v>
          </cell>
          <cell r="V2115" t="str">
            <v>67</v>
          </cell>
          <cell r="W2115" t="str">
            <v>ΜΗΛΟΕΙΔΗ</v>
          </cell>
          <cell r="X2115" t="str">
            <v>67087</v>
          </cell>
        </row>
        <row r="2116">
          <cell r="U2116">
            <v>6767088</v>
          </cell>
          <cell r="V2116" t="str">
            <v>67</v>
          </cell>
          <cell r="W2116" t="str">
            <v>ΜΗΛΟΕΙΔΗ</v>
          </cell>
          <cell r="X2116" t="str">
            <v>67088</v>
          </cell>
        </row>
        <row r="2117">
          <cell r="U2117">
            <v>6767089</v>
          </cell>
          <cell r="V2117" t="str">
            <v>67</v>
          </cell>
          <cell r="W2117" t="str">
            <v>ΜΗΛΟΕΙΔΗ</v>
          </cell>
          <cell r="X2117" t="str">
            <v>67089</v>
          </cell>
        </row>
        <row r="2118">
          <cell r="U2118">
            <v>6767090</v>
          </cell>
          <cell r="V2118" t="str">
            <v>67</v>
          </cell>
          <cell r="W2118" t="str">
            <v>ΜΗΛΟΕΙΔΗ</v>
          </cell>
          <cell r="X2118" t="str">
            <v>67090</v>
          </cell>
        </row>
        <row r="2119">
          <cell r="U2119">
            <v>6767091</v>
          </cell>
          <cell r="V2119" t="str">
            <v>67</v>
          </cell>
          <cell r="W2119" t="str">
            <v>ΜΗΛΟΕΙΔΗ</v>
          </cell>
          <cell r="X2119" t="str">
            <v>67091</v>
          </cell>
        </row>
        <row r="2120">
          <cell r="U2120">
            <v>6767092</v>
          </cell>
          <cell r="V2120" t="str">
            <v>67</v>
          </cell>
          <cell r="W2120" t="str">
            <v>ΜΗΛΟΕΙΔΗ</v>
          </cell>
          <cell r="X2120" t="str">
            <v>67092</v>
          </cell>
        </row>
        <row r="2121">
          <cell r="U2121">
            <v>20214039</v>
          </cell>
          <cell r="V2121" t="str">
            <v>20.2</v>
          </cell>
          <cell r="W2121" t="str">
            <v>ΡΟΔΑΚΙΝΙΕΣ ΜΕΤΑΠΟΙΗΣΗΣ</v>
          </cell>
          <cell r="X2121" t="str">
            <v>14039</v>
          </cell>
        </row>
        <row r="2122">
          <cell r="U2122">
            <v>20214040</v>
          </cell>
          <cell r="V2122" t="str">
            <v>20.2</v>
          </cell>
          <cell r="W2122" t="str">
            <v>ΡΟΔΑΚΙΝΙΕΣ ΜΕΤΑΠΟΙΗΣΗΣ</v>
          </cell>
          <cell r="X2122" t="str">
            <v>14040</v>
          </cell>
        </row>
        <row r="2123">
          <cell r="U2123">
            <v>20214041</v>
          </cell>
          <cell r="V2123" t="str">
            <v>20.2</v>
          </cell>
          <cell r="W2123" t="str">
            <v>ΡΟΔΑΚΙΝΙΕΣ ΜΕΤΑΠΟΙΗΣΗΣ</v>
          </cell>
          <cell r="X2123" t="str">
            <v>14041</v>
          </cell>
        </row>
        <row r="2124">
          <cell r="U2124">
            <v>20214042</v>
          </cell>
          <cell r="V2124" t="str">
            <v>20.2</v>
          </cell>
          <cell r="W2124" t="str">
            <v>ΡΟΔΑΚΙΝΙΕΣ ΜΕΤΑΠΟΙΗΣΗΣ</v>
          </cell>
          <cell r="X2124" t="str">
            <v>14042</v>
          </cell>
        </row>
        <row r="2125">
          <cell r="U2125">
            <v>20214043</v>
          </cell>
          <cell r="V2125" t="str">
            <v>20.2</v>
          </cell>
          <cell r="W2125" t="str">
            <v>ΡΟΔΑΚΙΝΙΕΣ ΜΕΤΑΠΟΙΗΣΗΣ</v>
          </cell>
          <cell r="X2125" t="str">
            <v>14043</v>
          </cell>
        </row>
        <row r="2126">
          <cell r="U2126">
            <v>20214044</v>
          </cell>
          <cell r="V2126" t="str">
            <v>20.2</v>
          </cell>
          <cell r="W2126" t="str">
            <v>ΡΟΔΑΚΙΝΙΕΣ ΜΕΤΑΠΟΙΗΣΗΣ</v>
          </cell>
          <cell r="X2126" t="str">
            <v>14044</v>
          </cell>
        </row>
        <row r="2127">
          <cell r="U2127">
            <v>20214045</v>
          </cell>
          <cell r="V2127" t="str">
            <v>20.2</v>
          </cell>
          <cell r="W2127" t="str">
            <v>ΡΟΔΑΚΙΝΙΕΣ ΜΕΤΑΠΟΙΗΣΗΣ</v>
          </cell>
          <cell r="X2127" t="str">
            <v>14045</v>
          </cell>
        </row>
        <row r="2128">
          <cell r="U2128">
            <v>20214046</v>
          </cell>
          <cell r="V2128" t="str">
            <v>20.2</v>
          </cell>
          <cell r="W2128" t="str">
            <v>ΡΟΔΑΚΙΝΙΕΣ ΜΕΤΑΠΟΙΗΣΗΣ</v>
          </cell>
          <cell r="X2128" t="str">
            <v>14046</v>
          </cell>
        </row>
        <row r="2129">
          <cell r="U2129">
            <v>20214047</v>
          </cell>
          <cell r="V2129" t="str">
            <v>20.2</v>
          </cell>
          <cell r="W2129" t="str">
            <v>ΡΟΔΑΚΙΝΙΕΣ ΜΕΤΑΠΟΙΗΣΗΣ</v>
          </cell>
          <cell r="X2129" t="str">
            <v>14047</v>
          </cell>
        </row>
        <row r="2130">
          <cell r="U2130">
            <v>20214048</v>
          </cell>
          <cell r="V2130" t="str">
            <v>20.2</v>
          </cell>
          <cell r="W2130" t="str">
            <v>ΡΟΔΑΚΙΝΙΕΣ ΜΕΤΑΠΟΙΗΣΗΣ</v>
          </cell>
          <cell r="X2130" t="str">
            <v>14048</v>
          </cell>
        </row>
        <row r="2131">
          <cell r="U2131">
            <v>20214049</v>
          </cell>
          <cell r="V2131" t="str">
            <v>20.2</v>
          </cell>
          <cell r="W2131" t="str">
            <v>ΡΟΔΑΚΙΝΙΕΣ ΜΕΤΑΠΟΙΗΣΗΣ</v>
          </cell>
          <cell r="X2131" t="str">
            <v>14049</v>
          </cell>
        </row>
        <row r="2132">
          <cell r="U2132">
            <v>20214050</v>
          </cell>
          <cell r="V2132" t="str">
            <v>20.2</v>
          </cell>
          <cell r="W2132" t="str">
            <v>ΡΟΔΑΚΙΝΙΕΣ ΜΕΤΑΠΟΙΗΣΗΣ</v>
          </cell>
          <cell r="X2132" t="str">
            <v>14050</v>
          </cell>
        </row>
        <row r="2133">
          <cell r="U2133">
            <v>20214051</v>
          </cell>
          <cell r="V2133" t="str">
            <v>20.2</v>
          </cell>
          <cell r="W2133" t="str">
            <v>ΡΟΔΑΚΙΝΙΕΣ ΜΕΤΑΠΟΙΗΣΗΣ</v>
          </cell>
          <cell r="X2133" t="str">
            <v>14051</v>
          </cell>
        </row>
        <row r="2134">
          <cell r="U2134">
            <v>20220201</v>
          </cell>
          <cell r="V2134" t="str">
            <v>20.2</v>
          </cell>
          <cell r="W2134" t="str">
            <v>ΡΟΔΑΚΙΝΙΕΣ ΜΕΤΑΠΟΙΗΣΗΣ</v>
          </cell>
          <cell r="X2134" t="str">
            <v>20201</v>
          </cell>
        </row>
        <row r="2135">
          <cell r="U2135">
            <v>20220202</v>
          </cell>
          <cell r="V2135" t="str">
            <v>20.2</v>
          </cell>
          <cell r="W2135" t="str">
            <v>ΡΟΔΑΚΙΝΙΕΣ ΜΕΤΑΠΟΙΗΣΗΣ</v>
          </cell>
          <cell r="X2135" t="str">
            <v>20202</v>
          </cell>
        </row>
        <row r="2136">
          <cell r="U2136">
            <v>20220203</v>
          </cell>
          <cell r="V2136" t="str">
            <v>20.2</v>
          </cell>
          <cell r="W2136" t="str">
            <v>ΡΟΔΑΚΙΝΙΕΣ ΜΕΤΑΠΟΙΗΣΗΣ</v>
          </cell>
          <cell r="X2136" t="str">
            <v>20203</v>
          </cell>
        </row>
        <row r="2137">
          <cell r="U2137">
            <v>20220204</v>
          </cell>
          <cell r="V2137" t="str">
            <v>20.2</v>
          </cell>
          <cell r="W2137" t="str">
            <v>ΡΟΔΑΚΙΝΙΕΣ ΜΕΤΑΠΟΙΗΣΗΣ</v>
          </cell>
          <cell r="X2137" t="str">
            <v>20204</v>
          </cell>
        </row>
        <row r="2138">
          <cell r="U2138">
            <v>20220205</v>
          </cell>
          <cell r="V2138" t="str">
            <v>20.2</v>
          </cell>
          <cell r="W2138" t="str">
            <v>ΡΟΔΑΚΙΝΙΕΣ ΜΕΤΑΠΟΙΗΣΗΣ</v>
          </cell>
          <cell r="X2138" t="str">
            <v>20205</v>
          </cell>
        </row>
        <row r="2139">
          <cell r="U2139">
            <v>20220206</v>
          </cell>
          <cell r="V2139" t="str">
            <v>20.2</v>
          </cell>
          <cell r="W2139" t="str">
            <v>ΡΟΔΑΚΙΝΙΕΣ ΜΕΤΑΠΟΙΗΣΗΣ</v>
          </cell>
          <cell r="X2139" t="str">
            <v>20206</v>
          </cell>
        </row>
        <row r="2140">
          <cell r="U2140">
            <v>20220207</v>
          </cell>
          <cell r="V2140" t="str">
            <v>20.2</v>
          </cell>
          <cell r="W2140" t="str">
            <v>ΡΟΔΑΚΙΝΙΕΣ ΜΕΤΑΠΟΙΗΣΗΣ</v>
          </cell>
          <cell r="X2140" t="str">
            <v>20207</v>
          </cell>
        </row>
        <row r="2141">
          <cell r="U2141">
            <v>20220208</v>
          </cell>
          <cell r="V2141" t="str">
            <v>20.2</v>
          </cell>
          <cell r="W2141" t="str">
            <v>ΡΟΔΑΚΙΝΙΕΣ ΜΕΤΑΠΟΙΗΣΗΣ</v>
          </cell>
          <cell r="X2141" t="str">
            <v>20208</v>
          </cell>
        </row>
        <row r="2142">
          <cell r="U2142">
            <v>20220209</v>
          </cell>
          <cell r="V2142" t="str">
            <v>20.2</v>
          </cell>
          <cell r="W2142" t="str">
            <v>ΡΟΔΑΚΙΝΙΕΣ ΜΕΤΑΠΟΙΗΣΗΣ</v>
          </cell>
          <cell r="X2142" t="str">
            <v>20209</v>
          </cell>
        </row>
        <row r="2143">
          <cell r="U2143">
            <v>20220210</v>
          </cell>
          <cell r="V2143" t="str">
            <v>20.2</v>
          </cell>
          <cell r="W2143" t="str">
            <v>ΡΟΔΑΚΙΝΙΕΣ ΜΕΤΑΠΟΙΗΣΗΣ</v>
          </cell>
          <cell r="X2143" t="str">
            <v>20210</v>
          </cell>
        </row>
        <row r="2144">
          <cell r="U2144">
            <v>20220211</v>
          </cell>
          <cell r="V2144" t="str">
            <v>20.2</v>
          </cell>
          <cell r="W2144" t="str">
            <v>ΡΟΔΑΚΙΝΙΕΣ ΜΕΤΑΠΟΙΗΣΗΣ</v>
          </cell>
          <cell r="X2144" t="str">
            <v>20211</v>
          </cell>
        </row>
        <row r="2145">
          <cell r="U2145">
            <v>20220212</v>
          </cell>
          <cell r="V2145" t="str">
            <v>20.2</v>
          </cell>
          <cell r="W2145" t="str">
            <v>ΡΟΔΑΚΙΝΙΕΣ ΜΕΤΑΠΟΙΗΣΗΣ</v>
          </cell>
          <cell r="X2145" t="str">
            <v>20212</v>
          </cell>
        </row>
        <row r="2146">
          <cell r="U2146">
            <v>20220213</v>
          </cell>
          <cell r="V2146" t="str">
            <v>20.2</v>
          </cell>
          <cell r="W2146" t="str">
            <v>ΡΟΔΑΚΙΝΙΕΣ ΜΕΤΑΠΟΙΗΣΗΣ</v>
          </cell>
          <cell r="X2146" t="str">
            <v>20213</v>
          </cell>
        </row>
        <row r="2147">
          <cell r="U2147">
            <v>20220214</v>
          </cell>
          <cell r="V2147" t="str">
            <v>20.2</v>
          </cell>
          <cell r="W2147" t="str">
            <v>ΡΟΔΑΚΙΝΙΕΣ ΜΕΤΑΠΟΙΗΣΗΣ</v>
          </cell>
          <cell r="X2147" t="str">
            <v>20214</v>
          </cell>
        </row>
        <row r="2148">
          <cell r="U2148">
            <v>20220215</v>
          </cell>
          <cell r="V2148" t="str">
            <v>20.2</v>
          </cell>
          <cell r="W2148" t="str">
            <v>ΡΟΔΑΚΙΝΙΕΣ ΜΕΤΑΠΟΙΗΣΗΣ</v>
          </cell>
          <cell r="X2148" t="str">
            <v>20215</v>
          </cell>
        </row>
        <row r="2149">
          <cell r="U2149">
            <v>20220216</v>
          </cell>
          <cell r="V2149" t="str">
            <v>20.2</v>
          </cell>
          <cell r="W2149" t="str">
            <v>ΡΟΔΑΚΙΝΙΕΣ ΜΕΤΑΠΟΙΗΣΗΣ</v>
          </cell>
          <cell r="X2149" t="str">
            <v>20216</v>
          </cell>
        </row>
        <row r="2150">
          <cell r="U2150">
            <v>20220218</v>
          </cell>
          <cell r="V2150" t="str">
            <v>20.2</v>
          </cell>
          <cell r="W2150" t="str">
            <v>ΡΟΔΑΚΙΝΙΕΣ ΜΕΤΑΠΟΙΗΣΗΣ</v>
          </cell>
          <cell r="X2150" t="str">
            <v>20218</v>
          </cell>
        </row>
        <row r="2151">
          <cell r="U2151">
            <v>20220219</v>
          </cell>
          <cell r="V2151" t="str">
            <v>20.2</v>
          </cell>
          <cell r="W2151" t="str">
            <v>ΡΟΔΑΚΙΝΙΕΣ ΜΕΤΑΠΟΙΗΣΗΣ</v>
          </cell>
          <cell r="X2151" t="str">
            <v>20219</v>
          </cell>
        </row>
        <row r="2152">
          <cell r="U2152">
            <v>20220220</v>
          </cell>
          <cell r="V2152" t="str">
            <v>20.2</v>
          </cell>
          <cell r="W2152" t="str">
            <v>ΡΟΔΑΚΙΝΙΕΣ ΜΕΤΑΠΟΙΗΣΗΣ</v>
          </cell>
          <cell r="X2152" t="str">
            <v>20220</v>
          </cell>
        </row>
        <row r="2153">
          <cell r="U2153">
            <v>20220221</v>
          </cell>
          <cell r="V2153" t="str">
            <v>20.2</v>
          </cell>
          <cell r="W2153" t="str">
            <v>ΡΟΔΑΚΙΝΙΕΣ ΜΕΤΑΠΟΙΗΣΗΣ</v>
          </cell>
          <cell r="X2153" t="str">
            <v>20221</v>
          </cell>
        </row>
        <row r="2154">
          <cell r="U2154">
            <v>20220222</v>
          </cell>
          <cell r="V2154" t="str">
            <v>20.2</v>
          </cell>
          <cell r="W2154" t="str">
            <v>ΡΟΔΑΚΙΝΙΕΣ ΜΕΤΑΠΟΙΗΣΗΣ</v>
          </cell>
          <cell r="X2154" t="str">
            <v>20222</v>
          </cell>
        </row>
        <row r="2155">
          <cell r="U2155">
            <v>20220223</v>
          </cell>
          <cell r="V2155" t="str">
            <v>20.2</v>
          </cell>
          <cell r="W2155" t="str">
            <v>ΡΟΔΑΚΙΝΙΕΣ ΜΕΤΑΠΟΙΗΣΗΣ</v>
          </cell>
          <cell r="X2155" t="str">
            <v>20223</v>
          </cell>
        </row>
        <row r="2156">
          <cell r="U2156">
            <v>20220224</v>
          </cell>
          <cell r="V2156" t="str">
            <v>20.2</v>
          </cell>
          <cell r="W2156" t="str">
            <v>ΡΟΔΑΚΙΝΙΕΣ ΜΕΤΑΠΟΙΗΣΗΣ</v>
          </cell>
          <cell r="X2156" t="str">
            <v>20224</v>
          </cell>
        </row>
        <row r="2157">
          <cell r="U2157">
            <v>20220225</v>
          </cell>
          <cell r="V2157" t="str">
            <v>20.2</v>
          </cell>
          <cell r="W2157" t="str">
            <v>ΡΟΔΑΚΙΝΙΕΣ ΜΕΤΑΠΟΙΗΣΗΣ</v>
          </cell>
          <cell r="X2157" t="str">
            <v>20225</v>
          </cell>
        </row>
        <row r="2158">
          <cell r="U2158">
            <v>20220226</v>
          </cell>
          <cell r="V2158" t="str">
            <v>20.2</v>
          </cell>
          <cell r="W2158" t="str">
            <v>ΡΟΔΑΚΙΝΙΕΣ ΜΕΤΑΠΟΙΗΣΗΣ</v>
          </cell>
          <cell r="X2158" t="str">
            <v>20226</v>
          </cell>
        </row>
        <row r="2159">
          <cell r="U2159">
            <v>29109066</v>
          </cell>
          <cell r="V2159" t="str">
            <v>2</v>
          </cell>
          <cell r="W2159" t="str">
            <v>ΛΟΙΠΑ ΣΙΤΗΡΑ</v>
          </cell>
          <cell r="X2159" t="str">
            <v>9109066</v>
          </cell>
        </row>
        <row r="2160">
          <cell r="U2160">
            <v>36211001</v>
          </cell>
          <cell r="V2160" t="str">
            <v>36.2</v>
          </cell>
          <cell r="W2160" t="str">
            <v>ΑΜΠΕΛΩΝΕΣ ΓΙΑ ΠΑΡΑΓΩΓΗ ΟΙΝΟΥ</v>
          </cell>
          <cell r="X2160" t="str">
            <v>11001</v>
          </cell>
        </row>
        <row r="2161">
          <cell r="U2161">
            <v>36211002</v>
          </cell>
          <cell r="V2161" t="str">
            <v>36.2</v>
          </cell>
          <cell r="W2161" t="str">
            <v>ΑΜΠΕΛΩΝΕΣ ΓΙΑ ΠΑΡΑΓΩΓΗ ΟΙΝΟΥ</v>
          </cell>
          <cell r="X2161" t="str">
            <v>11002</v>
          </cell>
        </row>
        <row r="2162">
          <cell r="U2162">
            <v>36211003</v>
          </cell>
          <cell r="V2162" t="str">
            <v>36.2</v>
          </cell>
          <cell r="W2162" t="str">
            <v>ΑΜΠΕΛΩΝΕΣ ΓΙΑ ΠΑΡΑΓΩΓΗ ΟΙΝΟΥ</v>
          </cell>
          <cell r="X2162" t="str">
            <v>11003</v>
          </cell>
        </row>
        <row r="2163">
          <cell r="U2163">
            <v>36211004</v>
          </cell>
          <cell r="V2163" t="str">
            <v>36.2</v>
          </cell>
          <cell r="W2163" t="str">
            <v>ΑΜΠΕΛΩΝΕΣ ΓΙΑ ΠΑΡΑΓΩΓΗ ΟΙΝΟΥ</v>
          </cell>
          <cell r="X2163" t="str">
            <v>11004</v>
          </cell>
        </row>
        <row r="2164">
          <cell r="U2164">
            <v>36211005</v>
          </cell>
          <cell r="V2164" t="str">
            <v>36.2</v>
          </cell>
          <cell r="W2164" t="str">
            <v>ΑΜΠΕΛΩΝΕΣ ΓΙΑ ΠΑΡΑΓΩΓΗ ΟΙΝΟΥ</v>
          </cell>
          <cell r="X2164" t="str">
            <v>11005</v>
          </cell>
        </row>
        <row r="2165">
          <cell r="U2165">
            <v>36211006</v>
          </cell>
          <cell r="V2165" t="str">
            <v>36.2</v>
          </cell>
          <cell r="W2165" t="str">
            <v>ΑΜΠΕΛΩΝΕΣ ΓΙΑ ΠΑΡΑΓΩΓΗ ΟΙΝΟΥ</v>
          </cell>
          <cell r="X2165" t="str">
            <v>11006</v>
          </cell>
        </row>
        <row r="2166">
          <cell r="U2166">
            <v>36211007</v>
          </cell>
          <cell r="V2166" t="str">
            <v>36.2</v>
          </cell>
          <cell r="W2166" t="str">
            <v>ΑΜΠΕΛΩΝΕΣ ΓΙΑ ΠΑΡΑΓΩΓΗ ΟΙΝΟΥ</v>
          </cell>
          <cell r="X2166" t="str">
            <v>11007</v>
          </cell>
        </row>
        <row r="2167">
          <cell r="U2167">
            <v>36211008</v>
          </cell>
          <cell r="V2167" t="str">
            <v>36.2</v>
          </cell>
          <cell r="W2167" t="str">
            <v>ΑΜΠΕΛΩΝΕΣ ΓΙΑ ΠΑΡΑΓΩΓΗ ΟΙΝΟΥ</v>
          </cell>
          <cell r="X2167" t="str">
            <v>11008</v>
          </cell>
        </row>
        <row r="2168">
          <cell r="U2168">
            <v>36211009</v>
          </cell>
          <cell r="V2168" t="str">
            <v>36.2</v>
          </cell>
          <cell r="W2168" t="str">
            <v>ΑΜΠΕΛΩΝΕΣ ΓΙΑ ΠΑΡΑΓΩΓΗ ΟΙΝΟΥ</v>
          </cell>
          <cell r="X2168" t="str">
            <v>11009</v>
          </cell>
        </row>
        <row r="2169">
          <cell r="U2169">
            <v>36211010</v>
          </cell>
          <cell r="V2169" t="str">
            <v>36.2</v>
          </cell>
          <cell r="W2169" t="str">
            <v>ΑΜΠΕΛΩΝΕΣ ΓΙΑ ΠΑΡΑΓΩΓΗ ΟΙΝΟΥ</v>
          </cell>
          <cell r="X2169" t="str">
            <v>11010</v>
          </cell>
        </row>
        <row r="2170">
          <cell r="U2170">
            <v>36211011</v>
          </cell>
          <cell r="V2170" t="str">
            <v>36.2</v>
          </cell>
          <cell r="W2170" t="str">
            <v>ΑΜΠΕΛΩΝΕΣ ΓΙΑ ΠΑΡΑΓΩΓΗ ΟΙΝΟΥ</v>
          </cell>
          <cell r="X2170" t="str">
            <v>11011</v>
          </cell>
        </row>
        <row r="2171">
          <cell r="U2171">
            <v>36211012</v>
          </cell>
          <cell r="V2171" t="str">
            <v>36.2</v>
          </cell>
          <cell r="W2171" t="str">
            <v>ΑΜΠΕΛΩΝΕΣ ΓΙΑ ΠΑΡΑΓΩΓΗ ΟΙΝΟΥ</v>
          </cell>
          <cell r="X2171" t="str">
            <v>11012</v>
          </cell>
        </row>
        <row r="2172">
          <cell r="U2172">
            <v>36211013</v>
          </cell>
          <cell r="V2172" t="str">
            <v>36.2</v>
          </cell>
          <cell r="W2172" t="str">
            <v>ΑΜΠΕΛΩΝΕΣ ΓΙΑ ΠΑΡΑΓΩΓΗ ΟΙΝΟΥ</v>
          </cell>
          <cell r="X2172" t="str">
            <v>11013</v>
          </cell>
        </row>
        <row r="2173">
          <cell r="U2173">
            <v>36211014</v>
          </cell>
          <cell r="V2173" t="str">
            <v>36.2</v>
          </cell>
          <cell r="W2173" t="str">
            <v>ΑΜΠΕΛΩΝΕΣ ΓΙΑ ΠΑΡΑΓΩΓΗ ΟΙΝΟΥ</v>
          </cell>
          <cell r="X2173" t="str">
            <v>11014</v>
          </cell>
        </row>
        <row r="2174">
          <cell r="U2174">
            <v>36211015</v>
          </cell>
          <cell r="V2174" t="str">
            <v>36.2</v>
          </cell>
          <cell r="W2174" t="str">
            <v>ΑΜΠΕΛΩΝΕΣ ΓΙΑ ΠΑΡΑΓΩΓΗ ΟΙΝΟΥ</v>
          </cell>
          <cell r="X2174" t="str">
            <v>11015</v>
          </cell>
        </row>
        <row r="2175">
          <cell r="U2175">
            <v>36211016</v>
          </cell>
          <cell r="V2175" t="str">
            <v>36.2</v>
          </cell>
          <cell r="W2175" t="str">
            <v>ΑΜΠΕΛΩΝΕΣ ΓΙΑ ΠΑΡΑΓΩΓΗ ΟΙΝΟΥ</v>
          </cell>
          <cell r="X2175" t="str">
            <v>11016</v>
          </cell>
        </row>
        <row r="2176">
          <cell r="U2176">
            <v>36211017</v>
          </cell>
          <cell r="V2176" t="str">
            <v>36.2</v>
          </cell>
          <cell r="W2176" t="str">
            <v>ΑΜΠΕΛΩΝΕΣ ΓΙΑ ΠΑΡΑΓΩΓΗ ΟΙΝΟΥ</v>
          </cell>
          <cell r="X2176" t="str">
            <v>11017</v>
          </cell>
        </row>
        <row r="2177">
          <cell r="U2177">
            <v>36211018</v>
          </cell>
          <cell r="V2177" t="str">
            <v>36.2</v>
          </cell>
          <cell r="W2177" t="str">
            <v>ΑΜΠΕΛΩΝΕΣ ΓΙΑ ΠΑΡΑΓΩΓΗ ΟΙΝΟΥ</v>
          </cell>
          <cell r="X2177" t="str">
            <v>11018</v>
          </cell>
        </row>
        <row r="2178">
          <cell r="U2178">
            <v>36211019</v>
          </cell>
          <cell r="V2178" t="str">
            <v>36.2</v>
          </cell>
          <cell r="W2178" t="str">
            <v>ΑΜΠΕΛΩΝΕΣ ΓΙΑ ΠΑΡΑΓΩΓΗ ΟΙΝΟΥ</v>
          </cell>
          <cell r="X2178" t="str">
            <v>11019</v>
          </cell>
        </row>
        <row r="2179">
          <cell r="U2179">
            <v>36211020</v>
          </cell>
          <cell r="V2179" t="str">
            <v>36.2</v>
          </cell>
          <cell r="W2179" t="str">
            <v>ΑΜΠΕΛΩΝΕΣ ΓΙΑ ΠΑΡΑΓΩΓΗ ΟΙΝΟΥ</v>
          </cell>
          <cell r="X2179" t="str">
            <v>11020</v>
          </cell>
        </row>
        <row r="2180">
          <cell r="U2180">
            <v>36211021</v>
          </cell>
          <cell r="V2180" t="str">
            <v>36.2</v>
          </cell>
          <cell r="W2180" t="str">
            <v>ΑΜΠΕΛΩΝΕΣ ΓΙΑ ΠΑΡΑΓΩΓΗ ΟΙΝΟΥ</v>
          </cell>
          <cell r="X2180" t="str">
            <v>11021</v>
          </cell>
        </row>
        <row r="2181">
          <cell r="U2181">
            <v>36211022</v>
          </cell>
          <cell r="V2181" t="str">
            <v>36.2</v>
          </cell>
          <cell r="W2181" t="str">
            <v>ΑΜΠΕΛΩΝΕΣ ΓΙΑ ΠΑΡΑΓΩΓΗ ΟΙΝΟΥ</v>
          </cell>
          <cell r="X2181" t="str">
            <v>11022</v>
          </cell>
        </row>
        <row r="2182">
          <cell r="U2182">
            <v>36211023</v>
          </cell>
          <cell r="V2182" t="str">
            <v>36.2</v>
          </cell>
          <cell r="W2182" t="str">
            <v>ΑΜΠΕΛΩΝΕΣ ΓΙΑ ΠΑΡΑΓΩΓΗ ΟΙΝΟΥ</v>
          </cell>
          <cell r="X2182" t="str">
            <v>11023</v>
          </cell>
        </row>
        <row r="2183">
          <cell r="U2183">
            <v>36211024</v>
          </cell>
          <cell r="V2183" t="str">
            <v>36.2</v>
          </cell>
          <cell r="W2183" t="str">
            <v>ΑΜΠΕΛΩΝΕΣ ΓΙΑ ΠΑΡΑΓΩΓΗ ΟΙΝΟΥ</v>
          </cell>
          <cell r="X2183" t="str">
            <v>11024</v>
          </cell>
        </row>
        <row r="2184">
          <cell r="U2184">
            <v>36211025</v>
          </cell>
          <cell r="V2184" t="str">
            <v>36.2</v>
          </cell>
          <cell r="W2184" t="str">
            <v>ΑΜΠΕΛΩΝΕΣ ΓΙΑ ΠΑΡΑΓΩΓΗ ΟΙΝΟΥ</v>
          </cell>
          <cell r="X2184" t="str">
            <v>11025</v>
          </cell>
        </row>
        <row r="2185">
          <cell r="U2185">
            <v>36211026</v>
          </cell>
          <cell r="V2185" t="str">
            <v>36.2</v>
          </cell>
          <cell r="W2185" t="str">
            <v>ΑΜΠΕΛΩΝΕΣ ΓΙΑ ΠΑΡΑΓΩΓΗ ΟΙΝΟΥ</v>
          </cell>
          <cell r="X2185" t="str">
            <v>11026</v>
          </cell>
        </row>
        <row r="2186">
          <cell r="U2186">
            <v>36211027</v>
          </cell>
          <cell r="V2186" t="str">
            <v>36.2</v>
          </cell>
          <cell r="W2186" t="str">
            <v>ΑΜΠΕΛΩΝΕΣ ΓΙΑ ΠΑΡΑΓΩΓΗ ΟΙΝΟΥ</v>
          </cell>
          <cell r="X2186" t="str">
            <v>11027</v>
          </cell>
        </row>
        <row r="2187">
          <cell r="U2187">
            <v>36211028</v>
          </cell>
          <cell r="V2187" t="str">
            <v>36.2</v>
          </cell>
          <cell r="W2187" t="str">
            <v>ΑΜΠΕΛΩΝΕΣ ΓΙΑ ΠΑΡΑΓΩΓΗ ΟΙΝΟΥ</v>
          </cell>
          <cell r="X2187" t="str">
            <v>11028</v>
          </cell>
        </row>
        <row r="2188">
          <cell r="U2188">
            <v>36211029</v>
          </cell>
          <cell r="V2188" t="str">
            <v>36.2</v>
          </cell>
          <cell r="W2188" t="str">
            <v>ΑΜΠΕΛΩΝΕΣ ΓΙΑ ΠΑΡΑΓΩΓΗ ΟΙΝΟΥ</v>
          </cell>
          <cell r="X2188" t="str">
            <v>11029</v>
          </cell>
        </row>
        <row r="2189">
          <cell r="U2189">
            <v>36211030</v>
          </cell>
          <cell r="V2189" t="str">
            <v>36.2</v>
          </cell>
          <cell r="W2189" t="str">
            <v>ΑΜΠΕΛΩΝΕΣ ΓΙΑ ΠΑΡΑΓΩΓΗ ΟΙΝΟΥ</v>
          </cell>
          <cell r="X2189" t="str">
            <v>11030</v>
          </cell>
        </row>
        <row r="2190">
          <cell r="U2190">
            <v>36211031</v>
          </cell>
          <cell r="V2190" t="str">
            <v>36.2</v>
          </cell>
          <cell r="W2190" t="str">
            <v>ΑΜΠΕΛΩΝΕΣ ΓΙΑ ΠΑΡΑΓΩΓΗ ΟΙΝΟΥ</v>
          </cell>
          <cell r="X2190" t="str">
            <v>11031</v>
          </cell>
        </row>
        <row r="2191">
          <cell r="U2191">
            <v>36211032</v>
          </cell>
          <cell r="V2191" t="str">
            <v>36.2</v>
          </cell>
          <cell r="W2191" t="str">
            <v>ΑΜΠΕΛΩΝΕΣ ΓΙΑ ΠΑΡΑΓΩΓΗ ΟΙΝΟΥ</v>
          </cell>
          <cell r="X2191" t="str">
            <v>11032</v>
          </cell>
        </row>
        <row r="2192">
          <cell r="U2192">
            <v>36211033</v>
          </cell>
          <cell r="V2192" t="str">
            <v>36.2</v>
          </cell>
          <cell r="W2192" t="str">
            <v>ΑΜΠΕΛΩΝΕΣ ΓΙΑ ΠΑΡΑΓΩΓΗ ΟΙΝΟΥ</v>
          </cell>
          <cell r="X2192" t="str">
            <v>11033</v>
          </cell>
        </row>
        <row r="2193">
          <cell r="U2193">
            <v>36211034</v>
          </cell>
          <cell r="V2193" t="str">
            <v>36.2</v>
          </cell>
          <cell r="W2193" t="str">
            <v>ΑΜΠΕΛΩΝΕΣ ΓΙΑ ΠΑΡΑΓΩΓΗ ΟΙΝΟΥ</v>
          </cell>
          <cell r="X2193" t="str">
            <v>11034</v>
          </cell>
        </row>
        <row r="2194">
          <cell r="U2194">
            <v>36211035</v>
          </cell>
          <cell r="V2194" t="str">
            <v>36.2</v>
          </cell>
          <cell r="W2194" t="str">
            <v>ΑΜΠΕΛΩΝΕΣ ΓΙΑ ΠΑΡΑΓΩΓΗ ΟΙΝΟΥ</v>
          </cell>
          <cell r="X2194" t="str">
            <v>11035</v>
          </cell>
        </row>
        <row r="2195">
          <cell r="U2195">
            <v>36211036</v>
          </cell>
          <cell r="V2195" t="str">
            <v>36.2</v>
          </cell>
          <cell r="W2195" t="str">
            <v>ΑΜΠΕΛΩΝΕΣ ΓΙΑ ΠΑΡΑΓΩΓΗ ΟΙΝΟΥ</v>
          </cell>
          <cell r="X2195" t="str">
            <v>11036</v>
          </cell>
        </row>
        <row r="2196">
          <cell r="U2196">
            <v>36211037</v>
          </cell>
          <cell r="V2196" t="str">
            <v>36.2</v>
          </cell>
          <cell r="W2196" t="str">
            <v>ΑΜΠΕΛΩΝΕΣ ΓΙΑ ΠΑΡΑΓΩΓΗ ΟΙΝΟΥ</v>
          </cell>
          <cell r="X2196" t="str">
            <v>11037</v>
          </cell>
        </row>
        <row r="2197">
          <cell r="U2197">
            <v>36211038</v>
          </cell>
          <cell r="V2197" t="str">
            <v>36.2</v>
          </cell>
          <cell r="W2197" t="str">
            <v>ΑΜΠΕΛΩΝΕΣ ΓΙΑ ΠΑΡΑΓΩΓΗ ΟΙΝΟΥ</v>
          </cell>
          <cell r="X2197" t="str">
            <v>11038</v>
          </cell>
        </row>
        <row r="2198">
          <cell r="U2198">
            <v>36211039</v>
          </cell>
          <cell r="V2198" t="str">
            <v>36.2</v>
          </cell>
          <cell r="W2198" t="str">
            <v>ΑΜΠΕΛΩΝΕΣ ΓΙΑ ΠΑΡΑΓΩΓΗ ΟΙΝΟΥ</v>
          </cell>
          <cell r="X2198" t="str">
            <v>11039</v>
          </cell>
        </row>
        <row r="2199">
          <cell r="U2199">
            <v>36211040</v>
          </cell>
          <cell r="V2199" t="str">
            <v>36.2</v>
          </cell>
          <cell r="W2199" t="str">
            <v>ΑΜΠΕΛΩΝΕΣ ΓΙΑ ΠΑΡΑΓΩΓΗ ΟΙΝΟΥ</v>
          </cell>
          <cell r="X2199" t="str">
            <v>11040</v>
          </cell>
        </row>
        <row r="2200">
          <cell r="U2200">
            <v>36211041</v>
          </cell>
          <cell r="V2200" t="str">
            <v>36.2</v>
          </cell>
          <cell r="W2200" t="str">
            <v>ΑΜΠΕΛΩΝΕΣ ΓΙΑ ΠΑΡΑΓΩΓΗ ΟΙΝΟΥ</v>
          </cell>
          <cell r="X2200" t="str">
            <v>11041</v>
          </cell>
        </row>
        <row r="2201">
          <cell r="U2201">
            <v>36211042</v>
          </cell>
          <cell r="V2201" t="str">
            <v>36.2</v>
          </cell>
          <cell r="W2201" t="str">
            <v>ΑΜΠΕΛΩΝΕΣ ΓΙΑ ΠΑΡΑΓΩΓΗ ΟΙΝΟΥ</v>
          </cell>
          <cell r="X2201" t="str">
            <v>11042</v>
          </cell>
        </row>
        <row r="2202">
          <cell r="U2202">
            <v>36211043</v>
          </cell>
          <cell r="V2202" t="str">
            <v>36.2</v>
          </cell>
          <cell r="W2202" t="str">
            <v>ΑΜΠΕΛΩΝΕΣ ΓΙΑ ΠΑΡΑΓΩΓΗ ΟΙΝΟΥ</v>
          </cell>
          <cell r="X2202" t="str">
            <v>11043</v>
          </cell>
        </row>
        <row r="2203">
          <cell r="U2203">
            <v>36211044</v>
          </cell>
          <cell r="V2203" t="str">
            <v>36.2</v>
          </cell>
          <cell r="W2203" t="str">
            <v>ΑΜΠΕΛΩΝΕΣ ΓΙΑ ΠΑΡΑΓΩΓΗ ΟΙΝΟΥ</v>
          </cell>
          <cell r="X2203" t="str">
            <v>11044</v>
          </cell>
        </row>
        <row r="2204">
          <cell r="U2204">
            <v>36211045</v>
          </cell>
          <cell r="V2204" t="str">
            <v>36.2</v>
          </cell>
          <cell r="W2204" t="str">
            <v>ΑΜΠΕΛΩΝΕΣ ΓΙΑ ΠΑΡΑΓΩΓΗ ΟΙΝΟΥ</v>
          </cell>
          <cell r="X2204" t="str">
            <v>11045</v>
          </cell>
        </row>
        <row r="2205">
          <cell r="U2205">
            <v>36211046</v>
          </cell>
          <cell r="V2205" t="str">
            <v>36.2</v>
          </cell>
          <cell r="W2205" t="str">
            <v>ΑΜΠΕΛΩΝΕΣ ΓΙΑ ΠΑΡΑΓΩΓΗ ΟΙΝΟΥ</v>
          </cell>
          <cell r="X2205" t="str">
            <v>11046</v>
          </cell>
        </row>
        <row r="2206">
          <cell r="U2206">
            <v>36211047</v>
          </cell>
          <cell r="V2206" t="str">
            <v>36.2</v>
          </cell>
          <cell r="W2206" t="str">
            <v>ΑΜΠΕΛΩΝΕΣ ΓΙΑ ΠΑΡΑΓΩΓΗ ΟΙΝΟΥ</v>
          </cell>
          <cell r="X2206" t="str">
            <v>11047</v>
          </cell>
        </row>
        <row r="2207">
          <cell r="U2207">
            <v>36211048</v>
          </cell>
          <cell r="V2207" t="str">
            <v>36.2</v>
          </cell>
          <cell r="W2207" t="str">
            <v>ΑΜΠΕΛΩΝΕΣ ΓΙΑ ΠΑΡΑΓΩΓΗ ΟΙΝΟΥ</v>
          </cell>
          <cell r="X2207" t="str">
            <v>11048</v>
          </cell>
        </row>
        <row r="2208">
          <cell r="U2208">
            <v>36211049</v>
          </cell>
          <cell r="V2208" t="str">
            <v>36.2</v>
          </cell>
          <cell r="W2208" t="str">
            <v>ΑΜΠΕΛΩΝΕΣ ΓΙΑ ΠΑΡΑΓΩΓΗ ΟΙΝΟΥ</v>
          </cell>
          <cell r="X2208" t="str">
            <v>11049</v>
          </cell>
        </row>
        <row r="2209">
          <cell r="U2209">
            <v>36211050</v>
          </cell>
          <cell r="V2209" t="str">
            <v>36.2</v>
          </cell>
          <cell r="W2209" t="str">
            <v>ΑΜΠΕΛΩΝΕΣ ΓΙΑ ΠΑΡΑΓΩΓΗ ΟΙΝΟΥ</v>
          </cell>
          <cell r="X2209" t="str">
            <v>11050</v>
          </cell>
        </row>
        <row r="2210">
          <cell r="U2210">
            <v>36211051</v>
          </cell>
          <cell r="V2210" t="str">
            <v>36.2</v>
          </cell>
          <cell r="W2210" t="str">
            <v>ΑΜΠΕΛΩΝΕΣ ΓΙΑ ΠΑΡΑΓΩΓΗ ΟΙΝΟΥ</v>
          </cell>
          <cell r="X2210" t="str">
            <v>11051</v>
          </cell>
        </row>
        <row r="2211">
          <cell r="U2211">
            <v>36211052</v>
          </cell>
          <cell r="V2211" t="str">
            <v>36.2</v>
          </cell>
          <cell r="W2211" t="str">
            <v>ΑΜΠΕΛΩΝΕΣ ΓΙΑ ΠΑΡΑΓΩΓΗ ΟΙΝΟΥ</v>
          </cell>
          <cell r="X2211" t="str">
            <v>11052</v>
          </cell>
        </row>
        <row r="2212">
          <cell r="U2212">
            <v>36211053</v>
          </cell>
          <cell r="V2212" t="str">
            <v>36.2</v>
          </cell>
          <cell r="W2212" t="str">
            <v>ΑΜΠΕΛΩΝΕΣ ΓΙΑ ΠΑΡΑΓΩΓΗ ΟΙΝΟΥ</v>
          </cell>
          <cell r="X2212" t="str">
            <v>11053</v>
          </cell>
        </row>
        <row r="2213">
          <cell r="U2213">
            <v>36211054</v>
          </cell>
          <cell r="V2213" t="str">
            <v>36.2</v>
          </cell>
          <cell r="W2213" t="str">
            <v>ΑΜΠΕΛΩΝΕΣ ΓΙΑ ΠΑΡΑΓΩΓΗ ΟΙΝΟΥ</v>
          </cell>
          <cell r="X2213" t="str">
            <v>11054</v>
          </cell>
        </row>
        <row r="2214">
          <cell r="U2214">
            <v>36211055</v>
          </cell>
          <cell r="V2214" t="str">
            <v>36.2</v>
          </cell>
          <cell r="W2214" t="str">
            <v>ΑΜΠΕΛΩΝΕΣ ΓΙΑ ΠΑΡΑΓΩΓΗ ΟΙΝΟΥ</v>
          </cell>
          <cell r="X2214" t="str">
            <v>11055</v>
          </cell>
        </row>
        <row r="2215">
          <cell r="U2215">
            <v>36211056</v>
          </cell>
          <cell r="V2215" t="str">
            <v>36.2</v>
          </cell>
          <cell r="W2215" t="str">
            <v>ΑΜΠΕΛΩΝΕΣ ΓΙΑ ΠΑΡΑΓΩΓΗ ΟΙΝΟΥ</v>
          </cell>
          <cell r="X2215" t="str">
            <v>11056</v>
          </cell>
        </row>
        <row r="2216">
          <cell r="U2216">
            <v>36211057</v>
          </cell>
          <cell r="V2216" t="str">
            <v>36.2</v>
          </cell>
          <cell r="W2216" t="str">
            <v>ΑΜΠΕΛΩΝΕΣ ΓΙΑ ΠΑΡΑΓΩΓΗ ΟΙΝΟΥ</v>
          </cell>
          <cell r="X2216" t="str">
            <v>11057</v>
          </cell>
        </row>
        <row r="2217">
          <cell r="U2217">
            <v>36211058</v>
          </cell>
          <cell r="V2217" t="str">
            <v>36.2</v>
          </cell>
          <cell r="W2217" t="str">
            <v>ΑΜΠΕΛΩΝΕΣ ΓΙΑ ΠΑΡΑΓΩΓΗ ΟΙΝΟΥ</v>
          </cell>
          <cell r="X2217" t="str">
            <v>11058</v>
          </cell>
        </row>
        <row r="2218">
          <cell r="U2218">
            <v>36211059</v>
          </cell>
          <cell r="V2218" t="str">
            <v>36.2</v>
          </cell>
          <cell r="W2218" t="str">
            <v>ΑΜΠΕΛΩΝΕΣ ΓΙΑ ΠΑΡΑΓΩΓΗ ΟΙΝΟΥ</v>
          </cell>
          <cell r="X2218" t="str">
            <v>11059</v>
          </cell>
        </row>
        <row r="2219">
          <cell r="U2219">
            <v>36211060</v>
          </cell>
          <cell r="V2219" t="str">
            <v>36.2</v>
          </cell>
          <cell r="W2219" t="str">
            <v>ΑΜΠΕΛΩΝΕΣ ΓΙΑ ΠΑΡΑΓΩΓΗ ΟΙΝΟΥ</v>
          </cell>
          <cell r="X2219" t="str">
            <v>11060</v>
          </cell>
        </row>
        <row r="2220">
          <cell r="U2220">
            <v>36211061</v>
          </cell>
          <cell r="V2220" t="str">
            <v>36.2</v>
          </cell>
          <cell r="W2220" t="str">
            <v>ΑΜΠΕΛΩΝΕΣ ΓΙΑ ΠΑΡΑΓΩΓΗ ΟΙΝΟΥ</v>
          </cell>
          <cell r="X2220" t="str">
            <v>11061</v>
          </cell>
        </row>
        <row r="2221">
          <cell r="U2221">
            <v>36211062</v>
          </cell>
          <cell r="V2221" t="str">
            <v>36.2</v>
          </cell>
          <cell r="W2221" t="str">
            <v>ΑΜΠΕΛΩΝΕΣ ΓΙΑ ΠΑΡΑΓΩΓΗ ΟΙΝΟΥ</v>
          </cell>
          <cell r="X2221" t="str">
            <v>11062</v>
          </cell>
        </row>
        <row r="2222">
          <cell r="U2222">
            <v>36211063</v>
          </cell>
          <cell r="V2222" t="str">
            <v>36.2</v>
          </cell>
          <cell r="W2222" t="str">
            <v>ΑΜΠΕΛΩΝΕΣ ΓΙΑ ΠΑΡΑΓΩΓΗ ΟΙΝΟΥ</v>
          </cell>
          <cell r="X2222" t="str">
            <v>11063</v>
          </cell>
        </row>
        <row r="2223">
          <cell r="U2223">
            <v>36211064</v>
          </cell>
          <cell r="V2223" t="str">
            <v>36.2</v>
          </cell>
          <cell r="W2223" t="str">
            <v>ΑΜΠΕΛΩΝΕΣ ΓΙΑ ΠΑΡΑΓΩΓΗ ΟΙΝΟΥ</v>
          </cell>
          <cell r="X2223" t="str">
            <v>11064</v>
          </cell>
        </row>
        <row r="2224">
          <cell r="U2224">
            <v>36211065</v>
          </cell>
          <cell r="V2224" t="str">
            <v>36.2</v>
          </cell>
          <cell r="W2224" t="str">
            <v>ΑΜΠΕΛΩΝΕΣ ΓΙΑ ΠΑΡΑΓΩΓΗ ΟΙΝΟΥ</v>
          </cell>
          <cell r="X2224" t="str">
            <v>11065</v>
          </cell>
        </row>
        <row r="2225">
          <cell r="U2225">
            <v>36211066</v>
          </cell>
          <cell r="V2225" t="str">
            <v>36.2</v>
          </cell>
          <cell r="W2225" t="str">
            <v>ΑΜΠΕΛΩΝΕΣ ΓΙΑ ΠΑΡΑΓΩΓΗ ΟΙΝΟΥ</v>
          </cell>
          <cell r="X2225" t="str">
            <v>11066</v>
          </cell>
        </row>
        <row r="2226">
          <cell r="U2226">
            <v>36211067</v>
          </cell>
          <cell r="V2226" t="str">
            <v>36.2</v>
          </cell>
          <cell r="W2226" t="str">
            <v>ΑΜΠΕΛΩΝΕΣ ΓΙΑ ΠΑΡΑΓΩΓΗ ΟΙΝΟΥ</v>
          </cell>
          <cell r="X2226" t="str">
            <v>11067</v>
          </cell>
        </row>
        <row r="2227">
          <cell r="U2227">
            <v>36211068</v>
          </cell>
          <cell r="V2227" t="str">
            <v>36.2</v>
          </cell>
          <cell r="W2227" t="str">
            <v>ΑΜΠΕΛΩΝΕΣ ΓΙΑ ΠΑΡΑΓΩΓΗ ΟΙΝΟΥ</v>
          </cell>
          <cell r="X2227" t="str">
            <v>11068</v>
          </cell>
        </row>
        <row r="2228">
          <cell r="U2228">
            <v>36211069</v>
          </cell>
          <cell r="V2228" t="str">
            <v>36.2</v>
          </cell>
          <cell r="W2228" t="str">
            <v>ΑΜΠΕΛΩΝΕΣ ΓΙΑ ΠΑΡΑΓΩΓΗ ΟΙΝΟΥ</v>
          </cell>
          <cell r="X2228" t="str">
            <v>11069</v>
          </cell>
        </row>
        <row r="2229">
          <cell r="U2229">
            <v>36211070</v>
          </cell>
          <cell r="V2229" t="str">
            <v>36.2</v>
          </cell>
          <cell r="W2229" t="str">
            <v>ΑΜΠΕΛΩΝΕΣ ΓΙΑ ΠΑΡΑΓΩΓΗ ΟΙΝΟΥ</v>
          </cell>
          <cell r="X2229" t="str">
            <v>11070</v>
          </cell>
        </row>
        <row r="2230">
          <cell r="U2230">
            <v>36211071</v>
          </cell>
          <cell r="V2230" t="str">
            <v>36.2</v>
          </cell>
          <cell r="W2230" t="str">
            <v>ΑΜΠΕΛΩΝΕΣ ΓΙΑ ΠΑΡΑΓΩΓΗ ΟΙΝΟΥ</v>
          </cell>
          <cell r="X2230" t="str">
            <v>11071</v>
          </cell>
        </row>
        <row r="2231">
          <cell r="U2231">
            <v>36211072</v>
          </cell>
          <cell r="V2231" t="str">
            <v>36.2</v>
          </cell>
          <cell r="W2231" t="str">
            <v>ΑΜΠΕΛΩΝΕΣ ΓΙΑ ΠΑΡΑΓΩΓΗ ΟΙΝΟΥ</v>
          </cell>
          <cell r="X2231" t="str">
            <v>11072</v>
          </cell>
        </row>
        <row r="2232">
          <cell r="U2232">
            <v>36211073</v>
          </cell>
          <cell r="V2232" t="str">
            <v>36.2</v>
          </cell>
          <cell r="W2232" t="str">
            <v>ΑΜΠΕΛΩΝΕΣ ΓΙΑ ΠΑΡΑΓΩΓΗ ΟΙΝΟΥ</v>
          </cell>
          <cell r="X2232" t="str">
            <v>11073</v>
          </cell>
        </row>
        <row r="2233">
          <cell r="U2233">
            <v>36211075</v>
          </cell>
          <cell r="V2233" t="str">
            <v>36.2</v>
          </cell>
          <cell r="W2233" t="str">
            <v>ΑΜΠΕΛΩΝΕΣ ΓΙΑ ΠΑΡΑΓΩΓΗ ΟΙΝΟΥ</v>
          </cell>
          <cell r="X2233" t="str">
            <v>11075</v>
          </cell>
        </row>
        <row r="2234">
          <cell r="U2234">
            <v>36211076</v>
          </cell>
          <cell r="V2234" t="str">
            <v>36.2</v>
          </cell>
          <cell r="W2234" t="str">
            <v>ΑΜΠΕΛΩΝΕΣ ΓΙΑ ΠΑΡΑΓΩΓΗ ΟΙΝΟΥ</v>
          </cell>
          <cell r="X2234" t="str">
            <v>11076</v>
          </cell>
        </row>
        <row r="2235">
          <cell r="U2235">
            <v>36211077</v>
          </cell>
          <cell r="V2235" t="str">
            <v>36.2</v>
          </cell>
          <cell r="W2235" t="str">
            <v>ΑΜΠΕΛΩΝΕΣ ΓΙΑ ΠΑΡΑΓΩΓΗ ΟΙΝΟΥ</v>
          </cell>
          <cell r="X2235" t="str">
            <v>11077</v>
          </cell>
        </row>
        <row r="2236">
          <cell r="U2236">
            <v>36211078</v>
          </cell>
          <cell r="V2236" t="str">
            <v>36.2</v>
          </cell>
          <cell r="W2236" t="str">
            <v>ΑΜΠΕΛΩΝΕΣ ΓΙΑ ΠΑΡΑΓΩΓΗ ΟΙΝΟΥ</v>
          </cell>
          <cell r="X2236" t="str">
            <v>11078</v>
          </cell>
        </row>
        <row r="2237">
          <cell r="U2237">
            <v>36211079</v>
          </cell>
          <cell r="V2237" t="str">
            <v>36.2</v>
          </cell>
          <cell r="W2237" t="str">
            <v>ΑΜΠΕΛΩΝΕΣ ΓΙΑ ΠΑΡΑΓΩΓΗ ΟΙΝΟΥ</v>
          </cell>
          <cell r="X2237" t="str">
            <v>11079</v>
          </cell>
        </row>
        <row r="2238">
          <cell r="U2238">
            <v>36211080</v>
          </cell>
          <cell r="V2238" t="str">
            <v>36.2</v>
          </cell>
          <cell r="W2238" t="str">
            <v>ΑΜΠΕΛΩΝΕΣ ΓΙΑ ΠΑΡΑΓΩΓΗ ΟΙΝΟΥ</v>
          </cell>
          <cell r="X2238" t="str">
            <v>11080</v>
          </cell>
        </row>
        <row r="2239">
          <cell r="U2239">
            <v>36211085</v>
          </cell>
          <cell r="V2239" t="str">
            <v>36.2</v>
          </cell>
          <cell r="W2239" t="str">
            <v>ΑΜΠΕΛΩΝΕΣ ΓΙΑ ΠΑΡΑΓΩΓΗ ΟΙΝΟΥ</v>
          </cell>
          <cell r="X2239" t="str">
            <v>11085</v>
          </cell>
        </row>
        <row r="2240">
          <cell r="U2240">
            <v>36211086</v>
          </cell>
          <cell r="V2240" t="str">
            <v>36.2</v>
          </cell>
          <cell r="W2240" t="str">
            <v>ΑΜΠΕΛΩΝΕΣ ΓΙΑ ΠΑΡΑΓΩΓΗ ΟΙΝΟΥ</v>
          </cell>
          <cell r="X2240" t="str">
            <v>11086</v>
          </cell>
        </row>
        <row r="2241">
          <cell r="U2241">
            <v>36211096</v>
          </cell>
          <cell r="V2241" t="str">
            <v>36.2</v>
          </cell>
          <cell r="W2241" t="str">
            <v>ΑΜΠΕΛΩΝΕΣ ΓΙΑ ΠΑΡΑΓΩΓΗ ΟΙΝΟΥ</v>
          </cell>
          <cell r="X2241" t="str">
            <v>11096</v>
          </cell>
        </row>
        <row r="2242">
          <cell r="U2242">
            <v>36212001</v>
          </cell>
          <cell r="V2242" t="str">
            <v>36.2</v>
          </cell>
          <cell r="W2242" t="str">
            <v>ΑΜΠΕΛΩΝΕΣ ΓΙΑ ΠΑΡΑΓΩΓΗ ΟΙΝΟΥ</v>
          </cell>
          <cell r="X2242" t="str">
            <v>12001</v>
          </cell>
        </row>
        <row r="2243">
          <cell r="U2243">
            <v>36212002</v>
          </cell>
          <cell r="V2243" t="str">
            <v>36.2</v>
          </cell>
          <cell r="W2243" t="str">
            <v>ΑΜΠΕΛΩΝΕΣ ΓΙΑ ΠΑΡΑΓΩΓΗ ΟΙΝΟΥ</v>
          </cell>
          <cell r="X2243" t="str">
            <v>12002</v>
          </cell>
        </row>
        <row r="2244">
          <cell r="U2244">
            <v>36212003</v>
          </cell>
          <cell r="V2244" t="str">
            <v>36.2</v>
          </cell>
          <cell r="W2244" t="str">
            <v>ΑΜΠΕΛΩΝΕΣ ΓΙΑ ΠΑΡΑΓΩΓΗ ΟΙΝΟΥ</v>
          </cell>
          <cell r="X2244" t="str">
            <v>12003</v>
          </cell>
        </row>
        <row r="2245">
          <cell r="U2245">
            <v>36212004</v>
          </cell>
          <cell r="V2245" t="str">
            <v>36.2</v>
          </cell>
          <cell r="W2245" t="str">
            <v>ΑΜΠΕΛΩΝΕΣ ΓΙΑ ΠΑΡΑΓΩΓΗ ΟΙΝΟΥ</v>
          </cell>
          <cell r="X2245" t="str">
            <v>12004</v>
          </cell>
        </row>
        <row r="2246">
          <cell r="U2246">
            <v>36212005</v>
          </cell>
          <cell r="V2246" t="str">
            <v>36.2</v>
          </cell>
          <cell r="W2246" t="str">
            <v>ΑΜΠΕΛΩΝΕΣ ΓΙΑ ΠΑΡΑΓΩΓΗ ΟΙΝΟΥ</v>
          </cell>
          <cell r="X2246" t="str">
            <v>12005</v>
          </cell>
        </row>
        <row r="2247">
          <cell r="U2247">
            <v>36212006</v>
          </cell>
          <cell r="V2247" t="str">
            <v>36.2</v>
          </cell>
          <cell r="W2247" t="str">
            <v>ΑΜΠΕΛΩΝΕΣ ΓΙΑ ΠΑΡΑΓΩΓΗ ΟΙΝΟΥ</v>
          </cell>
          <cell r="X2247" t="str">
            <v>12006</v>
          </cell>
        </row>
        <row r="2248">
          <cell r="U2248">
            <v>36212100</v>
          </cell>
          <cell r="V2248" t="str">
            <v>36.2</v>
          </cell>
          <cell r="W2248" t="str">
            <v>ΑΜΠΕΛΩΝΕΣ ΓΙΑ ΠΑΡΑΓΩΓΗ ΟΙΝΟΥ</v>
          </cell>
          <cell r="X2248" t="str">
            <v>12100</v>
          </cell>
        </row>
        <row r="2249">
          <cell r="U2249">
            <v>36212101</v>
          </cell>
          <cell r="V2249" t="str">
            <v>36.2</v>
          </cell>
          <cell r="W2249" t="str">
            <v>ΑΜΠΕΛΩΝΕΣ ΓΙΑ ΠΑΡΑΓΩΓΗ ΟΙΝΟΥ</v>
          </cell>
          <cell r="X2249" t="str">
            <v>12101</v>
          </cell>
        </row>
        <row r="2250">
          <cell r="U2250">
            <v>36212102</v>
          </cell>
          <cell r="V2250" t="str">
            <v>36.2</v>
          </cell>
          <cell r="W2250" t="str">
            <v>ΑΜΠΕΛΩΝΕΣ ΓΙΑ ΠΑΡΑΓΩΓΗ ΟΙΝΟΥ</v>
          </cell>
          <cell r="X2250" t="str">
            <v>12102</v>
          </cell>
        </row>
        <row r="2251">
          <cell r="U2251">
            <v>36212103</v>
          </cell>
          <cell r="V2251" t="str">
            <v>36.2</v>
          </cell>
          <cell r="W2251" t="str">
            <v>ΑΜΠΕΛΩΝΕΣ ΓΙΑ ΠΑΡΑΓΩΓΗ ΟΙΝΟΥ</v>
          </cell>
          <cell r="X2251" t="str">
            <v>12103</v>
          </cell>
        </row>
        <row r="2252">
          <cell r="U2252">
            <v>36212104</v>
          </cell>
          <cell r="V2252" t="str">
            <v>36.2</v>
          </cell>
          <cell r="W2252" t="str">
            <v>ΑΜΠΕΛΩΝΕΣ ΓΙΑ ΠΑΡΑΓΩΓΗ ΟΙΝΟΥ</v>
          </cell>
          <cell r="X2252" t="str">
            <v>12104</v>
          </cell>
        </row>
        <row r="2253">
          <cell r="U2253">
            <v>36212105</v>
          </cell>
          <cell r="V2253" t="str">
            <v>36.2</v>
          </cell>
          <cell r="W2253" t="str">
            <v>ΑΜΠΕΛΩΝΕΣ ΓΙΑ ΠΑΡΑΓΩΓΗ ΟΙΝΟΥ</v>
          </cell>
          <cell r="X2253" t="str">
            <v>12105</v>
          </cell>
        </row>
        <row r="2254">
          <cell r="U2254">
            <v>36212106</v>
          </cell>
          <cell r="V2254" t="str">
            <v>36.2</v>
          </cell>
          <cell r="W2254" t="str">
            <v>ΑΜΠΕΛΩΝΕΣ ΓΙΑ ΠΑΡΑΓΩΓΗ ΟΙΝΟΥ</v>
          </cell>
          <cell r="X2254" t="str">
            <v>12106</v>
          </cell>
        </row>
        <row r="2255">
          <cell r="U2255">
            <v>36212107</v>
          </cell>
          <cell r="V2255" t="str">
            <v>36.2</v>
          </cell>
          <cell r="W2255" t="str">
            <v>ΑΜΠΕΛΩΝΕΣ ΓΙΑ ΠΑΡΑΓΩΓΗ ΟΙΝΟΥ</v>
          </cell>
          <cell r="X2255" t="str">
            <v>12107</v>
          </cell>
        </row>
        <row r="2256">
          <cell r="U2256">
            <v>36212108</v>
          </cell>
          <cell r="V2256" t="str">
            <v>36.2</v>
          </cell>
          <cell r="W2256" t="str">
            <v>ΑΜΠΕΛΩΝΕΣ ΓΙΑ ΠΑΡΑΓΩΓΗ ΟΙΝΟΥ</v>
          </cell>
          <cell r="X2256" t="str">
            <v>12108</v>
          </cell>
        </row>
        <row r="2257">
          <cell r="U2257">
            <v>36212109</v>
          </cell>
          <cell r="V2257" t="str">
            <v>36.2</v>
          </cell>
          <cell r="W2257" t="str">
            <v>ΑΜΠΕΛΩΝΕΣ ΓΙΑ ΠΑΡΑΓΩΓΗ ΟΙΝΟΥ</v>
          </cell>
          <cell r="X2257" t="str">
            <v>12109</v>
          </cell>
        </row>
        <row r="2258">
          <cell r="U2258">
            <v>36212110</v>
          </cell>
          <cell r="V2258" t="str">
            <v>36.2</v>
          </cell>
          <cell r="W2258" t="str">
            <v>ΑΜΠΕΛΩΝΕΣ ΓΙΑ ΠΑΡΑΓΩΓΗ ΟΙΝΟΥ</v>
          </cell>
          <cell r="X2258" t="str">
            <v>12110</v>
          </cell>
        </row>
        <row r="2259">
          <cell r="U2259">
            <v>36212111</v>
          </cell>
          <cell r="V2259" t="str">
            <v>36.2</v>
          </cell>
          <cell r="W2259" t="str">
            <v>ΑΜΠΕΛΩΝΕΣ ΓΙΑ ΠΑΡΑΓΩΓΗ ΟΙΝΟΥ</v>
          </cell>
          <cell r="X2259" t="str">
            <v>12111</v>
          </cell>
        </row>
        <row r="2260">
          <cell r="U2260">
            <v>36212112</v>
          </cell>
          <cell r="V2260" t="str">
            <v>36.2</v>
          </cell>
          <cell r="W2260" t="str">
            <v>ΑΜΠΕΛΩΝΕΣ ΓΙΑ ΠΑΡΑΓΩΓΗ ΟΙΝΟΥ</v>
          </cell>
          <cell r="X2260" t="str">
            <v>12112</v>
          </cell>
        </row>
        <row r="2261">
          <cell r="U2261">
            <v>36212113</v>
          </cell>
          <cell r="V2261" t="str">
            <v>36.2</v>
          </cell>
          <cell r="W2261" t="str">
            <v>ΑΜΠΕΛΩΝΕΣ ΓΙΑ ΠΑΡΑΓΩΓΗ ΟΙΝΟΥ</v>
          </cell>
          <cell r="X2261" t="str">
            <v>12113</v>
          </cell>
        </row>
        <row r="2262">
          <cell r="U2262">
            <v>36212114</v>
          </cell>
          <cell r="V2262" t="str">
            <v>36.2</v>
          </cell>
          <cell r="W2262" t="str">
            <v>ΑΜΠΕΛΩΝΕΣ ΓΙΑ ΠΑΡΑΓΩΓΗ ΟΙΝΟΥ</v>
          </cell>
          <cell r="X2262" t="str">
            <v>12114</v>
          </cell>
        </row>
        <row r="2263">
          <cell r="U2263">
            <v>36212115</v>
          </cell>
          <cell r="V2263" t="str">
            <v>36.2</v>
          </cell>
          <cell r="W2263" t="str">
            <v>ΑΜΠΕΛΩΝΕΣ ΓΙΑ ΠΑΡΑΓΩΓΗ ΟΙΝΟΥ</v>
          </cell>
          <cell r="X2263" t="str">
            <v>12115</v>
          </cell>
        </row>
        <row r="2264">
          <cell r="U2264">
            <v>36212116</v>
          </cell>
          <cell r="V2264" t="str">
            <v>36.2</v>
          </cell>
          <cell r="W2264" t="str">
            <v>ΑΜΠΕΛΩΝΕΣ ΓΙΑ ΠΑΡΑΓΩΓΗ ΟΙΝΟΥ</v>
          </cell>
          <cell r="X2264" t="str">
            <v>12116</v>
          </cell>
        </row>
        <row r="2265">
          <cell r="U2265">
            <v>36212117</v>
          </cell>
          <cell r="V2265" t="str">
            <v>36.2</v>
          </cell>
          <cell r="W2265" t="str">
            <v>ΑΜΠΕΛΩΝΕΣ ΓΙΑ ΠΑΡΑΓΩΓΗ ΟΙΝΟΥ</v>
          </cell>
          <cell r="X2265" t="str">
            <v>12117</v>
          </cell>
        </row>
        <row r="2266">
          <cell r="U2266">
            <v>36212118</v>
          </cell>
          <cell r="V2266" t="str">
            <v>36.2</v>
          </cell>
          <cell r="W2266" t="str">
            <v>ΑΜΠΕΛΩΝΕΣ ΓΙΑ ΠΑΡΑΓΩΓΗ ΟΙΝΟΥ</v>
          </cell>
          <cell r="X2266" t="str">
            <v>12118</v>
          </cell>
        </row>
        <row r="2267">
          <cell r="U2267">
            <v>36212119</v>
          </cell>
          <cell r="V2267" t="str">
            <v>36.2</v>
          </cell>
          <cell r="W2267" t="str">
            <v>ΑΜΠΕΛΩΝΕΣ ΓΙΑ ΠΑΡΑΓΩΓΗ ΟΙΝΟΥ</v>
          </cell>
          <cell r="X2267" t="str">
            <v>12119</v>
          </cell>
        </row>
        <row r="2268">
          <cell r="U2268">
            <v>36212120</v>
          </cell>
          <cell r="V2268" t="str">
            <v>36.2</v>
          </cell>
          <cell r="W2268" t="str">
            <v>ΑΜΠΕΛΩΝΕΣ ΓΙΑ ΠΑΡΑΓΩΓΗ ΟΙΝΟΥ</v>
          </cell>
          <cell r="X2268" t="str">
            <v>12120</v>
          </cell>
        </row>
        <row r="2269">
          <cell r="U2269">
            <v>36212121</v>
          </cell>
          <cell r="V2269" t="str">
            <v>36.2</v>
          </cell>
          <cell r="W2269" t="str">
            <v>ΑΜΠΕΛΩΝΕΣ ΓΙΑ ΠΑΡΑΓΩΓΗ ΟΙΝΟΥ</v>
          </cell>
          <cell r="X2269" t="str">
            <v>12121</v>
          </cell>
        </row>
        <row r="2270">
          <cell r="U2270">
            <v>36212122</v>
          </cell>
          <cell r="V2270" t="str">
            <v>36.2</v>
          </cell>
          <cell r="W2270" t="str">
            <v>ΑΜΠΕΛΩΝΕΣ ΓΙΑ ΠΑΡΑΓΩΓΗ ΟΙΝΟΥ</v>
          </cell>
          <cell r="X2270" t="str">
            <v>12122</v>
          </cell>
        </row>
        <row r="2271">
          <cell r="U2271">
            <v>36212123</v>
          </cell>
          <cell r="V2271" t="str">
            <v>36.2</v>
          </cell>
          <cell r="W2271" t="str">
            <v>ΑΜΠΕΛΩΝΕΣ ΓΙΑ ΠΑΡΑΓΩΓΗ ΟΙΝΟΥ</v>
          </cell>
          <cell r="X2271" t="str">
            <v>12123</v>
          </cell>
        </row>
        <row r="2272">
          <cell r="U2272">
            <v>36212124</v>
          </cell>
          <cell r="V2272" t="str">
            <v>36.2</v>
          </cell>
          <cell r="W2272" t="str">
            <v>ΑΜΠΕΛΩΝΕΣ ΓΙΑ ΠΑΡΑΓΩΓΗ ΟΙΝΟΥ</v>
          </cell>
          <cell r="X2272" t="str">
            <v>12124</v>
          </cell>
        </row>
        <row r="2273">
          <cell r="U2273">
            <v>36212125</v>
          </cell>
          <cell r="V2273" t="str">
            <v>36.2</v>
          </cell>
          <cell r="W2273" t="str">
            <v>ΑΜΠΕΛΩΝΕΣ ΓΙΑ ΠΑΡΑΓΩΓΗ ΟΙΝΟΥ</v>
          </cell>
          <cell r="X2273" t="str">
            <v>12125</v>
          </cell>
        </row>
        <row r="2274">
          <cell r="U2274">
            <v>36212126</v>
          </cell>
          <cell r="V2274" t="str">
            <v>36.2</v>
          </cell>
          <cell r="W2274" t="str">
            <v>ΑΜΠΕΛΩΝΕΣ ΓΙΑ ΠΑΡΑΓΩΓΗ ΟΙΝΟΥ</v>
          </cell>
          <cell r="X2274" t="str">
            <v>12126</v>
          </cell>
        </row>
        <row r="2275">
          <cell r="U2275">
            <v>36212127</v>
          </cell>
          <cell r="V2275" t="str">
            <v>36.2</v>
          </cell>
          <cell r="W2275" t="str">
            <v>ΑΜΠΕΛΩΝΕΣ ΓΙΑ ΠΑΡΑΓΩΓΗ ΟΙΝΟΥ</v>
          </cell>
          <cell r="X2275" t="str">
            <v>12127</v>
          </cell>
        </row>
        <row r="2276">
          <cell r="U2276">
            <v>36212128</v>
          </cell>
          <cell r="V2276" t="str">
            <v>36.2</v>
          </cell>
          <cell r="W2276" t="str">
            <v>ΑΜΠΕΛΩΝΕΣ ΓΙΑ ΠΑΡΑΓΩΓΗ ΟΙΝΟΥ</v>
          </cell>
          <cell r="X2276" t="str">
            <v>12128</v>
          </cell>
        </row>
        <row r="2277">
          <cell r="U2277">
            <v>36212129</v>
          </cell>
          <cell r="V2277" t="str">
            <v>36.2</v>
          </cell>
          <cell r="W2277" t="str">
            <v>ΑΜΠΕΛΩΝΕΣ ΓΙΑ ΠΑΡΑΓΩΓΗ ΟΙΝΟΥ</v>
          </cell>
          <cell r="X2277" t="str">
            <v>12129</v>
          </cell>
        </row>
        <row r="2278">
          <cell r="U2278">
            <v>36212130</v>
          </cell>
          <cell r="V2278" t="str">
            <v>36.2</v>
          </cell>
          <cell r="W2278" t="str">
            <v>ΑΜΠΕΛΩΝΕΣ ΓΙΑ ΠΑΡΑΓΩΓΗ ΟΙΝΟΥ</v>
          </cell>
          <cell r="X2278" t="str">
            <v>12130</v>
          </cell>
        </row>
        <row r="2279">
          <cell r="U2279">
            <v>36212132</v>
          </cell>
          <cell r="V2279" t="str">
            <v>36.2</v>
          </cell>
          <cell r="W2279" t="str">
            <v>ΑΜΠΕΛΩΝΕΣ ΓΙΑ ΠΑΡΑΓΩΓΗ ΟΙΝΟΥ</v>
          </cell>
          <cell r="X2279" t="str">
            <v>12132</v>
          </cell>
        </row>
        <row r="2280">
          <cell r="U2280">
            <v>36212133</v>
          </cell>
          <cell r="V2280" t="str">
            <v>36.2</v>
          </cell>
          <cell r="W2280" t="str">
            <v>ΑΜΠΕΛΩΝΕΣ ΓΙΑ ΠΑΡΑΓΩΓΗ ΟΙΝΟΥ</v>
          </cell>
          <cell r="X2280" t="str">
            <v>12133</v>
          </cell>
        </row>
        <row r="2281">
          <cell r="U2281">
            <v>36212134</v>
          </cell>
          <cell r="V2281" t="str">
            <v>36.2</v>
          </cell>
          <cell r="W2281" t="str">
            <v>ΑΜΠΕΛΩΝΕΣ ΓΙΑ ΠΑΡΑΓΩΓΗ ΟΙΝΟΥ</v>
          </cell>
          <cell r="X2281" t="str">
            <v>12134</v>
          </cell>
        </row>
        <row r="2282">
          <cell r="U2282">
            <v>36212135</v>
          </cell>
          <cell r="V2282" t="str">
            <v>36.2</v>
          </cell>
          <cell r="W2282" t="str">
            <v>ΑΜΠΕΛΩΝΕΣ ΓΙΑ ΠΑΡΑΓΩΓΗ ΟΙΝΟΥ</v>
          </cell>
          <cell r="X2282" t="str">
            <v>12135</v>
          </cell>
        </row>
        <row r="2283">
          <cell r="U2283">
            <v>36212136</v>
          </cell>
          <cell r="V2283" t="str">
            <v>36.2</v>
          </cell>
          <cell r="W2283" t="str">
            <v>ΑΜΠΕΛΩΝΕΣ ΓΙΑ ΠΑΡΑΓΩΓΗ ΟΙΝΟΥ</v>
          </cell>
          <cell r="X2283" t="str">
            <v>12136</v>
          </cell>
        </row>
        <row r="2284">
          <cell r="U2284">
            <v>36212137</v>
          </cell>
          <cell r="V2284" t="str">
            <v>36.2</v>
          </cell>
          <cell r="W2284" t="str">
            <v>ΑΜΠΕΛΩΝΕΣ ΓΙΑ ΠΑΡΑΓΩΓΗ ΟΙΝΟΥ</v>
          </cell>
          <cell r="X2284" t="str">
            <v>12137</v>
          </cell>
        </row>
        <row r="2285">
          <cell r="U2285">
            <v>36212139</v>
          </cell>
          <cell r="V2285" t="str">
            <v>36.2</v>
          </cell>
          <cell r="W2285" t="str">
            <v>ΑΜΠΕΛΩΝΕΣ ΓΙΑ ΠΑΡΑΓΩΓΗ ΟΙΝΟΥ</v>
          </cell>
          <cell r="X2285" t="str">
            <v>12139</v>
          </cell>
        </row>
        <row r="2286">
          <cell r="U2286">
            <v>36212140</v>
          </cell>
          <cell r="V2286" t="str">
            <v>36.2</v>
          </cell>
          <cell r="W2286" t="str">
            <v>ΑΜΠΕΛΩΝΕΣ ΓΙΑ ΠΑΡΑΓΩΓΗ ΟΙΝΟΥ</v>
          </cell>
          <cell r="X2286" t="str">
            <v>12140</v>
          </cell>
        </row>
        <row r="2287">
          <cell r="U2287">
            <v>36212141</v>
          </cell>
          <cell r="V2287" t="str">
            <v>36.2</v>
          </cell>
          <cell r="W2287" t="str">
            <v>ΑΜΠΕΛΩΝΕΣ ΓΙΑ ΠΑΡΑΓΩΓΗ ΟΙΝΟΥ</v>
          </cell>
          <cell r="X2287" t="str">
            <v>12141</v>
          </cell>
        </row>
        <row r="2288">
          <cell r="U2288">
            <v>36212142</v>
          </cell>
          <cell r="V2288" t="str">
            <v>36.2</v>
          </cell>
          <cell r="W2288" t="str">
            <v>ΑΜΠΕΛΩΝΕΣ ΓΙΑ ΠΑΡΑΓΩΓΗ ΟΙΝΟΥ</v>
          </cell>
          <cell r="X2288" t="str">
            <v>12142</v>
          </cell>
        </row>
        <row r="2289">
          <cell r="U2289">
            <v>36212143</v>
          </cell>
          <cell r="V2289" t="str">
            <v>36.2</v>
          </cell>
          <cell r="W2289" t="str">
            <v>ΑΜΠΕΛΩΝΕΣ ΓΙΑ ΠΑΡΑΓΩΓΗ ΟΙΝΟΥ</v>
          </cell>
          <cell r="X2289" t="str">
            <v>12143</v>
          </cell>
        </row>
        <row r="2290">
          <cell r="U2290">
            <v>36212144</v>
          </cell>
          <cell r="V2290" t="str">
            <v>36.2</v>
          </cell>
          <cell r="W2290" t="str">
            <v>ΑΜΠΕΛΩΝΕΣ ΓΙΑ ΠΑΡΑΓΩΓΗ ΟΙΝΟΥ</v>
          </cell>
          <cell r="X2290" t="str">
            <v>12144</v>
          </cell>
        </row>
        <row r="2291">
          <cell r="U2291">
            <v>36212145</v>
          </cell>
          <cell r="V2291" t="str">
            <v>36.2</v>
          </cell>
          <cell r="W2291" t="str">
            <v>ΑΜΠΕΛΩΝΕΣ ΓΙΑ ΠΑΡΑΓΩΓΗ ΟΙΝΟΥ</v>
          </cell>
          <cell r="X2291" t="str">
            <v>12145</v>
          </cell>
        </row>
        <row r="2292">
          <cell r="U2292">
            <v>36212146</v>
          </cell>
          <cell r="V2292" t="str">
            <v>36.2</v>
          </cell>
          <cell r="W2292" t="str">
            <v>ΑΜΠΕΛΩΝΕΣ ΓΙΑ ΠΑΡΑΓΩΓΗ ΟΙΝΟΥ</v>
          </cell>
          <cell r="X2292" t="str">
            <v>12146</v>
          </cell>
        </row>
        <row r="2293">
          <cell r="U2293">
            <v>36212147</v>
          </cell>
          <cell r="V2293" t="str">
            <v>36.2</v>
          </cell>
          <cell r="W2293" t="str">
            <v>ΑΜΠΕΛΩΝΕΣ ΓΙΑ ΠΑΡΑΓΩΓΗ ΟΙΝΟΥ</v>
          </cell>
          <cell r="X2293" t="str">
            <v>12147</v>
          </cell>
        </row>
        <row r="2294">
          <cell r="U2294">
            <v>36212148</v>
          </cell>
          <cell r="V2294" t="str">
            <v>36.2</v>
          </cell>
          <cell r="W2294" t="str">
            <v>ΑΜΠΕΛΩΝΕΣ ΓΙΑ ΠΑΡΑΓΩΓΗ ΟΙΝΟΥ</v>
          </cell>
          <cell r="X2294" t="str">
            <v>12148</v>
          </cell>
        </row>
        <row r="2295">
          <cell r="U2295">
            <v>36212149</v>
          </cell>
          <cell r="V2295" t="str">
            <v>36.2</v>
          </cell>
          <cell r="W2295" t="str">
            <v>ΑΜΠΕΛΩΝΕΣ ΓΙΑ ΠΑΡΑΓΩΓΗ ΟΙΝΟΥ</v>
          </cell>
          <cell r="X2295" t="str">
            <v>12149</v>
          </cell>
        </row>
        <row r="2296">
          <cell r="U2296">
            <v>36212150</v>
          </cell>
          <cell r="V2296" t="str">
            <v>36.2</v>
          </cell>
          <cell r="W2296" t="str">
            <v>ΑΜΠΕΛΩΝΕΣ ΓΙΑ ΠΑΡΑΓΩΓΗ ΟΙΝΟΥ</v>
          </cell>
          <cell r="X2296" t="str">
            <v>12150</v>
          </cell>
        </row>
        <row r="2297">
          <cell r="U2297">
            <v>36212151</v>
          </cell>
          <cell r="V2297" t="str">
            <v>36.2</v>
          </cell>
          <cell r="W2297" t="str">
            <v>ΑΜΠΕΛΩΝΕΣ ΓΙΑ ΠΑΡΑΓΩΓΗ ΟΙΝΟΥ</v>
          </cell>
          <cell r="X2297" t="str">
            <v>12151</v>
          </cell>
        </row>
        <row r="2298">
          <cell r="U2298">
            <v>36212152</v>
          </cell>
          <cell r="V2298" t="str">
            <v>36.2</v>
          </cell>
          <cell r="W2298" t="str">
            <v>ΑΜΠΕΛΩΝΕΣ ΓΙΑ ΠΑΡΑΓΩΓΗ ΟΙΝΟΥ</v>
          </cell>
          <cell r="X2298" t="str">
            <v>12152</v>
          </cell>
        </row>
        <row r="2299">
          <cell r="U2299">
            <v>36212153</v>
          </cell>
          <cell r="V2299" t="str">
            <v>36.2</v>
          </cell>
          <cell r="W2299" t="str">
            <v>ΑΜΠΕΛΩΝΕΣ ΓΙΑ ΠΑΡΑΓΩΓΗ ΟΙΝΟΥ</v>
          </cell>
          <cell r="X2299" t="str">
            <v>12153</v>
          </cell>
        </row>
        <row r="2300">
          <cell r="U2300">
            <v>36212154</v>
          </cell>
          <cell r="V2300" t="str">
            <v>36.2</v>
          </cell>
          <cell r="W2300" t="str">
            <v>ΑΜΠΕΛΩΝΕΣ ΓΙΑ ΠΑΡΑΓΩΓΗ ΟΙΝΟΥ</v>
          </cell>
          <cell r="X2300" t="str">
            <v>12154</v>
          </cell>
        </row>
        <row r="2301">
          <cell r="U2301">
            <v>36212155</v>
          </cell>
          <cell r="V2301" t="str">
            <v>36.2</v>
          </cell>
          <cell r="W2301" t="str">
            <v>ΑΜΠΕΛΩΝΕΣ ΓΙΑ ΠΑΡΑΓΩΓΗ ΟΙΝΟΥ</v>
          </cell>
          <cell r="X2301" t="str">
            <v>12155</v>
          </cell>
        </row>
        <row r="2302">
          <cell r="U2302">
            <v>36212156</v>
          </cell>
          <cell r="V2302" t="str">
            <v>36.2</v>
          </cell>
          <cell r="W2302" t="str">
            <v>ΑΜΠΕΛΩΝΕΣ ΓΙΑ ΠΑΡΑΓΩΓΗ ΟΙΝΟΥ</v>
          </cell>
          <cell r="X2302" t="str">
            <v>12156</v>
          </cell>
        </row>
        <row r="2303">
          <cell r="U2303">
            <v>36212157</v>
          </cell>
          <cell r="V2303" t="str">
            <v>36.2</v>
          </cell>
          <cell r="W2303" t="str">
            <v>ΑΜΠΕΛΩΝΕΣ ΓΙΑ ΠΑΡΑΓΩΓΗ ΟΙΝΟΥ</v>
          </cell>
          <cell r="X2303" t="str">
            <v>12157</v>
          </cell>
        </row>
        <row r="2304">
          <cell r="U2304">
            <v>36212159</v>
          </cell>
          <cell r="V2304" t="str">
            <v>36.2</v>
          </cell>
          <cell r="W2304" t="str">
            <v>ΑΜΠΕΛΩΝΕΣ ΓΙΑ ΠΑΡΑΓΩΓΗ ΟΙΝΟΥ</v>
          </cell>
          <cell r="X2304" t="str">
            <v>12159</v>
          </cell>
        </row>
        <row r="2305">
          <cell r="U2305">
            <v>36212160</v>
          </cell>
          <cell r="V2305" t="str">
            <v>36.2</v>
          </cell>
          <cell r="W2305" t="str">
            <v>ΑΜΠΕΛΩΝΕΣ ΓΙΑ ΠΑΡΑΓΩΓΗ ΟΙΝΟΥ</v>
          </cell>
          <cell r="X2305" t="str">
            <v>12160</v>
          </cell>
        </row>
        <row r="2306">
          <cell r="U2306">
            <v>36212161</v>
          </cell>
          <cell r="V2306" t="str">
            <v>36.2</v>
          </cell>
          <cell r="W2306" t="str">
            <v>ΑΜΠΕΛΩΝΕΣ ΓΙΑ ΠΑΡΑΓΩΓΗ ΟΙΝΟΥ</v>
          </cell>
          <cell r="X2306" t="str">
            <v>12161</v>
          </cell>
        </row>
        <row r="2307">
          <cell r="U2307">
            <v>36212162</v>
          </cell>
          <cell r="V2307" t="str">
            <v>36.2</v>
          </cell>
          <cell r="W2307" t="str">
            <v>ΑΜΠΕΛΩΝΕΣ ΓΙΑ ΠΑΡΑΓΩΓΗ ΟΙΝΟΥ</v>
          </cell>
          <cell r="X2307" t="str">
            <v>12162</v>
          </cell>
        </row>
        <row r="2308">
          <cell r="U2308">
            <v>36212163</v>
          </cell>
          <cell r="V2308" t="str">
            <v>36.2</v>
          </cell>
          <cell r="W2308" t="str">
            <v>ΑΜΠΕΛΩΝΕΣ ΓΙΑ ΠΑΡΑΓΩΓΗ ΟΙΝΟΥ</v>
          </cell>
          <cell r="X2308" t="str">
            <v>12163</v>
          </cell>
        </row>
        <row r="2309">
          <cell r="U2309">
            <v>36212164</v>
          </cell>
          <cell r="V2309" t="str">
            <v>36.2</v>
          </cell>
          <cell r="W2309" t="str">
            <v>ΑΜΠΕΛΩΝΕΣ ΓΙΑ ΠΑΡΑΓΩΓΗ ΟΙΝΟΥ</v>
          </cell>
          <cell r="X2309" t="str">
            <v>12164</v>
          </cell>
        </row>
        <row r="2310">
          <cell r="U2310">
            <v>36212165</v>
          </cell>
          <cell r="V2310" t="str">
            <v>36.2</v>
          </cell>
          <cell r="W2310" t="str">
            <v>ΑΜΠΕΛΩΝΕΣ ΓΙΑ ΠΑΡΑΓΩΓΗ ΟΙΝΟΥ</v>
          </cell>
          <cell r="X2310" t="str">
            <v>12165</v>
          </cell>
        </row>
        <row r="2311">
          <cell r="U2311">
            <v>36212166</v>
          </cell>
          <cell r="V2311" t="str">
            <v>36.2</v>
          </cell>
          <cell r="W2311" t="str">
            <v>ΑΜΠΕΛΩΝΕΣ ΓΙΑ ΠΑΡΑΓΩΓΗ ΟΙΝΟΥ</v>
          </cell>
          <cell r="X2311" t="str">
            <v>12166</v>
          </cell>
        </row>
        <row r="2312">
          <cell r="U2312">
            <v>36212167</v>
          </cell>
          <cell r="V2312" t="str">
            <v>36.2</v>
          </cell>
          <cell r="W2312" t="str">
            <v>ΑΜΠΕΛΩΝΕΣ ΓΙΑ ΠΑΡΑΓΩΓΗ ΟΙΝΟΥ</v>
          </cell>
          <cell r="X2312" t="str">
            <v>12167</v>
          </cell>
        </row>
        <row r="2313">
          <cell r="U2313">
            <v>36212168</v>
          </cell>
          <cell r="V2313" t="str">
            <v>36.2</v>
          </cell>
          <cell r="W2313" t="str">
            <v>ΑΜΠΕΛΩΝΕΣ ΓΙΑ ΠΑΡΑΓΩΓΗ ΟΙΝΟΥ</v>
          </cell>
          <cell r="X2313" t="str">
            <v>12168</v>
          </cell>
        </row>
        <row r="2314">
          <cell r="U2314">
            <v>36212169</v>
          </cell>
          <cell r="V2314" t="str">
            <v>36.2</v>
          </cell>
          <cell r="W2314" t="str">
            <v>ΑΜΠΕΛΩΝΕΣ ΓΙΑ ΠΑΡΑΓΩΓΗ ΟΙΝΟΥ</v>
          </cell>
          <cell r="X2314" t="str">
            <v>12169</v>
          </cell>
        </row>
        <row r="2315">
          <cell r="U2315">
            <v>36212170</v>
          </cell>
          <cell r="V2315" t="str">
            <v>36.2</v>
          </cell>
          <cell r="W2315" t="str">
            <v>ΑΜΠΕΛΩΝΕΣ ΓΙΑ ΠΑΡΑΓΩΓΗ ΟΙΝΟΥ</v>
          </cell>
          <cell r="X2315" t="str">
            <v>12170</v>
          </cell>
        </row>
        <row r="2316">
          <cell r="U2316">
            <v>36212171</v>
          </cell>
          <cell r="V2316" t="str">
            <v>36.2</v>
          </cell>
          <cell r="W2316" t="str">
            <v>ΑΜΠΕΛΩΝΕΣ ΓΙΑ ΠΑΡΑΓΩΓΗ ΟΙΝΟΥ</v>
          </cell>
          <cell r="X2316" t="str">
            <v>12171</v>
          </cell>
        </row>
        <row r="2317">
          <cell r="U2317">
            <v>36212172</v>
          </cell>
          <cell r="V2317" t="str">
            <v>36.2</v>
          </cell>
          <cell r="W2317" t="str">
            <v>ΑΜΠΕΛΩΝΕΣ ΓΙΑ ΠΑΡΑΓΩΓΗ ΟΙΝΟΥ</v>
          </cell>
          <cell r="X2317" t="str">
            <v>12172</v>
          </cell>
        </row>
        <row r="2318">
          <cell r="U2318">
            <v>36212173</v>
          </cell>
          <cell r="V2318" t="str">
            <v>36.2</v>
          </cell>
          <cell r="W2318" t="str">
            <v>ΑΜΠΕΛΩΝΕΣ ΓΙΑ ΠΑΡΑΓΩΓΗ ΟΙΝΟΥ</v>
          </cell>
          <cell r="X2318" t="str">
            <v>12173</v>
          </cell>
        </row>
        <row r="2319">
          <cell r="U2319">
            <v>36212174</v>
          </cell>
          <cell r="V2319" t="str">
            <v>36.2</v>
          </cell>
          <cell r="W2319" t="str">
            <v>ΑΜΠΕΛΩΝΕΣ ΓΙΑ ΠΑΡΑΓΩΓΗ ΟΙΝΟΥ</v>
          </cell>
          <cell r="X2319" t="str">
            <v>12174</v>
          </cell>
        </row>
        <row r="2320">
          <cell r="U2320">
            <v>36212175</v>
          </cell>
          <cell r="V2320" t="str">
            <v>36.2</v>
          </cell>
          <cell r="W2320" t="str">
            <v>ΑΜΠΕΛΩΝΕΣ ΓΙΑ ΠΑΡΑΓΩΓΗ ΟΙΝΟΥ</v>
          </cell>
          <cell r="X2320" t="str">
            <v>12175</v>
          </cell>
        </row>
        <row r="2321">
          <cell r="U2321">
            <v>36212176</v>
          </cell>
          <cell r="V2321" t="str">
            <v>36.2</v>
          </cell>
          <cell r="W2321" t="str">
            <v>ΑΜΠΕΛΩΝΕΣ ΓΙΑ ΠΑΡΑΓΩΓΗ ΟΙΝΟΥ</v>
          </cell>
          <cell r="X2321" t="str">
            <v>12176</v>
          </cell>
        </row>
        <row r="2322">
          <cell r="U2322">
            <v>36212177</v>
          </cell>
          <cell r="V2322" t="str">
            <v>36.2</v>
          </cell>
          <cell r="W2322" t="str">
            <v>ΑΜΠΕΛΩΝΕΣ ΓΙΑ ΠΑΡΑΓΩΓΗ ΟΙΝΟΥ</v>
          </cell>
          <cell r="X2322" t="str">
            <v>12177</v>
          </cell>
        </row>
        <row r="2323">
          <cell r="U2323">
            <v>36212178</v>
          </cell>
          <cell r="V2323" t="str">
            <v>36.2</v>
          </cell>
          <cell r="W2323" t="str">
            <v>ΑΜΠΕΛΩΝΕΣ ΓΙΑ ΠΑΡΑΓΩΓΗ ΟΙΝΟΥ</v>
          </cell>
          <cell r="X2323" t="str">
            <v>12178</v>
          </cell>
        </row>
        <row r="2324">
          <cell r="U2324">
            <v>36212179</v>
          </cell>
          <cell r="V2324" t="str">
            <v>36.2</v>
          </cell>
          <cell r="W2324" t="str">
            <v>ΑΜΠΕΛΩΝΕΣ ΓΙΑ ΠΑΡΑΓΩΓΗ ΟΙΝΟΥ</v>
          </cell>
          <cell r="X2324" t="str">
            <v>12179</v>
          </cell>
        </row>
        <row r="2325">
          <cell r="U2325">
            <v>36212180</v>
          </cell>
          <cell r="V2325" t="str">
            <v>36.2</v>
          </cell>
          <cell r="W2325" t="str">
            <v>ΑΜΠΕΛΩΝΕΣ ΓΙΑ ΠΑΡΑΓΩΓΗ ΟΙΝΟΥ</v>
          </cell>
          <cell r="X2325" t="str">
            <v>12180</v>
          </cell>
        </row>
        <row r="2326">
          <cell r="U2326">
            <v>36212181</v>
          </cell>
          <cell r="V2326" t="str">
            <v>36.2</v>
          </cell>
          <cell r="W2326" t="str">
            <v>ΑΜΠΕΛΩΝΕΣ ΓΙΑ ΠΑΡΑΓΩΓΗ ΟΙΝΟΥ</v>
          </cell>
          <cell r="X2326" t="str">
            <v>12181</v>
          </cell>
        </row>
        <row r="2327">
          <cell r="U2327">
            <v>36212182</v>
          </cell>
          <cell r="V2327" t="str">
            <v>36.2</v>
          </cell>
          <cell r="W2327" t="str">
            <v>ΑΜΠΕΛΩΝΕΣ ΓΙΑ ΠΑΡΑΓΩΓΗ ΟΙΝΟΥ</v>
          </cell>
          <cell r="X2327" t="str">
            <v>12182</v>
          </cell>
        </row>
        <row r="2328">
          <cell r="U2328">
            <v>36212183</v>
          </cell>
          <cell r="V2328" t="str">
            <v>36.2</v>
          </cell>
          <cell r="W2328" t="str">
            <v>ΑΜΠΕΛΩΝΕΣ ΓΙΑ ΠΑΡΑΓΩΓΗ ΟΙΝΟΥ</v>
          </cell>
          <cell r="X2328" t="str">
            <v>12183</v>
          </cell>
        </row>
        <row r="2329">
          <cell r="U2329">
            <v>36212184</v>
          </cell>
          <cell r="V2329" t="str">
            <v>36.2</v>
          </cell>
          <cell r="W2329" t="str">
            <v>ΑΜΠΕΛΩΝΕΣ ΓΙΑ ΠΑΡΑΓΩΓΗ ΟΙΝΟΥ</v>
          </cell>
          <cell r="X2329" t="str">
            <v>12184</v>
          </cell>
        </row>
        <row r="2330">
          <cell r="U2330">
            <v>36212185</v>
          </cell>
          <cell r="V2330" t="str">
            <v>36.2</v>
          </cell>
          <cell r="W2330" t="str">
            <v>ΑΜΠΕΛΩΝΕΣ ΓΙΑ ΠΑΡΑΓΩΓΗ ΟΙΝΟΥ</v>
          </cell>
          <cell r="X2330" t="str">
            <v>12185</v>
          </cell>
        </row>
        <row r="2331">
          <cell r="U2331">
            <v>36212186</v>
          </cell>
          <cell r="V2331" t="str">
            <v>36.2</v>
          </cell>
          <cell r="W2331" t="str">
            <v>ΑΜΠΕΛΩΝΕΣ ΓΙΑ ΠΑΡΑΓΩΓΗ ΟΙΝΟΥ</v>
          </cell>
          <cell r="X2331" t="str">
            <v>12186</v>
          </cell>
        </row>
        <row r="2332">
          <cell r="U2332">
            <v>36212187</v>
          </cell>
          <cell r="V2332" t="str">
            <v>36.2</v>
          </cell>
          <cell r="W2332" t="str">
            <v>ΑΜΠΕΛΩΝΕΣ ΓΙΑ ΠΑΡΑΓΩΓΗ ΟΙΝΟΥ</v>
          </cell>
          <cell r="X2332" t="str">
            <v>12187</v>
          </cell>
        </row>
        <row r="2333">
          <cell r="U2333">
            <v>36212189</v>
          </cell>
          <cell r="V2333" t="str">
            <v>36.2</v>
          </cell>
          <cell r="W2333" t="str">
            <v>ΑΜΠΕΛΩΝΕΣ ΓΙΑ ΠΑΡΑΓΩΓΗ ΟΙΝΟΥ</v>
          </cell>
          <cell r="X2333" t="str">
            <v>12189</v>
          </cell>
        </row>
        <row r="2334">
          <cell r="U2334">
            <v>36212190</v>
          </cell>
          <cell r="V2334" t="str">
            <v>36.2</v>
          </cell>
          <cell r="W2334" t="str">
            <v>ΑΜΠΕΛΩΝΕΣ ΓΙΑ ΠΑΡΑΓΩΓΗ ΟΙΝΟΥ</v>
          </cell>
          <cell r="X2334" t="str">
            <v>12190</v>
          </cell>
        </row>
        <row r="2335">
          <cell r="U2335">
            <v>36212191</v>
          </cell>
          <cell r="V2335" t="str">
            <v>36.2</v>
          </cell>
          <cell r="W2335" t="str">
            <v>ΑΜΠΕΛΩΝΕΣ ΓΙΑ ΠΑΡΑΓΩΓΗ ΟΙΝΟΥ</v>
          </cell>
          <cell r="X2335" t="str">
            <v>12191</v>
          </cell>
        </row>
        <row r="2336">
          <cell r="U2336">
            <v>36212192</v>
          </cell>
          <cell r="V2336" t="str">
            <v>36.2</v>
          </cell>
          <cell r="W2336" t="str">
            <v>ΑΜΠΕΛΩΝΕΣ ΓΙΑ ΠΑΡΑΓΩΓΗ ΟΙΝΟΥ</v>
          </cell>
          <cell r="X2336" t="str">
            <v>12192</v>
          </cell>
        </row>
        <row r="2337">
          <cell r="U2337">
            <v>36212193</v>
          </cell>
          <cell r="V2337" t="str">
            <v>36.2</v>
          </cell>
          <cell r="W2337" t="str">
            <v>ΑΜΠΕΛΩΝΕΣ ΓΙΑ ΠΑΡΑΓΩΓΗ ΟΙΝΟΥ</v>
          </cell>
          <cell r="X2337" t="str">
            <v>12193</v>
          </cell>
        </row>
        <row r="2338">
          <cell r="U2338">
            <v>36212195</v>
          </cell>
          <cell r="V2338" t="str">
            <v>36.2</v>
          </cell>
          <cell r="W2338" t="str">
            <v>ΑΜΠΕΛΩΝΕΣ ΓΙΑ ΠΑΡΑΓΩΓΗ ΟΙΝΟΥ</v>
          </cell>
          <cell r="X2338" t="str">
            <v>12195</v>
          </cell>
        </row>
        <row r="2339">
          <cell r="U2339">
            <v>36212197</v>
          </cell>
          <cell r="V2339" t="str">
            <v>36.2</v>
          </cell>
          <cell r="W2339" t="str">
            <v>ΑΜΠΕΛΩΝΕΣ ΓΙΑ ΠΑΡΑΓΩΓΗ ΟΙΝΟΥ</v>
          </cell>
          <cell r="X2339" t="str">
            <v>12197</v>
          </cell>
        </row>
        <row r="2340">
          <cell r="U2340">
            <v>36213222</v>
          </cell>
          <cell r="V2340" t="str">
            <v>36.2</v>
          </cell>
          <cell r="W2340" t="str">
            <v>ΑΜΠΕΛΩΝΕΣ ΓΙΑ ΠΑΡΑΓΩΓΗ ΟΙΝΟΥ</v>
          </cell>
          <cell r="X2340" t="str">
            <v>13222</v>
          </cell>
        </row>
        <row r="2341">
          <cell r="U2341">
            <v>36213223</v>
          </cell>
          <cell r="V2341" t="str">
            <v>36.2</v>
          </cell>
          <cell r="W2341" t="str">
            <v>ΑΜΠΕΛΩΝΕΣ ΓΙΑ ΠΑΡΑΓΩΓΗ ΟΙΝΟΥ</v>
          </cell>
          <cell r="X2341" t="str">
            <v>13223</v>
          </cell>
        </row>
        <row r="2342">
          <cell r="U2342">
            <v>36213224</v>
          </cell>
          <cell r="V2342" t="str">
            <v>36.2</v>
          </cell>
          <cell r="W2342" t="str">
            <v>ΑΜΠΕΛΩΝΕΣ ΓΙΑ ΠΑΡΑΓΩΓΗ ΟΙΝΟΥ</v>
          </cell>
          <cell r="X2342" t="str">
            <v>13224</v>
          </cell>
        </row>
        <row r="2343">
          <cell r="U2343">
            <v>36213225</v>
          </cell>
          <cell r="V2343" t="str">
            <v>36.2</v>
          </cell>
          <cell r="W2343" t="str">
            <v>ΑΜΠΕΛΩΝΕΣ ΓΙΑ ΠΑΡΑΓΩΓΗ ΟΙΝΟΥ</v>
          </cell>
          <cell r="X2343" t="str">
            <v>13225</v>
          </cell>
        </row>
        <row r="2344">
          <cell r="U2344">
            <v>36213228</v>
          </cell>
          <cell r="V2344" t="str">
            <v>36.2</v>
          </cell>
          <cell r="W2344" t="str">
            <v>ΑΜΠΕΛΩΝΕΣ ΓΙΑ ΠΑΡΑΓΩΓΗ ΟΙΝΟΥ</v>
          </cell>
          <cell r="X2344" t="str">
            <v>13228</v>
          </cell>
        </row>
        <row r="2345">
          <cell r="U2345">
            <v>36221246</v>
          </cell>
          <cell r="V2345" t="str">
            <v>36.2</v>
          </cell>
          <cell r="W2345" t="str">
            <v>ΑΜΠΕΛΩΝΕΣ ΓΙΑ ΠΑΡΑΓΩΓΗ ΟΙΝΟΥ</v>
          </cell>
          <cell r="X2345" t="str">
            <v>21246</v>
          </cell>
        </row>
        <row r="2346">
          <cell r="U2346">
            <v>36221247</v>
          </cell>
          <cell r="V2346" t="str">
            <v>36.2</v>
          </cell>
          <cell r="W2346" t="str">
            <v>ΑΜΠΕΛΩΝΕΣ ΓΙΑ ΠΑΡΑΓΩΓΗ ΟΙΝΟΥ</v>
          </cell>
          <cell r="X2346" t="str">
            <v>21247</v>
          </cell>
        </row>
        <row r="2347">
          <cell r="U2347">
            <v>36221248</v>
          </cell>
          <cell r="V2347" t="str">
            <v>36.2</v>
          </cell>
          <cell r="W2347" t="str">
            <v>ΑΜΠΕΛΩΝΕΣ ΓΙΑ ΠΑΡΑΓΩΓΗ ΟΙΝΟΥ</v>
          </cell>
          <cell r="X2347" t="str">
            <v>21248</v>
          </cell>
        </row>
        <row r="2348">
          <cell r="U2348">
            <v>36221251</v>
          </cell>
          <cell r="V2348" t="str">
            <v>36.2</v>
          </cell>
          <cell r="W2348" t="str">
            <v>ΑΜΠΕΛΩΝΕΣ ΓΙΑ ΠΑΡΑΓΩΓΗ ΟΙΝΟΥ</v>
          </cell>
          <cell r="X2348" t="str">
            <v>21251</v>
          </cell>
        </row>
        <row r="2349">
          <cell r="U2349">
            <v>36221252</v>
          </cell>
          <cell r="V2349" t="str">
            <v>36.2</v>
          </cell>
          <cell r="W2349" t="str">
            <v>ΑΜΠΕΛΩΝΕΣ ΓΙΑ ΠΑΡΑΓΩΓΗ ΟΙΝΟΥ</v>
          </cell>
          <cell r="X2349" t="str">
            <v>21252</v>
          </cell>
        </row>
        <row r="2350">
          <cell r="U2350">
            <v>36221253</v>
          </cell>
          <cell r="V2350" t="str">
            <v>36.2</v>
          </cell>
          <cell r="W2350" t="str">
            <v>ΑΜΠΕΛΩΝΕΣ ΓΙΑ ΠΑΡΑΓΩΓΗ ΟΙΝΟΥ</v>
          </cell>
          <cell r="X2350" t="str">
            <v>21253</v>
          </cell>
        </row>
        <row r="2351">
          <cell r="U2351">
            <v>36221254</v>
          </cell>
          <cell r="V2351" t="str">
            <v>36.2</v>
          </cell>
          <cell r="W2351" t="str">
            <v>ΑΜΠΕΛΩΝΕΣ ΓΙΑ ΠΑΡΑΓΩΓΗ ΟΙΝΟΥ</v>
          </cell>
          <cell r="X2351" t="str">
            <v>21254</v>
          </cell>
        </row>
        <row r="2352">
          <cell r="U2352">
            <v>36221255</v>
          </cell>
          <cell r="V2352" t="str">
            <v>36.2</v>
          </cell>
          <cell r="W2352" t="str">
            <v>ΑΜΠΕΛΩΝΕΣ ΓΙΑ ΠΑΡΑΓΩΓΗ ΟΙΝΟΥ</v>
          </cell>
          <cell r="X2352" t="str">
            <v>21255</v>
          </cell>
        </row>
        <row r="2353">
          <cell r="U2353">
            <v>36221256</v>
          </cell>
          <cell r="V2353" t="str">
            <v>36.2</v>
          </cell>
          <cell r="W2353" t="str">
            <v>ΑΜΠΕΛΩΝΕΣ ΓΙΑ ΠΑΡΑΓΩΓΗ ΟΙΝΟΥ</v>
          </cell>
          <cell r="X2353" t="str">
            <v>21256</v>
          </cell>
        </row>
        <row r="2354">
          <cell r="U2354">
            <v>36221257</v>
          </cell>
          <cell r="V2354" t="str">
            <v>36.2</v>
          </cell>
          <cell r="W2354" t="str">
            <v>ΑΜΠΕΛΩΝΕΣ ΓΙΑ ΠΑΡΑΓΩΓΗ ΟΙΝΟΥ</v>
          </cell>
          <cell r="X2354" t="str">
            <v>21257</v>
          </cell>
        </row>
        <row r="2355">
          <cell r="U2355">
            <v>36221258</v>
          </cell>
          <cell r="V2355" t="str">
            <v>36.2</v>
          </cell>
          <cell r="W2355" t="str">
            <v>ΑΜΠΕΛΩΝΕΣ ΓΙΑ ΠΑΡΑΓΩΓΗ ΟΙΝΟΥ</v>
          </cell>
          <cell r="X2355" t="str">
            <v>21258</v>
          </cell>
        </row>
        <row r="2356">
          <cell r="U2356">
            <v>36221261</v>
          </cell>
          <cell r="V2356" t="str">
            <v>36.2</v>
          </cell>
          <cell r="W2356" t="str">
            <v>ΑΜΠΕΛΩΝΕΣ ΓΙΑ ΠΑΡΑΓΩΓΗ ΟΙΝΟΥ</v>
          </cell>
          <cell r="X2356" t="str">
            <v>21261</v>
          </cell>
        </row>
        <row r="2357">
          <cell r="U2357">
            <v>36221262</v>
          </cell>
          <cell r="V2357" t="str">
            <v>36.2</v>
          </cell>
          <cell r="W2357" t="str">
            <v>ΑΜΠΕΛΩΝΕΣ ΓΙΑ ΠΑΡΑΓΩΓΗ ΟΙΝΟΥ</v>
          </cell>
          <cell r="X2357" t="str">
            <v>21262</v>
          </cell>
        </row>
        <row r="2358">
          <cell r="U2358">
            <v>36221266</v>
          </cell>
          <cell r="V2358" t="str">
            <v>36.2</v>
          </cell>
          <cell r="W2358" t="str">
            <v>ΑΜΠΕΛΩΝΕΣ ΓΙΑ ΠΑΡΑΓΩΓΗ ΟΙΝΟΥ</v>
          </cell>
          <cell r="X2358" t="str">
            <v>21266</v>
          </cell>
        </row>
        <row r="2359">
          <cell r="U2359">
            <v>36221269</v>
          </cell>
          <cell r="V2359" t="str">
            <v>36.2</v>
          </cell>
          <cell r="W2359" t="str">
            <v>ΑΜΠΕΛΩΝΕΣ ΓΙΑ ΠΑΡΑΓΩΓΗ ΟΙΝΟΥ</v>
          </cell>
          <cell r="X2359" t="str">
            <v>21269</v>
          </cell>
        </row>
        <row r="2360">
          <cell r="U2360">
            <v>36221270</v>
          </cell>
          <cell r="V2360" t="str">
            <v>36.2</v>
          </cell>
          <cell r="W2360" t="str">
            <v>ΑΜΠΕΛΩΝΕΣ ΓΙΑ ΠΑΡΑΓΩΓΗ ΟΙΝΟΥ</v>
          </cell>
          <cell r="X2360" t="str">
            <v>21270</v>
          </cell>
        </row>
        <row r="2361">
          <cell r="U2361">
            <v>36221271</v>
          </cell>
          <cell r="V2361" t="str">
            <v>36.2</v>
          </cell>
          <cell r="W2361" t="str">
            <v>ΑΜΠΕΛΩΝΕΣ ΓΙΑ ΠΑΡΑΓΩΓΗ ΟΙΝΟΥ</v>
          </cell>
          <cell r="X2361" t="str">
            <v>21271</v>
          </cell>
        </row>
        <row r="2362">
          <cell r="U2362">
            <v>36221274</v>
          </cell>
          <cell r="V2362" t="str">
            <v>36.2</v>
          </cell>
          <cell r="W2362" t="str">
            <v>ΑΜΠΕΛΩΝΕΣ ΓΙΑ ΠΑΡΑΓΩΓΗ ΟΙΝΟΥ</v>
          </cell>
          <cell r="X2362" t="str">
            <v>21274</v>
          </cell>
        </row>
        <row r="2363">
          <cell r="U2363">
            <v>36221278</v>
          </cell>
          <cell r="V2363" t="str">
            <v>36.2</v>
          </cell>
          <cell r="W2363" t="str">
            <v>ΑΜΠΕΛΩΝΕΣ ΓΙΑ ΠΑΡΑΓΩΓΗ ΟΙΝΟΥ</v>
          </cell>
          <cell r="X2363" t="str">
            <v>21278</v>
          </cell>
        </row>
        <row r="2364">
          <cell r="U2364">
            <v>36222246</v>
          </cell>
          <cell r="V2364" t="str">
            <v>36.2</v>
          </cell>
          <cell r="W2364" t="str">
            <v>ΑΜΠΕΛΩΝΕΣ ΓΙΑ ΠΑΡΑΓΩΓΗ ΟΙΝΟΥ</v>
          </cell>
          <cell r="X2364" t="str">
            <v>22246</v>
          </cell>
        </row>
        <row r="2365">
          <cell r="U2365">
            <v>36222247</v>
          </cell>
          <cell r="V2365" t="str">
            <v>36.2</v>
          </cell>
          <cell r="W2365" t="str">
            <v>ΑΜΠΕΛΩΝΕΣ ΓΙΑ ΠΑΡΑΓΩΓΗ ΟΙΝΟΥ</v>
          </cell>
          <cell r="X2365" t="str">
            <v>22247</v>
          </cell>
        </row>
        <row r="2366">
          <cell r="U2366">
            <v>36222300</v>
          </cell>
          <cell r="V2366" t="str">
            <v>36.2</v>
          </cell>
          <cell r="W2366" t="str">
            <v>ΑΜΠΕΛΩΝΕΣ ΓΙΑ ΠΑΡΑΓΩΓΗ ΟΙΝΟΥ</v>
          </cell>
          <cell r="X2366" t="str">
            <v>22300</v>
          </cell>
        </row>
        <row r="2367">
          <cell r="U2367">
            <v>36222302</v>
          </cell>
          <cell r="V2367" t="str">
            <v>36.2</v>
          </cell>
          <cell r="W2367" t="str">
            <v>ΑΜΠΕΛΩΝΕΣ ΓΙΑ ΠΑΡΑΓΩΓΗ ΟΙΝΟΥ</v>
          </cell>
          <cell r="X2367" t="str">
            <v>22302</v>
          </cell>
        </row>
        <row r="2368">
          <cell r="U2368">
            <v>36222303</v>
          </cell>
          <cell r="V2368" t="str">
            <v>36.2</v>
          </cell>
          <cell r="W2368" t="str">
            <v>ΑΜΠΕΛΩΝΕΣ ΓΙΑ ΠΑΡΑΓΩΓΗ ΟΙΝΟΥ</v>
          </cell>
          <cell r="X2368" t="str">
            <v>22303</v>
          </cell>
        </row>
        <row r="2369">
          <cell r="U2369">
            <v>36222306</v>
          </cell>
          <cell r="V2369" t="str">
            <v>36.2</v>
          </cell>
          <cell r="W2369" t="str">
            <v>ΑΜΠΕΛΩΝΕΣ ΓΙΑ ΠΑΡΑΓΩΓΗ ΟΙΝΟΥ</v>
          </cell>
          <cell r="X2369" t="str">
            <v>22306</v>
          </cell>
        </row>
        <row r="2370">
          <cell r="U2370">
            <v>36222308</v>
          </cell>
          <cell r="V2370" t="str">
            <v>36.2</v>
          </cell>
          <cell r="W2370" t="str">
            <v>ΑΜΠΕΛΩΝΕΣ ΓΙΑ ΠΑΡΑΓΩΓΗ ΟΙΝΟΥ</v>
          </cell>
          <cell r="X2370" t="str">
            <v>22308</v>
          </cell>
        </row>
        <row r="2371">
          <cell r="U2371">
            <v>36223350</v>
          </cell>
          <cell r="V2371" t="str">
            <v>36.2</v>
          </cell>
          <cell r="W2371" t="str">
            <v>ΑΜΠΕΛΩΝΕΣ ΓΙΑ ΠΑΡΑΓΩΓΗ ΟΙΝΟΥ</v>
          </cell>
          <cell r="X2371" t="str">
            <v>23350</v>
          </cell>
        </row>
        <row r="2372">
          <cell r="U2372">
            <v>36223352</v>
          </cell>
          <cell r="V2372" t="str">
            <v>36.2</v>
          </cell>
          <cell r="W2372" t="str">
            <v>ΑΜΠΕΛΩΝΕΣ ΓΙΑ ΠΑΡΑΓΩΓΗ ΟΙΝΟΥ</v>
          </cell>
          <cell r="X2372" t="str">
            <v>23352</v>
          </cell>
        </row>
        <row r="2373">
          <cell r="U2373">
            <v>36223353</v>
          </cell>
          <cell r="V2373" t="str">
            <v>36.2</v>
          </cell>
          <cell r="W2373" t="str">
            <v>ΑΜΠΕΛΩΝΕΣ ΓΙΑ ΠΑΡΑΓΩΓΗ ΟΙΝΟΥ</v>
          </cell>
          <cell r="X2373" t="str">
            <v>23353</v>
          </cell>
        </row>
        <row r="2374">
          <cell r="U2374">
            <v>36223355</v>
          </cell>
          <cell r="V2374" t="str">
            <v>36.2</v>
          </cell>
          <cell r="W2374" t="str">
            <v>ΑΜΠΕΛΩΝΕΣ ΓΙΑ ΠΑΡΑΓΩΓΗ ΟΙΝΟΥ</v>
          </cell>
          <cell r="X2374" t="str">
            <v>23355</v>
          </cell>
        </row>
        <row r="2375">
          <cell r="U2375">
            <v>36231501</v>
          </cell>
          <cell r="V2375" t="str">
            <v>36.2</v>
          </cell>
          <cell r="W2375" t="str">
            <v>ΑΜΠΕΛΩΝΕΣ ΓΙΑ ΠΑΡΑΓΩΓΗ ΟΙΝΟΥ</v>
          </cell>
          <cell r="X2375" t="str">
            <v>31501</v>
          </cell>
        </row>
        <row r="2376">
          <cell r="U2376">
            <v>36231502</v>
          </cell>
          <cell r="V2376" t="str">
            <v>36.2</v>
          </cell>
          <cell r="W2376" t="str">
            <v>ΑΜΠΕΛΩΝΕΣ ΓΙΑ ΠΑΡΑΓΩΓΗ ΟΙΝΟΥ</v>
          </cell>
          <cell r="X2376" t="str">
            <v>31502</v>
          </cell>
        </row>
        <row r="2377">
          <cell r="U2377">
            <v>36232511</v>
          </cell>
          <cell r="V2377" t="str">
            <v>36.2</v>
          </cell>
          <cell r="W2377" t="str">
            <v>ΑΜΠΕΛΩΝΕΣ ΓΙΑ ΠΑΡΑΓΩΓΗ ΟΙΝΟΥ</v>
          </cell>
          <cell r="X2377" t="str">
            <v>32511</v>
          </cell>
        </row>
        <row r="2378">
          <cell r="U2378">
            <v>36236201</v>
          </cell>
          <cell r="V2378" t="str">
            <v>36.2</v>
          </cell>
          <cell r="W2378" t="str">
            <v>ΑΜΠΕΛΩΝΕΣ ΓΙΑ ΠΑΡΑΓΩΓΗ ΟΙΝΟΥ</v>
          </cell>
          <cell r="X2378" t="str">
            <v>36201</v>
          </cell>
        </row>
        <row r="2379">
          <cell r="U2379">
            <v>36240520</v>
          </cell>
          <cell r="V2379" t="str">
            <v>36.2</v>
          </cell>
          <cell r="W2379" t="str">
            <v>ΑΜΠΕΛΩΝΕΣ ΓΙΑ ΠΑΡΑΓΩΓΗ ΟΙΝΟΥ</v>
          </cell>
          <cell r="X2379" t="str">
            <v>40520</v>
          </cell>
        </row>
        <row r="2380">
          <cell r="U2380">
            <v>36240523</v>
          </cell>
          <cell r="V2380" t="str">
            <v>36.2</v>
          </cell>
          <cell r="W2380" t="str">
            <v>ΑΜΠΕΛΩΝΕΣ ΓΙΑ ΠΑΡΑΓΩΓΗ ΟΙΝΟΥ</v>
          </cell>
          <cell r="X2380" t="str">
            <v>40523</v>
          </cell>
        </row>
        <row r="2381">
          <cell r="U2381">
            <v>36261037</v>
          </cell>
          <cell r="V2381" t="str">
            <v>36.2</v>
          </cell>
          <cell r="W2381" t="str">
            <v>ΑΜΠΕΛΩΝΕΣ ΓΙΑ ΠΑΡΑΓΩΓΗ ΟΙΝΟΥ</v>
          </cell>
          <cell r="X2381" t="str">
            <v>61037</v>
          </cell>
        </row>
        <row r="2382">
          <cell r="U2382">
            <v>36261262</v>
          </cell>
          <cell r="V2382" t="str">
            <v>36.2</v>
          </cell>
          <cell r="W2382" t="str">
            <v>ΑΜΠΕΛΩΝΕΣ ΓΙΑ ΠΑΡΑΓΩΓΗ ΟΙΝΟΥ</v>
          </cell>
          <cell r="X2382" t="str">
            <v>61262</v>
          </cell>
        </row>
        <row r="2383">
          <cell r="U2383">
            <v>36262303</v>
          </cell>
          <cell r="V2383" t="str">
            <v>36.2</v>
          </cell>
          <cell r="W2383" t="str">
            <v>ΑΜΠΕΛΩΝΕΣ ΓΙΑ ΠΑΡΑΓΩΓΗ ΟΙΝΟΥ</v>
          </cell>
          <cell r="X2383" t="str">
            <v>62303</v>
          </cell>
        </row>
        <row r="2384">
          <cell r="U2384">
            <v>36263347</v>
          </cell>
          <cell r="V2384" t="str">
            <v>36.2</v>
          </cell>
          <cell r="W2384" t="str">
            <v>ΑΜΠΕΛΩΝΕΣ ΓΙΑ ΠΑΡΑΓΩΓΗ ΟΙΝΟΥ</v>
          </cell>
          <cell r="X2384" t="str">
            <v>63347</v>
          </cell>
        </row>
        <row r="2385">
          <cell r="U2385">
            <v>36263348</v>
          </cell>
          <cell r="V2385" t="str">
            <v>36.2</v>
          </cell>
          <cell r="W2385" t="str">
            <v>ΑΜΠΕΛΩΝΕΣ ΓΙΑ ΠΑΡΑΓΩΓΗ ΟΙΝΟΥ</v>
          </cell>
          <cell r="X2385" t="str">
            <v>63348</v>
          </cell>
        </row>
        <row r="2386">
          <cell r="U2386">
            <v>36263349</v>
          </cell>
          <cell r="V2386" t="str">
            <v>36.2</v>
          </cell>
          <cell r="W2386" t="str">
            <v>ΑΜΠΕΛΩΝΕΣ ΓΙΑ ΠΑΡΑΓΩΓΗ ΟΙΝΟΥ</v>
          </cell>
          <cell r="X2386" t="str">
            <v>63349</v>
          </cell>
        </row>
        <row r="2387">
          <cell r="U2387">
            <v>36263350</v>
          </cell>
          <cell r="V2387" t="str">
            <v>36.2</v>
          </cell>
          <cell r="W2387" t="str">
            <v>ΑΜΠΕΛΩΝΕΣ ΓΙΑ ΠΑΡΑΓΩΓΗ ΟΙΝΟΥ</v>
          </cell>
          <cell r="X2387" t="str">
            <v>63350</v>
          </cell>
        </row>
        <row r="2388">
          <cell r="U2388">
            <v>36263351</v>
          </cell>
          <cell r="V2388" t="str">
            <v>36.2</v>
          </cell>
          <cell r="W2388" t="str">
            <v>ΑΜΠΕΛΩΝΕΣ ΓΙΑ ΠΑΡΑΓΩΓΗ ΟΙΝΟΥ</v>
          </cell>
          <cell r="X2388" t="str">
            <v>63351</v>
          </cell>
        </row>
        <row r="2389">
          <cell r="U2389">
            <v>36263353</v>
          </cell>
          <cell r="V2389" t="str">
            <v>36.2</v>
          </cell>
          <cell r="W2389" t="str">
            <v>ΑΜΠΕΛΩΝΕΣ ΓΙΑ ΠΑΡΑΓΩΓΗ ΟΙΝΟΥ</v>
          </cell>
          <cell r="X2389" t="str">
            <v>63353</v>
          </cell>
        </row>
        <row r="2390">
          <cell r="U2390">
            <v>36263354</v>
          </cell>
          <cell r="V2390" t="str">
            <v>36.2</v>
          </cell>
          <cell r="W2390" t="str">
            <v>ΑΜΠΕΛΩΝΕΣ ΓΙΑ ΠΑΡΑΓΩΓΗ ΟΙΝΟΥ</v>
          </cell>
          <cell r="X2390" t="str">
            <v>63354</v>
          </cell>
        </row>
        <row r="2391">
          <cell r="U2391">
            <v>36263355</v>
          </cell>
          <cell r="V2391" t="str">
            <v>36.2</v>
          </cell>
          <cell r="W2391" t="str">
            <v>ΑΜΠΕΛΩΝΕΣ ΓΙΑ ΠΑΡΑΓΩΓΗ ΟΙΝΟΥ</v>
          </cell>
          <cell r="X2391" t="str">
            <v>63355</v>
          </cell>
        </row>
        <row r="2392">
          <cell r="U2392">
            <v>36263357</v>
          </cell>
          <cell r="V2392" t="str">
            <v>36.2</v>
          </cell>
          <cell r="W2392" t="str">
            <v>ΑΜΠΕΛΩΝΕΣ ΓΙΑ ΠΑΡΑΓΩΓΗ ΟΙΝΟΥ</v>
          </cell>
          <cell r="X2392" t="str">
            <v>63357</v>
          </cell>
        </row>
        <row r="2393">
          <cell r="U2393">
            <v>36296007</v>
          </cell>
          <cell r="V2393" t="str">
            <v>36.2</v>
          </cell>
          <cell r="W2393" t="str">
            <v>ΑΜΠΕΛΩΝΕΣ ΓΙΑ ΠΑΡΑΓΩΓΗ ΟΙΝΟΥ</v>
          </cell>
          <cell r="X2393" t="str">
            <v>96007</v>
          </cell>
        </row>
        <row r="2394">
          <cell r="U2394">
            <v>36311063</v>
          </cell>
          <cell r="V2394" t="str">
            <v>36.3</v>
          </cell>
          <cell r="W2394" t="str">
            <v>ΑΜΠΕΛΩΝΕΣ ΓΙΑ ΕΠΙΤΡΑΠΕΖΙΑ ΧΡΗΣΗ</v>
          </cell>
          <cell r="X2394" t="str">
            <v>11063</v>
          </cell>
        </row>
        <row r="2395">
          <cell r="U2395">
            <v>36311085</v>
          </cell>
          <cell r="V2395" t="str">
            <v>36.3</v>
          </cell>
          <cell r="W2395" t="str">
            <v>ΑΜΠΕΛΩΝΕΣ ΓΙΑ ΕΠΙΤΡΑΠΕΖΙΑ ΧΡΗΣΗ</v>
          </cell>
          <cell r="X2395" t="str">
            <v>11085</v>
          </cell>
        </row>
        <row r="2396">
          <cell r="U2396">
            <v>36311086</v>
          </cell>
          <cell r="V2396" t="str">
            <v>36.3</v>
          </cell>
          <cell r="W2396" t="str">
            <v>ΑΜΠΕΛΩΝΕΣ ΓΙΑ ΕΠΙΤΡΑΠΕΖΙΑ ΧΡΗΣΗ</v>
          </cell>
          <cell r="X2396" t="str">
            <v>11086</v>
          </cell>
        </row>
        <row r="2397">
          <cell r="U2397">
            <v>36321246</v>
          </cell>
          <cell r="V2397" t="str">
            <v>36.3</v>
          </cell>
          <cell r="W2397" t="str">
            <v>ΑΜΠΕΛΩΝΕΣ ΓΙΑ ΕΠΙΤΡΑΠΕΖΙΑ ΧΡΗΣΗ</v>
          </cell>
          <cell r="X2397" t="str">
            <v>21246</v>
          </cell>
        </row>
        <row r="2398">
          <cell r="U2398">
            <v>36321247</v>
          </cell>
          <cell r="V2398" t="str">
            <v>36.3</v>
          </cell>
          <cell r="W2398" t="str">
            <v>ΑΜΠΕΛΩΝΕΣ ΓΙΑ ΕΠΙΤΡΑΠΕΖΙΑ ΧΡΗΣΗ</v>
          </cell>
          <cell r="X2398" t="str">
            <v>21247</v>
          </cell>
        </row>
        <row r="2399">
          <cell r="U2399">
            <v>36321248</v>
          </cell>
          <cell r="V2399" t="str">
            <v>36.3</v>
          </cell>
          <cell r="W2399" t="str">
            <v>ΑΜΠΕΛΩΝΕΣ ΓΙΑ ΕΠΙΤΡΑΠΕΖΙΑ ΧΡΗΣΗ</v>
          </cell>
          <cell r="X2399" t="str">
            <v>21248</v>
          </cell>
        </row>
        <row r="2400">
          <cell r="U2400">
            <v>36321250</v>
          </cell>
          <cell r="V2400" t="str">
            <v>36.3</v>
          </cell>
          <cell r="W2400" t="str">
            <v>ΑΜΠΕΛΩΝΕΣ ΓΙΑ ΕΠΙΤΡΑΠΕΖΙΑ ΧΡΗΣΗ</v>
          </cell>
          <cell r="X2400" t="str">
            <v>21250</v>
          </cell>
        </row>
        <row r="2401">
          <cell r="U2401">
            <v>36321251</v>
          </cell>
          <cell r="V2401" t="str">
            <v>36.3</v>
          </cell>
          <cell r="W2401" t="str">
            <v>ΑΜΠΕΛΩΝΕΣ ΓΙΑ ΕΠΙΤΡΑΠΕΖΙΑ ΧΡΗΣΗ</v>
          </cell>
          <cell r="X2401" t="str">
            <v>21251</v>
          </cell>
        </row>
        <row r="2402">
          <cell r="U2402">
            <v>36321252</v>
          </cell>
          <cell r="V2402" t="str">
            <v>36.3</v>
          </cell>
          <cell r="W2402" t="str">
            <v>ΑΜΠΕΛΩΝΕΣ ΓΙΑ ΕΠΙΤΡΑΠΕΖΙΑ ΧΡΗΣΗ</v>
          </cell>
          <cell r="X2402" t="str">
            <v>21252</v>
          </cell>
        </row>
        <row r="2403">
          <cell r="U2403">
            <v>36321253</v>
          </cell>
          <cell r="V2403" t="str">
            <v>36.3</v>
          </cell>
          <cell r="W2403" t="str">
            <v>ΑΜΠΕΛΩΝΕΣ ΓΙΑ ΕΠΙΤΡΑΠΕΖΙΑ ΧΡΗΣΗ</v>
          </cell>
          <cell r="X2403" t="str">
            <v>21253</v>
          </cell>
        </row>
        <row r="2404">
          <cell r="U2404">
            <v>36321254</v>
          </cell>
          <cell r="V2404" t="str">
            <v>36.3</v>
          </cell>
          <cell r="W2404" t="str">
            <v>ΑΜΠΕΛΩΝΕΣ ΓΙΑ ΕΠΙΤΡΑΠΕΖΙΑ ΧΡΗΣΗ</v>
          </cell>
          <cell r="X2404" t="str">
            <v>21254</v>
          </cell>
        </row>
        <row r="2405">
          <cell r="U2405">
            <v>36321255</v>
          </cell>
          <cell r="V2405" t="str">
            <v>36.3</v>
          </cell>
          <cell r="W2405" t="str">
            <v>ΑΜΠΕΛΩΝΕΣ ΓΙΑ ΕΠΙΤΡΑΠΕΖΙΑ ΧΡΗΣΗ</v>
          </cell>
          <cell r="X2405" t="str">
            <v>21255</v>
          </cell>
        </row>
        <row r="2406">
          <cell r="U2406">
            <v>36321256</v>
          </cell>
          <cell r="V2406" t="str">
            <v>36.3</v>
          </cell>
          <cell r="W2406" t="str">
            <v>ΑΜΠΕΛΩΝΕΣ ΓΙΑ ΕΠΙΤΡΑΠΕΖΙΑ ΧΡΗΣΗ</v>
          </cell>
          <cell r="X2406" t="str">
            <v>21256</v>
          </cell>
        </row>
        <row r="2407">
          <cell r="U2407">
            <v>36321257</v>
          </cell>
          <cell r="V2407" t="str">
            <v>36.3</v>
          </cell>
          <cell r="W2407" t="str">
            <v>ΑΜΠΕΛΩΝΕΣ ΓΙΑ ΕΠΙΤΡΑΠΕΖΙΑ ΧΡΗΣΗ</v>
          </cell>
          <cell r="X2407" t="str">
            <v>21257</v>
          </cell>
        </row>
        <row r="2408">
          <cell r="U2408">
            <v>36321258</v>
          </cell>
          <cell r="V2408" t="str">
            <v>36.3</v>
          </cell>
          <cell r="W2408" t="str">
            <v>ΑΜΠΕΛΩΝΕΣ ΓΙΑ ΕΠΙΤΡΑΠΕΖΙΑ ΧΡΗΣΗ</v>
          </cell>
          <cell r="X2408" t="str">
            <v>21258</v>
          </cell>
        </row>
        <row r="2409">
          <cell r="U2409">
            <v>36321259</v>
          </cell>
          <cell r="V2409" t="str">
            <v>36.3</v>
          </cell>
          <cell r="W2409" t="str">
            <v>ΑΜΠΕΛΩΝΕΣ ΓΙΑ ΕΠΙΤΡΑΠΕΖΙΑ ΧΡΗΣΗ</v>
          </cell>
          <cell r="X2409" t="str">
            <v>21259</v>
          </cell>
        </row>
        <row r="2410">
          <cell r="U2410">
            <v>36321260</v>
          </cell>
          <cell r="V2410" t="str">
            <v>36.3</v>
          </cell>
          <cell r="W2410" t="str">
            <v>ΑΜΠΕΛΩΝΕΣ ΓΙΑ ΕΠΙΤΡΑΠΕΖΙΑ ΧΡΗΣΗ</v>
          </cell>
          <cell r="X2410" t="str">
            <v>21260</v>
          </cell>
        </row>
        <row r="2411">
          <cell r="U2411">
            <v>36321261</v>
          </cell>
          <cell r="V2411" t="str">
            <v>36.3</v>
          </cell>
          <cell r="W2411" t="str">
            <v>ΑΜΠΕΛΩΝΕΣ ΓΙΑ ΕΠΙΤΡΑΠΕΖΙΑ ΧΡΗΣΗ</v>
          </cell>
          <cell r="X2411" t="str">
            <v>21261</v>
          </cell>
        </row>
        <row r="2412">
          <cell r="U2412">
            <v>36321262</v>
          </cell>
          <cell r="V2412" t="str">
            <v>36.3</v>
          </cell>
          <cell r="W2412" t="str">
            <v>ΑΜΠΕΛΩΝΕΣ ΓΙΑ ΕΠΙΤΡΑΠΕΖΙΑ ΧΡΗΣΗ</v>
          </cell>
          <cell r="X2412" t="str">
            <v>21262</v>
          </cell>
        </row>
        <row r="2413">
          <cell r="U2413">
            <v>36321263</v>
          </cell>
          <cell r="V2413" t="str">
            <v>36.3</v>
          </cell>
          <cell r="W2413" t="str">
            <v>ΑΜΠΕΛΩΝΕΣ ΓΙΑ ΕΠΙΤΡΑΠΕΖΙΑ ΧΡΗΣΗ</v>
          </cell>
          <cell r="X2413" t="str">
            <v>21263</v>
          </cell>
        </row>
        <row r="2414">
          <cell r="U2414">
            <v>36321265</v>
          </cell>
          <cell r="V2414" t="str">
            <v>36.3</v>
          </cell>
          <cell r="W2414" t="str">
            <v>ΑΜΠΕΛΩΝΕΣ ΓΙΑ ΕΠΙΤΡΑΠΕΖΙΑ ΧΡΗΣΗ</v>
          </cell>
          <cell r="X2414" t="str">
            <v>21265</v>
          </cell>
        </row>
        <row r="2415">
          <cell r="U2415">
            <v>36321266</v>
          </cell>
          <cell r="V2415" t="str">
            <v>36.3</v>
          </cell>
          <cell r="W2415" t="str">
            <v>ΑΜΠΕΛΩΝΕΣ ΓΙΑ ΕΠΙΤΡΑΠΕΖΙΑ ΧΡΗΣΗ</v>
          </cell>
          <cell r="X2415" t="str">
            <v>21266</v>
          </cell>
        </row>
        <row r="2416">
          <cell r="U2416">
            <v>36321268</v>
          </cell>
          <cell r="V2416" t="str">
            <v>36.3</v>
          </cell>
          <cell r="W2416" t="str">
            <v>ΑΜΠΕΛΩΝΕΣ ΓΙΑ ΕΠΙΤΡΑΠΕΖΙΑ ΧΡΗΣΗ</v>
          </cell>
          <cell r="X2416" t="str">
            <v>21268</v>
          </cell>
        </row>
        <row r="2417">
          <cell r="U2417">
            <v>36321269</v>
          </cell>
          <cell r="V2417" t="str">
            <v>36.3</v>
          </cell>
          <cell r="W2417" t="str">
            <v>ΑΜΠΕΛΩΝΕΣ ΓΙΑ ΕΠΙΤΡΑΠΕΖΙΑ ΧΡΗΣΗ</v>
          </cell>
          <cell r="X2417" t="str">
            <v>21269</v>
          </cell>
        </row>
        <row r="2418">
          <cell r="U2418">
            <v>36321270</v>
          </cell>
          <cell r="V2418" t="str">
            <v>36.3</v>
          </cell>
          <cell r="W2418" t="str">
            <v>ΑΜΠΕΛΩΝΕΣ ΓΙΑ ΕΠΙΤΡΑΠΕΖΙΑ ΧΡΗΣΗ</v>
          </cell>
          <cell r="X2418" t="str">
            <v>21270</v>
          </cell>
        </row>
        <row r="2419">
          <cell r="U2419">
            <v>36321271</v>
          </cell>
          <cell r="V2419" t="str">
            <v>36.3</v>
          </cell>
          <cell r="W2419" t="str">
            <v>ΑΜΠΕΛΩΝΕΣ ΓΙΑ ΕΠΙΤΡΑΠΕΖΙΑ ΧΡΗΣΗ</v>
          </cell>
          <cell r="X2419" t="str">
            <v>21271</v>
          </cell>
        </row>
        <row r="2420">
          <cell r="U2420">
            <v>36321272</v>
          </cell>
          <cell r="V2420" t="str">
            <v>36.3</v>
          </cell>
          <cell r="W2420" t="str">
            <v>ΑΜΠΕΛΩΝΕΣ ΓΙΑ ΕΠΙΤΡΑΠΕΖΙΑ ΧΡΗΣΗ</v>
          </cell>
          <cell r="X2420" t="str">
            <v>21272</v>
          </cell>
        </row>
        <row r="2421">
          <cell r="U2421">
            <v>36321274</v>
          </cell>
          <cell r="V2421" t="str">
            <v>36.3</v>
          </cell>
          <cell r="W2421" t="str">
            <v>ΑΜΠΕΛΩΝΕΣ ΓΙΑ ΕΠΙΤΡΑΠΕΖΙΑ ΧΡΗΣΗ</v>
          </cell>
          <cell r="X2421" t="str">
            <v>21274</v>
          </cell>
        </row>
        <row r="2422">
          <cell r="U2422">
            <v>36321278</v>
          </cell>
          <cell r="V2422" t="str">
            <v>36.3</v>
          </cell>
          <cell r="W2422" t="str">
            <v>ΑΜΠΕΛΩΝΕΣ ΓΙΑ ΕΠΙΤΡΑΠΕΖΙΑ ΧΡΗΣΗ</v>
          </cell>
          <cell r="X2422" t="str">
            <v>21278</v>
          </cell>
        </row>
        <row r="2423">
          <cell r="U2423">
            <v>36322246</v>
          </cell>
          <cell r="V2423" t="str">
            <v>36.3</v>
          </cell>
          <cell r="W2423" t="str">
            <v>ΑΜΠΕΛΩΝΕΣ ΓΙΑ ΕΠΙΤΡΑΠΕΖΙΑ ΧΡΗΣΗ</v>
          </cell>
          <cell r="X2423" t="str">
            <v>22246</v>
          </cell>
        </row>
        <row r="2424">
          <cell r="U2424">
            <v>36322247</v>
          </cell>
          <cell r="V2424" t="str">
            <v>36.3</v>
          </cell>
          <cell r="W2424" t="str">
            <v>ΑΜΠΕΛΩΝΕΣ ΓΙΑ ΕΠΙΤΡΑΠΕΖΙΑ ΧΡΗΣΗ</v>
          </cell>
          <cell r="X2424" t="str">
            <v>22247</v>
          </cell>
        </row>
        <row r="2425">
          <cell r="U2425">
            <v>36322300</v>
          </cell>
          <cell r="V2425" t="str">
            <v>36.3</v>
          </cell>
          <cell r="W2425" t="str">
            <v>ΑΜΠΕΛΩΝΕΣ ΓΙΑ ΕΠΙΤΡΑΠΕΖΙΑ ΧΡΗΣΗ</v>
          </cell>
          <cell r="X2425" t="str">
            <v>22300</v>
          </cell>
        </row>
        <row r="2426">
          <cell r="U2426">
            <v>36322301</v>
          </cell>
          <cell r="V2426" t="str">
            <v>36.3</v>
          </cell>
          <cell r="W2426" t="str">
            <v>ΑΜΠΕΛΩΝΕΣ ΓΙΑ ΕΠΙΤΡΑΠΕΖΙΑ ΧΡΗΣΗ</v>
          </cell>
          <cell r="X2426" t="str">
            <v>22301</v>
          </cell>
        </row>
        <row r="2427">
          <cell r="U2427">
            <v>36322302</v>
          </cell>
          <cell r="V2427" t="str">
            <v>36.3</v>
          </cell>
          <cell r="W2427" t="str">
            <v>ΑΜΠΕΛΩΝΕΣ ΓΙΑ ΕΠΙΤΡΑΠΕΖΙΑ ΧΡΗΣΗ</v>
          </cell>
          <cell r="X2427" t="str">
            <v>22302</v>
          </cell>
        </row>
        <row r="2428">
          <cell r="U2428">
            <v>36322303</v>
          </cell>
          <cell r="V2428" t="str">
            <v>36.3</v>
          </cell>
          <cell r="W2428" t="str">
            <v>ΑΜΠΕΛΩΝΕΣ ΓΙΑ ΕΠΙΤΡΑΠΕΖΙΑ ΧΡΗΣΗ</v>
          </cell>
          <cell r="X2428" t="str">
            <v>22303</v>
          </cell>
        </row>
        <row r="2429">
          <cell r="U2429">
            <v>36322304</v>
          </cell>
          <cell r="V2429" t="str">
            <v>36.3</v>
          </cell>
          <cell r="W2429" t="str">
            <v>ΑΜΠΕΛΩΝΕΣ ΓΙΑ ΕΠΙΤΡΑΠΕΖΙΑ ΧΡΗΣΗ</v>
          </cell>
          <cell r="X2429" t="str">
            <v>22304</v>
          </cell>
        </row>
        <row r="2430">
          <cell r="U2430">
            <v>36322306</v>
          </cell>
          <cell r="V2430" t="str">
            <v>36.3</v>
          </cell>
          <cell r="W2430" t="str">
            <v>ΑΜΠΕΛΩΝΕΣ ΓΙΑ ΕΠΙΤΡΑΠΕΖΙΑ ΧΡΗΣΗ</v>
          </cell>
          <cell r="X2430" t="str">
            <v>22306</v>
          </cell>
        </row>
        <row r="2431">
          <cell r="U2431">
            <v>36322307</v>
          </cell>
          <cell r="V2431" t="str">
            <v>36.3</v>
          </cell>
          <cell r="W2431" t="str">
            <v>ΑΜΠΕΛΩΝΕΣ ΓΙΑ ΕΠΙΤΡΑΠΕΖΙΑ ΧΡΗΣΗ</v>
          </cell>
          <cell r="X2431" t="str">
            <v>22307</v>
          </cell>
        </row>
        <row r="2432">
          <cell r="U2432">
            <v>36322308</v>
          </cell>
          <cell r="V2432" t="str">
            <v>36.3</v>
          </cell>
          <cell r="W2432" t="str">
            <v>ΑΜΠΕΛΩΝΕΣ ΓΙΑ ΕΠΙΤΡΑΠΕΖΙΑ ΧΡΗΣΗ</v>
          </cell>
          <cell r="X2432" t="str">
            <v>22308</v>
          </cell>
        </row>
        <row r="2433">
          <cell r="U2433">
            <v>36323350</v>
          </cell>
          <cell r="V2433" t="str">
            <v>36.3</v>
          </cell>
          <cell r="W2433" t="str">
            <v>ΑΜΠΕΛΩΝΕΣ ΓΙΑ ΕΠΙΤΡΑΠΕΖΙΑ ΧΡΗΣΗ</v>
          </cell>
          <cell r="X2433" t="str">
            <v>23350</v>
          </cell>
        </row>
        <row r="2434">
          <cell r="U2434">
            <v>36323351</v>
          </cell>
          <cell r="V2434" t="str">
            <v>36.3</v>
          </cell>
          <cell r="W2434" t="str">
            <v>ΑΜΠΕΛΩΝΕΣ ΓΙΑ ΕΠΙΤΡΑΠΕΖΙΑ ΧΡΗΣΗ</v>
          </cell>
          <cell r="X2434" t="str">
            <v>23351</v>
          </cell>
        </row>
        <row r="2435">
          <cell r="U2435">
            <v>36323352</v>
          </cell>
          <cell r="V2435" t="str">
            <v>36.3</v>
          </cell>
          <cell r="W2435" t="str">
            <v>ΑΜΠΕΛΩΝΕΣ ΓΙΑ ΕΠΙΤΡΑΠΕΖΙΑ ΧΡΗΣΗ</v>
          </cell>
          <cell r="X2435" t="str">
            <v>23352</v>
          </cell>
        </row>
        <row r="2436">
          <cell r="U2436">
            <v>36323353</v>
          </cell>
          <cell r="V2436" t="str">
            <v>36.3</v>
          </cell>
          <cell r="W2436" t="str">
            <v>ΑΜΠΕΛΩΝΕΣ ΓΙΑ ΕΠΙΤΡΑΠΕΖΙΑ ΧΡΗΣΗ</v>
          </cell>
          <cell r="X2436" t="str">
            <v>23353</v>
          </cell>
        </row>
        <row r="2437">
          <cell r="U2437">
            <v>36323356</v>
          </cell>
          <cell r="V2437" t="str">
            <v>36.3</v>
          </cell>
          <cell r="W2437" t="str">
            <v>ΑΜΠΕΛΩΝΕΣ ΓΙΑ ΕΠΙΤΡΑΠΕΖΙΑ ΧΡΗΣΗ</v>
          </cell>
          <cell r="X2437" t="str">
            <v>23356</v>
          </cell>
        </row>
        <row r="2438">
          <cell r="U2438">
            <v>39102120</v>
          </cell>
          <cell r="V2438" t="str">
            <v>39</v>
          </cell>
          <cell r="W2438" t="str">
            <v>ΚΗΠΕΥΤΙΚΑ ΥΠΟ ΚΑΛΥΨΗ</v>
          </cell>
          <cell r="X2438" t="str">
            <v>102120</v>
          </cell>
        </row>
        <row r="2439">
          <cell r="U2439">
            <v>39102122</v>
          </cell>
          <cell r="V2439" t="str">
            <v>39</v>
          </cell>
          <cell r="W2439" t="str">
            <v>ΚΗΠΕΥΤΙΚΑ ΥΠΟ ΚΑΛΥΨΗ</v>
          </cell>
          <cell r="X2439" t="str">
            <v>102122</v>
          </cell>
        </row>
        <row r="2440">
          <cell r="U2440">
            <v>39107001</v>
          </cell>
          <cell r="V2440" t="str">
            <v>39</v>
          </cell>
          <cell r="W2440" t="str">
            <v>ΚΗΠΕΥΤΙΚΑ ΥΠΟ ΚΑΛΥΨΗ</v>
          </cell>
          <cell r="X2440" t="str">
            <v>107001</v>
          </cell>
        </row>
        <row r="2441">
          <cell r="U2441">
            <v>45145101</v>
          </cell>
          <cell r="V2441" t="str">
            <v>45.1</v>
          </cell>
          <cell r="W2441" t="str">
            <v>ΛΟΙΠΕΣ ΚΑΛΛΙΕΡΓΕΙΕΣ</v>
          </cell>
          <cell r="X2441" t="str">
            <v>45101</v>
          </cell>
        </row>
        <row r="2442">
          <cell r="U2442">
            <v>45145102</v>
          </cell>
          <cell r="V2442" t="str">
            <v>45.1</v>
          </cell>
          <cell r="W2442" t="str">
            <v>ΛΟΙΠΕΣ ΚΑΛΛΙΕΡΓΕΙΕΣ</v>
          </cell>
          <cell r="X2442" t="str">
            <v>45102</v>
          </cell>
        </row>
        <row r="2443">
          <cell r="U2443">
            <v>45145103</v>
          </cell>
          <cell r="V2443" t="str">
            <v>45.1</v>
          </cell>
          <cell r="W2443" t="str">
            <v>ΛΟΙΠΕΣ ΚΑΛΛΙΕΡΓΕΙΕΣ</v>
          </cell>
          <cell r="X2443" t="str">
            <v>45103</v>
          </cell>
        </row>
        <row r="2444">
          <cell r="U2444">
            <v>45198206</v>
          </cell>
          <cell r="V2444" t="str">
            <v>45.1</v>
          </cell>
          <cell r="W2444" t="str">
            <v>ΛΟΙΠΕΣ ΚΑΛΛΙΕΡΓΕΙΕΣ</v>
          </cell>
          <cell r="X2444" t="str">
            <v>98206</v>
          </cell>
        </row>
        <row r="2445">
          <cell r="U2445">
            <v>45210851</v>
          </cell>
          <cell r="V2445" t="str">
            <v>45.2</v>
          </cell>
          <cell r="W2445" t="str">
            <v>ΛΟΙΠΕΣ ΔΕΝΔΡΩΔΕΙΣ ΚΑΛΛΙΕΡΓΕΙΕΣ</v>
          </cell>
          <cell r="X2445" t="str">
            <v>10851</v>
          </cell>
        </row>
        <row r="2446">
          <cell r="U2446">
            <v>45210907</v>
          </cell>
          <cell r="V2446" t="str">
            <v>45.2</v>
          </cell>
          <cell r="W2446" t="str">
            <v>ΛΟΙΠΕΣ ΔΕΝΔΡΩΔΕΙΣ ΚΑΛΛΙΕΡΓΕΙΕΣ</v>
          </cell>
          <cell r="X2446" t="str">
            <v>10907</v>
          </cell>
        </row>
        <row r="2447">
          <cell r="U2447">
            <v>45210908</v>
          </cell>
          <cell r="V2447" t="str">
            <v>45.2</v>
          </cell>
          <cell r="W2447" t="str">
            <v>ΛΟΙΠΕΣ ΔΕΝΔΡΩΔΕΙΣ ΚΑΛΛΙΕΡΓΕΙΕΣ</v>
          </cell>
          <cell r="X2447" t="str">
            <v>10908</v>
          </cell>
        </row>
        <row r="2448">
          <cell r="U2448">
            <v>45214034</v>
          </cell>
          <cell r="V2448" t="str">
            <v>45.2</v>
          </cell>
          <cell r="W2448" t="str">
            <v>ΛΟΙΠΕΣ ΔΕΝΔΡΩΔΕΙΣ ΚΑΛΛΙΕΡΓΕΙΕΣ</v>
          </cell>
          <cell r="X2448" t="str">
            <v>14034</v>
          </cell>
        </row>
        <row r="2449">
          <cell r="U2449">
            <v>45214035</v>
          </cell>
          <cell r="V2449" t="str">
            <v>45.2</v>
          </cell>
          <cell r="W2449" t="str">
            <v>ΛΟΙΠΕΣ ΔΕΝΔΡΩΔΕΙΣ ΚΑΛΛΙΕΡΓΕΙΕΣ</v>
          </cell>
          <cell r="X2449" t="str">
            <v>14035</v>
          </cell>
        </row>
        <row r="2450">
          <cell r="U2450">
            <v>45214052</v>
          </cell>
          <cell r="V2450" t="str">
            <v>45.2</v>
          </cell>
          <cell r="W2450" t="str">
            <v>ΛΟΙΠΕΣ ΔΕΝΔΡΩΔΕΙΣ ΚΑΛΛΙΕΡΓΕΙΕΣ</v>
          </cell>
          <cell r="X2450" t="str">
            <v>14052</v>
          </cell>
        </row>
        <row r="2451">
          <cell r="U2451">
            <v>45214053</v>
          </cell>
          <cell r="V2451" t="str">
            <v>45.2</v>
          </cell>
          <cell r="W2451" t="str">
            <v>ΛΟΙΠΕΣ ΔΕΝΔΡΩΔΕΙΣ ΚΑΛΛΙΕΡΓΕΙΕΣ</v>
          </cell>
          <cell r="X2451" t="str">
            <v>14053</v>
          </cell>
        </row>
        <row r="2452">
          <cell r="U2452">
            <v>45245201</v>
          </cell>
          <cell r="V2452" t="str">
            <v>45.2</v>
          </cell>
          <cell r="W2452" t="str">
            <v>ΛΟΙΠΕΣ ΔΕΝΔΡΩΔΕΙΣ ΚΑΛΛΙΕΡΓΕΙΕΣ</v>
          </cell>
          <cell r="X2452" t="str">
            <v>45201</v>
          </cell>
        </row>
        <row r="2453">
          <cell r="U2453">
            <v>45245202</v>
          </cell>
          <cell r="V2453" t="str">
            <v>45.2</v>
          </cell>
          <cell r="W2453" t="str">
            <v>ΛΟΙΠΕΣ ΔΕΝΔΡΩΔΕΙΣ ΚΑΛΛΙΕΡΓΕΙΕΣ</v>
          </cell>
          <cell r="X2453" t="str">
            <v>45202</v>
          </cell>
        </row>
        <row r="2454">
          <cell r="U2454">
            <v>45245203</v>
          </cell>
          <cell r="V2454" t="str">
            <v>45.2</v>
          </cell>
          <cell r="W2454" t="str">
            <v>ΛΟΙΠΕΣ ΔΕΝΔΡΩΔΕΙΣ ΚΑΛΛΙΕΡΓΕΙΕΣ</v>
          </cell>
          <cell r="X2454" t="str">
            <v>45203</v>
          </cell>
        </row>
        <row r="2455">
          <cell r="U2455">
            <v>45245204</v>
          </cell>
          <cell r="V2455" t="str">
            <v>45.2</v>
          </cell>
          <cell r="W2455" t="str">
            <v>ΛΟΙΠΕΣ ΔΕΝΔΡΩΔΕΙΣ ΚΑΛΛΙΕΡΓΕΙΕΣ</v>
          </cell>
          <cell r="X2455" t="str">
            <v>45204</v>
          </cell>
        </row>
        <row r="2456">
          <cell r="U2456">
            <v>45245205</v>
          </cell>
          <cell r="V2456" t="str">
            <v>45.2</v>
          </cell>
          <cell r="W2456" t="str">
            <v>ΛΟΙΠΕΣ ΔΕΝΔΡΩΔΕΙΣ ΚΑΛΛΙΕΡΓΕΙΕΣ</v>
          </cell>
          <cell r="X2456" t="str">
            <v>45205</v>
          </cell>
        </row>
        <row r="2457">
          <cell r="U2457">
            <v>45245206</v>
          </cell>
          <cell r="V2457" t="str">
            <v>45.2</v>
          </cell>
          <cell r="W2457" t="str">
            <v>ΛΟΙΠΕΣ ΔΕΝΔΡΩΔΕΙΣ ΚΑΛΛΙΕΡΓΕΙΕΣ</v>
          </cell>
          <cell r="X2457" t="str">
            <v>45206</v>
          </cell>
        </row>
        <row r="2458">
          <cell r="U2458">
            <v>45245207</v>
          </cell>
          <cell r="V2458" t="str">
            <v>45.2</v>
          </cell>
          <cell r="W2458" t="str">
            <v>ΛΟΙΠΕΣ ΔΕΝΔΡΩΔΕΙΣ ΚΑΛΛΙΕΡΓΕΙΕΣ</v>
          </cell>
          <cell r="X2458" t="str">
            <v>45207</v>
          </cell>
        </row>
        <row r="2459">
          <cell r="U2459">
            <v>45298503</v>
          </cell>
          <cell r="V2459" t="str">
            <v>45.2</v>
          </cell>
          <cell r="W2459" t="str">
            <v>ΛΟΙΠΕΣ ΔΕΝΔΡΩΔΕΙΣ ΚΑΛΛΙΕΡΓΕΙΕΣ</v>
          </cell>
          <cell r="X2459" t="str">
            <v>98503</v>
          </cell>
        </row>
        <row r="2460">
          <cell r="U2460">
            <v>89109066</v>
          </cell>
          <cell r="V2460" t="str">
            <v>8</v>
          </cell>
          <cell r="W2460" t="str">
            <v>ΚΤΗΝΟΤΡΟΦΙΚΑ ΦΥΤΑ ΓΙΑ ΖΩΟΤΡΟΦΕΣ</v>
          </cell>
          <cell r="X2460" t="str">
            <v>9109066</v>
          </cell>
        </row>
        <row r="2461">
          <cell r="U2461">
            <v>151000153</v>
          </cell>
          <cell r="V2461" t="str">
            <v>15</v>
          </cell>
          <cell r="W2461" t="str">
            <v>ΕΛΑΙΩΝΕΣ</v>
          </cell>
          <cell r="X2461" t="str">
            <v>1000153</v>
          </cell>
        </row>
        <row r="2462">
          <cell r="U2462">
            <v>151000154</v>
          </cell>
          <cell r="V2462" t="str">
            <v>15</v>
          </cell>
          <cell r="W2462" t="str">
            <v>ΕΛΑΙΩΝΕΣ</v>
          </cell>
          <cell r="X2462" t="str">
            <v>1000154</v>
          </cell>
        </row>
        <row r="2463">
          <cell r="U2463">
            <v>151000155</v>
          </cell>
          <cell r="V2463" t="str">
            <v>15</v>
          </cell>
          <cell r="W2463" t="str">
            <v>ΕΛΑΙΩΝΕΣ</v>
          </cell>
          <cell r="X2463" t="str">
            <v>1000155</v>
          </cell>
        </row>
        <row r="2464">
          <cell r="U2464">
            <v>151000156</v>
          </cell>
          <cell r="V2464" t="str">
            <v>15</v>
          </cell>
          <cell r="W2464" t="str">
            <v>ΕΛΑΙΩΝΕΣ</v>
          </cell>
          <cell r="X2464" t="str">
            <v>1000156</v>
          </cell>
        </row>
        <row r="2465">
          <cell r="U2465">
            <v>151000157</v>
          </cell>
          <cell r="V2465" t="str">
            <v>15</v>
          </cell>
          <cell r="W2465" t="str">
            <v>ΕΛΑΙΩΝΕΣ</v>
          </cell>
          <cell r="X2465" t="str">
            <v>1000157</v>
          </cell>
        </row>
        <row r="2466">
          <cell r="U2466">
            <v>151000158</v>
          </cell>
          <cell r="V2466" t="str">
            <v>15</v>
          </cell>
          <cell r="W2466" t="str">
            <v>ΕΛΑΙΩΝΕΣ</v>
          </cell>
          <cell r="X2466" t="str">
            <v>1000158</v>
          </cell>
        </row>
        <row r="2467">
          <cell r="U2467">
            <v>151000159</v>
          </cell>
          <cell r="V2467" t="str">
            <v>15</v>
          </cell>
          <cell r="W2467" t="str">
            <v>ΕΛΑΙΩΝΕΣ</v>
          </cell>
          <cell r="X2467" t="str">
            <v>1000159</v>
          </cell>
        </row>
        <row r="2468">
          <cell r="U2468">
            <v>151000160</v>
          </cell>
          <cell r="V2468" t="str">
            <v>15</v>
          </cell>
          <cell r="W2468" t="str">
            <v>ΕΛΑΙΩΝΕΣ</v>
          </cell>
          <cell r="X2468" t="str">
            <v>1000160</v>
          </cell>
        </row>
        <row r="2469">
          <cell r="U2469">
            <v>151000161</v>
          </cell>
          <cell r="V2469" t="str">
            <v>15</v>
          </cell>
          <cell r="W2469" t="str">
            <v>ΕΛΑΙΩΝΕΣ</v>
          </cell>
          <cell r="X2469" t="str">
            <v>1000161</v>
          </cell>
        </row>
        <row r="2470">
          <cell r="U2470">
            <v>151000162</v>
          </cell>
          <cell r="V2470" t="str">
            <v>15</v>
          </cell>
          <cell r="W2470" t="str">
            <v>ΕΛΑΙΩΝΕΣ</v>
          </cell>
          <cell r="X2470" t="str">
            <v>1000162</v>
          </cell>
        </row>
        <row r="2471">
          <cell r="U2471">
            <v>151000163</v>
          </cell>
          <cell r="V2471" t="str">
            <v>15</v>
          </cell>
          <cell r="W2471" t="str">
            <v>ΕΛΑΙΩΝΕΣ</v>
          </cell>
          <cell r="X2471" t="str">
            <v>1000163</v>
          </cell>
        </row>
        <row r="2472">
          <cell r="U2472">
            <v>151000164</v>
          </cell>
          <cell r="V2472" t="str">
            <v>15</v>
          </cell>
          <cell r="W2472" t="str">
            <v>ΕΛΑΙΩΝΕΣ</v>
          </cell>
          <cell r="X2472" t="str">
            <v>1000164</v>
          </cell>
        </row>
        <row r="2473">
          <cell r="U2473">
            <v>151000165</v>
          </cell>
          <cell r="V2473" t="str">
            <v>15</v>
          </cell>
          <cell r="W2473" t="str">
            <v>ΕΛΑΙΩΝΕΣ</v>
          </cell>
          <cell r="X2473" t="str">
            <v>1000165</v>
          </cell>
        </row>
        <row r="2474">
          <cell r="U2474">
            <v>151000166</v>
          </cell>
          <cell r="V2474" t="str">
            <v>15</v>
          </cell>
          <cell r="W2474" t="str">
            <v>ΕΛΑΙΩΝΕΣ</v>
          </cell>
          <cell r="X2474" t="str">
            <v>1000166</v>
          </cell>
        </row>
        <row r="2475">
          <cell r="U2475">
            <v>151000167</v>
          </cell>
          <cell r="V2475" t="str">
            <v>15</v>
          </cell>
          <cell r="W2475" t="str">
            <v>ΕΛΑΙΩΝΕΣ</v>
          </cell>
          <cell r="X2475" t="str">
            <v>1000167</v>
          </cell>
        </row>
        <row r="2476">
          <cell r="U2476">
            <v>151000168</v>
          </cell>
          <cell r="V2476" t="str">
            <v>15</v>
          </cell>
          <cell r="W2476" t="str">
            <v>ΕΛΑΙΩΝΕΣ</v>
          </cell>
          <cell r="X2476" t="str">
            <v>1000168</v>
          </cell>
        </row>
        <row r="2477">
          <cell r="U2477">
            <v>151000169</v>
          </cell>
          <cell r="V2477" t="str">
            <v>15</v>
          </cell>
          <cell r="W2477" t="str">
            <v>ΕΛΑΙΩΝΕΣ</v>
          </cell>
          <cell r="X2477" t="str">
            <v>1000169</v>
          </cell>
        </row>
        <row r="2478">
          <cell r="U2478">
            <v>151000170</v>
          </cell>
          <cell r="V2478" t="str">
            <v>15</v>
          </cell>
          <cell r="W2478" t="str">
            <v>ΕΛΑΙΩΝΕΣ</v>
          </cell>
          <cell r="X2478" t="str">
            <v>1000170</v>
          </cell>
        </row>
        <row r="2479">
          <cell r="U2479">
            <v>151000171</v>
          </cell>
          <cell r="V2479" t="str">
            <v>15</v>
          </cell>
          <cell r="W2479" t="str">
            <v>ΕΛΑΙΩΝΕΣ</v>
          </cell>
          <cell r="X2479" t="str">
            <v>1000171</v>
          </cell>
        </row>
        <row r="2480">
          <cell r="U2480">
            <v>151000172</v>
          </cell>
          <cell r="V2480" t="str">
            <v>15</v>
          </cell>
          <cell r="W2480" t="str">
            <v>ΕΛΑΙΩΝΕΣ</v>
          </cell>
          <cell r="X2480" t="str">
            <v>1000172</v>
          </cell>
        </row>
        <row r="2481">
          <cell r="U2481">
            <v>151000173</v>
          </cell>
          <cell r="V2481" t="str">
            <v>15</v>
          </cell>
          <cell r="W2481" t="str">
            <v>ΕΛΑΙΩΝΕΣ</v>
          </cell>
          <cell r="X2481" t="str">
            <v>1000173</v>
          </cell>
        </row>
        <row r="2482">
          <cell r="U2482">
            <v>151000174</v>
          </cell>
          <cell r="V2482" t="str">
            <v>15</v>
          </cell>
          <cell r="W2482" t="str">
            <v>ΕΛΑΙΩΝΕΣ</v>
          </cell>
          <cell r="X2482" t="str">
            <v>1000174</v>
          </cell>
        </row>
        <row r="2483">
          <cell r="U2483">
            <v>151000175</v>
          </cell>
          <cell r="V2483" t="str">
            <v>15</v>
          </cell>
          <cell r="W2483" t="str">
            <v>ΕΛΑΙΩΝΕΣ</v>
          </cell>
          <cell r="X2483" t="str">
            <v>1000175</v>
          </cell>
        </row>
        <row r="2484">
          <cell r="U2484">
            <v>151000176</v>
          </cell>
          <cell r="V2484" t="str">
            <v>15</v>
          </cell>
          <cell r="W2484" t="str">
            <v>ΕΛΑΙΩΝΕΣ</v>
          </cell>
          <cell r="X2484" t="str">
            <v>1000176</v>
          </cell>
        </row>
        <row r="2485">
          <cell r="U2485">
            <v>151000177</v>
          </cell>
          <cell r="V2485" t="str">
            <v>15</v>
          </cell>
          <cell r="W2485" t="str">
            <v>ΕΛΑΙΩΝΕΣ</v>
          </cell>
          <cell r="X2485" t="str">
            <v>1000177</v>
          </cell>
        </row>
        <row r="2486">
          <cell r="U2486">
            <v>151000178</v>
          </cell>
          <cell r="V2486" t="str">
            <v>15</v>
          </cell>
          <cell r="W2486" t="str">
            <v>ΕΛΑΙΩΝΕΣ</v>
          </cell>
          <cell r="X2486" t="str">
            <v>1000178</v>
          </cell>
        </row>
        <row r="2487">
          <cell r="U2487">
            <v>151000179</v>
          </cell>
          <cell r="V2487" t="str">
            <v>15</v>
          </cell>
          <cell r="W2487" t="str">
            <v>ΕΛΑΙΩΝΕΣ</v>
          </cell>
          <cell r="X2487" t="str">
            <v>1000179</v>
          </cell>
        </row>
        <row r="2488">
          <cell r="U2488">
            <v>151000180</v>
          </cell>
          <cell r="V2488" t="str">
            <v>15</v>
          </cell>
          <cell r="W2488" t="str">
            <v>ΕΛΑΙΩΝΕΣ</v>
          </cell>
          <cell r="X2488" t="str">
            <v>1000180</v>
          </cell>
        </row>
        <row r="2489">
          <cell r="U2489">
            <v>151000181</v>
          </cell>
          <cell r="V2489" t="str">
            <v>15</v>
          </cell>
          <cell r="W2489" t="str">
            <v>ΕΛΑΙΩΝΕΣ</v>
          </cell>
          <cell r="X2489" t="str">
            <v>1000181</v>
          </cell>
        </row>
        <row r="2490">
          <cell r="U2490">
            <v>151000182</v>
          </cell>
          <cell r="V2490" t="str">
            <v>15</v>
          </cell>
          <cell r="W2490" t="str">
            <v>ΕΛΑΙΩΝΕΣ</v>
          </cell>
          <cell r="X2490" t="str">
            <v>1000182</v>
          </cell>
        </row>
        <row r="2491">
          <cell r="U2491">
            <v>151000183</v>
          </cell>
          <cell r="V2491" t="str">
            <v>15</v>
          </cell>
          <cell r="W2491" t="str">
            <v>ΕΛΑΙΩΝΕΣ</v>
          </cell>
          <cell r="X2491" t="str">
            <v>1000183</v>
          </cell>
        </row>
        <row r="2492">
          <cell r="U2492">
            <v>151000184</v>
          </cell>
          <cell r="V2492" t="str">
            <v>15</v>
          </cell>
          <cell r="W2492" t="str">
            <v>ΕΛΑΙΩΝΕΣ</v>
          </cell>
          <cell r="X2492" t="str">
            <v>1000184</v>
          </cell>
        </row>
        <row r="2493">
          <cell r="U2493">
            <v>151000185</v>
          </cell>
          <cell r="V2493" t="str">
            <v>15</v>
          </cell>
          <cell r="W2493" t="str">
            <v>ΕΛΑΙΩΝΕΣ</v>
          </cell>
          <cell r="X2493" t="str">
            <v>1000185</v>
          </cell>
        </row>
        <row r="2494">
          <cell r="U2494">
            <v>151000186</v>
          </cell>
          <cell r="V2494" t="str">
            <v>15</v>
          </cell>
          <cell r="W2494" t="str">
            <v>ΕΛΑΙΩΝΕΣ</v>
          </cell>
          <cell r="X2494" t="str">
            <v>1000186</v>
          </cell>
        </row>
        <row r="2495">
          <cell r="U2495">
            <v>151000187</v>
          </cell>
          <cell r="V2495" t="str">
            <v>15</v>
          </cell>
          <cell r="W2495" t="str">
            <v>ΕΛΑΙΩΝΕΣ</v>
          </cell>
          <cell r="X2495" t="str">
            <v>1000187</v>
          </cell>
        </row>
        <row r="2496">
          <cell r="U2496">
            <v>151000188</v>
          </cell>
          <cell r="V2496" t="str">
            <v>15</v>
          </cell>
          <cell r="W2496" t="str">
            <v>ΕΛΑΙΩΝΕΣ</v>
          </cell>
          <cell r="X2496" t="str">
            <v>1000188</v>
          </cell>
        </row>
        <row r="2497">
          <cell r="U2497">
            <v>151000189</v>
          </cell>
          <cell r="V2497" t="str">
            <v>15</v>
          </cell>
          <cell r="W2497" t="str">
            <v>ΕΛΑΙΩΝΕΣ</v>
          </cell>
          <cell r="X2497" t="str">
            <v>1000189</v>
          </cell>
        </row>
        <row r="2498">
          <cell r="U2498">
            <v>151000190</v>
          </cell>
          <cell r="V2498" t="str">
            <v>15</v>
          </cell>
          <cell r="W2498" t="str">
            <v>ΕΛΑΙΩΝΕΣ</v>
          </cell>
          <cell r="X2498" t="str">
            <v>1000190</v>
          </cell>
        </row>
        <row r="2499">
          <cell r="U2499">
            <v>151000191</v>
          </cell>
          <cell r="V2499" t="str">
            <v>15</v>
          </cell>
          <cell r="W2499" t="str">
            <v>ΕΛΑΙΩΝΕΣ</v>
          </cell>
          <cell r="X2499" t="str">
            <v>1000191</v>
          </cell>
        </row>
        <row r="2500">
          <cell r="U2500">
            <v>151000192</v>
          </cell>
          <cell r="V2500" t="str">
            <v>15</v>
          </cell>
          <cell r="W2500" t="str">
            <v>ΕΛΑΙΩΝΕΣ</v>
          </cell>
          <cell r="X2500" t="str">
            <v>1000192</v>
          </cell>
        </row>
        <row r="2501">
          <cell r="U2501">
            <v>151000193</v>
          </cell>
          <cell r="V2501" t="str">
            <v>15</v>
          </cell>
          <cell r="W2501" t="str">
            <v>ΕΛΑΙΩΝΕΣ</v>
          </cell>
          <cell r="X2501" t="str">
            <v>1000193</v>
          </cell>
        </row>
        <row r="2502">
          <cell r="U2502">
            <v>151000194</v>
          </cell>
          <cell r="V2502" t="str">
            <v>15</v>
          </cell>
          <cell r="W2502" t="str">
            <v>ΕΛΑΙΩΝΕΣ</v>
          </cell>
          <cell r="X2502" t="str">
            <v>1000194</v>
          </cell>
        </row>
        <row r="2503">
          <cell r="U2503">
            <v>151000195</v>
          </cell>
          <cell r="V2503" t="str">
            <v>15</v>
          </cell>
          <cell r="W2503" t="str">
            <v>ΕΛΑΙΩΝΕΣ</v>
          </cell>
          <cell r="X2503" t="str">
            <v>1000195</v>
          </cell>
        </row>
        <row r="2504">
          <cell r="U2504">
            <v>151000196</v>
          </cell>
          <cell r="V2504" t="str">
            <v>15</v>
          </cell>
          <cell r="W2504" t="str">
            <v>ΕΛΑΙΩΝΕΣ</v>
          </cell>
          <cell r="X2504" t="str">
            <v>1000196</v>
          </cell>
        </row>
        <row r="2505">
          <cell r="U2505">
            <v>151000197</v>
          </cell>
          <cell r="V2505" t="str">
            <v>15</v>
          </cell>
          <cell r="W2505" t="str">
            <v>ΕΛΑΙΩΝΕΣ</v>
          </cell>
          <cell r="X2505" t="str">
            <v>1000197</v>
          </cell>
        </row>
        <row r="2506">
          <cell r="U2506">
            <v>151000198</v>
          </cell>
          <cell r="V2506" t="str">
            <v>15</v>
          </cell>
          <cell r="W2506" t="str">
            <v>ΕΛΑΙΩΝΕΣ</v>
          </cell>
          <cell r="X2506" t="str">
            <v>1000198</v>
          </cell>
        </row>
        <row r="2507">
          <cell r="U2507">
            <v>151000199</v>
          </cell>
          <cell r="V2507" t="str">
            <v>15</v>
          </cell>
          <cell r="W2507" t="str">
            <v>ΕΛΑΙΩΝΕΣ</v>
          </cell>
          <cell r="X2507" t="str">
            <v>1000199</v>
          </cell>
        </row>
        <row r="2508">
          <cell r="U2508">
            <v>151000200</v>
          </cell>
          <cell r="V2508" t="str">
            <v>15</v>
          </cell>
          <cell r="W2508" t="str">
            <v>ΕΛΑΙΩΝΕΣ</v>
          </cell>
          <cell r="X2508" t="str">
            <v>1000200</v>
          </cell>
        </row>
        <row r="2509">
          <cell r="U2509">
            <v>151000201</v>
          </cell>
          <cell r="V2509" t="str">
            <v>15</v>
          </cell>
          <cell r="W2509" t="str">
            <v>ΕΛΑΙΩΝΕΣ</v>
          </cell>
          <cell r="X2509" t="str">
            <v>1000201</v>
          </cell>
        </row>
        <row r="2510">
          <cell r="U2510">
            <v>151000202</v>
          </cell>
          <cell r="V2510" t="str">
            <v>15</v>
          </cell>
          <cell r="W2510" t="str">
            <v>ΕΛΑΙΩΝΕΣ</v>
          </cell>
          <cell r="X2510" t="str">
            <v>1000202</v>
          </cell>
        </row>
        <row r="2511">
          <cell r="U2511">
            <v>151000203</v>
          </cell>
          <cell r="V2511" t="str">
            <v>15</v>
          </cell>
          <cell r="W2511" t="str">
            <v>ΕΛΑΙΩΝΕΣ</v>
          </cell>
          <cell r="X2511" t="str">
            <v>1000203</v>
          </cell>
        </row>
        <row r="2512">
          <cell r="U2512">
            <v>151000204</v>
          </cell>
          <cell r="V2512" t="str">
            <v>15</v>
          </cell>
          <cell r="W2512" t="str">
            <v>ΕΛΑΙΩΝΕΣ</v>
          </cell>
          <cell r="X2512" t="str">
            <v>1000204</v>
          </cell>
        </row>
        <row r="2513">
          <cell r="U2513">
            <v>151000205</v>
          </cell>
          <cell r="V2513" t="str">
            <v>15</v>
          </cell>
          <cell r="W2513" t="str">
            <v>ΕΛΑΙΩΝΕΣ</v>
          </cell>
          <cell r="X2513" t="str">
            <v>1000205</v>
          </cell>
        </row>
        <row r="2514">
          <cell r="U2514">
            <v>151000206</v>
          </cell>
          <cell r="V2514" t="str">
            <v>15</v>
          </cell>
          <cell r="W2514" t="str">
            <v>ΕΛΑΙΩΝΕΣ</v>
          </cell>
          <cell r="X2514" t="str">
            <v>1000206</v>
          </cell>
        </row>
        <row r="2515">
          <cell r="U2515">
            <v>151000207</v>
          </cell>
          <cell r="V2515" t="str">
            <v>15</v>
          </cell>
          <cell r="W2515" t="str">
            <v>ΕΛΑΙΩΝΕΣ</v>
          </cell>
          <cell r="X2515" t="str">
            <v>1000207</v>
          </cell>
        </row>
        <row r="2516">
          <cell r="U2516">
            <v>151000208</v>
          </cell>
          <cell r="V2516" t="str">
            <v>15</v>
          </cell>
          <cell r="W2516" t="str">
            <v>ΕΛΑΙΩΝΕΣ</v>
          </cell>
          <cell r="X2516" t="str">
            <v>1000208</v>
          </cell>
        </row>
        <row r="2517">
          <cell r="U2517">
            <v>151000209</v>
          </cell>
          <cell r="V2517" t="str">
            <v>15</v>
          </cell>
          <cell r="W2517" t="str">
            <v>ΕΛΑΙΩΝΕΣ</v>
          </cell>
          <cell r="X2517" t="str">
            <v>1000209</v>
          </cell>
        </row>
        <row r="2518">
          <cell r="U2518">
            <v>151000210</v>
          </cell>
          <cell r="V2518" t="str">
            <v>15</v>
          </cell>
          <cell r="W2518" t="str">
            <v>ΕΛΑΙΩΝΕΣ</v>
          </cell>
          <cell r="X2518" t="str">
            <v>1000210</v>
          </cell>
        </row>
        <row r="2519">
          <cell r="U2519">
            <v>151000211</v>
          </cell>
          <cell r="V2519" t="str">
            <v>15</v>
          </cell>
          <cell r="W2519" t="str">
            <v>ΕΛΑΙΩΝΕΣ</v>
          </cell>
          <cell r="X2519" t="str">
            <v>1000211</v>
          </cell>
        </row>
        <row r="2520">
          <cell r="U2520">
            <v>151000212</v>
          </cell>
          <cell r="V2520" t="str">
            <v>15</v>
          </cell>
          <cell r="W2520" t="str">
            <v>ΕΛΑΙΩΝΕΣ</v>
          </cell>
          <cell r="X2520" t="str">
            <v>1000212</v>
          </cell>
        </row>
        <row r="2521">
          <cell r="U2521">
            <v>151000213</v>
          </cell>
          <cell r="V2521" t="str">
            <v>15</v>
          </cell>
          <cell r="W2521" t="str">
            <v>ΕΛΑΙΩΝΕΣ</v>
          </cell>
          <cell r="X2521" t="str">
            <v>1000213</v>
          </cell>
        </row>
        <row r="2522">
          <cell r="U2522">
            <v>151000214</v>
          </cell>
          <cell r="V2522" t="str">
            <v>15</v>
          </cell>
          <cell r="W2522" t="str">
            <v>ΕΛΑΙΩΝΕΣ</v>
          </cell>
          <cell r="X2522" t="str">
            <v>1000214</v>
          </cell>
        </row>
        <row r="2523">
          <cell r="U2523">
            <v>151000215</v>
          </cell>
          <cell r="V2523" t="str">
            <v>15</v>
          </cell>
          <cell r="W2523" t="str">
            <v>ΕΛΑΙΩΝΕΣ</v>
          </cell>
          <cell r="X2523" t="str">
            <v>1000215</v>
          </cell>
        </row>
        <row r="2524">
          <cell r="U2524">
            <v>151000216</v>
          </cell>
          <cell r="V2524" t="str">
            <v>15</v>
          </cell>
          <cell r="W2524" t="str">
            <v>ΕΛΑΙΩΝΕΣ</v>
          </cell>
          <cell r="X2524" t="str">
            <v>1000216</v>
          </cell>
        </row>
        <row r="2525">
          <cell r="U2525">
            <v>151000217</v>
          </cell>
          <cell r="V2525" t="str">
            <v>15</v>
          </cell>
          <cell r="W2525" t="str">
            <v>ΕΛΑΙΩΝΕΣ</v>
          </cell>
          <cell r="X2525" t="str">
            <v>1000217</v>
          </cell>
        </row>
        <row r="2526">
          <cell r="U2526">
            <v>151000218</v>
          </cell>
          <cell r="V2526" t="str">
            <v>15</v>
          </cell>
          <cell r="W2526" t="str">
            <v>ΕΛΑΙΩΝΕΣ</v>
          </cell>
          <cell r="X2526" t="str">
            <v>1000218</v>
          </cell>
        </row>
        <row r="2527">
          <cell r="U2527">
            <v>151000219</v>
          </cell>
          <cell r="V2527" t="str">
            <v>15</v>
          </cell>
          <cell r="W2527" t="str">
            <v>ΕΛΑΙΩΝΕΣ</v>
          </cell>
          <cell r="X2527" t="str">
            <v>1000219</v>
          </cell>
        </row>
        <row r="2528">
          <cell r="U2528">
            <v>151000220</v>
          </cell>
          <cell r="V2528" t="str">
            <v>15</v>
          </cell>
          <cell r="W2528" t="str">
            <v>ΕΛΑΙΩΝΕΣ</v>
          </cell>
          <cell r="X2528" t="str">
            <v>1000220</v>
          </cell>
        </row>
        <row r="2529">
          <cell r="U2529">
            <v>151000221</v>
          </cell>
          <cell r="V2529" t="str">
            <v>15</v>
          </cell>
          <cell r="W2529" t="str">
            <v>ΕΛΑΙΩΝΕΣ</v>
          </cell>
          <cell r="X2529" t="str">
            <v>1000221</v>
          </cell>
        </row>
        <row r="2530">
          <cell r="U2530">
            <v>151000222</v>
          </cell>
          <cell r="V2530" t="str">
            <v>15</v>
          </cell>
          <cell r="W2530" t="str">
            <v>ΕΛΑΙΩΝΕΣ</v>
          </cell>
          <cell r="X2530" t="str">
            <v>1000222</v>
          </cell>
        </row>
        <row r="2531">
          <cell r="U2531">
            <v>151000223</v>
          </cell>
          <cell r="V2531" t="str">
            <v>15</v>
          </cell>
          <cell r="W2531" t="str">
            <v>ΕΛΑΙΩΝΕΣ</v>
          </cell>
          <cell r="X2531" t="str">
            <v>1000223</v>
          </cell>
        </row>
        <row r="2532">
          <cell r="U2532">
            <v>151000224</v>
          </cell>
          <cell r="V2532" t="str">
            <v>15</v>
          </cell>
          <cell r="W2532" t="str">
            <v>ΕΛΑΙΩΝΕΣ</v>
          </cell>
          <cell r="X2532" t="str">
            <v>1000224</v>
          </cell>
        </row>
        <row r="2533">
          <cell r="U2533">
            <v>151000225</v>
          </cell>
          <cell r="V2533" t="str">
            <v>15</v>
          </cell>
          <cell r="W2533" t="str">
            <v>ΕΛΑΙΩΝΕΣ</v>
          </cell>
          <cell r="X2533" t="str">
            <v>1000225</v>
          </cell>
        </row>
        <row r="2534">
          <cell r="U2534">
            <v>151000226</v>
          </cell>
          <cell r="V2534" t="str">
            <v>15</v>
          </cell>
          <cell r="W2534" t="str">
            <v>ΕΛΑΙΩΝΕΣ</v>
          </cell>
          <cell r="X2534" t="str">
            <v>1000226</v>
          </cell>
        </row>
        <row r="2535">
          <cell r="U2535">
            <v>151000227</v>
          </cell>
          <cell r="V2535" t="str">
            <v>15</v>
          </cell>
          <cell r="W2535" t="str">
            <v>ΕΛΑΙΩΝΕΣ</v>
          </cell>
          <cell r="X2535" t="str">
            <v>1000227</v>
          </cell>
        </row>
        <row r="2536">
          <cell r="U2536">
            <v>151000228</v>
          </cell>
          <cell r="V2536" t="str">
            <v>15</v>
          </cell>
          <cell r="W2536" t="str">
            <v>ΕΛΑΙΩΝΕΣ</v>
          </cell>
          <cell r="X2536" t="str">
            <v>1000228</v>
          </cell>
        </row>
        <row r="2537">
          <cell r="U2537">
            <v>151000229</v>
          </cell>
          <cell r="V2537" t="str">
            <v>15</v>
          </cell>
          <cell r="W2537" t="str">
            <v>ΕΛΑΙΩΝΕΣ</v>
          </cell>
          <cell r="X2537" t="str">
            <v>1000229</v>
          </cell>
        </row>
        <row r="2538">
          <cell r="U2538">
            <v>151000230</v>
          </cell>
          <cell r="V2538" t="str">
            <v>15</v>
          </cell>
          <cell r="W2538" t="str">
            <v>ΕΛΑΙΩΝΕΣ</v>
          </cell>
          <cell r="X2538" t="str">
            <v>1000230</v>
          </cell>
        </row>
        <row r="2539">
          <cell r="U2539">
            <v>151000231</v>
          </cell>
          <cell r="V2539" t="str">
            <v>15</v>
          </cell>
          <cell r="W2539" t="str">
            <v>ΕΛΑΙΩΝΕΣ</v>
          </cell>
          <cell r="X2539" t="str">
            <v>1000231</v>
          </cell>
        </row>
        <row r="2540">
          <cell r="U2540">
            <v>151000589</v>
          </cell>
          <cell r="V2540" t="str">
            <v>15</v>
          </cell>
          <cell r="W2540" t="str">
            <v>ΕΛΑΙΩΝΕΣ</v>
          </cell>
          <cell r="X2540" t="str">
            <v>1000589</v>
          </cell>
        </row>
        <row r="2541">
          <cell r="U2541">
            <v>151000648</v>
          </cell>
          <cell r="V2541" t="str">
            <v>15</v>
          </cell>
          <cell r="W2541" t="str">
            <v>ΕΛΑΙΩΝΕΣ</v>
          </cell>
          <cell r="X2541" t="str">
            <v>1000648</v>
          </cell>
        </row>
        <row r="2542">
          <cell r="U2542">
            <v>151000649</v>
          </cell>
          <cell r="V2542" t="str">
            <v>15</v>
          </cell>
          <cell r="W2542" t="str">
            <v>ΕΛΑΙΩΝΕΣ</v>
          </cell>
          <cell r="X2542" t="str">
            <v>1000649</v>
          </cell>
        </row>
        <row r="2543">
          <cell r="U2543">
            <v>151000650</v>
          </cell>
          <cell r="V2543" t="str">
            <v>15</v>
          </cell>
          <cell r="W2543" t="str">
            <v>ΕΛΑΙΩΝΕΣ</v>
          </cell>
          <cell r="X2543" t="str">
            <v>1000650</v>
          </cell>
        </row>
        <row r="2544">
          <cell r="U2544">
            <v>151000651</v>
          </cell>
          <cell r="V2544" t="str">
            <v>15</v>
          </cell>
          <cell r="W2544" t="str">
            <v>ΕΛΑΙΩΝΕΣ</v>
          </cell>
          <cell r="X2544" t="str">
            <v>1000651</v>
          </cell>
        </row>
        <row r="2545">
          <cell r="U2545">
            <v>151000652</v>
          </cell>
          <cell r="V2545" t="str">
            <v>15</v>
          </cell>
          <cell r="W2545" t="str">
            <v>ΕΛΑΙΩΝΕΣ</v>
          </cell>
          <cell r="X2545" t="str">
            <v>1000652</v>
          </cell>
        </row>
        <row r="2546">
          <cell r="U2546">
            <v>151000653</v>
          </cell>
          <cell r="V2546" t="str">
            <v>15</v>
          </cell>
          <cell r="W2546" t="str">
            <v>ΕΛΑΙΩΝΕΣ</v>
          </cell>
          <cell r="X2546" t="str">
            <v>1000653</v>
          </cell>
        </row>
        <row r="2547">
          <cell r="U2547">
            <v>151000654</v>
          </cell>
          <cell r="V2547" t="str">
            <v>15</v>
          </cell>
          <cell r="W2547" t="str">
            <v>ΕΛΑΙΩΝΕΣ</v>
          </cell>
          <cell r="X2547" t="str">
            <v>1000654</v>
          </cell>
        </row>
        <row r="2548">
          <cell r="U2548">
            <v>151000655</v>
          </cell>
          <cell r="V2548" t="str">
            <v>15</v>
          </cell>
          <cell r="W2548" t="str">
            <v>ΕΛΑΙΩΝΕΣ</v>
          </cell>
          <cell r="X2548" t="str">
            <v>1000655</v>
          </cell>
        </row>
        <row r="2549">
          <cell r="U2549">
            <v>151000656</v>
          </cell>
          <cell r="V2549" t="str">
            <v>15</v>
          </cell>
          <cell r="W2549" t="str">
            <v>ΕΛΑΙΩΝΕΣ</v>
          </cell>
          <cell r="X2549" t="str">
            <v>1000656</v>
          </cell>
        </row>
        <row r="2550">
          <cell r="U2550">
            <v>151000657</v>
          </cell>
          <cell r="V2550" t="str">
            <v>15</v>
          </cell>
          <cell r="W2550" t="str">
            <v>ΕΛΑΙΩΝΕΣ</v>
          </cell>
          <cell r="X2550" t="str">
            <v>1000657</v>
          </cell>
        </row>
        <row r="2551">
          <cell r="U2551">
            <v>151000658</v>
          </cell>
          <cell r="V2551" t="str">
            <v>15</v>
          </cell>
          <cell r="W2551" t="str">
            <v>ΕΛΑΙΩΝΕΣ</v>
          </cell>
          <cell r="X2551" t="str">
            <v>1000658</v>
          </cell>
        </row>
        <row r="2552">
          <cell r="U2552">
            <v>151000659</v>
          </cell>
          <cell r="V2552" t="str">
            <v>15</v>
          </cell>
          <cell r="W2552" t="str">
            <v>ΕΛΑΙΩΝΕΣ</v>
          </cell>
          <cell r="X2552" t="str">
            <v>1000659</v>
          </cell>
        </row>
        <row r="2553">
          <cell r="U2553">
            <v>151000660</v>
          </cell>
          <cell r="V2553" t="str">
            <v>15</v>
          </cell>
          <cell r="W2553" t="str">
            <v>ΕΛΑΙΩΝΕΣ</v>
          </cell>
          <cell r="X2553" t="str">
            <v>1000660</v>
          </cell>
        </row>
        <row r="2554">
          <cell r="U2554">
            <v>151000661</v>
          </cell>
          <cell r="V2554" t="str">
            <v>15</v>
          </cell>
          <cell r="W2554" t="str">
            <v>ΕΛΑΙΩΝΕΣ</v>
          </cell>
          <cell r="X2554" t="str">
            <v>1000661</v>
          </cell>
        </row>
        <row r="2555">
          <cell r="U2555">
            <v>151000662</v>
          </cell>
          <cell r="V2555" t="str">
            <v>15</v>
          </cell>
          <cell r="W2555" t="str">
            <v>ΕΛΑΙΩΝΕΣ</v>
          </cell>
          <cell r="X2555" t="str">
            <v>1000662</v>
          </cell>
        </row>
        <row r="2556">
          <cell r="U2556">
            <v>151000663</v>
          </cell>
          <cell r="V2556" t="str">
            <v>15</v>
          </cell>
          <cell r="W2556" t="str">
            <v>ΕΛΑΙΩΝΕΣ</v>
          </cell>
          <cell r="X2556" t="str">
            <v>1000663</v>
          </cell>
        </row>
        <row r="2557">
          <cell r="U2557">
            <v>151000664</v>
          </cell>
          <cell r="V2557" t="str">
            <v>15</v>
          </cell>
          <cell r="W2557" t="str">
            <v>ΕΛΑΙΩΝΕΣ</v>
          </cell>
          <cell r="X2557" t="str">
            <v>1000664</v>
          </cell>
        </row>
        <row r="2558">
          <cell r="U2558">
            <v>151000665</v>
          </cell>
          <cell r="V2558" t="str">
            <v>15</v>
          </cell>
          <cell r="W2558" t="str">
            <v>ΕΛΑΙΩΝΕΣ</v>
          </cell>
          <cell r="X2558" t="str">
            <v>1000665</v>
          </cell>
        </row>
        <row r="2559">
          <cell r="U2559">
            <v>151000666</v>
          </cell>
          <cell r="V2559" t="str">
            <v>15</v>
          </cell>
          <cell r="W2559" t="str">
            <v>ΕΛΑΙΩΝΕΣ</v>
          </cell>
          <cell r="X2559" t="str">
            <v>1000666</v>
          </cell>
        </row>
        <row r="2560">
          <cell r="U2560">
            <v>151000667</v>
          </cell>
          <cell r="V2560" t="str">
            <v>15</v>
          </cell>
          <cell r="W2560" t="str">
            <v>ΕΛΑΙΩΝΕΣ</v>
          </cell>
          <cell r="X2560" t="str">
            <v>1000667</v>
          </cell>
        </row>
        <row r="2561">
          <cell r="U2561">
            <v>151000668</v>
          </cell>
          <cell r="V2561" t="str">
            <v>15</v>
          </cell>
          <cell r="W2561" t="str">
            <v>ΕΛΑΙΩΝΕΣ</v>
          </cell>
          <cell r="X2561" t="str">
            <v>1000668</v>
          </cell>
        </row>
        <row r="2562">
          <cell r="U2562">
            <v>151000669</v>
          </cell>
          <cell r="V2562" t="str">
            <v>15</v>
          </cell>
          <cell r="W2562" t="str">
            <v>ΕΛΑΙΩΝΕΣ</v>
          </cell>
          <cell r="X2562" t="str">
            <v>1000669</v>
          </cell>
        </row>
        <row r="2563">
          <cell r="U2563">
            <v>151000670</v>
          </cell>
          <cell r="V2563" t="str">
            <v>15</v>
          </cell>
          <cell r="W2563" t="str">
            <v>ΕΛΑΙΩΝΕΣ</v>
          </cell>
          <cell r="X2563" t="str">
            <v>1000670</v>
          </cell>
        </row>
        <row r="2564">
          <cell r="U2564">
            <v>151000671</v>
          </cell>
          <cell r="V2564" t="str">
            <v>15</v>
          </cell>
          <cell r="W2564" t="str">
            <v>ΕΛΑΙΩΝΕΣ</v>
          </cell>
          <cell r="X2564" t="str">
            <v>1000671</v>
          </cell>
        </row>
        <row r="2565">
          <cell r="U2565">
            <v>151000672</v>
          </cell>
          <cell r="V2565" t="str">
            <v>15</v>
          </cell>
          <cell r="W2565" t="str">
            <v>ΕΛΑΙΩΝΕΣ</v>
          </cell>
          <cell r="X2565" t="str">
            <v>1000672</v>
          </cell>
        </row>
        <row r="2566">
          <cell r="U2566">
            <v>151000673</v>
          </cell>
          <cell r="V2566" t="str">
            <v>15</v>
          </cell>
          <cell r="W2566" t="str">
            <v>ΕΛΑΙΩΝΕΣ</v>
          </cell>
          <cell r="X2566" t="str">
            <v>1000673</v>
          </cell>
        </row>
        <row r="2567">
          <cell r="U2567">
            <v>151000674</v>
          </cell>
          <cell r="V2567" t="str">
            <v>15</v>
          </cell>
          <cell r="W2567" t="str">
            <v>ΕΛΑΙΩΝΕΣ</v>
          </cell>
          <cell r="X2567" t="str">
            <v>1000674</v>
          </cell>
        </row>
        <row r="2568">
          <cell r="U2568">
            <v>151000675</v>
          </cell>
          <cell r="V2568" t="str">
            <v>15</v>
          </cell>
          <cell r="W2568" t="str">
            <v>ΕΛΑΙΩΝΕΣ</v>
          </cell>
          <cell r="X2568" t="str">
            <v>1000675</v>
          </cell>
        </row>
        <row r="2569">
          <cell r="U2569">
            <v>151000676</v>
          </cell>
          <cell r="V2569" t="str">
            <v>15</v>
          </cell>
          <cell r="W2569" t="str">
            <v>ΕΛΑΙΩΝΕΣ</v>
          </cell>
          <cell r="X2569" t="str">
            <v>1000676</v>
          </cell>
        </row>
        <row r="2570">
          <cell r="U2570">
            <v>151000677</v>
          </cell>
          <cell r="V2570" t="str">
            <v>15</v>
          </cell>
          <cell r="W2570" t="str">
            <v>ΕΛΑΙΩΝΕΣ</v>
          </cell>
          <cell r="X2570" t="str">
            <v>1000677</v>
          </cell>
        </row>
        <row r="2571">
          <cell r="U2571">
            <v>151001000</v>
          </cell>
          <cell r="V2571" t="str">
            <v>15</v>
          </cell>
          <cell r="W2571" t="str">
            <v>ΕΛΑΙΩΝΕΣ</v>
          </cell>
          <cell r="X2571" t="str">
            <v>1001000</v>
          </cell>
        </row>
        <row r="2572">
          <cell r="U2572">
            <v>151008191</v>
          </cell>
          <cell r="V2572" t="str">
            <v>15</v>
          </cell>
          <cell r="W2572" t="str">
            <v>ΕΛΑΙΩΝΕΣ</v>
          </cell>
          <cell r="X2572" t="str">
            <v>1008191</v>
          </cell>
        </row>
        <row r="2573">
          <cell r="U2573">
            <v>152000153</v>
          </cell>
          <cell r="V2573" t="str">
            <v>15</v>
          </cell>
          <cell r="W2573" t="str">
            <v>ΕΛΑΙΩΝΕΣ</v>
          </cell>
          <cell r="X2573" t="str">
            <v>2000153</v>
          </cell>
        </row>
        <row r="2574">
          <cell r="U2574">
            <v>152000154</v>
          </cell>
          <cell r="V2574" t="str">
            <v>15</v>
          </cell>
          <cell r="W2574" t="str">
            <v>ΕΛΑΙΩΝΕΣ</v>
          </cell>
          <cell r="X2574" t="str">
            <v>2000154</v>
          </cell>
        </row>
        <row r="2575">
          <cell r="U2575">
            <v>152000155</v>
          </cell>
          <cell r="V2575" t="str">
            <v>15</v>
          </cell>
          <cell r="W2575" t="str">
            <v>ΕΛΑΙΩΝΕΣ</v>
          </cell>
          <cell r="X2575" t="str">
            <v>2000155</v>
          </cell>
        </row>
        <row r="2576">
          <cell r="U2576">
            <v>152000156</v>
          </cell>
          <cell r="V2576" t="str">
            <v>15</v>
          </cell>
          <cell r="W2576" t="str">
            <v>ΕΛΑΙΩΝΕΣ</v>
          </cell>
          <cell r="X2576" t="str">
            <v>2000156</v>
          </cell>
        </row>
        <row r="2577">
          <cell r="U2577">
            <v>152000157</v>
          </cell>
          <cell r="V2577" t="str">
            <v>15</v>
          </cell>
          <cell r="W2577" t="str">
            <v>ΕΛΑΙΩΝΕΣ</v>
          </cell>
          <cell r="X2577" t="str">
            <v>2000157</v>
          </cell>
        </row>
        <row r="2578">
          <cell r="U2578">
            <v>152000158</v>
          </cell>
          <cell r="V2578" t="str">
            <v>15</v>
          </cell>
          <cell r="W2578" t="str">
            <v>ΕΛΑΙΩΝΕΣ</v>
          </cell>
          <cell r="X2578" t="str">
            <v>2000158</v>
          </cell>
        </row>
        <row r="2579">
          <cell r="U2579">
            <v>152000159</v>
          </cell>
          <cell r="V2579" t="str">
            <v>15</v>
          </cell>
          <cell r="W2579" t="str">
            <v>ΕΛΑΙΩΝΕΣ</v>
          </cell>
          <cell r="X2579" t="str">
            <v>2000159</v>
          </cell>
        </row>
        <row r="2580">
          <cell r="U2580">
            <v>152000160</v>
          </cell>
          <cell r="V2580" t="str">
            <v>15</v>
          </cell>
          <cell r="W2580" t="str">
            <v>ΕΛΑΙΩΝΕΣ</v>
          </cell>
          <cell r="X2580" t="str">
            <v>2000160</v>
          </cell>
        </row>
        <row r="2581">
          <cell r="U2581">
            <v>152000161</v>
          </cell>
          <cell r="V2581" t="str">
            <v>15</v>
          </cell>
          <cell r="W2581" t="str">
            <v>ΕΛΑΙΩΝΕΣ</v>
          </cell>
          <cell r="X2581" t="str">
            <v>2000161</v>
          </cell>
        </row>
        <row r="2582">
          <cell r="U2582">
            <v>152000162</v>
          </cell>
          <cell r="V2582" t="str">
            <v>15</v>
          </cell>
          <cell r="W2582" t="str">
            <v>ΕΛΑΙΩΝΕΣ</v>
          </cell>
          <cell r="X2582" t="str">
            <v>2000162</v>
          </cell>
        </row>
        <row r="2583">
          <cell r="U2583">
            <v>152000163</v>
          </cell>
          <cell r="V2583" t="str">
            <v>15</v>
          </cell>
          <cell r="W2583" t="str">
            <v>ΕΛΑΙΩΝΕΣ</v>
          </cell>
          <cell r="X2583" t="str">
            <v>2000163</v>
          </cell>
        </row>
        <row r="2584">
          <cell r="U2584">
            <v>152000164</v>
          </cell>
          <cell r="V2584" t="str">
            <v>15</v>
          </cell>
          <cell r="W2584" t="str">
            <v>ΕΛΑΙΩΝΕΣ</v>
          </cell>
          <cell r="X2584" t="str">
            <v>2000164</v>
          </cell>
        </row>
        <row r="2585">
          <cell r="U2585">
            <v>152000165</v>
          </cell>
          <cell r="V2585" t="str">
            <v>15</v>
          </cell>
          <cell r="W2585" t="str">
            <v>ΕΛΑΙΩΝΕΣ</v>
          </cell>
          <cell r="X2585" t="str">
            <v>2000165</v>
          </cell>
        </row>
        <row r="2586">
          <cell r="U2586">
            <v>152000166</v>
          </cell>
          <cell r="V2586" t="str">
            <v>15</v>
          </cell>
          <cell r="W2586" t="str">
            <v>ΕΛΑΙΩΝΕΣ</v>
          </cell>
          <cell r="X2586" t="str">
            <v>2000166</v>
          </cell>
        </row>
        <row r="2587">
          <cell r="U2587">
            <v>152000167</v>
          </cell>
          <cell r="V2587" t="str">
            <v>15</v>
          </cell>
          <cell r="W2587" t="str">
            <v>ΕΛΑΙΩΝΕΣ</v>
          </cell>
          <cell r="X2587" t="str">
            <v>2000167</v>
          </cell>
        </row>
        <row r="2588">
          <cell r="U2588">
            <v>152000168</v>
          </cell>
          <cell r="V2588" t="str">
            <v>15</v>
          </cell>
          <cell r="W2588" t="str">
            <v>ΕΛΑΙΩΝΕΣ</v>
          </cell>
          <cell r="X2588" t="str">
            <v>2000168</v>
          </cell>
        </row>
        <row r="2589">
          <cell r="U2589">
            <v>152000169</v>
          </cell>
          <cell r="V2589" t="str">
            <v>15</v>
          </cell>
          <cell r="W2589" t="str">
            <v>ΕΛΑΙΩΝΕΣ</v>
          </cell>
          <cell r="X2589" t="str">
            <v>2000169</v>
          </cell>
        </row>
        <row r="2590">
          <cell r="U2590">
            <v>152000170</v>
          </cell>
          <cell r="V2590" t="str">
            <v>15</v>
          </cell>
          <cell r="W2590" t="str">
            <v>ΕΛΑΙΩΝΕΣ</v>
          </cell>
          <cell r="X2590" t="str">
            <v>2000170</v>
          </cell>
        </row>
        <row r="2591">
          <cell r="U2591">
            <v>152000171</v>
          </cell>
          <cell r="V2591" t="str">
            <v>15</v>
          </cell>
          <cell r="W2591" t="str">
            <v>ΕΛΑΙΩΝΕΣ</v>
          </cell>
          <cell r="X2591" t="str">
            <v>2000171</v>
          </cell>
        </row>
        <row r="2592">
          <cell r="U2592">
            <v>152000172</v>
          </cell>
          <cell r="V2592" t="str">
            <v>15</v>
          </cell>
          <cell r="W2592" t="str">
            <v>ΕΛΑΙΩΝΕΣ</v>
          </cell>
          <cell r="X2592" t="str">
            <v>2000172</v>
          </cell>
        </row>
        <row r="2593">
          <cell r="U2593">
            <v>152000173</v>
          </cell>
          <cell r="V2593" t="str">
            <v>15</v>
          </cell>
          <cell r="W2593" t="str">
            <v>ΕΛΑΙΩΝΕΣ</v>
          </cell>
          <cell r="X2593" t="str">
            <v>2000173</v>
          </cell>
        </row>
        <row r="2594">
          <cell r="U2594">
            <v>152000174</v>
          </cell>
          <cell r="V2594" t="str">
            <v>15</v>
          </cell>
          <cell r="W2594" t="str">
            <v>ΕΛΑΙΩΝΕΣ</v>
          </cell>
          <cell r="X2594" t="str">
            <v>2000174</v>
          </cell>
        </row>
        <row r="2595">
          <cell r="U2595">
            <v>152000175</v>
          </cell>
          <cell r="V2595" t="str">
            <v>15</v>
          </cell>
          <cell r="W2595" t="str">
            <v>ΕΛΑΙΩΝΕΣ</v>
          </cell>
          <cell r="X2595" t="str">
            <v>2000175</v>
          </cell>
        </row>
        <row r="2596">
          <cell r="U2596">
            <v>152000176</v>
          </cell>
          <cell r="V2596" t="str">
            <v>15</v>
          </cell>
          <cell r="W2596" t="str">
            <v>ΕΛΑΙΩΝΕΣ</v>
          </cell>
          <cell r="X2596" t="str">
            <v>2000176</v>
          </cell>
        </row>
        <row r="2597">
          <cell r="U2597">
            <v>152000177</v>
          </cell>
          <cell r="V2597" t="str">
            <v>15</v>
          </cell>
          <cell r="W2597" t="str">
            <v>ΕΛΑΙΩΝΕΣ</v>
          </cell>
          <cell r="X2597" t="str">
            <v>2000177</v>
          </cell>
        </row>
        <row r="2598">
          <cell r="U2598">
            <v>152000178</v>
          </cell>
          <cell r="V2598" t="str">
            <v>15</v>
          </cell>
          <cell r="W2598" t="str">
            <v>ΕΛΑΙΩΝΕΣ</v>
          </cell>
          <cell r="X2598" t="str">
            <v>2000178</v>
          </cell>
        </row>
        <row r="2599">
          <cell r="U2599">
            <v>152000179</v>
          </cell>
          <cell r="V2599" t="str">
            <v>15</v>
          </cell>
          <cell r="W2599" t="str">
            <v>ΕΛΑΙΩΝΕΣ</v>
          </cell>
          <cell r="X2599" t="str">
            <v>2000179</v>
          </cell>
        </row>
        <row r="2600">
          <cell r="U2600">
            <v>152000180</v>
          </cell>
          <cell r="V2600" t="str">
            <v>15</v>
          </cell>
          <cell r="W2600" t="str">
            <v>ΕΛΑΙΩΝΕΣ</v>
          </cell>
          <cell r="X2600" t="str">
            <v>2000180</v>
          </cell>
        </row>
        <row r="2601">
          <cell r="U2601">
            <v>152000181</v>
          </cell>
          <cell r="V2601" t="str">
            <v>15</v>
          </cell>
          <cell r="W2601" t="str">
            <v>ΕΛΑΙΩΝΕΣ</v>
          </cell>
          <cell r="X2601" t="str">
            <v>2000181</v>
          </cell>
        </row>
        <row r="2602">
          <cell r="U2602">
            <v>152000182</v>
          </cell>
          <cell r="V2602" t="str">
            <v>15</v>
          </cell>
          <cell r="W2602" t="str">
            <v>ΕΛΑΙΩΝΕΣ</v>
          </cell>
          <cell r="X2602" t="str">
            <v>2000182</v>
          </cell>
        </row>
        <row r="2603">
          <cell r="U2603">
            <v>152000183</v>
          </cell>
          <cell r="V2603" t="str">
            <v>15</v>
          </cell>
          <cell r="W2603" t="str">
            <v>ΕΛΑΙΩΝΕΣ</v>
          </cell>
          <cell r="X2603" t="str">
            <v>2000183</v>
          </cell>
        </row>
        <row r="2604">
          <cell r="U2604">
            <v>152000184</v>
          </cell>
          <cell r="V2604" t="str">
            <v>15</v>
          </cell>
          <cell r="W2604" t="str">
            <v>ΕΛΑΙΩΝΕΣ</v>
          </cell>
          <cell r="X2604" t="str">
            <v>2000184</v>
          </cell>
        </row>
        <row r="2605">
          <cell r="U2605">
            <v>152000185</v>
          </cell>
          <cell r="V2605" t="str">
            <v>15</v>
          </cell>
          <cell r="W2605" t="str">
            <v>ΕΛΑΙΩΝΕΣ</v>
          </cell>
          <cell r="X2605" t="str">
            <v>2000185</v>
          </cell>
        </row>
        <row r="2606">
          <cell r="U2606">
            <v>152000186</v>
          </cell>
          <cell r="V2606" t="str">
            <v>15</v>
          </cell>
          <cell r="W2606" t="str">
            <v>ΕΛΑΙΩΝΕΣ</v>
          </cell>
          <cell r="X2606" t="str">
            <v>2000186</v>
          </cell>
        </row>
        <row r="2607">
          <cell r="U2607">
            <v>152000187</v>
          </cell>
          <cell r="V2607" t="str">
            <v>15</v>
          </cell>
          <cell r="W2607" t="str">
            <v>ΕΛΑΙΩΝΕΣ</v>
          </cell>
          <cell r="X2607" t="str">
            <v>2000187</v>
          </cell>
        </row>
        <row r="2608">
          <cell r="U2608">
            <v>152000188</v>
          </cell>
          <cell r="V2608" t="str">
            <v>15</v>
          </cell>
          <cell r="W2608" t="str">
            <v>ΕΛΑΙΩΝΕΣ</v>
          </cell>
          <cell r="X2608" t="str">
            <v>2000188</v>
          </cell>
        </row>
        <row r="2609">
          <cell r="U2609">
            <v>152000189</v>
          </cell>
          <cell r="V2609" t="str">
            <v>15</v>
          </cell>
          <cell r="W2609" t="str">
            <v>ΕΛΑΙΩΝΕΣ</v>
          </cell>
          <cell r="X2609" t="str">
            <v>2000189</v>
          </cell>
        </row>
        <row r="2610">
          <cell r="U2610">
            <v>152000190</v>
          </cell>
          <cell r="V2610" t="str">
            <v>15</v>
          </cell>
          <cell r="W2610" t="str">
            <v>ΕΛΑΙΩΝΕΣ</v>
          </cell>
          <cell r="X2610" t="str">
            <v>2000190</v>
          </cell>
        </row>
        <row r="2611">
          <cell r="U2611">
            <v>152000191</v>
          </cell>
          <cell r="V2611" t="str">
            <v>15</v>
          </cell>
          <cell r="W2611" t="str">
            <v>ΕΛΑΙΩΝΕΣ</v>
          </cell>
          <cell r="X2611" t="str">
            <v>2000191</v>
          </cell>
        </row>
        <row r="2612">
          <cell r="U2612">
            <v>152000192</v>
          </cell>
          <cell r="V2612" t="str">
            <v>15</v>
          </cell>
          <cell r="W2612" t="str">
            <v>ΕΛΑΙΩΝΕΣ</v>
          </cell>
          <cell r="X2612" t="str">
            <v>2000192</v>
          </cell>
        </row>
        <row r="2613">
          <cell r="U2613">
            <v>152000193</v>
          </cell>
          <cell r="V2613" t="str">
            <v>15</v>
          </cell>
          <cell r="W2613" t="str">
            <v>ΕΛΑΙΩΝΕΣ</v>
          </cell>
          <cell r="X2613" t="str">
            <v>2000193</v>
          </cell>
        </row>
        <row r="2614">
          <cell r="U2614">
            <v>152000194</v>
          </cell>
          <cell r="V2614" t="str">
            <v>15</v>
          </cell>
          <cell r="W2614" t="str">
            <v>ΕΛΑΙΩΝΕΣ</v>
          </cell>
          <cell r="X2614" t="str">
            <v>2000194</v>
          </cell>
        </row>
        <row r="2615">
          <cell r="U2615">
            <v>152000195</v>
          </cell>
          <cell r="V2615" t="str">
            <v>15</v>
          </cell>
          <cell r="W2615" t="str">
            <v>ΕΛΑΙΩΝΕΣ</v>
          </cell>
          <cell r="X2615" t="str">
            <v>2000195</v>
          </cell>
        </row>
        <row r="2616">
          <cell r="U2616">
            <v>152000196</v>
          </cell>
          <cell r="V2616" t="str">
            <v>15</v>
          </cell>
          <cell r="W2616" t="str">
            <v>ΕΛΑΙΩΝΕΣ</v>
          </cell>
          <cell r="X2616" t="str">
            <v>2000196</v>
          </cell>
        </row>
        <row r="2617">
          <cell r="U2617">
            <v>152000197</v>
          </cell>
          <cell r="V2617" t="str">
            <v>15</v>
          </cell>
          <cell r="W2617" t="str">
            <v>ΕΛΑΙΩΝΕΣ</v>
          </cell>
          <cell r="X2617" t="str">
            <v>2000197</v>
          </cell>
        </row>
        <row r="2618">
          <cell r="U2618">
            <v>152000198</v>
          </cell>
          <cell r="V2618" t="str">
            <v>15</v>
          </cell>
          <cell r="W2618" t="str">
            <v>ΕΛΑΙΩΝΕΣ</v>
          </cell>
          <cell r="X2618" t="str">
            <v>2000198</v>
          </cell>
        </row>
        <row r="2619">
          <cell r="U2619">
            <v>152000199</v>
          </cell>
          <cell r="V2619" t="str">
            <v>15</v>
          </cell>
          <cell r="W2619" t="str">
            <v>ΕΛΑΙΩΝΕΣ</v>
          </cell>
          <cell r="X2619" t="str">
            <v>2000199</v>
          </cell>
        </row>
        <row r="2620">
          <cell r="U2620">
            <v>152000200</v>
          </cell>
          <cell r="V2620" t="str">
            <v>15</v>
          </cell>
          <cell r="W2620" t="str">
            <v>ΕΛΑΙΩΝΕΣ</v>
          </cell>
          <cell r="X2620" t="str">
            <v>2000200</v>
          </cell>
        </row>
        <row r="2621">
          <cell r="U2621">
            <v>152000201</v>
          </cell>
          <cell r="V2621" t="str">
            <v>15</v>
          </cell>
          <cell r="W2621" t="str">
            <v>ΕΛΑΙΩΝΕΣ</v>
          </cell>
          <cell r="X2621" t="str">
            <v>2000201</v>
          </cell>
        </row>
        <row r="2622">
          <cell r="U2622">
            <v>152000202</v>
          </cell>
          <cell r="V2622" t="str">
            <v>15</v>
          </cell>
          <cell r="W2622" t="str">
            <v>ΕΛΑΙΩΝΕΣ</v>
          </cell>
          <cell r="X2622" t="str">
            <v>2000202</v>
          </cell>
        </row>
        <row r="2623">
          <cell r="U2623">
            <v>152000203</v>
          </cell>
          <cell r="V2623" t="str">
            <v>15</v>
          </cell>
          <cell r="W2623" t="str">
            <v>ΕΛΑΙΩΝΕΣ</v>
          </cell>
          <cell r="X2623" t="str">
            <v>2000203</v>
          </cell>
        </row>
        <row r="2624">
          <cell r="U2624">
            <v>152000204</v>
          </cell>
          <cell r="V2624" t="str">
            <v>15</v>
          </cell>
          <cell r="W2624" t="str">
            <v>ΕΛΑΙΩΝΕΣ</v>
          </cell>
          <cell r="X2624" t="str">
            <v>2000204</v>
          </cell>
        </row>
        <row r="2625">
          <cell r="U2625">
            <v>152000205</v>
          </cell>
          <cell r="V2625" t="str">
            <v>15</v>
          </cell>
          <cell r="W2625" t="str">
            <v>ΕΛΑΙΩΝΕΣ</v>
          </cell>
          <cell r="X2625" t="str">
            <v>2000205</v>
          </cell>
        </row>
        <row r="2626">
          <cell r="U2626">
            <v>152000206</v>
          </cell>
          <cell r="V2626" t="str">
            <v>15</v>
          </cell>
          <cell r="W2626" t="str">
            <v>ΕΛΑΙΩΝΕΣ</v>
          </cell>
          <cell r="X2626" t="str">
            <v>2000206</v>
          </cell>
        </row>
        <row r="2627">
          <cell r="U2627">
            <v>152000207</v>
          </cell>
          <cell r="V2627" t="str">
            <v>15</v>
          </cell>
          <cell r="W2627" t="str">
            <v>ΕΛΑΙΩΝΕΣ</v>
          </cell>
          <cell r="X2627" t="str">
            <v>2000207</v>
          </cell>
        </row>
        <row r="2628">
          <cell r="U2628">
            <v>152000208</v>
          </cell>
          <cell r="V2628" t="str">
            <v>15</v>
          </cell>
          <cell r="W2628" t="str">
            <v>ΕΛΑΙΩΝΕΣ</v>
          </cell>
          <cell r="X2628" t="str">
            <v>2000208</v>
          </cell>
        </row>
        <row r="2629">
          <cell r="U2629">
            <v>152000209</v>
          </cell>
          <cell r="V2629" t="str">
            <v>15</v>
          </cell>
          <cell r="W2629" t="str">
            <v>ΕΛΑΙΩΝΕΣ</v>
          </cell>
          <cell r="X2629" t="str">
            <v>2000209</v>
          </cell>
        </row>
        <row r="2630">
          <cell r="U2630">
            <v>152000210</v>
          </cell>
          <cell r="V2630" t="str">
            <v>15</v>
          </cell>
          <cell r="W2630" t="str">
            <v>ΕΛΑΙΩΝΕΣ</v>
          </cell>
          <cell r="X2630" t="str">
            <v>2000210</v>
          </cell>
        </row>
        <row r="2631">
          <cell r="U2631">
            <v>152000211</v>
          </cell>
          <cell r="V2631" t="str">
            <v>15</v>
          </cell>
          <cell r="W2631" t="str">
            <v>ΕΛΑΙΩΝΕΣ</v>
          </cell>
          <cell r="X2631" t="str">
            <v>2000211</v>
          </cell>
        </row>
        <row r="2632">
          <cell r="U2632">
            <v>152000212</v>
          </cell>
          <cell r="V2632" t="str">
            <v>15</v>
          </cell>
          <cell r="W2632" t="str">
            <v>ΕΛΑΙΩΝΕΣ</v>
          </cell>
          <cell r="X2632" t="str">
            <v>2000212</v>
          </cell>
        </row>
        <row r="2633">
          <cell r="U2633">
            <v>152000213</v>
          </cell>
          <cell r="V2633" t="str">
            <v>15</v>
          </cell>
          <cell r="W2633" t="str">
            <v>ΕΛΑΙΩΝΕΣ</v>
          </cell>
          <cell r="X2633" t="str">
            <v>2000213</v>
          </cell>
        </row>
        <row r="2634">
          <cell r="U2634">
            <v>152000214</v>
          </cell>
          <cell r="V2634" t="str">
            <v>15</v>
          </cell>
          <cell r="W2634" t="str">
            <v>ΕΛΑΙΩΝΕΣ</v>
          </cell>
          <cell r="X2634" t="str">
            <v>2000214</v>
          </cell>
        </row>
        <row r="2635">
          <cell r="U2635">
            <v>152000215</v>
          </cell>
          <cell r="V2635" t="str">
            <v>15</v>
          </cell>
          <cell r="W2635" t="str">
            <v>ΕΛΑΙΩΝΕΣ</v>
          </cell>
          <cell r="X2635" t="str">
            <v>2000215</v>
          </cell>
        </row>
        <row r="2636">
          <cell r="U2636">
            <v>152000216</v>
          </cell>
          <cell r="V2636" t="str">
            <v>15</v>
          </cell>
          <cell r="W2636" t="str">
            <v>ΕΛΑΙΩΝΕΣ</v>
          </cell>
          <cell r="X2636" t="str">
            <v>2000216</v>
          </cell>
        </row>
        <row r="2637">
          <cell r="U2637">
            <v>152000217</v>
          </cell>
          <cell r="V2637" t="str">
            <v>15</v>
          </cell>
          <cell r="W2637" t="str">
            <v>ΕΛΑΙΩΝΕΣ</v>
          </cell>
          <cell r="X2637" t="str">
            <v>2000217</v>
          </cell>
        </row>
        <row r="2638">
          <cell r="U2638">
            <v>152000218</v>
          </cell>
          <cell r="V2638" t="str">
            <v>15</v>
          </cell>
          <cell r="W2638" t="str">
            <v>ΕΛΑΙΩΝΕΣ</v>
          </cell>
          <cell r="X2638" t="str">
            <v>2000218</v>
          </cell>
        </row>
        <row r="2639">
          <cell r="U2639">
            <v>152000219</v>
          </cell>
          <cell r="V2639" t="str">
            <v>15</v>
          </cell>
          <cell r="W2639" t="str">
            <v>ΕΛΑΙΩΝΕΣ</v>
          </cell>
          <cell r="X2639" t="str">
            <v>2000219</v>
          </cell>
        </row>
        <row r="2640">
          <cell r="U2640">
            <v>152000220</v>
          </cell>
          <cell r="V2640" t="str">
            <v>15</v>
          </cell>
          <cell r="W2640" t="str">
            <v>ΕΛΑΙΩΝΕΣ</v>
          </cell>
          <cell r="X2640" t="str">
            <v>2000220</v>
          </cell>
        </row>
        <row r="2641">
          <cell r="U2641">
            <v>152000221</v>
          </cell>
          <cell r="V2641" t="str">
            <v>15</v>
          </cell>
          <cell r="W2641" t="str">
            <v>ΕΛΑΙΩΝΕΣ</v>
          </cell>
          <cell r="X2641" t="str">
            <v>2000221</v>
          </cell>
        </row>
        <row r="2642">
          <cell r="U2642">
            <v>152000222</v>
          </cell>
          <cell r="V2642" t="str">
            <v>15</v>
          </cell>
          <cell r="W2642" t="str">
            <v>ΕΛΑΙΩΝΕΣ</v>
          </cell>
          <cell r="X2642" t="str">
            <v>2000222</v>
          </cell>
        </row>
        <row r="2643">
          <cell r="U2643">
            <v>152000223</v>
          </cell>
          <cell r="V2643" t="str">
            <v>15</v>
          </cell>
          <cell r="W2643" t="str">
            <v>ΕΛΑΙΩΝΕΣ</v>
          </cell>
          <cell r="X2643" t="str">
            <v>2000223</v>
          </cell>
        </row>
        <row r="2644">
          <cell r="U2644">
            <v>152000224</v>
          </cell>
          <cell r="V2644" t="str">
            <v>15</v>
          </cell>
          <cell r="W2644" t="str">
            <v>ΕΛΑΙΩΝΕΣ</v>
          </cell>
          <cell r="X2644" t="str">
            <v>2000224</v>
          </cell>
        </row>
        <row r="2645">
          <cell r="U2645">
            <v>152000225</v>
          </cell>
          <cell r="V2645" t="str">
            <v>15</v>
          </cell>
          <cell r="W2645" t="str">
            <v>ΕΛΑΙΩΝΕΣ</v>
          </cell>
          <cell r="X2645" t="str">
            <v>2000225</v>
          </cell>
        </row>
        <row r="2646">
          <cell r="U2646">
            <v>152000226</v>
          </cell>
          <cell r="V2646" t="str">
            <v>15</v>
          </cell>
          <cell r="W2646" t="str">
            <v>ΕΛΑΙΩΝΕΣ</v>
          </cell>
          <cell r="X2646" t="str">
            <v>2000226</v>
          </cell>
        </row>
        <row r="2647">
          <cell r="U2647">
            <v>152000227</v>
          </cell>
          <cell r="V2647" t="str">
            <v>15</v>
          </cell>
          <cell r="W2647" t="str">
            <v>ΕΛΑΙΩΝΕΣ</v>
          </cell>
          <cell r="X2647" t="str">
            <v>2000227</v>
          </cell>
        </row>
        <row r="2648">
          <cell r="U2648">
            <v>152000228</v>
          </cell>
          <cell r="V2648" t="str">
            <v>15</v>
          </cell>
          <cell r="W2648" t="str">
            <v>ΕΛΑΙΩΝΕΣ</v>
          </cell>
          <cell r="X2648" t="str">
            <v>2000228</v>
          </cell>
        </row>
        <row r="2649">
          <cell r="U2649">
            <v>152000229</v>
          </cell>
          <cell r="V2649" t="str">
            <v>15</v>
          </cell>
          <cell r="W2649" t="str">
            <v>ΕΛΑΙΩΝΕΣ</v>
          </cell>
          <cell r="X2649" t="str">
            <v>2000229</v>
          </cell>
        </row>
        <row r="2650">
          <cell r="U2650">
            <v>152000230</v>
          </cell>
          <cell r="V2650" t="str">
            <v>15</v>
          </cell>
          <cell r="W2650" t="str">
            <v>ΕΛΑΙΩΝΕΣ</v>
          </cell>
          <cell r="X2650" t="str">
            <v>2000230</v>
          </cell>
        </row>
        <row r="2651">
          <cell r="U2651">
            <v>152000231</v>
          </cell>
          <cell r="V2651" t="str">
            <v>15</v>
          </cell>
          <cell r="W2651" t="str">
            <v>ΕΛΑΙΩΝΕΣ</v>
          </cell>
          <cell r="X2651" t="str">
            <v>2000231</v>
          </cell>
        </row>
        <row r="2652">
          <cell r="U2652">
            <v>152000589</v>
          </cell>
          <cell r="V2652" t="str">
            <v>15</v>
          </cell>
          <cell r="W2652" t="str">
            <v>ΕΛΑΙΩΝΕΣ</v>
          </cell>
          <cell r="X2652" t="str">
            <v>2000589</v>
          </cell>
        </row>
        <row r="2653">
          <cell r="U2653">
            <v>152000648</v>
          </cell>
          <cell r="V2653" t="str">
            <v>15</v>
          </cell>
          <cell r="W2653" t="str">
            <v>ΕΛΑΙΩΝΕΣ</v>
          </cell>
          <cell r="X2653" t="str">
            <v>2000648</v>
          </cell>
        </row>
        <row r="2654">
          <cell r="U2654">
            <v>152000649</v>
          </cell>
          <cell r="V2654" t="str">
            <v>15</v>
          </cell>
          <cell r="W2654" t="str">
            <v>ΕΛΑΙΩΝΕΣ</v>
          </cell>
          <cell r="X2654" t="str">
            <v>2000649</v>
          </cell>
        </row>
        <row r="2655">
          <cell r="U2655">
            <v>152000650</v>
          </cell>
          <cell r="V2655" t="str">
            <v>15</v>
          </cell>
          <cell r="W2655" t="str">
            <v>ΕΛΑΙΩΝΕΣ</v>
          </cell>
          <cell r="X2655" t="str">
            <v>2000650</v>
          </cell>
        </row>
        <row r="2656">
          <cell r="U2656">
            <v>152000651</v>
          </cell>
          <cell r="V2656" t="str">
            <v>15</v>
          </cell>
          <cell r="W2656" t="str">
            <v>ΕΛΑΙΩΝΕΣ</v>
          </cell>
          <cell r="X2656" t="str">
            <v>2000651</v>
          </cell>
        </row>
        <row r="2657">
          <cell r="U2657">
            <v>152000652</v>
          </cell>
          <cell r="V2657" t="str">
            <v>15</v>
          </cell>
          <cell r="W2657" t="str">
            <v>ΕΛΑΙΩΝΕΣ</v>
          </cell>
          <cell r="X2657" t="str">
            <v>2000652</v>
          </cell>
        </row>
        <row r="2658">
          <cell r="U2658">
            <v>152000653</v>
          </cell>
          <cell r="V2658" t="str">
            <v>15</v>
          </cell>
          <cell r="W2658" t="str">
            <v>ΕΛΑΙΩΝΕΣ</v>
          </cell>
          <cell r="X2658" t="str">
            <v>2000653</v>
          </cell>
        </row>
        <row r="2659">
          <cell r="U2659">
            <v>152000654</v>
          </cell>
          <cell r="V2659" t="str">
            <v>15</v>
          </cell>
          <cell r="W2659" t="str">
            <v>ΕΛΑΙΩΝΕΣ</v>
          </cell>
          <cell r="X2659" t="str">
            <v>2000654</v>
          </cell>
        </row>
        <row r="2660">
          <cell r="U2660">
            <v>152000655</v>
          </cell>
          <cell r="V2660" t="str">
            <v>15</v>
          </cell>
          <cell r="W2660" t="str">
            <v>ΕΛΑΙΩΝΕΣ</v>
          </cell>
          <cell r="X2660" t="str">
            <v>2000655</v>
          </cell>
        </row>
        <row r="2661">
          <cell r="U2661">
            <v>152000656</v>
          </cell>
          <cell r="V2661" t="str">
            <v>15</v>
          </cell>
          <cell r="W2661" t="str">
            <v>ΕΛΑΙΩΝΕΣ</v>
          </cell>
          <cell r="X2661" t="str">
            <v>2000656</v>
          </cell>
        </row>
        <row r="2662">
          <cell r="U2662">
            <v>152000657</v>
          </cell>
          <cell r="V2662" t="str">
            <v>15</v>
          </cell>
          <cell r="W2662" t="str">
            <v>ΕΛΑΙΩΝΕΣ</v>
          </cell>
          <cell r="X2662" t="str">
            <v>2000657</v>
          </cell>
        </row>
        <row r="2663">
          <cell r="U2663">
            <v>152000658</v>
          </cell>
          <cell r="V2663" t="str">
            <v>15</v>
          </cell>
          <cell r="W2663" t="str">
            <v>ΕΛΑΙΩΝΕΣ</v>
          </cell>
          <cell r="X2663" t="str">
            <v>2000658</v>
          </cell>
        </row>
        <row r="2664">
          <cell r="U2664">
            <v>152000659</v>
          </cell>
          <cell r="V2664" t="str">
            <v>15</v>
          </cell>
          <cell r="W2664" t="str">
            <v>ΕΛΑΙΩΝΕΣ</v>
          </cell>
          <cell r="X2664" t="str">
            <v>2000659</v>
          </cell>
        </row>
        <row r="2665">
          <cell r="U2665">
            <v>152000660</v>
          </cell>
          <cell r="V2665" t="str">
            <v>15</v>
          </cell>
          <cell r="W2665" t="str">
            <v>ΕΛΑΙΩΝΕΣ</v>
          </cell>
          <cell r="X2665" t="str">
            <v>2000660</v>
          </cell>
        </row>
        <row r="2666">
          <cell r="U2666">
            <v>152000661</v>
          </cell>
          <cell r="V2666" t="str">
            <v>15</v>
          </cell>
          <cell r="W2666" t="str">
            <v>ΕΛΑΙΩΝΕΣ</v>
          </cell>
          <cell r="X2666" t="str">
            <v>2000661</v>
          </cell>
        </row>
        <row r="2667">
          <cell r="U2667">
            <v>152000662</v>
          </cell>
          <cell r="V2667" t="str">
            <v>15</v>
          </cell>
          <cell r="W2667" t="str">
            <v>ΕΛΑΙΩΝΕΣ</v>
          </cell>
          <cell r="X2667" t="str">
            <v>2000662</v>
          </cell>
        </row>
        <row r="2668">
          <cell r="U2668">
            <v>152000663</v>
          </cell>
          <cell r="V2668" t="str">
            <v>15</v>
          </cell>
          <cell r="W2668" t="str">
            <v>ΕΛΑΙΩΝΕΣ</v>
          </cell>
          <cell r="X2668" t="str">
            <v>2000663</v>
          </cell>
        </row>
        <row r="2669">
          <cell r="U2669">
            <v>152000664</v>
          </cell>
          <cell r="V2669" t="str">
            <v>15</v>
          </cell>
          <cell r="W2669" t="str">
            <v>ΕΛΑΙΩΝΕΣ</v>
          </cell>
          <cell r="X2669" t="str">
            <v>2000664</v>
          </cell>
        </row>
        <row r="2670">
          <cell r="U2670">
            <v>152000665</v>
          </cell>
          <cell r="V2670" t="str">
            <v>15</v>
          </cell>
          <cell r="W2670" t="str">
            <v>ΕΛΑΙΩΝΕΣ</v>
          </cell>
          <cell r="X2670" t="str">
            <v>2000665</v>
          </cell>
        </row>
        <row r="2671">
          <cell r="U2671">
            <v>152000666</v>
          </cell>
          <cell r="V2671" t="str">
            <v>15</v>
          </cell>
          <cell r="W2671" t="str">
            <v>ΕΛΑΙΩΝΕΣ</v>
          </cell>
          <cell r="X2671" t="str">
            <v>2000666</v>
          </cell>
        </row>
        <row r="2672">
          <cell r="U2672">
            <v>152000667</v>
          </cell>
          <cell r="V2672" t="str">
            <v>15</v>
          </cell>
          <cell r="W2672" t="str">
            <v>ΕΛΑΙΩΝΕΣ</v>
          </cell>
          <cell r="X2672" t="str">
            <v>2000667</v>
          </cell>
        </row>
        <row r="2673">
          <cell r="U2673">
            <v>152000668</v>
          </cell>
          <cell r="V2673" t="str">
            <v>15</v>
          </cell>
          <cell r="W2673" t="str">
            <v>ΕΛΑΙΩΝΕΣ</v>
          </cell>
          <cell r="X2673" t="str">
            <v>2000668</v>
          </cell>
        </row>
        <row r="2674">
          <cell r="U2674">
            <v>152000669</v>
          </cell>
          <cell r="V2674" t="str">
            <v>15</v>
          </cell>
          <cell r="W2674" t="str">
            <v>ΕΛΑΙΩΝΕΣ</v>
          </cell>
          <cell r="X2674" t="str">
            <v>2000669</v>
          </cell>
        </row>
        <row r="2675">
          <cell r="U2675">
            <v>152000670</v>
          </cell>
          <cell r="V2675" t="str">
            <v>15</v>
          </cell>
          <cell r="W2675" t="str">
            <v>ΕΛΑΙΩΝΕΣ</v>
          </cell>
          <cell r="X2675" t="str">
            <v>2000670</v>
          </cell>
        </row>
        <row r="2676">
          <cell r="U2676">
            <v>152000671</v>
          </cell>
          <cell r="V2676" t="str">
            <v>15</v>
          </cell>
          <cell r="W2676" t="str">
            <v>ΕΛΑΙΩΝΕΣ</v>
          </cell>
          <cell r="X2676" t="str">
            <v>2000671</v>
          </cell>
        </row>
        <row r="2677">
          <cell r="U2677">
            <v>152000672</v>
          </cell>
          <cell r="V2677" t="str">
            <v>15</v>
          </cell>
          <cell r="W2677" t="str">
            <v>ΕΛΑΙΩΝΕΣ</v>
          </cell>
          <cell r="X2677" t="str">
            <v>2000672</v>
          </cell>
        </row>
        <row r="2678">
          <cell r="U2678">
            <v>152000673</v>
          </cell>
          <cell r="V2678" t="str">
            <v>15</v>
          </cell>
          <cell r="W2678" t="str">
            <v>ΕΛΑΙΩΝΕΣ</v>
          </cell>
          <cell r="X2678" t="str">
            <v>2000673</v>
          </cell>
        </row>
        <row r="2679">
          <cell r="U2679">
            <v>152000674</v>
          </cell>
          <cell r="V2679" t="str">
            <v>15</v>
          </cell>
          <cell r="W2679" t="str">
            <v>ΕΛΑΙΩΝΕΣ</v>
          </cell>
          <cell r="X2679" t="str">
            <v>2000674</v>
          </cell>
        </row>
        <row r="2680">
          <cell r="U2680">
            <v>152000675</v>
          </cell>
          <cell r="V2680" t="str">
            <v>15</v>
          </cell>
          <cell r="W2680" t="str">
            <v>ΕΛΑΙΩΝΕΣ</v>
          </cell>
          <cell r="X2680" t="str">
            <v>2000675</v>
          </cell>
        </row>
        <row r="2681">
          <cell r="U2681">
            <v>152000676</v>
          </cell>
          <cell r="V2681" t="str">
            <v>15</v>
          </cell>
          <cell r="W2681" t="str">
            <v>ΕΛΑΙΩΝΕΣ</v>
          </cell>
          <cell r="X2681" t="str">
            <v>2000676</v>
          </cell>
        </row>
        <row r="2682">
          <cell r="U2682">
            <v>152000677</v>
          </cell>
          <cell r="V2682" t="str">
            <v>15</v>
          </cell>
          <cell r="W2682" t="str">
            <v>ΕΛΑΙΩΝΕΣ</v>
          </cell>
          <cell r="X2682" t="str">
            <v>2000677</v>
          </cell>
        </row>
        <row r="2683">
          <cell r="U2683">
            <v>152008190</v>
          </cell>
          <cell r="V2683" t="str">
            <v>15</v>
          </cell>
          <cell r="W2683" t="str">
            <v>ΕΛΑΙΩΝΕΣ</v>
          </cell>
          <cell r="X2683" t="str">
            <v>2008190</v>
          </cell>
        </row>
        <row r="2684">
          <cell r="U2684">
            <v>153000153</v>
          </cell>
          <cell r="V2684" t="str">
            <v>15</v>
          </cell>
          <cell r="W2684" t="str">
            <v>ΕΛΑΙΩΝΕΣ</v>
          </cell>
          <cell r="X2684" t="str">
            <v>3000153</v>
          </cell>
        </row>
        <row r="2685">
          <cell r="U2685">
            <v>153000154</v>
          </cell>
          <cell r="V2685" t="str">
            <v>15</v>
          </cell>
          <cell r="W2685" t="str">
            <v>ΕΛΑΙΩΝΕΣ</v>
          </cell>
          <cell r="X2685" t="str">
            <v>3000154</v>
          </cell>
        </row>
        <row r="2686">
          <cell r="U2686">
            <v>153000155</v>
          </cell>
          <cell r="V2686" t="str">
            <v>15</v>
          </cell>
          <cell r="W2686" t="str">
            <v>ΕΛΑΙΩΝΕΣ</v>
          </cell>
          <cell r="X2686" t="str">
            <v>3000155</v>
          </cell>
        </row>
        <row r="2687">
          <cell r="U2687">
            <v>153000156</v>
          </cell>
          <cell r="V2687" t="str">
            <v>15</v>
          </cell>
          <cell r="W2687" t="str">
            <v>ΕΛΑΙΩΝΕΣ</v>
          </cell>
          <cell r="X2687" t="str">
            <v>3000156</v>
          </cell>
        </row>
        <row r="2688">
          <cell r="U2688">
            <v>153000157</v>
          </cell>
          <cell r="V2688" t="str">
            <v>15</v>
          </cell>
          <cell r="W2688" t="str">
            <v>ΕΛΑΙΩΝΕΣ</v>
          </cell>
          <cell r="X2688" t="str">
            <v>3000157</v>
          </cell>
        </row>
        <row r="2689">
          <cell r="U2689">
            <v>153000158</v>
          </cell>
          <cell r="V2689" t="str">
            <v>15</v>
          </cell>
          <cell r="W2689" t="str">
            <v>ΕΛΑΙΩΝΕΣ</v>
          </cell>
          <cell r="X2689" t="str">
            <v>3000158</v>
          </cell>
        </row>
        <row r="2690">
          <cell r="U2690">
            <v>153000159</v>
          </cell>
          <cell r="V2690" t="str">
            <v>15</v>
          </cell>
          <cell r="W2690" t="str">
            <v>ΕΛΑΙΩΝΕΣ</v>
          </cell>
          <cell r="X2690" t="str">
            <v>3000159</v>
          </cell>
        </row>
        <row r="2691">
          <cell r="U2691">
            <v>153000160</v>
          </cell>
          <cell r="V2691" t="str">
            <v>15</v>
          </cell>
          <cell r="W2691" t="str">
            <v>ΕΛΑΙΩΝΕΣ</v>
          </cell>
          <cell r="X2691" t="str">
            <v>3000160</v>
          </cell>
        </row>
        <row r="2692">
          <cell r="U2692">
            <v>153000161</v>
          </cell>
          <cell r="V2692" t="str">
            <v>15</v>
          </cell>
          <cell r="W2692" t="str">
            <v>ΕΛΑΙΩΝΕΣ</v>
          </cell>
          <cell r="X2692" t="str">
            <v>3000161</v>
          </cell>
        </row>
        <row r="2693">
          <cell r="U2693">
            <v>153000162</v>
          </cell>
          <cell r="V2693" t="str">
            <v>15</v>
          </cell>
          <cell r="W2693" t="str">
            <v>ΕΛΑΙΩΝΕΣ</v>
          </cell>
          <cell r="X2693" t="str">
            <v>3000162</v>
          </cell>
        </row>
        <row r="2694">
          <cell r="U2694">
            <v>153000163</v>
          </cell>
          <cell r="V2694" t="str">
            <v>15</v>
          </cell>
          <cell r="W2694" t="str">
            <v>ΕΛΑΙΩΝΕΣ</v>
          </cell>
          <cell r="X2694" t="str">
            <v>3000163</v>
          </cell>
        </row>
        <row r="2695">
          <cell r="U2695">
            <v>153000164</v>
          </cell>
          <cell r="V2695" t="str">
            <v>15</v>
          </cell>
          <cell r="W2695" t="str">
            <v>ΕΛΑΙΩΝΕΣ</v>
          </cell>
          <cell r="X2695" t="str">
            <v>3000164</v>
          </cell>
        </row>
        <row r="2696">
          <cell r="U2696">
            <v>153000165</v>
          </cell>
          <cell r="V2696" t="str">
            <v>15</v>
          </cell>
          <cell r="W2696" t="str">
            <v>ΕΛΑΙΩΝΕΣ</v>
          </cell>
          <cell r="X2696" t="str">
            <v>3000165</v>
          </cell>
        </row>
        <row r="2697">
          <cell r="U2697">
            <v>153000166</v>
          </cell>
          <cell r="V2697" t="str">
            <v>15</v>
          </cell>
          <cell r="W2697" t="str">
            <v>ΕΛΑΙΩΝΕΣ</v>
          </cell>
          <cell r="X2697" t="str">
            <v>3000166</v>
          </cell>
        </row>
        <row r="2698">
          <cell r="U2698">
            <v>153000167</v>
          </cell>
          <cell r="V2698" t="str">
            <v>15</v>
          </cell>
          <cell r="W2698" t="str">
            <v>ΕΛΑΙΩΝΕΣ</v>
          </cell>
          <cell r="X2698" t="str">
            <v>3000167</v>
          </cell>
        </row>
        <row r="2699">
          <cell r="U2699">
            <v>153000168</v>
          </cell>
          <cell r="V2699" t="str">
            <v>15</v>
          </cell>
          <cell r="W2699" t="str">
            <v>ΕΛΑΙΩΝΕΣ</v>
          </cell>
          <cell r="X2699" t="str">
            <v>3000168</v>
          </cell>
        </row>
        <row r="2700">
          <cell r="U2700">
            <v>153000169</v>
          </cell>
          <cell r="V2700" t="str">
            <v>15</v>
          </cell>
          <cell r="W2700" t="str">
            <v>ΕΛΑΙΩΝΕΣ</v>
          </cell>
          <cell r="X2700" t="str">
            <v>3000169</v>
          </cell>
        </row>
        <row r="2701">
          <cell r="U2701">
            <v>153000170</v>
          </cell>
          <cell r="V2701" t="str">
            <v>15</v>
          </cell>
          <cell r="W2701" t="str">
            <v>ΕΛΑΙΩΝΕΣ</v>
          </cell>
          <cell r="X2701" t="str">
            <v>3000170</v>
          </cell>
        </row>
        <row r="2702">
          <cell r="U2702">
            <v>153000171</v>
          </cell>
          <cell r="V2702" t="str">
            <v>15</v>
          </cell>
          <cell r="W2702" t="str">
            <v>ΕΛΑΙΩΝΕΣ</v>
          </cell>
          <cell r="X2702" t="str">
            <v>3000171</v>
          </cell>
        </row>
        <row r="2703">
          <cell r="U2703">
            <v>153000172</v>
          </cell>
          <cell r="V2703" t="str">
            <v>15</v>
          </cell>
          <cell r="W2703" t="str">
            <v>ΕΛΑΙΩΝΕΣ</v>
          </cell>
          <cell r="X2703" t="str">
            <v>3000172</v>
          </cell>
        </row>
        <row r="2704">
          <cell r="U2704">
            <v>153000173</v>
          </cell>
          <cell r="V2704" t="str">
            <v>15</v>
          </cell>
          <cell r="W2704" t="str">
            <v>ΕΛΑΙΩΝΕΣ</v>
          </cell>
          <cell r="X2704" t="str">
            <v>3000173</v>
          </cell>
        </row>
        <row r="2705">
          <cell r="U2705">
            <v>153000174</v>
          </cell>
          <cell r="V2705" t="str">
            <v>15</v>
          </cell>
          <cell r="W2705" t="str">
            <v>ΕΛΑΙΩΝΕΣ</v>
          </cell>
          <cell r="X2705" t="str">
            <v>3000174</v>
          </cell>
        </row>
        <row r="2706">
          <cell r="U2706">
            <v>153000175</v>
          </cell>
          <cell r="V2706" t="str">
            <v>15</v>
          </cell>
          <cell r="W2706" t="str">
            <v>ΕΛΑΙΩΝΕΣ</v>
          </cell>
          <cell r="X2706" t="str">
            <v>3000175</v>
          </cell>
        </row>
        <row r="2707">
          <cell r="U2707">
            <v>153000176</v>
          </cell>
          <cell r="V2707" t="str">
            <v>15</v>
          </cell>
          <cell r="W2707" t="str">
            <v>ΕΛΑΙΩΝΕΣ</v>
          </cell>
          <cell r="X2707" t="str">
            <v>3000176</v>
          </cell>
        </row>
        <row r="2708">
          <cell r="U2708">
            <v>153000177</v>
          </cell>
          <cell r="V2708" t="str">
            <v>15</v>
          </cell>
          <cell r="W2708" t="str">
            <v>ΕΛΑΙΩΝΕΣ</v>
          </cell>
          <cell r="X2708" t="str">
            <v>3000177</v>
          </cell>
        </row>
        <row r="2709">
          <cell r="U2709">
            <v>153000178</v>
          </cell>
          <cell r="V2709" t="str">
            <v>15</v>
          </cell>
          <cell r="W2709" t="str">
            <v>ΕΛΑΙΩΝΕΣ</v>
          </cell>
          <cell r="X2709" t="str">
            <v>3000178</v>
          </cell>
        </row>
        <row r="2710">
          <cell r="U2710">
            <v>153000179</v>
          </cell>
          <cell r="V2710" t="str">
            <v>15</v>
          </cell>
          <cell r="W2710" t="str">
            <v>ΕΛΑΙΩΝΕΣ</v>
          </cell>
          <cell r="X2710" t="str">
            <v>3000179</v>
          </cell>
        </row>
        <row r="2711">
          <cell r="U2711">
            <v>153000180</v>
          </cell>
          <cell r="V2711" t="str">
            <v>15</v>
          </cell>
          <cell r="W2711" t="str">
            <v>ΕΛΑΙΩΝΕΣ</v>
          </cell>
          <cell r="X2711" t="str">
            <v>3000180</v>
          </cell>
        </row>
        <row r="2712">
          <cell r="U2712">
            <v>153000181</v>
          </cell>
          <cell r="V2712" t="str">
            <v>15</v>
          </cell>
          <cell r="W2712" t="str">
            <v>ΕΛΑΙΩΝΕΣ</v>
          </cell>
          <cell r="X2712" t="str">
            <v>3000181</v>
          </cell>
        </row>
        <row r="2713">
          <cell r="U2713">
            <v>153000182</v>
          </cell>
          <cell r="V2713" t="str">
            <v>15</v>
          </cell>
          <cell r="W2713" t="str">
            <v>ΕΛΑΙΩΝΕΣ</v>
          </cell>
          <cell r="X2713" t="str">
            <v>3000182</v>
          </cell>
        </row>
        <row r="2714">
          <cell r="U2714">
            <v>153000183</v>
          </cell>
          <cell r="V2714" t="str">
            <v>15</v>
          </cell>
          <cell r="W2714" t="str">
            <v>ΕΛΑΙΩΝΕΣ</v>
          </cell>
          <cell r="X2714" t="str">
            <v>3000183</v>
          </cell>
        </row>
        <row r="2715">
          <cell r="U2715">
            <v>153000184</v>
          </cell>
          <cell r="V2715" t="str">
            <v>15</v>
          </cell>
          <cell r="W2715" t="str">
            <v>ΕΛΑΙΩΝΕΣ</v>
          </cell>
          <cell r="X2715" t="str">
            <v>3000184</v>
          </cell>
        </row>
        <row r="2716">
          <cell r="U2716">
            <v>153000185</v>
          </cell>
          <cell r="V2716" t="str">
            <v>15</v>
          </cell>
          <cell r="W2716" t="str">
            <v>ΕΛΑΙΩΝΕΣ</v>
          </cell>
          <cell r="X2716" t="str">
            <v>3000185</v>
          </cell>
        </row>
        <row r="2717">
          <cell r="U2717">
            <v>153000186</v>
          </cell>
          <cell r="V2717" t="str">
            <v>15</v>
          </cell>
          <cell r="W2717" t="str">
            <v>ΕΛΑΙΩΝΕΣ</v>
          </cell>
          <cell r="X2717" t="str">
            <v>3000186</v>
          </cell>
        </row>
        <row r="2718">
          <cell r="U2718">
            <v>153000187</v>
          </cell>
          <cell r="V2718" t="str">
            <v>15</v>
          </cell>
          <cell r="W2718" t="str">
            <v>ΕΛΑΙΩΝΕΣ</v>
          </cell>
          <cell r="X2718" t="str">
            <v>3000187</v>
          </cell>
        </row>
        <row r="2719">
          <cell r="U2719">
            <v>153000188</v>
          </cell>
          <cell r="V2719" t="str">
            <v>15</v>
          </cell>
          <cell r="W2719" t="str">
            <v>ΕΛΑΙΩΝΕΣ</v>
          </cell>
          <cell r="X2719" t="str">
            <v>3000188</v>
          </cell>
        </row>
        <row r="2720">
          <cell r="U2720">
            <v>153000189</v>
          </cell>
          <cell r="V2720" t="str">
            <v>15</v>
          </cell>
          <cell r="W2720" t="str">
            <v>ΕΛΑΙΩΝΕΣ</v>
          </cell>
          <cell r="X2720" t="str">
            <v>3000189</v>
          </cell>
        </row>
        <row r="2721">
          <cell r="U2721">
            <v>153000190</v>
          </cell>
          <cell r="V2721" t="str">
            <v>15</v>
          </cell>
          <cell r="W2721" t="str">
            <v>ΕΛΑΙΩΝΕΣ</v>
          </cell>
          <cell r="X2721" t="str">
            <v>3000190</v>
          </cell>
        </row>
        <row r="2722">
          <cell r="U2722">
            <v>153000191</v>
          </cell>
          <cell r="V2722" t="str">
            <v>15</v>
          </cell>
          <cell r="W2722" t="str">
            <v>ΕΛΑΙΩΝΕΣ</v>
          </cell>
          <cell r="X2722" t="str">
            <v>3000191</v>
          </cell>
        </row>
        <row r="2723">
          <cell r="U2723">
            <v>153000192</v>
          </cell>
          <cell r="V2723" t="str">
            <v>15</v>
          </cell>
          <cell r="W2723" t="str">
            <v>ΕΛΑΙΩΝΕΣ</v>
          </cell>
          <cell r="X2723" t="str">
            <v>3000192</v>
          </cell>
        </row>
        <row r="2724">
          <cell r="U2724">
            <v>153000193</v>
          </cell>
          <cell r="V2724" t="str">
            <v>15</v>
          </cell>
          <cell r="W2724" t="str">
            <v>ΕΛΑΙΩΝΕΣ</v>
          </cell>
          <cell r="X2724" t="str">
            <v>3000193</v>
          </cell>
        </row>
        <row r="2725">
          <cell r="U2725">
            <v>153000194</v>
          </cell>
          <cell r="V2725" t="str">
            <v>15</v>
          </cell>
          <cell r="W2725" t="str">
            <v>ΕΛΑΙΩΝΕΣ</v>
          </cell>
          <cell r="X2725" t="str">
            <v>3000194</v>
          </cell>
        </row>
        <row r="2726">
          <cell r="U2726">
            <v>153000195</v>
          </cell>
          <cell r="V2726" t="str">
            <v>15</v>
          </cell>
          <cell r="W2726" t="str">
            <v>ΕΛΑΙΩΝΕΣ</v>
          </cell>
          <cell r="X2726" t="str">
            <v>3000195</v>
          </cell>
        </row>
        <row r="2727">
          <cell r="U2727">
            <v>153000196</v>
          </cell>
          <cell r="V2727" t="str">
            <v>15</v>
          </cell>
          <cell r="W2727" t="str">
            <v>ΕΛΑΙΩΝΕΣ</v>
          </cell>
          <cell r="X2727" t="str">
            <v>3000196</v>
          </cell>
        </row>
        <row r="2728">
          <cell r="U2728">
            <v>153000197</v>
          </cell>
          <cell r="V2728" t="str">
            <v>15</v>
          </cell>
          <cell r="W2728" t="str">
            <v>ΕΛΑΙΩΝΕΣ</v>
          </cell>
          <cell r="X2728" t="str">
            <v>3000197</v>
          </cell>
        </row>
        <row r="2729">
          <cell r="U2729">
            <v>153000198</v>
          </cell>
          <cell r="V2729" t="str">
            <v>15</v>
          </cell>
          <cell r="W2729" t="str">
            <v>ΕΛΑΙΩΝΕΣ</v>
          </cell>
          <cell r="X2729" t="str">
            <v>3000198</v>
          </cell>
        </row>
        <row r="2730">
          <cell r="U2730">
            <v>153000199</v>
          </cell>
          <cell r="V2730" t="str">
            <v>15</v>
          </cell>
          <cell r="W2730" t="str">
            <v>ΕΛΑΙΩΝΕΣ</v>
          </cell>
          <cell r="X2730" t="str">
            <v>3000199</v>
          </cell>
        </row>
        <row r="2731">
          <cell r="U2731">
            <v>153000200</v>
          </cell>
          <cell r="V2731" t="str">
            <v>15</v>
          </cell>
          <cell r="W2731" t="str">
            <v>ΕΛΑΙΩΝΕΣ</v>
          </cell>
          <cell r="X2731" t="str">
            <v>3000200</v>
          </cell>
        </row>
        <row r="2732">
          <cell r="U2732">
            <v>153000201</v>
          </cell>
          <cell r="V2732" t="str">
            <v>15</v>
          </cell>
          <cell r="W2732" t="str">
            <v>ΕΛΑΙΩΝΕΣ</v>
          </cell>
          <cell r="X2732" t="str">
            <v>3000201</v>
          </cell>
        </row>
        <row r="2733">
          <cell r="U2733">
            <v>153000202</v>
          </cell>
          <cell r="V2733" t="str">
            <v>15</v>
          </cell>
          <cell r="W2733" t="str">
            <v>ΕΛΑΙΩΝΕΣ</v>
          </cell>
          <cell r="X2733" t="str">
            <v>3000202</v>
          </cell>
        </row>
        <row r="2734">
          <cell r="U2734">
            <v>153000203</v>
          </cell>
          <cell r="V2734" t="str">
            <v>15</v>
          </cell>
          <cell r="W2734" t="str">
            <v>ΕΛΑΙΩΝΕΣ</v>
          </cell>
          <cell r="X2734" t="str">
            <v>3000203</v>
          </cell>
        </row>
        <row r="2735">
          <cell r="U2735">
            <v>153000204</v>
          </cell>
          <cell r="V2735" t="str">
            <v>15</v>
          </cell>
          <cell r="W2735" t="str">
            <v>ΕΛΑΙΩΝΕΣ</v>
          </cell>
          <cell r="X2735" t="str">
            <v>3000204</v>
          </cell>
        </row>
        <row r="2736">
          <cell r="U2736">
            <v>153000205</v>
          </cell>
          <cell r="V2736" t="str">
            <v>15</v>
          </cell>
          <cell r="W2736" t="str">
            <v>ΕΛΑΙΩΝΕΣ</v>
          </cell>
          <cell r="X2736" t="str">
            <v>3000205</v>
          </cell>
        </row>
        <row r="2737">
          <cell r="U2737">
            <v>153000206</v>
          </cell>
          <cell r="V2737" t="str">
            <v>15</v>
          </cell>
          <cell r="W2737" t="str">
            <v>ΕΛΑΙΩΝΕΣ</v>
          </cell>
          <cell r="X2737" t="str">
            <v>3000206</v>
          </cell>
        </row>
        <row r="2738">
          <cell r="U2738">
            <v>153000207</v>
          </cell>
          <cell r="V2738" t="str">
            <v>15</v>
          </cell>
          <cell r="W2738" t="str">
            <v>ΕΛΑΙΩΝΕΣ</v>
          </cell>
          <cell r="X2738" t="str">
            <v>3000207</v>
          </cell>
        </row>
        <row r="2739">
          <cell r="U2739">
            <v>153000208</v>
          </cell>
          <cell r="V2739" t="str">
            <v>15</v>
          </cell>
          <cell r="W2739" t="str">
            <v>ΕΛΑΙΩΝΕΣ</v>
          </cell>
          <cell r="X2739" t="str">
            <v>3000208</v>
          </cell>
        </row>
        <row r="2740">
          <cell r="U2740">
            <v>153000209</v>
          </cell>
          <cell r="V2740" t="str">
            <v>15</v>
          </cell>
          <cell r="W2740" t="str">
            <v>ΕΛΑΙΩΝΕΣ</v>
          </cell>
          <cell r="X2740" t="str">
            <v>3000209</v>
          </cell>
        </row>
        <row r="2741">
          <cell r="U2741">
            <v>153000210</v>
          </cell>
          <cell r="V2741" t="str">
            <v>15</v>
          </cell>
          <cell r="W2741" t="str">
            <v>ΕΛΑΙΩΝΕΣ</v>
          </cell>
          <cell r="X2741" t="str">
            <v>3000210</v>
          </cell>
        </row>
        <row r="2742">
          <cell r="U2742">
            <v>153000211</v>
          </cell>
          <cell r="V2742" t="str">
            <v>15</v>
          </cell>
          <cell r="W2742" t="str">
            <v>ΕΛΑΙΩΝΕΣ</v>
          </cell>
          <cell r="X2742" t="str">
            <v>3000211</v>
          </cell>
        </row>
        <row r="2743">
          <cell r="U2743">
            <v>153000212</v>
          </cell>
          <cell r="V2743" t="str">
            <v>15</v>
          </cell>
          <cell r="W2743" t="str">
            <v>ΕΛΑΙΩΝΕΣ</v>
          </cell>
          <cell r="X2743" t="str">
            <v>3000212</v>
          </cell>
        </row>
        <row r="2744">
          <cell r="U2744">
            <v>153000213</v>
          </cell>
          <cell r="V2744" t="str">
            <v>15</v>
          </cell>
          <cell r="W2744" t="str">
            <v>ΕΛΑΙΩΝΕΣ</v>
          </cell>
          <cell r="X2744" t="str">
            <v>3000213</v>
          </cell>
        </row>
        <row r="2745">
          <cell r="U2745">
            <v>153000214</v>
          </cell>
          <cell r="V2745" t="str">
            <v>15</v>
          </cell>
          <cell r="W2745" t="str">
            <v>ΕΛΑΙΩΝΕΣ</v>
          </cell>
          <cell r="X2745" t="str">
            <v>3000214</v>
          </cell>
        </row>
        <row r="2746">
          <cell r="U2746">
            <v>153000215</v>
          </cell>
          <cell r="V2746" t="str">
            <v>15</v>
          </cell>
          <cell r="W2746" t="str">
            <v>ΕΛΑΙΩΝΕΣ</v>
          </cell>
          <cell r="X2746" t="str">
            <v>3000215</v>
          </cell>
        </row>
        <row r="2747">
          <cell r="U2747">
            <v>153000216</v>
          </cell>
          <cell r="V2747" t="str">
            <v>15</v>
          </cell>
          <cell r="W2747" t="str">
            <v>ΕΛΑΙΩΝΕΣ</v>
          </cell>
          <cell r="X2747" t="str">
            <v>3000216</v>
          </cell>
        </row>
        <row r="2748">
          <cell r="U2748">
            <v>153000217</v>
          </cell>
          <cell r="V2748" t="str">
            <v>15</v>
          </cell>
          <cell r="W2748" t="str">
            <v>ΕΛΑΙΩΝΕΣ</v>
          </cell>
          <cell r="X2748" t="str">
            <v>3000217</v>
          </cell>
        </row>
        <row r="2749">
          <cell r="U2749">
            <v>153000218</v>
          </cell>
          <cell r="V2749" t="str">
            <v>15</v>
          </cell>
          <cell r="W2749" t="str">
            <v>ΕΛΑΙΩΝΕΣ</v>
          </cell>
          <cell r="X2749" t="str">
            <v>3000218</v>
          </cell>
        </row>
        <row r="2750">
          <cell r="U2750">
            <v>153000219</v>
          </cell>
          <cell r="V2750" t="str">
            <v>15</v>
          </cell>
          <cell r="W2750" t="str">
            <v>ΕΛΑΙΩΝΕΣ</v>
          </cell>
          <cell r="X2750" t="str">
            <v>3000219</v>
          </cell>
        </row>
        <row r="2751">
          <cell r="U2751">
            <v>153000220</v>
          </cell>
          <cell r="V2751" t="str">
            <v>15</v>
          </cell>
          <cell r="W2751" t="str">
            <v>ΕΛΑΙΩΝΕΣ</v>
          </cell>
          <cell r="X2751" t="str">
            <v>3000220</v>
          </cell>
        </row>
        <row r="2752">
          <cell r="U2752">
            <v>153000221</v>
          </cell>
          <cell r="V2752" t="str">
            <v>15</v>
          </cell>
          <cell r="W2752" t="str">
            <v>ΕΛΑΙΩΝΕΣ</v>
          </cell>
          <cell r="X2752" t="str">
            <v>3000221</v>
          </cell>
        </row>
        <row r="2753">
          <cell r="U2753">
            <v>153000222</v>
          </cell>
          <cell r="V2753" t="str">
            <v>15</v>
          </cell>
          <cell r="W2753" t="str">
            <v>ΕΛΑΙΩΝΕΣ</v>
          </cell>
          <cell r="X2753" t="str">
            <v>3000222</v>
          </cell>
        </row>
        <row r="2754">
          <cell r="U2754">
            <v>153000223</v>
          </cell>
          <cell r="V2754" t="str">
            <v>15</v>
          </cell>
          <cell r="W2754" t="str">
            <v>ΕΛΑΙΩΝΕΣ</v>
          </cell>
          <cell r="X2754" t="str">
            <v>3000223</v>
          </cell>
        </row>
        <row r="2755">
          <cell r="U2755">
            <v>153000224</v>
          </cell>
          <cell r="V2755" t="str">
            <v>15</v>
          </cell>
          <cell r="W2755" t="str">
            <v>ΕΛΑΙΩΝΕΣ</v>
          </cell>
          <cell r="X2755" t="str">
            <v>3000224</v>
          </cell>
        </row>
        <row r="2756">
          <cell r="U2756">
            <v>153000225</v>
          </cell>
          <cell r="V2756" t="str">
            <v>15</v>
          </cell>
          <cell r="W2756" t="str">
            <v>ΕΛΑΙΩΝΕΣ</v>
          </cell>
          <cell r="X2756" t="str">
            <v>3000225</v>
          </cell>
        </row>
        <row r="2757">
          <cell r="U2757">
            <v>153000226</v>
          </cell>
          <cell r="V2757" t="str">
            <v>15</v>
          </cell>
          <cell r="W2757" t="str">
            <v>ΕΛΑΙΩΝΕΣ</v>
          </cell>
          <cell r="X2757" t="str">
            <v>3000226</v>
          </cell>
        </row>
        <row r="2758">
          <cell r="U2758">
            <v>153000227</v>
          </cell>
          <cell r="V2758" t="str">
            <v>15</v>
          </cell>
          <cell r="W2758" t="str">
            <v>ΕΛΑΙΩΝΕΣ</v>
          </cell>
          <cell r="X2758" t="str">
            <v>3000227</v>
          </cell>
        </row>
        <row r="2759">
          <cell r="U2759">
            <v>153000228</v>
          </cell>
          <cell r="V2759" t="str">
            <v>15</v>
          </cell>
          <cell r="W2759" t="str">
            <v>ΕΛΑΙΩΝΕΣ</v>
          </cell>
          <cell r="X2759" t="str">
            <v>3000228</v>
          </cell>
        </row>
        <row r="2760">
          <cell r="U2760">
            <v>153000229</v>
          </cell>
          <cell r="V2760" t="str">
            <v>15</v>
          </cell>
          <cell r="W2760" t="str">
            <v>ΕΛΑΙΩΝΕΣ</v>
          </cell>
          <cell r="X2760" t="str">
            <v>3000229</v>
          </cell>
        </row>
        <row r="2761">
          <cell r="U2761">
            <v>153000230</v>
          </cell>
          <cell r="V2761" t="str">
            <v>15</v>
          </cell>
          <cell r="W2761" t="str">
            <v>ΕΛΑΙΩΝΕΣ</v>
          </cell>
          <cell r="X2761" t="str">
            <v>3000230</v>
          </cell>
        </row>
        <row r="2762">
          <cell r="U2762">
            <v>153000231</v>
          </cell>
          <cell r="V2762" t="str">
            <v>15</v>
          </cell>
          <cell r="W2762" t="str">
            <v>ΕΛΑΙΩΝΕΣ</v>
          </cell>
          <cell r="X2762" t="str">
            <v>3000231</v>
          </cell>
        </row>
        <row r="2763">
          <cell r="U2763">
            <v>153000589</v>
          </cell>
          <cell r="V2763" t="str">
            <v>15</v>
          </cell>
          <cell r="W2763" t="str">
            <v>ΕΛΑΙΩΝΕΣ</v>
          </cell>
          <cell r="X2763" t="str">
            <v>3000589</v>
          </cell>
        </row>
        <row r="2764">
          <cell r="U2764">
            <v>153000648</v>
          </cell>
          <cell r="V2764" t="str">
            <v>15</v>
          </cell>
          <cell r="W2764" t="str">
            <v>ΕΛΑΙΩΝΕΣ</v>
          </cell>
          <cell r="X2764" t="str">
            <v>3000648</v>
          </cell>
        </row>
        <row r="2765">
          <cell r="U2765">
            <v>153000649</v>
          </cell>
          <cell r="V2765" t="str">
            <v>15</v>
          </cell>
          <cell r="W2765" t="str">
            <v>ΕΛΑΙΩΝΕΣ</v>
          </cell>
          <cell r="X2765" t="str">
            <v>3000649</v>
          </cell>
        </row>
        <row r="2766">
          <cell r="U2766">
            <v>153000650</v>
          </cell>
          <cell r="V2766" t="str">
            <v>15</v>
          </cell>
          <cell r="W2766" t="str">
            <v>ΕΛΑΙΩΝΕΣ</v>
          </cell>
          <cell r="X2766" t="str">
            <v>3000650</v>
          </cell>
        </row>
        <row r="2767">
          <cell r="U2767">
            <v>153000651</v>
          </cell>
          <cell r="V2767" t="str">
            <v>15</v>
          </cell>
          <cell r="W2767" t="str">
            <v>ΕΛΑΙΩΝΕΣ</v>
          </cell>
          <cell r="X2767" t="str">
            <v>3000651</v>
          </cell>
        </row>
        <row r="2768">
          <cell r="U2768">
            <v>153000652</v>
          </cell>
          <cell r="V2768" t="str">
            <v>15</v>
          </cell>
          <cell r="W2768" t="str">
            <v>ΕΛΑΙΩΝΕΣ</v>
          </cell>
          <cell r="X2768" t="str">
            <v>3000652</v>
          </cell>
        </row>
        <row r="2769">
          <cell r="U2769">
            <v>153000653</v>
          </cell>
          <cell r="V2769" t="str">
            <v>15</v>
          </cell>
          <cell r="W2769" t="str">
            <v>ΕΛΑΙΩΝΕΣ</v>
          </cell>
          <cell r="X2769" t="str">
            <v>3000653</v>
          </cell>
        </row>
        <row r="2770">
          <cell r="U2770">
            <v>153000654</v>
          </cell>
          <cell r="V2770" t="str">
            <v>15</v>
          </cell>
          <cell r="W2770" t="str">
            <v>ΕΛΑΙΩΝΕΣ</v>
          </cell>
          <cell r="X2770" t="str">
            <v>3000654</v>
          </cell>
        </row>
        <row r="2771">
          <cell r="U2771">
            <v>153000655</v>
          </cell>
          <cell r="V2771" t="str">
            <v>15</v>
          </cell>
          <cell r="W2771" t="str">
            <v>ΕΛΑΙΩΝΕΣ</v>
          </cell>
          <cell r="X2771" t="str">
            <v>3000655</v>
          </cell>
        </row>
        <row r="2772">
          <cell r="U2772">
            <v>153000656</v>
          </cell>
          <cell r="V2772" t="str">
            <v>15</v>
          </cell>
          <cell r="W2772" t="str">
            <v>ΕΛΑΙΩΝΕΣ</v>
          </cell>
          <cell r="X2772" t="str">
            <v>3000656</v>
          </cell>
        </row>
        <row r="2773">
          <cell r="U2773">
            <v>153000657</v>
          </cell>
          <cell r="V2773" t="str">
            <v>15</v>
          </cell>
          <cell r="W2773" t="str">
            <v>ΕΛΑΙΩΝΕΣ</v>
          </cell>
          <cell r="X2773" t="str">
            <v>3000657</v>
          </cell>
        </row>
        <row r="2774">
          <cell r="U2774">
            <v>153000658</v>
          </cell>
          <cell r="V2774" t="str">
            <v>15</v>
          </cell>
          <cell r="W2774" t="str">
            <v>ΕΛΑΙΩΝΕΣ</v>
          </cell>
          <cell r="X2774" t="str">
            <v>3000658</v>
          </cell>
        </row>
        <row r="2775">
          <cell r="U2775">
            <v>153000659</v>
          </cell>
          <cell r="V2775" t="str">
            <v>15</v>
          </cell>
          <cell r="W2775" t="str">
            <v>ΕΛΑΙΩΝΕΣ</v>
          </cell>
          <cell r="X2775" t="str">
            <v>3000659</v>
          </cell>
        </row>
        <row r="2776">
          <cell r="U2776">
            <v>153000660</v>
          </cell>
          <cell r="V2776" t="str">
            <v>15</v>
          </cell>
          <cell r="W2776" t="str">
            <v>ΕΛΑΙΩΝΕΣ</v>
          </cell>
          <cell r="X2776" t="str">
            <v>3000660</v>
          </cell>
        </row>
        <row r="2777">
          <cell r="U2777">
            <v>153000661</v>
          </cell>
          <cell r="V2777" t="str">
            <v>15</v>
          </cell>
          <cell r="W2777" t="str">
            <v>ΕΛΑΙΩΝΕΣ</v>
          </cell>
          <cell r="X2777" t="str">
            <v>3000661</v>
          </cell>
        </row>
        <row r="2778">
          <cell r="U2778">
            <v>153000662</v>
          </cell>
          <cell r="V2778" t="str">
            <v>15</v>
          </cell>
          <cell r="W2778" t="str">
            <v>ΕΛΑΙΩΝΕΣ</v>
          </cell>
          <cell r="X2778" t="str">
            <v>3000662</v>
          </cell>
        </row>
        <row r="2779">
          <cell r="U2779">
            <v>153000663</v>
          </cell>
          <cell r="V2779" t="str">
            <v>15</v>
          </cell>
          <cell r="W2779" t="str">
            <v>ΕΛΑΙΩΝΕΣ</v>
          </cell>
          <cell r="X2779" t="str">
            <v>3000663</v>
          </cell>
        </row>
        <row r="2780">
          <cell r="U2780">
            <v>153000664</v>
          </cell>
          <cell r="V2780" t="str">
            <v>15</v>
          </cell>
          <cell r="W2780" t="str">
            <v>ΕΛΑΙΩΝΕΣ</v>
          </cell>
          <cell r="X2780" t="str">
            <v>3000664</v>
          </cell>
        </row>
        <row r="2781">
          <cell r="U2781">
            <v>153000665</v>
          </cell>
          <cell r="V2781" t="str">
            <v>15</v>
          </cell>
          <cell r="W2781" t="str">
            <v>ΕΛΑΙΩΝΕΣ</v>
          </cell>
          <cell r="X2781" t="str">
            <v>3000665</v>
          </cell>
        </row>
        <row r="2782">
          <cell r="U2782">
            <v>153000666</v>
          </cell>
          <cell r="V2782" t="str">
            <v>15</v>
          </cell>
          <cell r="W2782" t="str">
            <v>ΕΛΑΙΩΝΕΣ</v>
          </cell>
          <cell r="X2782" t="str">
            <v>3000666</v>
          </cell>
        </row>
        <row r="2783">
          <cell r="U2783">
            <v>153000667</v>
          </cell>
          <cell r="V2783" t="str">
            <v>15</v>
          </cell>
          <cell r="W2783" t="str">
            <v>ΕΛΑΙΩΝΕΣ</v>
          </cell>
          <cell r="X2783" t="str">
            <v>3000667</v>
          </cell>
        </row>
        <row r="2784">
          <cell r="U2784">
            <v>153000668</v>
          </cell>
          <cell r="V2784" t="str">
            <v>15</v>
          </cell>
          <cell r="W2784" t="str">
            <v>ΕΛΑΙΩΝΕΣ</v>
          </cell>
          <cell r="X2784" t="str">
            <v>3000668</v>
          </cell>
        </row>
        <row r="2785">
          <cell r="U2785">
            <v>153000669</v>
          </cell>
          <cell r="V2785" t="str">
            <v>15</v>
          </cell>
          <cell r="W2785" t="str">
            <v>ΕΛΑΙΩΝΕΣ</v>
          </cell>
          <cell r="X2785" t="str">
            <v>3000669</v>
          </cell>
        </row>
        <row r="2786">
          <cell r="U2786">
            <v>153000670</v>
          </cell>
          <cell r="V2786" t="str">
            <v>15</v>
          </cell>
          <cell r="W2786" t="str">
            <v>ΕΛΑΙΩΝΕΣ</v>
          </cell>
          <cell r="X2786" t="str">
            <v>3000670</v>
          </cell>
        </row>
        <row r="2787">
          <cell r="U2787">
            <v>153000671</v>
          </cell>
          <cell r="V2787" t="str">
            <v>15</v>
          </cell>
          <cell r="W2787" t="str">
            <v>ΕΛΑΙΩΝΕΣ</v>
          </cell>
          <cell r="X2787" t="str">
            <v>3000671</v>
          </cell>
        </row>
        <row r="2788">
          <cell r="U2788">
            <v>153000672</v>
          </cell>
          <cell r="V2788" t="str">
            <v>15</v>
          </cell>
          <cell r="W2788" t="str">
            <v>ΕΛΑΙΩΝΕΣ</v>
          </cell>
          <cell r="X2788" t="str">
            <v>3000672</v>
          </cell>
        </row>
        <row r="2789">
          <cell r="U2789">
            <v>153000673</v>
          </cell>
          <cell r="V2789" t="str">
            <v>15</v>
          </cell>
          <cell r="W2789" t="str">
            <v>ΕΛΑΙΩΝΕΣ</v>
          </cell>
          <cell r="X2789" t="str">
            <v>3000673</v>
          </cell>
        </row>
        <row r="2790">
          <cell r="U2790">
            <v>153000674</v>
          </cell>
          <cell r="V2790" t="str">
            <v>15</v>
          </cell>
          <cell r="W2790" t="str">
            <v>ΕΛΑΙΩΝΕΣ</v>
          </cell>
          <cell r="X2790" t="str">
            <v>3000674</v>
          </cell>
        </row>
        <row r="2791">
          <cell r="U2791">
            <v>153000675</v>
          </cell>
          <cell r="V2791" t="str">
            <v>15</v>
          </cell>
          <cell r="W2791" t="str">
            <v>ΕΛΑΙΩΝΕΣ</v>
          </cell>
          <cell r="X2791" t="str">
            <v>3000675</v>
          </cell>
        </row>
        <row r="2792">
          <cell r="U2792">
            <v>153000676</v>
          </cell>
          <cell r="V2792" t="str">
            <v>15</v>
          </cell>
          <cell r="W2792" t="str">
            <v>ΕΛΑΙΩΝΕΣ</v>
          </cell>
          <cell r="X2792" t="str">
            <v>3000676</v>
          </cell>
        </row>
        <row r="2793">
          <cell r="U2793">
            <v>153000677</v>
          </cell>
          <cell r="V2793" t="str">
            <v>15</v>
          </cell>
          <cell r="W2793" t="str">
            <v>ΕΛΑΙΩΝΕΣ</v>
          </cell>
          <cell r="X2793" t="str">
            <v>3000677</v>
          </cell>
        </row>
        <row r="2794">
          <cell r="U2794">
            <v>153008192</v>
          </cell>
          <cell r="V2794" t="str">
            <v>15</v>
          </cell>
          <cell r="W2794" t="str">
            <v>ΕΛΑΙΩΝΕΣ</v>
          </cell>
          <cell r="X2794" t="str">
            <v>3008192</v>
          </cell>
        </row>
        <row r="2795">
          <cell r="U2795">
            <v>299107013</v>
          </cell>
          <cell r="V2795" t="str">
            <v>29</v>
          </cell>
          <cell r="W2795" t="str">
            <v>ΜΠΑΝΑΝΕΣ</v>
          </cell>
          <cell r="X2795" t="str">
            <v>9107013</v>
          </cell>
        </row>
        <row r="2796">
          <cell r="U2796">
            <v>363931503</v>
          </cell>
          <cell r="V2796" t="str">
            <v>36.3</v>
          </cell>
          <cell r="W2796" t="str">
            <v>ΑΜΠΕΛΩΝΕΣ ΓΙΑ ΕΠΙΤΡΑΠΕΖΙΑ ΧΡΗΣΗ</v>
          </cell>
          <cell r="X2796" t="str">
            <v>931503</v>
          </cell>
        </row>
        <row r="2797">
          <cell r="U2797">
            <v>389107034</v>
          </cell>
          <cell r="V2797" t="str">
            <v>38</v>
          </cell>
          <cell r="W2797" t="str">
            <v>ΚΗΠΕΥΤΙΚΑ</v>
          </cell>
          <cell r="X2797" t="str">
            <v>9107034</v>
          </cell>
        </row>
        <row r="2798">
          <cell r="U2798">
            <v>399107002</v>
          </cell>
          <cell r="V2798" t="str">
            <v>39</v>
          </cell>
          <cell r="W2798" t="str">
            <v>ΚΗΠΕΥΤΙΚΑ ΥΠΟ ΚΑΛΥΨΗ</v>
          </cell>
          <cell r="X2798" t="str">
            <v>9107002</v>
          </cell>
        </row>
        <row r="2799">
          <cell r="U2799">
            <v>399107003</v>
          </cell>
          <cell r="V2799" t="str">
            <v>39</v>
          </cell>
          <cell r="W2799" t="str">
            <v>ΚΗΠΕΥΤΙΚΑ ΥΠΟ ΚΑΛΥΨΗ</v>
          </cell>
          <cell r="X2799" t="str">
            <v>9107003</v>
          </cell>
        </row>
        <row r="2800">
          <cell r="U2800">
            <v>399107004</v>
          </cell>
          <cell r="V2800" t="str">
            <v>39</v>
          </cell>
          <cell r="W2800" t="str">
            <v>ΚΗΠΕΥΤΙΚΑ ΥΠΟ ΚΑΛΥΨΗ</v>
          </cell>
          <cell r="X2800" t="str">
            <v>9107004</v>
          </cell>
        </row>
        <row r="2801">
          <cell r="U2801">
            <v>399107005</v>
          </cell>
          <cell r="V2801" t="str">
            <v>39</v>
          </cell>
          <cell r="W2801" t="str">
            <v>ΚΗΠΕΥΤΙΚΑ ΥΠΟ ΚΑΛΥΨΗ</v>
          </cell>
          <cell r="X2801" t="str">
            <v>9107005</v>
          </cell>
        </row>
        <row r="2802">
          <cell r="U2802">
            <v>399107006</v>
          </cell>
          <cell r="V2802" t="str">
            <v>39</v>
          </cell>
          <cell r="W2802" t="str">
            <v>ΚΗΠΕΥΤΙΚΑ ΥΠΟ ΚΑΛΥΨΗ</v>
          </cell>
          <cell r="X2802" t="str">
            <v>9107006</v>
          </cell>
        </row>
        <row r="2803">
          <cell r="U2803">
            <v>399107007</v>
          </cell>
          <cell r="V2803" t="str">
            <v>39</v>
          </cell>
          <cell r="W2803" t="str">
            <v>ΚΗΠΕΥΤΙΚΑ ΥΠΟ ΚΑΛΥΨΗ</v>
          </cell>
          <cell r="X2803" t="str">
            <v>9107007</v>
          </cell>
        </row>
        <row r="2804">
          <cell r="U2804">
            <v>399107008</v>
          </cell>
          <cell r="V2804" t="str">
            <v>39</v>
          </cell>
          <cell r="W2804" t="str">
            <v>ΚΗΠΕΥΤΙΚΑ ΥΠΟ ΚΑΛΥΨΗ</v>
          </cell>
          <cell r="X2804" t="str">
            <v>9107008</v>
          </cell>
        </row>
        <row r="2805">
          <cell r="U2805">
            <v>399107009</v>
          </cell>
          <cell r="V2805" t="str">
            <v>39</v>
          </cell>
          <cell r="W2805" t="str">
            <v>ΚΗΠΕΥΤΙΚΑ ΥΠΟ ΚΑΛΥΨΗ</v>
          </cell>
          <cell r="X2805" t="str">
            <v>9107009</v>
          </cell>
        </row>
        <row r="2806">
          <cell r="U2806">
            <v>399107010</v>
          </cell>
          <cell r="V2806" t="str">
            <v>39</v>
          </cell>
          <cell r="W2806" t="str">
            <v>ΚΗΠΕΥΤΙΚΑ ΥΠΟ ΚΑΛΥΨΗ</v>
          </cell>
          <cell r="X2806" t="str">
            <v>9107010</v>
          </cell>
        </row>
        <row r="2807">
          <cell r="U2807">
            <v>399107011</v>
          </cell>
          <cell r="V2807" t="str">
            <v>39</v>
          </cell>
          <cell r="W2807" t="str">
            <v>ΚΗΠΕΥΤΙΚΑ ΥΠΟ ΚΑΛΥΨΗ</v>
          </cell>
          <cell r="X2807" t="str">
            <v>9107011</v>
          </cell>
        </row>
        <row r="2808">
          <cell r="U2808">
            <v>399107034</v>
          </cell>
          <cell r="V2808" t="str">
            <v>39</v>
          </cell>
          <cell r="W2808" t="str">
            <v>ΚΗΠΕΥΤΙΚΑ ΥΠΟ ΚΑΛΥΨΗ</v>
          </cell>
          <cell r="X2808" t="str">
            <v>9107034</v>
          </cell>
        </row>
        <row r="2809">
          <cell r="U2809">
            <v>489108000</v>
          </cell>
          <cell r="V2809" t="str">
            <v>48</v>
          </cell>
          <cell r="W2809" t="str">
            <v>ΕΚΤΑΣΕΙΣ ΜΕ ΑΠΕ</v>
          </cell>
          <cell r="X2809" t="str">
            <v>9108000</v>
          </cell>
        </row>
        <row r="2810">
          <cell r="U2810">
            <v>499108001</v>
          </cell>
          <cell r="V2810" t="str">
            <v>49</v>
          </cell>
          <cell r="W2810" t="str">
            <v>ΔΑΣΙΚΑ ΔΕΝΤΡΑ</v>
          </cell>
          <cell r="X2810" t="str">
            <v>9108001</v>
          </cell>
        </row>
        <row r="2811">
          <cell r="U2811">
            <v>499108003</v>
          </cell>
          <cell r="V2811" t="str">
            <v>49</v>
          </cell>
          <cell r="W2811" t="str">
            <v>ΔΑΣΙΚΑ ΔΕΝΤΡΑ</v>
          </cell>
          <cell r="X2811" t="str">
            <v>9108003</v>
          </cell>
        </row>
        <row r="2812">
          <cell r="U2812">
            <v>499108004</v>
          </cell>
          <cell r="V2812" t="str">
            <v>49</v>
          </cell>
          <cell r="W2812" t="str">
            <v>ΔΑΣΙΚΑ ΔΕΝΤΡΑ</v>
          </cell>
          <cell r="X2812" t="str">
            <v>9108004</v>
          </cell>
        </row>
        <row r="2813">
          <cell r="U2813">
            <v>45195771700</v>
          </cell>
          <cell r="V2813" t="str">
            <v>45.1</v>
          </cell>
          <cell r="W2813" t="str">
            <v>ΛΟΙΠΕΣ ΚΑΛΛΙΕΡΓΕΙΕΣ</v>
          </cell>
          <cell r="X2813" t="str">
            <v>95771700</v>
          </cell>
        </row>
        <row r="2814">
          <cell r="U2814">
            <v>45195771701</v>
          </cell>
          <cell r="V2814" t="str">
            <v>45.1</v>
          </cell>
          <cell r="W2814" t="str">
            <v>ΛΟΙΠΕΣ ΚΑΛΛΙΕΡΓΕΙΕΣ</v>
          </cell>
          <cell r="X2814" t="str">
            <v>95771701</v>
          </cell>
        </row>
        <row r="2815">
          <cell r="U2815" t="str">
            <v/>
          </cell>
        </row>
        <row r="2816">
          <cell r="U2816" t="str">
            <v/>
          </cell>
        </row>
        <row r="2817">
          <cell r="U2817" t="str">
            <v/>
          </cell>
        </row>
        <row r="2818">
          <cell r="U2818" t="str">
            <v/>
          </cell>
        </row>
        <row r="2819">
          <cell r="U2819" t="str">
            <v/>
          </cell>
        </row>
        <row r="2820">
          <cell r="U2820" t="str">
            <v/>
          </cell>
        </row>
        <row r="2821">
          <cell r="U2821" t="str">
            <v/>
          </cell>
        </row>
        <row r="2822">
          <cell r="U2822" t="str">
            <v/>
          </cell>
        </row>
        <row r="2823">
          <cell r="U2823" t="str">
            <v/>
          </cell>
        </row>
        <row r="2824">
          <cell r="U2824" t="str">
            <v/>
          </cell>
        </row>
        <row r="2825">
          <cell r="U2825" t="str">
            <v/>
          </cell>
        </row>
        <row r="2826">
          <cell r="U2826" t="str">
            <v/>
          </cell>
        </row>
        <row r="2827">
          <cell r="U2827" t="str">
            <v/>
          </cell>
        </row>
        <row r="2828">
          <cell r="U2828" t="str">
            <v/>
          </cell>
        </row>
        <row r="2829">
          <cell r="U2829" t="str">
            <v/>
          </cell>
        </row>
        <row r="2830">
          <cell r="U2830" t="str">
            <v/>
          </cell>
        </row>
        <row r="2831">
          <cell r="U2831" t="str">
            <v/>
          </cell>
        </row>
        <row r="2832">
          <cell r="U2832" t="str">
            <v/>
          </cell>
        </row>
        <row r="2833">
          <cell r="U2833" t="str">
            <v/>
          </cell>
        </row>
        <row r="2834">
          <cell r="U2834" t="str">
            <v/>
          </cell>
        </row>
        <row r="2835">
          <cell r="U2835" t="str">
            <v/>
          </cell>
        </row>
        <row r="2836">
          <cell r="U2836" t="str">
            <v/>
          </cell>
        </row>
        <row r="2837">
          <cell r="U2837" t="str">
            <v/>
          </cell>
        </row>
        <row r="2838">
          <cell r="U2838" t="str">
            <v/>
          </cell>
        </row>
        <row r="2839">
          <cell r="U2839" t="str">
            <v/>
          </cell>
        </row>
        <row r="2840">
          <cell r="U2840" t="str">
            <v/>
          </cell>
        </row>
        <row r="2841">
          <cell r="U2841" t="str">
            <v/>
          </cell>
        </row>
        <row r="2842">
          <cell r="U2842" t="str">
            <v/>
          </cell>
        </row>
        <row r="2843">
          <cell r="U2843" t="str">
            <v/>
          </cell>
        </row>
        <row r="2844">
          <cell r="U2844" t="str">
            <v/>
          </cell>
        </row>
        <row r="2845">
          <cell r="U2845" t="str">
            <v/>
          </cell>
        </row>
        <row r="2846">
          <cell r="U2846" t="str">
            <v/>
          </cell>
        </row>
        <row r="2847">
          <cell r="U2847" t="str">
            <v/>
          </cell>
        </row>
        <row r="2848">
          <cell r="U2848" t="str">
            <v/>
          </cell>
        </row>
        <row r="2849">
          <cell r="U2849" t="str">
            <v/>
          </cell>
        </row>
        <row r="2850">
          <cell r="U2850" t="str">
            <v/>
          </cell>
        </row>
        <row r="2851">
          <cell r="U2851" t="str">
            <v/>
          </cell>
        </row>
        <row r="2852">
          <cell r="U2852" t="str">
            <v/>
          </cell>
        </row>
        <row r="2853">
          <cell r="U2853" t="str">
            <v/>
          </cell>
        </row>
        <row r="2854">
          <cell r="U2854" t="str">
            <v/>
          </cell>
        </row>
        <row r="2855">
          <cell r="U2855" t="str">
            <v/>
          </cell>
        </row>
        <row r="2856">
          <cell r="U2856" t="str">
            <v/>
          </cell>
        </row>
        <row r="2857">
          <cell r="U2857" t="str">
            <v/>
          </cell>
        </row>
        <row r="2858">
          <cell r="U2858" t="str">
            <v/>
          </cell>
        </row>
        <row r="2859">
          <cell r="U2859" t="str">
            <v/>
          </cell>
        </row>
        <row r="2860">
          <cell r="U2860" t="str">
            <v/>
          </cell>
        </row>
        <row r="2861">
          <cell r="U2861" t="str">
            <v/>
          </cell>
        </row>
        <row r="2862">
          <cell r="U2862" t="str">
            <v/>
          </cell>
        </row>
        <row r="2863">
          <cell r="U2863" t="str">
            <v/>
          </cell>
        </row>
        <row r="2864">
          <cell r="U2864" t="str">
            <v/>
          </cell>
        </row>
        <row r="2865">
          <cell r="U2865" t="str">
            <v/>
          </cell>
        </row>
        <row r="2866">
          <cell r="U2866" t="str">
            <v/>
          </cell>
        </row>
        <row r="2867">
          <cell r="U2867" t="str">
            <v/>
          </cell>
        </row>
        <row r="2868">
          <cell r="U2868" t="str">
            <v/>
          </cell>
        </row>
        <row r="2869">
          <cell r="U2869" t="str">
            <v/>
          </cell>
        </row>
        <row r="2870">
          <cell r="U2870" t="str">
            <v/>
          </cell>
        </row>
        <row r="2871">
          <cell r="U2871" t="str">
            <v/>
          </cell>
        </row>
        <row r="2872">
          <cell r="U2872" t="str">
            <v/>
          </cell>
        </row>
        <row r="2873">
          <cell r="U2873" t="str">
            <v/>
          </cell>
        </row>
        <row r="2874">
          <cell r="U2874" t="str">
            <v/>
          </cell>
        </row>
        <row r="2875">
          <cell r="U2875" t="str">
            <v/>
          </cell>
        </row>
        <row r="2876">
          <cell r="U2876" t="str">
            <v/>
          </cell>
        </row>
        <row r="2877">
          <cell r="U2877" t="str">
            <v/>
          </cell>
        </row>
        <row r="2878">
          <cell r="U2878" t="str">
            <v/>
          </cell>
        </row>
        <row r="2879">
          <cell r="U2879" t="str">
            <v/>
          </cell>
        </row>
        <row r="2880">
          <cell r="U2880" t="str">
            <v/>
          </cell>
        </row>
        <row r="2881">
          <cell r="U2881" t="str">
            <v/>
          </cell>
        </row>
        <row r="2882">
          <cell r="U2882" t="str">
            <v/>
          </cell>
        </row>
        <row r="2883">
          <cell r="U2883" t="str">
            <v/>
          </cell>
        </row>
        <row r="2884">
          <cell r="U2884" t="str">
            <v/>
          </cell>
        </row>
        <row r="2885">
          <cell r="U2885" t="str">
            <v/>
          </cell>
        </row>
        <row r="2886">
          <cell r="U2886" t="str">
            <v/>
          </cell>
        </row>
        <row r="2887">
          <cell r="U2887" t="str">
            <v/>
          </cell>
        </row>
        <row r="2888">
          <cell r="U2888" t="str">
            <v/>
          </cell>
        </row>
        <row r="2889">
          <cell r="U2889" t="str">
            <v/>
          </cell>
        </row>
        <row r="2890">
          <cell r="U2890" t="str">
            <v/>
          </cell>
        </row>
        <row r="2891">
          <cell r="U2891" t="str">
            <v/>
          </cell>
        </row>
        <row r="2892">
          <cell r="U2892" t="str">
            <v/>
          </cell>
        </row>
        <row r="2893">
          <cell r="U2893" t="str">
            <v/>
          </cell>
        </row>
        <row r="2894">
          <cell r="U2894" t="str">
            <v/>
          </cell>
        </row>
        <row r="2895">
          <cell r="U2895" t="str">
            <v/>
          </cell>
        </row>
        <row r="2896">
          <cell r="U2896" t="str">
            <v/>
          </cell>
        </row>
        <row r="2897">
          <cell r="U2897" t="str">
            <v/>
          </cell>
        </row>
        <row r="2898">
          <cell r="U2898" t="str">
            <v/>
          </cell>
        </row>
        <row r="2899">
          <cell r="U2899" t="str">
            <v/>
          </cell>
        </row>
        <row r="2900">
          <cell r="U2900" t="str">
            <v/>
          </cell>
        </row>
        <row r="2901">
          <cell r="U2901" t="str">
            <v/>
          </cell>
        </row>
        <row r="2902">
          <cell r="U2902" t="str">
            <v/>
          </cell>
        </row>
        <row r="2903">
          <cell r="U2903" t="str">
            <v/>
          </cell>
        </row>
        <row r="2904">
          <cell r="U2904" t="str">
            <v/>
          </cell>
        </row>
        <row r="2905">
          <cell r="U2905" t="str">
            <v/>
          </cell>
        </row>
        <row r="2906">
          <cell r="U2906" t="str">
            <v/>
          </cell>
        </row>
        <row r="2907">
          <cell r="U2907" t="str">
            <v/>
          </cell>
        </row>
        <row r="2908">
          <cell r="U2908" t="str">
            <v/>
          </cell>
        </row>
        <row r="2909">
          <cell r="U2909" t="str">
            <v/>
          </cell>
        </row>
        <row r="2910">
          <cell r="U2910" t="str">
            <v/>
          </cell>
        </row>
        <row r="2911">
          <cell r="U2911" t="str">
            <v/>
          </cell>
        </row>
        <row r="2912">
          <cell r="U2912" t="str">
            <v/>
          </cell>
        </row>
        <row r="2913">
          <cell r="U2913" t="str">
            <v/>
          </cell>
        </row>
        <row r="2914">
          <cell r="U2914" t="str">
            <v/>
          </cell>
        </row>
        <row r="2915">
          <cell r="U2915" t="str">
            <v/>
          </cell>
        </row>
        <row r="2916">
          <cell r="U2916" t="str">
            <v/>
          </cell>
        </row>
        <row r="2917">
          <cell r="U2917" t="str">
            <v/>
          </cell>
        </row>
        <row r="2918">
          <cell r="U2918" t="str">
            <v/>
          </cell>
        </row>
        <row r="2919">
          <cell r="U2919" t="str">
            <v/>
          </cell>
        </row>
        <row r="2920">
          <cell r="U2920" t="str">
            <v/>
          </cell>
        </row>
        <row r="2921">
          <cell r="U2921" t="str">
            <v/>
          </cell>
        </row>
        <row r="2922">
          <cell r="U2922" t="str">
            <v/>
          </cell>
        </row>
        <row r="2923">
          <cell r="U2923" t="str">
            <v/>
          </cell>
        </row>
        <row r="2924">
          <cell r="U2924" t="str">
            <v/>
          </cell>
        </row>
        <row r="2925">
          <cell r="U2925" t="str">
            <v/>
          </cell>
        </row>
        <row r="2926">
          <cell r="U2926" t="str">
            <v/>
          </cell>
        </row>
        <row r="2927">
          <cell r="U2927" t="str">
            <v/>
          </cell>
        </row>
        <row r="2928">
          <cell r="U2928" t="str">
            <v/>
          </cell>
        </row>
        <row r="2929">
          <cell r="U2929" t="str">
            <v/>
          </cell>
        </row>
        <row r="2930">
          <cell r="U2930" t="str">
            <v/>
          </cell>
        </row>
        <row r="2931">
          <cell r="U2931" t="str">
            <v/>
          </cell>
        </row>
        <row r="2932">
          <cell r="U2932" t="str">
            <v/>
          </cell>
        </row>
        <row r="2933">
          <cell r="U2933" t="str">
            <v/>
          </cell>
        </row>
        <row r="2934">
          <cell r="U2934" t="str">
            <v/>
          </cell>
        </row>
        <row r="2935">
          <cell r="U2935" t="str">
            <v/>
          </cell>
        </row>
        <row r="2936">
          <cell r="U2936" t="str">
            <v/>
          </cell>
        </row>
        <row r="2937">
          <cell r="U2937" t="str">
            <v/>
          </cell>
        </row>
        <row r="2938">
          <cell r="U2938" t="str">
            <v/>
          </cell>
        </row>
        <row r="2939">
          <cell r="U2939" t="str">
            <v/>
          </cell>
        </row>
        <row r="2940">
          <cell r="U2940" t="str">
            <v/>
          </cell>
        </row>
        <row r="2941">
          <cell r="U2941" t="str">
            <v/>
          </cell>
        </row>
        <row r="2942">
          <cell r="U2942" t="str">
            <v/>
          </cell>
        </row>
        <row r="2943">
          <cell r="U2943" t="str">
            <v/>
          </cell>
        </row>
        <row r="2944">
          <cell r="U2944" t="str">
            <v/>
          </cell>
        </row>
        <row r="2945">
          <cell r="U2945" t="str">
            <v/>
          </cell>
        </row>
        <row r="2946">
          <cell r="U2946" t="str">
            <v/>
          </cell>
        </row>
        <row r="2947">
          <cell r="U2947" t="str">
            <v/>
          </cell>
        </row>
        <row r="2948">
          <cell r="U2948" t="str">
            <v/>
          </cell>
        </row>
        <row r="2949">
          <cell r="U2949" t="str">
            <v/>
          </cell>
        </row>
        <row r="2950">
          <cell r="U2950" t="str">
            <v/>
          </cell>
        </row>
        <row r="2951">
          <cell r="U2951" t="str">
            <v/>
          </cell>
        </row>
        <row r="2952">
          <cell r="U2952" t="str">
            <v/>
          </cell>
        </row>
        <row r="2953">
          <cell r="U2953" t="str">
            <v/>
          </cell>
        </row>
        <row r="2954">
          <cell r="U2954" t="str">
            <v/>
          </cell>
        </row>
      </sheetData>
      <sheetData sheetId="4"/>
      <sheetData sheetId="5">
        <row r="2">
          <cell r="D2" t="str">
            <v>ΑΓΡΑΝΑΠΑΥΣΗ1000</v>
          </cell>
          <cell r="E2" t="str">
            <v>ΕΚΤΑΣΗ ΣΕ ΚΑΛΗ ΓΕΩΡΓΙΚΗ ΚΑΤΑΣΤΑΣΗ</v>
          </cell>
          <cell r="K2" t="str">
            <v>Ναι</v>
          </cell>
          <cell r="L2" t="str">
            <v>ΝΑΙ</v>
          </cell>
          <cell r="O2" t="str">
            <v/>
          </cell>
        </row>
        <row r="3">
          <cell r="D3" t="str">
            <v>ΑΚΡΟΔΡΥΑ (ΚΑΡΠΟΙ ΜΕ ΚΕΛΥΦΟΣ)21001</v>
          </cell>
          <cell r="E3" t="str">
            <v>ΑΜΥΓΔΑΛΑ ΑΦΡΑΤΑ ΣΥΜΜΕΤΡΙΚΗ</v>
          </cell>
          <cell r="F3" t="str">
            <v>B_4_1_3</v>
          </cell>
          <cell r="G3" t="str">
            <v xml:space="preserve">Καρποί με κέλυφος </v>
          </cell>
          <cell r="H3">
            <v>5057</v>
          </cell>
          <cell r="J3" t="str">
            <v>Ναι</v>
          </cell>
          <cell r="K3" t="str">
            <v>Όχι</v>
          </cell>
          <cell r="L3" t="str">
            <v>ΌΧΙ</v>
          </cell>
          <cell r="O3" t="str">
            <v/>
          </cell>
        </row>
        <row r="4">
          <cell r="D4" t="str">
            <v>ΑΚΡΟΔΡΥΑ (ΚΑΡΠΟΙ ΜΕ ΚΕΛΥΦΟΣ)21002</v>
          </cell>
          <cell r="E4" t="str">
            <v>ΑΜΥΓΔΑΛΑ ΑΦΡΑΤΑ ΧΙΟΥ</v>
          </cell>
          <cell r="F4" t="str">
            <v>B_4_1_3</v>
          </cell>
          <cell r="G4" t="str">
            <v xml:space="preserve">Καρποί με κέλυφος </v>
          </cell>
          <cell r="H4">
            <v>5057</v>
          </cell>
          <cell r="J4" t="str">
            <v>Ναι</v>
          </cell>
          <cell r="K4" t="str">
            <v>Όχι</v>
          </cell>
          <cell r="L4" t="str">
            <v>ΌΧΙ</v>
          </cell>
          <cell r="O4" t="str">
            <v/>
          </cell>
        </row>
        <row r="5">
          <cell r="D5" t="str">
            <v>ΑΚΡΟΔΡΥΑ (ΚΑΡΠΟΙ ΜΕ ΚΕΛΥΦΟΣ)21003</v>
          </cell>
          <cell r="E5" t="str">
            <v>ΑΜΥΓΔΑΛΑ ΑΦΡΑΤΑ ΝΕ ΠΛ. ΟΥΛΤΡΑ</v>
          </cell>
          <cell r="F5" t="str">
            <v>B_4_1_3</v>
          </cell>
          <cell r="G5" t="str">
            <v xml:space="preserve">Καρποί με κέλυφος </v>
          </cell>
          <cell r="H5">
            <v>5057</v>
          </cell>
          <cell r="J5" t="str">
            <v>Ναι</v>
          </cell>
          <cell r="K5" t="str">
            <v>Όχι</v>
          </cell>
          <cell r="L5" t="str">
            <v>ΌΧΙ</v>
          </cell>
          <cell r="O5" t="str">
            <v/>
          </cell>
        </row>
        <row r="6">
          <cell r="D6" t="str">
            <v>ΑΚΡΟΔΡΥΑ (ΚΑΡΠΟΙ ΜΕ ΚΕΛΥΦΟΣ)21004</v>
          </cell>
          <cell r="E6" t="str">
            <v>ΑΜΥΓΔΑΛΑ ΑΦΡΑΤΑ ΛΟΙΠ. ΠΟΙΚΙΛ.</v>
          </cell>
          <cell r="F6" t="str">
            <v>B_4_1_3</v>
          </cell>
          <cell r="G6" t="str">
            <v xml:space="preserve">Καρποί με κέλυφος </v>
          </cell>
          <cell r="H6">
            <v>5057</v>
          </cell>
          <cell r="J6" t="str">
            <v>Ναι</v>
          </cell>
          <cell r="K6" t="str">
            <v>Όχι</v>
          </cell>
          <cell r="L6" t="str">
            <v>ΌΧΙ</v>
          </cell>
          <cell r="O6" t="str">
            <v/>
          </cell>
        </row>
        <row r="7">
          <cell r="D7" t="str">
            <v>ΑΚΡΟΔΡΥΑ (ΚΑΡΠΟΙ ΜΕ ΚΕΛΥΦΟΣ)21005</v>
          </cell>
          <cell r="E7" t="str">
            <v>ΑΜΥΓΔΑΛΑ ΦΕΡΑΝΤΟΥΕΛ</v>
          </cell>
          <cell r="F7" t="str">
            <v>B_4_1_3</v>
          </cell>
          <cell r="G7" t="str">
            <v xml:space="preserve">Καρποί με κέλυφος </v>
          </cell>
          <cell r="H7">
            <v>5057</v>
          </cell>
          <cell r="J7" t="str">
            <v>Ναι</v>
          </cell>
          <cell r="K7" t="str">
            <v>Όχι</v>
          </cell>
          <cell r="L7" t="str">
            <v>ΌΧΙ</v>
          </cell>
          <cell r="O7" t="str">
            <v/>
          </cell>
        </row>
        <row r="8">
          <cell r="D8" t="str">
            <v>ΑΚΡΟΔΡΥΑ (ΚΑΡΠΟΙ ΜΕ ΚΕΛΥΦΟΣ)21006</v>
          </cell>
          <cell r="E8" t="str">
            <v>ΑΜΥΓΔΑΛΑ ΝΟΝ ΠΑΡΕΪ</v>
          </cell>
          <cell r="F8" t="str">
            <v>B_4_1_3</v>
          </cell>
          <cell r="G8" t="str">
            <v xml:space="preserve">Καρποί με κέλυφος </v>
          </cell>
          <cell r="H8">
            <v>5057</v>
          </cell>
          <cell r="J8" t="str">
            <v>Ναι</v>
          </cell>
          <cell r="K8" t="str">
            <v>Όχι</v>
          </cell>
          <cell r="L8" t="str">
            <v>ΌΧΙ</v>
          </cell>
          <cell r="O8" t="str">
            <v/>
          </cell>
        </row>
        <row r="9">
          <cell r="D9" t="str">
            <v>ΑΚΡΟΔΡΥΑ (ΚΑΡΠΟΙ ΜΕ ΚΕΛΥΦΟΣ)21007</v>
          </cell>
          <cell r="E9" t="str">
            <v>ΚΑΡΥΔΙΑ ΣΚΛΗΡΑ ΑΓ. ΟΡΟΥΣ</v>
          </cell>
          <cell r="F9" t="str">
            <v>B_4_1_3</v>
          </cell>
          <cell r="G9" t="str">
            <v xml:space="preserve">Καρποί με κέλυφος </v>
          </cell>
          <cell r="H9">
            <v>5057</v>
          </cell>
          <cell r="J9" t="str">
            <v>Ναι</v>
          </cell>
          <cell r="K9" t="str">
            <v>Όχι</v>
          </cell>
          <cell r="L9" t="str">
            <v>ΌΧΙ</v>
          </cell>
          <cell r="O9" t="str">
            <v/>
          </cell>
        </row>
        <row r="10">
          <cell r="D10" t="str">
            <v>ΑΚΡΟΔΡΥΑ (ΚΑΡΠΟΙ ΜΕ ΚΕΛΥΦΟΣ)21008</v>
          </cell>
          <cell r="E10" t="str">
            <v>ΚΑΡΥΔΙΑ ΣΚΛΗΡ. ΧΟΝΔΡΟΚΑΡΥΔΑ</v>
          </cell>
          <cell r="F10" t="str">
            <v>B_4_1_3</v>
          </cell>
          <cell r="G10" t="str">
            <v xml:space="preserve">Καρποί με κέλυφος </v>
          </cell>
          <cell r="H10">
            <v>5057</v>
          </cell>
          <cell r="J10" t="str">
            <v>Ναι</v>
          </cell>
          <cell r="K10" t="str">
            <v>Όχι</v>
          </cell>
          <cell r="L10" t="str">
            <v>ΌΧΙ</v>
          </cell>
          <cell r="O10" t="str">
            <v/>
          </cell>
        </row>
        <row r="11">
          <cell r="D11" t="str">
            <v>ΑΚΡΟΔΡΥΑ (ΚΑΡΠΟΙ ΜΕ ΚΕΛΥΦΟΣ)21009</v>
          </cell>
          <cell r="E11" t="str">
            <v>ΚΑΡΥΔΙΑ ΣΚΛΗΡ. ΚΑΡΠΕΝΗΣΙΟΥ</v>
          </cell>
          <cell r="F11" t="str">
            <v>B_4_1_3</v>
          </cell>
          <cell r="G11" t="str">
            <v xml:space="preserve">Καρποί με κέλυφος </v>
          </cell>
          <cell r="H11">
            <v>5057</v>
          </cell>
          <cell r="J11" t="str">
            <v>Ναι</v>
          </cell>
          <cell r="K11" t="str">
            <v>Όχι</v>
          </cell>
          <cell r="L11" t="str">
            <v>ΌΧΙ</v>
          </cell>
          <cell r="O11" t="str">
            <v/>
          </cell>
        </row>
        <row r="12">
          <cell r="D12" t="str">
            <v>ΑΚΡΟΔΡΥΑ (ΚΑΡΠΟΙ ΜΕ ΚΕΛΥΦΟΣ)21010</v>
          </cell>
          <cell r="E12" t="str">
            <v>ΚΑΡΥΔΙΑ ΣΚΛΗΡ. ΑΥΓΟΥΛΑΤΑ</v>
          </cell>
          <cell r="F12" t="str">
            <v>B_4_1_3</v>
          </cell>
          <cell r="G12" t="str">
            <v xml:space="preserve">Καρποί με κέλυφος </v>
          </cell>
          <cell r="H12">
            <v>5057</v>
          </cell>
          <cell r="J12" t="str">
            <v>Ναι</v>
          </cell>
          <cell r="K12" t="str">
            <v>Όχι</v>
          </cell>
          <cell r="L12" t="str">
            <v>ΌΧΙ</v>
          </cell>
          <cell r="O12" t="str">
            <v/>
          </cell>
        </row>
        <row r="13">
          <cell r="D13" t="str">
            <v>ΑΚΡΟΔΡΥΑ (ΚΑΡΠΟΙ ΜΕ ΚΕΛΥΦΟΣ)21011</v>
          </cell>
          <cell r="E13" t="str">
            <v>ΚΑΡΥΔΙΑ ΣΚΛΗΡ. ΛΟΙΠ. ΠΟΙΚΙΛ.</v>
          </cell>
          <cell r="F13" t="str">
            <v>B_4_1_3</v>
          </cell>
          <cell r="G13" t="str">
            <v xml:space="preserve">Καρποί με κέλυφος </v>
          </cell>
          <cell r="H13">
            <v>5057</v>
          </cell>
          <cell r="J13" t="str">
            <v>Ναι</v>
          </cell>
          <cell r="K13" t="str">
            <v>Όχι</v>
          </cell>
          <cell r="L13" t="str">
            <v>ΌΧΙ</v>
          </cell>
          <cell r="O13" t="str">
            <v/>
          </cell>
        </row>
        <row r="14">
          <cell r="D14" t="str">
            <v>ΑΚΡΟΔΡΥΑ (ΚΑΡΠΟΙ ΜΕ ΚΕΛΥΦΟΣ)21012</v>
          </cell>
          <cell r="E14" t="str">
            <v>ΚΑΡΥΔΙΑ ΑΠΑΛ. ΤΣΙΠΟΚΑΡΥΔΑ</v>
          </cell>
          <cell r="F14" t="str">
            <v>B_4_1_3</v>
          </cell>
          <cell r="G14" t="str">
            <v xml:space="preserve">Καρποί με κέλυφος </v>
          </cell>
          <cell r="H14">
            <v>5057</v>
          </cell>
          <cell r="J14" t="str">
            <v>Ναι</v>
          </cell>
          <cell r="K14" t="str">
            <v>Όχι</v>
          </cell>
          <cell r="L14" t="str">
            <v>ΌΧΙ</v>
          </cell>
          <cell r="O14" t="str">
            <v/>
          </cell>
        </row>
        <row r="15">
          <cell r="D15" t="str">
            <v>ΑΚΡΟΔΡΥΑ (ΚΑΡΠΟΙ ΜΕ ΚΕΛΥΦΟΣ)21013</v>
          </cell>
          <cell r="E15" t="str">
            <v>ΚΑΡΥΔΙΑ ΑΠΑΛ. ΒΑΣΙΛΙΚΑ</v>
          </cell>
          <cell r="F15" t="str">
            <v>B_4_1_3</v>
          </cell>
          <cell r="G15" t="str">
            <v xml:space="preserve">Καρποί με κέλυφος </v>
          </cell>
          <cell r="H15">
            <v>5057</v>
          </cell>
          <cell r="J15" t="str">
            <v>Ναι</v>
          </cell>
          <cell r="K15" t="str">
            <v>Όχι</v>
          </cell>
          <cell r="L15" t="str">
            <v>ΌΧΙ</v>
          </cell>
          <cell r="O15" t="str">
            <v/>
          </cell>
        </row>
        <row r="16">
          <cell r="D16" t="str">
            <v>ΑΚΡΟΔΡΥΑ (ΚΑΡΠΟΙ ΜΕ ΚΕΛΥΦΟΣ)21014</v>
          </cell>
          <cell r="E16" t="str">
            <v>ΚΑΡΥΔΙΑ ΑΠΑΛ. ΛΟΙΠ. ΠΟΙΚΙΛ.</v>
          </cell>
          <cell r="F16" t="str">
            <v>B_4_1_3</v>
          </cell>
          <cell r="G16" t="str">
            <v xml:space="preserve">Καρποί με κέλυφος </v>
          </cell>
          <cell r="H16">
            <v>5057</v>
          </cell>
          <cell r="J16" t="str">
            <v>Ναι</v>
          </cell>
          <cell r="K16" t="str">
            <v>Όχι</v>
          </cell>
          <cell r="L16" t="str">
            <v>ΌΧΙ</v>
          </cell>
          <cell r="O16" t="str">
            <v/>
          </cell>
        </row>
        <row r="17">
          <cell r="D17" t="str">
            <v>ΑΚΡΟΔΡΥΑ (ΚΑΡΠΟΙ ΜΕ ΚΕΛΥΦΟΣ)21015</v>
          </cell>
          <cell r="E17" t="str">
            <v>ΚΑΡΥΔΙΑ ΦΡΑΝΚΕΤ</v>
          </cell>
          <cell r="F17" t="str">
            <v>B_4_1_3</v>
          </cell>
          <cell r="G17" t="str">
            <v xml:space="preserve">Καρποί με κέλυφος </v>
          </cell>
          <cell r="H17">
            <v>5057</v>
          </cell>
          <cell r="J17" t="str">
            <v>Ναι</v>
          </cell>
          <cell r="K17" t="str">
            <v>Όχι</v>
          </cell>
          <cell r="L17" t="str">
            <v>ΌΧΙ</v>
          </cell>
          <cell r="O17" t="str">
            <v/>
          </cell>
        </row>
        <row r="18">
          <cell r="D18" t="str">
            <v>ΑΚΡΟΔΡΥΑ (ΚΑΡΠΟΙ ΜΕ ΚΕΛΥΦΟΣ)21016</v>
          </cell>
          <cell r="E18" t="str">
            <v>ΚΑΡΥΔΙΑ ΚΑΛΙΦΟΡΝΙΑΣ Κ11,Κ12,ΑΜΕΡΙΚΑΝ.ΠΟΙΚΙΛΙΕΣ</v>
          </cell>
          <cell r="F18" t="str">
            <v>B_4_1_3</v>
          </cell>
          <cell r="G18" t="str">
            <v xml:space="preserve">Καρποί με κέλυφος </v>
          </cell>
          <cell r="H18">
            <v>5057</v>
          </cell>
          <cell r="J18" t="str">
            <v>Ναι</v>
          </cell>
          <cell r="K18" t="str">
            <v>Όχι</v>
          </cell>
          <cell r="L18" t="str">
            <v>ΌΧΙ</v>
          </cell>
          <cell r="O18" t="str">
            <v/>
          </cell>
        </row>
        <row r="19">
          <cell r="D19" t="str">
            <v>ΑΚΡΟΔΡΥΑ (ΚΑΡΠΟΙ ΜΕ ΚΕΛΥΦΟΣ)21017</v>
          </cell>
          <cell r="E19" t="str">
            <v>ΛΕΠΤΟΚΑΡΥΑ ΜΑΚΡΟΚΑΡΠΑ</v>
          </cell>
          <cell r="F19" t="str">
            <v>B_4_1_3</v>
          </cell>
          <cell r="G19" t="str">
            <v xml:space="preserve">Καρποί με κέλυφος </v>
          </cell>
          <cell r="H19">
            <v>5057</v>
          </cell>
          <cell r="J19" t="str">
            <v>Ναι</v>
          </cell>
          <cell r="K19" t="str">
            <v>Όχι</v>
          </cell>
          <cell r="L19" t="str">
            <v>ΌΧΙ</v>
          </cell>
          <cell r="O19" t="str">
            <v/>
          </cell>
        </row>
        <row r="20">
          <cell r="D20" t="str">
            <v>ΑΚΡΟΔΡΥΑ (ΚΑΡΠΟΙ ΜΕ ΚΕΛΥΦΟΣ)21018</v>
          </cell>
          <cell r="E20" t="str">
            <v>ΛΕΠΤΟΚΑΡΥΑ ΣΤΡΟΓΓΥΛΟΚΑΡΠΑ</v>
          </cell>
          <cell r="F20" t="str">
            <v>B_4_1_3</v>
          </cell>
          <cell r="G20" t="str">
            <v xml:space="preserve">Καρποί με κέλυφος </v>
          </cell>
          <cell r="H20">
            <v>5057</v>
          </cell>
          <cell r="J20" t="str">
            <v>Ναι</v>
          </cell>
          <cell r="K20" t="str">
            <v>Όχι</v>
          </cell>
          <cell r="L20" t="str">
            <v>ΌΧΙ</v>
          </cell>
          <cell r="O20" t="str">
            <v/>
          </cell>
        </row>
        <row r="21">
          <cell r="D21" t="str">
            <v>ΑΚΡΟΔΡΥΑ (ΚΑΡΠΟΙ ΜΕ ΚΕΛΥΦΟΣ)8125</v>
          </cell>
          <cell r="E21" t="str">
            <v>ΚΑΡΥΔΙΕΣ ΕΞΑΙΡΕΣΗ</v>
          </cell>
          <cell r="F21" t="str">
            <v>B_4_1_3</v>
          </cell>
          <cell r="G21" t="str">
            <v xml:space="preserve">Καρποί με κέλυφος </v>
          </cell>
          <cell r="H21">
            <v>5057</v>
          </cell>
          <cell r="J21" t="str">
            <v>Ναι</v>
          </cell>
          <cell r="K21" t="str">
            <v>Όχι</v>
          </cell>
          <cell r="L21" t="str">
            <v>ΌΧΙ</v>
          </cell>
          <cell r="O21" t="str">
            <v/>
          </cell>
        </row>
        <row r="22">
          <cell r="D22" t="str">
            <v>ΑΚΡΟΔΡΥΑ (ΚΑΡΠΟΙ ΜΕ ΚΕΛΥΦΟΣ)8128</v>
          </cell>
          <cell r="E22" t="str">
            <v>ΑΜΥΓΔΑΛΙΕΣ</v>
          </cell>
          <cell r="F22" t="str">
            <v>B_4_1_3</v>
          </cell>
          <cell r="G22" t="str">
            <v xml:space="preserve">Καρποί με κέλυφος </v>
          </cell>
          <cell r="H22">
            <v>5057</v>
          </cell>
          <cell r="J22" t="str">
            <v>Ναι</v>
          </cell>
          <cell r="K22" t="str">
            <v>Όχι</v>
          </cell>
          <cell r="L22" t="str">
            <v>ΌΧΙ</v>
          </cell>
          <cell r="O22" t="str">
            <v/>
          </cell>
        </row>
        <row r="23">
          <cell r="D23" t="str">
            <v>ΑΚΡΟΔΡΥΑ (ΚΑΡΠΟΙ ΜΕ ΚΕΛΥΦΟΣ)8389</v>
          </cell>
          <cell r="E23" t="str">
            <v>ΑΜΥΓΔΑΛΙΕΣ - ΑΛΚΥΩΝ</v>
          </cell>
          <cell r="F23" t="str">
            <v>B_4_1_3</v>
          </cell>
          <cell r="G23" t="str">
            <v xml:space="preserve">Καρποί με κέλυφος </v>
          </cell>
          <cell r="H23">
            <v>5057</v>
          </cell>
          <cell r="J23" t="str">
            <v>Ναι</v>
          </cell>
          <cell r="K23" t="str">
            <v>Όχι</v>
          </cell>
          <cell r="L23" t="str">
            <v>ΌΧΙ</v>
          </cell>
          <cell r="O23" t="str">
            <v/>
          </cell>
        </row>
        <row r="24">
          <cell r="D24" t="str">
            <v>ΑΚΡΟΔΡΥΑ (ΚΑΡΠΟΙ ΜΕ ΚΕΛΥΦΟΣ)8390</v>
          </cell>
          <cell r="E24" t="str">
            <v>ΑΜΥΓΔΑΛΙΕΣ - ΔΡΕΠΑΝΩΤΟ</v>
          </cell>
          <cell r="F24" t="str">
            <v>B_4_1_3</v>
          </cell>
          <cell r="G24" t="str">
            <v xml:space="preserve">Καρποί με κέλυφος </v>
          </cell>
          <cell r="H24">
            <v>5057</v>
          </cell>
          <cell r="J24" t="str">
            <v>Ναι</v>
          </cell>
          <cell r="K24" t="str">
            <v>Όχι</v>
          </cell>
          <cell r="L24" t="str">
            <v>ΌΧΙ</v>
          </cell>
          <cell r="O24" t="str">
            <v/>
          </cell>
        </row>
        <row r="25">
          <cell r="D25" t="str">
            <v>ΑΚΡΟΔΡΥΑ (ΚΑΡΠΟΙ ΜΕ ΚΕΛΥΦΟΣ)8391</v>
          </cell>
          <cell r="E25" t="str">
            <v>ΑΜΥΓΔΑΛΙΕΣ - ΣΥΜΜΕΤΡΙΚΗ</v>
          </cell>
          <cell r="F25" t="str">
            <v>B_4_1_3</v>
          </cell>
          <cell r="G25" t="str">
            <v xml:space="preserve">Καρποί με κέλυφος </v>
          </cell>
          <cell r="H25">
            <v>5057</v>
          </cell>
          <cell r="J25" t="str">
            <v>Ναι</v>
          </cell>
          <cell r="K25" t="str">
            <v>Όχι</v>
          </cell>
          <cell r="L25" t="str">
            <v>ΌΧΙ</v>
          </cell>
          <cell r="O25" t="str">
            <v/>
          </cell>
        </row>
        <row r="26">
          <cell r="D26" t="str">
            <v>ΑΚΡΟΔΡΥΑ (ΚΑΡΠΟΙ ΜΕ ΚΕΛΥΦΟΣ)8392</v>
          </cell>
          <cell r="E26" t="str">
            <v>ΑΜΥΓΔΑΛΙΕΣ - ΦΥΛΛΙΣ</v>
          </cell>
          <cell r="F26" t="str">
            <v>B_4_1_3</v>
          </cell>
          <cell r="G26" t="str">
            <v xml:space="preserve">Καρποί με κέλυφος </v>
          </cell>
          <cell r="H26">
            <v>5057</v>
          </cell>
          <cell r="J26" t="str">
            <v>Ναι</v>
          </cell>
          <cell r="K26" t="str">
            <v>Όχι</v>
          </cell>
          <cell r="L26" t="str">
            <v>ΌΧΙ</v>
          </cell>
          <cell r="O26" t="str">
            <v/>
          </cell>
        </row>
        <row r="27">
          <cell r="D27" t="str">
            <v>ΑΚΡΟΔΡΥΑ (ΚΑΡΠΟΙ ΜΕ ΚΕΛΥΦΟΣ)8393</v>
          </cell>
          <cell r="E27" t="str">
            <v>ΑΜΥΓΔΑΛΙΕΣ - ΣΙΑΤΙΣΤΗΣ</v>
          </cell>
          <cell r="F27" t="str">
            <v>B_4_1_3</v>
          </cell>
          <cell r="G27" t="str">
            <v xml:space="preserve">Καρποί με κέλυφος </v>
          </cell>
          <cell r="H27">
            <v>5057</v>
          </cell>
          <cell r="J27" t="str">
            <v>Ναι</v>
          </cell>
          <cell r="K27" t="str">
            <v>Όχι</v>
          </cell>
          <cell r="L27" t="str">
            <v>ΌΧΙ</v>
          </cell>
          <cell r="O27" t="str">
            <v/>
          </cell>
        </row>
        <row r="28">
          <cell r="D28" t="str">
            <v>ΑΚΡΟΔΡΥΑ (ΚΑΡΠΟΙ ΜΕ ΚΕΛΥΦΟΣ)8394</v>
          </cell>
          <cell r="E28" t="str">
            <v>ΑΜΥΓΔΑΛΙΕΣ - ΟΨΙΜΑΝΘΗ ΒΟΛΟΥ</v>
          </cell>
          <cell r="F28" t="str">
            <v>B_4_1_3</v>
          </cell>
          <cell r="G28" t="str">
            <v xml:space="preserve">Καρποί με κέλυφος </v>
          </cell>
          <cell r="H28">
            <v>5057</v>
          </cell>
          <cell r="J28" t="str">
            <v>Ναι</v>
          </cell>
          <cell r="K28" t="str">
            <v>Όχι</v>
          </cell>
          <cell r="L28" t="str">
            <v>ΌΧΙ</v>
          </cell>
          <cell r="O28" t="str">
            <v/>
          </cell>
        </row>
        <row r="29">
          <cell r="D29" t="str">
            <v>ΑΚΡΟΔΡΥΑ (ΚΑΡΠΟΙ ΜΕ ΚΕΛΥΦΟΣ)8395</v>
          </cell>
          <cell r="E29" t="str">
            <v>ΑΜΥΓΔΑΛΙΕΣ - ΛΗΜΝΟΥ ΚΑΡΥΔΑΤΑ</v>
          </cell>
          <cell r="F29" t="str">
            <v>B_4_1_3</v>
          </cell>
          <cell r="G29" t="str">
            <v xml:space="preserve">Καρποί με κέλυφος </v>
          </cell>
          <cell r="H29">
            <v>5057</v>
          </cell>
          <cell r="J29" t="str">
            <v>Ναι</v>
          </cell>
          <cell r="K29" t="str">
            <v>Όχι</v>
          </cell>
          <cell r="L29" t="str">
            <v>ΌΧΙ</v>
          </cell>
          <cell r="O29" t="str">
            <v/>
          </cell>
        </row>
        <row r="30">
          <cell r="D30" t="str">
            <v>ΑΚΡΟΔΡΥΑ (ΚΑΡΠΟΙ ΜΕ ΚΕΛΥΦΟΣ)8396</v>
          </cell>
          <cell r="E30" t="str">
            <v>ΑΜΥΓΔΑΛΙΕΣ - ΛΗΜΝΟΥ ΑΦΡΑΤΑ</v>
          </cell>
          <cell r="F30" t="str">
            <v>B_4_1_3</v>
          </cell>
          <cell r="G30" t="str">
            <v xml:space="preserve">Καρποί με κέλυφος </v>
          </cell>
          <cell r="H30">
            <v>5057</v>
          </cell>
          <cell r="J30" t="str">
            <v>Ναι</v>
          </cell>
          <cell r="K30" t="str">
            <v>Όχι</v>
          </cell>
          <cell r="L30" t="str">
            <v>ΌΧΙ</v>
          </cell>
          <cell r="O30" t="str">
            <v/>
          </cell>
        </row>
        <row r="31">
          <cell r="D31" t="str">
            <v>ΑΚΡΟΔΡΥΑ (ΚΑΡΠΟΙ ΜΕ ΚΕΛΥΦΟΣ)8397</v>
          </cell>
          <cell r="E31" t="str">
            <v>ΑΜΥΓΔΑΛΙΕΣ - ΧΙΟΥ ΑΦΡΑΤΑ</v>
          </cell>
          <cell r="F31" t="str">
            <v>B_4_1_3</v>
          </cell>
          <cell r="G31" t="str">
            <v xml:space="preserve">Καρποί με κέλυφος </v>
          </cell>
          <cell r="H31">
            <v>5057</v>
          </cell>
          <cell r="J31" t="str">
            <v>Ναι</v>
          </cell>
          <cell r="K31" t="str">
            <v>Όχι</v>
          </cell>
          <cell r="L31" t="str">
            <v>ΌΧΙ</v>
          </cell>
          <cell r="O31" t="str">
            <v/>
          </cell>
        </row>
        <row r="32">
          <cell r="D32" t="str">
            <v>ΑΚΡΟΔΡΥΑ (ΚΑΡΠΟΙ ΜΕ ΚΕΛΥΦΟΣ)8401</v>
          </cell>
          <cell r="E32" t="str">
            <v>ΦΙΣΤΙΚΙΕΣ ΑΙΓΙΝΗΣ</v>
          </cell>
          <cell r="F32" t="str">
            <v>B_4_1_3</v>
          </cell>
          <cell r="G32" t="str">
            <v xml:space="preserve">Καρποί με κέλυφος </v>
          </cell>
          <cell r="H32">
            <v>5057</v>
          </cell>
          <cell r="J32" t="str">
            <v>Ναι</v>
          </cell>
          <cell r="K32" t="str">
            <v>Όχι</v>
          </cell>
          <cell r="L32" t="str">
            <v>ΌΧΙ</v>
          </cell>
          <cell r="O32" t="str">
            <v/>
          </cell>
        </row>
        <row r="33">
          <cell r="D33" t="str">
            <v>ΑΚΡΟΔΡΥΑ (ΚΑΡΠΟΙ ΜΕ ΚΕΛΥΦΟΣ)8402</v>
          </cell>
          <cell r="E33" t="str">
            <v>ΦΟΥΝΤΟΥΚΕΣ</v>
          </cell>
          <cell r="F33" t="str">
            <v>B_4_1_3</v>
          </cell>
          <cell r="G33" t="str">
            <v xml:space="preserve">Καρποί με κέλυφος </v>
          </cell>
          <cell r="H33">
            <v>5057</v>
          </cell>
          <cell r="J33" t="str">
            <v>Ναι</v>
          </cell>
          <cell r="K33" t="str">
            <v>Όχι</v>
          </cell>
          <cell r="L33" t="str">
            <v>ΌΧΙ</v>
          </cell>
          <cell r="O33" t="str">
            <v/>
          </cell>
        </row>
        <row r="34">
          <cell r="D34" t="str">
            <v>ΑΚΡΟΔΡΥΑ (ΚΑΡΠΟΙ ΜΕ ΚΕΛΥΦΟΣ)8403</v>
          </cell>
          <cell r="E34" t="str">
            <v>ΧΑΡΟΥΠΙΕΣ ΓΙΑ ΚΑΡΠΟ</v>
          </cell>
          <cell r="F34" t="str">
            <v>B_4_1_3</v>
          </cell>
          <cell r="G34" t="str">
            <v xml:space="preserve">Καρποί με κέλυφος </v>
          </cell>
          <cell r="H34">
            <v>5057</v>
          </cell>
          <cell r="J34" t="str">
            <v>Ναι</v>
          </cell>
          <cell r="K34" t="str">
            <v>Ναι</v>
          </cell>
          <cell r="L34" t="str">
            <v>ΝΑΙ</v>
          </cell>
          <cell r="O34" t="str">
            <v/>
          </cell>
        </row>
        <row r="35">
          <cell r="D35" t="str">
            <v>ΑΚΡΟΔΡΥΑ (ΚΑΡΠΟΙ ΜΕ ΚΕΛΥΦΟΣ)8404</v>
          </cell>
          <cell r="E35" t="str">
            <v>ΧΑΡΟΥΠΙΕΣ ΕΞΑΙΡΕΣΗ</v>
          </cell>
          <cell r="F35" t="str">
            <v>B_4_1_3</v>
          </cell>
          <cell r="G35" t="str">
            <v xml:space="preserve">Καρποί με κέλυφος </v>
          </cell>
          <cell r="H35">
            <v>5057</v>
          </cell>
          <cell r="J35" t="str">
            <v>Ναι</v>
          </cell>
          <cell r="K35" t="str">
            <v>Ναι</v>
          </cell>
          <cell r="L35" t="str">
            <v>ΝΑΙ</v>
          </cell>
          <cell r="O35" t="str">
            <v/>
          </cell>
        </row>
        <row r="36">
          <cell r="D36" t="str">
            <v>ΑΚΡΟΔΡΥΑ (ΚΑΡΠΟΙ ΜΕ ΚΕΛΥΦΟΣ)8405</v>
          </cell>
          <cell r="E36" t="str">
            <v>ΚΑΡΥΔΙΑ ΓΙΑ ΞΗΡΟ ΚΑΡΠΟ</v>
          </cell>
          <cell r="F36" t="str">
            <v>B_4_1_3</v>
          </cell>
          <cell r="G36" t="str">
            <v xml:space="preserve">Καρποί με κέλυφος </v>
          </cell>
          <cell r="H36">
            <v>5057</v>
          </cell>
          <cell r="J36" t="str">
            <v>Ναι</v>
          </cell>
          <cell r="K36" t="str">
            <v>Όχι</v>
          </cell>
          <cell r="L36" t="str">
            <v>ΌΧΙ</v>
          </cell>
          <cell r="O36" t="str">
            <v/>
          </cell>
        </row>
        <row r="37">
          <cell r="D37" t="str">
            <v>ΑΜΠΕΛΩΝΕΣ ΓΙΑ ΕΠΙΤΡΑΠΕΖΙΑ ΧΡΗΣΗ11063</v>
          </cell>
          <cell r="E37" t="str">
            <v>ΧΛΩΡΕΣ</v>
          </cell>
          <cell r="F37" t="str">
            <v>B_4_4_3</v>
          </cell>
          <cell r="G37" t="str">
            <v xml:space="preserve">Επιτραπέζια σταφύλια </v>
          </cell>
          <cell r="H37">
            <v>9612</v>
          </cell>
          <cell r="J37" t="str">
            <v>Ναι</v>
          </cell>
          <cell r="K37" t="str">
            <v>Ναι</v>
          </cell>
          <cell r="L37" t="str">
            <v>ΝΑΙ</v>
          </cell>
          <cell r="O37" t="str">
            <v>!</v>
          </cell>
        </row>
        <row r="38">
          <cell r="D38" t="str">
            <v>ΑΜΠΕΛΩΝΕΣ ΓΙΑ ΕΠΙΤΡΑΠΕΖΙΑ ΧΡΗΣΗ11085</v>
          </cell>
          <cell r="E38" t="str">
            <v>RED GLOBE</v>
          </cell>
          <cell r="F38" t="str">
            <v>B_4_4_3</v>
          </cell>
          <cell r="G38" t="str">
            <v xml:space="preserve">Επιτραπέζια σταφύλια </v>
          </cell>
          <cell r="H38">
            <v>9612</v>
          </cell>
          <cell r="J38" t="str">
            <v>Ναι</v>
          </cell>
          <cell r="K38" t="str">
            <v>Ναι</v>
          </cell>
          <cell r="L38" t="str">
            <v>ΝΑΙ</v>
          </cell>
          <cell r="O38" t="str">
            <v>!</v>
          </cell>
        </row>
        <row r="39">
          <cell r="D39" t="str">
            <v>ΑΜΠΕΛΩΝΕΣ ΓΙΑ ΕΠΙΤΡΑΠΕΖΙΑ ΧΡΗΣΗ11086</v>
          </cell>
          <cell r="E39" t="str">
            <v>ΡΟΖΑΚΙ ΔΙΠΛΗΣ ΧΡΗΣΗΣ</v>
          </cell>
          <cell r="F39" t="str">
            <v>B_4_4_3</v>
          </cell>
          <cell r="G39" t="str">
            <v xml:space="preserve">Επιτραπέζια σταφύλια </v>
          </cell>
          <cell r="H39">
            <v>9612</v>
          </cell>
          <cell r="J39" t="str">
            <v>Ναι</v>
          </cell>
          <cell r="K39" t="str">
            <v>Ναι</v>
          </cell>
          <cell r="L39" t="str">
            <v>ΝΑΙ</v>
          </cell>
          <cell r="O39" t="str">
            <v>!</v>
          </cell>
        </row>
        <row r="40">
          <cell r="D40" t="str">
            <v>ΑΜΠΕΛΩΝΕΣ ΓΙΑ ΕΠΙΤΡΑΠΕΖΙΑ ΧΡΗΣΗ21246</v>
          </cell>
          <cell r="E40" t="str">
            <v>ΑΕΤΟΝΥΧΙ ΑΣΠΡΟ</v>
          </cell>
          <cell r="F40" t="str">
            <v>B_4_4_3</v>
          </cell>
          <cell r="G40" t="str">
            <v xml:space="preserve">Επιτραπέζια σταφύλια </v>
          </cell>
          <cell r="H40">
            <v>9612</v>
          </cell>
          <cell r="J40" t="str">
            <v>Ναι</v>
          </cell>
          <cell r="K40" t="str">
            <v>Ναι</v>
          </cell>
          <cell r="L40" t="str">
            <v>ΝΑΙ</v>
          </cell>
          <cell r="O40" t="str">
            <v>!</v>
          </cell>
        </row>
        <row r="41">
          <cell r="D41" t="str">
            <v>ΑΜΠΕΛΩΝΕΣ ΓΙΑ ΕΠΙΤΡΑΠΕΖΙΑ ΧΡΗΣΗ21247</v>
          </cell>
          <cell r="E41" t="str">
            <v>ΡΟΖΑΚΙ (ΑΒΟΥΖ ΑΛΗ, ΚΕΡΙΝΟ)</v>
          </cell>
          <cell r="F41" t="str">
            <v>B_4_4_3</v>
          </cell>
          <cell r="G41" t="str">
            <v xml:space="preserve">Επιτραπέζια σταφύλια </v>
          </cell>
          <cell r="H41">
            <v>9612</v>
          </cell>
          <cell r="J41" t="str">
            <v>Ναι</v>
          </cell>
          <cell r="K41" t="str">
            <v>Ναι</v>
          </cell>
          <cell r="L41" t="str">
            <v>ΝΑΙ</v>
          </cell>
          <cell r="O41" t="str">
            <v>!</v>
          </cell>
        </row>
        <row r="42">
          <cell r="D42" t="str">
            <v>ΑΜΠΕΛΩΝΕΣ ΓΙΑ ΕΠΙΤΡΑΠΕΖΙΑ ΧΡΗΣΗ21248</v>
          </cell>
          <cell r="E42" t="str">
            <v>ΡΑΖΑΚΙ ΔΙΠΛΗΣ ΧΡΗΣΗΣ</v>
          </cell>
          <cell r="F42" t="str">
            <v>B_4_4_3</v>
          </cell>
          <cell r="G42" t="str">
            <v xml:space="preserve">Επιτραπέζια σταφύλια </v>
          </cell>
          <cell r="H42">
            <v>9612</v>
          </cell>
          <cell r="J42" t="str">
            <v>Ναι</v>
          </cell>
          <cell r="K42" t="str">
            <v>Ναι</v>
          </cell>
          <cell r="L42" t="str">
            <v>ΝΑΙ</v>
          </cell>
          <cell r="O42" t="str">
            <v>!</v>
          </cell>
        </row>
        <row r="43">
          <cell r="D43" t="str">
            <v>ΑΜΠΕΛΩΝΕΣ ΓΙΑ ΕΠΙΤΡΑΠΕΖΙΑ ΧΡΗΣΗ21250</v>
          </cell>
          <cell r="E43" t="str">
            <v>ΑΛΕΝΤΟ (ALEDO)</v>
          </cell>
          <cell r="F43" t="str">
            <v>B_4_4_3</v>
          </cell>
          <cell r="G43" t="str">
            <v xml:space="preserve">Επιτραπέζια σταφύλια </v>
          </cell>
          <cell r="H43">
            <v>9612</v>
          </cell>
          <cell r="J43" t="str">
            <v>Ναι</v>
          </cell>
          <cell r="K43" t="str">
            <v>Ναι</v>
          </cell>
          <cell r="L43" t="str">
            <v>ΝΑΙ</v>
          </cell>
          <cell r="O43" t="str">
            <v/>
          </cell>
        </row>
        <row r="44">
          <cell r="D44" t="str">
            <v>ΑΜΠΕΛΩΝΕΣ ΓΙΑ ΕΠΙΤΡΑΠΕΖΙΑ ΧΡΗΣΗ21251</v>
          </cell>
          <cell r="E44" t="str">
            <v>ΑΥΓΟΥΛΑΤΟ (ΚΟΛΟΚΥΘΑΤΟ)</v>
          </cell>
          <cell r="F44" t="str">
            <v>B_4_4_3</v>
          </cell>
          <cell r="G44" t="str">
            <v xml:space="preserve">Επιτραπέζια σταφύλια </v>
          </cell>
          <cell r="H44">
            <v>9612</v>
          </cell>
          <cell r="J44" t="str">
            <v>Ναι</v>
          </cell>
          <cell r="K44" t="str">
            <v>Ναι</v>
          </cell>
          <cell r="L44" t="str">
            <v>ΝΑΙ</v>
          </cell>
          <cell r="O44" t="str">
            <v>!</v>
          </cell>
        </row>
        <row r="45">
          <cell r="D45" t="str">
            <v>ΑΜΠΕΛΩΝΕΣ ΓΙΑ ΕΠΙΤΡΑΠΕΖΙΑ ΧΡΗΣΗ21252</v>
          </cell>
          <cell r="E45" t="str">
            <v>ΒΙΚΤΩΡΙΑ (VICTORIA)</v>
          </cell>
          <cell r="F45" t="str">
            <v>B_4_4_3</v>
          </cell>
          <cell r="G45" t="str">
            <v xml:space="preserve">Επιτραπέζια σταφύλια </v>
          </cell>
          <cell r="H45">
            <v>9612</v>
          </cell>
          <cell r="J45" t="str">
            <v>Ναι</v>
          </cell>
          <cell r="K45" t="str">
            <v>Ναι</v>
          </cell>
          <cell r="L45" t="str">
            <v>ΝΑΙ</v>
          </cell>
          <cell r="O45" t="str">
            <v>!</v>
          </cell>
        </row>
        <row r="46">
          <cell r="D46" t="str">
            <v>ΑΜΠΕΛΩΝΕΣ ΓΙΑ ΕΠΙΤΡΑΠΕΖΙΑ ΧΡΗΣΗ21253</v>
          </cell>
          <cell r="E46" t="str">
            <v>ΓΚΟΛΝΤ (GOLD)</v>
          </cell>
          <cell r="F46" t="str">
            <v>B_4_4_3</v>
          </cell>
          <cell r="G46" t="str">
            <v xml:space="preserve">Επιτραπέζια σταφύλια </v>
          </cell>
          <cell r="H46">
            <v>9612</v>
          </cell>
          <cell r="J46" t="str">
            <v>Ναι</v>
          </cell>
          <cell r="K46" t="str">
            <v>Ναι</v>
          </cell>
          <cell r="L46" t="str">
            <v>ΝΑΙ</v>
          </cell>
          <cell r="O46" t="str">
            <v>!</v>
          </cell>
        </row>
        <row r="47">
          <cell r="D47" t="str">
            <v>ΑΜΠΕΛΩΝΕΣ ΓΙΑ ΕΠΙΤΡΑΠΕΖΙΑ ΧΡΗΣΗ21254</v>
          </cell>
          <cell r="E47" t="str">
            <v>ΕΛΛΑΣ</v>
          </cell>
          <cell r="F47" t="str">
            <v>B_4_4_3</v>
          </cell>
          <cell r="G47" t="str">
            <v xml:space="preserve">Επιτραπέζια σταφύλια </v>
          </cell>
          <cell r="H47">
            <v>9612</v>
          </cell>
          <cell r="J47" t="str">
            <v>Ναι</v>
          </cell>
          <cell r="K47" t="str">
            <v>Ναι</v>
          </cell>
          <cell r="L47" t="str">
            <v>ΝΑΙ</v>
          </cell>
          <cell r="O47" t="str">
            <v>!</v>
          </cell>
        </row>
        <row r="48">
          <cell r="D48" t="str">
            <v>ΑΜΠΕΛΩΝΕΣ ΓΙΑ ΕΠΙΤΡΑΠΕΖΙΑ ΧΡΗΣΗ21255</v>
          </cell>
          <cell r="E48" t="str">
            <v>ΘΕΣΣΑΛΟΝΙΚΗ</v>
          </cell>
          <cell r="F48" t="str">
            <v>B_4_4_3</v>
          </cell>
          <cell r="G48" t="str">
            <v xml:space="preserve">Επιτραπέζια σταφύλια </v>
          </cell>
          <cell r="H48">
            <v>9612</v>
          </cell>
          <cell r="J48" t="str">
            <v>Ναι</v>
          </cell>
          <cell r="K48" t="str">
            <v>Ναι</v>
          </cell>
          <cell r="L48" t="str">
            <v>ΝΑΙ</v>
          </cell>
          <cell r="O48" t="str">
            <v>!</v>
          </cell>
        </row>
        <row r="49">
          <cell r="D49" t="str">
            <v>ΑΜΠΕΛΩΝΕΣ ΓΙΑ ΕΠΙΤΡΑΠΕΖΙΑ ΧΡΗΣΗ21256</v>
          </cell>
          <cell r="E49" t="str">
            <v>ΙΤΑΛΙΑ (ITALIA)</v>
          </cell>
          <cell r="F49" t="str">
            <v>B_4_4_3</v>
          </cell>
          <cell r="G49" t="str">
            <v xml:space="preserve">Επιτραπέζια σταφύλια </v>
          </cell>
          <cell r="H49">
            <v>9612</v>
          </cell>
          <cell r="J49" t="str">
            <v>Ναι</v>
          </cell>
          <cell r="K49" t="str">
            <v>Ναι</v>
          </cell>
          <cell r="L49" t="str">
            <v>ΝΑΙ</v>
          </cell>
          <cell r="O49" t="str">
            <v>!</v>
          </cell>
        </row>
        <row r="50">
          <cell r="D50" t="str">
            <v>ΑΜΠΕΛΩΝΕΣ ΓΙΑ ΕΠΙΤΡΑΠΕΖΙΑ ΧΡΗΣΗ21257</v>
          </cell>
          <cell r="E50" t="str">
            <v>ΚΑΛΜΕΡΙΑ (CALMERIA)</v>
          </cell>
          <cell r="F50" t="str">
            <v>B_4_4_3</v>
          </cell>
          <cell r="G50" t="str">
            <v xml:space="preserve">Επιτραπέζια σταφύλια </v>
          </cell>
          <cell r="H50">
            <v>9612</v>
          </cell>
          <cell r="J50" t="str">
            <v>Ναι</v>
          </cell>
          <cell r="K50" t="str">
            <v>Ναι</v>
          </cell>
          <cell r="L50" t="str">
            <v>ΝΑΙ</v>
          </cell>
          <cell r="O50" t="str">
            <v>!</v>
          </cell>
        </row>
        <row r="51">
          <cell r="D51" t="str">
            <v>ΑΜΠΕΛΩΝΕΣ ΓΙΑ ΕΠΙΤΡΑΠΕΖΙΑ ΧΡΗΣΗ21258</v>
          </cell>
          <cell r="E51" t="str">
            <v>ΚΑΡΥΔΑΤΟ (ΕΠΙΤΡΑΠΕΖΙΑ)</v>
          </cell>
          <cell r="F51" t="str">
            <v>B_4_4_3</v>
          </cell>
          <cell r="G51" t="str">
            <v xml:space="preserve">Επιτραπέζια σταφύλια </v>
          </cell>
          <cell r="H51">
            <v>9612</v>
          </cell>
          <cell r="J51" t="str">
            <v>Ναι</v>
          </cell>
          <cell r="K51" t="str">
            <v>Ναι</v>
          </cell>
          <cell r="L51" t="str">
            <v>ΝΑΙ</v>
          </cell>
          <cell r="O51" t="str">
            <v>!</v>
          </cell>
        </row>
        <row r="52">
          <cell r="D52" t="str">
            <v>ΑΜΠΕΛΩΝΕΣ ΓΙΑ ΕΠΙΤΡΑΠΕΖΙΑ ΧΡΗΣΗ21259</v>
          </cell>
          <cell r="E52" t="str">
            <v>ΛΕΥΚΑΣ</v>
          </cell>
          <cell r="F52" t="str">
            <v>B_4_4_3</v>
          </cell>
          <cell r="G52" t="str">
            <v xml:space="preserve">Επιτραπέζια σταφύλια </v>
          </cell>
          <cell r="H52">
            <v>9612</v>
          </cell>
          <cell r="J52" t="str">
            <v>Ναι</v>
          </cell>
          <cell r="K52" t="str">
            <v>Ναι</v>
          </cell>
          <cell r="L52" t="str">
            <v>ΝΑΙ</v>
          </cell>
          <cell r="O52" t="str">
            <v/>
          </cell>
        </row>
        <row r="53">
          <cell r="D53" t="str">
            <v>ΑΜΠΕΛΩΝΕΣ ΓΙΑ ΕΠΙΤΡΑΠΕΖΙΑ ΧΡΗΣΗ21260</v>
          </cell>
          <cell r="E53" t="str">
            <v>ΜΟΥΣΚΑ ΡΕΝ ΝΤΕ ΒΙΝΙ (ΒΑΣΙΛΙΣΣΑ, ΡΟΖΑΚΙ ΟΥΓΓΑΡΙΑΣ)</v>
          </cell>
          <cell r="F53" t="str">
            <v>B_4_4_3</v>
          </cell>
          <cell r="G53" t="str">
            <v xml:space="preserve">Επιτραπέζια σταφύλια </v>
          </cell>
          <cell r="H53">
            <v>9612</v>
          </cell>
          <cell r="J53" t="str">
            <v>Ναι</v>
          </cell>
          <cell r="K53" t="str">
            <v>Ναι</v>
          </cell>
          <cell r="L53" t="str">
            <v>ΝΑΙ</v>
          </cell>
          <cell r="O53" t="str">
            <v/>
          </cell>
        </row>
        <row r="54">
          <cell r="D54" t="str">
            <v>ΑΜΠΕΛΩΝΕΣ ΓΙΑ ΕΠΙΤΡΑΠΕΖΙΑ ΧΡΗΣΗ21261</v>
          </cell>
          <cell r="E54" t="str">
            <v>ΟΨΙΜΟ ΕΔΕΣΣΗΣ (ΑΜΑΣΣΙ, ΚΑΡΑΤΖΟΒΑΣ, ΦΟΥΣΤΑΝΙ)</v>
          </cell>
          <cell r="F54" t="str">
            <v>B_4_4_3</v>
          </cell>
          <cell r="G54" t="str">
            <v xml:space="preserve">Επιτραπέζια σταφύλια </v>
          </cell>
          <cell r="H54">
            <v>9612</v>
          </cell>
          <cell r="J54" t="str">
            <v>Ναι</v>
          </cell>
          <cell r="K54" t="str">
            <v>Ναι</v>
          </cell>
          <cell r="L54" t="str">
            <v>ΝΑΙ</v>
          </cell>
          <cell r="O54" t="str">
            <v>!</v>
          </cell>
        </row>
        <row r="55">
          <cell r="D55" t="str">
            <v>ΑΜΠΕΛΩΝΕΣ ΓΙΑ ΕΠΙΤΡΑΠΕΖΙΑ ΧΡΗΣΗ21262</v>
          </cell>
          <cell r="E55" t="str">
            <v>ΟΨΙΜΟ ΕΔΕΣΣΗΣ Δ.Χ</v>
          </cell>
          <cell r="F55" t="str">
            <v>B_4_4_3</v>
          </cell>
          <cell r="G55" t="str">
            <v xml:space="preserve">Επιτραπέζια σταφύλια </v>
          </cell>
          <cell r="H55">
            <v>9612</v>
          </cell>
          <cell r="J55" t="str">
            <v>Ναι</v>
          </cell>
          <cell r="K55" t="str">
            <v>Ναι</v>
          </cell>
          <cell r="L55" t="str">
            <v>ΝΑΙ</v>
          </cell>
          <cell r="O55" t="str">
            <v>!</v>
          </cell>
        </row>
        <row r="56">
          <cell r="D56" t="str">
            <v>ΑΜΠΕΛΩΝΕΣ ΓΙΑ ΕΠΙΤΡΑΠΕΖΙΑ ΧΡΗΣΗ21263</v>
          </cell>
          <cell r="E56" t="str">
            <v>ΟΨΙΜΟ ΣΟΥΦΛΙΟΥ</v>
          </cell>
          <cell r="F56" t="str">
            <v>B_4_4_3</v>
          </cell>
          <cell r="G56" t="str">
            <v xml:space="preserve">Επιτραπέζια σταφύλια </v>
          </cell>
          <cell r="H56">
            <v>9612</v>
          </cell>
          <cell r="J56" t="str">
            <v>Ναι</v>
          </cell>
          <cell r="K56" t="str">
            <v>Ναι</v>
          </cell>
          <cell r="L56" t="str">
            <v>ΝΑΙ</v>
          </cell>
          <cell r="O56" t="str">
            <v/>
          </cell>
        </row>
        <row r="57">
          <cell r="D57" t="str">
            <v>ΑΜΠΕΛΩΝΕΣ ΓΙΑ ΕΠΙΤΡΑΠΕΖΙΑ ΧΡΗΣΗ21265</v>
          </cell>
          <cell r="E57" t="str">
            <v>ΟΧΑΝΕΣ (OHANEZ)</v>
          </cell>
          <cell r="F57" t="str">
            <v>B_4_4_3</v>
          </cell>
          <cell r="G57" t="str">
            <v xml:space="preserve">Επιτραπέζια σταφύλια </v>
          </cell>
          <cell r="H57">
            <v>9612</v>
          </cell>
          <cell r="J57" t="str">
            <v>Ναι</v>
          </cell>
          <cell r="K57" t="str">
            <v>Ναι</v>
          </cell>
          <cell r="L57" t="str">
            <v>ΝΑΙ</v>
          </cell>
          <cell r="O57" t="str">
            <v/>
          </cell>
        </row>
        <row r="58">
          <cell r="D58" t="str">
            <v>ΑΜΠΕΛΩΝΕΣ ΓΙΑ ΕΠΙΤΡΑΠΕΖΙΑ ΧΡΗΣΗ21266</v>
          </cell>
          <cell r="E58" t="str">
            <v>ΠΕΡΛΕΤ (PERLETTE)</v>
          </cell>
          <cell r="F58" t="str">
            <v>B_4_4_3</v>
          </cell>
          <cell r="G58" t="str">
            <v xml:space="preserve">Επιτραπέζια σταφύλια </v>
          </cell>
          <cell r="H58">
            <v>9612</v>
          </cell>
          <cell r="J58" t="str">
            <v>Ναι</v>
          </cell>
          <cell r="K58" t="str">
            <v>Ναι</v>
          </cell>
          <cell r="L58" t="str">
            <v>ΝΑΙ</v>
          </cell>
          <cell r="O58" t="str">
            <v>!</v>
          </cell>
        </row>
        <row r="59">
          <cell r="D59" t="str">
            <v>ΑΜΠΕΛΩΝΕΣ ΓΙΑ ΕΠΙΤΡΑΠΕΖΙΑ ΧΡΗΣΗ21268</v>
          </cell>
          <cell r="E59" t="str">
            <v>ΑΛΛΕΣ</v>
          </cell>
          <cell r="F59" t="str">
            <v>B_4_4_3</v>
          </cell>
          <cell r="G59" t="str">
            <v xml:space="preserve">Επιτραπέζια σταφύλια </v>
          </cell>
          <cell r="H59">
            <v>9612</v>
          </cell>
          <cell r="J59" t="str">
            <v>Ναι</v>
          </cell>
          <cell r="K59" t="str">
            <v>Ναι</v>
          </cell>
          <cell r="L59" t="str">
            <v>ΝΑΙ</v>
          </cell>
          <cell r="O59" t="str">
            <v/>
          </cell>
        </row>
        <row r="60">
          <cell r="D60" t="str">
            <v>ΑΜΠΕΛΩΝΕΣ ΓΙΑ ΕΠΙΤΡΑΠΕΖΙΑ ΧΡΗΣΗ21269</v>
          </cell>
          <cell r="E60" t="str">
            <v>ΒΕΡΓΙΝΑ</v>
          </cell>
          <cell r="F60" t="str">
            <v>B_4_4_3</v>
          </cell>
          <cell r="G60" t="str">
            <v xml:space="preserve">Επιτραπέζια σταφύλια </v>
          </cell>
          <cell r="H60">
            <v>9612</v>
          </cell>
          <cell r="J60" t="str">
            <v>Ναι</v>
          </cell>
          <cell r="K60" t="str">
            <v>Ναι</v>
          </cell>
          <cell r="L60" t="str">
            <v>ΝΑΙ</v>
          </cell>
          <cell r="O60" t="str">
            <v>!</v>
          </cell>
        </row>
        <row r="61">
          <cell r="D61" t="str">
            <v>ΑΜΠΕΛΩΝΕΣ ΓΙΑ ΕΠΙΤΡΑΠΕΖΙΑ ΧΡΗΣΗ21270</v>
          </cell>
          <cell r="E61" t="str">
            <v>ΜΟΣΧΑΤΟ ΑΛΕΞΑΝΔΡΕΙΑΣ</v>
          </cell>
          <cell r="F61" t="str">
            <v>B_4_4_3</v>
          </cell>
          <cell r="G61" t="str">
            <v xml:space="preserve">Επιτραπέζια σταφύλια </v>
          </cell>
          <cell r="H61">
            <v>9612</v>
          </cell>
          <cell r="J61" t="str">
            <v>Ναι</v>
          </cell>
          <cell r="K61" t="str">
            <v>Ναι</v>
          </cell>
          <cell r="L61" t="str">
            <v>ΝΑΙ</v>
          </cell>
          <cell r="O61" t="str">
            <v>!</v>
          </cell>
        </row>
        <row r="62">
          <cell r="D62" t="str">
            <v>ΑΜΠΕΛΩΝΕΣ ΓΙΑ ΕΠΙΤΡΑΠΕΖΙΑ ΧΡΗΣΗ21271</v>
          </cell>
          <cell r="E62" t="str">
            <v>ΝΕΒΑΝΤΟ</v>
          </cell>
          <cell r="F62" t="str">
            <v>B_4_4_3</v>
          </cell>
          <cell r="G62" t="str">
            <v xml:space="preserve">Επιτραπέζια σταφύλια </v>
          </cell>
          <cell r="H62">
            <v>9612</v>
          </cell>
          <cell r="J62" t="str">
            <v>Ναι</v>
          </cell>
          <cell r="K62" t="str">
            <v>Ναι</v>
          </cell>
          <cell r="L62" t="str">
            <v>ΝΑΙ</v>
          </cell>
          <cell r="O62" t="str">
            <v>!</v>
          </cell>
        </row>
        <row r="63">
          <cell r="D63" t="str">
            <v>ΑΜΠΕΛΩΝΕΣ ΓΙΑ ΕΠΙΤΡΑΠΕΖΙΑ ΧΡΗΣΗ21272</v>
          </cell>
          <cell r="E63" t="str">
            <v>ΣΟΥΛΤΑΝΙΝΑ</v>
          </cell>
          <cell r="F63" t="str">
            <v>B_4_4_3</v>
          </cell>
          <cell r="G63" t="str">
            <v xml:space="preserve">Επιτραπέζια σταφύλια </v>
          </cell>
          <cell r="H63">
            <v>9612</v>
          </cell>
          <cell r="J63" t="str">
            <v>Ναι</v>
          </cell>
          <cell r="K63" t="str">
            <v>Ναι</v>
          </cell>
          <cell r="L63" t="str">
            <v>ΝΑΙ</v>
          </cell>
          <cell r="O63" t="str">
            <v/>
          </cell>
        </row>
        <row r="64">
          <cell r="D64" t="str">
            <v>ΑΜΠΕΛΩΝΕΣ ΓΙΑ ΕΠΙΤΡΑΠΕΖΙΑ ΧΡΗΣΗ21274</v>
          </cell>
          <cell r="E64" t="str">
            <v>ΚΩΝΣΤΑΝΤΙΝΑ</v>
          </cell>
          <cell r="F64" t="str">
            <v>B_4_4_3</v>
          </cell>
          <cell r="G64" t="str">
            <v xml:space="preserve">Επιτραπέζια σταφύλια </v>
          </cell>
          <cell r="H64">
            <v>9612</v>
          </cell>
          <cell r="J64" t="str">
            <v>Ναι</v>
          </cell>
          <cell r="K64" t="str">
            <v>Ναι</v>
          </cell>
          <cell r="L64" t="str">
            <v>ΝΑΙ</v>
          </cell>
          <cell r="O64" t="str">
            <v>!</v>
          </cell>
        </row>
        <row r="65">
          <cell r="D65" t="str">
            <v>ΑΜΠΕΛΩΝΕΣ ΓΙΑ ΕΠΙΤΡΑΠΕΖΙΑ ΧΡΗΣΗ21278</v>
          </cell>
          <cell r="E65" t="str">
            <v>ΣΟΥΠΕΡΙΟΡ ΣΙΝΤΛΕΣ (SOUPERIOR SEEDLESS) B</v>
          </cell>
          <cell r="F65" t="str">
            <v>B_4_4_3</v>
          </cell>
          <cell r="G65" t="str">
            <v xml:space="preserve">Επιτραπέζια σταφύλια </v>
          </cell>
          <cell r="H65">
            <v>9612</v>
          </cell>
          <cell r="J65" t="str">
            <v>Ναι</v>
          </cell>
          <cell r="K65" t="str">
            <v>Ναι</v>
          </cell>
          <cell r="L65" t="str">
            <v>ΝΑΙ</v>
          </cell>
          <cell r="O65" t="str">
            <v>!</v>
          </cell>
        </row>
        <row r="66">
          <cell r="D66" t="str">
            <v>ΑΜΠΕΛΩΝΕΣ ΓΙΑ ΕΠΙΤΡΑΠΕΖΙΑ ΧΡΗΣΗ22246</v>
          </cell>
          <cell r="E66" t="str">
            <v>ΑΕΤΟΝΥΧΙ ΜΑΥΡΟ</v>
          </cell>
          <cell r="F66" t="str">
            <v>B_4_4_3</v>
          </cell>
          <cell r="G66" t="str">
            <v xml:space="preserve">Επιτραπέζια σταφύλια </v>
          </cell>
          <cell r="H66">
            <v>9612</v>
          </cell>
          <cell r="J66" t="str">
            <v>Ναι</v>
          </cell>
          <cell r="K66" t="str">
            <v>Ναι</v>
          </cell>
          <cell r="L66" t="str">
            <v>ΝΑΙ</v>
          </cell>
          <cell r="O66" t="str">
            <v>!</v>
          </cell>
        </row>
        <row r="67">
          <cell r="D67" t="str">
            <v>ΑΜΠΕΛΩΝΕΣ ΓΙΑ ΕΠΙΤΡΑΠΕΖΙΑ ΧΡΗΣΗ22247</v>
          </cell>
          <cell r="E67" t="str">
            <v>ΡΑΖΑΚΙ ΜΑΥΡΟ</v>
          </cell>
          <cell r="F67" t="str">
            <v>B_4_4_3</v>
          </cell>
          <cell r="G67" t="str">
            <v xml:space="preserve">Επιτραπέζια σταφύλια </v>
          </cell>
          <cell r="H67">
            <v>9612</v>
          </cell>
          <cell r="J67" t="str">
            <v>Ναι</v>
          </cell>
          <cell r="K67" t="str">
            <v>Ναι</v>
          </cell>
          <cell r="L67" t="str">
            <v>ΝΑΙ</v>
          </cell>
          <cell r="O67" t="str">
            <v>!</v>
          </cell>
        </row>
        <row r="68">
          <cell r="D68" t="str">
            <v>ΑΜΠΕΛΩΝΕΣ ΓΙΑ ΕΠΙΤΡΑΠΕΖΙΑ ΧΡΗΣΗ22300</v>
          </cell>
          <cell r="E68" t="str">
            <v>ΑΛΦΟΝΣ ΛΑΒΑΛΕ (ALHONSE LAVALLEE)</v>
          </cell>
          <cell r="F68" t="str">
            <v>B_4_4_3</v>
          </cell>
          <cell r="G68" t="str">
            <v xml:space="preserve">Επιτραπέζια σταφύλια </v>
          </cell>
          <cell r="H68">
            <v>9612</v>
          </cell>
          <cell r="J68" t="str">
            <v>Ναι</v>
          </cell>
          <cell r="K68" t="str">
            <v>Ναι</v>
          </cell>
          <cell r="L68" t="str">
            <v>ΝΑΙ</v>
          </cell>
          <cell r="O68" t="str">
            <v>!</v>
          </cell>
        </row>
        <row r="69">
          <cell r="D69" t="str">
            <v>ΑΜΠΕΛΩΝΕΣ ΓΙΑ ΕΠΙΤΡΑΠΕΖΙΑ ΧΡΗΣΗ22301</v>
          </cell>
          <cell r="E69" t="str">
            <v>ΙΘΑΚΗ</v>
          </cell>
          <cell r="F69" t="str">
            <v>B_4_4_3</v>
          </cell>
          <cell r="G69" t="str">
            <v xml:space="preserve">Επιτραπέζια σταφύλια </v>
          </cell>
          <cell r="H69">
            <v>9612</v>
          </cell>
          <cell r="J69" t="str">
            <v>Ναι</v>
          </cell>
          <cell r="K69" t="str">
            <v>Ναι</v>
          </cell>
          <cell r="L69" t="str">
            <v>ΝΑΙ</v>
          </cell>
          <cell r="O69" t="str">
            <v/>
          </cell>
        </row>
        <row r="70">
          <cell r="D70" t="str">
            <v>ΑΜΠΕΛΩΝΕΣ ΓΙΑ ΕΠΙΤΡΑΠΕΖΙΑ ΧΡΗΣΗ22302</v>
          </cell>
          <cell r="E70" t="str">
            <v>ΜΟΣΧΑΤΟ ΑΜΒΟΥΡΓΟΥ</v>
          </cell>
          <cell r="F70" t="str">
            <v>B_4_4_3</v>
          </cell>
          <cell r="G70" t="str">
            <v xml:space="preserve">Επιτραπέζια σταφύλια </v>
          </cell>
          <cell r="H70">
            <v>9612</v>
          </cell>
          <cell r="J70" t="str">
            <v>Ναι</v>
          </cell>
          <cell r="K70" t="str">
            <v>Ναι</v>
          </cell>
          <cell r="L70" t="str">
            <v>ΝΑΙ</v>
          </cell>
          <cell r="O70" t="str">
            <v>!</v>
          </cell>
        </row>
        <row r="71">
          <cell r="D71" t="str">
            <v>ΑΜΠΕΛΩΝΕΣ ΓΙΑ ΕΠΙΤΡΑΠΕΖΙΑ ΧΡΗΣΗ22303</v>
          </cell>
          <cell r="E71" t="str">
            <v>ΜΟΣΧΑΤΟ ΑΜΒΟΥΡΓΟΥ ΔΙΠΛΗΣ ΧΡΗΣΗΣ</v>
          </cell>
          <cell r="F71" t="str">
            <v>B_4_4_3</v>
          </cell>
          <cell r="G71" t="str">
            <v xml:space="preserve">Επιτραπέζια σταφύλια </v>
          </cell>
          <cell r="H71">
            <v>9612</v>
          </cell>
          <cell r="J71" t="str">
            <v>Ναι</v>
          </cell>
          <cell r="K71" t="str">
            <v>Ναι</v>
          </cell>
          <cell r="L71" t="str">
            <v>ΝΑΙ</v>
          </cell>
          <cell r="O71" t="str">
            <v>!</v>
          </cell>
        </row>
        <row r="72">
          <cell r="D72" t="str">
            <v>ΑΜΠΕΛΩΝΕΣ ΓΙΑ ΕΠΙΤΡΑΠΕΖΙΑ ΧΡΗΣΗ22304</v>
          </cell>
          <cell r="E72" t="str">
            <v>ΠΕΛΛΑ</v>
          </cell>
          <cell r="F72" t="str">
            <v>B_4_4_3</v>
          </cell>
          <cell r="G72" t="str">
            <v xml:space="preserve">Επιτραπέζια σταφύλια </v>
          </cell>
          <cell r="H72">
            <v>9612</v>
          </cell>
          <cell r="J72" t="str">
            <v>Ναι</v>
          </cell>
          <cell r="K72" t="str">
            <v>Ναι</v>
          </cell>
          <cell r="L72" t="str">
            <v>ΝΑΙ</v>
          </cell>
          <cell r="O72" t="str">
            <v/>
          </cell>
        </row>
        <row r="73">
          <cell r="D73" t="str">
            <v>ΑΜΠΕΛΩΝΕΣ ΓΙΑ ΕΠΙΤΡΑΠΕΖΙΑ ΧΡΗΣΗ22306</v>
          </cell>
          <cell r="E73" t="str">
            <v>ΑΤΤΙΚΗ</v>
          </cell>
          <cell r="F73" t="str">
            <v>B_4_4_3</v>
          </cell>
          <cell r="G73" t="str">
            <v xml:space="preserve">Επιτραπέζια σταφύλια </v>
          </cell>
          <cell r="H73">
            <v>9612</v>
          </cell>
          <cell r="J73" t="str">
            <v>Ναι</v>
          </cell>
          <cell r="K73" t="str">
            <v>Ναι</v>
          </cell>
          <cell r="L73" t="str">
            <v>ΝΑΙ</v>
          </cell>
          <cell r="O73" t="str">
            <v>!</v>
          </cell>
        </row>
        <row r="74">
          <cell r="D74" t="str">
            <v>ΑΜΠΕΛΩΝΕΣ ΓΙΑ ΕΠΙΤΡΑΠΕΖΙΑ ΧΡΗΣΗ22307</v>
          </cell>
          <cell r="E74" t="str">
            <v>ΑΟΥΡΟΡΑ</v>
          </cell>
          <cell r="F74" t="str">
            <v>B_4_4_3</v>
          </cell>
          <cell r="G74" t="str">
            <v xml:space="preserve">Επιτραπέζια σταφύλια </v>
          </cell>
          <cell r="H74">
            <v>9612</v>
          </cell>
          <cell r="J74" t="str">
            <v>Ναι</v>
          </cell>
          <cell r="K74" t="str">
            <v>Ναι</v>
          </cell>
          <cell r="L74" t="str">
            <v>ΝΑΙ</v>
          </cell>
          <cell r="O74" t="str">
            <v/>
          </cell>
        </row>
        <row r="75">
          <cell r="D75" t="str">
            <v>ΑΜΠΕΛΩΝΕΣ ΓΙΑ ΕΠΙΤΡΑΠΕΖΙΑ ΧΡΗΣΗ22308</v>
          </cell>
          <cell r="E75" t="str">
            <v>ΠΕΡΛΟΝ</v>
          </cell>
          <cell r="F75" t="str">
            <v>B_4_4_3</v>
          </cell>
          <cell r="G75" t="str">
            <v xml:space="preserve">Επιτραπέζια σταφύλια </v>
          </cell>
          <cell r="H75">
            <v>9612</v>
          </cell>
          <cell r="J75" t="str">
            <v>Ναι</v>
          </cell>
          <cell r="K75" t="str">
            <v>Ναι</v>
          </cell>
          <cell r="L75" t="str">
            <v>ΝΑΙ</v>
          </cell>
          <cell r="O75" t="str">
            <v>!</v>
          </cell>
        </row>
        <row r="76">
          <cell r="D76" t="str">
            <v>ΑΜΠΕΛΩΝΕΣ ΓΙΑ ΕΠΙΤΡΑΠΕΖΙΑ ΧΡΗΣΗ23350</v>
          </cell>
          <cell r="E76" t="str">
            <v>ΚΑΡΝΤΙΝΑΛ (CARDINAL)</v>
          </cell>
          <cell r="F76" t="str">
            <v>B_4_4_3</v>
          </cell>
          <cell r="G76" t="str">
            <v xml:space="preserve">Επιτραπέζια σταφύλια </v>
          </cell>
          <cell r="H76">
            <v>9612</v>
          </cell>
          <cell r="J76" t="str">
            <v>Ναι</v>
          </cell>
          <cell r="K76" t="str">
            <v>Ναι</v>
          </cell>
          <cell r="L76" t="str">
            <v>ΝΑΙ</v>
          </cell>
          <cell r="O76" t="str">
            <v>!</v>
          </cell>
        </row>
        <row r="77">
          <cell r="D77" t="str">
            <v>ΑΜΠΕΛΩΝΕΣ ΓΙΑ ΕΠΙΤΡΑΠΕΖΙΑ ΧΡΗΣΗ23351</v>
          </cell>
          <cell r="E77" t="str">
            <v>ΣΙΔΕΡΙΤΗΣ</v>
          </cell>
          <cell r="F77" t="str">
            <v>B_4_4_3</v>
          </cell>
          <cell r="G77" t="str">
            <v xml:space="preserve">Επιτραπέζια σταφύλια </v>
          </cell>
          <cell r="H77">
            <v>9612</v>
          </cell>
          <cell r="J77" t="str">
            <v>Ναι</v>
          </cell>
          <cell r="K77" t="str">
            <v>Ναι</v>
          </cell>
          <cell r="L77" t="str">
            <v>ΝΑΙ</v>
          </cell>
          <cell r="O77" t="str">
            <v/>
          </cell>
        </row>
        <row r="78">
          <cell r="D78" t="str">
            <v>ΑΜΠΕΛΩΝΕΣ ΓΙΑ ΕΠΙΤΡΑΠΕΖΙΑ ΧΡΗΣΗ23352</v>
          </cell>
          <cell r="E78" t="str">
            <v>ΣΙΔΕΡΙΤΗΣ Δ.Χ</v>
          </cell>
          <cell r="F78" t="str">
            <v>B_4_4_3</v>
          </cell>
          <cell r="G78" t="str">
            <v xml:space="preserve">Επιτραπέζια σταφύλια </v>
          </cell>
          <cell r="H78">
            <v>9612</v>
          </cell>
          <cell r="J78" t="str">
            <v>Ναι</v>
          </cell>
          <cell r="K78" t="str">
            <v>Ναι</v>
          </cell>
          <cell r="L78" t="str">
            <v>ΝΑΙ</v>
          </cell>
          <cell r="O78" t="str">
            <v>!</v>
          </cell>
        </row>
        <row r="79">
          <cell r="D79" t="str">
            <v>ΑΜΠΕΛΩΝΕΣ ΓΙΑ ΕΠΙΤΡΑΠΕΖΙΑ ΧΡΗΣΗ23353</v>
          </cell>
          <cell r="E79" t="str">
            <v>ΦΡΑΟΥΛΑ</v>
          </cell>
          <cell r="F79" t="str">
            <v>B_4_4_3</v>
          </cell>
          <cell r="G79" t="str">
            <v xml:space="preserve">Επιτραπέζια σταφύλια </v>
          </cell>
          <cell r="H79">
            <v>9612</v>
          </cell>
          <cell r="J79" t="str">
            <v>Ναι</v>
          </cell>
          <cell r="K79" t="str">
            <v>Ναι</v>
          </cell>
          <cell r="L79" t="str">
            <v>ΝΑΙ</v>
          </cell>
          <cell r="O79" t="str">
            <v>!</v>
          </cell>
        </row>
        <row r="80">
          <cell r="D80" t="str">
            <v>ΑΜΠΕΛΩΝΕΣ ΓΙΑ ΕΠΙΤΡΑΠΕΖΙΑ ΧΡΗΣΗ23356</v>
          </cell>
          <cell r="E80" t="str">
            <v>GRIMSON</v>
          </cell>
          <cell r="F80" t="str">
            <v>B_4_4_3</v>
          </cell>
          <cell r="G80" t="str">
            <v xml:space="preserve">Επιτραπέζια σταφύλια </v>
          </cell>
          <cell r="H80">
            <v>9612</v>
          </cell>
          <cell r="J80" t="str">
            <v>Ναι</v>
          </cell>
          <cell r="K80" t="str">
            <v>Ναι</v>
          </cell>
          <cell r="L80" t="str">
            <v>ΝΑΙ</v>
          </cell>
          <cell r="O80" t="str">
            <v/>
          </cell>
        </row>
        <row r="81">
          <cell r="D81" t="str">
            <v>ΑΜΠΕΛΩΝΕΣ ΓΙΑ ΕΠΙΤΡΑΠΕΖΙΑ ΧΡΗΣΗ8202</v>
          </cell>
          <cell r="E81" t="str">
            <v>ΑΜΠΕΛΩΝΕΣ ΓΙΑ ΕΠΙΤΡΑΠΕΖΙΑ ΧΡΗΣΗ-ΛΟΙΠΕΣ</v>
          </cell>
          <cell r="F81" t="str">
            <v>B_4_4_3</v>
          </cell>
          <cell r="G81" t="str">
            <v xml:space="preserve">Επιτραπέζια σταφύλια </v>
          </cell>
          <cell r="H81">
            <v>9612</v>
          </cell>
          <cell r="J81" t="str">
            <v>Ναι</v>
          </cell>
          <cell r="K81" t="str">
            <v>Ναι</v>
          </cell>
          <cell r="L81" t="str">
            <v>ΝΑΙ</v>
          </cell>
          <cell r="O81" t="str">
            <v/>
          </cell>
        </row>
        <row r="82">
          <cell r="D82" t="str">
            <v>ΑΜΠΕΛΩΝΕΣ ΓΙΑ ΕΠΙΤΡΑΠΕΖΙΑ ΧΡΗΣΗ931503</v>
          </cell>
          <cell r="E82" t="str">
            <v>ΣΟΥΛΤΑΝΙΝΑ ΨΙΛΟΡΩΓΗ</v>
          </cell>
          <cell r="F82" t="str">
            <v>B_4_4_3</v>
          </cell>
          <cell r="G82" t="str">
            <v xml:space="preserve">Επιτραπέζια σταφύλια </v>
          </cell>
          <cell r="H82">
            <v>9612</v>
          </cell>
          <cell r="J82" t="str">
            <v>Ναι</v>
          </cell>
          <cell r="K82" t="str">
            <v>Ναι</v>
          </cell>
          <cell r="L82" t="str">
            <v>ΝΑΙ</v>
          </cell>
          <cell r="O82" t="str">
            <v/>
          </cell>
        </row>
        <row r="83">
          <cell r="D83" t="str">
            <v>ΑΜΠΕΛΩΝΕΣ ΓΙΑ ΠΑΡΑΓΩΓΗ ΟΙΝΟΥ11001</v>
          </cell>
          <cell r="E83" t="str">
            <v>ΑΗΔΑΝΙ ΑΣΠΡΟ</v>
          </cell>
          <cell r="F83" t="str">
            <v>B_4_4_2</v>
          </cell>
          <cell r="G83" t="str">
            <v>Αμπελώνες, οι οποίοι συνήθως παράγουν άλλους οίνους</v>
          </cell>
          <cell r="H83">
            <v>4868</v>
          </cell>
          <cell r="K83" t="str">
            <v>Ναι</v>
          </cell>
          <cell r="L83" t="str">
            <v>ΝΑΙ</v>
          </cell>
          <cell r="O83" t="str">
            <v/>
          </cell>
        </row>
        <row r="84">
          <cell r="D84" t="str">
            <v>ΑΜΠΕΛΩΝΕΣ ΓΙΑ ΠΑΡΑΓΩΓΗ ΟΙΝΟΥ11002</v>
          </cell>
          <cell r="E84" t="str">
            <v>ΑΘΗΡΙ</v>
          </cell>
          <cell r="F84" t="str">
            <v>B_4_4_2</v>
          </cell>
          <cell r="G84" t="str">
            <v>Αμπελώνες, οι οποίοι συνήθως παράγουν άλλους οίνους</v>
          </cell>
          <cell r="H84">
            <v>4868</v>
          </cell>
          <cell r="K84" t="str">
            <v>Ναι</v>
          </cell>
          <cell r="L84" t="str">
            <v>ΝΑΙ</v>
          </cell>
          <cell r="O84" t="str">
            <v/>
          </cell>
        </row>
        <row r="85">
          <cell r="D85" t="str">
            <v>ΑΜΠΕΛΩΝΕΣ ΓΙΑ ΠΑΡΑΓΩΓΗ ΟΙΝΟΥ11003</v>
          </cell>
          <cell r="E85" t="str">
            <v>ΒΟΛΙΤΣΑ ΑΣΠΡΗ</v>
          </cell>
          <cell r="F85" t="str">
            <v>B_4_4_2</v>
          </cell>
          <cell r="G85" t="str">
            <v>Αμπελώνες, οι οποίοι συνήθως παράγουν άλλους οίνους</v>
          </cell>
          <cell r="H85">
            <v>4868</v>
          </cell>
          <cell r="K85" t="str">
            <v>Ναι</v>
          </cell>
          <cell r="L85" t="str">
            <v>ΝΑΙ</v>
          </cell>
          <cell r="O85" t="str">
            <v/>
          </cell>
        </row>
        <row r="86">
          <cell r="D86" t="str">
            <v>ΑΜΠΕΛΩΝΕΣ ΓΙΑ ΠΑΡΑΓΩΓΗ ΟΙΝΟΥ11004</v>
          </cell>
          <cell r="E86" t="str">
            <v>ΚΟΡΙΘΙ</v>
          </cell>
          <cell r="F86" t="str">
            <v>B_4_4_2</v>
          </cell>
          <cell r="G86" t="str">
            <v>Αμπελώνες, οι οποίοι συνήθως παράγουν άλλους οίνους</v>
          </cell>
          <cell r="H86">
            <v>4868</v>
          </cell>
          <cell r="K86" t="str">
            <v>Ναι</v>
          </cell>
          <cell r="L86" t="str">
            <v>ΝΑΙ</v>
          </cell>
          <cell r="O86" t="str">
            <v/>
          </cell>
        </row>
        <row r="87">
          <cell r="D87" t="str">
            <v>ΑΜΠΕΛΩΝΕΣ ΓΙΑ ΠΑΡΑΓΩΓΗ ΟΙΝΟΥ11005</v>
          </cell>
          <cell r="E87" t="str">
            <v>ΠΕΤΡΟΚΟΡΙΘΟ ΑΣΠΡΟ</v>
          </cell>
          <cell r="F87" t="str">
            <v>B_4_4_2</v>
          </cell>
          <cell r="G87" t="str">
            <v>Αμπελώνες, οι οποίοι συνήθως παράγουν άλλους οίνους</v>
          </cell>
          <cell r="H87">
            <v>4868</v>
          </cell>
          <cell r="K87" t="str">
            <v>Ναι</v>
          </cell>
          <cell r="L87" t="str">
            <v>ΝΑΙ</v>
          </cell>
          <cell r="O87" t="str">
            <v/>
          </cell>
        </row>
        <row r="88">
          <cell r="D88" t="str">
            <v>ΑΜΠΕΛΩΝΕΣ ΓΙΑ ΠΑΡΑΓΩΓΗ ΟΙΝΟΥ11006</v>
          </cell>
          <cell r="E88" t="str">
            <v>ΠΟΤΑΜΙΣΙΟ ΑΣΠΡΟ Η ΠΟΤΑΜΙΣΙ</v>
          </cell>
          <cell r="F88" t="str">
            <v>B_4_4_2</v>
          </cell>
          <cell r="G88" t="str">
            <v>Αμπελώνες, οι οποίοι συνήθως παράγουν άλλους οίνους</v>
          </cell>
          <cell r="H88">
            <v>4868</v>
          </cell>
          <cell r="K88" t="str">
            <v>Ναι</v>
          </cell>
          <cell r="L88" t="str">
            <v>ΝΑΙ</v>
          </cell>
          <cell r="O88" t="str">
            <v/>
          </cell>
        </row>
        <row r="89">
          <cell r="D89" t="str">
            <v>ΑΜΠΕΛΩΝΕΣ ΓΙΑ ΠΑΡΑΓΩΓΗ ΟΙΝΟΥ11007</v>
          </cell>
          <cell r="E89" t="str">
            <v>ΑΓΟΥΜΑΣΤΟΣ</v>
          </cell>
          <cell r="F89" t="str">
            <v>B_4_4_2</v>
          </cell>
          <cell r="G89" t="str">
            <v>Αμπελώνες, οι οποίοι συνήθως παράγουν άλλους οίνους</v>
          </cell>
          <cell r="H89">
            <v>4868</v>
          </cell>
          <cell r="K89" t="str">
            <v>Ναι</v>
          </cell>
          <cell r="L89" t="str">
            <v>ΝΑΙ</v>
          </cell>
          <cell r="O89" t="str">
            <v/>
          </cell>
        </row>
        <row r="90">
          <cell r="D90" t="str">
            <v>ΑΜΠΕΛΩΝΕΣ ΓΙΑ ΠΑΡΑΓΩΓΗ ΟΙΝΟΥ11008</v>
          </cell>
          <cell r="E90" t="str">
            <v>ΑΡΙΝΘΟ (ARINTHO)</v>
          </cell>
          <cell r="F90" t="str">
            <v>B_4_4_2</v>
          </cell>
          <cell r="G90" t="str">
            <v>Αμπελώνες, οι οποίοι συνήθως παράγουν άλλους οίνους</v>
          </cell>
          <cell r="H90">
            <v>4868</v>
          </cell>
          <cell r="K90" t="str">
            <v>Ναι</v>
          </cell>
          <cell r="L90" t="str">
            <v>ΝΑΙ</v>
          </cell>
          <cell r="O90" t="str">
            <v/>
          </cell>
        </row>
        <row r="91">
          <cell r="D91" t="str">
            <v>ΑΜΠΕΛΩΝΕΣ ΓΙΑ ΠΑΡΑΓΩΓΗ ΟΙΝΟΥ11009</v>
          </cell>
          <cell r="E91" t="str">
            <v>ΑΡΚΑΔΙΝΟ</v>
          </cell>
          <cell r="F91" t="str">
            <v>B_4_4_2</v>
          </cell>
          <cell r="G91" t="str">
            <v>Αμπελώνες, οι οποίοι συνήθως παράγουν άλλους οίνους</v>
          </cell>
          <cell r="H91">
            <v>4868</v>
          </cell>
          <cell r="K91" t="str">
            <v>Ναι</v>
          </cell>
          <cell r="L91" t="str">
            <v>ΝΑΙ</v>
          </cell>
          <cell r="O91" t="str">
            <v/>
          </cell>
        </row>
        <row r="92">
          <cell r="D92" t="str">
            <v>ΑΜΠΕΛΩΝΕΣ ΓΙΑ ΠΑΡΑΓΩΓΗ ΟΙΝΟΥ11010</v>
          </cell>
          <cell r="E92" t="str">
            <v>ΑΣΠΡΟΒΕΡΤΖΑΜΟ</v>
          </cell>
          <cell r="F92" t="str">
            <v>B_4_4_2</v>
          </cell>
          <cell r="G92" t="str">
            <v>Αμπελώνες, οι οποίοι συνήθως παράγουν άλλους οίνους</v>
          </cell>
          <cell r="H92">
            <v>4868</v>
          </cell>
          <cell r="K92" t="str">
            <v>Ναι</v>
          </cell>
          <cell r="L92" t="str">
            <v>ΝΑΙ</v>
          </cell>
          <cell r="O92" t="str">
            <v/>
          </cell>
        </row>
        <row r="93">
          <cell r="D93" t="str">
            <v>ΑΜΠΕΛΩΝΕΣ ΓΙΑ ΠΑΡΑΓΩΓΗ ΟΙΝΟΥ11011</v>
          </cell>
          <cell r="E93" t="str">
            <v>ΣΑΝΤΑΜΕΡΙΑΝΑ, ΑΣΠΡΟΥΔΑ ΠΑΤΡΩΝ</v>
          </cell>
          <cell r="F93" t="str">
            <v>B_4_4_2</v>
          </cell>
          <cell r="G93" t="str">
            <v>Αμπελώνες, οι οποίοι συνήθως παράγουν άλλους οίνους</v>
          </cell>
          <cell r="H93">
            <v>4868</v>
          </cell>
          <cell r="K93" t="str">
            <v>Ναι</v>
          </cell>
          <cell r="L93" t="str">
            <v>ΝΑΙ</v>
          </cell>
          <cell r="O93" t="str">
            <v/>
          </cell>
        </row>
        <row r="94">
          <cell r="D94" t="str">
            <v>ΑΜΠΕΛΩΝΕΣ ΓΙΑ ΠΑΡΑΓΩΓΗ ΟΙΝΟΥ11012</v>
          </cell>
          <cell r="E94" t="str">
            <v>ΑΣΠΡΟΥΔΕΣ</v>
          </cell>
          <cell r="F94" t="str">
            <v>B_4_4_2</v>
          </cell>
          <cell r="G94" t="str">
            <v>Αμπελώνες, οι οποίοι συνήθως παράγουν άλλους οίνους</v>
          </cell>
          <cell r="H94">
            <v>4868</v>
          </cell>
          <cell r="K94" t="str">
            <v>Ναι</v>
          </cell>
          <cell r="L94" t="str">
            <v>ΝΑΙ</v>
          </cell>
          <cell r="O94" t="str">
            <v/>
          </cell>
        </row>
        <row r="95">
          <cell r="D95" t="str">
            <v>ΑΜΠΕΛΩΝΕΣ ΓΙΑ ΠΑΡΑΓΩΓΗ ΟΙΝΟΥ11013</v>
          </cell>
          <cell r="E95" t="str">
            <v>ΑΣΥΡΤΙΚΟ</v>
          </cell>
          <cell r="F95" t="str">
            <v>B_4_4_2</v>
          </cell>
          <cell r="G95" t="str">
            <v>Αμπελώνες, οι οποίοι συνήθως παράγουν άλλους οίνους</v>
          </cell>
          <cell r="H95">
            <v>4868</v>
          </cell>
          <cell r="K95" t="str">
            <v>Ναι</v>
          </cell>
          <cell r="L95" t="str">
            <v>ΝΑΙ</v>
          </cell>
          <cell r="O95" t="str">
            <v/>
          </cell>
        </row>
        <row r="96">
          <cell r="D96" t="str">
            <v>ΑΜΠΕΛΩΝΕΣ ΓΙΑ ΠΑΡΑΓΩΓΗ ΟΙΝΟΥ11014</v>
          </cell>
          <cell r="E96" t="str">
            <v>ΒΑΛΑΙΤΗΣ</v>
          </cell>
          <cell r="F96" t="str">
            <v>B_4_4_2</v>
          </cell>
          <cell r="G96" t="str">
            <v>Αμπελώνες, οι οποίοι συνήθως παράγουν άλλους οίνους</v>
          </cell>
          <cell r="H96">
            <v>4868</v>
          </cell>
          <cell r="K96" t="str">
            <v>Ναι</v>
          </cell>
          <cell r="L96" t="str">
            <v>ΝΑΙ</v>
          </cell>
          <cell r="O96" t="str">
            <v/>
          </cell>
        </row>
        <row r="97">
          <cell r="D97" t="str">
            <v>ΑΜΠΕΛΩΝΕΣ ΓΙΑ ΠΑΡΑΓΩΓΗ ΟΙΝΟΥ11015</v>
          </cell>
          <cell r="E97" t="str">
            <v>ΒΑΡΔΕΑ</v>
          </cell>
          <cell r="F97" t="str">
            <v>B_4_4_2</v>
          </cell>
          <cell r="G97" t="str">
            <v>Αμπελώνες, οι οποίοι συνήθως παράγουν άλλους οίνους</v>
          </cell>
          <cell r="H97">
            <v>4868</v>
          </cell>
          <cell r="K97" t="str">
            <v>Ναι</v>
          </cell>
          <cell r="L97" t="str">
            <v>ΝΑΙ</v>
          </cell>
          <cell r="O97" t="str">
            <v/>
          </cell>
        </row>
        <row r="98">
          <cell r="D98" t="str">
            <v>ΑΜΠΕΛΩΝΕΣ ΓΙΑ ΠΑΡΑΓΩΓΗ ΟΙΝΟΥ11016</v>
          </cell>
          <cell r="E98" t="str">
            <v>ΒΗΛΑΝΑ</v>
          </cell>
          <cell r="F98" t="str">
            <v>B_4_4_2</v>
          </cell>
          <cell r="G98" t="str">
            <v>Αμπελώνες, οι οποίοι συνήθως παράγουν άλλους οίνους</v>
          </cell>
          <cell r="H98">
            <v>4868</v>
          </cell>
          <cell r="K98" t="str">
            <v>Ναι</v>
          </cell>
          <cell r="L98" t="str">
            <v>ΝΑΙ</v>
          </cell>
          <cell r="O98" t="str">
            <v/>
          </cell>
        </row>
        <row r="99">
          <cell r="D99" t="str">
            <v>ΑΜΠΕΛΩΝΕΣ ΓΙΑ ΠΑΡΑΓΩΓΗ ΟΙΝΟΥ11017</v>
          </cell>
          <cell r="E99" t="str">
            <v>ΒΙΔΙΑΝΟ</v>
          </cell>
          <cell r="F99" t="str">
            <v>B_4_4_2</v>
          </cell>
          <cell r="G99" t="str">
            <v>Αμπελώνες, οι οποίοι συνήθως παράγουν άλλους οίνους</v>
          </cell>
          <cell r="H99">
            <v>4868</v>
          </cell>
          <cell r="K99" t="str">
            <v>Ναι</v>
          </cell>
          <cell r="L99" t="str">
            <v>ΝΑΙ</v>
          </cell>
          <cell r="O99" t="str">
            <v/>
          </cell>
        </row>
        <row r="100">
          <cell r="D100" t="str">
            <v>ΑΜΠΕΛΩΝΕΣ ΓΙΑ ΠΑΡΑΓΩΓΗ ΟΙΝΟΥ11018</v>
          </cell>
          <cell r="E100" t="str">
            <v>ΒΟΣΣΟΣ</v>
          </cell>
          <cell r="F100" t="str">
            <v>B_4_4_2</v>
          </cell>
          <cell r="G100" t="str">
            <v>Αμπελώνες, οι οποίοι συνήθως παράγουν άλλους οίνους</v>
          </cell>
          <cell r="H100">
            <v>4868</v>
          </cell>
          <cell r="K100" t="str">
            <v>Ναι</v>
          </cell>
          <cell r="L100" t="str">
            <v>ΝΑΙ</v>
          </cell>
          <cell r="O100" t="str">
            <v/>
          </cell>
        </row>
        <row r="101">
          <cell r="D101" t="str">
            <v>ΑΜΠΕΛΩΝΕΣ ΓΙΑ ΠΑΡΑΓΩΓΗ ΟΙΝΟΥ11019</v>
          </cell>
          <cell r="E101" t="str">
            <v>ΓΚΡΕΝΑΣ ΜΠΛΑΝΚ</v>
          </cell>
          <cell r="F101" t="str">
            <v>B_4_4_2</v>
          </cell>
          <cell r="G101" t="str">
            <v>Αμπελώνες, οι οποίοι συνήθως παράγουν άλλους οίνους</v>
          </cell>
          <cell r="H101">
            <v>4868</v>
          </cell>
          <cell r="K101" t="str">
            <v>Ναι</v>
          </cell>
          <cell r="L101" t="str">
            <v>ΝΑΙ</v>
          </cell>
          <cell r="O101" t="str">
            <v/>
          </cell>
        </row>
        <row r="102">
          <cell r="D102" t="str">
            <v>ΑΜΠΕΛΩΝΕΣ ΓΙΑ ΠΑΡΑΓΩΓΗ ΟΙΝΟΥ11020</v>
          </cell>
          <cell r="E102" t="str">
            <v>ΓΛΥΚΑΣΠΟΥΔΑ, ΓΛΥΚΕΡΗΘΡΑ</v>
          </cell>
          <cell r="F102" t="str">
            <v>B_4_4_2</v>
          </cell>
          <cell r="G102" t="str">
            <v>Αμπελώνες, οι οποίοι συνήθως παράγουν άλλους οίνους</v>
          </cell>
          <cell r="H102">
            <v>4868</v>
          </cell>
          <cell r="K102" t="str">
            <v>Ναι</v>
          </cell>
          <cell r="L102" t="str">
            <v>ΝΑΙ</v>
          </cell>
          <cell r="O102" t="str">
            <v/>
          </cell>
        </row>
        <row r="103">
          <cell r="D103" t="str">
            <v>ΑΜΠΕΛΩΝΕΣ ΓΙΑ ΠΑΡΑΓΩΓΗ ΟΙΝΟΥ11021</v>
          </cell>
          <cell r="E103" t="str">
            <v>ΓΟΥΣΤΟΛΙΔΙ (ΑΥΓΟΥΣΤΙΑΤΗΣ, ΑΥΓΟΥΣΤΟΛΙΔΙ, ΒΟΣΤΙΛΙΔΑΣ)</v>
          </cell>
          <cell r="F103" t="str">
            <v>B_4_4_2</v>
          </cell>
          <cell r="G103" t="str">
            <v>Αμπελώνες, οι οποίοι συνήθως παράγουν άλλους οίνους</v>
          </cell>
          <cell r="H103">
            <v>4868</v>
          </cell>
          <cell r="K103" t="str">
            <v>Ναι</v>
          </cell>
          <cell r="L103" t="str">
            <v>ΝΑΙ</v>
          </cell>
          <cell r="O103" t="str">
            <v/>
          </cell>
        </row>
        <row r="104">
          <cell r="D104" t="str">
            <v>ΑΜΠΕΛΩΝΕΣ ΓΙΑ ΠΑΡΑΓΩΓΗ ΟΙΝΟΥ11022</v>
          </cell>
          <cell r="E104" t="str">
            <v>ΔΑΦΝΙΑ</v>
          </cell>
          <cell r="F104" t="str">
            <v>B_4_4_2</v>
          </cell>
          <cell r="G104" t="str">
            <v>Αμπελώνες, οι οποίοι συνήθως παράγουν άλλους οίνους</v>
          </cell>
          <cell r="H104">
            <v>4868</v>
          </cell>
          <cell r="K104" t="str">
            <v>Ναι</v>
          </cell>
          <cell r="L104" t="str">
            <v>ΝΑΙ</v>
          </cell>
          <cell r="O104" t="str">
            <v/>
          </cell>
        </row>
        <row r="105">
          <cell r="D105" t="str">
            <v>ΑΜΠΕΛΩΝΕΣ ΓΙΑ ΠΑΡΑΓΩΓΗ ΟΙΝΟΥ11023</v>
          </cell>
          <cell r="E105" t="str">
            <v>ΔΕΡΜΑΤΑΣ</v>
          </cell>
          <cell r="F105" t="str">
            <v>B_4_4_2</v>
          </cell>
          <cell r="G105" t="str">
            <v>Αμπελώνες, οι οποίοι συνήθως παράγουν άλλους οίνους</v>
          </cell>
          <cell r="H105">
            <v>4868</v>
          </cell>
          <cell r="K105" t="str">
            <v>Ναι</v>
          </cell>
          <cell r="L105" t="str">
            <v>ΝΑΙ</v>
          </cell>
          <cell r="O105" t="str">
            <v/>
          </cell>
        </row>
        <row r="106">
          <cell r="D106" t="str">
            <v>ΑΜΠΕΛΩΝΕΣ ΓΙΑ ΠΑΡΑΓΩΓΗ ΟΙΝΟΥ11024</v>
          </cell>
          <cell r="E106" t="str">
            <v>ΖΟΥΜΙΑΤΙΚΟ (ΔΑΜΙΑΤΗΣ)</v>
          </cell>
          <cell r="F106" t="str">
            <v>B_4_4_2</v>
          </cell>
          <cell r="G106" t="str">
            <v>Αμπελώνες, οι οποίοι συνήθως παράγουν άλλους οίνους</v>
          </cell>
          <cell r="H106">
            <v>4868</v>
          </cell>
          <cell r="K106" t="str">
            <v>Ναι</v>
          </cell>
          <cell r="L106" t="str">
            <v>ΝΑΙ</v>
          </cell>
          <cell r="O106" t="str">
            <v/>
          </cell>
        </row>
        <row r="107">
          <cell r="D107" t="str">
            <v>ΑΜΠΕΛΩΝΕΣ ΓΙΑ ΠΑΡΑΓΩΓΗ ΟΙΝΟΥ11025</v>
          </cell>
          <cell r="E107" t="str">
            <v>ΘΡΑΨΑΘΗΡΙ</v>
          </cell>
          <cell r="F107" t="str">
            <v>B_4_4_2</v>
          </cell>
          <cell r="G107" t="str">
            <v>Αμπελώνες, οι οποίοι συνήθως παράγουν άλλους οίνους</v>
          </cell>
          <cell r="H107">
            <v>4868</v>
          </cell>
          <cell r="K107" t="str">
            <v>Ναι</v>
          </cell>
          <cell r="L107" t="str">
            <v>ΝΑΙ</v>
          </cell>
          <cell r="O107" t="str">
            <v/>
          </cell>
        </row>
        <row r="108">
          <cell r="D108" t="str">
            <v>ΑΜΠΕΛΩΝΕΣ ΓΙΑ ΠΑΡΑΓΩΓΗ ΟΙΝΟΥ11026</v>
          </cell>
          <cell r="E108" t="str">
            <v>ΚΑΚΟΤΡΥΓΗΣ</v>
          </cell>
          <cell r="F108" t="str">
            <v>B_4_4_2</v>
          </cell>
          <cell r="G108" t="str">
            <v>Αμπελώνες, οι οποίοι συνήθως παράγουν άλλους οίνους</v>
          </cell>
          <cell r="H108">
            <v>4868</v>
          </cell>
          <cell r="K108" t="str">
            <v>Ναι</v>
          </cell>
          <cell r="L108" t="str">
            <v>ΝΑΙ</v>
          </cell>
          <cell r="O108" t="str">
            <v/>
          </cell>
        </row>
        <row r="109">
          <cell r="D109" t="str">
            <v>ΑΜΠΕΛΩΝΕΣ ΓΙΑ ΠΑΡΑΓΩΓΗ ΟΙΝΟΥ11027</v>
          </cell>
          <cell r="E109" t="str">
            <v>ΚΑΡΥΔΑΤΟ (ΟΙΝΟΠΟΙΙΑΣ)</v>
          </cell>
          <cell r="F109" t="str">
            <v>B_4_4_2</v>
          </cell>
          <cell r="G109" t="str">
            <v>Αμπελώνες, οι οποίοι συνήθως παράγουν άλλους οίνους</v>
          </cell>
          <cell r="H109">
            <v>4868</v>
          </cell>
          <cell r="K109" t="str">
            <v>Ναι</v>
          </cell>
          <cell r="L109" t="str">
            <v>ΝΑΙ</v>
          </cell>
          <cell r="O109" t="str">
            <v/>
          </cell>
        </row>
        <row r="110">
          <cell r="D110" t="str">
            <v>ΑΜΠΕΛΩΝΕΣ ΓΙΑ ΠΑΡΑΓΩΓΗ ΟΙΝΟΥ11028</v>
          </cell>
          <cell r="E110" t="str">
            <v>ΚΟΖΑΝΙΤΗΣ</v>
          </cell>
          <cell r="F110" t="str">
            <v>B_4_4_2</v>
          </cell>
          <cell r="G110" t="str">
            <v>Αμπελώνες, οι οποίοι συνήθως παράγουν άλλους οίνους</v>
          </cell>
          <cell r="H110">
            <v>4868</v>
          </cell>
          <cell r="K110" t="str">
            <v>Ναι</v>
          </cell>
          <cell r="L110" t="str">
            <v>ΝΑΙ</v>
          </cell>
          <cell r="O110" t="str">
            <v/>
          </cell>
        </row>
        <row r="111">
          <cell r="D111" t="str">
            <v>ΑΜΠΕΛΩΝΕΣ ΓΙΑ ΠΑΡΑΓΩΓΗ ΟΙΝΟΥ11029</v>
          </cell>
          <cell r="E111" t="str">
            <v>ΚΟΝΤΟΚΛΑΔΙ</v>
          </cell>
          <cell r="F111" t="str">
            <v>B_4_4_2</v>
          </cell>
          <cell r="G111" t="str">
            <v>Αμπελώνες, οι οποίοι συνήθως παράγουν άλλους οίνους</v>
          </cell>
          <cell r="H111">
            <v>4868</v>
          </cell>
          <cell r="K111" t="str">
            <v>Ναι</v>
          </cell>
          <cell r="L111" t="str">
            <v>ΝΑΙ</v>
          </cell>
          <cell r="O111" t="str">
            <v/>
          </cell>
        </row>
        <row r="112">
          <cell r="D112" t="str">
            <v>ΑΜΠΕΛΩΝΕΣ ΓΙΑ ΠΑΡΑΓΩΓΗ ΟΙΝΟΥ11030</v>
          </cell>
          <cell r="E112" t="str">
            <v>ΚΟΥΚΟΥΛΙ</v>
          </cell>
          <cell r="F112" t="str">
            <v>B_4_4_2</v>
          </cell>
          <cell r="G112" t="str">
            <v>Αμπελώνες, οι οποίοι συνήθως παράγουν άλλους οίνους</v>
          </cell>
          <cell r="H112">
            <v>4868</v>
          </cell>
          <cell r="K112" t="str">
            <v>Ναι</v>
          </cell>
          <cell r="L112" t="str">
            <v>ΝΑΙ</v>
          </cell>
          <cell r="O112" t="str">
            <v/>
          </cell>
        </row>
        <row r="113">
          <cell r="D113" t="str">
            <v>ΑΜΠΕΛΩΝΕΣ ΓΙΑ ΠΑΡΑΓΩΓΗ ΟΙΝΟΥ11031</v>
          </cell>
          <cell r="E113" t="str">
            <v>ΚΟΥΜΙΩΤΗΣ</v>
          </cell>
          <cell r="F113" t="str">
            <v>B_4_4_2</v>
          </cell>
          <cell r="G113" t="str">
            <v>Αμπελώνες, οι οποίοι συνήθως παράγουν άλλους οίνους</v>
          </cell>
          <cell r="H113">
            <v>4868</v>
          </cell>
          <cell r="K113" t="str">
            <v>Ναι</v>
          </cell>
          <cell r="L113" t="str">
            <v>ΝΑΙ</v>
          </cell>
          <cell r="O113" t="str">
            <v/>
          </cell>
        </row>
        <row r="114">
          <cell r="D114" t="str">
            <v>ΑΜΠΕΛΩΝΕΣ ΓΙΑ ΠΑΡΑΓΩΓΗ ΟΙΝΟΥ11032</v>
          </cell>
          <cell r="E114" t="str">
            <v>ΛΑΘΟΡΘΙ</v>
          </cell>
          <cell r="F114" t="str">
            <v>B_4_4_2</v>
          </cell>
          <cell r="G114" t="str">
            <v>Αμπελώνες, οι οποίοι συνήθως παράγουν άλλους οίνους</v>
          </cell>
          <cell r="H114">
            <v>4868</v>
          </cell>
          <cell r="K114" t="str">
            <v>Ναι</v>
          </cell>
          <cell r="L114" t="str">
            <v>ΝΑΙ</v>
          </cell>
          <cell r="O114" t="str">
            <v/>
          </cell>
        </row>
        <row r="115">
          <cell r="D115" t="str">
            <v>ΑΜΠΕΛΩΝΕΣ ΓΙΑ ΠΑΡΑΓΩΓΗ ΟΙΝΟΥ11033</v>
          </cell>
          <cell r="E115" t="str">
            <v>ΜΑΛΑΓΟΥΖΙΑ</v>
          </cell>
          <cell r="F115" t="str">
            <v>B_4_4_2</v>
          </cell>
          <cell r="G115" t="str">
            <v>Αμπελώνες, οι οποίοι συνήθως παράγουν άλλους οίνους</v>
          </cell>
          <cell r="H115">
            <v>4868</v>
          </cell>
          <cell r="K115" t="str">
            <v>Ναι</v>
          </cell>
          <cell r="L115" t="str">
            <v>ΝΑΙ</v>
          </cell>
          <cell r="O115" t="str">
            <v/>
          </cell>
        </row>
        <row r="116">
          <cell r="D116" t="str">
            <v>ΑΜΠΕΛΩΝΕΣ ΓΙΑ ΠΑΡΑΓΩΓΗ ΟΙΝΟΥ11034</v>
          </cell>
          <cell r="E116" t="str">
            <v>ΜΑΛΒΑΖΙΑ</v>
          </cell>
          <cell r="F116" t="str">
            <v>B_4_4_2</v>
          </cell>
          <cell r="G116" t="str">
            <v>Αμπελώνες, οι οποίοι συνήθως παράγουν άλλους οίνους</v>
          </cell>
          <cell r="H116">
            <v>4868</v>
          </cell>
          <cell r="K116" t="str">
            <v>Ναι</v>
          </cell>
          <cell r="L116" t="str">
            <v>ΝΑΙ</v>
          </cell>
          <cell r="O116" t="str">
            <v/>
          </cell>
        </row>
        <row r="117">
          <cell r="D117" t="str">
            <v>ΑΜΠΕΛΩΝΕΣ ΓΙΑ ΠΑΡΑΓΩΓΗ ΟΙΝΟΥ11035</v>
          </cell>
          <cell r="E117" t="str">
            <v>ΜΟΝΕΜΒΑΣΙΑ</v>
          </cell>
          <cell r="F117" t="str">
            <v>B_4_4_2</v>
          </cell>
          <cell r="G117" t="str">
            <v>Αμπελώνες, οι οποίοι συνήθως παράγουν άλλους οίνους</v>
          </cell>
          <cell r="H117">
            <v>4868</v>
          </cell>
          <cell r="K117" t="str">
            <v>Ναι</v>
          </cell>
          <cell r="L117" t="str">
            <v>ΝΑΙ</v>
          </cell>
          <cell r="O117" t="str">
            <v/>
          </cell>
        </row>
        <row r="118">
          <cell r="D118" t="str">
            <v>ΑΜΠΕΛΩΝΕΣ ΓΙΑ ΠΑΡΑΓΩΓΗ ΟΙΝΟΥ11036</v>
          </cell>
          <cell r="E118" t="str">
            <v>ΜΟΣΧΑΤΟ ΑΛΕΞΑΝΔΡΕΙΑΣ</v>
          </cell>
          <cell r="F118" t="str">
            <v>B_4_4_2</v>
          </cell>
          <cell r="G118" t="str">
            <v>Αμπελώνες, οι οποίοι συνήθως παράγουν άλλους οίνους</v>
          </cell>
          <cell r="H118">
            <v>4868</v>
          </cell>
          <cell r="K118" t="str">
            <v>Ναι</v>
          </cell>
          <cell r="L118" t="str">
            <v>ΝΑΙ</v>
          </cell>
          <cell r="O118" t="str">
            <v/>
          </cell>
        </row>
        <row r="119">
          <cell r="D119" t="str">
            <v>ΑΜΠΕΛΩΝΕΣ ΓΙΑ ΠΑΡΑΓΩΓΗ ΟΙΝΟΥ11037</v>
          </cell>
          <cell r="E119" t="str">
            <v>ΜΟΣΧΑΤΟ ΑΛΕΞΑΝΔΡΕΙΑΣ Δ.Χ</v>
          </cell>
          <cell r="F119" t="str">
            <v>B_4_4_2</v>
          </cell>
          <cell r="G119" t="str">
            <v>Αμπελώνες, οι οποίοι συνήθως παράγουν άλλους οίνους</v>
          </cell>
          <cell r="H119">
            <v>4868</v>
          </cell>
          <cell r="K119" t="str">
            <v>Ναι</v>
          </cell>
          <cell r="L119" t="str">
            <v>ΝΑΙ</v>
          </cell>
          <cell r="O119" t="str">
            <v/>
          </cell>
        </row>
        <row r="120">
          <cell r="D120" t="str">
            <v>ΑΜΠΕΛΩΝΕΣ ΓΙΑ ΠΑΡΑΓΩΓΗ ΟΙΝΟΥ11038</v>
          </cell>
          <cell r="E120" t="str">
            <v>ΜΟΣΧΑΤΟ ΑΣΠΡΟ</v>
          </cell>
          <cell r="F120" t="str">
            <v>B_4_4_2</v>
          </cell>
          <cell r="G120" t="str">
            <v>Αμπελώνες, οι οποίοι συνήθως παράγουν άλλους οίνους</v>
          </cell>
          <cell r="H120">
            <v>4868</v>
          </cell>
          <cell r="K120" t="str">
            <v>Ναι</v>
          </cell>
          <cell r="L120" t="str">
            <v>ΝΑΙ</v>
          </cell>
          <cell r="O120" t="str">
            <v/>
          </cell>
        </row>
        <row r="121">
          <cell r="D121" t="str">
            <v>ΑΜΠΕΛΩΝΕΣ ΓΙΑ ΠΑΡΑΓΩΓΗ ΟΙΝΟΥ11039</v>
          </cell>
          <cell r="E121" t="str">
            <v>ΜΟΣΧΑΤΟ ΣΠΙΝΑΣ</v>
          </cell>
          <cell r="F121" t="str">
            <v>B_4_4_2</v>
          </cell>
          <cell r="G121" t="str">
            <v>Αμπελώνες, οι οποίοι συνήθως παράγουν άλλους οίνους</v>
          </cell>
          <cell r="H121">
            <v>4868</v>
          </cell>
          <cell r="K121" t="str">
            <v>Ναι</v>
          </cell>
          <cell r="L121" t="str">
            <v>ΝΑΙ</v>
          </cell>
          <cell r="O121" t="str">
            <v/>
          </cell>
        </row>
        <row r="122">
          <cell r="D122" t="str">
            <v>ΑΜΠΕΛΩΝΕΣ ΓΙΑ ΠΑΡΑΓΩΓΗ ΟΙΝΟΥ11040</v>
          </cell>
          <cell r="E122" t="str">
            <v>ΜΟΣΧΑΤΟ ΤΡΑΝΙ</v>
          </cell>
          <cell r="F122" t="str">
            <v>B_4_4_2</v>
          </cell>
          <cell r="G122" t="str">
            <v>Αμπελώνες, οι οποίοι συνήθως παράγουν άλλους οίνους</v>
          </cell>
          <cell r="H122">
            <v>4868</v>
          </cell>
          <cell r="K122" t="str">
            <v>Ναι</v>
          </cell>
          <cell r="L122" t="str">
            <v>ΝΑΙ</v>
          </cell>
          <cell r="O122" t="str">
            <v/>
          </cell>
        </row>
        <row r="123">
          <cell r="D123" t="str">
            <v>ΑΜΠΕΛΩΝΕΣ ΓΙΑ ΠΑΡΑΓΩΓΗ ΟΙΝΟΥ11041</v>
          </cell>
          <cell r="E123" t="str">
            <v>ΜΠΑΤΙΚΙ</v>
          </cell>
          <cell r="F123" t="str">
            <v>B_4_4_2</v>
          </cell>
          <cell r="G123" t="str">
            <v>Αμπελώνες, οι οποίοι συνήθως παράγουν άλλους οίνους</v>
          </cell>
          <cell r="H123">
            <v>4868</v>
          </cell>
          <cell r="K123" t="str">
            <v>Ναι</v>
          </cell>
          <cell r="L123" t="str">
            <v>ΝΑΙ</v>
          </cell>
          <cell r="O123" t="str">
            <v/>
          </cell>
        </row>
        <row r="124">
          <cell r="D124" t="str">
            <v>ΑΜΠΕΛΩΝΕΣ ΓΙΑ ΠΑΡΑΓΩΓΗ ΟΙΝΟΥ11042</v>
          </cell>
          <cell r="E124" t="str">
            <v>ΜΥΓΔΑΛΙ</v>
          </cell>
          <cell r="F124" t="str">
            <v>B_4_4_2</v>
          </cell>
          <cell r="G124" t="str">
            <v>Αμπελώνες, οι οποίοι συνήθως παράγουν άλλους οίνους</v>
          </cell>
          <cell r="H124">
            <v>4868</v>
          </cell>
          <cell r="K124" t="str">
            <v>Ναι</v>
          </cell>
          <cell r="L124" t="str">
            <v>ΝΑΙ</v>
          </cell>
          <cell r="O124" t="str">
            <v/>
          </cell>
        </row>
        <row r="125">
          <cell r="D125" t="str">
            <v>ΑΜΠΕΛΩΝΕΣ ΓΙΑ ΠΑΡΑΓΩΓΗ ΟΙΝΟΥ11043</v>
          </cell>
          <cell r="E125" t="str">
            <v>ΜΑΚΑΜΠΕ (MACCABEU)</v>
          </cell>
          <cell r="F125" t="str">
            <v>B_4_4_2</v>
          </cell>
          <cell r="G125" t="str">
            <v>Αμπελώνες, οι οποίοι συνήθως παράγουν άλλους οίνους</v>
          </cell>
          <cell r="H125">
            <v>4868</v>
          </cell>
          <cell r="K125" t="str">
            <v>Ναι</v>
          </cell>
          <cell r="L125" t="str">
            <v>ΝΑΙ</v>
          </cell>
          <cell r="O125" t="str">
            <v/>
          </cell>
        </row>
        <row r="126">
          <cell r="D126" t="str">
            <v>ΑΜΠΕΛΩΝΕΣ ΓΙΑ ΠΑΡΑΓΩΓΗ ΟΙΝΟΥ11044</v>
          </cell>
          <cell r="E126" t="str">
            <v>ΝΤΕΜΠΙΝΑ</v>
          </cell>
          <cell r="F126" t="str">
            <v>B_4_4_2</v>
          </cell>
          <cell r="G126" t="str">
            <v>Αμπελώνες, οι οποίοι συνήθως παράγουν άλλους οίνους</v>
          </cell>
          <cell r="H126">
            <v>4868</v>
          </cell>
          <cell r="K126" t="str">
            <v>Ναι</v>
          </cell>
          <cell r="L126" t="str">
            <v>ΝΑΙ</v>
          </cell>
          <cell r="O126" t="str">
            <v/>
          </cell>
        </row>
        <row r="127">
          <cell r="D127" t="str">
            <v>ΑΜΠΕΛΩΝΕΣ ΓΙΑ ΠΑΡΑΓΩΓΗ ΟΙΝΟΥ11045</v>
          </cell>
          <cell r="E127" t="str">
            <v>ΞΕΡΟΜΑΧΑΙΡΟΥΔΑ</v>
          </cell>
          <cell r="F127" t="str">
            <v>B_4_4_2</v>
          </cell>
          <cell r="G127" t="str">
            <v>Αμπελώνες, οι οποίοι συνήθως παράγουν άλλους οίνους</v>
          </cell>
          <cell r="H127">
            <v>4868</v>
          </cell>
          <cell r="K127" t="str">
            <v>Ναι</v>
          </cell>
          <cell r="L127" t="str">
            <v>ΝΑΙ</v>
          </cell>
          <cell r="O127" t="str">
            <v/>
          </cell>
        </row>
        <row r="128">
          <cell r="D128" t="str">
            <v>ΑΜΠΕΛΩΝΕΣ ΓΙΑ ΠΑΡΑΓΩΓΗ ΟΙΝΟΥ11046</v>
          </cell>
          <cell r="E128" t="str">
            <v>ΠΑΥΛΟΣ</v>
          </cell>
          <cell r="F128" t="str">
            <v>B_4_4_2</v>
          </cell>
          <cell r="G128" t="str">
            <v>Αμπελώνες, οι οποίοι συνήθως παράγουν άλλους οίνους</v>
          </cell>
          <cell r="H128">
            <v>4868</v>
          </cell>
          <cell r="K128" t="str">
            <v>Ναι</v>
          </cell>
          <cell r="L128" t="str">
            <v>ΝΑΙ</v>
          </cell>
          <cell r="O128" t="str">
            <v/>
          </cell>
        </row>
        <row r="129">
          <cell r="D129" t="str">
            <v>ΑΜΠΕΛΩΝΕΣ ΓΙΑ ΠΑΡΑΓΩΓΗ ΟΙΝΟΥ11047</v>
          </cell>
          <cell r="E129" t="str">
            <v>ΠΕΤΡΟΥΛΙΑΝΟΣ</v>
          </cell>
          <cell r="F129" t="str">
            <v>B_4_4_2</v>
          </cell>
          <cell r="G129" t="str">
            <v>Αμπελώνες, οι οποίοι συνήθως παράγουν άλλους οίνους</v>
          </cell>
          <cell r="H129">
            <v>4868</v>
          </cell>
          <cell r="K129" t="str">
            <v>Ναι</v>
          </cell>
          <cell r="L129" t="str">
            <v>ΝΑΙ</v>
          </cell>
          <cell r="O129" t="str">
            <v/>
          </cell>
        </row>
        <row r="130">
          <cell r="D130" t="str">
            <v>ΑΜΠΕΛΩΝΕΣ ΓΙΑ ΠΑΡΑΓΩΓΗ ΟΙΝΟΥ11048</v>
          </cell>
          <cell r="E130" t="str">
            <v>ΠΛΥΤΟ</v>
          </cell>
          <cell r="F130" t="str">
            <v>B_4_4_2</v>
          </cell>
          <cell r="G130" t="str">
            <v>Αμπελώνες, οι οποίοι συνήθως παράγουν άλλους οίνους</v>
          </cell>
          <cell r="H130">
            <v>4868</v>
          </cell>
          <cell r="K130" t="str">
            <v>Ναι</v>
          </cell>
          <cell r="L130" t="str">
            <v>ΝΑΙ</v>
          </cell>
          <cell r="O130" t="str">
            <v/>
          </cell>
        </row>
        <row r="131">
          <cell r="D131" t="str">
            <v>ΑΜΠΕΛΩΝΕΣ ΓΙΑ ΠΑΡΑΓΩΓΗ ΟΙΝΟΥ11049</v>
          </cell>
          <cell r="E131" t="str">
            <v>PΙΣΛΙΝΓΚ Β (RIESLING)</v>
          </cell>
          <cell r="F131" t="str">
            <v>B_4_4_2</v>
          </cell>
          <cell r="G131" t="str">
            <v>Αμπελώνες, οι οποίοι συνήθως παράγουν άλλους οίνους</v>
          </cell>
          <cell r="H131">
            <v>4868</v>
          </cell>
          <cell r="K131" t="str">
            <v>Ναι</v>
          </cell>
          <cell r="L131" t="str">
            <v>ΝΑΙ</v>
          </cell>
          <cell r="O131" t="str">
            <v/>
          </cell>
        </row>
        <row r="132">
          <cell r="D132" t="str">
            <v>ΑΜΠΕΛΩΝΕΣ ΓΙΑ ΠΑΡΑΓΩΓΗ ΟΙΝΟΥ11050</v>
          </cell>
          <cell r="E132" t="str">
            <v>ΡΟΜΠΟΛΑ</v>
          </cell>
          <cell r="F132" t="str">
            <v>B_4_4_2</v>
          </cell>
          <cell r="G132" t="str">
            <v>Αμπελώνες, οι οποίοι συνήθως παράγουν άλλους οίνους</v>
          </cell>
          <cell r="H132">
            <v>4868</v>
          </cell>
          <cell r="K132" t="str">
            <v>Ναι</v>
          </cell>
          <cell r="L132" t="str">
            <v>ΝΑΙ</v>
          </cell>
          <cell r="O132" t="str">
            <v/>
          </cell>
        </row>
        <row r="133">
          <cell r="D133" t="str">
            <v>ΑΜΠΕΛΩΝΕΣ ΓΙΑ ΠΑΡΑΓΩΓΗ ΟΙΝΟΥ11051</v>
          </cell>
          <cell r="E133" t="str">
            <v>ΣΑΒΒΑΤΙΑΝΟ (ΔΟΥΜΠΡΑΙΝΑ ΑΣΠΡΗ, ΚΟΥΝΤΟΥΡ ΑΣΠΡΗ, ΣΑΚ)</v>
          </cell>
          <cell r="F133" t="str">
            <v>B_4_4_2</v>
          </cell>
          <cell r="G133" t="str">
            <v>Αμπελώνες, οι οποίοι συνήθως παράγουν άλλους οίνους</v>
          </cell>
          <cell r="H133">
            <v>4868</v>
          </cell>
          <cell r="K133" t="str">
            <v>Ναι</v>
          </cell>
          <cell r="L133" t="str">
            <v>ΝΑΙ</v>
          </cell>
          <cell r="O133" t="str">
            <v/>
          </cell>
        </row>
        <row r="134">
          <cell r="D134" t="str">
            <v>ΑΜΠΕΛΩΝΕΣ ΓΙΑ ΠΑΡΑΓΩΓΗ ΟΙΝΟΥ11052</v>
          </cell>
          <cell r="E134" t="str">
            <v>ΣΑΡΝΤΟΝΕ (CHARDONNAY)</v>
          </cell>
          <cell r="F134" t="str">
            <v>B_4_4_2</v>
          </cell>
          <cell r="G134" t="str">
            <v>Αμπελώνες, οι οποίοι συνήθως παράγουν άλλους οίνους</v>
          </cell>
          <cell r="H134">
            <v>4868</v>
          </cell>
          <cell r="K134" t="str">
            <v>Ναι</v>
          </cell>
          <cell r="L134" t="str">
            <v>ΝΑΙ</v>
          </cell>
          <cell r="O134" t="str">
            <v/>
          </cell>
        </row>
        <row r="135">
          <cell r="D135" t="str">
            <v>ΑΜΠΕΛΩΝΕΣ ΓΙΑ ΠΑΡΑΓΩΓΗ ΟΙΝΟΥ11053</v>
          </cell>
          <cell r="E135" t="str">
            <v>ΣΕΜΙΓΙΟΝ (SEMILLON)</v>
          </cell>
          <cell r="F135" t="str">
            <v>B_4_4_2</v>
          </cell>
          <cell r="G135" t="str">
            <v>Αμπελώνες, οι οποίοι συνήθως παράγουν άλλους οίνους</v>
          </cell>
          <cell r="H135">
            <v>4868</v>
          </cell>
          <cell r="K135" t="str">
            <v>Ναι</v>
          </cell>
          <cell r="L135" t="str">
            <v>ΝΑΙ</v>
          </cell>
          <cell r="O135" t="str">
            <v/>
          </cell>
        </row>
        <row r="136">
          <cell r="D136" t="str">
            <v>ΑΜΠΕΛΩΝΕΣ ΓΙΑ ΠΑΡΑΓΩΓΗ ΟΙΝΟΥ11054</v>
          </cell>
          <cell r="E136" t="str">
            <v>ΣΚΙΑΔΟΠΟΥΛΟ</v>
          </cell>
          <cell r="F136" t="str">
            <v>B_4_4_2</v>
          </cell>
          <cell r="G136" t="str">
            <v>Αμπελώνες, οι οποίοι συνήθως παράγουν άλλους οίνους</v>
          </cell>
          <cell r="H136">
            <v>4868</v>
          </cell>
          <cell r="K136" t="str">
            <v>Ναι</v>
          </cell>
          <cell r="L136" t="str">
            <v>ΝΑΙ</v>
          </cell>
          <cell r="O136" t="str">
            <v/>
          </cell>
        </row>
        <row r="137">
          <cell r="D137" t="str">
            <v>ΑΜΠΕΛΩΝΕΣ ΓΙΑ ΠΑΡΑΓΩΓΗ ΟΙΝΟΥ11055</v>
          </cell>
          <cell r="E137" t="str">
            <v>ΣΥΛΒΑΝΕΡ (SYLVANER)</v>
          </cell>
          <cell r="F137" t="str">
            <v>B_4_4_2</v>
          </cell>
          <cell r="G137" t="str">
            <v>Αμπελώνες, οι οποίοι συνήθως παράγουν άλλους οίνους</v>
          </cell>
          <cell r="H137">
            <v>4868</v>
          </cell>
          <cell r="K137" t="str">
            <v>Ναι</v>
          </cell>
          <cell r="L137" t="str">
            <v>ΝΑΙ</v>
          </cell>
          <cell r="O137" t="str">
            <v/>
          </cell>
        </row>
        <row r="138">
          <cell r="D138" t="str">
            <v>ΑΜΠΕΛΩΝΕΣ ΓΙΑ ΠΑΡΑΓΩΓΗ ΟΙΝΟΥ11056</v>
          </cell>
          <cell r="E138" t="str">
            <v>ΣΥΛΒΑΝΕΡ ΒΕΡ (SYLVANER VERT)</v>
          </cell>
          <cell r="F138" t="str">
            <v>B_4_4_2</v>
          </cell>
          <cell r="G138" t="str">
            <v>Αμπελώνες, οι οποίοι συνήθως παράγουν άλλους οίνους</v>
          </cell>
          <cell r="H138">
            <v>4868</v>
          </cell>
          <cell r="K138" t="str">
            <v>Ναι</v>
          </cell>
          <cell r="L138" t="str">
            <v>ΝΑΙ</v>
          </cell>
          <cell r="O138" t="str">
            <v/>
          </cell>
        </row>
        <row r="139">
          <cell r="D139" t="str">
            <v>ΑΜΠΕΛΩΝΕΣ ΓΙΑ ΠΑΡΑΓΩΓΗ ΟΙΝΟΥ11057</v>
          </cell>
          <cell r="E139" t="str">
            <v>ΣΩΒΙΝΙΟΝ ΜΠΛΑΝΚ (SAUVIGNON BLANC)</v>
          </cell>
          <cell r="F139" t="str">
            <v>B_4_4_2</v>
          </cell>
          <cell r="G139" t="str">
            <v>Αμπελώνες, οι οποίοι συνήθως παράγουν άλλους οίνους</v>
          </cell>
          <cell r="H139">
            <v>4868</v>
          </cell>
          <cell r="K139" t="str">
            <v>Ναι</v>
          </cell>
          <cell r="L139" t="str">
            <v>ΝΑΙ</v>
          </cell>
          <cell r="O139" t="str">
            <v/>
          </cell>
        </row>
        <row r="140">
          <cell r="D140" t="str">
            <v>ΑΜΠΕΛΩΝΕΣ ΓΙΑ ΠΑΡΑΓΩΓΗ ΟΙΝΟΥ11058</v>
          </cell>
          <cell r="E140" t="str">
            <v>ΚΟΥΡΟΥΤΑΧΤΑΣ, ΤΑΧΤΑΣ</v>
          </cell>
          <cell r="F140" t="str">
            <v>B_4_4_2</v>
          </cell>
          <cell r="G140" t="str">
            <v>Αμπελώνες, οι οποίοι συνήθως παράγουν άλλους οίνους</v>
          </cell>
          <cell r="H140">
            <v>4868</v>
          </cell>
          <cell r="K140" t="str">
            <v>Ναι</v>
          </cell>
          <cell r="L140" t="str">
            <v>ΝΑΙ</v>
          </cell>
          <cell r="O140" t="str">
            <v/>
          </cell>
        </row>
        <row r="141">
          <cell r="D141" t="str">
            <v>ΑΜΠΕΛΩΝΕΣ ΓΙΑ ΠΑΡΑΓΩΓΗ ΟΙΝΟΥ11059</v>
          </cell>
          <cell r="E141" t="str">
            <v>ΤΣΑΟΥΣΙ</v>
          </cell>
          <cell r="F141" t="str">
            <v>B_4_4_2</v>
          </cell>
          <cell r="G141" t="str">
            <v>Αμπελώνες, οι οποίοι συνήθως παράγουν άλλους οίνους</v>
          </cell>
          <cell r="H141">
            <v>4868</v>
          </cell>
          <cell r="K141" t="str">
            <v>Ναι</v>
          </cell>
          <cell r="L141" t="str">
            <v>ΝΑΙ</v>
          </cell>
          <cell r="O141" t="str">
            <v/>
          </cell>
        </row>
        <row r="142">
          <cell r="D142" t="str">
            <v>ΑΜΠΕΛΩΝΕΣ ΓΙΑ ΠΑΡΑΓΩΓΗ ΟΙΝΟΥ11060</v>
          </cell>
          <cell r="E142" t="str">
            <v>ΤΣΑΟΥΣΙ ΔΙΠΛΗΣ ΧΡΗΣΗΣ</v>
          </cell>
          <cell r="F142" t="str">
            <v>B_4_4_2</v>
          </cell>
          <cell r="G142" t="str">
            <v>Αμπελώνες, οι οποίοι συνήθως παράγουν άλλους οίνους</v>
          </cell>
          <cell r="H142">
            <v>4868</v>
          </cell>
          <cell r="K142" t="str">
            <v>Ναι</v>
          </cell>
          <cell r="L142" t="str">
            <v>ΝΑΙ</v>
          </cell>
          <cell r="O142" t="str">
            <v/>
          </cell>
        </row>
        <row r="143">
          <cell r="D143" t="str">
            <v>ΑΜΠΕΛΩΝΕΣ ΓΙΑ ΠΑΡΑΓΩΓΗ ΟΙΝΟΥ11061</v>
          </cell>
          <cell r="E143" t="str">
            <v>ΤΡΑΜΙΝΕΡ (ΣΑΒΑΓΚΡΕΝ)</v>
          </cell>
          <cell r="F143" t="str">
            <v>B_4_4_2</v>
          </cell>
          <cell r="G143" t="str">
            <v>Αμπελώνες, οι οποίοι συνήθως παράγουν άλλους οίνους</v>
          </cell>
          <cell r="H143">
            <v>4868</v>
          </cell>
          <cell r="K143" t="str">
            <v>Ναι</v>
          </cell>
          <cell r="L143" t="str">
            <v>ΝΑΙ</v>
          </cell>
          <cell r="O143" t="str">
            <v/>
          </cell>
        </row>
        <row r="144">
          <cell r="D144" t="str">
            <v>ΑΜΠΕΛΩΝΕΣ ΓΙΑ ΠΑΡΑΓΩΓΗ ΟΙΝΟΥ11062</v>
          </cell>
          <cell r="E144" t="str">
            <v>ΦΟΛ ΜΠΛΑΝΣ (FOLLE BLANCHE)</v>
          </cell>
          <cell r="F144" t="str">
            <v>B_4_4_2</v>
          </cell>
          <cell r="G144" t="str">
            <v>Αμπελώνες, οι οποίοι συνήθως παράγουν άλλους οίνους</v>
          </cell>
          <cell r="H144">
            <v>4868</v>
          </cell>
          <cell r="K144" t="str">
            <v>Ναι</v>
          </cell>
          <cell r="L144" t="str">
            <v>ΝΑΙ</v>
          </cell>
          <cell r="O144" t="str">
            <v/>
          </cell>
        </row>
        <row r="145">
          <cell r="D145" t="str">
            <v>ΑΜΠΕΛΩΝΕΣ ΓΙΑ ΠΑΡΑΓΩΓΗ ΟΙΝΟΥ11063</v>
          </cell>
          <cell r="E145" t="str">
            <v>ΧΛΩΡΕΣ</v>
          </cell>
          <cell r="F145" t="str">
            <v>B_4_4_2</v>
          </cell>
          <cell r="G145" t="str">
            <v>Αμπελώνες, οι οποίοι συνήθως παράγουν άλλους οίνους</v>
          </cell>
          <cell r="H145">
            <v>4868</v>
          </cell>
          <cell r="J145" t="str">
            <v>Όχι</v>
          </cell>
          <cell r="K145" t="str">
            <v>Ναι</v>
          </cell>
          <cell r="L145" t="str">
            <v>ΝΑΙ</v>
          </cell>
        </row>
        <row r="146">
          <cell r="D146" t="str">
            <v>ΑΜΠΕΛΩΝΕΣ ΓΙΑ ΠΑΡΑΓΩΓΗ ΟΙΝΟΥ11064</v>
          </cell>
          <cell r="E146" t="str">
            <v>ΥΝΙ ΜΠΛΑΝ (UGNI BLANC)</v>
          </cell>
          <cell r="F146" t="str">
            <v>B_4_4_2</v>
          </cell>
          <cell r="G146" t="str">
            <v>Αμπελώνες, οι οποίοι συνήθως παράγουν άλλους οίνους</v>
          </cell>
          <cell r="H146">
            <v>4868</v>
          </cell>
          <cell r="K146" t="str">
            <v>Ναι</v>
          </cell>
          <cell r="L146" t="str">
            <v>ΝΑΙ</v>
          </cell>
          <cell r="O146" t="str">
            <v/>
          </cell>
        </row>
        <row r="147">
          <cell r="D147" t="str">
            <v>ΑΜΠΕΛΩΝΕΣ ΓΙΑ ΠΑΡΑΓΩΓΗ ΟΙΝΟΥ11065</v>
          </cell>
          <cell r="E147" t="str">
            <v>ΑΛΛΕΣ</v>
          </cell>
          <cell r="F147" t="str">
            <v>B_4_4_2</v>
          </cell>
          <cell r="G147" t="str">
            <v>Αμπελώνες, οι οποίοι συνήθως παράγουν άλλους οίνους</v>
          </cell>
          <cell r="H147">
            <v>4868</v>
          </cell>
          <cell r="K147" t="str">
            <v>Ναι</v>
          </cell>
          <cell r="L147" t="str">
            <v>ΝΑΙ</v>
          </cell>
          <cell r="O147" t="str">
            <v/>
          </cell>
        </row>
        <row r="148">
          <cell r="D148" t="str">
            <v>ΑΜΠΕΛΩΝΕΣ ΓΙΑ ΠΑΡΑΓΩΓΗ ΟΙΝΟΥ11066</v>
          </cell>
          <cell r="E148" t="str">
            <v>ΑΛΙΓΚΟΤΕ</v>
          </cell>
          <cell r="F148" t="str">
            <v>B_4_4_2</v>
          </cell>
          <cell r="G148" t="str">
            <v>Αμπελώνες, οι οποίοι συνήθως παράγουν άλλους οίνους</v>
          </cell>
          <cell r="H148">
            <v>4868</v>
          </cell>
          <cell r="K148" t="str">
            <v>Ναι</v>
          </cell>
          <cell r="L148" t="str">
            <v>ΝΑΙ</v>
          </cell>
          <cell r="O148" t="str">
            <v/>
          </cell>
        </row>
        <row r="149">
          <cell r="D149" t="str">
            <v>ΑΜΠΕΛΩΝΕΣ ΓΙΑ ΠΑΡΑΓΩΓΗ ΟΙΝΟΥ11067</v>
          </cell>
          <cell r="E149" t="str">
            <v>ΒΙΟΝΕ</v>
          </cell>
          <cell r="F149" t="str">
            <v>B_4_4_2</v>
          </cell>
          <cell r="G149" t="str">
            <v>Αμπελώνες, οι οποίοι συνήθως παράγουν άλλους οίνους</v>
          </cell>
          <cell r="H149">
            <v>4868</v>
          </cell>
          <cell r="K149" t="str">
            <v>Ναι</v>
          </cell>
          <cell r="L149" t="str">
            <v>ΝΑΙ</v>
          </cell>
          <cell r="O149" t="str">
            <v/>
          </cell>
        </row>
        <row r="150">
          <cell r="D150" t="str">
            <v>ΑΜΠΕΛΩΝΕΣ ΓΙΑ ΠΑΡΑΓΩΓΗ ΟΙΝΟΥ11068</v>
          </cell>
          <cell r="E150" t="str">
            <v>ΖΑΚΥΝΘΙΝΟ</v>
          </cell>
          <cell r="F150" t="str">
            <v>B_4_4_2</v>
          </cell>
          <cell r="G150" t="str">
            <v>Αμπελώνες, οι οποίοι συνήθως παράγουν άλλους οίνους</v>
          </cell>
          <cell r="H150">
            <v>4868</v>
          </cell>
          <cell r="K150" t="str">
            <v>Ναι</v>
          </cell>
          <cell r="L150" t="str">
            <v>ΝΑΙ</v>
          </cell>
          <cell r="O150" t="str">
            <v/>
          </cell>
        </row>
        <row r="151">
          <cell r="D151" t="str">
            <v>ΑΜΠΕΛΩΝΕΣ ΓΙΑ ΠΑΡΑΓΩΓΗ ΟΙΝΟΥ11069</v>
          </cell>
          <cell r="E151" t="str">
            <v>ΜΑΛΒΑΖΙΑ ΑΡΩΜΑΤΙΚΗ</v>
          </cell>
          <cell r="F151" t="str">
            <v>B_4_4_2</v>
          </cell>
          <cell r="G151" t="str">
            <v>Αμπελώνες, οι οποίοι συνήθως παράγουν άλλους οίνους</v>
          </cell>
          <cell r="H151">
            <v>4868</v>
          </cell>
          <cell r="K151" t="str">
            <v>Ναι</v>
          </cell>
          <cell r="L151" t="str">
            <v>ΝΑΙ</v>
          </cell>
          <cell r="O151" t="str">
            <v/>
          </cell>
        </row>
        <row r="152">
          <cell r="D152" t="str">
            <v>ΑΜΠΕΛΩΝΕΣ ΓΙΑ ΠΑΡΑΓΩΓΗ ΟΙΝΟΥ11070</v>
          </cell>
          <cell r="E152" t="str">
            <v>ΜΑΛΒΑΖΙΑ ΛΟΥΝΓΚΑ</v>
          </cell>
          <cell r="F152" t="str">
            <v>B_4_4_2</v>
          </cell>
          <cell r="G152" t="str">
            <v>Αμπελώνες, οι οποίοι συνήθως παράγουν άλλους οίνους</v>
          </cell>
          <cell r="H152">
            <v>4868</v>
          </cell>
          <cell r="K152" t="str">
            <v>Ναι</v>
          </cell>
          <cell r="L152" t="str">
            <v>ΝΑΙ</v>
          </cell>
          <cell r="O152" t="str">
            <v/>
          </cell>
        </row>
        <row r="153">
          <cell r="D153" t="str">
            <v>ΑΜΠΕΛΩΝΕΣ ΓΙΑ ΠΑΡΑΓΩΓΗ ΟΙΝΟΥ11071</v>
          </cell>
          <cell r="E153" t="str">
            <v>ΜΑΛΒΑΖΙΑ ΙΣΤΡΙΑΝΑ</v>
          </cell>
          <cell r="F153" t="str">
            <v>B_4_4_2</v>
          </cell>
          <cell r="G153" t="str">
            <v>Αμπελώνες, οι οποίοι συνήθως παράγουν άλλους οίνους</v>
          </cell>
          <cell r="H153">
            <v>4868</v>
          </cell>
          <cell r="K153" t="str">
            <v>Ναι</v>
          </cell>
          <cell r="L153" t="str">
            <v>ΝΑΙ</v>
          </cell>
          <cell r="O153" t="str">
            <v/>
          </cell>
        </row>
        <row r="154">
          <cell r="D154" t="str">
            <v>ΑΜΠΕΛΩΝΕΣ ΓΙΑ ΠΑΡΑΓΩΓΗ ΟΙΝΟΥ11072</v>
          </cell>
          <cell r="E154" t="str">
            <v>ΜΟΥΡΒΕΡΝΤΡ</v>
          </cell>
          <cell r="F154" t="str">
            <v>B_4_4_2</v>
          </cell>
          <cell r="G154" t="str">
            <v>Αμπελώνες, οι οποίοι συνήθως παράγουν άλλους οίνους</v>
          </cell>
          <cell r="H154">
            <v>4868</v>
          </cell>
          <cell r="K154" t="str">
            <v>Ναι</v>
          </cell>
          <cell r="L154" t="str">
            <v>ΝΑΙ</v>
          </cell>
          <cell r="O154" t="str">
            <v/>
          </cell>
        </row>
        <row r="155">
          <cell r="D155" t="str">
            <v>ΑΜΠΕΛΩΝΕΣ ΓΙΑ ΠΑΡΑΓΩΓΗ ΟΙΝΟΥ11073</v>
          </cell>
          <cell r="E155" t="str">
            <v>ΜΟΣΧΑΤΕΛΛΑ</v>
          </cell>
          <cell r="F155" t="str">
            <v>B_4_4_2</v>
          </cell>
          <cell r="G155" t="str">
            <v>Αμπελώνες, οι οποίοι συνήθως παράγουν άλλους οίνους</v>
          </cell>
          <cell r="H155">
            <v>4868</v>
          </cell>
          <cell r="K155" t="str">
            <v>Ναι</v>
          </cell>
          <cell r="L155" t="str">
            <v>ΝΑΙ</v>
          </cell>
          <cell r="O155" t="str">
            <v/>
          </cell>
        </row>
        <row r="156">
          <cell r="D156" t="str">
            <v>ΑΜΠΕΛΩΝΕΣ ΓΙΑ ΠΑΡΑΓΩΓΗ ΟΙΝΟΥ11075</v>
          </cell>
          <cell r="E156" t="str">
            <v>ΟΨΙΜΟΣ ΣΟΥΦΛΙΟΥ</v>
          </cell>
          <cell r="F156" t="str">
            <v>B_4_4_2</v>
          </cell>
          <cell r="G156" t="str">
            <v>Αμπελώνες, οι οποίοι συνήθως παράγουν άλλους οίνους</v>
          </cell>
          <cell r="H156">
            <v>4868</v>
          </cell>
          <cell r="K156" t="str">
            <v>Ναι</v>
          </cell>
          <cell r="L156" t="str">
            <v>ΝΑΙ</v>
          </cell>
          <cell r="O156" t="str">
            <v/>
          </cell>
        </row>
        <row r="157">
          <cell r="D157" t="str">
            <v>ΑΜΠΕΛΩΝΕΣ ΓΙΑ ΠΑΡΑΓΩΓΗ ΟΙΝΟΥ11076</v>
          </cell>
          <cell r="E157" t="str">
            <v>ΠΡΙΚΝΑΔΙ</v>
          </cell>
          <cell r="F157" t="str">
            <v>B_4_4_2</v>
          </cell>
          <cell r="G157" t="str">
            <v>Αμπελώνες, οι οποίοι συνήθως παράγουν άλλους οίνους</v>
          </cell>
          <cell r="H157">
            <v>4868</v>
          </cell>
          <cell r="K157" t="str">
            <v>Ναι</v>
          </cell>
          <cell r="L157" t="str">
            <v>ΝΑΙ</v>
          </cell>
          <cell r="O157" t="str">
            <v/>
          </cell>
        </row>
        <row r="158">
          <cell r="D158" t="str">
            <v>ΑΜΠΕΛΩΝΕΣ ΓΙΑ ΠΑΡΑΓΩΓΗ ΟΙΝΟΥ11077</v>
          </cell>
          <cell r="E158" t="str">
            <v>ΡΟΖΑΚΙ</v>
          </cell>
          <cell r="F158" t="str">
            <v>B_4_4_2</v>
          </cell>
          <cell r="G158" t="str">
            <v>Αμπελώνες, οι οποίοι συνήθως παράγουν άλλους οίνους</v>
          </cell>
          <cell r="H158">
            <v>4868</v>
          </cell>
          <cell r="K158" t="str">
            <v>Ναι</v>
          </cell>
          <cell r="L158" t="str">
            <v>ΝΑΙ</v>
          </cell>
          <cell r="O158" t="str">
            <v/>
          </cell>
        </row>
        <row r="159">
          <cell r="D159" t="str">
            <v>ΑΜΠΕΛΩΝΕΣ ΓΙΑ ΠΑΡΑΓΩΓΗ ΟΙΝΟΥ11078</v>
          </cell>
          <cell r="E159" t="str">
            <v>ΣΟΥΛΤΑΝΙΝΑ</v>
          </cell>
          <cell r="F159" t="str">
            <v>B_4_4_2</v>
          </cell>
          <cell r="G159" t="str">
            <v>Αμπελώνες, οι οποίοι συνήθως παράγουν άλλους οίνους</v>
          </cell>
          <cell r="H159">
            <v>4868</v>
          </cell>
          <cell r="K159" t="str">
            <v>Ναι</v>
          </cell>
          <cell r="L159" t="str">
            <v>ΝΑΙ</v>
          </cell>
          <cell r="O159" t="str">
            <v/>
          </cell>
        </row>
        <row r="160">
          <cell r="D160" t="str">
            <v>ΑΜΠΕΛΩΝΕΣ ΓΙΑ ΠΑΡΑΓΩΓΗ ΟΙΝΟΥ11079</v>
          </cell>
          <cell r="E160" t="str">
            <v>ΣΚΥΛΟΚΛΗΜΑ Β</v>
          </cell>
          <cell r="F160" t="str">
            <v>B_4_4_2</v>
          </cell>
          <cell r="G160" t="str">
            <v>Αμπελώνες, οι οποίοι συνήθως παράγουν άλλους οίνους</v>
          </cell>
          <cell r="H160">
            <v>4868</v>
          </cell>
          <cell r="K160" t="str">
            <v>Ναι</v>
          </cell>
          <cell r="L160" t="str">
            <v>ΝΑΙ</v>
          </cell>
          <cell r="O160" t="str">
            <v/>
          </cell>
        </row>
        <row r="161">
          <cell r="D161" t="str">
            <v>ΑΜΠΕΛΩΝΕΣ ΓΙΑ ΠΑΡΑΓΩΓΗ ΟΙΝΟΥ11080</v>
          </cell>
          <cell r="E161" t="str">
            <v>MALVASIA BIANCA DI CANDIA B</v>
          </cell>
          <cell r="F161" t="str">
            <v>B_4_4_2</v>
          </cell>
          <cell r="G161" t="str">
            <v>Αμπελώνες, οι οποίοι συνήθως παράγουν άλλους οίνους</v>
          </cell>
          <cell r="H161">
            <v>4868</v>
          </cell>
          <cell r="K161" t="str">
            <v>Ναι</v>
          </cell>
          <cell r="L161" t="str">
            <v>ΝΑΙ</v>
          </cell>
          <cell r="O161" t="str">
            <v/>
          </cell>
        </row>
        <row r="162">
          <cell r="D162" t="str">
            <v>ΑΜΠΕΛΩΝΕΣ ΓΙΑ ΠΑΡΑΓΩΓΗ ΟΙΝΟΥ11085</v>
          </cell>
          <cell r="E162" t="str">
            <v>RED GLOBE</v>
          </cell>
          <cell r="F162" t="str">
            <v>B_4_4_2</v>
          </cell>
          <cell r="G162" t="str">
            <v>Αμπελώνες, οι οποίοι συνήθως παράγουν άλλους οίνους</v>
          </cell>
          <cell r="H162">
            <v>4868</v>
          </cell>
          <cell r="J162" t="str">
            <v>Όχι</v>
          </cell>
          <cell r="K162" t="str">
            <v>Ναι</v>
          </cell>
          <cell r="L162" t="str">
            <v>ΝΑΙ</v>
          </cell>
        </row>
        <row r="163">
          <cell r="D163" t="str">
            <v>ΑΜΠΕΛΩΝΕΣ ΓΙΑ ΠΑΡΑΓΩΓΗ ΟΙΝΟΥ11086</v>
          </cell>
          <cell r="E163" t="str">
            <v>ΡΟΖΑΚΙ ΔΙΠΛΗΣ ΧΡΗΣΗΣ</v>
          </cell>
          <cell r="F163" t="str">
            <v>B_4_4_2</v>
          </cell>
          <cell r="G163" t="str">
            <v>Αμπελώνες, οι οποίοι συνήθως παράγουν άλλους οίνους</v>
          </cell>
          <cell r="H163">
            <v>4868</v>
          </cell>
          <cell r="J163" t="str">
            <v>Όχι</v>
          </cell>
          <cell r="K163" t="str">
            <v>Ναι</v>
          </cell>
          <cell r="L163" t="str">
            <v>ΝΑΙ</v>
          </cell>
        </row>
        <row r="164">
          <cell r="D164" t="str">
            <v>ΑΜΠΕΛΩΝΕΣ ΓΙΑ ΠΑΡΑΓΩΓΗ ΟΙΝΟΥ11096</v>
          </cell>
          <cell r="E164" t="str">
            <v>ΣΚΛΑΒΑ</v>
          </cell>
          <cell r="F164" t="str">
            <v>B_4_4_2</v>
          </cell>
          <cell r="G164" t="str">
            <v>Αμπελώνες, οι οποίοι συνήθως παράγουν άλλους οίνους</v>
          </cell>
          <cell r="H164">
            <v>4868</v>
          </cell>
          <cell r="K164" t="str">
            <v>Ναι</v>
          </cell>
          <cell r="L164" t="str">
            <v>ΝΑΙ</v>
          </cell>
          <cell r="O164" t="str">
            <v/>
          </cell>
        </row>
        <row r="165">
          <cell r="D165" t="str">
            <v>ΑΜΠΕΛΩΝΕΣ ΓΙΑ ΠΑΡΑΓΩΓΗ ΟΙΝΟΥ12001</v>
          </cell>
          <cell r="E165" t="str">
            <v>ΑΗΔΑΝΙ ΜΑΥΡΟ</v>
          </cell>
          <cell r="F165" t="str">
            <v>B_4_4_2</v>
          </cell>
          <cell r="G165" t="str">
            <v>Αμπελώνες, οι οποίοι συνήθως παράγουν άλλους οίνους</v>
          </cell>
          <cell r="H165">
            <v>4868</v>
          </cell>
          <cell r="K165" t="str">
            <v>Ναι</v>
          </cell>
          <cell r="L165" t="str">
            <v>ΝΑΙ</v>
          </cell>
          <cell r="O165" t="str">
            <v/>
          </cell>
        </row>
        <row r="166">
          <cell r="D166" t="str">
            <v>ΑΜΠΕΛΩΝΕΣ ΓΙΑ ΠΑΡΑΓΩΓΗ ΟΙΝΟΥ12002</v>
          </cell>
          <cell r="E166" t="str">
            <v>ΑΘΗΡΙ ΜΑΥΡΟ</v>
          </cell>
          <cell r="F166" t="str">
            <v>B_4_4_2</v>
          </cell>
          <cell r="G166" t="str">
            <v>Αμπελώνες, οι οποίοι συνήθως παράγουν άλλους οίνους</v>
          </cell>
          <cell r="H166">
            <v>4868</v>
          </cell>
          <cell r="K166" t="str">
            <v>Ναι</v>
          </cell>
          <cell r="L166" t="str">
            <v>ΝΑΙ</v>
          </cell>
          <cell r="O166" t="str">
            <v/>
          </cell>
        </row>
        <row r="167">
          <cell r="D167" t="str">
            <v>ΑΜΠΕΛΩΝΕΣ ΓΙΑ ΠΑΡΑΓΩΓΗ ΟΙΝΟΥ12003</v>
          </cell>
          <cell r="E167" t="str">
            <v>ΒΟΛΙΤΣΑ ΜΑΥΡΗ</v>
          </cell>
          <cell r="F167" t="str">
            <v>B_4_4_2</v>
          </cell>
          <cell r="G167" t="str">
            <v>Αμπελώνες, οι οποίοι συνήθως παράγουν άλλους οίνους</v>
          </cell>
          <cell r="H167">
            <v>4868</v>
          </cell>
          <cell r="K167" t="str">
            <v>Ναι</v>
          </cell>
          <cell r="L167" t="str">
            <v>ΝΑΙ</v>
          </cell>
          <cell r="O167" t="str">
            <v/>
          </cell>
        </row>
        <row r="168">
          <cell r="D168" t="str">
            <v>ΑΜΠΕΛΩΝΕΣ ΓΙΑ ΠΑΡΑΓΩΓΗ ΟΙΝΟΥ12004</v>
          </cell>
          <cell r="E168" t="str">
            <v>ΚΟΡΙΘΙ ΜΑΥΡΟ</v>
          </cell>
          <cell r="F168" t="str">
            <v>B_4_4_2</v>
          </cell>
          <cell r="G168" t="str">
            <v>Αμπελώνες, οι οποίοι συνήθως παράγουν άλλους οίνους</v>
          </cell>
          <cell r="H168">
            <v>4868</v>
          </cell>
          <cell r="K168" t="str">
            <v>Ναι</v>
          </cell>
          <cell r="L168" t="str">
            <v>ΝΑΙ</v>
          </cell>
          <cell r="O168" t="str">
            <v/>
          </cell>
        </row>
        <row r="169">
          <cell r="D169" t="str">
            <v>ΑΜΠΕΛΩΝΕΣ ΓΙΑ ΠΑΡΑΓΩΓΗ ΟΙΝΟΥ12005</v>
          </cell>
          <cell r="E169" t="str">
            <v>ΠΕΤΡΟΚΟΡΙΘΟ ΜΑΥΡΟ</v>
          </cell>
          <cell r="F169" t="str">
            <v>B_4_4_2</v>
          </cell>
          <cell r="G169" t="str">
            <v>Αμπελώνες, οι οποίοι συνήθως παράγουν άλλους οίνους</v>
          </cell>
          <cell r="H169">
            <v>4868</v>
          </cell>
          <cell r="K169" t="str">
            <v>Ναι</v>
          </cell>
          <cell r="L169" t="str">
            <v>ΝΑΙ</v>
          </cell>
          <cell r="O169" t="str">
            <v/>
          </cell>
        </row>
        <row r="170">
          <cell r="D170" t="str">
            <v>ΑΜΠΕΛΩΝΕΣ ΓΙΑ ΠΑΡΑΓΩΓΗ ΟΙΝΟΥ12006</v>
          </cell>
          <cell r="E170" t="str">
            <v>ΠΟΤΑΜΙΣΙΟ</v>
          </cell>
          <cell r="F170" t="str">
            <v>B_4_4_2</v>
          </cell>
          <cell r="G170" t="str">
            <v>Αμπελώνες, οι οποίοι συνήθως παράγουν άλλους οίνους</v>
          </cell>
          <cell r="H170">
            <v>4868</v>
          </cell>
          <cell r="K170" t="str">
            <v>Ναι</v>
          </cell>
          <cell r="L170" t="str">
            <v>ΝΑΙ</v>
          </cell>
          <cell r="O170" t="str">
            <v/>
          </cell>
        </row>
        <row r="171">
          <cell r="D171" t="str">
            <v>ΑΜΠΕΛΩΝΕΣ ΓΙΑ ΠΑΡΑΓΩΓΗ ΟΙΝΟΥ12100</v>
          </cell>
          <cell r="E171" t="str">
            <v>ΑΓΙΑΝΝΙΩΤΙΚΟ</v>
          </cell>
          <cell r="F171" t="str">
            <v>B_4_4_2</v>
          </cell>
          <cell r="G171" t="str">
            <v>Αμπελώνες, οι οποίοι συνήθως παράγουν άλλους οίνους</v>
          </cell>
          <cell r="H171">
            <v>4868</v>
          </cell>
          <cell r="K171" t="str">
            <v>Ναι</v>
          </cell>
          <cell r="L171" t="str">
            <v>ΝΑΙ</v>
          </cell>
          <cell r="O171" t="str">
            <v/>
          </cell>
        </row>
        <row r="172">
          <cell r="D172" t="str">
            <v>ΑΜΠΕΛΩΝΕΣ ΓΙΑ ΠΑΡΑΓΩΓΗ ΟΙΝΟΥ12101</v>
          </cell>
          <cell r="E172" t="str">
            <v>ΑΓΙΩΡΓΙΤΙΚΟ (ΜΑΥΡΟ ΝΕΜΕΑΣ)</v>
          </cell>
          <cell r="F172" t="str">
            <v>B_4_4_2</v>
          </cell>
          <cell r="G172" t="str">
            <v>Αμπελώνες, οι οποίοι συνήθως παράγουν άλλους οίνους</v>
          </cell>
          <cell r="H172">
            <v>4868</v>
          </cell>
          <cell r="K172" t="str">
            <v>Ναι</v>
          </cell>
          <cell r="L172" t="str">
            <v>ΝΑΙ</v>
          </cell>
          <cell r="O172" t="str">
            <v/>
          </cell>
        </row>
        <row r="173">
          <cell r="D173" t="str">
            <v>ΑΜΠΕΛΩΝΕΣ ΓΙΑ ΠΑΡΑΓΩΓΗ ΟΙΝΟΥ12102</v>
          </cell>
          <cell r="E173" t="str">
            <v>ΑΛΙΚΑΝΤΕ ΜΠΟΥΣΕ (ALICANTE BOUSCHET)</v>
          </cell>
          <cell r="F173" t="str">
            <v>B_4_4_2</v>
          </cell>
          <cell r="G173" t="str">
            <v>Αμπελώνες, οι οποίοι συνήθως παράγουν άλλους οίνους</v>
          </cell>
          <cell r="H173">
            <v>4868</v>
          </cell>
          <cell r="K173" t="str">
            <v>Ναι</v>
          </cell>
          <cell r="L173" t="str">
            <v>ΝΑΙ</v>
          </cell>
          <cell r="O173" t="str">
            <v/>
          </cell>
        </row>
        <row r="174">
          <cell r="D174" t="str">
            <v>ΑΜΠΕΛΩΝΕΣ ΓΙΑ ΠΑΡΑΓΩΓΗ ΟΙΝΟΥ12103</v>
          </cell>
          <cell r="E174" t="str">
            <v>ΑΜΦΙΟΝΙ</v>
          </cell>
          <cell r="F174" t="str">
            <v>B_4_4_2</v>
          </cell>
          <cell r="G174" t="str">
            <v>Αμπελώνες, οι οποίοι συνήθως παράγουν άλλους οίνους</v>
          </cell>
          <cell r="H174">
            <v>4868</v>
          </cell>
          <cell r="K174" t="str">
            <v>Ναι</v>
          </cell>
          <cell r="L174" t="str">
            <v>ΝΑΙ</v>
          </cell>
          <cell r="O174" t="str">
            <v/>
          </cell>
        </row>
        <row r="175">
          <cell r="D175" t="str">
            <v>ΑΜΠΕΛΩΝΕΣ ΓΙΑ ΠΑΡΑΓΩΓΗ ΟΙΝΟΥ12104</v>
          </cell>
          <cell r="E175" t="str">
            <v>ΑΡΑΚΛΙΝΟΣ</v>
          </cell>
          <cell r="F175" t="str">
            <v>B_4_4_2</v>
          </cell>
          <cell r="G175" t="str">
            <v>Αμπελώνες, οι οποίοι συνήθως παράγουν άλλους οίνους</v>
          </cell>
          <cell r="H175">
            <v>4868</v>
          </cell>
          <cell r="K175" t="str">
            <v>Ναι</v>
          </cell>
          <cell r="L175" t="str">
            <v>ΝΑΙ</v>
          </cell>
          <cell r="O175" t="str">
            <v/>
          </cell>
        </row>
        <row r="176">
          <cell r="D176" t="str">
            <v>ΑΜΠΕΛΩΝΕΣ ΓΙΑ ΠΑΡΑΓΩΓΗ ΟΙΝΟΥ12105</v>
          </cell>
          <cell r="E176" t="str">
            <v>ΑΡΜΕΛΕΤΟΥΣΑ</v>
          </cell>
          <cell r="F176" t="str">
            <v>B_4_4_2</v>
          </cell>
          <cell r="G176" t="str">
            <v>Αμπελώνες, οι οποίοι συνήθως παράγουν άλλους οίνους</v>
          </cell>
          <cell r="H176">
            <v>4868</v>
          </cell>
          <cell r="K176" t="str">
            <v>Ναι</v>
          </cell>
          <cell r="L176" t="str">
            <v>ΝΑΙ</v>
          </cell>
          <cell r="O176" t="str">
            <v/>
          </cell>
        </row>
        <row r="177">
          <cell r="D177" t="str">
            <v>ΑΜΠΕΛΩΝΕΣ ΓΙΑ ΠΑΡΑΓΩΓΗ ΟΙΝΟΥ12106</v>
          </cell>
          <cell r="E177" t="str">
            <v>ΑΥΓΟΥΣΤΙΑΤΗΣ</v>
          </cell>
          <cell r="F177" t="str">
            <v>B_4_4_2</v>
          </cell>
          <cell r="G177" t="str">
            <v>Αμπελώνες, οι οποίοι συνήθως παράγουν άλλους οίνους</v>
          </cell>
          <cell r="H177">
            <v>4868</v>
          </cell>
          <cell r="K177" t="str">
            <v>Ναι</v>
          </cell>
          <cell r="L177" t="str">
            <v>ΝΑΙ</v>
          </cell>
          <cell r="O177" t="str">
            <v/>
          </cell>
        </row>
        <row r="178">
          <cell r="D178" t="str">
            <v>ΑΜΠΕΛΩΝΕΣ ΓΙΑ ΠΑΡΑΓΩΓΗ ΟΙΝΟΥ12107</v>
          </cell>
          <cell r="E178" t="str">
            <v>ΒΑΦΤΡΑ, ΒΑΨΑ</v>
          </cell>
          <cell r="F178" t="str">
            <v>B_4_4_2</v>
          </cell>
          <cell r="G178" t="str">
            <v>Αμπελώνες, οι οποίοι συνήθως παράγουν άλλους οίνους</v>
          </cell>
          <cell r="H178">
            <v>4868</v>
          </cell>
          <cell r="K178" t="str">
            <v>Ναι</v>
          </cell>
          <cell r="L178" t="str">
            <v>ΝΑΙ</v>
          </cell>
          <cell r="O178" t="str">
            <v/>
          </cell>
        </row>
        <row r="179">
          <cell r="D179" t="str">
            <v>ΑΜΠΕΛΩΝΕΣ ΓΙΑ ΠΑΡΑΓΩΓΗ ΟΙΝΟΥ12108</v>
          </cell>
          <cell r="E179" t="str">
            <v>ΒΕΡΤΖΑΜΙ</v>
          </cell>
          <cell r="F179" t="str">
            <v>B_4_4_2</v>
          </cell>
          <cell r="G179" t="str">
            <v>Αμπελώνες, οι οποίοι συνήθως παράγουν άλλους οίνους</v>
          </cell>
          <cell r="H179">
            <v>4868</v>
          </cell>
          <cell r="K179" t="str">
            <v>Ναι</v>
          </cell>
          <cell r="L179" t="str">
            <v>ΝΑΙ</v>
          </cell>
          <cell r="O179" t="str">
            <v/>
          </cell>
        </row>
        <row r="180">
          <cell r="D180" t="str">
            <v>ΑΜΠΕΛΩΝΕΣ ΓΙΑ ΠΑΡΑΓΩΓΗ ΟΙΝΟΥ12109</v>
          </cell>
          <cell r="E180" t="str">
            <v>ΒΙΟΛΕΝΤΟ</v>
          </cell>
          <cell r="F180" t="str">
            <v>B_4_4_2</v>
          </cell>
          <cell r="G180" t="str">
            <v>Αμπελώνες, οι οποίοι συνήθως παράγουν άλλους οίνους</v>
          </cell>
          <cell r="H180">
            <v>4868</v>
          </cell>
          <cell r="K180" t="str">
            <v>Ναι</v>
          </cell>
          <cell r="L180" t="str">
            <v>ΝΑΙ</v>
          </cell>
          <cell r="O180" t="str">
            <v/>
          </cell>
        </row>
        <row r="181">
          <cell r="D181" t="str">
            <v>ΑΜΠΕΛΩΝΕΣ ΓΙΑ ΠΑΡΑΓΩΓΗ ΟΙΝΟΥ12110</v>
          </cell>
          <cell r="E181" t="str">
            <v>ΒΛΑΧΙΚΟ</v>
          </cell>
          <cell r="F181" t="str">
            <v>B_4_4_2</v>
          </cell>
          <cell r="G181" t="str">
            <v>Αμπελώνες, οι οποίοι συνήθως παράγουν άλλους οίνους</v>
          </cell>
          <cell r="H181">
            <v>4868</v>
          </cell>
          <cell r="K181" t="str">
            <v>Ναι</v>
          </cell>
          <cell r="L181" t="str">
            <v>ΝΑΙ</v>
          </cell>
          <cell r="O181" t="str">
            <v/>
          </cell>
        </row>
        <row r="182">
          <cell r="D182" t="str">
            <v>ΑΜΠΕΛΩΝΕΣ ΓΙΑ ΠΑΡΑΓΩΓΗ ΟΙΝΟΥ12111</v>
          </cell>
          <cell r="E182" t="str">
            <v>ΒΟΙΔΟΜΑΤΗΣ</v>
          </cell>
          <cell r="F182" t="str">
            <v>B_4_4_2</v>
          </cell>
          <cell r="G182" t="str">
            <v>Αμπελώνες, οι οποίοι συνήθως παράγουν άλλους οίνους</v>
          </cell>
          <cell r="H182">
            <v>4868</v>
          </cell>
          <cell r="K182" t="str">
            <v>Ναι</v>
          </cell>
          <cell r="L182" t="str">
            <v>ΝΑΙ</v>
          </cell>
          <cell r="O182" t="str">
            <v/>
          </cell>
        </row>
        <row r="183">
          <cell r="D183" t="str">
            <v>ΑΜΠΕΛΩΝΕΣ ΓΙΑ ΠΑΡΑΓΩΓΗ ΟΙΝΟΥ12112</v>
          </cell>
          <cell r="E183" t="str">
            <v>ΒΡΑΔΙΑΝΟ</v>
          </cell>
          <cell r="F183" t="str">
            <v>B_4_4_2</v>
          </cell>
          <cell r="G183" t="str">
            <v>Αμπελώνες, οι οποίοι συνήθως παράγουν άλλους οίνους</v>
          </cell>
          <cell r="H183">
            <v>4868</v>
          </cell>
          <cell r="K183" t="str">
            <v>Ναι</v>
          </cell>
          <cell r="L183" t="str">
            <v>ΝΑΙ</v>
          </cell>
          <cell r="O183" t="str">
            <v/>
          </cell>
        </row>
        <row r="184">
          <cell r="D184" t="str">
            <v>ΑΜΠΕΛΩΝΕΣ ΓΙΑ ΠΑΡΑΓΩΓΗ ΟΙΝΟΥ12113</v>
          </cell>
          <cell r="E184" t="str">
            <v>ΓΚΡΕΝΑΣ ΡΟΥΖ (GRENACHE ROUGE)</v>
          </cell>
          <cell r="F184" t="str">
            <v>B_4_4_2</v>
          </cell>
          <cell r="G184" t="str">
            <v>Αμπελώνες, οι οποίοι συνήθως παράγουν άλλους οίνους</v>
          </cell>
          <cell r="H184">
            <v>4868</v>
          </cell>
          <cell r="K184" t="str">
            <v>Ναι</v>
          </cell>
          <cell r="L184" t="str">
            <v>ΝΑΙ</v>
          </cell>
          <cell r="O184" t="str">
            <v/>
          </cell>
        </row>
        <row r="185">
          <cell r="D185" t="str">
            <v>ΑΜΠΕΛΩΝΕΣ ΓΙΑ ΠΑΡΑΓΩΓΗ ΟΙΝΟΥ12114</v>
          </cell>
          <cell r="E185" t="str">
            <v>ΓΚΡΑΝ ΝΟΥΑΡ (GRAND NOIR)</v>
          </cell>
          <cell r="F185" t="str">
            <v>B_4_4_2</v>
          </cell>
          <cell r="G185" t="str">
            <v>Αμπελώνες, οι οποίοι συνήθως παράγουν άλλους οίνους</v>
          </cell>
          <cell r="H185">
            <v>4868</v>
          </cell>
          <cell r="K185" t="str">
            <v>Ναι</v>
          </cell>
          <cell r="L185" t="str">
            <v>ΝΑΙ</v>
          </cell>
          <cell r="O185" t="str">
            <v/>
          </cell>
        </row>
        <row r="186">
          <cell r="D186" t="str">
            <v>ΑΜΠΕΛΩΝΕΣ ΓΙΑ ΠΑΡΑΓΩΓΗ ΟΙΝΟΥ12115</v>
          </cell>
          <cell r="E186" t="str">
            <v>ΓΛΥΚΟΠΑΤΙ</v>
          </cell>
          <cell r="F186" t="str">
            <v>B_4_4_2</v>
          </cell>
          <cell r="G186" t="str">
            <v>Αμπελώνες, οι οποίοι συνήθως παράγουν άλλους οίνους</v>
          </cell>
          <cell r="H186">
            <v>4868</v>
          </cell>
          <cell r="K186" t="str">
            <v>Ναι</v>
          </cell>
          <cell r="L186" t="str">
            <v>ΝΑΙ</v>
          </cell>
          <cell r="O186" t="str">
            <v/>
          </cell>
        </row>
        <row r="187">
          <cell r="D187" t="str">
            <v>ΑΜΠΕΛΩΝΕΣ ΓΙΑ ΠΑΡΑΓΩΓΗ ΟΙΝΟΥ12116</v>
          </cell>
          <cell r="E187" t="str">
            <v>ΔΙΜΗΝΙΤΗΣ</v>
          </cell>
          <cell r="F187" t="str">
            <v>B_4_4_2</v>
          </cell>
          <cell r="G187" t="str">
            <v>Αμπελώνες, οι οποίοι συνήθως παράγουν άλλους οίνους</v>
          </cell>
          <cell r="H187">
            <v>4868</v>
          </cell>
          <cell r="K187" t="str">
            <v>Ναι</v>
          </cell>
          <cell r="L187" t="str">
            <v>ΝΑΙ</v>
          </cell>
          <cell r="O187" t="str">
            <v/>
          </cell>
        </row>
        <row r="188">
          <cell r="D188" t="str">
            <v>ΑΜΠΕΛΩΝΕΣ ΓΙΑ ΠΑΡΑΓΩΓΗ ΟΙΝΟΥ12117</v>
          </cell>
          <cell r="E188" t="str">
            <v>ΔΙΧΑΛΙ</v>
          </cell>
          <cell r="F188" t="str">
            <v>B_4_4_2</v>
          </cell>
          <cell r="G188" t="str">
            <v>Αμπελώνες, οι οποίοι συνήθως παράγουν άλλους οίνους</v>
          </cell>
          <cell r="H188">
            <v>4868</v>
          </cell>
          <cell r="K188" t="str">
            <v>Ναι</v>
          </cell>
          <cell r="L188" t="str">
            <v>ΝΑΙ</v>
          </cell>
          <cell r="O188" t="str">
            <v/>
          </cell>
        </row>
        <row r="189">
          <cell r="D189" t="str">
            <v>ΑΜΠΕΛΩΝΕΣ ΓΙΑ ΠΑΡΑΓΩΓΗ ΟΙΝΟΥ12118</v>
          </cell>
          <cell r="E189" t="str">
            <v>ΖΑΛΟΒΙΤΙΚΟ</v>
          </cell>
          <cell r="F189" t="str">
            <v>B_4_4_2</v>
          </cell>
          <cell r="G189" t="str">
            <v>Αμπελώνες, οι οποίοι συνήθως παράγουν άλλους οίνους</v>
          </cell>
          <cell r="H189">
            <v>4868</v>
          </cell>
          <cell r="K189" t="str">
            <v>Ναι</v>
          </cell>
          <cell r="L189" t="str">
            <v>ΝΑΙ</v>
          </cell>
          <cell r="O189" t="str">
            <v/>
          </cell>
        </row>
        <row r="190">
          <cell r="D190" t="str">
            <v>ΑΜΠΕΛΩΝΕΣ ΓΙΑ ΠΑΡΑΓΩΓΗ ΟΙΝΟΥ12119</v>
          </cell>
          <cell r="E190" t="str">
            <v>ΘΕΙΑΚΟ</v>
          </cell>
          <cell r="F190" t="str">
            <v>B_4_4_2</v>
          </cell>
          <cell r="G190" t="str">
            <v>Αμπελώνες, οι οποίοι συνήθως παράγουν άλλους οίνους</v>
          </cell>
          <cell r="H190">
            <v>4868</v>
          </cell>
          <cell r="K190" t="str">
            <v>Ναι</v>
          </cell>
          <cell r="L190" t="str">
            <v>ΝΑΙ</v>
          </cell>
          <cell r="O190" t="str">
            <v/>
          </cell>
        </row>
        <row r="191">
          <cell r="D191" t="str">
            <v>ΑΜΠΕΛΩΝΕΣ ΓΙΑ ΠΑΡΑΓΩΓΗ ΟΙΝΟΥ12120</v>
          </cell>
          <cell r="E191" t="str">
            <v>ΙΖΑΜΠΕΛΑ (ΤΖΩΡΤΖΙΔΙΚΑ)</v>
          </cell>
          <cell r="F191" t="str">
            <v>B_4_4_2</v>
          </cell>
          <cell r="G191" t="str">
            <v>Αμπελώνες, οι οποίοι συνήθως παράγουν άλλους οίνους</v>
          </cell>
          <cell r="H191">
            <v>4868</v>
          </cell>
          <cell r="K191" t="str">
            <v>Ναι</v>
          </cell>
          <cell r="L191" t="str">
            <v>ΝΑΙ</v>
          </cell>
          <cell r="O191" t="str">
            <v/>
          </cell>
        </row>
        <row r="192">
          <cell r="D192" t="str">
            <v>ΑΜΠΕΛΩΝΕΣ ΓΙΑ ΠΑΡΑΓΩΓΗ ΟΙΝΟΥ12121</v>
          </cell>
          <cell r="E192" t="str">
            <v>ΚΑΜΠΕΡΝΕ ΣΩΒΙΝΙΟΝ (CABERNET SAUVIGNON)</v>
          </cell>
          <cell r="F192" t="str">
            <v>B_4_4_2</v>
          </cell>
          <cell r="G192" t="str">
            <v>Αμπελώνες, οι οποίοι συνήθως παράγουν άλλους οίνους</v>
          </cell>
          <cell r="H192">
            <v>4868</v>
          </cell>
          <cell r="K192" t="str">
            <v>Ναι</v>
          </cell>
          <cell r="L192" t="str">
            <v>ΝΑΙ</v>
          </cell>
          <cell r="O192" t="str">
            <v/>
          </cell>
        </row>
        <row r="193">
          <cell r="D193" t="str">
            <v>ΑΜΠΕΛΩΝΕΣ ΓΙΑ ΠΑΡΑΓΩΓΗ ΟΙΝΟΥ12122</v>
          </cell>
          <cell r="E193" t="str">
            <v>ΚΑΜΠΕΡΝΕ ΦΡΑΝ (CABERNET FRANK)</v>
          </cell>
          <cell r="F193" t="str">
            <v>B_4_4_2</v>
          </cell>
          <cell r="G193" t="str">
            <v>Αμπελώνες, οι οποίοι συνήθως παράγουν άλλους οίνους</v>
          </cell>
          <cell r="H193">
            <v>4868</v>
          </cell>
          <cell r="K193" t="str">
            <v>Ναι</v>
          </cell>
          <cell r="L193" t="str">
            <v>ΝΑΙ</v>
          </cell>
          <cell r="O193" t="str">
            <v/>
          </cell>
        </row>
        <row r="194">
          <cell r="D194" t="str">
            <v>ΑΜΠΕΛΩΝΕΣ ΓΙΑ ΠΑΡΑΓΩΓΗ ΟΙΝΟΥ12123</v>
          </cell>
          <cell r="E194" t="str">
            <v>ΚΑΡΑΜΠΡΑΙΜΗΣ</v>
          </cell>
          <cell r="F194" t="str">
            <v>B_4_4_2</v>
          </cell>
          <cell r="G194" t="str">
            <v>Αμπελώνες, οι οποίοι συνήθως παράγουν άλλους οίνους</v>
          </cell>
          <cell r="H194">
            <v>4868</v>
          </cell>
          <cell r="K194" t="str">
            <v>Ναι</v>
          </cell>
          <cell r="L194" t="str">
            <v>ΝΑΙ</v>
          </cell>
          <cell r="O194" t="str">
            <v/>
          </cell>
        </row>
        <row r="195">
          <cell r="D195" t="str">
            <v>ΑΜΠΕΛΩΝΕΣ ΓΙΑ ΠΑΡΑΓΩΓΗ ΟΙΝΟΥ12124</v>
          </cell>
          <cell r="E195" t="str">
            <v>ΚΑΡΙΝΙΑΝ (CARIGNAN)</v>
          </cell>
          <cell r="F195" t="str">
            <v>B_4_4_2</v>
          </cell>
          <cell r="G195" t="str">
            <v>Αμπελώνες, οι οποίοι συνήθως παράγουν άλλους οίνους</v>
          </cell>
          <cell r="H195">
            <v>4868</v>
          </cell>
          <cell r="K195" t="str">
            <v>Ναι</v>
          </cell>
          <cell r="L195" t="str">
            <v>ΝΑΙ</v>
          </cell>
          <cell r="O195" t="str">
            <v/>
          </cell>
        </row>
        <row r="196">
          <cell r="D196" t="str">
            <v>ΑΜΠΕΛΩΝΕΣ ΓΙΑ ΠΑΡΑΓΩΓΗ ΟΙΝΟΥ12125</v>
          </cell>
          <cell r="E196" t="str">
            <v>ΚΑΡΤΣΙΩΤΗΣ</v>
          </cell>
          <cell r="F196" t="str">
            <v>B_4_4_2</v>
          </cell>
          <cell r="G196" t="str">
            <v>Αμπελώνες, οι οποίοι συνήθως παράγουν άλλους οίνους</v>
          </cell>
          <cell r="H196">
            <v>4868</v>
          </cell>
          <cell r="K196" t="str">
            <v>Ναι</v>
          </cell>
          <cell r="L196" t="str">
            <v>ΝΑΙ</v>
          </cell>
          <cell r="O196" t="str">
            <v/>
          </cell>
        </row>
        <row r="197">
          <cell r="D197" t="str">
            <v>ΑΜΠΕΛΩΝΕΣ ΓΙΑ ΠΑΡΑΓΩΓΗ ΟΙΝΟΥ12126</v>
          </cell>
          <cell r="E197" t="str">
            <v>ΚΑΣΤΕΛΙΩΤΙΚΟ</v>
          </cell>
          <cell r="F197" t="str">
            <v>B_4_4_2</v>
          </cell>
          <cell r="G197" t="str">
            <v>Αμπελώνες, οι οποίοι συνήθως παράγουν άλλους οίνους</v>
          </cell>
          <cell r="H197">
            <v>4868</v>
          </cell>
          <cell r="K197" t="str">
            <v>Ναι</v>
          </cell>
          <cell r="L197" t="str">
            <v>ΝΑΙ</v>
          </cell>
          <cell r="O197" t="str">
            <v/>
          </cell>
        </row>
        <row r="198">
          <cell r="D198" t="str">
            <v>ΑΜΠΕΛΩΝΕΣ ΓΙΑ ΠΑΡΑΓΩΓΗ ΟΙΝΟΥ12127</v>
          </cell>
          <cell r="E198" t="str">
            <v>ΚΑΤΣΑΚΟΥΛΙΑΣ</v>
          </cell>
          <cell r="F198" t="str">
            <v>B_4_4_2</v>
          </cell>
          <cell r="G198" t="str">
            <v>Αμπελώνες, οι οποίοι συνήθως παράγουν άλλους οίνους</v>
          </cell>
          <cell r="H198">
            <v>4868</v>
          </cell>
          <cell r="K198" t="str">
            <v>Ναι</v>
          </cell>
          <cell r="L198" t="str">
            <v>ΝΑΙ</v>
          </cell>
          <cell r="O198" t="str">
            <v/>
          </cell>
        </row>
        <row r="199">
          <cell r="D199" t="str">
            <v>ΑΜΠΕΛΩΝΕΣ ΓΙΑ ΠΑΡΑΓΩΓΗ ΟΙΝΟΥ12128</v>
          </cell>
          <cell r="E199" t="str">
            <v>ΚΟΚΚΙΝΟΒΟΣΤΙΤΣΑ</v>
          </cell>
          <cell r="F199" t="str">
            <v>B_4_4_2</v>
          </cell>
          <cell r="G199" t="str">
            <v>Αμπελώνες, οι οποίοι συνήθως παράγουν άλλους οίνους</v>
          </cell>
          <cell r="H199">
            <v>4868</v>
          </cell>
          <cell r="K199" t="str">
            <v>Ναι</v>
          </cell>
          <cell r="L199" t="str">
            <v>ΝΑΙ</v>
          </cell>
          <cell r="O199" t="str">
            <v/>
          </cell>
        </row>
        <row r="200">
          <cell r="D200" t="str">
            <v>ΑΜΠΕΛΩΝΕΣ ΓΙΑ ΠΑΡΑΓΩΓΗ ΟΙΝΟΥ12129</v>
          </cell>
          <cell r="E200" t="str">
            <v>ΚΟΚΚΙΝΟΡΟΜΠΟΛΑ</v>
          </cell>
          <cell r="F200" t="str">
            <v>B_4_4_2</v>
          </cell>
          <cell r="G200" t="str">
            <v>Αμπελώνες, οι οποίοι συνήθως παράγουν άλλους οίνους</v>
          </cell>
          <cell r="H200">
            <v>4868</v>
          </cell>
          <cell r="K200" t="str">
            <v>Ναι</v>
          </cell>
          <cell r="L200" t="str">
            <v>ΝΑΙ</v>
          </cell>
          <cell r="O200" t="str">
            <v/>
          </cell>
        </row>
        <row r="201">
          <cell r="D201" t="str">
            <v>ΑΜΠΕΛΩΝΕΣ ΓΙΑ ΠΑΡΑΓΩΓΗ ΟΙΝΟΥ12130</v>
          </cell>
          <cell r="E201" t="str">
            <v>ΚΟΛΛΙΝΙΑΤΙΚΟ</v>
          </cell>
          <cell r="F201" t="str">
            <v>B_4_4_2</v>
          </cell>
          <cell r="G201" t="str">
            <v>Αμπελώνες, οι οποίοι συνήθως παράγουν άλλους οίνους</v>
          </cell>
          <cell r="H201">
            <v>4868</v>
          </cell>
          <cell r="K201" t="str">
            <v>Ναι</v>
          </cell>
          <cell r="L201" t="str">
            <v>ΝΑΙ</v>
          </cell>
          <cell r="O201" t="str">
            <v/>
          </cell>
        </row>
        <row r="202">
          <cell r="D202" t="str">
            <v>ΑΜΠΕΛΩΝΕΣ ΓΙΑ ΠΑΡΑΓΩΓΗ ΟΙΝΟΥ12132</v>
          </cell>
          <cell r="E202" t="str">
            <v>ΚΟΡΙΘΙ ΚΟΚΚΙΝΟ</v>
          </cell>
          <cell r="F202" t="str">
            <v>B_4_4_2</v>
          </cell>
          <cell r="G202" t="str">
            <v>Αμπελώνες, οι οποίοι συνήθως παράγουν άλλους οίνους</v>
          </cell>
          <cell r="H202">
            <v>4868</v>
          </cell>
          <cell r="K202" t="str">
            <v>Ναι</v>
          </cell>
          <cell r="L202" t="str">
            <v>ΝΑΙ</v>
          </cell>
          <cell r="O202" t="str">
            <v/>
          </cell>
        </row>
        <row r="203">
          <cell r="D203" t="str">
            <v>ΑΜΠΕΛΩΝΕΣ ΓΙΑ ΠΑΡΑΓΩΓΗ ΟΙΝΟΥ12133</v>
          </cell>
          <cell r="E203" t="str">
            <v>ΚΟΡΙΤΣΑΝΟΣ</v>
          </cell>
          <cell r="F203" t="str">
            <v>B_4_4_2</v>
          </cell>
          <cell r="G203" t="str">
            <v>Αμπελώνες, οι οποίοι συνήθως παράγουν άλλους οίνους</v>
          </cell>
          <cell r="H203">
            <v>4868</v>
          </cell>
          <cell r="K203" t="str">
            <v>Ναι</v>
          </cell>
          <cell r="L203" t="str">
            <v>ΝΑΙ</v>
          </cell>
          <cell r="O203" t="str">
            <v/>
          </cell>
        </row>
        <row r="204">
          <cell r="D204" t="str">
            <v>ΑΜΠΕΛΩΝΕΣ ΓΙΑ ΠΑΡΑΓΩΓΗ ΟΙΝΟΥ12134</v>
          </cell>
          <cell r="E204" t="str">
            <v>ΚΟΡΦΙΑΤΗΣ</v>
          </cell>
          <cell r="F204" t="str">
            <v>B_4_4_2</v>
          </cell>
          <cell r="G204" t="str">
            <v>Αμπελώνες, οι οποίοι συνήθως παράγουν άλλους οίνους</v>
          </cell>
          <cell r="H204">
            <v>4868</v>
          </cell>
          <cell r="K204" t="str">
            <v>Ναι</v>
          </cell>
          <cell r="L204" t="str">
            <v>ΝΑΙ</v>
          </cell>
          <cell r="O204" t="str">
            <v/>
          </cell>
        </row>
        <row r="205">
          <cell r="D205" t="str">
            <v>ΑΜΠΕΛΩΝΕΣ ΓΙΑ ΠΑΡΑΓΩΓΗ ΟΙΝΟΥ12135</v>
          </cell>
          <cell r="E205" t="str">
            <v>ΚΟΤΣΙΦΑΛΙ</v>
          </cell>
          <cell r="F205" t="str">
            <v>B_4_4_2</v>
          </cell>
          <cell r="G205" t="str">
            <v>Αμπελώνες, οι οποίοι συνήθως παράγουν άλλους οίνους</v>
          </cell>
          <cell r="H205">
            <v>4868</v>
          </cell>
          <cell r="K205" t="str">
            <v>Ναι</v>
          </cell>
          <cell r="L205" t="str">
            <v>ΝΑΙ</v>
          </cell>
          <cell r="O205" t="str">
            <v/>
          </cell>
        </row>
        <row r="206">
          <cell r="D206" t="str">
            <v>ΑΜΠΕΛΩΝΕΣ ΓΙΑ ΠΑΡΑΓΩΓΗ ΟΙΝΟΥ12136</v>
          </cell>
          <cell r="E206" t="str">
            <v>ΚΟΥΜΑΡΙ</v>
          </cell>
          <cell r="F206" t="str">
            <v>B_4_4_2</v>
          </cell>
          <cell r="G206" t="str">
            <v>Αμπελώνες, οι οποίοι συνήθως παράγουν άλλους οίνους</v>
          </cell>
          <cell r="H206">
            <v>4868</v>
          </cell>
          <cell r="K206" t="str">
            <v>Ναι</v>
          </cell>
          <cell r="L206" t="str">
            <v>ΝΑΙ</v>
          </cell>
          <cell r="O206" t="str">
            <v/>
          </cell>
        </row>
        <row r="207">
          <cell r="D207" t="str">
            <v>ΑΜΠΕΛΩΝΕΣ ΓΙΑ ΠΑΡΑΓΩΓΗ ΟΙΝΟΥ12137</v>
          </cell>
          <cell r="E207" t="str">
            <v>ΚΟΥΜΙΝΑΤΟ</v>
          </cell>
          <cell r="F207" t="str">
            <v>B_4_4_2</v>
          </cell>
          <cell r="G207" t="str">
            <v>Αμπελώνες, οι οποίοι συνήθως παράγουν άλλους οίνους</v>
          </cell>
          <cell r="H207">
            <v>4868</v>
          </cell>
          <cell r="K207" t="str">
            <v>Ναι</v>
          </cell>
          <cell r="L207" t="str">
            <v>ΝΑΙ</v>
          </cell>
          <cell r="O207" t="str">
            <v/>
          </cell>
        </row>
        <row r="208">
          <cell r="D208" t="str">
            <v>ΑΜΠΕΛΩΝΕΣ ΓΙΑ ΠΑΡΑΓΩΓΗ ΟΙΝΟΥ12139</v>
          </cell>
          <cell r="E208" t="str">
            <v>ΚΡΑΣΑΤΟ</v>
          </cell>
          <cell r="F208" t="str">
            <v>B_4_4_2</v>
          </cell>
          <cell r="G208" t="str">
            <v>Αμπελώνες, οι οποίοι συνήθως παράγουν άλλους οίνους</v>
          </cell>
          <cell r="H208">
            <v>4868</v>
          </cell>
          <cell r="K208" t="str">
            <v>Ναι</v>
          </cell>
          <cell r="L208" t="str">
            <v>ΝΑΙ</v>
          </cell>
          <cell r="O208" t="str">
            <v/>
          </cell>
        </row>
        <row r="209">
          <cell r="D209" t="str">
            <v>ΑΜΠΕΛΩΝΕΣ ΓΙΑ ΠΑΡΑΓΩΓΗ ΟΙΝΟΥ12140</v>
          </cell>
          <cell r="E209" t="str">
            <v>ΚΥΔΩΝΙΤΣΑ</v>
          </cell>
          <cell r="F209" t="str">
            <v>B_4_4_2</v>
          </cell>
          <cell r="G209" t="str">
            <v>Αμπελώνες, οι οποίοι συνήθως παράγουν άλλους οίνους</v>
          </cell>
          <cell r="H209">
            <v>4868</v>
          </cell>
          <cell r="K209" t="str">
            <v>Ναι</v>
          </cell>
          <cell r="L209" t="str">
            <v>ΝΑΙ</v>
          </cell>
          <cell r="O209" t="str">
            <v/>
          </cell>
        </row>
        <row r="210">
          <cell r="D210" t="str">
            <v>ΑΜΠΕΛΩΝΕΣ ΓΙΑ ΠΑΡΑΓΩΓΗ ΟΙΝΟΥ12141</v>
          </cell>
          <cell r="E210" t="str">
            <v>ΛΑΔΙΚΙΝΟ</v>
          </cell>
          <cell r="F210" t="str">
            <v>B_4_4_2</v>
          </cell>
          <cell r="G210" t="str">
            <v>Αμπελώνες, οι οποίοι συνήθως παράγουν άλλους οίνους</v>
          </cell>
          <cell r="H210">
            <v>4868</v>
          </cell>
          <cell r="K210" t="str">
            <v>Ναι</v>
          </cell>
          <cell r="L210" t="str">
            <v>ΝΑΙ</v>
          </cell>
          <cell r="O210" t="str">
            <v/>
          </cell>
        </row>
        <row r="211">
          <cell r="D211" t="str">
            <v>ΑΜΠΕΛΩΝΕΣ ΓΙΑ ΠΑΡΑΓΩΓΗ ΟΙΝΟΥ12142</v>
          </cell>
          <cell r="E211" t="str">
            <v>ΛΗΜΝΙΟ (ΚΑΛΑΜΠΑΚΙ, ΝΤΟΥΡΟΥ ΚΑΡΑ)</v>
          </cell>
          <cell r="F211" t="str">
            <v>B_4_4_2</v>
          </cell>
          <cell r="G211" t="str">
            <v>Αμπελώνες, οι οποίοι συνήθως παράγουν άλλους οίνους</v>
          </cell>
          <cell r="H211">
            <v>4868</v>
          </cell>
          <cell r="K211" t="str">
            <v>Ναι</v>
          </cell>
          <cell r="L211" t="str">
            <v>ΝΑΙ</v>
          </cell>
          <cell r="O211" t="str">
            <v/>
          </cell>
        </row>
        <row r="212">
          <cell r="D212" t="str">
            <v>ΑΜΠΕΛΩΝΕΣ ΓΙΑ ΠΑΡΑΓΩΓΗ ΟΙΝΟΥ12143</v>
          </cell>
          <cell r="E212" t="str">
            <v>ΛΙΑΤΙΚΟ</v>
          </cell>
          <cell r="F212" t="str">
            <v>B_4_4_2</v>
          </cell>
          <cell r="G212" t="str">
            <v>Αμπελώνες, οι οποίοι συνήθως παράγουν άλλους οίνους</v>
          </cell>
          <cell r="H212">
            <v>4868</v>
          </cell>
          <cell r="K212" t="str">
            <v>Ναι</v>
          </cell>
          <cell r="L212" t="str">
            <v>ΝΑΙ</v>
          </cell>
          <cell r="O212" t="str">
            <v/>
          </cell>
        </row>
        <row r="213">
          <cell r="D213" t="str">
            <v>ΑΜΠΕΛΩΝΕΣ ΓΙΑ ΠΑΡΑΓΩΓΗ ΟΙΝΟΥ12144</v>
          </cell>
          <cell r="E213" t="str">
            <v>ΜΑΝΔΗΛΑΡΙΑ (ΑΜΟΡΓΙΑΝΟ, ΔΟΥΜΠΡ ΜΑΥΡΗ, ΚΟΥΝΤ ΜΑΥΡΗ)</v>
          </cell>
          <cell r="F213" t="str">
            <v>B_4_4_2</v>
          </cell>
          <cell r="G213" t="str">
            <v>Αμπελώνες, οι οποίοι συνήθως παράγουν άλλους οίνους</v>
          </cell>
          <cell r="H213">
            <v>4868</v>
          </cell>
          <cell r="K213" t="str">
            <v>Ναι</v>
          </cell>
          <cell r="L213" t="str">
            <v>ΝΑΙ</v>
          </cell>
          <cell r="O213" t="str">
            <v/>
          </cell>
        </row>
        <row r="214">
          <cell r="D214" t="str">
            <v>ΑΜΠΕΛΩΝΕΣ ΓΙΑ ΠΑΡΑΓΩΓΗ ΟΙΝΟΥ12145</v>
          </cell>
          <cell r="E214" t="str">
            <v>ΜΑΥΡΟΔΑΦΝΗ</v>
          </cell>
          <cell r="F214" t="str">
            <v>B_4_4_2</v>
          </cell>
          <cell r="G214" t="str">
            <v>Αμπελώνες, οι οποίοι συνήθως παράγουν άλλους οίνους</v>
          </cell>
          <cell r="H214">
            <v>4868</v>
          </cell>
          <cell r="K214" t="str">
            <v>Ναι</v>
          </cell>
          <cell r="L214" t="str">
            <v>ΝΑΙ</v>
          </cell>
          <cell r="O214" t="str">
            <v/>
          </cell>
        </row>
        <row r="215">
          <cell r="D215" t="str">
            <v>ΑΜΠΕΛΩΝΕΣ ΓΙΑ ΠΑΡΑΓΩΓΗ ΟΙΝΟΥ12146</v>
          </cell>
          <cell r="E215" t="str">
            <v>ΜΑΥΡΟΚΟΡΑΚΑΣ</v>
          </cell>
          <cell r="F215" t="str">
            <v>B_4_4_2</v>
          </cell>
          <cell r="G215" t="str">
            <v>Αμπελώνες, οι οποίοι συνήθως παράγουν άλλους οίνους</v>
          </cell>
          <cell r="H215">
            <v>4868</v>
          </cell>
          <cell r="K215" t="str">
            <v>Ναι</v>
          </cell>
          <cell r="L215" t="str">
            <v>ΝΑΙ</v>
          </cell>
          <cell r="O215" t="str">
            <v/>
          </cell>
        </row>
        <row r="216">
          <cell r="D216" t="str">
            <v>ΑΜΠΕΛΩΝΕΣ ΓΙΑ ΠΑΡΑΓΩΓΗ ΟΙΝΟΥ12147</v>
          </cell>
          <cell r="E216" t="str">
            <v>ΜΑΥΡΟ ΑΡΑΧΩΒΑΣ</v>
          </cell>
          <cell r="F216" t="str">
            <v>B_4_4_2</v>
          </cell>
          <cell r="G216" t="str">
            <v>Αμπελώνες, οι οποίοι συνήθως παράγουν άλλους οίνους</v>
          </cell>
          <cell r="H216">
            <v>4868</v>
          </cell>
          <cell r="K216" t="str">
            <v>Ναι</v>
          </cell>
          <cell r="L216" t="str">
            <v>ΝΑΙ</v>
          </cell>
          <cell r="O216" t="str">
            <v/>
          </cell>
        </row>
        <row r="217">
          <cell r="D217" t="str">
            <v>ΑΜΠΕΛΩΝΕΣ ΓΙΑ ΠΑΡΑΓΩΓΗ ΟΙΝΟΥ12148</v>
          </cell>
          <cell r="E217" t="str">
            <v>ΜΑΥΡΟ ΚΑΛΑΒΡΥΤΙΝΟ</v>
          </cell>
          <cell r="F217" t="str">
            <v>B_4_4_2</v>
          </cell>
          <cell r="G217" t="str">
            <v>Αμπελώνες, οι οποίοι συνήθως παράγουν άλλους οίνους</v>
          </cell>
          <cell r="H217">
            <v>4868</v>
          </cell>
          <cell r="K217" t="str">
            <v>Ναι</v>
          </cell>
          <cell r="L217" t="str">
            <v>ΝΑΙ</v>
          </cell>
          <cell r="O217" t="str">
            <v/>
          </cell>
        </row>
        <row r="218">
          <cell r="D218" t="str">
            <v>ΑΜΠΕΛΩΝΕΣ ΓΙΑ ΠΑΡΑΓΩΓΗ ΟΙΝΟΥ12149</v>
          </cell>
          <cell r="E218" t="str">
            <v>ΜΑΥΡΟ ΜΕΣΣΕΝΙΚΟΛΑ</v>
          </cell>
          <cell r="F218" t="str">
            <v>B_4_4_2</v>
          </cell>
          <cell r="G218" t="str">
            <v>Αμπελώνες, οι οποίοι συνήθως παράγουν άλλους οίνους</v>
          </cell>
          <cell r="H218">
            <v>4868</v>
          </cell>
          <cell r="K218" t="str">
            <v>Ναι</v>
          </cell>
          <cell r="L218" t="str">
            <v>ΝΑΙ</v>
          </cell>
          <cell r="O218" t="str">
            <v/>
          </cell>
        </row>
        <row r="219">
          <cell r="D219" t="str">
            <v>ΑΜΠΕΛΩΝΕΣ ΓΙΑ ΠΑΡΑΓΩΓΗ ΟΙΝΟΥ12150</v>
          </cell>
          <cell r="E219" t="str">
            <v>ΜΑΥΡΟΥΔΙ</v>
          </cell>
          <cell r="F219" t="str">
            <v>B_4_4_2</v>
          </cell>
          <cell r="G219" t="str">
            <v>Αμπελώνες, οι οποίοι συνήθως παράγουν άλλους οίνους</v>
          </cell>
          <cell r="H219">
            <v>4868</v>
          </cell>
          <cell r="K219" t="str">
            <v>Ναι</v>
          </cell>
          <cell r="L219" t="str">
            <v>ΝΑΙ</v>
          </cell>
          <cell r="O219" t="str">
            <v/>
          </cell>
        </row>
        <row r="220">
          <cell r="D220" t="str">
            <v>ΑΜΠΕΛΩΝΕΣ ΓΙΑ ΠΑΡΑΓΩΓΗ ΟΙΝΟΥ12151</v>
          </cell>
          <cell r="E220" t="str">
            <v>ΜΕΡΛΟ (MERLOT)</v>
          </cell>
          <cell r="F220" t="str">
            <v>B_4_4_2</v>
          </cell>
          <cell r="G220" t="str">
            <v>Αμπελώνες, οι οποίοι συνήθως παράγουν άλλους οίνους</v>
          </cell>
          <cell r="H220">
            <v>4868</v>
          </cell>
          <cell r="K220" t="str">
            <v>Ναι</v>
          </cell>
          <cell r="L220" t="str">
            <v>ΝΑΙ</v>
          </cell>
          <cell r="O220" t="str">
            <v/>
          </cell>
        </row>
        <row r="221">
          <cell r="D221" t="str">
            <v>ΑΜΠΕΛΩΝΕΣ ΓΙΑ ΠΑΡΑΓΩΓΗ ΟΙΝΟΥ12152</v>
          </cell>
          <cell r="E221" t="str">
            <v>ΜΟΣΧΟΜΑΥΡΟ (ΜΟΣΧΟΓΚΑΛΤΣΟ)</v>
          </cell>
          <cell r="F221" t="str">
            <v>B_4_4_2</v>
          </cell>
          <cell r="G221" t="str">
            <v>Αμπελώνες, οι οποίοι συνήθως παράγουν άλλους οίνους</v>
          </cell>
          <cell r="H221">
            <v>4868</v>
          </cell>
          <cell r="K221" t="str">
            <v>Ναι</v>
          </cell>
          <cell r="L221" t="str">
            <v>ΝΑΙ</v>
          </cell>
          <cell r="O221" t="str">
            <v/>
          </cell>
        </row>
        <row r="222">
          <cell r="D222" t="str">
            <v>ΑΜΠΕΛΩΝΕΣ ΓΙΑ ΠΑΡΑΓΩΓΗ ΟΙΝΟΥ12153</v>
          </cell>
          <cell r="E222" t="str">
            <v>ΜΟΥΔΙΑΤΙΚΟ</v>
          </cell>
          <cell r="F222" t="str">
            <v>B_4_4_2</v>
          </cell>
          <cell r="G222" t="str">
            <v>Αμπελώνες, οι οποίοι συνήθως παράγουν άλλους οίνους</v>
          </cell>
          <cell r="H222">
            <v>4868</v>
          </cell>
          <cell r="K222" t="str">
            <v>Ναι</v>
          </cell>
          <cell r="L222" t="str">
            <v>ΝΑΙ</v>
          </cell>
          <cell r="O222" t="str">
            <v/>
          </cell>
        </row>
        <row r="223">
          <cell r="D223" t="str">
            <v>ΑΜΠΕΛΩΝΕΣ ΓΙΑ ΠΑΡΑΓΩΓΗ ΟΙΝΟΥ12154</v>
          </cell>
          <cell r="E223" t="str">
            <v>ΜΟΥΧΤΑΡΟ</v>
          </cell>
          <cell r="F223" t="str">
            <v>B_4_4_2</v>
          </cell>
          <cell r="G223" t="str">
            <v>Αμπελώνες, οι οποίοι συνήθως παράγουν άλλους οίνους</v>
          </cell>
          <cell r="H223">
            <v>4868</v>
          </cell>
          <cell r="K223" t="str">
            <v>Ναι</v>
          </cell>
          <cell r="L223" t="str">
            <v>ΝΑΙ</v>
          </cell>
          <cell r="O223" t="str">
            <v/>
          </cell>
        </row>
        <row r="224">
          <cell r="D224" t="str">
            <v>ΑΜΠΕΛΩΝΕΣ ΓΙΑ ΠΑΡΑΓΩΓΗ ΟΙΝΟΥ12155</v>
          </cell>
          <cell r="E224" t="str">
            <v>ΜΠΑΡΜΠΕΡΑ (BARBERA)</v>
          </cell>
          <cell r="F224" t="str">
            <v>B_4_4_2</v>
          </cell>
          <cell r="G224" t="str">
            <v>Αμπελώνες, οι οποίοι συνήθως παράγουν άλλους οίνους</v>
          </cell>
          <cell r="H224">
            <v>4868</v>
          </cell>
          <cell r="K224" t="str">
            <v>Ναι</v>
          </cell>
          <cell r="L224" t="str">
            <v>ΝΑΙ</v>
          </cell>
          <cell r="O224" t="str">
            <v/>
          </cell>
        </row>
        <row r="225">
          <cell r="D225" t="str">
            <v>ΑΜΠΕΛΩΝΕΣ ΓΙΑ ΠΑΡΑΓΩΓΗ ΟΙΝΟΥ12156</v>
          </cell>
          <cell r="E225" t="str">
            <v>ΜΠΕΚΑΡΙ</v>
          </cell>
          <cell r="F225" t="str">
            <v>B_4_4_2</v>
          </cell>
          <cell r="G225" t="str">
            <v>Αμπελώνες, οι οποίοι συνήθως παράγουν άλλους οίνους</v>
          </cell>
          <cell r="H225">
            <v>4868</v>
          </cell>
          <cell r="K225" t="str">
            <v>Ναι</v>
          </cell>
          <cell r="L225" t="str">
            <v>ΝΑΙ</v>
          </cell>
          <cell r="O225" t="str">
            <v/>
          </cell>
        </row>
        <row r="226">
          <cell r="D226" t="str">
            <v>ΑΜΠΕΛΩΝΕΣ ΓΙΑ ΠΑΡΑΓΩΓΗ ΟΙΝΟΥ12157</v>
          </cell>
          <cell r="E226" t="str">
            <v>ΝΕΓΚΟΣΚΑ</v>
          </cell>
          <cell r="F226" t="str">
            <v>B_4_4_2</v>
          </cell>
          <cell r="G226" t="str">
            <v>Αμπελώνες, οι οποίοι συνήθως παράγουν άλλους οίνους</v>
          </cell>
          <cell r="H226">
            <v>4868</v>
          </cell>
          <cell r="K226" t="str">
            <v>Ναι</v>
          </cell>
          <cell r="L226" t="str">
            <v>ΝΑΙ</v>
          </cell>
          <cell r="O226" t="str">
            <v/>
          </cell>
        </row>
        <row r="227">
          <cell r="D227" t="str">
            <v>ΑΜΠΕΛΩΝΕΣ ΓΙΑ ΠΑΡΑΓΩΓΗ ΟΙΝΟΥ12159</v>
          </cell>
          <cell r="E227" t="str">
            <v>ΜΑΥΡΟ ΝΑΟΥΣΑΣ, ΞΥΝΟΚΑΛΤΣΟ, ΞΥΝΟΜΑΥΡΟ, ΠΟΠΟΛΚΑ</v>
          </cell>
          <cell r="F227" t="str">
            <v>B_4_4_2</v>
          </cell>
          <cell r="G227" t="str">
            <v>Αμπελώνες, οι οποίοι συνήθως παράγουν άλλους οίνους</v>
          </cell>
          <cell r="H227">
            <v>4868</v>
          </cell>
          <cell r="K227" t="str">
            <v>Ναι</v>
          </cell>
          <cell r="L227" t="str">
            <v>ΝΑΙ</v>
          </cell>
          <cell r="O227" t="str">
            <v/>
          </cell>
        </row>
        <row r="228">
          <cell r="D228" t="str">
            <v>ΑΜΠΕΛΩΝΕΣ ΓΙΑ ΠΑΡΑΓΩΓΗ ΟΙΝΟΥ12160</v>
          </cell>
          <cell r="E228" t="str">
            <v>ΠΑΜΙΔΙ</v>
          </cell>
          <cell r="F228" t="str">
            <v>B_4_4_2</v>
          </cell>
          <cell r="G228" t="str">
            <v>Αμπελώνες, οι οποίοι συνήθως παράγουν άλλους οίνους</v>
          </cell>
          <cell r="H228">
            <v>4868</v>
          </cell>
          <cell r="K228" t="str">
            <v>Ναι</v>
          </cell>
          <cell r="L228" t="str">
            <v>ΝΑΙ</v>
          </cell>
          <cell r="O228" t="str">
            <v/>
          </cell>
        </row>
        <row r="229">
          <cell r="D229" t="str">
            <v>ΑΜΠΕΛΩΝΕΣ ΓΙΑ ΠΑΡΑΓΩΓΗ ΟΙΝΟΥ12161</v>
          </cell>
          <cell r="E229" t="str">
            <v>ΠΑΠΑΔΙΚΟ</v>
          </cell>
          <cell r="F229" t="str">
            <v>B_4_4_2</v>
          </cell>
          <cell r="G229" t="str">
            <v>Αμπελώνες, οι οποίοι συνήθως παράγουν άλλους οίνους</v>
          </cell>
          <cell r="H229">
            <v>4868</v>
          </cell>
          <cell r="K229" t="str">
            <v>Ναι</v>
          </cell>
          <cell r="L229" t="str">
            <v>ΝΑΙ</v>
          </cell>
          <cell r="O229" t="str">
            <v/>
          </cell>
        </row>
        <row r="230">
          <cell r="D230" t="str">
            <v>ΑΜΠΕΛΩΝΕΣ ΓΙΑ ΠΑΡΑΓΩΓΗ ΟΙΝΟΥ12162</v>
          </cell>
          <cell r="E230" t="str">
            <v>ΠΑΠΑΣ ΚΑΡΑ</v>
          </cell>
          <cell r="F230" t="str">
            <v>B_4_4_2</v>
          </cell>
          <cell r="G230" t="str">
            <v>Αμπελώνες, οι οποίοι συνήθως παράγουν άλλους οίνους</v>
          </cell>
          <cell r="H230">
            <v>4868</v>
          </cell>
          <cell r="K230" t="str">
            <v>Ναι</v>
          </cell>
          <cell r="L230" t="str">
            <v>ΝΑΙ</v>
          </cell>
          <cell r="O230" t="str">
            <v/>
          </cell>
        </row>
        <row r="231">
          <cell r="D231" t="str">
            <v>ΑΜΠΕΛΩΝΕΣ ΓΙΑ ΠΑΡΑΓΩΓΗ ΟΙΝΟΥ12163</v>
          </cell>
          <cell r="E231" t="str">
            <v>ΠΑΤΡΙΝΟ</v>
          </cell>
          <cell r="F231" t="str">
            <v>B_4_4_2</v>
          </cell>
          <cell r="G231" t="str">
            <v>Αμπελώνες, οι οποίοι συνήθως παράγουν άλλους οίνους</v>
          </cell>
          <cell r="H231">
            <v>4868</v>
          </cell>
          <cell r="K231" t="str">
            <v>Ναι</v>
          </cell>
          <cell r="L231" t="str">
            <v>ΝΑΙ</v>
          </cell>
          <cell r="O231" t="str">
            <v/>
          </cell>
        </row>
        <row r="232">
          <cell r="D232" t="str">
            <v>ΑΜΠΕΛΩΝΕΣ ΓΙΑ ΠΑΡΑΓΩΓΗ ΟΙΝΟΥ12164</v>
          </cell>
          <cell r="E232" t="str">
            <v>ΠΙΝΟ ΝΟΥΑΡ (PINOT NOIR)</v>
          </cell>
          <cell r="F232" t="str">
            <v>B_4_4_2</v>
          </cell>
          <cell r="G232" t="str">
            <v>Αμπελώνες, οι οποίοι συνήθως παράγουν άλλους οίνους</v>
          </cell>
          <cell r="H232">
            <v>4868</v>
          </cell>
          <cell r="K232" t="str">
            <v>Ναι</v>
          </cell>
          <cell r="L232" t="str">
            <v>ΝΑΙ</v>
          </cell>
          <cell r="O232" t="str">
            <v/>
          </cell>
        </row>
        <row r="233">
          <cell r="D233" t="str">
            <v>ΑΜΠΕΛΩΝΕΣ ΓΙΑ ΠΑΡΑΓΩΓΗ ΟΙΝΟΥ12165</v>
          </cell>
          <cell r="E233" t="str">
            <v>ΠΡΟΒΑΤΙΝΑ</v>
          </cell>
          <cell r="F233" t="str">
            <v>B_4_4_2</v>
          </cell>
          <cell r="G233" t="str">
            <v>Αμπελώνες, οι οποίοι συνήθως παράγουν άλλους οίνους</v>
          </cell>
          <cell r="H233">
            <v>4868</v>
          </cell>
          <cell r="K233" t="str">
            <v>Ναι</v>
          </cell>
          <cell r="L233" t="str">
            <v>ΝΑΙ</v>
          </cell>
          <cell r="O233" t="str">
            <v/>
          </cell>
        </row>
        <row r="234">
          <cell r="D234" t="str">
            <v>ΑΜΠΕΛΩΝΕΣ ΓΙΑ ΠΑΡΑΓΩΓΗ ΟΙΝΟΥ12166</v>
          </cell>
          <cell r="E234" t="str">
            <v>ΡΕΦΟΣΚΟ</v>
          </cell>
          <cell r="F234" t="str">
            <v>B_4_4_2</v>
          </cell>
          <cell r="G234" t="str">
            <v>Αμπελώνες, οι οποίοι συνήθως παράγουν άλλους οίνους</v>
          </cell>
          <cell r="H234">
            <v>4868</v>
          </cell>
          <cell r="K234" t="str">
            <v>Ναι</v>
          </cell>
          <cell r="L234" t="str">
            <v>ΝΑΙ</v>
          </cell>
          <cell r="O234" t="str">
            <v/>
          </cell>
        </row>
        <row r="235">
          <cell r="D235" t="str">
            <v>ΑΜΠΕΛΩΝΕΣ ΓΙΑ ΠΑΡΑΓΩΓΗ ΟΙΝΟΥ12167</v>
          </cell>
          <cell r="E235" t="str">
            <v>ΡΗΤΙΝΟ</v>
          </cell>
          <cell r="F235" t="str">
            <v>B_4_4_2</v>
          </cell>
          <cell r="G235" t="str">
            <v>Αμπελώνες, οι οποίοι συνήθως παράγουν άλλους οίνους</v>
          </cell>
          <cell r="H235">
            <v>4868</v>
          </cell>
          <cell r="K235" t="str">
            <v>Ναι</v>
          </cell>
          <cell r="L235" t="str">
            <v>ΝΑΙ</v>
          </cell>
          <cell r="O235" t="str">
            <v/>
          </cell>
        </row>
        <row r="236">
          <cell r="D236" t="str">
            <v>ΑΜΠΕΛΩΝΕΣ ΓΙΑ ΠΑΡΑΓΩΓΗ ΟΙΝΟΥ12168</v>
          </cell>
          <cell r="E236" t="str">
            <v>ΡΟΥΣΣΑΙΤΗΣ</v>
          </cell>
          <cell r="F236" t="str">
            <v>B_4_4_2</v>
          </cell>
          <cell r="G236" t="str">
            <v>Αμπελώνες, οι οποίοι συνήθως παράγουν άλλους οίνους</v>
          </cell>
          <cell r="H236">
            <v>4868</v>
          </cell>
          <cell r="K236" t="str">
            <v>Ναι</v>
          </cell>
          <cell r="L236" t="str">
            <v>ΝΑΙ</v>
          </cell>
          <cell r="O236" t="str">
            <v/>
          </cell>
        </row>
        <row r="237">
          <cell r="D237" t="str">
            <v>ΑΜΠΕΛΩΝΕΣ ΓΙΑ ΠΑΡΑΓΩΓΗ ΟΙΝΟΥ12169</v>
          </cell>
          <cell r="E237" t="str">
            <v>ΡΩΜΕΙΚΟ</v>
          </cell>
          <cell r="F237" t="str">
            <v>B_4_4_2</v>
          </cell>
          <cell r="G237" t="str">
            <v>Αμπελώνες, οι οποίοι συνήθως παράγουν άλλους οίνους</v>
          </cell>
          <cell r="H237">
            <v>4868</v>
          </cell>
          <cell r="K237" t="str">
            <v>Ναι</v>
          </cell>
          <cell r="L237" t="str">
            <v>ΝΑΙ</v>
          </cell>
          <cell r="O237" t="str">
            <v/>
          </cell>
        </row>
        <row r="238">
          <cell r="D238" t="str">
            <v>ΑΜΠΕΛΩΝΕΣ ΓΙΑ ΠΑΡΑΓΩΓΗ ΟΙΝΟΥ12170</v>
          </cell>
          <cell r="E238" t="str">
            <v>ΣΕΝΣΩ (CINSAUT)</v>
          </cell>
          <cell r="F238" t="str">
            <v>B_4_4_2</v>
          </cell>
          <cell r="G238" t="str">
            <v>Αμπελώνες, οι οποίοι συνήθως παράγουν άλλους οίνους</v>
          </cell>
          <cell r="H238">
            <v>4868</v>
          </cell>
          <cell r="K238" t="str">
            <v>Ναι</v>
          </cell>
          <cell r="L238" t="str">
            <v>ΝΑΙ</v>
          </cell>
          <cell r="O238" t="str">
            <v/>
          </cell>
        </row>
        <row r="239">
          <cell r="D239" t="str">
            <v>ΑΜΠΕΛΩΝΕΣ ΓΙΑ ΠΑΡΑΓΩΓΗ ΟΙΝΟΥ12171</v>
          </cell>
          <cell r="E239" t="str">
            <v>ΣΕΝ ΛΩΡΑΝ</v>
          </cell>
          <cell r="F239" t="str">
            <v>B_4_4_2</v>
          </cell>
          <cell r="G239" t="str">
            <v>Αμπελώνες, οι οποίοι συνήθως παράγουν άλλους οίνους</v>
          </cell>
          <cell r="H239">
            <v>4868</v>
          </cell>
          <cell r="K239" t="str">
            <v>Ναι</v>
          </cell>
          <cell r="L239" t="str">
            <v>ΝΑΙ</v>
          </cell>
          <cell r="O239" t="str">
            <v/>
          </cell>
        </row>
        <row r="240">
          <cell r="D240" t="str">
            <v>ΑΜΠΕΛΩΝΕΣ ΓΙΑ ΠΑΡΑΓΩΓΗ ΟΙΝΟΥ12172</v>
          </cell>
          <cell r="E240" t="str">
            <v>ΣΕΡΙΦΙΩΤΙΚΟ</v>
          </cell>
          <cell r="F240" t="str">
            <v>B_4_4_2</v>
          </cell>
          <cell r="G240" t="str">
            <v>Αμπελώνες, οι οποίοι συνήθως παράγουν άλλους οίνους</v>
          </cell>
          <cell r="H240">
            <v>4868</v>
          </cell>
          <cell r="K240" t="str">
            <v>Ναι</v>
          </cell>
          <cell r="L240" t="str">
            <v>ΝΑΙ</v>
          </cell>
          <cell r="O240" t="str">
            <v/>
          </cell>
        </row>
        <row r="241">
          <cell r="D241" t="str">
            <v>ΑΜΠΕΛΩΝΕΣ ΓΙΑ ΠΑΡΑΓΩΓΗ ΟΙΝΟΥ12173</v>
          </cell>
          <cell r="E241" t="str">
            <v>ΣΕΦΚΑ</v>
          </cell>
          <cell r="F241" t="str">
            <v>B_4_4_2</v>
          </cell>
          <cell r="G241" t="str">
            <v>Αμπελώνες, οι οποίοι συνήθως παράγουν άλλους οίνους</v>
          </cell>
          <cell r="H241">
            <v>4868</v>
          </cell>
          <cell r="K241" t="str">
            <v>Ναι</v>
          </cell>
          <cell r="L241" t="str">
            <v>ΝΑΙ</v>
          </cell>
          <cell r="O241" t="str">
            <v/>
          </cell>
        </row>
        <row r="242">
          <cell r="D242" t="str">
            <v>ΑΜΠΕΛΩΝΕΣ ΓΙΑ ΠΑΡΑΓΩΓΗ ΟΙΝΟΥ12174</v>
          </cell>
          <cell r="E242" t="str">
            <v>ΣΚΟΠΕΛΙΤΙΚΟ</v>
          </cell>
          <cell r="F242" t="str">
            <v>B_4_4_2</v>
          </cell>
          <cell r="G242" t="str">
            <v>Αμπελώνες, οι οποίοι συνήθως παράγουν άλλους οίνους</v>
          </cell>
          <cell r="H242">
            <v>4868</v>
          </cell>
          <cell r="K242" t="str">
            <v>Ναι</v>
          </cell>
          <cell r="L242" t="str">
            <v>ΝΑΙ</v>
          </cell>
          <cell r="O242" t="str">
            <v/>
          </cell>
        </row>
        <row r="243">
          <cell r="D243" t="str">
            <v>ΑΜΠΕΛΩΝΕΣ ΓΙΑ ΠΑΡΑΓΩΓΗ ΟΙΝΟΥ12175</v>
          </cell>
          <cell r="E243" t="str">
            <v>ΣΚΥΛΟΠΝΙΚΤΗΣ Ν (ΣΚΥΛΟΚΛΙΜΑ)</v>
          </cell>
          <cell r="F243" t="str">
            <v>B_4_4_2</v>
          </cell>
          <cell r="G243" t="str">
            <v>Αμπελώνες, οι οποίοι συνήθως παράγουν άλλους οίνους</v>
          </cell>
          <cell r="H243">
            <v>4868</v>
          </cell>
          <cell r="K243" t="str">
            <v>Ναι</v>
          </cell>
          <cell r="L243" t="str">
            <v>ΝΑΙ</v>
          </cell>
          <cell r="O243" t="str">
            <v/>
          </cell>
        </row>
        <row r="244">
          <cell r="D244" t="str">
            <v>ΑΜΠΕΛΩΝΕΣ ΓΙΑ ΠΑΡΑΓΩΓΗ ΟΙΝΟΥ12176</v>
          </cell>
          <cell r="E244" t="str">
            <v>ΑΜΠΕΛΑΚΙΩΤΙΚΟ, ΣΤΑΥΡΩΤΟ</v>
          </cell>
          <cell r="F244" t="str">
            <v>B_4_4_2</v>
          </cell>
          <cell r="G244" t="str">
            <v>Αμπελώνες, οι οποίοι συνήθως παράγουν άλλους οίνους</v>
          </cell>
          <cell r="H244">
            <v>4868</v>
          </cell>
          <cell r="K244" t="str">
            <v>Ναι</v>
          </cell>
          <cell r="L244" t="str">
            <v>ΝΑΙ</v>
          </cell>
          <cell r="O244" t="str">
            <v/>
          </cell>
        </row>
        <row r="245">
          <cell r="D245" t="str">
            <v>ΑΜΠΕΛΩΝΕΣ ΓΙΑ ΠΑΡΑΓΩΓΗ ΟΙΝΟΥ12177</v>
          </cell>
          <cell r="E245" t="str">
            <v>ΣΥΚΙΩΤΗΣ</v>
          </cell>
          <cell r="F245" t="str">
            <v>B_4_4_2</v>
          </cell>
          <cell r="G245" t="str">
            <v>Αμπελώνες, οι οποίοι συνήθως παράγουν άλλους οίνους</v>
          </cell>
          <cell r="H245">
            <v>4868</v>
          </cell>
          <cell r="K245" t="str">
            <v>Ναι</v>
          </cell>
          <cell r="L245" t="str">
            <v>ΝΑΙ</v>
          </cell>
          <cell r="O245" t="str">
            <v/>
          </cell>
        </row>
        <row r="246">
          <cell r="D246" t="str">
            <v>ΑΜΠΕΛΩΝΕΣ ΓΙΑ ΠΑΡΑΓΩΓΗ ΟΙΝΟΥ12178</v>
          </cell>
          <cell r="E246" t="str">
            <v>ΣΥΡΑΧ (SYRAH)</v>
          </cell>
          <cell r="F246" t="str">
            <v>B_4_4_2</v>
          </cell>
          <cell r="G246" t="str">
            <v>Αμπελώνες, οι οποίοι συνήθως παράγουν άλλους οίνους</v>
          </cell>
          <cell r="H246">
            <v>4868</v>
          </cell>
          <cell r="K246" t="str">
            <v>Ναι</v>
          </cell>
          <cell r="L246" t="str">
            <v>ΝΑΙ</v>
          </cell>
          <cell r="O246" t="str">
            <v/>
          </cell>
        </row>
        <row r="247">
          <cell r="D247" t="str">
            <v>ΑΜΠΕΛΩΝΕΣ ΓΙΑ ΠΑΡΑΓΩΓΗ ΟΙΝΟΥ12179</v>
          </cell>
          <cell r="E247" t="str">
            <v>ΤΕΜΠΡΑΝΙΛΟ (TEMPRANILLO)</v>
          </cell>
          <cell r="F247" t="str">
            <v>B_4_4_2</v>
          </cell>
          <cell r="G247" t="str">
            <v>Αμπελώνες, οι οποίοι συνήθως παράγουν άλλους οίνους</v>
          </cell>
          <cell r="H247">
            <v>4868</v>
          </cell>
          <cell r="K247" t="str">
            <v>Ναι</v>
          </cell>
          <cell r="L247" t="str">
            <v>ΝΑΙ</v>
          </cell>
          <cell r="O247" t="str">
            <v/>
          </cell>
        </row>
        <row r="248">
          <cell r="D248" t="str">
            <v>ΑΜΠΕΛΩΝΕΣ ΓΙΑ ΠΑΡΑΓΩΓΗ ΟΙΝΟΥ12180</v>
          </cell>
          <cell r="E248" t="str">
            <v>ΤΟΥΡΚΟΠΟΥΛΑ</v>
          </cell>
          <cell r="F248" t="str">
            <v>B_4_4_2</v>
          </cell>
          <cell r="G248" t="str">
            <v>Αμπελώνες, οι οποίοι συνήθως παράγουν άλλους οίνους</v>
          </cell>
          <cell r="H248">
            <v>4868</v>
          </cell>
          <cell r="K248" t="str">
            <v>Ναι</v>
          </cell>
          <cell r="L248" t="str">
            <v>ΝΑΙ</v>
          </cell>
          <cell r="O248" t="str">
            <v/>
          </cell>
        </row>
        <row r="249">
          <cell r="D249" t="str">
            <v>ΑΜΠΕΛΩΝΕΣ ΓΙΑ ΠΑΡΑΓΩΓΗ ΟΙΝΟΥ12181</v>
          </cell>
          <cell r="E249" t="str">
            <v>ΤΣΑΡΔΑΝΑ</v>
          </cell>
          <cell r="F249" t="str">
            <v>B_4_4_2</v>
          </cell>
          <cell r="G249" t="str">
            <v>Αμπελώνες, οι οποίοι συνήθως παράγουν άλλους οίνους</v>
          </cell>
          <cell r="H249">
            <v>4868</v>
          </cell>
          <cell r="K249" t="str">
            <v>Ναι</v>
          </cell>
          <cell r="L249" t="str">
            <v>ΝΑΙ</v>
          </cell>
          <cell r="O249" t="str">
            <v/>
          </cell>
        </row>
        <row r="250">
          <cell r="D250" t="str">
            <v>ΑΜΠΕΛΩΝΕΣ ΓΙΑ ΠΑΡΑΓΩΓΗ ΟΙΝΟΥ12182</v>
          </cell>
          <cell r="E250" t="str">
            <v>ΦΕΙΔΙΑ</v>
          </cell>
          <cell r="F250" t="str">
            <v>B_4_4_2</v>
          </cell>
          <cell r="G250" t="str">
            <v>Αμπελώνες, οι οποίοι συνήθως παράγουν άλλους οίνους</v>
          </cell>
          <cell r="H250">
            <v>4868</v>
          </cell>
          <cell r="K250" t="str">
            <v>Ναι</v>
          </cell>
          <cell r="L250" t="str">
            <v>ΝΑΙ</v>
          </cell>
          <cell r="O250" t="str">
            <v/>
          </cell>
        </row>
        <row r="251">
          <cell r="D251" t="str">
            <v>ΑΜΠΕΛΩΝΕΣ ΓΙΑ ΠΑΡΑΓΩΓΗ ΟΙΝΟΥ12183</v>
          </cell>
          <cell r="E251" t="str">
            <v>ΦΩΚΙΑΝΟ</v>
          </cell>
          <cell r="F251" t="str">
            <v>B_4_4_2</v>
          </cell>
          <cell r="G251" t="str">
            <v>Αμπελώνες, οι οποίοι συνήθως παράγουν άλλους οίνους</v>
          </cell>
          <cell r="H251">
            <v>4868</v>
          </cell>
          <cell r="K251" t="str">
            <v>Ναι</v>
          </cell>
          <cell r="L251" t="str">
            <v>ΝΑΙ</v>
          </cell>
          <cell r="O251" t="str">
            <v/>
          </cell>
        </row>
        <row r="252">
          <cell r="D252" t="str">
            <v>ΑΜΠΕΛΩΝΕΣ ΓΙΑ ΠΑΡΑΓΩΓΗ ΟΙΝΟΥ12184</v>
          </cell>
          <cell r="E252" t="str">
            <v>ΧΟΝΔΡΟΜΑΥΡΟ</v>
          </cell>
          <cell r="F252" t="str">
            <v>B_4_4_2</v>
          </cell>
          <cell r="G252" t="str">
            <v>Αμπελώνες, οι οποίοι συνήθως παράγουν άλλους οίνους</v>
          </cell>
          <cell r="H252">
            <v>4868</v>
          </cell>
          <cell r="K252" t="str">
            <v>Ναι</v>
          </cell>
          <cell r="L252" t="str">
            <v>ΝΑΙ</v>
          </cell>
          <cell r="O252" t="str">
            <v/>
          </cell>
        </row>
        <row r="253">
          <cell r="D253" t="str">
            <v>ΑΜΠΕΛΩΝΕΣ ΓΙΑ ΠΑΡΑΓΩΓΗ ΟΙΝΟΥ12185</v>
          </cell>
          <cell r="E253" t="str">
            <v>ΧΙΩΤΙΚΟ ΚΡΑΣΕΡΟ</v>
          </cell>
          <cell r="F253" t="str">
            <v>B_4_4_2</v>
          </cell>
          <cell r="G253" t="str">
            <v>Αμπελώνες, οι οποίοι συνήθως παράγουν άλλους οίνους</v>
          </cell>
          <cell r="H253">
            <v>4868</v>
          </cell>
          <cell r="K253" t="str">
            <v>Ναι</v>
          </cell>
          <cell r="L253" t="str">
            <v>ΝΑΙ</v>
          </cell>
          <cell r="O253" t="str">
            <v/>
          </cell>
        </row>
        <row r="254">
          <cell r="D254" t="str">
            <v>ΑΜΠΕΛΩΝΕΣ ΓΙΑ ΠΑΡΑΓΩΓΗ ΟΙΝΟΥ12186</v>
          </cell>
          <cell r="E254" t="str">
            <v>ΨΙΛΟΜΑΥΡΟ</v>
          </cell>
          <cell r="F254" t="str">
            <v>B_4_4_2</v>
          </cell>
          <cell r="G254" t="str">
            <v>Αμπελώνες, οι οποίοι συνήθως παράγουν άλλους οίνους</v>
          </cell>
          <cell r="H254">
            <v>4868</v>
          </cell>
          <cell r="K254" t="str">
            <v>Ναι</v>
          </cell>
          <cell r="L254" t="str">
            <v>ΝΑΙ</v>
          </cell>
          <cell r="O254" t="str">
            <v/>
          </cell>
        </row>
        <row r="255">
          <cell r="D255" t="str">
            <v>ΑΜΠΕΛΩΝΕΣ ΓΙΑ ΠΑΡΑΓΩΓΗ ΟΙΝΟΥ12187</v>
          </cell>
          <cell r="E255" t="str">
            <v>ΨΙΛΟΜΑΥΡΟ ΚΑΛΑΒΡΥΤΩΝ</v>
          </cell>
          <cell r="F255" t="str">
            <v>B_4_4_2</v>
          </cell>
          <cell r="G255" t="str">
            <v>Αμπελώνες, οι οποίοι συνήθως παράγουν άλλους οίνους</v>
          </cell>
          <cell r="H255">
            <v>4868</v>
          </cell>
          <cell r="K255" t="str">
            <v>Ναι</v>
          </cell>
          <cell r="L255" t="str">
            <v>ΝΑΙ</v>
          </cell>
          <cell r="O255" t="str">
            <v/>
          </cell>
        </row>
        <row r="256">
          <cell r="D256" t="str">
            <v>ΑΜΠΕΛΩΝΕΣ ΓΙΑ ΠΑΡΑΓΩΓΗ ΟΙΝΟΥ12189</v>
          </cell>
          <cell r="E256" t="str">
            <v>ΓΚΑΜΕ (GAMAY)</v>
          </cell>
          <cell r="F256" t="str">
            <v>B_4_4_2</v>
          </cell>
          <cell r="G256" t="str">
            <v>Αμπελώνες, οι οποίοι συνήθως παράγουν άλλους οίνους</v>
          </cell>
          <cell r="H256">
            <v>4868</v>
          </cell>
          <cell r="K256" t="str">
            <v>Ναι</v>
          </cell>
          <cell r="L256" t="str">
            <v>ΝΑΙ</v>
          </cell>
          <cell r="O256" t="str">
            <v/>
          </cell>
        </row>
        <row r="257">
          <cell r="D257" t="str">
            <v>ΑΜΠΕΛΩΝΕΣ ΓΙΑ ΠΑΡΑΓΩΓΗ ΟΙΝΟΥ12190</v>
          </cell>
          <cell r="E257" t="str">
            <v>ΚΟΡΙΝΘΙΑΚΗ</v>
          </cell>
          <cell r="F257" t="str">
            <v>B_4_4_2</v>
          </cell>
          <cell r="G257" t="str">
            <v>Αμπελώνες, οι οποίοι συνήθως παράγουν άλλους οίνους</v>
          </cell>
          <cell r="H257">
            <v>4868</v>
          </cell>
          <cell r="K257" t="str">
            <v>Ναι</v>
          </cell>
          <cell r="L257" t="str">
            <v>ΝΑΙ</v>
          </cell>
          <cell r="O257" t="str">
            <v/>
          </cell>
        </row>
        <row r="258">
          <cell r="D258" t="str">
            <v>ΑΜΠΕΛΩΝΕΣ ΓΙΑ ΠΑΡΑΓΩΓΗ ΟΙΝΟΥ12191</v>
          </cell>
          <cell r="E258" t="str">
            <v>ΜΟΣΧΑΤΟ ΑΜΒΟΥΡΓΟΥ</v>
          </cell>
          <cell r="F258" t="str">
            <v>B_4_4_2</v>
          </cell>
          <cell r="G258" t="str">
            <v>Αμπελώνες, οι οποίοι συνήθως παράγουν άλλους οίνους</v>
          </cell>
          <cell r="H258">
            <v>4868</v>
          </cell>
          <cell r="K258" t="str">
            <v>Ναι</v>
          </cell>
          <cell r="L258" t="str">
            <v>ΝΑΙ</v>
          </cell>
          <cell r="O258" t="str">
            <v/>
          </cell>
        </row>
        <row r="259">
          <cell r="D259" t="str">
            <v>ΑΜΠΕΛΩΝΕΣ ΓΙΑ ΠΑΡΑΓΩΓΗ ΟΙΝΟΥ12192</v>
          </cell>
          <cell r="E259" t="str">
            <v>ΜΟΥΡΒΕΝΤΡ</v>
          </cell>
          <cell r="F259" t="str">
            <v>B_4_4_2</v>
          </cell>
          <cell r="G259" t="str">
            <v>Αμπελώνες, οι οποίοι συνήθως παράγουν άλλους οίνους</v>
          </cell>
          <cell r="H259">
            <v>4868</v>
          </cell>
          <cell r="K259" t="str">
            <v>Ναι</v>
          </cell>
          <cell r="L259" t="str">
            <v>ΝΑΙ</v>
          </cell>
          <cell r="O259" t="str">
            <v/>
          </cell>
        </row>
        <row r="260">
          <cell r="D260" t="str">
            <v>ΑΜΠΕΛΩΝΕΣ ΓΙΑ ΠΑΡΑΓΩΓΗ ΟΙΝΟΥ12193</v>
          </cell>
          <cell r="E260" t="str">
            <v>ΛΗΜΝΙΩΝΑ</v>
          </cell>
          <cell r="F260" t="str">
            <v>B_4_4_2</v>
          </cell>
          <cell r="G260" t="str">
            <v>Αμπελώνες, οι οποίοι συνήθως παράγουν άλλους οίνους</v>
          </cell>
          <cell r="H260">
            <v>4868</v>
          </cell>
          <cell r="K260" t="str">
            <v>Ναι</v>
          </cell>
          <cell r="L260" t="str">
            <v>ΝΑΙ</v>
          </cell>
          <cell r="O260" t="str">
            <v/>
          </cell>
        </row>
        <row r="261">
          <cell r="D261" t="str">
            <v>ΑΜΠΕΛΩΝΕΣ ΓΙΑ ΠΑΡΑΓΩΓΗ ΟΙΝΟΥ12195</v>
          </cell>
          <cell r="E261" t="str">
            <v>ΜΠΕΓΛΕΡΙ</v>
          </cell>
          <cell r="F261" t="str">
            <v>B_4_4_2</v>
          </cell>
          <cell r="G261" t="str">
            <v>Αμπελώνες, οι οποίοι συνήθως παράγουν άλλους οίνους</v>
          </cell>
          <cell r="H261">
            <v>4868</v>
          </cell>
          <cell r="K261" t="str">
            <v>Ναι</v>
          </cell>
          <cell r="L261" t="str">
            <v>ΝΑΙ</v>
          </cell>
          <cell r="O261" t="str">
            <v/>
          </cell>
        </row>
        <row r="262">
          <cell r="D262" t="str">
            <v>ΑΜΠΕΛΩΝΕΣ ΓΙΑ ΠΑΡΑΓΩΓΗ ΟΙΝΟΥ12197</v>
          </cell>
          <cell r="E262" t="str">
            <v>ΚΟΤΣΙΦΩΛΙΑΤΙΚΟ</v>
          </cell>
          <cell r="F262" t="str">
            <v>B_4_4_2</v>
          </cell>
          <cell r="G262" t="str">
            <v>Αμπελώνες, οι οποίοι συνήθως παράγουν άλλους οίνους</v>
          </cell>
          <cell r="H262">
            <v>4868</v>
          </cell>
          <cell r="K262" t="str">
            <v>Ναι</v>
          </cell>
          <cell r="L262" t="str">
            <v>ΝΑΙ</v>
          </cell>
          <cell r="O262" t="str">
            <v/>
          </cell>
        </row>
        <row r="263">
          <cell r="D263" t="str">
            <v>ΑΜΠΕΛΩΝΕΣ ΓΙΑ ΠΑΡΑΓΩΓΗ ΟΙΝΟΥ13222</v>
          </cell>
          <cell r="E263" t="str">
            <v>ΚΟΥΤΣΟΥΜΠΕΛΙ</v>
          </cell>
          <cell r="F263" t="str">
            <v>B_4_4_2</v>
          </cell>
          <cell r="G263" t="str">
            <v>Αμπελώνες, οι οποίοι συνήθως παράγουν άλλους οίνους</v>
          </cell>
          <cell r="H263">
            <v>4868</v>
          </cell>
          <cell r="K263" t="str">
            <v>Ναι</v>
          </cell>
          <cell r="L263" t="str">
            <v>ΝΑΙ</v>
          </cell>
          <cell r="O263" t="str">
            <v/>
          </cell>
        </row>
        <row r="264">
          <cell r="D264" t="str">
            <v>ΑΜΠΕΛΩΝΕΣ ΓΙΑ ΠΑΡΑΓΩΓΗ ΟΙΝΟΥ13223</v>
          </cell>
          <cell r="E264" t="str">
            <v>ΜΟΣΧΟΦΙΛΕΡΟ</v>
          </cell>
          <cell r="F264" t="str">
            <v>B_4_4_2</v>
          </cell>
          <cell r="G264" t="str">
            <v>Αμπελώνες, οι οποίοι συνήθως παράγουν άλλους οίνους</v>
          </cell>
          <cell r="H264">
            <v>4868</v>
          </cell>
          <cell r="K264" t="str">
            <v>Ναι</v>
          </cell>
          <cell r="L264" t="str">
            <v>ΝΑΙ</v>
          </cell>
          <cell r="O264" t="str">
            <v/>
          </cell>
        </row>
        <row r="265">
          <cell r="D265" t="str">
            <v>ΑΜΠΕΛΩΝΕΣ ΓΙΑ ΠΑΡΑΓΩΓΗ ΟΙΝΟΥ13224</v>
          </cell>
          <cell r="E265" t="str">
            <v>ΡΟΔΙΤΗΣ (ΑΛΕΠΟΥ)</v>
          </cell>
          <cell r="F265" t="str">
            <v>B_4_4_2</v>
          </cell>
          <cell r="G265" t="str">
            <v>Αμπελώνες, οι οποίοι συνήθως παράγουν άλλους οίνους</v>
          </cell>
          <cell r="H265">
            <v>4868</v>
          </cell>
          <cell r="K265" t="str">
            <v>Ναι</v>
          </cell>
          <cell r="L265" t="str">
            <v>ΝΑΙ</v>
          </cell>
          <cell r="O265" t="str">
            <v/>
          </cell>
        </row>
        <row r="266">
          <cell r="D266" t="str">
            <v>ΑΜΠΕΛΩΝΕΣ ΓΙΑ ΠΑΡΑΓΩΓΗ ΟΙΝΟΥ13225</v>
          </cell>
          <cell r="E266" t="str">
            <v>ΦΙΛΕΡΙ</v>
          </cell>
          <cell r="F266" t="str">
            <v>B_4_4_2</v>
          </cell>
          <cell r="G266" t="str">
            <v>Αμπελώνες, οι οποίοι συνήθως παράγουν άλλους οίνους</v>
          </cell>
          <cell r="H266">
            <v>4868</v>
          </cell>
          <cell r="K266" t="str">
            <v>Ναι</v>
          </cell>
          <cell r="L266" t="str">
            <v>ΝΑΙ</v>
          </cell>
          <cell r="O266" t="str">
            <v/>
          </cell>
        </row>
        <row r="267">
          <cell r="D267" t="str">
            <v>ΑΜΠΕΛΩΝΕΣ ΓΙΑ ΠΑΡΑΓΩΓΗ ΟΙΝΟΥ13228</v>
          </cell>
          <cell r="E267" t="str">
            <v>ΣΙΔΕΡΙΤΗΣ</v>
          </cell>
          <cell r="F267" t="str">
            <v>B_4_4_2</v>
          </cell>
          <cell r="G267" t="str">
            <v>Αμπελώνες, οι οποίοι συνήθως παράγουν άλλους οίνους</v>
          </cell>
          <cell r="H267">
            <v>4868</v>
          </cell>
          <cell r="K267" t="str">
            <v>Ναι</v>
          </cell>
          <cell r="L267" t="str">
            <v>ΝΑΙ</v>
          </cell>
          <cell r="O267" t="str">
            <v/>
          </cell>
        </row>
        <row r="268">
          <cell r="D268" t="str">
            <v>ΑΜΠΕΛΩΝΕΣ ΓΙΑ ΠΑΡΑΓΩΓΗ ΟΙΝΟΥ21246</v>
          </cell>
          <cell r="E268" t="str">
            <v>ΑΕΤΟΝΥΧΙ ΑΣΠΡΟ</v>
          </cell>
          <cell r="F268" t="str">
            <v>B_4_4_2</v>
          </cell>
          <cell r="G268" t="str">
            <v>Αμπελώνες, οι οποίοι συνήθως παράγουν άλλους οίνους</v>
          </cell>
          <cell r="H268">
            <v>4868</v>
          </cell>
          <cell r="J268" t="str">
            <v>Όχι</v>
          </cell>
          <cell r="K268" t="str">
            <v>Ναι</v>
          </cell>
          <cell r="L268" t="str">
            <v>ΝΑΙ</v>
          </cell>
        </row>
        <row r="269">
          <cell r="D269" t="str">
            <v>ΑΜΠΕΛΩΝΕΣ ΓΙΑ ΠΑΡΑΓΩΓΗ ΟΙΝΟΥ21247</v>
          </cell>
          <cell r="E269" t="str">
            <v>ΡΟΖΑΚΙ (ΑΒΟΥΖ ΑΛΗ, ΚΕΡΙΝΟ)</v>
          </cell>
          <cell r="F269" t="str">
            <v>B_4_4_2</v>
          </cell>
          <cell r="G269" t="str">
            <v>Αμπελώνες, οι οποίοι συνήθως παράγουν άλλους οίνους</v>
          </cell>
          <cell r="H269">
            <v>4868</v>
          </cell>
          <cell r="J269" t="str">
            <v>Όχι</v>
          </cell>
          <cell r="K269" t="str">
            <v>Ναι</v>
          </cell>
          <cell r="L269" t="str">
            <v>ΝΑΙ</v>
          </cell>
        </row>
        <row r="270">
          <cell r="D270" t="str">
            <v>ΑΜΠΕΛΩΝΕΣ ΓΙΑ ΠΑΡΑΓΩΓΗ ΟΙΝΟΥ21248</v>
          </cell>
          <cell r="E270" t="str">
            <v>ΡΑΖΑΚΙ ΔΙΠΛΗΣ ΧΡΗΣΗΣ</v>
          </cell>
          <cell r="F270" t="str">
            <v>B_4_4_2</v>
          </cell>
          <cell r="G270" t="str">
            <v>Αμπελώνες, οι οποίοι συνήθως παράγουν άλλους οίνους</v>
          </cell>
          <cell r="H270">
            <v>4868</v>
          </cell>
          <cell r="J270" t="str">
            <v>Όχι</v>
          </cell>
          <cell r="K270" t="str">
            <v>Ναι</v>
          </cell>
          <cell r="L270" t="str">
            <v>ΝΑΙ</v>
          </cell>
        </row>
        <row r="271">
          <cell r="D271" t="str">
            <v>ΑΜΠΕΛΩΝΕΣ ΓΙΑ ΠΑΡΑΓΩΓΗ ΟΙΝΟΥ21251</v>
          </cell>
          <cell r="E271" t="str">
            <v>ΑΥΓΟΥΛΑΤΟ (ΚΟΛΟΚΥΘΑΤΟ)</v>
          </cell>
          <cell r="F271" t="str">
            <v>B_4_4_2</v>
          </cell>
          <cell r="G271" t="str">
            <v>Αμπελώνες, οι οποίοι συνήθως παράγουν άλλους οίνους</v>
          </cell>
          <cell r="H271">
            <v>4868</v>
          </cell>
          <cell r="J271" t="str">
            <v>Όχι</v>
          </cell>
          <cell r="K271" t="str">
            <v>Ναι</v>
          </cell>
          <cell r="L271" t="str">
            <v>ΝΑΙ</v>
          </cell>
        </row>
        <row r="272">
          <cell r="D272" t="str">
            <v>ΑΜΠΕΛΩΝΕΣ ΓΙΑ ΠΑΡΑΓΩΓΗ ΟΙΝΟΥ21252</v>
          </cell>
          <cell r="E272" t="str">
            <v>ΒΙΚΤΩΡΙΑ (VICTORIA)</v>
          </cell>
          <cell r="F272" t="str">
            <v>B_4_4_2</v>
          </cell>
          <cell r="G272" t="str">
            <v>Αμπελώνες, οι οποίοι συνήθως παράγουν άλλους οίνους</v>
          </cell>
          <cell r="H272">
            <v>4868</v>
          </cell>
          <cell r="J272" t="str">
            <v>Όχι</v>
          </cell>
          <cell r="K272" t="str">
            <v>Ναι</v>
          </cell>
          <cell r="L272" t="str">
            <v>ΝΑΙ</v>
          </cell>
        </row>
        <row r="273">
          <cell r="D273" t="str">
            <v>ΑΜΠΕΛΩΝΕΣ ΓΙΑ ΠΑΡΑΓΩΓΗ ΟΙΝΟΥ21253</v>
          </cell>
          <cell r="E273" t="str">
            <v>ΓΚΟΛΝΤ (GOLD)</v>
          </cell>
          <cell r="F273" t="str">
            <v>B_4_4_2</v>
          </cell>
          <cell r="G273" t="str">
            <v>Αμπελώνες, οι οποίοι συνήθως παράγουν άλλους οίνους</v>
          </cell>
          <cell r="H273">
            <v>4868</v>
          </cell>
          <cell r="J273" t="str">
            <v>Όχι</v>
          </cell>
          <cell r="K273" t="str">
            <v>Ναι</v>
          </cell>
          <cell r="L273" t="str">
            <v>ΝΑΙ</v>
          </cell>
        </row>
        <row r="274">
          <cell r="D274" t="str">
            <v>ΑΜΠΕΛΩΝΕΣ ΓΙΑ ΠΑΡΑΓΩΓΗ ΟΙΝΟΥ21254</v>
          </cell>
          <cell r="E274" t="str">
            <v>ΕΛΛΑΣ</v>
          </cell>
          <cell r="F274" t="str">
            <v>B_4_4_2</v>
          </cell>
          <cell r="G274" t="str">
            <v>Αμπελώνες, οι οποίοι συνήθως παράγουν άλλους οίνους</v>
          </cell>
          <cell r="H274">
            <v>4868</v>
          </cell>
          <cell r="J274" t="str">
            <v>Όχι</v>
          </cell>
          <cell r="K274" t="str">
            <v>Ναι</v>
          </cell>
          <cell r="L274" t="str">
            <v>ΝΑΙ</v>
          </cell>
        </row>
        <row r="275">
          <cell r="D275" t="str">
            <v>ΑΜΠΕΛΩΝΕΣ ΓΙΑ ΠΑΡΑΓΩΓΗ ΟΙΝΟΥ21255</v>
          </cell>
          <cell r="E275" t="str">
            <v>ΘΕΣΣΑΛΟΝΙΚΗ</v>
          </cell>
          <cell r="F275" t="str">
            <v>B_4_4_2</v>
          </cell>
          <cell r="G275" t="str">
            <v>Αμπελώνες, οι οποίοι συνήθως παράγουν άλλους οίνους</v>
          </cell>
          <cell r="H275">
            <v>4868</v>
          </cell>
          <cell r="J275" t="str">
            <v>Όχι</v>
          </cell>
          <cell r="K275" t="str">
            <v>Ναι</v>
          </cell>
          <cell r="L275" t="str">
            <v>ΝΑΙ</v>
          </cell>
        </row>
        <row r="276">
          <cell r="D276" t="str">
            <v>ΑΜΠΕΛΩΝΕΣ ΓΙΑ ΠΑΡΑΓΩΓΗ ΟΙΝΟΥ21256</v>
          </cell>
          <cell r="E276" t="str">
            <v>ΙΤΑΛΙΑ (ITALIA)</v>
          </cell>
          <cell r="F276" t="str">
            <v>B_4_4_2</v>
          </cell>
          <cell r="G276" t="str">
            <v>Αμπελώνες, οι οποίοι συνήθως παράγουν άλλους οίνους</v>
          </cell>
          <cell r="H276">
            <v>4868</v>
          </cell>
          <cell r="J276" t="str">
            <v>Όχι</v>
          </cell>
          <cell r="K276" t="str">
            <v>Ναι</v>
          </cell>
          <cell r="L276" t="str">
            <v>ΝΑΙ</v>
          </cell>
        </row>
        <row r="277">
          <cell r="D277" t="str">
            <v>ΑΜΠΕΛΩΝΕΣ ΓΙΑ ΠΑΡΑΓΩΓΗ ΟΙΝΟΥ21257</v>
          </cell>
          <cell r="E277" t="str">
            <v>ΚΑΛΜΕΡΙΑ (CALMERIA)</v>
          </cell>
          <cell r="F277" t="str">
            <v>B_4_4_2</v>
          </cell>
          <cell r="G277" t="str">
            <v>Αμπελώνες, οι οποίοι συνήθως παράγουν άλλους οίνους</v>
          </cell>
          <cell r="H277">
            <v>4868</v>
          </cell>
          <cell r="J277" t="str">
            <v>Όχι</v>
          </cell>
          <cell r="K277" t="str">
            <v>Ναι</v>
          </cell>
          <cell r="L277" t="str">
            <v>ΝΑΙ</v>
          </cell>
        </row>
        <row r="278">
          <cell r="D278" t="str">
            <v>ΑΜΠΕΛΩΝΕΣ ΓΙΑ ΠΑΡΑΓΩΓΗ ΟΙΝΟΥ21258</v>
          </cell>
          <cell r="E278" t="str">
            <v>ΚΑΡΥΔΑΤΟ (ΕΠΙΤΡΑΠΕΖΙΑ)</v>
          </cell>
          <cell r="F278" t="str">
            <v>B_4_4_2</v>
          </cell>
          <cell r="G278" t="str">
            <v>Αμπελώνες, οι οποίοι συνήθως παράγουν άλλους οίνους</v>
          </cell>
          <cell r="H278">
            <v>4868</v>
          </cell>
          <cell r="J278" t="str">
            <v>Όχι</v>
          </cell>
          <cell r="K278" t="str">
            <v>Ναι</v>
          </cell>
          <cell r="L278" t="str">
            <v>ΝΑΙ</v>
          </cell>
        </row>
        <row r="279">
          <cell r="D279" t="str">
            <v>ΑΜΠΕΛΩΝΕΣ ΓΙΑ ΠΑΡΑΓΩΓΗ ΟΙΝΟΥ21261</v>
          </cell>
          <cell r="E279" t="str">
            <v>ΟΨΙΜΟ ΕΔΕΣΣΗΣ (ΑΜΑΣΣΙ, ΚΑΡΑΤΖΟΒΑΣ, ΦΟΥΣΤΑΝΙ)</v>
          </cell>
          <cell r="F279" t="str">
            <v>B_4_4_2</v>
          </cell>
          <cell r="G279" t="str">
            <v>Αμπελώνες, οι οποίοι συνήθως παράγουν άλλους οίνους</v>
          </cell>
          <cell r="H279">
            <v>4868</v>
          </cell>
          <cell r="J279" t="str">
            <v>Όχι</v>
          </cell>
          <cell r="K279" t="str">
            <v>Ναι</v>
          </cell>
          <cell r="L279" t="str">
            <v>ΝΑΙ</v>
          </cell>
        </row>
        <row r="280">
          <cell r="D280" t="str">
            <v>ΑΜΠΕΛΩΝΕΣ ΓΙΑ ΠΑΡΑΓΩΓΗ ΟΙΝΟΥ21262</v>
          </cell>
          <cell r="E280" t="str">
            <v>ΟΨΙΜΟ ΕΔΕΣΣΗΣ Δ.Χ</v>
          </cell>
          <cell r="F280" t="str">
            <v>B_4_4_2</v>
          </cell>
          <cell r="G280" t="str">
            <v>Αμπελώνες, οι οποίοι συνήθως παράγουν άλλους οίνους</v>
          </cell>
          <cell r="H280">
            <v>4868</v>
          </cell>
          <cell r="J280" t="str">
            <v>Όχι</v>
          </cell>
          <cell r="K280" t="str">
            <v>Ναι</v>
          </cell>
          <cell r="L280" t="str">
            <v>ΝΑΙ</v>
          </cell>
        </row>
        <row r="281">
          <cell r="D281" t="str">
            <v>ΑΜΠΕΛΩΝΕΣ ΓΙΑ ΠΑΡΑΓΩΓΗ ΟΙΝΟΥ21266</v>
          </cell>
          <cell r="E281" t="str">
            <v>ΠΕΡΛΕΤ (PERLETTE)</v>
          </cell>
          <cell r="F281" t="str">
            <v>B_4_4_2</v>
          </cell>
          <cell r="G281" t="str">
            <v>Αμπελώνες, οι οποίοι συνήθως παράγουν άλλους οίνους</v>
          </cell>
          <cell r="H281">
            <v>4868</v>
          </cell>
          <cell r="J281" t="str">
            <v>Όχι</v>
          </cell>
          <cell r="K281" t="str">
            <v>Ναι</v>
          </cell>
          <cell r="L281" t="str">
            <v>ΝΑΙ</v>
          </cell>
        </row>
        <row r="282">
          <cell r="D282" t="str">
            <v>ΑΜΠΕΛΩΝΕΣ ΓΙΑ ΠΑΡΑΓΩΓΗ ΟΙΝΟΥ21269</v>
          </cell>
          <cell r="E282" t="str">
            <v>ΒΕΡΓΙΝΑ</v>
          </cell>
          <cell r="F282" t="str">
            <v>B_4_4_2</v>
          </cell>
          <cell r="G282" t="str">
            <v>Αμπελώνες, οι οποίοι συνήθως παράγουν άλλους οίνους</v>
          </cell>
          <cell r="H282">
            <v>4868</v>
          </cell>
          <cell r="J282" t="str">
            <v>Όχι</v>
          </cell>
          <cell r="K282" t="str">
            <v>Ναι</v>
          </cell>
          <cell r="L282" t="str">
            <v>ΝΑΙ</v>
          </cell>
        </row>
        <row r="283">
          <cell r="D283" t="str">
            <v>ΑΜΠΕΛΩΝΕΣ ΓΙΑ ΠΑΡΑΓΩΓΗ ΟΙΝΟΥ21270</v>
          </cell>
          <cell r="E283" t="str">
            <v>ΜΟΣΧΑΤΟ ΑΛΕΞΑΝΔΡΕΙΑΣ</v>
          </cell>
          <cell r="F283" t="str">
            <v>B_4_4_2</v>
          </cell>
          <cell r="G283" t="str">
            <v>Αμπελώνες, οι οποίοι συνήθως παράγουν άλλους οίνους</v>
          </cell>
          <cell r="H283">
            <v>4868</v>
          </cell>
          <cell r="J283" t="str">
            <v>Όχι</v>
          </cell>
          <cell r="K283" t="str">
            <v>Ναι</v>
          </cell>
          <cell r="L283" t="str">
            <v>ΝΑΙ</v>
          </cell>
        </row>
        <row r="284">
          <cell r="D284" t="str">
            <v>ΑΜΠΕΛΩΝΕΣ ΓΙΑ ΠΑΡΑΓΩΓΗ ΟΙΝΟΥ21271</v>
          </cell>
          <cell r="E284" t="str">
            <v>ΝΕΒΑΝΤΟ</v>
          </cell>
          <cell r="F284" t="str">
            <v>B_4_4_2</v>
          </cell>
          <cell r="G284" t="str">
            <v>Αμπελώνες, οι οποίοι συνήθως παράγουν άλλους οίνους</v>
          </cell>
          <cell r="H284">
            <v>4868</v>
          </cell>
          <cell r="J284" t="str">
            <v>Όχι</v>
          </cell>
          <cell r="K284" t="str">
            <v>Ναι</v>
          </cell>
          <cell r="L284" t="str">
            <v>ΝΑΙ</v>
          </cell>
        </row>
        <row r="285">
          <cell r="D285" t="str">
            <v>ΑΜΠΕΛΩΝΕΣ ΓΙΑ ΠΑΡΑΓΩΓΗ ΟΙΝΟΥ21274</v>
          </cell>
          <cell r="E285" t="str">
            <v>ΚΩΝΣΤΑΝΤΙΝΑ</v>
          </cell>
          <cell r="F285" t="str">
            <v>B_4_4_2</v>
          </cell>
          <cell r="G285" t="str">
            <v>Αμπελώνες, οι οποίοι συνήθως παράγουν άλλους οίνους</v>
          </cell>
          <cell r="H285">
            <v>4868</v>
          </cell>
          <cell r="J285" t="str">
            <v>Όχι</v>
          </cell>
          <cell r="K285" t="str">
            <v>Ναι</v>
          </cell>
          <cell r="L285" t="str">
            <v>ΝΑΙ</v>
          </cell>
        </row>
        <row r="286">
          <cell r="D286" t="str">
            <v>ΑΜΠΕΛΩΝΕΣ ΓΙΑ ΠΑΡΑΓΩΓΗ ΟΙΝΟΥ21278</v>
          </cell>
          <cell r="E286" t="str">
            <v>ΣΟΥΠΕΡΙΟΡ ΣΙΝΤΛΕΣ (SOUPERIOR SEEDLESS) B</v>
          </cell>
          <cell r="F286" t="str">
            <v>B_4_4_2</v>
          </cell>
          <cell r="G286" t="str">
            <v>Αμπελώνες, οι οποίοι συνήθως παράγουν άλλους οίνους</v>
          </cell>
          <cell r="H286">
            <v>4868</v>
          </cell>
          <cell r="J286" t="str">
            <v>Όχι</v>
          </cell>
          <cell r="K286" t="str">
            <v>Ναι</v>
          </cell>
          <cell r="L286" t="str">
            <v>ΝΑΙ</v>
          </cell>
        </row>
        <row r="287">
          <cell r="D287" t="str">
            <v>ΑΜΠΕΛΩΝΕΣ ΓΙΑ ΠΑΡΑΓΩΓΗ ΟΙΝΟΥ22246</v>
          </cell>
          <cell r="E287" t="str">
            <v>ΑΕΤΟΝΥΧΙ ΜΑΥΡΟ</v>
          </cell>
          <cell r="F287" t="str">
            <v>B_4_4_2</v>
          </cell>
          <cell r="G287" t="str">
            <v>Αμπελώνες, οι οποίοι συνήθως παράγουν άλλους οίνους</v>
          </cell>
          <cell r="H287">
            <v>4868</v>
          </cell>
          <cell r="J287" t="str">
            <v>Όχι</v>
          </cell>
          <cell r="K287" t="str">
            <v>Ναι</v>
          </cell>
          <cell r="L287" t="str">
            <v>ΝΑΙ</v>
          </cell>
        </row>
        <row r="288">
          <cell r="D288" t="str">
            <v>ΑΜΠΕΛΩΝΕΣ ΓΙΑ ΠΑΡΑΓΩΓΗ ΟΙΝΟΥ22247</v>
          </cell>
          <cell r="E288" t="str">
            <v>ΡΑΖΑΚΙ ΜΑΥΡΟ</v>
          </cell>
          <cell r="F288" t="str">
            <v>B_4_4_2</v>
          </cell>
          <cell r="G288" t="str">
            <v>Αμπελώνες, οι οποίοι συνήθως παράγουν άλλους οίνους</v>
          </cell>
          <cell r="H288">
            <v>4868</v>
          </cell>
          <cell r="J288" t="str">
            <v>Όχι</v>
          </cell>
          <cell r="K288" t="str">
            <v>Ναι</v>
          </cell>
          <cell r="L288" t="str">
            <v>ΝΑΙ</v>
          </cell>
        </row>
        <row r="289">
          <cell r="D289" t="str">
            <v>ΑΜΠΕΛΩΝΕΣ ΓΙΑ ΠΑΡΑΓΩΓΗ ΟΙΝΟΥ22300</v>
          </cell>
          <cell r="E289" t="str">
            <v>ΑΛΦΟΝΣ ΛΑΒΑΛΕ (ALHONSE LAVALLEE)</v>
          </cell>
          <cell r="F289" t="str">
            <v>B_4_4_2</v>
          </cell>
          <cell r="G289" t="str">
            <v>Αμπελώνες, οι οποίοι συνήθως παράγουν άλλους οίνους</v>
          </cell>
          <cell r="H289">
            <v>4868</v>
          </cell>
          <cell r="J289" t="str">
            <v>Όχι</v>
          </cell>
          <cell r="K289" t="str">
            <v>Ναι</v>
          </cell>
          <cell r="L289" t="str">
            <v>ΝΑΙ</v>
          </cell>
        </row>
        <row r="290">
          <cell r="D290" t="str">
            <v>ΑΜΠΕΛΩΝΕΣ ΓΙΑ ΠΑΡΑΓΩΓΗ ΟΙΝΟΥ22302</v>
          </cell>
          <cell r="E290" t="str">
            <v>ΜΟΣΧΑΤΟ ΑΜΒΟΥΡΓΟΥ</v>
          </cell>
          <cell r="F290" t="str">
            <v>B_4_4_2</v>
          </cell>
          <cell r="G290" t="str">
            <v>Αμπελώνες, οι οποίοι συνήθως παράγουν άλλους οίνους</v>
          </cell>
          <cell r="H290">
            <v>4868</v>
          </cell>
          <cell r="J290" t="str">
            <v>Όχι</v>
          </cell>
          <cell r="K290" t="str">
            <v>Ναι</v>
          </cell>
          <cell r="L290" t="str">
            <v>ΝΑΙ</v>
          </cell>
        </row>
        <row r="291">
          <cell r="D291" t="str">
            <v>ΑΜΠΕΛΩΝΕΣ ΓΙΑ ΠΑΡΑΓΩΓΗ ΟΙΝΟΥ22303</v>
          </cell>
          <cell r="E291" t="str">
            <v>ΜΟΣΧΑΤΟ ΑΜΒΟΥΡΓΟΥ ΔΙΠΛΗΣ ΧΡΗΣΗΣ</v>
          </cell>
          <cell r="F291" t="str">
            <v>B_4_4_2</v>
          </cell>
          <cell r="G291" t="str">
            <v>Αμπελώνες, οι οποίοι συνήθως παράγουν άλλους οίνους</v>
          </cell>
          <cell r="H291">
            <v>4868</v>
          </cell>
          <cell r="J291" t="str">
            <v>Όχι</v>
          </cell>
          <cell r="K291" t="str">
            <v>Ναι</v>
          </cell>
          <cell r="L291" t="str">
            <v>ΝΑΙ</v>
          </cell>
        </row>
        <row r="292">
          <cell r="D292" t="str">
            <v>ΑΜΠΕΛΩΝΕΣ ΓΙΑ ΠΑΡΑΓΩΓΗ ΟΙΝΟΥ22306</v>
          </cell>
          <cell r="E292" t="str">
            <v>ΑΤΤΙΚΗ</v>
          </cell>
          <cell r="F292" t="str">
            <v>B_4_4_2</v>
          </cell>
          <cell r="G292" t="str">
            <v>Αμπελώνες, οι οποίοι συνήθως παράγουν άλλους οίνους</v>
          </cell>
          <cell r="H292">
            <v>4868</v>
          </cell>
          <cell r="J292" t="str">
            <v>Όχι</v>
          </cell>
          <cell r="K292" t="str">
            <v>Ναι</v>
          </cell>
          <cell r="L292" t="str">
            <v>ΝΑΙ</v>
          </cell>
        </row>
        <row r="293">
          <cell r="D293" t="str">
            <v>ΑΜΠΕΛΩΝΕΣ ΓΙΑ ΠΑΡΑΓΩΓΗ ΟΙΝΟΥ22308</v>
          </cell>
          <cell r="E293" t="str">
            <v>ΠΕΡΛΟΝ</v>
          </cell>
          <cell r="F293" t="str">
            <v>B_4_4_2</v>
          </cell>
          <cell r="G293" t="str">
            <v>Αμπελώνες, οι οποίοι συνήθως παράγουν άλλους οίνους</v>
          </cell>
          <cell r="H293">
            <v>4868</v>
          </cell>
          <cell r="J293" t="str">
            <v>Όχι</v>
          </cell>
          <cell r="K293" t="str">
            <v>Ναι</v>
          </cell>
          <cell r="L293" t="str">
            <v>ΝΑΙ</v>
          </cell>
        </row>
        <row r="294">
          <cell r="D294" t="str">
            <v>ΑΜΠΕΛΩΝΕΣ ΓΙΑ ΠΑΡΑΓΩΓΗ ΟΙΝΟΥ23350</v>
          </cell>
          <cell r="E294" t="str">
            <v>ΚΑΡΝΤΙΝΑΛ (CARDINAL)</v>
          </cell>
          <cell r="F294" t="str">
            <v>B_4_4_2</v>
          </cell>
          <cell r="G294" t="str">
            <v>Αμπελώνες, οι οποίοι συνήθως παράγουν άλλους οίνους</v>
          </cell>
          <cell r="H294">
            <v>4868</v>
          </cell>
          <cell r="J294" t="str">
            <v>Όχι</v>
          </cell>
          <cell r="K294" t="str">
            <v>Ναι</v>
          </cell>
          <cell r="L294" t="str">
            <v>ΝΑΙ</v>
          </cell>
        </row>
        <row r="295">
          <cell r="D295" t="str">
            <v>ΑΜΠΕΛΩΝΕΣ ΓΙΑ ΠΑΡΑΓΩΓΗ ΟΙΝΟΥ23352</v>
          </cell>
          <cell r="E295" t="str">
            <v>ΣΙΔΕΡΙΤΗΣ Δ.Χ</v>
          </cell>
          <cell r="F295" t="str">
            <v>B_4_4_2</v>
          </cell>
          <cell r="G295" t="str">
            <v>Αμπελώνες, οι οποίοι συνήθως παράγουν άλλους οίνους</v>
          </cell>
          <cell r="H295">
            <v>4868</v>
          </cell>
          <cell r="J295" t="str">
            <v>Όχι</v>
          </cell>
          <cell r="K295" t="str">
            <v>Ναι</v>
          </cell>
          <cell r="L295" t="str">
            <v>ΝΑΙ</v>
          </cell>
        </row>
        <row r="296">
          <cell r="D296" t="str">
            <v>ΑΜΠΕΛΩΝΕΣ ΓΙΑ ΠΑΡΑΓΩΓΗ ΟΙΝΟΥ23353</v>
          </cell>
          <cell r="E296" t="str">
            <v>ΦΡΑΟΥΛΑ</v>
          </cell>
          <cell r="F296" t="str">
            <v>B_4_4_2</v>
          </cell>
          <cell r="G296" t="str">
            <v>Αμπελώνες, οι οποίοι συνήθως παράγουν άλλους οίνους</v>
          </cell>
          <cell r="H296">
            <v>4868</v>
          </cell>
          <cell r="J296" t="str">
            <v>Όχι</v>
          </cell>
          <cell r="K296" t="str">
            <v>Ναι</v>
          </cell>
          <cell r="L296" t="str">
            <v>ΝΑΙ</v>
          </cell>
        </row>
        <row r="297">
          <cell r="D297" t="str">
            <v>ΑΜΠΕΛΩΝΕΣ ΓΙΑ ΠΑΡΑΓΩΓΗ ΟΙΝΟΥ23355</v>
          </cell>
          <cell r="E297" t="str">
            <v>ΙΘΑΚΗ</v>
          </cell>
          <cell r="F297" t="str">
            <v>B_4_4_2</v>
          </cell>
          <cell r="G297" t="str">
            <v>Αμπελώνες, οι οποίοι συνήθως παράγουν άλλους οίνους</v>
          </cell>
          <cell r="H297">
            <v>4868</v>
          </cell>
          <cell r="K297" t="str">
            <v>Ναι</v>
          </cell>
          <cell r="L297" t="str">
            <v>ΝΑΙ</v>
          </cell>
          <cell r="O297" t="str">
            <v/>
          </cell>
        </row>
        <row r="298">
          <cell r="D298" t="str">
            <v>ΑΜΠΕΛΩΝΕΣ ΓΙΑ ΠΑΡΑΓΩΓΗ ΟΙΝΟΥ31501</v>
          </cell>
          <cell r="E298" t="str">
            <v>ΣΟΥΛΤΑΝΙΝΑ Δ.Χ</v>
          </cell>
          <cell r="F298" t="str">
            <v>B_4_4_2</v>
          </cell>
          <cell r="G298" t="str">
            <v>Αμπελώνες, οι οποίοι συνήθως παράγουν άλλους οίνους</v>
          </cell>
          <cell r="H298">
            <v>4868</v>
          </cell>
          <cell r="K298" t="str">
            <v>Ναι</v>
          </cell>
          <cell r="L298" t="str">
            <v>ΝΑΙ</v>
          </cell>
          <cell r="O298" t="str">
            <v/>
          </cell>
        </row>
        <row r="299">
          <cell r="D299" t="str">
            <v>ΑΜΠΕΛΩΝΕΣ ΓΙΑ ΠΑΡΑΓΩΓΗ ΟΙΝΟΥ31502</v>
          </cell>
          <cell r="E299" t="str">
            <v>ΣΟΥΛΤΑΝΙΝΑ Τ.Χ</v>
          </cell>
          <cell r="F299" t="str">
            <v>B_4_4_2</v>
          </cell>
          <cell r="G299" t="str">
            <v>Αμπελώνες, οι οποίοι συνήθως παράγουν άλλους οίνους</v>
          </cell>
          <cell r="H299">
            <v>4868</v>
          </cell>
          <cell r="K299" t="str">
            <v>Ναι</v>
          </cell>
          <cell r="L299" t="str">
            <v>ΝΑΙ</v>
          </cell>
          <cell r="O299" t="str">
            <v/>
          </cell>
        </row>
        <row r="300">
          <cell r="D300" t="str">
            <v>ΑΜΠΕΛΩΝΕΣ ΓΙΑ ΠΑΡΑΓΩΓΗ ΟΙΝΟΥ32511</v>
          </cell>
          <cell r="E300" t="str">
            <v>ΚΟΡΙΝΘΙΑΚΗ Δ.Χ</v>
          </cell>
          <cell r="F300" t="str">
            <v>B_4_4_2</v>
          </cell>
          <cell r="G300" t="str">
            <v>Αμπελώνες, οι οποίοι συνήθως παράγουν άλλους οίνους</v>
          </cell>
          <cell r="H300">
            <v>4868</v>
          </cell>
          <cell r="K300" t="str">
            <v>Ναι</v>
          </cell>
          <cell r="L300" t="str">
            <v>ΝΑΙ</v>
          </cell>
          <cell r="O300" t="str">
            <v/>
          </cell>
        </row>
        <row r="301">
          <cell r="D301" t="str">
            <v>ΑΜΠΕΛΩΝΕΣ ΓΙΑ ΠΑΡΑΓΩΓΗ ΟΙΝΟΥ36201</v>
          </cell>
          <cell r="E301" t="str">
            <v>ΧΙΔΗΡΙΩΤΙΚΟ Ν  (ΚΑΛΛΟΝΙΑΤΙΚΟ)</v>
          </cell>
          <cell r="F301" t="str">
            <v>B_4_4_2</v>
          </cell>
          <cell r="G301" t="str">
            <v>Αμπελώνες, οι οποίοι συνήθως παράγουν άλλους οίνους</v>
          </cell>
          <cell r="H301">
            <v>4868</v>
          </cell>
          <cell r="K301" t="str">
            <v>Ναι</v>
          </cell>
          <cell r="L301" t="str">
            <v>ΝΑΙ</v>
          </cell>
          <cell r="O301" t="str">
            <v/>
          </cell>
        </row>
        <row r="302">
          <cell r="D302" t="str">
            <v>ΑΜΠΕΛΩΝΕΣ ΓΙΑ ΠΑΡΑΓΩΓΗ ΟΙΝΟΥ40520</v>
          </cell>
          <cell r="E302" t="str">
            <v>ΥΒΡΙΔΙΑ</v>
          </cell>
          <cell r="F302" t="str">
            <v>B_4_4_2</v>
          </cell>
          <cell r="G302" t="str">
            <v>Αμπελώνες, οι οποίοι συνήθως παράγουν άλλους οίνους</v>
          </cell>
          <cell r="H302">
            <v>4868</v>
          </cell>
          <cell r="K302" t="str">
            <v>Ναι</v>
          </cell>
          <cell r="L302" t="str">
            <v>ΝΑΙ</v>
          </cell>
          <cell r="O302" t="str">
            <v/>
          </cell>
        </row>
        <row r="303">
          <cell r="D303" t="str">
            <v>ΑΜΠΕΛΩΝΕΣ ΓΙΑ ΠΑΡΑΓΩΓΗ ΟΙΝΟΥ40523</v>
          </cell>
          <cell r="E303" t="str">
            <v>ΕΚΤΑΣΗ ΥΠΟ ΕΜΒΟΛΙΑΣΜ</v>
          </cell>
          <cell r="F303" t="str">
            <v>B_4_4_2</v>
          </cell>
          <cell r="G303" t="str">
            <v>Αμπελώνες, οι οποίοι συνήθως παράγουν άλλους οίνους</v>
          </cell>
          <cell r="H303">
            <v>4868</v>
          </cell>
          <cell r="K303" t="str">
            <v>Ναι</v>
          </cell>
          <cell r="L303" t="str">
            <v>ΝΑΙ</v>
          </cell>
          <cell r="O303" t="str">
            <v/>
          </cell>
        </row>
        <row r="304">
          <cell r="D304" t="str">
            <v>ΑΜΠΕΛΩΝΕΣ ΓΙΑ ΠΑΡΑΓΩΓΗ ΟΙΝΟΥ6005</v>
          </cell>
          <cell r="E304" t="str">
            <v>ΠΟΠ-ΑΜΠΕΛΩΝΕΣ ΓΙΑ ΠΑΡΑΓΩΓΗ ΟΙΝΩΝ ΠΟΙΟΤΗΤΑΣ</v>
          </cell>
          <cell r="F304" t="str">
            <v>B_4_4_2</v>
          </cell>
          <cell r="G304" t="str">
            <v>Αμπελώνες, οι οποίοι συνήθως παράγουν άλλους οίνους</v>
          </cell>
          <cell r="H304">
            <v>4868</v>
          </cell>
          <cell r="K304" t="str">
            <v>Ναι</v>
          </cell>
          <cell r="L304" t="str">
            <v>ΝΑΙ</v>
          </cell>
          <cell r="O304" t="str">
            <v/>
          </cell>
        </row>
        <row r="305">
          <cell r="D305" t="str">
            <v>ΑΜΠΕΛΩΝΕΣ ΓΙΑ ΠΑΡΑΓΩΓΗ ΟΙΝΟΥ61037</v>
          </cell>
          <cell r="E305" t="str">
            <v>ΜΟΣΧΑΤΟ ΑΛΕΞ/ΡΕΙΑΣ</v>
          </cell>
          <cell r="F305" t="str">
            <v>B_4_4_2</v>
          </cell>
          <cell r="G305" t="str">
            <v>Αμπελώνες, οι οποίοι συνήθως παράγουν άλλους οίνους</v>
          </cell>
          <cell r="H305">
            <v>4868</v>
          </cell>
          <cell r="K305" t="str">
            <v>Ναι</v>
          </cell>
          <cell r="L305" t="str">
            <v>ΝΑΙ</v>
          </cell>
          <cell r="O305" t="str">
            <v/>
          </cell>
        </row>
        <row r="306">
          <cell r="D306" t="str">
            <v>ΑΜΠΕΛΩΝΕΣ ΓΙΑ ΠΑΡΑΓΩΓΗ ΟΙΝΟΥ61262</v>
          </cell>
          <cell r="E306" t="str">
            <v>ΟΨΙΜΟ ΕΔΕΣΣΗΣ</v>
          </cell>
          <cell r="F306" t="str">
            <v>B_4_4_2</v>
          </cell>
          <cell r="G306" t="str">
            <v>Αμπελώνες, οι οποίοι συνήθως παράγουν άλλους οίνους</v>
          </cell>
          <cell r="H306">
            <v>4868</v>
          </cell>
          <cell r="K306" t="str">
            <v>Ναι</v>
          </cell>
          <cell r="L306" t="str">
            <v>ΝΑΙ</v>
          </cell>
          <cell r="O306" t="str">
            <v/>
          </cell>
        </row>
        <row r="307">
          <cell r="D307" t="str">
            <v>ΑΜΠΕΛΩΝΕΣ ΓΙΑ ΠΑΡΑΓΩΓΗ ΟΙΝΟΥ62303</v>
          </cell>
          <cell r="E307" t="str">
            <v>ΜΟΣΧΑΤΟ ΑΜΒΟΥΡΓΟΥ</v>
          </cell>
          <cell r="F307" t="str">
            <v>B_4_4_2</v>
          </cell>
          <cell r="G307" t="str">
            <v>Αμπελώνες, οι οποίοι συνήθως παράγουν άλλους οίνους</v>
          </cell>
          <cell r="H307">
            <v>4868</v>
          </cell>
          <cell r="K307" t="str">
            <v>Ναι</v>
          </cell>
          <cell r="L307" t="str">
            <v>ΝΑΙ</v>
          </cell>
          <cell r="O307" t="str">
            <v/>
          </cell>
        </row>
        <row r="308">
          <cell r="D308" t="str">
            <v>ΑΜΠΕΛΩΝΕΣ ΓΙΑ ΠΑΡΑΓΩΓΗ ΟΙΝΟΥ63347</v>
          </cell>
          <cell r="E308" t="str">
            <v>ΝΥΧΑΤΟ ΑΣΠΡΟ</v>
          </cell>
          <cell r="F308" t="str">
            <v>B_4_4_2</v>
          </cell>
          <cell r="G308" t="str">
            <v>Αμπελώνες, οι οποίοι συνήθως παράγουν άλλους οίνους</v>
          </cell>
          <cell r="H308">
            <v>4868</v>
          </cell>
          <cell r="K308" t="str">
            <v>Ναι</v>
          </cell>
          <cell r="L308" t="str">
            <v>ΝΑΙ</v>
          </cell>
          <cell r="O308" t="str">
            <v/>
          </cell>
        </row>
        <row r="309">
          <cell r="D309" t="str">
            <v>ΑΜΠΕΛΩΝΕΣ ΓΙΑ ΠΑΡΑΓΩΓΗ ΟΙΝΟΥ63348</v>
          </cell>
          <cell r="E309" t="str">
            <v>ΜΠΟΓΙΑΛΑΜΑΔΕΣ</v>
          </cell>
          <cell r="F309" t="str">
            <v>B_4_4_2</v>
          </cell>
          <cell r="G309" t="str">
            <v>Αμπελώνες, οι οποίοι συνήθως παράγουν άλλους οίνους</v>
          </cell>
          <cell r="H309">
            <v>4868</v>
          </cell>
          <cell r="K309" t="str">
            <v>Ναι</v>
          </cell>
          <cell r="L309" t="str">
            <v>ΝΑΙ</v>
          </cell>
          <cell r="O309" t="str">
            <v/>
          </cell>
        </row>
        <row r="310">
          <cell r="D310" t="str">
            <v>ΑΜΠΕΛΩΝΕΣ ΓΙΑ ΠΑΡΑΓΩΓΗ ΟΙΝΟΥ63349</v>
          </cell>
          <cell r="E310" t="str">
            <v>ΣΤΑΥΡΟΧΙΩΤΗΣ</v>
          </cell>
          <cell r="F310" t="str">
            <v>B_4_4_2</v>
          </cell>
          <cell r="G310" t="str">
            <v>Αμπελώνες, οι οποίοι συνήθως παράγουν άλλους οίνους</v>
          </cell>
          <cell r="H310">
            <v>4868</v>
          </cell>
          <cell r="K310" t="str">
            <v>Ναι</v>
          </cell>
          <cell r="L310" t="str">
            <v>ΝΑΙ</v>
          </cell>
          <cell r="O310" t="str">
            <v/>
          </cell>
        </row>
        <row r="311">
          <cell r="D311" t="str">
            <v>ΑΜΠΕΛΩΝΕΣ ΓΙΑ ΠΑΡΑΓΩΓΗ ΟΙΝΟΥ63350</v>
          </cell>
          <cell r="E311" t="str">
            <v>ΠΛΑΤΑΝΙ</v>
          </cell>
          <cell r="F311" t="str">
            <v>B_4_4_2</v>
          </cell>
          <cell r="G311" t="str">
            <v>Αμπελώνες, οι οποίοι συνήθως παράγουν άλλους οίνους</v>
          </cell>
          <cell r="H311">
            <v>4868</v>
          </cell>
          <cell r="K311" t="str">
            <v>Ναι</v>
          </cell>
          <cell r="L311" t="str">
            <v>ΝΑΙ</v>
          </cell>
          <cell r="O311" t="str">
            <v/>
          </cell>
        </row>
        <row r="312">
          <cell r="D312" t="str">
            <v>ΑΜΠΕΛΩΝΕΣ ΓΙΑ ΠΑΡΑΓΩΓΗ ΟΙΝΟΥ63351</v>
          </cell>
          <cell r="E312" t="str">
            <v>ΚΑΤΣΑΝΟ</v>
          </cell>
          <cell r="F312" t="str">
            <v>B_4_4_2</v>
          </cell>
          <cell r="G312" t="str">
            <v>Αμπελώνες, οι οποίοι συνήθως παράγουν άλλους οίνους</v>
          </cell>
          <cell r="H312">
            <v>4868</v>
          </cell>
          <cell r="K312" t="str">
            <v>Ναι</v>
          </cell>
          <cell r="L312" t="str">
            <v>ΝΑΙ</v>
          </cell>
          <cell r="O312" t="str">
            <v/>
          </cell>
        </row>
        <row r="313">
          <cell r="D313" t="str">
            <v>ΑΜΠΕΛΩΝΕΣ ΓΙΑ ΠΑΡΑΓΩΓΗ ΟΙΝΟΥ63353</v>
          </cell>
          <cell r="E313" t="str">
            <v>ΒΑΦΤΡΑ ΑΣΠΡΗ</v>
          </cell>
          <cell r="F313" t="str">
            <v>B_4_4_2</v>
          </cell>
          <cell r="G313" t="str">
            <v>Αμπελώνες, οι οποίοι συνήθως παράγουν άλλους οίνους</v>
          </cell>
          <cell r="H313">
            <v>4868</v>
          </cell>
          <cell r="K313" t="str">
            <v>Ναι</v>
          </cell>
          <cell r="L313" t="str">
            <v>ΝΑΙ</v>
          </cell>
          <cell r="O313" t="str">
            <v/>
          </cell>
        </row>
        <row r="314">
          <cell r="D314" t="str">
            <v>ΑΜΠΕΛΩΝΕΣ ΓΙΑ ΠΑΡΑΓΩΓΗ ΟΙΝΟΥ63354</v>
          </cell>
          <cell r="E314" t="str">
            <v>ΑΣΠΡΟΥΔΑ ΣΑΝΤΟΡΙΝΗΣ</v>
          </cell>
          <cell r="F314" t="str">
            <v>B_4_4_2</v>
          </cell>
          <cell r="G314" t="str">
            <v>Αμπελώνες, οι οποίοι συνήθως παράγουν άλλους οίνους</v>
          </cell>
          <cell r="H314">
            <v>4868</v>
          </cell>
          <cell r="K314" t="str">
            <v>Ναι</v>
          </cell>
          <cell r="L314" t="str">
            <v>ΝΑΙ</v>
          </cell>
          <cell r="O314" t="str">
            <v/>
          </cell>
        </row>
        <row r="315">
          <cell r="D315" t="str">
            <v>ΑΜΠΕΛΩΝΕΣ ΓΙΑ ΠΑΡΑΓΩΓΗ ΟΙΝΟΥ63355</v>
          </cell>
          <cell r="E315" t="str">
            <v>ΜΑΥΡΟΤΡΑΓΑΝΟ</v>
          </cell>
          <cell r="F315" t="str">
            <v>B_4_4_2</v>
          </cell>
          <cell r="G315" t="str">
            <v>Αμπελώνες, οι οποίοι συνήθως παράγουν άλλους οίνους</v>
          </cell>
          <cell r="H315">
            <v>4868</v>
          </cell>
          <cell r="K315" t="str">
            <v>Ναι</v>
          </cell>
          <cell r="L315" t="str">
            <v>ΝΑΙ</v>
          </cell>
          <cell r="O315" t="str">
            <v/>
          </cell>
        </row>
        <row r="316">
          <cell r="D316" t="str">
            <v>ΑΜΠΕΛΩΝΕΣ ΓΙΑ ΠΑΡΑΓΩΓΗ ΟΙΝΟΥ63357</v>
          </cell>
          <cell r="E316" t="str">
            <v>ΓΑΙΔΟΥΡΙΑ</v>
          </cell>
          <cell r="F316" t="str">
            <v>B_4_4_2</v>
          </cell>
          <cell r="G316" t="str">
            <v>Αμπελώνες, οι οποίοι συνήθως παράγουν άλλους οίνους</v>
          </cell>
          <cell r="H316">
            <v>4868</v>
          </cell>
          <cell r="K316" t="str">
            <v>Ναι</v>
          </cell>
          <cell r="L316" t="str">
            <v>ΝΑΙ</v>
          </cell>
          <cell r="O316" t="str">
            <v/>
          </cell>
        </row>
        <row r="317">
          <cell r="D317" t="str">
            <v>ΑΜΠΕΛΩΝΕΣ ΓΙΑ ΠΑΡΑΓΩΓΗ ΟΙΝΟΥ8201</v>
          </cell>
          <cell r="E317" t="str">
            <v>ΑΜΠΕΛΩΝΕΣ ΓΙΑ ΠΑΡΑΓΩΓΗ ΟΙΝΟΥ-ΛΟΙΠΕΣ</v>
          </cell>
          <cell r="F317" t="str">
            <v>B_4_4_2</v>
          </cell>
          <cell r="G317" t="str">
            <v>Αμπελώνες, οι οποίοι συνήθως παράγουν άλλους οίνους</v>
          </cell>
          <cell r="H317">
            <v>4868</v>
          </cell>
          <cell r="K317" t="str">
            <v>Ναι</v>
          </cell>
          <cell r="L317" t="str">
            <v>ΝΑΙ</v>
          </cell>
          <cell r="O317" t="str">
            <v/>
          </cell>
        </row>
        <row r="318">
          <cell r="D318" t="str">
            <v>ΑΜΠΕΛΩΝΕΣ ΓΙΑ ΠΑΡΑΓΩΓΗ ΟΙΝΟΥ96007</v>
          </cell>
          <cell r="E318" t="str">
            <v>ΠΓΕ-ΑΜΠΕΛΩΝΕΣ ΓΙΑ ΠΑΡΑΓΩΓΗ ΟΙΝΩΝ ΠΟΙΟΤΗΤΑΣ</v>
          </cell>
          <cell r="F318" t="str">
            <v>B_4_4_2</v>
          </cell>
          <cell r="G318" t="str">
            <v>Αμπελώνες, οι οποίοι συνήθως παράγουν άλλους οίνους</v>
          </cell>
          <cell r="H318">
            <v>4868</v>
          </cell>
          <cell r="K318" t="str">
            <v>Ναι</v>
          </cell>
          <cell r="L318" t="str">
            <v>ΝΑΙ</v>
          </cell>
          <cell r="O318" t="str">
            <v/>
          </cell>
        </row>
        <row r="319">
          <cell r="D319" t="str">
            <v>ΑΜΠΕΛΩΝΕΣ ΓΙΑ ΠΑΡΑΓΩΓΗ ΣΤΑΦΙΔΑΣ8217</v>
          </cell>
          <cell r="E319" t="str">
            <v>ΑΜΠΕΛΩΝΕΣ ΓΙΑ ΠΑΡΑΓΩΓΗ ΣΤΑΦΙΔΑΣ - ΣΟΥΛΤΑΝΙΝΑ</v>
          </cell>
          <cell r="F319" t="str">
            <v>B_4_4_4</v>
          </cell>
          <cell r="G319" t="str">
            <v xml:space="preserve">Σταφίδες </v>
          </cell>
          <cell r="H319">
            <v>1606</v>
          </cell>
          <cell r="J319" t="str">
            <v>Ναι</v>
          </cell>
          <cell r="K319" t="str">
            <v>Ναι</v>
          </cell>
          <cell r="L319" t="str">
            <v>ΝΑΙ</v>
          </cell>
          <cell r="O319" t="str">
            <v/>
          </cell>
        </row>
        <row r="320">
          <cell r="D320" t="str">
            <v>ΑΜΠΕΛΩΝΕΣ ΓΙΑ ΠΑΡΑΓΩΓΗ ΣΤΑΦΙΔΑΣ8218</v>
          </cell>
          <cell r="E320" t="str">
            <v>ΑΜΠΕΛΩΝΕΣ ΓΙΑ ΠΑΡΑΓΩΓΗ ΣΤΑΦΙΔΑΣ - ΚΟΡΙΝΘΙΑΚΗ</v>
          </cell>
          <cell r="F320" t="str">
            <v>B_4_4_4</v>
          </cell>
          <cell r="G320" t="str">
            <v xml:space="preserve">Σταφίδες </v>
          </cell>
          <cell r="H320">
            <v>1606</v>
          </cell>
          <cell r="J320" t="str">
            <v>Ναι</v>
          </cell>
          <cell r="K320" t="str">
            <v>Ναι</v>
          </cell>
          <cell r="L320" t="str">
            <v>ΝΑΙ</v>
          </cell>
          <cell r="O320" t="str">
            <v/>
          </cell>
        </row>
        <row r="321">
          <cell r="D321" t="str">
            <v>ΑΝΘΟΚΟΜΙΚΕΣ ΚΑΛΛΙΕΡΓΕΙΕΣ8112</v>
          </cell>
          <cell r="E321" t="str">
            <v>ΑΝΘΗ ΚΑΙ ΚΑΛΛΩΠΙΣΤΙΚΑ</v>
          </cell>
          <cell r="K321" t="str">
            <v>Όχι</v>
          </cell>
          <cell r="L321" t="str">
            <v>ΌΧΙ</v>
          </cell>
          <cell r="O321" t="str">
            <v/>
          </cell>
        </row>
        <row r="322">
          <cell r="D322" t="str">
            <v>ΑΝΘΟΚΟΜΙΚΕΣ ΚΑΛΛΙΕΡΓΕΙΕΣ8120</v>
          </cell>
          <cell r="E322" t="str">
            <v>ΑΝΘΗ ΚΑΙ ΚΑΛΛΩΠΙΣΤΙΚΑ ΦΥΤΑ ΘΕΡΜΟΚΗΠΙΟΥ</v>
          </cell>
          <cell r="K322" t="str">
            <v>Όχι</v>
          </cell>
          <cell r="L322" t="str">
            <v>ΌΧΙ</v>
          </cell>
          <cell r="O322" t="str">
            <v/>
          </cell>
        </row>
        <row r="323">
          <cell r="D323" t="str">
            <v>ΑΝΘΟΚΟΜΙΚΕΣ ΚΑΛΛΙΕΡΓΕΙΕΣ8650</v>
          </cell>
          <cell r="E323" t="str">
            <v>ΔΡΕΠΤΑ (ΚΟΜΜΕΝΑ) ΑΝΘΗ ΥΠΑΙΘΡΟΥ</v>
          </cell>
          <cell r="K323" t="str">
            <v>Όχι</v>
          </cell>
          <cell r="L323" t="str">
            <v>ΌΧΙ</v>
          </cell>
          <cell r="O323" t="str">
            <v/>
          </cell>
        </row>
        <row r="324">
          <cell r="D324" t="str">
            <v>ΑΝΘΟΚΟΜΙΚΕΣ ΚΑΛΛΙΕΡΓΕΙΕΣ8651</v>
          </cell>
          <cell r="E324" t="str">
            <v>ΦΥΤΑ ΚΗΠΟΤΕΧΝΙΑΣ ΚΑΙ ΑΛΛΑ ΑΝΘΟΚΟΜΙΚΑ ΦΥΤΑ ΕΞΩΤΕΡΙΚΟΥ ΧΩΡΟΥ</v>
          </cell>
          <cell r="K324" t="str">
            <v>Όχι</v>
          </cell>
          <cell r="L324" t="str">
            <v>ΕΤ: Όχι</v>
          </cell>
          <cell r="M324" t="str">
            <v>ΠΟΛΎ ΕΥΡΕΙΑ ΚΑΤΗΓΟΡΙΑ, ΠΕΡΙΛΑΜΒΑΝΕΙ ΕΤΕΡΟΚΛΗΤΑ ΕΙΔΗ ΚΑΛΛΙΕΡΓΕΙΩΝ</v>
          </cell>
          <cell r="O324" t="str">
            <v/>
          </cell>
        </row>
        <row r="325">
          <cell r="D325" t="str">
            <v>ΑΝΘΟΚΟΜΙΚΕΣ ΚΑΛΛΙΕΡΓΕΙΕΣ8652</v>
          </cell>
          <cell r="E325" t="str">
            <v>ΓΚΑΖΟΝ</v>
          </cell>
          <cell r="K325" t="str">
            <v>Όχι</v>
          </cell>
          <cell r="L325" t="str">
            <v>ΌΧΙ</v>
          </cell>
          <cell r="O325" t="str">
            <v/>
          </cell>
        </row>
        <row r="326">
          <cell r="D326" t="str">
            <v>ΑΝΘΟΚΟΜΙΚΕΣ ΚΑΛΛΙΕΡΓΕΙΕΣ8653</v>
          </cell>
          <cell r="E326" t="str">
            <v>ΓΛΑΣΤΡΙΚΑ ΘΕΡΜΟΚΗΠΙΟΥ ΕΣΩΤΕΡΙΚΟΥ ΧΩΡΟΥ</v>
          </cell>
          <cell r="K326" t="str">
            <v>Όχι</v>
          </cell>
          <cell r="L326" t="str">
            <v>ΌΧΙ</v>
          </cell>
          <cell r="O326" t="str">
            <v/>
          </cell>
        </row>
        <row r="327">
          <cell r="D327" t="str">
            <v>ΑΝΘΟΚΟΜΙΚΕΣ ΚΑΛΛΙΕΡΓΕΙΕΣ8654</v>
          </cell>
          <cell r="E327" t="str">
            <v>ΔΡΕΠΤΑ (ΚΟΜΜΕΝΑ) ΑΝΘΗ ΘΕΡΜΟΚΗΠΙΟΥ</v>
          </cell>
          <cell r="K327" t="str">
            <v>Όχι</v>
          </cell>
          <cell r="L327" t="str">
            <v>ΌΧΙ</v>
          </cell>
          <cell r="O327" t="str">
            <v/>
          </cell>
        </row>
        <row r="328">
          <cell r="D328" t="str">
            <v>ΑΡΑΒΟΣΙΤΟΣ ΕΝΣΙΡΩΣΗΣ8002</v>
          </cell>
          <cell r="E328" t="str">
            <v>ΑΡΑΒΟΣΙΤΟΣ ΑΘΗΝΑ</v>
          </cell>
          <cell r="F328" t="str">
            <v>B_1_9_2</v>
          </cell>
          <cell r="G328" t="str">
            <v>Λοιπά φυτά που συγκομίζονται χλωρά</v>
          </cell>
          <cell r="H328">
            <v>1452</v>
          </cell>
          <cell r="I328" t="str">
            <v>ΚΤΗΝΟΤΡΟΦΙΚΑ ΦΥΤΑ ΓΙΑ ΖΩΟΤΡΟΦΕΣ</v>
          </cell>
          <cell r="K328" t="str">
            <v>Όχι</v>
          </cell>
          <cell r="L328" t="str">
            <v>ΕΤ: Όχι, με βάση το  "Αραβόσιτος διάφορα"</v>
          </cell>
          <cell r="O328" t="str">
            <v>!</v>
          </cell>
        </row>
        <row r="329">
          <cell r="D329" t="str">
            <v>ΑΡΑΒΟΣΙΤΟΣ ΕΝΣΙΡΩΣΗΣ8005</v>
          </cell>
          <cell r="E329" t="str">
            <v>ΑΡΑΒΟΣΙΤΟΣ ΑΛΕΞΑΝΔΡΟΣ</v>
          </cell>
          <cell r="F329" t="str">
            <v>B_1_9_2</v>
          </cell>
          <cell r="G329" t="str">
            <v>Λοιπά φυτά που συγκομίζονται χλωρά</v>
          </cell>
          <cell r="H329">
            <v>1452</v>
          </cell>
          <cell r="I329" t="str">
            <v>ΚΤΗΝΟΤΡΟΦΙΚΑ ΦΥΤΑ ΓΙΑ ΖΩΟΤΡΟΦΕΣ</v>
          </cell>
          <cell r="K329" t="str">
            <v>Όχι</v>
          </cell>
          <cell r="L329" t="str">
            <v>ΕΤ: Όχι, με βάση το  "Αραβόσιτος διάφορα"</v>
          </cell>
          <cell r="O329" t="str">
            <v>!</v>
          </cell>
        </row>
        <row r="330">
          <cell r="D330" t="str">
            <v>ΑΡΑΒΟΣΙΤΟΣ ΕΝΣΙΡΩΣΗΣ8011</v>
          </cell>
          <cell r="E330" t="str">
            <v>ΑΡΑΒΟΣΙΤΟΣ ΑΝΘΙΠΠΗ</v>
          </cell>
          <cell r="F330" t="str">
            <v>B_1_9_2</v>
          </cell>
          <cell r="G330" t="str">
            <v>Λοιπά φυτά που συγκομίζονται χλωρά</v>
          </cell>
          <cell r="H330">
            <v>1452</v>
          </cell>
          <cell r="I330" t="str">
            <v>ΚΤΗΝΟΤΡΟΦΙΚΑ ΦΥΤΑ ΓΙΑ ΖΩΟΤΡΟΦΕΣ</v>
          </cell>
          <cell r="K330" t="str">
            <v>Όχι</v>
          </cell>
          <cell r="L330" t="str">
            <v>ΕΤ: Όχι, με βάση το  "Αραβόσιτος διάφορα"</v>
          </cell>
          <cell r="O330" t="str">
            <v>!</v>
          </cell>
        </row>
        <row r="331">
          <cell r="D331" t="str">
            <v>ΑΡΑΒΟΣΙΤΟΣ ΕΝΣΙΡΩΣΗΣ8012</v>
          </cell>
          <cell r="E331" t="str">
            <v>ΑΡΑΒΟΣΙΤΟΣ ΑΞΙΟΣ</v>
          </cell>
          <cell r="F331" t="str">
            <v>B_1_9_2</v>
          </cell>
          <cell r="G331" t="str">
            <v>Λοιπά φυτά που συγκομίζονται χλωρά</v>
          </cell>
          <cell r="H331">
            <v>1452</v>
          </cell>
          <cell r="I331" t="str">
            <v>ΚΤΗΝΟΤΡΟΦΙΚΑ ΦΥΤΑ ΓΙΑ ΖΩΟΤΡΟΦΕΣ</v>
          </cell>
          <cell r="K331" t="str">
            <v>Όχι</v>
          </cell>
          <cell r="L331" t="str">
            <v>ΕΤ: Όχι, με βάση το  "Αραβόσιτος διάφορα"</v>
          </cell>
          <cell r="O331" t="str">
            <v>!</v>
          </cell>
        </row>
        <row r="332">
          <cell r="D332" t="str">
            <v>ΑΡΑΒΟΣΙΤΟΣ ΕΝΣΙΡΩΣΗΣ8014</v>
          </cell>
          <cell r="E332" t="str">
            <v>ΑΡΑΒΟΣΙΤΟΣ ΑΡΗΣ</v>
          </cell>
          <cell r="F332" t="str">
            <v>B_1_9_2</v>
          </cell>
          <cell r="G332" t="str">
            <v>Λοιπά φυτά που συγκομίζονται χλωρά</v>
          </cell>
          <cell r="H332">
            <v>1452</v>
          </cell>
          <cell r="I332" t="str">
            <v>ΚΤΗΝΟΤΡΟΦΙΚΑ ΦΥΤΑ ΓΙΑ ΖΩΟΤΡΟΦΕΣ</v>
          </cell>
          <cell r="K332" t="str">
            <v>Όχι</v>
          </cell>
          <cell r="L332" t="str">
            <v>ΕΤ: Όχι, με βάση το  "Αραβόσιτος διάφορα"</v>
          </cell>
          <cell r="O332" t="str">
            <v>!</v>
          </cell>
        </row>
        <row r="333">
          <cell r="D333" t="str">
            <v>ΑΡΑΒΟΣΙΤΟΣ ΕΝΣΙΡΩΣΗΣ8016</v>
          </cell>
          <cell r="E333" t="str">
            <v>ΑΡΑΒΟΣΙΤΟΣ Z.P 704</v>
          </cell>
          <cell r="F333" t="str">
            <v>B_1_9_2</v>
          </cell>
          <cell r="G333" t="str">
            <v>Λοιπά φυτά που συγκομίζονται χλωρά</v>
          </cell>
          <cell r="H333">
            <v>1452</v>
          </cell>
          <cell r="I333" t="str">
            <v>ΚΤΗΝΟΤΡΟΦΙΚΑ ΦΥΤΑ ΓΙΑ ΖΩΟΤΡΟΦΕΣ</v>
          </cell>
          <cell r="K333" t="str">
            <v>Όχι</v>
          </cell>
          <cell r="L333" t="str">
            <v>ΕΤ: Όχι, με βάση το  "Αραβόσιτος διάφορα"</v>
          </cell>
          <cell r="O333" t="str">
            <v>!</v>
          </cell>
        </row>
        <row r="334">
          <cell r="D334" t="str">
            <v>ΑΡΑΒΟΣΙΤΟΣ31001</v>
          </cell>
          <cell r="E334" t="str">
            <v>ΑΡΑΒΟΣΙΤΟΣ AGRISTER</v>
          </cell>
          <cell r="F334" t="str">
            <v>B_1_1_6</v>
          </cell>
          <cell r="G334" t="str">
            <v>Αραβόσιτος σε κόκκους</v>
          </cell>
          <cell r="H334">
            <v>1583</v>
          </cell>
          <cell r="I334" t="str">
            <v>ΚτηνοτρΟΦΙΚΑ ΦΥΤΑ ΓΙΑ ΖΩΟΤΡΟΦΕΣ ;</v>
          </cell>
          <cell r="K334" t="str">
            <v>Όχι</v>
          </cell>
          <cell r="L334" t="str">
            <v>ΕΤ: Όχι, με βάση το  "Αραβόσιτος διάφορα"</v>
          </cell>
          <cell r="O334" t="str">
            <v/>
          </cell>
        </row>
        <row r="335">
          <cell r="D335" t="str">
            <v>ΑΡΑΒΟΣΙΤΟΣ31002</v>
          </cell>
          <cell r="E335" t="str">
            <v>ΑΡΑΒΟΣΙΤΟΣ ANTISS</v>
          </cell>
          <cell r="F335" t="str">
            <v>B_1_1_6</v>
          </cell>
          <cell r="G335" t="str">
            <v>Αραβόσιτος σε κόκκους</v>
          </cell>
          <cell r="H335">
            <v>1583</v>
          </cell>
          <cell r="I335" t="str">
            <v>ΚτηνοτρΟΦΙΚΑ ΦΥΤΑ ΓΙΑ ΖΩΟΤΡΟΦΕΣ ;</v>
          </cell>
          <cell r="K335" t="str">
            <v>Όχι</v>
          </cell>
          <cell r="L335" t="str">
            <v>ΕΤ: Όχι, με βάση το  "Αραβόσιτος διάφορα"</v>
          </cell>
          <cell r="O335" t="str">
            <v/>
          </cell>
        </row>
        <row r="336">
          <cell r="D336" t="str">
            <v>ΑΡΑΒΟΣΙΤΟΣ31003</v>
          </cell>
          <cell r="E336" t="str">
            <v>ΑΡΑΒΟΣΙΤΟΣ AVELINE</v>
          </cell>
          <cell r="F336" t="str">
            <v>B_1_1_6</v>
          </cell>
          <cell r="G336" t="str">
            <v>Αραβόσιτος σε κόκκους</v>
          </cell>
          <cell r="H336">
            <v>1583</v>
          </cell>
          <cell r="I336" t="str">
            <v>ΚτηνοτρΟΦΙΚΑ ΦΥΤΑ ΓΙΑ ΖΩΟΤΡΟΦΕΣ ;</v>
          </cell>
          <cell r="K336" t="str">
            <v>Όχι</v>
          </cell>
          <cell r="L336" t="str">
            <v>ΕΤ: Όχι, με βάση το  "Αραβόσιτος διάφορα"</v>
          </cell>
          <cell r="O336" t="str">
            <v/>
          </cell>
        </row>
        <row r="337">
          <cell r="D337" t="str">
            <v>ΑΡΑΒΟΣΙΤΟΣ31004</v>
          </cell>
          <cell r="E337" t="str">
            <v>ΑΡΑΒΟΣΙΤΟΣ LG3440</v>
          </cell>
          <cell r="F337" t="str">
            <v>B_1_1_6</v>
          </cell>
          <cell r="G337" t="str">
            <v>Αραβόσιτος σε κόκκους</v>
          </cell>
          <cell r="H337">
            <v>1583</v>
          </cell>
          <cell r="I337" t="str">
            <v>ΚτηνοτρΟΦΙΚΑ ΦΥΤΑ ΓΙΑ ΖΩΟΤΡΟΦΕΣ ;</v>
          </cell>
          <cell r="K337" t="str">
            <v>Όχι</v>
          </cell>
          <cell r="L337" t="str">
            <v>ΕΤ: Όχι, με βάση το  "Αραβόσιτος διάφορα"</v>
          </cell>
          <cell r="O337" t="str">
            <v/>
          </cell>
        </row>
        <row r="338">
          <cell r="D338" t="str">
            <v>ΑΡΑΒΟΣΙΤΟΣ31005</v>
          </cell>
          <cell r="E338" t="str">
            <v>ΑΡΑΒΟΣΙΤΟΣ LG3710</v>
          </cell>
          <cell r="F338" t="str">
            <v>B_1_1_6</v>
          </cell>
          <cell r="G338" t="str">
            <v>Αραβόσιτος σε κόκκους</v>
          </cell>
          <cell r="H338">
            <v>1583</v>
          </cell>
          <cell r="I338" t="str">
            <v>ΚτηνοτρΟΦΙΚΑ ΦΥΤΑ ΓΙΑ ΖΩΟΤΡΟΦΕΣ ;</v>
          </cell>
          <cell r="K338" t="str">
            <v>Όχι</v>
          </cell>
          <cell r="L338" t="str">
            <v>ΕΤ: Όχι, με βάση το  "Αραβόσιτος διάφορα"</v>
          </cell>
          <cell r="O338" t="str">
            <v/>
          </cell>
        </row>
        <row r="339">
          <cell r="D339" t="str">
            <v>ΑΡΑΒΟΣΙΤΟΣ31006</v>
          </cell>
          <cell r="E339" t="str">
            <v>ΑΡΑΒΟΣΙΤΟΣ LG3713</v>
          </cell>
          <cell r="F339" t="str">
            <v>B_1_1_6</v>
          </cell>
          <cell r="G339" t="str">
            <v>Αραβόσιτος σε κόκκους</v>
          </cell>
          <cell r="H339">
            <v>1583</v>
          </cell>
          <cell r="I339" t="str">
            <v>ΚτηνοτρΟΦΙΚΑ ΦΥΤΑ ΓΙΑ ΖΩΟΤΡΟΦΕΣ ;</v>
          </cell>
          <cell r="K339" t="str">
            <v>Όχι</v>
          </cell>
          <cell r="L339" t="str">
            <v>ΕΤ: Όχι, με βάση το  "Αραβόσιτος διάφορα"</v>
          </cell>
          <cell r="O339" t="str">
            <v/>
          </cell>
        </row>
        <row r="340">
          <cell r="D340" t="str">
            <v>ΑΡΑΒΟΣΙΤΟΣ31007</v>
          </cell>
          <cell r="E340" t="str">
            <v>ΑΡΑΒΟΣΙΤΟΣ LG30709</v>
          </cell>
          <cell r="F340" t="str">
            <v>B_1_1_6</v>
          </cell>
          <cell r="G340" t="str">
            <v>Αραβόσιτος σε κόκκους</v>
          </cell>
          <cell r="H340">
            <v>1583</v>
          </cell>
          <cell r="I340" t="str">
            <v>ΚτηνοτρΟΦΙΚΑ ΦΥΤΑ ΓΙΑ ΖΩΟΤΡΟΦΕΣ ;</v>
          </cell>
          <cell r="K340" t="str">
            <v>Όχι</v>
          </cell>
          <cell r="L340" t="str">
            <v>ΕΤ: Όχι, με βάση το  "Αραβόσιτος διάφορα"</v>
          </cell>
          <cell r="O340" t="str">
            <v/>
          </cell>
        </row>
        <row r="341">
          <cell r="D341" t="str">
            <v>ΑΡΑΒΟΣΙΤΟΣ31008</v>
          </cell>
          <cell r="E341" t="str">
            <v>ΑΡΑΒΟΣΙΤΟΣ LG3490</v>
          </cell>
          <cell r="F341" t="str">
            <v>B_1_1_6</v>
          </cell>
          <cell r="G341" t="str">
            <v>Αραβόσιτος σε κόκκους</v>
          </cell>
          <cell r="H341">
            <v>1583</v>
          </cell>
          <cell r="I341" t="str">
            <v>ΚτηνοτρΟΦΙΚΑ ΦΥΤΑ ΓΙΑ ΖΩΟΤΡΟΦΕΣ ;</v>
          </cell>
          <cell r="K341" t="str">
            <v>Όχι</v>
          </cell>
          <cell r="L341" t="str">
            <v>ΕΤ: Όχι, με βάση το  "Αραβόσιτος διάφορα"</v>
          </cell>
          <cell r="O341" t="str">
            <v/>
          </cell>
        </row>
        <row r="342">
          <cell r="D342" t="str">
            <v>ΑΡΑΒΟΣΙΤΟΣ31009</v>
          </cell>
          <cell r="E342" t="str">
            <v>ΑΡΑΒΟΣΙΤΟΣ LG3535</v>
          </cell>
          <cell r="F342" t="str">
            <v>B_1_1_6</v>
          </cell>
          <cell r="G342" t="str">
            <v>Αραβόσιτος σε κόκκους</v>
          </cell>
          <cell r="H342">
            <v>1583</v>
          </cell>
          <cell r="I342" t="str">
            <v>ΚτηνοτρΟΦΙΚΑ ΦΥΤΑ ΓΙΑ ΖΩΟΤΡΟΦΕΣ ;</v>
          </cell>
          <cell r="K342" t="str">
            <v>Όχι</v>
          </cell>
          <cell r="L342" t="str">
            <v>ΕΤ: Όχι, με βάση το  "Αραβόσιτος διάφορα"</v>
          </cell>
          <cell r="O342" t="str">
            <v/>
          </cell>
        </row>
        <row r="343">
          <cell r="D343" t="str">
            <v>ΑΡΑΒΟΣΙΤΟΣ31010</v>
          </cell>
          <cell r="E343" t="str">
            <v>ΑΡΑΒΟΣΙΤΟΣ LG30550</v>
          </cell>
          <cell r="F343" t="str">
            <v>B_1_1_6</v>
          </cell>
          <cell r="G343" t="str">
            <v>Αραβόσιτος σε κόκκους</v>
          </cell>
          <cell r="H343">
            <v>1583</v>
          </cell>
          <cell r="I343" t="str">
            <v>ΚτηνοτρΟΦΙΚΑ ΦΥΤΑ ΓΙΑ ΖΩΟΤΡΟΦΕΣ ;</v>
          </cell>
          <cell r="K343" t="str">
            <v>Όχι</v>
          </cell>
          <cell r="L343" t="str">
            <v>ΕΤ: Όχι, με βάση το  "Αραβόσιτος διάφορα"</v>
          </cell>
          <cell r="O343" t="str">
            <v/>
          </cell>
        </row>
        <row r="344">
          <cell r="D344" t="str">
            <v>ΑΡΑΒΟΣΙΤΟΣ31011</v>
          </cell>
          <cell r="E344" t="str">
            <v>ΑΡΑΒΟΣΙΤΟΣ LG30597</v>
          </cell>
          <cell r="F344" t="str">
            <v>B_1_1_6</v>
          </cell>
          <cell r="G344" t="str">
            <v>Αραβόσιτος σε κόκκους</v>
          </cell>
          <cell r="H344">
            <v>1583</v>
          </cell>
          <cell r="I344" t="str">
            <v>ΚτηνοτρΟΦΙΚΑ ΦΥΤΑ ΓΙΑ ΖΩΟΤΡΟΦΕΣ ;</v>
          </cell>
          <cell r="K344" t="str">
            <v>Όχι</v>
          </cell>
          <cell r="L344" t="str">
            <v>ΕΤ: Όχι, με βάση το  "Αραβόσιτος διάφορα"</v>
          </cell>
          <cell r="O344" t="str">
            <v/>
          </cell>
        </row>
        <row r="345">
          <cell r="D345" t="str">
            <v>ΑΡΑΒΟΣΙΤΟΣ31012</v>
          </cell>
          <cell r="E345" t="str">
            <v>ΑΡΑΒΟΣΙΤΟΣ LG30681</v>
          </cell>
          <cell r="F345" t="str">
            <v>B_1_1_6</v>
          </cell>
          <cell r="G345" t="str">
            <v>Αραβόσιτος σε κόκκους</v>
          </cell>
          <cell r="H345">
            <v>1583</v>
          </cell>
          <cell r="I345" t="str">
            <v>ΚτηνοτρΟΦΙΚΑ ΦΥΤΑ ΓΙΑ ΖΩΟΤΡΟΦΕΣ ;</v>
          </cell>
          <cell r="K345" t="str">
            <v>Όχι</v>
          </cell>
          <cell r="L345" t="str">
            <v>ΕΤ: Όχι, με βάση το  "Αραβόσιτος διάφορα"</v>
          </cell>
          <cell r="O345" t="str">
            <v/>
          </cell>
        </row>
        <row r="346">
          <cell r="D346" t="str">
            <v>ΑΡΑΒΟΣΙΤΟΣ31013</v>
          </cell>
          <cell r="E346" t="str">
            <v>ΑΡΑΒΟΣΙΤΟΣ GUADIANA</v>
          </cell>
          <cell r="F346" t="str">
            <v>B_1_1_6</v>
          </cell>
          <cell r="G346" t="str">
            <v>Αραβόσιτος σε κόκκους</v>
          </cell>
          <cell r="H346">
            <v>1583</v>
          </cell>
          <cell r="I346" t="str">
            <v>ΚτηνοτρΟΦΙΚΑ ΦΥΤΑ ΓΙΑ ΖΩΟΤΡΟΦΕΣ ;</v>
          </cell>
          <cell r="K346" t="str">
            <v>Όχι</v>
          </cell>
          <cell r="L346" t="str">
            <v>ΕΤ: Όχι, με βάση το  "Αραβόσιτος διάφορα"</v>
          </cell>
          <cell r="O346" t="str">
            <v/>
          </cell>
        </row>
        <row r="347">
          <cell r="D347" t="str">
            <v>ΑΡΑΒΟΣΙΤΟΣ31014</v>
          </cell>
          <cell r="E347" t="str">
            <v>ΑΡΑΒΟΣΙΤΟΣ PONCHO</v>
          </cell>
          <cell r="F347" t="str">
            <v>B_1_1_6</v>
          </cell>
          <cell r="G347" t="str">
            <v>Αραβόσιτος σε κόκκους</v>
          </cell>
          <cell r="H347">
            <v>1583</v>
          </cell>
          <cell r="I347" t="str">
            <v>ΚτηνοτρΟΦΙΚΑ ΦΥΤΑ ΓΙΑ ΖΩΟΤΡΟΦΕΣ ;</v>
          </cell>
          <cell r="K347" t="str">
            <v>Όχι</v>
          </cell>
          <cell r="L347" t="str">
            <v>ΕΤ: Όχι, με βάση το  "Αραβόσιτος διάφορα"</v>
          </cell>
          <cell r="O347" t="str">
            <v/>
          </cell>
        </row>
        <row r="348">
          <cell r="D348" t="str">
            <v>ΑΡΑΒΟΣΙΤΟΣ31015</v>
          </cell>
          <cell r="E348" t="str">
            <v>ΑΡΑΒΟΣΙΤΟΣ SY HYDRO</v>
          </cell>
          <cell r="F348" t="str">
            <v>B_1_1_6</v>
          </cell>
          <cell r="G348" t="str">
            <v>Αραβόσιτος σε κόκκους</v>
          </cell>
          <cell r="H348">
            <v>1583</v>
          </cell>
          <cell r="I348" t="str">
            <v>ΚτηνοτρΟΦΙΚΑ ΦΥΤΑ ΓΙΑ ΖΩΟΤΡΟΦΕΣ ;</v>
          </cell>
          <cell r="K348" t="str">
            <v>Όχι</v>
          </cell>
          <cell r="L348" t="str">
            <v>ΕΤ: Όχι, με βάση το  "Αραβόσιτος διάφορα"</v>
          </cell>
          <cell r="O348" t="str">
            <v/>
          </cell>
        </row>
        <row r="349">
          <cell r="D349" t="str">
            <v>ΑΡΑΒΟΣΙΤΟΣ31016</v>
          </cell>
          <cell r="E349" t="str">
            <v>ΑΡΑΒΟΣΙΤΟΣ CISKO</v>
          </cell>
          <cell r="F349" t="str">
            <v>B_1_1_6</v>
          </cell>
          <cell r="G349" t="str">
            <v>Αραβόσιτος σε κόκκους</v>
          </cell>
          <cell r="H349">
            <v>1583</v>
          </cell>
          <cell r="I349" t="str">
            <v>ΚτηνοτρΟΦΙΚΑ ΦΥΤΑ ΓΙΑ ΖΩΟΤΡΟΦΕΣ ;</v>
          </cell>
          <cell r="K349" t="str">
            <v>Όχι</v>
          </cell>
          <cell r="L349" t="str">
            <v>ΕΤ: Όχι, με βάση το  "Αραβόσιτος διάφορα"</v>
          </cell>
          <cell r="O349" t="str">
            <v/>
          </cell>
        </row>
        <row r="350">
          <cell r="D350" t="str">
            <v>ΑΡΑΒΟΣΙΤΟΣ31017</v>
          </cell>
          <cell r="E350" t="str">
            <v>ΑΡΑΒΟΣΙΤΟΣ SY JULLEN</v>
          </cell>
          <cell r="F350" t="str">
            <v>B_1_1_6</v>
          </cell>
          <cell r="G350" t="str">
            <v>Αραβόσιτος σε κόκκους</v>
          </cell>
          <cell r="H350">
            <v>1583</v>
          </cell>
          <cell r="I350" t="str">
            <v>ΚτηνοτρΟΦΙΚΑ ΦΥΤΑ ΓΙΑ ΖΩΟΤΡΟΦΕΣ ;</v>
          </cell>
          <cell r="K350" t="str">
            <v>Όχι</v>
          </cell>
          <cell r="L350" t="str">
            <v>ΕΤ: Όχι, με βάση το  "Αραβόσιτος διάφορα"</v>
          </cell>
          <cell r="O350" t="str">
            <v/>
          </cell>
        </row>
        <row r="351">
          <cell r="D351" t="str">
            <v>ΑΡΑΒΟΣΙΤΟΣ31018</v>
          </cell>
          <cell r="E351" t="str">
            <v>ΑΡΑΒΟΣΙΤΟΣ NK FAMOSO</v>
          </cell>
          <cell r="F351" t="str">
            <v>B_1_1_6</v>
          </cell>
          <cell r="G351" t="str">
            <v>Αραβόσιτος σε κόκκους</v>
          </cell>
          <cell r="H351">
            <v>1583</v>
          </cell>
          <cell r="I351" t="str">
            <v>ΚτηνοτρΟΦΙΚΑ ΦΥΤΑ ΓΙΑ ΖΩΟΤΡΟΦΕΣ ;</v>
          </cell>
          <cell r="K351" t="str">
            <v>Όχι</v>
          </cell>
          <cell r="L351" t="str">
            <v>ΕΤ: Όχι, με βάση το  "Αραβόσιτος διάφορα"</v>
          </cell>
          <cell r="O351" t="str">
            <v/>
          </cell>
        </row>
        <row r="352">
          <cell r="D352" t="str">
            <v>ΑΡΑΒΟΣΙΤΟΣ31019</v>
          </cell>
          <cell r="E352" t="str">
            <v>ΑΡΑΒΟΣΙΤΟΣ NK GIGANTIC</v>
          </cell>
          <cell r="F352" t="str">
            <v>B_1_1_6</v>
          </cell>
          <cell r="G352" t="str">
            <v>Αραβόσιτος σε κόκκους</v>
          </cell>
          <cell r="H352">
            <v>1583</v>
          </cell>
          <cell r="I352" t="str">
            <v>ΚτηνοτρΟΦΙΚΑ ΦΥΤΑ ΓΙΑ ΖΩΟΤΡΟΦΕΣ ;</v>
          </cell>
          <cell r="K352" t="str">
            <v>Όχι</v>
          </cell>
          <cell r="L352" t="str">
            <v>ΕΤ: Όχι, με βάση το  "Αραβόσιτος διάφορα"</v>
          </cell>
          <cell r="O352" t="str">
            <v/>
          </cell>
        </row>
        <row r="353">
          <cell r="D353" t="str">
            <v>ΑΡΑΒΟΣΙΤΟΣ31021</v>
          </cell>
          <cell r="E353" t="str">
            <v>ΑΡΑΒΟΣΙΤΟΣ RESERVE</v>
          </cell>
          <cell r="F353" t="str">
            <v>B_1_1_6</v>
          </cell>
          <cell r="G353" t="str">
            <v>Αραβόσιτος σε κόκκους</v>
          </cell>
          <cell r="H353">
            <v>1583</v>
          </cell>
          <cell r="I353" t="str">
            <v>ΚτηνοτρΟΦΙΚΑ ΦΥΤΑ ΓΙΑ ΖΩΟΤΡΟΦΕΣ ;</v>
          </cell>
          <cell r="K353" t="str">
            <v>Όχι</v>
          </cell>
          <cell r="L353" t="str">
            <v>ΕΤ: Όχι, με βάση το  "Αραβόσιτος διάφορα"</v>
          </cell>
          <cell r="O353" t="str">
            <v/>
          </cell>
        </row>
        <row r="354">
          <cell r="D354" t="str">
            <v>ΑΡΑΒΟΣΙΤΟΣ31022</v>
          </cell>
          <cell r="E354" t="str">
            <v>ΑΡΑΒΟΣΙΤΟΣ SY COMPETO</v>
          </cell>
          <cell r="F354" t="str">
            <v>B_1_1_6</v>
          </cell>
          <cell r="G354" t="str">
            <v>Αραβόσιτος σε κόκκους</v>
          </cell>
          <cell r="H354">
            <v>1583</v>
          </cell>
          <cell r="I354" t="str">
            <v>ΚτηνοτρΟΦΙΚΑ ΦΥΤΑ ΓΙΑ ΖΩΟΤΡΟΦΕΣ ;</v>
          </cell>
          <cell r="K354" t="str">
            <v>Όχι</v>
          </cell>
          <cell r="L354" t="str">
            <v>ΕΤ: Όχι, με βάση το  "Αραβόσιτος διάφορα"</v>
          </cell>
          <cell r="O354" t="str">
            <v/>
          </cell>
        </row>
        <row r="355">
          <cell r="D355" t="str">
            <v>ΑΡΑΒΟΣΙΤΟΣ31023</v>
          </cell>
          <cell r="E355" t="str">
            <v>ΑΡΑΒΟΣΙΤΟΣ SY DECISO</v>
          </cell>
          <cell r="F355" t="str">
            <v>B_1_1_6</v>
          </cell>
          <cell r="G355" t="str">
            <v>Αραβόσιτος σε κόκκους</v>
          </cell>
          <cell r="H355">
            <v>1583</v>
          </cell>
          <cell r="I355" t="str">
            <v>ΚτηνοτρΟΦΙΚΑ ΦΥΤΑ ΓΙΑ ΖΩΟΤΡΟΦΕΣ ;</v>
          </cell>
          <cell r="K355" t="str">
            <v>Όχι</v>
          </cell>
          <cell r="L355" t="str">
            <v>ΕΤ: Όχι, με βάση το  "Αραβόσιτος διάφορα"</v>
          </cell>
          <cell r="O355" t="str">
            <v/>
          </cell>
        </row>
        <row r="356">
          <cell r="D356" t="str">
            <v>ΑΡΑΒΟΣΙΤΟΣ31024</v>
          </cell>
          <cell r="E356" t="str">
            <v>ΑΡΑΒΟΣΙΤΟΣ SY INOVE</v>
          </cell>
          <cell r="F356" t="str">
            <v>B_1_1_6</v>
          </cell>
          <cell r="G356" t="str">
            <v>Αραβόσιτος σε κόκκους</v>
          </cell>
          <cell r="H356">
            <v>1583</v>
          </cell>
          <cell r="I356" t="str">
            <v>ΚτηνοτρΟΦΙΚΑ ΦΥΤΑ ΓΙΑ ΖΩΟΤΡΟΦΕΣ ;</v>
          </cell>
          <cell r="K356" t="str">
            <v>Όχι</v>
          </cell>
          <cell r="L356" t="str">
            <v>ΕΤ: Όχι, με βάση το  "Αραβόσιτος διάφορα"</v>
          </cell>
          <cell r="O356" t="str">
            <v/>
          </cell>
        </row>
        <row r="357">
          <cell r="D357" t="str">
            <v>ΑΡΑΒΟΣΙΤΟΣ31025</v>
          </cell>
          <cell r="E357" t="str">
            <v>ΑΡΑΒΟΣΙΤΟΣ SY MIAMI</v>
          </cell>
          <cell r="F357" t="str">
            <v>B_1_1_6</v>
          </cell>
          <cell r="G357" t="str">
            <v>Αραβόσιτος σε κόκκους</v>
          </cell>
          <cell r="H357">
            <v>1583</v>
          </cell>
          <cell r="I357" t="str">
            <v>ΚτηνοτρΟΦΙΚΑ ΦΥΤΑ ΓΙΑ ΖΩΟΤΡΟΦΕΣ ;</v>
          </cell>
          <cell r="K357" t="str">
            <v>Όχι</v>
          </cell>
          <cell r="L357" t="str">
            <v>ΕΤ: Όχι, με βάση το  "Αραβόσιτος διάφορα"</v>
          </cell>
          <cell r="O357" t="str">
            <v/>
          </cell>
        </row>
        <row r="358">
          <cell r="D358" t="str">
            <v>ΑΡΑΒΟΣΙΤΟΣ31026</v>
          </cell>
          <cell r="E358" t="str">
            <v>ΑΡΑΒΟΣΙΤΟΣ NKFACTOR</v>
          </cell>
          <cell r="F358" t="str">
            <v>B_1_1_6</v>
          </cell>
          <cell r="G358" t="str">
            <v>Αραβόσιτος σε κόκκους</v>
          </cell>
          <cell r="H358">
            <v>1583</v>
          </cell>
          <cell r="I358" t="str">
            <v>ΚτηνοτρΟΦΙΚΑ ΦΥΤΑ ΓΙΑ ΖΩΟΤΡΟΦΕΣ ;</v>
          </cell>
          <cell r="K358" t="str">
            <v>Όχι</v>
          </cell>
          <cell r="L358" t="str">
            <v>ΕΤ: Όχι, με βάση το  "Αραβόσιτος διάφορα"</v>
          </cell>
          <cell r="O358" t="str">
            <v/>
          </cell>
        </row>
        <row r="359">
          <cell r="D359" t="str">
            <v>ΑΡΑΒΟΣΙΤΟΣ31027</v>
          </cell>
          <cell r="E359" t="str">
            <v>ΑΡΑΒΟΣΙΤΟΣ NK PAKO</v>
          </cell>
          <cell r="F359" t="str">
            <v>B_1_1_6</v>
          </cell>
          <cell r="G359" t="str">
            <v>Αραβόσιτος σε κόκκους</v>
          </cell>
          <cell r="H359">
            <v>1583</v>
          </cell>
          <cell r="I359" t="str">
            <v>ΚτηνοτρΟΦΙΚΑ ΦΥΤΑ ΓΙΑ ΖΩΟΤΡΟΦΕΣ ;</v>
          </cell>
          <cell r="K359" t="str">
            <v>Όχι</v>
          </cell>
          <cell r="L359" t="str">
            <v>ΕΤ: Όχι, με βάση το  "Αραβόσιτος διάφορα"</v>
          </cell>
          <cell r="O359" t="str">
            <v/>
          </cell>
        </row>
        <row r="360">
          <cell r="D360" t="str">
            <v>ΑΡΑΒΟΣΙΤΟΣ31028</v>
          </cell>
          <cell r="E360" t="str">
            <v>ΑΡΑΒΟΣΙΤΟΣ DKC5276</v>
          </cell>
          <cell r="F360" t="str">
            <v>B_1_1_6</v>
          </cell>
          <cell r="G360" t="str">
            <v>Αραβόσιτος σε κόκκους</v>
          </cell>
          <cell r="H360">
            <v>1583</v>
          </cell>
          <cell r="I360" t="str">
            <v>ΚτηνοτρΟΦΙΚΑ ΦΥΤΑ ΓΙΑ ΖΩΟΤΡΟΦΕΣ ;</v>
          </cell>
          <cell r="K360" t="str">
            <v>Όχι</v>
          </cell>
          <cell r="L360" t="str">
            <v>ΕΤ: Όχι, με βάση το  "Αραβόσιτος διάφορα"</v>
          </cell>
          <cell r="O360" t="str">
            <v/>
          </cell>
        </row>
        <row r="361">
          <cell r="D361" t="str">
            <v>ΑΡΑΒΟΣΙΤΟΣ31029</v>
          </cell>
          <cell r="E361" t="str">
            <v>ΑΡΑΒΟΣΙΤΟΣ AGN 720</v>
          </cell>
          <cell r="F361" t="str">
            <v>B_1_1_6</v>
          </cell>
          <cell r="G361" t="str">
            <v>Αραβόσιτος σε κόκκους</v>
          </cell>
          <cell r="H361">
            <v>1583</v>
          </cell>
          <cell r="I361" t="str">
            <v>ΚτηνοτρΟΦΙΚΑ ΦΥΤΑ ΓΙΑ ΖΩΟΤΡΟΦΕΣ ;</v>
          </cell>
          <cell r="K361" t="str">
            <v>Όχι</v>
          </cell>
          <cell r="L361" t="str">
            <v>ΕΤ: Όχι, με βάση το  "Αραβόσιτος διάφορα"</v>
          </cell>
          <cell r="O361" t="str">
            <v/>
          </cell>
        </row>
        <row r="362">
          <cell r="D362" t="str">
            <v>ΑΡΑΒΟΣΙΤΟΣ31030</v>
          </cell>
          <cell r="E362" t="str">
            <v>ΑΡΑΒΟΣΙΤΟΣ ΑΡΑΒΟΣΙΤΟΣ 89ΜΑΥ70</v>
          </cell>
          <cell r="F362" t="str">
            <v>B_1_1_6</v>
          </cell>
          <cell r="G362" t="str">
            <v>Αραβόσιτος σε κόκκους</v>
          </cell>
          <cell r="H362">
            <v>1583</v>
          </cell>
          <cell r="I362" t="str">
            <v>ΚτηνοτρΟΦΙΚΑ ΦΥΤΑ ΓΙΑ ΖΩΟΤΡΟΦΕΣ ;</v>
          </cell>
          <cell r="K362" t="str">
            <v>Όχι</v>
          </cell>
          <cell r="L362" t="str">
            <v>ΕΤ: Όχι, με βάση το  "Αραβόσιτος διάφορα"</v>
          </cell>
          <cell r="O362" t="str">
            <v/>
          </cell>
        </row>
        <row r="363">
          <cell r="D363" t="str">
            <v>ΑΡΑΒΟΣΙΤΟΣ8001</v>
          </cell>
          <cell r="E363" t="str">
            <v>ΑΡΑΒΟΣΙΤΟΣ ADDA 90</v>
          </cell>
          <cell r="F363" t="str">
            <v>B_1_1_6</v>
          </cell>
          <cell r="G363" t="str">
            <v>Αραβόσιτος σε κόκκους</v>
          </cell>
          <cell r="H363">
            <v>1583</v>
          </cell>
          <cell r="I363" t="str">
            <v>ΚτηνοτρΟΦΙΚΑ ΦΥΤΑ ΓΙΑ ΖΩΟΤΡΟΦΕΣ ;</v>
          </cell>
          <cell r="K363" t="str">
            <v>Όχι</v>
          </cell>
          <cell r="L363" t="str">
            <v>ΕΤ: Όχι, με βάση το  "Αραβόσιτος διάφορα"</v>
          </cell>
          <cell r="O363" t="str">
            <v/>
          </cell>
        </row>
        <row r="364">
          <cell r="D364" t="str">
            <v>ΑΡΑΒΟΣΙΤΟΣ8002</v>
          </cell>
          <cell r="E364" t="str">
            <v>ΑΡΑΒΟΣΙΤΟΣ ΑΘΗΝΑ</v>
          </cell>
          <cell r="F364" t="str">
            <v>B_1_1_6</v>
          </cell>
          <cell r="G364" t="str">
            <v>Αραβόσιτος σε κόκκους</v>
          </cell>
          <cell r="H364">
            <v>1583</v>
          </cell>
          <cell r="I364" t="str">
            <v>ΚτηνοτρΟΦΙΚΑ ΦΥΤΑ ΓΙΑ ΖΩΟΤΡΟΦΕΣ ;</v>
          </cell>
          <cell r="K364" t="str">
            <v>Όχι</v>
          </cell>
          <cell r="L364" t="str">
            <v>ΕΤ: Όχι, με βάση το  "Αραβόσιτος διάφορα"</v>
          </cell>
          <cell r="O364" t="str">
            <v>!</v>
          </cell>
        </row>
        <row r="365">
          <cell r="D365" t="str">
            <v>ΑΡΑΒΟΣΙΤΟΣ8003</v>
          </cell>
          <cell r="E365" t="str">
            <v>ΑΡΑΒΟΣΙΤΟΣ AJACE</v>
          </cell>
          <cell r="F365" t="str">
            <v>B_1_1_6</v>
          </cell>
          <cell r="G365" t="str">
            <v>Αραβόσιτος σε κόκκους</v>
          </cell>
          <cell r="H365">
            <v>1583</v>
          </cell>
          <cell r="I365" t="str">
            <v>ΚτηνοτρΟΦΙΚΑ ΦΥΤΑ ΓΙΑ ΖΩΟΤΡΟΦΕΣ ;</v>
          </cell>
          <cell r="K365" t="str">
            <v>Όχι</v>
          </cell>
          <cell r="L365" t="str">
            <v>ΕΤ: Όχι, με βάση το  "Αραβόσιτος διάφορα"</v>
          </cell>
          <cell r="O365" t="str">
            <v/>
          </cell>
        </row>
        <row r="366">
          <cell r="D366" t="str">
            <v>ΑΡΑΒΟΣΙΤΟΣ8004</v>
          </cell>
          <cell r="E366" t="str">
            <v>ΑΡΑΒΟΣΙΤΟΣ ALBATROS T1069</v>
          </cell>
          <cell r="F366" t="str">
            <v>B_1_1_6</v>
          </cell>
          <cell r="G366" t="str">
            <v>Αραβόσιτος σε κόκκους</v>
          </cell>
          <cell r="H366">
            <v>1583</v>
          </cell>
          <cell r="I366" t="str">
            <v>ΚτηνοτρΟΦΙΚΑ ΦΥΤΑ ΓΙΑ ΖΩΟΤΡΟΦΕΣ ;</v>
          </cell>
          <cell r="K366" t="str">
            <v>Όχι</v>
          </cell>
          <cell r="L366" t="str">
            <v>ΕΤ: Όχι, με βάση το  "Αραβόσιτος διάφορα"</v>
          </cell>
          <cell r="O366" t="str">
            <v/>
          </cell>
        </row>
        <row r="367">
          <cell r="D367" t="str">
            <v>ΑΡΑΒΟΣΙΤΟΣ8005</v>
          </cell>
          <cell r="E367" t="str">
            <v>ΑΡΑΒΟΣΙΤΟΣ ΑΛΕΞΑΝΔΡΟΣ</v>
          </cell>
          <cell r="F367" t="str">
            <v>B_1_1_6</v>
          </cell>
          <cell r="G367" t="str">
            <v>Αραβόσιτος σε κόκκους</v>
          </cell>
          <cell r="H367">
            <v>1583</v>
          </cell>
          <cell r="I367" t="str">
            <v>ΚτηνοτρΟΦΙΚΑ ΦΥΤΑ ΓΙΑ ΖΩΟΤΡΟΦΕΣ ;</v>
          </cell>
          <cell r="K367" t="str">
            <v>Όχι</v>
          </cell>
          <cell r="L367" t="str">
            <v>ΕΤ: Όχι, με βάση το  "Αραβόσιτος διάφορα"</v>
          </cell>
          <cell r="O367" t="str">
            <v>!</v>
          </cell>
        </row>
        <row r="368">
          <cell r="D368" t="str">
            <v>ΑΡΑΒΟΣΙΤΟΣ8006</v>
          </cell>
          <cell r="E368" t="str">
            <v>ΑΡΑΒΟΣΙΤΟΣ ALNUS-PX9646</v>
          </cell>
          <cell r="F368" t="str">
            <v>B_1_1_6</v>
          </cell>
          <cell r="G368" t="str">
            <v>Αραβόσιτος σε κόκκους</v>
          </cell>
          <cell r="H368">
            <v>1583</v>
          </cell>
          <cell r="I368" t="str">
            <v>ΚτηνοτρΟΦΙΚΑ ΦΥΤΑ ΓΙΑ ΖΩΟΤΡΟΦΕΣ ;</v>
          </cell>
          <cell r="K368" t="str">
            <v>Όχι</v>
          </cell>
          <cell r="L368" t="str">
            <v>ΕΤ: Όχι, με βάση το  "Αραβόσιτος διάφορα"</v>
          </cell>
          <cell r="O368" t="str">
            <v/>
          </cell>
        </row>
        <row r="369">
          <cell r="D369" t="str">
            <v>ΑΡΑΒΟΣΙΤΟΣ8007</v>
          </cell>
          <cell r="E369" t="str">
            <v>ΑΡΑΒΟΣΙΤΟΣ ALTON</v>
          </cell>
          <cell r="F369" t="str">
            <v>B_1_1_6</v>
          </cell>
          <cell r="G369" t="str">
            <v>Αραβόσιτος σε κόκκους</v>
          </cell>
          <cell r="H369">
            <v>1583</v>
          </cell>
          <cell r="I369" t="str">
            <v>ΚτηνοτρΟΦΙΚΑ ΦΥΤΑ ΓΙΑ ΖΩΟΤΡΟΦΕΣ ;</v>
          </cell>
          <cell r="K369" t="str">
            <v>Όχι</v>
          </cell>
          <cell r="L369" t="str">
            <v>ΕΤ: Όχι, με βάση το  "Αραβόσιτος διάφορα"</v>
          </cell>
          <cell r="O369" t="str">
            <v/>
          </cell>
        </row>
        <row r="370">
          <cell r="D370" t="str">
            <v>ΑΡΑΒΟΣΙΤΟΣ8008</v>
          </cell>
          <cell r="E370" t="str">
            <v>ΑΡΑΒΟΣΙΤΟΣ AMANDA</v>
          </cell>
          <cell r="F370" t="str">
            <v>B_1_1_6</v>
          </cell>
          <cell r="G370" t="str">
            <v>Αραβόσιτος σε κόκκους</v>
          </cell>
          <cell r="H370">
            <v>1583</v>
          </cell>
          <cell r="I370" t="str">
            <v>ΚτηνοτρΟΦΙΚΑ ΦΥΤΑ ΓΙΑ ΖΩΟΤΡΟΦΕΣ ;</v>
          </cell>
          <cell r="K370" t="str">
            <v>Όχι</v>
          </cell>
          <cell r="L370" t="str">
            <v>ΕΤ: Όχι, με βάση το  "Αραβόσιτος διάφορα"</v>
          </cell>
          <cell r="O370" t="str">
            <v/>
          </cell>
        </row>
        <row r="371">
          <cell r="D371" t="str">
            <v>ΑΡΑΒΟΣΙΤΟΣ8009</v>
          </cell>
          <cell r="E371" t="str">
            <v>ΑΡΑΒΟΣΙΤΟΣ AMARANTO</v>
          </cell>
          <cell r="F371" t="str">
            <v>B_1_1_6</v>
          </cell>
          <cell r="G371" t="str">
            <v>Αραβόσιτος σε κόκκους</v>
          </cell>
          <cell r="H371">
            <v>1583</v>
          </cell>
          <cell r="I371" t="str">
            <v>ΚτηνοτρΟΦΙΚΑ ΦΥΤΑ ΓΙΑ ΖΩΟΤΡΟΦΕΣ ;</v>
          </cell>
          <cell r="K371" t="str">
            <v>Όχι</v>
          </cell>
          <cell r="L371" t="str">
            <v>ΕΤ: Όχι, με βάση το  "Αραβόσιτος διάφορα"</v>
          </cell>
          <cell r="O371" t="str">
            <v/>
          </cell>
        </row>
        <row r="372">
          <cell r="D372" t="str">
            <v>ΑΡΑΒΟΣΙΤΟΣ8010</v>
          </cell>
          <cell r="E372" t="str">
            <v>ΑΡΑΒΟΣΙΤΟΣ AMERICA</v>
          </cell>
          <cell r="F372" t="str">
            <v>B_1_1_6</v>
          </cell>
          <cell r="G372" t="str">
            <v>Αραβόσιτος σε κόκκους</v>
          </cell>
          <cell r="H372">
            <v>1583</v>
          </cell>
          <cell r="I372" t="str">
            <v>ΚτηνοτρΟΦΙΚΑ ΦΥΤΑ ΓΙΑ ΖΩΟΤΡΟΦΕΣ ;</v>
          </cell>
          <cell r="K372" t="str">
            <v>Όχι</v>
          </cell>
          <cell r="L372" t="str">
            <v>ΕΤ: Όχι, με βάση το  "Αραβόσιτος διάφορα"</v>
          </cell>
          <cell r="O372" t="str">
            <v/>
          </cell>
        </row>
        <row r="373">
          <cell r="D373" t="str">
            <v>ΑΡΑΒΟΣΙΤΟΣ8011</v>
          </cell>
          <cell r="E373" t="str">
            <v>ΑΡΑΒΟΣΙΤΟΣ ΑΝΘΙΠΠΗ</v>
          </cell>
          <cell r="F373" t="str">
            <v>B_1_1_6</v>
          </cell>
          <cell r="G373" t="str">
            <v>Αραβόσιτος σε κόκκους</v>
          </cell>
          <cell r="H373">
            <v>1583</v>
          </cell>
          <cell r="I373" t="str">
            <v>ΚτηνοτρΟΦΙΚΑ ΦΥΤΑ ΓΙΑ ΖΩΟΤΡΟΦΕΣ ;</v>
          </cell>
          <cell r="K373" t="str">
            <v>Όχι</v>
          </cell>
          <cell r="L373" t="str">
            <v>ΕΤ: Όχι, με βάση το  "Αραβόσιτος διάφορα"</v>
          </cell>
          <cell r="O373" t="str">
            <v>!</v>
          </cell>
        </row>
        <row r="374">
          <cell r="D374" t="str">
            <v>ΑΡΑΒΟΣΙΤΟΣ8012</v>
          </cell>
          <cell r="E374" t="str">
            <v>ΑΡΑΒΟΣΙΤΟΣ ΑΞΙΟΣ</v>
          </cell>
          <cell r="F374" t="str">
            <v>B_1_1_6</v>
          </cell>
          <cell r="G374" t="str">
            <v>Αραβόσιτος σε κόκκους</v>
          </cell>
          <cell r="H374">
            <v>1583</v>
          </cell>
          <cell r="I374" t="str">
            <v>ΚτηνοτρΟΦΙΚΑ ΦΥΤΑ ΓΙΑ ΖΩΟΤΡΟΦΕΣ ;</v>
          </cell>
          <cell r="K374" t="str">
            <v>Όχι</v>
          </cell>
          <cell r="L374" t="str">
            <v>ΕΤ: Όχι, με βάση το  "Αραβόσιτος διάφορα"</v>
          </cell>
          <cell r="O374" t="str">
            <v>!</v>
          </cell>
        </row>
        <row r="375">
          <cell r="D375" t="str">
            <v>ΑΡΑΒΟΣΙΤΟΣ8013</v>
          </cell>
          <cell r="E375" t="str">
            <v>ΑΡΑΒΟΣΙΤΟΣ PIONEER</v>
          </cell>
          <cell r="F375" t="str">
            <v>B_1_1_6</v>
          </cell>
          <cell r="G375" t="str">
            <v>Αραβόσιτος σε κόκκους</v>
          </cell>
          <cell r="H375">
            <v>1583</v>
          </cell>
          <cell r="I375" t="str">
            <v>ΚτηνοτρΟΦΙΚΑ ΦΥΤΑ ΓΙΑ ΖΩΟΤΡΟΦΕΣ ;</v>
          </cell>
          <cell r="K375" t="str">
            <v>Όχι</v>
          </cell>
          <cell r="L375" t="str">
            <v>ΕΤ: Όχι, με βάση το  "Αραβόσιτος διάφορα"</v>
          </cell>
          <cell r="O375" t="str">
            <v/>
          </cell>
        </row>
        <row r="376">
          <cell r="D376" t="str">
            <v>ΑΡΑΒΟΣΙΤΟΣ8014</v>
          </cell>
          <cell r="E376" t="str">
            <v>ΑΡΑΒΟΣΙΤΟΣ ΑΡΗΣ</v>
          </cell>
          <cell r="F376" t="str">
            <v>B_1_1_6</v>
          </cell>
          <cell r="G376" t="str">
            <v>Αραβόσιτος σε κόκκους</v>
          </cell>
          <cell r="H376">
            <v>1583</v>
          </cell>
          <cell r="I376" t="str">
            <v>ΚτηνοτρΟΦΙΚΑ ΦΥΤΑ ΓΙΑ ΖΩΟΤΡΟΦΕΣ ;</v>
          </cell>
          <cell r="K376" t="str">
            <v>Όχι</v>
          </cell>
          <cell r="L376" t="str">
            <v>ΕΤ: Όχι, με βάση το  "Αραβόσιτος διάφορα"</v>
          </cell>
          <cell r="O376" t="str">
            <v>!</v>
          </cell>
        </row>
        <row r="377">
          <cell r="D377" t="str">
            <v>ΑΡΑΒΟΣΙΤΟΣ8015</v>
          </cell>
          <cell r="E377" t="str">
            <v>ΑΡΑΒΟΣΙΤΟΣ FUNKS-PRISM-G4760</v>
          </cell>
          <cell r="F377" t="str">
            <v>B_1_1_6</v>
          </cell>
          <cell r="G377" t="str">
            <v>Αραβόσιτος σε κόκκους</v>
          </cell>
          <cell r="H377">
            <v>1583</v>
          </cell>
          <cell r="I377" t="str">
            <v>ΚτηνοτρΟΦΙΚΑ ΦΥΤΑ ΓΙΑ ΖΩΟΤΡΟΦΕΣ ;</v>
          </cell>
          <cell r="K377" t="str">
            <v>Όχι</v>
          </cell>
          <cell r="L377" t="str">
            <v>ΕΤ: Όχι, με βάση το  "Αραβόσιτος διάφορα"</v>
          </cell>
          <cell r="O377" t="str">
            <v/>
          </cell>
        </row>
        <row r="378">
          <cell r="D378" t="str">
            <v>ΑΡΑΒΟΣΙΤΟΣ8016</v>
          </cell>
          <cell r="E378" t="str">
            <v>ΑΡΑΒΟΣΙΤΟΣ Z.P 704</v>
          </cell>
          <cell r="F378" t="str">
            <v>B_1_1_6</v>
          </cell>
          <cell r="G378" t="str">
            <v>Αραβόσιτος σε κόκκους</v>
          </cell>
          <cell r="H378">
            <v>1583</v>
          </cell>
          <cell r="I378" t="str">
            <v>ΚτηνοτρΟΦΙΚΑ ΦΥΤΑ ΓΙΑ ΖΩΟΤΡΟΦΕΣ ;</v>
          </cell>
          <cell r="K378" t="str">
            <v>Όχι</v>
          </cell>
          <cell r="L378" t="str">
            <v>ΕΤ: Όχι, με βάση το  "Αραβόσιτος διάφορα"</v>
          </cell>
          <cell r="O378" t="str">
            <v>!</v>
          </cell>
        </row>
        <row r="379">
          <cell r="D379" t="str">
            <v>ΑΡΑΒΟΣΙΤΟΣ8017</v>
          </cell>
          <cell r="E379" t="str">
            <v>ΑΡΑΒΟΣΙΤΟΣ NICKERSON</v>
          </cell>
          <cell r="F379" t="str">
            <v>B_1_1_6</v>
          </cell>
          <cell r="G379" t="str">
            <v>Αραβόσιτος σε κόκκους</v>
          </cell>
          <cell r="H379">
            <v>1583</v>
          </cell>
          <cell r="I379" t="str">
            <v>ΚτηνοτρΟΦΙΚΑ ΦΥΤΑ ΓΙΑ ΖΩΟΤΡΟΦΕΣ ;</v>
          </cell>
          <cell r="K379" t="str">
            <v>Όχι</v>
          </cell>
          <cell r="L379" t="str">
            <v>ΕΤ: Όχι, με βάση το  "Αραβόσιτος διάφορα"</v>
          </cell>
          <cell r="O379" t="str">
            <v/>
          </cell>
        </row>
        <row r="380">
          <cell r="D380" t="str">
            <v>ΑΡΑΒΟΣΙΤΟΣ8018</v>
          </cell>
          <cell r="E380" t="str">
            <v>ΑΡΑΒΟΣΙΤΟΣ CORTES</v>
          </cell>
          <cell r="F380" t="str">
            <v>B_1_1_6</v>
          </cell>
          <cell r="G380" t="str">
            <v>Αραβόσιτος σε κόκκους</v>
          </cell>
          <cell r="H380">
            <v>1583</v>
          </cell>
          <cell r="I380" t="str">
            <v>ΚτηνοτρΟΦΙΚΑ ΦΥΤΑ ΓΙΑ ΖΩΟΤΡΟΦΕΣ ;</v>
          </cell>
          <cell r="K380" t="str">
            <v>Όχι</v>
          </cell>
          <cell r="L380" t="str">
            <v>ΕΤ: Όχι, με βάση το  "Αραβόσιτος διάφορα"</v>
          </cell>
          <cell r="O380" t="str">
            <v/>
          </cell>
        </row>
        <row r="381">
          <cell r="D381" t="str">
            <v>ΑΡΑΒΟΣΙΤΟΣ8019</v>
          </cell>
          <cell r="E381" t="str">
            <v>ΑΡΑΒΟΣΙΤΟΣ DEKALB</v>
          </cell>
          <cell r="F381" t="str">
            <v>B_1_1_6</v>
          </cell>
          <cell r="G381" t="str">
            <v>Αραβόσιτος σε κόκκους</v>
          </cell>
          <cell r="H381">
            <v>1583</v>
          </cell>
          <cell r="I381" t="str">
            <v>ΚτηνοτρΟΦΙΚΑ ΦΥΤΑ ΓΙΑ ΖΩΟΤΡΟΦΕΣ ;</v>
          </cell>
          <cell r="K381" t="str">
            <v>Όχι</v>
          </cell>
          <cell r="L381" t="str">
            <v>ΕΤ: Όχι, με βάση το  "Αραβόσιτος διάφορα"</v>
          </cell>
          <cell r="O381" t="str">
            <v/>
          </cell>
        </row>
        <row r="382">
          <cell r="D382" t="str">
            <v>ΑΡΑΒΟΣΙΤΟΣ8020</v>
          </cell>
          <cell r="E382" t="str">
            <v>ΑΡΑΒΟΣΙΤΟΣ ΓΛΥΚΟΣ</v>
          </cell>
          <cell r="F382" t="str">
            <v>B_1_1_6</v>
          </cell>
          <cell r="G382" t="str">
            <v>Αραβόσιτος σε κόκκους</v>
          </cell>
          <cell r="H382">
            <v>1583</v>
          </cell>
          <cell r="I382" t="str">
            <v>ΚτηνοτρΟΦΙΚΑ ΦΥΤΑ ΓΙΑ ΖΩΟΤΡΟΦΕΣ ;</v>
          </cell>
          <cell r="K382" t="str">
            <v>Όχι</v>
          </cell>
          <cell r="L382" t="str">
            <v>ΕΤ: Όχι, με βάση το  "Αραβόσιτος διάφορα"</v>
          </cell>
          <cell r="O382" t="str">
            <v/>
          </cell>
        </row>
        <row r="383">
          <cell r="D383" t="str">
            <v>ΑΡΩΜΑΤΙΚΑ ΦΥΤΑ1010</v>
          </cell>
          <cell r="E383" t="str">
            <v>CURRY</v>
          </cell>
          <cell r="F383" t="str">
            <v>B_1_6_12</v>
          </cell>
          <cell r="G383" t="str">
            <v>Αρωματικά, φαρμακευτικά και αρτυματικά φυτά</v>
          </cell>
          <cell r="H383">
            <v>1505</v>
          </cell>
          <cell r="K383" t="str">
            <v>Ναι</v>
          </cell>
          <cell r="L383" t="str">
            <v>ΝΑΙ</v>
          </cell>
          <cell r="M383" t="str">
            <v>ΜΟΝΟ ΑΠΌ Β5 Τμήμα Κηπευτικών, Αρωματικών-Φαρμακευτικών Φυτών ΟΙ ΥΠΟΛΟΙΠΟΙ ΔΕΝ ΣΥΜΠΛΗΡΩΣΑΝ ΚΑΤΙ</v>
          </cell>
          <cell r="O383" t="str">
            <v/>
          </cell>
        </row>
        <row r="384">
          <cell r="D384" t="str">
            <v>ΑΡΩΜΑΤΙΚΑ ΦΥΤΑ10238</v>
          </cell>
          <cell r="E384" t="str">
            <v>ΚΑΡΔΑΜΟ</v>
          </cell>
          <cell r="F384" t="str">
            <v>B_1_6_12</v>
          </cell>
          <cell r="G384" t="str">
            <v>Αρωματικά, φαρμακευτικά και αρτυματικά φυτά</v>
          </cell>
          <cell r="H384">
            <v>1505</v>
          </cell>
          <cell r="K384" t="str">
            <v>Ναι</v>
          </cell>
          <cell r="L384" t="str">
            <v>ΕΤ: ΝΑΙ, με βάση Β5 (αλλά όχι με βάση ΕΛΓΟ ΔΗΜΗΤΡΑ)</v>
          </cell>
          <cell r="M384" t="str">
            <v>ΕΛΓΟ ΔΗΜΗΤΡΑ ΌΧΙ, Β5 ΝΑΙ</v>
          </cell>
          <cell r="O384" t="str">
            <v/>
          </cell>
        </row>
        <row r="385">
          <cell r="D385" t="str">
            <v>ΑΡΩΜΑΤΙΚΑ ΦΥΤΑ18101</v>
          </cell>
          <cell r="E385" t="str">
            <v>ΣΙΝΑΠΙ</v>
          </cell>
          <cell r="F385" t="str">
            <v>B_1_6_12</v>
          </cell>
          <cell r="G385" t="str">
            <v>Αρωματικά, φαρμακευτικά και αρτυματικά φυτά</v>
          </cell>
          <cell r="H385">
            <v>1505</v>
          </cell>
          <cell r="K385" t="str">
            <v>Ναι</v>
          </cell>
          <cell r="L385" t="str">
            <v>ΝΑΙ</v>
          </cell>
          <cell r="O385" t="str">
            <v/>
          </cell>
        </row>
        <row r="386">
          <cell r="D386" t="str">
            <v>ΑΡΩΜΑΤΙΚΑ ΦΥΤΑ18102</v>
          </cell>
          <cell r="E386" t="str">
            <v>ΧΑΜΟΜΗΛΙ</v>
          </cell>
          <cell r="F386" t="str">
            <v>B_1_6_12</v>
          </cell>
          <cell r="G386" t="str">
            <v>Αρωματικά, φαρμακευτικά και αρτυματικά φυτά</v>
          </cell>
          <cell r="H386">
            <v>1505</v>
          </cell>
          <cell r="K386" t="str">
            <v>Ναι</v>
          </cell>
          <cell r="L386" t="str">
            <v>ΝΑΙ</v>
          </cell>
          <cell r="O386" t="str">
            <v/>
          </cell>
        </row>
        <row r="387">
          <cell r="D387" t="str">
            <v>ΑΡΩΜΑΤΙΚΑ ΦΥΤΑ18103</v>
          </cell>
          <cell r="E387" t="str">
            <v>ΑΓΡΙΟΣ ΔΥΟΣΜΟΣ</v>
          </cell>
          <cell r="J387" t="str">
            <v>Ναι</v>
          </cell>
          <cell r="K387" t="str">
            <v>Ναι</v>
          </cell>
          <cell r="L387" t="str">
            <v>ΕΤ: ΝΑΙ, με βάση Β5 (αλλά όχι με βάση ΕΛΓΟ ΔΗΜΗΤΡΑ)</v>
          </cell>
          <cell r="M387" t="str">
            <v>ΕΛΓΟ ΔΗΜΗΤΡΑ ΌΧΙ, Β5 ΝΑΙ</v>
          </cell>
          <cell r="O387" t="str">
            <v/>
          </cell>
        </row>
        <row r="388">
          <cell r="D388" t="str">
            <v>ΑΡΩΜΑΤΙΚΑ ΦΥΤΑ18104</v>
          </cell>
          <cell r="E388" t="str">
            <v>ΣΠΑΘΟΧΟΡΤΟ</v>
          </cell>
          <cell r="F388" t="str">
            <v>B_1_6_12</v>
          </cell>
          <cell r="G388" t="str">
            <v>Αρωματικά, φαρμακευτικά και αρτυματικά φυτά</v>
          </cell>
          <cell r="H388">
            <v>1505</v>
          </cell>
          <cell r="K388" t="str">
            <v>Ναι</v>
          </cell>
          <cell r="L388" t="str">
            <v>ΝΑΙ</v>
          </cell>
          <cell r="O388" t="str">
            <v/>
          </cell>
        </row>
        <row r="389">
          <cell r="D389" t="str">
            <v>ΑΡΩΜΑΤΙΚΑ ΦΥΤΑ18105</v>
          </cell>
          <cell r="E389" t="str">
            <v>ΤΣΟΥΚΝΙΔΑ</v>
          </cell>
          <cell r="F389" t="str">
            <v>B_1_6_12</v>
          </cell>
          <cell r="G389" t="str">
            <v>Αρωματικά, φαρμακευτικά και αρτυματικά φυτά</v>
          </cell>
          <cell r="H389">
            <v>1505</v>
          </cell>
          <cell r="K389" t="str">
            <v>Ναι</v>
          </cell>
          <cell r="L389" t="str">
            <v>ΝΑΙ</v>
          </cell>
          <cell r="O389" t="str">
            <v/>
          </cell>
        </row>
        <row r="390">
          <cell r="D390" t="str">
            <v>ΑΡΩΜΑΤΙΚΑ ΦΥΤΑ18106</v>
          </cell>
          <cell r="E390" t="str">
            <v>ΛΟΥΙΖΑ</v>
          </cell>
          <cell r="F390" t="str">
            <v>B_1_6_12</v>
          </cell>
          <cell r="G390" t="str">
            <v>Αρωματικά, φαρμακευτικά και αρτυματικά φυτά</v>
          </cell>
          <cell r="H390">
            <v>1505</v>
          </cell>
          <cell r="K390" t="str">
            <v>Όχι</v>
          </cell>
          <cell r="L390" t="str">
            <v>ΌΧΙ</v>
          </cell>
          <cell r="O390" t="str">
            <v/>
          </cell>
        </row>
        <row r="391">
          <cell r="D391" t="str">
            <v>ΑΡΩΜΑΤΙΚΑ ΦΥΤΑ18107</v>
          </cell>
          <cell r="E391" t="str">
            <v>ΚΡΙΤΑΜΑ</v>
          </cell>
          <cell r="F391" t="str">
            <v>B_1_6_12</v>
          </cell>
          <cell r="G391" t="str">
            <v>Αρωματικά, φαρμακευτικά και αρτυματικά φυτά</v>
          </cell>
          <cell r="H391">
            <v>1505</v>
          </cell>
          <cell r="K391" t="str">
            <v>Ναι</v>
          </cell>
          <cell r="L391" t="str">
            <v>ΝΑΙ</v>
          </cell>
          <cell r="O391" t="str">
            <v/>
          </cell>
        </row>
        <row r="392">
          <cell r="D392" t="str">
            <v>ΑΡΩΜΑΤΙΚΑ ΦΥΤΑ18108</v>
          </cell>
          <cell r="E392" t="str">
            <v>ΔΥΟΣΜΟΣ</v>
          </cell>
          <cell r="J392" t="str">
            <v>Ναι</v>
          </cell>
          <cell r="K392" t="str">
            <v>Όχι</v>
          </cell>
          <cell r="L392" t="str">
            <v>ΌΧΙ</v>
          </cell>
          <cell r="O392" t="str">
            <v>!</v>
          </cell>
        </row>
        <row r="393">
          <cell r="D393" t="str">
            <v>ΑΡΩΜΑΤΙΚΑ ΦΥΤΑ41001</v>
          </cell>
          <cell r="E393" t="str">
            <v>ΑΡΩΜΑΤΙΚΑ ΔΙΑΦΟΡΑ</v>
          </cell>
          <cell r="F393" t="str">
            <v>B_1_6_12</v>
          </cell>
          <cell r="G393" t="str">
            <v>Αρωματικά, φαρμακευτικά και αρτυματικά φυτά</v>
          </cell>
          <cell r="H393">
            <v>1505</v>
          </cell>
          <cell r="K393" t="str">
            <v>Ναι</v>
          </cell>
          <cell r="L393" t="str">
            <v>ΕΤ: ΝΑΙ, με βάση Β5 (αλλά όχι με βάση ΕΛΓΟ ΔΗΜΗΤΡΑ)</v>
          </cell>
          <cell r="M393" t="str">
            <v>ΕΛΓΟ ΔΗΜΗΤΡΑ ΌΧΙ, Β5 ΝΑΙ</v>
          </cell>
          <cell r="O393" t="str">
            <v/>
          </cell>
        </row>
        <row r="394">
          <cell r="D394" t="str">
            <v>ΑΡΩΜΑΤΙΚΑ ΦΥΤΑ41002</v>
          </cell>
          <cell r="E394" t="str">
            <v>ΑΘΑΝΑΤΟΣ - ΑΓΑΥΗ</v>
          </cell>
          <cell r="F394" t="str">
            <v>B_1_6_12</v>
          </cell>
          <cell r="G394" t="str">
            <v>Αρωματικά, φαρμακευτικά και αρτυματικά φυτά</v>
          </cell>
          <cell r="H394">
            <v>1505</v>
          </cell>
          <cell r="K394" t="str">
            <v>Ναι</v>
          </cell>
          <cell r="L394" t="str">
            <v>ΝΑΙ</v>
          </cell>
          <cell r="O394" t="str">
            <v/>
          </cell>
        </row>
        <row r="395">
          <cell r="D395" t="str">
            <v>ΑΡΩΜΑΤΙΚΑ ΦΥΤΑ41003</v>
          </cell>
          <cell r="E395" t="str">
            <v>ΚΑΛΕΝΤΟΥΛΑ</v>
          </cell>
          <cell r="F395" t="str">
            <v>B_1_6_12</v>
          </cell>
          <cell r="G395" t="str">
            <v>Αρωματικά, φαρμακευτικά και αρτυματικά φυτά</v>
          </cell>
          <cell r="H395">
            <v>1505</v>
          </cell>
          <cell r="K395" t="str">
            <v>Ναι</v>
          </cell>
          <cell r="L395" t="str">
            <v>ΝΑΙ</v>
          </cell>
          <cell r="O395" t="str">
            <v/>
          </cell>
        </row>
        <row r="396">
          <cell r="D396" t="str">
            <v>ΑΡΩΜΑΤΙΚΑ ΦΥΤΑ4990</v>
          </cell>
          <cell r="E396" t="str">
            <v>ΛΙΟΠΟΥΡΝΑ-ΓΚΙ</v>
          </cell>
          <cell r="F396" t="str">
            <v>B_1_6_12</v>
          </cell>
          <cell r="G396" t="str">
            <v>Αρωματικά, φαρμακευτικά και αρτυματικά φυτά</v>
          </cell>
          <cell r="H396">
            <v>1505</v>
          </cell>
          <cell r="K396" t="str">
            <v>Ναι</v>
          </cell>
          <cell r="L396" t="str">
            <v>ΝΑΙ</v>
          </cell>
          <cell r="O396" t="str">
            <v/>
          </cell>
        </row>
        <row r="397">
          <cell r="D397" t="str">
            <v>ΑΡΩΜΑΤΙΚΑ ΦΥΤΑ8133</v>
          </cell>
          <cell r="E397" t="str">
            <v>ΔΙΚΤΑΜΟΣ</v>
          </cell>
          <cell r="F397" t="str">
            <v>B_1_6_12</v>
          </cell>
          <cell r="G397" t="str">
            <v>Αρωματικά, φαρμακευτικά και αρτυματικά φυτά</v>
          </cell>
          <cell r="H397">
            <v>1505</v>
          </cell>
          <cell r="K397" t="str">
            <v>Ναι</v>
          </cell>
          <cell r="L397" t="str">
            <v>ΝΑΙ</v>
          </cell>
          <cell r="O397" t="str">
            <v/>
          </cell>
        </row>
        <row r="398">
          <cell r="D398" t="str">
            <v>ΑΡΩΜΑΤΙΚΑ ΦΥΤΑ8134</v>
          </cell>
          <cell r="E398" t="str">
            <v>ΚΡΟΚΟΣ</v>
          </cell>
          <cell r="F398" t="str">
            <v>B_1_6_12</v>
          </cell>
          <cell r="G398" t="str">
            <v>Αρωματικά, φαρμακευτικά και αρτυματικά φυτά</v>
          </cell>
          <cell r="H398">
            <v>1505</v>
          </cell>
          <cell r="K398" t="str">
            <v>Ναι</v>
          </cell>
          <cell r="L398" t="str">
            <v>ΝΑΙ</v>
          </cell>
          <cell r="O398" t="str">
            <v/>
          </cell>
        </row>
        <row r="399">
          <cell r="D399" t="str">
            <v>ΑΡΩΜΑΤΙΚΑ ΦΥΤΑ8135</v>
          </cell>
          <cell r="E399" t="str">
            <v>ΜΑΡΑΘΟΣ</v>
          </cell>
          <cell r="F399" t="str">
            <v>B_1_6_12</v>
          </cell>
          <cell r="G399" t="str">
            <v>Αρωματικά, φαρμακευτικά και αρτυματικά φυτά</v>
          </cell>
          <cell r="H399">
            <v>1505</v>
          </cell>
          <cell r="K399" t="str">
            <v>Όχι</v>
          </cell>
          <cell r="L399" t="str">
            <v>ΌΧΙ</v>
          </cell>
          <cell r="O399" t="str">
            <v/>
          </cell>
        </row>
        <row r="400">
          <cell r="D400" t="str">
            <v>ΑΡΩΜΑΤΙΚΑ ΦΥΤΑ8136</v>
          </cell>
          <cell r="E400" t="str">
            <v>ΜΕΝΤΑ</v>
          </cell>
          <cell r="F400" t="str">
            <v>B_1_6_12</v>
          </cell>
          <cell r="G400" t="str">
            <v>Αρωματικά, φαρμακευτικά και αρτυματικά φυτά</v>
          </cell>
          <cell r="H400">
            <v>1505</v>
          </cell>
          <cell r="K400" t="str">
            <v>Όχι</v>
          </cell>
          <cell r="L400" t="str">
            <v>ΌΧΙ</v>
          </cell>
          <cell r="O400" t="str">
            <v/>
          </cell>
        </row>
        <row r="401">
          <cell r="D401" t="str">
            <v>ΑΡΩΜΑΤΙΚΑ ΦΥΤΑ8137</v>
          </cell>
          <cell r="E401" t="str">
            <v>ΡΙΓΑΝΗ</v>
          </cell>
          <cell r="F401" t="str">
            <v>B_1_6_12</v>
          </cell>
          <cell r="G401" t="str">
            <v>Αρωματικά, φαρμακευτικά και αρτυματικά φυτά</v>
          </cell>
          <cell r="H401">
            <v>1505</v>
          </cell>
          <cell r="K401" t="str">
            <v>Ναι</v>
          </cell>
          <cell r="L401" t="str">
            <v>ΝΑΙ</v>
          </cell>
          <cell r="O401" t="str">
            <v/>
          </cell>
        </row>
        <row r="402">
          <cell r="D402" t="str">
            <v>ΑΡΩΜΑΤΙΚΑ ΦΥΤΑ8138</v>
          </cell>
          <cell r="E402" t="str">
            <v>ΦΑΣΚΟΜΗΛΟ</v>
          </cell>
          <cell r="F402" t="str">
            <v>B_1_6_12</v>
          </cell>
          <cell r="G402" t="str">
            <v>Αρωματικά, φαρμακευτικά και αρτυματικά φυτά</v>
          </cell>
          <cell r="H402">
            <v>1505</v>
          </cell>
          <cell r="K402" t="str">
            <v>Ναι</v>
          </cell>
          <cell r="L402" t="str">
            <v>ΝΑΙ</v>
          </cell>
          <cell r="O402" t="str">
            <v/>
          </cell>
        </row>
        <row r="403">
          <cell r="D403" t="str">
            <v>ΑΡΩΜΑΤΙΚΑ ΦΥΤΑ8139</v>
          </cell>
          <cell r="E403" t="str">
            <v>ΤΣΑΙ ΤΟΥ ΒΟΥΝΟΥ</v>
          </cell>
          <cell r="F403" t="str">
            <v>B_1_6_12</v>
          </cell>
          <cell r="G403" t="str">
            <v>Αρωματικά, φαρμακευτικά και αρτυματικά φυτά</v>
          </cell>
          <cell r="H403">
            <v>1505</v>
          </cell>
          <cell r="K403" t="str">
            <v>Ναι</v>
          </cell>
          <cell r="L403" t="str">
            <v>ΝΑΙ</v>
          </cell>
          <cell r="O403" t="str">
            <v/>
          </cell>
        </row>
        <row r="404">
          <cell r="D404" t="str">
            <v>ΑΡΩΜΑΤΙΚΑ ΦΥΤΑ8141</v>
          </cell>
          <cell r="E404" t="str">
            <v>ΒΑΣΙΛΙΚΟΣ</v>
          </cell>
          <cell r="F404" t="str">
            <v>B_1_6_12</v>
          </cell>
          <cell r="G404" t="str">
            <v>Αρωματικά, φαρμακευτικά και αρτυματικά φυτά</v>
          </cell>
          <cell r="H404">
            <v>1505</v>
          </cell>
          <cell r="K404" t="str">
            <v>Όχι</v>
          </cell>
          <cell r="L404" t="str">
            <v>ΌΧΙ</v>
          </cell>
          <cell r="O404" t="str">
            <v/>
          </cell>
        </row>
        <row r="405">
          <cell r="D405" t="str">
            <v>ΑΡΩΜΑΤΙΚΑ ΦΥΤΑ8142</v>
          </cell>
          <cell r="E405" t="str">
            <v>ΓΙΑΣΕΜΙ</v>
          </cell>
          <cell r="F405" t="str">
            <v>B_1_6_12</v>
          </cell>
          <cell r="G405" t="str">
            <v>Αρωματικά, φαρμακευτικά και αρτυματικά φυτά</v>
          </cell>
          <cell r="H405">
            <v>1505</v>
          </cell>
          <cell r="K405" t="str">
            <v>Ναι</v>
          </cell>
          <cell r="L405" t="str">
            <v>ΝΑΙ</v>
          </cell>
          <cell r="M405" t="str">
            <v>ΜΟΝΟ ΑΠΌ Β5 Τμήμα Κηπευτικών, Αρωματικών-Φαρμακευτικών Φυτών ΟΙ ΥΠΟΛΟΙΠΟΙ ΔΕΝ ΣΥΜΠΛΗΡΩΣΑΝ ΚΑΤΙ</v>
          </cell>
          <cell r="O405" t="str">
            <v/>
          </cell>
        </row>
        <row r="406">
          <cell r="D406" t="str">
            <v>ΑΡΩΜΑΤΙΚΑ ΦΥΤΑ8143</v>
          </cell>
          <cell r="E406" t="str">
            <v>ΓΛΥΚΑΝΙΣΟ - ΜΑΡΑΘΟΣΠΟΡΟΣ</v>
          </cell>
          <cell r="F406" t="str">
            <v>B_1_6_12</v>
          </cell>
          <cell r="G406" t="str">
            <v>Αρωματικά, φαρμακευτικά και αρτυματικά φυτά</v>
          </cell>
          <cell r="H406">
            <v>1505</v>
          </cell>
          <cell r="K406" t="str">
            <v>Ναι</v>
          </cell>
          <cell r="L406" t="str">
            <v>ΕΤ: ΝΑΙ, με βάση Β5 (αλλά όχι με βάση ΕΛΓΟ ΔΗΜΗΤΡΑ)</v>
          </cell>
          <cell r="M406" t="str">
            <v>ΕΛΓΟ ΔΗΜΗΤΡΑ ΌΧΙ, Β5 ΝΑΙ</v>
          </cell>
          <cell r="O406" t="str">
            <v/>
          </cell>
        </row>
        <row r="407">
          <cell r="D407" t="str">
            <v>ΑΡΩΜΑΤΙΚΑ ΦΥΤΑ8144</v>
          </cell>
          <cell r="E407" t="str">
            <v>ΔΕΝΔΡΟΛΙΒΑΝΟ</v>
          </cell>
          <cell r="F407" t="str">
            <v>B_1_6_12</v>
          </cell>
          <cell r="G407" t="str">
            <v>Αρωματικά, φαρμακευτικά και αρτυματικά φυτά</v>
          </cell>
          <cell r="H407">
            <v>1505</v>
          </cell>
          <cell r="K407" t="str">
            <v>Ναι</v>
          </cell>
          <cell r="L407" t="str">
            <v>ΝΑΙ</v>
          </cell>
          <cell r="O407" t="str">
            <v/>
          </cell>
        </row>
        <row r="408">
          <cell r="D408" t="str">
            <v>ΑΡΩΜΑΤΙΚΑ ΦΥΤΑ8145</v>
          </cell>
          <cell r="E408" t="str">
            <v>ΘΥΜΑΡΙ</v>
          </cell>
          <cell r="F408" t="str">
            <v>B_1_6_12</v>
          </cell>
          <cell r="G408" t="str">
            <v>Αρωματικά, φαρμακευτικά και αρτυματικά φυτά</v>
          </cell>
          <cell r="H408">
            <v>1505</v>
          </cell>
          <cell r="K408" t="str">
            <v>Ναι</v>
          </cell>
          <cell r="L408" t="str">
            <v>ΝΑΙ</v>
          </cell>
          <cell r="O408" t="str">
            <v/>
          </cell>
        </row>
        <row r="409">
          <cell r="D409" t="str">
            <v>ΑΡΩΜΑΤΙΚΑ ΦΥΤΑ8146</v>
          </cell>
          <cell r="E409" t="str">
            <v>ΚΟΡΙΑΝΔΡΟΣ</v>
          </cell>
          <cell r="F409" t="str">
            <v>B_1_6_12</v>
          </cell>
          <cell r="G409" t="str">
            <v>Αρωματικά, φαρμακευτικά και αρτυματικά φυτά</v>
          </cell>
          <cell r="H409">
            <v>1505</v>
          </cell>
          <cell r="K409" t="str">
            <v>Ναι</v>
          </cell>
          <cell r="L409" t="str">
            <v>ΝΑΙ</v>
          </cell>
          <cell r="M409" t="str">
            <v>ΜΟΝΟ ΑΠΌ Β5 Τμήμα Κηπευτικών, Αρωματικών-Φαρμακευτικών Φυτών ΟΙ ΥΠΟΛΟΙΠΟΙ ΔΕΝ ΣΥΜΠΛΗΡΩΣΑΝ ΚΑΤΙ</v>
          </cell>
          <cell r="O409" t="str">
            <v/>
          </cell>
        </row>
        <row r="410">
          <cell r="D410" t="str">
            <v>ΑΡΩΜΑΤΙΚΑ ΦΥΤΑ8147</v>
          </cell>
          <cell r="E410" t="str">
            <v>ΚΥΜΙΝΟ</v>
          </cell>
          <cell r="F410" t="str">
            <v>B_1_6_12</v>
          </cell>
          <cell r="G410" t="str">
            <v>Αρωματικά, φαρμακευτικά και αρτυματικά φυτά</v>
          </cell>
          <cell r="H410">
            <v>1505</v>
          </cell>
          <cell r="K410" t="str">
            <v>Ναι</v>
          </cell>
          <cell r="L410" t="str">
            <v>ΝΑΙ</v>
          </cell>
          <cell r="O410" t="str">
            <v/>
          </cell>
        </row>
        <row r="411">
          <cell r="D411" t="str">
            <v>ΑΡΩΜΑΤΙΚΑ ΦΥΤΑ8148</v>
          </cell>
          <cell r="E411" t="str">
            <v>ΛΕΒΑΝΤΑ</v>
          </cell>
          <cell r="F411" t="str">
            <v>B_1_6_12</v>
          </cell>
          <cell r="G411" t="str">
            <v>Αρωματικά, φαρμακευτικά και αρτυματικά φυτά</v>
          </cell>
          <cell r="H411">
            <v>1505</v>
          </cell>
          <cell r="K411" t="str">
            <v>Ναι</v>
          </cell>
          <cell r="L411" t="str">
            <v>ΝΑΙ</v>
          </cell>
          <cell r="O411" t="str">
            <v/>
          </cell>
        </row>
        <row r="412">
          <cell r="D412" t="str">
            <v>ΑΡΩΜΑΤΙΚΑ ΦΥΤΑ8149</v>
          </cell>
          <cell r="E412" t="str">
            <v>ΜΑΝΤΖΟΥΡΑΝΑ</v>
          </cell>
          <cell r="F412" t="str">
            <v>B_1_6_12</v>
          </cell>
          <cell r="G412" t="str">
            <v>Αρωματικά, φαρμακευτικά και αρτυματικά φυτά</v>
          </cell>
          <cell r="H412">
            <v>1505</v>
          </cell>
          <cell r="K412" t="str">
            <v>Ναι</v>
          </cell>
          <cell r="L412" t="str">
            <v>ΝΑΙ</v>
          </cell>
          <cell r="O412" t="str">
            <v/>
          </cell>
        </row>
        <row r="413">
          <cell r="D413" t="str">
            <v>ΑΡΩΜΑΤΙΚΑ ΦΥΤΑ8151</v>
          </cell>
          <cell r="E413" t="str">
            <v>ΜΕΛΙΣΣΟΧΟΡΤΟ</v>
          </cell>
          <cell r="F413" t="str">
            <v>B_1_6_12</v>
          </cell>
          <cell r="G413" t="str">
            <v>Αρωματικά, φαρμακευτικά και αρτυματικά φυτά</v>
          </cell>
          <cell r="H413">
            <v>1505</v>
          </cell>
          <cell r="K413" t="str">
            <v>Όχι</v>
          </cell>
          <cell r="L413" t="str">
            <v>ΌΧΙ</v>
          </cell>
          <cell r="O413" t="str">
            <v/>
          </cell>
        </row>
        <row r="414">
          <cell r="D414" t="str">
            <v>ΑΡΩΜΑΤΙΚΑ ΦΥΤΑ8152</v>
          </cell>
          <cell r="E414" t="str">
            <v>ΣΛΑΒΙΑ ΣΚΛΑΡΕΑ</v>
          </cell>
          <cell r="F414" t="str">
            <v>B_1_6_12</v>
          </cell>
          <cell r="G414" t="str">
            <v>Αρωματικά, φαρμακευτικά και αρτυματικά φυτά</v>
          </cell>
          <cell r="H414">
            <v>1505</v>
          </cell>
          <cell r="K414" t="str">
            <v>Ναι</v>
          </cell>
          <cell r="L414" t="str">
            <v>ΝΑΙ</v>
          </cell>
          <cell r="O414" t="str">
            <v/>
          </cell>
        </row>
        <row r="415">
          <cell r="D415" t="str">
            <v>ΑΡΩΜΑΤΙΚΑ ΦΥΤΑ8153</v>
          </cell>
          <cell r="E415" t="str">
            <v>ΥΣΣΩΠΟΣ</v>
          </cell>
          <cell r="F415" t="str">
            <v>B_1_6_12</v>
          </cell>
          <cell r="G415" t="str">
            <v>Αρωματικά, φαρμακευτικά και αρτυματικά φυτά</v>
          </cell>
          <cell r="H415">
            <v>1505</v>
          </cell>
          <cell r="K415" t="str">
            <v>Ναι</v>
          </cell>
          <cell r="L415" t="str">
            <v>ΝΑΙ</v>
          </cell>
          <cell r="O415" t="str">
            <v/>
          </cell>
        </row>
        <row r="416">
          <cell r="D416" t="str">
            <v>ΑΡΩΜΑΤΙΚΑ ΦΥΤΑ8154</v>
          </cell>
          <cell r="E416" t="str">
            <v>ΓΛΥΚΟΡΙΖΑ</v>
          </cell>
          <cell r="F416" t="str">
            <v>B_1_6_12</v>
          </cell>
          <cell r="G416" t="str">
            <v>Αρωματικά, φαρμακευτικά και αρτυματικά φυτά</v>
          </cell>
          <cell r="H416">
            <v>1505</v>
          </cell>
          <cell r="K416" t="str">
            <v>Ναι</v>
          </cell>
          <cell r="L416" t="str">
            <v>ΝΑΙ</v>
          </cell>
          <cell r="O416" t="str">
            <v/>
          </cell>
        </row>
        <row r="417">
          <cell r="D417" t="str">
            <v>ΑΡΩΜΑΤΙΚΑ ΦΥΤΑ8156</v>
          </cell>
          <cell r="E417" t="str">
            <v>ΚΡΟΚΟΣ (ΒΙΟΛΟΓΙΚΟΣ)</v>
          </cell>
          <cell r="F417" t="str">
            <v>B_1_6_12</v>
          </cell>
          <cell r="G417" t="str">
            <v>Αρωματικά, φαρμακευτικά και αρτυματικά φυτά</v>
          </cell>
          <cell r="H417">
            <v>1505</v>
          </cell>
          <cell r="K417" t="str">
            <v>Ναι</v>
          </cell>
          <cell r="L417" t="str">
            <v>ΝΑΙ</v>
          </cell>
          <cell r="O417" t="str">
            <v/>
          </cell>
        </row>
        <row r="418">
          <cell r="D418" t="str">
            <v>ΑΡΩΜΑΤΙΚΑ ΦΥΤΑ8157</v>
          </cell>
          <cell r="E418" t="str">
            <v>ΤΣΑΙ ΤΟΥ ΒΟΥΝΟΥ - ΤΟΠΙΚΟΙ ΠΛΗΘΥΣΜΟΙ</v>
          </cell>
          <cell r="F418" t="str">
            <v>B_1_6_12</v>
          </cell>
          <cell r="G418" t="str">
            <v>Αρωματικά, φαρμακευτικά και αρτυματικά φυτά</v>
          </cell>
          <cell r="H418">
            <v>1505</v>
          </cell>
          <cell r="K418" t="str">
            <v>Ναι</v>
          </cell>
          <cell r="L418" t="str">
            <v>ΝΑΙ</v>
          </cell>
          <cell r="O418" t="str">
            <v/>
          </cell>
        </row>
        <row r="419">
          <cell r="D419" t="str">
            <v>ΑΡΩΜΑΤΙΚΑ ΦΥΤΑ8158</v>
          </cell>
          <cell r="E419" t="str">
            <v>ΓΛΥΚΑΝΙΣΟ - ΤΟΠΙΚΗ ΛΕΣΒΟΥ, ΧΙΟΥ</v>
          </cell>
          <cell r="F419" t="str">
            <v>B_1_6_12</v>
          </cell>
          <cell r="G419" t="str">
            <v>Αρωματικά, φαρμακευτικά και αρτυματικά φυτά</v>
          </cell>
          <cell r="H419">
            <v>1505</v>
          </cell>
          <cell r="K419" t="str">
            <v>Ναι</v>
          </cell>
          <cell r="L419" t="str">
            <v>ΕΤ: ΝΑΙ, με βάση Β5 (αλλά όχι με βάση ΕΛΓΟ ΔΗΜΗΤΡΑ)</v>
          </cell>
          <cell r="M419" t="str">
            <v>ΕΛΓΟ ΔΗΜΗΤΡΑ ΌΧΙ, Β5 ΝΑΙ</v>
          </cell>
          <cell r="O419" t="str">
            <v/>
          </cell>
        </row>
        <row r="420">
          <cell r="D420" t="str">
            <v>ΑΡΩΜΑΤΙΚΑ ΦΥΤΑ8159</v>
          </cell>
          <cell r="E420" t="str">
            <v>ΡΙΓΑΝΗ - ΤΟΠΙΚΟΙ ΠΛΗΘΥΣΜΟΙ</v>
          </cell>
          <cell r="F420" t="str">
            <v>B_1_6_12</v>
          </cell>
          <cell r="G420" t="str">
            <v>Αρωματικά, φαρμακευτικά και αρτυματικά φυτά</v>
          </cell>
          <cell r="H420">
            <v>1505</v>
          </cell>
          <cell r="K420" t="str">
            <v>Ναι</v>
          </cell>
          <cell r="L420" t="str">
            <v>ΝΑΙ</v>
          </cell>
          <cell r="O420" t="str">
            <v/>
          </cell>
        </row>
        <row r="421">
          <cell r="D421" t="str">
            <v>ΑΡΩΜΑΤΙΚΑ ΦΥΤΑ8160</v>
          </cell>
          <cell r="E421" t="str">
            <v>ΔΙΚΤΑΜΟΣ - ΤΟΠΙΚΟΙ ΠΛΗΘΥΣΜΟΙ</v>
          </cell>
          <cell r="F421" t="str">
            <v>B_1_6_12</v>
          </cell>
          <cell r="G421" t="str">
            <v>Αρωματικά, φαρμακευτικά και αρτυματικά φυτά</v>
          </cell>
          <cell r="H421">
            <v>1505</v>
          </cell>
          <cell r="K421" t="str">
            <v>Ναι</v>
          </cell>
          <cell r="L421" t="str">
            <v>ΝΑΙ</v>
          </cell>
          <cell r="O421" t="str">
            <v/>
          </cell>
        </row>
        <row r="422">
          <cell r="D422" t="str">
            <v>ΑΡΩΜΑΤΙΚΑ ΦΥΤΑ8760</v>
          </cell>
          <cell r="E422" t="str">
            <v>ΦΑΚΕΛΩΤΗ</v>
          </cell>
          <cell r="F422" t="str">
            <v>B_1_6_12</v>
          </cell>
          <cell r="G422" t="str">
            <v>Αρωματικά, φαρμακευτικά και αρτυματικά φυτά</v>
          </cell>
          <cell r="H422">
            <v>1505</v>
          </cell>
          <cell r="K422" t="str">
            <v>Ναι</v>
          </cell>
          <cell r="L422" t="str">
            <v>ΝΑΙ</v>
          </cell>
          <cell r="O422" t="str">
            <v>!</v>
          </cell>
        </row>
        <row r="423">
          <cell r="D423" t="str">
            <v>ΒΑΜΒΑΚΙ1050</v>
          </cell>
          <cell r="E423" t="str">
            <v>REGINA</v>
          </cell>
          <cell r="F423" t="str">
            <v>B_1_6_3</v>
          </cell>
          <cell r="G423" t="str">
            <v>Βαμβάκι</v>
          </cell>
          <cell r="H423">
            <v>1516</v>
          </cell>
          <cell r="K423" t="str">
            <v>Όχι</v>
          </cell>
          <cell r="L423" t="str">
            <v>ΌΧΙ</v>
          </cell>
          <cell r="O423" t="str">
            <v/>
          </cell>
        </row>
        <row r="424">
          <cell r="D424" t="str">
            <v>ΒΑΜΒΑΚΙ1098</v>
          </cell>
          <cell r="E424" t="str">
            <v>MIRKANA</v>
          </cell>
          <cell r="F424" t="str">
            <v>B_1_6_3</v>
          </cell>
          <cell r="G424" t="str">
            <v>Βαμβάκι</v>
          </cell>
          <cell r="H424">
            <v>1516</v>
          </cell>
          <cell r="K424" t="str">
            <v>Όχι</v>
          </cell>
          <cell r="L424" t="str">
            <v>ΌΧΙ</v>
          </cell>
          <cell r="O424" t="str">
            <v/>
          </cell>
        </row>
        <row r="425">
          <cell r="D425" t="str">
            <v>ΒΑΜΒΑΚΙ12007</v>
          </cell>
          <cell r="E425" t="str">
            <v>CARLA</v>
          </cell>
          <cell r="F425" t="str">
            <v>B_1_6_3</v>
          </cell>
          <cell r="G425" t="str">
            <v>Βαμβάκι</v>
          </cell>
          <cell r="H425">
            <v>1516</v>
          </cell>
          <cell r="K425" t="str">
            <v>Όχι</v>
          </cell>
          <cell r="L425" t="str">
            <v>ΌΧΙ</v>
          </cell>
          <cell r="O425" t="str">
            <v/>
          </cell>
        </row>
        <row r="426">
          <cell r="D426" t="str">
            <v>ΒΑΜΒΑΚΙ12008</v>
          </cell>
          <cell r="E426" t="str">
            <v>ARMADA</v>
          </cell>
          <cell r="F426" t="str">
            <v>B_1_6_3</v>
          </cell>
          <cell r="G426" t="str">
            <v>Βαμβάκι</v>
          </cell>
          <cell r="H426">
            <v>1516</v>
          </cell>
          <cell r="K426" t="str">
            <v>Όχι</v>
          </cell>
          <cell r="L426" t="str">
            <v>ΌΧΙ</v>
          </cell>
          <cell r="O426" t="str">
            <v/>
          </cell>
        </row>
        <row r="427">
          <cell r="D427" t="str">
            <v>ΒΑΜΒΑΚΙ12009</v>
          </cell>
          <cell r="E427" t="str">
            <v>GAIA</v>
          </cell>
          <cell r="F427" t="str">
            <v>B_1_6_3</v>
          </cell>
          <cell r="G427" t="str">
            <v>Βαμβάκι</v>
          </cell>
          <cell r="H427">
            <v>1516</v>
          </cell>
          <cell r="K427" t="str">
            <v>Όχι</v>
          </cell>
          <cell r="L427" t="str">
            <v>ΌΧΙ</v>
          </cell>
          <cell r="O427" t="str">
            <v/>
          </cell>
        </row>
        <row r="428">
          <cell r="D428" t="str">
            <v>ΒΑΜΒΑΚΙ12010</v>
          </cell>
          <cell r="E428" t="str">
            <v>ETNA</v>
          </cell>
          <cell r="F428" t="str">
            <v>B_1_6_3</v>
          </cell>
          <cell r="G428" t="str">
            <v>Βαμβάκι</v>
          </cell>
          <cell r="H428">
            <v>1516</v>
          </cell>
          <cell r="K428" t="str">
            <v>Όχι</v>
          </cell>
          <cell r="L428" t="str">
            <v>ΌΧΙ</v>
          </cell>
          <cell r="O428" t="str">
            <v/>
          </cell>
        </row>
        <row r="429">
          <cell r="D429" t="str">
            <v>ΒΑΜΒΑΚΙ12011</v>
          </cell>
          <cell r="E429" t="str">
            <v>ETNA-YΒΡΙΔΙΟ</v>
          </cell>
          <cell r="F429" t="str">
            <v>B_1_6_3</v>
          </cell>
          <cell r="G429" t="str">
            <v>Βαμβάκι</v>
          </cell>
          <cell r="H429">
            <v>1516</v>
          </cell>
          <cell r="K429" t="str">
            <v>Όχι</v>
          </cell>
          <cell r="L429" t="str">
            <v>ΌΧΙ</v>
          </cell>
          <cell r="O429" t="str">
            <v/>
          </cell>
        </row>
        <row r="430">
          <cell r="D430" t="str">
            <v>ΒΑΜΒΑΚΙ12012</v>
          </cell>
          <cell r="E430" t="str">
            <v>EUROPA-YBΡΙΔΙΟ</v>
          </cell>
          <cell r="F430" t="str">
            <v>B_1_6_3</v>
          </cell>
          <cell r="G430" t="str">
            <v>Βαμβάκι</v>
          </cell>
          <cell r="H430">
            <v>1516</v>
          </cell>
          <cell r="K430" t="str">
            <v>Όχι</v>
          </cell>
          <cell r="L430" t="str">
            <v>ΌΧΙ</v>
          </cell>
          <cell r="O430" t="str">
            <v/>
          </cell>
        </row>
        <row r="431">
          <cell r="D431" t="str">
            <v>ΒΑΜΒΑΚΙ12013</v>
          </cell>
          <cell r="E431" t="str">
            <v>ΙΝΤΕRCOTΤ 195-ΥΒΡΙΔΙΟ</v>
          </cell>
          <cell r="F431" t="str">
            <v>B_1_6_3</v>
          </cell>
          <cell r="G431" t="str">
            <v>Βαμβάκι</v>
          </cell>
          <cell r="H431">
            <v>1516</v>
          </cell>
          <cell r="K431" t="str">
            <v>Όχι</v>
          </cell>
          <cell r="L431" t="str">
            <v>ΌΧΙ</v>
          </cell>
          <cell r="O431" t="str">
            <v/>
          </cell>
        </row>
        <row r="432">
          <cell r="D432" t="str">
            <v>ΒΑΜΒΑΚΙ12014</v>
          </cell>
          <cell r="E432" t="str">
            <v>INTERCOTT 211-ΥΒΡΙΔΙΟ</v>
          </cell>
          <cell r="F432" t="str">
            <v>B_1_6_3</v>
          </cell>
          <cell r="G432" t="str">
            <v>Βαμβάκι</v>
          </cell>
          <cell r="H432">
            <v>1516</v>
          </cell>
          <cell r="K432" t="str">
            <v>Όχι</v>
          </cell>
          <cell r="L432" t="str">
            <v>ΌΧΙ</v>
          </cell>
          <cell r="O432" t="str">
            <v/>
          </cell>
        </row>
        <row r="433">
          <cell r="D433" t="str">
            <v>ΒΑΜΒΑΚΙ12015</v>
          </cell>
          <cell r="E433" t="str">
            <v>INTERCOTT 670-YΒΡΙΔΙΟ</v>
          </cell>
          <cell r="F433" t="str">
            <v>B_1_6_3</v>
          </cell>
          <cell r="G433" t="str">
            <v>Βαμβάκι</v>
          </cell>
          <cell r="H433">
            <v>1516</v>
          </cell>
          <cell r="K433" t="str">
            <v>Όχι</v>
          </cell>
          <cell r="L433" t="str">
            <v>ΌΧΙ</v>
          </cell>
          <cell r="O433" t="str">
            <v/>
          </cell>
        </row>
        <row r="434">
          <cell r="D434" t="str">
            <v>ΒΑΜΒΑΚΙ12016</v>
          </cell>
          <cell r="E434" t="str">
            <v>INTERCOTT 701-ΥΒΡΙΔΙΟ</v>
          </cell>
          <cell r="F434" t="str">
            <v>B_1_6_3</v>
          </cell>
          <cell r="G434" t="str">
            <v>Βαμβάκι</v>
          </cell>
          <cell r="H434">
            <v>1516</v>
          </cell>
          <cell r="K434" t="str">
            <v>Όχι</v>
          </cell>
          <cell r="L434" t="str">
            <v>ΌΧΙ</v>
          </cell>
          <cell r="O434" t="str">
            <v/>
          </cell>
        </row>
        <row r="435">
          <cell r="D435" t="str">
            <v>ΒΑΜΒΑΚΙ12017</v>
          </cell>
          <cell r="E435" t="str">
            <v>SEVILLA-YBΡΙΔΙΟ</v>
          </cell>
          <cell r="F435" t="str">
            <v>B_1_6_3</v>
          </cell>
          <cell r="G435" t="str">
            <v>Βαμβάκι</v>
          </cell>
          <cell r="H435">
            <v>1516</v>
          </cell>
          <cell r="K435" t="str">
            <v>Όχι</v>
          </cell>
          <cell r="L435" t="str">
            <v>ΌΧΙ</v>
          </cell>
          <cell r="O435" t="str">
            <v/>
          </cell>
        </row>
        <row r="436">
          <cell r="D436" t="str">
            <v>ΒΑΜΒΑΚΙ12018</v>
          </cell>
          <cell r="E436" t="str">
            <v>PRG 9706</v>
          </cell>
          <cell r="F436" t="str">
            <v>B_1_6_3</v>
          </cell>
          <cell r="G436" t="str">
            <v>Βαμβάκι</v>
          </cell>
          <cell r="H436">
            <v>1516</v>
          </cell>
          <cell r="K436" t="str">
            <v>Όχι</v>
          </cell>
          <cell r="L436" t="str">
            <v>ΌΧΙ</v>
          </cell>
          <cell r="O436" t="str">
            <v/>
          </cell>
        </row>
        <row r="437">
          <cell r="D437" t="str">
            <v>ΒΑΜΒΑΚΙ12019</v>
          </cell>
          <cell r="E437" t="str">
            <v>PHY 983</v>
          </cell>
          <cell r="F437" t="str">
            <v>B_1_6_3</v>
          </cell>
          <cell r="G437" t="str">
            <v>Βαμβάκι</v>
          </cell>
          <cell r="H437">
            <v>1516</v>
          </cell>
          <cell r="K437" t="str">
            <v>Όχι</v>
          </cell>
          <cell r="L437" t="str">
            <v>ΌΧΙ</v>
          </cell>
          <cell r="O437" t="str">
            <v/>
          </cell>
        </row>
        <row r="438">
          <cell r="D438" t="str">
            <v>ΒΑΜΒΑΚΙ12020</v>
          </cell>
          <cell r="E438" t="str">
            <v>PG 2018</v>
          </cell>
          <cell r="F438" t="str">
            <v>B_1_6_3</v>
          </cell>
          <cell r="G438" t="str">
            <v>Βαμβάκι</v>
          </cell>
          <cell r="H438">
            <v>1516</v>
          </cell>
          <cell r="K438" t="str">
            <v>Όχι</v>
          </cell>
          <cell r="L438" t="str">
            <v>ΌΧΙ</v>
          </cell>
          <cell r="O438" t="str">
            <v/>
          </cell>
        </row>
        <row r="439">
          <cell r="D439" t="str">
            <v>ΒΑΜΒΑΚΙ1256</v>
          </cell>
          <cell r="E439" t="str">
            <v>KORINA (ΚΟΡΙΝΑ)</v>
          </cell>
          <cell r="F439" t="str">
            <v>B_1_6_3</v>
          </cell>
          <cell r="G439" t="str">
            <v>Βαμβάκι</v>
          </cell>
          <cell r="H439">
            <v>1516</v>
          </cell>
          <cell r="K439" t="str">
            <v>Όχι</v>
          </cell>
          <cell r="L439" t="str">
            <v>ΌΧΙ</v>
          </cell>
          <cell r="O439" t="str">
            <v/>
          </cell>
        </row>
        <row r="440">
          <cell r="D440" t="str">
            <v>ΒΑΜΒΑΚΙ1258</v>
          </cell>
          <cell r="E440" t="str">
            <v>MYRTO (ΜΥΡΤΩ)</v>
          </cell>
          <cell r="F440" t="str">
            <v>B_1_6_3</v>
          </cell>
          <cell r="G440" t="str">
            <v>Βαμβάκι</v>
          </cell>
          <cell r="H440">
            <v>1516</v>
          </cell>
          <cell r="K440" t="str">
            <v>Όχι</v>
          </cell>
          <cell r="L440" t="str">
            <v>ΌΧΙ</v>
          </cell>
          <cell r="O440" t="str">
            <v/>
          </cell>
        </row>
        <row r="441">
          <cell r="D441" t="str">
            <v>ΒΑΜΒΑΚΙ1259</v>
          </cell>
          <cell r="E441" t="str">
            <v>EVA (ΕΥΑ)</v>
          </cell>
          <cell r="F441" t="str">
            <v>B_1_6_3</v>
          </cell>
          <cell r="G441" t="str">
            <v>Βαμβάκι</v>
          </cell>
          <cell r="H441">
            <v>1516</v>
          </cell>
          <cell r="K441" t="str">
            <v>Όχι</v>
          </cell>
          <cell r="L441" t="str">
            <v>ΌΧΙ</v>
          </cell>
          <cell r="O441" t="str">
            <v/>
          </cell>
        </row>
        <row r="442">
          <cell r="D442" t="str">
            <v>ΒΑΜΒΑΚΙ1336</v>
          </cell>
          <cell r="E442" t="str">
            <v>OURANIA</v>
          </cell>
          <cell r="F442" t="str">
            <v>B_1_6_3</v>
          </cell>
          <cell r="G442" t="str">
            <v>Βαμβάκι</v>
          </cell>
          <cell r="H442">
            <v>1516</v>
          </cell>
          <cell r="K442" t="str">
            <v>Όχι</v>
          </cell>
          <cell r="L442" t="str">
            <v>ΌΧΙ</v>
          </cell>
          <cell r="O442" t="str">
            <v/>
          </cell>
        </row>
        <row r="443">
          <cell r="D443" t="str">
            <v>ΒΑΜΒΑΚΙ1458</v>
          </cell>
          <cell r="E443" t="str">
            <v>STONEVILLE-506</v>
          </cell>
          <cell r="F443" t="str">
            <v>B_1_6_3</v>
          </cell>
          <cell r="G443" t="str">
            <v>Βαμβάκι</v>
          </cell>
          <cell r="H443">
            <v>1516</v>
          </cell>
          <cell r="K443" t="str">
            <v>Όχι</v>
          </cell>
          <cell r="L443" t="str">
            <v>ΌΧΙ</v>
          </cell>
          <cell r="O443" t="str">
            <v/>
          </cell>
        </row>
        <row r="444">
          <cell r="D444" t="str">
            <v>ΒΑΜΒΑΚΙ1461</v>
          </cell>
          <cell r="E444" t="str">
            <v>ST 324</v>
          </cell>
          <cell r="F444" t="str">
            <v>B_1_6_3</v>
          </cell>
          <cell r="G444" t="str">
            <v>Βαμβάκι</v>
          </cell>
          <cell r="H444">
            <v>1516</v>
          </cell>
          <cell r="K444" t="str">
            <v>Όχι</v>
          </cell>
          <cell r="L444" t="str">
            <v>ΌΧΙ</v>
          </cell>
          <cell r="O444" t="str">
            <v/>
          </cell>
        </row>
        <row r="445">
          <cell r="D445" t="str">
            <v>ΒΑΜΒΑΚΙ1479</v>
          </cell>
          <cell r="E445" t="str">
            <v>AVGI (ΑΥΓΗ)</v>
          </cell>
          <cell r="F445" t="str">
            <v>B_1_6_3</v>
          </cell>
          <cell r="G445" t="str">
            <v>Βαμβάκι</v>
          </cell>
          <cell r="H445">
            <v>1516</v>
          </cell>
          <cell r="K445" t="str">
            <v>Όχι</v>
          </cell>
          <cell r="L445" t="str">
            <v>ΌΧΙ</v>
          </cell>
          <cell r="O445" t="str">
            <v/>
          </cell>
        </row>
        <row r="446">
          <cell r="D446" t="str">
            <v>ΒΑΜΒΑΚΙ1562</v>
          </cell>
          <cell r="E446" t="str">
            <v>ILION</v>
          </cell>
          <cell r="F446" t="str">
            <v>B_1_6_3</v>
          </cell>
          <cell r="G446" t="str">
            <v>Βαμβάκι</v>
          </cell>
          <cell r="H446">
            <v>1516</v>
          </cell>
          <cell r="K446" t="str">
            <v>Όχι</v>
          </cell>
          <cell r="L446" t="str">
            <v>ΌΧΙ</v>
          </cell>
          <cell r="O446" t="str">
            <v/>
          </cell>
        </row>
        <row r="447">
          <cell r="D447" t="str">
            <v>ΒΑΜΒΑΚΙ1563</v>
          </cell>
          <cell r="E447" t="str">
            <v>PENTA</v>
          </cell>
          <cell r="F447" t="str">
            <v>B_1_6_3</v>
          </cell>
          <cell r="G447" t="str">
            <v>Βαμβάκι</v>
          </cell>
          <cell r="H447">
            <v>1516</v>
          </cell>
          <cell r="K447" t="str">
            <v>Όχι</v>
          </cell>
          <cell r="L447" t="str">
            <v>ΌΧΙ</v>
          </cell>
          <cell r="O447" t="str">
            <v/>
          </cell>
        </row>
        <row r="448">
          <cell r="D448" t="str">
            <v>ΒΑΜΒΑΚΙ1564</v>
          </cell>
          <cell r="E448" t="str">
            <v>ALFA</v>
          </cell>
          <cell r="F448" t="str">
            <v>B_1_6_3</v>
          </cell>
          <cell r="G448" t="str">
            <v>Βαμβάκι</v>
          </cell>
          <cell r="H448">
            <v>1516</v>
          </cell>
          <cell r="K448" t="str">
            <v>Όχι</v>
          </cell>
          <cell r="L448" t="str">
            <v>ΌΧΙ</v>
          </cell>
          <cell r="O448" t="str">
            <v/>
          </cell>
        </row>
        <row r="449">
          <cell r="D449" t="str">
            <v>ΒΑΜΒΑΚΙ1597</v>
          </cell>
          <cell r="E449" t="str">
            <v>ZOI</v>
          </cell>
          <cell r="F449" t="str">
            <v>B_1_6_3</v>
          </cell>
          <cell r="G449" t="str">
            <v>Βαμβάκι</v>
          </cell>
          <cell r="H449">
            <v>1516</v>
          </cell>
          <cell r="K449" t="str">
            <v>Όχι</v>
          </cell>
          <cell r="L449" t="str">
            <v>ΌΧΙ</v>
          </cell>
          <cell r="O449" t="str">
            <v/>
          </cell>
        </row>
        <row r="450">
          <cell r="D450" t="str">
            <v>ΒΑΜΒΑΚΙ1642</v>
          </cell>
          <cell r="E450" t="str">
            <v>NEVADA</v>
          </cell>
          <cell r="F450" t="str">
            <v>B_1_6_3</v>
          </cell>
          <cell r="G450" t="str">
            <v>Βαμβάκι</v>
          </cell>
          <cell r="H450">
            <v>1516</v>
          </cell>
          <cell r="K450" t="str">
            <v>Όχι</v>
          </cell>
          <cell r="L450" t="str">
            <v>ΌΧΙ</v>
          </cell>
          <cell r="O450" t="str">
            <v/>
          </cell>
        </row>
        <row r="451">
          <cell r="D451" t="str">
            <v>ΒΑΜΒΑΚΙ1655</v>
          </cell>
          <cell r="E451" t="str">
            <v>ROXY</v>
          </cell>
          <cell r="F451" t="str">
            <v>B_1_6_3</v>
          </cell>
          <cell r="G451" t="str">
            <v>Βαμβάκι</v>
          </cell>
          <cell r="H451">
            <v>1516</v>
          </cell>
          <cell r="K451" t="str">
            <v>Όχι</v>
          </cell>
          <cell r="L451" t="str">
            <v>ΌΧΙ</v>
          </cell>
          <cell r="O451" t="str">
            <v/>
          </cell>
        </row>
        <row r="452">
          <cell r="D452" t="str">
            <v>ΒΑΜΒΑΚΙ1656</v>
          </cell>
          <cell r="E452" t="str">
            <v>CONTESSA</v>
          </cell>
          <cell r="F452" t="str">
            <v>B_1_6_3</v>
          </cell>
          <cell r="G452" t="str">
            <v>Βαμβάκι</v>
          </cell>
          <cell r="H452">
            <v>1516</v>
          </cell>
          <cell r="K452" t="str">
            <v>Όχι</v>
          </cell>
          <cell r="L452" t="str">
            <v>ΌΧΙ</v>
          </cell>
          <cell r="O452" t="str">
            <v/>
          </cell>
        </row>
        <row r="453">
          <cell r="D453" t="str">
            <v>ΒΑΜΒΑΚΙ1657</v>
          </cell>
          <cell r="E453" t="str">
            <v>TROPICANA</v>
          </cell>
          <cell r="F453" t="str">
            <v>B_1_6_3</v>
          </cell>
          <cell r="G453" t="str">
            <v>Βαμβάκι</v>
          </cell>
          <cell r="H453">
            <v>1516</v>
          </cell>
          <cell r="K453" t="str">
            <v>Όχι</v>
          </cell>
          <cell r="L453" t="str">
            <v>ΌΧΙ</v>
          </cell>
          <cell r="O453" t="str">
            <v/>
          </cell>
        </row>
        <row r="454">
          <cell r="D454" t="str">
            <v>ΒΑΜΒΑΚΙ1661</v>
          </cell>
          <cell r="E454" t="str">
            <v>EL DORADO</v>
          </cell>
          <cell r="F454" t="str">
            <v>B_1_6_3</v>
          </cell>
          <cell r="G454" t="str">
            <v>Βαμβάκι</v>
          </cell>
          <cell r="H454">
            <v>1516</v>
          </cell>
          <cell r="K454" t="str">
            <v>Όχι</v>
          </cell>
          <cell r="L454" t="str">
            <v>ΌΧΙ</v>
          </cell>
          <cell r="O454" t="str">
            <v/>
          </cell>
        </row>
        <row r="455">
          <cell r="D455" t="str">
            <v>ΒΑΜΒΑΚΙ1662</v>
          </cell>
          <cell r="E455" t="str">
            <v>BALKA</v>
          </cell>
          <cell r="F455" t="str">
            <v>B_1_6_3</v>
          </cell>
          <cell r="G455" t="str">
            <v>Βαμβάκι</v>
          </cell>
          <cell r="H455">
            <v>1516</v>
          </cell>
          <cell r="K455" t="str">
            <v>Όχι</v>
          </cell>
          <cell r="L455" t="str">
            <v>ΌΧΙ</v>
          </cell>
          <cell r="O455" t="str">
            <v/>
          </cell>
        </row>
        <row r="456">
          <cell r="D456" t="str">
            <v>ΒΑΜΒΑΚΙ1663</v>
          </cell>
          <cell r="E456" t="str">
            <v>MAYA</v>
          </cell>
          <cell r="F456" t="str">
            <v>B_1_6_3</v>
          </cell>
          <cell r="G456" t="str">
            <v>Βαμβάκι</v>
          </cell>
          <cell r="H456">
            <v>1516</v>
          </cell>
          <cell r="K456" t="str">
            <v>Όχι</v>
          </cell>
          <cell r="L456" t="str">
            <v>ΌΧΙ</v>
          </cell>
          <cell r="O456" t="str">
            <v/>
          </cell>
        </row>
        <row r="457">
          <cell r="D457" t="str">
            <v>ΒΑΜΒΑΚΙ1680</v>
          </cell>
          <cell r="E457" t="str">
            <v>KING</v>
          </cell>
          <cell r="F457" t="str">
            <v>B_1_6_3</v>
          </cell>
          <cell r="G457" t="str">
            <v>Βαμβάκι</v>
          </cell>
          <cell r="H457">
            <v>1516</v>
          </cell>
          <cell r="K457" t="str">
            <v>Όχι</v>
          </cell>
          <cell r="L457" t="str">
            <v>ΌΧΙ</v>
          </cell>
          <cell r="O457" t="str">
            <v/>
          </cell>
        </row>
        <row r="458">
          <cell r="D458" t="str">
            <v>ΒΑΜΒΑΚΙ1687</v>
          </cell>
          <cell r="E458" t="str">
            <v>SURE GROW 501</v>
          </cell>
          <cell r="F458" t="str">
            <v>B_1_6_3</v>
          </cell>
          <cell r="G458" t="str">
            <v>Βαμβάκι</v>
          </cell>
          <cell r="H458">
            <v>1516</v>
          </cell>
          <cell r="K458" t="str">
            <v>Όχι</v>
          </cell>
          <cell r="L458" t="str">
            <v>ΌΧΙ</v>
          </cell>
          <cell r="O458" t="str">
            <v/>
          </cell>
        </row>
        <row r="459">
          <cell r="D459" t="str">
            <v>ΒΑΜΒΑΚΙ1688</v>
          </cell>
          <cell r="E459" t="str">
            <v>SURE GROW 404</v>
          </cell>
          <cell r="F459" t="str">
            <v>B_1_6_3</v>
          </cell>
          <cell r="G459" t="str">
            <v>Βαμβάκι</v>
          </cell>
          <cell r="H459">
            <v>1516</v>
          </cell>
          <cell r="K459" t="str">
            <v>Όχι</v>
          </cell>
          <cell r="L459" t="str">
            <v>ΌΧΙ</v>
          </cell>
          <cell r="O459" t="str">
            <v/>
          </cell>
        </row>
        <row r="460">
          <cell r="D460" t="str">
            <v>ΒΑΜΒΑΚΙ169</v>
          </cell>
          <cell r="E460" t="str">
            <v>SINDOS 80 (ΣΙΝΔΟΣ 80)</v>
          </cell>
          <cell r="F460" t="str">
            <v>B_1_6_3</v>
          </cell>
          <cell r="G460" t="str">
            <v>Βαμβάκι</v>
          </cell>
          <cell r="H460">
            <v>1516</v>
          </cell>
          <cell r="K460" t="str">
            <v>Όχι</v>
          </cell>
          <cell r="L460" t="str">
            <v>ΌΧΙ</v>
          </cell>
          <cell r="O460" t="str">
            <v/>
          </cell>
        </row>
        <row r="461">
          <cell r="D461" t="str">
            <v>ΒΑΜΒΑΚΙ1690</v>
          </cell>
          <cell r="E461" t="str">
            <v>MONTANA</v>
          </cell>
          <cell r="F461" t="str">
            <v>B_1_6_3</v>
          </cell>
          <cell r="G461" t="str">
            <v>Βαμβάκι</v>
          </cell>
          <cell r="H461">
            <v>1516</v>
          </cell>
          <cell r="K461" t="str">
            <v>Όχι</v>
          </cell>
          <cell r="L461" t="str">
            <v>ΌΧΙ</v>
          </cell>
          <cell r="O461" t="str">
            <v/>
          </cell>
        </row>
        <row r="462">
          <cell r="D462" t="str">
            <v>ΒΑΜΒΑΚΙ1691</v>
          </cell>
          <cell r="E462" t="str">
            <v>YUMA</v>
          </cell>
          <cell r="F462" t="str">
            <v>B_1_6_3</v>
          </cell>
          <cell r="G462" t="str">
            <v>Βαμβάκι</v>
          </cell>
          <cell r="H462">
            <v>1516</v>
          </cell>
          <cell r="K462" t="str">
            <v>Όχι</v>
          </cell>
          <cell r="L462" t="str">
            <v>ΌΧΙ</v>
          </cell>
          <cell r="O462" t="str">
            <v/>
          </cell>
        </row>
        <row r="463">
          <cell r="D463" t="str">
            <v>ΒΑΜΒΑΚΙ1692</v>
          </cell>
          <cell r="E463" t="str">
            <v>APOLLONIA</v>
          </cell>
          <cell r="F463" t="str">
            <v>B_1_6_3</v>
          </cell>
          <cell r="G463" t="str">
            <v>Βαμβάκι</v>
          </cell>
          <cell r="H463">
            <v>1516</v>
          </cell>
          <cell r="K463" t="str">
            <v>Όχι</v>
          </cell>
          <cell r="L463" t="str">
            <v>ΌΧΙ</v>
          </cell>
          <cell r="O463" t="str">
            <v/>
          </cell>
        </row>
        <row r="464">
          <cell r="D464" t="str">
            <v>ΒΑΜΒΑΚΙ1693</v>
          </cell>
          <cell r="E464" t="str">
            <v>OLYMPIA</v>
          </cell>
          <cell r="F464" t="str">
            <v>B_1_6_3</v>
          </cell>
          <cell r="G464" t="str">
            <v>Βαμβάκι</v>
          </cell>
          <cell r="H464">
            <v>1516</v>
          </cell>
          <cell r="K464" t="str">
            <v>Όχι</v>
          </cell>
          <cell r="L464" t="str">
            <v>ΌΧΙ</v>
          </cell>
          <cell r="O464" t="str">
            <v/>
          </cell>
        </row>
        <row r="465">
          <cell r="D465" t="str">
            <v>ΒΑΜΒΑΚΙ1694</v>
          </cell>
          <cell r="E465" t="str">
            <v>CHRISTIDIS (ΧΡΗΣΤΙΔΗΣ)</v>
          </cell>
          <cell r="F465" t="str">
            <v>B_1_6_3</v>
          </cell>
          <cell r="G465" t="str">
            <v>Βαμβάκι</v>
          </cell>
          <cell r="H465">
            <v>1516</v>
          </cell>
          <cell r="K465" t="str">
            <v>Όχι</v>
          </cell>
          <cell r="L465" t="str">
            <v>ΌΧΙ</v>
          </cell>
          <cell r="O465" t="str">
            <v/>
          </cell>
        </row>
        <row r="466">
          <cell r="D466" t="str">
            <v>ΒΑΜΒΑΚΙ1695</v>
          </cell>
          <cell r="E466" t="str">
            <v>ETHIAGE-1 (ΕΘΙΑΓΕ-1)</v>
          </cell>
          <cell r="F466" t="str">
            <v>B_1_6_3</v>
          </cell>
          <cell r="G466" t="str">
            <v>Βαμβάκι</v>
          </cell>
          <cell r="H466">
            <v>1516</v>
          </cell>
          <cell r="K466" t="str">
            <v>Όχι</v>
          </cell>
          <cell r="L466" t="str">
            <v>ΌΧΙ</v>
          </cell>
          <cell r="O466" t="str">
            <v/>
          </cell>
        </row>
        <row r="467">
          <cell r="D467" t="str">
            <v>ΒΑΜΒΑΚΙ1697</v>
          </cell>
          <cell r="E467" t="str">
            <v>PONDEROSA</v>
          </cell>
          <cell r="F467" t="str">
            <v>B_1_6_3</v>
          </cell>
          <cell r="G467" t="str">
            <v>Βαμβάκι</v>
          </cell>
          <cell r="H467">
            <v>1516</v>
          </cell>
          <cell r="K467" t="str">
            <v>Όχι</v>
          </cell>
          <cell r="L467" t="str">
            <v>ΌΧΙ</v>
          </cell>
          <cell r="O467" t="str">
            <v/>
          </cell>
        </row>
        <row r="468">
          <cell r="D468" t="str">
            <v>ΒΑΜΒΑΚΙ170</v>
          </cell>
          <cell r="E468" t="str">
            <v>4S (4Σ)</v>
          </cell>
          <cell r="F468" t="str">
            <v>B_1_6_3</v>
          </cell>
          <cell r="G468" t="str">
            <v>Βαμβάκι</v>
          </cell>
          <cell r="H468">
            <v>1516</v>
          </cell>
          <cell r="K468" t="str">
            <v>Όχι</v>
          </cell>
          <cell r="L468" t="str">
            <v>ΌΧΙ</v>
          </cell>
          <cell r="O468" t="str">
            <v/>
          </cell>
        </row>
        <row r="469">
          <cell r="D469" t="str">
            <v>ΒΑΜΒΑΚΙ1707</v>
          </cell>
          <cell r="E469" t="str">
            <v>CARAT</v>
          </cell>
          <cell r="F469" t="str">
            <v>B_1_6_3</v>
          </cell>
          <cell r="G469" t="str">
            <v>Βαμβάκι</v>
          </cell>
          <cell r="H469">
            <v>1516</v>
          </cell>
          <cell r="K469" t="str">
            <v>Όχι</v>
          </cell>
          <cell r="L469" t="str">
            <v>ΌΧΙ</v>
          </cell>
          <cell r="O469" t="str">
            <v/>
          </cell>
        </row>
        <row r="470">
          <cell r="D470" t="str">
            <v>ΒΑΜΒΑΚΙ172</v>
          </cell>
          <cell r="E470" t="str">
            <v>AΚALA SINDOY (ΑΚΑΛΑ ΣΙΝΔΟΥ)</v>
          </cell>
          <cell r="F470" t="str">
            <v>B_1_6_3</v>
          </cell>
          <cell r="G470" t="str">
            <v>Βαμβάκι</v>
          </cell>
          <cell r="H470">
            <v>1516</v>
          </cell>
          <cell r="K470" t="str">
            <v>Όχι</v>
          </cell>
          <cell r="L470" t="str">
            <v>ΌΧΙ</v>
          </cell>
          <cell r="O470" t="str">
            <v/>
          </cell>
        </row>
        <row r="471">
          <cell r="D471" t="str">
            <v>ΒΑΜΒΑΚΙ1728</v>
          </cell>
          <cell r="E471" t="str">
            <v>ΙΡΕΝ</v>
          </cell>
          <cell r="F471" t="str">
            <v>B_1_6_3</v>
          </cell>
          <cell r="G471" t="str">
            <v>Βαμβάκι</v>
          </cell>
          <cell r="H471">
            <v>1516</v>
          </cell>
          <cell r="K471" t="str">
            <v>Όχι</v>
          </cell>
          <cell r="L471" t="str">
            <v>ΌΧΙ</v>
          </cell>
          <cell r="O471" t="str">
            <v/>
          </cell>
        </row>
        <row r="472">
          <cell r="D472" t="str">
            <v>ΒΑΜΒΑΚΙ1730</v>
          </cell>
          <cell r="E472" t="str">
            <v>RENATA</v>
          </cell>
          <cell r="F472" t="str">
            <v>B_1_6_3</v>
          </cell>
          <cell r="G472" t="str">
            <v>Βαμβάκι</v>
          </cell>
          <cell r="H472">
            <v>1516</v>
          </cell>
          <cell r="K472" t="str">
            <v>Όχι</v>
          </cell>
          <cell r="L472" t="str">
            <v>ΌΧΙ</v>
          </cell>
          <cell r="O472" t="str">
            <v/>
          </cell>
        </row>
        <row r="473">
          <cell r="D473" t="str">
            <v>ΒΑΜΒΑΚΙ1734</v>
          </cell>
          <cell r="E473" t="str">
            <v>CHRISTINA (ΧΡΙΣΤΙΝΑ)</v>
          </cell>
          <cell r="F473" t="str">
            <v>B_1_6_3</v>
          </cell>
          <cell r="G473" t="str">
            <v>Βαμβάκι</v>
          </cell>
          <cell r="H473">
            <v>1516</v>
          </cell>
          <cell r="K473" t="str">
            <v>Όχι</v>
          </cell>
          <cell r="L473" t="str">
            <v>ΌΧΙ</v>
          </cell>
          <cell r="O473" t="str">
            <v/>
          </cell>
        </row>
        <row r="474">
          <cell r="D474" t="str">
            <v>ΒΑΜΒΑΚΙ1736</v>
          </cell>
          <cell r="E474" t="str">
            <v>ROMILA</v>
          </cell>
          <cell r="F474" t="str">
            <v>B_1_6_3</v>
          </cell>
          <cell r="G474" t="str">
            <v>Βαμβάκι</v>
          </cell>
          <cell r="H474">
            <v>1516</v>
          </cell>
          <cell r="K474" t="str">
            <v>Όχι</v>
          </cell>
          <cell r="L474" t="str">
            <v>ΌΧΙ</v>
          </cell>
          <cell r="O474" t="str">
            <v/>
          </cell>
        </row>
        <row r="475">
          <cell r="D475" t="str">
            <v>ΒΑΜΒΑΚΙ1737</v>
          </cell>
          <cell r="E475" t="str">
            <v>INDIANA</v>
          </cell>
          <cell r="F475" t="str">
            <v>B_1_6_3</v>
          </cell>
          <cell r="G475" t="str">
            <v>Βαμβάκι</v>
          </cell>
          <cell r="H475">
            <v>1516</v>
          </cell>
          <cell r="K475" t="str">
            <v>Όχι</v>
          </cell>
          <cell r="L475" t="str">
            <v>ΌΧΙ</v>
          </cell>
          <cell r="O475" t="str">
            <v/>
          </cell>
        </row>
        <row r="476">
          <cell r="D476" t="str">
            <v>ΒΑΜΒΑΚΙ1739</v>
          </cell>
          <cell r="E476" t="str">
            <v>LIA</v>
          </cell>
          <cell r="F476" t="str">
            <v>B_1_6_3</v>
          </cell>
          <cell r="G476" t="str">
            <v>Βαμβάκι</v>
          </cell>
          <cell r="H476">
            <v>1516</v>
          </cell>
          <cell r="K476" t="str">
            <v>Όχι</v>
          </cell>
          <cell r="L476" t="str">
            <v>ΌΧΙ</v>
          </cell>
          <cell r="O476" t="str">
            <v/>
          </cell>
        </row>
        <row r="477">
          <cell r="D477" t="str">
            <v>ΒΑΜΒΑΚΙ1740</v>
          </cell>
          <cell r="E477" t="str">
            <v>AMARA</v>
          </cell>
          <cell r="F477" t="str">
            <v>B_1_6_3</v>
          </cell>
          <cell r="G477" t="str">
            <v>Βαμβάκι</v>
          </cell>
          <cell r="H477">
            <v>1516</v>
          </cell>
          <cell r="K477" t="str">
            <v>Όχι</v>
          </cell>
          <cell r="L477" t="str">
            <v>ΌΧΙ</v>
          </cell>
          <cell r="O477" t="str">
            <v/>
          </cell>
        </row>
        <row r="478">
          <cell r="D478" t="str">
            <v>ΒΑΜΒΑΚΙ1747</v>
          </cell>
          <cell r="E478" t="str">
            <v>SURE GROW 125</v>
          </cell>
          <cell r="F478" t="str">
            <v>B_1_6_3</v>
          </cell>
          <cell r="G478" t="str">
            <v>Βαμβάκι</v>
          </cell>
          <cell r="H478">
            <v>1516</v>
          </cell>
          <cell r="K478" t="str">
            <v>Όχι</v>
          </cell>
          <cell r="L478" t="str">
            <v>ΌΧΙ</v>
          </cell>
          <cell r="O478" t="str">
            <v/>
          </cell>
        </row>
        <row r="479">
          <cell r="D479" t="str">
            <v>ΒΑΜΒΑΚΙ1748</v>
          </cell>
          <cell r="E479" t="str">
            <v>DIVA</v>
          </cell>
          <cell r="F479" t="str">
            <v>B_1_6_3</v>
          </cell>
          <cell r="G479" t="str">
            <v>Βαμβάκι</v>
          </cell>
          <cell r="H479">
            <v>1516</v>
          </cell>
          <cell r="K479" t="str">
            <v>Όχι</v>
          </cell>
          <cell r="L479" t="str">
            <v>ΌΧΙ</v>
          </cell>
          <cell r="O479" t="str">
            <v/>
          </cell>
        </row>
        <row r="480">
          <cell r="D480" t="str">
            <v>ΒΑΜΒΑΚΙ1773</v>
          </cell>
          <cell r="E480" t="str">
            <v>STEFANIA</v>
          </cell>
          <cell r="F480" t="str">
            <v>B_1_6_3</v>
          </cell>
          <cell r="G480" t="str">
            <v>Βαμβάκι</v>
          </cell>
          <cell r="H480">
            <v>1516</v>
          </cell>
          <cell r="K480" t="str">
            <v>Όχι</v>
          </cell>
          <cell r="L480" t="str">
            <v>ΌΧΙ</v>
          </cell>
          <cell r="O480" t="str">
            <v/>
          </cell>
        </row>
        <row r="481">
          <cell r="D481" t="str">
            <v>ΒΑΜΒΑΚΙ1778</v>
          </cell>
          <cell r="E481" t="str">
            <v>BOLINA</v>
          </cell>
          <cell r="F481" t="str">
            <v>B_1_6_3</v>
          </cell>
          <cell r="G481" t="str">
            <v>Βαμβάκι</v>
          </cell>
          <cell r="H481">
            <v>1516</v>
          </cell>
          <cell r="K481" t="str">
            <v>Όχι</v>
          </cell>
          <cell r="L481" t="str">
            <v>ΌΧΙ</v>
          </cell>
          <cell r="O481" t="str">
            <v/>
          </cell>
        </row>
        <row r="482">
          <cell r="D482" t="str">
            <v>ΒΑΜΒΑΚΙ180</v>
          </cell>
          <cell r="E482" t="str">
            <v>SAMOS (ΣΑΜΟΣ)</v>
          </cell>
          <cell r="F482" t="str">
            <v>B_1_6_3</v>
          </cell>
          <cell r="G482" t="str">
            <v>Βαμβάκι</v>
          </cell>
          <cell r="H482">
            <v>1516</v>
          </cell>
          <cell r="K482" t="str">
            <v>Όχι</v>
          </cell>
          <cell r="L482" t="str">
            <v>ΌΧΙ</v>
          </cell>
          <cell r="O482" t="str">
            <v/>
          </cell>
        </row>
        <row r="483">
          <cell r="D483" t="str">
            <v>ΒΑΜΒΑΚΙ1809</v>
          </cell>
          <cell r="E483" t="str">
            <v>EXPRESS</v>
          </cell>
          <cell r="F483" t="str">
            <v>B_1_6_3</v>
          </cell>
          <cell r="G483" t="str">
            <v>Βαμβάκι</v>
          </cell>
          <cell r="H483">
            <v>1516</v>
          </cell>
          <cell r="K483" t="str">
            <v>Όχι</v>
          </cell>
          <cell r="L483" t="str">
            <v>ΌΧΙ</v>
          </cell>
          <cell r="O483" t="str">
            <v/>
          </cell>
        </row>
        <row r="484">
          <cell r="D484" t="str">
            <v>ΒΑΜΒΑΚΙ1813</v>
          </cell>
          <cell r="E484" t="str">
            <v>DALIA</v>
          </cell>
          <cell r="F484" t="str">
            <v>B_1_6_3</v>
          </cell>
          <cell r="G484" t="str">
            <v>Βαμβάκι</v>
          </cell>
          <cell r="H484">
            <v>1516</v>
          </cell>
          <cell r="K484" t="str">
            <v>Όχι</v>
          </cell>
          <cell r="L484" t="str">
            <v>ΌΧΙ</v>
          </cell>
          <cell r="O484" t="str">
            <v/>
          </cell>
        </row>
        <row r="485">
          <cell r="D485" t="str">
            <v>ΒΑΜΒΑΚΙ1814</v>
          </cell>
          <cell r="E485" t="str">
            <v>LUCIA (ΛΟΥΚΙΑ)</v>
          </cell>
          <cell r="F485" t="str">
            <v>B_1_6_3</v>
          </cell>
          <cell r="G485" t="str">
            <v>Βαμβάκι</v>
          </cell>
          <cell r="H485">
            <v>1516</v>
          </cell>
          <cell r="K485" t="str">
            <v>Όχι</v>
          </cell>
          <cell r="L485" t="str">
            <v>ΌΧΙ</v>
          </cell>
          <cell r="O485" t="str">
            <v/>
          </cell>
        </row>
        <row r="486">
          <cell r="D486" t="str">
            <v>ΒΑΜΒΑΚΙ1817</v>
          </cell>
          <cell r="E486" t="str">
            <v>ASTRA</v>
          </cell>
          <cell r="F486" t="str">
            <v>B_1_6_3</v>
          </cell>
          <cell r="G486" t="str">
            <v>Βαμβάκι</v>
          </cell>
          <cell r="H486">
            <v>1516</v>
          </cell>
          <cell r="K486" t="str">
            <v>Όχι</v>
          </cell>
          <cell r="L486" t="str">
            <v>ΌΧΙ</v>
          </cell>
          <cell r="O486" t="str">
            <v/>
          </cell>
        </row>
        <row r="487">
          <cell r="D487" t="str">
            <v>ΒΑΜΒΑΚΙ1818</v>
          </cell>
          <cell r="E487" t="str">
            <v>VENTO</v>
          </cell>
          <cell r="F487" t="str">
            <v>B_1_6_3</v>
          </cell>
          <cell r="G487" t="str">
            <v>Βαμβάκι</v>
          </cell>
          <cell r="H487">
            <v>1516</v>
          </cell>
          <cell r="K487" t="str">
            <v>Όχι</v>
          </cell>
          <cell r="L487" t="str">
            <v>ΌΧΙ</v>
          </cell>
          <cell r="O487" t="str">
            <v/>
          </cell>
        </row>
        <row r="488">
          <cell r="D488" t="str">
            <v>ΒΑΜΒΑΚΙ1821</v>
          </cell>
          <cell r="E488" t="str">
            <v>MACEDON</v>
          </cell>
          <cell r="F488" t="str">
            <v>B_1_6_3</v>
          </cell>
          <cell r="G488" t="str">
            <v>Βαμβάκι</v>
          </cell>
          <cell r="H488">
            <v>1516</v>
          </cell>
          <cell r="K488" t="str">
            <v>Όχι</v>
          </cell>
          <cell r="L488" t="str">
            <v>ΌΧΙ</v>
          </cell>
          <cell r="O488" t="str">
            <v/>
          </cell>
        </row>
        <row r="489">
          <cell r="D489" t="str">
            <v>ΒΑΜΒΑΚΙ1830</v>
          </cell>
          <cell r="E489" t="str">
            <v>DIMITRA</v>
          </cell>
          <cell r="F489" t="str">
            <v>B_1_6_3</v>
          </cell>
          <cell r="G489" t="str">
            <v>Βαμβάκι</v>
          </cell>
          <cell r="H489">
            <v>1516</v>
          </cell>
          <cell r="K489" t="str">
            <v>Όχι</v>
          </cell>
          <cell r="L489" t="str">
            <v>ΌΧΙ</v>
          </cell>
          <cell r="O489" t="str">
            <v/>
          </cell>
        </row>
        <row r="490">
          <cell r="D490" t="str">
            <v>ΒΑΜΒΑΚΙ1834</v>
          </cell>
          <cell r="E490" t="str">
            <v>NOVA</v>
          </cell>
          <cell r="F490" t="str">
            <v>B_1_6_3</v>
          </cell>
          <cell r="G490" t="str">
            <v>Βαμβάκι</v>
          </cell>
          <cell r="H490">
            <v>1516</v>
          </cell>
          <cell r="K490" t="str">
            <v>Όχι</v>
          </cell>
          <cell r="L490" t="str">
            <v>ΌΧΙ</v>
          </cell>
          <cell r="O490" t="str">
            <v/>
          </cell>
        </row>
        <row r="491">
          <cell r="D491" t="str">
            <v>ΒΑΜΒΑΚΙ1835</v>
          </cell>
          <cell r="E491" t="str">
            <v>BRAVADA</v>
          </cell>
          <cell r="F491" t="str">
            <v>B_1_6_3</v>
          </cell>
          <cell r="G491" t="str">
            <v>Βαμβάκι</v>
          </cell>
          <cell r="H491">
            <v>1516</v>
          </cell>
          <cell r="K491" t="str">
            <v>Όχι</v>
          </cell>
          <cell r="L491" t="str">
            <v>ΌΧΙ</v>
          </cell>
          <cell r="O491" t="str">
            <v/>
          </cell>
        </row>
        <row r="492">
          <cell r="D492" t="str">
            <v>ΒΑΜΒΑΚΙ1839</v>
          </cell>
          <cell r="E492" t="str">
            <v>ALPINA</v>
          </cell>
          <cell r="F492" t="str">
            <v>B_1_6_3</v>
          </cell>
          <cell r="G492" t="str">
            <v>Βαμβάκι</v>
          </cell>
          <cell r="H492">
            <v>1516</v>
          </cell>
          <cell r="K492" t="str">
            <v>Όχι</v>
          </cell>
          <cell r="L492" t="str">
            <v>ΌΧΙ</v>
          </cell>
          <cell r="O492" t="str">
            <v/>
          </cell>
        </row>
        <row r="493">
          <cell r="D493" t="str">
            <v>ΒΑΜΒΑΚΙ1841</v>
          </cell>
          <cell r="E493" t="str">
            <v>ROMANOS (ΡΩΜΑΝΟΣ)</v>
          </cell>
          <cell r="F493" t="str">
            <v>B_1_6_3</v>
          </cell>
          <cell r="G493" t="str">
            <v>Βαμβάκι</v>
          </cell>
          <cell r="H493">
            <v>1516</v>
          </cell>
          <cell r="K493" t="str">
            <v>Όχι</v>
          </cell>
          <cell r="L493" t="str">
            <v>ΌΧΙ</v>
          </cell>
          <cell r="O493" t="str">
            <v/>
          </cell>
        </row>
        <row r="494">
          <cell r="D494" t="str">
            <v>ΒΑΜΒΑΚΙ1842</v>
          </cell>
          <cell r="E494" t="str">
            <v>ELINA</v>
          </cell>
          <cell r="F494" t="str">
            <v>B_1_6_3</v>
          </cell>
          <cell r="G494" t="str">
            <v>Βαμβάκι</v>
          </cell>
          <cell r="H494">
            <v>1516</v>
          </cell>
          <cell r="K494" t="str">
            <v>Όχι</v>
          </cell>
          <cell r="L494" t="str">
            <v>ΌΧΙ</v>
          </cell>
          <cell r="O494" t="str">
            <v/>
          </cell>
        </row>
        <row r="495">
          <cell r="D495" t="str">
            <v>ΒΑΜΒΑΚΙ1843</v>
          </cell>
          <cell r="E495" t="str">
            <v>GEDERA 5</v>
          </cell>
          <cell r="F495" t="str">
            <v>B_1_6_3</v>
          </cell>
          <cell r="G495" t="str">
            <v>Βαμβάκι</v>
          </cell>
          <cell r="H495">
            <v>1516</v>
          </cell>
          <cell r="K495" t="str">
            <v>Όχι</v>
          </cell>
          <cell r="L495" t="str">
            <v>ΌΧΙ</v>
          </cell>
          <cell r="O495" t="str">
            <v/>
          </cell>
        </row>
        <row r="496">
          <cell r="D496" t="str">
            <v>ΒΑΜΒΑΚΙ1844</v>
          </cell>
          <cell r="E496" t="str">
            <v>ARIANA-1</v>
          </cell>
          <cell r="F496" t="str">
            <v>B_1_6_3</v>
          </cell>
          <cell r="G496" t="str">
            <v>Βαμβάκι</v>
          </cell>
          <cell r="H496">
            <v>1516</v>
          </cell>
          <cell r="K496" t="str">
            <v>Όχι</v>
          </cell>
          <cell r="L496" t="str">
            <v>ΌΧΙ</v>
          </cell>
          <cell r="O496" t="str">
            <v/>
          </cell>
        </row>
        <row r="497">
          <cell r="D497" t="str">
            <v>ΒΑΜΒΑΚΙ1845</v>
          </cell>
          <cell r="E497" t="str">
            <v>LUNA</v>
          </cell>
          <cell r="F497" t="str">
            <v>B_1_6_3</v>
          </cell>
          <cell r="G497" t="str">
            <v>Βαμβάκι</v>
          </cell>
          <cell r="H497">
            <v>1516</v>
          </cell>
          <cell r="K497" t="str">
            <v>Όχι</v>
          </cell>
          <cell r="L497" t="str">
            <v>ΌΧΙ</v>
          </cell>
          <cell r="O497" t="str">
            <v/>
          </cell>
        </row>
        <row r="498">
          <cell r="D498" t="str">
            <v>ΒΑΜΒΑΚΙ1849</v>
          </cell>
          <cell r="E498" t="str">
            <v>ANTAIOS</v>
          </cell>
          <cell r="F498" t="str">
            <v>B_1_6_3</v>
          </cell>
          <cell r="G498" t="str">
            <v>Βαμβάκι</v>
          </cell>
          <cell r="H498">
            <v>1516</v>
          </cell>
          <cell r="K498" t="str">
            <v>Όχι</v>
          </cell>
          <cell r="L498" t="str">
            <v>ΌΧΙ</v>
          </cell>
          <cell r="O498" t="str">
            <v/>
          </cell>
        </row>
        <row r="499">
          <cell r="D499" t="str">
            <v>ΒΑΜΒΑΚΙ1850</v>
          </cell>
          <cell r="E499" t="str">
            <v>PROMITHEAS (ΠΡΟΜΗΘΕΑΣ)</v>
          </cell>
          <cell r="F499" t="str">
            <v>B_1_6_3</v>
          </cell>
          <cell r="G499" t="str">
            <v>Βαμβάκι</v>
          </cell>
          <cell r="H499">
            <v>1516</v>
          </cell>
          <cell r="K499" t="str">
            <v>Όχι</v>
          </cell>
          <cell r="L499" t="str">
            <v>ΌΧΙ</v>
          </cell>
          <cell r="O499" t="str">
            <v/>
          </cell>
        </row>
        <row r="500">
          <cell r="D500" t="str">
            <v>ΒΑΜΒΑΚΙ1877</v>
          </cell>
          <cell r="E500" t="str">
            <v>DELTA ODALO</v>
          </cell>
          <cell r="F500" t="str">
            <v>B_1_6_3</v>
          </cell>
          <cell r="G500" t="str">
            <v>Βαμβάκι</v>
          </cell>
          <cell r="H500">
            <v>1516</v>
          </cell>
          <cell r="K500" t="str">
            <v>Όχι</v>
          </cell>
          <cell r="L500" t="str">
            <v>ΌΧΙ</v>
          </cell>
          <cell r="O500" t="str">
            <v/>
          </cell>
        </row>
        <row r="501">
          <cell r="D501" t="str">
            <v>ΒΑΜΒΑΚΙ1884</v>
          </cell>
          <cell r="E501" t="str">
            <v>ARENA</v>
          </cell>
          <cell r="F501" t="str">
            <v>B_1_6_3</v>
          </cell>
          <cell r="G501" t="str">
            <v>Βαμβάκι</v>
          </cell>
          <cell r="H501">
            <v>1516</v>
          </cell>
          <cell r="K501" t="str">
            <v>Όχι</v>
          </cell>
          <cell r="L501" t="str">
            <v>ΌΧΙ</v>
          </cell>
          <cell r="O501" t="str">
            <v/>
          </cell>
        </row>
        <row r="502">
          <cell r="D502" t="str">
            <v>ΒΑΜΒΑΚΙ1885</v>
          </cell>
          <cell r="E502" t="str">
            <v>VELOS</v>
          </cell>
          <cell r="F502" t="str">
            <v>B_1_6_3</v>
          </cell>
          <cell r="G502" t="str">
            <v>Βαμβάκι</v>
          </cell>
          <cell r="H502">
            <v>1516</v>
          </cell>
          <cell r="K502" t="str">
            <v>Όχι</v>
          </cell>
          <cell r="L502" t="str">
            <v>ΌΧΙ</v>
          </cell>
          <cell r="O502" t="str">
            <v/>
          </cell>
        </row>
        <row r="503">
          <cell r="D503" t="str">
            <v>ΒΑΜΒΑΚΙ1888</v>
          </cell>
          <cell r="E503" t="str">
            <v>JOAN</v>
          </cell>
          <cell r="F503" t="str">
            <v>B_1_6_3</v>
          </cell>
          <cell r="G503" t="str">
            <v>Βαμβάκι</v>
          </cell>
          <cell r="H503">
            <v>1516</v>
          </cell>
          <cell r="K503" t="str">
            <v>Όχι</v>
          </cell>
          <cell r="L503" t="str">
            <v>ΌΧΙ</v>
          </cell>
          <cell r="O503" t="str">
            <v/>
          </cell>
        </row>
        <row r="504">
          <cell r="D504" t="str">
            <v>ΒΑΜΒΑΚΙ1889</v>
          </cell>
          <cell r="E504" t="str">
            <v>VAKI - 230</v>
          </cell>
          <cell r="F504" t="str">
            <v>B_1_6_3</v>
          </cell>
          <cell r="G504" t="str">
            <v>Βαμβάκι</v>
          </cell>
          <cell r="H504">
            <v>1516</v>
          </cell>
          <cell r="K504" t="str">
            <v>Όχι</v>
          </cell>
          <cell r="L504" t="str">
            <v>ΌΧΙ</v>
          </cell>
          <cell r="O504" t="str">
            <v/>
          </cell>
        </row>
        <row r="505">
          <cell r="D505" t="str">
            <v>ΒΑΜΒΑΚΙ1892</v>
          </cell>
          <cell r="E505" t="str">
            <v>SANDRA</v>
          </cell>
          <cell r="F505" t="str">
            <v>B_1_6_3</v>
          </cell>
          <cell r="G505" t="str">
            <v>Βαμβάκι</v>
          </cell>
          <cell r="H505">
            <v>1516</v>
          </cell>
          <cell r="K505" t="str">
            <v>Όχι</v>
          </cell>
          <cell r="L505" t="str">
            <v>ΌΧΙ</v>
          </cell>
          <cell r="O505" t="str">
            <v/>
          </cell>
        </row>
        <row r="506">
          <cell r="D506" t="str">
            <v>ΒΑΜΒΑΚΙ1898</v>
          </cell>
          <cell r="E506" t="str">
            <v>PALOMA</v>
          </cell>
          <cell r="F506" t="str">
            <v>B_1_6_3</v>
          </cell>
          <cell r="G506" t="str">
            <v>Βαμβάκι</v>
          </cell>
          <cell r="H506">
            <v>1516</v>
          </cell>
          <cell r="K506" t="str">
            <v>Όχι</v>
          </cell>
          <cell r="L506" t="str">
            <v>ΌΧΙ</v>
          </cell>
          <cell r="O506" t="str">
            <v/>
          </cell>
        </row>
        <row r="507">
          <cell r="D507" t="str">
            <v>ΒΑΜΒΑΚΙ1906</v>
          </cell>
          <cell r="E507" t="str">
            <v>NORIS</v>
          </cell>
          <cell r="F507" t="str">
            <v>B_1_6_3</v>
          </cell>
          <cell r="G507" t="str">
            <v>Βαμβάκι</v>
          </cell>
          <cell r="H507">
            <v>1516</v>
          </cell>
          <cell r="K507" t="str">
            <v>Όχι</v>
          </cell>
          <cell r="L507" t="str">
            <v>ΌΧΙ</v>
          </cell>
          <cell r="O507" t="str">
            <v/>
          </cell>
        </row>
        <row r="508">
          <cell r="D508" t="str">
            <v>ΒΑΜΒΑΚΙ1907</v>
          </cell>
          <cell r="E508" t="str">
            <v>FLORA</v>
          </cell>
          <cell r="F508" t="str">
            <v>B_1_6_3</v>
          </cell>
          <cell r="G508" t="str">
            <v>Βαμβάκι</v>
          </cell>
          <cell r="H508">
            <v>1516</v>
          </cell>
          <cell r="K508" t="str">
            <v>Όχι</v>
          </cell>
          <cell r="L508" t="str">
            <v>ΌΧΙ</v>
          </cell>
          <cell r="O508" t="str">
            <v/>
          </cell>
        </row>
        <row r="509">
          <cell r="D509" t="str">
            <v>ΒΑΜΒΑΚΙ1913</v>
          </cell>
          <cell r="E509" t="str">
            <v>KALIDON</v>
          </cell>
          <cell r="F509" t="str">
            <v>B_1_6_3</v>
          </cell>
          <cell r="G509" t="str">
            <v>Βαμβάκι</v>
          </cell>
          <cell r="H509">
            <v>1516</v>
          </cell>
          <cell r="K509" t="str">
            <v>Όχι</v>
          </cell>
          <cell r="L509" t="str">
            <v>ΌΧΙ</v>
          </cell>
          <cell r="O509" t="str">
            <v/>
          </cell>
        </row>
        <row r="510">
          <cell r="D510" t="str">
            <v>ΒΑΜΒΑΚΙ1914</v>
          </cell>
          <cell r="E510" t="str">
            <v>FANTOM</v>
          </cell>
          <cell r="F510" t="str">
            <v>B_1_6_3</v>
          </cell>
          <cell r="G510" t="str">
            <v>Βαμβάκι</v>
          </cell>
          <cell r="H510">
            <v>1516</v>
          </cell>
          <cell r="K510" t="str">
            <v>Όχι</v>
          </cell>
          <cell r="L510" t="str">
            <v>ΌΧΙ</v>
          </cell>
          <cell r="O510" t="str">
            <v/>
          </cell>
        </row>
        <row r="511">
          <cell r="D511" t="str">
            <v>ΒΑΜΒΑΚΙ1915</v>
          </cell>
          <cell r="E511" t="str">
            <v>PRIMERA</v>
          </cell>
          <cell r="F511" t="str">
            <v>B_1_6_3</v>
          </cell>
          <cell r="G511" t="str">
            <v>Βαμβάκι</v>
          </cell>
          <cell r="H511">
            <v>1516</v>
          </cell>
          <cell r="K511" t="str">
            <v>Όχι</v>
          </cell>
          <cell r="L511" t="str">
            <v>ΌΧΙ</v>
          </cell>
          <cell r="O511" t="str">
            <v/>
          </cell>
        </row>
        <row r="512">
          <cell r="D512" t="str">
            <v>ΒΑΜΒΑΚΙ1917</v>
          </cell>
          <cell r="E512" t="str">
            <v>ST 373</v>
          </cell>
          <cell r="F512" t="str">
            <v>B_1_6_3</v>
          </cell>
          <cell r="G512" t="str">
            <v>Βαμβάκι</v>
          </cell>
          <cell r="H512">
            <v>1516</v>
          </cell>
          <cell r="K512" t="str">
            <v>Όχι</v>
          </cell>
          <cell r="L512" t="str">
            <v>ΌΧΙ</v>
          </cell>
          <cell r="O512" t="str">
            <v/>
          </cell>
        </row>
        <row r="513">
          <cell r="D513" t="str">
            <v>ΒΑΜΒΑΚΙ1918</v>
          </cell>
          <cell r="E513" t="str">
            <v>DORA</v>
          </cell>
          <cell r="F513" t="str">
            <v>B_1_6_3</v>
          </cell>
          <cell r="G513" t="str">
            <v>Βαμβάκι</v>
          </cell>
          <cell r="H513">
            <v>1516</v>
          </cell>
          <cell r="K513" t="str">
            <v>Όχι</v>
          </cell>
          <cell r="L513" t="str">
            <v>ΌΧΙ</v>
          </cell>
          <cell r="O513" t="str">
            <v/>
          </cell>
        </row>
        <row r="514">
          <cell r="D514" t="str">
            <v>ΒΑΜΒΑΚΙ1928</v>
          </cell>
          <cell r="E514" t="str">
            <v>SOFIA</v>
          </cell>
          <cell r="F514" t="str">
            <v>B_1_6_3</v>
          </cell>
          <cell r="G514" t="str">
            <v>Βαμβάκι</v>
          </cell>
          <cell r="H514">
            <v>1516</v>
          </cell>
          <cell r="K514" t="str">
            <v>Όχι</v>
          </cell>
          <cell r="L514" t="str">
            <v>ΌΧΙ</v>
          </cell>
          <cell r="O514" t="str">
            <v/>
          </cell>
        </row>
        <row r="515">
          <cell r="D515" t="str">
            <v>ΒΑΜΒΑΚΙ1929</v>
          </cell>
          <cell r="E515" t="str">
            <v>FOTINI</v>
          </cell>
          <cell r="F515" t="str">
            <v>B_1_6_3</v>
          </cell>
          <cell r="G515" t="str">
            <v>Βαμβάκι</v>
          </cell>
          <cell r="H515">
            <v>1516</v>
          </cell>
          <cell r="K515" t="str">
            <v>Όχι</v>
          </cell>
          <cell r="L515" t="str">
            <v>ΌΧΙ</v>
          </cell>
          <cell r="O515" t="str">
            <v/>
          </cell>
        </row>
        <row r="516">
          <cell r="D516" t="str">
            <v>ΒΑΜΒΑΚΙ1931</v>
          </cell>
          <cell r="E516" t="str">
            <v>IONIA (ΙΩΝΙΑ)</v>
          </cell>
          <cell r="F516" t="str">
            <v>B_1_6_3</v>
          </cell>
          <cell r="G516" t="str">
            <v>Βαμβάκι</v>
          </cell>
          <cell r="H516">
            <v>1516</v>
          </cell>
          <cell r="K516" t="str">
            <v>Όχι</v>
          </cell>
          <cell r="L516" t="str">
            <v>ΌΧΙ</v>
          </cell>
          <cell r="O516" t="str">
            <v/>
          </cell>
        </row>
        <row r="517">
          <cell r="D517" t="str">
            <v>ΒΑΜΒΑΚΙ1932</v>
          </cell>
          <cell r="E517" t="str">
            <v>PONTOS (ΠΟΝΤΟΣ)</v>
          </cell>
          <cell r="F517" t="str">
            <v>B_1_6_3</v>
          </cell>
          <cell r="G517" t="str">
            <v>Βαμβάκι</v>
          </cell>
          <cell r="H517">
            <v>1516</v>
          </cell>
          <cell r="K517" t="str">
            <v>Όχι</v>
          </cell>
          <cell r="L517" t="str">
            <v>ΌΧΙ</v>
          </cell>
          <cell r="O517" t="str">
            <v/>
          </cell>
        </row>
        <row r="518">
          <cell r="D518" t="str">
            <v>ΒΑΜΒΑΚΙ1982</v>
          </cell>
          <cell r="E518" t="str">
            <v>KARLILA</v>
          </cell>
          <cell r="F518" t="str">
            <v>B_1_6_3</v>
          </cell>
          <cell r="G518" t="str">
            <v>Βαμβάκι</v>
          </cell>
          <cell r="H518">
            <v>1516</v>
          </cell>
          <cell r="K518" t="str">
            <v>Όχι</v>
          </cell>
          <cell r="L518" t="str">
            <v>ΌΧΙ</v>
          </cell>
          <cell r="O518" t="str">
            <v/>
          </cell>
        </row>
        <row r="519">
          <cell r="D519" t="str">
            <v>ΒΑΜΒΑΚΙ1984</v>
          </cell>
          <cell r="E519" t="str">
            <v>CRONOS</v>
          </cell>
          <cell r="F519" t="str">
            <v>B_1_6_3</v>
          </cell>
          <cell r="G519" t="str">
            <v>Βαμβάκι</v>
          </cell>
          <cell r="H519">
            <v>1516</v>
          </cell>
          <cell r="K519" t="str">
            <v>Όχι</v>
          </cell>
          <cell r="L519" t="str">
            <v>ΌΧΙ</v>
          </cell>
          <cell r="O519" t="str">
            <v/>
          </cell>
        </row>
        <row r="520">
          <cell r="D520" t="str">
            <v>ΒΑΜΒΑΚΙ1985</v>
          </cell>
          <cell r="E520" t="str">
            <v>HERMES</v>
          </cell>
          <cell r="F520" t="str">
            <v>B_1_6_3</v>
          </cell>
          <cell r="G520" t="str">
            <v>Βαμβάκι</v>
          </cell>
          <cell r="H520">
            <v>1516</v>
          </cell>
          <cell r="K520" t="str">
            <v>Όχι</v>
          </cell>
          <cell r="L520" t="str">
            <v>ΌΧΙ</v>
          </cell>
          <cell r="O520" t="str">
            <v/>
          </cell>
        </row>
        <row r="521">
          <cell r="D521" t="str">
            <v>ΒΑΜΒΑΚΙ1986</v>
          </cell>
          <cell r="E521" t="str">
            <v>ARTEMIS</v>
          </cell>
          <cell r="F521" t="str">
            <v>B_1_6_3</v>
          </cell>
          <cell r="G521" t="str">
            <v>Βαμβάκι</v>
          </cell>
          <cell r="H521">
            <v>1516</v>
          </cell>
          <cell r="K521" t="str">
            <v>Όχι</v>
          </cell>
          <cell r="L521" t="str">
            <v>ΌΧΙ</v>
          </cell>
          <cell r="O521" t="str">
            <v/>
          </cell>
        </row>
        <row r="522">
          <cell r="D522" t="str">
            <v>ΒΑΜΒΑΚΙ2008</v>
          </cell>
          <cell r="E522" t="str">
            <v>ΙΡΙΝΙ (ΕΙΡΗΝΗ)</v>
          </cell>
          <cell r="F522" t="str">
            <v>B_1_6_3</v>
          </cell>
          <cell r="G522" t="str">
            <v>Βαμβάκι</v>
          </cell>
          <cell r="H522">
            <v>1516</v>
          </cell>
          <cell r="K522" t="str">
            <v>Όχι</v>
          </cell>
          <cell r="L522" t="str">
            <v>ΌΧΙ</v>
          </cell>
          <cell r="O522" t="str">
            <v/>
          </cell>
        </row>
        <row r="523">
          <cell r="D523" t="str">
            <v>ΒΑΜΒΑΚΙ2011</v>
          </cell>
          <cell r="E523" t="str">
            <v>CELIA</v>
          </cell>
          <cell r="F523" t="str">
            <v>B_1_6_3</v>
          </cell>
          <cell r="G523" t="str">
            <v>Βαμβάκι</v>
          </cell>
          <cell r="H523">
            <v>1516</v>
          </cell>
          <cell r="K523" t="str">
            <v>Όχι</v>
          </cell>
          <cell r="L523" t="str">
            <v>ΌΧΙ</v>
          </cell>
          <cell r="O523" t="str">
            <v/>
          </cell>
        </row>
        <row r="524">
          <cell r="D524" t="str">
            <v>ΒΑΜΒΑΚΙ2025</v>
          </cell>
          <cell r="E524" t="str">
            <v>GEDERA 10</v>
          </cell>
          <cell r="F524" t="str">
            <v>B_1_6_3</v>
          </cell>
          <cell r="G524" t="str">
            <v>Βαμβάκι</v>
          </cell>
          <cell r="H524">
            <v>1516</v>
          </cell>
          <cell r="K524" t="str">
            <v>Όχι</v>
          </cell>
          <cell r="L524" t="str">
            <v>ΌΧΙ</v>
          </cell>
          <cell r="O524" t="str">
            <v/>
          </cell>
        </row>
        <row r="525">
          <cell r="D525" t="str">
            <v>ΒΑΜΒΑΚΙ2030</v>
          </cell>
          <cell r="E525" t="str">
            <v>MILENIUM</v>
          </cell>
          <cell r="F525" t="str">
            <v>B_1_6_3</v>
          </cell>
          <cell r="G525" t="str">
            <v>Βαμβάκι</v>
          </cell>
          <cell r="H525">
            <v>1516</v>
          </cell>
          <cell r="K525" t="str">
            <v>Όχι</v>
          </cell>
          <cell r="L525" t="str">
            <v>ΌΧΙ</v>
          </cell>
          <cell r="O525" t="str">
            <v/>
          </cell>
        </row>
        <row r="526">
          <cell r="D526" t="str">
            <v>ΒΑΜΒΑΚΙ2063</v>
          </cell>
          <cell r="E526" t="str">
            <v>ANITA</v>
          </cell>
          <cell r="F526" t="str">
            <v>B_1_6_3</v>
          </cell>
          <cell r="G526" t="str">
            <v>Βαμβάκι</v>
          </cell>
          <cell r="H526">
            <v>1516</v>
          </cell>
          <cell r="K526" t="str">
            <v>Όχι</v>
          </cell>
          <cell r="L526" t="str">
            <v>ΌΧΙ</v>
          </cell>
          <cell r="O526" t="str">
            <v/>
          </cell>
        </row>
        <row r="527">
          <cell r="D527" t="str">
            <v>ΒΑΜΒΑΚΙ2078</v>
          </cell>
          <cell r="E527" t="str">
            <v>SPEED</v>
          </cell>
          <cell r="F527" t="str">
            <v>B_1_6_3</v>
          </cell>
          <cell r="G527" t="str">
            <v>Βαμβάκι</v>
          </cell>
          <cell r="H527">
            <v>1516</v>
          </cell>
          <cell r="K527" t="str">
            <v>Όχι</v>
          </cell>
          <cell r="L527" t="str">
            <v>ΌΧΙ</v>
          </cell>
          <cell r="O527" t="str">
            <v/>
          </cell>
        </row>
        <row r="528">
          <cell r="D528" t="str">
            <v>ΒΑΜΒΑΚΙ2080</v>
          </cell>
          <cell r="E528" t="str">
            <v>CANON</v>
          </cell>
          <cell r="F528" t="str">
            <v>B_1_6_3</v>
          </cell>
          <cell r="G528" t="str">
            <v>Βαμβάκι</v>
          </cell>
          <cell r="H528">
            <v>1516</v>
          </cell>
          <cell r="K528" t="str">
            <v>Όχι</v>
          </cell>
          <cell r="L528" t="str">
            <v>ΌΧΙ</v>
          </cell>
          <cell r="O528" t="str">
            <v/>
          </cell>
        </row>
        <row r="529">
          <cell r="D529" t="str">
            <v>ΒΑΜΒΑΚΙ2099</v>
          </cell>
          <cell r="E529" t="str">
            <v>CAMPO</v>
          </cell>
          <cell r="F529" t="str">
            <v>B_1_6_3</v>
          </cell>
          <cell r="G529" t="str">
            <v>Βαμβάκι</v>
          </cell>
          <cell r="H529">
            <v>1516</v>
          </cell>
          <cell r="K529" t="str">
            <v>Όχι</v>
          </cell>
          <cell r="L529" t="str">
            <v>ΌΧΙ</v>
          </cell>
          <cell r="O529" t="str">
            <v/>
          </cell>
        </row>
        <row r="530">
          <cell r="D530" t="str">
            <v>ΒΑΜΒΑΚΙ2100</v>
          </cell>
          <cell r="E530" t="str">
            <v>LIDER</v>
          </cell>
          <cell r="F530" t="str">
            <v>B_1_6_3</v>
          </cell>
          <cell r="G530" t="str">
            <v>Βαμβάκι</v>
          </cell>
          <cell r="H530">
            <v>1516</v>
          </cell>
          <cell r="K530" t="str">
            <v>Όχι</v>
          </cell>
          <cell r="L530" t="str">
            <v>ΌΧΙ</v>
          </cell>
          <cell r="O530" t="str">
            <v/>
          </cell>
        </row>
        <row r="531">
          <cell r="D531" t="str">
            <v>ΒΑΜΒΑΚΙ2115</v>
          </cell>
          <cell r="E531" t="str">
            <v>FOIVI</v>
          </cell>
          <cell r="F531" t="str">
            <v>B_1_6_3</v>
          </cell>
          <cell r="G531" t="str">
            <v>Βαμβάκι</v>
          </cell>
          <cell r="H531">
            <v>1516</v>
          </cell>
          <cell r="K531" t="str">
            <v>Όχι</v>
          </cell>
          <cell r="L531" t="str">
            <v>ΌΧΙ</v>
          </cell>
          <cell r="O531" t="str">
            <v/>
          </cell>
        </row>
        <row r="532">
          <cell r="D532" t="str">
            <v>ΒΑΜΒΑΚΙ2116</v>
          </cell>
          <cell r="E532" t="str">
            <v>IDEAL</v>
          </cell>
          <cell r="F532" t="str">
            <v>B_1_6_3</v>
          </cell>
          <cell r="G532" t="str">
            <v>Βαμβάκι</v>
          </cell>
          <cell r="H532">
            <v>1516</v>
          </cell>
          <cell r="K532" t="str">
            <v>Όχι</v>
          </cell>
          <cell r="L532" t="str">
            <v>ΌΧΙ</v>
          </cell>
          <cell r="O532" t="str">
            <v/>
          </cell>
        </row>
        <row r="533">
          <cell r="D533" t="str">
            <v>ΒΑΜΒΑΚΙ2117</v>
          </cell>
          <cell r="E533" t="str">
            <v>SAMANTHA</v>
          </cell>
          <cell r="F533" t="str">
            <v>B_1_6_3</v>
          </cell>
          <cell r="G533" t="str">
            <v>Βαμβάκι</v>
          </cell>
          <cell r="H533">
            <v>1516</v>
          </cell>
          <cell r="K533" t="str">
            <v>Όχι</v>
          </cell>
          <cell r="L533" t="str">
            <v>ΌΧΙ</v>
          </cell>
          <cell r="O533" t="str">
            <v/>
          </cell>
        </row>
        <row r="534">
          <cell r="D534" t="str">
            <v>ΒΑΜΒΑΚΙ2119</v>
          </cell>
          <cell r="E534" t="str">
            <v>ILEKTRA (ΗΛΕΚΤΡΑ)</v>
          </cell>
          <cell r="F534" t="str">
            <v>B_1_6_3</v>
          </cell>
          <cell r="G534" t="str">
            <v>Βαμβάκι</v>
          </cell>
          <cell r="H534">
            <v>1516</v>
          </cell>
          <cell r="K534" t="str">
            <v>Όχι</v>
          </cell>
          <cell r="L534" t="str">
            <v>ΌΧΙ</v>
          </cell>
          <cell r="O534" t="str">
            <v/>
          </cell>
        </row>
        <row r="535">
          <cell r="D535" t="str">
            <v>ΒΑΜΒΑΚΙ2120</v>
          </cell>
          <cell r="E535" t="str">
            <v>ANDROMEDA</v>
          </cell>
          <cell r="F535" t="str">
            <v>B_1_6_3</v>
          </cell>
          <cell r="G535" t="str">
            <v>Βαμβάκι</v>
          </cell>
          <cell r="H535">
            <v>1516</v>
          </cell>
          <cell r="K535" t="str">
            <v>Όχι</v>
          </cell>
          <cell r="L535" t="str">
            <v>ΌΧΙ</v>
          </cell>
          <cell r="O535" t="str">
            <v/>
          </cell>
        </row>
        <row r="536">
          <cell r="D536" t="str">
            <v>ΒΑΜΒΑΚΙ2122</v>
          </cell>
          <cell r="E536" t="str">
            <v>ASSOS</v>
          </cell>
          <cell r="F536" t="str">
            <v>B_1_6_3</v>
          </cell>
          <cell r="G536" t="str">
            <v>Βαμβάκι</v>
          </cell>
          <cell r="H536">
            <v>1516</v>
          </cell>
          <cell r="K536" t="str">
            <v>Όχι</v>
          </cell>
          <cell r="L536" t="str">
            <v>ΌΧΙ</v>
          </cell>
          <cell r="O536" t="str">
            <v/>
          </cell>
        </row>
        <row r="537">
          <cell r="D537" t="str">
            <v>ΒΑΜΒΑΚΙ2123</v>
          </cell>
          <cell r="E537" t="str">
            <v>SUN</v>
          </cell>
          <cell r="F537" t="str">
            <v>B_1_6_3</v>
          </cell>
          <cell r="G537" t="str">
            <v>Βαμβάκι</v>
          </cell>
          <cell r="H537">
            <v>1516</v>
          </cell>
          <cell r="K537" t="str">
            <v>Όχι</v>
          </cell>
          <cell r="L537" t="str">
            <v>ΌΧΙ</v>
          </cell>
          <cell r="O537" t="str">
            <v/>
          </cell>
        </row>
        <row r="538">
          <cell r="D538" t="str">
            <v>ΒΑΜΒΑΚΙ2124</v>
          </cell>
          <cell r="E538" t="str">
            <v>ESMERALDA</v>
          </cell>
          <cell r="F538" t="str">
            <v>B_1_6_3</v>
          </cell>
          <cell r="G538" t="str">
            <v>Βαμβάκι</v>
          </cell>
          <cell r="H538">
            <v>1516</v>
          </cell>
          <cell r="K538" t="str">
            <v>Όχι</v>
          </cell>
          <cell r="L538" t="str">
            <v>ΌΧΙ</v>
          </cell>
          <cell r="O538" t="str">
            <v/>
          </cell>
        </row>
        <row r="539">
          <cell r="D539" t="str">
            <v>ΒΑΜΒΑΚΙ2128</v>
          </cell>
          <cell r="E539" t="str">
            <v>PANDORA</v>
          </cell>
          <cell r="F539" t="str">
            <v>B_1_6_3</v>
          </cell>
          <cell r="G539" t="str">
            <v>Βαμβάκι</v>
          </cell>
          <cell r="H539">
            <v>1516</v>
          </cell>
          <cell r="K539" t="str">
            <v>Όχι</v>
          </cell>
          <cell r="L539" t="str">
            <v>ΌΧΙ</v>
          </cell>
          <cell r="O539" t="str">
            <v/>
          </cell>
        </row>
        <row r="540">
          <cell r="D540" t="str">
            <v>ΒΑΜΒΑΚΙ2131</v>
          </cell>
          <cell r="E540" t="str">
            <v>ROKA</v>
          </cell>
          <cell r="F540" t="str">
            <v>B_1_6_3</v>
          </cell>
          <cell r="G540" t="str">
            <v>Βαμβάκι</v>
          </cell>
          <cell r="H540">
            <v>1516</v>
          </cell>
          <cell r="K540" t="str">
            <v>Όχι</v>
          </cell>
          <cell r="L540" t="str">
            <v>ΌΧΙ</v>
          </cell>
          <cell r="O540" t="str">
            <v/>
          </cell>
        </row>
        <row r="541">
          <cell r="D541" t="str">
            <v>ΒΑΜΒΑΚΙ2132</v>
          </cell>
          <cell r="E541" t="str">
            <v>LACTA</v>
          </cell>
          <cell r="F541" t="str">
            <v>B_1_6_3</v>
          </cell>
          <cell r="G541" t="str">
            <v>Βαμβάκι</v>
          </cell>
          <cell r="H541">
            <v>1516</v>
          </cell>
          <cell r="K541" t="str">
            <v>Όχι</v>
          </cell>
          <cell r="L541" t="str">
            <v>ΌΧΙ</v>
          </cell>
          <cell r="O541" t="str">
            <v/>
          </cell>
        </row>
        <row r="542">
          <cell r="D542" t="str">
            <v>ΒΑΜΒΑΚΙ2188</v>
          </cell>
          <cell r="E542" t="str">
            <v>LEON</v>
          </cell>
          <cell r="F542" t="str">
            <v>B_1_6_3</v>
          </cell>
          <cell r="G542" t="str">
            <v>Βαμβάκι</v>
          </cell>
          <cell r="H542">
            <v>1516</v>
          </cell>
          <cell r="K542" t="str">
            <v>Όχι</v>
          </cell>
          <cell r="L542" t="str">
            <v>ΌΧΙ</v>
          </cell>
          <cell r="O542" t="str">
            <v/>
          </cell>
        </row>
        <row r="543">
          <cell r="D543" t="str">
            <v>ΒΑΜΒΑΚΙ2202</v>
          </cell>
          <cell r="E543" t="str">
            <v>ALEXANDROS</v>
          </cell>
          <cell r="F543" t="str">
            <v>B_1_6_3</v>
          </cell>
          <cell r="G543" t="str">
            <v>Βαμβάκι</v>
          </cell>
          <cell r="H543">
            <v>1516</v>
          </cell>
          <cell r="K543" t="str">
            <v>Όχι</v>
          </cell>
          <cell r="L543" t="str">
            <v>ΌΧΙ</v>
          </cell>
          <cell r="O543" t="str">
            <v/>
          </cell>
        </row>
        <row r="544">
          <cell r="D544" t="str">
            <v>ΒΑΜΒΑΚΙ2210</v>
          </cell>
          <cell r="E544" t="str">
            <v>COTTON CLUB</v>
          </cell>
          <cell r="F544" t="str">
            <v>B_1_6_3</v>
          </cell>
          <cell r="G544" t="str">
            <v>Βαμβάκι</v>
          </cell>
          <cell r="H544">
            <v>1516</v>
          </cell>
          <cell r="K544" t="str">
            <v>Όχι</v>
          </cell>
          <cell r="L544" t="str">
            <v>ΌΧΙ</v>
          </cell>
          <cell r="O544" t="str">
            <v/>
          </cell>
        </row>
        <row r="545">
          <cell r="D545" t="str">
            <v>ΒΑΜΒΑΚΙ2211</v>
          </cell>
          <cell r="E545" t="str">
            <v>BABYLON</v>
          </cell>
          <cell r="F545" t="str">
            <v>B_1_6_3</v>
          </cell>
          <cell r="G545" t="str">
            <v>Βαμβάκι</v>
          </cell>
          <cell r="H545">
            <v>1516</v>
          </cell>
          <cell r="K545" t="str">
            <v>Όχι</v>
          </cell>
          <cell r="L545" t="str">
            <v>ΌΧΙ</v>
          </cell>
          <cell r="O545" t="str">
            <v/>
          </cell>
        </row>
        <row r="546">
          <cell r="D546" t="str">
            <v>ΒΑΜΒΑΚΙ2212</v>
          </cell>
          <cell r="E546" t="str">
            <v>AMANTA</v>
          </cell>
          <cell r="F546" t="str">
            <v>B_1_6_3</v>
          </cell>
          <cell r="G546" t="str">
            <v>Βαμβάκι</v>
          </cell>
          <cell r="H546">
            <v>1516</v>
          </cell>
          <cell r="K546" t="str">
            <v>Όχι</v>
          </cell>
          <cell r="L546" t="str">
            <v>ΌΧΙ</v>
          </cell>
          <cell r="O546" t="str">
            <v/>
          </cell>
        </row>
        <row r="547">
          <cell r="D547" t="str">
            <v>ΒΑΜΒΑΚΙ2213</v>
          </cell>
          <cell r="E547" t="str">
            <v>DYNASTY</v>
          </cell>
          <cell r="F547" t="str">
            <v>B_1_6_3</v>
          </cell>
          <cell r="G547" t="str">
            <v>Βαμβάκι</v>
          </cell>
          <cell r="H547">
            <v>1516</v>
          </cell>
          <cell r="K547" t="str">
            <v>Όχι</v>
          </cell>
          <cell r="L547" t="str">
            <v>ΌΧΙ</v>
          </cell>
          <cell r="O547" t="str">
            <v/>
          </cell>
        </row>
        <row r="548">
          <cell r="D548" t="str">
            <v>ΒΑΜΒΑΚΙ2214</v>
          </cell>
          <cell r="E548" t="str">
            <v>FOCUS</v>
          </cell>
          <cell r="F548" t="str">
            <v>B_1_6_3</v>
          </cell>
          <cell r="G548" t="str">
            <v>Βαμβάκι</v>
          </cell>
          <cell r="H548">
            <v>1516</v>
          </cell>
          <cell r="K548" t="str">
            <v>Όχι</v>
          </cell>
          <cell r="L548" t="str">
            <v>ΌΧΙ</v>
          </cell>
          <cell r="O548" t="str">
            <v/>
          </cell>
        </row>
        <row r="549">
          <cell r="D549" t="str">
            <v>ΒΑΜΒΑΚΙ2215</v>
          </cell>
          <cell r="E549" t="str">
            <v>ESPADA</v>
          </cell>
          <cell r="F549" t="str">
            <v>B_1_6_3</v>
          </cell>
          <cell r="G549" t="str">
            <v>Βαμβάκι</v>
          </cell>
          <cell r="H549">
            <v>1516</v>
          </cell>
          <cell r="K549" t="str">
            <v>Όχι</v>
          </cell>
          <cell r="L549" t="str">
            <v>ΌΧΙ</v>
          </cell>
          <cell r="O549" t="str">
            <v/>
          </cell>
        </row>
        <row r="550">
          <cell r="D550" t="str">
            <v>ΒΑΜΒΑΚΙ2216</v>
          </cell>
          <cell r="E550" t="str">
            <v>SYMBOL</v>
          </cell>
          <cell r="F550" t="str">
            <v>B_1_6_3</v>
          </cell>
          <cell r="G550" t="str">
            <v>Βαμβάκι</v>
          </cell>
          <cell r="H550">
            <v>1516</v>
          </cell>
          <cell r="K550" t="str">
            <v>Όχι</v>
          </cell>
          <cell r="L550" t="str">
            <v>ΌΧΙ</v>
          </cell>
          <cell r="O550" t="str">
            <v/>
          </cell>
        </row>
        <row r="551">
          <cell r="D551" t="str">
            <v>ΒΑΜΒΑΚΙ2217</v>
          </cell>
          <cell r="E551" t="str">
            <v>ILIANA</v>
          </cell>
          <cell r="F551" t="str">
            <v>B_1_6_3</v>
          </cell>
          <cell r="G551" t="str">
            <v>Βαμβάκι</v>
          </cell>
          <cell r="H551">
            <v>1516</v>
          </cell>
          <cell r="K551" t="str">
            <v>Όχι</v>
          </cell>
          <cell r="L551" t="str">
            <v>ΌΧΙ</v>
          </cell>
          <cell r="O551" t="str">
            <v/>
          </cell>
        </row>
        <row r="552">
          <cell r="D552" t="str">
            <v>ΒΑΜΒΑΚΙ2218</v>
          </cell>
          <cell r="E552" t="str">
            <v>ΜΥΤΗΟΣ (ΜΥΘΟΣ)</v>
          </cell>
          <cell r="F552" t="str">
            <v>B_1_6_3</v>
          </cell>
          <cell r="G552" t="str">
            <v>Βαμβάκι</v>
          </cell>
          <cell r="H552">
            <v>1516</v>
          </cell>
          <cell r="K552" t="str">
            <v>Όχι</v>
          </cell>
          <cell r="L552" t="str">
            <v>ΌΧΙ</v>
          </cell>
          <cell r="O552" t="str">
            <v/>
          </cell>
        </row>
        <row r="553">
          <cell r="D553" t="str">
            <v>ΒΑΜΒΑΚΙ2219</v>
          </cell>
          <cell r="E553" t="str">
            <v>ATLAS</v>
          </cell>
          <cell r="F553" t="str">
            <v>B_1_6_3</v>
          </cell>
          <cell r="G553" t="str">
            <v>Βαμβάκι</v>
          </cell>
          <cell r="H553">
            <v>1516</v>
          </cell>
          <cell r="K553" t="str">
            <v>Όχι</v>
          </cell>
          <cell r="L553" t="str">
            <v>ΌΧΙ</v>
          </cell>
          <cell r="O553" t="str">
            <v/>
          </cell>
        </row>
        <row r="554">
          <cell r="D554" t="str">
            <v>ΒΑΜΒΑΚΙ2221</v>
          </cell>
          <cell r="E554" t="str">
            <v>ST 463</v>
          </cell>
          <cell r="F554" t="str">
            <v>B_1_6_3</v>
          </cell>
          <cell r="G554" t="str">
            <v>Βαμβάκι</v>
          </cell>
          <cell r="H554">
            <v>1516</v>
          </cell>
          <cell r="K554" t="str">
            <v>Όχι</v>
          </cell>
          <cell r="L554" t="str">
            <v>ΌΧΙ</v>
          </cell>
          <cell r="O554" t="str">
            <v/>
          </cell>
        </row>
        <row r="555">
          <cell r="D555" t="str">
            <v>ΒΑΜΒΑΚΙ2224</v>
          </cell>
          <cell r="E555" t="str">
            <v>CELESTIA</v>
          </cell>
          <cell r="F555" t="str">
            <v>B_1_6_3</v>
          </cell>
          <cell r="G555" t="str">
            <v>Βαμβάκι</v>
          </cell>
          <cell r="H555">
            <v>1516</v>
          </cell>
          <cell r="K555" t="str">
            <v>Όχι</v>
          </cell>
          <cell r="L555" t="str">
            <v>ΌΧΙ</v>
          </cell>
          <cell r="O555" t="str">
            <v/>
          </cell>
        </row>
        <row r="556">
          <cell r="D556" t="str">
            <v>ΒΑΜΒΑΚΙ2313</v>
          </cell>
          <cell r="E556" t="str">
            <v>ST 457</v>
          </cell>
          <cell r="F556" t="str">
            <v>B_1_6_3</v>
          </cell>
          <cell r="G556" t="str">
            <v>Βαμβάκι</v>
          </cell>
          <cell r="H556">
            <v>1516</v>
          </cell>
          <cell r="K556" t="str">
            <v>Όχι</v>
          </cell>
          <cell r="L556" t="str">
            <v>ΌΧΙ</v>
          </cell>
          <cell r="O556" t="str">
            <v/>
          </cell>
        </row>
        <row r="557">
          <cell r="D557" t="str">
            <v>ΒΑΜΒΑΚΙ2314</v>
          </cell>
          <cell r="E557" t="str">
            <v>ST 468</v>
          </cell>
          <cell r="F557" t="str">
            <v>B_1_6_3</v>
          </cell>
          <cell r="G557" t="str">
            <v>Βαμβάκι</v>
          </cell>
          <cell r="H557">
            <v>1516</v>
          </cell>
          <cell r="K557" t="str">
            <v>Όχι</v>
          </cell>
          <cell r="L557" t="str">
            <v>ΌΧΙ</v>
          </cell>
          <cell r="O557" t="str">
            <v/>
          </cell>
        </row>
        <row r="558">
          <cell r="D558" t="str">
            <v>ΒΑΜΒΑΚΙ2318</v>
          </cell>
          <cell r="E558" t="str">
            <v>PERLA</v>
          </cell>
          <cell r="F558" t="str">
            <v>B_1_6_3</v>
          </cell>
          <cell r="G558" t="str">
            <v>Βαμβάκι</v>
          </cell>
          <cell r="H558">
            <v>1516</v>
          </cell>
          <cell r="K558" t="str">
            <v>Όχι</v>
          </cell>
          <cell r="L558" t="str">
            <v>ΌΧΙ</v>
          </cell>
          <cell r="O558" t="str">
            <v/>
          </cell>
        </row>
        <row r="559">
          <cell r="D559" t="str">
            <v>ΒΑΜΒΑΚΙ2319</v>
          </cell>
          <cell r="E559" t="str">
            <v>ORION</v>
          </cell>
          <cell r="F559" t="str">
            <v>B_1_6_3</v>
          </cell>
          <cell r="G559" t="str">
            <v>Βαμβάκι</v>
          </cell>
          <cell r="H559">
            <v>1516</v>
          </cell>
          <cell r="K559" t="str">
            <v>Όχι</v>
          </cell>
          <cell r="L559" t="str">
            <v>ΌΧΙ</v>
          </cell>
          <cell r="O559" t="str">
            <v/>
          </cell>
        </row>
        <row r="560">
          <cell r="D560" t="str">
            <v>ΒΑΜΒΑΚΙ2320</v>
          </cell>
          <cell r="E560" t="str">
            <v>IMPREZA</v>
          </cell>
          <cell r="F560" t="str">
            <v>B_1_6_3</v>
          </cell>
          <cell r="G560" t="str">
            <v>Βαμβάκι</v>
          </cell>
          <cell r="H560">
            <v>1516</v>
          </cell>
          <cell r="K560" t="str">
            <v>Όχι</v>
          </cell>
          <cell r="L560" t="str">
            <v>ΌΧΙ</v>
          </cell>
          <cell r="O560" t="str">
            <v/>
          </cell>
        </row>
        <row r="561">
          <cell r="D561" t="str">
            <v>ΒΑΜΒΑΚΙ2324</v>
          </cell>
          <cell r="E561" t="str">
            <v>LONZA</v>
          </cell>
          <cell r="F561" t="str">
            <v>B_1_6_3</v>
          </cell>
          <cell r="G561" t="str">
            <v>Βαμβάκι</v>
          </cell>
          <cell r="H561">
            <v>1516</v>
          </cell>
          <cell r="K561" t="str">
            <v>Όχι</v>
          </cell>
          <cell r="L561" t="str">
            <v>ΌΧΙ</v>
          </cell>
          <cell r="O561" t="str">
            <v/>
          </cell>
        </row>
        <row r="562">
          <cell r="D562" t="str">
            <v>ΒΑΜΒΑΚΙ2326</v>
          </cell>
          <cell r="E562" t="str">
            <v>MIRAGE</v>
          </cell>
          <cell r="F562" t="str">
            <v>B_1_6_3</v>
          </cell>
          <cell r="G562" t="str">
            <v>Βαμβάκι</v>
          </cell>
          <cell r="H562">
            <v>1516</v>
          </cell>
          <cell r="K562" t="str">
            <v>Όχι</v>
          </cell>
          <cell r="L562" t="str">
            <v>ΌΧΙ</v>
          </cell>
          <cell r="O562" t="str">
            <v/>
          </cell>
        </row>
        <row r="563">
          <cell r="D563" t="str">
            <v>ΒΑΜΒΑΚΙ2327</v>
          </cell>
          <cell r="E563" t="str">
            <v>PLATINA</v>
          </cell>
          <cell r="F563" t="str">
            <v>B_1_6_3</v>
          </cell>
          <cell r="G563" t="str">
            <v>Βαμβάκι</v>
          </cell>
          <cell r="H563">
            <v>1516</v>
          </cell>
          <cell r="K563" t="str">
            <v>Όχι</v>
          </cell>
          <cell r="L563" t="str">
            <v>ΌΧΙ</v>
          </cell>
          <cell r="O563" t="str">
            <v/>
          </cell>
        </row>
        <row r="564">
          <cell r="D564" t="str">
            <v>ΒΑΜΒΑΚΙ2328</v>
          </cell>
          <cell r="E564" t="str">
            <v>FAMOSA</v>
          </cell>
          <cell r="F564" t="str">
            <v>B_1_6_3</v>
          </cell>
          <cell r="G564" t="str">
            <v>Βαμβάκι</v>
          </cell>
          <cell r="H564">
            <v>1516</v>
          </cell>
          <cell r="K564" t="str">
            <v>Όχι</v>
          </cell>
          <cell r="L564" t="str">
            <v>ΌΧΙ</v>
          </cell>
          <cell r="O564" t="str">
            <v/>
          </cell>
        </row>
        <row r="565">
          <cell r="D565" t="str">
            <v>ΒΑΜΒΑΚΙ2329</v>
          </cell>
          <cell r="E565" t="str">
            <v>ANAIS</v>
          </cell>
          <cell r="F565" t="str">
            <v>B_1_6_3</v>
          </cell>
          <cell r="G565" t="str">
            <v>Βαμβάκι</v>
          </cell>
          <cell r="H565">
            <v>1516</v>
          </cell>
          <cell r="K565" t="str">
            <v>Όχι</v>
          </cell>
          <cell r="L565" t="str">
            <v>ΌΧΙ</v>
          </cell>
          <cell r="O565" t="str">
            <v/>
          </cell>
        </row>
        <row r="566">
          <cell r="D566" t="str">
            <v>ΒΑΜΒΑΚΙ2330</v>
          </cell>
          <cell r="E566" t="str">
            <v>SERIA</v>
          </cell>
          <cell r="F566" t="str">
            <v>B_1_6_3</v>
          </cell>
          <cell r="G566" t="str">
            <v>Βαμβάκι</v>
          </cell>
          <cell r="H566">
            <v>1516</v>
          </cell>
          <cell r="K566" t="str">
            <v>Όχι</v>
          </cell>
          <cell r="L566" t="str">
            <v>ΌΧΙ</v>
          </cell>
          <cell r="O566" t="str">
            <v/>
          </cell>
        </row>
        <row r="567">
          <cell r="D567" t="str">
            <v>ΒΑΜΒΑΚΙ2331</v>
          </cell>
          <cell r="E567" t="str">
            <v>ALMON</v>
          </cell>
          <cell r="F567" t="str">
            <v>B_1_6_3</v>
          </cell>
          <cell r="G567" t="str">
            <v>Βαμβάκι</v>
          </cell>
          <cell r="H567">
            <v>1516</v>
          </cell>
          <cell r="K567" t="str">
            <v>Όχι</v>
          </cell>
          <cell r="L567" t="str">
            <v>ΌΧΙ</v>
          </cell>
          <cell r="O567" t="str">
            <v/>
          </cell>
        </row>
        <row r="568">
          <cell r="D568" t="str">
            <v>ΒΑΜΒΑΚΙ2333</v>
          </cell>
          <cell r="E568" t="str">
            <v>COBRA</v>
          </cell>
          <cell r="F568" t="str">
            <v>B_1_6_3</v>
          </cell>
          <cell r="G568" t="str">
            <v>Βαμβάκι</v>
          </cell>
          <cell r="H568">
            <v>1516</v>
          </cell>
          <cell r="K568" t="str">
            <v>Όχι</v>
          </cell>
          <cell r="L568" t="str">
            <v>ΌΧΙ</v>
          </cell>
          <cell r="O568" t="str">
            <v/>
          </cell>
        </row>
        <row r="569">
          <cell r="D569" t="str">
            <v>ΒΑΜΒΑΚΙ2334</v>
          </cell>
          <cell r="E569" t="str">
            <v>ZARKO</v>
          </cell>
          <cell r="F569" t="str">
            <v>B_1_6_3</v>
          </cell>
          <cell r="G569" t="str">
            <v>Βαμβάκι</v>
          </cell>
          <cell r="H569">
            <v>1516</v>
          </cell>
          <cell r="K569" t="str">
            <v>Όχι</v>
          </cell>
          <cell r="L569" t="str">
            <v>ΌΧΙ</v>
          </cell>
          <cell r="O569" t="str">
            <v/>
          </cell>
        </row>
        <row r="570">
          <cell r="D570" t="str">
            <v>ΒΑΜΒΑΚΙ2336</v>
          </cell>
          <cell r="E570" t="str">
            <v>FAYTOS</v>
          </cell>
          <cell r="F570" t="str">
            <v>B_1_6_3</v>
          </cell>
          <cell r="G570" t="str">
            <v>Βαμβάκι</v>
          </cell>
          <cell r="H570">
            <v>1516</v>
          </cell>
          <cell r="K570" t="str">
            <v>Όχι</v>
          </cell>
          <cell r="L570" t="str">
            <v>ΌΧΙ</v>
          </cell>
          <cell r="O570" t="str">
            <v/>
          </cell>
        </row>
        <row r="571">
          <cell r="D571" t="str">
            <v>ΒΑΜΒΑΚΙ2337</v>
          </cell>
          <cell r="E571" t="str">
            <v>FOIVOS</v>
          </cell>
          <cell r="F571" t="str">
            <v>B_1_6_3</v>
          </cell>
          <cell r="G571" t="str">
            <v>Βαμβάκι</v>
          </cell>
          <cell r="H571">
            <v>1516</v>
          </cell>
          <cell r="K571" t="str">
            <v>Όχι</v>
          </cell>
          <cell r="L571" t="str">
            <v>ΌΧΙ</v>
          </cell>
          <cell r="O571" t="str">
            <v/>
          </cell>
        </row>
        <row r="572">
          <cell r="D572" t="str">
            <v>ΒΑΜΒΑΚΙ2338</v>
          </cell>
          <cell r="E572" t="str">
            <v>AVRA</v>
          </cell>
          <cell r="F572" t="str">
            <v>B_1_6_3</v>
          </cell>
          <cell r="G572" t="str">
            <v>Βαμβάκι</v>
          </cell>
          <cell r="H572">
            <v>1516</v>
          </cell>
          <cell r="K572" t="str">
            <v>Όχι</v>
          </cell>
          <cell r="L572" t="str">
            <v>ΌΧΙ</v>
          </cell>
          <cell r="O572" t="str">
            <v/>
          </cell>
        </row>
        <row r="573">
          <cell r="D573" t="str">
            <v>ΒΑΜΒΑΚΙ2341</v>
          </cell>
          <cell r="E573" t="str">
            <v>DELTA DIAMOND</v>
          </cell>
          <cell r="F573" t="str">
            <v>B_1_6_3</v>
          </cell>
          <cell r="G573" t="str">
            <v>Βαμβάκι</v>
          </cell>
          <cell r="H573">
            <v>1516</v>
          </cell>
          <cell r="K573" t="str">
            <v>Όχι</v>
          </cell>
          <cell r="L573" t="str">
            <v>ΌΧΙ</v>
          </cell>
          <cell r="O573" t="str">
            <v/>
          </cell>
        </row>
        <row r="574">
          <cell r="D574" t="str">
            <v>ΒΑΜΒΑΚΙ2342</v>
          </cell>
          <cell r="E574" t="str">
            <v>EXTRA</v>
          </cell>
          <cell r="F574" t="str">
            <v>B_1_6_3</v>
          </cell>
          <cell r="G574" t="str">
            <v>Βαμβάκι</v>
          </cell>
          <cell r="H574">
            <v>1516</v>
          </cell>
          <cell r="K574" t="str">
            <v>Όχι</v>
          </cell>
          <cell r="L574" t="str">
            <v>ΌΧΙ</v>
          </cell>
          <cell r="O574" t="str">
            <v/>
          </cell>
        </row>
        <row r="575">
          <cell r="D575" t="str">
            <v>ΒΑΜΒΑΚΙ2387</v>
          </cell>
          <cell r="E575" t="str">
            <v>NIMA</v>
          </cell>
          <cell r="F575" t="str">
            <v>B_1_6_3</v>
          </cell>
          <cell r="G575" t="str">
            <v>Βαμβάκι</v>
          </cell>
          <cell r="H575">
            <v>1516</v>
          </cell>
          <cell r="K575" t="str">
            <v>Όχι</v>
          </cell>
          <cell r="L575" t="str">
            <v>ΌΧΙ</v>
          </cell>
          <cell r="O575" t="str">
            <v/>
          </cell>
        </row>
        <row r="576">
          <cell r="D576" t="str">
            <v>ΒΑΜΒΑΚΙ2447</v>
          </cell>
          <cell r="E576" t="str">
            <v>MARTHA</v>
          </cell>
          <cell r="F576" t="str">
            <v>B_1_6_3</v>
          </cell>
          <cell r="G576" t="str">
            <v>Βαμβάκι</v>
          </cell>
          <cell r="H576">
            <v>1516</v>
          </cell>
          <cell r="K576" t="str">
            <v>Όχι</v>
          </cell>
          <cell r="L576" t="str">
            <v>ΌΧΙ</v>
          </cell>
          <cell r="O576" t="str">
            <v/>
          </cell>
        </row>
        <row r="577">
          <cell r="D577" t="str">
            <v>ΒΑΜΒΑΚΙ2448</v>
          </cell>
          <cell r="E577" t="str">
            <v>X020</v>
          </cell>
          <cell r="F577" t="str">
            <v>B_1_6_3</v>
          </cell>
          <cell r="G577" t="str">
            <v>Βαμβάκι</v>
          </cell>
          <cell r="H577">
            <v>1516</v>
          </cell>
          <cell r="K577" t="str">
            <v>Όχι</v>
          </cell>
          <cell r="L577" t="str">
            <v>ΌΧΙ</v>
          </cell>
          <cell r="O577" t="str">
            <v/>
          </cell>
        </row>
        <row r="578">
          <cell r="D578" t="str">
            <v>ΒΑΜΒΑΚΙ2449</v>
          </cell>
          <cell r="E578" t="str">
            <v>ANETO</v>
          </cell>
          <cell r="F578" t="str">
            <v>B_1_6_3</v>
          </cell>
          <cell r="G578" t="str">
            <v>Βαμβάκι</v>
          </cell>
          <cell r="H578">
            <v>1516</v>
          </cell>
          <cell r="K578" t="str">
            <v>Όχι</v>
          </cell>
          <cell r="L578" t="str">
            <v>ΌΧΙ</v>
          </cell>
          <cell r="O578" t="str">
            <v/>
          </cell>
        </row>
        <row r="579">
          <cell r="D579" t="str">
            <v>ΒΑΜΒΑΚΙ2450</v>
          </cell>
          <cell r="E579" t="str">
            <v>DP468</v>
          </cell>
          <cell r="F579" t="str">
            <v>B_1_6_3</v>
          </cell>
          <cell r="G579" t="str">
            <v>Βαμβάκι</v>
          </cell>
          <cell r="H579">
            <v>1516</v>
          </cell>
          <cell r="K579" t="str">
            <v>Όχι</v>
          </cell>
          <cell r="L579" t="str">
            <v>ΌΧΙ</v>
          </cell>
          <cell r="O579" t="str">
            <v/>
          </cell>
        </row>
        <row r="580">
          <cell r="D580" t="str">
            <v>ΒΑΜΒΑΚΙ2451</v>
          </cell>
          <cell r="E580" t="str">
            <v>DR577</v>
          </cell>
          <cell r="F580" t="str">
            <v>B_1_6_3</v>
          </cell>
          <cell r="G580" t="str">
            <v>Βαμβάκι</v>
          </cell>
          <cell r="H580">
            <v>1516</v>
          </cell>
          <cell r="K580" t="str">
            <v>Όχι</v>
          </cell>
          <cell r="L580" t="str">
            <v>ΌΧΙ</v>
          </cell>
          <cell r="O580" t="str">
            <v/>
          </cell>
        </row>
        <row r="581">
          <cell r="D581" t="str">
            <v>ΒΑΜΒΑΚΙ2452</v>
          </cell>
          <cell r="E581" t="str">
            <v>DP419</v>
          </cell>
          <cell r="F581" t="str">
            <v>B_1_6_3</v>
          </cell>
          <cell r="G581" t="str">
            <v>Βαμβάκι</v>
          </cell>
          <cell r="H581">
            <v>1516</v>
          </cell>
          <cell r="K581" t="str">
            <v>Όχι</v>
          </cell>
          <cell r="L581" t="str">
            <v>ΌΧΙ</v>
          </cell>
          <cell r="O581" t="str">
            <v/>
          </cell>
        </row>
        <row r="582">
          <cell r="D582" t="str">
            <v>ΒΑΜΒΑΚΙ2453</v>
          </cell>
          <cell r="E582" t="str">
            <v>THESSALIA (ΘΕΣΣΑΛΙΑ)</v>
          </cell>
          <cell r="F582" t="str">
            <v>B_1_6_3</v>
          </cell>
          <cell r="G582" t="str">
            <v>Βαμβάκι</v>
          </cell>
          <cell r="H582">
            <v>1516</v>
          </cell>
          <cell r="K582" t="str">
            <v>Όχι</v>
          </cell>
          <cell r="L582" t="str">
            <v>ΌΧΙ</v>
          </cell>
          <cell r="O582" t="str">
            <v/>
          </cell>
        </row>
        <row r="583">
          <cell r="D583" t="str">
            <v>ΒΑΜΒΑΚΙ2454</v>
          </cell>
          <cell r="E583" t="str">
            <v>NIKI</v>
          </cell>
          <cell r="F583" t="str">
            <v>B_1_6_3</v>
          </cell>
          <cell r="G583" t="str">
            <v>Βαμβάκι</v>
          </cell>
          <cell r="H583">
            <v>1516</v>
          </cell>
          <cell r="K583" t="str">
            <v>Όχι</v>
          </cell>
          <cell r="L583" t="str">
            <v>ΌΧΙ</v>
          </cell>
          <cell r="O583" t="str">
            <v/>
          </cell>
        </row>
        <row r="584">
          <cell r="D584" t="str">
            <v>ΒΑΜΒΑΚΙ2457</v>
          </cell>
          <cell r="E584" t="str">
            <v>JUNCAL</v>
          </cell>
          <cell r="F584" t="str">
            <v>B_1_6_3</v>
          </cell>
          <cell r="G584" t="str">
            <v>Βαμβάκι</v>
          </cell>
          <cell r="H584">
            <v>1516</v>
          </cell>
          <cell r="K584" t="str">
            <v>Όχι</v>
          </cell>
          <cell r="L584" t="str">
            <v>ΌΧΙ</v>
          </cell>
          <cell r="O584" t="str">
            <v/>
          </cell>
        </row>
        <row r="585">
          <cell r="D585" t="str">
            <v>ΒΑΜΒΑΚΙ2458</v>
          </cell>
          <cell r="E585" t="str">
            <v>DELFOS</v>
          </cell>
          <cell r="F585" t="str">
            <v>B_1_6_3</v>
          </cell>
          <cell r="G585" t="str">
            <v>Βαμβάκι</v>
          </cell>
          <cell r="H585">
            <v>1516</v>
          </cell>
          <cell r="K585" t="str">
            <v>Όχι</v>
          </cell>
          <cell r="L585" t="str">
            <v>ΌΧΙ</v>
          </cell>
          <cell r="O585" t="str">
            <v/>
          </cell>
        </row>
        <row r="586">
          <cell r="D586" t="str">
            <v>ΒΑΜΒΑΚΙ2459</v>
          </cell>
          <cell r="E586" t="str">
            <v>EVDOKIA (ΕΥΔΟΚΙΑ)</v>
          </cell>
          <cell r="F586" t="str">
            <v>B_1_6_3</v>
          </cell>
          <cell r="G586" t="str">
            <v>Βαμβάκι</v>
          </cell>
          <cell r="H586">
            <v>1516</v>
          </cell>
          <cell r="K586" t="str">
            <v>Όχι</v>
          </cell>
          <cell r="L586" t="str">
            <v>ΌΧΙ</v>
          </cell>
          <cell r="O586" t="str">
            <v/>
          </cell>
        </row>
        <row r="587">
          <cell r="D587" t="str">
            <v>ΒΑΜΒΑΚΙ2460</v>
          </cell>
          <cell r="E587" t="str">
            <v>TZORTZINA (ΤΖΟΡΤΖΙΝΑ)</v>
          </cell>
          <cell r="F587" t="str">
            <v>B_1_6_3</v>
          </cell>
          <cell r="G587" t="str">
            <v>Βαμβάκι</v>
          </cell>
          <cell r="H587">
            <v>1516</v>
          </cell>
          <cell r="K587" t="str">
            <v>Όχι</v>
          </cell>
          <cell r="L587" t="str">
            <v>ΌΧΙ</v>
          </cell>
          <cell r="O587" t="str">
            <v/>
          </cell>
        </row>
        <row r="588">
          <cell r="D588" t="str">
            <v>ΒΑΜΒΑΚΙ2461</v>
          </cell>
          <cell r="E588" t="str">
            <v>OSCAR</v>
          </cell>
          <cell r="F588" t="str">
            <v>B_1_6_3</v>
          </cell>
          <cell r="G588" t="str">
            <v>Βαμβάκι</v>
          </cell>
          <cell r="H588">
            <v>1516</v>
          </cell>
          <cell r="K588" t="str">
            <v>Όχι</v>
          </cell>
          <cell r="L588" t="str">
            <v>ΌΧΙ</v>
          </cell>
          <cell r="O588" t="str">
            <v/>
          </cell>
        </row>
        <row r="589">
          <cell r="D589" t="str">
            <v>ΒΑΜΒΑΚΙ2462</v>
          </cell>
          <cell r="E589" t="str">
            <v>STUKA</v>
          </cell>
          <cell r="F589" t="str">
            <v>B_1_6_3</v>
          </cell>
          <cell r="G589" t="str">
            <v>Βαμβάκι</v>
          </cell>
          <cell r="H589">
            <v>1516</v>
          </cell>
          <cell r="K589" t="str">
            <v>Όχι</v>
          </cell>
          <cell r="L589" t="str">
            <v>ΌΧΙ</v>
          </cell>
          <cell r="O589" t="str">
            <v/>
          </cell>
        </row>
        <row r="590">
          <cell r="D590" t="str">
            <v>ΒΑΜΒΑΚΙ2463</v>
          </cell>
          <cell r="E590" t="str">
            <v>PIGAL</v>
          </cell>
          <cell r="F590" t="str">
            <v>B_1_6_3</v>
          </cell>
          <cell r="G590" t="str">
            <v>Βαμβάκι</v>
          </cell>
          <cell r="H590">
            <v>1516</v>
          </cell>
          <cell r="K590" t="str">
            <v>Όχι</v>
          </cell>
          <cell r="L590" t="str">
            <v>ΌΧΙ</v>
          </cell>
          <cell r="O590" t="str">
            <v/>
          </cell>
        </row>
        <row r="591">
          <cell r="D591" t="str">
            <v>ΒΑΜΒΑΚΙ2464</v>
          </cell>
          <cell r="E591" t="str">
            <v>NEILOS (ΝΕΙΛΟΣ)</v>
          </cell>
          <cell r="F591" t="str">
            <v>B_1_6_3</v>
          </cell>
          <cell r="G591" t="str">
            <v>Βαμβάκι</v>
          </cell>
          <cell r="H591">
            <v>1516</v>
          </cell>
          <cell r="K591" t="str">
            <v>Όχι</v>
          </cell>
          <cell r="L591" t="str">
            <v>ΌΧΙ</v>
          </cell>
          <cell r="O591" t="str">
            <v/>
          </cell>
        </row>
        <row r="592">
          <cell r="D592" t="str">
            <v>ΒΑΜΒΑΚΙ2465</v>
          </cell>
          <cell r="E592" t="str">
            <v>ST 446</v>
          </cell>
          <cell r="F592" t="str">
            <v>B_1_6_3</v>
          </cell>
          <cell r="G592" t="str">
            <v>Βαμβάκι</v>
          </cell>
          <cell r="H592">
            <v>1516</v>
          </cell>
          <cell r="K592" t="str">
            <v>Όχι</v>
          </cell>
          <cell r="L592" t="str">
            <v>ΌΧΙ</v>
          </cell>
          <cell r="O592" t="str">
            <v/>
          </cell>
        </row>
        <row r="593">
          <cell r="D593" t="str">
            <v>ΒΑΜΒΑΚΙ2466</v>
          </cell>
          <cell r="E593" t="str">
            <v>ST 431</v>
          </cell>
          <cell r="F593" t="str">
            <v>B_1_6_3</v>
          </cell>
          <cell r="G593" t="str">
            <v>Βαμβάκι</v>
          </cell>
          <cell r="H593">
            <v>1516</v>
          </cell>
          <cell r="K593" t="str">
            <v>Όχι</v>
          </cell>
          <cell r="L593" t="str">
            <v>ΌΧΙ</v>
          </cell>
          <cell r="O593" t="str">
            <v/>
          </cell>
        </row>
        <row r="594">
          <cell r="D594" t="str">
            <v>ΒΑΜΒΑΚΙ2467</v>
          </cell>
          <cell r="E594" t="str">
            <v>ST 525</v>
          </cell>
          <cell r="F594" t="str">
            <v>B_1_6_3</v>
          </cell>
          <cell r="G594" t="str">
            <v>Βαμβάκι</v>
          </cell>
          <cell r="H594">
            <v>1516</v>
          </cell>
          <cell r="K594" t="str">
            <v>Όχι</v>
          </cell>
          <cell r="L594" t="str">
            <v>ΌΧΙ</v>
          </cell>
          <cell r="O594" t="str">
            <v/>
          </cell>
        </row>
        <row r="595">
          <cell r="D595" t="str">
            <v>ΒΑΜΒΑΚΙ2468</v>
          </cell>
          <cell r="E595" t="str">
            <v>PIGASOS (ΠΗΓΑΣΟΣ)</v>
          </cell>
          <cell r="F595" t="str">
            <v>B_1_6_3</v>
          </cell>
          <cell r="G595" t="str">
            <v>Βαμβάκι</v>
          </cell>
          <cell r="H595">
            <v>1516</v>
          </cell>
          <cell r="K595" t="str">
            <v>Όχι</v>
          </cell>
          <cell r="L595" t="str">
            <v>ΌΧΙ</v>
          </cell>
          <cell r="O595" t="str">
            <v/>
          </cell>
        </row>
        <row r="596">
          <cell r="D596" t="str">
            <v>ΒΑΜΒΑΚΙ2470</v>
          </cell>
          <cell r="E596" t="str">
            <v>PROTEAS</v>
          </cell>
          <cell r="F596" t="str">
            <v>B_1_6_3</v>
          </cell>
          <cell r="G596" t="str">
            <v>Βαμβάκι</v>
          </cell>
          <cell r="H596">
            <v>1516</v>
          </cell>
          <cell r="K596" t="str">
            <v>Όχι</v>
          </cell>
          <cell r="L596" t="str">
            <v>ΌΧΙ</v>
          </cell>
          <cell r="O596" t="str">
            <v/>
          </cell>
        </row>
        <row r="597">
          <cell r="D597" t="str">
            <v>ΒΑΜΒΑΚΙ2471</v>
          </cell>
          <cell r="E597" t="str">
            <v>COSMOS</v>
          </cell>
          <cell r="F597" t="str">
            <v>B_1_6_3</v>
          </cell>
          <cell r="G597" t="str">
            <v>Βαμβάκι</v>
          </cell>
          <cell r="H597">
            <v>1516</v>
          </cell>
          <cell r="K597" t="str">
            <v>Όχι</v>
          </cell>
          <cell r="L597" t="str">
            <v>ΌΧΙ</v>
          </cell>
          <cell r="O597" t="str">
            <v/>
          </cell>
        </row>
        <row r="598">
          <cell r="D598" t="str">
            <v>ΒΑΜΒΑΚΙ2489</v>
          </cell>
          <cell r="E598" t="str">
            <v>ICARUS</v>
          </cell>
          <cell r="F598" t="str">
            <v>B_1_6_3</v>
          </cell>
          <cell r="G598" t="str">
            <v>Βαμβάκι</v>
          </cell>
          <cell r="H598">
            <v>1516</v>
          </cell>
          <cell r="K598" t="str">
            <v>Όχι</v>
          </cell>
          <cell r="L598" t="str">
            <v>ΌΧΙ</v>
          </cell>
          <cell r="O598" t="str">
            <v/>
          </cell>
        </row>
        <row r="599">
          <cell r="D599" t="str">
            <v>ΒΑΜΒΑΚΙ2570</v>
          </cell>
          <cell r="E599" t="str">
            <v>DONNA</v>
          </cell>
          <cell r="F599" t="str">
            <v>B_1_6_3</v>
          </cell>
          <cell r="G599" t="str">
            <v>Βαμβάκι</v>
          </cell>
          <cell r="H599">
            <v>1516</v>
          </cell>
          <cell r="K599" t="str">
            <v>Όχι</v>
          </cell>
          <cell r="L599" t="str">
            <v>ΌΧΙ</v>
          </cell>
          <cell r="O599" t="str">
            <v/>
          </cell>
        </row>
        <row r="600">
          <cell r="D600" t="str">
            <v>ΒΑΜΒΑΚΙ2575</v>
          </cell>
          <cell r="E600" t="str">
            <v>ORFEAS</v>
          </cell>
          <cell r="F600" t="str">
            <v>B_1_6_3</v>
          </cell>
          <cell r="G600" t="str">
            <v>Βαμβάκι</v>
          </cell>
          <cell r="H600">
            <v>1516</v>
          </cell>
          <cell r="K600" t="str">
            <v>Όχι</v>
          </cell>
          <cell r="L600" t="str">
            <v>ΌΧΙ</v>
          </cell>
          <cell r="O600" t="str">
            <v/>
          </cell>
        </row>
        <row r="601">
          <cell r="D601" t="str">
            <v>ΒΑΜΒΑΚΙ2576</v>
          </cell>
          <cell r="E601" t="str">
            <v>ΤΟΤΑ</v>
          </cell>
          <cell r="F601" t="str">
            <v>B_1_6_3</v>
          </cell>
          <cell r="G601" t="str">
            <v>Βαμβάκι</v>
          </cell>
          <cell r="H601">
            <v>1516</v>
          </cell>
          <cell r="K601" t="str">
            <v>Όχι</v>
          </cell>
          <cell r="L601" t="str">
            <v>ΌΧΙ</v>
          </cell>
          <cell r="O601" t="str">
            <v/>
          </cell>
        </row>
        <row r="602">
          <cell r="D602" t="str">
            <v>ΒΑΜΒΑΚΙ2585</v>
          </cell>
          <cell r="E602" t="str">
            <v>CT 1</v>
          </cell>
          <cell r="F602" t="str">
            <v>B_1_6_3</v>
          </cell>
          <cell r="G602" t="str">
            <v>Βαμβάκι</v>
          </cell>
          <cell r="H602">
            <v>1516</v>
          </cell>
          <cell r="K602" t="str">
            <v>Όχι</v>
          </cell>
          <cell r="L602" t="str">
            <v>ΌΧΙ</v>
          </cell>
          <cell r="O602" t="str">
            <v/>
          </cell>
        </row>
        <row r="603">
          <cell r="D603" t="str">
            <v>ΒΑΜΒΑΚΙ2586</v>
          </cell>
          <cell r="E603" t="str">
            <v>CT 12</v>
          </cell>
          <cell r="F603" t="str">
            <v>B_1_6_3</v>
          </cell>
          <cell r="G603" t="str">
            <v>Βαμβάκι</v>
          </cell>
          <cell r="H603">
            <v>1516</v>
          </cell>
          <cell r="K603" t="str">
            <v>Όχι</v>
          </cell>
          <cell r="L603" t="str">
            <v>ΌΧΙ</v>
          </cell>
          <cell r="O603" t="str">
            <v/>
          </cell>
        </row>
        <row r="604">
          <cell r="D604" t="str">
            <v>ΒΑΜΒΑΚΙ2588</v>
          </cell>
          <cell r="E604" t="str">
            <v>EKATI</v>
          </cell>
          <cell r="F604" t="str">
            <v>B_1_6_3</v>
          </cell>
          <cell r="G604" t="str">
            <v>Βαμβάκι</v>
          </cell>
          <cell r="H604">
            <v>1516</v>
          </cell>
          <cell r="K604" t="str">
            <v>Όχι</v>
          </cell>
          <cell r="L604" t="str">
            <v>ΌΧΙ</v>
          </cell>
          <cell r="O604" t="str">
            <v/>
          </cell>
        </row>
        <row r="605">
          <cell r="D605" t="str">
            <v>ΒΑΜΒΑΚΙ2589</v>
          </cell>
          <cell r="E605" t="str">
            <v>KK801</v>
          </cell>
          <cell r="F605" t="str">
            <v>B_1_6_3</v>
          </cell>
          <cell r="G605" t="str">
            <v>Βαμβάκι</v>
          </cell>
          <cell r="H605">
            <v>1516</v>
          </cell>
          <cell r="K605" t="str">
            <v>Όχι</v>
          </cell>
          <cell r="L605" t="str">
            <v>ΌΧΙ</v>
          </cell>
          <cell r="O605" t="str">
            <v/>
          </cell>
        </row>
        <row r="606">
          <cell r="D606" t="str">
            <v>ΒΑΜΒΑΚΙ2590</v>
          </cell>
          <cell r="E606" t="str">
            <v>KK803</v>
          </cell>
          <cell r="F606" t="str">
            <v>B_1_6_3</v>
          </cell>
          <cell r="G606" t="str">
            <v>Βαμβάκι</v>
          </cell>
          <cell r="H606">
            <v>1516</v>
          </cell>
          <cell r="K606" t="str">
            <v>Όχι</v>
          </cell>
          <cell r="L606" t="str">
            <v>ΌΧΙ</v>
          </cell>
          <cell r="O606" t="str">
            <v/>
          </cell>
        </row>
        <row r="607">
          <cell r="D607" t="str">
            <v>ΒΑΜΒΑΚΙ2592</v>
          </cell>
          <cell r="E607" t="str">
            <v>KK805</v>
          </cell>
          <cell r="F607" t="str">
            <v>B_1_6_3</v>
          </cell>
          <cell r="G607" t="str">
            <v>Βαμβάκι</v>
          </cell>
          <cell r="H607">
            <v>1516</v>
          </cell>
          <cell r="K607" t="str">
            <v>Όχι</v>
          </cell>
          <cell r="L607" t="str">
            <v>ΌΧΙ</v>
          </cell>
          <cell r="O607" t="str">
            <v/>
          </cell>
        </row>
        <row r="608">
          <cell r="D608" t="str">
            <v>ΒΑΜΒΑΚΙ2593</v>
          </cell>
          <cell r="E608" t="str">
            <v>KK807</v>
          </cell>
          <cell r="F608" t="str">
            <v>B_1_6_3</v>
          </cell>
          <cell r="G608" t="str">
            <v>Βαμβάκι</v>
          </cell>
          <cell r="H608">
            <v>1516</v>
          </cell>
          <cell r="K608" t="str">
            <v>Όχι</v>
          </cell>
          <cell r="L608" t="str">
            <v>ΌΧΙ</v>
          </cell>
          <cell r="O608" t="str">
            <v/>
          </cell>
        </row>
        <row r="609">
          <cell r="D609" t="str">
            <v>ΒΑΜΒΑΚΙ2594</v>
          </cell>
          <cell r="E609" t="str">
            <v>KK808</v>
          </cell>
          <cell r="F609" t="str">
            <v>B_1_6_3</v>
          </cell>
          <cell r="G609" t="str">
            <v>Βαμβάκι</v>
          </cell>
          <cell r="H609">
            <v>1516</v>
          </cell>
          <cell r="K609" t="str">
            <v>Όχι</v>
          </cell>
          <cell r="L609" t="str">
            <v>ΌΧΙ</v>
          </cell>
          <cell r="O609" t="str">
            <v/>
          </cell>
        </row>
        <row r="610">
          <cell r="D610" t="str">
            <v>ΒΑΜΒΑΚΙ2678</v>
          </cell>
          <cell r="E610" t="str">
            <v>CANDIA</v>
          </cell>
          <cell r="F610" t="str">
            <v>B_1_6_3</v>
          </cell>
          <cell r="G610" t="str">
            <v>Βαμβάκι</v>
          </cell>
          <cell r="H610">
            <v>1516</v>
          </cell>
          <cell r="K610" t="str">
            <v>Όχι</v>
          </cell>
          <cell r="L610" t="str">
            <v>ΌΧΙ</v>
          </cell>
          <cell r="O610" t="str">
            <v/>
          </cell>
        </row>
        <row r="611">
          <cell r="D611" t="str">
            <v>ΒΑΜΒΑΚΙ2680</v>
          </cell>
          <cell r="E611" t="str">
            <v>LAURA</v>
          </cell>
          <cell r="F611" t="str">
            <v>B_1_6_3</v>
          </cell>
          <cell r="G611" t="str">
            <v>Βαμβάκι</v>
          </cell>
          <cell r="H611">
            <v>1516</v>
          </cell>
          <cell r="K611" t="str">
            <v>Όχι</v>
          </cell>
          <cell r="L611" t="str">
            <v>ΌΧΙ</v>
          </cell>
          <cell r="O611" t="str">
            <v/>
          </cell>
        </row>
        <row r="612">
          <cell r="D612" t="str">
            <v>ΒΑΜΒΑΚΙ2682</v>
          </cell>
          <cell r="E612" t="str">
            <v>ΝΕΦΕΛΗ</v>
          </cell>
          <cell r="F612" t="str">
            <v>B_1_6_3</v>
          </cell>
          <cell r="G612" t="str">
            <v>Βαμβάκι</v>
          </cell>
          <cell r="H612">
            <v>1516</v>
          </cell>
          <cell r="K612" t="str">
            <v>Όχι</v>
          </cell>
          <cell r="L612" t="str">
            <v>ΌΧΙ</v>
          </cell>
          <cell r="O612" t="str">
            <v/>
          </cell>
        </row>
        <row r="613">
          <cell r="D613" t="str">
            <v>ΒΑΜΒΑΚΙ2878</v>
          </cell>
          <cell r="E613" t="str">
            <v>KALLINA</v>
          </cell>
          <cell r="F613" t="str">
            <v>B_1_6_3</v>
          </cell>
          <cell r="G613" t="str">
            <v>Βαμβάκι</v>
          </cell>
          <cell r="H613">
            <v>1516</v>
          </cell>
          <cell r="K613" t="str">
            <v>Όχι</v>
          </cell>
          <cell r="L613" t="str">
            <v>ΌΧΙ</v>
          </cell>
          <cell r="O613" t="str">
            <v/>
          </cell>
        </row>
        <row r="614">
          <cell r="D614" t="str">
            <v>ΒΑΜΒΑΚΙ2879</v>
          </cell>
          <cell r="E614" t="str">
            <v>ELSA</v>
          </cell>
          <cell r="F614" t="str">
            <v>B_1_6_3</v>
          </cell>
          <cell r="G614" t="str">
            <v>Βαμβάκι</v>
          </cell>
          <cell r="H614">
            <v>1516</v>
          </cell>
          <cell r="K614" t="str">
            <v>Όχι</v>
          </cell>
          <cell r="L614" t="str">
            <v>ΌΧΙ</v>
          </cell>
          <cell r="O614" t="str">
            <v/>
          </cell>
        </row>
        <row r="615">
          <cell r="D615" t="str">
            <v>ΒΑΜΒΑΚΙ2880</v>
          </cell>
          <cell r="E615" t="str">
            <v>AFRICA</v>
          </cell>
          <cell r="F615" t="str">
            <v>B_1_6_3</v>
          </cell>
          <cell r="G615" t="str">
            <v>Βαμβάκι</v>
          </cell>
          <cell r="H615">
            <v>1516</v>
          </cell>
          <cell r="K615" t="str">
            <v>Όχι</v>
          </cell>
          <cell r="L615" t="str">
            <v>ΌΧΙ</v>
          </cell>
          <cell r="O615" t="str">
            <v/>
          </cell>
        </row>
        <row r="616">
          <cell r="D616" t="str">
            <v>ΒΑΜΒΑΚΙ2881</v>
          </cell>
          <cell r="E616" t="str">
            <v>LAMBADA</v>
          </cell>
          <cell r="F616" t="str">
            <v>B_1_6_3</v>
          </cell>
          <cell r="G616" t="str">
            <v>Βαμβάκι</v>
          </cell>
          <cell r="H616">
            <v>1516</v>
          </cell>
          <cell r="K616" t="str">
            <v>Όχι</v>
          </cell>
          <cell r="L616" t="str">
            <v>ΌΧΙ</v>
          </cell>
          <cell r="O616" t="str">
            <v/>
          </cell>
        </row>
        <row r="617">
          <cell r="D617" t="str">
            <v>ΒΑΜΒΑΚΙ2882</v>
          </cell>
          <cell r="E617" t="str">
            <v>ST 405</v>
          </cell>
          <cell r="F617" t="str">
            <v>B_1_6_3</v>
          </cell>
          <cell r="G617" t="str">
            <v>Βαμβάκι</v>
          </cell>
          <cell r="H617">
            <v>1516</v>
          </cell>
          <cell r="K617" t="str">
            <v>Όχι</v>
          </cell>
          <cell r="L617" t="str">
            <v>ΌΧΙ</v>
          </cell>
          <cell r="O617" t="str">
            <v/>
          </cell>
        </row>
        <row r="618">
          <cell r="D618" t="str">
            <v>ΒΑΜΒΑΚΙ2883</v>
          </cell>
          <cell r="E618" t="str">
            <v>SELECT</v>
          </cell>
          <cell r="F618" t="str">
            <v>B_1_6_3</v>
          </cell>
          <cell r="G618" t="str">
            <v>Βαμβάκι</v>
          </cell>
          <cell r="H618">
            <v>1516</v>
          </cell>
          <cell r="K618" t="str">
            <v>Όχι</v>
          </cell>
          <cell r="L618" t="str">
            <v>ΌΧΙ</v>
          </cell>
          <cell r="O618" t="str">
            <v/>
          </cell>
        </row>
        <row r="619">
          <cell r="D619" t="str">
            <v>ΒΑΜΒΑΚΙ2884</v>
          </cell>
          <cell r="E619" t="str">
            <v>ATLANDA</v>
          </cell>
          <cell r="F619" t="str">
            <v>B_1_6_3</v>
          </cell>
          <cell r="G619" t="str">
            <v>Βαμβάκι</v>
          </cell>
          <cell r="H619">
            <v>1516</v>
          </cell>
          <cell r="K619" t="str">
            <v>Όχι</v>
          </cell>
          <cell r="L619" t="str">
            <v>ΌΧΙ</v>
          </cell>
          <cell r="O619" t="str">
            <v/>
          </cell>
        </row>
        <row r="620">
          <cell r="D620" t="str">
            <v>ΒΑΜΒΑΚΙ2885</v>
          </cell>
          <cell r="E620" t="str">
            <v>EVITA</v>
          </cell>
          <cell r="F620" t="str">
            <v>B_1_6_3</v>
          </cell>
          <cell r="G620" t="str">
            <v>Βαμβάκι</v>
          </cell>
          <cell r="H620">
            <v>1516</v>
          </cell>
          <cell r="K620" t="str">
            <v>Όχι</v>
          </cell>
          <cell r="L620" t="str">
            <v>ΌΧΙ</v>
          </cell>
          <cell r="O620" t="str">
            <v/>
          </cell>
        </row>
        <row r="621">
          <cell r="D621" t="str">
            <v>ΒΑΜΒΑΚΙ2886</v>
          </cell>
          <cell r="E621" t="str">
            <v>JULIA</v>
          </cell>
          <cell r="F621" t="str">
            <v>B_1_6_3</v>
          </cell>
          <cell r="G621" t="str">
            <v>Βαμβάκι</v>
          </cell>
          <cell r="H621">
            <v>1516</v>
          </cell>
          <cell r="K621" t="str">
            <v>Όχι</v>
          </cell>
          <cell r="L621" t="str">
            <v>ΌΧΙ</v>
          </cell>
          <cell r="O621" t="str">
            <v/>
          </cell>
        </row>
        <row r="622">
          <cell r="D622" t="str">
            <v>ΒΑΜΒΑΚΙ2888</v>
          </cell>
          <cell r="E622" t="str">
            <v>CARMEN</v>
          </cell>
          <cell r="F622" t="str">
            <v>B_1_6_3</v>
          </cell>
          <cell r="G622" t="str">
            <v>Βαμβάκι</v>
          </cell>
          <cell r="H622">
            <v>1516</v>
          </cell>
          <cell r="K622" t="str">
            <v>Όχι</v>
          </cell>
          <cell r="L622" t="str">
            <v>ΌΧΙ</v>
          </cell>
          <cell r="O622" t="str">
            <v/>
          </cell>
        </row>
        <row r="623">
          <cell r="D623" t="str">
            <v>ΒΑΜΒΑΚΙ2889</v>
          </cell>
          <cell r="E623" t="str">
            <v>CLAUDIA</v>
          </cell>
          <cell r="F623" t="str">
            <v>B_1_6_3</v>
          </cell>
          <cell r="G623" t="str">
            <v>Βαμβάκι</v>
          </cell>
          <cell r="H623">
            <v>1516</v>
          </cell>
          <cell r="K623" t="str">
            <v>Όχι</v>
          </cell>
          <cell r="L623" t="str">
            <v>ΌΧΙ</v>
          </cell>
          <cell r="O623" t="str">
            <v/>
          </cell>
        </row>
        <row r="624">
          <cell r="D624" t="str">
            <v>ΒΑΜΒΑΚΙ2890</v>
          </cell>
          <cell r="E624" t="str">
            <v>DP 396</v>
          </cell>
          <cell r="F624" t="str">
            <v>B_1_6_3</v>
          </cell>
          <cell r="G624" t="str">
            <v>Βαμβάκι</v>
          </cell>
          <cell r="H624">
            <v>1516</v>
          </cell>
          <cell r="K624" t="str">
            <v>Όχι</v>
          </cell>
          <cell r="L624" t="str">
            <v>ΌΧΙ</v>
          </cell>
          <cell r="O624" t="str">
            <v/>
          </cell>
        </row>
        <row r="625">
          <cell r="D625" t="str">
            <v>ΒΑΜΒΑΚΙ2891</v>
          </cell>
          <cell r="E625" t="str">
            <v>ALBARIZA</v>
          </cell>
          <cell r="F625" t="str">
            <v>B_1_6_3</v>
          </cell>
          <cell r="G625" t="str">
            <v>Βαμβάκι</v>
          </cell>
          <cell r="H625">
            <v>1516</v>
          </cell>
          <cell r="K625" t="str">
            <v>Όχι</v>
          </cell>
          <cell r="L625" t="str">
            <v>ΌΧΙ</v>
          </cell>
          <cell r="O625" t="str">
            <v/>
          </cell>
        </row>
        <row r="626">
          <cell r="D626" t="str">
            <v>ΒΑΜΒΑΚΙ2892</v>
          </cell>
          <cell r="E626" t="str">
            <v>TOSCA</v>
          </cell>
          <cell r="F626" t="str">
            <v>B_1_6_3</v>
          </cell>
          <cell r="G626" t="str">
            <v>Βαμβάκι</v>
          </cell>
          <cell r="H626">
            <v>1516</v>
          </cell>
          <cell r="K626" t="str">
            <v>Όχι</v>
          </cell>
          <cell r="L626" t="str">
            <v>ΌΧΙ</v>
          </cell>
          <cell r="O626" t="str">
            <v/>
          </cell>
        </row>
        <row r="627">
          <cell r="D627" t="str">
            <v>ΒΑΜΒΑΚΙ2893</v>
          </cell>
          <cell r="E627" t="str">
            <v>INTERCOTT 211</v>
          </cell>
          <cell r="F627" t="str">
            <v>B_1_6_3</v>
          </cell>
          <cell r="G627" t="str">
            <v>Βαμβάκι</v>
          </cell>
          <cell r="H627">
            <v>1516</v>
          </cell>
          <cell r="K627" t="str">
            <v>Όχι</v>
          </cell>
          <cell r="L627" t="str">
            <v>ΌΧΙ</v>
          </cell>
          <cell r="O627" t="str">
            <v/>
          </cell>
        </row>
        <row r="628">
          <cell r="D628" t="str">
            <v>ΒΑΜΒΑΚΙ2894</v>
          </cell>
          <cell r="E628" t="str">
            <v>DP 332</v>
          </cell>
          <cell r="F628" t="str">
            <v>B_1_6_3</v>
          </cell>
          <cell r="G628" t="str">
            <v>Βαμβάκι</v>
          </cell>
          <cell r="H628">
            <v>1516</v>
          </cell>
          <cell r="K628" t="str">
            <v>Όχι</v>
          </cell>
          <cell r="L628" t="str">
            <v>ΌΧΙ</v>
          </cell>
          <cell r="O628" t="str">
            <v/>
          </cell>
        </row>
        <row r="629">
          <cell r="D629" t="str">
            <v>ΒΑΜΒΑΚΙ2895</v>
          </cell>
          <cell r="E629" t="str">
            <v>BETICA</v>
          </cell>
          <cell r="F629" t="str">
            <v>B_1_6_3</v>
          </cell>
          <cell r="G629" t="str">
            <v>Βαμβάκι</v>
          </cell>
          <cell r="H629">
            <v>1516</v>
          </cell>
          <cell r="K629" t="str">
            <v>Όχι</v>
          </cell>
          <cell r="L629" t="str">
            <v>ΌΧΙ</v>
          </cell>
          <cell r="O629" t="str">
            <v/>
          </cell>
        </row>
        <row r="630">
          <cell r="D630" t="str">
            <v>ΒΑΜΒΑΚΙ2896</v>
          </cell>
          <cell r="E630" t="str">
            <v>ST 478</v>
          </cell>
          <cell r="F630" t="str">
            <v>B_1_6_3</v>
          </cell>
          <cell r="G630" t="str">
            <v>Βαμβάκι</v>
          </cell>
          <cell r="H630">
            <v>1516</v>
          </cell>
          <cell r="K630" t="str">
            <v>Όχι</v>
          </cell>
          <cell r="L630" t="str">
            <v>ΌΧΙ</v>
          </cell>
          <cell r="O630" t="str">
            <v/>
          </cell>
        </row>
        <row r="631">
          <cell r="D631" t="str">
            <v>ΒΑΜΒΑΚΙ2897</v>
          </cell>
          <cell r="E631" t="str">
            <v>DP 402</v>
          </cell>
          <cell r="F631" t="str">
            <v>B_1_6_3</v>
          </cell>
          <cell r="G631" t="str">
            <v>Βαμβάκι</v>
          </cell>
          <cell r="H631">
            <v>1516</v>
          </cell>
          <cell r="K631" t="str">
            <v>Όχι</v>
          </cell>
          <cell r="L631" t="str">
            <v>ΌΧΙ</v>
          </cell>
          <cell r="O631" t="str">
            <v/>
          </cell>
        </row>
        <row r="632">
          <cell r="D632" t="str">
            <v>ΒΑΜΒΑΚΙ2898</v>
          </cell>
          <cell r="E632" t="str">
            <v>ST 363</v>
          </cell>
          <cell r="F632" t="str">
            <v>B_1_6_3</v>
          </cell>
          <cell r="G632" t="str">
            <v>Βαμβάκι</v>
          </cell>
          <cell r="H632">
            <v>1516</v>
          </cell>
          <cell r="K632" t="str">
            <v>Όχι</v>
          </cell>
          <cell r="L632" t="str">
            <v>ΌΧΙ</v>
          </cell>
          <cell r="O632" t="str">
            <v/>
          </cell>
        </row>
        <row r="633">
          <cell r="D633" t="str">
            <v>ΒΑΜΒΑΚΙ2899</v>
          </cell>
          <cell r="E633" t="str">
            <v>DP 349</v>
          </cell>
          <cell r="F633" t="str">
            <v>B_1_6_3</v>
          </cell>
          <cell r="G633" t="str">
            <v>Βαμβάκι</v>
          </cell>
          <cell r="H633">
            <v>1516</v>
          </cell>
          <cell r="K633" t="str">
            <v>Όχι</v>
          </cell>
          <cell r="L633" t="str">
            <v>ΌΧΙ</v>
          </cell>
          <cell r="O633" t="str">
            <v/>
          </cell>
        </row>
        <row r="634">
          <cell r="D634" t="str">
            <v>ΒΑΜΒΑΚΙ2900</v>
          </cell>
          <cell r="E634" t="str">
            <v>CRUIS</v>
          </cell>
          <cell r="F634" t="str">
            <v>B_1_6_3</v>
          </cell>
          <cell r="G634" t="str">
            <v>Βαμβάκι</v>
          </cell>
          <cell r="H634">
            <v>1516</v>
          </cell>
          <cell r="K634" t="str">
            <v>Όχι</v>
          </cell>
          <cell r="L634" t="str">
            <v>ΌΧΙ</v>
          </cell>
          <cell r="O634" t="str">
            <v/>
          </cell>
        </row>
        <row r="635">
          <cell r="D635" t="str">
            <v>ΒΑΜΒΑΚΙ2901</v>
          </cell>
          <cell r="E635" t="str">
            <v>SAVINA</v>
          </cell>
          <cell r="F635" t="str">
            <v>B_1_6_3</v>
          </cell>
          <cell r="G635" t="str">
            <v>Βαμβάκι</v>
          </cell>
          <cell r="H635">
            <v>1516</v>
          </cell>
          <cell r="K635" t="str">
            <v>Όχι</v>
          </cell>
          <cell r="L635" t="str">
            <v>ΌΧΙ</v>
          </cell>
          <cell r="O635" t="str">
            <v/>
          </cell>
        </row>
        <row r="636">
          <cell r="D636" t="str">
            <v>ΒΑΜΒΑΚΙ2902</v>
          </cell>
          <cell r="E636" t="str">
            <v>HERSI</v>
          </cell>
          <cell r="F636" t="str">
            <v>B_1_6_3</v>
          </cell>
          <cell r="G636" t="str">
            <v>Βαμβάκι</v>
          </cell>
          <cell r="H636">
            <v>1516</v>
          </cell>
          <cell r="K636" t="str">
            <v>Όχι</v>
          </cell>
          <cell r="L636" t="str">
            <v>ΌΧΙ</v>
          </cell>
          <cell r="O636" t="str">
            <v/>
          </cell>
        </row>
        <row r="637">
          <cell r="D637" t="str">
            <v>ΒΑΜΒΑΚΙ2903</v>
          </cell>
          <cell r="E637" t="str">
            <v>SPEED R1</v>
          </cell>
          <cell r="F637" t="str">
            <v>B_1_6_3</v>
          </cell>
          <cell r="G637" t="str">
            <v>Βαμβάκι</v>
          </cell>
          <cell r="H637">
            <v>1516</v>
          </cell>
          <cell r="K637" t="str">
            <v>Όχι</v>
          </cell>
          <cell r="L637" t="str">
            <v>ΌΧΙ</v>
          </cell>
          <cell r="O637" t="str">
            <v/>
          </cell>
        </row>
        <row r="638">
          <cell r="D638" t="str">
            <v>ΒΑΜΒΑΚΙ2904</v>
          </cell>
          <cell r="E638" t="str">
            <v>DP 401</v>
          </cell>
          <cell r="F638" t="str">
            <v>B_1_6_3</v>
          </cell>
          <cell r="G638" t="str">
            <v>Βαμβάκι</v>
          </cell>
          <cell r="H638">
            <v>1516</v>
          </cell>
          <cell r="K638" t="str">
            <v>Όχι</v>
          </cell>
          <cell r="L638" t="str">
            <v>ΌΧΙ</v>
          </cell>
          <cell r="O638" t="str">
            <v/>
          </cell>
        </row>
        <row r="639">
          <cell r="D639" t="str">
            <v>ΒΑΜΒΑΚΙ664</v>
          </cell>
          <cell r="E639" t="str">
            <v>ZETA 2</v>
          </cell>
          <cell r="F639" t="str">
            <v>B_1_6_3</v>
          </cell>
          <cell r="G639" t="str">
            <v>Βαμβάκι</v>
          </cell>
          <cell r="H639">
            <v>1516</v>
          </cell>
          <cell r="K639" t="str">
            <v>Όχι</v>
          </cell>
          <cell r="L639" t="str">
            <v>ΌΧΙ</v>
          </cell>
          <cell r="O639" t="str">
            <v/>
          </cell>
        </row>
        <row r="640">
          <cell r="D640" t="str">
            <v>ΒΑΜΒΑΚΙ665</v>
          </cell>
          <cell r="E640" t="str">
            <v>ZETA 5</v>
          </cell>
          <cell r="F640" t="str">
            <v>B_1_6_3</v>
          </cell>
          <cell r="G640" t="str">
            <v>Βαμβάκι</v>
          </cell>
          <cell r="H640">
            <v>1516</v>
          </cell>
          <cell r="K640" t="str">
            <v>Όχι</v>
          </cell>
          <cell r="L640" t="str">
            <v>ΌΧΙ</v>
          </cell>
          <cell r="O640" t="str">
            <v/>
          </cell>
        </row>
        <row r="641">
          <cell r="D641" t="str">
            <v>ΒΑΜΒΑΚΙ8108</v>
          </cell>
          <cell r="E641" t="str">
            <v>ΒΑΜΒΑΚΙ ΞΗΡΙΚΟ</v>
          </cell>
          <cell r="F641" t="str">
            <v>B_1_6_3</v>
          </cell>
          <cell r="G641" t="str">
            <v>Βαμβάκι</v>
          </cell>
          <cell r="H641">
            <v>1516</v>
          </cell>
          <cell r="K641" t="str">
            <v>Ναι</v>
          </cell>
          <cell r="L641" t="str">
            <v>ΝΑΙ</v>
          </cell>
          <cell r="O641" t="str">
            <v/>
          </cell>
        </row>
        <row r="642">
          <cell r="D642" t="str">
            <v>ΒΑΜΒΑΚΙ8667</v>
          </cell>
          <cell r="E642" t="str">
            <v>ST 402</v>
          </cell>
          <cell r="F642" t="str">
            <v>B_1_6_3</v>
          </cell>
          <cell r="G642" t="str">
            <v>Βαμβάκι</v>
          </cell>
          <cell r="H642">
            <v>1516</v>
          </cell>
          <cell r="K642" t="str">
            <v>Όχι</v>
          </cell>
          <cell r="L642" t="str">
            <v>ΌΧΙ</v>
          </cell>
          <cell r="O642" t="str">
            <v/>
          </cell>
        </row>
        <row r="643">
          <cell r="D643" t="str">
            <v>ΒΑΜΒΑΚΙ8668</v>
          </cell>
          <cell r="E643" t="str">
            <v>ST 318</v>
          </cell>
          <cell r="F643" t="str">
            <v>B_1_6_3</v>
          </cell>
          <cell r="G643" t="str">
            <v>Βαμβάκι</v>
          </cell>
          <cell r="H643">
            <v>1516</v>
          </cell>
          <cell r="K643" t="str">
            <v>Όχι</v>
          </cell>
          <cell r="L643" t="str">
            <v>ΌΧΙ</v>
          </cell>
          <cell r="O643" t="str">
            <v/>
          </cell>
        </row>
        <row r="644">
          <cell r="D644" t="str">
            <v>ΒΑΜΒΑΚΙ98110</v>
          </cell>
          <cell r="E644" t="str">
            <v>ST 474</v>
          </cell>
          <cell r="F644" t="str">
            <v>B_1_6_3</v>
          </cell>
          <cell r="G644" t="str">
            <v>Βαμβάκι</v>
          </cell>
          <cell r="H644">
            <v>1516</v>
          </cell>
          <cell r="K644" t="str">
            <v>Όχι</v>
          </cell>
          <cell r="L644" t="str">
            <v>ΌΧΙ</v>
          </cell>
          <cell r="O644" t="str">
            <v/>
          </cell>
        </row>
        <row r="645">
          <cell r="D645" t="str">
            <v>ΒΑΜΒΑΚΙ98111</v>
          </cell>
          <cell r="E645" t="str">
            <v>VERED 171</v>
          </cell>
          <cell r="F645" t="str">
            <v>B_1_6_3</v>
          </cell>
          <cell r="G645" t="str">
            <v>Βαμβάκι</v>
          </cell>
          <cell r="H645">
            <v>1516</v>
          </cell>
          <cell r="K645" t="str">
            <v>Όχι</v>
          </cell>
          <cell r="L645" t="str">
            <v>ΌΧΙ</v>
          </cell>
          <cell r="O645" t="str">
            <v/>
          </cell>
        </row>
        <row r="646">
          <cell r="D646" t="str">
            <v>ΒΑΜΒΑΚΙ98112</v>
          </cell>
          <cell r="E646" t="str">
            <v>NELI</v>
          </cell>
          <cell r="F646" t="str">
            <v>B_1_6_3</v>
          </cell>
          <cell r="G646" t="str">
            <v>Βαμβάκι</v>
          </cell>
          <cell r="H646">
            <v>1516</v>
          </cell>
          <cell r="K646" t="str">
            <v>Όχι</v>
          </cell>
          <cell r="L646" t="str">
            <v>ΌΧΙ</v>
          </cell>
          <cell r="O646" t="str">
            <v/>
          </cell>
        </row>
        <row r="647">
          <cell r="D647" t="str">
            <v>ΒΑΜΒΑΚΙ98113</v>
          </cell>
          <cell r="E647" t="str">
            <v>PGFLASH</v>
          </cell>
          <cell r="F647" t="str">
            <v>B_1_6_3</v>
          </cell>
          <cell r="G647" t="str">
            <v>Βαμβάκι</v>
          </cell>
          <cell r="H647">
            <v>1516</v>
          </cell>
          <cell r="K647" t="str">
            <v>Όχι</v>
          </cell>
          <cell r="L647" t="str">
            <v>ΌΧΙ</v>
          </cell>
          <cell r="O647" t="str">
            <v/>
          </cell>
        </row>
        <row r="648">
          <cell r="D648" t="str">
            <v>ΒΑΜΒΑΚΙ98114</v>
          </cell>
          <cell r="E648" t="str">
            <v>BEYAZ ALTIN 151</v>
          </cell>
          <cell r="F648" t="str">
            <v>B_1_6_3</v>
          </cell>
          <cell r="G648" t="str">
            <v>Βαμβάκι</v>
          </cell>
          <cell r="H648">
            <v>1516</v>
          </cell>
          <cell r="K648" t="str">
            <v>Όχι</v>
          </cell>
          <cell r="L648" t="str">
            <v>ΌΧΙ</v>
          </cell>
          <cell r="O648" t="str">
            <v/>
          </cell>
        </row>
        <row r="649">
          <cell r="D649" t="str">
            <v>ΒΑΜΒΑΚΙ98115</v>
          </cell>
          <cell r="E649" t="str">
            <v>LYDIA</v>
          </cell>
          <cell r="F649" t="str">
            <v>B_1_6_3</v>
          </cell>
          <cell r="G649" t="str">
            <v>Βαμβάκι</v>
          </cell>
          <cell r="H649">
            <v>1516</v>
          </cell>
          <cell r="K649" t="str">
            <v>Όχι</v>
          </cell>
          <cell r="L649" t="str">
            <v>ΌΧΙ</v>
          </cell>
          <cell r="O649" t="str">
            <v/>
          </cell>
        </row>
        <row r="650">
          <cell r="D650" t="str">
            <v>ΒΑΜΒΑΚΙ98116</v>
          </cell>
          <cell r="E650" t="str">
            <v>AMAZONA</v>
          </cell>
          <cell r="F650" t="str">
            <v>B_1_6_3</v>
          </cell>
          <cell r="G650" t="str">
            <v>Βαμβάκι</v>
          </cell>
          <cell r="H650">
            <v>1516</v>
          </cell>
          <cell r="K650" t="str">
            <v>Όχι</v>
          </cell>
          <cell r="L650" t="str">
            <v>ΌΧΙ</v>
          </cell>
          <cell r="O650" t="str">
            <v/>
          </cell>
        </row>
        <row r="651">
          <cell r="D651" t="str">
            <v>ΒΑΜΒΑΚΙ98117</v>
          </cell>
          <cell r="E651" t="str">
            <v>NATASA</v>
          </cell>
          <cell r="F651" t="str">
            <v>B_1_6_3</v>
          </cell>
          <cell r="G651" t="str">
            <v>Βαμβάκι</v>
          </cell>
          <cell r="H651">
            <v>1516</v>
          </cell>
          <cell r="K651" t="str">
            <v>Όχι</v>
          </cell>
          <cell r="L651" t="str">
            <v>ΌΧΙ</v>
          </cell>
          <cell r="O651" t="str">
            <v/>
          </cell>
        </row>
        <row r="652">
          <cell r="D652" t="str">
            <v>ΒΑΜΒΑΚΙ98118</v>
          </cell>
          <cell r="E652" t="str">
            <v>DP 377</v>
          </cell>
          <cell r="F652" t="str">
            <v>B_1_6_3</v>
          </cell>
          <cell r="G652" t="str">
            <v>Βαμβάκι</v>
          </cell>
          <cell r="H652">
            <v>1516</v>
          </cell>
          <cell r="K652" t="str">
            <v>Όχι</v>
          </cell>
          <cell r="L652" t="str">
            <v>ΌΧΙ</v>
          </cell>
          <cell r="O652" t="str">
            <v/>
          </cell>
        </row>
        <row r="653">
          <cell r="D653" t="str">
            <v>ΒΑΜΒΑΚΙ98119</v>
          </cell>
          <cell r="E653" t="str">
            <v>PRG 9811 (PRIME 9811)</v>
          </cell>
          <cell r="F653" t="str">
            <v>B_1_6_3</v>
          </cell>
          <cell r="G653" t="str">
            <v>Βαμβάκι</v>
          </cell>
          <cell r="H653">
            <v>1516</v>
          </cell>
          <cell r="K653" t="str">
            <v>Όχι</v>
          </cell>
          <cell r="L653" t="str">
            <v>ΌΧΙ</v>
          </cell>
          <cell r="O653" t="str">
            <v/>
          </cell>
        </row>
        <row r="654">
          <cell r="D654" t="str">
            <v>ΒΑΜΒΑΚΙ98120</v>
          </cell>
          <cell r="E654" t="str">
            <v>COKO</v>
          </cell>
          <cell r="F654" t="str">
            <v>B_1_6_3</v>
          </cell>
          <cell r="G654" t="str">
            <v>Βαμβάκι</v>
          </cell>
          <cell r="H654">
            <v>1516</v>
          </cell>
          <cell r="K654" t="str">
            <v>Όχι</v>
          </cell>
          <cell r="L654" t="str">
            <v>ΌΧΙ</v>
          </cell>
          <cell r="O654" t="str">
            <v/>
          </cell>
        </row>
        <row r="655">
          <cell r="D655" t="str">
            <v>ΒΑΜΒΑΚΙ98121</v>
          </cell>
          <cell r="E655" t="str">
            <v>LIDRA</v>
          </cell>
          <cell r="F655" t="str">
            <v>B_1_6_3</v>
          </cell>
          <cell r="G655" t="str">
            <v>Βαμβάκι</v>
          </cell>
          <cell r="H655">
            <v>1516</v>
          </cell>
          <cell r="K655" t="str">
            <v>Όχι</v>
          </cell>
          <cell r="L655" t="str">
            <v>ΌΧΙ</v>
          </cell>
          <cell r="O655" t="str">
            <v/>
          </cell>
        </row>
        <row r="656">
          <cell r="D656" t="str">
            <v>ΒΑΜΒΑΚΙ98122</v>
          </cell>
          <cell r="E656" t="str">
            <v>CARISMA</v>
          </cell>
          <cell r="F656" t="str">
            <v>B_1_6_3</v>
          </cell>
          <cell r="G656" t="str">
            <v>Βαμβάκι</v>
          </cell>
          <cell r="H656">
            <v>1516</v>
          </cell>
          <cell r="K656" t="str">
            <v>Όχι</v>
          </cell>
          <cell r="L656" t="str">
            <v>ΌΧΙ</v>
          </cell>
          <cell r="O656" t="str">
            <v/>
          </cell>
        </row>
        <row r="657">
          <cell r="D657" t="str">
            <v>ΒΑΜΒΑΚΙ98123</v>
          </cell>
          <cell r="E657" t="str">
            <v>PRIME 1848</v>
          </cell>
          <cell r="F657" t="str">
            <v>B_1_6_3</v>
          </cell>
          <cell r="G657" t="str">
            <v>Βαμβάκι</v>
          </cell>
          <cell r="H657">
            <v>1516</v>
          </cell>
          <cell r="K657" t="str">
            <v>Όχι</v>
          </cell>
          <cell r="L657" t="str">
            <v>ΌΧΙ</v>
          </cell>
          <cell r="O657" t="str">
            <v/>
          </cell>
        </row>
        <row r="658">
          <cell r="D658" t="str">
            <v>ΒΑΜΒΑΚΙ98124</v>
          </cell>
          <cell r="E658" t="str">
            <v>MISTRAL</v>
          </cell>
          <cell r="F658" t="str">
            <v>B_1_6_3</v>
          </cell>
          <cell r="G658" t="str">
            <v>Βαμβάκι</v>
          </cell>
          <cell r="H658">
            <v>1516</v>
          </cell>
          <cell r="K658" t="str">
            <v>Όχι</v>
          </cell>
          <cell r="L658" t="str">
            <v>ΌΧΙ</v>
          </cell>
          <cell r="O658" t="str">
            <v/>
          </cell>
        </row>
        <row r="659">
          <cell r="D659" t="str">
            <v>ΒΟΣΚΟΤΟΠΟΙ10500</v>
          </cell>
          <cell r="E659" t="str">
            <v>ΒΟΣΚΟΤΟΠΟΣ</v>
          </cell>
          <cell r="F659" t="str">
            <v>B_3_1</v>
          </cell>
          <cell r="G659" t="str">
            <v>Βοσκότοποι και λιβάδια, εξαιρουμένων των άγονων βοσκοτόπων</v>
          </cell>
          <cell r="H659">
            <v>105</v>
          </cell>
          <cell r="I659" t="str">
            <v>ΚΤΗΝΟΤΡΟΦΙΚΑ ΦΥΤΑ ΓΙΑ ΖΩΟΤΡΟΦΕΣ</v>
          </cell>
          <cell r="K659" t="str">
            <v>Ναι</v>
          </cell>
          <cell r="L659" t="str">
            <v>ΝΑΙ</v>
          </cell>
          <cell r="O659" t="str">
            <v/>
          </cell>
        </row>
        <row r="660">
          <cell r="D660" t="str">
            <v>ΓΕΩΜHΛΑ10100</v>
          </cell>
          <cell r="E660" t="str">
            <v>ΠΑΤΑΤΕΣ ΓΙΑ ΠΑΡΑΓΩΓΗ ΑΜΥΛΟΥ</v>
          </cell>
          <cell r="F660" t="str">
            <v>B_1_3</v>
          </cell>
          <cell r="G660" t="str">
            <v>Πατάτες (περιλαμβάνονται οι πρώιμες πατάτες και ο πατατόσπορος)</v>
          </cell>
          <cell r="H660">
            <v>9177</v>
          </cell>
          <cell r="J660" t="str">
            <v>Ναι</v>
          </cell>
          <cell r="K660" t="str">
            <v>Ναι</v>
          </cell>
          <cell r="L660" t="str">
            <v>ΕΤ: ΝΑΙ, με βάση Πατάτες Σποροπαραγωγής</v>
          </cell>
          <cell r="O660" t="str">
            <v/>
          </cell>
        </row>
        <row r="661">
          <cell r="D661" t="str">
            <v>ΓΕΩΜHΛΑ6001</v>
          </cell>
          <cell r="E661" t="str">
            <v>ΑΝΟΙΞΙΑΤΙΚΗ</v>
          </cell>
          <cell r="F661" t="str">
            <v>B_1_3</v>
          </cell>
          <cell r="G661" t="str">
            <v>Πατάτες (περιλαμβάνονται οι πρώιμες πατάτες και ο πατατόσπορος)</v>
          </cell>
          <cell r="H661">
            <v>9177</v>
          </cell>
          <cell r="J661" t="str">
            <v>Ναι</v>
          </cell>
          <cell r="K661" t="str">
            <v>Ναι</v>
          </cell>
          <cell r="L661" t="str">
            <v>ΝΑΙ</v>
          </cell>
          <cell r="O661" t="str">
            <v/>
          </cell>
        </row>
        <row r="662">
          <cell r="D662" t="str">
            <v>ΓΕΩΜHΛΑ6002</v>
          </cell>
          <cell r="E662" t="str">
            <v>ΚΑΛΟΚΑΙΡΙΝΗ</v>
          </cell>
          <cell r="F662" t="str">
            <v>B_1_3</v>
          </cell>
          <cell r="G662" t="str">
            <v>Πατάτες (περιλαμβάνονται οι πρώιμες πατάτες και ο πατατόσπορος)</v>
          </cell>
          <cell r="H662">
            <v>9177</v>
          </cell>
          <cell r="J662" t="str">
            <v>Ναι</v>
          </cell>
          <cell r="K662" t="str">
            <v>Όχι</v>
          </cell>
          <cell r="L662" t="str">
            <v>ΌΧΙ</v>
          </cell>
          <cell r="O662" t="str">
            <v/>
          </cell>
        </row>
        <row r="663">
          <cell r="D663" t="str">
            <v>ΓΕΩΜHΛΑ6003</v>
          </cell>
          <cell r="E663" t="str">
            <v>ΦΘΙΝΟΠΩΡΙΝΗ</v>
          </cell>
          <cell r="F663" t="str">
            <v>B_1_3</v>
          </cell>
          <cell r="G663" t="str">
            <v>Πατάτες (περιλαμβάνονται οι πρώιμες πατάτες και ο πατατόσπορος)</v>
          </cell>
          <cell r="H663">
            <v>9177</v>
          </cell>
          <cell r="J663" t="str">
            <v>Ναι</v>
          </cell>
          <cell r="K663" t="str">
            <v>Ναι</v>
          </cell>
          <cell r="L663" t="str">
            <v>ΝΑΙ</v>
          </cell>
          <cell r="O663" t="str">
            <v/>
          </cell>
        </row>
        <row r="664">
          <cell r="D664" t="str">
            <v>ΓΗ ΠΟΥ ΔΕΝ ΕΝΤΑΣΣΕΤΑΙ ΣΕ ΚΑΛΛΙΕΡΓΗΤΙΚΗ ΔΡΑΣΤΗΡΙΟΤΗΤΑ8150</v>
          </cell>
          <cell r="E664" t="str">
            <v>ΑΚΑΛΛΙΕΡΓΗΤΑ</v>
          </cell>
          <cell r="K664" t="str">
            <v>Όχι</v>
          </cell>
          <cell r="L664" t="str">
            <v>ΌΧΙ</v>
          </cell>
          <cell r="M664" t="str">
            <v xml:space="preserve">ΔΕΝ ΕΊΝΑΙ ΚΑΛΛΙΕΡΓΕΙΑ </v>
          </cell>
          <cell r="O664" t="str">
            <v/>
          </cell>
        </row>
        <row r="665">
          <cell r="D665" t="str">
            <v>ΔΑΣΙΚΑ ΔΕΝΤΡΑ9108001</v>
          </cell>
          <cell r="E665" t="str">
            <v>ΔΙΑΦΟΡΑ ΔΑΣΙΚΑ ΔΕΝΤΡΑ</v>
          </cell>
          <cell r="K665" t="str">
            <v>Ναι</v>
          </cell>
          <cell r="L665" t="str">
            <v>ΝΑΙ</v>
          </cell>
          <cell r="M665" t="str">
            <v>ΜΟΝΟ ΑΠΌ Β5 Τμήμα Κηπευτικών, Αρωματικών-Φαρμακευτικών Φυτών ΟΙ ΥΠΟΛΟΙΠΟΙ ΔΕΝ ΣΥΜΠΛΗΡΩΣΑΝ ΚΑΤΙ</v>
          </cell>
          <cell r="O665" t="str">
            <v/>
          </cell>
        </row>
        <row r="666">
          <cell r="D666" t="str">
            <v>ΔΑΣΙΚΑ ΔΕΝΤΡΑ9108003</v>
          </cell>
          <cell r="E666" t="str">
            <v>ΛΕΥΚΕΣ</v>
          </cell>
          <cell r="K666" t="str">
            <v>Όχι</v>
          </cell>
          <cell r="L666" t="str">
            <v>ΌΧΙ</v>
          </cell>
          <cell r="O666" t="str">
            <v/>
          </cell>
        </row>
        <row r="667">
          <cell r="D667" t="str">
            <v>ΔΑΣΙΚΑ ΔΕΝΤΡΑ9108004</v>
          </cell>
          <cell r="E667" t="str">
            <v>ΑΚΑΚΙΕΣ</v>
          </cell>
          <cell r="K667" t="str">
            <v>Ναι</v>
          </cell>
          <cell r="L667" t="str">
            <v>ΝΑΙ</v>
          </cell>
          <cell r="O667" t="str">
            <v/>
          </cell>
        </row>
        <row r="668">
          <cell r="D668" t="str">
            <v>ΕΚΤΑΣΕΙΣ ΜΕ ΑΠΕ9108000</v>
          </cell>
          <cell r="E668" t="str">
            <v>ΕΚΤΑΣΕΙΣ ΜΕ ΑΠΕ</v>
          </cell>
          <cell r="K668" t="str">
            <v>Όχι</v>
          </cell>
          <cell r="L668" t="str">
            <v>ΕΤ: Όχι</v>
          </cell>
          <cell r="O668" t="str">
            <v/>
          </cell>
        </row>
        <row r="669">
          <cell r="D669" t="str">
            <v>ΕΛΑΙΟΥΧΟΙ ΣΠΟΡΟΙ6299</v>
          </cell>
          <cell r="E669" t="str">
            <v>ΕΛΑΙΟΚΡΑΜΒΗ</v>
          </cell>
          <cell r="F669" t="str">
            <v>B_1_6_4</v>
          </cell>
          <cell r="G669" t="str">
            <v>Ελαιοκράμβη και αγριογογγύλη</v>
          </cell>
          <cell r="H669">
            <v>1261</v>
          </cell>
          <cell r="K669" t="str">
            <v>Ναι</v>
          </cell>
          <cell r="L669" t="str">
            <v>ΕΤ: ΝΑΙ με βάση Κτηνοτροφικά και ενεργειακές</v>
          </cell>
          <cell r="O669" t="str">
            <v>!</v>
          </cell>
        </row>
        <row r="670">
          <cell r="D670" t="str">
            <v>ΕΛΑΙΟΥΧΟΙ ΣΠΟΡΟΙ6301</v>
          </cell>
          <cell r="E670" t="str">
            <v>ΗΛΙΑΝΘΟΣ QUIRO (ΗΠΑ)</v>
          </cell>
          <cell r="F670" t="str">
            <v>B_1_6_5</v>
          </cell>
          <cell r="G670" t="str">
            <v>Ηλίανθος</v>
          </cell>
          <cell r="H670">
            <v>1314</v>
          </cell>
          <cell r="K670" t="str">
            <v>Όχι</v>
          </cell>
          <cell r="L670" t="str">
            <v>ΕΤ: Όχι με βάση "Ηλίανθος Ενεργειακές"</v>
          </cell>
          <cell r="O670" t="str">
            <v>!</v>
          </cell>
        </row>
        <row r="671">
          <cell r="D671" t="str">
            <v>ΕΛΑΙΟΥΧΟΙ ΣΠΟΡΟΙ6302</v>
          </cell>
          <cell r="E671" t="str">
            <v>ΗΛΙΑΝΘΟΣ TURBO (ROM)</v>
          </cell>
          <cell r="F671" t="str">
            <v>B_1_6_5</v>
          </cell>
          <cell r="G671" t="str">
            <v>Ηλίανθος</v>
          </cell>
          <cell r="H671">
            <v>1314</v>
          </cell>
          <cell r="K671" t="str">
            <v>Όχι</v>
          </cell>
          <cell r="L671" t="str">
            <v>ΕΤ: Όχι με βάση "Ηλίανθος Ενεργειακές"</v>
          </cell>
          <cell r="O671" t="str">
            <v>!</v>
          </cell>
        </row>
        <row r="672">
          <cell r="D672" t="str">
            <v>ΕΛΑΙΟΥΧΟΙ ΣΠΟΡΟΙ6303</v>
          </cell>
          <cell r="E672" t="str">
            <v>ΗΛΙΑΝΘΟΣ PHARAON (ΗΠΑ)</v>
          </cell>
          <cell r="F672" t="str">
            <v>B_1_6_5</v>
          </cell>
          <cell r="G672" t="str">
            <v>Ηλίανθος</v>
          </cell>
          <cell r="H672">
            <v>1314</v>
          </cell>
          <cell r="K672" t="str">
            <v>Όχι</v>
          </cell>
          <cell r="L672" t="str">
            <v>ΕΤ: Όχι με βάση "Ηλίανθος Ενεργειακές"</v>
          </cell>
          <cell r="O672" t="str">
            <v>!</v>
          </cell>
        </row>
        <row r="673">
          <cell r="D673" t="str">
            <v>ΕΛΑΙΟΥΧΟΙ ΣΠΟΡΟΙ6304</v>
          </cell>
          <cell r="E673" t="str">
            <v>ΗΛΙΑΝΘΟΣ SUNSTAR (ΗΠΑ)</v>
          </cell>
          <cell r="F673" t="str">
            <v>B_1_6_5</v>
          </cell>
          <cell r="G673" t="str">
            <v>Ηλίανθος</v>
          </cell>
          <cell r="H673">
            <v>1314</v>
          </cell>
          <cell r="K673" t="str">
            <v>Όχι</v>
          </cell>
          <cell r="L673" t="str">
            <v>ΕΤ: Όχι με βάση "Ηλίανθος Ενεργειακές"</v>
          </cell>
          <cell r="O673" t="str">
            <v>!</v>
          </cell>
        </row>
        <row r="674">
          <cell r="D674" t="str">
            <v>ΕΛΑΙΟΥΧΟΙ ΣΠΟΡΟΙ6305</v>
          </cell>
          <cell r="E674" t="str">
            <v>ΗΛΙΑΝΘΟΣ ΚΑΒΗΣΟΣ (ΕΛΛΑΣ)</v>
          </cell>
          <cell r="F674" t="str">
            <v>B_1_6_5</v>
          </cell>
          <cell r="G674" t="str">
            <v>Ηλίανθος</v>
          </cell>
          <cell r="H674">
            <v>1314</v>
          </cell>
          <cell r="K674" t="str">
            <v>Όχι</v>
          </cell>
          <cell r="L674" t="str">
            <v>ΕΤ: Όχι με βάση "Ηλίανθος Ενεργειακές"</v>
          </cell>
          <cell r="O674" t="str">
            <v>!</v>
          </cell>
        </row>
        <row r="675">
          <cell r="D675" t="str">
            <v>ΕΛΑΙΟΥΧΟΙ ΣΠΟΡΟΙ6310</v>
          </cell>
          <cell r="E675" t="str">
            <v>ΗΛΙΑΝΘΟΣ ΠΑΣΑΤΕΜΠΟΣ</v>
          </cell>
          <cell r="F675" t="str">
            <v>B_1_6_5</v>
          </cell>
          <cell r="G675" t="str">
            <v>Ηλίανθος</v>
          </cell>
          <cell r="H675">
            <v>1314</v>
          </cell>
          <cell r="K675" t="str">
            <v>Όχι</v>
          </cell>
          <cell r="L675" t="str">
            <v>ΕΤ: Όχι με βάση "Ηλίανθος Ενεργειακές"</v>
          </cell>
          <cell r="O675" t="str">
            <v/>
          </cell>
        </row>
        <row r="676">
          <cell r="D676" t="str">
            <v>ΕΛΑΙΟΥΧΟΙ ΣΠΟΡΟΙ6311</v>
          </cell>
          <cell r="E676" t="str">
            <v>ΚΟΛΟΚΥΘΟΣΠΟΡΟΣ</v>
          </cell>
          <cell r="F676" t="str">
            <v>B_1_6_8</v>
          </cell>
          <cell r="G676" t="str">
            <v>Άλλα ελαιούχα φυτά</v>
          </cell>
          <cell r="H676">
            <v>1287</v>
          </cell>
          <cell r="K676" t="str">
            <v>Όχι</v>
          </cell>
          <cell r="L676" t="str">
            <v xml:space="preserve">ΕΤ: Όχι, είναι καλοκαιρινή καλλιέργεια, συγκομίζεται Αύγουστο. </v>
          </cell>
          <cell r="O676" t="str">
            <v/>
          </cell>
        </row>
        <row r="677">
          <cell r="D677" t="str">
            <v>ΕΛΑΙΟΥΧΟΙ ΣΠΟΡΟΙ6398</v>
          </cell>
          <cell r="E677" t="str">
            <v>ΗΛΙΑΝΘΟΣ</v>
          </cell>
          <cell r="F677" t="str">
            <v>B_1_6_5</v>
          </cell>
          <cell r="G677" t="str">
            <v>Ηλίανθος</v>
          </cell>
          <cell r="H677">
            <v>1314</v>
          </cell>
          <cell r="K677" t="str">
            <v>Όχι</v>
          </cell>
          <cell r="L677" t="str">
            <v>ΕΤ: Όχι με βάση "Ηλίανθος Ενεργειακές"</v>
          </cell>
          <cell r="O677" t="str">
            <v/>
          </cell>
        </row>
        <row r="678">
          <cell r="D678" t="str">
            <v>ΕΛΑΙΟΥΧΟΙ ΣΠΟΡΟΙ6401</v>
          </cell>
          <cell r="E678" t="str">
            <v>ΣΟΓΙΑ WEBER</v>
          </cell>
          <cell r="F678" t="str">
            <v>B_1_6_6</v>
          </cell>
          <cell r="G678" t="str">
            <v>Σόγια</v>
          </cell>
          <cell r="H678">
            <v>1305</v>
          </cell>
          <cell r="I678" t="str">
            <v>Κτηνοτροφικά</v>
          </cell>
          <cell r="K678" t="str">
            <v>Όχι</v>
          </cell>
          <cell r="L678" t="str">
            <v>ΕΤ: Όχι με βάση "ΣΟΓΙΑ - ΚΑΡΠΟΣ ΓΙΑ ΖΩΟΤΡΟΦΕΣ"</v>
          </cell>
          <cell r="O678" t="str">
            <v/>
          </cell>
        </row>
        <row r="679">
          <cell r="D679" t="str">
            <v>ΕΛΑΙΟΥΧΟΙ ΣΠΟΡΟΙ6402</v>
          </cell>
          <cell r="E679" t="str">
            <v>ΣΟΓΙΑ WILLIAMS</v>
          </cell>
          <cell r="F679" t="str">
            <v>B_1_6_6</v>
          </cell>
          <cell r="G679" t="str">
            <v>Σόγια</v>
          </cell>
          <cell r="H679">
            <v>1305</v>
          </cell>
          <cell r="I679" t="str">
            <v>Κτηνοτροφικά</v>
          </cell>
          <cell r="K679" t="str">
            <v>Όχι</v>
          </cell>
          <cell r="L679" t="str">
            <v>ΕΤ: Όχι με βάση "ΣΟΓΙΑ - ΚΑΡΠΟΣ ΓΙΑ ΖΩΟΤΡΟΦΕΣ"</v>
          </cell>
          <cell r="O679" t="str">
            <v/>
          </cell>
        </row>
        <row r="680">
          <cell r="D680" t="str">
            <v>ΕΛΑΙΟΥΧΟΙ ΣΠΟΡΟΙ8703</v>
          </cell>
          <cell r="E680" t="str">
            <v>ΣΟΥΣΑΜΙ</v>
          </cell>
          <cell r="F680" t="str">
            <v>B_1_6_8</v>
          </cell>
          <cell r="G680" t="str">
            <v>Άλλα ελαιούχα φυτά</v>
          </cell>
          <cell r="H680">
            <v>1287</v>
          </cell>
          <cell r="K680" t="str">
            <v>Όχι</v>
          </cell>
          <cell r="L680" t="str">
            <v>ΕΤ: Όχι, είναι ανοιξιάτικο, χρειάζεται καλοκαρικά ποτίσματα δεν μπορώ να βρω ποσοτικά στοιχεία</v>
          </cell>
          <cell r="O680" t="str">
            <v/>
          </cell>
        </row>
        <row r="681">
          <cell r="D681" t="str">
            <v>ΕΛΑΙΟΥΧΟΙ ΣΠΟΡΟΙ8746</v>
          </cell>
          <cell r="E681" t="str">
            <v>ΣΟΥΣΑΜΙ ΓΕΩΡΓΙΟΥΠΟΛΗΣ</v>
          </cell>
          <cell r="F681" t="str">
            <v>B_1_6_8</v>
          </cell>
          <cell r="G681" t="str">
            <v>Άλλα ελαιούχα φυτά</v>
          </cell>
          <cell r="H681">
            <v>1287</v>
          </cell>
          <cell r="K681" t="str">
            <v>Όχι</v>
          </cell>
          <cell r="L681" t="str">
            <v>ΕΤ: Όχι, είναι ανοιξιάτικο, χρειάζεται καλοκαρικά ποτίσματα δεν μπορώ να βρω ποσοτικά στοιχεία</v>
          </cell>
          <cell r="O681" t="str">
            <v/>
          </cell>
        </row>
        <row r="682">
          <cell r="D682" t="str">
            <v>ΕΛΑΙΟΥΧΟΙ ΣΠΟΡΟΙ8747</v>
          </cell>
          <cell r="E682" t="str">
            <v>ΣΟΥΣΑΜΙ ΕΒΡΟΥ</v>
          </cell>
          <cell r="F682" t="str">
            <v>B_1_6_8</v>
          </cell>
          <cell r="G682" t="str">
            <v>Άλλα ελαιούχα φυτά</v>
          </cell>
          <cell r="H682">
            <v>1287</v>
          </cell>
          <cell r="K682" t="str">
            <v>Όχι</v>
          </cell>
          <cell r="L682" t="str">
            <v>ΕΤ: Όχι, είναι ανοιξιάτικο, χρειάζεται καλοκαρικά ποτίσματα δεν μπορώ να βρω ποσοτικά στοιχεία</v>
          </cell>
          <cell r="O682" t="str">
            <v/>
          </cell>
        </row>
        <row r="683">
          <cell r="D683" t="str">
            <v>ΕΛΑΙΩΝΕΣ1000153</v>
          </cell>
          <cell r="E683" t="str">
            <v>ΑΜΦΙΣΣΗΣ (ΒΟΛΙΩΤΙΚΗ, ΠΗΛΙΟΥ, ΣΤΥΛΙΔΟΣ, ΑΓΡΙΝΙΟΥ), ΓΙΑ ΠΑΡΑΓΩΓΗ ΕΛΑΙΟΛΑΔΟΥ</v>
          </cell>
          <cell r="F683" t="str">
            <v>B_4_3_2</v>
          </cell>
          <cell r="G683" t="str">
            <v>Ελαιώνες που συνήθως παράγουν ελιές για λάδι</v>
          </cell>
          <cell r="H683">
            <v>1882</v>
          </cell>
          <cell r="K683" t="str">
            <v>Ναι</v>
          </cell>
          <cell r="L683" t="str">
            <v>ΝΑΙ</v>
          </cell>
          <cell r="O683" t="str">
            <v/>
          </cell>
        </row>
        <row r="684">
          <cell r="D684" t="str">
            <v>ΕΛΑΙΩΝΕΣ1000154</v>
          </cell>
          <cell r="E684" t="str">
            <v>ΑΜΥΓΔΑΛΟΛΗΑ (ΣΤΡΑΒΟΜΥΤΑ, ΚΟΥΡΟΜΥΤΑ), ΓΙΑ ΠΑΡΑΓΩΓΗ ΕΛΑΙΟΛΑΔΟΥ</v>
          </cell>
          <cell r="F684" t="str">
            <v>B_4_3_2</v>
          </cell>
          <cell r="G684" t="str">
            <v>Ελαιώνες που συνήθως παράγουν ελιές για λάδι</v>
          </cell>
          <cell r="H684">
            <v>1882</v>
          </cell>
          <cell r="K684" t="str">
            <v>Ναι</v>
          </cell>
          <cell r="L684" t="str">
            <v>ΝΑΙ</v>
          </cell>
          <cell r="O684" t="str">
            <v/>
          </cell>
        </row>
        <row r="685">
          <cell r="D685" t="str">
            <v>ΕΛΑΙΩΝΕΣ1000155</v>
          </cell>
          <cell r="E685" t="str">
            <v>ΑΔΡΑΜΥΤΤΙΝΗ (ΑΔΡΑΜΥΤΙΚΗ ΛΕΣΒΟΥ, ΑΙΒΑΛΙΩΤΙΚΗ,  ΦΡΑΓΚ), ΓΙΑ ΠΑΡΑΓΩΓΗ ΕΛΑΙΟΛΑΔΟΥ</v>
          </cell>
          <cell r="F685" t="str">
            <v>B_4_3_2</v>
          </cell>
          <cell r="G685" t="str">
            <v>Ελαιώνες που συνήθως παράγουν ελιές για λάδι</v>
          </cell>
          <cell r="H685">
            <v>1882</v>
          </cell>
          <cell r="K685" t="str">
            <v>Ναι</v>
          </cell>
          <cell r="L685" t="str">
            <v>ΝΑΙ</v>
          </cell>
          <cell r="O685" t="str">
            <v/>
          </cell>
        </row>
        <row r="686">
          <cell r="D686" t="str">
            <v>ΕΛΑΙΩΝΕΣ1000156</v>
          </cell>
          <cell r="E686" t="str">
            <v>ΑΓΟΥΡΟΜΑΝΑΚΟΛΙΑ (ΑΓΟΥΡΟΜΑΝΑΚΟ, ΑΓΟΥΡΟΜΑΝΑΚΙ), ΓΙΑ ΠΑΡΑΓΩΓΗ ΕΛΑΙΟΛΑΔΟΥ</v>
          </cell>
          <cell r="F686" t="str">
            <v>B_4_3_2</v>
          </cell>
          <cell r="G686" t="str">
            <v>Ελαιώνες που συνήθως παράγουν ελιές για λάδι</v>
          </cell>
          <cell r="H686">
            <v>1882</v>
          </cell>
          <cell r="K686" t="str">
            <v>Ναι</v>
          </cell>
          <cell r="L686" t="str">
            <v>ΝΑΙ</v>
          </cell>
          <cell r="O686" t="str">
            <v/>
          </cell>
        </row>
        <row r="687">
          <cell r="D687" t="str">
            <v>ΕΛΑΙΩΝΕΣ1000157</v>
          </cell>
          <cell r="E687" t="str">
            <v>ARBEQUINE (ARBEQUINA, ARBEQUIN), ΓΙΑ ΠΑΡΑΓΩΓΗ ΕΛΑΙΟΛΑΔΟΥ</v>
          </cell>
          <cell r="F687" t="str">
            <v>B_4_3_2</v>
          </cell>
          <cell r="G687" t="str">
            <v>Ελαιώνες που συνήθως παράγουν ελιές για λάδι</v>
          </cell>
          <cell r="H687">
            <v>1882</v>
          </cell>
          <cell r="K687" t="str">
            <v>Ναι</v>
          </cell>
          <cell r="L687" t="str">
            <v>ΝΑΙ</v>
          </cell>
          <cell r="O687" t="str">
            <v/>
          </cell>
        </row>
        <row r="688">
          <cell r="D688" t="str">
            <v>ΕΛΑΙΩΝΕΣ1000158</v>
          </cell>
          <cell r="E688" t="str">
            <v>ΒΑΣΙΛΙΚΑΔΑ (ΒΑΣΙΛΙΚΗ), ΓΙΑ ΠΑΡΑΓΩΓΗ ΕΛΑΙΟΛΑΔΟΥ</v>
          </cell>
          <cell r="F688" t="str">
            <v>B_4_3_2</v>
          </cell>
          <cell r="G688" t="str">
            <v>Ελαιώνες που συνήθως παράγουν ελιές για λάδι</v>
          </cell>
          <cell r="H688">
            <v>1882</v>
          </cell>
          <cell r="K688" t="str">
            <v>Ναι</v>
          </cell>
          <cell r="L688" t="str">
            <v>ΝΑΙ</v>
          </cell>
          <cell r="O688" t="str">
            <v/>
          </cell>
        </row>
        <row r="689">
          <cell r="D689" t="str">
            <v>ΕΛΑΙΩΝΕΣ1000159</v>
          </cell>
          <cell r="E689" t="str">
            <v>ΒΑΛΑΝΟΛΙΑ (ΜΥΤΙΛΙΝΙΑ, ΚΟΛΟΒΗ, ΒΑΛΑΝΑ), ΓΙΑ ΠΑΡΑΓΩΓΗ ΕΛΑΙΟΛΑΔΟΥ</v>
          </cell>
          <cell r="F689" t="str">
            <v>B_4_3_2</v>
          </cell>
          <cell r="G689" t="str">
            <v>Ελαιώνες που συνήθως παράγουν ελιές για λάδι</v>
          </cell>
          <cell r="H689">
            <v>1882</v>
          </cell>
          <cell r="K689" t="str">
            <v>Ναι</v>
          </cell>
          <cell r="L689" t="str">
            <v>ΝΑΙ</v>
          </cell>
          <cell r="O689" t="str">
            <v/>
          </cell>
        </row>
        <row r="690">
          <cell r="D690" t="str">
            <v>ΕΛΑΙΩΝΕΣ1000160</v>
          </cell>
          <cell r="E690" t="str">
            <v>ΓΑΙΔΟΥΡΕΛΙΑ (ΔΑΜΑΣΚΗΝΑΤΗ, ΑΔΡΟΚΑΡΠΗ), ΓΙΑ ΠΑΡΑΓΩΓΗ ΕΛΑΙΟΛΑΔΟΥ</v>
          </cell>
          <cell r="F690" t="str">
            <v>B_4_3_2</v>
          </cell>
          <cell r="G690" t="str">
            <v>Ελαιώνες που συνήθως παράγουν ελιές για λάδι</v>
          </cell>
          <cell r="H690">
            <v>1882</v>
          </cell>
          <cell r="K690" t="str">
            <v>Ναι</v>
          </cell>
          <cell r="L690" t="str">
            <v>ΝΑΙ</v>
          </cell>
          <cell r="O690" t="str">
            <v/>
          </cell>
        </row>
        <row r="691">
          <cell r="D691" t="str">
            <v>ΕΛΑΙΩΝΕΣ1000161</v>
          </cell>
          <cell r="E691" t="str">
            <v>ΔΑΜΑΣΚΗΝΑΤΗ ΛΕΣΒΟΥ, ΓΙΑ ΠΑΡΑΓΩΓΗ ΕΛΑΙΟΛΑΔΟΥ</v>
          </cell>
          <cell r="F691" t="str">
            <v>B_4_3_2</v>
          </cell>
          <cell r="G691" t="str">
            <v>Ελαιώνες που συνήθως παράγουν ελιές για λάδι</v>
          </cell>
          <cell r="H691">
            <v>1882</v>
          </cell>
          <cell r="K691" t="str">
            <v>Ναι</v>
          </cell>
          <cell r="L691" t="str">
            <v>ΝΑΙ</v>
          </cell>
          <cell r="O691" t="str">
            <v/>
          </cell>
        </row>
        <row r="692">
          <cell r="D692" t="str">
            <v>ΕΛΑΙΩΝΕΣ1000162</v>
          </cell>
          <cell r="E692" t="str">
            <v>ΔΑΦΝΕΛΙA (ΔΑΦΝΟΚΑΡΠΗ), ΓΙΑ ΠΑΡΑΓΩΓΗ ΕΛΑΙΟΛΑΔΟΥ</v>
          </cell>
          <cell r="F692" t="str">
            <v>B_4_3_2</v>
          </cell>
          <cell r="G692" t="str">
            <v>Ελαιώνες που συνήθως παράγουν ελιές για λάδι</v>
          </cell>
          <cell r="H692">
            <v>1882</v>
          </cell>
          <cell r="K692" t="str">
            <v>Ναι</v>
          </cell>
          <cell r="L692" t="str">
            <v>ΝΑΙ</v>
          </cell>
          <cell r="O692" t="str">
            <v/>
          </cell>
        </row>
        <row r="693">
          <cell r="D693" t="str">
            <v>ΕΛΑΙΩΝΕΣ1000163</v>
          </cell>
          <cell r="E693" t="str">
            <v>GORDAL, ΓΙΑ ΠΑΡΑΓΩΓΗ ΕΛΑΙΟΛΑΔΟΥ</v>
          </cell>
          <cell r="F693" t="str">
            <v>B_4_3_2</v>
          </cell>
          <cell r="G693" t="str">
            <v>Ελαιώνες που συνήθως παράγουν ελιές για λάδι</v>
          </cell>
          <cell r="H693">
            <v>1882</v>
          </cell>
          <cell r="K693" t="str">
            <v>Ναι</v>
          </cell>
          <cell r="L693" t="str">
            <v>ΝΑΙ</v>
          </cell>
          <cell r="O693" t="str">
            <v/>
          </cell>
        </row>
        <row r="694">
          <cell r="D694" t="str">
            <v>ΕΛΑΙΩΝΕΣ1000164</v>
          </cell>
          <cell r="E694" t="str">
            <v>ΘΡΟΥΜΠΑ (ΘΡΟΥΜΠΟΛΙΑ, ΘΑΣΙΤΙΚΗ, ΛΑΔΟΛΙΑ, ΘΑΣΟΥ), ΓΙΑ ΠΑΡΑΓΩΓΗ ΕΛΑΙΟΛΑΔΟΥ</v>
          </cell>
          <cell r="F694" t="str">
            <v>B_4_3_2</v>
          </cell>
          <cell r="G694" t="str">
            <v>Ελαιώνες που συνήθως παράγουν ελιές για λάδι</v>
          </cell>
          <cell r="H694">
            <v>1882</v>
          </cell>
          <cell r="K694" t="str">
            <v>Ναι</v>
          </cell>
          <cell r="L694" t="str">
            <v>ΝΑΙ</v>
          </cell>
          <cell r="O694" t="str">
            <v/>
          </cell>
        </row>
        <row r="695">
          <cell r="D695" t="str">
            <v>ΕΛΑΙΩΝΕΣ1000165</v>
          </cell>
          <cell r="E695" t="str">
            <v>ΚΟΥΤΣΟΥΡΕΛΙΑ (ΚΟΥΡΤΕΛΙΑ, ΚΟΥΡΕΛΙΑ), ΓΙΑ ΠΑΡΑΓΩΓΗ ΕΛΑΙΟΛΑΔΟΥ</v>
          </cell>
          <cell r="F695" t="str">
            <v>B_4_3_2</v>
          </cell>
          <cell r="G695" t="str">
            <v>Ελαιώνες που συνήθως παράγουν ελιές για λάδι</v>
          </cell>
          <cell r="H695">
            <v>1882</v>
          </cell>
          <cell r="K695" t="str">
            <v>Ναι</v>
          </cell>
          <cell r="L695" t="str">
            <v>ΝΑΙ</v>
          </cell>
          <cell r="O695" t="str">
            <v/>
          </cell>
        </row>
        <row r="696">
          <cell r="D696" t="str">
            <v>ΕΛΑΙΩΝΕΣ1000166</v>
          </cell>
          <cell r="E696" t="str">
            <v>ΚΟΡΩΝΕΙΚΗ (ΚΟΡΩΝΗ, ΒΑΤΣΙΚΗ, ΚΡΗΤΙΚΙΑ, ΚΟΡΩΝΙΑ ΚΡΗ), ΓΙΑ ΠΑΡΑΓΩΓΗ ΕΛΑΙΟΛΑΔΟΥ</v>
          </cell>
          <cell r="F696" t="str">
            <v>B_4_3_2</v>
          </cell>
          <cell r="G696" t="str">
            <v>Ελαιώνες που συνήθως παράγουν ελιές για λάδι</v>
          </cell>
          <cell r="H696">
            <v>1882</v>
          </cell>
          <cell r="K696" t="str">
            <v>Ναι</v>
          </cell>
          <cell r="L696" t="str">
            <v>ΝΑΙ</v>
          </cell>
          <cell r="O696" t="str">
            <v/>
          </cell>
        </row>
        <row r="697">
          <cell r="D697" t="str">
            <v>ΕΛΑΙΩΝΕΣ1000167</v>
          </cell>
          <cell r="E697" t="str">
            <v>ΚΑΛΟΚΑΙΡΙΔΑ (ΠΡΩΙΜΗ), ΓΙΑ ΠΑΡΑΓΩΓΗ ΕΛΑΙΟΛΑΔΟΥ</v>
          </cell>
          <cell r="F697" t="str">
            <v>B_4_3_2</v>
          </cell>
          <cell r="G697" t="str">
            <v>Ελαιώνες που συνήθως παράγουν ελιές για λάδι</v>
          </cell>
          <cell r="H697">
            <v>1882</v>
          </cell>
          <cell r="K697" t="str">
            <v>Ναι</v>
          </cell>
          <cell r="L697" t="str">
            <v>ΝΑΙ</v>
          </cell>
          <cell r="O697" t="str">
            <v/>
          </cell>
        </row>
        <row r="698">
          <cell r="D698" t="str">
            <v>ΕΛΑΙΩΝΕΣ1000168</v>
          </cell>
          <cell r="E698" t="str">
            <v>ΚΑΛΑΜΩΝ (ΚΑΛΑΜΑΤΙΑΝΗ, ΤΣΙΓΚΟΛΙ, ΑΕΤΟΝΥΧΙ), ΓΙΑ ΠΑΡΑΓΩΓΗ ΕΛΑΙΟΛΑΔΟΥ</v>
          </cell>
          <cell r="F698" t="str">
            <v>B_4_3_2</v>
          </cell>
          <cell r="G698" t="str">
            <v>Ελαιώνες που συνήθως παράγουν ελιές για λάδι</v>
          </cell>
          <cell r="H698">
            <v>1882</v>
          </cell>
          <cell r="K698" t="str">
            <v>Ναι</v>
          </cell>
          <cell r="L698" t="str">
            <v>ΝΑΙ</v>
          </cell>
          <cell r="O698" t="str">
            <v/>
          </cell>
        </row>
        <row r="699">
          <cell r="D699" t="str">
            <v>ΕΛΑΙΩΝΕΣ1000169</v>
          </cell>
          <cell r="E699" t="str">
            <v>ΚΟΛΥΜΠΑΔΑ, ΓΙΑ ΠΑΡΑΓΩΓΗ ΕΛΑΙΟΛΑΔΟΥ</v>
          </cell>
          <cell r="F699" t="str">
            <v>B_4_3_2</v>
          </cell>
          <cell r="G699" t="str">
            <v>Ελαιώνες που συνήθως παράγουν ελιές για λάδι</v>
          </cell>
          <cell r="H699">
            <v>1882</v>
          </cell>
          <cell r="K699" t="str">
            <v>Ναι</v>
          </cell>
          <cell r="L699" t="str">
            <v>ΝΑΙ</v>
          </cell>
          <cell r="O699" t="str">
            <v/>
          </cell>
        </row>
        <row r="700">
          <cell r="D700" t="str">
            <v>ΕΛΑΙΩΝΕΣ1000170</v>
          </cell>
          <cell r="E700" t="str">
            <v>ΚΑΡΟΛΗΑ, ΓΙΑ ΠΑΡΑΓΩΓΗ ΕΛΑΙΟΛΑΔΟΥ</v>
          </cell>
          <cell r="F700" t="str">
            <v>B_4_3_2</v>
          </cell>
          <cell r="G700" t="str">
            <v>Ελαιώνες που συνήθως παράγουν ελιές για λάδι</v>
          </cell>
          <cell r="H700">
            <v>1882</v>
          </cell>
          <cell r="K700" t="str">
            <v>Ναι</v>
          </cell>
          <cell r="L700" t="str">
            <v>ΝΑΙ</v>
          </cell>
          <cell r="O700" t="str">
            <v/>
          </cell>
        </row>
        <row r="701">
          <cell r="D701" t="str">
            <v>ΕΛΑΙΩΝΕΣ1000171</v>
          </cell>
          <cell r="E701" t="str">
            <v>ΚΟΘΡΕΙΚΗ (ΜΑΝΑΚΙ, ΜΑΝΑΚΟΛΙΑ, ΓΛΥΚΟΜΑΝΑΚΟ), ΓΙΑ ΠΑΡΑΓΩΓΗ ΕΛΑΙΟΛΑΔΟΥ</v>
          </cell>
          <cell r="F701" t="str">
            <v>B_4_3_2</v>
          </cell>
          <cell r="G701" t="str">
            <v>Ελαιώνες που συνήθως παράγουν ελιές για λάδι</v>
          </cell>
          <cell r="H701">
            <v>1882</v>
          </cell>
          <cell r="K701" t="str">
            <v>Ναι</v>
          </cell>
          <cell r="L701" t="str">
            <v>ΝΑΙ</v>
          </cell>
          <cell r="O701" t="str">
            <v/>
          </cell>
        </row>
        <row r="702">
          <cell r="D702" t="str">
            <v>ΕΛΑΙΩΝΕΣ1000172</v>
          </cell>
          <cell r="E702" t="str">
            <v>ΚΑΡΥΔΟΛΙΑ, ΓΙΑ ΠΑΡΑΓΩΓΗ ΕΛΑΙΟΛΑΔΟΥ</v>
          </cell>
          <cell r="F702" t="str">
            <v>B_4_3_2</v>
          </cell>
          <cell r="G702" t="str">
            <v>Ελαιώνες που συνήθως παράγουν ελιές για λάδι</v>
          </cell>
          <cell r="H702">
            <v>1882</v>
          </cell>
          <cell r="K702" t="str">
            <v>Ναι</v>
          </cell>
          <cell r="L702" t="str">
            <v>ΝΑΙ</v>
          </cell>
          <cell r="O702" t="str">
            <v/>
          </cell>
        </row>
        <row r="703">
          <cell r="D703" t="str">
            <v>ΕΛΑΙΩΝΕΣ1000173</v>
          </cell>
          <cell r="E703" t="str">
            <v>ΚΑΡΥΔΟΛΙΑ ΣΠΕΤΣΩΝ, ΓΙΑ ΠΑΡΑΓΩΓΗ ΕΛΑΙΟΛΑΔΟΥ</v>
          </cell>
          <cell r="F703" t="str">
            <v>B_4_3_2</v>
          </cell>
          <cell r="G703" t="str">
            <v>Ελαιώνες που συνήθως παράγουν ελιές για λάδι</v>
          </cell>
          <cell r="H703">
            <v>1882</v>
          </cell>
          <cell r="K703" t="str">
            <v>Ναι</v>
          </cell>
          <cell r="L703" t="str">
            <v>ΝΑΙ</v>
          </cell>
          <cell r="O703" t="str">
            <v/>
          </cell>
        </row>
        <row r="704">
          <cell r="D704" t="str">
            <v>ΕΛΑΙΩΝΕΣ1000174</v>
          </cell>
          <cell r="E704" t="str">
            <v>ΚΛΩΝΑΡΕΣ ΚΟΡΩΠΙΟΥ, ΓΙΑ ΠΑΡΑΓΩΓΗ ΕΛΑΙΟΛΑΔΟΥ</v>
          </cell>
          <cell r="F704" t="str">
            <v>B_4_3_2</v>
          </cell>
          <cell r="G704" t="str">
            <v>Ελαιώνες που συνήθως παράγουν ελιές για λάδι</v>
          </cell>
          <cell r="H704">
            <v>1882</v>
          </cell>
          <cell r="K704" t="str">
            <v>Ναι</v>
          </cell>
          <cell r="L704" t="str">
            <v>ΝΑΙ</v>
          </cell>
          <cell r="O704" t="str">
            <v/>
          </cell>
        </row>
        <row r="705">
          <cell r="D705" t="str">
            <v>ΕΛΑΙΩΝΕΣ1000175</v>
          </cell>
          <cell r="E705" t="str">
            <v>ΚΑΡΟΛΙΑ ΙΣΤΙΑΙΑΣ, ΓΙΑ ΠΑΡΑΓΩΓΗ ΕΛΑΙΟΛΑΔΟΥ</v>
          </cell>
          <cell r="F705" t="str">
            <v>B_4_3_2</v>
          </cell>
          <cell r="G705" t="str">
            <v>Ελαιώνες που συνήθως παράγουν ελιές για λάδι</v>
          </cell>
          <cell r="H705">
            <v>1882</v>
          </cell>
          <cell r="K705" t="str">
            <v>Ναι</v>
          </cell>
          <cell r="L705" t="str">
            <v>ΝΑΙ</v>
          </cell>
          <cell r="O705" t="str">
            <v/>
          </cell>
        </row>
        <row r="706">
          <cell r="D706" t="str">
            <v>ΕΛΑΙΩΝΕΣ1000176</v>
          </cell>
          <cell r="E706" t="str">
            <v>ΚΟΛΥΡΕΙΚΗ, ΓΙΑ ΠΑΡΑΓΩΓΗ ΕΛΑΙΟΛΑΔΟΥ</v>
          </cell>
          <cell r="F706" t="str">
            <v>B_4_3_2</v>
          </cell>
          <cell r="G706" t="str">
            <v>Ελαιώνες που συνήθως παράγουν ελιές για λάδι</v>
          </cell>
          <cell r="H706">
            <v>1882</v>
          </cell>
          <cell r="K706" t="str">
            <v>Ναι</v>
          </cell>
          <cell r="L706" t="str">
            <v>ΝΑΙ</v>
          </cell>
          <cell r="O706" t="str">
            <v/>
          </cell>
        </row>
        <row r="707">
          <cell r="D707" t="str">
            <v>ΕΛΑΙΩΝΕΣ1000177</v>
          </cell>
          <cell r="E707" t="str">
            <v>LECHINO (LECHIN DE SEVILLA), ΓΙΑ ΠΑΡΑΓΩΓΗ ΕΛΑΙΟΛΑΔΟΥ</v>
          </cell>
          <cell r="F707" t="str">
            <v>B_4_3_2</v>
          </cell>
          <cell r="G707" t="str">
            <v>Ελαιώνες που συνήθως παράγουν ελιές για λάδι</v>
          </cell>
          <cell r="H707">
            <v>1882</v>
          </cell>
          <cell r="K707" t="str">
            <v>Ναι</v>
          </cell>
          <cell r="L707" t="str">
            <v>ΝΑΙ</v>
          </cell>
          <cell r="O707" t="str">
            <v/>
          </cell>
        </row>
        <row r="708">
          <cell r="D708" t="str">
            <v>ΕΛΑΙΩΝΕΣ1000178</v>
          </cell>
          <cell r="E708" t="str">
            <v>ΛΙΑΝΟΛΗΑ ΚΕΡΚΥΡΑΣ (ΠΡΕΒΕΖΑΝΑ, ΝΕΡΟΛΙΑ,  ΚΑΡΦΟΛΙΑ), ΓΙΑ ΠΑΡΑΓΩΓΗ ΕΛΑΙΟΛΑΔΟΥ</v>
          </cell>
          <cell r="F708" t="str">
            <v>B_4_3_2</v>
          </cell>
          <cell r="G708" t="str">
            <v>Ελαιώνες που συνήθως παράγουν ελιές για λάδι</v>
          </cell>
          <cell r="H708">
            <v>1882</v>
          </cell>
          <cell r="K708" t="str">
            <v>Ναι</v>
          </cell>
          <cell r="L708" t="str">
            <v>ΝΑΙ</v>
          </cell>
          <cell r="O708" t="str">
            <v/>
          </cell>
        </row>
        <row r="709">
          <cell r="D709" t="str">
            <v>ΕΛΑΙΩΝΕΣ1000179</v>
          </cell>
          <cell r="E709" t="str">
            <v>LUCQUES, ΓΙΑ ΠΑΡΑΓΩΓΗ ΕΛΑΙΟΛΑΔΟΥ</v>
          </cell>
          <cell r="F709" t="str">
            <v>B_4_3_2</v>
          </cell>
          <cell r="G709" t="str">
            <v>Ελαιώνες που συνήθως παράγουν ελιές για λάδι</v>
          </cell>
          <cell r="H709">
            <v>1882</v>
          </cell>
          <cell r="K709" t="str">
            <v>Ναι</v>
          </cell>
          <cell r="L709" t="str">
            <v>ΝΑΙ</v>
          </cell>
          <cell r="O709" t="str">
            <v/>
          </cell>
        </row>
        <row r="710">
          <cell r="D710" t="str">
            <v>ΕΛΑΙΩΝΕΣ1000180</v>
          </cell>
          <cell r="E710" t="str">
            <v>ΜΑΥΡΕΛΗΑ (ΜΕΘΩΝΙΑ, ΜΑΥΡΟΛΙΑ, ΜΟΥΤΡΟΛΙΑ), ΓΙΑ ΠΑΡΑΓΩΓΗ ΕΛΑΙΟΛΑΔΟΥ</v>
          </cell>
          <cell r="F710" t="str">
            <v>B_4_3_2</v>
          </cell>
          <cell r="G710" t="str">
            <v>Ελαιώνες που συνήθως παράγουν ελιές για λάδι</v>
          </cell>
          <cell r="H710">
            <v>1882</v>
          </cell>
          <cell r="K710" t="str">
            <v>Ναι</v>
          </cell>
          <cell r="L710" t="str">
            <v>ΝΑΙ</v>
          </cell>
          <cell r="O710" t="str">
            <v/>
          </cell>
        </row>
        <row r="711">
          <cell r="D711" t="str">
            <v>ΕΛΑΙΩΝΕΣ1000181</v>
          </cell>
          <cell r="E711" t="str">
            <v>ΜΥΡΤΟΛΗΑ, ΓΙΑ ΠΑΡΑΓΩΓΗ ΕΛΑΙΟΛΑΔΟΥ</v>
          </cell>
          <cell r="F711" t="str">
            <v>B_4_3_2</v>
          </cell>
          <cell r="G711" t="str">
            <v>Ελαιώνες που συνήθως παράγουν ελιές για λάδι</v>
          </cell>
          <cell r="H711">
            <v>1882</v>
          </cell>
          <cell r="K711" t="str">
            <v>Ναι</v>
          </cell>
          <cell r="L711" t="str">
            <v>ΝΑΙ</v>
          </cell>
          <cell r="O711" t="str">
            <v/>
          </cell>
        </row>
        <row r="712">
          <cell r="D712" t="str">
            <v>ΕΛΑΙΩΝΕΣ1000182</v>
          </cell>
          <cell r="E712" t="str">
            <v>MEXINE, ΓΙΑ ΠΑΡΑΓΩΓΗ ΕΛΑΙΟΛΑΔΟΥ</v>
          </cell>
          <cell r="F712" t="str">
            <v>B_4_3_2</v>
          </cell>
          <cell r="G712" t="str">
            <v>Ελαιώνες που συνήθως παράγουν ελιές για λάδι</v>
          </cell>
          <cell r="H712">
            <v>1882</v>
          </cell>
          <cell r="K712" t="str">
            <v>Ναι</v>
          </cell>
          <cell r="L712" t="str">
            <v>ΝΑΙ</v>
          </cell>
          <cell r="O712" t="str">
            <v/>
          </cell>
        </row>
        <row r="713">
          <cell r="D713" t="str">
            <v>ΕΛΑΙΩΝΕΣ1000183</v>
          </cell>
          <cell r="E713" t="str">
            <v>ΜΕΓΑΡΕΙΤΙΚΗ (ΠΕΡΑΧΩΡΙΤΙΚΗ, ΒΟΙΒΟΔΙΤΙΚΗ, ΒΟΒΩΔΗ), ΓΙΑ ΠΑΡΑΓΩΓΗ ΕΛΑΙΟΛΑΔΟΥ</v>
          </cell>
          <cell r="F713" t="str">
            <v>B_4_3_2</v>
          </cell>
          <cell r="G713" t="str">
            <v>Ελαιώνες που συνήθως παράγουν ελιές για λάδι</v>
          </cell>
          <cell r="H713">
            <v>1882</v>
          </cell>
          <cell r="K713" t="str">
            <v>Ναι</v>
          </cell>
          <cell r="L713" t="str">
            <v>ΝΑΙ</v>
          </cell>
          <cell r="O713" t="str">
            <v/>
          </cell>
        </row>
        <row r="714">
          <cell r="D714" t="str">
            <v>ΕΛΑΙΩΝΕΣ1000184</v>
          </cell>
          <cell r="E714" t="str">
            <v>MANZANILLA JAEN, ΓΙΑ ΠΑΡΑΓΩΓΗ ΕΛΑΙΟΛΑΔΟΥ</v>
          </cell>
          <cell r="F714" t="str">
            <v>B_4_3_2</v>
          </cell>
          <cell r="G714" t="str">
            <v>Ελαιώνες που συνήθως παράγουν ελιές για λάδι</v>
          </cell>
          <cell r="H714">
            <v>1882</v>
          </cell>
          <cell r="K714" t="str">
            <v>Ναι</v>
          </cell>
          <cell r="L714" t="str">
            <v>ΝΑΙ</v>
          </cell>
          <cell r="O714" t="str">
            <v/>
          </cell>
        </row>
        <row r="715">
          <cell r="D715" t="str">
            <v>ΕΛΑΙΩΝΕΣ1000185</v>
          </cell>
          <cell r="E715" t="str">
            <v>MANZANILLA DOS HERMANOS, ΓΙΑ ΠΑΡΑΓΩΓΗ ΕΛΑΙΟΛΑΔΟΥ</v>
          </cell>
          <cell r="F715" t="str">
            <v>B_4_3_2</v>
          </cell>
          <cell r="G715" t="str">
            <v>Ελαιώνες που συνήθως παράγουν ελιές για λάδι</v>
          </cell>
          <cell r="H715">
            <v>1882</v>
          </cell>
          <cell r="K715" t="str">
            <v>Ναι</v>
          </cell>
          <cell r="L715" t="str">
            <v>ΝΑΙ</v>
          </cell>
          <cell r="O715" t="str">
            <v/>
          </cell>
        </row>
        <row r="716">
          <cell r="D716" t="str">
            <v>ΕΛΑΙΩΝΕΣ1000186</v>
          </cell>
          <cell r="E716" t="str">
            <v>MANZANILLA, ΓΙΑ ΠΑΡΑΓΩΓΗ ΕΛΑΙΟΛΑΔΟΥ</v>
          </cell>
          <cell r="F716" t="str">
            <v>B_4_3_2</v>
          </cell>
          <cell r="G716" t="str">
            <v>Ελαιώνες που συνήθως παράγουν ελιές για λάδι</v>
          </cell>
          <cell r="H716">
            <v>1882</v>
          </cell>
          <cell r="K716" t="str">
            <v>Ναι</v>
          </cell>
          <cell r="L716" t="str">
            <v>ΝΑΙ</v>
          </cell>
          <cell r="O716" t="str">
            <v/>
          </cell>
        </row>
        <row r="717">
          <cell r="D717" t="str">
            <v>ΕΛΑΙΩΝΕΣ1000187</v>
          </cell>
          <cell r="E717" t="str">
            <v>ΜΕΛΟΛΙΑ (ΕΛΙΑ ΗΔΙΚΑΡΠΗ), ΓΙΑ ΠΑΡΑΓΩΓΗ ΕΛΑΙΟΛΑΔΟΥ</v>
          </cell>
          <cell r="F717" t="str">
            <v>B_4_3_2</v>
          </cell>
          <cell r="G717" t="str">
            <v>Ελαιώνες που συνήθως παράγουν ελιές για λάδι</v>
          </cell>
          <cell r="H717">
            <v>1882</v>
          </cell>
          <cell r="K717" t="str">
            <v>Ναι</v>
          </cell>
          <cell r="L717" t="str">
            <v>ΝΑΙ</v>
          </cell>
          <cell r="O717" t="str">
            <v/>
          </cell>
        </row>
        <row r="718">
          <cell r="D718" t="str">
            <v>ΕΛΑΙΩΝΕΣ1000188</v>
          </cell>
          <cell r="E718" t="str">
            <v>MISSION, ΓΙΑ ΠΑΡΑΓΩΓΗ ΕΛΑΙΟΛΑΔΟΥ</v>
          </cell>
          <cell r="F718" t="str">
            <v>B_4_3_2</v>
          </cell>
          <cell r="G718" t="str">
            <v>Ελαιώνες που συνήθως παράγουν ελιές για λάδι</v>
          </cell>
          <cell r="H718">
            <v>1882</v>
          </cell>
          <cell r="K718" t="str">
            <v>Ναι</v>
          </cell>
          <cell r="L718" t="str">
            <v>ΝΑΙ</v>
          </cell>
          <cell r="O718" t="str">
            <v/>
          </cell>
        </row>
        <row r="719">
          <cell r="D719" t="str">
            <v>ΕΛΑΙΩΝΕΣ1000189</v>
          </cell>
          <cell r="E719" t="str">
            <v>PICUAL (NEVADILLO BLANCO), ΓΙΑ ΠΑΡΑΓΩΓΗ ΕΛΑΙΟΛΑΔΟΥ</v>
          </cell>
          <cell r="F719" t="str">
            <v>B_4_3_2</v>
          </cell>
          <cell r="G719" t="str">
            <v>Ελαιώνες που συνήθως παράγουν ελιές για λάδι</v>
          </cell>
          <cell r="H719">
            <v>1882</v>
          </cell>
          <cell r="K719" t="str">
            <v>Ναι</v>
          </cell>
          <cell r="L719" t="str">
            <v>ΝΑΙ</v>
          </cell>
          <cell r="O719" t="str">
            <v/>
          </cell>
        </row>
        <row r="720">
          <cell r="D720" t="str">
            <v>ΕΛΑΙΩΝΕΣ1000190</v>
          </cell>
          <cell r="E720" t="str">
            <v>ΠΑΤΡΙΝΗ, ΓΙΑ ΠΑΡΑΓΩΓΗ ΕΛΑΙΟΛΑΔΟΥ</v>
          </cell>
          <cell r="F720" t="str">
            <v>B_4_3_2</v>
          </cell>
          <cell r="G720" t="str">
            <v>Ελαιώνες που συνήθως παράγουν ελιές για λάδι</v>
          </cell>
          <cell r="H720">
            <v>1882</v>
          </cell>
          <cell r="K720" t="str">
            <v>Ναι</v>
          </cell>
          <cell r="L720" t="str">
            <v>ΝΑΙ</v>
          </cell>
          <cell r="O720" t="str">
            <v/>
          </cell>
        </row>
        <row r="721">
          <cell r="D721" t="str">
            <v>ΕΛΑΙΩΝΕΣ1000191</v>
          </cell>
          <cell r="E721" t="str">
            <v>PICHOLIN ή PICHOLINE, ΓΙΑ ΠΑΡΑΓΩΓΗ ΕΛΑΙΟΛΑΔΟΥ</v>
          </cell>
          <cell r="F721" t="str">
            <v>B_4_3_2</v>
          </cell>
          <cell r="G721" t="str">
            <v>Ελαιώνες που συνήθως παράγουν ελιές για λάδι</v>
          </cell>
          <cell r="H721">
            <v>1882</v>
          </cell>
          <cell r="K721" t="str">
            <v>Ναι</v>
          </cell>
          <cell r="L721" t="str">
            <v>ΝΑΙ</v>
          </cell>
          <cell r="O721" t="str">
            <v/>
          </cell>
        </row>
        <row r="722">
          <cell r="D722" t="str">
            <v>ΕΛΑΙΩΝΕΣ1000192</v>
          </cell>
          <cell r="E722" t="str">
            <v>ΠΙΚΡΟΛΙΑ, ΓΙΑ ΠΑΡΑΓΩΓΗ ΕΛΑΙΟΛΑΔΟΥ</v>
          </cell>
          <cell r="F722" t="str">
            <v>B_4_3_2</v>
          </cell>
          <cell r="G722" t="str">
            <v>Ελαιώνες που συνήθως παράγουν ελιές για λάδι</v>
          </cell>
          <cell r="H722">
            <v>1882</v>
          </cell>
          <cell r="K722" t="str">
            <v>Ναι</v>
          </cell>
          <cell r="L722" t="str">
            <v>ΝΑΙ</v>
          </cell>
          <cell r="O722" t="str">
            <v/>
          </cell>
        </row>
        <row r="723">
          <cell r="D723" t="str">
            <v>ΕΛΑΙΩΝΕΣ1000193</v>
          </cell>
          <cell r="E723" t="str">
            <v>REDDING PICHOLINE, ΓΙΑ ΠΑΡΑΓΩΓΗ ΕΛΑΙΟΛΑΔΟΥ</v>
          </cell>
          <cell r="F723" t="str">
            <v>B_4_3_2</v>
          </cell>
          <cell r="G723" t="str">
            <v>Ελαιώνες που συνήθως παράγουν ελιές για λάδι</v>
          </cell>
          <cell r="H723">
            <v>1882</v>
          </cell>
          <cell r="K723" t="str">
            <v>Ναι</v>
          </cell>
          <cell r="L723" t="str">
            <v>ΝΑΙ</v>
          </cell>
          <cell r="O723" t="str">
            <v/>
          </cell>
        </row>
        <row r="724">
          <cell r="D724" t="str">
            <v>ΕΛΑΙΩΝΕΣ1000194</v>
          </cell>
          <cell r="E724" t="str">
            <v>ROUSETTE, ΓΙΑ ΠΑΡΑΓΩΓΗ ΕΛΑΙΟΛΑΔΟΥ</v>
          </cell>
          <cell r="F724" t="str">
            <v>B_4_3_2</v>
          </cell>
          <cell r="G724" t="str">
            <v>Ελαιώνες που συνήθως παράγουν ελιές για λάδι</v>
          </cell>
          <cell r="H724">
            <v>1882</v>
          </cell>
          <cell r="K724" t="str">
            <v>Ναι</v>
          </cell>
          <cell r="L724" t="str">
            <v>ΝΑΙ</v>
          </cell>
          <cell r="O724" t="str">
            <v/>
          </cell>
        </row>
        <row r="725">
          <cell r="D725" t="str">
            <v>ΕΛΑΙΩΝΕΣ1000195</v>
          </cell>
          <cell r="E725" t="str">
            <v>SALONENQUE, ΓΙΑ ΠΑΡΑΓΩΓΗ ΕΛΑΙΟΛΑΔΟΥ</v>
          </cell>
          <cell r="F725" t="str">
            <v>B_4_3_2</v>
          </cell>
          <cell r="G725" t="str">
            <v>Ελαιώνες που συνήθως παράγουν ελιές για λάδι</v>
          </cell>
          <cell r="H725">
            <v>1882</v>
          </cell>
          <cell r="K725" t="str">
            <v>Ναι</v>
          </cell>
          <cell r="L725" t="str">
            <v>ΝΑΙ</v>
          </cell>
          <cell r="O725" t="str">
            <v/>
          </cell>
        </row>
        <row r="726">
          <cell r="D726" t="str">
            <v>ΕΛΑΙΩΝΕΣ1000196</v>
          </cell>
          <cell r="E726" t="str">
            <v>ΣΤΡΟΓΓΥΛΟΛΙΑ (ΓΑΛΑΝΗ, ΠΡΑΣΙΝΟΛΙΑ), ΓΙΑ ΠΑΡΑΓΩΓΗ ΕΛΑΙΟΛΑΔΟΥ</v>
          </cell>
          <cell r="F726" t="str">
            <v>B_4_3_2</v>
          </cell>
          <cell r="G726" t="str">
            <v>Ελαιώνες που συνήθως παράγουν ελιές για λάδι</v>
          </cell>
          <cell r="H726">
            <v>1882</v>
          </cell>
          <cell r="K726" t="str">
            <v>Ναι</v>
          </cell>
          <cell r="L726" t="str">
            <v>ΝΑΙ</v>
          </cell>
          <cell r="O726" t="str">
            <v/>
          </cell>
        </row>
        <row r="727">
          <cell r="D727" t="str">
            <v>ΕΛΑΙΩΝΕΣ1000197</v>
          </cell>
          <cell r="E727" t="str">
            <v>S. FRANCESCO, ΓΙΑ ΠΑΡΑΓΩΓΗ ΕΛΑΙΟΛΑΔΟΥ</v>
          </cell>
          <cell r="F727" t="str">
            <v>B_4_3_2</v>
          </cell>
          <cell r="G727" t="str">
            <v>Ελαιώνες που συνήθως παράγουν ελιές για λάδι</v>
          </cell>
          <cell r="H727">
            <v>1882</v>
          </cell>
          <cell r="K727" t="str">
            <v>Ναι</v>
          </cell>
          <cell r="L727" t="str">
            <v>ΝΑΙ</v>
          </cell>
          <cell r="O727" t="str">
            <v/>
          </cell>
        </row>
        <row r="728">
          <cell r="D728" t="str">
            <v>ΕΛΑΙΩΝΕΣ1000198</v>
          </cell>
          <cell r="E728" t="str">
            <v>S. AGOSTINO (S. AUGUSTINE), ΓΙΑ ΠΑΡΑΓΩΓΗ ΕΛΑΙΟΛΑΔΟΥ</v>
          </cell>
          <cell r="F728" t="str">
            <v>B_4_3_2</v>
          </cell>
          <cell r="G728" t="str">
            <v>Ελαιώνες που συνήθως παράγουν ελιές για λάδι</v>
          </cell>
          <cell r="H728">
            <v>1882</v>
          </cell>
          <cell r="K728" t="str">
            <v>Ναι</v>
          </cell>
          <cell r="L728" t="str">
            <v>ΝΑΙ</v>
          </cell>
          <cell r="O728" t="str">
            <v/>
          </cell>
        </row>
        <row r="729">
          <cell r="D729" t="str">
            <v>ΕΛΑΙΩΝΕΣ1000199</v>
          </cell>
          <cell r="E729" t="str">
            <v>SIGOISE, ΓΙΑ ΠΑΡΑΓΩΓΗ ΕΛΑΙΟΛΑΔΟΥ</v>
          </cell>
          <cell r="F729" t="str">
            <v>B_4_3_2</v>
          </cell>
          <cell r="G729" t="str">
            <v>Ελαιώνες που συνήθως παράγουν ελιές για λάδι</v>
          </cell>
          <cell r="H729">
            <v>1882</v>
          </cell>
          <cell r="K729" t="str">
            <v>Ναι</v>
          </cell>
          <cell r="L729" t="str">
            <v>ΝΑΙ</v>
          </cell>
          <cell r="O729" t="str">
            <v/>
          </cell>
        </row>
        <row r="730">
          <cell r="D730" t="str">
            <v>ΕΛΑΙΩΝΕΣ1000200</v>
          </cell>
          <cell r="E730" t="str">
            <v>ΤΡΑΓΟΛΙΑ, ΓΙΑ ΠΑΡΑΓΩΓΗ ΕΛΑΙΟΛΑΔΟΥ</v>
          </cell>
          <cell r="F730" t="str">
            <v>B_4_3_2</v>
          </cell>
          <cell r="G730" t="str">
            <v>Ελαιώνες που συνήθως παράγουν ελιές για λάδι</v>
          </cell>
          <cell r="H730">
            <v>1882</v>
          </cell>
          <cell r="K730" t="str">
            <v>Ναι</v>
          </cell>
          <cell r="L730" t="str">
            <v>ΝΑΙ</v>
          </cell>
          <cell r="O730" t="str">
            <v/>
          </cell>
        </row>
        <row r="731">
          <cell r="D731" t="str">
            <v>ΕΛΑΙΩΝΕΣ1000201</v>
          </cell>
          <cell r="E731" t="str">
            <v>ΤΣΟΥΝΑΤΗ (ΜΑΤΣΟΛΗΑ, ΑΘΗΝΟΛΙΑ), ΓΙΑ ΠΑΡΑΓΩΓΗ ΕΛΑΙΟΛΑΔΟΥ</v>
          </cell>
          <cell r="F731" t="str">
            <v>B_4_3_2</v>
          </cell>
          <cell r="G731" t="str">
            <v>Ελαιώνες που συνήθως παράγουν ελιές για λάδι</v>
          </cell>
          <cell r="H731">
            <v>1882</v>
          </cell>
          <cell r="K731" t="str">
            <v>Ναι</v>
          </cell>
          <cell r="L731" t="str">
            <v>ΝΑΙ</v>
          </cell>
          <cell r="O731" t="str">
            <v/>
          </cell>
        </row>
        <row r="732">
          <cell r="D732" t="str">
            <v>ΕΛΑΙΩΝΕΣ1000202</v>
          </cell>
          <cell r="E732" t="str">
            <v>FRANTOIO, ΓΙΑ ΠΑΡΑΓΩΓΗ ΕΛΑΙΟΛΑΔΟΥ</v>
          </cell>
          <cell r="F732" t="str">
            <v>B_4_3_2</v>
          </cell>
          <cell r="G732" t="str">
            <v>Ελαιώνες που συνήθως παράγουν ελιές για λάδι</v>
          </cell>
          <cell r="H732">
            <v>1882</v>
          </cell>
          <cell r="K732" t="str">
            <v>Ναι</v>
          </cell>
          <cell r="L732" t="str">
            <v>ΝΑΙ</v>
          </cell>
          <cell r="O732" t="str">
            <v/>
          </cell>
        </row>
        <row r="733">
          <cell r="D733" t="str">
            <v>ΕΛΑΙΩΝΕΣ1000203</v>
          </cell>
          <cell r="E733" t="str">
            <v>ΧΑΛΚΙΔΙΚΗΣ, ΓΙΑ ΠΑΡΑΓΩΓΗ ΕΛΑΙΟΛΑΔΟΥ</v>
          </cell>
          <cell r="F733" t="str">
            <v>B_4_3_2</v>
          </cell>
          <cell r="G733" t="str">
            <v>Ελαιώνες που συνήθως παράγουν ελιές για λάδι</v>
          </cell>
          <cell r="H733">
            <v>1882</v>
          </cell>
          <cell r="K733" t="str">
            <v>Ναι</v>
          </cell>
          <cell r="L733" t="str">
            <v>ΝΑΙ</v>
          </cell>
          <cell r="O733" t="str">
            <v/>
          </cell>
        </row>
        <row r="734">
          <cell r="D734" t="str">
            <v>ΕΛΑΙΩΝΕΣ1000204</v>
          </cell>
          <cell r="E734" t="str">
            <v>ΧΟΝΔΡΟΛΗΑ, ΓΙΑ ΠΑΡΑΓΩΓΗ ΕΛΑΙΟΛΑΔΟΥ</v>
          </cell>
          <cell r="F734" t="str">
            <v>B_4_3_2</v>
          </cell>
          <cell r="G734" t="str">
            <v>Ελαιώνες που συνήθως παράγουν ελιές για λάδι</v>
          </cell>
          <cell r="H734">
            <v>1882</v>
          </cell>
          <cell r="K734" t="str">
            <v>Ναι</v>
          </cell>
          <cell r="L734" t="str">
            <v>ΝΑΙ</v>
          </cell>
          <cell r="O734" t="str">
            <v/>
          </cell>
        </row>
        <row r="735">
          <cell r="D735" t="str">
            <v>ΕΛΑΙΩΝΕΣ1000205</v>
          </cell>
          <cell r="E735" t="str">
            <v>ΧΟΝΔΡΟΛΗΑ ΧΑΛΚΙΔΙΚΗΣ, ΓΙΑ ΠΑΡΑΓΩΓΗ ΕΛΑΙΟΛΑΔΟΥ</v>
          </cell>
          <cell r="F735" t="str">
            <v>B_4_3_2</v>
          </cell>
          <cell r="G735" t="str">
            <v>Ελαιώνες που συνήθως παράγουν ελιές για λάδι</v>
          </cell>
          <cell r="H735">
            <v>1882</v>
          </cell>
          <cell r="K735" t="str">
            <v>Ναι</v>
          </cell>
          <cell r="L735" t="str">
            <v>ΝΑΙ</v>
          </cell>
          <cell r="O735" t="str">
            <v/>
          </cell>
        </row>
        <row r="736">
          <cell r="D736" t="str">
            <v>ΕΛΑΙΩΝΕΣ1000206</v>
          </cell>
          <cell r="E736" t="str">
            <v>ΧΡΥΣΟΛΙΑ, ΓΙΑ ΠΑΡΑΓΩΓΗ ΕΛΑΙΟΛΑΔΟΥ</v>
          </cell>
          <cell r="F736" t="str">
            <v>B_4_3_2</v>
          </cell>
          <cell r="G736" t="str">
            <v>Ελαιώνες που συνήθως παράγουν ελιές για λάδι</v>
          </cell>
          <cell r="H736">
            <v>1882</v>
          </cell>
          <cell r="K736" t="str">
            <v>Ναι</v>
          </cell>
          <cell r="L736" t="str">
            <v>ΝΑΙ</v>
          </cell>
          <cell r="O736" t="str">
            <v/>
          </cell>
        </row>
        <row r="737">
          <cell r="D737" t="str">
            <v>ΕΛΑΙΩΝΕΣ1000207</v>
          </cell>
          <cell r="E737" t="str">
            <v>SEVILLANO, ΓΙΑ ΠΑΡΑΓΩΓΗ ΕΛΑΙΟΛΑΔΟΥ</v>
          </cell>
          <cell r="F737" t="str">
            <v>B_4_3_2</v>
          </cell>
          <cell r="G737" t="str">
            <v>Ελαιώνες που συνήθως παράγουν ελιές για λάδι</v>
          </cell>
          <cell r="H737">
            <v>1882</v>
          </cell>
          <cell r="K737" t="str">
            <v>Ναι</v>
          </cell>
          <cell r="L737" t="str">
            <v>ΝΑΙ</v>
          </cell>
          <cell r="O737" t="str">
            <v/>
          </cell>
        </row>
        <row r="738">
          <cell r="D738" t="str">
            <v>ΕΛΑΙΩΝΕΣ1000208</v>
          </cell>
          <cell r="E738" t="str">
            <v>OBLONCA, ΓΙΑ ΠΑΡΑΓΩΓΗ ΕΛΑΙΟΛΑΔΟΥ</v>
          </cell>
          <cell r="F738" t="str">
            <v>B_4_3_2</v>
          </cell>
          <cell r="G738" t="str">
            <v>Ελαιώνες που συνήθως παράγουν ελιές για λάδι</v>
          </cell>
          <cell r="H738">
            <v>1882</v>
          </cell>
          <cell r="K738" t="str">
            <v>Ναι</v>
          </cell>
          <cell r="L738" t="str">
            <v>ΝΑΙ</v>
          </cell>
          <cell r="O738" t="str">
            <v/>
          </cell>
        </row>
        <row r="739">
          <cell r="D739" t="str">
            <v>ΕΛΑΙΩΝΕΣ1000209</v>
          </cell>
          <cell r="E739" t="str">
            <v>KADESH, ΓΙΑ ΠΑΡΑΓΩΓΗ ΕΛΑΙΟΛΑΔΟΥ</v>
          </cell>
          <cell r="F739" t="str">
            <v>B_4_3_2</v>
          </cell>
          <cell r="G739" t="str">
            <v>Ελαιώνες που συνήθως παράγουν ελιές για λάδι</v>
          </cell>
          <cell r="H739">
            <v>1882</v>
          </cell>
          <cell r="K739" t="str">
            <v>Ναι</v>
          </cell>
          <cell r="L739" t="str">
            <v>ΝΑΙ</v>
          </cell>
          <cell r="O739" t="str">
            <v/>
          </cell>
        </row>
        <row r="740">
          <cell r="D740" t="str">
            <v>ΕΛΑΙΩΝΕΣ1000210</v>
          </cell>
          <cell r="E740" t="str">
            <v>SOYRI, ΓΙΑ ΠΑΡΑΓΩΓΗ ΕΛΑΙΟΛΑΔΟΥ</v>
          </cell>
          <cell r="F740" t="str">
            <v>B_4_3_2</v>
          </cell>
          <cell r="G740" t="str">
            <v>Ελαιώνες που συνήθως παράγουν ελιές για λάδι</v>
          </cell>
          <cell r="H740">
            <v>1882</v>
          </cell>
          <cell r="K740" t="str">
            <v>Ναι</v>
          </cell>
          <cell r="L740" t="str">
            <v>ΝΑΙ</v>
          </cell>
          <cell r="O740" t="str">
            <v/>
          </cell>
        </row>
        <row r="741">
          <cell r="D741" t="str">
            <v>ΕΛΑΙΩΝΕΣ1000211</v>
          </cell>
          <cell r="E741" t="str">
            <v>ZARZARIEGA, ΓΙΑ ΠΑΡΑΓΩΓΗ ΕΛΑΙΟΛΑΔΟΥ</v>
          </cell>
          <cell r="F741" t="str">
            <v>B_4_3_2</v>
          </cell>
          <cell r="G741" t="str">
            <v>Ελαιώνες που συνήθως παράγουν ελιές για λάδι</v>
          </cell>
          <cell r="H741">
            <v>1882</v>
          </cell>
          <cell r="K741" t="str">
            <v>Ναι</v>
          </cell>
          <cell r="L741" t="str">
            <v>ΝΑΙ</v>
          </cell>
          <cell r="O741" t="str">
            <v/>
          </cell>
        </row>
        <row r="742">
          <cell r="D742" t="str">
            <v>ΕΛΑΙΩΝΕΣ1000212</v>
          </cell>
          <cell r="E742" t="str">
            <v>CORNICABRA, ΓΙΑ ΠΑΡΑΓΩΓΗ ΕΛΑΙΟΛΑΔΟΥ</v>
          </cell>
          <cell r="F742" t="str">
            <v>B_4_3_2</v>
          </cell>
          <cell r="G742" t="str">
            <v>Ελαιώνες που συνήθως παράγουν ελιές για λάδι</v>
          </cell>
          <cell r="H742">
            <v>1882</v>
          </cell>
          <cell r="K742" t="str">
            <v>Ναι</v>
          </cell>
          <cell r="L742" t="str">
            <v>ΝΑΙ</v>
          </cell>
          <cell r="O742" t="str">
            <v/>
          </cell>
        </row>
        <row r="743">
          <cell r="D743" t="str">
            <v>ΕΛΑΙΩΝΕΣ1000213</v>
          </cell>
          <cell r="E743" t="str">
            <v>ECIJANO, ΓΙΑ ΠΑΡΑΓΩΓΗ ΕΛΑΙΟΛΑΔΟΥ</v>
          </cell>
          <cell r="F743" t="str">
            <v>B_4_3_2</v>
          </cell>
          <cell r="G743" t="str">
            <v>Ελαιώνες που συνήθως παράγουν ελιές για λάδι</v>
          </cell>
          <cell r="H743">
            <v>1882</v>
          </cell>
          <cell r="K743" t="str">
            <v>Ναι</v>
          </cell>
          <cell r="L743" t="str">
            <v>ΝΑΙ</v>
          </cell>
          <cell r="O743" t="str">
            <v/>
          </cell>
        </row>
        <row r="744">
          <cell r="D744" t="str">
            <v>ΕΛΑΙΩΝΕΣ1000214</v>
          </cell>
          <cell r="E744" t="str">
            <v>VERDIAL, ΓΙΑ ΠΑΡΑΓΩΓΗ ΕΛΑΙΟΛΑΔΟΥ</v>
          </cell>
          <cell r="F744" t="str">
            <v>B_4_3_2</v>
          </cell>
          <cell r="G744" t="str">
            <v>Ελαιώνες που συνήθως παράγουν ελιές για λάδι</v>
          </cell>
          <cell r="H744">
            <v>1882</v>
          </cell>
          <cell r="K744" t="str">
            <v>Ναι</v>
          </cell>
          <cell r="L744" t="str">
            <v>ΝΑΙ</v>
          </cell>
          <cell r="O744" t="str">
            <v/>
          </cell>
        </row>
        <row r="745">
          <cell r="D745" t="str">
            <v>ΕΛΑΙΩΝΕΣ1000215</v>
          </cell>
          <cell r="E745" t="str">
            <v>BAROUNI, ΓΙΑ ΠΑΡΑΓΩΓΗ ΕΛΑΙΟΛΑΔΟΥ</v>
          </cell>
          <cell r="F745" t="str">
            <v>B_4_3_2</v>
          </cell>
          <cell r="G745" t="str">
            <v>Ελαιώνες που συνήθως παράγουν ελιές για λάδι</v>
          </cell>
          <cell r="H745">
            <v>1882</v>
          </cell>
          <cell r="K745" t="str">
            <v>Ναι</v>
          </cell>
          <cell r="L745" t="str">
            <v>ΝΑΙ</v>
          </cell>
          <cell r="O745" t="str">
            <v/>
          </cell>
        </row>
        <row r="746">
          <cell r="D746" t="str">
            <v>ΕΛΑΙΩΝΕΣ1000216</v>
          </cell>
          <cell r="E746" t="str">
            <v>PIACENTE, ΓΙΑ ΠΑΡΑΓΩΓΗ ΕΛΑΙΟΛΑΔΟΥ</v>
          </cell>
          <cell r="F746" t="str">
            <v>B_4_3_2</v>
          </cell>
          <cell r="G746" t="str">
            <v>Ελαιώνες που συνήθως παράγουν ελιές για λάδι</v>
          </cell>
          <cell r="H746">
            <v>1882</v>
          </cell>
          <cell r="K746" t="str">
            <v>Ναι</v>
          </cell>
          <cell r="L746" t="str">
            <v>ΝΑΙ</v>
          </cell>
          <cell r="O746" t="str">
            <v/>
          </cell>
        </row>
        <row r="747">
          <cell r="D747" t="str">
            <v>ΕΛΑΙΩΝΕΣ1000217</v>
          </cell>
          <cell r="E747" t="str">
            <v>DOLCE AGOCIA, ΓΙΑ ΠΑΡΑΓΩΓΗ ΕΛΑΙΟΛΑΔΟΥ</v>
          </cell>
          <cell r="F747" t="str">
            <v>B_4_3_2</v>
          </cell>
          <cell r="G747" t="str">
            <v>Ελαιώνες που συνήθως παράγουν ελιές για λάδι</v>
          </cell>
          <cell r="H747">
            <v>1882</v>
          </cell>
          <cell r="K747" t="str">
            <v>Ναι</v>
          </cell>
          <cell r="L747" t="str">
            <v>ΝΑΙ</v>
          </cell>
          <cell r="O747" t="str">
            <v/>
          </cell>
        </row>
        <row r="748">
          <cell r="D748" t="str">
            <v>ΕΛΑΙΩΝΕΣ1000218</v>
          </cell>
          <cell r="E748" t="str">
            <v>HOJIBLANCA, ΓΙΑ ΠΑΡΑΓΩΓΗ ΕΛΑΙΟΛΑΔΟΥ</v>
          </cell>
          <cell r="F748" t="str">
            <v>B_4_3_2</v>
          </cell>
          <cell r="G748" t="str">
            <v>Ελαιώνες που συνήθως παράγουν ελιές για λάδι</v>
          </cell>
          <cell r="H748">
            <v>1882</v>
          </cell>
          <cell r="K748" t="str">
            <v>Ναι</v>
          </cell>
          <cell r="L748" t="str">
            <v>ΝΑΙ</v>
          </cell>
          <cell r="O748" t="str">
            <v/>
          </cell>
        </row>
        <row r="749">
          <cell r="D749" t="str">
            <v>ΕΛΑΙΩΝΕΣ1000219</v>
          </cell>
          <cell r="E749" t="str">
            <v>CORATINA, ΓΙΑ ΠΑΡΑΓΩΓΗ ΕΛΑΙΟΛΑΔΟΥ</v>
          </cell>
          <cell r="F749" t="str">
            <v>B_4_3_2</v>
          </cell>
          <cell r="G749" t="str">
            <v>Ελαιώνες που συνήθως παράγουν ελιές για λάδι</v>
          </cell>
          <cell r="H749">
            <v>1882</v>
          </cell>
          <cell r="K749" t="str">
            <v>Ναι</v>
          </cell>
          <cell r="L749" t="str">
            <v>ΝΑΙ</v>
          </cell>
          <cell r="O749" t="str">
            <v/>
          </cell>
        </row>
        <row r="750">
          <cell r="D750" t="str">
            <v>ΕΛΑΙΩΝΕΣ1000220</v>
          </cell>
          <cell r="E750" t="str">
            <v>NEGRAL, ΓΙΑ ΠΑΡΑΓΩΓΗ ΕΛΑΙΟΛΑΔΟΥ</v>
          </cell>
          <cell r="F750" t="str">
            <v>B_4_3_2</v>
          </cell>
          <cell r="G750" t="str">
            <v>Ελαιώνες που συνήθως παράγουν ελιές για λάδι</v>
          </cell>
          <cell r="H750">
            <v>1882</v>
          </cell>
          <cell r="K750" t="str">
            <v>Ναι</v>
          </cell>
          <cell r="L750" t="str">
            <v>ΝΑΙ</v>
          </cell>
          <cell r="O750" t="str">
            <v/>
          </cell>
        </row>
        <row r="751">
          <cell r="D751" t="str">
            <v>ΕΛΑΙΩΝΕΣ1000221</v>
          </cell>
          <cell r="E751" t="str">
            <v>FARGA, ΓΙΑ ΠΑΡΑΓΩΓΗ ΕΛΑΙΟΛΑΔΟΥ</v>
          </cell>
          <cell r="F751" t="str">
            <v>B_4_3_2</v>
          </cell>
          <cell r="G751" t="str">
            <v>Ελαιώνες που συνήθως παράγουν ελιές για λάδι</v>
          </cell>
          <cell r="H751">
            <v>1882</v>
          </cell>
          <cell r="K751" t="str">
            <v>Ναι</v>
          </cell>
          <cell r="L751" t="str">
            <v>ΝΑΙ</v>
          </cell>
          <cell r="O751" t="str">
            <v/>
          </cell>
        </row>
        <row r="752">
          <cell r="D752" t="str">
            <v>ΕΛΑΙΩΝΕΣ1000222</v>
          </cell>
          <cell r="E752" t="str">
            <v>NABAL, ΓΙΑ ΠΑΡΑΓΩΓΗ ΕΛΑΙΟΛΑΔΟΥ</v>
          </cell>
          <cell r="F752" t="str">
            <v>B_4_3_2</v>
          </cell>
          <cell r="G752" t="str">
            <v>Ελαιώνες που συνήθως παράγουν ελιές για λάδι</v>
          </cell>
          <cell r="H752">
            <v>1882</v>
          </cell>
          <cell r="K752" t="str">
            <v>Ναι</v>
          </cell>
          <cell r="L752" t="str">
            <v>ΝΑΙ</v>
          </cell>
          <cell r="O752" t="str">
            <v/>
          </cell>
        </row>
        <row r="753">
          <cell r="D753" t="str">
            <v>ΕΛΑΙΩΝΕΣ1000223</v>
          </cell>
          <cell r="E753" t="str">
            <v>MORISCA, ΓΙΑ ΠΑΡΑΓΩΓΗ ΕΛΑΙΟΛΑΔΟΥ</v>
          </cell>
          <cell r="F753" t="str">
            <v>B_4_3_2</v>
          </cell>
          <cell r="G753" t="str">
            <v>Ελαιώνες που συνήθως παράγουν ελιές για λάδι</v>
          </cell>
          <cell r="H753">
            <v>1882</v>
          </cell>
          <cell r="K753" t="str">
            <v>Ναι</v>
          </cell>
          <cell r="L753" t="str">
            <v>ΝΑΙ</v>
          </cell>
          <cell r="O753" t="str">
            <v/>
          </cell>
        </row>
        <row r="754">
          <cell r="D754" t="str">
            <v>ΕΛΑΙΩΝΕΣ1000224</v>
          </cell>
          <cell r="E754" t="str">
            <v>EMPELTRE, ΓΙΑ ΠΑΡΑΓΩΓΗ ΕΛΑΙΟΛΑΔΟΥ</v>
          </cell>
          <cell r="F754" t="str">
            <v>B_4_3_2</v>
          </cell>
          <cell r="G754" t="str">
            <v>Ελαιώνες που συνήθως παράγουν ελιές για λάδι</v>
          </cell>
          <cell r="H754">
            <v>1882</v>
          </cell>
          <cell r="K754" t="str">
            <v>Ναι</v>
          </cell>
          <cell r="L754" t="str">
            <v>ΝΑΙ</v>
          </cell>
          <cell r="O754" t="str">
            <v/>
          </cell>
        </row>
        <row r="755">
          <cell r="D755" t="str">
            <v>ΕΛΑΙΩΝΕΣ1000225</v>
          </cell>
          <cell r="E755" t="str">
            <v>CASALIVA, ΓΙΑ ΠΑΡΑΓΩΓΗ ΕΛΑΙΟΛΑΔΟΥ</v>
          </cell>
          <cell r="F755" t="str">
            <v>B_4_3_2</v>
          </cell>
          <cell r="G755" t="str">
            <v>Ελαιώνες που συνήθως παράγουν ελιές για λάδι</v>
          </cell>
          <cell r="H755">
            <v>1882</v>
          </cell>
          <cell r="K755" t="str">
            <v>Ναι</v>
          </cell>
          <cell r="L755" t="str">
            <v>ΝΑΙ</v>
          </cell>
          <cell r="O755" t="str">
            <v/>
          </cell>
        </row>
        <row r="756">
          <cell r="D756" t="str">
            <v>ΕΛΑΙΩΝΕΣ1000226</v>
          </cell>
          <cell r="E756" t="str">
            <v>LEUCOCARPA, ΓΙΑ ΠΑΡΑΓΩΓΗ ΕΛΑΙΟΛΑΔΟΥ</v>
          </cell>
          <cell r="F756" t="str">
            <v>B_4_3_2</v>
          </cell>
          <cell r="G756" t="str">
            <v>Ελαιώνες που συνήθως παράγουν ελιές για λάδι</v>
          </cell>
          <cell r="H756">
            <v>1882</v>
          </cell>
          <cell r="K756" t="str">
            <v>Ναι</v>
          </cell>
          <cell r="L756" t="str">
            <v>ΝΑΙ</v>
          </cell>
          <cell r="O756" t="str">
            <v/>
          </cell>
        </row>
        <row r="757">
          <cell r="D757" t="str">
            <v>ΕΛΑΙΩΝΕΣ1000227</v>
          </cell>
          <cell r="E757" t="str">
            <v>CORNEZUELO, ΓΙΑ ΠΑΡΑΓΩΓΗ ΕΛΑΙΟΛΑΔΟΥ</v>
          </cell>
          <cell r="F757" t="str">
            <v>B_4_3_2</v>
          </cell>
          <cell r="G757" t="str">
            <v>Ελαιώνες που συνήθως παράγουν ελιές για λάδι</v>
          </cell>
          <cell r="H757">
            <v>1882</v>
          </cell>
          <cell r="K757" t="str">
            <v>Ναι</v>
          </cell>
          <cell r="L757" t="str">
            <v>ΝΑΙ</v>
          </cell>
          <cell r="O757" t="str">
            <v/>
          </cell>
        </row>
        <row r="758">
          <cell r="D758" t="str">
            <v>ΕΛΑΙΩΝΕΣ1000228</v>
          </cell>
          <cell r="E758" t="str">
            <v>RAZZOLA, ΓΙΑ ΠΑΡΑΓΩΓΗ ΕΛΑΙΟΛΑΔΟΥ</v>
          </cell>
          <cell r="F758" t="str">
            <v>B_4_3_2</v>
          </cell>
          <cell r="G758" t="str">
            <v>Ελαιώνες που συνήθως παράγουν ελιές για λάδι</v>
          </cell>
          <cell r="H758">
            <v>1882</v>
          </cell>
          <cell r="K758" t="str">
            <v>Ναι</v>
          </cell>
          <cell r="L758" t="str">
            <v>ΝΑΙ</v>
          </cell>
          <cell r="O758" t="str">
            <v/>
          </cell>
        </row>
        <row r="759">
          <cell r="D759" t="str">
            <v>ΕΛΑΙΩΝΕΣ1000229</v>
          </cell>
          <cell r="E759" t="str">
            <v>FECCIARO, ΓΙΑ ΠΑΡΑΓΩΓΗ ΕΛΑΙΟΛΑΔΟΥ</v>
          </cell>
          <cell r="F759" t="str">
            <v>B_4_3_2</v>
          </cell>
          <cell r="G759" t="str">
            <v>Ελαιώνες που συνήθως παράγουν ελιές για λάδι</v>
          </cell>
          <cell r="H759">
            <v>1882</v>
          </cell>
          <cell r="K759" t="str">
            <v>Ναι</v>
          </cell>
          <cell r="L759" t="str">
            <v>ΝΑΙ</v>
          </cell>
          <cell r="O759" t="str">
            <v/>
          </cell>
        </row>
        <row r="760">
          <cell r="D760" t="str">
            <v>ΕΛΑΙΩΝΕΣ1000230</v>
          </cell>
          <cell r="E760" t="str">
            <v>CUCCO, ΓΙΑ ΠΑΡΑΓΩΓΗ ΕΛΑΙΟΛΑΔΟΥ</v>
          </cell>
          <cell r="F760" t="str">
            <v>B_4_3_2</v>
          </cell>
          <cell r="G760" t="str">
            <v>Ελαιώνες που συνήθως παράγουν ελιές για λάδι</v>
          </cell>
          <cell r="H760">
            <v>1882</v>
          </cell>
          <cell r="K760" t="str">
            <v>Ναι</v>
          </cell>
          <cell r="L760" t="str">
            <v>ΝΑΙ</v>
          </cell>
          <cell r="O760" t="str">
            <v/>
          </cell>
        </row>
        <row r="761">
          <cell r="D761" t="str">
            <v>ΕΛΑΙΩΝΕΣ1000231</v>
          </cell>
          <cell r="E761" t="str">
            <v>MAURINO, ΓΙΑ ΠΑΡΑΓΩΓΗ ΕΛΑΙΟΛΑΔΟΥ</v>
          </cell>
          <cell r="F761" t="str">
            <v>B_4_3_2</v>
          </cell>
          <cell r="G761" t="str">
            <v>Ελαιώνες που συνήθως παράγουν ελιές για λάδι</v>
          </cell>
          <cell r="H761">
            <v>1882</v>
          </cell>
          <cell r="K761" t="str">
            <v>Ναι</v>
          </cell>
          <cell r="L761" t="str">
            <v>ΝΑΙ</v>
          </cell>
          <cell r="O761" t="str">
            <v/>
          </cell>
        </row>
        <row r="762">
          <cell r="D762" t="str">
            <v>ΕΛΑΙΩΝΕΣ1000589</v>
          </cell>
          <cell r="E762" t="str">
            <v>ΘΙΑΚΗ (ΑΝΩ ΗΣΑΝΑ, ΘΙΑΚΟ, ΠΛΕΞΙΔΕΝΙΑ, ΝΤΟΠΙΑ), ΓΙΑ ΠΑΡΑΓΩΓΗ ΕΛΑΙΟΛΑΔΟΥ</v>
          </cell>
          <cell r="F762" t="str">
            <v>B_4_3_2</v>
          </cell>
          <cell r="G762" t="str">
            <v>Ελαιώνες που συνήθως παράγουν ελιές για λάδι</v>
          </cell>
          <cell r="H762">
            <v>1882</v>
          </cell>
          <cell r="K762" t="str">
            <v>Ναι</v>
          </cell>
          <cell r="L762" t="str">
            <v>ΝΑΙ</v>
          </cell>
          <cell r="O762" t="str">
            <v/>
          </cell>
        </row>
        <row r="763">
          <cell r="D763" t="str">
            <v>ΕΛΑΙΩΝΕΣ1000648</v>
          </cell>
          <cell r="E763" t="str">
            <v>ΑΓΙΟΡΙΤΙΚΗ, ΓΙΑ ΠΑΡΑΓΩΓΗ ΕΛΑΙΟΛΑΔΟΥ</v>
          </cell>
          <cell r="F763" t="str">
            <v>B_4_3_2</v>
          </cell>
          <cell r="G763" t="str">
            <v>Ελαιώνες που συνήθως παράγουν ελιές για λάδι</v>
          </cell>
          <cell r="H763">
            <v>1882</v>
          </cell>
          <cell r="K763" t="str">
            <v>Ναι</v>
          </cell>
          <cell r="L763" t="str">
            <v>ΝΑΙ</v>
          </cell>
          <cell r="O763" t="str">
            <v/>
          </cell>
        </row>
        <row r="764">
          <cell r="D764" t="str">
            <v>ΕΛΑΙΩΝΕΣ1000649</v>
          </cell>
          <cell r="E764" t="str">
            <v>BLANQUETA, ΓΙΑ ΠΑΡΑΓΩΓΗ ΕΛΑΙΟΛΑΔΟΥ</v>
          </cell>
          <cell r="F764" t="str">
            <v>B_4_3_2</v>
          </cell>
          <cell r="G764" t="str">
            <v>Ελαιώνες που συνήθως παράγουν ελιές για λάδι</v>
          </cell>
          <cell r="H764">
            <v>1882</v>
          </cell>
          <cell r="K764" t="str">
            <v>Ναι</v>
          </cell>
          <cell r="L764" t="str">
            <v>ΝΑΙ</v>
          </cell>
          <cell r="O764" t="str">
            <v/>
          </cell>
        </row>
        <row r="765">
          <cell r="D765" t="str">
            <v>ΕΛΑΙΩΝΕΣ1000650</v>
          </cell>
          <cell r="E765" t="str">
            <v>BLANQUETA DE ELVAS, ΓΙΑ ΠΑΡΑΓΩΓΗ ΕΛΑΙΟΛΑΔΟΥ</v>
          </cell>
          <cell r="F765" t="str">
            <v>B_4_3_2</v>
          </cell>
          <cell r="G765" t="str">
            <v>Ελαιώνες που συνήθως παράγουν ελιές για λάδι</v>
          </cell>
          <cell r="H765">
            <v>1882</v>
          </cell>
          <cell r="K765" t="str">
            <v>Ναι</v>
          </cell>
          <cell r="L765" t="str">
            <v>ΝΑΙ</v>
          </cell>
          <cell r="O765" t="str">
            <v/>
          </cell>
        </row>
        <row r="766">
          <cell r="D766" t="str">
            <v>ΕΛΑΙΩΝΕΣ1000651</v>
          </cell>
          <cell r="E766" t="str">
            <v>BOUTEILLAN, ΓΙΑ ΠΑΡΑΓΩΓΗ ΕΛΑΙΟΛΑΔΟΥ</v>
          </cell>
          <cell r="F766" t="str">
            <v>B_4_3_2</v>
          </cell>
          <cell r="G766" t="str">
            <v>Ελαιώνες που συνήθως παράγουν ελιές για λάδι</v>
          </cell>
          <cell r="H766">
            <v>1882</v>
          </cell>
          <cell r="K766" t="str">
            <v>Ναι</v>
          </cell>
          <cell r="L766" t="str">
            <v>ΝΑΙ</v>
          </cell>
          <cell r="O766" t="str">
            <v/>
          </cell>
        </row>
        <row r="767">
          <cell r="D767" t="str">
            <v>ΕΛΑΙΩΝΕΣ1000652</v>
          </cell>
          <cell r="E767" t="str">
            <v>ΓΑΛΑΤΣΑΝΙΚΗ, ΓΙΑ ΠΑΡΑΓΩΓΗ ΕΛΑΙΟΛΑΔΟΥ</v>
          </cell>
          <cell r="F767" t="str">
            <v>B_4_3_2</v>
          </cell>
          <cell r="G767" t="str">
            <v>Ελαιώνες που συνήθως παράγουν ελιές για λάδι</v>
          </cell>
          <cell r="H767">
            <v>1882</v>
          </cell>
          <cell r="K767" t="str">
            <v>Ναι</v>
          </cell>
          <cell r="L767" t="str">
            <v>ΝΑΙ</v>
          </cell>
          <cell r="O767" t="str">
            <v/>
          </cell>
        </row>
        <row r="768">
          <cell r="D768" t="str">
            <v>ΕΛΑΙΩΝΕΣ1000653</v>
          </cell>
          <cell r="E768" t="str">
            <v>ΖΑΚΥΝΘΟΥ, ΓΙΑ ΠΑΡΑΓΩΓΗ ΕΛΑΙΟΛΑΔΟΥ</v>
          </cell>
          <cell r="F768" t="str">
            <v>B_4_3_2</v>
          </cell>
          <cell r="G768" t="str">
            <v>Ελαιώνες που συνήθως παράγουν ελιές για λάδι</v>
          </cell>
          <cell r="H768">
            <v>1882</v>
          </cell>
          <cell r="K768" t="str">
            <v>Ναι</v>
          </cell>
          <cell r="L768" t="str">
            <v>ΝΑΙ</v>
          </cell>
          <cell r="O768" t="str">
            <v/>
          </cell>
        </row>
        <row r="769">
          <cell r="D769" t="str">
            <v>ΕΛΑΙΩΝΕΣ1000654</v>
          </cell>
          <cell r="E769" t="str">
            <v>FRANCIVENTO, ΓΙΑ ΠΑΡΑΓΩΓΗ ΕΛΑΙΟΛΑΔΟΥ</v>
          </cell>
          <cell r="F769" t="str">
            <v>B_4_3_2</v>
          </cell>
          <cell r="G769" t="str">
            <v>Ελαιώνες που συνήθως παράγουν ελιές για λάδι</v>
          </cell>
          <cell r="H769">
            <v>1882</v>
          </cell>
          <cell r="K769" t="str">
            <v>Ναι</v>
          </cell>
          <cell r="L769" t="str">
            <v>ΝΑΙ</v>
          </cell>
          <cell r="O769" t="str">
            <v/>
          </cell>
        </row>
        <row r="770">
          <cell r="D770" t="str">
            <v>ΕΛΑΙΩΝΕΣ1000655</v>
          </cell>
          <cell r="E770" t="str">
            <v>GORDAL SEVILLANA, ΓΙΑ ΠΑΡΑΓΩΓΗ ΕΛΑΙΟΛΑΔΟΥ</v>
          </cell>
          <cell r="F770" t="str">
            <v>B_4_3_2</v>
          </cell>
          <cell r="G770" t="str">
            <v>Ελαιώνες που συνήθως παράγουν ελιές για λάδι</v>
          </cell>
          <cell r="H770">
            <v>1882</v>
          </cell>
          <cell r="K770" t="str">
            <v>Ναι</v>
          </cell>
          <cell r="L770" t="str">
            <v>ΝΑΙ</v>
          </cell>
          <cell r="O770" t="str">
            <v/>
          </cell>
        </row>
        <row r="771">
          <cell r="D771" t="str">
            <v>ΕΛΑΙΩΝΕΣ1000656</v>
          </cell>
          <cell r="E771" t="str">
            <v>GRAPPOLO, ΓΙΑ ΠΑΡΑΓΩΓΗ ΕΛΑΙΟΛΑΔΟΥ</v>
          </cell>
          <cell r="F771" t="str">
            <v>B_4_3_2</v>
          </cell>
          <cell r="G771" t="str">
            <v>Ελαιώνες που συνήθως παράγουν ελιές για λάδι</v>
          </cell>
          <cell r="H771">
            <v>1882</v>
          </cell>
          <cell r="K771" t="str">
            <v>Ναι</v>
          </cell>
          <cell r="L771" t="str">
            <v>ΝΑΙ</v>
          </cell>
          <cell r="O771" t="str">
            <v/>
          </cell>
        </row>
        <row r="772">
          <cell r="D772" t="str">
            <v>ΕΛΑΙΩΝΕΣ1000657</v>
          </cell>
          <cell r="E772" t="str">
            <v>LECHIO DEL CORNO, ΓΙΑ ΠΑΡΑΓΩΓΗ ΕΛΑΙΟΛΑΔΟΥ</v>
          </cell>
          <cell r="F772" t="str">
            <v>B_4_3_2</v>
          </cell>
          <cell r="G772" t="str">
            <v>Ελαιώνες που συνήθως παράγουν ελιές για λάδι</v>
          </cell>
          <cell r="H772">
            <v>1882</v>
          </cell>
          <cell r="K772" t="str">
            <v>Ναι</v>
          </cell>
          <cell r="L772" t="str">
            <v>ΝΑΙ</v>
          </cell>
          <cell r="O772" t="str">
            <v/>
          </cell>
        </row>
        <row r="773">
          <cell r="D773" t="str">
            <v>ΕΛΑΙΩΝΕΣ1000658</v>
          </cell>
          <cell r="E773" t="str">
            <v>ΛΕΥΚΑΔΑΣ ΑΣΠΡΟΛΙΑ, ΓΙΑ ΠΑΡΑΓΩΓΗ ΕΛΑΙΟΛΑΔΟΥ</v>
          </cell>
          <cell r="F773" t="str">
            <v>B_4_3_2</v>
          </cell>
          <cell r="G773" t="str">
            <v>Ελαιώνες που συνήθως παράγουν ελιές για λάδι</v>
          </cell>
          <cell r="H773">
            <v>1882</v>
          </cell>
          <cell r="K773" t="str">
            <v>Ναι</v>
          </cell>
          <cell r="L773" t="str">
            <v>ΝΑΙ</v>
          </cell>
          <cell r="O773" t="str">
            <v/>
          </cell>
        </row>
        <row r="774">
          <cell r="D774" t="str">
            <v>ΕΛΑΙΩΝΕΣ1000659</v>
          </cell>
          <cell r="E774" t="str">
            <v>MANZANILLA DE CARMONA, ΓΙΑ ΠΑΡΑΓΩΓΗ ΕΛΑΙΟΛΑΔΟΥ</v>
          </cell>
          <cell r="F774" t="str">
            <v>B_4_3_2</v>
          </cell>
          <cell r="G774" t="str">
            <v>Ελαιώνες που συνήθως παράγουν ελιές για λάδι</v>
          </cell>
          <cell r="H774">
            <v>1882</v>
          </cell>
          <cell r="K774" t="str">
            <v>Ναι</v>
          </cell>
          <cell r="L774" t="str">
            <v>ΝΑΙ</v>
          </cell>
          <cell r="O774" t="str">
            <v/>
          </cell>
        </row>
        <row r="775">
          <cell r="D775" t="str">
            <v>ΕΛΑΙΩΝΕΣ1000660</v>
          </cell>
          <cell r="E775" t="str">
            <v>MANZANILLA ISR., ΓΙΑ ΠΑΡΑΓΩΓΗ ΕΛΑΙΟΛΑΔΟΥ</v>
          </cell>
          <cell r="F775" t="str">
            <v>B_4_3_2</v>
          </cell>
          <cell r="G775" t="str">
            <v>Ελαιώνες που συνήθως παράγουν ελιές για λάδι</v>
          </cell>
          <cell r="H775">
            <v>1882</v>
          </cell>
          <cell r="K775" t="str">
            <v>Ναι</v>
          </cell>
          <cell r="L775" t="str">
            <v>ΝΑΙ</v>
          </cell>
          <cell r="O775" t="str">
            <v/>
          </cell>
        </row>
        <row r="776">
          <cell r="D776" t="str">
            <v>ΕΛΑΙΩΝΕΣ1000661</v>
          </cell>
          <cell r="E776" t="str">
            <v>MANZANILLA NORMAL, ΓΙΑ ΠΑΡΑΓΩΓΗ ΕΛΑΙΟΛΑΔΟΥ</v>
          </cell>
          <cell r="F776" t="str">
            <v>B_4_3_2</v>
          </cell>
          <cell r="G776" t="str">
            <v>Ελαιώνες που συνήθως παράγουν ελιές για λάδι</v>
          </cell>
          <cell r="H776">
            <v>1882</v>
          </cell>
          <cell r="K776" t="str">
            <v>Ναι</v>
          </cell>
          <cell r="L776" t="str">
            <v>ΝΑΙ</v>
          </cell>
          <cell r="O776" t="str">
            <v/>
          </cell>
        </row>
        <row r="777">
          <cell r="D777" t="str">
            <v>ΕΛΑΙΩΝΕΣ1000662</v>
          </cell>
          <cell r="E777" t="str">
            <v>MAROCAN PICHOLINE, ΓΙΑ ΠΑΡΑΓΩΓΗ ΕΛΑΙΟΛΑΔΟΥ</v>
          </cell>
          <cell r="F777" t="str">
            <v>B_4_3_2</v>
          </cell>
          <cell r="G777" t="str">
            <v>Ελαιώνες που συνήθως παράγουν ελιές για λάδι</v>
          </cell>
          <cell r="H777">
            <v>1882</v>
          </cell>
          <cell r="K777" t="str">
            <v>Ναι</v>
          </cell>
          <cell r="L777" t="str">
            <v>ΝΑΙ</v>
          </cell>
          <cell r="O777" t="str">
            <v/>
          </cell>
        </row>
        <row r="778">
          <cell r="D778" t="str">
            <v>ΕΛΑΙΩΝΕΣ1000663</v>
          </cell>
          <cell r="E778" t="str">
            <v>ΜΑΡΩΝΕΙΑΣ, ΓΙΑ ΠΑΡΑΓΩΓΗ ΕΛΑΙΟΛΑΔΟΥ</v>
          </cell>
          <cell r="F778" t="str">
            <v>B_4_3_2</v>
          </cell>
          <cell r="G778" t="str">
            <v>Ελαιώνες που συνήθως παράγουν ελιές για λάδι</v>
          </cell>
          <cell r="H778">
            <v>1882</v>
          </cell>
          <cell r="K778" t="str">
            <v>Ναι</v>
          </cell>
          <cell r="L778" t="str">
            <v>ΝΑΙ</v>
          </cell>
          <cell r="O778" t="str">
            <v/>
          </cell>
        </row>
        <row r="779">
          <cell r="D779" t="str">
            <v>ΕΛΑΙΩΝΕΣ1000664</v>
          </cell>
          <cell r="E779" t="str">
            <v>MERHAVIA, ΓΙΑ ΠΑΡΑΓΩΓΗ ΕΛΑΙΟΛΑΔΟΥ</v>
          </cell>
          <cell r="F779" t="str">
            <v>B_4_3_2</v>
          </cell>
          <cell r="G779" t="str">
            <v>Ελαιώνες που συνήθως παράγουν ελιές για λάδι</v>
          </cell>
          <cell r="H779">
            <v>1882</v>
          </cell>
          <cell r="K779" t="str">
            <v>Ναι</v>
          </cell>
          <cell r="L779" t="str">
            <v>ΝΑΙ</v>
          </cell>
          <cell r="O779" t="str">
            <v/>
          </cell>
        </row>
        <row r="780">
          <cell r="D780" t="str">
            <v>ΕΛΑΙΩΝΕΣ1000665</v>
          </cell>
          <cell r="E780" t="str">
            <v>NASUICHI, ΓΙΑ ΠΑΡΑΓΩΓΗ ΕΛΑΙΟΛΑΔΟΥ</v>
          </cell>
          <cell r="F780" t="str">
            <v>B_4_3_2</v>
          </cell>
          <cell r="G780" t="str">
            <v>Ελαιώνες που συνήθως παράγουν ελιές για λάδι</v>
          </cell>
          <cell r="H780">
            <v>1882</v>
          </cell>
          <cell r="K780" t="str">
            <v>Ναι</v>
          </cell>
          <cell r="L780" t="str">
            <v>ΝΑΙ</v>
          </cell>
          <cell r="O780" t="str">
            <v/>
          </cell>
        </row>
        <row r="781">
          <cell r="D781" t="str">
            <v>ΕΛΑΙΩΝΕΣ1000666</v>
          </cell>
          <cell r="E781" t="str">
            <v>NEVADILLO BLANCO, ΓΙΑ ΠΑΡΑΓΩΓΗ ΕΛΑΙΟΛΑΔΟΥ</v>
          </cell>
          <cell r="F781" t="str">
            <v>B_4_3_2</v>
          </cell>
          <cell r="G781" t="str">
            <v>Ελαιώνες που συνήθως παράγουν ελιές για λάδι</v>
          </cell>
          <cell r="H781">
            <v>1882</v>
          </cell>
          <cell r="K781" t="str">
            <v>Ναι</v>
          </cell>
          <cell r="L781" t="str">
            <v>ΝΑΙ</v>
          </cell>
          <cell r="O781" t="str">
            <v/>
          </cell>
        </row>
        <row r="782">
          <cell r="D782" t="str">
            <v>ΕΛΑΙΩΝΕΣ1000667</v>
          </cell>
          <cell r="E782" t="str">
            <v>NEVADILLO NEGRO, ΓΙΑ ΠΑΡΑΓΩΓΗ ΕΛΑΙΟΛΑΔΟΥ</v>
          </cell>
          <cell r="F782" t="str">
            <v>B_4_3_2</v>
          </cell>
          <cell r="G782" t="str">
            <v>Ελαιώνες που συνήθως παράγουν ελιές για λάδι</v>
          </cell>
          <cell r="H782">
            <v>1882</v>
          </cell>
          <cell r="K782" t="str">
            <v>Ναι</v>
          </cell>
          <cell r="L782" t="str">
            <v>ΝΑΙ</v>
          </cell>
          <cell r="O782" t="str">
            <v/>
          </cell>
        </row>
        <row r="783">
          <cell r="D783" t="str">
            <v>ΕΛΑΙΩΝΕΣ1000668</v>
          </cell>
          <cell r="E783" t="str">
            <v>OLIVA DE CERIGNOLA, ΓΙΑ ΠΑΡΑΓΩΓΗ ΕΛΑΙΟΛΑΔΟΥ</v>
          </cell>
          <cell r="F783" t="str">
            <v>B_4_3_2</v>
          </cell>
          <cell r="G783" t="str">
            <v>Ελαιώνες που συνήθως παράγουν ελιές για λάδι</v>
          </cell>
          <cell r="H783">
            <v>1882</v>
          </cell>
          <cell r="K783" t="str">
            <v>Ναι</v>
          </cell>
          <cell r="L783" t="str">
            <v>ΝΑΙ</v>
          </cell>
          <cell r="O783" t="str">
            <v/>
          </cell>
        </row>
        <row r="784">
          <cell r="D784" t="str">
            <v>ΕΛΑΙΩΝΕΣ1000669</v>
          </cell>
          <cell r="E784" t="str">
            <v>PENDOLINO, ΓΙΑ ΠΑΡΑΓΩΓΗ ΕΛΑΙΟΛΑΔΟΥ</v>
          </cell>
          <cell r="F784" t="str">
            <v>B_4_3_2</v>
          </cell>
          <cell r="G784" t="str">
            <v>Ελαιώνες που συνήθως παράγουν ελιές για λάδι</v>
          </cell>
          <cell r="H784">
            <v>1882</v>
          </cell>
          <cell r="K784" t="str">
            <v>Ναι</v>
          </cell>
          <cell r="L784" t="str">
            <v>ΝΑΙ</v>
          </cell>
          <cell r="O784" t="str">
            <v/>
          </cell>
        </row>
        <row r="785">
          <cell r="D785" t="str">
            <v>ΕΛΑΙΩΝΕΣ1000670</v>
          </cell>
          <cell r="E785" t="str">
            <v>ΡΑΧΑΤΗ, ΓΙΑ ΠΑΡΑΓΩΓΗ ΕΛΑΙΟΛΑΔΟΥ</v>
          </cell>
          <cell r="F785" t="str">
            <v>B_4_3_2</v>
          </cell>
          <cell r="G785" t="str">
            <v>Ελαιώνες που συνήθως παράγουν ελιές για λάδι</v>
          </cell>
          <cell r="H785">
            <v>1882</v>
          </cell>
          <cell r="K785" t="str">
            <v>Ναι</v>
          </cell>
          <cell r="L785" t="str">
            <v>ΝΑΙ</v>
          </cell>
          <cell r="O785" t="str">
            <v/>
          </cell>
        </row>
        <row r="786">
          <cell r="D786" t="str">
            <v>ΕΛΑΙΩΝΕΣ1000671</v>
          </cell>
          <cell r="E786" t="str">
            <v>REAL SEVILLANA, ΓΙΑ ΠΑΡΑΓΩΓΗ ΕΛΑΙΟΛΑΔΟΥ</v>
          </cell>
          <cell r="F786" t="str">
            <v>B_4_3_2</v>
          </cell>
          <cell r="G786" t="str">
            <v>Ελαιώνες που συνήθως παράγουν ελιές για λάδι</v>
          </cell>
          <cell r="H786">
            <v>1882</v>
          </cell>
          <cell r="K786" t="str">
            <v>Ναι</v>
          </cell>
          <cell r="L786" t="str">
            <v>ΝΑΙ</v>
          </cell>
          <cell r="O786" t="str">
            <v/>
          </cell>
        </row>
        <row r="787">
          <cell r="D787" t="str">
            <v>ΕΛΑΙΩΝΕΣ1000672</v>
          </cell>
          <cell r="E787" t="str">
            <v>ΡΟΒΙΩΝ (ΠΡΑΣΙΝΗ), ΓΙΑ ΠΑΡΑΓΩΓΗ ΕΛΑΙΟΛΑΔΟΥ</v>
          </cell>
          <cell r="F787" t="str">
            <v>B_4_3_2</v>
          </cell>
          <cell r="G787" t="str">
            <v>Ελαιώνες που συνήθως παράγουν ελιές για λάδι</v>
          </cell>
          <cell r="H787">
            <v>1882</v>
          </cell>
          <cell r="K787" t="str">
            <v>Ναι</v>
          </cell>
          <cell r="L787" t="str">
            <v>ΝΑΙ</v>
          </cell>
          <cell r="O787" t="str">
            <v/>
          </cell>
        </row>
        <row r="788">
          <cell r="D788" t="str">
            <v>ΕΛΑΙΩΝΕΣ1000673</v>
          </cell>
          <cell r="E788" t="str">
            <v>ROSCIOLA, ΓΙΑ ΠΑΡΑΓΩΓΗ ΕΛΑΙΟΛΑΔΟΥ</v>
          </cell>
          <cell r="F788" t="str">
            <v>B_4_3_2</v>
          </cell>
          <cell r="G788" t="str">
            <v>Ελαιώνες που συνήθως παράγουν ελιές για λάδι</v>
          </cell>
          <cell r="H788">
            <v>1882</v>
          </cell>
          <cell r="K788" t="str">
            <v>Ναι</v>
          </cell>
          <cell r="L788" t="str">
            <v>ΝΑΙ</v>
          </cell>
          <cell r="O788" t="str">
            <v/>
          </cell>
        </row>
        <row r="789">
          <cell r="D789" t="str">
            <v>ΕΛΑΙΩΝΕΣ1000674</v>
          </cell>
          <cell r="E789" t="str">
            <v>SDE ELIAO, ΓΙΑ ΠΑΡΑΓΩΓΗ ΕΛΑΙΟΛΑΔΟΥ</v>
          </cell>
          <cell r="F789" t="str">
            <v>B_4_3_2</v>
          </cell>
          <cell r="G789" t="str">
            <v>Ελαιώνες που συνήθως παράγουν ελιές για λάδι</v>
          </cell>
          <cell r="H789">
            <v>1882</v>
          </cell>
          <cell r="K789" t="str">
            <v>Ναι</v>
          </cell>
          <cell r="L789" t="str">
            <v>ΝΑΙ</v>
          </cell>
          <cell r="O789" t="str">
            <v/>
          </cell>
        </row>
        <row r="790">
          <cell r="D790" t="str">
            <v>ΕΛΑΙΩΝΕΣ1000675</v>
          </cell>
          <cell r="E790" t="str">
            <v>SORANI, ΓΙΑ ΠΑΡΑΓΩΓΗ ΕΛΑΙΟΛΑΔΟΥ</v>
          </cell>
          <cell r="F790" t="str">
            <v>B_4_3_2</v>
          </cell>
          <cell r="G790" t="str">
            <v>Ελαιώνες που συνήθως παράγουν ελιές για λάδι</v>
          </cell>
          <cell r="H790">
            <v>1882</v>
          </cell>
          <cell r="K790" t="str">
            <v>Ναι</v>
          </cell>
          <cell r="L790" t="str">
            <v>ΝΑΙ</v>
          </cell>
          <cell r="O790" t="str">
            <v/>
          </cell>
        </row>
        <row r="791">
          <cell r="D791" t="str">
            <v>ΕΛΑΙΩΝΕΣ1000676</v>
          </cell>
          <cell r="E791" t="str">
            <v>TEMPIANILLO LUCENA, ΓΙΑ ΠΑΡΑΓΩΓΗ ΕΛΑΙΟΛΑΔΟΥ</v>
          </cell>
          <cell r="F791" t="str">
            <v>B_4_3_2</v>
          </cell>
          <cell r="G791" t="str">
            <v>Ελαιώνες που συνήθως παράγουν ελιές για λάδι</v>
          </cell>
          <cell r="H791">
            <v>1882</v>
          </cell>
          <cell r="K791" t="str">
            <v>Ναι</v>
          </cell>
          <cell r="L791" t="str">
            <v>ΝΑΙ</v>
          </cell>
          <cell r="O791" t="str">
            <v/>
          </cell>
        </row>
        <row r="792">
          <cell r="D792" t="str">
            <v>ΕΛΑΙΩΝΕΣ1000677</v>
          </cell>
          <cell r="E792" t="str">
            <v>ZORZALENO, ΓΙΑ ΠΑΡΑΓΩΓΗ ΕΛΑΙΟΛΑΔΟΥ</v>
          </cell>
          <cell r="F792" t="str">
            <v>B_4_3_2</v>
          </cell>
          <cell r="G792" t="str">
            <v>Ελαιώνες που συνήθως παράγουν ελιές για λάδι</v>
          </cell>
          <cell r="H792">
            <v>1882</v>
          </cell>
          <cell r="K792" t="str">
            <v>Ναι</v>
          </cell>
          <cell r="L792" t="str">
            <v>ΝΑΙ</v>
          </cell>
          <cell r="O792" t="str">
            <v/>
          </cell>
        </row>
        <row r="793">
          <cell r="D793" t="str">
            <v>ΕΛΑΙΩΝΕΣ1001000</v>
          </cell>
          <cell r="E793" t="str">
            <v>ΧΩΡΙΣ ΚΑΛΛΙΕΡΓΕΙΑ, ΓΙΑ ΠΑΡΑΓΩΓΗ ΕΛΑΙΟΛΑΔΟΥ</v>
          </cell>
          <cell r="F793" t="str">
            <v>B_4_3_2</v>
          </cell>
          <cell r="G793" t="str">
            <v>Ελαιώνες που συνήθως παράγουν ελιές για λάδι</v>
          </cell>
          <cell r="H793">
            <v>1882</v>
          </cell>
          <cell r="K793" t="str">
            <v>Ναι</v>
          </cell>
          <cell r="L793" t="str">
            <v>ΝΑΙ</v>
          </cell>
          <cell r="O793" t="str">
            <v/>
          </cell>
        </row>
        <row r="794">
          <cell r="D794" t="str">
            <v>ΕΛΑΙΩΝΕΣ1008191</v>
          </cell>
          <cell r="E794" t="str">
            <v>ΕΛΑΙΩΝΕΣ ΓΙΑ ΠΑΡΑΓΩΓΗ ΕΛΑΙΟΛΑΔΟΥ - ΛΟΙΠΕΣ, ΓΙΑ ΠΑΡΑΓΩΓΗ ΕΛΑΙΟΛΑΔΟΥ</v>
          </cell>
          <cell r="F794" t="str">
            <v>B_4_3_2</v>
          </cell>
          <cell r="G794" t="str">
            <v>Ελαιώνες που συνήθως παράγουν ελιές για λάδι</v>
          </cell>
          <cell r="H794">
            <v>1882</v>
          </cell>
          <cell r="K794" t="str">
            <v>Ναι</v>
          </cell>
          <cell r="L794" t="str">
            <v>ΝΑΙ</v>
          </cell>
          <cell r="O794" t="str">
            <v/>
          </cell>
        </row>
        <row r="795">
          <cell r="D795" t="str">
            <v>ΕΛΑΙΩΝΕΣ153</v>
          </cell>
          <cell r="E795" t="str">
            <v>ΑΜΦΙΣΣΗΣ (ΒΟΛΙΩΤΙΚΗ, ΠΗΛΙΟΥ, ΣΤΥΛΙΔΟΣ, ΑΓΡΙΝΙΟΥ)</v>
          </cell>
          <cell r="K795" t="str">
            <v>Ναι</v>
          </cell>
          <cell r="L795" t="str">
            <v>ΝΑΙ</v>
          </cell>
          <cell r="O795" t="str">
            <v/>
          </cell>
        </row>
        <row r="796">
          <cell r="D796" t="str">
            <v>ΕΛΑΙΩΝΕΣ154</v>
          </cell>
          <cell r="E796" t="str">
            <v>ΑΜΥΓΔΑΛΟΛΗΑ (ΣΤΡΑΒΟΜΥΤΑ, ΚΟΥΡΟΜΥΤΑ)</v>
          </cell>
          <cell r="K796" t="str">
            <v>Ναι</v>
          </cell>
          <cell r="L796" t="str">
            <v>ΝΑΙ</v>
          </cell>
          <cell r="O796" t="str">
            <v/>
          </cell>
        </row>
        <row r="797">
          <cell r="D797" t="str">
            <v>ΕΛΑΙΩΝΕΣ155</v>
          </cell>
          <cell r="E797" t="str">
            <v>ΑΔΡΑΜΥΤΤΙΝΗ (ΑΔΡΑΜΥΤΙΚΗ ΛΕΣΒΟΥ, ΑΙΒΑΛΙΩΤΙΚΗ, ΦΡΑΓΚ)</v>
          </cell>
          <cell r="K797" t="str">
            <v>Ναι</v>
          </cell>
          <cell r="L797" t="str">
            <v>ΝΑΙ</v>
          </cell>
          <cell r="O797" t="str">
            <v/>
          </cell>
        </row>
        <row r="798">
          <cell r="D798" t="str">
            <v>ΕΛΑΙΩΝΕΣ156</v>
          </cell>
          <cell r="E798" t="str">
            <v>ΑΓΟΥΡΟΜΑΝΑΚΟΛΙΑ (ΑΓΟΥΡΟΜΑΝΑΚΟ, ΑΓΟΥΡΟΜΑΝΑΚΙ)</v>
          </cell>
          <cell r="K798" t="str">
            <v>Ναι</v>
          </cell>
          <cell r="L798" t="str">
            <v>ΝΑΙ</v>
          </cell>
          <cell r="O798" t="str">
            <v/>
          </cell>
        </row>
        <row r="799">
          <cell r="D799" t="str">
            <v>ΕΛΑΙΩΝΕΣ157</v>
          </cell>
          <cell r="E799" t="str">
            <v>ARBEQUINE (ARBEQUINA, ARBEQUIN)</v>
          </cell>
          <cell r="K799" t="str">
            <v>Ναι</v>
          </cell>
          <cell r="L799" t="str">
            <v>ΝΑΙ</v>
          </cell>
          <cell r="O799" t="str">
            <v/>
          </cell>
        </row>
        <row r="800">
          <cell r="D800" t="str">
            <v>ΕΛΑΙΩΝΕΣ158</v>
          </cell>
          <cell r="E800" t="str">
            <v>ΒΑΣΙΛΙΚΑΔΑ (ΒΑΣΙΛΙΚΗ)</v>
          </cell>
          <cell r="K800" t="str">
            <v>Ναι</v>
          </cell>
          <cell r="L800" t="str">
            <v>ΝΑΙ</v>
          </cell>
          <cell r="O800" t="str">
            <v/>
          </cell>
        </row>
        <row r="801">
          <cell r="D801" t="str">
            <v>ΕΛΑΙΩΝΕΣ159</v>
          </cell>
          <cell r="E801" t="str">
            <v>ΒΑΛΑΝΟΛΙΑ (ΜΥΤΙΛΙΝΙΑ, ΚΟΛΟΒΗ, ΒΑΛΑΝΑ)</v>
          </cell>
          <cell r="K801" t="str">
            <v>Ναι</v>
          </cell>
          <cell r="L801" t="str">
            <v>ΝΑΙ</v>
          </cell>
          <cell r="O801" t="str">
            <v/>
          </cell>
        </row>
        <row r="802">
          <cell r="D802" t="str">
            <v>ΕΛΑΙΩΝΕΣ160</v>
          </cell>
          <cell r="E802" t="str">
            <v>ΓΑΙΔΟΥΡΕΛΙΑ (ΔΑΜΑΣΚΗΝΑΤΗ, ΑΔΡΟΚΑΡΠΗ)</v>
          </cell>
          <cell r="K802" t="str">
            <v>Ναι</v>
          </cell>
          <cell r="L802" t="str">
            <v>ΝΑΙ</v>
          </cell>
          <cell r="O802" t="str">
            <v/>
          </cell>
        </row>
        <row r="803">
          <cell r="D803" t="str">
            <v>ΕΛΑΙΩΝΕΣ161</v>
          </cell>
          <cell r="E803" t="str">
            <v>ΔΑΜΑΣΚΗΝΑΤΗ ΛΕΣΒΟΥ</v>
          </cell>
          <cell r="K803" t="str">
            <v>Ναι</v>
          </cell>
          <cell r="L803" t="str">
            <v>ΝΑΙ</v>
          </cell>
          <cell r="O803" t="str">
            <v/>
          </cell>
        </row>
        <row r="804">
          <cell r="D804" t="str">
            <v>ΕΛΑΙΩΝΕΣ162</v>
          </cell>
          <cell r="E804" t="str">
            <v>ΔΑΦΝΕΛΙA  (ΔΑΦΝΟΚΑΡΠΗ)</v>
          </cell>
          <cell r="K804" t="str">
            <v>Ναι</v>
          </cell>
          <cell r="L804" t="str">
            <v>ΝΑΙ</v>
          </cell>
          <cell r="O804" t="str">
            <v/>
          </cell>
        </row>
        <row r="805">
          <cell r="D805" t="str">
            <v>ΕΛΑΙΩΝΕΣ163</v>
          </cell>
          <cell r="E805" t="str">
            <v>GORDAL</v>
          </cell>
          <cell r="K805" t="str">
            <v>Ναι</v>
          </cell>
          <cell r="L805" t="str">
            <v>ΝΑΙ</v>
          </cell>
          <cell r="O805" t="str">
            <v/>
          </cell>
        </row>
        <row r="806">
          <cell r="D806" t="str">
            <v>ΕΛΑΙΩΝΕΣ164</v>
          </cell>
          <cell r="E806" t="str">
            <v>ΘΡΟΥΜΠΑ (ΘΡΟΥΜΠΟΛΙΑ, ΘΑΣΙΤΙΚΗ, ΛΑΔΟΛΙΑ, ΘΑΣΟΥ)</v>
          </cell>
          <cell r="K806" t="str">
            <v>Ναι</v>
          </cell>
          <cell r="L806" t="str">
            <v>ΝΑΙ</v>
          </cell>
          <cell r="O806" t="str">
            <v/>
          </cell>
        </row>
        <row r="807">
          <cell r="D807" t="str">
            <v>ΕΛΑΙΩΝΕΣ165</v>
          </cell>
          <cell r="E807" t="str">
            <v>ΚΟΥΤΣΟΥΡΕΛΙΑ (ΚΟΥΡΤΕΛΙΑ,ΚΟΥΡΕΛΙΑ)</v>
          </cell>
          <cell r="K807" t="str">
            <v>Ναι</v>
          </cell>
          <cell r="L807" t="str">
            <v>ΝΑΙ</v>
          </cell>
          <cell r="O807" t="str">
            <v/>
          </cell>
        </row>
        <row r="808">
          <cell r="D808" t="str">
            <v>ΕΛΑΙΩΝΕΣ166</v>
          </cell>
          <cell r="E808" t="str">
            <v>ΚΟΡΩΝΕΙΚΗ (ΚΟΡΩΝΗ, ΒΑΤΣΙΚΗ, ΚΡΗΤΙΚΙΑ, ΚΟΡΩΝΙΑ ΚΡΗ)</v>
          </cell>
          <cell r="K808" t="str">
            <v>Ναι</v>
          </cell>
          <cell r="L808" t="str">
            <v>ΝΑΙ</v>
          </cell>
          <cell r="O808" t="str">
            <v/>
          </cell>
        </row>
        <row r="809">
          <cell r="D809" t="str">
            <v>ΕΛΑΙΩΝΕΣ167</v>
          </cell>
          <cell r="E809" t="str">
            <v>ΚΑΛΟΚΑΙΡΙΔΑ (ΠΡΩΙΜΗ)</v>
          </cell>
          <cell r="K809" t="str">
            <v>Ναι</v>
          </cell>
          <cell r="L809" t="str">
            <v>ΝΑΙ</v>
          </cell>
          <cell r="O809" t="str">
            <v/>
          </cell>
        </row>
        <row r="810">
          <cell r="D810" t="str">
            <v>ΕΛΑΙΩΝΕΣ168</v>
          </cell>
          <cell r="E810" t="str">
            <v>ΚΑΛΑΜΩΝ (ΚΑΛΑΜΑΤΙΑΝΗ, ΤΣΙΓΚΟΛΙ, ΑΕΤΟΝΥΧΙ)</v>
          </cell>
          <cell r="K810" t="str">
            <v>Ναι</v>
          </cell>
          <cell r="L810" t="str">
            <v>ΝΑΙ</v>
          </cell>
          <cell r="O810" t="str">
            <v/>
          </cell>
        </row>
        <row r="811">
          <cell r="D811" t="str">
            <v>ΕΛΑΙΩΝΕΣ169</v>
          </cell>
          <cell r="E811" t="str">
            <v>ΚΟΛΥΜΠΑΔΑ</v>
          </cell>
          <cell r="K811" t="str">
            <v>Ναι</v>
          </cell>
          <cell r="L811" t="str">
            <v>ΝΑΙ</v>
          </cell>
          <cell r="O811" t="str">
            <v/>
          </cell>
        </row>
        <row r="812">
          <cell r="D812" t="str">
            <v>ΕΛΑΙΩΝΕΣ170</v>
          </cell>
          <cell r="E812" t="str">
            <v>ΚΑΡΟΛΗΑ</v>
          </cell>
          <cell r="K812" t="str">
            <v>Ναι</v>
          </cell>
          <cell r="L812" t="str">
            <v>ΝΑΙ</v>
          </cell>
          <cell r="O812" t="str">
            <v/>
          </cell>
        </row>
        <row r="813">
          <cell r="D813" t="str">
            <v>ΕΛΑΙΩΝΕΣ171</v>
          </cell>
          <cell r="E813" t="str">
            <v>ΚΟΘΡΕΙΚΗ (ΜΑΝΑΚΙ, ΜΑΝΑΚΟΛΙΑ, ΓΛΥΚΟΜΑΝΑΚΟ)</v>
          </cell>
          <cell r="K813" t="str">
            <v>Ναι</v>
          </cell>
          <cell r="L813" t="str">
            <v>ΝΑΙ</v>
          </cell>
          <cell r="O813" t="str">
            <v/>
          </cell>
        </row>
        <row r="814">
          <cell r="D814" t="str">
            <v>ΕΛΑΙΩΝΕΣ172</v>
          </cell>
          <cell r="E814" t="str">
            <v>ΚΑΡΥΔΟΛΙΑ</v>
          </cell>
          <cell r="K814" t="str">
            <v>Ναι</v>
          </cell>
          <cell r="L814" t="str">
            <v>ΝΑΙ</v>
          </cell>
          <cell r="O814" t="str">
            <v/>
          </cell>
        </row>
        <row r="815">
          <cell r="D815" t="str">
            <v>ΕΛΑΙΩΝΕΣ173</v>
          </cell>
          <cell r="E815" t="str">
            <v>ΚΑΡΥΔΟΛΙΑ ΣΠΕΤΣΩΝ</v>
          </cell>
          <cell r="K815" t="str">
            <v>Ναι</v>
          </cell>
          <cell r="L815" t="str">
            <v>ΝΑΙ</v>
          </cell>
          <cell r="O815" t="str">
            <v/>
          </cell>
        </row>
        <row r="816">
          <cell r="D816" t="str">
            <v>ΕΛΑΙΩΝΕΣ174</v>
          </cell>
          <cell r="E816" t="str">
            <v>ΚΛΩΝΑΡΕΣ ΚΟΡΩΠΙΟΥ</v>
          </cell>
          <cell r="K816" t="str">
            <v>Ναι</v>
          </cell>
          <cell r="L816" t="str">
            <v>ΝΑΙ</v>
          </cell>
          <cell r="O816" t="str">
            <v/>
          </cell>
        </row>
        <row r="817">
          <cell r="D817" t="str">
            <v>ΕΛΑΙΩΝΕΣ175</v>
          </cell>
          <cell r="E817" t="str">
            <v>ΚΑΡΟΛΙΑ ΙΣΤΙΑΙΑΣ</v>
          </cell>
          <cell r="K817" t="str">
            <v>Ναι</v>
          </cell>
          <cell r="L817" t="str">
            <v>ΝΑΙ</v>
          </cell>
          <cell r="O817" t="str">
            <v/>
          </cell>
        </row>
        <row r="818">
          <cell r="D818" t="str">
            <v>ΕΛΑΙΩΝΕΣ176</v>
          </cell>
          <cell r="E818" t="str">
            <v>ΚΟΛΥΡΕΙΚΗ</v>
          </cell>
          <cell r="K818" t="str">
            <v>Ναι</v>
          </cell>
          <cell r="L818" t="str">
            <v>ΝΑΙ</v>
          </cell>
          <cell r="O818" t="str">
            <v/>
          </cell>
        </row>
        <row r="819">
          <cell r="D819" t="str">
            <v>ΕΛΑΙΩΝΕΣ177</v>
          </cell>
          <cell r="E819" t="str">
            <v>LECHINO (LECHIN DE SEVILLA)</v>
          </cell>
          <cell r="K819" t="str">
            <v>Ναι</v>
          </cell>
          <cell r="L819" t="str">
            <v>ΝΑΙ</v>
          </cell>
          <cell r="O819" t="str">
            <v/>
          </cell>
        </row>
        <row r="820">
          <cell r="D820" t="str">
            <v>ΕΛΑΙΩΝΕΣ178</v>
          </cell>
          <cell r="E820" t="str">
            <v>ΛΙΑΝΟΛΗΑ ΚΕΡΚΥΡΑΣ (ΠΡΕΒΕΖΑΝΑ, ΝΕΡΟΛΙΑ, ΚΑΡΦΟΛΙΑ)</v>
          </cell>
          <cell r="K820" t="str">
            <v>Ναι</v>
          </cell>
          <cell r="L820" t="str">
            <v>ΝΑΙ</v>
          </cell>
          <cell r="O820" t="str">
            <v/>
          </cell>
        </row>
        <row r="821">
          <cell r="D821" t="str">
            <v>ΕΛΑΙΩΝΕΣ179</v>
          </cell>
          <cell r="E821" t="str">
            <v>LUCQUES</v>
          </cell>
          <cell r="K821" t="str">
            <v>Ναι</v>
          </cell>
          <cell r="L821" t="str">
            <v>ΝΑΙ</v>
          </cell>
          <cell r="O821" t="str">
            <v/>
          </cell>
        </row>
        <row r="822">
          <cell r="D822" t="str">
            <v>ΕΛΑΙΩΝΕΣ180</v>
          </cell>
          <cell r="E822" t="str">
            <v>ΜΑΥΡΕΛΗΑ (ΜΕΘΩΝΙΑ, ΜΑΥΡΟΛΙΑ, ΜΟΥΤΡΟΛΙΑ)</v>
          </cell>
          <cell r="K822" t="str">
            <v>Ναι</v>
          </cell>
          <cell r="L822" t="str">
            <v>ΝΑΙ</v>
          </cell>
          <cell r="O822" t="str">
            <v/>
          </cell>
        </row>
        <row r="823">
          <cell r="D823" t="str">
            <v>ΕΛΑΙΩΝΕΣ181</v>
          </cell>
          <cell r="E823" t="str">
            <v>ΜΥΡΤΟΛΗΑ</v>
          </cell>
          <cell r="K823" t="str">
            <v>Ναι</v>
          </cell>
          <cell r="L823" t="str">
            <v>ΝΑΙ</v>
          </cell>
          <cell r="O823" t="str">
            <v/>
          </cell>
        </row>
        <row r="824">
          <cell r="D824" t="str">
            <v>ΕΛΑΙΩΝΕΣ182</v>
          </cell>
          <cell r="E824" t="str">
            <v>MEXINE</v>
          </cell>
          <cell r="K824" t="str">
            <v>Ναι</v>
          </cell>
          <cell r="L824" t="str">
            <v>ΝΑΙ</v>
          </cell>
          <cell r="O824" t="str">
            <v/>
          </cell>
        </row>
        <row r="825">
          <cell r="D825" t="str">
            <v>ΕΛΑΙΩΝΕΣ183</v>
          </cell>
          <cell r="E825" t="str">
            <v>ΜΕΓΑΡΕΙΤΙΚΗ (ΠΕΡΑΧΩΡΙΤΙΚΗ, ΒΟΙΒΟΔΙΤΙΚΗ, ΒΟΒΩΔΗ)</v>
          </cell>
          <cell r="K825" t="str">
            <v>Ναι</v>
          </cell>
          <cell r="L825" t="str">
            <v>ΝΑΙ</v>
          </cell>
          <cell r="O825" t="str">
            <v/>
          </cell>
        </row>
        <row r="826">
          <cell r="D826" t="str">
            <v>ΕΛΑΙΩΝΕΣ184</v>
          </cell>
          <cell r="E826" t="str">
            <v>MANZANILLA JAEN</v>
          </cell>
          <cell r="K826" t="str">
            <v>Ναι</v>
          </cell>
          <cell r="L826" t="str">
            <v>ΝΑΙ</v>
          </cell>
          <cell r="O826" t="str">
            <v/>
          </cell>
        </row>
        <row r="827">
          <cell r="D827" t="str">
            <v>ΕΛΑΙΩΝΕΣ185</v>
          </cell>
          <cell r="E827" t="str">
            <v>MANZANILLA DOS HERMANOS</v>
          </cell>
          <cell r="K827" t="str">
            <v>Ναι</v>
          </cell>
          <cell r="L827" t="str">
            <v>ΝΑΙ</v>
          </cell>
          <cell r="O827" t="str">
            <v/>
          </cell>
        </row>
        <row r="828">
          <cell r="D828" t="str">
            <v>ΕΛΑΙΩΝΕΣ186</v>
          </cell>
          <cell r="E828" t="str">
            <v>MANZANILLA</v>
          </cell>
          <cell r="K828" t="str">
            <v>Ναι</v>
          </cell>
          <cell r="L828" t="str">
            <v>ΝΑΙ</v>
          </cell>
          <cell r="O828" t="str">
            <v/>
          </cell>
        </row>
        <row r="829">
          <cell r="D829" t="str">
            <v>ΕΛΑΙΩΝΕΣ187</v>
          </cell>
          <cell r="E829" t="str">
            <v>ΜΕΛΟΛΙΑ (ΕΛΙΑ ΗΔΙΚΑΡΠΗ)</v>
          </cell>
          <cell r="K829" t="str">
            <v>Ναι</v>
          </cell>
          <cell r="L829" t="str">
            <v>ΝΑΙ</v>
          </cell>
          <cell r="O829" t="str">
            <v/>
          </cell>
        </row>
        <row r="830">
          <cell r="D830" t="str">
            <v>ΕΛΑΙΩΝΕΣ188</v>
          </cell>
          <cell r="E830" t="str">
            <v>MISSION</v>
          </cell>
          <cell r="K830" t="str">
            <v>Ναι</v>
          </cell>
          <cell r="L830" t="str">
            <v>ΝΑΙ</v>
          </cell>
          <cell r="O830" t="str">
            <v/>
          </cell>
        </row>
        <row r="831">
          <cell r="D831" t="str">
            <v>ΕΛΑΙΩΝΕΣ189</v>
          </cell>
          <cell r="E831" t="str">
            <v>PICUAL (NEVADILLO BLANCO)</v>
          </cell>
          <cell r="K831" t="str">
            <v>Ναι</v>
          </cell>
          <cell r="L831" t="str">
            <v>ΝΑΙ</v>
          </cell>
          <cell r="O831" t="str">
            <v/>
          </cell>
        </row>
        <row r="832">
          <cell r="D832" t="str">
            <v>ΕΛΑΙΩΝΕΣ190</v>
          </cell>
          <cell r="E832" t="str">
            <v>ΠΑΤΡΙΝΗ</v>
          </cell>
          <cell r="K832" t="str">
            <v>Ναι</v>
          </cell>
          <cell r="L832" t="str">
            <v>ΝΑΙ</v>
          </cell>
          <cell r="O832" t="str">
            <v/>
          </cell>
        </row>
        <row r="833">
          <cell r="D833" t="str">
            <v>ΕΛΑΙΩΝΕΣ191</v>
          </cell>
          <cell r="E833" t="str">
            <v>PICHOLIN ή PICHOLINE</v>
          </cell>
          <cell r="K833" t="str">
            <v>Ναι</v>
          </cell>
          <cell r="L833" t="str">
            <v>ΝΑΙ</v>
          </cell>
          <cell r="O833" t="str">
            <v/>
          </cell>
        </row>
        <row r="834">
          <cell r="D834" t="str">
            <v>ΕΛΑΙΩΝΕΣ192</v>
          </cell>
          <cell r="E834" t="str">
            <v>ΠΙΚΡΟΛΙΑ</v>
          </cell>
          <cell r="K834" t="str">
            <v>Ναι</v>
          </cell>
          <cell r="L834" t="str">
            <v>ΝΑΙ</v>
          </cell>
          <cell r="O834" t="str">
            <v/>
          </cell>
        </row>
        <row r="835">
          <cell r="D835" t="str">
            <v>ΕΛΑΙΩΝΕΣ193</v>
          </cell>
          <cell r="E835" t="str">
            <v>REDDING PICHOLINE</v>
          </cell>
          <cell r="K835" t="str">
            <v>Ναι</v>
          </cell>
          <cell r="L835" t="str">
            <v>ΝΑΙ</v>
          </cell>
          <cell r="O835" t="str">
            <v/>
          </cell>
        </row>
        <row r="836">
          <cell r="D836" t="str">
            <v>ΕΛΑΙΩΝΕΣ194</v>
          </cell>
          <cell r="E836" t="str">
            <v>ROUSETTE</v>
          </cell>
          <cell r="K836" t="str">
            <v>Ναι</v>
          </cell>
          <cell r="L836" t="str">
            <v>ΝΑΙ</v>
          </cell>
          <cell r="O836" t="str">
            <v/>
          </cell>
        </row>
        <row r="837">
          <cell r="D837" t="str">
            <v>ΕΛΑΙΩΝΕΣ195</v>
          </cell>
          <cell r="E837" t="str">
            <v>SALONENQUE</v>
          </cell>
          <cell r="K837" t="str">
            <v>Ναι</v>
          </cell>
          <cell r="L837" t="str">
            <v>ΝΑΙ</v>
          </cell>
          <cell r="O837" t="str">
            <v/>
          </cell>
        </row>
        <row r="838">
          <cell r="D838" t="str">
            <v>ΕΛΑΙΩΝΕΣ196</v>
          </cell>
          <cell r="E838" t="str">
            <v>ΣΤΡΟΓΓΥΛΟΛΙΑ (ΓΑΛΑΝΗ, ΠΡΑΣΙΝΟΛΙΑ)</v>
          </cell>
          <cell r="K838" t="str">
            <v>Ναι</v>
          </cell>
          <cell r="L838" t="str">
            <v>ΝΑΙ</v>
          </cell>
          <cell r="O838" t="str">
            <v/>
          </cell>
        </row>
        <row r="839">
          <cell r="D839" t="str">
            <v>ΕΛΑΙΩΝΕΣ197</v>
          </cell>
          <cell r="E839" t="str">
            <v>S. FRANCESCO</v>
          </cell>
          <cell r="K839" t="str">
            <v>Ναι</v>
          </cell>
          <cell r="L839" t="str">
            <v>ΝΑΙ</v>
          </cell>
          <cell r="O839" t="str">
            <v/>
          </cell>
        </row>
        <row r="840">
          <cell r="D840" t="str">
            <v>ΕΛΑΙΩΝΕΣ198</v>
          </cell>
          <cell r="E840" t="str">
            <v>S. AGOSTINO (S. AUGUSTINE)</v>
          </cell>
          <cell r="K840" t="str">
            <v>Ναι</v>
          </cell>
          <cell r="L840" t="str">
            <v>ΝΑΙ</v>
          </cell>
          <cell r="O840" t="str">
            <v/>
          </cell>
        </row>
        <row r="841">
          <cell r="D841" t="str">
            <v>ΕΛΑΙΩΝΕΣ199</v>
          </cell>
          <cell r="E841" t="str">
            <v>SIGOISE</v>
          </cell>
          <cell r="K841" t="str">
            <v>Ναι</v>
          </cell>
          <cell r="L841" t="str">
            <v>ΝΑΙ</v>
          </cell>
          <cell r="O841" t="str">
            <v/>
          </cell>
        </row>
        <row r="842">
          <cell r="D842" t="str">
            <v>ΕΛΑΙΩΝΕΣ200</v>
          </cell>
          <cell r="E842" t="str">
            <v>ΤΡΑΓΟΛΙΑ</v>
          </cell>
          <cell r="K842" t="str">
            <v>Ναι</v>
          </cell>
          <cell r="L842" t="str">
            <v>ΝΑΙ</v>
          </cell>
          <cell r="O842" t="str">
            <v/>
          </cell>
        </row>
        <row r="843">
          <cell r="D843" t="str">
            <v>ΕΛΑΙΩΝΕΣ2000153</v>
          </cell>
          <cell r="E843" t="str">
            <v>ΑΜΦΙΣΣΗΣ (ΒΟΛΙΩΤΙΚΗ, ΠΗΛΙΟΥ, ΣΤΥΛΙΔΟΣ, ΑΓΡΙΝΙΟΥ), ΓΙΑ ΠΑΡΑΓΩΓΗ ΕΠΙΤΡΑΠΕΖΙΑΣ</v>
          </cell>
          <cell r="F843" t="str">
            <v>B_4_3_1</v>
          </cell>
          <cell r="G843" t="str">
            <v>Ελαιώνες που συνήθως παράγουν επιτραπέζιες ελιές</v>
          </cell>
          <cell r="H843">
            <v>2953</v>
          </cell>
          <cell r="K843" t="str">
            <v>Ναι</v>
          </cell>
          <cell r="L843" t="str">
            <v>ΝΑΙ</v>
          </cell>
          <cell r="O843" t="str">
            <v/>
          </cell>
        </row>
        <row r="844">
          <cell r="D844" t="str">
            <v>ΕΛΑΙΩΝΕΣ2000154</v>
          </cell>
          <cell r="E844" t="str">
            <v>ΑΜΥΓΔΑΛΟΛΗΑ (ΣΤΡΑΒΟΜΥΤΑ, ΚΟΥΡΟΜΥΤΑ), ΓΙΑ ΠΑΡΑΓΩΓΗ ΕΠΙΤΡΑΠΕΖΙΑΣ</v>
          </cell>
          <cell r="F844" t="str">
            <v>B_4_3_1</v>
          </cell>
          <cell r="G844" t="str">
            <v>Ελαιώνες που συνήθως παράγουν επιτραπέζιες ελιές</v>
          </cell>
          <cell r="H844">
            <v>2953</v>
          </cell>
          <cell r="K844" t="str">
            <v>Ναι</v>
          </cell>
          <cell r="L844" t="str">
            <v>ΝΑΙ</v>
          </cell>
          <cell r="O844" t="str">
            <v/>
          </cell>
        </row>
        <row r="845">
          <cell r="D845" t="str">
            <v>ΕΛΑΙΩΝΕΣ2000155</v>
          </cell>
          <cell r="E845" t="str">
            <v>ΑΔΡΑΜΥΤΤΙΝΗ (ΑΔΡΑΜΥΤΙΚΗ ΛΕΣΒΟΥ, ΑΙΒΑΛΙΩΤΙΚΗ, ΦΡΑΓΚ), ΓΙΑ ΠΑΡΑΓΩΓΗ ΕΠΙΤΡΑΠΕΖΙΑΣ</v>
          </cell>
          <cell r="F845" t="str">
            <v>B_4_3_1</v>
          </cell>
          <cell r="G845" t="str">
            <v>Ελαιώνες που συνήθως παράγουν επιτραπέζιες ελιές</v>
          </cell>
          <cell r="H845">
            <v>2953</v>
          </cell>
          <cell r="K845" t="str">
            <v>Ναι</v>
          </cell>
          <cell r="L845" t="str">
            <v>ΝΑΙ</v>
          </cell>
          <cell r="O845" t="str">
            <v/>
          </cell>
        </row>
        <row r="846">
          <cell r="D846" t="str">
            <v>ΕΛΑΙΩΝΕΣ2000156</v>
          </cell>
          <cell r="E846" t="str">
            <v>ΑΓΟΥΡΟΜΑΝΑΚΟΛΙΑ (ΑΓΟΥΡΟΜΑΝΑΚΟ, ΑΓΟΥΡΟΜΑΝΑΚΙ), ΓΙΑ ΠΑΡΑΓΩΓΗ ΕΠΙΤΡΑΠΕΖΙΑΣ</v>
          </cell>
          <cell r="F846" t="str">
            <v>B_4_3_1</v>
          </cell>
          <cell r="G846" t="str">
            <v>Ελαιώνες που συνήθως παράγουν επιτραπέζιες ελιές</v>
          </cell>
          <cell r="H846">
            <v>2953</v>
          </cell>
          <cell r="K846" t="str">
            <v>Ναι</v>
          </cell>
          <cell r="L846" t="str">
            <v>ΝΑΙ</v>
          </cell>
          <cell r="O846" t="str">
            <v/>
          </cell>
        </row>
        <row r="847">
          <cell r="D847" t="str">
            <v>ΕΛΑΙΩΝΕΣ2000157</v>
          </cell>
          <cell r="E847" t="str">
            <v>ARBEQUINE (ARBEQUINA, ARBEQUIN), ΓΙΑ ΠΑΡΑΓΩΓΗ ΕΠΙΤΡΑΠΕΖΙΑΣ</v>
          </cell>
          <cell r="F847" t="str">
            <v>B_4_3_1</v>
          </cell>
          <cell r="G847" t="str">
            <v>Ελαιώνες που συνήθως παράγουν επιτραπέζιες ελιές</v>
          </cell>
          <cell r="H847">
            <v>2953</v>
          </cell>
          <cell r="K847" t="str">
            <v>Ναι</v>
          </cell>
          <cell r="L847" t="str">
            <v>ΝΑΙ</v>
          </cell>
          <cell r="O847" t="str">
            <v/>
          </cell>
        </row>
        <row r="848">
          <cell r="D848" t="str">
            <v>ΕΛΑΙΩΝΕΣ2000158</v>
          </cell>
          <cell r="E848" t="str">
            <v>ΒΑΣΙΛΙΚΑΔΑ (ΒΑΣΙΛΙΚΗ), ΓΙΑ ΠΑΡΑΓΩΓΗ ΕΠΙΤΡΑΠΕΖΙΑΣ</v>
          </cell>
          <cell r="F848" t="str">
            <v>B_4_3_1</v>
          </cell>
          <cell r="G848" t="str">
            <v>Ελαιώνες που συνήθως παράγουν επιτραπέζιες ελιές</v>
          </cell>
          <cell r="H848">
            <v>2953</v>
          </cell>
          <cell r="K848" t="str">
            <v>Ναι</v>
          </cell>
          <cell r="L848" t="str">
            <v>ΝΑΙ</v>
          </cell>
          <cell r="O848" t="str">
            <v/>
          </cell>
        </row>
        <row r="849">
          <cell r="D849" t="str">
            <v>ΕΛΑΙΩΝΕΣ2000159</v>
          </cell>
          <cell r="E849" t="str">
            <v>ΒΑΛΑΝΟΛΙΑ (ΜΥΤΙΛΙΝΙΑ, ΚΟΛΟΒΗ,  ΒΑΛΑΝΑ), ΓΙΑ ΠΑΡΑΓΩΓΗ ΕΠΙΤΡΑΠΕΖΙΑΣ</v>
          </cell>
          <cell r="F849" t="str">
            <v>B_4_3_1</v>
          </cell>
          <cell r="G849" t="str">
            <v>Ελαιώνες που συνήθως παράγουν επιτραπέζιες ελιές</v>
          </cell>
          <cell r="H849">
            <v>2953</v>
          </cell>
          <cell r="K849" t="str">
            <v>Ναι</v>
          </cell>
          <cell r="L849" t="str">
            <v>ΝΑΙ</v>
          </cell>
          <cell r="O849" t="str">
            <v/>
          </cell>
        </row>
        <row r="850">
          <cell r="D850" t="str">
            <v>ΕΛΑΙΩΝΕΣ2000160</v>
          </cell>
          <cell r="E850" t="str">
            <v>ΓΑΙΔΟΥΡΕΛΙΑ (ΔΑΜΑΣΚΗΝΑΤΗ, ΑΔΡΟΚΑΡΠΗ), ΓΙΑ ΠΑΡΑΓΩΓΗ ΕΠΙΤΡΑΠΕΖΙΑΣ</v>
          </cell>
          <cell r="F850" t="str">
            <v>B_4_3_1</v>
          </cell>
          <cell r="G850" t="str">
            <v>Ελαιώνες που συνήθως παράγουν επιτραπέζιες ελιές</v>
          </cell>
          <cell r="H850">
            <v>2953</v>
          </cell>
          <cell r="K850" t="str">
            <v>Ναι</v>
          </cell>
          <cell r="L850" t="str">
            <v>ΝΑΙ</v>
          </cell>
          <cell r="O850" t="str">
            <v/>
          </cell>
        </row>
        <row r="851">
          <cell r="D851" t="str">
            <v>ΕΛΑΙΩΝΕΣ2000161</v>
          </cell>
          <cell r="E851" t="str">
            <v>ΔΑΜΑΣΚΗΝΑΤΗ ΛΕΣΒΟΥ, ΓΙΑ ΠΑΡΑΓΩΓΗ ΕΠΙΤΡΑΠΕΖΙΑΣ</v>
          </cell>
          <cell r="F851" t="str">
            <v>B_4_3_1</v>
          </cell>
          <cell r="G851" t="str">
            <v>Ελαιώνες που συνήθως παράγουν επιτραπέζιες ελιές</v>
          </cell>
          <cell r="H851">
            <v>2953</v>
          </cell>
          <cell r="K851" t="str">
            <v>Ναι</v>
          </cell>
          <cell r="L851" t="str">
            <v>ΝΑΙ</v>
          </cell>
          <cell r="O851" t="str">
            <v/>
          </cell>
        </row>
        <row r="852">
          <cell r="D852" t="str">
            <v>ΕΛΑΙΩΝΕΣ2000162</v>
          </cell>
          <cell r="E852" t="str">
            <v>ΔΑΦΝΕΛΙA (ΔΑΦΝΟΚΑΡΠΗ), ΓΙΑ ΠΑΡΑΓΩΓΗ ΕΠΙΤΡΑΠΕΖΙΑΣ</v>
          </cell>
          <cell r="F852" t="str">
            <v>B_4_3_1</v>
          </cell>
          <cell r="G852" t="str">
            <v>Ελαιώνες που συνήθως παράγουν επιτραπέζιες ελιές</v>
          </cell>
          <cell r="H852">
            <v>2953</v>
          </cell>
          <cell r="K852" t="str">
            <v>Ναι</v>
          </cell>
          <cell r="L852" t="str">
            <v>ΝΑΙ</v>
          </cell>
          <cell r="O852" t="str">
            <v/>
          </cell>
        </row>
        <row r="853">
          <cell r="D853" t="str">
            <v>ΕΛΑΙΩΝΕΣ2000163</v>
          </cell>
          <cell r="E853" t="str">
            <v>GORDAL, ΓΙΑ ΠΑΡΑΓΩΓΗ ΕΠΙΤΡΑΠΕΖΙΑΣ</v>
          </cell>
          <cell r="F853" t="str">
            <v>B_4_3_1</v>
          </cell>
          <cell r="G853" t="str">
            <v>Ελαιώνες που συνήθως παράγουν επιτραπέζιες ελιές</v>
          </cell>
          <cell r="H853">
            <v>2953</v>
          </cell>
          <cell r="K853" t="str">
            <v>Ναι</v>
          </cell>
          <cell r="L853" t="str">
            <v>ΝΑΙ</v>
          </cell>
          <cell r="O853" t="str">
            <v/>
          </cell>
        </row>
        <row r="854">
          <cell r="D854" t="str">
            <v>ΕΛΑΙΩΝΕΣ2000164</v>
          </cell>
          <cell r="E854" t="str">
            <v>ΘΡΟΥΜΠΑ (ΘΡΟΥΜΠΟΛΙΑ, ΘΑΣΙΤΙΚΗ,  ΛΑΔΟΛΙΑ,  ΘΑΣΟΥ), ΓΙΑ ΠΑΡΑΓΩΓΗ ΕΠΙΤΡΑΠΕΖΙΑΣ</v>
          </cell>
          <cell r="F854" t="str">
            <v>B_4_3_1</v>
          </cell>
          <cell r="G854" t="str">
            <v>Ελαιώνες που συνήθως παράγουν επιτραπέζιες ελιές</v>
          </cell>
          <cell r="H854">
            <v>2953</v>
          </cell>
          <cell r="K854" t="str">
            <v>Ναι</v>
          </cell>
          <cell r="L854" t="str">
            <v>ΝΑΙ</v>
          </cell>
          <cell r="O854" t="str">
            <v/>
          </cell>
        </row>
        <row r="855">
          <cell r="D855" t="str">
            <v>ΕΛΑΙΩΝΕΣ2000165</v>
          </cell>
          <cell r="E855" t="str">
            <v>ΚΟΥΤΣΟΥΡΕΛΙΑ (ΚΟΥΡΤΕΛΙΑ, ΚΟΥΡΕΛΙΑ), ΓΙΑ ΠΑΡΑΓΩΓΗ ΕΠΙΤΡΑΠΕΖΙΑΣ</v>
          </cell>
          <cell r="F855" t="str">
            <v>B_4_3_1</v>
          </cell>
          <cell r="G855" t="str">
            <v>Ελαιώνες που συνήθως παράγουν επιτραπέζιες ελιές</v>
          </cell>
          <cell r="H855">
            <v>2953</v>
          </cell>
          <cell r="K855" t="str">
            <v>Ναι</v>
          </cell>
          <cell r="L855" t="str">
            <v>ΝΑΙ</v>
          </cell>
          <cell r="O855" t="str">
            <v/>
          </cell>
        </row>
        <row r="856">
          <cell r="D856" t="str">
            <v>ΕΛΑΙΩΝΕΣ2000166</v>
          </cell>
          <cell r="E856" t="str">
            <v>ΚΟΡΩΝΕΙΚΗ (ΚΟΡΩΝΗ, ΒΑΤΣΙΚΗ, ΚΡΗΤΙΚΙΑ, ΚΟΡΩΝΙΑ ΚΡΗ), ΓΙΑ ΠΑΡΑΓΩΓΗ ΕΠΙΤΡΑΠΕΖΙΑΣ</v>
          </cell>
          <cell r="F856" t="str">
            <v>B_4_3_1</v>
          </cell>
          <cell r="G856" t="str">
            <v>Ελαιώνες που συνήθως παράγουν επιτραπέζιες ελιές</v>
          </cell>
          <cell r="H856">
            <v>2953</v>
          </cell>
          <cell r="K856" t="str">
            <v>Ναι</v>
          </cell>
          <cell r="L856" t="str">
            <v>ΝΑΙ</v>
          </cell>
          <cell r="O856" t="str">
            <v/>
          </cell>
        </row>
        <row r="857">
          <cell r="D857" t="str">
            <v>ΕΛΑΙΩΝΕΣ2000167</v>
          </cell>
          <cell r="E857" t="str">
            <v>ΚΑΛΟΚΑΙΡΙΔΑ (ΠΡΩΙΜΗ), ΓΙΑ ΠΑΡΑΓΩΓΗ ΕΠΙΤΡΑΠΕΖΙΑΣ</v>
          </cell>
          <cell r="F857" t="str">
            <v>B_4_3_1</v>
          </cell>
          <cell r="G857" t="str">
            <v>Ελαιώνες που συνήθως παράγουν επιτραπέζιες ελιές</v>
          </cell>
          <cell r="H857">
            <v>2953</v>
          </cell>
          <cell r="K857" t="str">
            <v>Ναι</v>
          </cell>
          <cell r="L857" t="str">
            <v>ΝΑΙ</v>
          </cell>
          <cell r="O857" t="str">
            <v/>
          </cell>
        </row>
        <row r="858">
          <cell r="D858" t="str">
            <v>ΕΛΑΙΩΝΕΣ2000168</v>
          </cell>
          <cell r="E858" t="str">
            <v>ΚΑΛΑΜΩΝ (ΚΑΛΑΜΑΤΙΑΝΗ, ΤΣΙΓΚΟΛΙ,  ΑΕΤΟΝΥΧΙ), ΓΙΑ ΠΑΡΑΓΩΓΗ ΕΠΙΤΡΑΠΕΖΙΑΣ</v>
          </cell>
          <cell r="F858" t="str">
            <v>B_4_3_1</v>
          </cell>
          <cell r="G858" t="str">
            <v>Ελαιώνες που συνήθως παράγουν επιτραπέζιες ελιές</v>
          </cell>
          <cell r="H858">
            <v>2953</v>
          </cell>
          <cell r="K858" t="str">
            <v>Ναι</v>
          </cell>
          <cell r="L858" t="str">
            <v>ΝΑΙ</v>
          </cell>
          <cell r="O858" t="str">
            <v/>
          </cell>
        </row>
        <row r="859">
          <cell r="D859" t="str">
            <v>ΕΛΑΙΩΝΕΣ2000169</v>
          </cell>
          <cell r="E859" t="str">
            <v>ΚΟΛΥΜΠΑΔΑ, ΓΙΑ ΠΑΡΑΓΩΓΗ ΕΠΙΤΡΑΠΕΖΙΑΣ</v>
          </cell>
          <cell r="F859" t="str">
            <v>B_4_3_1</v>
          </cell>
          <cell r="G859" t="str">
            <v>Ελαιώνες που συνήθως παράγουν επιτραπέζιες ελιές</v>
          </cell>
          <cell r="H859">
            <v>2953</v>
          </cell>
          <cell r="K859" t="str">
            <v>Ναι</v>
          </cell>
          <cell r="L859" t="str">
            <v>ΝΑΙ</v>
          </cell>
          <cell r="O859" t="str">
            <v/>
          </cell>
        </row>
        <row r="860">
          <cell r="D860" t="str">
            <v>ΕΛΑΙΩΝΕΣ2000170</v>
          </cell>
          <cell r="E860" t="str">
            <v>ΚΑΡΟΛΗΑ, ΓΙΑ ΠΑΡΑΓΩΓΗ ΕΠΙΤΡΑΠΕΖΙΑΣ</v>
          </cell>
          <cell r="F860" t="str">
            <v>B_4_3_1</v>
          </cell>
          <cell r="G860" t="str">
            <v>Ελαιώνες που συνήθως παράγουν επιτραπέζιες ελιές</v>
          </cell>
          <cell r="H860">
            <v>2953</v>
          </cell>
          <cell r="K860" t="str">
            <v>Ναι</v>
          </cell>
          <cell r="L860" t="str">
            <v>ΝΑΙ</v>
          </cell>
          <cell r="O860" t="str">
            <v/>
          </cell>
        </row>
        <row r="861">
          <cell r="D861" t="str">
            <v>ΕΛΑΙΩΝΕΣ2000171</v>
          </cell>
          <cell r="E861" t="str">
            <v>ΚΟΘΡΕΙΚΗ (ΜΑΝΑΚΙ, ΜΑΝΑΚΟΛΙΑ, ΓΛΥΚΟΜΑΝΑΚΟ), ΓΙΑ ΠΑΡΑΓΩΓΗ ΕΠΙΤΡΑΠΕΖΙΑΣ</v>
          </cell>
          <cell r="F861" t="str">
            <v>B_4_3_1</v>
          </cell>
          <cell r="G861" t="str">
            <v>Ελαιώνες που συνήθως παράγουν επιτραπέζιες ελιές</v>
          </cell>
          <cell r="H861">
            <v>2953</v>
          </cell>
          <cell r="K861" t="str">
            <v>Ναι</v>
          </cell>
          <cell r="L861" t="str">
            <v>ΝΑΙ</v>
          </cell>
          <cell r="O861" t="str">
            <v/>
          </cell>
        </row>
        <row r="862">
          <cell r="D862" t="str">
            <v>ΕΛΑΙΩΝΕΣ2000172</v>
          </cell>
          <cell r="E862" t="str">
            <v>ΚΑΡΥΔΟΛΙΑ, ΓΙΑ ΠΑΡΑΓΩΓΗ ΕΠΙΤΡΑΠΕΖΙΑΣ</v>
          </cell>
          <cell r="F862" t="str">
            <v>B_4_3_1</v>
          </cell>
          <cell r="G862" t="str">
            <v>Ελαιώνες που συνήθως παράγουν επιτραπέζιες ελιές</v>
          </cell>
          <cell r="H862">
            <v>2953</v>
          </cell>
          <cell r="K862" t="str">
            <v>Ναι</v>
          </cell>
          <cell r="L862" t="str">
            <v>ΝΑΙ</v>
          </cell>
          <cell r="O862" t="str">
            <v/>
          </cell>
        </row>
        <row r="863">
          <cell r="D863" t="str">
            <v>ΕΛΑΙΩΝΕΣ2000173</v>
          </cell>
          <cell r="E863" t="str">
            <v>ΚΑΡΥΔΟΛΙΑ ΣΠΕΤΣΩΝ, ΓΙΑ ΠΑΡΑΓΩΓΗ ΕΠΙΤΡΑΠΕΖΙΑΣ</v>
          </cell>
          <cell r="F863" t="str">
            <v>B_4_3_1</v>
          </cell>
          <cell r="G863" t="str">
            <v>Ελαιώνες που συνήθως παράγουν επιτραπέζιες ελιές</v>
          </cell>
          <cell r="H863">
            <v>2953</v>
          </cell>
          <cell r="K863" t="str">
            <v>Ναι</v>
          </cell>
          <cell r="L863" t="str">
            <v>ΝΑΙ</v>
          </cell>
          <cell r="O863" t="str">
            <v/>
          </cell>
        </row>
        <row r="864">
          <cell r="D864" t="str">
            <v>ΕΛΑΙΩΝΕΣ2000174</v>
          </cell>
          <cell r="E864" t="str">
            <v>ΚΛΩΝΑΡΕΣ ΚΟΡΩΠΙΟΥ, ΓΙΑ ΠΑΡΑΓΩΓΗ ΕΠΙΤΡΑΠΕΖΙΑΣ</v>
          </cell>
          <cell r="F864" t="str">
            <v>B_4_3_1</v>
          </cell>
          <cell r="G864" t="str">
            <v>Ελαιώνες που συνήθως παράγουν επιτραπέζιες ελιές</v>
          </cell>
          <cell r="H864">
            <v>2953</v>
          </cell>
          <cell r="K864" t="str">
            <v>Ναι</v>
          </cell>
          <cell r="L864" t="str">
            <v>ΝΑΙ</v>
          </cell>
          <cell r="O864" t="str">
            <v/>
          </cell>
        </row>
        <row r="865">
          <cell r="D865" t="str">
            <v>ΕΛΑΙΩΝΕΣ2000175</v>
          </cell>
          <cell r="E865" t="str">
            <v>ΚΑΡΟΛΙΑ ΙΣΤΙΑΙΑΣ, ΓΙΑ ΠΑΡΑΓΩΓΗ ΕΠΙΤΡΑΠΕΖΙΑΣ</v>
          </cell>
          <cell r="F865" t="str">
            <v>B_4_3_1</v>
          </cell>
          <cell r="G865" t="str">
            <v>Ελαιώνες που συνήθως παράγουν επιτραπέζιες ελιές</v>
          </cell>
          <cell r="H865">
            <v>2953</v>
          </cell>
          <cell r="K865" t="str">
            <v>Ναι</v>
          </cell>
          <cell r="L865" t="str">
            <v>ΝΑΙ</v>
          </cell>
          <cell r="O865" t="str">
            <v/>
          </cell>
        </row>
        <row r="866">
          <cell r="D866" t="str">
            <v>ΕΛΑΙΩΝΕΣ2000176</v>
          </cell>
          <cell r="E866" t="str">
            <v>ΚΟΛΥΡΕΙΚΗ, ΓΙΑ ΠΑΡΑΓΩΓΗ ΕΠΙΤΡΑΠΕΖΙΑΣ</v>
          </cell>
          <cell r="F866" t="str">
            <v>B_4_3_1</v>
          </cell>
          <cell r="G866" t="str">
            <v>Ελαιώνες που συνήθως παράγουν επιτραπέζιες ελιές</v>
          </cell>
          <cell r="H866">
            <v>2953</v>
          </cell>
          <cell r="K866" t="str">
            <v>Ναι</v>
          </cell>
          <cell r="L866" t="str">
            <v>ΝΑΙ</v>
          </cell>
          <cell r="O866" t="str">
            <v/>
          </cell>
        </row>
        <row r="867">
          <cell r="D867" t="str">
            <v>ΕΛΑΙΩΝΕΣ2000177</v>
          </cell>
          <cell r="E867" t="str">
            <v>LECHINO (LECHIN DE SEVILLA), ΓΙΑ ΠΑΡΑΓΩΓΗ ΕΠΙΤΡΑΠΕΖΙΑΣ</v>
          </cell>
          <cell r="F867" t="str">
            <v>B_4_3_1</v>
          </cell>
          <cell r="G867" t="str">
            <v>Ελαιώνες που συνήθως παράγουν επιτραπέζιες ελιές</v>
          </cell>
          <cell r="H867">
            <v>2953</v>
          </cell>
          <cell r="K867" t="str">
            <v>Ναι</v>
          </cell>
          <cell r="L867" t="str">
            <v>ΝΑΙ</v>
          </cell>
          <cell r="O867" t="str">
            <v/>
          </cell>
        </row>
        <row r="868">
          <cell r="D868" t="str">
            <v>ΕΛΑΙΩΝΕΣ2000178</v>
          </cell>
          <cell r="E868" t="str">
            <v>ΛΙΑΝΟΛΗΑ ΚΕΡΚΥΡΑΣ (ΠΡΕΒΕΖΑΝΑ, ΝΕΡΟΛΙΑ,  ΚΑΡΦΟΛΙΑ), ΓΙΑ ΠΑΡΑΓΩΓΗ ΕΠΙΤΡΑΠΕΖΙΑΣ</v>
          </cell>
          <cell r="F868" t="str">
            <v>B_4_3_1</v>
          </cell>
          <cell r="G868" t="str">
            <v>Ελαιώνες που συνήθως παράγουν επιτραπέζιες ελιές</v>
          </cell>
          <cell r="H868">
            <v>2953</v>
          </cell>
          <cell r="K868" t="str">
            <v>Ναι</v>
          </cell>
          <cell r="L868" t="str">
            <v>ΝΑΙ</v>
          </cell>
          <cell r="O868" t="str">
            <v/>
          </cell>
        </row>
        <row r="869">
          <cell r="D869" t="str">
            <v>ΕΛΑΙΩΝΕΣ2000179</v>
          </cell>
          <cell r="E869" t="str">
            <v>LUCQUES, ΓΙΑ ΠΑΡΑΓΩΓΗ ΕΠΙΤΡΑΠΕΖΙΑΣ</v>
          </cell>
          <cell r="F869" t="str">
            <v>B_4_3_1</v>
          </cell>
          <cell r="G869" t="str">
            <v>Ελαιώνες που συνήθως παράγουν επιτραπέζιες ελιές</v>
          </cell>
          <cell r="H869">
            <v>2953</v>
          </cell>
          <cell r="K869" t="str">
            <v>Ναι</v>
          </cell>
          <cell r="L869" t="str">
            <v>ΝΑΙ</v>
          </cell>
          <cell r="O869" t="str">
            <v/>
          </cell>
        </row>
        <row r="870">
          <cell r="D870" t="str">
            <v>ΕΛΑΙΩΝΕΣ2000180</v>
          </cell>
          <cell r="E870" t="str">
            <v>ΜΑΥΡΕΛΗΑ (ΜΕΘΩΝΙΑ, ΜΑΥΡΟΛΙΑ,  ΜΟΥΤΡΟΛΙΑ), ΓΙΑ ΠΑΡΑΓΩΓΗ ΕΠΙΤΡΑΠΕΖΙΑΣ</v>
          </cell>
          <cell r="F870" t="str">
            <v>B_4_3_1</v>
          </cell>
          <cell r="G870" t="str">
            <v>Ελαιώνες που συνήθως παράγουν επιτραπέζιες ελιές</v>
          </cell>
          <cell r="H870">
            <v>2953</v>
          </cell>
          <cell r="K870" t="str">
            <v>Ναι</v>
          </cell>
          <cell r="L870" t="str">
            <v>ΝΑΙ</v>
          </cell>
          <cell r="O870" t="str">
            <v/>
          </cell>
        </row>
        <row r="871">
          <cell r="D871" t="str">
            <v>ΕΛΑΙΩΝΕΣ2000181</v>
          </cell>
          <cell r="E871" t="str">
            <v>ΜΥΡΤΟΛΗΑ, ΓΙΑ ΠΑΡΑΓΩΓΗ ΕΠΙΤΡΑΠΕΖΙΑΣ</v>
          </cell>
          <cell r="F871" t="str">
            <v>B_4_3_1</v>
          </cell>
          <cell r="G871" t="str">
            <v>Ελαιώνες που συνήθως παράγουν επιτραπέζιες ελιές</v>
          </cell>
          <cell r="H871">
            <v>2953</v>
          </cell>
          <cell r="K871" t="str">
            <v>Ναι</v>
          </cell>
          <cell r="L871" t="str">
            <v>ΝΑΙ</v>
          </cell>
          <cell r="O871" t="str">
            <v/>
          </cell>
        </row>
        <row r="872">
          <cell r="D872" t="str">
            <v>ΕΛΑΙΩΝΕΣ2000182</v>
          </cell>
          <cell r="E872" t="str">
            <v>MEXINE, ΓΙΑ ΠΑΡΑΓΩΓΗ ΕΠΙΤΡΑΠΕΖΙΑΣ</v>
          </cell>
          <cell r="F872" t="str">
            <v>B_4_3_1</v>
          </cell>
          <cell r="G872" t="str">
            <v>Ελαιώνες που συνήθως παράγουν επιτραπέζιες ελιές</v>
          </cell>
          <cell r="H872">
            <v>2953</v>
          </cell>
          <cell r="K872" t="str">
            <v>Ναι</v>
          </cell>
          <cell r="L872" t="str">
            <v>ΝΑΙ</v>
          </cell>
          <cell r="O872" t="str">
            <v/>
          </cell>
        </row>
        <row r="873">
          <cell r="D873" t="str">
            <v>ΕΛΑΙΩΝΕΣ2000183</v>
          </cell>
          <cell r="E873" t="str">
            <v>ΜΕΓΑΡΕΙΤΙΚΗ (ΠΕΡΑΧΩΡΙΤΙΚΗ, ΒΟΙΒΟΔΙΤΙΚΗ,  ΒΟΒΩΔΗ), ΓΙΑ ΠΑΡΑΓΩΓΗ ΕΠΙΤΡΑΠΕΖΙΑΣ</v>
          </cell>
          <cell r="F873" t="str">
            <v>B_4_3_1</v>
          </cell>
          <cell r="G873" t="str">
            <v>Ελαιώνες που συνήθως παράγουν επιτραπέζιες ελιές</v>
          </cell>
          <cell r="H873">
            <v>2953</v>
          </cell>
          <cell r="K873" t="str">
            <v>Ναι</v>
          </cell>
          <cell r="L873" t="str">
            <v>ΝΑΙ</v>
          </cell>
          <cell r="O873" t="str">
            <v/>
          </cell>
        </row>
        <row r="874">
          <cell r="D874" t="str">
            <v>ΕΛΑΙΩΝΕΣ2000184</v>
          </cell>
          <cell r="E874" t="str">
            <v>MANZANILLA JAEN, ΓΙΑ ΠΑΡΑΓΩΓΗ ΕΠΙΤΡΑΠΕΖΙΑΣ</v>
          </cell>
          <cell r="F874" t="str">
            <v>B_4_3_1</v>
          </cell>
          <cell r="G874" t="str">
            <v>Ελαιώνες που συνήθως παράγουν επιτραπέζιες ελιές</v>
          </cell>
          <cell r="H874">
            <v>2953</v>
          </cell>
          <cell r="K874" t="str">
            <v>Ναι</v>
          </cell>
          <cell r="L874" t="str">
            <v>ΝΑΙ</v>
          </cell>
          <cell r="O874" t="str">
            <v/>
          </cell>
        </row>
        <row r="875">
          <cell r="D875" t="str">
            <v>ΕΛΑΙΩΝΕΣ2000185</v>
          </cell>
          <cell r="E875" t="str">
            <v>MANZANILLA DOS HERMANOS, ΓΙΑ ΠΑΡΑΓΩΓΗ ΕΠΙΤΡΑΠΕΖΙΑΣ</v>
          </cell>
          <cell r="F875" t="str">
            <v>B_4_3_1</v>
          </cell>
          <cell r="G875" t="str">
            <v>Ελαιώνες που συνήθως παράγουν επιτραπέζιες ελιές</v>
          </cell>
          <cell r="H875">
            <v>2953</v>
          </cell>
          <cell r="K875" t="str">
            <v>Ναι</v>
          </cell>
          <cell r="L875" t="str">
            <v>ΝΑΙ</v>
          </cell>
          <cell r="O875" t="str">
            <v/>
          </cell>
        </row>
        <row r="876">
          <cell r="D876" t="str">
            <v>ΕΛΑΙΩΝΕΣ2000186</v>
          </cell>
          <cell r="E876" t="str">
            <v>MANZANILLA, ΓΙΑ ΠΑΡΑΓΩΓΗ ΕΠΙΤΡΑΠΕΖΙΑΣ</v>
          </cell>
          <cell r="F876" t="str">
            <v>B_4_3_1</v>
          </cell>
          <cell r="G876" t="str">
            <v>Ελαιώνες που συνήθως παράγουν επιτραπέζιες ελιές</v>
          </cell>
          <cell r="H876">
            <v>2953</v>
          </cell>
          <cell r="K876" t="str">
            <v>Ναι</v>
          </cell>
          <cell r="L876" t="str">
            <v>ΝΑΙ</v>
          </cell>
          <cell r="O876" t="str">
            <v/>
          </cell>
        </row>
        <row r="877">
          <cell r="D877" t="str">
            <v>ΕΛΑΙΩΝΕΣ2000187</v>
          </cell>
          <cell r="E877" t="str">
            <v>ΜΕΛΟΛΙΑ (ΕΛΙΑ ΗΔΙΚΑΡΠΗ), ΓΙΑ ΠΑΡΑΓΩΓΗ ΕΠΙΤΡΑΠΕΖΙΑΣ</v>
          </cell>
          <cell r="F877" t="str">
            <v>B_4_3_1</v>
          </cell>
          <cell r="G877" t="str">
            <v>Ελαιώνες που συνήθως παράγουν επιτραπέζιες ελιές</v>
          </cell>
          <cell r="H877">
            <v>2953</v>
          </cell>
          <cell r="K877" t="str">
            <v>Ναι</v>
          </cell>
          <cell r="L877" t="str">
            <v>ΝΑΙ</v>
          </cell>
          <cell r="O877" t="str">
            <v/>
          </cell>
        </row>
        <row r="878">
          <cell r="D878" t="str">
            <v>ΕΛΑΙΩΝΕΣ2000188</v>
          </cell>
          <cell r="E878" t="str">
            <v>MISSION, ΓΙΑ ΠΑΡΑΓΩΓΗ ΕΠΙΤΡΑΠΕΖΙΑΣ</v>
          </cell>
          <cell r="F878" t="str">
            <v>B_4_3_1</v>
          </cell>
          <cell r="G878" t="str">
            <v>Ελαιώνες που συνήθως παράγουν επιτραπέζιες ελιές</v>
          </cell>
          <cell r="H878">
            <v>2953</v>
          </cell>
          <cell r="K878" t="str">
            <v>Ναι</v>
          </cell>
          <cell r="L878" t="str">
            <v>ΝΑΙ</v>
          </cell>
          <cell r="O878" t="str">
            <v/>
          </cell>
        </row>
        <row r="879">
          <cell r="D879" t="str">
            <v>ΕΛΑΙΩΝΕΣ2000189</v>
          </cell>
          <cell r="E879" t="str">
            <v>PICUAL (NEVADILLO BLANCO), ΓΙΑ ΠΑΡΑΓΩΓΗ ΕΠΙΤΡΑΠΕΖΙΑΣ</v>
          </cell>
          <cell r="F879" t="str">
            <v>B_4_3_1</v>
          </cell>
          <cell r="G879" t="str">
            <v>Ελαιώνες που συνήθως παράγουν επιτραπέζιες ελιές</v>
          </cell>
          <cell r="H879">
            <v>2953</v>
          </cell>
          <cell r="K879" t="str">
            <v>Ναι</v>
          </cell>
          <cell r="L879" t="str">
            <v>ΝΑΙ</v>
          </cell>
          <cell r="O879" t="str">
            <v/>
          </cell>
        </row>
        <row r="880">
          <cell r="D880" t="str">
            <v>ΕΛΑΙΩΝΕΣ2000190</v>
          </cell>
          <cell r="E880" t="str">
            <v>ΠΑΤΡΙΝΗ, ΓΙΑ ΠΑΡΑΓΩΓΗ ΕΠΙΤΡΑΠΕΖΙΑΣ</v>
          </cell>
          <cell r="F880" t="str">
            <v>B_4_3_1</v>
          </cell>
          <cell r="G880" t="str">
            <v>Ελαιώνες που συνήθως παράγουν επιτραπέζιες ελιές</v>
          </cell>
          <cell r="H880">
            <v>2953</v>
          </cell>
          <cell r="K880" t="str">
            <v>Ναι</v>
          </cell>
          <cell r="L880" t="str">
            <v>ΝΑΙ</v>
          </cell>
          <cell r="O880" t="str">
            <v/>
          </cell>
        </row>
        <row r="881">
          <cell r="D881" t="str">
            <v>ΕΛΑΙΩΝΕΣ2000191</v>
          </cell>
          <cell r="E881" t="str">
            <v>PICHOLIN ή PICHOLINE, ΓΙΑ ΠΑΡΑΓΩΓΗ ΕΠΙΤΡΑΠΕΖΙΑΣ</v>
          </cell>
          <cell r="F881" t="str">
            <v>B_4_3_1</v>
          </cell>
          <cell r="G881" t="str">
            <v>Ελαιώνες που συνήθως παράγουν επιτραπέζιες ελιές</v>
          </cell>
          <cell r="H881">
            <v>2953</v>
          </cell>
          <cell r="K881" t="str">
            <v>Ναι</v>
          </cell>
          <cell r="L881" t="str">
            <v>ΝΑΙ</v>
          </cell>
          <cell r="O881" t="str">
            <v/>
          </cell>
        </row>
        <row r="882">
          <cell r="D882" t="str">
            <v>ΕΛΑΙΩΝΕΣ2000192</v>
          </cell>
          <cell r="E882" t="str">
            <v>ΠΙΚΡΟΛΙΑ, ΓΙΑ ΠΑΡΑΓΩΓΗ ΕΠΙΤΡΑΠΕΖΙΑΣ</v>
          </cell>
          <cell r="F882" t="str">
            <v>B_4_3_1</v>
          </cell>
          <cell r="G882" t="str">
            <v>Ελαιώνες που συνήθως παράγουν επιτραπέζιες ελιές</v>
          </cell>
          <cell r="H882">
            <v>2953</v>
          </cell>
          <cell r="K882" t="str">
            <v>Ναι</v>
          </cell>
          <cell r="L882" t="str">
            <v>ΝΑΙ</v>
          </cell>
          <cell r="O882" t="str">
            <v/>
          </cell>
        </row>
        <row r="883">
          <cell r="D883" t="str">
            <v>ΕΛΑΙΩΝΕΣ2000193</v>
          </cell>
          <cell r="E883" t="str">
            <v>REDDING PICHOLINE, ΓΙΑ ΠΑΡΑΓΩΓΗ ΕΠΙΤΡΑΠΕΖΙΑΣ</v>
          </cell>
          <cell r="F883" t="str">
            <v>B_4_3_1</v>
          </cell>
          <cell r="G883" t="str">
            <v>Ελαιώνες που συνήθως παράγουν επιτραπέζιες ελιές</v>
          </cell>
          <cell r="H883">
            <v>2953</v>
          </cell>
          <cell r="K883" t="str">
            <v>Ναι</v>
          </cell>
          <cell r="L883" t="str">
            <v>ΝΑΙ</v>
          </cell>
          <cell r="O883" t="str">
            <v/>
          </cell>
        </row>
        <row r="884">
          <cell r="D884" t="str">
            <v>ΕΛΑΙΩΝΕΣ2000194</v>
          </cell>
          <cell r="E884" t="str">
            <v>ROUSETTE, ΓΙΑ ΠΑΡΑΓΩΓΗ ΕΠΙΤΡΑΠΕΖΙΑΣ</v>
          </cell>
          <cell r="F884" t="str">
            <v>B_4_3_1</v>
          </cell>
          <cell r="G884" t="str">
            <v>Ελαιώνες που συνήθως παράγουν επιτραπέζιες ελιές</v>
          </cell>
          <cell r="H884">
            <v>2953</v>
          </cell>
          <cell r="K884" t="str">
            <v>Ναι</v>
          </cell>
          <cell r="L884" t="str">
            <v>ΝΑΙ</v>
          </cell>
          <cell r="O884" t="str">
            <v/>
          </cell>
        </row>
        <row r="885">
          <cell r="D885" t="str">
            <v>ΕΛΑΙΩΝΕΣ2000195</v>
          </cell>
          <cell r="E885" t="str">
            <v>SALONENQUE, ΓΙΑ ΠΑΡΑΓΩΓΗ ΕΠΙΤΡΑΠΕΖΙΑΣ</v>
          </cell>
          <cell r="F885" t="str">
            <v>B_4_3_1</v>
          </cell>
          <cell r="G885" t="str">
            <v>Ελαιώνες που συνήθως παράγουν επιτραπέζιες ελιές</v>
          </cell>
          <cell r="H885">
            <v>2953</v>
          </cell>
          <cell r="K885" t="str">
            <v>Ναι</v>
          </cell>
          <cell r="L885" t="str">
            <v>ΝΑΙ</v>
          </cell>
          <cell r="O885" t="str">
            <v/>
          </cell>
        </row>
        <row r="886">
          <cell r="D886" t="str">
            <v>ΕΛΑΙΩΝΕΣ2000196</v>
          </cell>
          <cell r="E886" t="str">
            <v>ΣΤΡΟΓΓΥΛΟΛΙΑ (ΓΑΛΑΝΗ, ΠΡΑΣΙΝΟΛΙΑ), ΓΙΑ ΠΑΡΑΓΩΓΗ ΕΠΙΤΡΑΠΕΖΙΑΣ</v>
          </cell>
          <cell r="F886" t="str">
            <v>B_4_3_1</v>
          </cell>
          <cell r="G886" t="str">
            <v>Ελαιώνες που συνήθως παράγουν επιτραπέζιες ελιές</v>
          </cell>
          <cell r="H886">
            <v>2953</v>
          </cell>
          <cell r="K886" t="str">
            <v>Ναι</v>
          </cell>
          <cell r="L886" t="str">
            <v>ΝΑΙ</v>
          </cell>
          <cell r="O886" t="str">
            <v/>
          </cell>
        </row>
        <row r="887">
          <cell r="D887" t="str">
            <v>ΕΛΑΙΩΝΕΣ2000197</v>
          </cell>
          <cell r="E887" t="str">
            <v>S. FRANCESCO, ΓΙΑ ΠΑΡΑΓΩΓΗ ΕΠΙΤΡΑΠΕΖΙΑΣ</v>
          </cell>
          <cell r="F887" t="str">
            <v>B_4_3_1</v>
          </cell>
          <cell r="G887" t="str">
            <v>Ελαιώνες που συνήθως παράγουν επιτραπέζιες ελιές</v>
          </cell>
          <cell r="H887">
            <v>2953</v>
          </cell>
          <cell r="K887" t="str">
            <v>Ναι</v>
          </cell>
          <cell r="L887" t="str">
            <v>ΝΑΙ</v>
          </cell>
          <cell r="O887" t="str">
            <v/>
          </cell>
        </row>
        <row r="888">
          <cell r="D888" t="str">
            <v>ΕΛΑΙΩΝΕΣ2000198</v>
          </cell>
          <cell r="E888" t="str">
            <v>S. AGOSTINO (S. AUGUSTINE), ΓΙΑ ΠΑΡΑΓΩΓΗ ΕΠΙΤΡΑΠΕΖΙΑΣ</v>
          </cell>
          <cell r="F888" t="str">
            <v>B_4_3_1</v>
          </cell>
          <cell r="G888" t="str">
            <v>Ελαιώνες που συνήθως παράγουν επιτραπέζιες ελιές</v>
          </cell>
          <cell r="H888">
            <v>2953</v>
          </cell>
          <cell r="K888" t="str">
            <v>Ναι</v>
          </cell>
          <cell r="L888" t="str">
            <v>ΝΑΙ</v>
          </cell>
          <cell r="O888" t="str">
            <v/>
          </cell>
        </row>
        <row r="889">
          <cell r="D889" t="str">
            <v>ΕΛΑΙΩΝΕΣ2000199</v>
          </cell>
          <cell r="E889" t="str">
            <v>SIGOISE, ΓΙΑ ΠΑΡΑΓΩΓΗ ΕΠΙΤΡΑΠΕΖΙΑΣ</v>
          </cell>
          <cell r="F889" t="str">
            <v>B_4_3_1</v>
          </cell>
          <cell r="G889" t="str">
            <v>Ελαιώνες που συνήθως παράγουν επιτραπέζιες ελιές</v>
          </cell>
          <cell r="H889">
            <v>2953</v>
          </cell>
          <cell r="K889" t="str">
            <v>Ναι</v>
          </cell>
          <cell r="L889" t="str">
            <v>ΝΑΙ</v>
          </cell>
          <cell r="O889" t="str">
            <v/>
          </cell>
        </row>
        <row r="890">
          <cell r="D890" t="str">
            <v>ΕΛΑΙΩΝΕΣ2000200</v>
          </cell>
          <cell r="E890" t="str">
            <v>ΤΡΑΓΟΛΙΑ, ΓΙΑ ΠΑΡΑΓΩΓΗ ΕΠΙΤΡΑΠΕΖΙΑΣ</v>
          </cell>
          <cell r="F890" t="str">
            <v>B_4_3_1</v>
          </cell>
          <cell r="G890" t="str">
            <v>Ελαιώνες που συνήθως παράγουν επιτραπέζιες ελιές</v>
          </cell>
          <cell r="H890">
            <v>2953</v>
          </cell>
          <cell r="K890" t="str">
            <v>Ναι</v>
          </cell>
          <cell r="L890" t="str">
            <v>ΝΑΙ</v>
          </cell>
          <cell r="O890" t="str">
            <v/>
          </cell>
        </row>
        <row r="891">
          <cell r="D891" t="str">
            <v>ΕΛΑΙΩΝΕΣ2000201</v>
          </cell>
          <cell r="E891" t="str">
            <v>ΤΣΟΥΝΑΤΗ (ΜΑΤΣΟΛΗΑ, ΑΘΗΝΟΛΙΑ), ΓΙΑ ΠΑΡΑΓΩΓΗ ΕΠΙΤΡΑΠΕΖΙΑΣ</v>
          </cell>
          <cell r="F891" t="str">
            <v>B_4_3_1</v>
          </cell>
          <cell r="G891" t="str">
            <v>Ελαιώνες που συνήθως παράγουν επιτραπέζιες ελιές</v>
          </cell>
          <cell r="H891">
            <v>2953</v>
          </cell>
          <cell r="K891" t="str">
            <v>Ναι</v>
          </cell>
          <cell r="L891" t="str">
            <v>ΝΑΙ</v>
          </cell>
          <cell r="O891" t="str">
            <v/>
          </cell>
        </row>
        <row r="892">
          <cell r="D892" t="str">
            <v>ΕΛΑΙΩΝΕΣ2000202</v>
          </cell>
          <cell r="E892" t="str">
            <v>FRANTOIO, ΓΙΑ ΠΑΡΑΓΩΓΗ ΕΠΙΤΡΑΠΕΖΙΑΣ</v>
          </cell>
          <cell r="F892" t="str">
            <v>B_4_3_1</v>
          </cell>
          <cell r="G892" t="str">
            <v>Ελαιώνες που συνήθως παράγουν επιτραπέζιες ελιές</v>
          </cell>
          <cell r="H892">
            <v>2953</v>
          </cell>
          <cell r="K892" t="str">
            <v>Ναι</v>
          </cell>
          <cell r="L892" t="str">
            <v>ΝΑΙ</v>
          </cell>
          <cell r="O892" t="str">
            <v/>
          </cell>
        </row>
        <row r="893">
          <cell r="D893" t="str">
            <v>ΕΛΑΙΩΝΕΣ2000203</v>
          </cell>
          <cell r="E893" t="str">
            <v>ΧΑΛΚΙΔΙΚΗΣ, ΓΙΑ ΠΑΡΑΓΩΓΗ ΕΠΙΤΡΑΠΕΖΙΑΣ</v>
          </cell>
          <cell r="F893" t="str">
            <v>B_4_3_1</v>
          </cell>
          <cell r="G893" t="str">
            <v>Ελαιώνες που συνήθως παράγουν επιτραπέζιες ελιές</v>
          </cell>
          <cell r="H893">
            <v>2953</v>
          </cell>
          <cell r="K893" t="str">
            <v>Ναι</v>
          </cell>
          <cell r="L893" t="str">
            <v>ΝΑΙ</v>
          </cell>
          <cell r="O893" t="str">
            <v/>
          </cell>
        </row>
        <row r="894">
          <cell r="D894" t="str">
            <v>ΕΛΑΙΩΝΕΣ2000204</v>
          </cell>
          <cell r="E894" t="str">
            <v>ΧΟΝΔΡΟΛΗΑ, ΓΙΑ ΠΑΡΑΓΩΓΗ ΕΠΙΤΡΑΠΕΖΙΑΣ</v>
          </cell>
          <cell r="F894" t="str">
            <v>B_4_3_1</v>
          </cell>
          <cell r="G894" t="str">
            <v>Ελαιώνες που συνήθως παράγουν επιτραπέζιες ελιές</v>
          </cell>
          <cell r="H894">
            <v>2953</v>
          </cell>
          <cell r="K894" t="str">
            <v>Ναι</v>
          </cell>
          <cell r="L894" t="str">
            <v>ΝΑΙ</v>
          </cell>
          <cell r="O894" t="str">
            <v/>
          </cell>
        </row>
        <row r="895">
          <cell r="D895" t="str">
            <v>ΕΛΑΙΩΝΕΣ2000205</v>
          </cell>
          <cell r="E895" t="str">
            <v>ΧΟΝΔΡΟΛΗΑ ΧΑΛΚΙΔΙΚΗΣ, ΓΙΑ ΠΑΡΑΓΩΓΗ ΕΠΙΤΡΑΠΕΖΙΑΣ</v>
          </cell>
          <cell r="F895" t="str">
            <v>B_4_3_1</v>
          </cell>
          <cell r="G895" t="str">
            <v>Ελαιώνες που συνήθως παράγουν επιτραπέζιες ελιές</v>
          </cell>
          <cell r="H895">
            <v>2953</v>
          </cell>
          <cell r="K895" t="str">
            <v>Ναι</v>
          </cell>
          <cell r="L895" t="str">
            <v>ΝΑΙ</v>
          </cell>
          <cell r="O895" t="str">
            <v/>
          </cell>
        </row>
        <row r="896">
          <cell r="D896" t="str">
            <v>ΕΛΑΙΩΝΕΣ2000206</v>
          </cell>
          <cell r="E896" t="str">
            <v>ΧΡΥΣΟΛΙΑ, ΓΙΑ ΠΑΡΑΓΩΓΗ ΕΠΙΤΡΑΠΕΖΙΑΣ</v>
          </cell>
          <cell r="F896" t="str">
            <v>B_4_3_1</v>
          </cell>
          <cell r="G896" t="str">
            <v>Ελαιώνες που συνήθως παράγουν επιτραπέζιες ελιές</v>
          </cell>
          <cell r="H896">
            <v>2953</v>
          </cell>
          <cell r="K896" t="str">
            <v>Ναι</v>
          </cell>
          <cell r="L896" t="str">
            <v>ΝΑΙ</v>
          </cell>
          <cell r="O896" t="str">
            <v/>
          </cell>
        </row>
        <row r="897">
          <cell r="D897" t="str">
            <v>ΕΛΑΙΩΝΕΣ2000207</v>
          </cell>
          <cell r="E897" t="str">
            <v>SEVILLANO, ΓΙΑ ΠΑΡΑΓΩΓΗ ΕΠΙΤΡΑΠΕΖΙΑΣ</v>
          </cell>
          <cell r="F897" t="str">
            <v>B_4_3_1</v>
          </cell>
          <cell r="G897" t="str">
            <v>Ελαιώνες που συνήθως παράγουν επιτραπέζιες ελιές</v>
          </cell>
          <cell r="H897">
            <v>2953</v>
          </cell>
          <cell r="K897" t="str">
            <v>Ναι</v>
          </cell>
          <cell r="L897" t="str">
            <v>ΝΑΙ</v>
          </cell>
          <cell r="O897" t="str">
            <v/>
          </cell>
        </row>
        <row r="898">
          <cell r="D898" t="str">
            <v>ΕΛΑΙΩΝΕΣ2000208</v>
          </cell>
          <cell r="E898" t="str">
            <v>OBLONCA, ΓΙΑ ΠΑΡΑΓΩΓΗ ΕΠΙΤΡΑΠΕΖΙΑΣ</v>
          </cell>
          <cell r="F898" t="str">
            <v>B_4_3_1</v>
          </cell>
          <cell r="G898" t="str">
            <v>Ελαιώνες που συνήθως παράγουν επιτραπέζιες ελιές</v>
          </cell>
          <cell r="H898">
            <v>2953</v>
          </cell>
          <cell r="K898" t="str">
            <v>Ναι</v>
          </cell>
          <cell r="L898" t="str">
            <v>ΝΑΙ</v>
          </cell>
          <cell r="O898" t="str">
            <v/>
          </cell>
        </row>
        <row r="899">
          <cell r="D899" t="str">
            <v>ΕΛΑΙΩΝΕΣ2000209</v>
          </cell>
          <cell r="E899" t="str">
            <v>KADESH, ΓΙΑ ΠΑΡΑΓΩΓΗ ΕΠΙΤΡΑΠΕΖΙΑΣ</v>
          </cell>
          <cell r="F899" t="str">
            <v>B_4_3_1</v>
          </cell>
          <cell r="G899" t="str">
            <v>Ελαιώνες που συνήθως παράγουν επιτραπέζιες ελιές</v>
          </cell>
          <cell r="H899">
            <v>2953</v>
          </cell>
          <cell r="K899" t="str">
            <v>Ναι</v>
          </cell>
          <cell r="L899" t="str">
            <v>ΝΑΙ</v>
          </cell>
          <cell r="O899" t="str">
            <v/>
          </cell>
        </row>
        <row r="900">
          <cell r="D900" t="str">
            <v>ΕΛΑΙΩΝΕΣ2000210</v>
          </cell>
          <cell r="E900" t="str">
            <v>SOYRI, ΓΙΑ ΠΑΡΑΓΩΓΗ ΕΠΙΤΡΑΠΕΖΙΑΣ</v>
          </cell>
          <cell r="F900" t="str">
            <v>B_4_3_1</v>
          </cell>
          <cell r="G900" t="str">
            <v>Ελαιώνες που συνήθως παράγουν επιτραπέζιες ελιές</v>
          </cell>
          <cell r="H900">
            <v>2953</v>
          </cell>
          <cell r="K900" t="str">
            <v>Ναι</v>
          </cell>
          <cell r="L900" t="str">
            <v>ΝΑΙ</v>
          </cell>
          <cell r="O900" t="str">
            <v/>
          </cell>
        </row>
        <row r="901">
          <cell r="D901" t="str">
            <v>ΕΛΑΙΩΝΕΣ2000211</v>
          </cell>
          <cell r="E901" t="str">
            <v>ZARZARIEGA, ΓΙΑ ΠΑΡΑΓΩΓΗ ΕΠΙΤΡΑΠΕΖΙΑΣ</v>
          </cell>
          <cell r="F901" t="str">
            <v>B_4_3_1</v>
          </cell>
          <cell r="G901" t="str">
            <v>Ελαιώνες που συνήθως παράγουν επιτραπέζιες ελιές</v>
          </cell>
          <cell r="H901">
            <v>2953</v>
          </cell>
          <cell r="K901" t="str">
            <v>Ναι</v>
          </cell>
          <cell r="L901" t="str">
            <v>ΝΑΙ</v>
          </cell>
          <cell r="O901" t="str">
            <v/>
          </cell>
        </row>
        <row r="902">
          <cell r="D902" t="str">
            <v>ΕΛΑΙΩΝΕΣ2000212</v>
          </cell>
          <cell r="E902" t="str">
            <v>CORNICABRA, ΓΙΑ ΠΑΡΑΓΩΓΗ ΕΠΙΤΡΑΠΕΖΙΑΣ</v>
          </cell>
          <cell r="F902" t="str">
            <v>B_4_3_1</v>
          </cell>
          <cell r="G902" t="str">
            <v>Ελαιώνες που συνήθως παράγουν επιτραπέζιες ελιές</v>
          </cell>
          <cell r="H902">
            <v>2953</v>
          </cell>
          <cell r="K902" t="str">
            <v>Ναι</v>
          </cell>
          <cell r="L902" t="str">
            <v>ΝΑΙ</v>
          </cell>
          <cell r="O902" t="str">
            <v/>
          </cell>
        </row>
        <row r="903">
          <cell r="D903" t="str">
            <v>ΕΛΑΙΩΝΕΣ2000213</v>
          </cell>
          <cell r="E903" t="str">
            <v>ECIJANO, ΓΙΑ ΠΑΡΑΓΩΓΗ ΕΠΙΤΡΑΠΕΖΙΑΣ</v>
          </cell>
          <cell r="F903" t="str">
            <v>B_4_3_1</v>
          </cell>
          <cell r="G903" t="str">
            <v>Ελαιώνες που συνήθως παράγουν επιτραπέζιες ελιές</v>
          </cell>
          <cell r="H903">
            <v>2953</v>
          </cell>
          <cell r="K903" t="str">
            <v>Ναι</v>
          </cell>
          <cell r="L903" t="str">
            <v>ΝΑΙ</v>
          </cell>
          <cell r="O903" t="str">
            <v/>
          </cell>
        </row>
        <row r="904">
          <cell r="D904" t="str">
            <v>ΕΛΑΙΩΝΕΣ2000214</v>
          </cell>
          <cell r="E904" t="str">
            <v>VERDIAL, ΓΙΑ ΠΑΡΑΓΩΓΗ ΕΠΙΤΡΑΠΕΖΙΑΣ</v>
          </cell>
          <cell r="F904" t="str">
            <v>B_4_3_1</v>
          </cell>
          <cell r="G904" t="str">
            <v>Ελαιώνες που συνήθως παράγουν επιτραπέζιες ελιές</v>
          </cell>
          <cell r="H904">
            <v>2953</v>
          </cell>
          <cell r="K904" t="str">
            <v>Ναι</v>
          </cell>
          <cell r="L904" t="str">
            <v>ΝΑΙ</v>
          </cell>
          <cell r="O904" t="str">
            <v/>
          </cell>
        </row>
        <row r="905">
          <cell r="D905" t="str">
            <v>ΕΛΑΙΩΝΕΣ2000215</v>
          </cell>
          <cell r="E905" t="str">
            <v>BAROUNI, ΓΙΑ ΠΑΡΑΓΩΓΗ ΕΠΙΤΡΑΠΕΖΙΑΣ</v>
          </cell>
          <cell r="F905" t="str">
            <v>B_4_3_1</v>
          </cell>
          <cell r="G905" t="str">
            <v>Ελαιώνες που συνήθως παράγουν επιτραπέζιες ελιές</v>
          </cell>
          <cell r="H905">
            <v>2953</v>
          </cell>
          <cell r="K905" t="str">
            <v>Ναι</v>
          </cell>
          <cell r="L905" t="str">
            <v>ΝΑΙ</v>
          </cell>
          <cell r="O905" t="str">
            <v/>
          </cell>
        </row>
        <row r="906">
          <cell r="D906" t="str">
            <v>ΕΛΑΙΩΝΕΣ2000216</v>
          </cell>
          <cell r="E906" t="str">
            <v>PIACENTE, ΓΙΑ ΠΑΡΑΓΩΓΗ ΕΠΙΤΡΑΠΕΖΙΑΣ</v>
          </cell>
          <cell r="F906" t="str">
            <v>B_4_3_1</v>
          </cell>
          <cell r="G906" t="str">
            <v>Ελαιώνες που συνήθως παράγουν επιτραπέζιες ελιές</v>
          </cell>
          <cell r="H906">
            <v>2953</v>
          </cell>
          <cell r="K906" t="str">
            <v>Ναι</v>
          </cell>
          <cell r="L906" t="str">
            <v>ΝΑΙ</v>
          </cell>
          <cell r="O906" t="str">
            <v/>
          </cell>
        </row>
        <row r="907">
          <cell r="D907" t="str">
            <v>ΕΛΑΙΩΝΕΣ2000217</v>
          </cell>
          <cell r="E907" t="str">
            <v>DOLCE AGOCIA, ΓΙΑ ΠΑΡΑΓΩΓΗ ΕΠΙΤΡΑΠΕΖΙΑΣ</v>
          </cell>
          <cell r="F907" t="str">
            <v>B_4_3_1</v>
          </cell>
          <cell r="G907" t="str">
            <v>Ελαιώνες που συνήθως παράγουν επιτραπέζιες ελιές</v>
          </cell>
          <cell r="H907">
            <v>2953</v>
          </cell>
          <cell r="K907" t="str">
            <v>Ναι</v>
          </cell>
          <cell r="L907" t="str">
            <v>ΝΑΙ</v>
          </cell>
          <cell r="O907" t="str">
            <v/>
          </cell>
        </row>
        <row r="908">
          <cell r="D908" t="str">
            <v>ΕΛΑΙΩΝΕΣ2000218</v>
          </cell>
          <cell r="E908" t="str">
            <v>HOJIBLANCA, ΓΙΑ ΠΑΡΑΓΩΓΗ ΕΠΙΤΡΑΠΕΖΙΑΣ</v>
          </cell>
          <cell r="F908" t="str">
            <v>B_4_3_1</v>
          </cell>
          <cell r="G908" t="str">
            <v>Ελαιώνες που συνήθως παράγουν επιτραπέζιες ελιές</v>
          </cell>
          <cell r="H908">
            <v>2953</v>
          </cell>
          <cell r="K908" t="str">
            <v>Ναι</v>
          </cell>
          <cell r="L908" t="str">
            <v>ΝΑΙ</v>
          </cell>
          <cell r="O908" t="str">
            <v/>
          </cell>
        </row>
        <row r="909">
          <cell r="D909" t="str">
            <v>ΕΛΑΙΩΝΕΣ2000219</v>
          </cell>
          <cell r="E909" t="str">
            <v>CORATINA, ΓΙΑ ΠΑΡΑΓΩΓΗ ΕΠΙΤΡΑΠΕΖΙΑΣ</v>
          </cell>
          <cell r="F909" t="str">
            <v>B_4_3_1</v>
          </cell>
          <cell r="G909" t="str">
            <v>Ελαιώνες που συνήθως παράγουν επιτραπέζιες ελιές</v>
          </cell>
          <cell r="H909">
            <v>2953</v>
          </cell>
          <cell r="K909" t="str">
            <v>Ναι</v>
          </cell>
          <cell r="L909" t="str">
            <v>ΝΑΙ</v>
          </cell>
          <cell r="O909" t="str">
            <v/>
          </cell>
        </row>
        <row r="910">
          <cell r="D910" t="str">
            <v>ΕΛΑΙΩΝΕΣ2000220</v>
          </cell>
          <cell r="E910" t="str">
            <v>NEGRAL, ΓΙΑ ΠΑΡΑΓΩΓΗ ΕΠΙΤΡΑΠΕΖΙΑΣ</v>
          </cell>
          <cell r="F910" t="str">
            <v>B_4_3_1</v>
          </cell>
          <cell r="G910" t="str">
            <v>Ελαιώνες που συνήθως παράγουν επιτραπέζιες ελιές</v>
          </cell>
          <cell r="H910">
            <v>2953</v>
          </cell>
          <cell r="K910" t="str">
            <v>Ναι</v>
          </cell>
          <cell r="L910" t="str">
            <v>ΝΑΙ</v>
          </cell>
          <cell r="O910" t="str">
            <v/>
          </cell>
        </row>
        <row r="911">
          <cell r="D911" t="str">
            <v>ΕΛΑΙΩΝΕΣ2000221</v>
          </cell>
          <cell r="E911" t="str">
            <v>FARGA, ΓΙΑ ΠΑΡΑΓΩΓΗ ΕΠΙΤΡΑΠΕΖΙΑΣ</v>
          </cell>
          <cell r="F911" t="str">
            <v>B_4_3_1</v>
          </cell>
          <cell r="G911" t="str">
            <v>Ελαιώνες που συνήθως παράγουν επιτραπέζιες ελιές</v>
          </cell>
          <cell r="H911">
            <v>2953</v>
          </cell>
          <cell r="K911" t="str">
            <v>Ναι</v>
          </cell>
          <cell r="L911" t="str">
            <v>ΝΑΙ</v>
          </cell>
          <cell r="O911" t="str">
            <v/>
          </cell>
        </row>
        <row r="912">
          <cell r="D912" t="str">
            <v>ΕΛΑΙΩΝΕΣ2000222</v>
          </cell>
          <cell r="E912" t="str">
            <v>NABAL, ΓΙΑ ΠΑΡΑΓΩΓΗ ΕΠΙΤΡΑΠΕΖΙΑΣ</v>
          </cell>
          <cell r="F912" t="str">
            <v>B_4_3_1</v>
          </cell>
          <cell r="G912" t="str">
            <v>Ελαιώνες που συνήθως παράγουν επιτραπέζιες ελιές</v>
          </cell>
          <cell r="H912">
            <v>2953</v>
          </cell>
          <cell r="K912" t="str">
            <v>Ναι</v>
          </cell>
          <cell r="L912" t="str">
            <v>ΝΑΙ</v>
          </cell>
          <cell r="O912" t="str">
            <v/>
          </cell>
        </row>
        <row r="913">
          <cell r="D913" t="str">
            <v>ΕΛΑΙΩΝΕΣ2000223</v>
          </cell>
          <cell r="E913" t="str">
            <v>MORISCA, ΓΙΑ ΠΑΡΑΓΩΓΗ ΕΠΙΤΡΑΠΕΖΙΑΣ</v>
          </cell>
          <cell r="F913" t="str">
            <v>B_4_3_1</v>
          </cell>
          <cell r="G913" t="str">
            <v>Ελαιώνες που συνήθως παράγουν επιτραπέζιες ελιές</v>
          </cell>
          <cell r="H913">
            <v>2953</v>
          </cell>
          <cell r="K913" t="str">
            <v>Ναι</v>
          </cell>
          <cell r="L913" t="str">
            <v>ΝΑΙ</v>
          </cell>
          <cell r="O913" t="str">
            <v/>
          </cell>
        </row>
        <row r="914">
          <cell r="D914" t="str">
            <v>ΕΛΑΙΩΝΕΣ2000224</v>
          </cell>
          <cell r="E914" t="str">
            <v>EMPELTRE, ΓΙΑ ΠΑΡΑΓΩΓΗ ΕΠΙΤΡΑΠΕΖΙΑΣ</v>
          </cell>
          <cell r="F914" t="str">
            <v>B_4_3_1</v>
          </cell>
          <cell r="G914" t="str">
            <v>Ελαιώνες που συνήθως παράγουν επιτραπέζιες ελιές</v>
          </cell>
          <cell r="H914">
            <v>2953</v>
          </cell>
          <cell r="K914" t="str">
            <v>Ναι</v>
          </cell>
          <cell r="L914" t="str">
            <v>ΝΑΙ</v>
          </cell>
          <cell r="O914" t="str">
            <v/>
          </cell>
        </row>
        <row r="915">
          <cell r="D915" t="str">
            <v>ΕΛΑΙΩΝΕΣ2000225</v>
          </cell>
          <cell r="E915" t="str">
            <v>CASALIVA, ΓΙΑ ΠΑΡΑΓΩΓΗ ΕΠΙΤΡΑΠΕΖΙΑΣ</v>
          </cell>
          <cell r="F915" t="str">
            <v>B_4_3_1</v>
          </cell>
          <cell r="G915" t="str">
            <v>Ελαιώνες που συνήθως παράγουν επιτραπέζιες ελιές</v>
          </cell>
          <cell r="H915">
            <v>2953</v>
          </cell>
          <cell r="K915" t="str">
            <v>Ναι</v>
          </cell>
          <cell r="L915" t="str">
            <v>ΝΑΙ</v>
          </cell>
          <cell r="O915" t="str">
            <v/>
          </cell>
        </row>
        <row r="916">
          <cell r="D916" t="str">
            <v>ΕΛΑΙΩΝΕΣ2000226</v>
          </cell>
          <cell r="E916" t="str">
            <v>LEUCOCARPA, ΓΙΑ ΠΑΡΑΓΩΓΗ ΕΠΙΤΡΑΠΕΖΙΑΣ</v>
          </cell>
          <cell r="F916" t="str">
            <v>B_4_3_1</v>
          </cell>
          <cell r="G916" t="str">
            <v>Ελαιώνες που συνήθως παράγουν επιτραπέζιες ελιές</v>
          </cell>
          <cell r="H916">
            <v>2953</v>
          </cell>
          <cell r="K916" t="str">
            <v>Ναι</v>
          </cell>
          <cell r="L916" t="str">
            <v>ΝΑΙ</v>
          </cell>
          <cell r="O916" t="str">
            <v/>
          </cell>
        </row>
        <row r="917">
          <cell r="D917" t="str">
            <v>ΕΛΑΙΩΝΕΣ2000227</v>
          </cell>
          <cell r="E917" t="str">
            <v>CORNEZUELO, ΓΙΑ ΠΑΡΑΓΩΓΗ ΕΠΙΤΡΑΠΕΖΙΑΣ</v>
          </cell>
          <cell r="F917" t="str">
            <v>B_4_3_1</v>
          </cell>
          <cell r="G917" t="str">
            <v>Ελαιώνες που συνήθως παράγουν επιτραπέζιες ελιές</v>
          </cell>
          <cell r="H917">
            <v>2953</v>
          </cell>
          <cell r="K917" t="str">
            <v>Ναι</v>
          </cell>
          <cell r="L917" t="str">
            <v>ΝΑΙ</v>
          </cell>
          <cell r="O917" t="str">
            <v/>
          </cell>
        </row>
        <row r="918">
          <cell r="D918" t="str">
            <v>ΕΛΑΙΩΝΕΣ2000228</v>
          </cell>
          <cell r="E918" t="str">
            <v>RAZZOLA, ΓΙΑ ΠΑΡΑΓΩΓΗ ΕΠΙΤΡΑΠΕΖΙΑΣ</v>
          </cell>
          <cell r="F918" t="str">
            <v>B_4_3_1</v>
          </cell>
          <cell r="G918" t="str">
            <v>Ελαιώνες που συνήθως παράγουν επιτραπέζιες ελιές</v>
          </cell>
          <cell r="H918">
            <v>2953</v>
          </cell>
          <cell r="K918" t="str">
            <v>Ναι</v>
          </cell>
          <cell r="L918" t="str">
            <v>ΝΑΙ</v>
          </cell>
          <cell r="O918" t="str">
            <v/>
          </cell>
        </row>
        <row r="919">
          <cell r="D919" t="str">
            <v>ΕΛΑΙΩΝΕΣ2000229</v>
          </cell>
          <cell r="E919" t="str">
            <v>FECCIARO, ΓΙΑ ΠΑΡΑΓΩΓΗ ΕΠΙΤΡΑΠΕΖΙΑΣ</v>
          </cell>
          <cell r="F919" t="str">
            <v>B_4_3_1</v>
          </cell>
          <cell r="G919" t="str">
            <v>Ελαιώνες που συνήθως παράγουν επιτραπέζιες ελιές</v>
          </cell>
          <cell r="H919">
            <v>2953</v>
          </cell>
          <cell r="K919" t="str">
            <v>Ναι</v>
          </cell>
          <cell r="L919" t="str">
            <v>ΝΑΙ</v>
          </cell>
          <cell r="O919" t="str">
            <v/>
          </cell>
        </row>
        <row r="920">
          <cell r="D920" t="str">
            <v>ΕΛΑΙΩΝΕΣ2000230</v>
          </cell>
          <cell r="E920" t="str">
            <v>CUCCO, ΓΙΑ ΠΑΡΑΓΩΓΗ ΕΠΙΤΡΑΠΕΖΙΑΣ</v>
          </cell>
          <cell r="F920" t="str">
            <v>B_4_3_1</v>
          </cell>
          <cell r="G920" t="str">
            <v>Ελαιώνες που συνήθως παράγουν επιτραπέζιες ελιές</v>
          </cell>
          <cell r="H920">
            <v>2953</v>
          </cell>
          <cell r="K920" t="str">
            <v>Ναι</v>
          </cell>
          <cell r="L920" t="str">
            <v>ΝΑΙ</v>
          </cell>
          <cell r="O920" t="str">
            <v/>
          </cell>
        </row>
        <row r="921">
          <cell r="D921" t="str">
            <v>ΕΛΑΙΩΝΕΣ2000231</v>
          </cell>
          <cell r="E921" t="str">
            <v>MAURINO, ΓΙΑ ΠΑΡΑΓΩΓΗ ΕΠΙΤΡΑΠΕΖΙΑΣ</v>
          </cell>
          <cell r="F921" t="str">
            <v>B_4_3_1</v>
          </cell>
          <cell r="G921" t="str">
            <v>Ελαιώνες που συνήθως παράγουν επιτραπέζιες ελιές</v>
          </cell>
          <cell r="H921">
            <v>2953</v>
          </cell>
          <cell r="K921" t="str">
            <v>Ναι</v>
          </cell>
          <cell r="L921" t="str">
            <v>ΝΑΙ</v>
          </cell>
          <cell r="O921" t="str">
            <v/>
          </cell>
        </row>
        <row r="922">
          <cell r="D922" t="str">
            <v>ΕΛΑΙΩΝΕΣ2000589</v>
          </cell>
          <cell r="E922" t="str">
            <v>ΘΙΑΚΗ (ΑΝΩ ΗΣΑΝΑ, ΘΙΑΚΟ, ΠΛΕΞΙΔΕΝΙΑ, ΝΤΟΠΙΑ), ΓΙΑ ΠΑΡΑΓΩΓΗ ΕΠΙΤΡΑΠΕΖΙΑΣ</v>
          </cell>
          <cell r="F922" t="str">
            <v>B_4_3_1</v>
          </cell>
          <cell r="G922" t="str">
            <v>Ελαιώνες που συνήθως παράγουν επιτραπέζιες ελιές</v>
          </cell>
          <cell r="H922">
            <v>2953</v>
          </cell>
          <cell r="K922" t="str">
            <v>Ναι</v>
          </cell>
          <cell r="L922" t="str">
            <v>ΝΑΙ</v>
          </cell>
          <cell r="O922" t="str">
            <v/>
          </cell>
        </row>
        <row r="923">
          <cell r="D923" t="str">
            <v>ΕΛΑΙΩΝΕΣ2000648</v>
          </cell>
          <cell r="E923" t="str">
            <v>ΑΓΙΟΡΙΤΙΚΗ, ΓΙΑ ΠΑΡΑΓΩΓΗ ΕΠΙΤΡΑΠΕΖΙΑΣ</v>
          </cell>
          <cell r="F923" t="str">
            <v>B_4_3_1</v>
          </cell>
          <cell r="G923" t="str">
            <v>Ελαιώνες που συνήθως παράγουν επιτραπέζιες ελιές</v>
          </cell>
          <cell r="H923">
            <v>2953</v>
          </cell>
          <cell r="K923" t="str">
            <v>Ναι</v>
          </cell>
          <cell r="L923" t="str">
            <v>ΝΑΙ</v>
          </cell>
          <cell r="O923" t="str">
            <v/>
          </cell>
        </row>
        <row r="924">
          <cell r="D924" t="str">
            <v>ΕΛΑΙΩΝΕΣ2000649</v>
          </cell>
          <cell r="E924" t="str">
            <v>BLANQUETA, ΓΙΑ ΠΑΡΑΓΩΓΗ ΕΠΙΤΡΑΠΕΖΙΑΣ</v>
          </cell>
          <cell r="F924" t="str">
            <v>B_4_3_1</v>
          </cell>
          <cell r="G924" t="str">
            <v>Ελαιώνες που συνήθως παράγουν επιτραπέζιες ελιές</v>
          </cell>
          <cell r="H924">
            <v>2953</v>
          </cell>
          <cell r="K924" t="str">
            <v>Ναι</v>
          </cell>
          <cell r="L924" t="str">
            <v>ΝΑΙ</v>
          </cell>
          <cell r="O924" t="str">
            <v/>
          </cell>
        </row>
        <row r="925">
          <cell r="D925" t="str">
            <v>ΕΛΑΙΩΝΕΣ2000650</v>
          </cell>
          <cell r="E925" t="str">
            <v>BLANQUETA DE ELVAS, ΓΙΑ ΠΑΡΑΓΩΓΗ ΕΠΙΤΡΑΠΕΖΙΑΣ</v>
          </cell>
          <cell r="F925" t="str">
            <v>B_4_3_1</v>
          </cell>
          <cell r="G925" t="str">
            <v>Ελαιώνες που συνήθως παράγουν επιτραπέζιες ελιές</v>
          </cell>
          <cell r="H925">
            <v>2953</v>
          </cell>
          <cell r="K925" t="str">
            <v>Ναι</v>
          </cell>
          <cell r="L925" t="str">
            <v>ΝΑΙ</v>
          </cell>
          <cell r="O925" t="str">
            <v/>
          </cell>
        </row>
        <row r="926">
          <cell r="D926" t="str">
            <v>ΕΛΑΙΩΝΕΣ2000651</v>
          </cell>
          <cell r="E926" t="str">
            <v>BOUTEILLAN, ΓΙΑ ΠΑΡΑΓΩΓΗ ΕΠΙΤΡΑΠΕΖΙΑΣ</v>
          </cell>
          <cell r="F926" t="str">
            <v>B_4_3_1</v>
          </cell>
          <cell r="G926" t="str">
            <v>Ελαιώνες που συνήθως παράγουν επιτραπέζιες ελιές</v>
          </cell>
          <cell r="H926">
            <v>2953</v>
          </cell>
          <cell r="K926" t="str">
            <v>Ναι</v>
          </cell>
          <cell r="L926" t="str">
            <v>ΝΑΙ</v>
          </cell>
          <cell r="O926" t="str">
            <v/>
          </cell>
        </row>
        <row r="927">
          <cell r="D927" t="str">
            <v>ΕΛΑΙΩΝΕΣ2000652</v>
          </cell>
          <cell r="E927" t="str">
            <v>ΓΑΛΑΤΣΑΝΙΚΗ, ΓΙΑ ΠΑΡΑΓΩΓΗ ΕΠΙΤΡΑΠΕΖΙΑΣ</v>
          </cell>
          <cell r="F927" t="str">
            <v>B_4_3_1</v>
          </cell>
          <cell r="G927" t="str">
            <v>Ελαιώνες που συνήθως παράγουν επιτραπέζιες ελιές</v>
          </cell>
          <cell r="H927">
            <v>2953</v>
          </cell>
          <cell r="K927" t="str">
            <v>Ναι</v>
          </cell>
          <cell r="L927" t="str">
            <v>ΝΑΙ</v>
          </cell>
          <cell r="O927" t="str">
            <v/>
          </cell>
        </row>
        <row r="928">
          <cell r="D928" t="str">
            <v>ΕΛΑΙΩΝΕΣ2000653</v>
          </cell>
          <cell r="E928" t="str">
            <v>ΖΑΚΥΝΘΟΥ, ΓΙΑ ΠΑΡΑΓΩΓΗ ΕΠΙΤΡΑΠΕΖΙΑΣ</v>
          </cell>
          <cell r="F928" t="str">
            <v>B_4_3_1</v>
          </cell>
          <cell r="G928" t="str">
            <v>Ελαιώνες που συνήθως παράγουν επιτραπέζιες ελιές</v>
          </cell>
          <cell r="H928">
            <v>2953</v>
          </cell>
          <cell r="K928" t="str">
            <v>Ναι</v>
          </cell>
          <cell r="L928" t="str">
            <v>ΝΑΙ</v>
          </cell>
          <cell r="O928" t="str">
            <v/>
          </cell>
        </row>
        <row r="929">
          <cell r="D929" t="str">
            <v>ΕΛΑΙΩΝΕΣ2000654</v>
          </cell>
          <cell r="E929" t="str">
            <v>FRANCIVENTO, ΓΙΑ ΠΑΡΑΓΩΓΗ ΕΠΙΤΡΑΠΕΖΙΑΣ</v>
          </cell>
          <cell r="F929" t="str">
            <v>B_4_3_1</v>
          </cell>
          <cell r="G929" t="str">
            <v>Ελαιώνες που συνήθως παράγουν επιτραπέζιες ελιές</v>
          </cell>
          <cell r="H929">
            <v>2953</v>
          </cell>
          <cell r="K929" t="str">
            <v>Ναι</v>
          </cell>
          <cell r="L929" t="str">
            <v>ΝΑΙ</v>
          </cell>
          <cell r="O929" t="str">
            <v/>
          </cell>
        </row>
        <row r="930">
          <cell r="D930" t="str">
            <v>ΕΛΑΙΩΝΕΣ2000655</v>
          </cell>
          <cell r="E930" t="str">
            <v>GORDAL SEVILLANA, ΓΙΑ ΠΑΡΑΓΩΓΗ ΕΠΙΤΡΑΠΕΖΙΑΣ</v>
          </cell>
          <cell r="F930" t="str">
            <v>B_4_3_1</v>
          </cell>
          <cell r="G930" t="str">
            <v>Ελαιώνες που συνήθως παράγουν επιτραπέζιες ελιές</v>
          </cell>
          <cell r="H930">
            <v>2953</v>
          </cell>
          <cell r="K930" t="str">
            <v>Ναι</v>
          </cell>
          <cell r="L930" t="str">
            <v>ΝΑΙ</v>
          </cell>
          <cell r="O930" t="str">
            <v/>
          </cell>
        </row>
        <row r="931">
          <cell r="D931" t="str">
            <v>ΕΛΑΙΩΝΕΣ2000656</v>
          </cell>
          <cell r="E931" t="str">
            <v>GRAPPOLO, ΓΙΑ ΠΑΡΑΓΩΓΗ ΕΠΙΤΡΑΠΕΖΙΑΣ</v>
          </cell>
          <cell r="F931" t="str">
            <v>B_4_3_1</v>
          </cell>
          <cell r="G931" t="str">
            <v>Ελαιώνες που συνήθως παράγουν επιτραπέζιες ελιές</v>
          </cell>
          <cell r="H931">
            <v>2953</v>
          </cell>
          <cell r="K931" t="str">
            <v>Ναι</v>
          </cell>
          <cell r="L931" t="str">
            <v>ΝΑΙ</v>
          </cell>
          <cell r="O931" t="str">
            <v/>
          </cell>
        </row>
        <row r="932">
          <cell r="D932" t="str">
            <v>ΕΛΑΙΩΝΕΣ2000657</v>
          </cell>
          <cell r="E932" t="str">
            <v>LECHIO DEL CORNO, ΓΙΑ ΠΑΡΑΓΩΓΗ ΕΠΙΤΡΑΠΕΖΙΑΣ</v>
          </cell>
          <cell r="F932" t="str">
            <v>B_4_3_1</v>
          </cell>
          <cell r="G932" t="str">
            <v>Ελαιώνες που συνήθως παράγουν επιτραπέζιες ελιές</v>
          </cell>
          <cell r="H932">
            <v>2953</v>
          </cell>
          <cell r="K932" t="str">
            <v>Ναι</v>
          </cell>
          <cell r="L932" t="str">
            <v>ΝΑΙ</v>
          </cell>
          <cell r="O932" t="str">
            <v/>
          </cell>
        </row>
        <row r="933">
          <cell r="D933" t="str">
            <v>ΕΛΑΙΩΝΕΣ2000658</v>
          </cell>
          <cell r="E933" t="str">
            <v>ΛΕΥΚΑΔΑΣ ΑΣΠΡΟΛΙΑ, ΓΙΑ ΠΑΡΑΓΩΓΗ ΕΠΙΤΡΑΠΕΖΙΑΣ</v>
          </cell>
          <cell r="F933" t="str">
            <v>B_4_3_1</v>
          </cell>
          <cell r="G933" t="str">
            <v>Ελαιώνες που συνήθως παράγουν επιτραπέζιες ελιές</v>
          </cell>
          <cell r="H933">
            <v>2953</v>
          </cell>
          <cell r="K933" t="str">
            <v>Ναι</v>
          </cell>
          <cell r="L933" t="str">
            <v>ΝΑΙ</v>
          </cell>
          <cell r="O933" t="str">
            <v/>
          </cell>
        </row>
        <row r="934">
          <cell r="D934" t="str">
            <v>ΕΛΑΙΩΝΕΣ2000659</v>
          </cell>
          <cell r="E934" t="str">
            <v>MANZANILLA DE CARMONA, ΓΙΑ ΠΑΡΑΓΩΓΗ ΕΠΙΤΡΑΠΕΖΙΑΣ</v>
          </cell>
          <cell r="F934" t="str">
            <v>B_4_3_1</v>
          </cell>
          <cell r="G934" t="str">
            <v>Ελαιώνες που συνήθως παράγουν επιτραπέζιες ελιές</v>
          </cell>
          <cell r="H934">
            <v>2953</v>
          </cell>
          <cell r="K934" t="str">
            <v>Ναι</v>
          </cell>
          <cell r="L934" t="str">
            <v>ΝΑΙ</v>
          </cell>
          <cell r="O934" t="str">
            <v/>
          </cell>
        </row>
        <row r="935">
          <cell r="D935" t="str">
            <v>ΕΛΑΙΩΝΕΣ2000660</v>
          </cell>
          <cell r="E935" t="str">
            <v>MANZANILLA ISR., ΓΙΑ ΠΑΡΑΓΩΓΗ ΕΠΙΤΡΑΠΕΖΙΑΣ</v>
          </cell>
          <cell r="F935" t="str">
            <v>B_4_3_1</v>
          </cell>
          <cell r="G935" t="str">
            <v>Ελαιώνες που συνήθως παράγουν επιτραπέζιες ελιές</v>
          </cell>
          <cell r="H935">
            <v>2953</v>
          </cell>
          <cell r="K935" t="str">
            <v>Ναι</v>
          </cell>
          <cell r="L935" t="str">
            <v>ΝΑΙ</v>
          </cell>
          <cell r="O935" t="str">
            <v/>
          </cell>
        </row>
        <row r="936">
          <cell r="D936" t="str">
            <v>ΕΛΑΙΩΝΕΣ2000661</v>
          </cell>
          <cell r="E936" t="str">
            <v>MANZANILLA NORMAL, ΓΙΑ ΠΑΡΑΓΩΓΗ ΕΠΙΤΡΑΠΕΖΙΑΣ</v>
          </cell>
          <cell r="F936" t="str">
            <v>B_4_3_1</v>
          </cell>
          <cell r="G936" t="str">
            <v>Ελαιώνες που συνήθως παράγουν επιτραπέζιες ελιές</v>
          </cell>
          <cell r="H936">
            <v>2953</v>
          </cell>
          <cell r="K936" t="str">
            <v>Ναι</v>
          </cell>
          <cell r="L936" t="str">
            <v>ΝΑΙ</v>
          </cell>
          <cell r="O936" t="str">
            <v/>
          </cell>
        </row>
        <row r="937">
          <cell r="D937" t="str">
            <v>ΕΛΑΙΩΝΕΣ2000662</v>
          </cell>
          <cell r="E937" t="str">
            <v>MAROCAN PICHOLINE, ΓΙΑ ΠΑΡΑΓΩΓΗ ΕΠΙΤΡΑΠΕΖΙΑΣ</v>
          </cell>
          <cell r="F937" t="str">
            <v>B_4_3_1</v>
          </cell>
          <cell r="G937" t="str">
            <v>Ελαιώνες που συνήθως παράγουν επιτραπέζιες ελιές</v>
          </cell>
          <cell r="H937">
            <v>2953</v>
          </cell>
          <cell r="K937" t="str">
            <v>Ναι</v>
          </cell>
          <cell r="L937" t="str">
            <v>ΝΑΙ</v>
          </cell>
          <cell r="O937" t="str">
            <v/>
          </cell>
        </row>
        <row r="938">
          <cell r="D938" t="str">
            <v>ΕΛΑΙΩΝΕΣ2000663</v>
          </cell>
          <cell r="E938" t="str">
            <v>ΜΑΡΩΝΕΙΑΣ, ΓΙΑ ΠΑΡΑΓΩΓΗ ΕΠΙΤΡΑΠΕΖΙΑΣ</v>
          </cell>
          <cell r="F938" t="str">
            <v>B_4_3_1</v>
          </cell>
          <cell r="G938" t="str">
            <v>Ελαιώνες που συνήθως παράγουν επιτραπέζιες ελιές</v>
          </cell>
          <cell r="H938">
            <v>2953</v>
          </cell>
          <cell r="K938" t="str">
            <v>Ναι</v>
          </cell>
          <cell r="L938" t="str">
            <v>ΝΑΙ</v>
          </cell>
          <cell r="O938" t="str">
            <v/>
          </cell>
        </row>
        <row r="939">
          <cell r="D939" t="str">
            <v>ΕΛΑΙΩΝΕΣ2000664</v>
          </cell>
          <cell r="E939" t="str">
            <v>MERHAVIA, ΓΙΑ ΠΑΡΑΓΩΓΗ ΕΠΙΤΡΑΠΕΖΙΑΣ</v>
          </cell>
          <cell r="F939" t="str">
            <v>B_4_3_1</v>
          </cell>
          <cell r="G939" t="str">
            <v>Ελαιώνες που συνήθως παράγουν επιτραπέζιες ελιές</v>
          </cell>
          <cell r="H939">
            <v>2953</v>
          </cell>
          <cell r="K939" t="str">
            <v>Ναι</v>
          </cell>
          <cell r="L939" t="str">
            <v>ΝΑΙ</v>
          </cell>
          <cell r="O939" t="str">
            <v/>
          </cell>
        </row>
        <row r="940">
          <cell r="D940" t="str">
            <v>ΕΛΑΙΩΝΕΣ2000665</v>
          </cell>
          <cell r="E940" t="str">
            <v>NASUICHI, ΓΙΑ ΠΑΡΑΓΩΓΗ ΕΠΙΤΡΑΠΕΖΙΑΣ</v>
          </cell>
          <cell r="F940" t="str">
            <v>B_4_3_1</v>
          </cell>
          <cell r="G940" t="str">
            <v>Ελαιώνες που συνήθως παράγουν επιτραπέζιες ελιές</v>
          </cell>
          <cell r="H940">
            <v>2953</v>
          </cell>
          <cell r="K940" t="str">
            <v>Ναι</v>
          </cell>
          <cell r="L940" t="str">
            <v>ΝΑΙ</v>
          </cell>
          <cell r="O940" t="str">
            <v/>
          </cell>
        </row>
        <row r="941">
          <cell r="D941" t="str">
            <v>ΕΛΑΙΩΝΕΣ2000666</v>
          </cell>
          <cell r="E941" t="str">
            <v>NEVADILLO BLANCO, ΓΙΑ ΠΑΡΑΓΩΓΗ ΕΠΙΤΡΑΠΕΖΙΑΣ</v>
          </cell>
          <cell r="F941" t="str">
            <v>B_4_3_1</v>
          </cell>
          <cell r="G941" t="str">
            <v>Ελαιώνες που συνήθως παράγουν επιτραπέζιες ελιές</v>
          </cell>
          <cell r="H941">
            <v>2953</v>
          </cell>
          <cell r="K941" t="str">
            <v>Ναι</v>
          </cell>
          <cell r="L941" t="str">
            <v>ΝΑΙ</v>
          </cell>
          <cell r="O941" t="str">
            <v/>
          </cell>
        </row>
        <row r="942">
          <cell r="D942" t="str">
            <v>ΕΛΑΙΩΝΕΣ2000667</v>
          </cell>
          <cell r="E942" t="str">
            <v>NEVADILLO NEGRO, ΓΙΑ ΠΑΡΑΓΩΓΗ ΕΠΙΤΡΑΠΕΖΙΑΣ</v>
          </cell>
          <cell r="F942" t="str">
            <v>B_4_3_1</v>
          </cell>
          <cell r="G942" t="str">
            <v>Ελαιώνες που συνήθως παράγουν επιτραπέζιες ελιές</v>
          </cell>
          <cell r="H942">
            <v>2953</v>
          </cell>
          <cell r="K942" t="str">
            <v>Ναι</v>
          </cell>
          <cell r="L942" t="str">
            <v>ΝΑΙ</v>
          </cell>
          <cell r="O942" t="str">
            <v/>
          </cell>
        </row>
        <row r="943">
          <cell r="D943" t="str">
            <v>ΕΛΑΙΩΝΕΣ2000668</v>
          </cell>
          <cell r="E943" t="str">
            <v>OLIVA DE CERIGNOLA, ΓΙΑ ΠΑΡΑΓΩΓΗ ΕΠΙΤΡΑΠΕΖΙΑΣ</v>
          </cell>
          <cell r="F943" t="str">
            <v>B_4_3_1</v>
          </cell>
          <cell r="G943" t="str">
            <v>Ελαιώνες που συνήθως παράγουν επιτραπέζιες ελιές</v>
          </cell>
          <cell r="H943">
            <v>2953</v>
          </cell>
          <cell r="K943" t="str">
            <v>Ναι</v>
          </cell>
          <cell r="L943" t="str">
            <v>ΝΑΙ</v>
          </cell>
          <cell r="O943" t="str">
            <v/>
          </cell>
        </row>
        <row r="944">
          <cell r="D944" t="str">
            <v>ΕΛΑΙΩΝΕΣ2000669</v>
          </cell>
          <cell r="E944" t="str">
            <v>PENDOLINO, ΓΙΑ ΠΑΡΑΓΩΓΗ ΕΠΙΤΡΑΠΕΖΙΑΣ</v>
          </cell>
          <cell r="F944" t="str">
            <v>B_4_3_1</v>
          </cell>
          <cell r="G944" t="str">
            <v>Ελαιώνες που συνήθως παράγουν επιτραπέζιες ελιές</v>
          </cell>
          <cell r="H944">
            <v>2953</v>
          </cell>
          <cell r="K944" t="str">
            <v>Ναι</v>
          </cell>
          <cell r="L944" t="str">
            <v>ΝΑΙ</v>
          </cell>
          <cell r="O944" t="str">
            <v/>
          </cell>
        </row>
        <row r="945">
          <cell r="D945" t="str">
            <v>ΕΛΑΙΩΝΕΣ2000670</v>
          </cell>
          <cell r="E945" t="str">
            <v>ΡΑΧΑΤΗ, ΓΙΑ ΠΑΡΑΓΩΓΗ ΕΠΙΤΡΑΠΕΖΙΑΣ</v>
          </cell>
          <cell r="F945" t="str">
            <v>B_4_3_1</v>
          </cell>
          <cell r="G945" t="str">
            <v>Ελαιώνες που συνήθως παράγουν επιτραπέζιες ελιές</v>
          </cell>
          <cell r="H945">
            <v>2953</v>
          </cell>
          <cell r="K945" t="str">
            <v>Ναι</v>
          </cell>
          <cell r="L945" t="str">
            <v>ΝΑΙ</v>
          </cell>
          <cell r="O945" t="str">
            <v/>
          </cell>
        </row>
        <row r="946">
          <cell r="D946" t="str">
            <v>ΕΛΑΙΩΝΕΣ2000671</v>
          </cell>
          <cell r="E946" t="str">
            <v>REAL SEVILLANA, ΓΙΑ ΠΑΡΑΓΩΓΗ ΕΠΙΤΡΑΠΕΖΙΑΣ</v>
          </cell>
          <cell r="F946" t="str">
            <v>B_4_3_1</v>
          </cell>
          <cell r="G946" t="str">
            <v>Ελαιώνες που συνήθως παράγουν επιτραπέζιες ελιές</v>
          </cell>
          <cell r="H946">
            <v>2953</v>
          </cell>
          <cell r="K946" t="str">
            <v>Ναι</v>
          </cell>
          <cell r="L946" t="str">
            <v>ΝΑΙ</v>
          </cell>
          <cell r="O946" t="str">
            <v/>
          </cell>
        </row>
        <row r="947">
          <cell r="D947" t="str">
            <v>ΕΛΑΙΩΝΕΣ2000672</v>
          </cell>
          <cell r="E947" t="str">
            <v>ΡΟΒΙΩΝ (ΠΡΑΣΙΝΗ), ΓΙΑ ΠΑΡΑΓΩΓΗ ΕΠΙΤΡΑΠΕΖΙΑΣ</v>
          </cell>
          <cell r="F947" t="str">
            <v>B_4_3_1</v>
          </cell>
          <cell r="G947" t="str">
            <v>Ελαιώνες που συνήθως παράγουν επιτραπέζιες ελιές</v>
          </cell>
          <cell r="H947">
            <v>2953</v>
          </cell>
          <cell r="K947" t="str">
            <v>Ναι</v>
          </cell>
          <cell r="L947" t="str">
            <v>ΝΑΙ</v>
          </cell>
          <cell r="O947" t="str">
            <v/>
          </cell>
        </row>
        <row r="948">
          <cell r="D948" t="str">
            <v>ΕΛΑΙΩΝΕΣ2000673</v>
          </cell>
          <cell r="E948" t="str">
            <v>ROSCIOLA, ΓΙΑ ΠΑΡΑΓΩΓΗ ΕΠΙΤΡΑΠΕΖΙΑΣ</v>
          </cell>
          <cell r="F948" t="str">
            <v>B_4_3_1</v>
          </cell>
          <cell r="G948" t="str">
            <v>Ελαιώνες που συνήθως παράγουν επιτραπέζιες ελιές</v>
          </cell>
          <cell r="H948">
            <v>2953</v>
          </cell>
          <cell r="K948" t="str">
            <v>Ναι</v>
          </cell>
          <cell r="L948" t="str">
            <v>ΝΑΙ</v>
          </cell>
          <cell r="O948" t="str">
            <v/>
          </cell>
        </row>
        <row r="949">
          <cell r="D949" t="str">
            <v>ΕΛΑΙΩΝΕΣ2000674</v>
          </cell>
          <cell r="E949" t="str">
            <v>SDE ELIAO, ΓΙΑ ΠΑΡΑΓΩΓΗ ΕΠΙΤΡΑΠΕΖΙΑΣ</v>
          </cell>
          <cell r="F949" t="str">
            <v>B_4_3_1</v>
          </cell>
          <cell r="G949" t="str">
            <v>Ελαιώνες που συνήθως παράγουν επιτραπέζιες ελιές</v>
          </cell>
          <cell r="H949">
            <v>2953</v>
          </cell>
          <cell r="K949" t="str">
            <v>Ναι</v>
          </cell>
          <cell r="L949" t="str">
            <v>ΝΑΙ</v>
          </cell>
          <cell r="O949" t="str">
            <v/>
          </cell>
        </row>
        <row r="950">
          <cell r="D950" t="str">
            <v>ΕΛΑΙΩΝΕΣ2000675</v>
          </cell>
          <cell r="E950" t="str">
            <v>SORANI, ΓΙΑ ΠΑΡΑΓΩΓΗ ΕΠΙΤΡΑΠΕΖΙΑΣ</v>
          </cell>
          <cell r="F950" t="str">
            <v>B_4_3_1</v>
          </cell>
          <cell r="G950" t="str">
            <v>Ελαιώνες που συνήθως παράγουν επιτραπέζιες ελιές</v>
          </cell>
          <cell r="H950">
            <v>2953</v>
          </cell>
          <cell r="K950" t="str">
            <v>Ναι</v>
          </cell>
          <cell r="L950" t="str">
            <v>ΝΑΙ</v>
          </cell>
          <cell r="O950" t="str">
            <v/>
          </cell>
        </row>
        <row r="951">
          <cell r="D951" t="str">
            <v>ΕΛΑΙΩΝΕΣ2000676</v>
          </cell>
          <cell r="E951" t="str">
            <v>TEMPIANILLO LUCENA, ΓΙΑ ΠΑΡΑΓΩΓΗ ΕΠΙΤΡΑΠΕΖΙΑΣ</v>
          </cell>
          <cell r="F951" t="str">
            <v>B_4_3_1</v>
          </cell>
          <cell r="G951" t="str">
            <v>Ελαιώνες που συνήθως παράγουν επιτραπέζιες ελιές</v>
          </cell>
          <cell r="H951">
            <v>2953</v>
          </cell>
          <cell r="K951" t="str">
            <v>Ναι</v>
          </cell>
          <cell r="L951" t="str">
            <v>ΝΑΙ</v>
          </cell>
          <cell r="O951" t="str">
            <v/>
          </cell>
        </row>
        <row r="952">
          <cell r="D952" t="str">
            <v>ΕΛΑΙΩΝΕΣ2000677</v>
          </cell>
          <cell r="E952" t="str">
            <v>ZORZALENO, ΓΙΑ ΠΑΡΑΓΩΓΗ ΕΠΙΤΡΑΠΕΖΙΑΣ</v>
          </cell>
          <cell r="F952" t="str">
            <v>B_4_3_1</v>
          </cell>
          <cell r="G952" t="str">
            <v>Ελαιώνες που συνήθως παράγουν επιτραπέζιες ελιές</v>
          </cell>
          <cell r="H952">
            <v>2953</v>
          </cell>
          <cell r="K952" t="str">
            <v>Ναι</v>
          </cell>
          <cell r="L952" t="str">
            <v>ΝΑΙ</v>
          </cell>
          <cell r="O952" t="str">
            <v/>
          </cell>
        </row>
        <row r="953">
          <cell r="D953" t="str">
            <v>ΕΛΑΙΩΝΕΣ2008190</v>
          </cell>
          <cell r="E953" t="str">
            <v>ΕΛΑΙΩΝΕΣ ΓΙΑ ΠΑΡΑΓΩΓΗ ΕΠΙΤΡΑΠΕΖΙΑΣ ΕΛΙΑΣ - ΛΟΙΠΕΣ, ΓΙΑ ΠΑΡΑΓΩΓΗ ΕΠΙΤΡΑΠΕΖΙΑΣ</v>
          </cell>
          <cell r="F953" t="str">
            <v>B_4_3_1</v>
          </cell>
          <cell r="G953" t="str">
            <v>Ελαιώνες που συνήθως παράγουν επιτραπέζιες ελιές</v>
          </cell>
          <cell r="H953">
            <v>2953</v>
          </cell>
          <cell r="K953" t="str">
            <v>Ναι</v>
          </cell>
          <cell r="L953" t="str">
            <v>ΝΑΙ</v>
          </cell>
          <cell r="O953" t="str">
            <v/>
          </cell>
        </row>
        <row r="954">
          <cell r="D954" t="str">
            <v>ΕΛΑΙΩΝΕΣ201</v>
          </cell>
          <cell r="E954" t="str">
            <v>ΤΣΟΥΝΑΤΗ (ΜΑΤΣΟΛΗΑ, ΑΘΗΝΟΛΙΑ)</v>
          </cell>
          <cell r="K954" t="str">
            <v>Ναι</v>
          </cell>
          <cell r="L954" t="str">
            <v>ΝΑΙ</v>
          </cell>
          <cell r="O954" t="str">
            <v/>
          </cell>
        </row>
        <row r="955">
          <cell r="D955" t="str">
            <v>ΕΛΑΙΩΝΕΣ202</v>
          </cell>
          <cell r="E955" t="str">
            <v>FRANTOIO</v>
          </cell>
          <cell r="K955" t="str">
            <v>Ναι</v>
          </cell>
          <cell r="L955" t="str">
            <v>ΝΑΙ</v>
          </cell>
          <cell r="O955" t="str">
            <v/>
          </cell>
        </row>
        <row r="956">
          <cell r="D956" t="str">
            <v>ΕΛΑΙΩΝΕΣ203</v>
          </cell>
          <cell r="E956" t="str">
            <v>ΧΑΛΚΙΔΙΚΗΣ</v>
          </cell>
          <cell r="K956" t="str">
            <v>Ναι</v>
          </cell>
          <cell r="L956" t="str">
            <v>ΝΑΙ</v>
          </cell>
          <cell r="O956" t="str">
            <v/>
          </cell>
        </row>
        <row r="957">
          <cell r="D957" t="str">
            <v>ΕΛΑΙΩΝΕΣ204</v>
          </cell>
          <cell r="E957" t="str">
            <v>ΧΟΝΔΡΟΛΗΑ</v>
          </cell>
          <cell r="K957" t="str">
            <v>Ναι</v>
          </cell>
          <cell r="L957" t="str">
            <v>ΝΑΙ</v>
          </cell>
          <cell r="O957" t="str">
            <v/>
          </cell>
        </row>
        <row r="958">
          <cell r="D958" t="str">
            <v>ΕΛΑΙΩΝΕΣ205</v>
          </cell>
          <cell r="E958" t="str">
            <v>ΧΟΝΔΡΟΛΗΑ ΧΑΛΚΙΔΙΚΗΣ</v>
          </cell>
          <cell r="K958" t="str">
            <v>Ναι</v>
          </cell>
          <cell r="L958" t="str">
            <v>ΝΑΙ</v>
          </cell>
          <cell r="O958" t="str">
            <v/>
          </cell>
        </row>
        <row r="959">
          <cell r="D959" t="str">
            <v>ΕΛΑΙΩΝΕΣ206</v>
          </cell>
          <cell r="E959" t="str">
            <v>ΧΡΥΣΟΛΙΑ</v>
          </cell>
          <cell r="K959" t="str">
            <v>Ναι</v>
          </cell>
          <cell r="L959" t="str">
            <v>ΝΑΙ</v>
          </cell>
          <cell r="O959" t="str">
            <v/>
          </cell>
        </row>
        <row r="960">
          <cell r="D960" t="str">
            <v>ΕΛΑΙΩΝΕΣ207</v>
          </cell>
          <cell r="E960" t="str">
            <v>SEVILLANO</v>
          </cell>
          <cell r="K960" t="str">
            <v>Ναι</v>
          </cell>
          <cell r="L960" t="str">
            <v>ΝΑΙ</v>
          </cell>
          <cell r="O960" t="str">
            <v/>
          </cell>
        </row>
        <row r="961">
          <cell r="D961" t="str">
            <v>ΕΛΑΙΩΝΕΣ208</v>
          </cell>
          <cell r="E961" t="str">
            <v>OBLONCA</v>
          </cell>
          <cell r="K961" t="str">
            <v>Ναι</v>
          </cell>
          <cell r="L961" t="str">
            <v>ΝΑΙ</v>
          </cell>
          <cell r="O961" t="str">
            <v/>
          </cell>
        </row>
        <row r="962">
          <cell r="D962" t="str">
            <v>ΕΛΑΙΩΝΕΣ209</v>
          </cell>
          <cell r="E962" t="str">
            <v>KADESH</v>
          </cell>
          <cell r="K962" t="str">
            <v>Ναι</v>
          </cell>
          <cell r="L962" t="str">
            <v>ΝΑΙ</v>
          </cell>
          <cell r="O962" t="str">
            <v/>
          </cell>
        </row>
        <row r="963">
          <cell r="D963" t="str">
            <v>ΕΛΑΙΩΝΕΣ210</v>
          </cell>
          <cell r="E963" t="str">
            <v>SOYRI</v>
          </cell>
          <cell r="K963" t="str">
            <v>Ναι</v>
          </cell>
          <cell r="L963" t="str">
            <v>ΝΑΙ</v>
          </cell>
          <cell r="O963" t="str">
            <v/>
          </cell>
        </row>
        <row r="964">
          <cell r="D964" t="str">
            <v>ΕΛΑΙΩΝΕΣ211</v>
          </cell>
          <cell r="E964" t="str">
            <v>ZARZARIEGA</v>
          </cell>
          <cell r="K964" t="str">
            <v>Ναι</v>
          </cell>
          <cell r="L964" t="str">
            <v>ΝΑΙ</v>
          </cell>
          <cell r="O964" t="str">
            <v/>
          </cell>
        </row>
        <row r="965">
          <cell r="D965" t="str">
            <v>ΕΛΑΙΩΝΕΣ212</v>
          </cell>
          <cell r="E965" t="str">
            <v>CORNICABRA</v>
          </cell>
          <cell r="K965" t="str">
            <v>Ναι</v>
          </cell>
          <cell r="L965" t="str">
            <v>ΝΑΙ</v>
          </cell>
          <cell r="O965" t="str">
            <v/>
          </cell>
        </row>
        <row r="966">
          <cell r="D966" t="str">
            <v>ΕΛΑΙΩΝΕΣ213</v>
          </cell>
          <cell r="E966" t="str">
            <v>ECIJANO</v>
          </cell>
          <cell r="K966" t="str">
            <v>Ναι</v>
          </cell>
          <cell r="L966" t="str">
            <v>ΝΑΙ</v>
          </cell>
          <cell r="O966" t="str">
            <v/>
          </cell>
        </row>
        <row r="967">
          <cell r="D967" t="str">
            <v>ΕΛΑΙΩΝΕΣ214</v>
          </cell>
          <cell r="E967" t="str">
            <v>VERDIAL</v>
          </cell>
          <cell r="K967" t="str">
            <v>Ναι</v>
          </cell>
          <cell r="L967" t="str">
            <v>ΝΑΙ</v>
          </cell>
          <cell r="O967" t="str">
            <v/>
          </cell>
        </row>
        <row r="968">
          <cell r="D968" t="str">
            <v>ΕΛΑΙΩΝΕΣ215</v>
          </cell>
          <cell r="E968" t="str">
            <v>BAROUNI</v>
          </cell>
          <cell r="K968" t="str">
            <v>Ναι</v>
          </cell>
          <cell r="L968" t="str">
            <v>ΝΑΙ</v>
          </cell>
          <cell r="O968" t="str">
            <v/>
          </cell>
        </row>
        <row r="969">
          <cell r="D969" t="str">
            <v>ΕΛΑΙΩΝΕΣ216</v>
          </cell>
          <cell r="E969" t="str">
            <v>PIACENTE</v>
          </cell>
          <cell r="K969" t="str">
            <v>Ναι</v>
          </cell>
          <cell r="L969" t="str">
            <v>ΝΑΙ</v>
          </cell>
          <cell r="O969" t="str">
            <v/>
          </cell>
        </row>
        <row r="970">
          <cell r="D970" t="str">
            <v>ΕΛΑΙΩΝΕΣ217</v>
          </cell>
          <cell r="E970" t="str">
            <v>DOLCE AGOCIA</v>
          </cell>
          <cell r="K970" t="str">
            <v>Ναι</v>
          </cell>
          <cell r="L970" t="str">
            <v>ΝΑΙ</v>
          </cell>
          <cell r="O970" t="str">
            <v/>
          </cell>
        </row>
        <row r="971">
          <cell r="D971" t="str">
            <v>ΕΛΑΙΩΝΕΣ218</v>
          </cell>
          <cell r="E971" t="str">
            <v>HOJIBLANCA</v>
          </cell>
          <cell r="K971" t="str">
            <v>Ναι</v>
          </cell>
          <cell r="L971" t="str">
            <v>ΝΑΙ</v>
          </cell>
          <cell r="O971" t="str">
            <v/>
          </cell>
        </row>
        <row r="972">
          <cell r="D972" t="str">
            <v>ΕΛΑΙΩΝΕΣ219</v>
          </cell>
          <cell r="E972" t="str">
            <v>CORATINA</v>
          </cell>
          <cell r="K972" t="str">
            <v>Ναι</v>
          </cell>
          <cell r="L972" t="str">
            <v>ΝΑΙ</v>
          </cell>
          <cell r="O972" t="str">
            <v/>
          </cell>
        </row>
        <row r="973">
          <cell r="D973" t="str">
            <v>ΕΛΑΙΩΝΕΣ220</v>
          </cell>
          <cell r="E973" t="str">
            <v>NEGRAL</v>
          </cell>
          <cell r="K973" t="str">
            <v>Ναι</v>
          </cell>
          <cell r="L973" t="str">
            <v>ΝΑΙ</v>
          </cell>
          <cell r="O973" t="str">
            <v/>
          </cell>
        </row>
        <row r="974">
          <cell r="D974" t="str">
            <v>ΕΛΑΙΩΝΕΣ221</v>
          </cell>
          <cell r="E974" t="str">
            <v>FARGA</v>
          </cell>
          <cell r="K974" t="str">
            <v>Ναι</v>
          </cell>
          <cell r="L974" t="str">
            <v>ΝΑΙ</v>
          </cell>
          <cell r="O974" t="str">
            <v/>
          </cell>
        </row>
        <row r="975">
          <cell r="D975" t="str">
            <v>ΕΛΑΙΩΝΕΣ222</v>
          </cell>
          <cell r="E975" t="str">
            <v>NABAL</v>
          </cell>
          <cell r="K975" t="str">
            <v>Ναι</v>
          </cell>
          <cell r="L975" t="str">
            <v>ΝΑΙ</v>
          </cell>
          <cell r="O975" t="str">
            <v/>
          </cell>
        </row>
        <row r="976">
          <cell r="D976" t="str">
            <v>ΕΛΑΙΩΝΕΣ223</v>
          </cell>
          <cell r="E976" t="str">
            <v>MORISCA</v>
          </cell>
          <cell r="K976" t="str">
            <v>Ναι</v>
          </cell>
          <cell r="L976" t="str">
            <v>ΝΑΙ</v>
          </cell>
          <cell r="O976" t="str">
            <v/>
          </cell>
        </row>
        <row r="977">
          <cell r="D977" t="str">
            <v>ΕΛΑΙΩΝΕΣ224</v>
          </cell>
          <cell r="E977" t="str">
            <v>EMPELTRE</v>
          </cell>
          <cell r="K977" t="str">
            <v>Ναι</v>
          </cell>
          <cell r="L977" t="str">
            <v>ΝΑΙ</v>
          </cell>
          <cell r="O977" t="str">
            <v/>
          </cell>
        </row>
        <row r="978">
          <cell r="D978" t="str">
            <v>ΕΛΑΙΩΝΕΣ225</v>
          </cell>
          <cell r="E978" t="str">
            <v>CASALIVA</v>
          </cell>
          <cell r="K978" t="str">
            <v>Ναι</v>
          </cell>
          <cell r="L978" t="str">
            <v>ΝΑΙ</v>
          </cell>
          <cell r="O978" t="str">
            <v/>
          </cell>
        </row>
        <row r="979">
          <cell r="D979" t="str">
            <v>ΕΛΑΙΩΝΕΣ226</v>
          </cell>
          <cell r="E979" t="str">
            <v>LEUCOCARPA</v>
          </cell>
          <cell r="K979" t="str">
            <v>Ναι</v>
          </cell>
          <cell r="L979" t="str">
            <v>ΝΑΙ</v>
          </cell>
          <cell r="O979" t="str">
            <v/>
          </cell>
        </row>
        <row r="980">
          <cell r="D980" t="str">
            <v>ΕΛΑΙΩΝΕΣ227</v>
          </cell>
          <cell r="E980" t="str">
            <v>CORNEZUELO</v>
          </cell>
          <cell r="K980" t="str">
            <v>Ναι</v>
          </cell>
          <cell r="L980" t="str">
            <v>ΝΑΙ</v>
          </cell>
          <cell r="O980" t="str">
            <v/>
          </cell>
        </row>
        <row r="981">
          <cell r="D981" t="str">
            <v>ΕΛΑΙΩΝΕΣ228</v>
          </cell>
          <cell r="E981" t="str">
            <v>RAZZOLA</v>
          </cell>
          <cell r="K981" t="str">
            <v>Ναι</v>
          </cell>
          <cell r="L981" t="str">
            <v>ΝΑΙ</v>
          </cell>
          <cell r="O981" t="str">
            <v/>
          </cell>
        </row>
        <row r="982">
          <cell r="D982" t="str">
            <v>ΕΛΑΙΩΝΕΣ229</v>
          </cell>
          <cell r="E982" t="str">
            <v>FECCIARO</v>
          </cell>
          <cell r="K982" t="str">
            <v>Ναι</v>
          </cell>
          <cell r="L982" t="str">
            <v>ΝΑΙ</v>
          </cell>
          <cell r="O982" t="str">
            <v/>
          </cell>
        </row>
        <row r="983">
          <cell r="D983" t="str">
            <v>ΕΛΑΙΩΝΕΣ230</v>
          </cell>
          <cell r="E983" t="str">
            <v>CUCCO</v>
          </cell>
          <cell r="K983" t="str">
            <v>Ναι</v>
          </cell>
          <cell r="L983" t="str">
            <v>ΝΑΙ</v>
          </cell>
          <cell r="O983" t="str">
            <v/>
          </cell>
        </row>
        <row r="984">
          <cell r="D984" t="str">
            <v>ΕΛΑΙΩΝΕΣ231</v>
          </cell>
          <cell r="E984" t="str">
            <v>MAURINO</v>
          </cell>
          <cell r="K984" t="str">
            <v>Ναι</v>
          </cell>
          <cell r="L984" t="str">
            <v>ΝΑΙ</v>
          </cell>
          <cell r="O984" t="str">
            <v/>
          </cell>
        </row>
        <row r="985">
          <cell r="D985" t="str">
            <v>ΕΛΑΙΩΝΕΣ3000153</v>
          </cell>
          <cell r="E985" t="str">
            <v>ΑΜΦΙΣΣΗΣ (ΒΟΛΙΩΤΙΚΗ, ΠΗΛΙΟΥ, ΣΤΥΛΙΔΟΣ, ΑΓΡΙΝΙΟΥ), ΔΙΠΛΗΣ ΚΑΤΕΥΘΥΝΣΗΣ</v>
          </cell>
          <cell r="F985" t="str">
            <v>B_4_3_1</v>
          </cell>
          <cell r="G985" t="str">
            <v>Ελαιώνες που συνήθως παράγουν επιτραπέζιες ελιές</v>
          </cell>
          <cell r="H985">
            <v>2953</v>
          </cell>
          <cell r="K985" t="str">
            <v>Ναι</v>
          </cell>
          <cell r="L985" t="str">
            <v>ΝΑΙ</v>
          </cell>
          <cell r="O985" t="str">
            <v/>
          </cell>
        </row>
        <row r="986">
          <cell r="D986" t="str">
            <v>ΕΛΑΙΩΝΕΣ3000154</v>
          </cell>
          <cell r="E986" t="str">
            <v>ΑΜΥΓΔΑΛΟΛΗΑ (ΣΤΡΑΒΟΜΥΤΑ, ΚΟΥΡΟΜΥΤΑ), ΔΙΠΛΗΣ ΚΑΤΕΥΘΥΝΣΗΣ</v>
          </cell>
          <cell r="F986" t="str">
            <v>B_4_3_1</v>
          </cell>
          <cell r="G986" t="str">
            <v>Ελαιώνες που συνήθως παράγουν επιτραπέζιες ελιές</v>
          </cell>
          <cell r="H986">
            <v>2953</v>
          </cell>
          <cell r="K986" t="str">
            <v>Ναι</v>
          </cell>
          <cell r="L986" t="str">
            <v>ΝΑΙ</v>
          </cell>
          <cell r="O986" t="str">
            <v/>
          </cell>
        </row>
        <row r="987">
          <cell r="D987" t="str">
            <v>ΕΛΑΙΩΝΕΣ3000155</v>
          </cell>
          <cell r="E987" t="str">
            <v>ΑΔΡΑΜΥΤΤΙΝΗ (ΑΔΡΑΜΥΤΙΚΗ ΛΕΣΒΟΥ, ΑΙΒΑΛΙΩΤΙΚΗ,  ΦΡΑΓΚ), ΔΙΠΛΗΣ ΚΑΤΕΥΘΥΝΣΗΣ</v>
          </cell>
          <cell r="F987" t="str">
            <v>B_4_3_1</v>
          </cell>
          <cell r="G987" t="str">
            <v>Ελαιώνες που συνήθως παράγουν επιτραπέζιες ελιές</v>
          </cell>
          <cell r="H987">
            <v>2953</v>
          </cell>
          <cell r="K987" t="str">
            <v>Ναι</v>
          </cell>
          <cell r="L987" t="str">
            <v>ΝΑΙ</v>
          </cell>
          <cell r="O987" t="str">
            <v/>
          </cell>
        </row>
        <row r="988">
          <cell r="D988" t="str">
            <v>ΕΛΑΙΩΝΕΣ3000156</v>
          </cell>
          <cell r="E988" t="str">
            <v>ΑΓΟΥΡΟΜΑΝΑΚΟΛΙΑ (ΑΓΟΥΡΟΜΑΝΑΚΟ, ΑΓΟΥΡΟΜΑΝΑΚΙ), ΔΙΠΛΗΣ ΚΑΤΕΥΘΥΝΣΗΣ</v>
          </cell>
          <cell r="F988" t="str">
            <v>B_4_3_1</v>
          </cell>
          <cell r="G988" t="str">
            <v>Ελαιώνες που συνήθως παράγουν επιτραπέζιες ελιές</v>
          </cell>
          <cell r="H988">
            <v>2953</v>
          </cell>
          <cell r="K988" t="str">
            <v>Ναι</v>
          </cell>
          <cell r="L988" t="str">
            <v>ΝΑΙ</v>
          </cell>
          <cell r="O988" t="str">
            <v/>
          </cell>
        </row>
        <row r="989">
          <cell r="D989" t="str">
            <v>ΕΛΑΙΩΝΕΣ3000157</v>
          </cell>
          <cell r="E989" t="str">
            <v>ARBEQUINE (ARBEQUINA, ARBEQUIN), ΔΙΠΛΗΣ ΚΑΤΕΥΘΥΝΣΗΣ</v>
          </cell>
          <cell r="F989" t="str">
            <v>B_4_3_1</v>
          </cell>
          <cell r="G989" t="str">
            <v>Ελαιώνες που συνήθως παράγουν επιτραπέζιες ελιές</v>
          </cell>
          <cell r="H989">
            <v>2953</v>
          </cell>
          <cell r="K989" t="str">
            <v>Ναι</v>
          </cell>
          <cell r="L989" t="str">
            <v>ΝΑΙ</v>
          </cell>
          <cell r="O989" t="str">
            <v/>
          </cell>
        </row>
        <row r="990">
          <cell r="D990" t="str">
            <v>ΕΛΑΙΩΝΕΣ3000158</v>
          </cell>
          <cell r="E990" t="str">
            <v>ΒΑΣΙΛΙΚΑΔΑ (ΒΑΣΙΛΙΚΗ), ΔΙΠΛΗΣ ΚΑΤΕΥΘΥΝΣΗΣ</v>
          </cell>
          <cell r="F990" t="str">
            <v>B_4_3_1</v>
          </cell>
          <cell r="G990" t="str">
            <v>Ελαιώνες που συνήθως παράγουν επιτραπέζιες ελιές</v>
          </cell>
          <cell r="H990">
            <v>2953</v>
          </cell>
          <cell r="K990" t="str">
            <v>Ναι</v>
          </cell>
          <cell r="L990" t="str">
            <v>ΝΑΙ</v>
          </cell>
          <cell r="O990" t="str">
            <v/>
          </cell>
        </row>
        <row r="991">
          <cell r="D991" t="str">
            <v>ΕΛΑΙΩΝΕΣ3000159</v>
          </cell>
          <cell r="E991" t="str">
            <v>ΒΑΛΑΝΟΛΙΑ (ΜΥΤΙΛΙΝΙΑ, ΚΟΛΟΒΗ,  ΒΑΛΑΝΑ), ΔΙΠΛΗΣ ΚΑΤΕΥΘΥΝΣΗΣ</v>
          </cell>
          <cell r="F991" t="str">
            <v>B_4_3_1</v>
          </cell>
          <cell r="G991" t="str">
            <v>Ελαιώνες που συνήθως παράγουν επιτραπέζιες ελιές</v>
          </cell>
          <cell r="H991">
            <v>2953</v>
          </cell>
          <cell r="K991" t="str">
            <v>Ναι</v>
          </cell>
          <cell r="L991" t="str">
            <v>ΝΑΙ</v>
          </cell>
          <cell r="O991" t="str">
            <v/>
          </cell>
        </row>
        <row r="992">
          <cell r="D992" t="str">
            <v>ΕΛΑΙΩΝΕΣ3000160</v>
          </cell>
          <cell r="E992" t="str">
            <v>ΓΑΙΔΟΥΡΕΛΙΑ (ΔΑΜΑΣΚΗΝΑΤΗ, ΑΔΡΟΚΑΡΠΗ), ΔΙΠΛΗΣ ΚΑΤΕΥΘΥΝΣΗΣ</v>
          </cell>
          <cell r="F992" t="str">
            <v>B_4_3_1</v>
          </cell>
          <cell r="G992" t="str">
            <v>Ελαιώνες που συνήθως παράγουν επιτραπέζιες ελιές</v>
          </cell>
          <cell r="H992">
            <v>2953</v>
          </cell>
          <cell r="K992" t="str">
            <v>Ναι</v>
          </cell>
          <cell r="L992" t="str">
            <v>ΝΑΙ</v>
          </cell>
          <cell r="O992" t="str">
            <v/>
          </cell>
        </row>
        <row r="993">
          <cell r="D993" t="str">
            <v>ΕΛΑΙΩΝΕΣ3000161</v>
          </cell>
          <cell r="E993" t="str">
            <v>ΔΑΜΑΣΚΗΝΑΤΗ ΛΕΣΒΟΥ, ΔΙΠΛΗΣ ΚΑΤΕΥΘΥΝΣΗΣ</v>
          </cell>
          <cell r="F993" t="str">
            <v>B_4_3_1</v>
          </cell>
          <cell r="G993" t="str">
            <v>Ελαιώνες που συνήθως παράγουν επιτραπέζιες ελιές</v>
          </cell>
          <cell r="H993">
            <v>2953</v>
          </cell>
          <cell r="K993" t="str">
            <v>Ναι</v>
          </cell>
          <cell r="L993" t="str">
            <v>ΝΑΙ</v>
          </cell>
          <cell r="O993" t="str">
            <v/>
          </cell>
        </row>
        <row r="994">
          <cell r="D994" t="str">
            <v>ΕΛΑΙΩΝΕΣ3000162</v>
          </cell>
          <cell r="E994" t="str">
            <v>ΔΑΦΝΕΛΙA (ΔΑΦΝΟΚΑΡΠΗ), ΔΙΠΛΗΣ ΚΑΤΕΥΘΥΝΣΗΣ</v>
          </cell>
          <cell r="F994" t="str">
            <v>B_4_3_1</v>
          </cell>
          <cell r="G994" t="str">
            <v>Ελαιώνες που συνήθως παράγουν επιτραπέζιες ελιές</v>
          </cell>
          <cell r="H994">
            <v>2953</v>
          </cell>
          <cell r="K994" t="str">
            <v>Ναι</v>
          </cell>
          <cell r="L994" t="str">
            <v>ΝΑΙ</v>
          </cell>
          <cell r="O994" t="str">
            <v/>
          </cell>
        </row>
        <row r="995">
          <cell r="D995" t="str">
            <v>ΕΛΑΙΩΝΕΣ3000163</v>
          </cell>
          <cell r="E995" t="str">
            <v>GORDAL, ΔΙΠΛΗΣ ΚΑΤΕΥΘΥΝΣΗΣ</v>
          </cell>
          <cell r="F995" t="str">
            <v>B_4_3_1</v>
          </cell>
          <cell r="G995" t="str">
            <v>Ελαιώνες που συνήθως παράγουν επιτραπέζιες ελιές</v>
          </cell>
          <cell r="H995">
            <v>2953</v>
          </cell>
          <cell r="K995" t="str">
            <v>Ναι</v>
          </cell>
          <cell r="L995" t="str">
            <v>ΝΑΙ</v>
          </cell>
          <cell r="O995" t="str">
            <v/>
          </cell>
        </row>
        <row r="996">
          <cell r="D996" t="str">
            <v>ΕΛΑΙΩΝΕΣ3000164</v>
          </cell>
          <cell r="E996" t="str">
            <v>ΘΡΟΥΜΠΑ (ΘΡΟΥΜΠΟΛΙΑ, ΘΑΣΙΤΙΚΗ, ΛΑΔΟΛΙΑ, ΘΑΣΟΥ), ΔΙΠΛΗΣ ΚΑΤΕΥΘΥΝΣΗΣ</v>
          </cell>
          <cell r="F996" t="str">
            <v>B_4_3_1</v>
          </cell>
          <cell r="G996" t="str">
            <v>Ελαιώνες που συνήθως παράγουν επιτραπέζιες ελιές</v>
          </cell>
          <cell r="H996">
            <v>2953</v>
          </cell>
          <cell r="K996" t="str">
            <v>Ναι</v>
          </cell>
          <cell r="L996" t="str">
            <v>ΝΑΙ</v>
          </cell>
          <cell r="O996" t="str">
            <v/>
          </cell>
        </row>
        <row r="997">
          <cell r="D997" t="str">
            <v>ΕΛΑΙΩΝΕΣ3000165</v>
          </cell>
          <cell r="E997" t="str">
            <v>ΚΟΥΤΣΟΥΡΕΛΙΑ (ΚΟΥΡΤΕΛΙΑ, ΚΟΥΡΕΛΙΑ), ΔΙΠΛΗΣ ΚΑΤΕΥΘΥΝΣΗΣ</v>
          </cell>
          <cell r="F997" t="str">
            <v>B_4_3_1</v>
          </cell>
          <cell r="G997" t="str">
            <v>Ελαιώνες που συνήθως παράγουν επιτραπέζιες ελιές</v>
          </cell>
          <cell r="H997">
            <v>2953</v>
          </cell>
          <cell r="K997" t="str">
            <v>Ναι</v>
          </cell>
          <cell r="L997" t="str">
            <v>ΝΑΙ</v>
          </cell>
          <cell r="O997" t="str">
            <v/>
          </cell>
        </row>
        <row r="998">
          <cell r="D998" t="str">
            <v>ΕΛΑΙΩΝΕΣ3000166</v>
          </cell>
          <cell r="E998" t="str">
            <v>ΚΟΡΩΝΕΙΚΗ (ΚΟΡΩΝΗ, ΒΑΤΣΙΚΗ,  ΚΡΗΤΙΚΙΑ,  ΚΟΡΩΝΙΑ ΚΡΗ), ΔΙΠΛΗΣ ΚΑΤΕΥΘΥΝΣΗΣ</v>
          </cell>
          <cell r="F998" t="str">
            <v>B_4_3_1</v>
          </cell>
          <cell r="G998" t="str">
            <v>Ελαιώνες που συνήθως παράγουν επιτραπέζιες ελιές</v>
          </cell>
          <cell r="H998">
            <v>2953</v>
          </cell>
          <cell r="K998" t="str">
            <v>Ναι</v>
          </cell>
          <cell r="L998" t="str">
            <v>ΝΑΙ</v>
          </cell>
          <cell r="O998" t="str">
            <v/>
          </cell>
        </row>
        <row r="999">
          <cell r="D999" t="str">
            <v>ΕΛΑΙΩΝΕΣ3000167</v>
          </cell>
          <cell r="E999" t="str">
            <v>ΚΑΛΟΚΑΙΡΙΔΑ (ΠΡΩΙΜΗ), ΔΙΠΛΗΣ ΚΑΤΕΥΘΥΝΣΗΣ</v>
          </cell>
          <cell r="F999" t="str">
            <v>B_4_3_1</v>
          </cell>
          <cell r="G999" t="str">
            <v>Ελαιώνες που συνήθως παράγουν επιτραπέζιες ελιές</v>
          </cell>
          <cell r="H999">
            <v>2953</v>
          </cell>
          <cell r="K999" t="str">
            <v>Ναι</v>
          </cell>
          <cell r="L999" t="str">
            <v>ΝΑΙ</v>
          </cell>
          <cell r="O999" t="str">
            <v/>
          </cell>
        </row>
        <row r="1000">
          <cell r="D1000" t="str">
            <v>ΕΛΑΙΩΝΕΣ3000168</v>
          </cell>
          <cell r="E1000" t="str">
            <v>ΚΑΛΑΜΩΝ (ΚΑΛΑΜΑΤΙΑΝΗ, ΤΣΙΓΚΟΛΙ,  ΑΕΤΟΝΥΧΙ), ΔΙΠΛΗΣ ΚΑΤΕΥΘΥΝΣΗΣ</v>
          </cell>
          <cell r="F1000" t="str">
            <v>B_4_3_1</v>
          </cell>
          <cell r="G1000" t="str">
            <v>Ελαιώνες που συνήθως παράγουν επιτραπέζιες ελιές</v>
          </cell>
          <cell r="H1000">
            <v>2953</v>
          </cell>
          <cell r="K1000" t="str">
            <v>Ναι</v>
          </cell>
          <cell r="L1000" t="str">
            <v>ΝΑΙ</v>
          </cell>
          <cell r="O1000" t="str">
            <v/>
          </cell>
        </row>
        <row r="1001">
          <cell r="D1001" t="str">
            <v>ΕΛΑΙΩΝΕΣ3000169</v>
          </cell>
          <cell r="E1001" t="str">
            <v>ΚΟΛΥΜΠΑΔΑ, ΔΙΠΛΗΣ ΚΑΤΕΥΘΥΝΣΗΣ</v>
          </cell>
          <cell r="F1001" t="str">
            <v>B_4_3_1</v>
          </cell>
          <cell r="G1001" t="str">
            <v>Ελαιώνες που συνήθως παράγουν επιτραπέζιες ελιές</v>
          </cell>
          <cell r="H1001">
            <v>2953</v>
          </cell>
          <cell r="K1001" t="str">
            <v>Ναι</v>
          </cell>
          <cell r="L1001" t="str">
            <v>ΝΑΙ</v>
          </cell>
          <cell r="O1001" t="str">
            <v/>
          </cell>
        </row>
        <row r="1002">
          <cell r="D1002" t="str">
            <v>ΕΛΑΙΩΝΕΣ3000170</v>
          </cell>
          <cell r="E1002" t="str">
            <v>ΚΑΡΟΛΗΑ, ΔΙΠΛΗΣ ΚΑΤΕΥΘΥΝΣΗΣ</v>
          </cell>
          <cell r="F1002" t="str">
            <v>B_4_3_1</v>
          </cell>
          <cell r="G1002" t="str">
            <v>Ελαιώνες που συνήθως παράγουν επιτραπέζιες ελιές</v>
          </cell>
          <cell r="H1002">
            <v>2953</v>
          </cell>
          <cell r="K1002" t="str">
            <v>Ναι</v>
          </cell>
          <cell r="L1002" t="str">
            <v>ΝΑΙ</v>
          </cell>
          <cell r="O1002" t="str">
            <v/>
          </cell>
        </row>
        <row r="1003">
          <cell r="D1003" t="str">
            <v>ΕΛΑΙΩΝΕΣ3000171</v>
          </cell>
          <cell r="E1003" t="str">
            <v>ΚΟΘΡΕΙΚΗ (ΜΑΝΑΚΙ, ΜΑΝΑΚΟΛΙΑ, ΓΛΥΚΟΜΑΝΑΚΟ), ΔΙΠΛΗΣ ΚΑΤΕΥΘΥΝΣΗΣ</v>
          </cell>
          <cell r="F1003" t="str">
            <v>B_4_3_1</v>
          </cell>
          <cell r="G1003" t="str">
            <v>Ελαιώνες που συνήθως παράγουν επιτραπέζιες ελιές</v>
          </cell>
          <cell r="H1003">
            <v>2953</v>
          </cell>
          <cell r="K1003" t="str">
            <v>Ναι</v>
          </cell>
          <cell r="L1003" t="str">
            <v>ΝΑΙ</v>
          </cell>
          <cell r="O1003" t="str">
            <v/>
          </cell>
        </row>
        <row r="1004">
          <cell r="D1004" t="str">
            <v>ΕΛΑΙΩΝΕΣ3000172</v>
          </cell>
          <cell r="E1004" t="str">
            <v>ΚΑΡΥΔΟΛΙΑ, ΔΙΠΛΗΣ ΚΑΤΕΥΘΥΝΣΗΣ</v>
          </cell>
          <cell r="F1004" t="str">
            <v>B_4_3_1</v>
          </cell>
          <cell r="G1004" t="str">
            <v>Ελαιώνες που συνήθως παράγουν επιτραπέζιες ελιές</v>
          </cell>
          <cell r="H1004">
            <v>2953</v>
          </cell>
          <cell r="K1004" t="str">
            <v>Ναι</v>
          </cell>
          <cell r="L1004" t="str">
            <v>ΝΑΙ</v>
          </cell>
          <cell r="O1004" t="str">
            <v/>
          </cell>
        </row>
        <row r="1005">
          <cell r="D1005" t="str">
            <v>ΕΛΑΙΩΝΕΣ3000173</v>
          </cell>
          <cell r="E1005" t="str">
            <v>ΚΑΡΥΔΟΛΙΑ ΣΠΕΤΣΩΝ, ΔΙΠΛΗΣ ΚΑΤΕΥΘΥΝΣΗΣ</v>
          </cell>
          <cell r="F1005" t="str">
            <v>B_4_3_1</v>
          </cell>
          <cell r="G1005" t="str">
            <v>Ελαιώνες που συνήθως παράγουν επιτραπέζιες ελιές</v>
          </cell>
          <cell r="H1005">
            <v>2953</v>
          </cell>
          <cell r="K1005" t="str">
            <v>Ναι</v>
          </cell>
          <cell r="L1005" t="str">
            <v>ΝΑΙ</v>
          </cell>
          <cell r="O1005" t="str">
            <v/>
          </cell>
        </row>
        <row r="1006">
          <cell r="D1006" t="str">
            <v>ΕΛΑΙΩΝΕΣ3000174</v>
          </cell>
          <cell r="E1006" t="str">
            <v>ΚΛΩΝΑΡΕΣ ΚΟΡΩΠΙΟΥ, ΔΙΠΛΗΣ ΚΑΤΕΥΘΥΝΣΗΣ</v>
          </cell>
          <cell r="F1006" t="str">
            <v>B_4_3_1</v>
          </cell>
          <cell r="G1006" t="str">
            <v>Ελαιώνες που συνήθως παράγουν επιτραπέζιες ελιές</v>
          </cell>
          <cell r="H1006">
            <v>2953</v>
          </cell>
          <cell r="K1006" t="str">
            <v>Ναι</v>
          </cell>
          <cell r="L1006" t="str">
            <v>ΝΑΙ</v>
          </cell>
          <cell r="O1006" t="str">
            <v/>
          </cell>
        </row>
        <row r="1007">
          <cell r="D1007" t="str">
            <v>ΕΛΑΙΩΝΕΣ3000175</v>
          </cell>
          <cell r="E1007" t="str">
            <v>ΚΑΡΟΛΙΑ ΙΣΤΙΑΙΑΣ, ΔΙΠΛΗΣ ΚΑΤΕΥΘΥΝΣΗΣ</v>
          </cell>
          <cell r="F1007" t="str">
            <v>B_4_3_1</v>
          </cell>
          <cell r="G1007" t="str">
            <v>Ελαιώνες που συνήθως παράγουν επιτραπέζιες ελιές</v>
          </cell>
          <cell r="H1007">
            <v>2953</v>
          </cell>
          <cell r="K1007" t="str">
            <v>Ναι</v>
          </cell>
          <cell r="L1007" t="str">
            <v>ΝΑΙ</v>
          </cell>
          <cell r="O1007" t="str">
            <v/>
          </cell>
        </row>
        <row r="1008">
          <cell r="D1008" t="str">
            <v>ΕΛΑΙΩΝΕΣ3000176</v>
          </cell>
          <cell r="E1008" t="str">
            <v>ΚΟΛΥΡΕΙΚΗ, ΔΙΠΛΗΣ ΚΑΤΕΥΘΥΝΣΗΣ</v>
          </cell>
          <cell r="F1008" t="str">
            <v>B_4_3_1</v>
          </cell>
          <cell r="G1008" t="str">
            <v>Ελαιώνες που συνήθως παράγουν επιτραπέζιες ελιές</v>
          </cell>
          <cell r="H1008">
            <v>2953</v>
          </cell>
          <cell r="K1008" t="str">
            <v>Ναι</v>
          </cell>
          <cell r="L1008" t="str">
            <v>ΝΑΙ</v>
          </cell>
          <cell r="O1008" t="str">
            <v/>
          </cell>
        </row>
        <row r="1009">
          <cell r="D1009" t="str">
            <v>ΕΛΑΙΩΝΕΣ3000177</v>
          </cell>
          <cell r="E1009" t="str">
            <v>LECHINO (LECHIN DE SEVILLA), ΔΙΠΛΗΣ ΚΑΤΕΥΘΥΝΣΗΣ</v>
          </cell>
          <cell r="F1009" t="str">
            <v>B_4_3_1</v>
          </cell>
          <cell r="G1009" t="str">
            <v>Ελαιώνες που συνήθως παράγουν επιτραπέζιες ελιές</v>
          </cell>
          <cell r="H1009">
            <v>2953</v>
          </cell>
          <cell r="K1009" t="str">
            <v>Ναι</v>
          </cell>
          <cell r="L1009" t="str">
            <v>ΝΑΙ</v>
          </cell>
          <cell r="O1009" t="str">
            <v/>
          </cell>
        </row>
        <row r="1010">
          <cell r="D1010" t="str">
            <v>ΕΛΑΙΩΝΕΣ3000178</v>
          </cell>
          <cell r="E1010" t="str">
            <v>ΛΙΑΝΟΛΗΑ ΚΕΡΚΥΡΑΣ (ΠΡΕΒΕΖΑΝΑ, ΝΕΡΟΛΙΑ,  ΚΑΡΦΟΛΙΑ), ΔΙΠΛΗΣ ΚΑΤΕΥΘΥΝΣΗΣ</v>
          </cell>
          <cell r="F1010" t="str">
            <v>B_4_3_1</v>
          </cell>
          <cell r="G1010" t="str">
            <v>Ελαιώνες που συνήθως παράγουν επιτραπέζιες ελιές</v>
          </cell>
          <cell r="H1010">
            <v>2953</v>
          </cell>
          <cell r="K1010" t="str">
            <v>Ναι</v>
          </cell>
          <cell r="L1010" t="str">
            <v>ΝΑΙ</v>
          </cell>
          <cell r="O1010" t="str">
            <v/>
          </cell>
        </row>
        <row r="1011">
          <cell r="D1011" t="str">
            <v>ΕΛΑΙΩΝΕΣ3000179</v>
          </cell>
          <cell r="E1011" t="str">
            <v>LUCQUES, ΔΙΠΛΗΣ ΚΑΤΕΥΘΥΝΣΗΣ</v>
          </cell>
          <cell r="F1011" t="str">
            <v>B_4_3_1</v>
          </cell>
          <cell r="G1011" t="str">
            <v>Ελαιώνες που συνήθως παράγουν επιτραπέζιες ελιές</v>
          </cell>
          <cell r="H1011">
            <v>2953</v>
          </cell>
          <cell r="K1011" t="str">
            <v>Ναι</v>
          </cell>
          <cell r="L1011" t="str">
            <v>ΝΑΙ</v>
          </cell>
          <cell r="O1011" t="str">
            <v/>
          </cell>
        </row>
        <row r="1012">
          <cell r="D1012" t="str">
            <v>ΕΛΑΙΩΝΕΣ3000180</v>
          </cell>
          <cell r="E1012" t="str">
            <v>ΜΑΥΡΕΛΗΑ (ΜΕΘΩΝΙΑ, ΜΑΥΡΟΛΙΑ,  ΜΟΥΤΡΟΛΙΑ), ΔΙΠΛΗΣ ΚΑΤΕΥΘΥΝΣΗΣ</v>
          </cell>
          <cell r="F1012" t="str">
            <v>B_4_3_1</v>
          </cell>
          <cell r="G1012" t="str">
            <v>Ελαιώνες που συνήθως παράγουν επιτραπέζιες ελιές</v>
          </cell>
          <cell r="H1012">
            <v>2953</v>
          </cell>
          <cell r="K1012" t="str">
            <v>Ναι</v>
          </cell>
          <cell r="L1012" t="str">
            <v>ΝΑΙ</v>
          </cell>
          <cell r="O1012" t="str">
            <v/>
          </cell>
        </row>
        <row r="1013">
          <cell r="D1013" t="str">
            <v>ΕΛΑΙΩΝΕΣ3000181</v>
          </cell>
          <cell r="E1013" t="str">
            <v>ΜΥΡΤΟΛΗΑ, ΔΙΠΛΗΣ ΚΑΤΕΥΘΥΝΣΗΣ</v>
          </cell>
          <cell r="F1013" t="str">
            <v>B_4_3_1</v>
          </cell>
          <cell r="G1013" t="str">
            <v>Ελαιώνες που συνήθως παράγουν επιτραπέζιες ελιές</v>
          </cell>
          <cell r="H1013">
            <v>2953</v>
          </cell>
          <cell r="K1013" t="str">
            <v>Ναι</v>
          </cell>
          <cell r="L1013" t="str">
            <v>ΝΑΙ</v>
          </cell>
          <cell r="O1013" t="str">
            <v/>
          </cell>
        </row>
        <row r="1014">
          <cell r="D1014" t="str">
            <v>ΕΛΑΙΩΝΕΣ3000182</v>
          </cell>
          <cell r="E1014" t="str">
            <v>MEXINE, ΔΙΠΛΗΣ ΚΑΤΕΥΘΥΝΣΗΣ</v>
          </cell>
          <cell r="F1014" t="str">
            <v>B_4_3_1</v>
          </cell>
          <cell r="G1014" t="str">
            <v>Ελαιώνες που συνήθως παράγουν επιτραπέζιες ελιές</v>
          </cell>
          <cell r="H1014">
            <v>2953</v>
          </cell>
          <cell r="K1014" t="str">
            <v>Ναι</v>
          </cell>
          <cell r="L1014" t="str">
            <v>ΝΑΙ</v>
          </cell>
          <cell r="O1014" t="str">
            <v/>
          </cell>
        </row>
        <row r="1015">
          <cell r="D1015" t="str">
            <v>ΕΛΑΙΩΝΕΣ3000183</v>
          </cell>
          <cell r="E1015" t="str">
            <v>ΜΕΓΑΡΕΙΤΙΚΗ (ΠΕΡΑΧΩΡΙΤΙΚΗ, ΒΟΙΒΟΔΙΤΙΚΗ,  ΒΟΒΩΔΗ), ΔΙΠΛΗΣ ΚΑΤΕΥΘΥΝΣΗΣ</v>
          </cell>
          <cell r="F1015" t="str">
            <v>B_4_3_1</v>
          </cell>
          <cell r="G1015" t="str">
            <v>Ελαιώνες που συνήθως παράγουν επιτραπέζιες ελιές</v>
          </cell>
          <cell r="H1015">
            <v>2953</v>
          </cell>
          <cell r="K1015" t="str">
            <v>Ναι</v>
          </cell>
          <cell r="L1015" t="str">
            <v>ΝΑΙ</v>
          </cell>
          <cell r="O1015" t="str">
            <v/>
          </cell>
        </row>
        <row r="1016">
          <cell r="D1016" t="str">
            <v>ΕΛΑΙΩΝΕΣ3000184</v>
          </cell>
          <cell r="E1016" t="str">
            <v>MANZANILLA JAEN, ΔΙΠΛΗΣ ΚΑΤΕΥΘΥΝΣΗΣ</v>
          </cell>
          <cell r="F1016" t="str">
            <v>B_4_3_1</v>
          </cell>
          <cell r="G1016" t="str">
            <v>Ελαιώνες που συνήθως παράγουν επιτραπέζιες ελιές</v>
          </cell>
          <cell r="H1016">
            <v>2953</v>
          </cell>
          <cell r="K1016" t="str">
            <v>Ναι</v>
          </cell>
          <cell r="L1016" t="str">
            <v>ΝΑΙ</v>
          </cell>
          <cell r="O1016" t="str">
            <v/>
          </cell>
        </row>
        <row r="1017">
          <cell r="D1017" t="str">
            <v>ΕΛΑΙΩΝΕΣ3000185</v>
          </cell>
          <cell r="E1017" t="str">
            <v>MANZANILLA DOS HERMANOS, ΔΙΠΛΗΣ ΚΑΤΕΥΘΥΝΣΗΣ</v>
          </cell>
          <cell r="F1017" t="str">
            <v>B_4_3_1</v>
          </cell>
          <cell r="G1017" t="str">
            <v>Ελαιώνες που συνήθως παράγουν επιτραπέζιες ελιές</v>
          </cell>
          <cell r="H1017">
            <v>2953</v>
          </cell>
          <cell r="K1017" t="str">
            <v>Ναι</v>
          </cell>
          <cell r="L1017" t="str">
            <v>ΝΑΙ</v>
          </cell>
          <cell r="O1017" t="str">
            <v/>
          </cell>
        </row>
        <row r="1018">
          <cell r="D1018" t="str">
            <v>ΕΛΑΙΩΝΕΣ3000186</v>
          </cell>
          <cell r="E1018" t="str">
            <v>MANZANILLA, ΔΙΠΛΗΣ ΚΑΤΕΥΘΥΝΣΗΣ</v>
          </cell>
          <cell r="F1018" t="str">
            <v>B_4_3_1</v>
          </cell>
          <cell r="G1018" t="str">
            <v>Ελαιώνες που συνήθως παράγουν επιτραπέζιες ελιές</v>
          </cell>
          <cell r="H1018">
            <v>2953</v>
          </cell>
          <cell r="K1018" t="str">
            <v>Ναι</v>
          </cell>
          <cell r="L1018" t="str">
            <v>ΝΑΙ</v>
          </cell>
          <cell r="O1018" t="str">
            <v/>
          </cell>
        </row>
        <row r="1019">
          <cell r="D1019" t="str">
            <v>ΕΛΑΙΩΝΕΣ3000187</v>
          </cell>
          <cell r="E1019" t="str">
            <v>ΜΕΛΟΛΙΑ (ΕΛΙΑ ΗΔΙΚΑΡΠΗ), ΔΙΠΛΗΣ ΚΑΤΕΥΘΥΝΣΗΣ</v>
          </cell>
          <cell r="F1019" t="str">
            <v>B_4_3_1</v>
          </cell>
          <cell r="G1019" t="str">
            <v>Ελαιώνες που συνήθως παράγουν επιτραπέζιες ελιές</v>
          </cell>
          <cell r="H1019">
            <v>2953</v>
          </cell>
          <cell r="K1019" t="str">
            <v>Ναι</v>
          </cell>
          <cell r="L1019" t="str">
            <v>ΝΑΙ</v>
          </cell>
          <cell r="O1019" t="str">
            <v/>
          </cell>
        </row>
        <row r="1020">
          <cell r="D1020" t="str">
            <v>ΕΛΑΙΩΝΕΣ3000188</v>
          </cell>
          <cell r="E1020" t="str">
            <v>MISSION, ΔΙΠΛΗΣ ΚΑΤΕΥΘΥΝΣΗΣ</v>
          </cell>
          <cell r="F1020" t="str">
            <v>B_4_3_1</v>
          </cell>
          <cell r="G1020" t="str">
            <v>Ελαιώνες που συνήθως παράγουν επιτραπέζιες ελιές</v>
          </cell>
          <cell r="H1020">
            <v>2953</v>
          </cell>
          <cell r="K1020" t="str">
            <v>Ναι</v>
          </cell>
          <cell r="L1020" t="str">
            <v>ΝΑΙ</v>
          </cell>
          <cell r="O1020" t="str">
            <v/>
          </cell>
        </row>
        <row r="1021">
          <cell r="D1021" t="str">
            <v>ΕΛΑΙΩΝΕΣ3000189</v>
          </cell>
          <cell r="E1021" t="str">
            <v>PICUAL (NEVADILLO BLANCO), ΔΙΠΛΗΣ ΚΑΤΕΥΘΥΝΣΗΣ</v>
          </cell>
          <cell r="F1021" t="str">
            <v>B_4_3_1</v>
          </cell>
          <cell r="G1021" t="str">
            <v>Ελαιώνες που συνήθως παράγουν επιτραπέζιες ελιές</v>
          </cell>
          <cell r="H1021">
            <v>2953</v>
          </cell>
          <cell r="K1021" t="str">
            <v>Ναι</v>
          </cell>
          <cell r="L1021" t="str">
            <v>ΝΑΙ</v>
          </cell>
          <cell r="O1021" t="str">
            <v/>
          </cell>
        </row>
        <row r="1022">
          <cell r="D1022" t="str">
            <v>ΕΛΑΙΩΝΕΣ3000190</v>
          </cell>
          <cell r="E1022" t="str">
            <v>ΠΑΤΡΙΝΗ, ΔΙΠΛΗΣ ΚΑΤΕΥΘΥΝΣΗΣ</v>
          </cell>
          <cell r="F1022" t="str">
            <v>B_4_3_1</v>
          </cell>
          <cell r="G1022" t="str">
            <v>Ελαιώνες που συνήθως παράγουν επιτραπέζιες ελιές</v>
          </cell>
          <cell r="H1022">
            <v>2953</v>
          </cell>
          <cell r="K1022" t="str">
            <v>Ναι</v>
          </cell>
          <cell r="L1022" t="str">
            <v>ΝΑΙ</v>
          </cell>
          <cell r="O1022" t="str">
            <v/>
          </cell>
        </row>
        <row r="1023">
          <cell r="D1023" t="str">
            <v>ΕΛΑΙΩΝΕΣ3000191</v>
          </cell>
          <cell r="E1023" t="str">
            <v>PICHOLIN ή PICHOLINE, ΔΙΠΛΗΣ ΚΑΤΕΥΘΥΝΣΗΣ</v>
          </cell>
          <cell r="F1023" t="str">
            <v>B_4_3_1</v>
          </cell>
          <cell r="G1023" t="str">
            <v>Ελαιώνες που συνήθως παράγουν επιτραπέζιες ελιές</v>
          </cell>
          <cell r="H1023">
            <v>2953</v>
          </cell>
          <cell r="K1023" t="str">
            <v>Ναι</v>
          </cell>
          <cell r="L1023" t="str">
            <v>ΝΑΙ</v>
          </cell>
          <cell r="O1023" t="str">
            <v/>
          </cell>
        </row>
        <row r="1024">
          <cell r="D1024" t="str">
            <v>ΕΛΑΙΩΝΕΣ3000192</v>
          </cell>
          <cell r="E1024" t="str">
            <v>ΠΙΚΡΟΛΙΑ, ΔΙΠΛΗΣ ΚΑΤΕΥΘΥΝΣΗΣ</v>
          </cell>
          <cell r="F1024" t="str">
            <v>B_4_3_1</v>
          </cell>
          <cell r="G1024" t="str">
            <v>Ελαιώνες που συνήθως παράγουν επιτραπέζιες ελιές</v>
          </cell>
          <cell r="H1024">
            <v>2953</v>
          </cell>
          <cell r="K1024" t="str">
            <v>Ναι</v>
          </cell>
          <cell r="L1024" t="str">
            <v>ΝΑΙ</v>
          </cell>
          <cell r="O1024" t="str">
            <v/>
          </cell>
        </row>
        <row r="1025">
          <cell r="D1025" t="str">
            <v>ΕΛΑΙΩΝΕΣ3000193</v>
          </cell>
          <cell r="E1025" t="str">
            <v>REDDING PICHOLINE, ΔΙΠΛΗΣ ΚΑΤΕΥΘΥΝΣΗΣ</v>
          </cell>
          <cell r="F1025" t="str">
            <v>B_4_3_1</v>
          </cell>
          <cell r="G1025" t="str">
            <v>Ελαιώνες που συνήθως παράγουν επιτραπέζιες ελιές</v>
          </cell>
          <cell r="H1025">
            <v>2953</v>
          </cell>
          <cell r="K1025" t="str">
            <v>Ναι</v>
          </cell>
          <cell r="L1025" t="str">
            <v>ΝΑΙ</v>
          </cell>
          <cell r="O1025" t="str">
            <v/>
          </cell>
        </row>
        <row r="1026">
          <cell r="D1026" t="str">
            <v>ΕΛΑΙΩΝΕΣ3000194</v>
          </cell>
          <cell r="E1026" t="str">
            <v>ROUSETTE, ΔΙΠΛΗΣ ΚΑΤΕΥΘΥΝΣΗΣ</v>
          </cell>
          <cell r="F1026" t="str">
            <v>B_4_3_1</v>
          </cell>
          <cell r="G1026" t="str">
            <v>Ελαιώνες που συνήθως παράγουν επιτραπέζιες ελιές</v>
          </cell>
          <cell r="H1026">
            <v>2953</v>
          </cell>
          <cell r="K1026" t="str">
            <v>Ναι</v>
          </cell>
          <cell r="L1026" t="str">
            <v>ΝΑΙ</v>
          </cell>
          <cell r="O1026" t="str">
            <v/>
          </cell>
        </row>
        <row r="1027">
          <cell r="D1027" t="str">
            <v>ΕΛΑΙΩΝΕΣ3000195</v>
          </cell>
          <cell r="E1027" t="str">
            <v>SALONENQUE, ΔΙΠΛΗΣ ΚΑΤΕΥΘΥΝΣΗΣ</v>
          </cell>
          <cell r="F1027" t="str">
            <v>B_4_3_1</v>
          </cell>
          <cell r="G1027" t="str">
            <v>Ελαιώνες που συνήθως παράγουν επιτραπέζιες ελιές</v>
          </cell>
          <cell r="H1027">
            <v>2953</v>
          </cell>
          <cell r="K1027" t="str">
            <v>Ναι</v>
          </cell>
          <cell r="L1027" t="str">
            <v>ΝΑΙ</v>
          </cell>
          <cell r="O1027" t="str">
            <v/>
          </cell>
        </row>
        <row r="1028">
          <cell r="D1028" t="str">
            <v>ΕΛΑΙΩΝΕΣ3000196</v>
          </cell>
          <cell r="E1028" t="str">
            <v>ΣΤΡΟΓΓΥΛΟΛΙΑ (ΓΑΛΑΝΗ, ΠΡΑΣΙΝΟΛΙΑ), ΔΙΠΛΗΣ ΚΑΤΕΥΘΥΝΣΗΣ</v>
          </cell>
          <cell r="F1028" t="str">
            <v>B_4_3_1</v>
          </cell>
          <cell r="G1028" t="str">
            <v>Ελαιώνες που συνήθως παράγουν επιτραπέζιες ελιές</v>
          </cell>
          <cell r="H1028">
            <v>2953</v>
          </cell>
          <cell r="K1028" t="str">
            <v>Ναι</v>
          </cell>
          <cell r="L1028" t="str">
            <v>ΝΑΙ</v>
          </cell>
          <cell r="O1028" t="str">
            <v/>
          </cell>
        </row>
        <row r="1029">
          <cell r="D1029" t="str">
            <v>ΕΛΑΙΩΝΕΣ3000197</v>
          </cell>
          <cell r="E1029" t="str">
            <v>S. FRANCESCO, ΔΙΠΛΗΣ ΚΑΤΕΥΘΥΝΣΗΣ</v>
          </cell>
          <cell r="F1029" t="str">
            <v>B_4_3_1</v>
          </cell>
          <cell r="G1029" t="str">
            <v>Ελαιώνες που συνήθως παράγουν επιτραπέζιες ελιές</v>
          </cell>
          <cell r="H1029">
            <v>2953</v>
          </cell>
          <cell r="K1029" t="str">
            <v>Ναι</v>
          </cell>
          <cell r="L1029" t="str">
            <v>ΝΑΙ</v>
          </cell>
          <cell r="O1029" t="str">
            <v/>
          </cell>
        </row>
        <row r="1030">
          <cell r="D1030" t="str">
            <v>ΕΛΑΙΩΝΕΣ3000198</v>
          </cell>
          <cell r="E1030" t="str">
            <v>S. AGOSTINO (S. AUGUSTINE), ΔΙΠΛΗΣ ΚΑΤΕΥΘΥΝΣΗΣ</v>
          </cell>
          <cell r="F1030" t="str">
            <v>B_4_3_1</v>
          </cell>
          <cell r="G1030" t="str">
            <v>Ελαιώνες που συνήθως παράγουν επιτραπέζιες ελιές</v>
          </cell>
          <cell r="H1030">
            <v>2953</v>
          </cell>
          <cell r="K1030" t="str">
            <v>Ναι</v>
          </cell>
          <cell r="L1030" t="str">
            <v>ΝΑΙ</v>
          </cell>
          <cell r="O1030" t="str">
            <v/>
          </cell>
        </row>
        <row r="1031">
          <cell r="D1031" t="str">
            <v>ΕΛΑΙΩΝΕΣ3000199</v>
          </cell>
          <cell r="E1031" t="str">
            <v>SIGOISE, ΔΙΠΛΗΣ ΚΑΤΕΥΘΥΝΣΗΣ</v>
          </cell>
          <cell r="F1031" t="str">
            <v>B_4_3_1</v>
          </cell>
          <cell r="G1031" t="str">
            <v>Ελαιώνες που συνήθως παράγουν επιτραπέζιες ελιές</v>
          </cell>
          <cell r="H1031">
            <v>2953</v>
          </cell>
          <cell r="K1031" t="str">
            <v>Ναι</v>
          </cell>
          <cell r="L1031" t="str">
            <v>ΝΑΙ</v>
          </cell>
          <cell r="O1031" t="str">
            <v/>
          </cell>
        </row>
        <row r="1032">
          <cell r="D1032" t="str">
            <v>ΕΛΑΙΩΝΕΣ3000200</v>
          </cell>
          <cell r="E1032" t="str">
            <v>ΤΡΑΓΟΛΙΑ, ΔΙΠΛΗΣ ΚΑΤΕΥΘΥΝΣΗΣ</v>
          </cell>
          <cell r="F1032" t="str">
            <v>B_4_3_1</v>
          </cell>
          <cell r="G1032" t="str">
            <v>Ελαιώνες που συνήθως παράγουν επιτραπέζιες ελιές</v>
          </cell>
          <cell r="H1032">
            <v>2953</v>
          </cell>
          <cell r="K1032" t="str">
            <v>Ναι</v>
          </cell>
          <cell r="L1032" t="str">
            <v>ΝΑΙ</v>
          </cell>
          <cell r="O1032" t="str">
            <v/>
          </cell>
        </row>
        <row r="1033">
          <cell r="D1033" t="str">
            <v>ΕΛΑΙΩΝΕΣ3000201</v>
          </cell>
          <cell r="E1033" t="str">
            <v>ΤΣΟΥΝΑΤΗ (ΜΑΤΣΟΛΗΑ, ΑΘΗΝΟΛΙΑ), ΔΙΠΛΗΣ ΚΑΤΕΥΘΥΝΣΗΣ</v>
          </cell>
          <cell r="F1033" t="str">
            <v>B_4_3_1</v>
          </cell>
          <cell r="G1033" t="str">
            <v>Ελαιώνες που συνήθως παράγουν επιτραπέζιες ελιές</v>
          </cell>
          <cell r="H1033">
            <v>2953</v>
          </cell>
          <cell r="K1033" t="str">
            <v>Ναι</v>
          </cell>
          <cell r="L1033" t="str">
            <v>ΝΑΙ</v>
          </cell>
          <cell r="O1033" t="str">
            <v/>
          </cell>
        </row>
        <row r="1034">
          <cell r="D1034" t="str">
            <v>ΕΛΑΙΩΝΕΣ3000202</v>
          </cell>
          <cell r="E1034" t="str">
            <v>FRANTOIO, ΔΙΠΛΗΣ ΚΑΤΕΥΘΥΝΣΗΣ</v>
          </cell>
          <cell r="F1034" t="str">
            <v>B_4_3_1</v>
          </cell>
          <cell r="G1034" t="str">
            <v>Ελαιώνες που συνήθως παράγουν επιτραπέζιες ελιές</v>
          </cell>
          <cell r="H1034">
            <v>2953</v>
          </cell>
          <cell r="K1034" t="str">
            <v>Ναι</v>
          </cell>
          <cell r="L1034" t="str">
            <v>ΝΑΙ</v>
          </cell>
          <cell r="O1034" t="str">
            <v/>
          </cell>
        </row>
        <row r="1035">
          <cell r="D1035" t="str">
            <v>ΕΛΑΙΩΝΕΣ3000203</v>
          </cell>
          <cell r="E1035" t="str">
            <v>ΧΑΛΚΙΔΙΚΗΣ, ΔΙΠΛΗΣ ΚΑΤΕΥΘΥΝΣΗΣ</v>
          </cell>
          <cell r="F1035" t="str">
            <v>B_4_3_1</v>
          </cell>
          <cell r="G1035" t="str">
            <v>Ελαιώνες που συνήθως παράγουν επιτραπέζιες ελιές</v>
          </cell>
          <cell r="H1035">
            <v>2953</v>
          </cell>
          <cell r="K1035" t="str">
            <v>Ναι</v>
          </cell>
          <cell r="L1035" t="str">
            <v>ΝΑΙ</v>
          </cell>
          <cell r="O1035" t="str">
            <v/>
          </cell>
        </row>
        <row r="1036">
          <cell r="D1036" t="str">
            <v>ΕΛΑΙΩΝΕΣ3000204</v>
          </cell>
          <cell r="E1036" t="str">
            <v>ΧΟΝΔΡΟΛΗΑ, ΔΙΠΛΗΣ ΚΑΤΕΥΘΥΝΣΗΣ</v>
          </cell>
          <cell r="F1036" t="str">
            <v>B_4_3_1</v>
          </cell>
          <cell r="G1036" t="str">
            <v>Ελαιώνες που συνήθως παράγουν επιτραπέζιες ελιές</v>
          </cell>
          <cell r="H1036">
            <v>2953</v>
          </cell>
          <cell r="K1036" t="str">
            <v>Ναι</v>
          </cell>
          <cell r="L1036" t="str">
            <v>ΝΑΙ</v>
          </cell>
          <cell r="O1036" t="str">
            <v/>
          </cell>
        </row>
        <row r="1037">
          <cell r="D1037" t="str">
            <v>ΕΛΑΙΩΝΕΣ3000205</v>
          </cell>
          <cell r="E1037" t="str">
            <v>ΧΟΝΔΡΟΛΗΑ ΧΑΛΚΙΔΙΚΗΣ, ΔΙΠΛΗΣ ΚΑΤΕΥΘΥΝΣΗΣ</v>
          </cell>
          <cell r="F1037" t="str">
            <v>B_4_3_1</v>
          </cell>
          <cell r="G1037" t="str">
            <v>Ελαιώνες που συνήθως παράγουν επιτραπέζιες ελιές</v>
          </cell>
          <cell r="H1037">
            <v>2953</v>
          </cell>
          <cell r="K1037" t="str">
            <v>Ναι</v>
          </cell>
          <cell r="L1037" t="str">
            <v>ΝΑΙ</v>
          </cell>
          <cell r="O1037" t="str">
            <v/>
          </cell>
        </row>
        <row r="1038">
          <cell r="D1038" t="str">
            <v>ΕΛΑΙΩΝΕΣ3000206</v>
          </cell>
          <cell r="E1038" t="str">
            <v>ΧΡΥΣΟΛΙΑ, ΔΙΠΛΗΣ ΚΑΤΕΥΘΥΝΣΗΣ</v>
          </cell>
          <cell r="F1038" t="str">
            <v>B_4_3_1</v>
          </cell>
          <cell r="G1038" t="str">
            <v>Ελαιώνες που συνήθως παράγουν επιτραπέζιες ελιές</v>
          </cell>
          <cell r="H1038">
            <v>2953</v>
          </cell>
          <cell r="K1038" t="str">
            <v>Ναι</v>
          </cell>
          <cell r="L1038" t="str">
            <v>ΝΑΙ</v>
          </cell>
          <cell r="O1038" t="str">
            <v/>
          </cell>
        </row>
        <row r="1039">
          <cell r="D1039" t="str">
            <v>ΕΛΑΙΩΝΕΣ3000207</v>
          </cell>
          <cell r="E1039" t="str">
            <v>SEVILLANO, ΔΙΠΛΗΣ ΚΑΤΕΥΘΥΝΣΗΣ</v>
          </cell>
          <cell r="F1039" t="str">
            <v>B_4_3_1</v>
          </cell>
          <cell r="G1039" t="str">
            <v>Ελαιώνες που συνήθως παράγουν επιτραπέζιες ελιές</v>
          </cell>
          <cell r="H1039">
            <v>2953</v>
          </cell>
          <cell r="K1039" t="str">
            <v>Ναι</v>
          </cell>
          <cell r="L1039" t="str">
            <v>ΝΑΙ</v>
          </cell>
          <cell r="O1039" t="str">
            <v/>
          </cell>
        </row>
        <row r="1040">
          <cell r="D1040" t="str">
            <v>ΕΛΑΙΩΝΕΣ3000208</v>
          </cell>
          <cell r="E1040" t="str">
            <v>OBLONCA, ΔΙΠΛΗΣ ΚΑΤΕΥΘΥΝΣΗΣ</v>
          </cell>
          <cell r="F1040" t="str">
            <v>B_4_3_1</v>
          </cell>
          <cell r="G1040" t="str">
            <v>Ελαιώνες που συνήθως παράγουν επιτραπέζιες ελιές</v>
          </cell>
          <cell r="H1040">
            <v>2953</v>
          </cell>
          <cell r="K1040" t="str">
            <v>Ναι</v>
          </cell>
          <cell r="L1040" t="str">
            <v>ΝΑΙ</v>
          </cell>
          <cell r="O1040" t="str">
            <v/>
          </cell>
        </row>
        <row r="1041">
          <cell r="D1041" t="str">
            <v>ΕΛΑΙΩΝΕΣ3000209</v>
          </cell>
          <cell r="E1041" t="str">
            <v>KADESH, ΔΙΠΛΗΣ ΚΑΤΕΥΘΥΝΣΗΣ</v>
          </cell>
          <cell r="F1041" t="str">
            <v>B_4_3_1</v>
          </cell>
          <cell r="G1041" t="str">
            <v>Ελαιώνες που συνήθως παράγουν επιτραπέζιες ελιές</v>
          </cell>
          <cell r="H1041">
            <v>2953</v>
          </cell>
          <cell r="K1041" t="str">
            <v>Ναι</v>
          </cell>
          <cell r="L1041" t="str">
            <v>ΝΑΙ</v>
          </cell>
          <cell r="O1041" t="str">
            <v/>
          </cell>
        </row>
        <row r="1042">
          <cell r="D1042" t="str">
            <v>ΕΛΑΙΩΝΕΣ3000210</v>
          </cell>
          <cell r="E1042" t="str">
            <v>SOYRI, ΔΙΠΛΗΣ ΚΑΤΕΥΘΥΝΣΗΣ</v>
          </cell>
          <cell r="F1042" t="str">
            <v>B_4_3_1</v>
          </cell>
          <cell r="G1042" t="str">
            <v>Ελαιώνες που συνήθως παράγουν επιτραπέζιες ελιές</v>
          </cell>
          <cell r="H1042">
            <v>2953</v>
          </cell>
          <cell r="K1042" t="str">
            <v>Ναι</v>
          </cell>
          <cell r="L1042" t="str">
            <v>ΝΑΙ</v>
          </cell>
          <cell r="O1042" t="str">
            <v/>
          </cell>
        </row>
        <row r="1043">
          <cell r="D1043" t="str">
            <v>ΕΛΑΙΩΝΕΣ3000211</v>
          </cell>
          <cell r="E1043" t="str">
            <v>ZARZARIEGA, ΔΙΠΛΗΣ ΚΑΤΕΥΘΥΝΣΗΣ</v>
          </cell>
          <cell r="F1043" t="str">
            <v>B_4_3_1</v>
          </cell>
          <cell r="G1043" t="str">
            <v>Ελαιώνες που συνήθως παράγουν επιτραπέζιες ελιές</v>
          </cell>
          <cell r="H1043">
            <v>2953</v>
          </cell>
          <cell r="K1043" t="str">
            <v>Ναι</v>
          </cell>
          <cell r="L1043" t="str">
            <v>ΝΑΙ</v>
          </cell>
          <cell r="O1043" t="str">
            <v/>
          </cell>
        </row>
        <row r="1044">
          <cell r="D1044" t="str">
            <v>ΕΛΑΙΩΝΕΣ3000212</v>
          </cell>
          <cell r="E1044" t="str">
            <v>CORNICABRA, ΔΙΠΛΗΣ ΚΑΤΕΥΘΥΝΣΗΣ</v>
          </cell>
          <cell r="F1044" t="str">
            <v>B_4_3_1</v>
          </cell>
          <cell r="G1044" t="str">
            <v>Ελαιώνες που συνήθως παράγουν επιτραπέζιες ελιές</v>
          </cell>
          <cell r="H1044">
            <v>2953</v>
          </cell>
          <cell r="K1044" t="str">
            <v>Ναι</v>
          </cell>
          <cell r="L1044" t="str">
            <v>ΝΑΙ</v>
          </cell>
          <cell r="O1044" t="str">
            <v/>
          </cell>
        </row>
        <row r="1045">
          <cell r="D1045" t="str">
            <v>ΕΛΑΙΩΝΕΣ3000213</v>
          </cell>
          <cell r="E1045" t="str">
            <v>ECIJANO, ΔΙΠΛΗΣ ΚΑΤΕΥΘΥΝΣΗΣ</v>
          </cell>
          <cell r="F1045" t="str">
            <v>B_4_3_1</v>
          </cell>
          <cell r="G1045" t="str">
            <v>Ελαιώνες που συνήθως παράγουν επιτραπέζιες ελιές</v>
          </cell>
          <cell r="H1045">
            <v>2953</v>
          </cell>
          <cell r="K1045" t="str">
            <v>Ναι</v>
          </cell>
          <cell r="L1045" t="str">
            <v>ΝΑΙ</v>
          </cell>
          <cell r="O1045" t="str">
            <v/>
          </cell>
        </row>
        <row r="1046">
          <cell r="D1046" t="str">
            <v>ΕΛΑΙΩΝΕΣ3000214</v>
          </cell>
          <cell r="E1046" t="str">
            <v>VERDIAL, ΔΙΠΛΗΣ ΚΑΤΕΥΘΥΝΣΗΣ</v>
          </cell>
          <cell r="F1046" t="str">
            <v>B_4_3_1</v>
          </cell>
          <cell r="G1046" t="str">
            <v>Ελαιώνες που συνήθως παράγουν επιτραπέζιες ελιές</v>
          </cell>
          <cell r="H1046">
            <v>2953</v>
          </cell>
          <cell r="K1046" t="str">
            <v>Ναι</v>
          </cell>
          <cell r="L1046" t="str">
            <v>ΝΑΙ</v>
          </cell>
          <cell r="O1046" t="str">
            <v/>
          </cell>
        </row>
        <row r="1047">
          <cell r="D1047" t="str">
            <v>ΕΛΑΙΩΝΕΣ3000215</v>
          </cell>
          <cell r="E1047" t="str">
            <v>BAROUNI, ΔΙΠΛΗΣ ΚΑΤΕΥΘΥΝΣΗΣ</v>
          </cell>
          <cell r="F1047" t="str">
            <v>B_4_3_1</v>
          </cell>
          <cell r="G1047" t="str">
            <v>Ελαιώνες που συνήθως παράγουν επιτραπέζιες ελιές</v>
          </cell>
          <cell r="H1047">
            <v>2953</v>
          </cell>
          <cell r="K1047" t="str">
            <v>Ναι</v>
          </cell>
          <cell r="L1047" t="str">
            <v>ΝΑΙ</v>
          </cell>
          <cell r="O1047" t="str">
            <v/>
          </cell>
        </row>
        <row r="1048">
          <cell r="D1048" t="str">
            <v>ΕΛΑΙΩΝΕΣ3000216</v>
          </cell>
          <cell r="E1048" t="str">
            <v>PIACENTE, ΔΙΠΛΗΣ ΚΑΤΕΥΘΥΝΣΗΣ</v>
          </cell>
          <cell r="F1048" t="str">
            <v>B_4_3_1</v>
          </cell>
          <cell r="G1048" t="str">
            <v>Ελαιώνες που συνήθως παράγουν επιτραπέζιες ελιές</v>
          </cell>
          <cell r="H1048">
            <v>2953</v>
          </cell>
          <cell r="K1048" t="str">
            <v>Ναι</v>
          </cell>
          <cell r="L1048" t="str">
            <v>ΝΑΙ</v>
          </cell>
          <cell r="O1048" t="str">
            <v/>
          </cell>
        </row>
        <row r="1049">
          <cell r="D1049" t="str">
            <v>ΕΛΑΙΩΝΕΣ3000217</v>
          </cell>
          <cell r="E1049" t="str">
            <v>DOLCE AGOCIA, ΔΙΠΛΗΣ ΚΑΤΕΥΘΥΝΣΗΣ</v>
          </cell>
          <cell r="F1049" t="str">
            <v>B_4_3_1</v>
          </cell>
          <cell r="G1049" t="str">
            <v>Ελαιώνες που συνήθως παράγουν επιτραπέζιες ελιές</v>
          </cell>
          <cell r="H1049">
            <v>2953</v>
          </cell>
          <cell r="K1049" t="str">
            <v>Ναι</v>
          </cell>
          <cell r="L1049" t="str">
            <v>ΝΑΙ</v>
          </cell>
          <cell r="O1049" t="str">
            <v/>
          </cell>
        </row>
        <row r="1050">
          <cell r="D1050" t="str">
            <v>ΕΛΑΙΩΝΕΣ3000218</v>
          </cell>
          <cell r="E1050" t="str">
            <v>HOJIBLANCA, ΔΙΠΛΗΣ ΚΑΤΕΥΘΥΝΣΗΣ</v>
          </cell>
          <cell r="F1050" t="str">
            <v>B_4_3_1</v>
          </cell>
          <cell r="G1050" t="str">
            <v>Ελαιώνες που συνήθως παράγουν επιτραπέζιες ελιές</v>
          </cell>
          <cell r="H1050">
            <v>2953</v>
          </cell>
          <cell r="K1050" t="str">
            <v>Ναι</v>
          </cell>
          <cell r="L1050" t="str">
            <v>ΝΑΙ</v>
          </cell>
          <cell r="O1050" t="str">
            <v/>
          </cell>
        </row>
        <row r="1051">
          <cell r="D1051" t="str">
            <v>ΕΛΑΙΩΝΕΣ3000219</v>
          </cell>
          <cell r="E1051" t="str">
            <v>CORATINA, ΔΙΠΛΗΣ ΚΑΤΕΥΘΥΝΣΗΣ</v>
          </cell>
          <cell r="F1051" t="str">
            <v>B_4_3_1</v>
          </cell>
          <cell r="G1051" t="str">
            <v>Ελαιώνες που συνήθως παράγουν επιτραπέζιες ελιές</v>
          </cell>
          <cell r="H1051">
            <v>2953</v>
          </cell>
          <cell r="K1051" t="str">
            <v>Ναι</v>
          </cell>
          <cell r="L1051" t="str">
            <v>ΝΑΙ</v>
          </cell>
          <cell r="O1051" t="str">
            <v/>
          </cell>
        </row>
        <row r="1052">
          <cell r="D1052" t="str">
            <v>ΕΛΑΙΩΝΕΣ3000220</v>
          </cell>
          <cell r="E1052" t="str">
            <v>NEGRAL, ΔΙΠΛΗΣ ΚΑΤΕΥΘΥΝΣΗΣ</v>
          </cell>
          <cell r="F1052" t="str">
            <v>B_4_3_1</v>
          </cell>
          <cell r="G1052" t="str">
            <v>Ελαιώνες που συνήθως παράγουν επιτραπέζιες ελιές</v>
          </cell>
          <cell r="H1052">
            <v>2953</v>
          </cell>
          <cell r="K1052" t="str">
            <v>Ναι</v>
          </cell>
          <cell r="L1052" t="str">
            <v>ΝΑΙ</v>
          </cell>
          <cell r="O1052" t="str">
            <v/>
          </cell>
        </row>
        <row r="1053">
          <cell r="D1053" t="str">
            <v>ΕΛΑΙΩΝΕΣ3000221</v>
          </cell>
          <cell r="E1053" t="str">
            <v>FARGA, ΔΙΠΛΗΣ ΚΑΤΕΥΘΥΝΣΗΣ</v>
          </cell>
          <cell r="F1053" t="str">
            <v>B_4_3_1</v>
          </cell>
          <cell r="G1053" t="str">
            <v>Ελαιώνες που συνήθως παράγουν επιτραπέζιες ελιές</v>
          </cell>
          <cell r="H1053">
            <v>2953</v>
          </cell>
          <cell r="K1053" t="str">
            <v>Ναι</v>
          </cell>
          <cell r="L1053" t="str">
            <v>ΝΑΙ</v>
          </cell>
          <cell r="O1053" t="str">
            <v/>
          </cell>
        </row>
        <row r="1054">
          <cell r="D1054" t="str">
            <v>ΕΛΑΙΩΝΕΣ3000222</v>
          </cell>
          <cell r="E1054" t="str">
            <v>NABAL, ΔΙΠΛΗΣ ΚΑΤΕΥΘΥΝΣΗΣ</v>
          </cell>
          <cell r="F1054" t="str">
            <v>B_4_3_1</v>
          </cell>
          <cell r="G1054" t="str">
            <v>Ελαιώνες που συνήθως παράγουν επιτραπέζιες ελιές</v>
          </cell>
          <cell r="H1054">
            <v>2953</v>
          </cell>
          <cell r="K1054" t="str">
            <v>Ναι</v>
          </cell>
          <cell r="L1054" t="str">
            <v>ΝΑΙ</v>
          </cell>
          <cell r="O1054" t="str">
            <v/>
          </cell>
        </row>
        <row r="1055">
          <cell r="D1055" t="str">
            <v>ΕΛΑΙΩΝΕΣ3000223</v>
          </cell>
          <cell r="E1055" t="str">
            <v>MORISCA, ΔΙΠΛΗΣ ΚΑΤΕΥΘΥΝΣΗΣ</v>
          </cell>
          <cell r="F1055" t="str">
            <v>B_4_3_1</v>
          </cell>
          <cell r="G1055" t="str">
            <v>Ελαιώνες που συνήθως παράγουν επιτραπέζιες ελιές</v>
          </cell>
          <cell r="H1055">
            <v>2953</v>
          </cell>
          <cell r="K1055" t="str">
            <v>Ναι</v>
          </cell>
          <cell r="L1055" t="str">
            <v>ΝΑΙ</v>
          </cell>
          <cell r="O1055" t="str">
            <v/>
          </cell>
        </row>
        <row r="1056">
          <cell r="D1056" t="str">
            <v>ΕΛΑΙΩΝΕΣ3000224</v>
          </cell>
          <cell r="E1056" t="str">
            <v>EMPELTRE, ΔΙΠΛΗΣ ΚΑΤΕΥΘΥΝΣΗΣ</v>
          </cell>
          <cell r="F1056" t="str">
            <v>B_4_3_1</v>
          </cell>
          <cell r="G1056" t="str">
            <v>Ελαιώνες που συνήθως παράγουν επιτραπέζιες ελιές</v>
          </cell>
          <cell r="H1056">
            <v>2953</v>
          </cell>
          <cell r="K1056" t="str">
            <v>Ναι</v>
          </cell>
          <cell r="L1056" t="str">
            <v>ΝΑΙ</v>
          </cell>
          <cell r="O1056" t="str">
            <v/>
          </cell>
        </row>
        <row r="1057">
          <cell r="D1057" t="str">
            <v>ΕΛΑΙΩΝΕΣ3000225</v>
          </cell>
          <cell r="E1057" t="str">
            <v>CASALIVA, ΔΙΠΛΗΣ ΚΑΤΕΥΘΥΝΣΗΣ</v>
          </cell>
          <cell r="F1057" t="str">
            <v>B_4_3_1</v>
          </cell>
          <cell r="G1057" t="str">
            <v>Ελαιώνες που συνήθως παράγουν επιτραπέζιες ελιές</v>
          </cell>
          <cell r="H1057">
            <v>2953</v>
          </cell>
          <cell r="K1057" t="str">
            <v>Ναι</v>
          </cell>
          <cell r="L1057" t="str">
            <v>ΝΑΙ</v>
          </cell>
          <cell r="O1057" t="str">
            <v/>
          </cell>
        </row>
        <row r="1058">
          <cell r="D1058" t="str">
            <v>ΕΛΑΙΩΝΕΣ3000226</v>
          </cell>
          <cell r="E1058" t="str">
            <v>LEUCOCARPA, ΔΙΠΛΗΣ ΚΑΤΕΥΘΥΝΣΗΣ</v>
          </cell>
          <cell r="F1058" t="str">
            <v>B_4_3_1</v>
          </cell>
          <cell r="G1058" t="str">
            <v>Ελαιώνες που συνήθως παράγουν επιτραπέζιες ελιές</v>
          </cell>
          <cell r="H1058">
            <v>2953</v>
          </cell>
          <cell r="K1058" t="str">
            <v>Ναι</v>
          </cell>
          <cell r="L1058" t="str">
            <v>ΝΑΙ</v>
          </cell>
          <cell r="O1058" t="str">
            <v/>
          </cell>
        </row>
        <row r="1059">
          <cell r="D1059" t="str">
            <v>ΕΛΑΙΩΝΕΣ3000227</v>
          </cell>
          <cell r="E1059" t="str">
            <v>CORNEZUELO, ΔΙΠΛΗΣ ΚΑΤΕΥΘΥΝΣΗΣ</v>
          </cell>
          <cell r="F1059" t="str">
            <v>B_4_3_1</v>
          </cell>
          <cell r="G1059" t="str">
            <v>Ελαιώνες που συνήθως παράγουν επιτραπέζιες ελιές</v>
          </cell>
          <cell r="H1059">
            <v>2953</v>
          </cell>
          <cell r="K1059" t="str">
            <v>Ναι</v>
          </cell>
          <cell r="L1059" t="str">
            <v>ΝΑΙ</v>
          </cell>
          <cell r="O1059" t="str">
            <v/>
          </cell>
        </row>
        <row r="1060">
          <cell r="D1060" t="str">
            <v>ΕΛΑΙΩΝΕΣ3000228</v>
          </cell>
          <cell r="E1060" t="str">
            <v>RAZZOLA, ΔΙΠΛΗΣ ΚΑΤΕΥΘΥΝΣΗΣ</v>
          </cell>
          <cell r="F1060" t="str">
            <v>B_4_3_1</v>
          </cell>
          <cell r="G1060" t="str">
            <v>Ελαιώνες που συνήθως παράγουν επιτραπέζιες ελιές</v>
          </cell>
          <cell r="H1060">
            <v>2953</v>
          </cell>
          <cell r="K1060" t="str">
            <v>Ναι</v>
          </cell>
          <cell r="L1060" t="str">
            <v>ΝΑΙ</v>
          </cell>
          <cell r="O1060" t="str">
            <v/>
          </cell>
        </row>
        <row r="1061">
          <cell r="D1061" t="str">
            <v>ΕΛΑΙΩΝΕΣ3000229</v>
          </cell>
          <cell r="E1061" t="str">
            <v>FECCIARO, ΔΙΠΛΗΣ ΚΑΤΕΥΘΥΝΣΗΣ</v>
          </cell>
          <cell r="F1061" t="str">
            <v>B_4_3_1</v>
          </cell>
          <cell r="G1061" t="str">
            <v>Ελαιώνες που συνήθως παράγουν επιτραπέζιες ελιές</v>
          </cell>
          <cell r="H1061">
            <v>2953</v>
          </cell>
          <cell r="K1061" t="str">
            <v>Ναι</v>
          </cell>
          <cell r="L1061" t="str">
            <v>ΝΑΙ</v>
          </cell>
          <cell r="O1061" t="str">
            <v/>
          </cell>
        </row>
        <row r="1062">
          <cell r="D1062" t="str">
            <v>ΕΛΑΙΩΝΕΣ3000230</v>
          </cell>
          <cell r="E1062" t="str">
            <v>CUCCO, ΔΙΠΛΗΣ ΚΑΤΕΥΘΥΝΣΗΣ</v>
          </cell>
          <cell r="F1062" t="str">
            <v>B_4_3_1</v>
          </cell>
          <cell r="G1062" t="str">
            <v>Ελαιώνες που συνήθως παράγουν επιτραπέζιες ελιές</v>
          </cell>
          <cell r="H1062">
            <v>2953</v>
          </cell>
          <cell r="K1062" t="str">
            <v>Ναι</v>
          </cell>
          <cell r="L1062" t="str">
            <v>ΝΑΙ</v>
          </cell>
          <cell r="O1062" t="str">
            <v/>
          </cell>
        </row>
        <row r="1063">
          <cell r="D1063" t="str">
            <v>ΕΛΑΙΩΝΕΣ3000231</v>
          </cell>
          <cell r="E1063" t="str">
            <v>MAURINO, ΔΙΠΛΗΣ ΚΑΤΕΥΘΥΝΣΗΣ</v>
          </cell>
          <cell r="F1063" t="str">
            <v>B_4_3_1</v>
          </cell>
          <cell r="G1063" t="str">
            <v>Ελαιώνες που συνήθως παράγουν επιτραπέζιες ελιές</v>
          </cell>
          <cell r="H1063">
            <v>2953</v>
          </cell>
          <cell r="K1063" t="str">
            <v>Ναι</v>
          </cell>
          <cell r="L1063" t="str">
            <v>ΝΑΙ</v>
          </cell>
          <cell r="O1063" t="str">
            <v/>
          </cell>
        </row>
        <row r="1064">
          <cell r="D1064" t="str">
            <v>ΕΛΑΙΩΝΕΣ3000589</v>
          </cell>
          <cell r="E1064" t="str">
            <v>ΘΙΑΚΗ (ΑΝΩ ΗΣΑΝΑ, ΘΙΑΚΟ,  ΠΛΕΞΙΔΕΝΙΑ,  ΝΤΟΠΙΑ), ΔΙΠΛΗΣ ΚΑΤΕΥΘΥΝΣΗΣ</v>
          </cell>
          <cell r="F1064" t="str">
            <v>B_4_3_1</v>
          </cell>
          <cell r="G1064" t="str">
            <v>Ελαιώνες που συνήθως παράγουν επιτραπέζιες ελιές</v>
          </cell>
          <cell r="H1064">
            <v>2953</v>
          </cell>
          <cell r="K1064" t="str">
            <v>Ναι</v>
          </cell>
          <cell r="L1064" t="str">
            <v>ΝΑΙ</v>
          </cell>
          <cell r="O1064" t="str">
            <v/>
          </cell>
        </row>
        <row r="1065">
          <cell r="D1065" t="str">
            <v>ΕΛΑΙΩΝΕΣ3000648</v>
          </cell>
          <cell r="E1065" t="str">
            <v>ΑΓΙΟΡΙΤΙΚΗ, ΔΙΠΛΗΣ ΚΑΤΕΥΘΥΝΣΗΣ</v>
          </cell>
          <cell r="F1065" t="str">
            <v>B_4_3_1</v>
          </cell>
          <cell r="G1065" t="str">
            <v>Ελαιώνες που συνήθως παράγουν επιτραπέζιες ελιές</v>
          </cell>
          <cell r="H1065">
            <v>2953</v>
          </cell>
          <cell r="K1065" t="str">
            <v>Ναι</v>
          </cell>
          <cell r="L1065" t="str">
            <v>ΝΑΙ</v>
          </cell>
          <cell r="O1065" t="str">
            <v/>
          </cell>
        </row>
        <row r="1066">
          <cell r="D1066" t="str">
            <v>ΕΛΑΙΩΝΕΣ3000649</v>
          </cell>
          <cell r="E1066" t="str">
            <v>BLANQUETA, ΔΙΠΛΗΣ ΚΑΤΕΥΘΥΝΣΗΣ</v>
          </cell>
          <cell r="F1066" t="str">
            <v>B_4_3_1</v>
          </cell>
          <cell r="G1066" t="str">
            <v>Ελαιώνες που συνήθως παράγουν επιτραπέζιες ελιές</v>
          </cell>
          <cell r="H1066">
            <v>2953</v>
          </cell>
          <cell r="K1066" t="str">
            <v>Ναι</v>
          </cell>
          <cell r="L1066" t="str">
            <v>ΝΑΙ</v>
          </cell>
          <cell r="O1066" t="str">
            <v/>
          </cell>
        </row>
        <row r="1067">
          <cell r="D1067" t="str">
            <v>ΕΛΑΙΩΝΕΣ3000650</v>
          </cell>
          <cell r="E1067" t="str">
            <v>BLANQUETA DE ELVAS, ΔΙΠΛΗΣ ΚΑΤΕΥΘΥΝΣΗΣ</v>
          </cell>
          <cell r="F1067" t="str">
            <v>B_4_3_1</v>
          </cell>
          <cell r="G1067" t="str">
            <v>Ελαιώνες που συνήθως παράγουν επιτραπέζιες ελιές</v>
          </cell>
          <cell r="H1067">
            <v>2953</v>
          </cell>
          <cell r="K1067" t="str">
            <v>Ναι</v>
          </cell>
          <cell r="L1067" t="str">
            <v>ΝΑΙ</v>
          </cell>
          <cell r="O1067" t="str">
            <v/>
          </cell>
        </row>
        <row r="1068">
          <cell r="D1068" t="str">
            <v>ΕΛΑΙΩΝΕΣ3000651</v>
          </cell>
          <cell r="E1068" t="str">
            <v>BOUTEILLAN, ΔΙΠΛΗΣ ΚΑΤΕΥΘΥΝΣΗΣ</v>
          </cell>
          <cell r="F1068" t="str">
            <v>B_4_3_1</v>
          </cell>
          <cell r="G1068" t="str">
            <v>Ελαιώνες που συνήθως παράγουν επιτραπέζιες ελιές</v>
          </cell>
          <cell r="H1068">
            <v>2953</v>
          </cell>
          <cell r="K1068" t="str">
            <v>Ναι</v>
          </cell>
          <cell r="L1068" t="str">
            <v>ΝΑΙ</v>
          </cell>
          <cell r="O1068" t="str">
            <v/>
          </cell>
        </row>
        <row r="1069">
          <cell r="D1069" t="str">
            <v>ΕΛΑΙΩΝΕΣ3000652</v>
          </cell>
          <cell r="E1069" t="str">
            <v>ΓΑΛΑΤΣΑΝΙΚΗ, ΔΙΠΛΗΣ ΚΑΤΕΥΘΥΝΣΗΣ</v>
          </cell>
          <cell r="F1069" t="str">
            <v>B_4_3_1</v>
          </cell>
          <cell r="G1069" t="str">
            <v>Ελαιώνες που συνήθως παράγουν επιτραπέζιες ελιές</v>
          </cell>
          <cell r="H1069">
            <v>2953</v>
          </cell>
          <cell r="K1069" t="str">
            <v>Ναι</v>
          </cell>
          <cell r="L1069" t="str">
            <v>ΝΑΙ</v>
          </cell>
          <cell r="O1069" t="str">
            <v/>
          </cell>
        </row>
        <row r="1070">
          <cell r="D1070" t="str">
            <v>ΕΛΑΙΩΝΕΣ3000653</v>
          </cell>
          <cell r="E1070" t="str">
            <v>ΖΑΚΥΝΘΟΥ, ΔΙΠΛΗΣ ΚΑΤΕΥΘΥΝΣΗΣ</v>
          </cell>
          <cell r="F1070" t="str">
            <v>B_4_3_1</v>
          </cell>
          <cell r="G1070" t="str">
            <v>Ελαιώνες που συνήθως παράγουν επιτραπέζιες ελιές</v>
          </cell>
          <cell r="H1070">
            <v>2953</v>
          </cell>
          <cell r="K1070" t="str">
            <v>Ναι</v>
          </cell>
          <cell r="L1070" t="str">
            <v>ΝΑΙ</v>
          </cell>
          <cell r="O1070" t="str">
            <v/>
          </cell>
        </row>
        <row r="1071">
          <cell r="D1071" t="str">
            <v>ΕΛΑΙΩΝΕΣ3000654</v>
          </cell>
          <cell r="E1071" t="str">
            <v>FRANCIVENTO, ΔΙΠΛΗΣ ΚΑΤΕΥΘΥΝΣΗΣ</v>
          </cell>
          <cell r="F1071" t="str">
            <v>B_4_3_1</v>
          </cell>
          <cell r="G1071" t="str">
            <v>Ελαιώνες που συνήθως παράγουν επιτραπέζιες ελιές</v>
          </cell>
          <cell r="H1071">
            <v>2953</v>
          </cell>
          <cell r="K1071" t="str">
            <v>Ναι</v>
          </cell>
          <cell r="L1071" t="str">
            <v>ΝΑΙ</v>
          </cell>
          <cell r="O1071" t="str">
            <v/>
          </cell>
        </row>
        <row r="1072">
          <cell r="D1072" t="str">
            <v>ΕΛΑΙΩΝΕΣ3000655</v>
          </cell>
          <cell r="E1072" t="str">
            <v>GORDAL SEVILLANA, ΔΙΠΛΗΣ ΚΑΤΕΥΘΥΝΣΗΣ</v>
          </cell>
          <cell r="F1072" t="str">
            <v>B_4_3_1</v>
          </cell>
          <cell r="G1072" t="str">
            <v>Ελαιώνες που συνήθως παράγουν επιτραπέζιες ελιές</v>
          </cell>
          <cell r="H1072">
            <v>2953</v>
          </cell>
          <cell r="K1072" t="str">
            <v>Ναι</v>
          </cell>
          <cell r="L1072" t="str">
            <v>ΝΑΙ</v>
          </cell>
          <cell r="O1072" t="str">
            <v/>
          </cell>
        </row>
        <row r="1073">
          <cell r="D1073" t="str">
            <v>ΕΛΑΙΩΝΕΣ3000656</v>
          </cell>
          <cell r="E1073" t="str">
            <v>GRAPPOLO, ΔΙΠΛΗΣ ΚΑΤΕΥΘΥΝΣΗΣ</v>
          </cell>
          <cell r="F1073" t="str">
            <v>B_4_3_1</v>
          </cell>
          <cell r="G1073" t="str">
            <v>Ελαιώνες που συνήθως παράγουν επιτραπέζιες ελιές</v>
          </cell>
          <cell r="H1073">
            <v>2953</v>
          </cell>
          <cell r="K1073" t="str">
            <v>Ναι</v>
          </cell>
          <cell r="L1073" t="str">
            <v>ΝΑΙ</v>
          </cell>
          <cell r="O1073" t="str">
            <v/>
          </cell>
        </row>
        <row r="1074">
          <cell r="D1074" t="str">
            <v>ΕΛΑΙΩΝΕΣ3000657</v>
          </cell>
          <cell r="E1074" t="str">
            <v>LECHIO DEL CORNO, ΔΙΠΛΗΣ ΚΑΤΕΥΘΥΝΣΗΣ</v>
          </cell>
          <cell r="F1074" t="str">
            <v>B_4_3_1</v>
          </cell>
          <cell r="G1074" t="str">
            <v>Ελαιώνες που συνήθως παράγουν επιτραπέζιες ελιές</v>
          </cell>
          <cell r="H1074">
            <v>2953</v>
          </cell>
          <cell r="K1074" t="str">
            <v>Ναι</v>
          </cell>
          <cell r="L1074" t="str">
            <v>ΝΑΙ</v>
          </cell>
          <cell r="O1074" t="str">
            <v/>
          </cell>
        </row>
        <row r="1075">
          <cell r="D1075" t="str">
            <v>ΕΛΑΙΩΝΕΣ3000658</v>
          </cell>
          <cell r="E1075" t="str">
            <v>ΛΕΥΚΑΔΑΣ ΑΣΠΡΟΛΙΑ, ΔΙΠΛΗΣ ΚΑΤΕΥΘΥΝΣΗΣ</v>
          </cell>
          <cell r="F1075" t="str">
            <v>B_4_3_1</v>
          </cell>
          <cell r="G1075" t="str">
            <v>Ελαιώνες που συνήθως παράγουν επιτραπέζιες ελιές</v>
          </cell>
          <cell r="H1075">
            <v>2953</v>
          </cell>
          <cell r="K1075" t="str">
            <v>Ναι</v>
          </cell>
          <cell r="L1075" t="str">
            <v>ΝΑΙ</v>
          </cell>
          <cell r="O1075" t="str">
            <v/>
          </cell>
        </row>
        <row r="1076">
          <cell r="D1076" t="str">
            <v>ΕΛΑΙΩΝΕΣ3000659</v>
          </cell>
          <cell r="E1076" t="str">
            <v>MANZANILLA DE CARMONA, ΔΙΠΛΗΣ ΚΑΤΕΥΘΥΝΣΗΣ</v>
          </cell>
          <cell r="F1076" t="str">
            <v>B_4_3_1</v>
          </cell>
          <cell r="G1076" t="str">
            <v>Ελαιώνες που συνήθως παράγουν επιτραπέζιες ελιές</v>
          </cell>
          <cell r="H1076">
            <v>2953</v>
          </cell>
          <cell r="K1076" t="str">
            <v>Ναι</v>
          </cell>
          <cell r="L1076" t="str">
            <v>ΝΑΙ</v>
          </cell>
          <cell r="O1076" t="str">
            <v/>
          </cell>
        </row>
        <row r="1077">
          <cell r="D1077" t="str">
            <v>ΕΛΑΙΩΝΕΣ3000660</v>
          </cell>
          <cell r="E1077" t="str">
            <v>MANZANILLA ISR., ΔΙΠΛΗΣ ΚΑΤΕΥΘΥΝΣΗΣ</v>
          </cell>
          <cell r="F1077" t="str">
            <v>B_4_3_1</v>
          </cell>
          <cell r="G1077" t="str">
            <v>Ελαιώνες που συνήθως παράγουν επιτραπέζιες ελιές</v>
          </cell>
          <cell r="H1077">
            <v>2953</v>
          </cell>
          <cell r="K1077" t="str">
            <v>Ναι</v>
          </cell>
          <cell r="L1077" t="str">
            <v>ΝΑΙ</v>
          </cell>
          <cell r="O1077" t="str">
            <v/>
          </cell>
        </row>
        <row r="1078">
          <cell r="D1078" t="str">
            <v>ΕΛΑΙΩΝΕΣ3000661</v>
          </cell>
          <cell r="E1078" t="str">
            <v>MANZANILLA NORMAL, ΔΙΠΛΗΣ ΚΑΤΕΥΘΥΝΣΗΣ</v>
          </cell>
          <cell r="F1078" t="str">
            <v>B_4_3_1</v>
          </cell>
          <cell r="G1078" t="str">
            <v>Ελαιώνες που συνήθως παράγουν επιτραπέζιες ελιές</v>
          </cell>
          <cell r="H1078">
            <v>2953</v>
          </cell>
          <cell r="K1078" t="str">
            <v>Ναι</v>
          </cell>
          <cell r="L1078" t="str">
            <v>ΝΑΙ</v>
          </cell>
          <cell r="O1078" t="str">
            <v/>
          </cell>
        </row>
        <row r="1079">
          <cell r="D1079" t="str">
            <v>ΕΛΑΙΩΝΕΣ3000662</v>
          </cell>
          <cell r="E1079" t="str">
            <v>MAROCAN PICHOLINE, ΔΙΠΛΗΣ ΚΑΤΕΥΘΥΝΣΗΣ</v>
          </cell>
          <cell r="F1079" t="str">
            <v>B_4_3_1</v>
          </cell>
          <cell r="G1079" t="str">
            <v>Ελαιώνες που συνήθως παράγουν επιτραπέζιες ελιές</v>
          </cell>
          <cell r="H1079">
            <v>2953</v>
          </cell>
          <cell r="K1079" t="str">
            <v>Ναι</v>
          </cell>
          <cell r="L1079" t="str">
            <v>ΝΑΙ</v>
          </cell>
          <cell r="O1079" t="str">
            <v/>
          </cell>
        </row>
        <row r="1080">
          <cell r="D1080" t="str">
            <v>ΕΛΑΙΩΝΕΣ3000663</v>
          </cell>
          <cell r="E1080" t="str">
            <v>ΜΑΡΩΝΕΙΑΣ, ΔΙΠΛΗΣ ΚΑΤΕΥΘΥΝΣΗΣ</v>
          </cell>
          <cell r="F1080" t="str">
            <v>B_4_3_1</v>
          </cell>
          <cell r="G1080" t="str">
            <v>Ελαιώνες που συνήθως παράγουν επιτραπέζιες ελιές</v>
          </cell>
          <cell r="H1080">
            <v>2953</v>
          </cell>
          <cell r="K1080" t="str">
            <v>Ναι</v>
          </cell>
          <cell r="L1080" t="str">
            <v>ΝΑΙ</v>
          </cell>
          <cell r="O1080" t="str">
            <v/>
          </cell>
        </row>
        <row r="1081">
          <cell r="D1081" t="str">
            <v>ΕΛΑΙΩΝΕΣ3000664</v>
          </cell>
          <cell r="E1081" t="str">
            <v>MERHAVIA, ΔΙΠΛΗΣ ΚΑΤΕΥΘΥΝΣΗΣ</v>
          </cell>
          <cell r="F1081" t="str">
            <v>B_4_3_1</v>
          </cell>
          <cell r="G1081" t="str">
            <v>Ελαιώνες που συνήθως παράγουν επιτραπέζιες ελιές</v>
          </cell>
          <cell r="H1081">
            <v>2953</v>
          </cell>
          <cell r="K1081" t="str">
            <v>Ναι</v>
          </cell>
          <cell r="L1081" t="str">
            <v>ΝΑΙ</v>
          </cell>
          <cell r="O1081" t="str">
            <v/>
          </cell>
        </row>
        <row r="1082">
          <cell r="D1082" t="str">
            <v>ΕΛΑΙΩΝΕΣ3000665</v>
          </cell>
          <cell r="E1082" t="str">
            <v>NASUICHI, ΔΙΠΛΗΣ ΚΑΤΕΥΘΥΝΣΗΣ</v>
          </cell>
          <cell r="F1082" t="str">
            <v>B_4_3_1</v>
          </cell>
          <cell r="G1082" t="str">
            <v>Ελαιώνες που συνήθως παράγουν επιτραπέζιες ελιές</v>
          </cell>
          <cell r="H1082">
            <v>2953</v>
          </cell>
          <cell r="K1082" t="str">
            <v>Ναι</v>
          </cell>
          <cell r="L1082" t="str">
            <v>ΝΑΙ</v>
          </cell>
          <cell r="O1082" t="str">
            <v/>
          </cell>
        </row>
        <row r="1083">
          <cell r="D1083" t="str">
            <v>ΕΛΑΙΩΝΕΣ3000666</v>
          </cell>
          <cell r="E1083" t="str">
            <v>NEVADILLO BLANCO, ΔΙΠΛΗΣ ΚΑΤΕΥΘΥΝΣΗΣ</v>
          </cell>
          <cell r="F1083" t="str">
            <v>B_4_3_1</v>
          </cell>
          <cell r="G1083" t="str">
            <v>Ελαιώνες που συνήθως παράγουν επιτραπέζιες ελιές</v>
          </cell>
          <cell r="H1083">
            <v>2953</v>
          </cell>
          <cell r="K1083" t="str">
            <v>Ναι</v>
          </cell>
          <cell r="L1083" t="str">
            <v>ΝΑΙ</v>
          </cell>
          <cell r="O1083" t="str">
            <v/>
          </cell>
        </row>
        <row r="1084">
          <cell r="D1084" t="str">
            <v>ΕΛΑΙΩΝΕΣ3000667</v>
          </cell>
          <cell r="E1084" t="str">
            <v>NEVADILLO NEGRO, ΔΙΠΛΗΣ ΚΑΤΕΥΘΥΝΣΗΣ</v>
          </cell>
          <cell r="F1084" t="str">
            <v>B_4_3_1</v>
          </cell>
          <cell r="G1084" t="str">
            <v>Ελαιώνες που συνήθως παράγουν επιτραπέζιες ελιές</v>
          </cell>
          <cell r="H1084">
            <v>2953</v>
          </cell>
          <cell r="K1084" t="str">
            <v>Ναι</v>
          </cell>
          <cell r="L1084" t="str">
            <v>ΝΑΙ</v>
          </cell>
          <cell r="O1084" t="str">
            <v/>
          </cell>
        </row>
        <row r="1085">
          <cell r="D1085" t="str">
            <v>ΕΛΑΙΩΝΕΣ3000668</v>
          </cell>
          <cell r="E1085" t="str">
            <v>OLIVA DE CERIGNOLA, ΔΙΠΛΗΣ ΚΑΤΕΥΘΥΝΣΗΣ</v>
          </cell>
          <cell r="F1085" t="str">
            <v>B_4_3_1</v>
          </cell>
          <cell r="G1085" t="str">
            <v>Ελαιώνες που συνήθως παράγουν επιτραπέζιες ελιές</v>
          </cell>
          <cell r="H1085">
            <v>2953</v>
          </cell>
          <cell r="K1085" t="str">
            <v>Ναι</v>
          </cell>
          <cell r="L1085" t="str">
            <v>ΝΑΙ</v>
          </cell>
          <cell r="O1085" t="str">
            <v/>
          </cell>
        </row>
        <row r="1086">
          <cell r="D1086" t="str">
            <v>ΕΛΑΙΩΝΕΣ3000669</v>
          </cell>
          <cell r="E1086" t="str">
            <v>PENDOLINO, ΔΙΠΛΗΣ ΚΑΤΕΥΘΥΝΣΗΣ</v>
          </cell>
          <cell r="F1086" t="str">
            <v>B_4_3_1</v>
          </cell>
          <cell r="G1086" t="str">
            <v>Ελαιώνες που συνήθως παράγουν επιτραπέζιες ελιές</v>
          </cell>
          <cell r="H1086">
            <v>2953</v>
          </cell>
          <cell r="K1086" t="str">
            <v>Ναι</v>
          </cell>
          <cell r="L1086" t="str">
            <v>ΝΑΙ</v>
          </cell>
          <cell r="O1086" t="str">
            <v/>
          </cell>
        </row>
        <row r="1087">
          <cell r="D1087" t="str">
            <v>ΕΛΑΙΩΝΕΣ3000670</v>
          </cell>
          <cell r="E1087" t="str">
            <v>ΡΑΧΑΤΗ, ΔΙΠΛΗΣ ΚΑΤΕΥΘΥΝΣΗΣ</v>
          </cell>
          <cell r="F1087" t="str">
            <v>B_4_3_1</v>
          </cell>
          <cell r="G1087" t="str">
            <v>Ελαιώνες που συνήθως παράγουν επιτραπέζιες ελιές</v>
          </cell>
          <cell r="H1087">
            <v>2953</v>
          </cell>
          <cell r="K1087" t="str">
            <v>Ναι</v>
          </cell>
          <cell r="L1087" t="str">
            <v>ΝΑΙ</v>
          </cell>
          <cell r="O1087" t="str">
            <v/>
          </cell>
        </row>
        <row r="1088">
          <cell r="D1088" t="str">
            <v>ΕΛΑΙΩΝΕΣ3000671</v>
          </cell>
          <cell r="E1088" t="str">
            <v>REAL SEVILLANA, ΔΙΠΛΗΣ ΚΑΤΕΥΘΥΝΣΗΣ</v>
          </cell>
          <cell r="F1088" t="str">
            <v>B_4_3_1</v>
          </cell>
          <cell r="G1088" t="str">
            <v>Ελαιώνες που συνήθως παράγουν επιτραπέζιες ελιές</v>
          </cell>
          <cell r="H1088">
            <v>2953</v>
          </cell>
          <cell r="K1088" t="str">
            <v>Ναι</v>
          </cell>
          <cell r="L1088" t="str">
            <v>ΝΑΙ</v>
          </cell>
          <cell r="O1088" t="str">
            <v/>
          </cell>
        </row>
        <row r="1089">
          <cell r="D1089" t="str">
            <v>ΕΛΑΙΩΝΕΣ3000672</v>
          </cell>
          <cell r="E1089" t="str">
            <v>ΡΟΒΙΩΝ (ΠΡΑΣΙΝΗ), ΔΙΠΛΗΣ ΚΑΤΕΥΘΥΝΣΗΣ</v>
          </cell>
          <cell r="F1089" t="str">
            <v>B_4_3_1</v>
          </cell>
          <cell r="G1089" t="str">
            <v>Ελαιώνες που συνήθως παράγουν επιτραπέζιες ελιές</v>
          </cell>
          <cell r="H1089">
            <v>2953</v>
          </cell>
          <cell r="K1089" t="str">
            <v>Ναι</v>
          </cell>
          <cell r="L1089" t="str">
            <v>ΝΑΙ</v>
          </cell>
          <cell r="O1089" t="str">
            <v/>
          </cell>
        </row>
        <row r="1090">
          <cell r="D1090" t="str">
            <v>ΕΛΑΙΩΝΕΣ3000673</v>
          </cell>
          <cell r="E1090" t="str">
            <v>ROSCIOLA, ΔΙΠΛΗΣ ΚΑΤΕΥΘΥΝΣΗΣ</v>
          </cell>
          <cell r="F1090" t="str">
            <v>B_4_3_1</v>
          </cell>
          <cell r="G1090" t="str">
            <v>Ελαιώνες που συνήθως παράγουν επιτραπέζιες ελιές</v>
          </cell>
          <cell r="H1090">
            <v>2953</v>
          </cell>
          <cell r="K1090" t="str">
            <v>Ναι</v>
          </cell>
          <cell r="L1090" t="str">
            <v>ΝΑΙ</v>
          </cell>
          <cell r="O1090" t="str">
            <v/>
          </cell>
        </row>
        <row r="1091">
          <cell r="D1091" t="str">
            <v>ΕΛΑΙΩΝΕΣ3000674</v>
          </cell>
          <cell r="E1091" t="str">
            <v>SDE ELIAO, ΔΙΠΛΗΣ ΚΑΤΕΥΘΥΝΣΗΣ</v>
          </cell>
          <cell r="F1091" t="str">
            <v>B_4_3_1</v>
          </cell>
          <cell r="G1091" t="str">
            <v>Ελαιώνες που συνήθως παράγουν επιτραπέζιες ελιές</v>
          </cell>
          <cell r="H1091">
            <v>2953</v>
          </cell>
          <cell r="K1091" t="str">
            <v>Ναι</v>
          </cell>
          <cell r="L1091" t="str">
            <v>ΝΑΙ</v>
          </cell>
          <cell r="O1091" t="str">
            <v/>
          </cell>
        </row>
        <row r="1092">
          <cell r="D1092" t="str">
            <v>ΕΛΑΙΩΝΕΣ3000675</v>
          </cell>
          <cell r="E1092" t="str">
            <v>SORANI, ΔΙΠΛΗΣ ΚΑΤΕΥΘΥΝΣΗΣ</v>
          </cell>
          <cell r="F1092" t="str">
            <v>B_4_3_1</v>
          </cell>
          <cell r="G1092" t="str">
            <v>Ελαιώνες που συνήθως παράγουν επιτραπέζιες ελιές</v>
          </cell>
          <cell r="H1092">
            <v>2953</v>
          </cell>
          <cell r="K1092" t="str">
            <v>Ναι</v>
          </cell>
          <cell r="L1092" t="str">
            <v>ΝΑΙ</v>
          </cell>
          <cell r="O1092" t="str">
            <v/>
          </cell>
        </row>
        <row r="1093">
          <cell r="D1093" t="str">
            <v>ΕΛΑΙΩΝΕΣ3000676</v>
          </cell>
          <cell r="E1093" t="str">
            <v>TEMPIANILLO LUCENA, ΔΙΠΛΗΣ ΚΑΤΕΥΘΥΝΣΗΣ</v>
          </cell>
          <cell r="F1093" t="str">
            <v>B_4_3_1</v>
          </cell>
          <cell r="G1093" t="str">
            <v>Ελαιώνες που συνήθως παράγουν επιτραπέζιες ελιές</v>
          </cell>
          <cell r="H1093">
            <v>2953</v>
          </cell>
          <cell r="K1093" t="str">
            <v>Ναι</v>
          </cell>
          <cell r="L1093" t="str">
            <v>ΝΑΙ</v>
          </cell>
          <cell r="O1093" t="str">
            <v/>
          </cell>
        </row>
        <row r="1094">
          <cell r="D1094" t="str">
            <v>ΕΛΑΙΩΝΕΣ3000677</v>
          </cell>
          <cell r="E1094" t="str">
            <v>ZORZALENO, ΔΙΠΛΗΣ ΚΑΤΕΥΘΥΝΣΗΣ</v>
          </cell>
          <cell r="F1094" t="str">
            <v>B_4_3_1</v>
          </cell>
          <cell r="G1094" t="str">
            <v>Ελαιώνες που συνήθως παράγουν επιτραπέζιες ελιές</v>
          </cell>
          <cell r="H1094">
            <v>2953</v>
          </cell>
          <cell r="K1094" t="str">
            <v>Ναι</v>
          </cell>
          <cell r="L1094" t="str">
            <v>ΝΑΙ</v>
          </cell>
          <cell r="O1094" t="str">
            <v/>
          </cell>
        </row>
        <row r="1095">
          <cell r="D1095" t="str">
            <v>ΕΛΑΙΩΝΕΣ3008192</v>
          </cell>
          <cell r="E1095" t="str">
            <v>ΕΛΑΙΩΝΕΣ ΚΟΙΝΗΣ ΚΑΤΕΥΘΥΝΣΗΣ - ΛΟΙΠΕΣ, ΔΙΠΛΗΣ ΚΑΤΕΥΘΥΝΣΗΣ</v>
          </cell>
          <cell r="F1095" t="str">
            <v>B_4_3_1</v>
          </cell>
          <cell r="G1095" t="str">
            <v>Ελαιώνες που συνήθως παράγουν επιτραπέζιες ελιές</v>
          </cell>
          <cell r="H1095">
            <v>2953</v>
          </cell>
          <cell r="K1095" t="str">
            <v>Ναι</v>
          </cell>
          <cell r="L1095" t="str">
            <v>ΝΑΙ</v>
          </cell>
          <cell r="O1095" t="str">
            <v/>
          </cell>
        </row>
        <row r="1096">
          <cell r="D1096" t="str">
            <v>ΕΛΑΙΩΝΕΣ589</v>
          </cell>
          <cell r="E1096" t="str">
            <v>ΘΙΑΚΗ (ΑΝΩ ΗΣΑΝΑ, ΘΙΑΚΟ, ΠΛΕΞΙΔΕΝΙΑ, ΝΤΟΠΙΑ)</v>
          </cell>
          <cell r="K1096" t="str">
            <v>Ναι</v>
          </cell>
          <cell r="L1096" t="str">
            <v>ΝΑΙ</v>
          </cell>
          <cell r="O1096" t="str">
            <v/>
          </cell>
        </row>
        <row r="1097">
          <cell r="D1097" t="str">
            <v>ΕΛΑΙΩΝΕΣ648</v>
          </cell>
          <cell r="E1097" t="str">
            <v>ΑΓΙΟΡΙΤΙΚΗ</v>
          </cell>
          <cell r="K1097" t="str">
            <v>Ναι</v>
          </cell>
          <cell r="L1097" t="str">
            <v>ΝΑΙ</v>
          </cell>
          <cell r="O1097" t="str">
            <v/>
          </cell>
        </row>
        <row r="1098">
          <cell r="D1098" t="str">
            <v>ΕΛΑΙΩΝΕΣ649</v>
          </cell>
          <cell r="E1098" t="str">
            <v>BLANQUETA</v>
          </cell>
          <cell r="K1098" t="str">
            <v>Ναι</v>
          </cell>
          <cell r="L1098" t="str">
            <v>ΝΑΙ</v>
          </cell>
          <cell r="O1098" t="str">
            <v/>
          </cell>
        </row>
        <row r="1099">
          <cell r="D1099" t="str">
            <v>ΕΛΑΙΩΝΕΣ650</v>
          </cell>
          <cell r="E1099" t="str">
            <v>BLANQUETA DE ELVAS</v>
          </cell>
          <cell r="K1099" t="str">
            <v>Ναι</v>
          </cell>
          <cell r="L1099" t="str">
            <v>ΝΑΙ</v>
          </cell>
          <cell r="O1099" t="str">
            <v/>
          </cell>
        </row>
        <row r="1100">
          <cell r="D1100" t="str">
            <v>ΕΛΑΙΩΝΕΣ651</v>
          </cell>
          <cell r="E1100" t="str">
            <v>BOUTEILLAN</v>
          </cell>
          <cell r="K1100" t="str">
            <v>Ναι</v>
          </cell>
          <cell r="L1100" t="str">
            <v>ΝΑΙ</v>
          </cell>
          <cell r="O1100" t="str">
            <v/>
          </cell>
        </row>
        <row r="1101">
          <cell r="D1101" t="str">
            <v>ΕΛΑΙΩΝΕΣ652</v>
          </cell>
          <cell r="E1101" t="str">
            <v>ΓΑΛΑΤΣΑΝΙΚΗ</v>
          </cell>
          <cell r="K1101" t="str">
            <v>Ναι</v>
          </cell>
          <cell r="L1101" t="str">
            <v>ΝΑΙ</v>
          </cell>
          <cell r="O1101" t="str">
            <v/>
          </cell>
        </row>
        <row r="1102">
          <cell r="D1102" t="str">
            <v>ΕΛΑΙΩΝΕΣ653</v>
          </cell>
          <cell r="E1102" t="str">
            <v>ΖΑΚΥΝΘΟΥ</v>
          </cell>
          <cell r="K1102" t="str">
            <v>Ναι</v>
          </cell>
          <cell r="L1102" t="str">
            <v>ΝΑΙ</v>
          </cell>
          <cell r="O1102" t="str">
            <v/>
          </cell>
        </row>
        <row r="1103">
          <cell r="D1103" t="str">
            <v>ΕΛΑΙΩΝΕΣ654</v>
          </cell>
          <cell r="E1103" t="str">
            <v>FRANCIVENTO</v>
          </cell>
          <cell r="K1103" t="str">
            <v>Ναι</v>
          </cell>
          <cell r="L1103" t="str">
            <v>ΝΑΙ</v>
          </cell>
          <cell r="O1103" t="str">
            <v/>
          </cell>
        </row>
        <row r="1104">
          <cell r="D1104" t="str">
            <v>ΕΛΑΙΩΝΕΣ655</v>
          </cell>
          <cell r="E1104" t="str">
            <v>GORDAL SEVILLANA</v>
          </cell>
          <cell r="K1104" t="str">
            <v>Ναι</v>
          </cell>
          <cell r="L1104" t="str">
            <v>ΝΑΙ</v>
          </cell>
          <cell r="O1104" t="str">
            <v/>
          </cell>
        </row>
        <row r="1105">
          <cell r="D1105" t="str">
            <v>ΕΛΑΙΩΝΕΣ656</v>
          </cell>
          <cell r="E1105" t="str">
            <v>GRAPPOLO</v>
          </cell>
          <cell r="K1105" t="str">
            <v>Ναι</v>
          </cell>
          <cell r="L1105" t="str">
            <v>ΝΑΙ</v>
          </cell>
          <cell r="O1105" t="str">
            <v/>
          </cell>
        </row>
        <row r="1106">
          <cell r="D1106" t="str">
            <v>ΕΛΑΙΩΝΕΣ657</v>
          </cell>
          <cell r="E1106" t="str">
            <v>LECHIO DEL CORNO</v>
          </cell>
          <cell r="K1106" t="str">
            <v>Ναι</v>
          </cell>
          <cell r="L1106" t="str">
            <v>ΝΑΙ</v>
          </cell>
          <cell r="O1106" t="str">
            <v/>
          </cell>
        </row>
        <row r="1107">
          <cell r="D1107" t="str">
            <v>ΕΛΑΙΩΝΕΣ658</v>
          </cell>
          <cell r="E1107" t="str">
            <v>ΛΕΥΚΑΔΑΣ ΑΣΠΡΟΛΙΑ</v>
          </cell>
          <cell r="K1107" t="str">
            <v>Ναι</v>
          </cell>
          <cell r="L1107" t="str">
            <v>ΝΑΙ</v>
          </cell>
          <cell r="O1107" t="str">
            <v/>
          </cell>
        </row>
        <row r="1108">
          <cell r="D1108" t="str">
            <v>ΕΛΑΙΩΝΕΣ659</v>
          </cell>
          <cell r="E1108" t="str">
            <v>MANZANILLA DE CARMONA</v>
          </cell>
          <cell r="K1108" t="str">
            <v>Ναι</v>
          </cell>
          <cell r="L1108" t="str">
            <v>ΝΑΙ</v>
          </cell>
          <cell r="O1108" t="str">
            <v/>
          </cell>
        </row>
        <row r="1109">
          <cell r="D1109" t="str">
            <v>ΕΛΑΙΩΝΕΣ660</v>
          </cell>
          <cell r="E1109" t="str">
            <v>MANZANILLA ISR.</v>
          </cell>
          <cell r="K1109" t="str">
            <v>Ναι</v>
          </cell>
          <cell r="L1109" t="str">
            <v>ΝΑΙ</v>
          </cell>
          <cell r="O1109" t="str">
            <v/>
          </cell>
        </row>
        <row r="1110">
          <cell r="D1110" t="str">
            <v>ΕΛΑΙΩΝΕΣ661</v>
          </cell>
          <cell r="E1110" t="str">
            <v>MANZANILLA NORMAL</v>
          </cell>
          <cell r="K1110" t="str">
            <v>Ναι</v>
          </cell>
          <cell r="L1110" t="str">
            <v>ΝΑΙ</v>
          </cell>
          <cell r="O1110" t="str">
            <v/>
          </cell>
        </row>
        <row r="1111">
          <cell r="D1111" t="str">
            <v>ΕΛΑΙΩΝΕΣ662</v>
          </cell>
          <cell r="E1111" t="str">
            <v>MAROCAN PICHOLINE</v>
          </cell>
          <cell r="K1111" t="str">
            <v>Ναι</v>
          </cell>
          <cell r="L1111" t="str">
            <v>ΝΑΙ</v>
          </cell>
          <cell r="O1111" t="str">
            <v/>
          </cell>
        </row>
        <row r="1112">
          <cell r="D1112" t="str">
            <v>ΕΛΑΙΩΝΕΣ663</v>
          </cell>
          <cell r="E1112" t="str">
            <v>ΜΑΡΩΝΕΙΑΣ</v>
          </cell>
          <cell r="K1112" t="str">
            <v>Ναι</v>
          </cell>
          <cell r="L1112" t="str">
            <v>ΝΑΙ</v>
          </cell>
          <cell r="O1112" t="str">
            <v/>
          </cell>
        </row>
        <row r="1113">
          <cell r="D1113" t="str">
            <v>ΕΛΑΙΩΝΕΣ664</v>
          </cell>
          <cell r="E1113" t="str">
            <v>MERHAVIA</v>
          </cell>
          <cell r="K1113" t="str">
            <v>Ναι</v>
          </cell>
          <cell r="L1113" t="str">
            <v>ΝΑΙ</v>
          </cell>
          <cell r="O1113" t="str">
            <v/>
          </cell>
        </row>
        <row r="1114">
          <cell r="D1114" t="str">
            <v>ΕΛΑΙΩΝΕΣ665</v>
          </cell>
          <cell r="E1114" t="str">
            <v>NASUICHI</v>
          </cell>
          <cell r="K1114" t="str">
            <v>Ναι</v>
          </cell>
          <cell r="L1114" t="str">
            <v>ΝΑΙ</v>
          </cell>
          <cell r="O1114" t="str">
            <v/>
          </cell>
        </row>
        <row r="1115">
          <cell r="D1115" t="str">
            <v>ΕΛΑΙΩΝΕΣ666</v>
          </cell>
          <cell r="E1115" t="str">
            <v>NEVADILLO BLANCO</v>
          </cell>
          <cell r="K1115" t="str">
            <v>Ναι</v>
          </cell>
          <cell r="L1115" t="str">
            <v>ΝΑΙ</v>
          </cell>
          <cell r="O1115" t="str">
            <v/>
          </cell>
        </row>
        <row r="1116">
          <cell r="D1116" t="str">
            <v>ΕΛΑΙΩΝΕΣ667</v>
          </cell>
          <cell r="E1116" t="str">
            <v>NEVADILLO NEGRO</v>
          </cell>
          <cell r="K1116" t="str">
            <v>Ναι</v>
          </cell>
          <cell r="L1116" t="str">
            <v>ΝΑΙ</v>
          </cell>
          <cell r="O1116" t="str">
            <v/>
          </cell>
        </row>
        <row r="1117">
          <cell r="D1117" t="str">
            <v>ΕΛΑΙΩΝΕΣ668</v>
          </cell>
          <cell r="E1117" t="str">
            <v>OLIVA DE CERIGNOLA</v>
          </cell>
          <cell r="K1117" t="str">
            <v>Ναι</v>
          </cell>
          <cell r="L1117" t="str">
            <v>ΝΑΙ</v>
          </cell>
          <cell r="O1117" t="str">
            <v/>
          </cell>
        </row>
        <row r="1118">
          <cell r="D1118" t="str">
            <v>ΕΛΑΙΩΝΕΣ669</v>
          </cell>
          <cell r="E1118" t="str">
            <v>PENDOLINO</v>
          </cell>
          <cell r="K1118" t="str">
            <v>Ναι</v>
          </cell>
          <cell r="L1118" t="str">
            <v>ΝΑΙ</v>
          </cell>
          <cell r="O1118" t="str">
            <v/>
          </cell>
        </row>
        <row r="1119">
          <cell r="D1119" t="str">
            <v>ΕΛΑΙΩΝΕΣ670</v>
          </cell>
          <cell r="E1119" t="str">
            <v>ΡΑΧΑΤΗ</v>
          </cell>
          <cell r="K1119" t="str">
            <v>Ναι</v>
          </cell>
          <cell r="L1119" t="str">
            <v>ΝΑΙ</v>
          </cell>
          <cell r="O1119" t="str">
            <v/>
          </cell>
        </row>
        <row r="1120">
          <cell r="D1120" t="str">
            <v>ΕΛΑΙΩΝΕΣ671</v>
          </cell>
          <cell r="E1120" t="str">
            <v>REAL SEVILLANA</v>
          </cell>
          <cell r="K1120" t="str">
            <v>Ναι</v>
          </cell>
          <cell r="L1120" t="str">
            <v>ΝΑΙ</v>
          </cell>
          <cell r="O1120" t="str">
            <v/>
          </cell>
        </row>
        <row r="1121">
          <cell r="D1121" t="str">
            <v>ΕΛΑΙΩΝΕΣ672</v>
          </cell>
          <cell r="E1121" t="str">
            <v>ΡΟΒΙΩΝ (ΠΡΑΣΙΝΗ)</v>
          </cell>
          <cell r="K1121" t="str">
            <v>Ναι</v>
          </cell>
          <cell r="L1121" t="str">
            <v>ΝΑΙ</v>
          </cell>
          <cell r="O1121" t="str">
            <v/>
          </cell>
        </row>
        <row r="1122">
          <cell r="D1122" t="str">
            <v>ΕΛΑΙΩΝΕΣ673</v>
          </cell>
          <cell r="E1122" t="str">
            <v>ROSCIOLA</v>
          </cell>
          <cell r="K1122" t="str">
            <v>Ναι</v>
          </cell>
          <cell r="L1122" t="str">
            <v>ΝΑΙ</v>
          </cell>
          <cell r="O1122" t="str">
            <v/>
          </cell>
        </row>
        <row r="1123">
          <cell r="D1123" t="str">
            <v>ΕΛΑΙΩΝΕΣ674</v>
          </cell>
          <cell r="E1123" t="str">
            <v>SDE ELIAO</v>
          </cell>
          <cell r="K1123" t="str">
            <v>Ναι</v>
          </cell>
          <cell r="L1123" t="str">
            <v>ΝΑΙ</v>
          </cell>
          <cell r="O1123" t="str">
            <v/>
          </cell>
        </row>
        <row r="1124">
          <cell r="D1124" t="str">
            <v>ΕΛΑΙΩΝΕΣ675</v>
          </cell>
          <cell r="E1124" t="str">
            <v>SORANI</v>
          </cell>
          <cell r="K1124" t="str">
            <v>Ναι</v>
          </cell>
          <cell r="L1124" t="str">
            <v>ΝΑΙ</v>
          </cell>
          <cell r="O1124" t="str">
            <v/>
          </cell>
        </row>
        <row r="1125">
          <cell r="D1125" t="str">
            <v>ΕΛΑΙΩΝΕΣ676</v>
          </cell>
          <cell r="E1125" t="str">
            <v>TEMPIANILLO LUCENA</v>
          </cell>
          <cell r="K1125" t="str">
            <v>Ναι</v>
          </cell>
          <cell r="L1125" t="str">
            <v>ΝΑΙ</v>
          </cell>
          <cell r="O1125" t="str">
            <v/>
          </cell>
        </row>
        <row r="1126">
          <cell r="D1126" t="str">
            <v>ΕΛΑΙΩΝΕΣ677</v>
          </cell>
          <cell r="E1126" t="str">
            <v>ZORZALENO</v>
          </cell>
          <cell r="K1126" t="str">
            <v>Ναι</v>
          </cell>
          <cell r="L1126" t="str">
            <v>ΝΑΙ</v>
          </cell>
          <cell r="O1126" t="str">
            <v/>
          </cell>
        </row>
        <row r="1127">
          <cell r="D1127" t="str">
            <v>ΕΝΕΡΓΕΙΑΚΕΣ ΚΑΛΛΙΕΡΓΕΙΕΣ6299</v>
          </cell>
          <cell r="E1127" t="str">
            <v>ΕΛΑΙΟΚΡΑΜΒΗ</v>
          </cell>
          <cell r="F1127" t="str">
            <v>B_1_6_4</v>
          </cell>
          <cell r="G1127" t="str">
            <v>Ελαιοκράμβη και αγριογογγύλη</v>
          </cell>
          <cell r="H1127">
            <v>1261</v>
          </cell>
          <cell r="K1127" t="str">
            <v>Ναι</v>
          </cell>
          <cell r="L1127" t="str">
            <v>ΝΑΙ</v>
          </cell>
          <cell r="O1127" t="str">
            <v>!</v>
          </cell>
        </row>
        <row r="1128">
          <cell r="D1128" t="str">
            <v>ΕΝΕΡΓΕΙΑΚΕΣ ΚΑΛΛΙΕΡΓΕΙΕΣ6301</v>
          </cell>
          <cell r="E1128" t="str">
            <v>ΗΛΙΑΝΘΟΣ QUIRO (ΗΠΑ)</v>
          </cell>
          <cell r="F1128" t="str">
            <v>B_1_6_5</v>
          </cell>
          <cell r="G1128" t="str">
            <v>Ηλίανθος</v>
          </cell>
          <cell r="H1128">
            <v>1314</v>
          </cell>
          <cell r="K1128" t="str">
            <v>Όχι</v>
          </cell>
          <cell r="L1128" t="str">
            <v>ΌΧΙ</v>
          </cell>
          <cell r="O1128" t="str">
            <v>!</v>
          </cell>
        </row>
        <row r="1129">
          <cell r="D1129" t="str">
            <v>ΕΝΕΡΓΕΙΑΚΕΣ ΚΑΛΛΙΕΡΓΕΙΕΣ6302</v>
          </cell>
          <cell r="E1129" t="str">
            <v>ΗΛΙΑΝΘΟΣ TURBO (ROM)</v>
          </cell>
          <cell r="F1129" t="str">
            <v>B_1_6_5</v>
          </cell>
          <cell r="G1129" t="str">
            <v>Ηλίανθος</v>
          </cell>
          <cell r="H1129">
            <v>1314</v>
          </cell>
          <cell r="K1129" t="str">
            <v>Όχι</v>
          </cell>
          <cell r="L1129" t="str">
            <v>ΌΧΙ</v>
          </cell>
          <cell r="O1129" t="str">
            <v>!</v>
          </cell>
        </row>
        <row r="1130">
          <cell r="D1130" t="str">
            <v>ΕΝΕΡΓΕΙΑΚΕΣ ΚΑΛΛΙΕΡΓΕΙΕΣ6303</v>
          </cell>
          <cell r="E1130" t="str">
            <v>ΗΛΙΑΝΘΟΣ PHARAON (ΗΠΑ)</v>
          </cell>
          <cell r="F1130" t="str">
            <v>B_1_6_5</v>
          </cell>
          <cell r="G1130" t="str">
            <v>Ηλίανθος</v>
          </cell>
          <cell r="H1130">
            <v>1314</v>
          </cell>
          <cell r="K1130" t="str">
            <v>Όχι</v>
          </cell>
          <cell r="L1130" t="str">
            <v>ΌΧΙ</v>
          </cell>
          <cell r="O1130" t="str">
            <v>!</v>
          </cell>
        </row>
        <row r="1131">
          <cell r="D1131" t="str">
            <v>ΕΝΕΡΓΕΙΑΚΕΣ ΚΑΛΛΙΕΡΓΕΙΕΣ6304</v>
          </cell>
          <cell r="E1131" t="str">
            <v>ΗΛΙΑΝΘΟΣ SUNSTAR (ΗΠΑ)</v>
          </cell>
          <cell r="F1131" t="str">
            <v>B_1_6_5</v>
          </cell>
          <cell r="G1131" t="str">
            <v>Ηλίανθος</v>
          </cell>
          <cell r="H1131">
            <v>1314</v>
          </cell>
          <cell r="K1131" t="str">
            <v>Όχι</v>
          </cell>
          <cell r="L1131" t="str">
            <v>ΌΧΙ</v>
          </cell>
          <cell r="O1131" t="str">
            <v>!</v>
          </cell>
        </row>
        <row r="1132">
          <cell r="D1132" t="str">
            <v>ΕΝΕΡΓΕΙΑΚΕΣ ΚΑΛΛΙΕΡΓΕΙΕΣ6305</v>
          </cell>
          <cell r="E1132" t="str">
            <v>ΗΛΙΑΝΘΟΣ ΚΑΒΗΣΟΣ (ΕΛΛΑΣ)</v>
          </cell>
          <cell r="F1132" t="str">
            <v>B_1_6_5</v>
          </cell>
          <cell r="G1132" t="str">
            <v>Ηλίανθος</v>
          </cell>
          <cell r="H1132">
            <v>1314</v>
          </cell>
          <cell r="K1132" t="str">
            <v>Όχι</v>
          </cell>
          <cell r="L1132" t="str">
            <v>ΌΧΙ</v>
          </cell>
          <cell r="O1132" t="str">
            <v>!</v>
          </cell>
        </row>
        <row r="1133">
          <cell r="D1133" t="str">
            <v>ΕΝΕΡΓΕΙΑΚΕΣ ΚΑΛΛΙΕΡΓΕΙΕΣ6306</v>
          </cell>
          <cell r="E1133" t="str">
            <v>ΗΛΙΑΝΘΟΣ ΔΙΑΦΟΡΑ</v>
          </cell>
          <cell r="F1133" t="str">
            <v>B_1_6_5</v>
          </cell>
          <cell r="G1133" t="str">
            <v>Ηλίανθος</v>
          </cell>
          <cell r="H1133">
            <v>1314</v>
          </cell>
          <cell r="K1133" t="str">
            <v>Όχι</v>
          </cell>
          <cell r="L1133" t="str">
            <v>ΌΧΙ</v>
          </cell>
          <cell r="O1133" t="str">
            <v/>
          </cell>
        </row>
        <row r="1134">
          <cell r="D1134" t="str">
            <v>ΕΝΕΡΓΕΙΑΚΕΣ ΚΑΛΛΙΕΡΓΕΙΕΣ6499</v>
          </cell>
          <cell r="E1134" t="str">
            <v>ΣΟΓΙΑ</v>
          </cell>
          <cell r="F1134" t="str">
            <v>B_1_6_6</v>
          </cell>
          <cell r="G1134" t="str">
            <v>Σόγια</v>
          </cell>
          <cell r="H1134">
            <v>1305</v>
          </cell>
          <cell r="K1134" t="str">
            <v>Όχι</v>
          </cell>
          <cell r="L1134" t="str">
            <v>ΌΧΙ</v>
          </cell>
          <cell r="O1134" t="str">
            <v/>
          </cell>
        </row>
        <row r="1135">
          <cell r="D1135" t="str">
            <v>ΕΝΕΡΓΕΙΑΚΕΣ ΚΑΛΛΙΕΡΓΕΙΕΣ8702</v>
          </cell>
          <cell r="E1135" t="str">
            <v>ΑΓΡΙΟΑΓΓΙΝΑΡΑ</v>
          </cell>
          <cell r="F1135" t="str">
            <v>B_1_6_99</v>
          </cell>
          <cell r="G1135" t="str">
            <v>Άλλες βιομηχανικές καλλιέργειες που δεν αναφέρονται αλλού</v>
          </cell>
          <cell r="H1135">
            <v>1261</v>
          </cell>
          <cell r="K1135" t="str">
            <v>Ναι</v>
          </cell>
          <cell r="L1135" t="str">
            <v>ΝΑΙ</v>
          </cell>
          <cell r="O1135" t="str">
            <v>!</v>
          </cell>
        </row>
        <row r="1136">
          <cell r="D1136" t="str">
            <v>ΕΝΕΡΓΕΙΑΚΕΣ ΚΑΛΛΙΕΡΓΕΙΕΣ8705</v>
          </cell>
          <cell r="E1136" t="str">
            <v>ΑΤΡΑΚΤΥΛΙΔΑ</v>
          </cell>
          <cell r="F1136" t="str">
            <v>B_1_6_8</v>
          </cell>
          <cell r="G1136" t="str">
            <v>Άλλα ελαιούχα φυτά</v>
          </cell>
          <cell r="H1136">
            <v>1287</v>
          </cell>
          <cell r="K1136" t="str">
            <v>Ναι</v>
          </cell>
          <cell r="L1136" t="str">
            <v>ΕΤ:Ναι, δεν έχω συγκρίσιμα από το υπόλοιπο αρχείο</v>
          </cell>
          <cell r="O1136" t="str">
            <v/>
          </cell>
        </row>
        <row r="1137">
          <cell r="D1137" t="str">
            <v>ΕΣΠΕΡΙΔΟΕΙΔΗ10912</v>
          </cell>
          <cell r="E1137" t="str">
            <v>ΠΟΡΤΟΚΑΛΙΕΣ</v>
          </cell>
          <cell r="F1137" t="str">
            <v>B_4_2</v>
          </cell>
          <cell r="G1137" t="str">
            <v>Εσπεριδοειδώνες</v>
          </cell>
          <cell r="H1137">
            <v>5135</v>
          </cell>
          <cell r="J1137" t="str">
            <v>Ναι</v>
          </cell>
          <cell r="K1137" t="str">
            <v>Ναι</v>
          </cell>
          <cell r="L1137" t="str">
            <v>ΝΑΙ</v>
          </cell>
          <cell r="O1137" t="str">
            <v/>
          </cell>
        </row>
        <row r="1138">
          <cell r="D1138" t="str">
            <v>ΕΣΠΕΡΙΔΟΕΙΔΗ10914</v>
          </cell>
          <cell r="E1138" t="str">
            <v>ΦΡΑΠΕΣ</v>
          </cell>
          <cell r="F1138" t="str">
            <v>B_4_2</v>
          </cell>
          <cell r="G1138" t="str">
            <v>Εσπεριδοειδώνες</v>
          </cell>
          <cell r="H1138">
            <v>5135</v>
          </cell>
          <cell r="J1138" t="str">
            <v>Ναι</v>
          </cell>
          <cell r="K1138" t="str">
            <v>Ναι</v>
          </cell>
          <cell r="L1138" t="str">
            <v>ΝΑΙ</v>
          </cell>
          <cell r="O1138" t="str">
            <v/>
          </cell>
        </row>
        <row r="1139">
          <cell r="D1139" t="str">
            <v>ΕΣΠΕΡΙΔΟΕΙΔΗ10915</v>
          </cell>
          <cell r="E1139" t="str">
            <v>ΣΑΤΣΟΥΜΕΣ</v>
          </cell>
          <cell r="F1139" t="str">
            <v>B_4_2</v>
          </cell>
          <cell r="G1139" t="str">
            <v>Εσπεριδοειδώνες</v>
          </cell>
          <cell r="H1139">
            <v>5135</v>
          </cell>
          <cell r="J1139" t="str">
            <v>Ναι</v>
          </cell>
          <cell r="K1139" t="str">
            <v>Ναι</v>
          </cell>
          <cell r="L1139" t="str">
            <v>ΝΑΙ</v>
          </cell>
          <cell r="O1139" t="str">
            <v/>
          </cell>
        </row>
        <row r="1140">
          <cell r="D1140" t="str">
            <v>ΕΣΠΕΡΙΔΟΕΙΔΗ10916</v>
          </cell>
          <cell r="E1140" t="str">
            <v>ΚΛΙΜΕΝΤΙΝΕΣ</v>
          </cell>
          <cell r="F1140" t="str">
            <v>B_4_2</v>
          </cell>
          <cell r="G1140" t="str">
            <v>Εσπεριδοειδώνες</v>
          </cell>
          <cell r="H1140">
            <v>5135</v>
          </cell>
          <cell r="J1140" t="str">
            <v>Ναι</v>
          </cell>
          <cell r="K1140" t="str">
            <v>Ναι</v>
          </cell>
          <cell r="L1140" t="str">
            <v>ΝΑΙ</v>
          </cell>
          <cell r="O1140" t="str">
            <v/>
          </cell>
        </row>
        <row r="1141">
          <cell r="D1141" t="str">
            <v>ΕΣΠΕΡΙΔΟΕΙΔΗ10917</v>
          </cell>
          <cell r="E1141" t="str">
            <v>ΜΑΝΤΑΡΙΝΙΑ ΚΑΛΥΜΝΟΥ</v>
          </cell>
          <cell r="F1141" t="str">
            <v>B_4_2</v>
          </cell>
          <cell r="G1141" t="str">
            <v>Εσπεριδοειδώνες</v>
          </cell>
          <cell r="H1141">
            <v>5135</v>
          </cell>
          <cell r="J1141" t="str">
            <v>Ναι</v>
          </cell>
          <cell r="K1141" t="str">
            <v>Ναι</v>
          </cell>
          <cell r="L1141" t="str">
            <v>ΝΑΙ</v>
          </cell>
          <cell r="O1141" t="str">
            <v/>
          </cell>
        </row>
        <row r="1142">
          <cell r="D1142" t="str">
            <v>ΕΣΠΕΡΙΔΟΕΙΔΗ37002</v>
          </cell>
          <cell r="E1142" t="str">
            <v>ΚΙΤΡΑ EΤROG (ΙΟΥΔΑΪΚΑ)</v>
          </cell>
          <cell r="F1142" t="str">
            <v>B_4_2</v>
          </cell>
          <cell r="G1142" t="str">
            <v>Εσπεριδοειδώνες</v>
          </cell>
          <cell r="H1142">
            <v>5135</v>
          </cell>
          <cell r="J1142" t="str">
            <v>Ναι</v>
          </cell>
          <cell r="K1142" t="str">
            <v>Ναι</v>
          </cell>
          <cell r="L1142" t="str">
            <v>ΝΑΙ</v>
          </cell>
          <cell r="O1142" t="str">
            <v/>
          </cell>
        </row>
        <row r="1143">
          <cell r="D1143" t="str">
            <v>ΕΣΠΕΡΙΔΟΕΙΔΗ37003</v>
          </cell>
          <cell r="E1143" t="str">
            <v>ΛΕΜΟΝΙΑ ΚΑΝΟΝ. ΠΑΡΑΓ. (ΚΙΤΡΙΝΑ)</v>
          </cell>
          <cell r="F1143" t="str">
            <v>B_4_2</v>
          </cell>
          <cell r="G1143" t="str">
            <v>Εσπεριδοειδώνες</v>
          </cell>
          <cell r="H1143">
            <v>5135</v>
          </cell>
          <cell r="J1143" t="str">
            <v>Ναι</v>
          </cell>
          <cell r="K1143" t="str">
            <v>Ναι</v>
          </cell>
          <cell r="L1143" t="str">
            <v>ΝΑΙ</v>
          </cell>
          <cell r="O1143" t="str">
            <v/>
          </cell>
        </row>
        <row r="1144">
          <cell r="D1144" t="str">
            <v>ΕΣΠΕΡΙΔΟΕΙΔΗ37004</v>
          </cell>
          <cell r="E1144" t="str">
            <v>ΛΕΜΟΝΙΑ ΔΙΦΟΡΑ</v>
          </cell>
          <cell r="F1144" t="str">
            <v>B_4_2</v>
          </cell>
          <cell r="G1144" t="str">
            <v>Εσπεριδοειδώνες</v>
          </cell>
          <cell r="H1144">
            <v>5135</v>
          </cell>
          <cell r="J1144" t="str">
            <v>Ναι</v>
          </cell>
          <cell r="K1144" t="str">
            <v>Ναι</v>
          </cell>
          <cell r="L1144" t="str">
            <v>ΝΑΙ</v>
          </cell>
          <cell r="O1144" t="str">
            <v/>
          </cell>
        </row>
        <row r="1145">
          <cell r="D1145" t="str">
            <v>ΕΣΠΕΡΙΔΟΕΙΔΗ37005</v>
          </cell>
          <cell r="E1145" t="str">
            <v>ΜΑΝΔΑΡΙΝΙΑ ΚΟΙΝΑ</v>
          </cell>
          <cell r="F1145" t="str">
            <v>B_4_2</v>
          </cell>
          <cell r="G1145" t="str">
            <v>Εσπεριδοειδώνες</v>
          </cell>
          <cell r="H1145">
            <v>5135</v>
          </cell>
          <cell r="J1145" t="str">
            <v>Ναι</v>
          </cell>
          <cell r="K1145" t="str">
            <v>Ναι</v>
          </cell>
          <cell r="L1145" t="str">
            <v>ΝΑΙ</v>
          </cell>
          <cell r="O1145" t="str">
            <v/>
          </cell>
        </row>
        <row r="1146">
          <cell r="D1146" t="str">
            <v>ΕΣΠΕΡΙΔΟΕΙΔΗ37006</v>
          </cell>
          <cell r="E1146" t="str">
            <v>ΜΑΝΔΑΡΙΝΙΑ ΚΛΗΜΕΝΤΙΝΗ</v>
          </cell>
          <cell r="F1146" t="str">
            <v>B_4_2</v>
          </cell>
          <cell r="G1146" t="str">
            <v>Εσπεριδοειδώνες</v>
          </cell>
          <cell r="H1146">
            <v>5135</v>
          </cell>
          <cell r="J1146" t="str">
            <v>Ναι</v>
          </cell>
          <cell r="K1146" t="str">
            <v>Ναι</v>
          </cell>
          <cell r="L1146" t="str">
            <v>ΝΑΙ</v>
          </cell>
          <cell r="O1146" t="str">
            <v/>
          </cell>
        </row>
        <row r="1147">
          <cell r="D1147" t="str">
            <v>ΕΣΠΕΡΙΔΟΕΙΔΗ37007</v>
          </cell>
          <cell r="E1147" t="str">
            <v>ΜΑΝΔΑΡΙΝΙΑ ΣΑΤΣΟΥΜΑ</v>
          </cell>
          <cell r="F1147" t="str">
            <v>B_4_2</v>
          </cell>
          <cell r="G1147" t="str">
            <v>Εσπεριδοειδώνες</v>
          </cell>
          <cell r="H1147">
            <v>5135</v>
          </cell>
          <cell r="J1147" t="str">
            <v>Ναι</v>
          </cell>
          <cell r="K1147" t="str">
            <v>Ναι</v>
          </cell>
          <cell r="L1147" t="str">
            <v>ΝΑΙ</v>
          </cell>
          <cell r="O1147" t="str">
            <v/>
          </cell>
        </row>
        <row r="1148">
          <cell r="D1148" t="str">
            <v>ΕΣΠΕΡΙΔΟΕΙΔΗ37008</v>
          </cell>
          <cell r="E1148" t="str">
            <v>ΜΑΝΔΑΡΙΝΙΑ ΕΝΚΟΡ</v>
          </cell>
          <cell r="F1148" t="str">
            <v>B_4_2</v>
          </cell>
          <cell r="G1148" t="str">
            <v>Εσπεριδοειδώνες</v>
          </cell>
          <cell r="H1148">
            <v>5135</v>
          </cell>
          <cell r="J1148" t="str">
            <v>Ναι</v>
          </cell>
          <cell r="K1148" t="str">
            <v>Ναι</v>
          </cell>
          <cell r="L1148" t="str">
            <v>ΝΑΙ</v>
          </cell>
          <cell r="O1148" t="str">
            <v/>
          </cell>
        </row>
        <row r="1149">
          <cell r="D1149" t="str">
            <v>ΕΣΠΕΡΙΔΟΕΙΔΗ37009</v>
          </cell>
          <cell r="E1149" t="str">
            <v>ΜΑΝΔΑΡΙΝΙΑ ΟΡΤΑΝΙΚ</v>
          </cell>
          <cell r="F1149" t="str">
            <v>B_4_2</v>
          </cell>
          <cell r="G1149" t="str">
            <v>Εσπεριδοειδώνες</v>
          </cell>
          <cell r="H1149">
            <v>5135</v>
          </cell>
          <cell r="J1149" t="str">
            <v>Ναι</v>
          </cell>
          <cell r="K1149" t="str">
            <v>Ναι</v>
          </cell>
          <cell r="L1149" t="str">
            <v>ΝΑΙ</v>
          </cell>
          <cell r="O1149" t="str">
            <v/>
          </cell>
        </row>
        <row r="1150">
          <cell r="D1150" t="str">
            <v>ΕΣΠΕΡΙΔΟΕΙΔΗ37010</v>
          </cell>
          <cell r="E1150" t="str">
            <v>ΜΑΝΔΑΡΙΝΙΑ ΚΑΡΑ</v>
          </cell>
          <cell r="F1150" t="str">
            <v>B_4_2</v>
          </cell>
          <cell r="G1150" t="str">
            <v>Εσπεριδοειδώνες</v>
          </cell>
          <cell r="H1150">
            <v>5135</v>
          </cell>
          <cell r="J1150" t="str">
            <v>Ναι</v>
          </cell>
          <cell r="K1150" t="str">
            <v>Ναι</v>
          </cell>
          <cell r="L1150" t="str">
            <v>ΝΑΙ</v>
          </cell>
          <cell r="O1150" t="str">
            <v/>
          </cell>
        </row>
        <row r="1151">
          <cell r="D1151" t="str">
            <v>ΕΣΠΕΡΙΔΟΕΙΔΗ37011</v>
          </cell>
          <cell r="E1151" t="str">
            <v>ΜΑΝΔΑΡΙΝΙΑ ΜΙΝΕΟΛΑ</v>
          </cell>
          <cell r="F1151" t="str">
            <v>B_4_2</v>
          </cell>
          <cell r="G1151" t="str">
            <v>Εσπεριδοειδώνες</v>
          </cell>
          <cell r="H1151">
            <v>5135</v>
          </cell>
          <cell r="J1151" t="str">
            <v>Ναι</v>
          </cell>
          <cell r="K1151" t="str">
            <v>Ναι</v>
          </cell>
          <cell r="L1151" t="str">
            <v>ΝΑΙ</v>
          </cell>
          <cell r="O1151" t="str">
            <v/>
          </cell>
        </row>
        <row r="1152">
          <cell r="D1152" t="str">
            <v>ΕΣΠΕΡΙΔΟΕΙΔΗ37012</v>
          </cell>
          <cell r="E1152" t="str">
            <v>ΜΑΝΔΑΡΙΝΙΑ ΦΟΡΤΟΥΝΑ</v>
          </cell>
          <cell r="F1152" t="str">
            <v>B_4_2</v>
          </cell>
          <cell r="G1152" t="str">
            <v>Εσπεριδοειδώνες</v>
          </cell>
          <cell r="H1152">
            <v>5135</v>
          </cell>
          <cell r="J1152" t="str">
            <v>Ναι</v>
          </cell>
          <cell r="K1152" t="str">
            <v>Ναι</v>
          </cell>
          <cell r="L1152" t="str">
            <v>ΝΑΙ</v>
          </cell>
          <cell r="O1152" t="str">
            <v/>
          </cell>
        </row>
        <row r="1153">
          <cell r="D1153" t="str">
            <v>ΕΣΠΕΡΙΔΟΕΙΔΗ37013</v>
          </cell>
          <cell r="E1153" t="str">
            <v>ΜΑΝΔΑΡΙΝΙΑ ΝΟΒΑ-ΠΕΪΤΖ</v>
          </cell>
          <cell r="F1153" t="str">
            <v>B_4_2</v>
          </cell>
          <cell r="G1153" t="str">
            <v>Εσπεριδοειδώνες</v>
          </cell>
          <cell r="H1153">
            <v>5135</v>
          </cell>
          <cell r="J1153" t="str">
            <v>Ναι</v>
          </cell>
          <cell r="K1153" t="str">
            <v>Ναι</v>
          </cell>
          <cell r="L1153" t="str">
            <v>ΝΑΙ</v>
          </cell>
          <cell r="O1153" t="str">
            <v/>
          </cell>
        </row>
        <row r="1154">
          <cell r="D1154" t="str">
            <v>ΕΣΠΕΡΙΔΟΕΙΔΗ37014</v>
          </cell>
          <cell r="E1154" t="str">
            <v>MANTAPINIA MARISOL</v>
          </cell>
          <cell r="F1154" t="str">
            <v>B_4_2</v>
          </cell>
          <cell r="G1154" t="str">
            <v>Εσπεριδοειδώνες</v>
          </cell>
          <cell r="H1154">
            <v>5135</v>
          </cell>
          <cell r="J1154" t="str">
            <v>Ναι</v>
          </cell>
          <cell r="K1154" t="str">
            <v>Ναι</v>
          </cell>
          <cell r="L1154" t="str">
            <v>ΝΑΙ</v>
          </cell>
          <cell r="O1154" t="str">
            <v/>
          </cell>
        </row>
        <row r="1155">
          <cell r="D1155" t="str">
            <v>ΕΣΠΕΡΙΔΟΕΙΔΗ37016</v>
          </cell>
          <cell r="E1155" t="str">
            <v>ΠΟΡΤΟΚΑΛΙΑ ΚΟΙΝ. ΠΟΙΚΙΛ.</v>
          </cell>
          <cell r="F1155" t="str">
            <v>B_4_2</v>
          </cell>
          <cell r="G1155" t="str">
            <v>Εσπεριδοειδώνες</v>
          </cell>
          <cell r="H1155">
            <v>5135</v>
          </cell>
          <cell r="J1155" t="str">
            <v>Ναι</v>
          </cell>
          <cell r="K1155" t="str">
            <v>Ναι</v>
          </cell>
          <cell r="L1155" t="str">
            <v>ΝΑΙ</v>
          </cell>
          <cell r="O1155" t="str">
            <v/>
          </cell>
        </row>
        <row r="1156">
          <cell r="D1156" t="str">
            <v>ΕΣΠΕΡΙΔΟΕΙΔΗ37017</v>
          </cell>
          <cell r="E1156" t="str">
            <v>ΠΟΡΤΟΚΑΛΙΑ ΓΙΑΦΦΑ</v>
          </cell>
          <cell r="F1156" t="str">
            <v>B_4_2</v>
          </cell>
          <cell r="G1156" t="str">
            <v>Εσπεριδοειδώνες</v>
          </cell>
          <cell r="H1156">
            <v>5135</v>
          </cell>
          <cell r="J1156" t="str">
            <v>Ναι</v>
          </cell>
          <cell r="K1156" t="str">
            <v>Ναι</v>
          </cell>
          <cell r="L1156" t="str">
            <v>ΝΑΙ</v>
          </cell>
          <cell r="O1156" t="str">
            <v/>
          </cell>
        </row>
        <row r="1157">
          <cell r="D1157" t="str">
            <v>ΕΣΠΕΡΙΔΟΕΙΔΗ37018</v>
          </cell>
          <cell r="E1157" t="str">
            <v>ΠΟΡΤΟΚΑΛΙΑ ΟΒΑΛ ΚΑΛΑΒΡΙΑΣ</v>
          </cell>
          <cell r="F1157" t="str">
            <v>B_4_2</v>
          </cell>
          <cell r="G1157" t="str">
            <v>Εσπεριδοειδώνες</v>
          </cell>
          <cell r="H1157">
            <v>5135</v>
          </cell>
          <cell r="J1157" t="str">
            <v>Ναι</v>
          </cell>
          <cell r="K1157" t="str">
            <v>Ναι</v>
          </cell>
          <cell r="L1157" t="str">
            <v>ΝΑΙ</v>
          </cell>
          <cell r="O1157" t="str">
            <v/>
          </cell>
        </row>
        <row r="1158">
          <cell r="D1158" t="str">
            <v>ΕΣΠΕΡΙΔΟΕΙΔΗ37019</v>
          </cell>
          <cell r="E1158" t="str">
            <v>ΠΟΡΤΟΚΑΛΙΑ ΒΑΛΕΝΤΣΙΑ</v>
          </cell>
          <cell r="F1158" t="str">
            <v>B_4_2</v>
          </cell>
          <cell r="G1158" t="str">
            <v>Εσπεριδοειδώνες</v>
          </cell>
          <cell r="H1158">
            <v>5135</v>
          </cell>
          <cell r="J1158" t="str">
            <v>Ναι</v>
          </cell>
          <cell r="K1158" t="str">
            <v>Ναι</v>
          </cell>
          <cell r="L1158" t="str">
            <v>ΝΑΙ</v>
          </cell>
          <cell r="O1158" t="str">
            <v/>
          </cell>
        </row>
        <row r="1159">
          <cell r="D1159" t="str">
            <v>ΕΣΠΕΡΙΔΟΕΙΔΗ37020</v>
          </cell>
          <cell r="E1159" t="str">
            <v>ΠΟΡΤΟΚΑΛΙΑ ΒΑΛΕΝΤΣΙΑ-ΜΙΚΡΟΚΑΡΠΙΑ</v>
          </cell>
          <cell r="F1159" t="str">
            <v>B_4_2</v>
          </cell>
          <cell r="G1159" t="str">
            <v>Εσπεριδοειδώνες</v>
          </cell>
          <cell r="H1159">
            <v>5135</v>
          </cell>
          <cell r="J1159" t="str">
            <v>Ναι</v>
          </cell>
          <cell r="K1159" t="str">
            <v>Ναι</v>
          </cell>
          <cell r="L1159" t="str">
            <v>ΝΑΙ</v>
          </cell>
          <cell r="O1159" t="str">
            <v/>
          </cell>
        </row>
        <row r="1160">
          <cell r="D1160" t="str">
            <v>ΕΣΠΕΡΙΔΟΕΙΔΗ37021</v>
          </cell>
          <cell r="E1160" t="str">
            <v>ΠΟΡΤΟΚΑΛΙΑ ΜΠΟΝΑΤΣΑ</v>
          </cell>
          <cell r="F1160" t="str">
            <v>B_4_2</v>
          </cell>
          <cell r="G1160" t="str">
            <v>Εσπεριδοειδώνες</v>
          </cell>
          <cell r="H1160">
            <v>5135</v>
          </cell>
          <cell r="J1160" t="str">
            <v>Ναι</v>
          </cell>
          <cell r="K1160" t="str">
            <v>Ναι</v>
          </cell>
          <cell r="L1160" t="str">
            <v>ΝΑΙ</v>
          </cell>
          <cell r="O1160" t="str">
            <v/>
          </cell>
        </row>
        <row r="1161">
          <cell r="D1161" t="str">
            <v>ΕΣΠΕΡΙΔΟΕΙΔΗ37022</v>
          </cell>
          <cell r="E1161" t="str">
            <v>ΠΟΡΤΟΚΑΛΙΑ ΝEWHΑLL</v>
          </cell>
          <cell r="F1161" t="str">
            <v>B_4_2</v>
          </cell>
          <cell r="G1161" t="str">
            <v>Εσπεριδοειδώνες</v>
          </cell>
          <cell r="H1161">
            <v>5135</v>
          </cell>
          <cell r="J1161" t="str">
            <v>Ναι</v>
          </cell>
          <cell r="K1161" t="str">
            <v>Ναι</v>
          </cell>
          <cell r="L1161" t="str">
            <v>ΝΑΙ</v>
          </cell>
          <cell r="O1161" t="str">
            <v/>
          </cell>
        </row>
        <row r="1162">
          <cell r="D1162" t="str">
            <v>ΕΣΠΕΡΙΔΟΕΙΔΗ37023</v>
          </cell>
          <cell r="E1162" t="str">
            <v>ΠΟΡΤΟΚΑΛΙΑ ΝΑΒΕΛΙΝΑ</v>
          </cell>
          <cell r="F1162" t="str">
            <v>B_4_2</v>
          </cell>
          <cell r="G1162" t="str">
            <v>Εσπεριδοειδώνες</v>
          </cell>
          <cell r="H1162">
            <v>5135</v>
          </cell>
          <cell r="J1162" t="str">
            <v>Ναι</v>
          </cell>
          <cell r="K1162" t="str">
            <v>Ναι</v>
          </cell>
          <cell r="L1162" t="str">
            <v>ΝΑΙ</v>
          </cell>
          <cell r="O1162" t="str">
            <v/>
          </cell>
        </row>
        <row r="1163">
          <cell r="D1163" t="str">
            <v>ΕΣΠΕΡΙΔΟΕΙΔΗ37024</v>
          </cell>
          <cell r="E1163" t="str">
            <v>ΠΟΡΤΟΚΑΛΙΑ ΝΑVELΑΤE</v>
          </cell>
          <cell r="F1163" t="str">
            <v>B_4_2</v>
          </cell>
          <cell r="G1163" t="str">
            <v>Εσπεριδοειδώνες</v>
          </cell>
          <cell r="H1163">
            <v>5135</v>
          </cell>
          <cell r="J1163" t="str">
            <v>Ναι</v>
          </cell>
          <cell r="K1163" t="str">
            <v>Ναι</v>
          </cell>
          <cell r="L1163" t="str">
            <v>ΝΑΙ</v>
          </cell>
          <cell r="O1163" t="str">
            <v/>
          </cell>
        </row>
        <row r="1164">
          <cell r="D1164" t="str">
            <v>ΕΣΠΕΡΙΔΟΕΙΔΗ37025</v>
          </cell>
          <cell r="E1164" t="str">
            <v>ΠΟΡΤΟΚΑΛΙΑ ΛΟΙΠ. ΟΜΦΑΛ. ΠΟΙΚΙΛ.</v>
          </cell>
          <cell r="F1164" t="str">
            <v>B_4_2</v>
          </cell>
          <cell r="G1164" t="str">
            <v>Εσπεριδοειδώνες</v>
          </cell>
          <cell r="H1164">
            <v>5135</v>
          </cell>
          <cell r="J1164" t="str">
            <v>Ναι</v>
          </cell>
          <cell r="K1164" t="str">
            <v>Ναι</v>
          </cell>
          <cell r="L1164" t="str">
            <v>ΝΑΙ</v>
          </cell>
          <cell r="O1164" t="str">
            <v/>
          </cell>
        </row>
        <row r="1165">
          <cell r="D1165" t="str">
            <v>ΕΣΠΕΡΙΔΟΕΙΔΗ37026</v>
          </cell>
          <cell r="E1165" t="str">
            <v>ΠΟΡΤΟΚΑΛΙΑ ΜORO</v>
          </cell>
          <cell r="F1165" t="str">
            <v>B_4_2</v>
          </cell>
          <cell r="G1165" t="str">
            <v>Εσπεριδοειδώνες</v>
          </cell>
          <cell r="H1165">
            <v>5135</v>
          </cell>
          <cell r="J1165" t="str">
            <v>Ναι</v>
          </cell>
          <cell r="K1165" t="str">
            <v>Ναι</v>
          </cell>
          <cell r="L1165" t="str">
            <v>ΝΑΙ</v>
          </cell>
          <cell r="O1165" t="str">
            <v/>
          </cell>
        </row>
        <row r="1166">
          <cell r="D1166" t="str">
            <v>ΕΣΠΕΡΙΔΟΕΙΔΗ37027</v>
          </cell>
          <cell r="E1166" t="str">
            <v>ΠΟΡΤΟΚΑΛΙΑ ΤΑROCCO</v>
          </cell>
          <cell r="F1166" t="str">
            <v>B_4_2</v>
          </cell>
          <cell r="G1166" t="str">
            <v>Εσπεριδοειδώνες</v>
          </cell>
          <cell r="H1166">
            <v>5135</v>
          </cell>
          <cell r="J1166" t="str">
            <v>Ναι</v>
          </cell>
          <cell r="K1166" t="str">
            <v>Ναι</v>
          </cell>
          <cell r="L1166" t="str">
            <v>ΝΑΙ</v>
          </cell>
          <cell r="O1166" t="str">
            <v/>
          </cell>
        </row>
        <row r="1167">
          <cell r="D1167" t="str">
            <v>ΕΣΠΕΡΙΔΟΕΙΔΗ37028</v>
          </cell>
          <cell r="E1167" t="str">
            <v>ΠΟΡΤΟΚΑΛΙΑ ΛΟΙΠ. ΑΙΜΑΤΟΧΡ. ΠΟΙΚΙΛ.</v>
          </cell>
          <cell r="F1167" t="str">
            <v>B_4_2</v>
          </cell>
          <cell r="G1167" t="str">
            <v>Εσπεριδοειδώνες</v>
          </cell>
          <cell r="H1167">
            <v>5135</v>
          </cell>
          <cell r="J1167" t="str">
            <v>Ναι</v>
          </cell>
          <cell r="K1167" t="str">
            <v>Ναι</v>
          </cell>
          <cell r="L1167" t="str">
            <v>ΝΑΙ</v>
          </cell>
          <cell r="O1167" t="str">
            <v/>
          </cell>
        </row>
        <row r="1168">
          <cell r="D1168" t="str">
            <v>ΕΣΠΕΡΙΔΟΕΙΔΗ37029</v>
          </cell>
          <cell r="E1168" t="str">
            <v>ΠΟΡΤΟΚΑΛΙΑ ΓΛΥΚΟΧ. ΠΟΙΚΙΛ.</v>
          </cell>
          <cell r="F1168" t="str">
            <v>B_4_2</v>
          </cell>
          <cell r="G1168" t="str">
            <v>Εσπεριδοειδώνες</v>
          </cell>
          <cell r="H1168">
            <v>5135</v>
          </cell>
          <cell r="J1168" t="str">
            <v>Ναι</v>
          </cell>
          <cell r="K1168" t="str">
            <v>Ναι</v>
          </cell>
          <cell r="L1168" t="str">
            <v>ΝΑΙ</v>
          </cell>
          <cell r="O1168" t="str">
            <v/>
          </cell>
        </row>
        <row r="1169">
          <cell r="D1169" t="str">
            <v>ΕΣΠΕΡΙΔΟΕΙΔΗ37030</v>
          </cell>
          <cell r="E1169" t="str">
            <v>ΠΟΡΤΟΚΑΛΙΑ ΣΑΛΟΥΣΤΙΑΝΑ</v>
          </cell>
          <cell r="F1169" t="str">
            <v>B_4_2</v>
          </cell>
          <cell r="G1169" t="str">
            <v>Εσπεριδοειδώνες</v>
          </cell>
          <cell r="H1169">
            <v>5135</v>
          </cell>
          <cell r="J1169" t="str">
            <v>Ναι</v>
          </cell>
          <cell r="K1169" t="str">
            <v>Ναι</v>
          </cell>
          <cell r="L1169" t="str">
            <v>ΝΑΙ</v>
          </cell>
          <cell r="O1169" t="str">
            <v/>
          </cell>
        </row>
        <row r="1170">
          <cell r="D1170" t="str">
            <v>ΕΣΠΕΡΙΔΟΕΙΔΗ37031</v>
          </cell>
          <cell r="E1170" t="str">
            <v>ΠΟΡΤΟΚΑΛΙΑ ΤΥΜΠΑΚΙΟΥ</v>
          </cell>
          <cell r="F1170" t="str">
            <v>B_4_2</v>
          </cell>
          <cell r="G1170" t="str">
            <v>Εσπεριδοειδώνες</v>
          </cell>
          <cell r="H1170">
            <v>5135</v>
          </cell>
          <cell r="J1170" t="str">
            <v>Ναι</v>
          </cell>
          <cell r="K1170" t="str">
            <v>Ναι</v>
          </cell>
          <cell r="L1170" t="str">
            <v>ΝΑΙ</v>
          </cell>
          <cell r="O1170" t="str">
            <v/>
          </cell>
        </row>
        <row r="1171">
          <cell r="D1171" t="str">
            <v>ΕΣΠΕΡΙΔΟΕΙΔΗ37032</v>
          </cell>
          <cell r="E1171" t="str">
            <v>ΠΟΡΤΟΚΑΛΙΑ LANE LATE</v>
          </cell>
          <cell r="F1171" t="str">
            <v>B_4_2</v>
          </cell>
          <cell r="G1171" t="str">
            <v>Εσπεριδοειδώνες</v>
          </cell>
          <cell r="H1171">
            <v>5135</v>
          </cell>
          <cell r="J1171" t="str">
            <v>Ναι</v>
          </cell>
          <cell r="K1171" t="str">
            <v>Ναι</v>
          </cell>
          <cell r="L1171" t="str">
            <v>ΝΑΙ</v>
          </cell>
          <cell r="O1171" t="str">
            <v/>
          </cell>
        </row>
        <row r="1172">
          <cell r="D1172" t="str">
            <v>ΕΣΠΕΡΙΔΟΕΙΔΗ8166</v>
          </cell>
          <cell r="E1172" t="str">
            <v>GRAPE FRUIT</v>
          </cell>
          <cell r="F1172" t="str">
            <v>B_4_2</v>
          </cell>
          <cell r="G1172" t="str">
            <v>Εσπεριδοειδώνες</v>
          </cell>
          <cell r="H1172">
            <v>5135</v>
          </cell>
          <cell r="J1172" t="str">
            <v>Ναι</v>
          </cell>
          <cell r="K1172" t="str">
            <v>Ναι</v>
          </cell>
          <cell r="L1172" t="str">
            <v>ΝΑΙ</v>
          </cell>
          <cell r="O1172" t="str">
            <v/>
          </cell>
        </row>
        <row r="1173">
          <cell r="D1173" t="str">
            <v>ΕΣΠΕΡΙΔΟΕΙΔΗ8167</v>
          </cell>
          <cell r="E1173" t="str">
            <v>ΠΟΡΤΟΚΑΛΙΕΣ ΜΑΛΤΑΣ</v>
          </cell>
          <cell r="F1173" t="str">
            <v>B_4_2</v>
          </cell>
          <cell r="G1173" t="str">
            <v>Εσπεριδοειδώνες</v>
          </cell>
          <cell r="H1173">
            <v>5135</v>
          </cell>
          <cell r="J1173" t="str">
            <v>Ναι</v>
          </cell>
          <cell r="K1173" t="str">
            <v>Ναι</v>
          </cell>
          <cell r="L1173" t="str">
            <v>ΝΑΙ</v>
          </cell>
          <cell r="O1173" t="str">
            <v/>
          </cell>
        </row>
        <row r="1174">
          <cell r="D1174" t="str">
            <v>ΕΣΠΕΡΙΔΟΕΙΔΗ8168</v>
          </cell>
          <cell r="E1174" t="str">
            <v>ΠΟΡΤΟΚΑΛΙΕΣ - ΣΑΓΚΟΥΙΝΙ ΓΟΥΡΙΤΣΗΣ</v>
          </cell>
          <cell r="F1174" t="str">
            <v>B_4_2</v>
          </cell>
          <cell r="G1174" t="str">
            <v>Εσπεριδοειδώνες</v>
          </cell>
          <cell r="H1174">
            <v>5135</v>
          </cell>
          <cell r="J1174" t="str">
            <v>Ναι</v>
          </cell>
          <cell r="K1174" t="str">
            <v>Ναι</v>
          </cell>
          <cell r="L1174" t="str">
            <v>ΝΑΙ</v>
          </cell>
          <cell r="O1174" t="str">
            <v/>
          </cell>
        </row>
        <row r="1175">
          <cell r="D1175" t="str">
            <v>ΕΣΠΕΡΙΔΟΕΙΔΗ8169</v>
          </cell>
          <cell r="E1175" t="str">
            <v>ΜΑΝΤΑΡΙΝΙΕΣ - ΧΙΩΤΙΚΟ ΚΟΙΝΟ</v>
          </cell>
          <cell r="F1175" t="str">
            <v>B_4_2</v>
          </cell>
          <cell r="G1175" t="str">
            <v>Εσπεριδοειδώνες</v>
          </cell>
          <cell r="H1175">
            <v>5135</v>
          </cell>
          <cell r="J1175" t="str">
            <v>Ναι</v>
          </cell>
          <cell r="K1175" t="str">
            <v>Ναι</v>
          </cell>
          <cell r="L1175" t="str">
            <v>ΝΑΙ</v>
          </cell>
          <cell r="O1175" t="str">
            <v/>
          </cell>
        </row>
        <row r="1176">
          <cell r="D1176" t="str">
            <v>ΕΣΠΕΡΙΔΟΕΙΔΗ8171</v>
          </cell>
          <cell r="E1176" t="str">
            <v>ΠΟΡΤΟΚΑΛΙΕΣ - LANE LATE</v>
          </cell>
          <cell r="F1176" t="str">
            <v>B_4_2</v>
          </cell>
          <cell r="G1176" t="str">
            <v>Εσπεριδοειδώνες</v>
          </cell>
          <cell r="H1176">
            <v>5135</v>
          </cell>
          <cell r="J1176" t="str">
            <v>Ναι</v>
          </cell>
          <cell r="K1176" t="str">
            <v>Ναι</v>
          </cell>
          <cell r="L1176" t="str">
            <v>ΝΑΙ</v>
          </cell>
          <cell r="O1176" t="str">
            <v/>
          </cell>
        </row>
        <row r="1177">
          <cell r="D1177" t="str">
            <v>ΕΣΠΕΡΙΔΟΕΙΔΗ8172</v>
          </cell>
          <cell r="E1177" t="str">
            <v>ΛΕΜΟΝΙΕΣ</v>
          </cell>
          <cell r="F1177" t="str">
            <v>B_4_2</v>
          </cell>
          <cell r="G1177" t="str">
            <v>Εσπεριδοειδώνες</v>
          </cell>
          <cell r="H1177">
            <v>5135</v>
          </cell>
          <cell r="J1177" t="str">
            <v>Ναι</v>
          </cell>
          <cell r="K1177" t="str">
            <v>Ναι</v>
          </cell>
          <cell r="L1177" t="str">
            <v>ΝΑΙ</v>
          </cell>
          <cell r="O1177" t="str">
            <v/>
          </cell>
        </row>
        <row r="1178">
          <cell r="D1178" t="str">
            <v>ΕΣΠΕΡΙΔΟΕΙΔΗ8173</v>
          </cell>
          <cell r="E1178" t="str">
            <v>ΠΟΡΤΟΚΑΛΙΕΣ</v>
          </cell>
          <cell r="F1178" t="str">
            <v>B_4_2</v>
          </cell>
          <cell r="G1178" t="str">
            <v>Εσπεριδοειδώνες</v>
          </cell>
          <cell r="H1178">
            <v>5135</v>
          </cell>
          <cell r="J1178" t="str">
            <v>Ναι</v>
          </cell>
          <cell r="K1178" t="str">
            <v>Ναι</v>
          </cell>
          <cell r="L1178" t="str">
            <v>ΝΑΙ</v>
          </cell>
          <cell r="O1178" t="str">
            <v/>
          </cell>
        </row>
        <row r="1179">
          <cell r="D1179" t="str">
            <v>ΕΣΠΕΡΙΔΟΕΙΔΗ8174</v>
          </cell>
          <cell r="E1179" t="str">
            <v>ΜΑΝΤΑΡΙΝΙΕΣ</v>
          </cell>
          <cell r="F1179" t="str">
            <v>B_4_2</v>
          </cell>
          <cell r="G1179" t="str">
            <v>Εσπεριδοειδώνες</v>
          </cell>
          <cell r="H1179">
            <v>5135</v>
          </cell>
          <cell r="J1179" t="str">
            <v>Ναι</v>
          </cell>
          <cell r="K1179" t="str">
            <v>Ναι</v>
          </cell>
          <cell r="L1179" t="str">
            <v>ΝΑΙ</v>
          </cell>
          <cell r="O1179" t="str">
            <v/>
          </cell>
        </row>
        <row r="1180">
          <cell r="D1180" t="str">
            <v>ΕΣΠΕΡΙΔΟΕΙΔΗ8177</v>
          </cell>
          <cell r="E1180" t="str">
            <v>ΚΟΥΜ ΚΟΥΑΤ</v>
          </cell>
          <cell r="F1180" t="str">
            <v>B_4_2</v>
          </cell>
          <cell r="G1180" t="str">
            <v>Εσπεριδοειδώνες</v>
          </cell>
          <cell r="H1180">
            <v>5135</v>
          </cell>
          <cell r="J1180" t="str">
            <v>Ναι</v>
          </cell>
          <cell r="K1180" t="str">
            <v>Ναι</v>
          </cell>
          <cell r="L1180" t="str">
            <v>ΝΑΙ</v>
          </cell>
          <cell r="O1180" t="str">
            <v/>
          </cell>
        </row>
        <row r="1181">
          <cell r="D1181" t="str">
            <v>ΕΣΠΕΡΙΔΟΕΙΔΗ8178</v>
          </cell>
          <cell r="E1181" t="str">
            <v>ΚΙΤΡΑ</v>
          </cell>
          <cell r="F1181" t="str">
            <v>B_4_2</v>
          </cell>
          <cell r="G1181" t="str">
            <v>Εσπεριδοειδώνες</v>
          </cell>
          <cell r="H1181">
            <v>5135</v>
          </cell>
          <cell r="J1181" t="str">
            <v>Ναι</v>
          </cell>
          <cell r="K1181" t="str">
            <v>Ναι</v>
          </cell>
          <cell r="L1181" t="str">
            <v>ΝΑΙ</v>
          </cell>
          <cell r="O1181" t="str">
            <v/>
          </cell>
        </row>
        <row r="1182">
          <cell r="D1182" t="str">
            <v>ΕΣΠΕΡΙΔΟΕΙΔΗ8212</v>
          </cell>
          <cell r="E1182" t="str">
            <v>GRAPE FRUIT ΜΕΤΑΠΟΙΗΣΗΣ</v>
          </cell>
          <cell r="F1182" t="str">
            <v>B_4_2</v>
          </cell>
          <cell r="G1182" t="str">
            <v>Εσπεριδοειδώνες</v>
          </cell>
          <cell r="H1182">
            <v>5135</v>
          </cell>
          <cell r="J1182" t="str">
            <v>Ναι</v>
          </cell>
          <cell r="K1182" t="str">
            <v>Ναι</v>
          </cell>
          <cell r="L1182" t="str">
            <v>ΝΑΙ</v>
          </cell>
          <cell r="O1182" t="str">
            <v/>
          </cell>
        </row>
        <row r="1183">
          <cell r="D1183" t="str">
            <v>ΕΣΠΕΡΙΔΟΕΙΔΗ8213</v>
          </cell>
          <cell r="E1183" t="str">
            <v>ΛΕΜΟΝΙΕΣ ΜΕΤΑΠΟΙΗΣΗΣ</v>
          </cell>
          <cell r="F1183" t="str">
            <v>B_4_2</v>
          </cell>
          <cell r="G1183" t="str">
            <v>Εσπεριδοειδώνες</v>
          </cell>
          <cell r="H1183">
            <v>5135</v>
          </cell>
          <cell r="J1183" t="str">
            <v>Ναι</v>
          </cell>
          <cell r="K1183" t="str">
            <v>Ναι</v>
          </cell>
          <cell r="L1183" t="str">
            <v>ΝΑΙ</v>
          </cell>
          <cell r="O1183" t="str">
            <v/>
          </cell>
        </row>
        <row r="1184">
          <cell r="D1184" t="str">
            <v>ΕΣΠΕΡΙΔΟΕΙΔΗ8215</v>
          </cell>
          <cell r="E1184" t="str">
            <v>ΜΑΝΤΑΡΙΝΙΕΣ ΜΕΤΑΠΟΙΗΣΗΣ</v>
          </cell>
          <cell r="F1184" t="str">
            <v>B_4_2</v>
          </cell>
          <cell r="G1184" t="str">
            <v>Εσπεριδοειδώνες</v>
          </cell>
          <cell r="H1184">
            <v>5135</v>
          </cell>
          <cell r="J1184" t="str">
            <v>Ναι</v>
          </cell>
          <cell r="K1184" t="str">
            <v>Ναι</v>
          </cell>
          <cell r="L1184" t="str">
            <v>ΝΑΙ</v>
          </cell>
          <cell r="O1184" t="str">
            <v/>
          </cell>
        </row>
        <row r="1185">
          <cell r="D1185" t="str">
            <v>ΕΣΠΕΡΙΔΟΕΙΔΗ8301</v>
          </cell>
          <cell r="E1185" t="str">
            <v>ΦΡΑΠΕΣ ΜΕΤΑΠΟΙΗΣΗΣ</v>
          </cell>
          <cell r="F1185" t="str">
            <v>B_4_2</v>
          </cell>
          <cell r="G1185" t="str">
            <v>Εσπεριδοειδώνες</v>
          </cell>
          <cell r="H1185">
            <v>5135</v>
          </cell>
          <cell r="J1185" t="str">
            <v>Ναι</v>
          </cell>
          <cell r="K1185" t="str">
            <v>Ναι</v>
          </cell>
          <cell r="L1185" t="str">
            <v>ΝΑΙ</v>
          </cell>
          <cell r="O1185" t="str">
            <v/>
          </cell>
        </row>
        <row r="1186">
          <cell r="D1186" t="str">
            <v>ΕΣΠΕΡΙΔΟΕΙΔΗ8302</v>
          </cell>
          <cell r="E1186" t="str">
            <v>ΣΑΤΣΟΥΜΕΣ ΜΕΤΑΠΟΙΗΣΗΣ</v>
          </cell>
          <cell r="F1186" t="str">
            <v>B_4_2</v>
          </cell>
          <cell r="G1186" t="str">
            <v>Εσπεριδοειδώνες</v>
          </cell>
          <cell r="H1186">
            <v>5135</v>
          </cell>
          <cell r="J1186" t="str">
            <v>Ναι</v>
          </cell>
          <cell r="K1186" t="str">
            <v>Ναι</v>
          </cell>
          <cell r="L1186" t="str">
            <v>ΝΑΙ</v>
          </cell>
          <cell r="O1186" t="str">
            <v/>
          </cell>
        </row>
        <row r="1187">
          <cell r="D1187" t="str">
            <v>ΕΣΠΕΡΙΔΟΕΙΔΗ8303</v>
          </cell>
          <cell r="E1187" t="str">
            <v>ΚΛΙΜΕΝΤΙΝΕΣ ΜΕΤΑΠΟΙΗΣΗΣ</v>
          </cell>
          <cell r="F1187" t="str">
            <v>B_4_2</v>
          </cell>
          <cell r="G1187" t="str">
            <v>Εσπεριδοειδώνες</v>
          </cell>
          <cell r="H1187">
            <v>5135</v>
          </cell>
          <cell r="J1187" t="str">
            <v>Ναι</v>
          </cell>
          <cell r="K1187" t="str">
            <v>Ναι</v>
          </cell>
          <cell r="L1187" t="str">
            <v>ΝΑΙ</v>
          </cell>
          <cell r="O1187" t="str">
            <v/>
          </cell>
        </row>
        <row r="1188">
          <cell r="D1188" t="str">
            <v>ΖΑΧΑΡΟΤΕΥΤΛΑ10050</v>
          </cell>
          <cell r="E1188" t="str">
            <v>ΖΑΧΑΡΟΤΕΥΤΛΑ CRETA</v>
          </cell>
          <cell r="F1188" t="str">
            <v>B_1_4</v>
          </cell>
          <cell r="G1188" t="str">
            <v>Σακχαρότευτλα (δεν περιλαμβάνονται οι σπόροι για σπορά )</v>
          </cell>
          <cell r="H1188">
            <v>2591</v>
          </cell>
          <cell r="K1188" t="str">
            <v>Όχι</v>
          </cell>
          <cell r="L1188" t="str">
            <v>ΌΧΙ</v>
          </cell>
          <cell r="O1188" t="str">
            <v/>
          </cell>
        </row>
        <row r="1189">
          <cell r="D1189" t="str">
            <v>ΖΑΧΑΡΟΤΕΥΤΛΑ10051</v>
          </cell>
          <cell r="E1189" t="str">
            <v>ΖΑΧΑΡΟΤΕΥΤΛΑ PALMA</v>
          </cell>
          <cell r="F1189" t="str">
            <v>B_1_4</v>
          </cell>
          <cell r="G1189" t="str">
            <v>Σακχαρότευτλα (δεν περιλαμβάνονται οι σπόροι για σπορά )</v>
          </cell>
          <cell r="H1189">
            <v>2591</v>
          </cell>
          <cell r="K1189" t="str">
            <v>Όχι</v>
          </cell>
          <cell r="L1189" t="str">
            <v>ΌΧΙ</v>
          </cell>
          <cell r="O1189" t="str">
            <v/>
          </cell>
        </row>
        <row r="1190">
          <cell r="D1190" t="str">
            <v>ΖΑΧΑΡΟΤΕΥΤΛΑ10052</v>
          </cell>
          <cell r="E1190" t="str">
            <v>ΖΑΧΑΡΟΤΕΥΤΛΑ YASMINE</v>
          </cell>
          <cell r="F1190" t="str">
            <v>B_1_4</v>
          </cell>
          <cell r="G1190" t="str">
            <v>Σακχαρότευτλα (δεν περιλαμβάνονται οι σπόροι για σπορά )</v>
          </cell>
          <cell r="H1190">
            <v>2591</v>
          </cell>
          <cell r="K1190" t="str">
            <v>Όχι</v>
          </cell>
          <cell r="L1190" t="str">
            <v>ΌΧΙ</v>
          </cell>
          <cell r="O1190" t="str">
            <v/>
          </cell>
        </row>
        <row r="1191">
          <cell r="D1191" t="str">
            <v>ΖΑΧΑΡΟΤΕΥΤΛΑ10053</v>
          </cell>
          <cell r="E1191" t="str">
            <v>ΖΑΧΑΡΟΤΕΥΤΛΑ EFESOS</v>
          </cell>
          <cell r="F1191" t="str">
            <v>B_1_4</v>
          </cell>
          <cell r="G1191" t="str">
            <v>Σακχαρότευτλα (δεν περιλαμβάνονται οι σπόροι για σπορά )</v>
          </cell>
          <cell r="H1191">
            <v>2591</v>
          </cell>
          <cell r="K1191" t="str">
            <v>Όχι</v>
          </cell>
          <cell r="L1191" t="str">
            <v>ΌΧΙ</v>
          </cell>
          <cell r="O1191" t="str">
            <v/>
          </cell>
        </row>
        <row r="1192">
          <cell r="D1192" t="str">
            <v>ΖΑΧΑΡΟΤΕΥΤΛΑ10054</v>
          </cell>
          <cell r="E1192" t="str">
            <v>ΖΑΧΑΡΟΤΕΥΤΛΑ DIAMANT</v>
          </cell>
          <cell r="F1192" t="str">
            <v>B_1_4</v>
          </cell>
          <cell r="G1192" t="str">
            <v>Σακχαρότευτλα (δεν περιλαμβάνονται οι σπόροι για σπορά )</v>
          </cell>
          <cell r="H1192">
            <v>2591</v>
          </cell>
          <cell r="K1192" t="str">
            <v>Όχι</v>
          </cell>
          <cell r="L1192" t="str">
            <v>ΌΧΙ</v>
          </cell>
          <cell r="O1192" t="str">
            <v/>
          </cell>
        </row>
        <row r="1193">
          <cell r="D1193" t="str">
            <v>ΖΑΧΑΡΟΤΕΥΤΛΑ10055</v>
          </cell>
          <cell r="E1193" t="str">
            <v>ΖΑΧΑΡΟΤΕΥΤΛΑ MERAK</v>
          </cell>
          <cell r="F1193" t="str">
            <v>B_1_4</v>
          </cell>
          <cell r="G1193" t="str">
            <v>Σακχαρότευτλα (δεν περιλαμβάνονται οι σπόροι για σπορά )</v>
          </cell>
          <cell r="H1193">
            <v>2591</v>
          </cell>
          <cell r="K1193" t="str">
            <v>Όχι</v>
          </cell>
          <cell r="L1193" t="str">
            <v>ΌΧΙ</v>
          </cell>
          <cell r="O1193" t="str">
            <v/>
          </cell>
        </row>
        <row r="1194">
          <cell r="D1194" t="str">
            <v>ΖΑΧΑΡΟΤΕΥΤΛΑ10056</v>
          </cell>
          <cell r="E1194" t="str">
            <v>ΖΑΧΑΡΟΤΕΥΤΛΑ FRED</v>
          </cell>
          <cell r="F1194" t="str">
            <v>B_1_4</v>
          </cell>
          <cell r="G1194" t="str">
            <v>Σακχαρότευτλα (δεν περιλαμβάνονται οι σπόροι για σπορά )</v>
          </cell>
          <cell r="H1194">
            <v>2591</v>
          </cell>
          <cell r="K1194" t="str">
            <v>Όχι</v>
          </cell>
          <cell r="L1194" t="str">
            <v>ΌΧΙ</v>
          </cell>
          <cell r="O1194" t="str">
            <v/>
          </cell>
        </row>
        <row r="1195">
          <cell r="D1195" t="str">
            <v>ΖΑΧΑΡΟΤΕΥΤΛΑ10057</v>
          </cell>
          <cell r="E1195" t="str">
            <v>ΖΑΧΑΡΟΤΕΥΤΛΑ KEVIN</v>
          </cell>
          <cell r="F1195" t="str">
            <v>B_1_4</v>
          </cell>
          <cell r="G1195" t="str">
            <v>Σακχαρότευτλα (δεν περιλαμβάνονται οι σπόροι για σπορά )</v>
          </cell>
          <cell r="H1195">
            <v>2591</v>
          </cell>
          <cell r="K1195" t="str">
            <v>Όχι</v>
          </cell>
          <cell r="L1195" t="str">
            <v>ΌΧΙ</v>
          </cell>
          <cell r="O1195" t="str">
            <v/>
          </cell>
        </row>
        <row r="1196">
          <cell r="D1196" t="str">
            <v>ΖΑΧΑΡΟΤΕΥΤΛΑ10058</v>
          </cell>
          <cell r="E1196" t="str">
            <v>ΖΑΧΑΡΟΤΕΥΤΛΑ ARIETE</v>
          </cell>
          <cell r="F1196" t="str">
            <v>B_1_4</v>
          </cell>
          <cell r="G1196" t="str">
            <v>Σακχαρότευτλα (δεν περιλαμβάνονται οι σπόροι για σπορά )</v>
          </cell>
          <cell r="H1196">
            <v>2591</v>
          </cell>
          <cell r="K1196" t="str">
            <v>Όχι</v>
          </cell>
          <cell r="L1196" t="str">
            <v>ΌΧΙ</v>
          </cell>
          <cell r="O1196" t="str">
            <v/>
          </cell>
        </row>
        <row r="1197">
          <cell r="D1197" t="str">
            <v>ΖΑΧΑΡΟΤΕΥΤΛΑ1994</v>
          </cell>
          <cell r="E1197" t="str">
            <v>ΖΑΧΑΡΟΤΕΥΤΛΑ IMPACT</v>
          </cell>
          <cell r="F1197" t="str">
            <v>B_1_4</v>
          </cell>
          <cell r="G1197" t="str">
            <v>Σακχαρότευτλα (δεν περιλαμβάνονται οι σπόροι για σπορά )</v>
          </cell>
          <cell r="H1197">
            <v>2591</v>
          </cell>
          <cell r="K1197" t="str">
            <v>Όχι</v>
          </cell>
          <cell r="L1197" t="str">
            <v>ΌΧΙ</v>
          </cell>
          <cell r="O1197" t="str">
            <v/>
          </cell>
        </row>
        <row r="1198">
          <cell r="D1198" t="str">
            <v>ΖΑΧΑΡΟΤΕΥΤΛΑ2167</v>
          </cell>
          <cell r="E1198" t="str">
            <v>ΖΑΧΑΡΟΤΕΥΤΛΑ CERVIA</v>
          </cell>
          <cell r="F1198" t="str">
            <v>B_1_4</v>
          </cell>
          <cell r="G1198" t="str">
            <v>Σακχαρότευτλα (δεν περιλαμβάνονται οι σπόροι για σπορά )</v>
          </cell>
          <cell r="H1198">
            <v>2591</v>
          </cell>
          <cell r="K1198" t="str">
            <v>Όχι</v>
          </cell>
          <cell r="L1198" t="str">
            <v>ΌΧΙ</v>
          </cell>
          <cell r="O1198" t="str">
            <v/>
          </cell>
        </row>
        <row r="1199">
          <cell r="D1199" t="str">
            <v>ΚΑΠΝΟΣ1700</v>
          </cell>
          <cell r="E1199" t="str">
            <v>ΚΑΠΝΟΣ ΜΠΑΣΜΑΣ</v>
          </cell>
          <cell r="F1199" t="str">
            <v>B_1_6_1</v>
          </cell>
          <cell r="G1199" t="str">
            <v>Καπνός</v>
          </cell>
          <cell r="H1199">
            <v>5735</v>
          </cell>
          <cell r="K1199" t="str">
            <v>Ναι</v>
          </cell>
          <cell r="L1199" t="str">
            <v>ΕΤ:Ναι, δεν έχω συγκρίσιμα από το υπόλοιπο αρχείο</v>
          </cell>
          <cell r="O1199" t="str">
            <v/>
          </cell>
        </row>
        <row r="1200">
          <cell r="D1200" t="str">
            <v>ΚΑΠΝΟΣ1810</v>
          </cell>
          <cell r="E1200" t="str">
            <v>ΚΑΠΝΟΣ ΚΑΤΕΡΙΝΗΣ</v>
          </cell>
          <cell r="F1200" t="str">
            <v>B_1_6_1</v>
          </cell>
          <cell r="G1200" t="str">
            <v>Καπνός</v>
          </cell>
          <cell r="H1200">
            <v>5735</v>
          </cell>
          <cell r="K1200" t="str">
            <v>Ναι</v>
          </cell>
          <cell r="L1200" t="str">
            <v>ΕΤ:Ναι, δεν έχω συγκρίσιμα από το υπόλοιπο αρχείο</v>
          </cell>
          <cell r="O1200" t="str">
            <v/>
          </cell>
        </row>
        <row r="1201">
          <cell r="D1201" t="str">
            <v>ΚΑΠΝΟΣ1830</v>
          </cell>
          <cell r="E1201" t="str">
            <v>ΚΑΠΝΟΣ Σ-79 (ΚΑΤΕΡΙΝΗ)</v>
          </cell>
          <cell r="F1201" t="str">
            <v>B_1_6_1</v>
          </cell>
          <cell r="G1201" t="str">
            <v>Καπνός</v>
          </cell>
          <cell r="H1201">
            <v>5735</v>
          </cell>
          <cell r="K1201" t="str">
            <v>Ναι</v>
          </cell>
          <cell r="L1201" t="str">
            <v>ΕΤ:Ναι, δεν έχω συγκρίσιμα από το υπόλοιπο αρχείο</v>
          </cell>
          <cell r="O1201" t="str">
            <v/>
          </cell>
        </row>
        <row r="1202">
          <cell r="D1202" t="str">
            <v>ΚΑΠΝΟΣ1910</v>
          </cell>
          <cell r="E1202" t="str">
            <v>ΚΑΠΝΟΣ Κ. Κ. ΚΛΑΣΣΙΚΑ</v>
          </cell>
          <cell r="F1202" t="str">
            <v>B_1_6_1</v>
          </cell>
          <cell r="G1202" t="str">
            <v>Καπνός</v>
          </cell>
          <cell r="H1202">
            <v>5735</v>
          </cell>
          <cell r="K1202" t="str">
            <v>Ναι</v>
          </cell>
          <cell r="L1202" t="str">
            <v>ΕΤ:Ναι, δεν έχω συγκρίσιμα από το υπόλοιπο αρχείο</v>
          </cell>
          <cell r="O1202" t="str">
            <v/>
          </cell>
        </row>
        <row r="1203">
          <cell r="D1203" t="str">
            <v>ΚΑΠΝΟΣ1920</v>
          </cell>
          <cell r="E1203" t="str">
            <v>ΚΑΠΝΟΣ ΕΛΑΣΣΟΝΑ</v>
          </cell>
          <cell r="F1203" t="str">
            <v>B_1_6_1</v>
          </cell>
          <cell r="G1203" t="str">
            <v>Καπνός</v>
          </cell>
          <cell r="H1203">
            <v>5735</v>
          </cell>
          <cell r="K1203" t="str">
            <v>Ναι</v>
          </cell>
          <cell r="L1203" t="str">
            <v>ΕΤ:Ναι, δεν έχω συγκρίσιμα από το υπόλοιπο αρχείο</v>
          </cell>
          <cell r="O1203" t="str">
            <v/>
          </cell>
        </row>
        <row r="1204">
          <cell r="D1204" t="str">
            <v>ΚΑΠΝΟΣ2100</v>
          </cell>
          <cell r="E1204" t="str">
            <v>ΚΑΠΝΟΣ ΜΥΡ. ΑΓΡΙΝΙΟΥ</v>
          </cell>
          <cell r="F1204" t="str">
            <v>B_1_6_1</v>
          </cell>
          <cell r="G1204" t="str">
            <v>Καπνός</v>
          </cell>
          <cell r="H1204">
            <v>5735</v>
          </cell>
          <cell r="K1204" t="str">
            <v>Ναι</v>
          </cell>
          <cell r="L1204" t="str">
            <v>ΕΤ:Ναι, δεν έχω συγκρίσιμα από το υπόλοιπο αρχείο</v>
          </cell>
          <cell r="O1204" t="str">
            <v/>
          </cell>
        </row>
        <row r="1205">
          <cell r="D1205" t="str">
            <v>ΚΑΠΝΟΣ2300</v>
          </cell>
          <cell r="E1205" t="str">
            <v>ΚΑΠΝΟΣ ΤΣΕΜΠΕΛΙΑ</v>
          </cell>
          <cell r="F1205" t="str">
            <v>B_1_6_1</v>
          </cell>
          <cell r="G1205" t="str">
            <v>Καπνός</v>
          </cell>
          <cell r="H1205">
            <v>5735</v>
          </cell>
          <cell r="K1205" t="str">
            <v>Ναι</v>
          </cell>
          <cell r="L1205" t="str">
            <v>ΕΤ:Ναι, δεν έχω συγκρίσιμα από το υπόλοιπο αρχείο</v>
          </cell>
          <cell r="O1205" t="str">
            <v/>
          </cell>
        </row>
        <row r="1206">
          <cell r="D1206" t="str">
            <v>ΚΑΠΝΟΣ2400</v>
          </cell>
          <cell r="E1206" t="str">
            <v>ΚΑΠΝΟΣ ΜΑΥΡΑ</v>
          </cell>
          <cell r="F1206" t="str">
            <v>B_1_6_1</v>
          </cell>
          <cell r="G1206" t="str">
            <v>Καπνός</v>
          </cell>
          <cell r="H1206">
            <v>5735</v>
          </cell>
          <cell r="K1206" t="str">
            <v>Ναι</v>
          </cell>
          <cell r="L1206" t="str">
            <v>ΕΤ:Ναι, δεν έχω συγκρίσιμα από το υπόλοιπο αρχείο</v>
          </cell>
          <cell r="O1206" t="str">
            <v/>
          </cell>
        </row>
        <row r="1207">
          <cell r="D1207" t="str">
            <v>ΚΑΠΝΟΣ2500</v>
          </cell>
          <cell r="E1207" t="str">
            <v>ΚΑΠΝΟΣ ΜΠΕΡΛΕΥ</v>
          </cell>
          <cell r="F1207" t="str">
            <v>B_1_6_1</v>
          </cell>
          <cell r="G1207" t="str">
            <v>Καπνός</v>
          </cell>
          <cell r="H1207">
            <v>5735</v>
          </cell>
          <cell r="K1207" t="str">
            <v>Όχι</v>
          </cell>
          <cell r="L1207" t="str">
            <v>ΕΤ: Όχι δεν έχω συγκρίσιμα από το υπόλοιπο αρχείο</v>
          </cell>
          <cell r="O1207" t="str">
            <v/>
          </cell>
        </row>
        <row r="1208">
          <cell r="D1208" t="str">
            <v>ΚΑΠΝΟΣ2600</v>
          </cell>
          <cell r="E1208" t="str">
            <v>ΚΑΠΝΟΣ ΒΙΡΤΖΙΝΙΑ</v>
          </cell>
          <cell r="F1208" t="str">
            <v>B_1_6_1</v>
          </cell>
          <cell r="G1208" t="str">
            <v>Καπνός</v>
          </cell>
          <cell r="H1208">
            <v>5735</v>
          </cell>
          <cell r="K1208" t="str">
            <v>Όχι</v>
          </cell>
          <cell r="L1208" t="str">
            <v>ΕΤ: Όχι δεν έχω συγκρίσιμα από το υπόλοιπο αρχείο</v>
          </cell>
          <cell r="O1208" t="str">
            <v/>
          </cell>
        </row>
        <row r="1209">
          <cell r="D1209" t="str">
            <v>ΚΗΠΕΥΤΙΚΑ ΥΠΟ ΚΑΛΥΨΗ10209</v>
          </cell>
          <cell r="E1209" t="str">
            <v>ΜΑΡΟΥΛΙ - ΜΑΡΟΥΛΙΑ ΣΑΛΑΤΑ ΘΕΡΜΟΚΗΠΙΟΥ</v>
          </cell>
          <cell r="F1209" t="str">
            <v>B_1_7_1_1</v>
          </cell>
          <cell r="G1209" t="str">
            <v>Κηπευτικές καλλιέργειες μεγάλης έκτασης σε αγρό</v>
          </cell>
          <cell r="H1209">
            <v>7525</v>
          </cell>
          <cell r="J1209" t="str">
            <v>Ναι</v>
          </cell>
          <cell r="K1209" t="str">
            <v>Όχι</v>
          </cell>
          <cell r="L1209" t="str">
            <v>ΌΧΙ</v>
          </cell>
          <cell r="O1209" t="str">
            <v/>
          </cell>
        </row>
        <row r="1210">
          <cell r="D1210" t="str">
            <v>ΚΗΠΕΥΤΙΚΑ ΥΠΟ ΚΑΛΥΨΗ10210</v>
          </cell>
          <cell r="E1210" t="str">
            <v>ΚΑΡΠΟΥΖΙ ΠΡΩΙΜO ΚΑΛΥΨΗ</v>
          </cell>
          <cell r="F1210" t="str">
            <v>B_1_7_1_1</v>
          </cell>
          <cell r="G1210" t="str">
            <v>Κηπευτικές καλλιέργειες μεγάλης έκτασης σε αγρό</v>
          </cell>
          <cell r="H1210">
            <v>7525</v>
          </cell>
          <cell r="J1210" t="str">
            <v>Ναι</v>
          </cell>
          <cell r="K1210" t="str">
            <v>Όχι</v>
          </cell>
          <cell r="L1210" t="str">
            <v>ΌΧΙ</v>
          </cell>
          <cell r="M1210" t="str">
            <v xml:space="preserve">ΔΕΝ ΕΊΝΑΙ ΣΤΟ EXCEL ΠΟΥ ΔΟΥΛΕΨΑΜΕ </v>
          </cell>
          <cell r="O1210" t="str">
            <v/>
          </cell>
        </row>
        <row r="1211">
          <cell r="D1211" t="str">
            <v>ΚΗΠΕΥΤΙΚΑ ΥΠΟ ΚΑΛΥΨΗ10212</v>
          </cell>
          <cell r="E1211" t="str">
            <v>ΜΕΛΙΤΖΑΝΑ ΘΕΡΜΟΚΗΠΙΟΥ</v>
          </cell>
          <cell r="F1211" t="str">
            <v>B_1_7_1_1</v>
          </cell>
          <cell r="G1211" t="str">
            <v>Κηπευτικές καλλιέργειες μεγάλης έκτασης σε αγρό</v>
          </cell>
          <cell r="H1211">
            <v>7525</v>
          </cell>
          <cell r="J1211" t="str">
            <v>Ναι</v>
          </cell>
          <cell r="K1211" t="str">
            <v>Όχι</v>
          </cell>
          <cell r="L1211" t="str">
            <v>ΌΧΙ</v>
          </cell>
          <cell r="O1211" t="str">
            <v/>
          </cell>
        </row>
        <row r="1212">
          <cell r="D1212" t="str">
            <v>ΚΗΠΕΥΤΙΚΑ ΥΠΟ ΚΑΛΥΨΗ102120</v>
          </cell>
          <cell r="E1212" t="str">
            <v>ΚΑΡΠΟΥΖΙ ΘΕΡΜΟΚΗΠΙΟΥ</v>
          </cell>
          <cell r="F1212" t="str">
            <v>B_1_7_1_1</v>
          </cell>
          <cell r="G1212" t="str">
            <v>Κηπευτικές καλλιέργειες μεγάλης έκτασης σε αγρό</v>
          </cell>
          <cell r="H1212">
            <v>7525</v>
          </cell>
          <cell r="J1212" t="str">
            <v>Ναι</v>
          </cell>
          <cell r="K1212" t="str">
            <v>Όχι</v>
          </cell>
          <cell r="L1212" t="str">
            <v>ΌΧΙ</v>
          </cell>
          <cell r="O1212" t="str">
            <v/>
          </cell>
        </row>
        <row r="1213">
          <cell r="D1213" t="str">
            <v>ΚΗΠΕΥΤΙΚΑ ΥΠΟ ΚΑΛΥΨΗ102122</v>
          </cell>
          <cell r="E1213" t="str">
            <v>ΦΡΑΟΥΛΑ ΘΕΡΜΟΚΗΠΙΟΥ</v>
          </cell>
          <cell r="F1213" t="str">
            <v>B_1_7_1_1</v>
          </cell>
          <cell r="G1213" t="str">
            <v>Κηπευτικές καλλιέργειες μεγάλης έκτασης σε αγρό</v>
          </cell>
          <cell r="H1213">
            <v>7525</v>
          </cell>
          <cell r="J1213" t="str">
            <v>Ναι</v>
          </cell>
          <cell r="K1213" t="str">
            <v>Όχι</v>
          </cell>
          <cell r="L1213" t="str">
            <v>ΌΧΙ</v>
          </cell>
          <cell r="O1213" t="str">
            <v/>
          </cell>
        </row>
        <row r="1214">
          <cell r="D1214" t="str">
            <v>ΚΗΠΕΥΤΙΚΑ ΥΠΟ ΚΑΛΥΨΗ10215</v>
          </cell>
          <cell r="E1214" t="str">
            <v>ΣΠΑΝΑΚΙ</v>
          </cell>
          <cell r="F1214" t="str">
            <v>B_1_7_1_1</v>
          </cell>
          <cell r="G1214" t="str">
            <v>Κηπευτικές καλλιέργειες μεγάλης έκτασης σε αγρό</v>
          </cell>
          <cell r="H1214">
            <v>7525</v>
          </cell>
          <cell r="J1214" t="str">
            <v>Ναι</v>
          </cell>
          <cell r="K1214" t="str">
            <v>Όχι</v>
          </cell>
          <cell r="L1214" t="str">
            <v>ΌΧΙ</v>
          </cell>
          <cell r="O1214" t="str">
            <v>!</v>
          </cell>
        </row>
        <row r="1215">
          <cell r="D1215" t="str">
            <v>ΚΗΠΕΥΤΙΚΑ ΥΠΟ ΚΑΛΥΨΗ10216</v>
          </cell>
          <cell r="E1215" t="str">
            <v>ΣΠΑΝΑΚΙ ΒΙΟΜΗΧΑΝΙΑΣ</v>
          </cell>
          <cell r="F1215" t="str">
            <v>B_1_7_1_1</v>
          </cell>
          <cell r="G1215" t="str">
            <v>Κηπευτικές καλλιέργειες μεγάλης έκτασης σε αγρό</v>
          </cell>
          <cell r="H1215">
            <v>7525</v>
          </cell>
          <cell r="J1215" t="str">
            <v>Ναι</v>
          </cell>
          <cell r="K1215" t="str">
            <v>Όχι</v>
          </cell>
          <cell r="L1215" t="str">
            <v>ΌΧΙ</v>
          </cell>
          <cell r="O1215" t="str">
            <v>!</v>
          </cell>
        </row>
        <row r="1216">
          <cell r="D1216" t="str">
            <v>ΚΗΠΕΥΤΙΚΑ ΥΠΟ ΚΑΛΥΨΗ10224</v>
          </cell>
          <cell r="E1216" t="str">
            <v>ΑΝΤΙΔΙ</v>
          </cell>
          <cell r="F1216" t="str">
            <v>B_1_7_1_1</v>
          </cell>
          <cell r="G1216" t="str">
            <v>Κηπευτικές καλλιέργειες μεγάλης έκτασης σε αγρό</v>
          </cell>
          <cell r="H1216">
            <v>7525</v>
          </cell>
          <cell r="J1216" t="str">
            <v>Ναι</v>
          </cell>
          <cell r="K1216" t="str">
            <v>Όχι</v>
          </cell>
          <cell r="L1216" t="str">
            <v>ΌΧΙ</v>
          </cell>
          <cell r="O1216" t="str">
            <v>!</v>
          </cell>
        </row>
        <row r="1217">
          <cell r="D1217" t="str">
            <v>ΚΗΠΕΥΤΙΚΑ ΥΠΟ ΚΑΛΥΨΗ10231</v>
          </cell>
          <cell r="E1217" t="str">
            <v>ΠΕΠΟΝΙ ΧΑΜΗΛΗΣ ΚΑΛΥΨΗΣ</v>
          </cell>
          <cell r="F1217" t="str">
            <v>B_1_7_1_1</v>
          </cell>
          <cell r="G1217" t="str">
            <v>Κηπευτικές καλλιέργειες μεγάλης έκτασης σε αγρό</v>
          </cell>
          <cell r="H1217">
            <v>7525</v>
          </cell>
          <cell r="J1217" t="str">
            <v>Ναι</v>
          </cell>
          <cell r="K1217" t="str">
            <v>Όχι</v>
          </cell>
          <cell r="L1217" t="str">
            <v>ΌΧΙ</v>
          </cell>
          <cell r="M1217" t="str">
            <v>ΔΕΝ ΕΊΝΑΙ ΣΤΟ EXCEL ΠΟΥ ΔΟΥΛΕΨΑΜΕ</v>
          </cell>
          <cell r="O1217" t="str">
            <v/>
          </cell>
        </row>
        <row r="1218">
          <cell r="D1218" t="str">
            <v>ΚΗΠΕΥΤΙΚΑ ΥΠΟ ΚΑΛΥΨΗ10232</v>
          </cell>
          <cell r="E1218" t="str">
            <v>ΑΝΗΘΟΣ</v>
          </cell>
          <cell r="F1218" t="str">
            <v>B_1_7_1_1</v>
          </cell>
          <cell r="G1218" t="str">
            <v>Κηπευτικές καλλιέργειες μεγάλης έκτασης σε αγρό</v>
          </cell>
          <cell r="H1218">
            <v>7525</v>
          </cell>
          <cell r="J1218" t="str">
            <v>Ναι</v>
          </cell>
          <cell r="K1218" t="str">
            <v>Όχι</v>
          </cell>
          <cell r="L1218" t="str">
            <v>ΌΧΙ</v>
          </cell>
          <cell r="O1218" t="str">
            <v>!</v>
          </cell>
        </row>
        <row r="1219">
          <cell r="D1219" t="str">
            <v>ΚΗΠΕΥΤΙΚΑ ΥΠΟ ΚΑΛΥΨΗ10233</v>
          </cell>
          <cell r="E1219" t="str">
            <v>ΜΑΙΝΤΑΝΟΣ</v>
          </cell>
          <cell r="F1219" t="str">
            <v>B_1_7_1_1</v>
          </cell>
          <cell r="G1219" t="str">
            <v>Κηπευτικές καλλιέργειες μεγάλης έκτασης σε αγρό</v>
          </cell>
          <cell r="H1219">
            <v>7525</v>
          </cell>
          <cell r="J1219" t="str">
            <v>Ναι</v>
          </cell>
          <cell r="K1219" t="str">
            <v>Όχι</v>
          </cell>
          <cell r="L1219" t="str">
            <v>ΌΧΙ</v>
          </cell>
          <cell r="O1219" t="str">
            <v>!</v>
          </cell>
        </row>
        <row r="1220">
          <cell r="D1220" t="str">
            <v>ΚΗΠΕΥΤΙΚΑ ΥΠΟ ΚΑΛΥΨΗ10234</v>
          </cell>
          <cell r="E1220" t="str">
            <v>ΡΟΚΑ</v>
          </cell>
          <cell r="F1220" t="str">
            <v>B_1_7_1_1</v>
          </cell>
          <cell r="G1220" t="str">
            <v>Κηπευτικές καλλιέργειες μεγάλης έκτασης σε αγρό</v>
          </cell>
          <cell r="H1220">
            <v>7525</v>
          </cell>
          <cell r="J1220" t="str">
            <v>Ναι</v>
          </cell>
          <cell r="K1220" t="str">
            <v>Όχι</v>
          </cell>
          <cell r="L1220" t="str">
            <v>ΌΧΙ</v>
          </cell>
          <cell r="O1220" t="str">
            <v>!</v>
          </cell>
        </row>
        <row r="1221">
          <cell r="D1221" t="str">
            <v>ΚΗΠΕΥΤΙΚΑ ΥΠΟ ΚΑΛΥΨΗ10248</v>
          </cell>
          <cell r="E1221" t="str">
            <v>ΡΟΚΑ - ΚΡΗΤΗΣ</v>
          </cell>
          <cell r="F1221" t="str">
            <v>B_1_7_1_1</v>
          </cell>
          <cell r="G1221" t="str">
            <v>Κηπευτικές καλλιέργειες μεγάλης έκτασης σε αγρό</v>
          </cell>
          <cell r="H1221">
            <v>7525</v>
          </cell>
          <cell r="J1221" t="str">
            <v>Ναι</v>
          </cell>
          <cell r="K1221" t="str">
            <v>Όχι</v>
          </cell>
          <cell r="L1221" t="str">
            <v>ΌΧΙ</v>
          </cell>
          <cell r="O1221" t="str">
            <v>!</v>
          </cell>
        </row>
        <row r="1222">
          <cell r="D1222" t="str">
            <v>ΚΗΠΕΥΤΙΚΑ ΥΠΟ ΚΑΛΥΨΗ10249</v>
          </cell>
          <cell r="E1222" t="str">
            <v>ΡΟΚΑ - ΙΟΝΙΩΝ</v>
          </cell>
          <cell r="F1222" t="str">
            <v>B_1_7_1_1</v>
          </cell>
          <cell r="G1222" t="str">
            <v>Κηπευτικές καλλιέργειες μεγάλης έκτασης σε αγρό</v>
          </cell>
          <cell r="H1222">
            <v>7525</v>
          </cell>
          <cell r="J1222" t="str">
            <v>Ναι</v>
          </cell>
          <cell r="K1222" t="str">
            <v>Όχι</v>
          </cell>
          <cell r="L1222" t="str">
            <v>ΌΧΙ</v>
          </cell>
          <cell r="O1222" t="str">
            <v>!</v>
          </cell>
        </row>
        <row r="1223">
          <cell r="D1223" t="str">
            <v>ΚΗΠΕΥΤΙΚΑ ΥΠΟ ΚΑΛΥΨΗ107001</v>
          </cell>
          <cell r="E1223" t="str">
            <v>ΦΡΑΟΥΛΑ ΧΑΜΗΛΗΣ - ΥΨΗΛΗΣ ΚΑΛΥΨΗΣ</v>
          </cell>
          <cell r="F1223" t="str">
            <v>B_1_7_1_1</v>
          </cell>
          <cell r="G1223" t="str">
            <v>Κηπευτικές καλλιέργειες μεγάλης έκτασης σε αγρό</v>
          </cell>
          <cell r="H1223">
            <v>7525</v>
          </cell>
          <cell r="J1223" t="str">
            <v>Ναι</v>
          </cell>
          <cell r="K1223" t="str">
            <v>Όχι</v>
          </cell>
          <cell r="L1223" t="str">
            <v>ΌΧΙ</v>
          </cell>
          <cell r="O1223" t="str">
            <v/>
          </cell>
        </row>
        <row r="1224">
          <cell r="D1224" t="str">
            <v>ΚΗΠΕΥΤΙΚΑ ΥΠΟ ΚΑΛΥΨΗ10836</v>
          </cell>
          <cell r="E1224" t="str">
            <v>ΠΕΠΙΤΟ</v>
          </cell>
          <cell r="F1224" t="str">
            <v>B_1_7_1_1</v>
          </cell>
          <cell r="G1224" t="str">
            <v>Κηπευτικές καλλιέργειες μεγάλης έκτασης σε αγρό</v>
          </cell>
          <cell r="H1224">
            <v>7525</v>
          </cell>
          <cell r="J1224" t="str">
            <v>Ναι</v>
          </cell>
          <cell r="K1224" t="str">
            <v>Όχι</v>
          </cell>
          <cell r="L1224" t="str">
            <v>ΌΧΙ</v>
          </cell>
          <cell r="M1224" t="str">
            <v>ΌΧΙ</v>
          </cell>
          <cell r="O1224" t="str">
            <v>!</v>
          </cell>
        </row>
        <row r="1225">
          <cell r="D1225" t="str">
            <v>ΚΗΠΕΥΤΙΚΑ ΥΠΟ ΚΑΛΥΨΗ18108</v>
          </cell>
          <cell r="E1225" t="str">
            <v>ΔΥΟΣΜΟΣ</v>
          </cell>
          <cell r="F1225" t="str">
            <v>B_1_7_1_1</v>
          </cell>
          <cell r="G1225" t="str">
            <v>Κηπευτικές καλλιέργειες μεγάλης έκτασης σε αγρό</v>
          </cell>
          <cell r="H1225">
            <v>7525</v>
          </cell>
          <cell r="J1225" t="str">
            <v>Ναι</v>
          </cell>
          <cell r="K1225" t="str">
            <v>Όχι</v>
          </cell>
          <cell r="L1225" t="str">
            <v>ΌΧΙ</v>
          </cell>
          <cell r="O1225" t="str">
            <v>!</v>
          </cell>
        </row>
        <row r="1226">
          <cell r="D1226" t="str">
            <v>ΚΗΠΕΥΤΙΚΑ ΥΠΟ ΚΑΛΥΨΗ8546</v>
          </cell>
          <cell r="E1226" t="str">
            <v>ΜΑΝΙΤΑΡΙΑ ΤΡΟΥΦΕΣ</v>
          </cell>
          <cell r="F1226" t="str">
            <v>B_6_1</v>
          </cell>
          <cell r="G1226" t="str">
            <v xml:space="preserve">Μανιτάρια </v>
          </cell>
          <cell r="H1226">
            <v>10814</v>
          </cell>
          <cell r="J1226" t="str">
            <v>Ναι</v>
          </cell>
          <cell r="K1226" t="str">
            <v>Όχι</v>
          </cell>
          <cell r="L1226" t="str">
            <v>ΕΤ: Όχι, με βάση μανιτάρια, λοιπές από ΕΛΓΟ</v>
          </cell>
          <cell r="O1226" t="str">
            <v/>
          </cell>
        </row>
        <row r="1227">
          <cell r="D1227" t="str">
            <v>ΚΗΠΕΥΤΙΚΑ ΥΠΟ ΚΑΛΥΨΗ8670</v>
          </cell>
          <cell r="E1227" t="str">
            <v>ΑΓΓΟΥΡΙ ΘΕΡΜΟΚΗΠΙΟΥ</v>
          </cell>
          <cell r="F1227" t="str">
            <v>B_1_7_1_1</v>
          </cell>
          <cell r="G1227" t="str">
            <v>Κηπευτικές καλλιέργειες μεγάλης έκτασης σε αγρό</v>
          </cell>
          <cell r="H1227">
            <v>7525</v>
          </cell>
          <cell r="J1227" t="str">
            <v>Ναι</v>
          </cell>
          <cell r="K1227" t="str">
            <v>Όχι</v>
          </cell>
          <cell r="L1227" t="str">
            <v>ΌΧΙ</v>
          </cell>
          <cell r="O1227" t="str">
            <v/>
          </cell>
        </row>
        <row r="1228">
          <cell r="D1228" t="str">
            <v>ΚΗΠΕΥΤΙΚΑ ΥΠΟ ΚΑΛΥΨΗ8671</v>
          </cell>
          <cell r="E1228" t="str">
            <v>ΚΟΛΟΚΥΘΑΚΙ ΘΕΡΜΟΚΗΠΙΟΥ</v>
          </cell>
          <cell r="F1228" t="str">
            <v>B_1_7_1_1</v>
          </cell>
          <cell r="G1228" t="str">
            <v>Κηπευτικές καλλιέργειες μεγάλης έκτασης σε αγρό</v>
          </cell>
          <cell r="H1228">
            <v>7525</v>
          </cell>
          <cell r="J1228" t="str">
            <v>Ναι</v>
          </cell>
          <cell r="K1228" t="str">
            <v>Όχι</v>
          </cell>
          <cell r="L1228" t="str">
            <v>ΌΧΙ</v>
          </cell>
          <cell r="O1228" t="str">
            <v/>
          </cell>
        </row>
        <row r="1229">
          <cell r="D1229" t="str">
            <v>ΚΗΠΕΥΤΙΚΑ ΥΠΟ ΚΑΛΥΨΗ8672</v>
          </cell>
          <cell r="E1229" t="str">
            <v>ΤΟΜΑΤΑ ΘΕΡΜΟΚΗΠΙΟΥ</v>
          </cell>
          <cell r="F1229" t="str">
            <v>B_1_7_1_1</v>
          </cell>
          <cell r="G1229" t="str">
            <v>Κηπευτικές καλλιέργειες μεγάλης έκτασης σε αγρό</v>
          </cell>
          <cell r="H1229">
            <v>7525</v>
          </cell>
          <cell r="J1229" t="str">
            <v>Ναι</v>
          </cell>
          <cell r="K1229" t="str">
            <v>Όχι</v>
          </cell>
          <cell r="L1229" t="str">
            <v>ΌΧΙ</v>
          </cell>
          <cell r="O1229" t="str">
            <v/>
          </cell>
        </row>
        <row r="1230">
          <cell r="D1230" t="str">
            <v>ΚΗΠΕΥΤΙΚΑ ΥΠΟ ΚΑΛΥΨΗ8673</v>
          </cell>
          <cell r="E1230" t="str">
            <v>ΠΕΠΟΝΙ ΘΕΡΜΟΚΗΠΙΟΥ</v>
          </cell>
          <cell r="F1230" t="str">
            <v>B_1_7_1_1</v>
          </cell>
          <cell r="G1230" t="str">
            <v>Κηπευτικές καλλιέργειες μεγάλης έκτασης σε αγρό</v>
          </cell>
          <cell r="H1230">
            <v>7525</v>
          </cell>
          <cell r="J1230" t="str">
            <v>Ναι</v>
          </cell>
          <cell r="K1230" t="str">
            <v>Όχι</v>
          </cell>
          <cell r="L1230" t="str">
            <v>ΌΧΙ</v>
          </cell>
          <cell r="O1230" t="str">
            <v/>
          </cell>
        </row>
        <row r="1231">
          <cell r="D1231" t="str">
            <v>ΚΗΠΕΥΤΙΚΑ ΥΠΟ ΚΑΛΥΨΗ8674</v>
          </cell>
          <cell r="E1231" t="str">
            <v>ΠΙΠΕΡΙΑ ΘΕΡΜΟΚΗΠΙΟΥ</v>
          </cell>
          <cell r="F1231" t="str">
            <v>B_1_7_1_1</v>
          </cell>
          <cell r="G1231" t="str">
            <v>Κηπευτικές καλλιέργειες μεγάλης έκτασης σε αγρό</v>
          </cell>
          <cell r="H1231">
            <v>7525</v>
          </cell>
          <cell r="J1231" t="str">
            <v>Ναι</v>
          </cell>
          <cell r="K1231" t="str">
            <v>Όχι</v>
          </cell>
          <cell r="L1231" t="str">
            <v>ΌΧΙ</v>
          </cell>
          <cell r="O1231" t="str">
            <v/>
          </cell>
        </row>
        <row r="1232">
          <cell r="D1232" t="str">
            <v>ΚΗΠΕΥΤΙΚΑ ΥΠΟ ΚΑΛΥΨΗ8675</v>
          </cell>
          <cell r="E1232" t="str">
            <v>ΦΑΣΟΛΑΚΙΑ ΘΕΡΜΟΚΗΠΙΟΥ</v>
          </cell>
          <cell r="F1232" t="str">
            <v>B_1_7_1_1</v>
          </cell>
          <cell r="G1232" t="str">
            <v>Κηπευτικές καλλιέργειες μεγάλης έκτασης σε αγρό</v>
          </cell>
          <cell r="H1232">
            <v>7525</v>
          </cell>
          <cell r="J1232" t="str">
            <v>Ναι</v>
          </cell>
          <cell r="K1232" t="str">
            <v>Όχι</v>
          </cell>
          <cell r="L1232" t="str">
            <v>ΌΧΙ</v>
          </cell>
          <cell r="O1232" t="str">
            <v/>
          </cell>
        </row>
        <row r="1233">
          <cell r="D1233" t="str">
            <v>ΚΗΠΕΥΤΙΚΑ ΥΠΟ ΚΑΛΥΨΗ8710</v>
          </cell>
          <cell r="E1233" t="str">
            <v>ΜΑΝΙΤΑΡΙΑ AGARICUS</v>
          </cell>
          <cell r="F1233" t="str">
            <v>B_6_1</v>
          </cell>
          <cell r="G1233" t="str">
            <v xml:space="preserve">Μανιτάρια </v>
          </cell>
          <cell r="H1233">
            <v>10814</v>
          </cell>
          <cell r="J1233" t="str">
            <v>Ναι</v>
          </cell>
          <cell r="K1233" t="str">
            <v>Όχι</v>
          </cell>
          <cell r="L1233" t="str">
            <v>ΕΤ: Όχι, με βάση μανιτάρια, λοιπές από ΕΛΓΟ</v>
          </cell>
          <cell r="M1233" t="str">
            <v>ΔΕΝ ΥΠΑΡΧΟΥΝ ΣΤΟΙΧΕΙΑ</v>
          </cell>
          <cell r="O1233" t="str">
            <v/>
          </cell>
        </row>
        <row r="1234">
          <cell r="D1234" t="str">
            <v>ΚΗΠΕΥΤΙΚΑ ΥΠΟ ΚΑΛΥΨΗ8712</v>
          </cell>
          <cell r="E1234" t="str">
            <v>ΜΑΝΙΤΑΡΙΑ PLEUROTUS</v>
          </cell>
          <cell r="F1234" t="str">
            <v>B_6_1</v>
          </cell>
          <cell r="G1234" t="str">
            <v xml:space="preserve">Μανιτάρια </v>
          </cell>
          <cell r="H1234">
            <v>10814</v>
          </cell>
          <cell r="J1234" t="str">
            <v>Ναι</v>
          </cell>
          <cell r="K1234" t="str">
            <v>Όχι</v>
          </cell>
          <cell r="L1234" t="str">
            <v>ΕΤ: Όχι, με βάση μανιτάρια, λοιπές από ΕΛΓΟ</v>
          </cell>
          <cell r="O1234" t="str">
            <v/>
          </cell>
        </row>
        <row r="1235">
          <cell r="D1235" t="str">
            <v>ΚΗΠΕΥΤΙΚΑ ΥΠΟ ΚΑΛΥΨΗ9107002</v>
          </cell>
          <cell r="E1235" t="str">
            <v>ΦΑΣΟΛΑΚΙΑ ΘΕΡΜΟΚΗΠΙΟΥ ΕΞΑΙΡΕΣΗ</v>
          </cell>
          <cell r="F1235" t="str">
            <v>B_1_7_1_1</v>
          </cell>
          <cell r="G1235" t="str">
            <v>Κηπευτικές καλλιέργειες μεγάλης έκτασης σε αγρό</v>
          </cell>
          <cell r="H1235">
            <v>7525</v>
          </cell>
          <cell r="J1235" t="str">
            <v>Ναι</v>
          </cell>
          <cell r="K1235" t="str">
            <v>Όχι</v>
          </cell>
          <cell r="L1235" t="str">
            <v>ΌΧΙ</v>
          </cell>
          <cell r="O1235" t="str">
            <v/>
          </cell>
        </row>
        <row r="1236">
          <cell r="D1236" t="str">
            <v>ΚΗΠΕΥΤΙΚΑ ΥΠΟ ΚΑΛΥΨΗ9107003</v>
          </cell>
          <cell r="E1236" t="str">
            <v>ΠΙΠΕΡΙΑ ΘΕΡΜΟΚΗΠΙΟΥ ΕΞΑΙΡΕΣΗ</v>
          </cell>
          <cell r="F1236" t="str">
            <v>B_1_7_1_1</v>
          </cell>
          <cell r="G1236" t="str">
            <v>Κηπευτικές καλλιέργειες μεγάλης έκτασης σε αγρό</v>
          </cell>
          <cell r="H1236">
            <v>7525</v>
          </cell>
          <cell r="J1236" t="str">
            <v>Ναι</v>
          </cell>
          <cell r="K1236" t="str">
            <v>Όχι</v>
          </cell>
          <cell r="L1236" t="str">
            <v>ΌΧΙ</v>
          </cell>
          <cell r="O1236" t="str">
            <v/>
          </cell>
        </row>
        <row r="1237">
          <cell r="D1237" t="str">
            <v>ΚΗΠΕΥΤΙΚΑ ΥΠΟ ΚΑΛΥΨΗ9107004</v>
          </cell>
          <cell r="E1237" t="str">
            <v>ΤΟΜΑΤΑ ΘΕΡΜΟΚΗΠΙΟΥ ΕΞΑΙΡΕΣΗ</v>
          </cell>
          <cell r="F1237" t="str">
            <v>B_1_7_1_1</v>
          </cell>
          <cell r="G1237" t="str">
            <v>Κηπευτικές καλλιέργειες μεγάλης έκτασης σε αγρό</v>
          </cell>
          <cell r="H1237">
            <v>7525</v>
          </cell>
          <cell r="J1237" t="str">
            <v>Ναι</v>
          </cell>
          <cell r="K1237" t="str">
            <v>Όχι</v>
          </cell>
          <cell r="L1237" t="str">
            <v>ΌΧΙ</v>
          </cell>
          <cell r="O1237" t="str">
            <v/>
          </cell>
        </row>
        <row r="1238">
          <cell r="D1238" t="str">
            <v>ΚΗΠΕΥΤΙΚΑ ΥΠΟ ΚΑΛΥΨΗ9107005</v>
          </cell>
          <cell r="E1238" t="str">
            <v>ΚΟΛΟΚΥΘΑΚΙ ΘΕΡΜΟΚΗΠΙΟΥ ΕΞΑΙΡΕΣΗ</v>
          </cell>
          <cell r="F1238" t="str">
            <v>B_1_7_1_1</v>
          </cell>
          <cell r="G1238" t="str">
            <v>Κηπευτικές καλλιέργειες μεγάλης έκτασης σε αγρό</v>
          </cell>
          <cell r="H1238">
            <v>7525</v>
          </cell>
          <cell r="J1238" t="str">
            <v>Ναι</v>
          </cell>
          <cell r="K1238" t="str">
            <v>Όχι</v>
          </cell>
          <cell r="L1238" t="str">
            <v>ΌΧΙ</v>
          </cell>
          <cell r="O1238" t="str">
            <v/>
          </cell>
        </row>
        <row r="1239">
          <cell r="D1239" t="str">
            <v>ΚΗΠΕΥΤΙΚΑ ΥΠΟ ΚΑΛΥΨΗ9107006</v>
          </cell>
          <cell r="E1239" t="str">
            <v>ΜΕΛΙΤΖΑΝΑ ΘΕΡΜΟΚΗΠΙΟΥ ΕΞΑΙΡΕΣΗ</v>
          </cell>
          <cell r="F1239" t="str">
            <v>B_1_7_1_1</v>
          </cell>
          <cell r="G1239" t="str">
            <v>Κηπευτικές καλλιέργειες μεγάλης έκτασης σε αγρό</v>
          </cell>
          <cell r="H1239">
            <v>7525</v>
          </cell>
          <cell r="J1239" t="str">
            <v>Ναι</v>
          </cell>
          <cell r="K1239" t="str">
            <v>Όχι</v>
          </cell>
          <cell r="L1239" t="str">
            <v>ΌΧΙ</v>
          </cell>
          <cell r="O1239" t="str">
            <v/>
          </cell>
        </row>
        <row r="1240">
          <cell r="D1240" t="str">
            <v>ΚΗΠΕΥΤΙΚΑ ΥΠΟ ΚΑΛΥΨΗ9107007</v>
          </cell>
          <cell r="E1240" t="str">
            <v>ΜΑΡΟΥΛΙ - ΜΑΡΟΥΛΙΑ ΣΑΛΑΤΑ ΘΕΡΜΟΚΗΠΙΟΥ ΕΞΑΙΡΕΣΗ</v>
          </cell>
          <cell r="F1240" t="str">
            <v>B_1_7_1_1</v>
          </cell>
          <cell r="G1240" t="str">
            <v>Κηπευτικές καλλιέργειες μεγάλης έκτασης σε αγρό</v>
          </cell>
          <cell r="H1240">
            <v>7525</v>
          </cell>
          <cell r="J1240" t="str">
            <v>Ναι</v>
          </cell>
          <cell r="K1240" t="str">
            <v>Όχι</v>
          </cell>
          <cell r="L1240" t="str">
            <v>ΌΧΙ</v>
          </cell>
          <cell r="O1240" t="str">
            <v/>
          </cell>
        </row>
        <row r="1241">
          <cell r="D1241" t="str">
            <v>ΚΗΠΕΥΤΙΚΑ ΥΠΟ ΚΑΛΥΨΗ9107008</v>
          </cell>
          <cell r="E1241" t="str">
            <v>ΑΓΓΟΥΡΙ ΘΕΡΜΟΚΗΠΙΟΥ ΕΞΑΙΡΕΣΗ</v>
          </cell>
          <cell r="F1241" t="str">
            <v>B_1_7_1_1</v>
          </cell>
          <cell r="G1241" t="str">
            <v>Κηπευτικές καλλιέργειες μεγάλης έκτασης σε αγρό</v>
          </cell>
          <cell r="H1241">
            <v>7525</v>
          </cell>
          <cell r="J1241" t="str">
            <v>Ναι</v>
          </cell>
          <cell r="K1241" t="str">
            <v>Όχι</v>
          </cell>
          <cell r="L1241" t="str">
            <v>ΌΧΙ</v>
          </cell>
          <cell r="O1241" t="str">
            <v/>
          </cell>
        </row>
        <row r="1242">
          <cell r="D1242" t="str">
            <v>ΚΗΠΕΥΤΙΚΑ ΥΠΟ ΚΑΛΥΨΗ9107009</v>
          </cell>
          <cell r="E1242" t="str">
            <v>ΚΑΡΠΟΥΖΙ ΘΕΡΜΟΚΗΠΙΟΥ ΕΞΑΙΡΕΣΗ</v>
          </cell>
          <cell r="F1242" t="str">
            <v>B_1_7_1_1</v>
          </cell>
          <cell r="G1242" t="str">
            <v>Κηπευτικές καλλιέργειες μεγάλης έκτασης σε αγρό</v>
          </cell>
          <cell r="H1242">
            <v>7525</v>
          </cell>
          <cell r="J1242" t="str">
            <v>Ναι</v>
          </cell>
          <cell r="K1242" t="str">
            <v>Όχι</v>
          </cell>
          <cell r="L1242" t="str">
            <v>ΌΧΙ</v>
          </cell>
          <cell r="O1242" t="str">
            <v/>
          </cell>
        </row>
        <row r="1243">
          <cell r="D1243" t="str">
            <v>ΚΗΠΕΥΤΙΚΑ ΥΠΟ ΚΑΛΥΨΗ9107010</v>
          </cell>
          <cell r="E1243" t="str">
            <v>ΠΕΠΟΝΙ ΘΕΡΜΟΚΗΠΙΟΥ ΕΞΑΙΡΕΣΗ</v>
          </cell>
          <cell r="F1243" t="str">
            <v>B_1_7_1_1</v>
          </cell>
          <cell r="G1243" t="str">
            <v>Κηπευτικές καλλιέργειες μεγάλης έκτασης σε αγρό</v>
          </cell>
          <cell r="H1243">
            <v>7525</v>
          </cell>
          <cell r="J1243" t="str">
            <v>Ναι</v>
          </cell>
          <cell r="K1243" t="str">
            <v>Όχι</v>
          </cell>
          <cell r="L1243" t="str">
            <v>ΌΧΙ</v>
          </cell>
          <cell r="O1243" t="str">
            <v/>
          </cell>
        </row>
        <row r="1244">
          <cell r="D1244" t="str">
            <v>ΚΗΠΕΥΤΙΚΑ ΥΠΟ ΚΑΛΥΨΗ9107011</v>
          </cell>
          <cell r="E1244" t="str">
            <v>ΦΡΑΟΥΛΑ ΘΕΡΜΟΚΗΠΙΟΥ ΕΞΑΙΡΕΣΗ</v>
          </cell>
          <cell r="F1244" t="str">
            <v>B_1_7_1_1</v>
          </cell>
          <cell r="G1244" t="str">
            <v>Κηπευτικές καλλιέργειες μεγάλης έκτασης σε αγρό</v>
          </cell>
          <cell r="H1244">
            <v>7525</v>
          </cell>
          <cell r="J1244" t="str">
            <v>Ναι</v>
          </cell>
          <cell r="K1244" t="str">
            <v>Όχι</v>
          </cell>
          <cell r="L1244" t="str">
            <v>ΌΧΙ</v>
          </cell>
          <cell r="O1244" t="str">
            <v/>
          </cell>
        </row>
        <row r="1245">
          <cell r="D1245" t="str">
            <v>ΚΗΠΕΥΤΙΚΑ ΥΠΟ ΚΑΛΥΨΗ9107034</v>
          </cell>
          <cell r="E1245" t="str">
            <v>ΦΑΣΟΛΑΚΙΑ ΧΑΝΤΡΕΣ</v>
          </cell>
          <cell r="F1245" t="str">
            <v>B_1_7_1_1</v>
          </cell>
          <cell r="G1245" t="str">
            <v>Κηπευτικές καλλιέργειες μεγάλης έκτασης σε αγρό</v>
          </cell>
          <cell r="H1245">
            <v>7525</v>
          </cell>
          <cell r="J1245" t="str">
            <v>Ναι</v>
          </cell>
          <cell r="K1245" t="str">
            <v>Όχι</v>
          </cell>
          <cell r="L1245" t="str">
            <v>ΌΧΙ</v>
          </cell>
          <cell r="M1245" t="str">
            <v>ΔΕΝ ΕΊΝΑΙ ΣΤΟ EXCEL ΠΟΥ ΔΟΥΛΕΨΑΜΕ ΤΟ ΥΠΕΘΕΣΑ</v>
          </cell>
          <cell r="O1245" t="str">
            <v>!</v>
          </cell>
        </row>
        <row r="1246">
          <cell r="D1246" t="str">
            <v>ΚΗΠΕΥΤΙΚΑ ΥΠΟ ΚΑΛΥΨΗ98200</v>
          </cell>
          <cell r="E1246" t="str">
            <v>ΠΑΤΑΤΑ ΘΕΡΜΟΚΗΠΙΟΥ</v>
          </cell>
          <cell r="F1246" t="str">
            <v>B_1_7_1_1</v>
          </cell>
          <cell r="G1246" t="str">
            <v>Κηπευτικές καλλιέργειες μεγάλης έκτασης σε αγρό</v>
          </cell>
          <cell r="H1246">
            <v>7525</v>
          </cell>
          <cell r="J1246" t="str">
            <v>Ναι</v>
          </cell>
          <cell r="K1246" t="str">
            <v>Όχι</v>
          </cell>
          <cell r="L1246" t="str">
            <v>ΕΤ: Όχι, είναι θερμοκηπίου</v>
          </cell>
          <cell r="O1246" t="str">
            <v/>
          </cell>
        </row>
        <row r="1247">
          <cell r="D1247" t="str">
            <v>ΚΗΠΕΥΤΙΚΑ ΥΠΟ ΚΑΛΥΨΗ98201</v>
          </cell>
          <cell r="E1247" t="str">
            <v>ΠΑΤΑΤΑ ΘΕΡΜΟΚΗΠΙΟΥ ΕΞΑΙΡΕΣΗ</v>
          </cell>
          <cell r="F1247" t="str">
            <v>B_1_7_1_1</v>
          </cell>
          <cell r="G1247" t="str">
            <v>Κηπευτικές καλλιέργειες μεγάλης έκτασης σε αγρό</v>
          </cell>
          <cell r="H1247">
            <v>7525</v>
          </cell>
          <cell r="J1247" t="str">
            <v>Ναι</v>
          </cell>
          <cell r="K1247" t="str">
            <v>Όχι</v>
          </cell>
          <cell r="L1247" t="str">
            <v>ΕΤ: Όχι, είναι θερμοκηπίου</v>
          </cell>
          <cell r="M1247" t="str">
            <v>ΔΕΝ ΥΠΑΡΧΟΥΝ ΣΤΟΙΧΕΙΑ</v>
          </cell>
          <cell r="O1247" t="str">
            <v/>
          </cell>
        </row>
        <row r="1248">
          <cell r="D1248" t="str">
            <v>ΚΗΠΕΥΤΙΚΑ1003</v>
          </cell>
          <cell r="E1248" t="str">
            <v>ΜΠΙΖΕΛΙΑ</v>
          </cell>
          <cell r="F1248" t="str">
            <v>B_1_7_1_1</v>
          </cell>
          <cell r="G1248" t="str">
            <v>Κηπευτικές καλλιέργειες μεγάλης έκτασης σε αγρό</v>
          </cell>
          <cell r="H1248">
            <v>7525</v>
          </cell>
          <cell r="J1248" t="str">
            <v>Ναι</v>
          </cell>
          <cell r="K1248" t="str">
            <v>Όχι</v>
          </cell>
          <cell r="L1248" t="str">
            <v>ΌΧΙ</v>
          </cell>
          <cell r="O1248" t="str">
            <v/>
          </cell>
        </row>
        <row r="1249">
          <cell r="D1249" t="str">
            <v>ΚΗΠΕΥΤΙΚΑ10195</v>
          </cell>
          <cell r="E1249" t="str">
            <v>ΠΕΠΟΝΙ - ΑΡΓΟΥΣ</v>
          </cell>
          <cell r="F1249" t="str">
            <v>B_1_7_1_1</v>
          </cell>
          <cell r="G1249" t="str">
            <v>Κηπευτικές καλλιέργειες μεγάλης έκτασης σε αγρό</v>
          </cell>
          <cell r="H1249">
            <v>7525</v>
          </cell>
          <cell r="J1249" t="str">
            <v>Ναι</v>
          </cell>
          <cell r="K1249" t="str">
            <v>Όχι</v>
          </cell>
          <cell r="L1249" t="str">
            <v>ΌΧΙ</v>
          </cell>
          <cell r="O1249" t="str">
            <v/>
          </cell>
        </row>
        <row r="1250">
          <cell r="D1250" t="str">
            <v>ΚΗΠΕΥΤΙΚΑ10196</v>
          </cell>
          <cell r="E1250" t="str">
            <v>ΠΕΠΟΝΙ - ΖΑΚΥΝΘΟΥ</v>
          </cell>
          <cell r="F1250" t="str">
            <v>B_1_7_1_1</v>
          </cell>
          <cell r="G1250" t="str">
            <v>Κηπευτικές καλλιέργειες μεγάλης έκτασης σε αγρό</v>
          </cell>
          <cell r="H1250">
            <v>7525</v>
          </cell>
          <cell r="J1250" t="str">
            <v>Ναι</v>
          </cell>
          <cell r="K1250" t="str">
            <v>Όχι</v>
          </cell>
          <cell r="L1250" t="str">
            <v>ΌΧΙ</v>
          </cell>
          <cell r="O1250" t="str">
            <v/>
          </cell>
        </row>
        <row r="1251">
          <cell r="D1251" t="str">
            <v>ΚΗΠΕΥΤΙΚΑ10197</v>
          </cell>
          <cell r="E1251" t="str">
            <v>ΠΕΠΟΝΙ - ΑΓΓΟΥΡΟΠΕΠΟΝΟ</v>
          </cell>
          <cell r="F1251" t="str">
            <v>B_1_7_1_1</v>
          </cell>
          <cell r="G1251" t="str">
            <v>Κηπευτικές καλλιέργειες μεγάλης έκτασης σε αγρό</v>
          </cell>
          <cell r="H1251">
            <v>7525</v>
          </cell>
          <cell r="J1251" t="str">
            <v>Ναι</v>
          </cell>
          <cell r="K1251" t="str">
            <v>Όχι</v>
          </cell>
          <cell r="L1251" t="str">
            <v>ΌΧΙ</v>
          </cell>
          <cell r="O1251" t="str">
            <v/>
          </cell>
        </row>
        <row r="1252">
          <cell r="D1252" t="str">
            <v>ΚΗΠΕΥΤΙΚΑ10198</v>
          </cell>
          <cell r="E1252" t="str">
            <v>ΠΕΠΟΝΙ - ΚΑΣΙΔΙΑΡΙΚΟ</v>
          </cell>
          <cell r="F1252" t="str">
            <v>B_1_7_1_1</v>
          </cell>
          <cell r="G1252" t="str">
            <v>Κηπευτικές καλλιέργειες μεγάλης έκτασης σε αγρό</v>
          </cell>
          <cell r="H1252">
            <v>7525</v>
          </cell>
          <cell r="J1252" t="str">
            <v>Ναι</v>
          </cell>
          <cell r="K1252" t="str">
            <v>Όχι</v>
          </cell>
          <cell r="L1252" t="str">
            <v>ΌΧΙ</v>
          </cell>
          <cell r="O1252" t="str">
            <v/>
          </cell>
        </row>
        <row r="1253">
          <cell r="D1253" t="str">
            <v>ΚΗΠΕΥΤΙΚΑ10199</v>
          </cell>
          <cell r="E1253" t="str">
            <v>ΠΕΠΟΝΙ - ΧΡΥΣΗ ΚΕΦΑΛΗ</v>
          </cell>
          <cell r="F1253" t="str">
            <v>B_1_7_1_1</v>
          </cell>
          <cell r="G1253" t="str">
            <v>Κηπευτικές καλλιέργειες μεγάλης έκτασης σε αγρό</v>
          </cell>
          <cell r="H1253">
            <v>7525</v>
          </cell>
          <cell r="J1253" t="str">
            <v>Ναι</v>
          </cell>
          <cell r="K1253" t="str">
            <v>Όχι</v>
          </cell>
          <cell r="L1253" t="str">
            <v>ΌΧΙ</v>
          </cell>
          <cell r="O1253" t="str">
            <v/>
          </cell>
        </row>
        <row r="1254">
          <cell r="D1254" t="str">
            <v>ΚΗΠΕΥΤΙΚΑ10204</v>
          </cell>
          <cell r="E1254" t="str">
            <v>ΑΓΓΙΝΑΡΕΣ ΠΡΩΪΜΕΣ &amp; ΜΕΣΟΠΡΩΪΜΕΣ</v>
          </cell>
          <cell r="F1254" t="str">
            <v>B_1_7_1_1</v>
          </cell>
          <cell r="G1254" t="str">
            <v>Κηπευτικές καλλιέργειες μεγάλης έκτασης σε αγρό</v>
          </cell>
          <cell r="H1254">
            <v>7525</v>
          </cell>
          <cell r="J1254" t="str">
            <v>Ναι</v>
          </cell>
          <cell r="K1254" t="str">
            <v>Ναι</v>
          </cell>
          <cell r="L1254" t="str">
            <v>ΝΑΙ</v>
          </cell>
          <cell r="O1254" t="str">
            <v/>
          </cell>
        </row>
        <row r="1255">
          <cell r="D1255" t="str">
            <v>ΚΗΠΕΥΤΙΚΑ10205</v>
          </cell>
          <cell r="E1255" t="str">
            <v>ΑΓΓΙΝΑΡΕΣ ΟΨΙΜΕΣ</v>
          </cell>
          <cell r="F1255" t="str">
            <v>B_1_7_1_1</v>
          </cell>
          <cell r="G1255" t="str">
            <v>Κηπευτικές καλλιέργειες μεγάλης έκτασης σε αγρό</v>
          </cell>
          <cell r="H1255">
            <v>7525</v>
          </cell>
          <cell r="J1255" t="str">
            <v>Ναι</v>
          </cell>
          <cell r="K1255" t="str">
            <v>Ναι</v>
          </cell>
          <cell r="L1255" t="str">
            <v>ΝΑΙ</v>
          </cell>
          <cell r="O1255" t="str">
            <v/>
          </cell>
        </row>
        <row r="1256">
          <cell r="D1256" t="str">
            <v>ΚΗΠΕΥΤΙΚΑ10206</v>
          </cell>
          <cell r="E1256" t="str">
            <v>ΠΕΠΟΝΙ ΥΠΑΙΘΡΙΟ &amp; ΘΡΑΚΙΩΤΙΚΟ</v>
          </cell>
          <cell r="F1256" t="str">
            <v>B_1_7_1_1</v>
          </cell>
          <cell r="G1256" t="str">
            <v>Κηπευτικές καλλιέργειες μεγάλης έκτασης σε αγρό</v>
          </cell>
          <cell r="H1256">
            <v>7525</v>
          </cell>
          <cell r="J1256" t="str">
            <v>Ναι</v>
          </cell>
          <cell r="K1256" t="str">
            <v>Όχι</v>
          </cell>
          <cell r="L1256" t="str">
            <v>ΌΧΙ</v>
          </cell>
          <cell r="O1256" t="str">
            <v/>
          </cell>
        </row>
        <row r="1257">
          <cell r="D1257" t="str">
            <v>ΚΗΠΕΥΤΙΚΑ10207</v>
          </cell>
          <cell r="E1257" t="str">
            <v>ΦΑΣΟΛΑΚΙΑ ΒΙΟΜΗΧΑΝΙΑΣ</v>
          </cell>
          <cell r="F1257" t="str">
            <v>B_1_7_1_1</v>
          </cell>
          <cell r="G1257" t="str">
            <v>Κηπευτικές καλλιέργειες μεγάλης έκτασης σε αγρό</v>
          </cell>
          <cell r="H1257">
            <v>7525</v>
          </cell>
          <cell r="J1257" t="str">
            <v>Ναι</v>
          </cell>
          <cell r="K1257" t="str">
            <v>Όχι</v>
          </cell>
          <cell r="L1257" t="str">
            <v>ΌΧΙ</v>
          </cell>
          <cell r="O1257" t="str">
            <v/>
          </cell>
        </row>
        <row r="1258">
          <cell r="D1258" t="str">
            <v>ΚΗΠΕΥΤΙΚΑ10208</v>
          </cell>
          <cell r="E1258" t="str">
            <v>ΦΑΣΟΛΑΚΙΑ ΥΠΑΙΘΡΙΑ</v>
          </cell>
          <cell r="F1258" t="str">
            <v>B_1_7_1_1</v>
          </cell>
          <cell r="G1258" t="str">
            <v>Κηπευτικές καλλιέργειες μεγάλης έκτασης σε αγρό</v>
          </cell>
          <cell r="H1258">
            <v>7525</v>
          </cell>
          <cell r="J1258" t="str">
            <v>Ναι</v>
          </cell>
          <cell r="K1258" t="str">
            <v>Όχι</v>
          </cell>
          <cell r="L1258" t="str">
            <v>ΌΧΙ</v>
          </cell>
          <cell r="O1258" t="str">
            <v/>
          </cell>
        </row>
        <row r="1259">
          <cell r="D1259" t="str">
            <v>ΚΗΠΕΥΤΙΚΑ10211</v>
          </cell>
          <cell r="E1259" t="str">
            <v>ΚΑΡΟΤΑ ΡΙΖΕΣ</v>
          </cell>
          <cell r="F1259" t="str">
            <v>B_1_7_1_1</v>
          </cell>
          <cell r="G1259" t="str">
            <v>Κηπευτικές καλλιέργειες μεγάλης έκτασης σε αγρό</v>
          </cell>
          <cell r="H1259">
            <v>7525</v>
          </cell>
          <cell r="J1259" t="str">
            <v>Ναι</v>
          </cell>
          <cell r="K1259" t="str">
            <v>Όχι</v>
          </cell>
          <cell r="L1259" t="str">
            <v>ΌΧΙ</v>
          </cell>
          <cell r="O1259" t="str">
            <v/>
          </cell>
        </row>
        <row r="1260">
          <cell r="D1260" t="str">
            <v>ΚΗΠΕΥΤΙΚΑ10213</v>
          </cell>
          <cell r="E1260" t="str">
            <v>ΜΕΛΙΤΖΑΝΑ ΥΠΑΙΘΡΙΑ</v>
          </cell>
          <cell r="F1260" t="str">
            <v>B_1_7_1_1</v>
          </cell>
          <cell r="G1260" t="str">
            <v>Κηπευτικές καλλιέργειες μεγάλης έκτασης σε αγρό</v>
          </cell>
          <cell r="H1260">
            <v>7525</v>
          </cell>
          <cell r="J1260" t="str">
            <v>Ναι</v>
          </cell>
          <cell r="K1260" t="str">
            <v>Όχι</v>
          </cell>
          <cell r="L1260" t="str">
            <v>ΌΧΙ</v>
          </cell>
          <cell r="O1260" t="str">
            <v/>
          </cell>
        </row>
        <row r="1261">
          <cell r="D1261" t="str">
            <v>ΚΗΠΕΥΤΙΚΑ10214</v>
          </cell>
          <cell r="E1261" t="str">
            <v>ΣΕΣΚΟΥΛΟ</v>
          </cell>
          <cell r="F1261" t="str">
            <v>B_1_7_1_1</v>
          </cell>
          <cell r="G1261" t="str">
            <v>Κηπευτικές καλλιέργειες μεγάλης έκτασης σε αγρό</v>
          </cell>
          <cell r="H1261">
            <v>7525</v>
          </cell>
          <cell r="J1261" t="str">
            <v>Ναι</v>
          </cell>
          <cell r="K1261" t="str">
            <v>Όχι</v>
          </cell>
          <cell r="L1261" t="str">
            <v>ΌΧΙ</v>
          </cell>
          <cell r="O1261" t="str">
            <v/>
          </cell>
        </row>
        <row r="1262">
          <cell r="D1262" t="str">
            <v>ΚΗΠΕΥΤΙΚΑ10215</v>
          </cell>
          <cell r="E1262" t="str">
            <v>ΣΠΑΝΑΚΙ</v>
          </cell>
          <cell r="F1262" t="str">
            <v>B_1_7_1_1</v>
          </cell>
          <cell r="G1262" t="str">
            <v>Κηπευτικές καλλιέργειες μεγάλης έκτασης σε αγρό</v>
          </cell>
          <cell r="H1262">
            <v>7525</v>
          </cell>
          <cell r="J1262" t="str">
            <v>Ναι</v>
          </cell>
          <cell r="K1262" t="str">
            <v>Όχι</v>
          </cell>
          <cell r="L1262" t="str">
            <v>ΌΧΙ</v>
          </cell>
          <cell r="O1262" t="str">
            <v>!</v>
          </cell>
        </row>
        <row r="1263">
          <cell r="D1263" t="str">
            <v>ΚΗΠΕΥΤΙΚΑ10216</v>
          </cell>
          <cell r="E1263" t="str">
            <v>ΣΠΑΝΑΚΙ ΒΙΟΜΗΧΑΝΙΑΣ</v>
          </cell>
          <cell r="F1263" t="str">
            <v>B_1_7_1_1</v>
          </cell>
          <cell r="G1263" t="str">
            <v>Κηπευτικές καλλιέργειες μεγάλης έκτασης σε αγρό</v>
          </cell>
          <cell r="H1263">
            <v>7525</v>
          </cell>
          <cell r="J1263" t="str">
            <v>Ναι</v>
          </cell>
          <cell r="K1263" t="str">
            <v>Όχι</v>
          </cell>
          <cell r="L1263" t="str">
            <v>ΌΧΙ</v>
          </cell>
          <cell r="O1263" t="str">
            <v>!</v>
          </cell>
        </row>
        <row r="1264">
          <cell r="D1264" t="str">
            <v>ΚΗΠΕΥΤΙΚΑ10217</v>
          </cell>
          <cell r="E1264" t="str">
            <v>ΖΩΧΟΣ</v>
          </cell>
          <cell r="F1264" t="str">
            <v>B_1_7_1_1</v>
          </cell>
          <cell r="G1264" t="str">
            <v>Κηπευτικές καλλιέργειες μεγάλης έκτασης σε αγρό</v>
          </cell>
          <cell r="H1264">
            <v>7525</v>
          </cell>
          <cell r="J1264" t="str">
            <v>Ναι</v>
          </cell>
          <cell r="K1264" t="str">
            <v>Ναι</v>
          </cell>
          <cell r="L1264" t="str">
            <v>ΕΤ: Ναι, όπως και ραδίκια, αντίδια κλπ</v>
          </cell>
          <cell r="M1264" t="str">
            <v>ΔΕΝ ΥΠΑΡΧΟΥΝ ΣΤΟΙΧΕΙΑ</v>
          </cell>
          <cell r="O1264" t="str">
            <v/>
          </cell>
        </row>
        <row r="1265">
          <cell r="D1265" t="str">
            <v>ΚΗΠΕΥΤΙΚΑ10218</v>
          </cell>
          <cell r="E1265" t="str">
            <v>ΡΑΠΑΝΑΚΙ</v>
          </cell>
          <cell r="F1265" t="str">
            <v>B_1_7_1_1</v>
          </cell>
          <cell r="G1265" t="str">
            <v>Κηπευτικές καλλιέργειες μεγάλης έκτασης σε αγρό</v>
          </cell>
          <cell r="H1265">
            <v>7525</v>
          </cell>
          <cell r="J1265" t="str">
            <v>Ναι</v>
          </cell>
          <cell r="K1265" t="str">
            <v>Όχι</v>
          </cell>
          <cell r="L1265" t="str">
            <v>ΌΧΙ</v>
          </cell>
          <cell r="O1265" t="str">
            <v/>
          </cell>
        </row>
        <row r="1266">
          <cell r="D1266" t="str">
            <v>ΚΗΠΕΥΤΙΚΑ10219</v>
          </cell>
          <cell r="E1266" t="str">
            <v>ΡΑΙΒΕΣ</v>
          </cell>
          <cell r="F1266" t="str">
            <v>B_1_7_1_1</v>
          </cell>
          <cell r="G1266" t="str">
            <v>Κηπευτικές καλλιέργειες μεγάλης έκτασης σε αγρό</v>
          </cell>
          <cell r="H1266">
            <v>7525</v>
          </cell>
          <cell r="J1266" t="str">
            <v>Ναι</v>
          </cell>
          <cell r="K1266" t="str">
            <v>Όχι</v>
          </cell>
          <cell r="L1266" t="str">
            <v>ΌΧΙ</v>
          </cell>
          <cell r="O1266" t="str">
            <v/>
          </cell>
        </row>
        <row r="1267">
          <cell r="D1267" t="str">
            <v>ΚΗΠΕΥΤΙΚΑ10220</v>
          </cell>
          <cell r="E1267" t="str">
            <v>ΤΕΥΤΛΑ - ΠΑΝΤΖΑΡΙΑ</v>
          </cell>
          <cell r="F1267" t="str">
            <v>B_1_7_1_1</v>
          </cell>
          <cell r="G1267" t="str">
            <v>Κηπευτικές καλλιέργειες μεγάλης έκτασης σε αγρό</v>
          </cell>
          <cell r="H1267">
            <v>7525</v>
          </cell>
          <cell r="J1267" t="str">
            <v>Ναι</v>
          </cell>
          <cell r="K1267" t="str">
            <v>Όχι</v>
          </cell>
          <cell r="L1267" t="str">
            <v>ΌΧΙ</v>
          </cell>
          <cell r="O1267" t="str">
            <v/>
          </cell>
        </row>
        <row r="1268">
          <cell r="D1268" t="str">
            <v>ΚΗΠΕΥΤΙΚΑ10221</v>
          </cell>
          <cell r="E1268" t="str">
            <v>ΚΡΕΜΜΥΔΙ ΣΠΟΡΟΣ</v>
          </cell>
          <cell r="F1268" t="str">
            <v>B_1_7_1_1</v>
          </cell>
          <cell r="G1268" t="str">
            <v>Κηπευτικές καλλιέργειες μεγάλης έκτασης σε αγρό</v>
          </cell>
          <cell r="H1268">
            <v>7525</v>
          </cell>
          <cell r="J1268" t="str">
            <v>Ναι</v>
          </cell>
          <cell r="K1268" t="str">
            <v>Όχι</v>
          </cell>
          <cell r="L1268" t="str">
            <v>ΌΧΙ</v>
          </cell>
          <cell r="O1268" t="str">
            <v/>
          </cell>
        </row>
        <row r="1269">
          <cell r="D1269" t="str">
            <v>ΚΗΠΕΥΤΙΚΑ10222</v>
          </cell>
          <cell r="E1269" t="str">
            <v>ΚΡΕΜΜΥΔΙ ΚΟΚΚΑΡΙ</v>
          </cell>
          <cell r="F1269" t="str">
            <v>B_1_7_1_1</v>
          </cell>
          <cell r="G1269" t="str">
            <v>Κηπευτικές καλλιέργειες μεγάλης έκτασης σε αγρό</v>
          </cell>
          <cell r="H1269">
            <v>7525</v>
          </cell>
          <cell r="J1269" t="str">
            <v>Ναι</v>
          </cell>
          <cell r="K1269" t="str">
            <v>Όχι</v>
          </cell>
          <cell r="L1269" t="str">
            <v>ΌΧΙ</v>
          </cell>
          <cell r="O1269" t="str">
            <v/>
          </cell>
        </row>
        <row r="1270">
          <cell r="D1270" t="str">
            <v>ΚΗΠΕΥΤΙΚΑ10223</v>
          </cell>
          <cell r="E1270" t="str">
            <v>ΠΡΑΣΣΟ</v>
          </cell>
          <cell r="F1270" t="str">
            <v>B_1_7_1_1</v>
          </cell>
          <cell r="G1270" t="str">
            <v>Κηπευτικές καλλιέργειες μεγάλης έκτασης σε αγρό</v>
          </cell>
          <cell r="H1270">
            <v>7525</v>
          </cell>
          <cell r="J1270" t="str">
            <v>Ναι</v>
          </cell>
          <cell r="K1270" t="str">
            <v>Όχι</v>
          </cell>
          <cell r="L1270" t="str">
            <v>ΌΧΙ</v>
          </cell>
          <cell r="O1270" t="str">
            <v/>
          </cell>
        </row>
        <row r="1271">
          <cell r="D1271" t="str">
            <v>ΚΗΠΕΥΤΙΚΑ10224</v>
          </cell>
          <cell r="E1271" t="str">
            <v>ΑΝΤΙΔΙ</v>
          </cell>
          <cell r="F1271" t="str">
            <v>B_1_7_1_1</v>
          </cell>
          <cell r="G1271" t="str">
            <v>Κηπευτικές καλλιέργειες μεγάλης έκτασης σε αγρό</v>
          </cell>
          <cell r="H1271">
            <v>7525</v>
          </cell>
          <cell r="J1271" t="str">
            <v>Ναι</v>
          </cell>
          <cell r="K1271" t="str">
            <v>Όχι</v>
          </cell>
          <cell r="L1271" t="str">
            <v>ΌΧΙ</v>
          </cell>
          <cell r="O1271" t="str">
            <v>!</v>
          </cell>
        </row>
        <row r="1272">
          <cell r="D1272" t="str">
            <v>ΚΗΠΕΥΤΙΚΑ10225</v>
          </cell>
          <cell r="E1272" t="str">
            <v>ΒΛΗΤΑ</v>
          </cell>
          <cell r="F1272" t="str">
            <v>B_1_7_1_1</v>
          </cell>
          <cell r="G1272" t="str">
            <v>Κηπευτικές καλλιέργειες μεγάλης έκτασης σε αγρό</v>
          </cell>
          <cell r="H1272">
            <v>7525</v>
          </cell>
          <cell r="J1272" t="str">
            <v>Ναι</v>
          </cell>
          <cell r="K1272" t="str">
            <v>Όχι</v>
          </cell>
          <cell r="L1272" t="str">
            <v>ΌΧΙ</v>
          </cell>
          <cell r="O1272" t="str">
            <v/>
          </cell>
        </row>
        <row r="1273">
          <cell r="D1273" t="str">
            <v>ΚΗΠΕΥΤΙΚΑ10226</v>
          </cell>
          <cell r="E1273" t="str">
            <v>ΜΠΡΟΚΟΛΟ</v>
          </cell>
          <cell r="F1273" t="str">
            <v>B_1_7_1_1</v>
          </cell>
          <cell r="G1273" t="str">
            <v>Κηπευτικές καλλιέργειες μεγάλης έκτασης σε αγρό</v>
          </cell>
          <cell r="H1273">
            <v>7525</v>
          </cell>
          <cell r="J1273" t="str">
            <v>Ναι</v>
          </cell>
          <cell r="K1273" t="str">
            <v>Όχι</v>
          </cell>
          <cell r="L1273" t="str">
            <v>ΌΧΙ</v>
          </cell>
          <cell r="O1273" t="str">
            <v/>
          </cell>
        </row>
        <row r="1274">
          <cell r="D1274" t="str">
            <v>ΚΗΠΕΥΤΙΚΑ10227</v>
          </cell>
          <cell r="E1274" t="str">
            <v>ΛΑΧΑΝΟ ΒΡΥΞΕΛΛΩΝ</v>
          </cell>
          <cell r="F1274" t="str">
            <v>B_1_7_1_1</v>
          </cell>
          <cell r="G1274" t="str">
            <v>Κηπευτικές καλλιέργειες μεγάλης έκτασης σε αγρό</v>
          </cell>
          <cell r="H1274">
            <v>7525</v>
          </cell>
          <cell r="J1274" t="str">
            <v>Ναι</v>
          </cell>
          <cell r="K1274" t="str">
            <v>Όχι</v>
          </cell>
          <cell r="L1274" t="str">
            <v>ΕΤ: Όχι, με βάση γεωτεχνική εμπειρία</v>
          </cell>
          <cell r="M1274" t="str">
            <v>ΔΕΝ ΥΠΑΡΧΟΥΝ ΣΤΟΙΧΕΙΑ</v>
          </cell>
          <cell r="O1274" t="str">
            <v/>
          </cell>
        </row>
        <row r="1275">
          <cell r="D1275" t="str">
            <v>ΚΗΠΕΥΤΙΚΑ10228</v>
          </cell>
          <cell r="E1275" t="str">
            <v>ΡΑΔΙΚΙΑ</v>
          </cell>
          <cell r="F1275" t="str">
            <v>B_1_7_1_1</v>
          </cell>
          <cell r="G1275" t="str">
            <v>Κηπευτικές καλλιέργειες μεγάλης έκτασης σε αγρό</v>
          </cell>
          <cell r="H1275">
            <v>7525</v>
          </cell>
          <cell r="J1275" t="str">
            <v>Ναι</v>
          </cell>
          <cell r="K1275" t="str">
            <v>Ναι</v>
          </cell>
          <cell r="L1275" t="str">
            <v>ΝΑΙ</v>
          </cell>
          <cell r="O1275" t="str">
            <v/>
          </cell>
        </row>
        <row r="1276">
          <cell r="D1276" t="str">
            <v>ΚΗΠΕΥΤΙΚΑ10229</v>
          </cell>
          <cell r="E1276" t="str">
            <v>ΡΑΔΙΚΙΑ ΑΓΡΙΑ</v>
          </cell>
          <cell r="F1276" t="str">
            <v>B_1_7_1_1</v>
          </cell>
          <cell r="G1276" t="str">
            <v>Κηπευτικές καλλιέργειες μεγάλης έκτασης σε αγρό</v>
          </cell>
          <cell r="H1276">
            <v>7525</v>
          </cell>
          <cell r="J1276" t="str">
            <v>Ναι</v>
          </cell>
          <cell r="K1276" t="str">
            <v>Ναι</v>
          </cell>
          <cell r="L1276" t="str">
            <v>ΝΑΙ</v>
          </cell>
          <cell r="M1276" t="str">
            <v>ΔΕΝ ΥΠΑΡΧΟΥΝ ΣΤΟΙΧΕΙΑ ΚΑΤΆ ΣΥΝΕΠΕΙΑ ΑΠΌ ΤΟ ΠΑΡΑ ΠΑΝΩ</v>
          </cell>
          <cell r="O1276" t="str">
            <v/>
          </cell>
        </row>
        <row r="1277">
          <cell r="D1277" t="str">
            <v>ΚΗΠΕΥΤΙΚΑ10230</v>
          </cell>
          <cell r="E1277" t="str">
            <v>ΣΕΛΙΝΟ</v>
          </cell>
          <cell r="F1277" t="str">
            <v>B_1_7_1_1</v>
          </cell>
          <cell r="G1277" t="str">
            <v>Κηπευτικές καλλιέργειες μεγάλης έκτασης σε αγρό</v>
          </cell>
          <cell r="H1277">
            <v>7525</v>
          </cell>
          <cell r="J1277" t="str">
            <v>Ναι</v>
          </cell>
          <cell r="K1277" t="str">
            <v>Όχι</v>
          </cell>
          <cell r="L1277" t="str">
            <v>ΌΧΙ</v>
          </cell>
          <cell r="O1277" t="str">
            <v/>
          </cell>
        </row>
        <row r="1278">
          <cell r="D1278" t="str">
            <v>ΚΗΠΕΥΤΙΚΑ10232</v>
          </cell>
          <cell r="E1278" t="str">
            <v>ΑΝΗΘΟΣ</v>
          </cell>
          <cell r="F1278" t="str">
            <v>B_1_7_1_1</v>
          </cell>
          <cell r="G1278" t="str">
            <v>Κηπευτικές καλλιέργειες μεγάλης έκτασης σε αγρό</v>
          </cell>
          <cell r="H1278">
            <v>7525</v>
          </cell>
          <cell r="J1278" t="str">
            <v>Ναι</v>
          </cell>
          <cell r="K1278" t="str">
            <v>Όχι</v>
          </cell>
          <cell r="L1278" t="str">
            <v>ΌΧΙ</v>
          </cell>
          <cell r="O1278" t="str">
            <v>!</v>
          </cell>
        </row>
        <row r="1279">
          <cell r="D1279" t="str">
            <v>ΚΗΠΕΥΤΙΚΑ10233</v>
          </cell>
          <cell r="E1279" t="str">
            <v>ΜΑΙΝΤΑΝΟΣ</v>
          </cell>
          <cell r="F1279" t="str">
            <v>B_1_7_1_1</v>
          </cell>
          <cell r="G1279" t="str">
            <v>Κηπευτικές καλλιέργειες μεγάλης έκτασης σε αγρό</v>
          </cell>
          <cell r="H1279">
            <v>7525</v>
          </cell>
          <cell r="J1279" t="str">
            <v>Ναι</v>
          </cell>
          <cell r="K1279" t="str">
            <v>Όχι</v>
          </cell>
          <cell r="L1279" t="str">
            <v>ΌΧΙ</v>
          </cell>
          <cell r="O1279" t="str">
            <v>!</v>
          </cell>
        </row>
        <row r="1280">
          <cell r="D1280" t="str">
            <v>ΚΗΠΕΥΤΙΚΑ10234</v>
          </cell>
          <cell r="E1280" t="str">
            <v>ΡΟΚΑ</v>
          </cell>
          <cell r="F1280" t="str">
            <v>B_1_7_1_1</v>
          </cell>
          <cell r="G1280" t="str">
            <v>Κηπευτικές καλλιέργειες μεγάλης έκτασης σε αγρό</v>
          </cell>
          <cell r="H1280">
            <v>7525</v>
          </cell>
          <cell r="J1280" t="str">
            <v>Ναι</v>
          </cell>
          <cell r="K1280" t="str">
            <v>Όχι</v>
          </cell>
          <cell r="L1280" t="str">
            <v>ΌΧΙ</v>
          </cell>
          <cell r="O1280" t="str">
            <v>!</v>
          </cell>
        </row>
        <row r="1281">
          <cell r="D1281" t="str">
            <v>ΚΗΠΕΥΤΙΚΑ10235</v>
          </cell>
          <cell r="E1281" t="str">
            <v>ΣΤΑΜΝΑΓΚΑΘΙ</v>
          </cell>
          <cell r="F1281" t="str">
            <v>B_1_7_1_1</v>
          </cell>
          <cell r="G1281" t="str">
            <v>Κηπευτικές καλλιέργειες μεγάλης έκτασης σε αγρό</v>
          </cell>
          <cell r="H1281">
            <v>7525</v>
          </cell>
          <cell r="J1281" t="str">
            <v>Ναι</v>
          </cell>
          <cell r="K1281" t="str">
            <v>Ναι</v>
          </cell>
          <cell r="L1281" t="str">
            <v>ΝΑΙ</v>
          </cell>
          <cell r="M1281" t="str">
            <v>ΕΛΓΟ ΔΗΜΗΤΡΑ</v>
          </cell>
          <cell r="O1281" t="str">
            <v/>
          </cell>
        </row>
        <row r="1282">
          <cell r="D1282" t="str">
            <v>ΚΗΠΕΥΤΙΚΑ10236</v>
          </cell>
          <cell r="E1282" t="str">
            <v>ΚΑΥΚΑΛΗΘΡΑ</v>
          </cell>
          <cell r="F1282" t="str">
            <v>B_1_7_1_1</v>
          </cell>
          <cell r="G1282" t="str">
            <v>Κηπευτικές καλλιέργειες μεγάλης έκτασης σε αγρό</v>
          </cell>
          <cell r="H1282">
            <v>7525</v>
          </cell>
          <cell r="J1282" t="str">
            <v>Ναι</v>
          </cell>
          <cell r="K1282" t="str">
            <v>Ναι</v>
          </cell>
          <cell r="L1282" t="str">
            <v>ΝΑΙ</v>
          </cell>
          <cell r="O1282" t="str">
            <v/>
          </cell>
        </row>
        <row r="1283">
          <cell r="D1283" t="str">
            <v>ΚΗΠΕΥΤΙΚΑ10237</v>
          </cell>
          <cell r="E1283" t="str">
            <v>ΚΟΛΟΚΥΘΑΚΙ ΥΠΑΙΘΡΙΟ</v>
          </cell>
          <cell r="F1283" t="str">
            <v>B_1_7_1_1</v>
          </cell>
          <cell r="G1283" t="str">
            <v>Κηπευτικές καλλιέργειες μεγάλης έκτασης σε αγρό</v>
          </cell>
          <cell r="H1283">
            <v>7525</v>
          </cell>
          <cell r="J1283" t="str">
            <v>Ναι</v>
          </cell>
          <cell r="K1283" t="str">
            <v>Όχι</v>
          </cell>
          <cell r="L1283" t="str">
            <v>ΌΧΙ</v>
          </cell>
          <cell r="O1283" t="str">
            <v/>
          </cell>
        </row>
        <row r="1284">
          <cell r="D1284" t="str">
            <v>ΚΗΠΕΥΤΙΚΑ10239</v>
          </cell>
          <cell r="E1284" t="str">
            <v>ΤΟΜΑΤΑ ΟΜ. COΜODORE ΥΠΑΙΘΡ ΕΜΠΟΡ</v>
          </cell>
          <cell r="F1284" t="str">
            <v>B_1_7_1_1</v>
          </cell>
          <cell r="G1284" t="str">
            <v>Κηπευτικές καλλιέργειες μεγάλης έκτασης σε αγρό</v>
          </cell>
          <cell r="H1284">
            <v>7525</v>
          </cell>
          <cell r="J1284" t="str">
            <v>Ναι</v>
          </cell>
          <cell r="K1284" t="str">
            <v>Όχι</v>
          </cell>
          <cell r="L1284" t="str">
            <v>ΌΧΙ</v>
          </cell>
          <cell r="O1284" t="str">
            <v/>
          </cell>
        </row>
        <row r="1285">
          <cell r="D1285" t="str">
            <v>ΚΗΠΕΥΤΙΚΑ10241</v>
          </cell>
          <cell r="E1285" t="str">
            <v>ΚΟΥΚΙΑ ΝΩΠΑ</v>
          </cell>
          <cell r="F1285" t="str">
            <v>B_1_7_1_1</v>
          </cell>
          <cell r="G1285" t="str">
            <v>Κηπευτικές καλλιέργειες μεγάλης έκτασης σε αγρό</v>
          </cell>
          <cell r="H1285">
            <v>7525</v>
          </cell>
          <cell r="J1285" t="str">
            <v>Ναι</v>
          </cell>
          <cell r="K1285" t="str">
            <v>Ναι</v>
          </cell>
          <cell r="L1285" t="str">
            <v>ΝΑΙ</v>
          </cell>
          <cell r="O1285" t="str">
            <v/>
          </cell>
        </row>
        <row r="1286">
          <cell r="D1286" t="str">
            <v>ΚΗΠΕΥΤΙΚΑ10243</v>
          </cell>
          <cell r="E1286" t="str">
            <v>ΜΠΑΜΙΑ ΒΙΟΜΗΧΑΝΙΚΗ</v>
          </cell>
          <cell r="F1286" t="str">
            <v>B_1_7_1_1</v>
          </cell>
          <cell r="G1286" t="str">
            <v>Κηπευτικές καλλιέργειες μεγάλης έκτασης σε αγρό</v>
          </cell>
          <cell r="H1286">
            <v>7525</v>
          </cell>
          <cell r="J1286" t="str">
            <v>Ναι</v>
          </cell>
          <cell r="K1286" t="str">
            <v>Όχι</v>
          </cell>
          <cell r="L1286" t="str">
            <v>ΌΧΙ</v>
          </cell>
          <cell r="O1286" t="str">
            <v/>
          </cell>
        </row>
        <row r="1287">
          <cell r="D1287" t="str">
            <v>ΚΗΠΕΥΤΙΚΑ10244</v>
          </cell>
          <cell r="E1287" t="str">
            <v>ΑΡΑΚΑΣ ΒΙΟΜΗΧΑΝΙΚΟΣ</v>
          </cell>
          <cell r="F1287" t="str">
            <v>B_1_2</v>
          </cell>
          <cell r="G1287" t="str">
            <v>Φακές - Ρεβίθια - Αρακάς - Λαθούρια και άλλα πρωτεϊνούχα φυτά</v>
          </cell>
          <cell r="H1287">
            <v>1886</v>
          </cell>
          <cell r="J1287" t="str">
            <v>Ναι</v>
          </cell>
          <cell r="K1287" t="str">
            <v>Όχι</v>
          </cell>
          <cell r="L1287" t="str">
            <v>ΌΧΙ</v>
          </cell>
          <cell r="O1287" t="str">
            <v/>
          </cell>
        </row>
        <row r="1288">
          <cell r="D1288" t="str">
            <v>ΚΗΠΕΥΤΙΚΑ10245</v>
          </cell>
          <cell r="E1288" t="str">
            <v>ΠΕΠΟΝΙ - ΞΥΛΑΓΓΟΥΡΟ</v>
          </cell>
          <cell r="F1288" t="str">
            <v>B_1_7_1_1</v>
          </cell>
          <cell r="G1288" t="str">
            <v>Κηπευτικές καλλιέργειες μεγάλης έκτασης σε αγρό</v>
          </cell>
          <cell r="H1288">
            <v>7525</v>
          </cell>
          <cell r="J1288" t="str">
            <v>Ναι</v>
          </cell>
          <cell r="K1288" t="str">
            <v>Όχι</v>
          </cell>
          <cell r="L1288" t="str">
            <v>ΌΧΙ</v>
          </cell>
          <cell r="O1288" t="str">
            <v/>
          </cell>
        </row>
        <row r="1289">
          <cell r="D1289" t="str">
            <v>ΚΗΠΕΥΤΙΚΑ10246</v>
          </cell>
          <cell r="E1289" t="str">
            <v>ΜΕΛΙΤΖΑΝΑ - ΑΣΠΡΗ</v>
          </cell>
          <cell r="F1289" t="str">
            <v>B_1_7_1_1</v>
          </cell>
          <cell r="G1289" t="str">
            <v>Κηπευτικές καλλιέργειες μεγάλης έκτασης σε αγρό</v>
          </cell>
          <cell r="H1289">
            <v>7525</v>
          </cell>
          <cell r="J1289" t="str">
            <v>Ναι</v>
          </cell>
          <cell r="K1289" t="str">
            <v>Όχι</v>
          </cell>
          <cell r="L1289" t="str">
            <v>ΌΧΙ</v>
          </cell>
          <cell r="O1289" t="str">
            <v/>
          </cell>
        </row>
        <row r="1290">
          <cell r="D1290" t="str">
            <v>ΚΗΠΕΥΤΙΚΑ10247</v>
          </cell>
          <cell r="E1290" t="str">
            <v>ΜΕΛΙΤΖΑΝΑ ΑΡΓΙΤΙΚΗ</v>
          </cell>
          <cell r="F1290" t="str">
            <v>B_1_7_1_1</v>
          </cell>
          <cell r="G1290" t="str">
            <v>Κηπευτικές καλλιέργειες μεγάλης έκτασης σε αγρό</v>
          </cell>
          <cell r="H1290">
            <v>7525</v>
          </cell>
          <cell r="J1290" t="str">
            <v>Ναι</v>
          </cell>
          <cell r="K1290" t="str">
            <v>Όχι</v>
          </cell>
          <cell r="L1290" t="str">
            <v>ΌΧΙ</v>
          </cell>
          <cell r="O1290" t="str">
            <v/>
          </cell>
        </row>
        <row r="1291">
          <cell r="D1291" t="str">
            <v>ΚΗΠΕΥΤΙΚΑ10248</v>
          </cell>
          <cell r="E1291" t="str">
            <v>ΡΟΚΑ - ΚΡΗΤΗΣ</v>
          </cell>
          <cell r="F1291" t="str">
            <v>B_1_7_1_1</v>
          </cell>
          <cell r="G1291" t="str">
            <v>Κηπευτικές καλλιέργειες μεγάλης έκτασης σε αγρό</v>
          </cell>
          <cell r="H1291">
            <v>7525</v>
          </cell>
          <cell r="J1291" t="str">
            <v>Ναι</v>
          </cell>
          <cell r="K1291" t="str">
            <v>Όχι</v>
          </cell>
          <cell r="L1291" t="str">
            <v>ΌΧΙ</v>
          </cell>
          <cell r="O1291" t="str">
            <v>!</v>
          </cell>
        </row>
        <row r="1292">
          <cell r="D1292" t="str">
            <v>ΚΗΠΕΥΤΙΚΑ10249</v>
          </cell>
          <cell r="E1292" t="str">
            <v>ΡΟΚΑ - ΙΟΝΙΩΝ</v>
          </cell>
          <cell r="F1292" t="str">
            <v>B_1_7_1_1</v>
          </cell>
          <cell r="G1292" t="str">
            <v>Κηπευτικές καλλιέργειες μεγάλης έκτασης σε αγρό</v>
          </cell>
          <cell r="H1292">
            <v>7525</v>
          </cell>
          <cell r="J1292" t="str">
            <v>Ναι</v>
          </cell>
          <cell r="K1292" t="str">
            <v>Όχι</v>
          </cell>
          <cell r="L1292" t="str">
            <v>ΌΧΙ</v>
          </cell>
          <cell r="O1292" t="str">
            <v>!</v>
          </cell>
        </row>
        <row r="1293">
          <cell r="D1293" t="str">
            <v>ΚΗΠΕΥΤΙΚΑ10250</v>
          </cell>
          <cell r="E1293" t="str">
            <v>ΤΟΜΑΤΑ - ΟΡΜΥΛΙΑΣ</v>
          </cell>
          <cell r="F1293" t="str">
            <v>B_1_7_1_1</v>
          </cell>
          <cell r="G1293" t="str">
            <v>Κηπευτικές καλλιέργειες μεγάλης έκτασης σε αγρό</v>
          </cell>
          <cell r="H1293">
            <v>7525</v>
          </cell>
          <cell r="J1293" t="str">
            <v>Ναι</v>
          </cell>
          <cell r="K1293" t="str">
            <v>Όχι</v>
          </cell>
          <cell r="L1293" t="str">
            <v>ΌΧΙ</v>
          </cell>
          <cell r="O1293" t="str">
            <v/>
          </cell>
        </row>
        <row r="1294">
          <cell r="D1294" t="str">
            <v>ΚΗΠΕΥΤΙΚΑ10251</v>
          </cell>
          <cell r="E1294" t="str">
            <v>ΤΟΜΑΤΑ - ΜΗΛΟ ΚΕΦΑΛΛΗΝΙΑΣ</v>
          </cell>
          <cell r="F1294" t="str">
            <v>B_1_7_1_1</v>
          </cell>
          <cell r="G1294" t="str">
            <v>Κηπευτικές καλλιέργειες μεγάλης έκτασης σε αγρό</v>
          </cell>
          <cell r="H1294">
            <v>7525</v>
          </cell>
          <cell r="J1294" t="str">
            <v>Ναι</v>
          </cell>
          <cell r="K1294" t="str">
            <v>Όχι</v>
          </cell>
          <cell r="L1294" t="str">
            <v>ΌΧΙ</v>
          </cell>
          <cell r="O1294" t="str">
            <v/>
          </cell>
        </row>
        <row r="1295">
          <cell r="D1295" t="str">
            <v>ΚΗΠΕΥΤΙΚΑ10252</v>
          </cell>
          <cell r="E1295" t="str">
            <v>ΤΟΜΑΤΑ - ΚΥΚΛΑΔΩΝ</v>
          </cell>
          <cell r="F1295" t="str">
            <v>B_1_7_1_1</v>
          </cell>
          <cell r="G1295" t="str">
            <v>Κηπευτικές καλλιέργειες μεγάλης έκτασης σε αγρό</v>
          </cell>
          <cell r="H1295">
            <v>7525</v>
          </cell>
          <cell r="J1295" t="str">
            <v>Ναι</v>
          </cell>
          <cell r="K1295" t="str">
            <v>Όχι</v>
          </cell>
          <cell r="L1295" t="str">
            <v>ΌΧΙ</v>
          </cell>
          <cell r="O1295" t="str">
            <v/>
          </cell>
        </row>
        <row r="1296">
          <cell r="D1296" t="str">
            <v>ΚΗΠΕΥΤΙΚΑ10253</v>
          </cell>
          <cell r="E1296" t="str">
            <v>ΤΟΜΑΤΑ - ΚΩΣ</v>
          </cell>
          <cell r="F1296" t="str">
            <v>B_1_7_1_1</v>
          </cell>
          <cell r="G1296" t="str">
            <v>Κηπευτικές καλλιέργειες μεγάλης έκτασης σε αγρό</v>
          </cell>
          <cell r="H1296">
            <v>7525</v>
          </cell>
          <cell r="J1296" t="str">
            <v>Ναι</v>
          </cell>
          <cell r="K1296" t="str">
            <v>Όχι</v>
          </cell>
          <cell r="L1296" t="str">
            <v>ΌΧΙ</v>
          </cell>
          <cell r="O1296" t="str">
            <v/>
          </cell>
        </row>
        <row r="1297">
          <cell r="D1297" t="str">
            <v>ΚΗΠΕΥΤΙΚΑ10254</v>
          </cell>
          <cell r="E1297" t="str">
            <v>ΤΟΜΑΤΑ - ΚΥΡΗΝΘΟΥ, ΜΑΝΤΟΥΔΙΟΥ</v>
          </cell>
          <cell r="F1297" t="str">
            <v>B_1_7_1_1</v>
          </cell>
          <cell r="G1297" t="str">
            <v>Κηπευτικές καλλιέργειες μεγάλης έκτασης σε αγρό</v>
          </cell>
          <cell r="H1297">
            <v>7525</v>
          </cell>
          <cell r="J1297" t="str">
            <v>Ναι</v>
          </cell>
          <cell r="K1297" t="str">
            <v>Όχι</v>
          </cell>
          <cell r="L1297" t="str">
            <v>ΌΧΙ</v>
          </cell>
          <cell r="O1297" t="str">
            <v/>
          </cell>
        </row>
        <row r="1298">
          <cell r="D1298" t="str">
            <v>ΚΗΠΕΥΤΙΚΑ10255</v>
          </cell>
          <cell r="E1298" t="str">
            <v>ΤΟΜΑΤΑ - ΙΘΑΚΗ</v>
          </cell>
          <cell r="F1298" t="str">
            <v>B_1_7_1_1</v>
          </cell>
          <cell r="G1298" t="str">
            <v>Κηπευτικές καλλιέργειες μεγάλης έκτασης σε αγρό</v>
          </cell>
          <cell r="H1298">
            <v>7525</v>
          </cell>
          <cell r="J1298" t="str">
            <v>Ναι</v>
          </cell>
          <cell r="K1298" t="str">
            <v>Όχι</v>
          </cell>
          <cell r="L1298" t="str">
            <v>ΌΧΙ</v>
          </cell>
          <cell r="O1298" t="str">
            <v/>
          </cell>
        </row>
        <row r="1299">
          <cell r="D1299" t="str">
            <v>ΚΗΠΕΥΤΙΚΑ10256</v>
          </cell>
          <cell r="E1299" t="str">
            <v>ΤΟΜΑΤΑ - ΝΤΟΜΑΤΕΛΑ</v>
          </cell>
          <cell r="F1299" t="str">
            <v>B_1_7_1_1</v>
          </cell>
          <cell r="G1299" t="str">
            <v>Κηπευτικές καλλιέργειες μεγάλης έκτασης σε αγρό</v>
          </cell>
          <cell r="H1299">
            <v>7525</v>
          </cell>
          <cell r="J1299" t="str">
            <v>Ναι</v>
          </cell>
          <cell r="K1299" t="str">
            <v>Όχι</v>
          </cell>
          <cell r="L1299" t="str">
            <v>ΌΧΙ</v>
          </cell>
          <cell r="O1299" t="str">
            <v/>
          </cell>
        </row>
        <row r="1300">
          <cell r="D1300" t="str">
            <v>ΚΗΠΕΥΤΙΚΑ10257</v>
          </cell>
          <cell r="E1300" t="str">
            <v>ΤΟΜΑΤΑ - ΤΡΙΓΩΝΟ ΕΒΡΟΥ</v>
          </cell>
          <cell r="F1300" t="str">
            <v>B_1_7_1_1</v>
          </cell>
          <cell r="G1300" t="str">
            <v>Κηπευτικές καλλιέργειες μεγάλης έκτασης σε αγρό</v>
          </cell>
          <cell r="H1300">
            <v>7525</v>
          </cell>
          <cell r="J1300" t="str">
            <v>Ναι</v>
          </cell>
          <cell r="K1300" t="str">
            <v>Όχι</v>
          </cell>
          <cell r="L1300" t="str">
            <v>ΌΧΙ</v>
          </cell>
          <cell r="O1300" t="str">
            <v/>
          </cell>
        </row>
        <row r="1301">
          <cell r="D1301" t="str">
            <v>ΚΗΠΕΥΤΙΚΑ10258</v>
          </cell>
          <cell r="E1301" t="str">
            <v>ΤΟΜΑΤΑ - ΚΑΡΑΜΠΟΛΑ</v>
          </cell>
          <cell r="F1301" t="str">
            <v>B_1_7_1_1</v>
          </cell>
          <cell r="G1301" t="str">
            <v>Κηπευτικές καλλιέργειες μεγάλης έκτασης σε αγρό</v>
          </cell>
          <cell r="H1301">
            <v>7525</v>
          </cell>
          <cell r="J1301" t="str">
            <v>Ναι</v>
          </cell>
          <cell r="K1301" t="str">
            <v>Όχι</v>
          </cell>
          <cell r="L1301" t="str">
            <v>ΌΧΙ</v>
          </cell>
          <cell r="O1301" t="str">
            <v/>
          </cell>
        </row>
        <row r="1302">
          <cell r="D1302" t="str">
            <v>ΚΗΠΕΥΤΙΚΑ10259</v>
          </cell>
          <cell r="E1302" t="str">
            <v>ΤΟΜΑΤΑ - ΥΔΡΟΥΣΑ</v>
          </cell>
          <cell r="F1302" t="str">
            <v>B_1_7_1_1</v>
          </cell>
          <cell r="G1302" t="str">
            <v>Κηπευτικές καλλιέργειες μεγάλης έκτασης σε αγρό</v>
          </cell>
          <cell r="H1302">
            <v>7525</v>
          </cell>
          <cell r="J1302" t="str">
            <v>Ναι</v>
          </cell>
          <cell r="K1302" t="str">
            <v>Όχι</v>
          </cell>
          <cell r="L1302" t="str">
            <v>ΌΧΙ</v>
          </cell>
          <cell r="O1302" t="str">
            <v/>
          </cell>
        </row>
        <row r="1303">
          <cell r="D1303" t="str">
            <v>ΚΗΠΕΥΤΙΚΑ10260</v>
          </cell>
          <cell r="E1303" t="str">
            <v>ΤΟΜΑΤΑ - ΚΡΑΣΟΥΛΙΑ</v>
          </cell>
          <cell r="F1303" t="str">
            <v>B_1_7_1_1</v>
          </cell>
          <cell r="G1303" t="str">
            <v>Κηπευτικές καλλιέργειες μεγάλης έκτασης σε αγρό</v>
          </cell>
          <cell r="H1303">
            <v>7525</v>
          </cell>
          <cell r="J1303" t="str">
            <v>Ναι</v>
          </cell>
          <cell r="K1303" t="str">
            <v>Όχι</v>
          </cell>
          <cell r="L1303" t="str">
            <v>ΌΧΙ</v>
          </cell>
          <cell r="O1303" t="str">
            <v/>
          </cell>
        </row>
        <row r="1304">
          <cell r="D1304" t="str">
            <v>ΚΗΠΕΥΤΙΚΑ10261</v>
          </cell>
          <cell r="E1304" t="str">
            <v>ΤΟΜΑΤΑ - ΤΟΜΑΤΑΚΙ ΞΗΡΙΚΟ</v>
          </cell>
          <cell r="F1304" t="str">
            <v>B_1_7_1_1</v>
          </cell>
          <cell r="G1304" t="str">
            <v>Κηπευτικές καλλιέργειες μεγάλης έκτασης σε αγρό</v>
          </cell>
          <cell r="H1304">
            <v>7525</v>
          </cell>
          <cell r="J1304" t="str">
            <v>Ναι</v>
          </cell>
          <cell r="K1304" t="str">
            <v>Όχι</v>
          </cell>
          <cell r="L1304" t="str">
            <v>ΌΧΙ</v>
          </cell>
          <cell r="O1304" t="str">
            <v/>
          </cell>
        </row>
        <row r="1305">
          <cell r="D1305" t="str">
            <v>ΚΗΠΕΥΤΙΚΑ10262</v>
          </cell>
          <cell r="E1305" t="str">
            <v>ΤΟΜΑΤΑ - ΑΝΔΡΟΥ</v>
          </cell>
          <cell r="F1305" t="str">
            <v>B_1_7_1_1</v>
          </cell>
          <cell r="G1305" t="str">
            <v>Κηπευτικές καλλιέργειες μεγάλης έκτασης σε αγρό</v>
          </cell>
          <cell r="H1305">
            <v>7525</v>
          </cell>
          <cell r="J1305" t="str">
            <v>Ναι</v>
          </cell>
          <cell r="K1305" t="str">
            <v>Όχι</v>
          </cell>
          <cell r="L1305" t="str">
            <v>ΌΧΙ</v>
          </cell>
          <cell r="O1305" t="str">
            <v/>
          </cell>
        </row>
        <row r="1306">
          <cell r="D1306" t="str">
            <v>ΚΗΠΕΥΤΙΚΑ10263</v>
          </cell>
          <cell r="E1306" t="str">
            <v>ΤΟΜΑΤΑ - ΧΙΟΥ</v>
          </cell>
          <cell r="F1306" t="str">
            <v>B_1_7_1_1</v>
          </cell>
          <cell r="G1306" t="str">
            <v>Κηπευτικές καλλιέργειες μεγάλης έκτασης σε αγρό</v>
          </cell>
          <cell r="H1306">
            <v>7525</v>
          </cell>
          <cell r="J1306" t="str">
            <v>Ναι</v>
          </cell>
          <cell r="K1306" t="str">
            <v>Όχι</v>
          </cell>
          <cell r="L1306" t="str">
            <v>ΌΧΙ</v>
          </cell>
          <cell r="O1306" t="str">
            <v/>
          </cell>
        </row>
        <row r="1307">
          <cell r="D1307" t="str">
            <v>ΚΗΠΕΥΤΙΚΑ10264</v>
          </cell>
          <cell r="E1307" t="str">
            <v>ΤΟΜΑΤΑ - ΖΑΚΥΝΘΟΥ</v>
          </cell>
          <cell r="F1307" t="str">
            <v>B_1_7_1_1</v>
          </cell>
          <cell r="G1307" t="str">
            <v>Κηπευτικές καλλιέργειες μεγάλης έκτασης σε αγρό</v>
          </cell>
          <cell r="H1307">
            <v>7525</v>
          </cell>
          <cell r="J1307" t="str">
            <v>Ναι</v>
          </cell>
          <cell r="K1307" t="str">
            <v>Όχι</v>
          </cell>
          <cell r="L1307" t="str">
            <v>ΌΧΙ</v>
          </cell>
          <cell r="O1307" t="str">
            <v/>
          </cell>
        </row>
        <row r="1308">
          <cell r="D1308" t="str">
            <v>ΚΗΠΕΥΤΙΚΑ10265</v>
          </cell>
          <cell r="E1308" t="str">
            <v>ΤΟΜΑΤΑ - ΠΑΞΩΝ</v>
          </cell>
          <cell r="F1308" t="str">
            <v>B_1_7_1_1</v>
          </cell>
          <cell r="G1308" t="str">
            <v>Κηπευτικές καλλιέργειες μεγάλης έκτασης σε αγρό</v>
          </cell>
          <cell r="H1308">
            <v>7525</v>
          </cell>
          <cell r="J1308" t="str">
            <v>Ναι</v>
          </cell>
          <cell r="K1308" t="str">
            <v>Όχι</v>
          </cell>
          <cell r="L1308" t="str">
            <v>ΌΧΙ</v>
          </cell>
          <cell r="O1308" t="str">
            <v/>
          </cell>
        </row>
        <row r="1309">
          <cell r="D1309" t="str">
            <v>ΚΗΠΕΥΤΙΚΑ10266</v>
          </cell>
          <cell r="E1309" t="str">
            <v>ΦΑΣΟΛΙΑ - ΑΡΙΔΑΙΑ</v>
          </cell>
          <cell r="F1309" t="str">
            <v>B_1_7_1_1</v>
          </cell>
          <cell r="G1309" t="str">
            <v>Κηπευτικές καλλιέργειες μεγάλης έκτασης σε αγρό</v>
          </cell>
          <cell r="H1309">
            <v>7525</v>
          </cell>
          <cell r="J1309" t="str">
            <v>Ναι</v>
          </cell>
          <cell r="K1309" t="str">
            <v>Όχι</v>
          </cell>
          <cell r="L1309" t="str">
            <v>ΌΧΙ</v>
          </cell>
          <cell r="O1309" t="str">
            <v/>
          </cell>
        </row>
        <row r="1310">
          <cell r="D1310" t="str">
            <v>ΚΗΠΕΥΤΙΚΑ10267</v>
          </cell>
          <cell r="E1310" t="str">
            <v>ΦΑΣΟΛΙΑ - ΚΑΡΙΟΠΟΥΛΑ ΙΣΤΙΑΙΑΣ</v>
          </cell>
          <cell r="F1310" t="str">
            <v>B_1_7_1_1</v>
          </cell>
          <cell r="G1310" t="str">
            <v>Κηπευτικές καλλιέργειες μεγάλης έκτασης σε αγρό</v>
          </cell>
          <cell r="H1310">
            <v>7525</v>
          </cell>
          <cell r="J1310" t="str">
            <v>Ναι</v>
          </cell>
          <cell r="K1310" t="str">
            <v>Όχι</v>
          </cell>
          <cell r="L1310" t="str">
            <v>ΌΧΙ</v>
          </cell>
          <cell r="O1310" t="str">
            <v/>
          </cell>
        </row>
        <row r="1311">
          <cell r="D1311" t="str">
            <v>ΚΗΠΕΥΤΙΚΑ10268</v>
          </cell>
          <cell r="E1311" t="str">
            <v>ΦΑΣΟΛΙΑ - ΨΑΧΝΩΝ</v>
          </cell>
          <cell r="F1311" t="str">
            <v>B_1_7_1_1</v>
          </cell>
          <cell r="G1311" t="str">
            <v>Κηπευτικές καλλιέργειες μεγάλης έκτασης σε αγρό</v>
          </cell>
          <cell r="H1311">
            <v>7525</v>
          </cell>
          <cell r="J1311" t="str">
            <v>Ναι</v>
          </cell>
          <cell r="K1311" t="str">
            <v>Όχι</v>
          </cell>
          <cell r="L1311" t="str">
            <v>ΌΧΙ</v>
          </cell>
          <cell r="O1311" t="str">
            <v/>
          </cell>
        </row>
        <row r="1312">
          <cell r="D1312" t="str">
            <v>ΚΗΠΕΥΤΙΚΑ10269</v>
          </cell>
          <cell r="E1312" t="str">
            <v>ΦΑΣΟΛΙΑ - ΜΠΑΜΠΑΚΙΑΣ</v>
          </cell>
          <cell r="F1312" t="str">
            <v>B_1_7_1_1</v>
          </cell>
          <cell r="G1312" t="str">
            <v>Κηπευτικές καλλιέργειες μεγάλης έκτασης σε αγρό</v>
          </cell>
          <cell r="H1312">
            <v>7525</v>
          </cell>
          <cell r="J1312" t="str">
            <v>Ναι</v>
          </cell>
          <cell r="K1312" t="str">
            <v>Όχι</v>
          </cell>
          <cell r="L1312" t="str">
            <v>ΌΧΙ</v>
          </cell>
          <cell r="O1312" t="str">
            <v/>
          </cell>
        </row>
        <row r="1313">
          <cell r="D1313" t="str">
            <v>ΚΗΠΕΥΤΙΚΑ10270</v>
          </cell>
          <cell r="E1313" t="str">
            <v>ΦΑΣΟΛΙΑ - ΤΗΝΟΥ</v>
          </cell>
          <cell r="F1313" t="str">
            <v>B_1_7_1_1</v>
          </cell>
          <cell r="G1313" t="str">
            <v>Κηπευτικές καλλιέργειες μεγάλης έκτασης σε αγρό</v>
          </cell>
          <cell r="H1313">
            <v>7525</v>
          </cell>
          <cell r="J1313" t="str">
            <v>Ναι</v>
          </cell>
          <cell r="K1313" t="str">
            <v>Όχι</v>
          </cell>
          <cell r="L1313" t="str">
            <v>ΌΧΙ</v>
          </cell>
          <cell r="O1313" t="str">
            <v/>
          </cell>
        </row>
        <row r="1314">
          <cell r="D1314" t="str">
            <v>ΚΗΠΕΥΤΙΚΑ10271</v>
          </cell>
          <cell r="E1314" t="str">
            <v>ΦΑΣΟΛΙΑ - ΜΕΛΙΤΖΑΝΙ</v>
          </cell>
          <cell r="F1314" t="str">
            <v>B_1_7_1_1</v>
          </cell>
          <cell r="G1314" t="str">
            <v>Κηπευτικές καλλιέργειες μεγάλης έκτασης σε αγρό</v>
          </cell>
          <cell r="H1314">
            <v>7525</v>
          </cell>
          <cell r="J1314" t="str">
            <v>Ναι</v>
          </cell>
          <cell r="K1314" t="str">
            <v>Όχι</v>
          </cell>
          <cell r="L1314" t="str">
            <v>ΌΧΙ</v>
          </cell>
          <cell r="O1314" t="str">
            <v/>
          </cell>
        </row>
        <row r="1315">
          <cell r="D1315" t="str">
            <v>ΚΗΠΕΥΤΙΚΑ10272</v>
          </cell>
          <cell r="E1315" t="str">
            <v>ΦΑΣΟΛΙΑ - ΠΙΤΣΙΛΩΤΟ</v>
          </cell>
          <cell r="F1315" t="str">
            <v>B_1_7_1_1</v>
          </cell>
          <cell r="G1315" t="str">
            <v>Κηπευτικές καλλιέργειες μεγάλης έκτασης σε αγρό</v>
          </cell>
          <cell r="H1315">
            <v>7525</v>
          </cell>
          <cell r="J1315" t="str">
            <v>Ναι</v>
          </cell>
          <cell r="K1315" t="str">
            <v>Όχι</v>
          </cell>
          <cell r="L1315" t="str">
            <v>ΌΧΙ</v>
          </cell>
          <cell r="O1315" t="str">
            <v/>
          </cell>
        </row>
        <row r="1316">
          <cell r="D1316" t="str">
            <v>ΚΗΠΕΥΤΙΚΑ10273</v>
          </cell>
          <cell r="E1316" t="str">
            <v>ΦΑΣΟΛΙΑ - ΚΟΥΦΕΤΟ</v>
          </cell>
          <cell r="F1316" t="str">
            <v>B_1_7_1_1</v>
          </cell>
          <cell r="G1316" t="str">
            <v>Κηπευτικές καλλιέργειες μεγάλης έκτασης σε αγρό</v>
          </cell>
          <cell r="H1316">
            <v>7525</v>
          </cell>
          <cell r="J1316" t="str">
            <v>Ναι</v>
          </cell>
          <cell r="K1316" t="str">
            <v>Όχι</v>
          </cell>
          <cell r="L1316" t="str">
            <v>ΌΧΙ</v>
          </cell>
          <cell r="O1316" t="str">
            <v/>
          </cell>
        </row>
        <row r="1317">
          <cell r="D1317" t="str">
            <v>ΚΗΠΕΥΤΙΚΑ10274</v>
          </cell>
          <cell r="E1317" t="str">
            <v>ΦΑΣΟΛΙΑ - ΠΑΣΤΑΛΙΑ</v>
          </cell>
          <cell r="F1317" t="str">
            <v>B_1_7_1_1</v>
          </cell>
          <cell r="G1317" t="str">
            <v>Κηπευτικές καλλιέργειες μεγάλης έκτασης σε αγρό</v>
          </cell>
          <cell r="H1317">
            <v>7525</v>
          </cell>
          <cell r="J1317" t="str">
            <v>Ναι</v>
          </cell>
          <cell r="K1317" t="str">
            <v>Όχι</v>
          </cell>
          <cell r="L1317" t="str">
            <v>ΌΧΙ</v>
          </cell>
          <cell r="O1317" t="str">
            <v/>
          </cell>
        </row>
        <row r="1318">
          <cell r="D1318" t="str">
            <v>ΚΗΠΕΥΤΙΚΑ10275</v>
          </cell>
          <cell r="E1318" t="str">
            <v>ΦΑΣΟΛΙΑ - ΤΣΑΟΥΛΙ ΣΤΡΟΠΩΝΩΝ</v>
          </cell>
          <cell r="F1318" t="str">
            <v>B_1_7_1_1</v>
          </cell>
          <cell r="G1318" t="str">
            <v>Κηπευτικές καλλιέργειες μεγάλης έκτασης σε αγρό</v>
          </cell>
          <cell r="H1318">
            <v>7525</v>
          </cell>
          <cell r="J1318" t="str">
            <v>Ναι</v>
          </cell>
          <cell r="K1318" t="str">
            <v>Όχι</v>
          </cell>
          <cell r="L1318" t="str">
            <v>ΌΧΙ</v>
          </cell>
          <cell r="O1318" t="str">
            <v/>
          </cell>
        </row>
        <row r="1319">
          <cell r="D1319" t="str">
            <v>ΚΗΠΕΥΤΙΚΑ10276</v>
          </cell>
          <cell r="E1319" t="str">
            <v>ΜΠΑΜΙΑ ΠΥΛΑΙΑΣ</v>
          </cell>
          <cell r="F1319" t="str">
            <v>B_1_7_1_1</v>
          </cell>
          <cell r="G1319" t="str">
            <v>Κηπευτικές καλλιέργειες μεγάλης έκτασης σε αγρό</v>
          </cell>
          <cell r="H1319">
            <v>7525</v>
          </cell>
          <cell r="J1319" t="str">
            <v>Ναι</v>
          </cell>
          <cell r="K1319" t="str">
            <v>Όχι</v>
          </cell>
          <cell r="L1319" t="str">
            <v>ΌΧΙ</v>
          </cell>
          <cell r="O1319" t="str">
            <v/>
          </cell>
        </row>
        <row r="1320">
          <cell r="D1320" t="str">
            <v>ΚΗΠΕΥΤΙΚΑ10277</v>
          </cell>
          <cell r="E1320" t="str">
            <v>ΠΙΠΕΡΙΑ - ΚΑΡΑΤΖΟΒΑΣ</v>
          </cell>
          <cell r="F1320" t="str">
            <v>B_1_7_1_1</v>
          </cell>
          <cell r="G1320" t="str">
            <v>Κηπευτικές καλλιέργειες μεγάλης έκτασης σε αγρό</v>
          </cell>
          <cell r="H1320">
            <v>7525</v>
          </cell>
          <cell r="J1320" t="str">
            <v>Ναι</v>
          </cell>
          <cell r="K1320" t="str">
            <v>Όχι</v>
          </cell>
          <cell r="L1320" t="str">
            <v>ΌΧΙ</v>
          </cell>
          <cell r="O1320" t="str">
            <v/>
          </cell>
        </row>
        <row r="1321">
          <cell r="D1321" t="str">
            <v>ΚΗΠΕΥΤΙΚΑ10278</v>
          </cell>
          <cell r="E1321" t="str">
            <v>ΠΙΠΕΡΙΑ - ΚΑΥΤΕΡΗ ΙΕΡΑΠΕΤΡΑΣ</v>
          </cell>
          <cell r="F1321" t="str">
            <v>B_1_7_1_1</v>
          </cell>
          <cell r="G1321" t="str">
            <v>Κηπευτικές καλλιέργειες μεγάλης έκτασης σε αγρό</v>
          </cell>
          <cell r="H1321">
            <v>7525</v>
          </cell>
          <cell r="J1321" t="str">
            <v>Ναι</v>
          </cell>
          <cell r="K1321" t="str">
            <v>Όχι</v>
          </cell>
          <cell r="L1321" t="str">
            <v>ΌΧΙ</v>
          </cell>
          <cell r="O1321" t="str">
            <v/>
          </cell>
        </row>
        <row r="1322">
          <cell r="D1322" t="str">
            <v>ΚΗΠΕΥΤΙΚΑ10279</v>
          </cell>
          <cell r="E1322" t="str">
            <v>ΠΙΠΕΡΙΑ - ΜΥΤΕΡΟ</v>
          </cell>
          <cell r="F1322" t="str">
            <v>B_1_7_1_1</v>
          </cell>
          <cell r="G1322" t="str">
            <v>Κηπευτικές καλλιέργειες μεγάλης έκτασης σε αγρό</v>
          </cell>
          <cell r="H1322">
            <v>7525</v>
          </cell>
          <cell r="J1322" t="str">
            <v>Ναι</v>
          </cell>
          <cell r="K1322" t="str">
            <v>Όχι</v>
          </cell>
          <cell r="L1322" t="str">
            <v>ΌΧΙ</v>
          </cell>
          <cell r="O1322" t="str">
            <v/>
          </cell>
        </row>
        <row r="1323">
          <cell r="D1323" t="str">
            <v>ΚΗΠΕΥΤΙΚΑ10280</v>
          </cell>
          <cell r="E1323" t="str">
            <v>ΠΙΠΕΡΙΑ - ΣΤΑΥΡΟΣ</v>
          </cell>
          <cell r="F1323" t="str">
            <v>B_1_7_1_1</v>
          </cell>
          <cell r="G1323" t="str">
            <v>Κηπευτικές καλλιέργειες μεγάλης έκτασης σε αγρό</v>
          </cell>
          <cell r="H1323">
            <v>7525</v>
          </cell>
          <cell r="J1323" t="str">
            <v>Ναι</v>
          </cell>
          <cell r="K1323" t="str">
            <v>Όχι</v>
          </cell>
          <cell r="L1323" t="str">
            <v>ΌΧΙ</v>
          </cell>
          <cell r="O1323" t="str">
            <v/>
          </cell>
        </row>
        <row r="1324">
          <cell r="D1324" t="str">
            <v>ΚΗΠΕΥΤΙΚΑ10281</v>
          </cell>
          <cell r="E1324" t="str">
            <v>ΑΓΚΙΝΑΡΑ - ΑΤΤΙΚΗΣ</v>
          </cell>
          <cell r="F1324" t="str">
            <v>B_1_7_1_1</v>
          </cell>
          <cell r="G1324" t="str">
            <v>Κηπευτικές καλλιέργειες μεγάλης έκτασης σε αγρό</v>
          </cell>
          <cell r="H1324">
            <v>7525</v>
          </cell>
          <cell r="J1324" t="str">
            <v>Ναι</v>
          </cell>
          <cell r="K1324" t="str">
            <v>Ναι</v>
          </cell>
          <cell r="L1324" t="str">
            <v>ΝΑΙ</v>
          </cell>
          <cell r="O1324" t="str">
            <v/>
          </cell>
        </row>
        <row r="1325">
          <cell r="D1325" t="str">
            <v>ΚΗΠΕΥΤΙΚΑ10282</v>
          </cell>
          <cell r="E1325" t="str">
            <v>ΑΓΚΙΝΑΡΑ - ΚΡΗΤΗΣ</v>
          </cell>
          <cell r="F1325" t="str">
            <v>B_1_7_1_1</v>
          </cell>
          <cell r="G1325" t="str">
            <v>Κηπευτικές καλλιέργειες μεγάλης έκτασης σε αγρό</v>
          </cell>
          <cell r="H1325">
            <v>7525</v>
          </cell>
          <cell r="J1325" t="str">
            <v>Ναι</v>
          </cell>
          <cell r="K1325" t="str">
            <v>Ναι</v>
          </cell>
          <cell r="L1325" t="str">
            <v>ΝΑΙ</v>
          </cell>
          <cell r="O1325" t="str">
            <v/>
          </cell>
        </row>
        <row r="1326">
          <cell r="D1326" t="str">
            <v>ΚΗΠΕΥΤΙΚΑ10283</v>
          </cell>
          <cell r="E1326" t="str">
            <v>ΑΓΚΙΝΑΡΑ - ΑΓΚΙΝΑΡΑΚΙ</v>
          </cell>
          <cell r="F1326" t="str">
            <v>B_1_7_1_1</v>
          </cell>
          <cell r="G1326" t="str">
            <v>Κηπευτικές καλλιέργειες μεγάλης έκτασης σε αγρό</v>
          </cell>
          <cell r="H1326">
            <v>7525</v>
          </cell>
          <cell r="J1326" t="str">
            <v>Ναι</v>
          </cell>
          <cell r="K1326" t="str">
            <v>Ναι</v>
          </cell>
          <cell r="L1326" t="str">
            <v>ΝΑΙ</v>
          </cell>
          <cell r="O1326" t="str">
            <v/>
          </cell>
        </row>
        <row r="1327">
          <cell r="D1327" t="str">
            <v>ΚΗΠΕΥΤΙΚΑ10284</v>
          </cell>
          <cell r="E1327" t="str">
            <v>ΑΓΓΟΥΡΙ ΑΝΔΡΟΥ</v>
          </cell>
          <cell r="F1327" t="str">
            <v>B_1_7_1_1</v>
          </cell>
          <cell r="G1327" t="str">
            <v>Κηπευτικές καλλιέργειες μεγάλης έκτασης σε αγρό</v>
          </cell>
          <cell r="H1327">
            <v>7525</v>
          </cell>
          <cell r="J1327" t="str">
            <v>Ναι</v>
          </cell>
          <cell r="K1327" t="str">
            <v>Όχι</v>
          </cell>
          <cell r="L1327" t="str">
            <v>ΌΧΙ</v>
          </cell>
          <cell r="O1327" t="str">
            <v/>
          </cell>
        </row>
        <row r="1328">
          <cell r="D1328" t="str">
            <v>ΚΗΠΕΥΤΙΚΑ10285</v>
          </cell>
          <cell r="E1328" t="str">
            <v>ΑΓΓΟΥΡΙ - ΠΑΛΙΟΥΡΙΑΣ</v>
          </cell>
          <cell r="F1328" t="str">
            <v>B_1_7_1_1</v>
          </cell>
          <cell r="G1328" t="str">
            <v>Κηπευτικές καλλιέργειες μεγάλης έκτασης σε αγρό</v>
          </cell>
          <cell r="H1328">
            <v>7525</v>
          </cell>
          <cell r="J1328" t="str">
            <v>Ναι</v>
          </cell>
          <cell r="K1328" t="str">
            <v>Όχι</v>
          </cell>
          <cell r="L1328" t="str">
            <v>ΌΧΙ</v>
          </cell>
          <cell r="O1328" t="str">
            <v/>
          </cell>
        </row>
        <row r="1329">
          <cell r="D1329" t="str">
            <v>ΚΗΠΕΥΤΙΚΑ10286</v>
          </cell>
          <cell r="E1329" t="str">
            <v>ΑΓΓΟΥΡΙ  ΚΝΩΣΣΟΥ</v>
          </cell>
          <cell r="F1329" t="str">
            <v>B_1_7_1_1</v>
          </cell>
          <cell r="G1329" t="str">
            <v>Κηπευτικές καλλιέργειες μεγάλης έκτασης σε αγρό</v>
          </cell>
          <cell r="H1329">
            <v>7525</v>
          </cell>
          <cell r="J1329" t="str">
            <v>Ναι</v>
          </cell>
          <cell r="K1329" t="str">
            <v>Όχι</v>
          </cell>
          <cell r="L1329" t="str">
            <v>ΌΧΙ</v>
          </cell>
          <cell r="O1329" t="str">
            <v/>
          </cell>
        </row>
        <row r="1330">
          <cell r="D1330" t="str">
            <v>ΚΗΠΕΥΤΙΚΑ10287</v>
          </cell>
          <cell r="E1330" t="str">
            <v>ΦΡΑΟΥΛΑ - ΚΕΡΚΥΡΑΙΚΗ ΜΙΚΡΟΚΑΡΠΗ</v>
          </cell>
          <cell r="F1330" t="str">
            <v>B_1_7_1_1</v>
          </cell>
          <cell r="G1330" t="str">
            <v>Κηπευτικές καλλιέργειες μεγάλης έκτασης σε αγρό</v>
          </cell>
          <cell r="H1330">
            <v>7525</v>
          </cell>
          <cell r="J1330" t="str">
            <v>Ναι</v>
          </cell>
          <cell r="K1330" t="str">
            <v>Όχι</v>
          </cell>
          <cell r="L1330" t="str">
            <v>ΌΧΙ</v>
          </cell>
          <cell r="O1330" t="str">
            <v/>
          </cell>
        </row>
        <row r="1331">
          <cell r="D1331" t="str">
            <v>ΚΗΠΕΥΤΙΚΑ10288</v>
          </cell>
          <cell r="E1331" t="str">
            <v>ΦΡΑΟΥΛΑ - ΖΑΚΥΝΘΙΝΗ</v>
          </cell>
          <cell r="F1331" t="str">
            <v>B_1_7_1_1</v>
          </cell>
          <cell r="G1331" t="str">
            <v>Κηπευτικές καλλιέργειες μεγάλης έκτασης σε αγρό</v>
          </cell>
          <cell r="H1331">
            <v>7525</v>
          </cell>
          <cell r="J1331" t="str">
            <v>Ναι</v>
          </cell>
          <cell r="K1331" t="str">
            <v>Όχι</v>
          </cell>
          <cell r="L1331" t="str">
            <v>ΌΧΙ</v>
          </cell>
          <cell r="O1331" t="str">
            <v/>
          </cell>
        </row>
        <row r="1332">
          <cell r="D1332" t="str">
            <v>ΚΗΠΕΥΤΙΚΑ10289</v>
          </cell>
          <cell r="E1332" t="str">
            <v>ΚΟΛΟΚΥΘΙ - ΡΕΤΖΕΛΙΑ</v>
          </cell>
          <cell r="F1332" t="str">
            <v>B_1_7_1_1</v>
          </cell>
          <cell r="G1332" t="str">
            <v>Κηπευτικές καλλιέργειες μεγάλης έκτασης σε αγρό</v>
          </cell>
          <cell r="H1332">
            <v>7525</v>
          </cell>
          <cell r="J1332" t="str">
            <v>Ναι</v>
          </cell>
          <cell r="K1332" t="str">
            <v>Όχι</v>
          </cell>
          <cell r="L1332" t="str">
            <v>ΌΧΙ</v>
          </cell>
          <cell r="O1332" t="str">
            <v/>
          </cell>
        </row>
        <row r="1333">
          <cell r="D1333" t="str">
            <v>ΚΗΠΕΥΤΙΚΑ10290</v>
          </cell>
          <cell r="E1333" t="str">
            <v>ΚΟΛΟΚΥΘΙ - ΠΑΣΑΤΕΜΠΟ</v>
          </cell>
          <cell r="F1333" t="str">
            <v>B_1_7_1_1</v>
          </cell>
          <cell r="G1333" t="str">
            <v>Κηπευτικές καλλιέργειες μεγάλης έκτασης σε αγρό</v>
          </cell>
          <cell r="H1333">
            <v>7525</v>
          </cell>
          <cell r="J1333" t="str">
            <v>Ναι</v>
          </cell>
          <cell r="K1333" t="str">
            <v>Όχι</v>
          </cell>
          <cell r="L1333" t="str">
            <v>ΌΧΙ</v>
          </cell>
          <cell r="O1333" t="str">
            <v/>
          </cell>
        </row>
        <row r="1334">
          <cell r="D1334" t="str">
            <v>ΚΗΠΕΥΤΙΚΑ10291</v>
          </cell>
          <cell r="E1334" t="str">
            <v>ΚΟΛΟΚΥΘΙ - ΓΥΜΝΟΣΠΕΡΜΟ ΘΡΑΚΗΣ</v>
          </cell>
          <cell r="F1334" t="str">
            <v>B_1_7_1_1</v>
          </cell>
          <cell r="G1334" t="str">
            <v>Κηπευτικές καλλιέργειες μεγάλης έκτασης σε αγρό</v>
          </cell>
          <cell r="H1334">
            <v>7525</v>
          </cell>
          <cell r="J1334" t="str">
            <v>Ναι</v>
          </cell>
          <cell r="K1334" t="str">
            <v>Όχι</v>
          </cell>
          <cell r="L1334" t="str">
            <v>ΌΧΙ</v>
          </cell>
          <cell r="O1334" t="str">
            <v/>
          </cell>
        </row>
        <row r="1335">
          <cell r="D1335" t="str">
            <v>ΚΗΠΕΥΤΙΚΑ10292</v>
          </cell>
          <cell r="E1335" t="str">
            <v>ΚΟΛΟΚΥΘΙ - ΚΑΛΑΜΠΑΚΙ</v>
          </cell>
          <cell r="F1335" t="str">
            <v>B_1_7_1_1</v>
          </cell>
          <cell r="G1335" t="str">
            <v>Κηπευτικές καλλιέργειες μεγάλης έκτασης σε αγρό</v>
          </cell>
          <cell r="H1335">
            <v>7525</v>
          </cell>
          <cell r="J1335" t="str">
            <v>Ναι</v>
          </cell>
          <cell r="K1335" t="str">
            <v>Όχι</v>
          </cell>
          <cell r="L1335" t="str">
            <v>ΌΧΙ</v>
          </cell>
          <cell r="O1335" t="str">
            <v/>
          </cell>
        </row>
        <row r="1336">
          <cell r="D1336" t="str">
            <v>ΚΗΠΕΥΤΙΚΑ10293</v>
          </cell>
          <cell r="E1336" t="str">
            <v>ΚΟΛΟΚΥΘΙ - ΑΓ. ΠΑΡΑΣΚΕΥΗ</v>
          </cell>
          <cell r="F1336" t="str">
            <v>B_1_7_1_1</v>
          </cell>
          <cell r="G1336" t="str">
            <v>Κηπευτικές καλλιέργειες μεγάλης έκτασης σε αγρό</v>
          </cell>
          <cell r="H1336">
            <v>7525</v>
          </cell>
          <cell r="J1336" t="str">
            <v>Ναι</v>
          </cell>
          <cell r="K1336" t="str">
            <v>Όχι</v>
          </cell>
          <cell r="L1336" t="str">
            <v>ΌΧΙ</v>
          </cell>
          <cell r="O1336" t="str">
            <v/>
          </cell>
        </row>
        <row r="1337">
          <cell r="D1337" t="str">
            <v>ΚΗΠΕΥΤΙΚΑ10294</v>
          </cell>
          <cell r="E1337" t="str">
            <v>ΚΡΕΜΜΥΔΙ - ΖΑΚΥΝΘΙΝΟ ΝΕΡΟΚΡΟΜΜΥΔΟ</v>
          </cell>
          <cell r="F1337" t="str">
            <v>B_1_7_1_1</v>
          </cell>
          <cell r="G1337" t="str">
            <v>Κηπευτικές καλλιέργειες μεγάλης έκτασης σε αγρό</v>
          </cell>
          <cell r="H1337">
            <v>7525</v>
          </cell>
          <cell r="J1337" t="str">
            <v>Ναι</v>
          </cell>
          <cell r="K1337" t="str">
            <v>Όχι</v>
          </cell>
          <cell r="L1337" t="str">
            <v>ΌΧΙ</v>
          </cell>
          <cell r="O1337" t="str">
            <v/>
          </cell>
        </row>
        <row r="1338">
          <cell r="D1338" t="str">
            <v>ΚΗΠΕΥΤΙΚΑ10295</v>
          </cell>
          <cell r="E1338" t="str">
            <v>ΚΡΕΜΜΥΔΙ - ΑΝΔΡΟΥ</v>
          </cell>
          <cell r="F1338" t="str">
            <v>B_1_7_1_1</v>
          </cell>
          <cell r="G1338" t="str">
            <v>Κηπευτικές καλλιέργειες μεγάλης έκτασης σε αγρό</v>
          </cell>
          <cell r="H1338">
            <v>7525</v>
          </cell>
          <cell r="J1338" t="str">
            <v>Ναι</v>
          </cell>
          <cell r="K1338" t="str">
            <v>Όχι</v>
          </cell>
          <cell r="L1338" t="str">
            <v>ΌΧΙ</v>
          </cell>
          <cell r="O1338" t="str">
            <v/>
          </cell>
        </row>
        <row r="1339">
          <cell r="D1339" t="str">
            <v>ΚΗΠΕΥΤΙΚΑ10296</v>
          </cell>
          <cell r="E1339" t="str">
            <v>ΣΚΟΡΔΟ - ΕΡΥΣΣΟΥ</v>
          </cell>
          <cell r="F1339" t="str">
            <v>B_1_7_1_1</v>
          </cell>
          <cell r="G1339" t="str">
            <v>Κηπευτικές καλλιέργειες μεγάλης έκτασης σε αγρό</v>
          </cell>
          <cell r="H1339">
            <v>7525</v>
          </cell>
          <cell r="J1339" t="str">
            <v>Ναι</v>
          </cell>
          <cell r="K1339" t="str">
            <v>Ναι</v>
          </cell>
          <cell r="L1339" t="str">
            <v>ΝΑΙ</v>
          </cell>
          <cell r="O1339" t="str">
            <v/>
          </cell>
        </row>
        <row r="1340">
          <cell r="D1340" t="str">
            <v>ΚΗΠΕΥΤΙΚΑ10297</v>
          </cell>
          <cell r="E1340" t="str">
            <v>ΣΚΟΡΔΟ - ΒΥΣΣΑΣ</v>
          </cell>
          <cell r="F1340" t="str">
            <v>B_1_7_1_1</v>
          </cell>
          <cell r="G1340" t="str">
            <v>Κηπευτικές καλλιέργειες μεγάλης έκτασης σε αγρό</v>
          </cell>
          <cell r="H1340">
            <v>7525</v>
          </cell>
          <cell r="J1340" t="str">
            <v>Ναι</v>
          </cell>
          <cell r="K1340" t="str">
            <v>Ναι</v>
          </cell>
          <cell r="L1340" t="str">
            <v>ΝΑΙ</v>
          </cell>
          <cell r="O1340" t="str">
            <v/>
          </cell>
        </row>
        <row r="1341">
          <cell r="D1341" t="str">
            <v>ΚΗΠΕΥΤΙΚΑ10298</v>
          </cell>
          <cell r="E1341" t="str">
            <v>ΣΚΟΡΔΟ - ΞΥΛΑΓΑΝΗΣ</v>
          </cell>
          <cell r="F1341" t="str">
            <v>B_1_7_1_1</v>
          </cell>
          <cell r="G1341" t="str">
            <v>Κηπευτικές καλλιέργειες μεγάλης έκτασης σε αγρό</v>
          </cell>
          <cell r="H1341">
            <v>7525</v>
          </cell>
          <cell r="J1341" t="str">
            <v>Ναι</v>
          </cell>
          <cell r="K1341" t="str">
            <v>Ναι</v>
          </cell>
          <cell r="L1341" t="str">
            <v>ΝΑΙ</v>
          </cell>
          <cell r="O1341" t="str">
            <v/>
          </cell>
        </row>
        <row r="1342">
          <cell r="D1342" t="str">
            <v>ΚΗΠΕΥΤΙΚΑ10299</v>
          </cell>
          <cell r="E1342" t="str">
            <v>ΣΚΟΡΔΟ - ΤΡΙΠΟΛΕΩΣ</v>
          </cell>
          <cell r="F1342" t="str">
            <v>B_1_7_1_1</v>
          </cell>
          <cell r="G1342" t="str">
            <v>Κηπευτικές καλλιέργειες μεγάλης έκτασης σε αγρό</v>
          </cell>
          <cell r="H1342">
            <v>7525</v>
          </cell>
          <cell r="J1342" t="str">
            <v>Ναι</v>
          </cell>
          <cell r="K1342" t="str">
            <v>Ναι</v>
          </cell>
          <cell r="L1342" t="str">
            <v>ΝΑΙ</v>
          </cell>
          <cell r="O1342" t="str">
            <v/>
          </cell>
        </row>
        <row r="1343">
          <cell r="D1343" t="str">
            <v>ΚΗΠΕΥΤΙΚΑ10813</v>
          </cell>
          <cell r="E1343" t="str">
            <v>ΜΕΛΙΤΖΑΝΕΣ ΜΕΤΑΠΟΙΗΣΗΣ</v>
          </cell>
          <cell r="F1343" t="str">
            <v>B_1_7_1_1</v>
          </cell>
          <cell r="G1343" t="str">
            <v>Κηπευτικές καλλιέργειες μεγάλης έκτασης σε αγρό</v>
          </cell>
          <cell r="H1343">
            <v>7525</v>
          </cell>
          <cell r="J1343" t="str">
            <v>Ναι</v>
          </cell>
          <cell r="K1343" t="str">
            <v>Όχι</v>
          </cell>
          <cell r="L1343" t="str">
            <v>ΌΧΙ</v>
          </cell>
          <cell r="O1343" t="str">
            <v/>
          </cell>
        </row>
        <row r="1344">
          <cell r="D1344" t="str">
            <v>ΚΗΠΕΥΤΙΚΑ10814</v>
          </cell>
          <cell r="E1344" t="str">
            <v>ΑΡΑΚΑΣ ΥΠΑΙΘΡΙΟΣ</v>
          </cell>
          <cell r="F1344" t="str">
            <v>B_1_2</v>
          </cell>
          <cell r="G1344" t="str">
            <v>Φακές - Ρεβίθια - Αρακάς - Λαθούρια και άλλα πρωτεϊνούχα φυτά</v>
          </cell>
          <cell r="H1344">
            <v>1886</v>
          </cell>
          <cell r="J1344" t="str">
            <v>Ναι</v>
          </cell>
          <cell r="K1344" t="str">
            <v>Όχι</v>
          </cell>
          <cell r="L1344" t="str">
            <v>ΌΧΙ</v>
          </cell>
          <cell r="O1344" t="str">
            <v/>
          </cell>
        </row>
        <row r="1345">
          <cell r="D1345" t="str">
            <v>ΚΗΠΕΥΤΙΚΑ10815</v>
          </cell>
          <cell r="E1345" t="str">
            <v>ΡΑΝΤΙΤΣΙΟ</v>
          </cell>
          <cell r="F1345" t="str">
            <v>B_1_7_1_1</v>
          </cell>
          <cell r="G1345" t="str">
            <v>Κηπευτικές καλλιέργειες μεγάλης έκτασης σε αγρό</v>
          </cell>
          <cell r="H1345">
            <v>7525</v>
          </cell>
          <cell r="J1345" t="str">
            <v>Ναι</v>
          </cell>
          <cell r="K1345" t="str">
            <v>Όχι</v>
          </cell>
          <cell r="L1345" t="str">
            <v>ΌΧΙ</v>
          </cell>
          <cell r="O1345" t="str">
            <v/>
          </cell>
        </row>
        <row r="1346">
          <cell r="D1346" t="str">
            <v>ΚΗΠΕΥΤΙΚΑ10816</v>
          </cell>
          <cell r="E1346" t="str">
            <v>ΑΙΣΜΠΕΡΓΚ</v>
          </cell>
          <cell r="F1346" t="str">
            <v>B_1_7_1_1</v>
          </cell>
          <cell r="G1346" t="str">
            <v>Κηπευτικές καλλιέργειες μεγάλης έκτασης σε αγρό</v>
          </cell>
          <cell r="H1346">
            <v>7525</v>
          </cell>
          <cell r="J1346" t="str">
            <v>Ναι</v>
          </cell>
          <cell r="K1346" t="str">
            <v>Όχι</v>
          </cell>
          <cell r="L1346" t="str">
            <v>ΌΧΙ</v>
          </cell>
          <cell r="O1346" t="str">
            <v/>
          </cell>
        </row>
        <row r="1347">
          <cell r="D1347" t="str">
            <v>ΚΗΠΕΥΤΙΚΑ10817</v>
          </cell>
          <cell r="E1347" t="str">
            <v>ΕΠΙΤΡΑΠΕΖΙΑ ΤΟΜΑΤΑ ROYAL</v>
          </cell>
          <cell r="F1347" t="str">
            <v>B_1_7_1_1</v>
          </cell>
          <cell r="G1347" t="str">
            <v>Κηπευτικές καλλιέργειες μεγάλης έκτασης σε αγρό</v>
          </cell>
          <cell r="H1347">
            <v>7525</v>
          </cell>
          <cell r="J1347" t="str">
            <v>Ναι</v>
          </cell>
          <cell r="K1347" t="str">
            <v>Όχι</v>
          </cell>
          <cell r="L1347" t="str">
            <v>ΌΧΙ</v>
          </cell>
          <cell r="O1347" t="str">
            <v/>
          </cell>
        </row>
        <row r="1348">
          <cell r="D1348" t="str">
            <v>ΚΗΠΕΥΤΙΚΑ10818</v>
          </cell>
          <cell r="E1348" t="str">
            <v>ΚΑΡΠΟΥΖΙ ΜΙΝΙ</v>
          </cell>
          <cell r="F1348" t="str">
            <v>B_1_7_1_1</v>
          </cell>
          <cell r="G1348" t="str">
            <v>Κηπευτικές καλλιέργειες μεγάλης έκτασης σε αγρό</v>
          </cell>
          <cell r="H1348">
            <v>7525</v>
          </cell>
          <cell r="J1348" t="str">
            <v>Ναι</v>
          </cell>
          <cell r="K1348" t="str">
            <v>Όχι</v>
          </cell>
          <cell r="L1348" t="str">
            <v>ΌΧΙ</v>
          </cell>
          <cell r="O1348" t="str">
            <v/>
          </cell>
        </row>
        <row r="1349">
          <cell r="D1349" t="str">
            <v>ΚΗΠΕΥΤΙΚΑ10819</v>
          </cell>
          <cell r="E1349" t="str">
            <v>ΦΙΝΟΚΙΟ</v>
          </cell>
          <cell r="F1349" t="str">
            <v>B_1_7_1_1</v>
          </cell>
          <cell r="G1349" t="str">
            <v>Κηπευτικές καλλιέργειες μεγάλης έκτασης σε αγρό</v>
          </cell>
          <cell r="H1349">
            <v>7525</v>
          </cell>
          <cell r="J1349" t="str">
            <v>Ναι</v>
          </cell>
          <cell r="K1349" t="str">
            <v>Όχι</v>
          </cell>
          <cell r="L1349" t="str">
            <v>ΌΧΙ</v>
          </cell>
          <cell r="O1349" t="str">
            <v/>
          </cell>
        </row>
        <row r="1350">
          <cell r="D1350" t="str">
            <v>ΚΗΠΕΥΤΙΚΑ10820</v>
          </cell>
          <cell r="E1350" t="str">
            <v>ΜΥΡΩΝΙΑ</v>
          </cell>
          <cell r="F1350" t="str">
            <v>B_1_7_1_1</v>
          </cell>
          <cell r="G1350" t="str">
            <v>Κηπευτικές καλλιέργειες μεγάλης έκτασης σε αγρό</v>
          </cell>
          <cell r="H1350">
            <v>7525</v>
          </cell>
          <cell r="J1350" t="str">
            <v>Ναι</v>
          </cell>
          <cell r="K1350" t="str">
            <v>Ναι</v>
          </cell>
          <cell r="L1350" t="str">
            <v>ΝΑΙ</v>
          </cell>
          <cell r="O1350" t="str">
            <v/>
          </cell>
        </row>
        <row r="1351">
          <cell r="D1351" t="str">
            <v>ΚΗΠΕΥΤΙΚΑ10835</v>
          </cell>
          <cell r="E1351" t="str">
            <v>ΣΕΛΕΡΥ</v>
          </cell>
          <cell r="F1351" t="str">
            <v>B_1_7_1_1</v>
          </cell>
          <cell r="G1351" t="str">
            <v>Κηπευτικές καλλιέργειες μεγάλης έκτασης σε αγρό</v>
          </cell>
          <cell r="H1351">
            <v>7525</v>
          </cell>
          <cell r="J1351" t="str">
            <v>Ναι</v>
          </cell>
          <cell r="K1351" t="str">
            <v>Όχι</v>
          </cell>
          <cell r="L1351" t="str">
            <v>ΌΧΙ</v>
          </cell>
          <cell r="O1351" t="str">
            <v/>
          </cell>
        </row>
        <row r="1352">
          <cell r="D1352" t="str">
            <v>ΚΗΠΕΥΤΙΚΑ10836</v>
          </cell>
          <cell r="E1352" t="str">
            <v>ΠΕΠΙΤΟ</v>
          </cell>
          <cell r="F1352" t="str">
            <v>B_1_7_1_1</v>
          </cell>
          <cell r="G1352" t="str">
            <v>Κηπευτικές καλλιέργειες μεγάλης έκτασης σε αγρό</v>
          </cell>
          <cell r="H1352">
            <v>7525</v>
          </cell>
          <cell r="J1352" t="str">
            <v>Ναι</v>
          </cell>
          <cell r="K1352" t="str">
            <v>Όχι</v>
          </cell>
          <cell r="L1352" t="str">
            <v>ΕΤ: Όχι, με βάση κηπευτικά υπό κάλυψη</v>
          </cell>
          <cell r="M1352" t="str">
            <v>ΔΕΝ ΥΠΑΡΧΟΥΝ ΣΤΟΙΧΕΙΑ</v>
          </cell>
          <cell r="O1352" t="str">
            <v>!</v>
          </cell>
        </row>
        <row r="1353">
          <cell r="D1353" t="str">
            <v>ΚΗΠΕΥΤΙΚΑ10904</v>
          </cell>
          <cell r="E1353" t="str">
            <v>ΤΟΜΑΤΑΚΙ ΣΑΝΤΟΡΙΝΗΣ</v>
          </cell>
          <cell r="F1353" t="str">
            <v>B_1_7_1_1</v>
          </cell>
          <cell r="G1353" t="str">
            <v>Κηπευτικές καλλιέργειες μεγάλης έκτασης σε αγρό</v>
          </cell>
          <cell r="H1353">
            <v>7525</v>
          </cell>
          <cell r="J1353" t="str">
            <v>Ναι</v>
          </cell>
          <cell r="K1353" t="str">
            <v>Όχι</v>
          </cell>
          <cell r="L1353" t="str">
            <v>ΕΤ: Όχι, με βάση όλες τις υπόλοιπες τομάτες</v>
          </cell>
          <cell r="O1353" t="str">
            <v>!</v>
          </cell>
        </row>
        <row r="1354">
          <cell r="D1354" t="str">
            <v>ΚΗΠΕΥΤΙΚΑ10905</v>
          </cell>
          <cell r="E1354" t="str">
            <v>ΑΓΚΙΝΑΡΑ ΤΗΝΟΥ</v>
          </cell>
          <cell r="F1354" t="str">
            <v>B_1_7_1_1</v>
          </cell>
          <cell r="G1354" t="str">
            <v>Κηπευτικές καλλιέργειες μεγάλης έκτασης σε αγρό</v>
          </cell>
          <cell r="H1354">
            <v>7525</v>
          </cell>
          <cell r="J1354" t="str">
            <v>Ναι</v>
          </cell>
          <cell r="K1354" t="str">
            <v>Ναι</v>
          </cell>
          <cell r="L1354" t="str">
            <v>ΝΑΙ</v>
          </cell>
          <cell r="O1354" t="str">
            <v/>
          </cell>
        </row>
        <row r="1355">
          <cell r="D1355" t="str">
            <v>ΚΗΠΕΥΤΙΚΑ14100</v>
          </cell>
          <cell r="E1355" t="str">
            <v>Καλαμπόκι POPCORN</v>
          </cell>
          <cell r="F1355" t="str">
            <v>B_1_1_6</v>
          </cell>
          <cell r="G1355" t="str">
            <v>Αραβόσιτος σε κόκκους</v>
          </cell>
          <cell r="H1355">
            <v>1583</v>
          </cell>
          <cell r="J1355" t="str">
            <v>Όχι</v>
          </cell>
          <cell r="K1355" t="str">
            <v>Όχι</v>
          </cell>
          <cell r="L1355" t="str">
            <v>ΌΧΙ</v>
          </cell>
          <cell r="O1355" t="str">
            <v/>
          </cell>
        </row>
        <row r="1356">
          <cell r="D1356" t="str">
            <v>ΚΗΠΕΥΤΙΚΑ38001</v>
          </cell>
          <cell r="E1356" t="str">
            <v>ARVIKA</v>
          </cell>
          <cell r="F1356" t="str">
            <v>B_1_7_1_1</v>
          </cell>
          <cell r="G1356" t="str">
            <v>Κηπευτικές καλλιέργειες μεγάλης έκτασης σε αγρό</v>
          </cell>
          <cell r="H1356">
            <v>7525</v>
          </cell>
          <cell r="J1356" t="str">
            <v>Ναι</v>
          </cell>
          <cell r="K1356" t="str">
            <v>Όχι</v>
          </cell>
          <cell r="L1356" t="str">
            <v>ΕΤ: Όχι, με βάση τα "μπιζέλια"</v>
          </cell>
          <cell r="M1356" t="str">
            <v>ΔΕΝ ΥΠΑΡΧΟΥΝ ΣΤΟΙΧΕΙΑ</v>
          </cell>
          <cell r="O1356" t="str">
            <v/>
          </cell>
        </row>
        <row r="1357">
          <cell r="D1357" t="str">
            <v>ΚΗΠΕΥΤΙΚΑ38002</v>
          </cell>
          <cell r="E1357" t="str">
            <v xml:space="preserve">LIVIOLETTA </v>
          </cell>
          <cell r="F1357" t="str">
            <v>B_1_7_1_1</v>
          </cell>
          <cell r="G1357" t="str">
            <v>Κηπευτικές καλλιέργειες μεγάλης έκτασης σε αγρό</v>
          </cell>
          <cell r="H1357">
            <v>7525</v>
          </cell>
          <cell r="J1357" t="str">
            <v>Ναι</v>
          </cell>
          <cell r="K1357" t="str">
            <v>Όχι</v>
          </cell>
          <cell r="L1357" t="str">
            <v>ΕΤ: Όχι, με βάση τα "μπιζέλια"</v>
          </cell>
          <cell r="M1357" t="str">
            <v>ΔΕΝ ΥΠΑΡΧΟΥΝ ΣΤΟΙΧΕΙΑ</v>
          </cell>
          <cell r="O1357" t="str">
            <v/>
          </cell>
        </row>
        <row r="1358">
          <cell r="D1358" t="str">
            <v>ΚΗΠΕΥΤΙΚΑ8102</v>
          </cell>
          <cell r="E1358" t="str">
            <v>ΦΑΣΟΛΙΑ</v>
          </cell>
          <cell r="F1358" t="str">
            <v>B_1_7_1_1</v>
          </cell>
          <cell r="G1358" t="str">
            <v>Κηπευτικές καλλιέργειες μεγάλης έκτασης σε αγρό</v>
          </cell>
          <cell r="H1358">
            <v>7525</v>
          </cell>
          <cell r="J1358" t="str">
            <v>Ναι</v>
          </cell>
          <cell r="K1358" t="str">
            <v>Όχι</v>
          </cell>
          <cell r="L1358" t="str">
            <v>ΌΧΙ</v>
          </cell>
          <cell r="O1358" t="str">
            <v/>
          </cell>
        </row>
        <row r="1359">
          <cell r="D1359" t="str">
            <v>ΚΗΠΕΥΤΙΚΑ8181</v>
          </cell>
          <cell r="E1359" t="str">
            <v>ΤΟΜΑΤΕΣ</v>
          </cell>
          <cell r="F1359" t="str">
            <v>B_1_7_1_1</v>
          </cell>
          <cell r="G1359" t="str">
            <v>Κηπευτικές καλλιέργειες μεγάλης έκτασης σε αγρό</v>
          </cell>
          <cell r="H1359">
            <v>7525</v>
          </cell>
          <cell r="J1359" t="str">
            <v>Ναι</v>
          </cell>
          <cell r="K1359" t="str">
            <v>Όχι</v>
          </cell>
          <cell r="L1359" t="str">
            <v>ΌΧΙ</v>
          </cell>
          <cell r="O1359" t="str">
            <v/>
          </cell>
        </row>
        <row r="1360">
          <cell r="D1360" t="str">
            <v>ΚΗΠΕΥΤΙΚΑ8195</v>
          </cell>
          <cell r="E1360" t="str">
            <v>ΚΑΡΠΟΥΖΙ ΥΠΑΙΘΡΙΟ</v>
          </cell>
          <cell r="F1360" t="str">
            <v>B_1_7_1_1</v>
          </cell>
          <cell r="G1360" t="str">
            <v>Κηπευτικές καλλιέργειες μεγάλης έκτασης σε αγρό</v>
          </cell>
          <cell r="H1360">
            <v>7525</v>
          </cell>
          <cell r="J1360" t="str">
            <v>Ναι</v>
          </cell>
          <cell r="K1360" t="str">
            <v>Όχι</v>
          </cell>
          <cell r="L1360" t="str">
            <v>ΌΧΙ</v>
          </cell>
          <cell r="O1360" t="str">
            <v/>
          </cell>
        </row>
        <row r="1361">
          <cell r="D1361" t="str">
            <v>ΚΗΠΕΥΤΙΚΑ8196</v>
          </cell>
          <cell r="E1361" t="str">
            <v>ΠΕΠΟΝΙ</v>
          </cell>
          <cell r="F1361" t="str">
            <v>B_1_7_1_1</v>
          </cell>
          <cell r="G1361" t="str">
            <v>Κηπευτικές καλλιέργειες μεγάλης έκτασης σε αγρό</v>
          </cell>
          <cell r="H1361">
            <v>7525</v>
          </cell>
          <cell r="J1361" t="str">
            <v>Ναι</v>
          </cell>
          <cell r="K1361" t="str">
            <v>Όχι</v>
          </cell>
          <cell r="L1361" t="str">
            <v>ΌΧΙ</v>
          </cell>
          <cell r="O1361" t="str">
            <v/>
          </cell>
        </row>
        <row r="1362">
          <cell r="D1362" t="str">
            <v>ΚΗΠΕΥΤΙΚΑ8240</v>
          </cell>
          <cell r="E1362" t="str">
            <v>ΓΛΥΚΟΠΑΤΑΤΕΣ</v>
          </cell>
          <cell r="F1362" t="str">
            <v>B_1_7_1_1</v>
          </cell>
          <cell r="G1362" t="str">
            <v>Κηπευτικές καλλιέργειες μεγάλης έκτασης σε αγρό</v>
          </cell>
          <cell r="H1362">
            <v>7525</v>
          </cell>
          <cell r="J1362" t="str">
            <v>Ναι</v>
          </cell>
          <cell r="K1362" t="str">
            <v>Όχι</v>
          </cell>
          <cell r="L1362" t="str">
            <v>ΌΧΙ</v>
          </cell>
          <cell r="O1362" t="str">
            <v/>
          </cell>
        </row>
        <row r="1363">
          <cell r="D1363" t="str">
            <v>ΚΗΠΕΥΤΙΚΑ8676</v>
          </cell>
          <cell r="E1363" t="str">
            <v>ΜΑΡΟΥΛΙ</v>
          </cell>
          <cell r="F1363" t="str">
            <v>B_1_7_1_1</v>
          </cell>
          <cell r="G1363" t="str">
            <v>Κηπευτικές καλλιέργειες μεγάλης έκτασης σε αγρό</v>
          </cell>
          <cell r="H1363">
            <v>7525</v>
          </cell>
          <cell r="J1363" t="str">
            <v>Ναι</v>
          </cell>
          <cell r="K1363" t="str">
            <v>Όχι</v>
          </cell>
          <cell r="L1363" t="str">
            <v>ΌΧΙ</v>
          </cell>
          <cell r="O1363" t="str">
            <v/>
          </cell>
        </row>
        <row r="1364">
          <cell r="D1364" t="str">
            <v>ΚΗΠΕΥΤΙΚΑ8677</v>
          </cell>
          <cell r="E1364" t="str">
            <v>ΚΟΥΝΟΥΠΙΔΙ</v>
          </cell>
          <cell r="F1364" t="str">
            <v>B_1_7_1_1</v>
          </cell>
          <cell r="G1364" t="str">
            <v>Κηπευτικές καλλιέργειες μεγάλης έκτασης σε αγρό</v>
          </cell>
          <cell r="H1364">
            <v>7525</v>
          </cell>
          <cell r="J1364" t="str">
            <v>Ναι</v>
          </cell>
          <cell r="K1364" t="str">
            <v>Όχι</v>
          </cell>
          <cell r="L1364" t="str">
            <v>ΌΧΙ</v>
          </cell>
          <cell r="O1364" t="str">
            <v/>
          </cell>
        </row>
        <row r="1365">
          <cell r="D1365" t="str">
            <v>ΚΗΠΕΥΤΙΚΑ8678</v>
          </cell>
          <cell r="E1365" t="str">
            <v>ΛΑΧΑΝΟ</v>
          </cell>
          <cell r="F1365" t="str">
            <v>B_1_7_1_1</v>
          </cell>
          <cell r="G1365" t="str">
            <v>Κηπευτικές καλλιέργειες μεγάλης έκτασης σε αγρό</v>
          </cell>
          <cell r="H1365">
            <v>7525</v>
          </cell>
          <cell r="J1365" t="str">
            <v>Ναι</v>
          </cell>
          <cell r="K1365" t="str">
            <v>Όχι</v>
          </cell>
          <cell r="L1365" t="str">
            <v>ΌΧΙ</v>
          </cell>
          <cell r="O1365" t="str">
            <v/>
          </cell>
        </row>
        <row r="1366">
          <cell r="D1366" t="str">
            <v>ΚΗΠΕΥΤΙΚΑ8679</v>
          </cell>
          <cell r="E1366" t="str">
            <v>ΜΠΑΜΙΑ</v>
          </cell>
          <cell r="F1366" t="str">
            <v>B_1_7_1_1</v>
          </cell>
          <cell r="G1366" t="str">
            <v>Κηπευτικές καλλιέργειες μεγάλης έκτασης σε αγρό</v>
          </cell>
          <cell r="H1366">
            <v>7525</v>
          </cell>
          <cell r="J1366" t="str">
            <v>Ναι</v>
          </cell>
          <cell r="K1366" t="str">
            <v>Όχι</v>
          </cell>
          <cell r="L1366" t="str">
            <v>ΌΧΙ</v>
          </cell>
          <cell r="O1366" t="str">
            <v/>
          </cell>
        </row>
        <row r="1367">
          <cell r="D1367" t="str">
            <v>ΚΗΠΕΥΤΙΚΑ8680</v>
          </cell>
          <cell r="E1367" t="str">
            <v>ΤΟΜΑΤΟΠΙΠΕΡΙΑ</v>
          </cell>
          <cell r="F1367" t="str">
            <v>B_1_7_1_1</v>
          </cell>
          <cell r="G1367" t="str">
            <v>Κηπευτικές καλλιέργειες μεγάλης έκτασης σε αγρό</v>
          </cell>
          <cell r="H1367">
            <v>7525</v>
          </cell>
          <cell r="J1367" t="str">
            <v>Ναι</v>
          </cell>
          <cell r="K1367" t="str">
            <v>Όχι</v>
          </cell>
          <cell r="L1367" t="str">
            <v>ΌΧΙ</v>
          </cell>
          <cell r="O1367" t="str">
            <v/>
          </cell>
        </row>
        <row r="1368">
          <cell r="D1368" t="str">
            <v>ΚΗΠΕΥΤΙΚΑ8681</v>
          </cell>
          <cell r="E1368" t="str">
            <v>ΚΡΕΜΜΥΔΑΚΙΑ ΣΚΟΡΔΑΚΙΑ ΝΩΠΑ</v>
          </cell>
          <cell r="F1368" t="str">
            <v>B_1_7_1_1</v>
          </cell>
          <cell r="G1368" t="str">
            <v>Κηπευτικές καλλιέργειες μεγάλης έκτασης σε αγρό</v>
          </cell>
          <cell r="H1368">
            <v>7525</v>
          </cell>
          <cell r="J1368" t="str">
            <v>Ναι</v>
          </cell>
          <cell r="K1368" t="str">
            <v>Όχι</v>
          </cell>
          <cell r="L1368" t="str">
            <v>ΕΤ: Όχι με βάση όλα τα υπόλοιπα κρεμμύδια</v>
          </cell>
          <cell r="O1368" t="str">
            <v/>
          </cell>
        </row>
        <row r="1369">
          <cell r="D1369" t="str">
            <v>ΚΗΠΕΥΤΙΚΑ8682</v>
          </cell>
          <cell r="E1369" t="str">
            <v>ΠΙΠΕΡΙΑ ΥΠΑΙΘΡΟΥ</v>
          </cell>
          <cell r="F1369" t="str">
            <v>B_1_7_1_1</v>
          </cell>
          <cell r="G1369" t="str">
            <v>Κηπευτικές καλλιέργειες μεγάλης έκτασης σε αγρό</v>
          </cell>
          <cell r="H1369">
            <v>7525</v>
          </cell>
          <cell r="J1369" t="str">
            <v>Ναι</v>
          </cell>
          <cell r="K1369" t="str">
            <v>Όχι</v>
          </cell>
          <cell r="L1369" t="str">
            <v>ΌΧΙ</v>
          </cell>
          <cell r="O1369" t="str">
            <v/>
          </cell>
        </row>
        <row r="1370">
          <cell r="D1370" t="str">
            <v>ΚΗΠΕΥΤΙΚΑ8683</v>
          </cell>
          <cell r="E1370" t="str">
            <v>ΣΚΟΡΔΟ ΞΕΡΟ</v>
          </cell>
          <cell r="F1370" t="str">
            <v>B_1_7_1_1</v>
          </cell>
          <cell r="G1370" t="str">
            <v>Κηπευτικές καλλιέργειες μεγάλης έκτασης σε αγρό</v>
          </cell>
          <cell r="H1370">
            <v>7525</v>
          </cell>
          <cell r="J1370" t="str">
            <v>Ναι</v>
          </cell>
          <cell r="K1370" t="str">
            <v>Ναι</v>
          </cell>
          <cell r="L1370" t="str">
            <v>ΝΑΙ</v>
          </cell>
          <cell r="O1370" t="str">
            <v/>
          </cell>
        </row>
        <row r="1371">
          <cell r="D1371" t="str">
            <v>ΚΗΠΕΥΤΙΚΑ8685</v>
          </cell>
          <cell r="E1371" t="str">
            <v>ΑΓΓΟΥΡΙ ΥΠΑΙΘΡΟΥ</v>
          </cell>
          <cell r="F1371" t="str">
            <v>B_1_7_1_1</v>
          </cell>
          <cell r="G1371" t="str">
            <v>Κηπευτικές καλλιέργειες μεγάλης έκτασης σε αγρό</v>
          </cell>
          <cell r="H1371">
            <v>7525</v>
          </cell>
          <cell r="J1371" t="str">
            <v>Ναι</v>
          </cell>
          <cell r="K1371" t="str">
            <v>Όχι</v>
          </cell>
          <cell r="L1371" t="str">
            <v>ΌΧΙ</v>
          </cell>
          <cell r="O1371" t="str">
            <v/>
          </cell>
        </row>
        <row r="1372">
          <cell r="D1372" t="str">
            <v>ΚΗΠΕΥΤΙΚΑ8686</v>
          </cell>
          <cell r="E1372" t="str">
            <v>ΦΡΑΟΥΛΑ</v>
          </cell>
          <cell r="F1372" t="str">
            <v>B_1_7_1_1</v>
          </cell>
          <cell r="G1372" t="str">
            <v>Κηπευτικές καλλιέργειες μεγάλης έκτασης σε αγρό</v>
          </cell>
          <cell r="H1372">
            <v>7525</v>
          </cell>
          <cell r="J1372" t="str">
            <v>Ναι</v>
          </cell>
          <cell r="K1372" t="str">
            <v>Όχι</v>
          </cell>
          <cell r="L1372" t="str">
            <v>ΌΧΙ</v>
          </cell>
          <cell r="O1372" t="str">
            <v/>
          </cell>
        </row>
        <row r="1373">
          <cell r="D1373" t="str">
            <v>ΚΗΠΕΥΤΙΚΑ8689</v>
          </cell>
          <cell r="E1373" t="str">
            <v>ΚΡΕΜΜΥΔΙ ΞΕΡΟ</v>
          </cell>
          <cell r="F1373" t="str">
            <v>B_1_7_1_1</v>
          </cell>
          <cell r="G1373" t="str">
            <v>Κηπευτικές καλλιέργειες μεγάλης έκτασης σε αγρό</v>
          </cell>
          <cell r="H1373">
            <v>7525</v>
          </cell>
          <cell r="J1373" t="str">
            <v>Ναι</v>
          </cell>
          <cell r="K1373" t="str">
            <v>Όχι</v>
          </cell>
          <cell r="L1373" t="str">
            <v>ΌΧΙ</v>
          </cell>
          <cell r="O1373" t="str">
            <v/>
          </cell>
        </row>
        <row r="1374">
          <cell r="D1374" t="str">
            <v>ΚΗΠΕΥΤΙΚΑ8690</v>
          </cell>
          <cell r="E1374" t="str">
            <v>ΚΟΛΟΚΥΘΕΣ</v>
          </cell>
          <cell r="F1374" t="str">
            <v>B_1_7_1_1</v>
          </cell>
          <cell r="G1374" t="str">
            <v>Κηπευτικές καλλιέργειες μεγάλης έκτασης σε αγρό</v>
          </cell>
          <cell r="H1374">
            <v>7525</v>
          </cell>
          <cell r="J1374" t="str">
            <v>Ναι</v>
          </cell>
          <cell r="K1374" t="str">
            <v>Όχι</v>
          </cell>
          <cell r="L1374" t="str">
            <v>ΌΧΙ</v>
          </cell>
          <cell r="O1374" t="str">
            <v/>
          </cell>
        </row>
        <row r="1375">
          <cell r="D1375" t="str">
            <v>ΚΗΠΕΥΤΙΚΑ8698</v>
          </cell>
          <cell r="E1375" t="str">
            <v>ΠΙΠΕΡΙΑ ΠΡΟΣ ΜΕΤΑΠΟΙΗΣΗ</v>
          </cell>
          <cell r="F1375" t="str">
            <v>B_1_7_1_1</v>
          </cell>
          <cell r="G1375" t="str">
            <v>Κηπευτικές καλλιέργειες μεγάλης έκτασης σε αγρό</v>
          </cell>
          <cell r="H1375">
            <v>7525</v>
          </cell>
          <cell r="J1375" t="str">
            <v>Ναι</v>
          </cell>
          <cell r="K1375" t="str">
            <v>Όχι</v>
          </cell>
          <cell r="L1375" t="str">
            <v>ΌΧΙ</v>
          </cell>
          <cell r="O1375" t="str">
            <v/>
          </cell>
        </row>
        <row r="1376">
          <cell r="D1376" t="str">
            <v>ΚΗΠΕΥΤΙΚΑ9107034</v>
          </cell>
          <cell r="E1376" t="str">
            <v>ΦΑΣΟΛΑΚΙΑ ΧΑΝΤΡΕΣ</v>
          </cell>
          <cell r="F1376" t="str">
            <v>B_1_7_1_1</v>
          </cell>
          <cell r="G1376" t="str">
            <v>Κηπευτικές καλλιέργειες μεγάλης έκτασης σε αγρό</v>
          </cell>
          <cell r="H1376">
            <v>7525</v>
          </cell>
          <cell r="J1376" t="str">
            <v>Ναι</v>
          </cell>
          <cell r="K1376" t="str">
            <v>Όχι</v>
          </cell>
          <cell r="L1376" t="str">
            <v>ΌΧΙ</v>
          </cell>
          <cell r="O1376" t="str">
            <v>!</v>
          </cell>
        </row>
        <row r="1377">
          <cell r="D1377" t="str">
            <v>ΚΗΠΕΥΤΙΚΑ98202</v>
          </cell>
          <cell r="E1377" t="str">
            <v>ΚΑΡΠΟΥΖΙ OBLA</v>
          </cell>
          <cell r="F1377" t="str">
            <v>B_1_7_1_1</v>
          </cell>
          <cell r="G1377" t="str">
            <v>Κηπευτικές καλλιέργειες μεγάλης έκτασης σε αγρό</v>
          </cell>
          <cell r="H1377">
            <v>7525</v>
          </cell>
          <cell r="J1377" t="str">
            <v>Ναι</v>
          </cell>
          <cell r="K1377" t="str">
            <v>Όχι</v>
          </cell>
          <cell r="L1377" t="str">
            <v>ΌΧΙ</v>
          </cell>
          <cell r="O1377" t="str">
            <v/>
          </cell>
        </row>
        <row r="1378">
          <cell r="D1378" t="str">
            <v>ΚΗΠΕΥΤΙΚΑ98203</v>
          </cell>
          <cell r="E1378" t="str">
            <v>ΜΕΛΙΤΖΑΝΕΣ ΦΛΑΣΚΕΣ</v>
          </cell>
          <cell r="F1378" t="str">
            <v>B_1_7_1_1</v>
          </cell>
          <cell r="G1378" t="str">
            <v>Κηπευτικές καλλιέργειες μεγάλης έκτασης σε αγρό</v>
          </cell>
          <cell r="H1378">
            <v>7525</v>
          </cell>
          <cell r="J1378" t="str">
            <v>Ναι</v>
          </cell>
          <cell r="K1378" t="str">
            <v>Όχι</v>
          </cell>
          <cell r="L1378" t="str">
            <v>ΌΧΙ</v>
          </cell>
          <cell r="O1378" t="str">
            <v/>
          </cell>
        </row>
        <row r="1379">
          <cell r="D1379" t="str">
            <v>ΚΗΠΕΥΤΙΚΑ98204</v>
          </cell>
          <cell r="E1379" t="str">
            <v>ΜΕΛΙΤΖΑΝΕΣ ΤΣΑΚΩΝΙΚΕΣ</v>
          </cell>
          <cell r="F1379" t="str">
            <v>B_1_7_1_1</v>
          </cell>
          <cell r="G1379" t="str">
            <v>Κηπευτικές καλλιέργειες μεγάλης έκτασης σε αγρό</v>
          </cell>
          <cell r="H1379">
            <v>7525</v>
          </cell>
          <cell r="J1379" t="str">
            <v>Ναι</v>
          </cell>
          <cell r="K1379" t="str">
            <v>Όχι</v>
          </cell>
          <cell r="L1379" t="str">
            <v>ΌΧΙ</v>
          </cell>
          <cell r="O1379" t="str">
            <v/>
          </cell>
        </row>
        <row r="1380">
          <cell r="D1380" t="str">
            <v>ΚΗΠΕΥΤΙΚΑ98205</v>
          </cell>
          <cell r="E1380" t="str">
            <v>ΠΙΠΕΡΙΑ ΚΕΡΑΤΟ</v>
          </cell>
          <cell r="F1380" t="str">
            <v>B_1_7_1_1</v>
          </cell>
          <cell r="G1380" t="str">
            <v>Κηπευτικές καλλιέργειες μεγάλης έκτασης σε αγρό</v>
          </cell>
          <cell r="H1380">
            <v>7525</v>
          </cell>
          <cell r="J1380" t="str">
            <v>Ναι</v>
          </cell>
          <cell r="K1380" t="str">
            <v>Όχι</v>
          </cell>
          <cell r="L1380" t="str">
            <v>ΌΧΙ</v>
          </cell>
          <cell r="O1380" t="str">
            <v/>
          </cell>
        </row>
        <row r="1381">
          <cell r="D1381" t="str">
            <v>ΚΤΗΝΟΤΡΟΦΙΚΑ ΦΥΤΑ ΓΙΑ ΖΩΟΤΡΟΦΕΣ1131</v>
          </cell>
          <cell r="E1381" t="str">
            <v>ΒΙΚΟΣ ΑΛΕΞΑΝΔΡΟΣ (Β1-65)</v>
          </cell>
          <cell r="I1381" t="str">
            <v>ΚΤΗΝΟΤΡΟΦΙΚΑ ΦΥΤΑ ΓΙΑ ΖΩΟΤΡΟΦΕΣ</v>
          </cell>
          <cell r="K1381" t="str">
            <v>Ναι</v>
          </cell>
          <cell r="L1381" t="str">
            <v>ΝΑΙ</v>
          </cell>
          <cell r="O1381" t="str">
            <v/>
          </cell>
        </row>
        <row r="1382">
          <cell r="D1382" t="str">
            <v>ΚΤΗΝΟΤΡΟΦΙΚΑ ΦΥΤΑ ΓΙΑ ΖΩΟΤΡΟΦΕΣ1132</v>
          </cell>
          <cell r="E1382" t="str">
            <v>ΒΙΚΟΣ ΑΧΙΛΛΕΑΣ (Β1-90)</v>
          </cell>
          <cell r="I1382" t="str">
            <v>ΚΤΗΝΟΤΡΟΦΙΚΑ ΦΥΤΑ ΓΙΑ ΖΩΟΤΡΟΦΕΣ</v>
          </cell>
          <cell r="K1382" t="str">
            <v>Ναι</v>
          </cell>
          <cell r="L1382" t="str">
            <v>ΝΑΙ</v>
          </cell>
          <cell r="O1382" t="str">
            <v/>
          </cell>
        </row>
        <row r="1383">
          <cell r="D1383" t="str">
            <v>ΚΤΗΝΟΤΡΟΦΙΚΑ ΦΥΤΑ ΓΙΑ ΖΩΟΤΡΟΦΕΣ1133</v>
          </cell>
          <cell r="E1383" t="str">
            <v>ΒΙΚΟΣ ΕΥΗΝΟΣ (Μ-6900)</v>
          </cell>
          <cell r="I1383" t="str">
            <v>ΚΤΗΝΟΤΡΟΦΙΚΑ ΦΥΤΑ ΓΙΑ ΖΩΟΤΡΟΦΕΣ</v>
          </cell>
          <cell r="K1383" t="str">
            <v>Ναι</v>
          </cell>
          <cell r="L1383" t="str">
            <v>ΝΑΙ</v>
          </cell>
          <cell r="O1383" t="str">
            <v/>
          </cell>
        </row>
        <row r="1384">
          <cell r="D1384" t="str">
            <v>ΚΤΗΝΟΤΡΟΦΙΚΑ ΦΥΤΑ ΓΙΑ ΖΩΟΤΡΟΦΕΣ1134</v>
          </cell>
          <cell r="E1384" t="str">
            <v>ΒΙΚΟΣ ΖΕΦΥΡΟΣ (Β1-89)</v>
          </cell>
          <cell r="I1384" t="str">
            <v>ΚΤΗΝΟΤΡΟΦΙΚΑ ΦΥΤΑ ΓΙΑ ΖΩΟΤΡΟΦΕΣ</v>
          </cell>
          <cell r="K1384" t="str">
            <v>Ναι</v>
          </cell>
          <cell r="L1384" t="str">
            <v>ΝΑΙ</v>
          </cell>
          <cell r="O1384" t="str">
            <v/>
          </cell>
        </row>
        <row r="1385">
          <cell r="D1385" t="str">
            <v>ΚΤΗΝΟΤΡΟΦΙΚΑ ΦΥΤΑ ΓΙΑ ΖΩΟΤΡΟΦΕΣ1135</v>
          </cell>
          <cell r="E1385" t="str">
            <v>ΒΙΚΟΣ ΜΙΝΩΣ (Β1-45)</v>
          </cell>
          <cell r="I1385" t="str">
            <v>ΚΤΗΝΟΤΡΟΦΙΚΑ ΦΥΤΑ ΓΙΑ ΖΩΟΤΡΟΦΕΣ</v>
          </cell>
          <cell r="K1385" t="str">
            <v>Ναι</v>
          </cell>
          <cell r="L1385" t="str">
            <v>ΝΑΙ</v>
          </cell>
          <cell r="O1385" t="str">
            <v/>
          </cell>
        </row>
        <row r="1386">
          <cell r="D1386" t="str">
            <v>ΚΤΗΝΟΤΡΟΦΙΚΑ ΦΥΤΑ ΓΙΑ ΖΩΟΤΡΟΦΕΣ1136</v>
          </cell>
          <cell r="E1386" t="str">
            <v>ΒΙΚΟΣ WARRIOR (M7-392)</v>
          </cell>
          <cell r="I1386" t="str">
            <v>ΚΤΗΝΟΤΡΟΦΙΚΑ ΦΥΤΑ ΓΙΑ ΖΩΟΤΡΟΦΕΣ</v>
          </cell>
          <cell r="K1386" t="str">
            <v>Ναι</v>
          </cell>
          <cell r="L1386" t="str">
            <v>ΝΑΙ</v>
          </cell>
          <cell r="O1386" t="str">
            <v/>
          </cell>
        </row>
        <row r="1387">
          <cell r="D1387" t="str">
            <v>ΚΤΗΝΟΤΡΟΦΙΚΑ ΦΥΤΑ ΓΙΑ ΖΩΟΤΡΟΦΕΣ1137</v>
          </cell>
          <cell r="E1387" t="str">
            <v>ΒΙΚΟΣ ΤΕΜΠΗ</v>
          </cell>
          <cell r="I1387" t="str">
            <v>ΚΤΗΝΟΤΡΟΦΙΚΑ ΦΥΤΑ ΓΙΑ ΖΩΟΤΡΟΦΕΣ</v>
          </cell>
          <cell r="K1387" t="str">
            <v>Ναι</v>
          </cell>
          <cell r="L1387" t="str">
            <v>ΝΑΙ</v>
          </cell>
          <cell r="O1387" t="str">
            <v/>
          </cell>
        </row>
        <row r="1388">
          <cell r="D1388" t="str">
            <v>ΚΤΗΝΟΤΡΟΦΙΚΑ ΦΥΤΑ ΓΙΑ ΖΩΟΤΡΟΦΕΣ1138</v>
          </cell>
          <cell r="E1388" t="str">
            <v>ΒΙΚΟΣ ΛΟΙΠΕΣ ΠΟΙΚΙΛΙΕΣ</v>
          </cell>
          <cell r="I1388" t="str">
            <v>ΚΤΗΝΟΤΡΟΦΙΚΑ ΦΥΤΑ ΓΙΑ ΖΩΟΤΡΟΦΕΣ</v>
          </cell>
          <cell r="K1388" t="str">
            <v>Ναι</v>
          </cell>
          <cell r="L1388" t="str">
            <v>ΝΑΙ</v>
          </cell>
          <cell r="O1388" t="str">
            <v/>
          </cell>
        </row>
        <row r="1389">
          <cell r="D1389" t="str">
            <v>ΚΤΗΝΟΤΡΟΦΙΚΑ ΦΥΤΑ ΓΙΑ ΖΩΟΤΡΟΦΕΣ1141</v>
          </cell>
          <cell r="E1389" t="str">
            <v>ΡΟΒΗ ΕΓΧΩΡΙΕΣ ΠΟΙΚΙΛΙΕΣ</v>
          </cell>
          <cell r="I1389" t="str">
            <v>ΚΤΗΝΟΤΡΟΦΙΚΑ ΦΥΤΑ ΓΙΑ ΖΩΟΤΡΟΦΕΣ</v>
          </cell>
          <cell r="K1389" t="str">
            <v>Ναι</v>
          </cell>
          <cell r="L1389" t="str">
            <v>ΝΑΙ</v>
          </cell>
          <cell r="O1389" t="str">
            <v/>
          </cell>
        </row>
        <row r="1390">
          <cell r="D1390" t="str">
            <v>ΚΤΗΝΟΤΡΟΦΙΚΑ ΦΥΤΑ ΓΙΑ ΖΩΟΤΡΟΦΕΣ1142</v>
          </cell>
          <cell r="E1390" t="str">
            <v>ΡΟΒΗ ΛΟΙΠΕΣ ΠΟΙΚΙΛΙΕΣ</v>
          </cell>
          <cell r="I1390" t="str">
            <v>ΚΤΗΝΟΤΡΟΦΙΚΑ ΦΥΤΑ ΓΙΑ ΖΩΟΤΡΟΦΕΣ</v>
          </cell>
          <cell r="K1390" t="str">
            <v>Ναι</v>
          </cell>
          <cell r="L1390" t="str">
            <v>ΝΑΙ</v>
          </cell>
          <cell r="O1390" t="str">
            <v/>
          </cell>
        </row>
        <row r="1391">
          <cell r="D1391" t="str">
            <v>ΚΤΗΝΟΤΡΟΦΙΚΑ ΦΥΤΑ ΓΙΑ ΖΩΟΤΡΟΦΕΣ1143</v>
          </cell>
          <cell r="E1391" t="str">
            <v>ΒΙΚΟΣ ΧΛΩΡΗΣ ΛΙΠΑΝΣΗΣ</v>
          </cell>
          <cell r="I1391" t="str">
            <v>ΚΤΗΝΟΤΡΟΦΙΚΑ ΦΥΤΑ ΓΙΑ ΖΩΟΤΡΟΦΕΣ</v>
          </cell>
          <cell r="K1391" t="str">
            <v>Ναι</v>
          </cell>
          <cell r="L1391" t="str">
            <v>ΝΑΙ</v>
          </cell>
          <cell r="O1391" t="str">
            <v/>
          </cell>
        </row>
        <row r="1392">
          <cell r="D1392" t="str">
            <v>ΚΤΗΝΟΤΡΟΦΙΚΑ ΦΥΤΑ ΓΙΑ ΖΩΟΤΡΟΦΕΣ1152</v>
          </cell>
          <cell r="E1392" t="str">
            <v>ΡΟΒΗ ΚΡΗΤΗΣ</v>
          </cell>
          <cell r="I1392" t="str">
            <v>ΚΤΗΝΟΤΡΟΦΙΚΑ ΦΥΤΑ ΓΙΑ ΖΩΟΤΡΟΦΕΣ</v>
          </cell>
          <cell r="K1392" t="str">
            <v>Ναι</v>
          </cell>
          <cell r="L1392" t="str">
            <v>ΝΑΙ</v>
          </cell>
          <cell r="O1392" t="str">
            <v/>
          </cell>
        </row>
        <row r="1393">
          <cell r="D1393" t="str">
            <v>ΚΤΗΝΟΤΡΟΦΙΚΑ ΦΥΤΑ ΓΙΑ ΖΩΟΤΡΟΦΕΣ1153</v>
          </cell>
          <cell r="E1393" t="str">
            <v>ΡΟΒΗ ΓΡΕΒΕΝΩΝ</v>
          </cell>
          <cell r="I1393" t="str">
            <v>ΚΤΗΝΟΤΡΟΦΙΚΑ ΦΥΤΑ ΓΙΑ ΖΩΟΤΡΟΦΕΣ</v>
          </cell>
          <cell r="K1393" t="str">
            <v>Ναι</v>
          </cell>
          <cell r="L1393" t="str">
            <v>ΝΑΙ</v>
          </cell>
          <cell r="O1393" t="str">
            <v/>
          </cell>
        </row>
        <row r="1394">
          <cell r="D1394" t="str">
            <v>ΚΤΗΝΟΤΡΟΦΙΚΑ ΦΥΤΑ ΓΙΑ ΖΩΟΤΡΟΦΕΣ1154</v>
          </cell>
          <cell r="E1394" t="str">
            <v>ΡΟΒΗ ΙΟΝΙΩΝ</v>
          </cell>
          <cell r="I1394" t="str">
            <v>ΚΤΗΝΟΤΡΟΦΙΚΑ ΦΥΤΑ ΓΙΑ ΖΩΟΤΡΟΦΕΣ</v>
          </cell>
          <cell r="K1394" t="str">
            <v>Ναι</v>
          </cell>
          <cell r="L1394" t="str">
            <v>ΝΑΙ</v>
          </cell>
          <cell r="O1394" t="str">
            <v/>
          </cell>
        </row>
        <row r="1395">
          <cell r="D1395" t="str">
            <v>ΚΤΗΝΟΤΡΟΦΙΚΑ ΦΥΤΑ ΓΙΑ ΖΩΟΤΡΟΦΕΣ13001</v>
          </cell>
          <cell r="E1395" t="str">
            <v>ΠΕΡΚΟ</v>
          </cell>
          <cell r="I1395" t="str">
            <v>ΚΤΗΝΟΤΡΟΦΙΚΑ ΦΥΤΑ ΓΙΑ ΖΩΟΤΡΟΦΕΣ</v>
          </cell>
          <cell r="K1395" t="str">
            <v>Ναι</v>
          </cell>
          <cell r="L1395" t="str">
            <v>ΕΤ: Ναι, όλα τα κτηνοτροφικά είναι</v>
          </cell>
          <cell r="O1395" t="str">
            <v/>
          </cell>
        </row>
        <row r="1396">
          <cell r="D1396" t="str">
            <v>ΚΤΗΝΟΤΡΟΦΙΚΑ ΦΥΤΑ ΓΙΑ ΖΩΟΤΡΟΦΕΣ13002</v>
          </cell>
          <cell r="E1396" t="str">
            <v>ΣΜΙΓΟΣ ΚΑΡΠΟΣ</v>
          </cell>
          <cell r="I1396" t="str">
            <v>ΚΤΗΝΟΤΡΟΦΙΚΑ ΦΥΤΑ ΓΙΑ ΖΩΟΤΡΟΦΕΣ</v>
          </cell>
          <cell r="K1396" t="str">
            <v>Ναι</v>
          </cell>
          <cell r="L1396" t="str">
            <v>ΝΑΙ</v>
          </cell>
          <cell r="O1396" t="str">
            <v/>
          </cell>
        </row>
        <row r="1397">
          <cell r="D1397" t="str">
            <v>ΚΤΗΝΟΤΡΟΦΙΚΑ ΦΥΤΑ ΓΙΑ ΖΩΟΤΡΟΦΕΣ2000</v>
          </cell>
          <cell r="E1397" t="str">
            <v>ΣΙΚΑΛΗ ΔΙΑΦΟΡΕΣ</v>
          </cell>
          <cell r="F1397" t="str">
            <v>B_1_1_3</v>
          </cell>
          <cell r="G1397" t="str">
            <v xml:space="preserve">Σίκαλη </v>
          </cell>
          <cell r="H1397">
            <v>281</v>
          </cell>
          <cell r="I1397" t="str">
            <v>ΚΤΗΝΟΤΡΟΦΙΚΑ ΦΥΤΑ ΓΙΑ ΖΩΟΤΡΟΦΕΣ</v>
          </cell>
          <cell r="K1397" t="str">
            <v>Ναι</v>
          </cell>
          <cell r="L1397" t="str">
            <v>ΝΑΙ</v>
          </cell>
          <cell r="O1397" t="str">
            <v>!</v>
          </cell>
        </row>
        <row r="1398">
          <cell r="D1398" t="str">
            <v>ΚΤΗΝΟΤΡΟΦΙΚΑ ΦΥΤΑ ΓΙΑ ΖΩΟΤΡΟΦΕΣ2203</v>
          </cell>
          <cell r="E1398" t="str">
            <v>ΛΑΘΟΥΡΙ ΚΤΗΝΟΤΡΟΦΙΚΟ</v>
          </cell>
          <cell r="I1398" t="str">
            <v>ΚΤΗΝΟΤΡΟΦΙΚΑ ΦΥΤΑ ΓΙΑ ΖΩΟΤΡΟΦΕΣ</v>
          </cell>
          <cell r="K1398" t="str">
            <v>Ναι</v>
          </cell>
          <cell r="L1398" t="str">
            <v>ΝΑΙ</v>
          </cell>
          <cell r="O1398" t="str">
            <v/>
          </cell>
        </row>
        <row r="1399">
          <cell r="D1399" t="str">
            <v>ΚΤΗΝΟΤΡΟΦΙΚΑ ΦΥΤΑ ΓΙΑ ΖΩΟΤΡΟΦΕΣ3000</v>
          </cell>
          <cell r="E1399" t="str">
            <v>ΚΕΧΡΙ ΔΙΑΦΟΡΕΣ</v>
          </cell>
          <cell r="I1399" t="str">
            <v>ΚΤΗΝΟΤΡΟΦΙΚΑ ΦΥΤΑ ΓΙΑ ΖΩΟΤΡΟΦΕΣ</v>
          </cell>
          <cell r="K1399" t="str">
            <v>Όχι</v>
          </cell>
          <cell r="L1399" t="str">
            <v>ΌΧΙ</v>
          </cell>
          <cell r="O1399" t="str">
            <v>!</v>
          </cell>
        </row>
        <row r="1400">
          <cell r="D1400" t="str">
            <v>ΚΤΗΝΟΤΡΟΦΙΚΑ ΦΥΤΑ ΓΙΑ ΖΩΟΤΡΟΦΕΣ3099</v>
          </cell>
          <cell r="E1400" t="str">
            <v>ΚΕΧΡΙ ΔΙΑΦΟΡΕΣ</v>
          </cell>
          <cell r="I1400" t="str">
            <v>ΚΤΗΝΟΤΡΟΦΙΚΑ ΦΥΤΑ ΓΙΑ ΖΩΟΤΡΟΦΕΣ</v>
          </cell>
          <cell r="K1400" t="str">
            <v>Όχι</v>
          </cell>
          <cell r="L1400" t="str">
            <v>ΌΧΙ</v>
          </cell>
          <cell r="O1400" t="str">
            <v>!</v>
          </cell>
        </row>
        <row r="1401">
          <cell r="D1401" t="str">
            <v>ΚΤΗΝΟΤΡΟΦΙΚΑ ΦΥΤΑ ΓΙΑ ΖΩΟΤΡΟΦΕΣ4000</v>
          </cell>
          <cell r="E1401" t="str">
            <v>ΦΑΓΟΠΥΡΟ ΔΙΑΦΟΡΕΣ</v>
          </cell>
          <cell r="I1401" t="str">
            <v>ΚΤΗΝΟΤΡΟΦΙΚΑ ΦΥΤΑ ΓΙΑ ΖΩΟΤΡΟΦΕΣ</v>
          </cell>
          <cell r="K1401" t="str">
            <v>Ναι</v>
          </cell>
          <cell r="L1401" t="str">
            <v>ΝΑΙ</v>
          </cell>
          <cell r="O1401" t="str">
            <v>!</v>
          </cell>
        </row>
        <row r="1402">
          <cell r="D1402" t="str">
            <v>ΚΤΗΝΟΤΡΟΦΙΚΑ ΦΥΤΑ ΓΙΑ ΖΩΟΤΡΟΦΕΣ4099</v>
          </cell>
          <cell r="E1402" t="str">
            <v>ΦΑΓΟΠΥΡΟ/ΜΑΥΡΟΣΙΤΑΡΟ</v>
          </cell>
          <cell r="F1402" t="str">
            <v>B_1_1_99</v>
          </cell>
          <cell r="G1402" t="str">
            <v>Άλλα σιτηρά για την παραγωγή καρπού</v>
          </cell>
          <cell r="H1402">
            <v>358</v>
          </cell>
          <cell r="I1402" t="str">
            <v>ΚΤΗΝΟΤΡΟΦΙΚΑ ΦΥΤΑ ΓΙΑ ΖΩΟΤΡΟΦΕΣ</v>
          </cell>
          <cell r="K1402" t="str">
            <v>Ναι</v>
          </cell>
          <cell r="L1402" t="str">
            <v>ΝΑΙ</v>
          </cell>
          <cell r="O1402" t="str">
            <v>!</v>
          </cell>
        </row>
        <row r="1403">
          <cell r="D1403" t="str">
            <v>ΚΤΗΝΟΤΡΟΦΙΚΑ ΦΥΤΑ ΓΙΑ ΖΩΟΤΡΟΦΕΣ6101</v>
          </cell>
          <cell r="E1403" t="str">
            <v>ΦΟΥΛΙΑ ΠΟΛΥΚΑΡΠΗ (Μ-9643)</v>
          </cell>
          <cell r="I1403" t="str">
            <v>ΚΤΗΝΟΤΡΟΦΙΚΑ ΦΥΤΑ ΓΙΑ ΖΩΟΤΡΟΦΕΣ</v>
          </cell>
          <cell r="K1403" t="str">
            <v>Ναι</v>
          </cell>
          <cell r="L1403" t="str">
            <v>ΝΑΙ</v>
          </cell>
          <cell r="O1403" t="str">
            <v/>
          </cell>
        </row>
        <row r="1404">
          <cell r="D1404" t="str">
            <v>ΚΤΗΝΟΤΡΟΦΙΚΑ ΦΥΤΑ ΓΙΑ ΖΩΟΤΡΟΦΕΣ6299</v>
          </cell>
          <cell r="E1404" t="str">
            <v>ΕΛΑΙΟΚΡΑΜΒΗ</v>
          </cell>
          <cell r="I1404" t="str">
            <v>ΚΤΗΝΟΤΡΟΦΙΚΑ ΦΥΤΑ ΓΙΑ ΖΩΟΤΡΟΦΕΣ</v>
          </cell>
          <cell r="K1404" t="str">
            <v>Ναι</v>
          </cell>
          <cell r="L1404" t="str">
            <v>ΝΑΙ</v>
          </cell>
          <cell r="O1404" t="str">
            <v>!!</v>
          </cell>
        </row>
        <row r="1405">
          <cell r="D1405" t="str">
            <v>ΚΤΗΝΟΤΡΟΦΙΚΑ ΦΥΤΑ ΓΙΑ ΖΩΟΤΡΟΦΕΣ6405</v>
          </cell>
          <cell r="E1405" t="str">
            <v>ΣΟΓΙΑ - ΚΑΡΠΟΣ ΓΙΑ ΖΩΟΤΡΟΦΕΣ</v>
          </cell>
          <cell r="I1405" t="str">
            <v>ΚΤΗΝΟΤΡΟΦΙΚΑ ΦΥΤΑ ΓΙΑ ΖΩΟΤΡΟΦΕΣ</v>
          </cell>
          <cell r="K1405" t="str">
            <v>Όχι</v>
          </cell>
          <cell r="L1405" t="str">
            <v>ΌΧΙ</v>
          </cell>
          <cell r="O1405" t="str">
            <v/>
          </cell>
        </row>
        <row r="1406">
          <cell r="D1406" t="str">
            <v>ΚΤΗΝΟΤΡΟΦΙΚΑ ΦΥΤΑ ΓΙΑ ΖΩΟΤΡΟΦΕΣ6602</v>
          </cell>
          <cell r="E1406" t="str">
            <v>ΚΟΥΚΙΑ ΞΕΡΑ ΤΑΝΑΓΡΑ (Μ-10868)</v>
          </cell>
          <cell r="I1406" t="str">
            <v>ΚΤΗΝΟΤΡΟΦΙΚΑ ΦΥΤΑ ΓΙΑ ΖΩΟΤΡΟΦΕΣ</v>
          </cell>
          <cell r="K1406" t="str">
            <v>Ναι</v>
          </cell>
          <cell r="L1406" t="str">
            <v>ΝΑΙ</v>
          </cell>
          <cell r="O1406" t="str">
            <v/>
          </cell>
        </row>
        <row r="1407">
          <cell r="D1407" t="str">
            <v>ΚΤΗΝΟΤΡΟΦΙΚΑ ΦΥΤΑ ΓΙΑ ΖΩΟΤΡΟΦΕΣ6701</v>
          </cell>
          <cell r="E1407" t="str">
            <v>ΜΠΙΖΕΛΙΑ ΞΕΡΑ (ΠΙΣΣΑ) ΒΕΡΜΙΟ (Μ-8772)</v>
          </cell>
          <cell r="I1407" t="str">
            <v>ΚΤΗΝΟΤΡΟΦΙΚΑ ΦΥΤΑ ΓΙΑ ΖΩΟΤΡΟΦΕΣ</v>
          </cell>
          <cell r="K1407" t="str">
            <v>Ναι</v>
          </cell>
          <cell r="L1407" t="str">
            <v>ΝΑΙ</v>
          </cell>
          <cell r="O1407" t="str">
            <v/>
          </cell>
        </row>
        <row r="1408">
          <cell r="D1408" t="str">
            <v>ΚΤΗΝΟΤΡΟΦΙΚΑ ΦΥΤΑ ΓΙΑ ΖΩΟΤΡΟΦΕΣ6702</v>
          </cell>
          <cell r="E1408" t="str">
            <v>ΜΠΙΖΕΛΙΑ ΞΕΡΑ (ΠΙΣΣΑ) ΔΩΔΩΝΗ (Μ-10)</v>
          </cell>
          <cell r="I1408" t="str">
            <v>ΚΤΗΝΟΤΡΟΦΙΚΑ ΦΥΤΑ ΓΙΑ ΖΩΟΤΡΟΦΕΣ</v>
          </cell>
          <cell r="K1408" t="str">
            <v>Ναι</v>
          </cell>
          <cell r="L1408" t="str">
            <v>ΝΑΙ</v>
          </cell>
          <cell r="O1408" t="str">
            <v/>
          </cell>
        </row>
        <row r="1409">
          <cell r="D1409" t="str">
            <v>ΚΤΗΝΟΤΡΟΦΙΚΑ ΦΥΤΑ ΓΙΑ ΖΩΟΤΡΟΦΕΣ6703</v>
          </cell>
          <cell r="E1409" t="str">
            <v>ΜΠΙΖΕΛΙΑ ΞΕΡΑ (ΠΙΣΣΑ) ΙΘΩΜΗ (Μ-9771)</v>
          </cell>
          <cell r="I1409" t="str">
            <v>ΚΤΗΝΟΤΡΟΦΙΚΑ ΦΥΤΑ ΓΙΑ ΖΩΟΤΡΟΦΕΣ</v>
          </cell>
          <cell r="K1409" t="str">
            <v>Ναι</v>
          </cell>
          <cell r="L1409" t="str">
            <v>ΝΑΙ</v>
          </cell>
          <cell r="O1409" t="str">
            <v/>
          </cell>
        </row>
        <row r="1410">
          <cell r="D1410" t="str">
            <v>ΚΤΗΝΟΤΡΟΦΙΚΑ ΦΥΤΑ ΓΙΑ ΖΩΟΤΡΟΦΕΣ6704</v>
          </cell>
          <cell r="E1410" t="str">
            <v>ΜΠΙΖΕΛΙΑ ΞΕΡΑ (ΠΙΣΣΑ) ΚΑΡΠΑΘΟΣ (Κ-251)</v>
          </cell>
          <cell r="I1410" t="str">
            <v>ΚΤΗΝΟΤΡΟΦΙΚΑ ΦΥΤΑ ΓΙΑ ΖΩΟΤΡΟΦΕΣ</v>
          </cell>
          <cell r="K1410" t="str">
            <v>Ναι</v>
          </cell>
          <cell r="L1410" t="str">
            <v>ΝΑΙ</v>
          </cell>
          <cell r="O1410" t="str">
            <v/>
          </cell>
        </row>
        <row r="1411">
          <cell r="D1411" t="str">
            <v>ΚΤΗΝΟΤΡΟΦΙΚΑ ΦΥΤΑ ΓΙΑ ΖΩΟΤΡΟΦΕΣ6705</v>
          </cell>
          <cell r="E1411" t="str">
            <v>ΜΠΙΖΕΛΙΑ ΞΕΡΑ (ΠΙΣΣΑ) ΟΛΥΜΠΟΣ (Κ-129)</v>
          </cell>
          <cell r="I1411" t="str">
            <v>ΚΤΗΝΟΤΡΟΦΙΚΑ ΦΥΤΑ ΓΙΑ ΖΩΟΤΡΟΦΕΣ</v>
          </cell>
          <cell r="K1411" t="str">
            <v>Ναι</v>
          </cell>
          <cell r="L1411" t="str">
            <v>ΝΑΙ</v>
          </cell>
          <cell r="O1411" t="str">
            <v/>
          </cell>
        </row>
        <row r="1412">
          <cell r="D1412" t="str">
            <v>ΚΤΗΝΟΤΡΟΦΙΚΑ ΦΥΤΑ ΓΙΑ ΖΩΟΤΡΟΦΕΣ6800</v>
          </cell>
          <cell r="E1412" t="str">
            <v>ΒΡΩΜΗ ΔΙΑΦΟΡΑ</v>
          </cell>
          <cell r="F1412" t="str">
            <v>B_1_1_5</v>
          </cell>
          <cell r="G1412" t="str">
            <v xml:space="preserve">Βρώμη </v>
          </cell>
          <cell r="H1412">
            <v>386</v>
          </cell>
          <cell r="I1412" t="str">
            <v>ΚΤΗΝΟΤΡΟΦΙΚΑ ΦΥΤΑ ΓΙΑ ΖΩΟΤΡΟΦΕΣ</v>
          </cell>
          <cell r="K1412" t="str">
            <v>Ναι</v>
          </cell>
          <cell r="L1412" t="str">
            <v>ΝΑΙ</v>
          </cell>
          <cell r="O1412" t="str">
            <v>!</v>
          </cell>
        </row>
        <row r="1413">
          <cell r="D1413" t="str">
            <v>ΚΤΗΝΟΤΡΟΦΙΚΑ ΦΥΤΑ ΓΙΑ ΖΩΟΤΡΟΦΕΣ6801</v>
          </cell>
          <cell r="E1413" t="str">
            <v>ΒΡΩΜΗ ΒΕΡΜΙΟ</v>
          </cell>
          <cell r="F1413" t="str">
            <v>B_1_1_5</v>
          </cell>
          <cell r="G1413" t="str">
            <v xml:space="preserve">Βρώμη </v>
          </cell>
          <cell r="H1413">
            <v>386</v>
          </cell>
          <cell r="I1413" t="str">
            <v>ΚΤΗΝΟΤΡΟΦΙΚΑ ΦΥΤΑ ΓΙΑ ΖΩΟΤΡΟΦΕΣ</v>
          </cell>
          <cell r="K1413" t="str">
            <v>Ναι</v>
          </cell>
          <cell r="L1413" t="str">
            <v>ΝΑΙ</v>
          </cell>
          <cell r="O1413" t="str">
            <v>!</v>
          </cell>
        </row>
        <row r="1414">
          <cell r="D1414" t="str">
            <v>ΚΤΗΝΟΤΡΟΦΙΚΑ ΦΥΤΑ ΓΙΑ ΖΩΟΤΡΟΦΕΣ6802</v>
          </cell>
          <cell r="E1414" t="str">
            <v>ΒΡΩΜΗ ΚΑΣΑΝΔΡΑ</v>
          </cell>
          <cell r="F1414" t="str">
            <v>B_1_1_5</v>
          </cell>
          <cell r="G1414" t="str">
            <v xml:space="preserve">Βρώμη </v>
          </cell>
          <cell r="H1414">
            <v>386</v>
          </cell>
          <cell r="I1414" t="str">
            <v>ΚΤΗΝΟΤΡΟΦΙΚΑ ΦΥΤΑ ΓΙΑ ΖΩΟΤΡΟΦΕΣ</v>
          </cell>
          <cell r="K1414" t="str">
            <v>Ναι</v>
          </cell>
          <cell r="L1414" t="str">
            <v>ΝΑΙ</v>
          </cell>
          <cell r="O1414" t="str">
            <v>!</v>
          </cell>
        </row>
        <row r="1415">
          <cell r="D1415" t="str">
            <v>ΚΤΗΝΟΤΡΟΦΙΚΑ ΦΥΤΑ ΓΙΑ ΖΩΟΤΡΟΦΕΣ6900</v>
          </cell>
          <cell r="E1415" t="str">
            <v>ΚΡΙΘΑΡΙ ΔΙΑΦΟΡΑ</v>
          </cell>
          <cell r="F1415" t="str">
            <v>B_1_1_4</v>
          </cell>
          <cell r="G1415" t="str">
            <v xml:space="preserve">Κριθάρι </v>
          </cell>
          <cell r="H1415">
            <v>364</v>
          </cell>
          <cell r="I1415" t="str">
            <v>ΚΤΗΝΟΤΡΟΦΙΚΑ ΦΥΤΑ ΓΙΑ ΖΩΟΤΡΟΦΕΣ</v>
          </cell>
          <cell r="K1415" t="str">
            <v>Ναι</v>
          </cell>
          <cell r="L1415" t="str">
            <v>ΝΑΙ</v>
          </cell>
          <cell r="O1415" t="str">
            <v>!</v>
          </cell>
        </row>
        <row r="1416">
          <cell r="D1416" t="str">
            <v>ΚΤΗΝΟΤΡΟΦΙΚΑ ΦΥΤΑ ΓΙΑ ΖΩΟΤΡΟΦΕΣ6901</v>
          </cell>
          <cell r="E1416" t="str">
            <v>ΚΡΙΘΑΡΙ AURA</v>
          </cell>
          <cell r="F1416" t="str">
            <v>B_1_1_4</v>
          </cell>
          <cell r="G1416" t="str">
            <v xml:space="preserve">Κριθάρι </v>
          </cell>
          <cell r="H1416">
            <v>364</v>
          </cell>
          <cell r="I1416" t="str">
            <v>ΚΤΗΝΟΤΡΟΦΙΚΑ ΦΥΤΑ ΓΙΑ ΖΩΟΤΡΟΦΕΣ</v>
          </cell>
          <cell r="K1416" t="str">
            <v>Ναι</v>
          </cell>
          <cell r="L1416" t="str">
            <v>ΝΑΙ</v>
          </cell>
          <cell r="O1416" t="str">
            <v>!</v>
          </cell>
        </row>
        <row r="1417">
          <cell r="D1417" t="str">
            <v>ΚΤΗΝΟΤΡΟΦΙΚΑ ΦΥΤΑ ΓΙΑ ΖΩΟΤΡΟΦΕΣ6902</v>
          </cell>
          <cell r="E1417" t="str">
            <v>ΚΡΙΘΑΡΙ BANDULLA</v>
          </cell>
          <cell r="F1417" t="str">
            <v>B_1_1_4</v>
          </cell>
          <cell r="G1417" t="str">
            <v xml:space="preserve">Κριθάρι </v>
          </cell>
          <cell r="H1417">
            <v>364</v>
          </cell>
          <cell r="I1417" t="str">
            <v>ΚΤΗΝΟΤΡΟΦΙΚΑ ΦΥΤΑ ΓΙΑ ΖΩΟΤΡΟΦΕΣ</v>
          </cell>
          <cell r="K1417" t="str">
            <v>Ναι</v>
          </cell>
          <cell r="L1417" t="str">
            <v>ΝΑΙ</v>
          </cell>
          <cell r="O1417" t="str">
            <v>!</v>
          </cell>
        </row>
        <row r="1418">
          <cell r="D1418" t="str">
            <v>ΚΤΗΝΟΤΡΟΦΙΚΑ ΦΥΤΑ ΓΙΑ ΖΩΟΤΡΟΦΕΣ6903</v>
          </cell>
          <cell r="E1418" t="str">
            <v>ΚΡΙΘΑΡΙ CARINA</v>
          </cell>
          <cell r="F1418" t="str">
            <v>B_1_1_4</v>
          </cell>
          <cell r="G1418" t="str">
            <v xml:space="preserve">Κριθάρι </v>
          </cell>
          <cell r="H1418">
            <v>364</v>
          </cell>
          <cell r="I1418" t="str">
            <v>ΚΤΗΝΟΤΡΟΦΙΚΑ ΦΥΤΑ ΓΙΑ ΖΩΟΤΡΟΦΕΣ</v>
          </cell>
          <cell r="K1418" t="str">
            <v>Ναι</v>
          </cell>
          <cell r="L1418" t="str">
            <v>ΝΑΙ</v>
          </cell>
          <cell r="O1418" t="str">
            <v>!</v>
          </cell>
        </row>
        <row r="1419">
          <cell r="D1419" t="str">
            <v>ΚΤΗΝΟΤΡΟΦΙΚΑ ΦΥΤΑ ΓΙΑ ΖΩΟΤΡΟΦΕΣ6904</v>
          </cell>
          <cell r="E1419" t="str">
            <v>ΚΡΙΘΑΡΙ CERISE</v>
          </cell>
          <cell r="F1419" t="str">
            <v>B_1_1_4</v>
          </cell>
          <cell r="G1419" t="str">
            <v xml:space="preserve">Κριθάρι </v>
          </cell>
          <cell r="H1419">
            <v>364</v>
          </cell>
          <cell r="I1419" t="str">
            <v>ΚΤΗΝΟΤΡΟΦΙΚΑ ΦΥΤΑ ΓΙΑ ΖΩΟΤΡΟΦΕΣ</v>
          </cell>
          <cell r="K1419" t="str">
            <v>Ναι</v>
          </cell>
          <cell r="L1419" t="str">
            <v>ΝΑΙ</v>
          </cell>
          <cell r="O1419" t="str">
            <v>!</v>
          </cell>
        </row>
        <row r="1420">
          <cell r="D1420" t="str">
            <v>ΚΤΗΝΟΤΡΟΦΙΚΑ ΦΥΤΑ ΓΙΑ ΖΩΟΤΡΟΦΕΣ6905</v>
          </cell>
          <cell r="E1420" t="str">
            <v>ΚΡΙΘΑΡΙ CORNEL</v>
          </cell>
          <cell r="F1420" t="str">
            <v>B_1_1_4</v>
          </cell>
          <cell r="G1420" t="str">
            <v xml:space="preserve">Κριθάρι </v>
          </cell>
          <cell r="H1420">
            <v>364</v>
          </cell>
          <cell r="I1420" t="str">
            <v>ΚΤΗΝΟΤΡΟΦΙΚΑ ΦΥΤΑ ΓΙΑ ΖΩΟΤΡΟΦΕΣ</v>
          </cell>
          <cell r="K1420" t="str">
            <v>Ναι</v>
          </cell>
          <cell r="L1420" t="str">
            <v>ΝΑΙ</v>
          </cell>
          <cell r="O1420" t="str">
            <v>!</v>
          </cell>
        </row>
        <row r="1421">
          <cell r="D1421" t="str">
            <v>ΚΤΗΝΟΤΡΟΦΙΚΑ ΦΥΤΑ ΓΙΑ ΖΩΟΤΡΟΦΕΣ6906</v>
          </cell>
          <cell r="E1421" t="str">
            <v>ΚΡΙΘΑΡΙ ΓΡΑΜΜΟΣ</v>
          </cell>
          <cell r="F1421" t="str">
            <v>B_1_1_4</v>
          </cell>
          <cell r="G1421" t="str">
            <v xml:space="preserve">Κριθάρι </v>
          </cell>
          <cell r="H1421">
            <v>364</v>
          </cell>
          <cell r="I1421" t="str">
            <v>ΚΤΗΝΟΤΡΟΦΙΚΑ ΦΥΤΑ ΓΙΑ ΖΩΟΤΡΟΦΕΣ</v>
          </cell>
          <cell r="K1421" t="str">
            <v>Ναι</v>
          </cell>
          <cell r="L1421" t="str">
            <v>ΝΑΙ</v>
          </cell>
          <cell r="O1421" t="str">
            <v>!</v>
          </cell>
        </row>
        <row r="1422">
          <cell r="D1422" t="str">
            <v>ΚΤΗΝΟΤΡΟΦΙΚΑ ΦΥΤΑ ΓΙΑ ΖΩΟΤΡΟΦΕΣ6907</v>
          </cell>
          <cell r="E1422" t="str">
            <v>ΚΡΙΘΑΡΙ DELTA</v>
          </cell>
          <cell r="F1422" t="str">
            <v>B_1_1_4</v>
          </cell>
          <cell r="G1422" t="str">
            <v xml:space="preserve">Κριθάρι </v>
          </cell>
          <cell r="H1422">
            <v>364</v>
          </cell>
          <cell r="I1422" t="str">
            <v>ΚΤΗΝΟΤΡΟΦΙΚΑ ΦΥΤΑ ΓΙΑ ΖΩΟΤΡΟΦΕΣ</v>
          </cell>
          <cell r="K1422" t="str">
            <v>Ναι</v>
          </cell>
          <cell r="L1422" t="str">
            <v>ΝΑΙ</v>
          </cell>
          <cell r="O1422" t="str">
            <v>!</v>
          </cell>
        </row>
        <row r="1423">
          <cell r="D1423" t="str">
            <v>ΚΤΗΝΟΤΡΟΦΙΚΑ ΦΥΤΑ ΓΙΑ ΖΩΟΤΡΟΦΕΣ6908</v>
          </cell>
          <cell r="E1423" t="str">
            <v>ΚΡΙΘΑΡΙ GEORGE</v>
          </cell>
          <cell r="F1423" t="str">
            <v>B_1_1_4</v>
          </cell>
          <cell r="G1423" t="str">
            <v xml:space="preserve">Κριθάρι </v>
          </cell>
          <cell r="H1423">
            <v>364</v>
          </cell>
          <cell r="I1423" t="str">
            <v>ΚΤΗΝΟΤΡΟΦΙΚΑ ΦΥΤΑ ΓΙΑ ΖΩΟΤΡΟΦΕΣ</v>
          </cell>
          <cell r="K1423" t="str">
            <v>Ναι</v>
          </cell>
          <cell r="L1423" t="str">
            <v>ΝΑΙ</v>
          </cell>
          <cell r="O1423" t="str">
            <v>!</v>
          </cell>
        </row>
        <row r="1424">
          <cell r="D1424" t="str">
            <v>ΚΤΗΝΟΤΡΟΦΙΚΑ ΦΥΤΑ ΓΙΑ ΖΩΟΤΡΟΦΕΣ6909</v>
          </cell>
          <cell r="E1424" t="str">
            <v>ΚΡΙΘΑΡΙ GRIT</v>
          </cell>
          <cell r="F1424" t="str">
            <v>B_1_1_4</v>
          </cell>
          <cell r="G1424" t="str">
            <v xml:space="preserve">Κριθάρι </v>
          </cell>
          <cell r="H1424">
            <v>364</v>
          </cell>
          <cell r="I1424" t="str">
            <v>ΚΤΗΝΟΤΡΟΦΙΚΑ ΦΥΤΑ ΓΙΑ ΖΩΟΤΡΟΦΕΣ</v>
          </cell>
          <cell r="K1424" t="str">
            <v>Ναι</v>
          </cell>
          <cell r="L1424" t="str">
            <v>ΝΑΙ</v>
          </cell>
          <cell r="O1424" t="str">
            <v>!</v>
          </cell>
        </row>
        <row r="1425">
          <cell r="D1425" t="str">
            <v>ΚΤΗΝΟΤΡΟΦΙΚΑ ΦΥΤΑ ΓΙΑ ΖΩΟΤΡΟΦΕΣ6910</v>
          </cell>
          <cell r="E1425" t="str">
            <v>ΚΡΙΘΑΡΙ HARRY</v>
          </cell>
          <cell r="F1425" t="str">
            <v>B_1_1_4</v>
          </cell>
          <cell r="G1425" t="str">
            <v xml:space="preserve">Κριθάρι </v>
          </cell>
          <cell r="H1425">
            <v>364</v>
          </cell>
          <cell r="I1425" t="str">
            <v>ΚΤΗΝΟΤΡΟΦΙΚΑ ΦΥΤΑ ΓΙΑ ΖΩΟΤΡΟΦΕΣ</v>
          </cell>
          <cell r="K1425" t="str">
            <v>Ναι</v>
          </cell>
          <cell r="L1425" t="str">
            <v>ΝΑΙ</v>
          </cell>
          <cell r="O1425" t="str">
            <v>!</v>
          </cell>
        </row>
        <row r="1426">
          <cell r="D1426" t="str">
            <v>ΚΤΗΝΟΤΡΟΦΙΚΑ ΦΥΤΑ ΓΙΑ ΖΩΟΤΡΟΦΕΣ6911</v>
          </cell>
          <cell r="E1426" t="str">
            <v>ΚΡΙΘΑΡΙ HELENA</v>
          </cell>
          <cell r="F1426" t="str">
            <v>B_1_1_4</v>
          </cell>
          <cell r="G1426" t="str">
            <v xml:space="preserve">Κριθάρι </v>
          </cell>
          <cell r="H1426">
            <v>364</v>
          </cell>
          <cell r="I1426" t="str">
            <v>ΚΤΗΝΟΤΡΟΦΙΚΑ ΦΥΤΑ ΓΙΑ ΖΩΟΤΡΟΦΕΣ</v>
          </cell>
          <cell r="K1426" t="str">
            <v>Ναι</v>
          </cell>
          <cell r="L1426" t="str">
            <v>ΝΑΙ</v>
          </cell>
          <cell r="O1426" t="str">
            <v>!</v>
          </cell>
        </row>
        <row r="1427">
          <cell r="D1427" t="str">
            <v>ΚΤΗΝΟΤΡΟΦΙΚΑ ΦΥΤΑ ΓΙΑ ΖΩΟΤΡΟΦΕΣ6912</v>
          </cell>
          <cell r="E1427" t="str">
            <v>ΚΡΙΘΑΡΙ IDA</v>
          </cell>
          <cell r="F1427" t="str">
            <v>B_1_1_4</v>
          </cell>
          <cell r="G1427" t="str">
            <v xml:space="preserve">Κριθάρι </v>
          </cell>
          <cell r="H1427">
            <v>364</v>
          </cell>
          <cell r="I1427" t="str">
            <v>ΚΤΗΝΟΤΡΟΦΙΚΑ ΦΥΤΑ ΓΙΑ ΖΩΟΤΡΟΦΕΣ</v>
          </cell>
          <cell r="K1427" t="str">
            <v>Ναι</v>
          </cell>
          <cell r="L1427" t="str">
            <v>ΝΑΙ</v>
          </cell>
          <cell r="O1427" t="str">
            <v>!</v>
          </cell>
        </row>
        <row r="1428">
          <cell r="D1428" t="str">
            <v>ΚΤΗΝΟΤΡΟΦΙΚΑ ΦΥΤΑ ΓΙΑ ΖΩΟΤΡΟΦΕΣ6913</v>
          </cell>
          <cell r="E1428" t="str">
            <v>ΚΡΙΘΑΡΙ IGRI</v>
          </cell>
          <cell r="F1428" t="str">
            <v>B_1_1_4</v>
          </cell>
          <cell r="G1428" t="str">
            <v xml:space="preserve">Κριθάρι </v>
          </cell>
          <cell r="H1428">
            <v>364</v>
          </cell>
          <cell r="I1428" t="str">
            <v>ΚΤΗΝΟΤΡΟΦΙΚΑ ΦΥΤΑ ΓΙΑ ΖΩΟΤΡΟΦΕΣ</v>
          </cell>
          <cell r="K1428" t="str">
            <v>Ναι</v>
          </cell>
          <cell r="L1428" t="str">
            <v>ΝΑΙ</v>
          </cell>
          <cell r="O1428" t="str">
            <v>!</v>
          </cell>
        </row>
        <row r="1429">
          <cell r="D1429" t="str">
            <v>ΚΤΗΝΟΤΡΟΦΙΚΑ ΦΥΤΑ ΓΙΑ ΖΩΟΤΡΟΦΕΣ6914</v>
          </cell>
          <cell r="E1429" t="str">
            <v>ΚΡΙΘΑΡΙ IRANIA</v>
          </cell>
          <cell r="F1429" t="str">
            <v>B_1_1_4</v>
          </cell>
          <cell r="G1429" t="str">
            <v xml:space="preserve">Κριθάρι </v>
          </cell>
          <cell r="H1429">
            <v>364</v>
          </cell>
          <cell r="I1429" t="str">
            <v>ΚΤΗΝΟΤΡΟΦΙΚΑ ΦΥΤΑ ΓΙΑ ΖΩΟΤΡΟΦΕΣ</v>
          </cell>
          <cell r="K1429" t="str">
            <v>Ναι</v>
          </cell>
          <cell r="L1429" t="str">
            <v>ΝΑΙ</v>
          </cell>
          <cell r="O1429" t="str">
            <v>!</v>
          </cell>
        </row>
        <row r="1430">
          <cell r="D1430" t="str">
            <v>ΚΤΗΝΟΤΡΟΦΙΚΑ ΦΥΤΑ ΓΙΑ ΖΩΟΤΡΟΦΕΣ6915</v>
          </cell>
          <cell r="E1430" t="str">
            <v>ΚΡΙΘΑΡΙ IRLA</v>
          </cell>
          <cell r="F1430" t="str">
            <v>B_1_1_4</v>
          </cell>
          <cell r="G1430" t="str">
            <v xml:space="preserve">Κριθάρι </v>
          </cell>
          <cell r="H1430">
            <v>364</v>
          </cell>
          <cell r="I1430" t="str">
            <v>ΚΤΗΝΟΤΡΟΦΙΚΑ ΦΥΤΑ ΓΙΑ ΖΩΟΤΡΟΦΕΣ</v>
          </cell>
          <cell r="K1430" t="str">
            <v>Ναι</v>
          </cell>
          <cell r="L1430" t="str">
            <v>ΝΑΙ</v>
          </cell>
          <cell r="O1430" t="str">
            <v>!</v>
          </cell>
        </row>
        <row r="1431">
          <cell r="D1431" t="str">
            <v>ΚΤΗΝΟΤΡΟΦΙΚΑ ΦΥΤΑ ΓΙΑ ΖΩΟΤΡΟΦΕΣ6916</v>
          </cell>
          <cell r="E1431" t="str">
            <v>ΚΡΙΘΑΡΙ ΚΑΔΜΟΣ</v>
          </cell>
          <cell r="F1431" t="str">
            <v>B_1_1_4</v>
          </cell>
          <cell r="G1431" t="str">
            <v xml:space="preserve">Κριθάρι </v>
          </cell>
          <cell r="H1431">
            <v>364</v>
          </cell>
          <cell r="I1431" t="str">
            <v>ΚΤΗΝΟΤΡΟΦΙΚΑ ΦΥΤΑ ΓΙΑ ΖΩΟΤΡΟΦΕΣ</v>
          </cell>
          <cell r="K1431" t="str">
            <v>Ναι</v>
          </cell>
          <cell r="L1431" t="str">
            <v>ΝΑΙ</v>
          </cell>
          <cell r="O1431" t="str">
            <v>!</v>
          </cell>
        </row>
        <row r="1432">
          <cell r="D1432" t="str">
            <v>ΚΤΗΝΟΤΡΟΦΙΚΑ ΦΥΤΑ ΓΙΑ ΖΩΟΤΡΟΦΕΣ6917</v>
          </cell>
          <cell r="E1432" t="str">
            <v>ΚΡΙΘΑΡΙ ΚΑΛΥΜΝΟΣ</v>
          </cell>
          <cell r="F1432" t="str">
            <v>B_1_1_4</v>
          </cell>
          <cell r="G1432" t="str">
            <v xml:space="preserve">Κριθάρι </v>
          </cell>
          <cell r="H1432">
            <v>364</v>
          </cell>
          <cell r="I1432" t="str">
            <v>ΚΤΗΝΟΤΡΟΦΙΚΑ ΦΥΤΑ ΓΙΑ ΖΩΟΤΡΟΦΕΣ</v>
          </cell>
          <cell r="K1432" t="str">
            <v>Ναι</v>
          </cell>
          <cell r="L1432" t="str">
            <v>ΝΑΙ</v>
          </cell>
          <cell r="O1432" t="str">
            <v>!</v>
          </cell>
        </row>
        <row r="1433">
          <cell r="D1433" t="str">
            <v>ΚΤΗΝΟΤΡΟΦΙΚΑ ΦΥΤΑ ΓΙΑ ΖΩΟΤΡΟΦΕΣ6918</v>
          </cell>
          <cell r="E1433" t="str">
            <v>ΚΡΙΘΑΡΙ ΚΑΜΕΙΡΟΣ</v>
          </cell>
          <cell r="F1433" t="str">
            <v>B_1_1_4</v>
          </cell>
          <cell r="G1433" t="str">
            <v xml:space="preserve">Κριθάρι </v>
          </cell>
          <cell r="H1433">
            <v>364</v>
          </cell>
          <cell r="I1433" t="str">
            <v>ΚΤΗΝΟΤΡΟΦΙΚΑ ΦΥΤΑ ΓΙΑ ΖΩΟΤΡΟΦΕΣ</v>
          </cell>
          <cell r="K1433" t="str">
            <v>Ναι</v>
          </cell>
          <cell r="L1433" t="str">
            <v>ΝΑΙ</v>
          </cell>
          <cell r="O1433" t="str">
            <v>!</v>
          </cell>
        </row>
        <row r="1434">
          <cell r="D1434" t="str">
            <v>ΚΤΗΝΟΤΡΟΦΙΚΑ ΦΥΤΑ ΓΙΑ ΖΩΟΤΡΟΦΕΣ6919</v>
          </cell>
          <cell r="E1434" t="str">
            <v>ΚΡΙΘΑΡΙ ΚΑΡΠΑΘΟΣ</v>
          </cell>
          <cell r="F1434" t="str">
            <v>B_1_1_4</v>
          </cell>
          <cell r="G1434" t="str">
            <v xml:space="preserve">Κριθάρι </v>
          </cell>
          <cell r="H1434">
            <v>364</v>
          </cell>
          <cell r="I1434" t="str">
            <v>ΚΤΗΝΟΤΡΟΦΙΚΑ ΦΥΤΑ ΓΙΑ ΖΩΟΤΡΟΦΕΣ</v>
          </cell>
          <cell r="K1434" t="str">
            <v>Ναι</v>
          </cell>
          <cell r="L1434" t="str">
            <v>ΝΑΙ</v>
          </cell>
          <cell r="O1434" t="str">
            <v>!</v>
          </cell>
        </row>
        <row r="1435">
          <cell r="D1435" t="str">
            <v>ΚΤΗΝΟΤΡΟΦΙΚΑ ΦΥΤΑ ΓΙΑ ΖΩΟΤΡΟΦΕΣ6920</v>
          </cell>
          <cell r="E1435" t="str">
            <v>ΚΡΙΘΑΡΙ ΚΑΣΣΟΣ</v>
          </cell>
          <cell r="F1435" t="str">
            <v>B_1_1_4</v>
          </cell>
          <cell r="G1435" t="str">
            <v xml:space="preserve">Κριθάρι </v>
          </cell>
          <cell r="H1435">
            <v>364</v>
          </cell>
          <cell r="I1435" t="str">
            <v>ΚΤΗΝΟΤΡΟΦΙΚΑ ΦΥΤΑ ΓΙΑ ΖΩΟΤΡΟΦΕΣ</v>
          </cell>
          <cell r="K1435" t="str">
            <v>Ναι</v>
          </cell>
          <cell r="L1435" t="str">
            <v>ΝΑΙ</v>
          </cell>
          <cell r="O1435" t="str">
            <v>!</v>
          </cell>
        </row>
        <row r="1436">
          <cell r="D1436" t="str">
            <v>ΚΤΗΝΟΤΡΟΦΙΚΑ ΦΥΤΑ ΓΙΑ ΖΩΟΤΡΟΦΕΣ6921</v>
          </cell>
          <cell r="E1436" t="str">
            <v>ΚΡΙΘΑΡΙ KASKADE</v>
          </cell>
          <cell r="F1436" t="str">
            <v>B_1_1_4</v>
          </cell>
          <cell r="G1436" t="str">
            <v xml:space="preserve">Κριθάρι </v>
          </cell>
          <cell r="H1436">
            <v>364</v>
          </cell>
          <cell r="I1436" t="str">
            <v>ΚΤΗΝΟΤΡΟΦΙΚΑ ΦΥΤΑ ΓΙΑ ΖΩΟΤΡΟΦΕΣ</v>
          </cell>
          <cell r="K1436" t="str">
            <v>Ναι</v>
          </cell>
          <cell r="L1436" t="str">
            <v>ΝΑΙ</v>
          </cell>
          <cell r="O1436" t="str">
            <v>!</v>
          </cell>
        </row>
        <row r="1437">
          <cell r="D1437" t="str">
            <v>ΚΤΗΝΟΤΡΟΦΙΚΑ ΦΥΤΑ ΓΙΑ ΖΩΟΤΡΟΦΕΣ6922</v>
          </cell>
          <cell r="E1437" t="str">
            <v>ΚΡΙΘΑΡΙ ΚΙΡΚΗ</v>
          </cell>
          <cell r="F1437" t="str">
            <v>B_1_1_4</v>
          </cell>
          <cell r="G1437" t="str">
            <v xml:space="preserve">Κριθάρι </v>
          </cell>
          <cell r="H1437">
            <v>364</v>
          </cell>
          <cell r="I1437" t="str">
            <v>ΚΤΗΝΟΤΡΟΦΙΚΑ ΦΥΤΑ ΓΙΑ ΖΩΟΤΡΟΦΕΣ</v>
          </cell>
          <cell r="K1437" t="str">
            <v>Ναι</v>
          </cell>
          <cell r="L1437" t="str">
            <v>ΝΑΙ</v>
          </cell>
          <cell r="O1437" t="str">
            <v>!</v>
          </cell>
        </row>
        <row r="1438">
          <cell r="D1438" t="str">
            <v>ΚΤΗΝΟΤΡΟΦΙΚΑ ΦΥΤΑ ΓΙΑ ΖΩΟΤΡΟΦΕΣ6923</v>
          </cell>
          <cell r="E1438" t="str">
            <v>ΚΡΙΘΑΡΙ ΚΛΙΠΠΕΡ 71</v>
          </cell>
          <cell r="F1438" t="str">
            <v>B_1_1_4</v>
          </cell>
          <cell r="G1438" t="str">
            <v xml:space="preserve">Κριθάρι </v>
          </cell>
          <cell r="H1438">
            <v>364</v>
          </cell>
          <cell r="I1438" t="str">
            <v>ΚΤΗΝΟΤΡΟΦΙΚΑ ΦΥΤΑ ΓΙΑ ΖΩΟΤΡΟΦΕΣ</v>
          </cell>
          <cell r="K1438" t="str">
            <v>Ναι</v>
          </cell>
          <cell r="L1438" t="str">
            <v>ΝΑΙ</v>
          </cell>
          <cell r="O1438" t="str">
            <v>!</v>
          </cell>
        </row>
        <row r="1439">
          <cell r="D1439" t="str">
            <v>ΚΤΗΝΟΤΡΟΦΙΚΑ ΦΥΤΑ ΓΙΑ ΖΩΟΤΡΟΦΕΣ6925</v>
          </cell>
          <cell r="E1439" t="str">
            <v>ΚΡΙΘΑΡΙ ΚΡΙΤΩΝ</v>
          </cell>
          <cell r="F1439" t="str">
            <v>B_1_1_4</v>
          </cell>
          <cell r="G1439" t="str">
            <v xml:space="preserve">Κριθάρι </v>
          </cell>
          <cell r="H1439">
            <v>364</v>
          </cell>
          <cell r="I1439" t="str">
            <v>ΚΤΗΝΟΤΡΟΦΙΚΑ ΦΥΤΑ ΓΙΑ ΖΩΟΤΡΟΦΕΣ</v>
          </cell>
          <cell r="K1439" t="str">
            <v>Ναι</v>
          </cell>
          <cell r="L1439" t="str">
            <v>ΝΑΙ</v>
          </cell>
          <cell r="O1439" t="str">
            <v>!</v>
          </cell>
        </row>
        <row r="1440">
          <cell r="D1440" t="str">
            <v>ΚΤΗΝΟΤΡΟΦΙΚΑ ΦΥΤΑ ΓΙΑ ΖΩΟΤΡΟΦΕΣ6926</v>
          </cell>
          <cell r="E1440" t="str">
            <v>ΚΡΙΘΑΡΙ ΚΡΟΝΟΣ</v>
          </cell>
          <cell r="F1440" t="str">
            <v>B_1_1_4</v>
          </cell>
          <cell r="G1440" t="str">
            <v xml:space="preserve">Κριθάρι </v>
          </cell>
          <cell r="H1440">
            <v>364</v>
          </cell>
          <cell r="I1440" t="str">
            <v>ΚΤΗΝΟΤΡΟΦΙΚΑ ΦΥΤΑ ΓΙΑ ΖΩΟΤΡΟΦΕΣ</v>
          </cell>
          <cell r="K1440" t="str">
            <v>Ναι</v>
          </cell>
          <cell r="L1440" t="str">
            <v>ΝΑΙ</v>
          </cell>
          <cell r="O1440" t="str">
            <v>!</v>
          </cell>
        </row>
        <row r="1441">
          <cell r="D1441" t="str">
            <v>ΚΤΗΝΟΤΡΟΦΙΚΑ ΦΥΤΑ ΓΙΑ ΖΩΟΤΡΟΦΕΣ6927</v>
          </cell>
          <cell r="E1441" t="str">
            <v>ΚΡΙΘΑΡΙ ΚΥΜ</v>
          </cell>
          <cell r="F1441" t="str">
            <v>B_1_1_4</v>
          </cell>
          <cell r="G1441" t="str">
            <v xml:space="preserve">Κριθάρι </v>
          </cell>
          <cell r="H1441">
            <v>364</v>
          </cell>
          <cell r="I1441" t="str">
            <v>ΚΤΗΝΟΤΡΟΦΙΚΑ ΦΥΤΑ ΓΙΑ ΖΩΟΤΡΟΦΕΣ</v>
          </cell>
          <cell r="K1441" t="str">
            <v>Ναι</v>
          </cell>
          <cell r="L1441" t="str">
            <v>ΝΑΙ</v>
          </cell>
          <cell r="O1441" t="str">
            <v>!</v>
          </cell>
        </row>
        <row r="1442">
          <cell r="D1442" t="str">
            <v>ΚΤΗΝΟΤΡΟΦΙΚΑ ΦΥΤΑ ΓΙΑ ΖΩΟΤΡΟΦΕΣ6928</v>
          </cell>
          <cell r="E1442" t="str">
            <v>ΚΡΙΘΑΡΙ MENUET</v>
          </cell>
          <cell r="F1442" t="str">
            <v>B_1_1_4</v>
          </cell>
          <cell r="G1442" t="str">
            <v xml:space="preserve">Κριθάρι </v>
          </cell>
          <cell r="H1442">
            <v>364</v>
          </cell>
          <cell r="I1442" t="str">
            <v>ΚΤΗΝΟΤΡΟΦΙΚΑ ΦΥΤΑ ΓΙΑ ΖΩΟΤΡΟΦΕΣ</v>
          </cell>
          <cell r="K1442" t="str">
            <v>Ναι</v>
          </cell>
          <cell r="L1442" t="str">
            <v>ΝΑΙ</v>
          </cell>
          <cell r="O1442" t="str">
            <v>!</v>
          </cell>
        </row>
        <row r="1443">
          <cell r="D1443" t="str">
            <v>ΚΤΗΝΟΤΡΟΦΙΚΑ ΦΥΤΑ ΓΙΑ ΖΩΟΤΡΟΦΕΣ6929</v>
          </cell>
          <cell r="E1443" t="str">
            <v>ΚΡΙΘΑΡΙ ΝΙΚΗ</v>
          </cell>
          <cell r="F1443" t="str">
            <v>B_1_1_4</v>
          </cell>
          <cell r="G1443" t="str">
            <v xml:space="preserve">Κριθάρι </v>
          </cell>
          <cell r="H1443">
            <v>364</v>
          </cell>
          <cell r="I1443" t="str">
            <v>ΚΤΗΝΟΤΡΟΦΙΚΑ ΦΥΤΑ ΓΙΑ ΖΩΟΤΡΟΦΕΣ</v>
          </cell>
          <cell r="K1443" t="str">
            <v>Ναι</v>
          </cell>
          <cell r="L1443" t="str">
            <v>ΝΑΙ</v>
          </cell>
          <cell r="O1443" t="str">
            <v>!</v>
          </cell>
        </row>
        <row r="1444">
          <cell r="D1444" t="str">
            <v>ΚΤΗΝΟΤΡΟΦΙΚΑ ΦΥΤΑ ΓΙΑ ΖΩΟΤΡΟΦΕΣ6930</v>
          </cell>
          <cell r="E1444" t="str">
            <v>ΚΡΙΘΑΡΙ PRESTO</v>
          </cell>
          <cell r="F1444" t="str">
            <v>B_1_1_4</v>
          </cell>
          <cell r="G1444" t="str">
            <v xml:space="preserve">Κριθάρι </v>
          </cell>
          <cell r="H1444">
            <v>364</v>
          </cell>
          <cell r="I1444" t="str">
            <v>ΚΤΗΝΟΤΡΟΦΙΚΑ ΦΥΤΑ ΓΙΑ ΖΩΟΤΡΟΦΕΣ</v>
          </cell>
          <cell r="K1444" t="str">
            <v>Ναι</v>
          </cell>
          <cell r="L1444" t="str">
            <v>ΝΑΙ</v>
          </cell>
          <cell r="O1444" t="str">
            <v>!</v>
          </cell>
        </row>
        <row r="1445">
          <cell r="D1445" t="str">
            <v>ΚΤΗΝΟΤΡΟΦΙΚΑ ΦΥΤΑ ΓΙΑ ΖΩΟΤΡΟΦΕΣ6931</v>
          </cell>
          <cell r="E1445" t="str">
            <v>ΚΡΙΘΑΡΙ SONJA</v>
          </cell>
          <cell r="F1445" t="str">
            <v>B_1_1_4</v>
          </cell>
          <cell r="G1445" t="str">
            <v xml:space="preserve">Κριθάρι </v>
          </cell>
          <cell r="H1445">
            <v>364</v>
          </cell>
          <cell r="I1445" t="str">
            <v>ΚΤΗΝΟΤΡΟΦΙΚΑ ΦΥΤΑ ΓΙΑ ΖΩΟΤΡΟΦΕΣ</v>
          </cell>
          <cell r="K1445" t="str">
            <v>Ναι</v>
          </cell>
          <cell r="L1445" t="str">
            <v>ΝΑΙ</v>
          </cell>
          <cell r="O1445" t="str">
            <v>!</v>
          </cell>
        </row>
        <row r="1446">
          <cell r="D1446" t="str">
            <v>ΚΤΗΝΟΤΡΟΦΙΚΑ ΦΥΤΑ ΓΙΑ ΖΩΟΤΡΟΦΕΣ6932</v>
          </cell>
          <cell r="E1446" t="str">
            <v>ΚΡΙΘΑΡΙ ΣΟΦΙΑ</v>
          </cell>
          <cell r="F1446" t="str">
            <v>B_1_1_4</v>
          </cell>
          <cell r="G1446" t="str">
            <v xml:space="preserve">Κριθάρι </v>
          </cell>
          <cell r="H1446">
            <v>364</v>
          </cell>
          <cell r="I1446" t="str">
            <v>ΚΤΗΝΟΤΡΟΦΙΚΑ ΦΥΤΑ ΓΙΑ ΖΩΟΤΡΟΦΕΣ</v>
          </cell>
          <cell r="K1446" t="str">
            <v>Ναι</v>
          </cell>
          <cell r="L1446" t="str">
            <v>ΝΑΙ</v>
          </cell>
          <cell r="O1446" t="str">
            <v>!</v>
          </cell>
        </row>
        <row r="1447">
          <cell r="D1447" t="str">
            <v>ΚΤΗΝΟΤΡΟΦΙΚΑ ΦΥΤΑ ΓΙΑ ΖΩΟΤΡΟΦΕΣ6933</v>
          </cell>
          <cell r="E1447" t="str">
            <v>ΚΡΙΘΑΡΙ ΣΠΙΘΑ</v>
          </cell>
          <cell r="F1447" t="str">
            <v>B_1_1_4</v>
          </cell>
          <cell r="G1447" t="str">
            <v xml:space="preserve">Κριθάρι </v>
          </cell>
          <cell r="H1447">
            <v>364</v>
          </cell>
          <cell r="I1447" t="str">
            <v>ΚΤΗΝΟΤΡΟΦΙΚΑ ΦΥΤΑ ΓΙΑ ΖΩΟΤΡΟΦΕΣ</v>
          </cell>
          <cell r="K1447" t="str">
            <v>Ναι</v>
          </cell>
          <cell r="L1447" t="str">
            <v>ΝΑΙ</v>
          </cell>
          <cell r="O1447" t="str">
            <v>!</v>
          </cell>
        </row>
        <row r="1448">
          <cell r="D1448" t="str">
            <v>ΚΤΗΝΟΤΡΟΦΙΚΑ ΦΥΤΑ ΓΙΑ ΖΩΟΤΡΟΦΕΣ6934</v>
          </cell>
          <cell r="E1448" t="str">
            <v>ΚΡΙΘΑΡΙ TORKEL</v>
          </cell>
          <cell r="F1448" t="str">
            <v>B_1_1_4</v>
          </cell>
          <cell r="G1448" t="str">
            <v xml:space="preserve">Κριθάρι </v>
          </cell>
          <cell r="H1448">
            <v>364</v>
          </cell>
          <cell r="I1448" t="str">
            <v>ΚΤΗΝΟΤΡΟΦΙΚΑ ΦΥΤΑ ΓΙΑ ΖΩΟΤΡΟΦΕΣ</v>
          </cell>
          <cell r="K1448" t="str">
            <v>Ναι</v>
          </cell>
          <cell r="L1448" t="str">
            <v>ΝΑΙ</v>
          </cell>
          <cell r="O1448" t="str">
            <v>!</v>
          </cell>
        </row>
        <row r="1449">
          <cell r="D1449" t="str">
            <v>ΚΤΗΝΟΤΡΟΦΙΚΑ ΦΥΤΑ ΓΙΑ ΖΩΟΤΡΟΦΕΣ6935</v>
          </cell>
          <cell r="E1449" t="str">
            <v>ΚΡΙΘΑΡΙ TROUBADOUR</v>
          </cell>
          <cell r="F1449" t="str">
            <v>B_1_1_4</v>
          </cell>
          <cell r="G1449" t="str">
            <v xml:space="preserve">Κριθάρι </v>
          </cell>
          <cell r="H1449">
            <v>364</v>
          </cell>
          <cell r="I1449" t="str">
            <v>ΚΤΗΝΟΤΡΟΦΙΚΑ ΦΥΤΑ ΓΙΑ ΖΩΟΤΡΟΦΕΣ</v>
          </cell>
          <cell r="K1449" t="str">
            <v>Ναι</v>
          </cell>
          <cell r="L1449" t="str">
            <v>ΝΑΙ</v>
          </cell>
          <cell r="O1449" t="str">
            <v>!</v>
          </cell>
        </row>
        <row r="1450">
          <cell r="D1450" t="str">
            <v>ΚΤΗΝΟΤΡΟΦΙΚΑ ΦΥΤΑ ΓΙΑ ΖΩΟΤΡΟΦΕΣ6936</v>
          </cell>
          <cell r="E1450" t="str">
            <v>ΚΡΙΘΑΡΙ VIOLA</v>
          </cell>
          <cell r="F1450" t="str">
            <v>B_1_1_4</v>
          </cell>
          <cell r="G1450" t="str">
            <v xml:space="preserve">Κριθάρι </v>
          </cell>
          <cell r="H1450">
            <v>364</v>
          </cell>
          <cell r="I1450" t="str">
            <v>ΚΤΗΝΟΤΡΟΦΙΚΑ ΦΥΤΑ ΓΙΑ ΖΩΟΤΡΟΦΕΣ</v>
          </cell>
          <cell r="K1450" t="str">
            <v>Ναι</v>
          </cell>
          <cell r="L1450" t="str">
            <v>ΝΑΙ</v>
          </cell>
          <cell r="O1450" t="str">
            <v>!</v>
          </cell>
        </row>
        <row r="1451">
          <cell r="D1451" t="str">
            <v>ΚΤΗΝΟΤΡΟΦΙΚΑ ΦΥΤΑ ΓΙΑ ΖΩΟΤΡΟΦΕΣ6937</v>
          </cell>
          <cell r="E1451" t="str">
            <v>ΚΡΙΘΑΡΙ ΑΘΗΝΑΙΔΑ</v>
          </cell>
          <cell r="F1451" t="str">
            <v>B_1_1_4</v>
          </cell>
          <cell r="G1451" t="str">
            <v xml:space="preserve">Κριθάρι </v>
          </cell>
          <cell r="H1451">
            <v>364</v>
          </cell>
          <cell r="I1451" t="str">
            <v>ΚΤΗΝΟΤΡΟΦΙΚΑ ΦΥΤΑ ΓΙΑ ΖΩΟΤΡΟΦΕΣ</v>
          </cell>
          <cell r="K1451" t="str">
            <v>Ναι</v>
          </cell>
          <cell r="L1451" t="str">
            <v>ΝΑΙ</v>
          </cell>
          <cell r="O1451" t="str">
            <v>!</v>
          </cell>
        </row>
        <row r="1452">
          <cell r="D1452" t="str">
            <v>ΚΤΗΝΟΤΡΟΦΙΚΑ ΦΥΤΑ ΓΙΑ ΖΩΟΤΡΟΦΕΣ6938</v>
          </cell>
          <cell r="E1452" t="str">
            <v>ΚΡΙΘΑΡΙ ΑΤΤΙΚΗ</v>
          </cell>
          <cell r="F1452" t="str">
            <v>B_1_1_4</v>
          </cell>
          <cell r="G1452" t="str">
            <v xml:space="preserve">Κριθάρι </v>
          </cell>
          <cell r="H1452">
            <v>364</v>
          </cell>
          <cell r="I1452" t="str">
            <v>ΚΤΗΝΟΤΡΟΦΙΚΑ ΦΥΤΑ ΓΙΑ ΖΩΟΤΡΟΦΕΣ</v>
          </cell>
          <cell r="K1452" t="str">
            <v>Ναι</v>
          </cell>
          <cell r="L1452" t="str">
            <v>ΝΑΙ</v>
          </cell>
          <cell r="O1452" t="str">
            <v>!</v>
          </cell>
        </row>
        <row r="1453">
          <cell r="D1453" t="str">
            <v>ΚΤΗΝΟΤΡΟΦΙΚΑ ΦΥΤΑ ΓΙΑ ΖΩΟΤΡΟΦΕΣ6939</v>
          </cell>
          <cell r="E1453" t="str">
            <v>ΚΡΙΘΑΡΙ DIANA</v>
          </cell>
          <cell r="F1453" t="str">
            <v>B_1_1_4</v>
          </cell>
          <cell r="G1453" t="str">
            <v xml:space="preserve">Κριθάρι </v>
          </cell>
          <cell r="H1453">
            <v>364</v>
          </cell>
          <cell r="I1453" t="str">
            <v>ΚΤΗΝΟΤΡΟΦΙΚΑ ΦΥΤΑ ΓΙΑ ΖΩΟΤΡΟΦΕΣ</v>
          </cell>
          <cell r="K1453" t="str">
            <v>Ναι</v>
          </cell>
          <cell r="L1453" t="str">
            <v>ΝΑΙ</v>
          </cell>
          <cell r="O1453" t="str">
            <v>!</v>
          </cell>
        </row>
        <row r="1454">
          <cell r="D1454" t="str">
            <v>ΚΤΗΝΟΤΡΟΦΙΚΑ ΦΥΤΑ ΓΙΑ ΖΩΟΤΡΟΦΕΣ6940</v>
          </cell>
          <cell r="E1454" t="str">
            <v>ΚΡΙΘΑΡΙ ΕΛΑΣΣΟΝΑ</v>
          </cell>
          <cell r="F1454" t="str">
            <v>B_1_1_4</v>
          </cell>
          <cell r="G1454" t="str">
            <v xml:space="preserve">Κριθάρι </v>
          </cell>
          <cell r="H1454">
            <v>364</v>
          </cell>
          <cell r="I1454" t="str">
            <v>ΚΤΗΝΟΤΡΟΦΙΚΑ ΦΥΤΑ ΓΙΑ ΖΩΟΤΡΟΦΕΣ</v>
          </cell>
          <cell r="K1454" t="str">
            <v>Ναι</v>
          </cell>
          <cell r="L1454" t="str">
            <v>ΝΑΙ</v>
          </cell>
          <cell r="O1454" t="str">
            <v>!</v>
          </cell>
        </row>
        <row r="1455">
          <cell r="D1455" t="str">
            <v>ΚΤΗΝΟΤΡΟΦΙΚΑ ΦΥΤΑ ΓΙΑ ΖΩΟΤΡΟΦΕΣ6941</v>
          </cell>
          <cell r="E1455" t="str">
            <v>ΚΡΙΘΑΡΙ HEMUS</v>
          </cell>
          <cell r="F1455" t="str">
            <v>B_1_1_4</v>
          </cell>
          <cell r="G1455" t="str">
            <v xml:space="preserve">Κριθάρι </v>
          </cell>
          <cell r="H1455">
            <v>364</v>
          </cell>
          <cell r="I1455" t="str">
            <v>ΚΤΗΝΟΤΡΟΦΙΚΑ ΦΥΤΑ ΓΙΑ ΖΩΟΤΡΟΦΕΣ</v>
          </cell>
          <cell r="K1455" t="str">
            <v>Ναι</v>
          </cell>
          <cell r="L1455" t="str">
            <v>ΝΑΙ</v>
          </cell>
          <cell r="O1455" t="str">
            <v>!</v>
          </cell>
        </row>
        <row r="1456">
          <cell r="D1456" t="str">
            <v>ΚΤΗΝΟΤΡΟΦΙΚΑ ΦΥΤΑ ΓΙΑ ΖΩΟΤΡΟΦΕΣ6942</v>
          </cell>
          <cell r="E1456" t="str">
            <v>ΚΡΙΘΑΡΙ KARNOBAT</v>
          </cell>
          <cell r="F1456" t="str">
            <v>B_1_1_4</v>
          </cell>
          <cell r="G1456" t="str">
            <v xml:space="preserve">Κριθάρι </v>
          </cell>
          <cell r="H1456">
            <v>364</v>
          </cell>
          <cell r="I1456" t="str">
            <v>ΚΤΗΝΟΤΡΟΦΙΚΑ ΦΥΤΑ ΓΙΑ ΖΩΟΤΡΟΦΕΣ</v>
          </cell>
          <cell r="K1456" t="str">
            <v>Ναι</v>
          </cell>
          <cell r="L1456" t="str">
            <v>ΝΑΙ</v>
          </cell>
          <cell r="O1456" t="str">
            <v>!</v>
          </cell>
        </row>
        <row r="1457">
          <cell r="D1457" t="str">
            <v>ΚΤΗΝΟΤΡΟΦΙΚΑ ΦΥΤΑ ΓΙΑ ΖΩΟΤΡΟΦΕΣ6943</v>
          </cell>
          <cell r="E1457" t="str">
            <v>ΚΡΙΘΑΡΙ KATJA</v>
          </cell>
          <cell r="F1457" t="str">
            <v>B_1_1_4</v>
          </cell>
          <cell r="G1457" t="str">
            <v xml:space="preserve">Κριθάρι </v>
          </cell>
          <cell r="H1457">
            <v>364</v>
          </cell>
          <cell r="I1457" t="str">
            <v>ΚΤΗΝΟΤΡΟΦΙΚΑ ΦΥΤΑ ΓΙΑ ΖΩΟΤΡΟΦΕΣ</v>
          </cell>
          <cell r="K1457" t="str">
            <v>Ναι</v>
          </cell>
          <cell r="L1457" t="str">
            <v>ΝΑΙ</v>
          </cell>
          <cell r="O1457" t="str">
            <v>!</v>
          </cell>
        </row>
        <row r="1458">
          <cell r="D1458" t="str">
            <v>ΚΤΗΝΟΤΡΟΦΙΚΑ ΦΥΤΑ ΓΙΑ ΖΩΟΤΡΟΦΕΣ6944</v>
          </cell>
          <cell r="E1458" t="str">
            <v>ΚΡΙΘΑΡΙ ΚΡΗΝΗ</v>
          </cell>
          <cell r="F1458" t="str">
            <v>B_1_1_4</v>
          </cell>
          <cell r="G1458" t="str">
            <v xml:space="preserve">Κριθάρι </v>
          </cell>
          <cell r="H1458">
            <v>364</v>
          </cell>
          <cell r="I1458" t="str">
            <v>ΚΤΗΝΟΤΡΟΦΙΚΑ ΦΥΤΑ ΓΙΑ ΖΩΟΤΡΟΦΕΣ</v>
          </cell>
          <cell r="K1458" t="str">
            <v>Ναι</v>
          </cell>
          <cell r="L1458" t="str">
            <v>ΝΑΙ</v>
          </cell>
          <cell r="O1458" t="str">
            <v>!</v>
          </cell>
        </row>
        <row r="1459">
          <cell r="D1459" t="str">
            <v>ΚΤΗΝΟΤΡΟΦΙΚΑ ΦΥΤΑ ΓΙΑ ΖΩΟΤΡΟΦΕΣ7300</v>
          </cell>
          <cell r="E1459" t="str">
            <v>ΣΟΡΓΟ ΔΙΑΦΟΡΑ</v>
          </cell>
          <cell r="I1459" t="str">
            <v>ΚΤΗΝΟΤΡΟΦΙΚΑ ΦΥΤΑ ΓΙΑ ΖΩΟΤΡΟΦΕΣ</v>
          </cell>
          <cell r="K1459" t="str">
            <v>Όχι</v>
          </cell>
          <cell r="L1459" t="str">
            <v>ΌΧΙ</v>
          </cell>
          <cell r="O1459" t="str">
            <v/>
          </cell>
        </row>
        <row r="1460">
          <cell r="D1460" t="str">
            <v>ΚΤΗΝΟΤΡΟΦΙΚΑ ΦΥΤΑ ΓΙΑ ΖΩΟΤΡΟΦΕΣ7301</v>
          </cell>
          <cell r="E1460" t="str">
            <v>ΣΟΡΓΟ ΚΡΟΚΙΟΝ</v>
          </cell>
          <cell r="I1460" t="str">
            <v>ΚΤΗΝΟΤΡΟΦΙΚΑ ΦΥΤΑ ΓΙΑ ΖΩΟΤΡΟΦΕΣ</v>
          </cell>
          <cell r="K1460" t="str">
            <v>Όχι</v>
          </cell>
          <cell r="L1460" t="str">
            <v>ΌΧΙ</v>
          </cell>
          <cell r="O1460" t="str">
            <v/>
          </cell>
        </row>
        <row r="1461">
          <cell r="D1461" t="str">
            <v>ΚΤΗΝΟΤΡΟΦΙΚΑ ΦΥΤΑ ΓΙΑ ΖΩΟΤΡΟΦΕΣ7600</v>
          </cell>
          <cell r="E1461" t="str">
            <v>ΤΡΙΤΙΚΑΛΕ ΔΙΑΦΟΡΑ</v>
          </cell>
          <cell r="I1461" t="str">
            <v>ΚΤΗΝΟΤΡΟΦΙΚΑ ΦΥΤΑ ΓΙΑ ΖΩΟΤΡΟΦΕΣ</v>
          </cell>
          <cell r="K1461" t="str">
            <v>Ναι</v>
          </cell>
          <cell r="L1461" t="str">
            <v>ΝΑΙ</v>
          </cell>
          <cell r="O1461" t="str">
            <v>!</v>
          </cell>
        </row>
        <row r="1462">
          <cell r="D1462" t="str">
            <v>ΚΤΗΝΟΤΡΟΦΙΚΑ ΦΥΤΑ ΓΙΑ ΖΩΟΤΡΟΦΕΣ7601</v>
          </cell>
          <cell r="E1462" t="str">
            <v>ΤΡΙΤΙΚΑΛΕ ΒΡΟΝΤΗ</v>
          </cell>
          <cell r="I1462" t="str">
            <v>ΚΤΗΝΟΤΡΟΦΙΚΑ ΦΥΤΑ ΓΙΑ ΖΩΟΤΡΟΦΕΣ</v>
          </cell>
          <cell r="K1462" t="str">
            <v>Ναι</v>
          </cell>
          <cell r="L1462" t="str">
            <v>ΝΑΙ</v>
          </cell>
          <cell r="O1462" t="str">
            <v>!</v>
          </cell>
        </row>
        <row r="1463">
          <cell r="D1463" t="str">
            <v>ΚΤΗΝΟΤΡΟΦΙΚΑ ΦΥΤΑ ΓΙΑ ΖΩΟΤΡΟΦΕΣ7602</v>
          </cell>
          <cell r="E1463" t="str">
            <v>ΤΡΙΤΙΚΑΛΕ ΒΡΥΤΩ</v>
          </cell>
          <cell r="I1463" t="str">
            <v>ΚΤΗΝΟΤΡΟΦΙΚΑ ΦΥΤΑ ΓΙΑ ΖΩΟΤΡΟΦΕΣ</v>
          </cell>
          <cell r="K1463" t="str">
            <v>Ναι</v>
          </cell>
          <cell r="L1463" t="str">
            <v>ΝΑΙ</v>
          </cell>
          <cell r="O1463" t="str">
            <v>!</v>
          </cell>
        </row>
        <row r="1464">
          <cell r="D1464" t="str">
            <v>ΚΤΗΝΟΤΡΟΦΙΚΑ ΦΥΤΑ ΓΙΑ ΖΩΟΤΡΟΦΕΣ7603</v>
          </cell>
          <cell r="E1464" t="str">
            <v>ΤΡΙΤΙΚΑΛΕ ΔΑΔΑ</v>
          </cell>
          <cell r="I1464" t="str">
            <v>ΚΤΗΝΟΤΡΟΦΙΚΑ ΦΥΤΑ ΓΙΑ ΖΩΟΤΡΟΦΕΣ</v>
          </cell>
          <cell r="K1464" t="str">
            <v>Ναι</v>
          </cell>
          <cell r="L1464" t="str">
            <v>ΝΑΙ</v>
          </cell>
          <cell r="O1464" t="str">
            <v>!</v>
          </cell>
        </row>
        <row r="1465">
          <cell r="D1465" t="str">
            <v>ΚΤΗΝΟΤΡΟΦΙΚΑ ΦΥΤΑ ΓΙΑ ΖΩΟΤΡΟΦΕΣ7604</v>
          </cell>
          <cell r="E1465" t="str">
            <v>ΤΡΙΤΙΚΑΛΕ ΘΙΣΒΗ</v>
          </cell>
          <cell r="I1465" t="str">
            <v>ΚΤΗΝΟΤΡΟΦΙΚΑ ΦΥΤΑ ΓΙΑ ΖΩΟΤΡΟΦΕΣ</v>
          </cell>
          <cell r="K1465" t="str">
            <v>Ναι</v>
          </cell>
          <cell r="L1465" t="str">
            <v>ΝΑΙ</v>
          </cell>
          <cell r="O1465" t="str">
            <v>!</v>
          </cell>
        </row>
        <row r="1466">
          <cell r="D1466" t="str">
            <v>ΚΤΗΝΟΤΡΟΦΙΚΑ ΦΥΤΑ ΓΙΑ ΖΩΟΤΡΟΦΕΣ7605</v>
          </cell>
          <cell r="E1466" t="str">
            <v>ΤΡΙΤΙΚΑΛΕ ΝΙΟΒΗ</v>
          </cell>
          <cell r="I1466" t="str">
            <v>ΚΤΗΝΟΤΡΟΦΙΚΑ ΦΥΤΑ ΓΙΑ ΖΩΟΤΡΟΦΕΣ</v>
          </cell>
          <cell r="K1466" t="str">
            <v>Ναι</v>
          </cell>
          <cell r="L1466" t="str">
            <v>ΝΑΙ</v>
          </cell>
          <cell r="O1466" t="str">
            <v>!</v>
          </cell>
        </row>
        <row r="1467">
          <cell r="D1467" t="str">
            <v>ΚΤΗΝΟΤΡΟΦΙΚΑ ΦΥΤΑ ΓΙΑ ΖΩΟΤΡΟΦΕΣ7607</v>
          </cell>
          <cell r="E1467" t="str">
            <v>ΛΟΛΙΟΥΜ</v>
          </cell>
          <cell r="I1467" t="str">
            <v>ΚΤΗΝΟΤΡΟΦΙΚΑ ΦΥΤΑ ΓΙΑ ΖΩΟΤΡΟΦΕΣ</v>
          </cell>
          <cell r="K1467" t="str">
            <v>Ναι</v>
          </cell>
          <cell r="L1467" t="str">
            <v>ΝΑΙ</v>
          </cell>
          <cell r="O1467" t="str">
            <v/>
          </cell>
        </row>
        <row r="1468">
          <cell r="D1468" t="str">
            <v>ΚΤΗΝΟΤΡΟΦΙΚΑ ΦΥΤΑ ΓΙΑ ΖΩΟΤΡΟΦΕΣ7700</v>
          </cell>
          <cell r="E1468" t="str">
            <v>ΣΙΤΟΣ ΜΑΛΑΚΟΣ ΔΙΑΦΟΡΑ</v>
          </cell>
          <cell r="F1468" t="str">
            <v>B_1_1_1</v>
          </cell>
          <cell r="G1468" t="str">
            <v xml:space="preserve">Μαλακό σιτάρι και όλυρα </v>
          </cell>
          <cell r="H1468">
            <v>411</v>
          </cell>
          <cell r="I1468" t="str">
            <v>ΚΤΗΝΟΤΡΟΦΙΚΑ ΦΥΤΑ ΓΙΑ ΖΩΟΤΡΟΦΕΣ</v>
          </cell>
          <cell r="K1468" t="str">
            <v>Ναι</v>
          </cell>
          <cell r="L1468" t="str">
            <v>ΝΑΙ</v>
          </cell>
          <cell r="O1468" t="str">
            <v>!</v>
          </cell>
        </row>
        <row r="1469">
          <cell r="D1469" t="str">
            <v>ΚΤΗΝΟΤΡΟΦΙΚΑ ΦΥΤΑ ΓΙΑ ΖΩΟΤΡΟΦΕΣ7701</v>
          </cell>
          <cell r="E1469" t="str">
            <v>ΣΙΤΟΣ ΜΑΛΑΚΟΣ ΑΙΓΕΣ</v>
          </cell>
          <cell r="F1469" t="str">
            <v>B_1_1_1</v>
          </cell>
          <cell r="G1469" t="str">
            <v xml:space="preserve">Μαλακό σιτάρι και όλυρα </v>
          </cell>
          <cell r="H1469">
            <v>411</v>
          </cell>
          <cell r="I1469" t="str">
            <v>ΚΤΗΝΟΤΡΟΦΙΚΑ ΦΥΤΑ ΓΙΑ ΖΩΟΤΡΟΦΕΣ</v>
          </cell>
          <cell r="K1469" t="str">
            <v>Ναι</v>
          </cell>
          <cell r="L1469" t="str">
            <v>ΝΑΙ</v>
          </cell>
          <cell r="O1469" t="str">
            <v>!</v>
          </cell>
        </row>
        <row r="1470">
          <cell r="D1470" t="str">
            <v>ΚΤΗΝΟΤΡΟΦΙΚΑ ΦΥΤΑ ΓΙΑ ΖΩΟΤΡΟΦΕΣ7702</v>
          </cell>
          <cell r="E1470" t="str">
            <v>ΣΙΤΟΣ ΜΑΛΑΚΟΣ ΑΛΦΕΙΟΣ</v>
          </cell>
          <cell r="F1470" t="str">
            <v>B_1_1_1</v>
          </cell>
          <cell r="G1470" t="str">
            <v xml:space="preserve">Μαλακό σιτάρι και όλυρα </v>
          </cell>
          <cell r="H1470">
            <v>411</v>
          </cell>
          <cell r="I1470" t="str">
            <v>ΚΤΗΝΟΤΡΟΦΙΚΑ ΦΥΤΑ ΓΙΑ ΖΩΟΤΡΟΦΕΣ</v>
          </cell>
          <cell r="K1470" t="str">
            <v>Ναι</v>
          </cell>
          <cell r="L1470" t="str">
            <v>ΝΑΙ</v>
          </cell>
          <cell r="O1470" t="str">
            <v>!</v>
          </cell>
        </row>
        <row r="1471">
          <cell r="D1471" t="str">
            <v>ΚΤΗΝΟΤΡΟΦΙΚΑ ΦΥΤΑ ΓΙΑ ΖΩΟΤΡΟΦΕΣ7703</v>
          </cell>
          <cell r="E1471" t="str">
            <v>ΣΙΤΟΣ ΜΑΛΑΚΟΣ ΑΜΥΝΤΑΣ</v>
          </cell>
          <cell r="F1471" t="str">
            <v>B_1_1_1</v>
          </cell>
          <cell r="G1471" t="str">
            <v xml:space="preserve">Μαλακό σιτάρι και όλυρα </v>
          </cell>
          <cell r="H1471">
            <v>411</v>
          </cell>
          <cell r="I1471" t="str">
            <v>ΚΤΗΝΟΤΡΟΦΙΚΑ ΦΥΤΑ ΓΙΑ ΖΩΟΤΡΟΦΕΣ</v>
          </cell>
          <cell r="K1471" t="str">
            <v>Ναι</v>
          </cell>
          <cell r="L1471" t="str">
            <v>ΝΑΙ</v>
          </cell>
          <cell r="O1471" t="str">
            <v>!</v>
          </cell>
        </row>
        <row r="1472">
          <cell r="D1472" t="str">
            <v>ΚΤΗΝΟΤΡΟΦΙΚΑ ΦΥΤΑ ΓΙΑ ΖΩΟΤΡΟΦΕΣ7704</v>
          </cell>
          <cell r="E1472" t="str">
            <v>ΣΙΤΟΣ ΜΑΛΑΚΟΣ ΑΞΙΟΣ</v>
          </cell>
          <cell r="F1472" t="str">
            <v>B_1_1_1</v>
          </cell>
          <cell r="G1472" t="str">
            <v xml:space="preserve">Μαλακό σιτάρι και όλυρα </v>
          </cell>
          <cell r="H1472">
            <v>411</v>
          </cell>
          <cell r="I1472" t="str">
            <v>ΚΤΗΝΟΤΡΟΦΙΚΑ ΦΥΤΑ ΓΙΑ ΖΩΟΤΡΟΦΕΣ</v>
          </cell>
          <cell r="K1472" t="str">
            <v>Ναι</v>
          </cell>
          <cell r="L1472" t="str">
            <v>ΝΑΙ</v>
          </cell>
          <cell r="O1472" t="str">
            <v>!</v>
          </cell>
        </row>
        <row r="1473">
          <cell r="D1473" t="str">
            <v>ΚΤΗΝΟΤΡΟΦΙΚΑ ΦΥΤΑ ΓΙΑ ΖΩΟΤΡΟΦΕΣ7705</v>
          </cell>
          <cell r="E1473" t="str">
            <v>ΣΙΤΟΣ ΜΑΛΑΚΟΣ ΑΡΑΧΘΟΣ</v>
          </cell>
          <cell r="F1473" t="str">
            <v>B_1_1_1</v>
          </cell>
          <cell r="G1473" t="str">
            <v xml:space="preserve">Μαλακό σιτάρι και όλυρα </v>
          </cell>
          <cell r="H1473">
            <v>411</v>
          </cell>
          <cell r="I1473" t="str">
            <v>ΚΤΗΝΟΤΡΟΦΙΚΑ ΦΥΤΑ ΓΙΑ ΖΩΟΤΡΟΦΕΣ</v>
          </cell>
          <cell r="K1473" t="str">
            <v>Ναι</v>
          </cell>
          <cell r="L1473" t="str">
            <v>ΝΑΙ</v>
          </cell>
          <cell r="O1473" t="str">
            <v>!</v>
          </cell>
        </row>
        <row r="1474">
          <cell r="D1474" t="str">
            <v>ΚΤΗΝΟΤΡΟΦΙΚΑ ΦΥΤΑ ΓΙΑ ΖΩΟΤΡΟΦΕΣ7706</v>
          </cell>
          <cell r="E1474" t="str">
            <v>ΣΙΤΟΣ ΜΑΛΑΚΟΣ ARTEMIS</v>
          </cell>
          <cell r="F1474" t="str">
            <v>B_1_1_1</v>
          </cell>
          <cell r="G1474" t="str">
            <v xml:space="preserve">Μαλακό σιτάρι και όλυρα </v>
          </cell>
          <cell r="H1474">
            <v>411</v>
          </cell>
          <cell r="I1474" t="str">
            <v>ΚΤΗΝΟΤΡΟΦΙΚΑ ΦΥΤΑ ΓΙΑ ΖΩΟΤΡΟΦΕΣ</v>
          </cell>
          <cell r="K1474" t="str">
            <v>Ναι</v>
          </cell>
          <cell r="L1474" t="str">
            <v>ΝΑΙ</v>
          </cell>
          <cell r="O1474" t="str">
            <v>!</v>
          </cell>
        </row>
        <row r="1475">
          <cell r="D1475" t="str">
            <v>ΚΤΗΝΟΤΡΟΦΙΚΑ ΦΥΤΑ ΓΙΑ ΖΩΟΤΡΟΦΕΣ7707</v>
          </cell>
          <cell r="E1475" t="str">
            <v>ΣΙΤΟΣ ΜΑΛΑΚΟΣ ΑΧΕΛΩΟΣ</v>
          </cell>
          <cell r="F1475" t="str">
            <v>B_1_1_1</v>
          </cell>
          <cell r="G1475" t="str">
            <v xml:space="preserve">Μαλακό σιτάρι και όλυρα </v>
          </cell>
          <cell r="H1475">
            <v>411</v>
          </cell>
          <cell r="I1475" t="str">
            <v>ΚΤΗΝΟΤΡΟΦΙΚΑ ΦΥΤΑ ΓΙΑ ΖΩΟΤΡΟΦΕΣ</v>
          </cell>
          <cell r="K1475" t="str">
            <v>Ναι</v>
          </cell>
          <cell r="L1475" t="str">
            <v>ΝΑΙ</v>
          </cell>
          <cell r="O1475" t="str">
            <v>!</v>
          </cell>
        </row>
        <row r="1476">
          <cell r="D1476" t="str">
            <v>ΚΤΗΝΟΤΡΟΦΙΚΑ ΦΥΤΑ ΓΙΑ ΖΩΟΤΡΟΦΕΣ7708</v>
          </cell>
          <cell r="E1476" t="str">
            <v>ΣΙΤΟΣ ΜΑΛΑΚΟΣ ΒΕΡΓΙΝΑ</v>
          </cell>
          <cell r="F1476" t="str">
            <v>B_1_1_1</v>
          </cell>
          <cell r="G1476" t="str">
            <v xml:space="preserve">Μαλακό σιτάρι και όλυρα </v>
          </cell>
          <cell r="H1476">
            <v>411</v>
          </cell>
          <cell r="I1476" t="str">
            <v>ΚΤΗΝΟΤΡΟΦΙΚΑ ΦΥΤΑ ΓΙΑ ΖΩΟΤΡΟΦΕΣ</v>
          </cell>
          <cell r="K1476" t="str">
            <v>Ναι</v>
          </cell>
          <cell r="L1476" t="str">
            <v>ΝΑΙ</v>
          </cell>
          <cell r="O1476" t="str">
            <v>!</v>
          </cell>
        </row>
        <row r="1477">
          <cell r="D1477" t="str">
            <v>ΚΤΗΝΟΤΡΟΦΙΚΑ ΦΥΤΑ ΓΙΑ ΖΩΟΤΡΟΦΕΣ7709</v>
          </cell>
          <cell r="E1477" t="str">
            <v>ΣΙΤΟΣ ΜΑΛΑΚΟΣ ΒΙΤΣΙ</v>
          </cell>
          <cell r="F1477" t="str">
            <v>B_1_1_1</v>
          </cell>
          <cell r="G1477" t="str">
            <v xml:space="preserve">Μαλακό σιτάρι και όλυρα </v>
          </cell>
          <cell r="H1477">
            <v>411</v>
          </cell>
          <cell r="I1477" t="str">
            <v>ΚΤΗΝΟΤΡΟΦΙΚΑ ΦΥΤΑ ΓΙΑ ΖΩΟΤΡΟΦΕΣ</v>
          </cell>
          <cell r="K1477" t="str">
            <v>Ναι</v>
          </cell>
          <cell r="L1477" t="str">
            <v>ΝΑΙ</v>
          </cell>
          <cell r="O1477" t="str">
            <v>!</v>
          </cell>
        </row>
        <row r="1478">
          <cell r="D1478" t="str">
            <v>ΚΤΗΝΟΤΡΟΦΙΚΑ ΦΥΤΑ ΓΙΑ ΖΩΟΤΡΟΦΕΣ7710</v>
          </cell>
          <cell r="E1478" t="str">
            <v>ΣΙΤΟΣ ΜΑΛΑΚΟΣ ΓΑΛΗΝΗ "Ε"</v>
          </cell>
          <cell r="F1478" t="str">
            <v>B_1_1_1</v>
          </cell>
          <cell r="G1478" t="str">
            <v xml:space="preserve">Μαλακό σιτάρι και όλυρα </v>
          </cell>
          <cell r="H1478">
            <v>411</v>
          </cell>
          <cell r="I1478" t="str">
            <v>ΚΤΗΝΟΤΡΟΦΙΚΑ ΦΥΤΑ ΓΙΑ ΖΩΟΤΡΟΦΕΣ</v>
          </cell>
          <cell r="K1478" t="str">
            <v>Ναι</v>
          </cell>
          <cell r="L1478" t="str">
            <v>ΝΑΙ</v>
          </cell>
          <cell r="O1478" t="str">
            <v>!</v>
          </cell>
        </row>
        <row r="1479">
          <cell r="D1479" t="str">
            <v>ΚΤΗΝΟΤΡΟΦΙΚΑ ΦΥΤΑ ΓΙΑ ΖΩΟΤΡΟΦΕΣ7711</v>
          </cell>
          <cell r="E1479" t="str">
            <v>ΣΙΤΟΣ ΜΑΛΑΚΟΣ CASTAN</v>
          </cell>
          <cell r="F1479" t="str">
            <v>B_1_1_1</v>
          </cell>
          <cell r="G1479" t="str">
            <v xml:space="preserve">Μαλακό σιτάρι και όλυρα </v>
          </cell>
          <cell r="H1479">
            <v>411</v>
          </cell>
          <cell r="I1479" t="str">
            <v>ΚΤΗΝΟΤΡΟΦΙΚΑ ΦΥΤΑ ΓΙΑ ΖΩΟΤΡΟΦΕΣ</v>
          </cell>
          <cell r="K1479" t="str">
            <v>Ναι</v>
          </cell>
          <cell r="L1479" t="str">
            <v>ΝΑΙ</v>
          </cell>
          <cell r="O1479" t="str">
            <v>!</v>
          </cell>
        </row>
        <row r="1480">
          <cell r="D1480" t="str">
            <v>ΚΤΗΝΟΤΡΟΦΙΚΑ ΦΥΤΑ ΓΙΑ ΖΩΟΤΡΟΦΕΣ7712</v>
          </cell>
          <cell r="E1480" t="str">
            <v>ΣΙΤΟΣ ΜΑΛΑΚΟΣ CHECCO</v>
          </cell>
          <cell r="F1480" t="str">
            <v>B_1_1_1</v>
          </cell>
          <cell r="G1480" t="str">
            <v xml:space="preserve">Μαλακό σιτάρι και όλυρα </v>
          </cell>
          <cell r="H1480">
            <v>411</v>
          </cell>
          <cell r="I1480" t="str">
            <v>ΚΤΗΝΟΤΡΟΦΙΚΑ ΦΥΤΑ ΓΙΑ ΖΩΟΤΡΟΦΕΣ</v>
          </cell>
          <cell r="K1480" t="str">
            <v>Ναι</v>
          </cell>
          <cell r="L1480" t="str">
            <v>ΝΑΙ</v>
          </cell>
          <cell r="O1480" t="str">
            <v>!</v>
          </cell>
        </row>
        <row r="1481">
          <cell r="D1481" t="str">
            <v>ΚΤΗΝΟΤΡΟΦΙΚΑ ΦΥΤΑ ΓΙΑ ΖΩΟΤΡΟΦΕΣ7713</v>
          </cell>
          <cell r="E1481" t="str">
            <v>ΣΙΤΟΣ ΜΑΛΑΚΟΣ ΓΕΚΟΡΑ "Ε"</v>
          </cell>
          <cell r="F1481" t="str">
            <v>B_1_1_1</v>
          </cell>
          <cell r="G1481" t="str">
            <v xml:space="preserve">Μαλακό σιτάρι και όλυρα </v>
          </cell>
          <cell r="H1481">
            <v>411</v>
          </cell>
          <cell r="I1481" t="str">
            <v>ΚΤΗΝΟΤΡΟΦΙΚΑ ΦΥΤΑ ΓΙΑ ΖΩΟΤΡΟΦΕΣ</v>
          </cell>
          <cell r="K1481" t="str">
            <v>Ναι</v>
          </cell>
          <cell r="L1481" t="str">
            <v>ΝΑΙ</v>
          </cell>
          <cell r="O1481" t="str">
            <v>!</v>
          </cell>
        </row>
        <row r="1482">
          <cell r="D1482" t="str">
            <v>ΚΤΗΝΟΤΡΟΦΙΚΑ ΦΥΤΑ ΓΙΑ ΖΩΟΤΡΟΦΕΣ7714</v>
          </cell>
          <cell r="E1482" t="str">
            <v>ΣΙΤΟΣ ΜΑΛΑΚΟΣ ΓΕΝΟΡΟΖΟ "Ε"</v>
          </cell>
          <cell r="F1482" t="str">
            <v>B_1_1_1</v>
          </cell>
          <cell r="G1482" t="str">
            <v xml:space="preserve">Μαλακό σιτάρι και όλυρα </v>
          </cell>
          <cell r="H1482">
            <v>411</v>
          </cell>
          <cell r="I1482" t="str">
            <v>ΚΤΗΝΟΤΡΟΦΙΚΑ ΦΥΤΑ ΓΙΑ ΖΩΟΤΡΟΦΕΣ</v>
          </cell>
          <cell r="K1482" t="str">
            <v>Ναι</v>
          </cell>
          <cell r="L1482" t="str">
            <v>ΝΑΙ</v>
          </cell>
          <cell r="O1482" t="str">
            <v>!</v>
          </cell>
        </row>
        <row r="1483">
          <cell r="D1483" t="str">
            <v>ΚΤΗΝΟΤΡΟΦΙΚΑ ΦΥΤΑ ΓΙΑ ΖΩΟΤΡΟΦΕΣ7715</v>
          </cell>
          <cell r="E1483" t="str">
            <v>ΣΙΤΟΣ ΜΑΛΑΚΟΣ GEMINI</v>
          </cell>
          <cell r="F1483" t="str">
            <v>B_1_1_1</v>
          </cell>
          <cell r="G1483" t="str">
            <v xml:space="preserve">Μαλακό σιτάρι και όλυρα </v>
          </cell>
          <cell r="H1483">
            <v>411</v>
          </cell>
          <cell r="I1483" t="str">
            <v>ΚΤΗΝΟΤΡΟΦΙΚΑ ΦΥΤΑ ΓΙΑ ΖΩΟΤΡΟΦΕΣ</v>
          </cell>
          <cell r="K1483" t="str">
            <v>Ναι</v>
          </cell>
          <cell r="L1483" t="str">
            <v>ΝΑΙ</v>
          </cell>
          <cell r="O1483" t="str">
            <v>!</v>
          </cell>
        </row>
        <row r="1484">
          <cell r="D1484" t="str">
            <v>ΚΤΗΝΟΤΡΟΦΙΚΑ ΦΥΤΑ ΓΙΑ ΖΩΟΤΡΟΦΕΣ7716</v>
          </cell>
          <cell r="E1484" t="str">
            <v>ΣΙΤΟΣ ΜΑΛΑΚΟΣ GENOROSO</v>
          </cell>
          <cell r="F1484" t="str">
            <v>B_1_1_1</v>
          </cell>
          <cell r="G1484" t="str">
            <v xml:space="preserve">Μαλακό σιτάρι και όλυρα </v>
          </cell>
          <cell r="H1484">
            <v>411</v>
          </cell>
          <cell r="I1484" t="str">
            <v>ΚΤΗΝΟΤΡΟΦΙΚΑ ΦΥΤΑ ΓΙΑ ΖΩΟΤΡΟΦΕΣ</v>
          </cell>
          <cell r="K1484" t="str">
            <v>Ναι</v>
          </cell>
          <cell r="L1484" t="str">
            <v>ΝΑΙ</v>
          </cell>
          <cell r="O1484" t="str">
            <v>!</v>
          </cell>
        </row>
        <row r="1485">
          <cell r="D1485" t="str">
            <v>ΚΤΗΝΟΤΡΟΦΙΚΑ ΦΥΤΑ ΓΙΑ ΖΩΟΤΡΟΦΕΣ7717</v>
          </cell>
          <cell r="E1485" t="str">
            <v>ΣΙΤΟΣ ΜΑΛΑΚΟΣ ΓΟΡΓΟΝΑ</v>
          </cell>
          <cell r="F1485" t="str">
            <v>B_1_1_1</v>
          </cell>
          <cell r="G1485" t="str">
            <v xml:space="preserve">Μαλακό σιτάρι και όλυρα </v>
          </cell>
          <cell r="H1485">
            <v>411</v>
          </cell>
          <cell r="I1485" t="str">
            <v>ΚΤΗΝΟΤΡΟΦΙΚΑ ΦΥΤΑ ΓΙΑ ΖΩΟΤΡΟΦΕΣ</v>
          </cell>
          <cell r="K1485" t="str">
            <v>Ναι</v>
          </cell>
          <cell r="L1485" t="str">
            <v>ΝΑΙ</v>
          </cell>
          <cell r="O1485" t="str">
            <v>!</v>
          </cell>
        </row>
        <row r="1486">
          <cell r="D1486" t="str">
            <v>ΚΤΗΝΟΤΡΟΦΙΚΑ ΦΥΤΑ ΓΙΑ ΖΩΟΤΡΟΦΕΣ7718</v>
          </cell>
          <cell r="E1486" t="str">
            <v>ΣΙΤΟΣ ΜΑΛΑΚΟΣ ΔΙΟ</v>
          </cell>
          <cell r="F1486" t="str">
            <v>B_1_1_1</v>
          </cell>
          <cell r="G1486" t="str">
            <v xml:space="preserve">Μαλακό σιτάρι και όλυρα </v>
          </cell>
          <cell r="H1486">
            <v>411</v>
          </cell>
          <cell r="I1486" t="str">
            <v>ΚΤΗΝΟΤΡΟΦΙΚΑ ΦΥΤΑ ΓΙΑ ΖΩΟΤΡΟΦΕΣ</v>
          </cell>
          <cell r="K1486" t="str">
            <v>Ναι</v>
          </cell>
          <cell r="L1486" t="str">
            <v>ΝΑΙ</v>
          </cell>
          <cell r="O1486" t="str">
            <v>!</v>
          </cell>
        </row>
        <row r="1487">
          <cell r="D1487" t="str">
            <v>ΚΤΗΝΟΤΡΟΦΙΚΑ ΦΥΤΑ ΓΙΑ ΖΩΟΤΡΟΦΕΣ7719</v>
          </cell>
          <cell r="E1487" t="str">
            <v>ΣΙΤΟΣ ΜΑΛΑΚΟΣ ΔΩΔΩΝΗ</v>
          </cell>
          <cell r="F1487" t="str">
            <v>B_1_1_1</v>
          </cell>
          <cell r="G1487" t="str">
            <v xml:space="preserve">Μαλακό σιτάρι και όλυρα </v>
          </cell>
          <cell r="H1487">
            <v>411</v>
          </cell>
          <cell r="I1487" t="str">
            <v>ΚΤΗΝΟΤΡΟΦΙΚΑ ΦΥΤΑ ΓΙΑ ΖΩΟΤΡΟΦΕΣ</v>
          </cell>
          <cell r="K1487" t="str">
            <v>Ναι</v>
          </cell>
          <cell r="L1487" t="str">
            <v>ΝΑΙ</v>
          </cell>
          <cell r="O1487" t="str">
            <v>!</v>
          </cell>
        </row>
        <row r="1488">
          <cell r="D1488" t="str">
            <v>ΚΤΗΝΟΤΡΟΦΙΚΑ ΦΥΤΑ ΓΙΑ ΖΩΟΤΡΟΦΕΣ7720</v>
          </cell>
          <cell r="E1488" t="str">
            <v>ΣΙΤΟΣ ΜΑΛΑΚΟΣ ΕΒΡΟΣ</v>
          </cell>
          <cell r="F1488" t="str">
            <v>B_1_1_1</v>
          </cell>
          <cell r="G1488" t="str">
            <v xml:space="preserve">Μαλακό σιτάρι και όλυρα </v>
          </cell>
          <cell r="H1488">
            <v>411</v>
          </cell>
          <cell r="I1488" t="str">
            <v>ΚΤΗΝΟΤΡΟΦΙΚΑ ΦΥΤΑ ΓΙΑ ΖΩΟΤΡΟΦΕΣ</v>
          </cell>
          <cell r="K1488" t="str">
            <v>Ναι</v>
          </cell>
          <cell r="L1488" t="str">
            <v>ΝΑΙ</v>
          </cell>
          <cell r="O1488" t="str">
            <v>!</v>
          </cell>
        </row>
        <row r="1489">
          <cell r="D1489" t="str">
            <v>ΚΤΗΝΟΤΡΟΦΙΚΑ ΦΥΤΑ ΓΙΑ ΖΩΟΤΡΟΦΕΣ7721</v>
          </cell>
          <cell r="E1489" t="str">
            <v>ΣΙΤΟΣ ΜΑΛΑΚΟΣ Η-78234</v>
          </cell>
          <cell r="F1489" t="str">
            <v>B_1_1_1</v>
          </cell>
          <cell r="G1489" t="str">
            <v xml:space="preserve">Μαλακό σιτάρι και όλυρα </v>
          </cell>
          <cell r="H1489">
            <v>411</v>
          </cell>
          <cell r="I1489" t="str">
            <v>ΚΤΗΝΟΤΡΟΦΙΚΑ ΦΥΤΑ ΓΙΑ ΖΩΟΤΡΟΦΕΣ</v>
          </cell>
          <cell r="K1489" t="str">
            <v>Ναι</v>
          </cell>
          <cell r="L1489" t="str">
            <v>ΝΑΙ</v>
          </cell>
          <cell r="O1489" t="str">
            <v>!</v>
          </cell>
        </row>
        <row r="1490">
          <cell r="D1490" t="str">
            <v>ΚΤΗΝΟΤΡΟΦΙΚΑ ΦΥΤΑ ΓΙΑ ΖΩΟΤΡΟΦΕΣ7722</v>
          </cell>
          <cell r="E1490" t="str">
            <v>ΣΙΤΟΣ ΜΑΛΑΚΟΣ Η-785813</v>
          </cell>
          <cell r="F1490" t="str">
            <v>B_1_1_1</v>
          </cell>
          <cell r="G1490" t="str">
            <v xml:space="preserve">Μαλακό σιτάρι και όλυρα </v>
          </cell>
          <cell r="H1490">
            <v>411</v>
          </cell>
          <cell r="I1490" t="str">
            <v>ΚΤΗΝΟΤΡΟΦΙΚΑ ΦΥΤΑ ΓΙΑ ΖΩΟΤΡΟΦΕΣ</v>
          </cell>
          <cell r="K1490" t="str">
            <v>Ναι</v>
          </cell>
          <cell r="L1490" t="str">
            <v>ΝΑΙ</v>
          </cell>
          <cell r="O1490" t="str">
            <v>!</v>
          </cell>
        </row>
        <row r="1491">
          <cell r="D1491" t="str">
            <v>ΚΤΗΝΟΤΡΟΦΙΚΑ ΦΥΤΑ ΓΙΑ ΖΩΟΤΡΟΦΕΣ7723</v>
          </cell>
          <cell r="E1491" t="str">
            <v>ΣΙΤΟΣ ΜΑΛΑΚΟΣ ΘΕΡΜΗ</v>
          </cell>
          <cell r="F1491" t="str">
            <v>B_1_1_1</v>
          </cell>
          <cell r="G1491" t="str">
            <v xml:space="preserve">Μαλακό σιτάρι και όλυρα </v>
          </cell>
          <cell r="H1491">
            <v>411</v>
          </cell>
          <cell r="I1491" t="str">
            <v>ΚΤΗΝΟΤΡΟΦΙΚΑ ΦΥΤΑ ΓΙΑ ΖΩΟΤΡΟΦΕΣ</v>
          </cell>
          <cell r="K1491" t="str">
            <v>Ναι</v>
          </cell>
          <cell r="L1491" t="str">
            <v>ΝΑΙ</v>
          </cell>
          <cell r="O1491" t="str">
            <v>!</v>
          </cell>
        </row>
        <row r="1492">
          <cell r="D1492" t="str">
            <v>ΚΤΗΝΟΤΡΟΦΙΚΑ ΦΥΤΑ ΓΙΑ ΖΩΟΤΡΟΦΕΣ7724</v>
          </cell>
          <cell r="E1492" t="str">
            <v>ΣΙΤΟΣ ΜΑΛΑΚΟΣ ΘΥΑΜΙΣ</v>
          </cell>
          <cell r="F1492" t="str">
            <v>B_1_1_1</v>
          </cell>
          <cell r="G1492" t="str">
            <v xml:space="preserve">Μαλακό σιτάρι και όλυρα </v>
          </cell>
          <cell r="H1492">
            <v>411</v>
          </cell>
          <cell r="I1492" t="str">
            <v>ΚΤΗΝΟΤΡΟΦΙΚΑ ΦΥΤΑ ΓΙΑ ΖΩΟΤΡΟΦΕΣ</v>
          </cell>
          <cell r="K1492" t="str">
            <v>Ναι</v>
          </cell>
          <cell r="L1492" t="str">
            <v>ΝΑΙ</v>
          </cell>
          <cell r="O1492" t="str">
            <v>!</v>
          </cell>
        </row>
        <row r="1493">
          <cell r="D1493" t="str">
            <v>ΚΤΗΝΟΤΡΟΦΙΚΑ ΦΥΤΑ ΓΙΑ ΖΩΟΤΡΟΦΕΣ7725</v>
          </cell>
          <cell r="E1493" t="str">
            <v>ΣΙΤΟΣ ΜΑΛΑΚΟΣ JANTAR</v>
          </cell>
          <cell r="F1493" t="str">
            <v>B_1_1_1</v>
          </cell>
          <cell r="G1493" t="str">
            <v xml:space="preserve">Μαλακό σιτάρι και όλυρα </v>
          </cell>
          <cell r="H1493">
            <v>411</v>
          </cell>
          <cell r="I1493" t="str">
            <v>ΚΤΗΝΟΤΡΟΦΙΚΑ ΦΥΤΑ ΓΙΑ ΖΩΟΤΡΟΦΕΣ</v>
          </cell>
          <cell r="K1493" t="str">
            <v>Ναι</v>
          </cell>
          <cell r="L1493" t="str">
            <v>ΝΑΙ</v>
          </cell>
          <cell r="O1493" t="str">
            <v>!</v>
          </cell>
        </row>
        <row r="1494">
          <cell r="D1494" t="str">
            <v>ΚΤΗΝΟΤΡΟΦΙΚΑ ΦΥΤΑ ΓΙΑ ΖΩΟΤΡΟΦΕΣ7726</v>
          </cell>
          <cell r="E1494" t="str">
            <v>ΣΙΤΟΣ ΜΑΛΑΚΟΣ IRNERIO</v>
          </cell>
          <cell r="F1494" t="str">
            <v>B_1_1_1</v>
          </cell>
          <cell r="G1494" t="str">
            <v xml:space="preserve">Μαλακό σιτάρι και όλυρα </v>
          </cell>
          <cell r="H1494">
            <v>411</v>
          </cell>
          <cell r="I1494" t="str">
            <v>ΚΤΗΝΟΤΡΟΦΙΚΑ ΦΥΤΑ ΓΙΑ ΖΩΟΤΡΟΦΕΣ</v>
          </cell>
          <cell r="K1494" t="str">
            <v>Ναι</v>
          </cell>
          <cell r="L1494" t="str">
            <v>ΝΑΙ</v>
          </cell>
          <cell r="O1494" t="str">
            <v>!</v>
          </cell>
        </row>
        <row r="1495">
          <cell r="D1495" t="str">
            <v>ΚΤΗΝΟΤΡΟΦΙΚΑ ΦΥΤΑ ΓΙΑ ΖΩΟΤΡΟΦΕΣ7727</v>
          </cell>
          <cell r="E1495" t="str">
            <v>ΣΙΤΟΣ ΜΑΛΑΚΟΣ KATIA</v>
          </cell>
          <cell r="F1495" t="str">
            <v>B_1_1_1</v>
          </cell>
          <cell r="G1495" t="str">
            <v xml:space="preserve">Μαλακό σιτάρι και όλυρα </v>
          </cell>
          <cell r="H1495">
            <v>411</v>
          </cell>
          <cell r="I1495" t="str">
            <v>ΚΤΗΝΟΤΡΟΦΙΚΑ ΦΥΤΑ ΓΙΑ ΖΩΟΤΡΟΦΕΣ</v>
          </cell>
          <cell r="K1495" t="str">
            <v>Ναι</v>
          </cell>
          <cell r="L1495" t="str">
            <v>ΝΑΙ</v>
          </cell>
          <cell r="O1495" t="str">
            <v>!</v>
          </cell>
        </row>
        <row r="1496">
          <cell r="D1496" t="str">
            <v>ΚΤΗΝΟΤΡΟΦΙΚΑ ΦΥΤΑ ΓΙΑ ΖΩΟΤΡΟΦΕΣ7728</v>
          </cell>
          <cell r="E1496" t="str">
            <v>ΣΙΤΟΣ ΜΑΛΑΚΟΣ ΛΟΥΔΙΑΣ</v>
          </cell>
          <cell r="F1496" t="str">
            <v>B_1_1_1</v>
          </cell>
          <cell r="G1496" t="str">
            <v xml:space="preserve">Μαλακό σιτάρι και όλυρα </v>
          </cell>
          <cell r="H1496">
            <v>411</v>
          </cell>
          <cell r="I1496" t="str">
            <v>ΚΤΗΝΟΤΡΟΦΙΚΑ ΦΥΤΑ ΓΙΑ ΖΩΟΤΡΟΦΕΣ</v>
          </cell>
          <cell r="K1496" t="str">
            <v>Ναι</v>
          </cell>
          <cell r="L1496" t="str">
            <v>ΝΑΙ</v>
          </cell>
          <cell r="O1496" t="str">
            <v>!</v>
          </cell>
        </row>
        <row r="1497">
          <cell r="D1497" t="str">
            <v>ΚΤΗΝΟΤΡΟΦΙΚΑ ΦΥΤΑ ΓΙΑ ΖΩΟΤΡΟΦΕΣ7729</v>
          </cell>
          <cell r="E1497" t="str">
            <v>ΣΙΤΟΣ ΜΑΛΑΚΟΣ ΛΟΥΡΟΣ</v>
          </cell>
          <cell r="F1497" t="str">
            <v>B_1_1_1</v>
          </cell>
          <cell r="G1497" t="str">
            <v xml:space="preserve">Μαλακό σιτάρι και όλυρα </v>
          </cell>
          <cell r="H1497">
            <v>411</v>
          </cell>
          <cell r="I1497" t="str">
            <v>ΚΤΗΝΟΤΡΟΦΙΚΑ ΦΥΤΑ ΓΙΑ ΖΩΟΤΡΟΦΕΣ</v>
          </cell>
          <cell r="K1497" t="str">
            <v>Ναι</v>
          </cell>
          <cell r="L1497" t="str">
            <v>ΝΑΙ</v>
          </cell>
          <cell r="O1497" t="str">
            <v>!</v>
          </cell>
        </row>
        <row r="1498">
          <cell r="D1498" t="str">
            <v>ΚΤΗΝΟΤΡΟΦΙΚΑ ΦΥΤΑ ΓΙΑ ΖΩΟΤΡΟΦΕΣ7730</v>
          </cell>
          <cell r="E1498" t="str">
            <v>ΣΙΤΟΣ ΜΑΛΑΚΟΣ ΛΥΔΙΑ</v>
          </cell>
          <cell r="F1498" t="str">
            <v>B_1_1_1</v>
          </cell>
          <cell r="G1498" t="str">
            <v xml:space="preserve">Μαλακό σιτάρι και όλυρα </v>
          </cell>
          <cell r="H1498">
            <v>411</v>
          </cell>
          <cell r="I1498" t="str">
            <v>ΚΤΗΝΟΤΡΟΦΙΚΑ ΦΥΤΑ ΓΙΑ ΖΩΟΤΡΟΦΕΣ</v>
          </cell>
          <cell r="K1498" t="str">
            <v>Ναι</v>
          </cell>
          <cell r="L1498" t="str">
            <v>ΝΑΙ</v>
          </cell>
          <cell r="O1498" t="str">
            <v>!</v>
          </cell>
        </row>
        <row r="1499">
          <cell r="D1499" t="str">
            <v>ΚΤΗΝΟΤΡΟΦΙΚΑ ΦΥΤΑ ΓΙΑ ΖΩΟΤΡΟΦΕΣ7731</v>
          </cell>
          <cell r="E1499" t="str">
            <v>ΣΙΤΟΣ ΜΑΛΑΚΟΣ MEC</v>
          </cell>
          <cell r="F1499" t="str">
            <v>B_1_1_1</v>
          </cell>
          <cell r="G1499" t="str">
            <v xml:space="preserve">Μαλακό σιτάρι και όλυρα </v>
          </cell>
          <cell r="H1499">
            <v>411</v>
          </cell>
          <cell r="I1499" t="str">
            <v>ΚΤΗΝΟΤΡΟΦΙΚΑ ΦΥΤΑ ΓΙΑ ΖΩΟΤΡΟΦΕΣ</v>
          </cell>
          <cell r="K1499" t="str">
            <v>Ναι</v>
          </cell>
          <cell r="L1499" t="str">
            <v>ΝΑΙ</v>
          </cell>
          <cell r="O1499" t="str">
            <v>!</v>
          </cell>
        </row>
        <row r="1500">
          <cell r="D1500" t="str">
            <v>ΚΤΗΝΟΤΡΟΦΙΚΑ ΦΥΤΑ ΓΙΑ ΖΩΟΤΡΟΦΕΣ7732</v>
          </cell>
          <cell r="E1500" t="str">
            <v>ΣΙΤΟΣ ΜΑΛΑΚΟΣ ΜΕΛΙΑ</v>
          </cell>
          <cell r="F1500" t="str">
            <v>B_1_1_1</v>
          </cell>
          <cell r="G1500" t="str">
            <v xml:space="preserve">Μαλακό σιτάρι και όλυρα </v>
          </cell>
          <cell r="H1500">
            <v>411</v>
          </cell>
          <cell r="I1500" t="str">
            <v>ΚΤΗΝΟΤΡΟΦΙΚΑ ΦΥΤΑ ΓΙΑ ΖΩΟΤΡΟΦΕΣ</v>
          </cell>
          <cell r="K1500" t="str">
            <v>Ναι</v>
          </cell>
          <cell r="L1500" t="str">
            <v>ΝΑΙ</v>
          </cell>
          <cell r="O1500" t="str">
            <v>!</v>
          </cell>
        </row>
        <row r="1501">
          <cell r="D1501" t="str">
            <v>ΚΤΗΝΟΤΡΟΦΙΚΑ ΦΥΤΑ ΓΙΑ ΖΩΟΤΡΟΦΕΣ7733</v>
          </cell>
          <cell r="E1501" t="str">
            <v>ΣΙΤΟΣ ΜΑΛΑΚΟΣ ΜΥΚΟΝΟΣ</v>
          </cell>
          <cell r="F1501" t="str">
            <v>B_1_1_1</v>
          </cell>
          <cell r="G1501" t="str">
            <v xml:space="preserve">Μαλακό σιτάρι και όλυρα </v>
          </cell>
          <cell r="H1501">
            <v>411</v>
          </cell>
          <cell r="I1501" t="str">
            <v>ΚΤΗΝΟΤΡΟΦΙΚΑ ΦΥΤΑ ΓΙΑ ΖΩΟΤΡΟΦΕΣ</v>
          </cell>
          <cell r="K1501" t="str">
            <v>Ναι</v>
          </cell>
          <cell r="L1501" t="str">
            <v>ΝΑΙ</v>
          </cell>
          <cell r="O1501" t="str">
            <v>!</v>
          </cell>
        </row>
        <row r="1502">
          <cell r="D1502" t="str">
            <v>ΚΤΗΝΟΤΡΟΦΙΚΑ ΦΥΤΑ ΓΙΑ ΖΩΟΤΡΟΦΕΣ7734</v>
          </cell>
          <cell r="E1502" t="str">
            <v>ΣΙΤΟΣ ΜΑΛΑΚΟΣ ΝΕΣΤΟΣ</v>
          </cell>
          <cell r="F1502" t="str">
            <v>B_1_1_1</v>
          </cell>
          <cell r="G1502" t="str">
            <v xml:space="preserve">Μαλακό σιτάρι και όλυρα </v>
          </cell>
          <cell r="H1502">
            <v>411</v>
          </cell>
          <cell r="I1502" t="str">
            <v>ΚΤΗΝΟΤΡΟΦΙΚΑ ΦΥΤΑ ΓΙΑ ΖΩΟΤΡΟΦΕΣ</v>
          </cell>
          <cell r="K1502" t="str">
            <v>Ναι</v>
          </cell>
          <cell r="L1502" t="str">
            <v>ΝΑΙ</v>
          </cell>
          <cell r="O1502" t="str">
            <v>!</v>
          </cell>
        </row>
        <row r="1503">
          <cell r="D1503" t="str">
            <v>ΚΤΗΝΟΤΡΟΦΙΚΑ ΦΥΤΑ ΓΙΑ ΖΩΟΤΡΟΦΕΣ7735</v>
          </cell>
          <cell r="E1503" t="str">
            <v>ΣΙΤΟΣ ΜΑΛΑΚΟΣ ΝΙΚΗ</v>
          </cell>
          <cell r="F1503" t="str">
            <v>B_1_1_1</v>
          </cell>
          <cell r="G1503" t="str">
            <v xml:space="preserve">Μαλακό σιτάρι και όλυρα </v>
          </cell>
          <cell r="H1503">
            <v>411</v>
          </cell>
          <cell r="I1503" t="str">
            <v>ΚΤΗΝΟΤΡΟΦΙΚΑ ΦΥΤΑ ΓΙΑ ΖΩΟΤΡΟΦΕΣ</v>
          </cell>
          <cell r="K1503" t="str">
            <v>Ναι</v>
          </cell>
          <cell r="L1503" t="str">
            <v>ΝΑΙ</v>
          </cell>
          <cell r="O1503" t="str">
            <v>!</v>
          </cell>
        </row>
        <row r="1504">
          <cell r="D1504" t="str">
            <v>ΚΤΗΝΟΤΡΟΦΙΚΑ ΦΥΤΑ ΓΙΑ ΖΩΟΤΡΟΦΕΣ7736</v>
          </cell>
          <cell r="E1504" t="str">
            <v>ΣΙΤΟΣ ΜΑΛΑΚΟΣ ΞΕΝΙΑ</v>
          </cell>
          <cell r="F1504" t="str">
            <v>B_1_1_1</v>
          </cell>
          <cell r="G1504" t="str">
            <v xml:space="preserve">Μαλακό σιτάρι και όλυρα </v>
          </cell>
          <cell r="H1504">
            <v>411</v>
          </cell>
          <cell r="I1504" t="str">
            <v>ΚΤΗΝΟΤΡΟΦΙΚΑ ΦΥΤΑ ΓΙΑ ΖΩΟΤΡΟΦΕΣ</v>
          </cell>
          <cell r="K1504" t="str">
            <v>Ναι</v>
          </cell>
          <cell r="L1504" t="str">
            <v>ΝΑΙ</v>
          </cell>
          <cell r="O1504" t="str">
            <v>!</v>
          </cell>
        </row>
        <row r="1505">
          <cell r="D1505" t="str">
            <v>ΚΤΗΝΟΤΡΟΦΙΚΑ ΦΥΤΑ ΓΙΑ ΖΩΟΤΡΟΦΕΣ7737</v>
          </cell>
          <cell r="E1505" t="str">
            <v>ΣΙΤΟΣ ΜΑΛΑΚΟΣ ORSO</v>
          </cell>
          <cell r="F1505" t="str">
            <v>B_1_1_1</v>
          </cell>
          <cell r="G1505" t="str">
            <v xml:space="preserve">Μαλακό σιτάρι και όλυρα </v>
          </cell>
          <cell r="H1505">
            <v>411</v>
          </cell>
          <cell r="I1505" t="str">
            <v>ΚΤΗΝΟΤΡΟΦΙΚΑ ΦΥΤΑ ΓΙΑ ΖΩΟΤΡΟΦΕΣ</v>
          </cell>
          <cell r="K1505" t="str">
            <v>Ναι</v>
          </cell>
          <cell r="L1505" t="str">
            <v>ΝΑΙ</v>
          </cell>
          <cell r="O1505" t="str">
            <v>!</v>
          </cell>
        </row>
        <row r="1506">
          <cell r="D1506" t="str">
            <v>ΚΤΗΝΟΤΡΟΦΙΚΑ ΦΥΤΑ ΓΙΑ ΖΩΟΤΡΟΦΕΣ7738</v>
          </cell>
          <cell r="E1506" t="str">
            <v>ΣΙΤΟΣ ΜΑΛΑΚΟΣ ΠΕΛΛΑ</v>
          </cell>
          <cell r="F1506" t="str">
            <v>B_1_1_1</v>
          </cell>
          <cell r="G1506" t="str">
            <v xml:space="preserve">Μαλακό σιτάρι και όλυρα </v>
          </cell>
          <cell r="H1506">
            <v>411</v>
          </cell>
          <cell r="I1506" t="str">
            <v>ΚΤΗΝΟΤΡΟΦΙΚΑ ΦΥΤΑ ΓΙΑ ΖΩΟΤΡΟΦΕΣ</v>
          </cell>
          <cell r="K1506" t="str">
            <v>Ναι</v>
          </cell>
          <cell r="L1506" t="str">
            <v>ΝΑΙ</v>
          </cell>
          <cell r="O1506" t="str">
            <v>!</v>
          </cell>
        </row>
        <row r="1507">
          <cell r="D1507" t="str">
            <v>ΚΤΗΝΟΤΡΟΦΙΚΑ ΦΥΤΑ ΓΙΑ ΖΩΟΤΡΟΦΕΣ7739</v>
          </cell>
          <cell r="E1507" t="str">
            <v>ΣΙΤΟΣ ΜΑΛΑΚΟΣ ΠΗΝΕΙΟΣ</v>
          </cell>
          <cell r="F1507" t="str">
            <v>B_1_1_1</v>
          </cell>
          <cell r="G1507" t="str">
            <v xml:space="preserve">Μαλακό σιτάρι και όλυρα </v>
          </cell>
          <cell r="H1507">
            <v>411</v>
          </cell>
          <cell r="I1507" t="str">
            <v>ΚΤΗΝΟΤΡΟΦΙΚΑ ΦΥΤΑ ΓΙΑ ΖΩΟΤΡΟΦΕΣ</v>
          </cell>
          <cell r="K1507" t="str">
            <v>Ναι</v>
          </cell>
          <cell r="L1507" t="str">
            <v>ΝΑΙ</v>
          </cell>
          <cell r="O1507" t="str">
            <v>!</v>
          </cell>
        </row>
        <row r="1508">
          <cell r="D1508" t="str">
            <v>ΚΤΗΝΟΤΡΟΦΙΚΑ ΦΥΤΑ ΓΙΑ ΖΩΟΤΡΟΦΕΣ7740</v>
          </cell>
          <cell r="E1508" t="str">
            <v>ΣΙΤΟΣ ΜΑΛΑΚΟΣ ΠΤΟΛΕΜΑΙΣ-1001</v>
          </cell>
          <cell r="F1508" t="str">
            <v>B_1_1_1</v>
          </cell>
          <cell r="G1508" t="str">
            <v xml:space="preserve">Μαλακό σιτάρι και όλυρα </v>
          </cell>
          <cell r="H1508">
            <v>411</v>
          </cell>
          <cell r="I1508" t="str">
            <v>ΚΤΗΝΟΤΡΟΦΙΚΑ ΦΥΤΑ ΓΙΑ ΖΩΟΤΡΟΦΕΣ</v>
          </cell>
          <cell r="K1508" t="str">
            <v>Ναι</v>
          </cell>
          <cell r="L1508" t="str">
            <v>ΝΑΙ</v>
          </cell>
          <cell r="O1508" t="str">
            <v>!</v>
          </cell>
        </row>
        <row r="1509">
          <cell r="D1509" t="str">
            <v>ΚΤΗΝΟΤΡΟΦΙΚΑ ΦΥΤΑ ΓΙΑ ΖΩΟΤΡΟΦΕΣ7741</v>
          </cell>
          <cell r="E1509" t="str">
            <v>ΣΙΤΟΣ ΜΑΛΑΚΟΣ RINCONADA</v>
          </cell>
          <cell r="F1509" t="str">
            <v>B_1_1_1</v>
          </cell>
          <cell r="G1509" t="str">
            <v xml:space="preserve">Μαλακό σιτάρι και όλυρα </v>
          </cell>
          <cell r="H1509">
            <v>411</v>
          </cell>
          <cell r="I1509" t="str">
            <v>ΚΤΗΝΟΤΡΟΦΙΚΑ ΦΥΤΑ ΓΙΑ ΖΩΟΤΡΟΦΕΣ</v>
          </cell>
          <cell r="K1509" t="str">
            <v>Ναι</v>
          </cell>
          <cell r="L1509" t="str">
            <v>ΝΑΙ</v>
          </cell>
          <cell r="O1509" t="str">
            <v>!</v>
          </cell>
        </row>
        <row r="1510">
          <cell r="D1510" t="str">
            <v>ΚΤΗΝΟΤΡΟΦΙΚΑ ΦΥΤΑ ΓΙΑ ΖΩΟΤΡΟΦΕΣ7742</v>
          </cell>
          <cell r="E1510" t="str">
            <v>ΣΙΤΟΣ ΜΑΛΑΚΟΣ ΣΙΕΤΕ ΣΕΡ.</v>
          </cell>
          <cell r="F1510" t="str">
            <v>B_1_1_1</v>
          </cell>
          <cell r="G1510" t="str">
            <v xml:space="preserve">Μαλακό σιτάρι και όλυρα </v>
          </cell>
          <cell r="H1510">
            <v>411</v>
          </cell>
          <cell r="I1510" t="str">
            <v>ΚΤΗΝΟΤΡΟΦΙΚΑ ΦΥΤΑ ΓΙΑ ΖΩΟΤΡΟΦΕΣ</v>
          </cell>
          <cell r="K1510" t="str">
            <v>Ναι</v>
          </cell>
          <cell r="L1510" t="str">
            <v>ΝΑΙ</v>
          </cell>
          <cell r="O1510" t="str">
            <v>!</v>
          </cell>
        </row>
        <row r="1511">
          <cell r="D1511" t="str">
            <v>ΚΤΗΝΟΤΡΟΦΙΚΑ ΦΥΤΑ ΓΙΑ ΖΩΟΤΡΟΦΕΣ7743</v>
          </cell>
          <cell r="E1511" t="str">
            <v>ΣΙΤΟΣ ΜΑΛΑΚΟΣ SAVODO I</v>
          </cell>
          <cell r="F1511" t="str">
            <v>B_1_1_1</v>
          </cell>
          <cell r="G1511" t="str">
            <v xml:space="preserve">Μαλακό σιτάρι και όλυρα </v>
          </cell>
          <cell r="H1511">
            <v>411</v>
          </cell>
          <cell r="I1511" t="str">
            <v>ΚΤΗΝΟΤΡΟΦΙΚΑ ΦΥΤΑ ΓΙΑ ΖΩΟΤΡΟΦΕΣ</v>
          </cell>
          <cell r="K1511" t="str">
            <v>Ναι</v>
          </cell>
          <cell r="L1511" t="str">
            <v>ΝΑΙ</v>
          </cell>
          <cell r="O1511" t="str">
            <v>!</v>
          </cell>
        </row>
        <row r="1512">
          <cell r="D1512" t="str">
            <v>ΚΤΗΝΟΤΡΟΦΙΚΑ ΦΥΤΑ ΓΙΑ ΖΩΟΤΡΟΦΕΣ7744</v>
          </cell>
          <cell r="E1512" t="str">
            <v>ΣΙΤΟΣ ΜΑΛΑΚΟΣ SK-136</v>
          </cell>
          <cell r="F1512" t="str">
            <v>B_1_1_1</v>
          </cell>
          <cell r="G1512" t="str">
            <v xml:space="preserve">Μαλακό σιτάρι και όλυρα </v>
          </cell>
          <cell r="H1512">
            <v>411</v>
          </cell>
          <cell r="I1512" t="str">
            <v>ΚΤΗΝΟΤΡΟΦΙΚΑ ΦΥΤΑ ΓΙΑ ΖΩΟΤΡΟΦΕΣ</v>
          </cell>
          <cell r="K1512" t="str">
            <v>Ναι</v>
          </cell>
          <cell r="L1512" t="str">
            <v>ΝΑΙ</v>
          </cell>
          <cell r="O1512" t="str">
            <v>!</v>
          </cell>
        </row>
        <row r="1513">
          <cell r="D1513" t="str">
            <v>ΚΤΗΝΟΤΡΟΦΙΚΑ ΦΥΤΑ ΓΙΑ ΖΩΟΤΡΟΦΕΣ7745</v>
          </cell>
          <cell r="E1513" t="str">
            <v>ΣΙΤΟΣ ΜΑΛΑΚΟΣ SCORJANKA</v>
          </cell>
          <cell r="F1513" t="str">
            <v>B_1_1_1</v>
          </cell>
          <cell r="G1513" t="str">
            <v xml:space="preserve">Μαλακό σιτάρι και όλυρα </v>
          </cell>
          <cell r="H1513">
            <v>411</v>
          </cell>
          <cell r="I1513" t="str">
            <v>ΚΤΗΝΟΤΡΟΦΙΚΑ ΦΥΤΑ ΓΙΑ ΖΩΟΤΡΟΦΕΣ</v>
          </cell>
          <cell r="K1513" t="str">
            <v>Ναι</v>
          </cell>
          <cell r="L1513" t="str">
            <v>ΝΑΙ</v>
          </cell>
          <cell r="O1513" t="str">
            <v>!</v>
          </cell>
        </row>
        <row r="1514">
          <cell r="D1514" t="str">
            <v>ΚΤΗΝΟΤΡΟΦΙΚΑ ΦΥΤΑ ΓΙΑ ΖΩΟΤΡΟΦΕΣ7746</v>
          </cell>
          <cell r="E1514" t="str">
            <v>ΣΙΤΟΣ ΜΑΛΑΚΟΣ SPADA</v>
          </cell>
          <cell r="F1514" t="str">
            <v>B_1_1_1</v>
          </cell>
          <cell r="G1514" t="str">
            <v xml:space="preserve">Μαλακό σιτάρι και όλυρα </v>
          </cell>
          <cell r="H1514">
            <v>411</v>
          </cell>
          <cell r="I1514" t="str">
            <v>ΚΤΗΝΟΤΡΟΦΙΚΑ ΦΥΤΑ ΓΙΑ ΖΩΟΤΡΟΦΕΣ</v>
          </cell>
          <cell r="K1514" t="str">
            <v>Ναι</v>
          </cell>
          <cell r="L1514" t="str">
            <v>ΝΑΙ</v>
          </cell>
          <cell r="O1514" t="str">
            <v>!</v>
          </cell>
        </row>
        <row r="1515">
          <cell r="D1515" t="str">
            <v>ΚΤΗΝΟΤΡΟΦΙΚΑ ΦΥΤΑ ΓΙΑ ΖΩΟΤΡΟΦΕΣ7747</v>
          </cell>
          <cell r="E1515" t="str">
            <v>ΣΙΤΟΣ ΜΑΛΑΚΟΣ ΣΤΡΥΜΩΝΑΣ</v>
          </cell>
          <cell r="F1515" t="str">
            <v>B_1_1_1</v>
          </cell>
          <cell r="G1515" t="str">
            <v xml:space="preserve">Μαλακό σιτάρι και όλυρα </v>
          </cell>
          <cell r="H1515">
            <v>411</v>
          </cell>
          <cell r="I1515" t="str">
            <v>ΚΤΗΝΟΤΡΟΦΙΚΑ ΦΥΤΑ ΓΙΑ ΖΩΟΤΡΟΦΕΣ</v>
          </cell>
          <cell r="K1515" t="str">
            <v>Ναι</v>
          </cell>
          <cell r="L1515" t="str">
            <v>ΝΑΙ</v>
          </cell>
          <cell r="O1515" t="str">
            <v>!</v>
          </cell>
        </row>
        <row r="1516">
          <cell r="D1516" t="str">
            <v>ΚΤΗΝΟΤΡΟΦΙΚΑ ΦΥΤΑ ΓΙΑ ΖΩΟΤΡΟΦΕΣ7748</v>
          </cell>
          <cell r="E1516" t="str">
            <v>ΣΙΤΟΣ ΜΑΛΑΚΟΣ Τα-399</v>
          </cell>
          <cell r="F1516" t="str">
            <v>B_1_1_1</v>
          </cell>
          <cell r="G1516" t="str">
            <v xml:space="preserve">Μαλακό σιτάρι και όλυρα </v>
          </cell>
          <cell r="H1516">
            <v>411</v>
          </cell>
          <cell r="I1516" t="str">
            <v>ΚΤΗΝΟΤΡΟΦΙΚΑ ΦΥΤΑ ΓΙΑ ΖΩΟΤΡΟΦΕΣ</v>
          </cell>
          <cell r="K1516" t="str">
            <v>Ναι</v>
          </cell>
          <cell r="L1516" t="str">
            <v>ΝΑΙ</v>
          </cell>
          <cell r="O1516" t="str">
            <v>!</v>
          </cell>
        </row>
        <row r="1517">
          <cell r="D1517" t="str">
            <v>ΚΤΗΝΟΤΡΟΦΙΚΑ ΦΥΤΑ ΓΙΑ ΖΩΟΤΡΟΦΕΣ7749</v>
          </cell>
          <cell r="E1517" t="str">
            <v>ΣΙΤΟΣ ΜΑΛΑΚΟΣ TRIDA</v>
          </cell>
          <cell r="F1517" t="str">
            <v>B_1_1_1</v>
          </cell>
          <cell r="G1517" t="str">
            <v xml:space="preserve">Μαλακό σιτάρι και όλυρα </v>
          </cell>
          <cell r="H1517">
            <v>411</v>
          </cell>
          <cell r="I1517" t="str">
            <v>ΚΤΗΝΟΤΡΟΦΙΚΑ ΦΥΤΑ ΓΙΑ ΖΩΟΤΡΟΦΕΣ</v>
          </cell>
          <cell r="K1517" t="str">
            <v>Ναι</v>
          </cell>
          <cell r="L1517" t="str">
            <v>ΝΑΙ</v>
          </cell>
          <cell r="O1517" t="str">
            <v>!</v>
          </cell>
        </row>
        <row r="1518">
          <cell r="D1518" t="str">
            <v>ΚΤΗΝΟΤΡΟΦΙΚΑ ΦΥΤΑ ΓΙΑ ΖΩΟΤΡΟΦΕΣ7750</v>
          </cell>
          <cell r="E1518" t="str">
            <v>ΣΙΤΟΣ ΜΑΛΑΚΟΣ VRATSA</v>
          </cell>
          <cell r="F1518" t="str">
            <v>B_1_1_1</v>
          </cell>
          <cell r="G1518" t="str">
            <v xml:space="preserve">Μαλακό σιτάρι και όλυρα </v>
          </cell>
          <cell r="H1518">
            <v>411</v>
          </cell>
          <cell r="I1518" t="str">
            <v>ΚΤΗΝΟΤΡΟΦΙΚΑ ΦΥΤΑ ΓΙΑ ΖΩΟΤΡΟΦΕΣ</v>
          </cell>
          <cell r="K1518" t="str">
            <v>Ναι</v>
          </cell>
          <cell r="L1518" t="str">
            <v>ΝΑΙ</v>
          </cell>
          <cell r="O1518" t="str">
            <v>!</v>
          </cell>
        </row>
        <row r="1519">
          <cell r="D1519" t="str">
            <v>ΚΤΗΝΟΤΡΟΦΙΚΑ ΦΥΤΑ ΓΙΑ ΖΩΟΤΡΟΦΕΣ7777</v>
          </cell>
          <cell r="E1519" t="str">
            <v>ΣΙΤΟΣ ΜΑΛΑΚΟΣ ΣΚΟΡΔΑΛΙΑΡΗΣ</v>
          </cell>
          <cell r="F1519" t="str">
            <v>B_1_1_1</v>
          </cell>
          <cell r="G1519" t="str">
            <v xml:space="preserve">Μαλακό σιτάρι και όλυρα </v>
          </cell>
          <cell r="H1519">
            <v>411</v>
          </cell>
          <cell r="I1519" t="str">
            <v>ΚΤΗΝΟΤΡΟΦΙΚΑ ΦΥΤΑ ΓΙΑ ΖΩΟΤΡΟΦΕΣ</v>
          </cell>
          <cell r="K1519" t="str">
            <v>Ναι</v>
          </cell>
          <cell r="L1519" t="str">
            <v>ΝΑΙ</v>
          </cell>
          <cell r="O1519" t="str">
            <v>!</v>
          </cell>
        </row>
        <row r="1520">
          <cell r="D1520" t="str">
            <v>ΚΤΗΝΟΤΡΟΦΙΚΑ ΦΥΤΑ ΓΙΑ ΖΩΟΤΡΟΦΕΣ7778</v>
          </cell>
          <cell r="E1520" t="str">
            <v>ΣΙΤΟΣ ΜΑΛΑΚΟΣ ΣΚΛΗΡΟΠΕΤΡΑ</v>
          </cell>
          <cell r="F1520" t="str">
            <v>B_1_1_1</v>
          </cell>
          <cell r="G1520" t="str">
            <v xml:space="preserve">Μαλακό σιτάρι και όλυρα </v>
          </cell>
          <cell r="H1520">
            <v>411</v>
          </cell>
          <cell r="I1520" t="str">
            <v>ΚΤΗΝΟΤΡΟΦΙΚΑ ΦΥΤΑ ΓΙΑ ΖΩΟΤΡΟΦΕΣ</v>
          </cell>
          <cell r="K1520" t="str">
            <v>Ναι</v>
          </cell>
          <cell r="L1520" t="str">
            <v>ΝΑΙ</v>
          </cell>
          <cell r="O1520" t="str">
            <v>!</v>
          </cell>
        </row>
        <row r="1521">
          <cell r="D1521" t="str">
            <v>ΚΤΗΝΟΤΡΟΦΙΚΑ ΦΥΤΑ ΓΙΑ ΖΩΟΤΡΟΦΕΣ7779</v>
          </cell>
          <cell r="E1521" t="str">
            <v>ΣΙΤΟΣ ΜΑΛΑΚΟΣ ΑΡΝΑΟΥΤΙ</v>
          </cell>
          <cell r="F1521" t="str">
            <v>B_1_1_1</v>
          </cell>
          <cell r="G1521" t="str">
            <v xml:space="preserve">Μαλακό σιτάρι και όλυρα </v>
          </cell>
          <cell r="H1521">
            <v>411</v>
          </cell>
          <cell r="I1521" t="str">
            <v>ΚΤΗΝΟΤΡΟΦΙΚΑ ΦΥΤΑ ΓΙΑ ΖΩΟΤΡΟΦΕΣ</v>
          </cell>
          <cell r="K1521" t="str">
            <v>Ναι</v>
          </cell>
          <cell r="L1521" t="str">
            <v>ΝΑΙ</v>
          </cell>
          <cell r="O1521" t="str">
            <v>!</v>
          </cell>
        </row>
        <row r="1522">
          <cell r="D1522" t="str">
            <v>ΚΤΗΝΟΤΡΟΦΙΚΑ ΦΥΤΑ ΓΙΑ ΖΩΟΤΡΟΦΕΣ7781</v>
          </cell>
          <cell r="E1522" t="str">
            <v>ΣΙΚΑΛΗ ΒΕΥΗ ΦΛΩΡΙΝΑΣ</v>
          </cell>
          <cell r="F1522" t="str">
            <v>B_1_1_3</v>
          </cell>
          <cell r="G1522" t="str">
            <v xml:space="preserve">Σίκαλη </v>
          </cell>
          <cell r="H1522">
            <v>281</v>
          </cell>
          <cell r="I1522" t="str">
            <v>ΚΤΗΝΟΤΡΟΦΙΚΑ ΦΥΤΑ ΓΙΑ ΖΩΟΤΡΟΦΕΣ</v>
          </cell>
          <cell r="K1522" t="str">
            <v>Ναι</v>
          </cell>
          <cell r="L1522" t="str">
            <v>ΝΑΙ</v>
          </cell>
          <cell r="O1522" t="str">
            <v>!</v>
          </cell>
        </row>
        <row r="1523">
          <cell r="D1523" t="str">
            <v>ΚΤΗΝΟΤΡΟΦΙΚΑ ΦΥΤΑ ΓΙΑ ΖΩΟΤΡΟΦΕΣ7782</v>
          </cell>
          <cell r="E1523" t="str">
            <v>ΒΡΩΜΗ ΤΡΙΚΑΛΩΝ</v>
          </cell>
          <cell r="F1523" t="str">
            <v>B_1_1_5</v>
          </cell>
          <cell r="G1523" t="str">
            <v xml:space="preserve">Βρώμη </v>
          </cell>
          <cell r="H1523">
            <v>386</v>
          </cell>
          <cell r="I1523" t="str">
            <v>ΚΤΗΝΟΤΡΟΦΙΚΑ ΦΥΤΑ ΓΙΑ ΖΩΟΤΡΟΦΕΣ</v>
          </cell>
          <cell r="K1523" t="str">
            <v>Ναι</v>
          </cell>
          <cell r="L1523" t="str">
            <v>ΝΑΙ</v>
          </cell>
          <cell r="O1523" t="str">
            <v>!</v>
          </cell>
        </row>
        <row r="1524">
          <cell r="D1524" t="str">
            <v>ΚΤΗΝΟΤΡΟΦΙΚΑ ΦΥΤΑ ΓΙΑ ΖΩΟΤΡΟΦΕΣ7783</v>
          </cell>
          <cell r="E1524" t="str">
            <v>ΚΡΙΘΑΡΙ ΣΕΡΙΦΟΥ</v>
          </cell>
          <cell r="F1524" t="str">
            <v>B_1_1_4</v>
          </cell>
          <cell r="G1524" t="str">
            <v xml:space="preserve">Κριθάρι </v>
          </cell>
          <cell r="H1524">
            <v>364</v>
          </cell>
          <cell r="I1524" t="str">
            <v>ΚΤΗΝΟΤΡΟΦΙΚΑ ΦΥΤΑ ΓΙΑ ΖΩΟΤΡΟΦΕΣ</v>
          </cell>
          <cell r="K1524" t="str">
            <v>Ναι</v>
          </cell>
          <cell r="L1524" t="str">
            <v>ΝΑΙ</v>
          </cell>
          <cell r="O1524" t="str">
            <v>!</v>
          </cell>
        </row>
        <row r="1525">
          <cell r="D1525" t="str">
            <v>ΚΤΗΝΟΤΡΟΦΙΚΑ ΦΥΤΑ ΓΙΑ ΖΩΟΤΡΟΦΕΣ7784</v>
          </cell>
          <cell r="E1525" t="str">
            <v>ΚΡΙΘΑΡΙ ΚΥΘΝΟΥ</v>
          </cell>
          <cell r="F1525" t="str">
            <v>B_1_1_4</v>
          </cell>
          <cell r="G1525" t="str">
            <v xml:space="preserve">Κριθάρι </v>
          </cell>
          <cell r="H1525">
            <v>364</v>
          </cell>
          <cell r="I1525" t="str">
            <v>ΚΤΗΝΟΤΡΟΦΙΚΑ ΦΥΤΑ ΓΙΑ ΖΩΟΤΡΟΦΕΣ</v>
          </cell>
          <cell r="K1525" t="str">
            <v>Ναι</v>
          </cell>
          <cell r="L1525" t="str">
            <v>ΝΑΙ</v>
          </cell>
          <cell r="O1525" t="str">
            <v>!</v>
          </cell>
        </row>
        <row r="1526">
          <cell r="D1526" t="str">
            <v>ΚΤΗΝΟΤΡΟΦΙΚΑ ΦΥΤΑ ΓΙΑ ΖΩΟΤΡΟΦΕΣ7785</v>
          </cell>
          <cell r="E1526" t="str">
            <v>ΚΡΙΘΑΡΙ ΤΡΙΚΑΛΩΝ</v>
          </cell>
          <cell r="F1526" t="str">
            <v>B_1_1_4</v>
          </cell>
          <cell r="G1526" t="str">
            <v xml:space="preserve">Κριθάρι </v>
          </cell>
          <cell r="H1526">
            <v>364</v>
          </cell>
          <cell r="I1526" t="str">
            <v>ΚΤΗΝΟΤΡΟΦΙΚΑ ΦΥΤΑ ΓΙΑ ΖΩΟΤΡΟΦΕΣ</v>
          </cell>
          <cell r="K1526" t="str">
            <v>Ναι</v>
          </cell>
          <cell r="L1526" t="str">
            <v>ΝΑΙ</v>
          </cell>
          <cell r="O1526" t="str">
            <v>!</v>
          </cell>
        </row>
        <row r="1527">
          <cell r="D1527" t="str">
            <v>ΚΤΗΝΟΤΡΟΦΙΚΑ ΦΥΤΑ ΓΙΑ ΖΩΟΤΡΟΦΕΣ7786</v>
          </cell>
          <cell r="E1527" t="str">
            <v>ΚΡΙΘΑΡΙ ΝΑΞΟΥ</v>
          </cell>
          <cell r="F1527" t="str">
            <v>B_1_1_4</v>
          </cell>
          <cell r="G1527" t="str">
            <v xml:space="preserve">Κριθάρι </v>
          </cell>
          <cell r="H1527">
            <v>364</v>
          </cell>
          <cell r="I1527" t="str">
            <v>ΚΤΗΝΟΤΡΟΦΙΚΑ ΦΥΤΑ ΓΙΑ ΖΩΟΤΡΟΦΕΣ</v>
          </cell>
          <cell r="K1527" t="str">
            <v>Ναι</v>
          </cell>
          <cell r="L1527" t="str">
            <v>ΝΑΙ</v>
          </cell>
          <cell r="O1527" t="str">
            <v>!</v>
          </cell>
        </row>
        <row r="1528">
          <cell r="D1528" t="str">
            <v>ΚΤΗΝΟΤΡΟΦΙΚΑ ΦΥΤΑ ΓΙΑ ΖΩΟΤΡΟΦΕΣ7787</v>
          </cell>
          <cell r="E1528" t="str">
            <v>ΑΛΟΓΟΚΡΙΘΟ</v>
          </cell>
          <cell r="F1528" t="str">
            <v>B_1_1_99</v>
          </cell>
          <cell r="G1528" t="str">
            <v>Άλλα σιτηρά για την παραγωγή καρπού</v>
          </cell>
          <cell r="H1528">
            <v>358</v>
          </cell>
          <cell r="I1528" t="str">
            <v>ΚΤΗΝΟΤΡΟΦΙΚΑ ΦΥΤΑ ΓΙΑ ΖΩΟΤΡΟΦΕΣ</v>
          </cell>
          <cell r="K1528" t="str">
            <v>Ναι</v>
          </cell>
          <cell r="L1528" t="str">
            <v>ΝΑΙ</v>
          </cell>
          <cell r="O1528" t="str">
            <v>!</v>
          </cell>
        </row>
        <row r="1529">
          <cell r="D1529" t="str">
            <v>ΚΤΗΝΟΤΡΟΦΙΚΑ ΦΥΤΑ ΓΙΑ ΖΩΟΤΡΟΦΕΣ7788</v>
          </cell>
          <cell r="E1529" t="str">
            <v>ΓΟΥΜΑΡΟΚΡΙΘΟ</v>
          </cell>
          <cell r="F1529" t="str">
            <v>B_1_1_99</v>
          </cell>
          <cell r="G1529" t="str">
            <v>Άλλα σιτηρά για την παραγωγή καρπού</v>
          </cell>
          <cell r="H1529">
            <v>358</v>
          </cell>
          <cell r="I1529" t="str">
            <v>ΚΤΗΝΟΤΡΟΦΙΚΑ ΦΥΤΑ ΓΙΑ ΖΩΟΤΡΟΦΕΣ</v>
          </cell>
          <cell r="K1529" t="str">
            <v>Ναι</v>
          </cell>
          <cell r="L1529" t="str">
            <v>ΝΑΙ</v>
          </cell>
          <cell r="O1529" t="str">
            <v>!</v>
          </cell>
        </row>
        <row r="1530">
          <cell r="D1530" t="str">
            <v>ΚΤΗΝΟΤΡΟΦΙΚΑ ΦΥΤΑ ΓΙΑ ΖΩΟΤΡΟΦΕΣ7789</v>
          </cell>
          <cell r="E1530" t="str">
            <v>ΚΡΙΘΑΡΙ ΕΞΑΣΤΙΧΟ</v>
          </cell>
          <cell r="F1530" t="str">
            <v>B_1_1_4</v>
          </cell>
          <cell r="G1530" t="str">
            <v xml:space="preserve">Κριθάρι </v>
          </cell>
          <cell r="H1530">
            <v>364</v>
          </cell>
          <cell r="I1530" t="str">
            <v>ΚΤΗΝΟΤΡΟΦΙΚΑ ΦΥΤΑ ΓΙΑ ΖΩΟΤΡΟΦΕΣ</v>
          </cell>
          <cell r="K1530" t="str">
            <v>Ναι</v>
          </cell>
          <cell r="L1530" t="str">
            <v>ΝΑΙ</v>
          </cell>
          <cell r="O1530" t="str">
            <v>!</v>
          </cell>
        </row>
        <row r="1531">
          <cell r="D1531" t="str">
            <v>ΚΤΗΝΟΤΡΟΦΙΚΑ ΦΥΤΑ ΓΙΑ ΖΩΟΤΡΟΦΕΣ7790</v>
          </cell>
          <cell r="E1531" t="str">
            <v>ΣΙΤΟΣ ΜΑΛΑΚΟΣ ΓΚΡΙΝΙΑΣ</v>
          </cell>
          <cell r="F1531" t="str">
            <v>B_1_1_1</v>
          </cell>
          <cell r="G1531" t="str">
            <v xml:space="preserve">Μαλακό σιτάρι και όλυρα </v>
          </cell>
          <cell r="H1531">
            <v>411</v>
          </cell>
          <cell r="I1531" t="str">
            <v>ΚΤΗΝΟΤΡΟΦΙΚΑ ΦΥΤΑ ΓΙΑ ΖΩΟΤΡΟΦΕΣ</v>
          </cell>
          <cell r="K1531" t="str">
            <v>Ναι</v>
          </cell>
          <cell r="L1531" t="str">
            <v>ΝΑΙ</v>
          </cell>
          <cell r="O1531" t="str">
            <v>!</v>
          </cell>
        </row>
        <row r="1532">
          <cell r="D1532" t="str">
            <v>ΚΤΗΝΟΤΡΟΦΙΚΑ ΦΥΤΑ ΓΙΑ ΖΩΟΤΡΟΦΕΣ7791</v>
          </cell>
          <cell r="E1532" t="str">
            <v>ΣΙΤΟΣ ΜΑΛΑΚΟΣ ΤΣΟΥΓΚΡΙΑΣ</v>
          </cell>
          <cell r="F1532" t="str">
            <v>B_1_1_1</v>
          </cell>
          <cell r="G1532" t="str">
            <v xml:space="preserve">Μαλακό σιτάρι και όλυρα </v>
          </cell>
          <cell r="H1532">
            <v>411</v>
          </cell>
          <cell r="I1532" t="str">
            <v>ΚΤΗΝΟΤΡΟΦΙΚΑ ΦΥΤΑ ΓΙΑ ΖΩΟΤΡΟΦΕΣ</v>
          </cell>
          <cell r="K1532" t="str">
            <v>Ναι</v>
          </cell>
          <cell r="L1532" t="str">
            <v>ΝΑΙ</v>
          </cell>
          <cell r="O1532" t="str">
            <v>!</v>
          </cell>
        </row>
        <row r="1533">
          <cell r="D1533" t="str">
            <v>ΚΤΗΝΟΤΡΟΦΙΚΑ ΦΥΤΑ ΓΙΑ ΖΩΟΤΡΟΦΕΣ7792</v>
          </cell>
          <cell r="E1533" t="str">
            <v>ΣΙΤΟΣ ΜΑΛΑΚΟΣ ΤΣΙΓΚΡΙΠΑ</v>
          </cell>
          <cell r="F1533" t="str">
            <v>B_1_1_1</v>
          </cell>
          <cell r="G1533" t="str">
            <v xml:space="preserve">Μαλακό σιτάρι και όλυρα </v>
          </cell>
          <cell r="H1533">
            <v>411</v>
          </cell>
          <cell r="I1533" t="str">
            <v>ΚΤΗΝΟΤΡΟΦΙΚΑ ΦΥΤΑ ΓΙΑ ΖΩΟΤΡΟΦΕΣ</v>
          </cell>
          <cell r="K1533" t="str">
            <v>Ναι</v>
          </cell>
          <cell r="L1533" t="str">
            <v>ΝΑΙ</v>
          </cell>
          <cell r="O1533" t="str">
            <v>!</v>
          </cell>
        </row>
        <row r="1534">
          <cell r="D1534" t="str">
            <v>ΚΤΗΝΟΤΡΟΦΙΚΑ ΦΥΤΑ ΓΙΑ ΖΩΟΤΡΟΦΕΣ7793</v>
          </cell>
          <cell r="E1534" t="str">
            <v>ΣΙΤΟΣ ΜΑΛΑΚΟΣ ΖΟΥΛΙΤΣΑ</v>
          </cell>
          <cell r="F1534" t="str">
            <v>B_1_1_1</v>
          </cell>
          <cell r="G1534" t="str">
            <v xml:space="preserve">Μαλακό σιτάρι και όλυρα </v>
          </cell>
          <cell r="H1534">
            <v>411</v>
          </cell>
          <cell r="I1534" t="str">
            <v>ΚΤΗΝΟΤΡΟΦΙΚΑ ΦΥΤΑ ΓΙΑ ΖΩΟΤΡΟΦΕΣ</v>
          </cell>
          <cell r="K1534" t="str">
            <v>Ναι</v>
          </cell>
          <cell r="L1534" t="str">
            <v>ΝΑΙ</v>
          </cell>
          <cell r="O1534" t="str">
            <v>!</v>
          </cell>
        </row>
        <row r="1535">
          <cell r="D1535" t="str">
            <v>ΚΤΗΝΟΤΡΟΦΙΚΑ ΦΥΤΑ ΓΙΑ ΖΩΟΤΡΟΦΕΣ7794</v>
          </cell>
          <cell r="E1535" t="str">
            <v>ΣΙΤΟΣ ΜΑΛΑΚΟΣ ΔΡΙΜΙΝΙΤΣΑ</v>
          </cell>
          <cell r="F1535" t="str">
            <v>B_1_1_1</v>
          </cell>
          <cell r="G1535" t="str">
            <v xml:space="preserve">Μαλακό σιτάρι και όλυρα </v>
          </cell>
          <cell r="H1535">
            <v>411</v>
          </cell>
          <cell r="I1535" t="str">
            <v>ΚΤΗΝΟΤΡΟΦΙΚΑ ΦΥΤΑ ΓΙΑ ΖΩΟΤΡΟΦΕΣ</v>
          </cell>
          <cell r="K1535" t="str">
            <v>Ναι</v>
          </cell>
          <cell r="L1535" t="str">
            <v>ΝΑΙ</v>
          </cell>
          <cell r="O1535" t="str">
            <v>!</v>
          </cell>
        </row>
        <row r="1536">
          <cell r="D1536" t="str">
            <v>ΚΤΗΝΟΤΡΟΦΙΚΑ ΦΥΤΑ ΓΙΑ ΖΩΟΤΡΟΦΕΣ7795</v>
          </cell>
          <cell r="E1536" t="str">
            <v>ΣΙΤΟΣ ΜΑΛΑΚΟΣ ΚΑΤΡΑΝΙΤΣΑ</v>
          </cell>
          <cell r="F1536" t="str">
            <v>B_1_1_1</v>
          </cell>
          <cell r="G1536" t="str">
            <v xml:space="preserve">Μαλακό σιτάρι και όλυρα </v>
          </cell>
          <cell r="H1536">
            <v>411</v>
          </cell>
          <cell r="I1536" t="str">
            <v>ΚΤΗΝΟΤΡΟΦΙΚΑ ΦΥΤΑ ΓΙΑ ΖΩΟΤΡΟΦΕΣ</v>
          </cell>
          <cell r="K1536" t="str">
            <v>Ναι</v>
          </cell>
          <cell r="L1536" t="str">
            <v>ΝΑΙ</v>
          </cell>
          <cell r="O1536" t="str">
            <v>!</v>
          </cell>
        </row>
        <row r="1537">
          <cell r="D1537" t="str">
            <v>ΚΤΗΝΟΤΡΟΦΙΚΑ ΦΥΤΑ ΓΙΑ ΖΩΟΤΡΟΦΕΣ7796</v>
          </cell>
          <cell r="E1537" t="str">
            <v>ΣΙΤΟΣ ΜΑΛΑΚΟΣ ΑΣΠΡΟΣ ΤΣΙΟΥΛΟΣ</v>
          </cell>
          <cell r="F1537" t="str">
            <v>B_1_1_1</v>
          </cell>
          <cell r="G1537" t="str">
            <v xml:space="preserve">Μαλακό σιτάρι και όλυρα </v>
          </cell>
          <cell r="H1537">
            <v>411</v>
          </cell>
          <cell r="I1537" t="str">
            <v>ΚΤΗΝΟΤΡΟΦΙΚΑ ΦΥΤΑ ΓΙΑ ΖΩΟΤΡΟΦΕΣ</v>
          </cell>
          <cell r="K1537" t="str">
            <v>Ναι</v>
          </cell>
          <cell r="L1537" t="str">
            <v>ΝΑΙ</v>
          </cell>
          <cell r="O1537" t="str">
            <v>!</v>
          </cell>
        </row>
        <row r="1538">
          <cell r="D1538" t="str">
            <v>ΚΤΗΝΟΤΡΟΦΙΚΑ ΦΥΤΑ ΓΙΑ ΖΩΟΤΡΟΦΕΣ7797</v>
          </cell>
          <cell r="E1538" t="str">
            <v>ΣΙΤΟΣ ΜΑΛΑΚΟΣ ΚΟΥΤΡΟΥΛΙ</v>
          </cell>
          <cell r="F1538" t="str">
            <v>B_1_1_1</v>
          </cell>
          <cell r="G1538" t="str">
            <v xml:space="preserve">Μαλακό σιτάρι και όλυρα </v>
          </cell>
          <cell r="H1538">
            <v>411</v>
          </cell>
          <cell r="I1538" t="str">
            <v>ΚΤΗΝΟΤΡΟΦΙΚΑ ΦΥΤΑ ΓΙΑ ΖΩΟΤΡΟΦΕΣ</v>
          </cell>
          <cell r="K1538" t="str">
            <v>Ναι</v>
          </cell>
          <cell r="L1538" t="str">
            <v>ΝΑΙ</v>
          </cell>
          <cell r="O1538" t="str">
            <v>!</v>
          </cell>
        </row>
        <row r="1539">
          <cell r="D1539" t="str">
            <v>ΚΤΗΝΟΤΡΟΦΙΚΑ ΦΥΤΑ ΓΙΑ ΖΩΟΤΡΟΦΕΣ7798</v>
          </cell>
          <cell r="E1539" t="str">
            <v>ΣΙΤΟΣ ΜΑΛΑΚΟΣ ΞΥΛΟΚΑΣΤΡΟ</v>
          </cell>
          <cell r="F1539" t="str">
            <v>B_1_1_1</v>
          </cell>
          <cell r="G1539" t="str">
            <v xml:space="preserve">Μαλακό σιτάρι και όλυρα </v>
          </cell>
          <cell r="H1539">
            <v>411</v>
          </cell>
          <cell r="I1539" t="str">
            <v>ΚΤΗΝΟΤΡΟΦΙΚΑ ΦΥΤΑ ΓΙΑ ΖΩΟΤΡΟΦΕΣ</v>
          </cell>
          <cell r="K1539" t="str">
            <v>Ναι</v>
          </cell>
          <cell r="L1539" t="str">
            <v>ΝΑΙ</v>
          </cell>
          <cell r="O1539" t="str">
            <v>!</v>
          </cell>
        </row>
        <row r="1540">
          <cell r="D1540" t="str">
            <v>ΚΤΗΝΟΤΡΟΦΙΚΑ ΦΥΤΑ ΓΙΑ ΖΩΟΤΡΟΦΕΣ7800</v>
          </cell>
          <cell r="E1540" t="str">
            <v>ΣΙΤΟΣ ΣΚΛΗΡΟΣ ΔΙΑΦΟΡΑ</v>
          </cell>
          <cell r="F1540" t="str">
            <v>B_1_1_2</v>
          </cell>
          <cell r="G1540" t="str">
            <v>Σκληρό σιτάρι</v>
          </cell>
          <cell r="H1540">
            <v>324</v>
          </cell>
          <cell r="I1540" t="str">
            <v>ΚΤΗΝΟΤΡΟΦΙΚΑ ΦΥΤΑ ΓΙΑ ΖΩΟΤΡΟΦΕΣ</v>
          </cell>
          <cell r="K1540" t="str">
            <v>Ναι</v>
          </cell>
          <cell r="L1540" t="str">
            <v>ΝΑΙ</v>
          </cell>
          <cell r="O1540" t="str">
            <v>!</v>
          </cell>
        </row>
        <row r="1541">
          <cell r="D1541" t="str">
            <v>ΚΤΗΝΟΤΡΟΦΙΚΑ ΦΥΤΑ ΓΙΑ ΖΩΟΤΡΟΦΕΣ8000</v>
          </cell>
          <cell r="E1541" t="str">
            <v>ΑΡΑΒΟΣΙΤΟΣ ΔΙΑΦΟΡΑ</v>
          </cell>
          <cell r="F1541" t="str">
            <v>B_1_1_6</v>
          </cell>
          <cell r="G1541" t="str">
            <v>Αραβόσιτος σε κόκκους</v>
          </cell>
          <cell r="H1541">
            <v>1583</v>
          </cell>
          <cell r="I1541" t="str">
            <v>ΚΤΗΝΟΤΡΟΦΙΚΑ ΦΥΤΑ ΓΙΑ ΖΩΟΤΡΟΦΕΣ</v>
          </cell>
          <cell r="K1541" t="str">
            <v>Όχι</v>
          </cell>
          <cell r="L1541" t="str">
            <v>ΌΧΙ</v>
          </cell>
          <cell r="O1541" t="str">
            <v/>
          </cell>
        </row>
        <row r="1542">
          <cell r="D1542" t="str">
            <v>ΚΤΗΝΟΤΡΟΦΙΚΑ ΦΥΤΑ ΓΙΑ ΖΩΟΤΡΟΦΕΣ80020</v>
          </cell>
          <cell r="E1542" t="str">
            <v>ΛΟΥΠΙΝΟ ΛΕΥΚΟ</v>
          </cell>
          <cell r="I1542" t="str">
            <v>ΚΤΗΝΟΤΡΟΦΙΚΑ ΦΥΤΑ ΓΙΑ ΖΩΟΤΡΟΦΕΣ</v>
          </cell>
          <cell r="K1542" t="str">
            <v>Ναι</v>
          </cell>
          <cell r="L1542" t="str">
            <v>ΝΑΙ</v>
          </cell>
          <cell r="O1542" t="str">
            <v/>
          </cell>
        </row>
        <row r="1543">
          <cell r="D1543" t="str">
            <v>ΚΤΗΝΟΤΡΟΦΙΚΑ ΦΥΤΑ ΓΙΑ ΖΩΟΤΡΟΦΕΣ80021</v>
          </cell>
          <cell r="E1543" t="str">
            <v>ΛΟΥΠΙΝΟ ΚΥΑΝΟ</v>
          </cell>
          <cell r="I1543" t="str">
            <v>ΚΤΗΝΟΤΡΟΦΙΚΑ ΦΥΤΑ ΓΙΑ ΖΩΟΤΡΟΦΕΣ</v>
          </cell>
          <cell r="K1543" t="str">
            <v>Ναι</v>
          </cell>
          <cell r="L1543" t="str">
            <v>ΝΑΙ</v>
          </cell>
          <cell r="O1543" t="str">
            <v/>
          </cell>
        </row>
        <row r="1544">
          <cell r="D1544" t="str">
            <v>ΚΤΗΝΟΤΡΟΦΙΚΑ ΦΥΤΑ ΓΙΑ ΖΩΟΤΡΟΦΕΣ80022</v>
          </cell>
          <cell r="E1544" t="str">
            <v>ΛΟΥΠΙΝΟ ΚΙΤΡΙΝΟ</v>
          </cell>
          <cell r="I1544" t="str">
            <v>ΚΤΗΝΟΤΡΟΦΙΚΑ ΦΥΤΑ ΓΙΑ ΖΩΟΤΡΟΦΕΣ</v>
          </cell>
          <cell r="K1544" t="str">
            <v>Ναι</v>
          </cell>
          <cell r="L1544" t="str">
            <v>ΝΑΙ</v>
          </cell>
          <cell r="O1544" t="str">
            <v/>
          </cell>
        </row>
        <row r="1545">
          <cell r="D1545" t="str">
            <v>ΚΤΗΝΟΤΡΟΦΙΚΑ ΦΥΤΑ ΓΙΑ ΖΩΟΤΡΟΦΕΣ80023</v>
          </cell>
          <cell r="E1545" t="str">
            <v>ΡΕΒΥΘΙ ΚΤΗΝΟΤΡΟΦΙΚΟ</v>
          </cell>
          <cell r="I1545" t="str">
            <v>ΚΤΗΝΟΤΡΟΦΙΚΑ ΦΥΤΑ ΓΙΑ ΖΩΟΤΡΟΦΕΣ</v>
          </cell>
          <cell r="K1545" t="str">
            <v>Ναι</v>
          </cell>
          <cell r="L1545" t="str">
            <v>ΝΑΙ</v>
          </cell>
          <cell r="O1545" t="str">
            <v/>
          </cell>
        </row>
        <row r="1546">
          <cell r="D1546" t="str">
            <v>ΚΤΗΝΟΤΡΟΦΙΚΑ ΦΥΤΑ ΓΙΑ ΖΩΟΤΡΟΦΕΣ80024</v>
          </cell>
          <cell r="E1546" t="str">
            <v>ΒΙΚΟΣ CUMBRE</v>
          </cell>
          <cell r="I1546" t="str">
            <v>ΚΤΗΝΟΤΡΟΦΙΚΑ ΦΥΤΑ ΓΙΑ ΖΩΟΤΡΟΦΕΣ</v>
          </cell>
          <cell r="K1546" t="str">
            <v>Ναι</v>
          </cell>
          <cell r="L1546" t="str">
            <v>ΝΑΙ</v>
          </cell>
          <cell r="O1546" t="str">
            <v/>
          </cell>
        </row>
        <row r="1547">
          <cell r="D1547" t="str">
            <v>ΚΤΗΝΟΤΡΟΦΙΚΑ ΦΥΤΑ ΓΙΑ ΖΩΟΤΡΟΦΕΣ80025</v>
          </cell>
          <cell r="E1547" t="str">
            <v>ΒΙΚΟΣ SENDA DA-247</v>
          </cell>
          <cell r="I1547" t="str">
            <v>ΚΤΗΝΟΤΡΟΦΙΚΑ ΦΥΤΑ ΓΙΑ ΖΩΟΤΡΟΦΕΣ</v>
          </cell>
          <cell r="K1547" t="str">
            <v>Ναι</v>
          </cell>
          <cell r="L1547" t="str">
            <v>ΝΑΙ</v>
          </cell>
          <cell r="O1547" t="str">
            <v/>
          </cell>
        </row>
        <row r="1548">
          <cell r="D1548" t="str">
            <v>ΚΤΗΝΟΤΡΟΦΙΚΑ ΦΥΤΑ ΓΙΑ ΖΩΟΤΡΟΦΕΣ80026</v>
          </cell>
          <cell r="E1548" t="str">
            <v>KALLIROI</v>
          </cell>
          <cell r="I1548" t="str">
            <v>ΚΤΗΝΟΤΡΟΦΙΚΑ ΦΥΤΑ ΓΙΑ ΖΩΟΤΡΟΦΕΣ</v>
          </cell>
          <cell r="K1548" t="str">
            <v>Ναι</v>
          </cell>
          <cell r="L1548" t="str">
            <v>ΝΑΙ</v>
          </cell>
          <cell r="O1548" t="str">
            <v/>
          </cell>
        </row>
        <row r="1549">
          <cell r="D1549" t="str">
            <v>ΚΤΗΝΟΤΡΟΦΙΚΑ ΦΥΤΑ ΓΙΑ ΖΩΟΤΡΟΦΕΣ80027</v>
          </cell>
          <cell r="E1549" t="str">
            <v>ΚΟΥΚΙΑ ΔΙΑΦΟΡΑ</v>
          </cell>
          <cell r="I1549" t="str">
            <v>ΚΤΗΝΟΤΡΟΦΙΚΑ ΦΥΤΑ ΓΙΑ ΖΩΟΤΡΟΦΕΣ</v>
          </cell>
          <cell r="K1549" t="str">
            <v>Ναι</v>
          </cell>
          <cell r="L1549" t="str">
            <v>ΝΑΙ</v>
          </cell>
          <cell r="O1549" t="str">
            <v/>
          </cell>
        </row>
        <row r="1550">
          <cell r="D1550" t="str">
            <v>ΚΤΗΝΟΤΡΟΦΙΚΑ ΦΥΤΑ ΓΙΑ ΖΩΟΤΡΟΦΕΣ80028</v>
          </cell>
          <cell r="E1550" t="str">
            <v>ΒΙΚΟΣ OMIROS</v>
          </cell>
          <cell r="I1550" t="str">
            <v>ΚΤΗΝΟΤΡΟΦΙΚΑ ΦΥΤΑ ΓΙΑ ΖΩΟΤΡΟΦΕΣ</v>
          </cell>
          <cell r="K1550" t="str">
            <v>Ναι</v>
          </cell>
          <cell r="L1550" t="str">
            <v>ΝΑΙ</v>
          </cell>
          <cell r="O1550" t="str">
            <v/>
          </cell>
        </row>
        <row r="1551">
          <cell r="D1551" t="str">
            <v>ΚΤΗΝΟΤΡΟΦΙΚΑ ΦΥΤΑ ΓΙΑ ΖΩΟΤΡΟΦΕΣ80029</v>
          </cell>
          <cell r="E1551" t="str">
            <v>ΚΟΥΚΙ ΚΤΗΝΟΤΡΟΦΙΚΟ  SOLON</v>
          </cell>
          <cell r="I1551" t="str">
            <v>ΚΤΗΝΟΤΡΟΦΙΚΑ ΦΥΤΑ ΓΙΑ ΖΩΟΤΡΟΦΕΣ</v>
          </cell>
          <cell r="K1551" t="str">
            <v>Ναι</v>
          </cell>
          <cell r="L1551" t="str">
            <v>ΝΑΙ</v>
          </cell>
          <cell r="O1551" t="str">
            <v/>
          </cell>
        </row>
        <row r="1552">
          <cell r="D1552" t="str">
            <v>ΚΤΗΝΟΤΡΟΦΙΚΑ ΦΥΤΑ ΓΙΑ ΖΩΟΤΡΟΦΕΣ8109</v>
          </cell>
          <cell r="E1552" t="str">
            <v>ΣΑΝΟΣ ΜΗΔΙΚΗΣ-ΖΩΟΤΡΟΦΕΣ</v>
          </cell>
          <cell r="F1552" t="str">
            <v>B_1_9_2</v>
          </cell>
          <cell r="G1552" t="str">
            <v>Λοιπά φυτά που συγκομίζονται χλωρά</v>
          </cell>
          <cell r="H1552">
            <v>1452</v>
          </cell>
          <cell r="I1552" t="str">
            <v>ΚΤΗΝΟΤΡΟΦΙΚΑ ΦΥΤΑ ΓΙΑ ΖΩΟΤΡΟΦΕΣ</v>
          </cell>
          <cell r="K1552" t="str">
            <v>Όχι</v>
          </cell>
          <cell r="L1552" t="str">
            <v>ΌΧΙ</v>
          </cell>
          <cell r="N1552" t="str">
            <v>Αντί της B_1_9_2_99</v>
          </cell>
          <cell r="O1552" t="str">
            <v/>
          </cell>
        </row>
        <row r="1553">
          <cell r="D1553" t="str">
            <v>ΚΤΗΝΟΤΡΟΦΙΚΑ ΦΥΤΑ ΓΙΑ ΖΩΟΤΡΟΦΕΣ8110</v>
          </cell>
          <cell r="E1553" t="str">
            <v>ΣΑΝΟΣ ΚΡΙΘΑΡΙΟΥ, ΒΡΩΜΗΣ, ΒΙΚΟΥ, ΑΛΛΟΙ ΣΑΝΟΙ</v>
          </cell>
          <cell r="F1553" t="str">
            <v>B_1_9_2</v>
          </cell>
          <cell r="G1553" t="str">
            <v>Λοιπά φυτά που συγκομίζονται χλωρά</v>
          </cell>
          <cell r="H1553">
            <v>1452</v>
          </cell>
          <cell r="I1553" t="str">
            <v>ΚΤΗΝΟΤΡΟΦΙΚΑ ΦΥΤΑ ΓΙΑ ΖΩΟΤΡΟΦΕΣ</v>
          </cell>
          <cell r="K1553" t="str">
            <v>Ναι</v>
          </cell>
          <cell r="L1553" t="str">
            <v>ΝΑΙ</v>
          </cell>
          <cell r="N1553" t="str">
            <v>Αντί της B_1_9_2_99</v>
          </cell>
          <cell r="O1553" t="str">
            <v>!</v>
          </cell>
        </row>
        <row r="1554">
          <cell r="D1554" t="str">
            <v>ΚΤΗΝΟΤΡΟΦΙΚΑ ΦΥΤΑ ΓΙΑ ΖΩΟΤΡΟΦΕΣ8114</v>
          </cell>
          <cell r="E1554" t="str">
            <v>ΤΡΙΦΥΛΛΙ-ΖΩΟΤΡΟΦΕΣ</v>
          </cell>
          <cell r="I1554" t="str">
            <v>ΚΤΗΝΟΤΡΟΦΙΚΑ ΦΥΤΑ ΓΙΑ ΖΩΟΤΡΟΦΕΣ</v>
          </cell>
          <cell r="K1554" t="str">
            <v>Όχι</v>
          </cell>
          <cell r="L1554" t="str">
            <v>ΌΧΙ</v>
          </cell>
          <cell r="O1554" t="str">
            <v/>
          </cell>
        </row>
        <row r="1555">
          <cell r="D1555" t="str">
            <v>ΚΤΗΝΟΤΡΟΦΙΚΑ ΦΥΤΑ ΓΙΑ ΖΩΟΤΡΟΦΕΣ8121</v>
          </cell>
          <cell r="E1555" t="str">
            <v>ΤΡΙΦΥΛΛΙ ΓΙΑ ΑΠΟΞΗΡΑΝΣΗ - ΑΦΥΔΑΤΩΣΗ</v>
          </cell>
          <cell r="I1555" t="str">
            <v>ΚΤΗΝΟΤΡΟΦΙΚΑ ΦΥΤΑ ΓΙΑ ΖΩΟΤΡΟΦΕΣ</v>
          </cell>
          <cell r="K1555" t="str">
            <v>Όχι</v>
          </cell>
          <cell r="L1555" t="str">
            <v>ΌΧΙ</v>
          </cell>
          <cell r="O1555" t="str">
            <v/>
          </cell>
        </row>
        <row r="1556">
          <cell r="D1556" t="str">
            <v>ΚΤΗΝΟΤΡΟΦΙΚΑ ΦΥΤΑ ΓΙΑ ΖΩΟΤΡΟΦΕΣ8122</v>
          </cell>
          <cell r="E1556" t="str">
            <v>ΜΗΔΙΚΗ ΓΙΑ ΑΠΟΞΗΡΑΝΣΗ - ΑΦΥΔΑΤΩΣΗ</v>
          </cell>
          <cell r="I1556" t="str">
            <v>ΚΤΗΝΟΤΡΟΦΙΚΑ ΦΥΤΑ ΓΙΑ ΖΩΟΤΡΟΦΕΣ</v>
          </cell>
          <cell r="K1556" t="str">
            <v>Όχι</v>
          </cell>
          <cell r="L1556" t="str">
            <v>ΌΧΙ</v>
          </cell>
          <cell r="O1556" t="str">
            <v/>
          </cell>
        </row>
        <row r="1557">
          <cell r="D1557" t="str">
            <v>ΚΤΗΝΟΤΡΟΦΙΚΑ ΦΥΤΑ ΓΙΑ ΖΩΟΤΡΟΦΕΣ8688</v>
          </cell>
          <cell r="E1557" t="str">
            <v>ΚΟΦΤΟΛΙΒΑΔΑ</v>
          </cell>
          <cell r="I1557" t="str">
            <v>ΚΤΗΝΟΤΡΟΦΙΚΑ ΦΥΤΑ ΓΙΑ ΖΩΟΤΡΟΦΕΣ</v>
          </cell>
          <cell r="K1557" t="str">
            <v>Όχι</v>
          </cell>
          <cell r="L1557" t="str">
            <v>ΌΧΙ</v>
          </cell>
          <cell r="O1557" t="str">
            <v/>
          </cell>
        </row>
        <row r="1558">
          <cell r="D1558" t="str">
            <v>ΚΤΗΝΟΤΡΟΦΙΚΑ ΦΥΤΑ ΓΙΑ ΖΩΟΤΡΟΦΕΣ8702</v>
          </cell>
          <cell r="E1558" t="str">
            <v>ΑΓΡΙΟΑΓΓΙΝΑΡΑ</v>
          </cell>
          <cell r="I1558" t="str">
            <v>ΚΤΗΝΟΤΡΟΦΙΚΑ ΦΥΤΑ ΓΙΑ ΖΩΟΤΡΟΦΕΣ</v>
          </cell>
          <cell r="K1558" t="str">
            <v>Ναι</v>
          </cell>
          <cell r="L1558" t="str">
            <v>ΝΑΙ</v>
          </cell>
          <cell r="O1558" t="str">
            <v>!</v>
          </cell>
        </row>
        <row r="1559">
          <cell r="D1559" t="str">
            <v>ΚΤΗΝΟΤΡΟΦΙΚΑ ΦΥΤΑ ΓΙΑ ΖΩΟΤΡΟΦΕΣ9109066</v>
          </cell>
          <cell r="E1559" t="str">
            <v>ΚΡΙΘΑΡΙ ΛΗΜΝΟΥ</v>
          </cell>
          <cell r="F1559" t="str">
            <v>B_1_1_4</v>
          </cell>
          <cell r="G1559" t="str">
            <v xml:space="preserve">Κριθάρι </v>
          </cell>
          <cell r="H1559">
            <v>364</v>
          </cell>
          <cell r="I1559" t="str">
            <v>ΚΤΗΝΟΤΡΟΦΙΚΑ ΦΥΤΑ ΓΙΑ ΖΩΟΤΡΟΦΕΣ</v>
          </cell>
          <cell r="K1559" t="str">
            <v>Ναι</v>
          </cell>
          <cell r="L1559" t="str">
            <v>ΝΑΙ</v>
          </cell>
          <cell r="O1559" t="str">
            <v>!</v>
          </cell>
        </row>
        <row r="1560">
          <cell r="D1560" t="str">
            <v>ΚΤΗΝΟΤΡΟΦΙΚΑ ΦΥΤΑ ΓΙΑ ΖΩΟΤΡΟΦΕΣ96000</v>
          </cell>
          <cell r="E1560" t="str">
            <v>ΞΗΡΙΚΗ ΜΗΔΙΚΗ ΓΙΑ ΖΩΟΤΡΟΦΗ ΚΑΙ ΧΛΩΡΑ ΝΟΜΗ</v>
          </cell>
          <cell r="I1560" t="str">
            <v>ΚΤΗΝΟΤΡΟΦΙΚΑ ΦΥΤΑ ΓΙΑ ΖΩΟΤΡΟΦΕΣ</v>
          </cell>
          <cell r="K1560" t="str">
            <v>Ναι</v>
          </cell>
          <cell r="L1560" t="str">
            <v>ΝΑΙ</v>
          </cell>
          <cell r="O1560" t="str">
            <v/>
          </cell>
        </row>
        <row r="1561">
          <cell r="D1561" t="str">
            <v>ΚΤΗΝΟΤΡΟΦΙΚΑ ΦΥΤΑ ΓΙΑ ΖΩΟΤΡΟΦΕΣ99179</v>
          </cell>
          <cell r="E1561" t="str">
            <v>ΣΙΤΟΣ ΜΑΛΑΚΟΣ TRITICUM AESTIVUM</v>
          </cell>
          <cell r="I1561" t="str">
            <v>ΚΤΗΝΟΤΡΟΦΙΚΑ ΦΥΤΑ ΓΙΑ ΖΩΟΤΡΟΦΕΣ</v>
          </cell>
          <cell r="K1561" t="str">
            <v>Ναι</v>
          </cell>
          <cell r="L1561" t="str">
            <v>ΝΑΙ</v>
          </cell>
          <cell r="O1561" t="str">
            <v>!</v>
          </cell>
        </row>
        <row r="1562">
          <cell r="D1562" t="str">
            <v>ΚΤΗΝΟΤΡΟΦΙΚΑ ΦΥΤΑ ΓΙΑ ΖΩΟΤΡΟΦΕΣ99283</v>
          </cell>
          <cell r="E1562" t="str">
            <v>ΣΙΤΟΣ ΔΙΚΚΟΚΟΣ TRITICUM DICOCCUM</v>
          </cell>
          <cell r="I1562" t="str">
            <v>ΚΤΗΝΟΤΡΟΦΙΚΑ ΦΥΤΑ ΓΙΑ ΖΩΟΤΡΟΦΕΣ</v>
          </cell>
          <cell r="K1562" t="str">
            <v>Ναι</v>
          </cell>
          <cell r="L1562" t="str">
            <v>ΕΤ: Ναι με βάση όλα τα τα υπόλοιπα triticum</v>
          </cell>
          <cell r="O1562" t="str">
            <v>!</v>
          </cell>
        </row>
        <row r="1563">
          <cell r="D1563" t="str">
            <v>ΛΙΝΟΣ ΚΛΩΣΤΙΚΟΣ1401</v>
          </cell>
          <cell r="E1563" t="str">
            <v>ΛΙΝΟΣ ΚΛΩΣΤΙΚΟΣ</v>
          </cell>
          <cell r="F1563" t="str">
            <v>B_1_6_9</v>
          </cell>
          <cell r="G1563" t="str">
            <v>Λίνον</v>
          </cell>
          <cell r="H1563">
            <v>1236</v>
          </cell>
          <cell r="K1563" t="str">
            <v>Ναι</v>
          </cell>
          <cell r="L1563" t="str">
            <v>ΝΑΙ</v>
          </cell>
          <cell r="O1563" t="str">
            <v/>
          </cell>
        </row>
        <row r="1564">
          <cell r="D1564" t="str">
            <v>ΛΙΝΟΣ ΜΗ ΚΛΩΣΤΙΚΟΣ1301</v>
          </cell>
          <cell r="E1564" t="str">
            <v>ΛΙΝΟΣ ΜΗ ΚΛΩΣΤΙΚΟΣ</v>
          </cell>
          <cell r="F1564" t="str">
            <v>B_1_6_9</v>
          </cell>
          <cell r="G1564" t="str">
            <v>Λίνον</v>
          </cell>
          <cell r="H1564">
            <v>1236</v>
          </cell>
          <cell r="K1564" t="str">
            <v>Ναι</v>
          </cell>
          <cell r="L1564" t="str">
            <v>ΝΑΙ</v>
          </cell>
          <cell r="O1564" t="str">
            <v/>
          </cell>
        </row>
        <row r="1565">
          <cell r="D1565" t="str">
            <v>ΛΟΙΠΑ ΣΙΤΗΡΑ2000</v>
          </cell>
          <cell r="E1565" t="str">
            <v>ΣΙΚΑΛΗ ΔΙΑΦΟΡΕΣ</v>
          </cell>
          <cell r="F1565" t="str">
            <v>B_1_1_3</v>
          </cell>
          <cell r="G1565" t="str">
            <v xml:space="preserve">Σίκαλη </v>
          </cell>
          <cell r="H1565">
            <v>281</v>
          </cell>
          <cell r="K1565" t="str">
            <v>Ναι</v>
          </cell>
          <cell r="L1565" t="str">
            <v>ΝΑΙ</v>
          </cell>
          <cell r="O1565" t="str">
            <v>!</v>
          </cell>
        </row>
        <row r="1566">
          <cell r="D1566" t="str">
            <v>ΛΟΙΠΑ ΣΙΤΗΡΑ3000</v>
          </cell>
          <cell r="E1566" t="str">
            <v>ΚΕΧΡΙ ΔΙΑΦΟΡΕΣ</v>
          </cell>
          <cell r="F1566" t="str">
            <v>B_1_1_99</v>
          </cell>
          <cell r="G1566" t="str">
            <v>Άλλα σιτηρά για την παραγωγή καρπού</v>
          </cell>
          <cell r="K1566" t="str">
            <v>Όχι</v>
          </cell>
          <cell r="L1566" t="str">
            <v>ΕΤ: Όχι με βάση "Κεχρί Διάφορες"</v>
          </cell>
          <cell r="O1566" t="str">
            <v>!</v>
          </cell>
        </row>
        <row r="1567">
          <cell r="D1567" t="str">
            <v>ΛΟΙΠΑ ΣΙΤΗΡΑ3099</v>
          </cell>
          <cell r="E1567" t="str">
            <v>ΚΕΧΡΙ ΔΙΑΦΟΡΕΣ</v>
          </cell>
          <cell r="F1567" t="str">
            <v>B_1_1_99</v>
          </cell>
          <cell r="G1567" t="str">
            <v>Άλλα σιτηρά για την παραγωγή καρπού</v>
          </cell>
          <cell r="K1567" t="str">
            <v>Όχι</v>
          </cell>
          <cell r="L1567" t="str">
            <v>ΕΤ: Όχι με βάση "Κεχρί Διάφορες"</v>
          </cell>
          <cell r="O1567" t="str">
            <v>!</v>
          </cell>
        </row>
        <row r="1568">
          <cell r="D1568" t="str">
            <v>ΛΟΙΠΑ ΣΙΤΗΡΑ4000</v>
          </cell>
          <cell r="E1568" t="str">
            <v>ΦΑΓΟΠΥΡΟ ΔΙΑΦΟΡΕΣ</v>
          </cell>
          <cell r="F1568" t="str">
            <v>B_1_1_99</v>
          </cell>
          <cell r="G1568" t="str">
            <v>Άλλα σιτηρά για την παραγωγή καρπού</v>
          </cell>
          <cell r="K1568" t="str">
            <v>Ναι</v>
          </cell>
          <cell r="L1568" t="str">
            <v>ΝΑΙ</v>
          </cell>
          <cell r="O1568" t="str">
            <v>!</v>
          </cell>
        </row>
        <row r="1569">
          <cell r="D1569" t="str">
            <v>ΛΟΙΠΑ ΣΙΤΗΡΑ4099</v>
          </cell>
          <cell r="E1569" t="str">
            <v>ΦΑΓΟΠΥΡΟ/ΜΑΥΡΟΣΙΤΑΡΟ</v>
          </cell>
          <cell r="F1569" t="str">
            <v>B_1_1_99</v>
          </cell>
          <cell r="G1569" t="str">
            <v>Άλλα σιτηρά για την παραγωγή καρπού</v>
          </cell>
          <cell r="H1569">
            <v>358</v>
          </cell>
          <cell r="K1569" t="str">
            <v>Ναι</v>
          </cell>
          <cell r="L1569" t="str">
            <v>ΝΑΙ</v>
          </cell>
          <cell r="O1569" t="str">
            <v>!</v>
          </cell>
        </row>
        <row r="1570">
          <cell r="D1570" t="str">
            <v>ΛΟΙΠΑ ΣΙΤΗΡΑ6800</v>
          </cell>
          <cell r="E1570" t="str">
            <v>ΒΡΩΜΗ ΔΙΑΦΟΡΑ</v>
          </cell>
          <cell r="F1570" t="str">
            <v>B_1_1_5</v>
          </cell>
          <cell r="G1570" t="str">
            <v xml:space="preserve">Βρώμη </v>
          </cell>
          <cell r="H1570">
            <v>386</v>
          </cell>
          <cell r="K1570" t="str">
            <v>Ναι</v>
          </cell>
          <cell r="L1570" t="str">
            <v>ΝΑΙ</v>
          </cell>
          <cell r="O1570" t="str">
            <v>!</v>
          </cell>
        </row>
        <row r="1571">
          <cell r="D1571" t="str">
            <v>ΛΟΙΠΑ ΣΙΤΗΡΑ6801</v>
          </cell>
          <cell r="E1571" t="str">
            <v>ΒΡΩΜΗ ΒΕΡΜΙΟ</v>
          </cell>
          <cell r="F1571" t="str">
            <v>B_1_1_5</v>
          </cell>
          <cell r="G1571" t="str">
            <v xml:space="preserve">Βρώμη </v>
          </cell>
          <cell r="H1571">
            <v>386</v>
          </cell>
          <cell r="K1571" t="str">
            <v>Ναι</v>
          </cell>
          <cell r="L1571" t="str">
            <v>ΝΑΙ</v>
          </cell>
          <cell r="O1571" t="str">
            <v>!</v>
          </cell>
        </row>
        <row r="1572">
          <cell r="D1572" t="str">
            <v>ΛΟΙΠΑ ΣΙΤΗΡΑ6802</v>
          </cell>
          <cell r="E1572" t="str">
            <v>ΒΡΩΜΗ ΚΑΣΑΝΔΡΑ</v>
          </cell>
          <cell r="F1572" t="str">
            <v>B_1_1_5</v>
          </cell>
          <cell r="G1572" t="str">
            <v xml:space="preserve">Βρώμη </v>
          </cell>
          <cell r="H1572">
            <v>386</v>
          </cell>
          <cell r="K1572" t="str">
            <v>Ναι</v>
          </cell>
          <cell r="L1572" t="str">
            <v>ΝΑΙ</v>
          </cell>
          <cell r="O1572" t="str">
            <v>!</v>
          </cell>
        </row>
        <row r="1573">
          <cell r="D1573" t="str">
            <v>ΛΟΙΠΑ ΣΙΤΗΡΑ6900</v>
          </cell>
          <cell r="E1573" t="str">
            <v>ΚΡΙΘΑΡΙ ΔΙΑΦΟΡΑ</v>
          </cell>
          <cell r="F1573" t="str">
            <v>B_1_1_4</v>
          </cell>
          <cell r="G1573" t="str">
            <v xml:space="preserve">Κριθάρι </v>
          </cell>
          <cell r="H1573">
            <v>364</v>
          </cell>
          <cell r="K1573" t="str">
            <v>Ναι</v>
          </cell>
          <cell r="L1573" t="str">
            <v>ΝΑΙ</v>
          </cell>
          <cell r="O1573" t="str">
            <v>!</v>
          </cell>
        </row>
        <row r="1574">
          <cell r="D1574" t="str">
            <v>ΛΟΙΠΑ ΣΙΤΗΡΑ6901</v>
          </cell>
          <cell r="E1574" t="str">
            <v>ΚΡΙΘΑΡΙ AURA</v>
          </cell>
          <cell r="F1574" t="str">
            <v>B_1_1_4</v>
          </cell>
          <cell r="G1574" t="str">
            <v xml:space="preserve">Κριθάρι </v>
          </cell>
          <cell r="H1574">
            <v>364</v>
          </cell>
          <cell r="K1574" t="str">
            <v>Ναι</v>
          </cell>
          <cell r="L1574" t="str">
            <v>ΝΑΙ</v>
          </cell>
          <cell r="O1574" t="str">
            <v>!</v>
          </cell>
        </row>
        <row r="1575">
          <cell r="D1575" t="str">
            <v>ΛΟΙΠΑ ΣΙΤΗΡΑ6902</v>
          </cell>
          <cell r="E1575" t="str">
            <v>ΚΡΙΘΑΡΙ BANDULLA</v>
          </cell>
          <cell r="F1575" t="str">
            <v>B_1_1_4</v>
          </cell>
          <cell r="G1575" t="str">
            <v xml:space="preserve">Κριθάρι </v>
          </cell>
          <cell r="H1575">
            <v>364</v>
          </cell>
          <cell r="K1575" t="str">
            <v>Ναι</v>
          </cell>
          <cell r="L1575" t="str">
            <v>ΝΑΙ</v>
          </cell>
          <cell r="O1575" t="str">
            <v>!</v>
          </cell>
        </row>
        <row r="1576">
          <cell r="D1576" t="str">
            <v>ΛΟΙΠΑ ΣΙΤΗΡΑ6903</v>
          </cell>
          <cell r="E1576" t="str">
            <v>ΚΡΙΘΑΡΙ CARINA</v>
          </cell>
          <cell r="F1576" t="str">
            <v>B_1_1_4</v>
          </cell>
          <cell r="G1576" t="str">
            <v xml:space="preserve">Κριθάρι </v>
          </cell>
          <cell r="H1576">
            <v>364</v>
          </cell>
          <cell r="K1576" t="str">
            <v>Ναι</v>
          </cell>
          <cell r="L1576" t="str">
            <v>ΝΑΙ</v>
          </cell>
          <cell r="O1576" t="str">
            <v>!</v>
          </cell>
        </row>
        <row r="1577">
          <cell r="D1577" t="str">
            <v>ΛΟΙΠΑ ΣΙΤΗΡΑ6904</v>
          </cell>
          <cell r="E1577" t="str">
            <v>ΚΡΙΘΑΡΙ CERISE</v>
          </cell>
          <cell r="F1577" t="str">
            <v>B_1_1_4</v>
          </cell>
          <cell r="G1577" t="str">
            <v xml:space="preserve">Κριθάρι </v>
          </cell>
          <cell r="H1577">
            <v>364</v>
          </cell>
          <cell r="K1577" t="str">
            <v>Ναι</v>
          </cell>
          <cell r="L1577" t="str">
            <v>ΝΑΙ</v>
          </cell>
          <cell r="O1577" t="str">
            <v>!</v>
          </cell>
        </row>
        <row r="1578">
          <cell r="D1578" t="str">
            <v>ΛΟΙΠΑ ΣΙΤΗΡΑ6905</v>
          </cell>
          <cell r="E1578" t="str">
            <v>ΚΡΙΘΑΡΙ CORNEL</v>
          </cell>
          <cell r="F1578" t="str">
            <v>B_1_1_4</v>
          </cell>
          <cell r="G1578" t="str">
            <v xml:space="preserve">Κριθάρι </v>
          </cell>
          <cell r="H1578">
            <v>364</v>
          </cell>
          <cell r="K1578" t="str">
            <v>Ναι</v>
          </cell>
          <cell r="L1578" t="str">
            <v>ΝΑΙ</v>
          </cell>
          <cell r="O1578" t="str">
            <v>!</v>
          </cell>
        </row>
        <row r="1579">
          <cell r="D1579" t="str">
            <v>ΛΟΙΠΑ ΣΙΤΗΡΑ6906</v>
          </cell>
          <cell r="E1579" t="str">
            <v>ΚΡΙΘΑΡΙ ΓΡΑΜΜΟΣ</v>
          </cell>
          <cell r="F1579" t="str">
            <v>B_1_1_4</v>
          </cell>
          <cell r="G1579" t="str">
            <v xml:space="preserve">Κριθάρι </v>
          </cell>
          <cell r="H1579">
            <v>364</v>
          </cell>
          <cell r="K1579" t="str">
            <v>Ναι</v>
          </cell>
          <cell r="L1579" t="str">
            <v>ΝΑΙ</v>
          </cell>
          <cell r="O1579" t="str">
            <v>!</v>
          </cell>
        </row>
        <row r="1580">
          <cell r="D1580" t="str">
            <v>ΛΟΙΠΑ ΣΙΤΗΡΑ6907</v>
          </cell>
          <cell r="E1580" t="str">
            <v>ΚΡΙΘΑΡΙ DELTA</v>
          </cell>
          <cell r="F1580" t="str">
            <v>B_1_1_4</v>
          </cell>
          <cell r="G1580" t="str">
            <v xml:space="preserve">Κριθάρι </v>
          </cell>
          <cell r="H1580">
            <v>364</v>
          </cell>
          <cell r="K1580" t="str">
            <v>Ναι</v>
          </cell>
          <cell r="L1580" t="str">
            <v>ΝΑΙ</v>
          </cell>
          <cell r="O1580" t="str">
            <v>!</v>
          </cell>
        </row>
        <row r="1581">
          <cell r="D1581" t="str">
            <v>ΛΟΙΠΑ ΣΙΤΗΡΑ6908</v>
          </cell>
          <cell r="E1581" t="str">
            <v>ΚΡΙΘΑΡΙ GEORGE</v>
          </cell>
          <cell r="F1581" t="str">
            <v>B_1_1_4</v>
          </cell>
          <cell r="G1581" t="str">
            <v xml:space="preserve">Κριθάρι </v>
          </cell>
          <cell r="H1581">
            <v>364</v>
          </cell>
          <cell r="K1581" t="str">
            <v>Ναι</v>
          </cell>
          <cell r="L1581" t="str">
            <v>ΝΑΙ</v>
          </cell>
          <cell r="O1581" t="str">
            <v>!</v>
          </cell>
        </row>
        <row r="1582">
          <cell r="D1582" t="str">
            <v>ΛΟΙΠΑ ΣΙΤΗΡΑ6909</v>
          </cell>
          <cell r="E1582" t="str">
            <v>ΚΡΙΘΑΡΙ GRIT</v>
          </cell>
          <cell r="F1582" t="str">
            <v>B_1_1_4</v>
          </cell>
          <cell r="G1582" t="str">
            <v xml:space="preserve">Κριθάρι </v>
          </cell>
          <cell r="H1582">
            <v>364</v>
          </cell>
          <cell r="K1582" t="str">
            <v>Ναι</v>
          </cell>
          <cell r="L1582" t="str">
            <v>ΝΑΙ</v>
          </cell>
          <cell r="O1582" t="str">
            <v>!</v>
          </cell>
        </row>
        <row r="1583">
          <cell r="D1583" t="str">
            <v>ΛΟΙΠΑ ΣΙΤΗΡΑ6910</v>
          </cell>
          <cell r="E1583" t="str">
            <v>ΚΡΙΘΑΡΙ HARRY</v>
          </cell>
          <cell r="F1583" t="str">
            <v>B_1_1_4</v>
          </cell>
          <cell r="G1583" t="str">
            <v xml:space="preserve">Κριθάρι </v>
          </cell>
          <cell r="H1583">
            <v>364</v>
          </cell>
          <cell r="K1583" t="str">
            <v>Ναι</v>
          </cell>
          <cell r="L1583" t="str">
            <v>ΝΑΙ</v>
          </cell>
          <cell r="O1583" t="str">
            <v>!</v>
          </cell>
        </row>
        <row r="1584">
          <cell r="D1584" t="str">
            <v>ΛΟΙΠΑ ΣΙΤΗΡΑ6911</v>
          </cell>
          <cell r="E1584" t="str">
            <v>ΚΡΙΘΑΡΙ HELENA</v>
          </cell>
          <cell r="F1584" t="str">
            <v>B_1_1_4</v>
          </cell>
          <cell r="G1584" t="str">
            <v xml:space="preserve">Κριθάρι </v>
          </cell>
          <cell r="H1584">
            <v>364</v>
          </cell>
          <cell r="K1584" t="str">
            <v>Ναι</v>
          </cell>
          <cell r="L1584" t="str">
            <v>ΝΑΙ</v>
          </cell>
          <cell r="O1584" t="str">
            <v>!</v>
          </cell>
        </row>
        <row r="1585">
          <cell r="D1585" t="str">
            <v>ΛΟΙΠΑ ΣΙΤΗΡΑ6912</v>
          </cell>
          <cell r="E1585" t="str">
            <v>ΚΡΙΘΑΡΙ IDA</v>
          </cell>
          <cell r="F1585" t="str">
            <v>B_1_1_4</v>
          </cell>
          <cell r="G1585" t="str">
            <v xml:space="preserve">Κριθάρι </v>
          </cell>
          <cell r="H1585">
            <v>364</v>
          </cell>
          <cell r="K1585" t="str">
            <v>Ναι</v>
          </cell>
          <cell r="L1585" t="str">
            <v>ΝΑΙ</v>
          </cell>
          <cell r="O1585" t="str">
            <v>!</v>
          </cell>
        </row>
        <row r="1586">
          <cell r="D1586" t="str">
            <v>ΛΟΙΠΑ ΣΙΤΗΡΑ6913</v>
          </cell>
          <cell r="E1586" t="str">
            <v>ΚΡΙΘΑΡΙ IGRI</v>
          </cell>
          <cell r="F1586" t="str">
            <v>B_1_1_4</v>
          </cell>
          <cell r="G1586" t="str">
            <v xml:space="preserve">Κριθάρι </v>
          </cell>
          <cell r="H1586">
            <v>364</v>
          </cell>
          <cell r="K1586" t="str">
            <v>Ναι</v>
          </cell>
          <cell r="L1586" t="str">
            <v>ΝΑΙ</v>
          </cell>
          <cell r="O1586" t="str">
            <v>!</v>
          </cell>
        </row>
        <row r="1587">
          <cell r="D1587" t="str">
            <v>ΛΟΙΠΑ ΣΙΤΗΡΑ6914</v>
          </cell>
          <cell r="E1587" t="str">
            <v>ΚΡΙΘΑΡΙ IRANIA</v>
          </cell>
          <cell r="F1587" t="str">
            <v>B_1_1_4</v>
          </cell>
          <cell r="G1587" t="str">
            <v xml:space="preserve">Κριθάρι </v>
          </cell>
          <cell r="H1587">
            <v>364</v>
          </cell>
          <cell r="K1587" t="str">
            <v>Ναι</v>
          </cell>
          <cell r="L1587" t="str">
            <v>ΝΑΙ</v>
          </cell>
          <cell r="O1587" t="str">
            <v>!</v>
          </cell>
        </row>
        <row r="1588">
          <cell r="D1588" t="str">
            <v>ΛΟΙΠΑ ΣΙΤΗΡΑ6915</v>
          </cell>
          <cell r="E1588" t="str">
            <v>ΚΡΙΘΑΡΙ IRLA</v>
          </cell>
          <cell r="F1588" t="str">
            <v>B_1_1_4</v>
          </cell>
          <cell r="G1588" t="str">
            <v xml:space="preserve">Κριθάρι </v>
          </cell>
          <cell r="H1588">
            <v>364</v>
          </cell>
          <cell r="K1588" t="str">
            <v>Ναι</v>
          </cell>
          <cell r="L1588" t="str">
            <v>ΝΑΙ</v>
          </cell>
          <cell r="O1588" t="str">
            <v>!</v>
          </cell>
        </row>
        <row r="1589">
          <cell r="D1589" t="str">
            <v>ΛΟΙΠΑ ΣΙΤΗΡΑ6916</v>
          </cell>
          <cell r="E1589" t="str">
            <v>ΚΡΙΘΑΡΙ ΚΑΔΜΟΣ</v>
          </cell>
          <cell r="F1589" t="str">
            <v>B_1_1_4</v>
          </cell>
          <cell r="G1589" t="str">
            <v xml:space="preserve">Κριθάρι </v>
          </cell>
          <cell r="H1589">
            <v>364</v>
          </cell>
          <cell r="K1589" t="str">
            <v>Ναι</v>
          </cell>
          <cell r="L1589" t="str">
            <v>ΝΑΙ</v>
          </cell>
          <cell r="O1589" t="str">
            <v>!</v>
          </cell>
        </row>
        <row r="1590">
          <cell r="D1590" t="str">
            <v>ΛΟΙΠΑ ΣΙΤΗΡΑ6917</v>
          </cell>
          <cell r="E1590" t="str">
            <v>ΚΡΙΘΑΡΙ ΚΑΛΥΜΝΟΣ</v>
          </cell>
          <cell r="F1590" t="str">
            <v>B_1_1_4</v>
          </cell>
          <cell r="G1590" t="str">
            <v xml:space="preserve">Κριθάρι </v>
          </cell>
          <cell r="H1590">
            <v>364</v>
          </cell>
          <cell r="K1590" t="str">
            <v>Ναι</v>
          </cell>
          <cell r="L1590" t="str">
            <v>ΝΑΙ</v>
          </cell>
          <cell r="O1590" t="str">
            <v>!</v>
          </cell>
        </row>
        <row r="1591">
          <cell r="D1591" t="str">
            <v>ΛΟΙΠΑ ΣΙΤΗΡΑ6918</v>
          </cell>
          <cell r="E1591" t="str">
            <v>ΚΡΙΘΑΡΙ ΚΑΜΕΙΡΟΣ</v>
          </cell>
          <cell r="F1591" t="str">
            <v>B_1_1_4</v>
          </cell>
          <cell r="G1591" t="str">
            <v xml:space="preserve">Κριθάρι </v>
          </cell>
          <cell r="H1591">
            <v>364</v>
          </cell>
          <cell r="K1591" t="str">
            <v>Ναι</v>
          </cell>
          <cell r="L1591" t="str">
            <v>ΝΑΙ</v>
          </cell>
          <cell r="O1591" t="str">
            <v>!</v>
          </cell>
        </row>
        <row r="1592">
          <cell r="D1592" t="str">
            <v>ΛΟΙΠΑ ΣΙΤΗΡΑ6919</v>
          </cell>
          <cell r="E1592" t="str">
            <v>ΚΡΙΘΑΡΙ ΚΑΡΠΑΘΟΣ</v>
          </cell>
          <cell r="F1592" t="str">
            <v>B_1_1_4</v>
          </cell>
          <cell r="G1592" t="str">
            <v xml:space="preserve">Κριθάρι </v>
          </cell>
          <cell r="H1592">
            <v>364</v>
          </cell>
          <cell r="K1592" t="str">
            <v>Ναι</v>
          </cell>
          <cell r="L1592" t="str">
            <v>ΝΑΙ</v>
          </cell>
          <cell r="O1592" t="str">
            <v>!</v>
          </cell>
        </row>
        <row r="1593">
          <cell r="D1593" t="str">
            <v>ΛΟΙΠΑ ΣΙΤΗΡΑ6920</v>
          </cell>
          <cell r="E1593" t="str">
            <v>ΚΡΙΘΑΡΙ ΚΑΣΣΟΣ</v>
          </cell>
          <cell r="F1593" t="str">
            <v>B_1_1_4</v>
          </cell>
          <cell r="G1593" t="str">
            <v xml:space="preserve">Κριθάρι </v>
          </cell>
          <cell r="H1593">
            <v>364</v>
          </cell>
          <cell r="K1593" t="str">
            <v>Ναι</v>
          </cell>
          <cell r="L1593" t="str">
            <v>ΝΑΙ</v>
          </cell>
          <cell r="O1593" t="str">
            <v>!</v>
          </cell>
        </row>
        <row r="1594">
          <cell r="D1594" t="str">
            <v>ΛΟΙΠΑ ΣΙΤΗΡΑ6921</v>
          </cell>
          <cell r="E1594" t="str">
            <v>ΚΡΙΘΑΡΙ KASKADE</v>
          </cell>
          <cell r="F1594" t="str">
            <v>B_1_1_4</v>
          </cell>
          <cell r="G1594" t="str">
            <v xml:space="preserve">Κριθάρι </v>
          </cell>
          <cell r="H1594">
            <v>364</v>
          </cell>
          <cell r="K1594" t="str">
            <v>Ναι</v>
          </cell>
          <cell r="L1594" t="str">
            <v>ΝΑΙ</v>
          </cell>
          <cell r="O1594" t="str">
            <v>!</v>
          </cell>
        </row>
        <row r="1595">
          <cell r="D1595" t="str">
            <v>ΛΟΙΠΑ ΣΙΤΗΡΑ6922</v>
          </cell>
          <cell r="E1595" t="str">
            <v>ΚΡΙΘΑΡΙ ΚΙΡΚΗ</v>
          </cell>
          <cell r="F1595" t="str">
            <v>B_1_1_4</v>
          </cell>
          <cell r="G1595" t="str">
            <v xml:space="preserve">Κριθάρι </v>
          </cell>
          <cell r="H1595">
            <v>364</v>
          </cell>
          <cell r="K1595" t="str">
            <v>Ναι</v>
          </cell>
          <cell r="L1595" t="str">
            <v>ΝΑΙ</v>
          </cell>
          <cell r="O1595" t="str">
            <v>!</v>
          </cell>
        </row>
        <row r="1596">
          <cell r="D1596" t="str">
            <v>ΛΟΙΠΑ ΣΙΤΗΡΑ6923</v>
          </cell>
          <cell r="E1596" t="str">
            <v>ΚΡΙΘΑΡΙ ΚΛΙΠΠΕΡ 71</v>
          </cell>
          <cell r="F1596" t="str">
            <v>B_1_1_4</v>
          </cell>
          <cell r="G1596" t="str">
            <v xml:space="preserve">Κριθάρι </v>
          </cell>
          <cell r="H1596">
            <v>364</v>
          </cell>
          <cell r="K1596" t="str">
            <v>Ναι</v>
          </cell>
          <cell r="L1596" t="str">
            <v>ΝΑΙ</v>
          </cell>
          <cell r="O1596" t="str">
            <v>!</v>
          </cell>
        </row>
        <row r="1597">
          <cell r="D1597" t="str">
            <v>ΛΟΙΠΑ ΣΙΤΗΡΑ6925</v>
          </cell>
          <cell r="E1597" t="str">
            <v>ΚΡΙΘΑΡΙ ΚΡΙΤΩΝ</v>
          </cell>
          <cell r="F1597" t="str">
            <v>B_1_1_4</v>
          </cell>
          <cell r="G1597" t="str">
            <v xml:space="preserve">Κριθάρι </v>
          </cell>
          <cell r="H1597">
            <v>364</v>
          </cell>
          <cell r="K1597" t="str">
            <v>Ναι</v>
          </cell>
          <cell r="L1597" t="str">
            <v>ΝΑΙ</v>
          </cell>
          <cell r="O1597" t="str">
            <v>!</v>
          </cell>
        </row>
        <row r="1598">
          <cell r="D1598" t="str">
            <v>ΛΟΙΠΑ ΣΙΤΗΡΑ6926</v>
          </cell>
          <cell r="E1598" t="str">
            <v>ΚΡΙΘΑΡΙ ΚΡΟΝΟΣ</v>
          </cell>
          <cell r="F1598" t="str">
            <v>B_1_1_4</v>
          </cell>
          <cell r="G1598" t="str">
            <v xml:space="preserve">Κριθάρι </v>
          </cell>
          <cell r="H1598">
            <v>364</v>
          </cell>
          <cell r="K1598" t="str">
            <v>Ναι</v>
          </cell>
          <cell r="L1598" t="str">
            <v>ΝΑΙ</v>
          </cell>
          <cell r="O1598" t="str">
            <v>!</v>
          </cell>
        </row>
        <row r="1599">
          <cell r="D1599" t="str">
            <v>ΛΟΙΠΑ ΣΙΤΗΡΑ6927</v>
          </cell>
          <cell r="E1599" t="str">
            <v>ΚΡΙΘΑΡΙ ΚΥΜ</v>
          </cell>
          <cell r="F1599" t="str">
            <v>B_1_1_4</v>
          </cell>
          <cell r="G1599" t="str">
            <v xml:space="preserve">Κριθάρι </v>
          </cell>
          <cell r="H1599">
            <v>364</v>
          </cell>
          <cell r="K1599" t="str">
            <v>Ναι</v>
          </cell>
          <cell r="L1599" t="str">
            <v>ΝΑΙ</v>
          </cell>
          <cell r="O1599" t="str">
            <v>!</v>
          </cell>
        </row>
        <row r="1600">
          <cell r="D1600" t="str">
            <v>ΛΟΙΠΑ ΣΙΤΗΡΑ6928</v>
          </cell>
          <cell r="E1600" t="str">
            <v>ΚΡΙΘΑΡΙ MENUET</v>
          </cell>
          <cell r="F1600" t="str">
            <v>B_1_1_4</v>
          </cell>
          <cell r="G1600" t="str">
            <v xml:space="preserve">Κριθάρι </v>
          </cell>
          <cell r="H1600">
            <v>364</v>
          </cell>
          <cell r="K1600" t="str">
            <v>Ναι</v>
          </cell>
          <cell r="L1600" t="str">
            <v>ΝΑΙ</v>
          </cell>
          <cell r="O1600" t="str">
            <v>!</v>
          </cell>
        </row>
        <row r="1601">
          <cell r="D1601" t="str">
            <v>ΛΟΙΠΑ ΣΙΤΗΡΑ6929</v>
          </cell>
          <cell r="E1601" t="str">
            <v>ΚΡΙΘΑΡΙ ΝΙΚΗ</v>
          </cell>
          <cell r="F1601" t="str">
            <v>B_1_1_4</v>
          </cell>
          <cell r="G1601" t="str">
            <v xml:space="preserve">Κριθάρι </v>
          </cell>
          <cell r="H1601">
            <v>364</v>
          </cell>
          <cell r="K1601" t="str">
            <v>Ναι</v>
          </cell>
          <cell r="L1601" t="str">
            <v>ΝΑΙ</v>
          </cell>
          <cell r="O1601" t="str">
            <v>!</v>
          </cell>
        </row>
        <row r="1602">
          <cell r="D1602" t="str">
            <v>ΛΟΙΠΑ ΣΙΤΗΡΑ6930</v>
          </cell>
          <cell r="E1602" t="str">
            <v>ΚΡΙΘΑΡΙ PRESTO</v>
          </cell>
          <cell r="F1602" t="str">
            <v>B_1_1_4</v>
          </cell>
          <cell r="G1602" t="str">
            <v xml:space="preserve">Κριθάρι </v>
          </cell>
          <cell r="H1602">
            <v>364</v>
          </cell>
          <cell r="K1602" t="str">
            <v>Ναι</v>
          </cell>
          <cell r="L1602" t="str">
            <v>ΝΑΙ</v>
          </cell>
          <cell r="O1602" t="str">
            <v>!</v>
          </cell>
        </row>
        <row r="1603">
          <cell r="D1603" t="str">
            <v>ΛΟΙΠΑ ΣΙΤΗΡΑ6931</v>
          </cell>
          <cell r="E1603" t="str">
            <v>ΚΡΙΘΑΡΙ SONJA</v>
          </cell>
          <cell r="F1603" t="str">
            <v>B_1_1_4</v>
          </cell>
          <cell r="G1603" t="str">
            <v xml:space="preserve">Κριθάρι </v>
          </cell>
          <cell r="H1603">
            <v>364</v>
          </cell>
          <cell r="K1603" t="str">
            <v>Ναι</v>
          </cell>
          <cell r="L1603" t="str">
            <v>ΝΑΙ</v>
          </cell>
          <cell r="O1603" t="str">
            <v>!</v>
          </cell>
        </row>
        <row r="1604">
          <cell r="D1604" t="str">
            <v>ΛΟΙΠΑ ΣΙΤΗΡΑ6932</v>
          </cell>
          <cell r="E1604" t="str">
            <v>ΚΡΙΘΑΡΙ ΣΟΦΙΑ</v>
          </cell>
          <cell r="F1604" t="str">
            <v>B_1_1_4</v>
          </cell>
          <cell r="G1604" t="str">
            <v xml:space="preserve">Κριθάρι </v>
          </cell>
          <cell r="H1604">
            <v>364</v>
          </cell>
          <cell r="K1604" t="str">
            <v>Ναι</v>
          </cell>
          <cell r="L1604" t="str">
            <v>ΝΑΙ</v>
          </cell>
          <cell r="O1604" t="str">
            <v>!</v>
          </cell>
        </row>
        <row r="1605">
          <cell r="D1605" t="str">
            <v>ΛΟΙΠΑ ΣΙΤΗΡΑ6933</v>
          </cell>
          <cell r="E1605" t="str">
            <v>ΚΡΙΘΑΡΙ ΣΠΙΘΑ</v>
          </cell>
          <cell r="F1605" t="str">
            <v>B_1_1_4</v>
          </cell>
          <cell r="G1605" t="str">
            <v xml:space="preserve">Κριθάρι </v>
          </cell>
          <cell r="H1605">
            <v>364</v>
          </cell>
          <cell r="K1605" t="str">
            <v>Ναι</v>
          </cell>
          <cell r="L1605" t="str">
            <v>ΝΑΙ</v>
          </cell>
          <cell r="O1605" t="str">
            <v>!</v>
          </cell>
        </row>
        <row r="1606">
          <cell r="D1606" t="str">
            <v>ΛΟΙΠΑ ΣΙΤΗΡΑ6934</v>
          </cell>
          <cell r="E1606" t="str">
            <v>ΚΡΙΘΑΡΙ TORKEL</v>
          </cell>
          <cell r="F1606" t="str">
            <v>B_1_1_4</v>
          </cell>
          <cell r="G1606" t="str">
            <v xml:space="preserve">Κριθάρι </v>
          </cell>
          <cell r="H1606">
            <v>364</v>
          </cell>
          <cell r="K1606" t="str">
            <v>Ναι</v>
          </cell>
          <cell r="L1606" t="str">
            <v>ΝΑΙ</v>
          </cell>
          <cell r="O1606" t="str">
            <v>!</v>
          </cell>
        </row>
        <row r="1607">
          <cell r="D1607" t="str">
            <v>ΛΟΙΠΑ ΣΙΤΗΡΑ6935</v>
          </cell>
          <cell r="E1607" t="str">
            <v>ΚΡΙΘΑΡΙ TROUBADOUR</v>
          </cell>
          <cell r="F1607" t="str">
            <v>B_1_1_4</v>
          </cell>
          <cell r="G1607" t="str">
            <v xml:space="preserve">Κριθάρι </v>
          </cell>
          <cell r="H1607">
            <v>364</v>
          </cell>
          <cell r="K1607" t="str">
            <v>Ναι</v>
          </cell>
          <cell r="L1607" t="str">
            <v>ΝΑΙ</v>
          </cell>
          <cell r="O1607" t="str">
            <v>!</v>
          </cell>
        </row>
        <row r="1608">
          <cell r="D1608" t="str">
            <v>ΛΟΙΠΑ ΣΙΤΗΡΑ6936</v>
          </cell>
          <cell r="E1608" t="str">
            <v>ΚΡΙΘΑΡΙ VIOLA</v>
          </cell>
          <cell r="F1608" t="str">
            <v>B_1_1_4</v>
          </cell>
          <cell r="G1608" t="str">
            <v xml:space="preserve">Κριθάρι </v>
          </cell>
          <cell r="H1608">
            <v>364</v>
          </cell>
          <cell r="K1608" t="str">
            <v>Ναι</v>
          </cell>
          <cell r="L1608" t="str">
            <v>ΝΑΙ</v>
          </cell>
          <cell r="O1608" t="str">
            <v>!</v>
          </cell>
        </row>
        <row r="1609">
          <cell r="D1609" t="str">
            <v>ΛΟΙΠΑ ΣΙΤΗΡΑ6937</v>
          </cell>
          <cell r="E1609" t="str">
            <v>ΚΡΙΘΑΡΙ ΑΘΗΝΑΙΔΑ</v>
          </cell>
          <cell r="F1609" t="str">
            <v>B_1_1_4</v>
          </cell>
          <cell r="G1609" t="str">
            <v xml:space="preserve">Κριθάρι </v>
          </cell>
          <cell r="H1609">
            <v>364</v>
          </cell>
          <cell r="K1609" t="str">
            <v>Ναι</v>
          </cell>
          <cell r="L1609" t="str">
            <v>ΝΑΙ</v>
          </cell>
          <cell r="O1609" t="str">
            <v>!</v>
          </cell>
        </row>
        <row r="1610">
          <cell r="D1610" t="str">
            <v>ΛΟΙΠΑ ΣΙΤΗΡΑ6938</v>
          </cell>
          <cell r="E1610" t="str">
            <v>ΚΡΙΘΑΡΙ ΑΤΤΙΚΗ</v>
          </cell>
          <cell r="F1610" t="str">
            <v>B_1_1_4</v>
          </cell>
          <cell r="G1610" t="str">
            <v xml:space="preserve">Κριθάρι </v>
          </cell>
          <cell r="H1610">
            <v>364</v>
          </cell>
          <cell r="K1610" t="str">
            <v>Ναι</v>
          </cell>
          <cell r="L1610" t="str">
            <v>ΝΑΙ</v>
          </cell>
          <cell r="O1610" t="str">
            <v>!</v>
          </cell>
        </row>
        <row r="1611">
          <cell r="D1611" t="str">
            <v>ΛΟΙΠΑ ΣΙΤΗΡΑ6939</v>
          </cell>
          <cell r="E1611" t="str">
            <v>ΚΡΙΘΑΡΙ DIANA</v>
          </cell>
          <cell r="F1611" t="str">
            <v>B_1_1_4</v>
          </cell>
          <cell r="G1611" t="str">
            <v xml:space="preserve">Κριθάρι </v>
          </cell>
          <cell r="H1611">
            <v>364</v>
          </cell>
          <cell r="K1611" t="str">
            <v>Ναι</v>
          </cell>
          <cell r="L1611" t="str">
            <v>ΝΑΙ</v>
          </cell>
          <cell r="O1611" t="str">
            <v>!</v>
          </cell>
        </row>
        <row r="1612">
          <cell r="D1612" t="str">
            <v>ΛΟΙΠΑ ΣΙΤΗΡΑ6940</v>
          </cell>
          <cell r="E1612" t="str">
            <v>ΚΡΙΘΑΡΙ ΕΛΑΣΣΟΝΑ</v>
          </cell>
          <cell r="F1612" t="str">
            <v>B_1_1_4</v>
          </cell>
          <cell r="G1612" t="str">
            <v xml:space="preserve">Κριθάρι </v>
          </cell>
          <cell r="H1612">
            <v>364</v>
          </cell>
          <cell r="K1612" t="str">
            <v>Ναι</v>
          </cell>
          <cell r="L1612" t="str">
            <v>ΝΑΙ</v>
          </cell>
          <cell r="O1612" t="str">
            <v>!</v>
          </cell>
        </row>
        <row r="1613">
          <cell r="D1613" t="str">
            <v>ΛΟΙΠΑ ΣΙΤΗΡΑ6941</v>
          </cell>
          <cell r="E1613" t="str">
            <v>ΚΡΙΘΑΡΙ HEMUS</v>
          </cell>
          <cell r="F1613" t="str">
            <v>B_1_1_4</v>
          </cell>
          <cell r="G1613" t="str">
            <v xml:space="preserve">Κριθάρι </v>
          </cell>
          <cell r="H1613">
            <v>364</v>
          </cell>
          <cell r="K1613" t="str">
            <v>Ναι</v>
          </cell>
          <cell r="L1613" t="str">
            <v>ΝΑΙ</v>
          </cell>
          <cell r="O1613" t="str">
            <v>!</v>
          </cell>
        </row>
        <row r="1614">
          <cell r="D1614" t="str">
            <v>ΛΟΙΠΑ ΣΙΤΗΡΑ6942</v>
          </cell>
          <cell r="E1614" t="str">
            <v>ΚΡΙΘΑΡΙ KARNOBAT</v>
          </cell>
          <cell r="F1614" t="str">
            <v>B_1_1_4</v>
          </cell>
          <cell r="G1614" t="str">
            <v xml:space="preserve">Κριθάρι </v>
          </cell>
          <cell r="H1614">
            <v>364</v>
          </cell>
          <cell r="K1614" t="str">
            <v>Ναι</v>
          </cell>
          <cell r="L1614" t="str">
            <v>ΝΑΙ</v>
          </cell>
          <cell r="O1614" t="str">
            <v>!</v>
          </cell>
        </row>
        <row r="1615">
          <cell r="D1615" t="str">
            <v>ΛΟΙΠΑ ΣΙΤΗΡΑ6943</v>
          </cell>
          <cell r="E1615" t="str">
            <v>ΚΡΙΘΑΡΙ KATJA</v>
          </cell>
          <cell r="F1615" t="str">
            <v>B_1_1_4</v>
          </cell>
          <cell r="G1615" t="str">
            <v xml:space="preserve">Κριθάρι </v>
          </cell>
          <cell r="H1615">
            <v>364</v>
          </cell>
          <cell r="K1615" t="str">
            <v>Ναι</v>
          </cell>
          <cell r="L1615" t="str">
            <v>ΝΑΙ</v>
          </cell>
          <cell r="O1615" t="str">
            <v>!</v>
          </cell>
        </row>
        <row r="1616">
          <cell r="D1616" t="str">
            <v>ΛΟΙΠΑ ΣΙΤΗΡΑ6944</v>
          </cell>
          <cell r="E1616" t="str">
            <v>ΚΡΙΘΑΡΙ ΚΡΗΝΗ</v>
          </cell>
          <cell r="F1616" t="str">
            <v>B_1_1_4</v>
          </cell>
          <cell r="G1616" t="str">
            <v xml:space="preserve">Κριθάρι </v>
          </cell>
          <cell r="H1616">
            <v>364</v>
          </cell>
          <cell r="K1616" t="str">
            <v>Ναι</v>
          </cell>
          <cell r="L1616" t="str">
            <v>ΝΑΙ</v>
          </cell>
          <cell r="O1616" t="str">
            <v>!</v>
          </cell>
        </row>
        <row r="1617">
          <cell r="D1617" t="str">
            <v>ΛΟΙΠΑ ΣΙΤΗΡΑ7600</v>
          </cell>
          <cell r="E1617" t="str">
            <v>ΤΡΙΤΙΚΑΛΕ ΔΙΑΦΟΡΑ</v>
          </cell>
          <cell r="F1617" t="str">
            <v>B_1_1_99</v>
          </cell>
          <cell r="G1617" t="str">
            <v>Άλλα σιτηρά για την παραγωγή καρπού</v>
          </cell>
          <cell r="H1617">
            <v>358</v>
          </cell>
          <cell r="K1617" t="str">
            <v>Ναι</v>
          </cell>
          <cell r="L1617" t="str">
            <v>ΝΑΙ</v>
          </cell>
          <cell r="O1617" t="str">
            <v>!</v>
          </cell>
        </row>
        <row r="1618">
          <cell r="D1618" t="str">
            <v>ΛΟΙΠΑ ΣΙΤΗΡΑ7601</v>
          </cell>
          <cell r="E1618" t="str">
            <v>ΤΡΙΤΙΚΑΛΕ ΒΡΟΝΤΗ</v>
          </cell>
          <cell r="F1618" t="str">
            <v>B_1_1_99</v>
          </cell>
          <cell r="G1618" t="str">
            <v>Άλλα σιτηρά για την παραγωγή καρπού</v>
          </cell>
          <cell r="H1618">
            <v>358</v>
          </cell>
          <cell r="K1618" t="str">
            <v>Ναι</v>
          </cell>
          <cell r="L1618" t="str">
            <v>ΝΑΙ</v>
          </cell>
          <cell r="O1618" t="str">
            <v>!</v>
          </cell>
        </row>
        <row r="1619">
          <cell r="D1619" t="str">
            <v>ΛΟΙΠΑ ΣΙΤΗΡΑ7602</v>
          </cell>
          <cell r="E1619" t="str">
            <v>ΤΡΙΤΙΚΑΛΕ ΒΡΥΤΩ</v>
          </cell>
          <cell r="F1619" t="str">
            <v>B_1_1_99</v>
          </cell>
          <cell r="G1619" t="str">
            <v>Άλλα σιτηρά για την παραγωγή καρπού</v>
          </cell>
          <cell r="H1619">
            <v>358</v>
          </cell>
          <cell r="K1619" t="str">
            <v>Ναι</v>
          </cell>
          <cell r="L1619" t="str">
            <v>ΝΑΙ</v>
          </cell>
          <cell r="O1619" t="str">
            <v>!</v>
          </cell>
        </row>
        <row r="1620">
          <cell r="D1620" t="str">
            <v>ΛΟΙΠΑ ΣΙΤΗΡΑ7603</v>
          </cell>
          <cell r="E1620" t="str">
            <v>ΤΡΙΤΙΚΑΛΕ ΔΑΔΑ</v>
          </cell>
          <cell r="F1620" t="str">
            <v>B_1_1_99</v>
          </cell>
          <cell r="G1620" t="str">
            <v>Άλλα σιτηρά για την παραγωγή καρπού</v>
          </cell>
          <cell r="H1620">
            <v>358</v>
          </cell>
          <cell r="K1620" t="str">
            <v>Ναι</v>
          </cell>
          <cell r="L1620" t="str">
            <v>ΝΑΙ</v>
          </cell>
          <cell r="O1620" t="str">
            <v>!</v>
          </cell>
        </row>
        <row r="1621">
          <cell r="D1621" t="str">
            <v>ΛΟΙΠΑ ΣΙΤΗΡΑ7604</v>
          </cell>
          <cell r="E1621" t="str">
            <v>ΤΡΙΤΙΚΑΛΕ ΘΙΣΒΗ</v>
          </cell>
          <cell r="F1621" t="str">
            <v>B_1_1_99</v>
          </cell>
          <cell r="G1621" t="str">
            <v>Άλλα σιτηρά για την παραγωγή καρπού</v>
          </cell>
          <cell r="H1621">
            <v>358</v>
          </cell>
          <cell r="K1621" t="str">
            <v>Ναι</v>
          </cell>
          <cell r="L1621" t="str">
            <v>ΝΑΙ</v>
          </cell>
          <cell r="O1621" t="str">
            <v>!</v>
          </cell>
        </row>
        <row r="1622">
          <cell r="D1622" t="str">
            <v>ΛΟΙΠΑ ΣΙΤΗΡΑ7605</v>
          </cell>
          <cell r="E1622" t="str">
            <v>ΤΡΙΤΙΚΑΛΕ ΝΙΟΒΗ</v>
          </cell>
          <cell r="F1622" t="str">
            <v>B_1_1_99</v>
          </cell>
          <cell r="G1622" t="str">
            <v>Άλλα σιτηρά για την παραγωγή καρπού</v>
          </cell>
          <cell r="H1622">
            <v>358</v>
          </cell>
          <cell r="K1622" t="str">
            <v>Ναι</v>
          </cell>
          <cell r="L1622" t="str">
            <v>ΝΑΙ</v>
          </cell>
          <cell r="O1622" t="str">
            <v>!</v>
          </cell>
        </row>
        <row r="1623">
          <cell r="D1623" t="str">
            <v>ΛΟΙΠΑ ΣΙΤΗΡΑ7700</v>
          </cell>
          <cell r="E1623" t="str">
            <v>ΣΙΤΟΣ ΜΑΛΑΚΟΣ ΔΙΑΦΟΡΑ</v>
          </cell>
          <cell r="F1623" t="str">
            <v>B_1_1_1</v>
          </cell>
          <cell r="G1623" t="str">
            <v xml:space="preserve">Μαλακό σιτάρι και όλυρα </v>
          </cell>
          <cell r="H1623">
            <v>411</v>
          </cell>
          <cell r="K1623" t="str">
            <v>Ναι</v>
          </cell>
          <cell r="L1623" t="str">
            <v>ΝΑΙ</v>
          </cell>
          <cell r="O1623" t="str">
            <v>!</v>
          </cell>
        </row>
        <row r="1624">
          <cell r="D1624" t="str">
            <v>ΛΟΙΠΑ ΣΙΤΗΡΑ7701</v>
          </cell>
          <cell r="E1624" t="str">
            <v>ΣΙΤΟΣ ΜΑΛΑΚΟΣ ΑΙΓΕΣ</v>
          </cell>
          <cell r="F1624" t="str">
            <v>B_1_1_1</v>
          </cell>
          <cell r="G1624" t="str">
            <v xml:space="preserve">Μαλακό σιτάρι και όλυρα </v>
          </cell>
          <cell r="H1624">
            <v>411</v>
          </cell>
          <cell r="K1624" t="str">
            <v>Ναι</v>
          </cell>
          <cell r="L1624" t="str">
            <v>ΝΑΙ</v>
          </cell>
          <cell r="O1624" t="str">
            <v>!</v>
          </cell>
        </row>
        <row r="1625">
          <cell r="D1625" t="str">
            <v>ΛΟΙΠΑ ΣΙΤΗΡΑ7702</v>
          </cell>
          <cell r="E1625" t="str">
            <v>ΣΙΤΟΣ ΜΑΛΑΚΟΣ ΑΛΦΕΙΟΣ</v>
          </cell>
          <cell r="F1625" t="str">
            <v>B_1_1_1</v>
          </cell>
          <cell r="G1625" t="str">
            <v xml:space="preserve">Μαλακό σιτάρι και όλυρα </v>
          </cell>
          <cell r="H1625">
            <v>411</v>
          </cell>
          <cell r="K1625" t="str">
            <v>Ναι</v>
          </cell>
          <cell r="L1625" t="str">
            <v>ΝΑΙ</v>
          </cell>
          <cell r="O1625" t="str">
            <v>!</v>
          </cell>
        </row>
        <row r="1626">
          <cell r="D1626" t="str">
            <v>ΛΟΙΠΑ ΣΙΤΗΡΑ7703</v>
          </cell>
          <cell r="E1626" t="str">
            <v>ΣΙΤΟΣ ΜΑΛΑΚΟΣ ΑΜΥΝΤΑΣ</v>
          </cell>
          <cell r="F1626" t="str">
            <v>B_1_1_1</v>
          </cell>
          <cell r="G1626" t="str">
            <v xml:space="preserve">Μαλακό σιτάρι και όλυρα </v>
          </cell>
          <cell r="H1626">
            <v>411</v>
          </cell>
          <cell r="K1626" t="str">
            <v>Ναι</v>
          </cell>
          <cell r="L1626" t="str">
            <v>ΝΑΙ</v>
          </cell>
          <cell r="O1626" t="str">
            <v>!</v>
          </cell>
        </row>
        <row r="1627">
          <cell r="D1627" t="str">
            <v>ΛΟΙΠΑ ΣΙΤΗΡΑ7704</v>
          </cell>
          <cell r="E1627" t="str">
            <v>ΣΙΤΟΣ ΜΑΛΑΚΟΣ ΑΞΙΟΣ</v>
          </cell>
          <cell r="F1627" t="str">
            <v>B_1_1_1</v>
          </cell>
          <cell r="G1627" t="str">
            <v xml:space="preserve">Μαλακό σιτάρι και όλυρα </v>
          </cell>
          <cell r="H1627">
            <v>411</v>
          </cell>
          <cell r="K1627" t="str">
            <v>Ναι</v>
          </cell>
          <cell r="L1627" t="str">
            <v>ΝΑΙ</v>
          </cell>
          <cell r="O1627" t="str">
            <v>!</v>
          </cell>
        </row>
        <row r="1628">
          <cell r="D1628" t="str">
            <v>ΛΟΙΠΑ ΣΙΤΗΡΑ7705</v>
          </cell>
          <cell r="E1628" t="str">
            <v>ΣΙΤΟΣ ΜΑΛΑΚΟΣ ΑΡΑΧΘΟΣ</v>
          </cell>
          <cell r="F1628" t="str">
            <v>B_1_1_1</v>
          </cell>
          <cell r="G1628" t="str">
            <v xml:space="preserve">Μαλακό σιτάρι και όλυρα </v>
          </cell>
          <cell r="H1628">
            <v>411</v>
          </cell>
          <cell r="K1628" t="str">
            <v>Ναι</v>
          </cell>
          <cell r="L1628" t="str">
            <v>ΝΑΙ</v>
          </cell>
          <cell r="O1628" t="str">
            <v>!</v>
          </cell>
        </row>
        <row r="1629">
          <cell r="D1629" t="str">
            <v>ΛΟΙΠΑ ΣΙΤΗΡΑ7706</v>
          </cell>
          <cell r="E1629" t="str">
            <v>ΣΙΤΟΣ ΜΑΛΑΚΟΣ ARTEMIS</v>
          </cell>
          <cell r="F1629" t="str">
            <v>B_1_1_1</v>
          </cell>
          <cell r="G1629" t="str">
            <v xml:space="preserve">Μαλακό σιτάρι και όλυρα </v>
          </cell>
          <cell r="H1629">
            <v>411</v>
          </cell>
          <cell r="K1629" t="str">
            <v>Ναι</v>
          </cell>
          <cell r="L1629" t="str">
            <v>ΝΑΙ</v>
          </cell>
          <cell r="O1629" t="str">
            <v>!</v>
          </cell>
        </row>
        <row r="1630">
          <cell r="D1630" t="str">
            <v>ΛΟΙΠΑ ΣΙΤΗΡΑ7707</v>
          </cell>
          <cell r="E1630" t="str">
            <v>ΣΙΤΟΣ ΜΑΛΑΚΟΣ ΑΧΕΛΩΟΣ</v>
          </cell>
          <cell r="F1630" t="str">
            <v>B_1_1_1</v>
          </cell>
          <cell r="G1630" t="str">
            <v xml:space="preserve">Μαλακό σιτάρι και όλυρα </v>
          </cell>
          <cell r="H1630">
            <v>411</v>
          </cell>
          <cell r="K1630" t="str">
            <v>Ναι</v>
          </cell>
          <cell r="L1630" t="str">
            <v>ΝΑΙ</v>
          </cell>
          <cell r="O1630" t="str">
            <v>!</v>
          </cell>
        </row>
        <row r="1631">
          <cell r="D1631" t="str">
            <v>ΛΟΙΠΑ ΣΙΤΗΡΑ7708</v>
          </cell>
          <cell r="E1631" t="str">
            <v>ΣΙΤΟΣ ΜΑΛΑΚΟΣ ΒΕΡΓΙΝΑ</v>
          </cell>
          <cell r="F1631" t="str">
            <v>B_1_1_1</v>
          </cell>
          <cell r="G1631" t="str">
            <v xml:space="preserve">Μαλακό σιτάρι και όλυρα </v>
          </cell>
          <cell r="H1631">
            <v>411</v>
          </cell>
          <cell r="K1631" t="str">
            <v>Ναι</v>
          </cell>
          <cell r="L1631" t="str">
            <v>ΝΑΙ</v>
          </cell>
          <cell r="O1631" t="str">
            <v>!</v>
          </cell>
        </row>
        <row r="1632">
          <cell r="D1632" t="str">
            <v>ΛΟΙΠΑ ΣΙΤΗΡΑ7709</v>
          </cell>
          <cell r="E1632" t="str">
            <v>ΣΙΤΟΣ ΜΑΛΑΚΟΣ ΒΙΤΣΙ</v>
          </cell>
          <cell r="F1632" t="str">
            <v>B_1_1_1</v>
          </cell>
          <cell r="G1632" t="str">
            <v xml:space="preserve">Μαλακό σιτάρι και όλυρα </v>
          </cell>
          <cell r="H1632">
            <v>411</v>
          </cell>
          <cell r="K1632" t="str">
            <v>Ναι</v>
          </cell>
          <cell r="L1632" t="str">
            <v>ΝΑΙ</v>
          </cell>
          <cell r="O1632" t="str">
            <v>!</v>
          </cell>
        </row>
        <row r="1633">
          <cell r="D1633" t="str">
            <v>ΛΟΙΠΑ ΣΙΤΗΡΑ7710</v>
          </cell>
          <cell r="E1633" t="str">
            <v>ΣΙΤΟΣ ΜΑΛΑΚΟΣ ΓΑΛΗΝΗ "Ε"</v>
          </cell>
          <cell r="F1633" t="str">
            <v>B_1_1_1</v>
          </cell>
          <cell r="G1633" t="str">
            <v xml:space="preserve">Μαλακό σιτάρι και όλυρα </v>
          </cell>
          <cell r="H1633">
            <v>411</v>
          </cell>
          <cell r="K1633" t="str">
            <v>Ναι</v>
          </cell>
          <cell r="L1633" t="str">
            <v>ΝΑΙ</v>
          </cell>
          <cell r="O1633" t="str">
            <v>!</v>
          </cell>
        </row>
        <row r="1634">
          <cell r="D1634" t="str">
            <v>ΛΟΙΠΑ ΣΙΤΗΡΑ7711</v>
          </cell>
          <cell r="E1634" t="str">
            <v>ΣΙΤΟΣ ΜΑΛΑΚΟΣ CASTAN</v>
          </cell>
          <cell r="F1634" t="str">
            <v>B_1_1_1</v>
          </cell>
          <cell r="G1634" t="str">
            <v xml:space="preserve">Μαλακό σιτάρι και όλυρα </v>
          </cell>
          <cell r="H1634">
            <v>411</v>
          </cell>
          <cell r="K1634" t="str">
            <v>Ναι</v>
          </cell>
          <cell r="L1634" t="str">
            <v>ΝΑΙ</v>
          </cell>
          <cell r="O1634" t="str">
            <v>!</v>
          </cell>
        </row>
        <row r="1635">
          <cell r="D1635" t="str">
            <v>ΛΟΙΠΑ ΣΙΤΗΡΑ7712</v>
          </cell>
          <cell r="E1635" t="str">
            <v>ΣΙΤΟΣ ΜΑΛΑΚΟΣ CHECCO</v>
          </cell>
          <cell r="F1635" t="str">
            <v>B_1_1_1</v>
          </cell>
          <cell r="G1635" t="str">
            <v xml:space="preserve">Μαλακό σιτάρι και όλυρα </v>
          </cell>
          <cell r="H1635">
            <v>411</v>
          </cell>
          <cell r="K1635" t="str">
            <v>Ναι</v>
          </cell>
          <cell r="L1635" t="str">
            <v>ΝΑΙ</v>
          </cell>
          <cell r="O1635" t="str">
            <v>!</v>
          </cell>
        </row>
        <row r="1636">
          <cell r="D1636" t="str">
            <v>ΛΟΙΠΑ ΣΙΤΗΡΑ7713</v>
          </cell>
          <cell r="E1636" t="str">
            <v>ΣΙΤΟΣ ΜΑΛΑΚΟΣ ΓΕΚΟΡΑ "Ε"</v>
          </cell>
          <cell r="F1636" t="str">
            <v>B_1_1_1</v>
          </cell>
          <cell r="G1636" t="str">
            <v xml:space="preserve">Μαλακό σιτάρι και όλυρα </v>
          </cell>
          <cell r="H1636">
            <v>411</v>
          </cell>
          <cell r="K1636" t="str">
            <v>Ναι</v>
          </cell>
          <cell r="L1636" t="str">
            <v>ΝΑΙ</v>
          </cell>
          <cell r="O1636" t="str">
            <v>!</v>
          </cell>
        </row>
        <row r="1637">
          <cell r="D1637" t="str">
            <v>ΛΟΙΠΑ ΣΙΤΗΡΑ7714</v>
          </cell>
          <cell r="E1637" t="str">
            <v>ΣΙΤΟΣ ΜΑΛΑΚΟΣ ΓΕΝΟΡΟΖΟ "Ε"</v>
          </cell>
          <cell r="F1637" t="str">
            <v>B_1_1_1</v>
          </cell>
          <cell r="G1637" t="str">
            <v xml:space="preserve">Μαλακό σιτάρι και όλυρα </v>
          </cell>
          <cell r="H1637">
            <v>411</v>
          </cell>
          <cell r="K1637" t="str">
            <v>Ναι</v>
          </cell>
          <cell r="L1637" t="str">
            <v>ΝΑΙ</v>
          </cell>
          <cell r="O1637" t="str">
            <v>!</v>
          </cell>
        </row>
        <row r="1638">
          <cell r="D1638" t="str">
            <v>ΛΟΙΠΑ ΣΙΤΗΡΑ7715</v>
          </cell>
          <cell r="E1638" t="str">
            <v>ΣΙΤΟΣ ΜΑΛΑΚΟΣ GEMINI</v>
          </cell>
          <cell r="F1638" t="str">
            <v>B_1_1_1</v>
          </cell>
          <cell r="G1638" t="str">
            <v xml:space="preserve">Μαλακό σιτάρι και όλυρα </v>
          </cell>
          <cell r="H1638">
            <v>411</v>
          </cell>
          <cell r="K1638" t="str">
            <v>Ναι</v>
          </cell>
          <cell r="L1638" t="str">
            <v>ΝΑΙ</v>
          </cell>
          <cell r="O1638" t="str">
            <v>!</v>
          </cell>
        </row>
        <row r="1639">
          <cell r="D1639" t="str">
            <v>ΛΟΙΠΑ ΣΙΤΗΡΑ7716</v>
          </cell>
          <cell r="E1639" t="str">
            <v>ΣΙΤΟΣ ΜΑΛΑΚΟΣ GENOROSO</v>
          </cell>
          <cell r="F1639" t="str">
            <v>B_1_1_1</v>
          </cell>
          <cell r="G1639" t="str">
            <v xml:space="preserve">Μαλακό σιτάρι και όλυρα </v>
          </cell>
          <cell r="H1639">
            <v>411</v>
          </cell>
          <cell r="K1639" t="str">
            <v>Ναι</v>
          </cell>
          <cell r="L1639" t="str">
            <v>ΝΑΙ</v>
          </cell>
          <cell r="O1639" t="str">
            <v>!</v>
          </cell>
        </row>
        <row r="1640">
          <cell r="D1640" t="str">
            <v>ΛΟΙΠΑ ΣΙΤΗΡΑ7717</v>
          </cell>
          <cell r="E1640" t="str">
            <v>ΣΙΤΟΣ ΜΑΛΑΚΟΣ ΓΟΡΓΟΝΑ</v>
          </cell>
          <cell r="F1640" t="str">
            <v>B_1_1_1</v>
          </cell>
          <cell r="G1640" t="str">
            <v xml:space="preserve">Μαλακό σιτάρι και όλυρα </v>
          </cell>
          <cell r="H1640">
            <v>411</v>
          </cell>
          <cell r="K1640" t="str">
            <v>Ναι</v>
          </cell>
          <cell r="L1640" t="str">
            <v>ΝΑΙ</v>
          </cell>
          <cell r="O1640" t="str">
            <v>!</v>
          </cell>
        </row>
        <row r="1641">
          <cell r="D1641" t="str">
            <v>ΛΟΙΠΑ ΣΙΤΗΡΑ7718</v>
          </cell>
          <cell r="E1641" t="str">
            <v>ΣΙΤΟΣ ΜΑΛΑΚΟΣ ΔΙΟ</v>
          </cell>
          <cell r="F1641" t="str">
            <v>B_1_1_1</v>
          </cell>
          <cell r="G1641" t="str">
            <v xml:space="preserve">Μαλακό σιτάρι και όλυρα </v>
          </cell>
          <cell r="H1641">
            <v>411</v>
          </cell>
          <cell r="K1641" t="str">
            <v>Ναι</v>
          </cell>
          <cell r="L1641" t="str">
            <v>ΝΑΙ</v>
          </cell>
          <cell r="O1641" t="str">
            <v>!</v>
          </cell>
        </row>
        <row r="1642">
          <cell r="D1642" t="str">
            <v>ΛΟΙΠΑ ΣΙΤΗΡΑ7719</v>
          </cell>
          <cell r="E1642" t="str">
            <v>ΣΙΤΟΣ ΜΑΛΑΚΟΣ ΔΩΔΩΝΗ</v>
          </cell>
          <cell r="F1642" t="str">
            <v>B_1_1_1</v>
          </cell>
          <cell r="G1642" t="str">
            <v xml:space="preserve">Μαλακό σιτάρι και όλυρα </v>
          </cell>
          <cell r="H1642">
            <v>411</v>
          </cell>
          <cell r="K1642" t="str">
            <v>Ναι</v>
          </cell>
          <cell r="L1642" t="str">
            <v>ΝΑΙ</v>
          </cell>
          <cell r="O1642" t="str">
            <v>!</v>
          </cell>
        </row>
        <row r="1643">
          <cell r="D1643" t="str">
            <v>ΛΟΙΠΑ ΣΙΤΗΡΑ7720</v>
          </cell>
          <cell r="E1643" t="str">
            <v>ΣΙΤΟΣ ΜΑΛΑΚΟΣ ΕΒΡΟΣ</v>
          </cell>
          <cell r="F1643" t="str">
            <v>B_1_1_1</v>
          </cell>
          <cell r="G1643" t="str">
            <v xml:space="preserve">Μαλακό σιτάρι και όλυρα </v>
          </cell>
          <cell r="H1643">
            <v>411</v>
          </cell>
          <cell r="K1643" t="str">
            <v>Ναι</v>
          </cell>
          <cell r="L1643" t="str">
            <v>ΝΑΙ</v>
          </cell>
          <cell r="O1643" t="str">
            <v>!</v>
          </cell>
        </row>
        <row r="1644">
          <cell r="D1644" t="str">
            <v>ΛΟΙΠΑ ΣΙΤΗΡΑ7721</v>
          </cell>
          <cell r="E1644" t="str">
            <v>ΣΙΤΟΣ ΜΑΛΑΚΟΣ Η-78234</v>
          </cell>
          <cell r="F1644" t="str">
            <v>B_1_1_1</v>
          </cell>
          <cell r="G1644" t="str">
            <v xml:space="preserve">Μαλακό σιτάρι και όλυρα </v>
          </cell>
          <cell r="H1644">
            <v>411</v>
          </cell>
          <cell r="K1644" t="str">
            <v>Ναι</v>
          </cell>
          <cell r="L1644" t="str">
            <v>ΝΑΙ</v>
          </cell>
          <cell r="O1644" t="str">
            <v>!</v>
          </cell>
        </row>
        <row r="1645">
          <cell r="D1645" t="str">
            <v>ΛΟΙΠΑ ΣΙΤΗΡΑ7722</v>
          </cell>
          <cell r="E1645" t="str">
            <v>ΣΙΤΟΣ ΜΑΛΑΚΟΣ Η-785813</v>
          </cell>
          <cell r="F1645" t="str">
            <v>B_1_1_1</v>
          </cell>
          <cell r="G1645" t="str">
            <v xml:space="preserve">Μαλακό σιτάρι και όλυρα </v>
          </cell>
          <cell r="H1645">
            <v>411</v>
          </cell>
          <cell r="K1645" t="str">
            <v>Ναι</v>
          </cell>
          <cell r="L1645" t="str">
            <v>ΝΑΙ</v>
          </cell>
          <cell r="O1645" t="str">
            <v>!</v>
          </cell>
        </row>
        <row r="1646">
          <cell r="D1646" t="str">
            <v>ΛΟΙΠΑ ΣΙΤΗΡΑ7723</v>
          </cell>
          <cell r="E1646" t="str">
            <v>ΣΙΤΟΣ ΜΑΛΑΚΟΣ ΘΕΡΜΗ</v>
          </cell>
          <cell r="F1646" t="str">
            <v>B_1_1_1</v>
          </cell>
          <cell r="G1646" t="str">
            <v xml:space="preserve">Μαλακό σιτάρι και όλυρα </v>
          </cell>
          <cell r="H1646">
            <v>411</v>
          </cell>
          <cell r="K1646" t="str">
            <v>Ναι</v>
          </cell>
          <cell r="L1646" t="str">
            <v>ΝΑΙ</v>
          </cell>
          <cell r="O1646" t="str">
            <v>!</v>
          </cell>
        </row>
        <row r="1647">
          <cell r="D1647" t="str">
            <v>ΛΟΙΠΑ ΣΙΤΗΡΑ7724</v>
          </cell>
          <cell r="E1647" t="str">
            <v>ΣΙΤΟΣ ΜΑΛΑΚΟΣ ΘΥΑΜΙΣ</v>
          </cell>
          <cell r="F1647" t="str">
            <v>B_1_1_1</v>
          </cell>
          <cell r="G1647" t="str">
            <v xml:space="preserve">Μαλακό σιτάρι και όλυρα </v>
          </cell>
          <cell r="H1647">
            <v>411</v>
          </cell>
          <cell r="K1647" t="str">
            <v>Ναι</v>
          </cell>
          <cell r="L1647" t="str">
            <v>ΝΑΙ</v>
          </cell>
          <cell r="O1647" t="str">
            <v>!</v>
          </cell>
        </row>
        <row r="1648">
          <cell r="D1648" t="str">
            <v>ΛΟΙΠΑ ΣΙΤΗΡΑ7725</v>
          </cell>
          <cell r="E1648" t="str">
            <v>ΣΙΤΟΣ ΜΑΛΑΚΟΣ JANTAR</v>
          </cell>
          <cell r="F1648" t="str">
            <v>B_1_1_1</v>
          </cell>
          <cell r="G1648" t="str">
            <v xml:space="preserve">Μαλακό σιτάρι και όλυρα </v>
          </cell>
          <cell r="H1648">
            <v>411</v>
          </cell>
          <cell r="K1648" t="str">
            <v>Ναι</v>
          </cell>
          <cell r="L1648" t="str">
            <v>ΝΑΙ</v>
          </cell>
          <cell r="O1648" t="str">
            <v>!</v>
          </cell>
        </row>
        <row r="1649">
          <cell r="D1649" t="str">
            <v>ΛΟΙΠΑ ΣΙΤΗΡΑ7726</v>
          </cell>
          <cell r="E1649" t="str">
            <v>ΣΙΤΟΣ ΜΑΛΑΚΟΣ IRNERIO</v>
          </cell>
          <cell r="F1649" t="str">
            <v>B_1_1_1</v>
          </cell>
          <cell r="G1649" t="str">
            <v xml:space="preserve">Μαλακό σιτάρι και όλυρα </v>
          </cell>
          <cell r="H1649">
            <v>411</v>
          </cell>
          <cell r="K1649" t="str">
            <v>Ναι</v>
          </cell>
          <cell r="L1649" t="str">
            <v>ΝΑΙ</v>
          </cell>
          <cell r="O1649" t="str">
            <v>!</v>
          </cell>
        </row>
        <row r="1650">
          <cell r="D1650" t="str">
            <v>ΛΟΙΠΑ ΣΙΤΗΡΑ7727</v>
          </cell>
          <cell r="E1650" t="str">
            <v>ΣΙΤΟΣ ΜΑΛΑΚΟΣ KATIA</v>
          </cell>
          <cell r="F1650" t="str">
            <v>B_1_1_1</v>
          </cell>
          <cell r="G1650" t="str">
            <v xml:space="preserve">Μαλακό σιτάρι και όλυρα </v>
          </cell>
          <cell r="H1650">
            <v>411</v>
          </cell>
          <cell r="K1650" t="str">
            <v>Ναι</v>
          </cell>
          <cell r="L1650" t="str">
            <v>ΝΑΙ</v>
          </cell>
          <cell r="O1650" t="str">
            <v>!</v>
          </cell>
        </row>
        <row r="1651">
          <cell r="D1651" t="str">
            <v>ΛΟΙΠΑ ΣΙΤΗΡΑ7728</v>
          </cell>
          <cell r="E1651" t="str">
            <v>ΣΙΤΟΣ ΜΑΛΑΚΟΣ ΛΟΥΔΙΑΣ</v>
          </cell>
          <cell r="F1651" t="str">
            <v>B_1_1_1</v>
          </cell>
          <cell r="G1651" t="str">
            <v xml:space="preserve">Μαλακό σιτάρι και όλυρα </v>
          </cell>
          <cell r="H1651">
            <v>411</v>
          </cell>
          <cell r="K1651" t="str">
            <v>Ναι</v>
          </cell>
          <cell r="L1651" t="str">
            <v>ΝΑΙ</v>
          </cell>
          <cell r="O1651" t="str">
            <v>!</v>
          </cell>
        </row>
        <row r="1652">
          <cell r="D1652" t="str">
            <v>ΛΟΙΠΑ ΣΙΤΗΡΑ7729</v>
          </cell>
          <cell r="E1652" t="str">
            <v>ΣΙΤΟΣ ΜΑΛΑΚΟΣ ΛΟΥΡΟΣ</v>
          </cell>
          <cell r="F1652" t="str">
            <v>B_1_1_1</v>
          </cell>
          <cell r="G1652" t="str">
            <v xml:space="preserve">Μαλακό σιτάρι και όλυρα </v>
          </cell>
          <cell r="H1652">
            <v>411</v>
          </cell>
          <cell r="K1652" t="str">
            <v>Ναι</v>
          </cell>
          <cell r="L1652" t="str">
            <v>ΝΑΙ</v>
          </cell>
          <cell r="O1652" t="str">
            <v>!</v>
          </cell>
        </row>
        <row r="1653">
          <cell r="D1653" t="str">
            <v>ΛΟΙΠΑ ΣΙΤΗΡΑ7730</v>
          </cell>
          <cell r="E1653" t="str">
            <v>ΣΙΤΟΣ ΜΑΛΑΚΟΣ ΛΥΔΙΑ</v>
          </cell>
          <cell r="F1653" t="str">
            <v>B_1_1_1</v>
          </cell>
          <cell r="G1653" t="str">
            <v xml:space="preserve">Μαλακό σιτάρι και όλυρα </v>
          </cell>
          <cell r="H1653">
            <v>411</v>
          </cell>
          <cell r="K1653" t="str">
            <v>Ναι</v>
          </cell>
          <cell r="L1653" t="str">
            <v>ΝΑΙ</v>
          </cell>
          <cell r="O1653" t="str">
            <v>!</v>
          </cell>
        </row>
        <row r="1654">
          <cell r="D1654" t="str">
            <v>ΛΟΙΠΑ ΣΙΤΗΡΑ7731</v>
          </cell>
          <cell r="E1654" t="str">
            <v>ΣΙΤΟΣ ΜΑΛΑΚΟΣ MEC</v>
          </cell>
          <cell r="F1654" t="str">
            <v>B_1_1_1</v>
          </cell>
          <cell r="G1654" t="str">
            <v xml:space="preserve">Μαλακό σιτάρι και όλυρα </v>
          </cell>
          <cell r="H1654">
            <v>411</v>
          </cell>
          <cell r="K1654" t="str">
            <v>Ναι</v>
          </cell>
          <cell r="L1654" t="str">
            <v>ΝΑΙ</v>
          </cell>
          <cell r="O1654" t="str">
            <v>!</v>
          </cell>
        </row>
        <row r="1655">
          <cell r="D1655" t="str">
            <v>ΛΟΙΠΑ ΣΙΤΗΡΑ7732</v>
          </cell>
          <cell r="E1655" t="str">
            <v>ΣΙΤΟΣ ΜΑΛΑΚΟΣ ΜΕΛΙΑ</v>
          </cell>
          <cell r="F1655" t="str">
            <v>B_1_1_1</v>
          </cell>
          <cell r="G1655" t="str">
            <v xml:space="preserve">Μαλακό σιτάρι και όλυρα </v>
          </cell>
          <cell r="H1655">
            <v>411</v>
          </cell>
          <cell r="K1655" t="str">
            <v>Ναι</v>
          </cell>
          <cell r="L1655" t="str">
            <v>ΝΑΙ</v>
          </cell>
          <cell r="O1655" t="str">
            <v>!</v>
          </cell>
        </row>
        <row r="1656">
          <cell r="D1656" t="str">
            <v>ΛΟΙΠΑ ΣΙΤΗΡΑ7733</v>
          </cell>
          <cell r="E1656" t="str">
            <v>ΣΙΤΟΣ ΜΑΛΑΚΟΣ ΜΥΚΟΝΟΣ</v>
          </cell>
          <cell r="F1656" t="str">
            <v>B_1_1_1</v>
          </cell>
          <cell r="G1656" t="str">
            <v xml:space="preserve">Μαλακό σιτάρι και όλυρα </v>
          </cell>
          <cell r="H1656">
            <v>411</v>
          </cell>
          <cell r="K1656" t="str">
            <v>Ναι</v>
          </cell>
          <cell r="L1656" t="str">
            <v>ΝΑΙ</v>
          </cell>
          <cell r="O1656" t="str">
            <v>!</v>
          </cell>
        </row>
        <row r="1657">
          <cell r="D1657" t="str">
            <v>ΛΟΙΠΑ ΣΙΤΗΡΑ7734</v>
          </cell>
          <cell r="E1657" t="str">
            <v>ΣΙΤΟΣ ΜΑΛΑΚΟΣ ΝΕΣΤΟΣ</v>
          </cell>
          <cell r="F1657" t="str">
            <v>B_1_1_1</v>
          </cell>
          <cell r="G1657" t="str">
            <v xml:space="preserve">Μαλακό σιτάρι και όλυρα </v>
          </cell>
          <cell r="H1657">
            <v>411</v>
          </cell>
          <cell r="K1657" t="str">
            <v>Ναι</v>
          </cell>
          <cell r="L1657" t="str">
            <v>ΝΑΙ</v>
          </cell>
          <cell r="O1657" t="str">
            <v>!</v>
          </cell>
        </row>
        <row r="1658">
          <cell r="D1658" t="str">
            <v>ΛΟΙΠΑ ΣΙΤΗΡΑ7735</v>
          </cell>
          <cell r="E1658" t="str">
            <v>ΣΙΤΟΣ ΜΑΛΑΚΟΣ ΝΙΚΗ</v>
          </cell>
          <cell r="F1658" t="str">
            <v>B_1_1_1</v>
          </cell>
          <cell r="G1658" t="str">
            <v xml:space="preserve">Μαλακό σιτάρι και όλυρα </v>
          </cell>
          <cell r="H1658">
            <v>411</v>
          </cell>
          <cell r="K1658" t="str">
            <v>Ναι</v>
          </cell>
          <cell r="L1658" t="str">
            <v>ΝΑΙ</v>
          </cell>
          <cell r="O1658" t="str">
            <v>!</v>
          </cell>
        </row>
        <row r="1659">
          <cell r="D1659" t="str">
            <v>ΛΟΙΠΑ ΣΙΤΗΡΑ7736</v>
          </cell>
          <cell r="E1659" t="str">
            <v>ΣΙΤΟΣ ΜΑΛΑΚΟΣ ΞΕΝΙΑ</v>
          </cell>
          <cell r="F1659" t="str">
            <v>B_1_1_1</v>
          </cell>
          <cell r="G1659" t="str">
            <v xml:space="preserve">Μαλακό σιτάρι και όλυρα </v>
          </cell>
          <cell r="H1659">
            <v>411</v>
          </cell>
          <cell r="K1659" t="str">
            <v>Ναι</v>
          </cell>
          <cell r="L1659" t="str">
            <v>ΝΑΙ</v>
          </cell>
          <cell r="O1659" t="str">
            <v>!</v>
          </cell>
        </row>
        <row r="1660">
          <cell r="D1660" t="str">
            <v>ΛΟΙΠΑ ΣΙΤΗΡΑ7737</v>
          </cell>
          <cell r="E1660" t="str">
            <v>ΣΙΤΟΣ ΜΑΛΑΚΟΣ ORSO</v>
          </cell>
          <cell r="F1660" t="str">
            <v>B_1_1_1</v>
          </cell>
          <cell r="G1660" t="str">
            <v xml:space="preserve">Μαλακό σιτάρι και όλυρα </v>
          </cell>
          <cell r="H1660">
            <v>411</v>
          </cell>
          <cell r="K1660" t="str">
            <v>Ναι</v>
          </cell>
          <cell r="L1660" t="str">
            <v>ΝΑΙ</v>
          </cell>
          <cell r="O1660" t="str">
            <v>!</v>
          </cell>
        </row>
        <row r="1661">
          <cell r="D1661" t="str">
            <v>ΛΟΙΠΑ ΣΙΤΗΡΑ7738</v>
          </cell>
          <cell r="E1661" t="str">
            <v>ΣΙΤΟΣ ΜΑΛΑΚΟΣ ΠΕΛΛΑ</v>
          </cell>
          <cell r="F1661" t="str">
            <v>B_1_1_1</v>
          </cell>
          <cell r="G1661" t="str">
            <v xml:space="preserve">Μαλακό σιτάρι και όλυρα </v>
          </cell>
          <cell r="H1661">
            <v>411</v>
          </cell>
          <cell r="K1661" t="str">
            <v>Ναι</v>
          </cell>
          <cell r="L1661" t="str">
            <v>ΝΑΙ</v>
          </cell>
          <cell r="O1661" t="str">
            <v>!</v>
          </cell>
        </row>
        <row r="1662">
          <cell r="D1662" t="str">
            <v>ΛΟΙΠΑ ΣΙΤΗΡΑ7739</v>
          </cell>
          <cell r="E1662" t="str">
            <v>ΣΙΤΟΣ ΜΑΛΑΚΟΣ ΠΗΝΕΙΟΣ</v>
          </cell>
          <cell r="F1662" t="str">
            <v>B_1_1_1</v>
          </cell>
          <cell r="G1662" t="str">
            <v xml:space="preserve">Μαλακό σιτάρι και όλυρα </v>
          </cell>
          <cell r="H1662">
            <v>411</v>
          </cell>
          <cell r="K1662" t="str">
            <v>Ναι</v>
          </cell>
          <cell r="L1662" t="str">
            <v>ΝΑΙ</v>
          </cell>
          <cell r="O1662" t="str">
            <v>!</v>
          </cell>
        </row>
        <row r="1663">
          <cell r="D1663" t="str">
            <v>ΛΟΙΠΑ ΣΙΤΗΡΑ7740</v>
          </cell>
          <cell r="E1663" t="str">
            <v>ΣΙΤΟΣ ΜΑΛΑΚΟΣ ΠΤΟΛΕΜΑΙΣ-1001</v>
          </cell>
          <cell r="F1663" t="str">
            <v>B_1_1_1</v>
          </cell>
          <cell r="G1663" t="str">
            <v xml:space="preserve">Μαλακό σιτάρι και όλυρα </v>
          </cell>
          <cell r="H1663">
            <v>411</v>
          </cell>
          <cell r="K1663" t="str">
            <v>Ναι</v>
          </cell>
          <cell r="L1663" t="str">
            <v>ΝΑΙ</v>
          </cell>
          <cell r="O1663" t="str">
            <v>!</v>
          </cell>
        </row>
        <row r="1664">
          <cell r="D1664" t="str">
            <v>ΛΟΙΠΑ ΣΙΤΗΡΑ7741</v>
          </cell>
          <cell r="E1664" t="str">
            <v>ΣΙΤΟΣ ΜΑΛΑΚΟΣ RINCONADA</v>
          </cell>
          <cell r="F1664" t="str">
            <v>B_1_1_1</v>
          </cell>
          <cell r="G1664" t="str">
            <v xml:space="preserve">Μαλακό σιτάρι και όλυρα </v>
          </cell>
          <cell r="H1664">
            <v>411</v>
          </cell>
          <cell r="K1664" t="str">
            <v>Ναι</v>
          </cell>
          <cell r="L1664" t="str">
            <v>ΝΑΙ</v>
          </cell>
          <cell r="O1664" t="str">
            <v>!</v>
          </cell>
        </row>
        <row r="1665">
          <cell r="D1665" t="str">
            <v>ΛΟΙΠΑ ΣΙΤΗΡΑ7742</v>
          </cell>
          <cell r="E1665" t="str">
            <v>ΣΙΤΟΣ ΜΑΛΑΚΟΣ ΣΙΕΤΕ ΣΕΡ.</v>
          </cell>
          <cell r="F1665" t="str">
            <v>B_1_1_1</v>
          </cell>
          <cell r="G1665" t="str">
            <v xml:space="preserve">Μαλακό σιτάρι και όλυρα </v>
          </cell>
          <cell r="H1665">
            <v>411</v>
          </cell>
          <cell r="K1665" t="str">
            <v>Ναι</v>
          </cell>
          <cell r="L1665" t="str">
            <v>ΝΑΙ</v>
          </cell>
          <cell r="O1665" t="str">
            <v>!</v>
          </cell>
        </row>
        <row r="1666">
          <cell r="D1666" t="str">
            <v>ΛΟΙΠΑ ΣΙΤΗΡΑ7743</v>
          </cell>
          <cell r="E1666" t="str">
            <v>ΣΙΤΟΣ ΜΑΛΑΚΟΣ SAVODO I</v>
          </cell>
          <cell r="F1666" t="str">
            <v>B_1_1_1</v>
          </cell>
          <cell r="G1666" t="str">
            <v xml:space="preserve">Μαλακό σιτάρι και όλυρα </v>
          </cell>
          <cell r="H1666">
            <v>411</v>
          </cell>
          <cell r="K1666" t="str">
            <v>Ναι</v>
          </cell>
          <cell r="L1666" t="str">
            <v>ΝΑΙ</v>
          </cell>
          <cell r="O1666" t="str">
            <v>!</v>
          </cell>
        </row>
        <row r="1667">
          <cell r="D1667" t="str">
            <v>ΛΟΙΠΑ ΣΙΤΗΡΑ7744</v>
          </cell>
          <cell r="E1667" t="str">
            <v>ΣΙΤΟΣ ΜΑΛΑΚΟΣ SK-136</v>
          </cell>
          <cell r="F1667" t="str">
            <v>B_1_1_1</v>
          </cell>
          <cell r="G1667" t="str">
            <v xml:space="preserve">Μαλακό σιτάρι και όλυρα </v>
          </cell>
          <cell r="H1667">
            <v>411</v>
          </cell>
          <cell r="K1667" t="str">
            <v>Ναι</v>
          </cell>
          <cell r="L1667" t="str">
            <v>ΝΑΙ</v>
          </cell>
          <cell r="O1667" t="str">
            <v>!</v>
          </cell>
        </row>
        <row r="1668">
          <cell r="D1668" t="str">
            <v>ΛΟΙΠΑ ΣΙΤΗΡΑ7745</v>
          </cell>
          <cell r="E1668" t="str">
            <v>ΣΙΤΟΣ ΜΑΛΑΚΟΣ SCORJANKA</v>
          </cell>
          <cell r="F1668" t="str">
            <v>B_1_1_1</v>
          </cell>
          <cell r="G1668" t="str">
            <v xml:space="preserve">Μαλακό σιτάρι και όλυρα </v>
          </cell>
          <cell r="H1668">
            <v>411</v>
          </cell>
          <cell r="K1668" t="str">
            <v>Ναι</v>
          </cell>
          <cell r="L1668" t="str">
            <v>ΝΑΙ</v>
          </cell>
          <cell r="O1668" t="str">
            <v>!</v>
          </cell>
        </row>
        <row r="1669">
          <cell r="D1669" t="str">
            <v>ΛΟΙΠΑ ΣΙΤΗΡΑ7746</v>
          </cell>
          <cell r="E1669" t="str">
            <v>ΣΙΤΟΣ ΜΑΛΑΚΟΣ SPADA</v>
          </cell>
          <cell r="F1669" t="str">
            <v>B_1_1_1</v>
          </cell>
          <cell r="G1669" t="str">
            <v xml:space="preserve">Μαλακό σιτάρι και όλυρα </v>
          </cell>
          <cell r="H1669">
            <v>411</v>
          </cell>
          <cell r="K1669" t="str">
            <v>Ναι</v>
          </cell>
          <cell r="L1669" t="str">
            <v>ΝΑΙ</v>
          </cell>
          <cell r="O1669" t="str">
            <v>!</v>
          </cell>
        </row>
        <row r="1670">
          <cell r="D1670" t="str">
            <v>ΛΟΙΠΑ ΣΙΤΗΡΑ7747</v>
          </cell>
          <cell r="E1670" t="str">
            <v>ΣΙΤΟΣ ΜΑΛΑΚΟΣ ΣΤΡΥΜΩΝΑΣ</v>
          </cell>
          <cell r="F1670" t="str">
            <v>B_1_1_1</v>
          </cell>
          <cell r="G1670" t="str">
            <v xml:space="preserve">Μαλακό σιτάρι και όλυρα </v>
          </cell>
          <cell r="H1670">
            <v>411</v>
          </cell>
          <cell r="K1670" t="str">
            <v>Ναι</v>
          </cell>
          <cell r="L1670" t="str">
            <v>ΝΑΙ</v>
          </cell>
          <cell r="O1670" t="str">
            <v>!</v>
          </cell>
        </row>
        <row r="1671">
          <cell r="D1671" t="str">
            <v>ΛΟΙΠΑ ΣΙΤΗΡΑ7748</v>
          </cell>
          <cell r="E1671" t="str">
            <v>ΣΙΤΟΣ ΜΑΛΑΚΟΣ Τα-399</v>
          </cell>
          <cell r="F1671" t="str">
            <v>B_1_1_1</v>
          </cell>
          <cell r="G1671" t="str">
            <v xml:space="preserve">Μαλακό σιτάρι και όλυρα </v>
          </cell>
          <cell r="H1671">
            <v>411</v>
          </cell>
          <cell r="K1671" t="str">
            <v>Ναι</v>
          </cell>
          <cell r="L1671" t="str">
            <v>ΝΑΙ</v>
          </cell>
          <cell r="O1671" t="str">
            <v>!</v>
          </cell>
        </row>
        <row r="1672">
          <cell r="D1672" t="str">
            <v>ΛΟΙΠΑ ΣΙΤΗΡΑ7749</v>
          </cell>
          <cell r="E1672" t="str">
            <v>ΣΙΤΟΣ ΜΑΛΑΚΟΣ TRIDA</v>
          </cell>
          <cell r="F1672" t="str">
            <v>B_1_1_1</v>
          </cell>
          <cell r="G1672" t="str">
            <v xml:space="preserve">Μαλακό σιτάρι και όλυρα </v>
          </cell>
          <cell r="H1672">
            <v>411</v>
          </cell>
          <cell r="K1672" t="str">
            <v>Ναι</v>
          </cell>
          <cell r="L1672" t="str">
            <v>ΝΑΙ</v>
          </cell>
          <cell r="O1672" t="str">
            <v>!</v>
          </cell>
        </row>
        <row r="1673">
          <cell r="D1673" t="str">
            <v>ΛΟΙΠΑ ΣΙΤΗΡΑ7750</v>
          </cell>
          <cell r="E1673" t="str">
            <v>ΣΙΤΟΣ ΜΑΛΑΚΟΣ VRATSA</v>
          </cell>
          <cell r="F1673" t="str">
            <v>B_1_1_1</v>
          </cell>
          <cell r="G1673" t="str">
            <v xml:space="preserve">Μαλακό σιτάρι και όλυρα </v>
          </cell>
          <cell r="H1673">
            <v>411</v>
          </cell>
          <cell r="K1673" t="str">
            <v>Ναι</v>
          </cell>
          <cell r="L1673" t="str">
            <v>ΝΑΙ</v>
          </cell>
          <cell r="O1673" t="str">
            <v>!</v>
          </cell>
        </row>
        <row r="1674">
          <cell r="D1674" t="str">
            <v>ΛΟΙΠΑ ΣΙΤΗΡΑ7777</v>
          </cell>
          <cell r="E1674" t="str">
            <v>ΣΙΤΟΣ ΜΑΛΑΚΟΣ ΣΚΟΡΔΑΛΙΑΡΗΣ</v>
          </cell>
          <cell r="F1674" t="str">
            <v>B_1_1_1</v>
          </cell>
          <cell r="G1674" t="str">
            <v xml:space="preserve">Μαλακό σιτάρι και όλυρα </v>
          </cell>
          <cell r="H1674">
            <v>411</v>
          </cell>
          <cell r="K1674" t="str">
            <v>Ναι</v>
          </cell>
          <cell r="L1674" t="str">
            <v>ΝΑΙ</v>
          </cell>
          <cell r="O1674" t="str">
            <v>!</v>
          </cell>
        </row>
        <row r="1675">
          <cell r="D1675" t="str">
            <v>ΛΟΙΠΑ ΣΙΤΗΡΑ7778</v>
          </cell>
          <cell r="E1675" t="str">
            <v>ΣΙΤΟΣ ΜΑΛΑΚΟΣ ΣΚΛΗΡΟΠΕΤΡΑ</v>
          </cell>
          <cell r="F1675" t="str">
            <v>B_1_1_1</v>
          </cell>
          <cell r="G1675" t="str">
            <v xml:space="preserve">Μαλακό σιτάρι και όλυρα </v>
          </cell>
          <cell r="H1675">
            <v>411</v>
          </cell>
          <cell r="K1675" t="str">
            <v>Ναι</v>
          </cell>
          <cell r="L1675" t="str">
            <v>ΝΑΙ</v>
          </cell>
          <cell r="O1675" t="str">
            <v>!</v>
          </cell>
        </row>
        <row r="1676">
          <cell r="D1676" t="str">
            <v>ΛΟΙΠΑ ΣΙΤΗΡΑ7779</v>
          </cell>
          <cell r="E1676" t="str">
            <v>ΣΙΤΟΣ ΜΑΛΑΚΟΣ ΑΡΝΑΟΥΤΙ</v>
          </cell>
          <cell r="F1676" t="str">
            <v>B_1_1_1</v>
          </cell>
          <cell r="G1676" t="str">
            <v xml:space="preserve">Μαλακό σιτάρι και όλυρα </v>
          </cell>
          <cell r="H1676">
            <v>411</v>
          </cell>
          <cell r="K1676" t="str">
            <v>Ναι</v>
          </cell>
          <cell r="L1676" t="str">
            <v>ΝΑΙ</v>
          </cell>
          <cell r="O1676" t="str">
            <v>!</v>
          </cell>
        </row>
        <row r="1677">
          <cell r="D1677" t="str">
            <v>ΛΟΙΠΑ ΣΙΤΗΡΑ7781</v>
          </cell>
          <cell r="E1677" t="str">
            <v>ΣΙΚΑΛΗ ΒΕΥΗ ΦΛΩΡΙΝΑΣ</v>
          </cell>
          <cell r="F1677" t="str">
            <v>B_1_1_3</v>
          </cell>
          <cell r="G1677" t="str">
            <v xml:space="preserve">Σίκαλη </v>
          </cell>
          <cell r="H1677">
            <v>281</v>
          </cell>
          <cell r="K1677" t="str">
            <v>Ναι</v>
          </cell>
          <cell r="L1677" t="str">
            <v>ΝΑΙ</v>
          </cell>
          <cell r="O1677" t="str">
            <v>!</v>
          </cell>
        </row>
        <row r="1678">
          <cell r="D1678" t="str">
            <v>ΛΟΙΠΑ ΣΙΤΗΡΑ7782</v>
          </cell>
          <cell r="E1678" t="str">
            <v>ΒΡΩΜΗ ΤΡΙΚΑΛΩΝ</v>
          </cell>
          <cell r="F1678" t="str">
            <v>B_1_1_5</v>
          </cell>
          <cell r="G1678" t="str">
            <v xml:space="preserve">Βρώμη </v>
          </cell>
          <cell r="H1678">
            <v>386</v>
          </cell>
          <cell r="K1678" t="str">
            <v>Ναι</v>
          </cell>
          <cell r="L1678" t="str">
            <v>ΝΑΙ</v>
          </cell>
          <cell r="O1678" t="str">
            <v>!</v>
          </cell>
        </row>
        <row r="1679">
          <cell r="D1679" t="str">
            <v>ΛΟΙΠΑ ΣΙΤΗΡΑ7783</v>
          </cell>
          <cell r="E1679" t="str">
            <v>ΚΡΙΘΑΡΙ ΣΕΡΙΦΟΥ</v>
          </cell>
          <cell r="F1679" t="str">
            <v>B_1_1_4</v>
          </cell>
          <cell r="G1679" t="str">
            <v xml:space="preserve">Κριθάρι </v>
          </cell>
          <cell r="H1679">
            <v>364</v>
          </cell>
          <cell r="K1679" t="str">
            <v>Ναι</v>
          </cell>
          <cell r="L1679" t="str">
            <v>ΝΑΙ</v>
          </cell>
          <cell r="O1679" t="str">
            <v>!</v>
          </cell>
        </row>
        <row r="1680">
          <cell r="D1680" t="str">
            <v>ΛΟΙΠΑ ΣΙΤΗΡΑ7784</v>
          </cell>
          <cell r="E1680" t="str">
            <v>ΚΡΙΘΑΡΙ ΚΥΘΝΟΥ</v>
          </cell>
          <cell r="F1680" t="str">
            <v>B_1_1_4</v>
          </cell>
          <cell r="G1680" t="str">
            <v xml:space="preserve">Κριθάρι </v>
          </cell>
          <cell r="H1680">
            <v>364</v>
          </cell>
          <cell r="K1680" t="str">
            <v>Ναι</v>
          </cell>
          <cell r="L1680" t="str">
            <v>ΝΑΙ</v>
          </cell>
          <cell r="O1680" t="str">
            <v>!</v>
          </cell>
        </row>
        <row r="1681">
          <cell r="D1681" t="str">
            <v>ΛΟΙΠΑ ΣΙΤΗΡΑ7785</v>
          </cell>
          <cell r="E1681" t="str">
            <v>ΚΡΙΘΑΡΙ ΤΡΙΚΑΛΩΝ</v>
          </cell>
          <cell r="F1681" t="str">
            <v>B_1_1_4</v>
          </cell>
          <cell r="G1681" t="str">
            <v xml:space="preserve">Κριθάρι </v>
          </cell>
          <cell r="H1681">
            <v>364</v>
          </cell>
          <cell r="K1681" t="str">
            <v>Ναι</v>
          </cell>
          <cell r="L1681" t="str">
            <v>ΝΑΙ</v>
          </cell>
          <cell r="O1681" t="str">
            <v>!</v>
          </cell>
        </row>
        <row r="1682">
          <cell r="D1682" t="str">
            <v>ΛΟΙΠΑ ΣΙΤΗΡΑ7786</v>
          </cell>
          <cell r="E1682" t="str">
            <v>ΚΡΙΘΑΡΙ ΝΑΞΟΥ</v>
          </cell>
          <cell r="F1682" t="str">
            <v>B_1_1_4</v>
          </cell>
          <cell r="G1682" t="str">
            <v xml:space="preserve">Κριθάρι </v>
          </cell>
          <cell r="H1682">
            <v>364</v>
          </cell>
          <cell r="K1682" t="str">
            <v>Ναι</v>
          </cell>
          <cell r="L1682" t="str">
            <v>ΝΑΙ</v>
          </cell>
          <cell r="O1682" t="str">
            <v>!</v>
          </cell>
        </row>
        <row r="1683">
          <cell r="D1683" t="str">
            <v>ΛΟΙΠΑ ΣΙΤΗΡΑ7787</v>
          </cell>
          <cell r="E1683" t="str">
            <v>ΑΛΟΓΟΚΡΙΘΟ</v>
          </cell>
          <cell r="F1683" t="str">
            <v>B_1_1_99</v>
          </cell>
          <cell r="G1683" t="str">
            <v>Άλλα σιτηρά για την παραγωγή καρπού</v>
          </cell>
          <cell r="H1683">
            <v>358</v>
          </cell>
          <cell r="K1683" t="str">
            <v>Ναι</v>
          </cell>
          <cell r="L1683" t="str">
            <v>ΝΑΙ</v>
          </cell>
          <cell r="O1683" t="str">
            <v>!</v>
          </cell>
        </row>
        <row r="1684">
          <cell r="D1684" t="str">
            <v>ΛΟΙΠΑ ΣΙΤΗΡΑ7788</v>
          </cell>
          <cell r="E1684" t="str">
            <v>ΓΟΥΜΑΡΟΚΡΙΘΟ</v>
          </cell>
          <cell r="F1684" t="str">
            <v>B_1_1_99</v>
          </cell>
          <cell r="G1684" t="str">
            <v>Άλλα σιτηρά για την παραγωγή καρπού</v>
          </cell>
          <cell r="H1684">
            <v>358</v>
          </cell>
          <cell r="K1684" t="str">
            <v>Ναι</v>
          </cell>
          <cell r="L1684" t="str">
            <v>ΝΑΙ</v>
          </cell>
          <cell r="O1684" t="str">
            <v>!</v>
          </cell>
        </row>
        <row r="1685">
          <cell r="D1685" t="str">
            <v>ΛΟΙΠΑ ΣΙΤΗΡΑ7789</v>
          </cell>
          <cell r="E1685" t="str">
            <v>ΚΡΙΘΑΡΙ ΕΞΑΣΤΙΧΟ</v>
          </cell>
          <cell r="F1685" t="str">
            <v>B_1_1_4</v>
          </cell>
          <cell r="G1685" t="str">
            <v xml:space="preserve">Κριθάρι </v>
          </cell>
          <cell r="H1685">
            <v>364</v>
          </cell>
          <cell r="K1685" t="str">
            <v>Ναι</v>
          </cell>
          <cell r="L1685" t="str">
            <v>ΝΑΙ</v>
          </cell>
          <cell r="O1685" t="str">
            <v>!</v>
          </cell>
        </row>
        <row r="1686">
          <cell r="D1686" t="str">
            <v>ΛΟΙΠΑ ΣΙΤΗΡΑ7790</v>
          </cell>
          <cell r="E1686" t="str">
            <v>ΣΙΤΟΣ ΜΑΛΑΚΟΣ ΓΚΡΙΝΙΑΣ</v>
          </cell>
          <cell r="F1686" t="str">
            <v>B_1_1_1</v>
          </cell>
          <cell r="G1686" t="str">
            <v xml:space="preserve">Μαλακό σιτάρι και όλυρα </v>
          </cell>
          <cell r="H1686">
            <v>411</v>
          </cell>
          <cell r="K1686" t="str">
            <v>Ναι</v>
          </cell>
          <cell r="L1686" t="str">
            <v>ΝΑΙ</v>
          </cell>
          <cell r="O1686" t="str">
            <v>!</v>
          </cell>
        </row>
        <row r="1687">
          <cell r="D1687" t="str">
            <v>ΛΟΙΠΑ ΣΙΤΗΡΑ7791</v>
          </cell>
          <cell r="E1687" t="str">
            <v>ΣΙΤΟΣ ΜΑΛΑΚΟΣ ΤΣΟΥΓΚΡΙΑΣ</v>
          </cell>
          <cell r="F1687" t="str">
            <v>B_1_1_1</v>
          </cell>
          <cell r="G1687" t="str">
            <v xml:space="preserve">Μαλακό σιτάρι και όλυρα </v>
          </cell>
          <cell r="H1687">
            <v>411</v>
          </cell>
          <cell r="K1687" t="str">
            <v>Ναι</v>
          </cell>
          <cell r="L1687" t="str">
            <v>ΝΑΙ</v>
          </cell>
          <cell r="O1687" t="str">
            <v>!</v>
          </cell>
        </row>
        <row r="1688">
          <cell r="D1688" t="str">
            <v>ΛΟΙΠΑ ΣΙΤΗΡΑ7792</v>
          </cell>
          <cell r="E1688" t="str">
            <v>ΣΙΤΟΣ ΜΑΛΑΚΟΣ ΤΣΙΓΚΡΙΠΑ</v>
          </cell>
          <cell r="F1688" t="str">
            <v>B_1_1_1</v>
          </cell>
          <cell r="G1688" t="str">
            <v xml:space="preserve">Μαλακό σιτάρι και όλυρα </v>
          </cell>
          <cell r="H1688">
            <v>411</v>
          </cell>
          <cell r="K1688" t="str">
            <v>Ναι</v>
          </cell>
          <cell r="L1688" t="str">
            <v>ΝΑΙ</v>
          </cell>
          <cell r="O1688" t="str">
            <v>!</v>
          </cell>
        </row>
        <row r="1689">
          <cell r="D1689" t="str">
            <v>ΛΟΙΠΑ ΣΙΤΗΡΑ7793</v>
          </cell>
          <cell r="E1689" t="str">
            <v>ΣΙΤΟΣ ΜΑΛΑΚΟΣ ΖΟΥΛΙΤΣΑ</v>
          </cell>
          <cell r="F1689" t="str">
            <v>B_1_1_1</v>
          </cell>
          <cell r="G1689" t="str">
            <v xml:space="preserve">Μαλακό σιτάρι και όλυρα </v>
          </cell>
          <cell r="H1689">
            <v>411</v>
          </cell>
          <cell r="K1689" t="str">
            <v>Ναι</v>
          </cell>
          <cell r="L1689" t="str">
            <v>ΝΑΙ</v>
          </cell>
          <cell r="O1689" t="str">
            <v>!</v>
          </cell>
        </row>
        <row r="1690">
          <cell r="D1690" t="str">
            <v>ΛΟΙΠΑ ΣΙΤΗΡΑ7794</v>
          </cell>
          <cell r="E1690" t="str">
            <v>ΣΙΤΟΣ ΜΑΛΑΚΟΣ ΔΡΙΜΙΝΙΤΣΑ</v>
          </cell>
          <cell r="F1690" t="str">
            <v>B_1_1_1</v>
          </cell>
          <cell r="G1690" t="str">
            <v xml:space="preserve">Μαλακό σιτάρι και όλυρα </v>
          </cell>
          <cell r="H1690">
            <v>411</v>
          </cell>
          <cell r="K1690" t="str">
            <v>Ναι</v>
          </cell>
          <cell r="L1690" t="str">
            <v>ΝΑΙ</v>
          </cell>
          <cell r="O1690" t="str">
            <v>!</v>
          </cell>
        </row>
        <row r="1691">
          <cell r="D1691" t="str">
            <v>ΛΟΙΠΑ ΣΙΤΗΡΑ7795</v>
          </cell>
          <cell r="E1691" t="str">
            <v>ΣΙΤΟΣ ΜΑΛΑΚΟΣ ΚΑΤΡΑΝΙΤΣΑ</v>
          </cell>
          <cell r="F1691" t="str">
            <v>B_1_1_1</v>
          </cell>
          <cell r="G1691" t="str">
            <v xml:space="preserve">Μαλακό σιτάρι και όλυρα </v>
          </cell>
          <cell r="H1691">
            <v>411</v>
          </cell>
          <cell r="K1691" t="str">
            <v>Ναι</v>
          </cell>
          <cell r="L1691" t="str">
            <v>ΝΑΙ</v>
          </cell>
          <cell r="O1691" t="str">
            <v>!</v>
          </cell>
        </row>
        <row r="1692">
          <cell r="D1692" t="str">
            <v>ΛΟΙΠΑ ΣΙΤΗΡΑ7796</v>
          </cell>
          <cell r="E1692" t="str">
            <v>ΣΙΤΟΣ ΜΑΛΑΚΟΣ ΑΣΠΡΟΣ ΤΣΙΟΥΛΟΣ</v>
          </cell>
          <cell r="F1692" t="str">
            <v>B_1_1_1</v>
          </cell>
          <cell r="G1692" t="str">
            <v xml:space="preserve">Μαλακό σιτάρι και όλυρα </v>
          </cell>
          <cell r="H1692">
            <v>411</v>
          </cell>
          <cell r="K1692" t="str">
            <v>Ναι</v>
          </cell>
          <cell r="L1692" t="str">
            <v>ΝΑΙ</v>
          </cell>
          <cell r="O1692" t="str">
            <v>!</v>
          </cell>
        </row>
        <row r="1693">
          <cell r="D1693" t="str">
            <v>ΛΟΙΠΑ ΣΙΤΗΡΑ7797</v>
          </cell>
          <cell r="E1693" t="str">
            <v>ΣΙΤΟΣ ΜΑΛΑΚΟΣ ΚΟΥΤΡΟΥΛΙ</v>
          </cell>
          <cell r="F1693" t="str">
            <v>B_1_1_1</v>
          </cell>
          <cell r="G1693" t="str">
            <v xml:space="preserve">Μαλακό σιτάρι και όλυρα </v>
          </cell>
          <cell r="H1693">
            <v>411</v>
          </cell>
          <cell r="K1693" t="str">
            <v>Ναι</v>
          </cell>
          <cell r="L1693" t="str">
            <v>ΝΑΙ</v>
          </cell>
          <cell r="O1693" t="str">
            <v>!</v>
          </cell>
        </row>
        <row r="1694">
          <cell r="D1694" t="str">
            <v>ΛΟΙΠΑ ΣΙΤΗΡΑ7798</v>
          </cell>
          <cell r="E1694" t="str">
            <v>ΣΙΤΟΣ ΜΑΛΑΚΟΣ ΞΥΛΟΚΑΣΤΡΟ</v>
          </cell>
          <cell r="F1694" t="str">
            <v>B_1_1_1</v>
          </cell>
          <cell r="G1694" t="str">
            <v xml:space="preserve">Μαλακό σιτάρι και όλυρα </v>
          </cell>
          <cell r="H1694">
            <v>411</v>
          </cell>
          <cell r="K1694" t="str">
            <v>Ναι</v>
          </cell>
          <cell r="L1694" t="str">
            <v>ΝΑΙ</v>
          </cell>
          <cell r="O1694" t="str">
            <v>!</v>
          </cell>
        </row>
        <row r="1695">
          <cell r="D1695" t="str">
            <v>ΛΟΙΠΑ ΣΙΤΗΡΑ7800</v>
          </cell>
          <cell r="E1695" t="str">
            <v>ΣΙΤΟΣ ΣΚΛΗΡΟΣ ΔΙΑΦΟΡΑ</v>
          </cell>
          <cell r="F1695" t="str">
            <v>B_1_1_2</v>
          </cell>
          <cell r="G1695" t="str">
            <v>Σκληρό σιτάρι</v>
          </cell>
          <cell r="H1695">
            <v>324</v>
          </cell>
          <cell r="K1695" t="str">
            <v>Ναι</v>
          </cell>
          <cell r="L1695" t="str">
            <v>ΝΑΙ</v>
          </cell>
          <cell r="O1695" t="str">
            <v>!</v>
          </cell>
        </row>
        <row r="1696">
          <cell r="D1696" t="str">
            <v>ΛΟΙΠΑ ΣΙΤΗΡΑ8110</v>
          </cell>
          <cell r="E1696" t="str">
            <v>ΣΑΝΟΣ ΚΡΙΘΑΡΙΟΥ, ΒΡΩΜΗΣ, ΒΙΚΟΥ, ΑΛΛΟΙ ΣΑΝΟΙ</v>
          </cell>
          <cell r="F1696" t="str">
            <v>B_1_9_2</v>
          </cell>
          <cell r="G1696" t="str">
            <v>Λοιπά φυτά που συγκομίζονται χλωρά</v>
          </cell>
          <cell r="H1696">
            <v>1452</v>
          </cell>
          <cell r="K1696" t="str">
            <v>Ναι</v>
          </cell>
          <cell r="L1696" t="str">
            <v>ΝΑΙ</v>
          </cell>
          <cell r="N1696" t="str">
            <v>Αντί της B_1_9_2_99</v>
          </cell>
          <cell r="O1696" t="str">
            <v>!</v>
          </cell>
        </row>
        <row r="1697">
          <cell r="D1697" t="str">
            <v>ΛΟΙΠΑ ΣΙΤΗΡΑ9109066</v>
          </cell>
          <cell r="E1697" t="str">
            <v>ΚΡΙΘΑΡΙ ΛΗΜΝΟΥ</v>
          </cell>
          <cell r="F1697" t="str">
            <v>B_1_1_4</v>
          </cell>
          <cell r="G1697" t="str">
            <v xml:space="preserve">Κριθάρι </v>
          </cell>
          <cell r="H1697">
            <v>364</v>
          </cell>
          <cell r="K1697" t="str">
            <v>Ναι</v>
          </cell>
          <cell r="L1697" t="str">
            <v>ΝΑΙ</v>
          </cell>
          <cell r="O1697" t="str">
            <v>!</v>
          </cell>
        </row>
        <row r="1698">
          <cell r="D1698" t="str">
            <v>ΛΟΙΠΑ ΣΙΤΗΡΑ99179</v>
          </cell>
          <cell r="E1698" t="str">
            <v>ΣΙΤΟΣ ΜΑΛΑΚΟΣ TRITICUM AESTIVUM</v>
          </cell>
          <cell r="F1698" t="str">
            <v>B_1_1_1</v>
          </cell>
          <cell r="G1698" t="str">
            <v xml:space="preserve">Μαλακό σιτάρι και όλυρα </v>
          </cell>
          <cell r="H1698">
            <v>411</v>
          </cell>
          <cell r="K1698" t="str">
            <v>Ναι</v>
          </cell>
          <cell r="L1698" t="str">
            <v>ΝΑΙ</v>
          </cell>
          <cell r="O1698" t="str">
            <v>!</v>
          </cell>
        </row>
        <row r="1699">
          <cell r="D1699" t="str">
            <v>ΛΟΙΠΑ ΣΙΤΗΡΑ99283</v>
          </cell>
          <cell r="E1699" t="str">
            <v>ΣΙΤΟΣ ΔΙΚΚΟΚΟΣ TRITICUM DICOCCUM</v>
          </cell>
          <cell r="F1699" t="str">
            <v>B_1_1_99</v>
          </cell>
          <cell r="G1699" t="str">
            <v>Άλλα σιτηρά για την παραγωγή καρπού</v>
          </cell>
          <cell r="H1699">
            <v>358</v>
          </cell>
          <cell r="K1699" t="str">
            <v>Ναι</v>
          </cell>
          <cell r="L1699" t="str">
            <v>ΝΑΙ</v>
          </cell>
          <cell r="O1699" t="str">
            <v>!</v>
          </cell>
        </row>
        <row r="1700">
          <cell r="D1700" t="str">
            <v>ΛΟΙΠΕΣ ΔΕΝΔΡΩΔΕΙΣ ΚΑΛΛΙΕΡΓΕΙΕΣ10851</v>
          </cell>
          <cell r="E1700" t="str">
            <v>ΞΗΡΑ ΜΗ ΜΕΤΑΠΟΙΗΜΕΝΑ ΣΥΚΑ ΤΑΞΙΑΡΧΗ</v>
          </cell>
          <cell r="J1700" t="str">
            <v>Ναι</v>
          </cell>
          <cell r="K1700" t="str">
            <v>Ναι</v>
          </cell>
          <cell r="L1700" t="str">
            <v>ΝΑΙ</v>
          </cell>
          <cell r="O1700" t="str">
            <v/>
          </cell>
        </row>
        <row r="1701">
          <cell r="D1701" t="str">
            <v>ΛΟΙΠΕΣ ΔΕΝΔΡΩΔΕΙΣ ΚΑΛΛΙΕΡΓΕΙΕΣ10907</v>
          </cell>
          <cell r="E1701" t="str">
            <v>ΜΑΣΤΙΧΟΔΕΝΔΡΑ</v>
          </cell>
          <cell r="K1701" t="str">
            <v>Ναι</v>
          </cell>
          <cell r="L1701" t="str">
            <v>ΝΑΙ</v>
          </cell>
          <cell r="O1701" t="str">
            <v/>
          </cell>
        </row>
        <row r="1702">
          <cell r="D1702" t="str">
            <v>ΛΟΙΠΕΣ ΔΕΝΔΡΩΔΕΙΣ ΚΑΛΛΙΕΡΓΕΙΕΣ10908</v>
          </cell>
          <cell r="E1702" t="str">
            <v>ΜΑΣΤΙΧΟΔΕΝΔΡΑ ΕΞΑΙΡΕΣΗ</v>
          </cell>
          <cell r="K1702" t="str">
            <v>Ναι</v>
          </cell>
          <cell r="L1702" t="str">
            <v>ΝΑΙ</v>
          </cell>
          <cell r="O1702" t="str">
            <v/>
          </cell>
        </row>
        <row r="1703">
          <cell r="D1703" t="str">
            <v>ΛΟΙΠΕΣ ΔΕΝΔΡΩΔΕΙΣ ΚΑΛΛΙΕΡΓΕΙΕΣ14034</v>
          </cell>
          <cell r="E1703" t="str">
            <v>ΜΟΥΡΙΕΣ</v>
          </cell>
          <cell r="J1703" t="str">
            <v>Ναι</v>
          </cell>
          <cell r="K1703" t="str">
            <v>Όχι</v>
          </cell>
          <cell r="L1703" t="str">
            <v xml:space="preserve">ΌΧΙ </v>
          </cell>
          <cell r="O1703" t="str">
            <v/>
          </cell>
        </row>
        <row r="1704">
          <cell r="D1704" t="str">
            <v>ΛΟΙΠΕΣ ΔΕΝΔΡΩΔΕΙΣ ΚΑΛΛΙΕΡΓΕΙΕΣ14035</v>
          </cell>
          <cell r="E1704" t="str">
            <v>ΜΟΥΡΙΕΣ - ΕΞΑΙΡΕΣΗ</v>
          </cell>
          <cell r="J1704" t="str">
            <v>Ναι</v>
          </cell>
          <cell r="K1704" t="str">
            <v>Όχι</v>
          </cell>
          <cell r="L1704" t="str">
            <v xml:space="preserve">ΌΧΙ </v>
          </cell>
          <cell r="O1704" t="str">
            <v/>
          </cell>
        </row>
        <row r="1705">
          <cell r="D1705" t="str">
            <v>ΛΟΙΠΕΣ ΔΕΝΔΡΩΔΕΙΣ ΚΑΛΛΙΕΡΓΕΙΕΣ14052</v>
          </cell>
          <cell r="E1705" t="str">
            <v>ΕΥΚΑΛΥΠΤΟΣ</v>
          </cell>
          <cell r="K1705" t="str">
            <v>Όχι</v>
          </cell>
          <cell r="L1705" t="str">
            <v xml:space="preserve">ΌΧΙ </v>
          </cell>
          <cell r="O1705" t="str">
            <v/>
          </cell>
        </row>
        <row r="1706">
          <cell r="D1706" t="str">
            <v>ΛΟΙΠΕΣ ΔΕΝΔΡΩΔΕΙΣ ΚΑΛΛΙΕΡΓΕΙΕΣ14053</v>
          </cell>
          <cell r="E1706" t="str">
            <v>ΠΑΥΛΩΝΙΑ Ή ΠΑΟΥΛΟΒΝΙΑ</v>
          </cell>
          <cell r="K1706" t="str">
            <v>Όχι</v>
          </cell>
          <cell r="L1706" t="str">
            <v xml:space="preserve">ΌΧΙ </v>
          </cell>
          <cell r="O1706" t="str">
            <v/>
          </cell>
        </row>
        <row r="1707">
          <cell r="D1707" t="str">
            <v>ΛΟΙΠΕΣ ΔΕΝΔΡΩΔΕΙΣ ΚΑΛΛΙΕΡΓΕΙΕΣ45201</v>
          </cell>
          <cell r="E1707" t="str">
            <v>ΑΚΤΙΝΙΔΙΑ ΑΜΠΟΤ</v>
          </cell>
          <cell r="J1707" t="str">
            <v>Ναι</v>
          </cell>
          <cell r="K1707" t="str">
            <v>Όχι</v>
          </cell>
          <cell r="L1707" t="str">
            <v xml:space="preserve">ΌΧΙ </v>
          </cell>
          <cell r="O1707" t="str">
            <v/>
          </cell>
        </row>
        <row r="1708">
          <cell r="D1708" t="str">
            <v>ΛΟΙΠΕΣ ΔΕΝΔΡΩΔΕΙΣ ΚΑΛΛΙΕΡΓΕΙΕΣ45202</v>
          </cell>
          <cell r="E1708" t="str">
            <v>ΑΚΤΙΝΙΔΙΑ ΑΛΛΙΣΟΝ</v>
          </cell>
          <cell r="J1708" t="str">
            <v>Ναι</v>
          </cell>
          <cell r="K1708" t="str">
            <v>Όχι</v>
          </cell>
          <cell r="L1708" t="str">
            <v xml:space="preserve">ΌΧΙ </v>
          </cell>
          <cell r="O1708" t="str">
            <v/>
          </cell>
        </row>
        <row r="1709">
          <cell r="D1709" t="str">
            <v>ΛΟΙΠΕΣ ΔΕΝΔΡΩΔΕΙΣ ΚΑΛΛΙΕΡΓΕΙΕΣ45203</v>
          </cell>
          <cell r="E1709" t="str">
            <v>ΑΚΤΙΝΙΔΙΑ ΜΠΡΟΥΝΟ</v>
          </cell>
          <cell r="J1709" t="str">
            <v>Ναι</v>
          </cell>
          <cell r="K1709" t="str">
            <v>Όχι</v>
          </cell>
          <cell r="L1709" t="str">
            <v xml:space="preserve">ΌΧΙ </v>
          </cell>
          <cell r="O1709" t="str">
            <v/>
          </cell>
        </row>
        <row r="1710">
          <cell r="D1710" t="str">
            <v>ΛΟΙΠΕΣ ΔΕΝΔΡΩΔΕΙΣ ΚΑΛΛΙΕΡΓΕΙΕΣ45204</v>
          </cell>
          <cell r="E1710" t="str">
            <v>ΑΚΤΙΝΙΔΙΑ ΧΕΫΓΟΥΟΡΝΤ</v>
          </cell>
          <cell r="J1710" t="str">
            <v>Ναι</v>
          </cell>
          <cell r="K1710" t="str">
            <v>Όχι</v>
          </cell>
          <cell r="L1710" t="str">
            <v xml:space="preserve">ΌΧΙ </v>
          </cell>
          <cell r="O1710" t="str">
            <v/>
          </cell>
        </row>
        <row r="1711">
          <cell r="D1711" t="str">
            <v>ΛΟΙΠΕΣ ΔΕΝΔΡΩΔΕΙΣ ΚΑΛΛΙΕΡΓΕΙΕΣ45205</v>
          </cell>
          <cell r="E1711" t="str">
            <v>ΑΚΤΙΝΙΔΙΑ ΜΟΝΤΥ</v>
          </cell>
          <cell r="J1711" t="str">
            <v>Ναι</v>
          </cell>
          <cell r="K1711" t="str">
            <v>Όχι</v>
          </cell>
          <cell r="L1711" t="str">
            <v xml:space="preserve">ΌΧΙ </v>
          </cell>
          <cell r="O1711" t="str">
            <v/>
          </cell>
        </row>
        <row r="1712">
          <cell r="D1712" t="str">
            <v>ΛΟΙΠΕΣ ΔΕΝΔΡΩΔΕΙΣ ΚΑΛΛΙΕΡΓΕΙΕΣ45206</v>
          </cell>
          <cell r="E1712" t="str">
            <v>ΜΟΥΣΜΟΥΛΑ ΚΟΙΝΑ ΙΑΠΩΝΙΚΑ</v>
          </cell>
          <cell r="J1712" t="str">
            <v>Ναι</v>
          </cell>
          <cell r="K1712" t="str">
            <v>Ναι</v>
          </cell>
          <cell r="L1712" t="str">
            <v>ΕΤ: Ναι, με βάση γεωτεχνική εμπειρία</v>
          </cell>
          <cell r="O1712" t="str">
            <v/>
          </cell>
        </row>
        <row r="1713">
          <cell r="D1713" t="str">
            <v>ΛΟΙΠΕΣ ΔΕΝΔΡΩΔΕΙΣ ΚΑΛΛΙΕΡΓΕΙΕΣ45207</v>
          </cell>
          <cell r="E1713" t="str">
            <v>ΜΟΥΣΜΟΥΛΑ ΓΕΡΜΑΝΙΚΑ</v>
          </cell>
          <cell r="J1713" t="str">
            <v>Ναι</v>
          </cell>
          <cell r="K1713" t="str">
            <v>Ναι</v>
          </cell>
          <cell r="L1713" t="str">
            <v>ΕΤ: Ναι, με βάση γεωτεχνική εμπειρία</v>
          </cell>
          <cell r="O1713" t="str">
            <v/>
          </cell>
        </row>
        <row r="1714">
          <cell r="D1714" t="str">
            <v>ΛΟΙΠΕΣ ΔΕΝΔΡΩΔΕΙΣ ΚΑΛΛΙΕΡΓΕΙΕΣ8126</v>
          </cell>
          <cell r="E1714" t="str">
            <v>ΚΑΣΤΑΝΙΕΣ ΓΙΑ ΚΑΡΠΟ</v>
          </cell>
          <cell r="J1714" t="str">
            <v>Ναι</v>
          </cell>
          <cell r="K1714" t="str">
            <v>Όχι</v>
          </cell>
          <cell r="L1714" t="str">
            <v>ΌΧΙ</v>
          </cell>
          <cell r="O1714" t="str">
            <v/>
          </cell>
        </row>
        <row r="1715">
          <cell r="D1715" t="str">
            <v>ΛΟΙΠΕΣ ΔΕΝΔΡΩΔΕΙΣ ΚΑΛΛΙΕΡΓΕΙΕΣ8194</v>
          </cell>
          <cell r="E1715" t="str">
            <v>ΑΚΤΙΝΙΔΙΟ</v>
          </cell>
          <cell r="J1715" t="str">
            <v>Ναι</v>
          </cell>
          <cell r="K1715" t="str">
            <v>Όχι</v>
          </cell>
          <cell r="L1715" t="str">
            <v>ΌΧΙ</v>
          </cell>
          <cell r="O1715" t="str">
            <v/>
          </cell>
        </row>
        <row r="1716">
          <cell r="D1716" t="str">
            <v>ΛΟΙΠΕΣ ΔΕΝΔΡΩΔΕΙΣ ΚΑΛΛΙΕΡΓΕΙΕΣ8197</v>
          </cell>
          <cell r="E1716" t="str">
            <v>ΡΟΔΙΕΣ</v>
          </cell>
          <cell r="J1716" t="str">
            <v>Ναι</v>
          </cell>
          <cell r="K1716" t="str">
            <v>Όχι</v>
          </cell>
          <cell r="L1716" t="str">
            <v>ΌΧΙ</v>
          </cell>
          <cell r="O1716" t="str">
            <v/>
          </cell>
        </row>
        <row r="1717">
          <cell r="D1717" t="str">
            <v>ΛΟΙΠΕΣ ΔΕΝΔΡΩΔΕΙΣ ΚΑΛΛΙΕΡΓΕΙΕΣ8198</v>
          </cell>
          <cell r="E1717" t="str">
            <v>ΣΥΚΙΕΣ ΝΩΠΕΣ Β</v>
          </cell>
          <cell r="J1717" t="str">
            <v>Ναι</v>
          </cell>
          <cell r="K1717" t="str">
            <v>Ναι</v>
          </cell>
          <cell r="L1717" t="str">
            <v>ΝΑΙ</v>
          </cell>
          <cell r="O1717" t="str">
            <v/>
          </cell>
        </row>
        <row r="1718">
          <cell r="D1718" t="str">
            <v>ΛΟΙΠΕΣ ΔΕΝΔΡΩΔΕΙΣ ΚΑΛΛΙΕΡΓΕΙΕΣ8199</v>
          </cell>
          <cell r="E1718" t="str">
            <v>ΑΒΟΚΑΝΤΟ</v>
          </cell>
          <cell r="J1718" t="str">
            <v>Ναι</v>
          </cell>
          <cell r="K1718" t="str">
            <v>Όχι</v>
          </cell>
          <cell r="L1718" t="str">
            <v>ΌΧΙ</v>
          </cell>
          <cell r="O1718" t="str">
            <v/>
          </cell>
        </row>
        <row r="1719">
          <cell r="D1719" t="str">
            <v>ΛΟΙΠΕΣ ΔΕΝΔΡΩΔΕΙΣ ΚΑΛΛΙΕΡΓΕΙΕΣ8204</v>
          </cell>
          <cell r="E1719" t="str">
            <v>ΣΥΚΙΕΣ ΝΩΠΕΣ Α</v>
          </cell>
          <cell r="J1719" t="str">
            <v>Ναι</v>
          </cell>
          <cell r="K1719" t="str">
            <v>Ναι</v>
          </cell>
          <cell r="L1719" t="str">
            <v>ΝΑΙ</v>
          </cell>
          <cell r="O1719" t="str">
            <v/>
          </cell>
        </row>
        <row r="1720">
          <cell r="D1720" t="str">
            <v>ΛΟΙΠΕΣ ΔΕΝΔΡΩΔΕΙΣ ΚΑΛΛΙΕΡΓΕΙΕΣ8501</v>
          </cell>
          <cell r="E1720" t="str">
            <v>ΞΗΡΑ ΜΗ ΜΕΤΑΠΟΙΗΜΕΝΑ ΣΥΚΑ</v>
          </cell>
          <cell r="J1720" t="str">
            <v>Ναι</v>
          </cell>
          <cell r="K1720" t="str">
            <v>Ναι</v>
          </cell>
          <cell r="L1720" t="str">
            <v>ΝΑΙ</v>
          </cell>
          <cell r="O1720" t="str">
            <v/>
          </cell>
        </row>
        <row r="1721">
          <cell r="D1721" t="str">
            <v>ΛΟΙΠΕΣ ΔΕΝΔΡΩΔΕΙΣ ΚΑΛΛΙΕΡΓΕΙΕΣ8609</v>
          </cell>
          <cell r="E1721" t="str">
            <v>ΛΩΤΟΙ</v>
          </cell>
          <cell r="J1721" t="str">
            <v>Ναι</v>
          </cell>
          <cell r="K1721" t="str">
            <v>Όχι</v>
          </cell>
          <cell r="L1721" t="str">
            <v>ΌΧΙ</v>
          </cell>
          <cell r="O1721" t="str">
            <v/>
          </cell>
        </row>
        <row r="1722">
          <cell r="D1722" t="str">
            <v>ΛΟΙΠΕΣ ΔΕΝΔΡΩΔΕΙΣ ΚΑΛΛΙΕΡΓΕΙΕΣ8610</v>
          </cell>
          <cell r="E1722" t="str">
            <v>ΜΕΣΠΙΛΙΕΣ (ΜΟΥΣΜΟΥΛΙΕΣ)</v>
          </cell>
          <cell r="J1722" t="str">
            <v>Ναι</v>
          </cell>
          <cell r="K1722" t="str">
            <v>Ναι</v>
          </cell>
          <cell r="L1722" t="str">
            <v>ΕΤ: Ναι, με βάση γεωτεχνική εμπειρία</v>
          </cell>
          <cell r="M1722" t="str">
            <v>ΔΕΝ ΥΠΑΡΧΟΥΝ ΣΤΟΙΧΕΙΑ</v>
          </cell>
          <cell r="O1722" t="str">
            <v/>
          </cell>
        </row>
        <row r="1723">
          <cell r="D1723" t="str">
            <v>ΛΟΙΠΕΣ ΔΕΝΔΡΩΔΕΙΣ ΚΑΛΛΙΕΡΓΕΙΕΣ8774</v>
          </cell>
          <cell r="E1723" t="str">
            <v>ΣΥΚΑ - ΑΙΔΙΝΙΟΥ ΛΕΣΒΟΥ</v>
          </cell>
          <cell r="J1723" t="str">
            <v>Ναι</v>
          </cell>
          <cell r="K1723" t="str">
            <v>Ναι</v>
          </cell>
          <cell r="L1723" t="str">
            <v>ΝΑΙ</v>
          </cell>
          <cell r="O1723" t="str">
            <v/>
          </cell>
        </row>
        <row r="1724">
          <cell r="D1724" t="str">
            <v>ΛΟΙΠΕΣ ΔΕΝΔΡΩΔΕΙΣ ΚΑΛΛΙΕΡΓΕΙΕΣ8775</v>
          </cell>
          <cell r="E1724" t="str">
            <v>ΣΥΚΑ - ΜΠΟΥΚΝΕΣ ΣΑΜΟΥ</v>
          </cell>
          <cell r="J1724" t="str">
            <v>Ναι</v>
          </cell>
          <cell r="K1724" t="str">
            <v>Ναι</v>
          </cell>
          <cell r="L1724" t="str">
            <v>ΝΑΙ</v>
          </cell>
          <cell r="O1724" t="str">
            <v/>
          </cell>
        </row>
        <row r="1725">
          <cell r="D1725" t="str">
            <v>ΛΟΙΠΕΣ ΔΕΝΔΡΩΔΕΙΣ ΚΑΛΛΙΕΡΓΕΙΕΣ8776</v>
          </cell>
          <cell r="E1725" t="str">
            <v>ΣΥΚΑ ΤΗΝΟΥ</v>
          </cell>
          <cell r="J1725" t="str">
            <v>Ναι</v>
          </cell>
          <cell r="K1725" t="str">
            <v>Ναι</v>
          </cell>
          <cell r="L1725" t="str">
            <v>ΝΑΙ</v>
          </cell>
          <cell r="O1725" t="str">
            <v/>
          </cell>
        </row>
        <row r="1726">
          <cell r="D1726" t="str">
            <v>ΛΟΙΠΕΣ ΔΕΝΔΡΩΔΕΙΣ ΚΑΛΛΙΕΡΓΕΙΕΣ8777</v>
          </cell>
          <cell r="E1726" t="str">
            <v>ΤΣΙΚΟΥΔΙΑ (ΣΧΟΙΝΟΣ)</v>
          </cell>
          <cell r="K1726" t="str">
            <v>Ναι</v>
          </cell>
          <cell r="L1726" t="str">
            <v>ΝΑΙ</v>
          </cell>
          <cell r="O1726" t="str">
            <v/>
          </cell>
        </row>
        <row r="1727">
          <cell r="D1727" t="str">
            <v>ΛΟΙΠΕΣ ΔΕΝΔΡΩΔΕΙΣ ΚΑΛΛΙΕΡΓΕΙΕΣ8778</v>
          </cell>
          <cell r="E1727" t="str">
            <v>ΒΕΛΑΝΙΔΙΕΣ</v>
          </cell>
          <cell r="K1727" t="str">
            <v>Ναι</v>
          </cell>
          <cell r="L1727" t="str">
            <v>ΝΑΙ</v>
          </cell>
          <cell r="O1727" t="str">
            <v/>
          </cell>
        </row>
        <row r="1728">
          <cell r="D1728" t="str">
            <v>ΛΟΙΠΕΣ ΔΕΝΔΡΩΔΕΙΣ ΚΑΛΛΙΕΡΓΕΙΕΣ8779</v>
          </cell>
          <cell r="E1728" t="str">
            <v>ΚΑΣΤΑΝΙΕΣ ΕΞΑΙΡΕΣΗ</v>
          </cell>
          <cell r="J1728" t="str">
            <v>Ναι</v>
          </cell>
          <cell r="K1728" t="str">
            <v>Όχι</v>
          </cell>
          <cell r="L1728" t="str">
            <v xml:space="preserve">ΌΧΙ </v>
          </cell>
          <cell r="M1728" t="str">
            <v>ΑΛΛΑ ΔΕΝ ΞΕΡΩ ΤΙ ΕΙΝΑΙ Η ΕΞΑΙΡΕΣΗ</v>
          </cell>
          <cell r="O1728" t="str">
            <v/>
          </cell>
        </row>
        <row r="1729">
          <cell r="D1729" t="str">
            <v>ΛΟΙΠΕΣ ΔΕΝΔΡΩΔΕΙΣ ΚΑΛΛΙΕΡΓΕΙΕΣ8783</v>
          </cell>
          <cell r="E1729" t="str">
            <v>ΚΡΑΝΑ</v>
          </cell>
          <cell r="J1729" t="str">
            <v>Ναι</v>
          </cell>
          <cell r="K1729" t="str">
            <v>Ναι</v>
          </cell>
          <cell r="L1729" t="str">
            <v>ΝΑΙ</v>
          </cell>
          <cell r="O1729" t="str">
            <v/>
          </cell>
        </row>
        <row r="1730">
          <cell r="D1730" t="str">
            <v>ΛΟΙΠΕΣ ΔΕΝΔΡΩΔΕΙΣ ΚΑΛΛΙΕΡΓΕΙΕΣ98503</v>
          </cell>
          <cell r="E1730" t="str">
            <v>ΞΗΡΑ ΜΗ ΜΕΤΑΠΟΙΗΜΕΝΑ ΣΥΚΑ ΚΥΜΗΣ</v>
          </cell>
          <cell r="J1730" t="str">
            <v>Ναι</v>
          </cell>
          <cell r="K1730" t="str">
            <v>Ναι</v>
          </cell>
          <cell r="L1730" t="str">
            <v>ΝΑΙ</v>
          </cell>
          <cell r="O1730" t="str">
            <v/>
          </cell>
        </row>
        <row r="1731">
          <cell r="D1731" t="str">
            <v>ΛΟΙΠΕΣ ΚΑΛΛΙΕΡΓΕΙΕΣ45101</v>
          </cell>
          <cell r="E1731" t="str">
            <v>ΣΜΕΟΥΡΑ - RUSPBERRY</v>
          </cell>
          <cell r="J1731" t="str">
            <v>Ναι</v>
          </cell>
          <cell r="K1731" t="str">
            <v>Όχι</v>
          </cell>
          <cell r="L1731" t="str">
            <v>ΌΧΙ</v>
          </cell>
          <cell r="O1731" t="str">
            <v/>
          </cell>
        </row>
        <row r="1732">
          <cell r="D1732" t="str">
            <v>ΛΟΙΠΕΣ ΚΑΛΛΙΕΡΓΕΙΕΣ45102</v>
          </cell>
          <cell r="E1732" t="str">
            <v>ΚΙΝΟΑ</v>
          </cell>
          <cell r="K1732" t="str">
            <v>Ναι</v>
          </cell>
          <cell r="L1732" t="str">
            <v>ΕΤ: Ναι με βάση http://www.bioline.org.br/pdf?cg12066</v>
          </cell>
          <cell r="M1732" t="str">
            <v>ΔΕΝ ΥΠΑΡΧΟΥΝ ΣΤΟΙΧΕΙΑ</v>
          </cell>
          <cell r="O1732" t="str">
            <v/>
          </cell>
        </row>
        <row r="1733">
          <cell r="D1733" t="str">
            <v>ΛΟΙΠΕΣ ΚΑΛΛΙΕΡΓΕΙΕΣ45103</v>
          </cell>
          <cell r="E1733" t="str">
            <v>ΤΖΙΝΤΖΕΡ</v>
          </cell>
          <cell r="J1733" t="str">
            <v>Ναι</v>
          </cell>
          <cell r="K1733" t="str">
            <v>Όχι</v>
          </cell>
          <cell r="L1733" t="str">
            <v>ΌΧΙ</v>
          </cell>
          <cell r="O1733" t="str">
            <v/>
          </cell>
        </row>
        <row r="1734">
          <cell r="D1734" t="str">
            <v>ΛΟΙΠΕΣ ΚΑΛΛΙΕΡΓΕΙΕΣ8100</v>
          </cell>
          <cell r="E1734" t="str">
            <v>ΑΡΑΧΙΔΑ ΓΕΩΡΓΙΟΥΠΟΛΗΣ</v>
          </cell>
          <cell r="K1734" t="str">
            <v>Όχι</v>
          </cell>
          <cell r="L1734" t="str">
            <v>ΕΤ: Όχι, με βάση έρευνα σε google αραχις ανάγκες σε νερό, χρειάζεται 1000 - 1200 μμ</v>
          </cell>
          <cell r="M1734" t="str">
            <v>ΔΕΝ ΥΠΑΡΧΟΥΝ ΣΤΟΙΧΕΙΑ</v>
          </cell>
          <cell r="O1734" t="str">
            <v/>
          </cell>
        </row>
        <row r="1735">
          <cell r="D1735" t="str">
            <v>ΛΟΙΠΕΣ ΚΑΛΛΙΕΡΓΕΙΕΣ8124</v>
          </cell>
          <cell r="E1735" t="str">
            <v>ΛΥΚΙΣΚΟΣ</v>
          </cell>
          <cell r="K1735" t="str">
            <v>Όχι</v>
          </cell>
          <cell r="L1735" t="str">
            <v>ΌΧΙ</v>
          </cell>
          <cell r="M1735" t="str">
            <v>ΜΟΝΟ ΕΛΓΟ ΔΗΜΗΤΡΑ</v>
          </cell>
          <cell r="O1735" t="str">
            <v/>
          </cell>
        </row>
        <row r="1736">
          <cell r="D1736" t="str">
            <v>ΛΟΙΠΕΣ ΚΑΛΛΙΕΡΓΕΙΕΣ8687</v>
          </cell>
          <cell r="E1736" t="str">
            <v>ΒΑΤΟΜΟΥΡΑ</v>
          </cell>
          <cell r="J1736" t="str">
            <v>Ναι</v>
          </cell>
          <cell r="K1736" t="str">
            <v>Όχι</v>
          </cell>
          <cell r="L1736" t="str">
            <v>ΌΧΙ</v>
          </cell>
          <cell r="O1736" t="str">
            <v/>
          </cell>
        </row>
        <row r="1737">
          <cell r="D1737" t="str">
            <v>ΛΟΙΠΕΣ ΚΑΛΛΙΕΡΓΕΙΕΣ8700</v>
          </cell>
          <cell r="E1737" t="str">
            <v>ΜΑΝΙΤΑΡΙΑ PLEUROTUS</v>
          </cell>
          <cell r="F1737" t="str">
            <v>B_6_1</v>
          </cell>
          <cell r="G1737" t="str">
            <v xml:space="preserve">Μανιτάρια </v>
          </cell>
          <cell r="H1737">
            <v>10814</v>
          </cell>
          <cell r="J1737" t="str">
            <v>Ναι</v>
          </cell>
          <cell r="K1737" t="str">
            <v>Όχι</v>
          </cell>
          <cell r="L1737" t="str">
            <v>ΌΧΙ</v>
          </cell>
          <cell r="M1737" t="str">
            <v>ΜΟΝΟ ΕΛΓΟ ΔΗΜΗΤΡΑ ΚΑΙ ΓΕΝΙΚΑ ΓΙΑ ΤΑ ΜΑΝΙΤΑΡΙΑ</v>
          </cell>
          <cell r="O1737" t="str">
            <v/>
          </cell>
        </row>
        <row r="1738">
          <cell r="D1738" t="str">
            <v>ΛΟΙΠΕΣ ΚΑΛΛΙΕΡΓΕΙΕΣ8701</v>
          </cell>
          <cell r="E1738" t="str">
            <v>ΜΑΝΙΤΑΡΙΑ ΤΡΟΥΦΑ</v>
          </cell>
          <cell r="F1738" t="str">
            <v>B_6_1</v>
          </cell>
          <cell r="G1738" t="str">
            <v xml:space="preserve">Μανιτάρια </v>
          </cell>
          <cell r="H1738">
            <v>10814</v>
          </cell>
          <cell r="J1738" t="str">
            <v>Ναι</v>
          </cell>
          <cell r="K1738" t="str">
            <v>Όχι</v>
          </cell>
          <cell r="L1738" t="str">
            <v>ΌΧΙ</v>
          </cell>
          <cell r="M1738" t="str">
            <v>ΜΟΝΟ ΕΛΓΟ ΔΗΜΗΤΡΑ ΚΑΙ ΓΕΝΙΚΑ ΓΙΑ ΤΑ ΜΑΝΙΤΑΡΙΑ</v>
          </cell>
          <cell r="O1738" t="str">
            <v/>
          </cell>
        </row>
        <row r="1739">
          <cell r="D1739" t="str">
            <v>ΛΟΙΠΕΣ ΚΑΛΛΙΕΡΓΕΙΕΣ8706</v>
          </cell>
          <cell r="E1739" t="str">
            <v>ΙΠΠΟΦΑΕΣ</v>
          </cell>
          <cell r="J1739" t="str">
            <v>Ναι</v>
          </cell>
          <cell r="K1739" t="str">
            <v>Ναι</v>
          </cell>
          <cell r="L1739" t="str">
            <v>ΝΑΙ</v>
          </cell>
          <cell r="O1739" t="str">
            <v/>
          </cell>
        </row>
        <row r="1740">
          <cell r="D1740" t="str">
            <v>ΛΟΙΠΕΣ ΚΑΛΛΙΕΡΓΕΙΕΣ8709</v>
          </cell>
          <cell r="E1740" t="str">
            <v>ΜΑΝΙΤΑΡΙΑ AGARICUS</v>
          </cell>
          <cell r="F1740" t="str">
            <v>B_6_1</v>
          </cell>
          <cell r="G1740" t="str">
            <v xml:space="preserve">Μανιτάρια </v>
          </cell>
          <cell r="H1740">
            <v>10814</v>
          </cell>
          <cell r="J1740" t="str">
            <v>Ναι</v>
          </cell>
          <cell r="K1740" t="str">
            <v>Όχι</v>
          </cell>
          <cell r="L1740" t="str">
            <v>ΌΧΙ</v>
          </cell>
          <cell r="M1740" t="str">
            <v>ΜΟΝΟ ΕΛΓΟ ΔΗΜΗΤΡΑ ΚΑΙ ΓΕΝΙΚΑ ΓΙΑ ΤΑ ΜΑΝΙΤΑΡΙΑ</v>
          </cell>
          <cell r="O1740" t="str">
            <v/>
          </cell>
        </row>
        <row r="1741">
          <cell r="D1741" t="str">
            <v>ΛΟΙΠΕΣ ΚΑΛΛΙΕΡΓΕΙΕΣ8744</v>
          </cell>
          <cell r="E1741" t="str">
            <v>ΣΟΡΓΟ - ΣΚΟΥΠΟΧΟΡΤΟ ΕΒΡΟΥ</v>
          </cell>
          <cell r="K1741" t="str">
            <v>Όχι</v>
          </cell>
          <cell r="L1741" t="str">
            <v>ΌΧΙ</v>
          </cell>
          <cell r="O1741" t="str">
            <v/>
          </cell>
        </row>
        <row r="1742">
          <cell r="D1742" t="str">
            <v>ΛΟΙΠΕΣ ΚΑΛΛΙΕΡΓΕΙΕΣ8745</v>
          </cell>
          <cell r="E1742" t="str">
            <v>ΑΣΚΟΛΥΜΠΡΟΣ</v>
          </cell>
          <cell r="J1742" t="str">
            <v>Ναι</v>
          </cell>
          <cell r="K1742" t="str">
            <v>Ναι</v>
          </cell>
          <cell r="L1742" t="str">
            <v>ΝΑΙ</v>
          </cell>
          <cell r="M1742" t="str">
            <v>ΜΟΝΟ ΕΛΓΟ ΔΗΜΗΤΡΑ</v>
          </cell>
          <cell r="O1742" t="str">
            <v/>
          </cell>
        </row>
        <row r="1743">
          <cell r="D1743" t="str">
            <v>ΛΟΙΠΕΣ ΚΑΛΛΙΕΡΓΕΙΕΣ8748</v>
          </cell>
          <cell r="E1743" t="str">
            <v>ΚΑΠΠΑΡΗ - ΤΟΠΙΚΟΙ ΠΛΗΘΥΣΜΟΙ</v>
          </cell>
          <cell r="J1743" t="str">
            <v>Ναι</v>
          </cell>
          <cell r="K1743" t="str">
            <v>Ναι</v>
          </cell>
          <cell r="L1743" t="str">
            <v>ΝΑΙ</v>
          </cell>
          <cell r="O1743" t="str">
            <v/>
          </cell>
        </row>
        <row r="1744">
          <cell r="D1744" t="str">
            <v>ΛΟΙΠΕΣ ΚΑΛΛΙΕΡΓΕΙΕΣ8749</v>
          </cell>
          <cell r="E1744" t="str">
            <v>ΛΙΦΗ Ή ΛΟΥΦΑ ΚΑΤΕΡΙΝΗΣ</v>
          </cell>
          <cell r="J1744" t="str">
            <v>Ναι</v>
          </cell>
          <cell r="K1744" t="str">
            <v>Όχι</v>
          </cell>
          <cell r="L1744" t="str">
            <v>ΌΧΙ</v>
          </cell>
          <cell r="M1744" t="str">
            <v>ΜΟΝΟ ΕΛΓΟ ΔΗΜΗΤΡΑ</v>
          </cell>
          <cell r="O1744" t="str">
            <v/>
          </cell>
        </row>
        <row r="1745">
          <cell r="D1745" t="str">
            <v>ΛΟΙΠΕΣ ΚΑΛΛΙΕΡΓΕΙΕΣ8760</v>
          </cell>
          <cell r="E1745" t="str">
            <v>ΦΑΚΕΛΩΤΗ</v>
          </cell>
          <cell r="K1745" t="str">
            <v>Ναι</v>
          </cell>
          <cell r="L1745" t="str">
            <v>ΝΑΙ</v>
          </cell>
          <cell r="O1745" t="str">
            <v>!</v>
          </cell>
        </row>
        <row r="1746">
          <cell r="D1746" t="str">
            <v>ΛΟΙΠΕΣ ΚΑΛΛΙΕΡΓΕΙΕΣ8781</v>
          </cell>
          <cell r="E1746" t="str">
            <v>ΑΛΟΗ</v>
          </cell>
          <cell r="K1746" t="str">
            <v>Ναι</v>
          </cell>
          <cell r="L1746" t="str">
            <v>ΝΑΙ</v>
          </cell>
          <cell r="O1746" t="str">
            <v/>
          </cell>
        </row>
        <row r="1747">
          <cell r="D1747" t="str">
            <v>ΛΟΙΠΕΣ ΚΑΛΛΙΕΡΓΕΙΕΣ8782</v>
          </cell>
          <cell r="E1747" t="str">
            <v>ΠΡΩΤΕΑΣ</v>
          </cell>
          <cell r="K1747" t="str">
            <v>Ναι</v>
          </cell>
          <cell r="L1747" t="str">
            <v>ΝΑΙ</v>
          </cell>
          <cell r="O1747" t="str">
            <v/>
          </cell>
        </row>
        <row r="1748">
          <cell r="D1748" t="str">
            <v>ΛΟΙΠΕΣ ΚΑΛΛΙΕΡΓΕΙΕΣ8784</v>
          </cell>
          <cell r="E1748" t="str">
            <v>ΑΡΩΝΙΑ</v>
          </cell>
          <cell r="K1748" t="str">
            <v>Ναι</v>
          </cell>
          <cell r="L1748" t="str">
            <v>ΝΑΙ</v>
          </cell>
          <cell r="M1748" t="str">
            <v>ΜΟΝΟ ΑΠΌ Β5 Τμήμα Κηπευτικών, Αρωματικών-Φαρμακευτικών Φυτών ΟΙ ΥΠΟΛΟΙΠΟΙ ΔΕΝ ΣΥΜΠΛΗΡΩΣΑΝ ΚΑΤΙ</v>
          </cell>
          <cell r="O1748" t="str">
            <v/>
          </cell>
        </row>
        <row r="1749">
          <cell r="D1749" t="str">
            <v>ΛΟΙΠΕΣ ΚΑΛΛΙΕΡΓΕΙΕΣ8785</v>
          </cell>
          <cell r="E1749" t="str">
            <v>ΛΗΜΟΝΙΟ</v>
          </cell>
          <cell r="I1749" t="str">
            <v>ΚΤΗΝΟΤΡΟΦΙΚΟ</v>
          </cell>
          <cell r="K1749" t="str">
            <v>Όχι</v>
          </cell>
          <cell r="L1749" t="str">
            <v>ΕΤ: όχι, με βάση όλα τα υπόλοιπα τριφύλια</v>
          </cell>
          <cell r="M1749" t="str">
            <v>ΔΕΝ ΥΠΑΡΧΟΥΝ ΣΤΟΙΧΕΙΑ</v>
          </cell>
          <cell r="O1749" t="str">
            <v/>
          </cell>
        </row>
        <row r="1750">
          <cell r="D1750" t="str">
            <v>ΛΟΙΠΕΣ ΚΑΛΛΙΕΡΓΕΙΕΣ8786</v>
          </cell>
          <cell r="E1750" t="str">
            <v>ΜΥΡΤΙΛΛΟ (BLUEBERRY)</v>
          </cell>
          <cell r="J1750" t="str">
            <v>Ναι</v>
          </cell>
          <cell r="K1750" t="str">
            <v>Όχι</v>
          </cell>
          <cell r="L1750" t="str">
            <v>ΌΧΙ</v>
          </cell>
          <cell r="O1750" t="str">
            <v/>
          </cell>
        </row>
        <row r="1751">
          <cell r="D1751" t="str">
            <v>ΛΟΙΠΕΣ ΚΑΛΛΙΕΡΓΕΙΕΣ8787</v>
          </cell>
          <cell r="E1751" t="str">
            <v>ΓΚΟΤΖΙ ΜΠΕΡΙ</v>
          </cell>
          <cell r="J1751" t="str">
            <v>Ναι</v>
          </cell>
          <cell r="K1751" t="str">
            <v>Ναι</v>
          </cell>
          <cell r="L1751" t="str">
            <v>ΝΑΙ</v>
          </cell>
          <cell r="O1751" t="str">
            <v/>
          </cell>
        </row>
        <row r="1752">
          <cell r="D1752" t="str">
            <v>ΛΟΙΠΕΣ ΚΑΛΛΙΕΡΓΕΙΕΣ8788</v>
          </cell>
          <cell r="E1752" t="str">
            <v>ΛΟΥΦΑ</v>
          </cell>
          <cell r="J1752" t="str">
            <v>Ναι</v>
          </cell>
          <cell r="K1752" t="str">
            <v>Όχι</v>
          </cell>
          <cell r="L1752" t="str">
            <v>ΌΧΙ</v>
          </cell>
          <cell r="M1752" t="str">
            <v>ΜΟΝΟ ΕΛΓΟ ΔΗΜΗΤΡΑ</v>
          </cell>
          <cell r="O1752" t="str">
            <v/>
          </cell>
        </row>
        <row r="1753">
          <cell r="D1753" t="str">
            <v>ΛΟΙΠΕΣ ΚΑΛΛΙΕΡΓΕΙΕΣ8789</v>
          </cell>
          <cell r="E1753" t="str">
            <v>ΦΥΣΑΛΙΔΑ</v>
          </cell>
          <cell r="J1753" t="str">
            <v>Ναι</v>
          </cell>
          <cell r="K1753" t="str">
            <v>Όχι</v>
          </cell>
          <cell r="L1753" t="str">
            <v>ΌΧΙ</v>
          </cell>
          <cell r="O1753" t="str">
            <v/>
          </cell>
        </row>
        <row r="1754">
          <cell r="D1754" t="str">
            <v>ΛΟΙΠΕΣ ΚΑΛΛΙΕΡΓΕΙΕΣ95771700</v>
          </cell>
          <cell r="E1754" t="str">
            <v>ΦΡΑΓΚΟΣΥΚΙΕΣ</v>
          </cell>
          <cell r="J1754" t="str">
            <v>Ναι</v>
          </cell>
          <cell r="K1754" t="str">
            <v>Ναι</v>
          </cell>
          <cell r="L1754" t="str">
            <v>ΝΑΙ</v>
          </cell>
          <cell r="O1754" t="str">
            <v/>
          </cell>
        </row>
        <row r="1755">
          <cell r="D1755" t="str">
            <v>ΛΟΙΠΕΣ ΚΑΛΛΙΕΡΓΕΙΕΣ95771701</v>
          </cell>
          <cell r="E1755" t="str">
            <v>STEVIA (ΥΠΟΚΑΤΑΣΤΑΤΟ ΖΑΧΑΡΗΣ ΣΕ ΠΕΙΡΑΜΑΤΙΚΟ ΣΤΑΔΙΟ)</v>
          </cell>
          <cell r="K1755" t="str">
            <v>Όχι</v>
          </cell>
          <cell r="L1755" t="str">
            <v>ΌΧΙ</v>
          </cell>
          <cell r="O1755" t="str">
            <v/>
          </cell>
        </row>
        <row r="1756">
          <cell r="D1756" t="str">
            <v>ΛΟΙΠΕΣ ΚΑΛΛΙΕΡΓΕΙΕΣ98206</v>
          </cell>
          <cell r="E1756" t="str">
            <v>ΚΟΛΟΚΑΣΙ</v>
          </cell>
          <cell r="J1756" t="str">
            <v>Ναι</v>
          </cell>
          <cell r="K1756" t="str">
            <v>Όχι</v>
          </cell>
          <cell r="L1756" t="str">
            <v>ΌΧΙ</v>
          </cell>
          <cell r="O1756" t="str">
            <v/>
          </cell>
        </row>
        <row r="1757">
          <cell r="D1757" t="str">
            <v>ΜΗΛΟΕΙΔΗ14004</v>
          </cell>
          <cell r="E1757" t="str">
            <v>ΑΧΛΑΔΙΕΣ Α</v>
          </cell>
          <cell r="F1757" t="str">
            <v>B_4_1_1_1</v>
          </cell>
          <cell r="G1757" t="str">
            <v>Φυτείες για παραγωγή φρούτων εύκρατης προέλευσης</v>
          </cell>
          <cell r="H1757">
            <v>6750</v>
          </cell>
          <cell r="J1757" t="str">
            <v>Ναι</v>
          </cell>
          <cell r="K1757" t="str">
            <v>Όχι</v>
          </cell>
          <cell r="L1757" t="str">
            <v>ΌΧΙ</v>
          </cell>
          <cell r="O1757" t="str">
            <v/>
          </cell>
        </row>
        <row r="1758">
          <cell r="D1758" t="str">
            <v>ΜΗΛΟΕΙΔΗ14005</v>
          </cell>
          <cell r="E1758" t="str">
            <v>ΜΗΛΙΕΣ Α</v>
          </cell>
          <cell r="F1758" t="str">
            <v>B_4_1_1_1</v>
          </cell>
          <cell r="G1758" t="str">
            <v>Φυτείες για παραγωγή φρούτων εύκρατης προέλευσης</v>
          </cell>
          <cell r="H1758">
            <v>6750</v>
          </cell>
          <cell r="J1758" t="str">
            <v>Ναι</v>
          </cell>
          <cell r="K1758" t="str">
            <v>Όχι</v>
          </cell>
          <cell r="L1758" t="str">
            <v>ΌΧΙ</v>
          </cell>
          <cell r="O1758" t="str">
            <v/>
          </cell>
        </row>
        <row r="1759">
          <cell r="D1759" t="str">
            <v>ΜΗΛΟΕΙΔΗ14032</v>
          </cell>
          <cell r="E1759" t="str">
            <v>ΑΧΛΑΔΙΑ ΚΟΝΤΟΥΛΕΣ - ABATE FETEL</v>
          </cell>
          <cell r="F1759" t="str">
            <v>B_4_1_1_1</v>
          </cell>
          <cell r="G1759" t="str">
            <v>Φυτείες για παραγωγή φρούτων εύκρατης προέλευσης</v>
          </cell>
          <cell r="H1759">
            <v>6750</v>
          </cell>
          <cell r="J1759" t="str">
            <v>Ναι</v>
          </cell>
          <cell r="K1759" t="str">
            <v>Όχι</v>
          </cell>
          <cell r="L1759" t="str">
            <v>ΌΧΙ</v>
          </cell>
          <cell r="O1759" t="str">
            <v/>
          </cell>
        </row>
        <row r="1760">
          <cell r="D1760" t="str">
            <v>ΜΗΛΟΕΙΔΗ67001</v>
          </cell>
          <cell r="E1760" t="str">
            <v>ΑΧΛΑΔΙΑ ΑΠΟΣΤΟΛΙΑΤΙΚΑ</v>
          </cell>
          <cell r="F1760" t="str">
            <v>B_4_1_1_1</v>
          </cell>
          <cell r="G1760" t="str">
            <v>Φυτείες για παραγωγή φρούτων εύκρατης προέλευσης</v>
          </cell>
          <cell r="H1760">
            <v>6750</v>
          </cell>
          <cell r="J1760" t="str">
            <v>Ναι</v>
          </cell>
          <cell r="K1760" t="str">
            <v>Όχι</v>
          </cell>
          <cell r="L1760" t="str">
            <v>ΌΧΙ</v>
          </cell>
          <cell r="O1760" t="str">
            <v/>
          </cell>
        </row>
        <row r="1761">
          <cell r="D1761" t="str">
            <v>ΜΗΛΟΕΙΔΗ67002</v>
          </cell>
          <cell r="E1761" t="str">
            <v>ΑΧΛΑΔΙΑ ΜΟΣΧΑΠΙΔΟ</v>
          </cell>
          <cell r="F1761" t="str">
            <v>B_4_1_1_1</v>
          </cell>
          <cell r="G1761" t="str">
            <v>Φυτείες για παραγωγή φρούτων εύκρατης προέλευσης</v>
          </cell>
          <cell r="H1761">
            <v>6750</v>
          </cell>
          <cell r="J1761" t="str">
            <v>Ναι</v>
          </cell>
          <cell r="K1761" t="str">
            <v>Όχι</v>
          </cell>
          <cell r="L1761" t="str">
            <v>ΌΧΙ</v>
          </cell>
          <cell r="O1761" t="str">
            <v/>
          </cell>
        </row>
        <row r="1762">
          <cell r="D1762" t="str">
            <v>ΜΗΛΟΕΙΔΗ67003</v>
          </cell>
          <cell r="E1762" t="str">
            <v>ΑΧΛΑΔΙΑ ΜΟΣΧΑΡΔΙΝΙ</v>
          </cell>
          <cell r="F1762" t="str">
            <v>B_4_1_1_1</v>
          </cell>
          <cell r="G1762" t="str">
            <v>Φυτείες για παραγωγή φρούτων εύκρατης προέλευσης</v>
          </cell>
          <cell r="H1762">
            <v>6750</v>
          </cell>
          <cell r="J1762" t="str">
            <v>Ναι</v>
          </cell>
          <cell r="K1762" t="str">
            <v>Όχι</v>
          </cell>
          <cell r="L1762" t="str">
            <v>ΌΧΙ</v>
          </cell>
          <cell r="O1762" t="str">
            <v/>
          </cell>
        </row>
        <row r="1763">
          <cell r="D1763" t="str">
            <v>ΜΗΛΟΕΙΔΗ67004</v>
          </cell>
          <cell r="E1763" t="str">
            <v>ΑΧΛΑΔΙΑ ΑΧΤΣΕΣ, ΜΥΤΙΛΗΝ.</v>
          </cell>
          <cell r="F1763" t="str">
            <v>B_4_1_1_1</v>
          </cell>
          <cell r="G1763" t="str">
            <v>Φυτείες για παραγωγή φρούτων εύκρατης προέλευσης</v>
          </cell>
          <cell r="H1763">
            <v>6750</v>
          </cell>
          <cell r="J1763" t="str">
            <v>Ναι</v>
          </cell>
          <cell r="K1763" t="str">
            <v>Όχι</v>
          </cell>
          <cell r="L1763" t="str">
            <v>ΌΧΙ</v>
          </cell>
          <cell r="O1763" t="str">
            <v/>
          </cell>
        </row>
        <row r="1764">
          <cell r="D1764" t="str">
            <v>ΜΗΛΟΕΙΔΗ67005</v>
          </cell>
          <cell r="E1764" t="str">
            <v>ΑΧΛΑΔΙΑ ΖΕΝΤΙΛΕ</v>
          </cell>
          <cell r="F1764" t="str">
            <v>B_4_1_1_1</v>
          </cell>
          <cell r="G1764" t="str">
            <v>Φυτείες για παραγωγή φρούτων εύκρατης προέλευσης</v>
          </cell>
          <cell r="H1764">
            <v>6750</v>
          </cell>
          <cell r="J1764" t="str">
            <v>Ναι</v>
          </cell>
          <cell r="K1764" t="str">
            <v>Όχι</v>
          </cell>
          <cell r="L1764" t="str">
            <v>ΌΧΙ</v>
          </cell>
          <cell r="O1764" t="str">
            <v/>
          </cell>
        </row>
        <row r="1765">
          <cell r="D1765" t="str">
            <v>ΜΗΛΟΕΙΔΗ67006</v>
          </cell>
          <cell r="E1765" t="str">
            <v>ΑΧΛΑΔΙΑ ΚΟΣΣΙΑ</v>
          </cell>
          <cell r="F1765" t="str">
            <v>B_4_1_1_1</v>
          </cell>
          <cell r="G1765" t="str">
            <v>Φυτείες για παραγωγή φρούτων εύκρατης προέλευσης</v>
          </cell>
          <cell r="H1765">
            <v>6750</v>
          </cell>
          <cell r="J1765" t="str">
            <v>Ναι</v>
          </cell>
          <cell r="K1765" t="str">
            <v>Όχι</v>
          </cell>
          <cell r="L1765" t="str">
            <v>ΌΧΙ</v>
          </cell>
          <cell r="O1765" t="str">
            <v/>
          </cell>
        </row>
        <row r="1766">
          <cell r="D1766" t="str">
            <v>ΜΗΛΟΕΙΔΗ67007</v>
          </cell>
          <cell r="E1766" t="str">
            <v>ΑΧΛΑΔΙΑ ΝΤ. ΓΚΙΓΙΟ</v>
          </cell>
          <cell r="F1766" t="str">
            <v>B_4_1_1_1</v>
          </cell>
          <cell r="G1766" t="str">
            <v>Φυτείες για παραγωγή φρούτων εύκρατης προέλευσης</v>
          </cell>
          <cell r="H1766">
            <v>6750</v>
          </cell>
          <cell r="J1766" t="str">
            <v>Ναι</v>
          </cell>
          <cell r="K1766" t="str">
            <v>Όχι</v>
          </cell>
          <cell r="L1766" t="str">
            <v>ΌΧΙ</v>
          </cell>
          <cell r="O1766" t="str">
            <v/>
          </cell>
        </row>
        <row r="1767">
          <cell r="D1767" t="str">
            <v>ΜΗΛΟΕΙΔΗ67008</v>
          </cell>
          <cell r="E1767" t="str">
            <v>ΑΧΛΑΔΙΑ ΚΟΝΤΟΥΛΕΣ</v>
          </cell>
          <cell r="F1767" t="str">
            <v>B_4_1_1_1</v>
          </cell>
          <cell r="G1767" t="str">
            <v>Φυτείες για παραγωγή φρούτων εύκρατης προέλευσης</v>
          </cell>
          <cell r="H1767">
            <v>6750</v>
          </cell>
          <cell r="J1767" t="str">
            <v>Ναι</v>
          </cell>
          <cell r="K1767" t="str">
            <v>Όχι</v>
          </cell>
          <cell r="L1767" t="str">
            <v>ΌΧΙ</v>
          </cell>
          <cell r="O1767" t="str">
            <v/>
          </cell>
        </row>
        <row r="1768">
          <cell r="D1768" t="str">
            <v>ΜΗΛΟΕΙΔΗ67009</v>
          </cell>
          <cell r="E1768" t="str">
            <v>ΑΧΛΑΔΙΑ ΜΟΡΕΤΤΙΝΙ</v>
          </cell>
          <cell r="F1768" t="str">
            <v>B_4_1_1_1</v>
          </cell>
          <cell r="G1768" t="str">
            <v>Φυτείες για παραγωγή φρούτων εύκρατης προέλευσης</v>
          </cell>
          <cell r="H1768">
            <v>6750</v>
          </cell>
          <cell r="J1768" t="str">
            <v>Ναι</v>
          </cell>
          <cell r="K1768" t="str">
            <v>Όχι</v>
          </cell>
          <cell r="L1768" t="str">
            <v>ΌΧΙ</v>
          </cell>
          <cell r="O1768" t="str">
            <v/>
          </cell>
        </row>
        <row r="1769">
          <cell r="D1769" t="str">
            <v>ΜΗΛΟΕΙΔΗ67010</v>
          </cell>
          <cell r="E1769" t="str">
            <v>ΑΧΛΑΔΙΑ ΔΟΥΚΕΣΣΑ</v>
          </cell>
          <cell r="F1769" t="str">
            <v>B_4_1_1_1</v>
          </cell>
          <cell r="G1769" t="str">
            <v>Φυτείες για παραγωγή φρούτων εύκρατης προέλευσης</v>
          </cell>
          <cell r="H1769">
            <v>6750</v>
          </cell>
          <cell r="J1769" t="str">
            <v>Ναι</v>
          </cell>
          <cell r="K1769" t="str">
            <v>Όχι</v>
          </cell>
          <cell r="L1769" t="str">
            <v>ΌΧΙ</v>
          </cell>
          <cell r="O1769" t="str">
            <v/>
          </cell>
        </row>
        <row r="1770">
          <cell r="D1770" t="str">
            <v>ΜΗΛΟΕΙΔΗ67011</v>
          </cell>
          <cell r="E1770" t="str">
            <v>ΑΧΛΑΔΙΑ ΣΑΝΤΑ ΜΑΡΙΑ</v>
          </cell>
          <cell r="F1770" t="str">
            <v>B_4_1_1_1</v>
          </cell>
          <cell r="G1770" t="str">
            <v>Φυτείες για παραγωγή φρούτων εύκρατης προέλευσης</v>
          </cell>
          <cell r="H1770">
            <v>6750</v>
          </cell>
          <cell r="J1770" t="str">
            <v>Ναι</v>
          </cell>
          <cell r="K1770" t="str">
            <v>Όχι</v>
          </cell>
          <cell r="L1770" t="str">
            <v>ΌΧΙ</v>
          </cell>
          <cell r="O1770" t="str">
            <v/>
          </cell>
        </row>
        <row r="1771">
          <cell r="D1771" t="str">
            <v>ΜΗΛΟΕΙΔΗ67012</v>
          </cell>
          <cell r="E1771" t="str">
            <v>ΑΧΛΑΔΙΑ ΟΥΪΛΛΙΑΜΣ</v>
          </cell>
          <cell r="F1771" t="str">
            <v>B_4_1_1_1</v>
          </cell>
          <cell r="G1771" t="str">
            <v>Φυτείες για παραγωγή φρούτων εύκρατης προέλευσης</v>
          </cell>
          <cell r="H1771">
            <v>6750</v>
          </cell>
          <cell r="J1771" t="str">
            <v>Ναι</v>
          </cell>
          <cell r="K1771" t="str">
            <v>Όχι</v>
          </cell>
          <cell r="L1771" t="str">
            <v>ΌΧΙ</v>
          </cell>
          <cell r="O1771" t="str">
            <v/>
          </cell>
        </row>
        <row r="1772">
          <cell r="D1772" t="str">
            <v>ΜΗΛΟΕΙΔΗ67013</v>
          </cell>
          <cell r="E1772" t="str">
            <v>ΑΧΛΑΔΙΑ ΚΟΚΚΙΝ. ΟΥΪΛΛΙΑΜΣ</v>
          </cell>
          <cell r="F1772" t="str">
            <v>B_4_1_1_1</v>
          </cell>
          <cell r="G1772" t="str">
            <v>Φυτείες για παραγωγή φρούτων εύκρατης προέλευσης</v>
          </cell>
          <cell r="H1772">
            <v>6750</v>
          </cell>
          <cell r="J1772" t="str">
            <v>Ναι</v>
          </cell>
          <cell r="K1772" t="str">
            <v>Όχι</v>
          </cell>
          <cell r="L1772" t="str">
            <v>ΌΧΙ</v>
          </cell>
          <cell r="O1772" t="str">
            <v/>
          </cell>
        </row>
        <row r="1773">
          <cell r="D1773" t="str">
            <v>ΜΗΛΟΕΙΔΗ67014</v>
          </cell>
          <cell r="E1773" t="str">
            <v>ΑΧΛΑΔΙΑ ΚΡΥΣΤΑΛΛΙ</v>
          </cell>
          <cell r="F1773" t="str">
            <v>B_4_1_1_1</v>
          </cell>
          <cell r="G1773" t="str">
            <v>Φυτείες για παραγωγή φρούτων εύκρατης προέλευσης</v>
          </cell>
          <cell r="H1773">
            <v>6750</v>
          </cell>
          <cell r="J1773" t="str">
            <v>Ναι</v>
          </cell>
          <cell r="K1773" t="str">
            <v>Όχι</v>
          </cell>
          <cell r="L1773" t="str">
            <v>ΌΧΙ</v>
          </cell>
          <cell r="O1773" t="str">
            <v/>
          </cell>
        </row>
        <row r="1774">
          <cell r="D1774" t="str">
            <v>ΜΗΛΟΕΙΔΗ67015</v>
          </cell>
          <cell r="E1774" t="str">
            <v>ΑΧΛΑΔΙΑ ΜΠΕΡ ΑΡΝΤΥ</v>
          </cell>
          <cell r="F1774" t="str">
            <v>B_4_1_1_1</v>
          </cell>
          <cell r="G1774" t="str">
            <v>Φυτείες για παραγωγή φρούτων εύκρατης προέλευσης</v>
          </cell>
          <cell r="H1774">
            <v>6750</v>
          </cell>
          <cell r="J1774" t="str">
            <v>Ναι</v>
          </cell>
          <cell r="K1774" t="str">
            <v>Όχι</v>
          </cell>
          <cell r="L1774" t="str">
            <v>ΌΧΙ</v>
          </cell>
          <cell r="O1774" t="str">
            <v/>
          </cell>
        </row>
        <row r="1775">
          <cell r="D1775" t="str">
            <v>ΜΗΛΟΕΙΔΗ67016</v>
          </cell>
          <cell r="E1775" t="str">
            <v>ΑΧΛΑΔΙΑ ΚΑΪΖΕΡ</v>
          </cell>
          <cell r="F1775" t="str">
            <v>B_4_1_1_1</v>
          </cell>
          <cell r="G1775" t="str">
            <v>Φυτείες για παραγωγή φρούτων εύκρατης προέλευσης</v>
          </cell>
          <cell r="H1775">
            <v>6750</v>
          </cell>
          <cell r="J1775" t="str">
            <v>Ναι</v>
          </cell>
          <cell r="K1775" t="str">
            <v>Όχι</v>
          </cell>
          <cell r="L1775" t="str">
            <v>ΌΧΙ</v>
          </cell>
          <cell r="O1775" t="str">
            <v/>
          </cell>
        </row>
        <row r="1776">
          <cell r="D1776" t="str">
            <v>ΜΗΛΟΕΙΔΗ67017</v>
          </cell>
          <cell r="E1776" t="str">
            <v>ΑΧΛΑΔΙΑ ΚΙΟΥΡΕ, ΚΑΜΠΑΝΕΣ</v>
          </cell>
          <cell r="F1776" t="str">
            <v>B_4_1_1_1</v>
          </cell>
          <cell r="G1776" t="str">
            <v>Φυτείες για παραγωγή φρούτων εύκρατης προέλευσης</v>
          </cell>
          <cell r="H1776">
            <v>6750</v>
          </cell>
          <cell r="J1776" t="str">
            <v>Ναι</v>
          </cell>
          <cell r="K1776" t="str">
            <v>Όχι</v>
          </cell>
          <cell r="L1776" t="str">
            <v>ΌΧΙ</v>
          </cell>
          <cell r="O1776" t="str">
            <v/>
          </cell>
        </row>
        <row r="1777">
          <cell r="D1777" t="str">
            <v>ΜΗΛΟΕΙΔΗ67018</v>
          </cell>
          <cell r="E1777" t="str">
            <v>ΑΧΛΑΔΙΑ ΑΜΠΑΤ ΦΕΤΕΛ</v>
          </cell>
          <cell r="F1777" t="str">
            <v>B_4_1_1_1</v>
          </cell>
          <cell r="G1777" t="str">
            <v>Φυτείες για παραγωγή φρούτων εύκρατης προέλευσης</v>
          </cell>
          <cell r="H1777">
            <v>6750</v>
          </cell>
          <cell r="J1777" t="str">
            <v>Ναι</v>
          </cell>
          <cell r="K1777" t="str">
            <v>Όχι</v>
          </cell>
          <cell r="L1777" t="str">
            <v>ΌΧΙ</v>
          </cell>
          <cell r="O1777" t="str">
            <v/>
          </cell>
        </row>
        <row r="1778">
          <cell r="D1778" t="str">
            <v>ΜΗΛΟΕΙΔΗ67019</v>
          </cell>
          <cell r="E1778" t="str">
            <v>ΑΧΛΑΔΙΑ ΝΤΕΚΑΝΑ ΝΤΕ ΚΟΜΙΣΙΟ</v>
          </cell>
          <cell r="F1778" t="str">
            <v>B_4_1_1_1</v>
          </cell>
          <cell r="G1778" t="str">
            <v>Φυτείες για παραγωγή φρούτων εύκρατης προέλευσης</v>
          </cell>
          <cell r="H1778">
            <v>6750</v>
          </cell>
          <cell r="J1778" t="str">
            <v>Ναι</v>
          </cell>
          <cell r="K1778" t="str">
            <v>Όχι</v>
          </cell>
          <cell r="L1778" t="str">
            <v>ΌΧΙ</v>
          </cell>
          <cell r="O1778" t="str">
            <v/>
          </cell>
        </row>
        <row r="1779">
          <cell r="D1779" t="str">
            <v>ΜΗΛΟΕΙΔΗ67020</v>
          </cell>
          <cell r="E1779" t="str">
            <v>ΑΧΛΑΔΙΑ ΠΑΣΣΑ ΚΡΑΣΣΑΝΑ</v>
          </cell>
          <cell r="F1779" t="str">
            <v>B_4_1_1_1</v>
          </cell>
          <cell r="G1779" t="str">
            <v>Φυτείες για παραγωγή φρούτων εύκρατης προέλευσης</v>
          </cell>
          <cell r="H1779">
            <v>6750</v>
          </cell>
          <cell r="J1779" t="str">
            <v>Ναι</v>
          </cell>
          <cell r="K1779" t="str">
            <v>Όχι</v>
          </cell>
          <cell r="L1779" t="str">
            <v>ΌΧΙ</v>
          </cell>
          <cell r="O1779" t="str">
            <v/>
          </cell>
        </row>
        <row r="1780">
          <cell r="D1780" t="str">
            <v>ΜΗΛΟΕΙΔΗ67021</v>
          </cell>
          <cell r="E1780" t="str">
            <v>ΑΧΛΑΔΙΑ ΓΚΡΑΝΤ ΤΣΑΜΠΙΟΝ</v>
          </cell>
          <cell r="F1780" t="str">
            <v>B_4_1_1_1</v>
          </cell>
          <cell r="G1780" t="str">
            <v>Φυτείες για παραγωγή φρούτων εύκρατης προέλευσης</v>
          </cell>
          <cell r="H1780">
            <v>6750</v>
          </cell>
          <cell r="J1780" t="str">
            <v>Ναι</v>
          </cell>
          <cell r="K1780" t="str">
            <v>Όχι</v>
          </cell>
          <cell r="L1780" t="str">
            <v>ΌΧΙ</v>
          </cell>
          <cell r="O1780" t="str">
            <v/>
          </cell>
        </row>
        <row r="1781">
          <cell r="D1781" t="str">
            <v>ΜΗΛΟΕΙΔΗ67022</v>
          </cell>
          <cell r="E1781" t="str">
            <v>ΑΧΛΑΔΙΑ ΚΟΝΦΕΡΕΝΣ</v>
          </cell>
          <cell r="F1781" t="str">
            <v>B_4_1_1_1</v>
          </cell>
          <cell r="G1781" t="str">
            <v>Φυτείες για παραγωγή φρούτων εύκρατης προέλευσης</v>
          </cell>
          <cell r="H1781">
            <v>6750</v>
          </cell>
          <cell r="J1781" t="str">
            <v>Ναι</v>
          </cell>
          <cell r="K1781" t="str">
            <v>Όχι</v>
          </cell>
          <cell r="L1781" t="str">
            <v>ΌΧΙ</v>
          </cell>
          <cell r="O1781" t="str">
            <v/>
          </cell>
        </row>
        <row r="1782">
          <cell r="D1782" t="str">
            <v>ΜΗΛΟΕΙΔΗ67023</v>
          </cell>
          <cell r="E1782" t="str">
            <v>ΑΧΛΑΔΙΑ ΧΑΪΛΑΝΤ</v>
          </cell>
          <cell r="F1782" t="str">
            <v>B_4_1_1_1</v>
          </cell>
          <cell r="G1782" t="str">
            <v>Φυτείες για παραγωγή φρούτων εύκρατης προέλευσης</v>
          </cell>
          <cell r="H1782">
            <v>6750</v>
          </cell>
          <cell r="J1782" t="str">
            <v>Ναι</v>
          </cell>
          <cell r="K1782" t="str">
            <v>Όχι</v>
          </cell>
          <cell r="L1782" t="str">
            <v>ΌΧΙ</v>
          </cell>
          <cell r="O1782" t="str">
            <v/>
          </cell>
        </row>
        <row r="1783">
          <cell r="D1783" t="str">
            <v>ΜΗΛΟΕΙΔΗ67024</v>
          </cell>
          <cell r="E1783" t="str">
            <v>ΑΧΛΑΔΙΑ ΤΖΕΝΕΡΑΛ ΛΕΚΛΕΡΚ</v>
          </cell>
          <cell r="F1783" t="str">
            <v>B_4_1_1_1</v>
          </cell>
          <cell r="G1783" t="str">
            <v>Φυτείες για παραγωγή φρούτων εύκρατης προέλευσης</v>
          </cell>
          <cell r="H1783">
            <v>6750</v>
          </cell>
          <cell r="J1783" t="str">
            <v>Ναι</v>
          </cell>
          <cell r="K1783" t="str">
            <v>Όχι</v>
          </cell>
          <cell r="L1783" t="str">
            <v>ΌΧΙ</v>
          </cell>
          <cell r="O1783" t="str">
            <v/>
          </cell>
        </row>
        <row r="1784">
          <cell r="D1784" t="str">
            <v>ΜΗΛΟΕΙΔΗ67025</v>
          </cell>
          <cell r="E1784" t="str">
            <v>ΑΧΛΑΔΙΑ ΣΕΡΠΟΥ</v>
          </cell>
          <cell r="F1784" t="str">
            <v>B_4_1_1_1</v>
          </cell>
          <cell r="G1784" t="str">
            <v>Φυτείες για παραγωγή φρούτων εύκρατης προέλευσης</v>
          </cell>
          <cell r="H1784">
            <v>6750</v>
          </cell>
          <cell r="J1784" t="str">
            <v>Ναι</v>
          </cell>
          <cell r="K1784" t="str">
            <v>Όχι</v>
          </cell>
          <cell r="L1784" t="str">
            <v>ΌΧΙ</v>
          </cell>
          <cell r="O1784" t="str">
            <v/>
          </cell>
        </row>
        <row r="1785">
          <cell r="D1785" t="str">
            <v>ΜΗΛΟΕΙΔΗ67026</v>
          </cell>
          <cell r="E1785" t="str">
            <v>ΑΧΛΑΔΙΑ ΔΙΑΦ. ΕΓΧΩΡ. ΛΟΙΠ. ΠΟΙΚΙΛ.</v>
          </cell>
          <cell r="F1785" t="str">
            <v>B_4_1_1_1</v>
          </cell>
          <cell r="G1785" t="str">
            <v>Φυτείες για παραγωγή φρούτων εύκρατης προέλευσης</v>
          </cell>
          <cell r="H1785">
            <v>6750</v>
          </cell>
          <cell r="J1785" t="str">
            <v>Ναι</v>
          </cell>
          <cell r="K1785" t="str">
            <v>Όχι</v>
          </cell>
          <cell r="L1785" t="str">
            <v>ΌΧΙ</v>
          </cell>
          <cell r="O1785" t="str">
            <v/>
          </cell>
        </row>
        <row r="1786">
          <cell r="D1786" t="str">
            <v>ΜΗΛΟΕΙΔΗ67027</v>
          </cell>
          <cell r="E1786" t="str">
            <v>ΑΧΛΑΔΙΑ ΔΙΑΣΤΑΥΡ. ΚΟΝΤΟΥΛΑΣ</v>
          </cell>
          <cell r="F1786" t="str">
            <v>B_4_1_1_1</v>
          </cell>
          <cell r="G1786" t="str">
            <v>Φυτείες για παραγωγή φρούτων εύκρατης προέλευσης</v>
          </cell>
          <cell r="H1786">
            <v>6750</v>
          </cell>
          <cell r="J1786" t="str">
            <v>Ναι</v>
          </cell>
          <cell r="K1786" t="str">
            <v>Όχι</v>
          </cell>
          <cell r="L1786" t="str">
            <v>ΌΧΙ</v>
          </cell>
          <cell r="O1786" t="str">
            <v/>
          </cell>
        </row>
        <row r="1787">
          <cell r="D1787" t="str">
            <v>ΜΗΛΟΕΙΔΗ67028</v>
          </cell>
          <cell r="E1787" t="str">
            <v>ΑΧΛΑΔΙΑ ΝΤΕΒΟΪ</v>
          </cell>
          <cell r="F1787" t="str">
            <v>B_4_1_1_1</v>
          </cell>
          <cell r="G1787" t="str">
            <v>Φυτείες για παραγωγή φρούτων εύκρατης προέλευσης</v>
          </cell>
          <cell r="H1787">
            <v>6750</v>
          </cell>
          <cell r="J1787" t="str">
            <v>Ναι</v>
          </cell>
          <cell r="K1787" t="str">
            <v>Όχι</v>
          </cell>
          <cell r="L1787" t="str">
            <v>ΌΧΙ</v>
          </cell>
          <cell r="O1787" t="str">
            <v/>
          </cell>
        </row>
        <row r="1788">
          <cell r="D1788" t="str">
            <v>ΜΗΛΟΕΙΔΗ67029</v>
          </cell>
          <cell r="E1788" t="str">
            <v>ΑΧΛΑΔΙΑ ΝΑΣΙ</v>
          </cell>
          <cell r="F1788" t="str">
            <v>B_4_1_1_1</v>
          </cell>
          <cell r="G1788" t="str">
            <v>Φυτείες για παραγωγή φρούτων εύκρατης προέλευσης</v>
          </cell>
          <cell r="H1788">
            <v>6750</v>
          </cell>
          <cell r="J1788" t="str">
            <v>Ναι</v>
          </cell>
          <cell r="K1788" t="str">
            <v>Όχι</v>
          </cell>
          <cell r="L1788" t="str">
            <v>ΌΧΙ</v>
          </cell>
          <cell r="O1788" t="str">
            <v/>
          </cell>
        </row>
        <row r="1789">
          <cell r="D1789" t="str">
            <v>ΜΗΛΟΕΙΔΗ67030</v>
          </cell>
          <cell r="E1789" t="str">
            <v>ΑΧΛΑΔΙΑ ΚΙΦΙΡ</v>
          </cell>
          <cell r="F1789" t="str">
            <v>B_4_1_1_1</v>
          </cell>
          <cell r="G1789" t="str">
            <v>Φυτείες για παραγωγή φρούτων εύκρατης προέλευσης</v>
          </cell>
          <cell r="H1789">
            <v>6750</v>
          </cell>
          <cell r="J1789" t="str">
            <v>Ναι</v>
          </cell>
          <cell r="K1789" t="str">
            <v>Όχι</v>
          </cell>
          <cell r="L1789" t="str">
            <v>ΌΧΙ</v>
          </cell>
          <cell r="O1789" t="str">
            <v/>
          </cell>
        </row>
        <row r="1790">
          <cell r="D1790" t="str">
            <v>ΜΗΛΟΕΙΔΗ67031</v>
          </cell>
          <cell r="E1790" t="str">
            <v>ΑΧΛΑΔΙΑ ΕΤΡΟΥΣΚΑ</v>
          </cell>
          <cell r="F1790" t="str">
            <v>B_4_1_1_1</v>
          </cell>
          <cell r="G1790" t="str">
            <v>Φυτείες για παραγωγή φρούτων εύκρατης προέλευσης</v>
          </cell>
          <cell r="H1790">
            <v>6750</v>
          </cell>
          <cell r="J1790" t="str">
            <v>Ναι</v>
          </cell>
          <cell r="K1790" t="str">
            <v>Όχι</v>
          </cell>
          <cell r="L1790" t="str">
            <v>ΌΧΙ</v>
          </cell>
          <cell r="O1790" t="str">
            <v/>
          </cell>
        </row>
        <row r="1791">
          <cell r="D1791" t="str">
            <v>ΜΗΛΟΕΙΔΗ67032</v>
          </cell>
          <cell r="E1791" t="str">
            <v>ΑΧΛΑΔ. ΧΑΡΟΛΝΤ ΣΟΥΪΦΤ</v>
          </cell>
          <cell r="F1791" t="str">
            <v>B_4_1_1_1</v>
          </cell>
          <cell r="G1791" t="str">
            <v>Φυτείες για παραγωγή φρούτων εύκρατης προέλευσης</v>
          </cell>
          <cell r="H1791">
            <v>6750</v>
          </cell>
          <cell r="J1791" t="str">
            <v>Ναι</v>
          </cell>
          <cell r="K1791" t="str">
            <v>Όχι</v>
          </cell>
          <cell r="L1791" t="str">
            <v>ΌΧΙ</v>
          </cell>
          <cell r="O1791" t="str">
            <v/>
          </cell>
        </row>
        <row r="1792">
          <cell r="D1792" t="str">
            <v>ΜΗΛΟΕΙΔΗ67033</v>
          </cell>
          <cell r="E1792" t="str">
            <v>ΑΧΛΑΔΙΑ ΤΟΣΚΑ</v>
          </cell>
          <cell r="F1792" t="str">
            <v>B_4_1_1_1</v>
          </cell>
          <cell r="G1792" t="str">
            <v>Φυτείες για παραγωγή φρούτων εύκρατης προέλευσης</v>
          </cell>
          <cell r="H1792">
            <v>6750</v>
          </cell>
          <cell r="J1792" t="str">
            <v>Ναι</v>
          </cell>
          <cell r="K1792" t="str">
            <v>Όχι</v>
          </cell>
          <cell r="L1792" t="str">
            <v>ΌΧΙ</v>
          </cell>
          <cell r="O1792" t="str">
            <v/>
          </cell>
        </row>
        <row r="1793">
          <cell r="D1793" t="str">
            <v>ΜΗΛΟΕΙΔΗ67034</v>
          </cell>
          <cell r="E1793" t="str">
            <v>ΑΧΛΑΔΙΑ ΠΑΚΑΜΣ</v>
          </cell>
          <cell r="F1793" t="str">
            <v>B_4_1_1_1</v>
          </cell>
          <cell r="G1793" t="str">
            <v>Φυτείες για παραγωγή φρούτων εύκρατης προέλευσης</v>
          </cell>
          <cell r="H1793">
            <v>6750</v>
          </cell>
          <cell r="J1793" t="str">
            <v>Ναι</v>
          </cell>
          <cell r="K1793" t="str">
            <v>Όχι</v>
          </cell>
          <cell r="L1793" t="str">
            <v>ΌΧΙ</v>
          </cell>
          <cell r="O1793" t="str">
            <v/>
          </cell>
        </row>
        <row r="1794">
          <cell r="D1794" t="str">
            <v>ΜΗΛΟΕΙΔΗ67035</v>
          </cell>
          <cell r="E1794" t="str">
            <v>ΑΧΛΑΔΙΑ ΝΤΕΒΕΣΙ (DEVECI)</v>
          </cell>
          <cell r="F1794" t="str">
            <v>B_4_1_1_1</v>
          </cell>
          <cell r="G1794" t="str">
            <v>Φυτείες για παραγωγή φρούτων εύκρατης προέλευσης</v>
          </cell>
          <cell r="H1794">
            <v>6750</v>
          </cell>
          <cell r="J1794" t="str">
            <v>Ναι</v>
          </cell>
          <cell r="K1794" t="str">
            <v>Όχι</v>
          </cell>
          <cell r="L1794" t="str">
            <v>ΌΧΙ</v>
          </cell>
          <cell r="O1794" t="str">
            <v/>
          </cell>
        </row>
        <row r="1795">
          <cell r="D1795" t="str">
            <v>ΜΗΛΟΕΙΔΗ67036</v>
          </cell>
          <cell r="E1795" t="str">
            <v>ΜΗΛΑ ΣΑΜΕΡ ΡΕΝΤ</v>
          </cell>
          <cell r="F1795" t="str">
            <v>B_4_1_1_1</v>
          </cell>
          <cell r="G1795" t="str">
            <v>Φυτείες για παραγωγή φρούτων εύκρατης προέλευσης</v>
          </cell>
          <cell r="H1795">
            <v>6750</v>
          </cell>
          <cell r="J1795" t="str">
            <v>Ναι</v>
          </cell>
          <cell r="K1795" t="str">
            <v>Όχι</v>
          </cell>
          <cell r="L1795" t="str">
            <v>ΌΧΙ</v>
          </cell>
          <cell r="O1795" t="str">
            <v/>
          </cell>
        </row>
        <row r="1796">
          <cell r="D1796" t="str">
            <v>ΜΗΛΟΕΙΔΗ67037</v>
          </cell>
          <cell r="E1796" t="str">
            <v>ΜΗΛΑ ΤΖΕΡΣΕΫ ΜΑΚ</v>
          </cell>
          <cell r="F1796" t="str">
            <v>B_4_1_1_1</v>
          </cell>
          <cell r="G1796" t="str">
            <v>Φυτείες για παραγωγή φρούτων εύκρατης προέλευσης</v>
          </cell>
          <cell r="H1796">
            <v>6750</v>
          </cell>
          <cell r="J1796" t="str">
            <v>Ναι</v>
          </cell>
          <cell r="K1796" t="str">
            <v>Όχι</v>
          </cell>
          <cell r="L1796" t="str">
            <v>ΌΧΙ</v>
          </cell>
          <cell r="O1796" t="str">
            <v/>
          </cell>
        </row>
        <row r="1797">
          <cell r="D1797" t="str">
            <v>ΜΗΛΟΕΙΔΗ67038</v>
          </cell>
          <cell r="E1797" t="str">
            <v>ΜΗΛΑ ΝΤΕΛΙΣΙΟΥΣ</v>
          </cell>
          <cell r="F1797" t="str">
            <v>B_4_1_1_1</v>
          </cell>
          <cell r="G1797" t="str">
            <v>Φυτείες για παραγωγή φρούτων εύκρατης προέλευσης</v>
          </cell>
          <cell r="H1797">
            <v>6750</v>
          </cell>
          <cell r="J1797" t="str">
            <v>Ναι</v>
          </cell>
          <cell r="K1797" t="str">
            <v>Όχι</v>
          </cell>
          <cell r="L1797" t="str">
            <v>ΌΧΙ</v>
          </cell>
          <cell r="O1797" t="str">
            <v/>
          </cell>
        </row>
        <row r="1798">
          <cell r="D1798" t="str">
            <v>ΜΗΛΟΕΙΔΗ67039</v>
          </cell>
          <cell r="E1798" t="str">
            <v>ΜΗΛΑ ΣΤΑΡΚΙΝΓΚ ΝΤΕΛΙΣΙΟΥΣ</v>
          </cell>
          <cell r="F1798" t="str">
            <v>B_4_1_1_1</v>
          </cell>
          <cell r="G1798" t="str">
            <v>Φυτείες για παραγωγή φρούτων εύκρατης προέλευσης</v>
          </cell>
          <cell r="H1798">
            <v>6750</v>
          </cell>
          <cell r="J1798" t="str">
            <v>Ναι</v>
          </cell>
          <cell r="K1798" t="str">
            <v>Όχι</v>
          </cell>
          <cell r="L1798" t="str">
            <v>ΌΧΙ</v>
          </cell>
          <cell r="O1798" t="str">
            <v/>
          </cell>
        </row>
        <row r="1799">
          <cell r="D1799" t="str">
            <v>ΜΗΛΟΕΙΔΗ67040</v>
          </cell>
          <cell r="E1799" t="str">
            <v>ΜΗΛΑ ΙΜΠΕΡΙΑΛ</v>
          </cell>
          <cell r="F1799" t="str">
            <v>B_4_1_1_1</v>
          </cell>
          <cell r="G1799" t="str">
            <v>Φυτείες για παραγωγή φρούτων εύκρατης προέλευσης</v>
          </cell>
          <cell r="H1799">
            <v>6750</v>
          </cell>
          <cell r="J1799" t="str">
            <v>Ναι</v>
          </cell>
          <cell r="K1799" t="str">
            <v>Όχι</v>
          </cell>
          <cell r="L1799" t="str">
            <v>ΌΧΙ</v>
          </cell>
          <cell r="O1799" t="str">
            <v/>
          </cell>
        </row>
        <row r="1800">
          <cell r="D1800" t="str">
            <v>ΜΗΛΟΕΙΔΗ67041</v>
          </cell>
          <cell r="E1800" t="str">
            <v>ΜΗΛΑ ΡΟΥΑΓΙΑΛ ΝΤΕΛΙΣΙΟΥΣ</v>
          </cell>
          <cell r="F1800" t="str">
            <v>B_4_1_1_1</v>
          </cell>
          <cell r="G1800" t="str">
            <v>Φυτείες για παραγωγή φρούτων εύκρατης προέλευσης</v>
          </cell>
          <cell r="H1800">
            <v>6750</v>
          </cell>
          <cell r="J1800" t="str">
            <v>Ναι</v>
          </cell>
          <cell r="K1800" t="str">
            <v>Όχι</v>
          </cell>
          <cell r="L1800" t="str">
            <v>ΌΧΙ</v>
          </cell>
          <cell r="O1800" t="str">
            <v/>
          </cell>
        </row>
        <row r="1801">
          <cell r="D1801" t="str">
            <v>ΜΗΛΟΕΙΔΗ67042</v>
          </cell>
          <cell r="E1801" t="str">
            <v>ΜΗΛΑ ΧΑΪ ΕΡΛΥ</v>
          </cell>
          <cell r="F1801" t="str">
            <v>B_4_1_1_1</v>
          </cell>
          <cell r="G1801" t="str">
            <v>Φυτείες για παραγωγή φρούτων εύκρατης προέλευσης</v>
          </cell>
          <cell r="H1801">
            <v>6750</v>
          </cell>
          <cell r="J1801" t="str">
            <v>Ναι</v>
          </cell>
          <cell r="K1801" t="str">
            <v>Όχι</v>
          </cell>
          <cell r="L1801" t="str">
            <v>ΌΧΙ</v>
          </cell>
          <cell r="O1801" t="str">
            <v/>
          </cell>
        </row>
        <row r="1802">
          <cell r="D1802" t="str">
            <v>ΜΗΛΟΕΙΔΗ67043</v>
          </cell>
          <cell r="E1802" t="str">
            <v>ΜΗΛΑ ΡΕΝΤ ΤΣΙΦ</v>
          </cell>
          <cell r="F1802" t="str">
            <v>B_4_1_1_1</v>
          </cell>
          <cell r="G1802" t="str">
            <v>Φυτείες για παραγωγή φρούτων εύκρατης προέλευσης</v>
          </cell>
          <cell r="H1802">
            <v>6750</v>
          </cell>
          <cell r="J1802" t="str">
            <v>Ναι</v>
          </cell>
          <cell r="K1802" t="str">
            <v>Όχι</v>
          </cell>
          <cell r="L1802" t="str">
            <v>ΌΧΙ</v>
          </cell>
          <cell r="O1802" t="str">
            <v/>
          </cell>
        </row>
        <row r="1803">
          <cell r="D1803" t="str">
            <v>ΜΗΛΟΕΙΔΗ67044</v>
          </cell>
          <cell r="E1803" t="str">
            <v>ΜΗΛΑ ΣΤΑΡΚΡΙΜΣΟΝ</v>
          </cell>
          <cell r="F1803" t="str">
            <v>B_4_1_1_1</v>
          </cell>
          <cell r="G1803" t="str">
            <v>Φυτείες για παραγωγή φρούτων εύκρατης προέλευσης</v>
          </cell>
          <cell r="H1803">
            <v>6750</v>
          </cell>
          <cell r="J1803" t="str">
            <v>Ναι</v>
          </cell>
          <cell r="K1803" t="str">
            <v>Όχι</v>
          </cell>
          <cell r="L1803" t="str">
            <v>ΌΧΙ</v>
          </cell>
          <cell r="O1803" t="str">
            <v/>
          </cell>
        </row>
        <row r="1804">
          <cell r="D1804" t="str">
            <v>ΜΗΛΟΕΙΔΗ67045</v>
          </cell>
          <cell r="E1804" t="str">
            <v>ΜΗΛΑ ΠΙΛΑΦΑ ΤΡΙΠΟΛΕΩΣ</v>
          </cell>
          <cell r="F1804" t="str">
            <v>B_4_1_1_1</v>
          </cell>
          <cell r="G1804" t="str">
            <v>Φυτείες για παραγωγή φρούτων εύκρατης προέλευσης</v>
          </cell>
          <cell r="H1804">
            <v>6750</v>
          </cell>
          <cell r="J1804" t="str">
            <v>Ναι</v>
          </cell>
          <cell r="K1804" t="str">
            <v>Όχι</v>
          </cell>
          <cell r="L1804" t="str">
            <v>ΌΧΙ</v>
          </cell>
          <cell r="O1804" t="str">
            <v/>
          </cell>
        </row>
        <row r="1805">
          <cell r="D1805" t="str">
            <v>ΜΗΛΟΕΙΔΗ67046</v>
          </cell>
          <cell r="E1805" t="str">
            <v>ΜΗΛΑ ΤΖΟΝΑΓΚΟΛΝΤ</v>
          </cell>
          <cell r="F1805" t="str">
            <v>B_4_1_1_1</v>
          </cell>
          <cell r="G1805" t="str">
            <v>Φυτείες για παραγωγή φρούτων εύκρατης προέλευσης</v>
          </cell>
          <cell r="H1805">
            <v>6750</v>
          </cell>
          <cell r="J1805" t="str">
            <v>Ναι</v>
          </cell>
          <cell r="K1805" t="str">
            <v>Όχι</v>
          </cell>
          <cell r="L1805" t="str">
            <v>ΌΧΙ</v>
          </cell>
          <cell r="O1805" t="str">
            <v/>
          </cell>
        </row>
        <row r="1806">
          <cell r="D1806" t="str">
            <v>ΜΗΛΟΕΙΔΗ67047</v>
          </cell>
          <cell r="E1806" t="str">
            <v>ΜΗΛΑ ΓΚΡΑΝΥ ΣΜΙΘ</v>
          </cell>
          <cell r="F1806" t="str">
            <v>B_4_1_1_1</v>
          </cell>
          <cell r="G1806" t="str">
            <v>Φυτείες για παραγωγή φρούτων εύκρατης προέλευσης</v>
          </cell>
          <cell r="H1806">
            <v>6750</v>
          </cell>
          <cell r="J1806" t="str">
            <v>Ναι</v>
          </cell>
          <cell r="K1806" t="str">
            <v>Όχι</v>
          </cell>
          <cell r="L1806" t="str">
            <v>ΌΧΙ</v>
          </cell>
          <cell r="O1806" t="str">
            <v/>
          </cell>
        </row>
        <row r="1807">
          <cell r="D1807" t="str">
            <v>ΜΗΛΟΕΙΔΗ67048</v>
          </cell>
          <cell r="E1807" t="str">
            <v>ΜΗΛΑ ΓΚΟΛΝΤΕΝ</v>
          </cell>
          <cell r="F1807" t="str">
            <v>B_4_1_1_1</v>
          </cell>
          <cell r="G1807" t="str">
            <v>Φυτείες για παραγωγή φρούτων εύκρατης προέλευσης</v>
          </cell>
          <cell r="H1807">
            <v>6750</v>
          </cell>
          <cell r="J1807" t="str">
            <v>Ναι</v>
          </cell>
          <cell r="K1807" t="str">
            <v>Όχι</v>
          </cell>
          <cell r="L1807" t="str">
            <v>ΌΧΙ</v>
          </cell>
          <cell r="O1807" t="str">
            <v/>
          </cell>
        </row>
        <row r="1808">
          <cell r="D1808" t="str">
            <v>ΜΗΛΟΕΙΔΗ67049</v>
          </cell>
          <cell r="E1808" t="str">
            <v>ΜΗΛΑ ΜΟΥΤΣΟΥ</v>
          </cell>
          <cell r="F1808" t="str">
            <v>B_4_1_1_1</v>
          </cell>
          <cell r="G1808" t="str">
            <v>Φυτείες για παραγωγή φρούτων εύκρατης προέλευσης</v>
          </cell>
          <cell r="H1808">
            <v>6750</v>
          </cell>
          <cell r="J1808" t="str">
            <v>Ναι</v>
          </cell>
          <cell r="K1808" t="str">
            <v>Όχι</v>
          </cell>
          <cell r="L1808" t="str">
            <v>ΌΧΙ</v>
          </cell>
          <cell r="O1808" t="str">
            <v/>
          </cell>
        </row>
        <row r="1809">
          <cell r="D1809" t="str">
            <v>ΜΗΛΟΕΙΔΗ67050</v>
          </cell>
          <cell r="E1809" t="str">
            <v>ΜΗΛΑ ΡΕΝΕΤΤΕΣ</v>
          </cell>
          <cell r="F1809" t="str">
            <v>B_4_1_1_1</v>
          </cell>
          <cell r="G1809" t="str">
            <v>Φυτείες για παραγωγή φρούτων εύκρατης προέλευσης</v>
          </cell>
          <cell r="H1809">
            <v>6750</v>
          </cell>
          <cell r="J1809" t="str">
            <v>Ναι</v>
          </cell>
          <cell r="K1809" t="str">
            <v>Όχι</v>
          </cell>
          <cell r="L1809" t="str">
            <v>ΌΧΙ</v>
          </cell>
          <cell r="O1809" t="str">
            <v/>
          </cell>
        </row>
        <row r="1810">
          <cell r="D1810" t="str">
            <v>ΜΗΛΟΕΙΔΗ67051</v>
          </cell>
          <cell r="E1810" t="str">
            <v>ΜΗΛΑ ΜΠΕΛΦΟΡ</v>
          </cell>
          <cell r="F1810" t="str">
            <v>B_4_1_1_1</v>
          </cell>
          <cell r="G1810" t="str">
            <v>Φυτείες για παραγωγή φρούτων εύκρατης προέλευσης</v>
          </cell>
          <cell r="H1810">
            <v>6750</v>
          </cell>
          <cell r="J1810" t="str">
            <v>Ναι</v>
          </cell>
          <cell r="K1810" t="str">
            <v>Όχι</v>
          </cell>
          <cell r="L1810" t="str">
            <v>ΌΧΙ</v>
          </cell>
          <cell r="O1810" t="str">
            <v/>
          </cell>
        </row>
        <row r="1811">
          <cell r="D1811" t="str">
            <v>ΜΗΛΟΕΙΔΗ67052</v>
          </cell>
          <cell r="E1811" t="str">
            <v>ΜΗΛΑ ΤΖΟΝΑΘΑΝ,  ΑΜΕΡΙΚ.</v>
          </cell>
          <cell r="F1811" t="str">
            <v>B_4_1_1_1</v>
          </cell>
          <cell r="G1811" t="str">
            <v>Φυτείες για παραγωγή φρούτων εύκρατης προέλευσης</v>
          </cell>
          <cell r="H1811">
            <v>6750</v>
          </cell>
          <cell r="J1811" t="str">
            <v>Ναι</v>
          </cell>
          <cell r="K1811" t="str">
            <v>Όχι</v>
          </cell>
          <cell r="L1811" t="str">
            <v>ΌΧΙ</v>
          </cell>
          <cell r="O1811" t="str">
            <v/>
          </cell>
        </row>
        <row r="1812">
          <cell r="D1812" t="str">
            <v>ΜΗΛΟΕΙΔΗ67053</v>
          </cell>
          <cell r="E1812" t="str">
            <v>ΜΗΛΑ ΚΑΡΛΑΤ</v>
          </cell>
          <cell r="F1812" t="str">
            <v>B_4_1_1_1</v>
          </cell>
          <cell r="G1812" t="str">
            <v>Φυτείες για παραγωγή φρούτων εύκρατης προέλευσης</v>
          </cell>
          <cell r="H1812">
            <v>6750</v>
          </cell>
          <cell r="J1812" t="str">
            <v>Ναι</v>
          </cell>
          <cell r="K1812" t="str">
            <v>Όχι</v>
          </cell>
          <cell r="L1812" t="str">
            <v>ΌΧΙ</v>
          </cell>
          <cell r="O1812" t="str">
            <v/>
          </cell>
        </row>
        <row r="1813">
          <cell r="D1813" t="str">
            <v>ΜΗΛΟΕΙΔΗ67054</v>
          </cell>
          <cell r="E1813" t="str">
            <v>ΜΗΛΑ ΜΕΓΑΣ ΑΛΕΞΑΝΔΡΟΣ</v>
          </cell>
          <cell r="F1813" t="str">
            <v>B_4_1_1_1</v>
          </cell>
          <cell r="G1813" t="str">
            <v>Φυτείες για παραγωγή φρούτων εύκρατης προέλευσης</v>
          </cell>
          <cell r="H1813">
            <v>6750</v>
          </cell>
          <cell r="J1813" t="str">
            <v>Ναι</v>
          </cell>
          <cell r="K1813" t="str">
            <v>Όχι</v>
          </cell>
          <cell r="L1813" t="str">
            <v>ΌΧΙ</v>
          </cell>
          <cell r="O1813" t="str">
            <v/>
          </cell>
        </row>
        <row r="1814">
          <cell r="D1814" t="str">
            <v>ΜΗΛΟΕΙΔΗ67055</v>
          </cell>
          <cell r="E1814" t="str">
            <v>ΜΗΛΑ ΜΠΛΑΚ ΜΠΕΝ ΝΤΕΪΒΙΣ</v>
          </cell>
          <cell r="F1814" t="str">
            <v>B_4_1_1_1</v>
          </cell>
          <cell r="G1814" t="str">
            <v>Φυτείες για παραγωγή φρούτων εύκρατης προέλευσης</v>
          </cell>
          <cell r="H1814">
            <v>6750</v>
          </cell>
          <cell r="J1814" t="str">
            <v>Ναι</v>
          </cell>
          <cell r="K1814" t="str">
            <v>Όχι</v>
          </cell>
          <cell r="L1814" t="str">
            <v>ΌΧΙ</v>
          </cell>
          <cell r="O1814" t="str">
            <v/>
          </cell>
        </row>
        <row r="1815">
          <cell r="D1815" t="str">
            <v>ΜΗΛΟΕΙΔΗ67056</v>
          </cell>
          <cell r="E1815" t="str">
            <v>ΜΗΛΑ ΚΙΝΓΚ ΝΤΕΪΒΙΝΤ</v>
          </cell>
          <cell r="F1815" t="str">
            <v>B_4_1_1_1</v>
          </cell>
          <cell r="G1815" t="str">
            <v>Φυτείες για παραγωγή φρούτων εύκρατης προέλευσης</v>
          </cell>
          <cell r="H1815">
            <v>6750</v>
          </cell>
          <cell r="J1815" t="str">
            <v>Ναι</v>
          </cell>
          <cell r="K1815" t="str">
            <v>Όχι</v>
          </cell>
          <cell r="L1815" t="str">
            <v>ΌΧΙ</v>
          </cell>
          <cell r="O1815" t="str">
            <v/>
          </cell>
        </row>
        <row r="1816">
          <cell r="D1816" t="str">
            <v>ΜΗΛΟΕΙΔΗ67057</v>
          </cell>
          <cell r="E1816" t="str">
            <v>ΜΗΛΑ ΠΡΩΙΜΟ ΦΙΡΙΚΙ</v>
          </cell>
          <cell r="F1816" t="str">
            <v>B_4_1_1_1</v>
          </cell>
          <cell r="G1816" t="str">
            <v>Φυτείες για παραγωγή φρούτων εύκρατης προέλευσης</v>
          </cell>
          <cell r="H1816">
            <v>6750</v>
          </cell>
          <cell r="J1816" t="str">
            <v>Ναι</v>
          </cell>
          <cell r="K1816" t="str">
            <v>Όχι</v>
          </cell>
          <cell r="L1816" t="str">
            <v>ΌΧΙ</v>
          </cell>
          <cell r="O1816" t="str">
            <v/>
          </cell>
        </row>
        <row r="1817">
          <cell r="D1817" t="str">
            <v>ΜΗΛΟΕΙΔΗ67058</v>
          </cell>
          <cell r="E1817" t="str">
            <v>ΜΗΛΑ ΟΨΙΜΟ ΦΙΡΙΚΙ</v>
          </cell>
          <cell r="F1817" t="str">
            <v>B_4_1_1_1</v>
          </cell>
          <cell r="G1817" t="str">
            <v>Φυτείες για παραγωγή φρούτων εύκρατης προέλευσης</v>
          </cell>
          <cell r="H1817">
            <v>6750</v>
          </cell>
          <cell r="J1817" t="str">
            <v>Ναι</v>
          </cell>
          <cell r="K1817" t="str">
            <v>Όχι</v>
          </cell>
          <cell r="L1817" t="str">
            <v>ΌΧΙ</v>
          </cell>
          <cell r="O1817" t="str">
            <v/>
          </cell>
        </row>
        <row r="1818">
          <cell r="D1818" t="str">
            <v>ΜΗΛΟΕΙΔΗ67059</v>
          </cell>
          <cell r="E1818" t="str">
            <v>ΜΗΛΑ ΚΥΔΩΝΟΜΗΛΑ</v>
          </cell>
          <cell r="F1818" t="str">
            <v>B_4_1_1_1</v>
          </cell>
          <cell r="G1818" t="str">
            <v>Φυτείες για παραγωγή φρούτων εύκρατης προέλευσης</v>
          </cell>
          <cell r="H1818">
            <v>6750</v>
          </cell>
          <cell r="J1818" t="str">
            <v>Ναι</v>
          </cell>
          <cell r="K1818" t="str">
            <v>Όχι</v>
          </cell>
          <cell r="L1818" t="str">
            <v>ΌΧΙ</v>
          </cell>
          <cell r="O1818" t="str">
            <v/>
          </cell>
        </row>
        <row r="1819">
          <cell r="D1819" t="str">
            <v>ΜΗΛΟΕΙΔΗ67060</v>
          </cell>
          <cell r="E1819" t="str">
            <v>ΜΗΛΑ ΝΤΙ ΚΟΜΕΡΣ</v>
          </cell>
          <cell r="F1819" t="str">
            <v>B_4_1_1_1</v>
          </cell>
          <cell r="G1819" t="str">
            <v>Φυτείες για παραγωγή φρούτων εύκρατης προέλευσης</v>
          </cell>
          <cell r="H1819">
            <v>6750</v>
          </cell>
          <cell r="J1819" t="str">
            <v>Ναι</v>
          </cell>
          <cell r="K1819" t="str">
            <v>Όχι</v>
          </cell>
          <cell r="L1819" t="str">
            <v>ΌΧΙ</v>
          </cell>
          <cell r="O1819" t="str">
            <v/>
          </cell>
        </row>
        <row r="1820">
          <cell r="D1820" t="str">
            <v>ΜΗΛΟΕΙΔΗ67061</v>
          </cell>
          <cell r="E1820" t="str">
            <v>ΜΗΛΑ ΣΚΙΟΥΠΙΑ</v>
          </cell>
          <cell r="F1820" t="str">
            <v>B_4_1_1_1</v>
          </cell>
          <cell r="G1820" t="str">
            <v>Φυτείες για παραγωγή φρούτων εύκρατης προέλευσης</v>
          </cell>
          <cell r="H1820">
            <v>6750</v>
          </cell>
          <cell r="J1820" t="str">
            <v>Ναι</v>
          </cell>
          <cell r="K1820" t="str">
            <v>Όχι</v>
          </cell>
          <cell r="L1820" t="str">
            <v>ΌΧΙ</v>
          </cell>
          <cell r="O1820" t="str">
            <v/>
          </cell>
        </row>
        <row r="1821">
          <cell r="D1821" t="str">
            <v>ΜΗΛΟΕΙΔΗ67062</v>
          </cell>
          <cell r="E1821" t="str">
            <v>ΜΗΛΑ ΛΟΙΠ. ΠΟΙΚΙΛΙΩΝ</v>
          </cell>
          <cell r="F1821" t="str">
            <v>B_4_1_1_1</v>
          </cell>
          <cell r="G1821" t="str">
            <v>Φυτείες για παραγωγή φρούτων εύκρατης προέλευσης</v>
          </cell>
          <cell r="H1821">
            <v>6750</v>
          </cell>
          <cell r="J1821" t="str">
            <v>Ναι</v>
          </cell>
          <cell r="K1821" t="str">
            <v>Όχι</v>
          </cell>
          <cell r="L1821" t="str">
            <v>ΌΧΙ</v>
          </cell>
          <cell r="O1821" t="str">
            <v/>
          </cell>
        </row>
        <row r="1822">
          <cell r="D1822" t="str">
            <v>ΜΗΛΟΕΙΔΗ67063</v>
          </cell>
          <cell r="E1822" t="str">
            <v>ΜΗΛΑ ΕΓΧΩΡ. ΔΙΑΦΟΡ. ΠΕΡΙΟΧ.</v>
          </cell>
          <cell r="F1822" t="str">
            <v>B_4_1_1_1</v>
          </cell>
          <cell r="G1822" t="str">
            <v>Φυτείες για παραγωγή φρούτων εύκρατης προέλευσης</v>
          </cell>
          <cell r="H1822">
            <v>6750</v>
          </cell>
          <cell r="J1822" t="str">
            <v>Ναι</v>
          </cell>
          <cell r="K1822" t="str">
            <v>Όχι</v>
          </cell>
          <cell r="L1822" t="str">
            <v>ΌΧΙ</v>
          </cell>
          <cell r="O1822" t="str">
            <v/>
          </cell>
        </row>
        <row r="1823">
          <cell r="D1823" t="str">
            <v>ΜΗΛΟΕΙΔΗ67064</v>
          </cell>
          <cell r="E1823" t="str">
            <v>ΜΗΛΑ ΑΚΑΝΕ</v>
          </cell>
          <cell r="F1823" t="str">
            <v>B_4_1_1_1</v>
          </cell>
          <cell r="G1823" t="str">
            <v>Φυτείες για παραγωγή φρούτων εύκρατης προέλευσης</v>
          </cell>
          <cell r="H1823">
            <v>6750</v>
          </cell>
          <cell r="J1823" t="str">
            <v>Ναι</v>
          </cell>
          <cell r="K1823" t="str">
            <v>Όχι</v>
          </cell>
          <cell r="L1823" t="str">
            <v>ΌΧΙ</v>
          </cell>
          <cell r="O1823" t="str">
            <v/>
          </cell>
        </row>
        <row r="1824">
          <cell r="D1824" t="str">
            <v>ΜΗΛΟΕΙΔΗ67065</v>
          </cell>
          <cell r="E1824" t="str">
            <v>ΜΗΛΑ ΝΤΑΜΠΛΡΕΝΤ</v>
          </cell>
          <cell r="F1824" t="str">
            <v>B_4_1_1_1</v>
          </cell>
          <cell r="G1824" t="str">
            <v>Φυτείες για παραγωγή φρούτων εύκρατης προέλευσης</v>
          </cell>
          <cell r="H1824">
            <v>6750</v>
          </cell>
          <cell r="J1824" t="str">
            <v>Ναι</v>
          </cell>
          <cell r="K1824" t="str">
            <v>Όχι</v>
          </cell>
          <cell r="L1824" t="str">
            <v>ΌΧΙ</v>
          </cell>
          <cell r="O1824" t="str">
            <v/>
          </cell>
        </row>
        <row r="1825">
          <cell r="D1825" t="str">
            <v>ΜΗΛΟΕΙΔΗ67066</v>
          </cell>
          <cell r="E1825" t="str">
            <v>ΜΗΛΑ ΤΟΠ ΡΕΝΤ</v>
          </cell>
          <cell r="F1825" t="str">
            <v>B_4_1_1_1</v>
          </cell>
          <cell r="G1825" t="str">
            <v>Φυτείες για παραγωγή φρούτων εύκρατης προέλευσης</v>
          </cell>
          <cell r="H1825">
            <v>6750</v>
          </cell>
          <cell r="J1825" t="str">
            <v>Ναι</v>
          </cell>
          <cell r="K1825" t="str">
            <v>Όχι</v>
          </cell>
          <cell r="L1825" t="str">
            <v>ΌΧΙ</v>
          </cell>
          <cell r="O1825" t="str">
            <v/>
          </cell>
        </row>
        <row r="1826">
          <cell r="D1826" t="str">
            <v>ΜΗΛΟΕΙΔΗ67067</v>
          </cell>
          <cell r="E1826" t="str">
            <v>ΜΗΛΑ ΜΕΛΡΟΟΥΖ</v>
          </cell>
          <cell r="F1826" t="str">
            <v>B_4_1_1_1</v>
          </cell>
          <cell r="G1826" t="str">
            <v>Φυτείες για παραγωγή φρούτων εύκρατης προέλευσης</v>
          </cell>
          <cell r="H1826">
            <v>6750</v>
          </cell>
          <cell r="J1826" t="str">
            <v>Ναι</v>
          </cell>
          <cell r="K1826" t="str">
            <v>Όχι</v>
          </cell>
          <cell r="L1826" t="str">
            <v>ΌΧΙ</v>
          </cell>
          <cell r="O1826" t="str">
            <v/>
          </cell>
        </row>
        <row r="1827">
          <cell r="D1827" t="str">
            <v>ΜΗΛΟΕΙΔΗ67068</v>
          </cell>
          <cell r="E1827" t="str">
            <v>ΜΗΛΑ ΚΟΥΠΕΡ</v>
          </cell>
          <cell r="F1827" t="str">
            <v>B_4_1_1_1</v>
          </cell>
          <cell r="G1827" t="str">
            <v>Φυτείες για παραγωγή φρούτων εύκρατης προέλευσης</v>
          </cell>
          <cell r="H1827">
            <v>6750</v>
          </cell>
          <cell r="J1827" t="str">
            <v>Ναι</v>
          </cell>
          <cell r="K1827" t="str">
            <v>Όχι</v>
          </cell>
          <cell r="L1827" t="str">
            <v>ΌΧΙ</v>
          </cell>
          <cell r="O1827" t="str">
            <v/>
          </cell>
        </row>
        <row r="1828">
          <cell r="D1828" t="str">
            <v>ΜΗΛΟΕΙΔΗ67069</v>
          </cell>
          <cell r="E1828" t="str">
            <v>ΜΗΛΑ ΟΖΑΡΚ ΓΚΟΛΝΤ</v>
          </cell>
          <cell r="F1828" t="str">
            <v>B_4_1_1_1</v>
          </cell>
          <cell r="G1828" t="str">
            <v>Φυτείες για παραγωγή φρούτων εύκρατης προέλευσης</v>
          </cell>
          <cell r="H1828">
            <v>6750</v>
          </cell>
          <cell r="J1828" t="str">
            <v>Ναι</v>
          </cell>
          <cell r="K1828" t="str">
            <v>Όχι</v>
          </cell>
          <cell r="L1828" t="str">
            <v>ΌΧΙ</v>
          </cell>
          <cell r="O1828" t="str">
            <v/>
          </cell>
        </row>
        <row r="1829">
          <cell r="D1829" t="str">
            <v>ΜΗΛΟΕΙΔΗ67070</v>
          </cell>
          <cell r="E1829" t="str">
            <v>ΜΗΛΑ ΝΕΡΟ ΡΕΝΤ ΡΟΟΥΜ</v>
          </cell>
          <cell r="F1829" t="str">
            <v>B_4_1_1_1</v>
          </cell>
          <cell r="G1829" t="str">
            <v>Φυτείες για παραγωγή φρούτων εύκρατης προέλευσης</v>
          </cell>
          <cell r="H1829">
            <v>6750</v>
          </cell>
          <cell r="J1829" t="str">
            <v>Ναι</v>
          </cell>
          <cell r="K1829" t="str">
            <v>Όχι</v>
          </cell>
          <cell r="L1829" t="str">
            <v>ΌΧΙ</v>
          </cell>
          <cell r="O1829" t="str">
            <v/>
          </cell>
        </row>
        <row r="1830">
          <cell r="D1830" t="str">
            <v>ΜΗΛΟΕΙΔΗ67071</v>
          </cell>
          <cell r="E1830" t="str">
            <v>ΜΗΛΑ ΟΡΕΓΚΟΝ</v>
          </cell>
          <cell r="F1830" t="str">
            <v>B_4_1_1_1</v>
          </cell>
          <cell r="G1830" t="str">
            <v>Φυτείες για παραγωγή φρούτων εύκρατης προέλευσης</v>
          </cell>
          <cell r="H1830">
            <v>6750</v>
          </cell>
          <cell r="J1830" t="str">
            <v>Ναι</v>
          </cell>
          <cell r="K1830" t="str">
            <v>Όχι</v>
          </cell>
          <cell r="L1830" t="str">
            <v>ΌΧΙ</v>
          </cell>
          <cell r="O1830" t="str">
            <v/>
          </cell>
        </row>
        <row r="1831">
          <cell r="D1831" t="str">
            <v>ΜΗΛΟΕΙΔΗ67072</v>
          </cell>
          <cell r="E1831" t="str">
            <v>ΜΗΛΑ ΧΑΪΕΝ</v>
          </cell>
          <cell r="F1831" t="str">
            <v>B_4_1_1_1</v>
          </cell>
          <cell r="G1831" t="str">
            <v>Φυτείες για παραγωγή φρούτων εύκρατης προέλευσης</v>
          </cell>
          <cell r="H1831">
            <v>6750</v>
          </cell>
          <cell r="J1831" t="str">
            <v>Ναι</v>
          </cell>
          <cell r="K1831" t="str">
            <v>Όχι</v>
          </cell>
          <cell r="L1831" t="str">
            <v>ΌΧΙ</v>
          </cell>
          <cell r="O1831" t="str">
            <v/>
          </cell>
        </row>
        <row r="1832">
          <cell r="D1832" t="str">
            <v>ΜΗΛΟΕΙΔΗ67073</v>
          </cell>
          <cell r="E1832" t="str">
            <v>ΜΗΛΑ ΓΚΟΛΝΤΕΝ Β</v>
          </cell>
          <cell r="F1832" t="str">
            <v>B_4_1_1_1</v>
          </cell>
          <cell r="G1832" t="str">
            <v>Φυτείες για παραγωγή φρούτων εύκρατης προέλευσης</v>
          </cell>
          <cell r="H1832">
            <v>6750</v>
          </cell>
          <cell r="J1832" t="str">
            <v>Ναι</v>
          </cell>
          <cell r="K1832" t="str">
            <v>Όχι</v>
          </cell>
          <cell r="L1832" t="str">
            <v>ΌΧΙ</v>
          </cell>
          <cell r="O1832" t="str">
            <v/>
          </cell>
        </row>
        <row r="1833">
          <cell r="D1833" t="str">
            <v>ΜΗΛΟΕΙΔΗ67074</v>
          </cell>
          <cell r="E1833" t="str">
            <v>ΜΗΛΑ ΤΖΟ ΚΑΡΕΝΤ</v>
          </cell>
          <cell r="F1833" t="str">
            <v>B_4_1_1_1</v>
          </cell>
          <cell r="G1833" t="str">
            <v>Φυτείες για παραγωγή φρούτων εύκρατης προέλευσης</v>
          </cell>
          <cell r="H1833">
            <v>6750</v>
          </cell>
          <cell r="J1833" t="str">
            <v>Ναι</v>
          </cell>
          <cell r="K1833" t="str">
            <v>Όχι</v>
          </cell>
          <cell r="L1833" t="str">
            <v>ΌΧΙ</v>
          </cell>
          <cell r="O1833" t="str">
            <v/>
          </cell>
        </row>
        <row r="1834">
          <cell r="D1834" t="str">
            <v>ΜΗΛΟΕΙΔΗ67075</v>
          </cell>
          <cell r="E1834" t="str">
            <v>ΜΗΛΑ ΜΟΝΤΙΑΛ ΓΚΑΛΑ</v>
          </cell>
          <cell r="F1834" t="str">
            <v>B_4_1_1_1</v>
          </cell>
          <cell r="G1834" t="str">
            <v>Φυτείες για παραγωγή φρούτων εύκρατης προέλευσης</v>
          </cell>
          <cell r="H1834">
            <v>6750</v>
          </cell>
          <cell r="J1834" t="str">
            <v>Ναι</v>
          </cell>
          <cell r="K1834" t="str">
            <v>Όχι</v>
          </cell>
          <cell r="L1834" t="str">
            <v>ΌΧΙ</v>
          </cell>
          <cell r="O1834" t="str">
            <v/>
          </cell>
        </row>
        <row r="1835">
          <cell r="D1835" t="str">
            <v>ΜΗΛΟΕΙΔΗ67076</v>
          </cell>
          <cell r="E1835" t="str">
            <v>ΜΗΛΑ ΓΟΥΕΛΣΠΟΥΡ</v>
          </cell>
          <cell r="F1835" t="str">
            <v>B_4_1_1_1</v>
          </cell>
          <cell r="G1835" t="str">
            <v>Φυτείες για παραγωγή φρούτων εύκρατης προέλευσης</v>
          </cell>
          <cell r="H1835">
            <v>6750</v>
          </cell>
          <cell r="J1835" t="str">
            <v>Ναι</v>
          </cell>
          <cell r="K1835" t="str">
            <v>Όχι</v>
          </cell>
          <cell r="L1835" t="str">
            <v>ΌΧΙ</v>
          </cell>
          <cell r="O1835" t="str">
            <v/>
          </cell>
        </row>
        <row r="1836">
          <cell r="D1836" t="str">
            <v>ΜΗΛΟΕΙΔΗ67077</v>
          </cell>
          <cell r="E1836" t="str">
            <v>ΜΗΛΑ ΦΟΥΤΖΙ</v>
          </cell>
          <cell r="F1836" t="str">
            <v>B_4_1_1_1</v>
          </cell>
          <cell r="G1836" t="str">
            <v>Φυτείες για παραγωγή φρούτων εύκρατης προέλευσης</v>
          </cell>
          <cell r="H1836">
            <v>6750</v>
          </cell>
          <cell r="J1836" t="str">
            <v>Ναι</v>
          </cell>
          <cell r="K1836" t="str">
            <v>Όχι</v>
          </cell>
          <cell r="L1836" t="str">
            <v>ΌΧΙ</v>
          </cell>
          <cell r="O1836" t="str">
            <v/>
          </cell>
        </row>
        <row r="1837">
          <cell r="D1837" t="str">
            <v>ΜΗΛΟΕΙΔΗ67078</v>
          </cell>
          <cell r="E1837" t="str">
            <v>ΜΗΛΑ ΜΟΛΙΟ ΝΤΕΛΙΣΙΟΥΣ</v>
          </cell>
          <cell r="F1837" t="str">
            <v>B_4_1_1_1</v>
          </cell>
          <cell r="G1837" t="str">
            <v>Φυτείες για παραγωγή φρούτων εύκρατης προέλευσης</v>
          </cell>
          <cell r="H1837">
            <v>6750</v>
          </cell>
          <cell r="J1837" t="str">
            <v>Ναι</v>
          </cell>
          <cell r="K1837" t="str">
            <v>Όχι</v>
          </cell>
          <cell r="L1837" t="str">
            <v>ΌΧΙ</v>
          </cell>
          <cell r="O1837" t="str">
            <v/>
          </cell>
        </row>
        <row r="1838">
          <cell r="D1838" t="str">
            <v>ΜΗΛΟΕΙΔΗ67079</v>
          </cell>
          <cell r="E1838" t="str">
            <v>ΜΗΛΑ ΡΟΥΑΓΙΑΛ ΓΚΑΛΑ</v>
          </cell>
          <cell r="F1838" t="str">
            <v>B_4_1_1_1</v>
          </cell>
          <cell r="G1838" t="str">
            <v>Φυτείες για παραγωγή φρούτων εύκρατης προέλευσης</v>
          </cell>
          <cell r="H1838">
            <v>6750</v>
          </cell>
          <cell r="J1838" t="str">
            <v>Ναι</v>
          </cell>
          <cell r="K1838" t="str">
            <v>Όχι</v>
          </cell>
          <cell r="L1838" t="str">
            <v>ΌΧΙ</v>
          </cell>
          <cell r="O1838" t="str">
            <v/>
          </cell>
        </row>
        <row r="1839">
          <cell r="D1839" t="str">
            <v>ΜΗΛΟΕΙΔΗ67080</v>
          </cell>
          <cell r="E1839" t="str">
            <v>ΜΗΛΑ ΡΟΥΑΓ.ΓΚΑΛΑ ΠΕΔ</v>
          </cell>
          <cell r="F1839" t="str">
            <v>B_4_1_1_1</v>
          </cell>
          <cell r="G1839" t="str">
            <v>Φυτείες για παραγωγή φρούτων εύκρατης προέλευσης</v>
          </cell>
          <cell r="H1839">
            <v>6750</v>
          </cell>
          <cell r="J1839" t="str">
            <v>Ναι</v>
          </cell>
          <cell r="K1839" t="str">
            <v>Όχι</v>
          </cell>
          <cell r="L1839" t="str">
            <v>ΌΧΙ</v>
          </cell>
          <cell r="O1839" t="str">
            <v/>
          </cell>
        </row>
        <row r="1840">
          <cell r="D1840" t="str">
            <v>ΜΗΛΟΕΙΔΗ67081</v>
          </cell>
          <cell r="E1840" t="str">
            <v>ΜΗΛΑ ΣΚΑΪ ΛΑΪΝ</v>
          </cell>
          <cell r="F1840" t="str">
            <v>B_4_1_1_1</v>
          </cell>
          <cell r="G1840" t="str">
            <v>Φυτείες για παραγωγή φρούτων εύκρατης προέλευσης</v>
          </cell>
          <cell r="H1840">
            <v>6750</v>
          </cell>
          <cell r="J1840" t="str">
            <v>Ναι</v>
          </cell>
          <cell r="K1840" t="str">
            <v>Όχι</v>
          </cell>
          <cell r="L1840" t="str">
            <v>ΌΧΙ</v>
          </cell>
          <cell r="O1840" t="str">
            <v/>
          </cell>
        </row>
        <row r="1841">
          <cell r="D1841" t="str">
            <v>ΜΗΛΟΕΙΔΗ67082</v>
          </cell>
          <cell r="E1841" t="str">
            <v>ΜΗΛΑ ΠΡΙΜΑ</v>
          </cell>
          <cell r="F1841" t="str">
            <v>B_4_1_1_1</v>
          </cell>
          <cell r="G1841" t="str">
            <v>Φυτείες για παραγωγή φρούτων εύκρατης προέλευσης</v>
          </cell>
          <cell r="H1841">
            <v>6750</v>
          </cell>
          <cell r="J1841" t="str">
            <v>Ναι</v>
          </cell>
          <cell r="K1841" t="str">
            <v>Όχι</v>
          </cell>
          <cell r="L1841" t="str">
            <v>ΌΧΙ</v>
          </cell>
          <cell r="O1841" t="str">
            <v/>
          </cell>
        </row>
        <row r="1842">
          <cell r="D1842" t="str">
            <v>ΜΗΛΟΕΙΔΗ67083</v>
          </cell>
          <cell r="E1842" t="str">
            <v>ΜΗΛΑ ΣΜΟΥΘΙ ΓΚΟΛΝΤΕΝ</v>
          </cell>
          <cell r="F1842" t="str">
            <v>B_4_1_1_1</v>
          </cell>
          <cell r="G1842" t="str">
            <v>Φυτείες για παραγωγή φρούτων εύκρατης προέλευσης</v>
          </cell>
          <cell r="H1842">
            <v>6750</v>
          </cell>
          <cell r="J1842" t="str">
            <v>Ναι</v>
          </cell>
          <cell r="K1842" t="str">
            <v>Όχι</v>
          </cell>
          <cell r="L1842" t="str">
            <v>ΌΧΙ</v>
          </cell>
          <cell r="O1842" t="str">
            <v/>
          </cell>
        </row>
        <row r="1843">
          <cell r="D1843" t="str">
            <v>ΜΗΛΟΕΙΔΗ67084</v>
          </cell>
          <cell r="E1843" t="str">
            <v>ΜΗΛΑ ΝΤΕ ΡΟΜΑ</v>
          </cell>
          <cell r="F1843" t="str">
            <v>B_4_1_1_1</v>
          </cell>
          <cell r="G1843" t="str">
            <v>Φυτείες για παραγωγή φρούτων εύκρατης προέλευσης</v>
          </cell>
          <cell r="H1843">
            <v>6750</v>
          </cell>
          <cell r="J1843" t="str">
            <v>Ναι</v>
          </cell>
          <cell r="K1843" t="str">
            <v>Όχι</v>
          </cell>
          <cell r="L1843" t="str">
            <v>ΌΧΙ</v>
          </cell>
          <cell r="O1843" t="str">
            <v/>
          </cell>
        </row>
        <row r="1844">
          <cell r="D1844" t="str">
            <v>ΜΗΛΟΕΙΔΗ67085</v>
          </cell>
          <cell r="E1844" t="str">
            <v>ΜΗΛΑ ΣΚΑΡΛΕΤ</v>
          </cell>
          <cell r="F1844" t="str">
            <v>B_4_1_1_1</v>
          </cell>
          <cell r="G1844" t="str">
            <v>Φυτείες για παραγωγή φρούτων εύκρατης προέλευσης</v>
          </cell>
          <cell r="H1844">
            <v>6750</v>
          </cell>
          <cell r="J1844" t="str">
            <v>Ναι</v>
          </cell>
          <cell r="K1844" t="str">
            <v>Όχι</v>
          </cell>
          <cell r="L1844" t="str">
            <v>ΌΧΙ</v>
          </cell>
          <cell r="O1844" t="str">
            <v/>
          </cell>
        </row>
        <row r="1845">
          <cell r="D1845" t="str">
            <v>ΜΗΛΟΕΙΔΗ67086</v>
          </cell>
          <cell r="E1845" t="str">
            <v>ΜΗΛΑ ΓΚΑΛΑ</v>
          </cell>
          <cell r="F1845" t="str">
            <v>B_4_1_1_1</v>
          </cell>
          <cell r="G1845" t="str">
            <v>Φυτείες για παραγωγή φρούτων εύκρατης προέλευσης</v>
          </cell>
          <cell r="H1845">
            <v>6750</v>
          </cell>
          <cell r="J1845" t="str">
            <v>Ναι</v>
          </cell>
          <cell r="K1845" t="str">
            <v>Όχι</v>
          </cell>
          <cell r="L1845" t="str">
            <v>ΌΧΙ</v>
          </cell>
          <cell r="O1845" t="str">
            <v/>
          </cell>
        </row>
        <row r="1846">
          <cell r="D1846" t="str">
            <v>ΜΗΛΟΕΙΔΗ67087</v>
          </cell>
          <cell r="E1846" t="str">
            <v>ΜΗΛΑ PINK LADY</v>
          </cell>
          <cell r="F1846" t="str">
            <v>B_4_1_1_1</v>
          </cell>
          <cell r="G1846" t="str">
            <v>Φυτείες για παραγωγή φρούτων εύκρατης προέλευσης</v>
          </cell>
          <cell r="H1846">
            <v>6750</v>
          </cell>
          <cell r="J1846" t="str">
            <v>Ναι</v>
          </cell>
          <cell r="K1846" t="str">
            <v>Όχι</v>
          </cell>
          <cell r="L1846" t="str">
            <v>ΌΧΙ</v>
          </cell>
          <cell r="O1846" t="str">
            <v/>
          </cell>
        </row>
        <row r="1847">
          <cell r="D1847" t="str">
            <v>ΜΗΛΟΕΙΔΗ67088</v>
          </cell>
          <cell r="E1847" t="str">
            <v>ΜΗΛΑ GALAXY</v>
          </cell>
          <cell r="F1847" t="str">
            <v>B_4_1_1_1</v>
          </cell>
          <cell r="G1847" t="str">
            <v>Φυτείες για παραγωγή φρούτων εύκρατης προέλευσης</v>
          </cell>
          <cell r="H1847">
            <v>6750</v>
          </cell>
          <cell r="J1847" t="str">
            <v>Ναι</v>
          </cell>
          <cell r="K1847" t="str">
            <v>Όχι</v>
          </cell>
          <cell r="L1847" t="str">
            <v>ΌΧΙ</v>
          </cell>
          <cell r="O1847" t="str">
            <v/>
          </cell>
        </row>
        <row r="1848">
          <cell r="D1848" t="str">
            <v>ΜΗΛΟΕΙΔΗ67089</v>
          </cell>
          <cell r="E1848" t="str">
            <v>ΜΗΛΑ ΦΛΩΡΙΝΑ</v>
          </cell>
          <cell r="F1848" t="str">
            <v>B_4_1_1_1</v>
          </cell>
          <cell r="G1848" t="str">
            <v>Φυτείες για παραγωγή φρούτων εύκρατης προέλευσης</v>
          </cell>
          <cell r="H1848">
            <v>6750</v>
          </cell>
          <cell r="J1848" t="str">
            <v>Ναι</v>
          </cell>
          <cell r="K1848" t="str">
            <v>Όχι</v>
          </cell>
          <cell r="L1848" t="str">
            <v>ΌΧΙ</v>
          </cell>
          <cell r="O1848" t="str">
            <v/>
          </cell>
        </row>
        <row r="1849">
          <cell r="D1849" t="str">
            <v>ΜΗΛΟΕΙΔΗ67090</v>
          </cell>
          <cell r="E1849" t="str">
            <v>ΜΗΛΑ ΡΕΝΤ ΓΚΑΛΑ</v>
          </cell>
          <cell r="F1849" t="str">
            <v>B_4_1_1_1</v>
          </cell>
          <cell r="G1849" t="str">
            <v>Φυτείες για παραγωγή φρούτων εύκρατης προέλευσης</v>
          </cell>
          <cell r="H1849">
            <v>6750</v>
          </cell>
          <cell r="J1849" t="str">
            <v>Ναι</v>
          </cell>
          <cell r="K1849" t="str">
            <v>Όχι</v>
          </cell>
          <cell r="L1849" t="str">
            <v>ΌΧΙ</v>
          </cell>
          <cell r="O1849" t="str">
            <v/>
          </cell>
        </row>
        <row r="1850">
          <cell r="D1850" t="str">
            <v>ΜΗΛΟΕΙΔΗ67091</v>
          </cell>
          <cell r="E1850" t="str">
            <v>ΜΗΛΑ ΣΝΙΓΚΑ ΓΚΑΛΑ</v>
          </cell>
          <cell r="F1850" t="str">
            <v>B_4_1_1_1</v>
          </cell>
          <cell r="G1850" t="str">
            <v>Φυτείες για παραγωγή φρούτων εύκρατης προέλευσης</v>
          </cell>
          <cell r="H1850">
            <v>6750</v>
          </cell>
          <cell r="J1850" t="str">
            <v>Ναι</v>
          </cell>
          <cell r="K1850" t="str">
            <v>Όχι</v>
          </cell>
          <cell r="L1850" t="str">
            <v>ΌΧΙ</v>
          </cell>
          <cell r="O1850" t="str">
            <v/>
          </cell>
        </row>
        <row r="1851">
          <cell r="D1851" t="str">
            <v>ΜΗΛΟΕΙΔΗ67092</v>
          </cell>
          <cell r="E1851" t="str">
            <v>ΜΗΛΑ JEROMINE</v>
          </cell>
          <cell r="F1851" t="str">
            <v>B_4_1_1_1</v>
          </cell>
          <cell r="G1851" t="str">
            <v>Φυτείες για παραγωγή φρούτων εύκρατης προέλευσης</v>
          </cell>
          <cell r="H1851">
            <v>6750</v>
          </cell>
          <cell r="J1851" t="str">
            <v>Ναι</v>
          </cell>
          <cell r="K1851" t="str">
            <v>Όχι</v>
          </cell>
          <cell r="L1851" t="str">
            <v>ΌΧΙ</v>
          </cell>
          <cell r="O1851" t="str">
            <v/>
          </cell>
        </row>
        <row r="1852">
          <cell r="D1852" t="str">
            <v>ΜΗΛΟΕΙΔΗ8131</v>
          </cell>
          <cell r="E1852" t="str">
            <v>ΑΧΛΑΔΙΕΣ Β</v>
          </cell>
          <cell r="F1852" t="str">
            <v>B_4_1_1_1</v>
          </cell>
          <cell r="G1852" t="str">
            <v>Φυτείες για παραγωγή φρούτων εύκρατης προέλευσης</v>
          </cell>
          <cell r="H1852">
            <v>6750</v>
          </cell>
          <cell r="J1852" t="str">
            <v>Ναι</v>
          </cell>
          <cell r="K1852" t="str">
            <v>Όχι</v>
          </cell>
          <cell r="L1852" t="str">
            <v>ΌΧΙ</v>
          </cell>
          <cell r="O1852" t="str">
            <v/>
          </cell>
        </row>
        <row r="1853">
          <cell r="D1853" t="str">
            <v>ΜΗΛΟΕΙΔΗ8132</v>
          </cell>
          <cell r="E1853" t="str">
            <v>ΜΗΛΙΕΣ Β</v>
          </cell>
          <cell r="F1853" t="str">
            <v>B_4_1_1_1</v>
          </cell>
          <cell r="G1853" t="str">
            <v>Φυτείες για παραγωγή φρούτων εύκρατης προέλευσης</v>
          </cell>
          <cell r="H1853">
            <v>6750</v>
          </cell>
          <cell r="J1853" t="str">
            <v>Ναι</v>
          </cell>
          <cell r="K1853" t="str">
            <v>Όχι</v>
          </cell>
          <cell r="L1853" t="str">
            <v>ΌΧΙ</v>
          </cell>
          <cell r="O1853" t="str">
            <v/>
          </cell>
        </row>
        <row r="1854">
          <cell r="D1854" t="str">
            <v>ΜΗΛΟΕΙΔΗ8606</v>
          </cell>
          <cell r="E1854" t="str">
            <v>ΚΥΔΩΝΙΕΣ</v>
          </cell>
          <cell r="F1854" t="str">
            <v>B_4_1_1_1</v>
          </cell>
          <cell r="G1854" t="str">
            <v>Φυτείες για παραγωγή φρούτων εύκρατης προέλευσης</v>
          </cell>
          <cell r="H1854">
            <v>6750</v>
          </cell>
          <cell r="J1854" t="str">
            <v>Ναι</v>
          </cell>
          <cell r="K1854" t="str">
            <v>Όχι</v>
          </cell>
          <cell r="L1854" t="str">
            <v>ΌΧΙ</v>
          </cell>
          <cell r="O1854" t="str">
            <v/>
          </cell>
        </row>
        <row r="1855">
          <cell r="D1855" t="str">
            <v>ΜΗΛΟΕΙΔΗ8757</v>
          </cell>
          <cell r="E1855" t="str">
            <v>ΑΧΛΑΔΙΑ - ΑΧΤΣΕΔΕΣ ΛΕΣΒΟΥ</v>
          </cell>
          <cell r="F1855" t="str">
            <v>B_4_1_1_1</v>
          </cell>
          <cell r="G1855" t="str">
            <v>Φυτείες για παραγωγή φρούτων εύκρατης προέλευσης</v>
          </cell>
          <cell r="H1855">
            <v>6750</v>
          </cell>
          <cell r="J1855" t="str">
            <v>Ναι</v>
          </cell>
          <cell r="K1855" t="str">
            <v>Όχι</v>
          </cell>
          <cell r="L1855" t="str">
            <v>ΌΧΙ</v>
          </cell>
          <cell r="O1855" t="str">
            <v/>
          </cell>
        </row>
        <row r="1856">
          <cell r="D1856" t="str">
            <v>ΜΗΛΟΕΙΔΗ8758</v>
          </cell>
          <cell r="E1856" t="str">
            <v>ΑΧΛΑΔΙΑ - ΜΠΟΥΣΔΟΥΒΑΝΤΙΚΟ</v>
          </cell>
          <cell r="F1856" t="str">
            <v>B_4_1_1_1</v>
          </cell>
          <cell r="G1856" t="str">
            <v>Φυτείες για παραγωγή φρούτων εύκρατης προέλευσης</v>
          </cell>
          <cell r="H1856">
            <v>6750</v>
          </cell>
          <cell r="J1856" t="str">
            <v>Ναι</v>
          </cell>
          <cell r="K1856" t="str">
            <v>Όχι</v>
          </cell>
          <cell r="L1856" t="str">
            <v>ΌΧΙ</v>
          </cell>
          <cell r="O1856" t="str">
            <v/>
          </cell>
        </row>
        <row r="1857">
          <cell r="D1857" t="str">
            <v>ΜΗΛΟΕΙΔΗ8759</v>
          </cell>
          <cell r="E1857" t="str">
            <v>ΑΧΛΑΔΙΑ - ΑΥΓΟΥΣΤΙΑΤΙΚΟ</v>
          </cell>
          <cell r="F1857" t="str">
            <v>B_4_1_1_1</v>
          </cell>
          <cell r="G1857" t="str">
            <v>Φυτείες για παραγωγή φρούτων εύκρατης προέλευσης</v>
          </cell>
          <cell r="H1857">
            <v>6750</v>
          </cell>
          <cell r="J1857" t="str">
            <v>Ναι</v>
          </cell>
          <cell r="K1857" t="str">
            <v>Όχι</v>
          </cell>
          <cell r="L1857" t="str">
            <v>ΌΧΙ</v>
          </cell>
          <cell r="O1857" t="str">
            <v/>
          </cell>
        </row>
        <row r="1858">
          <cell r="D1858" t="str">
            <v>ΜΗΛΟΕΙΔΗ8768</v>
          </cell>
          <cell r="E1858" t="str">
            <v>ΜΗΛΑ - ΞΥΝΟΜΗΛΑ ΑΓΙΑΣΟΥ</v>
          </cell>
          <cell r="F1858" t="str">
            <v>B_4_1_1_1</v>
          </cell>
          <cell r="G1858" t="str">
            <v>Φυτείες για παραγωγή φρούτων εύκρατης προέλευσης</v>
          </cell>
          <cell r="H1858">
            <v>6750</v>
          </cell>
          <cell r="J1858" t="str">
            <v>Ναι</v>
          </cell>
          <cell r="K1858" t="str">
            <v>Όχι</v>
          </cell>
          <cell r="L1858" t="str">
            <v>ΌΧΙ</v>
          </cell>
          <cell r="O1858" t="str">
            <v/>
          </cell>
        </row>
        <row r="1859">
          <cell r="D1859" t="str">
            <v>ΜΗΛΟΕΙΔΗ8769</v>
          </cell>
          <cell r="E1859" t="str">
            <v>ΜΗΛΑ - ΚΥΔΩΝΟΜΗΛΟ ΝΑΟΥΣΑΣ</v>
          </cell>
          <cell r="F1859" t="str">
            <v>B_4_1_1_1</v>
          </cell>
          <cell r="G1859" t="str">
            <v>Φυτείες για παραγωγή φρούτων εύκρατης προέλευσης</v>
          </cell>
          <cell r="H1859">
            <v>6750</v>
          </cell>
          <cell r="J1859" t="str">
            <v>Ναι</v>
          </cell>
          <cell r="K1859" t="str">
            <v>Όχι</v>
          </cell>
          <cell r="L1859" t="str">
            <v>ΌΧΙ</v>
          </cell>
          <cell r="O1859" t="str">
            <v/>
          </cell>
        </row>
        <row r="1860">
          <cell r="D1860" t="str">
            <v>ΜΗΛΟΕΙΔΗ8771</v>
          </cell>
          <cell r="E1860" t="str">
            <v>ΜΗΛΑ - ΚΑΛΛΙΓΑ ΑΙΓΙΝΙΟΥ</v>
          </cell>
          <cell r="F1860" t="str">
            <v>B_4_1_1_1</v>
          </cell>
          <cell r="G1860" t="str">
            <v>Φυτείες για παραγωγή φρούτων εύκρατης προέλευσης</v>
          </cell>
          <cell r="H1860">
            <v>6750</v>
          </cell>
          <cell r="J1860" t="str">
            <v>Ναι</v>
          </cell>
          <cell r="K1860" t="str">
            <v>Όχι</v>
          </cell>
          <cell r="L1860" t="str">
            <v>ΌΧΙ</v>
          </cell>
          <cell r="O1860" t="str">
            <v/>
          </cell>
        </row>
        <row r="1861">
          <cell r="D1861" t="str">
            <v>ΜΗΛΟΕΙΔΗ8772</v>
          </cell>
          <cell r="E1861" t="str">
            <v>ΜΗΛΑ - ΝΤΟΠΙΟ ΚΑΡΠΑΘΙ</v>
          </cell>
          <cell r="F1861" t="str">
            <v>B_4_1_1_1</v>
          </cell>
          <cell r="G1861" t="str">
            <v>Φυτείες για παραγωγή φρούτων εύκρατης προέλευσης</v>
          </cell>
          <cell r="H1861">
            <v>6750</v>
          </cell>
          <cell r="J1861" t="str">
            <v>Ναι</v>
          </cell>
          <cell r="K1861" t="str">
            <v>Όχι</v>
          </cell>
          <cell r="L1861" t="str">
            <v>ΌΧΙ</v>
          </cell>
          <cell r="O1861" t="str">
            <v/>
          </cell>
        </row>
        <row r="1862">
          <cell r="D1862" t="str">
            <v>ΜΗΛΟΕΙΔΗ8773</v>
          </cell>
          <cell r="E1862" t="str">
            <v>ΜΗΛΑ - ΡΕΝΕΤΕΣ ΑΓΙΑΣΟΥ</v>
          </cell>
          <cell r="F1862" t="str">
            <v>B_4_1_1_1</v>
          </cell>
          <cell r="G1862" t="str">
            <v>Φυτείες για παραγωγή φρούτων εύκρατης προέλευσης</v>
          </cell>
          <cell r="H1862">
            <v>6750</v>
          </cell>
          <cell r="J1862" t="str">
            <v>Ναι</v>
          </cell>
          <cell r="K1862" t="str">
            <v>Όχι</v>
          </cell>
          <cell r="L1862" t="str">
            <v>ΌΧΙ</v>
          </cell>
          <cell r="O1862" t="str">
            <v/>
          </cell>
        </row>
        <row r="1863">
          <cell r="D1863" t="str">
            <v>ΜΠΑΝΑΝΕΣ8602</v>
          </cell>
          <cell r="E1863" t="str">
            <v>ΜΠΑΝΑΝΕΣ</v>
          </cell>
          <cell r="F1863" t="str">
            <v>B_4_1_1_2</v>
          </cell>
          <cell r="G1863" t="str">
            <v>Φυτείες για παραγωγή φρούτων υποτροπικής προέλευσης</v>
          </cell>
          <cell r="H1863">
            <v>5238</v>
          </cell>
          <cell r="J1863" t="str">
            <v>Ναι</v>
          </cell>
          <cell r="K1863" t="str">
            <v>Όχι</v>
          </cell>
          <cell r="L1863" t="str">
            <v>ΌΧΙ</v>
          </cell>
          <cell r="O1863" t="str">
            <v/>
          </cell>
        </row>
        <row r="1864">
          <cell r="D1864" t="str">
            <v>ΜΠΑΝΑΝΕΣ9107013</v>
          </cell>
          <cell r="E1864" t="str">
            <v>ΜΠΑΝΑΝΕΣ ΥΠΟ ΚΑΛΥΨΗ</v>
          </cell>
          <cell r="F1864" t="str">
            <v>B_4_1_1_2</v>
          </cell>
          <cell r="G1864" t="str">
            <v>Φυτείες για παραγωγή φρούτων υποτροπικής προέλευσης</v>
          </cell>
          <cell r="H1864">
            <v>5238</v>
          </cell>
          <cell r="J1864" t="str">
            <v>Ναι</v>
          </cell>
          <cell r="K1864" t="str">
            <v>Όχι</v>
          </cell>
          <cell r="L1864" t="str">
            <v>ΕΤ: Όχι με βάση "Μπανάνες"</v>
          </cell>
          <cell r="O1864" t="str">
            <v/>
          </cell>
        </row>
        <row r="1865">
          <cell r="D1865" t="str">
            <v>ΟΣΠΡΙΑ ΒΡΩΣΙΜΑ1043</v>
          </cell>
          <cell r="E1865" t="str">
            <v>ΦΑΣΟΛΙΑ ΠΛΑΚΕ - ΓΙΓΑΝΤΕΣ</v>
          </cell>
          <cell r="F1865" t="str">
            <v>B_1_2_1</v>
          </cell>
          <cell r="G1865" t="str">
            <v>Μπιζέλια, φασόλια και γλυκά λούπινα</v>
          </cell>
          <cell r="H1865">
            <v>1834</v>
          </cell>
          <cell r="J1865" t="str">
            <v>είναι;</v>
          </cell>
          <cell r="K1865" t="str">
            <v>Όχι</v>
          </cell>
          <cell r="L1865" t="str">
            <v>ΌΧΙ</v>
          </cell>
          <cell r="O1865" t="str">
            <v/>
          </cell>
        </row>
        <row r="1866">
          <cell r="D1866" t="str">
            <v>ΟΣΠΡΙΑ ΒΡΩΣΙΜΑ1044</v>
          </cell>
          <cell r="E1866" t="str">
            <v>ΚΟΥΚΙΑ ΚΑΡΠΟΣ</v>
          </cell>
          <cell r="F1866" t="str">
            <v>B_1_2_1</v>
          </cell>
          <cell r="G1866" t="str">
            <v>Μπιζέλια, φασόλια και γλυκά λούπινα</v>
          </cell>
          <cell r="H1866">
            <v>1834</v>
          </cell>
          <cell r="K1866" t="str">
            <v>Ναι</v>
          </cell>
          <cell r="L1866" t="str">
            <v>ΝΑΙ</v>
          </cell>
          <cell r="O1866" t="str">
            <v/>
          </cell>
        </row>
        <row r="1867">
          <cell r="D1867" t="str">
            <v>ΟΣΠΡΙΑ ΒΡΩΣΙΜΑ1045</v>
          </cell>
          <cell r="E1867" t="str">
            <v>ΦΑΣΟΛΙΑ ΜΙΚΡΟΣΠΕΡΜΑ</v>
          </cell>
          <cell r="F1867" t="str">
            <v>B_1_2_1</v>
          </cell>
          <cell r="G1867" t="str">
            <v>Μπιζέλια, φασόλια και γλυκά λούπινα</v>
          </cell>
          <cell r="H1867">
            <v>1834</v>
          </cell>
          <cell r="J1867" t="str">
            <v>είναι;</v>
          </cell>
          <cell r="K1867" t="str">
            <v>Όχι</v>
          </cell>
          <cell r="L1867" t="str">
            <v>ΌΧΙ</v>
          </cell>
          <cell r="O1867" t="str">
            <v/>
          </cell>
        </row>
        <row r="1868">
          <cell r="D1868" t="str">
            <v>ΟΣΠΡΙΑ ΒΡΩΣΙΜΑ1046</v>
          </cell>
          <cell r="E1868" t="str">
            <v>ΦΑΣΟΛΙΑ ΜΕΣΟΣΠΕΡΜΑ</v>
          </cell>
          <cell r="F1868" t="str">
            <v>B_1_2_1</v>
          </cell>
          <cell r="G1868" t="str">
            <v>Μπιζέλια, φασόλια και γλυκά λούπινα</v>
          </cell>
          <cell r="H1868">
            <v>1834</v>
          </cell>
          <cell r="J1868" t="str">
            <v>είναι;</v>
          </cell>
          <cell r="K1868" t="str">
            <v>Όχι</v>
          </cell>
          <cell r="L1868" t="str">
            <v>ΌΧΙ</v>
          </cell>
          <cell r="O1868" t="str">
            <v/>
          </cell>
        </row>
        <row r="1869">
          <cell r="D1869" t="str">
            <v>ΟΣΠΡΙΑ ΒΡΩΣΙΜΑ10601</v>
          </cell>
          <cell r="E1869" t="str">
            <v>ΦΑΣΟΛΙΑ ΞΕΡΑ ΔΙΑΦΟΡΑ</v>
          </cell>
          <cell r="F1869" t="str">
            <v>B_1_2_1</v>
          </cell>
          <cell r="G1869" t="str">
            <v>Μπιζέλια, φασόλια και γλυκά λούπινα</v>
          </cell>
          <cell r="H1869">
            <v>1834</v>
          </cell>
          <cell r="J1869" t="str">
            <v>είναι;</v>
          </cell>
          <cell r="K1869" t="str">
            <v>Όχι</v>
          </cell>
          <cell r="L1869" t="str">
            <v>ΌΧΙ</v>
          </cell>
          <cell r="O1869" t="str">
            <v/>
          </cell>
        </row>
        <row r="1870">
          <cell r="D1870" t="str">
            <v>ΟΣΠΡΙΑ ΒΡΩΣΙΜΑ10902</v>
          </cell>
          <cell r="E1870" t="str">
            <v>ΦΑΣΟΛΙΑ</v>
          </cell>
          <cell r="F1870" t="str">
            <v>B_1_2_1</v>
          </cell>
          <cell r="G1870" t="str">
            <v>Μπιζέλια, φασόλια και γλυκά λούπινα</v>
          </cell>
          <cell r="H1870">
            <v>1834</v>
          </cell>
          <cell r="J1870" t="str">
            <v>είναι;</v>
          </cell>
          <cell r="K1870" t="str">
            <v>Όχι</v>
          </cell>
          <cell r="L1870" t="str">
            <v>ΌΧΙ</v>
          </cell>
          <cell r="O1870" t="str">
            <v/>
          </cell>
        </row>
        <row r="1871">
          <cell r="D1871" t="str">
            <v>ΟΣΠΡΙΑ ΒΡΩΣΙΜΑ10903</v>
          </cell>
          <cell r="E1871" t="str">
            <v>ΦΑΒΑ ΣΑΝΤΟΡΙΝΗΣ - ΒΡΩΣΙΜΟ ΛΑΘΟΥΡΙ</v>
          </cell>
          <cell r="F1871" t="str">
            <v>B_1_2</v>
          </cell>
          <cell r="G1871" t="str">
            <v>Φακές - Ρεβίθια - Αρακάς - Λαθούρια και άλλα πρωτεϊνούχα φυτά</v>
          </cell>
          <cell r="H1871">
            <v>1886</v>
          </cell>
          <cell r="K1871" t="str">
            <v>Ναι</v>
          </cell>
          <cell r="L1871" t="str">
            <v>ΝΑΙ</v>
          </cell>
          <cell r="O1871" t="str">
            <v/>
          </cell>
        </row>
        <row r="1872">
          <cell r="D1872" t="str">
            <v>ΟΣΠΡΙΑ ΒΡΩΣΙΜΑ11087</v>
          </cell>
          <cell r="E1872" t="str">
            <v>ΛΑΘΟΥΡΙ ΑΦΚΟΣ</v>
          </cell>
          <cell r="F1872" t="str">
            <v>B_1_2</v>
          </cell>
          <cell r="G1872" t="str">
            <v>Φακές - Ρεβίθια - Αρακάς - Λαθούρια και άλλα πρωτεϊνούχα φυτά</v>
          </cell>
          <cell r="H1872">
            <v>1886</v>
          </cell>
          <cell r="K1872" t="str">
            <v>Ναι</v>
          </cell>
          <cell r="L1872" t="str">
            <v>ΝΑΙ</v>
          </cell>
          <cell r="O1872" t="str">
            <v/>
          </cell>
        </row>
        <row r="1873">
          <cell r="D1873" t="str">
            <v>ΟΣΠΡΙΑ ΒΡΩΣΙΜΑ11088</v>
          </cell>
          <cell r="E1873" t="str">
            <v>ΛΑΘΟΥΡΙ ΚΛΥΜΕΝΟ</v>
          </cell>
          <cell r="F1873" t="str">
            <v>B_1_2</v>
          </cell>
          <cell r="G1873" t="str">
            <v>Φακές - Ρεβίθια - Αρακάς - Λαθούρια και άλλα πρωτεϊνούχα φυτά</v>
          </cell>
          <cell r="H1873">
            <v>1886</v>
          </cell>
          <cell r="K1873" t="str">
            <v>Ναι</v>
          </cell>
          <cell r="L1873" t="str">
            <v>ΝΑΙ</v>
          </cell>
          <cell r="O1873" t="str">
            <v/>
          </cell>
        </row>
        <row r="1874">
          <cell r="D1874" t="str">
            <v>ΟΣΠΡΙΑ ΒΡΩΣΙΜΑ1114</v>
          </cell>
          <cell r="E1874" t="str">
            <v>ΡΕΒΥΘΙΑ ΜΕΓΑΛΟΣΠΕΡΜΑ ΘΗΒΑΣ Τ. ΜΑΡΟΚΟΥ</v>
          </cell>
          <cell r="F1874" t="str">
            <v>B_1_2</v>
          </cell>
          <cell r="G1874" t="str">
            <v>Φακές - Ρεβίθια - Αρακάς - Λαθούρια και άλλα πρωτεϊνούχα φυτά</v>
          </cell>
          <cell r="H1874">
            <v>1886</v>
          </cell>
          <cell r="K1874" t="str">
            <v>Ναι</v>
          </cell>
          <cell r="L1874" t="str">
            <v>ΝΑΙ</v>
          </cell>
          <cell r="O1874" t="str">
            <v/>
          </cell>
        </row>
        <row r="1875">
          <cell r="D1875" t="str">
            <v>ΟΣΠΡΙΑ ΒΡΩΣΙΜΑ1115</v>
          </cell>
          <cell r="E1875" t="str">
            <v>ΡΕΒΥΘΙΑ ΜΕΓΑΛΟΣΠΕΡΜΑ ΘΗΒΑΣ Τ. ΑΤΑΛΑΝΤΗΣ</v>
          </cell>
          <cell r="F1875" t="str">
            <v>B_1_2</v>
          </cell>
          <cell r="G1875" t="str">
            <v>Φακές - Ρεβίθια - Αρακάς - Λαθούρια και άλλα πρωτεϊνούχα φυτά</v>
          </cell>
          <cell r="H1875">
            <v>1886</v>
          </cell>
          <cell r="K1875" t="str">
            <v>Ναι</v>
          </cell>
          <cell r="L1875" t="str">
            <v>ΝΑΙ</v>
          </cell>
          <cell r="O1875" t="str">
            <v/>
          </cell>
        </row>
        <row r="1876">
          <cell r="D1876" t="str">
            <v>ΟΣΠΡΙΑ ΒΡΩΣΙΜΑ1116</v>
          </cell>
          <cell r="E1876" t="str">
            <v>ΡΕΒΥΘΙΑ ΜΕΓΑΛΟΣΠΕΡΜΑ ΛΟΙΠΕΣ ΠΟΙΚΙΛΙΕΣ</v>
          </cell>
          <cell r="F1876" t="str">
            <v>B_1_2</v>
          </cell>
          <cell r="G1876" t="str">
            <v>Φακές - Ρεβίθια - Αρακάς - Λαθούρια και άλλα πρωτεϊνούχα φυτά</v>
          </cell>
          <cell r="H1876">
            <v>1886</v>
          </cell>
          <cell r="K1876" t="str">
            <v>Ναι</v>
          </cell>
          <cell r="L1876" t="str">
            <v>ΝΑΙ</v>
          </cell>
          <cell r="O1876" t="str">
            <v/>
          </cell>
        </row>
        <row r="1877">
          <cell r="D1877" t="str">
            <v>ΟΣΠΡΙΑ ΒΡΩΣΙΜΑ1117</v>
          </cell>
          <cell r="E1877" t="str">
            <v>ΡΕΒΥΘΙΑ ΜΙΚΡΟΣΠΕΡΜΑ ΛΟΙΠΕΣ ΠΟΙΚΙΛΙΕΣ</v>
          </cell>
          <cell r="F1877" t="str">
            <v>B_1_2</v>
          </cell>
          <cell r="G1877" t="str">
            <v>Φακές - Ρεβίθια - Αρακάς - Λαθούρια και άλλα πρωτεϊνούχα φυτά</v>
          </cell>
          <cell r="H1877">
            <v>1886</v>
          </cell>
          <cell r="K1877" t="str">
            <v>Ναι</v>
          </cell>
          <cell r="L1877" t="str">
            <v>ΝΑΙ</v>
          </cell>
          <cell r="O1877" t="str">
            <v/>
          </cell>
        </row>
        <row r="1878">
          <cell r="D1878" t="str">
            <v>ΟΣΠΡΙΑ ΒΡΩΣΙΜΑ1118</v>
          </cell>
          <cell r="E1878" t="str">
            <v>ΡΕΒΥΘΙΑ ΜΕΣΟΣΠΕΡΜΑ ΛΟΙΠΕΣ ΠΟΙΚΙΛΙΕΣ</v>
          </cell>
          <cell r="F1878" t="str">
            <v>B_1_2</v>
          </cell>
          <cell r="G1878" t="str">
            <v>Φακές - Ρεβίθια - Αρακάς - Λαθούρια και άλλα πρωτεϊνούχα φυτά</v>
          </cell>
          <cell r="H1878">
            <v>1886</v>
          </cell>
          <cell r="K1878" t="str">
            <v>Ναι</v>
          </cell>
          <cell r="L1878" t="str">
            <v>ΝΑΙ</v>
          </cell>
          <cell r="O1878" t="str">
            <v/>
          </cell>
        </row>
        <row r="1879">
          <cell r="D1879" t="str">
            <v>ΟΣΠΡΙΑ ΒΡΩΣΙΜΑ1121</v>
          </cell>
          <cell r="E1879" t="str">
            <v>ΦΑΚΕΣ ΛΕΠΤΟΣΠΕΡΜΕΣ ΠΕΛΑΣΓΙΑ (Φ-1)</v>
          </cell>
          <cell r="F1879" t="str">
            <v>B_1_2</v>
          </cell>
          <cell r="G1879" t="str">
            <v>Φακές - Ρεβίθια - Αρακάς - Λαθούρια και άλλα πρωτεϊνούχα φυτά</v>
          </cell>
          <cell r="H1879">
            <v>1886</v>
          </cell>
          <cell r="K1879" t="str">
            <v>Ναι</v>
          </cell>
          <cell r="L1879" t="str">
            <v>ΝΑΙ</v>
          </cell>
          <cell r="O1879" t="str">
            <v/>
          </cell>
        </row>
        <row r="1880">
          <cell r="D1880" t="str">
            <v>ΟΣΠΡΙΑ ΒΡΩΣΙΜΑ1122</v>
          </cell>
          <cell r="E1880" t="str">
            <v>ΦΑΚΕΣ ΛΕΠΤΟΣΠΕΡΜΕΣ ΑΡΑΧΩΒΑΣ (Φ-30)</v>
          </cell>
          <cell r="F1880" t="str">
            <v>B_1_2</v>
          </cell>
          <cell r="G1880" t="str">
            <v>Φακές - Ρεβίθια - Αρακάς - Λαθούρια και άλλα πρωτεϊνούχα φυτά</v>
          </cell>
          <cell r="H1880">
            <v>1886</v>
          </cell>
          <cell r="K1880" t="str">
            <v>Ναι</v>
          </cell>
          <cell r="L1880" t="str">
            <v>ΝΑΙ</v>
          </cell>
          <cell r="O1880" t="str">
            <v/>
          </cell>
        </row>
        <row r="1881">
          <cell r="D1881" t="str">
            <v>ΟΣΠΡΙΑ ΒΡΩΣΙΜΑ1123</v>
          </cell>
          <cell r="E1881" t="str">
            <v>ΦΑΚΕΣ ΛΕΠΤΟΣΠΕΡΜΕΣ ΑΡΚΑΔΙΑΣ (Μ-12463)</v>
          </cell>
          <cell r="F1881" t="str">
            <v>B_1_2</v>
          </cell>
          <cell r="G1881" t="str">
            <v>Φακές - Ρεβίθια - Αρακάς - Λαθούρια και άλλα πρωτεϊνούχα φυτά</v>
          </cell>
          <cell r="H1881">
            <v>1886</v>
          </cell>
          <cell r="K1881" t="str">
            <v>Ναι</v>
          </cell>
          <cell r="L1881" t="str">
            <v>ΝΑΙ</v>
          </cell>
          <cell r="O1881" t="str">
            <v/>
          </cell>
        </row>
        <row r="1882">
          <cell r="D1882" t="str">
            <v>ΟΣΠΡΙΑ ΒΡΩΣΙΜΑ1124</v>
          </cell>
          <cell r="E1882" t="str">
            <v>ΦΑΚΕΣ ΛΕΠΤΟΣΠΕΡΜΕΣ ΔΗΜΗΤΡΑ (Φ-39)</v>
          </cell>
          <cell r="F1882" t="str">
            <v>B_1_2</v>
          </cell>
          <cell r="G1882" t="str">
            <v>Φακές - Ρεβίθια - Αρακάς - Λαθούρια και άλλα πρωτεϊνούχα φυτά</v>
          </cell>
          <cell r="H1882">
            <v>1886</v>
          </cell>
          <cell r="K1882" t="str">
            <v>Ναι</v>
          </cell>
          <cell r="L1882" t="str">
            <v>ΝΑΙ</v>
          </cell>
          <cell r="O1882" t="str">
            <v/>
          </cell>
        </row>
        <row r="1883">
          <cell r="D1883" t="str">
            <v>ΟΣΠΡΙΑ ΒΡΩΣΙΜΑ1125</v>
          </cell>
          <cell r="E1883" t="str">
            <v>ΦΑΚΕΣ ΠΛΑΤΥΣΠΕΡΜΕΣ ΘΕΣΣΑΛΙΑΣ (Μ-1956)</v>
          </cell>
          <cell r="F1883" t="str">
            <v>B_1_2</v>
          </cell>
          <cell r="G1883" t="str">
            <v>Φακές - Ρεβίθια - Αρακάς - Λαθούρια και άλλα πρωτεϊνούχα φυτά</v>
          </cell>
          <cell r="H1883">
            <v>1886</v>
          </cell>
          <cell r="K1883" t="str">
            <v>Ναι</v>
          </cell>
          <cell r="L1883" t="str">
            <v>ΝΑΙ</v>
          </cell>
          <cell r="O1883" t="str">
            <v/>
          </cell>
        </row>
        <row r="1884">
          <cell r="D1884" t="str">
            <v>ΟΣΠΡΙΑ ΒΡΩΣΙΜΑ1126</v>
          </cell>
          <cell r="E1884" t="str">
            <v>ΦΑΚΕΣ ΠΛΑΤΥΣΠΕΡΜΕΣ ΛΟΙΠΕΣ ΠΟΙΚΙΛΙΕΣ</v>
          </cell>
          <cell r="F1884" t="str">
            <v>B_1_2</v>
          </cell>
          <cell r="G1884" t="str">
            <v>Φακές - Ρεβίθια - Αρακάς - Λαθούρια και άλλα πρωτεϊνούχα φυτά</v>
          </cell>
          <cell r="H1884">
            <v>1886</v>
          </cell>
          <cell r="K1884" t="str">
            <v>Ναι</v>
          </cell>
          <cell r="L1884" t="str">
            <v>ΝΑΙ</v>
          </cell>
          <cell r="O1884" t="str">
            <v/>
          </cell>
        </row>
        <row r="1885">
          <cell r="D1885" t="str">
            <v>ΟΣΠΡΙΑ ΒΡΩΣΙΜΑ1127</v>
          </cell>
          <cell r="E1885" t="str">
            <v>ΦΑΚΕΣ ΜΕΣΟΣΠΕΡΜΕΣ ΛΟΙΠΕΣ ΠΟΙΚΙΛΙΕΣ</v>
          </cell>
          <cell r="F1885" t="str">
            <v>B_1_2</v>
          </cell>
          <cell r="G1885" t="str">
            <v>Φακές - Ρεβίθια - Αρακάς - Λαθούρια και άλλα πρωτεϊνούχα φυτά</v>
          </cell>
          <cell r="H1885">
            <v>1886</v>
          </cell>
          <cell r="K1885" t="str">
            <v>Ναι</v>
          </cell>
          <cell r="L1885" t="str">
            <v>ΝΑΙ</v>
          </cell>
          <cell r="O1885" t="str">
            <v/>
          </cell>
        </row>
        <row r="1886">
          <cell r="D1886" t="str">
            <v>ΟΣΠΡΙΑ ΒΡΩΣΙΜΑ1128</v>
          </cell>
          <cell r="E1886" t="str">
            <v>ΦΑΚΕΣ ΛΕΠΤΟΣΠΕΡΜΕΣ ΛΟΙΠΕΣ ΠΟΙΚΙΛΙΕΣ</v>
          </cell>
          <cell r="F1886" t="str">
            <v>B_1_2</v>
          </cell>
          <cell r="G1886" t="str">
            <v>Φακές - Ρεβίθια - Αρακάς - Λαθούρια και άλλα πρωτεϊνούχα φυτά</v>
          </cell>
          <cell r="H1886">
            <v>1886</v>
          </cell>
          <cell r="K1886" t="str">
            <v>Ναι</v>
          </cell>
          <cell r="L1886" t="str">
            <v>ΝΑΙ</v>
          </cell>
          <cell r="O1886" t="str">
            <v/>
          </cell>
        </row>
        <row r="1887">
          <cell r="D1887" t="str">
            <v>ΟΣΠΡΙΑ ΒΡΩΣΙΜΑ1129</v>
          </cell>
          <cell r="E1887" t="str">
            <v>ΦΑΚΕΣ ΜΕΣΟΣΠΕΡΜΕΣ ΕΓΧΩΡΙΕΣ ΠΟΙΚΙΛΙΕΣ</v>
          </cell>
          <cell r="F1887" t="str">
            <v>B_1_2</v>
          </cell>
          <cell r="G1887" t="str">
            <v>Φακές - Ρεβίθια - Αρακάς - Λαθούρια και άλλα πρωτεϊνούχα φυτά</v>
          </cell>
          <cell r="H1887">
            <v>1886</v>
          </cell>
          <cell r="K1887" t="str">
            <v>Ναι</v>
          </cell>
          <cell r="L1887" t="str">
            <v>ΝΑΙ</v>
          </cell>
          <cell r="O1887" t="str">
            <v/>
          </cell>
        </row>
        <row r="1888">
          <cell r="D1888" t="str">
            <v>ΟΣΠΡΙΑ ΒΡΩΣΙΜΑ1144</v>
          </cell>
          <cell r="E1888" t="str">
            <v>ΦΑΣΟΛΙΑ - ΓΙΓΑΝΤΕΣ ΕΛΕΦΑΝΤΕΣ</v>
          </cell>
          <cell r="F1888" t="str">
            <v>B_1_2_1</v>
          </cell>
          <cell r="G1888" t="str">
            <v>Μπιζέλια, φασόλια και γλυκά λούπινα</v>
          </cell>
          <cell r="J1888" t="str">
            <v>είναι;</v>
          </cell>
          <cell r="K1888" t="str">
            <v>Όχι</v>
          </cell>
          <cell r="L1888" t="str">
            <v>ΌΧΙ</v>
          </cell>
          <cell r="O1888" t="str">
            <v/>
          </cell>
        </row>
        <row r="1889">
          <cell r="D1889" t="str">
            <v>ΟΣΠΡΙΑ ΒΡΩΣΙΜΑ1145</v>
          </cell>
          <cell r="E1889" t="str">
            <v>ΦΑΚΕΣ ΜΟΛΟΥ</v>
          </cell>
          <cell r="F1889" t="str">
            <v>B_1_2</v>
          </cell>
          <cell r="G1889" t="str">
            <v>Φακές - Ρεβίθια - Αρακάς - Λαθούρια και άλλα πρωτεϊνούχα φυτά</v>
          </cell>
          <cell r="H1889">
            <v>1886</v>
          </cell>
          <cell r="K1889" t="str">
            <v>Ναι</v>
          </cell>
          <cell r="L1889" t="str">
            <v>ΝΑΙ</v>
          </cell>
          <cell r="O1889" t="str">
            <v/>
          </cell>
        </row>
        <row r="1890">
          <cell r="D1890" t="str">
            <v>ΟΣΠΡΙΑ ΒΡΩΣΙΜΑ1146</v>
          </cell>
          <cell r="E1890" t="str">
            <v>ΦΑΚΕΣ ΕΓΚΛΟΥΒΗΣ</v>
          </cell>
          <cell r="F1890" t="str">
            <v>B_1_2</v>
          </cell>
          <cell r="G1890" t="str">
            <v>Φακές - Ρεβίθια - Αρακάς - Λαθούρια και άλλα πρωτεϊνούχα φυτά</v>
          </cell>
          <cell r="H1890">
            <v>1886</v>
          </cell>
          <cell r="K1890" t="str">
            <v>Ναι</v>
          </cell>
          <cell r="L1890" t="str">
            <v>ΝΑΙ</v>
          </cell>
          <cell r="O1890" t="str">
            <v/>
          </cell>
        </row>
        <row r="1891">
          <cell r="D1891" t="str">
            <v>ΟΣΠΡΙΑ ΒΡΩΣΙΜΑ1147</v>
          </cell>
          <cell r="E1891" t="str">
            <v>ΦΑΚΕΣ ΘΕΣΣΑΛΙΑ</v>
          </cell>
          <cell r="F1891" t="str">
            <v>B_1_2</v>
          </cell>
          <cell r="G1891" t="str">
            <v>Φακές - Ρεβίθια - Αρακάς - Λαθούρια και άλλα πρωτεϊνούχα φυτά</v>
          </cell>
          <cell r="H1891">
            <v>1886</v>
          </cell>
          <cell r="K1891" t="str">
            <v>Ναι</v>
          </cell>
          <cell r="L1891" t="str">
            <v>ΝΑΙ</v>
          </cell>
          <cell r="O1891" t="str">
            <v/>
          </cell>
        </row>
        <row r="1892">
          <cell r="D1892" t="str">
            <v>ΟΣΠΡΙΑ ΒΡΩΣΙΜΑ1148</v>
          </cell>
          <cell r="E1892" t="str">
            <v>ΦΑΚΕΣ ΣΑΜΟΣ</v>
          </cell>
          <cell r="F1892" t="str">
            <v>B_1_2</v>
          </cell>
          <cell r="G1892" t="str">
            <v>Φακές - Ρεβίθια - Αρακάς - Λαθούρια και άλλα πρωτεϊνούχα φυτά</v>
          </cell>
          <cell r="H1892">
            <v>1886</v>
          </cell>
          <cell r="K1892" t="str">
            <v>Ναι</v>
          </cell>
          <cell r="L1892" t="str">
            <v>ΝΑΙ</v>
          </cell>
          <cell r="O1892" t="str">
            <v/>
          </cell>
        </row>
        <row r="1893">
          <cell r="D1893" t="str">
            <v>ΟΣΠΡΙΑ ΒΡΩΣΙΜΑ1149</v>
          </cell>
          <cell r="E1893" t="str">
            <v>ΦΑΒΑ ΠΑΡΟΥ</v>
          </cell>
          <cell r="F1893" t="str">
            <v>B_1_2_1</v>
          </cell>
          <cell r="G1893" t="str">
            <v>Μπιζέλια, φασόλια και γλυκά λούπινα</v>
          </cell>
          <cell r="K1893" t="str">
            <v>Ναι</v>
          </cell>
          <cell r="L1893" t="str">
            <v>ΝΑΙ</v>
          </cell>
          <cell r="O1893" t="str">
            <v/>
          </cell>
        </row>
        <row r="1894">
          <cell r="D1894" t="str">
            <v>ΟΣΠΡΙΑ ΒΡΩΣΙΜΑ1150</v>
          </cell>
          <cell r="E1894" t="str">
            <v>ΦΑΒΑ ΚΑΡΥΑΣ</v>
          </cell>
          <cell r="F1894" t="str">
            <v>B_1_2_1</v>
          </cell>
          <cell r="G1894" t="str">
            <v>Μπιζέλια, φασόλια και γλυκά λούπινα</v>
          </cell>
          <cell r="K1894" t="str">
            <v>Ναι</v>
          </cell>
          <cell r="L1894" t="str">
            <v>ΝΑΙ</v>
          </cell>
          <cell r="O1894" t="str">
            <v/>
          </cell>
        </row>
        <row r="1895">
          <cell r="D1895" t="str">
            <v>ΟΣΠΡΙΑ ΒΡΩΣΙΜΑ1151</v>
          </cell>
          <cell r="E1895" t="str">
            <v>ΦΑΒΑ ΠΑΠΟΥΛΑ</v>
          </cell>
          <cell r="F1895" t="str">
            <v>B_1_2_1</v>
          </cell>
          <cell r="G1895" t="str">
            <v>Μπιζέλια, φασόλια και γλυκά λούπινα</v>
          </cell>
          <cell r="K1895" t="str">
            <v>Ναι</v>
          </cell>
          <cell r="L1895" t="str">
            <v>ΝΑΙ</v>
          </cell>
          <cell r="O1895" t="str">
            <v/>
          </cell>
        </row>
        <row r="1896">
          <cell r="D1896" t="str">
            <v>ΟΣΠΡΙΑ ΒΡΩΣΙΜΑ1155</v>
          </cell>
          <cell r="E1896" t="str">
            <v>ΦΑΣΟΛΙΑ - ΒΑΝΙΛΙΕΣ ΦΕΝΕΟΥ</v>
          </cell>
          <cell r="F1896" t="str">
            <v>B_1_2_1</v>
          </cell>
          <cell r="G1896" t="str">
            <v>Μπιζέλια, φασόλια και γλυκά λούπινα</v>
          </cell>
          <cell r="H1896">
            <v>1834</v>
          </cell>
          <cell r="J1896" t="str">
            <v>είναι;</v>
          </cell>
          <cell r="K1896" t="str">
            <v>Όχι</v>
          </cell>
          <cell r="L1896" t="str">
            <v>ΌΧΙ</v>
          </cell>
          <cell r="O1896" t="str">
            <v/>
          </cell>
        </row>
        <row r="1897">
          <cell r="D1897" t="str">
            <v>ΟΣΠΡΙΑ ΒΡΩΣΙΜΑ1156</v>
          </cell>
          <cell r="E1897" t="str">
            <v>ΦΑΒΑ ΦΕΝΕΟΥ</v>
          </cell>
          <cell r="F1897" t="str">
            <v>B_1_2_1</v>
          </cell>
          <cell r="G1897" t="str">
            <v>Μπιζέλια, φασόλια και γλυκά λούπινα</v>
          </cell>
          <cell r="K1897" t="str">
            <v>Ναι</v>
          </cell>
          <cell r="L1897" t="str">
            <v>ΝΑΙ</v>
          </cell>
          <cell r="O1897" t="str">
            <v/>
          </cell>
        </row>
        <row r="1898">
          <cell r="D1898" t="str">
            <v>ΟΣΠΡΙΑ ΒΡΩΣΙΜΑ1157</v>
          </cell>
          <cell r="E1898" t="str">
            <v>ΦΑΣΟΛΙΑ ΞΕΡΑ ΜΑΥΡΟΜΑΤΙΚΑ (ΓΥΦΤΙΚΑ)</v>
          </cell>
          <cell r="F1898" t="str">
            <v>B_1_2_1</v>
          </cell>
          <cell r="G1898" t="str">
            <v>Μπιζέλια, φασόλια και γλυκά λούπινα</v>
          </cell>
          <cell r="H1898">
            <v>1834</v>
          </cell>
          <cell r="J1898" t="str">
            <v>είναι;</v>
          </cell>
          <cell r="K1898" t="str">
            <v>Όχι</v>
          </cell>
          <cell r="L1898" t="str">
            <v>ΌΧΙ</v>
          </cell>
          <cell r="O1898" t="str">
            <v/>
          </cell>
        </row>
        <row r="1899">
          <cell r="D1899" t="str">
            <v>ΟΣΠΡΙΑ ΒΡΩΣΙΜΑ1158</v>
          </cell>
          <cell r="E1899" t="str">
            <v>ΦΑΣΟΛΙΑ ΑΜΠΕΛΟΦΑΣΟΥΛΑ</v>
          </cell>
          <cell r="F1899" t="str">
            <v>B_1_2_1</v>
          </cell>
          <cell r="G1899" t="str">
            <v>Μπιζέλια, φασόλια και γλυκά λούπινα</v>
          </cell>
          <cell r="H1899">
            <v>1834</v>
          </cell>
          <cell r="J1899" t="str">
            <v>είναι;</v>
          </cell>
          <cell r="K1899" t="str">
            <v>Όχι</v>
          </cell>
          <cell r="L1899" t="str">
            <v>ΌΧΙ</v>
          </cell>
          <cell r="O1899" t="str">
            <v/>
          </cell>
        </row>
        <row r="1900">
          <cell r="D1900" t="str">
            <v>ΠΟΡΤΟΚΑΛΙΑ ΠΡΟΣ ΧΥΜΟΠΟΙΗΣΗ19001</v>
          </cell>
          <cell r="E1900" t="str">
            <v>ΠΟΡΤΟΚΑΛΙΑ ΚΟΙΝ. ΠΟΙΚΙΛ.</v>
          </cell>
          <cell r="F1900" t="str">
            <v>B_4_2</v>
          </cell>
          <cell r="G1900" t="str">
            <v>Εσπεριδοειδώνες</v>
          </cell>
          <cell r="H1900">
            <v>5135</v>
          </cell>
          <cell r="J1900" t="str">
            <v>Ναι</v>
          </cell>
          <cell r="K1900" t="str">
            <v>Ναι</v>
          </cell>
          <cell r="L1900" t="str">
            <v>ΝΑΙ</v>
          </cell>
          <cell r="O1900" t="str">
            <v/>
          </cell>
        </row>
        <row r="1901">
          <cell r="D1901" t="str">
            <v>ΠΟΡΤΟΚΑΛΙΑ ΠΡΟΣ ΧΥΜΟΠΟΙΗΣΗ19002</v>
          </cell>
          <cell r="E1901" t="str">
            <v>ΠΟΡΤΟΚΑΛΙΑ ΓΙΑΦΦΑ</v>
          </cell>
          <cell r="F1901" t="str">
            <v>B_4_2</v>
          </cell>
          <cell r="G1901" t="str">
            <v>Εσπεριδοειδώνες</v>
          </cell>
          <cell r="H1901">
            <v>5135</v>
          </cell>
          <cell r="J1901" t="str">
            <v>Ναι</v>
          </cell>
          <cell r="K1901" t="str">
            <v>Ναι</v>
          </cell>
          <cell r="L1901" t="str">
            <v>ΝΑΙ</v>
          </cell>
          <cell r="O1901" t="str">
            <v/>
          </cell>
        </row>
        <row r="1902">
          <cell r="D1902" t="str">
            <v>ΠΟΡΤΟΚΑΛΙΑ ΠΡΟΣ ΧΥΜΟΠΟΙΗΣΗ19003</v>
          </cell>
          <cell r="E1902" t="str">
            <v>ΠΟΡΤΟΚΑΛΙΑ ΟΒΑΛ ΚΑΛΑΒΡΙΑΣ</v>
          </cell>
          <cell r="F1902" t="str">
            <v>B_4_2</v>
          </cell>
          <cell r="G1902" t="str">
            <v>Εσπεριδοειδώνες</v>
          </cell>
          <cell r="H1902">
            <v>5135</v>
          </cell>
          <cell r="J1902" t="str">
            <v>Ναι</v>
          </cell>
          <cell r="K1902" t="str">
            <v>Ναι</v>
          </cell>
          <cell r="L1902" t="str">
            <v>ΝΑΙ</v>
          </cell>
          <cell r="O1902" t="str">
            <v/>
          </cell>
        </row>
        <row r="1903">
          <cell r="D1903" t="str">
            <v>ΠΟΡΤΟΚΑΛΙΑ ΠΡΟΣ ΧΥΜΟΠΟΙΗΣΗ19004</v>
          </cell>
          <cell r="E1903" t="str">
            <v>ΠΟΡΤΟΚΑΛΙΑ ΒΑΛΕΝΤΣΙΑ</v>
          </cell>
          <cell r="F1903" t="str">
            <v>B_4_2</v>
          </cell>
          <cell r="G1903" t="str">
            <v>Εσπεριδοειδώνες</v>
          </cell>
          <cell r="H1903">
            <v>5135</v>
          </cell>
          <cell r="J1903" t="str">
            <v>Ναι</v>
          </cell>
          <cell r="K1903" t="str">
            <v>Ναι</v>
          </cell>
          <cell r="L1903" t="str">
            <v>ΝΑΙ</v>
          </cell>
          <cell r="O1903" t="str">
            <v/>
          </cell>
        </row>
        <row r="1904">
          <cell r="D1904" t="str">
            <v>ΠΟΡΤΟΚΑΛΙΑ ΠΡΟΣ ΧΥΜΟΠΟΙΗΣΗ19005</v>
          </cell>
          <cell r="E1904" t="str">
            <v>ΠΟΡΤΟΚΑΛΙΑ ΒΑΛΕΝΤΣΙΑ-ΜΙΚΡΟΚΑΡΠΙΑ</v>
          </cell>
          <cell r="F1904" t="str">
            <v>B_4_2</v>
          </cell>
          <cell r="G1904" t="str">
            <v>Εσπεριδοειδώνες</v>
          </cell>
          <cell r="H1904">
            <v>5135</v>
          </cell>
          <cell r="J1904" t="str">
            <v>Ναι</v>
          </cell>
          <cell r="K1904" t="str">
            <v>Ναι</v>
          </cell>
          <cell r="L1904" t="str">
            <v>ΝΑΙ</v>
          </cell>
          <cell r="O1904" t="str">
            <v/>
          </cell>
        </row>
        <row r="1905">
          <cell r="D1905" t="str">
            <v>ΠΟΡΤΟΚΑΛΙΑ ΠΡΟΣ ΧΥΜΟΠΟΙΗΣΗ19006</v>
          </cell>
          <cell r="E1905" t="str">
            <v>ΠΟΡΤΟΚΑΛΙΑ ΜΠΟΝΑΤΣΑ</v>
          </cell>
          <cell r="F1905" t="str">
            <v>B_4_2</v>
          </cell>
          <cell r="G1905" t="str">
            <v>Εσπεριδοειδώνες</v>
          </cell>
          <cell r="H1905">
            <v>5135</v>
          </cell>
          <cell r="J1905" t="str">
            <v>Ναι</v>
          </cell>
          <cell r="K1905" t="str">
            <v>Ναι</v>
          </cell>
          <cell r="L1905" t="str">
            <v>ΝΑΙ</v>
          </cell>
          <cell r="O1905" t="str">
            <v/>
          </cell>
        </row>
        <row r="1906">
          <cell r="D1906" t="str">
            <v>ΠΟΡΤΟΚΑΛΙΑ ΠΡΟΣ ΧΥΜΟΠΟΙΗΣΗ19007</v>
          </cell>
          <cell r="E1906" t="str">
            <v>ΠΟΡΤΟΚΑΛΙΑ ΝEWHΑLL</v>
          </cell>
          <cell r="F1906" t="str">
            <v>B_4_2</v>
          </cell>
          <cell r="G1906" t="str">
            <v>Εσπεριδοειδώνες</v>
          </cell>
          <cell r="H1906">
            <v>5135</v>
          </cell>
          <cell r="J1906" t="str">
            <v>Ναι</v>
          </cell>
          <cell r="K1906" t="str">
            <v>Ναι</v>
          </cell>
          <cell r="L1906" t="str">
            <v>ΝΑΙ</v>
          </cell>
          <cell r="O1906" t="str">
            <v/>
          </cell>
        </row>
        <row r="1907">
          <cell r="D1907" t="str">
            <v>ΠΟΡΤΟΚΑΛΙΑ ΠΡΟΣ ΧΥΜΟΠΟΙΗΣΗ19008</v>
          </cell>
          <cell r="E1907" t="str">
            <v>ΠΟΡΤΟΚΑΛΙΑ ΝΑΒΕΛΙΝΑ</v>
          </cell>
          <cell r="F1907" t="str">
            <v>B_4_2</v>
          </cell>
          <cell r="G1907" t="str">
            <v>Εσπεριδοειδώνες</v>
          </cell>
          <cell r="H1907">
            <v>5135</v>
          </cell>
          <cell r="J1907" t="str">
            <v>Ναι</v>
          </cell>
          <cell r="K1907" t="str">
            <v>Ναι</v>
          </cell>
          <cell r="L1907" t="str">
            <v>ΝΑΙ</v>
          </cell>
          <cell r="O1907" t="str">
            <v/>
          </cell>
        </row>
        <row r="1908">
          <cell r="D1908" t="str">
            <v>ΠΟΡΤΟΚΑΛΙΑ ΠΡΟΣ ΧΥΜΟΠΟΙΗΣΗ19009</v>
          </cell>
          <cell r="E1908" t="str">
            <v>ΠΟΡΤΟΚΑΛΙΑ ΝΑVELΑΤE</v>
          </cell>
          <cell r="F1908" t="str">
            <v>B_4_2</v>
          </cell>
          <cell r="G1908" t="str">
            <v>Εσπεριδοειδώνες</v>
          </cell>
          <cell r="H1908">
            <v>5135</v>
          </cell>
          <cell r="J1908" t="str">
            <v>Ναι</v>
          </cell>
          <cell r="K1908" t="str">
            <v>Ναι</v>
          </cell>
          <cell r="L1908" t="str">
            <v>ΝΑΙ</v>
          </cell>
          <cell r="O1908" t="str">
            <v/>
          </cell>
        </row>
        <row r="1909">
          <cell r="D1909" t="str">
            <v>ΠΟΡΤΟΚΑΛΙΑ ΠΡΟΣ ΧΥΜΟΠΟΙΗΣΗ19010</v>
          </cell>
          <cell r="E1909" t="str">
            <v>ΠΟΡΤΟΚΑΛΙΑ ΛΟΙΠ. ΟΜΦΑΛ. ΠΟΙΚΙΛ.</v>
          </cell>
          <cell r="F1909" t="str">
            <v>B_4_2</v>
          </cell>
          <cell r="G1909" t="str">
            <v>Εσπεριδοειδώνες</v>
          </cell>
          <cell r="H1909">
            <v>5135</v>
          </cell>
          <cell r="J1909" t="str">
            <v>Ναι</v>
          </cell>
          <cell r="K1909" t="str">
            <v>Ναι</v>
          </cell>
          <cell r="L1909" t="str">
            <v>ΝΑΙ</v>
          </cell>
          <cell r="O1909" t="str">
            <v/>
          </cell>
        </row>
        <row r="1910">
          <cell r="D1910" t="str">
            <v>ΠΟΡΤΟΚΑΛΙΑ ΠΡΟΣ ΧΥΜΟΠΟΙΗΣΗ19011</v>
          </cell>
          <cell r="E1910" t="str">
            <v>ΠΟΡΤΟΚΑΛΙΑ ΜORO</v>
          </cell>
          <cell r="F1910" t="str">
            <v>B_4_2</v>
          </cell>
          <cell r="G1910" t="str">
            <v>Εσπεριδοειδώνες</v>
          </cell>
          <cell r="H1910">
            <v>5135</v>
          </cell>
          <cell r="J1910" t="str">
            <v>Ναι</v>
          </cell>
          <cell r="K1910" t="str">
            <v>Ναι</v>
          </cell>
          <cell r="L1910" t="str">
            <v>ΝΑΙ</v>
          </cell>
          <cell r="O1910" t="str">
            <v/>
          </cell>
        </row>
        <row r="1911">
          <cell r="D1911" t="str">
            <v>ΠΟΡΤΟΚΑΛΙΑ ΠΡΟΣ ΧΥΜΟΠΟΙΗΣΗ19012</v>
          </cell>
          <cell r="E1911" t="str">
            <v>ΠΟΡΤΟΚΑΛΙΑ ΤΑROCCO</v>
          </cell>
          <cell r="F1911" t="str">
            <v>B_4_2</v>
          </cell>
          <cell r="G1911" t="str">
            <v>Εσπεριδοειδώνες</v>
          </cell>
          <cell r="H1911">
            <v>5135</v>
          </cell>
          <cell r="J1911" t="str">
            <v>Ναι</v>
          </cell>
          <cell r="K1911" t="str">
            <v>Ναι</v>
          </cell>
          <cell r="L1911" t="str">
            <v>ΝΑΙ</v>
          </cell>
          <cell r="O1911" t="str">
            <v/>
          </cell>
        </row>
        <row r="1912">
          <cell r="D1912" t="str">
            <v>ΠΟΡΤΟΚΑΛΙΑ ΠΡΟΣ ΧΥΜΟΠΟΙΗΣΗ19013</v>
          </cell>
          <cell r="E1912" t="str">
            <v>ΠΟΡΤΟΚΑΛΙΑ ΛΟΙΠ. ΑΙΜΑΤΟΧΡ. ΠΟΙΚΙΛ.</v>
          </cell>
          <cell r="F1912" t="str">
            <v>B_4_2</v>
          </cell>
          <cell r="G1912" t="str">
            <v>Εσπεριδοειδώνες</v>
          </cell>
          <cell r="H1912">
            <v>5135</v>
          </cell>
          <cell r="J1912" t="str">
            <v>Ναι</v>
          </cell>
          <cell r="K1912" t="str">
            <v>Ναι</v>
          </cell>
          <cell r="L1912" t="str">
            <v>ΝΑΙ</v>
          </cell>
          <cell r="O1912" t="str">
            <v/>
          </cell>
        </row>
        <row r="1913">
          <cell r="D1913" t="str">
            <v>ΠΟΡΤΟΚΑΛΙΑ ΠΡΟΣ ΧΥΜΟΠΟΙΗΣΗ19014</v>
          </cell>
          <cell r="E1913" t="str">
            <v>ΠΟΡΤΟΚΑΛΙΑ ΓΛΥΚΟΧ. ΠΟΙΚΙΛ.</v>
          </cell>
          <cell r="F1913" t="str">
            <v>B_4_2</v>
          </cell>
          <cell r="G1913" t="str">
            <v>Εσπεριδοειδώνες</v>
          </cell>
          <cell r="H1913">
            <v>5135</v>
          </cell>
          <cell r="J1913" t="str">
            <v>Ναι</v>
          </cell>
          <cell r="K1913" t="str">
            <v>Ναι</v>
          </cell>
          <cell r="L1913" t="str">
            <v>ΝΑΙ</v>
          </cell>
          <cell r="O1913" t="str">
            <v/>
          </cell>
        </row>
        <row r="1914">
          <cell r="D1914" t="str">
            <v>ΠΟΡΤΟΚΑΛΙΑ ΠΡΟΣ ΧΥΜΟΠΟΙΗΣΗ19015</v>
          </cell>
          <cell r="E1914" t="str">
            <v>ΠΟΡΤΟΚΑΛΙΑ ΣΑΛΟΥΣΤΙΑΝΑ</v>
          </cell>
          <cell r="F1914" t="str">
            <v>B_4_2</v>
          </cell>
          <cell r="G1914" t="str">
            <v>Εσπεριδοειδώνες</v>
          </cell>
          <cell r="H1914">
            <v>5135</v>
          </cell>
          <cell r="J1914" t="str">
            <v>Ναι</v>
          </cell>
          <cell r="K1914" t="str">
            <v>Ναι</v>
          </cell>
          <cell r="L1914" t="str">
            <v>ΝΑΙ</v>
          </cell>
          <cell r="O1914" t="str">
            <v/>
          </cell>
        </row>
        <row r="1915">
          <cell r="D1915" t="str">
            <v>ΠΟΡΤΟΚΑΛΙΑ ΠΡΟΣ ΧΥΜΟΠΟΙΗΣΗ19016</v>
          </cell>
          <cell r="E1915" t="str">
            <v>ΠΟΡΤΟΚΑΛΙΑ ΤΥΜΠΑΚΙΟΥ</v>
          </cell>
          <cell r="F1915" t="str">
            <v>B_4_2</v>
          </cell>
          <cell r="G1915" t="str">
            <v>Εσπεριδοειδώνες</v>
          </cell>
          <cell r="H1915">
            <v>5135</v>
          </cell>
          <cell r="J1915" t="str">
            <v>Ναι</v>
          </cell>
          <cell r="K1915" t="str">
            <v>Ναι</v>
          </cell>
          <cell r="L1915" t="str">
            <v>ΝΑΙ</v>
          </cell>
          <cell r="O1915" t="str">
            <v/>
          </cell>
        </row>
        <row r="1916">
          <cell r="D1916" t="str">
            <v>ΠΟΡΤΟΚΑΛΙΑ ΠΡΟΣ ΧΥΜΟΠΟΙΗΣΗ19017</v>
          </cell>
          <cell r="E1916" t="str">
            <v>ΠΟΡΤΟΚΑΛΙΑ LANE LATE</v>
          </cell>
          <cell r="F1916" t="str">
            <v>B_4_2</v>
          </cell>
          <cell r="G1916" t="str">
            <v>Εσπεριδοειδώνες</v>
          </cell>
          <cell r="H1916">
            <v>5135</v>
          </cell>
          <cell r="J1916" t="str">
            <v>Ναι</v>
          </cell>
          <cell r="K1916" t="str">
            <v>Ναι</v>
          </cell>
          <cell r="L1916" t="str">
            <v>ΝΑΙ</v>
          </cell>
          <cell r="O1916" t="str">
            <v/>
          </cell>
        </row>
        <row r="1917">
          <cell r="D1917" t="str">
            <v>ΠΥΡΗΝΟΚΑΡΠΑ10901</v>
          </cell>
          <cell r="E1917" t="str">
            <v>ΔΑΜΑΣΚΗΝΑ ΣΚΟΠΕΛΟΥ</v>
          </cell>
          <cell r="F1917" t="str">
            <v>B_4_1_1_1</v>
          </cell>
          <cell r="G1917" t="str">
            <v>Φυτείες για παραγωγή φρούτων εύκρατης προέλευσης</v>
          </cell>
          <cell r="H1917">
            <v>6750</v>
          </cell>
          <cell r="J1917" t="str">
            <v>Ναι</v>
          </cell>
          <cell r="K1917" t="str">
            <v>Όχι</v>
          </cell>
          <cell r="L1917" t="str">
            <v>ΌΧΙ</v>
          </cell>
          <cell r="O1917" t="str">
            <v/>
          </cell>
        </row>
        <row r="1918">
          <cell r="D1918" t="str">
            <v>ΠΥΡΗΝΟΚΑΡΠΑ14003</v>
          </cell>
          <cell r="E1918" t="str">
            <v>ΚΕΡΑΣΙΕΣ Α</v>
          </cell>
          <cell r="F1918" t="str">
            <v>B_4_1_1_1</v>
          </cell>
          <cell r="G1918" t="str">
            <v>Φυτείες για παραγωγή φρούτων εύκρατης προέλευσης</v>
          </cell>
          <cell r="H1918">
            <v>6750</v>
          </cell>
          <cell r="J1918" t="str">
            <v>Ναι</v>
          </cell>
          <cell r="K1918" t="str">
            <v>Όχι</v>
          </cell>
          <cell r="L1918" t="str">
            <v>ΌΧΙ</v>
          </cell>
          <cell r="O1918" t="str">
            <v/>
          </cell>
        </row>
        <row r="1919">
          <cell r="D1919" t="str">
            <v>ΠΥΡΗΝΟΚΑΡΠΑ14006</v>
          </cell>
          <cell r="E1919" t="str">
            <v>ΚΕΡΑΣΙΕΣ Γ</v>
          </cell>
          <cell r="F1919" t="str">
            <v>B_4_1_1_1</v>
          </cell>
          <cell r="G1919" t="str">
            <v>Φυτείες για παραγωγή φρούτων εύκρατης προέλευσης</v>
          </cell>
          <cell r="H1919">
            <v>6750</v>
          </cell>
          <cell r="J1919" t="str">
            <v>Ναι</v>
          </cell>
          <cell r="K1919" t="str">
            <v>Όχι</v>
          </cell>
          <cell r="L1919" t="str">
            <v>ΌΧΙ</v>
          </cell>
          <cell r="O1919" t="str">
            <v/>
          </cell>
        </row>
        <row r="1920">
          <cell r="D1920" t="str">
            <v>ΠΥΡΗΝΟΚΑΡΠΑ14007</v>
          </cell>
          <cell r="E1920" t="str">
            <v>ΡΟΔΑΚΙΝΙΕΣ Β</v>
          </cell>
          <cell r="F1920" t="str">
            <v>B_4_1_1_1</v>
          </cell>
          <cell r="G1920" t="str">
            <v>Φυτείες για παραγωγή φρούτων εύκρατης προέλευσης</v>
          </cell>
          <cell r="H1920">
            <v>6750</v>
          </cell>
          <cell r="J1920" t="str">
            <v>Ναι</v>
          </cell>
          <cell r="K1920" t="str">
            <v>Όχι</v>
          </cell>
          <cell r="L1920" t="str">
            <v>ΌΧΙ</v>
          </cell>
          <cell r="O1920" t="str">
            <v/>
          </cell>
        </row>
        <row r="1921">
          <cell r="D1921" t="str">
            <v>ΠΥΡΗΝΟΚΑΡΠΑ14008</v>
          </cell>
          <cell r="E1921" t="str">
            <v>ΝΕΚΤΑΡΙΝΙΕΣ Β</v>
          </cell>
          <cell r="F1921" t="str">
            <v>B_4_1_1_1</v>
          </cell>
          <cell r="G1921" t="str">
            <v>Φυτείες για παραγωγή φρούτων εύκρατης προέλευσης</v>
          </cell>
          <cell r="H1921">
            <v>6750</v>
          </cell>
          <cell r="J1921" t="str">
            <v>Ναι</v>
          </cell>
          <cell r="K1921" t="str">
            <v>Όχι</v>
          </cell>
          <cell r="L1921" t="str">
            <v>ΌΧΙ</v>
          </cell>
          <cell r="O1921" t="str">
            <v/>
          </cell>
        </row>
        <row r="1922">
          <cell r="D1922" t="str">
            <v>ΠΥΡΗΝΟΚΑΡΠΑ14036</v>
          </cell>
          <cell r="E1922" t="str">
            <v>ΒΕΡΙΚΟΚΑ ΧΥΜΟΠΟΙΙΑΣ</v>
          </cell>
          <cell r="F1922" t="str">
            <v>B_4_1_1_1</v>
          </cell>
          <cell r="G1922" t="str">
            <v>Φυτείες για παραγωγή φρούτων εύκρατης προέλευσης</v>
          </cell>
          <cell r="H1922">
            <v>6750</v>
          </cell>
          <cell r="J1922" t="str">
            <v>Ναι</v>
          </cell>
          <cell r="K1922" t="str">
            <v>Όχι</v>
          </cell>
          <cell r="L1922" t="str">
            <v>ΌΧΙ</v>
          </cell>
          <cell r="O1922" t="str">
            <v/>
          </cell>
        </row>
        <row r="1923">
          <cell r="D1923" t="str">
            <v>ΠΥΡΗΝΟΚΑΡΠΑ14037</v>
          </cell>
          <cell r="E1923" t="str">
            <v>ΡΟΔΑΚΙΝΑ ΕΠΙΤΡΑΠΕΖΙΑ ΥΠΕΡΠΡΩΙΜΑ</v>
          </cell>
          <cell r="F1923" t="str">
            <v>B_4_1_1_1</v>
          </cell>
          <cell r="G1923" t="str">
            <v>Φυτείες για παραγωγή φρούτων εύκρατης προέλευσης</v>
          </cell>
          <cell r="H1923">
            <v>6750</v>
          </cell>
          <cell r="J1923" t="str">
            <v>Ναι</v>
          </cell>
          <cell r="K1923" t="str">
            <v>Όχι</v>
          </cell>
          <cell r="L1923" t="str">
            <v>ΌΧΙ</v>
          </cell>
          <cell r="O1923" t="str">
            <v/>
          </cell>
        </row>
        <row r="1924">
          <cell r="D1924" t="str">
            <v>ΠΥΡΗΝΟΚΑΡΠΑ14038</v>
          </cell>
          <cell r="E1924" t="str">
            <v>ΝΕΚΤΑΡΙΝΙΑ ΕΠΙΤΡΑΠΕΖΙΑ ΥΠΕΡΠΡΩΙΜΑ</v>
          </cell>
          <cell r="F1924" t="str">
            <v>B_4_1_1_1</v>
          </cell>
          <cell r="G1924" t="str">
            <v>Φυτείες για παραγωγή φρούτων εύκρατης προέλευσης</v>
          </cell>
          <cell r="H1924">
            <v>6750</v>
          </cell>
          <cell r="J1924" t="str">
            <v>Ναι</v>
          </cell>
          <cell r="K1924" t="str">
            <v>Όχι</v>
          </cell>
          <cell r="L1924" t="str">
            <v>ΌΧΙ</v>
          </cell>
          <cell r="O1924" t="str">
            <v/>
          </cell>
        </row>
        <row r="1925">
          <cell r="D1925" t="str">
            <v>ΠΥΡΗΝΟΚΑΡΠΑ66001</v>
          </cell>
          <cell r="E1925" t="str">
            <v>ΒΕΡΙΚΚΟΚΑ ΠΡΩΙΜ. ΠΟΡΟΥ</v>
          </cell>
          <cell r="F1925" t="str">
            <v>B_4_1_1_1</v>
          </cell>
          <cell r="G1925" t="str">
            <v>Φυτείες για παραγωγή φρούτων εύκρατης προέλευσης</v>
          </cell>
          <cell r="H1925">
            <v>6750</v>
          </cell>
          <cell r="J1925" t="str">
            <v>Ναι</v>
          </cell>
          <cell r="K1925" t="str">
            <v>Όχι</v>
          </cell>
          <cell r="L1925" t="str">
            <v>ΌΧΙ</v>
          </cell>
          <cell r="O1925" t="str">
            <v/>
          </cell>
        </row>
        <row r="1926">
          <cell r="D1926" t="str">
            <v>ΠΥΡΗΝΟΚΑΡΠΑ66002</v>
          </cell>
          <cell r="E1926" t="str">
            <v>ΒΕΡΙΚΚΟΚΑ ΤΣΑΟΥΛΙΑ</v>
          </cell>
          <cell r="F1926" t="str">
            <v>B_4_1_1_1</v>
          </cell>
          <cell r="G1926" t="str">
            <v>Φυτείες για παραγωγή φρούτων εύκρατης προέλευσης</v>
          </cell>
          <cell r="H1926">
            <v>6750</v>
          </cell>
          <cell r="J1926" t="str">
            <v>Ναι</v>
          </cell>
          <cell r="K1926" t="str">
            <v>Όχι</v>
          </cell>
          <cell r="L1926" t="str">
            <v>ΌΧΙ</v>
          </cell>
          <cell r="O1926" t="str">
            <v/>
          </cell>
        </row>
        <row r="1927">
          <cell r="D1927" t="str">
            <v>ΠΥΡΗΝΟΚΑΡΠΑ66003</v>
          </cell>
          <cell r="E1927" t="str">
            <v>ΒΕΡΙΚΚΟΚΑ ΠΑΥΛΗ ΡΟΔΟΥ</v>
          </cell>
          <cell r="F1927" t="str">
            <v>B_4_1_1_1</v>
          </cell>
          <cell r="G1927" t="str">
            <v>Φυτείες για παραγωγή φρούτων εύκρατης προέλευσης</v>
          </cell>
          <cell r="H1927">
            <v>6750</v>
          </cell>
          <cell r="J1927" t="str">
            <v>Ναι</v>
          </cell>
          <cell r="K1927" t="str">
            <v>Όχι</v>
          </cell>
          <cell r="L1927" t="str">
            <v>ΌΧΙ</v>
          </cell>
          <cell r="O1927" t="str">
            <v/>
          </cell>
        </row>
        <row r="1928">
          <cell r="D1928" t="str">
            <v>ΠΥΡΗΝΟΚΑΡΠΑ66004</v>
          </cell>
          <cell r="E1928" t="str">
            <v>ΒΕΡΙΚΚΟΚΑ ΠΡΩΪΜΑ ΤΙΡΥΝΘΑΣ</v>
          </cell>
          <cell r="F1928" t="str">
            <v>B_4_1_1_1</v>
          </cell>
          <cell r="G1928" t="str">
            <v>Φυτείες για παραγωγή φρούτων εύκρατης προέλευσης</v>
          </cell>
          <cell r="H1928">
            <v>6750</v>
          </cell>
          <cell r="J1928" t="str">
            <v>Ναι</v>
          </cell>
          <cell r="K1928" t="str">
            <v>Όχι</v>
          </cell>
          <cell r="L1928" t="str">
            <v>ΌΧΙ</v>
          </cell>
          <cell r="O1928" t="str">
            <v/>
          </cell>
        </row>
        <row r="1929">
          <cell r="D1929" t="str">
            <v>ΠΥΡΗΝΟΚΑΡΠΑ66005</v>
          </cell>
          <cell r="E1929" t="str">
            <v>ΒΕΡΙΚΚΟΚΑ ΓΛΥΚΟΚΥΡ. (ΚΑΪΣΙΑ)</v>
          </cell>
          <cell r="F1929" t="str">
            <v>B_4_1_1_1</v>
          </cell>
          <cell r="G1929" t="str">
            <v>Φυτείες για παραγωγή φρούτων εύκρατης προέλευσης</v>
          </cell>
          <cell r="H1929">
            <v>6750</v>
          </cell>
          <cell r="J1929" t="str">
            <v>Ναι</v>
          </cell>
          <cell r="K1929" t="str">
            <v>Όχι</v>
          </cell>
          <cell r="L1929" t="str">
            <v>ΌΧΙ</v>
          </cell>
          <cell r="O1929" t="str">
            <v/>
          </cell>
        </row>
        <row r="1930">
          <cell r="D1930" t="str">
            <v>ΠΥΡΗΝΟΚΑΡΠΑ66006</v>
          </cell>
          <cell r="E1930" t="str">
            <v>ΒΕΡΙΚΚΟΚΑ ΠΛΑΚΑ</v>
          </cell>
          <cell r="F1930" t="str">
            <v>B_4_1_1_1</v>
          </cell>
          <cell r="G1930" t="str">
            <v>Φυτείες για παραγωγή φρούτων εύκρατης προέλευσης</v>
          </cell>
          <cell r="H1930">
            <v>6750</v>
          </cell>
          <cell r="J1930" t="str">
            <v>Ναι</v>
          </cell>
          <cell r="K1930" t="str">
            <v>Όχι</v>
          </cell>
          <cell r="L1930" t="str">
            <v>ΌΧΙ</v>
          </cell>
          <cell r="O1930" t="str">
            <v/>
          </cell>
        </row>
        <row r="1931">
          <cell r="D1931" t="str">
            <v>ΠΥΡΗΝΟΚΑΡΠΑ66007</v>
          </cell>
          <cell r="E1931" t="str">
            <v>ΒΕΡΙΚΚΟΚΑ ΜΠΕΜΠΕΚΟΥ</v>
          </cell>
          <cell r="F1931" t="str">
            <v>B_4_1_1_1</v>
          </cell>
          <cell r="G1931" t="str">
            <v>Φυτείες για παραγωγή φρούτων εύκρατης προέλευσης</v>
          </cell>
          <cell r="H1931">
            <v>6750</v>
          </cell>
          <cell r="J1931" t="str">
            <v>Ναι</v>
          </cell>
          <cell r="K1931" t="str">
            <v>Όχι</v>
          </cell>
          <cell r="L1931" t="str">
            <v>ΌΧΙ</v>
          </cell>
          <cell r="O1931" t="str">
            <v/>
          </cell>
        </row>
        <row r="1932">
          <cell r="D1932" t="str">
            <v>ΠΥΡΗΝΟΚΑΡΠΑ66008</v>
          </cell>
          <cell r="E1932" t="str">
            <v>ΒΕΡΙΚΚΟΚΑ ΔΙΑΜΑΝΤΟΠΟΥΛΟΥ</v>
          </cell>
          <cell r="F1932" t="str">
            <v>B_4_1_1_1</v>
          </cell>
          <cell r="G1932" t="str">
            <v>Φυτείες για παραγωγή φρούτων εύκρατης προέλευσης</v>
          </cell>
          <cell r="H1932">
            <v>6750</v>
          </cell>
          <cell r="J1932" t="str">
            <v>Ναι</v>
          </cell>
          <cell r="K1932" t="str">
            <v>Όχι</v>
          </cell>
          <cell r="L1932" t="str">
            <v>ΌΧΙ</v>
          </cell>
          <cell r="O1932" t="str">
            <v/>
          </cell>
        </row>
        <row r="1933">
          <cell r="D1933" t="str">
            <v>ΠΥΡΗΝΟΚΑΡΠΑ66009</v>
          </cell>
          <cell r="E1933" t="str">
            <v>ΒΕΡΙΚΚΟΚΑ ΧΑΣΙΩΤΙΚΑ</v>
          </cell>
          <cell r="F1933" t="str">
            <v>B_4_1_1_1</v>
          </cell>
          <cell r="G1933" t="str">
            <v>Φυτείες για παραγωγή φρούτων εύκρατης προέλευσης</v>
          </cell>
          <cell r="H1933">
            <v>6750</v>
          </cell>
          <cell r="J1933" t="str">
            <v>Ναι</v>
          </cell>
          <cell r="K1933" t="str">
            <v>Όχι</v>
          </cell>
          <cell r="L1933" t="str">
            <v>ΌΧΙ</v>
          </cell>
          <cell r="O1933" t="str">
            <v/>
          </cell>
        </row>
        <row r="1934">
          <cell r="D1934" t="str">
            <v>ΠΥΡΗΝΟΚΑΡΠΑ66010</v>
          </cell>
          <cell r="E1934" t="str">
            <v>ΒΕΡΙΚΚΟΚΑ LUΙΖEΤ</v>
          </cell>
          <cell r="F1934" t="str">
            <v>B_4_1_1_1</v>
          </cell>
          <cell r="G1934" t="str">
            <v>Φυτείες για παραγωγή φρούτων εύκρατης προέλευσης</v>
          </cell>
          <cell r="H1934">
            <v>6750</v>
          </cell>
          <cell r="J1934" t="str">
            <v>Ναι</v>
          </cell>
          <cell r="K1934" t="str">
            <v>Όχι</v>
          </cell>
          <cell r="L1934" t="str">
            <v>ΌΧΙ</v>
          </cell>
          <cell r="O1934" t="str">
            <v/>
          </cell>
        </row>
        <row r="1935">
          <cell r="D1935" t="str">
            <v>ΠΥΡΗΝΟΚΑΡΠΑ66011</v>
          </cell>
          <cell r="E1935" t="str">
            <v>ΒΕΡΙΚΚΟΚΑ PΑVΙOΤ</v>
          </cell>
          <cell r="F1935" t="str">
            <v>B_4_1_1_1</v>
          </cell>
          <cell r="G1935" t="str">
            <v>Φυτείες για παραγωγή φρούτων εύκρατης προέλευσης</v>
          </cell>
          <cell r="H1935">
            <v>6750</v>
          </cell>
          <cell r="J1935" t="str">
            <v>Ναι</v>
          </cell>
          <cell r="K1935" t="str">
            <v>Όχι</v>
          </cell>
          <cell r="L1935" t="str">
            <v>ΌΧΙ</v>
          </cell>
          <cell r="O1935" t="str">
            <v/>
          </cell>
        </row>
        <row r="1936">
          <cell r="D1936" t="str">
            <v>ΠΥΡΗΝΟΚΑΡΠΑ66012</v>
          </cell>
          <cell r="E1936" t="str">
            <v>ΒΕΡΙΚΚΟΚΑ ROΥΑL</v>
          </cell>
          <cell r="F1936" t="str">
            <v>B_4_1_1_1</v>
          </cell>
          <cell r="G1936" t="str">
            <v>Φυτείες για παραγωγή φρούτων εύκρατης προέλευσης</v>
          </cell>
          <cell r="H1936">
            <v>6750</v>
          </cell>
          <cell r="J1936" t="str">
            <v>Ναι</v>
          </cell>
          <cell r="K1936" t="str">
            <v>Όχι</v>
          </cell>
          <cell r="L1936" t="str">
            <v>ΌΧΙ</v>
          </cell>
          <cell r="O1936" t="str">
            <v/>
          </cell>
        </row>
        <row r="1937">
          <cell r="D1937" t="str">
            <v>ΠΥΡΗΝΟΚΑΡΠΑ66013</v>
          </cell>
          <cell r="E1937" t="str">
            <v>ΒΕΡΙΚΚΟΚΑ ΜΑΛΑΤΙΑ ΑΠΟΞΗΡΑΝΣ.</v>
          </cell>
          <cell r="F1937" t="str">
            <v>B_4_1_1_1</v>
          </cell>
          <cell r="G1937" t="str">
            <v>Φυτείες για παραγωγή φρούτων εύκρατης προέλευσης</v>
          </cell>
          <cell r="H1937">
            <v>6750</v>
          </cell>
          <cell r="J1937" t="str">
            <v>Ναι</v>
          </cell>
          <cell r="K1937" t="str">
            <v>Όχι</v>
          </cell>
          <cell r="L1937" t="str">
            <v>ΌΧΙ</v>
          </cell>
          <cell r="O1937" t="str">
            <v/>
          </cell>
        </row>
        <row r="1938">
          <cell r="D1938" t="str">
            <v>ΠΥΡΗΝΟΚΑΡΠΑ66014</v>
          </cell>
          <cell r="E1938" t="str">
            <v>ΒΕΡΙΚΚΟΚΑ ΛΟΙΠ. ΠΟΙΚΙΛ.</v>
          </cell>
          <cell r="F1938" t="str">
            <v>B_4_1_1_1</v>
          </cell>
          <cell r="G1938" t="str">
            <v>Φυτείες για παραγωγή φρούτων εύκρατης προέλευσης</v>
          </cell>
          <cell r="H1938">
            <v>6750</v>
          </cell>
          <cell r="J1938" t="str">
            <v>Ναι</v>
          </cell>
          <cell r="K1938" t="str">
            <v>Όχι</v>
          </cell>
          <cell r="L1938" t="str">
            <v>ΌΧΙ</v>
          </cell>
          <cell r="O1938" t="str">
            <v/>
          </cell>
        </row>
        <row r="1939">
          <cell r="D1939" t="str">
            <v>ΠΥΡΗΝΟΚΑΡΠΑ66015</v>
          </cell>
          <cell r="E1939" t="str">
            <v>ΒΕΡΙΚΚΟΚΑ ΧΑΡΚΟ</v>
          </cell>
          <cell r="F1939" t="str">
            <v>B_4_1_1_1</v>
          </cell>
          <cell r="G1939" t="str">
            <v>Φυτείες για παραγωγή φρούτων εύκρατης προέλευσης</v>
          </cell>
          <cell r="H1939">
            <v>6750</v>
          </cell>
          <cell r="J1939" t="str">
            <v>Ναι</v>
          </cell>
          <cell r="K1939" t="str">
            <v>Όχι</v>
          </cell>
          <cell r="L1939" t="str">
            <v>ΌΧΙ</v>
          </cell>
          <cell r="O1939" t="str">
            <v/>
          </cell>
        </row>
        <row r="1940">
          <cell r="D1940" t="str">
            <v>ΠΥΡΗΝΟΚΑΡΠΑ66016</v>
          </cell>
          <cell r="E1940" t="str">
            <v>ΒΕΡΙΚΚΟΚΑ ΠΕΛΛΑΣ</v>
          </cell>
          <cell r="F1940" t="str">
            <v>B_4_1_1_1</v>
          </cell>
          <cell r="G1940" t="str">
            <v>Φυτείες για παραγωγή φρούτων εύκρατης προέλευσης</v>
          </cell>
          <cell r="H1940">
            <v>6750</v>
          </cell>
          <cell r="J1940" t="str">
            <v>Ναι</v>
          </cell>
          <cell r="K1940" t="str">
            <v>Όχι</v>
          </cell>
          <cell r="L1940" t="str">
            <v>ΌΧΙ</v>
          </cell>
          <cell r="O1940" t="str">
            <v/>
          </cell>
        </row>
        <row r="1941">
          <cell r="D1941" t="str">
            <v>ΠΥΡΗΝΟΚΑΡΠΑ66017</v>
          </cell>
          <cell r="E1941" t="str">
            <v>ΒΕΡΙΚΚΟΚΑ ΑΟΥΡΟΡΑ</v>
          </cell>
          <cell r="F1941" t="str">
            <v>B_4_1_1_1</v>
          </cell>
          <cell r="G1941" t="str">
            <v>Φυτείες για παραγωγή φρούτων εύκρατης προέλευσης</v>
          </cell>
          <cell r="H1941">
            <v>6750</v>
          </cell>
          <cell r="J1941" t="str">
            <v>Ναι</v>
          </cell>
          <cell r="K1941" t="str">
            <v>Όχι</v>
          </cell>
          <cell r="L1941" t="str">
            <v>ΌΧΙ</v>
          </cell>
          <cell r="O1941" t="str">
            <v/>
          </cell>
        </row>
        <row r="1942">
          <cell r="D1942" t="str">
            <v>ΠΥΡΗΝΟΚΑΡΠΑ66018</v>
          </cell>
          <cell r="E1942" t="str">
            <v>ΒΕΡΙΚΚΟΚΑ ΝΤΟΛΤΣΙΝΕΑ</v>
          </cell>
          <cell r="F1942" t="str">
            <v>B_4_1_1_1</v>
          </cell>
          <cell r="G1942" t="str">
            <v>Φυτείες για παραγωγή φρούτων εύκρατης προέλευσης</v>
          </cell>
          <cell r="H1942">
            <v>6750</v>
          </cell>
          <cell r="J1942" t="str">
            <v>Ναι</v>
          </cell>
          <cell r="K1942" t="str">
            <v>Όχι</v>
          </cell>
          <cell r="L1942" t="str">
            <v>ΌΧΙ</v>
          </cell>
          <cell r="O1942" t="str">
            <v/>
          </cell>
        </row>
        <row r="1943">
          <cell r="D1943" t="str">
            <v>ΠΥΡΗΝΟΚΑΡΠΑ66019</v>
          </cell>
          <cell r="E1943" t="str">
            <v>ΒΕΡΙΚΚΟΚΑ ΠΟΡΤΙΤΣΙ</v>
          </cell>
          <cell r="F1943" t="str">
            <v>B_4_1_1_1</v>
          </cell>
          <cell r="G1943" t="str">
            <v>Φυτείες για παραγωγή φρούτων εύκρατης προέλευσης</v>
          </cell>
          <cell r="H1943">
            <v>6750</v>
          </cell>
          <cell r="J1943" t="str">
            <v>Ναι</v>
          </cell>
          <cell r="K1943" t="str">
            <v>Όχι</v>
          </cell>
          <cell r="L1943" t="str">
            <v>ΌΧΙ</v>
          </cell>
          <cell r="O1943" t="str">
            <v/>
          </cell>
        </row>
        <row r="1944">
          <cell r="D1944" t="str">
            <v>ΠΥΡΗΝΟΚΑΡΠΑ66020</v>
          </cell>
          <cell r="E1944" t="str">
            <v>ΒΕΡΙΚΚΟΚΑ ΝΙΝΦΑ</v>
          </cell>
          <cell r="F1944" t="str">
            <v>B_4_1_1_1</v>
          </cell>
          <cell r="G1944" t="str">
            <v>Φυτείες για παραγωγή φρούτων εύκρατης προέλευσης</v>
          </cell>
          <cell r="H1944">
            <v>6750</v>
          </cell>
          <cell r="J1944" t="str">
            <v>Ναι</v>
          </cell>
          <cell r="K1944" t="str">
            <v>Όχι</v>
          </cell>
          <cell r="L1944" t="str">
            <v>ΌΧΙ</v>
          </cell>
          <cell r="O1944" t="str">
            <v/>
          </cell>
        </row>
        <row r="1945">
          <cell r="D1945" t="str">
            <v>ΠΥΡΗΝΟΚΑΡΠΑ66021</v>
          </cell>
          <cell r="E1945" t="str">
            <v>ΒΕΡΙΚΚΟΚΑ ΟΡΑΝΤΖ ΡΕΝΤ</v>
          </cell>
          <cell r="F1945" t="str">
            <v>B_4_1_1_1</v>
          </cell>
          <cell r="G1945" t="str">
            <v>Φυτείες για παραγωγή φρούτων εύκρατης προέλευσης</v>
          </cell>
          <cell r="H1945">
            <v>6750</v>
          </cell>
          <cell r="J1945" t="str">
            <v>Ναι</v>
          </cell>
          <cell r="K1945" t="str">
            <v>Όχι</v>
          </cell>
          <cell r="L1945" t="str">
            <v>ΌΧΙ</v>
          </cell>
          <cell r="O1945" t="str">
            <v/>
          </cell>
        </row>
        <row r="1946">
          <cell r="D1946" t="str">
            <v>ΠΥΡΗΝΟΚΑΡΠΑ66022</v>
          </cell>
          <cell r="E1946" t="str">
            <v>ΒΕΡΙΚΚΟΚΑ ΣΑΝ ΤΖΑΪΑΝΤ</v>
          </cell>
          <cell r="F1946" t="str">
            <v>B_4_1_1_1</v>
          </cell>
          <cell r="G1946" t="str">
            <v>Φυτείες για παραγωγή φρούτων εύκρατης προέλευσης</v>
          </cell>
          <cell r="H1946">
            <v>6750</v>
          </cell>
          <cell r="J1946" t="str">
            <v>Ναι</v>
          </cell>
          <cell r="K1946" t="str">
            <v>Όχι</v>
          </cell>
          <cell r="L1946" t="str">
            <v>ΌΧΙ</v>
          </cell>
          <cell r="O1946" t="str">
            <v/>
          </cell>
        </row>
        <row r="1947">
          <cell r="D1947" t="str">
            <v>ΠΥΡΗΝΟΚΑΡΠΑ66023</v>
          </cell>
          <cell r="E1947" t="str">
            <v>ΒΕΡΙΚΚΟΚΑ ΠΙΝΚ ΚΟΤ</v>
          </cell>
          <cell r="F1947" t="str">
            <v>B_4_1_1_1</v>
          </cell>
          <cell r="G1947" t="str">
            <v>Φυτείες για παραγωγή φρούτων εύκρατης προέλευσης</v>
          </cell>
          <cell r="H1947">
            <v>6750</v>
          </cell>
          <cell r="J1947" t="str">
            <v>Ναι</v>
          </cell>
          <cell r="K1947" t="str">
            <v>Όχι</v>
          </cell>
          <cell r="L1947" t="str">
            <v>ΌΧΙ</v>
          </cell>
          <cell r="O1947" t="str">
            <v/>
          </cell>
        </row>
        <row r="1948">
          <cell r="D1948" t="str">
            <v>ΠΥΡΗΝΟΚΑΡΠΑ66024</v>
          </cell>
          <cell r="E1948" t="str">
            <v>ΒΕΡΙΚΟΚΑ ΒΙΤΙΛΛΟ</v>
          </cell>
          <cell r="F1948" t="str">
            <v>B_4_1_1_1</v>
          </cell>
          <cell r="G1948" t="str">
            <v>Φυτείες για παραγωγή φρούτων εύκρατης προέλευσης</v>
          </cell>
          <cell r="H1948">
            <v>6750</v>
          </cell>
          <cell r="J1948" t="str">
            <v>Ναι</v>
          </cell>
          <cell r="K1948" t="str">
            <v>Όχι</v>
          </cell>
          <cell r="L1948" t="str">
            <v>ΌΧΙ</v>
          </cell>
          <cell r="O1948" t="str">
            <v/>
          </cell>
        </row>
        <row r="1949">
          <cell r="D1949" t="str">
            <v>ΠΥΡΗΝΟΚΑΡΠΑ66025</v>
          </cell>
          <cell r="E1949" t="str">
            <v>ΒΕΡΙΚΚΟΚΑ ΜΠΕΡΖΕΡΟΝ</v>
          </cell>
          <cell r="F1949" t="str">
            <v>B_4_1_1_1</v>
          </cell>
          <cell r="G1949" t="str">
            <v>Φυτείες για παραγωγή φρούτων εύκρατης προέλευσης</v>
          </cell>
          <cell r="H1949">
            <v>6750</v>
          </cell>
          <cell r="J1949" t="str">
            <v>Ναι</v>
          </cell>
          <cell r="K1949" t="str">
            <v>Όχι</v>
          </cell>
          <cell r="L1949" t="str">
            <v>ΌΧΙ</v>
          </cell>
          <cell r="O1949" t="str">
            <v/>
          </cell>
        </row>
        <row r="1950">
          <cell r="D1950" t="str">
            <v>ΠΥΡΗΝΟΚΑΡΠΑ66026</v>
          </cell>
          <cell r="E1950" t="str">
            <v>ΒΕΡΙΚΟΚΑ ΣΑΜΠΑΤΙΝΑ</v>
          </cell>
          <cell r="F1950" t="str">
            <v>B_4_1_1_1</v>
          </cell>
          <cell r="G1950" t="str">
            <v>Φυτείες για παραγωγή φρούτων εύκρατης προέλευσης</v>
          </cell>
          <cell r="H1950">
            <v>6750</v>
          </cell>
          <cell r="J1950" t="str">
            <v>Ναι</v>
          </cell>
          <cell r="K1950" t="str">
            <v>Όχι</v>
          </cell>
          <cell r="L1950" t="str">
            <v>ΌΧΙ</v>
          </cell>
          <cell r="O1950" t="str">
            <v/>
          </cell>
        </row>
        <row r="1951">
          <cell r="D1951" t="str">
            <v>ΠΥΡΗΝΟΚΑΡΠΑ66027</v>
          </cell>
          <cell r="E1951" t="str">
            <v>ΒΕΡΙΚΟΚΑ ΚΑΡΜΕΝ</v>
          </cell>
          <cell r="F1951" t="str">
            <v>B_4_1_1_1</v>
          </cell>
          <cell r="G1951" t="str">
            <v>Φυτείες για παραγωγή φρούτων εύκρατης προέλευσης</v>
          </cell>
          <cell r="H1951">
            <v>6750</v>
          </cell>
          <cell r="J1951" t="str">
            <v>Ναι</v>
          </cell>
          <cell r="K1951" t="str">
            <v>Όχι</v>
          </cell>
          <cell r="L1951" t="str">
            <v>ΌΧΙ</v>
          </cell>
          <cell r="O1951" t="str">
            <v/>
          </cell>
        </row>
        <row r="1952">
          <cell r="D1952" t="str">
            <v>ΠΥΡΗΝΟΚΑΡΠΑ66028</v>
          </cell>
          <cell r="E1952" t="str">
            <v>ΒΕΡΙΚΟΚΑ ΝΗΡΗΙΣ</v>
          </cell>
          <cell r="F1952" t="str">
            <v>B_4_1_1_1</v>
          </cell>
          <cell r="G1952" t="str">
            <v>Φυτείες για παραγωγή φρούτων εύκρατης προέλευσης</v>
          </cell>
          <cell r="H1952">
            <v>6750</v>
          </cell>
          <cell r="J1952" t="str">
            <v>Ναι</v>
          </cell>
          <cell r="K1952" t="str">
            <v>Όχι</v>
          </cell>
          <cell r="L1952" t="str">
            <v>ΌΧΙ</v>
          </cell>
          <cell r="O1952" t="str">
            <v/>
          </cell>
        </row>
        <row r="1953">
          <cell r="D1953" t="str">
            <v>ΠΥΡΗΝΟΚΑΡΠΑ66029</v>
          </cell>
          <cell r="E1953" t="str">
            <v>ΒΕΡΙΚΟΚΑ ΝΙΟΒΗ</v>
          </cell>
          <cell r="F1953" t="str">
            <v>B_4_1_1_1</v>
          </cell>
          <cell r="G1953" t="str">
            <v>Φυτείες για παραγωγή φρούτων εύκρατης προέλευσης</v>
          </cell>
          <cell r="H1953">
            <v>6750</v>
          </cell>
          <cell r="J1953" t="str">
            <v>Ναι</v>
          </cell>
          <cell r="K1953" t="str">
            <v>Όχι</v>
          </cell>
          <cell r="L1953" t="str">
            <v>ΌΧΙ</v>
          </cell>
          <cell r="O1953" t="str">
            <v/>
          </cell>
        </row>
        <row r="1954">
          <cell r="D1954" t="str">
            <v>ΠΥΡΗΝΟΚΑΡΠΑ66030</v>
          </cell>
          <cell r="E1954" t="str">
            <v>ΒΕΡΙΚΟΚΑ ΝΟΣΤΟΣ</v>
          </cell>
          <cell r="F1954" t="str">
            <v>B_4_1_1_1</v>
          </cell>
          <cell r="G1954" t="str">
            <v>Φυτείες για παραγωγή φρούτων εύκρατης προέλευσης</v>
          </cell>
          <cell r="H1954">
            <v>6750</v>
          </cell>
          <cell r="J1954" t="str">
            <v>Ναι</v>
          </cell>
          <cell r="K1954" t="str">
            <v>Όχι</v>
          </cell>
          <cell r="L1954" t="str">
            <v>ΌΧΙ</v>
          </cell>
          <cell r="O1954" t="str">
            <v/>
          </cell>
        </row>
        <row r="1955">
          <cell r="D1955" t="str">
            <v>ΠΥΡΗΝΟΚΑΡΠΑ66031</v>
          </cell>
          <cell r="E1955" t="str">
            <v>ΒΕΡΙΚΟΚΑ ΚΟΛΙΟΠΟΥΛΟΥ</v>
          </cell>
          <cell r="F1955" t="str">
            <v>B_4_1_1_1</v>
          </cell>
          <cell r="G1955" t="str">
            <v>Φυτείες για παραγωγή φρούτων εύκρατης προέλευσης</v>
          </cell>
          <cell r="H1955">
            <v>6750</v>
          </cell>
          <cell r="J1955" t="str">
            <v>Ναι</v>
          </cell>
          <cell r="K1955" t="str">
            <v>Όχι</v>
          </cell>
          <cell r="L1955" t="str">
            <v>ΌΧΙ</v>
          </cell>
          <cell r="O1955" t="str">
            <v/>
          </cell>
        </row>
        <row r="1956">
          <cell r="D1956" t="str">
            <v>ΠΥΡΗΝΟΚΑΡΠΑ66032</v>
          </cell>
          <cell r="E1956" t="str">
            <v>ΔΑΜΑΣΚΗΝΑ ΝΩΠΑ</v>
          </cell>
          <cell r="F1956" t="str">
            <v>B_4_1_1_1</v>
          </cell>
          <cell r="G1956" t="str">
            <v>Φυτείες για παραγωγή φρούτων εύκρατης προέλευσης</v>
          </cell>
          <cell r="H1956">
            <v>6750</v>
          </cell>
          <cell r="J1956" t="str">
            <v>Ναι</v>
          </cell>
          <cell r="K1956" t="str">
            <v>Όχι</v>
          </cell>
          <cell r="L1956" t="str">
            <v>ΌΧΙ</v>
          </cell>
          <cell r="O1956" t="str">
            <v/>
          </cell>
        </row>
        <row r="1957">
          <cell r="D1957" t="str">
            <v>ΠΥΡΗΝΟΚΑΡΠΑ66033</v>
          </cell>
          <cell r="E1957" t="str">
            <v>ΚΟΡΟΜΗΛΑ</v>
          </cell>
          <cell r="F1957" t="str">
            <v>B_4_1_1_1</v>
          </cell>
          <cell r="G1957" t="str">
            <v>Φυτείες για παραγωγή φρούτων εύκρατης προέλευσης</v>
          </cell>
          <cell r="H1957">
            <v>6750</v>
          </cell>
          <cell r="J1957" t="str">
            <v>Ναι</v>
          </cell>
          <cell r="K1957" t="str">
            <v>Όχι</v>
          </cell>
          <cell r="L1957" t="str">
            <v>ΌΧΙ</v>
          </cell>
          <cell r="O1957" t="str">
            <v/>
          </cell>
        </row>
        <row r="1958">
          <cell r="D1958" t="str">
            <v>ΠΥΡΗΝΟΚΑΡΠΑ66034</v>
          </cell>
          <cell r="E1958" t="str">
            <v>ΔΑΜΑΣΚΗΝΑ ΣΑΝΤΑ ΡΟΖΑ</v>
          </cell>
          <cell r="F1958" t="str">
            <v>B_4_1_1_1</v>
          </cell>
          <cell r="G1958" t="str">
            <v>Φυτείες για παραγωγή φρούτων εύκρατης προέλευσης</v>
          </cell>
          <cell r="H1958">
            <v>6750</v>
          </cell>
          <cell r="J1958" t="str">
            <v>Ναι</v>
          </cell>
          <cell r="K1958" t="str">
            <v>Όχι</v>
          </cell>
          <cell r="L1958" t="str">
            <v>ΌΧΙ</v>
          </cell>
          <cell r="O1958" t="str">
            <v/>
          </cell>
        </row>
        <row r="1959">
          <cell r="D1959" t="str">
            <v>ΠΥΡΗΝΟΚΑΡΠΑ66035</v>
          </cell>
          <cell r="E1959" t="str">
            <v>ΔΑΜΑΣΚΗΝΑ ΜΠΛΑΚ ΜΠΙΟΥΤΥ</v>
          </cell>
          <cell r="F1959" t="str">
            <v>B_4_1_1_1</v>
          </cell>
          <cell r="G1959" t="str">
            <v>Φυτείες για παραγωγή φρούτων εύκρατης προέλευσης</v>
          </cell>
          <cell r="H1959">
            <v>6750</v>
          </cell>
          <cell r="J1959" t="str">
            <v>Ναι</v>
          </cell>
          <cell r="K1959" t="str">
            <v>Όχι</v>
          </cell>
          <cell r="L1959" t="str">
            <v>ΌΧΙ</v>
          </cell>
          <cell r="O1959" t="str">
            <v/>
          </cell>
        </row>
        <row r="1960">
          <cell r="D1960" t="str">
            <v>ΠΥΡΗΝΟΚΑΡΠΑ66036</v>
          </cell>
          <cell r="E1960" t="str">
            <v>ΔΑΜΑΣΚΗΝΑ ΜΠΛΑΚ ΣΤΑΡ</v>
          </cell>
          <cell r="F1960" t="str">
            <v>B_4_1_1_1</v>
          </cell>
          <cell r="G1960" t="str">
            <v>Φυτείες για παραγωγή φρούτων εύκρατης προέλευσης</v>
          </cell>
          <cell r="H1960">
            <v>6750</v>
          </cell>
          <cell r="J1960" t="str">
            <v>Ναι</v>
          </cell>
          <cell r="K1960" t="str">
            <v>Όχι</v>
          </cell>
          <cell r="L1960" t="str">
            <v>ΌΧΙ</v>
          </cell>
          <cell r="O1960" t="str">
            <v/>
          </cell>
        </row>
        <row r="1961">
          <cell r="D1961" t="str">
            <v>ΠΥΡΗΝΟΚΑΡΠΑ66037</v>
          </cell>
          <cell r="E1961" t="str">
            <v>ΔΑΜΑΣΚΗΝΑ ΚΑΛΙΤΑ</v>
          </cell>
          <cell r="F1961" t="str">
            <v>B_4_1_1_1</v>
          </cell>
          <cell r="G1961" t="str">
            <v>Φυτείες για παραγωγή φρούτων εύκρατης προέλευσης</v>
          </cell>
          <cell r="H1961">
            <v>6750</v>
          </cell>
          <cell r="J1961" t="str">
            <v>Ναι</v>
          </cell>
          <cell r="K1961" t="str">
            <v>Όχι</v>
          </cell>
          <cell r="L1961" t="str">
            <v>ΌΧΙ</v>
          </cell>
          <cell r="O1961" t="str">
            <v/>
          </cell>
        </row>
        <row r="1962">
          <cell r="D1962" t="str">
            <v>ΠΥΡΗΝΟΚΑΡΠΑ66038</v>
          </cell>
          <cell r="E1962" t="str">
            <v>ΔΑΜΑΣΚΗΝΑ ΜΠΛΑΚ ΓΚΟΛΝΤ</v>
          </cell>
          <cell r="F1962" t="str">
            <v>B_4_1_1_1</v>
          </cell>
          <cell r="G1962" t="str">
            <v>Φυτείες για παραγωγή φρούτων εύκρατης προέλευσης</v>
          </cell>
          <cell r="H1962">
            <v>6750</v>
          </cell>
          <cell r="J1962" t="str">
            <v>Ναι</v>
          </cell>
          <cell r="K1962" t="str">
            <v>Όχι</v>
          </cell>
          <cell r="L1962" t="str">
            <v>ΌΧΙ</v>
          </cell>
          <cell r="O1962" t="str">
            <v/>
          </cell>
        </row>
        <row r="1963">
          <cell r="D1963" t="str">
            <v>ΠΥΡΗΝΟΚΑΡΠΑ66039</v>
          </cell>
          <cell r="E1963" t="str">
            <v>ΔΑΜΑΣΚΗΝΑ ΜΠΛΑΚ ΝΤΑΪΜΟΝΤ</v>
          </cell>
          <cell r="F1963" t="str">
            <v>B_4_1_1_1</v>
          </cell>
          <cell r="G1963" t="str">
            <v>Φυτείες για παραγωγή φρούτων εύκρατης προέλευσης</v>
          </cell>
          <cell r="H1963">
            <v>6750</v>
          </cell>
          <cell r="J1963" t="str">
            <v>Ναι</v>
          </cell>
          <cell r="K1963" t="str">
            <v>Όχι</v>
          </cell>
          <cell r="L1963" t="str">
            <v>ΌΧΙ</v>
          </cell>
          <cell r="O1963" t="str">
            <v/>
          </cell>
        </row>
        <row r="1964">
          <cell r="D1964" t="str">
            <v>ΠΥΡΗΝΟΚΑΡΠΑ66040</v>
          </cell>
          <cell r="E1964" t="str">
            <v>ΔΑΜΑΣΚΗΝΑ ΛΑΡΟΝΤΑ</v>
          </cell>
          <cell r="F1964" t="str">
            <v>B_4_1_1_1</v>
          </cell>
          <cell r="G1964" t="str">
            <v>Φυτείες για παραγωγή φρούτων εύκρατης προέλευσης</v>
          </cell>
          <cell r="H1964">
            <v>6750</v>
          </cell>
          <cell r="J1964" t="str">
            <v>Ναι</v>
          </cell>
          <cell r="K1964" t="str">
            <v>Όχι</v>
          </cell>
          <cell r="L1964" t="str">
            <v>ΌΧΙ</v>
          </cell>
          <cell r="O1964" t="str">
            <v/>
          </cell>
        </row>
        <row r="1965">
          <cell r="D1965" t="str">
            <v>ΠΥΡΗΝΟΚΑΡΠΑ66041</v>
          </cell>
          <cell r="E1965" t="str">
            <v>ΔΑΜΑΣΚΗΝΑ ΑΖΕΝ</v>
          </cell>
          <cell r="F1965" t="str">
            <v>B_4_1_1_1</v>
          </cell>
          <cell r="G1965" t="str">
            <v>Φυτείες για παραγωγή φρούτων εύκρατης προέλευσης</v>
          </cell>
          <cell r="H1965">
            <v>6750</v>
          </cell>
          <cell r="J1965" t="str">
            <v>Ναι</v>
          </cell>
          <cell r="K1965" t="str">
            <v>Όχι</v>
          </cell>
          <cell r="L1965" t="str">
            <v>ΌΧΙ</v>
          </cell>
          <cell r="O1965" t="str">
            <v/>
          </cell>
        </row>
        <row r="1966">
          <cell r="D1966" t="str">
            <v>ΠΥΡΗΝΟΚΑΡΠΑ66042</v>
          </cell>
          <cell r="E1966" t="str">
            <v>ΔΑΜΑΣΚΗΝΑ ΦΡΙΑΡ</v>
          </cell>
          <cell r="F1966" t="str">
            <v>B_4_1_1_1</v>
          </cell>
          <cell r="G1966" t="str">
            <v>Φυτείες για παραγωγή φρούτων εύκρατης προέλευσης</v>
          </cell>
          <cell r="H1966">
            <v>6750</v>
          </cell>
          <cell r="J1966" t="str">
            <v>Ναι</v>
          </cell>
          <cell r="K1966" t="str">
            <v>Όχι</v>
          </cell>
          <cell r="L1966" t="str">
            <v>ΌΧΙ</v>
          </cell>
          <cell r="O1966" t="str">
            <v/>
          </cell>
        </row>
        <row r="1967">
          <cell r="D1967" t="str">
            <v>ΠΥΡΗΝΟΚΑΡΠΑ66043</v>
          </cell>
          <cell r="E1967" t="str">
            <v>ΔΑΜΑΣΚΗΝΑ ΣΤΑΝΛΕΫ</v>
          </cell>
          <cell r="F1967" t="str">
            <v>B_4_1_1_1</v>
          </cell>
          <cell r="G1967" t="str">
            <v>Φυτείες για παραγωγή φρούτων εύκρατης προέλευσης</v>
          </cell>
          <cell r="H1967">
            <v>6750</v>
          </cell>
          <cell r="J1967" t="str">
            <v>Ναι</v>
          </cell>
          <cell r="K1967" t="str">
            <v>Όχι</v>
          </cell>
          <cell r="L1967" t="str">
            <v>ΌΧΙ</v>
          </cell>
          <cell r="O1967" t="str">
            <v/>
          </cell>
        </row>
        <row r="1968">
          <cell r="D1968" t="str">
            <v>ΠΥΡΗΝΟΚΑΡΠΑ66044</v>
          </cell>
          <cell r="E1968" t="str">
            <v>ΔΑΜΑΣΚΗΝΑ ΠΡΕΖΙΝΤΕΝΤ</v>
          </cell>
          <cell r="F1968" t="str">
            <v>B_4_1_1_1</v>
          </cell>
          <cell r="G1968" t="str">
            <v>Φυτείες για παραγωγή φρούτων εύκρατης προέλευσης</v>
          </cell>
          <cell r="H1968">
            <v>6750</v>
          </cell>
          <cell r="J1968" t="str">
            <v>Ναι</v>
          </cell>
          <cell r="K1968" t="str">
            <v>Όχι</v>
          </cell>
          <cell r="L1968" t="str">
            <v>ΌΧΙ</v>
          </cell>
          <cell r="O1968" t="str">
            <v/>
          </cell>
        </row>
        <row r="1969">
          <cell r="D1969" t="str">
            <v>ΠΥΡΗΝΟΚΑΡΠΑ66045</v>
          </cell>
          <cell r="E1969" t="str">
            <v>ΔΑΜΑΣΚΗΝΑ ΑΝΤΖΕΛΙΝΟ</v>
          </cell>
          <cell r="F1969" t="str">
            <v>B_4_1_1_1</v>
          </cell>
          <cell r="G1969" t="str">
            <v>Φυτείες για παραγωγή φρούτων εύκρατης προέλευσης</v>
          </cell>
          <cell r="H1969">
            <v>6750</v>
          </cell>
          <cell r="J1969" t="str">
            <v>Ναι</v>
          </cell>
          <cell r="K1969" t="str">
            <v>Όχι</v>
          </cell>
          <cell r="L1969" t="str">
            <v>ΌΧΙ</v>
          </cell>
          <cell r="O1969" t="str">
            <v/>
          </cell>
        </row>
        <row r="1970">
          <cell r="D1970" t="str">
            <v>ΠΥΡΗΝΟΚΑΡΠΑ66046</v>
          </cell>
          <cell r="E1970" t="str">
            <v>ΔΑΜΑΣΚΗΝΑ ΜΠΛΑΚ ΓΟΥΛΦ</v>
          </cell>
          <cell r="F1970" t="str">
            <v>B_4_1_1_1</v>
          </cell>
          <cell r="G1970" t="str">
            <v>Φυτείες για παραγωγή φρούτων εύκρατης προέλευσης</v>
          </cell>
          <cell r="H1970">
            <v>6750</v>
          </cell>
          <cell r="J1970" t="str">
            <v>Ναι</v>
          </cell>
          <cell r="K1970" t="str">
            <v>Όχι</v>
          </cell>
          <cell r="L1970" t="str">
            <v>ΌΧΙ</v>
          </cell>
          <cell r="O1970" t="str">
            <v/>
          </cell>
        </row>
        <row r="1971">
          <cell r="D1971" t="str">
            <v>ΠΥΡΗΝΟΚΑΡΠΑ66047</v>
          </cell>
          <cell r="E1971" t="str">
            <v>ΔΑΜΑΣΚ.ΡΕΝΤΚΛ.,ΒΑΙΟΛ</v>
          </cell>
          <cell r="F1971" t="str">
            <v>B_4_1_1_1</v>
          </cell>
          <cell r="G1971" t="str">
            <v>Φυτείες για παραγωγή φρούτων εύκρατης προέλευσης</v>
          </cell>
          <cell r="H1971">
            <v>6750</v>
          </cell>
          <cell r="J1971" t="str">
            <v>Ναι</v>
          </cell>
          <cell r="K1971" t="str">
            <v>Όχι</v>
          </cell>
          <cell r="L1971" t="str">
            <v>ΌΧΙ</v>
          </cell>
          <cell r="O1971" t="str">
            <v/>
          </cell>
        </row>
        <row r="1972">
          <cell r="D1972" t="str">
            <v>ΠΥΡΗΝΟΚΑΡΠΑ66048</v>
          </cell>
          <cell r="E1972" t="str">
            <v>ΔΑΜΑΣΚ. ΜΙΝΤΝΑΪΤΣΑΝ</v>
          </cell>
          <cell r="F1972" t="str">
            <v>B_4_1_1_1</v>
          </cell>
          <cell r="G1972" t="str">
            <v>Φυτείες για παραγωγή φρούτων εύκρατης προέλευσης</v>
          </cell>
          <cell r="H1972">
            <v>6750</v>
          </cell>
          <cell r="J1972" t="str">
            <v>Ναι</v>
          </cell>
          <cell r="K1972" t="str">
            <v>Όχι</v>
          </cell>
          <cell r="L1972" t="str">
            <v>ΌΧΙ</v>
          </cell>
          <cell r="O1972" t="str">
            <v/>
          </cell>
        </row>
        <row r="1973">
          <cell r="D1973" t="str">
            <v>ΠΥΡΗΝΟΚΑΡΠΑ66049</v>
          </cell>
          <cell r="E1973" t="str">
            <v>ΔΑΜΑΣΚ. ΜΠΕΛΛΑ ΝΤΙ ΜΠΑΡΜΠΙΝΑ</v>
          </cell>
          <cell r="F1973" t="str">
            <v>B_4_1_1_1</v>
          </cell>
          <cell r="G1973" t="str">
            <v>Φυτείες για παραγωγή φρούτων εύκρατης προέλευσης</v>
          </cell>
          <cell r="H1973">
            <v>6750</v>
          </cell>
          <cell r="J1973" t="str">
            <v>Ναι</v>
          </cell>
          <cell r="K1973" t="str">
            <v>Όχι</v>
          </cell>
          <cell r="L1973" t="str">
            <v>ΌΧΙ</v>
          </cell>
          <cell r="O1973" t="str">
            <v/>
          </cell>
        </row>
        <row r="1974">
          <cell r="D1974" t="str">
            <v>ΠΥΡΗΝΟΚΑΡΠΑ66050</v>
          </cell>
          <cell r="E1974" t="str">
            <v>ΔΑΜΑΣΚ. ΡΟΖΑ ΝΤΕ ΦΕΛΙΣΙΟΥΣ</v>
          </cell>
          <cell r="F1974" t="str">
            <v>B_4_1_1_1</v>
          </cell>
          <cell r="G1974" t="str">
            <v>Φυτείες για παραγωγή φρούτων εύκρατης προέλευσης</v>
          </cell>
          <cell r="H1974">
            <v>6750</v>
          </cell>
          <cell r="J1974" t="str">
            <v>Ναι</v>
          </cell>
          <cell r="K1974" t="str">
            <v>Όχι</v>
          </cell>
          <cell r="L1974" t="str">
            <v>ΌΧΙ</v>
          </cell>
          <cell r="O1974" t="str">
            <v/>
          </cell>
        </row>
        <row r="1975">
          <cell r="D1975" t="str">
            <v>ΠΥΡΗΝΟΚΑΡΠΑ66051</v>
          </cell>
          <cell r="E1975" t="str">
            <v>ΔΑΜΑΣΚ. ΦΟΡΤΣΟΥΝ</v>
          </cell>
          <cell r="F1975" t="str">
            <v>B_4_1_1_1</v>
          </cell>
          <cell r="G1975" t="str">
            <v>Φυτείες για παραγωγή φρούτων εύκρατης προέλευσης</v>
          </cell>
          <cell r="H1975">
            <v>6750</v>
          </cell>
          <cell r="J1975" t="str">
            <v>Ναι</v>
          </cell>
          <cell r="K1975" t="str">
            <v>Όχι</v>
          </cell>
          <cell r="L1975" t="str">
            <v>ΌΧΙ</v>
          </cell>
          <cell r="O1975" t="str">
            <v/>
          </cell>
        </row>
        <row r="1976">
          <cell r="D1976" t="str">
            <v>ΠΥΡΗΝΟΚΑΡΠΑ66052</v>
          </cell>
          <cell r="E1976" t="str">
            <v>ΔΑΜΑΣΚ. T.C. sun</v>
          </cell>
          <cell r="F1976" t="str">
            <v>B_4_1_1_1</v>
          </cell>
          <cell r="G1976" t="str">
            <v>Φυτείες για παραγωγή φρούτων εύκρατης προέλευσης</v>
          </cell>
          <cell r="H1976">
            <v>6750</v>
          </cell>
          <cell r="J1976" t="str">
            <v>Ναι</v>
          </cell>
          <cell r="K1976" t="str">
            <v>Όχι</v>
          </cell>
          <cell r="L1976" t="str">
            <v>ΌΧΙ</v>
          </cell>
          <cell r="O1976" t="str">
            <v/>
          </cell>
        </row>
        <row r="1977">
          <cell r="D1977" t="str">
            <v>ΠΥΡΗΝΟΚΑΡΠΑ66053</v>
          </cell>
          <cell r="E1977" t="str">
            <v>ΔΑΜΑΣΚΗΝΑ ΡΕΝΤ ΜΠΙΟΥΤΥ</v>
          </cell>
          <cell r="F1977" t="str">
            <v>B_4_1_1_1</v>
          </cell>
          <cell r="G1977" t="str">
            <v>Φυτείες για παραγωγή φρούτων εύκρατης προέλευσης</v>
          </cell>
          <cell r="H1977">
            <v>6750</v>
          </cell>
          <cell r="J1977" t="str">
            <v>Ναι</v>
          </cell>
          <cell r="K1977" t="str">
            <v>Όχι</v>
          </cell>
          <cell r="L1977" t="str">
            <v>ΌΧΙ</v>
          </cell>
          <cell r="O1977" t="str">
            <v/>
          </cell>
        </row>
        <row r="1978">
          <cell r="D1978" t="str">
            <v>ΠΥΡΗΝΟΚΑΡΠΑ66054</v>
          </cell>
          <cell r="E1978" t="str">
            <v>ΔΑΜΑΣΚΗΝΑ ΜΠΛΑΚ ΑΜΠΕΡ</v>
          </cell>
          <cell r="F1978" t="str">
            <v>B_4_1_1_1</v>
          </cell>
          <cell r="G1978" t="str">
            <v>Φυτείες για παραγωγή φρούτων εύκρατης προέλευσης</v>
          </cell>
          <cell r="H1978">
            <v>6750</v>
          </cell>
          <cell r="J1978" t="str">
            <v>Ναι</v>
          </cell>
          <cell r="K1978" t="str">
            <v>Όχι</v>
          </cell>
          <cell r="L1978" t="str">
            <v>ΌΧΙ</v>
          </cell>
          <cell r="O1978" t="str">
            <v/>
          </cell>
        </row>
        <row r="1979">
          <cell r="D1979" t="str">
            <v>ΠΥΡΗΝΟΚΑΡΠΑ66055</v>
          </cell>
          <cell r="E1979" t="str">
            <v>ΔΑΜΑΣΚΗΝΑ ΟΤΟΜ ΤΖΑΪΑΝΤ</v>
          </cell>
          <cell r="F1979" t="str">
            <v>B_4_1_1_1</v>
          </cell>
          <cell r="G1979" t="str">
            <v>Φυτείες για παραγωγή φρούτων εύκρατης προέλευσης</v>
          </cell>
          <cell r="H1979">
            <v>6750</v>
          </cell>
          <cell r="J1979" t="str">
            <v>Ναι</v>
          </cell>
          <cell r="K1979" t="str">
            <v>Όχι</v>
          </cell>
          <cell r="L1979" t="str">
            <v>ΌΧΙ</v>
          </cell>
          <cell r="O1979" t="str">
            <v/>
          </cell>
        </row>
        <row r="1980">
          <cell r="D1980" t="str">
            <v>ΠΥΡΗΝΟΚΑΡΠΑ66056</v>
          </cell>
          <cell r="E1980" t="str">
            <v>ΔΑΜΑΣΚΗΝΑ OCTOBER SUN</v>
          </cell>
          <cell r="F1980" t="str">
            <v>B_4_1_1_1</v>
          </cell>
          <cell r="G1980" t="str">
            <v>Φυτείες για παραγωγή φρούτων εύκρατης προέλευσης</v>
          </cell>
          <cell r="H1980">
            <v>6750</v>
          </cell>
          <cell r="J1980" t="str">
            <v>Ναι</v>
          </cell>
          <cell r="K1980" t="str">
            <v>Όχι</v>
          </cell>
          <cell r="L1980" t="str">
            <v>ΌΧΙ</v>
          </cell>
          <cell r="O1980" t="str">
            <v/>
          </cell>
        </row>
        <row r="1981">
          <cell r="D1981" t="str">
            <v>ΠΥΡΗΝΟΚΑΡΠΑ66057</v>
          </cell>
          <cell r="E1981" t="str">
            <v>ΔΑΜΑΣΚΗΝΑ ΣΑΝΤΑ ΡΟΖΑ ΟΨΙΜΑ</v>
          </cell>
          <cell r="F1981" t="str">
            <v>B_4_1_1_1</v>
          </cell>
          <cell r="G1981" t="str">
            <v>Φυτείες για παραγωγή φρούτων εύκρατης προέλευσης</v>
          </cell>
          <cell r="H1981">
            <v>6750</v>
          </cell>
          <cell r="J1981" t="str">
            <v>Ναι</v>
          </cell>
          <cell r="K1981" t="str">
            <v>Όχι</v>
          </cell>
          <cell r="L1981" t="str">
            <v>ΌΧΙ</v>
          </cell>
          <cell r="O1981" t="str">
            <v/>
          </cell>
        </row>
        <row r="1982">
          <cell r="D1982" t="str">
            <v>ΠΥΡΗΝΟΚΑΡΠΑ66058</v>
          </cell>
          <cell r="E1982" t="str">
            <v>ΚΕΡΑΣΙΑ ΠΡΩΙΜΑ</v>
          </cell>
          <cell r="F1982" t="str">
            <v>B_4_1_1_1</v>
          </cell>
          <cell r="G1982" t="str">
            <v>Φυτείες για παραγωγή φρούτων εύκρατης προέλευσης</v>
          </cell>
          <cell r="H1982">
            <v>6750</v>
          </cell>
          <cell r="J1982" t="str">
            <v>Ναι</v>
          </cell>
          <cell r="K1982" t="str">
            <v>Όχι</v>
          </cell>
          <cell r="L1982" t="str">
            <v>ΌΧΙ</v>
          </cell>
          <cell r="O1982" t="str">
            <v/>
          </cell>
        </row>
        <row r="1983">
          <cell r="D1983" t="str">
            <v>ΠΥΡΗΝΟΚΑΡΠΑ66059</v>
          </cell>
          <cell r="E1983" t="str">
            <v>ΚΕΡΑΣΙΑ ΠΙΚΑΡΩ ΜΠΟΥΡΛΑ</v>
          </cell>
          <cell r="F1983" t="str">
            <v>B_4_1_1_1</v>
          </cell>
          <cell r="G1983" t="str">
            <v>Φυτείες για παραγωγή φρούτων εύκρατης προέλευσης</v>
          </cell>
          <cell r="H1983">
            <v>6750</v>
          </cell>
          <cell r="J1983" t="str">
            <v>Ναι</v>
          </cell>
          <cell r="K1983" t="str">
            <v>Όχι</v>
          </cell>
          <cell r="L1983" t="str">
            <v>ΌΧΙ</v>
          </cell>
          <cell r="O1983" t="str">
            <v/>
          </cell>
        </row>
        <row r="1984">
          <cell r="D1984" t="str">
            <v>ΠΥΡΗΝΟΚΑΡΠΑ66060</v>
          </cell>
          <cell r="E1984" t="str">
            <v>ΚΕΡΑΣΙΑ ΠΙΚΑΡΩ ΜΠΟΥΡΛΑ ΥΠΕΡΠΡΩΙΜΑ</v>
          </cell>
          <cell r="F1984" t="str">
            <v>B_4_1_1_1</v>
          </cell>
          <cell r="G1984" t="str">
            <v>Φυτείες για παραγωγή φρούτων εύκρατης προέλευσης</v>
          </cell>
          <cell r="H1984">
            <v>6750</v>
          </cell>
          <cell r="J1984" t="str">
            <v>Ναι</v>
          </cell>
          <cell r="K1984" t="str">
            <v>Όχι</v>
          </cell>
          <cell r="L1984" t="str">
            <v>ΌΧΙ</v>
          </cell>
          <cell r="O1984" t="str">
            <v/>
          </cell>
        </row>
        <row r="1985">
          <cell r="D1985" t="str">
            <v>ΠΥΡΗΝΟΚΑΡΠΑ66061</v>
          </cell>
          <cell r="E1985" t="str">
            <v>ΚΕΡΑΣΙΑ ΜΑΥΡΟ ΕΔΕΣΣΗΣ</v>
          </cell>
          <cell r="F1985" t="str">
            <v>B_4_1_1_1</v>
          </cell>
          <cell r="G1985" t="str">
            <v>Φυτείες για παραγωγή φρούτων εύκρατης προέλευσης</v>
          </cell>
          <cell r="H1985">
            <v>6750</v>
          </cell>
          <cell r="J1985" t="str">
            <v>Ναι</v>
          </cell>
          <cell r="K1985" t="str">
            <v>Όχι</v>
          </cell>
          <cell r="L1985" t="str">
            <v>ΌΧΙ</v>
          </cell>
          <cell r="O1985" t="str">
            <v/>
          </cell>
        </row>
        <row r="1986">
          <cell r="D1986" t="str">
            <v>ΠΥΡΗΝΟΚΑΡΠΑ66062</v>
          </cell>
          <cell r="E1986" t="str">
            <v>ΚΕΡΑΣΙΑ ΤΡΑΓΑΝΑ ΒΟΛΟΥ</v>
          </cell>
          <cell r="F1986" t="str">
            <v>B_4_1_1_1</v>
          </cell>
          <cell r="G1986" t="str">
            <v>Φυτείες για παραγωγή φρούτων εύκρατης προέλευσης</v>
          </cell>
          <cell r="H1986">
            <v>6750</v>
          </cell>
          <cell r="J1986" t="str">
            <v>Ναι</v>
          </cell>
          <cell r="K1986" t="str">
            <v>Όχι</v>
          </cell>
          <cell r="L1986" t="str">
            <v>ΌΧΙ</v>
          </cell>
          <cell r="O1986" t="str">
            <v/>
          </cell>
        </row>
        <row r="1987">
          <cell r="D1987" t="str">
            <v>ΠΥΡΗΝΟΚΑΡΠΑ66063</v>
          </cell>
          <cell r="E1987" t="str">
            <v>ΚΕΡΑΣΙΑ ΓΑΛΑΝΑ - ΝΑΠΟΛΕΩΝ</v>
          </cell>
          <cell r="F1987" t="str">
            <v>B_4_1_1_1</v>
          </cell>
          <cell r="G1987" t="str">
            <v>Φυτείες για παραγωγή φρούτων εύκρατης προέλευσης</v>
          </cell>
          <cell r="H1987">
            <v>6750</v>
          </cell>
          <cell r="J1987" t="str">
            <v>Ναι</v>
          </cell>
          <cell r="K1987" t="str">
            <v>Όχι</v>
          </cell>
          <cell r="L1987" t="str">
            <v>ΌΧΙ</v>
          </cell>
          <cell r="O1987" t="str">
            <v/>
          </cell>
        </row>
        <row r="1988">
          <cell r="D1988" t="str">
            <v>ΠΥΡΗΝΟΚΑΡΠΑ66064</v>
          </cell>
          <cell r="E1988" t="str">
            <v>ΚΕΡΑΣΙΑ ΦΡΑΟΥΛΑ ΒΟΛΟΥ</v>
          </cell>
          <cell r="F1988" t="str">
            <v>B_4_1_1_1</v>
          </cell>
          <cell r="G1988" t="str">
            <v>Φυτείες για παραγωγή φρούτων εύκρατης προέλευσης</v>
          </cell>
          <cell r="H1988">
            <v>6750</v>
          </cell>
          <cell r="J1988" t="str">
            <v>Ναι</v>
          </cell>
          <cell r="K1988" t="str">
            <v>Όχι</v>
          </cell>
          <cell r="L1988" t="str">
            <v>ΌΧΙ</v>
          </cell>
          <cell r="O1988" t="str">
            <v/>
          </cell>
        </row>
        <row r="1989">
          <cell r="D1989" t="str">
            <v>ΠΥΡΗΝΟΚΑΡΠΑ66065</v>
          </cell>
          <cell r="E1989" t="str">
            <v>ΚΕΡΑΣΙΑ ΛΟΙΠ. ΠΟΙΚΙΛ.</v>
          </cell>
          <cell r="F1989" t="str">
            <v>B_4_1_1_1</v>
          </cell>
          <cell r="G1989" t="str">
            <v>Φυτείες για παραγωγή φρούτων εύκρατης προέλευσης</v>
          </cell>
          <cell r="H1989">
            <v>6750</v>
          </cell>
          <cell r="J1989" t="str">
            <v>Ναι</v>
          </cell>
          <cell r="K1989" t="str">
            <v>Όχι</v>
          </cell>
          <cell r="L1989" t="str">
            <v>ΌΧΙ</v>
          </cell>
          <cell r="O1989" t="str">
            <v/>
          </cell>
        </row>
        <row r="1990">
          <cell r="D1990" t="str">
            <v>ΠΥΡΗΝΟΚΑΡΠΑ66066</v>
          </cell>
          <cell r="E1990" t="str">
            <v>ΚΕΡΑΣΙΑ ΒΑΝ</v>
          </cell>
          <cell r="F1990" t="str">
            <v>B_4_1_1_1</v>
          </cell>
          <cell r="G1990" t="str">
            <v>Φυτείες για παραγωγή φρούτων εύκρατης προέλευσης</v>
          </cell>
          <cell r="H1990">
            <v>6750</v>
          </cell>
          <cell r="J1990" t="str">
            <v>Ναι</v>
          </cell>
          <cell r="K1990" t="str">
            <v>Όχι</v>
          </cell>
          <cell r="L1990" t="str">
            <v>ΌΧΙ</v>
          </cell>
          <cell r="O1990" t="str">
            <v/>
          </cell>
        </row>
        <row r="1991">
          <cell r="D1991" t="str">
            <v>ΠΥΡΗΝΟΚΑΡΠΑ66067</v>
          </cell>
          <cell r="E1991" t="str">
            <v>ΚΕΡΑΣΙΑ ΧΑΡΝΤΙΖΑΝΤ</v>
          </cell>
          <cell r="F1991" t="str">
            <v>B_4_1_1_1</v>
          </cell>
          <cell r="G1991" t="str">
            <v>Φυτείες για παραγωγή φρούτων εύκρατης προέλευσης</v>
          </cell>
          <cell r="H1991">
            <v>6750</v>
          </cell>
          <cell r="J1991" t="str">
            <v>Ναι</v>
          </cell>
          <cell r="K1991" t="str">
            <v>Όχι</v>
          </cell>
          <cell r="L1991" t="str">
            <v>ΌΧΙ</v>
          </cell>
          <cell r="O1991" t="str">
            <v/>
          </cell>
        </row>
        <row r="1992">
          <cell r="D1992" t="str">
            <v>ΠΥΡΗΝΟΚΑΡΠΑ66068</v>
          </cell>
          <cell r="E1992" t="str">
            <v>ΚΕΡΑΣΙΑ ΜΑΡΜΟΝΤ</v>
          </cell>
          <cell r="F1992" t="str">
            <v>B_4_1_1_1</v>
          </cell>
          <cell r="G1992" t="str">
            <v>Φυτείες για παραγωγή φρούτων εύκρατης προέλευσης</v>
          </cell>
          <cell r="H1992">
            <v>6750</v>
          </cell>
          <cell r="J1992" t="str">
            <v>Ναι</v>
          </cell>
          <cell r="K1992" t="str">
            <v>Όχι</v>
          </cell>
          <cell r="L1992" t="str">
            <v>ΌΧΙ</v>
          </cell>
          <cell r="O1992" t="str">
            <v/>
          </cell>
        </row>
        <row r="1993">
          <cell r="D1993" t="str">
            <v>ΠΥΡΗΝΟΚΑΡΠΑ66069</v>
          </cell>
          <cell r="E1993" t="str">
            <v>ΚΕΡΑΣΙΑ ΠΙΣΤΟΓΙΑ</v>
          </cell>
          <cell r="F1993" t="str">
            <v>B_4_1_1_1</v>
          </cell>
          <cell r="G1993" t="str">
            <v>Φυτείες για παραγωγή φρούτων εύκρατης προέλευσης</v>
          </cell>
          <cell r="H1993">
            <v>6750</v>
          </cell>
          <cell r="J1993" t="str">
            <v>Ναι</v>
          </cell>
          <cell r="K1993" t="str">
            <v>Όχι</v>
          </cell>
          <cell r="L1993" t="str">
            <v>ΌΧΙ</v>
          </cell>
          <cell r="O1993" t="str">
            <v/>
          </cell>
        </row>
        <row r="1994">
          <cell r="D1994" t="str">
            <v>ΠΥΡΗΝΟΚΑΡΠΑ66070</v>
          </cell>
          <cell r="E1994" t="str">
            <v>ΚΕΡΑΣΙΑ ΜΠΙΓΚ</v>
          </cell>
          <cell r="F1994" t="str">
            <v>B_4_1_1_1</v>
          </cell>
          <cell r="G1994" t="str">
            <v>Φυτείες για παραγωγή φρούτων εύκρατης προέλευσης</v>
          </cell>
          <cell r="H1994">
            <v>6750</v>
          </cell>
          <cell r="J1994" t="str">
            <v>Ναι</v>
          </cell>
          <cell r="K1994" t="str">
            <v>Όχι</v>
          </cell>
          <cell r="L1994" t="str">
            <v>ΌΧΙ</v>
          </cell>
          <cell r="O1994" t="str">
            <v/>
          </cell>
        </row>
        <row r="1995">
          <cell r="D1995" t="str">
            <v>ΠΥΡΗΝΟΚΑΡΠΑ66071</v>
          </cell>
          <cell r="E1995" t="str">
            <v>ΚΕΡΑΣΙΑ ΣΤΕΛΛΑ</v>
          </cell>
          <cell r="F1995" t="str">
            <v>B_4_1_1_1</v>
          </cell>
          <cell r="G1995" t="str">
            <v>Φυτείες για παραγωγή φρούτων εύκρατης προέλευσης</v>
          </cell>
          <cell r="H1995">
            <v>6750</v>
          </cell>
          <cell r="J1995" t="str">
            <v>Ναι</v>
          </cell>
          <cell r="K1995" t="str">
            <v>Όχι</v>
          </cell>
          <cell r="L1995" t="str">
            <v>ΌΧΙ</v>
          </cell>
          <cell r="O1995" t="str">
            <v/>
          </cell>
        </row>
        <row r="1996">
          <cell r="D1996" t="str">
            <v>ΠΥΡΗΝΟΚΑΡΠΑ66072</v>
          </cell>
          <cell r="E1996" t="str">
            <v>ΚΕΡΑΣΙΑ ΔΕΛΜΑΡ</v>
          </cell>
          <cell r="F1996" t="str">
            <v>B_4_1_1_1</v>
          </cell>
          <cell r="G1996" t="str">
            <v>Φυτείες για παραγωγή φρούτων εύκρατης προέλευσης</v>
          </cell>
          <cell r="H1996">
            <v>6750</v>
          </cell>
          <cell r="J1996" t="str">
            <v>Ναι</v>
          </cell>
          <cell r="K1996" t="str">
            <v>Όχι</v>
          </cell>
          <cell r="L1996" t="str">
            <v>ΌΧΙ</v>
          </cell>
          <cell r="O1996" t="str">
            <v/>
          </cell>
        </row>
        <row r="1997">
          <cell r="D1997" t="str">
            <v>ΠΥΡΗΝΟΚΑΡΠΑ66073</v>
          </cell>
          <cell r="E1997" t="str">
            <v>ΚΕΡΑΣΙΑ ΠΡΙΜΑΒΕΡΑ</v>
          </cell>
          <cell r="F1997" t="str">
            <v>B_4_1_1_1</v>
          </cell>
          <cell r="G1997" t="str">
            <v>Φυτείες για παραγωγή φρούτων εύκρατης προέλευσης</v>
          </cell>
          <cell r="H1997">
            <v>6750</v>
          </cell>
          <cell r="J1997" t="str">
            <v>Ναι</v>
          </cell>
          <cell r="K1997" t="str">
            <v>Όχι</v>
          </cell>
          <cell r="L1997" t="str">
            <v>ΌΧΙ</v>
          </cell>
          <cell r="O1997" t="str">
            <v/>
          </cell>
        </row>
        <row r="1998">
          <cell r="D1998" t="str">
            <v>ΠΥΡΗΝΟΚΑΡΠΑ66074</v>
          </cell>
          <cell r="E1998" t="str">
            <v>ΚΕΡΑΣΙΑ ΒΕΡΟΝΑ</v>
          </cell>
          <cell r="F1998" t="str">
            <v>B_4_1_1_1</v>
          </cell>
          <cell r="G1998" t="str">
            <v>Φυτείες για παραγωγή φρούτων εύκρατης προέλευσης</v>
          </cell>
          <cell r="H1998">
            <v>6750</v>
          </cell>
          <cell r="J1998" t="str">
            <v>Ναι</v>
          </cell>
          <cell r="K1998" t="str">
            <v>Όχι</v>
          </cell>
          <cell r="L1998" t="str">
            <v>ΌΧΙ</v>
          </cell>
          <cell r="O1998" t="str">
            <v/>
          </cell>
        </row>
        <row r="1999">
          <cell r="D1999" t="str">
            <v>ΠΥΡΗΝΟΚΑΡΠΑ66075</v>
          </cell>
          <cell r="E1999" t="str">
            <v>ΚΕΡΑΣΙΑ ΛΑΜΠΕ</v>
          </cell>
          <cell r="F1999" t="str">
            <v>B_4_1_1_1</v>
          </cell>
          <cell r="G1999" t="str">
            <v>Φυτείες για παραγωγή φρούτων εύκρατης προέλευσης</v>
          </cell>
          <cell r="H1999">
            <v>6750</v>
          </cell>
          <cell r="J1999" t="str">
            <v>Ναι</v>
          </cell>
          <cell r="K1999" t="str">
            <v>Όχι</v>
          </cell>
          <cell r="L1999" t="str">
            <v>ΌΧΙ</v>
          </cell>
          <cell r="O1999" t="str">
            <v/>
          </cell>
        </row>
        <row r="2000">
          <cell r="D2000" t="str">
            <v>ΠΥΡΗΝΟΚΑΡΠΑ66076</v>
          </cell>
          <cell r="E2000" t="str">
            <v>ΚΕΡΑΣΙΑ ΒΑΛΕΡΑ</v>
          </cell>
          <cell r="F2000" t="str">
            <v>B_4_1_1_1</v>
          </cell>
          <cell r="G2000" t="str">
            <v>Φυτείες για παραγωγή φρούτων εύκρατης προέλευσης</v>
          </cell>
          <cell r="H2000">
            <v>6750</v>
          </cell>
          <cell r="J2000" t="str">
            <v>Ναι</v>
          </cell>
          <cell r="K2000" t="str">
            <v>Όχι</v>
          </cell>
          <cell r="L2000" t="str">
            <v>ΌΧΙ</v>
          </cell>
          <cell r="O2000" t="str">
            <v/>
          </cell>
        </row>
        <row r="2001">
          <cell r="D2001" t="str">
            <v>ΠΥΡΗΝΟΚΑΡΠΑ66077</v>
          </cell>
          <cell r="E2001" t="str">
            <v>ΚΕΡΑΣΙΑ ΦΕΡΟΒΙΑ</v>
          </cell>
          <cell r="F2001" t="str">
            <v>B_4_1_1_1</v>
          </cell>
          <cell r="G2001" t="str">
            <v>Φυτείες για παραγωγή φρούτων εύκρατης προέλευσης</v>
          </cell>
          <cell r="H2001">
            <v>6750</v>
          </cell>
          <cell r="J2001" t="str">
            <v>Ναι</v>
          </cell>
          <cell r="K2001" t="str">
            <v>Όχι</v>
          </cell>
          <cell r="L2001" t="str">
            <v>ΌΧΙ</v>
          </cell>
          <cell r="O2001" t="str">
            <v/>
          </cell>
        </row>
        <row r="2002">
          <cell r="D2002" t="str">
            <v>ΠΥΡΗΝΟΚΑΡΠΑ66078</v>
          </cell>
          <cell r="E2002" t="str">
            <v>ΚΕΡΑΣΙΑ ΝΤΟΥΙΛ</v>
          </cell>
          <cell r="F2002" t="str">
            <v>B_4_1_1_1</v>
          </cell>
          <cell r="G2002" t="str">
            <v>Φυτείες για παραγωγή φρούτων εύκρατης προέλευσης</v>
          </cell>
          <cell r="H2002">
            <v>6750</v>
          </cell>
          <cell r="J2002" t="str">
            <v>Ναι</v>
          </cell>
          <cell r="K2002" t="str">
            <v>Όχι</v>
          </cell>
          <cell r="L2002" t="str">
            <v>ΌΧΙ</v>
          </cell>
          <cell r="O2002" t="str">
            <v/>
          </cell>
        </row>
        <row r="2003">
          <cell r="D2003" t="str">
            <v>ΠΥΡΗΝΟΚΑΡΠΑ66079</v>
          </cell>
          <cell r="E2003" t="str">
            <v>ΚΕΡΑΣΙΑ ΒΟΓΚ</v>
          </cell>
          <cell r="F2003" t="str">
            <v>B_4_1_1_1</v>
          </cell>
          <cell r="G2003" t="str">
            <v>Φυτείες για παραγωγή φρούτων εύκρατης προέλευσης</v>
          </cell>
          <cell r="H2003">
            <v>6750</v>
          </cell>
          <cell r="J2003" t="str">
            <v>Ναι</v>
          </cell>
          <cell r="K2003" t="str">
            <v>Όχι</v>
          </cell>
          <cell r="L2003" t="str">
            <v>ΌΧΙ</v>
          </cell>
          <cell r="O2003" t="str">
            <v/>
          </cell>
        </row>
        <row r="2004">
          <cell r="D2004" t="str">
            <v>ΠΥΡΗΝΟΚΑΡΠΑ66080</v>
          </cell>
          <cell r="E2004" t="str">
            <v>ΚΕΡΑΣΙΑ ΛΑΡΙΕΝ</v>
          </cell>
          <cell r="F2004" t="str">
            <v>B_4_1_1_1</v>
          </cell>
          <cell r="G2004" t="str">
            <v>Φυτείες για παραγωγή φρούτων εύκρατης προέλευσης</v>
          </cell>
          <cell r="H2004">
            <v>6750</v>
          </cell>
          <cell r="J2004" t="str">
            <v>Ναι</v>
          </cell>
          <cell r="K2004" t="str">
            <v>Όχι</v>
          </cell>
          <cell r="L2004" t="str">
            <v>ΌΧΙ</v>
          </cell>
          <cell r="O2004" t="str">
            <v/>
          </cell>
        </row>
        <row r="2005">
          <cell r="D2005" t="str">
            <v>ΠΥΡΗΝΟΚΑΡΠΑ66081</v>
          </cell>
          <cell r="E2005" t="str">
            <v>ΚΕΡΑΣΙΑ ΣΑΜΠΑΡΜΠΣ</v>
          </cell>
          <cell r="F2005" t="str">
            <v>B_4_1_1_1</v>
          </cell>
          <cell r="G2005" t="str">
            <v>Φυτείες για παραγωγή φρούτων εύκρατης προέλευσης</v>
          </cell>
          <cell r="H2005">
            <v>6750</v>
          </cell>
          <cell r="J2005" t="str">
            <v>Ναι</v>
          </cell>
          <cell r="K2005" t="str">
            <v>Όχι</v>
          </cell>
          <cell r="L2005" t="str">
            <v>ΌΧΙ</v>
          </cell>
          <cell r="O2005" t="str">
            <v/>
          </cell>
        </row>
        <row r="2006">
          <cell r="D2006" t="str">
            <v>ΠΥΡΗΝΟΚΑΡΠΑ66082</v>
          </cell>
          <cell r="E2006" t="str">
            <v>ΚΕΡΑΣΙΑ ΚΟΚΚΙΝΟ ΑΝΑΣΤΑΣΙΑΣ</v>
          </cell>
          <cell r="F2006" t="str">
            <v>B_4_1_1_1</v>
          </cell>
          <cell r="G2006" t="str">
            <v>Φυτείες για παραγωγή φρούτων εύκρατης προέλευσης</v>
          </cell>
          <cell r="H2006">
            <v>6750</v>
          </cell>
          <cell r="J2006" t="str">
            <v>Ναι</v>
          </cell>
          <cell r="K2006" t="str">
            <v>Όχι</v>
          </cell>
          <cell r="L2006" t="str">
            <v>ΌΧΙ</v>
          </cell>
          <cell r="O2006" t="str">
            <v/>
          </cell>
        </row>
        <row r="2007">
          <cell r="D2007" t="str">
            <v>ΠΥΡΗΝΟΚΑΡΠΑ66083</v>
          </cell>
          <cell r="E2007" t="str">
            <v>ΚΕΡΑΣΙΑ ΧΕΝΤΕΛΦΙΓΚ</v>
          </cell>
          <cell r="F2007" t="str">
            <v>B_4_1_1_1</v>
          </cell>
          <cell r="G2007" t="str">
            <v>Φυτείες για παραγωγή φρούτων εύκρατης προέλευσης</v>
          </cell>
          <cell r="H2007">
            <v>6750</v>
          </cell>
          <cell r="J2007" t="str">
            <v>Ναι</v>
          </cell>
          <cell r="K2007" t="str">
            <v>Όχι</v>
          </cell>
          <cell r="L2007" t="str">
            <v>ΌΧΙ</v>
          </cell>
          <cell r="O2007" t="str">
            <v/>
          </cell>
        </row>
        <row r="2008">
          <cell r="D2008" t="str">
            <v>ΠΥΡΗΝΟΚΑΡΠΑ66084</v>
          </cell>
          <cell r="E2008" t="str">
            <v>ΚΕΡΑΣΙΑ ΤΣΙΝΟΥΚ</v>
          </cell>
          <cell r="F2008" t="str">
            <v>B_4_1_1_1</v>
          </cell>
          <cell r="G2008" t="str">
            <v>Φυτείες για παραγωγή φρούτων εύκρατης προέλευσης</v>
          </cell>
          <cell r="H2008">
            <v>6750</v>
          </cell>
          <cell r="J2008" t="str">
            <v>Ναι</v>
          </cell>
          <cell r="K2008" t="str">
            <v>Όχι</v>
          </cell>
          <cell r="L2008" t="str">
            <v>ΌΧΙ</v>
          </cell>
          <cell r="O2008" t="str">
            <v/>
          </cell>
        </row>
        <row r="2009">
          <cell r="D2009" t="str">
            <v>ΠΥΡΗΝΟΚΑΡΠΑ66085</v>
          </cell>
          <cell r="E2009" t="str">
            <v>ΚΕΡΑΣΙΑ ΓΚΙΓΙΩΜ</v>
          </cell>
          <cell r="F2009" t="str">
            <v>B_4_1_1_1</v>
          </cell>
          <cell r="G2009" t="str">
            <v>Φυτείες για παραγωγή φρούτων εύκρατης προέλευσης</v>
          </cell>
          <cell r="H2009">
            <v>6750</v>
          </cell>
          <cell r="J2009" t="str">
            <v>Ναι</v>
          </cell>
          <cell r="K2009" t="str">
            <v>Όχι</v>
          </cell>
          <cell r="L2009" t="str">
            <v>ΌΧΙ</v>
          </cell>
          <cell r="O2009" t="str">
            <v/>
          </cell>
        </row>
        <row r="2010">
          <cell r="D2010" t="str">
            <v>ΠΥΡΗΝΟΚΑΡΠΑ66086</v>
          </cell>
          <cell r="E2010" t="str">
            <v>ΚΕΡΑΣΙΑ ΚΡ21</v>
          </cell>
          <cell r="F2010" t="str">
            <v>B_4_1_1_1</v>
          </cell>
          <cell r="G2010" t="str">
            <v>Φυτείες για παραγωγή φρούτων εύκρατης προέλευσης</v>
          </cell>
          <cell r="H2010">
            <v>6750</v>
          </cell>
          <cell r="J2010" t="str">
            <v>Ναι</v>
          </cell>
          <cell r="K2010" t="str">
            <v>Όχι</v>
          </cell>
          <cell r="L2010" t="str">
            <v>ΌΧΙ</v>
          </cell>
          <cell r="O2010" t="str">
            <v/>
          </cell>
        </row>
        <row r="2011">
          <cell r="D2011" t="str">
            <v>ΠΥΡΗΝΟΚΑΡΠΑ66087</v>
          </cell>
          <cell r="E2011" t="str">
            <v>ΚΕΡΑΣΙΑ ΝΤΟΡΑΝΑ</v>
          </cell>
          <cell r="F2011" t="str">
            <v>B_4_1_1_1</v>
          </cell>
          <cell r="G2011" t="str">
            <v>Φυτείες για παραγωγή φρούτων εύκρατης προέλευσης</v>
          </cell>
          <cell r="H2011">
            <v>6750</v>
          </cell>
          <cell r="J2011" t="str">
            <v>Ναι</v>
          </cell>
          <cell r="K2011" t="str">
            <v>Όχι</v>
          </cell>
          <cell r="L2011" t="str">
            <v>ΌΧΙ</v>
          </cell>
          <cell r="O2011" t="str">
            <v/>
          </cell>
        </row>
        <row r="2012">
          <cell r="D2012" t="str">
            <v>ΠΥΡΗΝΟΚΑΡΠΑ66088</v>
          </cell>
          <cell r="E2012" t="str">
            <v>ΚΕΡΑΣΙΑ ΑΝΤΡΙΑΝΑ</v>
          </cell>
          <cell r="F2012" t="str">
            <v>B_4_1_1_1</v>
          </cell>
          <cell r="G2012" t="str">
            <v>Φυτείες για παραγωγή φρούτων εύκρατης προέλευσης</v>
          </cell>
          <cell r="H2012">
            <v>6750</v>
          </cell>
          <cell r="J2012" t="str">
            <v>Ναι</v>
          </cell>
          <cell r="K2012" t="str">
            <v>Όχι</v>
          </cell>
          <cell r="L2012" t="str">
            <v>ΌΧΙ</v>
          </cell>
          <cell r="O2012" t="str">
            <v/>
          </cell>
        </row>
        <row r="2013">
          <cell r="D2013" t="str">
            <v>ΠΥΡΗΝΟΚΑΡΠΑ66089</v>
          </cell>
          <cell r="E2013" t="str">
            <v>ΚΕΡΑΣΙΑ ΛΕΜΟΝΙΔΗ</v>
          </cell>
          <cell r="F2013" t="str">
            <v>B_4_1_1_1</v>
          </cell>
          <cell r="G2013" t="str">
            <v>Φυτείες για παραγωγή φρούτων εύκρατης προέλευσης</v>
          </cell>
          <cell r="H2013">
            <v>6750</v>
          </cell>
          <cell r="J2013" t="str">
            <v>Ναι</v>
          </cell>
          <cell r="K2013" t="str">
            <v>Όχι</v>
          </cell>
          <cell r="L2013" t="str">
            <v>ΌΧΙ</v>
          </cell>
          <cell r="O2013" t="str">
            <v/>
          </cell>
        </row>
        <row r="2014">
          <cell r="D2014" t="str">
            <v>ΠΥΡΗΝΟΚΑΡΠΑ66090</v>
          </cell>
          <cell r="E2014" t="str">
            <v>ΚΕΡΑΣΙΑ ΣΤΑΡΚΡΙΜΣΟΝ</v>
          </cell>
          <cell r="F2014" t="str">
            <v>B_4_1_1_1</v>
          </cell>
          <cell r="G2014" t="str">
            <v>Φυτείες για παραγωγή φρούτων εύκρατης προέλευσης</v>
          </cell>
          <cell r="H2014">
            <v>6750</v>
          </cell>
          <cell r="J2014" t="str">
            <v>Ναι</v>
          </cell>
          <cell r="K2014" t="str">
            <v>Όχι</v>
          </cell>
          <cell r="L2014" t="str">
            <v>ΌΧΙ</v>
          </cell>
          <cell r="O2014" t="str">
            <v/>
          </cell>
        </row>
        <row r="2015">
          <cell r="D2015" t="str">
            <v>ΠΥΡΗΝΟΚΑΡΠΑ66091</v>
          </cell>
          <cell r="E2015" t="str">
            <v>ΚΕΡΑΣΙΑ ΠΡΕΚΟΣ ΜΠΕΡΝΑΡ</v>
          </cell>
          <cell r="F2015" t="str">
            <v>B_4_1_1_1</v>
          </cell>
          <cell r="G2015" t="str">
            <v>Φυτείες για παραγωγή φρούτων εύκρατης προέλευσης</v>
          </cell>
          <cell r="H2015">
            <v>6750</v>
          </cell>
          <cell r="J2015" t="str">
            <v>Ναι</v>
          </cell>
          <cell r="K2015" t="str">
            <v>Όχι</v>
          </cell>
          <cell r="L2015" t="str">
            <v>ΌΧΙ</v>
          </cell>
          <cell r="O2015" t="str">
            <v/>
          </cell>
        </row>
        <row r="2016">
          <cell r="D2016" t="str">
            <v>ΠΥΡΗΝΟΚΑΡΠΑ66092</v>
          </cell>
          <cell r="E2016" t="str">
            <v>ΚΕΡΑΣΙΑ GERMERSDORFER</v>
          </cell>
          <cell r="F2016" t="str">
            <v>B_4_1_1_1</v>
          </cell>
          <cell r="G2016" t="str">
            <v>Φυτείες για παραγωγή φρούτων εύκρατης προέλευσης</v>
          </cell>
          <cell r="H2016">
            <v>6750</v>
          </cell>
          <cell r="J2016" t="str">
            <v>Ναι</v>
          </cell>
          <cell r="K2016" t="str">
            <v>Όχι</v>
          </cell>
          <cell r="L2016" t="str">
            <v>ΌΧΙ</v>
          </cell>
          <cell r="O2016" t="str">
            <v/>
          </cell>
        </row>
        <row r="2017">
          <cell r="D2017" t="str">
            <v>ΠΥΡΗΝΟΚΑΡΠΑ66093</v>
          </cell>
          <cell r="E2017" t="str">
            <v>ΚΕΡΑΣΙΑ ΜΙΣΕΛ ΝΟΥΑΡ</v>
          </cell>
          <cell r="F2017" t="str">
            <v>B_4_1_1_1</v>
          </cell>
          <cell r="G2017" t="str">
            <v>Φυτείες για παραγωγή φρούτων εύκρατης προέλευσης</v>
          </cell>
          <cell r="H2017">
            <v>6750</v>
          </cell>
          <cell r="J2017" t="str">
            <v>Ναι</v>
          </cell>
          <cell r="K2017" t="str">
            <v>Όχι</v>
          </cell>
          <cell r="L2017" t="str">
            <v>ΌΧΙ</v>
          </cell>
          <cell r="O2017" t="str">
            <v/>
          </cell>
        </row>
        <row r="2018">
          <cell r="D2018" t="str">
            <v>ΠΥΡΗΝΟΚΑΡΠΑ66094</v>
          </cell>
          <cell r="E2018" t="str">
            <v>ΚΕΡΑΣΙΑ ΒΑΣΙΛΕΙΑΔΗ</v>
          </cell>
          <cell r="F2018" t="str">
            <v>B_4_1_1_1</v>
          </cell>
          <cell r="G2018" t="str">
            <v>Φυτείες για παραγωγή φρούτων εύκρατης προέλευσης</v>
          </cell>
          <cell r="H2018">
            <v>6750</v>
          </cell>
          <cell r="J2018" t="str">
            <v>Ναι</v>
          </cell>
          <cell r="K2018" t="str">
            <v>Όχι</v>
          </cell>
          <cell r="L2018" t="str">
            <v>ΌΧΙ</v>
          </cell>
          <cell r="O2018" t="str">
            <v/>
          </cell>
        </row>
        <row r="2019">
          <cell r="D2019" t="str">
            <v>ΠΥΡΗΝΟΚΑΡΠΑ66095</v>
          </cell>
          <cell r="E2019" t="str">
            <v>ΚΕΡΑΣΙΑ ΤΖΩΡΤΖΙΑ</v>
          </cell>
          <cell r="F2019" t="str">
            <v>B_4_1_1_1</v>
          </cell>
          <cell r="G2019" t="str">
            <v>Φυτείες για παραγωγή φρούτων εύκρατης προέλευσης</v>
          </cell>
          <cell r="H2019">
            <v>6750</v>
          </cell>
          <cell r="J2019" t="str">
            <v>Ναι</v>
          </cell>
          <cell r="K2019" t="str">
            <v>Όχι</v>
          </cell>
          <cell r="L2019" t="str">
            <v>ΌΧΙ</v>
          </cell>
          <cell r="O2019" t="str">
            <v/>
          </cell>
        </row>
        <row r="2020">
          <cell r="D2020" t="str">
            <v>ΠΥΡΗΝΟΚΑΡΠΑ66096</v>
          </cell>
          <cell r="E2020" t="str">
            <v>ΚΕΡΑΣΙΑ ΚΑΝΑΝΤΙΑΝ ΤΖΑΪΑΝΤ</v>
          </cell>
          <cell r="F2020" t="str">
            <v>B_4_1_1_1</v>
          </cell>
          <cell r="G2020" t="str">
            <v>Φυτείες για παραγωγή φρούτων εύκρατης προέλευσης</v>
          </cell>
          <cell r="H2020">
            <v>6750</v>
          </cell>
          <cell r="J2020" t="str">
            <v>Ναι</v>
          </cell>
          <cell r="K2020" t="str">
            <v>Όχι</v>
          </cell>
          <cell r="L2020" t="str">
            <v>ΌΧΙ</v>
          </cell>
          <cell r="O2020" t="str">
            <v/>
          </cell>
        </row>
        <row r="2021">
          <cell r="D2021" t="str">
            <v>ΠΥΡΗΝΟΚΑΡΠΑ66097</v>
          </cell>
          <cell r="E2021" t="str">
            <v>ΚΕΡΑΣΙΑ ΣΕΝΤΑΚ</v>
          </cell>
          <cell r="F2021" t="str">
            <v>B_4_1_1_1</v>
          </cell>
          <cell r="G2021" t="str">
            <v>Φυτείες για παραγωγή φρούτων εύκρατης προέλευσης</v>
          </cell>
          <cell r="H2021">
            <v>6750</v>
          </cell>
          <cell r="J2021" t="str">
            <v>Ναι</v>
          </cell>
          <cell r="K2021" t="str">
            <v>Όχι</v>
          </cell>
          <cell r="L2021" t="str">
            <v>ΌΧΙ</v>
          </cell>
          <cell r="O2021" t="str">
            <v/>
          </cell>
        </row>
        <row r="2022">
          <cell r="D2022" t="str">
            <v>ΠΥΡΗΝΟΚΑΡΠΑ66098</v>
          </cell>
          <cell r="E2022" t="str">
            <v>ΚΕΡΑΣΙΑ ΣΟΥΪΤ ΧΑΡΤ</v>
          </cell>
          <cell r="F2022" t="str">
            <v>B_4_1_1_1</v>
          </cell>
          <cell r="G2022" t="str">
            <v>Φυτείες για παραγωγή φρούτων εύκρατης προέλευσης</v>
          </cell>
          <cell r="H2022">
            <v>6750</v>
          </cell>
          <cell r="J2022" t="str">
            <v>Ναι</v>
          </cell>
          <cell r="K2022" t="str">
            <v>Όχι</v>
          </cell>
          <cell r="L2022" t="str">
            <v>ΌΧΙ</v>
          </cell>
          <cell r="O2022" t="str">
            <v/>
          </cell>
        </row>
        <row r="2023">
          <cell r="D2023" t="str">
            <v>ΠΥΡΗΝΟΚΑΡΠΑ66099</v>
          </cell>
          <cell r="E2023" t="str">
            <v>ΚΕΡΑΣΙΑ ΜΠΑΚΙΡΤΖΕΙΚΑ</v>
          </cell>
          <cell r="F2023" t="str">
            <v>B_4_1_1_1</v>
          </cell>
          <cell r="G2023" t="str">
            <v>Φυτείες για παραγωγή φρούτων εύκρατης προέλευσης</v>
          </cell>
          <cell r="H2023">
            <v>6750</v>
          </cell>
          <cell r="J2023" t="str">
            <v>Ναι</v>
          </cell>
          <cell r="K2023" t="str">
            <v>Όχι</v>
          </cell>
          <cell r="L2023" t="str">
            <v>ΌΧΙ</v>
          </cell>
          <cell r="O2023" t="str">
            <v/>
          </cell>
        </row>
        <row r="2024">
          <cell r="D2024" t="str">
            <v>ΠΥΡΗΝΟΚΑΡΠΑ66100</v>
          </cell>
          <cell r="E2024" t="str">
            <v>ΚΕΡΑΣΙΑ ΦΑΝ ΛΕΙΤ</v>
          </cell>
          <cell r="F2024" t="str">
            <v>B_4_1_1_1</v>
          </cell>
          <cell r="G2024" t="str">
            <v>Φυτείες για παραγωγή φρούτων εύκρατης προέλευσης</v>
          </cell>
          <cell r="H2024">
            <v>6750</v>
          </cell>
          <cell r="J2024" t="str">
            <v>Ναι</v>
          </cell>
          <cell r="K2024" t="str">
            <v>Όχι</v>
          </cell>
          <cell r="L2024" t="str">
            <v>ΌΧΙ</v>
          </cell>
          <cell r="O2024" t="str">
            <v/>
          </cell>
        </row>
        <row r="2025">
          <cell r="D2025" t="str">
            <v>ΠΥΡΗΝΟΚΑΡΠΑ66101</v>
          </cell>
          <cell r="E2025" t="str">
            <v>ΚΕΡΑΣΙΑ ΓΚΡΕΙ ΣΤΑΡ</v>
          </cell>
          <cell r="F2025" t="str">
            <v>B_4_1_1_1</v>
          </cell>
          <cell r="G2025" t="str">
            <v>Φυτείες για παραγωγή φρούτων εύκρατης προέλευσης</v>
          </cell>
          <cell r="H2025">
            <v>6750</v>
          </cell>
          <cell r="J2025" t="str">
            <v>Ναι</v>
          </cell>
          <cell r="K2025" t="str">
            <v>Όχι</v>
          </cell>
          <cell r="L2025" t="str">
            <v>ΌΧΙ</v>
          </cell>
          <cell r="O2025" t="str">
            <v/>
          </cell>
        </row>
        <row r="2026">
          <cell r="D2026" t="str">
            <v>ΠΥΡΗΝΟΚΑΡΠΑ66102</v>
          </cell>
          <cell r="E2026" t="str">
            <v>ΚΕΡΑΣΙΑ ΕΡΛΥ ΣΤΑΡ</v>
          </cell>
          <cell r="F2026" t="str">
            <v>B_4_1_1_1</v>
          </cell>
          <cell r="G2026" t="str">
            <v>Φυτείες για παραγωγή φρούτων εύκρατης προέλευσης</v>
          </cell>
          <cell r="H2026">
            <v>6750</v>
          </cell>
          <cell r="J2026" t="str">
            <v>Ναι</v>
          </cell>
          <cell r="K2026" t="str">
            <v>Όχι</v>
          </cell>
          <cell r="L2026" t="str">
            <v>ΌΧΙ</v>
          </cell>
          <cell r="O2026" t="str">
            <v/>
          </cell>
        </row>
        <row r="2027">
          <cell r="D2027" t="str">
            <v>ΠΥΡΗΝΟΚΑΡΠΑ66103</v>
          </cell>
          <cell r="E2027" t="str">
            <v>ΚΕΡΑΣΙΑ ΣΝΑΙΝΤΕΡ (SCHNEIDER)</v>
          </cell>
          <cell r="F2027" t="str">
            <v>B_4_1_1_1</v>
          </cell>
          <cell r="G2027" t="str">
            <v>Φυτείες για παραγωγή φρούτων εύκρατης προέλευσης</v>
          </cell>
          <cell r="H2027">
            <v>6750</v>
          </cell>
          <cell r="J2027" t="str">
            <v>Ναι</v>
          </cell>
          <cell r="K2027" t="str">
            <v>Όχι</v>
          </cell>
          <cell r="L2027" t="str">
            <v>ΌΧΙ</v>
          </cell>
          <cell r="O2027" t="str">
            <v/>
          </cell>
        </row>
        <row r="2028">
          <cell r="D2028" t="str">
            <v>ΠΥΡΗΝΟΚΑΡΠΑ66104</v>
          </cell>
          <cell r="E2028" t="str">
            <v>ΚΕΡΑΣΙΑ ΡΕΓΓΙΝΑ</v>
          </cell>
          <cell r="F2028" t="str">
            <v>B_4_1_1_1</v>
          </cell>
          <cell r="G2028" t="str">
            <v>Φυτείες για παραγωγή φρούτων εύκρατης προέλευσης</v>
          </cell>
          <cell r="H2028">
            <v>6750</v>
          </cell>
          <cell r="J2028" t="str">
            <v>Ναι</v>
          </cell>
          <cell r="K2028" t="str">
            <v>Όχι</v>
          </cell>
          <cell r="L2028" t="str">
            <v>ΌΧΙ</v>
          </cell>
          <cell r="O2028" t="str">
            <v/>
          </cell>
        </row>
        <row r="2029">
          <cell r="D2029" t="str">
            <v>ΠΥΡΗΝΟΚΑΡΠΑ66105</v>
          </cell>
          <cell r="E2029" t="str">
            <v>ΚΕΡΑΣΙΑ SKEENA</v>
          </cell>
          <cell r="F2029" t="str">
            <v>B_4_1_1_1</v>
          </cell>
          <cell r="G2029" t="str">
            <v>Φυτείες για παραγωγή φρούτων εύκρατης προέλευσης</v>
          </cell>
          <cell r="H2029">
            <v>6750</v>
          </cell>
          <cell r="J2029" t="str">
            <v>Ναι</v>
          </cell>
          <cell r="K2029" t="str">
            <v>Όχι</v>
          </cell>
          <cell r="L2029" t="str">
            <v>ΌΧΙ</v>
          </cell>
          <cell r="O2029" t="str">
            <v/>
          </cell>
        </row>
        <row r="2030">
          <cell r="D2030" t="str">
            <v>ΠΥΡΗΝΟΚΑΡΠΑ66106</v>
          </cell>
          <cell r="E2030" t="str">
            <v>ΚΕΡΑΣΙΑ KORDIA</v>
          </cell>
          <cell r="F2030" t="str">
            <v>B_4_1_1_1</v>
          </cell>
          <cell r="G2030" t="str">
            <v>Φυτείες για παραγωγή φρούτων εύκρατης προέλευσης</v>
          </cell>
          <cell r="H2030">
            <v>6750</v>
          </cell>
          <cell r="J2030" t="str">
            <v>Ναι</v>
          </cell>
          <cell r="K2030" t="str">
            <v>Όχι</v>
          </cell>
          <cell r="L2030" t="str">
            <v>ΌΧΙ</v>
          </cell>
          <cell r="O2030" t="str">
            <v/>
          </cell>
        </row>
        <row r="2031">
          <cell r="D2031" t="str">
            <v>ΠΥΡΗΝΟΚΑΡΠΑ66107</v>
          </cell>
          <cell r="E2031" t="str">
            <v>ΚΕΡΑΣΙΑ ΛΑΠΕΝ</v>
          </cell>
          <cell r="F2031" t="str">
            <v>B_4_1_1_1</v>
          </cell>
          <cell r="G2031" t="str">
            <v>Φυτείες για παραγωγή φρούτων εύκρατης προέλευσης</v>
          </cell>
          <cell r="H2031">
            <v>6750</v>
          </cell>
          <cell r="J2031" t="str">
            <v>Ναι</v>
          </cell>
          <cell r="K2031" t="str">
            <v>Όχι</v>
          </cell>
          <cell r="L2031" t="str">
            <v>ΌΧΙ</v>
          </cell>
          <cell r="O2031" t="str">
            <v/>
          </cell>
        </row>
        <row r="2032">
          <cell r="D2032" t="str">
            <v>ΠΥΡΗΝΟΚΑΡΠΑ66108</v>
          </cell>
          <cell r="E2032" t="str">
            <v>ΝΕΚΤΑΡΙΝ ΜΕΪΜΠΕΛ</v>
          </cell>
          <cell r="F2032" t="str">
            <v>B_4_1_1_1</v>
          </cell>
          <cell r="G2032" t="str">
            <v>Φυτείες για παραγωγή φρούτων εύκρατης προέλευσης</v>
          </cell>
          <cell r="H2032">
            <v>6750</v>
          </cell>
          <cell r="J2032" t="str">
            <v>Ναι</v>
          </cell>
          <cell r="K2032" t="str">
            <v>Όχι</v>
          </cell>
          <cell r="L2032" t="str">
            <v>ΌΧΙ</v>
          </cell>
          <cell r="O2032" t="str">
            <v/>
          </cell>
        </row>
        <row r="2033">
          <cell r="D2033" t="str">
            <v>ΠΥΡΗΝΟΚΑΡΠΑ66109</v>
          </cell>
          <cell r="E2033" t="str">
            <v>ΝΕΚΤΑΡΙΝ ΜΕΪΡΕΝΤ</v>
          </cell>
          <cell r="F2033" t="str">
            <v>B_4_1_1_1</v>
          </cell>
          <cell r="G2033" t="str">
            <v>Φυτείες για παραγωγή φρούτων εύκρατης προέλευσης</v>
          </cell>
          <cell r="H2033">
            <v>6750</v>
          </cell>
          <cell r="J2033" t="str">
            <v>Ναι</v>
          </cell>
          <cell r="K2033" t="str">
            <v>Όχι</v>
          </cell>
          <cell r="L2033" t="str">
            <v>ΌΧΙ</v>
          </cell>
          <cell r="O2033" t="str">
            <v/>
          </cell>
        </row>
        <row r="2034">
          <cell r="D2034" t="str">
            <v>ΠΥΡΗΝΟΚΑΡΠΑ66110</v>
          </cell>
          <cell r="E2034" t="str">
            <v>ΝΕΚΤΑΡΙΝ ΑΡΜΚΙΝΓΚ</v>
          </cell>
          <cell r="F2034" t="str">
            <v>B_4_1_1_1</v>
          </cell>
          <cell r="G2034" t="str">
            <v>Φυτείες για παραγωγή φρούτων εύκρατης προέλευσης</v>
          </cell>
          <cell r="H2034">
            <v>6750</v>
          </cell>
          <cell r="J2034" t="str">
            <v>Ναι</v>
          </cell>
          <cell r="K2034" t="str">
            <v>Όχι</v>
          </cell>
          <cell r="L2034" t="str">
            <v>ΌΧΙ</v>
          </cell>
          <cell r="O2034" t="str">
            <v/>
          </cell>
        </row>
        <row r="2035">
          <cell r="D2035" t="str">
            <v>ΠΥΡΗΝΟΚΑΡΠΑ66111</v>
          </cell>
          <cell r="E2035" t="str">
            <v>ΝΕΚΤΑΡΙΝ ΕΡΛΥΤΖΕΜ</v>
          </cell>
          <cell r="F2035" t="str">
            <v>B_4_1_1_1</v>
          </cell>
          <cell r="G2035" t="str">
            <v>Φυτείες για παραγωγή φρούτων εύκρατης προέλευσης</v>
          </cell>
          <cell r="H2035">
            <v>6750</v>
          </cell>
          <cell r="J2035" t="str">
            <v>Ναι</v>
          </cell>
          <cell r="K2035" t="str">
            <v>Όχι</v>
          </cell>
          <cell r="L2035" t="str">
            <v>ΌΧΙ</v>
          </cell>
          <cell r="O2035" t="str">
            <v/>
          </cell>
        </row>
        <row r="2036">
          <cell r="D2036" t="str">
            <v>ΠΥΡΗΝΟΚΑΡΠΑ66112</v>
          </cell>
          <cell r="E2036" t="str">
            <v>ΝΕΚΤΑΡΙΝ ΚΡΙΜΣΟΝ ΓΚΟΛΝΤ</v>
          </cell>
          <cell r="F2036" t="str">
            <v>B_4_1_1_1</v>
          </cell>
          <cell r="G2036" t="str">
            <v>Φυτείες για παραγωγή φρούτων εύκρατης προέλευσης</v>
          </cell>
          <cell r="H2036">
            <v>6750</v>
          </cell>
          <cell r="J2036" t="str">
            <v>Ναι</v>
          </cell>
          <cell r="K2036" t="str">
            <v>Όχι</v>
          </cell>
          <cell r="L2036" t="str">
            <v>ΌΧΙ</v>
          </cell>
          <cell r="O2036" t="str">
            <v/>
          </cell>
        </row>
        <row r="2037">
          <cell r="D2037" t="str">
            <v>ΠΥΡΗΝΟΚΑΡΠΑ66113</v>
          </cell>
          <cell r="E2037" t="str">
            <v>ΝΕΚΤΑΡΙΝ ΡΕΝΤ ΤΖΙΟΥΝ</v>
          </cell>
          <cell r="F2037" t="str">
            <v>B_4_1_1_1</v>
          </cell>
          <cell r="G2037" t="str">
            <v>Φυτείες για παραγωγή φρούτων εύκρατης προέλευσης</v>
          </cell>
          <cell r="H2037">
            <v>6750</v>
          </cell>
          <cell r="J2037" t="str">
            <v>Ναι</v>
          </cell>
          <cell r="K2037" t="str">
            <v>Όχι</v>
          </cell>
          <cell r="L2037" t="str">
            <v>ΌΧΙ</v>
          </cell>
          <cell r="O2037" t="str">
            <v/>
          </cell>
        </row>
        <row r="2038">
          <cell r="D2038" t="str">
            <v>ΠΥΡΗΝΟΚΑΡΠΑ66114</v>
          </cell>
          <cell r="E2038" t="str">
            <v>ΝΕΚΤΑΡΙΝ ΜΕΪΓΚΡΑΝΤ</v>
          </cell>
          <cell r="F2038" t="str">
            <v>B_4_1_1_1</v>
          </cell>
          <cell r="G2038" t="str">
            <v>Φυτείες για παραγωγή φρούτων εύκρατης προέλευσης</v>
          </cell>
          <cell r="H2038">
            <v>6750</v>
          </cell>
          <cell r="J2038" t="str">
            <v>Ναι</v>
          </cell>
          <cell r="K2038" t="str">
            <v>Όχι</v>
          </cell>
          <cell r="L2038" t="str">
            <v>ΌΧΙ</v>
          </cell>
          <cell r="O2038" t="str">
            <v/>
          </cell>
        </row>
        <row r="2039">
          <cell r="D2039" t="str">
            <v>ΠΥΡΗΝΟΚΑΡΠΑ66115</v>
          </cell>
          <cell r="E2039" t="str">
            <v>ΝΕΚΤΑΡΙΝ ΣΤΑΡΚ ΕΡΛΥΜΠΛΕΪΖ</v>
          </cell>
          <cell r="F2039" t="str">
            <v>B_4_1_1_1</v>
          </cell>
          <cell r="G2039" t="str">
            <v>Φυτείες για παραγωγή φρούτων εύκρατης προέλευσης</v>
          </cell>
          <cell r="H2039">
            <v>6750</v>
          </cell>
          <cell r="J2039" t="str">
            <v>Ναι</v>
          </cell>
          <cell r="K2039" t="str">
            <v>Όχι</v>
          </cell>
          <cell r="L2039" t="str">
            <v>ΌΧΙ</v>
          </cell>
          <cell r="O2039" t="str">
            <v/>
          </cell>
        </row>
        <row r="2040">
          <cell r="D2040" t="str">
            <v>ΠΥΡΗΝΟΚΑΡΠΑ66116</v>
          </cell>
          <cell r="E2040" t="str">
            <v>ΝΕΚΤΑΡΙΝ. ΕΡΛΥ ΣΑΝΓΚΡΑΝΤ</v>
          </cell>
          <cell r="F2040" t="str">
            <v>B_4_1_1_1</v>
          </cell>
          <cell r="G2040" t="str">
            <v>Φυτείες για παραγωγή φρούτων εύκρατης προέλευσης</v>
          </cell>
          <cell r="H2040">
            <v>6750</v>
          </cell>
          <cell r="J2040" t="str">
            <v>Ναι</v>
          </cell>
          <cell r="K2040" t="str">
            <v>Όχι</v>
          </cell>
          <cell r="L2040" t="str">
            <v>ΌΧΙ</v>
          </cell>
          <cell r="O2040" t="str">
            <v/>
          </cell>
        </row>
        <row r="2041">
          <cell r="D2041" t="str">
            <v>ΠΥΡΗΝΟΚΑΡΠΑ66117</v>
          </cell>
          <cell r="E2041" t="str">
            <v>ΝΕΚΤΑΡΙΝ. ΙΝΤΙΠΕΝΤΕΝΣ</v>
          </cell>
          <cell r="F2041" t="str">
            <v>B_4_1_1_1</v>
          </cell>
          <cell r="G2041" t="str">
            <v>Φυτείες για παραγωγή φρούτων εύκρατης προέλευσης</v>
          </cell>
          <cell r="H2041">
            <v>6750</v>
          </cell>
          <cell r="J2041" t="str">
            <v>Ναι</v>
          </cell>
          <cell r="K2041" t="str">
            <v>Όχι</v>
          </cell>
          <cell r="L2041" t="str">
            <v>ΌΧΙ</v>
          </cell>
          <cell r="O2041" t="str">
            <v/>
          </cell>
        </row>
        <row r="2042">
          <cell r="D2042" t="str">
            <v>ΠΥΡΗΝΟΚΑΡΠΑ66118</v>
          </cell>
          <cell r="E2042" t="str">
            <v>ΝΕΚΤΑΡΙΝ. ΦΑΙΡΜΠΡΑΪΤ</v>
          </cell>
          <cell r="F2042" t="str">
            <v>B_4_1_1_1</v>
          </cell>
          <cell r="G2042" t="str">
            <v>Φυτείες για παραγωγή φρούτων εύκρατης προέλευσης</v>
          </cell>
          <cell r="H2042">
            <v>6750</v>
          </cell>
          <cell r="J2042" t="str">
            <v>Ναι</v>
          </cell>
          <cell r="K2042" t="str">
            <v>Όχι</v>
          </cell>
          <cell r="L2042" t="str">
            <v>ΌΧΙ</v>
          </cell>
          <cell r="O2042" t="str">
            <v/>
          </cell>
        </row>
        <row r="2043">
          <cell r="D2043" t="str">
            <v>ΠΥΡΗΝΟΚΑΡΠΑ66119</v>
          </cell>
          <cell r="E2043" t="str">
            <v>ΝΕΚΤΑΡΙΝ. ΡΑΜΠΕΤΓΚΟΛΝΤ</v>
          </cell>
          <cell r="F2043" t="str">
            <v>B_4_1_1_1</v>
          </cell>
          <cell r="G2043" t="str">
            <v>Φυτείες για παραγωγή φρούτων εύκρατης προέλευσης</v>
          </cell>
          <cell r="H2043">
            <v>6750</v>
          </cell>
          <cell r="J2043" t="str">
            <v>Ναι</v>
          </cell>
          <cell r="K2043" t="str">
            <v>Όχι</v>
          </cell>
          <cell r="L2043" t="str">
            <v>ΌΧΙ</v>
          </cell>
          <cell r="O2043" t="str">
            <v/>
          </cell>
        </row>
        <row r="2044">
          <cell r="D2044" t="str">
            <v>ΠΥΡΗΝΟΚΑΡΠΑ66120</v>
          </cell>
          <cell r="E2044" t="str">
            <v>ΝΕΚΤΑΡΙΝΙΑ Νο 4</v>
          </cell>
          <cell r="F2044" t="str">
            <v>B_4_1_1_1</v>
          </cell>
          <cell r="G2044" t="str">
            <v>Φυτείες για παραγωγή φρούτων εύκρατης προέλευσης</v>
          </cell>
          <cell r="H2044">
            <v>6750</v>
          </cell>
          <cell r="J2044" t="str">
            <v>Ναι</v>
          </cell>
          <cell r="K2044" t="str">
            <v>Όχι</v>
          </cell>
          <cell r="L2044" t="str">
            <v>ΌΧΙ</v>
          </cell>
          <cell r="O2044" t="str">
            <v/>
          </cell>
        </row>
        <row r="2045">
          <cell r="D2045" t="str">
            <v>ΠΥΡΗΝΟΚΑΡΠΑ66121</v>
          </cell>
          <cell r="E2045" t="str">
            <v>ΝΕΚΤΑΡΙΝΙΑ Νο 5</v>
          </cell>
          <cell r="F2045" t="str">
            <v>B_4_1_1_1</v>
          </cell>
          <cell r="G2045" t="str">
            <v>Φυτείες για παραγωγή φρούτων εύκρατης προέλευσης</v>
          </cell>
          <cell r="H2045">
            <v>6750</v>
          </cell>
          <cell r="J2045" t="str">
            <v>Ναι</v>
          </cell>
          <cell r="K2045" t="str">
            <v>Όχι</v>
          </cell>
          <cell r="L2045" t="str">
            <v>ΌΧΙ</v>
          </cell>
          <cell r="O2045" t="str">
            <v/>
          </cell>
        </row>
        <row r="2046">
          <cell r="D2046" t="str">
            <v>ΠΥΡΗΝΟΚΑΡΠΑ66122</v>
          </cell>
          <cell r="E2046" t="str">
            <v>ΝΕΚΤΑΡΙΝΙΑ Νο 6</v>
          </cell>
          <cell r="F2046" t="str">
            <v>B_4_1_1_1</v>
          </cell>
          <cell r="G2046" t="str">
            <v>Φυτείες για παραγωγή φρούτων εύκρατης προέλευσης</v>
          </cell>
          <cell r="H2046">
            <v>6750</v>
          </cell>
          <cell r="J2046" t="str">
            <v>Ναι</v>
          </cell>
          <cell r="K2046" t="str">
            <v>Όχι</v>
          </cell>
          <cell r="L2046" t="str">
            <v>ΌΧΙ</v>
          </cell>
          <cell r="O2046" t="str">
            <v/>
          </cell>
        </row>
        <row r="2047">
          <cell r="D2047" t="str">
            <v>ΠΥΡΗΝΟΚΑΡΠΑ66123</v>
          </cell>
          <cell r="E2047" t="str">
            <v>ΝΕΚΤΑΡΙΝ. ΣΤΑΡΚ ΣΑΝ ΓΚΛΟ</v>
          </cell>
          <cell r="F2047" t="str">
            <v>B_4_1_1_1</v>
          </cell>
          <cell r="G2047" t="str">
            <v>Φυτείες για παραγωγή φρούτων εύκρατης προέλευσης</v>
          </cell>
          <cell r="H2047">
            <v>6750</v>
          </cell>
          <cell r="J2047" t="str">
            <v>Ναι</v>
          </cell>
          <cell r="K2047" t="str">
            <v>Όχι</v>
          </cell>
          <cell r="L2047" t="str">
            <v>ΌΧΙ</v>
          </cell>
          <cell r="O2047" t="str">
            <v/>
          </cell>
        </row>
        <row r="2048">
          <cell r="D2048" t="str">
            <v>ΠΥΡΗΝΟΚΑΡΠΑ66124</v>
          </cell>
          <cell r="E2048" t="str">
            <v>ΝΕΚΤΑΡΙΝ. ΦΛΕΪΒΟΡ ΤΟΠ</v>
          </cell>
          <cell r="F2048" t="str">
            <v>B_4_1_1_1</v>
          </cell>
          <cell r="G2048" t="str">
            <v>Φυτείες για παραγωγή φρούτων εύκρατης προέλευσης</v>
          </cell>
          <cell r="H2048">
            <v>6750</v>
          </cell>
          <cell r="J2048" t="str">
            <v>Ναι</v>
          </cell>
          <cell r="K2048" t="str">
            <v>Όχι</v>
          </cell>
          <cell r="L2048" t="str">
            <v>ΌΧΙ</v>
          </cell>
          <cell r="O2048" t="str">
            <v/>
          </cell>
        </row>
        <row r="2049">
          <cell r="D2049" t="str">
            <v>ΠΥΡΗΝΟΚΑΡΠΑ66125</v>
          </cell>
          <cell r="E2049" t="str">
            <v>ΝΕΚΤΑΡΙΝ. ΣΤΑΡΚ ΡΕΝΤ ΓΚΟΛΝΤ</v>
          </cell>
          <cell r="F2049" t="str">
            <v>B_4_1_1_1</v>
          </cell>
          <cell r="G2049" t="str">
            <v>Φυτείες για παραγωγή φρούτων εύκρατης προέλευσης</v>
          </cell>
          <cell r="H2049">
            <v>6750</v>
          </cell>
          <cell r="J2049" t="str">
            <v>Ναι</v>
          </cell>
          <cell r="K2049" t="str">
            <v>Όχι</v>
          </cell>
          <cell r="L2049" t="str">
            <v>ΌΧΙ</v>
          </cell>
          <cell r="O2049" t="str">
            <v/>
          </cell>
        </row>
        <row r="2050">
          <cell r="D2050" t="str">
            <v>ΠΥΡΗΝΟΚΑΡΠΑ66126</v>
          </cell>
          <cell r="E2050" t="str">
            <v>ΝΕΚΤΑΡΙΝ. ΦΑΝΤΑΣΙΑ</v>
          </cell>
          <cell r="F2050" t="str">
            <v>B_4_1_1_1</v>
          </cell>
          <cell r="G2050" t="str">
            <v>Φυτείες για παραγωγή φρούτων εύκρατης προέλευσης</v>
          </cell>
          <cell r="H2050">
            <v>6750</v>
          </cell>
          <cell r="J2050" t="str">
            <v>Ναι</v>
          </cell>
          <cell r="K2050" t="str">
            <v>Όχι</v>
          </cell>
          <cell r="L2050" t="str">
            <v>ΌΧΙ</v>
          </cell>
          <cell r="O2050" t="str">
            <v/>
          </cell>
        </row>
        <row r="2051">
          <cell r="D2051" t="str">
            <v>ΠΥΡΗΝΟΚΑΡΠΑ66127</v>
          </cell>
          <cell r="E2051" t="str">
            <v>ΝΕΚΤΑΡΙΝΙΑ Νο 8</v>
          </cell>
          <cell r="F2051" t="str">
            <v>B_4_1_1_1</v>
          </cell>
          <cell r="G2051" t="str">
            <v>Φυτείες για παραγωγή φρούτων εύκρατης προέλευσης</v>
          </cell>
          <cell r="H2051">
            <v>6750</v>
          </cell>
          <cell r="J2051" t="str">
            <v>Ναι</v>
          </cell>
          <cell r="K2051" t="str">
            <v>Όχι</v>
          </cell>
          <cell r="L2051" t="str">
            <v>ΌΧΙ</v>
          </cell>
          <cell r="O2051" t="str">
            <v/>
          </cell>
        </row>
        <row r="2052">
          <cell r="D2052" t="str">
            <v>ΠΥΡΗΝΟΚΑΡΠΑ66128</v>
          </cell>
          <cell r="E2052" t="str">
            <v>ΝΕΚΤΑΡΙΝΙΑ Νο 9</v>
          </cell>
          <cell r="F2052" t="str">
            <v>B_4_1_1_1</v>
          </cell>
          <cell r="G2052" t="str">
            <v>Φυτείες για παραγωγή φρούτων εύκρατης προέλευσης</v>
          </cell>
          <cell r="H2052">
            <v>6750</v>
          </cell>
          <cell r="J2052" t="str">
            <v>Ναι</v>
          </cell>
          <cell r="K2052" t="str">
            <v>Όχι</v>
          </cell>
          <cell r="L2052" t="str">
            <v>ΌΧΙ</v>
          </cell>
          <cell r="O2052" t="str">
            <v/>
          </cell>
        </row>
        <row r="2053">
          <cell r="D2053" t="str">
            <v>ΠΥΡΗΝΟΚΑΡΠΑ66129</v>
          </cell>
          <cell r="E2053" t="str">
            <v>ΝΕΚΤΑΡΙΝ. ΦΛΕΪΜ ΚΙΣ</v>
          </cell>
          <cell r="F2053" t="str">
            <v>B_4_1_1_1</v>
          </cell>
          <cell r="G2053" t="str">
            <v>Φυτείες για παραγωγή φρούτων εύκρατης προέλευσης</v>
          </cell>
          <cell r="H2053">
            <v>6750</v>
          </cell>
          <cell r="J2053" t="str">
            <v>Ναι</v>
          </cell>
          <cell r="K2053" t="str">
            <v>Όχι</v>
          </cell>
          <cell r="L2053" t="str">
            <v>ΌΧΙ</v>
          </cell>
          <cell r="O2053" t="str">
            <v/>
          </cell>
        </row>
        <row r="2054">
          <cell r="D2054" t="str">
            <v>ΠΥΡΗΝΟΚΑΡΠΑ66130</v>
          </cell>
          <cell r="E2054" t="str">
            <v>ΝΕΚΤΑΡΙΝ. ΦΕΑΡΛΕΪΝ</v>
          </cell>
          <cell r="F2054" t="str">
            <v>B_4_1_1_1</v>
          </cell>
          <cell r="G2054" t="str">
            <v>Φυτείες για παραγωγή φρούτων εύκρατης προέλευσης</v>
          </cell>
          <cell r="H2054">
            <v>6750</v>
          </cell>
          <cell r="J2054" t="str">
            <v>Ναι</v>
          </cell>
          <cell r="K2054" t="str">
            <v>Όχι</v>
          </cell>
          <cell r="L2054" t="str">
            <v>ΌΧΙ</v>
          </cell>
          <cell r="O2054" t="str">
            <v/>
          </cell>
        </row>
        <row r="2055">
          <cell r="D2055" t="str">
            <v>ΠΥΡΗΝΟΚΑΡΠΑ66131</v>
          </cell>
          <cell r="E2055" t="str">
            <v>ΝΕΚΤΑΡΙΝ. Φ100 ΜΕΣΟΠΡ.</v>
          </cell>
          <cell r="F2055" t="str">
            <v>B_4_1_1_1</v>
          </cell>
          <cell r="G2055" t="str">
            <v>Φυτείες για παραγωγή φρούτων εύκρατης προέλευσης</v>
          </cell>
          <cell r="H2055">
            <v>6750</v>
          </cell>
          <cell r="J2055" t="str">
            <v>Ναι</v>
          </cell>
          <cell r="K2055" t="str">
            <v>Όχι</v>
          </cell>
          <cell r="L2055" t="str">
            <v>ΌΧΙ</v>
          </cell>
          <cell r="O2055" t="str">
            <v/>
          </cell>
        </row>
        <row r="2056">
          <cell r="D2056" t="str">
            <v>ΠΥΡΗΝΟΚΑΡΠΑ66132</v>
          </cell>
          <cell r="E2056" t="str">
            <v>ΝΕΚΤΑΡΙΝ. Κ. ΜΕΛΙΚΗ</v>
          </cell>
          <cell r="F2056" t="str">
            <v>B_4_1_1_1</v>
          </cell>
          <cell r="G2056" t="str">
            <v>Φυτείες για παραγωγή φρούτων εύκρατης προέλευσης</v>
          </cell>
          <cell r="H2056">
            <v>6750</v>
          </cell>
          <cell r="J2056" t="str">
            <v>Ναι</v>
          </cell>
          <cell r="K2056" t="str">
            <v>Όχι</v>
          </cell>
          <cell r="L2056" t="str">
            <v>ΌΧΙ</v>
          </cell>
          <cell r="O2056" t="str">
            <v/>
          </cell>
        </row>
        <row r="2057">
          <cell r="D2057" t="str">
            <v>ΠΥΡΗΝΟΚΑΡΠΑ66133</v>
          </cell>
          <cell r="E2057" t="str">
            <v>ΝΕΚΤΑΡΙΝ. ΑΟΥΡΕΛΙΑ ΓΚΡΑΝΤ</v>
          </cell>
          <cell r="F2057" t="str">
            <v>B_4_1_1_1</v>
          </cell>
          <cell r="G2057" t="str">
            <v>Φυτείες για παραγωγή φρούτων εύκρατης προέλευσης</v>
          </cell>
          <cell r="H2057">
            <v>6750</v>
          </cell>
          <cell r="J2057" t="str">
            <v>Ναι</v>
          </cell>
          <cell r="K2057" t="str">
            <v>Όχι</v>
          </cell>
          <cell r="L2057" t="str">
            <v>ΌΧΙ</v>
          </cell>
          <cell r="O2057" t="str">
            <v/>
          </cell>
        </row>
        <row r="2058">
          <cell r="D2058" t="str">
            <v>ΠΥΡΗΝΟΚΑΡΠΑ66134</v>
          </cell>
          <cell r="E2058" t="str">
            <v>ΝΕΚΤΑΡΙΝ. ΜΑΡΙΑ ΑΙΜΙΛΙΑ</v>
          </cell>
          <cell r="F2058" t="str">
            <v>B_4_1_1_1</v>
          </cell>
          <cell r="G2058" t="str">
            <v>Φυτείες για παραγωγή φρούτων εύκρατης προέλευσης</v>
          </cell>
          <cell r="H2058">
            <v>6750</v>
          </cell>
          <cell r="J2058" t="str">
            <v>Ναι</v>
          </cell>
          <cell r="K2058" t="str">
            <v>Όχι</v>
          </cell>
          <cell r="L2058" t="str">
            <v>ΌΧΙ</v>
          </cell>
          <cell r="O2058" t="str">
            <v/>
          </cell>
        </row>
        <row r="2059">
          <cell r="D2059" t="str">
            <v>ΠΥΡΗΝΟΚΑΡΠΑ66135</v>
          </cell>
          <cell r="E2059" t="str">
            <v>ΝΕΚΤΑΡΙΝ. ΣΝΟΟΥ ΚΟΥΪΝ</v>
          </cell>
          <cell r="F2059" t="str">
            <v>B_4_1_1_1</v>
          </cell>
          <cell r="G2059" t="str">
            <v>Φυτείες για παραγωγή φρούτων εύκρατης προέλευσης</v>
          </cell>
          <cell r="H2059">
            <v>6750</v>
          </cell>
          <cell r="J2059" t="str">
            <v>Ναι</v>
          </cell>
          <cell r="K2059" t="str">
            <v>Όχι</v>
          </cell>
          <cell r="L2059" t="str">
            <v>ΌΧΙ</v>
          </cell>
          <cell r="O2059" t="str">
            <v/>
          </cell>
        </row>
        <row r="2060">
          <cell r="D2060" t="str">
            <v>ΠΥΡΗΝΟΚΑΡΠΑ66136</v>
          </cell>
          <cell r="E2060" t="str">
            <v>ΝΕΚΤΑΡΙΝ. ΣΠΡΙΝΓΚ ΡΕΝΤ</v>
          </cell>
          <cell r="F2060" t="str">
            <v>B_4_1_1_1</v>
          </cell>
          <cell r="G2060" t="str">
            <v>Φυτείες για παραγωγή φρούτων εύκρατης προέλευσης</v>
          </cell>
          <cell r="H2060">
            <v>6750</v>
          </cell>
          <cell r="J2060" t="str">
            <v>Ναι</v>
          </cell>
          <cell r="K2060" t="str">
            <v>Όχι</v>
          </cell>
          <cell r="L2060" t="str">
            <v>ΌΧΙ</v>
          </cell>
          <cell r="O2060" t="str">
            <v/>
          </cell>
        </row>
        <row r="2061">
          <cell r="D2061" t="str">
            <v>ΠΥΡΗΝΟΚΑΡΠΑ66137</v>
          </cell>
          <cell r="E2061" t="str">
            <v>ΝΕΚΤΑΡΙΝ. ΣΑΜΕΡ ΓΚΟΛΝΤ</v>
          </cell>
          <cell r="F2061" t="str">
            <v>B_4_1_1_1</v>
          </cell>
          <cell r="G2061" t="str">
            <v>Φυτείες για παραγωγή φρούτων εύκρατης προέλευσης</v>
          </cell>
          <cell r="H2061">
            <v>6750</v>
          </cell>
          <cell r="J2061" t="str">
            <v>Ναι</v>
          </cell>
          <cell r="K2061" t="str">
            <v>Όχι</v>
          </cell>
          <cell r="L2061" t="str">
            <v>ΌΧΙ</v>
          </cell>
          <cell r="O2061" t="str">
            <v/>
          </cell>
        </row>
        <row r="2062">
          <cell r="D2062" t="str">
            <v>ΠΥΡΗΝΟΚΑΡΠΑ66138</v>
          </cell>
          <cell r="E2062" t="str">
            <v>ΝΕΚΤΑΡΙΝ. ΣΟΥΠΕΡ ΡΕΝΤ</v>
          </cell>
          <cell r="F2062" t="str">
            <v>B_4_1_1_1</v>
          </cell>
          <cell r="G2062" t="str">
            <v>Φυτείες για παραγωγή φρούτων εύκρατης προέλευσης</v>
          </cell>
          <cell r="H2062">
            <v>6750</v>
          </cell>
          <cell r="J2062" t="str">
            <v>Ναι</v>
          </cell>
          <cell r="K2062" t="str">
            <v>Όχι</v>
          </cell>
          <cell r="L2062" t="str">
            <v>ΌΧΙ</v>
          </cell>
          <cell r="O2062" t="str">
            <v/>
          </cell>
        </row>
        <row r="2063">
          <cell r="D2063" t="str">
            <v>ΠΥΡΗΝΟΚΑΡΠΑ66139</v>
          </cell>
          <cell r="E2063" t="str">
            <v>ΝΕΚΤΑΡΙΝ. ΜΑΤΣΟΥΚΕΛΑ</v>
          </cell>
          <cell r="F2063" t="str">
            <v>B_4_1_1_1</v>
          </cell>
          <cell r="G2063" t="str">
            <v>Φυτείες για παραγωγή φρούτων εύκρατης προέλευσης</v>
          </cell>
          <cell r="H2063">
            <v>6750</v>
          </cell>
          <cell r="J2063" t="str">
            <v>Ναι</v>
          </cell>
          <cell r="K2063" t="str">
            <v>Όχι</v>
          </cell>
          <cell r="L2063" t="str">
            <v>ΌΧΙ</v>
          </cell>
          <cell r="O2063" t="str">
            <v/>
          </cell>
        </row>
        <row r="2064">
          <cell r="D2064" t="str">
            <v>ΠΥΡΗΝΟΚΑΡΠΑ66140</v>
          </cell>
          <cell r="E2064" t="str">
            <v>ΝΕΚΤΑΡΙΝ. ΓΟΥΑΪΝΜΠΕΡΓΚΕΡ</v>
          </cell>
          <cell r="F2064" t="str">
            <v>B_4_1_1_1</v>
          </cell>
          <cell r="G2064" t="str">
            <v>Φυτείες για παραγωγή φρούτων εύκρατης προέλευσης</v>
          </cell>
          <cell r="H2064">
            <v>6750</v>
          </cell>
          <cell r="J2064" t="str">
            <v>Ναι</v>
          </cell>
          <cell r="K2064" t="str">
            <v>Όχι</v>
          </cell>
          <cell r="L2064" t="str">
            <v>ΌΧΙ</v>
          </cell>
          <cell r="O2064" t="str">
            <v/>
          </cell>
        </row>
        <row r="2065">
          <cell r="D2065" t="str">
            <v>ΠΥΡΗΝΟΚΑΡΠΑ66141</v>
          </cell>
          <cell r="E2065" t="str">
            <v>ΝΕΚΤΑΡΙΝ. ΤΕΪΣΤΙΦΡΙ</v>
          </cell>
          <cell r="F2065" t="str">
            <v>B_4_1_1_1</v>
          </cell>
          <cell r="G2065" t="str">
            <v>Φυτείες για παραγωγή φρούτων εύκρατης προέλευσης</v>
          </cell>
          <cell r="H2065">
            <v>6750</v>
          </cell>
          <cell r="J2065" t="str">
            <v>Ναι</v>
          </cell>
          <cell r="K2065" t="str">
            <v>Όχι</v>
          </cell>
          <cell r="L2065" t="str">
            <v>ΌΧΙ</v>
          </cell>
          <cell r="O2065" t="str">
            <v/>
          </cell>
        </row>
        <row r="2066">
          <cell r="D2066" t="str">
            <v>ΠΥΡΗΝΟΚΑΡΠΑ66142</v>
          </cell>
          <cell r="E2066" t="str">
            <v>ΝΕΚΤΑΡΙΝ. ΟΤΟΜΝΦΡΙ</v>
          </cell>
          <cell r="F2066" t="str">
            <v>B_4_1_1_1</v>
          </cell>
          <cell r="G2066" t="str">
            <v>Φυτείες για παραγωγή φρούτων εύκρατης προέλευσης</v>
          </cell>
          <cell r="H2066">
            <v>6750</v>
          </cell>
          <cell r="J2066" t="str">
            <v>Ναι</v>
          </cell>
          <cell r="K2066" t="str">
            <v>Όχι</v>
          </cell>
          <cell r="L2066" t="str">
            <v>ΌΧΙ</v>
          </cell>
          <cell r="O2066" t="str">
            <v/>
          </cell>
        </row>
        <row r="2067">
          <cell r="D2067" t="str">
            <v>ΠΥΡΗΝΟΚΑΡΠΑ66143</v>
          </cell>
          <cell r="E2067" t="str">
            <v>ΝΕΚΤΑΡΙΝ. ΣΟΥΠΕΡ ΚΡΙΜΣΟΝ</v>
          </cell>
          <cell r="F2067" t="str">
            <v>B_4_1_1_1</v>
          </cell>
          <cell r="G2067" t="str">
            <v>Φυτείες για παραγωγή φρούτων εύκρατης προέλευσης</v>
          </cell>
          <cell r="H2067">
            <v>6750</v>
          </cell>
          <cell r="J2067" t="str">
            <v>Ναι</v>
          </cell>
          <cell r="K2067" t="str">
            <v>Όχι</v>
          </cell>
          <cell r="L2067" t="str">
            <v>ΌΧΙ</v>
          </cell>
          <cell r="O2067" t="str">
            <v/>
          </cell>
        </row>
        <row r="2068">
          <cell r="D2068" t="str">
            <v>ΠΥΡΗΝΟΚΑΡΠΑ66144</v>
          </cell>
          <cell r="E2068" t="str">
            <v>ΝΕΚΤΑΡΙΝ. ΚΑΛ-84</v>
          </cell>
          <cell r="F2068" t="str">
            <v>B_4_1_1_1</v>
          </cell>
          <cell r="G2068" t="str">
            <v>Φυτείες για παραγωγή φρούτων εύκρατης προέλευσης</v>
          </cell>
          <cell r="H2068">
            <v>6750</v>
          </cell>
          <cell r="J2068" t="str">
            <v>Ναι</v>
          </cell>
          <cell r="K2068" t="str">
            <v>Όχι</v>
          </cell>
          <cell r="L2068" t="str">
            <v>ΌΧΙ</v>
          </cell>
          <cell r="O2068" t="str">
            <v/>
          </cell>
        </row>
        <row r="2069">
          <cell r="D2069" t="str">
            <v>ΠΥΡΗΝΟΚΑΡΠΑ66145</v>
          </cell>
          <cell r="E2069" t="str">
            <v>ΝΕΚΤΑΡΙΝΙΑ Νο 2</v>
          </cell>
          <cell r="F2069" t="str">
            <v>B_4_1_1_1</v>
          </cell>
          <cell r="G2069" t="str">
            <v>Φυτείες για παραγωγή φρούτων εύκρατης προέλευσης</v>
          </cell>
          <cell r="H2069">
            <v>6750</v>
          </cell>
          <cell r="J2069" t="str">
            <v>Ναι</v>
          </cell>
          <cell r="K2069" t="str">
            <v>Όχι</v>
          </cell>
          <cell r="L2069" t="str">
            <v>ΌΧΙ</v>
          </cell>
          <cell r="O2069" t="str">
            <v/>
          </cell>
        </row>
        <row r="2070">
          <cell r="D2070" t="str">
            <v>ΠΥΡΗΝΟΚΑΡΠΑ66146</v>
          </cell>
          <cell r="E2070" t="str">
            <v>ΝΕΚΤΑΡΙΝΙΑ Νο 3</v>
          </cell>
          <cell r="F2070" t="str">
            <v>B_4_1_1_1</v>
          </cell>
          <cell r="G2070" t="str">
            <v>Φυτείες για παραγωγή φρούτων εύκρατης προέλευσης</v>
          </cell>
          <cell r="H2070">
            <v>6750</v>
          </cell>
          <cell r="J2070" t="str">
            <v>Ναι</v>
          </cell>
          <cell r="K2070" t="str">
            <v>Όχι</v>
          </cell>
          <cell r="L2070" t="str">
            <v>ΌΧΙ</v>
          </cell>
          <cell r="O2070" t="str">
            <v/>
          </cell>
        </row>
        <row r="2071">
          <cell r="D2071" t="str">
            <v>ΠΥΡΗΝΟΚΑΡΠΑ66147</v>
          </cell>
          <cell r="E2071" t="str">
            <v>ΝΕΚΤΑΡΙΝΙΑ ΒΕΝΟΥΣ</v>
          </cell>
          <cell r="F2071" t="str">
            <v>B_4_1_1_1</v>
          </cell>
          <cell r="G2071" t="str">
            <v>Φυτείες για παραγωγή φρούτων εύκρατης προέλευσης</v>
          </cell>
          <cell r="H2071">
            <v>6750</v>
          </cell>
          <cell r="J2071" t="str">
            <v>Ναι</v>
          </cell>
          <cell r="K2071" t="str">
            <v>Όχι</v>
          </cell>
          <cell r="L2071" t="str">
            <v>ΌΧΙ</v>
          </cell>
          <cell r="O2071" t="str">
            <v/>
          </cell>
        </row>
        <row r="2072">
          <cell r="D2072" t="str">
            <v>ΠΥΡΗΝΟΚΑΡΠΑ66148</v>
          </cell>
          <cell r="E2072" t="str">
            <v>ΝΕΚΤΑΡΙΝ. ΚΑΛΤΕΖΙ 2000</v>
          </cell>
          <cell r="F2072" t="str">
            <v>B_4_1_1_1</v>
          </cell>
          <cell r="G2072" t="str">
            <v>Φυτείες για παραγωγή φρούτων εύκρατης προέλευσης</v>
          </cell>
          <cell r="H2072">
            <v>6750</v>
          </cell>
          <cell r="J2072" t="str">
            <v>Ναι</v>
          </cell>
          <cell r="K2072" t="str">
            <v>Όχι</v>
          </cell>
          <cell r="L2072" t="str">
            <v>ΌΧΙ</v>
          </cell>
          <cell r="O2072" t="str">
            <v/>
          </cell>
        </row>
        <row r="2073">
          <cell r="D2073" t="str">
            <v>ΠΥΡΗΝΟΚΑΡΠΑ66149</v>
          </cell>
          <cell r="E2073" t="str">
            <v>ΝΕΚΤΑΡΙΝ. ΚΑΛΤΕΖΙ 2010</v>
          </cell>
          <cell r="F2073" t="str">
            <v>B_4_1_1_1</v>
          </cell>
          <cell r="G2073" t="str">
            <v>Φυτείες για παραγωγή φρούτων εύκρατης προέλευσης</v>
          </cell>
          <cell r="H2073">
            <v>6750</v>
          </cell>
          <cell r="J2073" t="str">
            <v>Ναι</v>
          </cell>
          <cell r="K2073" t="str">
            <v>Όχι</v>
          </cell>
          <cell r="L2073" t="str">
            <v>ΌΧΙ</v>
          </cell>
          <cell r="O2073" t="str">
            <v/>
          </cell>
        </row>
        <row r="2074">
          <cell r="D2074" t="str">
            <v>ΠΥΡΗΝΟΚΑΡΠΑ66150</v>
          </cell>
          <cell r="E2074" t="str">
            <v>ΝΕΚΤΑΡΙΝ. ΚΑΛΤΕΖΙ 2020</v>
          </cell>
          <cell r="F2074" t="str">
            <v>B_4_1_1_1</v>
          </cell>
          <cell r="G2074" t="str">
            <v>Φυτείες για παραγωγή φρούτων εύκρατης προέλευσης</v>
          </cell>
          <cell r="H2074">
            <v>6750</v>
          </cell>
          <cell r="J2074" t="str">
            <v>Ναι</v>
          </cell>
          <cell r="K2074" t="str">
            <v>Όχι</v>
          </cell>
          <cell r="L2074" t="str">
            <v>ΌΧΙ</v>
          </cell>
          <cell r="O2074" t="str">
            <v/>
          </cell>
        </row>
        <row r="2075">
          <cell r="D2075" t="str">
            <v>ΠΥΡΗΝΟΚΑΡΠΑ66151</v>
          </cell>
          <cell r="E2075" t="str">
            <v>ΝΕΚΤΑΡΙΝ. ΚΑΣΣΙΟΠΗ</v>
          </cell>
          <cell r="F2075" t="str">
            <v>B_4_1_1_1</v>
          </cell>
          <cell r="G2075" t="str">
            <v>Φυτείες για παραγωγή φρούτων εύκρατης προέλευσης</v>
          </cell>
          <cell r="H2075">
            <v>6750</v>
          </cell>
          <cell r="J2075" t="str">
            <v>Ναι</v>
          </cell>
          <cell r="K2075" t="str">
            <v>Όχι</v>
          </cell>
          <cell r="L2075" t="str">
            <v>ΌΧΙ</v>
          </cell>
          <cell r="O2075" t="str">
            <v/>
          </cell>
        </row>
        <row r="2076">
          <cell r="D2076" t="str">
            <v>ΠΥΡΗΝΟΚΑΡΠΑ66152</v>
          </cell>
          <cell r="E2076" t="str">
            <v>ΝΕΚΤΑΡΙΝ. ΛΕΓΚΡΑΝΤ</v>
          </cell>
          <cell r="F2076" t="str">
            <v>B_4_1_1_1</v>
          </cell>
          <cell r="G2076" t="str">
            <v>Φυτείες για παραγωγή φρούτων εύκρατης προέλευσης</v>
          </cell>
          <cell r="H2076">
            <v>6750</v>
          </cell>
          <cell r="J2076" t="str">
            <v>Ναι</v>
          </cell>
          <cell r="K2076" t="str">
            <v>Όχι</v>
          </cell>
          <cell r="L2076" t="str">
            <v>ΌΧΙ</v>
          </cell>
          <cell r="O2076" t="str">
            <v/>
          </cell>
        </row>
        <row r="2077">
          <cell r="D2077" t="str">
            <v>ΠΥΡΗΝΟΚΑΡΠΑ66153</v>
          </cell>
          <cell r="E2077" t="str">
            <v>ΝΕΚΤΑΡΙΝ. ΒΕΓΚΑΣ</v>
          </cell>
          <cell r="F2077" t="str">
            <v>B_4_1_1_1</v>
          </cell>
          <cell r="G2077" t="str">
            <v>Φυτείες για παραγωγή φρούτων εύκρατης προέλευσης</v>
          </cell>
          <cell r="H2077">
            <v>6750</v>
          </cell>
          <cell r="J2077" t="str">
            <v>Ναι</v>
          </cell>
          <cell r="K2077" t="str">
            <v>Όχι</v>
          </cell>
          <cell r="L2077" t="str">
            <v>ΌΧΙ</v>
          </cell>
          <cell r="O2077" t="str">
            <v/>
          </cell>
        </row>
        <row r="2078">
          <cell r="D2078" t="str">
            <v>ΠΥΡΗΝΟΚΑΡΠΑ66154</v>
          </cell>
          <cell r="E2078" t="str">
            <v>ΝΕΚΤΑΡΙΝΙΑ Νο7</v>
          </cell>
          <cell r="F2078" t="str">
            <v>B_4_1_1_1</v>
          </cell>
          <cell r="G2078" t="str">
            <v>Φυτείες για παραγωγή φρούτων εύκρατης προέλευσης</v>
          </cell>
          <cell r="H2078">
            <v>6750</v>
          </cell>
          <cell r="J2078" t="str">
            <v>Ναι</v>
          </cell>
          <cell r="K2078" t="str">
            <v>Όχι</v>
          </cell>
          <cell r="L2078" t="str">
            <v>ΌΧΙ</v>
          </cell>
          <cell r="O2078" t="str">
            <v/>
          </cell>
        </row>
        <row r="2079">
          <cell r="D2079" t="str">
            <v>ΠΥΡΗΝΟΚΑΡΠΑ66155</v>
          </cell>
          <cell r="E2079" t="str">
            <v>ΝΕΚΤΑΡΙΝ. ΠΕΚΑΣΟ</v>
          </cell>
          <cell r="F2079" t="str">
            <v>B_4_1_1_1</v>
          </cell>
          <cell r="G2079" t="str">
            <v>Φυτείες για παραγωγή φρούτων εύκρατης προέλευσης</v>
          </cell>
          <cell r="H2079">
            <v>6750</v>
          </cell>
          <cell r="J2079" t="str">
            <v>Ναι</v>
          </cell>
          <cell r="K2079" t="str">
            <v>Όχι</v>
          </cell>
          <cell r="L2079" t="str">
            <v>ΌΧΙ</v>
          </cell>
          <cell r="O2079" t="str">
            <v/>
          </cell>
        </row>
        <row r="2080">
          <cell r="D2080" t="str">
            <v>ΠΥΡΗΝΟΚΑΡΠΑ66156</v>
          </cell>
          <cell r="E2080" t="str">
            <v>ΝΕΚΤΑΡΙΝ. ΙΝΤΕΡ ΜΠΙΑΝΚΑ</v>
          </cell>
          <cell r="F2080" t="str">
            <v>B_4_1_1_1</v>
          </cell>
          <cell r="G2080" t="str">
            <v>Φυτείες για παραγωγή φρούτων εύκρατης προέλευσης</v>
          </cell>
          <cell r="H2080">
            <v>6750</v>
          </cell>
          <cell r="J2080" t="str">
            <v>Ναι</v>
          </cell>
          <cell r="K2080" t="str">
            <v>Όχι</v>
          </cell>
          <cell r="L2080" t="str">
            <v>ΌΧΙ</v>
          </cell>
          <cell r="O2080" t="str">
            <v/>
          </cell>
        </row>
        <row r="2081">
          <cell r="D2081" t="str">
            <v>ΠΥΡΗΝΟΚΑΡΠΑ66157</v>
          </cell>
          <cell r="E2081" t="str">
            <v>ΝΕΚΤΑΡΙΝ. ΣΑΝ ΦΡΙ</v>
          </cell>
          <cell r="F2081" t="str">
            <v>B_4_1_1_1</v>
          </cell>
          <cell r="G2081" t="str">
            <v>Φυτείες για παραγωγή φρούτων εύκρατης προέλευσης</v>
          </cell>
          <cell r="H2081">
            <v>6750</v>
          </cell>
          <cell r="J2081" t="str">
            <v>Ναι</v>
          </cell>
          <cell r="K2081" t="str">
            <v>Όχι</v>
          </cell>
          <cell r="L2081" t="str">
            <v>ΌΧΙ</v>
          </cell>
          <cell r="O2081" t="str">
            <v/>
          </cell>
        </row>
        <row r="2082">
          <cell r="D2082" t="str">
            <v>ΠΥΡΗΝΟΚΑΡΠΑ66158</v>
          </cell>
          <cell r="E2082" t="str">
            <v>ΝΕΚΤΑΡΙΝ. ΚΑΛΙΦΟΡΝΙΑ</v>
          </cell>
          <cell r="F2082" t="str">
            <v>B_4_1_1_1</v>
          </cell>
          <cell r="G2082" t="str">
            <v>Φυτείες για παραγωγή φρούτων εύκρατης προέλευσης</v>
          </cell>
          <cell r="H2082">
            <v>6750</v>
          </cell>
          <cell r="J2082" t="str">
            <v>Ναι</v>
          </cell>
          <cell r="K2082" t="str">
            <v>Όχι</v>
          </cell>
          <cell r="L2082" t="str">
            <v>ΌΧΙ</v>
          </cell>
          <cell r="O2082" t="str">
            <v/>
          </cell>
        </row>
        <row r="2083">
          <cell r="D2083" t="str">
            <v>ΠΥΡΗΝΟΚΑΡΠΑ66159</v>
          </cell>
          <cell r="E2083" t="str">
            <v>ΝΕΚΤΑΡΙΝ. ΤΖΟΥΛΙΕΤ</v>
          </cell>
          <cell r="F2083" t="str">
            <v>B_4_1_1_1</v>
          </cell>
          <cell r="G2083" t="str">
            <v>Φυτείες για παραγωγή φρούτων εύκρατης προέλευσης</v>
          </cell>
          <cell r="H2083">
            <v>6750</v>
          </cell>
          <cell r="J2083" t="str">
            <v>Ναι</v>
          </cell>
          <cell r="K2083" t="str">
            <v>Όχι</v>
          </cell>
          <cell r="L2083" t="str">
            <v>ΌΧΙ</v>
          </cell>
          <cell r="O2083" t="str">
            <v/>
          </cell>
        </row>
        <row r="2084">
          <cell r="D2084" t="str">
            <v>ΠΥΡΗΝΟΚΑΡΠΑ66160</v>
          </cell>
          <cell r="E2084" t="str">
            <v>ΝΕΚΤΑΡΙΝΙΑ Φ14</v>
          </cell>
          <cell r="F2084" t="str">
            <v>B_4_1_1_1</v>
          </cell>
          <cell r="G2084" t="str">
            <v>Φυτείες για παραγωγή φρούτων εύκρατης προέλευσης</v>
          </cell>
          <cell r="H2084">
            <v>6750</v>
          </cell>
          <cell r="J2084" t="str">
            <v>Ναι</v>
          </cell>
          <cell r="K2084" t="str">
            <v>Όχι</v>
          </cell>
          <cell r="L2084" t="str">
            <v>ΌΧΙ</v>
          </cell>
          <cell r="O2084" t="str">
            <v/>
          </cell>
        </row>
        <row r="2085">
          <cell r="D2085" t="str">
            <v>ΠΥΡΗΝΟΚΑΡΠΑ66161</v>
          </cell>
          <cell r="E2085" t="str">
            <v>ΝΕΚΤΑΡΙΝ. ΣΑΜΕΡ ΓΚΡΑΝΤ</v>
          </cell>
          <cell r="F2085" t="str">
            <v>B_4_1_1_1</v>
          </cell>
          <cell r="G2085" t="str">
            <v>Φυτείες για παραγωγή φρούτων εύκρατης προέλευσης</v>
          </cell>
          <cell r="H2085">
            <v>6750</v>
          </cell>
          <cell r="J2085" t="str">
            <v>Ναι</v>
          </cell>
          <cell r="K2085" t="str">
            <v>Όχι</v>
          </cell>
          <cell r="L2085" t="str">
            <v>ΌΧΙ</v>
          </cell>
          <cell r="O2085" t="str">
            <v/>
          </cell>
        </row>
        <row r="2086">
          <cell r="D2086" t="str">
            <v>ΠΥΡΗΝΟΚΑΡΠΑ66162</v>
          </cell>
          <cell r="E2086" t="str">
            <v>ΝΕΚΤΑΡΙΝ. ΦΡΙΝΤΙ</v>
          </cell>
          <cell r="F2086" t="str">
            <v>B_4_1_1_1</v>
          </cell>
          <cell r="G2086" t="str">
            <v>Φυτείες για παραγωγή φρούτων εύκρατης προέλευσης</v>
          </cell>
          <cell r="H2086">
            <v>6750</v>
          </cell>
          <cell r="J2086" t="str">
            <v>Ναι</v>
          </cell>
          <cell r="K2086" t="str">
            <v>Όχι</v>
          </cell>
          <cell r="L2086" t="str">
            <v>ΌΧΙ</v>
          </cell>
          <cell r="O2086" t="str">
            <v/>
          </cell>
        </row>
        <row r="2087">
          <cell r="D2087" t="str">
            <v>ΠΥΡΗΝΟΚΑΡΠΑ66163</v>
          </cell>
          <cell r="E2087" t="str">
            <v>ΝΕΚΤΑΡΙΝ. ΝΕΚΤΑΡΟΣ</v>
          </cell>
          <cell r="F2087" t="str">
            <v>B_4_1_1_1</v>
          </cell>
          <cell r="G2087" t="str">
            <v>Φυτείες για παραγωγή φρούτων εύκρατης προέλευσης</v>
          </cell>
          <cell r="H2087">
            <v>6750</v>
          </cell>
          <cell r="J2087" t="str">
            <v>Ναι</v>
          </cell>
          <cell r="K2087" t="str">
            <v>Όχι</v>
          </cell>
          <cell r="L2087" t="str">
            <v>ΌΧΙ</v>
          </cell>
          <cell r="O2087" t="str">
            <v/>
          </cell>
        </row>
        <row r="2088">
          <cell r="D2088" t="str">
            <v>ΠΥΡΗΝΟΚΑΡΠΑ66164</v>
          </cell>
          <cell r="E2088" t="str">
            <v>ΝΕΚΤΑΡΙΝ. ΦΕΝΤΑΛΕΪΤ</v>
          </cell>
          <cell r="F2088" t="str">
            <v>B_4_1_1_1</v>
          </cell>
          <cell r="G2088" t="str">
            <v>Φυτείες για παραγωγή φρούτων εύκρατης προέλευσης</v>
          </cell>
          <cell r="H2088">
            <v>6750</v>
          </cell>
          <cell r="J2088" t="str">
            <v>Ναι</v>
          </cell>
          <cell r="K2088" t="str">
            <v>Όχι</v>
          </cell>
          <cell r="L2088" t="str">
            <v>ΌΧΙ</v>
          </cell>
          <cell r="O2088" t="str">
            <v/>
          </cell>
        </row>
        <row r="2089">
          <cell r="D2089" t="str">
            <v>ΠΥΡΗΝΟΚΑΡΠΑ66165</v>
          </cell>
          <cell r="E2089" t="str">
            <v>ΝΕΚΤΑΡΙΝ. ΚΑΛΤΕΖΙ 85</v>
          </cell>
          <cell r="F2089" t="str">
            <v>B_4_1_1_1</v>
          </cell>
          <cell r="G2089" t="str">
            <v>Φυτείες για παραγωγή φρούτων εύκρατης προέλευσης</v>
          </cell>
          <cell r="H2089">
            <v>6750</v>
          </cell>
          <cell r="J2089" t="str">
            <v>Ναι</v>
          </cell>
          <cell r="K2089" t="str">
            <v>Όχι</v>
          </cell>
          <cell r="L2089" t="str">
            <v>ΌΧΙ</v>
          </cell>
          <cell r="O2089" t="str">
            <v/>
          </cell>
        </row>
        <row r="2090">
          <cell r="D2090" t="str">
            <v>ΠΥΡΗΝΟΚΑΡΠΑ66166</v>
          </cell>
          <cell r="E2090" t="str">
            <v>ΝΕΚΤΑΡΙΝ. ΡΕΝΤΦΕΑΡ</v>
          </cell>
          <cell r="F2090" t="str">
            <v>B_4_1_1_1</v>
          </cell>
          <cell r="G2090" t="str">
            <v>Φυτείες για παραγωγή φρούτων εύκρατης προέλευσης</v>
          </cell>
          <cell r="H2090">
            <v>6750</v>
          </cell>
          <cell r="J2090" t="str">
            <v>Ναι</v>
          </cell>
          <cell r="K2090" t="str">
            <v>Όχι</v>
          </cell>
          <cell r="L2090" t="str">
            <v>ΌΧΙ</v>
          </cell>
          <cell r="O2090" t="str">
            <v/>
          </cell>
        </row>
        <row r="2091">
          <cell r="D2091" t="str">
            <v>ΠΥΡΗΝΟΚΑΡΠΑ66167</v>
          </cell>
          <cell r="E2091" t="str">
            <v>ΝΕΚΤΑΡΙΝ. ΣΤΑΡ ΓΚΡΑΝΤ</v>
          </cell>
          <cell r="F2091" t="str">
            <v>B_4_1_1_1</v>
          </cell>
          <cell r="G2091" t="str">
            <v>Φυτείες για παραγωγή φρούτων εύκρατης προέλευσης</v>
          </cell>
          <cell r="H2091">
            <v>6750</v>
          </cell>
          <cell r="J2091" t="str">
            <v>Ναι</v>
          </cell>
          <cell r="K2091" t="str">
            <v>Όχι</v>
          </cell>
          <cell r="L2091" t="str">
            <v>ΌΧΙ</v>
          </cell>
          <cell r="O2091" t="str">
            <v/>
          </cell>
        </row>
        <row r="2092">
          <cell r="D2092" t="str">
            <v>ΠΥΡΗΝΟΚΑΡΠΑ66168</v>
          </cell>
          <cell r="E2092" t="str">
            <v>ΝΕΚΤΑΡΙΝ. ΟΥΪΛΣΟΝ</v>
          </cell>
          <cell r="F2092" t="str">
            <v>B_4_1_1_1</v>
          </cell>
          <cell r="G2092" t="str">
            <v>Φυτείες για παραγωγή φρούτων εύκρατης προέλευσης</v>
          </cell>
          <cell r="H2092">
            <v>6750</v>
          </cell>
          <cell r="J2092" t="str">
            <v>Ναι</v>
          </cell>
          <cell r="K2092" t="str">
            <v>Όχι</v>
          </cell>
          <cell r="L2092" t="str">
            <v>ΌΧΙ</v>
          </cell>
          <cell r="O2092" t="str">
            <v/>
          </cell>
        </row>
        <row r="2093">
          <cell r="D2093" t="str">
            <v>ΠΥΡΗΝΟΚΑΡΠΑ66169</v>
          </cell>
          <cell r="E2093" t="str">
            <v>ΝΕΚΤΑΡΙΝ. ΣΙΛΒΕΡ ΚΙΝΓΚ</v>
          </cell>
          <cell r="F2093" t="str">
            <v>B_4_1_1_1</v>
          </cell>
          <cell r="G2093" t="str">
            <v>Φυτείες για παραγωγή φρούτων εύκρατης προέλευσης</v>
          </cell>
          <cell r="H2093">
            <v>6750</v>
          </cell>
          <cell r="J2093" t="str">
            <v>Ναι</v>
          </cell>
          <cell r="K2093" t="str">
            <v>Όχι</v>
          </cell>
          <cell r="L2093" t="str">
            <v>ΌΧΙ</v>
          </cell>
          <cell r="O2093" t="str">
            <v/>
          </cell>
        </row>
        <row r="2094">
          <cell r="D2094" t="str">
            <v>ΠΥΡΗΝΟΚΑΡΠΑ66170</v>
          </cell>
          <cell r="E2094" t="str">
            <v>ΝΕΚΤΑΡΙΝ. ΡΙΤΑ ΣΤΑΡ</v>
          </cell>
          <cell r="F2094" t="str">
            <v>B_4_1_1_1</v>
          </cell>
          <cell r="G2094" t="str">
            <v>Φυτείες για παραγωγή φρούτων εύκρατης προέλευσης</v>
          </cell>
          <cell r="H2094">
            <v>6750</v>
          </cell>
          <cell r="J2094" t="str">
            <v>Ναι</v>
          </cell>
          <cell r="K2094" t="str">
            <v>Όχι</v>
          </cell>
          <cell r="L2094" t="str">
            <v>ΌΧΙ</v>
          </cell>
          <cell r="O2094" t="str">
            <v/>
          </cell>
        </row>
        <row r="2095">
          <cell r="D2095" t="str">
            <v>ΠΥΡΗΝΟΚΑΡΠΑ66171</v>
          </cell>
          <cell r="E2095" t="str">
            <v>ΝΕΚΤΑΡΙΝ. ΡΕΝΤ ΝΤΙΛΑΪΤ</v>
          </cell>
          <cell r="F2095" t="str">
            <v>B_4_1_1_1</v>
          </cell>
          <cell r="G2095" t="str">
            <v>Φυτείες για παραγωγή φρούτων εύκρατης προέλευσης</v>
          </cell>
          <cell r="H2095">
            <v>6750</v>
          </cell>
          <cell r="J2095" t="str">
            <v>Ναι</v>
          </cell>
          <cell r="K2095" t="str">
            <v>Όχι</v>
          </cell>
          <cell r="L2095" t="str">
            <v>ΌΧΙ</v>
          </cell>
          <cell r="O2095" t="str">
            <v/>
          </cell>
        </row>
        <row r="2096">
          <cell r="D2096" t="str">
            <v>ΠΥΡΗΝΟΚΑΡΠΑ66172</v>
          </cell>
          <cell r="E2096" t="str">
            <v>ΝΕΚΤΑΡΙΝ. ΜΟΡΣΙΑΝΙ</v>
          </cell>
          <cell r="F2096" t="str">
            <v>B_4_1_1_1</v>
          </cell>
          <cell r="G2096" t="str">
            <v>Φυτείες για παραγωγή φρούτων εύκρατης προέλευσης</v>
          </cell>
          <cell r="H2096">
            <v>6750</v>
          </cell>
          <cell r="J2096" t="str">
            <v>Ναι</v>
          </cell>
          <cell r="K2096" t="str">
            <v>Όχι</v>
          </cell>
          <cell r="L2096" t="str">
            <v>ΌΧΙ</v>
          </cell>
          <cell r="O2096" t="str">
            <v/>
          </cell>
        </row>
        <row r="2097">
          <cell r="D2097" t="str">
            <v>ΠΥΡΗΝΟΚΑΡΠΑ66173</v>
          </cell>
          <cell r="E2097" t="str">
            <v>ΝΕΚΤΑΡΙΝ. ΝΙΚΗ</v>
          </cell>
          <cell r="F2097" t="str">
            <v>B_4_1_1_1</v>
          </cell>
          <cell r="G2097" t="str">
            <v>Φυτείες για παραγωγή φρούτων εύκρατης προέλευσης</v>
          </cell>
          <cell r="H2097">
            <v>6750</v>
          </cell>
          <cell r="J2097" t="str">
            <v>Ναι</v>
          </cell>
          <cell r="K2097" t="str">
            <v>Όχι</v>
          </cell>
          <cell r="L2097" t="str">
            <v>ΌΧΙ</v>
          </cell>
          <cell r="O2097" t="str">
            <v/>
          </cell>
        </row>
        <row r="2098">
          <cell r="D2098" t="str">
            <v>ΠΥΡΗΝΟΚΑΡΠΑ66174</v>
          </cell>
          <cell r="E2098" t="str">
            <v>ΝΕΚΤΑΡΙΝ. ΑΡΜΟΝΙΑ</v>
          </cell>
          <cell r="F2098" t="str">
            <v>B_4_1_1_1</v>
          </cell>
          <cell r="G2098" t="str">
            <v>Φυτείες για παραγωγή φρούτων εύκρατης προέλευσης</v>
          </cell>
          <cell r="H2098">
            <v>6750</v>
          </cell>
          <cell r="J2098" t="str">
            <v>Ναι</v>
          </cell>
          <cell r="K2098" t="str">
            <v>Όχι</v>
          </cell>
          <cell r="L2098" t="str">
            <v>ΌΧΙ</v>
          </cell>
          <cell r="O2098" t="str">
            <v/>
          </cell>
        </row>
        <row r="2099">
          <cell r="D2099" t="str">
            <v>ΠΥΡΗΝΟΚΑΡΠΑ66175</v>
          </cell>
          <cell r="E2099" t="str">
            <v>ΝΕΚΤΑΡΙΝ. ΦΛΕΪΒΟΡ ΓΚΟΛΝΤ</v>
          </cell>
          <cell r="F2099" t="str">
            <v>B_4_1_1_1</v>
          </cell>
          <cell r="G2099" t="str">
            <v>Φυτείες για παραγωγή φρούτων εύκρατης προέλευσης</v>
          </cell>
          <cell r="H2099">
            <v>6750</v>
          </cell>
          <cell r="J2099" t="str">
            <v>Ναι</v>
          </cell>
          <cell r="K2099" t="str">
            <v>Όχι</v>
          </cell>
          <cell r="L2099" t="str">
            <v>ΌΧΙ</v>
          </cell>
          <cell r="O2099" t="str">
            <v/>
          </cell>
        </row>
        <row r="2100">
          <cell r="D2100" t="str">
            <v>ΠΥΡΗΝΟΚΑΡΠΑ66176</v>
          </cell>
          <cell r="E2100" t="str">
            <v>ΝΕΚΤΑΡΙΝ. ΝΤΕΛΙΣΙΟΥΣ ΣΟΥΪΤ</v>
          </cell>
          <cell r="F2100" t="str">
            <v>B_4_1_1_1</v>
          </cell>
          <cell r="G2100" t="str">
            <v>Φυτείες για παραγωγή φρούτων εύκρατης προέλευσης</v>
          </cell>
          <cell r="H2100">
            <v>6750</v>
          </cell>
          <cell r="J2100" t="str">
            <v>Ναι</v>
          </cell>
          <cell r="K2100" t="str">
            <v>Όχι</v>
          </cell>
          <cell r="L2100" t="str">
            <v>ΌΧΙ</v>
          </cell>
          <cell r="O2100" t="str">
            <v/>
          </cell>
        </row>
        <row r="2101">
          <cell r="D2101" t="str">
            <v>ΠΥΡΗΝΟΚΑΡΠΑ66177</v>
          </cell>
          <cell r="E2101" t="str">
            <v>ΝΕΚΤΑΡΙΝ. ΜΙΡΕΝΤΣΙ</v>
          </cell>
          <cell r="F2101" t="str">
            <v>B_4_1_1_1</v>
          </cell>
          <cell r="G2101" t="str">
            <v>Φυτείες για παραγωγή φρούτων εύκρατης προέλευσης</v>
          </cell>
          <cell r="H2101">
            <v>6750</v>
          </cell>
          <cell r="J2101" t="str">
            <v>Ναι</v>
          </cell>
          <cell r="K2101" t="str">
            <v>Όχι</v>
          </cell>
          <cell r="L2101" t="str">
            <v>ΌΧΙ</v>
          </cell>
          <cell r="O2101" t="str">
            <v/>
          </cell>
        </row>
        <row r="2102">
          <cell r="D2102" t="str">
            <v>ΠΥΡΗΝΟΚΑΡΠΑ66178</v>
          </cell>
          <cell r="E2102" t="str">
            <v>ΝΕΚΤΑΡΙΝ. ΜΠΙΓΚ ΤΟΠ</v>
          </cell>
          <cell r="F2102" t="str">
            <v>B_4_1_1_1</v>
          </cell>
          <cell r="G2102" t="str">
            <v>Φυτείες για παραγωγή φρούτων εύκρατης προέλευσης</v>
          </cell>
          <cell r="H2102">
            <v>6750</v>
          </cell>
          <cell r="J2102" t="str">
            <v>Ναι</v>
          </cell>
          <cell r="K2102" t="str">
            <v>Όχι</v>
          </cell>
          <cell r="L2102" t="str">
            <v>ΌΧΙ</v>
          </cell>
          <cell r="O2102" t="str">
            <v/>
          </cell>
        </row>
        <row r="2103">
          <cell r="D2103" t="str">
            <v>ΠΥΡΗΝΟΚΑΡΠΑ66179</v>
          </cell>
          <cell r="E2103" t="str">
            <v>ΝΕΚΤΑΡ. ΜΕΙ ΣΤΑΡ</v>
          </cell>
          <cell r="F2103" t="str">
            <v>B_4_1_1_1</v>
          </cell>
          <cell r="G2103" t="str">
            <v>Φυτείες για παραγωγή φρούτων εύκρατης προέλευσης</v>
          </cell>
          <cell r="H2103">
            <v>6750</v>
          </cell>
          <cell r="J2103" t="str">
            <v>Ναι</v>
          </cell>
          <cell r="K2103" t="str">
            <v>Όχι</v>
          </cell>
          <cell r="L2103" t="str">
            <v>ΌΧΙ</v>
          </cell>
          <cell r="O2103" t="str">
            <v/>
          </cell>
        </row>
        <row r="2104">
          <cell r="D2104" t="str">
            <v>ΠΥΡΗΝΟΚΑΡΠΑ66180</v>
          </cell>
          <cell r="E2104" t="str">
            <v>ΝΕΚΤΑΡ. ΑΝΤΡΙΑΝΑ</v>
          </cell>
          <cell r="F2104" t="str">
            <v>B_4_1_1_1</v>
          </cell>
          <cell r="G2104" t="str">
            <v>Φυτείες για παραγωγή φρούτων εύκρατης προέλευσης</v>
          </cell>
          <cell r="H2104">
            <v>6750</v>
          </cell>
          <cell r="J2104" t="str">
            <v>Ναι</v>
          </cell>
          <cell r="K2104" t="str">
            <v>Όχι</v>
          </cell>
          <cell r="L2104" t="str">
            <v>ΌΧΙ</v>
          </cell>
          <cell r="O2104" t="str">
            <v/>
          </cell>
        </row>
        <row r="2105">
          <cell r="D2105" t="str">
            <v>ΠΥΡΗΝΟΚΑΡΠΑ66181</v>
          </cell>
          <cell r="E2105" t="str">
            <v>ΝΕΚΤΑΡΙΝΙΑ ΔΙΑΦΟΡΩΝ ΠΟΙΚΙΛΙΩΝ ΠΡΩΙΜΑ</v>
          </cell>
          <cell r="F2105" t="str">
            <v>B_4_1_1_1</v>
          </cell>
          <cell r="G2105" t="str">
            <v>Φυτείες για παραγωγή φρούτων εύκρατης προέλευσης</v>
          </cell>
          <cell r="H2105">
            <v>6750</v>
          </cell>
          <cell r="J2105" t="str">
            <v>Ναι</v>
          </cell>
          <cell r="K2105" t="str">
            <v>Όχι</v>
          </cell>
          <cell r="L2105" t="str">
            <v>ΌΧΙ</v>
          </cell>
          <cell r="O2105" t="str">
            <v/>
          </cell>
        </row>
        <row r="2106">
          <cell r="D2106" t="str">
            <v>ΠΥΡΗΝΟΚΑΡΠΑ66182</v>
          </cell>
          <cell r="E2106" t="str">
            <v>ΝΕΚΤΑΡΙΝΙΑ ΔΙΑΦΟΡΩΝ ΠΟΙΚΙΛΙΩΝ ΜΕΣΟΠΡΩΙΜΑ</v>
          </cell>
          <cell r="F2106" t="str">
            <v>B_4_1_1_1</v>
          </cell>
          <cell r="G2106" t="str">
            <v>Φυτείες για παραγωγή φρούτων εύκρατης προέλευσης</v>
          </cell>
          <cell r="H2106">
            <v>6750</v>
          </cell>
          <cell r="J2106" t="str">
            <v>Ναι</v>
          </cell>
          <cell r="K2106" t="str">
            <v>Όχι</v>
          </cell>
          <cell r="L2106" t="str">
            <v>ΌΧΙ</v>
          </cell>
          <cell r="O2106" t="str">
            <v/>
          </cell>
        </row>
        <row r="2107">
          <cell r="D2107" t="str">
            <v>ΠΥΡΗΝΟΚΑΡΠΑ66183</v>
          </cell>
          <cell r="E2107" t="str">
            <v>ΝΕΚΤΑΡΙΝΙΑ ΔΙΑΦΟΡΩΝ ΠΟΙΚΙΛΙΩΝ ΟΨΙΜΑ</v>
          </cell>
          <cell r="F2107" t="str">
            <v>B_4_1_1_1</v>
          </cell>
          <cell r="G2107" t="str">
            <v>Φυτείες για παραγωγή φρούτων εύκρατης προέλευσης</v>
          </cell>
          <cell r="H2107">
            <v>6750</v>
          </cell>
          <cell r="J2107" t="str">
            <v>Ναι</v>
          </cell>
          <cell r="K2107" t="str">
            <v>Όχι</v>
          </cell>
          <cell r="L2107" t="str">
            <v>ΌΧΙ</v>
          </cell>
          <cell r="O2107" t="str">
            <v/>
          </cell>
        </row>
        <row r="2108">
          <cell r="D2108" t="str">
            <v>ΠΥΡΗΝΟΚΑΡΠΑ66184</v>
          </cell>
          <cell r="E2108" t="str">
            <v>ΝΕΚΤΑΡΙΝΙΑ ΡΟΖ ΝΤΑΪΜΟΝΤ</v>
          </cell>
          <cell r="F2108" t="str">
            <v>B_4_1_1_1</v>
          </cell>
          <cell r="G2108" t="str">
            <v>Φυτείες για παραγωγή φρούτων εύκρατης προέλευσης</v>
          </cell>
          <cell r="H2108">
            <v>6750</v>
          </cell>
          <cell r="J2108" t="str">
            <v>Ναι</v>
          </cell>
          <cell r="K2108" t="str">
            <v>Όχι</v>
          </cell>
          <cell r="L2108" t="str">
            <v>ΌΧΙ</v>
          </cell>
          <cell r="O2108" t="str">
            <v/>
          </cell>
        </row>
        <row r="2109">
          <cell r="D2109" t="str">
            <v>ΠΥΡΗΝΟΚΑΡΠΑ66185</v>
          </cell>
          <cell r="E2109" t="str">
            <v>ΝΕΚΤΑΡΙΝΙΑ ΛΑΟΥΡΑ</v>
          </cell>
          <cell r="F2109" t="str">
            <v>B_4_1_1_1</v>
          </cell>
          <cell r="G2109" t="str">
            <v>Φυτείες για παραγωγή φρούτων εύκρατης προέλευσης</v>
          </cell>
          <cell r="H2109">
            <v>6750</v>
          </cell>
          <cell r="J2109" t="str">
            <v>Ναι</v>
          </cell>
          <cell r="K2109" t="str">
            <v>Όχι</v>
          </cell>
          <cell r="L2109" t="str">
            <v>ΌΧΙ</v>
          </cell>
          <cell r="O2109" t="str">
            <v/>
          </cell>
        </row>
        <row r="2110">
          <cell r="D2110" t="str">
            <v>ΠΥΡΗΝΟΚΑΡΠΑ66186</v>
          </cell>
          <cell r="E2110" t="str">
            <v>ΝΕΚΤΑΡΙΝΙΑ ΑΜΠΡΑ</v>
          </cell>
          <cell r="F2110" t="str">
            <v>B_4_1_1_1</v>
          </cell>
          <cell r="G2110" t="str">
            <v>Φυτείες για παραγωγή φρούτων εύκρατης προέλευσης</v>
          </cell>
          <cell r="H2110">
            <v>6750</v>
          </cell>
          <cell r="J2110" t="str">
            <v>Ναι</v>
          </cell>
          <cell r="K2110" t="str">
            <v>Όχι</v>
          </cell>
          <cell r="L2110" t="str">
            <v>ΌΧΙ</v>
          </cell>
          <cell r="O2110" t="str">
            <v/>
          </cell>
        </row>
        <row r="2111">
          <cell r="D2111" t="str">
            <v>ΠΥΡΗΝΟΚΑΡΠΑ66187</v>
          </cell>
          <cell r="E2111" t="str">
            <v>ΝΕΚΤΑΡΙΝΙΑ ΩΡΙΩΝ</v>
          </cell>
          <cell r="F2111" t="str">
            <v>B_4_1_1_1</v>
          </cell>
          <cell r="G2111" t="str">
            <v>Φυτείες για παραγωγή φρούτων εύκρατης προέλευσης</v>
          </cell>
          <cell r="H2111">
            <v>6750</v>
          </cell>
          <cell r="J2111" t="str">
            <v>Ναι</v>
          </cell>
          <cell r="K2111" t="str">
            <v>Όχι</v>
          </cell>
          <cell r="L2111" t="str">
            <v>ΌΧΙ</v>
          </cell>
          <cell r="O2111" t="str">
            <v/>
          </cell>
        </row>
        <row r="2112">
          <cell r="D2112" t="str">
            <v>ΠΥΡΗΝΟΚΑΡΠΑ66188</v>
          </cell>
          <cell r="E2112" t="str">
            <v>ΝΕΚΤΑΡΙΝΙΑ ΣΠΡΙΝΓΚ ΜΠΡΑΪΤ</v>
          </cell>
          <cell r="F2112" t="str">
            <v>B_4_1_1_1</v>
          </cell>
          <cell r="G2112" t="str">
            <v>Φυτείες για παραγωγή φρούτων εύκρατης προέλευσης</v>
          </cell>
          <cell r="H2112">
            <v>6750</v>
          </cell>
          <cell r="J2112" t="str">
            <v>Ναι</v>
          </cell>
          <cell r="K2112" t="str">
            <v>Όχι</v>
          </cell>
          <cell r="L2112" t="str">
            <v>ΌΧΙ</v>
          </cell>
          <cell r="O2112" t="str">
            <v/>
          </cell>
        </row>
        <row r="2113">
          <cell r="D2113" t="str">
            <v>ΠΥΡΗΝΟΚΑΡΠΑ66189</v>
          </cell>
          <cell r="E2113" t="str">
            <v>ΝΕΚΤΑΡΙΝΙΑ ΣΙΝΘΙΑ</v>
          </cell>
          <cell r="F2113" t="str">
            <v>B_4_1_1_1</v>
          </cell>
          <cell r="G2113" t="str">
            <v>Φυτείες για παραγωγή φρούτων εύκρατης προέλευσης</v>
          </cell>
          <cell r="H2113">
            <v>6750</v>
          </cell>
          <cell r="J2113" t="str">
            <v>Ναι</v>
          </cell>
          <cell r="K2113" t="str">
            <v>Όχι</v>
          </cell>
          <cell r="L2113" t="str">
            <v>ΌΧΙ</v>
          </cell>
          <cell r="O2113" t="str">
            <v/>
          </cell>
        </row>
        <row r="2114">
          <cell r="D2114" t="str">
            <v>ΠΥΡΗΝΟΚΑΡΠΑ66190</v>
          </cell>
          <cell r="E2114" t="str">
            <v>ΝΕΚΤΑΡΙΝΙΑ ΕΡΛΥ ΝΤΡΙΜ</v>
          </cell>
          <cell r="F2114" t="str">
            <v>B_4_1_1_1</v>
          </cell>
          <cell r="G2114" t="str">
            <v>Φυτείες για παραγωγή φρούτων εύκρατης προέλευσης</v>
          </cell>
          <cell r="H2114">
            <v>6750</v>
          </cell>
          <cell r="J2114" t="str">
            <v>Ναι</v>
          </cell>
          <cell r="K2114" t="str">
            <v>Όχι</v>
          </cell>
          <cell r="L2114" t="str">
            <v>ΌΧΙ</v>
          </cell>
          <cell r="O2114" t="str">
            <v/>
          </cell>
        </row>
        <row r="2115">
          <cell r="D2115" t="str">
            <v>ΠΥΡΗΝΟΚΑΡΠΑ66191</v>
          </cell>
          <cell r="E2115" t="str">
            <v>ΡΟΔΑΚΙΝΑ ΡΟΥΑΓΙΑΛ ΕΪΠΡΙΛ</v>
          </cell>
          <cell r="F2115" t="str">
            <v>B_4_1_1_1</v>
          </cell>
          <cell r="G2115" t="str">
            <v>Φυτείες για παραγωγή φρούτων εύκρατης προέλευσης</v>
          </cell>
          <cell r="H2115">
            <v>6750</v>
          </cell>
          <cell r="J2115" t="str">
            <v>Ναι</v>
          </cell>
          <cell r="K2115" t="str">
            <v>Όχι</v>
          </cell>
          <cell r="L2115" t="str">
            <v>ΌΧΙ</v>
          </cell>
          <cell r="O2115" t="str">
            <v/>
          </cell>
        </row>
        <row r="2116">
          <cell r="D2116" t="str">
            <v>ΠΥΡΗΝΟΚΑΡΠΑ66192</v>
          </cell>
          <cell r="E2116" t="str">
            <v>ΡΟΔΑΚΙΝΑ ΕΡΛΥΚΡΕΣΤ</v>
          </cell>
          <cell r="F2116" t="str">
            <v>B_4_1_1_1</v>
          </cell>
          <cell r="G2116" t="str">
            <v>Φυτείες για παραγωγή φρούτων εύκρατης προέλευσης</v>
          </cell>
          <cell r="H2116">
            <v>6750</v>
          </cell>
          <cell r="J2116" t="str">
            <v>Ναι</v>
          </cell>
          <cell r="K2116" t="str">
            <v>Όχι</v>
          </cell>
          <cell r="L2116" t="str">
            <v>ΌΧΙ</v>
          </cell>
          <cell r="O2116" t="str">
            <v/>
          </cell>
        </row>
        <row r="2117">
          <cell r="D2117" t="str">
            <v>ΠΥΡΗΝΟΚΑΡΠΑ66193</v>
          </cell>
          <cell r="E2117" t="str">
            <v>ΡΟΔΑΚΙΝΑ ΣΠΡΙΝΓΚΤΑΪΜ ΥΠΕΡΠΡΩΙΜΗ</v>
          </cell>
          <cell r="F2117" t="str">
            <v>B_4_1_1_1</v>
          </cell>
          <cell r="G2117" t="str">
            <v>Φυτείες για παραγωγή φρούτων εύκρατης προέλευσης</v>
          </cell>
          <cell r="H2117">
            <v>6750</v>
          </cell>
          <cell r="J2117" t="str">
            <v>Ναι</v>
          </cell>
          <cell r="K2117" t="str">
            <v>Όχι</v>
          </cell>
          <cell r="L2117" t="str">
            <v>ΌΧΙ</v>
          </cell>
          <cell r="O2117" t="str">
            <v/>
          </cell>
        </row>
        <row r="2118">
          <cell r="D2118" t="str">
            <v>ΠΥΡΗΝΟΚΑΡΠΑ66194</v>
          </cell>
          <cell r="E2118" t="str">
            <v>ΡΟΔΑΚΙΝΑ ΣΠΡΙΝΓΚΤΑΪΜ</v>
          </cell>
          <cell r="F2118" t="str">
            <v>B_4_1_1_1</v>
          </cell>
          <cell r="G2118" t="str">
            <v>Φυτείες για παραγωγή φρούτων εύκρατης προέλευσης</v>
          </cell>
          <cell r="H2118">
            <v>6750</v>
          </cell>
          <cell r="J2118" t="str">
            <v>Ναι</v>
          </cell>
          <cell r="K2118" t="str">
            <v>Όχι</v>
          </cell>
          <cell r="L2118" t="str">
            <v>ΌΧΙ</v>
          </cell>
          <cell r="O2118" t="str">
            <v/>
          </cell>
        </row>
        <row r="2119">
          <cell r="D2119" t="str">
            <v>ΠΥΡΗΝΟΚΑΡΠΑ66195</v>
          </cell>
          <cell r="E2119" t="str">
            <v>ΡΟΔΑΚΙΝΑ ΡΟΥΑΓΙΑΛ ΓΚΟΛΝΤ</v>
          </cell>
          <cell r="F2119" t="str">
            <v>B_4_1_1_1</v>
          </cell>
          <cell r="G2119" t="str">
            <v>Φυτείες για παραγωγή φρούτων εύκρατης προέλευσης</v>
          </cell>
          <cell r="H2119">
            <v>6750</v>
          </cell>
          <cell r="J2119" t="str">
            <v>Ναι</v>
          </cell>
          <cell r="K2119" t="str">
            <v>Όχι</v>
          </cell>
          <cell r="L2119" t="str">
            <v>ΌΧΙ</v>
          </cell>
          <cell r="O2119" t="str">
            <v/>
          </cell>
        </row>
        <row r="2120">
          <cell r="D2120" t="str">
            <v>ΠΥΡΗΝΟΚΑΡΠΑ66196</v>
          </cell>
          <cell r="E2120" t="str">
            <v>ΡΟΔΑΚΙΝΑ ΑΡΜ ΓΚΟΛΝΤ</v>
          </cell>
          <cell r="F2120" t="str">
            <v>B_4_1_1_1</v>
          </cell>
          <cell r="G2120" t="str">
            <v>Φυτείες για παραγωγή φρούτων εύκρατης προέλευσης</v>
          </cell>
          <cell r="H2120">
            <v>6750</v>
          </cell>
          <cell r="J2120" t="str">
            <v>Ναι</v>
          </cell>
          <cell r="K2120" t="str">
            <v>Όχι</v>
          </cell>
          <cell r="L2120" t="str">
            <v>ΌΧΙ</v>
          </cell>
          <cell r="O2120" t="str">
            <v/>
          </cell>
        </row>
        <row r="2121">
          <cell r="D2121" t="str">
            <v>ΠΥΡΗΝΟΚΑΡΠΑ66197</v>
          </cell>
          <cell r="E2121" t="str">
            <v>ΡΟΔΑΚΙΝΑ ΜΕΪΚΡΕΣΤ</v>
          </cell>
          <cell r="F2121" t="str">
            <v>B_4_1_1_1</v>
          </cell>
          <cell r="G2121" t="str">
            <v>Φυτείες για παραγωγή φρούτων εύκρατης προέλευσης</v>
          </cell>
          <cell r="H2121">
            <v>6750</v>
          </cell>
          <cell r="J2121" t="str">
            <v>Ναι</v>
          </cell>
          <cell r="K2121" t="str">
            <v>Όχι</v>
          </cell>
          <cell r="L2121" t="str">
            <v>ΌΧΙ</v>
          </cell>
          <cell r="O2121" t="str">
            <v/>
          </cell>
        </row>
        <row r="2122">
          <cell r="D2122" t="str">
            <v>ΠΥΡΗΝΟΚΑΡΠΑ66198</v>
          </cell>
          <cell r="E2122" t="str">
            <v>ΡΟΔΑΚΙΝΑ ΣΠΡΙΝΓΚ ΚΡΕΣΤ</v>
          </cell>
          <cell r="F2122" t="str">
            <v>B_4_1_1_1</v>
          </cell>
          <cell r="G2122" t="str">
            <v>Φυτείες για παραγωγή φρούτων εύκρατης προέλευσης</v>
          </cell>
          <cell r="H2122">
            <v>6750</v>
          </cell>
          <cell r="J2122" t="str">
            <v>Ναι</v>
          </cell>
          <cell r="K2122" t="str">
            <v>Όχι</v>
          </cell>
          <cell r="L2122" t="str">
            <v>ΌΧΙ</v>
          </cell>
          <cell r="O2122" t="str">
            <v/>
          </cell>
        </row>
        <row r="2123">
          <cell r="D2123" t="str">
            <v>ΠΥΡΗΝΟΚΑΡΠΑ66199</v>
          </cell>
          <cell r="E2123" t="str">
            <v>ΡΟΔΑΚΙΝΑ ΕΡΛΥΡΕΝΤ</v>
          </cell>
          <cell r="F2123" t="str">
            <v>B_4_1_1_1</v>
          </cell>
          <cell r="G2123" t="str">
            <v>Φυτείες για παραγωγή φρούτων εύκρατης προέλευσης</v>
          </cell>
          <cell r="H2123">
            <v>6750</v>
          </cell>
          <cell r="J2123" t="str">
            <v>Ναι</v>
          </cell>
          <cell r="K2123" t="str">
            <v>Όχι</v>
          </cell>
          <cell r="L2123" t="str">
            <v>ΌΧΙ</v>
          </cell>
          <cell r="O2123" t="str">
            <v/>
          </cell>
        </row>
        <row r="2124">
          <cell r="D2124" t="str">
            <v>ΠΥΡΗΝΟΚΑΡΠΑ66200</v>
          </cell>
          <cell r="E2124" t="str">
            <v>ΡΟΔΑΚΙΝΑ ΕΡΛΥ ΚΟΡΟΝΕΤ</v>
          </cell>
          <cell r="F2124" t="str">
            <v>B_4_1_1_1</v>
          </cell>
          <cell r="G2124" t="str">
            <v>Φυτείες για παραγωγή φρούτων εύκρατης προέλευσης</v>
          </cell>
          <cell r="H2124">
            <v>6750</v>
          </cell>
          <cell r="J2124" t="str">
            <v>Ναι</v>
          </cell>
          <cell r="K2124" t="str">
            <v>Όχι</v>
          </cell>
          <cell r="L2124" t="str">
            <v>ΌΧΙ</v>
          </cell>
          <cell r="O2124" t="str">
            <v/>
          </cell>
        </row>
        <row r="2125">
          <cell r="D2125" t="str">
            <v>ΠΥΡΗΝΟΚΑΡΠΑ66201</v>
          </cell>
          <cell r="E2125" t="str">
            <v>ΡΟΔΑΚΙΝΑ ΤΖΟΥΝΓΚΟΛΝΤ</v>
          </cell>
          <cell r="F2125" t="str">
            <v>B_4_1_1_1</v>
          </cell>
          <cell r="G2125" t="str">
            <v>Φυτείες για παραγωγή φρούτων εύκρατης προέλευσης</v>
          </cell>
          <cell r="H2125">
            <v>6750</v>
          </cell>
          <cell r="J2125" t="str">
            <v>Ναι</v>
          </cell>
          <cell r="K2125" t="str">
            <v>Όχι</v>
          </cell>
          <cell r="L2125" t="str">
            <v>ΌΧΙ</v>
          </cell>
          <cell r="O2125" t="str">
            <v/>
          </cell>
        </row>
        <row r="2126">
          <cell r="D2126" t="str">
            <v>ΠΥΡΗΝΟΚΑΡΠΑ66202</v>
          </cell>
          <cell r="E2126" t="str">
            <v>ΡΟΔΑΚΙΝΑ ΡΟΥΑΓΙΑΛ ΜΕΪ</v>
          </cell>
          <cell r="F2126" t="str">
            <v>B_4_1_1_1</v>
          </cell>
          <cell r="G2126" t="str">
            <v>Φυτείες για παραγωγή φρούτων εύκρατης προέλευσης</v>
          </cell>
          <cell r="H2126">
            <v>6750</v>
          </cell>
          <cell r="J2126" t="str">
            <v>Ναι</v>
          </cell>
          <cell r="K2126" t="str">
            <v>Όχι</v>
          </cell>
          <cell r="L2126" t="str">
            <v>ΌΧΙ</v>
          </cell>
          <cell r="O2126" t="str">
            <v/>
          </cell>
        </row>
        <row r="2127">
          <cell r="D2127" t="str">
            <v>ΠΥΡΗΝΟΚΑΡΠΑ66203</v>
          </cell>
          <cell r="E2127" t="str">
            <v>ΡΟΔΑΚΙΝΑ ΜΕΡΙΛ ΤΖΕΜ ΦΡΙ</v>
          </cell>
          <cell r="F2127" t="str">
            <v>B_4_1_1_1</v>
          </cell>
          <cell r="G2127" t="str">
            <v>Φυτείες για παραγωγή φρούτων εύκρατης προέλευσης</v>
          </cell>
          <cell r="H2127">
            <v>6750</v>
          </cell>
          <cell r="J2127" t="str">
            <v>Ναι</v>
          </cell>
          <cell r="K2127" t="str">
            <v>Όχι</v>
          </cell>
          <cell r="L2127" t="str">
            <v>ΌΧΙ</v>
          </cell>
          <cell r="O2127" t="str">
            <v/>
          </cell>
        </row>
        <row r="2128">
          <cell r="D2128" t="str">
            <v>ΠΥΡΗΝΟΚΑΡΠΑ66204</v>
          </cell>
          <cell r="E2128" t="str">
            <v>ΡΟΔΑΚΙΝΑ ΚΑΡΝΤΙΝΑΛ</v>
          </cell>
          <cell r="F2128" t="str">
            <v>B_4_1_1_1</v>
          </cell>
          <cell r="G2128" t="str">
            <v>Φυτείες για παραγωγή φρούτων εύκρατης προέλευσης</v>
          </cell>
          <cell r="H2128">
            <v>6750</v>
          </cell>
          <cell r="J2128" t="str">
            <v>Ναι</v>
          </cell>
          <cell r="K2128" t="str">
            <v>Όχι</v>
          </cell>
          <cell r="L2128" t="str">
            <v>ΌΧΙ</v>
          </cell>
          <cell r="O2128" t="str">
            <v/>
          </cell>
        </row>
        <row r="2129">
          <cell r="D2129" t="str">
            <v>ΠΥΡΗΝΟΚΑΡΠΑ66205</v>
          </cell>
          <cell r="E2129" t="str">
            <v>ΡΟΔΑΚΙΝΑ ΝΤΙΞΙΡΕΝΤ</v>
          </cell>
          <cell r="F2129" t="str">
            <v>B_4_1_1_1</v>
          </cell>
          <cell r="G2129" t="str">
            <v>Φυτείες για παραγωγή φρούτων εύκρατης προέλευσης</v>
          </cell>
          <cell r="H2129">
            <v>6750</v>
          </cell>
          <cell r="J2129" t="str">
            <v>Ναι</v>
          </cell>
          <cell r="K2129" t="str">
            <v>Όχι</v>
          </cell>
          <cell r="L2129" t="str">
            <v>ΌΧΙ</v>
          </cell>
          <cell r="O2129" t="str">
            <v/>
          </cell>
        </row>
        <row r="2130">
          <cell r="D2130" t="str">
            <v>ΠΥΡΗΝΟΚΑΡΠΑ66206</v>
          </cell>
          <cell r="E2130" t="str">
            <v>ΡΟΔΑΚΙΝΑ ΡΕΝΤ ΚΑΠ</v>
          </cell>
          <cell r="F2130" t="str">
            <v>B_4_1_1_1</v>
          </cell>
          <cell r="G2130" t="str">
            <v>Φυτείες για παραγωγή φρούτων εύκρατης προέλευσης</v>
          </cell>
          <cell r="H2130">
            <v>6750</v>
          </cell>
          <cell r="J2130" t="str">
            <v>Ναι</v>
          </cell>
          <cell r="K2130" t="str">
            <v>Όχι</v>
          </cell>
          <cell r="L2130" t="str">
            <v>ΌΧΙ</v>
          </cell>
          <cell r="O2130" t="str">
            <v/>
          </cell>
        </row>
        <row r="2131">
          <cell r="D2131" t="str">
            <v>ΠΥΡΗΝΟΚΑΡΠΑ66207</v>
          </cell>
          <cell r="E2131" t="str">
            <v>ΡΟΔΑΚΙΝΑ ΣΑΝ ΧΑΒΕΝ</v>
          </cell>
          <cell r="F2131" t="str">
            <v>B_4_1_1_1</v>
          </cell>
          <cell r="G2131" t="str">
            <v>Φυτείες για παραγωγή φρούτων εύκρατης προέλευσης</v>
          </cell>
          <cell r="H2131">
            <v>6750</v>
          </cell>
          <cell r="J2131" t="str">
            <v>Ναι</v>
          </cell>
          <cell r="K2131" t="str">
            <v>Όχι</v>
          </cell>
          <cell r="L2131" t="str">
            <v>ΌΧΙ</v>
          </cell>
          <cell r="O2131" t="str">
            <v/>
          </cell>
        </row>
        <row r="2132">
          <cell r="D2132" t="str">
            <v>ΠΥΡΗΝΟΚΑΡΠΑ66208</v>
          </cell>
          <cell r="E2132" t="str">
            <v>ΡΟΔΑΚΙΝΑ ΜΕΡΙΛΤΖΕΜ</v>
          </cell>
          <cell r="F2132" t="str">
            <v>B_4_1_1_1</v>
          </cell>
          <cell r="G2132" t="str">
            <v>Φυτείες για παραγωγή φρούτων εύκρατης προέλευσης</v>
          </cell>
          <cell r="H2132">
            <v>6750</v>
          </cell>
          <cell r="J2132" t="str">
            <v>Ναι</v>
          </cell>
          <cell r="K2132" t="str">
            <v>Όχι</v>
          </cell>
          <cell r="L2132" t="str">
            <v>ΌΧΙ</v>
          </cell>
          <cell r="O2132" t="str">
            <v/>
          </cell>
        </row>
        <row r="2133">
          <cell r="D2133" t="str">
            <v>ΠΥΡΗΝΟΚΑΡΠΑ66209</v>
          </cell>
          <cell r="E2133" t="str">
            <v>ΡΟΔΑΚ. ΡΕΝΤΜΠΕΡΝΤ ΚΛΙΝΚ,  ΑΜΕΡΙΚΑΝ</v>
          </cell>
          <cell r="F2133" t="str">
            <v>B_4_1_1_1</v>
          </cell>
          <cell r="G2133" t="str">
            <v>Φυτείες για παραγωγή φρούτων εύκρατης προέλευσης</v>
          </cell>
          <cell r="H2133">
            <v>6750</v>
          </cell>
          <cell r="J2133" t="str">
            <v>Ναι</v>
          </cell>
          <cell r="K2133" t="str">
            <v>Όχι</v>
          </cell>
          <cell r="L2133" t="str">
            <v>ΌΧΙ</v>
          </cell>
          <cell r="O2133" t="str">
            <v/>
          </cell>
        </row>
        <row r="2134">
          <cell r="D2134" t="str">
            <v>ΠΥΡΗΝΟΚΑΡΠΑ66210</v>
          </cell>
          <cell r="E2134" t="str">
            <v>ΡΟΔΑΚΙΝΑ ΤΖΕΡΣΕΫΛΑΝΤ</v>
          </cell>
          <cell r="F2134" t="str">
            <v>B_4_1_1_1</v>
          </cell>
          <cell r="G2134" t="str">
            <v>Φυτείες για παραγωγή φρούτων εύκρατης προέλευσης</v>
          </cell>
          <cell r="H2134">
            <v>6750</v>
          </cell>
          <cell r="J2134" t="str">
            <v>Ναι</v>
          </cell>
          <cell r="K2134" t="str">
            <v>Όχι</v>
          </cell>
          <cell r="L2134" t="str">
            <v>ΌΧΙ</v>
          </cell>
          <cell r="O2134" t="str">
            <v/>
          </cell>
        </row>
        <row r="2135">
          <cell r="D2135" t="str">
            <v>ΠΥΡΗΝΟΚΑΡΠΑ66211</v>
          </cell>
          <cell r="E2135" t="str">
            <v>ΡΟΔΑΚΙΝΑ ΡΕΓΚΙΝΑ</v>
          </cell>
          <cell r="F2135" t="str">
            <v>B_4_1_1_1</v>
          </cell>
          <cell r="G2135" t="str">
            <v>Φυτείες για παραγωγή φρούτων εύκρατης προέλευσης</v>
          </cell>
          <cell r="H2135">
            <v>6750</v>
          </cell>
          <cell r="J2135" t="str">
            <v>Ναι</v>
          </cell>
          <cell r="K2135" t="str">
            <v>Όχι</v>
          </cell>
          <cell r="L2135" t="str">
            <v>ΌΧΙ</v>
          </cell>
          <cell r="O2135" t="str">
            <v/>
          </cell>
        </row>
        <row r="2136">
          <cell r="D2136" t="str">
            <v>ΠΥΡΗΝΟΚΑΡΠΑ66212</v>
          </cell>
          <cell r="E2136" t="str">
            <v>ΡΟΔΑΚΙΝΑ ΕΡΛΥ ΡΕΝΤ ΧΑΒΕΝ</v>
          </cell>
          <cell r="F2136" t="str">
            <v>B_4_1_1_1</v>
          </cell>
          <cell r="G2136" t="str">
            <v>Φυτείες για παραγωγή φρούτων εύκρατης προέλευσης</v>
          </cell>
          <cell r="H2136">
            <v>6750</v>
          </cell>
          <cell r="J2136" t="str">
            <v>Ναι</v>
          </cell>
          <cell r="K2136" t="str">
            <v>Όχι</v>
          </cell>
          <cell r="L2136" t="str">
            <v>ΌΧΙ</v>
          </cell>
          <cell r="O2136" t="str">
            <v/>
          </cell>
        </row>
        <row r="2137">
          <cell r="D2137" t="str">
            <v>ΠΥΡΗΝΟΚΑΡΠΑ66213</v>
          </cell>
          <cell r="E2137" t="str">
            <v>ΡΟΔΑΚΙΝΑ ΚΟΡΟΝΕΤ</v>
          </cell>
          <cell r="F2137" t="str">
            <v>B_4_1_1_1</v>
          </cell>
          <cell r="G2137" t="str">
            <v>Φυτείες για παραγωγή φρούτων εύκρατης προέλευσης</v>
          </cell>
          <cell r="H2137">
            <v>6750</v>
          </cell>
          <cell r="J2137" t="str">
            <v>Ναι</v>
          </cell>
          <cell r="K2137" t="str">
            <v>Όχι</v>
          </cell>
          <cell r="L2137" t="str">
            <v>ΌΧΙ</v>
          </cell>
          <cell r="O2137" t="str">
            <v/>
          </cell>
        </row>
        <row r="2138">
          <cell r="D2138" t="str">
            <v>ΠΥΡΗΝΟΚΑΡΠΑ66214</v>
          </cell>
          <cell r="E2138" t="str">
            <v>ΡΟΔΑΚΙΝΑ ΑΜΣΝΤΕΝ</v>
          </cell>
          <cell r="F2138" t="str">
            <v>B_4_1_1_1</v>
          </cell>
          <cell r="G2138" t="str">
            <v>Φυτείες για παραγωγή φρούτων εύκρατης προέλευσης</v>
          </cell>
          <cell r="H2138">
            <v>6750</v>
          </cell>
          <cell r="J2138" t="str">
            <v>Ναι</v>
          </cell>
          <cell r="K2138" t="str">
            <v>Όχι</v>
          </cell>
          <cell r="L2138" t="str">
            <v>ΌΧΙ</v>
          </cell>
          <cell r="O2138" t="str">
            <v/>
          </cell>
        </row>
        <row r="2139">
          <cell r="D2139" t="str">
            <v>ΠΥΡΗΝΟΚΑΡΠΑ66215</v>
          </cell>
          <cell r="E2139" t="str">
            <v>ΡΟΔΑΚΙΝΑ ΡΕΝΤ ΧΑΒΕΝ</v>
          </cell>
          <cell r="F2139" t="str">
            <v>B_4_1_1_1</v>
          </cell>
          <cell r="G2139" t="str">
            <v>Φυτείες για παραγωγή φρούτων εύκρατης προέλευσης</v>
          </cell>
          <cell r="H2139">
            <v>6750</v>
          </cell>
          <cell r="J2139" t="str">
            <v>Ναι</v>
          </cell>
          <cell r="K2139" t="str">
            <v>Όχι</v>
          </cell>
          <cell r="L2139" t="str">
            <v>ΌΧΙ</v>
          </cell>
          <cell r="O2139" t="str">
            <v/>
          </cell>
        </row>
        <row r="2140">
          <cell r="D2140" t="str">
            <v>ΠΥΡΗΝΟΚΑΡΠΑ66216</v>
          </cell>
          <cell r="E2140" t="str">
            <v>ΡΟΔΑΚΙΝΑ ΣΑΝΚΛΑΟΥΝΤ</v>
          </cell>
          <cell r="F2140" t="str">
            <v>B_4_1_1_1</v>
          </cell>
          <cell r="G2140" t="str">
            <v>Φυτείες για παραγωγή φρούτων εύκρατης προέλευσης</v>
          </cell>
          <cell r="H2140">
            <v>6750</v>
          </cell>
          <cell r="J2140" t="str">
            <v>Ναι</v>
          </cell>
          <cell r="K2140" t="str">
            <v>Όχι</v>
          </cell>
          <cell r="L2140" t="str">
            <v>ΌΧΙ</v>
          </cell>
          <cell r="O2140" t="str">
            <v/>
          </cell>
        </row>
        <row r="2141">
          <cell r="D2141" t="str">
            <v>ΠΥΡΗΝΟΚΑΡΠΑ66217</v>
          </cell>
          <cell r="E2141" t="str">
            <v>ΡΟΔΑΚΙΝΑ ΣΑΟΥΘΛΑΝΤ</v>
          </cell>
          <cell r="F2141" t="str">
            <v>B_4_1_1_1</v>
          </cell>
          <cell r="G2141" t="str">
            <v>Φυτείες για παραγωγή φρούτων εύκρατης προέλευσης</v>
          </cell>
          <cell r="H2141">
            <v>6750</v>
          </cell>
          <cell r="J2141" t="str">
            <v>Ναι</v>
          </cell>
          <cell r="K2141" t="str">
            <v>Όχι</v>
          </cell>
          <cell r="L2141" t="str">
            <v>ΌΧΙ</v>
          </cell>
          <cell r="O2141" t="str">
            <v/>
          </cell>
        </row>
        <row r="2142">
          <cell r="D2142" t="str">
            <v>ΠΥΡΗΝΟΚΑΡΠΑ66218</v>
          </cell>
          <cell r="E2142" t="str">
            <v>ΡΟΔΑΚΙΝΑ ΦΕΡ ΧΑΒΕΝ</v>
          </cell>
          <cell r="F2142" t="str">
            <v>B_4_1_1_1</v>
          </cell>
          <cell r="G2142" t="str">
            <v>Φυτείες για παραγωγή φρούτων εύκρατης προέλευσης</v>
          </cell>
          <cell r="H2142">
            <v>6750</v>
          </cell>
          <cell r="J2142" t="str">
            <v>Ναι</v>
          </cell>
          <cell r="K2142" t="str">
            <v>Όχι</v>
          </cell>
          <cell r="L2142" t="str">
            <v>ΌΧΙ</v>
          </cell>
          <cell r="O2142" t="str">
            <v/>
          </cell>
        </row>
        <row r="2143">
          <cell r="D2143" t="str">
            <v>ΠΥΡΗΝΟΚΑΡΠΑ66219</v>
          </cell>
          <cell r="E2143" t="str">
            <v>ΡΟΔΑΚΙΝΑ ΡΕΝΤ ΓΚΛΟΟΥΜΠ</v>
          </cell>
          <cell r="F2143" t="str">
            <v>B_4_1_1_1</v>
          </cell>
          <cell r="G2143" t="str">
            <v>Φυτείες για παραγωγή φρούτων εύκρατης προέλευσης</v>
          </cell>
          <cell r="H2143">
            <v>6750</v>
          </cell>
          <cell r="J2143" t="str">
            <v>Ναι</v>
          </cell>
          <cell r="K2143" t="str">
            <v>Όχι</v>
          </cell>
          <cell r="L2143" t="str">
            <v>ΌΧΙ</v>
          </cell>
          <cell r="O2143" t="str">
            <v/>
          </cell>
        </row>
        <row r="2144">
          <cell r="D2144" t="str">
            <v>ΠΥΡΗΝΟΚΑΡΠΑ66220</v>
          </cell>
          <cell r="E2144" t="str">
            <v>ΡΟΔΑΚΙΝΑ ΛΙΠΟΧΩΡΙΟΥ</v>
          </cell>
          <cell r="F2144" t="str">
            <v>B_4_1_1_1</v>
          </cell>
          <cell r="G2144" t="str">
            <v>Φυτείες για παραγωγή φρούτων εύκρατης προέλευσης</v>
          </cell>
          <cell r="H2144">
            <v>6750</v>
          </cell>
          <cell r="J2144" t="str">
            <v>Ναι</v>
          </cell>
          <cell r="K2144" t="str">
            <v>Όχι</v>
          </cell>
          <cell r="L2144" t="str">
            <v>ΌΧΙ</v>
          </cell>
          <cell r="O2144" t="str">
            <v/>
          </cell>
        </row>
        <row r="2145">
          <cell r="D2145" t="str">
            <v>ΠΥΡΗΝΟΚΑΡΠΑ66221</v>
          </cell>
          <cell r="E2145" t="str">
            <v>ΡΟΔΑΚΙΝΑ ΛΟΡΙΝΓΚ</v>
          </cell>
          <cell r="F2145" t="str">
            <v>B_4_1_1_1</v>
          </cell>
          <cell r="G2145" t="str">
            <v>Φυτείες για παραγωγή φρούτων εύκρατης προέλευσης</v>
          </cell>
          <cell r="H2145">
            <v>6750</v>
          </cell>
          <cell r="J2145" t="str">
            <v>Ναι</v>
          </cell>
          <cell r="K2145" t="str">
            <v>Όχι</v>
          </cell>
          <cell r="L2145" t="str">
            <v>ΌΧΙ</v>
          </cell>
          <cell r="O2145" t="str">
            <v/>
          </cell>
        </row>
        <row r="2146">
          <cell r="D2146" t="str">
            <v>ΠΥΡΗΝΟΚΑΡΠΑ66222</v>
          </cell>
          <cell r="E2146" t="str">
            <v>ΡΟΔΑΚΙΝΑ ΣΑΝ ΚΡΕΣΤ</v>
          </cell>
          <cell r="F2146" t="str">
            <v>B_4_1_1_1</v>
          </cell>
          <cell r="G2146" t="str">
            <v>Φυτείες για παραγωγή φρούτων εύκρατης προέλευσης</v>
          </cell>
          <cell r="H2146">
            <v>6750</v>
          </cell>
          <cell r="J2146" t="str">
            <v>Ναι</v>
          </cell>
          <cell r="K2146" t="str">
            <v>Όχι</v>
          </cell>
          <cell r="L2146" t="str">
            <v>ΌΧΙ</v>
          </cell>
          <cell r="O2146" t="str">
            <v/>
          </cell>
        </row>
        <row r="2147">
          <cell r="D2147" t="str">
            <v>ΠΥΡΗΝΟΚΑΡΠΑ66223</v>
          </cell>
          <cell r="E2147" t="str">
            <v>ΡΟΔΑΚ. ΜΠΛΕΪΚ, ΡΕΝΤΣΚΙΝ</v>
          </cell>
          <cell r="F2147" t="str">
            <v>B_4_1_1_1</v>
          </cell>
          <cell r="G2147" t="str">
            <v>Φυτείες για παραγωγή φρούτων εύκρατης προέλευσης</v>
          </cell>
          <cell r="H2147">
            <v>6750</v>
          </cell>
          <cell r="J2147" t="str">
            <v>Ναι</v>
          </cell>
          <cell r="K2147" t="str">
            <v>Όχι</v>
          </cell>
          <cell r="L2147" t="str">
            <v>ΌΧΙ</v>
          </cell>
          <cell r="O2147" t="str">
            <v/>
          </cell>
        </row>
        <row r="2148">
          <cell r="D2148" t="str">
            <v>ΠΥΡΗΝΟΚΑΡΠΑ66224</v>
          </cell>
          <cell r="E2148" t="str">
            <v>ΡΟΔΑΚΙΝΑ ΠΗΛΙΟΥ</v>
          </cell>
          <cell r="F2148" t="str">
            <v>B_4_1_1_1</v>
          </cell>
          <cell r="G2148" t="str">
            <v>Φυτείες για παραγωγή φρούτων εύκρατης προέλευσης</v>
          </cell>
          <cell r="H2148">
            <v>6750</v>
          </cell>
          <cell r="J2148" t="str">
            <v>Ναι</v>
          </cell>
          <cell r="K2148" t="str">
            <v>Όχι</v>
          </cell>
          <cell r="L2148" t="str">
            <v>ΌΧΙ</v>
          </cell>
          <cell r="O2148" t="str">
            <v/>
          </cell>
        </row>
        <row r="2149">
          <cell r="D2149" t="str">
            <v>ΠΥΡΗΝΟΚΑΡΠΑ66225</v>
          </cell>
          <cell r="E2149" t="str">
            <v>ΡΟΔΑΚΙΝΑ ΜΙΣΕΛΕΝ</v>
          </cell>
          <cell r="F2149" t="str">
            <v>B_4_1_1_1</v>
          </cell>
          <cell r="G2149" t="str">
            <v>Φυτείες για παραγωγή φρούτων εύκρατης προέλευσης</v>
          </cell>
          <cell r="H2149">
            <v>6750</v>
          </cell>
          <cell r="J2149" t="str">
            <v>Ναι</v>
          </cell>
          <cell r="K2149" t="str">
            <v>Όχι</v>
          </cell>
          <cell r="L2149" t="str">
            <v>ΌΧΙ</v>
          </cell>
          <cell r="O2149" t="str">
            <v/>
          </cell>
        </row>
        <row r="2150">
          <cell r="D2150" t="str">
            <v>ΠΥΡΗΝΟΚΑΡΠΑ66226</v>
          </cell>
          <cell r="E2150" t="str">
            <v>ΡΟΔΑΚΙΝΑ ΕΛΜΠΕΡΤΑ ΠΡΩΪΜΗ</v>
          </cell>
          <cell r="F2150" t="str">
            <v>B_4_1_1_1</v>
          </cell>
          <cell r="G2150" t="str">
            <v>Φυτείες για παραγωγή φρούτων εύκρατης προέλευσης</v>
          </cell>
          <cell r="H2150">
            <v>6750</v>
          </cell>
          <cell r="J2150" t="str">
            <v>Ναι</v>
          </cell>
          <cell r="K2150" t="str">
            <v>Όχι</v>
          </cell>
          <cell r="L2150" t="str">
            <v>ΌΧΙ</v>
          </cell>
          <cell r="O2150" t="str">
            <v/>
          </cell>
        </row>
        <row r="2151">
          <cell r="D2151" t="str">
            <v>ΠΥΡΗΝΟΚΑΡΠΑ66227</v>
          </cell>
          <cell r="E2151" t="str">
            <v>ΡΟΔΑΚΙΝΑ ΕΛΜΠΕΡΤΑ ΜΕΣΟΠΡΩΪΜΗ</v>
          </cell>
          <cell r="F2151" t="str">
            <v>B_4_1_1_1</v>
          </cell>
          <cell r="G2151" t="str">
            <v>Φυτείες για παραγωγή φρούτων εύκρατης προέλευσης</v>
          </cell>
          <cell r="H2151">
            <v>6750</v>
          </cell>
          <cell r="J2151" t="str">
            <v>Ναι</v>
          </cell>
          <cell r="K2151" t="str">
            <v>Όχι</v>
          </cell>
          <cell r="L2151" t="str">
            <v>ΌΧΙ</v>
          </cell>
          <cell r="O2151" t="str">
            <v/>
          </cell>
        </row>
        <row r="2152">
          <cell r="D2152" t="str">
            <v>ΠΥΡΗΝΟΚΑΡΠΑ66228</v>
          </cell>
          <cell r="E2152" t="str">
            <v>ΡΟΔΑΚΙΝΑ ΕΛΜΠΕΡΤΑ ΟΨΙΜΗ</v>
          </cell>
          <cell r="F2152" t="str">
            <v>B_4_1_1_1</v>
          </cell>
          <cell r="G2152" t="str">
            <v>Φυτείες για παραγωγή φρούτων εύκρατης προέλευσης</v>
          </cell>
          <cell r="H2152">
            <v>6750</v>
          </cell>
          <cell r="J2152" t="str">
            <v>Ναι</v>
          </cell>
          <cell r="K2152" t="str">
            <v>Όχι</v>
          </cell>
          <cell r="L2152" t="str">
            <v>ΌΧΙ</v>
          </cell>
          <cell r="O2152" t="str">
            <v/>
          </cell>
        </row>
        <row r="2153">
          <cell r="D2153" t="str">
            <v>ΠΥΡΗΝΟΚΑΡΠΑ66229</v>
          </cell>
          <cell r="E2153" t="str">
            <v>ΡΟΔΑΚΙΝΑ ΧΑΛ</v>
          </cell>
          <cell r="F2153" t="str">
            <v>B_4_1_1_1</v>
          </cell>
          <cell r="G2153" t="str">
            <v>Φυτείες για παραγωγή φρούτων εύκρατης προέλευσης</v>
          </cell>
          <cell r="H2153">
            <v>6750</v>
          </cell>
          <cell r="J2153" t="str">
            <v>Ναι</v>
          </cell>
          <cell r="K2153" t="str">
            <v>Όχι</v>
          </cell>
          <cell r="L2153" t="str">
            <v>ΌΧΙ</v>
          </cell>
          <cell r="O2153" t="str">
            <v/>
          </cell>
        </row>
        <row r="2154">
          <cell r="D2154" t="str">
            <v>ΠΥΡΗΝΟΚΑΡΠΑ66230</v>
          </cell>
          <cell r="E2154" t="str">
            <v>ΡΟΔΑΚΙΝΑ ΧΑΛ ΚΟΣΜΑ</v>
          </cell>
          <cell r="F2154" t="str">
            <v>B_4_1_1_1</v>
          </cell>
          <cell r="G2154" t="str">
            <v>Φυτείες για παραγωγή φρούτων εύκρατης προέλευσης</v>
          </cell>
          <cell r="H2154">
            <v>6750</v>
          </cell>
          <cell r="J2154" t="str">
            <v>Ναι</v>
          </cell>
          <cell r="K2154" t="str">
            <v>Όχι</v>
          </cell>
          <cell r="L2154" t="str">
            <v>ΌΧΙ</v>
          </cell>
          <cell r="O2154" t="str">
            <v/>
          </cell>
        </row>
        <row r="2155">
          <cell r="D2155" t="str">
            <v>ΠΥΡΗΝΟΚΑΡΠΑ66231</v>
          </cell>
          <cell r="E2155" t="str">
            <v>ΡΟΔΑΚΙΝΑ ΧΑΝΕΪ ΝΤΙΟΥ ΧΕΪΛ</v>
          </cell>
          <cell r="F2155" t="str">
            <v>B_4_1_1_1</v>
          </cell>
          <cell r="G2155" t="str">
            <v>Φυτείες για παραγωγή φρούτων εύκρατης προέλευσης</v>
          </cell>
          <cell r="H2155">
            <v>6750</v>
          </cell>
          <cell r="J2155" t="str">
            <v>Ναι</v>
          </cell>
          <cell r="K2155" t="str">
            <v>Όχι</v>
          </cell>
          <cell r="L2155" t="str">
            <v>ΌΧΙ</v>
          </cell>
          <cell r="O2155" t="str">
            <v/>
          </cell>
        </row>
        <row r="2156">
          <cell r="D2156" t="str">
            <v>ΠΥΡΗΝΟΚΑΡΠΑ66232</v>
          </cell>
          <cell r="E2156" t="str">
            <v>ΡΟΔΑΚΙΝΑ ΦΕΑΡ ΤΑΪΜ</v>
          </cell>
          <cell r="F2156" t="str">
            <v>B_4_1_1_1</v>
          </cell>
          <cell r="G2156" t="str">
            <v>Φυτείες για παραγωγή φρούτων εύκρατης προέλευσης</v>
          </cell>
          <cell r="H2156">
            <v>6750</v>
          </cell>
          <cell r="J2156" t="str">
            <v>Ναι</v>
          </cell>
          <cell r="K2156" t="str">
            <v>Όχι</v>
          </cell>
          <cell r="L2156" t="str">
            <v>ΌΧΙ</v>
          </cell>
          <cell r="O2156" t="str">
            <v/>
          </cell>
        </row>
        <row r="2157">
          <cell r="D2157" t="str">
            <v>ΠΥΡΗΝΟΚΑΡΠΑ66233</v>
          </cell>
          <cell r="E2157" t="str">
            <v>ΡΟΔΑΚΙΝΑ ΚΟΤΟΝΙΑ ΜΑΣΙΜΑ</v>
          </cell>
          <cell r="F2157" t="str">
            <v>B_4_1_1_1</v>
          </cell>
          <cell r="G2157" t="str">
            <v>Φυτείες για παραγωγή φρούτων εύκρατης προέλευσης</v>
          </cell>
          <cell r="H2157">
            <v>6750</v>
          </cell>
          <cell r="J2157" t="str">
            <v>Ναι</v>
          </cell>
          <cell r="K2157" t="str">
            <v>Όχι</v>
          </cell>
          <cell r="L2157" t="str">
            <v>ΌΧΙ</v>
          </cell>
          <cell r="O2157" t="str">
            <v/>
          </cell>
        </row>
        <row r="2158">
          <cell r="D2158" t="str">
            <v>ΠΥΡΗΝΟΚΑΡΠΑ66234</v>
          </cell>
          <cell r="E2158" t="str">
            <v>ΡΟΔΑΚΙΝΑ ΔΙΑΦ. ΥΠΕΡΠΡΩΪΜΑ</v>
          </cell>
          <cell r="F2158" t="str">
            <v>B_4_1_1_1</v>
          </cell>
          <cell r="G2158" t="str">
            <v>Φυτείες για παραγωγή φρούτων εύκρατης προέλευσης</v>
          </cell>
          <cell r="H2158">
            <v>6750</v>
          </cell>
          <cell r="J2158" t="str">
            <v>Ναι</v>
          </cell>
          <cell r="K2158" t="str">
            <v>Όχι</v>
          </cell>
          <cell r="L2158" t="str">
            <v>ΌΧΙ</v>
          </cell>
          <cell r="O2158" t="str">
            <v/>
          </cell>
        </row>
        <row r="2159">
          <cell r="D2159" t="str">
            <v>ΠΥΡΗΝΟΚΑΡΠΑ66235</v>
          </cell>
          <cell r="E2159" t="str">
            <v>ΡΟΔΑΚΙΝΑ ΔΙΑΦ. ΠΡΩΪΜΑ</v>
          </cell>
          <cell r="F2159" t="str">
            <v>B_4_1_1_1</v>
          </cell>
          <cell r="G2159" t="str">
            <v>Φυτείες για παραγωγή φρούτων εύκρατης προέλευσης</v>
          </cell>
          <cell r="H2159">
            <v>6750</v>
          </cell>
          <cell r="J2159" t="str">
            <v>Ναι</v>
          </cell>
          <cell r="K2159" t="str">
            <v>Όχι</v>
          </cell>
          <cell r="L2159" t="str">
            <v>ΌΧΙ</v>
          </cell>
          <cell r="O2159" t="str">
            <v/>
          </cell>
        </row>
        <row r="2160">
          <cell r="D2160" t="str">
            <v>ΠΥΡΗΝΟΚΑΡΠΑ66236</v>
          </cell>
          <cell r="E2160" t="str">
            <v>ΡΟΔΑΚΙΝΑ ΔΙΑΦ. ΜΕΣΟΠΡΩΪΜΑ</v>
          </cell>
          <cell r="F2160" t="str">
            <v>B_4_1_1_1</v>
          </cell>
          <cell r="G2160" t="str">
            <v>Φυτείες για παραγωγή φρούτων εύκρατης προέλευσης</v>
          </cell>
          <cell r="H2160">
            <v>6750</v>
          </cell>
          <cell r="J2160" t="str">
            <v>Ναι</v>
          </cell>
          <cell r="K2160" t="str">
            <v>Όχι</v>
          </cell>
          <cell r="L2160" t="str">
            <v>ΌΧΙ</v>
          </cell>
          <cell r="O2160" t="str">
            <v/>
          </cell>
        </row>
        <row r="2161">
          <cell r="D2161" t="str">
            <v>ΠΥΡΗΝΟΚΑΡΠΑ66237</v>
          </cell>
          <cell r="E2161" t="str">
            <v>ΡΟΔΑΚΙΝΑ ΔΙΑΦ. ΟΨΙΜΑ</v>
          </cell>
          <cell r="F2161" t="str">
            <v>B_4_1_1_1</v>
          </cell>
          <cell r="G2161" t="str">
            <v>Φυτείες για παραγωγή φρούτων εύκρατης προέλευσης</v>
          </cell>
          <cell r="H2161">
            <v>6750</v>
          </cell>
          <cell r="J2161" t="str">
            <v>Ναι</v>
          </cell>
          <cell r="K2161" t="str">
            <v>Όχι</v>
          </cell>
          <cell r="L2161" t="str">
            <v>ΌΧΙ</v>
          </cell>
          <cell r="O2161" t="str">
            <v/>
          </cell>
        </row>
        <row r="2162">
          <cell r="D2162" t="str">
            <v>ΠΥΡΗΝΟΚΑΡΠΑ66238</v>
          </cell>
          <cell r="E2162" t="str">
            <v>ΡΟΔΑΚΙΝΑ ΡΟΥΜΠΙΝΤΟΥ</v>
          </cell>
          <cell r="F2162" t="str">
            <v>B_4_1_1_1</v>
          </cell>
          <cell r="G2162" t="str">
            <v>Φυτείες για παραγωγή φρούτων εύκρατης προέλευσης</v>
          </cell>
          <cell r="H2162">
            <v>6750</v>
          </cell>
          <cell r="J2162" t="str">
            <v>Ναι</v>
          </cell>
          <cell r="K2162" t="str">
            <v>Όχι</v>
          </cell>
          <cell r="L2162" t="str">
            <v>ΌΧΙ</v>
          </cell>
          <cell r="O2162" t="str">
            <v/>
          </cell>
        </row>
        <row r="2163">
          <cell r="D2163" t="str">
            <v>ΠΥΡΗΝΟΚΑΡΠΑ66239</v>
          </cell>
          <cell r="E2163" t="str">
            <v>ΡΟΔΑΚΙΝΑ ΔΟΥΚΙΣΣΑ</v>
          </cell>
          <cell r="F2163" t="str">
            <v>B_4_1_1_1</v>
          </cell>
          <cell r="G2163" t="str">
            <v>Φυτείες για παραγωγή φρούτων εύκρατης προέλευσης</v>
          </cell>
          <cell r="H2163">
            <v>6750</v>
          </cell>
          <cell r="J2163" t="str">
            <v>Ναι</v>
          </cell>
          <cell r="K2163" t="str">
            <v>Όχι</v>
          </cell>
          <cell r="L2163" t="str">
            <v>ΌΧΙ</v>
          </cell>
          <cell r="O2163" t="str">
            <v/>
          </cell>
        </row>
        <row r="2164">
          <cell r="D2164" t="str">
            <v>ΠΥΡΗΝΟΚΑΡΠΑ66240</v>
          </cell>
          <cell r="E2164" t="str">
            <v>ΡΟΔΑΚΙΝΑ ΜΕΡΙΛ ΦΙΕΣΤΑ</v>
          </cell>
          <cell r="F2164" t="str">
            <v>B_4_1_1_1</v>
          </cell>
          <cell r="G2164" t="str">
            <v>Φυτείες για παραγωγή φρούτων εύκρατης προέλευσης</v>
          </cell>
          <cell r="H2164">
            <v>6750</v>
          </cell>
          <cell r="J2164" t="str">
            <v>Ναι</v>
          </cell>
          <cell r="K2164" t="str">
            <v>Όχι</v>
          </cell>
          <cell r="L2164" t="str">
            <v>ΌΧΙ</v>
          </cell>
          <cell r="O2164" t="str">
            <v/>
          </cell>
        </row>
        <row r="2165">
          <cell r="D2165" t="str">
            <v>ΠΥΡΗΝΟΚΑΡΠΑ66241</v>
          </cell>
          <cell r="E2165" t="str">
            <v>ΡΟΔΑΚΙΝΑ ΒΙΚΤΩΡΙΑ</v>
          </cell>
          <cell r="F2165" t="str">
            <v>B_4_1_1_1</v>
          </cell>
          <cell r="G2165" t="str">
            <v>Φυτείες για παραγωγή φρούτων εύκρατης προέλευσης</v>
          </cell>
          <cell r="H2165">
            <v>6750</v>
          </cell>
          <cell r="J2165" t="str">
            <v>Ναι</v>
          </cell>
          <cell r="K2165" t="str">
            <v>Όχι</v>
          </cell>
          <cell r="L2165" t="str">
            <v>ΌΧΙ</v>
          </cell>
          <cell r="O2165" t="str">
            <v/>
          </cell>
        </row>
        <row r="2166">
          <cell r="D2166" t="str">
            <v>ΠΥΡΗΝΟΚΑΡΠΑ66242</v>
          </cell>
          <cell r="E2166" t="str">
            <v>ΡΟΔΑΚΙΝΑ ΜΑΡΙΑ ΜΠΙΑΝΚΑ</v>
          </cell>
          <cell r="F2166" t="str">
            <v>B_4_1_1_1</v>
          </cell>
          <cell r="G2166" t="str">
            <v>Φυτείες για παραγωγή φρούτων εύκρατης προέλευσης</v>
          </cell>
          <cell r="H2166">
            <v>6750</v>
          </cell>
          <cell r="J2166" t="str">
            <v>Ναι</v>
          </cell>
          <cell r="K2166" t="str">
            <v>Όχι</v>
          </cell>
          <cell r="L2166" t="str">
            <v>ΌΧΙ</v>
          </cell>
          <cell r="O2166" t="str">
            <v/>
          </cell>
        </row>
        <row r="2167">
          <cell r="D2167" t="str">
            <v>ΠΥΡΗΝΟΚΑΡΠΑ66243</v>
          </cell>
          <cell r="E2167" t="str">
            <v>ΡΟΔΑΚΙΝΑ ΚΑΡΛ ΡΕΝΤ</v>
          </cell>
          <cell r="F2167" t="str">
            <v>B_4_1_1_1</v>
          </cell>
          <cell r="G2167" t="str">
            <v>Φυτείες για παραγωγή φρούτων εύκρατης προέλευσης</v>
          </cell>
          <cell r="H2167">
            <v>6750</v>
          </cell>
          <cell r="J2167" t="str">
            <v>Ναι</v>
          </cell>
          <cell r="K2167" t="str">
            <v>Όχι</v>
          </cell>
          <cell r="L2167" t="str">
            <v>ΌΧΙ</v>
          </cell>
          <cell r="O2167" t="str">
            <v/>
          </cell>
        </row>
        <row r="2168">
          <cell r="D2168" t="str">
            <v>ΠΥΡΗΝΟΚΑΡΠΑ66244</v>
          </cell>
          <cell r="E2168" t="str">
            <v>ΡΟΔΑΚΙΝΑ ΣΠΡΙΝΓΚ ΛΕΪΝΤΥ</v>
          </cell>
          <cell r="F2168" t="str">
            <v>B_4_1_1_1</v>
          </cell>
          <cell r="G2168" t="str">
            <v>Φυτείες για παραγωγή φρούτων εύκρατης προέλευσης</v>
          </cell>
          <cell r="H2168">
            <v>6750</v>
          </cell>
          <cell r="J2168" t="str">
            <v>Ναι</v>
          </cell>
          <cell r="K2168" t="str">
            <v>Όχι</v>
          </cell>
          <cell r="L2168" t="str">
            <v>ΌΧΙ</v>
          </cell>
          <cell r="O2168" t="str">
            <v/>
          </cell>
        </row>
        <row r="2169">
          <cell r="D2169" t="str">
            <v>ΠΥΡΗΝΟΚΑΡΠΑ66245</v>
          </cell>
          <cell r="E2169" t="str">
            <v>ΡΟΔΑΚΙΝΑ ΡΕΝΤ ΚΑΛ</v>
          </cell>
          <cell r="F2169" t="str">
            <v>B_4_1_1_1</v>
          </cell>
          <cell r="G2169" t="str">
            <v>Φυτείες για παραγωγή φρούτων εύκρατης προέλευσης</v>
          </cell>
          <cell r="H2169">
            <v>6750</v>
          </cell>
          <cell r="J2169" t="str">
            <v>Ναι</v>
          </cell>
          <cell r="K2169" t="str">
            <v>Όχι</v>
          </cell>
          <cell r="L2169" t="str">
            <v>ΌΧΙ</v>
          </cell>
          <cell r="O2169" t="str">
            <v/>
          </cell>
        </row>
        <row r="2170">
          <cell r="D2170" t="str">
            <v>ΠΥΡΗΝΟΚΑΡΠΑ66246</v>
          </cell>
          <cell r="E2170" t="str">
            <v>ΡΟΔΑΚΙΝΑ ΔΕΛΗΣΑΒΒΑ</v>
          </cell>
          <cell r="F2170" t="str">
            <v>B_4_1_1_1</v>
          </cell>
          <cell r="G2170" t="str">
            <v>Φυτείες για παραγωγή φρούτων εύκρατης προέλευσης</v>
          </cell>
          <cell r="H2170">
            <v>6750</v>
          </cell>
          <cell r="J2170" t="str">
            <v>Ναι</v>
          </cell>
          <cell r="K2170" t="str">
            <v>Όχι</v>
          </cell>
          <cell r="L2170" t="str">
            <v>ΌΧΙ</v>
          </cell>
          <cell r="O2170" t="str">
            <v/>
          </cell>
        </row>
        <row r="2171">
          <cell r="D2171" t="str">
            <v>ΠΥΡΗΝΟΚΑΡΠΑ66247</v>
          </cell>
          <cell r="E2171" t="str">
            <v>ΡΟΔΑΚΙΝΑ ΦΑΓΙΕΤ</v>
          </cell>
          <cell r="F2171" t="str">
            <v>B_4_1_1_1</v>
          </cell>
          <cell r="G2171" t="str">
            <v>Φυτείες για παραγωγή φρούτων εύκρατης προέλευσης</v>
          </cell>
          <cell r="H2171">
            <v>6750</v>
          </cell>
          <cell r="J2171" t="str">
            <v>Ναι</v>
          </cell>
          <cell r="K2171" t="str">
            <v>Όχι</v>
          </cell>
          <cell r="L2171" t="str">
            <v>ΌΧΙ</v>
          </cell>
          <cell r="O2171" t="str">
            <v/>
          </cell>
        </row>
        <row r="2172">
          <cell r="D2172" t="str">
            <v>ΠΥΡΗΝΟΚΑΡΠΑ66248</v>
          </cell>
          <cell r="E2172" t="str">
            <v>ΡΟΔΑΚ. ΜΕΡΙΛ ΦΡΑΝΤΖΕΣΚΑΪΝ</v>
          </cell>
          <cell r="F2172" t="str">
            <v>B_4_1_1_1</v>
          </cell>
          <cell r="G2172" t="str">
            <v>Φυτείες για παραγωγή φρούτων εύκρατης προέλευσης</v>
          </cell>
          <cell r="H2172">
            <v>6750</v>
          </cell>
          <cell r="J2172" t="str">
            <v>Ναι</v>
          </cell>
          <cell r="K2172" t="str">
            <v>Όχι</v>
          </cell>
          <cell r="L2172" t="str">
            <v>ΌΧΙ</v>
          </cell>
          <cell r="O2172" t="str">
            <v/>
          </cell>
        </row>
        <row r="2173">
          <cell r="D2173" t="str">
            <v>ΠΥΡΗΝΟΚΑΡΠΑ66249</v>
          </cell>
          <cell r="E2173" t="str">
            <v>ΡΟΔΑΚΙΝΑ ΤΟΣΚΙΝΑ</v>
          </cell>
          <cell r="F2173" t="str">
            <v>B_4_1_1_1</v>
          </cell>
          <cell r="G2173" t="str">
            <v>Φυτείες για παραγωγή φρούτων εύκρατης προέλευσης</v>
          </cell>
          <cell r="H2173">
            <v>6750</v>
          </cell>
          <cell r="J2173" t="str">
            <v>Ναι</v>
          </cell>
          <cell r="K2173" t="str">
            <v>Όχι</v>
          </cell>
          <cell r="L2173" t="str">
            <v>ΌΧΙ</v>
          </cell>
          <cell r="O2173" t="str">
            <v/>
          </cell>
        </row>
        <row r="2174">
          <cell r="D2174" t="str">
            <v>ΠΥΡΗΝΟΚΑΡΠΑ66250</v>
          </cell>
          <cell r="E2174" t="str">
            <v>ΡΟΔΑΚΙΝΑ ΡΕΝΤ ΤΟΠ</v>
          </cell>
          <cell r="F2174" t="str">
            <v>B_4_1_1_1</v>
          </cell>
          <cell r="G2174" t="str">
            <v>Φυτείες για παραγωγή φρούτων εύκρατης προέλευσης</v>
          </cell>
          <cell r="H2174">
            <v>6750</v>
          </cell>
          <cell r="J2174" t="str">
            <v>Ναι</v>
          </cell>
          <cell r="K2174" t="str">
            <v>Όχι</v>
          </cell>
          <cell r="L2174" t="str">
            <v>ΌΧΙ</v>
          </cell>
          <cell r="O2174" t="str">
            <v/>
          </cell>
        </row>
        <row r="2175">
          <cell r="D2175" t="str">
            <v>ΠΥΡΗΝΟΚΑΡΠΑ66251</v>
          </cell>
          <cell r="E2175" t="str">
            <v>ΡΟΔΑΚΙΝΑ ΣΑΝ ΚΛΑΟΥΣ</v>
          </cell>
          <cell r="F2175" t="str">
            <v>B_4_1_1_1</v>
          </cell>
          <cell r="G2175" t="str">
            <v>Φυτείες για παραγωγή φρούτων εύκρατης προέλευσης</v>
          </cell>
          <cell r="H2175">
            <v>6750</v>
          </cell>
          <cell r="J2175" t="str">
            <v>Ναι</v>
          </cell>
          <cell r="K2175" t="str">
            <v>Όχι</v>
          </cell>
          <cell r="L2175" t="str">
            <v>ΌΧΙ</v>
          </cell>
          <cell r="O2175" t="str">
            <v/>
          </cell>
        </row>
        <row r="2176">
          <cell r="D2176" t="str">
            <v>ΠΥΡΗΝΟΚΑΡΠΑ66252</v>
          </cell>
          <cell r="E2176" t="str">
            <v>ΡΟΔΑΚΙΝΑ ΜΕΪ ΓΚΟΛΝΤ</v>
          </cell>
          <cell r="F2176" t="str">
            <v>B_4_1_1_1</v>
          </cell>
          <cell r="G2176" t="str">
            <v>Φυτείες για παραγωγή φρούτων εύκρατης προέλευσης</v>
          </cell>
          <cell r="H2176">
            <v>6750</v>
          </cell>
          <cell r="J2176" t="str">
            <v>Ναι</v>
          </cell>
          <cell r="K2176" t="str">
            <v>Όχι</v>
          </cell>
          <cell r="L2176" t="str">
            <v>ΌΧΙ</v>
          </cell>
          <cell r="O2176" t="str">
            <v/>
          </cell>
        </row>
        <row r="2177">
          <cell r="D2177" t="str">
            <v>ΠΥΡΗΝΟΚΑΡΠΑ66253</v>
          </cell>
          <cell r="E2177" t="str">
            <v>ΡΟΔΑΚΙΝΑ ΚΑΠΤΕΝ</v>
          </cell>
          <cell r="F2177" t="str">
            <v>B_4_1_1_1</v>
          </cell>
          <cell r="G2177" t="str">
            <v>Φυτείες για παραγωγή φρούτων εύκρατης προέλευσης</v>
          </cell>
          <cell r="H2177">
            <v>6750</v>
          </cell>
          <cell r="J2177" t="str">
            <v>Ναι</v>
          </cell>
          <cell r="K2177" t="str">
            <v>Όχι</v>
          </cell>
          <cell r="L2177" t="str">
            <v>ΌΧΙ</v>
          </cell>
          <cell r="O2177" t="str">
            <v/>
          </cell>
        </row>
        <row r="2178">
          <cell r="D2178" t="str">
            <v>ΠΥΡΗΝΟΚΑΡΠΑ66254</v>
          </cell>
          <cell r="E2178" t="str">
            <v>ΡΟΔΑΚΙΝΑ ΠΑΠΑΓΙΑΝΝΗ</v>
          </cell>
          <cell r="F2178" t="str">
            <v>B_4_1_1_1</v>
          </cell>
          <cell r="G2178" t="str">
            <v>Φυτείες για παραγωγή φρούτων εύκρατης προέλευσης</v>
          </cell>
          <cell r="H2178">
            <v>6750</v>
          </cell>
          <cell r="J2178" t="str">
            <v>Ναι</v>
          </cell>
          <cell r="K2178" t="str">
            <v>Όχι</v>
          </cell>
          <cell r="L2178" t="str">
            <v>ΌΧΙ</v>
          </cell>
          <cell r="O2178" t="str">
            <v/>
          </cell>
        </row>
        <row r="2179">
          <cell r="D2179" t="str">
            <v>ΠΥΡΗΝΟΚΑΡΠΑ66255</v>
          </cell>
          <cell r="E2179" t="str">
            <v>ΡΟΔΑΚΙΝΑ ΜΟΡΕΤΤΙΝΙ</v>
          </cell>
          <cell r="F2179" t="str">
            <v>B_4_1_1_1</v>
          </cell>
          <cell r="G2179" t="str">
            <v>Φυτείες για παραγωγή φρούτων εύκρατης προέλευσης</v>
          </cell>
          <cell r="H2179">
            <v>6750</v>
          </cell>
          <cell r="J2179" t="str">
            <v>Ναι</v>
          </cell>
          <cell r="K2179" t="str">
            <v>Όχι</v>
          </cell>
          <cell r="L2179" t="str">
            <v>ΌΧΙ</v>
          </cell>
          <cell r="O2179" t="str">
            <v/>
          </cell>
        </row>
        <row r="2180">
          <cell r="D2180" t="str">
            <v>ΠΥΡΗΝΟΚΑΡΠΑ66256</v>
          </cell>
          <cell r="E2180" t="str">
            <v>ΡΟΔΑΚΙΝΑ ΠΡΙΓΚΗΠΙΣΣΑ ΑΝΝΑ</v>
          </cell>
          <cell r="F2180" t="str">
            <v>B_4_1_1_1</v>
          </cell>
          <cell r="G2180" t="str">
            <v>Φυτείες για παραγωγή φρούτων εύκρατης προέλευσης</v>
          </cell>
          <cell r="H2180">
            <v>6750</v>
          </cell>
          <cell r="J2180" t="str">
            <v>Ναι</v>
          </cell>
          <cell r="K2180" t="str">
            <v>Όχι</v>
          </cell>
          <cell r="L2180" t="str">
            <v>ΌΧΙ</v>
          </cell>
          <cell r="O2180" t="str">
            <v/>
          </cell>
        </row>
        <row r="2181">
          <cell r="D2181" t="str">
            <v>ΠΥΡΗΝΟΚΑΡΠΑ66257</v>
          </cell>
          <cell r="E2181" t="str">
            <v>ΡΟΔΑΚΙΝΑ ΓΚΡΕΖΑΝΟ</v>
          </cell>
          <cell r="F2181" t="str">
            <v>B_4_1_1_1</v>
          </cell>
          <cell r="G2181" t="str">
            <v>Φυτείες για παραγωγή φρούτων εύκρατης προέλευσης</v>
          </cell>
          <cell r="H2181">
            <v>6750</v>
          </cell>
          <cell r="J2181" t="str">
            <v>Ναι</v>
          </cell>
          <cell r="K2181" t="str">
            <v>Όχι</v>
          </cell>
          <cell r="L2181" t="str">
            <v>ΌΧΙ</v>
          </cell>
          <cell r="O2181" t="str">
            <v/>
          </cell>
        </row>
        <row r="2182">
          <cell r="D2182" t="str">
            <v>ΠΥΡΗΝΟΚΑΡΠΑ66258</v>
          </cell>
          <cell r="E2182" t="str">
            <v>ΡΟΔΑΚΙΝΑ ΦΛΕΪΒΟΡ ΚΡΕΣΤ</v>
          </cell>
          <cell r="F2182" t="str">
            <v>B_4_1_1_1</v>
          </cell>
          <cell r="G2182" t="str">
            <v>Φυτείες για παραγωγή φρούτων εύκρατης προέλευσης</v>
          </cell>
          <cell r="H2182">
            <v>6750</v>
          </cell>
          <cell r="J2182" t="str">
            <v>Ναι</v>
          </cell>
          <cell r="K2182" t="str">
            <v>Όχι</v>
          </cell>
          <cell r="L2182" t="str">
            <v>ΌΧΙ</v>
          </cell>
          <cell r="O2182" t="str">
            <v/>
          </cell>
        </row>
        <row r="2183">
          <cell r="D2183" t="str">
            <v>ΠΥΡΗΝΟΚΑΡΠΑ66259</v>
          </cell>
          <cell r="E2183" t="str">
            <v>ΡΟΔΑΚΙΝΑ ΟΨΙΜΟ ΝΑΟΥΣΣΑΣ</v>
          </cell>
          <cell r="F2183" t="str">
            <v>B_4_1_1_1</v>
          </cell>
          <cell r="G2183" t="str">
            <v>Φυτείες για παραγωγή φρούτων εύκρατης προέλευσης</v>
          </cell>
          <cell r="H2183">
            <v>6750</v>
          </cell>
          <cell r="J2183" t="str">
            <v>Ναι</v>
          </cell>
          <cell r="K2183" t="str">
            <v>Όχι</v>
          </cell>
          <cell r="L2183" t="str">
            <v>ΌΧΙ</v>
          </cell>
          <cell r="O2183" t="str">
            <v/>
          </cell>
        </row>
        <row r="2184">
          <cell r="D2184" t="str">
            <v>ΠΥΡΗΝΟΚΑΡΠΑ66260</v>
          </cell>
          <cell r="E2184" t="str">
            <v>ΡΟΔΑΚΙΝΑ ΒΙΛΙ ΜΠΡΑΟΥΝ</v>
          </cell>
          <cell r="F2184" t="str">
            <v>B_4_1_1_1</v>
          </cell>
          <cell r="G2184" t="str">
            <v>Φυτείες για παραγωγή φρούτων εύκρατης προέλευσης</v>
          </cell>
          <cell r="H2184">
            <v>6750</v>
          </cell>
          <cell r="J2184" t="str">
            <v>Ναι</v>
          </cell>
          <cell r="K2184" t="str">
            <v>Όχι</v>
          </cell>
          <cell r="L2184" t="str">
            <v>ΌΧΙ</v>
          </cell>
          <cell r="O2184" t="str">
            <v/>
          </cell>
        </row>
        <row r="2185">
          <cell r="D2185" t="str">
            <v>ΠΥΡΗΝΟΚΑΡΠΑ66261</v>
          </cell>
          <cell r="E2185" t="str">
            <v>ΡΟΔΑΚΙΝΑ Κ. ΗΜΑΘΙΑΣ</v>
          </cell>
          <cell r="F2185" t="str">
            <v>B_4_1_1_1</v>
          </cell>
          <cell r="G2185" t="str">
            <v>Φυτείες για παραγωγή φρούτων εύκρατης προέλευσης</v>
          </cell>
          <cell r="H2185">
            <v>6750</v>
          </cell>
          <cell r="J2185" t="str">
            <v>Ναι</v>
          </cell>
          <cell r="K2185" t="str">
            <v>Όχι</v>
          </cell>
          <cell r="L2185" t="str">
            <v>ΌΧΙ</v>
          </cell>
          <cell r="O2185" t="str">
            <v/>
          </cell>
        </row>
        <row r="2186">
          <cell r="D2186" t="str">
            <v>ΠΥΡΗΝΟΚΑΡΠΑ66262</v>
          </cell>
          <cell r="E2186" t="str">
            <v>ΡΟΔΑΚΙΝΑ ΠΑΟΛΑ ΚΑΒΙΚΙ</v>
          </cell>
          <cell r="F2186" t="str">
            <v>B_4_1_1_1</v>
          </cell>
          <cell r="G2186" t="str">
            <v>Φυτείες για παραγωγή φρούτων εύκρατης προέλευσης</v>
          </cell>
          <cell r="H2186">
            <v>6750</v>
          </cell>
          <cell r="J2186" t="str">
            <v>Ναι</v>
          </cell>
          <cell r="K2186" t="str">
            <v>Όχι</v>
          </cell>
          <cell r="L2186" t="str">
            <v>ΌΧΙ</v>
          </cell>
          <cell r="O2186" t="str">
            <v/>
          </cell>
        </row>
        <row r="2187">
          <cell r="D2187" t="str">
            <v>ΠΥΡΗΝΟΚΑΡΠΑ66263</v>
          </cell>
          <cell r="E2187" t="str">
            <v>ΡΟΔΑΚΙΝΑ ΑΪΡΙΣ ΡΟΣΟ</v>
          </cell>
          <cell r="F2187" t="str">
            <v>B_4_1_1_1</v>
          </cell>
          <cell r="G2187" t="str">
            <v>Φυτείες για παραγωγή φρούτων εύκρατης προέλευσης</v>
          </cell>
          <cell r="H2187">
            <v>6750</v>
          </cell>
          <cell r="J2187" t="str">
            <v>Ναι</v>
          </cell>
          <cell r="K2187" t="str">
            <v>Όχι</v>
          </cell>
          <cell r="L2187" t="str">
            <v>ΌΧΙ</v>
          </cell>
          <cell r="O2187" t="str">
            <v/>
          </cell>
        </row>
        <row r="2188">
          <cell r="D2188" t="str">
            <v>ΠΥΡΗΝΟΚΑΡΠΑ66264</v>
          </cell>
          <cell r="E2188" t="str">
            <v>ΡΟΔΑΚΙΝΑ ΤΖΟΥΛΑΪ ΛΕΪΝΤΥ</v>
          </cell>
          <cell r="F2188" t="str">
            <v>B_4_1_1_1</v>
          </cell>
          <cell r="G2188" t="str">
            <v>Φυτείες για παραγωγή φρούτων εύκρατης προέλευσης</v>
          </cell>
          <cell r="H2188">
            <v>6750</v>
          </cell>
          <cell r="J2188" t="str">
            <v>Ναι</v>
          </cell>
          <cell r="K2188" t="str">
            <v>Όχι</v>
          </cell>
          <cell r="L2188" t="str">
            <v>ΌΧΙ</v>
          </cell>
          <cell r="O2188" t="str">
            <v/>
          </cell>
        </row>
        <row r="2189">
          <cell r="D2189" t="str">
            <v>ΠΥΡΗΝΟΚΑΡΠΑ66265</v>
          </cell>
          <cell r="E2189" t="str">
            <v>ΡΟΔΑΚΙΝΑ ΦΛΑΜΙΝΙΑ</v>
          </cell>
          <cell r="F2189" t="str">
            <v>B_4_1_1_1</v>
          </cell>
          <cell r="G2189" t="str">
            <v>Φυτείες για παραγωγή φρούτων εύκρατης προέλευσης</v>
          </cell>
          <cell r="H2189">
            <v>6750</v>
          </cell>
          <cell r="J2189" t="str">
            <v>Ναι</v>
          </cell>
          <cell r="K2189" t="str">
            <v>Όχι</v>
          </cell>
          <cell r="L2189" t="str">
            <v>ΌΧΙ</v>
          </cell>
          <cell r="O2189" t="str">
            <v/>
          </cell>
        </row>
        <row r="2190">
          <cell r="D2190" t="str">
            <v>ΠΥΡΗΝΟΚΑΡΠΑ66266</v>
          </cell>
          <cell r="E2190" t="str">
            <v>ΡΟΔΑΚΙΝΑ ΣΠΡΙΝΓΚ ΓΚΟΛΝΤ</v>
          </cell>
          <cell r="F2190" t="str">
            <v>B_4_1_1_1</v>
          </cell>
          <cell r="G2190" t="str">
            <v>Φυτείες για παραγωγή φρούτων εύκρατης προέλευσης</v>
          </cell>
          <cell r="H2190">
            <v>6750</v>
          </cell>
          <cell r="J2190" t="str">
            <v>Ναι</v>
          </cell>
          <cell r="K2190" t="str">
            <v>Όχι</v>
          </cell>
          <cell r="L2190" t="str">
            <v>ΌΧΙ</v>
          </cell>
          <cell r="O2190" t="str">
            <v/>
          </cell>
        </row>
        <row r="2191">
          <cell r="D2191" t="str">
            <v>ΠΥΡΗΝΟΚΑΡΠΑ66267</v>
          </cell>
          <cell r="E2191" t="str">
            <v>ΡΟΔΑΚΙΝΑ ΕΛΕΓΚΑΝΤ ΛΕΪΝΤΥ</v>
          </cell>
          <cell r="F2191" t="str">
            <v>B_4_1_1_1</v>
          </cell>
          <cell r="G2191" t="str">
            <v>Φυτείες για παραγωγή φρούτων εύκρατης προέλευσης</v>
          </cell>
          <cell r="H2191">
            <v>6750</v>
          </cell>
          <cell r="J2191" t="str">
            <v>Ναι</v>
          </cell>
          <cell r="K2191" t="str">
            <v>Όχι</v>
          </cell>
          <cell r="L2191" t="str">
            <v>ΌΧΙ</v>
          </cell>
          <cell r="O2191" t="str">
            <v/>
          </cell>
        </row>
        <row r="2192">
          <cell r="D2192" t="str">
            <v>ΠΥΡΗΝΟΚΑΡΠΑ66268</v>
          </cell>
          <cell r="E2192" t="str">
            <v>ΡΟΔΑΚΙΝΑ ΛΟΥΙΖΑ ΜΑΡΙΑ</v>
          </cell>
          <cell r="F2192" t="str">
            <v>B_4_1_1_1</v>
          </cell>
          <cell r="G2192" t="str">
            <v>Φυτείες για παραγωγή φρούτων εύκρατης προέλευσης</v>
          </cell>
          <cell r="H2192">
            <v>6750</v>
          </cell>
          <cell r="J2192" t="str">
            <v>Ναι</v>
          </cell>
          <cell r="K2192" t="str">
            <v>Όχι</v>
          </cell>
          <cell r="L2192" t="str">
            <v>ΌΧΙ</v>
          </cell>
          <cell r="O2192" t="str">
            <v/>
          </cell>
        </row>
        <row r="2193">
          <cell r="D2193" t="str">
            <v>ΠΥΡΗΝΟΚΑΡΠΑ66269</v>
          </cell>
          <cell r="E2193" t="str">
            <v>ΡΟΔΑΚΙΝΑ W2</v>
          </cell>
          <cell r="F2193" t="str">
            <v>B_4_1_1_1</v>
          </cell>
          <cell r="G2193" t="str">
            <v>Φυτείες για παραγωγή φρούτων εύκρατης προέλευσης</v>
          </cell>
          <cell r="H2193">
            <v>6750</v>
          </cell>
          <cell r="J2193" t="str">
            <v>Ναι</v>
          </cell>
          <cell r="K2193" t="str">
            <v>Όχι</v>
          </cell>
          <cell r="L2193" t="str">
            <v>ΌΧΙ</v>
          </cell>
          <cell r="O2193" t="str">
            <v/>
          </cell>
        </row>
        <row r="2194">
          <cell r="D2194" t="str">
            <v>ΠΥΡΗΝΟΚΑΡΠΑ66270</v>
          </cell>
          <cell r="E2194" t="str">
            <v>ΡΟΔΑΚΙΝΑ ΣΠΡΙΝΓΚ ΜΠΕΛ</v>
          </cell>
          <cell r="F2194" t="str">
            <v>B_4_1_1_1</v>
          </cell>
          <cell r="G2194" t="str">
            <v>Φυτείες για παραγωγή φρούτων εύκρατης προέλευσης</v>
          </cell>
          <cell r="H2194">
            <v>6750</v>
          </cell>
          <cell r="J2194" t="str">
            <v>Ναι</v>
          </cell>
          <cell r="K2194" t="str">
            <v>Όχι</v>
          </cell>
          <cell r="L2194" t="str">
            <v>ΌΧΙ</v>
          </cell>
          <cell r="O2194" t="str">
            <v/>
          </cell>
        </row>
        <row r="2195">
          <cell r="D2195" t="str">
            <v>ΠΥΡΗΝΟΚΑΡΠΑ66271</v>
          </cell>
          <cell r="E2195" t="str">
            <v>ΡΟΔΑΚΙΝ. ΛΕΥΚΟΣΑΡΚ. ΝΑΟΥΣ.</v>
          </cell>
          <cell r="F2195" t="str">
            <v>B_4_1_1_1</v>
          </cell>
          <cell r="G2195" t="str">
            <v>Φυτείες για παραγωγή φρούτων εύκρατης προέλευσης</v>
          </cell>
          <cell r="H2195">
            <v>6750</v>
          </cell>
          <cell r="J2195" t="str">
            <v>Ναι</v>
          </cell>
          <cell r="K2195" t="str">
            <v>Όχι</v>
          </cell>
          <cell r="L2195" t="str">
            <v>ΌΧΙ</v>
          </cell>
          <cell r="O2195" t="str">
            <v/>
          </cell>
        </row>
        <row r="2196">
          <cell r="D2196" t="str">
            <v>ΠΥΡΗΝΟΚΑΡΠΑ66272</v>
          </cell>
          <cell r="E2196" t="str">
            <v>ΡΟΔΑΚΙΝΑ ΦΑΙΡ ΤΖΙΜ</v>
          </cell>
          <cell r="F2196" t="str">
            <v>B_4_1_1_1</v>
          </cell>
          <cell r="G2196" t="str">
            <v>Φυτείες για παραγωγή φρούτων εύκρατης προέλευσης</v>
          </cell>
          <cell r="H2196">
            <v>6750</v>
          </cell>
          <cell r="J2196" t="str">
            <v>Ναι</v>
          </cell>
          <cell r="K2196" t="str">
            <v>Όχι</v>
          </cell>
          <cell r="L2196" t="str">
            <v>ΌΧΙ</v>
          </cell>
          <cell r="O2196" t="str">
            <v/>
          </cell>
        </row>
        <row r="2197">
          <cell r="D2197" t="str">
            <v>ΠΥΡΗΝΟΚΑΡΠΑ66273</v>
          </cell>
          <cell r="E2197" t="str">
            <v>ΡΟΔΑΚΙΝΑ ΑΟΥΡΕΛΙΑ</v>
          </cell>
          <cell r="F2197" t="str">
            <v>B_4_1_1_1</v>
          </cell>
          <cell r="G2197" t="str">
            <v>Φυτείες για παραγωγή φρούτων εύκρατης προέλευσης</v>
          </cell>
          <cell r="H2197">
            <v>6750</v>
          </cell>
          <cell r="J2197" t="str">
            <v>Ναι</v>
          </cell>
          <cell r="K2197" t="str">
            <v>Όχι</v>
          </cell>
          <cell r="L2197" t="str">
            <v>ΌΧΙ</v>
          </cell>
          <cell r="O2197" t="str">
            <v/>
          </cell>
        </row>
        <row r="2198">
          <cell r="D2198" t="str">
            <v>ΠΥΡΗΝΟΚΑΡΠΑ66274</v>
          </cell>
          <cell r="E2198" t="str">
            <v>ΡΟΔΑΚΙΝΑ ΓΚΛΟΟΥ ΧΕΒΕΝ</v>
          </cell>
          <cell r="F2198" t="str">
            <v>B_4_1_1_1</v>
          </cell>
          <cell r="G2198" t="str">
            <v>Φυτείες για παραγωγή φρούτων εύκρατης προέλευσης</v>
          </cell>
          <cell r="H2198">
            <v>6750</v>
          </cell>
          <cell r="J2198" t="str">
            <v>Ναι</v>
          </cell>
          <cell r="K2198" t="str">
            <v>Όχι</v>
          </cell>
          <cell r="L2198" t="str">
            <v>ΌΧΙ</v>
          </cell>
          <cell r="O2198" t="str">
            <v/>
          </cell>
        </row>
        <row r="2199">
          <cell r="D2199" t="str">
            <v>ΠΥΡΗΝΟΚΑΡΠΑ66275</v>
          </cell>
          <cell r="E2199" t="str">
            <v>ΡΟΔΑΚΙΝΑ ΣΠΙΝ ΚΡΕΜ</v>
          </cell>
          <cell r="F2199" t="str">
            <v>B_4_1_1_1</v>
          </cell>
          <cell r="G2199" t="str">
            <v>Φυτείες για παραγωγή φρούτων εύκρατης προέλευσης</v>
          </cell>
          <cell r="H2199">
            <v>6750</v>
          </cell>
          <cell r="J2199" t="str">
            <v>Ναι</v>
          </cell>
          <cell r="K2199" t="str">
            <v>Όχι</v>
          </cell>
          <cell r="L2199" t="str">
            <v>ΌΧΙ</v>
          </cell>
          <cell r="O2199" t="str">
            <v/>
          </cell>
        </row>
        <row r="2200">
          <cell r="D2200" t="str">
            <v>ΠΥΡΗΝΟΚΑΡΠΑ66276</v>
          </cell>
          <cell r="E2200" t="str">
            <v>ΡΟΔΑΚΙΝΑ ΩΓΚΟΣΤ ΣΑΝΙ</v>
          </cell>
          <cell r="F2200" t="str">
            <v>B_4_1_1_1</v>
          </cell>
          <cell r="G2200" t="str">
            <v>Φυτείες για παραγωγή φρούτων εύκρατης προέλευσης</v>
          </cell>
          <cell r="H2200">
            <v>6750</v>
          </cell>
          <cell r="J2200" t="str">
            <v>Ναι</v>
          </cell>
          <cell r="K2200" t="str">
            <v>Όχι</v>
          </cell>
          <cell r="L2200" t="str">
            <v>ΌΧΙ</v>
          </cell>
          <cell r="O2200" t="str">
            <v/>
          </cell>
        </row>
        <row r="2201">
          <cell r="D2201" t="str">
            <v>ΠΥΡΗΝΟΚΑΡΠΑ66277</v>
          </cell>
          <cell r="E2201" t="str">
            <v>ΡΟΔΑΚΙΝΑ ΣΑΝ ΡΕΝΤ</v>
          </cell>
          <cell r="F2201" t="str">
            <v>B_4_1_1_1</v>
          </cell>
          <cell r="G2201" t="str">
            <v>Φυτείες για παραγωγή φρούτων εύκρατης προέλευσης</v>
          </cell>
          <cell r="H2201">
            <v>6750</v>
          </cell>
          <cell r="J2201" t="str">
            <v>Ναι</v>
          </cell>
          <cell r="K2201" t="str">
            <v>Όχι</v>
          </cell>
          <cell r="L2201" t="str">
            <v>ΌΧΙ</v>
          </cell>
          <cell r="O2201" t="str">
            <v/>
          </cell>
        </row>
        <row r="2202">
          <cell r="D2202" t="str">
            <v>ΠΥΡΗΝΟΚΑΡΠΑ66278</v>
          </cell>
          <cell r="E2202" t="str">
            <v>ΡΟΔΑΚΙΝΑ Ο ΧΕΝΡΙ</v>
          </cell>
          <cell r="F2202" t="str">
            <v>B_4_1_1_1</v>
          </cell>
          <cell r="G2202" t="str">
            <v>Φυτείες για παραγωγή φρούτων εύκρατης προέλευσης</v>
          </cell>
          <cell r="H2202">
            <v>6750</v>
          </cell>
          <cell r="J2202" t="str">
            <v>Ναι</v>
          </cell>
          <cell r="K2202" t="str">
            <v>Όχι</v>
          </cell>
          <cell r="L2202" t="str">
            <v>ΌΧΙ</v>
          </cell>
          <cell r="O2202" t="str">
            <v/>
          </cell>
        </row>
        <row r="2203">
          <cell r="D2203" t="str">
            <v>ΠΥΡΗΝΟΚΑΡΠΑ66279</v>
          </cell>
          <cell r="E2203" t="str">
            <v>ΡΟΔΑΚΙΝΑ ΠΡΟΦΗΤΗΣ ΗΛΙΑΣ</v>
          </cell>
          <cell r="F2203" t="str">
            <v>B_4_1_1_1</v>
          </cell>
          <cell r="G2203" t="str">
            <v>Φυτείες για παραγωγή φρούτων εύκρατης προέλευσης</v>
          </cell>
          <cell r="H2203">
            <v>6750</v>
          </cell>
          <cell r="J2203" t="str">
            <v>Ναι</v>
          </cell>
          <cell r="K2203" t="str">
            <v>Όχι</v>
          </cell>
          <cell r="L2203" t="str">
            <v>ΌΧΙ</v>
          </cell>
          <cell r="O2203" t="str">
            <v/>
          </cell>
        </row>
        <row r="2204">
          <cell r="D2204" t="str">
            <v>ΠΥΡΗΝΟΚΑΡΠΑ66280</v>
          </cell>
          <cell r="E2204" t="str">
            <v>ΡΟΔΑΚΙΝΑ ΡΟΥΑΓΙΑΛ ΓΚΛΟΡΙ</v>
          </cell>
          <cell r="F2204" t="str">
            <v>B_4_1_1_1</v>
          </cell>
          <cell r="G2204" t="str">
            <v>Φυτείες για παραγωγή φρούτων εύκρατης προέλευσης</v>
          </cell>
          <cell r="H2204">
            <v>6750</v>
          </cell>
          <cell r="J2204" t="str">
            <v>Ναι</v>
          </cell>
          <cell r="K2204" t="str">
            <v>Όχι</v>
          </cell>
          <cell r="L2204" t="str">
            <v>ΌΧΙ</v>
          </cell>
          <cell r="O2204" t="str">
            <v/>
          </cell>
        </row>
        <row r="2205">
          <cell r="D2205" t="str">
            <v>ΠΥΡΗΝΟΚΑΡΠΑ66281</v>
          </cell>
          <cell r="E2205" t="str">
            <v>ΡΟΔΑΚΙΝ. ΣΟΥΠΕΡ ΓΚΟΛΝΤΕΝ ΚΡΕΣΤ</v>
          </cell>
          <cell r="F2205" t="str">
            <v>B_4_1_1_1</v>
          </cell>
          <cell r="G2205" t="str">
            <v>Φυτείες για παραγωγή φρούτων εύκρατης προέλευσης</v>
          </cell>
          <cell r="H2205">
            <v>6750</v>
          </cell>
          <cell r="J2205" t="str">
            <v>Ναι</v>
          </cell>
          <cell r="K2205" t="str">
            <v>Όχι</v>
          </cell>
          <cell r="L2205" t="str">
            <v>ΌΧΙ</v>
          </cell>
          <cell r="O2205" t="str">
            <v/>
          </cell>
        </row>
        <row r="2206">
          <cell r="D2206" t="str">
            <v>ΠΥΡΗΝΟΚΑΡΠΑ66282</v>
          </cell>
          <cell r="E2206" t="str">
            <v>ΡΟΔΑΚΙΝΑ ΛΕΥΚΟ ΒΕΡΜΙΟΥ</v>
          </cell>
          <cell r="F2206" t="str">
            <v>B_4_1_1_1</v>
          </cell>
          <cell r="G2206" t="str">
            <v>Φυτείες για παραγωγή φρούτων εύκρατης προέλευσης</v>
          </cell>
          <cell r="H2206">
            <v>6750</v>
          </cell>
          <cell r="J2206" t="str">
            <v>Ναι</v>
          </cell>
          <cell r="K2206" t="str">
            <v>Όχι</v>
          </cell>
          <cell r="L2206" t="str">
            <v>ΌΧΙ</v>
          </cell>
          <cell r="O2206" t="str">
            <v/>
          </cell>
        </row>
        <row r="2207">
          <cell r="D2207" t="str">
            <v>ΠΥΡΗΝΟΚΑΡΠΑ66283</v>
          </cell>
          <cell r="E2207" t="str">
            <v>ΡΟΔΑΚΙΝΑ ΤΟΠΑΪΤ</v>
          </cell>
          <cell r="F2207" t="str">
            <v>B_4_1_1_1</v>
          </cell>
          <cell r="G2207" t="str">
            <v>Φυτείες για παραγωγή φρούτων εύκρατης προέλευσης</v>
          </cell>
          <cell r="H2207">
            <v>6750</v>
          </cell>
          <cell r="J2207" t="str">
            <v>Ναι</v>
          </cell>
          <cell r="K2207" t="str">
            <v>Όχι</v>
          </cell>
          <cell r="L2207" t="str">
            <v>ΌΧΙ</v>
          </cell>
          <cell r="O2207" t="str">
            <v/>
          </cell>
        </row>
        <row r="2208">
          <cell r="D2208" t="str">
            <v>ΠΥΡΗΝΟΚΑΡΠΑ66284</v>
          </cell>
          <cell r="E2208" t="str">
            <v>ΡΟΔΑΚΙΝΑ ΣΠΡΙΝΓΚ ΦΛΑΟΥΕΡ</v>
          </cell>
          <cell r="F2208" t="str">
            <v>B_4_1_1_1</v>
          </cell>
          <cell r="G2208" t="str">
            <v>Φυτείες για παραγωγή φρούτων εύκρατης προέλευσης</v>
          </cell>
          <cell r="H2208">
            <v>6750</v>
          </cell>
          <cell r="J2208" t="str">
            <v>Ναι</v>
          </cell>
          <cell r="K2208" t="str">
            <v>Όχι</v>
          </cell>
          <cell r="L2208" t="str">
            <v>ΌΧΙ</v>
          </cell>
          <cell r="O2208" t="str">
            <v/>
          </cell>
        </row>
        <row r="2209">
          <cell r="D2209" t="str">
            <v>ΠΥΡΗΝΟΚΑΡΠΑ66285</v>
          </cell>
          <cell r="E2209" t="str">
            <v>ΡΟΔΑΚΙΝΑ ΕΪΠΡΙΛ ΜΕΪ</v>
          </cell>
          <cell r="F2209" t="str">
            <v>B_4_1_1_1</v>
          </cell>
          <cell r="G2209" t="str">
            <v>Φυτείες για παραγωγή φρούτων εύκρατης προέλευσης</v>
          </cell>
          <cell r="H2209">
            <v>6750</v>
          </cell>
          <cell r="J2209" t="str">
            <v>Ναι</v>
          </cell>
          <cell r="K2209" t="str">
            <v>Όχι</v>
          </cell>
          <cell r="L2209" t="str">
            <v>ΌΧΙ</v>
          </cell>
          <cell r="O2209" t="str">
            <v/>
          </cell>
        </row>
        <row r="2210">
          <cell r="D2210" t="str">
            <v>ΠΥΡΗΝΟΚΑΡΠΑ66286</v>
          </cell>
          <cell r="E2210" t="str">
            <v>ΡΟΔΑΚΙΝΑ ΕΡΛΥ ΡΕΝΤ ΦΡΙ</v>
          </cell>
          <cell r="F2210" t="str">
            <v>B_4_1_1_1</v>
          </cell>
          <cell r="G2210" t="str">
            <v>Φυτείες για παραγωγή φρούτων εύκρατης προέλευσης</v>
          </cell>
          <cell r="H2210">
            <v>6750</v>
          </cell>
          <cell r="J2210" t="str">
            <v>Ναι</v>
          </cell>
          <cell r="K2210" t="str">
            <v>Όχι</v>
          </cell>
          <cell r="L2210" t="str">
            <v>ΌΧΙ</v>
          </cell>
          <cell r="O2210" t="str">
            <v/>
          </cell>
        </row>
        <row r="2211">
          <cell r="D2211" t="str">
            <v>ΠΥΡΗΝΟΚΑΡΠΑ66287</v>
          </cell>
          <cell r="E2211" t="str">
            <v>ΡΟΔΑΚΙΝΑ ΚΡΕΣΤ ΧΕΪ</v>
          </cell>
          <cell r="F2211" t="str">
            <v>B_4_1_1_1</v>
          </cell>
          <cell r="G2211" t="str">
            <v>Φυτείες για παραγωγή φρούτων εύκρατης προέλευσης</v>
          </cell>
          <cell r="H2211">
            <v>6750</v>
          </cell>
          <cell r="J2211" t="str">
            <v>Ναι</v>
          </cell>
          <cell r="K2211" t="str">
            <v>Όχι</v>
          </cell>
          <cell r="L2211" t="str">
            <v>ΌΧΙ</v>
          </cell>
          <cell r="O2211" t="str">
            <v/>
          </cell>
        </row>
        <row r="2212">
          <cell r="D2212" t="str">
            <v>ΠΥΡΗΝΟΚΑΡΠΑ66288</v>
          </cell>
          <cell r="E2212" t="str">
            <v>ΡΟΔΑΚΙΝΑ ΑΡΜ ΚΡΕΣΤ</v>
          </cell>
          <cell r="F2212" t="str">
            <v>B_4_1_1_1</v>
          </cell>
          <cell r="G2212" t="str">
            <v>Φυτείες για παραγωγή φρούτων εύκρατης προέλευσης</v>
          </cell>
          <cell r="H2212">
            <v>6750</v>
          </cell>
          <cell r="J2212" t="str">
            <v>Ναι</v>
          </cell>
          <cell r="K2212" t="str">
            <v>Όχι</v>
          </cell>
          <cell r="L2212" t="str">
            <v>ΌΧΙ</v>
          </cell>
          <cell r="O2212" t="str">
            <v/>
          </cell>
        </row>
        <row r="2213">
          <cell r="D2213" t="str">
            <v>ΠΥΡΗΝΟΚΑΡΠΑ66289</v>
          </cell>
          <cell r="E2213" t="str">
            <v>ΡΟΔΑΚΙΝΑ ΛΕΥΚΟ ΡΕΝΤ ΧΑΒΕΝ</v>
          </cell>
          <cell r="F2213" t="str">
            <v>B_4_1_1_1</v>
          </cell>
          <cell r="G2213" t="str">
            <v>Φυτείες για παραγωγή φρούτων εύκρατης προέλευσης</v>
          </cell>
          <cell r="H2213">
            <v>6750</v>
          </cell>
          <cell r="J2213" t="str">
            <v>Ναι</v>
          </cell>
          <cell r="K2213" t="str">
            <v>Όχι</v>
          </cell>
          <cell r="L2213" t="str">
            <v>ΌΧΙ</v>
          </cell>
          <cell r="O2213" t="str">
            <v/>
          </cell>
        </row>
        <row r="2214">
          <cell r="D2214" t="str">
            <v>ΠΥΡΗΝΟΚΑΡΠΑ66290</v>
          </cell>
          <cell r="E2214" t="str">
            <v>ΡΟΔΑΚΙΝΑ ΝΙΡΙΝΙΑ</v>
          </cell>
          <cell r="F2214" t="str">
            <v>B_4_1_1_1</v>
          </cell>
          <cell r="G2214" t="str">
            <v>Φυτείες για παραγωγή φρούτων εύκρατης προέλευσης</v>
          </cell>
          <cell r="H2214">
            <v>6750</v>
          </cell>
          <cell r="J2214" t="str">
            <v>Ναι</v>
          </cell>
          <cell r="K2214" t="str">
            <v>Όχι</v>
          </cell>
          <cell r="L2214" t="str">
            <v>ΌΧΙ</v>
          </cell>
          <cell r="O2214" t="str">
            <v/>
          </cell>
        </row>
        <row r="2215">
          <cell r="D2215" t="str">
            <v>ΠΥΡΗΝΟΚΑΡΠΑ66291</v>
          </cell>
          <cell r="E2215" t="str">
            <v>ΡΟΔΑΚΙΝΑ ΣΑΜΕΡΙΝΓΚ</v>
          </cell>
          <cell r="F2215" t="str">
            <v>B_4_1_1_1</v>
          </cell>
          <cell r="G2215" t="str">
            <v>Φυτείες για παραγωγή φρούτων εύκρατης προέλευσης</v>
          </cell>
          <cell r="H2215">
            <v>6750</v>
          </cell>
          <cell r="J2215" t="str">
            <v>Ναι</v>
          </cell>
          <cell r="K2215" t="str">
            <v>Όχι</v>
          </cell>
          <cell r="L2215" t="str">
            <v>ΌΧΙ</v>
          </cell>
          <cell r="O2215" t="str">
            <v/>
          </cell>
        </row>
        <row r="2216">
          <cell r="D2216" t="str">
            <v>ΠΥΡΗΝΟΚΑΡΠΑ66292</v>
          </cell>
          <cell r="E2216" t="str">
            <v>ΡΟΔΑΚΙΝΑ ΑΛΙΓΚΕΝ</v>
          </cell>
          <cell r="F2216" t="str">
            <v>B_4_1_1_1</v>
          </cell>
          <cell r="G2216" t="str">
            <v>Φυτείες για παραγωγή φρούτων εύκρατης προέλευσης</v>
          </cell>
          <cell r="H2216">
            <v>6750</v>
          </cell>
          <cell r="J2216" t="str">
            <v>Ναι</v>
          </cell>
          <cell r="K2216" t="str">
            <v>Όχι</v>
          </cell>
          <cell r="L2216" t="str">
            <v>ΌΧΙ</v>
          </cell>
          <cell r="O2216" t="str">
            <v/>
          </cell>
        </row>
        <row r="2217">
          <cell r="D2217" t="str">
            <v>ΠΥΡΗΝΟΚΑΡΠΑ66293</v>
          </cell>
          <cell r="E2217" t="str">
            <v>ΡΟΔΑΚΙΝΑ ΣΤΑΡ ΛΑΪΤ</v>
          </cell>
          <cell r="F2217" t="str">
            <v>B_4_1_1_1</v>
          </cell>
          <cell r="G2217" t="str">
            <v>Φυτείες για παραγωγή φρούτων εύκρατης προέλευσης</v>
          </cell>
          <cell r="H2217">
            <v>6750</v>
          </cell>
          <cell r="J2217" t="str">
            <v>Ναι</v>
          </cell>
          <cell r="K2217" t="str">
            <v>Όχι</v>
          </cell>
          <cell r="L2217" t="str">
            <v>ΌΧΙ</v>
          </cell>
          <cell r="O2217" t="str">
            <v/>
          </cell>
        </row>
        <row r="2218">
          <cell r="D2218" t="str">
            <v>ΠΥΡΗΝΟΚΑΡΠΑ66294</v>
          </cell>
          <cell r="E2218" t="str">
            <v>ΡΟΔΑΚΙΝΑ ΧΑΛΕΒΑ</v>
          </cell>
          <cell r="F2218" t="str">
            <v>B_4_1_1_1</v>
          </cell>
          <cell r="G2218" t="str">
            <v>Φυτείες για παραγωγή φρούτων εύκρατης προέλευσης</v>
          </cell>
          <cell r="H2218">
            <v>6750</v>
          </cell>
          <cell r="J2218" t="str">
            <v>Ναι</v>
          </cell>
          <cell r="K2218" t="str">
            <v>Όχι</v>
          </cell>
          <cell r="L2218" t="str">
            <v>ΌΧΙ</v>
          </cell>
          <cell r="O2218" t="str">
            <v/>
          </cell>
        </row>
        <row r="2219">
          <cell r="D2219" t="str">
            <v>ΠΥΡΗΝΟΚΑΡΠΑ66295</v>
          </cell>
          <cell r="E2219" t="str">
            <v>ΡΟΔΑΚΙΝΑ ΚΙΝ-ΚΑΡ</v>
          </cell>
          <cell r="F2219" t="str">
            <v>B_4_1_1_1</v>
          </cell>
          <cell r="G2219" t="str">
            <v>Φυτείες για παραγωγή φρούτων εύκρατης προέλευσης</v>
          </cell>
          <cell r="H2219">
            <v>6750</v>
          </cell>
          <cell r="J2219" t="str">
            <v>Ναι</v>
          </cell>
          <cell r="K2219" t="str">
            <v>Όχι</v>
          </cell>
          <cell r="L2219" t="str">
            <v>ΌΧΙ</v>
          </cell>
          <cell r="O2219" t="str">
            <v/>
          </cell>
        </row>
        <row r="2220">
          <cell r="D2220" t="str">
            <v>ΠΥΡΗΝΟΚΑΡΠΑ66296</v>
          </cell>
          <cell r="E2220" t="str">
            <v>ΡΟΔΑΚΙΝΑ ΦΛΕΪΜ ΚΡΕΣΤ</v>
          </cell>
          <cell r="F2220" t="str">
            <v>B_4_1_1_1</v>
          </cell>
          <cell r="G2220" t="str">
            <v>Φυτείες για παραγωγή φρούτων εύκρατης προέλευσης</v>
          </cell>
          <cell r="H2220">
            <v>6750</v>
          </cell>
          <cell r="J2220" t="str">
            <v>Ναι</v>
          </cell>
          <cell r="K2220" t="str">
            <v>Όχι</v>
          </cell>
          <cell r="L2220" t="str">
            <v>ΌΧΙ</v>
          </cell>
          <cell r="O2220" t="str">
            <v/>
          </cell>
        </row>
        <row r="2221">
          <cell r="D2221" t="str">
            <v>ΠΥΡΗΝΟΚΑΡΠΑ66297</v>
          </cell>
          <cell r="E2221" t="str">
            <v>ΡΟΔΑΚΙΝΑ ΡΟΥΑΓΙΑΛ ΤΖΙΜ</v>
          </cell>
          <cell r="F2221" t="str">
            <v>B_4_1_1_1</v>
          </cell>
          <cell r="G2221" t="str">
            <v>Φυτείες για παραγωγή φρούτων εύκρατης προέλευσης</v>
          </cell>
          <cell r="H2221">
            <v>6750</v>
          </cell>
          <cell r="J2221" t="str">
            <v>Ναι</v>
          </cell>
          <cell r="K2221" t="str">
            <v>Όχι</v>
          </cell>
          <cell r="L2221" t="str">
            <v>ΌΧΙ</v>
          </cell>
          <cell r="O2221" t="str">
            <v/>
          </cell>
        </row>
        <row r="2222">
          <cell r="D2222" t="str">
            <v>ΠΥΡΗΝΟΚΑΡΠΑ66298</v>
          </cell>
          <cell r="E2222" t="str">
            <v>ΡΟΔΑΚΙΝΑ ΣΥΜΦΩΝΙΑ</v>
          </cell>
          <cell r="F2222" t="str">
            <v>B_4_1_1_1</v>
          </cell>
          <cell r="G2222" t="str">
            <v>Φυτείες για παραγωγή φρούτων εύκρατης προέλευσης</v>
          </cell>
          <cell r="H2222">
            <v>6750</v>
          </cell>
          <cell r="J2222" t="str">
            <v>Ναι</v>
          </cell>
          <cell r="K2222" t="str">
            <v>Όχι</v>
          </cell>
          <cell r="L2222" t="str">
            <v>ΌΧΙ</v>
          </cell>
          <cell r="O2222" t="str">
            <v/>
          </cell>
        </row>
        <row r="2223">
          <cell r="D2223" t="str">
            <v>ΠΥΡΗΝΟΚΑΡΠΑ66299</v>
          </cell>
          <cell r="E2223" t="str">
            <v>ΡΟΔΑΚΙΝΑ ΜΑΡΙΑ ΓΚΛΟΡΙΑ</v>
          </cell>
          <cell r="F2223" t="str">
            <v>B_4_1_1_1</v>
          </cell>
          <cell r="G2223" t="str">
            <v>Φυτείες για παραγωγή φρούτων εύκρατης προέλευσης</v>
          </cell>
          <cell r="H2223">
            <v>6750</v>
          </cell>
          <cell r="J2223" t="str">
            <v>Ναι</v>
          </cell>
          <cell r="K2223" t="str">
            <v>Όχι</v>
          </cell>
          <cell r="L2223" t="str">
            <v>ΌΧΙ</v>
          </cell>
          <cell r="O2223" t="str">
            <v/>
          </cell>
        </row>
        <row r="2224">
          <cell r="D2224" t="str">
            <v>ΠΥΡΗΝΟΚΑΡΠΑ66300</v>
          </cell>
          <cell r="E2224" t="str">
            <v>ΡΟΔΑΚΙΝΑ ΕΡΛ ΓΚΡΑΝΤ ΛΕΪΝΤΥ</v>
          </cell>
          <cell r="F2224" t="str">
            <v>B_4_1_1_1</v>
          </cell>
          <cell r="G2224" t="str">
            <v>Φυτείες για παραγωγή φρούτων εύκρατης προέλευσης</v>
          </cell>
          <cell r="H2224">
            <v>6750</v>
          </cell>
          <cell r="J2224" t="str">
            <v>Ναι</v>
          </cell>
          <cell r="K2224" t="str">
            <v>Όχι</v>
          </cell>
          <cell r="L2224" t="str">
            <v>ΌΧΙ</v>
          </cell>
          <cell r="O2224" t="str">
            <v/>
          </cell>
        </row>
        <row r="2225">
          <cell r="D2225" t="str">
            <v>ΠΥΡΗΝΟΚΑΡΠΑ66301</v>
          </cell>
          <cell r="E2225" t="str">
            <v>ΡΟΔΑΚΙΝΑ ΓΟΥΑΪΤ ΛΕΪΝΤΥ</v>
          </cell>
          <cell r="F2225" t="str">
            <v>B_4_1_1_1</v>
          </cell>
          <cell r="G2225" t="str">
            <v>Φυτείες για παραγωγή φρούτων εύκρατης προέλευσης</v>
          </cell>
          <cell r="H2225">
            <v>6750</v>
          </cell>
          <cell r="J2225" t="str">
            <v>Ναι</v>
          </cell>
          <cell r="K2225" t="str">
            <v>Όχι</v>
          </cell>
          <cell r="L2225" t="str">
            <v>ΌΧΙ</v>
          </cell>
          <cell r="O2225" t="str">
            <v/>
          </cell>
        </row>
        <row r="2226">
          <cell r="D2226" t="str">
            <v>ΠΥΡΗΝΟΚΑΡΠΑ66302</v>
          </cell>
          <cell r="E2226" t="str">
            <v>ΡΟΔΑΚΙΝΑ ΣΑΝ ΛΑΪΦ</v>
          </cell>
          <cell r="F2226" t="str">
            <v>B_4_1_1_1</v>
          </cell>
          <cell r="G2226" t="str">
            <v>Φυτείες για παραγωγή φρούτων εύκρατης προέλευσης</v>
          </cell>
          <cell r="H2226">
            <v>6750</v>
          </cell>
          <cell r="J2226" t="str">
            <v>Ναι</v>
          </cell>
          <cell r="K2226" t="str">
            <v>Όχι</v>
          </cell>
          <cell r="L2226" t="str">
            <v>ΌΧΙ</v>
          </cell>
          <cell r="O2226" t="str">
            <v/>
          </cell>
        </row>
        <row r="2227">
          <cell r="D2227" t="str">
            <v>ΠΥΡΗΝΟΚΑΡΠΑ66303</v>
          </cell>
          <cell r="E2227" t="str">
            <v>ΡΟΔΑΚΙΝΑ ΕΤΟΥΑΛ</v>
          </cell>
          <cell r="F2227" t="str">
            <v>B_4_1_1_1</v>
          </cell>
          <cell r="G2227" t="str">
            <v>Φυτείες για παραγωγή φρούτων εύκρατης προέλευσης</v>
          </cell>
          <cell r="H2227">
            <v>6750</v>
          </cell>
          <cell r="J2227" t="str">
            <v>Ναι</v>
          </cell>
          <cell r="K2227" t="str">
            <v>Όχι</v>
          </cell>
          <cell r="L2227" t="str">
            <v>ΌΧΙ</v>
          </cell>
          <cell r="O2227" t="str">
            <v/>
          </cell>
        </row>
        <row r="2228">
          <cell r="D2228" t="str">
            <v>ΠΥΡΗΝΟΚΑΡΠΑ66304</v>
          </cell>
          <cell r="E2228" t="str">
            <v>ΡΟΔΑΚΙΝΑ ΡΕΝΤ ΛΕΪΝΤΥ</v>
          </cell>
          <cell r="F2228" t="str">
            <v>B_4_1_1_1</v>
          </cell>
          <cell r="G2228" t="str">
            <v>Φυτείες για παραγωγή φρούτων εύκρατης προέλευσης</v>
          </cell>
          <cell r="H2228">
            <v>6750</v>
          </cell>
          <cell r="J2228" t="str">
            <v>Ναι</v>
          </cell>
          <cell r="K2228" t="str">
            <v>Όχι</v>
          </cell>
          <cell r="L2228" t="str">
            <v>ΌΧΙ</v>
          </cell>
          <cell r="O2228" t="str">
            <v/>
          </cell>
        </row>
        <row r="2229">
          <cell r="D2229" t="str">
            <v>ΠΥΡΗΝΟΚΑΡΠΑ66305</v>
          </cell>
          <cell r="E2229" t="str">
            <v>ΡΟΔΑΚΙΝΑ ΦΡΑΝΣΟΥΑ</v>
          </cell>
          <cell r="F2229" t="str">
            <v>B_4_1_1_1</v>
          </cell>
          <cell r="G2229" t="str">
            <v>Φυτείες για παραγωγή φρούτων εύκρατης προέλευσης</v>
          </cell>
          <cell r="H2229">
            <v>6750</v>
          </cell>
          <cell r="J2229" t="str">
            <v>Ναι</v>
          </cell>
          <cell r="K2229" t="str">
            <v>Όχι</v>
          </cell>
          <cell r="L2229" t="str">
            <v>ΌΧΙ</v>
          </cell>
          <cell r="O2229" t="str">
            <v/>
          </cell>
        </row>
        <row r="2230">
          <cell r="D2230" t="str">
            <v>ΠΥΡΗΝΟΚΑΡΠΑ66306</v>
          </cell>
          <cell r="E2230" t="str">
            <v>ΡΟΔΑΚΙΝΑ ΡΕΝΤ ΜΠΟΥΛΕΤ</v>
          </cell>
          <cell r="F2230" t="str">
            <v>B_4_1_1_1</v>
          </cell>
          <cell r="G2230" t="str">
            <v>Φυτείες για παραγωγή φρούτων εύκρατης προέλευσης</v>
          </cell>
          <cell r="H2230">
            <v>6750</v>
          </cell>
          <cell r="J2230" t="str">
            <v>Ναι</v>
          </cell>
          <cell r="K2230" t="str">
            <v>Όχι</v>
          </cell>
          <cell r="L2230" t="str">
            <v>ΌΧΙ</v>
          </cell>
          <cell r="O2230" t="str">
            <v/>
          </cell>
        </row>
        <row r="2231">
          <cell r="D2231" t="str">
            <v>ΠΥΡΗΝΟΚΑΡΠΑ66307</v>
          </cell>
          <cell r="E2231" t="str">
            <v>ΡΟΔΑΚΙΝΑ ΡΙΤΣΙ ΜΕΪ</v>
          </cell>
          <cell r="F2231" t="str">
            <v>B_4_1_1_1</v>
          </cell>
          <cell r="G2231" t="str">
            <v>Φυτείες για παραγωγή φρούτων εύκρατης προέλευσης</v>
          </cell>
          <cell r="H2231">
            <v>6750</v>
          </cell>
          <cell r="J2231" t="str">
            <v>Ναι</v>
          </cell>
          <cell r="K2231" t="str">
            <v>Όχι</v>
          </cell>
          <cell r="L2231" t="str">
            <v>ΌΧΙ</v>
          </cell>
          <cell r="O2231" t="str">
            <v/>
          </cell>
        </row>
        <row r="2232">
          <cell r="D2232" t="str">
            <v>ΠΥΡΗΝΟΚΑΡΠΑ66308</v>
          </cell>
          <cell r="E2232" t="str">
            <v>ΡΟΔΑΚΙΝΑ ΚΟΥΪΝ ΚΡΕΣΤ</v>
          </cell>
          <cell r="F2232" t="str">
            <v>B_4_1_1_1</v>
          </cell>
          <cell r="G2232" t="str">
            <v>Φυτείες για παραγωγή φρούτων εύκρατης προέλευσης</v>
          </cell>
          <cell r="H2232">
            <v>6750</v>
          </cell>
          <cell r="J2232" t="str">
            <v>Ναι</v>
          </cell>
          <cell r="K2232" t="str">
            <v>Όχι</v>
          </cell>
          <cell r="L2232" t="str">
            <v>ΌΧΙ</v>
          </cell>
          <cell r="O2232" t="str">
            <v/>
          </cell>
        </row>
        <row r="2233">
          <cell r="D2233" t="str">
            <v>ΠΥΡΗΝΟΚΑΡΠΑ66309</v>
          </cell>
          <cell r="E2233" t="str">
            <v>ΡΟΔΑΚΙΝΑ ΡΟΥΜΠΙΡΙΤΣ</v>
          </cell>
          <cell r="F2233" t="str">
            <v>B_4_1_1_1</v>
          </cell>
          <cell r="G2233" t="str">
            <v>Φυτείες για παραγωγή φρούτων εύκρατης προέλευσης</v>
          </cell>
          <cell r="H2233">
            <v>6750</v>
          </cell>
          <cell r="J2233" t="str">
            <v>Ναι</v>
          </cell>
          <cell r="K2233" t="str">
            <v>Όχι</v>
          </cell>
          <cell r="L2233" t="str">
            <v>ΌΧΙ</v>
          </cell>
          <cell r="O2233" t="str">
            <v/>
          </cell>
        </row>
        <row r="2234">
          <cell r="D2234" t="str">
            <v>ΠΥΡΗΝΟΚΑΡΠΑ66310</v>
          </cell>
          <cell r="E2234" t="str">
            <v>ΡΟΔΑΚΙΝΑ ΚΙΝΕΖΙΚΑ</v>
          </cell>
          <cell r="F2234" t="str">
            <v>B_4_1_1_1</v>
          </cell>
          <cell r="G2234" t="str">
            <v>Φυτείες για παραγωγή φρούτων εύκρατης προέλευσης</v>
          </cell>
          <cell r="H2234">
            <v>6750</v>
          </cell>
          <cell r="J2234" t="str">
            <v>Ναι</v>
          </cell>
          <cell r="K2234" t="str">
            <v>Όχι</v>
          </cell>
          <cell r="L2234" t="str">
            <v>ΌΧΙ</v>
          </cell>
          <cell r="O2234" t="str">
            <v/>
          </cell>
        </row>
        <row r="2235">
          <cell r="D2235" t="str">
            <v>ΠΥΡΗΝΟΚΑΡΠΑ66311</v>
          </cell>
          <cell r="E2235" t="str">
            <v>ΡΟΔΑΚΙΝΑ RICH LADY</v>
          </cell>
          <cell r="F2235" t="str">
            <v>B_4_1_1_1</v>
          </cell>
          <cell r="G2235" t="str">
            <v>Φυτείες για παραγωγή φρούτων εύκρατης προέλευσης</v>
          </cell>
          <cell r="H2235">
            <v>6750</v>
          </cell>
          <cell r="J2235" t="str">
            <v>Ναι</v>
          </cell>
          <cell r="K2235" t="str">
            <v>Όχι</v>
          </cell>
          <cell r="L2235" t="str">
            <v>ΌΧΙ</v>
          </cell>
          <cell r="O2235" t="str">
            <v/>
          </cell>
        </row>
        <row r="2236">
          <cell r="D2236" t="str">
            <v>ΠΥΡΗΝΟΚΑΡΠΑ66312</v>
          </cell>
          <cell r="E2236" t="str">
            <v>ΡΟΔΑΚΙΝΑ ΛΕΜΟΝΑΤΑ</v>
          </cell>
          <cell r="F2236" t="str">
            <v>B_4_1_1_1</v>
          </cell>
          <cell r="G2236" t="str">
            <v>Φυτείες για παραγωγή φρούτων εύκρατης προέλευσης</v>
          </cell>
          <cell r="H2236">
            <v>6750</v>
          </cell>
          <cell r="J2236" t="str">
            <v>Ναι</v>
          </cell>
          <cell r="K2236" t="str">
            <v>Όχι</v>
          </cell>
          <cell r="L2236" t="str">
            <v>ΌΧΙ</v>
          </cell>
          <cell r="O2236" t="str">
            <v/>
          </cell>
        </row>
        <row r="2237">
          <cell r="D2237" t="str">
            <v>ΠΥΡΗΝΟΚΑΡΠΑ66313</v>
          </cell>
          <cell r="E2237" t="str">
            <v>ΡΟΔΑΚΙΝΑ ΓΚΛΑΝΤΙΣ</v>
          </cell>
          <cell r="F2237" t="str">
            <v>B_4_1_1_1</v>
          </cell>
          <cell r="G2237" t="str">
            <v>Φυτείες για παραγωγή φρούτων εύκρατης προέλευσης</v>
          </cell>
          <cell r="H2237">
            <v>6750</v>
          </cell>
          <cell r="J2237" t="str">
            <v>Ναι</v>
          </cell>
          <cell r="K2237" t="str">
            <v>Όχι</v>
          </cell>
          <cell r="L2237" t="str">
            <v>ΌΧΙ</v>
          </cell>
          <cell r="O2237" t="str">
            <v/>
          </cell>
        </row>
        <row r="2238">
          <cell r="D2238" t="str">
            <v>ΠΥΡΗΝΟΚΑΡΠΑ8127</v>
          </cell>
          <cell r="E2238" t="str">
            <v>ΚΕΡΑΣΙΕΣ Β</v>
          </cell>
          <cell r="F2238" t="str">
            <v>B_4_1_1_1</v>
          </cell>
          <cell r="G2238" t="str">
            <v>Φυτείες για παραγωγή φρούτων εύκρατης προέλευσης</v>
          </cell>
          <cell r="H2238">
            <v>6750</v>
          </cell>
          <cell r="J2238" t="str">
            <v>Ναι</v>
          </cell>
          <cell r="K2238" t="str">
            <v>Όχι</v>
          </cell>
          <cell r="L2238" t="str">
            <v>ΌΧΙ</v>
          </cell>
          <cell r="O2238" t="str">
            <v/>
          </cell>
        </row>
        <row r="2239">
          <cell r="D2239" t="str">
            <v>ΠΥΡΗΝΟΚΑΡΠΑ8129</v>
          </cell>
          <cell r="E2239" t="str">
            <v>ΡΟΔΑΚΙΝΙΕΣ Α</v>
          </cell>
          <cell r="F2239" t="str">
            <v>B_4_1_1_1</v>
          </cell>
          <cell r="G2239" t="str">
            <v>Φυτείες για παραγωγή φρούτων εύκρατης προέλευσης</v>
          </cell>
          <cell r="H2239">
            <v>6750</v>
          </cell>
          <cell r="J2239" t="str">
            <v>Ναι</v>
          </cell>
          <cell r="K2239" t="str">
            <v>Όχι</v>
          </cell>
          <cell r="L2239" t="str">
            <v>ΌΧΙ</v>
          </cell>
          <cell r="O2239" t="str">
            <v/>
          </cell>
        </row>
        <row r="2240">
          <cell r="D2240" t="str">
            <v>ΠΥΡΗΝΟΚΑΡΠΑ8221</v>
          </cell>
          <cell r="E2240" t="str">
            <v>ΒΕΡΙΚΟΚΙΕΣ ΜΕΤΑΠΟΙΗΣΗΣ</v>
          </cell>
          <cell r="F2240" t="str">
            <v>B_4_1_1_1</v>
          </cell>
          <cell r="G2240" t="str">
            <v>Φυτείες για παραγωγή φρούτων εύκρατης προέλευσης</v>
          </cell>
          <cell r="H2240">
            <v>6750</v>
          </cell>
          <cell r="J2240" t="str">
            <v>Ναι</v>
          </cell>
          <cell r="K2240" t="str">
            <v>Όχι</v>
          </cell>
          <cell r="L2240" t="str">
            <v>ΌΧΙ</v>
          </cell>
          <cell r="O2240" t="str">
            <v/>
          </cell>
        </row>
        <row r="2241">
          <cell r="D2241" t="str">
            <v>ΠΥΡΗΝΟΚΑΡΠΑ8502</v>
          </cell>
          <cell r="E2241" t="str">
            <v>ΞΗΡΑ ΜΗ ΜΕΤΑΠΟΙΗΜΕΝΑ ΔΑΜΑΣΚΗΝΑ</v>
          </cell>
          <cell r="F2241" t="str">
            <v>B_4_1_1_1</v>
          </cell>
          <cell r="G2241" t="str">
            <v>Φυτείες για παραγωγή φρούτων εύκρατης προέλευσης</v>
          </cell>
          <cell r="H2241">
            <v>6750</v>
          </cell>
          <cell r="J2241" t="str">
            <v>Ναι</v>
          </cell>
          <cell r="K2241" t="str">
            <v>Όχι</v>
          </cell>
          <cell r="L2241" t="str">
            <v>ΌΧΙ</v>
          </cell>
          <cell r="O2241" t="str">
            <v/>
          </cell>
        </row>
        <row r="2242">
          <cell r="D2242" t="str">
            <v>ΠΥΡΗΝΟΚΑΡΠΑ8544</v>
          </cell>
          <cell r="E2242" t="str">
            <v>ΡΟΔΑΚΙΝΑ - ΛΕΥΚΟΣΑΡΚΟ ΑΓΡΙΟ</v>
          </cell>
          <cell r="F2242" t="str">
            <v>B_4_1_1_1</v>
          </cell>
          <cell r="G2242" t="str">
            <v>Φυτείες για παραγωγή φρούτων εύκρατης προέλευσης</v>
          </cell>
          <cell r="H2242">
            <v>6750</v>
          </cell>
          <cell r="J2242" t="str">
            <v>Ναι</v>
          </cell>
          <cell r="K2242" t="str">
            <v>Όχι</v>
          </cell>
          <cell r="L2242" t="str">
            <v>ΌΧΙ</v>
          </cell>
          <cell r="O2242" t="str">
            <v/>
          </cell>
        </row>
        <row r="2243">
          <cell r="D2243" t="str">
            <v>ΠΥΡΗΝΟΚΑΡΠΑ8545</v>
          </cell>
          <cell r="E2243" t="str">
            <v>ΡΟΔΑΚΙΝΑ - ΚΟΝΤΟΝΙ ΝΑΟΥΣΑΣ</v>
          </cell>
          <cell r="F2243" t="str">
            <v>B_4_1_1_1</v>
          </cell>
          <cell r="G2243" t="str">
            <v>Φυτείες για παραγωγή φρούτων εύκρατης προέλευσης</v>
          </cell>
          <cell r="H2243">
            <v>6750</v>
          </cell>
          <cell r="J2243" t="str">
            <v>Ναι</v>
          </cell>
          <cell r="K2243" t="str">
            <v>Όχι</v>
          </cell>
          <cell r="L2243" t="str">
            <v>ΌΧΙ</v>
          </cell>
          <cell r="O2243" t="str">
            <v/>
          </cell>
        </row>
        <row r="2244">
          <cell r="D2244" t="str">
            <v>ΠΥΡΗΝΟΚΑΡΠΑ8603</v>
          </cell>
          <cell r="E2244" t="str">
            <v>ΝΕΚΤΑΡΙΝΙΕΣ Α</v>
          </cell>
          <cell r="F2244" t="str">
            <v>B_4_1_1_1</v>
          </cell>
          <cell r="G2244" t="str">
            <v>Φυτείες για παραγωγή φρούτων εύκρατης προέλευσης</v>
          </cell>
          <cell r="H2244">
            <v>6750</v>
          </cell>
          <cell r="J2244" t="str">
            <v>Ναι</v>
          </cell>
          <cell r="K2244" t="str">
            <v>Όχι</v>
          </cell>
          <cell r="L2244" t="str">
            <v>ΌΧΙ</v>
          </cell>
          <cell r="O2244" t="str">
            <v/>
          </cell>
        </row>
        <row r="2245">
          <cell r="D2245" t="str">
            <v>ΠΥΡΗΝΟΚΑΡΠΑ8605</v>
          </cell>
          <cell r="E2245" t="str">
            <v>ΒΕΡΥΚΟΚΙΕΣ ΜΕΤΑΠΟΙΗΣΗΣ</v>
          </cell>
          <cell r="F2245" t="str">
            <v>B_4_1_1_1</v>
          </cell>
          <cell r="G2245" t="str">
            <v>Φυτείες για παραγωγή φρούτων εύκρατης προέλευσης</v>
          </cell>
          <cell r="H2245">
            <v>6750</v>
          </cell>
          <cell r="J2245" t="str">
            <v>Ναι</v>
          </cell>
          <cell r="K2245" t="str">
            <v>Όχι</v>
          </cell>
          <cell r="L2245" t="str">
            <v>ΌΧΙ</v>
          </cell>
          <cell r="O2245" t="str">
            <v/>
          </cell>
        </row>
        <row r="2246">
          <cell r="D2246" t="str">
            <v>ΠΥΡΗΝΟΚΑΡΠΑ8607</v>
          </cell>
          <cell r="E2246" t="str">
            <v>ΚΟΡΟΜΗΛΙΕΣ-ΤΖΑΝΕΡΙΕΣ</v>
          </cell>
          <cell r="F2246" t="str">
            <v>B_4_1_1_1</v>
          </cell>
          <cell r="G2246" t="str">
            <v>Φυτείες για παραγωγή φρούτων εύκρατης προέλευσης</v>
          </cell>
          <cell r="H2246">
            <v>6750</v>
          </cell>
          <cell r="J2246" t="str">
            <v>Ναι</v>
          </cell>
          <cell r="K2246" t="str">
            <v>Όχι</v>
          </cell>
          <cell r="L2246" t="str">
            <v>ΌΧΙ</v>
          </cell>
          <cell r="O2246" t="str">
            <v/>
          </cell>
        </row>
        <row r="2247">
          <cell r="D2247" t="str">
            <v>ΠΥΡΗΝΟΚΑΡΠΑ8608</v>
          </cell>
          <cell r="E2247" t="str">
            <v>ΒΥΣΣΙΝΙΕΣ</v>
          </cell>
          <cell r="F2247" t="str">
            <v>B_4_1_1_1</v>
          </cell>
          <cell r="G2247" t="str">
            <v>Φυτείες για παραγωγή φρούτων εύκρατης προέλευσης</v>
          </cell>
          <cell r="H2247">
            <v>6750</v>
          </cell>
          <cell r="J2247" t="str">
            <v>Ναι</v>
          </cell>
          <cell r="K2247" t="str">
            <v>Όχι</v>
          </cell>
          <cell r="L2247" t="str">
            <v>ΌΧΙ</v>
          </cell>
          <cell r="O2247" t="str">
            <v/>
          </cell>
        </row>
        <row r="2248">
          <cell r="D2248" t="str">
            <v>ΠΥΡΗΝΟΚΑΡΠΑ8691</v>
          </cell>
          <cell r="E2248" t="str">
            <v>ΒΕΡΥΚΟΚΙΕΣ - ΙΚΑΡΙΑΣ</v>
          </cell>
          <cell r="F2248" t="str">
            <v>B_4_1_1_1</v>
          </cell>
          <cell r="G2248" t="str">
            <v>Φυτείες για παραγωγή φρούτων εύκρατης προέλευσης</v>
          </cell>
          <cell r="H2248">
            <v>6750</v>
          </cell>
          <cell r="J2248" t="str">
            <v>Ναι</v>
          </cell>
          <cell r="K2248" t="str">
            <v>Όχι</v>
          </cell>
          <cell r="L2248" t="str">
            <v>ΌΧΙ</v>
          </cell>
          <cell r="O2248" t="str">
            <v/>
          </cell>
        </row>
        <row r="2249">
          <cell r="D2249" t="str">
            <v>ΠΥΡΗΝΟΚΑΡΠΑ8692</v>
          </cell>
          <cell r="E2249" t="str">
            <v>ΒΕΡΥΚΟΚΙΕΣ - ΠΛΑΚΕΣ ΠΗΛΙΟΥ</v>
          </cell>
          <cell r="F2249" t="str">
            <v>B_4_1_1_1</v>
          </cell>
          <cell r="G2249" t="str">
            <v>Φυτείες για παραγωγή φρούτων εύκρατης προέλευσης</v>
          </cell>
          <cell r="H2249">
            <v>6750</v>
          </cell>
          <cell r="J2249" t="str">
            <v>Ναι</v>
          </cell>
          <cell r="K2249" t="str">
            <v>Όχι</v>
          </cell>
          <cell r="L2249" t="str">
            <v>ΌΧΙ</v>
          </cell>
          <cell r="O2249" t="str">
            <v/>
          </cell>
        </row>
        <row r="2250">
          <cell r="D2250" t="str">
            <v>ΠΥΡΗΝΟΚΑΡΠΑ8693</v>
          </cell>
          <cell r="E2250" t="str">
            <v>ΒΕΡΥΚΟΚΙΕΣ - ΠΛΑΚΕΣ ΣΕΡΡΩΝ</v>
          </cell>
          <cell r="F2250" t="str">
            <v>B_4_1_1_1</v>
          </cell>
          <cell r="G2250" t="str">
            <v>Φυτείες για παραγωγή φρούτων εύκρατης προέλευσης</v>
          </cell>
          <cell r="H2250">
            <v>6750</v>
          </cell>
          <cell r="J2250" t="str">
            <v>Ναι</v>
          </cell>
          <cell r="K2250" t="str">
            <v>Όχι</v>
          </cell>
          <cell r="L2250" t="str">
            <v>ΌΧΙ</v>
          </cell>
          <cell r="O2250" t="str">
            <v/>
          </cell>
        </row>
        <row r="2251">
          <cell r="D2251" t="str">
            <v>ΠΥΡΗΝΟΚΑΡΠΑ8694</v>
          </cell>
          <cell r="E2251" t="str">
            <v>ΒΕΡΥΚΟΚΙΕΣ - ΧΑΤΖΗΠΑΥΛΗ</v>
          </cell>
          <cell r="F2251" t="str">
            <v>B_4_1_1_1</v>
          </cell>
          <cell r="G2251" t="str">
            <v>Φυτείες για παραγωγή φρούτων εύκρατης προέλευσης</v>
          </cell>
          <cell r="H2251">
            <v>6750</v>
          </cell>
          <cell r="J2251" t="str">
            <v>Ναι</v>
          </cell>
          <cell r="K2251" t="str">
            <v>Όχι</v>
          </cell>
          <cell r="L2251" t="str">
            <v>ΌΧΙ</v>
          </cell>
          <cell r="O2251" t="str">
            <v/>
          </cell>
        </row>
        <row r="2252">
          <cell r="D2252" t="str">
            <v>ΠΥΡΗΝΟΚΑΡΠΑ8695</v>
          </cell>
          <cell r="E2252" t="str">
            <v>ΒΕΡΥΚΟΚΙΕΣ - ΤΖΕΡΤΖΕΛΑ ΠΗΛΙΟΥ</v>
          </cell>
          <cell r="F2252" t="str">
            <v>B_4_1_1_1</v>
          </cell>
          <cell r="G2252" t="str">
            <v>Φυτείες για παραγωγή φρούτων εύκρατης προέλευσης</v>
          </cell>
          <cell r="H2252">
            <v>6750</v>
          </cell>
          <cell r="J2252" t="str">
            <v>Ναι</v>
          </cell>
          <cell r="K2252" t="str">
            <v>Όχι</v>
          </cell>
          <cell r="L2252" t="str">
            <v>ΌΧΙ</v>
          </cell>
          <cell r="O2252" t="str">
            <v/>
          </cell>
        </row>
        <row r="2253">
          <cell r="D2253" t="str">
            <v>ΠΥΡΗΝΟΚΑΡΠΑ8696</v>
          </cell>
          <cell r="E2253" t="str">
            <v>ΒΕΡΥΚΟΚΙΕΣ- ΙΚΑΡΙΑΣ</v>
          </cell>
          <cell r="F2253" t="str">
            <v>B_4_1_1_1</v>
          </cell>
          <cell r="G2253" t="str">
            <v>Φυτείες για παραγωγή φρούτων εύκρατης προέλευσης</v>
          </cell>
          <cell r="H2253">
            <v>6750</v>
          </cell>
          <cell r="J2253" t="str">
            <v>Ναι</v>
          </cell>
          <cell r="K2253" t="str">
            <v>Όχι</v>
          </cell>
          <cell r="L2253" t="str">
            <v>ΌΧΙ</v>
          </cell>
          <cell r="O2253" t="str">
            <v/>
          </cell>
        </row>
        <row r="2254">
          <cell r="D2254" t="str">
            <v>ΠΥΡΗΝΟΚΑΡΠΑ8697</v>
          </cell>
          <cell r="E2254" t="str">
            <v>ΒΕΡΥΚΟΚΙΕΣ - ΠΛΑΚΕΣ ΠΗΛΙΟΥ</v>
          </cell>
          <cell r="F2254" t="str">
            <v>B_4_1_1_1</v>
          </cell>
          <cell r="G2254" t="str">
            <v>Φυτείες για παραγωγή φρούτων εύκρατης προέλευσης</v>
          </cell>
          <cell r="H2254">
            <v>6750</v>
          </cell>
          <cell r="J2254" t="str">
            <v>Ναι</v>
          </cell>
          <cell r="K2254" t="str">
            <v>Όχι</v>
          </cell>
          <cell r="L2254" t="str">
            <v>ΌΧΙ</v>
          </cell>
          <cell r="O2254" t="str">
            <v/>
          </cell>
        </row>
        <row r="2255">
          <cell r="D2255" t="str">
            <v>ΠΥΡΗΝΟΚΑΡΠΑ8707</v>
          </cell>
          <cell r="E2255" t="str">
            <v>ΒΕΡΥΚΟΚΙΕΣ - ΧΑΤΖΗΠΑΥΛΗ</v>
          </cell>
          <cell r="F2255" t="str">
            <v>B_4_1_1_1</v>
          </cell>
          <cell r="G2255" t="str">
            <v>Φυτείες για παραγωγή φρούτων εύκρατης προέλευσης</v>
          </cell>
          <cell r="H2255">
            <v>6750</v>
          </cell>
          <cell r="J2255" t="str">
            <v>Ναι</v>
          </cell>
          <cell r="K2255" t="str">
            <v>Όχι</v>
          </cell>
          <cell r="L2255" t="str">
            <v>ΌΧΙ</v>
          </cell>
          <cell r="O2255" t="str">
            <v/>
          </cell>
        </row>
        <row r="2256">
          <cell r="D2256" t="str">
            <v>ΠΥΡΗΝΟΚΑΡΠΑ8708</v>
          </cell>
          <cell r="E2256" t="str">
            <v>ΒΕΡΥΚΟΚΙΕΣ - ΤΖΕΡΤΖΕΛΑ ΠΗΛΙΟΥ</v>
          </cell>
          <cell r="F2256" t="str">
            <v>B_4_1_1_1</v>
          </cell>
          <cell r="G2256" t="str">
            <v>Φυτείες για παραγωγή φρούτων εύκρατης προέλευσης</v>
          </cell>
          <cell r="H2256">
            <v>6750</v>
          </cell>
          <cell r="J2256" t="str">
            <v>Ναι</v>
          </cell>
          <cell r="K2256" t="str">
            <v>Όχι</v>
          </cell>
          <cell r="L2256" t="str">
            <v>ΌΧΙ</v>
          </cell>
          <cell r="O2256" t="str">
            <v/>
          </cell>
        </row>
        <row r="2257">
          <cell r="D2257" t="str">
            <v>ΠΥΡΗΝΟΚΑΡΠΑ8714</v>
          </cell>
          <cell r="E2257" t="str">
            <v>ΒΥΣΣΙΝΙΕΣ - ΠΗΛΙΟΥ</v>
          </cell>
          <cell r="F2257" t="str">
            <v>B_4_1_1_1</v>
          </cell>
          <cell r="G2257" t="str">
            <v>Φυτείες για παραγωγή φρούτων εύκρατης προέλευσης</v>
          </cell>
          <cell r="H2257">
            <v>6750</v>
          </cell>
          <cell r="J2257" t="str">
            <v>Ναι</v>
          </cell>
          <cell r="K2257" t="str">
            <v>Όχι</v>
          </cell>
          <cell r="L2257" t="str">
            <v>ΌΧΙ</v>
          </cell>
          <cell r="O2257" t="str">
            <v/>
          </cell>
        </row>
        <row r="2258">
          <cell r="D2258" t="str">
            <v>ΠΥΡΗΝΟΚΑΡΠΑ8715</v>
          </cell>
          <cell r="E2258" t="str">
            <v>ΔΑΜΑΣΚΗΝΙΕΣ - ΜΠΕΡΕΚΕΤΙΑ</v>
          </cell>
          <cell r="F2258" t="str">
            <v>B_4_1_1_1</v>
          </cell>
          <cell r="G2258" t="str">
            <v>Φυτείες για παραγωγή φρούτων εύκρατης προέλευσης</v>
          </cell>
          <cell r="H2258">
            <v>6750</v>
          </cell>
          <cell r="J2258" t="str">
            <v>Ναι</v>
          </cell>
          <cell r="K2258" t="str">
            <v>Όχι</v>
          </cell>
          <cell r="L2258" t="str">
            <v>ΌΧΙ</v>
          </cell>
          <cell r="O2258" t="str">
            <v/>
          </cell>
        </row>
        <row r="2259">
          <cell r="D2259" t="str">
            <v>ΠΥΡΗΝΟΚΑΡΠΑ8716</v>
          </cell>
          <cell r="E2259" t="str">
            <v>ΔΑΜΑΣΚΗΝΙΕΣ - ΓΑΙΔΟΥΡΟΔΑΜΑΣΚΗΝΟ</v>
          </cell>
          <cell r="F2259" t="str">
            <v>B_4_1_1_1</v>
          </cell>
          <cell r="G2259" t="str">
            <v>Φυτείες για παραγωγή φρούτων εύκρατης προέλευσης</v>
          </cell>
          <cell r="H2259">
            <v>6750</v>
          </cell>
          <cell r="J2259" t="str">
            <v>Ναι</v>
          </cell>
          <cell r="K2259" t="str">
            <v>Όχι</v>
          </cell>
          <cell r="L2259" t="str">
            <v>ΌΧΙ</v>
          </cell>
          <cell r="O2259" t="str">
            <v/>
          </cell>
        </row>
        <row r="2260">
          <cell r="D2260" t="str">
            <v>ΠΥΡΗΝΟΚΑΡΠΑ8717</v>
          </cell>
          <cell r="E2260" t="str">
            <v>ΔΑΜΑΣΚΗΝΙΕΣ - ΚΟΙΛΑ</v>
          </cell>
          <cell r="F2260" t="str">
            <v>B_4_1_1_1</v>
          </cell>
          <cell r="G2260" t="str">
            <v>Φυτείες για παραγωγή φρούτων εύκρατης προέλευσης</v>
          </cell>
          <cell r="H2260">
            <v>6750</v>
          </cell>
          <cell r="J2260" t="str">
            <v>Ναι</v>
          </cell>
          <cell r="K2260" t="str">
            <v>Όχι</v>
          </cell>
          <cell r="L2260" t="str">
            <v>ΌΧΙ</v>
          </cell>
          <cell r="O2260" t="str">
            <v/>
          </cell>
        </row>
        <row r="2261">
          <cell r="D2261" t="str">
            <v>ΠΥΡΗΝΟΚΑΡΠΑ8718</v>
          </cell>
          <cell r="E2261" t="str">
            <v>ΔΑΜΑΣΚΗΝΙΕΣ - ΚΟΡΟΜΗΛΟΔΑΜΑΣΚΗΝΟ</v>
          </cell>
          <cell r="F2261" t="str">
            <v>B_4_1_1_1</v>
          </cell>
          <cell r="G2261" t="str">
            <v>Φυτείες για παραγωγή φρούτων εύκρατης προέλευσης</v>
          </cell>
          <cell r="H2261">
            <v>6750</v>
          </cell>
          <cell r="J2261" t="str">
            <v>Ναι</v>
          </cell>
          <cell r="K2261" t="str">
            <v>Όχι</v>
          </cell>
          <cell r="L2261" t="str">
            <v>ΌΧΙ</v>
          </cell>
          <cell r="O2261" t="str">
            <v/>
          </cell>
        </row>
        <row r="2262">
          <cell r="D2262" t="str">
            <v>ΠΥΡΗΝΟΚΑΡΠΑ8719</v>
          </cell>
          <cell r="E2262" t="str">
            <v>ΔΑΜΑΣΚΗΝΙΕΣ ΛΗΜΝΟΥ</v>
          </cell>
          <cell r="F2262" t="str">
            <v>B_4_1_1_1</v>
          </cell>
          <cell r="G2262" t="str">
            <v>Φυτείες για παραγωγή φρούτων εύκρατης προέλευσης</v>
          </cell>
          <cell r="H2262">
            <v>6750</v>
          </cell>
          <cell r="J2262" t="str">
            <v>Ναι</v>
          </cell>
          <cell r="K2262" t="str">
            <v>Όχι</v>
          </cell>
          <cell r="L2262" t="str">
            <v>ΌΧΙ</v>
          </cell>
          <cell r="O2262" t="str">
            <v/>
          </cell>
        </row>
        <row r="2263">
          <cell r="D2263" t="str">
            <v>ΠΥΡΗΝΟΚΑΡΠΑ8720</v>
          </cell>
          <cell r="E2263" t="str">
            <v>ΒΕΡΥΚΟΚΙΕΣ - ΠΛΑΚΕΣ ΣΕΡΡΩΝ</v>
          </cell>
          <cell r="F2263" t="str">
            <v>B_4_1_1_1</v>
          </cell>
          <cell r="G2263" t="str">
            <v>Φυτείες για παραγωγή φρούτων εύκρατης προέλευσης</v>
          </cell>
          <cell r="H2263">
            <v>6750</v>
          </cell>
          <cell r="J2263" t="str">
            <v>Ναι</v>
          </cell>
          <cell r="K2263" t="str">
            <v>Όχι</v>
          </cell>
          <cell r="L2263" t="str">
            <v>ΌΧΙ</v>
          </cell>
          <cell r="O2263" t="str">
            <v/>
          </cell>
        </row>
        <row r="2264">
          <cell r="D2264" t="str">
            <v>ΠΥΡΗΝΟΚΑΡΠΑ8728</v>
          </cell>
          <cell r="E2264" t="str">
            <v>ΚΕΡΑΣΙΑ - ΣΕΡΡΩΝ (ΜΑΥΡΟ)</v>
          </cell>
          <cell r="F2264" t="str">
            <v>B_4_1_1_1</v>
          </cell>
          <cell r="G2264" t="str">
            <v>Φυτείες για παραγωγή φρούτων εύκρατης προέλευσης</v>
          </cell>
          <cell r="H2264">
            <v>6750</v>
          </cell>
          <cell r="J2264" t="str">
            <v>Ναι</v>
          </cell>
          <cell r="K2264" t="str">
            <v>Όχι</v>
          </cell>
          <cell r="L2264" t="str">
            <v>ΌΧΙ</v>
          </cell>
          <cell r="O2264" t="str">
            <v/>
          </cell>
        </row>
        <row r="2265">
          <cell r="D2265" t="str">
            <v>ΠΥΡΗΝΟΚΑΡΠΑ8729</v>
          </cell>
          <cell r="E2265" t="str">
            <v>ΚΕΡΑΣΙΑ - ΛΕΥΚΟ ΙΩΑΝΝΙΝΩΝ</v>
          </cell>
          <cell r="F2265" t="str">
            <v>B_4_1_1_1</v>
          </cell>
          <cell r="G2265" t="str">
            <v>Φυτείες για παραγωγή φρούτων εύκρατης προέλευσης</v>
          </cell>
          <cell r="H2265">
            <v>6750</v>
          </cell>
          <cell r="J2265" t="str">
            <v>Ναι</v>
          </cell>
          <cell r="K2265" t="str">
            <v>Όχι</v>
          </cell>
          <cell r="L2265" t="str">
            <v>ΌΧΙ</v>
          </cell>
          <cell r="O2265" t="str">
            <v/>
          </cell>
        </row>
        <row r="2266">
          <cell r="D2266" t="str">
            <v>ΠΥΡΗΝΟΚΑΡΠΑ8730</v>
          </cell>
          <cell r="E2266" t="str">
            <v>ΚΕΡΑΣΙΑ - ΦΡΑΟΥΛΑ ΒΟΛΟΥ</v>
          </cell>
          <cell r="F2266" t="str">
            <v>B_4_1_1_1</v>
          </cell>
          <cell r="G2266" t="str">
            <v>Φυτείες για παραγωγή φρούτων εύκρατης προέλευσης</v>
          </cell>
          <cell r="H2266">
            <v>6750</v>
          </cell>
          <cell r="J2266" t="str">
            <v>Ναι</v>
          </cell>
          <cell r="K2266" t="str">
            <v>Όχι</v>
          </cell>
          <cell r="L2266" t="str">
            <v>ΌΧΙ</v>
          </cell>
          <cell r="O2266" t="str">
            <v/>
          </cell>
        </row>
        <row r="2267">
          <cell r="D2267" t="str">
            <v>ΠΥΡΗΝΟΚΑΡΠΑ8731</v>
          </cell>
          <cell r="E2267" t="str">
            <v>ΚΕΡΑΣΙΑ - ΤΡΑΓΑΝΑ ΑΓΙΑΣΟΥ</v>
          </cell>
          <cell r="F2267" t="str">
            <v>B_4_1_1_1</v>
          </cell>
          <cell r="G2267" t="str">
            <v>Φυτείες για παραγωγή φρούτων εύκρατης προέλευσης</v>
          </cell>
          <cell r="H2267">
            <v>6750</v>
          </cell>
          <cell r="J2267" t="str">
            <v>Ναι</v>
          </cell>
          <cell r="K2267" t="str">
            <v>Όχι</v>
          </cell>
          <cell r="L2267" t="str">
            <v>ΌΧΙ</v>
          </cell>
          <cell r="O2267" t="str">
            <v/>
          </cell>
        </row>
        <row r="2268">
          <cell r="D2268" t="str">
            <v>ΠΥΡΗΝΟΚΑΡΠΑ8732</v>
          </cell>
          <cell r="E2268" t="str">
            <v>ΚΕΡΑΣΙΑ - ΒΙΤΑΛΟΥ</v>
          </cell>
          <cell r="F2268" t="str">
            <v>B_4_1_1_1</v>
          </cell>
          <cell r="G2268" t="str">
            <v>Φυτείες για παραγωγή φρούτων εύκρατης προέλευσης</v>
          </cell>
          <cell r="H2268">
            <v>6750</v>
          </cell>
          <cell r="J2268" t="str">
            <v>Ναι</v>
          </cell>
          <cell r="K2268" t="str">
            <v>Όχι</v>
          </cell>
          <cell r="L2268" t="str">
            <v>ΌΧΙ</v>
          </cell>
          <cell r="O2268" t="str">
            <v/>
          </cell>
        </row>
        <row r="2269">
          <cell r="D2269" t="str">
            <v>ΠΥΡΗΝΟΚΑΡΠΑ8733</v>
          </cell>
          <cell r="E2269" t="str">
            <v>ΚΕΡΑΣΙΑ - ΠΡΩΙΜΟ ΚΗΦΙΣΙΑΣ</v>
          </cell>
          <cell r="F2269" t="str">
            <v>B_4_1_1_1</v>
          </cell>
          <cell r="G2269" t="str">
            <v>Φυτείες για παραγωγή φρούτων εύκρατης προέλευσης</v>
          </cell>
          <cell r="H2269">
            <v>6750</v>
          </cell>
          <cell r="J2269" t="str">
            <v>Ναι</v>
          </cell>
          <cell r="K2269" t="str">
            <v>Όχι</v>
          </cell>
          <cell r="L2269" t="str">
            <v>ΌΧΙ</v>
          </cell>
          <cell r="O2269" t="str">
            <v/>
          </cell>
        </row>
        <row r="2270">
          <cell r="D2270" t="str">
            <v>ΠΥΡΗΝΟΚΑΡΠΑ8734</v>
          </cell>
          <cell r="E2270" t="str">
            <v>ΚΕΡΑΣΙΑ - ΜΕΤΟΧΙΟΥ ΣΤΡΟΠΩΝΩΝ</v>
          </cell>
          <cell r="F2270" t="str">
            <v>B_4_1_1_1</v>
          </cell>
          <cell r="G2270" t="str">
            <v>Φυτείες για παραγωγή φρούτων εύκρατης προέλευσης</v>
          </cell>
          <cell r="H2270">
            <v>6750</v>
          </cell>
          <cell r="J2270" t="str">
            <v>Ναι</v>
          </cell>
          <cell r="K2270" t="str">
            <v>Όχι</v>
          </cell>
          <cell r="L2270" t="str">
            <v>ΌΧΙ</v>
          </cell>
          <cell r="O2270" t="str">
            <v/>
          </cell>
        </row>
        <row r="2271">
          <cell r="D2271" t="str">
            <v>ΠΥΡΗΝΟΚΑΡΠΑ8735</v>
          </cell>
          <cell r="E2271" t="str">
            <v>ΚΕΡΑΣΙΑ - ΓΕΡΟΠΛΑΤΑΝΟΥ</v>
          </cell>
          <cell r="F2271" t="str">
            <v>B_4_1_1_1</v>
          </cell>
          <cell r="G2271" t="str">
            <v>Φυτείες για παραγωγή φρούτων εύκρατης προέλευσης</v>
          </cell>
          <cell r="H2271">
            <v>6750</v>
          </cell>
          <cell r="J2271" t="str">
            <v>Ναι</v>
          </cell>
          <cell r="K2271" t="str">
            <v>Όχι</v>
          </cell>
          <cell r="L2271" t="str">
            <v>ΌΧΙ</v>
          </cell>
          <cell r="O2271" t="str">
            <v/>
          </cell>
        </row>
        <row r="2272">
          <cell r="D2272" t="str">
            <v>ΡΟΔΑΚΙΝΙΕΣ ΜΕΤΑΠΟΙΗΣΗΣ14039</v>
          </cell>
          <cell r="E2272" t="str">
            <v>ΡΟΔΑΚΙΝΑ ROMEA</v>
          </cell>
          <cell r="F2272" t="str">
            <v>B_4_1_1_1</v>
          </cell>
          <cell r="G2272" t="str">
            <v>Φυτείες για παραγωγή φρούτων εύκρατης προέλευσης</v>
          </cell>
          <cell r="H2272">
            <v>6750</v>
          </cell>
          <cell r="J2272" t="str">
            <v>Ναι</v>
          </cell>
          <cell r="K2272" t="str">
            <v>Όχι</v>
          </cell>
          <cell r="L2272" t="str">
            <v>ΌΧΙ</v>
          </cell>
          <cell r="O2272" t="str">
            <v/>
          </cell>
        </row>
        <row r="2273">
          <cell r="D2273" t="str">
            <v>ΡΟΔΑΚΙΝΙΕΣ ΜΕΤΑΠΟΙΗΣΗΣ14040</v>
          </cell>
          <cell r="E2273" t="str">
            <v>ΡΟΔΑΚΙΝΑ CATHERINA</v>
          </cell>
          <cell r="F2273" t="str">
            <v>B_4_1_1_1</v>
          </cell>
          <cell r="G2273" t="str">
            <v>Φυτείες για παραγωγή φρούτων εύκρατης προέλευσης</v>
          </cell>
          <cell r="H2273">
            <v>6750</v>
          </cell>
          <cell r="J2273" t="str">
            <v>Ναι</v>
          </cell>
          <cell r="K2273" t="str">
            <v>Όχι</v>
          </cell>
          <cell r="L2273" t="str">
            <v>ΌΧΙ</v>
          </cell>
          <cell r="O2273" t="str">
            <v/>
          </cell>
        </row>
        <row r="2274">
          <cell r="D2274" t="str">
            <v>ΡΟΔΑΚΙΝΙΕΣ ΜΕΤΑΠΟΙΗΣΗΣ14041</v>
          </cell>
          <cell r="E2274" t="str">
            <v>ΡΟΔΑΚΙΝΑ FORTUNA</v>
          </cell>
          <cell r="F2274" t="str">
            <v>B_4_1_1_1</v>
          </cell>
          <cell r="G2274" t="str">
            <v>Φυτείες για παραγωγή φρούτων εύκρατης προέλευσης</v>
          </cell>
          <cell r="H2274">
            <v>6750</v>
          </cell>
          <cell r="J2274" t="str">
            <v>Ναι</v>
          </cell>
          <cell r="K2274" t="str">
            <v>Όχι</v>
          </cell>
          <cell r="L2274" t="str">
            <v>ΌΧΙ</v>
          </cell>
          <cell r="O2274" t="str">
            <v/>
          </cell>
        </row>
        <row r="2275">
          <cell r="D2275" t="str">
            <v>ΡΟΔΑΚΙΝΙΕΣ ΜΕΤΑΠΟΙΗΣΗΣ14042</v>
          </cell>
          <cell r="E2275" t="str">
            <v>ΡΟΔΑΚΙΝΑ LOADEL</v>
          </cell>
          <cell r="F2275" t="str">
            <v>B_4_1_1_1</v>
          </cell>
          <cell r="G2275" t="str">
            <v>Φυτείες για παραγωγή φρούτων εύκρατης προέλευσης</v>
          </cell>
          <cell r="H2275">
            <v>6750</v>
          </cell>
          <cell r="J2275" t="str">
            <v>Ναι</v>
          </cell>
          <cell r="K2275" t="str">
            <v>Όχι</v>
          </cell>
          <cell r="L2275" t="str">
            <v>ΌΧΙ</v>
          </cell>
          <cell r="O2275" t="str">
            <v/>
          </cell>
        </row>
        <row r="2276">
          <cell r="D2276" t="str">
            <v>ΡΟΔΑΚΙΝΙΕΣ ΜΕΤΑΠΟΙΗΣΗΣ14043</v>
          </cell>
          <cell r="E2276" t="str">
            <v>ΡΟΔΑΚΙΝΑ Ι.Φ.Δ.-Α37</v>
          </cell>
          <cell r="F2276" t="str">
            <v>B_4_1_1_1</v>
          </cell>
          <cell r="G2276" t="str">
            <v>Φυτείες για παραγωγή φρούτων εύκρατης προέλευσης</v>
          </cell>
          <cell r="H2276">
            <v>6750</v>
          </cell>
          <cell r="J2276" t="str">
            <v>Ναι</v>
          </cell>
          <cell r="K2276" t="str">
            <v>Όχι</v>
          </cell>
          <cell r="L2276" t="str">
            <v>ΌΧΙ</v>
          </cell>
          <cell r="O2276" t="str">
            <v/>
          </cell>
        </row>
        <row r="2277">
          <cell r="D2277" t="str">
            <v>ΡΟΔΑΚΙΝΙΕΣ ΜΕΤΑΠΟΙΗΣΗΣ14044</v>
          </cell>
          <cell r="E2277" t="str">
            <v>ΡΟΔΑΚΙΝΑ Ι.Φ.Δ.-ΙΒ42</v>
          </cell>
          <cell r="F2277" t="str">
            <v>B_4_1_1_1</v>
          </cell>
          <cell r="G2277" t="str">
            <v>Φυτείες για παραγωγή φρούτων εύκρατης προέλευσης</v>
          </cell>
          <cell r="H2277">
            <v>6750</v>
          </cell>
          <cell r="J2277" t="str">
            <v>Ναι</v>
          </cell>
          <cell r="K2277" t="str">
            <v>Όχι</v>
          </cell>
          <cell r="L2277" t="str">
            <v>ΌΧΙ</v>
          </cell>
          <cell r="O2277" t="str">
            <v/>
          </cell>
        </row>
        <row r="2278">
          <cell r="D2278" t="str">
            <v>ΡΟΔΑΚΙΝΙΕΣ ΜΕΤΑΠΟΙΗΣΗΣ14045</v>
          </cell>
          <cell r="E2278" t="str">
            <v>ΡΟΔΑΚΙΝΑ EVERTS</v>
          </cell>
          <cell r="F2278" t="str">
            <v>B_4_1_1_1</v>
          </cell>
          <cell r="G2278" t="str">
            <v>Φυτείες για παραγωγή φρούτων εύκρατης προέλευσης</v>
          </cell>
          <cell r="H2278">
            <v>6750</v>
          </cell>
          <cell r="J2278" t="str">
            <v>Ναι</v>
          </cell>
          <cell r="K2278" t="str">
            <v>Όχι</v>
          </cell>
          <cell r="L2278" t="str">
            <v>ΌΧΙ</v>
          </cell>
          <cell r="O2278" t="str">
            <v/>
          </cell>
        </row>
        <row r="2279">
          <cell r="D2279" t="str">
            <v>ΡΟΔΑΚΙΝΙΕΣ ΜΕΤΑΠΟΙΗΣΗΣ14046</v>
          </cell>
          <cell r="E2279" t="str">
            <v>ΡΟΔΑΚΙΝΑ Ι.Φ.Δ.-Ε45</v>
          </cell>
          <cell r="F2279" t="str">
            <v>B_4_1_1_1</v>
          </cell>
          <cell r="G2279" t="str">
            <v>Φυτείες για παραγωγή φρούτων εύκρατης προέλευσης</v>
          </cell>
          <cell r="H2279">
            <v>6750</v>
          </cell>
          <cell r="J2279" t="str">
            <v>Ναι</v>
          </cell>
          <cell r="K2279" t="str">
            <v>Όχι</v>
          </cell>
          <cell r="L2279" t="str">
            <v>ΌΧΙ</v>
          </cell>
          <cell r="O2279" t="str">
            <v/>
          </cell>
        </row>
        <row r="2280">
          <cell r="D2280" t="str">
            <v>ΡΟΔΑΚΙΝΙΕΣ ΜΕΤΑΠΟΙΗΣΗΣ14047</v>
          </cell>
          <cell r="E2280" t="str">
            <v>ΡΟΔΑΚΙΝΑ ANDROSS</v>
          </cell>
          <cell r="F2280" t="str">
            <v>B_4_1_1_1</v>
          </cell>
          <cell r="G2280" t="str">
            <v>Φυτείες για παραγωγή φρούτων εύκρατης προέλευσης</v>
          </cell>
          <cell r="H2280">
            <v>6750</v>
          </cell>
          <cell r="J2280" t="str">
            <v>Ναι</v>
          </cell>
          <cell r="K2280" t="str">
            <v>Όχι</v>
          </cell>
          <cell r="L2280" t="str">
            <v>ΌΧΙ</v>
          </cell>
          <cell r="O2280" t="str">
            <v/>
          </cell>
        </row>
        <row r="2281">
          <cell r="D2281" t="str">
            <v>ΡΟΔΑΚΙΝΙΕΣ ΜΕΤΑΠΟΙΗΣΗΣ14048</v>
          </cell>
          <cell r="E2281" t="str">
            <v>ΡΟΔΑΚΙΝΑ BOWEN</v>
          </cell>
          <cell r="F2281" t="str">
            <v>B_4_1_1_1</v>
          </cell>
          <cell r="G2281" t="str">
            <v>Φυτείες για παραγωγή φρούτων εύκρατης προέλευσης</v>
          </cell>
          <cell r="H2281">
            <v>6750</v>
          </cell>
          <cell r="J2281" t="str">
            <v>Ναι</v>
          </cell>
          <cell r="K2281" t="str">
            <v>Όχι</v>
          </cell>
          <cell r="L2281" t="str">
            <v>ΌΧΙ</v>
          </cell>
          <cell r="O2281" t="str">
            <v/>
          </cell>
        </row>
        <row r="2282">
          <cell r="D2282" t="str">
            <v>ΡΟΔΑΚΙΝΙΕΣ ΜΕΤΑΠΟΙΗΣΗΣ14049</v>
          </cell>
          <cell r="E2282" t="str">
            <v>ΡΟΔΑΚΙΝΑ MERRIAM</v>
          </cell>
          <cell r="F2282" t="str">
            <v>B_4_1_1_1</v>
          </cell>
          <cell r="G2282" t="str">
            <v>Φυτείες για παραγωγή φρούτων εύκρατης προέλευσης</v>
          </cell>
          <cell r="H2282">
            <v>6750</v>
          </cell>
          <cell r="J2282" t="str">
            <v>Ναι</v>
          </cell>
          <cell r="K2282" t="str">
            <v>Όχι</v>
          </cell>
          <cell r="L2282" t="str">
            <v>ΌΧΙ</v>
          </cell>
          <cell r="O2282" t="str">
            <v/>
          </cell>
        </row>
        <row r="2283">
          <cell r="D2283" t="str">
            <v>ΡΟΔΑΚΙΝΙΕΣ ΜΕΤΑΠΟΙΗΣΗΣ14050</v>
          </cell>
          <cell r="E2283" t="str">
            <v>ΡΟΔΑΚΙΝΑ VIVIAN</v>
          </cell>
          <cell r="F2283" t="str">
            <v>B_4_1_1_1</v>
          </cell>
          <cell r="G2283" t="str">
            <v>Φυτείες για παραγωγή φρούτων εύκρατης προέλευσης</v>
          </cell>
          <cell r="H2283">
            <v>6750</v>
          </cell>
          <cell r="J2283" t="str">
            <v>Ναι</v>
          </cell>
          <cell r="K2283" t="str">
            <v>Όχι</v>
          </cell>
          <cell r="L2283" t="str">
            <v>ΌΧΙ</v>
          </cell>
          <cell r="O2283" t="str">
            <v/>
          </cell>
        </row>
        <row r="2284">
          <cell r="D2284" t="str">
            <v>ΡΟΔΑΚΙΝΙΕΣ ΜΕΤΑΠΟΙΗΣΗΣ14051</v>
          </cell>
          <cell r="E2284" t="str">
            <v>ΡΟΔΑΚΙΝΑ VIVIAN ΜΕΤΑΛΛΑΓΗ</v>
          </cell>
          <cell r="F2284" t="str">
            <v>B_4_1_1_1</v>
          </cell>
          <cell r="G2284" t="str">
            <v>Φυτείες για παραγωγή φρούτων εύκρατης προέλευσης</v>
          </cell>
          <cell r="H2284">
            <v>6750</v>
          </cell>
          <cell r="J2284" t="str">
            <v>Ναι</v>
          </cell>
          <cell r="K2284" t="str">
            <v>Όχι</v>
          </cell>
          <cell r="L2284" t="str">
            <v>ΌΧΙ</v>
          </cell>
          <cell r="O2284" t="str">
            <v/>
          </cell>
        </row>
        <row r="2285">
          <cell r="D2285" t="str">
            <v>ΡΟΔΑΚΙΝΙΕΣ ΜΕΤΑΠΟΙΗΣΗΣ20201</v>
          </cell>
          <cell r="E2285" t="str">
            <v>ΡΟΔΑΚΙΝΑ ΚΑΤΕΡΙΝΑ</v>
          </cell>
          <cell r="F2285" t="str">
            <v>B_4_1_1_1</v>
          </cell>
          <cell r="G2285" t="str">
            <v>Φυτείες για παραγωγή φρούτων εύκρατης προέλευσης</v>
          </cell>
          <cell r="H2285">
            <v>6750</v>
          </cell>
          <cell r="J2285" t="str">
            <v>Ναι</v>
          </cell>
          <cell r="K2285" t="str">
            <v>Όχι</v>
          </cell>
          <cell r="L2285" t="str">
            <v>ΌΧΙ</v>
          </cell>
          <cell r="O2285" t="str">
            <v/>
          </cell>
        </row>
        <row r="2286">
          <cell r="D2286" t="str">
            <v>ΡΟΔΑΚΙΝΙΕΣ ΜΕΤΑΠΟΙΗΣΗΣ20202</v>
          </cell>
          <cell r="E2286" t="str">
            <v>ΡΟΔΑΚΙΝΑ ΦΟΡΤΟΥΝΑ</v>
          </cell>
          <cell r="F2286" t="str">
            <v>B_4_1_1_1</v>
          </cell>
          <cell r="G2286" t="str">
            <v>Φυτείες για παραγωγή φρούτων εύκρατης προέλευσης</v>
          </cell>
          <cell r="H2286">
            <v>6750</v>
          </cell>
          <cell r="J2286" t="str">
            <v>Ναι</v>
          </cell>
          <cell r="K2286" t="str">
            <v>Όχι</v>
          </cell>
          <cell r="L2286" t="str">
            <v>ΌΧΙ</v>
          </cell>
          <cell r="O2286" t="str">
            <v/>
          </cell>
        </row>
        <row r="2287">
          <cell r="D2287" t="str">
            <v>ΡΟΔΑΚΙΝΙΕΣ ΜΕΤΑΠΟΙΗΣΗΣ20203</v>
          </cell>
          <cell r="E2287" t="str">
            <v>ΡΟΔΑΚΙΝΑ ΛΟΑΝΤΕΛ</v>
          </cell>
          <cell r="F2287" t="str">
            <v>B_4_1_1_1</v>
          </cell>
          <cell r="G2287" t="str">
            <v>Φυτείες για παραγωγή φρούτων εύκρατης προέλευσης</v>
          </cell>
          <cell r="H2287">
            <v>6750</v>
          </cell>
          <cell r="J2287" t="str">
            <v>Ναι</v>
          </cell>
          <cell r="K2287" t="str">
            <v>Όχι</v>
          </cell>
          <cell r="L2287" t="str">
            <v>ΌΧΙ</v>
          </cell>
          <cell r="O2287" t="str">
            <v/>
          </cell>
        </row>
        <row r="2288">
          <cell r="D2288" t="str">
            <v>ΡΟΔΑΚΙΝΙΕΣ ΜΕΤΑΠΟΙΗΣΗΣ20204</v>
          </cell>
          <cell r="E2288" t="str">
            <v>ΡΟΔΑΚΙΝΑ ΜΠΕΙΜΠΙ ΓΚΟΛΝΤ Νο5</v>
          </cell>
          <cell r="F2288" t="str">
            <v>B_4_1_1_1</v>
          </cell>
          <cell r="G2288" t="str">
            <v>Φυτείες για παραγωγή φρούτων εύκρατης προέλευσης</v>
          </cell>
          <cell r="H2288">
            <v>6750</v>
          </cell>
          <cell r="J2288" t="str">
            <v>Ναι</v>
          </cell>
          <cell r="K2288" t="str">
            <v>Όχι</v>
          </cell>
          <cell r="L2288" t="str">
            <v>ΌΧΙ</v>
          </cell>
          <cell r="O2288" t="str">
            <v/>
          </cell>
        </row>
        <row r="2289">
          <cell r="D2289" t="str">
            <v>ΡΟΔΑΚΙΝΙΕΣ ΜΕΤΑΠΟΙΗΣΗΣ20205</v>
          </cell>
          <cell r="E2289" t="str">
            <v>ΡΟΔΑΚΙΝΑ ΜΠΕΙΜΠΙ ΓΚΟΛΝΤ Νο6</v>
          </cell>
          <cell r="F2289" t="str">
            <v>B_4_1_1_1</v>
          </cell>
          <cell r="G2289" t="str">
            <v>Φυτείες για παραγωγή φρούτων εύκρατης προέλευσης</v>
          </cell>
          <cell r="H2289">
            <v>6750</v>
          </cell>
          <cell r="J2289" t="str">
            <v>Ναι</v>
          </cell>
          <cell r="K2289" t="str">
            <v>Όχι</v>
          </cell>
          <cell r="L2289" t="str">
            <v>ΌΧΙ</v>
          </cell>
          <cell r="O2289" t="str">
            <v/>
          </cell>
        </row>
        <row r="2290">
          <cell r="D2290" t="str">
            <v>ΡΟΔΑΚΙΝΙΕΣ ΜΕΤΑΠΟΙΗΣΗΣ20206</v>
          </cell>
          <cell r="E2290" t="str">
            <v>ΡΟΔΑΚΙΝΑ ΒΙΒΙΑΝ</v>
          </cell>
          <cell r="F2290" t="str">
            <v>B_4_1_1_1</v>
          </cell>
          <cell r="G2290" t="str">
            <v>Φυτείες για παραγωγή φρούτων εύκρατης προέλευσης</v>
          </cell>
          <cell r="H2290">
            <v>6750</v>
          </cell>
          <cell r="J2290" t="str">
            <v>Ναι</v>
          </cell>
          <cell r="K2290" t="str">
            <v>Όχι</v>
          </cell>
          <cell r="L2290" t="str">
            <v>ΌΧΙ</v>
          </cell>
          <cell r="O2290" t="str">
            <v/>
          </cell>
        </row>
        <row r="2291">
          <cell r="D2291" t="str">
            <v>ΡΟΔΑΚΙΝΙΕΣ ΜΕΤΑΠΟΙΗΣΗΣ20207</v>
          </cell>
          <cell r="E2291" t="str">
            <v>ΡΟΔΑΚΙΝΑ ΝΤΙΞΟΝ</v>
          </cell>
          <cell r="F2291" t="str">
            <v>B_4_1_1_1</v>
          </cell>
          <cell r="G2291" t="str">
            <v>Φυτείες για παραγωγή φρούτων εύκρατης προέλευσης</v>
          </cell>
          <cell r="H2291">
            <v>6750</v>
          </cell>
          <cell r="J2291" t="str">
            <v>Ναι</v>
          </cell>
          <cell r="K2291" t="str">
            <v>Όχι</v>
          </cell>
          <cell r="L2291" t="str">
            <v>ΌΧΙ</v>
          </cell>
          <cell r="O2291" t="str">
            <v/>
          </cell>
        </row>
        <row r="2292">
          <cell r="D2292" t="str">
            <v>ΡΟΔΑΚΙΝΙΕΣ ΜΕΤΑΠΟΙΗΣΗΣ20208</v>
          </cell>
          <cell r="E2292" t="str">
            <v>ΡΟΔΑΚΙΝΑ ΜΠΟΟΝΕΝ</v>
          </cell>
          <cell r="F2292" t="str">
            <v>B_4_1_1_1</v>
          </cell>
          <cell r="G2292" t="str">
            <v>Φυτείες για παραγωγή φρούτων εύκρατης προέλευσης</v>
          </cell>
          <cell r="H2292">
            <v>6750</v>
          </cell>
          <cell r="J2292" t="str">
            <v>Ναι</v>
          </cell>
          <cell r="K2292" t="str">
            <v>Όχι</v>
          </cell>
          <cell r="L2292" t="str">
            <v>ΌΧΙ</v>
          </cell>
          <cell r="O2292" t="str">
            <v/>
          </cell>
        </row>
        <row r="2293">
          <cell r="D2293" t="str">
            <v>ΡΟΔΑΚΙΝΙΕΣ ΜΕΤΑΠΟΙΗΣΗΣ20209</v>
          </cell>
          <cell r="E2293" t="str">
            <v>ΡΟΔΑΚΙΝΑ ΑΝΤΡΟΣ</v>
          </cell>
          <cell r="F2293" t="str">
            <v>B_4_1_1_1</v>
          </cell>
          <cell r="G2293" t="str">
            <v>Φυτείες για παραγωγή φρούτων εύκρατης προέλευσης</v>
          </cell>
          <cell r="H2293">
            <v>6750</v>
          </cell>
          <cell r="J2293" t="str">
            <v>Ναι</v>
          </cell>
          <cell r="K2293" t="str">
            <v>Όχι</v>
          </cell>
          <cell r="L2293" t="str">
            <v>ΌΧΙ</v>
          </cell>
          <cell r="O2293" t="str">
            <v/>
          </cell>
        </row>
        <row r="2294">
          <cell r="D2294" t="str">
            <v>ΡΟΔΑΚΙΝΙΕΣ ΜΕΤΑΠΟΙΗΣΗΣ20210</v>
          </cell>
          <cell r="E2294" t="str">
            <v>ΡΟΔΑΚΙΝΑ ΓΙΟΥΓΚΕΡΜΑΝ</v>
          </cell>
          <cell r="F2294" t="str">
            <v>B_4_1_1_1</v>
          </cell>
          <cell r="G2294" t="str">
            <v>Φυτείες για παραγωγή φρούτων εύκρατης προέλευσης</v>
          </cell>
          <cell r="H2294">
            <v>6750</v>
          </cell>
          <cell r="J2294" t="str">
            <v>Ναι</v>
          </cell>
          <cell r="K2294" t="str">
            <v>Όχι</v>
          </cell>
          <cell r="L2294" t="str">
            <v>ΌΧΙ</v>
          </cell>
          <cell r="O2294" t="str">
            <v/>
          </cell>
        </row>
        <row r="2295">
          <cell r="D2295" t="str">
            <v>ΡΟΔΑΚΙΝΙΕΣ ΜΕΤΑΠΟΙΗΣΗΣ20211</v>
          </cell>
          <cell r="E2295" t="str">
            <v>ΡΟΔΑΚΙΝΑ ΚΑΡΟΛΙΝΑ</v>
          </cell>
          <cell r="F2295" t="str">
            <v>B_4_1_1_1</v>
          </cell>
          <cell r="G2295" t="str">
            <v>Φυτείες για παραγωγή φρούτων εύκρατης προέλευσης</v>
          </cell>
          <cell r="H2295">
            <v>6750</v>
          </cell>
          <cell r="J2295" t="str">
            <v>Ναι</v>
          </cell>
          <cell r="K2295" t="str">
            <v>Όχι</v>
          </cell>
          <cell r="L2295" t="str">
            <v>ΌΧΙ</v>
          </cell>
          <cell r="O2295" t="str">
            <v/>
          </cell>
        </row>
        <row r="2296">
          <cell r="D2296" t="str">
            <v>ΡΟΔΑΚΙΝΙΕΣ ΜΕΤΑΠΟΙΗΣΗΣ20212</v>
          </cell>
          <cell r="E2296" t="str">
            <v>ΡΟΔΑΚΙΝΑ ΚΛΑΜΠ</v>
          </cell>
          <cell r="F2296" t="str">
            <v>B_4_1_1_1</v>
          </cell>
          <cell r="G2296" t="str">
            <v>Φυτείες για παραγωγή φρούτων εύκρατης προέλευσης</v>
          </cell>
          <cell r="H2296">
            <v>6750</v>
          </cell>
          <cell r="J2296" t="str">
            <v>Ναι</v>
          </cell>
          <cell r="K2296" t="str">
            <v>Όχι</v>
          </cell>
          <cell r="L2296" t="str">
            <v>ΌΧΙ</v>
          </cell>
          <cell r="O2296" t="str">
            <v/>
          </cell>
        </row>
        <row r="2297">
          <cell r="D2297" t="str">
            <v>ΡΟΔΑΚΙΝΙΕΣ ΜΕΤΑΠΟΙΗΣΗΣ20213</v>
          </cell>
          <cell r="E2297" t="str">
            <v>ΡΟΔΑΚΙΝΑ ΧΑΛΦΟΡΝΤ</v>
          </cell>
          <cell r="F2297" t="str">
            <v>B_4_1_1_1</v>
          </cell>
          <cell r="G2297" t="str">
            <v>Φυτείες για παραγωγή φρούτων εύκρατης προέλευσης</v>
          </cell>
          <cell r="H2297">
            <v>6750</v>
          </cell>
          <cell r="J2297" t="str">
            <v>Ναι</v>
          </cell>
          <cell r="K2297" t="str">
            <v>Όχι</v>
          </cell>
          <cell r="L2297" t="str">
            <v>ΌΧΙ</v>
          </cell>
          <cell r="O2297" t="str">
            <v/>
          </cell>
        </row>
        <row r="2298">
          <cell r="D2298" t="str">
            <v>ΡΟΔΑΚΙΝΙΕΣ ΜΕΤΑΠΟΙΗΣΗΣ20214</v>
          </cell>
          <cell r="E2298" t="str">
            <v>ΡΟΔΑΚΙΝΑ ΕΒΕΡΤΣ</v>
          </cell>
          <cell r="F2298" t="str">
            <v>B_4_1_1_1</v>
          </cell>
          <cell r="G2298" t="str">
            <v>Φυτείες για παραγωγή φρούτων εύκρατης προέλευσης</v>
          </cell>
          <cell r="H2298">
            <v>6750</v>
          </cell>
          <cell r="J2298" t="str">
            <v>Ναι</v>
          </cell>
          <cell r="K2298" t="str">
            <v>Όχι</v>
          </cell>
          <cell r="L2298" t="str">
            <v>ΌΧΙ</v>
          </cell>
          <cell r="O2298" t="str">
            <v/>
          </cell>
        </row>
        <row r="2299">
          <cell r="D2299" t="str">
            <v>ΡΟΔΑΚΙΝΙΕΣ ΜΕΤΑΠΟΙΗΣΗΣ20215</v>
          </cell>
          <cell r="E2299" t="str">
            <v>ΡΟΔΑΚΙΝΑ ΣΤΑΡΝ</v>
          </cell>
          <cell r="F2299" t="str">
            <v>B_4_1_1_1</v>
          </cell>
          <cell r="G2299" t="str">
            <v>Φυτείες για παραγωγή φρούτων εύκρατης προέλευσης</v>
          </cell>
          <cell r="H2299">
            <v>6750</v>
          </cell>
          <cell r="J2299" t="str">
            <v>Ναι</v>
          </cell>
          <cell r="K2299" t="str">
            <v>Όχι</v>
          </cell>
          <cell r="L2299" t="str">
            <v>ΌΧΙ</v>
          </cell>
          <cell r="O2299" t="str">
            <v/>
          </cell>
        </row>
        <row r="2300">
          <cell r="D2300" t="str">
            <v>ΡΟΔΑΚΙΝΙΕΣ ΜΕΤΑΠΟΙΗΣΗΣ20216</v>
          </cell>
          <cell r="E2300" t="str">
            <v>ΡΟΔΑΚΙΝΑ ΣΙΕΣΤΑ</v>
          </cell>
          <cell r="F2300" t="str">
            <v>B_4_1_1_1</v>
          </cell>
          <cell r="G2300" t="str">
            <v>Φυτείες για παραγωγή φρούτων εύκρατης προέλευσης</v>
          </cell>
          <cell r="H2300">
            <v>6750</v>
          </cell>
          <cell r="J2300" t="str">
            <v>Ναι</v>
          </cell>
          <cell r="K2300" t="str">
            <v>Όχι</v>
          </cell>
          <cell r="L2300" t="str">
            <v>ΌΧΙ</v>
          </cell>
          <cell r="O2300" t="str">
            <v/>
          </cell>
        </row>
        <row r="2301">
          <cell r="D2301" t="str">
            <v>ΡΟΔΑΚΙΝΙΕΣ ΜΕΤΑΠΟΙΗΣΗΣ20218</v>
          </cell>
          <cell r="E2301" t="str">
            <v>ΡΟΔΑΚΙΝΑ ΚΑΡΣΟΝ</v>
          </cell>
          <cell r="F2301" t="str">
            <v>B_4_1_1_1</v>
          </cell>
          <cell r="G2301" t="str">
            <v>Φυτείες για παραγωγή φρούτων εύκρατης προέλευσης</v>
          </cell>
          <cell r="H2301">
            <v>6750</v>
          </cell>
          <cell r="J2301" t="str">
            <v>Ναι</v>
          </cell>
          <cell r="K2301" t="str">
            <v>Όχι</v>
          </cell>
          <cell r="L2301" t="str">
            <v>ΌΧΙ</v>
          </cell>
          <cell r="O2301" t="str">
            <v/>
          </cell>
        </row>
        <row r="2302">
          <cell r="D2302" t="str">
            <v>ΡΟΔΑΚΙΝΙΕΣ ΜΕΤΑΠΟΙΗΣΗΣ20219</v>
          </cell>
          <cell r="E2302" t="str">
            <v>ΡΟΔΑΚΙΝΑ ΓΚΟΛΝΤΕΝ ΚΟΥΙΝ</v>
          </cell>
          <cell r="F2302" t="str">
            <v>B_4_1_1_1</v>
          </cell>
          <cell r="G2302" t="str">
            <v>Φυτείες για παραγωγή φρούτων εύκρατης προέλευσης</v>
          </cell>
          <cell r="H2302">
            <v>6750</v>
          </cell>
          <cell r="J2302" t="str">
            <v>Ναι</v>
          </cell>
          <cell r="K2302" t="str">
            <v>Όχι</v>
          </cell>
          <cell r="L2302" t="str">
            <v>ΌΧΙ</v>
          </cell>
          <cell r="O2302" t="str">
            <v/>
          </cell>
        </row>
        <row r="2303">
          <cell r="D2303" t="str">
            <v>ΡΟΔΑΚΙΝΙΕΣ ΜΕΤΑΠΟΙΗΣΗΣ20220</v>
          </cell>
          <cell r="E2303" t="str">
            <v>ΡΟΔΑΚΙΝΑ ΧΕΡΙΝΓΚΤΟΝ</v>
          </cell>
          <cell r="F2303" t="str">
            <v>B_4_1_1_1</v>
          </cell>
          <cell r="G2303" t="str">
            <v>Φυτείες για παραγωγή φρούτων εύκρατης προέλευσης</v>
          </cell>
          <cell r="H2303">
            <v>6750</v>
          </cell>
          <cell r="J2303" t="str">
            <v>Ναι</v>
          </cell>
          <cell r="K2303" t="str">
            <v>Όχι</v>
          </cell>
          <cell r="L2303" t="str">
            <v>ΌΧΙ</v>
          </cell>
          <cell r="O2303" t="str">
            <v/>
          </cell>
        </row>
        <row r="2304">
          <cell r="D2304" t="str">
            <v>ΡΟΔΑΚΙΝΙΕΣ ΜΕΤΑΠΟΙΗΣΗΣ20221</v>
          </cell>
          <cell r="E2304" t="str">
            <v>ΡΟΔΑΚΙΝΑ ΣΑΝ ΛΟΡΕΝΖΟ</v>
          </cell>
          <cell r="F2304" t="str">
            <v>B_4_1_1_1</v>
          </cell>
          <cell r="G2304" t="str">
            <v>Φυτείες για παραγωγή φρούτων εύκρατης προέλευσης</v>
          </cell>
          <cell r="H2304">
            <v>6750</v>
          </cell>
          <cell r="J2304" t="str">
            <v>Ναι</v>
          </cell>
          <cell r="K2304" t="str">
            <v>Όχι</v>
          </cell>
          <cell r="L2304" t="str">
            <v>ΌΧΙ</v>
          </cell>
          <cell r="O2304" t="str">
            <v/>
          </cell>
        </row>
        <row r="2305">
          <cell r="D2305" t="str">
            <v>ΡΟΔΑΚΙΝΙΕΣ ΜΕΤΑΠΟΙΗΣΗΣ20222</v>
          </cell>
          <cell r="E2305" t="str">
            <v>ΡΟΔΑΚΙΝΑ ΜΥΡΙΑΜ</v>
          </cell>
          <cell r="F2305" t="str">
            <v>B_4_1_1_1</v>
          </cell>
          <cell r="G2305" t="str">
            <v>Φυτείες για παραγωγή φρούτων εύκρατης προέλευσης</v>
          </cell>
          <cell r="H2305">
            <v>6750</v>
          </cell>
          <cell r="J2305" t="str">
            <v>Ναι</v>
          </cell>
          <cell r="K2305" t="str">
            <v>Όχι</v>
          </cell>
          <cell r="L2305" t="str">
            <v>ΌΧΙ</v>
          </cell>
          <cell r="O2305" t="str">
            <v/>
          </cell>
        </row>
        <row r="2306">
          <cell r="D2306" t="str">
            <v>ΡΟΔΑΚΙΝΙΕΣ ΜΕΤΑΠΟΙΗΣΗΣ20223</v>
          </cell>
          <cell r="E2306" t="str">
            <v>ΡΟΔΑΚΙΝΑ ΣΟΝΟΡΑ</v>
          </cell>
          <cell r="F2306" t="str">
            <v>B_4_1_1_1</v>
          </cell>
          <cell r="G2306" t="str">
            <v>Φυτείες για παραγωγή φρούτων εύκρατης προέλευσης</v>
          </cell>
          <cell r="H2306">
            <v>6750</v>
          </cell>
          <cell r="J2306" t="str">
            <v>Ναι</v>
          </cell>
          <cell r="K2306" t="str">
            <v>Όχι</v>
          </cell>
          <cell r="L2306" t="str">
            <v>ΌΧΙ</v>
          </cell>
          <cell r="O2306" t="str">
            <v/>
          </cell>
        </row>
        <row r="2307">
          <cell r="D2307" t="str">
            <v>ΡΟΔΑΚΙΝΙΕΣ ΜΕΤΑΠΟΙΗΣΗΣ20224</v>
          </cell>
          <cell r="E2307" t="str">
            <v>ΡΟΔΑΚ. ΟΚΟΥΜΠΟ</v>
          </cell>
          <cell r="F2307" t="str">
            <v>B_4_1_1_1</v>
          </cell>
          <cell r="G2307" t="str">
            <v>Φυτείες για παραγωγή φρούτων εύκρατης προέλευσης</v>
          </cell>
          <cell r="H2307">
            <v>6750</v>
          </cell>
          <cell r="J2307" t="str">
            <v>Ναι</v>
          </cell>
          <cell r="K2307" t="str">
            <v>Όχι</v>
          </cell>
          <cell r="L2307" t="str">
            <v>ΌΧΙ</v>
          </cell>
          <cell r="O2307" t="str">
            <v/>
          </cell>
        </row>
        <row r="2308">
          <cell r="D2308" t="str">
            <v>ΡΟΔΑΚΙΝΙΕΣ ΜΕΤΑΠΟΙΗΣΗΣ20225</v>
          </cell>
          <cell r="E2308" t="str">
            <v>ΡΟΔΑΚΙΝΑ Α37</v>
          </cell>
          <cell r="F2308" t="str">
            <v>B_4_1_1_1</v>
          </cell>
          <cell r="G2308" t="str">
            <v>Φυτείες για παραγωγή φρούτων εύκρατης προέλευσης</v>
          </cell>
          <cell r="H2308">
            <v>6750</v>
          </cell>
          <cell r="J2308" t="str">
            <v>Ναι</v>
          </cell>
          <cell r="K2308" t="str">
            <v>Όχι</v>
          </cell>
          <cell r="L2308" t="str">
            <v>ΌΧΙ</v>
          </cell>
          <cell r="O2308" t="str">
            <v/>
          </cell>
        </row>
        <row r="2309">
          <cell r="D2309" t="str">
            <v>ΡΟΔΑΚΙΝΙΕΣ ΜΕΤΑΠΟΙΗΣΗΣ20226</v>
          </cell>
          <cell r="E2309" t="str">
            <v>ΡΟΔΑΚΙΝΑ ΚΑΛΙΦΟΡΝΙΑ</v>
          </cell>
          <cell r="F2309" t="str">
            <v>B_4_1_1_1</v>
          </cell>
          <cell r="G2309" t="str">
            <v>Φυτείες για παραγωγή φρούτων εύκρατης προέλευσης</v>
          </cell>
          <cell r="H2309">
            <v>6750</v>
          </cell>
          <cell r="J2309" t="str">
            <v>Ναι</v>
          </cell>
          <cell r="K2309" t="str">
            <v>Όχι</v>
          </cell>
          <cell r="L2309" t="str">
            <v>ΌΧΙ</v>
          </cell>
          <cell r="O2309" t="str">
            <v/>
          </cell>
        </row>
        <row r="2310">
          <cell r="D2310" t="str">
            <v>ΡΥΖΙ70001</v>
          </cell>
          <cell r="E2310" t="str">
            <v>ΡΥΖΙ RONALDO</v>
          </cell>
          <cell r="F2310" t="str">
            <v>B_1_1_7</v>
          </cell>
          <cell r="G2310" t="str">
            <v xml:space="preserve">Ρύζι </v>
          </cell>
          <cell r="H2310">
            <v>1569</v>
          </cell>
          <cell r="K2310" t="str">
            <v>Όχι</v>
          </cell>
          <cell r="L2310" t="str">
            <v>ΕΤ: Όχι, με βάση "ρύζι σποροπαραγωγής"</v>
          </cell>
          <cell r="O2310" t="str">
            <v/>
          </cell>
        </row>
        <row r="2311">
          <cell r="D2311" t="str">
            <v>ΡΥΖΙ70002</v>
          </cell>
          <cell r="E2311" t="str">
            <v>ΡΥΖΙ LUNA CL</v>
          </cell>
          <cell r="F2311" t="str">
            <v>B_1_1_7</v>
          </cell>
          <cell r="G2311" t="str">
            <v xml:space="preserve">Ρύζι </v>
          </cell>
          <cell r="H2311">
            <v>1569</v>
          </cell>
          <cell r="K2311" t="str">
            <v>Όχι</v>
          </cell>
          <cell r="L2311" t="str">
            <v>ΕΤ: Όχι, με βάση "ρύζι σποροπαραγωγής"</v>
          </cell>
          <cell r="O2311" t="str">
            <v/>
          </cell>
        </row>
        <row r="2312">
          <cell r="D2312" t="str">
            <v>ΡΥΖΙ70003</v>
          </cell>
          <cell r="E2312" t="str">
            <v>ΡΥΖΙ SAMBA</v>
          </cell>
          <cell r="F2312" t="str">
            <v>B_1_1_7</v>
          </cell>
          <cell r="G2312" t="str">
            <v xml:space="preserve">Ρύζι </v>
          </cell>
          <cell r="H2312">
            <v>1569</v>
          </cell>
          <cell r="K2312" t="str">
            <v>Όχι</v>
          </cell>
          <cell r="L2312" t="str">
            <v>ΕΤ: Όχι, με βάση "ρύζι σποροπαραγωγής"</v>
          </cell>
          <cell r="O2312" t="str">
            <v/>
          </cell>
        </row>
        <row r="2313">
          <cell r="D2313" t="str">
            <v>ΡΥΖΙ70004</v>
          </cell>
          <cell r="E2313" t="str">
            <v>ΡΥΖΙ GLORIA</v>
          </cell>
          <cell r="F2313" t="str">
            <v>B_1_1_7</v>
          </cell>
          <cell r="G2313" t="str">
            <v xml:space="preserve">Ρύζι </v>
          </cell>
          <cell r="H2313">
            <v>1569</v>
          </cell>
          <cell r="K2313" t="str">
            <v>Όχι</v>
          </cell>
          <cell r="L2313" t="str">
            <v>ΕΤ: Όχι, με βάση "ρύζι σποροπαραγωγής"</v>
          </cell>
          <cell r="O2313" t="str">
            <v/>
          </cell>
        </row>
        <row r="2314">
          <cell r="D2314" t="str">
            <v>ΡΥΖΙ70005</v>
          </cell>
          <cell r="E2314" t="str">
            <v>ΡΥΖΙ DUCATO</v>
          </cell>
          <cell r="F2314" t="str">
            <v>B_1_1_7</v>
          </cell>
          <cell r="G2314" t="str">
            <v xml:space="preserve">Ρύζι </v>
          </cell>
          <cell r="H2314">
            <v>1569</v>
          </cell>
          <cell r="K2314" t="str">
            <v>Όχι</v>
          </cell>
          <cell r="L2314" t="str">
            <v>ΕΤ: Όχι, με βάση "ρύζι σποροπαραγωγής"</v>
          </cell>
          <cell r="O2314" t="str">
            <v/>
          </cell>
        </row>
        <row r="2315">
          <cell r="D2315" t="str">
            <v>ΡΥΖΙ70006</v>
          </cell>
          <cell r="E2315" t="str">
            <v>ΡΥΖΙ ERIDANO</v>
          </cell>
          <cell r="F2315" t="str">
            <v>B_1_1_7</v>
          </cell>
          <cell r="G2315" t="str">
            <v xml:space="preserve">Ρύζι </v>
          </cell>
          <cell r="H2315">
            <v>1569</v>
          </cell>
          <cell r="K2315" t="str">
            <v>Όχι</v>
          </cell>
          <cell r="L2315" t="str">
            <v>ΕΤ: Όχι, με βάση "ρύζι σποροπαραγωγής"</v>
          </cell>
          <cell r="O2315" t="str">
            <v/>
          </cell>
        </row>
        <row r="2316">
          <cell r="D2316" t="str">
            <v>ΡΥΖΙ70007</v>
          </cell>
          <cell r="E2316" t="str">
            <v>ΡΥΖΙ FENICE</v>
          </cell>
          <cell r="F2316" t="str">
            <v>B_1_1_7</v>
          </cell>
          <cell r="G2316" t="str">
            <v xml:space="preserve">Ρύζι </v>
          </cell>
          <cell r="H2316">
            <v>1569</v>
          </cell>
          <cell r="K2316" t="str">
            <v>Όχι</v>
          </cell>
          <cell r="L2316" t="str">
            <v>ΕΤ: Όχι, με βάση "ρύζι σποροπαραγωγής"</v>
          </cell>
          <cell r="O2316" t="str">
            <v/>
          </cell>
        </row>
        <row r="2317">
          <cell r="D2317" t="str">
            <v>ΡΥΖΙ70008</v>
          </cell>
          <cell r="E2317" t="str">
            <v>ΡΥΖΙ SAGITTARIO</v>
          </cell>
          <cell r="F2317" t="str">
            <v>B_1_1_7</v>
          </cell>
          <cell r="G2317" t="str">
            <v xml:space="preserve">Ρύζι </v>
          </cell>
          <cell r="H2317">
            <v>1569</v>
          </cell>
          <cell r="K2317" t="str">
            <v>Όχι</v>
          </cell>
          <cell r="L2317" t="str">
            <v>ΕΤ: Όχι, με βάση "ρύζι σποροπαραγωγής"</v>
          </cell>
          <cell r="O2317" t="str">
            <v/>
          </cell>
        </row>
        <row r="2318">
          <cell r="D2318" t="str">
            <v>ΡΥΖΙ70009</v>
          </cell>
          <cell r="E2318" t="str">
            <v>ΡΥΖΙ VOLANO</v>
          </cell>
          <cell r="F2318" t="str">
            <v>B_1_1_7</v>
          </cell>
          <cell r="G2318" t="str">
            <v xml:space="preserve">Ρύζι </v>
          </cell>
          <cell r="H2318">
            <v>1569</v>
          </cell>
          <cell r="K2318" t="str">
            <v>Όχι</v>
          </cell>
          <cell r="L2318" t="str">
            <v>ΕΤ: Όχι, με βάση "ρύζι σποροπαραγωγής"</v>
          </cell>
          <cell r="O2318" t="str">
            <v/>
          </cell>
        </row>
        <row r="2319">
          <cell r="D2319" t="str">
            <v>ΡΥΖΙ70010</v>
          </cell>
          <cell r="E2319" t="str">
            <v>ΡΥΖΙ BALDO</v>
          </cell>
          <cell r="F2319" t="str">
            <v>B_1_1_7</v>
          </cell>
          <cell r="G2319" t="str">
            <v xml:space="preserve">Ρύζι </v>
          </cell>
          <cell r="H2319">
            <v>1569</v>
          </cell>
          <cell r="K2319" t="str">
            <v>Όχι</v>
          </cell>
          <cell r="L2319" t="str">
            <v>ΕΤ: Όχι, με βάση "ρύζι σποροπαραγωγής"</v>
          </cell>
          <cell r="O2319" t="str">
            <v/>
          </cell>
        </row>
        <row r="2320">
          <cell r="D2320" t="str">
            <v>ΡΥΖΙ70011</v>
          </cell>
          <cell r="E2320" t="str">
            <v>ΡΥΖΙ GLADIO</v>
          </cell>
          <cell r="F2320" t="str">
            <v>B_1_1_7</v>
          </cell>
          <cell r="G2320" t="str">
            <v xml:space="preserve">Ρύζι </v>
          </cell>
          <cell r="H2320">
            <v>1569</v>
          </cell>
          <cell r="K2320" t="str">
            <v>Όχι</v>
          </cell>
          <cell r="L2320" t="str">
            <v>ΕΤ: Όχι, με βάση "ρύζι σποροπαραγωγής"</v>
          </cell>
          <cell r="O2320" t="str">
            <v/>
          </cell>
        </row>
        <row r="2321">
          <cell r="D2321" t="str">
            <v>ΡΥΖΙ7101</v>
          </cell>
          <cell r="E2321" t="str">
            <v>ΡΥΖΙ ISPANIKI "A" (ΙΣΠΑΝΙΚΗ Α)</v>
          </cell>
          <cell r="F2321" t="str">
            <v>B_1_1_7</v>
          </cell>
          <cell r="G2321" t="str">
            <v xml:space="preserve">Ρύζι </v>
          </cell>
          <cell r="H2321">
            <v>1569</v>
          </cell>
          <cell r="K2321" t="str">
            <v>Όχι</v>
          </cell>
          <cell r="L2321" t="str">
            <v>ΕΤ: Όχι, με βάση "ρύζι σποροπαραγωγής"</v>
          </cell>
          <cell r="O2321" t="str">
            <v/>
          </cell>
        </row>
        <row r="2322">
          <cell r="D2322" t="str">
            <v>ΡΥΖΙ7102</v>
          </cell>
          <cell r="E2322" t="str">
            <v>ΡΥΖΙ MAKEDONIA (ΜΑΚΕΔΟΝΙΑ)</v>
          </cell>
          <cell r="F2322" t="str">
            <v>B_1_1_7</v>
          </cell>
          <cell r="G2322" t="str">
            <v xml:space="preserve">Ρύζι </v>
          </cell>
          <cell r="H2322">
            <v>1569</v>
          </cell>
          <cell r="K2322" t="str">
            <v>Όχι</v>
          </cell>
          <cell r="L2322" t="str">
            <v>ΕΤ: Όχι, με βάση "ρύζι σποροπαραγωγής"</v>
          </cell>
          <cell r="O2322" t="str">
            <v/>
          </cell>
        </row>
        <row r="2323">
          <cell r="D2323" t="str">
            <v>ΡΥΖΙ7103</v>
          </cell>
          <cell r="E2323" t="str">
            <v>ΡΥΖΙ AXIOS (ΑΞΙΟΣ)</v>
          </cell>
          <cell r="F2323" t="str">
            <v>B_1_1_7</v>
          </cell>
          <cell r="G2323" t="str">
            <v xml:space="preserve">Ρύζι </v>
          </cell>
          <cell r="H2323">
            <v>1569</v>
          </cell>
          <cell r="K2323" t="str">
            <v>Όχι</v>
          </cell>
          <cell r="L2323" t="str">
            <v>ΕΤ: Όχι, με βάση "ρύζι σποροπαραγωγής"</v>
          </cell>
          <cell r="O2323" t="str">
            <v/>
          </cell>
        </row>
        <row r="2324">
          <cell r="D2324" t="str">
            <v>ΡΥΖΙ7104</v>
          </cell>
          <cell r="E2324" t="str">
            <v>ΡΥΖΙ DION (ΔΙΟΝ)</v>
          </cell>
          <cell r="F2324" t="str">
            <v>B_1_1_7</v>
          </cell>
          <cell r="G2324" t="str">
            <v xml:space="preserve">Ρύζι </v>
          </cell>
          <cell r="H2324">
            <v>1569</v>
          </cell>
          <cell r="K2324" t="str">
            <v>Όχι</v>
          </cell>
          <cell r="L2324" t="str">
            <v>ΕΤ: Όχι, με βάση "ρύζι σποροπαραγωγής"</v>
          </cell>
          <cell r="O2324" t="str">
            <v/>
          </cell>
        </row>
        <row r="2325">
          <cell r="D2325" t="str">
            <v>ΡΥΖΙ7105</v>
          </cell>
          <cell r="E2325" t="str">
            <v>ΡΥΖΙ EVROPI (ΕΥΡΩΠΗ)</v>
          </cell>
          <cell r="F2325" t="str">
            <v>B_1_1_7</v>
          </cell>
          <cell r="G2325" t="str">
            <v xml:space="preserve">Ρύζι </v>
          </cell>
          <cell r="H2325">
            <v>1569</v>
          </cell>
          <cell r="K2325" t="str">
            <v>Όχι</v>
          </cell>
          <cell r="L2325" t="str">
            <v>ΕΤ: Όχι, με βάση "ρύζι σποροπαραγωγής"</v>
          </cell>
          <cell r="O2325" t="str">
            <v/>
          </cell>
        </row>
        <row r="2326">
          <cell r="D2326" t="str">
            <v>ΡΥΖΙ7106</v>
          </cell>
          <cell r="E2326" t="str">
            <v>ΡΥΖΙ MELAS (ΜΕΛΑΣ)</v>
          </cell>
          <cell r="F2326" t="str">
            <v>B_1_1_7</v>
          </cell>
          <cell r="G2326" t="str">
            <v xml:space="preserve">Ρύζι </v>
          </cell>
          <cell r="H2326">
            <v>1569</v>
          </cell>
          <cell r="K2326" t="str">
            <v>Όχι</v>
          </cell>
          <cell r="L2326" t="str">
            <v>ΕΤ: Όχι, με βάση "ρύζι σποροπαραγωγής"</v>
          </cell>
          <cell r="O2326" t="str">
            <v/>
          </cell>
        </row>
        <row r="2327">
          <cell r="D2327" t="str">
            <v>ΡΥΖΙ7107</v>
          </cell>
          <cell r="E2327" t="str">
            <v>ΡΥΖΙ ROXANI (ΡΩΞΑΝΗ)</v>
          </cell>
          <cell r="F2327" t="str">
            <v>B_1_1_7</v>
          </cell>
          <cell r="G2327" t="str">
            <v xml:space="preserve">Ρύζι </v>
          </cell>
          <cell r="H2327">
            <v>1569</v>
          </cell>
          <cell r="K2327" t="str">
            <v>Όχι</v>
          </cell>
          <cell r="L2327" t="str">
            <v>ΕΤ: Όχι, με βάση "ρύζι σποροπαραγωγής"</v>
          </cell>
          <cell r="O2327" t="str">
            <v/>
          </cell>
        </row>
        <row r="2328">
          <cell r="D2328" t="str">
            <v>ΡΥΖΙ7108</v>
          </cell>
          <cell r="E2328" t="str">
            <v>ΡΥΖΙ STRYMONAS (ΣΤΡΥΜΩΝΑΣ)</v>
          </cell>
          <cell r="F2328" t="str">
            <v>B_1_1_7</v>
          </cell>
          <cell r="G2328" t="str">
            <v xml:space="preserve">Ρύζι </v>
          </cell>
          <cell r="H2328">
            <v>1569</v>
          </cell>
          <cell r="K2328" t="str">
            <v>Όχι</v>
          </cell>
          <cell r="L2328" t="str">
            <v>ΕΤ: Όχι, με βάση "ρύζι σποροπαραγωγής"</v>
          </cell>
          <cell r="O2328" t="str">
            <v/>
          </cell>
        </row>
        <row r="2329">
          <cell r="D2329" t="str">
            <v>ΡΥΖΙ7109</v>
          </cell>
          <cell r="E2329" t="str">
            <v>PYZI ARIETE</v>
          </cell>
          <cell r="F2329" t="str">
            <v>B_1_1_7</v>
          </cell>
          <cell r="G2329" t="str">
            <v xml:space="preserve">Ρύζι </v>
          </cell>
          <cell r="H2329">
            <v>1569</v>
          </cell>
          <cell r="K2329" t="str">
            <v>Όχι</v>
          </cell>
          <cell r="L2329" t="str">
            <v>ΕΤ: Όχι, με βάση "ρύζι σποροπαραγωγής"</v>
          </cell>
          <cell r="O2329" t="str">
            <v/>
          </cell>
        </row>
        <row r="2330">
          <cell r="D2330" t="str">
            <v>ΡΥΖΙ7110</v>
          </cell>
          <cell r="E2330" t="str">
            <v>PYZI LIDO</v>
          </cell>
          <cell r="F2330" t="str">
            <v>B_1_1_7</v>
          </cell>
          <cell r="G2330" t="str">
            <v xml:space="preserve">Ρύζι </v>
          </cell>
          <cell r="H2330">
            <v>1569</v>
          </cell>
          <cell r="K2330" t="str">
            <v>Όχι</v>
          </cell>
          <cell r="L2330" t="str">
            <v>ΕΤ: Όχι, με βάση "ρύζι σποροπαραγωγής"</v>
          </cell>
          <cell r="O2330" t="str">
            <v/>
          </cell>
        </row>
        <row r="2331">
          <cell r="D2331" t="str">
            <v>ΡΥΖΙ7111</v>
          </cell>
          <cell r="E2331" t="str">
            <v>PYZI KORAL</v>
          </cell>
          <cell r="F2331" t="str">
            <v>B_1_1_7</v>
          </cell>
          <cell r="G2331" t="str">
            <v xml:space="preserve">Ρύζι </v>
          </cell>
          <cell r="H2331">
            <v>1569</v>
          </cell>
          <cell r="K2331" t="str">
            <v>Όχι</v>
          </cell>
          <cell r="L2331" t="str">
            <v>ΕΤ: Όχι, με βάση "ρύζι σποροπαραγωγής"</v>
          </cell>
          <cell r="O2331" t="str">
            <v/>
          </cell>
        </row>
        <row r="2332">
          <cell r="D2332" t="str">
            <v>ΡΥΖΙ7112</v>
          </cell>
          <cell r="E2332" t="str">
            <v>PYZI TURBO</v>
          </cell>
          <cell r="F2332" t="str">
            <v>B_1_1_7</v>
          </cell>
          <cell r="G2332" t="str">
            <v xml:space="preserve">Ρύζι </v>
          </cell>
          <cell r="H2332">
            <v>1569</v>
          </cell>
          <cell r="K2332" t="str">
            <v>Όχι</v>
          </cell>
          <cell r="L2332" t="str">
            <v>ΕΤ: Όχι, με βάση "ρύζι σποροπαραγωγής"</v>
          </cell>
          <cell r="O2332" t="str">
            <v/>
          </cell>
        </row>
        <row r="2333">
          <cell r="D2333" t="str">
            <v>ΡΥΖΙ7113</v>
          </cell>
          <cell r="E2333" t="str">
            <v>PYZI CHERVO</v>
          </cell>
          <cell r="F2333" t="str">
            <v>B_1_1_7</v>
          </cell>
          <cell r="G2333" t="str">
            <v xml:space="preserve">Ρύζι </v>
          </cell>
          <cell r="H2333">
            <v>1569</v>
          </cell>
          <cell r="K2333" t="str">
            <v>Όχι</v>
          </cell>
          <cell r="L2333" t="str">
            <v>ΕΤ: Όχι, με βάση "ρύζι σποροπαραγωγής"</v>
          </cell>
          <cell r="O2333" t="str">
            <v/>
          </cell>
        </row>
        <row r="2334">
          <cell r="D2334" t="str">
            <v>ΡΥΖΙ7114</v>
          </cell>
          <cell r="E2334" t="str">
            <v>PYZI ZENA</v>
          </cell>
          <cell r="F2334" t="str">
            <v>B_1_1_7</v>
          </cell>
          <cell r="G2334" t="str">
            <v xml:space="preserve">Ρύζι </v>
          </cell>
          <cell r="H2334">
            <v>1569</v>
          </cell>
          <cell r="K2334" t="str">
            <v>Όχι</v>
          </cell>
          <cell r="L2334" t="str">
            <v>ΕΤ: Όχι, με βάση "ρύζι σποροπαραγωγής"</v>
          </cell>
          <cell r="O2334" t="str">
            <v/>
          </cell>
        </row>
        <row r="2335">
          <cell r="D2335" t="str">
            <v>ΡΥΖΙ7115</v>
          </cell>
          <cell r="E2335" t="str">
            <v>PYZI SMERALDO</v>
          </cell>
          <cell r="F2335" t="str">
            <v>B_1_1_7</v>
          </cell>
          <cell r="G2335" t="str">
            <v xml:space="preserve">Ρύζι </v>
          </cell>
          <cell r="H2335">
            <v>1569</v>
          </cell>
          <cell r="K2335" t="str">
            <v>Όχι</v>
          </cell>
          <cell r="L2335" t="str">
            <v>ΕΤ: Όχι, με βάση "ρύζι σποροπαραγωγής"</v>
          </cell>
          <cell r="O2335" t="str">
            <v/>
          </cell>
        </row>
        <row r="2336">
          <cell r="D2336" t="str">
            <v>ΡΥΖΙ7116</v>
          </cell>
          <cell r="E2336" t="str">
            <v>PYZI THAIBONNET ή L-202</v>
          </cell>
          <cell r="F2336" t="str">
            <v>B_1_1_7</v>
          </cell>
          <cell r="G2336" t="str">
            <v xml:space="preserve">Ρύζι </v>
          </cell>
          <cell r="H2336">
            <v>1569</v>
          </cell>
          <cell r="K2336" t="str">
            <v>Όχι</v>
          </cell>
          <cell r="L2336" t="str">
            <v>ΕΤ: Όχι, με βάση "ρύζι σποροπαραγωγής"</v>
          </cell>
          <cell r="O2336" t="str">
            <v/>
          </cell>
        </row>
        <row r="2337">
          <cell r="D2337" t="str">
            <v>ΡΥΖΙ7117</v>
          </cell>
          <cell r="E2337" t="str">
            <v>ΡΥΖΙ ARCADIA</v>
          </cell>
          <cell r="F2337" t="str">
            <v>B_1_1_7</v>
          </cell>
          <cell r="G2337" t="str">
            <v xml:space="preserve">Ρύζι </v>
          </cell>
          <cell r="H2337">
            <v>1569</v>
          </cell>
          <cell r="K2337" t="str">
            <v>Όχι</v>
          </cell>
          <cell r="L2337" t="str">
            <v>ΕΤ: Όχι, με βάση "ρύζι σποροπαραγωγής"</v>
          </cell>
          <cell r="O2337" t="str">
            <v/>
          </cell>
        </row>
        <row r="2338">
          <cell r="D2338" t="str">
            <v>ΡΥΖΙ7118</v>
          </cell>
          <cell r="E2338" t="str">
            <v>ΡΥΖΙ COCO</v>
          </cell>
          <cell r="F2338" t="str">
            <v>B_1_1_7</v>
          </cell>
          <cell r="G2338" t="str">
            <v xml:space="preserve">Ρύζι </v>
          </cell>
          <cell r="H2338">
            <v>1569</v>
          </cell>
          <cell r="K2338" t="str">
            <v>Όχι</v>
          </cell>
          <cell r="L2338" t="str">
            <v>ΕΤ: Όχι, με βάση "ρύζι σποροπαραγωγής"</v>
          </cell>
          <cell r="O2338" t="str">
            <v/>
          </cell>
        </row>
        <row r="2339">
          <cell r="D2339" t="str">
            <v>ΡΥΖΙ7119</v>
          </cell>
          <cell r="E2339" t="str">
            <v>ΡΥΖΙ COSMIC</v>
          </cell>
          <cell r="F2339" t="str">
            <v>B_1_1_7</v>
          </cell>
          <cell r="G2339" t="str">
            <v xml:space="preserve">Ρύζι </v>
          </cell>
          <cell r="H2339">
            <v>1569</v>
          </cell>
          <cell r="K2339" t="str">
            <v>Όχι</v>
          </cell>
          <cell r="L2339" t="str">
            <v>ΕΤ: Όχι, με βάση "ρύζι σποροπαραγωγής"</v>
          </cell>
          <cell r="O2339" t="str">
            <v/>
          </cell>
        </row>
        <row r="2340">
          <cell r="D2340" t="str">
            <v>ΡΥΖΙ7120</v>
          </cell>
          <cell r="E2340" t="str">
            <v>ΡΥΖΙ EDEN</v>
          </cell>
          <cell r="F2340" t="str">
            <v>B_1_1_7</v>
          </cell>
          <cell r="G2340" t="str">
            <v xml:space="preserve">Ρύζι </v>
          </cell>
          <cell r="H2340">
            <v>1569</v>
          </cell>
          <cell r="K2340" t="str">
            <v>Όχι</v>
          </cell>
          <cell r="L2340" t="str">
            <v>ΕΤ: Όχι, με βάση "ρύζι σποροπαραγωγής"</v>
          </cell>
          <cell r="O2340" t="str">
            <v/>
          </cell>
        </row>
        <row r="2341">
          <cell r="D2341" t="str">
            <v>ΡΥΖΙ7121</v>
          </cell>
          <cell r="E2341" t="str">
            <v>ΡΥΖΙ FILIRA</v>
          </cell>
          <cell r="F2341" t="str">
            <v>B_1_1_7</v>
          </cell>
          <cell r="G2341" t="str">
            <v xml:space="preserve">Ρύζι </v>
          </cell>
          <cell r="H2341">
            <v>1569</v>
          </cell>
          <cell r="K2341" t="str">
            <v>Όχι</v>
          </cell>
          <cell r="L2341" t="str">
            <v>ΕΤ: Όχι, με βάση "ρύζι σποροπαραγωγής"</v>
          </cell>
          <cell r="O2341" t="str">
            <v/>
          </cell>
        </row>
        <row r="2342">
          <cell r="D2342" t="str">
            <v>ΡΥΖΙ7122</v>
          </cell>
          <cell r="E2342" t="str">
            <v>ΡΥΖΙ KIR</v>
          </cell>
          <cell r="F2342" t="str">
            <v>B_1_1_7</v>
          </cell>
          <cell r="G2342" t="str">
            <v xml:space="preserve">Ρύζι </v>
          </cell>
          <cell r="H2342">
            <v>1569</v>
          </cell>
          <cell r="K2342" t="str">
            <v>Όχι</v>
          </cell>
          <cell r="L2342" t="str">
            <v>ΕΤ: Όχι, με βάση "ρύζι σποροπαραγωγής"</v>
          </cell>
          <cell r="O2342" t="str">
            <v/>
          </cell>
        </row>
        <row r="2343">
          <cell r="D2343" t="str">
            <v>ΡΥΖΙ7123</v>
          </cell>
          <cell r="E2343" t="str">
            <v>ΡΥΖΙ MISTIK</v>
          </cell>
          <cell r="F2343" t="str">
            <v>B_1_1_7</v>
          </cell>
          <cell r="G2343" t="str">
            <v xml:space="preserve">Ρύζι </v>
          </cell>
          <cell r="H2343">
            <v>1569</v>
          </cell>
          <cell r="K2343" t="str">
            <v>Όχι</v>
          </cell>
          <cell r="L2343" t="str">
            <v>ΕΤ: Όχι, με βάση "ρύζι σποροπαραγωγής"</v>
          </cell>
          <cell r="O2343" t="str">
            <v/>
          </cell>
        </row>
        <row r="2344">
          <cell r="D2344" t="str">
            <v>ΡΥΖΙ7124</v>
          </cell>
          <cell r="E2344" t="str">
            <v>ΡΥΖΙ MIURA</v>
          </cell>
          <cell r="F2344" t="str">
            <v>B_1_1_7</v>
          </cell>
          <cell r="G2344" t="str">
            <v xml:space="preserve">Ρύζι </v>
          </cell>
          <cell r="H2344">
            <v>1569</v>
          </cell>
          <cell r="K2344" t="str">
            <v>Όχι</v>
          </cell>
          <cell r="L2344" t="str">
            <v>ΕΤ: Όχι, με βάση "ρύζι σποροπαραγωγής"</v>
          </cell>
          <cell r="O2344" t="str">
            <v/>
          </cell>
        </row>
        <row r="2345">
          <cell r="D2345" t="str">
            <v>ΡΥΖΙ7125</v>
          </cell>
          <cell r="E2345" t="str">
            <v>ΡΥΖΙ NIKI</v>
          </cell>
          <cell r="F2345" t="str">
            <v>B_1_1_7</v>
          </cell>
          <cell r="G2345" t="str">
            <v xml:space="preserve">Ρύζι </v>
          </cell>
          <cell r="H2345">
            <v>1569</v>
          </cell>
          <cell r="K2345" t="str">
            <v>Όχι</v>
          </cell>
          <cell r="L2345" t="str">
            <v>ΕΤ: Όχι, με βάση "ρύζι σποροπαραγωγής"</v>
          </cell>
          <cell r="O2345" t="str">
            <v/>
          </cell>
        </row>
        <row r="2346">
          <cell r="D2346" t="str">
            <v>ΡΥΖΙ7126</v>
          </cell>
          <cell r="E2346" t="str">
            <v>ΡΥΖΙ OLYMPIADA (ΟΛΥΜΠΙΑΔΑ)</v>
          </cell>
          <cell r="F2346" t="str">
            <v>B_1_1_7</v>
          </cell>
          <cell r="G2346" t="str">
            <v xml:space="preserve">Ρύζι </v>
          </cell>
          <cell r="H2346">
            <v>1569</v>
          </cell>
          <cell r="K2346" t="str">
            <v>Όχι</v>
          </cell>
          <cell r="L2346" t="str">
            <v>ΕΤ: Όχι, με βάση "ρύζι σποροπαραγωγής"</v>
          </cell>
          <cell r="O2346" t="str">
            <v/>
          </cell>
        </row>
        <row r="2347">
          <cell r="D2347" t="str">
            <v>ΡΥΖΙ7127</v>
          </cell>
          <cell r="E2347" t="str">
            <v>ΡΥΖΙ REA (ΡΕΑ)</v>
          </cell>
          <cell r="F2347" t="str">
            <v>B_1_1_7</v>
          </cell>
          <cell r="G2347" t="str">
            <v xml:space="preserve">Ρύζι </v>
          </cell>
          <cell r="H2347">
            <v>1569</v>
          </cell>
          <cell r="K2347" t="str">
            <v>Όχι</v>
          </cell>
          <cell r="L2347" t="str">
            <v>ΕΤ: Όχι, με βάση "ρύζι σποροπαραγωγής"</v>
          </cell>
          <cell r="O2347" t="str">
            <v/>
          </cell>
        </row>
        <row r="2348">
          <cell r="D2348" t="str">
            <v>ΡΥΖΙ7128</v>
          </cell>
          <cell r="E2348" t="str">
            <v>ΡΥΖΙ ARISTOTELE</v>
          </cell>
          <cell r="F2348" t="str">
            <v>B_1_1_7</v>
          </cell>
          <cell r="G2348" t="str">
            <v xml:space="preserve">Ρύζι </v>
          </cell>
          <cell r="H2348">
            <v>1569</v>
          </cell>
          <cell r="K2348" t="str">
            <v>Όχι</v>
          </cell>
          <cell r="L2348" t="str">
            <v>ΕΤ: Όχι, με βάση "ρύζι σποροπαραγωγής"</v>
          </cell>
          <cell r="O2348" t="str">
            <v/>
          </cell>
        </row>
        <row r="2349">
          <cell r="D2349" t="str">
            <v>ΡΥΖΙ7129</v>
          </cell>
          <cell r="E2349" t="str">
            <v>ΡΥΖΙ ATENA</v>
          </cell>
          <cell r="F2349" t="str">
            <v>B_1_1_7</v>
          </cell>
          <cell r="G2349" t="str">
            <v xml:space="preserve">Ρύζι </v>
          </cell>
          <cell r="H2349">
            <v>1569</v>
          </cell>
          <cell r="K2349" t="str">
            <v>Όχι</v>
          </cell>
          <cell r="L2349" t="str">
            <v>ΕΤ: Όχι, με βάση "ρύζι σποροπαραγωγής"</v>
          </cell>
          <cell r="O2349" t="str">
            <v/>
          </cell>
        </row>
        <row r="2350">
          <cell r="D2350" t="str">
            <v>ΡΥΖΙ7130</v>
          </cell>
          <cell r="E2350" t="str">
            <v>ΡΥΖΙ JEFERSON</v>
          </cell>
          <cell r="F2350" t="str">
            <v>B_1_1_7</v>
          </cell>
          <cell r="G2350" t="str">
            <v xml:space="preserve">Ρύζι </v>
          </cell>
          <cell r="H2350">
            <v>1569</v>
          </cell>
          <cell r="K2350" t="str">
            <v>Όχι</v>
          </cell>
          <cell r="L2350" t="str">
            <v>ΕΤ: Όχι, με βάση "ρύζι σποροπαραγωγής"</v>
          </cell>
          <cell r="O2350" t="str">
            <v/>
          </cell>
        </row>
        <row r="2351">
          <cell r="D2351" t="str">
            <v>ΡΥΖΙ7131</v>
          </cell>
          <cell r="E2351" t="str">
            <v>ΡΥΖΙ ACHILLE</v>
          </cell>
          <cell r="F2351" t="str">
            <v>B_1_1_7</v>
          </cell>
          <cell r="G2351" t="str">
            <v xml:space="preserve">Ρύζι </v>
          </cell>
          <cell r="H2351">
            <v>1569</v>
          </cell>
          <cell r="K2351" t="str">
            <v>Όχι</v>
          </cell>
          <cell r="L2351" t="str">
            <v>ΕΤ: Όχι, με βάση "ρύζι σποροπαραγωγής"</v>
          </cell>
          <cell r="O2351" t="str">
            <v/>
          </cell>
        </row>
        <row r="2352">
          <cell r="D2352" t="str">
            <v>ΡΥΖΙ7140</v>
          </cell>
          <cell r="E2352" t="str">
            <v>ΡΥΖΙ ALEXANDROS</v>
          </cell>
          <cell r="F2352" t="str">
            <v>B_1_1_7</v>
          </cell>
          <cell r="G2352" t="str">
            <v xml:space="preserve">Ρύζι </v>
          </cell>
          <cell r="H2352">
            <v>1569</v>
          </cell>
          <cell r="K2352" t="str">
            <v>Όχι</v>
          </cell>
          <cell r="L2352" t="str">
            <v>ΕΤ: Όχι, με βάση "ρύζι σποροπαραγωγής"</v>
          </cell>
          <cell r="O2352" t="str">
            <v/>
          </cell>
        </row>
        <row r="2353">
          <cell r="D2353" t="str">
            <v>ΡΥΖΙ7144</v>
          </cell>
          <cell r="E2353" t="str">
            <v>ΡΥΖΙ  DIMITRA</v>
          </cell>
          <cell r="F2353" t="str">
            <v>B_1_1_7</v>
          </cell>
          <cell r="G2353" t="str">
            <v xml:space="preserve">Ρύζι </v>
          </cell>
          <cell r="H2353">
            <v>1569</v>
          </cell>
          <cell r="K2353" t="str">
            <v>Όχι</v>
          </cell>
          <cell r="L2353" t="str">
            <v>ΕΤ: Όχι, με βάση "ρύζι σποροπαραγωγής"</v>
          </cell>
          <cell r="O2353" t="str">
            <v/>
          </cell>
        </row>
        <row r="2354">
          <cell r="D2354" t="str">
            <v>ΡΥΖΙ7146</v>
          </cell>
          <cell r="E2354" t="str">
            <v>ΡΥΖΙ  GOLDEN RICE</v>
          </cell>
          <cell r="F2354" t="str">
            <v>B_1_1_7</v>
          </cell>
          <cell r="G2354" t="str">
            <v xml:space="preserve">Ρύζι </v>
          </cell>
          <cell r="H2354">
            <v>1569</v>
          </cell>
          <cell r="K2354" t="str">
            <v>Όχι</v>
          </cell>
          <cell r="L2354" t="str">
            <v>ΕΤ: Όχι, με βάση "ρύζι σποροπαραγωγής"</v>
          </cell>
          <cell r="O2354" t="str">
            <v/>
          </cell>
        </row>
        <row r="2355">
          <cell r="D2355" t="str">
            <v>ΡΥΖΙ7147</v>
          </cell>
          <cell r="E2355" t="str">
            <v>ΡΥΖΙ KALLISTON</v>
          </cell>
          <cell r="F2355" t="str">
            <v>B_1_1_7</v>
          </cell>
          <cell r="G2355" t="str">
            <v xml:space="preserve">Ρύζι </v>
          </cell>
          <cell r="H2355">
            <v>1569</v>
          </cell>
          <cell r="K2355" t="str">
            <v>Όχι</v>
          </cell>
          <cell r="L2355" t="str">
            <v>ΕΤ: Όχι, με βάση "ρύζι σποροπαραγωγής"</v>
          </cell>
          <cell r="O2355" t="str">
            <v/>
          </cell>
        </row>
        <row r="2356">
          <cell r="D2356" t="str">
            <v>ΡΥΖΙ7199</v>
          </cell>
          <cell r="E2356" t="str">
            <v>ΡΥΖΙ ΛΟΙΠΕΣ ΠΟΙΚΙΛΙΕΣ</v>
          </cell>
          <cell r="F2356" t="str">
            <v>B_1_1_7</v>
          </cell>
          <cell r="G2356" t="str">
            <v xml:space="preserve">Ρύζι </v>
          </cell>
          <cell r="H2356">
            <v>1569</v>
          </cell>
          <cell r="K2356" t="str">
            <v>Όχι</v>
          </cell>
          <cell r="L2356" t="str">
            <v>ΕΤ: Όχι, με βάση "ρύζι σποροπαραγωγής"</v>
          </cell>
          <cell r="O2356" t="str">
            <v/>
          </cell>
        </row>
        <row r="2357">
          <cell r="D2357" t="str">
            <v>ΣΚΛΗΡΟΣ ΣΙΤΟΣ10200</v>
          </cell>
          <cell r="E2357" t="str">
            <v>ΣΙΤΟΣ ΣΚΛΗΡΟΣ ETTORE</v>
          </cell>
          <cell r="F2357" t="str">
            <v>B_1_1_2</v>
          </cell>
          <cell r="G2357" t="str">
            <v>Σκληρό σιτάρι</v>
          </cell>
          <cell r="H2357">
            <v>324</v>
          </cell>
          <cell r="K2357" t="str">
            <v>Ναι</v>
          </cell>
          <cell r="L2357" t="str">
            <v>ΝΑΙ</v>
          </cell>
          <cell r="O2357" t="str">
            <v/>
          </cell>
        </row>
        <row r="2358">
          <cell r="D2358" t="str">
            <v>ΣΚΛΗΡΟΣ ΣΙΤΟΣ10201</v>
          </cell>
          <cell r="E2358" t="str">
            <v>ΣΙΤΟΣ ΣΚΛΗΡΟΣ MARAKAS</v>
          </cell>
          <cell r="F2358" t="str">
            <v>B_1_1_2</v>
          </cell>
          <cell r="G2358" t="str">
            <v>Σκληρό σιτάρι</v>
          </cell>
          <cell r="H2358">
            <v>324</v>
          </cell>
          <cell r="K2358" t="str">
            <v>Ναι</v>
          </cell>
          <cell r="L2358" t="str">
            <v>ΝΑΙ</v>
          </cell>
          <cell r="O2358" t="str">
            <v/>
          </cell>
        </row>
        <row r="2359">
          <cell r="D2359" t="str">
            <v>ΣΚΛΗΡΟΣ ΣΙΤΟΣ10202</v>
          </cell>
          <cell r="E2359" t="str">
            <v>ΣΙΤΟΣ ΣΚΛΗΡΟΣ OURANIA</v>
          </cell>
          <cell r="F2359" t="str">
            <v>B_1_1_2</v>
          </cell>
          <cell r="G2359" t="str">
            <v>Σκληρό σιτάρι</v>
          </cell>
          <cell r="H2359">
            <v>324</v>
          </cell>
          <cell r="K2359" t="str">
            <v>Ναι</v>
          </cell>
          <cell r="L2359" t="str">
            <v>ΝΑΙ</v>
          </cell>
          <cell r="O2359" t="str">
            <v/>
          </cell>
        </row>
        <row r="2360">
          <cell r="D2360" t="str">
            <v>ΣΚΛΗΡΟΣ ΣΙΤΟΣ10203</v>
          </cell>
          <cell r="E2360" t="str">
            <v>ΣΙΤΟΣ ΣΚΛΗΡΟΣ CUSPIDE</v>
          </cell>
          <cell r="F2360" t="str">
            <v>B_1_1_2</v>
          </cell>
          <cell r="G2360" t="str">
            <v>Σκληρό σιτάρι</v>
          </cell>
          <cell r="H2360">
            <v>324</v>
          </cell>
          <cell r="K2360" t="str">
            <v>Ναι</v>
          </cell>
          <cell r="L2360" t="str">
            <v>ΝΑΙ</v>
          </cell>
          <cell r="O2360" t="str">
            <v/>
          </cell>
        </row>
        <row r="2361">
          <cell r="D2361" t="str">
            <v>ΣΚΛΗΡΟΣ ΣΙΤΟΣ10240</v>
          </cell>
          <cell r="E2361" t="str">
            <v>ΣΙΤΟΣ ΣΚΛΗΡΟΣ OVIDIO</v>
          </cell>
          <cell r="F2361" t="str">
            <v>B_1_1_2</v>
          </cell>
          <cell r="G2361" t="str">
            <v>Σκληρό σιτάρι</v>
          </cell>
          <cell r="H2361">
            <v>324</v>
          </cell>
          <cell r="K2361" t="str">
            <v>Ναι</v>
          </cell>
          <cell r="L2361" t="str">
            <v>ΝΑΙ</v>
          </cell>
          <cell r="O2361" t="str">
            <v/>
          </cell>
        </row>
        <row r="2362">
          <cell r="D2362" t="str">
            <v>ΣΚΛΗΡΟΣ ΣΙΤΟΣ10242</v>
          </cell>
          <cell r="E2362" t="str">
            <v>ΣΙΤΟΣ ΣΚΛΗΡΟΣ LATINUR</v>
          </cell>
          <cell r="F2362" t="str">
            <v>B_1_1_2</v>
          </cell>
          <cell r="G2362" t="str">
            <v>Σκληρό σιτάρι</v>
          </cell>
          <cell r="H2362">
            <v>324</v>
          </cell>
          <cell r="K2362" t="str">
            <v>Ναι</v>
          </cell>
          <cell r="L2362" t="str">
            <v>ΝΑΙ</v>
          </cell>
          <cell r="O2362" t="str">
            <v/>
          </cell>
        </row>
        <row r="2363">
          <cell r="D2363" t="str">
            <v>ΣΚΛΗΡΟΣ ΣΙΤΟΣ10305</v>
          </cell>
          <cell r="E2363" t="str">
            <v>ΣΙΤΟΣ ΣΚΛΗΡΟΣ EMILIO LEPIDO</v>
          </cell>
          <cell r="F2363" t="str">
            <v>B_1_1_2</v>
          </cell>
          <cell r="G2363" t="str">
            <v>Σκληρό σιτάρι</v>
          </cell>
          <cell r="H2363">
            <v>324</v>
          </cell>
          <cell r="K2363" t="str">
            <v>Ναι</v>
          </cell>
          <cell r="L2363" t="str">
            <v>ΝΑΙ</v>
          </cell>
          <cell r="O2363" t="str">
            <v/>
          </cell>
        </row>
        <row r="2364">
          <cell r="D2364" t="str">
            <v>ΣΚΛΗΡΟΣ ΣΙΤΟΣ2990</v>
          </cell>
          <cell r="E2364" t="str">
            <v>ΣΙΤΟΣ ΣΚΛΗΡΟΣ STEMI</v>
          </cell>
          <cell r="F2364" t="str">
            <v>B_1_1_2</v>
          </cell>
          <cell r="G2364" t="str">
            <v>Σκληρό σιτάρι</v>
          </cell>
          <cell r="H2364">
            <v>324</v>
          </cell>
          <cell r="K2364" t="str">
            <v>Ναι</v>
          </cell>
          <cell r="L2364" t="str">
            <v>ΝΑΙ</v>
          </cell>
          <cell r="O2364" t="str">
            <v/>
          </cell>
        </row>
        <row r="2365">
          <cell r="D2365" t="str">
            <v>ΣΚΛΗΡΟΣ ΣΙΤΟΣ7772</v>
          </cell>
          <cell r="E2365" t="str">
            <v>ΣΙΤΟΣ ΣΚΛΗΡΟΣ GATTUSO</v>
          </cell>
          <cell r="F2365" t="str">
            <v>B_1_1_2</v>
          </cell>
          <cell r="G2365" t="str">
            <v>Σκληρό σιτάρι</v>
          </cell>
          <cell r="H2365">
            <v>324</v>
          </cell>
          <cell r="K2365" t="str">
            <v>Ναι</v>
          </cell>
          <cell r="L2365" t="str">
            <v>ΝΑΙ</v>
          </cell>
          <cell r="O2365" t="str">
            <v/>
          </cell>
        </row>
        <row r="2366">
          <cell r="D2366" t="str">
            <v>ΣΚΛΗΡΟΣ ΣΙΤΟΣ7773</v>
          </cell>
          <cell r="E2366" t="str">
            <v>ΣΙΤΟΣ ΣΚΛΗΡΟΣ PORTODUR</v>
          </cell>
          <cell r="F2366" t="str">
            <v>B_1_1_2</v>
          </cell>
          <cell r="G2366" t="str">
            <v>Σκληρό σιτάρι</v>
          </cell>
          <cell r="H2366">
            <v>324</v>
          </cell>
          <cell r="K2366" t="str">
            <v>Ναι</v>
          </cell>
          <cell r="L2366" t="str">
            <v>ΝΑΙ</v>
          </cell>
          <cell r="O2366" t="str">
            <v/>
          </cell>
        </row>
        <row r="2367">
          <cell r="D2367" t="str">
            <v>ΣΚΛΗΡΟΣ ΣΙΤΟΣ7774</v>
          </cell>
          <cell r="E2367" t="str">
            <v>ΣΙΤΟΣ ΣΚΛΗΡΟΣ IRINTE</v>
          </cell>
          <cell r="F2367" t="str">
            <v>B_1_1_2</v>
          </cell>
          <cell r="G2367" t="str">
            <v>Σκληρό σιτάρι</v>
          </cell>
          <cell r="H2367">
            <v>324</v>
          </cell>
          <cell r="K2367" t="str">
            <v>Ναι</v>
          </cell>
          <cell r="L2367" t="str">
            <v>ΝΑΙ</v>
          </cell>
          <cell r="O2367" t="str">
            <v/>
          </cell>
        </row>
        <row r="2368">
          <cell r="D2368" t="str">
            <v>ΣΚΛΗΡΟΣ ΣΙΤΟΣ7776</v>
          </cell>
          <cell r="E2368" t="str">
            <v>ΣΙΤΟΣ ΜΟΝΟΚΟΚΚΟΣ ΚΑΠΛΟΥΤΖΑΣ</v>
          </cell>
          <cell r="F2368" t="str">
            <v>B_1_1_2</v>
          </cell>
          <cell r="G2368" t="str">
            <v>Σκληρό σιτάρι</v>
          </cell>
          <cell r="H2368">
            <v>324</v>
          </cell>
          <cell r="K2368" t="str">
            <v>Ναι</v>
          </cell>
          <cell r="L2368" t="str">
            <v>ΝΑΙ</v>
          </cell>
          <cell r="O2368" t="str">
            <v/>
          </cell>
        </row>
        <row r="2369">
          <cell r="D2369" t="str">
            <v>ΣΚΛΗΡΟΣ ΣΙΤΟΣ7801</v>
          </cell>
          <cell r="E2369" t="str">
            <v>ΣΙΤΟΣ ΣΚΛΗΡΟΣ ATHOS (ΑΘΩΣ)</v>
          </cell>
          <cell r="F2369" t="str">
            <v>B_1_1_2</v>
          </cell>
          <cell r="G2369" t="str">
            <v>Σκληρό σιτάρι</v>
          </cell>
          <cell r="H2369">
            <v>324</v>
          </cell>
          <cell r="K2369" t="str">
            <v>Ναι</v>
          </cell>
          <cell r="L2369" t="str">
            <v>ΝΑΙ</v>
          </cell>
          <cell r="O2369" t="str">
            <v/>
          </cell>
        </row>
        <row r="2370">
          <cell r="D2370" t="str">
            <v>ΣΚΛΗΡΟΣ ΣΙΤΟΣ7802</v>
          </cell>
          <cell r="E2370" t="str">
            <v>ΣΙΤΟΣ ΣΚΛΗΡΟΣ AMANTA</v>
          </cell>
          <cell r="F2370" t="str">
            <v>B_1_1_2</v>
          </cell>
          <cell r="G2370" t="str">
            <v>Σκληρό σιτάρι</v>
          </cell>
          <cell r="H2370">
            <v>324</v>
          </cell>
          <cell r="K2370" t="str">
            <v>Ναι</v>
          </cell>
          <cell r="L2370" t="str">
            <v>ΝΑΙ</v>
          </cell>
          <cell r="O2370" t="str">
            <v/>
          </cell>
        </row>
        <row r="2371">
          <cell r="D2371" t="str">
            <v>ΣΚΛΗΡΟΣ ΣΙΤΟΣ7803</v>
          </cell>
          <cell r="E2371" t="str">
            <v>ΣΙΤΟΣ ΣΚΛΗΡΟΣ KARISTO</v>
          </cell>
          <cell r="F2371" t="str">
            <v>B_1_1_2</v>
          </cell>
          <cell r="G2371" t="str">
            <v>Σκληρό σιτάρι</v>
          </cell>
          <cell r="H2371">
            <v>324</v>
          </cell>
          <cell r="K2371" t="str">
            <v>Ναι</v>
          </cell>
          <cell r="L2371" t="str">
            <v>ΝΑΙ</v>
          </cell>
          <cell r="O2371" t="str">
            <v/>
          </cell>
        </row>
        <row r="2372">
          <cell r="D2372" t="str">
            <v>ΣΚΛΗΡΟΣ ΣΙΤΟΣ7804</v>
          </cell>
          <cell r="E2372" t="str">
            <v>ΣΙΤΟΣ ΣΚΛΗΡΟΣ KIARA</v>
          </cell>
          <cell r="F2372" t="str">
            <v>B_1_1_2</v>
          </cell>
          <cell r="G2372" t="str">
            <v>Σκληρό σιτάρι</v>
          </cell>
          <cell r="H2372">
            <v>324</v>
          </cell>
          <cell r="K2372" t="str">
            <v>Ναι</v>
          </cell>
          <cell r="L2372" t="str">
            <v>ΝΑΙ</v>
          </cell>
          <cell r="O2372" t="str">
            <v/>
          </cell>
        </row>
        <row r="2373">
          <cell r="D2373" t="str">
            <v>ΣΚΛΗΡΟΣ ΣΙΤΟΣ7805</v>
          </cell>
          <cell r="E2373" t="str">
            <v>ΣΙΤΟΣ ΣΚΛΗΡΟΣ KORDO</v>
          </cell>
          <cell r="F2373" t="str">
            <v>B_1_1_2</v>
          </cell>
          <cell r="G2373" t="str">
            <v>Σκληρό σιτάρι</v>
          </cell>
          <cell r="H2373">
            <v>324</v>
          </cell>
          <cell r="K2373" t="str">
            <v>Ναι</v>
          </cell>
          <cell r="L2373" t="str">
            <v>ΝΑΙ</v>
          </cell>
          <cell r="O2373" t="str">
            <v/>
          </cell>
        </row>
        <row r="2374">
          <cell r="D2374" t="str">
            <v>ΣΚΛΗΡΟΣ ΣΙΤΟΣ7806</v>
          </cell>
          <cell r="E2374" t="str">
            <v>ΣΙΤΟΣ ΣΚΛΗΡΟΣ KALITHEA (ΚΑΛΛΙΘΕΑ)</v>
          </cell>
          <cell r="F2374" t="str">
            <v>B_1_1_2</v>
          </cell>
          <cell r="G2374" t="str">
            <v>Σκληρό σιτάρι</v>
          </cell>
          <cell r="H2374">
            <v>324</v>
          </cell>
          <cell r="K2374" t="str">
            <v>Ναι</v>
          </cell>
          <cell r="L2374" t="str">
            <v>ΝΑΙ</v>
          </cell>
          <cell r="O2374" t="str">
            <v/>
          </cell>
        </row>
        <row r="2375">
          <cell r="D2375" t="str">
            <v>ΣΚΛΗΡΟΣ ΣΙΤΟΣ7807</v>
          </cell>
          <cell r="E2375" t="str">
            <v>ΣΙΤΟΣ ΣΚΛΗΡΟΣ MATT</v>
          </cell>
          <cell r="F2375" t="str">
            <v>B_1_1_2</v>
          </cell>
          <cell r="G2375" t="str">
            <v>Σκληρό σιτάρι</v>
          </cell>
          <cell r="H2375">
            <v>324</v>
          </cell>
          <cell r="K2375" t="str">
            <v>Ναι</v>
          </cell>
          <cell r="L2375" t="str">
            <v>ΝΑΙ</v>
          </cell>
          <cell r="O2375" t="str">
            <v/>
          </cell>
        </row>
        <row r="2376">
          <cell r="D2376" t="str">
            <v>ΣΚΛΗΡΟΣ ΣΙΤΟΣ7808</v>
          </cell>
          <cell r="E2376" t="str">
            <v>ΣΙΤΟΣ ΣΚΛΗΡΟΣ MEXIKALI 81 (ΜΕΞΙΚΑΛΙ 81)</v>
          </cell>
          <cell r="F2376" t="str">
            <v>B_1_1_2</v>
          </cell>
          <cell r="G2376" t="str">
            <v>Σκληρό σιτάρι</v>
          </cell>
          <cell r="H2376">
            <v>324</v>
          </cell>
          <cell r="K2376" t="str">
            <v>Ναι</v>
          </cell>
          <cell r="L2376" t="str">
            <v>ΝΑΙ</v>
          </cell>
          <cell r="O2376" t="str">
            <v/>
          </cell>
        </row>
        <row r="2377">
          <cell r="D2377" t="str">
            <v>ΣΚΛΗΡΟΣ ΣΙΤΟΣ7809</v>
          </cell>
          <cell r="E2377" t="str">
            <v>ΣΙΤΟΣ ΣΚΛΗΡΟΣ ROYALDUR</v>
          </cell>
          <cell r="F2377" t="str">
            <v>B_1_1_2</v>
          </cell>
          <cell r="G2377" t="str">
            <v>Σκληρό σιτάρι</v>
          </cell>
          <cell r="H2377">
            <v>324</v>
          </cell>
          <cell r="K2377" t="str">
            <v>Ναι</v>
          </cell>
          <cell r="L2377" t="str">
            <v>ΝΑΙ</v>
          </cell>
          <cell r="O2377" t="str">
            <v/>
          </cell>
        </row>
        <row r="2378">
          <cell r="D2378" t="str">
            <v>ΣΚΛΗΡΟΣ ΣΙΤΟΣ7810</v>
          </cell>
          <cell r="E2378" t="str">
            <v>ΣΙΤΟΣ ΣΚΛΗΡΟΣ ΣΑΜΟΣ</v>
          </cell>
          <cell r="F2378" t="str">
            <v>B_1_1_2</v>
          </cell>
          <cell r="G2378" t="str">
            <v>Σκληρό σιτάρι</v>
          </cell>
          <cell r="H2378">
            <v>324</v>
          </cell>
          <cell r="K2378" t="str">
            <v>Ναι</v>
          </cell>
          <cell r="L2378" t="str">
            <v>ΝΑΙ</v>
          </cell>
          <cell r="O2378" t="str">
            <v/>
          </cell>
        </row>
        <row r="2379">
          <cell r="D2379" t="str">
            <v>ΣΚΛΗΡΟΣ ΣΙΤΟΣ7811</v>
          </cell>
          <cell r="E2379" t="str">
            <v>ΣΙΤΟΣ ΣΚΛΗΡΟΣ ΣΑΝΤΑ</v>
          </cell>
          <cell r="F2379" t="str">
            <v>B_1_1_2</v>
          </cell>
          <cell r="G2379" t="str">
            <v>Σκληρό σιτάρι</v>
          </cell>
          <cell r="H2379">
            <v>324</v>
          </cell>
          <cell r="K2379" t="str">
            <v>Ναι</v>
          </cell>
          <cell r="L2379" t="str">
            <v>ΝΑΙ</v>
          </cell>
          <cell r="O2379" t="str">
            <v/>
          </cell>
        </row>
        <row r="2380">
          <cell r="D2380" t="str">
            <v>ΣΚΛΗΡΟΣ ΣΙΤΟΣ7812</v>
          </cell>
          <cell r="E2380" t="str">
            <v>ΣΙΤΟΣ ΣΚΛΗΡΟΣ ΣΑΠΦΩ</v>
          </cell>
          <cell r="F2380" t="str">
            <v>B_1_1_2</v>
          </cell>
          <cell r="G2380" t="str">
            <v>Σκληρό σιτάρι</v>
          </cell>
          <cell r="H2380">
            <v>324</v>
          </cell>
          <cell r="K2380" t="str">
            <v>Ναι</v>
          </cell>
          <cell r="L2380" t="str">
            <v>ΝΑΙ</v>
          </cell>
          <cell r="O2380" t="str">
            <v/>
          </cell>
        </row>
        <row r="2381">
          <cell r="D2381" t="str">
            <v>ΣΚΛΗΡΟΣ ΣΙΤΟΣ7813</v>
          </cell>
          <cell r="E2381" t="str">
            <v>ΣΙΤΟΣ ΣΚΛΗΡΟΣ ΣΑΡΤΗ</v>
          </cell>
          <cell r="F2381" t="str">
            <v>B_1_1_2</v>
          </cell>
          <cell r="G2381" t="str">
            <v>Σκληρό σιτάρι</v>
          </cell>
          <cell r="H2381">
            <v>324</v>
          </cell>
          <cell r="K2381" t="str">
            <v>Ναι</v>
          </cell>
          <cell r="L2381" t="str">
            <v>ΝΑΙ</v>
          </cell>
          <cell r="O2381" t="str">
            <v/>
          </cell>
        </row>
        <row r="2382">
          <cell r="D2382" t="str">
            <v>ΣΚΛΗΡΟΣ ΣΙΤΟΣ7814</v>
          </cell>
          <cell r="E2382" t="str">
            <v>ΣΙΤΟΣ ΣΚΛΗΡΟΣ SELAS (ΣΕΛΑΣ)</v>
          </cell>
          <cell r="F2382" t="str">
            <v>B_1_1_2</v>
          </cell>
          <cell r="G2382" t="str">
            <v>Σκληρό σιτάρι</v>
          </cell>
          <cell r="H2382">
            <v>324</v>
          </cell>
          <cell r="K2382" t="str">
            <v>Ναι</v>
          </cell>
          <cell r="L2382" t="str">
            <v>ΝΑΙ</v>
          </cell>
          <cell r="O2382" t="str">
            <v/>
          </cell>
        </row>
        <row r="2383">
          <cell r="D2383" t="str">
            <v>ΣΚΛΗΡΟΣ ΣΙΤΟΣ7815</v>
          </cell>
          <cell r="E2383" t="str">
            <v>ΣΙΤΟΣ ΣΚΛΗΡΟΣ SKITI (ΣΚΗΤΗ)</v>
          </cell>
          <cell r="F2383" t="str">
            <v>B_1_1_2</v>
          </cell>
          <cell r="G2383" t="str">
            <v>Σκληρό σιτάρι</v>
          </cell>
          <cell r="H2383">
            <v>324</v>
          </cell>
          <cell r="K2383" t="str">
            <v>Ναι</v>
          </cell>
          <cell r="L2383" t="str">
            <v>ΝΑΙ</v>
          </cell>
          <cell r="O2383" t="str">
            <v/>
          </cell>
        </row>
        <row r="2384">
          <cell r="D2384" t="str">
            <v>ΣΚΛΗΡΟΣ ΣΙΤΟΣ7816</v>
          </cell>
          <cell r="E2384" t="str">
            <v>ΣΙΤΟΣ ΣΚΛΗΡΟΣ ΣΥΜΗ</v>
          </cell>
          <cell r="F2384" t="str">
            <v>B_1_1_2</v>
          </cell>
          <cell r="G2384" t="str">
            <v>Σκληρό σιτάρι</v>
          </cell>
          <cell r="H2384">
            <v>324</v>
          </cell>
          <cell r="K2384" t="str">
            <v>Ναι</v>
          </cell>
          <cell r="L2384" t="str">
            <v>ΝΑΙ</v>
          </cell>
          <cell r="O2384" t="str">
            <v/>
          </cell>
        </row>
        <row r="2385">
          <cell r="D2385" t="str">
            <v>ΣΚΛΗΡΟΣ ΣΙΤΟΣ7817</v>
          </cell>
          <cell r="E2385" t="str">
            <v>ΣΙΤΟΣ ΣΚΛΗΡΟΣ ΣΥΡΟΣ</v>
          </cell>
          <cell r="F2385" t="str">
            <v>B_1_1_2</v>
          </cell>
          <cell r="G2385" t="str">
            <v>Σκληρό σιτάρι</v>
          </cell>
          <cell r="H2385">
            <v>324</v>
          </cell>
          <cell r="K2385" t="str">
            <v>Ναι</v>
          </cell>
          <cell r="L2385" t="str">
            <v>ΝΑΙ</v>
          </cell>
          <cell r="O2385" t="str">
            <v/>
          </cell>
        </row>
        <row r="2386">
          <cell r="D2386" t="str">
            <v>ΣΚΛΗΡΟΣ ΣΙΤΟΣ7819</v>
          </cell>
          <cell r="E2386" t="str">
            <v>ΣΙΤΟΣ ΣΚΛΗΡΟΣ APOLLO</v>
          </cell>
          <cell r="F2386" t="str">
            <v>B_1_1_2</v>
          </cell>
          <cell r="G2386" t="str">
            <v>Σκληρό σιτάρι</v>
          </cell>
          <cell r="H2386">
            <v>324</v>
          </cell>
          <cell r="K2386" t="str">
            <v>Ναι</v>
          </cell>
          <cell r="L2386" t="str">
            <v>ΝΑΙ</v>
          </cell>
          <cell r="O2386" t="str">
            <v/>
          </cell>
        </row>
        <row r="2387">
          <cell r="D2387" t="str">
            <v>ΣΚΛΗΡΟΣ ΣΙΤΟΣ7820</v>
          </cell>
          <cell r="E2387" t="str">
            <v>ΣΙΤΟΣ ΣΚΛΗΡΟΣ S. CAPELLI</v>
          </cell>
          <cell r="F2387" t="str">
            <v>B_1_1_2</v>
          </cell>
          <cell r="G2387" t="str">
            <v>Σκληρό σιτάρι</v>
          </cell>
          <cell r="H2387">
            <v>324</v>
          </cell>
          <cell r="K2387" t="str">
            <v>Ναι</v>
          </cell>
          <cell r="L2387" t="str">
            <v>ΝΑΙ</v>
          </cell>
          <cell r="O2387" t="str">
            <v/>
          </cell>
        </row>
        <row r="2388">
          <cell r="D2388" t="str">
            <v>ΣΚΛΗΡΟΣ ΣΙΤΟΣ7843</v>
          </cell>
          <cell r="E2388" t="str">
            <v>ΣΙΤΟΣ ΣΚΛΗΡΟΣ ΚΑΠΕΙΤΙ</v>
          </cell>
          <cell r="F2388" t="str">
            <v>B_1_1_2</v>
          </cell>
          <cell r="G2388" t="str">
            <v>Σκληρό σιτάρι</v>
          </cell>
          <cell r="H2388">
            <v>324</v>
          </cell>
          <cell r="K2388" t="str">
            <v>Ναι</v>
          </cell>
          <cell r="L2388" t="str">
            <v>ΝΑΙ</v>
          </cell>
          <cell r="O2388" t="str">
            <v/>
          </cell>
        </row>
        <row r="2389">
          <cell r="D2389" t="str">
            <v>ΣΚΛΗΡΟΣ ΣΙΤΟΣ7844</v>
          </cell>
          <cell r="E2389" t="str">
            <v>ΣΙΤΟΣ ΣΚΛΗΡΟΣ AIAS (ΑΙΑΣ)</v>
          </cell>
          <cell r="F2389" t="str">
            <v>B_1_1_2</v>
          </cell>
          <cell r="G2389" t="str">
            <v>Σκληρό σιτάρι</v>
          </cell>
          <cell r="H2389">
            <v>324</v>
          </cell>
          <cell r="K2389" t="str">
            <v>Ναι</v>
          </cell>
          <cell r="L2389" t="str">
            <v>ΝΑΙ</v>
          </cell>
          <cell r="O2389" t="str">
            <v/>
          </cell>
        </row>
        <row r="2390">
          <cell r="D2390" t="str">
            <v>ΣΚΛΗΡΟΣ ΣΙΤΟΣ7845</v>
          </cell>
          <cell r="E2390" t="str">
            <v>ΣΙΤΟΣ ΣΚΛΗΡΟΣ ANNA</v>
          </cell>
          <cell r="F2390" t="str">
            <v>B_1_1_2</v>
          </cell>
          <cell r="G2390" t="str">
            <v>Σκληρό σιτάρι</v>
          </cell>
          <cell r="H2390">
            <v>324</v>
          </cell>
          <cell r="K2390" t="str">
            <v>Ναι</v>
          </cell>
          <cell r="L2390" t="str">
            <v>ΝΑΙ</v>
          </cell>
          <cell r="O2390" t="str">
            <v/>
          </cell>
        </row>
        <row r="2391">
          <cell r="D2391" t="str">
            <v>ΣΚΛΗΡΟΣ ΣΙΤΟΣ7846</v>
          </cell>
          <cell r="E2391" t="str">
            <v>ΣΙΤΟΣ ΣΚΛΗΡΟΣ ATLAS</v>
          </cell>
          <cell r="F2391" t="str">
            <v>B_1_1_2</v>
          </cell>
          <cell r="G2391" t="str">
            <v>Σκληρό σιτάρι</v>
          </cell>
          <cell r="H2391">
            <v>324</v>
          </cell>
          <cell r="K2391" t="str">
            <v>Ναι</v>
          </cell>
          <cell r="L2391" t="str">
            <v>ΝΑΙ</v>
          </cell>
          <cell r="O2391" t="str">
            <v/>
          </cell>
        </row>
        <row r="2392">
          <cell r="D2392" t="str">
            <v>ΣΚΛΗΡΟΣ ΣΙΤΟΣ7847</v>
          </cell>
          <cell r="E2392" t="str">
            <v>ΣΙΤΟΣ ΣΚΛΗΡΟΣ BOB (ΜΠΟΜΠ)</v>
          </cell>
          <cell r="F2392" t="str">
            <v>B_1_1_2</v>
          </cell>
          <cell r="G2392" t="str">
            <v>Σκληρό σιτάρι</v>
          </cell>
          <cell r="H2392">
            <v>324</v>
          </cell>
          <cell r="K2392" t="str">
            <v>Ναι</v>
          </cell>
          <cell r="L2392" t="str">
            <v>ΝΑΙ</v>
          </cell>
          <cell r="O2392" t="str">
            <v/>
          </cell>
        </row>
        <row r="2393">
          <cell r="D2393" t="str">
            <v>ΣΚΛΗΡΟΣ ΣΙΤΟΣ7848</v>
          </cell>
          <cell r="E2393" t="str">
            <v>ΣΙΤΟΣ ΣΚΛΗΡΟΣ COSMODUR</v>
          </cell>
          <cell r="F2393" t="str">
            <v>B_1_1_2</v>
          </cell>
          <cell r="G2393" t="str">
            <v>Σκληρό σιτάρι</v>
          </cell>
          <cell r="H2393">
            <v>324</v>
          </cell>
          <cell r="K2393" t="str">
            <v>Ναι</v>
          </cell>
          <cell r="L2393" t="str">
            <v>ΝΑΙ</v>
          </cell>
          <cell r="O2393" t="str">
            <v/>
          </cell>
        </row>
        <row r="2394">
          <cell r="D2394" t="str">
            <v>ΣΚΛΗΡΟΣ ΣΙΤΟΣ7849</v>
          </cell>
          <cell r="E2394" t="str">
            <v>ΣΙΤΟΣ ΣΚΛΗΡΟΣ GRECODUR</v>
          </cell>
          <cell r="F2394" t="str">
            <v>B_1_1_2</v>
          </cell>
          <cell r="G2394" t="str">
            <v>Σκληρό σιτάρι</v>
          </cell>
          <cell r="H2394">
            <v>324</v>
          </cell>
          <cell r="K2394" t="str">
            <v>Ναι</v>
          </cell>
          <cell r="L2394" t="str">
            <v>ΝΑΙ</v>
          </cell>
          <cell r="O2394" t="str">
            <v/>
          </cell>
        </row>
        <row r="2395">
          <cell r="D2395" t="str">
            <v>ΣΚΛΗΡΟΣ ΣΙΤΟΣ7850</v>
          </cell>
          <cell r="E2395" t="str">
            <v>ΣΙΤΟΣ ΣΚΛΗΡΟΣ IONIO</v>
          </cell>
          <cell r="F2395" t="str">
            <v>B_1_1_2</v>
          </cell>
          <cell r="G2395" t="str">
            <v>Σκληρό σιτάρι</v>
          </cell>
          <cell r="H2395">
            <v>324</v>
          </cell>
          <cell r="K2395" t="str">
            <v>Ναι</v>
          </cell>
          <cell r="L2395" t="str">
            <v>ΝΑΙ</v>
          </cell>
          <cell r="O2395" t="str">
            <v/>
          </cell>
        </row>
        <row r="2396">
          <cell r="D2396" t="str">
            <v>ΣΚΛΗΡΟΣ ΣΙΤΟΣ7851</v>
          </cell>
          <cell r="E2396" t="str">
            <v>ΣΙΤΟΣ ΣΚΛΗΡΟΣ KRONOS (ΚΡΟΝΟΣ)</v>
          </cell>
          <cell r="F2396" t="str">
            <v>B_1_1_2</v>
          </cell>
          <cell r="G2396" t="str">
            <v>Σκληρό σιτάρι</v>
          </cell>
          <cell r="H2396">
            <v>324</v>
          </cell>
          <cell r="K2396" t="str">
            <v>Ναι</v>
          </cell>
          <cell r="L2396" t="str">
            <v>ΝΑΙ</v>
          </cell>
          <cell r="O2396" t="str">
            <v/>
          </cell>
        </row>
        <row r="2397">
          <cell r="D2397" t="str">
            <v>ΣΚΛΗΡΟΣ ΣΙΤΟΣ7852</v>
          </cell>
          <cell r="E2397" t="str">
            <v>ΣΙΤΟΣ ΣΚΛΗΡΟΣ MESSAPIA</v>
          </cell>
          <cell r="F2397" t="str">
            <v>B_1_1_2</v>
          </cell>
          <cell r="G2397" t="str">
            <v>Σκληρό σιτάρι</v>
          </cell>
          <cell r="H2397">
            <v>324</v>
          </cell>
          <cell r="K2397" t="str">
            <v>Ναι</v>
          </cell>
          <cell r="L2397" t="str">
            <v>ΝΑΙ</v>
          </cell>
          <cell r="O2397" t="str">
            <v/>
          </cell>
        </row>
        <row r="2398">
          <cell r="D2398" t="str">
            <v>ΣΚΛΗΡΟΣ ΣΙΤΟΣ7853</v>
          </cell>
          <cell r="E2398" t="str">
            <v>ΣΙΤΟΣ ΣΚΛΗΡΟΣ NEGRIDURO</v>
          </cell>
          <cell r="F2398" t="str">
            <v>B_1_1_2</v>
          </cell>
          <cell r="G2398" t="str">
            <v>Σκληρό σιτάρι</v>
          </cell>
          <cell r="H2398">
            <v>324</v>
          </cell>
          <cell r="K2398" t="str">
            <v>Ναι</v>
          </cell>
          <cell r="L2398" t="str">
            <v>ΝΑΙ</v>
          </cell>
          <cell r="O2398" t="str">
            <v/>
          </cell>
        </row>
        <row r="2399">
          <cell r="D2399" t="str">
            <v>ΣΚΛΗΡΟΣ ΣΙΤΟΣ7854</v>
          </cell>
          <cell r="E2399" t="str">
            <v>ΣΙΤΟΣ ΣΚΛΗΡΟΣ PAPADAKIS (ΠΑΠΑΔΑΚΙΣ)</v>
          </cell>
          <cell r="F2399" t="str">
            <v>B_1_1_2</v>
          </cell>
          <cell r="G2399" t="str">
            <v>Σκληρό σιτάρι</v>
          </cell>
          <cell r="H2399">
            <v>324</v>
          </cell>
          <cell r="K2399" t="str">
            <v>Ναι</v>
          </cell>
          <cell r="L2399" t="str">
            <v>ΝΑΙ</v>
          </cell>
          <cell r="O2399" t="str">
            <v/>
          </cell>
        </row>
        <row r="2400">
          <cell r="D2400" t="str">
            <v>ΣΚΛΗΡΟΣ ΣΙΤΟΣ7855</v>
          </cell>
          <cell r="E2400" t="str">
            <v>ΣΙΤΟΣ ΣΚΛΗΡΟΣ PONTOS (ΠΟΝΤΟΣ)</v>
          </cell>
          <cell r="F2400" t="str">
            <v>B_1_1_2</v>
          </cell>
          <cell r="G2400" t="str">
            <v>Σκληρό σιτάρι</v>
          </cell>
          <cell r="H2400">
            <v>324</v>
          </cell>
          <cell r="K2400" t="str">
            <v>Ναι</v>
          </cell>
          <cell r="L2400" t="str">
            <v>ΝΑΙ</v>
          </cell>
          <cell r="O2400" t="str">
            <v/>
          </cell>
        </row>
        <row r="2401">
          <cell r="D2401" t="str">
            <v>ΣΚΛΗΡΟΣ ΣΙΤΟΣ7856</v>
          </cell>
          <cell r="E2401" t="str">
            <v>ΣΙΤΟΣ ΣΚΛΗΡΟΣ SIFNOS (ΣΙΦΝΟΣ)</v>
          </cell>
          <cell r="F2401" t="str">
            <v>B_1_1_2</v>
          </cell>
          <cell r="G2401" t="str">
            <v>Σκληρό σιτάρι</v>
          </cell>
          <cell r="H2401">
            <v>324</v>
          </cell>
          <cell r="K2401" t="str">
            <v>Ναι</v>
          </cell>
          <cell r="L2401" t="str">
            <v>ΝΑΙ</v>
          </cell>
          <cell r="O2401" t="str">
            <v/>
          </cell>
        </row>
        <row r="2402">
          <cell r="D2402" t="str">
            <v>ΣΚΛΗΡΟΣ ΣΙΤΟΣ7857</v>
          </cell>
          <cell r="E2402" t="str">
            <v>ΣΙΤΟΣ ΣΚΛΗΡΟΣ TEMPRADUR</v>
          </cell>
          <cell r="F2402" t="str">
            <v>B_1_1_2</v>
          </cell>
          <cell r="G2402" t="str">
            <v>Σκληρό σιτάρι</v>
          </cell>
          <cell r="H2402">
            <v>324</v>
          </cell>
          <cell r="K2402" t="str">
            <v>Ναι</v>
          </cell>
          <cell r="L2402" t="str">
            <v>ΝΑΙ</v>
          </cell>
          <cell r="O2402" t="str">
            <v/>
          </cell>
        </row>
        <row r="2403">
          <cell r="D2403" t="str">
            <v>ΣΚΛΗΡΟΣ ΣΙΤΟΣ7858</v>
          </cell>
          <cell r="E2403" t="str">
            <v>ΣΙΤΟΣ ΣΚΛΗΡΟΣ ADAMELLO</v>
          </cell>
          <cell r="F2403" t="str">
            <v>B_1_1_2</v>
          </cell>
          <cell r="G2403" t="str">
            <v>Σκληρό σιτάρι</v>
          </cell>
          <cell r="H2403">
            <v>324</v>
          </cell>
          <cell r="K2403" t="str">
            <v>Ναι</v>
          </cell>
          <cell r="L2403" t="str">
            <v>ΝΑΙ</v>
          </cell>
          <cell r="O2403" t="str">
            <v/>
          </cell>
        </row>
        <row r="2404">
          <cell r="D2404" t="str">
            <v>ΣΚΛΗΡΟΣ ΣΙΤΟΣ7859</v>
          </cell>
          <cell r="E2404" t="str">
            <v>ΣΙΤΟΣ ΣΚΛΗΡΟΣ ALFARO</v>
          </cell>
          <cell r="F2404" t="str">
            <v>B_1_1_2</v>
          </cell>
          <cell r="G2404" t="str">
            <v>Σκληρό σιτάρι</v>
          </cell>
          <cell r="H2404">
            <v>324</v>
          </cell>
          <cell r="K2404" t="str">
            <v>Ναι</v>
          </cell>
          <cell r="L2404" t="str">
            <v>ΝΑΙ</v>
          </cell>
          <cell r="O2404" t="str">
            <v/>
          </cell>
        </row>
        <row r="2405">
          <cell r="D2405" t="str">
            <v>ΣΚΛΗΡΟΣ ΣΙΤΟΣ7861</v>
          </cell>
          <cell r="E2405" t="str">
            <v>ΣΙΤΟΣ ΣΚΛΗΡΟΣ ANCO MARZIO</v>
          </cell>
          <cell r="F2405" t="str">
            <v>B_1_1_2</v>
          </cell>
          <cell r="G2405" t="str">
            <v>Σκληρό σιτάρι</v>
          </cell>
          <cell r="H2405">
            <v>324</v>
          </cell>
          <cell r="K2405" t="str">
            <v>Ναι</v>
          </cell>
          <cell r="L2405" t="str">
            <v>ΝΑΙ</v>
          </cell>
          <cell r="O2405" t="str">
            <v/>
          </cell>
        </row>
        <row r="2406">
          <cell r="D2406" t="str">
            <v>ΣΚΛΗΡΟΣ ΣΙΤΟΣ7862</v>
          </cell>
          <cell r="E2406" t="str">
            <v>ΣΙΤΟΣ ΣΚΛΗΡΟΣ APPIO</v>
          </cell>
          <cell r="F2406" t="str">
            <v>B_1_1_2</v>
          </cell>
          <cell r="G2406" t="str">
            <v>Σκληρό σιτάρι</v>
          </cell>
          <cell r="H2406">
            <v>324</v>
          </cell>
          <cell r="K2406" t="str">
            <v>Ναι</v>
          </cell>
          <cell r="L2406" t="str">
            <v>ΝΑΙ</v>
          </cell>
          <cell r="O2406" t="str">
            <v/>
          </cell>
        </row>
        <row r="2407">
          <cell r="D2407" t="str">
            <v>ΣΚΛΗΡΟΣ ΣΙΤΟΣ7863</v>
          </cell>
          <cell r="E2407" t="str">
            <v>ΣΙΤΟΣ ΣΚΛΗΡΟΣ APPULO</v>
          </cell>
          <cell r="F2407" t="str">
            <v>B_1_1_2</v>
          </cell>
          <cell r="G2407" t="str">
            <v>Σκληρό σιτάρι</v>
          </cell>
          <cell r="H2407">
            <v>324</v>
          </cell>
          <cell r="K2407" t="str">
            <v>Ναι</v>
          </cell>
          <cell r="L2407" t="str">
            <v>ΝΑΙ</v>
          </cell>
          <cell r="O2407" t="str">
            <v/>
          </cell>
        </row>
        <row r="2408">
          <cell r="D2408" t="str">
            <v>ΣΚΛΗΡΟΣ ΣΙΤΟΣ7864</v>
          </cell>
          <cell r="E2408" t="str">
            <v>ΣΙΤΟΣ ΣΚΛΗΡΟΣ ARCANGELO</v>
          </cell>
          <cell r="F2408" t="str">
            <v>B_1_1_2</v>
          </cell>
          <cell r="G2408" t="str">
            <v>Σκληρό σιτάρι</v>
          </cell>
          <cell r="H2408">
            <v>324</v>
          </cell>
          <cell r="K2408" t="str">
            <v>Ναι</v>
          </cell>
          <cell r="L2408" t="str">
            <v>ΝΑΙ</v>
          </cell>
          <cell r="O2408" t="str">
            <v/>
          </cell>
        </row>
        <row r="2409">
          <cell r="D2409" t="str">
            <v>ΣΚΛΗΡΟΣ ΣΙΤΟΣ7865</v>
          </cell>
          <cell r="E2409" t="str">
            <v>ΣΙΤΟΣ ΣΚΛΗΡΟΣ ARCOBALENO</v>
          </cell>
          <cell r="F2409" t="str">
            <v>B_1_1_2</v>
          </cell>
          <cell r="G2409" t="str">
            <v>Σκληρό σιτάρι</v>
          </cell>
          <cell r="H2409">
            <v>324</v>
          </cell>
          <cell r="K2409" t="str">
            <v>Ναι</v>
          </cell>
          <cell r="L2409" t="str">
            <v>ΝΑΙ</v>
          </cell>
          <cell r="O2409" t="str">
            <v/>
          </cell>
        </row>
        <row r="2410">
          <cell r="D2410" t="str">
            <v>ΣΚΛΗΡΟΣ ΣΙΤΟΣ7866</v>
          </cell>
          <cell r="E2410" t="str">
            <v>ΣΙΤΟΣ ΣΚΛΗΡΟΣ ARCOLINO</v>
          </cell>
          <cell r="F2410" t="str">
            <v>B_1_1_2</v>
          </cell>
          <cell r="G2410" t="str">
            <v>Σκληρό σιτάρι</v>
          </cell>
          <cell r="H2410">
            <v>324</v>
          </cell>
          <cell r="K2410" t="str">
            <v>Ναι</v>
          </cell>
          <cell r="L2410" t="str">
            <v>ΝΑΙ</v>
          </cell>
          <cell r="O2410" t="str">
            <v/>
          </cell>
        </row>
        <row r="2411">
          <cell r="D2411" t="str">
            <v>ΣΚΛΗΡΟΣ ΣΙΤΟΣ7867</v>
          </cell>
          <cell r="E2411" t="str">
            <v>ΣΙΤΟΣ ΣΚΛΗΡΟΣ AVISPA</v>
          </cell>
          <cell r="F2411" t="str">
            <v>B_1_1_2</v>
          </cell>
          <cell r="G2411" t="str">
            <v>Σκληρό σιτάρι</v>
          </cell>
          <cell r="H2411">
            <v>324</v>
          </cell>
          <cell r="K2411" t="str">
            <v>Ναι</v>
          </cell>
          <cell r="L2411" t="str">
            <v>ΝΑΙ</v>
          </cell>
          <cell r="O2411" t="str">
            <v/>
          </cell>
        </row>
        <row r="2412">
          <cell r="D2412" t="str">
            <v>ΣΚΛΗΡΟΣ ΣΙΤΟΣ7868</v>
          </cell>
          <cell r="E2412" t="str">
            <v>ΣΙΤΟΣ ΣΚΛΗΡΟΣ BAIO</v>
          </cell>
          <cell r="F2412" t="str">
            <v>B_1_1_2</v>
          </cell>
          <cell r="G2412" t="str">
            <v>Σκληρό σιτάρι</v>
          </cell>
          <cell r="H2412">
            <v>324</v>
          </cell>
          <cell r="K2412" t="str">
            <v>Ναι</v>
          </cell>
          <cell r="L2412" t="str">
            <v>ΝΑΙ</v>
          </cell>
          <cell r="O2412" t="str">
            <v/>
          </cell>
        </row>
        <row r="2413">
          <cell r="D2413" t="str">
            <v>ΣΚΛΗΡΟΣ ΣΙΤΟΣ7869</v>
          </cell>
          <cell r="E2413" t="str">
            <v>ΣΙΤΟΣ ΣΚΛΗΡΟΣ BALIDURO</v>
          </cell>
          <cell r="F2413" t="str">
            <v>B_1_1_2</v>
          </cell>
          <cell r="G2413" t="str">
            <v>Σκληρό σιτάρι</v>
          </cell>
          <cell r="H2413">
            <v>324</v>
          </cell>
          <cell r="K2413" t="str">
            <v>Ναι</v>
          </cell>
          <cell r="L2413" t="str">
            <v>ΝΑΙ</v>
          </cell>
          <cell r="O2413" t="str">
            <v/>
          </cell>
        </row>
        <row r="2414">
          <cell r="D2414" t="str">
            <v>ΣΚΛΗΡΟΣ ΣΙΤΟΣ7872</v>
          </cell>
          <cell r="E2414" t="str">
            <v>ΣΙΤΟΣ ΣΚΛΗΡΟΣ BOLO</v>
          </cell>
          <cell r="F2414" t="str">
            <v>B_1_1_2</v>
          </cell>
          <cell r="G2414" t="str">
            <v>Σκληρό σιτάρι</v>
          </cell>
          <cell r="H2414">
            <v>324</v>
          </cell>
          <cell r="K2414" t="str">
            <v>Ναι</v>
          </cell>
          <cell r="L2414" t="str">
            <v>ΝΑΙ</v>
          </cell>
          <cell r="O2414" t="str">
            <v/>
          </cell>
        </row>
        <row r="2415">
          <cell r="D2415" t="str">
            <v>ΣΚΛΗΡΟΣ ΣΙΤΟΣ7873</v>
          </cell>
          <cell r="E2415" t="str">
            <v>ΣΙΤΟΣ ΣΚΛΗΡΟΣ BORELLO</v>
          </cell>
          <cell r="F2415" t="str">
            <v>B_1_1_2</v>
          </cell>
          <cell r="G2415" t="str">
            <v>Σκληρό σιτάρι</v>
          </cell>
          <cell r="H2415">
            <v>324</v>
          </cell>
          <cell r="K2415" t="str">
            <v>Ναι</v>
          </cell>
          <cell r="L2415" t="str">
            <v>ΝΑΙ</v>
          </cell>
          <cell r="O2415" t="str">
            <v/>
          </cell>
        </row>
        <row r="2416">
          <cell r="D2416" t="str">
            <v>ΣΚΛΗΡΟΣ ΣΙΤΟΣ7874</v>
          </cell>
          <cell r="E2416" t="str">
            <v>ΣΙΤΟΣ ΣΚΛΗΡΟΣ BRADANO</v>
          </cell>
          <cell r="F2416" t="str">
            <v>B_1_1_2</v>
          </cell>
          <cell r="G2416" t="str">
            <v>Σκληρό σιτάρι</v>
          </cell>
          <cell r="H2416">
            <v>324</v>
          </cell>
          <cell r="K2416" t="str">
            <v>Ναι</v>
          </cell>
          <cell r="L2416" t="str">
            <v>ΝΑΙ</v>
          </cell>
          <cell r="O2416" t="str">
            <v/>
          </cell>
        </row>
        <row r="2417">
          <cell r="D2417" t="str">
            <v>ΣΚΛΗΡΟΣ ΣΙΤΟΣ7875</v>
          </cell>
          <cell r="E2417" t="str">
            <v>ΣΙΤΟΣ ΣΚΛΗΡΟΣ BRINDUR</v>
          </cell>
          <cell r="F2417" t="str">
            <v>B_1_1_2</v>
          </cell>
          <cell r="G2417" t="str">
            <v>Σκληρό σιτάρι</v>
          </cell>
          <cell r="H2417">
            <v>324</v>
          </cell>
          <cell r="K2417" t="str">
            <v>Ναι</v>
          </cell>
          <cell r="L2417" t="str">
            <v>ΝΑΙ</v>
          </cell>
          <cell r="O2417" t="str">
            <v/>
          </cell>
        </row>
        <row r="2418">
          <cell r="D2418" t="str">
            <v>ΣΚΛΗΡΟΣ ΣΙΤΟΣ7876</v>
          </cell>
          <cell r="E2418" t="str">
            <v>ΣΙΤΟΣ ΣΚΛΗΡΟΣ BRONTE</v>
          </cell>
          <cell r="F2418" t="str">
            <v>B_1_1_2</v>
          </cell>
          <cell r="G2418" t="str">
            <v>Σκληρό σιτάρι</v>
          </cell>
          <cell r="H2418">
            <v>324</v>
          </cell>
          <cell r="K2418" t="str">
            <v>Ναι</v>
          </cell>
          <cell r="L2418" t="str">
            <v>ΝΑΙ</v>
          </cell>
          <cell r="O2418" t="str">
            <v/>
          </cell>
        </row>
        <row r="2419">
          <cell r="D2419" t="str">
            <v>ΣΚΛΗΡΟΣ ΣΙΤΟΣ7878</v>
          </cell>
          <cell r="E2419" t="str">
            <v>ΣΙΤΟΣ ΣΚΛΗΡΟΣ CANNIZZO</v>
          </cell>
          <cell r="F2419" t="str">
            <v>B_1_1_2</v>
          </cell>
          <cell r="G2419" t="str">
            <v>Σκληρό σιτάρι</v>
          </cell>
          <cell r="H2419">
            <v>324</v>
          </cell>
          <cell r="K2419" t="str">
            <v>Ναι</v>
          </cell>
          <cell r="L2419" t="str">
            <v>ΝΑΙ</v>
          </cell>
          <cell r="O2419" t="str">
            <v/>
          </cell>
        </row>
        <row r="2420">
          <cell r="D2420" t="str">
            <v>ΣΚΛΗΡΟΣ ΣΙΤΟΣ7879</v>
          </cell>
          <cell r="E2420" t="str">
            <v>ΣΙΤΟΣ ΣΚΛΗΡΟΣ CAPPELLI</v>
          </cell>
          <cell r="F2420" t="str">
            <v>B_1_1_2</v>
          </cell>
          <cell r="G2420" t="str">
            <v>Σκληρό σιτάρι</v>
          </cell>
          <cell r="H2420">
            <v>324</v>
          </cell>
          <cell r="K2420" t="str">
            <v>Ναι</v>
          </cell>
          <cell r="L2420" t="str">
            <v>ΝΑΙ</v>
          </cell>
          <cell r="O2420" t="str">
            <v/>
          </cell>
        </row>
        <row r="2421">
          <cell r="D2421" t="str">
            <v>ΣΚΛΗΡΟΣ ΣΙΤΟΣ7880</v>
          </cell>
          <cell r="E2421" t="str">
            <v>ΣΙΤΟΣ ΣΚΛΗΡΟΣ CAPRI</v>
          </cell>
          <cell r="F2421" t="str">
            <v>B_1_1_2</v>
          </cell>
          <cell r="G2421" t="str">
            <v>Σκληρό σιτάρι</v>
          </cell>
          <cell r="H2421">
            <v>324</v>
          </cell>
          <cell r="K2421" t="str">
            <v>Ναι</v>
          </cell>
          <cell r="L2421" t="str">
            <v>ΝΑΙ</v>
          </cell>
          <cell r="O2421" t="str">
            <v/>
          </cell>
        </row>
        <row r="2422">
          <cell r="D2422" t="str">
            <v>ΣΚΛΗΡΟΣ ΣΙΤΟΣ7881</v>
          </cell>
          <cell r="E2422" t="str">
            <v>ΣΙΤΟΣ ΣΚΛΗΡΟΣ CARIOCA</v>
          </cell>
          <cell r="F2422" t="str">
            <v>B_1_1_2</v>
          </cell>
          <cell r="G2422" t="str">
            <v>Σκληρό σιτάρι</v>
          </cell>
          <cell r="H2422">
            <v>324</v>
          </cell>
          <cell r="K2422" t="str">
            <v>Ναι</v>
          </cell>
          <cell r="L2422" t="str">
            <v>ΝΑΙ</v>
          </cell>
          <cell r="O2422" t="str">
            <v/>
          </cell>
        </row>
        <row r="2423">
          <cell r="D2423" t="str">
            <v>ΣΚΛΗΡΟΣ ΣΙΤΟΣ7882</v>
          </cell>
          <cell r="E2423" t="str">
            <v>ΣΙΤΟΣ ΣΚΛΗΡΟΣ CASANOVA</v>
          </cell>
          <cell r="F2423" t="str">
            <v>B_1_1_2</v>
          </cell>
          <cell r="G2423" t="str">
            <v>Σκληρό σιτάρι</v>
          </cell>
          <cell r="H2423">
            <v>324</v>
          </cell>
          <cell r="K2423" t="str">
            <v>Ναι</v>
          </cell>
          <cell r="L2423" t="str">
            <v>ΝΑΙ</v>
          </cell>
          <cell r="O2423" t="str">
            <v/>
          </cell>
        </row>
        <row r="2424">
          <cell r="D2424" t="str">
            <v>ΣΚΛΗΡΟΣ ΣΙΤΟΣ7884</v>
          </cell>
          <cell r="E2424" t="str">
            <v>ΣΙΤΟΣ ΣΚΛΗΡΟΣ CICCIO</v>
          </cell>
          <cell r="F2424" t="str">
            <v>B_1_1_2</v>
          </cell>
          <cell r="G2424" t="str">
            <v>Σκληρό σιτάρι</v>
          </cell>
          <cell r="H2424">
            <v>324</v>
          </cell>
          <cell r="K2424" t="str">
            <v>Ναι</v>
          </cell>
          <cell r="L2424" t="str">
            <v>ΝΑΙ</v>
          </cell>
          <cell r="O2424" t="str">
            <v/>
          </cell>
        </row>
        <row r="2425">
          <cell r="D2425" t="str">
            <v>ΣΚΛΗΡΟΣ ΣΙΤΟΣ7885</v>
          </cell>
          <cell r="E2425" t="str">
            <v>ΣΙΤΟΣ ΣΚΛΗΡΟΣ CIRILLO</v>
          </cell>
          <cell r="F2425" t="str">
            <v>B_1_1_2</v>
          </cell>
          <cell r="G2425" t="str">
            <v>Σκληρό σιτάρι</v>
          </cell>
          <cell r="H2425">
            <v>324</v>
          </cell>
          <cell r="K2425" t="str">
            <v>Ναι</v>
          </cell>
          <cell r="L2425" t="str">
            <v>ΝΑΙ</v>
          </cell>
          <cell r="O2425" t="str">
            <v/>
          </cell>
        </row>
        <row r="2426">
          <cell r="D2426" t="str">
            <v>ΣΚΛΗΡΟΣ ΣΙΤΟΣ7886</v>
          </cell>
          <cell r="E2426" t="str">
            <v>ΣΙΤΟΣ ΣΚΛΗΡΟΣ CLAUDIO</v>
          </cell>
          <cell r="F2426" t="str">
            <v>B_1_1_2</v>
          </cell>
          <cell r="G2426" t="str">
            <v>Σκληρό σιτάρι</v>
          </cell>
          <cell r="H2426">
            <v>324</v>
          </cell>
          <cell r="K2426" t="str">
            <v>Ναι</v>
          </cell>
          <cell r="L2426" t="str">
            <v>ΝΑΙ</v>
          </cell>
          <cell r="O2426" t="str">
            <v/>
          </cell>
        </row>
        <row r="2427">
          <cell r="D2427" t="str">
            <v>ΣΚΛΗΡΟΣ ΣΙΤΟΣ7887</v>
          </cell>
          <cell r="E2427" t="str">
            <v>ΣΙΤΟΣ ΣΚΛΗΡΟΣ COLORADO</v>
          </cell>
          <cell r="F2427" t="str">
            <v>B_1_1_2</v>
          </cell>
          <cell r="G2427" t="str">
            <v>Σκληρό σιτάρι</v>
          </cell>
          <cell r="H2427">
            <v>324</v>
          </cell>
          <cell r="K2427" t="str">
            <v>Ναι</v>
          </cell>
          <cell r="L2427" t="str">
            <v>ΝΑΙ</v>
          </cell>
          <cell r="O2427" t="str">
            <v/>
          </cell>
        </row>
        <row r="2428">
          <cell r="D2428" t="str">
            <v>ΣΚΛΗΡΟΣ ΣΙΤΟΣ7888</v>
          </cell>
          <cell r="E2428" t="str">
            <v>ΣΙΤΟΣ ΣΚΛΗΡΟΣ COLOSSEO</v>
          </cell>
          <cell r="F2428" t="str">
            <v>B_1_1_2</v>
          </cell>
          <cell r="G2428" t="str">
            <v>Σκληρό σιτάρι</v>
          </cell>
          <cell r="H2428">
            <v>324</v>
          </cell>
          <cell r="K2428" t="str">
            <v>Ναι</v>
          </cell>
          <cell r="L2428" t="str">
            <v>ΝΑΙ</v>
          </cell>
          <cell r="O2428" t="str">
            <v/>
          </cell>
        </row>
        <row r="2429">
          <cell r="D2429" t="str">
            <v>ΣΚΛΗΡΟΣ ΣΙΤΟΣ7889</v>
          </cell>
          <cell r="E2429" t="str">
            <v>ΣΙΤΟΣ ΣΚΛΗΡΟΣ CONCADORO</v>
          </cell>
          <cell r="F2429" t="str">
            <v>B_1_1_2</v>
          </cell>
          <cell r="G2429" t="str">
            <v>Σκληρό σιτάρι</v>
          </cell>
          <cell r="H2429">
            <v>324</v>
          </cell>
          <cell r="K2429" t="str">
            <v>Ναι</v>
          </cell>
          <cell r="L2429" t="str">
            <v>ΝΑΙ</v>
          </cell>
          <cell r="O2429" t="str">
            <v/>
          </cell>
        </row>
        <row r="2430">
          <cell r="D2430" t="str">
            <v>ΣΚΛΗΡΟΣ ΣΙΤΟΣ7890</v>
          </cell>
          <cell r="E2430" t="str">
            <v>ΣΙΤΟΣ ΣΚΛΗΡΟΣ CRESO</v>
          </cell>
          <cell r="F2430" t="str">
            <v>B_1_1_2</v>
          </cell>
          <cell r="G2430" t="str">
            <v>Σκληρό σιτάρι</v>
          </cell>
          <cell r="H2430">
            <v>324</v>
          </cell>
          <cell r="K2430" t="str">
            <v>Ναι</v>
          </cell>
          <cell r="L2430" t="str">
            <v>ΝΑΙ</v>
          </cell>
          <cell r="O2430" t="str">
            <v/>
          </cell>
        </row>
        <row r="2431">
          <cell r="D2431" t="str">
            <v>ΣΚΛΗΡΟΣ ΣΙΤΟΣ7891</v>
          </cell>
          <cell r="E2431" t="str">
            <v>ΣΙΤΟΣ ΣΚΛΗΡΟΣ CRISPIERO</v>
          </cell>
          <cell r="F2431" t="str">
            <v>B_1_1_2</v>
          </cell>
          <cell r="G2431" t="str">
            <v>Σκληρό σιτάρι</v>
          </cell>
          <cell r="H2431">
            <v>324</v>
          </cell>
          <cell r="K2431" t="str">
            <v>Ναι</v>
          </cell>
          <cell r="L2431" t="str">
            <v>ΝΑΙ</v>
          </cell>
          <cell r="O2431" t="str">
            <v/>
          </cell>
        </row>
        <row r="2432">
          <cell r="D2432" t="str">
            <v>ΣΚΛΗΡΟΣ ΣΙΤΟΣ7892</v>
          </cell>
          <cell r="E2432" t="str">
            <v>ΣΙΤΟΣ ΣΚΛΗΡΟΣ DAUNIA</v>
          </cell>
          <cell r="F2432" t="str">
            <v>B_1_1_2</v>
          </cell>
          <cell r="G2432" t="str">
            <v>Σκληρό σιτάρι</v>
          </cell>
          <cell r="H2432">
            <v>324</v>
          </cell>
          <cell r="K2432" t="str">
            <v>Ναι</v>
          </cell>
          <cell r="L2432" t="str">
            <v>ΝΑΙ</v>
          </cell>
          <cell r="O2432" t="str">
            <v/>
          </cell>
        </row>
        <row r="2433">
          <cell r="D2433" t="str">
            <v>ΣΚΛΗΡΟΣ ΣΙΤΟΣ7893</v>
          </cell>
          <cell r="E2433" t="str">
            <v>ΣΙΤΟΣ ΣΚΛΗΡΟΣ DERRICK</v>
          </cell>
          <cell r="F2433" t="str">
            <v>B_1_1_2</v>
          </cell>
          <cell r="G2433" t="str">
            <v>Σκληρό σιτάρι</v>
          </cell>
          <cell r="H2433">
            <v>324</v>
          </cell>
          <cell r="K2433" t="str">
            <v>Ναι</v>
          </cell>
          <cell r="L2433" t="str">
            <v>ΝΑΙ</v>
          </cell>
          <cell r="O2433" t="str">
            <v/>
          </cell>
        </row>
        <row r="2434">
          <cell r="D2434" t="str">
            <v>ΣΚΛΗΡΟΣ ΣΙΤΟΣ7894</v>
          </cell>
          <cell r="E2434" t="str">
            <v>ΣΙΤΟΣ ΣΚΛΗΡΟΣ DUETTO</v>
          </cell>
          <cell r="F2434" t="str">
            <v>B_1_1_2</v>
          </cell>
          <cell r="G2434" t="str">
            <v>Σκληρό σιτάρι</v>
          </cell>
          <cell r="H2434">
            <v>324</v>
          </cell>
          <cell r="K2434" t="str">
            <v>Ναι</v>
          </cell>
          <cell r="L2434" t="str">
            <v>ΝΑΙ</v>
          </cell>
          <cell r="O2434" t="str">
            <v/>
          </cell>
        </row>
        <row r="2435">
          <cell r="D2435" t="str">
            <v>ΣΚΛΗΡΟΣ ΣΙΤΟΣ7895</v>
          </cell>
          <cell r="E2435" t="str">
            <v>ΣΙΤΟΣ ΣΚΛΗΡΟΣ DUILIO</v>
          </cell>
          <cell r="F2435" t="str">
            <v>B_1_1_2</v>
          </cell>
          <cell r="G2435" t="str">
            <v>Σκληρό σιτάρι</v>
          </cell>
          <cell r="H2435">
            <v>324</v>
          </cell>
          <cell r="K2435" t="str">
            <v>Ναι</v>
          </cell>
          <cell r="L2435" t="str">
            <v>ΝΑΙ</v>
          </cell>
          <cell r="O2435" t="str">
            <v/>
          </cell>
        </row>
        <row r="2436">
          <cell r="D2436" t="str">
            <v>ΣΚΛΗΡΟΣ ΣΙΤΟΣ7896</v>
          </cell>
          <cell r="E2436" t="str">
            <v>ΣΙΤΟΣ ΣΚΛΗΡΟΣ DUPRI</v>
          </cell>
          <cell r="F2436" t="str">
            <v>B_1_1_2</v>
          </cell>
          <cell r="G2436" t="str">
            <v>Σκληρό σιτάρι</v>
          </cell>
          <cell r="H2436">
            <v>324</v>
          </cell>
          <cell r="K2436" t="str">
            <v>Ναι</v>
          </cell>
          <cell r="L2436" t="str">
            <v>ΝΑΙ</v>
          </cell>
          <cell r="O2436" t="str">
            <v/>
          </cell>
        </row>
        <row r="2437">
          <cell r="D2437" t="str">
            <v>ΣΚΛΗΡΟΣ ΣΙΤΟΣ7897</v>
          </cell>
          <cell r="E2437" t="str">
            <v>ΣΙΤΟΣ ΣΚΛΗΡΟΣ DURANGO</v>
          </cell>
          <cell r="F2437" t="str">
            <v>B_1_1_2</v>
          </cell>
          <cell r="G2437" t="str">
            <v>Σκληρό σιτάρι</v>
          </cell>
          <cell r="H2437">
            <v>324</v>
          </cell>
          <cell r="K2437" t="str">
            <v>Ναι</v>
          </cell>
          <cell r="L2437" t="str">
            <v>ΝΑΙ</v>
          </cell>
          <cell r="O2437" t="str">
            <v/>
          </cell>
        </row>
        <row r="2438">
          <cell r="D2438" t="str">
            <v>ΣΚΛΗΡΟΣ ΣΙΤΟΣ7898</v>
          </cell>
          <cell r="E2438" t="str">
            <v>ΣΙΤΟΣ ΣΚΛΗΡΟΣ DURBEL</v>
          </cell>
          <cell r="F2438" t="str">
            <v>B_1_1_2</v>
          </cell>
          <cell r="G2438" t="str">
            <v>Σκληρό σιτάρι</v>
          </cell>
          <cell r="H2438">
            <v>324</v>
          </cell>
          <cell r="K2438" t="str">
            <v>Ναι</v>
          </cell>
          <cell r="L2438" t="str">
            <v>ΝΑΙ</v>
          </cell>
          <cell r="O2438" t="str">
            <v/>
          </cell>
        </row>
        <row r="2439">
          <cell r="D2439" t="str">
            <v>ΣΚΛΗΡΟΣ ΣΙΤΟΣ7901</v>
          </cell>
          <cell r="E2439" t="str">
            <v>ΣΙΤΟΣ ΣΚΛΗΡΟΣ DYLAN</v>
          </cell>
          <cell r="F2439" t="str">
            <v>B_1_1_2</v>
          </cell>
          <cell r="G2439" t="str">
            <v>Σκληρό σιτάρι</v>
          </cell>
          <cell r="H2439">
            <v>324</v>
          </cell>
          <cell r="K2439" t="str">
            <v>Ναι</v>
          </cell>
          <cell r="L2439" t="str">
            <v>ΝΑΙ</v>
          </cell>
          <cell r="O2439" t="str">
            <v/>
          </cell>
        </row>
        <row r="2440">
          <cell r="D2440" t="str">
            <v>ΣΚΛΗΡΟΣ ΣΙΤΟΣ7906</v>
          </cell>
          <cell r="E2440" t="str">
            <v>ΣΙΤΟΣ ΣΚΛΗΡΟΣ FIORE</v>
          </cell>
          <cell r="F2440" t="str">
            <v>B_1_1_2</v>
          </cell>
          <cell r="G2440" t="str">
            <v>Σκληρό σιτάρι</v>
          </cell>
          <cell r="H2440">
            <v>324</v>
          </cell>
          <cell r="K2440" t="str">
            <v>Ναι</v>
          </cell>
          <cell r="L2440" t="str">
            <v>ΝΑΙ</v>
          </cell>
          <cell r="O2440" t="str">
            <v/>
          </cell>
        </row>
        <row r="2441">
          <cell r="D2441" t="str">
            <v>ΣΚΛΗΡΟΣ ΣΙΤΟΣ7907</v>
          </cell>
          <cell r="E2441" t="str">
            <v>ΣΙΤΟΣ ΣΚΛΗΡΟΣ FLAMINIO</v>
          </cell>
          <cell r="F2441" t="str">
            <v>B_1_1_2</v>
          </cell>
          <cell r="G2441" t="str">
            <v>Σκληρό σιτάρι</v>
          </cell>
          <cell r="H2441">
            <v>324</v>
          </cell>
          <cell r="K2441" t="str">
            <v>Ναι</v>
          </cell>
          <cell r="L2441" t="str">
            <v>ΝΑΙ</v>
          </cell>
          <cell r="O2441" t="str">
            <v/>
          </cell>
        </row>
        <row r="2442">
          <cell r="D2442" t="str">
            <v>ΣΚΛΗΡΟΣ ΣΙΤΟΣ7908</v>
          </cell>
          <cell r="E2442" t="str">
            <v>ΣΙΤΟΣ ΣΚΛΗΡΟΣ FLAVIO</v>
          </cell>
          <cell r="F2442" t="str">
            <v>B_1_1_2</v>
          </cell>
          <cell r="G2442" t="str">
            <v>Σκληρό σιτάρι</v>
          </cell>
          <cell r="H2442">
            <v>324</v>
          </cell>
          <cell r="K2442" t="str">
            <v>Ναι</v>
          </cell>
          <cell r="L2442" t="str">
            <v>ΝΑΙ</v>
          </cell>
          <cell r="O2442" t="str">
            <v/>
          </cell>
        </row>
        <row r="2443">
          <cell r="D2443" t="str">
            <v>ΣΚΛΗΡΟΣ ΣΙΤΟΣ7909</v>
          </cell>
          <cell r="E2443" t="str">
            <v>ΣΙΤΟΣ ΣΚΛΗΡΟΣ FORTORE</v>
          </cell>
          <cell r="F2443" t="str">
            <v>B_1_1_2</v>
          </cell>
          <cell r="G2443" t="str">
            <v>Σκληρό σιτάρι</v>
          </cell>
          <cell r="H2443">
            <v>324</v>
          </cell>
          <cell r="K2443" t="str">
            <v>Ναι</v>
          </cell>
          <cell r="L2443" t="str">
            <v>ΝΑΙ</v>
          </cell>
          <cell r="O2443" t="str">
            <v/>
          </cell>
        </row>
        <row r="2444">
          <cell r="D2444" t="str">
            <v>ΣΚΛΗΡΟΣ ΣΙΤΟΣ7910</v>
          </cell>
          <cell r="E2444" t="str">
            <v>ΣΙΤΟΣ ΣΚΛΗΡΟΣ GARDENA</v>
          </cell>
          <cell r="F2444" t="str">
            <v>B_1_1_2</v>
          </cell>
          <cell r="G2444" t="str">
            <v>Σκληρό σιτάρι</v>
          </cell>
          <cell r="H2444">
            <v>324</v>
          </cell>
          <cell r="K2444" t="str">
            <v>Ναι</v>
          </cell>
          <cell r="L2444" t="str">
            <v>ΝΑΙ</v>
          </cell>
          <cell r="O2444" t="str">
            <v/>
          </cell>
        </row>
        <row r="2445">
          <cell r="D2445" t="str">
            <v>ΣΚΛΗΡΟΣ ΣΙΤΟΣ7911</v>
          </cell>
          <cell r="E2445" t="str">
            <v>ΣΙΤΟΣ ΣΚΛΗΡΟΣ GARGANO</v>
          </cell>
          <cell r="F2445" t="str">
            <v>B_1_1_2</v>
          </cell>
          <cell r="G2445" t="str">
            <v>Σκληρό σιτάρι</v>
          </cell>
          <cell r="H2445">
            <v>324</v>
          </cell>
          <cell r="K2445" t="str">
            <v>Ναι</v>
          </cell>
          <cell r="L2445" t="str">
            <v>ΝΑΙ</v>
          </cell>
          <cell r="O2445" t="str">
            <v/>
          </cell>
        </row>
        <row r="2446">
          <cell r="D2446" t="str">
            <v>ΣΚΛΗΡΟΣ ΣΙΤΟΣ7912</v>
          </cell>
          <cell r="E2446" t="str">
            <v>ΣΙΤΟΣ ΣΚΛΗΡΟΣ GHIBLI</v>
          </cell>
          <cell r="F2446" t="str">
            <v>B_1_1_2</v>
          </cell>
          <cell r="G2446" t="str">
            <v>Σκληρό σιτάρι</v>
          </cell>
          <cell r="H2446">
            <v>324</v>
          </cell>
          <cell r="K2446" t="str">
            <v>Ναι</v>
          </cell>
          <cell r="L2446" t="str">
            <v>ΝΑΙ</v>
          </cell>
          <cell r="O2446" t="str">
            <v/>
          </cell>
        </row>
        <row r="2447">
          <cell r="D2447" t="str">
            <v>ΣΚΛΗΡΟΣ ΣΙΤΟΣ7913</v>
          </cell>
          <cell r="E2447" t="str">
            <v>ΣΙΤΟΣ ΣΚΛΗΡΟΣ GIANNI</v>
          </cell>
          <cell r="F2447" t="str">
            <v>B_1_1_2</v>
          </cell>
          <cell r="G2447" t="str">
            <v>Σκληρό σιτάρι</v>
          </cell>
          <cell r="H2447">
            <v>324</v>
          </cell>
          <cell r="K2447" t="str">
            <v>Ναι</v>
          </cell>
          <cell r="L2447" t="str">
            <v>ΝΑΙ</v>
          </cell>
          <cell r="O2447" t="str">
            <v/>
          </cell>
        </row>
        <row r="2448">
          <cell r="D2448" t="str">
            <v>ΣΚΛΗΡΟΣ ΣΙΤΟΣ7914</v>
          </cell>
          <cell r="E2448" t="str">
            <v>ΣΙΤΟΣ ΣΚΛΗΡΟΣ GIEMME</v>
          </cell>
          <cell r="F2448" t="str">
            <v>B_1_1_2</v>
          </cell>
          <cell r="G2448" t="str">
            <v>Σκληρό σιτάρι</v>
          </cell>
          <cell r="H2448">
            <v>324</v>
          </cell>
          <cell r="K2448" t="str">
            <v>Ναι</v>
          </cell>
          <cell r="L2448" t="str">
            <v>ΝΑΙ</v>
          </cell>
          <cell r="O2448" t="str">
            <v/>
          </cell>
        </row>
        <row r="2449">
          <cell r="D2449" t="str">
            <v>ΣΚΛΗΡΟΣ ΣΙΤΟΣ7915</v>
          </cell>
          <cell r="E2449" t="str">
            <v>ΣΙΤΟΣ ΣΚΛΗΡΟΣ GIOTTO</v>
          </cell>
          <cell r="F2449" t="str">
            <v>B_1_1_2</v>
          </cell>
          <cell r="G2449" t="str">
            <v>Σκληρό σιτάρι</v>
          </cell>
          <cell r="H2449">
            <v>324</v>
          </cell>
          <cell r="K2449" t="str">
            <v>Ναι</v>
          </cell>
          <cell r="L2449" t="str">
            <v>ΝΑΙ</v>
          </cell>
          <cell r="O2449" t="str">
            <v/>
          </cell>
        </row>
        <row r="2450">
          <cell r="D2450" t="str">
            <v>ΣΚΛΗΡΟΣ ΣΙΤΟΣ7916</v>
          </cell>
          <cell r="E2450" t="str">
            <v>ΣΙΤΟΣ ΣΚΛΗΡΟΣ GIOVE</v>
          </cell>
          <cell r="F2450" t="str">
            <v>B_1_1_2</v>
          </cell>
          <cell r="G2450" t="str">
            <v>Σκληρό σιτάρι</v>
          </cell>
          <cell r="H2450">
            <v>324</v>
          </cell>
          <cell r="K2450" t="str">
            <v>Ναι</v>
          </cell>
          <cell r="L2450" t="str">
            <v>ΝΑΙ</v>
          </cell>
          <cell r="O2450" t="str">
            <v/>
          </cell>
        </row>
        <row r="2451">
          <cell r="D2451" t="str">
            <v>ΣΚΛΗΡΟΣ ΣΙΤΟΣ7918</v>
          </cell>
          <cell r="E2451" t="str">
            <v>ΣΙΤΟΣ ΣΚΛΗΡΟΣ GRAZIA</v>
          </cell>
          <cell r="F2451" t="str">
            <v>B_1_1_2</v>
          </cell>
          <cell r="G2451" t="str">
            <v>Σκληρό σιτάρι</v>
          </cell>
          <cell r="H2451">
            <v>324</v>
          </cell>
          <cell r="K2451" t="str">
            <v>Ναι</v>
          </cell>
          <cell r="L2451" t="str">
            <v>ΝΑΙ</v>
          </cell>
          <cell r="O2451" t="str">
            <v/>
          </cell>
        </row>
        <row r="2452">
          <cell r="D2452" t="str">
            <v>ΣΚΛΗΡΟΣ ΣΙΤΟΣ7921</v>
          </cell>
          <cell r="E2452" t="str">
            <v>ΣΙΤΟΣ ΣΚΛΗΡΟΣ IRIDE</v>
          </cell>
          <cell r="F2452" t="str">
            <v>B_1_1_2</v>
          </cell>
          <cell r="G2452" t="str">
            <v>Σκληρό σιτάρι</v>
          </cell>
          <cell r="H2452">
            <v>324</v>
          </cell>
          <cell r="K2452" t="str">
            <v>Ναι</v>
          </cell>
          <cell r="L2452" t="str">
            <v>ΝΑΙ</v>
          </cell>
          <cell r="O2452" t="str">
            <v/>
          </cell>
        </row>
        <row r="2453">
          <cell r="D2453" t="str">
            <v>ΣΚΛΗΡΟΣ ΣΙΤΟΣ7922</v>
          </cell>
          <cell r="E2453" t="str">
            <v>ΣΙΤΟΣ ΣΚΛΗΡΟΣ ITALO</v>
          </cell>
          <cell r="F2453" t="str">
            <v>B_1_1_2</v>
          </cell>
          <cell r="G2453" t="str">
            <v>Σκληρό σιτάρι</v>
          </cell>
          <cell r="H2453">
            <v>324</v>
          </cell>
          <cell r="K2453" t="str">
            <v>Ναι</v>
          </cell>
          <cell r="L2453" t="str">
            <v>ΝΑΙ</v>
          </cell>
          <cell r="O2453" t="str">
            <v/>
          </cell>
        </row>
        <row r="2454">
          <cell r="D2454" t="str">
            <v>ΣΚΛΗΡΟΣ ΣΙΤΟΣ7923</v>
          </cell>
          <cell r="E2454" t="str">
            <v>ΣΙΤΟΣ ΣΚΛΗΡΟΣ KARALIS</v>
          </cell>
          <cell r="F2454" t="str">
            <v>B_1_1_2</v>
          </cell>
          <cell r="G2454" t="str">
            <v>Σκληρό σιτάρι</v>
          </cell>
          <cell r="H2454">
            <v>324</v>
          </cell>
          <cell r="K2454" t="str">
            <v>Ναι</v>
          </cell>
          <cell r="L2454" t="str">
            <v>ΝΑΙ</v>
          </cell>
          <cell r="O2454" t="str">
            <v/>
          </cell>
        </row>
        <row r="2455">
          <cell r="D2455" t="str">
            <v>ΣΚΛΗΡΟΣ ΣΙΤΟΣ7924</v>
          </cell>
          <cell r="E2455" t="str">
            <v>ΣΙΤΟΣ ΣΚΛΗΡΟΣ KIEVLANKA</v>
          </cell>
          <cell r="F2455" t="str">
            <v>B_1_1_2</v>
          </cell>
          <cell r="G2455" t="str">
            <v>Σκληρό σιτάρι</v>
          </cell>
          <cell r="H2455">
            <v>324</v>
          </cell>
          <cell r="K2455" t="str">
            <v>Ναι</v>
          </cell>
          <cell r="L2455" t="str">
            <v>ΝΑΙ</v>
          </cell>
          <cell r="O2455" t="str">
            <v/>
          </cell>
        </row>
        <row r="2456">
          <cell r="D2456" t="str">
            <v>ΣΚΛΗΡΟΣ ΣΙΤΟΣ7925</v>
          </cell>
          <cell r="E2456" t="str">
            <v>ΣΙΤΟΣ ΣΚΛΗΡΟΣ LATINO</v>
          </cell>
          <cell r="F2456" t="str">
            <v>B_1_1_2</v>
          </cell>
          <cell r="G2456" t="str">
            <v>Σκληρό σιτάρι</v>
          </cell>
          <cell r="H2456">
            <v>324</v>
          </cell>
          <cell r="K2456" t="str">
            <v>Ναι</v>
          </cell>
          <cell r="L2456" t="str">
            <v>ΝΑΙ</v>
          </cell>
          <cell r="O2456" t="str">
            <v/>
          </cell>
        </row>
        <row r="2457">
          <cell r="D2457" t="str">
            <v>ΣΚΛΗΡΟΣ ΣΙΤΟΣ7926</v>
          </cell>
          <cell r="E2457" t="str">
            <v>ΣΙΤΟΣ ΣΚΛΗΡΟΣ LESINA</v>
          </cell>
          <cell r="F2457" t="str">
            <v>B_1_1_2</v>
          </cell>
          <cell r="G2457" t="str">
            <v>Σκληρό σιτάρι</v>
          </cell>
          <cell r="H2457">
            <v>324</v>
          </cell>
          <cell r="K2457" t="str">
            <v>Ναι</v>
          </cell>
          <cell r="L2457" t="str">
            <v>ΝΑΙ</v>
          </cell>
          <cell r="O2457" t="str">
            <v/>
          </cell>
        </row>
        <row r="2458">
          <cell r="D2458" t="str">
            <v>ΣΚΛΗΡΟΣ ΣΙΤΟΣ7927</v>
          </cell>
          <cell r="E2458" t="str">
            <v>ΣΙΤΟΣ ΣΚΛΗΡΟΣ LEVANTE</v>
          </cell>
          <cell r="F2458" t="str">
            <v>B_1_1_2</v>
          </cell>
          <cell r="G2458" t="str">
            <v>Σκληρό σιτάρι</v>
          </cell>
          <cell r="H2458">
            <v>324</v>
          </cell>
          <cell r="K2458" t="str">
            <v>Ναι</v>
          </cell>
          <cell r="L2458" t="str">
            <v>ΝΑΙ</v>
          </cell>
          <cell r="O2458" t="str">
            <v/>
          </cell>
        </row>
        <row r="2459">
          <cell r="D2459" t="str">
            <v>ΣΚΛΗΡΟΣ ΣΙΤΟΣ7928</v>
          </cell>
          <cell r="E2459" t="str">
            <v>ΣΙΤΟΣ ΣΚΛΗΡΟΣ LIBECCIO</v>
          </cell>
          <cell r="F2459" t="str">
            <v>B_1_1_2</v>
          </cell>
          <cell r="G2459" t="str">
            <v>Σκληρό σιτάρι</v>
          </cell>
          <cell r="H2459">
            <v>324</v>
          </cell>
          <cell r="K2459" t="str">
            <v>Ναι</v>
          </cell>
          <cell r="L2459" t="str">
            <v>ΝΑΙ</v>
          </cell>
          <cell r="O2459" t="str">
            <v/>
          </cell>
        </row>
        <row r="2460">
          <cell r="D2460" t="str">
            <v>ΣΚΛΗΡΟΣ ΣΙΤΟΣ7929</v>
          </cell>
          <cell r="E2460" t="str">
            <v>ΣΙΤΟΣ ΣΚΛΗΡΟΣ MADURO</v>
          </cell>
          <cell r="F2460" t="str">
            <v>B_1_1_2</v>
          </cell>
          <cell r="G2460" t="str">
            <v>Σκληρό σιτάρι</v>
          </cell>
          <cell r="H2460">
            <v>324</v>
          </cell>
          <cell r="K2460" t="str">
            <v>Ναι</v>
          </cell>
          <cell r="L2460" t="str">
            <v>ΝΑΙ</v>
          </cell>
          <cell r="O2460" t="str">
            <v/>
          </cell>
        </row>
        <row r="2461">
          <cell r="D2461" t="str">
            <v>ΣΚΛΗΡΟΣ ΣΙΤΟΣ7930</v>
          </cell>
          <cell r="E2461" t="str">
            <v>ΣΙΤΟΣ ΣΚΛΗΡΟΣ MARCO</v>
          </cell>
          <cell r="F2461" t="str">
            <v>B_1_1_2</v>
          </cell>
          <cell r="G2461" t="str">
            <v>Σκληρό σιτάρι</v>
          </cell>
          <cell r="H2461">
            <v>324</v>
          </cell>
          <cell r="K2461" t="str">
            <v>Ναι</v>
          </cell>
          <cell r="L2461" t="str">
            <v>ΝΑΙ</v>
          </cell>
          <cell r="O2461" t="str">
            <v/>
          </cell>
        </row>
        <row r="2462">
          <cell r="D2462" t="str">
            <v>ΣΚΛΗΡΟΣ ΣΙΤΟΣ7931</v>
          </cell>
          <cell r="E2462" t="str">
            <v>ΣΙΤΟΣ ΣΚΛΗΡΟΣ MERIDIANO</v>
          </cell>
          <cell r="F2462" t="str">
            <v>B_1_1_2</v>
          </cell>
          <cell r="G2462" t="str">
            <v>Σκληρό σιτάρι</v>
          </cell>
          <cell r="H2462">
            <v>324</v>
          </cell>
          <cell r="K2462" t="str">
            <v>Ναι</v>
          </cell>
          <cell r="L2462" t="str">
            <v>ΝΑΙ</v>
          </cell>
          <cell r="O2462" t="str">
            <v/>
          </cell>
        </row>
        <row r="2463">
          <cell r="D2463" t="str">
            <v>ΣΚΛΗΡΟΣ ΣΙΤΟΣ7932</v>
          </cell>
          <cell r="E2463" t="str">
            <v>ΣΙΤΟΣ ΣΚΛΗΡΟΣ MONGIBELLO</v>
          </cell>
          <cell r="F2463" t="str">
            <v>B_1_1_2</v>
          </cell>
          <cell r="G2463" t="str">
            <v>Σκληρό σιτάρι</v>
          </cell>
          <cell r="H2463">
            <v>324</v>
          </cell>
          <cell r="K2463" t="str">
            <v>Ναι</v>
          </cell>
          <cell r="L2463" t="str">
            <v>ΝΑΙ</v>
          </cell>
          <cell r="O2463" t="str">
            <v/>
          </cell>
        </row>
        <row r="2464">
          <cell r="D2464" t="str">
            <v>ΣΚΛΗΡΟΣ ΣΙΤΟΣ7933</v>
          </cell>
          <cell r="E2464" t="str">
            <v>ΣΙΤΟΣ ΣΚΛΗΡΟΣ NEFER</v>
          </cell>
          <cell r="F2464" t="str">
            <v>B_1_1_2</v>
          </cell>
          <cell r="G2464" t="str">
            <v>Σκληρό σιτάρι</v>
          </cell>
          <cell r="H2464">
            <v>324</v>
          </cell>
          <cell r="K2464" t="str">
            <v>Ναι</v>
          </cell>
          <cell r="L2464" t="str">
            <v>ΝΑΙ</v>
          </cell>
          <cell r="O2464" t="str">
            <v/>
          </cell>
        </row>
        <row r="2465">
          <cell r="D2465" t="str">
            <v>ΣΚΛΗΡΟΣ ΣΙΤΟΣ7934</v>
          </cell>
          <cell r="E2465" t="str">
            <v>ΣΙΤΟΣ ΣΚΛΗΡΟΣ NEODUR</v>
          </cell>
          <cell r="F2465" t="str">
            <v>B_1_1_2</v>
          </cell>
          <cell r="G2465" t="str">
            <v>Σκληρό σιτάρι</v>
          </cell>
          <cell r="H2465">
            <v>324</v>
          </cell>
          <cell r="K2465" t="str">
            <v>Ναι</v>
          </cell>
          <cell r="L2465" t="str">
            <v>ΝΑΙ</v>
          </cell>
          <cell r="O2465" t="str">
            <v/>
          </cell>
        </row>
        <row r="2466">
          <cell r="D2466" t="str">
            <v>ΣΚΛΗΡΟΣ ΣΙΤΟΣ7935</v>
          </cell>
          <cell r="E2466" t="str">
            <v>ΣΙΤΟΣ ΣΚΛΗΡΟΣ NERONE</v>
          </cell>
          <cell r="F2466" t="str">
            <v>B_1_1_2</v>
          </cell>
          <cell r="G2466" t="str">
            <v>Σκληρό σιτάρι</v>
          </cell>
          <cell r="H2466">
            <v>324</v>
          </cell>
          <cell r="K2466" t="str">
            <v>Ναι</v>
          </cell>
          <cell r="L2466" t="str">
            <v>ΝΑΙ</v>
          </cell>
          <cell r="O2466" t="str">
            <v/>
          </cell>
        </row>
        <row r="2467">
          <cell r="D2467" t="str">
            <v>ΣΚΛΗΡΟΣ ΣΙΤΟΣ7936</v>
          </cell>
          <cell r="E2467" t="str">
            <v>ΣΙΤΟΣ ΣΚΛΗΡΟΣ NORBA</v>
          </cell>
          <cell r="F2467" t="str">
            <v>B_1_1_2</v>
          </cell>
          <cell r="G2467" t="str">
            <v>Σκληρό σιτάρι</v>
          </cell>
          <cell r="H2467">
            <v>324</v>
          </cell>
          <cell r="K2467" t="str">
            <v>Ναι</v>
          </cell>
          <cell r="L2467" t="str">
            <v>ΝΑΙ</v>
          </cell>
          <cell r="O2467" t="str">
            <v/>
          </cell>
        </row>
        <row r="2468">
          <cell r="D2468" t="str">
            <v>ΣΚΛΗΡΟΣ ΣΙΤΟΣ7937</v>
          </cell>
          <cell r="E2468" t="str">
            <v>ΣΙΤΟΣ ΣΚΛΗΡΟΣ NORMANNO</v>
          </cell>
          <cell r="F2468" t="str">
            <v>B_1_1_2</v>
          </cell>
          <cell r="G2468" t="str">
            <v>Σκληρό σιτάρι</v>
          </cell>
          <cell r="H2468">
            <v>324</v>
          </cell>
          <cell r="K2468" t="str">
            <v>Ναι</v>
          </cell>
          <cell r="L2468" t="str">
            <v>ΝΑΙ</v>
          </cell>
          <cell r="O2468" t="str">
            <v/>
          </cell>
        </row>
        <row r="2469">
          <cell r="D2469" t="str">
            <v>ΣΚΛΗΡΟΣ ΣΙΤΟΣ7938</v>
          </cell>
          <cell r="E2469" t="str">
            <v>ΣΙΤΟΣ ΣΚΛΗΡΟΣ OFANTO</v>
          </cell>
          <cell r="F2469" t="str">
            <v>B_1_1_2</v>
          </cell>
          <cell r="G2469" t="str">
            <v>Σκληρό σιτάρι</v>
          </cell>
          <cell r="H2469">
            <v>324</v>
          </cell>
          <cell r="K2469" t="str">
            <v>Ναι</v>
          </cell>
          <cell r="L2469" t="str">
            <v>ΝΑΙ</v>
          </cell>
          <cell r="O2469" t="str">
            <v/>
          </cell>
        </row>
        <row r="2470">
          <cell r="D2470" t="str">
            <v>ΣΚΛΗΡΟΣ ΣΙΤΟΣ7939</v>
          </cell>
          <cell r="E2470" t="str">
            <v>ΣΙΤΟΣ ΣΚΛΗΡΟΣ OROBEL</v>
          </cell>
          <cell r="F2470" t="str">
            <v>B_1_1_2</v>
          </cell>
          <cell r="G2470" t="str">
            <v>Σκληρό σιτάρι</v>
          </cell>
          <cell r="H2470">
            <v>324</v>
          </cell>
          <cell r="K2470" t="str">
            <v>Ναι</v>
          </cell>
          <cell r="L2470" t="str">
            <v>ΝΑΙ</v>
          </cell>
          <cell r="O2470" t="str">
            <v/>
          </cell>
        </row>
        <row r="2471">
          <cell r="D2471" t="str">
            <v>ΣΚΛΗΡΟΣ ΣΙΤΟΣ7940</v>
          </cell>
          <cell r="E2471" t="str">
            <v>ΣΙΤΟΣ ΣΚΛΗΡΟΣ PARSIFAL</v>
          </cell>
          <cell r="F2471" t="str">
            <v>B_1_1_2</v>
          </cell>
          <cell r="G2471" t="str">
            <v>Σκληρό σιτάρι</v>
          </cell>
          <cell r="H2471">
            <v>324</v>
          </cell>
          <cell r="K2471" t="str">
            <v>Ναι</v>
          </cell>
          <cell r="L2471" t="str">
            <v>ΝΑΙ</v>
          </cell>
          <cell r="O2471" t="str">
            <v/>
          </cell>
        </row>
        <row r="2472">
          <cell r="D2472" t="str">
            <v>ΣΚΛΗΡΟΣ ΣΙΤΟΣ7941</v>
          </cell>
          <cell r="E2472" t="str">
            <v>ΣΙΤΟΣ ΣΚΛΗΡΟΣ PEDRISCO</v>
          </cell>
          <cell r="F2472" t="str">
            <v>B_1_1_2</v>
          </cell>
          <cell r="G2472" t="str">
            <v>Σκληρό σιτάρι</v>
          </cell>
          <cell r="H2472">
            <v>324</v>
          </cell>
          <cell r="K2472" t="str">
            <v>Ναι</v>
          </cell>
          <cell r="L2472" t="str">
            <v>ΝΑΙ</v>
          </cell>
          <cell r="O2472" t="str">
            <v/>
          </cell>
        </row>
        <row r="2473">
          <cell r="D2473" t="str">
            <v>ΣΚΛΗΡΟΣ ΣΙΤΟΣ7942</v>
          </cell>
          <cell r="E2473" t="str">
            <v>ΣΙΤΟΣ ΣΚΛΗΡΟΣ PERSEO</v>
          </cell>
          <cell r="F2473" t="str">
            <v>B_1_1_2</v>
          </cell>
          <cell r="G2473" t="str">
            <v>Σκληρό σιτάρι</v>
          </cell>
          <cell r="H2473">
            <v>324</v>
          </cell>
          <cell r="K2473" t="str">
            <v>Ναι</v>
          </cell>
          <cell r="L2473" t="str">
            <v>ΝΑΙ</v>
          </cell>
          <cell r="O2473" t="str">
            <v/>
          </cell>
        </row>
        <row r="2474">
          <cell r="D2474" t="str">
            <v>ΣΚΛΗΡΟΣ ΣΙΤΟΣ7944</v>
          </cell>
          <cell r="E2474" t="str">
            <v>ΣΙΤΟΣ ΣΚΛΗΡΟΣ PIETRAFITTA</v>
          </cell>
          <cell r="F2474" t="str">
            <v>B_1_1_2</v>
          </cell>
          <cell r="G2474" t="str">
            <v>Σκληρό σιτάρι</v>
          </cell>
          <cell r="H2474">
            <v>324</v>
          </cell>
          <cell r="K2474" t="str">
            <v>Ναι</v>
          </cell>
          <cell r="L2474" t="str">
            <v>ΝΑΙ</v>
          </cell>
          <cell r="O2474" t="str">
            <v/>
          </cell>
        </row>
        <row r="2475">
          <cell r="D2475" t="str">
            <v>ΣΚΛΗΡΟΣ ΣΙΤΟΣ7945</v>
          </cell>
          <cell r="E2475" t="str">
            <v>ΣΙΤΟΣ ΣΚΛΗΡΟΣ PLATANI</v>
          </cell>
          <cell r="F2475" t="str">
            <v>B_1_1_2</v>
          </cell>
          <cell r="G2475" t="str">
            <v>Σκληρό σιτάρι</v>
          </cell>
          <cell r="H2475">
            <v>324</v>
          </cell>
          <cell r="K2475" t="str">
            <v>Ναι</v>
          </cell>
          <cell r="L2475" t="str">
            <v>ΝΑΙ</v>
          </cell>
          <cell r="O2475" t="str">
            <v/>
          </cell>
        </row>
        <row r="2476">
          <cell r="D2476" t="str">
            <v>ΣΚΛΗΡΟΣ ΣΙΤΟΣ7946</v>
          </cell>
          <cell r="E2476" t="str">
            <v>ΣΙΤΟΣ ΣΚΛΗΡΟΣ PLINIO</v>
          </cell>
          <cell r="F2476" t="str">
            <v>B_1_1_2</v>
          </cell>
          <cell r="G2476" t="str">
            <v>Σκληρό σιτάρι</v>
          </cell>
          <cell r="H2476">
            <v>324</v>
          </cell>
          <cell r="K2476" t="str">
            <v>Ναι</v>
          </cell>
          <cell r="L2476" t="str">
            <v>ΝΑΙ</v>
          </cell>
          <cell r="O2476" t="str">
            <v/>
          </cell>
        </row>
        <row r="2477">
          <cell r="D2477" t="str">
            <v>ΣΚΛΗΡΟΣ ΣΙΤΟΣ7947</v>
          </cell>
          <cell r="E2477" t="str">
            <v>ΣΙΤΟΣ ΣΚΛΗΡΟΣ PORTOBELLO</v>
          </cell>
          <cell r="F2477" t="str">
            <v>B_1_1_2</v>
          </cell>
          <cell r="G2477" t="str">
            <v>Σκληρό σιτάρι</v>
          </cell>
          <cell r="H2477">
            <v>324</v>
          </cell>
          <cell r="K2477" t="str">
            <v>Ναι</v>
          </cell>
          <cell r="L2477" t="str">
            <v>ΝΑΙ</v>
          </cell>
          <cell r="O2477" t="str">
            <v/>
          </cell>
        </row>
        <row r="2478">
          <cell r="D2478" t="str">
            <v>ΣΚΛΗΡΟΣ ΣΙΤΟΣ7948</v>
          </cell>
          <cell r="E2478" t="str">
            <v>ΣΙΤΟΣ ΣΚΛΗΡΟΣ PORTORICO</v>
          </cell>
          <cell r="F2478" t="str">
            <v>B_1_1_2</v>
          </cell>
          <cell r="G2478" t="str">
            <v>Σκληρό σιτάρι</v>
          </cell>
          <cell r="H2478">
            <v>324</v>
          </cell>
          <cell r="K2478" t="str">
            <v>Ναι</v>
          </cell>
          <cell r="L2478" t="str">
            <v>ΝΑΙ</v>
          </cell>
          <cell r="O2478" t="str">
            <v/>
          </cell>
        </row>
        <row r="2479">
          <cell r="D2479" t="str">
            <v>ΣΚΛΗΡΟΣ ΣΙΤΟΣ7949</v>
          </cell>
          <cell r="E2479" t="str">
            <v>ΣΙΤΟΣ ΣΚΛΗΡΟΣ PR22D40</v>
          </cell>
          <cell r="F2479" t="str">
            <v>B_1_1_2</v>
          </cell>
          <cell r="G2479" t="str">
            <v>Σκληρό σιτάρι</v>
          </cell>
          <cell r="H2479">
            <v>324</v>
          </cell>
          <cell r="K2479" t="str">
            <v>Ναι</v>
          </cell>
          <cell r="L2479" t="str">
            <v>ΝΑΙ</v>
          </cell>
          <cell r="O2479" t="str">
            <v/>
          </cell>
        </row>
        <row r="2480">
          <cell r="D2480" t="str">
            <v>ΣΚΛΗΡΟΣ ΣΙΤΟΣ7950</v>
          </cell>
          <cell r="E2480" t="str">
            <v>ΣΙΤΟΣ ΣΚΛΗΡΟΣ PR22D66</v>
          </cell>
          <cell r="F2480" t="str">
            <v>B_1_1_2</v>
          </cell>
          <cell r="G2480" t="str">
            <v>Σκληρό σιτάρι</v>
          </cell>
          <cell r="H2480">
            <v>324</v>
          </cell>
          <cell r="K2480" t="str">
            <v>Ναι</v>
          </cell>
          <cell r="L2480" t="str">
            <v>ΝΑΙ</v>
          </cell>
          <cell r="O2480" t="str">
            <v/>
          </cell>
        </row>
        <row r="2481">
          <cell r="D2481" t="str">
            <v>ΣΚΛΗΡΟΣ ΣΙΤΟΣ7951</v>
          </cell>
          <cell r="E2481" t="str">
            <v>ΣΙΤΟΣ ΣΚΛΗΡΟΣ PR22D78</v>
          </cell>
          <cell r="F2481" t="str">
            <v>B_1_1_2</v>
          </cell>
          <cell r="G2481" t="str">
            <v>Σκληρό σιτάρι</v>
          </cell>
          <cell r="H2481">
            <v>324</v>
          </cell>
          <cell r="K2481" t="str">
            <v>Ναι</v>
          </cell>
          <cell r="L2481" t="str">
            <v>ΝΑΙ</v>
          </cell>
          <cell r="O2481" t="str">
            <v/>
          </cell>
        </row>
        <row r="2482">
          <cell r="D2482" t="str">
            <v>ΣΚΛΗΡΟΣ ΣΙΤΟΣ7952</v>
          </cell>
          <cell r="E2482" t="str">
            <v>ΣΙΤΟΣ ΣΚΛΗΡΟΣ PRECO</v>
          </cell>
          <cell r="F2482" t="str">
            <v>B_1_1_2</v>
          </cell>
          <cell r="G2482" t="str">
            <v>Σκληρό σιτάρι</v>
          </cell>
          <cell r="H2482">
            <v>324</v>
          </cell>
          <cell r="K2482" t="str">
            <v>Ναι</v>
          </cell>
          <cell r="L2482" t="str">
            <v>ΝΑΙ</v>
          </cell>
          <cell r="O2482" t="str">
            <v/>
          </cell>
        </row>
        <row r="2483">
          <cell r="D2483" t="str">
            <v>ΣΚΛΗΡΟΣ ΣΙΤΟΣ7953</v>
          </cell>
          <cell r="E2483" t="str">
            <v>ΣΙΤΟΣ ΣΚΛΗΡΟΣ PROMETEO</v>
          </cell>
          <cell r="F2483" t="str">
            <v>B_1_1_2</v>
          </cell>
          <cell r="G2483" t="str">
            <v>Σκληρό σιτάρι</v>
          </cell>
          <cell r="H2483">
            <v>324</v>
          </cell>
          <cell r="K2483" t="str">
            <v>Ναι</v>
          </cell>
          <cell r="L2483" t="str">
            <v>ΝΑΙ</v>
          </cell>
          <cell r="O2483" t="str">
            <v/>
          </cell>
        </row>
        <row r="2484">
          <cell r="D2484" t="str">
            <v>ΣΚΛΗΡΟΣ ΣΙΤΟΣ7954</v>
          </cell>
          <cell r="E2484" t="str">
            <v>ΣΙΤΟΣ ΣΚΛΗΡΟΣ PROVENZAL</v>
          </cell>
          <cell r="F2484" t="str">
            <v>B_1_1_2</v>
          </cell>
          <cell r="G2484" t="str">
            <v>Σκληρό σιτάρι</v>
          </cell>
          <cell r="H2484">
            <v>324</v>
          </cell>
          <cell r="K2484" t="str">
            <v>Ναι</v>
          </cell>
          <cell r="L2484" t="str">
            <v>ΝΑΙ</v>
          </cell>
          <cell r="O2484" t="str">
            <v/>
          </cell>
        </row>
        <row r="2485">
          <cell r="D2485" t="str">
            <v>ΣΚΛΗΡΟΣ ΣΙΤΟΣ7956</v>
          </cell>
          <cell r="E2485" t="str">
            <v>ΣΙΤΟΣ ΣΚΛΗΡΟΣ QUADRATO</v>
          </cell>
          <cell r="F2485" t="str">
            <v>B_1_1_2</v>
          </cell>
          <cell r="G2485" t="str">
            <v>Σκληρό σιτάρι</v>
          </cell>
          <cell r="H2485">
            <v>324</v>
          </cell>
          <cell r="K2485" t="str">
            <v>Ναι</v>
          </cell>
          <cell r="L2485" t="str">
            <v>ΝΑΙ</v>
          </cell>
          <cell r="O2485" t="str">
            <v/>
          </cell>
        </row>
        <row r="2486">
          <cell r="D2486" t="str">
            <v>ΣΚΛΗΡΟΣ ΣΙΤΟΣ7957</v>
          </cell>
          <cell r="E2486" t="str">
            <v>ΣΙΤΟΣ ΣΚΛΗΡΟΣ RADIOSO</v>
          </cell>
          <cell r="F2486" t="str">
            <v>B_1_1_2</v>
          </cell>
          <cell r="G2486" t="str">
            <v>Σκληρό σιτάρι</v>
          </cell>
          <cell r="H2486">
            <v>324</v>
          </cell>
          <cell r="K2486" t="str">
            <v>Ναι</v>
          </cell>
          <cell r="L2486" t="str">
            <v>ΝΑΙ</v>
          </cell>
          <cell r="O2486" t="str">
            <v/>
          </cell>
        </row>
        <row r="2487">
          <cell r="D2487" t="str">
            <v>ΣΚΛΗΡΟΣ ΣΙΤΟΣ7958</v>
          </cell>
          <cell r="E2487" t="str">
            <v>ΣΙΤΟΣ ΣΚΛΗΡΟΣ RINGO</v>
          </cell>
          <cell r="F2487" t="str">
            <v>B_1_1_2</v>
          </cell>
          <cell r="G2487" t="str">
            <v>Σκληρό σιτάρι</v>
          </cell>
          <cell r="H2487">
            <v>324</v>
          </cell>
          <cell r="K2487" t="str">
            <v>Ναι</v>
          </cell>
          <cell r="L2487" t="str">
            <v>ΝΑΙ</v>
          </cell>
          <cell r="O2487" t="str">
            <v/>
          </cell>
        </row>
        <row r="2488">
          <cell r="D2488" t="str">
            <v>ΣΚΛΗΡΟΣ ΣΙΤΟΣ7959</v>
          </cell>
          <cell r="E2488" t="str">
            <v>ΣΙΤΟΣ ΣΚΛΗΡΟΣ RUSTICANO</v>
          </cell>
          <cell r="F2488" t="str">
            <v>B_1_1_2</v>
          </cell>
          <cell r="G2488" t="str">
            <v>Σκληρό σιτάρι</v>
          </cell>
          <cell r="H2488">
            <v>324</v>
          </cell>
          <cell r="K2488" t="str">
            <v>Ναι</v>
          </cell>
          <cell r="L2488" t="str">
            <v>ΝΑΙ</v>
          </cell>
          <cell r="O2488" t="str">
            <v/>
          </cell>
        </row>
        <row r="2489">
          <cell r="D2489" t="str">
            <v>ΣΚΛΗΡΟΣ ΣΙΤΟΣ7960</v>
          </cell>
          <cell r="E2489" t="str">
            <v>ΣΙΤΟΣ ΣΚΛΗΡΟΣ SAN CARLO</v>
          </cell>
          <cell r="F2489" t="str">
            <v>B_1_1_2</v>
          </cell>
          <cell r="G2489" t="str">
            <v>Σκληρό σιτάρι</v>
          </cell>
          <cell r="H2489">
            <v>324</v>
          </cell>
          <cell r="K2489" t="str">
            <v>Ναι</v>
          </cell>
          <cell r="L2489" t="str">
            <v>ΝΑΙ</v>
          </cell>
          <cell r="O2489" t="str">
            <v/>
          </cell>
        </row>
        <row r="2490">
          <cell r="D2490" t="str">
            <v>ΣΚΛΗΡΟΣ ΣΙΤΟΣ7961</v>
          </cell>
          <cell r="E2490" t="str">
            <v>ΣΙΤΟΣ ΣΚΛΗΡΟΣ SEMOLON</v>
          </cell>
          <cell r="F2490" t="str">
            <v>B_1_1_2</v>
          </cell>
          <cell r="G2490" t="str">
            <v>Σκληρό σιτάρι</v>
          </cell>
          <cell r="H2490">
            <v>324</v>
          </cell>
          <cell r="K2490" t="str">
            <v>Ναι</v>
          </cell>
          <cell r="L2490" t="str">
            <v>ΝΑΙ</v>
          </cell>
          <cell r="O2490" t="str">
            <v/>
          </cell>
        </row>
        <row r="2491">
          <cell r="D2491" t="str">
            <v>ΣΚΛΗΡΟΣ ΣΙΤΟΣ7963</v>
          </cell>
          <cell r="E2491" t="str">
            <v>ΣΙΤΟΣ ΣΚΛΗΡΟΣ SILUR</v>
          </cell>
          <cell r="F2491" t="str">
            <v>B_1_1_2</v>
          </cell>
          <cell r="G2491" t="str">
            <v>Σκληρό σιτάρι</v>
          </cell>
          <cell r="H2491">
            <v>324</v>
          </cell>
          <cell r="K2491" t="str">
            <v>Ναι</v>
          </cell>
          <cell r="L2491" t="str">
            <v>ΝΑΙ</v>
          </cell>
          <cell r="O2491" t="str">
            <v/>
          </cell>
        </row>
        <row r="2492">
          <cell r="D2492" t="str">
            <v>ΣΚΛΗΡΟΣ ΣΙΤΟΣ7964</v>
          </cell>
          <cell r="E2492" t="str">
            <v>ΣΙΤΟΣ ΣΚΛΗΡΟΣ SIMETO</v>
          </cell>
          <cell r="F2492" t="str">
            <v>B_1_1_2</v>
          </cell>
          <cell r="G2492" t="str">
            <v>Σκληρό σιτάρι</v>
          </cell>
          <cell r="H2492">
            <v>324</v>
          </cell>
          <cell r="K2492" t="str">
            <v>Ναι</v>
          </cell>
          <cell r="L2492" t="str">
            <v>ΝΑΙ</v>
          </cell>
          <cell r="O2492" t="str">
            <v/>
          </cell>
        </row>
        <row r="2493">
          <cell r="D2493" t="str">
            <v>ΣΚΛΗΡΟΣ ΣΙΤΟΣ7965</v>
          </cell>
          <cell r="E2493" t="str">
            <v>ΣΙΤΟΣ ΣΚΛΗΡΟΣ SOLEX</v>
          </cell>
          <cell r="F2493" t="str">
            <v>B_1_1_2</v>
          </cell>
          <cell r="G2493" t="str">
            <v>Σκληρό σιτάρι</v>
          </cell>
          <cell r="H2493">
            <v>324</v>
          </cell>
          <cell r="K2493" t="str">
            <v>Ναι</v>
          </cell>
          <cell r="L2493" t="str">
            <v>ΝΑΙ</v>
          </cell>
          <cell r="O2493" t="str">
            <v/>
          </cell>
        </row>
        <row r="2494">
          <cell r="D2494" t="str">
            <v>ΣΚΛΗΡΟΣ ΣΙΤΟΣ7966</v>
          </cell>
          <cell r="E2494" t="str">
            <v>ΣΙΤΟΣ ΣΚΛΗΡΟΣ SORRENTO</v>
          </cell>
          <cell r="F2494" t="str">
            <v>B_1_1_2</v>
          </cell>
          <cell r="G2494" t="str">
            <v>Σκληρό σιτάρι</v>
          </cell>
          <cell r="H2494">
            <v>324</v>
          </cell>
          <cell r="K2494" t="str">
            <v>Ναι</v>
          </cell>
          <cell r="L2494" t="str">
            <v>ΝΑΙ</v>
          </cell>
          <cell r="O2494" t="str">
            <v/>
          </cell>
        </row>
        <row r="2495">
          <cell r="D2495" t="str">
            <v>ΣΚΛΗΡΟΣ ΣΙΤΟΣ7967</v>
          </cell>
          <cell r="E2495" t="str">
            <v>ΣΙΤΟΣ ΣΚΛΗΡΟΣ SORRISO</v>
          </cell>
          <cell r="F2495" t="str">
            <v>B_1_1_2</v>
          </cell>
          <cell r="G2495" t="str">
            <v>Σκληρό σιτάρι</v>
          </cell>
          <cell r="H2495">
            <v>324</v>
          </cell>
          <cell r="K2495" t="str">
            <v>Ναι</v>
          </cell>
          <cell r="L2495" t="str">
            <v>ΝΑΙ</v>
          </cell>
          <cell r="O2495" t="str">
            <v/>
          </cell>
        </row>
        <row r="2496">
          <cell r="D2496" t="str">
            <v>ΣΚΛΗΡΟΣ ΣΙΤΟΣ7968</v>
          </cell>
          <cell r="E2496" t="str">
            <v>ΣΙΤΟΣ ΣΚΛΗΡΟΣ SVEVO</v>
          </cell>
          <cell r="F2496" t="str">
            <v>B_1_1_2</v>
          </cell>
          <cell r="G2496" t="str">
            <v>Σκληρό σιτάρι</v>
          </cell>
          <cell r="H2496">
            <v>324</v>
          </cell>
          <cell r="K2496" t="str">
            <v>Ναι</v>
          </cell>
          <cell r="L2496" t="str">
            <v>ΝΑΙ</v>
          </cell>
          <cell r="O2496" t="str">
            <v/>
          </cell>
        </row>
        <row r="2497">
          <cell r="D2497" t="str">
            <v>ΣΚΛΗΡΟΣ ΣΙΤΟΣ7970</v>
          </cell>
          <cell r="E2497" t="str">
            <v>ΣΙΤΟΣ ΣΚΛΗΡΟΣ TIZIANA</v>
          </cell>
          <cell r="F2497" t="str">
            <v>B_1_1_2</v>
          </cell>
          <cell r="G2497" t="str">
            <v>Σκληρό σιτάρι</v>
          </cell>
          <cell r="H2497">
            <v>324</v>
          </cell>
          <cell r="K2497" t="str">
            <v>Ναι</v>
          </cell>
          <cell r="L2497" t="str">
            <v>ΝΑΙ</v>
          </cell>
          <cell r="O2497" t="str">
            <v/>
          </cell>
        </row>
        <row r="2498">
          <cell r="D2498" t="str">
            <v>ΣΚΛΗΡΟΣ ΣΙΤΟΣ7971</v>
          </cell>
          <cell r="E2498" t="str">
            <v>ΣΙΤΟΣ ΣΚΛΗΡΟΣ TORREBIANCA</v>
          </cell>
          <cell r="F2498" t="str">
            <v>B_1_1_2</v>
          </cell>
          <cell r="G2498" t="str">
            <v>Σκληρό σιτάρι</v>
          </cell>
          <cell r="H2498">
            <v>324</v>
          </cell>
          <cell r="K2498" t="str">
            <v>Ναι</v>
          </cell>
          <cell r="L2498" t="str">
            <v>ΝΑΙ</v>
          </cell>
          <cell r="O2498" t="str">
            <v/>
          </cell>
        </row>
        <row r="2499">
          <cell r="D2499" t="str">
            <v>ΣΚΛΗΡΟΣ ΣΙΤΟΣ7972</v>
          </cell>
          <cell r="E2499" t="str">
            <v>ΣΙΤΟΣ ΣΚΛΗΡΟΣ TRESOR</v>
          </cell>
          <cell r="F2499" t="str">
            <v>B_1_1_2</v>
          </cell>
          <cell r="G2499" t="str">
            <v>Σκληρό σιτάρι</v>
          </cell>
          <cell r="H2499">
            <v>324</v>
          </cell>
          <cell r="K2499" t="str">
            <v>Ναι</v>
          </cell>
          <cell r="L2499" t="str">
            <v>ΝΑΙ</v>
          </cell>
          <cell r="O2499" t="str">
            <v/>
          </cell>
        </row>
        <row r="2500">
          <cell r="D2500" t="str">
            <v>ΣΚΛΗΡΟΣ ΣΙΤΟΣ7974</v>
          </cell>
          <cell r="E2500" t="str">
            <v>ΣΙΤΟΣ ΣΚΛΗΡΟΣ VALBELICE</v>
          </cell>
          <cell r="F2500" t="str">
            <v>B_1_1_2</v>
          </cell>
          <cell r="G2500" t="str">
            <v>Σκληρό σιτάρι</v>
          </cell>
          <cell r="H2500">
            <v>324</v>
          </cell>
          <cell r="K2500" t="str">
            <v>Ναι</v>
          </cell>
          <cell r="L2500" t="str">
            <v>ΝΑΙ</v>
          </cell>
          <cell r="O2500" t="str">
            <v/>
          </cell>
        </row>
        <row r="2501">
          <cell r="D2501" t="str">
            <v>ΣΚΛΗΡΟΣ ΣΙΤΟΣ7977</v>
          </cell>
          <cell r="E2501" t="str">
            <v>ΣΙΤΟΣ ΣΚΛΗΡΟΣ VALSALSO</v>
          </cell>
          <cell r="F2501" t="str">
            <v>B_1_1_2</v>
          </cell>
          <cell r="G2501" t="str">
            <v>Σκληρό σιτάρι</v>
          </cell>
          <cell r="H2501">
            <v>324</v>
          </cell>
          <cell r="K2501" t="str">
            <v>Ναι</v>
          </cell>
          <cell r="L2501" t="str">
            <v>ΝΑΙ</v>
          </cell>
          <cell r="O2501" t="str">
            <v/>
          </cell>
        </row>
        <row r="2502">
          <cell r="D2502" t="str">
            <v>ΣΚΛΗΡΟΣ ΣΙΤΟΣ7978</v>
          </cell>
          <cell r="E2502" t="str">
            <v>ΣΙΤΟΣ ΣΚΛΗΡΟΣ VARANO</v>
          </cell>
          <cell r="F2502" t="str">
            <v>B_1_1_2</v>
          </cell>
          <cell r="G2502" t="str">
            <v>Σκληρό σιτάρι</v>
          </cell>
          <cell r="H2502">
            <v>324</v>
          </cell>
          <cell r="K2502" t="str">
            <v>Ναι</v>
          </cell>
          <cell r="L2502" t="str">
            <v>ΝΑΙ</v>
          </cell>
          <cell r="O2502" t="str">
            <v/>
          </cell>
        </row>
        <row r="2503">
          <cell r="D2503" t="str">
            <v>ΣΚΛΗΡΟΣ ΣΙΤΟΣ7979</v>
          </cell>
          <cell r="E2503" t="str">
            <v>ΣΙΤΟΣ ΣΚΛΗΡΟΣ VENDETTA</v>
          </cell>
          <cell r="F2503" t="str">
            <v>B_1_1_2</v>
          </cell>
          <cell r="G2503" t="str">
            <v>Σκληρό σιτάρι</v>
          </cell>
          <cell r="H2503">
            <v>324</v>
          </cell>
          <cell r="K2503" t="str">
            <v>Ναι</v>
          </cell>
          <cell r="L2503" t="str">
            <v>ΝΑΙ</v>
          </cell>
          <cell r="O2503" t="str">
            <v/>
          </cell>
        </row>
        <row r="2504">
          <cell r="D2504" t="str">
            <v>ΣΚΛΗΡΟΣ ΣΙΤΟΣ7980</v>
          </cell>
          <cell r="E2504" t="str">
            <v>ΣΙΤΟΣ ΣΚΛΗΡΟΣ VENTO</v>
          </cell>
          <cell r="F2504" t="str">
            <v>B_1_1_2</v>
          </cell>
          <cell r="G2504" t="str">
            <v>Σκληρό σιτάρι</v>
          </cell>
          <cell r="H2504">
            <v>324</v>
          </cell>
          <cell r="K2504" t="str">
            <v>Ναι</v>
          </cell>
          <cell r="L2504" t="str">
            <v>ΝΑΙ</v>
          </cell>
          <cell r="O2504" t="str">
            <v/>
          </cell>
        </row>
        <row r="2505">
          <cell r="D2505" t="str">
            <v>ΣΚΛΗΡΟΣ ΣΙΤΟΣ7981</v>
          </cell>
          <cell r="E2505" t="str">
            <v>ΣΙΤΟΣ ΣΚΛΗΡΟΣ VERDI</v>
          </cell>
          <cell r="F2505" t="str">
            <v>B_1_1_2</v>
          </cell>
          <cell r="G2505" t="str">
            <v>Σκληρό σιτάρι</v>
          </cell>
          <cell r="H2505">
            <v>324</v>
          </cell>
          <cell r="K2505" t="str">
            <v>Ναι</v>
          </cell>
          <cell r="L2505" t="str">
            <v>ΝΑΙ</v>
          </cell>
          <cell r="O2505" t="str">
            <v/>
          </cell>
        </row>
        <row r="2506">
          <cell r="D2506" t="str">
            <v>ΣΚΛΗΡΟΣ ΣΙΤΟΣ7983</v>
          </cell>
          <cell r="E2506" t="str">
            <v>ΣΙΤΟΣ ΣΚΛΗΡΟΣ VESUVIO</v>
          </cell>
          <cell r="F2506" t="str">
            <v>B_1_1_2</v>
          </cell>
          <cell r="G2506" t="str">
            <v>Σκληρό σιτάρι</v>
          </cell>
          <cell r="H2506">
            <v>324</v>
          </cell>
          <cell r="K2506" t="str">
            <v>Ναι</v>
          </cell>
          <cell r="L2506" t="str">
            <v>ΝΑΙ</v>
          </cell>
          <cell r="O2506" t="str">
            <v/>
          </cell>
        </row>
        <row r="2507">
          <cell r="D2507" t="str">
            <v>ΣΚΛΗΡΟΣ ΣΙΤΟΣ7984</v>
          </cell>
          <cell r="E2507" t="str">
            <v>ΣΙΤΟΣ ΣΚΛΗΡΟΣ VETRODUR</v>
          </cell>
          <cell r="F2507" t="str">
            <v>B_1_1_2</v>
          </cell>
          <cell r="G2507" t="str">
            <v>Σκληρό σιτάρι</v>
          </cell>
          <cell r="H2507">
            <v>324</v>
          </cell>
          <cell r="K2507" t="str">
            <v>Ναι</v>
          </cell>
          <cell r="L2507" t="str">
            <v>ΝΑΙ</v>
          </cell>
          <cell r="O2507" t="str">
            <v/>
          </cell>
        </row>
        <row r="2508">
          <cell r="D2508" t="str">
            <v>ΣΚΛΗΡΟΣ ΣΙΤΟΣ7985</v>
          </cell>
          <cell r="E2508" t="str">
            <v>ΣΙΤΟΣ ΣΚΛΗΡΟΣ VETTORE</v>
          </cell>
          <cell r="F2508" t="str">
            <v>B_1_1_2</v>
          </cell>
          <cell r="G2508" t="str">
            <v>Σκληρό σιτάρι</v>
          </cell>
          <cell r="H2508">
            <v>324</v>
          </cell>
          <cell r="K2508" t="str">
            <v>Ναι</v>
          </cell>
          <cell r="L2508" t="str">
            <v>ΝΑΙ</v>
          </cell>
          <cell r="O2508" t="str">
            <v/>
          </cell>
        </row>
        <row r="2509">
          <cell r="D2509" t="str">
            <v>ΣΚΛΗΡΟΣ ΣΙΤΟΣ7986</v>
          </cell>
          <cell r="E2509" t="str">
            <v>ΣΙΤΟΣ ΣΚΛΗΡΟΣ VINCI</v>
          </cell>
          <cell r="F2509" t="str">
            <v>B_1_1_2</v>
          </cell>
          <cell r="G2509" t="str">
            <v>Σκληρό σιτάρι</v>
          </cell>
          <cell r="H2509">
            <v>324</v>
          </cell>
          <cell r="K2509" t="str">
            <v>Ναι</v>
          </cell>
          <cell r="L2509" t="str">
            <v>ΝΑΙ</v>
          </cell>
          <cell r="O2509" t="str">
            <v/>
          </cell>
        </row>
        <row r="2510">
          <cell r="D2510" t="str">
            <v>ΣΚΛΗΡΟΣ ΣΙΤΟΣ7987</v>
          </cell>
          <cell r="E2510" t="str">
            <v>ΣΙΤΟΣ ΣΚΛΗΡΟΣ VIRGILIO</v>
          </cell>
          <cell r="F2510" t="str">
            <v>B_1_1_2</v>
          </cell>
          <cell r="G2510" t="str">
            <v>Σκληρό σιτάρι</v>
          </cell>
          <cell r="H2510">
            <v>324</v>
          </cell>
          <cell r="K2510" t="str">
            <v>Ναι</v>
          </cell>
          <cell r="L2510" t="str">
            <v>ΝΑΙ</v>
          </cell>
          <cell r="O2510" t="str">
            <v/>
          </cell>
        </row>
        <row r="2511">
          <cell r="D2511" t="str">
            <v>ΣΚΛΗΡΟΣ ΣΙΤΟΣ7988</v>
          </cell>
          <cell r="E2511" t="str">
            <v>ΣΙΤΟΣ ΣΚΛΗΡΟΣ VITRICO</v>
          </cell>
          <cell r="F2511" t="str">
            <v>B_1_1_2</v>
          </cell>
          <cell r="G2511" t="str">
            <v>Σκληρό σιτάρι</v>
          </cell>
          <cell r="H2511">
            <v>324</v>
          </cell>
          <cell r="K2511" t="str">
            <v>Ναι</v>
          </cell>
          <cell r="L2511" t="str">
            <v>ΝΑΙ</v>
          </cell>
          <cell r="O2511" t="str">
            <v/>
          </cell>
        </row>
        <row r="2512">
          <cell r="D2512" t="str">
            <v>ΣΚΛΗΡΟΣ ΣΙΤΟΣ7989</v>
          </cell>
          <cell r="E2512" t="str">
            <v>ΣΙΤΟΣ ΣΚΛΗΡΟΣ VITROMAX</v>
          </cell>
          <cell r="F2512" t="str">
            <v>B_1_1_2</v>
          </cell>
          <cell r="G2512" t="str">
            <v>Σκληρό σιτάρι</v>
          </cell>
          <cell r="H2512">
            <v>324</v>
          </cell>
          <cell r="K2512" t="str">
            <v>Ναι</v>
          </cell>
          <cell r="L2512" t="str">
            <v>ΝΑΙ</v>
          </cell>
          <cell r="O2512" t="str">
            <v/>
          </cell>
        </row>
        <row r="2513">
          <cell r="D2513" t="str">
            <v>ΣΚΛΗΡΟΣ ΣΙΤΟΣ7990</v>
          </cell>
          <cell r="E2513" t="str">
            <v>ΣΙΤΟΣ ΣΚΛΗΡΟΣ VITRON</v>
          </cell>
          <cell r="F2513" t="str">
            <v>B_1_1_2</v>
          </cell>
          <cell r="G2513" t="str">
            <v>Σκληρό σιτάρι</v>
          </cell>
          <cell r="H2513">
            <v>324</v>
          </cell>
          <cell r="K2513" t="str">
            <v>Ναι</v>
          </cell>
          <cell r="L2513" t="str">
            <v>ΝΑΙ</v>
          </cell>
          <cell r="O2513" t="str">
            <v/>
          </cell>
        </row>
        <row r="2514">
          <cell r="D2514" t="str">
            <v>ΣΚΛΗΡΟΣ ΣΙΤΟΣ7991</v>
          </cell>
          <cell r="E2514" t="str">
            <v>ΣΙΤΟΣ ΣΚΛΗΡΟΣ ACALOU</v>
          </cell>
          <cell r="F2514" t="str">
            <v>B_1_1_2</v>
          </cell>
          <cell r="G2514" t="str">
            <v>Σκληρό σιτάρι</v>
          </cell>
          <cell r="H2514">
            <v>324</v>
          </cell>
          <cell r="K2514" t="str">
            <v>Ναι</v>
          </cell>
          <cell r="L2514" t="str">
            <v>ΝΑΙ</v>
          </cell>
          <cell r="O2514" t="str">
            <v/>
          </cell>
        </row>
        <row r="2515">
          <cell r="D2515" t="str">
            <v>ΣΚΛΗΡΟΣ ΣΙΤΟΣ7992</v>
          </cell>
          <cell r="E2515" t="str">
            <v>ΣΙΤΟΣ ΣΚΛΗΡΟΣ AGRIDUR</v>
          </cell>
          <cell r="F2515" t="str">
            <v>B_1_1_2</v>
          </cell>
          <cell r="G2515" t="str">
            <v>Σκληρό σιτάρι</v>
          </cell>
          <cell r="H2515">
            <v>324</v>
          </cell>
          <cell r="K2515" t="str">
            <v>Ναι</v>
          </cell>
          <cell r="L2515" t="str">
            <v>ΝΑΙ</v>
          </cell>
          <cell r="O2515" t="str">
            <v/>
          </cell>
        </row>
        <row r="2516">
          <cell r="D2516" t="str">
            <v>ΣΚΛΗΡΟΣ ΣΙΤΟΣ7993</v>
          </cell>
          <cell r="E2516" t="str">
            <v>ΣΙΤΟΣ ΣΚΛΗΡΟΣ ALLUR</v>
          </cell>
          <cell r="F2516" t="str">
            <v>B_1_1_2</v>
          </cell>
          <cell r="G2516" t="str">
            <v>Σκληρό σιτάρι</v>
          </cell>
          <cell r="H2516">
            <v>324</v>
          </cell>
          <cell r="K2516" t="str">
            <v>Ναι</v>
          </cell>
          <cell r="L2516" t="str">
            <v>ΝΑΙ</v>
          </cell>
          <cell r="O2516" t="str">
            <v/>
          </cell>
        </row>
        <row r="2517">
          <cell r="D2517" t="str">
            <v>ΣΚΛΗΡΟΣ ΣΙΤΟΣ7994</v>
          </cell>
          <cell r="E2517" t="str">
            <v>ΣΙΤΟΣ ΣΚΛΗΡΟΣ AMOSIS</v>
          </cell>
          <cell r="F2517" t="str">
            <v>B_1_1_2</v>
          </cell>
          <cell r="G2517" t="str">
            <v>Σκληρό σιτάρι</v>
          </cell>
          <cell r="H2517">
            <v>324</v>
          </cell>
          <cell r="K2517" t="str">
            <v>Ναι</v>
          </cell>
          <cell r="L2517" t="str">
            <v>ΝΑΙ</v>
          </cell>
          <cell r="O2517" t="str">
            <v/>
          </cell>
        </row>
        <row r="2518">
          <cell r="D2518" t="str">
            <v>ΣΚΛΗΡΟΣ ΣΙΤΟΣ7995</v>
          </cell>
          <cell r="E2518" t="str">
            <v>ΣΙΤΟΣ ΣΚΛΗΡΟΣ ARAMON</v>
          </cell>
          <cell r="F2518" t="str">
            <v>B_1_1_2</v>
          </cell>
          <cell r="G2518" t="str">
            <v>Σκληρό σιτάρι</v>
          </cell>
          <cell r="H2518">
            <v>324</v>
          </cell>
          <cell r="K2518" t="str">
            <v>Ναι</v>
          </cell>
          <cell r="L2518" t="str">
            <v>ΝΑΙ</v>
          </cell>
          <cell r="O2518" t="str">
            <v/>
          </cell>
        </row>
        <row r="2519">
          <cell r="D2519" t="str">
            <v>ΣΚΛΗΡΟΣ ΣΙΤΟΣ7996</v>
          </cell>
          <cell r="E2519" t="str">
            <v>ΣΙΤΟΣ ΣΚΛΗΡΟΣ ARCALIS</v>
          </cell>
          <cell r="F2519" t="str">
            <v>B_1_1_2</v>
          </cell>
          <cell r="G2519" t="str">
            <v>Σκληρό σιτάρι</v>
          </cell>
          <cell r="H2519">
            <v>324</v>
          </cell>
          <cell r="K2519" t="str">
            <v>Ναι</v>
          </cell>
          <cell r="L2519" t="str">
            <v>ΝΑΙ</v>
          </cell>
          <cell r="O2519" t="str">
            <v/>
          </cell>
        </row>
        <row r="2520">
          <cell r="D2520" t="str">
            <v>ΣΚΛΗΡΟΣ ΣΙΤΟΣ7997</v>
          </cell>
          <cell r="E2520" t="str">
            <v>ΣΙΤΟΣ ΣΚΛΗΡΟΣ ARGELES</v>
          </cell>
          <cell r="F2520" t="str">
            <v>B_1_1_2</v>
          </cell>
          <cell r="G2520" t="str">
            <v>Σκληρό σιτάρι</v>
          </cell>
          <cell r="H2520">
            <v>324</v>
          </cell>
          <cell r="K2520" t="str">
            <v>Ναι</v>
          </cell>
          <cell r="L2520" t="str">
            <v>ΝΑΙ</v>
          </cell>
          <cell r="O2520" t="str">
            <v/>
          </cell>
        </row>
        <row r="2521">
          <cell r="D2521" t="str">
            <v>ΣΚΛΗΡΟΣ ΣΙΤΟΣ7998</v>
          </cell>
          <cell r="E2521" t="str">
            <v>ΣΙΤΟΣ ΣΚΛΗΡΟΣ ARSTAR</v>
          </cell>
          <cell r="F2521" t="str">
            <v>B_1_1_2</v>
          </cell>
          <cell r="G2521" t="str">
            <v>Σκληρό σιτάρι</v>
          </cell>
          <cell r="H2521">
            <v>324</v>
          </cell>
          <cell r="K2521" t="str">
            <v>Ναι</v>
          </cell>
          <cell r="L2521" t="str">
            <v>ΝΑΙ</v>
          </cell>
          <cell r="O2521" t="str">
            <v/>
          </cell>
        </row>
        <row r="2522">
          <cell r="D2522" t="str">
            <v>ΣΚΛΗΡΟΣ ΣΙΤΟΣ7999</v>
          </cell>
          <cell r="E2522" t="str">
            <v>ΣΙΤΟΣ ΣΚΛΗΡΟΣ ARTIMON</v>
          </cell>
          <cell r="F2522" t="str">
            <v>B_1_1_2</v>
          </cell>
          <cell r="G2522" t="str">
            <v>Σκληρό σιτάρι</v>
          </cell>
          <cell r="H2522">
            <v>324</v>
          </cell>
          <cell r="K2522" t="str">
            <v>Ναι</v>
          </cell>
          <cell r="L2522" t="str">
            <v>ΝΑΙ</v>
          </cell>
          <cell r="O2522" t="str">
            <v/>
          </cell>
        </row>
        <row r="2523">
          <cell r="D2523" t="str">
            <v>ΣΚΛΗΡΟΣ ΣΙΤΟΣ9000</v>
          </cell>
          <cell r="E2523" t="str">
            <v>ΣΙΤΟΣ ΣΚΛΗΡΟΣ AUROC</v>
          </cell>
          <cell r="F2523" t="str">
            <v>B_1_1_2</v>
          </cell>
          <cell r="G2523" t="str">
            <v>Σκληρό σιτάρι</v>
          </cell>
          <cell r="H2523">
            <v>324</v>
          </cell>
          <cell r="K2523" t="str">
            <v>Ναι</v>
          </cell>
          <cell r="L2523" t="str">
            <v>ΝΑΙ</v>
          </cell>
          <cell r="O2523" t="str">
            <v/>
          </cell>
        </row>
        <row r="2524">
          <cell r="D2524" t="str">
            <v>ΣΚΛΗΡΟΣ ΣΙΤΟΣ9001</v>
          </cell>
          <cell r="E2524" t="str">
            <v>ΣΙΤΟΣ ΣΚΛΗΡΟΣ BARCAROL</v>
          </cell>
          <cell r="F2524" t="str">
            <v>B_1_1_2</v>
          </cell>
          <cell r="G2524" t="str">
            <v>Σκληρό σιτάρι</v>
          </cell>
          <cell r="H2524">
            <v>324</v>
          </cell>
          <cell r="K2524" t="str">
            <v>Ναι</v>
          </cell>
          <cell r="L2524" t="str">
            <v>ΝΑΙ</v>
          </cell>
          <cell r="O2524" t="str">
            <v/>
          </cell>
        </row>
        <row r="2525">
          <cell r="D2525" t="str">
            <v>ΣΚΛΗΡΟΣ ΣΙΤΟΣ9002</v>
          </cell>
          <cell r="E2525" t="str">
            <v>ΣΙΤΟΣ ΣΚΛΗΡΟΣ BIENSUR</v>
          </cell>
          <cell r="F2525" t="str">
            <v>B_1_1_2</v>
          </cell>
          <cell r="G2525" t="str">
            <v>Σκληρό σιτάρι</v>
          </cell>
          <cell r="H2525">
            <v>324</v>
          </cell>
          <cell r="K2525" t="str">
            <v>Ναι</v>
          </cell>
          <cell r="L2525" t="str">
            <v>ΝΑΙ</v>
          </cell>
          <cell r="O2525" t="str">
            <v/>
          </cell>
        </row>
        <row r="2526">
          <cell r="D2526" t="str">
            <v>ΣΚΛΗΡΟΣ ΣΙΤΟΣ9003</v>
          </cell>
          <cell r="E2526" t="str">
            <v>ΣΙΤΟΣ ΣΚΛΗΡΟΣ BYBLOS</v>
          </cell>
          <cell r="F2526" t="str">
            <v>B_1_1_2</v>
          </cell>
          <cell r="G2526" t="str">
            <v>Σκληρό σιτάρι</v>
          </cell>
          <cell r="H2526">
            <v>324</v>
          </cell>
          <cell r="K2526" t="str">
            <v>Ναι</v>
          </cell>
          <cell r="L2526" t="str">
            <v>ΝΑΙ</v>
          </cell>
          <cell r="O2526" t="str">
            <v/>
          </cell>
        </row>
        <row r="2527">
          <cell r="D2527" t="str">
            <v>ΣΚΛΗΡΟΣ ΣΙΤΟΣ9004</v>
          </cell>
          <cell r="E2527" t="str">
            <v>ΣΙΤΟΣ ΣΚΛΗΡΟΣ DURIAC</v>
          </cell>
          <cell r="F2527" t="str">
            <v>B_1_1_2</v>
          </cell>
          <cell r="G2527" t="str">
            <v>Σκληρό σιτάρι</v>
          </cell>
          <cell r="H2527">
            <v>324</v>
          </cell>
          <cell r="K2527" t="str">
            <v>Ναι</v>
          </cell>
          <cell r="L2527" t="str">
            <v>ΝΑΙ</v>
          </cell>
          <cell r="O2527" t="str">
            <v/>
          </cell>
        </row>
        <row r="2528">
          <cell r="D2528" t="str">
            <v>ΣΚΛΗΡΟΣ ΣΙΤΟΣ9005</v>
          </cell>
          <cell r="E2528" t="str">
            <v>ΣΙΤΟΣ ΣΚΛΗΡΟΣ EXCALIBUR</v>
          </cell>
          <cell r="F2528" t="str">
            <v>B_1_1_2</v>
          </cell>
          <cell r="G2528" t="str">
            <v>Σκληρό σιτάρι</v>
          </cell>
          <cell r="H2528">
            <v>324</v>
          </cell>
          <cell r="K2528" t="str">
            <v>Ναι</v>
          </cell>
          <cell r="L2528" t="str">
            <v>ΝΑΙ</v>
          </cell>
          <cell r="O2528" t="str">
            <v/>
          </cell>
        </row>
        <row r="2529">
          <cell r="D2529" t="str">
            <v>ΣΚΛΗΡΟΣ ΣΙΤΟΣ9006</v>
          </cell>
          <cell r="E2529" t="str">
            <v>ΣΙΤΟΣ ΣΚΛΗΡΟΣ EXELDUR</v>
          </cell>
          <cell r="F2529" t="str">
            <v>B_1_1_2</v>
          </cell>
          <cell r="G2529" t="str">
            <v>Σκληρό σιτάρι</v>
          </cell>
          <cell r="H2529">
            <v>324</v>
          </cell>
          <cell r="K2529" t="str">
            <v>Ναι</v>
          </cell>
          <cell r="L2529" t="str">
            <v>ΝΑΙ</v>
          </cell>
          <cell r="O2529" t="str">
            <v/>
          </cell>
        </row>
        <row r="2530">
          <cell r="D2530" t="str">
            <v>ΣΚΛΗΡΟΣ ΣΙΤΟΣ9007</v>
          </cell>
          <cell r="E2530" t="str">
            <v>ΣΙΤΟΣ ΣΚΛΗΡΟΣ GALADUR</v>
          </cell>
          <cell r="F2530" t="str">
            <v>B_1_1_2</v>
          </cell>
          <cell r="G2530" t="str">
            <v>Σκληρό σιτάρι</v>
          </cell>
          <cell r="H2530">
            <v>324</v>
          </cell>
          <cell r="K2530" t="str">
            <v>Ναι</v>
          </cell>
          <cell r="L2530" t="str">
            <v>ΝΑΙ</v>
          </cell>
          <cell r="O2530" t="str">
            <v/>
          </cell>
        </row>
        <row r="2531">
          <cell r="D2531" t="str">
            <v>ΣΚΛΗΡΟΣ ΣΙΤΟΣ9008</v>
          </cell>
          <cell r="E2531" t="str">
            <v>ΣΙΤΟΣ ΣΚΛΗΡΟΣ GARIC</v>
          </cell>
          <cell r="F2531" t="str">
            <v>B_1_1_2</v>
          </cell>
          <cell r="G2531" t="str">
            <v>Σκληρό σιτάρι</v>
          </cell>
          <cell r="H2531">
            <v>324</v>
          </cell>
          <cell r="K2531" t="str">
            <v>Ναι</v>
          </cell>
          <cell r="L2531" t="str">
            <v>ΝΑΙ</v>
          </cell>
          <cell r="O2531" t="str">
            <v/>
          </cell>
        </row>
        <row r="2532">
          <cell r="D2532" t="str">
            <v>ΣΚΛΗΡΟΣ ΣΙΤΟΣ9009</v>
          </cell>
          <cell r="E2532" t="str">
            <v>ΣΙΤΟΣ ΣΚΛΗΡΟΣ JANEIRO</v>
          </cell>
          <cell r="F2532" t="str">
            <v>B_1_1_2</v>
          </cell>
          <cell r="G2532" t="str">
            <v>Σκληρό σιτάρι</v>
          </cell>
          <cell r="H2532">
            <v>324</v>
          </cell>
          <cell r="K2532" t="str">
            <v>Ναι</v>
          </cell>
          <cell r="L2532" t="str">
            <v>ΝΑΙ</v>
          </cell>
          <cell r="O2532" t="str">
            <v/>
          </cell>
        </row>
        <row r="2533">
          <cell r="D2533" t="str">
            <v>ΣΚΛΗΡΟΣ ΣΙΤΟΣ9010</v>
          </cell>
          <cell r="E2533" t="str">
            <v>ΣΙΤΟΣ ΣΚΛΗΡΟΣ JOYAU</v>
          </cell>
          <cell r="F2533" t="str">
            <v>B_1_1_2</v>
          </cell>
          <cell r="G2533" t="str">
            <v>Σκληρό σιτάρι</v>
          </cell>
          <cell r="H2533">
            <v>324</v>
          </cell>
          <cell r="K2533" t="str">
            <v>Ναι</v>
          </cell>
          <cell r="L2533" t="str">
            <v>ΝΑΙ</v>
          </cell>
          <cell r="O2533" t="str">
            <v/>
          </cell>
        </row>
        <row r="2534">
          <cell r="D2534" t="str">
            <v>ΣΚΛΗΡΟΣ ΣΙΤΟΣ9011</v>
          </cell>
          <cell r="E2534" t="str">
            <v>ΣΙΤΟΣ ΣΚΛΗΡΟΣ KARUR</v>
          </cell>
          <cell r="F2534" t="str">
            <v>B_1_1_2</v>
          </cell>
          <cell r="G2534" t="str">
            <v>Σκληρό σιτάρι</v>
          </cell>
          <cell r="H2534">
            <v>324</v>
          </cell>
          <cell r="K2534" t="str">
            <v>Ναι</v>
          </cell>
          <cell r="L2534" t="str">
            <v>ΝΑΙ</v>
          </cell>
          <cell r="O2534" t="str">
            <v/>
          </cell>
        </row>
        <row r="2535">
          <cell r="D2535" t="str">
            <v>ΣΚΛΗΡΟΣ ΣΙΤΟΣ9012</v>
          </cell>
          <cell r="E2535" t="str">
            <v>ΣΙΤΟΣ ΣΚΛΗΡΟΣ LEMUR</v>
          </cell>
          <cell r="F2535" t="str">
            <v>B_1_1_2</v>
          </cell>
          <cell r="G2535" t="str">
            <v>Σκληρό σιτάρι</v>
          </cell>
          <cell r="H2535">
            <v>324</v>
          </cell>
          <cell r="K2535" t="str">
            <v>Ναι</v>
          </cell>
          <cell r="L2535" t="str">
            <v>ΝΑΙ</v>
          </cell>
          <cell r="O2535" t="str">
            <v/>
          </cell>
        </row>
        <row r="2536">
          <cell r="D2536" t="str">
            <v>ΣΚΛΗΡΟΣ ΣΙΤΟΣ9013</v>
          </cell>
          <cell r="E2536" t="str">
            <v>ΣΙΤΟΣ ΣΚΛΗΡΟΣ LLOYD</v>
          </cell>
          <cell r="F2536" t="str">
            <v>B_1_1_2</v>
          </cell>
          <cell r="G2536" t="str">
            <v>Σκληρό σιτάρι</v>
          </cell>
          <cell r="H2536">
            <v>324</v>
          </cell>
          <cell r="K2536" t="str">
            <v>Ναι</v>
          </cell>
          <cell r="L2536" t="str">
            <v>ΝΑΙ</v>
          </cell>
          <cell r="O2536" t="str">
            <v/>
          </cell>
        </row>
        <row r="2537">
          <cell r="D2537" t="str">
            <v>ΣΚΛΗΡΟΣ ΣΙΤΟΣ9014</v>
          </cell>
          <cell r="E2537" t="str">
            <v>ΣΙΤΟΣ ΣΚΛΗΡΟΣ MONTSEGUR</v>
          </cell>
          <cell r="F2537" t="str">
            <v>B_1_1_2</v>
          </cell>
          <cell r="G2537" t="str">
            <v>Σκληρό σιτάρι</v>
          </cell>
          <cell r="H2537">
            <v>324</v>
          </cell>
          <cell r="K2537" t="str">
            <v>Ναι</v>
          </cell>
          <cell r="L2537" t="str">
            <v>ΝΑΙ</v>
          </cell>
          <cell r="O2537" t="str">
            <v/>
          </cell>
        </row>
        <row r="2538">
          <cell r="D2538" t="str">
            <v>ΣΚΛΗΡΟΣ ΣΙΤΟΣ9015</v>
          </cell>
          <cell r="E2538" t="str">
            <v>ΣΙΤΟΣ ΣΚΛΗΡΟΣ NOVADUR</v>
          </cell>
          <cell r="F2538" t="str">
            <v>B_1_1_2</v>
          </cell>
          <cell r="G2538" t="str">
            <v>Σκληρό σιτάρι</v>
          </cell>
          <cell r="H2538">
            <v>324</v>
          </cell>
          <cell r="K2538" t="str">
            <v>Ναι</v>
          </cell>
          <cell r="L2538" t="str">
            <v>ΝΑΙ</v>
          </cell>
          <cell r="O2538" t="str">
            <v/>
          </cell>
        </row>
        <row r="2539">
          <cell r="D2539" t="str">
            <v>ΣΚΛΗΡΟΣ ΣΙΤΟΣ9016</v>
          </cell>
          <cell r="E2539" t="str">
            <v>ΣΙΤΟΣ ΣΚΛΗΡΟΣ ORJAUNE</v>
          </cell>
          <cell r="F2539" t="str">
            <v>B_1_1_2</v>
          </cell>
          <cell r="G2539" t="str">
            <v>Σκληρό σιτάρι</v>
          </cell>
          <cell r="H2539">
            <v>324</v>
          </cell>
          <cell r="K2539" t="str">
            <v>Ναι</v>
          </cell>
          <cell r="L2539" t="str">
            <v>ΝΑΙ</v>
          </cell>
          <cell r="O2539" t="str">
            <v/>
          </cell>
        </row>
        <row r="2540">
          <cell r="D2540" t="str">
            <v>ΣΚΛΗΡΟΣ ΣΙΤΟΣ9017</v>
          </cell>
          <cell r="E2540" t="str">
            <v>ΣΙΤΟΣ ΣΚΛΗΡΟΣ ORLU</v>
          </cell>
          <cell r="F2540" t="str">
            <v>B_1_1_2</v>
          </cell>
          <cell r="G2540" t="str">
            <v>Σκληρό σιτάρι</v>
          </cell>
          <cell r="H2540">
            <v>324</v>
          </cell>
          <cell r="K2540" t="str">
            <v>Ναι</v>
          </cell>
          <cell r="L2540" t="str">
            <v>ΝΑΙ</v>
          </cell>
          <cell r="O2540" t="str">
            <v/>
          </cell>
        </row>
        <row r="2541">
          <cell r="D2541" t="str">
            <v>ΣΚΛΗΡΟΣ ΣΙΤΟΣ9019</v>
          </cell>
          <cell r="E2541" t="str">
            <v>ΣΙΤΟΣ ΣΚΛΗΡΟΣ REAUMUR</v>
          </cell>
          <cell r="F2541" t="str">
            <v>B_1_1_2</v>
          </cell>
          <cell r="G2541" t="str">
            <v>Σκληρό σιτάρι</v>
          </cell>
          <cell r="H2541">
            <v>324</v>
          </cell>
          <cell r="K2541" t="str">
            <v>Ναι</v>
          </cell>
          <cell r="L2541" t="str">
            <v>ΝΑΙ</v>
          </cell>
          <cell r="O2541" t="str">
            <v/>
          </cell>
        </row>
        <row r="2542">
          <cell r="D2542" t="str">
            <v>ΣΚΛΗΡΟΣ ΣΙΤΟΣ9020</v>
          </cell>
          <cell r="E2542" t="str">
            <v>ΣΙΤΟΣ ΣΚΛΗΡΟΣ SACHEM</v>
          </cell>
          <cell r="F2542" t="str">
            <v>B_1_1_2</v>
          </cell>
          <cell r="G2542" t="str">
            <v>Σκληρό σιτάρι</v>
          </cell>
          <cell r="H2542">
            <v>324</v>
          </cell>
          <cell r="K2542" t="str">
            <v>Ναι</v>
          </cell>
          <cell r="L2542" t="str">
            <v>ΝΑΙ</v>
          </cell>
          <cell r="O2542" t="str">
            <v/>
          </cell>
        </row>
        <row r="2543">
          <cell r="D2543" t="str">
            <v>ΣΚΛΗΡΟΣ ΣΙΤΟΣ9021</v>
          </cell>
          <cell r="E2543" t="str">
            <v>ΣΙΤΟΣ ΣΚΛΗΡΟΣ SALSA</v>
          </cell>
          <cell r="F2543" t="str">
            <v>B_1_1_2</v>
          </cell>
          <cell r="G2543" t="str">
            <v>Σκληρό σιτάρι</v>
          </cell>
          <cell r="H2543">
            <v>324</v>
          </cell>
          <cell r="K2543" t="str">
            <v>Ναι</v>
          </cell>
          <cell r="L2543" t="str">
            <v>ΝΑΙ</v>
          </cell>
          <cell r="O2543" t="str">
            <v/>
          </cell>
        </row>
        <row r="2544">
          <cell r="D2544" t="str">
            <v>ΣΚΛΗΡΟΣ ΣΙΤΟΣ9022</v>
          </cell>
          <cell r="E2544" t="str">
            <v>ΣΙΤΟΣ ΣΚΛΗΡΟΣ VIVADUR</v>
          </cell>
          <cell r="F2544" t="str">
            <v>B_1_1_2</v>
          </cell>
          <cell r="G2544" t="str">
            <v>Σκληρό σιτάρι</v>
          </cell>
          <cell r="H2544">
            <v>324</v>
          </cell>
          <cell r="K2544" t="str">
            <v>Ναι</v>
          </cell>
          <cell r="L2544" t="str">
            <v>ΝΑΙ</v>
          </cell>
          <cell r="O2544" t="str">
            <v/>
          </cell>
        </row>
        <row r="2545">
          <cell r="D2545" t="str">
            <v>ΣΚΛΗΡΟΣ ΣΙΤΟΣ9023</v>
          </cell>
          <cell r="E2545" t="str">
            <v>ΣΙΤΟΣ ΣΚΛΗΡΟΣ ALACON</v>
          </cell>
          <cell r="F2545" t="str">
            <v>B_1_1_2</v>
          </cell>
          <cell r="G2545" t="str">
            <v>Σκληρό σιτάρι</v>
          </cell>
          <cell r="H2545">
            <v>324</v>
          </cell>
          <cell r="K2545" t="str">
            <v>Ναι</v>
          </cell>
          <cell r="L2545" t="str">
            <v>ΝΑΙ</v>
          </cell>
          <cell r="O2545" t="str">
            <v/>
          </cell>
        </row>
        <row r="2546">
          <cell r="D2546" t="str">
            <v>ΣΚΛΗΡΟΣ ΣΙΤΟΣ9024</v>
          </cell>
          <cell r="E2546" t="str">
            <v>ΣΙΤΟΣ ΣΚΛΗΡΟΣ ALDEANO</v>
          </cell>
          <cell r="F2546" t="str">
            <v>B_1_1_2</v>
          </cell>
          <cell r="G2546" t="str">
            <v>Σκληρό σιτάρι</v>
          </cell>
          <cell r="H2546">
            <v>324</v>
          </cell>
          <cell r="K2546" t="str">
            <v>Ναι</v>
          </cell>
          <cell r="L2546" t="str">
            <v>ΝΑΙ</v>
          </cell>
          <cell r="O2546" t="str">
            <v/>
          </cell>
        </row>
        <row r="2547">
          <cell r="D2547" t="str">
            <v>ΣΚΛΗΡΟΣ ΣΙΤΟΣ9025</v>
          </cell>
          <cell r="E2547" t="str">
            <v>ΣΙΤΟΣ ΣΚΛΗΡΟΣ ALDURA</v>
          </cell>
          <cell r="F2547" t="str">
            <v>B_1_1_2</v>
          </cell>
          <cell r="G2547" t="str">
            <v>Σκληρό σιτάρι</v>
          </cell>
          <cell r="H2547">
            <v>324</v>
          </cell>
          <cell r="K2547" t="str">
            <v>Ναι</v>
          </cell>
          <cell r="L2547" t="str">
            <v>ΝΑΙ</v>
          </cell>
          <cell r="O2547" t="str">
            <v/>
          </cell>
        </row>
        <row r="2548">
          <cell r="D2548" t="str">
            <v>ΣΚΛΗΡΟΣ ΣΙΤΟΣ9026</v>
          </cell>
          <cell r="E2548" t="str">
            <v>ΣΙΤΟΣ ΣΚΛΗΡΟΣ ALTAR-AOS</v>
          </cell>
          <cell r="F2548" t="str">
            <v>B_1_1_2</v>
          </cell>
          <cell r="G2548" t="str">
            <v>Σκληρό σιτάρι</v>
          </cell>
          <cell r="H2548">
            <v>324</v>
          </cell>
          <cell r="K2548" t="str">
            <v>Ναι</v>
          </cell>
          <cell r="L2548" t="str">
            <v>ΝΑΙ</v>
          </cell>
          <cell r="O2548" t="str">
            <v/>
          </cell>
        </row>
        <row r="2549">
          <cell r="D2549" t="str">
            <v>ΣΚΛΗΡΟΣ ΣΙΤΟΣ9027</v>
          </cell>
          <cell r="E2549" t="str">
            <v>ΣΙΤΟΣ ΣΚΛΗΡΟΣ AMILCAR (ALMANSUR)</v>
          </cell>
          <cell r="F2549" t="str">
            <v>B_1_1_2</v>
          </cell>
          <cell r="G2549" t="str">
            <v>Σκληρό σιτάρι</v>
          </cell>
          <cell r="H2549">
            <v>324</v>
          </cell>
          <cell r="K2549" t="str">
            <v>Ναι</v>
          </cell>
          <cell r="L2549" t="str">
            <v>ΝΑΙ</v>
          </cell>
          <cell r="O2549" t="str">
            <v/>
          </cell>
        </row>
        <row r="2550">
          <cell r="D2550" t="str">
            <v>ΣΚΛΗΡΟΣ ΣΙΤΟΣ9028</v>
          </cell>
          <cell r="E2550" t="str">
            <v>ΣΙΤΟΣ ΣΚΛΗΡΟΣ ANIBAL</v>
          </cell>
          <cell r="F2550" t="str">
            <v>B_1_1_2</v>
          </cell>
          <cell r="G2550" t="str">
            <v>Σκληρό σιτάρι</v>
          </cell>
          <cell r="H2550">
            <v>324</v>
          </cell>
          <cell r="K2550" t="str">
            <v>Ναι</v>
          </cell>
          <cell r="L2550" t="str">
            <v>ΝΑΙ</v>
          </cell>
          <cell r="O2550" t="str">
            <v/>
          </cell>
        </row>
        <row r="2551">
          <cell r="D2551" t="str">
            <v>ΣΚΛΗΡΟΣ ΣΙΤΟΣ9029</v>
          </cell>
          <cell r="E2551" t="str">
            <v>ΣΙΤΟΣ ΣΚΛΗΡΟΣ ANTON</v>
          </cell>
          <cell r="F2551" t="str">
            <v>B_1_1_2</v>
          </cell>
          <cell r="G2551" t="str">
            <v>Σκληρό σιτάρι</v>
          </cell>
          <cell r="H2551">
            <v>324</v>
          </cell>
          <cell r="K2551" t="str">
            <v>Ναι</v>
          </cell>
          <cell r="L2551" t="str">
            <v>ΝΑΙ</v>
          </cell>
          <cell r="O2551" t="str">
            <v/>
          </cell>
        </row>
        <row r="2552">
          <cell r="D2552" t="str">
            <v>ΣΚΛΗΡΟΣ ΣΙΤΟΣ9030</v>
          </cell>
          <cell r="E2552" t="str">
            <v>ΣΙΤΟΣ ΣΚΛΗΡΟΣ ARACENA</v>
          </cell>
          <cell r="F2552" t="str">
            <v>B_1_1_2</v>
          </cell>
          <cell r="G2552" t="str">
            <v>Σκληρό σιτάρι</v>
          </cell>
          <cell r="H2552">
            <v>324</v>
          </cell>
          <cell r="K2552" t="str">
            <v>Ναι</v>
          </cell>
          <cell r="L2552" t="str">
            <v>ΝΑΙ</v>
          </cell>
          <cell r="O2552" t="str">
            <v/>
          </cell>
        </row>
        <row r="2553">
          <cell r="D2553" t="str">
            <v>ΣΚΛΗΡΟΣ ΣΙΤΟΣ9031</v>
          </cell>
          <cell r="E2553" t="str">
            <v>ΣΙΤΟΣ ΣΚΛΗΡΟΣ ARCODURO</v>
          </cell>
          <cell r="F2553" t="str">
            <v>B_1_1_2</v>
          </cell>
          <cell r="G2553" t="str">
            <v>Σκληρό σιτάρι</v>
          </cell>
          <cell r="H2553">
            <v>324</v>
          </cell>
          <cell r="K2553" t="str">
            <v>Ναι</v>
          </cell>
          <cell r="L2553" t="str">
            <v>ΝΑΙ</v>
          </cell>
          <cell r="O2553" t="str">
            <v/>
          </cell>
        </row>
        <row r="2554">
          <cell r="D2554" t="str">
            <v>ΣΚΛΗΡΟΣ ΣΙΤΟΣ9032</v>
          </cell>
          <cell r="E2554" t="str">
            <v>ΣΙΤΟΣ ΣΚΛΗΡΟΣ ARGOS</v>
          </cell>
          <cell r="F2554" t="str">
            <v>B_1_1_2</v>
          </cell>
          <cell r="G2554" t="str">
            <v>Σκληρό σιτάρι</v>
          </cell>
          <cell r="H2554">
            <v>324</v>
          </cell>
          <cell r="K2554" t="str">
            <v>Ναι</v>
          </cell>
          <cell r="L2554" t="str">
            <v>ΝΑΙ</v>
          </cell>
          <cell r="O2554" t="str">
            <v/>
          </cell>
        </row>
        <row r="2555">
          <cell r="D2555" t="str">
            <v>ΣΚΛΗΡΟΣ ΣΙΤΟΣ9033</v>
          </cell>
          <cell r="E2555" t="str">
            <v>ΣΙΤΟΣ ΣΚΛΗΡΟΣ ARIESOL</v>
          </cell>
          <cell r="F2555" t="str">
            <v>B_1_1_2</v>
          </cell>
          <cell r="G2555" t="str">
            <v>Σκληρό σιτάρι</v>
          </cell>
          <cell r="H2555">
            <v>324</v>
          </cell>
          <cell r="K2555" t="str">
            <v>Ναι</v>
          </cell>
          <cell r="L2555" t="str">
            <v>ΝΑΙ</v>
          </cell>
          <cell r="O2555" t="str">
            <v/>
          </cell>
        </row>
        <row r="2556">
          <cell r="D2556" t="str">
            <v>ΣΚΛΗΡΟΣ ΣΙΤΟΣ9034</v>
          </cell>
          <cell r="E2556" t="str">
            <v>ΣΙΤΟΣ ΣΚΛΗΡΟΣ ARONDE</v>
          </cell>
          <cell r="F2556" t="str">
            <v>B_1_1_2</v>
          </cell>
          <cell r="G2556" t="str">
            <v>Σκληρό σιτάρι</v>
          </cell>
          <cell r="H2556">
            <v>324</v>
          </cell>
          <cell r="K2556" t="str">
            <v>Ναι</v>
          </cell>
          <cell r="L2556" t="str">
            <v>ΝΑΙ</v>
          </cell>
          <cell r="O2556" t="str">
            <v/>
          </cell>
        </row>
        <row r="2557">
          <cell r="D2557" t="str">
            <v>ΣΚΛΗΡΟΣ ΣΙΤΟΣ9035</v>
          </cell>
          <cell r="E2557" t="str">
            <v>ΣΙΤΟΣ ΣΚΛΗΡΟΣ ARQUERO</v>
          </cell>
          <cell r="F2557" t="str">
            <v>B_1_1_2</v>
          </cell>
          <cell r="G2557" t="str">
            <v>Σκληρό σιτάρι</v>
          </cell>
          <cell r="H2557">
            <v>324</v>
          </cell>
          <cell r="K2557" t="str">
            <v>Ναι</v>
          </cell>
          <cell r="L2557" t="str">
            <v>ΝΑΙ</v>
          </cell>
          <cell r="O2557" t="str">
            <v/>
          </cell>
        </row>
        <row r="2558">
          <cell r="D2558" t="str">
            <v>ΣΚΛΗΡΟΣ ΣΙΤΟΣ9036</v>
          </cell>
          <cell r="E2558" t="str">
            <v>ΣΙΤΟΣ ΣΚΛΗΡΟΣ ARTENA</v>
          </cell>
          <cell r="F2558" t="str">
            <v>B_1_1_2</v>
          </cell>
          <cell r="G2558" t="str">
            <v>Σκληρό σιτάρι</v>
          </cell>
          <cell r="H2558">
            <v>324</v>
          </cell>
          <cell r="K2558" t="str">
            <v>Ναι</v>
          </cell>
          <cell r="L2558" t="str">
            <v>ΝΑΙ</v>
          </cell>
          <cell r="O2558" t="str">
            <v/>
          </cell>
        </row>
        <row r="2559">
          <cell r="D2559" t="str">
            <v>ΣΚΛΗΡΟΣ ΣΙΤΟΣ9037</v>
          </cell>
          <cell r="E2559" t="str">
            <v>ΣΙΤΟΣ ΣΚΛΗΡΟΣ ASDRUBAL</v>
          </cell>
          <cell r="F2559" t="str">
            <v>B_1_1_2</v>
          </cell>
          <cell r="G2559" t="str">
            <v>Σκληρό σιτάρι</v>
          </cell>
          <cell r="H2559">
            <v>324</v>
          </cell>
          <cell r="K2559" t="str">
            <v>Ναι</v>
          </cell>
          <cell r="L2559" t="str">
            <v>ΝΑΙ</v>
          </cell>
          <cell r="O2559" t="str">
            <v/>
          </cell>
        </row>
        <row r="2560">
          <cell r="D2560" t="str">
            <v>ΣΚΛΗΡΟΣ ΣΙΤΟΣ9038</v>
          </cell>
          <cell r="E2560" t="str">
            <v>ΣΙΤΟΣ ΣΚΛΗΡΟΣ ASTIGI</v>
          </cell>
          <cell r="F2560" t="str">
            <v>B_1_1_2</v>
          </cell>
          <cell r="G2560" t="str">
            <v>Σκληρό σιτάρι</v>
          </cell>
          <cell r="H2560">
            <v>324</v>
          </cell>
          <cell r="K2560" t="str">
            <v>Ναι</v>
          </cell>
          <cell r="L2560" t="str">
            <v>ΝΑΙ</v>
          </cell>
          <cell r="O2560" t="str">
            <v/>
          </cell>
        </row>
        <row r="2561">
          <cell r="D2561" t="str">
            <v>ΣΚΛΗΡΟΣ ΣΙΤΟΣ9039</v>
          </cell>
          <cell r="E2561" t="str">
            <v>ΣΙΤΟΣ ΣΚΛΗΡΟΣ ASTRODUR</v>
          </cell>
          <cell r="F2561" t="str">
            <v>B_1_1_2</v>
          </cell>
          <cell r="G2561" t="str">
            <v>Σκληρό σιτάρι</v>
          </cell>
          <cell r="H2561">
            <v>324</v>
          </cell>
          <cell r="K2561" t="str">
            <v>Ναι</v>
          </cell>
          <cell r="L2561" t="str">
            <v>ΝΑΙ</v>
          </cell>
          <cell r="O2561" t="str">
            <v/>
          </cell>
        </row>
        <row r="2562">
          <cell r="D2562" t="str">
            <v>ΣΚΛΗΡΟΣ ΣΙΤΟΣ9040</v>
          </cell>
          <cell r="E2562" t="str">
            <v>ΣΙΤΟΣ ΣΚΛΗΡΟΣ ATTILA</v>
          </cell>
          <cell r="F2562" t="str">
            <v>B_1_1_2</v>
          </cell>
          <cell r="G2562" t="str">
            <v>Σκληρό σιτάρι</v>
          </cell>
          <cell r="H2562">
            <v>324</v>
          </cell>
          <cell r="K2562" t="str">
            <v>Ναι</v>
          </cell>
          <cell r="L2562" t="str">
            <v>ΝΑΙ</v>
          </cell>
          <cell r="O2562" t="str">
            <v/>
          </cell>
        </row>
        <row r="2563">
          <cell r="D2563" t="str">
            <v>ΣΚΛΗΡΟΣ ΣΙΤΟΣ9041</v>
          </cell>
          <cell r="E2563" t="str">
            <v>ΣΙΤΟΣ ΣΚΛΗΡΟΣ AVERROES</v>
          </cell>
          <cell r="F2563" t="str">
            <v>B_1_1_2</v>
          </cell>
          <cell r="G2563" t="str">
            <v>Σκληρό σιτάρι</v>
          </cell>
          <cell r="H2563">
            <v>324</v>
          </cell>
          <cell r="K2563" t="str">
            <v>Ναι</v>
          </cell>
          <cell r="L2563" t="str">
            <v>ΝΑΙ</v>
          </cell>
          <cell r="O2563" t="str">
            <v/>
          </cell>
        </row>
        <row r="2564">
          <cell r="D2564" t="str">
            <v>ΣΚΛΗΡΟΣ ΣΙΤΟΣ9042</v>
          </cell>
          <cell r="E2564" t="str">
            <v>ΣΙΤΟΣ ΣΚΛΗΡΟΣ BOABDIL</v>
          </cell>
          <cell r="F2564" t="str">
            <v>B_1_1_2</v>
          </cell>
          <cell r="G2564" t="str">
            <v>Σκληρό σιτάρι</v>
          </cell>
          <cell r="H2564">
            <v>324</v>
          </cell>
          <cell r="K2564" t="str">
            <v>Ναι</v>
          </cell>
          <cell r="L2564" t="str">
            <v>ΝΑΙ</v>
          </cell>
          <cell r="O2564" t="str">
            <v/>
          </cell>
        </row>
        <row r="2565">
          <cell r="D2565" t="str">
            <v>ΣΚΛΗΡΟΣ ΣΙΤΟΣ9043</v>
          </cell>
          <cell r="E2565" t="str">
            <v>ΣΙΤΟΣ ΣΚΛΗΡΟΣ BOLENGA</v>
          </cell>
          <cell r="F2565" t="str">
            <v>B_1_1_2</v>
          </cell>
          <cell r="G2565" t="str">
            <v>Σκληρό σιτάρι</v>
          </cell>
          <cell r="H2565">
            <v>324</v>
          </cell>
          <cell r="K2565" t="str">
            <v>Ναι</v>
          </cell>
          <cell r="L2565" t="str">
            <v>ΝΑΙ</v>
          </cell>
          <cell r="O2565" t="str">
            <v/>
          </cell>
        </row>
        <row r="2566">
          <cell r="D2566" t="str">
            <v>ΣΚΛΗΡΟΣ ΣΙΤΟΣ9044</v>
          </cell>
          <cell r="E2566" t="str">
            <v>ΣΙΤΟΣ ΣΚΛΗΡΟΣ BOLIDO</v>
          </cell>
          <cell r="F2566" t="str">
            <v>B_1_1_2</v>
          </cell>
          <cell r="G2566" t="str">
            <v>Σκληρό σιτάρι</v>
          </cell>
          <cell r="H2566">
            <v>324</v>
          </cell>
          <cell r="K2566" t="str">
            <v>Ναι</v>
          </cell>
          <cell r="L2566" t="str">
            <v>ΝΑΙ</v>
          </cell>
          <cell r="O2566" t="str">
            <v/>
          </cell>
        </row>
        <row r="2567">
          <cell r="D2567" t="str">
            <v>ΣΚΛΗΡΟΣ ΣΙΤΟΣ9045</v>
          </cell>
          <cell r="E2567" t="str">
            <v>ΣΙΤΟΣ ΣΚΛΗΡΟΣ BOMBASI</v>
          </cell>
          <cell r="F2567" t="str">
            <v>B_1_1_2</v>
          </cell>
          <cell r="G2567" t="str">
            <v>Σκληρό σιτάρι</v>
          </cell>
          <cell r="H2567">
            <v>324</v>
          </cell>
          <cell r="K2567" t="str">
            <v>Ναι</v>
          </cell>
          <cell r="L2567" t="str">
            <v>ΝΑΙ</v>
          </cell>
          <cell r="O2567" t="str">
            <v/>
          </cell>
        </row>
        <row r="2568">
          <cell r="D2568" t="str">
            <v>ΣΚΛΗΡΟΣ ΣΙΤΟΣ9046</v>
          </cell>
          <cell r="E2568" t="str">
            <v>ΣΙΤΟΣ ΣΚΛΗΡΟΣ BONZO</v>
          </cell>
          <cell r="F2568" t="str">
            <v>B_1_1_2</v>
          </cell>
          <cell r="G2568" t="str">
            <v>Σκληρό σιτάρι</v>
          </cell>
          <cell r="H2568">
            <v>324</v>
          </cell>
          <cell r="K2568" t="str">
            <v>Ναι</v>
          </cell>
          <cell r="L2568" t="str">
            <v>ΝΑΙ</v>
          </cell>
          <cell r="O2568" t="str">
            <v/>
          </cell>
        </row>
        <row r="2569">
          <cell r="D2569" t="str">
            <v>ΣΚΛΗΡΟΣ ΣΙΤΟΣ9047</v>
          </cell>
          <cell r="E2569" t="str">
            <v>ΣΙΤΟΣ ΣΚΛΗΡΟΣ BORGIA</v>
          </cell>
          <cell r="F2569" t="str">
            <v>B_1_1_2</v>
          </cell>
          <cell r="G2569" t="str">
            <v>Σκληρό σιτάρι</v>
          </cell>
          <cell r="H2569">
            <v>324</v>
          </cell>
          <cell r="K2569" t="str">
            <v>Ναι</v>
          </cell>
          <cell r="L2569" t="str">
            <v>ΝΑΙ</v>
          </cell>
          <cell r="O2569" t="str">
            <v/>
          </cell>
        </row>
        <row r="2570">
          <cell r="D2570" t="str">
            <v>ΣΚΛΗΡΟΣ ΣΙΤΟΣ9048</v>
          </cell>
          <cell r="E2570" t="str">
            <v>ΣΙΤΟΣ ΣΚΛΗΡΟΣ BORLI</v>
          </cell>
          <cell r="F2570" t="str">
            <v>B_1_1_2</v>
          </cell>
          <cell r="G2570" t="str">
            <v>Σκληρό σιτάρι</v>
          </cell>
          <cell r="H2570">
            <v>324</v>
          </cell>
          <cell r="K2570" t="str">
            <v>Ναι</v>
          </cell>
          <cell r="L2570" t="str">
            <v>ΝΑΙ</v>
          </cell>
          <cell r="O2570" t="str">
            <v/>
          </cell>
        </row>
        <row r="2571">
          <cell r="D2571" t="str">
            <v>ΣΚΛΗΡΟΣ ΣΙΤΟΣ9049</v>
          </cell>
          <cell r="E2571" t="str">
            <v>ΣΙΤΟΣ ΣΚΛΗΡΟΣ BRAVADUR</v>
          </cell>
          <cell r="F2571" t="str">
            <v>B_1_1_2</v>
          </cell>
          <cell r="G2571" t="str">
            <v>Σκληρό σιτάρι</v>
          </cell>
          <cell r="H2571">
            <v>324</v>
          </cell>
          <cell r="K2571" t="str">
            <v>Ναι</v>
          </cell>
          <cell r="L2571" t="str">
            <v>ΝΑΙ</v>
          </cell>
          <cell r="O2571" t="str">
            <v/>
          </cell>
        </row>
        <row r="2572">
          <cell r="D2572" t="str">
            <v>ΣΚΛΗΡΟΣ ΣΙΤΟΣ9050</v>
          </cell>
          <cell r="E2572" t="str">
            <v>ΣΙΤΟΣ ΣΚΛΗΡΟΣ BURGOS</v>
          </cell>
          <cell r="F2572" t="str">
            <v>B_1_1_2</v>
          </cell>
          <cell r="G2572" t="str">
            <v>Σκληρό σιτάρι</v>
          </cell>
          <cell r="H2572">
            <v>324</v>
          </cell>
          <cell r="K2572" t="str">
            <v>Ναι</v>
          </cell>
          <cell r="L2572" t="str">
            <v>ΝΑΙ</v>
          </cell>
          <cell r="O2572" t="str">
            <v/>
          </cell>
        </row>
        <row r="2573">
          <cell r="D2573" t="str">
            <v>ΣΚΛΗΡΟΣ ΣΙΤΟΣ9051</v>
          </cell>
          <cell r="E2573" t="str">
            <v>ΣΙΤΟΣ ΣΚΛΗΡΟΣ CAMACHO</v>
          </cell>
          <cell r="F2573" t="str">
            <v>B_1_1_2</v>
          </cell>
          <cell r="G2573" t="str">
            <v>Σκληρό σιτάρι</v>
          </cell>
          <cell r="H2573">
            <v>324</v>
          </cell>
          <cell r="K2573" t="str">
            <v>Ναι</v>
          </cell>
          <cell r="L2573" t="str">
            <v>ΝΑΙ</v>
          </cell>
          <cell r="O2573" t="str">
            <v/>
          </cell>
        </row>
        <row r="2574">
          <cell r="D2574" t="str">
            <v>ΣΚΛΗΡΟΣ ΣΙΤΟΣ9052</v>
          </cell>
          <cell r="E2574" t="str">
            <v>ΣΙΤΟΣ ΣΚΛΗΡΟΣ CANYON</v>
          </cell>
          <cell r="F2574" t="str">
            <v>B_1_1_2</v>
          </cell>
          <cell r="G2574" t="str">
            <v>Σκληρό σιτάρι</v>
          </cell>
          <cell r="H2574">
            <v>324</v>
          </cell>
          <cell r="K2574" t="str">
            <v>Ναι</v>
          </cell>
          <cell r="L2574" t="str">
            <v>ΝΑΙ</v>
          </cell>
          <cell r="O2574" t="str">
            <v/>
          </cell>
        </row>
        <row r="2575">
          <cell r="D2575" t="str">
            <v>ΣΚΛΗΡΟΣ ΣΙΤΟΣ9053</v>
          </cell>
          <cell r="E2575" t="str">
            <v>ΣΙΤΟΣ ΣΚΛΗΡΟΣ CARPIO</v>
          </cell>
          <cell r="F2575" t="str">
            <v>B_1_1_2</v>
          </cell>
          <cell r="G2575" t="str">
            <v>Σκληρό σιτάρι</v>
          </cell>
          <cell r="H2575">
            <v>324</v>
          </cell>
          <cell r="K2575" t="str">
            <v>Ναι</v>
          </cell>
          <cell r="L2575" t="str">
            <v>ΝΑΙ</v>
          </cell>
          <cell r="O2575" t="str">
            <v/>
          </cell>
        </row>
        <row r="2576">
          <cell r="D2576" t="str">
            <v>ΣΚΛΗΡΟΣ ΣΙΤΟΣ9054</v>
          </cell>
          <cell r="E2576" t="str">
            <v>ΣΙΤΟΣ ΣΚΛΗΡΟΣ CARTAGO</v>
          </cell>
          <cell r="F2576" t="str">
            <v>B_1_1_2</v>
          </cell>
          <cell r="G2576" t="str">
            <v>Σκληρό σιτάρι</v>
          </cell>
          <cell r="H2576">
            <v>324</v>
          </cell>
          <cell r="K2576" t="str">
            <v>Ναι</v>
          </cell>
          <cell r="L2576" t="str">
            <v>ΝΑΙ</v>
          </cell>
          <cell r="O2576" t="str">
            <v/>
          </cell>
        </row>
        <row r="2577">
          <cell r="D2577" t="str">
            <v>ΣΚΛΗΡΟΣ ΣΙΤΟΣ9055</v>
          </cell>
          <cell r="E2577" t="str">
            <v>ΣΙΤΟΣ ΣΚΛΗΡΟΣ CIBELES</v>
          </cell>
          <cell r="F2577" t="str">
            <v>B_1_1_2</v>
          </cell>
          <cell r="G2577" t="str">
            <v>Σκληρό σιτάρι</v>
          </cell>
          <cell r="H2577">
            <v>324</v>
          </cell>
          <cell r="K2577" t="str">
            <v>Ναι</v>
          </cell>
          <cell r="L2577" t="str">
            <v>ΝΑΙ</v>
          </cell>
          <cell r="O2577" t="str">
            <v/>
          </cell>
        </row>
        <row r="2578">
          <cell r="D2578" t="str">
            <v>ΣΚΛΗΡΟΣ ΣΙΤΟΣ9056</v>
          </cell>
          <cell r="E2578" t="str">
            <v>ΣΙΤΟΣ ΣΚΛΗΡΟΣ CLAROFINO</v>
          </cell>
          <cell r="F2578" t="str">
            <v>B_1_1_2</v>
          </cell>
          <cell r="G2578" t="str">
            <v>Σκληρό σιτάρι</v>
          </cell>
          <cell r="H2578">
            <v>324</v>
          </cell>
          <cell r="K2578" t="str">
            <v>Ναι</v>
          </cell>
          <cell r="L2578" t="str">
            <v>ΝΑΙ</v>
          </cell>
          <cell r="O2578" t="str">
            <v/>
          </cell>
        </row>
        <row r="2579">
          <cell r="D2579" t="str">
            <v>ΣΚΛΗΡΟΣ ΣΙΤΟΣ9057</v>
          </cell>
          <cell r="E2579" t="str">
            <v>ΣΙΤΟΣ ΣΚΛΗΡΟΣ CHAGO</v>
          </cell>
          <cell r="F2579" t="str">
            <v>B_1_1_2</v>
          </cell>
          <cell r="G2579" t="str">
            <v>Σκληρό σιτάρι</v>
          </cell>
          <cell r="H2579">
            <v>324</v>
          </cell>
          <cell r="K2579" t="str">
            <v>Ναι</v>
          </cell>
          <cell r="L2579" t="str">
            <v>ΝΑΙ</v>
          </cell>
          <cell r="O2579" t="str">
            <v/>
          </cell>
        </row>
        <row r="2580">
          <cell r="D2580" t="str">
            <v>ΣΚΛΗΡΟΣ ΣΙΤΟΣ9058</v>
          </cell>
          <cell r="E2580" t="str">
            <v>ΣΙΤΟΣ ΣΚΛΗΡΟΣ D-2536</v>
          </cell>
          <cell r="F2580" t="str">
            <v>B_1_1_2</v>
          </cell>
          <cell r="G2580" t="str">
            <v>Σκληρό σιτάρι</v>
          </cell>
          <cell r="H2580">
            <v>324</v>
          </cell>
          <cell r="K2580" t="str">
            <v>Ναι</v>
          </cell>
          <cell r="L2580" t="str">
            <v>ΝΑΙ</v>
          </cell>
          <cell r="O2580" t="str">
            <v/>
          </cell>
        </row>
        <row r="2581">
          <cell r="D2581" t="str">
            <v>ΣΚΛΗΡΟΣ ΣΙΤΟΣ9059</v>
          </cell>
          <cell r="E2581" t="str">
            <v>ΣΙΤΟΣ ΣΚΛΗΡΟΣ D-2663</v>
          </cell>
          <cell r="F2581" t="str">
            <v>B_1_1_2</v>
          </cell>
          <cell r="G2581" t="str">
            <v>Σκληρό σιτάρι</v>
          </cell>
          <cell r="H2581">
            <v>324</v>
          </cell>
          <cell r="K2581" t="str">
            <v>Ναι</v>
          </cell>
          <cell r="L2581" t="str">
            <v>ΝΑΙ</v>
          </cell>
          <cell r="O2581" t="str">
            <v/>
          </cell>
        </row>
        <row r="2582">
          <cell r="D2582" t="str">
            <v>ΣΚΛΗΡΟΣ ΣΙΤΟΣ9060</v>
          </cell>
          <cell r="E2582" t="str">
            <v>ΣΙΤΟΣ ΣΚΛΗΡΟΣ D-3816</v>
          </cell>
          <cell r="F2582" t="str">
            <v>B_1_1_2</v>
          </cell>
          <cell r="G2582" t="str">
            <v>Σκληρό σιτάρι</v>
          </cell>
          <cell r="H2582">
            <v>324</v>
          </cell>
          <cell r="K2582" t="str">
            <v>Ναι</v>
          </cell>
          <cell r="L2582" t="str">
            <v>ΝΑΙ</v>
          </cell>
          <cell r="O2582" t="str">
            <v/>
          </cell>
        </row>
        <row r="2583">
          <cell r="D2583" t="str">
            <v>ΣΚΛΗΡΟΣ ΣΙΤΟΣ9061</v>
          </cell>
          <cell r="E2583" t="str">
            <v>ΣΙΤΟΣ ΣΚΛΗΡΟΣ D-5262</v>
          </cell>
          <cell r="F2583" t="str">
            <v>B_1_1_2</v>
          </cell>
          <cell r="G2583" t="str">
            <v>Σκληρό σιτάρι</v>
          </cell>
          <cell r="H2583">
            <v>324</v>
          </cell>
          <cell r="K2583" t="str">
            <v>Ναι</v>
          </cell>
          <cell r="L2583" t="str">
            <v>ΝΑΙ</v>
          </cell>
          <cell r="O2583" t="str">
            <v/>
          </cell>
        </row>
        <row r="2584">
          <cell r="D2584" t="str">
            <v>ΣΚΛΗΡΟΣ ΣΙΤΟΣ9062</v>
          </cell>
          <cell r="E2584" t="str">
            <v>ΣΙΤΟΣ ΣΚΛΗΡΟΣ DEBANO</v>
          </cell>
          <cell r="F2584" t="str">
            <v>B_1_1_2</v>
          </cell>
          <cell r="G2584" t="str">
            <v>Σκληρό σιτάρι</v>
          </cell>
          <cell r="H2584">
            <v>324</v>
          </cell>
          <cell r="K2584" t="str">
            <v>Ναι</v>
          </cell>
          <cell r="L2584" t="str">
            <v>ΝΑΙ</v>
          </cell>
          <cell r="O2584" t="str">
            <v/>
          </cell>
        </row>
        <row r="2585">
          <cell r="D2585" t="str">
            <v>ΣΚΛΗΡΟΣ ΣΙΤΟΣ9063</v>
          </cell>
          <cell r="E2585" t="str">
            <v>ΣΙΤΟΣ ΣΚΛΗΡΟΣ DELTON</v>
          </cell>
          <cell r="F2585" t="str">
            <v>B_1_1_2</v>
          </cell>
          <cell r="G2585" t="str">
            <v>Σκληρό σιτάρι</v>
          </cell>
          <cell r="H2585">
            <v>324</v>
          </cell>
          <cell r="K2585" t="str">
            <v>Ναι</v>
          </cell>
          <cell r="L2585" t="str">
            <v>ΝΑΙ</v>
          </cell>
          <cell r="O2585" t="str">
            <v/>
          </cell>
        </row>
        <row r="2586">
          <cell r="D2586" t="str">
            <v>ΣΚΛΗΡΟΣ ΣΙΤΟΣ9064</v>
          </cell>
          <cell r="E2586" t="str">
            <v>ΣΙΤΟΣ ΣΚΛΗΡΟΣ DON DURO</v>
          </cell>
          <cell r="F2586" t="str">
            <v>B_1_1_2</v>
          </cell>
          <cell r="G2586" t="str">
            <v>Σκληρό σιτάρι</v>
          </cell>
          <cell r="H2586">
            <v>324</v>
          </cell>
          <cell r="K2586" t="str">
            <v>Ναι</v>
          </cell>
          <cell r="L2586" t="str">
            <v>ΝΑΙ</v>
          </cell>
          <cell r="O2586" t="str">
            <v/>
          </cell>
        </row>
        <row r="2587">
          <cell r="D2587" t="str">
            <v>ΣΚΛΗΡΟΣ ΣΙΤΟΣ9065</v>
          </cell>
          <cell r="E2587" t="str">
            <v>ΣΙΤΟΣ ΣΚΛΗΡΟΣ DON FRANCISCO</v>
          </cell>
          <cell r="F2587" t="str">
            <v>B_1_1_2</v>
          </cell>
          <cell r="G2587" t="str">
            <v>Σκληρό σιτάρι</v>
          </cell>
          <cell r="H2587">
            <v>324</v>
          </cell>
          <cell r="K2587" t="str">
            <v>Ναι</v>
          </cell>
          <cell r="L2587" t="str">
            <v>ΝΑΙ</v>
          </cell>
          <cell r="O2587" t="str">
            <v/>
          </cell>
        </row>
        <row r="2588">
          <cell r="D2588" t="str">
            <v>ΣΚΛΗΡΟΣ ΣΙΤΟΣ9066</v>
          </cell>
          <cell r="E2588" t="str">
            <v>ΣΙΤΟΣ ΣΚΛΗΡΟΣ DON JOSE</v>
          </cell>
          <cell r="F2588" t="str">
            <v>B_1_1_2</v>
          </cell>
          <cell r="G2588" t="str">
            <v>Σκληρό σιτάρι</v>
          </cell>
          <cell r="H2588">
            <v>324</v>
          </cell>
          <cell r="K2588" t="str">
            <v>Ναι</v>
          </cell>
          <cell r="L2588" t="str">
            <v>ΝΑΙ</v>
          </cell>
          <cell r="O2588" t="str">
            <v/>
          </cell>
        </row>
        <row r="2589">
          <cell r="D2589" t="str">
            <v>ΣΚΛΗΡΟΣ ΣΙΤΟΣ9067</v>
          </cell>
          <cell r="E2589" t="str">
            <v>ΣΙΤΟΣ ΣΚΛΗΡΟΣ DON MANUEL</v>
          </cell>
          <cell r="F2589" t="str">
            <v>B_1_1_2</v>
          </cell>
          <cell r="G2589" t="str">
            <v>Σκληρό σιτάρι</v>
          </cell>
          <cell r="H2589">
            <v>324</v>
          </cell>
          <cell r="K2589" t="str">
            <v>Ναι</v>
          </cell>
          <cell r="L2589" t="str">
            <v>ΝΑΙ</v>
          </cell>
          <cell r="O2589" t="str">
            <v/>
          </cell>
        </row>
        <row r="2590">
          <cell r="D2590" t="str">
            <v>ΣΚΛΗΡΟΣ ΣΙΤΟΣ9068</v>
          </cell>
          <cell r="E2590" t="str">
            <v>ΣΙΤΟΣ ΣΚΛΗΡΟΣ DON PEDRO</v>
          </cell>
          <cell r="F2590" t="str">
            <v>B_1_1_2</v>
          </cell>
          <cell r="G2590" t="str">
            <v>Σκληρό σιτάρι</v>
          </cell>
          <cell r="H2590">
            <v>324</v>
          </cell>
          <cell r="K2590" t="str">
            <v>Ναι</v>
          </cell>
          <cell r="L2590" t="str">
            <v>ΝΑΙ</v>
          </cell>
          <cell r="O2590" t="str">
            <v/>
          </cell>
        </row>
        <row r="2591">
          <cell r="D2591" t="str">
            <v>ΣΚΛΗΡΟΣ ΣΙΤΟΣ9069</v>
          </cell>
          <cell r="E2591" t="str">
            <v>ΣΙΤΟΣ ΣΚΛΗΡΟΣ DON RAFAEL</v>
          </cell>
          <cell r="F2591" t="str">
            <v>B_1_1_2</v>
          </cell>
          <cell r="G2591" t="str">
            <v>Σκληρό σιτάρι</v>
          </cell>
          <cell r="H2591">
            <v>324</v>
          </cell>
          <cell r="K2591" t="str">
            <v>Ναι</v>
          </cell>
          <cell r="L2591" t="str">
            <v>ΝΑΙ</v>
          </cell>
          <cell r="O2591" t="str">
            <v/>
          </cell>
        </row>
        <row r="2592">
          <cell r="D2592" t="str">
            <v>ΣΚΛΗΡΟΣ ΣΙΤΟΣ9070</v>
          </cell>
          <cell r="E2592" t="str">
            <v>ΣΙΤΟΣ ΣΚΛΗΡΟΣ DON SEBASTIAN</v>
          </cell>
          <cell r="F2592" t="str">
            <v>B_1_1_2</v>
          </cell>
          <cell r="G2592" t="str">
            <v>Σκληρό σιτάρι</v>
          </cell>
          <cell r="H2592">
            <v>324</v>
          </cell>
          <cell r="K2592" t="str">
            <v>Ναι</v>
          </cell>
          <cell r="L2592" t="str">
            <v>ΝΑΙ</v>
          </cell>
          <cell r="O2592" t="str">
            <v/>
          </cell>
        </row>
        <row r="2593">
          <cell r="D2593" t="str">
            <v>ΣΚΛΗΡΟΣ ΣΙΤΟΣ9071</v>
          </cell>
          <cell r="E2593" t="str">
            <v>ΣΙΤΟΣ ΣΚΛΗΡΟΣ DORONDON</v>
          </cell>
          <cell r="F2593" t="str">
            <v>B_1_1_2</v>
          </cell>
          <cell r="G2593" t="str">
            <v>Σκληρό σιτάρι</v>
          </cell>
          <cell r="H2593">
            <v>324</v>
          </cell>
          <cell r="K2593" t="str">
            <v>Ναι</v>
          </cell>
          <cell r="L2593" t="str">
            <v>ΝΑΙ</v>
          </cell>
          <cell r="O2593" t="str">
            <v/>
          </cell>
        </row>
        <row r="2594">
          <cell r="D2594" t="str">
            <v>ΣΚΛΗΡΟΣ ΣΙΤΟΣ9072</v>
          </cell>
          <cell r="E2594" t="str">
            <v>ΣΙΤΟΣ ΣΚΛΗΡΟΣ DURATON</v>
          </cell>
          <cell r="F2594" t="str">
            <v>B_1_1_2</v>
          </cell>
          <cell r="G2594" t="str">
            <v>Σκληρό σιτάρι</v>
          </cell>
          <cell r="H2594">
            <v>324</v>
          </cell>
          <cell r="K2594" t="str">
            <v>Ναι</v>
          </cell>
          <cell r="L2594" t="str">
            <v>ΝΑΙ</v>
          </cell>
          <cell r="O2594" t="str">
            <v/>
          </cell>
        </row>
        <row r="2595">
          <cell r="D2595" t="str">
            <v>ΣΚΛΗΡΟΣ ΣΙΤΟΣ9073</v>
          </cell>
          <cell r="E2595" t="str">
            <v>ΣΙΤΟΣ ΣΚΛΗΡΟΣ DURCAL</v>
          </cell>
          <cell r="F2595" t="str">
            <v>B_1_1_2</v>
          </cell>
          <cell r="G2595" t="str">
            <v>Σκληρό σιτάρι</v>
          </cell>
          <cell r="H2595">
            <v>324</v>
          </cell>
          <cell r="K2595" t="str">
            <v>Ναι</v>
          </cell>
          <cell r="L2595" t="str">
            <v>ΝΑΙ</v>
          </cell>
          <cell r="O2595" t="str">
            <v/>
          </cell>
        </row>
        <row r="2596">
          <cell r="D2596" t="str">
            <v>ΣΚΛΗΡΟΣ ΣΙΤΟΣ9074</v>
          </cell>
          <cell r="E2596" t="str">
            <v>ΣΙΤΟΣ ΣΚΛΗΡΟΣ DUROI</v>
          </cell>
          <cell r="F2596" t="str">
            <v>B_1_1_2</v>
          </cell>
          <cell r="G2596" t="str">
            <v>Σκληρό σιτάρι</v>
          </cell>
          <cell r="H2596">
            <v>324</v>
          </cell>
          <cell r="K2596" t="str">
            <v>Ναι</v>
          </cell>
          <cell r="L2596" t="str">
            <v>ΝΑΙ</v>
          </cell>
          <cell r="O2596" t="str">
            <v/>
          </cell>
        </row>
        <row r="2597">
          <cell r="D2597" t="str">
            <v>ΣΚΛΗΡΟΣ ΣΙΤΟΣ9075</v>
          </cell>
          <cell r="E2597" t="str">
            <v>ΣΙΤΟΣ ΣΚΛΗΡΟΣ DURTRES</v>
          </cell>
          <cell r="F2597" t="str">
            <v>B_1_1_2</v>
          </cell>
          <cell r="G2597" t="str">
            <v>Σκληρό σιτάρι</v>
          </cell>
          <cell r="H2597">
            <v>324</v>
          </cell>
          <cell r="K2597" t="str">
            <v>Ναι</v>
          </cell>
          <cell r="L2597" t="str">
            <v>ΝΑΙ</v>
          </cell>
          <cell r="O2597" t="str">
            <v/>
          </cell>
        </row>
        <row r="2598">
          <cell r="D2598" t="str">
            <v>ΣΚΛΗΡΟΣ ΣΙΤΟΣ9076</v>
          </cell>
          <cell r="E2598" t="str">
            <v>ΣΙΤΟΣ ΣΚΛΗΡΟΣ EPIDUR</v>
          </cell>
          <cell r="F2598" t="str">
            <v>B_1_1_2</v>
          </cell>
          <cell r="G2598" t="str">
            <v>Σκληρό σιτάρι</v>
          </cell>
          <cell r="H2598">
            <v>324</v>
          </cell>
          <cell r="K2598" t="str">
            <v>Ναι</v>
          </cell>
          <cell r="L2598" t="str">
            <v>ΝΑΙ</v>
          </cell>
          <cell r="O2598" t="str">
            <v/>
          </cell>
        </row>
        <row r="2599">
          <cell r="D2599" t="str">
            <v>ΣΚΛΗΡΟΣ ΣΙΤΟΣ9077</v>
          </cell>
          <cell r="E2599" t="str">
            <v>ΣΙΤΟΣ ΣΚΛΗΡΟΣ ESTRIBO</v>
          </cell>
          <cell r="F2599" t="str">
            <v>B_1_1_2</v>
          </cell>
          <cell r="G2599" t="str">
            <v>Σκληρό σιτάρι</v>
          </cell>
          <cell r="H2599">
            <v>324</v>
          </cell>
          <cell r="K2599" t="str">
            <v>Ναι</v>
          </cell>
          <cell r="L2599" t="str">
            <v>ΝΑΙ</v>
          </cell>
          <cell r="O2599" t="str">
            <v/>
          </cell>
        </row>
        <row r="2600">
          <cell r="D2600" t="str">
            <v>ΣΚΛΗΡΟΣ ΣΙΤΟΣ9078</v>
          </cell>
          <cell r="E2600" t="str">
            <v>ΣΙΤΟΣ ΣΚΛΗΡΟΣ EXTREMENO</v>
          </cell>
          <cell r="F2600" t="str">
            <v>B_1_1_2</v>
          </cell>
          <cell r="G2600" t="str">
            <v>Σκληρό σιτάρι</v>
          </cell>
          <cell r="H2600">
            <v>324</v>
          </cell>
          <cell r="K2600" t="str">
            <v>Ναι</v>
          </cell>
          <cell r="L2600" t="str">
            <v>ΝΑΙ</v>
          </cell>
          <cell r="O2600" t="str">
            <v/>
          </cell>
        </row>
        <row r="2601">
          <cell r="D2601" t="str">
            <v>ΣΚΛΗΡΟΣ ΣΙΤΟΣ9079</v>
          </cell>
          <cell r="E2601" t="str">
            <v>ΣΙΤΟΣ ΣΚΛΗΡΟΣ FABIO</v>
          </cell>
          <cell r="F2601" t="str">
            <v>B_1_1_2</v>
          </cell>
          <cell r="G2601" t="str">
            <v>Σκληρό σιτάρι</v>
          </cell>
          <cell r="H2601">
            <v>324</v>
          </cell>
          <cell r="K2601" t="str">
            <v>Ναι</v>
          </cell>
          <cell r="L2601" t="str">
            <v>ΝΑΙ</v>
          </cell>
          <cell r="O2601" t="str">
            <v/>
          </cell>
        </row>
        <row r="2602">
          <cell r="D2602" t="str">
            <v>ΣΚΛΗΡΟΣ ΣΙΤΟΣ9080</v>
          </cell>
          <cell r="E2602" t="str">
            <v>ΣΙΤΟΣ ΣΚΛΗΡΟΣ GA 0115</v>
          </cell>
          <cell r="F2602" t="str">
            <v>B_1_1_2</v>
          </cell>
          <cell r="G2602" t="str">
            <v>Σκληρό σιτάρι</v>
          </cell>
          <cell r="H2602">
            <v>324</v>
          </cell>
          <cell r="K2602" t="str">
            <v>Ναι</v>
          </cell>
          <cell r="L2602" t="str">
            <v>ΝΑΙ</v>
          </cell>
          <cell r="O2602" t="str">
            <v/>
          </cell>
        </row>
        <row r="2603">
          <cell r="D2603" t="str">
            <v>ΣΚΛΗΡΟΣ ΣΙΤΟΣ9081</v>
          </cell>
          <cell r="E2603" t="str">
            <v>ΣΙΤΟΣ ΣΚΛΗΡΟΣ GALLARETA</v>
          </cell>
          <cell r="F2603" t="str">
            <v>B_1_1_2</v>
          </cell>
          <cell r="G2603" t="str">
            <v>Σκληρό σιτάρι</v>
          </cell>
          <cell r="H2603">
            <v>324</v>
          </cell>
          <cell r="K2603" t="str">
            <v>Ναι</v>
          </cell>
          <cell r="L2603" t="str">
            <v>ΝΑΙ</v>
          </cell>
          <cell r="O2603" t="str">
            <v/>
          </cell>
        </row>
        <row r="2604">
          <cell r="D2604" t="str">
            <v>ΣΚΛΗΡΟΣ ΣΙΤΟΣ9082</v>
          </cell>
          <cell r="E2604" t="str">
            <v>ΣΙΤΟΣ ΣΚΛΗΡΟΣ GARFIO</v>
          </cell>
          <cell r="F2604" t="str">
            <v>B_1_1_2</v>
          </cell>
          <cell r="G2604" t="str">
            <v>Σκληρό σιτάρι</v>
          </cell>
          <cell r="H2604">
            <v>324</v>
          </cell>
          <cell r="K2604" t="str">
            <v>Ναι</v>
          </cell>
          <cell r="L2604" t="str">
            <v>ΝΑΙ</v>
          </cell>
          <cell r="O2604" t="str">
            <v/>
          </cell>
        </row>
        <row r="2605">
          <cell r="D2605" t="str">
            <v>ΣΚΛΗΡΟΣ ΣΙΤΟΣ9083</v>
          </cell>
          <cell r="E2605" t="str">
            <v>ΣΙΤΟΣ ΣΚΛΗΡΟΣ HELIDUR</v>
          </cell>
          <cell r="F2605" t="str">
            <v>B_1_1_2</v>
          </cell>
          <cell r="G2605" t="str">
            <v>Σκληρό σιτάρι</v>
          </cell>
          <cell r="H2605">
            <v>324</v>
          </cell>
          <cell r="K2605" t="str">
            <v>Ναι</v>
          </cell>
          <cell r="L2605" t="str">
            <v>ΝΑΙ</v>
          </cell>
          <cell r="O2605" t="str">
            <v/>
          </cell>
        </row>
        <row r="2606">
          <cell r="D2606" t="str">
            <v>ΣΚΛΗΡΟΣ ΣΙΤΟΣ9084</v>
          </cell>
          <cell r="E2606" t="str">
            <v>ΣΙΤΟΣ ΣΚΛΗΡΟΣ IBERICO</v>
          </cell>
          <cell r="F2606" t="str">
            <v>B_1_1_2</v>
          </cell>
          <cell r="G2606" t="str">
            <v>Σκληρό σιτάρι</v>
          </cell>
          <cell r="H2606">
            <v>324</v>
          </cell>
          <cell r="K2606" t="str">
            <v>Ναι</v>
          </cell>
          <cell r="L2606" t="str">
            <v>ΝΑΙ</v>
          </cell>
          <cell r="O2606" t="str">
            <v/>
          </cell>
        </row>
        <row r="2607">
          <cell r="D2607" t="str">
            <v>ΣΚΛΗΡΟΣ ΣΙΤΟΣ9085</v>
          </cell>
          <cell r="E2607" t="str">
            <v>ΣΙΤΟΣ ΣΚΛΗΡΟΣ ILLORA</v>
          </cell>
          <cell r="F2607" t="str">
            <v>B_1_1_2</v>
          </cell>
          <cell r="G2607" t="str">
            <v>Σκληρό σιτάρι</v>
          </cell>
          <cell r="H2607">
            <v>324</v>
          </cell>
          <cell r="K2607" t="str">
            <v>Ναι</v>
          </cell>
          <cell r="L2607" t="str">
            <v>ΝΑΙ</v>
          </cell>
          <cell r="O2607" t="str">
            <v/>
          </cell>
        </row>
        <row r="2608">
          <cell r="D2608" t="str">
            <v>ΣΚΛΗΡΟΣ ΣΙΤΟΣ9086</v>
          </cell>
          <cell r="E2608" t="str">
            <v>ΣΙΤΟΣ ΣΚΛΗΡΟΣ JABATO</v>
          </cell>
          <cell r="F2608" t="str">
            <v>B_1_1_2</v>
          </cell>
          <cell r="G2608" t="str">
            <v>Σκληρό σιτάρι</v>
          </cell>
          <cell r="H2608">
            <v>324</v>
          </cell>
          <cell r="K2608" t="str">
            <v>Ναι</v>
          </cell>
          <cell r="L2608" t="str">
            <v>ΝΑΙ</v>
          </cell>
          <cell r="O2608" t="str">
            <v/>
          </cell>
        </row>
        <row r="2609">
          <cell r="D2609" t="str">
            <v>ΣΚΛΗΡΟΣ ΣΙΤΟΣ9087</v>
          </cell>
          <cell r="E2609" t="str">
            <v>ΣΙΤΟΣ ΣΚΛΗΡΟΣ LLANOS</v>
          </cell>
          <cell r="F2609" t="str">
            <v>B_1_1_2</v>
          </cell>
          <cell r="G2609" t="str">
            <v>Σκληρό σιτάρι</v>
          </cell>
          <cell r="H2609">
            <v>324</v>
          </cell>
          <cell r="K2609" t="str">
            <v>Ναι</v>
          </cell>
          <cell r="L2609" t="str">
            <v>ΝΑΙ</v>
          </cell>
          <cell r="O2609" t="str">
            <v/>
          </cell>
        </row>
        <row r="2610">
          <cell r="D2610" t="str">
            <v>ΣΚΛΗΡΟΣ ΣΙΤΟΣ9088</v>
          </cell>
          <cell r="E2610" t="str">
            <v>ΣΙΤΟΣ ΣΚΛΗΡΟΣ MELLARIA</v>
          </cell>
          <cell r="F2610" t="str">
            <v>B_1_1_2</v>
          </cell>
          <cell r="G2610" t="str">
            <v>Σκληρό σιτάρι</v>
          </cell>
          <cell r="H2610">
            <v>324</v>
          </cell>
          <cell r="K2610" t="str">
            <v>Ναι</v>
          </cell>
          <cell r="L2610" t="str">
            <v>ΝΑΙ</v>
          </cell>
          <cell r="O2610" t="str">
            <v/>
          </cell>
        </row>
        <row r="2611">
          <cell r="D2611" t="str">
            <v>ΣΚΛΗΡΟΣ ΣΙΤΟΣ9099</v>
          </cell>
          <cell r="E2611" t="str">
            <v>ΣΙΤΟΣ ΣΚΛΗΡΟΣ MEXA</v>
          </cell>
          <cell r="F2611" t="str">
            <v>B_1_1_2</v>
          </cell>
          <cell r="G2611" t="str">
            <v>Σκληρό σιτάρι</v>
          </cell>
          <cell r="H2611">
            <v>324</v>
          </cell>
          <cell r="K2611" t="str">
            <v>Ναι</v>
          </cell>
          <cell r="L2611" t="str">
            <v>ΝΑΙ</v>
          </cell>
          <cell r="O2611" t="str">
            <v/>
          </cell>
        </row>
        <row r="2612">
          <cell r="D2612" t="str">
            <v>ΣΚΛΗΡΟΣ ΣΙΤΟΣ9100</v>
          </cell>
          <cell r="E2612" t="str">
            <v>ΣΙΤΟΣ ΣΚΛΗΡΟΣ MOLINO</v>
          </cell>
          <cell r="F2612" t="str">
            <v>B_1_1_2</v>
          </cell>
          <cell r="G2612" t="str">
            <v>Σκληρό σιτάρι</v>
          </cell>
          <cell r="H2612">
            <v>324</v>
          </cell>
          <cell r="K2612" t="str">
            <v>Ναι</v>
          </cell>
          <cell r="L2612" t="str">
            <v>ΝΑΙ</v>
          </cell>
          <cell r="O2612" t="str">
            <v/>
          </cell>
        </row>
        <row r="2613">
          <cell r="D2613" t="str">
            <v>ΣΚΛΗΡΟΣ ΣΙΤΟΣ9101</v>
          </cell>
          <cell r="E2613" t="str">
            <v>ΣΙΤΟΣ ΣΚΛΗΡΟΣ MON 0101</v>
          </cell>
          <cell r="F2613" t="str">
            <v>B_1_1_2</v>
          </cell>
          <cell r="G2613" t="str">
            <v>Σκληρό σιτάρι</v>
          </cell>
          <cell r="H2613">
            <v>324</v>
          </cell>
          <cell r="K2613" t="str">
            <v>Ναι</v>
          </cell>
          <cell r="L2613" t="str">
            <v>ΝΑΙ</v>
          </cell>
          <cell r="O2613" t="str">
            <v/>
          </cell>
        </row>
        <row r="2614">
          <cell r="D2614" t="str">
            <v>ΣΚΛΗΡΟΣ ΣΙΤΟΣ9102</v>
          </cell>
          <cell r="E2614" t="str">
            <v>ΣΙΤΟΣ ΣΚΛΗΡΟΣ MONCAYO</v>
          </cell>
          <cell r="F2614" t="str">
            <v>B_1_1_2</v>
          </cell>
          <cell r="G2614" t="str">
            <v>Σκληρό σιτάρι</v>
          </cell>
          <cell r="H2614">
            <v>324</v>
          </cell>
          <cell r="K2614" t="str">
            <v>Ναι</v>
          </cell>
          <cell r="L2614" t="str">
            <v>ΝΑΙ</v>
          </cell>
          <cell r="O2614" t="str">
            <v/>
          </cell>
        </row>
        <row r="2615">
          <cell r="D2615" t="str">
            <v>ΣΚΛΗΡΟΣ ΣΙΤΟΣ9103</v>
          </cell>
          <cell r="E2615" t="str">
            <v>ΣΙΤΟΣ ΣΚΛΗΡΟΣ MUNDIAL</v>
          </cell>
          <cell r="F2615" t="str">
            <v>B_1_1_2</v>
          </cell>
          <cell r="G2615" t="str">
            <v>Σκληρό σιτάρι</v>
          </cell>
          <cell r="H2615">
            <v>324</v>
          </cell>
          <cell r="K2615" t="str">
            <v>Ναι</v>
          </cell>
          <cell r="L2615" t="str">
            <v>ΝΑΙ</v>
          </cell>
          <cell r="O2615" t="str">
            <v/>
          </cell>
        </row>
        <row r="2616">
          <cell r="D2616" t="str">
            <v>ΣΚΛΗΡΟΣ ΣΙΤΟΣ9104</v>
          </cell>
          <cell r="E2616" t="str">
            <v>ΣΙΤΟΣ ΣΚΛΗΡΟΣ NAVAJO</v>
          </cell>
          <cell r="F2616" t="str">
            <v>B_1_1_2</v>
          </cell>
          <cell r="G2616" t="str">
            <v>Σκληρό σιτάρι</v>
          </cell>
          <cell r="H2616">
            <v>324</v>
          </cell>
          <cell r="K2616" t="str">
            <v>Ναι</v>
          </cell>
          <cell r="L2616" t="str">
            <v>ΝΑΙ</v>
          </cell>
          <cell r="O2616" t="str">
            <v/>
          </cell>
        </row>
        <row r="2617">
          <cell r="D2617" t="str">
            <v>ΣΚΛΗΡΟΣ ΣΙΤΟΣ9105</v>
          </cell>
          <cell r="E2617" t="str">
            <v>ΣΙΤΟΣ ΣΚΛΗΡΟΣ NUNO (ΣΥΝΩΝΥΜΟ YAVAROS C 79)</v>
          </cell>
          <cell r="F2617" t="str">
            <v>B_1_1_2</v>
          </cell>
          <cell r="G2617" t="str">
            <v>Σκληρό σιτάρι</v>
          </cell>
          <cell r="H2617">
            <v>324</v>
          </cell>
          <cell r="K2617" t="str">
            <v>Ναι</v>
          </cell>
          <cell r="L2617" t="str">
            <v>ΝΑΙ</v>
          </cell>
          <cell r="O2617" t="str">
            <v/>
          </cell>
        </row>
        <row r="2618">
          <cell r="D2618" t="str">
            <v>ΣΚΛΗΡΟΣ ΣΙΤΟΣ9106</v>
          </cell>
          <cell r="E2618" t="str">
            <v>ΣΙΤΟΣ ΣΚΛΗΡΟΣ PARAMO TD 330</v>
          </cell>
          <cell r="F2618" t="str">
            <v>B_1_1_2</v>
          </cell>
          <cell r="G2618" t="str">
            <v>Σκληρό σιτάρι</v>
          </cell>
          <cell r="H2618">
            <v>324</v>
          </cell>
          <cell r="K2618" t="str">
            <v>Ναι</v>
          </cell>
          <cell r="L2618" t="str">
            <v>ΝΑΙ</v>
          </cell>
          <cell r="O2618" t="str">
            <v/>
          </cell>
        </row>
        <row r="2619">
          <cell r="D2619" t="str">
            <v>ΣΚΛΗΡΟΣ ΣΙΤΟΣ9107</v>
          </cell>
          <cell r="E2619" t="str">
            <v>ΣΙΤΟΣ ΣΚΛΗΡΟΣ PASTOR</v>
          </cell>
          <cell r="F2619" t="str">
            <v>B_1_1_2</v>
          </cell>
          <cell r="G2619" t="str">
            <v>Σκληρό σιτάρι</v>
          </cell>
          <cell r="H2619">
            <v>324</v>
          </cell>
          <cell r="K2619" t="str">
            <v>Ναι</v>
          </cell>
          <cell r="L2619" t="str">
            <v>ΝΑΙ</v>
          </cell>
          <cell r="O2619" t="str">
            <v/>
          </cell>
        </row>
        <row r="2620">
          <cell r="D2620" t="str">
            <v>ΣΚΛΗΡΟΣ ΣΙΤΟΣ9108</v>
          </cell>
          <cell r="E2620" t="str">
            <v>ΣΙΤΟΣ ΣΚΛΗΡΟΣ PEDROSO</v>
          </cell>
          <cell r="F2620" t="str">
            <v>B_1_1_2</v>
          </cell>
          <cell r="G2620" t="str">
            <v>Σκληρό σιτάρι</v>
          </cell>
          <cell r="H2620">
            <v>324</v>
          </cell>
          <cell r="K2620" t="str">
            <v>Ναι</v>
          </cell>
          <cell r="L2620" t="str">
            <v>ΝΑΙ</v>
          </cell>
          <cell r="O2620" t="str">
            <v/>
          </cell>
        </row>
        <row r="2621">
          <cell r="D2621" t="str">
            <v>ΣΚΛΗΡΟΣ ΣΙΤΟΣ9109</v>
          </cell>
          <cell r="E2621" t="str">
            <v>ΣΙΤΟΣ ΣΚΛΗΡΟΣ PELAYO (AG CT 32)</v>
          </cell>
          <cell r="F2621" t="str">
            <v>B_1_1_2</v>
          </cell>
          <cell r="G2621" t="str">
            <v>Σκληρό σιτάρι</v>
          </cell>
          <cell r="H2621">
            <v>324</v>
          </cell>
          <cell r="K2621" t="str">
            <v>Ναι</v>
          </cell>
          <cell r="L2621" t="str">
            <v>ΝΑΙ</v>
          </cell>
          <cell r="O2621" t="str">
            <v/>
          </cell>
        </row>
        <row r="2622">
          <cell r="D2622" t="str">
            <v>ΣΚΛΗΡΟΣ ΣΙΤΟΣ9110</v>
          </cell>
          <cell r="E2622" t="str">
            <v>ΣΙΤΟΣ ΣΚΛΗΡΟΣ PENAFIEL</v>
          </cell>
          <cell r="F2622" t="str">
            <v>B_1_1_2</v>
          </cell>
          <cell r="G2622" t="str">
            <v>Σκληρό σιτάρι</v>
          </cell>
          <cell r="H2622">
            <v>324</v>
          </cell>
          <cell r="K2622" t="str">
            <v>Ναι</v>
          </cell>
          <cell r="L2622" t="str">
            <v>ΝΑΙ</v>
          </cell>
          <cell r="O2622" t="str">
            <v/>
          </cell>
        </row>
        <row r="2623">
          <cell r="D2623" t="str">
            <v>ΣΚΛΗΡΟΣ ΣΙΤΟΣ9111</v>
          </cell>
          <cell r="E2623" t="str">
            <v>ΣΙΤΟΣ ΣΚΛΗΡΟΣ PRYOR</v>
          </cell>
          <cell r="F2623" t="str">
            <v>B_1_1_2</v>
          </cell>
          <cell r="G2623" t="str">
            <v>Σκληρό σιτάρι</v>
          </cell>
          <cell r="H2623">
            <v>324</v>
          </cell>
          <cell r="K2623" t="str">
            <v>Ναι</v>
          </cell>
          <cell r="L2623" t="str">
            <v>ΝΑΙ</v>
          </cell>
          <cell r="O2623" t="str">
            <v/>
          </cell>
        </row>
        <row r="2624">
          <cell r="D2624" t="str">
            <v>ΣΚΛΗΡΟΣ ΣΙΤΟΣ9112</v>
          </cell>
          <cell r="E2624" t="str">
            <v>ΣΙΤΟΣ ΣΚΛΗΡΟΣ QUIJANO</v>
          </cell>
          <cell r="F2624" t="str">
            <v>B_1_1_2</v>
          </cell>
          <cell r="G2624" t="str">
            <v>Σκληρό σιτάρι</v>
          </cell>
          <cell r="H2624">
            <v>324</v>
          </cell>
          <cell r="K2624" t="str">
            <v>Ναι</v>
          </cell>
          <cell r="L2624" t="str">
            <v>ΝΑΙ</v>
          </cell>
          <cell r="O2624" t="str">
            <v/>
          </cell>
        </row>
        <row r="2625">
          <cell r="D2625" t="str">
            <v>ΣΚΛΗΡΟΣ ΣΙΤΟΣ9113</v>
          </cell>
          <cell r="E2625" t="str">
            <v>ΣΙΤΟΣ ΣΚΛΗΡΟΣ REGALLO</v>
          </cell>
          <cell r="F2625" t="str">
            <v>B_1_1_2</v>
          </cell>
          <cell r="G2625" t="str">
            <v>Σκληρό σιτάρι</v>
          </cell>
          <cell r="H2625">
            <v>324</v>
          </cell>
          <cell r="K2625" t="str">
            <v>Ναι</v>
          </cell>
          <cell r="L2625" t="str">
            <v>ΝΑΙ</v>
          </cell>
          <cell r="O2625" t="str">
            <v/>
          </cell>
        </row>
        <row r="2626">
          <cell r="D2626" t="str">
            <v>ΣΚΛΗΡΟΣ ΣΙΤΟΣ9114</v>
          </cell>
          <cell r="E2626" t="str">
            <v>ΣΙΤΟΣ ΣΚΛΗΡΟΣ RIO ZUJAR</v>
          </cell>
          <cell r="F2626" t="str">
            <v>B_1_1_2</v>
          </cell>
          <cell r="G2626" t="str">
            <v>Σκληρό σιτάρι</v>
          </cell>
          <cell r="H2626">
            <v>324</v>
          </cell>
          <cell r="K2626" t="str">
            <v>Ναι</v>
          </cell>
          <cell r="L2626" t="str">
            <v>ΝΑΙ</v>
          </cell>
          <cell r="O2626" t="str">
            <v/>
          </cell>
        </row>
        <row r="2627">
          <cell r="D2627" t="str">
            <v>ΣΚΛΗΡΟΣ ΣΙΤΟΣ9115</v>
          </cell>
          <cell r="E2627" t="str">
            <v>ΣΙΤΟΣ ΣΚΛΗΡΟΣ ROQUENO</v>
          </cell>
          <cell r="F2627" t="str">
            <v>B_1_1_2</v>
          </cell>
          <cell r="G2627" t="str">
            <v>Σκληρό σιτάρι</v>
          </cell>
          <cell r="H2627">
            <v>324</v>
          </cell>
          <cell r="K2627" t="str">
            <v>Ναι</v>
          </cell>
          <cell r="L2627" t="str">
            <v>ΝΑΙ</v>
          </cell>
          <cell r="O2627" t="str">
            <v/>
          </cell>
        </row>
        <row r="2628">
          <cell r="D2628" t="str">
            <v>ΣΚΛΗΡΟΣ ΣΙΤΟΣ9116</v>
          </cell>
          <cell r="E2628" t="str">
            <v>ΣΙΤΟΣ ΣΚΛΗΡΟΣ SAJEL</v>
          </cell>
          <cell r="F2628" t="str">
            <v>B_1_1_2</v>
          </cell>
          <cell r="G2628" t="str">
            <v>Σκληρό σιτάρι</v>
          </cell>
          <cell r="H2628">
            <v>324</v>
          </cell>
          <cell r="K2628" t="str">
            <v>Ναι</v>
          </cell>
          <cell r="L2628" t="str">
            <v>ΝΑΙ</v>
          </cell>
          <cell r="O2628" t="str">
            <v/>
          </cell>
        </row>
        <row r="2629">
          <cell r="D2629" t="str">
            <v>ΣΚΛΗΡΟΣ ΣΙΤΟΣ9117</v>
          </cell>
          <cell r="E2629" t="str">
            <v>ΣΙΤΟΣ ΣΚΛΗΡΟΣ SENADUR</v>
          </cell>
          <cell r="F2629" t="str">
            <v>B_1_1_2</v>
          </cell>
          <cell r="G2629" t="str">
            <v>Σκληρό σιτάρι</v>
          </cell>
          <cell r="H2629">
            <v>324</v>
          </cell>
          <cell r="K2629" t="str">
            <v>Ναι</v>
          </cell>
          <cell r="L2629" t="str">
            <v>ΝΑΙ</v>
          </cell>
          <cell r="O2629" t="str">
            <v/>
          </cell>
        </row>
        <row r="2630">
          <cell r="D2630" t="str">
            <v>ΣΚΛΗΡΟΣ ΣΙΤΟΣ9118</v>
          </cell>
          <cell r="E2630" t="str">
            <v>ΣΙΤΟΣ ΣΚΛΗΡΟΣ SENECA</v>
          </cell>
          <cell r="F2630" t="str">
            <v>B_1_1_2</v>
          </cell>
          <cell r="G2630" t="str">
            <v>Σκληρό σιτάρι</v>
          </cell>
          <cell r="H2630">
            <v>324</v>
          </cell>
          <cell r="K2630" t="str">
            <v>Ναι</v>
          </cell>
          <cell r="L2630" t="str">
            <v>ΝΑΙ</v>
          </cell>
          <cell r="O2630" t="str">
            <v/>
          </cell>
        </row>
        <row r="2631">
          <cell r="D2631" t="str">
            <v>ΣΚΛΗΡΟΣ ΣΙΤΟΣ9119</v>
          </cell>
          <cell r="E2631" t="str">
            <v>ΣΙΤΟΣ ΣΚΛΗΡΟΣ SOLDUR</v>
          </cell>
          <cell r="F2631" t="str">
            <v>B_1_1_2</v>
          </cell>
          <cell r="G2631" t="str">
            <v>Σκληρό σιτάρι</v>
          </cell>
          <cell r="H2631">
            <v>324</v>
          </cell>
          <cell r="K2631" t="str">
            <v>Ναι</v>
          </cell>
          <cell r="L2631" t="str">
            <v>ΝΑΙ</v>
          </cell>
          <cell r="O2631" t="str">
            <v/>
          </cell>
        </row>
        <row r="2632">
          <cell r="D2632" t="str">
            <v>ΣΚΛΗΡΟΣ ΣΙΤΟΣ9120</v>
          </cell>
          <cell r="E2632" t="str">
            <v>ΣΙΤΟΣ ΣΚΛΗΡΟΣ SOTENO</v>
          </cell>
          <cell r="F2632" t="str">
            <v>B_1_1_2</v>
          </cell>
          <cell r="G2632" t="str">
            <v>Σκληρό σιτάρι</v>
          </cell>
          <cell r="H2632">
            <v>324</v>
          </cell>
          <cell r="K2632" t="str">
            <v>Ναι</v>
          </cell>
          <cell r="L2632" t="str">
            <v>ΝΑΙ</v>
          </cell>
          <cell r="O2632" t="str">
            <v/>
          </cell>
        </row>
        <row r="2633">
          <cell r="D2633" t="str">
            <v>ΣΚΛΗΡΟΣ ΣΙΤΟΣ9121</v>
          </cell>
          <cell r="E2633" t="str">
            <v>ΣΙΤΟΣ ΣΚΛΗΡΟΣ SULA</v>
          </cell>
          <cell r="F2633" t="str">
            <v>B_1_1_2</v>
          </cell>
          <cell r="G2633" t="str">
            <v>Σκληρό σιτάρι</v>
          </cell>
          <cell r="H2633">
            <v>324</v>
          </cell>
          <cell r="K2633" t="str">
            <v>Ναι</v>
          </cell>
          <cell r="L2633" t="str">
            <v>ΝΑΙ</v>
          </cell>
          <cell r="O2633" t="str">
            <v/>
          </cell>
        </row>
        <row r="2634">
          <cell r="D2634" t="str">
            <v>ΣΚΛΗΡΟΣ ΣΙΤΟΣ9122</v>
          </cell>
          <cell r="E2634" t="str">
            <v>ΣΙΤΟΣ ΣΚΛΗΡΟΣ TANGO</v>
          </cell>
          <cell r="F2634" t="str">
            <v>B_1_1_2</v>
          </cell>
          <cell r="G2634" t="str">
            <v>Σκληρό σιτάρι</v>
          </cell>
          <cell r="H2634">
            <v>324</v>
          </cell>
          <cell r="K2634" t="str">
            <v>Ναι</v>
          </cell>
          <cell r="L2634" t="str">
            <v>ΝΑΙ</v>
          </cell>
          <cell r="O2634" t="str">
            <v/>
          </cell>
        </row>
        <row r="2635">
          <cell r="D2635" t="str">
            <v>ΣΚΛΗΡΟΣ ΣΙΤΟΣ9123</v>
          </cell>
          <cell r="E2635" t="str">
            <v>ΣΙΤΟΣ ΣΚΛΗΡΟΣ TDR 97 SC</v>
          </cell>
          <cell r="F2635" t="str">
            <v>B_1_1_2</v>
          </cell>
          <cell r="G2635" t="str">
            <v>Σκληρό σιτάρι</v>
          </cell>
          <cell r="H2635">
            <v>324</v>
          </cell>
          <cell r="K2635" t="str">
            <v>Ναι</v>
          </cell>
          <cell r="L2635" t="str">
            <v>ΝΑΙ</v>
          </cell>
          <cell r="O2635" t="str">
            <v/>
          </cell>
        </row>
        <row r="2636">
          <cell r="D2636" t="str">
            <v>ΣΚΛΗΡΟΣ ΣΙΤΟΣ9124</v>
          </cell>
          <cell r="E2636" t="str">
            <v>ΣΙΤΟΣ ΣΚΛΗΡΟΣ TIEDRA</v>
          </cell>
          <cell r="F2636" t="str">
            <v>B_1_1_2</v>
          </cell>
          <cell r="G2636" t="str">
            <v>Σκληρό σιτάρι</v>
          </cell>
          <cell r="H2636">
            <v>324</v>
          </cell>
          <cell r="K2636" t="str">
            <v>Ναι</v>
          </cell>
          <cell r="L2636" t="str">
            <v>ΝΑΙ</v>
          </cell>
          <cell r="O2636" t="str">
            <v/>
          </cell>
        </row>
        <row r="2637">
          <cell r="D2637" t="str">
            <v>ΣΚΛΗΡΟΣ ΣΙΤΟΣ9125</v>
          </cell>
          <cell r="E2637" t="str">
            <v>ΣΙΤΟΣ ΣΚΛΗΡΟΣ TITO NICK</v>
          </cell>
          <cell r="F2637" t="str">
            <v>B_1_1_2</v>
          </cell>
          <cell r="G2637" t="str">
            <v>Σκληρό σιτάρι</v>
          </cell>
          <cell r="H2637">
            <v>324</v>
          </cell>
          <cell r="K2637" t="str">
            <v>Ναι</v>
          </cell>
          <cell r="L2637" t="str">
            <v>ΝΑΙ</v>
          </cell>
          <cell r="O2637" t="str">
            <v/>
          </cell>
        </row>
        <row r="2638">
          <cell r="D2638" t="str">
            <v>ΣΚΛΗΡΟΣ ΣΙΤΟΣ9126</v>
          </cell>
          <cell r="E2638" t="str">
            <v>ΣΙΤΟΣ ΣΚΛΗΡΟΣ TONO</v>
          </cell>
          <cell r="F2638" t="str">
            <v>B_1_1_2</v>
          </cell>
          <cell r="G2638" t="str">
            <v>Σκληρό σιτάρι</v>
          </cell>
          <cell r="H2638">
            <v>324</v>
          </cell>
          <cell r="K2638" t="str">
            <v>Ναι</v>
          </cell>
          <cell r="L2638" t="str">
            <v>ΝΑΙ</v>
          </cell>
          <cell r="O2638" t="str">
            <v/>
          </cell>
        </row>
        <row r="2639">
          <cell r="D2639" t="str">
            <v>ΣΚΛΗΡΟΣ ΣΙΤΟΣ9127</v>
          </cell>
          <cell r="E2639" t="str">
            <v>ΣΙΤΟΣ ΣΚΛΗΡΟΣ VALIRA</v>
          </cell>
          <cell r="F2639" t="str">
            <v>B_1_1_2</v>
          </cell>
          <cell r="G2639" t="str">
            <v>Σκληρό σιτάρι</v>
          </cell>
          <cell r="H2639">
            <v>324</v>
          </cell>
          <cell r="K2639" t="str">
            <v>Ναι</v>
          </cell>
          <cell r="L2639" t="str">
            <v>ΝΑΙ</v>
          </cell>
          <cell r="O2639" t="str">
            <v/>
          </cell>
        </row>
        <row r="2640">
          <cell r="D2640" t="str">
            <v>ΣΚΛΗΡΟΣ ΣΙΤΟΣ9128</v>
          </cell>
          <cell r="E2640" t="str">
            <v>ΣΙΤΟΣ ΣΚΛΗΡΟΣ AMBRODUR</v>
          </cell>
          <cell r="F2640" t="str">
            <v>B_1_1_2</v>
          </cell>
          <cell r="G2640" t="str">
            <v>Σκληρό σιτάρι</v>
          </cell>
          <cell r="H2640">
            <v>324</v>
          </cell>
          <cell r="K2640" t="str">
            <v>Ναι</v>
          </cell>
          <cell r="L2640" t="str">
            <v>ΝΑΙ</v>
          </cell>
          <cell r="O2640" t="str">
            <v/>
          </cell>
        </row>
        <row r="2641">
          <cell r="D2641" t="str">
            <v>ΣΚΛΗΡΟΣ ΣΙΤΟΣ9130</v>
          </cell>
          <cell r="E2641" t="str">
            <v>ΣΙΤΟΣ ΣΚΛΗΡΟΣ BELENO</v>
          </cell>
          <cell r="F2641" t="str">
            <v>B_1_1_2</v>
          </cell>
          <cell r="G2641" t="str">
            <v>Σκληρό σιτάρι</v>
          </cell>
          <cell r="H2641">
            <v>324</v>
          </cell>
          <cell r="K2641" t="str">
            <v>Ναι</v>
          </cell>
          <cell r="L2641" t="str">
            <v>ΝΑΙ</v>
          </cell>
          <cell r="O2641" t="str">
            <v/>
          </cell>
        </row>
        <row r="2642">
          <cell r="D2642" t="str">
            <v>ΣΚΛΗΡΟΣ ΣΙΤΟΣ9131</v>
          </cell>
          <cell r="E2642" t="str">
            <v>ΣΙΤΟΣ ΣΚΛΗΡΟΣ GRECALE</v>
          </cell>
          <cell r="F2642" t="str">
            <v>B_1_1_2</v>
          </cell>
          <cell r="G2642" t="str">
            <v>Σκληρό σιτάρι</v>
          </cell>
          <cell r="H2642">
            <v>324</v>
          </cell>
          <cell r="K2642" t="str">
            <v>Ναι</v>
          </cell>
          <cell r="L2642" t="str">
            <v>ΝΑΙ</v>
          </cell>
          <cell r="O2642" t="str">
            <v/>
          </cell>
        </row>
        <row r="2643">
          <cell r="D2643" t="str">
            <v>ΣΚΛΗΡΟΣ ΣΙΤΟΣ9132</v>
          </cell>
          <cell r="E2643" t="str">
            <v>ΣΙΤΟΣ ΣΚΛΗΡΟΣ ICARO</v>
          </cell>
          <cell r="F2643" t="str">
            <v>B_1_1_2</v>
          </cell>
          <cell r="G2643" t="str">
            <v>Σκληρό σιτάρι</v>
          </cell>
          <cell r="H2643">
            <v>324</v>
          </cell>
          <cell r="K2643" t="str">
            <v>Ναι</v>
          </cell>
          <cell r="L2643" t="str">
            <v>ΝΑΙ</v>
          </cell>
          <cell r="O2643" t="str">
            <v/>
          </cell>
        </row>
        <row r="2644">
          <cell r="D2644" t="str">
            <v>ΣΚΛΗΡΟΣ ΣΙΤΟΣ9133</v>
          </cell>
          <cell r="E2644" t="str">
            <v>ΣΙΤΟΣ ΣΚΛΗΡΟΣ ULISSE</v>
          </cell>
          <cell r="F2644" t="str">
            <v>B_1_1_2</v>
          </cell>
          <cell r="G2644" t="str">
            <v>Σκληρό σιτάρι</v>
          </cell>
          <cell r="H2644">
            <v>324</v>
          </cell>
          <cell r="K2644" t="str">
            <v>Ναι</v>
          </cell>
          <cell r="L2644" t="str">
            <v>ΝΑΙ</v>
          </cell>
          <cell r="O2644" t="str">
            <v/>
          </cell>
        </row>
        <row r="2645">
          <cell r="D2645" t="str">
            <v>ΣΚΛΗΡΟΣ ΣΙΤΟΣ9134</v>
          </cell>
          <cell r="E2645" t="str">
            <v>ΣΙΤΟΣ ΣΚΛΗΡΟΣ AGAMEMNON</v>
          </cell>
          <cell r="F2645" t="str">
            <v>B_1_1_2</v>
          </cell>
          <cell r="G2645" t="str">
            <v>Σκληρό σιτάρι</v>
          </cell>
          <cell r="H2645">
            <v>324</v>
          </cell>
          <cell r="K2645" t="str">
            <v>Ναι</v>
          </cell>
          <cell r="L2645" t="str">
            <v>ΝΑΙ</v>
          </cell>
          <cell r="O2645" t="str">
            <v/>
          </cell>
        </row>
        <row r="2646">
          <cell r="D2646" t="str">
            <v>ΣΚΛΗΡΟΣ ΣΙΤΟΣ9135</v>
          </cell>
          <cell r="E2646" t="str">
            <v>ΣΙΤΟΣ ΣΚΛΗΡΟΣ ALLESSANDRO</v>
          </cell>
          <cell r="F2646" t="str">
            <v>B_1_1_2</v>
          </cell>
          <cell r="G2646" t="str">
            <v>Σκληρό σιτάρι</v>
          </cell>
          <cell r="H2646">
            <v>324</v>
          </cell>
          <cell r="K2646" t="str">
            <v>Ναι</v>
          </cell>
          <cell r="L2646" t="str">
            <v>ΝΑΙ</v>
          </cell>
          <cell r="O2646" t="str">
            <v/>
          </cell>
        </row>
        <row r="2647">
          <cell r="D2647" t="str">
            <v>ΣΚΛΗΡΟΣ ΣΙΤΟΣ9136</v>
          </cell>
          <cell r="E2647" t="str">
            <v>ΣΙΤΟΣ ΣΚΛΗΡΟΣ CONNIGOLD</v>
          </cell>
          <cell r="F2647" t="str">
            <v>B_1_1_2</v>
          </cell>
          <cell r="G2647" t="str">
            <v>Σκληρό σιτάρι</v>
          </cell>
          <cell r="H2647">
            <v>324</v>
          </cell>
          <cell r="K2647" t="str">
            <v>Ναι</v>
          </cell>
          <cell r="L2647" t="str">
            <v>ΝΑΙ</v>
          </cell>
          <cell r="O2647" t="str">
            <v/>
          </cell>
        </row>
        <row r="2648">
          <cell r="D2648" t="str">
            <v>ΣΚΛΗΡΟΣ ΣΙΤΟΣ9137</v>
          </cell>
          <cell r="E2648" t="str">
            <v>ΣΙΤΟΣ ΣΚΛΗΡΟΣ PTOLEMEOS</v>
          </cell>
          <cell r="F2648" t="str">
            <v>B_1_1_2</v>
          </cell>
          <cell r="G2648" t="str">
            <v>Σκληρό σιτάρι</v>
          </cell>
          <cell r="H2648">
            <v>324</v>
          </cell>
          <cell r="K2648" t="str">
            <v>Ναι</v>
          </cell>
          <cell r="L2648" t="str">
            <v>ΝΑΙ</v>
          </cell>
          <cell r="O2648" t="str">
            <v/>
          </cell>
        </row>
        <row r="2649">
          <cell r="D2649" t="str">
            <v>ΣΚΛΗΡΟΣ ΣΙΤΟΣ9138</v>
          </cell>
          <cell r="E2649" t="str">
            <v>ΣΙΤΟΣ ΣΚΛΗΡΟΣ SUPERDUR</v>
          </cell>
          <cell r="F2649" t="str">
            <v>B_1_1_2</v>
          </cell>
          <cell r="G2649" t="str">
            <v>Σκληρό σιτάρι</v>
          </cell>
          <cell r="H2649">
            <v>324</v>
          </cell>
          <cell r="K2649" t="str">
            <v>Ναι</v>
          </cell>
          <cell r="L2649" t="str">
            <v>ΝΑΙ</v>
          </cell>
          <cell r="O2649" t="str">
            <v/>
          </cell>
        </row>
        <row r="2650">
          <cell r="D2650" t="str">
            <v>ΣΚΛΗΡΟΣ ΣΙΤΟΣ9139</v>
          </cell>
          <cell r="E2650" t="str">
            <v>ΣΙΤΟΣ ΣΚΛΗΡΟΣ ARDENTE</v>
          </cell>
          <cell r="F2650" t="str">
            <v>B_1_1_2</v>
          </cell>
          <cell r="G2650" t="str">
            <v>Σκληρό σιτάρι</v>
          </cell>
          <cell r="H2650">
            <v>324</v>
          </cell>
          <cell r="K2650" t="str">
            <v>Ναι</v>
          </cell>
          <cell r="L2650" t="str">
            <v>ΝΑΙ</v>
          </cell>
          <cell r="O2650" t="str">
            <v/>
          </cell>
        </row>
        <row r="2651">
          <cell r="D2651" t="str">
            <v>ΣΚΛΗΡΟΣ ΣΙΤΟΣ9141</v>
          </cell>
          <cell r="E2651" t="str">
            <v>ΣΙΤΟΣ ΣΚΛΗΡΟΣ FLORADUR</v>
          </cell>
          <cell r="F2651" t="str">
            <v>B_1_1_2</v>
          </cell>
          <cell r="G2651" t="str">
            <v>Σκληρό σιτάρι</v>
          </cell>
          <cell r="H2651">
            <v>324</v>
          </cell>
          <cell r="K2651" t="str">
            <v>Ναι</v>
          </cell>
          <cell r="L2651" t="str">
            <v>ΝΑΙ</v>
          </cell>
          <cell r="O2651" t="str">
            <v/>
          </cell>
        </row>
        <row r="2652">
          <cell r="D2652" t="str">
            <v>ΣΚΛΗΡΟΣ ΣΙΤΟΣ9142</v>
          </cell>
          <cell r="E2652" t="str">
            <v>ΣΙΤΟΣ ΣΚΛΗΡΟΣ IMHOTEP</v>
          </cell>
          <cell r="F2652" t="str">
            <v>B_1_1_2</v>
          </cell>
          <cell r="G2652" t="str">
            <v>Σκληρό σιτάρι</v>
          </cell>
          <cell r="H2652">
            <v>324</v>
          </cell>
          <cell r="K2652" t="str">
            <v>Ναι</v>
          </cell>
          <cell r="L2652" t="str">
            <v>ΝΑΙ</v>
          </cell>
          <cell r="O2652" t="str">
            <v/>
          </cell>
        </row>
        <row r="2653">
          <cell r="D2653" t="str">
            <v>ΣΚΛΗΡΟΣ ΣΙΤΟΣ9143</v>
          </cell>
          <cell r="E2653" t="str">
            <v>ΣΙΤΟΣ ΣΚΛΗΡΟΣ NEOLATINO</v>
          </cell>
          <cell r="F2653" t="str">
            <v>B_1_1_2</v>
          </cell>
          <cell r="G2653" t="str">
            <v>Σκληρό σιτάρι</v>
          </cell>
          <cell r="H2653">
            <v>324</v>
          </cell>
          <cell r="K2653" t="str">
            <v>Ναι</v>
          </cell>
          <cell r="L2653" t="str">
            <v>ΝΑΙ</v>
          </cell>
          <cell r="O2653" t="str">
            <v/>
          </cell>
        </row>
        <row r="2654">
          <cell r="D2654" t="str">
            <v>ΣΚΛΗΡΟΣ ΣΙΤΟΣ9144</v>
          </cell>
          <cell r="E2654" t="str">
            <v>ΣΙΤΟΣ ΣΚΛΗΡΟΣ ROSADUR</v>
          </cell>
          <cell r="F2654" t="str">
            <v>B_1_1_2</v>
          </cell>
          <cell r="G2654" t="str">
            <v>Σκληρό σιτάρι</v>
          </cell>
          <cell r="H2654">
            <v>324</v>
          </cell>
          <cell r="K2654" t="str">
            <v>Ναι</v>
          </cell>
          <cell r="L2654" t="str">
            <v>ΝΑΙ</v>
          </cell>
          <cell r="O2654" t="str">
            <v/>
          </cell>
        </row>
        <row r="2655">
          <cell r="D2655" t="str">
            <v>ΣΚΛΗΡΟΣ ΣΙΤΟΣ9145</v>
          </cell>
          <cell r="E2655" t="str">
            <v>ΣΙΤΟΣ ΣΚΛΗΡΟΣ SARAGOLLA</v>
          </cell>
          <cell r="F2655" t="str">
            <v>B_1_1_2</v>
          </cell>
          <cell r="G2655" t="str">
            <v>Σκληρό σιτάρι</v>
          </cell>
          <cell r="H2655">
            <v>324</v>
          </cell>
          <cell r="K2655" t="str">
            <v>Ναι</v>
          </cell>
          <cell r="L2655" t="str">
            <v>ΝΑΙ</v>
          </cell>
          <cell r="O2655" t="str">
            <v/>
          </cell>
        </row>
        <row r="2656">
          <cell r="D2656" t="str">
            <v>ΣΚΛΗΡΟΣ ΣΙΤΟΣ9146</v>
          </cell>
          <cell r="E2656" t="str">
            <v>ΣΙΤΟΣ ΣΚΛΗΡΟΣ SIMADUR</v>
          </cell>
          <cell r="F2656" t="str">
            <v>B_1_1_2</v>
          </cell>
          <cell r="G2656" t="str">
            <v>Σκληρό σιτάρι</v>
          </cell>
          <cell r="H2656">
            <v>324</v>
          </cell>
          <cell r="K2656" t="str">
            <v>Ναι</v>
          </cell>
          <cell r="L2656" t="str">
            <v>ΝΑΙ</v>
          </cell>
          <cell r="O2656" t="str">
            <v/>
          </cell>
        </row>
        <row r="2657">
          <cell r="D2657" t="str">
            <v>ΣΚΛΗΡΟΣ ΣΙΤΟΣ9147</v>
          </cell>
          <cell r="E2657" t="str">
            <v>ΣΙΤΟΣ ΣΚΛΗΡΟΣ VIRGILIO</v>
          </cell>
          <cell r="F2657" t="str">
            <v>B_1_1_2</v>
          </cell>
          <cell r="G2657" t="str">
            <v>Σκληρό σιτάρι</v>
          </cell>
          <cell r="H2657">
            <v>324</v>
          </cell>
          <cell r="K2657" t="str">
            <v>Ναι</v>
          </cell>
          <cell r="L2657" t="str">
            <v>ΝΑΙ</v>
          </cell>
          <cell r="O2657" t="str">
            <v/>
          </cell>
        </row>
        <row r="2658">
          <cell r="D2658" t="str">
            <v>ΣΚΛΗΡΟΣ ΣΙΤΟΣ9148</v>
          </cell>
          <cell r="E2658" t="str">
            <v>ΣΙΤΟΣ ΣΚΛΗΡΟΣ MAESTRALLE</v>
          </cell>
          <cell r="F2658" t="str">
            <v>B_1_1_2</v>
          </cell>
          <cell r="G2658" t="str">
            <v>Σκληρό σιτάρι</v>
          </cell>
          <cell r="H2658">
            <v>324</v>
          </cell>
          <cell r="K2658" t="str">
            <v>Ναι</v>
          </cell>
          <cell r="L2658" t="str">
            <v>ΝΑΙ</v>
          </cell>
          <cell r="O2658" t="str">
            <v/>
          </cell>
        </row>
        <row r="2659">
          <cell r="D2659" t="str">
            <v>ΣΚΛΗΡΟΣ ΣΙΤΟΣ9149</v>
          </cell>
          <cell r="E2659" t="str">
            <v>ΣΙΤΟΣ ΣΚΛΗΡΟΣ CHRYSSODUR</v>
          </cell>
          <cell r="F2659" t="str">
            <v>B_1_1_2</v>
          </cell>
          <cell r="G2659" t="str">
            <v>Σκληρό σιτάρι</v>
          </cell>
          <cell r="H2659">
            <v>324</v>
          </cell>
          <cell r="K2659" t="str">
            <v>Ναι</v>
          </cell>
          <cell r="L2659" t="str">
            <v>ΝΑΙ</v>
          </cell>
          <cell r="O2659" t="str">
            <v/>
          </cell>
        </row>
        <row r="2660">
          <cell r="D2660" t="str">
            <v>ΣΚΛΗΡΟΣ ΣΙΤΟΣ9151</v>
          </cell>
          <cell r="E2660" t="str">
            <v>ΣΙΤΟΣ ΣΚΛΗΡΟΣ CATERVO</v>
          </cell>
          <cell r="F2660" t="str">
            <v>B_1_1_2</v>
          </cell>
          <cell r="G2660" t="str">
            <v>Σκληρό σιτάρι</v>
          </cell>
          <cell r="H2660">
            <v>324</v>
          </cell>
          <cell r="K2660" t="str">
            <v>Ναι</v>
          </cell>
          <cell r="L2660" t="str">
            <v>ΝΑΙ</v>
          </cell>
          <cell r="O2660" t="str">
            <v/>
          </cell>
        </row>
        <row r="2661">
          <cell r="D2661" t="str">
            <v>ΣΚΛΗΡΟΣ ΣΙΤΟΣ9152</v>
          </cell>
          <cell r="E2661" t="str">
            <v>ΣΙΤΟΣ ΣΚΛΗΡΟΣ NEOKRONOS</v>
          </cell>
          <cell r="F2661" t="str">
            <v>B_1_1_2</v>
          </cell>
          <cell r="G2661" t="str">
            <v>Σκληρό σιτάρι</v>
          </cell>
          <cell r="H2661">
            <v>324</v>
          </cell>
          <cell r="K2661" t="str">
            <v>Ναι</v>
          </cell>
          <cell r="L2661" t="str">
            <v>ΝΑΙ</v>
          </cell>
          <cell r="O2661" t="str">
            <v/>
          </cell>
        </row>
        <row r="2662">
          <cell r="D2662" t="str">
            <v>ΣΚΛΗΡΟΣ ΣΙΤΟΣ9193</v>
          </cell>
          <cell r="E2662" t="str">
            <v>ΣΙΤΟΣ ΣΚΛΗΡΟΣ KANAKIS</v>
          </cell>
          <cell r="F2662" t="str">
            <v>B_1_1_2</v>
          </cell>
          <cell r="G2662" t="str">
            <v>Σκληρό σιτάρι</v>
          </cell>
          <cell r="H2662">
            <v>324</v>
          </cell>
          <cell r="K2662" t="str">
            <v>Ναι</v>
          </cell>
          <cell r="L2662" t="str">
            <v>ΝΑΙ</v>
          </cell>
          <cell r="O2662" t="str">
            <v/>
          </cell>
        </row>
        <row r="2663">
          <cell r="D2663" t="str">
            <v>ΣΚΛΗΡΟΣ ΣΙΤΟΣ9194</v>
          </cell>
          <cell r="E2663" t="str">
            <v>ΣΙΤΟΣ ΣΚΛΗΡΟΣ ACHILLE</v>
          </cell>
          <cell r="F2663" t="str">
            <v>B_1_1_2</v>
          </cell>
          <cell r="G2663" t="str">
            <v>Σκληρό σιτάρι</v>
          </cell>
          <cell r="H2663">
            <v>324</v>
          </cell>
          <cell r="K2663" t="str">
            <v>Ναι</v>
          </cell>
          <cell r="L2663" t="str">
            <v>ΝΑΙ</v>
          </cell>
          <cell r="O2663" t="str">
            <v/>
          </cell>
        </row>
        <row r="2664">
          <cell r="D2664" t="str">
            <v>ΣΚΛΗΡΟΣ ΣΙΤΟΣ9195</v>
          </cell>
          <cell r="E2664" t="str">
            <v>ΣΙΤΟΣ ΣΚΛΗΡΟΣ ΕΚΑΒΗ</v>
          </cell>
          <cell r="F2664" t="str">
            <v>B_1_1_2</v>
          </cell>
          <cell r="G2664" t="str">
            <v>Σκληρό σιτάρι</v>
          </cell>
          <cell r="H2664">
            <v>324</v>
          </cell>
          <cell r="K2664" t="str">
            <v>Ναι</v>
          </cell>
          <cell r="L2664" t="str">
            <v>ΝΑΙ</v>
          </cell>
          <cell r="O2664" t="str">
            <v/>
          </cell>
        </row>
        <row r="2665">
          <cell r="D2665" t="str">
            <v>ΣΚΛΗΡΟΣ ΣΙΤΟΣ9400</v>
          </cell>
          <cell r="E2665" t="str">
            <v>ΣΙΤΟΣ ΣΚΛΗΡΟΣ ΜΑΥΡΑΓΑΝΙ</v>
          </cell>
          <cell r="F2665" t="str">
            <v>B_1_1_2</v>
          </cell>
          <cell r="G2665" t="str">
            <v>Σκληρό σιτάρι</v>
          </cell>
          <cell r="H2665">
            <v>324</v>
          </cell>
          <cell r="K2665" t="str">
            <v>Ναι</v>
          </cell>
          <cell r="L2665" t="str">
            <v>ΝΑΙ</v>
          </cell>
          <cell r="O2665" t="str">
            <v/>
          </cell>
        </row>
        <row r="2666">
          <cell r="D2666" t="str">
            <v>ΣΚΛΗΡΟΣ ΣΙΤΟΣ9401</v>
          </cell>
          <cell r="E2666" t="str">
            <v>ΣΙΤΟΣ ΣΚΛΗΡΟΣ ΚΟΚΚΙΝΑΘΕΡΙ</v>
          </cell>
          <cell r="F2666" t="str">
            <v>B_1_1_2</v>
          </cell>
          <cell r="G2666" t="str">
            <v>Σκληρό σιτάρι</v>
          </cell>
          <cell r="H2666">
            <v>324</v>
          </cell>
          <cell r="K2666" t="str">
            <v>Ναι</v>
          </cell>
          <cell r="L2666" t="str">
            <v>ΝΑΙ</v>
          </cell>
          <cell r="O2666" t="str">
            <v/>
          </cell>
        </row>
        <row r="2667">
          <cell r="D2667" t="str">
            <v>ΣΚΛΗΡΟΣ ΣΙΤΟΣ9402</v>
          </cell>
          <cell r="E2667" t="str">
            <v>ΣΙΤΟΣ ΣΚΛΗΡΟΣ ΜΑΥΡΑΘΕΡΙ</v>
          </cell>
          <cell r="F2667" t="str">
            <v>B_1_1_2</v>
          </cell>
          <cell r="G2667" t="str">
            <v>Σκληρό σιτάρι</v>
          </cell>
          <cell r="H2667">
            <v>324</v>
          </cell>
          <cell r="K2667" t="str">
            <v>Ναι</v>
          </cell>
          <cell r="L2667" t="str">
            <v>ΝΑΙ</v>
          </cell>
          <cell r="O2667" t="str">
            <v/>
          </cell>
        </row>
        <row r="2668">
          <cell r="D2668" t="str">
            <v>ΣΚΛΗΡΟΣ ΣΙΤΟΣ9403</v>
          </cell>
          <cell r="E2668" t="str">
            <v>ΣΙΤΟΣ ΣΚΛΗΡΟΣ ΑΣΠΡΑΘΕΡΙ</v>
          </cell>
          <cell r="F2668" t="str">
            <v>B_1_1_2</v>
          </cell>
          <cell r="G2668" t="str">
            <v>Σκληρό σιτάρι</v>
          </cell>
          <cell r="H2668">
            <v>324</v>
          </cell>
          <cell r="K2668" t="str">
            <v>Ναι</v>
          </cell>
          <cell r="L2668" t="str">
            <v>ΝΑΙ</v>
          </cell>
          <cell r="O2668" t="str">
            <v/>
          </cell>
        </row>
        <row r="2669">
          <cell r="D2669" t="str">
            <v>ΣΚΛΗΡΟΣ ΣΙΤΟΣ9404</v>
          </cell>
          <cell r="E2669" t="str">
            <v>ΣΙΤΟΣ ΣΚΛΗΡΟΣ ΚΟΚΚΙΝΟΣΤΑΡΟ</v>
          </cell>
          <cell r="F2669" t="str">
            <v>B_1_1_2</v>
          </cell>
          <cell r="G2669" t="str">
            <v>Σκληρό σιτάρι</v>
          </cell>
          <cell r="H2669">
            <v>324</v>
          </cell>
          <cell r="K2669" t="str">
            <v>Ναι</v>
          </cell>
          <cell r="L2669" t="str">
            <v>ΝΑΙ</v>
          </cell>
          <cell r="O2669" t="str">
            <v/>
          </cell>
        </row>
        <row r="2670">
          <cell r="D2670" t="str">
            <v>ΣΚΛΗΡΟΣ ΣΙΤΟΣ9405</v>
          </cell>
          <cell r="E2670" t="str">
            <v>ΣΙΤΟΣ ΣΚΛΗΡΟΣ ΑΣΠΡΟΣΤΑΡΟ</v>
          </cell>
          <cell r="F2670" t="str">
            <v>B_1_1_2</v>
          </cell>
          <cell r="G2670" t="str">
            <v>Σκληρό σιτάρι</v>
          </cell>
          <cell r="H2670">
            <v>324</v>
          </cell>
          <cell r="K2670" t="str">
            <v>Ναι</v>
          </cell>
          <cell r="L2670" t="str">
            <v>ΝΑΙ</v>
          </cell>
          <cell r="O2670" t="str">
            <v/>
          </cell>
        </row>
        <row r="2671">
          <cell r="D2671" t="str">
            <v>ΣΚΛΗΡΟΣ ΣΙΤΟΣ9406</v>
          </cell>
          <cell r="E2671" t="str">
            <v>ΣΙΤΟΣ ΣΚΛΗΡΟΣ ΑΣΠΡΟΣΙΤΙ</v>
          </cell>
          <cell r="F2671" t="str">
            <v>B_1_1_2</v>
          </cell>
          <cell r="G2671" t="str">
            <v>Σκληρό σιτάρι</v>
          </cell>
          <cell r="H2671">
            <v>324</v>
          </cell>
          <cell r="K2671" t="str">
            <v>Ναι</v>
          </cell>
          <cell r="L2671" t="str">
            <v>ΝΑΙ</v>
          </cell>
          <cell r="O2671" t="str">
            <v/>
          </cell>
        </row>
        <row r="2672">
          <cell r="D2672" t="str">
            <v>ΣΚΛΗΡΟΣ ΣΙΤΟΣ9407</v>
          </cell>
          <cell r="E2672" t="str">
            <v>ΣΙΤΟΣ ΣΚΛΗΡΟΣ ΔΙΜΗΝΙ</v>
          </cell>
          <cell r="F2672" t="str">
            <v>B_1_1_2</v>
          </cell>
          <cell r="G2672" t="str">
            <v>Σκληρό σιτάρι</v>
          </cell>
          <cell r="H2672">
            <v>324</v>
          </cell>
          <cell r="K2672" t="str">
            <v>Ναι</v>
          </cell>
          <cell r="L2672" t="str">
            <v>ΝΑΙ</v>
          </cell>
          <cell r="O2672" t="str">
            <v/>
          </cell>
        </row>
        <row r="2673">
          <cell r="D2673" t="str">
            <v>ΣΚΛΗΡΟΣ ΣΙΤΟΣ9408</v>
          </cell>
          <cell r="E2673" t="str">
            <v>ΣΙΤΟΣ ΣΚΛΗΡΟΣ ΤΡΙΜΗΝΙ</v>
          </cell>
          <cell r="F2673" t="str">
            <v>B_1_1_2</v>
          </cell>
          <cell r="G2673" t="str">
            <v>Σκληρό σιτάρι</v>
          </cell>
          <cell r="H2673">
            <v>324</v>
          </cell>
          <cell r="K2673" t="str">
            <v>Ναι</v>
          </cell>
          <cell r="L2673" t="str">
            <v>ΝΑΙ</v>
          </cell>
          <cell r="O2673" t="str">
            <v/>
          </cell>
        </row>
        <row r="2674">
          <cell r="D2674" t="str">
            <v>ΣΚΛΗΡΟΣ ΣΙΤΟΣ9409</v>
          </cell>
          <cell r="E2674" t="str">
            <v>ΣΙΤΟΣ ΣΚΛΗΡΟΣ ΝΤΕΒΕΣ</v>
          </cell>
          <cell r="F2674" t="str">
            <v>B_1_1_2</v>
          </cell>
          <cell r="G2674" t="str">
            <v>Σκληρό σιτάρι</v>
          </cell>
          <cell r="H2674">
            <v>324</v>
          </cell>
          <cell r="K2674" t="str">
            <v>Ναι</v>
          </cell>
          <cell r="L2674" t="str">
            <v>ΝΑΙ</v>
          </cell>
          <cell r="O2674" t="str">
            <v/>
          </cell>
        </row>
        <row r="2675">
          <cell r="D2675" t="str">
            <v>ΣΚΛΗΡΟΣ ΣΙΤΟΣ9410</v>
          </cell>
          <cell r="E2675" t="str">
            <v>ΣΙΤΟΣ ΣΚΛΗΡΟΣ ΕΡΕΤΡΕΙΑ</v>
          </cell>
          <cell r="F2675" t="str">
            <v>B_1_1_2</v>
          </cell>
          <cell r="G2675" t="str">
            <v>Σκληρό σιτάρι</v>
          </cell>
          <cell r="H2675">
            <v>324</v>
          </cell>
          <cell r="K2675" t="str">
            <v>Ναι</v>
          </cell>
          <cell r="L2675" t="str">
            <v>ΝΑΙ</v>
          </cell>
          <cell r="O2675" t="str">
            <v/>
          </cell>
        </row>
        <row r="2676">
          <cell r="D2676" t="str">
            <v>ΣΚΛΗΡΟΣ ΣΙΤΟΣ9411</v>
          </cell>
          <cell r="E2676" t="str">
            <v>ΣΙΤΟΣ ΣΚΛΗΡΟΣ ΦΡΑΓΚΟΣΙΤΑΡΟ</v>
          </cell>
          <cell r="F2676" t="str">
            <v>B_1_1_2</v>
          </cell>
          <cell r="G2676" t="str">
            <v>Σκληρό σιτάρι</v>
          </cell>
          <cell r="H2676">
            <v>324</v>
          </cell>
          <cell r="K2676" t="str">
            <v>Ναι</v>
          </cell>
          <cell r="L2676" t="str">
            <v>ΝΑΙ</v>
          </cell>
          <cell r="O2676" t="str">
            <v/>
          </cell>
        </row>
        <row r="2677">
          <cell r="D2677" t="str">
            <v>ΣΚΛΗΡΟΣ ΣΙΤΟΣ9412</v>
          </cell>
          <cell r="E2677" t="str">
            <v>ΣΙΤΟΣ ΣΚΛΗΡΟΣ ΓΡΕΜΕΝΙΑΣ</v>
          </cell>
          <cell r="F2677" t="str">
            <v>B_1_1_2</v>
          </cell>
          <cell r="G2677" t="str">
            <v>Σκληρό σιτάρι</v>
          </cell>
          <cell r="H2677">
            <v>324</v>
          </cell>
          <cell r="K2677" t="str">
            <v>Ναι</v>
          </cell>
          <cell r="L2677" t="str">
            <v>ΝΑΙ</v>
          </cell>
          <cell r="O2677" t="str">
            <v/>
          </cell>
        </row>
        <row r="2678">
          <cell r="D2678" t="str">
            <v>ΣΚΛΗΡΟΣ ΣΙΤΟΣ9413</v>
          </cell>
          <cell r="E2678" t="str">
            <v>ΣΙΤΟΣ ΣΚΛΗΡΟΣ ΑΡΑΠΑΚΙ</v>
          </cell>
          <cell r="F2678" t="str">
            <v>B_1_1_2</v>
          </cell>
          <cell r="G2678" t="str">
            <v>Σκληρό σιτάρι</v>
          </cell>
          <cell r="H2678">
            <v>324</v>
          </cell>
          <cell r="K2678" t="str">
            <v>Ναι</v>
          </cell>
          <cell r="L2678" t="str">
            <v>ΝΑΙ</v>
          </cell>
          <cell r="O2678" t="str">
            <v/>
          </cell>
        </row>
        <row r="2679">
          <cell r="D2679" t="str">
            <v>ΣΚΛΗΡΟΣ ΣΙΤΟΣ9414</v>
          </cell>
          <cell r="E2679" t="str">
            <v>ΣΙΤΟΣ ΣΚΛΗΡΟΣ ΤΣΙΠΟΥΡΑ</v>
          </cell>
          <cell r="F2679" t="str">
            <v>B_1_1_2</v>
          </cell>
          <cell r="G2679" t="str">
            <v>Σκληρό σιτάρι</v>
          </cell>
          <cell r="H2679">
            <v>324</v>
          </cell>
          <cell r="K2679" t="str">
            <v>Ναι</v>
          </cell>
          <cell r="L2679" t="str">
            <v>ΝΑΙ</v>
          </cell>
          <cell r="O2679" t="str">
            <v/>
          </cell>
        </row>
        <row r="2680">
          <cell r="D2680" t="str">
            <v>ΣΚΛΗΡΟΣ ΣΙΤΟΣ9415</v>
          </cell>
          <cell r="E2680" t="str">
            <v>ΣΙΤΟΣ ΣΚΛΗΡΟΣ ΚΟΝΤΟΥΖΙ</v>
          </cell>
          <cell r="F2680" t="str">
            <v>B_1_1_2</v>
          </cell>
          <cell r="G2680" t="str">
            <v>Σκληρό σιτάρι</v>
          </cell>
          <cell r="H2680">
            <v>324</v>
          </cell>
          <cell r="K2680" t="str">
            <v>Ναι</v>
          </cell>
          <cell r="L2680" t="str">
            <v>ΝΑΙ</v>
          </cell>
          <cell r="O2680" t="str">
            <v/>
          </cell>
        </row>
        <row r="2681">
          <cell r="D2681" t="str">
            <v>ΣΚΛΗΡΟΣ ΣΙΤΟΣ9416</v>
          </cell>
          <cell r="E2681" t="str">
            <v>ΣΙΤΟΣ ΣΚΛΗΡΟΣ ΗΛΕΚΤΡΑ</v>
          </cell>
          <cell r="F2681" t="str">
            <v>B_1_1_2</v>
          </cell>
          <cell r="G2681" t="str">
            <v>Σκληρό σιτάρι</v>
          </cell>
          <cell r="H2681">
            <v>324</v>
          </cell>
          <cell r="K2681" t="str">
            <v>Ναι</v>
          </cell>
          <cell r="L2681" t="str">
            <v>ΝΑΙ</v>
          </cell>
          <cell r="O2681" t="str">
            <v/>
          </cell>
        </row>
        <row r="2682">
          <cell r="D2682" t="str">
            <v>ΣΚΛΗΡΟΣ ΣΙΤΟΣ9417</v>
          </cell>
          <cell r="E2682" t="str">
            <v>ΣΙΤΟΣ ΣΚΛΗΡΟΣ ΛΗΜΝΟΣ</v>
          </cell>
          <cell r="F2682" t="str">
            <v>B_1_1_2</v>
          </cell>
          <cell r="G2682" t="str">
            <v>Σκληρό σιτάρι</v>
          </cell>
          <cell r="H2682">
            <v>324</v>
          </cell>
          <cell r="K2682" t="str">
            <v>Ναι</v>
          </cell>
          <cell r="L2682" t="str">
            <v>ΝΑΙ</v>
          </cell>
          <cell r="O2682" t="str">
            <v/>
          </cell>
        </row>
        <row r="2683">
          <cell r="D2683" t="str">
            <v>ΣΚΛΗΡΟΣ ΣΙΤΟΣ9418</v>
          </cell>
          <cell r="E2683" t="str">
            <v>ΣΙΤΟΣ ΣΚΛΗΡΟΣ CINCINNATO</v>
          </cell>
          <cell r="F2683" t="str">
            <v>B_1_1_2</v>
          </cell>
          <cell r="G2683" t="str">
            <v>Σκληρό σιτάρι</v>
          </cell>
          <cell r="H2683">
            <v>324</v>
          </cell>
          <cell r="K2683" t="str">
            <v>Ναι</v>
          </cell>
          <cell r="L2683" t="str">
            <v>ΝΑΙ</v>
          </cell>
          <cell r="O2683" t="str">
            <v/>
          </cell>
        </row>
        <row r="2684">
          <cell r="D2684" t="str">
            <v>ΣΚΛΗΡΟΣ ΣΙΤΟΣ99153</v>
          </cell>
          <cell r="E2684" t="str">
            <v>ΣΙΤΟΣ ΣΚΛΗΡΟΣ DURAMAR</v>
          </cell>
          <cell r="F2684" t="str">
            <v>B_1_1_2</v>
          </cell>
          <cell r="G2684" t="str">
            <v>Σκληρό σιτάρι</v>
          </cell>
          <cell r="H2684">
            <v>324</v>
          </cell>
          <cell r="K2684" t="str">
            <v>Ναι</v>
          </cell>
          <cell r="L2684" t="str">
            <v>ΝΑΙ</v>
          </cell>
          <cell r="O2684" t="str">
            <v/>
          </cell>
        </row>
        <row r="2685">
          <cell r="D2685" t="str">
            <v>ΣΚΛΗΡΟΣ ΣΙΤΟΣ99154</v>
          </cell>
          <cell r="E2685" t="str">
            <v>ΣΙΤΟΣ ΣΚΛΗΡΟΣ Κ26</v>
          </cell>
          <cell r="F2685" t="str">
            <v>B_1_1_2</v>
          </cell>
          <cell r="G2685" t="str">
            <v>Σκληρό σιτάρι</v>
          </cell>
          <cell r="H2685">
            <v>324</v>
          </cell>
          <cell r="K2685" t="str">
            <v>Ναι</v>
          </cell>
          <cell r="L2685" t="str">
            <v>ΝΑΙ</v>
          </cell>
          <cell r="O2685" t="str">
            <v/>
          </cell>
        </row>
        <row r="2686">
          <cell r="D2686" t="str">
            <v>ΣΚΛΗΡΟΣ ΣΙΤΟΣ99155</v>
          </cell>
          <cell r="E2686" t="str">
            <v>ΣΙΤΟΣ ΣΚΛΗΡΟΣ SCULPTUR</v>
          </cell>
          <cell r="F2686" t="str">
            <v>B_1_1_2</v>
          </cell>
          <cell r="G2686" t="str">
            <v>Σκληρό σιτάρι</v>
          </cell>
          <cell r="H2686">
            <v>324</v>
          </cell>
          <cell r="K2686" t="str">
            <v>Ναι</v>
          </cell>
          <cell r="L2686" t="str">
            <v>ΝΑΙ</v>
          </cell>
          <cell r="O2686" t="str">
            <v/>
          </cell>
        </row>
        <row r="2687">
          <cell r="D2687" t="str">
            <v>ΣΚΛΗΡΟΣ ΣΙΤΟΣ99156</v>
          </cell>
          <cell r="E2687" t="str">
            <v>ΣΙΤΟΣ ΣΚΛΗΡΟΣ ATHINA</v>
          </cell>
          <cell r="F2687" t="str">
            <v>B_1_1_2</v>
          </cell>
          <cell r="G2687" t="str">
            <v>Σκληρό σιτάρι</v>
          </cell>
          <cell r="H2687">
            <v>324</v>
          </cell>
          <cell r="K2687" t="str">
            <v>Ναι</v>
          </cell>
          <cell r="L2687" t="str">
            <v>ΝΑΙ</v>
          </cell>
          <cell r="O2687" t="str">
            <v/>
          </cell>
        </row>
        <row r="2688">
          <cell r="D2688" t="str">
            <v>ΣΚΛΗΡΟΣ ΣΙΤΟΣ99157</v>
          </cell>
          <cell r="E2688" t="str">
            <v>ΣΙΤΟΣ ΣΚΛΗΡΟΣ CALIMBRA</v>
          </cell>
          <cell r="F2688" t="str">
            <v>B_1_1_2</v>
          </cell>
          <cell r="G2688" t="str">
            <v>Σκληρό σιτάρι</v>
          </cell>
          <cell r="H2688">
            <v>324</v>
          </cell>
          <cell r="K2688" t="str">
            <v>Ναι</v>
          </cell>
          <cell r="L2688" t="str">
            <v>ΝΑΙ</v>
          </cell>
          <cell r="O2688" t="str">
            <v/>
          </cell>
        </row>
        <row r="2689">
          <cell r="D2689" t="str">
            <v>ΣΚΛΗΡΟΣ ΣΙΤΟΣ99158</v>
          </cell>
          <cell r="E2689" t="str">
            <v>ΣΙΤΟΣ ΣΚΛΗΡΟΣ DONDURO</v>
          </cell>
          <cell r="F2689" t="str">
            <v>B_1_1_2</v>
          </cell>
          <cell r="G2689" t="str">
            <v>Σκληρό σιτάρι</v>
          </cell>
          <cell r="H2689">
            <v>324</v>
          </cell>
          <cell r="K2689" t="str">
            <v>Ναι</v>
          </cell>
          <cell r="L2689" t="str">
            <v>ΝΑΙ</v>
          </cell>
          <cell r="O2689" t="str">
            <v/>
          </cell>
        </row>
        <row r="2690">
          <cell r="D2690" t="str">
            <v>ΣΚΛΗΡΟΣ ΣΙΤΟΣ99159</v>
          </cell>
          <cell r="E2690" t="str">
            <v>ΣΙΤΟΣ ΣΚΛΗΡΟΣ ELPIDA</v>
          </cell>
          <cell r="F2690" t="str">
            <v>B_1_1_2</v>
          </cell>
          <cell r="G2690" t="str">
            <v>Σκληρό σιτάρι</v>
          </cell>
          <cell r="H2690">
            <v>324</v>
          </cell>
          <cell r="K2690" t="str">
            <v>Ναι</v>
          </cell>
          <cell r="L2690" t="str">
            <v>ΝΑΙ</v>
          </cell>
          <cell r="O2690" t="str">
            <v/>
          </cell>
        </row>
        <row r="2691">
          <cell r="D2691" t="str">
            <v>ΣΚΛΗΡΟΣ ΣΙΤΟΣ99160</v>
          </cell>
          <cell r="E2691" t="str">
            <v>ΣΙΤΟΣ ΣΚΛΗΡΟΣ ILIADUR</v>
          </cell>
          <cell r="F2691" t="str">
            <v>B_1_1_2</v>
          </cell>
          <cell r="G2691" t="str">
            <v>Σκληρό σιτάρι</v>
          </cell>
          <cell r="H2691">
            <v>324</v>
          </cell>
          <cell r="K2691" t="str">
            <v>Ναι</v>
          </cell>
          <cell r="L2691" t="str">
            <v>ΝΑΙ</v>
          </cell>
          <cell r="O2691" t="str">
            <v/>
          </cell>
        </row>
        <row r="2692">
          <cell r="D2692" t="str">
            <v>ΣΚΛΗΡΟΣ ΣΙΤΟΣ99161</v>
          </cell>
          <cell r="E2692" t="str">
            <v>ΣΙΤΟΣ ΣΚΛΗΡΟΣ MAGDUR</v>
          </cell>
          <cell r="F2692" t="str">
            <v>B_1_1_2</v>
          </cell>
          <cell r="G2692" t="str">
            <v>Σκληρό σιτάρι</v>
          </cell>
          <cell r="H2692">
            <v>324</v>
          </cell>
          <cell r="K2692" t="str">
            <v>Ναι</v>
          </cell>
          <cell r="L2692" t="str">
            <v>ΝΑΙ</v>
          </cell>
          <cell r="O2692" t="str">
            <v/>
          </cell>
        </row>
        <row r="2693">
          <cell r="D2693" t="str">
            <v>ΣΚΛΗΡΟΣ ΣΙΤΟΣ99162</v>
          </cell>
          <cell r="E2693" t="str">
            <v>ΣΙΤΟΣ ΣΚΛΗΡΟΣ OZARK</v>
          </cell>
          <cell r="F2693" t="str">
            <v>B_1_1_2</v>
          </cell>
          <cell r="G2693" t="str">
            <v>Σκληρό σιτάρι</v>
          </cell>
          <cell r="H2693">
            <v>324</v>
          </cell>
          <cell r="K2693" t="str">
            <v>Ναι</v>
          </cell>
          <cell r="L2693" t="str">
            <v>ΝΑΙ</v>
          </cell>
          <cell r="O2693" t="str">
            <v/>
          </cell>
        </row>
        <row r="2694">
          <cell r="D2694" t="str">
            <v>ΣΚΛΗΡΟΣ ΣΙΤΟΣ99163</v>
          </cell>
          <cell r="E2694" t="str">
            <v>ΣΙΤΟΣ ΣΚΛΗΡΟΣ PISTI</v>
          </cell>
          <cell r="F2694" t="str">
            <v>B_1_1_2</v>
          </cell>
          <cell r="G2694" t="str">
            <v>Σκληρό σιτάρι</v>
          </cell>
          <cell r="H2694">
            <v>324</v>
          </cell>
          <cell r="K2694" t="str">
            <v>Ναι</v>
          </cell>
          <cell r="L2694" t="str">
            <v>ΝΑΙ</v>
          </cell>
          <cell r="O2694" t="str">
            <v/>
          </cell>
        </row>
        <row r="2695">
          <cell r="D2695" t="str">
            <v>ΣΚΛΗΡΟΣ ΣΙΤΟΣ99164</v>
          </cell>
          <cell r="E2695" t="str">
            <v>ΣΙΤΟΣ ΣΚΛΗΡΟΣ SKYROS (ΣΚΥΡΟΣ)</v>
          </cell>
          <cell r="F2695" t="str">
            <v>B_1_1_2</v>
          </cell>
          <cell r="G2695" t="str">
            <v>Σκληρό σιτάρι</v>
          </cell>
          <cell r="H2695">
            <v>324</v>
          </cell>
          <cell r="K2695" t="str">
            <v>Ναι</v>
          </cell>
          <cell r="L2695" t="str">
            <v>ΝΑΙ</v>
          </cell>
          <cell r="O2695" t="str">
            <v/>
          </cell>
        </row>
        <row r="2696">
          <cell r="D2696" t="str">
            <v>ΣΚΛΗΡΟΣ ΣΙΤΟΣ99165</v>
          </cell>
          <cell r="E2696" t="str">
            <v>ΣΙΤΟΣ ΣΚΛΗΡΟΣ TERRANO</v>
          </cell>
          <cell r="F2696" t="str">
            <v>B_1_1_2</v>
          </cell>
          <cell r="G2696" t="str">
            <v>Σκληρό σιτάρι</v>
          </cell>
          <cell r="H2696">
            <v>324</v>
          </cell>
          <cell r="K2696" t="str">
            <v>Ναι</v>
          </cell>
          <cell r="L2696" t="str">
            <v>ΝΑΙ</v>
          </cell>
          <cell r="O2696" t="str">
            <v/>
          </cell>
        </row>
        <row r="2697">
          <cell r="D2697" t="str">
            <v>ΣΚΛΗΡΟΣ ΣΙΤΟΣ99166</v>
          </cell>
          <cell r="E2697" t="str">
            <v>ΣΙΤΟΣ ΣΚΛΗΡΟΣ TRAIANO</v>
          </cell>
          <cell r="F2697" t="str">
            <v>B_1_1_2</v>
          </cell>
          <cell r="G2697" t="str">
            <v>Σκληρό σιτάρι</v>
          </cell>
          <cell r="H2697">
            <v>324</v>
          </cell>
          <cell r="K2697" t="str">
            <v>Ναι</v>
          </cell>
          <cell r="L2697" t="str">
            <v>ΝΑΙ</v>
          </cell>
          <cell r="O2697" t="str">
            <v/>
          </cell>
        </row>
        <row r="2698">
          <cell r="D2698" t="str">
            <v>ΣΚΛΗΡΟΣ ΣΙΤΟΣ99167</v>
          </cell>
          <cell r="E2698" t="str">
            <v>ΣΙΤΟΣ ΣΚΛΗΡΟΣ TRAPEZIO</v>
          </cell>
          <cell r="F2698" t="str">
            <v>B_1_1_2</v>
          </cell>
          <cell r="G2698" t="str">
            <v>Σκληρό σιτάρι</v>
          </cell>
          <cell r="H2698">
            <v>324</v>
          </cell>
          <cell r="K2698" t="str">
            <v>Ναι</v>
          </cell>
          <cell r="L2698" t="str">
            <v>ΝΑΙ</v>
          </cell>
          <cell r="O2698" t="str">
            <v/>
          </cell>
        </row>
        <row r="2699">
          <cell r="D2699" t="str">
            <v>ΣΚΛΗΡΟΣ ΣΙΤΟΣ99168</v>
          </cell>
          <cell r="E2699" t="str">
            <v>ΣΙΤΟΣ ΣΚΛΗΡΟΣ VAFFANDUR</v>
          </cell>
          <cell r="F2699" t="str">
            <v>B_1_1_2</v>
          </cell>
          <cell r="G2699" t="str">
            <v>Σκληρό σιτάρι</v>
          </cell>
          <cell r="H2699">
            <v>324</v>
          </cell>
          <cell r="K2699" t="str">
            <v>Ναι</v>
          </cell>
          <cell r="L2699" t="str">
            <v>ΝΑΙ</v>
          </cell>
          <cell r="O2699" t="str">
            <v/>
          </cell>
        </row>
        <row r="2700">
          <cell r="D2700" t="str">
            <v>ΣΚΛΗΡΟΣ ΣΙΤΟΣ99169</v>
          </cell>
          <cell r="E2700" t="str">
            <v>ΣΙΤΟΣ ΣΚΛΗΡΟΣ VAIOS</v>
          </cell>
          <cell r="F2700" t="str">
            <v>B_1_1_2</v>
          </cell>
          <cell r="G2700" t="str">
            <v>Σκληρό σιτάρι</v>
          </cell>
          <cell r="H2700">
            <v>324</v>
          </cell>
          <cell r="K2700" t="str">
            <v>Ναι</v>
          </cell>
          <cell r="L2700" t="str">
            <v>ΝΑΙ</v>
          </cell>
          <cell r="O2700" t="str">
            <v/>
          </cell>
        </row>
        <row r="2701">
          <cell r="D2701" t="str">
            <v>ΣΚΛΗΡΟΣ ΣΙΤΟΣ99170</v>
          </cell>
          <cell r="E2701" t="str">
            <v>ΣΙΤΟΣ ΣΚΛΗΡΟΣ CORE</v>
          </cell>
          <cell r="F2701" t="str">
            <v>B_1_1_2</v>
          </cell>
          <cell r="G2701" t="str">
            <v>Σκληρό σιτάρι</v>
          </cell>
          <cell r="H2701">
            <v>324</v>
          </cell>
          <cell r="K2701" t="str">
            <v>Ναι</v>
          </cell>
          <cell r="L2701" t="str">
            <v>ΝΑΙ</v>
          </cell>
          <cell r="O2701" t="str">
            <v/>
          </cell>
        </row>
        <row r="2702">
          <cell r="D2702" t="str">
            <v>ΣΚΛΗΡΟΣ ΣΙΤΟΣ99171</v>
          </cell>
          <cell r="E2702" t="str">
            <v>ΣΙΤΟΣ ΣΚΛΗΡΟΣ MIMMO</v>
          </cell>
          <cell r="F2702" t="str">
            <v>B_1_1_2</v>
          </cell>
          <cell r="G2702" t="str">
            <v>Σκληρό σιτάρι</v>
          </cell>
          <cell r="H2702">
            <v>324</v>
          </cell>
          <cell r="K2702" t="str">
            <v>Ναι</v>
          </cell>
          <cell r="L2702" t="str">
            <v>ΝΑΙ</v>
          </cell>
          <cell r="O2702" t="str">
            <v/>
          </cell>
        </row>
        <row r="2703">
          <cell r="D2703" t="str">
            <v>ΣΚΛΗΡΟΣ ΣΙΤΟΣ99172</v>
          </cell>
          <cell r="E2703" t="str">
            <v>ΣΙΤΟΣ ΣΚΛΗΡΟΣ JOSEPHINA</v>
          </cell>
          <cell r="F2703" t="str">
            <v>B_1_1_2</v>
          </cell>
          <cell r="G2703" t="str">
            <v>Σκληρό σιτάρι</v>
          </cell>
          <cell r="H2703">
            <v>324</v>
          </cell>
          <cell r="K2703" t="str">
            <v>Ναι</v>
          </cell>
          <cell r="L2703" t="str">
            <v>ΝΑΙ</v>
          </cell>
          <cell r="O2703" t="str">
            <v/>
          </cell>
        </row>
        <row r="2704">
          <cell r="D2704" t="str">
            <v>ΣΚΛΗΡΟΣ ΣΙΤΟΣ99173</v>
          </cell>
          <cell r="E2704" t="str">
            <v>ΣΙΤΟΣ ΣΚΛΗΡΟΣ MONASTIR</v>
          </cell>
          <cell r="F2704" t="str">
            <v>B_1_1_2</v>
          </cell>
          <cell r="G2704" t="str">
            <v>Σκληρό σιτάρι</v>
          </cell>
          <cell r="H2704">
            <v>324</v>
          </cell>
          <cell r="K2704" t="str">
            <v>Ναι</v>
          </cell>
          <cell r="L2704" t="str">
            <v>ΝΑΙ</v>
          </cell>
          <cell r="O2704" t="str">
            <v/>
          </cell>
        </row>
        <row r="2705">
          <cell r="D2705" t="str">
            <v>ΣΚΛΗΡΟΣ ΣΙΤΟΣ99174</v>
          </cell>
          <cell r="E2705" t="str">
            <v>ΣΙΤΟΣ ΣΚΛΗΡΟΣ MARCO AURELIO</v>
          </cell>
          <cell r="F2705" t="str">
            <v>B_1_1_2</v>
          </cell>
          <cell r="G2705" t="str">
            <v>Σκληρό σιτάρι</v>
          </cell>
          <cell r="H2705">
            <v>324</v>
          </cell>
          <cell r="K2705" t="str">
            <v>Ναι</v>
          </cell>
          <cell r="L2705" t="str">
            <v>ΝΑΙ</v>
          </cell>
          <cell r="O2705" t="str">
            <v/>
          </cell>
        </row>
        <row r="2706">
          <cell r="D2706" t="str">
            <v>ΣΚΛΗΡΟΣ ΣΙΤΟΣ99175</v>
          </cell>
          <cell r="E2706" t="str">
            <v>ΣΙΤΟΣ ΣΚΛΗΡΟΣ MASSIMO MERIDIO</v>
          </cell>
          <cell r="F2706" t="str">
            <v>B_1_1_2</v>
          </cell>
          <cell r="G2706" t="str">
            <v>Σκληρό σιτάρι</v>
          </cell>
          <cell r="H2706">
            <v>324</v>
          </cell>
          <cell r="K2706" t="str">
            <v>Ναι</v>
          </cell>
          <cell r="L2706" t="str">
            <v>ΝΑΙ</v>
          </cell>
          <cell r="O2706" t="str">
            <v/>
          </cell>
        </row>
        <row r="2707">
          <cell r="D2707" t="str">
            <v>ΣΚΛΗΡΟΣ ΣΙΤΟΣ99176</v>
          </cell>
          <cell r="E2707" t="str">
            <v>ΣΙΤΟΣ ΣΚΛΗΡΟΣ SPARTACO</v>
          </cell>
          <cell r="F2707" t="str">
            <v>B_1_1_2</v>
          </cell>
          <cell r="G2707" t="str">
            <v>Σκληρό σιτάρι</v>
          </cell>
          <cell r="H2707">
            <v>324</v>
          </cell>
          <cell r="K2707" t="str">
            <v>Ναι</v>
          </cell>
          <cell r="L2707" t="str">
            <v>ΝΑΙ</v>
          </cell>
          <cell r="O2707" t="str">
            <v/>
          </cell>
        </row>
        <row r="2708">
          <cell r="D2708" t="str">
            <v>ΣΚΛΗΡΟΣ ΣΙΤΟΣ99177</v>
          </cell>
          <cell r="E2708" t="str">
            <v>ΣΙΤΟΣ ΣΚΛΗΡΟΣ DORATO</v>
          </cell>
          <cell r="F2708" t="str">
            <v>B_1_1_2</v>
          </cell>
          <cell r="G2708" t="str">
            <v>Σκληρό σιτάρι</v>
          </cell>
          <cell r="H2708">
            <v>324</v>
          </cell>
          <cell r="K2708" t="str">
            <v>Ναι</v>
          </cell>
          <cell r="L2708" t="str">
            <v>ΝΑΙ</v>
          </cell>
          <cell r="O2708" t="str">
            <v/>
          </cell>
        </row>
        <row r="2709">
          <cell r="D2709" t="str">
            <v>ΣΚΛΗΡΟΣ ΣΙΤΟΣ99178</v>
          </cell>
          <cell r="E2709" t="str">
            <v>ΣΙΤΟΣ ΣΚΛΗΡΟΣ TRITICUM DURUM</v>
          </cell>
          <cell r="F2709" t="str">
            <v>B_1_1_2</v>
          </cell>
          <cell r="G2709" t="str">
            <v>Σκληρό σιτάρι</v>
          </cell>
          <cell r="H2709">
            <v>324</v>
          </cell>
          <cell r="K2709" t="str">
            <v>Ναι</v>
          </cell>
          <cell r="L2709" t="str">
            <v>ΝΑΙ</v>
          </cell>
          <cell r="O2709" t="str">
            <v/>
          </cell>
        </row>
        <row r="2710">
          <cell r="D2710" t="str">
            <v>ΣΚΛΗΡΟΣ ΣΙΤΟΣ99180</v>
          </cell>
          <cell r="E2710" t="str">
            <v>ΣΙΤΟΣ ΣΚΛΗΡΟΣ CANNAVARO</v>
          </cell>
          <cell r="F2710" t="str">
            <v>B_1_1_2</v>
          </cell>
          <cell r="G2710" t="str">
            <v>Σκληρό σιτάρι</v>
          </cell>
          <cell r="H2710">
            <v>324</v>
          </cell>
          <cell r="K2710" t="str">
            <v>Ναι</v>
          </cell>
          <cell r="L2710" t="str">
            <v>ΝΑΙ</v>
          </cell>
          <cell r="O2710" t="str">
            <v/>
          </cell>
        </row>
        <row r="2711">
          <cell r="D2711" t="str">
            <v>ΣΚΛΗΡΟΣ ΣΙΤΟΣ99281</v>
          </cell>
          <cell r="E2711" t="str">
            <v>ΣΙΤΟΣ ΣΚΛΗΡΟΣ MIRADOUX</v>
          </cell>
          <cell r="F2711" t="str">
            <v>B_1_1_2</v>
          </cell>
          <cell r="G2711" t="str">
            <v>Σκληρό σιτάρι</v>
          </cell>
          <cell r="H2711">
            <v>324</v>
          </cell>
          <cell r="K2711" t="str">
            <v>Ναι</v>
          </cell>
          <cell r="L2711" t="str">
            <v>ΝΑΙ</v>
          </cell>
          <cell r="O2711" t="str">
            <v/>
          </cell>
        </row>
        <row r="2712">
          <cell r="D2712" t="str">
            <v>ΣΚΛΗΡΟΣ ΣΙΤΟΣ99282</v>
          </cell>
          <cell r="E2712" t="str">
            <v>ΣΙΤΟΣ ΣΚΛΗΡΟΣ ISILDUR</v>
          </cell>
          <cell r="F2712" t="str">
            <v>B_1_1_2</v>
          </cell>
          <cell r="G2712" t="str">
            <v>Σκληρό σιτάρι</v>
          </cell>
          <cell r="H2712">
            <v>324</v>
          </cell>
          <cell r="K2712" t="str">
            <v>Ναι</v>
          </cell>
          <cell r="L2712" t="str">
            <v>ΝΑΙ</v>
          </cell>
          <cell r="O2712" t="str">
            <v/>
          </cell>
        </row>
        <row r="2713">
          <cell r="D2713" t="str">
            <v>ΣΚΛΗΡΟΣ ΣΙΤΟΣ99284</v>
          </cell>
          <cell r="E2713" t="str">
            <v>ΣΙΤΟΣ ΣΚΛΗΡΟΣ ODISSEO</v>
          </cell>
          <cell r="F2713" t="str">
            <v>B_1_1_2</v>
          </cell>
          <cell r="G2713" t="str">
            <v>Σκληρό σιτάρι</v>
          </cell>
          <cell r="H2713">
            <v>324</v>
          </cell>
          <cell r="K2713" t="str">
            <v>Ναι</v>
          </cell>
          <cell r="L2713" t="str">
            <v>ΝΑΙ</v>
          </cell>
          <cell r="O2713" t="str">
            <v/>
          </cell>
        </row>
        <row r="2714">
          <cell r="D2714" t="str">
            <v>ΣΚΛΗΡΟΣ ΣΙΤΟΣ99285</v>
          </cell>
          <cell r="E2714" t="str">
            <v>ΣΙΤΟΣ ΣΚΛΗΡΟΣ KOMBO</v>
          </cell>
          <cell r="F2714" t="str">
            <v>B_1_1_2</v>
          </cell>
          <cell r="G2714" t="str">
            <v>Σκληρό σιτάρι</v>
          </cell>
          <cell r="H2714">
            <v>324</v>
          </cell>
          <cell r="K2714" t="str">
            <v>Ναι</v>
          </cell>
          <cell r="L2714" t="str">
            <v>ΝΑΙ</v>
          </cell>
          <cell r="O2714" t="str">
            <v/>
          </cell>
        </row>
        <row r="2715">
          <cell r="D2715" t="str">
            <v>ΣΚΛΗΡΟΣ ΣΙΤΟΣ99286</v>
          </cell>
          <cell r="E2715" t="str">
            <v>ΣΙΤΟΣ ΣΚΛΗΡΟΣ SAADI</v>
          </cell>
          <cell r="F2715" t="str">
            <v>B_1_1_2</v>
          </cell>
          <cell r="G2715" t="str">
            <v>Σκληρό σιτάρι</v>
          </cell>
          <cell r="H2715">
            <v>324</v>
          </cell>
          <cell r="K2715" t="str">
            <v>Ναι</v>
          </cell>
          <cell r="L2715" t="str">
            <v>ΝΑΙ</v>
          </cell>
          <cell r="O2715" t="str">
            <v/>
          </cell>
        </row>
        <row r="2716">
          <cell r="D2716" t="str">
            <v>ΣΚΛΗΡΟΣ ΣΙΤΟΣ99287</v>
          </cell>
          <cell r="E2716" t="str">
            <v>ΣΙΤΟΣ ΣΚΛΗΡΟΣ DUNAVIS</v>
          </cell>
          <cell r="F2716" t="str">
            <v>B_1_1_2</v>
          </cell>
          <cell r="G2716" t="str">
            <v>Σκληρό σιτάρι</v>
          </cell>
          <cell r="H2716">
            <v>324</v>
          </cell>
          <cell r="K2716" t="str">
            <v>Ναι</v>
          </cell>
          <cell r="L2716" t="str">
            <v>ΝΑΙ</v>
          </cell>
          <cell r="O2716" t="str">
            <v/>
          </cell>
        </row>
        <row r="2717">
          <cell r="D2717" t="str">
            <v>ΣΠΑΡΑΓΓΙΑ8203</v>
          </cell>
          <cell r="E2717" t="str">
            <v>ΣΠΑΡΑΓΓΙΑ</v>
          </cell>
          <cell r="F2717" t="str">
            <v>B_1_7_1_1</v>
          </cell>
          <cell r="G2717" t="str">
            <v>Κηπευτικές καλλιέργειες μεγάλης έκτασης σε αγρό</v>
          </cell>
          <cell r="H2717">
            <v>7525</v>
          </cell>
          <cell r="J2717" t="str">
            <v>Ναι</v>
          </cell>
          <cell r="K2717" t="str">
            <v>Όχι</v>
          </cell>
          <cell r="L2717" t="str">
            <v>ΌΧΙ</v>
          </cell>
          <cell r="O2717" t="str">
            <v/>
          </cell>
        </row>
        <row r="2718">
          <cell r="D2718" t="str">
            <v>ΣΠΑΡΑΓΓΙΑ8205</v>
          </cell>
          <cell r="E2718" t="str">
            <v>ΣΠΑΡΑΓΓΙΑ ΜΗ ΠΑΡΑΓΩΓΙΚΑ</v>
          </cell>
          <cell r="K2718" t="str">
            <v>Όχι</v>
          </cell>
          <cell r="L2718" t="str">
            <v>ΌΧΙ</v>
          </cell>
          <cell r="O2718" t="str">
            <v/>
          </cell>
        </row>
        <row r="2719">
          <cell r="D2719" t="str">
            <v>ΣΠΟΡΟΠΑΡΑΓΩΓΗ10301</v>
          </cell>
          <cell r="E2719" t="str">
            <v>ΜΗΔΙΚΗ ΣΠΟΡΟΠΑΡΑΓΩΓΗΣ - MEDICAGO SATIVA</v>
          </cell>
          <cell r="I2719" t="str">
            <v>ΚΤΗΝΟΤΡΟΦΙΚΟ</v>
          </cell>
          <cell r="K2719" t="str">
            <v>Όχι</v>
          </cell>
          <cell r="L2719" t="str">
            <v>ΕΤ: Όχι με βάση σανό μηδικής - ζωοτροφές</v>
          </cell>
          <cell r="M2719" t="str">
            <v>ΔΕΝ ΥΠΑΡΧΟΥΝ ΣΤΟΙΧΕΙΑ</v>
          </cell>
          <cell r="O2719" t="str">
            <v/>
          </cell>
        </row>
        <row r="2720">
          <cell r="D2720" t="str">
            <v>ΣΠΟΡΟΠΑΡΑΓΩΓΗ10302</v>
          </cell>
          <cell r="E2720" t="str">
            <v>ΤΡΙΦΥΛΛΙ ΑΛΕΞΑΝΔΡΙΝΟ ΣΠΟΡΟΠΑΡΑΓΩΓΗΣ -TRIFOLIUM ALE</v>
          </cell>
          <cell r="I2720" t="str">
            <v>ΚΤΗΝΟΤΡΟΦΙΚΟ</v>
          </cell>
          <cell r="K2720" t="str">
            <v>Όχι</v>
          </cell>
          <cell r="L2720" t="str">
            <v>ΌΧΙ</v>
          </cell>
          <cell r="O2720" t="str">
            <v/>
          </cell>
        </row>
        <row r="2721">
          <cell r="D2721" t="str">
            <v>ΣΠΟΡΟΠΑΡΑΓΩΓΗ10303</v>
          </cell>
          <cell r="E2721" t="str">
            <v>ΤΡΙΦΥΛΛΙ ΠΕΡΣΙΑΣ ΣΠΟΡΟΠΑΡΑΓΩΓΗΣ-TRIFOLIUM RESUPINA</v>
          </cell>
          <cell r="I2721" t="str">
            <v>ΚΤΗΝΟΤΡΟΦΙΚΟ</v>
          </cell>
          <cell r="K2721" t="str">
            <v>Όχι</v>
          </cell>
          <cell r="L2721" t="str">
            <v>ΌΧΙ</v>
          </cell>
          <cell r="O2721" t="str">
            <v/>
          </cell>
        </row>
        <row r="2722">
          <cell r="D2722" t="str">
            <v>ΣΠΟΡΟΠΑΡΑΓΩΓΗ10304</v>
          </cell>
          <cell r="E2722" t="str">
            <v>ΒΙΚΟΣ ΣΠΟΡΟΠΑΡΑΓΩΓΗΣ VICIA SATIVA</v>
          </cell>
          <cell r="K2722" t="str">
            <v>Ναι</v>
          </cell>
          <cell r="L2722" t="str">
            <v>ΝΑΙ</v>
          </cell>
          <cell r="O2722" t="str">
            <v/>
          </cell>
        </row>
        <row r="2723">
          <cell r="D2723" t="str">
            <v>ΣΠΟΡΟΠΑΡΑΓΩΓΗ25001</v>
          </cell>
          <cell r="E2723" t="str">
            <v>ΡΕΒΥΘΙ ΚΤΗΝΟΤΡΟΦΙΚΟ ΣΠΟΡΟΠΑΡΑΓΩΓΗΣ</v>
          </cell>
          <cell r="I2723" t="str">
            <v>ΚΤΗΝΟΤΡΟΦΙΚΑ ΦΥΤΑ ΓΙΑ ΖΩΟΤΡΟΦΕΣ</v>
          </cell>
          <cell r="K2723" t="str">
            <v>Ναι</v>
          </cell>
          <cell r="L2723" t="str">
            <v>ΝΑΙ</v>
          </cell>
          <cell r="M2723" t="str">
            <v xml:space="preserve">ΔΕΝ ΕΊΝΑΙ ΣΤΟ EXCEL ΠΟΥ ΔΟΥΛΕΨΑΜΕ ΑΛΛΑ ΌΛΑ ΤΑ ΡΕΒΥΘΙΑ ΕΧΟΥΝ ΧΑΜΗΛΕΣ ΑΠΑΙΤΗΣΕΙΣ ΑΥΤΆ ΓΙΑΤΙ ΌΧΙ ; </v>
          </cell>
          <cell r="O2723" t="str">
            <v/>
          </cell>
        </row>
        <row r="2724">
          <cell r="D2724" t="str">
            <v>ΣΠΟΡΟΠΑΡΑΓΩΓΗ25002</v>
          </cell>
          <cell r="E2724" t="str">
            <v>ΗΔΥΣΑΡΥ ΤΟ ΣΤΕΦΑΝΟΦΟΡΟ ΣΠΟΡΟΠΑΡΑΓΩΓΗΣ</v>
          </cell>
          <cell r="K2724" t="str">
            <v>Ναι</v>
          </cell>
          <cell r="L2724" t="str">
            <v>ΕΤ: Ναι, όλα τα κτηνοτροφικά είναι</v>
          </cell>
          <cell r="M2724" t="str">
            <v>ΔΕΝ ΥΠΑΡΧΟΥΝ ΣΤΟΙΧΕΙΑ</v>
          </cell>
          <cell r="O2724" t="str">
            <v/>
          </cell>
        </row>
        <row r="2725">
          <cell r="D2725" t="str">
            <v>ΣΠΟΡΟΠΑΡΑΓΩΓΗ25003</v>
          </cell>
          <cell r="E2725" t="str">
            <v>ΛΩΤΟΣ Ο ΚΕΡΑΤΙΟΦΟΡΟΣ ΣΠΟΡΟΠΑΡΑΓΩΓΗΣ</v>
          </cell>
          <cell r="J2725" t="str">
            <v>Ναι</v>
          </cell>
          <cell r="K2725" t="str">
            <v>Όχι</v>
          </cell>
          <cell r="L2725" t="str">
            <v>ΌΧΙ</v>
          </cell>
          <cell r="O2725" t="str">
            <v/>
          </cell>
        </row>
        <row r="2726">
          <cell r="D2726" t="str">
            <v>ΣΠΟΡΟΠΑΡΑΓΩΓΗ25004</v>
          </cell>
          <cell r="E2726" t="str">
            <v>ΛΟΥΠΙΝΟ ΤΟ ΛΕΥΚΟ ΣΠΟΡΟΠΑΡΑΓΩΓΗΣ</v>
          </cell>
          <cell r="K2726" t="str">
            <v>Ναι</v>
          </cell>
          <cell r="L2726" t="str">
            <v>ΝΑΙ</v>
          </cell>
          <cell r="O2726" t="str">
            <v/>
          </cell>
        </row>
        <row r="2727">
          <cell r="D2727" t="str">
            <v>ΣΠΟΡΟΠΑΡΑΓΩΓΗ25005</v>
          </cell>
          <cell r="E2727" t="str">
            <v>ΛΟΥΠΙΝΟ ΤΟ ΣΤΕΝΟΦΥΛΛΟ (ΜΠΛΕ) ΣΠΟΡΟΠΑΡΑΓΩΓΗΣ</v>
          </cell>
          <cell r="K2727" t="str">
            <v>Ναι</v>
          </cell>
          <cell r="L2727" t="str">
            <v>ΝΑΙ</v>
          </cell>
          <cell r="O2727" t="str">
            <v/>
          </cell>
        </row>
        <row r="2728">
          <cell r="D2728" t="str">
            <v>ΣΠΟΡΟΠΑΡΑΓΩΓΗ25006</v>
          </cell>
          <cell r="E2728" t="str">
            <v>ΛΟΥΠΙΝΟ ΤΟ ΚΙΤΡΙΝΟ ΣΠΟΡΟΠΑΡΑΓΩΓΗΣ</v>
          </cell>
          <cell r="K2728" t="str">
            <v>Ναι</v>
          </cell>
          <cell r="L2728" t="str">
            <v>ΝΑΙ</v>
          </cell>
          <cell r="O2728" t="str">
            <v/>
          </cell>
        </row>
        <row r="2729">
          <cell r="D2729" t="str">
            <v>ΣΠΟΡΟΠΑΡΑΓΩΓΗ25007</v>
          </cell>
          <cell r="E2729" t="str">
            <v>ΛΑΘΟΥΡΙ ΚΤΗΝΟΤΡΟΦΙΚΟ ΣΠΟΡΟΠΑΡΑΓΩΓΗΣ</v>
          </cell>
          <cell r="I2729" t="str">
            <v>ΚΤΗΝΟΤΡΟΦΙΚΑ ΦΥΤΑ ΓΙΑ ΖΩΟΤΡΟΦΕΣ</v>
          </cell>
          <cell r="K2729" t="str">
            <v>Ναι</v>
          </cell>
          <cell r="L2729" t="str">
            <v>ΝΑΙ</v>
          </cell>
          <cell r="O2729" t="str">
            <v/>
          </cell>
        </row>
        <row r="2730">
          <cell r="D2730" t="str">
            <v>ΣΠΟΡΟΠΑΡΑΓΩΓΗ25008</v>
          </cell>
          <cell r="E2730" t="str">
            <v>ΜΗΔΙΚΗ Η ΛΥΚΙΣΚΗ ΣΠΟΡΟΠΑΡΑΓΩΓΗΣ</v>
          </cell>
          <cell r="I2730" t="str">
            <v>ΚΤΗΝΟΤΡΟΦΙΚΟ</v>
          </cell>
          <cell r="K2730" t="str">
            <v>Όχι</v>
          </cell>
          <cell r="L2730" t="str">
            <v>ΕΤ: Όχι με βάση σανό μηδικής - ζωοτροφές</v>
          </cell>
          <cell r="M2730" t="str">
            <v>ΔΕΝ ΥΠΑΡΧΟΥΝ ΣΤΟΙΧΕΙΑ</v>
          </cell>
          <cell r="O2730" t="str">
            <v/>
          </cell>
        </row>
        <row r="2731">
          <cell r="D2731" t="str">
            <v>ΣΠΟΡΟΠΑΡΑΓΩΓΗ25009</v>
          </cell>
          <cell r="E2731" t="str">
            <v>ΜΗΔΙΚΗ Η ΗΜΕΡΟΣ ΣΠΟΡΟΠΑΡΑΓΩΓΗΣ</v>
          </cell>
          <cell r="I2731" t="str">
            <v>Κτηνοτροφικό</v>
          </cell>
          <cell r="K2731" t="str">
            <v>Όχι</v>
          </cell>
          <cell r="L2731" t="str">
            <v>ΕΤ: Όχι με βάση σανό μηδικής - ζωοτροφές</v>
          </cell>
          <cell r="M2731" t="str">
            <v>ΔΕΝ ΥΠΑΡΧΟΥΝ ΣΤΟΙΧΕΙΑ</v>
          </cell>
          <cell r="O2731" t="str">
            <v/>
          </cell>
        </row>
        <row r="2732">
          <cell r="D2732" t="str">
            <v>ΣΠΟΡΟΠΑΡΑΓΩΓΗ25010</v>
          </cell>
          <cell r="E2732" t="str">
            <v>ΜΗΔΙΚΗ ΣΤΥΚΤΗ ΣΠΟΡΟΠΑΡΑΓΩΓΗΣ</v>
          </cell>
          <cell r="I2732" t="str">
            <v>ΚΤΗΝΟΤΡΟΦΙΚΟ</v>
          </cell>
          <cell r="K2732" t="str">
            <v>Όχι</v>
          </cell>
          <cell r="L2732" t="str">
            <v>ΕΤ: Όχι με βάση σανό μηδικής - ζωοτροφές</v>
          </cell>
          <cell r="M2732" t="str">
            <v>ΔΕΝ ΥΠΑΡΧΟΥΝ ΣΤΟΙΧΕΙΑ</v>
          </cell>
          <cell r="O2732" t="str">
            <v/>
          </cell>
        </row>
        <row r="2733">
          <cell r="D2733" t="str">
            <v>ΣΠΟΡΟΠΑΡΑΓΩΓΗ25011</v>
          </cell>
          <cell r="E2733" t="str">
            <v>ΜΗΔΙΚΗ Η ΔΕΝΔΡΩΔΗΣ ΣΠΟΡΟΠΑΡΑΓΩΓΗΣ</v>
          </cell>
          <cell r="K2733" t="str">
            <v>Ναι</v>
          </cell>
          <cell r="L2733" t="str">
            <v>ΝΑΙ</v>
          </cell>
          <cell r="O2733" t="str">
            <v/>
          </cell>
        </row>
        <row r="2734">
          <cell r="D2734" t="str">
            <v>ΣΠΟΡΟΠΑΡΑΓΩΓΗ25012</v>
          </cell>
          <cell r="E2734" t="str">
            <v>ΑΓΡΙΟΤΡΙΦΥΛΛΟ ΣΠΟΡΟΠΑΡΑΓΩΓΗΣ</v>
          </cell>
          <cell r="I2734" t="str">
            <v>Κτηνοτροφικό</v>
          </cell>
          <cell r="K2734" t="str">
            <v>Όχι</v>
          </cell>
          <cell r="L2734" t="str">
            <v>ΕΤ: όχι, με βάση όλα τα υπόλοιπα τριφύλια</v>
          </cell>
          <cell r="O2734" t="str">
            <v/>
          </cell>
        </row>
        <row r="2735">
          <cell r="D2735" t="str">
            <v>ΣΠΟΡΟΠΑΡΑΓΩΓΗ25013</v>
          </cell>
          <cell r="E2735" t="str">
            <v>ΜΕΛΙΛΩΤΟΣ ΣΠΟΡΟΠΑΡΑΓΩΓΗΣ</v>
          </cell>
          <cell r="K2735" t="str">
            <v>Ναι</v>
          </cell>
          <cell r="L2735" t="str">
            <v>ΝΑΙ</v>
          </cell>
          <cell r="O2735" t="str">
            <v/>
          </cell>
        </row>
        <row r="2736">
          <cell r="D2736" t="str">
            <v>ΣΠΟΡΟΠΑΡΑΓΩΓΗ25014</v>
          </cell>
          <cell r="E2736" t="str">
            <v>ΟΝΟΒΡΥΧΙΑ Η ΗΜΕΡΟΣ ΣΠΟΡΟΠΑΡΑΓΩΓΗΣ</v>
          </cell>
          <cell r="K2736" t="str">
            <v>Ναι</v>
          </cell>
          <cell r="L2736" t="str">
            <v>ΕΤ: Ναι, όλα τα κτηνοτροφικά είναι</v>
          </cell>
          <cell r="M2736" t="str">
            <v>ΔΕΝ ΥΠΑΡΧΟΥΝ ΣΤΟΙΧΕΙΑ</v>
          </cell>
          <cell r="O2736" t="str">
            <v/>
          </cell>
        </row>
        <row r="2737">
          <cell r="D2737" t="str">
            <v>ΣΠΟΡΟΠΑΡΑΓΩΓΗ25015</v>
          </cell>
          <cell r="E2737" t="str">
            <v>ΚΤΗΝΟΤΡΟΦΙΚΟ ΜΠΙΖΕΛΙ ΣΠΟΡΟΠΑΡΑΓΩΓΗΣ</v>
          </cell>
          <cell r="I2737" t="str">
            <v>ΚΤΗΝΟΤΡΟΦΙΚΑ ΦΥΤΑ ΓΙΑ ΖΩΟΤΡΟΦΕΣ</v>
          </cell>
          <cell r="K2737" t="str">
            <v>Ναι</v>
          </cell>
          <cell r="L2737" t="str">
            <v>ΕΤ: Ναι, με βάση Κτηνοτροφικά Μπιζέλια</v>
          </cell>
          <cell r="O2737" t="str">
            <v/>
          </cell>
        </row>
        <row r="2738">
          <cell r="D2738" t="str">
            <v>ΣΠΟΡΟΠΑΡΑΓΩΓΗ25016</v>
          </cell>
          <cell r="E2738" t="str">
            <v>ΤΡΙΦΥΛΛΙ ΑΛΕΞΑΝΔΡΙΝΟ ΣΠΟΡΟΠΑΡΑΓΩΓΗΣ</v>
          </cell>
          <cell r="I2738" t="str">
            <v>ΚΤΗΝΟΤΡΟΦΙΚΟ</v>
          </cell>
          <cell r="K2738" t="str">
            <v>Όχι</v>
          </cell>
          <cell r="L2738" t="str">
            <v>ΌΧΙ</v>
          </cell>
          <cell r="O2738" t="str">
            <v/>
          </cell>
        </row>
        <row r="2739">
          <cell r="D2739" t="str">
            <v>ΣΠΟΡΟΠΑΡΑΓΩΓΗ25017</v>
          </cell>
          <cell r="E2739" t="str">
            <v>ΤΡΙΦΥΛΛΙ ΝΟΘΟΝ ΣΠΟΡΟΠΑΡΑΓΩΓΗΣ</v>
          </cell>
          <cell r="I2739" t="str">
            <v>ΚΤΗΝΟΤΡΟΦΙΚΟ</v>
          </cell>
          <cell r="K2739" t="str">
            <v>Όχι</v>
          </cell>
          <cell r="L2739" t="str">
            <v>ΌΧΙ</v>
          </cell>
          <cell r="O2739" t="str">
            <v/>
          </cell>
        </row>
        <row r="2740">
          <cell r="D2740" t="str">
            <v>ΣΠΟΡΟΠΑΡΑΓΩΓΗ25018</v>
          </cell>
          <cell r="E2740" t="str">
            <v>ΤΡΙΦΥΛΛΙ ΣΑΡΚΟΧΡΟΥΝ ΣΠΟΡΟΠΑΡΑΓΩΓΗΣ</v>
          </cell>
          <cell r="I2740" t="str">
            <v>ΚΤΗΝΟΤΡΟΦΙΚΟ</v>
          </cell>
          <cell r="K2740" t="str">
            <v>Όχι</v>
          </cell>
          <cell r="L2740" t="str">
            <v>ΌΧΙ</v>
          </cell>
          <cell r="O2740" t="str">
            <v/>
          </cell>
        </row>
        <row r="2741">
          <cell r="D2741" t="str">
            <v>ΣΠΟΡΟΠΑΡΑΓΩΓΗ25019</v>
          </cell>
          <cell r="E2741" t="str">
            <v>ΤΡΙΦΥΛΛΙ ΛΕΙΜΩΝΙΟΝ ΣΠΟΡΟΠΑΡΑΓΩΓΗΣ</v>
          </cell>
          <cell r="I2741" t="str">
            <v>ΚΤΗΝΟΤΡΟΦΙΚΟ</v>
          </cell>
          <cell r="K2741" t="str">
            <v>Όχι</v>
          </cell>
          <cell r="L2741" t="str">
            <v>ΌΧΙ</v>
          </cell>
          <cell r="O2741" t="str">
            <v/>
          </cell>
        </row>
        <row r="2742">
          <cell r="D2742" t="str">
            <v>ΣΠΟΡΟΠΑΡΑΓΩΓΗ25020</v>
          </cell>
          <cell r="E2742" t="str">
            <v>ΤΡΙΦΥΛΛΙ ΕΡΠΟΝ ΣΠΟΡΟΠΑΡΑΓΩΓΗΣ</v>
          </cell>
          <cell r="I2742" t="str">
            <v>ΚΤΗΝΟΤΡΟΦΙΚΟ</v>
          </cell>
          <cell r="K2742" t="str">
            <v>Όχι</v>
          </cell>
          <cell r="L2742" t="str">
            <v>ΌΧΙ</v>
          </cell>
          <cell r="O2742" t="str">
            <v/>
          </cell>
        </row>
        <row r="2743">
          <cell r="D2743" t="str">
            <v>ΣΠΟΡΟΠΑΡΑΓΩΓΗ25021</v>
          </cell>
          <cell r="E2743" t="str">
            <v>ΤΡΙΦΥΛΛΙ ΥΠΤΙΟΝ ΣΠΟΡΟΠΑΡΑΓΩΓΗΣ</v>
          </cell>
          <cell r="I2743" t="str">
            <v>ΚΤΗΝΟΤΡΟΦΙΚΟ</v>
          </cell>
          <cell r="K2743" t="str">
            <v>Όχι</v>
          </cell>
          <cell r="L2743" t="str">
            <v>ΌΧΙ</v>
          </cell>
          <cell r="O2743" t="str">
            <v/>
          </cell>
        </row>
        <row r="2744">
          <cell r="D2744" t="str">
            <v>ΣΠΟΡΟΠΑΡΑΓΩΓΗ25022</v>
          </cell>
          <cell r="E2744" t="str">
            <v>ΤΡΙΦΥΛΛΙ ΥΠΟΓΕΙΟ ΣΠΟΡΟΠΑΡΑΓΩΓΗΣ</v>
          </cell>
          <cell r="I2744" t="str">
            <v>ΚΤΗΝΟΤΡΟΦΙΚΟ</v>
          </cell>
          <cell r="K2744" t="str">
            <v>Όχι</v>
          </cell>
          <cell r="L2744" t="str">
            <v>ΌΧΙ</v>
          </cell>
          <cell r="O2744" t="str">
            <v/>
          </cell>
        </row>
        <row r="2745">
          <cell r="D2745" t="str">
            <v>ΣΠΟΡΟΠΑΡΑΓΩΓΗ25023</v>
          </cell>
          <cell r="E2745" t="str">
            <v>ΤΡΙΓΩΝΙΣΚΗ (ΜΟΣΧΟΣΙΤΑΡΟ)  ΣΠΟΡΟΠΑΡΑΓΩΓΗΣ</v>
          </cell>
          <cell r="F2745" t="str">
            <v>B_1_1_99</v>
          </cell>
          <cell r="G2745" t="str">
            <v>Άλλα σιτηρά για την παραγωγή καρπού</v>
          </cell>
          <cell r="H2745">
            <v>358</v>
          </cell>
          <cell r="K2745" t="str">
            <v>Ναι</v>
          </cell>
          <cell r="L2745" t="str">
            <v>ΝΑΙ</v>
          </cell>
          <cell r="M2745" t="str">
            <v>ΕΛΓΟ ΔΗΜΗΤΡΑ</v>
          </cell>
          <cell r="O2745" t="str">
            <v/>
          </cell>
        </row>
        <row r="2746">
          <cell r="D2746" t="str">
            <v>ΣΠΟΡΟΠΑΡΑΓΩΓΗ25024</v>
          </cell>
          <cell r="E2746" t="str">
            <v>ΚΤΗΝΟΤΡΟΦΙΚΟ ΚΟΥΚΙ ΣΠΟΡΟΠΑΡΑΓΩΓΗΣ</v>
          </cell>
          <cell r="I2746" t="str">
            <v>ΚΤΗΝΟΤΡΟΦΙΚΑ ΦΥΤΑ ΓΙΑ ΖΩΟΤΡΟΦΕΣ</v>
          </cell>
          <cell r="K2746" t="str">
            <v>Ναι</v>
          </cell>
          <cell r="L2746" t="str">
            <v>ΝΑΙ</v>
          </cell>
          <cell r="O2746" t="str">
            <v/>
          </cell>
        </row>
        <row r="2747">
          <cell r="D2747" t="str">
            <v>ΣΠΟΡΟΠΑΡΑΓΩΓΗ25025</v>
          </cell>
          <cell r="E2747" t="str">
            <v>ΒΙΚΟΣ ΟΥΓΓΡΙΚΟΣ ΣΠΟΡΟΠΑΡΑΓΩΓΗΣ</v>
          </cell>
          <cell r="K2747" t="str">
            <v>Ναι</v>
          </cell>
          <cell r="L2747" t="str">
            <v>ΝΑΙ</v>
          </cell>
          <cell r="O2747" t="str">
            <v/>
          </cell>
        </row>
        <row r="2748">
          <cell r="D2748" t="str">
            <v>ΣΠΟΡΟΠΑΡΑΓΩΓΗ25026</v>
          </cell>
          <cell r="E2748" t="str">
            <v>ΒΙΚΟΣ ΚΤΗΝΟΤΡΟΦΙΚΟΣ ΣΠΟΡΟΠΑΡΑΓΩΓΗΣ</v>
          </cell>
          <cell r="I2748" t="str">
            <v>ΚΤΗΝΟΤΡΟΦΙΚΑ ΦΥΤΑ ΓΙΑ ΖΩΟΤΡΟΦΕΣ</v>
          </cell>
          <cell r="K2748" t="str">
            <v>Ναι</v>
          </cell>
          <cell r="L2748" t="str">
            <v>ΝΑΙ</v>
          </cell>
          <cell r="O2748" t="str">
            <v/>
          </cell>
        </row>
        <row r="2749">
          <cell r="D2749" t="str">
            <v>ΣΠΟΡΟΠΑΡΑΓΩΓΗ25027</v>
          </cell>
          <cell r="E2749" t="str">
            <v>ΒΙΚΟΣ ΑΓΡΙΟΣ ΣΠΟΡΟΠΑΡΑΓΩΓΗΣ</v>
          </cell>
          <cell r="K2749" t="str">
            <v>Ναι</v>
          </cell>
          <cell r="L2749" t="str">
            <v>ΝΑΙ</v>
          </cell>
          <cell r="O2749" t="str">
            <v/>
          </cell>
        </row>
        <row r="2750">
          <cell r="D2750" t="str">
            <v>ΣΠΟΡΟΠΑΡΑΓΩΓΗ25028</v>
          </cell>
          <cell r="E2750" t="str">
            <v>ΡΟΒΗ ΣΠΟΡΟΠΑΡΑΓΩΓΗΣ</v>
          </cell>
          <cell r="K2750" t="str">
            <v>Ναι</v>
          </cell>
          <cell r="L2750" t="str">
            <v>ΝΑΙ</v>
          </cell>
          <cell r="O2750" t="str">
            <v/>
          </cell>
        </row>
        <row r="2751">
          <cell r="D2751" t="str">
            <v>ΣΠΟΡΟΠΑΡΑΓΩΓΗ25029</v>
          </cell>
          <cell r="E2751" t="str">
            <v>ΦΑΚΗ ΣΠΟΡΟΠΑΡΑΓΩΓΗΣ</v>
          </cell>
          <cell r="K2751" t="str">
            <v>Ναι</v>
          </cell>
          <cell r="L2751" t="str">
            <v>ΝΑΙ</v>
          </cell>
          <cell r="O2751" t="str">
            <v/>
          </cell>
        </row>
        <row r="2752">
          <cell r="D2752" t="str">
            <v>ΣΠΟΡΟΠΑΡΑΓΩΓΗ25030</v>
          </cell>
          <cell r="E2752" t="str">
            <v>ΡΕΒΥΘΙ ΣΠΟΡΟΠΑΡΑΓΩΓΗΣ</v>
          </cell>
          <cell r="K2752" t="str">
            <v>Ναι</v>
          </cell>
          <cell r="L2752" t="str">
            <v>ΝΑΙ</v>
          </cell>
          <cell r="O2752" t="str">
            <v/>
          </cell>
        </row>
        <row r="2753">
          <cell r="D2753" t="str">
            <v>ΣΠΟΡΟΠΑΡΑΓΩΓΗ25031</v>
          </cell>
          <cell r="E2753" t="str">
            <v>ΚΟΥΚΙ ΒΡΩΣΙΜΟ ΣΠΟΡΟΠΑΡΑΓΩΓΗΣ</v>
          </cell>
          <cell r="K2753" t="str">
            <v>Ναι</v>
          </cell>
          <cell r="L2753" t="str">
            <v>ΝΑΙ</v>
          </cell>
          <cell r="O2753" t="str">
            <v/>
          </cell>
        </row>
        <row r="2754">
          <cell r="D2754" t="str">
            <v>ΣΠΟΡΟΠΑΡΑΓΩΓΗ25032</v>
          </cell>
          <cell r="E2754" t="str">
            <v>ΛΑΘΟΥΡΙ ΒΡΩΣΙΜΟ ΣΠΟΡΟΠΑΡΑΓΩΓΗΣ</v>
          </cell>
          <cell r="K2754" t="str">
            <v>Ναι</v>
          </cell>
          <cell r="L2754" t="str">
            <v>ΝΑΙ</v>
          </cell>
          <cell r="O2754" t="str">
            <v/>
          </cell>
        </row>
        <row r="2755">
          <cell r="D2755" t="str">
            <v>ΣΠΟΡΟΠΑΡΑΓΩΓΗ25033</v>
          </cell>
          <cell r="E2755" t="str">
            <v>ΛΑΘΟΥΡΙ ΩΧΡΟΣ ΣΠΟΡΟΠΑΡΑΓΩΓΗΣ</v>
          </cell>
          <cell r="K2755" t="str">
            <v>Ναι</v>
          </cell>
          <cell r="L2755" t="str">
            <v>ΝΑΙ</v>
          </cell>
          <cell r="O2755" t="str">
            <v/>
          </cell>
        </row>
        <row r="2756">
          <cell r="D2756" t="str">
            <v>ΣΠΟΡΟΠΑΡΑΓΩΓΗ25034</v>
          </cell>
          <cell r="E2756" t="str">
            <v>ΛΑΘΟΥΡΙ ΚΛΥΜΕΝΟ ΣΠΟΡΟΠΑΡΑΓΩΓΗΣ</v>
          </cell>
          <cell r="K2756" t="str">
            <v>Ναι</v>
          </cell>
          <cell r="L2756" t="str">
            <v>ΝΑΙ</v>
          </cell>
          <cell r="O2756" t="str">
            <v/>
          </cell>
        </row>
        <row r="2757">
          <cell r="D2757" t="str">
            <v>ΣΠΟΡΟΠΑΡΑΓΩΓΗ25035</v>
          </cell>
          <cell r="E2757" t="str">
            <v>ΦΑΣΟΛΙΑ ΚΟΙΝΑ ΣΠΟΡΟΠΑΡΑΓΩΓΗΣ</v>
          </cell>
          <cell r="K2757" t="str">
            <v>Όχι</v>
          </cell>
          <cell r="L2757" t="str">
            <v>ΌΧΙ</v>
          </cell>
          <cell r="M2757" t="str">
            <v xml:space="preserve">ΔΕΝ ΕΊΝΑΙ ΣΤΟ EXCEL ΠΟΥ ΔΟΥΛΕΨΑΜΕ ΑΛΛΑ ΌΛΑ ΤΑ ΦΑΣΟΛΙΑ ΕΧΟΥΝ ΥΨΗΛΕΣ ΑΠΑΙΤΗΣΕΙΣ ΑΥΤΆ ΓΙΑΤΙ ΌΧΙ ; </v>
          </cell>
          <cell r="O2757" t="str">
            <v/>
          </cell>
        </row>
        <row r="2758">
          <cell r="D2758" t="str">
            <v>ΣΠΟΡΟΠΑΡΑΓΩΓΗ25036</v>
          </cell>
          <cell r="E2758" t="str">
            <v>ΦΑΣΟΛΙΑ ΓΙΓΑΝΤΕΣ ΣΠΟΡΟΠΑΡΑΓΩΓΗΣ</v>
          </cell>
          <cell r="K2758" t="str">
            <v>Όχι</v>
          </cell>
          <cell r="L2758" t="str">
            <v>ΌΧΙ</v>
          </cell>
          <cell r="O2758" t="str">
            <v/>
          </cell>
        </row>
        <row r="2759">
          <cell r="D2759" t="str">
            <v>ΣΠΟΡΟΠΑΡΑΓΩΓΗ25037</v>
          </cell>
          <cell r="E2759" t="str">
            <v>ΦΑΣΟΛΙΑ ΜΑΥΡΟΜΑΤΙΚΑ ΣΠΟΡΟΠΑΡΑΓΩΓΗΣ</v>
          </cell>
          <cell r="K2759" t="str">
            <v>Όχι</v>
          </cell>
          <cell r="L2759" t="str">
            <v>ΌΧΙ</v>
          </cell>
          <cell r="M2759" t="str">
            <v xml:space="preserve">ΔΕΝ ΕΊΝΑΙ ΣΤΟ EXCEL ΠΟΥ ΔΟΥΛΕΨΑΜΕ ΑΛΛΑ ΌΛΑ ΤΑ ΦΑΣΟΛΙΑ ΕΧΟΥΝ ΥΨΗΛΕΣ ΑΠΑΙΤΗΣΕΙΣ ΑΥΤΆ ΓΙΑΤΙ ΌΧΙ ; </v>
          </cell>
          <cell r="O2759" t="str">
            <v/>
          </cell>
        </row>
        <row r="2760">
          <cell r="D2760" t="str">
            <v>ΣΠΟΡΟΠΑΡΑΓΩΓΗ25038</v>
          </cell>
          <cell r="E2760" t="str">
            <v>ΒΑΜΒΑΚΙ ΣΠΟΡΟΠΑΡΑΓΩΓΗΣ</v>
          </cell>
          <cell r="K2760" t="str">
            <v>Όχι</v>
          </cell>
          <cell r="L2760" t="str">
            <v>ΌΧΙ</v>
          </cell>
          <cell r="O2760" t="str">
            <v/>
          </cell>
        </row>
        <row r="2761">
          <cell r="D2761" t="str">
            <v>ΣΠΟΡΟΠΑΡΑΓΩΓΗ25039</v>
          </cell>
          <cell r="E2761" t="str">
            <v>ΣΟΓΙΑ ΣΠΟΡΟΠΑΡΑΓΩΓΗΣ</v>
          </cell>
          <cell r="K2761" t="str">
            <v>Όχι</v>
          </cell>
          <cell r="L2761" t="str">
            <v>ΌΧΙ</v>
          </cell>
          <cell r="O2761" t="str">
            <v/>
          </cell>
        </row>
        <row r="2762">
          <cell r="D2762" t="str">
            <v>ΣΠΟΡΟΠΑΡΑΓΩΓΗ25040</v>
          </cell>
          <cell r="E2762" t="str">
            <v>ICON</v>
          </cell>
          <cell r="I2762" t="str">
            <v>ΚΤΗΝΟΤΡΟΦΙΚΟ</v>
          </cell>
          <cell r="K2762" t="str">
            <v>Όχι</v>
          </cell>
          <cell r="L2762" t="str">
            <v>ΕΤ: Όχι με βάση σανό μηδικής - ζωοτροφές</v>
          </cell>
          <cell r="M2762" t="str">
            <v>ΔΕΝ ΥΠΑΡΧΟΥΝ ΣΤΟΙΧΕΙΑ</v>
          </cell>
          <cell r="O2762" t="str">
            <v/>
          </cell>
        </row>
        <row r="2763">
          <cell r="D2763" t="str">
            <v>ΣΠΟΡΟΠΑΡΑΓΩΓΗ25041</v>
          </cell>
          <cell r="E2763" t="str">
            <v>ΡΥΖΙ ΣΠΟΡΟΠΑΡΑΓΩΓΗΣ GALLILEO</v>
          </cell>
          <cell r="K2763" t="str">
            <v>Όχι</v>
          </cell>
          <cell r="L2763" t="str">
            <v>ΌΧΙ</v>
          </cell>
          <cell r="O2763" t="str">
            <v/>
          </cell>
        </row>
        <row r="2764">
          <cell r="D2764" t="str">
            <v>ΣΠΟΡΟΠΑΡΑΓΩΓΗ7501</v>
          </cell>
          <cell r="E2764" t="str">
            <v>ΡΥΖΙ ΣΠΟΡΟΠΑΡΑΓΩΓΗΣ ISPANIKI "A" (ΙΣΠΑΝΙΚΗ Α)</v>
          </cell>
          <cell r="K2764" t="str">
            <v>Όχι</v>
          </cell>
          <cell r="L2764" t="str">
            <v>ΌΧΙ</v>
          </cell>
          <cell r="O2764" t="str">
            <v/>
          </cell>
        </row>
        <row r="2765">
          <cell r="D2765" t="str">
            <v>ΣΠΟΡΟΠΑΡΑΓΩΓΗ7502</v>
          </cell>
          <cell r="E2765" t="str">
            <v>ΡΥΖΙ ΣΠΟΡΟΠΑΡΑΓΩΓΗΣ MAKEDONIA (ΜΑΚΕΔΟΝΙΑ)</v>
          </cell>
          <cell r="K2765" t="str">
            <v>Όχι</v>
          </cell>
          <cell r="L2765" t="str">
            <v>ΌΧΙ</v>
          </cell>
          <cell r="O2765" t="str">
            <v/>
          </cell>
        </row>
        <row r="2766">
          <cell r="D2766" t="str">
            <v>ΣΠΟΡΟΠΑΡΑΓΩΓΗ7503</v>
          </cell>
          <cell r="E2766" t="str">
            <v>ΡΥΖΙ ΣΠΟΡΟΠΑΡΑΓΩΓΗΣ AXIOS (ΑΞΙΟΣ)</v>
          </cell>
          <cell r="K2766" t="str">
            <v>Όχι</v>
          </cell>
          <cell r="L2766" t="str">
            <v>ΌΧΙ</v>
          </cell>
          <cell r="O2766" t="str">
            <v/>
          </cell>
        </row>
        <row r="2767">
          <cell r="D2767" t="str">
            <v>ΣΠΟΡΟΠΑΡΑΓΩΓΗ7504</v>
          </cell>
          <cell r="E2767" t="str">
            <v>ΡΥΖΙ ΣΠΟΡΟΠΑΡΑΓΩΓΗΣ DION (ΔΙΟΝ)</v>
          </cell>
          <cell r="K2767" t="str">
            <v>Όχι</v>
          </cell>
          <cell r="L2767" t="str">
            <v>ΌΧΙ</v>
          </cell>
          <cell r="O2767" t="str">
            <v/>
          </cell>
        </row>
        <row r="2768">
          <cell r="D2768" t="str">
            <v>ΣΠΟΡΟΠΑΡΑΓΩΓΗ7505</v>
          </cell>
          <cell r="E2768" t="str">
            <v>ΡΥΖΙ ΣΠΟΡΟΠΑΡΑΓΩΓΗΣ EVROPI (ΕΥΡΩΠΗ)</v>
          </cell>
          <cell r="K2768" t="str">
            <v>Όχι</v>
          </cell>
          <cell r="L2768" t="str">
            <v>ΌΧΙ</v>
          </cell>
          <cell r="O2768" t="str">
            <v/>
          </cell>
        </row>
        <row r="2769">
          <cell r="D2769" t="str">
            <v>ΣΠΟΡΟΠΑΡΑΓΩΓΗ7506</v>
          </cell>
          <cell r="E2769" t="str">
            <v>ΡΥΖΙ ΣΠΟΡΟΠΑΡΑΓΩΓΗΣ MELAS (ΜΕΛΑΣ)</v>
          </cell>
          <cell r="K2769" t="str">
            <v>Όχι</v>
          </cell>
          <cell r="L2769" t="str">
            <v>ΌΧΙ</v>
          </cell>
          <cell r="O2769" t="str">
            <v/>
          </cell>
        </row>
        <row r="2770">
          <cell r="D2770" t="str">
            <v>ΣΠΟΡΟΠΑΡΑΓΩΓΗ7507</v>
          </cell>
          <cell r="E2770" t="str">
            <v>ΡΥΖΙ ΣΠΟΡΟΠΑΡΑΓΩΓΗΣ ROXANI (ΡΩΞΑΝΗ)</v>
          </cell>
          <cell r="K2770" t="str">
            <v>Όχι</v>
          </cell>
          <cell r="L2770" t="str">
            <v>ΌΧΙ</v>
          </cell>
          <cell r="O2770" t="str">
            <v/>
          </cell>
        </row>
        <row r="2771">
          <cell r="D2771" t="str">
            <v>ΣΠΟΡΟΠΑΡΑΓΩΓΗ7508</v>
          </cell>
          <cell r="E2771" t="str">
            <v>ΡΥΖΙ ΣΠΟΡΟΠΑΡΑΓΩΓΗΣ STRYMONAS (ΣΤΡΥΜΩΝΑΣ)</v>
          </cell>
          <cell r="K2771" t="str">
            <v>Όχι</v>
          </cell>
          <cell r="L2771" t="str">
            <v>ΌΧΙ</v>
          </cell>
          <cell r="O2771" t="str">
            <v/>
          </cell>
        </row>
        <row r="2772">
          <cell r="D2772" t="str">
            <v>ΣΠΟΡΟΠΑΡΑΓΩΓΗ7509</v>
          </cell>
          <cell r="E2772" t="str">
            <v>PYZI ΣΠΟΡΟΠΑΡΑΓΩΓΗΣ ARIETE</v>
          </cell>
          <cell r="K2772" t="str">
            <v>Όχι</v>
          </cell>
          <cell r="L2772" t="str">
            <v>ΌΧΙ</v>
          </cell>
          <cell r="O2772" t="str">
            <v/>
          </cell>
        </row>
        <row r="2773">
          <cell r="D2773" t="str">
            <v>ΣΠΟΡΟΠΑΡΑΓΩΓΗ7510</v>
          </cell>
          <cell r="E2773" t="str">
            <v>PYZI ΣΠΟΡΟΠΑΡΑΓΩΓΗΣ LIDO</v>
          </cell>
          <cell r="K2773" t="str">
            <v>Όχι</v>
          </cell>
          <cell r="L2773" t="str">
            <v>ΌΧΙ</v>
          </cell>
          <cell r="O2773" t="str">
            <v/>
          </cell>
        </row>
        <row r="2774">
          <cell r="D2774" t="str">
            <v>ΣΠΟΡΟΠΑΡΑΓΩΓΗ7511</v>
          </cell>
          <cell r="E2774" t="str">
            <v>PYZI ΣΠΟΡΟΠΑΡΑΓΩΓΗΣ KORAL</v>
          </cell>
          <cell r="K2774" t="str">
            <v>Όχι</v>
          </cell>
          <cell r="L2774" t="str">
            <v>ΌΧΙ</v>
          </cell>
          <cell r="O2774" t="str">
            <v/>
          </cell>
        </row>
        <row r="2775">
          <cell r="D2775" t="str">
            <v>ΣΠΟΡΟΠΑΡΑΓΩΓΗ7512</v>
          </cell>
          <cell r="E2775" t="str">
            <v>PYZI ΣΠΟΡΟΠΑΡΑΓΩΓΗΣ TURBO</v>
          </cell>
          <cell r="K2775" t="str">
            <v>Όχι</v>
          </cell>
          <cell r="L2775" t="str">
            <v>ΌΧΙ</v>
          </cell>
          <cell r="O2775" t="str">
            <v/>
          </cell>
        </row>
        <row r="2776">
          <cell r="D2776" t="str">
            <v>ΣΠΟΡΟΠΑΡΑΓΩΓΗ7513</v>
          </cell>
          <cell r="E2776" t="str">
            <v>PYZI ΣΠΟΡΟΠΑΡΑΓΩΓΗΣ CHERVO</v>
          </cell>
          <cell r="K2776" t="str">
            <v>Όχι</v>
          </cell>
          <cell r="L2776" t="str">
            <v>ΌΧΙ</v>
          </cell>
          <cell r="O2776" t="str">
            <v/>
          </cell>
        </row>
        <row r="2777">
          <cell r="D2777" t="str">
            <v>ΣΠΟΡΟΠΑΡΑΓΩΓΗ7514</v>
          </cell>
          <cell r="E2777" t="str">
            <v>PYZI ΣΠΟΡΟΠΑΡΑΓΩΓΗΣ ZENA</v>
          </cell>
          <cell r="K2777" t="str">
            <v>Όχι</v>
          </cell>
          <cell r="L2777" t="str">
            <v>ΌΧΙ</v>
          </cell>
          <cell r="O2777" t="str">
            <v/>
          </cell>
        </row>
        <row r="2778">
          <cell r="D2778" t="str">
            <v>ΣΠΟΡΟΠΑΡΑΓΩΓΗ7515</v>
          </cell>
          <cell r="E2778" t="str">
            <v>PYZI ΣΠΟΡΟΠΑΡΑΓΩΓΗΣ SMERALDO</v>
          </cell>
          <cell r="K2778" t="str">
            <v>Όχι</v>
          </cell>
          <cell r="L2778" t="str">
            <v>ΌΧΙ</v>
          </cell>
          <cell r="O2778" t="str">
            <v/>
          </cell>
        </row>
        <row r="2779">
          <cell r="D2779" t="str">
            <v>ΣΠΟΡΟΠΑΡΑΓΩΓΗ7516</v>
          </cell>
          <cell r="E2779" t="str">
            <v>PYZI ΣΠΟΡΟΠΑΡΑΓΩΓΗΣ THAIBONNET ή L-202</v>
          </cell>
          <cell r="K2779" t="str">
            <v>Όχι</v>
          </cell>
          <cell r="L2779" t="str">
            <v>ΌΧΙ</v>
          </cell>
          <cell r="O2779" t="str">
            <v/>
          </cell>
        </row>
        <row r="2780">
          <cell r="D2780" t="str">
            <v>ΣΠΟΡΟΠΑΡΑΓΩΓΗ7517</v>
          </cell>
          <cell r="E2780" t="str">
            <v>ΡΥΖΙ ΣΠΟΡΟΠΑΡΑΓΩΓΗΣ ARCADIA</v>
          </cell>
          <cell r="K2780" t="str">
            <v>Όχι</v>
          </cell>
          <cell r="L2780" t="str">
            <v>ΌΧΙ</v>
          </cell>
          <cell r="O2780" t="str">
            <v/>
          </cell>
        </row>
        <row r="2781">
          <cell r="D2781" t="str">
            <v>ΣΠΟΡΟΠΑΡΑΓΩΓΗ7518</v>
          </cell>
          <cell r="E2781" t="str">
            <v>ΡΥΖΙ ΣΠΟΡΟΠΑΡΑΓΩΓΗΣ COCO</v>
          </cell>
          <cell r="K2781" t="str">
            <v>Όχι</v>
          </cell>
          <cell r="L2781" t="str">
            <v>ΌΧΙ</v>
          </cell>
          <cell r="O2781" t="str">
            <v/>
          </cell>
        </row>
        <row r="2782">
          <cell r="D2782" t="str">
            <v>ΣΠΟΡΟΠΑΡΑΓΩΓΗ7519</v>
          </cell>
          <cell r="E2782" t="str">
            <v>ΡΥΖΙ ΣΠΟΡΟΠΑΡΑΓΩΓΗΣ COSMIC</v>
          </cell>
          <cell r="K2782" t="str">
            <v>Όχι</v>
          </cell>
          <cell r="L2782" t="str">
            <v>ΌΧΙ</v>
          </cell>
          <cell r="O2782" t="str">
            <v/>
          </cell>
        </row>
        <row r="2783">
          <cell r="D2783" t="str">
            <v>ΣΠΟΡΟΠΑΡΑΓΩΓΗ7520</v>
          </cell>
          <cell r="E2783" t="str">
            <v>ΡΥΖΙ ΣΠΟΡΟΠΑΡΑΓΩΓΗΣ EDEN</v>
          </cell>
          <cell r="K2783" t="str">
            <v>Όχι</v>
          </cell>
          <cell r="L2783" t="str">
            <v>ΌΧΙ</v>
          </cell>
          <cell r="O2783" t="str">
            <v/>
          </cell>
        </row>
        <row r="2784">
          <cell r="D2784" t="str">
            <v>ΣΠΟΡΟΠΑΡΑΓΩΓΗ7521</v>
          </cell>
          <cell r="E2784" t="str">
            <v>ΡΥΖΙ ΣΠΟΡΟΠΑΡΑΓΩΓΗΣ FILIRA</v>
          </cell>
          <cell r="K2784" t="str">
            <v>Όχι</v>
          </cell>
          <cell r="L2784" t="str">
            <v>ΌΧΙ</v>
          </cell>
          <cell r="O2784" t="str">
            <v/>
          </cell>
        </row>
        <row r="2785">
          <cell r="D2785" t="str">
            <v>ΣΠΟΡΟΠΑΡΑΓΩΓΗ7522</v>
          </cell>
          <cell r="E2785" t="str">
            <v>ΡΥΖΙ ΣΠΟΡΟΠΑΡΑΓΩΓΗΣ KIR</v>
          </cell>
          <cell r="K2785" t="str">
            <v>Όχι</v>
          </cell>
          <cell r="L2785" t="str">
            <v>ΌΧΙ</v>
          </cell>
          <cell r="O2785" t="str">
            <v/>
          </cell>
        </row>
        <row r="2786">
          <cell r="D2786" t="str">
            <v>ΣΠΟΡΟΠΑΡΑΓΩΓΗ7523</v>
          </cell>
          <cell r="E2786" t="str">
            <v>ΡΥΖΙ ΣΠΟΡΟΠΑΡΑΓΩΓΗΣ MISTIK</v>
          </cell>
          <cell r="K2786" t="str">
            <v>Όχι</v>
          </cell>
          <cell r="L2786" t="str">
            <v>ΌΧΙ</v>
          </cell>
          <cell r="O2786" t="str">
            <v/>
          </cell>
        </row>
        <row r="2787">
          <cell r="D2787" t="str">
            <v>ΣΠΟΡΟΠΑΡΑΓΩΓΗ7524</v>
          </cell>
          <cell r="E2787" t="str">
            <v>ΡΥΖΙ ΣΠΟΡΟΠΑΡΑΓΩΓΗΣ MIURA</v>
          </cell>
          <cell r="K2787" t="str">
            <v>Όχι</v>
          </cell>
          <cell r="L2787" t="str">
            <v>ΌΧΙ</v>
          </cell>
          <cell r="O2787" t="str">
            <v/>
          </cell>
        </row>
        <row r="2788">
          <cell r="D2788" t="str">
            <v>ΣΠΟΡΟΠΑΡΑΓΩΓΗ7525</v>
          </cell>
          <cell r="E2788" t="str">
            <v>ΡΥΖΙ ΣΠΟΡΟΠΑΡΑΓΩΓΗΣ NIKI</v>
          </cell>
          <cell r="K2788" t="str">
            <v>Όχι</v>
          </cell>
          <cell r="L2788" t="str">
            <v>ΌΧΙ</v>
          </cell>
          <cell r="O2788" t="str">
            <v/>
          </cell>
        </row>
        <row r="2789">
          <cell r="D2789" t="str">
            <v>ΣΠΟΡΟΠΑΡΑΓΩΓΗ7526</v>
          </cell>
          <cell r="E2789" t="str">
            <v>ΡΥΖΙ ΣΠΟΡΟΠΑΡΑΓΩΓΗΣ OLYMPIADA (ΟΛΥΜΠΙΑΔΑ)</v>
          </cell>
          <cell r="K2789" t="str">
            <v>Όχι</v>
          </cell>
          <cell r="L2789" t="str">
            <v>ΌΧΙ</v>
          </cell>
          <cell r="O2789" t="str">
            <v/>
          </cell>
        </row>
        <row r="2790">
          <cell r="D2790" t="str">
            <v>ΣΠΟΡΟΠΑΡΑΓΩΓΗ7527</v>
          </cell>
          <cell r="E2790" t="str">
            <v>ΡΥΖΙ ΣΠΟΡΟΠΑΡΑΓΩΓΗΣ REA (ΡΕΑ)</v>
          </cell>
          <cell r="K2790" t="str">
            <v>Όχι</v>
          </cell>
          <cell r="L2790" t="str">
            <v>ΌΧΙ</v>
          </cell>
          <cell r="O2790" t="str">
            <v/>
          </cell>
        </row>
        <row r="2791">
          <cell r="D2791" t="str">
            <v>ΣΠΟΡΟΠΑΡΑΓΩΓΗ7528</v>
          </cell>
          <cell r="E2791" t="str">
            <v>ΡΥΖΙ ΣΠΟΡΟΠΑΡΑΓΩΓΗΣ RIVA</v>
          </cell>
          <cell r="K2791" t="str">
            <v>Όχι</v>
          </cell>
          <cell r="L2791" t="str">
            <v>ΌΧΙ</v>
          </cell>
          <cell r="O2791" t="str">
            <v/>
          </cell>
        </row>
        <row r="2792">
          <cell r="D2792" t="str">
            <v>ΣΠΟΡΟΠΑΡΑΓΩΓΗ7529</v>
          </cell>
          <cell r="E2792" t="str">
            <v>ΡΥΖΙ ΣΠΟΡΟΠΑΡΑΓΩΓΗΣ ROMA</v>
          </cell>
          <cell r="K2792" t="str">
            <v>Όχι</v>
          </cell>
          <cell r="L2792" t="str">
            <v>ΌΧΙ</v>
          </cell>
          <cell r="O2792" t="str">
            <v/>
          </cell>
        </row>
        <row r="2793">
          <cell r="D2793" t="str">
            <v>ΣΠΟΡΟΠΑΡΑΓΩΓΗ7530</v>
          </cell>
          <cell r="E2793" t="str">
            <v>ΡΥΖΙ ΣΠΟΡΟΠΑΡΑΓΩΓΗΣ STRELLA</v>
          </cell>
          <cell r="K2793" t="str">
            <v>Όχι</v>
          </cell>
          <cell r="L2793" t="str">
            <v>ΌΧΙ</v>
          </cell>
          <cell r="O2793" t="str">
            <v/>
          </cell>
        </row>
        <row r="2794">
          <cell r="D2794" t="str">
            <v>ΣΠΟΡΟΠΑΡΑΓΩΓΗ7531</v>
          </cell>
          <cell r="E2794" t="str">
            <v>ΡΥΖΙ ΣΠΟΡΟΠΑΡΑΓΩΓΗΣ BLUBELLE E</v>
          </cell>
          <cell r="K2794" t="str">
            <v>Όχι</v>
          </cell>
          <cell r="L2794" t="str">
            <v>ΌΧΙ</v>
          </cell>
          <cell r="O2794" t="str">
            <v/>
          </cell>
        </row>
        <row r="2795">
          <cell r="D2795" t="str">
            <v>ΣΠΟΡΟΠΑΡΑΓΩΓΗ7540</v>
          </cell>
          <cell r="E2795" t="str">
            <v>ΡΥΖΙ ΣΠΟΡΟΠΑΡΑΓΩΓΗΣ ALEXANDROS</v>
          </cell>
          <cell r="K2795" t="str">
            <v>Όχι</v>
          </cell>
          <cell r="L2795" t="str">
            <v>ΌΧΙ</v>
          </cell>
          <cell r="O2795" t="str">
            <v/>
          </cell>
        </row>
        <row r="2796">
          <cell r="D2796" t="str">
            <v>ΣΠΟΡΟΠΑΡΑΓΩΓΗ7544</v>
          </cell>
          <cell r="E2796" t="str">
            <v>ΡΥΖΙ ΣΠΟΡΟΠΑΡΑΓΩΓΗΣ DIMITRA</v>
          </cell>
          <cell r="K2796" t="str">
            <v>Όχι</v>
          </cell>
          <cell r="L2796" t="str">
            <v>ΌΧΙ</v>
          </cell>
          <cell r="O2796" t="str">
            <v/>
          </cell>
        </row>
        <row r="2797">
          <cell r="D2797" t="str">
            <v>ΣΠΟΡΟΠΑΡΑΓΩΓΗ7546</v>
          </cell>
          <cell r="E2797" t="str">
            <v>ΡΥΖΙ ΣΠΟΡΟΠΑΡΑΓΩΓΗΣ GOLDEN RICE</v>
          </cell>
          <cell r="K2797" t="str">
            <v>Όχι</v>
          </cell>
          <cell r="L2797" t="str">
            <v>ΌΧΙ</v>
          </cell>
          <cell r="O2797" t="str">
            <v/>
          </cell>
        </row>
        <row r="2798">
          <cell r="D2798" t="str">
            <v>ΣΠΟΡΟΠΑΡΑΓΩΓΗ7547</v>
          </cell>
          <cell r="E2798" t="str">
            <v>ΡΥΖΙ ΣΠΟΡΟΠΑΡΑΓΩΓΗΣ KALLISTON</v>
          </cell>
          <cell r="K2798" t="str">
            <v>Όχι</v>
          </cell>
          <cell r="L2798" t="str">
            <v>ΌΧΙ</v>
          </cell>
          <cell r="O2798" t="str">
            <v/>
          </cell>
        </row>
        <row r="2799">
          <cell r="D2799" t="str">
            <v>ΣΠΟΡΟΠΑΡΑΓΩΓΗ7599</v>
          </cell>
          <cell r="E2799" t="str">
            <v>ΡΥΖΙ ΣΠΟΡΟΠΑΡΑΓΩΓΗΣ - ΛΟΙΠΑ</v>
          </cell>
          <cell r="K2799" t="str">
            <v>Όχι</v>
          </cell>
          <cell r="L2799" t="str">
            <v>ΌΧΙ</v>
          </cell>
          <cell r="O2799" t="str">
            <v/>
          </cell>
        </row>
        <row r="2800">
          <cell r="D2800" t="str">
            <v>ΣΠΟΡΟΠΑΡΑΓΩΓΗ7780</v>
          </cell>
          <cell r="E2800" t="str">
            <v>ΣΙΤΟΣ - ΚΡΙΘΑΡΙ - ΣΠΟΡΟΠΑΡΑΓΩΓΗ</v>
          </cell>
          <cell r="K2800" t="str">
            <v>Ναι</v>
          </cell>
          <cell r="L2800" t="str">
            <v>ΝΑΙ</v>
          </cell>
          <cell r="O2800" t="str">
            <v/>
          </cell>
        </row>
        <row r="2801">
          <cell r="D2801" t="str">
            <v>ΣΠΟΡΟΠΑΡΑΓΩΓΗ8115</v>
          </cell>
          <cell r="E2801" t="str">
            <v>ΖΑΧΑΡΟΤΕΥΤΛΑ ΣΠΟΡΟΠΑΡΑΓΩΓΗΣ</v>
          </cell>
          <cell r="K2801" t="str">
            <v>Όχι</v>
          </cell>
          <cell r="L2801" t="str">
            <v>ΌΧΙ</v>
          </cell>
          <cell r="O2801" t="str">
            <v/>
          </cell>
        </row>
        <row r="2802">
          <cell r="D2802" t="str">
            <v>ΣΠΟΡΟΠΑΡΑΓΩΓΗ8116</v>
          </cell>
          <cell r="E2802" t="str">
            <v>ΠΑΤΑΤΕΣ ΣΠΟΡΟΠΑΡΑΓΩΓΗΣ</v>
          </cell>
          <cell r="J2802" t="str">
            <v>Ναι</v>
          </cell>
          <cell r="K2802" t="str">
            <v>Ναι</v>
          </cell>
          <cell r="L2802" t="str">
            <v>ΝΑΙ</v>
          </cell>
          <cell r="O2802" t="str">
            <v/>
          </cell>
        </row>
        <row r="2803">
          <cell r="D2803" t="str">
            <v>ΣΠΟΡΟΠΑΡΑΓΩΓΗ8117</v>
          </cell>
          <cell r="E2803" t="str">
            <v>ΖΑΧΑΡΟΤΕΥΤΛΑ ΣΠΟΡΟΠΑΡΑΓΩΓΗΣ</v>
          </cell>
          <cell r="K2803" t="str">
            <v>Όχι</v>
          </cell>
          <cell r="L2803" t="str">
            <v>ΌΧΙ</v>
          </cell>
          <cell r="O2803" t="str">
            <v/>
          </cell>
        </row>
        <row r="2804">
          <cell r="D2804" t="str">
            <v>ΣΠΟΡΟΠΑΡΑΓΩΓΗ8761</v>
          </cell>
          <cell r="E2804" t="str">
            <v>ΜΠΑΜΙΑ ΣΠΟΡΟΠΑΡΑΓΩΓΗΣ</v>
          </cell>
          <cell r="J2804" t="str">
            <v>Ναι</v>
          </cell>
          <cell r="K2804" t="str">
            <v>Όχι</v>
          </cell>
          <cell r="L2804" t="str">
            <v>ΌΧΙ</v>
          </cell>
          <cell r="O2804" t="str">
            <v/>
          </cell>
        </row>
        <row r="2805">
          <cell r="D2805" t="str">
            <v>ΣΠΟΡΟΠΑΡΑΓΩΓΗ8762</v>
          </cell>
          <cell r="E2805" t="str">
            <v>ΠΙΠΕΡΙΑ ΣΠΟΡΟΠΑΡΑΓΩΓΗΣ</v>
          </cell>
          <cell r="J2805" t="str">
            <v>Ναι</v>
          </cell>
          <cell r="K2805" t="str">
            <v>Όχι</v>
          </cell>
          <cell r="L2805" t="str">
            <v>ΌΧΙ</v>
          </cell>
          <cell r="O2805" t="str">
            <v/>
          </cell>
        </row>
        <row r="2806">
          <cell r="D2806" t="str">
            <v>ΤΟΜΑΤΑ ΒΙΟΜΗΧΑΝΙΚΗ10904</v>
          </cell>
          <cell r="E2806" t="str">
            <v>ΤΟΜΑΤΑΚΙ ΣΑΝΤΟΡΙΝΗΣ</v>
          </cell>
          <cell r="F2806" t="str">
            <v>B_1_7_1_1</v>
          </cell>
          <cell r="G2806" t="str">
            <v>Κηπευτικές καλλιέργειες μεγάλης έκτασης σε αγρό</v>
          </cell>
          <cell r="H2806">
            <v>7525</v>
          </cell>
          <cell r="J2806" t="str">
            <v>Ναι</v>
          </cell>
          <cell r="K2806" t="str">
            <v>Όχι</v>
          </cell>
          <cell r="L2806" t="str">
            <v>ΕΤ: Όχι, με βάση όλες τις υπόλοιπες τομάτες</v>
          </cell>
          <cell r="O2806" t="str">
            <v>!</v>
          </cell>
        </row>
        <row r="2807">
          <cell r="D2807" t="str">
            <v>ΤΟΜΑΤΑ ΒΙΟΜΗΧΑΝΙΚΗ8216</v>
          </cell>
          <cell r="E2807" t="str">
            <v>ΤΟΜΑΤΕΣ ΒΙΟΜΗΧΑΝΙΚΗ</v>
          </cell>
          <cell r="F2807" t="str">
            <v>B_1_7_1_1</v>
          </cell>
          <cell r="G2807" t="str">
            <v>Κηπευτικές καλλιέργειες μεγάλης έκτασης σε αγρό</v>
          </cell>
          <cell r="H2807">
            <v>7525</v>
          </cell>
          <cell r="J2807" t="str">
            <v>Ναι</v>
          </cell>
          <cell r="K2807" t="str">
            <v>Όχι</v>
          </cell>
          <cell r="L2807" t="str">
            <v>ΌΧΙ</v>
          </cell>
          <cell r="O2807" t="str">
            <v/>
          </cell>
        </row>
        <row r="2808">
          <cell r="D2808" t="str">
            <v>ΤΟΜΑΤΑ ΒΙΟΜΗΧΑΝΙΚΗ8230</v>
          </cell>
          <cell r="E2808" t="str">
            <v>ΤΟΜΑΤΑ - ΡΩΜΑ</v>
          </cell>
          <cell r="F2808" t="str">
            <v>B_1_7_1_1</v>
          </cell>
          <cell r="G2808" t="str">
            <v>Κηπευτικές καλλιέργειες μεγάλης έκτασης σε αγρό</v>
          </cell>
          <cell r="H2808">
            <v>7525</v>
          </cell>
          <cell r="J2808" t="str">
            <v>Ναι</v>
          </cell>
          <cell r="K2808" t="str">
            <v>Όχι</v>
          </cell>
          <cell r="L2808" t="str">
            <v>ΌΧΙ</v>
          </cell>
          <cell r="O2808" t="str">
            <v/>
          </cell>
        </row>
        <row r="2809">
          <cell r="D2809" t="str">
            <v>ΦΥΤΩΡΙΑ8750</v>
          </cell>
          <cell r="E2809" t="str">
            <v>ΦΥΤΩΡΙΑ ΑΝΘΟΚΟΜΙΚΩΝ</v>
          </cell>
          <cell r="F2809" t="str">
            <v>B_4_5</v>
          </cell>
          <cell r="G2809" t="str">
            <v>Φυτώρια</v>
          </cell>
          <cell r="H2809">
            <v>2170</v>
          </cell>
          <cell r="K2809" t="str">
            <v>Όχι</v>
          </cell>
          <cell r="L2809" t="str">
            <v>ΌΧΙ</v>
          </cell>
          <cell r="O2809" t="str">
            <v/>
          </cell>
        </row>
        <row r="2810">
          <cell r="D2810" t="str">
            <v>ΦΥΤΩΡΙΑ8751</v>
          </cell>
          <cell r="E2810" t="str">
            <v>ΦΥΤΩΡΙΑ ΕΛΙΑΣ</v>
          </cell>
          <cell r="F2810" t="str">
            <v>B_4_5</v>
          </cell>
          <cell r="G2810" t="str">
            <v>Φυτώρια</v>
          </cell>
          <cell r="H2810">
            <v>2170</v>
          </cell>
          <cell r="K2810" t="str">
            <v>Όχι</v>
          </cell>
          <cell r="L2810" t="str">
            <v>ΌΧΙ</v>
          </cell>
          <cell r="O2810" t="str">
            <v/>
          </cell>
        </row>
        <row r="2811">
          <cell r="D2811" t="str">
            <v>ΦΥΤΩΡΙΑ8752</v>
          </cell>
          <cell r="E2811" t="str">
            <v>ΦΥΤΩΡΙΑ ΛΑΧΑΝΙΚΩΝ</v>
          </cell>
          <cell r="F2811" t="str">
            <v>B_4_5</v>
          </cell>
          <cell r="G2811" t="str">
            <v>Φυτώρια</v>
          </cell>
          <cell r="H2811">
            <v>2170</v>
          </cell>
          <cell r="J2811" t="str">
            <v>Ναι</v>
          </cell>
          <cell r="K2811" t="str">
            <v>Όχι</v>
          </cell>
          <cell r="L2811" t="str">
            <v>ΌΧΙ</v>
          </cell>
          <cell r="O2811" t="str">
            <v/>
          </cell>
        </row>
        <row r="2812">
          <cell r="D2812" t="str">
            <v>ΦΥΤΩΡΙΑ8753</v>
          </cell>
          <cell r="E2812" t="str">
            <v>ΦΥΤΩΡΙΑ ΕΛΑΤΗΣ ΚΑΙ ΛΟΙΠΩΝ ΔΑΣΙΚΩΝ ΔΕΝΔΡΩΝ</v>
          </cell>
          <cell r="K2812" t="str">
            <v>Όχι</v>
          </cell>
          <cell r="L2812" t="str">
            <v>ΌΧΙ</v>
          </cell>
          <cell r="O2812" t="str">
            <v/>
          </cell>
        </row>
        <row r="2813">
          <cell r="D2813" t="str">
            <v>ΦΥΤΩΡΙΑ8754</v>
          </cell>
          <cell r="E2813" t="str">
            <v>ΦΥΤΩΡΙΑ ΚΑΡΠΟΦΟΡΩΝ ΔΕΝΔΡΩΝ ΚΑΙ ΘΑΜΝΩΝ</v>
          </cell>
          <cell r="F2813" t="str">
            <v>B_4_5</v>
          </cell>
          <cell r="G2813" t="str">
            <v>Φυτώρια</v>
          </cell>
          <cell r="H2813">
            <v>2170</v>
          </cell>
          <cell r="K2813" t="str">
            <v>Όχι</v>
          </cell>
          <cell r="L2813" t="str">
            <v>ΌΧΙ</v>
          </cell>
          <cell r="O2813" t="str">
            <v/>
          </cell>
        </row>
        <row r="2814">
          <cell r="D2814" t="str">
            <v>ΧΩΡΟΙ ΕΚΤΡΟΦΗΣ ΣΑΛΙΓΚΑΡΙΩΝ10300</v>
          </cell>
          <cell r="E2814" t="str">
            <v>ΕΚΤΡΟΦΗ ΣΑΛΙΓΚΑΡΙΩΝ</v>
          </cell>
          <cell r="K2814" t="str">
            <v>Όχι</v>
          </cell>
          <cell r="L2814" t="str">
            <v>ΕΤ: Όχι</v>
          </cell>
          <cell r="O2814" t="str">
            <v/>
          </cell>
        </row>
        <row r="2815">
          <cell r="O2815" t="str">
            <v>!</v>
          </cell>
        </row>
        <row r="2816">
          <cell r="O2816" t="str">
            <v/>
          </cell>
        </row>
        <row r="2817">
          <cell r="G2817" t="str">
            <v>γλυκός</v>
          </cell>
        </row>
        <row r="2818">
          <cell r="G2818" t="str">
            <v>σογια</v>
          </cell>
        </row>
        <row r="2819">
          <cell r="G2819" t="str">
            <v>αραβοσιτος που δεν είναι κτηνοτροφη</v>
          </cell>
        </row>
        <row r="2820">
          <cell r="G2820" t="str">
            <v>φυσαλιδα</v>
          </cell>
        </row>
        <row r="2821">
          <cell r="G2821" t="str">
            <v>φασολια</v>
          </cell>
        </row>
        <row r="2822">
          <cell r="G2822" t="str">
            <v>φυτώρια και σποροπαραγωγή; Θα μπαινουν στα ανιστοιχα κηπευτικα;</v>
          </cell>
        </row>
      </sheetData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ΜΟΝΙΜΟΣ ΚΑΤΑ ΟΙΚΙΣΜΟ"/>
      <sheetName val="ΟΔΗΓΙΕΣ"/>
      <sheetName val="ΣΤΟΙΧΕΙΑ_ΚΑΤΟΙΚΙΑΣ"/>
      <sheetName val="ΑΡΧΙΚΗ_ΚΑΤΑΣΤΑΣΗ_ΤΑ"/>
      <sheetName val="ΜΕΛΛΟΝΤΙΚΗ_ΚΑΤΑΣΤΑΣΗ_ΤΑ"/>
      <sheetName val="ΛΙΣΤΑ ΕΛΕΓΧΟΥ"/>
      <sheetName val="ΕΠΙΛΕΞΙΜΟΤΗΤΑ_ΤΑ"/>
      <sheetName val="ΒΑΘΜΟΛΟΓΙΑ_Π3-75"/>
      <sheetName val="Π_Π_ΑΡΧΙΚΗ"/>
      <sheetName val="Π_Π_ΜΕΛΛΟΝΤΙΚΗ"/>
      <sheetName val="ΤΑ 2024_"/>
      <sheetName val="ΖΩΙΚΑ"/>
      <sheetName val="ΠΕ"/>
      <sheetName val="ΟΣΔΕ"/>
      <sheetName val="Π3-75_Εφαρμογή Ελέγχου Επιλεξι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70318"/>
      <sheetName val="190318"/>
      <sheetName val="ΣχΒελΦΠκαιΖΠγια1ηΠρόσκλ090318 "/>
      <sheetName val="ΣχΒελΦΠκαιΖΠγια1ηΠρόσκλ180218 "/>
      <sheetName val="ΣχΒελΦΠκαιΖΠγια1ηΠρόσκλ110118"/>
      <sheetName val="Σύγκριση"/>
    </sheetNames>
    <sheetDataSet>
      <sheetData sheetId="0" refreshError="1"/>
      <sheetData sheetId="1" refreshError="1"/>
      <sheetData sheetId="2" refreshError="1"/>
      <sheetData sheetId="3">
        <row r="3637">
          <cell r="A3637">
            <v>3635</v>
          </cell>
          <cell r="B3637">
            <v>1</v>
          </cell>
          <cell r="C3637" t="str">
            <v>ΑΙΓΟΠΡΟΒΑΤΑ</v>
          </cell>
          <cell r="D3637">
            <v>111001</v>
          </cell>
          <cell r="E3637" t="str">
            <v>ΑΙΓΟΠΡΟΒΑΤΑ111001</v>
          </cell>
          <cell r="F3637" t="str">
            <v>ΕΡΙΦΙΑ ΑΡΣΕΝΙΚΑ, ΒΕΛΤΙΩΜΕΝΗ</v>
          </cell>
          <cell r="G3637" t="str">
            <v>C_3_2_99</v>
          </cell>
          <cell r="H3637" t="str">
            <v>Λοιπά αιγοειδή</v>
          </cell>
          <cell r="I3637">
            <v>56</v>
          </cell>
          <cell r="N3637" t="str">
            <v>Ναι</v>
          </cell>
          <cell r="O3637" t="str">
            <v>Ναι</v>
          </cell>
          <cell r="P3637">
            <v>20</v>
          </cell>
        </row>
        <row r="3638">
          <cell r="A3638">
            <v>3636</v>
          </cell>
          <cell r="B3638">
            <v>1</v>
          </cell>
          <cell r="C3638" t="str">
            <v>ΑΙΓΟΠΡΟΒΑΤΑ</v>
          </cell>
          <cell r="D3638">
            <v>111002</v>
          </cell>
          <cell r="E3638" t="str">
            <v>ΑΙΓΟΠΡΟΒΑΤΑ111002</v>
          </cell>
          <cell r="F3638" t="str">
            <v>ΕΡΙΦΙΑ ΑΡΣΕΝΙΚΑ, ΑΥΤΟΧΘΟΝΗ</v>
          </cell>
          <cell r="G3638" t="str">
            <v>C_3_2_99</v>
          </cell>
          <cell r="H3638" t="str">
            <v>Λοιπά αιγοειδή</v>
          </cell>
          <cell r="I3638">
            <v>56</v>
          </cell>
          <cell r="N3638" t="str">
            <v>Ναι</v>
          </cell>
          <cell r="O3638" t="str">
            <v>Ναι</v>
          </cell>
          <cell r="P3638">
            <v>20</v>
          </cell>
        </row>
        <row r="3639">
          <cell r="A3639">
            <v>3637</v>
          </cell>
          <cell r="B3639">
            <v>1</v>
          </cell>
          <cell r="C3639" t="str">
            <v>ΑΙΓΟΠΡΟΒΑΤΑ</v>
          </cell>
          <cell r="D3639">
            <v>111003</v>
          </cell>
          <cell r="E3639" t="str">
            <v>ΑΙΓΟΠΡΟΒΑΤΑ111003</v>
          </cell>
          <cell r="F3639" t="str">
            <v>ΕΡΙΦΙΑ ΑΡΣΕΝΙΚΑ, ΚΑΘΑΡΟΑΙΜΗ</v>
          </cell>
          <cell r="G3639" t="str">
            <v>C_3_2_99</v>
          </cell>
          <cell r="H3639" t="str">
            <v>Λοιπά αιγοειδή</v>
          </cell>
          <cell r="I3639">
            <v>56</v>
          </cell>
          <cell r="N3639" t="str">
            <v>Ναι</v>
          </cell>
          <cell r="O3639" t="str">
            <v>Ναι</v>
          </cell>
          <cell r="P3639">
            <v>20</v>
          </cell>
        </row>
        <row r="3640">
          <cell r="A3640">
            <v>3638</v>
          </cell>
          <cell r="B3640">
            <v>1</v>
          </cell>
          <cell r="C3640" t="str">
            <v>ΑΙΓΟΠΡΟΒΑΤΑ</v>
          </cell>
          <cell r="D3640">
            <v>111004</v>
          </cell>
          <cell r="E3640" t="str">
            <v>ΑΙΓΟΠΡΟΒΑΤΑ111004</v>
          </cell>
          <cell r="F3640" t="str">
            <v>ΕΡΙΦΙΑ ΑΡΣΕΝΙΚΑ, ΛΟΙΠΗ</v>
          </cell>
          <cell r="G3640" t="str">
            <v>C_3_2_99</v>
          </cell>
          <cell r="H3640" t="str">
            <v>Λοιπά αιγοειδή</v>
          </cell>
          <cell r="I3640">
            <v>56</v>
          </cell>
          <cell r="N3640" t="str">
            <v>Ναι</v>
          </cell>
          <cell r="O3640" t="str">
            <v>Ναι</v>
          </cell>
          <cell r="P3640">
            <v>20</v>
          </cell>
        </row>
        <row r="3641">
          <cell r="A3641">
            <v>3639</v>
          </cell>
          <cell r="B3641">
            <v>1</v>
          </cell>
          <cell r="C3641" t="str">
            <v>ΑΙΓΟΠΡΟΒΑΤΑ</v>
          </cell>
          <cell r="D3641">
            <v>112001</v>
          </cell>
          <cell r="E3641" t="str">
            <v>ΑΙΓΟΠΡΟΒΑΤΑ112001</v>
          </cell>
          <cell r="F3641" t="str">
            <v>ΕΡΙΦΙΑ ΘΗΛΥΚΑ ΒΕΛΤΙΩΜΕΝΗ</v>
          </cell>
          <cell r="G3641" t="str">
            <v>C_3_2_99</v>
          </cell>
          <cell r="H3641" t="str">
            <v>Λοιπά αιγοειδή</v>
          </cell>
          <cell r="I3641">
            <v>56</v>
          </cell>
          <cell r="N3641" t="str">
            <v>Ναι</v>
          </cell>
          <cell r="O3641" t="str">
            <v>Ναι</v>
          </cell>
          <cell r="P3641">
            <v>20</v>
          </cell>
        </row>
        <row r="3642">
          <cell r="A3642">
            <v>3640</v>
          </cell>
          <cell r="B3642">
            <v>1</v>
          </cell>
          <cell r="C3642" t="str">
            <v>ΑΙΓΟΠΡΟΒΑΤΑ</v>
          </cell>
          <cell r="D3642">
            <v>112002</v>
          </cell>
          <cell r="E3642" t="str">
            <v>ΑΙΓΟΠΡΟΒΑΤΑ112002</v>
          </cell>
          <cell r="F3642" t="str">
            <v>ΕΡΙΦΙΑ ΘΗΛΥΚΑ ΑΥΤΟΧΘΟΝΗ</v>
          </cell>
          <cell r="G3642" t="str">
            <v>C_3_2_99</v>
          </cell>
          <cell r="H3642" t="str">
            <v>Λοιπά αιγοειδή</v>
          </cell>
          <cell r="I3642">
            <v>56</v>
          </cell>
          <cell r="N3642" t="str">
            <v>Ναι</v>
          </cell>
          <cell r="O3642" t="str">
            <v>Ναι</v>
          </cell>
          <cell r="P3642">
            <v>20</v>
          </cell>
        </row>
        <row r="3643">
          <cell r="A3643">
            <v>3641</v>
          </cell>
          <cell r="B3643">
            <v>1</v>
          </cell>
          <cell r="C3643" t="str">
            <v>ΑΙΓΟΠΡΟΒΑΤΑ</v>
          </cell>
          <cell r="D3643">
            <v>112003</v>
          </cell>
          <cell r="E3643" t="str">
            <v>ΑΙΓΟΠΡΟΒΑΤΑ112003</v>
          </cell>
          <cell r="F3643" t="str">
            <v>ΕΡΙΦΙΑ ΘΗΛΥΚΑ ΚΑΘΑΡΟΑΙΜA</v>
          </cell>
          <cell r="G3643" t="str">
            <v>C_3_2_99</v>
          </cell>
          <cell r="H3643" t="str">
            <v>Λοιπά αιγοειδή</v>
          </cell>
          <cell r="I3643">
            <v>56</v>
          </cell>
          <cell r="N3643" t="str">
            <v>Ναι</v>
          </cell>
          <cell r="O3643" t="str">
            <v>Ναι</v>
          </cell>
          <cell r="P3643">
            <v>20</v>
          </cell>
        </row>
        <row r="3644">
          <cell r="A3644">
            <v>3642</v>
          </cell>
          <cell r="B3644">
            <v>1</v>
          </cell>
          <cell r="C3644" t="str">
            <v>ΑΙΓΟΠΡΟΒΑΤΑ</v>
          </cell>
          <cell r="D3644">
            <v>112004</v>
          </cell>
          <cell r="E3644" t="str">
            <v>ΑΙΓΟΠΡΟΒΑΤΑ112004</v>
          </cell>
          <cell r="F3644" t="str">
            <v>ΕΡΙΦΙΑ ΘΗΛΥΚΑ ΛΟΙΠA</v>
          </cell>
          <cell r="G3644" t="str">
            <v>C_3_2_99</v>
          </cell>
          <cell r="H3644" t="str">
            <v>Λοιπά αιγοειδή</v>
          </cell>
          <cell r="I3644">
            <v>56</v>
          </cell>
          <cell r="N3644" t="str">
            <v>Ναι</v>
          </cell>
          <cell r="O3644" t="str">
            <v>Ναι</v>
          </cell>
          <cell r="P3644">
            <v>20</v>
          </cell>
        </row>
        <row r="3645">
          <cell r="A3645">
            <v>3643</v>
          </cell>
          <cell r="B3645">
            <v>1</v>
          </cell>
          <cell r="C3645" t="str">
            <v>ΑΙΓΟΠΡΟΒΑΤΑ</v>
          </cell>
          <cell r="D3645">
            <v>120001</v>
          </cell>
          <cell r="E3645" t="str">
            <v>ΑΙΓΟΠΡΟΒΑΤΑ120001</v>
          </cell>
          <cell r="F3645" t="str">
            <v>ΑΙΓΕΣ ΒΕΛΤΙΩΜΕΝΗ</v>
          </cell>
          <cell r="G3645" t="str">
            <v>C_3_2_1</v>
          </cell>
          <cell r="H3645" t="str">
            <v>Αίγες θηλυκές αναπαραγωγής</v>
          </cell>
          <cell r="I3645">
            <v>83</v>
          </cell>
          <cell r="N3645" t="str">
            <v>Ναι</v>
          </cell>
          <cell r="O3645" t="str">
            <v>Ναι</v>
          </cell>
          <cell r="P3645">
            <v>20</v>
          </cell>
        </row>
        <row r="3646">
          <cell r="A3646">
            <v>3644</v>
          </cell>
          <cell r="B3646">
            <v>1</v>
          </cell>
          <cell r="C3646" t="str">
            <v>ΑΙΓΟΠΡΟΒΑΤΑ</v>
          </cell>
          <cell r="D3646">
            <v>120002</v>
          </cell>
          <cell r="E3646" t="str">
            <v>ΑΙΓΟΠΡΟΒΑΤΑ120002</v>
          </cell>
          <cell r="F3646" t="str">
            <v>ΑΙΓΕΣ, ΑΥΤΟΧΘΟΝΗ</v>
          </cell>
          <cell r="G3646" t="str">
            <v>C_3_2_1</v>
          </cell>
          <cell r="H3646" t="str">
            <v>Αίγες θηλυκές αναπαραγωγής</v>
          </cell>
          <cell r="I3646">
            <v>83</v>
          </cell>
          <cell r="N3646" t="str">
            <v>Ναι</v>
          </cell>
          <cell r="O3646" t="str">
            <v>Ναι</v>
          </cell>
          <cell r="P3646">
            <v>20</v>
          </cell>
        </row>
        <row r="3647">
          <cell r="A3647">
            <v>3645</v>
          </cell>
          <cell r="B3647">
            <v>1</v>
          </cell>
          <cell r="C3647" t="str">
            <v>ΑΙΓΟΠΡΟΒΑΤΑ</v>
          </cell>
          <cell r="D3647">
            <v>120003</v>
          </cell>
          <cell r="E3647" t="str">
            <v>ΑΙΓΟΠΡΟΒΑΤΑ120003</v>
          </cell>
          <cell r="F3647" t="str">
            <v>ΑΙΓΕΣ, ΚΑΘΑΡΟΑΙΜΗ</v>
          </cell>
          <cell r="G3647" t="str">
            <v>C_3_2_1</v>
          </cell>
          <cell r="H3647" t="str">
            <v>Αίγες θηλυκές αναπαραγωγής</v>
          </cell>
          <cell r="I3647">
            <v>83</v>
          </cell>
          <cell r="N3647" t="str">
            <v>Ναι</v>
          </cell>
          <cell r="O3647" t="str">
            <v>Ναι</v>
          </cell>
          <cell r="P3647">
            <v>20</v>
          </cell>
        </row>
        <row r="3648">
          <cell r="A3648">
            <v>3646</v>
          </cell>
          <cell r="B3648">
            <v>1</v>
          </cell>
          <cell r="C3648" t="str">
            <v>ΑΙΓΟΠΡΟΒΑΤΑ</v>
          </cell>
          <cell r="D3648">
            <v>120004</v>
          </cell>
          <cell r="E3648" t="str">
            <v>ΑΙΓΟΠΡΟΒΑΤΑ120004</v>
          </cell>
          <cell r="F3648" t="str">
            <v>ΑΙΓΕΣ, ΛΟΙΠΗ</v>
          </cell>
          <cell r="G3648" t="str">
            <v>C_3_2_1</v>
          </cell>
          <cell r="H3648" t="str">
            <v>Αίγες θηλυκές αναπαραγωγής</v>
          </cell>
          <cell r="I3648">
            <v>83</v>
          </cell>
          <cell r="N3648" t="str">
            <v>Ναι</v>
          </cell>
          <cell r="O3648" t="str">
            <v>Ναι</v>
          </cell>
          <cell r="P3648">
            <v>20</v>
          </cell>
        </row>
        <row r="3649">
          <cell r="A3649">
            <v>3647</v>
          </cell>
          <cell r="B3649">
            <v>1</v>
          </cell>
          <cell r="C3649" t="str">
            <v>ΑΙΓΟΠΡΟΒΑΤΑ</v>
          </cell>
          <cell r="D3649">
            <v>120005</v>
          </cell>
          <cell r="E3649" t="str">
            <v>ΑΙΓΟΠΡΟΒΑΤΑ120005</v>
          </cell>
          <cell r="F3649" t="str">
            <v>ΑΙΓΕΣ, ΛΟΙΠΗ ΑΙΓΟΕΙΔΗ (&lt;30kg)</v>
          </cell>
          <cell r="G3649" t="str">
            <v>C_3_2_1</v>
          </cell>
          <cell r="H3649" t="str">
            <v>Αίγες θηλυκές αναπαραγωγής</v>
          </cell>
          <cell r="I3649">
            <v>83</v>
          </cell>
          <cell r="N3649" t="str">
            <v>Ναι</v>
          </cell>
          <cell r="O3649" t="str">
            <v>Ναι</v>
          </cell>
          <cell r="P3649">
            <v>20</v>
          </cell>
        </row>
        <row r="3650">
          <cell r="A3650">
            <v>3648</v>
          </cell>
          <cell r="B3650">
            <v>1</v>
          </cell>
          <cell r="C3650" t="str">
            <v>ΑΙΓΟΠΡΟΒΑΤΑ</v>
          </cell>
          <cell r="D3650">
            <v>120006</v>
          </cell>
          <cell r="E3650" t="str">
            <v>ΑΙΓΟΠΡΟΒΑΤΑ120006</v>
          </cell>
          <cell r="F3650" t="str">
            <v>ΑΙΓΕΣ, ΛΟΙΠΗ ΑΙΓΟΕΙΔΗ (&gt;30kg)</v>
          </cell>
          <cell r="G3650" t="str">
            <v>C_3_2_1</v>
          </cell>
          <cell r="H3650" t="str">
            <v>Αίγες θηλυκές αναπαραγωγής</v>
          </cell>
          <cell r="I3650">
            <v>83</v>
          </cell>
          <cell r="N3650" t="str">
            <v>Ναι</v>
          </cell>
          <cell r="O3650" t="str">
            <v>Ναι</v>
          </cell>
          <cell r="P3650">
            <v>20</v>
          </cell>
        </row>
        <row r="3651">
          <cell r="A3651">
            <v>3649</v>
          </cell>
          <cell r="B3651">
            <v>1</v>
          </cell>
          <cell r="C3651" t="str">
            <v>ΑΙΓΟΠΡΟΒΑΤΑ</v>
          </cell>
          <cell r="D3651">
            <v>131001</v>
          </cell>
          <cell r="E3651" t="str">
            <v>ΑΙΓΟΠΡΟΒΑΤΑ131001</v>
          </cell>
          <cell r="F3651" t="str">
            <v>ΑΜΝΟΙ ΑΡΣΕΝΙΚΟΙ, ΒΕΛΤΙΩΜΕΝΗ</v>
          </cell>
          <cell r="G3651" t="str">
            <v>C_3_1_99</v>
          </cell>
          <cell r="H3651" t="str">
            <v>Λοιπά προβατοειδή</v>
          </cell>
          <cell r="I3651">
            <v>59</v>
          </cell>
          <cell r="N3651" t="str">
            <v>Ναι</v>
          </cell>
          <cell r="O3651" t="str">
            <v>Ναι</v>
          </cell>
          <cell r="P3651">
            <v>10.78</v>
          </cell>
        </row>
        <row r="3652">
          <cell r="A3652">
            <v>3650</v>
          </cell>
          <cell r="B3652">
            <v>1</v>
          </cell>
          <cell r="C3652" t="str">
            <v>ΑΙΓΟΠΡΟΒΑΤΑ</v>
          </cell>
          <cell r="D3652">
            <v>131002</v>
          </cell>
          <cell r="E3652" t="str">
            <v>ΑΙΓΟΠΡΟΒΑΤΑ131002</v>
          </cell>
          <cell r="F3652" t="str">
            <v>ΑΜΝΟΙ ΑΡΣΕΝΙΚΟΙ, ΑΥΤΟΧΘΟΝΗ</v>
          </cell>
          <cell r="G3652" t="str">
            <v>C_3_1_99</v>
          </cell>
          <cell r="H3652" t="str">
            <v>Λοιπά προβατοειδή</v>
          </cell>
          <cell r="I3652">
            <v>59</v>
          </cell>
          <cell r="N3652" t="str">
            <v>Ναι</v>
          </cell>
          <cell r="O3652" t="str">
            <v>Ναι</v>
          </cell>
          <cell r="P3652">
            <v>10.78</v>
          </cell>
        </row>
        <row r="3653">
          <cell r="A3653">
            <v>3651</v>
          </cell>
          <cell r="B3653">
            <v>1</v>
          </cell>
          <cell r="C3653" t="str">
            <v>ΑΙΓΟΠΡΟΒΑΤΑ</v>
          </cell>
          <cell r="D3653">
            <v>131003</v>
          </cell>
          <cell r="E3653" t="str">
            <v>ΑΙΓΟΠΡΟΒΑΤΑ131003</v>
          </cell>
          <cell r="F3653" t="str">
            <v>ΑΜΝΟΙ ΑΡΣΕΝΙΚΟΙ, ΚΑΘΑΡΟΑΙΜΗ</v>
          </cell>
          <cell r="G3653" t="str">
            <v>C_3_1_99</v>
          </cell>
          <cell r="H3653" t="str">
            <v>Λοιπά προβατοειδή</v>
          </cell>
          <cell r="I3653">
            <v>59</v>
          </cell>
          <cell r="N3653" t="str">
            <v>Ναι</v>
          </cell>
          <cell r="O3653" t="str">
            <v>Ναι</v>
          </cell>
          <cell r="P3653">
            <v>10.78</v>
          </cell>
        </row>
        <row r="3654">
          <cell r="A3654">
            <v>3652</v>
          </cell>
          <cell r="B3654">
            <v>1</v>
          </cell>
          <cell r="C3654" t="str">
            <v>ΑΙΓΟΠΡΟΒΑΤΑ</v>
          </cell>
          <cell r="D3654">
            <v>131004</v>
          </cell>
          <cell r="E3654" t="str">
            <v>ΑΙΓΟΠΡΟΒΑΤΑ131004</v>
          </cell>
          <cell r="F3654" t="str">
            <v>ΑΜΝΟΙ ΑΡΣΕΝΙΚΟΙ, ΛΟΙΠΗ</v>
          </cell>
          <cell r="G3654" t="str">
            <v>C_3_1_99</v>
          </cell>
          <cell r="H3654" t="str">
            <v>Λοιπά προβατοειδή</v>
          </cell>
          <cell r="I3654">
            <v>59</v>
          </cell>
          <cell r="N3654" t="str">
            <v>Ναι</v>
          </cell>
          <cell r="O3654" t="str">
            <v>Ναι</v>
          </cell>
          <cell r="P3654">
            <v>10.78</v>
          </cell>
        </row>
        <row r="3655">
          <cell r="A3655">
            <v>3653</v>
          </cell>
          <cell r="B3655">
            <v>1</v>
          </cell>
          <cell r="C3655" t="str">
            <v>ΑΙΓΟΠΡΟΒΑΤΑ</v>
          </cell>
          <cell r="D3655">
            <v>132001</v>
          </cell>
          <cell r="E3655" t="str">
            <v>ΑΙΓΟΠΡΟΒΑΤΑ132001</v>
          </cell>
          <cell r="F3655" t="str">
            <v>ΑΜΝΟΙ ΘΗΛΥΚΟΙ, ΒΕΛΤΙΩΜΕΝOI</v>
          </cell>
          <cell r="G3655" t="str">
            <v>C_3_1_99</v>
          </cell>
          <cell r="H3655" t="str">
            <v>Λοιπά προβατοειδή</v>
          </cell>
          <cell r="I3655">
            <v>59</v>
          </cell>
          <cell r="N3655" t="str">
            <v>Ναι</v>
          </cell>
          <cell r="O3655" t="str">
            <v>Ναι</v>
          </cell>
          <cell r="P3655">
            <v>10.78</v>
          </cell>
        </row>
        <row r="3656">
          <cell r="A3656">
            <v>3654</v>
          </cell>
          <cell r="B3656">
            <v>1</v>
          </cell>
          <cell r="C3656" t="str">
            <v>ΑΙΓΟΠΡΟΒΑΤΑ</v>
          </cell>
          <cell r="D3656">
            <v>132002</v>
          </cell>
          <cell r="E3656" t="str">
            <v>ΑΙΓΟΠΡΟΒΑΤΑ132002</v>
          </cell>
          <cell r="F3656" t="str">
            <v>ΑΜΝΟΙ ΘΗΛΥΚΟΙ, ΑΥΤΟΧΘΟΝΗ</v>
          </cell>
          <cell r="G3656" t="str">
            <v>C_3_1_99</v>
          </cell>
          <cell r="H3656" t="str">
            <v>Λοιπά προβατοειδή</v>
          </cell>
          <cell r="I3656">
            <v>59</v>
          </cell>
          <cell r="N3656" t="str">
            <v>Ναι</v>
          </cell>
          <cell r="O3656" t="str">
            <v>Ναι</v>
          </cell>
          <cell r="P3656">
            <v>10.78</v>
          </cell>
        </row>
        <row r="3657">
          <cell r="A3657">
            <v>3655</v>
          </cell>
          <cell r="B3657">
            <v>1</v>
          </cell>
          <cell r="C3657" t="str">
            <v>ΑΙΓΟΠΡΟΒΑΤΑ</v>
          </cell>
          <cell r="D3657">
            <v>132003</v>
          </cell>
          <cell r="E3657" t="str">
            <v>ΑΙΓΟΠΡΟΒΑΤΑ132003</v>
          </cell>
          <cell r="F3657" t="str">
            <v>ΑΜΝΟΙ ΘΗΛΥΚΟΙ, ΚΑΘΑΡΟΑΙΜΗ</v>
          </cell>
          <cell r="G3657" t="str">
            <v>C_3_1_99</v>
          </cell>
          <cell r="H3657" t="str">
            <v>Λοιπά προβατοειδή</v>
          </cell>
          <cell r="I3657">
            <v>59</v>
          </cell>
          <cell r="N3657" t="str">
            <v>Ναι</v>
          </cell>
          <cell r="O3657" t="str">
            <v>Ναι</v>
          </cell>
          <cell r="P3657">
            <v>10.78</v>
          </cell>
        </row>
        <row r="3658">
          <cell r="A3658">
            <v>3656</v>
          </cell>
          <cell r="B3658">
            <v>1</v>
          </cell>
          <cell r="C3658" t="str">
            <v>ΑΙΓΟΠΡΟΒΑΤΑ</v>
          </cell>
          <cell r="D3658">
            <v>132004</v>
          </cell>
          <cell r="E3658" t="str">
            <v>ΑΙΓΟΠΡΟΒΑΤΑ132004</v>
          </cell>
          <cell r="F3658" t="str">
            <v>ΑΜΝΟΙ ΘΗΛΥΚΟΙ, ΛΟΙΠΗ</v>
          </cell>
          <cell r="G3658" t="str">
            <v>C_3_1_99</v>
          </cell>
          <cell r="H3658" t="str">
            <v>Λοιπά προβατοειδή</v>
          </cell>
          <cell r="I3658">
            <v>59</v>
          </cell>
          <cell r="N3658" t="str">
            <v>Ναι</v>
          </cell>
          <cell r="O3658" t="str">
            <v>Ναι</v>
          </cell>
          <cell r="P3658">
            <v>10.78</v>
          </cell>
        </row>
        <row r="3659">
          <cell r="A3659">
            <v>3657</v>
          </cell>
          <cell r="B3659">
            <v>1</v>
          </cell>
          <cell r="C3659" t="str">
            <v>ΑΙΓΟΠΡΟΒΑΤΑ</v>
          </cell>
          <cell r="D3659">
            <v>140001</v>
          </cell>
          <cell r="E3659" t="str">
            <v>ΑΙΓΟΠΡΟΒΑΤΑ140001</v>
          </cell>
          <cell r="F3659" t="str">
            <v>ΠΡΟΒΑΤΙΝΕΣ, ΒΕΛΤΙΩΜΕΝΗ</v>
          </cell>
          <cell r="G3659" t="str">
            <v>C_3_1_1</v>
          </cell>
          <cell r="H3659" t="str">
            <v>Πρόβατα θηλυκά  αναπαραγωγής</v>
          </cell>
          <cell r="I3659">
            <v>93</v>
          </cell>
          <cell r="N3659" t="str">
            <v>Ναι</v>
          </cell>
          <cell r="O3659" t="str">
            <v>Ναι</v>
          </cell>
          <cell r="P3659">
            <v>17</v>
          </cell>
        </row>
        <row r="3660">
          <cell r="A3660">
            <v>3658</v>
          </cell>
          <cell r="B3660">
            <v>1</v>
          </cell>
          <cell r="C3660" t="str">
            <v>ΑΙΓΟΠΡΟΒΑΤΑ</v>
          </cell>
          <cell r="D3660">
            <v>140002</v>
          </cell>
          <cell r="E3660" t="str">
            <v>ΑΙΓΟΠΡΟΒΑΤΑ140002</v>
          </cell>
          <cell r="F3660" t="str">
            <v>ΠΡΟΒΑΤΙΝΕΣ,  ΑΥΤΟΧΘΟΝΗ</v>
          </cell>
          <cell r="G3660" t="str">
            <v>C_3_1_1</v>
          </cell>
          <cell r="H3660" t="str">
            <v>Πρόβατα θηλυκά  αναπαραγωγής</v>
          </cell>
          <cell r="I3660">
            <v>93</v>
          </cell>
          <cell r="N3660" t="str">
            <v>Ναι</v>
          </cell>
          <cell r="O3660" t="str">
            <v>Ναι</v>
          </cell>
          <cell r="P3660">
            <v>17</v>
          </cell>
        </row>
        <row r="3661">
          <cell r="A3661">
            <v>3659</v>
          </cell>
          <cell r="B3661">
            <v>1</v>
          </cell>
          <cell r="C3661" t="str">
            <v>ΑΙΓΟΠΡΟΒΑΤΑ</v>
          </cell>
          <cell r="D3661">
            <v>140003</v>
          </cell>
          <cell r="E3661" t="str">
            <v>ΑΙΓΟΠΡΟΒΑΤΑ140003</v>
          </cell>
          <cell r="F3661" t="str">
            <v>ΠΡΟΒΑΤΙΝΕΣ,  ΚΑΘΑΡΟΑΙΜΗ</v>
          </cell>
          <cell r="G3661" t="str">
            <v>C_3_1_1</v>
          </cell>
          <cell r="H3661" t="str">
            <v>Πρόβατα θηλυκά  αναπαραγωγής</v>
          </cell>
          <cell r="I3661">
            <v>93</v>
          </cell>
          <cell r="N3661" t="str">
            <v>Ναι</v>
          </cell>
          <cell r="O3661" t="str">
            <v>Ναι</v>
          </cell>
          <cell r="P3661">
            <v>17</v>
          </cell>
        </row>
        <row r="3662">
          <cell r="A3662">
            <v>3660</v>
          </cell>
          <cell r="B3662">
            <v>1</v>
          </cell>
          <cell r="C3662" t="str">
            <v>ΑΙΓΟΠΡΟΒΑΤΑ</v>
          </cell>
          <cell r="D3662">
            <v>140004</v>
          </cell>
          <cell r="E3662" t="str">
            <v>ΑΙΓΟΠΡΟΒΑΤΑ140004</v>
          </cell>
          <cell r="F3662" t="str">
            <v>ΠΡΟΒΑΤΙΝΕΣ,  ΛΟΙΠΗ</v>
          </cell>
          <cell r="G3662" t="str">
            <v>C_3_1_1</v>
          </cell>
          <cell r="H3662" t="str">
            <v>Πρόβατα θηλυκά  αναπαραγωγής</v>
          </cell>
          <cell r="I3662">
            <v>93</v>
          </cell>
          <cell r="N3662" t="str">
            <v>Ναι</v>
          </cell>
          <cell r="O3662" t="str">
            <v>Ναι</v>
          </cell>
          <cell r="P3662">
            <v>17</v>
          </cell>
        </row>
        <row r="3663">
          <cell r="A3663">
            <v>3661</v>
          </cell>
          <cell r="B3663">
            <v>1</v>
          </cell>
          <cell r="C3663" t="str">
            <v>ΑΙΓΟΠΡΟΒΑΤΑ</v>
          </cell>
          <cell r="D3663">
            <v>140007</v>
          </cell>
          <cell r="E3663" t="str">
            <v>ΑΙΓΟΠΡΟΒΑΤΑ140007</v>
          </cell>
          <cell r="F3663" t="str">
            <v>ΠΡΟΒΑΤΙΝΕΣ, ΛΟΙΠΗ ΠΡΟΒΑΤΟΕΙΔΗ (&lt;45kg)</v>
          </cell>
          <cell r="G3663" t="str">
            <v>C_3_1_1</v>
          </cell>
          <cell r="H3663" t="str">
            <v>Πρόβατα θηλυκά  αναπαραγωγής</v>
          </cell>
          <cell r="I3663">
            <v>93</v>
          </cell>
          <cell r="N3663" t="str">
            <v>Ναι</v>
          </cell>
          <cell r="O3663" t="str">
            <v>Ναι</v>
          </cell>
          <cell r="P3663">
            <v>17</v>
          </cell>
        </row>
        <row r="3664">
          <cell r="A3664">
            <v>3662</v>
          </cell>
          <cell r="B3664">
            <v>1</v>
          </cell>
          <cell r="C3664" t="str">
            <v>ΑΙΓΟΠΡΟΒΑΤΑ</v>
          </cell>
          <cell r="D3664">
            <v>140008</v>
          </cell>
          <cell r="E3664" t="str">
            <v>ΑΙΓΟΠΡΟΒΑΤΑ140008</v>
          </cell>
          <cell r="F3664" t="str">
            <v>ΠΡΟΒΑΤΙΝΕΣ, ΛΟΙΠΗ ΠΡΟΒΑΤΟΕΙΔΗ (&gt;45kg)</v>
          </cell>
          <cell r="G3664" t="str">
            <v>C_3_1_1</v>
          </cell>
          <cell r="H3664" t="str">
            <v>Πρόβατα θηλυκά  αναπαραγωγής</v>
          </cell>
          <cell r="I3664">
            <v>93</v>
          </cell>
          <cell r="N3664" t="str">
            <v>Ναι</v>
          </cell>
          <cell r="O3664" t="str">
            <v>Ναι</v>
          </cell>
          <cell r="P3664">
            <v>17</v>
          </cell>
        </row>
        <row r="3665">
          <cell r="A3665">
            <v>3663</v>
          </cell>
          <cell r="B3665">
            <v>1</v>
          </cell>
          <cell r="C3665" t="str">
            <v>ΑΙΓΟΠΡΟΒΑΤΑ</v>
          </cell>
          <cell r="D3665">
            <v>150001</v>
          </cell>
          <cell r="E3665" t="str">
            <v>ΑΙΓΟΠΡΟΒΑΤΑ150001</v>
          </cell>
          <cell r="F3665" t="str">
            <v>ΚΡΙΟΙ,  ΒΕΛΤΙΩΜΕΝΗ</v>
          </cell>
          <cell r="G3665" t="str">
            <v>C_3_1_99</v>
          </cell>
          <cell r="H3665" t="str">
            <v>Λοιπά προβατοειδή</v>
          </cell>
          <cell r="I3665">
            <v>59</v>
          </cell>
          <cell r="N3665" t="str">
            <v>Ναι</v>
          </cell>
          <cell r="O3665" t="str">
            <v>Ναι</v>
          </cell>
          <cell r="P3665">
            <v>10.78</v>
          </cell>
        </row>
        <row r="3666">
          <cell r="A3666">
            <v>3664</v>
          </cell>
          <cell r="B3666">
            <v>1</v>
          </cell>
          <cell r="C3666" t="str">
            <v>ΑΙΓΟΠΡΟΒΑΤΑ</v>
          </cell>
          <cell r="D3666">
            <v>150002</v>
          </cell>
          <cell r="E3666" t="str">
            <v>ΑΙΓΟΠΡΟΒΑΤΑ150002</v>
          </cell>
          <cell r="F3666" t="str">
            <v>ΚΡΙΟΙ,  ΑΥΤΟΧΘΟΝΗ</v>
          </cell>
          <cell r="G3666" t="str">
            <v>C_3_1_99</v>
          </cell>
          <cell r="H3666" t="str">
            <v>Λοιπά προβατοειδή</v>
          </cell>
          <cell r="I3666">
            <v>59</v>
          </cell>
          <cell r="N3666" t="str">
            <v>Ναι</v>
          </cell>
          <cell r="O3666" t="str">
            <v>Ναι</v>
          </cell>
          <cell r="P3666">
            <v>10.78</v>
          </cell>
        </row>
        <row r="3667">
          <cell r="A3667">
            <v>3665</v>
          </cell>
          <cell r="B3667">
            <v>1</v>
          </cell>
          <cell r="C3667" t="str">
            <v>ΑΙΓΟΠΡΟΒΑΤΑ</v>
          </cell>
          <cell r="D3667">
            <v>150003</v>
          </cell>
          <cell r="E3667" t="str">
            <v>ΑΙΓΟΠΡΟΒΑΤΑ150003</v>
          </cell>
          <cell r="F3667" t="str">
            <v>ΚΡΙΟΙ,  ΚΑΘΑΡΟΑΙΜΗ</v>
          </cell>
          <cell r="G3667" t="str">
            <v>C_3_1_99</v>
          </cell>
          <cell r="H3667" t="str">
            <v>Λοιπά προβατοειδή</v>
          </cell>
          <cell r="I3667">
            <v>59</v>
          </cell>
          <cell r="N3667" t="str">
            <v>Ναι</v>
          </cell>
          <cell r="O3667" t="str">
            <v>Ναι</v>
          </cell>
          <cell r="P3667">
            <v>10.78</v>
          </cell>
        </row>
        <row r="3668">
          <cell r="A3668">
            <v>3666</v>
          </cell>
          <cell r="B3668">
            <v>1</v>
          </cell>
          <cell r="C3668" t="str">
            <v>ΑΙΓΟΠΡΟΒΑΤΑ</v>
          </cell>
          <cell r="D3668">
            <v>150004</v>
          </cell>
          <cell r="E3668" t="str">
            <v>ΑΙΓΟΠΡΟΒΑΤΑ150004</v>
          </cell>
          <cell r="F3668" t="str">
            <v>ΚΡΙΟΙ, ΛΟΙΠΗ</v>
          </cell>
          <cell r="G3668" t="str">
            <v>C_3_1_99</v>
          </cell>
          <cell r="H3668" t="str">
            <v>Λοιπά προβατοειδή</v>
          </cell>
          <cell r="I3668">
            <v>59</v>
          </cell>
          <cell r="N3668" t="str">
            <v>Ναι</v>
          </cell>
          <cell r="O3668" t="str">
            <v>Ναι</v>
          </cell>
          <cell r="P3668">
            <v>10.78</v>
          </cell>
        </row>
        <row r="3669">
          <cell r="A3669">
            <v>3667</v>
          </cell>
          <cell r="B3669">
            <v>1</v>
          </cell>
          <cell r="C3669" t="str">
            <v>ΑΙΓΟΠΡΟΒΑΤΑ</v>
          </cell>
          <cell r="D3669">
            <v>150007</v>
          </cell>
          <cell r="E3669" t="str">
            <v>ΑΙΓΟΠΡΟΒΑΤΑ150007</v>
          </cell>
          <cell r="F3669" t="str">
            <v>ΚΡΙΟΙ, ΛΟΙΠΗ ΠΡΟΒΑΤΟΕΙΔΗ (&lt;45kg)</v>
          </cell>
          <cell r="G3669" t="str">
            <v>C_3_1_99</v>
          </cell>
          <cell r="H3669" t="str">
            <v>Λοιπά προβατοειδή</v>
          </cell>
          <cell r="I3669">
            <v>59</v>
          </cell>
          <cell r="N3669" t="str">
            <v>Ναι</v>
          </cell>
          <cell r="O3669" t="str">
            <v>Ναι</v>
          </cell>
          <cell r="P3669">
            <v>10.78</v>
          </cell>
        </row>
        <row r="3670">
          <cell r="A3670">
            <v>3668</v>
          </cell>
          <cell r="B3670">
            <v>1</v>
          </cell>
          <cell r="C3670" t="str">
            <v>ΑΙΓΟΠΡΟΒΑΤΑ</v>
          </cell>
          <cell r="D3670">
            <v>150008</v>
          </cell>
          <cell r="E3670" t="str">
            <v>ΑΙΓΟΠΡΟΒΑΤΑ150008</v>
          </cell>
          <cell r="F3670" t="str">
            <v>ΚΡΙΟΙ, ΛΟΙΠΗ ΠΡΟΒΑΤΟΕΙΔΗ (&gt;45kg)</v>
          </cell>
          <cell r="G3670" t="str">
            <v>C_3_1_99</v>
          </cell>
          <cell r="H3670" t="str">
            <v>Λοιπά προβατοειδή</v>
          </cell>
          <cell r="I3670">
            <v>59</v>
          </cell>
          <cell r="N3670" t="str">
            <v>Ναι</v>
          </cell>
          <cell r="O3670" t="str">
            <v>Ναι</v>
          </cell>
          <cell r="P3670">
            <v>10.78</v>
          </cell>
        </row>
        <row r="3671">
          <cell r="A3671">
            <v>3669</v>
          </cell>
          <cell r="B3671">
            <v>1</v>
          </cell>
          <cell r="C3671" t="str">
            <v>ΑΙΓΟΠΡΟΒΑΤΑ</v>
          </cell>
          <cell r="D3671">
            <v>160001</v>
          </cell>
          <cell r="E3671" t="str">
            <v>ΑΙΓΟΠΡΟΒΑΤΑ160001</v>
          </cell>
          <cell r="F3671" t="str">
            <v>ΤΡΑΓΟI, ΒΕΛΤΙΩΜΕΝΗ</v>
          </cell>
          <cell r="G3671" t="str">
            <v>C_3_2_99</v>
          </cell>
          <cell r="H3671" t="str">
            <v>Λοιπά αιγοειδή</v>
          </cell>
          <cell r="I3671">
            <v>56</v>
          </cell>
          <cell r="N3671" t="str">
            <v>Ναι</v>
          </cell>
          <cell r="O3671" t="str">
            <v>Ναι</v>
          </cell>
          <cell r="P3671">
            <v>13.49</v>
          </cell>
        </row>
        <row r="3672">
          <cell r="A3672">
            <v>3670</v>
          </cell>
          <cell r="B3672">
            <v>1</v>
          </cell>
          <cell r="C3672" t="str">
            <v>ΑΙΓΟΠΡΟΒΑΤΑ</v>
          </cell>
          <cell r="D3672">
            <v>160002</v>
          </cell>
          <cell r="E3672" t="str">
            <v>ΑΙΓΟΠΡΟΒΑΤΑ160002</v>
          </cell>
          <cell r="F3672" t="str">
            <v>ΤΡΑΓΟI,  ΑΥΤΟΧΘΟΝΗ</v>
          </cell>
          <cell r="G3672" t="str">
            <v>C_3_2_99</v>
          </cell>
          <cell r="H3672" t="str">
            <v>Λοιπά αιγοειδή</v>
          </cell>
          <cell r="I3672">
            <v>56</v>
          </cell>
          <cell r="N3672" t="str">
            <v>Ναι</v>
          </cell>
          <cell r="O3672" t="str">
            <v>Ναι</v>
          </cell>
          <cell r="P3672">
            <v>13.49</v>
          </cell>
        </row>
        <row r="3673">
          <cell r="A3673">
            <v>3671</v>
          </cell>
          <cell r="B3673">
            <v>1</v>
          </cell>
          <cell r="C3673" t="str">
            <v>ΑΙΓΟΠΡΟΒΑΤΑ</v>
          </cell>
          <cell r="D3673">
            <v>160003</v>
          </cell>
          <cell r="E3673" t="str">
            <v>ΑΙΓΟΠΡΟΒΑΤΑ160003</v>
          </cell>
          <cell r="F3673" t="str">
            <v>ΤΡΑΓΟI, ΚΑΘΑΡΟΑΙΜΗ</v>
          </cell>
          <cell r="G3673" t="str">
            <v>C_3_2_99</v>
          </cell>
          <cell r="H3673" t="str">
            <v>Λοιπά αιγοειδή</v>
          </cell>
          <cell r="I3673">
            <v>56</v>
          </cell>
          <cell r="N3673" t="str">
            <v>Ναι</v>
          </cell>
          <cell r="O3673" t="str">
            <v>Ναι</v>
          </cell>
          <cell r="P3673">
            <v>13.49</v>
          </cell>
        </row>
        <row r="3674">
          <cell r="A3674">
            <v>3672</v>
          </cell>
          <cell r="B3674">
            <v>1</v>
          </cell>
          <cell r="C3674" t="str">
            <v>ΑΙΓΟΠΡΟΒΑΤΑ</v>
          </cell>
          <cell r="D3674">
            <v>160004</v>
          </cell>
          <cell r="E3674" t="str">
            <v>ΑΙΓΟΠΡΟΒΑΤΑ160004</v>
          </cell>
          <cell r="F3674" t="str">
            <v>ΤΡΑΓΟI, ΛΟΙΠΗ</v>
          </cell>
          <cell r="G3674" t="str">
            <v>C_3_2_99</v>
          </cell>
          <cell r="H3674" t="str">
            <v>Λοιπά αιγοειδή</v>
          </cell>
          <cell r="I3674">
            <v>56</v>
          </cell>
          <cell r="N3674" t="str">
            <v>Ναι</v>
          </cell>
          <cell r="O3674" t="str">
            <v>Ναι</v>
          </cell>
          <cell r="P3674">
            <v>13.49</v>
          </cell>
        </row>
        <row r="3675">
          <cell r="A3675">
            <v>3673</v>
          </cell>
          <cell r="B3675">
            <v>1</v>
          </cell>
          <cell r="C3675" t="str">
            <v>ΑΙΓΟΠΡΟΒΑΤΑ</v>
          </cell>
          <cell r="D3675">
            <v>160005</v>
          </cell>
          <cell r="E3675" t="str">
            <v>ΑΙΓΟΠΡΟΒΑΤΑ160005</v>
          </cell>
          <cell r="F3675" t="str">
            <v>ΤΡΑΓΟI, ΛΟΙΠΗ ΑΙΓΟΕΙΔΗ (&lt;30kg)</v>
          </cell>
          <cell r="G3675" t="str">
            <v>C_3_2_99</v>
          </cell>
          <cell r="H3675" t="str">
            <v>Λοιπά αιγοειδή</v>
          </cell>
          <cell r="I3675">
            <v>56</v>
          </cell>
          <cell r="N3675" t="str">
            <v>Ναι</v>
          </cell>
          <cell r="O3675" t="str">
            <v>Ναι</v>
          </cell>
          <cell r="P3675">
            <v>13.49</v>
          </cell>
        </row>
        <row r="3676">
          <cell r="A3676">
            <v>3674</v>
          </cell>
          <cell r="B3676">
            <v>1</v>
          </cell>
          <cell r="C3676" t="str">
            <v>ΑΙΓΟΠΡΟΒΑΤΑ</v>
          </cell>
          <cell r="D3676">
            <v>160006</v>
          </cell>
          <cell r="E3676" t="str">
            <v>ΑΙΓΟΠΡΟΒΑΤΑ160006</v>
          </cell>
          <cell r="F3676" t="str">
            <v>ΤΡΑΓΟI, ΛΟΙΠΗ ΑΙΓΟΕΙΔΗ (&gt;30kg)</v>
          </cell>
          <cell r="G3676" t="str">
            <v>C_3_2_99</v>
          </cell>
          <cell r="H3676" t="str">
            <v>Λοιπά αιγοειδή</v>
          </cell>
          <cell r="I3676">
            <v>56</v>
          </cell>
          <cell r="N3676" t="str">
            <v>Ναι</v>
          </cell>
          <cell r="O3676" t="str">
            <v>Ναι</v>
          </cell>
          <cell r="P3676">
            <v>13.49</v>
          </cell>
        </row>
        <row r="3677">
          <cell r="A3677">
            <v>3675</v>
          </cell>
          <cell r="B3677">
            <v>2</v>
          </cell>
          <cell r="C3677" t="str">
            <v>ΒΟΟΕΙΔΗ</v>
          </cell>
          <cell r="D3677">
            <v>211111</v>
          </cell>
          <cell r="E3677" t="str">
            <v>ΒΟΟΕΙΔΗ211111</v>
          </cell>
          <cell r="F3677" t="str">
            <v>ΒΟΟΕΙΔΗ, ΑΡΣΕΝΙΚΑ, &lt; 1 ΜΗΝΟΣ, ΓΑΛΑΚΤΟΠΑΡΑΓΩΓΗΣ, ΒΕΛΤΙΩΜΕΝΗ</v>
          </cell>
          <cell r="G3677" t="str">
            <v>C_2_1</v>
          </cell>
          <cell r="H3677" t="str">
            <v>Βοοειδή ηλικίας κάτω του ενός έτους, αρσενικά και θηλυκά</v>
          </cell>
          <cell r="I3677">
            <v>435</v>
          </cell>
          <cell r="O3677" t="str">
            <v/>
          </cell>
          <cell r="P3677">
            <v>24</v>
          </cell>
        </row>
        <row r="3678">
          <cell r="A3678">
            <v>3676</v>
          </cell>
          <cell r="B3678">
            <v>2</v>
          </cell>
          <cell r="C3678" t="str">
            <v>ΒΟΟΕΙΔΗ</v>
          </cell>
          <cell r="D3678">
            <v>211112</v>
          </cell>
          <cell r="E3678" t="str">
            <v>ΒΟΟΕΙΔΗ211112</v>
          </cell>
          <cell r="F3678" t="str">
            <v>ΒΟΟΕΙΔΗ, ΑΡΣΕΝΙΚΑ, &lt; 1 ΜΗΝΟΣ, ΓΑΛΑΚΤΟΠΑΡΑΓΩΓΉΣ, ΑΥΤΟΧΘΟΝΗ</v>
          </cell>
          <cell r="G3678" t="str">
            <v>C_2_1</v>
          </cell>
          <cell r="H3678" t="str">
            <v>Βοοειδή ηλικίας κάτω του ενός έτους, αρσενικά και θηλυκά</v>
          </cell>
          <cell r="I3678">
            <v>435</v>
          </cell>
          <cell r="O3678" t="str">
            <v/>
          </cell>
          <cell r="P3678">
            <v>24</v>
          </cell>
        </row>
        <row r="3679">
          <cell r="A3679">
            <v>3677</v>
          </cell>
          <cell r="B3679">
            <v>2</v>
          </cell>
          <cell r="C3679" t="str">
            <v>ΒΟΟΕΙΔΗ</v>
          </cell>
          <cell r="D3679">
            <v>211113</v>
          </cell>
          <cell r="E3679" t="str">
            <v>ΒΟΟΕΙΔΗ211113</v>
          </cell>
          <cell r="F3679" t="str">
            <v>ΒΟΟΕΙΔΗ, ΑΡΣΕΝΙΚΑ, &lt; 1 ΜΗΝΟΣ, ΓΑΛΑΚΤΟΠΑΡΑΓΩΓΉΣ, ΚΑΘΑΡΟΑΙΜΗ</v>
          </cell>
          <cell r="G3679" t="str">
            <v>C_2_1</v>
          </cell>
          <cell r="H3679" t="str">
            <v>Βοοειδή ηλικίας κάτω του ενός έτους, αρσενικά και θηλυκά</v>
          </cell>
          <cell r="I3679">
            <v>435</v>
          </cell>
          <cell r="O3679" t="str">
            <v/>
          </cell>
          <cell r="P3679">
            <v>24</v>
          </cell>
        </row>
        <row r="3680">
          <cell r="A3680">
            <v>3678</v>
          </cell>
          <cell r="B3680">
            <v>2</v>
          </cell>
          <cell r="C3680" t="str">
            <v>ΒΟΟΕΙΔΗ</v>
          </cell>
          <cell r="D3680">
            <v>211114</v>
          </cell>
          <cell r="E3680" t="str">
            <v>ΒΟΟΕΙΔΗ211114</v>
          </cell>
          <cell r="F3680" t="str">
            <v>ΒΟΟΕΙΔΗ, ΑΡΣΕΝΙΚΑ, &lt; 1 ΜΗΝΟΣ, ΓΑΛΑΚΤΟΠΑΡΑΓΩΓΉΣ, ΛΟΙΠΗ</v>
          </cell>
          <cell r="G3680" t="str">
            <v>C_2_1</v>
          </cell>
          <cell r="H3680" t="str">
            <v>Βοοειδή ηλικίας κάτω του ενός έτους, αρσενικά και θηλυκά</v>
          </cell>
          <cell r="I3680">
            <v>435</v>
          </cell>
          <cell r="O3680" t="str">
            <v/>
          </cell>
          <cell r="P3680">
            <v>24</v>
          </cell>
        </row>
        <row r="3681">
          <cell r="A3681">
            <v>3679</v>
          </cell>
          <cell r="B3681">
            <v>2</v>
          </cell>
          <cell r="C3681" t="str">
            <v>ΒΟΟΕΙΔΗ</v>
          </cell>
          <cell r="D3681">
            <v>211122</v>
          </cell>
          <cell r="E3681" t="str">
            <v>ΒΟΟΕΙΔΗ211122</v>
          </cell>
          <cell r="F3681" t="str">
            <v>ΒΟΟΕΙΔΗ, ΑΡΣΕΝΙΚΑ, &lt; 1 ΜΗΝΟΣ, ΚΡΕΟΠΑΡΑΓΩΓΗΣ, ΑΥΤΟΧΘΟΝΗ</v>
          </cell>
          <cell r="G3681" t="str">
            <v>C_2_1</v>
          </cell>
          <cell r="H3681" t="str">
            <v>Βοοειδή ηλικίας κάτω του ενός έτους, αρσενικά και θηλυκά</v>
          </cell>
          <cell r="I3681">
            <v>435</v>
          </cell>
          <cell r="O3681" t="str">
            <v/>
          </cell>
          <cell r="P3681">
            <v>11.6</v>
          </cell>
        </row>
        <row r="3682">
          <cell r="A3682">
            <v>3680</v>
          </cell>
          <cell r="B3682">
            <v>2</v>
          </cell>
          <cell r="C3682" t="str">
            <v>ΒΟΟΕΙΔΗ</v>
          </cell>
          <cell r="D3682">
            <v>211123</v>
          </cell>
          <cell r="E3682" t="str">
            <v>ΒΟΟΕΙΔΗ211123</v>
          </cell>
          <cell r="F3682" t="str">
            <v>ΒΟΟΕΙΔΗ, ΑΡΣΕΝΙΚΑ, &lt; 1 ΜΗΝΟΣ, ΚΡΕΟΠΑΡΑΓΩΓΗΣ, ΚΑΘΑΡΟΑΙΜΗ</v>
          </cell>
          <cell r="G3682" t="str">
            <v>C_2_1</v>
          </cell>
          <cell r="H3682" t="str">
            <v>Βοοειδή ηλικίας κάτω του ενός έτους, αρσενικά και θηλυκά</v>
          </cell>
          <cell r="I3682">
            <v>435</v>
          </cell>
          <cell r="O3682" t="str">
            <v/>
          </cell>
          <cell r="P3682">
            <v>21</v>
          </cell>
        </row>
        <row r="3683">
          <cell r="A3683">
            <v>3681</v>
          </cell>
          <cell r="B3683">
            <v>2</v>
          </cell>
          <cell r="C3683" t="str">
            <v>ΒΟΟΕΙΔΗ</v>
          </cell>
          <cell r="D3683">
            <v>211125</v>
          </cell>
          <cell r="E3683" t="str">
            <v>ΒΟΟΕΙΔΗ211125</v>
          </cell>
          <cell r="F3683" t="str">
            <v>ΒΟΟΕΙΔΗ, ΑΡΣΕΝΙΚΑ, &lt; 1 ΜΗΝΟΣ, ΚΡΕΟΠΑΡΑΓΩΓΗΣ, ΒΕΛΤΙΩΜΕΝΗ (&gt;550kg)</v>
          </cell>
          <cell r="G3683" t="str">
            <v>C_2_1</v>
          </cell>
          <cell r="H3683" t="str">
            <v>Βοοειδή ηλικίας κάτω του ενός έτους, αρσενικά και θηλυκά</v>
          </cell>
          <cell r="I3683">
            <v>435</v>
          </cell>
          <cell r="O3683" t="str">
            <v/>
          </cell>
          <cell r="P3683">
            <v>21</v>
          </cell>
        </row>
        <row r="3684">
          <cell r="A3684">
            <v>3682</v>
          </cell>
          <cell r="B3684">
            <v>2</v>
          </cell>
          <cell r="C3684" t="str">
            <v>ΒΟΟΕΙΔΗ</v>
          </cell>
          <cell r="D3684">
            <v>211126</v>
          </cell>
          <cell r="E3684" t="str">
            <v>ΒΟΟΕΙΔΗ211126</v>
          </cell>
          <cell r="F3684" t="str">
            <v>ΒΟΟΕΙΔΗ, ΑΡΣΕΝΙΚΑ, &lt; 1 ΜΗΝΟΣ, ΚΡΕΟΠΑΡΑΓΩΓΗΣ, ΛΟΙΠΗ (&lt;400kg)</v>
          </cell>
          <cell r="G3684" t="str">
            <v>C_2_1</v>
          </cell>
          <cell r="H3684" t="str">
            <v>Βοοειδή ηλικίας κάτω του ενός έτους, αρσενικά και θηλυκά</v>
          </cell>
          <cell r="I3684">
            <v>435</v>
          </cell>
          <cell r="O3684" t="str">
            <v/>
          </cell>
          <cell r="P3684">
            <v>11.6</v>
          </cell>
        </row>
        <row r="3685">
          <cell r="A3685">
            <v>3683</v>
          </cell>
          <cell r="B3685">
            <v>2</v>
          </cell>
          <cell r="C3685" t="str">
            <v>ΒΟΟΕΙΔΗ</v>
          </cell>
          <cell r="D3685">
            <v>211127</v>
          </cell>
          <cell r="E3685" t="str">
            <v>ΒΟΟΕΙΔΗ211127</v>
          </cell>
          <cell r="F3685" t="str">
            <v>ΒΟΟΕΙΔΗ, ΑΡΣΕΝΙΚΑ, &lt; 1 ΜΗΝΟΣ ΚΡΕΟΠΑΡΑΓΩΓΗΣ, ΛΟΙΠΗ (400 - 550kg)</v>
          </cell>
          <cell r="G3685" t="str">
            <v>C_2_1</v>
          </cell>
          <cell r="H3685" t="str">
            <v>Βοοειδή ηλικίας κάτω του ενός έτους, αρσενικά και θηλυκά</v>
          </cell>
          <cell r="I3685">
            <v>435</v>
          </cell>
          <cell r="O3685" t="str">
            <v/>
          </cell>
          <cell r="P3685">
            <v>11.6</v>
          </cell>
        </row>
        <row r="3686">
          <cell r="A3686">
            <v>3684</v>
          </cell>
          <cell r="B3686">
            <v>2</v>
          </cell>
          <cell r="C3686" t="str">
            <v>ΒΟΟΕΙΔΗ</v>
          </cell>
          <cell r="D3686">
            <v>211132</v>
          </cell>
          <cell r="E3686" t="str">
            <v>ΒΟΟΕΙΔΗ211132</v>
          </cell>
          <cell r="F3686" t="str">
            <v>ΒΟΟΕΙΔΗ, ΑΡΣΕΝΙΚΑ, &lt; 1 ΜΗΝΟΣ, ΜΙΚΤΗ, ΑΥΤΟΧΘΟΝΗ</v>
          </cell>
          <cell r="G3686" t="str">
            <v>C_2_1</v>
          </cell>
          <cell r="H3686" t="str">
            <v>Βοοειδή ηλικίας κάτω του ενός έτους, αρσενικά και θηλυκά</v>
          </cell>
          <cell r="I3686">
            <v>435</v>
          </cell>
          <cell r="O3686" t="str">
            <v/>
          </cell>
          <cell r="P3686">
            <v>21</v>
          </cell>
        </row>
        <row r="3687">
          <cell r="A3687">
            <v>3685</v>
          </cell>
          <cell r="B3687">
            <v>2</v>
          </cell>
          <cell r="C3687" t="str">
            <v>ΒΟΟΕΙΔΗ</v>
          </cell>
          <cell r="D3687">
            <v>211133</v>
          </cell>
          <cell r="E3687" t="str">
            <v>ΒΟΟΕΙΔΗ211133</v>
          </cell>
          <cell r="F3687" t="str">
            <v>ΒΟΟΕΙΔΗ, ΑΡΣΕΝΙΚΑ, &lt; 1 ΜΗΝΟΣ, ΜΙΚΤΗ, ΚΑΘΑΡΟΑΙΜΗ</v>
          </cell>
          <cell r="G3687" t="str">
            <v>C_2_1</v>
          </cell>
          <cell r="H3687" t="str">
            <v>Βοοειδή ηλικίας κάτω του ενός έτους, αρσενικά και θηλυκά</v>
          </cell>
          <cell r="I3687">
            <v>435</v>
          </cell>
          <cell r="O3687" t="str">
            <v/>
          </cell>
          <cell r="P3687">
            <v>21</v>
          </cell>
        </row>
        <row r="3688">
          <cell r="A3688">
            <v>3686</v>
          </cell>
          <cell r="B3688">
            <v>2</v>
          </cell>
          <cell r="C3688" t="str">
            <v>ΒΟΟΕΙΔΗ</v>
          </cell>
          <cell r="D3688">
            <v>211134</v>
          </cell>
          <cell r="E3688" t="str">
            <v>ΒΟΟΕΙΔΗ211134</v>
          </cell>
          <cell r="F3688" t="str">
            <v>ΒΟΟΕΙΔΗ, ΑΡΣΕΝΙΚΑ,&lt; 1 ΜΗΝΟΣ, ΜΙΚΤΗ, ΛΟΙΠΗ</v>
          </cell>
          <cell r="G3688" t="str">
            <v>C_2_1</v>
          </cell>
          <cell r="H3688" t="str">
            <v>Βοοειδή ηλικίας κάτω του ενός έτους, αρσενικά και θηλυκά</v>
          </cell>
          <cell r="I3688">
            <v>435</v>
          </cell>
          <cell r="O3688" t="str">
            <v/>
          </cell>
          <cell r="P3688">
            <v>21</v>
          </cell>
        </row>
        <row r="3689">
          <cell r="A3689">
            <v>3687</v>
          </cell>
          <cell r="B3689">
            <v>2</v>
          </cell>
          <cell r="C3689" t="str">
            <v>ΒΟΟΕΙΔΗ</v>
          </cell>
          <cell r="D3689">
            <v>211211</v>
          </cell>
          <cell r="E3689" t="str">
            <v>ΒΟΟΕΙΔΗ211211</v>
          </cell>
          <cell r="F3689" t="str">
            <v>ΒΟΟΕΙΔΗ, ΑΡΣΕΝΙΚΑ, 1 - 6 ΜΗΝΩΝ, ΓΑΛΑΚΤΟΠΑΡΑΓΩΓΗΣ, ΒΕΛΤΙΩΜΕΝΗ</v>
          </cell>
          <cell r="G3689" t="str">
            <v>C_2_1</v>
          </cell>
          <cell r="H3689" t="str">
            <v>Βοοειδή ηλικίας κάτω του ενός έτους, αρσενικά και θηλυκά</v>
          </cell>
          <cell r="I3689">
            <v>435</v>
          </cell>
          <cell r="O3689" t="str">
            <v/>
          </cell>
          <cell r="P3689">
            <v>24</v>
          </cell>
        </row>
        <row r="3690">
          <cell r="A3690">
            <v>3688</v>
          </cell>
          <cell r="B3690">
            <v>2</v>
          </cell>
          <cell r="C3690" t="str">
            <v>ΒΟΟΕΙΔΗ</v>
          </cell>
          <cell r="D3690">
            <v>211212</v>
          </cell>
          <cell r="E3690" t="str">
            <v>ΒΟΟΕΙΔΗ211212</v>
          </cell>
          <cell r="F3690" t="str">
            <v>ΒΟΟΕΙΔΗ, ΑΡΣΕΝΙΚΑ, 1 - 6 ΜΗΝΩΝ, ΓΑΛΑΚΤΟΠΑΡΑΓΩΓΉΣ, ΑΥΤΟΧΘΟΝΗ</v>
          </cell>
          <cell r="G3690" t="str">
            <v>C_2_1</v>
          </cell>
          <cell r="H3690" t="str">
            <v>Βοοειδή ηλικίας κάτω του ενός έτους, αρσενικά και θηλυκά</v>
          </cell>
          <cell r="I3690">
            <v>435</v>
          </cell>
          <cell r="O3690" t="str">
            <v/>
          </cell>
          <cell r="P3690">
            <v>24</v>
          </cell>
        </row>
        <row r="3691">
          <cell r="A3691">
            <v>3689</v>
          </cell>
          <cell r="B3691">
            <v>2</v>
          </cell>
          <cell r="C3691" t="str">
            <v>ΒΟΟΕΙΔΗ</v>
          </cell>
          <cell r="D3691">
            <v>211213</v>
          </cell>
          <cell r="E3691" t="str">
            <v>ΒΟΟΕΙΔΗ211213</v>
          </cell>
          <cell r="F3691" t="str">
            <v>ΒΟΟΕΙΔΗ, ΑΡΣΕΝΙΚΑ, 1 - 6 ΜΗΝΩΝ, ΓΑΛΑΚΤΟΠΑΡΑΓΩΓΉΣ, ΚΑΘΑΡΟΑΙΜΗ</v>
          </cell>
          <cell r="G3691" t="str">
            <v>C_2_1</v>
          </cell>
          <cell r="H3691" t="str">
            <v>Βοοειδή ηλικίας κάτω του ενός έτους, αρσενικά και θηλυκά</v>
          </cell>
          <cell r="I3691">
            <v>435</v>
          </cell>
          <cell r="O3691" t="str">
            <v/>
          </cell>
          <cell r="P3691">
            <v>24</v>
          </cell>
        </row>
        <row r="3692">
          <cell r="A3692">
            <v>3690</v>
          </cell>
          <cell r="B3692">
            <v>2</v>
          </cell>
          <cell r="C3692" t="str">
            <v>ΒΟΟΕΙΔΗ</v>
          </cell>
          <cell r="D3692">
            <v>211214</v>
          </cell>
          <cell r="E3692" t="str">
            <v>ΒΟΟΕΙΔΗ211214</v>
          </cell>
          <cell r="F3692" t="str">
            <v>ΒΟΟΕΙΔΗ, ΑΡΣΕΝΙΚΑ, 1 - 6 ΜΗΝΩΝ, ΓΑΛΑΚΤΟΠΑΡΑΓΩΓΉΣ, ΛΟΙΠΗ</v>
          </cell>
          <cell r="G3692" t="str">
            <v>C_2_1</v>
          </cell>
          <cell r="H3692" t="str">
            <v>Βοοειδή ηλικίας κάτω του ενός έτους, αρσενικά και θηλυκά</v>
          </cell>
          <cell r="I3692">
            <v>435</v>
          </cell>
          <cell r="O3692" t="str">
            <v/>
          </cell>
          <cell r="P3692">
            <v>24</v>
          </cell>
        </row>
        <row r="3693">
          <cell r="A3693">
            <v>3691</v>
          </cell>
          <cell r="B3693">
            <v>2</v>
          </cell>
          <cell r="C3693" t="str">
            <v>ΒΟΟΕΙΔΗ</v>
          </cell>
          <cell r="D3693">
            <v>211222</v>
          </cell>
          <cell r="E3693" t="str">
            <v>ΒΟΟΕΙΔΗ211222</v>
          </cell>
          <cell r="F3693" t="str">
            <v>ΒΟΟΕΙΔΗ, ΑΡΣΕΝΙΚΑ, 1 - 6 ΜΗΝΩΝ, ΚΡΕΟΠΑΡΑΓΩΓΗΣ, ΑΥΤΟΧΘΟΝΗ</v>
          </cell>
          <cell r="G3693" t="str">
            <v>C_2_1</v>
          </cell>
          <cell r="H3693" t="str">
            <v>Βοοειδή ηλικίας κάτω του ενός έτους, αρσενικά και θηλυκά</v>
          </cell>
          <cell r="I3693">
            <v>435</v>
          </cell>
          <cell r="O3693" t="str">
            <v/>
          </cell>
          <cell r="P3693">
            <v>11.6</v>
          </cell>
        </row>
        <row r="3694">
          <cell r="A3694">
            <v>3692</v>
          </cell>
          <cell r="B3694">
            <v>2</v>
          </cell>
          <cell r="C3694" t="str">
            <v>ΒΟΟΕΙΔΗ</v>
          </cell>
          <cell r="D3694">
            <v>211223</v>
          </cell>
          <cell r="E3694" t="str">
            <v>ΒΟΟΕΙΔΗ211223</v>
          </cell>
          <cell r="F3694" t="str">
            <v>ΒΟΟΕΙΔΗ, ΑΡΣΕΝΙΚΑ, 1 - 6 ΜΗΝΩΝ, ΚΡΕΟΠΑΡΑΓΩΓΗΣ, ΚΑΘΑΡΟΑΙΜΗ</v>
          </cell>
          <cell r="G3694" t="str">
            <v>C_2_1</v>
          </cell>
          <cell r="H3694" t="str">
            <v>Βοοειδή ηλικίας κάτω του ενός έτους, αρσενικά και θηλυκά</v>
          </cell>
          <cell r="I3694">
            <v>435</v>
          </cell>
          <cell r="O3694" t="str">
            <v/>
          </cell>
          <cell r="P3694">
            <v>21</v>
          </cell>
        </row>
        <row r="3695">
          <cell r="A3695">
            <v>3693</v>
          </cell>
          <cell r="B3695">
            <v>2</v>
          </cell>
          <cell r="C3695" t="str">
            <v>ΒΟΟΕΙΔΗ</v>
          </cell>
          <cell r="D3695">
            <v>211225</v>
          </cell>
          <cell r="E3695" t="str">
            <v>ΒΟΟΕΙΔΗ211225</v>
          </cell>
          <cell r="F3695" t="str">
            <v>ΒΟΟΕΙΔΗ, ΑΡΣΕΝΙΚΑ, 1 - 6 ΜΗΝΩΝ, ΚΡΕΟΠΑΡΑΓΩΓΗΣ, ΒΕΛΤΙΩΜΕΝΗ (&gt;550kg)</v>
          </cell>
          <cell r="G3695" t="str">
            <v>C_2_1</v>
          </cell>
          <cell r="H3695" t="str">
            <v>Βοοειδή ηλικίας κάτω του ενός έτους, αρσενικά και θηλυκά</v>
          </cell>
          <cell r="I3695">
            <v>435</v>
          </cell>
          <cell r="O3695" t="str">
            <v/>
          </cell>
          <cell r="P3695">
            <v>21</v>
          </cell>
        </row>
        <row r="3696">
          <cell r="A3696">
            <v>3694</v>
          </cell>
          <cell r="B3696">
            <v>2</v>
          </cell>
          <cell r="C3696" t="str">
            <v>ΒΟΟΕΙΔΗ</v>
          </cell>
          <cell r="D3696">
            <v>211226</v>
          </cell>
          <cell r="E3696" t="str">
            <v>ΒΟΟΕΙΔΗ211226</v>
          </cell>
          <cell r="F3696" t="str">
            <v>ΒΟΟΕΙΔΗ, ΑΡΣΕΝΙΚΑ, 1 - 6 ΜΗΝΩΝ, ΚΡΕΟΠΑΡΑΓΩΓΗΣ, ΛΟΙΠΗ (&lt;400kg)</v>
          </cell>
          <cell r="G3696" t="str">
            <v>C_2_1</v>
          </cell>
          <cell r="H3696" t="str">
            <v>Βοοειδή ηλικίας κάτω του ενός έτους, αρσενικά και θηλυκά</v>
          </cell>
          <cell r="I3696">
            <v>435</v>
          </cell>
          <cell r="O3696" t="str">
            <v/>
          </cell>
          <cell r="P3696">
            <v>11.6</v>
          </cell>
        </row>
        <row r="3697">
          <cell r="A3697">
            <v>3695</v>
          </cell>
          <cell r="B3697">
            <v>2</v>
          </cell>
          <cell r="C3697" t="str">
            <v>ΒΟΟΕΙΔΗ</v>
          </cell>
          <cell r="D3697">
            <v>211227</v>
          </cell>
          <cell r="E3697" t="str">
            <v>ΒΟΟΕΙΔΗ211227</v>
          </cell>
          <cell r="F3697" t="str">
            <v>ΒΟΟΕΙΔΗ, ΑΡΣΕΝΙΚΑ, 1 - 6 ΜΗΝΩΝ, ΚΡΕΟΠΑΡΑΓΩΓΗΣ, ΛΟΙΠΗ (400 - 550kg)</v>
          </cell>
          <cell r="G3697" t="str">
            <v>C_2_1</v>
          </cell>
          <cell r="H3697" t="str">
            <v>Βοοειδή ηλικίας κάτω του ενός έτους, αρσενικά και θηλυκά</v>
          </cell>
          <cell r="I3697">
            <v>435</v>
          </cell>
          <cell r="O3697" t="str">
            <v/>
          </cell>
          <cell r="P3697">
            <v>11.6</v>
          </cell>
        </row>
        <row r="3698">
          <cell r="A3698">
            <v>3696</v>
          </cell>
          <cell r="B3698">
            <v>2</v>
          </cell>
          <cell r="C3698" t="str">
            <v>ΒΟΟΕΙΔΗ</v>
          </cell>
          <cell r="D3698">
            <v>211232</v>
          </cell>
          <cell r="E3698" t="str">
            <v>ΒΟΟΕΙΔΗ211232</v>
          </cell>
          <cell r="F3698" t="str">
            <v>ΒΟΟΕΙΔΗ, ΑΡΣΕΝΙΚΑ, 1 - 6 ΜΗΝΩΝ, ΜΙΚΤΗ, ΑΥΤΟΧΘΟΝΗ</v>
          </cell>
          <cell r="G3698" t="str">
            <v>C_2_1</v>
          </cell>
          <cell r="H3698" t="str">
            <v>Βοοειδή ηλικίας κάτω του ενός έτους, αρσενικά και θηλυκά</v>
          </cell>
          <cell r="I3698">
            <v>435</v>
          </cell>
          <cell r="O3698" t="str">
            <v/>
          </cell>
          <cell r="P3698">
            <v>21</v>
          </cell>
        </row>
        <row r="3699">
          <cell r="A3699">
            <v>3697</v>
          </cell>
          <cell r="B3699">
            <v>2</v>
          </cell>
          <cell r="C3699" t="str">
            <v>ΒΟΟΕΙΔΗ</v>
          </cell>
          <cell r="D3699">
            <v>211233</v>
          </cell>
          <cell r="E3699" t="str">
            <v>ΒΟΟΕΙΔΗ211233</v>
          </cell>
          <cell r="F3699" t="str">
            <v>ΒΟΟΕΙΔΗ, ΑΡΣΕΝΙΚΑ, 1 - 6 ΜΗΝΩΝ, ΜΙΚΤΗ, ΚΑΘΑΡΟΑΙΜΗ</v>
          </cell>
          <cell r="G3699" t="str">
            <v>C_2_1</v>
          </cell>
          <cell r="H3699" t="str">
            <v>Βοοειδή ηλικίας κάτω του ενός έτους, αρσενικά και θηλυκά</v>
          </cell>
          <cell r="I3699">
            <v>435</v>
          </cell>
          <cell r="O3699" t="str">
            <v/>
          </cell>
          <cell r="P3699">
            <v>21</v>
          </cell>
        </row>
        <row r="3700">
          <cell r="A3700">
            <v>3698</v>
          </cell>
          <cell r="B3700">
            <v>2</v>
          </cell>
          <cell r="C3700" t="str">
            <v>ΒΟΟΕΙΔΗ</v>
          </cell>
          <cell r="D3700">
            <v>211234</v>
          </cell>
          <cell r="E3700" t="str">
            <v>ΒΟΟΕΙΔΗ211234</v>
          </cell>
          <cell r="F3700" t="str">
            <v>ΒΟΟΕΙΔΗ, ΑΡΣΕΝΙΚΑ, 1 - 6 ΜΗΝΩΝ, ΜΙΚΤΗ, ΛΟΙΠΗ</v>
          </cell>
          <cell r="G3700" t="str">
            <v>C_2_1</v>
          </cell>
          <cell r="H3700" t="str">
            <v>Βοοειδή ηλικίας κάτω του ενός έτους, αρσενικά και θηλυκά</v>
          </cell>
          <cell r="I3700">
            <v>435</v>
          </cell>
          <cell r="O3700" t="str">
            <v/>
          </cell>
          <cell r="P3700">
            <v>21</v>
          </cell>
        </row>
        <row r="3701">
          <cell r="A3701">
            <v>3699</v>
          </cell>
          <cell r="B3701">
            <v>2</v>
          </cell>
          <cell r="C3701" t="str">
            <v>ΒΟΟΕΙΔΗ</v>
          </cell>
          <cell r="D3701">
            <v>211511</v>
          </cell>
          <cell r="E3701" t="str">
            <v>ΒΟΟΕΙΔΗ211511</v>
          </cell>
          <cell r="F3701" t="str">
            <v>ΒΟΟΕΙΔΗ, ΑΡΣΕΝΙΚΑ, 6 - 24 ΜΗΝΩΝ, ΓΑΛΑΚΤΟΠΑΡΑΓΩΓΗΣ, ΒΕΛΤΙΩΜΕΝΗ</v>
          </cell>
          <cell r="G3701" t="str">
            <v>C_2_2</v>
          </cell>
          <cell r="H3701" t="str">
            <v xml:space="preserve">Αρσενικά βοοειδή ηλικίας ενός έτους και άνω αλλά κάτω των δύο ετών </v>
          </cell>
          <cell r="I3701">
            <v>880</v>
          </cell>
          <cell r="O3701" t="str">
            <v/>
          </cell>
          <cell r="P3701">
            <v>72</v>
          </cell>
        </row>
        <row r="3702">
          <cell r="A3702">
            <v>3700</v>
          </cell>
          <cell r="B3702">
            <v>2</v>
          </cell>
          <cell r="C3702" t="str">
            <v>ΒΟΟΕΙΔΗ</v>
          </cell>
          <cell r="D3702">
            <v>211512</v>
          </cell>
          <cell r="E3702" t="str">
            <v>ΒΟΟΕΙΔΗ211512</v>
          </cell>
          <cell r="F3702" t="str">
            <v>ΒΟΟΕΙΔΗ, ΑΡΣΕΝΙΚΑ, 6 - 24 ΜΗΝΩΝ, ΓΑΛΑΚΤΟΠΑΡΑΓΩΓΉΣ, ΑΥΤΟΧΘΟΝΗ</v>
          </cell>
          <cell r="G3702" t="str">
            <v>C_2_2</v>
          </cell>
          <cell r="H3702" t="str">
            <v xml:space="preserve">Αρσενικά βοοειδή ηλικίας ενός έτους και άνω αλλά κάτω των δύο ετών </v>
          </cell>
          <cell r="I3702">
            <v>880</v>
          </cell>
          <cell r="O3702" t="str">
            <v/>
          </cell>
          <cell r="P3702">
            <v>72</v>
          </cell>
        </row>
        <row r="3703">
          <cell r="A3703">
            <v>3701</v>
          </cell>
          <cell r="B3703">
            <v>2</v>
          </cell>
          <cell r="C3703" t="str">
            <v>ΒΟΟΕΙΔΗ</v>
          </cell>
          <cell r="D3703">
            <v>211513</v>
          </cell>
          <cell r="E3703" t="str">
            <v>ΒΟΟΕΙΔΗ211513</v>
          </cell>
          <cell r="F3703" t="str">
            <v>ΒΟΟΕΙΔΗ, ΑΡΣΕΝΙΚΑ, 6 - 24 ΜΗΝΩΝ, ΓΑΛΑΚΤΟΠΑΡΑΓΩΓΉΣ, ΚΑΘΑΡΟΑΙΜΗ</v>
          </cell>
          <cell r="G3703" t="str">
            <v>C_2_2</v>
          </cell>
          <cell r="H3703" t="str">
            <v xml:space="preserve">Αρσενικά βοοειδή ηλικίας ενός έτους και άνω αλλά κάτω των δύο ετών </v>
          </cell>
          <cell r="I3703">
            <v>880</v>
          </cell>
          <cell r="O3703" t="str">
            <v/>
          </cell>
          <cell r="P3703">
            <v>72</v>
          </cell>
        </row>
        <row r="3704">
          <cell r="A3704">
            <v>3702</v>
          </cell>
          <cell r="B3704">
            <v>2</v>
          </cell>
          <cell r="C3704" t="str">
            <v>ΒΟΟΕΙΔΗ</v>
          </cell>
          <cell r="D3704">
            <v>211514</v>
          </cell>
          <cell r="E3704" t="str">
            <v>ΒΟΟΕΙΔΗ211514</v>
          </cell>
          <cell r="F3704" t="str">
            <v>ΒΟΟΕΙΔΗ, ΑΡΣΕΝΙΚΑ, 6 - 24 ΜΗΝΩΝ, ΓΑΛΑΚΤΟΠΑΡΑΓΩΓΉΣ, ΛΟΙΠΗ</v>
          </cell>
          <cell r="G3704" t="str">
            <v>C_2_2</v>
          </cell>
          <cell r="H3704" t="str">
            <v xml:space="preserve">Αρσενικά βοοειδή ηλικίας ενός έτους και άνω αλλά κάτω των δύο ετών </v>
          </cell>
          <cell r="I3704">
            <v>880</v>
          </cell>
          <cell r="O3704" t="str">
            <v/>
          </cell>
          <cell r="P3704">
            <v>72</v>
          </cell>
        </row>
        <row r="3705">
          <cell r="A3705">
            <v>3703</v>
          </cell>
          <cell r="B3705">
            <v>2</v>
          </cell>
          <cell r="C3705" t="str">
            <v>ΒΟΟΕΙΔΗ</v>
          </cell>
          <cell r="D3705">
            <v>211522</v>
          </cell>
          <cell r="E3705" t="str">
            <v>ΒΟΟΕΙΔΗ211522</v>
          </cell>
          <cell r="F3705" t="str">
            <v>ΒΟΟΕΙΔΗ, ΑΡΣΕΝΙΚΑ, 6 - 24 ΜΗΝΩΝ, ΚΡΕΟΠΑΡΑΓΩΓΗΣ, ΑΥΤΟΧΘΟΝΗ</v>
          </cell>
          <cell r="G3705" t="str">
            <v>C_2_2</v>
          </cell>
          <cell r="H3705" t="str">
            <v xml:space="preserve">Αρσενικά βοοειδή ηλικίας ενός έτους και άνω αλλά κάτω των δύο ετών </v>
          </cell>
          <cell r="I3705">
            <v>880</v>
          </cell>
          <cell r="O3705" t="str">
            <v/>
          </cell>
          <cell r="P3705">
            <v>34.799999999999997</v>
          </cell>
        </row>
        <row r="3706">
          <cell r="A3706">
            <v>3704</v>
          </cell>
          <cell r="B3706">
            <v>2</v>
          </cell>
          <cell r="C3706" t="str">
            <v>ΒΟΟΕΙΔΗ</v>
          </cell>
          <cell r="D3706">
            <v>211523</v>
          </cell>
          <cell r="E3706" t="str">
            <v>ΒΟΟΕΙΔΗ211523</v>
          </cell>
          <cell r="F3706" t="str">
            <v>ΒΟΟΕΙΔΗ, ΑΡΣΕΝΙΚΑ, 6 - 24 ΜΗΝΩΝ, ΚΡΕΟΠΑΡΑΓΩΓΗΣ, ΚΑΘΑΡΟΑΙΜΗ</v>
          </cell>
          <cell r="G3706" t="str">
            <v>C_2_2</v>
          </cell>
          <cell r="H3706" t="str">
            <v xml:space="preserve">Αρσενικά βοοειδή ηλικίας ενός έτους και άνω αλλά κάτω των δύο ετών </v>
          </cell>
          <cell r="I3706">
            <v>880</v>
          </cell>
          <cell r="O3706" t="str">
            <v/>
          </cell>
          <cell r="P3706">
            <v>63</v>
          </cell>
        </row>
        <row r="3707">
          <cell r="A3707">
            <v>3705</v>
          </cell>
          <cell r="B3707">
            <v>2</v>
          </cell>
          <cell r="C3707" t="str">
            <v>ΒΟΟΕΙΔΗ</v>
          </cell>
          <cell r="D3707">
            <v>211525</v>
          </cell>
          <cell r="E3707" t="str">
            <v>ΒΟΟΕΙΔΗ211525</v>
          </cell>
          <cell r="F3707" t="str">
            <v>ΒΟΟΕΙΔΗ, ΑΡΣΕΝΙΚΑ, 6 - 24 ΜΗΝΩΝ, ΚΡΕΟΠΑΡΑΓΩΓΗΣ, ΒΕΛΤΙΩΜΕΝΗ (&gt;550kg)</v>
          </cell>
          <cell r="G3707" t="str">
            <v>C_2_2</v>
          </cell>
          <cell r="H3707" t="str">
            <v xml:space="preserve">Αρσενικά βοοειδή ηλικίας ενός έτους και άνω αλλά κάτω των δύο ετών </v>
          </cell>
          <cell r="I3707">
            <v>880</v>
          </cell>
          <cell r="O3707" t="str">
            <v/>
          </cell>
          <cell r="P3707">
            <v>63</v>
          </cell>
        </row>
        <row r="3708">
          <cell r="A3708">
            <v>3706</v>
          </cell>
          <cell r="B3708">
            <v>2</v>
          </cell>
          <cell r="C3708" t="str">
            <v>ΒΟΟΕΙΔΗ</v>
          </cell>
          <cell r="D3708">
            <v>211526</v>
          </cell>
          <cell r="E3708" t="str">
            <v>ΒΟΟΕΙΔΗ211526</v>
          </cell>
          <cell r="F3708" t="str">
            <v>ΒΟΟΕΙΔΗ, ΑΡΣΕΝΙΚΑ, 6 - 24 ΜΗΝΩΝ, ΚΡΕΟΠΑΡΑΓΩΓΗΣ, ΛΟΙΠΗ (&lt;400kg)</v>
          </cell>
          <cell r="G3708" t="str">
            <v>C_2_2</v>
          </cell>
          <cell r="H3708" t="str">
            <v xml:space="preserve">Αρσενικά βοοειδή ηλικίας ενός έτους και άνω αλλά κάτω των δύο ετών </v>
          </cell>
          <cell r="I3708">
            <v>880</v>
          </cell>
          <cell r="O3708" t="str">
            <v/>
          </cell>
          <cell r="P3708">
            <v>34.799999999999997</v>
          </cell>
        </row>
        <row r="3709">
          <cell r="A3709">
            <v>3707</v>
          </cell>
          <cell r="B3709">
            <v>2</v>
          </cell>
          <cell r="C3709" t="str">
            <v>ΒΟΟΕΙΔΗ</v>
          </cell>
          <cell r="D3709">
            <v>211527</v>
          </cell>
          <cell r="E3709" t="str">
            <v>ΒΟΟΕΙΔΗ211527</v>
          </cell>
          <cell r="F3709" t="str">
            <v>ΒΟΟΕΙΔΗ, ΑΡΣΕΝΙΚΑ, 6 - 24 ΜΗΝΩΝ, ΚΡΕΟΠΑΡΑΓΩΓΗΣ, ΛΟΙΠΗ (400 - 550kg)</v>
          </cell>
          <cell r="G3709" t="str">
            <v>C_2_2</v>
          </cell>
          <cell r="H3709" t="str">
            <v xml:space="preserve">Αρσενικά βοοειδή ηλικίας ενός έτους και άνω αλλά κάτω των δύο ετών </v>
          </cell>
          <cell r="I3709">
            <v>880</v>
          </cell>
          <cell r="O3709" t="str">
            <v/>
          </cell>
          <cell r="P3709">
            <v>34.799999999999997</v>
          </cell>
        </row>
        <row r="3710">
          <cell r="A3710">
            <v>3708</v>
          </cell>
          <cell r="B3710">
            <v>2</v>
          </cell>
          <cell r="C3710" t="str">
            <v>ΒΟΟΕΙΔΗ</v>
          </cell>
          <cell r="D3710">
            <v>211532</v>
          </cell>
          <cell r="E3710" t="str">
            <v>ΒΟΟΕΙΔΗ211532</v>
          </cell>
          <cell r="F3710" t="str">
            <v>ΒΟΟΕΙΔΗ, ΑΡΣΕΝΙΚΑ, 6 - 24 ΜΗΝΩΝ, ΜΙΚΤΗ, ΑΥΤΟΧΘΟΝΗ</v>
          </cell>
          <cell r="G3710" t="str">
            <v>C_2_2</v>
          </cell>
          <cell r="H3710" t="str">
            <v xml:space="preserve">Αρσενικά βοοειδή ηλικίας ενός έτους και άνω αλλά κάτω των δύο ετών </v>
          </cell>
          <cell r="I3710">
            <v>880</v>
          </cell>
          <cell r="O3710" t="str">
            <v/>
          </cell>
          <cell r="P3710">
            <v>63</v>
          </cell>
        </row>
        <row r="3711">
          <cell r="A3711">
            <v>3709</v>
          </cell>
          <cell r="B3711">
            <v>2</v>
          </cell>
          <cell r="C3711" t="str">
            <v>ΒΟΟΕΙΔΗ</v>
          </cell>
          <cell r="D3711">
            <v>211533</v>
          </cell>
          <cell r="E3711" t="str">
            <v>ΒΟΟΕΙΔΗ211533</v>
          </cell>
          <cell r="F3711" t="str">
            <v>ΒΟΟΕΙΔΗ, ΑΡΣΕΝΙΚΑ, 6 - 24 ΜΗΝΩΝ, ΜΙΚΤΗ, ΚΑΘΑΡΟΑΙΜΗ</v>
          </cell>
          <cell r="G3711" t="str">
            <v>C_2_2</v>
          </cell>
          <cell r="H3711" t="str">
            <v xml:space="preserve">Αρσενικά βοοειδή ηλικίας ενός έτους και άνω αλλά κάτω των δύο ετών </v>
          </cell>
          <cell r="I3711">
            <v>880</v>
          </cell>
          <cell r="O3711" t="str">
            <v/>
          </cell>
          <cell r="P3711">
            <v>63</v>
          </cell>
        </row>
        <row r="3712">
          <cell r="A3712">
            <v>3710</v>
          </cell>
          <cell r="B3712">
            <v>2</v>
          </cell>
          <cell r="C3712" t="str">
            <v>ΒΟΟΕΙΔΗ</v>
          </cell>
          <cell r="D3712">
            <v>211534</v>
          </cell>
          <cell r="E3712" t="str">
            <v>ΒΟΟΕΙΔΗ211534</v>
          </cell>
          <cell r="F3712" t="str">
            <v>ΒΟΟΕΙΔΗ, ΑΡΣΕΝΙΚΑ, 6 - 24 ΜΗΝΩΝ, ΜΙΚΤΗ, ΛΟΙΠΗ</v>
          </cell>
          <cell r="G3712" t="str">
            <v>C_2_2</v>
          </cell>
          <cell r="H3712" t="str">
            <v xml:space="preserve">Αρσενικά βοοειδή ηλικίας ενός έτους και άνω αλλά κάτω των δύο ετών </v>
          </cell>
          <cell r="I3712">
            <v>880</v>
          </cell>
          <cell r="O3712" t="str">
            <v/>
          </cell>
          <cell r="P3712">
            <v>63</v>
          </cell>
        </row>
        <row r="3713">
          <cell r="A3713">
            <v>3711</v>
          </cell>
          <cell r="B3713">
            <v>2</v>
          </cell>
          <cell r="C3713" t="str">
            <v>ΒΟΟΕΙΔΗ</v>
          </cell>
          <cell r="D3713">
            <v>211611</v>
          </cell>
          <cell r="E3713" t="str">
            <v>ΒΟΟΕΙΔΗ211611</v>
          </cell>
          <cell r="F3713" t="str">
            <v>ΒΟΟΕΙΔΗ, ΑΡΣΕΝΙΚΑ, 2 - 6 ΕΤΩΝ, ΓΑΛΑΚΤΟΠΑΡΑΓΩΓΗΣ, ΒΕΛΤΙΩΜΕΝΗ</v>
          </cell>
          <cell r="G3713" t="str">
            <v>C_2_4</v>
          </cell>
          <cell r="H3713" t="str">
            <v xml:space="preserve">Αρσενικά βοοειδή, ηλικίας δύο ετών και άνω </v>
          </cell>
          <cell r="I3713">
            <v>980</v>
          </cell>
          <cell r="O3713" t="str">
            <v/>
          </cell>
          <cell r="P3713">
            <v>120</v>
          </cell>
        </row>
        <row r="3714">
          <cell r="A3714">
            <v>3712</v>
          </cell>
          <cell r="B3714">
            <v>2</v>
          </cell>
          <cell r="C3714" t="str">
            <v>ΒΟΟΕΙΔΗ</v>
          </cell>
          <cell r="D3714">
            <v>211612</v>
          </cell>
          <cell r="E3714" t="str">
            <v>ΒΟΟΕΙΔΗ211612</v>
          </cell>
          <cell r="F3714" t="str">
            <v>ΒΟΟΕΙΔΗ, ΑΡΣΕΝΙΚΑ, 2 - 6 ΕΤΩΝ, ΓΑΛΑΚΤΟΠΑΡΑΓΩΓΉΣ, ΑΥΤΟΧΘΟΝΗ</v>
          </cell>
          <cell r="G3714" t="str">
            <v>C_2_4</v>
          </cell>
          <cell r="H3714" t="str">
            <v xml:space="preserve">Αρσενικά βοοειδή, ηλικίας δύο ετών και άνω </v>
          </cell>
          <cell r="I3714">
            <v>980</v>
          </cell>
          <cell r="O3714" t="str">
            <v/>
          </cell>
          <cell r="P3714">
            <v>120</v>
          </cell>
        </row>
        <row r="3715">
          <cell r="A3715">
            <v>3713</v>
          </cell>
          <cell r="B3715">
            <v>2</v>
          </cell>
          <cell r="C3715" t="str">
            <v>ΒΟΟΕΙΔΗ</v>
          </cell>
          <cell r="D3715">
            <v>211613</v>
          </cell>
          <cell r="E3715" t="str">
            <v>ΒΟΟΕΙΔΗ211613</v>
          </cell>
          <cell r="F3715" t="str">
            <v>ΒΟΟΕΙΔΗ, ΑΡΣΕΝΙΚΑ, 2 - 6 ΕΤΩΝ, ΓΑΛΑΚΤΟΠΑΡΑΓΩΓΉΣ, ΚΑΘΑΡΟΑΙΜΗ</v>
          </cell>
          <cell r="G3715" t="str">
            <v>C_2_4</v>
          </cell>
          <cell r="H3715" t="str">
            <v xml:space="preserve">Αρσενικά βοοειδή, ηλικίας δύο ετών και άνω </v>
          </cell>
          <cell r="I3715">
            <v>980</v>
          </cell>
          <cell r="O3715" t="str">
            <v/>
          </cell>
          <cell r="P3715">
            <v>120</v>
          </cell>
        </row>
        <row r="3716">
          <cell r="A3716">
            <v>3714</v>
          </cell>
          <cell r="B3716">
            <v>2</v>
          </cell>
          <cell r="C3716" t="str">
            <v>ΒΟΟΕΙΔΗ</v>
          </cell>
          <cell r="D3716">
            <v>211614</v>
          </cell>
          <cell r="E3716" t="str">
            <v>ΒΟΟΕΙΔΗ211614</v>
          </cell>
          <cell r="F3716" t="str">
            <v>ΒΟΟΕΙΔΗ, ΑΡΣΕΝΙΚΑ, 2 - 6 ΕΤΩΝ, ΓΑΛΑΚΤΟΠΑΡΑΓΩΓΉΣ, ΛΟΙΠΗ</v>
          </cell>
          <cell r="G3716" t="str">
            <v>C_2_4</v>
          </cell>
          <cell r="H3716" t="str">
            <v xml:space="preserve">Αρσενικά βοοειδή, ηλικίας δύο ετών και άνω </v>
          </cell>
          <cell r="I3716">
            <v>980</v>
          </cell>
          <cell r="O3716" t="str">
            <v/>
          </cell>
          <cell r="P3716">
            <v>120</v>
          </cell>
        </row>
        <row r="3717">
          <cell r="A3717">
            <v>3715</v>
          </cell>
          <cell r="B3717">
            <v>2</v>
          </cell>
          <cell r="C3717" t="str">
            <v>ΒΟΟΕΙΔΗ</v>
          </cell>
          <cell r="D3717">
            <v>211622</v>
          </cell>
          <cell r="E3717" t="str">
            <v>ΒΟΟΕΙΔΗ211622</v>
          </cell>
          <cell r="F3717" t="str">
            <v>ΒΟΟΕΙΔΗ, ΑΡΣΕΝΙΚΑ, 2 - 6 ΕΤΩΝ, ΚΡΕΟΠΑΡΑΓΩΓΗΣ, ΑΥΤΟΧΘΟΝΗ</v>
          </cell>
          <cell r="G3717" t="str">
            <v>C_2_4</v>
          </cell>
          <cell r="H3717" t="str">
            <v xml:space="preserve">Αρσενικά βοοειδή, ηλικίας δύο ετών και άνω </v>
          </cell>
          <cell r="I3717">
            <v>980</v>
          </cell>
          <cell r="O3717" t="str">
            <v/>
          </cell>
          <cell r="P3717">
            <v>58</v>
          </cell>
        </row>
        <row r="3718">
          <cell r="A3718">
            <v>3716</v>
          </cell>
          <cell r="B3718">
            <v>2</v>
          </cell>
          <cell r="C3718" t="str">
            <v>ΒΟΟΕΙΔΗ</v>
          </cell>
          <cell r="D3718">
            <v>211623</v>
          </cell>
          <cell r="E3718" t="str">
            <v>ΒΟΟΕΙΔΗ211623</v>
          </cell>
          <cell r="F3718" t="str">
            <v>ΒΟΟΕΙΔΗ, ΑΡΣΕΝΙΚΑ, 2 - 6 ΕΤΩΝ, ΚΡΕΟΠΑΡΑΓΩΓΗΣ, ΚΑΘΑΡΟΑΙΜΗ</v>
          </cell>
          <cell r="G3718" t="str">
            <v>C_2_4</v>
          </cell>
          <cell r="H3718" t="str">
            <v xml:space="preserve">Αρσενικά βοοειδή, ηλικίας δύο ετών και άνω </v>
          </cell>
          <cell r="I3718">
            <v>980</v>
          </cell>
          <cell r="O3718" t="str">
            <v/>
          </cell>
          <cell r="P3718">
            <v>105</v>
          </cell>
        </row>
        <row r="3719">
          <cell r="A3719">
            <v>3717</v>
          </cell>
          <cell r="B3719">
            <v>2</v>
          </cell>
          <cell r="C3719" t="str">
            <v>ΒΟΟΕΙΔΗ</v>
          </cell>
          <cell r="D3719">
            <v>211625</v>
          </cell>
          <cell r="E3719" t="str">
            <v>ΒΟΟΕΙΔΗ211625</v>
          </cell>
          <cell r="F3719" t="str">
            <v>ΒΟΟΕΙΔΗ, ΑΡΣΕΝΙΚΑ, 2 - 6 ΕΤΩΝ, ΚΡΕΟΠΑΡΑΓΩΓΗΣ, ΒΕΛΤΙΩΜΕΝΗ (&gt;550kg)</v>
          </cell>
          <cell r="G3719" t="str">
            <v>C_2_4</v>
          </cell>
          <cell r="H3719" t="str">
            <v xml:space="preserve">Αρσενικά βοοειδή, ηλικίας δύο ετών και άνω </v>
          </cell>
          <cell r="I3719">
            <v>980</v>
          </cell>
          <cell r="O3719" t="str">
            <v/>
          </cell>
          <cell r="P3719">
            <v>105</v>
          </cell>
        </row>
        <row r="3720">
          <cell r="A3720">
            <v>3718</v>
          </cell>
          <cell r="B3720">
            <v>2</v>
          </cell>
          <cell r="C3720" t="str">
            <v>ΒΟΟΕΙΔΗ</v>
          </cell>
          <cell r="D3720">
            <v>211626</v>
          </cell>
          <cell r="E3720" t="str">
            <v>ΒΟΟΕΙΔΗ211626</v>
          </cell>
          <cell r="F3720" t="str">
            <v>ΒΟΟΕΙΔΗ, ΑΡΣΕΝΙΚΑ, 2 - 6 ΕΤΩΝ, ΚΡΕΟΠΑΡΑΓΩΓΗΣ, ΛΟΙΠΗ (&lt;400kg)</v>
          </cell>
          <cell r="G3720" t="str">
            <v>C_2_4</v>
          </cell>
          <cell r="H3720" t="str">
            <v xml:space="preserve">Αρσενικά βοοειδή, ηλικίας δύο ετών και άνω </v>
          </cell>
          <cell r="I3720">
            <v>980</v>
          </cell>
          <cell r="O3720" t="str">
            <v/>
          </cell>
          <cell r="P3720">
            <v>58</v>
          </cell>
        </row>
        <row r="3721">
          <cell r="A3721">
            <v>3719</v>
          </cell>
          <cell r="B3721">
            <v>2</v>
          </cell>
          <cell r="C3721" t="str">
            <v>ΒΟΟΕΙΔΗ</v>
          </cell>
          <cell r="D3721">
            <v>211627</v>
          </cell>
          <cell r="E3721" t="str">
            <v>ΒΟΟΕΙΔΗ211627</v>
          </cell>
          <cell r="F3721" t="str">
            <v>ΒΟΟΕΙΔΗ, ΑΡΣΕΝΙΚΑ, 2 - 6 ΕΤΩΝ, ΚΡΕΟΠΑΡΑΓΩΓΗΣ, ΛΟΙΠΗ (400 - 550kg)</v>
          </cell>
          <cell r="G3721" t="str">
            <v>C_2_4</v>
          </cell>
          <cell r="H3721" t="str">
            <v xml:space="preserve">Αρσενικά βοοειδή, ηλικίας δύο ετών και άνω </v>
          </cell>
          <cell r="I3721">
            <v>980</v>
          </cell>
          <cell r="O3721" t="str">
            <v/>
          </cell>
          <cell r="P3721">
            <v>58</v>
          </cell>
        </row>
        <row r="3722">
          <cell r="A3722">
            <v>3720</v>
          </cell>
          <cell r="B3722">
            <v>2</v>
          </cell>
          <cell r="C3722" t="str">
            <v>ΒΟΟΕΙΔΗ</v>
          </cell>
          <cell r="D3722">
            <v>211632</v>
          </cell>
          <cell r="E3722" t="str">
            <v>ΒΟΟΕΙΔΗ211632</v>
          </cell>
          <cell r="F3722" t="str">
            <v>ΒΟΟΕΙΔΗ, ΑΡΣΕΝΙΚΑ, 2 - 6 ΕΤΩΝ, ΜΙΚΤΗ, ΑΥΤΟΧΘΟΝΗ</v>
          </cell>
          <cell r="G3722" t="str">
            <v>C_2_4</v>
          </cell>
          <cell r="H3722" t="str">
            <v xml:space="preserve">Αρσενικά βοοειδή, ηλικίας δύο ετών και άνω </v>
          </cell>
          <cell r="I3722">
            <v>980</v>
          </cell>
          <cell r="O3722" t="str">
            <v/>
          </cell>
          <cell r="P3722">
            <v>105</v>
          </cell>
        </row>
        <row r="3723">
          <cell r="A3723">
            <v>3721</v>
          </cell>
          <cell r="B3723">
            <v>2</v>
          </cell>
          <cell r="C3723" t="str">
            <v>ΒΟΟΕΙΔΗ</v>
          </cell>
          <cell r="D3723">
            <v>211633</v>
          </cell>
          <cell r="E3723" t="str">
            <v>ΒΟΟΕΙΔΗ211633</v>
          </cell>
          <cell r="F3723" t="str">
            <v>ΒΟΟΕΙΔΗ, ΑΡΣΕΝΙΚΑ, 2 - 6 ΕΤΩΝ, ΜΙΚΤΗ, ΚΑΘΑΡΟΑΙΜΗ</v>
          </cell>
          <cell r="G3723" t="str">
            <v>C_2_4</v>
          </cell>
          <cell r="H3723" t="str">
            <v xml:space="preserve">Αρσενικά βοοειδή, ηλικίας δύο ετών και άνω </v>
          </cell>
          <cell r="I3723">
            <v>980</v>
          </cell>
          <cell r="O3723" t="str">
            <v/>
          </cell>
          <cell r="P3723">
            <v>105</v>
          </cell>
        </row>
        <row r="3724">
          <cell r="A3724">
            <v>3722</v>
          </cell>
          <cell r="B3724">
            <v>2</v>
          </cell>
          <cell r="C3724" t="str">
            <v>ΒΟΟΕΙΔΗ</v>
          </cell>
          <cell r="D3724">
            <v>211634</v>
          </cell>
          <cell r="E3724" t="str">
            <v>ΒΟΟΕΙΔΗ211634</v>
          </cell>
          <cell r="F3724" t="str">
            <v>ΒΟΟΕΙΔΗ, ΑΡΣΕΝΙΚΑ, 2 - 6 ΕΤΩΝ, ΜΙΚΤΗ, ΛΟΙΠΗ</v>
          </cell>
          <cell r="G3724" t="str">
            <v>C_2_4</v>
          </cell>
          <cell r="H3724" t="str">
            <v xml:space="preserve">Αρσενικά βοοειδή, ηλικίας δύο ετών και άνω </v>
          </cell>
          <cell r="I3724">
            <v>980</v>
          </cell>
          <cell r="O3724" t="str">
            <v/>
          </cell>
          <cell r="P3724">
            <v>105</v>
          </cell>
        </row>
        <row r="3725">
          <cell r="A3725">
            <v>3723</v>
          </cell>
          <cell r="B3725">
            <v>2</v>
          </cell>
          <cell r="C3725" t="str">
            <v>ΒΟΟΕΙΔΗ</v>
          </cell>
          <cell r="D3725">
            <v>211711</v>
          </cell>
          <cell r="E3725" t="str">
            <v>ΒΟΟΕΙΔΗ211711</v>
          </cell>
          <cell r="F3725" t="str">
            <v>ΒΟΟΕΙΔΗ, ΑΡΣΕΝΙΚΑ, &gt; 6 ΕΤΩΝ, ΓΑΛΑΚΤΟΠΑΡΑΓΩΓΗΣ, ΒΕΛΤΙΩΜΕΝΗ</v>
          </cell>
          <cell r="G3725" t="str">
            <v>C_2_4</v>
          </cell>
          <cell r="H3725" t="str">
            <v xml:space="preserve">Αρσενικά βοοειδή, ηλικίας δύο ετών και άνω </v>
          </cell>
          <cell r="I3725">
            <v>980</v>
          </cell>
          <cell r="O3725" t="str">
            <v/>
          </cell>
          <cell r="P3725">
            <v>120</v>
          </cell>
        </row>
        <row r="3726">
          <cell r="A3726">
            <v>3724</v>
          </cell>
          <cell r="B3726">
            <v>2</v>
          </cell>
          <cell r="C3726" t="str">
            <v>ΒΟΟΕΙΔΗ</v>
          </cell>
          <cell r="D3726">
            <v>211712</v>
          </cell>
          <cell r="E3726" t="str">
            <v>ΒΟΟΕΙΔΗ211712</v>
          </cell>
          <cell r="F3726" t="str">
            <v>ΒΟΟΕΙΔΗ, ΑΡΣΕΝΙΚΑ, &gt; 6 ΕΤΩΝ, ΓΑΛΑΚΤΟΠΑΡΑΓΩΓΉΣ, ΑΥΤΟΧΘΟΝΗ</v>
          </cell>
          <cell r="G3726" t="str">
            <v>C_2_4</v>
          </cell>
          <cell r="H3726" t="str">
            <v xml:space="preserve">Αρσενικά βοοειδή, ηλικίας δύο ετών και άνω </v>
          </cell>
          <cell r="I3726">
            <v>980</v>
          </cell>
          <cell r="O3726" t="str">
            <v/>
          </cell>
          <cell r="P3726">
            <v>120</v>
          </cell>
        </row>
        <row r="3727">
          <cell r="A3727">
            <v>3725</v>
          </cell>
          <cell r="B3727">
            <v>2</v>
          </cell>
          <cell r="C3727" t="str">
            <v>ΒΟΟΕΙΔΗ</v>
          </cell>
          <cell r="D3727">
            <v>211713</v>
          </cell>
          <cell r="E3727" t="str">
            <v>ΒΟΟΕΙΔΗ211713</v>
          </cell>
          <cell r="F3727" t="str">
            <v>ΒΟΟΕΙΔΗ, ΑΡΣΕΝΙΚΑ, &gt; 6 ΕΤΩΝ, ΓΑΛΑΚΤΟΠΑΡΑΓΩΓΉΣ, ΚΑΘΑΡΟΑΙΜΗ</v>
          </cell>
          <cell r="G3727" t="str">
            <v>C_2_4</v>
          </cell>
          <cell r="H3727" t="str">
            <v xml:space="preserve">Αρσενικά βοοειδή, ηλικίας δύο ετών και άνω </v>
          </cell>
          <cell r="I3727">
            <v>980</v>
          </cell>
          <cell r="O3727" t="str">
            <v/>
          </cell>
          <cell r="P3727">
            <v>120</v>
          </cell>
        </row>
        <row r="3728">
          <cell r="A3728">
            <v>3726</v>
          </cell>
          <cell r="B3728">
            <v>2</v>
          </cell>
          <cell r="C3728" t="str">
            <v>ΒΟΟΕΙΔΗ</v>
          </cell>
          <cell r="D3728">
            <v>211714</v>
          </cell>
          <cell r="E3728" t="str">
            <v>ΒΟΟΕΙΔΗ211714</v>
          </cell>
          <cell r="F3728" t="str">
            <v>ΒΟΟΕΙΔΗ, ΑΡΣΕΝΙΚΑ, &gt; 6 ΕΤΩΝ, ΓΑΛΑΚΤΟΠΑΡΑΓΩΓΉΣ, ΛΟΙΠΗ</v>
          </cell>
          <cell r="G3728" t="str">
            <v>C_2_4</v>
          </cell>
          <cell r="H3728" t="str">
            <v xml:space="preserve">Αρσενικά βοοειδή, ηλικίας δύο ετών και άνω </v>
          </cell>
          <cell r="I3728">
            <v>980</v>
          </cell>
          <cell r="O3728" t="str">
            <v/>
          </cell>
          <cell r="P3728">
            <v>120</v>
          </cell>
        </row>
        <row r="3729">
          <cell r="A3729">
            <v>3727</v>
          </cell>
          <cell r="B3729">
            <v>2</v>
          </cell>
          <cell r="C3729" t="str">
            <v>ΒΟΟΕΙΔΗ</v>
          </cell>
          <cell r="D3729">
            <v>211722</v>
          </cell>
          <cell r="E3729" t="str">
            <v>ΒΟΟΕΙΔΗ211722</v>
          </cell>
          <cell r="F3729" t="str">
            <v>ΒΟΟΕΙΔΗ, ΑΡΣΕΝΙΚΑ, &gt; 6 ΕΤΩΝ, ΚΡΕΟΠΑΡΑΓΩΓΗΣ, ΑΥΤΟΧΘΟΝΗ</v>
          </cell>
          <cell r="G3729" t="str">
            <v>C_2_4</v>
          </cell>
          <cell r="H3729" t="str">
            <v xml:space="preserve">Αρσενικά βοοειδή, ηλικίας δύο ετών και άνω </v>
          </cell>
          <cell r="I3729">
            <v>980</v>
          </cell>
          <cell r="O3729" t="str">
            <v/>
          </cell>
          <cell r="P3729">
            <v>58</v>
          </cell>
        </row>
        <row r="3730">
          <cell r="A3730">
            <v>3728</v>
          </cell>
          <cell r="B3730">
            <v>2</v>
          </cell>
          <cell r="C3730" t="str">
            <v>ΒΟΟΕΙΔΗ</v>
          </cell>
          <cell r="D3730">
            <v>211723</v>
          </cell>
          <cell r="E3730" t="str">
            <v>ΒΟΟΕΙΔΗ211723</v>
          </cell>
          <cell r="F3730" t="str">
            <v>ΒΟΟΕΙΔΗ, ΑΡΣΕΝΙΚΑ, &gt; 6 ΕΤΩΝ, ΚΡΕΟΠΑΡΑΓΩΓΗΣ, ΚΑΘΑΡΟΑΙΜΗ</v>
          </cell>
          <cell r="G3730" t="str">
            <v>C_2_4</v>
          </cell>
          <cell r="H3730" t="str">
            <v xml:space="preserve">Αρσενικά βοοειδή, ηλικίας δύο ετών και άνω </v>
          </cell>
          <cell r="I3730">
            <v>980</v>
          </cell>
          <cell r="O3730" t="str">
            <v/>
          </cell>
          <cell r="P3730">
            <v>105</v>
          </cell>
        </row>
        <row r="3731">
          <cell r="A3731">
            <v>3729</v>
          </cell>
          <cell r="B3731">
            <v>2</v>
          </cell>
          <cell r="C3731" t="str">
            <v>ΒΟΟΕΙΔΗ</v>
          </cell>
          <cell r="D3731">
            <v>211725</v>
          </cell>
          <cell r="E3731" t="str">
            <v>ΒΟΟΕΙΔΗ211725</v>
          </cell>
          <cell r="F3731" t="str">
            <v>ΒΟΟΕΙΔΗ, ΑΡΣΕΝΙΚΑ, &gt; 6 ΕΤΩΝ, ΚΡΕΟΠΑΡΑΓΩΓΗΣ, ΒΕΛΤΙΩΜΕΝΗ (&gt;550kg)</v>
          </cell>
          <cell r="G3731" t="str">
            <v>C_2_4</v>
          </cell>
          <cell r="H3731" t="str">
            <v xml:space="preserve">Αρσενικά βοοειδή, ηλικίας δύο ετών και άνω </v>
          </cell>
          <cell r="I3731">
            <v>980</v>
          </cell>
          <cell r="O3731" t="str">
            <v/>
          </cell>
          <cell r="P3731">
            <v>105</v>
          </cell>
        </row>
        <row r="3732">
          <cell r="A3732">
            <v>3730</v>
          </cell>
          <cell r="B3732">
            <v>2</v>
          </cell>
          <cell r="C3732" t="str">
            <v>ΒΟΟΕΙΔΗ</v>
          </cell>
          <cell r="D3732">
            <v>211726</v>
          </cell>
          <cell r="E3732" t="str">
            <v>ΒΟΟΕΙΔΗ211726</v>
          </cell>
          <cell r="F3732" t="str">
            <v>ΒΟΟΕΙΔΗ, ΑΡΣΕΝΙΚΑ, &gt; 6 ΕΤΩΝ, ΚΡΕΟΠΑΡΑΓΩΓΗΣ, ΛΟΙΠΗ (&lt;400kg)</v>
          </cell>
          <cell r="G3732" t="str">
            <v>C_2_4</v>
          </cell>
          <cell r="H3732" t="str">
            <v xml:space="preserve">Αρσενικά βοοειδή, ηλικίας δύο ετών και άνω </v>
          </cell>
          <cell r="I3732">
            <v>980</v>
          </cell>
          <cell r="O3732" t="str">
            <v/>
          </cell>
          <cell r="P3732">
            <v>58</v>
          </cell>
        </row>
        <row r="3733">
          <cell r="A3733">
            <v>3731</v>
          </cell>
          <cell r="B3733">
            <v>2</v>
          </cell>
          <cell r="C3733" t="str">
            <v>ΒΟΟΕΙΔΗ</v>
          </cell>
          <cell r="D3733">
            <v>211727</v>
          </cell>
          <cell r="E3733" t="str">
            <v>ΒΟΟΕΙΔΗ211727</v>
          </cell>
          <cell r="F3733" t="str">
            <v>ΒΟΟΕΙΔΗ, ΑΡΣΕΝΙΚΑ, &gt; 6 ΕΤΩΝ, ΚΡΕΟΠΑΡΑΓΩΓΗΣ, ΛΟΙΠΗ (400 - 550kg)</v>
          </cell>
          <cell r="G3733" t="str">
            <v>C_2_4</v>
          </cell>
          <cell r="H3733" t="str">
            <v xml:space="preserve">Αρσενικά βοοειδή, ηλικίας δύο ετών και άνω </v>
          </cell>
          <cell r="I3733">
            <v>980</v>
          </cell>
          <cell r="O3733" t="str">
            <v/>
          </cell>
          <cell r="P3733">
            <v>58</v>
          </cell>
        </row>
        <row r="3734">
          <cell r="A3734">
            <v>3732</v>
          </cell>
          <cell r="B3734">
            <v>2</v>
          </cell>
          <cell r="C3734" t="str">
            <v>ΒΟΟΕΙΔΗ</v>
          </cell>
          <cell r="D3734">
            <v>211732</v>
          </cell>
          <cell r="E3734" t="str">
            <v>ΒΟΟΕΙΔΗ211732</v>
          </cell>
          <cell r="F3734" t="str">
            <v>ΒΟΟΕΙΔΗ, ΑΡΣΕΝΙΚΑ, &gt; 6 ΕΤΩΝ, ΜΙΚΤΗ, ΑΥΤΟΧΘΟΝΗ</v>
          </cell>
          <cell r="G3734" t="str">
            <v>C_2_4</v>
          </cell>
          <cell r="H3734" t="str">
            <v xml:space="preserve">Αρσενικά βοοειδή, ηλικίας δύο ετών και άνω </v>
          </cell>
          <cell r="I3734">
            <v>980</v>
          </cell>
          <cell r="O3734" t="str">
            <v/>
          </cell>
          <cell r="P3734">
            <v>105</v>
          </cell>
        </row>
        <row r="3735">
          <cell r="A3735">
            <v>3733</v>
          </cell>
          <cell r="B3735">
            <v>2</v>
          </cell>
          <cell r="C3735" t="str">
            <v>ΒΟΟΕΙΔΗ</v>
          </cell>
          <cell r="D3735">
            <v>211733</v>
          </cell>
          <cell r="E3735" t="str">
            <v>ΒΟΟΕΙΔΗ211733</v>
          </cell>
          <cell r="F3735" t="str">
            <v>ΒΟΟΕΙΔΗ, ΑΡΣΕΝΙΚΑ, &gt; 6 ΕΤΩΝ, ΜΙΚΤΗ, ΚΑΘΑΡΟΑΙΜΗ</v>
          </cell>
          <cell r="G3735" t="str">
            <v>C_2_4</v>
          </cell>
          <cell r="H3735" t="str">
            <v xml:space="preserve">Αρσενικά βοοειδή, ηλικίας δύο ετών και άνω </v>
          </cell>
          <cell r="I3735">
            <v>980</v>
          </cell>
          <cell r="O3735" t="str">
            <v/>
          </cell>
          <cell r="P3735">
            <v>105</v>
          </cell>
        </row>
        <row r="3736">
          <cell r="A3736">
            <v>3734</v>
          </cell>
          <cell r="B3736">
            <v>2</v>
          </cell>
          <cell r="C3736" t="str">
            <v>ΒΟΟΕΙΔΗ</v>
          </cell>
          <cell r="D3736">
            <v>211734</v>
          </cell>
          <cell r="E3736" t="str">
            <v>ΒΟΟΕΙΔΗ211734</v>
          </cell>
          <cell r="F3736" t="str">
            <v>ΒΟΟΕΙΔΗ, ΑΡΣΕΝΙΚΑ, &gt; 6 ΕΤΩΝ, ΜΙΚΤΗ, ΛΟΙΠΗ</v>
          </cell>
          <cell r="G3736" t="str">
            <v>C_2_4</v>
          </cell>
          <cell r="H3736" t="str">
            <v xml:space="preserve">Αρσενικά βοοειδή, ηλικίας δύο ετών και άνω </v>
          </cell>
          <cell r="I3736">
            <v>980</v>
          </cell>
          <cell r="O3736" t="str">
            <v/>
          </cell>
          <cell r="P3736">
            <v>105</v>
          </cell>
        </row>
        <row r="3737">
          <cell r="A3737">
            <v>3735</v>
          </cell>
          <cell r="B3737">
            <v>2</v>
          </cell>
          <cell r="C3737" t="str">
            <v>ΒΟΟΕΙΔΗ</v>
          </cell>
          <cell r="D3737">
            <v>212111</v>
          </cell>
          <cell r="E3737" t="str">
            <v>ΒΟΟΕΙΔΗ212111</v>
          </cell>
          <cell r="F3737" t="str">
            <v>ΒΟΟΕΙΔΗ, ΘΗΛΥΚΑ, &lt; 1 ΜΗΝΟΣ, ΓΑΛΑΚΤΟΠΑΡΑΓΩΓΉΣ, ΒΕΛΤΙΩΜΕΝΗ</v>
          </cell>
          <cell r="G3737" t="str">
            <v>C_2_1</v>
          </cell>
          <cell r="H3737" t="str">
            <v>Βοοειδή ηλικίας κάτω του ενός έτους, αρσενικά και θηλυκά</v>
          </cell>
          <cell r="I3737">
            <v>435</v>
          </cell>
          <cell r="O3737" t="str">
            <v/>
          </cell>
          <cell r="P3737">
            <v>24</v>
          </cell>
        </row>
        <row r="3738">
          <cell r="A3738">
            <v>3736</v>
          </cell>
          <cell r="B3738">
            <v>2</v>
          </cell>
          <cell r="C3738" t="str">
            <v>ΒΟΟΕΙΔΗ</v>
          </cell>
          <cell r="D3738">
            <v>212112</v>
          </cell>
          <cell r="E3738" t="str">
            <v>ΒΟΟΕΙΔΗ212112</v>
          </cell>
          <cell r="F3738" t="str">
            <v>ΒΟΟΕΙΔΗ, ΘΗΛΥΚΑ, &lt; 1 ΜΗΝΟΣ, ΓΑΛΑΚΤΟΠΑΡΑΓΩΓΉΣ, ΑΥΤΟΧΘΟΝΗ</v>
          </cell>
          <cell r="G3738" t="str">
            <v>C_2_1</v>
          </cell>
          <cell r="H3738" t="str">
            <v>Βοοειδή ηλικίας κάτω του ενός έτους, αρσενικά και θηλυκά</v>
          </cell>
          <cell r="I3738">
            <v>435</v>
          </cell>
          <cell r="O3738" t="str">
            <v/>
          </cell>
          <cell r="P3738">
            <v>24</v>
          </cell>
        </row>
        <row r="3739">
          <cell r="A3739">
            <v>3737</v>
          </cell>
          <cell r="B3739">
            <v>2</v>
          </cell>
          <cell r="C3739" t="str">
            <v>ΒΟΟΕΙΔΗ</v>
          </cell>
          <cell r="D3739">
            <v>212113</v>
          </cell>
          <cell r="E3739" t="str">
            <v>ΒΟΟΕΙΔΗ212113</v>
          </cell>
          <cell r="F3739" t="str">
            <v>ΒΟΟΕΙΔΗ, ΘΗΛΥΚΑ, &lt; 1 ΜΗΝΟΣ, ΓΑΛΑΚΤΟΠΑΡΑΓΩΓΉΣ, ΚΑΘΑΡΟΑΙΜΗ</v>
          </cell>
          <cell r="G3739" t="str">
            <v>C_2_1</v>
          </cell>
          <cell r="H3739" t="str">
            <v>Βοοειδή ηλικίας κάτω του ενός έτους, αρσενικά και θηλυκά</v>
          </cell>
          <cell r="I3739">
            <v>435</v>
          </cell>
          <cell r="O3739" t="str">
            <v/>
          </cell>
          <cell r="P3739">
            <v>24</v>
          </cell>
        </row>
        <row r="3740">
          <cell r="A3740">
            <v>3738</v>
          </cell>
          <cell r="B3740">
            <v>2</v>
          </cell>
          <cell r="C3740" t="str">
            <v>ΒΟΟΕΙΔΗ</v>
          </cell>
          <cell r="D3740">
            <v>212114</v>
          </cell>
          <cell r="E3740" t="str">
            <v>ΒΟΟΕΙΔΗ212114</v>
          </cell>
          <cell r="F3740" t="str">
            <v>ΒΟΟΕΙΔΗ, ΘΗΛΥΚΑ, &lt; 1 ΜΗΝΟΣ, ΓΑΛΑΚΤΟΠΑΡΑΓΩΓΉΣ, ΛΟΙΠΗ</v>
          </cell>
          <cell r="G3740" t="str">
            <v>C_2_1</v>
          </cell>
          <cell r="H3740" t="str">
            <v>Βοοειδή ηλικίας κάτω του ενός έτους, αρσενικά και θηλυκά</v>
          </cell>
          <cell r="I3740">
            <v>435</v>
          </cell>
          <cell r="O3740" t="str">
            <v/>
          </cell>
          <cell r="P3740">
            <v>24</v>
          </cell>
        </row>
        <row r="3741">
          <cell r="A3741">
            <v>3739</v>
          </cell>
          <cell r="B3741">
            <v>2</v>
          </cell>
          <cell r="C3741" t="str">
            <v>ΒΟΟΕΙΔΗ</v>
          </cell>
          <cell r="D3741">
            <v>212122</v>
          </cell>
          <cell r="E3741" t="str">
            <v>ΒΟΟΕΙΔΗ212122</v>
          </cell>
          <cell r="F3741" t="str">
            <v>ΒΟΟΕΙΔΗ, ΘΗΛΥΚΑ, &lt; 1 ΜΗΝΟΣ, ΚΡΕΟΠΑΡΑΓΩΓΗΣ, ΑΥΤΟΧΘΟΝΗ</v>
          </cell>
          <cell r="G3741" t="str">
            <v>C_2_1</v>
          </cell>
          <cell r="H3741" t="str">
            <v>Βοοειδή ηλικίας κάτω του ενός έτους, αρσενικά και θηλυκά</v>
          </cell>
          <cell r="I3741">
            <v>435</v>
          </cell>
          <cell r="O3741" t="str">
            <v/>
          </cell>
          <cell r="P3741">
            <v>11.6</v>
          </cell>
        </row>
        <row r="3742">
          <cell r="A3742">
            <v>3740</v>
          </cell>
          <cell r="B3742">
            <v>2</v>
          </cell>
          <cell r="C3742" t="str">
            <v>ΒΟΟΕΙΔΗ</v>
          </cell>
          <cell r="D3742">
            <v>212123</v>
          </cell>
          <cell r="E3742" t="str">
            <v>ΒΟΟΕΙΔΗ212123</v>
          </cell>
          <cell r="F3742" t="str">
            <v>ΒΟΟΕΙΔΗ, ΘΗΛΥΚΑ, &lt; 1 ΜΗΝΟΣ, ΚΡΕΟΠΑΡΑΓΩΓΗΣ, ΚΑΘΑΡΟΑΙΜΗ</v>
          </cell>
          <cell r="G3742" t="str">
            <v>C_2_1</v>
          </cell>
          <cell r="H3742" t="str">
            <v>Βοοειδή ηλικίας κάτω του ενός έτους, αρσενικά και θηλυκά</v>
          </cell>
          <cell r="I3742">
            <v>435</v>
          </cell>
          <cell r="O3742" t="str">
            <v/>
          </cell>
          <cell r="P3742">
            <v>21</v>
          </cell>
        </row>
        <row r="3743">
          <cell r="A3743">
            <v>3741</v>
          </cell>
          <cell r="B3743">
            <v>2</v>
          </cell>
          <cell r="C3743" t="str">
            <v>ΒΟΟΕΙΔΗ</v>
          </cell>
          <cell r="D3743">
            <v>212125</v>
          </cell>
          <cell r="E3743" t="str">
            <v>ΒΟΟΕΙΔΗ212125</v>
          </cell>
          <cell r="F3743" t="str">
            <v>ΒΟΟΕΙΔΗ, ΘΗΛΥΚΑ,  &lt; 1 ΜΗΝΟΣ, ΚΡΕΟΠΑΡΑΓΩΓΗΣ, ΒΕΛΤΙΩΜΕΝΗ (&gt;550kg)</v>
          </cell>
          <cell r="G3743" t="str">
            <v>C_2_1</v>
          </cell>
          <cell r="H3743" t="str">
            <v>Βοοειδή ηλικίας κάτω του ενός έτους, αρσενικά και θηλυκά</v>
          </cell>
          <cell r="I3743">
            <v>435</v>
          </cell>
          <cell r="O3743" t="str">
            <v/>
          </cell>
          <cell r="P3743">
            <v>21</v>
          </cell>
        </row>
        <row r="3744">
          <cell r="A3744">
            <v>3742</v>
          </cell>
          <cell r="B3744">
            <v>2</v>
          </cell>
          <cell r="C3744" t="str">
            <v>ΒΟΟΕΙΔΗ</v>
          </cell>
          <cell r="D3744">
            <v>212126</v>
          </cell>
          <cell r="E3744" t="str">
            <v>ΒΟΟΕΙΔΗ212126</v>
          </cell>
          <cell r="F3744" t="str">
            <v>ΒΟΟΕΙΔΗ, ΘΗΛΥΚΑ, &lt; 1 ΜΗΝΟΣ, ΚΡΕΟΠΑΡΑΓΩΓΗΣ, ΛΟΙΠΗ (&lt;400kg)</v>
          </cell>
          <cell r="G3744" t="str">
            <v>C_2_1</v>
          </cell>
          <cell r="H3744" t="str">
            <v>Βοοειδή ηλικίας κάτω του ενός έτους, αρσενικά και θηλυκά</v>
          </cell>
          <cell r="I3744">
            <v>435</v>
          </cell>
          <cell r="O3744" t="str">
            <v/>
          </cell>
          <cell r="P3744">
            <v>11.6</v>
          </cell>
        </row>
        <row r="3745">
          <cell r="A3745">
            <v>3743</v>
          </cell>
          <cell r="B3745">
            <v>2</v>
          </cell>
          <cell r="C3745" t="str">
            <v>ΒΟΟΕΙΔΗ</v>
          </cell>
          <cell r="D3745">
            <v>212127</v>
          </cell>
          <cell r="E3745" t="str">
            <v>ΒΟΟΕΙΔΗ212127</v>
          </cell>
          <cell r="F3745" t="str">
            <v>ΒΟΟΕΙΔΗ, ΘΗΛΥΚΑ, &lt; 1 ΜΗΝΟΣ, ΚΡΕΟΠΑΡΑΓΩΓΗΣ, ΛΟΙΠΗ (400 - 550kg)</v>
          </cell>
          <cell r="G3745" t="str">
            <v>C_2_1</v>
          </cell>
          <cell r="H3745" t="str">
            <v>Βοοειδή ηλικίας κάτω του ενός έτους, αρσενικά και θηλυκά</v>
          </cell>
          <cell r="I3745">
            <v>435</v>
          </cell>
          <cell r="O3745" t="str">
            <v/>
          </cell>
          <cell r="P3745">
            <v>11.6</v>
          </cell>
        </row>
        <row r="3746">
          <cell r="A3746">
            <v>3744</v>
          </cell>
          <cell r="B3746">
            <v>2</v>
          </cell>
          <cell r="C3746" t="str">
            <v>ΒΟΟΕΙΔΗ</v>
          </cell>
          <cell r="D3746">
            <v>212132</v>
          </cell>
          <cell r="E3746" t="str">
            <v>ΒΟΟΕΙΔΗ212132</v>
          </cell>
          <cell r="F3746" t="str">
            <v>ΒΟΟΕΙΔΗ, ΘΗΛΥΚΑ, &lt; 1 ΜΗΝΟΣ, ΜΙΚΤΗ, ΑΥΤΟΧΘΟΝΗ</v>
          </cell>
          <cell r="G3746" t="str">
            <v>C_2_1</v>
          </cell>
          <cell r="H3746" t="str">
            <v>Βοοειδή ηλικίας κάτω του ενός έτους, αρσενικά και θηλυκά</v>
          </cell>
          <cell r="I3746">
            <v>435</v>
          </cell>
          <cell r="O3746" t="str">
            <v/>
          </cell>
          <cell r="P3746">
            <v>21</v>
          </cell>
        </row>
        <row r="3747">
          <cell r="A3747">
            <v>3745</v>
          </cell>
          <cell r="B3747">
            <v>2</v>
          </cell>
          <cell r="C3747" t="str">
            <v>ΒΟΟΕΙΔΗ</v>
          </cell>
          <cell r="D3747">
            <v>212133</v>
          </cell>
          <cell r="E3747" t="str">
            <v>ΒΟΟΕΙΔΗ212133</v>
          </cell>
          <cell r="F3747" t="str">
            <v>ΒΟΟΕΙΔΗ, ΘΗΛΥΚΑ, &lt; 1 ΜΗΝΟΣ, ΜΙΚΤΗ, ΚΑΘΑΡΟΑΙΜΗ</v>
          </cell>
          <cell r="G3747" t="str">
            <v>C_2_1</v>
          </cell>
          <cell r="H3747" t="str">
            <v>Βοοειδή ηλικίας κάτω του ενός έτους, αρσενικά και θηλυκά</v>
          </cell>
          <cell r="I3747">
            <v>435</v>
          </cell>
          <cell r="O3747" t="str">
            <v/>
          </cell>
          <cell r="P3747">
            <v>21</v>
          </cell>
        </row>
        <row r="3748">
          <cell r="A3748">
            <v>3746</v>
          </cell>
          <cell r="B3748">
            <v>2</v>
          </cell>
          <cell r="C3748" t="str">
            <v>ΒΟΟΕΙΔΗ</v>
          </cell>
          <cell r="D3748">
            <v>212134</v>
          </cell>
          <cell r="E3748" t="str">
            <v>ΒΟΟΕΙΔΗ212134</v>
          </cell>
          <cell r="F3748" t="str">
            <v>ΒΟΟΕΙΔΗ, ΘΗΛΥΚΑ, &lt; 1 ΜΗΝΟΣ, ΜΙΚΤΗ, ΛΟΙΠΗ</v>
          </cell>
          <cell r="G3748" t="str">
            <v>C_2_1</v>
          </cell>
          <cell r="H3748" t="str">
            <v>Βοοειδή ηλικίας κάτω του ενός έτους, αρσενικά και θηλυκά</v>
          </cell>
          <cell r="I3748">
            <v>435</v>
          </cell>
          <cell r="O3748" t="str">
            <v/>
          </cell>
          <cell r="P3748">
            <v>21</v>
          </cell>
        </row>
        <row r="3749">
          <cell r="A3749">
            <v>3747</v>
          </cell>
          <cell r="B3749">
            <v>2</v>
          </cell>
          <cell r="C3749" t="str">
            <v>ΒΟΟΕΙΔΗ</v>
          </cell>
          <cell r="D3749">
            <v>212211</v>
          </cell>
          <cell r="E3749" t="str">
            <v>ΒΟΟΕΙΔΗ212211</v>
          </cell>
          <cell r="F3749" t="str">
            <v>ΒΟΟΕΙΔΗ, ΘΗΛΥΚΑ, 1 - 6 ΜΗΝΩΝ, ΓΑΛΑΚΤΟΠΑΡΑΓΩΓΉΣ, ΒΕΛΤΙΩΜΕΝΗ</v>
          </cell>
          <cell r="G3749" t="str">
            <v>C_2_1</v>
          </cell>
          <cell r="H3749" t="str">
            <v>Βοοειδή ηλικίας κάτω του ενός έτους, αρσενικά και θηλυκά</v>
          </cell>
          <cell r="I3749">
            <v>435</v>
          </cell>
          <cell r="O3749" t="str">
            <v/>
          </cell>
          <cell r="P3749">
            <v>24</v>
          </cell>
        </row>
        <row r="3750">
          <cell r="A3750">
            <v>3748</v>
          </cell>
          <cell r="B3750">
            <v>2</v>
          </cell>
          <cell r="C3750" t="str">
            <v>ΒΟΟΕΙΔΗ</v>
          </cell>
          <cell r="D3750">
            <v>212212</v>
          </cell>
          <cell r="E3750" t="str">
            <v>ΒΟΟΕΙΔΗ212212</v>
          </cell>
          <cell r="F3750" t="str">
            <v>ΒΟΟΕΙΔΗ, ΘΗΛΥΚΑ, 1 - 6 ΜΗΝΩΝ, ΓΑΛΑΚΤΟΠΑΡΑΓΩΓΉΣ, ΑΥΤΟΧΘΟΝΗ</v>
          </cell>
          <cell r="G3750" t="str">
            <v>C_2_1</v>
          </cell>
          <cell r="H3750" t="str">
            <v>Βοοειδή ηλικίας κάτω του ενός έτους, αρσενικά και θηλυκά</v>
          </cell>
          <cell r="I3750">
            <v>435</v>
          </cell>
          <cell r="O3750" t="str">
            <v/>
          </cell>
          <cell r="P3750">
            <v>24</v>
          </cell>
        </row>
        <row r="3751">
          <cell r="A3751">
            <v>3749</v>
          </cell>
          <cell r="B3751">
            <v>2</v>
          </cell>
          <cell r="C3751" t="str">
            <v>ΒΟΟΕΙΔΗ</v>
          </cell>
          <cell r="D3751">
            <v>212213</v>
          </cell>
          <cell r="E3751" t="str">
            <v>ΒΟΟΕΙΔΗ212213</v>
          </cell>
          <cell r="F3751" t="str">
            <v>ΒΟΟΕΙΔΗ, ΘΗΛΥΚΑ, 1 - 6 ΜΗΝΩΝ, ΓΑΛΑΚΤΟΠΑΡΑΓΩΓΉΣ, ΚΑΘΑΡΟΑΙΜΗ</v>
          </cell>
          <cell r="G3751" t="str">
            <v>C_2_1</v>
          </cell>
          <cell r="H3751" t="str">
            <v>Βοοειδή ηλικίας κάτω του ενός έτους, αρσενικά και θηλυκά</v>
          </cell>
          <cell r="I3751">
            <v>435</v>
          </cell>
          <cell r="O3751" t="str">
            <v/>
          </cell>
          <cell r="P3751">
            <v>24</v>
          </cell>
        </row>
        <row r="3752">
          <cell r="A3752">
            <v>3750</v>
          </cell>
          <cell r="B3752">
            <v>2</v>
          </cell>
          <cell r="C3752" t="str">
            <v>ΒΟΟΕΙΔΗ</v>
          </cell>
          <cell r="D3752">
            <v>212214</v>
          </cell>
          <cell r="E3752" t="str">
            <v>ΒΟΟΕΙΔΗ212214</v>
          </cell>
          <cell r="F3752" t="str">
            <v>ΒΟΟΕΙΔΗ, ΘΗΛΥΚΑ, 1 - 6 ΜΗΝΩΝ, ΓΑΛΑΚΤΟΠΑΡΑΓΩΓΉΣ, ΛΟΙΠΗ</v>
          </cell>
          <cell r="G3752" t="str">
            <v>C_2_1</v>
          </cell>
          <cell r="H3752" t="str">
            <v>Βοοειδή ηλικίας κάτω του ενός έτους, αρσενικά και θηλυκά</v>
          </cell>
          <cell r="I3752">
            <v>435</v>
          </cell>
          <cell r="O3752" t="str">
            <v/>
          </cell>
          <cell r="P3752">
            <v>24</v>
          </cell>
        </row>
        <row r="3753">
          <cell r="A3753">
            <v>3751</v>
          </cell>
          <cell r="B3753">
            <v>2</v>
          </cell>
          <cell r="C3753" t="str">
            <v>ΒΟΟΕΙΔΗ</v>
          </cell>
          <cell r="D3753">
            <v>212222</v>
          </cell>
          <cell r="E3753" t="str">
            <v>ΒΟΟΕΙΔΗ212222</v>
          </cell>
          <cell r="F3753" t="str">
            <v>ΒΟΟΕΙΔΗ, ΘΗΛΥΚΑ, 1 - 6 ΜΗΝΩΝ, ΚΡΕΟΠΑΡΑΓΩΓΗΣ, ΑΥΤΟΧΘΟΝΗ</v>
          </cell>
          <cell r="G3753" t="str">
            <v>C_2_1</v>
          </cell>
          <cell r="H3753" t="str">
            <v>Βοοειδή ηλικίας κάτω του ενός έτους, αρσενικά και θηλυκά</v>
          </cell>
          <cell r="I3753">
            <v>435</v>
          </cell>
          <cell r="O3753" t="str">
            <v/>
          </cell>
          <cell r="P3753">
            <v>11.6</v>
          </cell>
        </row>
        <row r="3754">
          <cell r="A3754">
            <v>3752</v>
          </cell>
          <cell r="B3754">
            <v>2</v>
          </cell>
          <cell r="C3754" t="str">
            <v>ΒΟΟΕΙΔΗ</v>
          </cell>
          <cell r="D3754">
            <v>212223</v>
          </cell>
          <cell r="E3754" t="str">
            <v>ΒΟΟΕΙΔΗ212223</v>
          </cell>
          <cell r="F3754" t="str">
            <v>ΒΟΟΕΙΔΗ, ΘΗΛΥΚΑ, 1 - 6 ΜΗΝΩΝ, ΚΡΕΟΠΑΡΑΓΩΓΗΣ, ΚΑΘΑΡΟΑΙΜΗ</v>
          </cell>
          <cell r="G3754" t="str">
            <v>C_2_1</v>
          </cell>
          <cell r="H3754" t="str">
            <v>Βοοειδή ηλικίας κάτω του ενός έτους, αρσενικά και θηλυκά</v>
          </cell>
          <cell r="I3754">
            <v>435</v>
          </cell>
          <cell r="O3754" t="str">
            <v/>
          </cell>
          <cell r="P3754">
            <v>21</v>
          </cell>
        </row>
        <row r="3755">
          <cell r="A3755">
            <v>3753</v>
          </cell>
          <cell r="B3755">
            <v>2</v>
          </cell>
          <cell r="C3755" t="str">
            <v>ΒΟΟΕΙΔΗ</v>
          </cell>
          <cell r="D3755">
            <v>212225</v>
          </cell>
          <cell r="E3755" t="str">
            <v>ΒΟΟΕΙΔΗ212225</v>
          </cell>
          <cell r="F3755" t="str">
            <v>ΒΟΟΕΙΔΗ, ΘΗΛΥΚΑ, 1 - 6 ΜΗΝΩΝ, ΚΡΕΟΠΑΡΑΓΩΓΗΣ, ΒΕΛΤΙΩΜΕΝΗ (&gt;550kg)</v>
          </cell>
          <cell r="G3755" t="str">
            <v>C_2_1</v>
          </cell>
          <cell r="H3755" t="str">
            <v>Βοοειδή ηλικίας κάτω του ενός έτους, αρσενικά και θηλυκά</v>
          </cell>
          <cell r="I3755">
            <v>435</v>
          </cell>
          <cell r="O3755" t="str">
            <v/>
          </cell>
          <cell r="P3755">
            <v>21</v>
          </cell>
        </row>
        <row r="3756">
          <cell r="A3756">
            <v>3754</v>
          </cell>
          <cell r="B3756">
            <v>2</v>
          </cell>
          <cell r="C3756" t="str">
            <v>ΒΟΟΕΙΔΗ</v>
          </cell>
          <cell r="D3756">
            <v>212226</v>
          </cell>
          <cell r="E3756" t="str">
            <v>ΒΟΟΕΙΔΗ212226</v>
          </cell>
          <cell r="F3756" t="str">
            <v>ΒΟΟΕΙΔΗ, ΘΗΛΥΚΑ, 1 - 6 ΜΗΝΩΝ, ΚΡΕΟΠΑΡΑΓΩΓΗΣ, ΛΟΙΠΗ (&lt;400kg)</v>
          </cell>
          <cell r="G3756" t="str">
            <v>C_2_1</v>
          </cell>
          <cell r="H3756" t="str">
            <v>Βοοειδή ηλικίας κάτω του ενός έτους, αρσενικά και θηλυκά</v>
          </cell>
          <cell r="I3756">
            <v>435</v>
          </cell>
          <cell r="O3756" t="str">
            <v/>
          </cell>
          <cell r="P3756">
            <v>11.6</v>
          </cell>
        </row>
        <row r="3757">
          <cell r="A3757">
            <v>3755</v>
          </cell>
          <cell r="B3757">
            <v>2</v>
          </cell>
          <cell r="C3757" t="str">
            <v>ΒΟΟΕΙΔΗ</v>
          </cell>
          <cell r="D3757">
            <v>212227</v>
          </cell>
          <cell r="E3757" t="str">
            <v>ΒΟΟΕΙΔΗ212227</v>
          </cell>
          <cell r="F3757" t="str">
            <v>ΒΟΟΕΙΔΗ, ΘΗΛΥΚΑ, 1 - 6 ΜΗΝΩΝ, ΚΡΕΟΠΑΡΑΓΩΓΗΣ, ΛΟΙΠΗ (400 - 550kg)</v>
          </cell>
          <cell r="G3757" t="str">
            <v>C_2_1</v>
          </cell>
          <cell r="H3757" t="str">
            <v>Βοοειδή ηλικίας κάτω του ενός έτους, αρσενικά και θηλυκά</v>
          </cell>
          <cell r="I3757">
            <v>435</v>
          </cell>
          <cell r="O3757" t="str">
            <v/>
          </cell>
          <cell r="P3757">
            <v>11.6</v>
          </cell>
        </row>
        <row r="3758">
          <cell r="A3758">
            <v>3756</v>
          </cell>
          <cell r="B3758">
            <v>2</v>
          </cell>
          <cell r="C3758" t="str">
            <v>ΒΟΟΕΙΔΗ</v>
          </cell>
          <cell r="D3758">
            <v>212232</v>
          </cell>
          <cell r="E3758" t="str">
            <v>ΒΟΟΕΙΔΗ212232</v>
          </cell>
          <cell r="F3758" t="str">
            <v>ΒΟΟΕΙΔΗ, ΘΗΛΥΚΑ, 1 - 6 ΜΗΝΩΝ, ΜΙΚΤΗ, ΑΥΤΟΧΘΟΝΗ</v>
          </cell>
          <cell r="G3758" t="str">
            <v>C_2_1</v>
          </cell>
          <cell r="H3758" t="str">
            <v>Βοοειδή ηλικίας κάτω του ενός έτους, αρσενικά και θηλυκά</v>
          </cell>
          <cell r="I3758">
            <v>435</v>
          </cell>
          <cell r="O3758" t="str">
            <v/>
          </cell>
          <cell r="P3758">
            <v>21</v>
          </cell>
        </row>
        <row r="3759">
          <cell r="A3759">
            <v>3757</v>
          </cell>
          <cell r="B3759">
            <v>2</v>
          </cell>
          <cell r="C3759" t="str">
            <v>ΒΟΟΕΙΔΗ</v>
          </cell>
          <cell r="D3759">
            <v>212233</v>
          </cell>
          <cell r="E3759" t="str">
            <v>ΒΟΟΕΙΔΗ212233</v>
          </cell>
          <cell r="F3759" t="str">
            <v>ΒΟΟΕΙΔΗ, ΘΗΛΥΚΑ, 1 - 6 ΜΗΝΩΝ, ΜΙΚΤΗ, ΚΑΘΑΡΟΑΙΜΗ</v>
          </cell>
          <cell r="G3759" t="str">
            <v>C_2_1</v>
          </cell>
          <cell r="H3759" t="str">
            <v>Βοοειδή ηλικίας κάτω του ενός έτους, αρσενικά και θηλυκά</v>
          </cell>
          <cell r="I3759">
            <v>435</v>
          </cell>
          <cell r="O3759" t="str">
            <v/>
          </cell>
          <cell r="P3759">
            <v>21</v>
          </cell>
        </row>
        <row r="3760">
          <cell r="A3760">
            <v>3758</v>
          </cell>
          <cell r="B3760">
            <v>2</v>
          </cell>
          <cell r="C3760" t="str">
            <v>ΒΟΟΕΙΔΗ</v>
          </cell>
          <cell r="D3760">
            <v>212234</v>
          </cell>
          <cell r="E3760" t="str">
            <v>ΒΟΟΕΙΔΗ212234</v>
          </cell>
          <cell r="F3760" t="str">
            <v>ΒΟΟΕΙΔΗ, ΘΗΛΥΚΑ, 1 - 6 ΜΗΝΩΝ, ΜΙΚΤΗ, ΛΟΙΠΗ</v>
          </cell>
          <cell r="G3760" t="str">
            <v>C_2_1</v>
          </cell>
          <cell r="H3760" t="str">
            <v>Βοοειδή ηλικίας κάτω του ενός έτους, αρσενικά και θηλυκά</v>
          </cell>
          <cell r="I3760">
            <v>435</v>
          </cell>
          <cell r="O3760" t="str">
            <v/>
          </cell>
          <cell r="P3760">
            <v>21</v>
          </cell>
        </row>
        <row r="3761">
          <cell r="A3761">
            <v>3759</v>
          </cell>
          <cell r="B3761">
            <v>2</v>
          </cell>
          <cell r="C3761" t="str">
            <v>ΒΟΟΕΙΔΗ</v>
          </cell>
          <cell r="D3761">
            <v>212511</v>
          </cell>
          <cell r="E3761" t="str">
            <v>ΒΟΟΕΙΔΗ212511</v>
          </cell>
          <cell r="F3761" t="str">
            <v>ΒΟΟΕΙΔΗ, ΘΗΛΥΚΑ, 6 - 24 ΜΗΝΩΝ, ΓΑΛΑΚΤΟΠΑΡΑΓΩΓΉΣ, ΒΕΛΤΙΩΜΕΝΗ</v>
          </cell>
          <cell r="G3761" t="str">
            <v>C_2_3</v>
          </cell>
          <cell r="H3761" t="str">
            <v xml:space="preserve">Θηλυκά βοοειδή ηλικίας ενός έτους και άνω αλλά κάτω των δύο ετών </v>
          </cell>
          <cell r="I3761">
            <v>619</v>
          </cell>
          <cell r="O3761" t="str">
            <v/>
          </cell>
          <cell r="P3761">
            <v>72</v>
          </cell>
        </row>
        <row r="3762">
          <cell r="A3762">
            <v>3760</v>
          </cell>
          <cell r="B3762">
            <v>2</v>
          </cell>
          <cell r="C3762" t="str">
            <v>ΒΟΟΕΙΔΗ</v>
          </cell>
          <cell r="D3762">
            <v>212512</v>
          </cell>
          <cell r="E3762" t="str">
            <v>ΒΟΟΕΙΔΗ212512</v>
          </cell>
          <cell r="F3762" t="str">
            <v>ΒΟΟΕΙΔΗ, ΘΗΛΥΚΑ, 6 - 24 ΜΗΝΩΝ, ΓΑΛΑΚΤΟΠΑΡΑΓΩΓΉΣ, ΑΥΤΟΧΘΟΝΗ</v>
          </cell>
          <cell r="G3762" t="str">
            <v>C_2_3</v>
          </cell>
          <cell r="H3762" t="str">
            <v xml:space="preserve">Θηλυκά βοοειδή ηλικίας ενός έτους και άνω αλλά κάτω των δύο ετών </v>
          </cell>
          <cell r="I3762">
            <v>619</v>
          </cell>
          <cell r="O3762" t="str">
            <v/>
          </cell>
          <cell r="P3762">
            <v>72</v>
          </cell>
        </row>
        <row r="3763">
          <cell r="A3763">
            <v>3761</v>
          </cell>
          <cell r="B3763">
            <v>2</v>
          </cell>
          <cell r="C3763" t="str">
            <v>ΒΟΟΕΙΔΗ</v>
          </cell>
          <cell r="D3763">
            <v>212513</v>
          </cell>
          <cell r="E3763" t="str">
            <v>ΒΟΟΕΙΔΗ212513</v>
          </cell>
          <cell r="F3763" t="str">
            <v>ΒΟΟΕΙΔΗ, ΘΗΛΥΚΑ, 6 - 24 ΜΗΝΩΝ, ΓΑΛΑΚΤΟΠΑΡΑΓΩΓΉΣ, ΚΑΘΑΡΟΑΙΜΗ</v>
          </cell>
          <cell r="G3763" t="str">
            <v>C_2_3</v>
          </cell>
          <cell r="H3763" t="str">
            <v xml:space="preserve">Θηλυκά βοοειδή ηλικίας ενός έτους και άνω αλλά κάτω των δύο ετών </v>
          </cell>
          <cell r="I3763">
            <v>619</v>
          </cell>
          <cell r="O3763" t="str">
            <v/>
          </cell>
          <cell r="P3763">
            <v>72</v>
          </cell>
        </row>
        <row r="3764">
          <cell r="A3764">
            <v>3762</v>
          </cell>
          <cell r="B3764">
            <v>2</v>
          </cell>
          <cell r="C3764" t="str">
            <v>ΒΟΟΕΙΔΗ</v>
          </cell>
          <cell r="D3764">
            <v>212514</v>
          </cell>
          <cell r="E3764" t="str">
            <v>ΒΟΟΕΙΔΗ212514</v>
          </cell>
          <cell r="F3764" t="str">
            <v>ΒΟΟΕΙΔΗ, ΘΗΛΥΚΑ, 6 - 24 ΜΗΝΩΝ, ΓΑΛΑΚΤΟΠΑΡΑΓΩΓΉΣ, ΛΟΙΠΗ</v>
          </cell>
          <cell r="G3764" t="str">
            <v>C_2_3</v>
          </cell>
          <cell r="H3764" t="str">
            <v xml:space="preserve">Θηλυκά βοοειδή ηλικίας ενός έτους και άνω αλλά κάτω των δύο ετών </v>
          </cell>
          <cell r="I3764">
            <v>619</v>
          </cell>
          <cell r="O3764" t="str">
            <v/>
          </cell>
          <cell r="P3764">
            <v>72</v>
          </cell>
        </row>
        <row r="3765">
          <cell r="A3765">
            <v>3763</v>
          </cell>
          <cell r="B3765">
            <v>2</v>
          </cell>
          <cell r="C3765" t="str">
            <v>ΒΟΟΕΙΔΗ</v>
          </cell>
          <cell r="D3765">
            <v>212522</v>
          </cell>
          <cell r="E3765" t="str">
            <v>ΒΟΟΕΙΔΗ212522</v>
          </cell>
          <cell r="F3765" t="str">
            <v>ΒΟΟΕΙΔΗ, ΘΗΛΥΚΑ, 6 - 24 ΜΗΝΩΝ, ΚΡΕΟΠΑΡΑΓΩΓΗΣ, ΑΥΤΟΧΘΟΝΗ</v>
          </cell>
          <cell r="G3765" t="str">
            <v>C_2_3</v>
          </cell>
          <cell r="H3765" t="str">
            <v xml:space="preserve">Θηλυκά βοοειδή ηλικίας ενός έτους και άνω αλλά κάτω των δύο ετών </v>
          </cell>
          <cell r="I3765">
            <v>619</v>
          </cell>
          <cell r="O3765" t="str">
            <v/>
          </cell>
          <cell r="P3765">
            <v>34.799999999999997</v>
          </cell>
        </row>
        <row r="3766">
          <cell r="A3766">
            <v>3764</v>
          </cell>
          <cell r="B3766">
            <v>2</v>
          </cell>
          <cell r="C3766" t="str">
            <v>ΒΟΟΕΙΔΗ</v>
          </cell>
          <cell r="D3766">
            <v>212523</v>
          </cell>
          <cell r="E3766" t="str">
            <v>ΒΟΟΕΙΔΗ212523</v>
          </cell>
          <cell r="F3766" t="str">
            <v>ΒΟΟΕΙΔΗ, ΘΗΛΥΚΑ, 6 - 24 ΜΗΝΩΝ, ΚΡΕΟΠΑΡΑΓΩΓΗΣ, ΚΑΘΑΡΟΑΙΜΗ</v>
          </cell>
          <cell r="G3766" t="str">
            <v>C_2_3</v>
          </cell>
          <cell r="H3766" t="str">
            <v xml:space="preserve">Θηλυκά βοοειδή ηλικίας ενός έτους και άνω αλλά κάτω των δύο ετών </v>
          </cell>
          <cell r="I3766">
            <v>619</v>
          </cell>
          <cell r="O3766" t="str">
            <v/>
          </cell>
          <cell r="P3766">
            <v>63</v>
          </cell>
        </row>
        <row r="3767">
          <cell r="A3767">
            <v>3765</v>
          </cell>
          <cell r="B3767">
            <v>2</v>
          </cell>
          <cell r="C3767" t="str">
            <v>ΒΟΟΕΙΔΗ</v>
          </cell>
          <cell r="D3767">
            <v>212525</v>
          </cell>
          <cell r="E3767" t="str">
            <v>ΒΟΟΕΙΔΗ212525</v>
          </cell>
          <cell r="F3767" t="str">
            <v>ΒΟΟΕΙΔΗ, ΘΗΛΥΚΑ, 6 - 24 ΜΗΝΩΝ, ΚΡΕΟΠΑΡΑΓΩΓΗΣ, ΒΕΛΤΙΩΜΕΝΗ (&gt;550kg)</v>
          </cell>
          <cell r="G3767" t="str">
            <v>C_2_3</v>
          </cell>
          <cell r="H3767" t="str">
            <v xml:space="preserve">Θηλυκά βοοειδή ηλικίας ενός έτους και άνω αλλά κάτω των δύο ετών </v>
          </cell>
          <cell r="I3767">
            <v>619</v>
          </cell>
          <cell r="O3767" t="str">
            <v/>
          </cell>
          <cell r="P3767">
            <v>63</v>
          </cell>
        </row>
        <row r="3768">
          <cell r="A3768">
            <v>3766</v>
          </cell>
          <cell r="B3768">
            <v>2</v>
          </cell>
          <cell r="C3768" t="str">
            <v>ΒΟΟΕΙΔΗ</v>
          </cell>
          <cell r="D3768">
            <v>212526</v>
          </cell>
          <cell r="E3768" t="str">
            <v>ΒΟΟΕΙΔΗ212526</v>
          </cell>
          <cell r="F3768" t="str">
            <v>ΒΟΟΕΙΔΗ, ΘΗΛΥΚΑ, 6 - 24 ΜΗΝΩΝ, ΚΡΕΟΠΑΡΑΓΩΓΗΣ, ΛΟΙΠΗ (&lt;400kg)</v>
          </cell>
          <cell r="G3768" t="str">
            <v>C_2_3</v>
          </cell>
          <cell r="H3768" t="str">
            <v xml:space="preserve">Θηλυκά βοοειδή ηλικίας ενός έτους και άνω αλλά κάτω των δύο ετών </v>
          </cell>
          <cell r="I3768">
            <v>619</v>
          </cell>
          <cell r="O3768" t="str">
            <v/>
          </cell>
          <cell r="P3768">
            <v>34.799999999999997</v>
          </cell>
        </row>
        <row r="3769">
          <cell r="A3769">
            <v>3767</v>
          </cell>
          <cell r="B3769">
            <v>2</v>
          </cell>
          <cell r="C3769" t="str">
            <v>ΒΟΟΕΙΔΗ</v>
          </cell>
          <cell r="D3769">
            <v>212527</v>
          </cell>
          <cell r="E3769" t="str">
            <v>ΒΟΟΕΙΔΗ212527</v>
          </cell>
          <cell r="F3769" t="str">
            <v>ΒΟΟΕΙΔΗ, ΘΗΛΥΚΑ, 6 - 24 ΜΗΝΩΝ, ΚΡΕΟΠΑΡΑΓΩΓΗΣ, ΛΟΙΠΗ (400 - 550kg)</v>
          </cell>
          <cell r="G3769" t="str">
            <v>C_2_3</v>
          </cell>
          <cell r="H3769" t="str">
            <v xml:space="preserve">Θηλυκά βοοειδή ηλικίας ενός έτους και άνω αλλά κάτω των δύο ετών </v>
          </cell>
          <cell r="I3769">
            <v>619</v>
          </cell>
          <cell r="O3769" t="str">
            <v/>
          </cell>
          <cell r="P3769">
            <v>34.799999999999997</v>
          </cell>
        </row>
        <row r="3770">
          <cell r="A3770">
            <v>3768</v>
          </cell>
          <cell r="B3770">
            <v>2</v>
          </cell>
          <cell r="C3770" t="str">
            <v>ΒΟΟΕΙΔΗ</v>
          </cell>
          <cell r="D3770">
            <v>212532</v>
          </cell>
          <cell r="E3770" t="str">
            <v>ΒΟΟΕΙΔΗ212532</v>
          </cell>
          <cell r="F3770" t="str">
            <v>ΒΟΟΕΙΔΗ, ΘΗΛΥΚΑ, 6 - 24 ΜΗΝΩΝ, ΜΙΚΤΗ, ΑΥΤΟΧΘΟΝΗ</v>
          </cell>
          <cell r="G3770" t="str">
            <v>C_2_3</v>
          </cell>
          <cell r="H3770" t="str">
            <v xml:space="preserve">Θηλυκά βοοειδή ηλικίας ενός έτους και άνω αλλά κάτω των δύο ετών </v>
          </cell>
          <cell r="I3770">
            <v>619</v>
          </cell>
          <cell r="O3770" t="str">
            <v/>
          </cell>
          <cell r="P3770">
            <v>63</v>
          </cell>
        </row>
        <row r="3771">
          <cell r="A3771">
            <v>3769</v>
          </cell>
          <cell r="B3771">
            <v>2</v>
          </cell>
          <cell r="C3771" t="str">
            <v>ΒΟΟΕΙΔΗ</v>
          </cell>
          <cell r="D3771">
            <v>212533</v>
          </cell>
          <cell r="E3771" t="str">
            <v>ΒΟΟΕΙΔΗ212533</v>
          </cell>
          <cell r="F3771" t="str">
            <v>ΒΟΟΕΙΔΗ, ΘΗΛΥΚΑ, 6 - 24 ΜΗΝΩΝ, ΜΙΚΤΗ, ΚΑΘΑΡΟΑΙΜΗ</v>
          </cell>
          <cell r="G3771" t="str">
            <v>C_2_3</v>
          </cell>
          <cell r="H3771" t="str">
            <v xml:space="preserve">Θηλυκά βοοειδή ηλικίας ενός έτους και άνω αλλά κάτω των δύο ετών </v>
          </cell>
          <cell r="I3771">
            <v>619</v>
          </cell>
          <cell r="O3771" t="str">
            <v/>
          </cell>
          <cell r="P3771">
            <v>63</v>
          </cell>
        </row>
        <row r="3772">
          <cell r="A3772">
            <v>3770</v>
          </cell>
          <cell r="B3772">
            <v>2</v>
          </cell>
          <cell r="C3772" t="str">
            <v>ΒΟΟΕΙΔΗ</v>
          </cell>
          <cell r="D3772">
            <v>212534</v>
          </cell>
          <cell r="E3772" t="str">
            <v>ΒΟΟΕΙΔΗ212534</v>
          </cell>
          <cell r="F3772" t="str">
            <v>ΒΟΟΕΙΔΗ, ΘΗΛΥΚΑ, 6 - 24 ΜΗΝΩΝ, ΜΙΚΤΗ, ΛΟΙΠΗ</v>
          </cell>
          <cell r="G3772" t="str">
            <v>C_2_3</v>
          </cell>
          <cell r="H3772" t="str">
            <v xml:space="preserve">Θηλυκά βοοειδή ηλικίας ενός έτους και άνω αλλά κάτω των δύο ετών </v>
          </cell>
          <cell r="I3772">
            <v>619</v>
          </cell>
          <cell r="O3772" t="str">
            <v/>
          </cell>
          <cell r="P3772">
            <v>63</v>
          </cell>
        </row>
        <row r="3773">
          <cell r="A3773">
            <v>3771</v>
          </cell>
          <cell r="B3773">
            <v>2</v>
          </cell>
          <cell r="C3773" t="str">
            <v>ΒΟΟΕΙΔΗ</v>
          </cell>
          <cell r="D3773">
            <v>212611</v>
          </cell>
          <cell r="E3773" t="str">
            <v>ΒΟΟΕΙΔΗ212611</v>
          </cell>
          <cell r="F3773" t="str">
            <v>ΒΟΟΕΙΔΗ, ΘΗΛΥΚΑ, 2 - 6 ΕΤΩΝ, ΓΑΛΑΚΤΟΠΑΡΑΓΩΓΉΣ, ΒΕΛΤΙΩΜΕΝΗ</v>
          </cell>
          <cell r="G3773" t="str">
            <v>C_2_6</v>
          </cell>
          <cell r="H3773" t="str">
            <v>Αγελάδες γαλακτοπαραγωγής</v>
          </cell>
          <cell r="I3773">
            <v>1447</v>
          </cell>
          <cell r="O3773" t="str">
            <v/>
          </cell>
          <cell r="P3773">
            <v>120</v>
          </cell>
        </row>
        <row r="3774">
          <cell r="A3774">
            <v>3772</v>
          </cell>
          <cell r="B3774">
            <v>2</v>
          </cell>
          <cell r="C3774" t="str">
            <v>ΒΟΟΕΙΔΗ</v>
          </cell>
          <cell r="D3774">
            <v>212612</v>
          </cell>
          <cell r="E3774" t="str">
            <v>ΒΟΟΕΙΔΗ212612</v>
          </cell>
          <cell r="F3774" t="str">
            <v>ΒΟΟΕΙΔΗ, ΘΗΛΥΚΑ, 2 - 6 ΕΤΩΝ, ΓΑΛΑΚΤΟΠΑΡΑΓΩΓΉΣ, ΑΥΤΟΧΘΟΝΗ</v>
          </cell>
          <cell r="G3774" t="str">
            <v>C_2_6</v>
          </cell>
          <cell r="H3774" t="str">
            <v>Αγελάδες γαλακτοπαραγωγής</v>
          </cell>
          <cell r="I3774">
            <v>1447</v>
          </cell>
          <cell r="O3774" t="str">
            <v/>
          </cell>
          <cell r="P3774">
            <v>120</v>
          </cell>
        </row>
        <row r="3775">
          <cell r="A3775">
            <v>3773</v>
          </cell>
          <cell r="B3775">
            <v>2</v>
          </cell>
          <cell r="C3775" t="str">
            <v>ΒΟΟΕΙΔΗ</v>
          </cell>
          <cell r="D3775">
            <v>212613</v>
          </cell>
          <cell r="E3775" t="str">
            <v>ΒΟΟΕΙΔΗ212613</v>
          </cell>
          <cell r="F3775" t="str">
            <v>ΒΟΟΕΙΔΗ, ΘΗΛΥΚΑ, 2 - 6 ΕΤΩΝ, ΓΑΛΑΚΤΟΠΑΡΑΓΩΓΉΣ, ΚΑΘΑΡΟΑΙΜΗ</v>
          </cell>
          <cell r="G3775" t="str">
            <v>C_2_6</v>
          </cell>
          <cell r="H3775" t="str">
            <v>Αγελάδες γαλακτοπαραγωγής</v>
          </cell>
          <cell r="I3775">
            <v>1447</v>
          </cell>
          <cell r="O3775" t="str">
            <v/>
          </cell>
          <cell r="P3775">
            <v>120</v>
          </cell>
        </row>
        <row r="3776">
          <cell r="A3776">
            <v>3774</v>
          </cell>
          <cell r="B3776">
            <v>2</v>
          </cell>
          <cell r="C3776" t="str">
            <v>ΒΟΟΕΙΔΗ</v>
          </cell>
          <cell r="D3776">
            <v>212614</v>
          </cell>
          <cell r="E3776" t="str">
            <v>ΒΟΟΕΙΔΗ212614</v>
          </cell>
          <cell r="F3776" t="str">
            <v>ΒΟΟΕΙΔΗ, ΘΗΛΥΚΑ, 2 - 6 ΕΤΩΝ, ΓΑΛΑΚΤΟΠΑΡΑΓΩΓΉΣ, ΛΟΙΠΗ</v>
          </cell>
          <cell r="G3776" t="str">
            <v>C_2_6</v>
          </cell>
          <cell r="H3776" t="str">
            <v>Αγελάδες γαλακτοπαραγωγής</v>
          </cell>
          <cell r="I3776">
            <v>1447</v>
          </cell>
          <cell r="O3776" t="str">
            <v/>
          </cell>
          <cell r="P3776">
            <v>120</v>
          </cell>
        </row>
        <row r="3777">
          <cell r="A3777">
            <v>3775</v>
          </cell>
          <cell r="B3777">
            <v>2</v>
          </cell>
          <cell r="C3777" t="str">
            <v>ΒΟΟΕΙΔΗ</v>
          </cell>
          <cell r="D3777">
            <v>212622</v>
          </cell>
          <cell r="E3777" t="str">
            <v>ΒΟΟΕΙΔΗ212622</v>
          </cell>
          <cell r="F3777" t="str">
            <v>ΒΟΟΕΙΔΗ, ΘΗΛΥΚΑ, 2 - 6 ΕΤΩΝ, ΚΡΕΟΠΑΡΑΓΩΓΗΣ, ΑΥΤΟΧΘΟΝΗ</v>
          </cell>
          <cell r="G3777" t="str">
            <v>C_2_5</v>
          </cell>
          <cell r="H3777" t="str">
            <v>Δαμάλες, ηλικίας 2 ετών και άνω</v>
          </cell>
          <cell r="I3777">
            <v>1068</v>
          </cell>
          <cell r="O3777" t="str">
            <v/>
          </cell>
          <cell r="P3777">
            <v>58</v>
          </cell>
        </row>
        <row r="3778">
          <cell r="A3778">
            <v>3776</v>
          </cell>
          <cell r="B3778">
            <v>2</v>
          </cell>
          <cell r="C3778" t="str">
            <v>ΒΟΟΕΙΔΗ</v>
          </cell>
          <cell r="D3778">
            <v>212623</v>
          </cell>
          <cell r="E3778" t="str">
            <v>ΒΟΟΕΙΔΗ212623</v>
          </cell>
          <cell r="F3778" t="str">
            <v>ΒΟΟΕΙΔΗ, ΘΗΛΥΚΑ, 2 - 6 ΕΤΩΝ, ΚΡΕΟΠΑΡΑΓΩΓΗΣ, ΚΑΘΑΡΟΑΙΜΗ</v>
          </cell>
          <cell r="G3778" t="str">
            <v>C_2_5</v>
          </cell>
          <cell r="H3778" t="str">
            <v>Δαμάλες, ηλικίας 2 ετών και άνω</v>
          </cell>
          <cell r="I3778">
            <v>1068</v>
          </cell>
          <cell r="O3778" t="str">
            <v/>
          </cell>
          <cell r="P3778">
            <v>105</v>
          </cell>
        </row>
        <row r="3779">
          <cell r="A3779">
            <v>3777</v>
          </cell>
          <cell r="B3779">
            <v>2</v>
          </cell>
          <cell r="C3779" t="str">
            <v>ΒΟΟΕΙΔΗ</v>
          </cell>
          <cell r="D3779">
            <v>212625</v>
          </cell>
          <cell r="E3779" t="str">
            <v>ΒΟΟΕΙΔΗ212625</v>
          </cell>
          <cell r="F3779" t="str">
            <v>ΒΟΟΕΙΔΗ, ΘΗΛΥΚΑ, 2 - 6 ΕΤΩΝ, ΚΡΕΟΠΑΡΑΓΩΓΗΣ, ΒΕΛΤΙΩΜΕΝΗ (&gt;550kg)</v>
          </cell>
          <cell r="G3779" t="str">
            <v>C_2_5</v>
          </cell>
          <cell r="H3779" t="str">
            <v>Δαμάλες, ηλικίας 2 ετών και άνω</v>
          </cell>
          <cell r="I3779">
            <v>1068</v>
          </cell>
          <cell r="O3779" t="str">
            <v/>
          </cell>
          <cell r="P3779">
            <v>105</v>
          </cell>
        </row>
        <row r="3780">
          <cell r="A3780">
            <v>3778</v>
          </cell>
          <cell r="B3780">
            <v>2</v>
          </cell>
          <cell r="C3780" t="str">
            <v>ΒΟΟΕΙΔΗ</v>
          </cell>
          <cell r="D3780">
            <v>212626</v>
          </cell>
          <cell r="E3780" t="str">
            <v>ΒΟΟΕΙΔΗ212626</v>
          </cell>
          <cell r="F3780" t="str">
            <v>ΒΟΟΕΙΔΗ, ΘΗΛΥΚΑ, 2 - 6 ΕΤΩΝ, ΚΡΕΟΠΑΡΑΓΩΓΗΣ, ΛΟΙΠΗ (&lt;400kg)</v>
          </cell>
          <cell r="G3780" t="str">
            <v>C_2_5</v>
          </cell>
          <cell r="H3780" t="str">
            <v>Δαμάλες, ηλικίας 2 ετών και άνω</v>
          </cell>
          <cell r="I3780">
            <v>1068</v>
          </cell>
          <cell r="O3780" t="str">
            <v/>
          </cell>
          <cell r="P3780">
            <v>58</v>
          </cell>
        </row>
        <row r="3781">
          <cell r="A3781">
            <v>3779</v>
          </cell>
          <cell r="B3781">
            <v>2</v>
          </cell>
          <cell r="C3781" t="str">
            <v>ΒΟΟΕΙΔΗ</v>
          </cell>
          <cell r="D3781">
            <v>212627</v>
          </cell>
          <cell r="E3781" t="str">
            <v>ΒΟΟΕΙΔΗ212627</v>
          </cell>
          <cell r="F3781" t="str">
            <v>ΒΟΟΕΙΔΗ, ΘΗΛΥΚΑ, 2 - 6 ΕΤΩΝ, ΚΡΕΟΠΑΡΑΓΩΓΗΣ, ΛΟΙΠΗ (400 - 550kg)</v>
          </cell>
          <cell r="G3781" t="str">
            <v>C_2_5</v>
          </cell>
          <cell r="H3781" t="str">
            <v>Δαμάλες, ηλικίας 2 ετών και άνω</v>
          </cell>
          <cell r="I3781">
            <v>1068</v>
          </cell>
          <cell r="O3781" t="str">
            <v/>
          </cell>
          <cell r="P3781">
            <v>58</v>
          </cell>
        </row>
        <row r="3782">
          <cell r="A3782">
            <v>3780</v>
          </cell>
          <cell r="B3782">
            <v>2</v>
          </cell>
          <cell r="C3782" t="str">
            <v>ΒΟΟΕΙΔΗ</v>
          </cell>
          <cell r="D3782">
            <v>212632</v>
          </cell>
          <cell r="E3782" t="str">
            <v>ΒΟΟΕΙΔΗ212632</v>
          </cell>
          <cell r="F3782" t="str">
            <v>ΒΟΟΕΙΔΗ, ΘΗΛΥΚΑ, 2 - 6 ΕΤΩΝ, ΜΙΚΤΗ, ΑΥΤΟΧΘΟΝΗ</v>
          </cell>
          <cell r="G3782" t="str">
            <v>C_2_5</v>
          </cell>
          <cell r="H3782" t="str">
            <v>Δαμάλες, ηλικίας 2 ετών και άνω</v>
          </cell>
          <cell r="I3782">
            <v>1068</v>
          </cell>
          <cell r="O3782" t="str">
            <v/>
          </cell>
          <cell r="P3782">
            <v>105</v>
          </cell>
        </row>
        <row r="3783">
          <cell r="A3783">
            <v>3781</v>
          </cell>
          <cell r="B3783">
            <v>2</v>
          </cell>
          <cell r="C3783" t="str">
            <v>ΒΟΟΕΙΔΗ</v>
          </cell>
          <cell r="D3783">
            <v>212633</v>
          </cell>
          <cell r="E3783" t="str">
            <v>ΒΟΟΕΙΔΗ212633</v>
          </cell>
          <cell r="F3783" t="str">
            <v>ΒΟΟΕΙΔΗ, ΘΗΛΥΚΑ, 2 - 6 ΕΤΩΝ, ΜΙΚΤΗ, ΚΑΘΑΡΟΑΙΜΗ</v>
          </cell>
          <cell r="G3783" t="str">
            <v>C_2_5</v>
          </cell>
          <cell r="H3783" t="str">
            <v>Δαμάλες, ηλικίας 2 ετών και άνω</v>
          </cell>
          <cell r="I3783">
            <v>1068</v>
          </cell>
          <cell r="O3783" t="str">
            <v/>
          </cell>
          <cell r="P3783">
            <v>105</v>
          </cell>
        </row>
        <row r="3784">
          <cell r="A3784">
            <v>3782</v>
          </cell>
          <cell r="B3784">
            <v>2</v>
          </cell>
          <cell r="C3784" t="str">
            <v>ΒΟΟΕΙΔΗ</v>
          </cell>
          <cell r="D3784">
            <v>212634</v>
          </cell>
          <cell r="E3784" t="str">
            <v>ΒΟΟΕΙΔΗ212634</v>
          </cell>
          <cell r="F3784" t="str">
            <v>ΒΟΟΕΙΔΗ, ΘΗΛΥΚΑ, 2 - 6 ΕΤΩΝ, ΜΙΚΤΗ, ΛΟΙΠΗ</v>
          </cell>
          <cell r="G3784" t="str">
            <v>C_2_5</v>
          </cell>
          <cell r="H3784" t="str">
            <v>Δαμάλες, ηλικίας 2 ετών και άνω</v>
          </cell>
          <cell r="I3784">
            <v>1068</v>
          </cell>
          <cell r="O3784" t="str">
            <v/>
          </cell>
          <cell r="P3784">
            <v>105</v>
          </cell>
        </row>
        <row r="3785">
          <cell r="A3785">
            <v>3783</v>
          </cell>
          <cell r="B3785">
            <v>2</v>
          </cell>
          <cell r="C3785" t="str">
            <v>ΒΟΟΕΙΔΗ</v>
          </cell>
          <cell r="D3785">
            <v>212711</v>
          </cell>
          <cell r="E3785" t="str">
            <v>ΒΟΟΕΙΔΗ212711</v>
          </cell>
          <cell r="F3785" t="str">
            <v>ΒΟΟΕΙΔΗ, ΘΗΛΥΚΑ, &gt; 6 ΕΤΩΝ, ΓΑΛΑΚΤΟΠΑΡΑΓΩΓΉΣ, ΒΕΛΤΙΩΜΕΝΗ</v>
          </cell>
          <cell r="G3785" t="str">
            <v>C_2_6</v>
          </cell>
          <cell r="H3785" t="str">
            <v>Αγελάδες γαλακτοπαραγωγής</v>
          </cell>
          <cell r="I3785">
            <v>1447</v>
          </cell>
          <cell r="O3785" t="str">
            <v/>
          </cell>
          <cell r="P3785">
            <v>120</v>
          </cell>
        </row>
        <row r="3786">
          <cell r="A3786">
            <v>3784</v>
          </cell>
          <cell r="B3786">
            <v>2</v>
          </cell>
          <cell r="C3786" t="str">
            <v>ΒΟΟΕΙΔΗ</v>
          </cell>
          <cell r="D3786">
            <v>212712</v>
          </cell>
          <cell r="E3786" t="str">
            <v>ΒΟΟΕΙΔΗ212712</v>
          </cell>
          <cell r="F3786" t="str">
            <v>ΒΟΟΕΙΔΗ, ΘΗΛΥΚΑ, &gt; 6 ΕΤΩΝ, ΓΑΛΑΚΤΟΠΑΡΑΓΩΓΉΣ, ΑΥΤΟΧΘΟΝΗ</v>
          </cell>
          <cell r="G3786" t="str">
            <v>C_2_6</v>
          </cell>
          <cell r="H3786" t="str">
            <v>Αγελάδες γαλακτοπαραγωγής</v>
          </cell>
          <cell r="I3786">
            <v>1447</v>
          </cell>
          <cell r="O3786" t="str">
            <v/>
          </cell>
          <cell r="P3786">
            <v>120</v>
          </cell>
        </row>
        <row r="3787">
          <cell r="A3787">
            <v>3785</v>
          </cell>
          <cell r="B3787">
            <v>2</v>
          </cell>
          <cell r="C3787" t="str">
            <v>ΒΟΟΕΙΔΗ</v>
          </cell>
          <cell r="D3787">
            <v>212713</v>
          </cell>
          <cell r="E3787" t="str">
            <v>ΒΟΟΕΙΔΗ212713</v>
          </cell>
          <cell r="F3787" t="str">
            <v>ΒΟΟΕΙΔΗ, ΘΗΛΥΚΑ, &gt; 6 ΕΤΩΝ, ΓΑΛΑΚΤΟΠΑΡΑΓΩΓΉΣ, ΚΑΘΑΡΟΑΙΜΗ</v>
          </cell>
          <cell r="G3787" t="str">
            <v>C_2_6</v>
          </cell>
          <cell r="H3787" t="str">
            <v>Αγελάδες γαλακτοπαραγωγής</v>
          </cell>
          <cell r="I3787">
            <v>1447</v>
          </cell>
          <cell r="O3787" t="str">
            <v/>
          </cell>
          <cell r="P3787">
            <v>120</v>
          </cell>
        </row>
        <row r="3788">
          <cell r="A3788">
            <v>3786</v>
          </cell>
          <cell r="B3788">
            <v>2</v>
          </cell>
          <cell r="C3788" t="str">
            <v>ΒΟΟΕΙΔΗ</v>
          </cell>
          <cell r="D3788">
            <v>212714</v>
          </cell>
          <cell r="E3788" t="str">
            <v>ΒΟΟΕΙΔΗ212714</v>
          </cell>
          <cell r="F3788" t="str">
            <v>ΒΟΟΕΙΔΗ, ΘΗΛΥΚΑ, &gt; 6 ΕΤΩΝ, ΓΑΛΑΚΤΟΠΑΡΑΓΩΓΉΣ, ΛΟΙΠΗ</v>
          </cell>
          <cell r="G3788" t="str">
            <v>C_2_6</v>
          </cell>
          <cell r="H3788" t="str">
            <v>Αγελάδες γαλακτοπαραγωγής</v>
          </cell>
          <cell r="I3788">
            <v>1447</v>
          </cell>
          <cell r="O3788" t="str">
            <v/>
          </cell>
          <cell r="P3788">
            <v>120</v>
          </cell>
        </row>
        <row r="3789">
          <cell r="A3789">
            <v>3787</v>
          </cell>
          <cell r="B3789">
            <v>2</v>
          </cell>
          <cell r="C3789" t="str">
            <v>ΒΟΟΕΙΔΗ</v>
          </cell>
          <cell r="D3789">
            <v>212722</v>
          </cell>
          <cell r="E3789" t="str">
            <v>ΒΟΟΕΙΔΗ212722</v>
          </cell>
          <cell r="F3789" t="str">
            <v>ΒΟΟΕΙΔΗ, ΘΗΛΥΚΑ, &gt; 6 ΕΤΩΝ, ΚΡΕΟΠΑΡΑΓΩΓΗΣ, ΑΥΤΟΧΘΟΝΗ</v>
          </cell>
          <cell r="G3789" t="str">
            <v>C_2_5</v>
          </cell>
          <cell r="H3789" t="str">
            <v>Δαμάλες, ηλικίας 2 ετών και άνω</v>
          </cell>
          <cell r="I3789">
            <v>1068</v>
          </cell>
          <cell r="O3789" t="str">
            <v/>
          </cell>
          <cell r="P3789">
            <v>58</v>
          </cell>
        </row>
        <row r="3790">
          <cell r="A3790">
            <v>3788</v>
          </cell>
          <cell r="B3790">
            <v>2</v>
          </cell>
          <cell r="C3790" t="str">
            <v>ΒΟΟΕΙΔΗ</v>
          </cell>
          <cell r="D3790">
            <v>212723</v>
          </cell>
          <cell r="E3790" t="str">
            <v>ΒΟΟΕΙΔΗ212723</v>
          </cell>
          <cell r="F3790" t="str">
            <v>ΒΟΟΕΙΔΗ, ΘΗΛΥΚΑ, &gt; 6 ΕΤΩΝ, ΚΡΕΟΠΑΡΑΓΩΓΗΣ, ΚΑΘΑΡΟΑΙΜΗ</v>
          </cell>
          <cell r="G3790" t="str">
            <v>C_2_5</v>
          </cell>
          <cell r="H3790" t="str">
            <v>Δαμάλες, ηλικίας 2 ετών και άνω</v>
          </cell>
          <cell r="I3790">
            <v>1068</v>
          </cell>
          <cell r="O3790" t="str">
            <v/>
          </cell>
          <cell r="P3790">
            <v>105</v>
          </cell>
        </row>
        <row r="3791">
          <cell r="A3791">
            <v>3789</v>
          </cell>
          <cell r="B3791">
            <v>2</v>
          </cell>
          <cell r="C3791" t="str">
            <v>ΒΟΟΕΙΔΗ</v>
          </cell>
          <cell r="D3791">
            <v>212725</v>
          </cell>
          <cell r="E3791" t="str">
            <v>ΒΟΟΕΙΔΗ212725</v>
          </cell>
          <cell r="F3791" t="str">
            <v>ΒΟΟΕΙΔΗ, ΘΗΛΥΚΑ, &gt; 6 ΕΤΩΝ, ΚΡΕΟΠΑΡΑΓΩΓΗΣ, ΒΕΛΤΙΩΜΕΝΗ (&gt;550kg)</v>
          </cell>
          <cell r="G3791" t="str">
            <v>C_2_5</v>
          </cell>
          <cell r="H3791" t="str">
            <v>Δαμάλες, ηλικίας 2 ετών και άνω</v>
          </cell>
          <cell r="I3791">
            <v>1068</v>
          </cell>
          <cell r="O3791" t="str">
            <v/>
          </cell>
          <cell r="P3791">
            <v>105</v>
          </cell>
        </row>
        <row r="3792">
          <cell r="A3792">
            <v>3790</v>
          </cell>
          <cell r="B3792">
            <v>2</v>
          </cell>
          <cell r="C3792" t="str">
            <v>ΒΟΟΕΙΔΗ</v>
          </cell>
          <cell r="D3792">
            <v>212726</v>
          </cell>
          <cell r="E3792" t="str">
            <v>ΒΟΟΕΙΔΗ212726</v>
          </cell>
          <cell r="F3792" t="str">
            <v>ΒΟΟΕΙΔΗ, ΘΗΛΥΚΑ, &gt; 6 ΕΤΩΝ, ΚΡΕΟΠΑΡΑΓΩΓΗΣ, ΛΟΙΠΗ (&lt;400kg)</v>
          </cell>
          <cell r="G3792" t="str">
            <v>C_2_5</v>
          </cell>
          <cell r="H3792" t="str">
            <v>Δαμάλες, ηλικίας 2 ετών και άνω</v>
          </cell>
          <cell r="I3792">
            <v>1068</v>
          </cell>
          <cell r="O3792" t="str">
            <v/>
          </cell>
          <cell r="P3792">
            <v>58</v>
          </cell>
        </row>
        <row r="3793">
          <cell r="A3793">
            <v>3791</v>
          </cell>
          <cell r="B3793">
            <v>2</v>
          </cell>
          <cell r="C3793" t="str">
            <v>ΒΟΟΕΙΔΗ</v>
          </cell>
          <cell r="D3793">
            <v>212727</v>
          </cell>
          <cell r="E3793" t="str">
            <v>ΒΟΟΕΙΔΗ212727</v>
          </cell>
          <cell r="F3793" t="str">
            <v>ΒΟΟΕΙΔΗ, ΘΗΛΥΚΑ, &gt; 6 ΕΤΩΝ, ΚΡΕΟΠΑΡΑΓΩΓΗΣ, ΛΟΙΠΗ (400 - 550kg)</v>
          </cell>
          <cell r="G3793" t="str">
            <v>C_2_5</v>
          </cell>
          <cell r="H3793" t="str">
            <v>Δαμάλες, ηλικίας 2 ετών και άνω</v>
          </cell>
          <cell r="I3793">
            <v>1068</v>
          </cell>
          <cell r="O3793" t="str">
            <v/>
          </cell>
          <cell r="P3793">
            <v>58</v>
          </cell>
        </row>
        <row r="3794">
          <cell r="A3794">
            <v>3792</v>
          </cell>
          <cell r="B3794">
            <v>2</v>
          </cell>
          <cell r="C3794" t="str">
            <v>ΒΟΟΕΙΔΗ</v>
          </cell>
          <cell r="D3794">
            <v>212732</v>
          </cell>
          <cell r="E3794" t="str">
            <v>ΒΟΟΕΙΔΗ212732</v>
          </cell>
          <cell r="F3794" t="str">
            <v>ΒΟΟΕΙΔΗ, ΘΗΛΥΚΑ, &gt; 6 ΕΤΩΝ, ΜΙΚΤΗ, ΑΥΤΟΧΘΟΝΗ</v>
          </cell>
          <cell r="G3794" t="str">
            <v>C_2_5</v>
          </cell>
          <cell r="H3794" t="str">
            <v>Δαμάλες, ηλικίας 2 ετών και άνω</v>
          </cell>
          <cell r="I3794">
            <v>1068</v>
          </cell>
          <cell r="O3794" t="str">
            <v/>
          </cell>
          <cell r="P3794">
            <v>105</v>
          </cell>
        </row>
        <row r="3795">
          <cell r="A3795">
            <v>3793</v>
          </cell>
          <cell r="B3795">
            <v>2</v>
          </cell>
          <cell r="C3795" t="str">
            <v>ΒΟΟΕΙΔΗ</v>
          </cell>
          <cell r="D3795">
            <v>212733</v>
          </cell>
          <cell r="E3795" t="str">
            <v>ΒΟΟΕΙΔΗ212733</v>
          </cell>
          <cell r="F3795" t="str">
            <v>ΒΟΟΕΙΔΗ, ΘΗΛΥΚΑ, &gt; 6 ΕΤΩΝ, ΜΙΚΤΗ, ΚΑΘΑΡΟΑΙΜΗ</v>
          </cell>
          <cell r="G3795" t="str">
            <v>C_2_5</v>
          </cell>
          <cell r="H3795" t="str">
            <v>Δαμάλες, ηλικίας 2 ετών και άνω</v>
          </cell>
          <cell r="I3795">
            <v>1068</v>
          </cell>
          <cell r="O3795" t="str">
            <v/>
          </cell>
          <cell r="P3795">
            <v>105</v>
          </cell>
        </row>
        <row r="3796">
          <cell r="A3796">
            <v>3794</v>
          </cell>
          <cell r="B3796">
            <v>2</v>
          </cell>
          <cell r="C3796" t="str">
            <v>ΒΟΟΕΙΔΗ</v>
          </cell>
          <cell r="D3796">
            <v>212734</v>
          </cell>
          <cell r="E3796" t="str">
            <v>ΒΟΟΕΙΔΗ212734</v>
          </cell>
          <cell r="F3796" t="str">
            <v>ΒΟΟΕΙΔΗ, ΘΗΛΥΚΑ, &gt; 6 ΕΤΩΝ, ΜΙΚΤΗ, ΛΟΙΠΗ</v>
          </cell>
          <cell r="G3796" t="str">
            <v>C_2_5</v>
          </cell>
          <cell r="H3796" t="str">
            <v>Δαμάλες, ηλικίας 2 ετών και άνω</v>
          </cell>
          <cell r="I3796">
            <v>1068</v>
          </cell>
          <cell r="O3796" t="str">
            <v/>
          </cell>
          <cell r="P3796">
            <v>105</v>
          </cell>
        </row>
        <row r="3797">
          <cell r="A3797">
            <v>3795</v>
          </cell>
          <cell r="B3797">
            <v>3</v>
          </cell>
          <cell r="C3797" t="str">
            <v>ΙΠΠΟΕΙΔΗ</v>
          </cell>
          <cell r="D3797">
            <v>310304</v>
          </cell>
          <cell r="E3797" t="str">
            <v>ΙΠΠΟΕΙΔΗ310304</v>
          </cell>
          <cell r="F3797" t="str">
            <v>ΙΠΠΟΙ, &lt; 6 ΜΗΝΩΝ, ΛΟΙΠΗ</v>
          </cell>
          <cell r="G3797" t="str">
            <v>C_1</v>
          </cell>
          <cell r="H3797" t="str">
            <v>Ιπποειδή</v>
          </cell>
          <cell r="I3797">
            <v>358</v>
          </cell>
          <cell r="O3797" t="str">
            <v/>
          </cell>
          <cell r="P3797">
            <v>20</v>
          </cell>
        </row>
        <row r="3798">
          <cell r="A3798">
            <v>3796</v>
          </cell>
          <cell r="B3798">
            <v>3</v>
          </cell>
          <cell r="C3798" t="str">
            <v>ΙΠΠΟΕΙΔΗ</v>
          </cell>
          <cell r="D3798">
            <v>311302</v>
          </cell>
          <cell r="E3798" t="str">
            <v>ΙΠΠΟΕΙΔΗ311302</v>
          </cell>
          <cell r="F3798" t="str">
            <v>ΙΠΠΟΙ, ΑΡΣΕΝΙΚΟΙ, &lt; 6 ΜΗΝΩΝ, ΑΥΤΟΧΘΟΝΗ</v>
          </cell>
          <cell r="G3798" t="str">
            <v>C_1</v>
          </cell>
          <cell r="H3798" t="str">
            <v>Ιπποειδή</v>
          </cell>
          <cell r="I3798">
            <v>358</v>
          </cell>
          <cell r="O3798" t="str">
            <v/>
          </cell>
          <cell r="P3798">
            <v>20</v>
          </cell>
        </row>
        <row r="3799">
          <cell r="A3799">
            <v>3797</v>
          </cell>
          <cell r="B3799">
            <v>3</v>
          </cell>
          <cell r="C3799" t="str">
            <v>ΙΠΠΟΕΙΔΗ</v>
          </cell>
          <cell r="D3799">
            <v>311402</v>
          </cell>
          <cell r="E3799" t="str">
            <v>ΙΠΠΟΕΙΔΗ311402</v>
          </cell>
          <cell r="F3799" t="str">
            <v>ΙΠΠΟΙ, ΑΡΣΕΝΙΚΟΙ, &gt; 6 ΜΗΝΩΝ, ΑΥΤΟΧΘΟΝΗ</v>
          </cell>
          <cell r="G3799" t="str">
            <v>C_1</v>
          </cell>
          <cell r="H3799" t="str">
            <v>Ιπποειδή</v>
          </cell>
          <cell r="I3799">
            <v>358</v>
          </cell>
          <cell r="O3799" t="str">
            <v/>
          </cell>
          <cell r="P3799">
            <v>20</v>
          </cell>
        </row>
        <row r="3800">
          <cell r="A3800">
            <v>3798</v>
          </cell>
          <cell r="B3800">
            <v>2</v>
          </cell>
          <cell r="C3800" t="str">
            <v>ΙΠΠΟΕΙΔΗ</v>
          </cell>
          <cell r="D3800">
            <v>311404</v>
          </cell>
          <cell r="E3800" t="str">
            <v>ΙΠΠΟΕΙΔΗ311404</v>
          </cell>
          <cell r="F3800" t="str">
            <v>ΙΠΠΟΙ, ΑΡΣΕΝΙΚΟΙ &gt; 6 ΜΗΝΩΝ, ΛΟΙΠΗ</v>
          </cell>
          <cell r="G3800" t="str">
            <v>C_1</v>
          </cell>
          <cell r="H3800" t="str">
            <v>Ιπποειδή</v>
          </cell>
          <cell r="I3800">
            <v>358</v>
          </cell>
          <cell r="O3800" t="str">
            <v/>
          </cell>
          <cell r="P3800">
            <v>20</v>
          </cell>
        </row>
        <row r="3801">
          <cell r="A3801">
            <v>3799</v>
          </cell>
          <cell r="B3801">
            <v>3</v>
          </cell>
          <cell r="C3801" t="str">
            <v>ΙΠΠΟΕΙΔΗ</v>
          </cell>
          <cell r="D3801">
            <v>312302</v>
          </cell>
          <cell r="E3801" t="str">
            <v>ΙΠΠΟΕΙΔΗ312302</v>
          </cell>
          <cell r="F3801" t="str">
            <v>ΙΠΠΟΙ, ΘΗΛΥΚΟΙ, &lt; 6 ΜΗΝΩΝ, ΑΥΤΟΧΘΟΝΗ</v>
          </cell>
          <cell r="G3801" t="str">
            <v>C_1</v>
          </cell>
          <cell r="H3801" t="str">
            <v>Ιπποειδή</v>
          </cell>
          <cell r="I3801">
            <v>358</v>
          </cell>
          <cell r="O3801" t="str">
            <v/>
          </cell>
          <cell r="P3801">
            <v>20</v>
          </cell>
        </row>
        <row r="3802">
          <cell r="A3802">
            <v>3800</v>
          </cell>
          <cell r="B3802">
            <v>3</v>
          </cell>
          <cell r="C3802" t="str">
            <v>ΙΠΠΟΕΙΔΗ</v>
          </cell>
          <cell r="D3802">
            <v>312402</v>
          </cell>
          <cell r="E3802" t="str">
            <v>ΙΠΠΟΕΙΔΗ312402</v>
          </cell>
          <cell r="F3802" t="str">
            <v>ΙΠΠΟΙ, ΘΗΛΥΚΟΙ, &gt; 6 ΜΗΝΩΝ, ΑΥΤΟΧΘΟΝΗ</v>
          </cell>
          <cell r="G3802" t="str">
            <v>C_1</v>
          </cell>
          <cell r="H3802" t="str">
            <v>Ιπποειδή</v>
          </cell>
          <cell r="I3802">
            <v>358</v>
          </cell>
          <cell r="O3802" t="str">
            <v/>
          </cell>
          <cell r="P3802">
            <v>20</v>
          </cell>
        </row>
        <row r="3803">
          <cell r="A3803">
            <v>3801</v>
          </cell>
          <cell r="B3803">
            <v>2</v>
          </cell>
          <cell r="C3803" t="str">
            <v>ΙΠΠΟΕΙΔΗ</v>
          </cell>
          <cell r="D3803">
            <v>312404</v>
          </cell>
          <cell r="E3803" t="str">
            <v>ΙΠΠΟΕΙΔΗ312404</v>
          </cell>
          <cell r="F3803" t="str">
            <v>ΙΠΠΟΙ, ΘΗΛΥΚΟΙ &gt; 6 ΜΗΝΩΝ, ΛΟΙΠΗ</v>
          </cell>
          <cell r="G3803" t="str">
            <v>C_1</v>
          </cell>
          <cell r="H3803" t="str">
            <v>Ιπποειδή</v>
          </cell>
          <cell r="I3803">
            <v>358</v>
          </cell>
          <cell r="O3803" t="str">
            <v/>
          </cell>
          <cell r="P3803">
            <v>20</v>
          </cell>
        </row>
        <row r="3804">
          <cell r="A3804">
            <v>3802</v>
          </cell>
          <cell r="B3804">
            <v>3</v>
          </cell>
          <cell r="C3804" t="str">
            <v>ΙΠΠΟΕΙΔΗ</v>
          </cell>
          <cell r="D3804">
            <v>320300</v>
          </cell>
          <cell r="E3804" t="str">
            <v>ΙΠΠΟΕΙΔΗ320300</v>
          </cell>
          <cell r="F3804" t="str">
            <v>ΙΜΙΟΝΟΙ, &lt; 6 ΜΗΝΩΝ</v>
          </cell>
          <cell r="G3804" t="str">
            <v>C_1</v>
          </cell>
          <cell r="H3804" t="str">
            <v>Ιπποειδή</v>
          </cell>
          <cell r="I3804">
            <v>358</v>
          </cell>
          <cell r="O3804" t="str">
            <v/>
          </cell>
          <cell r="P3804">
            <v>20</v>
          </cell>
        </row>
        <row r="3805">
          <cell r="A3805">
            <v>3803</v>
          </cell>
          <cell r="B3805">
            <v>3</v>
          </cell>
          <cell r="C3805" t="str">
            <v>ΙΠΠΟΕΙΔΗ</v>
          </cell>
          <cell r="D3805">
            <v>320400</v>
          </cell>
          <cell r="E3805" t="str">
            <v>ΙΠΠΟΕΙΔΗ320400</v>
          </cell>
          <cell r="F3805" t="str">
            <v>ΙΜΙΟΝΟΙ, &gt; 6 ΜΗΝΩΝ</v>
          </cell>
          <cell r="G3805" t="str">
            <v>C_1</v>
          </cell>
          <cell r="H3805" t="str">
            <v>Ιπποειδή</v>
          </cell>
          <cell r="I3805">
            <v>358</v>
          </cell>
          <cell r="O3805" t="str">
            <v/>
          </cell>
          <cell r="P3805">
            <v>20</v>
          </cell>
        </row>
        <row r="3806">
          <cell r="A3806">
            <v>3804</v>
          </cell>
          <cell r="B3806">
            <v>3</v>
          </cell>
          <cell r="C3806" t="str">
            <v>ΙΠΠΟΕΙΔΗ</v>
          </cell>
          <cell r="D3806">
            <v>330300</v>
          </cell>
          <cell r="E3806" t="str">
            <v>ΙΠΠΟΕΙΔΗ330300</v>
          </cell>
          <cell r="F3806" t="str">
            <v>ΟΝΟΙ, &lt; 6 ΜΗΝΩΝ</v>
          </cell>
          <cell r="G3806" t="str">
            <v>C_1</v>
          </cell>
          <cell r="H3806" t="str">
            <v>(κάτω των 6 μηνών)</v>
          </cell>
          <cell r="I3806">
            <v>358</v>
          </cell>
          <cell r="O3806" t="str">
            <v/>
          </cell>
          <cell r="P3806">
            <v>20</v>
          </cell>
        </row>
        <row r="3807">
          <cell r="A3807">
            <v>3805</v>
          </cell>
          <cell r="B3807">
            <v>3</v>
          </cell>
          <cell r="C3807" t="str">
            <v>ΙΠΠΟΕΙΔΗ</v>
          </cell>
          <cell r="D3807">
            <v>330400</v>
          </cell>
          <cell r="E3807" t="str">
            <v>ΙΠΠΟΕΙΔΗ330400</v>
          </cell>
          <cell r="F3807" t="str">
            <v>ΟΝΟΙ, &gt; 6 ΜΗΝΩΝ</v>
          </cell>
          <cell r="G3807" t="str">
            <v>C_1</v>
          </cell>
          <cell r="H3807" t="str">
            <v>Ιπποειδή</v>
          </cell>
          <cell r="I3807">
            <v>358</v>
          </cell>
          <cell r="O3807" t="str">
            <v/>
          </cell>
          <cell r="P3807">
            <v>20</v>
          </cell>
        </row>
        <row r="3808">
          <cell r="A3808">
            <v>3806</v>
          </cell>
          <cell r="B3808">
            <v>4</v>
          </cell>
          <cell r="C3808" t="str">
            <v>ΧΟΙΡΟΙ</v>
          </cell>
          <cell r="D3808">
            <v>410002</v>
          </cell>
          <cell r="E3808" t="str">
            <v>ΧΟΙΡΟΙ410002</v>
          </cell>
          <cell r="F3808" t="str">
            <v>ΚΑΠΡΟΙ ΑΥΤΟΧΘΟΝΗ</v>
          </cell>
          <cell r="G3808" t="str">
            <v>C_4_99</v>
          </cell>
          <cell r="H3808" t="str">
            <v xml:space="preserve">Λοιποί χοίροι </v>
          </cell>
          <cell r="I3808">
            <v>220</v>
          </cell>
          <cell r="O3808" t="str">
            <v/>
          </cell>
          <cell r="P3808">
            <v>28.38</v>
          </cell>
        </row>
        <row r="3809">
          <cell r="A3809">
            <v>3807</v>
          </cell>
          <cell r="B3809">
            <v>4</v>
          </cell>
          <cell r="C3809" t="str">
            <v>ΧΟΙΡΟΙ</v>
          </cell>
          <cell r="D3809">
            <v>410004</v>
          </cell>
          <cell r="E3809" t="str">
            <v>ΧΟΙΡΟΙ410004</v>
          </cell>
          <cell r="F3809" t="str">
            <v>ΚΑΠΡΟΙ ΛΟΙΠΗ</v>
          </cell>
          <cell r="G3809" t="str">
            <v>C_4_99</v>
          </cell>
          <cell r="H3809" t="str">
            <v xml:space="preserve">Λοιποί χοίροι </v>
          </cell>
          <cell r="I3809">
            <v>220</v>
          </cell>
          <cell r="O3809" t="str">
            <v/>
          </cell>
          <cell r="P3809">
            <v>28.38</v>
          </cell>
        </row>
        <row r="3810">
          <cell r="A3810">
            <v>3808</v>
          </cell>
          <cell r="B3810">
            <v>4</v>
          </cell>
          <cell r="C3810" t="str">
            <v>ΧΟΙΡΟΙ</v>
          </cell>
          <cell r="D3810">
            <v>420002</v>
          </cell>
          <cell r="E3810" t="str">
            <v>ΧΟΙΡΟΙ420002</v>
          </cell>
          <cell r="F3810" t="str">
            <v>ΧΟΙΡΟΜΗΤΕΡΕΣ, ΑΥΤΟΧΘΟΝΗ</v>
          </cell>
          <cell r="G3810" t="str">
            <v>C_4_2</v>
          </cell>
          <cell r="H3810" t="str">
            <v>Χοιρομητέρες αναπαραγωγής βαρούς 50 κιλών και άνω</v>
          </cell>
          <cell r="I3810">
            <v>597</v>
          </cell>
          <cell r="O3810" t="str">
            <v/>
          </cell>
          <cell r="P3810">
            <v>77</v>
          </cell>
        </row>
        <row r="3811">
          <cell r="A3811">
            <v>3809</v>
          </cell>
          <cell r="B3811">
            <v>4</v>
          </cell>
          <cell r="C3811" t="str">
            <v>ΧΟΙΡΟΙ</v>
          </cell>
          <cell r="D3811">
            <v>420004</v>
          </cell>
          <cell r="E3811" t="str">
            <v>ΧΟΙΡΟΙ420004</v>
          </cell>
          <cell r="F3811" t="str">
            <v>ΧΟΙΡΟΜΗΤΕΡΕΣ ΛΟΙΠΗ</v>
          </cell>
          <cell r="G3811" t="str">
            <v>C_4_2</v>
          </cell>
          <cell r="H3811" t="str">
            <v>Χοιρομητέρες αναπαραγωγής βαρούς 50 κιλών και άνω</v>
          </cell>
          <cell r="I3811">
            <v>597</v>
          </cell>
          <cell r="O3811" t="str">
            <v/>
          </cell>
          <cell r="P3811">
            <v>77</v>
          </cell>
        </row>
        <row r="3812">
          <cell r="A3812">
            <v>3810</v>
          </cell>
          <cell r="B3812">
            <v>4</v>
          </cell>
          <cell r="C3812" t="str">
            <v>ΧΟΙΡΟΙ</v>
          </cell>
          <cell r="D3812">
            <v>431002</v>
          </cell>
          <cell r="E3812" t="str">
            <v>ΧΟΙΡΟΙ431002</v>
          </cell>
          <cell r="F3812" t="str">
            <v>ΠΑΧΥΝΟΜΕΝΑ ΧΟΙΡΙΔΙΑ, ΑΡΣΕΝΙΚΑ, ΑΥΤΟΧΘΟΝΗ</v>
          </cell>
          <cell r="G3812" t="str">
            <v>C_4_1</v>
          </cell>
          <cell r="H3812" t="str">
            <v>Χοιρίδια βάρους ζώντος ζώου κάτω των 20 κιλών</v>
          </cell>
          <cell r="I3812">
            <v>67</v>
          </cell>
          <cell r="O3812" t="str">
            <v/>
          </cell>
          <cell r="P3812">
            <v>8.64</v>
          </cell>
        </row>
        <row r="3813">
          <cell r="A3813">
            <v>3811</v>
          </cell>
          <cell r="B3813">
            <v>4</v>
          </cell>
          <cell r="C3813" t="str">
            <v>ΧΟΙΡΟΙ</v>
          </cell>
          <cell r="D3813">
            <v>431004</v>
          </cell>
          <cell r="E3813" t="str">
            <v>ΧΟΙΡΟΙ431004</v>
          </cell>
          <cell r="F3813" t="str">
            <v>ΠΑΧΥΝΟΜΕΝΑ ΧΟΙΡΙΔΙΑ, ΑΡΣΕΝΙΚΑ, ΛΟΙΠΗ</v>
          </cell>
          <cell r="G3813" t="str">
            <v>C_4_1</v>
          </cell>
          <cell r="H3813" t="str">
            <v>Χοιρίδια βάρους ζώντος ζώου κάτω των 20 κιλών</v>
          </cell>
          <cell r="I3813">
            <v>67</v>
          </cell>
          <cell r="O3813" t="str">
            <v/>
          </cell>
          <cell r="P3813">
            <v>8.64</v>
          </cell>
        </row>
        <row r="3814">
          <cell r="A3814">
            <v>3812</v>
          </cell>
          <cell r="B3814">
            <v>4</v>
          </cell>
          <cell r="C3814" t="str">
            <v>ΧΟΙΡΟΙ</v>
          </cell>
          <cell r="D3814">
            <v>432002</v>
          </cell>
          <cell r="E3814" t="str">
            <v>ΧΟΙΡΟΙ432002</v>
          </cell>
          <cell r="F3814" t="str">
            <v>ΠΑΧΥΝΟΜΕΝΑ ΧΟΙΡΙΔΙΑ, ΘΗΛΥΚΑ, ΑΥΤΟΧΘΟΝΗ</v>
          </cell>
          <cell r="G3814" t="str">
            <v>C_4_1</v>
          </cell>
          <cell r="H3814" t="str">
            <v>Χοιρίδια βάρους ζώντος ζώου κάτω των 20 κιλών</v>
          </cell>
          <cell r="I3814">
            <v>67</v>
          </cell>
          <cell r="O3814" t="str">
            <v/>
          </cell>
          <cell r="P3814">
            <v>8.64</v>
          </cell>
        </row>
        <row r="3815">
          <cell r="A3815">
            <v>3813</v>
          </cell>
          <cell r="B3815">
            <v>4</v>
          </cell>
          <cell r="C3815" t="str">
            <v>ΧΟΙΡΟΙ</v>
          </cell>
          <cell r="D3815">
            <v>432004</v>
          </cell>
          <cell r="E3815" t="str">
            <v>ΧΟΙΡΟΙ432004</v>
          </cell>
          <cell r="F3815" t="str">
            <v>ΠΑΧΥΝΟΜΕΝΑ ΧΟΙΡΙΔΙΑ, ΘΗΛΥΚΑ, ΛΟΙΠΗ</v>
          </cell>
          <cell r="G3815" t="str">
            <v>C_4_1</v>
          </cell>
          <cell r="H3815" t="str">
            <v>Χοιρίδια βάρους ζώντος ζώου κάτω των 20 κιλών</v>
          </cell>
          <cell r="I3815">
            <v>67</v>
          </cell>
          <cell r="O3815" t="str">
            <v/>
          </cell>
          <cell r="P3815">
            <v>8.64</v>
          </cell>
        </row>
        <row r="3816">
          <cell r="A3816">
            <v>3814</v>
          </cell>
          <cell r="B3816">
            <v>6</v>
          </cell>
          <cell r="C3816" t="str">
            <v>ΟΡΝΙΘΟΕΙΔΗ</v>
          </cell>
          <cell r="D3816">
            <v>610020</v>
          </cell>
          <cell r="E3816" t="str">
            <v>ΟΡΝΙΘΟΕΙΔΗ610020</v>
          </cell>
          <cell r="F3816" t="str">
            <v>ΟΡΝΙΘΕΣ ΚΡΕΟΠΑΡΑΓΩΓΗΣ</v>
          </cell>
          <cell r="G3816" t="str">
            <v>C_5_1</v>
          </cell>
          <cell r="H3816" t="str">
            <v>Κοτόπουλα κρεατοπαραγωγής (100 ζώα)</v>
          </cell>
          <cell r="I3816">
            <v>398</v>
          </cell>
          <cell r="O3816" t="str">
            <v/>
          </cell>
          <cell r="P3816">
            <v>0.05</v>
          </cell>
        </row>
        <row r="3817">
          <cell r="A3817">
            <v>3815</v>
          </cell>
          <cell r="B3817">
            <v>6</v>
          </cell>
          <cell r="C3817" t="str">
            <v>ΟΡΝΙΘΟΕΙΔΗ</v>
          </cell>
          <cell r="D3817">
            <v>610040</v>
          </cell>
          <cell r="E3817" t="str">
            <v>ΟΡΝΙΘΟΕΙΔΗ610040</v>
          </cell>
          <cell r="F3817" t="str">
            <v>ΟΡΝΙΘΕΣ ΑΝΑΠΑΡΑΓΩΓΗΣ</v>
          </cell>
          <cell r="G3817" t="str">
            <v>C_5_2</v>
          </cell>
          <cell r="H3817" t="str">
            <v>Ωοτόκες όρνιθες (100 ζώα)</v>
          </cell>
          <cell r="I3817">
            <v>1957</v>
          </cell>
          <cell r="O3817" t="str">
            <v/>
          </cell>
          <cell r="P3817">
            <v>0.45</v>
          </cell>
        </row>
        <row r="3818">
          <cell r="A3818">
            <v>3816</v>
          </cell>
          <cell r="B3818">
            <v>6</v>
          </cell>
          <cell r="C3818" t="str">
            <v>ΟΡΝΙΘΟΕΙΔΗ</v>
          </cell>
          <cell r="D3818">
            <v>610050</v>
          </cell>
          <cell r="E3818" t="str">
            <v>ΟΡΝΙΘΟΕΙΔΗ610050</v>
          </cell>
          <cell r="F3818" t="str">
            <v>ΟΡΝΙΘΕΣ ΩΟΠΑΡΑΓΩΓΗΣ</v>
          </cell>
          <cell r="G3818" t="str">
            <v>C_5_2</v>
          </cell>
          <cell r="H3818" t="str">
            <v>Ωοτόκες όρνιθες (100 ζώα)</v>
          </cell>
          <cell r="I3818">
            <v>1957</v>
          </cell>
          <cell r="O3818" t="str">
            <v/>
          </cell>
          <cell r="P3818">
            <v>0.45</v>
          </cell>
        </row>
        <row r="3819">
          <cell r="A3819">
            <v>3817</v>
          </cell>
          <cell r="B3819">
            <v>6</v>
          </cell>
          <cell r="C3819" t="str">
            <v>ΟΡΝΙΘΟΕΙΔΗ</v>
          </cell>
          <cell r="D3819">
            <v>620020</v>
          </cell>
          <cell r="E3819" t="str">
            <v>ΟΡΝΙΘΟΕΙΔΗ620020</v>
          </cell>
          <cell r="F3819" t="str">
            <v>ΧΗΝΕΣ ΚΡΕΟΠΑΡΑΓΩΓΗΣ</v>
          </cell>
          <cell r="G3819" t="str">
            <v>C_5_3</v>
          </cell>
          <cell r="H3819" t="str">
            <v>Λοιπά πουλερικά που δεν αναφέρονται αλλού (100 ζώα)</v>
          </cell>
          <cell r="I3819">
            <v>1457</v>
          </cell>
          <cell r="O3819" t="str">
            <v/>
          </cell>
          <cell r="P3819">
            <v>0.4</v>
          </cell>
        </row>
        <row r="3820">
          <cell r="A3820">
            <v>3818</v>
          </cell>
          <cell r="B3820">
            <v>6</v>
          </cell>
          <cell r="C3820" t="str">
            <v>ΟΡΝΙΘΟΕΙΔΗ</v>
          </cell>
          <cell r="D3820">
            <v>620040</v>
          </cell>
          <cell r="E3820" t="str">
            <v>ΟΡΝΙΘΟΕΙΔΗ620040</v>
          </cell>
          <cell r="F3820" t="str">
            <v>ΧΗΝΕΣ ΑΝΑΠΑΡΑΓΩΓΗΣ</v>
          </cell>
          <cell r="G3820" t="str">
            <v>C_5_3</v>
          </cell>
          <cell r="H3820" t="str">
            <v>Λοιπά πουλερικά που δεν αναφέρονται αλλού (100 ζώα)</v>
          </cell>
          <cell r="I3820">
            <v>1457</v>
          </cell>
          <cell r="O3820" t="str">
            <v/>
          </cell>
          <cell r="P3820">
            <v>0.4</v>
          </cell>
        </row>
        <row r="3821">
          <cell r="A3821">
            <v>3819</v>
          </cell>
          <cell r="B3821">
            <v>6</v>
          </cell>
          <cell r="C3821" t="str">
            <v>ΟΡΝΙΘΟΕΙΔΗ</v>
          </cell>
          <cell r="D3821">
            <v>630020</v>
          </cell>
          <cell r="E3821" t="str">
            <v>ΟΡΝΙΘΟΕΙΔΗ630020</v>
          </cell>
          <cell r="F3821" t="str">
            <v>ΠΑΠΙΕΣ ΚΡΕΟΠΑΡΑΓΩΓΗΣ</v>
          </cell>
          <cell r="G3821" t="str">
            <v>C_5_3</v>
          </cell>
          <cell r="H3821" t="str">
            <v>Λοιπά πουλερικά που δεν αναφέρονται αλλού (100 ζώα)</v>
          </cell>
          <cell r="I3821">
            <v>1457</v>
          </cell>
          <cell r="O3821" t="str">
            <v/>
          </cell>
          <cell r="P3821">
            <v>0.45</v>
          </cell>
        </row>
        <row r="3822">
          <cell r="A3822">
            <v>3820</v>
          </cell>
          <cell r="B3822">
            <v>6</v>
          </cell>
          <cell r="C3822" t="str">
            <v>ΟΡΝΙΘΟΕΙΔΗ</v>
          </cell>
          <cell r="D3822">
            <v>630040</v>
          </cell>
          <cell r="E3822" t="str">
            <v>ΟΡΝΙΘΟΕΙΔΗ630040</v>
          </cell>
          <cell r="F3822" t="str">
            <v>ΠΑΠΙΕΣ ΑΝΑΠΑΡΑΓΩΓΗΣ</v>
          </cell>
          <cell r="G3822" t="str">
            <v>C_5_3</v>
          </cell>
          <cell r="H3822" t="str">
            <v>Λοιπά πουλερικά που δεν αναφέρονται αλλού (100 ζώα)</v>
          </cell>
          <cell r="I3822">
            <v>1457</v>
          </cell>
          <cell r="O3822" t="str">
            <v/>
          </cell>
          <cell r="P3822">
            <v>0.45</v>
          </cell>
        </row>
        <row r="3823">
          <cell r="A3823">
            <v>3821</v>
          </cell>
          <cell r="B3823">
            <v>6</v>
          </cell>
          <cell r="C3823" t="str">
            <v>ΟΡΝΙΘΟΕΙΔΗ</v>
          </cell>
          <cell r="D3823">
            <v>640020</v>
          </cell>
          <cell r="E3823" t="str">
            <v>ΟΡΝΙΘΟΕΙΔΗ640020</v>
          </cell>
          <cell r="F3823" t="str">
            <v>ΓΑΛΟΠΟΥΛΕΣ ΚΡΕΟΠΑΡΑΓΩΓΗΣ</v>
          </cell>
          <cell r="G3823" t="str">
            <v>C_5_3</v>
          </cell>
          <cell r="H3823" t="str">
            <v>Λοιπά πουλερικά που δεν αναφέρονται αλλού (100 ζώα)</v>
          </cell>
          <cell r="I3823">
            <v>1457</v>
          </cell>
          <cell r="O3823" t="str">
            <v/>
          </cell>
          <cell r="P3823">
            <v>0.4</v>
          </cell>
        </row>
        <row r="3824">
          <cell r="A3824">
            <v>3822</v>
          </cell>
          <cell r="B3824">
            <v>6</v>
          </cell>
          <cell r="C3824" t="str">
            <v>ΟΡΝΙΘΟΕΙΔΗ</v>
          </cell>
          <cell r="D3824">
            <v>640040</v>
          </cell>
          <cell r="E3824" t="str">
            <v>ΟΡΝΙΘΟΕΙΔΗ640040</v>
          </cell>
          <cell r="F3824" t="str">
            <v>ΓΑΛΟΠΟΥΛΕΣ ΑΝΑΠΑΡΑΓΩΓΗΣ</v>
          </cell>
          <cell r="G3824" t="str">
            <v>C_5_3</v>
          </cell>
          <cell r="H3824" t="str">
            <v>Λοιπά πουλερικά που δεν αναφέρονται αλλού (100 ζώα)</v>
          </cell>
          <cell r="I3824">
            <v>1457</v>
          </cell>
          <cell r="O3824" t="str">
            <v/>
          </cell>
          <cell r="P3824">
            <v>0.4</v>
          </cell>
        </row>
        <row r="3825">
          <cell r="A3825">
            <v>3823</v>
          </cell>
          <cell r="B3825">
            <v>6</v>
          </cell>
          <cell r="C3825" t="str">
            <v>ΟΡΝΙΘΟΕΙΔΗ</v>
          </cell>
          <cell r="D3825">
            <v>650020</v>
          </cell>
          <cell r="E3825" t="str">
            <v>ΟΡΝΙΘΟΕΙΔΗ650020</v>
          </cell>
          <cell r="F3825" t="str">
            <v>ΣΤΡΟΥΘΟΚΑΜΗΛΟΙ ΚΡΕΟΠΑΡΑΓΩΓΗΣ</v>
          </cell>
          <cell r="I3825">
            <v>0</v>
          </cell>
          <cell r="O3825" t="str">
            <v/>
          </cell>
          <cell r="P3825" t="e">
            <v>#N/A</v>
          </cell>
        </row>
        <row r="3826">
          <cell r="A3826">
            <v>3824</v>
          </cell>
          <cell r="B3826">
            <v>6</v>
          </cell>
          <cell r="C3826" t="str">
            <v>ΟΡΝΙΘΟΕΙΔΗ</v>
          </cell>
          <cell r="D3826">
            <v>650040</v>
          </cell>
          <cell r="E3826" t="str">
            <v>ΟΡΝΙΘΟΕΙΔΗ650040</v>
          </cell>
          <cell r="F3826" t="str">
            <v>ΣΤΡΟΥΘΟΚΑΜΗΛΟΙ ΑΝΑΠΑΡΑΓΩΓΗΣ</v>
          </cell>
          <cell r="I3826">
            <v>0</v>
          </cell>
          <cell r="O3826" t="str">
            <v/>
          </cell>
          <cell r="P3826" t="e">
            <v>#N/A</v>
          </cell>
        </row>
        <row r="3827">
          <cell r="A3827">
            <v>3825</v>
          </cell>
          <cell r="B3827">
            <v>8</v>
          </cell>
          <cell r="C3827" t="str">
            <v>ΚΟΝΙΚΛΟΕΙΔΗ</v>
          </cell>
          <cell r="D3827">
            <v>810000</v>
          </cell>
          <cell r="E3827" t="str">
            <v>ΚΟΝΙΚΛΟΕΙΔΗ810000</v>
          </cell>
          <cell r="F3827" t="str">
            <v>ΚΟΥΝΕΛΙΑ</v>
          </cell>
          <cell r="G3827" t="str">
            <v>C_6</v>
          </cell>
          <cell r="H3827" t="str">
            <v>Κουνέλια, κονικλομητέρες αναπαραγωγής</v>
          </cell>
          <cell r="I3827">
            <v>63</v>
          </cell>
          <cell r="O3827" t="str">
            <v/>
          </cell>
          <cell r="P3827">
            <v>0.5</v>
          </cell>
        </row>
        <row r="3828">
          <cell r="A3828">
            <v>3826</v>
          </cell>
          <cell r="B3828">
            <v>8</v>
          </cell>
          <cell r="C3828" t="str">
            <v>ΚΟΝΙΚΛΟΕΙΔΗ</v>
          </cell>
          <cell r="D3828">
            <v>820000</v>
          </cell>
          <cell r="E3828" t="str">
            <v>ΚΟΝΙΚΛΟΕΙΔΗ820000</v>
          </cell>
          <cell r="F3828" t="str">
            <v>ΛΑΓΟΙ</v>
          </cell>
          <cell r="G3828" t="str">
            <v>C_6</v>
          </cell>
          <cell r="H3828" t="str">
            <v>Κουνέλια, κονικλομητέρες αναπαραγωγής</v>
          </cell>
          <cell r="I3828">
            <v>63</v>
          </cell>
          <cell r="O3828" t="str">
            <v/>
          </cell>
          <cell r="P3828">
            <v>0.5</v>
          </cell>
        </row>
        <row r="3829">
          <cell r="A3829">
            <v>3827</v>
          </cell>
          <cell r="B3829">
            <v>9</v>
          </cell>
          <cell r="C3829" t="str">
            <v>ΘΗΡΑΜΑΤΙΚΑ ΠΤΗΝΑ</v>
          </cell>
          <cell r="D3829">
            <v>910000</v>
          </cell>
          <cell r="E3829" t="str">
            <v>ΘΗΡΑΜΑΤΙΚΑ ΠΤΗΝΑ910000</v>
          </cell>
          <cell r="F3829" t="str">
            <v>ΦΑΣΙΑΝΟΙ</v>
          </cell>
          <cell r="G3829" t="str">
            <v>C_5_3</v>
          </cell>
          <cell r="H3829" t="str">
            <v>Λοιπά πουλερικά που δεν αναφέρονται αλλού</v>
          </cell>
          <cell r="I3829">
            <v>1457</v>
          </cell>
          <cell r="O3829" t="str">
            <v/>
          </cell>
          <cell r="P3829">
            <v>0.21</v>
          </cell>
        </row>
        <row r="3830">
          <cell r="A3830">
            <v>3828</v>
          </cell>
          <cell r="B3830">
            <v>9</v>
          </cell>
          <cell r="C3830" t="str">
            <v>ΘΗΡΑΜΑΤΙΚΑ ΠΤΗΝΑ</v>
          </cell>
          <cell r="D3830">
            <v>920000</v>
          </cell>
          <cell r="E3830" t="str">
            <v>ΘΗΡΑΜΑΤΙΚΑ ΠΤΗΝΑ920000</v>
          </cell>
          <cell r="F3830" t="str">
            <v>ΠΕΡΔΙΚΕΣ</v>
          </cell>
          <cell r="G3830" t="str">
            <v>C_5_3</v>
          </cell>
          <cell r="H3830" t="str">
            <v>Λοιπά πουλερικά που δεν αναφέρονται αλλού</v>
          </cell>
          <cell r="I3830">
            <v>1457</v>
          </cell>
          <cell r="O3830" t="str">
            <v/>
          </cell>
          <cell r="P3830">
            <v>0.21</v>
          </cell>
        </row>
        <row r="3831">
          <cell r="A3831">
            <v>3829</v>
          </cell>
          <cell r="B3831">
            <v>9</v>
          </cell>
          <cell r="C3831" t="str">
            <v>ΘΗΡΑΜΑΤΙΚΑ ΠΤΗΝΑ</v>
          </cell>
          <cell r="D3831">
            <v>930000</v>
          </cell>
          <cell r="E3831" t="str">
            <v>ΘΗΡΑΜΑΤΙΚΑ ΠΤΗΝΑ930000</v>
          </cell>
          <cell r="F3831" t="str">
            <v>ΟΡΤΥΚΙΑ</v>
          </cell>
          <cell r="G3831" t="str">
            <v>C_5_3</v>
          </cell>
          <cell r="H3831" t="str">
            <v>Λοιπά πουλερικά που δεν αναφέρονται αλλού</v>
          </cell>
          <cell r="I3831">
            <v>1457</v>
          </cell>
          <cell r="O3831" t="str">
            <v/>
          </cell>
          <cell r="P3831">
            <v>0.11</v>
          </cell>
        </row>
        <row r="3832">
          <cell r="A3832">
            <v>3830</v>
          </cell>
          <cell r="B3832">
            <v>10</v>
          </cell>
          <cell r="C3832" t="str">
            <v>ΚΥΨΕΛΕΣ ΜΕΛΙΣΣΩΝ - ΜΕΛΛΙΣΟΣΜΗΝΗ</v>
          </cell>
          <cell r="D3832">
            <v>1010000</v>
          </cell>
          <cell r="E3832" t="str">
            <v>ΚΥΨΕΛΕΣ ΜΕΛΙΣΣΩΝ - ΜΕΛΛΙΣΟΣΜΗΝΗ1010000</v>
          </cell>
          <cell r="F3832" t="str">
            <v>ΚΥΨΕΛΕΣ ΜΕΛΙΣΣΩΝ - ΜΕΛΛΙΣΟΣΜΗΝΗ</v>
          </cell>
          <cell r="G3832" t="str">
            <v>C_7</v>
          </cell>
          <cell r="H3832" t="str">
            <v>Μέλισσες</v>
          </cell>
          <cell r="I3832">
            <v>74</v>
          </cell>
          <cell r="O3832" t="str">
            <v/>
          </cell>
          <cell r="P3832">
            <v>10.01</v>
          </cell>
        </row>
        <row r="3833">
          <cell r="A3833">
            <v>3831</v>
          </cell>
          <cell r="B3833">
            <v>11</v>
          </cell>
          <cell r="C3833" t="str">
            <v>ΜΕΤΑΞΟΣΚΩΛΗΚΕΣ</v>
          </cell>
          <cell r="D3833">
            <v>1110000</v>
          </cell>
          <cell r="E3833" t="str">
            <v>ΜΕΤΑΞΟΣΚΩΛΗΚΕΣ1110000</v>
          </cell>
          <cell r="F3833" t="str">
            <v>ΜΕΤΑΞΟΣΚΩΛΗΚΕΣ, ΚΟΥΤΙΑ</v>
          </cell>
          <cell r="H3833" t="str">
            <v>Υπολογισμός με ισοδύναμη μέθοδο</v>
          </cell>
          <cell r="I3833">
            <v>42</v>
          </cell>
          <cell r="O3833" t="str">
            <v/>
          </cell>
          <cell r="P3833">
            <v>70</v>
          </cell>
        </row>
        <row r="3834">
          <cell r="A3834">
            <v>3832</v>
          </cell>
          <cell r="B3834">
            <v>12</v>
          </cell>
          <cell r="C3834" t="str">
            <v>ΓΟΥΝΟΦΟΡΑ</v>
          </cell>
          <cell r="D3834">
            <v>1210000</v>
          </cell>
          <cell r="E3834" t="str">
            <v>ΓΟΥΝΟΦΟΡΑ1210000</v>
          </cell>
          <cell r="F3834" t="str">
            <v>ΓΟΥΝΟΦΟΡΑ</v>
          </cell>
          <cell r="H3834" t="str">
            <v>Υπολογισμός με ισοδύναμη μέθοδο</v>
          </cell>
          <cell r="I3834">
            <v>30</v>
          </cell>
          <cell r="O3834" t="str">
            <v/>
          </cell>
          <cell r="P3834">
            <v>3.86</v>
          </cell>
        </row>
        <row r="3835">
          <cell r="A3835">
            <v>3833</v>
          </cell>
          <cell r="B3835">
            <v>13</v>
          </cell>
          <cell r="C3835" t="str">
            <v>ΘΗΡΑΜΑΤΑ</v>
          </cell>
          <cell r="D3835">
            <v>1310000</v>
          </cell>
          <cell r="E3835" t="str">
            <v>ΘΗΡΑΜΑΤΑ1310000</v>
          </cell>
          <cell r="F3835" t="str">
            <v>ΕΛΑΦΙΑ</v>
          </cell>
          <cell r="I3835">
            <v>93</v>
          </cell>
          <cell r="O3835" t="str">
            <v/>
          </cell>
          <cell r="P3835">
            <v>17</v>
          </cell>
        </row>
        <row r="3836">
          <cell r="A3836">
            <v>3834</v>
          </cell>
          <cell r="B3836">
            <v>13</v>
          </cell>
          <cell r="C3836" t="str">
            <v>ΘΗΡΑΜΑΤΑ</v>
          </cell>
          <cell r="D3836">
            <v>1320000</v>
          </cell>
          <cell r="E3836" t="str">
            <v>ΘΗΡΑΜΑΤΑ1320000</v>
          </cell>
          <cell r="F3836" t="str">
            <v>ΖΑΡΚΑΔΙΑ</v>
          </cell>
          <cell r="I3836">
            <v>93</v>
          </cell>
          <cell r="O3836" t="str">
            <v/>
          </cell>
          <cell r="P3836">
            <v>17</v>
          </cell>
        </row>
        <row r="3837">
          <cell r="A3837">
            <v>3835</v>
          </cell>
          <cell r="B3837">
            <v>13</v>
          </cell>
          <cell r="C3837" t="str">
            <v>ΘΗΡΑΜΑΤΑ</v>
          </cell>
          <cell r="D3837">
            <v>1330000</v>
          </cell>
          <cell r="E3837" t="str">
            <v>ΘΗΡΑΜΑΤΑ1330000</v>
          </cell>
          <cell r="F3837" t="str">
            <v>ΑΓΡΙΟΠΡΟΒΑΤΑ</v>
          </cell>
          <cell r="I3837">
            <v>93</v>
          </cell>
          <cell r="O3837" t="str">
            <v/>
          </cell>
          <cell r="P3837">
            <v>17</v>
          </cell>
        </row>
        <row r="3838">
          <cell r="A3838">
            <v>3836</v>
          </cell>
          <cell r="B3838">
            <v>1</v>
          </cell>
          <cell r="C3838" t="str">
            <v>ΑΙΓΟΠΡΟΒΑΤΑ</v>
          </cell>
          <cell r="D3838">
            <v>11100219</v>
          </cell>
          <cell r="E3838" t="str">
            <v>ΑΙΓΟΠΡΟΒΑΤΑ11100219</v>
          </cell>
          <cell r="F3838" t="str">
            <v>ΕΡΙΦΙΑ ΑΡΣΕΝΙΚΑ, ΣΚΟΠΕΛΟΥ</v>
          </cell>
          <cell r="G3838" t="str">
            <v>C_3_2_99</v>
          </cell>
          <cell r="H3838" t="str">
            <v>Λοιπά αιγοειδή</v>
          </cell>
          <cell r="I3838">
            <v>56</v>
          </cell>
          <cell r="N3838" t="str">
            <v>Ναι</v>
          </cell>
          <cell r="O3838" t="str">
            <v>Ναι</v>
          </cell>
          <cell r="P3838">
            <v>20</v>
          </cell>
        </row>
        <row r="3839">
          <cell r="A3839">
            <v>3837</v>
          </cell>
          <cell r="B3839">
            <v>1</v>
          </cell>
          <cell r="C3839" t="str">
            <v>ΑΙΓΟΠΡΟΒΑΤΑ</v>
          </cell>
          <cell r="D3839">
            <v>11200219</v>
          </cell>
          <cell r="E3839" t="str">
            <v>ΑΙΓΟΠΡΟΒΑΤΑ11200219</v>
          </cell>
          <cell r="F3839" t="str">
            <v>ΕΡΙΦΙΑ ΘΗΛΥΚΑ ΣΚΟΠΕΛΟΥ</v>
          </cell>
          <cell r="G3839" t="str">
            <v>C_3_2_99</v>
          </cell>
          <cell r="H3839" t="str">
            <v>Λοιπά αιγοειδή</v>
          </cell>
          <cell r="I3839">
            <v>56</v>
          </cell>
          <cell r="N3839" t="str">
            <v>Ναι</v>
          </cell>
          <cell r="O3839" t="str">
            <v>Ναι</v>
          </cell>
          <cell r="P3839">
            <v>20</v>
          </cell>
        </row>
        <row r="3840">
          <cell r="A3840">
            <v>3838</v>
          </cell>
          <cell r="B3840">
            <v>1</v>
          </cell>
          <cell r="C3840" t="str">
            <v>ΑΙΓΟΠΡΟΒΑΤΑ</v>
          </cell>
          <cell r="D3840">
            <v>12000219</v>
          </cell>
          <cell r="E3840" t="str">
            <v>ΑΙΓΟΠΡΟΒΑΤΑ12000219</v>
          </cell>
          <cell r="F3840" t="str">
            <v>ΑΙΓΕΣ, ΣΚΟΠΕΛΟΥ</v>
          </cell>
          <cell r="G3840" t="str">
            <v>C_3_2_1</v>
          </cell>
          <cell r="H3840" t="str">
            <v>Αίγες θηλυκές αναπαραγωγής</v>
          </cell>
          <cell r="I3840">
            <v>83</v>
          </cell>
          <cell r="N3840" t="str">
            <v>Ναι</v>
          </cell>
          <cell r="O3840" t="str">
            <v>Ναι</v>
          </cell>
          <cell r="P3840">
            <v>20</v>
          </cell>
        </row>
        <row r="3841">
          <cell r="A3841">
            <v>3839</v>
          </cell>
          <cell r="B3841">
            <v>1</v>
          </cell>
          <cell r="C3841" t="str">
            <v>ΑΙΓΟΠΡΟΒΑΤΑ</v>
          </cell>
          <cell r="D3841">
            <v>13100201</v>
          </cell>
          <cell r="E3841" t="str">
            <v>ΑΙΓΟΠΡΟΒΑΤΑ13100201</v>
          </cell>
          <cell r="F3841" t="str">
            <v>ΑΜΝΟΙ ΑΡΣΕΝΙΚΟΙ, ΚΑΤΑΦΥΓΙΟΥ</v>
          </cell>
          <cell r="G3841" t="str">
            <v>C_3_1_99</v>
          </cell>
          <cell r="H3841" t="str">
            <v>Λοιπά προβατοειδή</v>
          </cell>
          <cell r="I3841">
            <v>59</v>
          </cell>
          <cell r="N3841" t="str">
            <v>Ναι</v>
          </cell>
          <cell r="O3841" t="str">
            <v>Ναι</v>
          </cell>
          <cell r="P3841">
            <v>10.78</v>
          </cell>
        </row>
        <row r="3842">
          <cell r="A3842">
            <v>3840</v>
          </cell>
          <cell r="B3842">
            <v>1</v>
          </cell>
          <cell r="C3842" t="str">
            <v>ΑΙΓΟΠΡΟΒΑΤΑ</v>
          </cell>
          <cell r="D3842">
            <v>13100202</v>
          </cell>
          <cell r="E3842" t="str">
            <v>ΑΙΓΟΠΡΟΒΑΤΑ13100202</v>
          </cell>
          <cell r="F3842" t="str">
            <v>ΑΜΝΟΙ ΑΡΣΕΝΙΚΟΙ, ΡΟΥΜΛΟΥΚΙΟΥ</v>
          </cell>
          <cell r="G3842" t="str">
            <v>C_3_1_99</v>
          </cell>
          <cell r="H3842" t="str">
            <v>Λοιπά προβατοειδή</v>
          </cell>
          <cell r="I3842">
            <v>59</v>
          </cell>
          <cell r="N3842" t="str">
            <v>Ναι</v>
          </cell>
          <cell r="O3842" t="str">
            <v>Ναι</v>
          </cell>
          <cell r="P3842">
            <v>10.78</v>
          </cell>
        </row>
        <row r="3843">
          <cell r="A3843">
            <v>3841</v>
          </cell>
          <cell r="B3843">
            <v>1</v>
          </cell>
          <cell r="C3843" t="str">
            <v>ΑΙΓΟΠΡΟΒΑΤΑ</v>
          </cell>
          <cell r="D3843">
            <v>13100203</v>
          </cell>
          <cell r="E3843" t="str">
            <v>ΑΙΓΟΠΡΟΒΑΤΑ13100203</v>
          </cell>
          <cell r="F3843" t="str">
            <v>ΑΜΝΟΙ ΑΡΣΕΝΙΚΟΙ, ΟΡΕΙΝΟ ΗΠΕΙΡΟΥ</v>
          </cell>
          <cell r="G3843" t="str">
            <v>C_3_1_99</v>
          </cell>
          <cell r="H3843" t="str">
            <v>Λοιπά προβατοειδή</v>
          </cell>
          <cell r="I3843">
            <v>59</v>
          </cell>
          <cell r="N3843" t="str">
            <v>Ναι</v>
          </cell>
          <cell r="O3843" t="str">
            <v>Ναι</v>
          </cell>
          <cell r="P3843">
            <v>10.78</v>
          </cell>
        </row>
        <row r="3844">
          <cell r="A3844">
            <v>3842</v>
          </cell>
          <cell r="B3844">
            <v>1</v>
          </cell>
          <cell r="C3844" t="str">
            <v>ΑΙΓΟΠΡΟΒΑΤΑ</v>
          </cell>
          <cell r="D3844">
            <v>13100204</v>
          </cell>
          <cell r="E3844" t="str">
            <v>ΑΙΓΟΠΡΟΒΑΤΑ13100204</v>
          </cell>
          <cell r="F3844" t="str">
            <v>ΑΜΝΟΙ ΑΡΣΕΝΙΚΟΙ, ΙΚΑΡΙΑΣ</v>
          </cell>
          <cell r="G3844" t="str">
            <v>C_3_1_99</v>
          </cell>
          <cell r="H3844" t="str">
            <v>Λοιπά προβατοειδή</v>
          </cell>
          <cell r="I3844">
            <v>59</v>
          </cell>
          <cell r="N3844" t="str">
            <v>Ναι</v>
          </cell>
          <cell r="O3844" t="str">
            <v>Ναι</v>
          </cell>
          <cell r="P3844">
            <v>10.78</v>
          </cell>
        </row>
        <row r="3845">
          <cell r="A3845">
            <v>3843</v>
          </cell>
          <cell r="B3845">
            <v>1</v>
          </cell>
          <cell r="C3845" t="str">
            <v>ΑΙΓΟΠΡΟΒΑΤΑ</v>
          </cell>
          <cell r="D3845">
            <v>13100205</v>
          </cell>
          <cell r="E3845" t="str">
            <v>ΑΙΓΟΠΡΟΒΑΤΑ13100205</v>
          </cell>
          <cell r="F3845" t="str">
            <v>ΑΜΝΟΙ ΑΡΣΕΝΙΚΟΙ, ΛΕΥΚΙΜΗΣ</v>
          </cell>
          <cell r="G3845" t="str">
            <v>C_3_1_99</v>
          </cell>
          <cell r="H3845" t="str">
            <v>Λοιπά προβατοειδή</v>
          </cell>
          <cell r="I3845">
            <v>59</v>
          </cell>
          <cell r="N3845" t="str">
            <v>Ναι</v>
          </cell>
          <cell r="O3845" t="str">
            <v>Ναι</v>
          </cell>
          <cell r="P3845">
            <v>10.78</v>
          </cell>
        </row>
        <row r="3846">
          <cell r="A3846">
            <v>3844</v>
          </cell>
          <cell r="B3846">
            <v>1</v>
          </cell>
          <cell r="C3846" t="str">
            <v>ΑΙΓΟΠΡΟΒΑΤΑ</v>
          </cell>
          <cell r="D3846">
            <v>13100206</v>
          </cell>
          <cell r="E3846" t="str">
            <v>ΑΙΓΟΠΡΟΒΑΤΑ13100206</v>
          </cell>
          <cell r="F3846" t="str">
            <v>ΑΜΝΟΙ ΑΡΣΕΝΙΚΟΙ, ΚΑΤΣΙΚΑ</v>
          </cell>
          <cell r="G3846" t="str">
            <v>C_3_1_99</v>
          </cell>
          <cell r="H3846" t="str">
            <v>Λοιπά προβατοειδή</v>
          </cell>
          <cell r="I3846">
            <v>59</v>
          </cell>
          <cell r="N3846" t="str">
            <v>Ναι</v>
          </cell>
          <cell r="O3846" t="str">
            <v>Ναι</v>
          </cell>
          <cell r="P3846">
            <v>10.78</v>
          </cell>
        </row>
        <row r="3847">
          <cell r="A3847">
            <v>3845</v>
          </cell>
          <cell r="B3847">
            <v>1</v>
          </cell>
          <cell r="C3847" t="str">
            <v>ΑΙΓΟΠΡΟΒΑΤΑ</v>
          </cell>
          <cell r="D3847">
            <v>13100207</v>
          </cell>
          <cell r="E3847" t="str">
            <v>ΑΙΓΟΠΡΟΒΑΤΑ13100207</v>
          </cell>
          <cell r="F3847" t="str">
            <v>ΑΜΝΟΙ ΑΡΣΕΝΙΚΟΙ, ΑΡΓΟΥΣ</v>
          </cell>
          <cell r="G3847" t="str">
            <v>C_3_1_99</v>
          </cell>
          <cell r="H3847" t="str">
            <v>Λοιπά προβατοειδή</v>
          </cell>
          <cell r="I3847">
            <v>59</v>
          </cell>
          <cell r="N3847" t="str">
            <v>Ναι</v>
          </cell>
          <cell r="O3847" t="str">
            <v>Ναι</v>
          </cell>
          <cell r="P3847">
            <v>10.78</v>
          </cell>
        </row>
        <row r="3848">
          <cell r="A3848">
            <v>3846</v>
          </cell>
          <cell r="B3848">
            <v>1</v>
          </cell>
          <cell r="C3848" t="str">
            <v>ΑΙΓΟΠΡΟΒΑΤΑ</v>
          </cell>
          <cell r="D3848">
            <v>13100208</v>
          </cell>
          <cell r="E3848" t="str">
            <v>ΑΙΓΟΠΡΟΒΑΤΑ13100208</v>
          </cell>
          <cell r="F3848" t="str">
            <v>ΑΜΝΟΙ ΑΡΣΕΝΙΚΟΙ, ΖΑΚΥΝΘΟΥ</v>
          </cell>
          <cell r="G3848" t="str">
            <v>C_3_1_99</v>
          </cell>
          <cell r="H3848" t="str">
            <v>Λοιπά προβατοειδή</v>
          </cell>
          <cell r="I3848">
            <v>59</v>
          </cell>
          <cell r="N3848" t="str">
            <v>Ναι</v>
          </cell>
          <cell r="O3848" t="str">
            <v>Ναι</v>
          </cell>
          <cell r="P3848">
            <v>10.78</v>
          </cell>
        </row>
        <row r="3849">
          <cell r="A3849">
            <v>3847</v>
          </cell>
          <cell r="B3849">
            <v>1</v>
          </cell>
          <cell r="C3849" t="str">
            <v>ΑΙΓΟΠΡΟΒΑΤΑ</v>
          </cell>
          <cell r="D3849">
            <v>13100209</v>
          </cell>
          <cell r="E3849" t="str">
            <v>ΑΙΓΟΠΡΟΒΑΤΑ13100209</v>
          </cell>
          <cell r="F3849" t="str">
            <v>ΑΜΝΟΙ ΑΡΣΕΝΙΚΟΙ, ΦΛΩΡΙΝΑΣ -ΠΕΛΑΓΟΝΙΑΣ</v>
          </cell>
          <cell r="G3849" t="str">
            <v>C_3_1_99</v>
          </cell>
          <cell r="H3849" t="str">
            <v>Λοιπά προβατοειδή</v>
          </cell>
          <cell r="I3849">
            <v>59</v>
          </cell>
          <cell r="N3849" t="str">
            <v>Ναι</v>
          </cell>
          <cell r="O3849" t="str">
            <v>Ναι</v>
          </cell>
          <cell r="P3849">
            <v>10.78</v>
          </cell>
        </row>
        <row r="3850">
          <cell r="A3850">
            <v>3848</v>
          </cell>
          <cell r="B3850">
            <v>1</v>
          </cell>
          <cell r="C3850" t="str">
            <v>ΑΙΓΟΠΡΟΒΑΤΑ</v>
          </cell>
          <cell r="D3850">
            <v>13100210</v>
          </cell>
          <cell r="E3850" t="str">
            <v>ΑΙΓΟΠΡΟΒΑΤΑ13100210</v>
          </cell>
          <cell r="F3850" t="str">
            <v xml:space="preserve">ΑΜΝΟΙ ΑΡΣΕΝΙΚΟΙ, ΣΑΡΑΚΑΤΣΑΝΙΚΟ </v>
          </cell>
          <cell r="G3850" t="str">
            <v>C_3_1_99</v>
          </cell>
          <cell r="H3850" t="str">
            <v>Λοιπά προβατοειδή</v>
          </cell>
          <cell r="I3850">
            <v>59</v>
          </cell>
          <cell r="N3850" t="str">
            <v>Ναι</v>
          </cell>
          <cell r="O3850" t="str">
            <v>Ναι</v>
          </cell>
          <cell r="P3850">
            <v>10.78</v>
          </cell>
        </row>
        <row r="3851">
          <cell r="A3851">
            <v>3849</v>
          </cell>
          <cell r="B3851">
            <v>1</v>
          </cell>
          <cell r="C3851" t="str">
            <v>ΑΙΓΟΠΡΟΒΑΤΑ</v>
          </cell>
          <cell r="D3851">
            <v>13100211</v>
          </cell>
          <cell r="E3851" t="str">
            <v>ΑΙΓΟΠΡΟΒΑΤΑ13100211</v>
          </cell>
          <cell r="F3851" t="str">
            <v>ΑΜΝΟΙ ΑΡΣΕΝΙΚΟΙ, ΓΛΩΣΣΑΣ ΣΚΟΠΕΛΟΥ</v>
          </cell>
          <cell r="G3851" t="str">
            <v>C_3_1_99</v>
          </cell>
          <cell r="H3851" t="str">
            <v>Λοιπά προβατοειδή</v>
          </cell>
          <cell r="I3851">
            <v>59</v>
          </cell>
          <cell r="N3851" t="str">
            <v>Ναι</v>
          </cell>
          <cell r="O3851" t="str">
            <v>Ναι</v>
          </cell>
          <cell r="P3851">
            <v>10.78</v>
          </cell>
        </row>
        <row r="3852">
          <cell r="A3852">
            <v>3850</v>
          </cell>
          <cell r="B3852">
            <v>1</v>
          </cell>
          <cell r="C3852" t="str">
            <v>ΑΙΓΟΠΡΟΒΑΤΑ</v>
          </cell>
          <cell r="D3852">
            <v>13100212</v>
          </cell>
          <cell r="E3852" t="str">
            <v>ΑΙΓΟΠΡΟΒΑΤΑ13100212</v>
          </cell>
          <cell r="F3852" t="str">
            <v>ΑΜΝΟΙ ΑΡΣΕΝΙΚΟΙ, ΚΥΜΗΣ</v>
          </cell>
          <cell r="G3852" t="str">
            <v>C_3_1_99</v>
          </cell>
          <cell r="H3852" t="str">
            <v>Λοιπά προβατοειδή</v>
          </cell>
          <cell r="I3852">
            <v>59</v>
          </cell>
          <cell r="N3852" t="str">
            <v>Ναι</v>
          </cell>
          <cell r="O3852" t="str">
            <v>Ναι</v>
          </cell>
          <cell r="P3852">
            <v>10.78</v>
          </cell>
        </row>
        <row r="3853">
          <cell r="A3853">
            <v>3851</v>
          </cell>
          <cell r="B3853">
            <v>1</v>
          </cell>
          <cell r="C3853" t="str">
            <v>ΑΙΓΟΠΡΟΒΑΤΑ</v>
          </cell>
          <cell r="D3853">
            <v>13100213</v>
          </cell>
          <cell r="E3853" t="str">
            <v>ΑΙΓΟΠΡΟΒΑΤΑ13100213</v>
          </cell>
          <cell r="F3853" t="str">
            <v>ΑΜΝΟΙ ΑΡΣΕΝΙΚΟΙ, ΑΓΡΙΝΙΟΥ</v>
          </cell>
          <cell r="G3853" t="str">
            <v>C_3_1_99</v>
          </cell>
          <cell r="H3853" t="str">
            <v>Λοιπά προβατοειδή</v>
          </cell>
          <cell r="I3853">
            <v>59</v>
          </cell>
          <cell r="N3853" t="str">
            <v>Ναι</v>
          </cell>
          <cell r="O3853" t="str">
            <v>Ναι</v>
          </cell>
          <cell r="P3853">
            <v>10.78</v>
          </cell>
        </row>
        <row r="3854">
          <cell r="A3854">
            <v>3852</v>
          </cell>
          <cell r="B3854">
            <v>1</v>
          </cell>
          <cell r="C3854" t="str">
            <v>ΑΙΓΟΠΡΟΒΑΤΑ</v>
          </cell>
          <cell r="D3854">
            <v>13100214</v>
          </cell>
          <cell r="E3854" t="str">
            <v>ΑΙΓΟΠΡΟΒΑΤΑ13100214</v>
          </cell>
          <cell r="F3854" t="str">
            <v>ΑΜΝΟΙ ΑΡΣΕΝΙΚΟΙ, ΔΡΑΜΑΣ</v>
          </cell>
          <cell r="G3854" t="str">
            <v>C_3_1_99</v>
          </cell>
          <cell r="H3854" t="str">
            <v>Λοιπά προβατοειδή</v>
          </cell>
          <cell r="I3854">
            <v>59</v>
          </cell>
          <cell r="N3854" t="str">
            <v>Ναι</v>
          </cell>
          <cell r="O3854" t="str">
            <v>Ναι</v>
          </cell>
          <cell r="P3854">
            <v>10.78</v>
          </cell>
        </row>
        <row r="3855">
          <cell r="A3855">
            <v>3853</v>
          </cell>
          <cell r="B3855">
            <v>1</v>
          </cell>
          <cell r="C3855" t="str">
            <v>ΑΙΓΟΠΡΟΒΑΤΑ</v>
          </cell>
          <cell r="D3855">
            <v>13100215</v>
          </cell>
          <cell r="E3855" t="str">
            <v>ΑΙΓΟΠΡΟΒΑΤΑ13100215</v>
          </cell>
          <cell r="F3855" t="str">
            <v>ΑΜΝΟΙ ΑΡΣΕΝΙΚΟΙ, ΘΡΑΚΗΣ</v>
          </cell>
          <cell r="G3855" t="str">
            <v>C_3_1_99</v>
          </cell>
          <cell r="H3855" t="str">
            <v>Λοιπά προβατοειδή</v>
          </cell>
          <cell r="I3855">
            <v>59</v>
          </cell>
          <cell r="N3855" t="str">
            <v>Ναι</v>
          </cell>
          <cell r="O3855" t="str">
            <v>Ναι</v>
          </cell>
          <cell r="P3855">
            <v>10.78</v>
          </cell>
        </row>
        <row r="3856">
          <cell r="A3856">
            <v>3854</v>
          </cell>
          <cell r="B3856">
            <v>1</v>
          </cell>
          <cell r="C3856" t="str">
            <v>ΑΙΓΟΠΡΟΒΑΤΑ</v>
          </cell>
          <cell r="D3856">
            <v>13100216</v>
          </cell>
          <cell r="E3856" t="str">
            <v>ΑΙΓΟΠΡΟΒΑΤΑ13100216</v>
          </cell>
          <cell r="F3856" t="str">
            <v>ΑΜΝΟΙ ΑΡΣΕΝΙΚΟΙ, ΚΑΛΑΡΡΥΤΙΚΟ</v>
          </cell>
          <cell r="G3856" t="str">
            <v>C_3_1_99</v>
          </cell>
          <cell r="H3856" t="str">
            <v>Λοιπά προβατοειδή</v>
          </cell>
          <cell r="I3856">
            <v>59</v>
          </cell>
          <cell r="N3856" t="str">
            <v>Ναι</v>
          </cell>
          <cell r="O3856" t="str">
            <v>Ναι</v>
          </cell>
          <cell r="P3856">
            <v>10.78</v>
          </cell>
        </row>
        <row r="3857">
          <cell r="A3857">
            <v>3855</v>
          </cell>
          <cell r="B3857">
            <v>1</v>
          </cell>
          <cell r="C3857" t="str">
            <v>ΑΙΓΟΠΡΟΒΑΤΑ</v>
          </cell>
          <cell r="D3857">
            <v>13100217</v>
          </cell>
          <cell r="E3857" t="str">
            <v>ΑΙΓΟΠΡΟΒΑΤΑ13100217</v>
          </cell>
          <cell r="F3857" t="str">
            <v>ΑΜΝΟΙ ΑΡΣΕΝΙΚΟΙ, ΠΗΛΙΟΥ</v>
          </cell>
          <cell r="G3857" t="str">
            <v>C_3_1_99</v>
          </cell>
          <cell r="H3857" t="str">
            <v>Λοιπά προβατοειδή</v>
          </cell>
          <cell r="I3857">
            <v>59</v>
          </cell>
          <cell r="N3857" t="str">
            <v>Ναι</v>
          </cell>
          <cell r="O3857" t="str">
            <v>Ναι</v>
          </cell>
          <cell r="P3857">
            <v>10.78</v>
          </cell>
        </row>
        <row r="3858">
          <cell r="A3858">
            <v>3856</v>
          </cell>
          <cell r="B3858">
            <v>1</v>
          </cell>
          <cell r="C3858" t="str">
            <v>ΑΙΓΟΠΡΟΒΑΤΑ</v>
          </cell>
          <cell r="D3858">
            <v>13100218</v>
          </cell>
          <cell r="E3858" t="str">
            <v>ΑΙΓΟΠΡΟΒΑΤΑ13100218</v>
          </cell>
          <cell r="F3858" t="str">
            <v>ΑΜΝΟΙ ΑΡΣΕΝΙΚΟΙ, ΣΕΡΡΩΝ</v>
          </cell>
          <cell r="G3858" t="str">
            <v>C_3_1_99</v>
          </cell>
          <cell r="H3858" t="str">
            <v>Λοιπά προβατοειδή</v>
          </cell>
          <cell r="I3858">
            <v>59</v>
          </cell>
          <cell r="N3858" t="str">
            <v>Ναι</v>
          </cell>
          <cell r="O3858" t="str">
            <v>Ναι</v>
          </cell>
          <cell r="P3858">
            <v>10.78</v>
          </cell>
        </row>
        <row r="3859">
          <cell r="A3859">
            <v>3857</v>
          </cell>
          <cell r="B3859">
            <v>1</v>
          </cell>
          <cell r="C3859" t="str">
            <v>ΑΙΓΟΠΡΟΒΑΤΑ</v>
          </cell>
          <cell r="D3859">
            <v>13200201</v>
          </cell>
          <cell r="E3859" t="str">
            <v>ΑΙΓΟΠΡΟΒΑΤΑ13200201</v>
          </cell>
          <cell r="F3859" t="str">
            <v>ΑΜΝΟΙ ΘΗΛΥΚΟΙ, ΚΑΤΑΦΥΓΙΟΥ</v>
          </cell>
          <cell r="G3859" t="str">
            <v>C_3_1_99</v>
          </cell>
          <cell r="H3859" t="str">
            <v>Λοιπά προβατοειδή</v>
          </cell>
          <cell r="I3859">
            <v>59</v>
          </cell>
          <cell r="N3859" t="str">
            <v>Ναι</v>
          </cell>
          <cell r="O3859" t="str">
            <v>Ναι</v>
          </cell>
          <cell r="P3859">
            <v>10.78</v>
          </cell>
        </row>
        <row r="3860">
          <cell r="A3860">
            <v>3858</v>
          </cell>
          <cell r="B3860">
            <v>1</v>
          </cell>
          <cell r="C3860" t="str">
            <v>ΑΙΓΟΠΡΟΒΑΤΑ</v>
          </cell>
          <cell r="D3860">
            <v>13200202</v>
          </cell>
          <cell r="E3860" t="str">
            <v>ΑΙΓΟΠΡΟΒΑΤΑ13200202</v>
          </cell>
          <cell r="F3860" t="str">
            <v>ΑΜΝΟΙ ΘΗΛΥΚΟΙ, ΡΟΥΜΛΟΥΚΙΟΥ</v>
          </cell>
          <cell r="G3860" t="str">
            <v>C_3_1_99</v>
          </cell>
          <cell r="H3860" t="str">
            <v>Λοιπά προβατοειδή</v>
          </cell>
          <cell r="I3860">
            <v>59</v>
          </cell>
          <cell r="N3860" t="str">
            <v>Ναι</v>
          </cell>
          <cell r="O3860" t="str">
            <v>Ναι</v>
          </cell>
          <cell r="P3860">
            <v>10.78</v>
          </cell>
        </row>
        <row r="3861">
          <cell r="A3861">
            <v>3859</v>
          </cell>
          <cell r="B3861">
            <v>1</v>
          </cell>
          <cell r="C3861" t="str">
            <v>ΑΙΓΟΠΡΟΒΑΤΑ</v>
          </cell>
          <cell r="D3861">
            <v>13200203</v>
          </cell>
          <cell r="E3861" t="str">
            <v>ΑΙΓΟΠΡΟΒΑΤΑ13200203</v>
          </cell>
          <cell r="F3861" t="str">
            <v>ΑΜΝΟΙ ΘΗΛΥΚΟΙ, ΟΡΕΙΝΟ ΗΠΕΙΡΟΥ</v>
          </cell>
          <cell r="G3861" t="str">
            <v>C_3_1_99</v>
          </cell>
          <cell r="H3861" t="str">
            <v>Λοιπά προβατοειδή</v>
          </cell>
          <cell r="I3861">
            <v>59</v>
          </cell>
          <cell r="N3861" t="str">
            <v>Ναι</v>
          </cell>
          <cell r="O3861" t="str">
            <v>Ναι</v>
          </cell>
          <cell r="P3861">
            <v>10.78</v>
          </cell>
        </row>
        <row r="3862">
          <cell r="A3862">
            <v>3860</v>
          </cell>
          <cell r="B3862">
            <v>1</v>
          </cell>
          <cell r="C3862" t="str">
            <v>ΑΙΓΟΠΡΟΒΑΤΑ</v>
          </cell>
          <cell r="D3862">
            <v>13200204</v>
          </cell>
          <cell r="E3862" t="str">
            <v>ΑΙΓΟΠΡΟΒΑΤΑ13200204</v>
          </cell>
          <cell r="F3862" t="str">
            <v>ΑΜΝΟΙ ΘΗΛΥΚΟΙ, ΙΚΑΡΙΑΣ</v>
          </cell>
          <cell r="G3862" t="str">
            <v>C_3_1_99</v>
          </cell>
          <cell r="H3862" t="str">
            <v>Λοιπά προβατοειδή</v>
          </cell>
          <cell r="I3862">
            <v>59</v>
          </cell>
          <cell r="N3862" t="str">
            <v>Ναι</v>
          </cell>
          <cell r="O3862" t="str">
            <v>Ναι</v>
          </cell>
          <cell r="P3862">
            <v>10.78</v>
          </cell>
        </row>
        <row r="3863">
          <cell r="A3863">
            <v>3861</v>
          </cell>
          <cell r="B3863">
            <v>1</v>
          </cell>
          <cell r="C3863" t="str">
            <v>ΑΙΓΟΠΡΟΒΑΤΑ</v>
          </cell>
          <cell r="D3863">
            <v>13200205</v>
          </cell>
          <cell r="E3863" t="str">
            <v>ΑΙΓΟΠΡΟΒΑΤΑ13200205</v>
          </cell>
          <cell r="F3863" t="str">
            <v>ΑΜΝΟΙ ΘΗΛΥΚΟΙ, ΛΕΥΚΙΜΗΣ</v>
          </cell>
          <cell r="G3863" t="str">
            <v>C_3_1_99</v>
          </cell>
          <cell r="H3863" t="str">
            <v>Λοιπά προβατοειδή</v>
          </cell>
          <cell r="I3863">
            <v>59</v>
          </cell>
          <cell r="N3863" t="str">
            <v>Ναι</v>
          </cell>
          <cell r="O3863" t="str">
            <v>Ναι</v>
          </cell>
          <cell r="P3863">
            <v>10.78</v>
          </cell>
        </row>
        <row r="3864">
          <cell r="A3864">
            <v>3862</v>
          </cell>
          <cell r="B3864">
            <v>1</v>
          </cell>
          <cell r="C3864" t="str">
            <v>ΑΙΓΟΠΡΟΒΑΤΑ</v>
          </cell>
          <cell r="D3864">
            <v>13200206</v>
          </cell>
          <cell r="E3864" t="str">
            <v>ΑΙΓΟΠΡΟΒΑΤΑ13200206</v>
          </cell>
          <cell r="F3864" t="str">
            <v>ΑΜΝΟΙ ΘΗΛΥΚΟΙ, ΚΑΤΣΙΚΑ</v>
          </cell>
          <cell r="G3864" t="str">
            <v>C_3_1_99</v>
          </cell>
          <cell r="H3864" t="str">
            <v>Λοιπά προβατοειδή</v>
          </cell>
          <cell r="I3864">
            <v>59</v>
          </cell>
          <cell r="N3864" t="str">
            <v>Ναι</v>
          </cell>
          <cell r="O3864" t="str">
            <v>Ναι</v>
          </cell>
          <cell r="P3864">
            <v>10.78</v>
          </cell>
        </row>
        <row r="3865">
          <cell r="A3865">
            <v>3863</v>
          </cell>
          <cell r="B3865">
            <v>1</v>
          </cell>
          <cell r="C3865" t="str">
            <v>ΑΙΓΟΠΡΟΒΑΤΑ</v>
          </cell>
          <cell r="D3865">
            <v>13200207</v>
          </cell>
          <cell r="E3865" t="str">
            <v>ΑΙΓΟΠΡΟΒΑΤΑ13200207</v>
          </cell>
          <cell r="F3865" t="str">
            <v>ΑΜΝΟΙ ΘΗΛΥΚΟΙ, ΑΡΓΟΥΣ</v>
          </cell>
          <cell r="G3865" t="str">
            <v>C_3_1_99</v>
          </cell>
          <cell r="H3865" t="str">
            <v>Λοιπά προβατοειδή</v>
          </cell>
          <cell r="I3865">
            <v>59</v>
          </cell>
          <cell r="N3865" t="str">
            <v>Ναι</v>
          </cell>
          <cell r="O3865" t="str">
            <v>Ναι</v>
          </cell>
          <cell r="P3865">
            <v>10.78</v>
          </cell>
        </row>
        <row r="3866">
          <cell r="A3866">
            <v>3864</v>
          </cell>
          <cell r="B3866">
            <v>1</v>
          </cell>
          <cell r="C3866" t="str">
            <v>ΑΙΓΟΠΡΟΒΑΤΑ</v>
          </cell>
          <cell r="D3866">
            <v>13200208</v>
          </cell>
          <cell r="E3866" t="str">
            <v>ΑΙΓΟΠΡΟΒΑΤΑ13200208</v>
          </cell>
          <cell r="F3866" t="str">
            <v>ΑΜΝΟΙ ΘΗΛΥΚΟΙ, ΖΑΚΥΝΘΟΥ</v>
          </cell>
          <cell r="G3866" t="str">
            <v>C_3_1_99</v>
          </cell>
          <cell r="H3866" t="str">
            <v>Λοιπά προβατοειδή</v>
          </cell>
          <cell r="I3866">
            <v>59</v>
          </cell>
          <cell r="N3866" t="str">
            <v>Ναι</v>
          </cell>
          <cell r="O3866" t="str">
            <v>Ναι</v>
          </cell>
          <cell r="P3866">
            <v>10.78</v>
          </cell>
        </row>
        <row r="3867">
          <cell r="A3867">
            <v>3865</v>
          </cell>
          <cell r="B3867">
            <v>1</v>
          </cell>
          <cell r="C3867" t="str">
            <v>ΑΙΓΟΠΡΟΒΑΤΑ</v>
          </cell>
          <cell r="D3867">
            <v>13200209</v>
          </cell>
          <cell r="E3867" t="str">
            <v>ΑΙΓΟΠΡΟΒΑΤΑ13200209</v>
          </cell>
          <cell r="F3867" t="str">
            <v>ΑΜΝΟΙ ΘΗΛΥΚΟΙ, ΦΛΩΡΙΝΑΣ -ΠΕΛΑΓΟΝΙΑΣ</v>
          </cell>
          <cell r="G3867" t="str">
            <v>C_3_1_99</v>
          </cell>
          <cell r="H3867" t="str">
            <v>Λοιπά προβατοειδή</v>
          </cell>
          <cell r="I3867">
            <v>59</v>
          </cell>
          <cell r="N3867" t="str">
            <v>Ναι</v>
          </cell>
          <cell r="O3867" t="str">
            <v>Ναι</v>
          </cell>
          <cell r="P3867">
            <v>10.78</v>
          </cell>
        </row>
        <row r="3868">
          <cell r="A3868">
            <v>3866</v>
          </cell>
          <cell r="B3868">
            <v>1</v>
          </cell>
          <cell r="C3868" t="str">
            <v>ΑΙΓΟΠΡΟΒΑΤΑ</v>
          </cell>
          <cell r="D3868">
            <v>13200210</v>
          </cell>
          <cell r="E3868" t="str">
            <v>ΑΙΓΟΠΡΟΒΑΤΑ13200210</v>
          </cell>
          <cell r="F3868" t="str">
            <v xml:space="preserve">ΑΜΝΟΙ ΘΗΛΥΚΟΙ, ΣΑΡΑΚΑΤΣΑΝΙΚΟ </v>
          </cell>
          <cell r="G3868" t="str">
            <v>C_3_1_99</v>
          </cell>
          <cell r="H3868" t="str">
            <v>Λοιπά προβατοειδή</v>
          </cell>
          <cell r="I3868">
            <v>59</v>
          </cell>
          <cell r="N3868" t="str">
            <v>Ναι</v>
          </cell>
          <cell r="O3868" t="str">
            <v>Ναι</v>
          </cell>
          <cell r="P3868">
            <v>10.78</v>
          </cell>
        </row>
        <row r="3869">
          <cell r="A3869">
            <v>3867</v>
          </cell>
          <cell r="B3869">
            <v>1</v>
          </cell>
          <cell r="C3869" t="str">
            <v>ΑΙΓΟΠΡΟΒΑΤΑ</v>
          </cell>
          <cell r="D3869">
            <v>13200211</v>
          </cell>
          <cell r="E3869" t="str">
            <v>ΑΙΓΟΠΡΟΒΑΤΑ13200211</v>
          </cell>
          <cell r="F3869" t="str">
            <v>ΑΜΝΟΙ ΘΗΛΥΚΟΙ, ΓΛΩΣΣΑΣ ΣΚΟΠΕΛΟΥ</v>
          </cell>
          <cell r="G3869" t="str">
            <v>C_3_1_99</v>
          </cell>
          <cell r="H3869" t="str">
            <v>Λοιπά προβατοειδή</v>
          </cell>
          <cell r="I3869">
            <v>59</v>
          </cell>
          <cell r="N3869" t="str">
            <v>Ναι</v>
          </cell>
          <cell r="O3869" t="str">
            <v>Ναι</v>
          </cell>
          <cell r="P3869">
            <v>10.78</v>
          </cell>
        </row>
        <row r="3870">
          <cell r="A3870">
            <v>3868</v>
          </cell>
          <cell r="B3870">
            <v>1</v>
          </cell>
          <cell r="C3870" t="str">
            <v>ΑΙΓΟΠΡΟΒΑΤΑ</v>
          </cell>
          <cell r="D3870">
            <v>13200212</v>
          </cell>
          <cell r="E3870" t="str">
            <v>ΑΙΓΟΠΡΟΒΑΤΑ13200212</v>
          </cell>
          <cell r="F3870" t="str">
            <v>ΑΜΝΟΙ ΘΗΛΥΚΟΙ, ΚΥΜΗΣ</v>
          </cell>
          <cell r="G3870" t="str">
            <v>C_3_1_99</v>
          </cell>
          <cell r="H3870" t="str">
            <v>Λοιπά προβατοειδή</v>
          </cell>
          <cell r="I3870">
            <v>59</v>
          </cell>
          <cell r="N3870" t="str">
            <v>Ναι</v>
          </cell>
          <cell r="O3870" t="str">
            <v>Ναι</v>
          </cell>
          <cell r="P3870">
            <v>10.78</v>
          </cell>
        </row>
        <row r="3871">
          <cell r="A3871">
            <v>3869</v>
          </cell>
          <cell r="B3871">
            <v>1</v>
          </cell>
          <cell r="C3871" t="str">
            <v>ΑΙΓΟΠΡΟΒΑΤΑ</v>
          </cell>
          <cell r="D3871">
            <v>13200213</v>
          </cell>
          <cell r="E3871" t="str">
            <v>ΑΙΓΟΠΡΟΒΑΤΑ13200213</v>
          </cell>
          <cell r="F3871" t="str">
            <v>ΑΜΝΟΙ ΘΗΛΥΚΟΙ, ΑΓΡΙΝΙΟΥ</v>
          </cell>
          <cell r="G3871" t="str">
            <v>C_3_1_99</v>
          </cell>
          <cell r="H3871" t="str">
            <v>Λοιπά προβατοειδή</v>
          </cell>
          <cell r="I3871">
            <v>59</v>
          </cell>
          <cell r="N3871" t="str">
            <v>Ναι</v>
          </cell>
          <cell r="O3871" t="str">
            <v>Ναι</v>
          </cell>
          <cell r="P3871">
            <v>10.78</v>
          </cell>
        </row>
        <row r="3872">
          <cell r="A3872">
            <v>3870</v>
          </cell>
          <cell r="B3872">
            <v>1</v>
          </cell>
          <cell r="C3872" t="str">
            <v>ΑΙΓΟΠΡΟΒΑΤΑ</v>
          </cell>
          <cell r="D3872">
            <v>13200214</v>
          </cell>
          <cell r="E3872" t="str">
            <v>ΑΙΓΟΠΡΟΒΑΤΑ13200214</v>
          </cell>
          <cell r="F3872" t="str">
            <v>ΑΜΝΟΙ ΘΗΛΥΚΟΙ, ΔΡΑΜΑΣ</v>
          </cell>
          <cell r="G3872" t="str">
            <v>C_3_1_99</v>
          </cell>
          <cell r="H3872" t="str">
            <v>Λοιπά προβατοειδή</v>
          </cell>
          <cell r="I3872">
            <v>59</v>
          </cell>
          <cell r="N3872" t="str">
            <v>Ναι</v>
          </cell>
          <cell r="O3872" t="str">
            <v>Ναι</v>
          </cell>
          <cell r="P3872">
            <v>10.78</v>
          </cell>
        </row>
        <row r="3873">
          <cell r="A3873">
            <v>3871</v>
          </cell>
          <cell r="B3873">
            <v>1</v>
          </cell>
          <cell r="C3873" t="str">
            <v>ΑΙΓΟΠΡΟΒΑΤΑ</v>
          </cell>
          <cell r="D3873">
            <v>13200215</v>
          </cell>
          <cell r="E3873" t="str">
            <v>ΑΙΓΟΠΡΟΒΑΤΑ13200215</v>
          </cell>
          <cell r="F3873" t="str">
            <v>ΑΜΝΟΙ ΘΗΛΥΚΟΙ, ΘΡΑΚΗΣ</v>
          </cell>
          <cell r="G3873" t="str">
            <v>C_3_1_99</v>
          </cell>
          <cell r="H3873" t="str">
            <v>Λοιπά προβατοειδή</v>
          </cell>
          <cell r="I3873">
            <v>59</v>
          </cell>
          <cell r="N3873" t="str">
            <v>Ναι</v>
          </cell>
          <cell r="O3873" t="str">
            <v>Ναι</v>
          </cell>
          <cell r="P3873">
            <v>10.78</v>
          </cell>
        </row>
        <row r="3874">
          <cell r="A3874">
            <v>3872</v>
          </cell>
          <cell r="B3874">
            <v>1</v>
          </cell>
          <cell r="C3874" t="str">
            <v>ΑΙΓΟΠΡΟΒΑΤΑ</v>
          </cell>
          <cell r="D3874">
            <v>13200216</v>
          </cell>
          <cell r="E3874" t="str">
            <v>ΑΙΓΟΠΡΟΒΑΤΑ13200216</v>
          </cell>
          <cell r="F3874" t="str">
            <v>ΑΜΝΟΙ ΘΗΛΥΚΟΙ, ΚΑΛΑΡΡΥΤΙΚΟ</v>
          </cell>
          <cell r="G3874" t="str">
            <v>C_3_1_99</v>
          </cell>
          <cell r="H3874" t="str">
            <v>Λοιπά προβατοειδή</v>
          </cell>
          <cell r="I3874">
            <v>59</v>
          </cell>
          <cell r="N3874" t="str">
            <v>Ναι</v>
          </cell>
          <cell r="O3874" t="str">
            <v>Ναι</v>
          </cell>
          <cell r="P3874">
            <v>10.78</v>
          </cell>
        </row>
        <row r="3875">
          <cell r="A3875">
            <v>3873</v>
          </cell>
          <cell r="B3875">
            <v>1</v>
          </cell>
          <cell r="C3875" t="str">
            <v>ΑΙΓΟΠΡΟΒΑΤΑ</v>
          </cell>
          <cell r="D3875">
            <v>13200217</v>
          </cell>
          <cell r="E3875" t="str">
            <v>ΑΙΓΟΠΡΟΒΑΤΑ13200217</v>
          </cell>
          <cell r="F3875" t="str">
            <v>ΑΜΝΟΙ ΘΗΛΥΚΟΙ, ΠΗΛΙΟΥ</v>
          </cell>
          <cell r="G3875" t="str">
            <v>C_3_1_99</v>
          </cell>
          <cell r="H3875" t="str">
            <v>Λοιπά προβατοειδή</v>
          </cell>
          <cell r="I3875">
            <v>59</v>
          </cell>
          <cell r="N3875" t="str">
            <v>Ναι</v>
          </cell>
          <cell r="O3875" t="str">
            <v>Ναι</v>
          </cell>
          <cell r="P3875">
            <v>10.78</v>
          </cell>
        </row>
        <row r="3876">
          <cell r="A3876">
            <v>3874</v>
          </cell>
          <cell r="B3876">
            <v>1</v>
          </cell>
          <cell r="C3876" t="str">
            <v>ΑΙΓΟΠΡΟΒΑΤΑ</v>
          </cell>
          <cell r="D3876">
            <v>13200218</v>
          </cell>
          <cell r="E3876" t="str">
            <v>ΑΙΓΟΠΡΟΒΑΤΑ13200218</v>
          </cell>
          <cell r="F3876" t="str">
            <v>ΑΜΝΟΙ ΘΗΛΥΚΟΙ, ΣΕΡΡΩΝ</v>
          </cell>
          <cell r="G3876" t="str">
            <v>C_3_1_99</v>
          </cell>
          <cell r="H3876" t="str">
            <v>Λοιπά προβατοειδή</v>
          </cell>
          <cell r="I3876">
            <v>59</v>
          </cell>
          <cell r="N3876" t="str">
            <v>Ναι</v>
          </cell>
          <cell r="O3876" t="str">
            <v>Ναι</v>
          </cell>
          <cell r="P3876">
            <v>10.78</v>
          </cell>
        </row>
        <row r="3877">
          <cell r="A3877">
            <v>3875</v>
          </cell>
          <cell r="B3877">
            <v>1</v>
          </cell>
          <cell r="C3877" t="str">
            <v>ΑΙΓΟΠΡΟΒΑΤΑ</v>
          </cell>
          <cell r="D3877">
            <v>14000201</v>
          </cell>
          <cell r="E3877" t="str">
            <v>ΑΙΓΟΠΡΟΒΑΤΑ14000201</v>
          </cell>
          <cell r="F3877" t="str">
            <v>ΠΡΟΒΑΤΙΝΕΣ,  ΚΑΤΑΦΥΓΙΟΥ</v>
          </cell>
          <cell r="G3877" t="str">
            <v>C_3_1_1</v>
          </cell>
          <cell r="H3877" t="str">
            <v>Πρόβατα θηλυκά  αναπαραγωγής</v>
          </cell>
          <cell r="I3877">
            <v>93</v>
          </cell>
          <cell r="N3877" t="str">
            <v>Ναι</v>
          </cell>
          <cell r="O3877" t="str">
            <v>Ναι</v>
          </cell>
          <cell r="P3877">
            <v>17</v>
          </cell>
        </row>
        <row r="3878">
          <cell r="A3878">
            <v>3876</v>
          </cell>
          <cell r="B3878">
            <v>1</v>
          </cell>
          <cell r="C3878" t="str">
            <v>ΑΙΓΟΠΡΟΒΑΤΑ</v>
          </cell>
          <cell r="D3878">
            <v>14000202</v>
          </cell>
          <cell r="E3878" t="str">
            <v>ΑΙΓΟΠΡΟΒΑΤΑ14000202</v>
          </cell>
          <cell r="F3878" t="str">
            <v>ΠΡΟΒΑΤΙΝΕΣ,  ΡΟΥΜΛΟΥΚΙΟΥ</v>
          </cell>
          <cell r="G3878" t="str">
            <v>C_3_1_1</v>
          </cell>
          <cell r="H3878" t="str">
            <v>Πρόβατα θηλυκά  αναπαραγωγής</v>
          </cell>
          <cell r="I3878">
            <v>93</v>
          </cell>
          <cell r="N3878" t="str">
            <v>Ναι</v>
          </cell>
          <cell r="O3878" t="str">
            <v>Ναι</v>
          </cell>
          <cell r="P3878">
            <v>17</v>
          </cell>
        </row>
        <row r="3879">
          <cell r="A3879">
            <v>3877</v>
          </cell>
          <cell r="B3879">
            <v>1</v>
          </cell>
          <cell r="C3879" t="str">
            <v>ΑΙΓΟΠΡΟΒΑΤΑ</v>
          </cell>
          <cell r="D3879">
            <v>14000203</v>
          </cell>
          <cell r="E3879" t="str">
            <v>ΑΙΓΟΠΡΟΒΑΤΑ14000203</v>
          </cell>
          <cell r="F3879" t="str">
            <v>ΠΡΟΒΑΤΙΝΕΣ,  ΟΡΕΙΝΟ ΗΠΕΙΡΟΥ</v>
          </cell>
          <cell r="G3879" t="str">
            <v>C_3_1_1</v>
          </cell>
          <cell r="H3879" t="str">
            <v>Πρόβατα θηλυκά  αναπαραγωγής</v>
          </cell>
          <cell r="I3879">
            <v>93</v>
          </cell>
          <cell r="N3879" t="str">
            <v>Ναι</v>
          </cell>
          <cell r="O3879" t="str">
            <v>Ναι</v>
          </cell>
          <cell r="P3879">
            <v>17</v>
          </cell>
        </row>
        <row r="3880">
          <cell r="A3880">
            <v>3878</v>
          </cell>
          <cell r="B3880">
            <v>1</v>
          </cell>
          <cell r="C3880" t="str">
            <v>ΑΙΓΟΠΡΟΒΑΤΑ</v>
          </cell>
          <cell r="D3880">
            <v>14000204</v>
          </cell>
          <cell r="E3880" t="str">
            <v>ΑΙΓΟΠΡΟΒΑΤΑ14000204</v>
          </cell>
          <cell r="F3880" t="str">
            <v>ΠΡΟΒΑΤΙΝΕΣ,  ΙΚΑΡΙΑΣ</v>
          </cell>
          <cell r="G3880" t="str">
            <v>C_3_1_1</v>
          </cell>
          <cell r="H3880" t="str">
            <v>Πρόβατα θηλυκά  αναπαραγωγής</v>
          </cell>
          <cell r="I3880">
            <v>93</v>
          </cell>
          <cell r="N3880" t="str">
            <v>Ναι</v>
          </cell>
          <cell r="O3880" t="str">
            <v>Ναι</v>
          </cell>
          <cell r="P3880">
            <v>17</v>
          </cell>
        </row>
        <row r="3881">
          <cell r="A3881">
            <v>3879</v>
          </cell>
          <cell r="B3881">
            <v>1</v>
          </cell>
          <cell r="C3881" t="str">
            <v>ΑΙΓΟΠΡΟΒΑΤΑ</v>
          </cell>
          <cell r="D3881">
            <v>14000205</v>
          </cell>
          <cell r="E3881" t="str">
            <v>ΑΙΓΟΠΡΟΒΑΤΑ14000205</v>
          </cell>
          <cell r="F3881" t="str">
            <v>ΠΡΟΒΑΤΙΝΕΣ,  ΛΕΥΚΙΜΗΣ</v>
          </cell>
          <cell r="G3881" t="str">
            <v>C_3_1_1</v>
          </cell>
          <cell r="H3881" t="str">
            <v>Πρόβατα θηλυκά  αναπαραγωγής</v>
          </cell>
          <cell r="I3881">
            <v>93</v>
          </cell>
          <cell r="N3881" t="str">
            <v>Ναι</v>
          </cell>
          <cell r="O3881" t="str">
            <v>Ναι</v>
          </cell>
          <cell r="P3881">
            <v>17</v>
          </cell>
        </row>
        <row r="3882">
          <cell r="A3882">
            <v>3880</v>
          </cell>
          <cell r="B3882">
            <v>1</v>
          </cell>
          <cell r="C3882" t="str">
            <v>ΑΙΓΟΠΡΟΒΑΤΑ</v>
          </cell>
          <cell r="D3882">
            <v>14000206</v>
          </cell>
          <cell r="E3882" t="str">
            <v>ΑΙΓΟΠΡΟΒΑΤΑ14000206</v>
          </cell>
          <cell r="F3882" t="str">
            <v>ΠΡΟΒΑΤΙΝΕΣ,  ΚΑΤΣΙΚΑ</v>
          </cell>
          <cell r="G3882" t="str">
            <v>C_3_1_1</v>
          </cell>
          <cell r="H3882" t="str">
            <v>Πρόβατα θηλυκά  αναπαραγωγής</v>
          </cell>
          <cell r="I3882">
            <v>93</v>
          </cell>
          <cell r="N3882" t="str">
            <v>Ναι</v>
          </cell>
          <cell r="O3882" t="str">
            <v>Ναι</v>
          </cell>
          <cell r="P3882">
            <v>17</v>
          </cell>
        </row>
        <row r="3883">
          <cell r="A3883">
            <v>3881</v>
          </cell>
          <cell r="B3883">
            <v>1</v>
          </cell>
          <cell r="C3883" t="str">
            <v>ΑΙΓΟΠΡΟΒΑΤΑ</v>
          </cell>
          <cell r="D3883">
            <v>14000207</v>
          </cell>
          <cell r="E3883" t="str">
            <v>ΑΙΓΟΠΡΟΒΑΤΑ14000207</v>
          </cell>
          <cell r="F3883" t="str">
            <v>ΠΡΟΒΑΤΙΝΕΣ,  ΑΡΓΟΥΣ</v>
          </cell>
          <cell r="G3883" t="str">
            <v>C_3_1_1</v>
          </cell>
          <cell r="H3883" t="str">
            <v>Πρόβατα θηλυκά  αναπαραγωγής</v>
          </cell>
          <cell r="I3883">
            <v>93</v>
          </cell>
          <cell r="N3883" t="str">
            <v>Ναι</v>
          </cell>
          <cell r="O3883" t="str">
            <v>Ναι</v>
          </cell>
          <cell r="P3883">
            <v>17</v>
          </cell>
        </row>
        <row r="3884">
          <cell r="A3884">
            <v>3882</v>
          </cell>
          <cell r="B3884">
            <v>1</v>
          </cell>
          <cell r="C3884" t="str">
            <v>ΑΙΓΟΠΡΟΒΑΤΑ</v>
          </cell>
          <cell r="D3884">
            <v>14000208</v>
          </cell>
          <cell r="E3884" t="str">
            <v>ΑΙΓΟΠΡΟΒΑΤΑ14000208</v>
          </cell>
          <cell r="F3884" t="str">
            <v>ΠΡΟΒΑΤΙΝΕΣ,  ΖΑΚΥΝΘΟΥ</v>
          </cell>
          <cell r="G3884" t="str">
            <v>C_3_1_1</v>
          </cell>
          <cell r="H3884" t="str">
            <v>Πρόβατα θηλυκά  αναπαραγωγής</v>
          </cell>
          <cell r="I3884">
            <v>93</v>
          </cell>
          <cell r="N3884" t="str">
            <v>Ναι</v>
          </cell>
          <cell r="O3884" t="str">
            <v>Ναι</v>
          </cell>
          <cell r="P3884">
            <v>17</v>
          </cell>
        </row>
        <row r="3885">
          <cell r="A3885">
            <v>3883</v>
          </cell>
          <cell r="B3885">
            <v>1</v>
          </cell>
          <cell r="C3885" t="str">
            <v>ΑΙΓΟΠΡΟΒΑΤΑ</v>
          </cell>
          <cell r="D3885">
            <v>14000209</v>
          </cell>
          <cell r="E3885" t="str">
            <v>ΑΙΓΟΠΡΟΒΑΤΑ14000209</v>
          </cell>
          <cell r="F3885" t="str">
            <v>ΠΡΟΒΑΤΙΝΕΣ,  ΦΛΩΡΙΝΑΣ -ΠΕΛΑΓΟΝΙΑΣ</v>
          </cell>
          <cell r="G3885" t="str">
            <v>C_3_1_1</v>
          </cell>
          <cell r="H3885" t="str">
            <v>Πρόβατα θηλυκά  αναπαραγωγής</v>
          </cell>
          <cell r="I3885">
            <v>93</v>
          </cell>
          <cell r="N3885" t="str">
            <v>Ναι</v>
          </cell>
          <cell r="O3885" t="str">
            <v>Ναι</v>
          </cell>
          <cell r="P3885">
            <v>17</v>
          </cell>
        </row>
        <row r="3886">
          <cell r="A3886">
            <v>3884</v>
          </cell>
          <cell r="B3886">
            <v>1</v>
          </cell>
          <cell r="C3886" t="str">
            <v>ΑΙΓΟΠΡΟΒΑΤΑ</v>
          </cell>
          <cell r="D3886">
            <v>14000210</v>
          </cell>
          <cell r="E3886" t="str">
            <v>ΑΙΓΟΠΡΟΒΑΤΑ14000210</v>
          </cell>
          <cell r="F3886" t="str">
            <v xml:space="preserve">ΠΡΟΒΑΤΙΝΕΣ,  ΣΑΡΑΚΑΤΣΑΝΙΚΟ </v>
          </cell>
          <cell r="G3886" t="str">
            <v>C_3_1_1</v>
          </cell>
          <cell r="H3886" t="str">
            <v>Πρόβατα θηλυκά  αναπαραγωγής</v>
          </cell>
          <cell r="I3886">
            <v>93</v>
          </cell>
          <cell r="N3886" t="str">
            <v>Ναι</v>
          </cell>
          <cell r="O3886" t="str">
            <v>Ναι</v>
          </cell>
          <cell r="P3886">
            <v>17</v>
          </cell>
        </row>
        <row r="3887">
          <cell r="A3887">
            <v>3885</v>
          </cell>
          <cell r="B3887">
            <v>1</v>
          </cell>
          <cell r="C3887" t="str">
            <v>ΑΙΓΟΠΡΟΒΑΤΑ</v>
          </cell>
          <cell r="D3887">
            <v>14000211</v>
          </cell>
          <cell r="E3887" t="str">
            <v>ΑΙΓΟΠΡΟΒΑΤΑ14000211</v>
          </cell>
          <cell r="F3887" t="str">
            <v>ΠΡΟΒΑΤΙΝΕΣ,  ΓΛΩΣΣΑΣ ΣΚΟΠΕΛΟΥ</v>
          </cell>
          <cell r="G3887" t="str">
            <v>C_3_1_1</v>
          </cell>
          <cell r="H3887" t="str">
            <v>Πρόβατα θηλυκά  αναπαραγωγής</v>
          </cell>
          <cell r="I3887">
            <v>93</v>
          </cell>
          <cell r="N3887" t="str">
            <v>Ναι</v>
          </cell>
          <cell r="O3887" t="str">
            <v>Ναι</v>
          </cell>
          <cell r="P3887">
            <v>17</v>
          </cell>
        </row>
        <row r="3888">
          <cell r="A3888">
            <v>3886</v>
          </cell>
          <cell r="B3888">
            <v>1</v>
          </cell>
          <cell r="C3888" t="str">
            <v>ΑΙΓΟΠΡΟΒΑΤΑ</v>
          </cell>
          <cell r="D3888">
            <v>14000212</v>
          </cell>
          <cell r="E3888" t="str">
            <v>ΑΙΓΟΠΡΟΒΑΤΑ14000212</v>
          </cell>
          <cell r="F3888" t="str">
            <v>ΠΡΟΒΑΤΙΝΕΣ,  ΚΥΜΗΣ</v>
          </cell>
          <cell r="G3888" t="str">
            <v>C_3_1_1</v>
          </cell>
          <cell r="H3888" t="str">
            <v>Πρόβατα θηλυκά  αναπαραγωγής</v>
          </cell>
          <cell r="I3888">
            <v>93</v>
          </cell>
          <cell r="N3888" t="str">
            <v>Ναι</v>
          </cell>
          <cell r="O3888" t="str">
            <v>Ναι</v>
          </cell>
          <cell r="P3888">
            <v>17</v>
          </cell>
        </row>
        <row r="3889">
          <cell r="A3889">
            <v>3887</v>
          </cell>
          <cell r="B3889">
            <v>1</v>
          </cell>
          <cell r="C3889" t="str">
            <v>ΑΙΓΟΠΡΟΒΑΤΑ</v>
          </cell>
          <cell r="D3889">
            <v>14000213</v>
          </cell>
          <cell r="E3889" t="str">
            <v>ΑΙΓΟΠΡΟΒΑΤΑ14000213</v>
          </cell>
          <cell r="F3889" t="str">
            <v>ΠΡΟΒΑΤΙΝΕΣ,  ΑΓΡΙΝΙΟΥ</v>
          </cell>
          <cell r="G3889" t="str">
            <v>C_3_1_1</v>
          </cell>
          <cell r="H3889" t="str">
            <v>Πρόβατα θηλυκά  αναπαραγωγής</v>
          </cell>
          <cell r="I3889">
            <v>93</v>
          </cell>
          <cell r="N3889" t="str">
            <v>Ναι</v>
          </cell>
          <cell r="O3889" t="str">
            <v>Ναι</v>
          </cell>
          <cell r="P3889">
            <v>17</v>
          </cell>
        </row>
        <row r="3890">
          <cell r="A3890">
            <v>3888</v>
          </cell>
          <cell r="B3890">
            <v>1</v>
          </cell>
          <cell r="C3890" t="str">
            <v>ΑΙΓΟΠΡΟΒΑΤΑ</v>
          </cell>
          <cell r="D3890">
            <v>14000214</v>
          </cell>
          <cell r="E3890" t="str">
            <v>ΑΙΓΟΠΡΟΒΑΤΑ14000214</v>
          </cell>
          <cell r="F3890" t="str">
            <v>ΠΡΟΒΑΤΙΝΕΣ,  ΔΡΑΜΑΣ</v>
          </cell>
          <cell r="G3890" t="str">
            <v>C_3_1_1</v>
          </cell>
          <cell r="H3890" t="str">
            <v>Πρόβατα θηλυκά  αναπαραγωγής</v>
          </cell>
          <cell r="I3890">
            <v>93</v>
          </cell>
          <cell r="N3890" t="str">
            <v>Ναι</v>
          </cell>
          <cell r="O3890" t="str">
            <v>Ναι</v>
          </cell>
          <cell r="P3890">
            <v>17</v>
          </cell>
        </row>
        <row r="3891">
          <cell r="A3891">
            <v>3889</v>
          </cell>
          <cell r="B3891">
            <v>1</v>
          </cell>
          <cell r="C3891" t="str">
            <v>ΑΙΓΟΠΡΟΒΑΤΑ</v>
          </cell>
          <cell r="D3891">
            <v>14000215</v>
          </cell>
          <cell r="E3891" t="str">
            <v>ΑΙΓΟΠΡΟΒΑΤΑ14000215</v>
          </cell>
          <cell r="F3891" t="str">
            <v>ΠΡΟΒΑΤΙΝΕΣ,  ΘΡΑΚΗΣ</v>
          </cell>
          <cell r="G3891" t="str">
            <v>C_3_1_1</v>
          </cell>
          <cell r="H3891" t="str">
            <v>Πρόβατα θηλυκά  αναπαραγωγής</v>
          </cell>
          <cell r="I3891">
            <v>93</v>
          </cell>
          <cell r="N3891" t="str">
            <v>Ναι</v>
          </cell>
          <cell r="O3891" t="str">
            <v>Ναι</v>
          </cell>
          <cell r="P3891">
            <v>17</v>
          </cell>
        </row>
        <row r="3892">
          <cell r="A3892">
            <v>3890</v>
          </cell>
          <cell r="B3892">
            <v>1</v>
          </cell>
          <cell r="C3892" t="str">
            <v>ΑΙΓΟΠΡΟΒΑΤΑ</v>
          </cell>
          <cell r="D3892">
            <v>14000216</v>
          </cell>
          <cell r="E3892" t="str">
            <v>ΑΙΓΟΠΡΟΒΑΤΑ14000216</v>
          </cell>
          <cell r="F3892" t="str">
            <v>ΠΡΟΒΑΤΙΝΕΣ,  ΚΑΛΑΡΡΥΤΙΚΟ</v>
          </cell>
          <cell r="G3892" t="str">
            <v>C_3_1_1</v>
          </cell>
          <cell r="H3892" t="str">
            <v>Πρόβατα θηλυκά  αναπαραγωγής</v>
          </cell>
          <cell r="I3892">
            <v>93</v>
          </cell>
          <cell r="N3892" t="str">
            <v>Ναι</v>
          </cell>
          <cell r="O3892" t="str">
            <v>Ναι</v>
          </cell>
          <cell r="P3892">
            <v>17</v>
          </cell>
        </row>
        <row r="3893">
          <cell r="A3893">
            <v>3891</v>
          </cell>
          <cell r="B3893">
            <v>1</v>
          </cell>
          <cell r="C3893" t="str">
            <v>ΑΙΓΟΠΡΟΒΑΤΑ</v>
          </cell>
          <cell r="D3893">
            <v>14000217</v>
          </cell>
          <cell r="E3893" t="str">
            <v>ΑΙΓΟΠΡΟΒΑΤΑ14000217</v>
          </cell>
          <cell r="F3893" t="str">
            <v>ΠΡΟΒΑΤΙΝΕΣ,  ΠΗΛΙΟΥ</v>
          </cell>
          <cell r="G3893" t="str">
            <v>C_3_1_1</v>
          </cell>
          <cell r="H3893" t="str">
            <v>Πρόβατα θηλυκά  αναπαραγωγής</v>
          </cell>
          <cell r="I3893">
            <v>93</v>
          </cell>
          <cell r="N3893" t="str">
            <v>Ναι</v>
          </cell>
          <cell r="O3893" t="str">
            <v>Ναι</v>
          </cell>
          <cell r="P3893">
            <v>17</v>
          </cell>
        </row>
        <row r="3894">
          <cell r="A3894">
            <v>3892</v>
          </cell>
          <cell r="B3894">
            <v>1</v>
          </cell>
          <cell r="C3894" t="str">
            <v>ΑΙΓΟΠΡΟΒΑΤΑ</v>
          </cell>
          <cell r="D3894">
            <v>14000218</v>
          </cell>
          <cell r="E3894" t="str">
            <v>ΑΙΓΟΠΡΟΒΑΤΑ14000218</v>
          </cell>
          <cell r="F3894" t="str">
            <v>ΠΡΟΒΑΤΙΝΕΣ,  ΣΕΡΡΩΝ</v>
          </cell>
          <cell r="G3894" t="str">
            <v>C_3_1_1</v>
          </cell>
          <cell r="H3894" t="str">
            <v>Πρόβατα θηλυκά  αναπαραγωγής</v>
          </cell>
          <cell r="I3894">
            <v>93</v>
          </cell>
          <cell r="N3894" t="str">
            <v>Ναι</v>
          </cell>
          <cell r="O3894" t="str">
            <v>Ναι</v>
          </cell>
          <cell r="P3894">
            <v>17</v>
          </cell>
        </row>
        <row r="3895">
          <cell r="A3895">
            <v>3893</v>
          </cell>
          <cell r="B3895">
            <v>1</v>
          </cell>
          <cell r="C3895" t="str">
            <v>ΑΙΓΟΠΡΟΒΑΤΑ</v>
          </cell>
          <cell r="D3895">
            <v>15000201</v>
          </cell>
          <cell r="E3895" t="str">
            <v>ΑΙΓΟΠΡΟΒΑΤΑ15000201</v>
          </cell>
          <cell r="F3895" t="str">
            <v>ΚΡΙΟΙ,  ΚΑΤΑΦΥΓΙΟΥ</v>
          </cell>
          <cell r="G3895" t="str">
            <v>C_3_1_99</v>
          </cell>
          <cell r="H3895" t="str">
            <v>Λοιπά προβατοειδή</v>
          </cell>
          <cell r="I3895">
            <v>59</v>
          </cell>
          <cell r="N3895" t="str">
            <v>Ναι</v>
          </cell>
          <cell r="O3895" t="str">
            <v>Ναι</v>
          </cell>
          <cell r="P3895">
            <v>10.78</v>
          </cell>
        </row>
        <row r="3896">
          <cell r="A3896">
            <v>3894</v>
          </cell>
          <cell r="B3896">
            <v>1</v>
          </cell>
          <cell r="C3896" t="str">
            <v>ΑΙΓΟΠΡΟΒΑΤΑ</v>
          </cell>
          <cell r="D3896">
            <v>15000202</v>
          </cell>
          <cell r="E3896" t="str">
            <v>ΑΙΓΟΠΡΟΒΑΤΑ15000202</v>
          </cell>
          <cell r="F3896" t="str">
            <v>ΚΡΙΟΙ,  ΡΟΥΜΛΟΥΚΙΟΥ</v>
          </cell>
          <cell r="G3896" t="str">
            <v>C_3_1_99</v>
          </cell>
          <cell r="H3896" t="str">
            <v>Λοιπά προβατοειδή</v>
          </cell>
          <cell r="I3896">
            <v>59</v>
          </cell>
          <cell r="N3896" t="str">
            <v>Ναι</v>
          </cell>
          <cell r="O3896" t="str">
            <v>Ναι</v>
          </cell>
          <cell r="P3896">
            <v>10.78</v>
          </cell>
        </row>
        <row r="3897">
          <cell r="A3897">
            <v>3895</v>
          </cell>
          <cell r="B3897">
            <v>1</v>
          </cell>
          <cell r="C3897" t="str">
            <v>ΑΙΓΟΠΡΟΒΑΤΑ</v>
          </cell>
          <cell r="D3897">
            <v>15000203</v>
          </cell>
          <cell r="E3897" t="str">
            <v>ΑΙΓΟΠΡΟΒΑΤΑ15000203</v>
          </cell>
          <cell r="F3897" t="str">
            <v>ΚΡΙΟΙ,  ΟΡΕΙΝΟ ΗΠΕΙΡΟΥ</v>
          </cell>
          <cell r="G3897" t="str">
            <v>C_3_1_99</v>
          </cell>
          <cell r="H3897" t="str">
            <v>Λοιπά προβατοειδή</v>
          </cell>
          <cell r="I3897">
            <v>59</v>
          </cell>
          <cell r="N3897" t="str">
            <v>Ναι</v>
          </cell>
          <cell r="O3897" t="str">
            <v>Ναι</v>
          </cell>
          <cell r="P3897">
            <v>10.78</v>
          </cell>
        </row>
        <row r="3898">
          <cell r="A3898">
            <v>3896</v>
          </cell>
          <cell r="B3898">
            <v>1</v>
          </cell>
          <cell r="C3898" t="str">
            <v>ΑΙΓΟΠΡΟΒΑΤΑ</v>
          </cell>
          <cell r="D3898">
            <v>15000204</v>
          </cell>
          <cell r="E3898" t="str">
            <v>ΑΙΓΟΠΡΟΒΑΤΑ15000204</v>
          </cell>
          <cell r="F3898" t="str">
            <v>ΚΡΙΟΙ,  ΙΚΑΡΙΑΣ</v>
          </cell>
          <cell r="G3898" t="str">
            <v>C_3_1_99</v>
          </cell>
          <cell r="H3898" t="str">
            <v>Λοιπά προβατοειδή</v>
          </cell>
          <cell r="I3898">
            <v>59</v>
          </cell>
          <cell r="N3898" t="str">
            <v>Ναι</v>
          </cell>
          <cell r="O3898" t="str">
            <v>Ναι</v>
          </cell>
          <cell r="P3898">
            <v>10.78</v>
          </cell>
        </row>
        <row r="3899">
          <cell r="A3899">
            <v>3897</v>
          </cell>
          <cell r="B3899">
            <v>1</v>
          </cell>
          <cell r="C3899" t="str">
            <v>ΑΙΓΟΠΡΟΒΑΤΑ</v>
          </cell>
          <cell r="D3899">
            <v>15000205</v>
          </cell>
          <cell r="E3899" t="str">
            <v>ΑΙΓΟΠΡΟΒΑΤΑ15000205</v>
          </cell>
          <cell r="F3899" t="str">
            <v>ΚΡΙΟΙ,  ΛΕΥΚΙΜΗΣ</v>
          </cell>
          <cell r="G3899" t="str">
            <v>C_3_1_99</v>
          </cell>
          <cell r="H3899" t="str">
            <v>Λοιπά προβατοειδή</v>
          </cell>
          <cell r="I3899">
            <v>59</v>
          </cell>
          <cell r="N3899" t="str">
            <v>Ναι</v>
          </cell>
          <cell r="O3899" t="str">
            <v>Ναι</v>
          </cell>
          <cell r="P3899">
            <v>10.78</v>
          </cell>
        </row>
        <row r="3900">
          <cell r="A3900">
            <v>3898</v>
          </cell>
          <cell r="B3900">
            <v>1</v>
          </cell>
          <cell r="C3900" t="str">
            <v>ΑΙΓΟΠΡΟΒΑΤΑ</v>
          </cell>
          <cell r="D3900">
            <v>15000206</v>
          </cell>
          <cell r="E3900" t="str">
            <v>ΑΙΓΟΠΡΟΒΑΤΑ15000206</v>
          </cell>
          <cell r="F3900" t="str">
            <v>ΚΡΙΟΙ,  ΚΑΤΣΙΚΑ</v>
          </cell>
          <cell r="G3900" t="str">
            <v>C_3_1_99</v>
          </cell>
          <cell r="H3900" t="str">
            <v>Λοιπά προβατοειδή</v>
          </cell>
          <cell r="I3900">
            <v>59</v>
          </cell>
          <cell r="N3900" t="str">
            <v>Ναι</v>
          </cell>
          <cell r="O3900" t="str">
            <v>Ναι</v>
          </cell>
          <cell r="P3900">
            <v>10.78</v>
          </cell>
        </row>
        <row r="3901">
          <cell r="A3901">
            <v>3899</v>
          </cell>
          <cell r="B3901">
            <v>1</v>
          </cell>
          <cell r="C3901" t="str">
            <v>ΑΙΓΟΠΡΟΒΑΤΑ</v>
          </cell>
          <cell r="D3901">
            <v>15000207</v>
          </cell>
          <cell r="E3901" t="str">
            <v>ΑΙΓΟΠΡΟΒΑΤΑ15000207</v>
          </cell>
          <cell r="F3901" t="str">
            <v>ΚΡΙΟΙ,  ΑΡΓΟΥΣ</v>
          </cell>
          <cell r="G3901" t="str">
            <v>C_3_1_99</v>
          </cell>
          <cell r="H3901" t="str">
            <v>Λοιπά προβατοειδή</v>
          </cell>
          <cell r="I3901">
            <v>59</v>
          </cell>
          <cell r="N3901" t="str">
            <v>Ναι</v>
          </cell>
          <cell r="O3901" t="str">
            <v>Ναι</v>
          </cell>
          <cell r="P3901">
            <v>10.78</v>
          </cell>
        </row>
        <row r="3902">
          <cell r="A3902">
            <v>3900</v>
          </cell>
          <cell r="B3902">
            <v>1</v>
          </cell>
          <cell r="C3902" t="str">
            <v>ΑΙΓΟΠΡΟΒΑΤΑ</v>
          </cell>
          <cell r="D3902">
            <v>15000208</v>
          </cell>
          <cell r="E3902" t="str">
            <v>ΑΙΓΟΠΡΟΒΑΤΑ15000208</v>
          </cell>
          <cell r="F3902" t="str">
            <v>ΚΡΙΟΙ,  ΖΑΚΥΝΘΟΥ</v>
          </cell>
          <cell r="G3902" t="str">
            <v>C_3_1_99</v>
          </cell>
          <cell r="H3902" t="str">
            <v>Λοιπά προβατοειδή</v>
          </cell>
          <cell r="I3902">
            <v>59</v>
          </cell>
          <cell r="N3902" t="str">
            <v>Ναι</v>
          </cell>
          <cell r="O3902" t="str">
            <v>Ναι</v>
          </cell>
          <cell r="P3902">
            <v>10.78</v>
          </cell>
        </row>
        <row r="3903">
          <cell r="A3903">
            <v>3901</v>
          </cell>
          <cell r="B3903">
            <v>1</v>
          </cell>
          <cell r="C3903" t="str">
            <v>ΑΙΓΟΠΡΟΒΑΤΑ</v>
          </cell>
          <cell r="D3903">
            <v>15000209</v>
          </cell>
          <cell r="E3903" t="str">
            <v>ΑΙΓΟΠΡΟΒΑΤΑ15000209</v>
          </cell>
          <cell r="F3903" t="str">
            <v>ΚΡΙΟΙ,  ΦΛΩΡΙΝΑΣ -ΠΕΛΑΓΟΝΙΑΣ</v>
          </cell>
          <cell r="G3903" t="str">
            <v>C_3_1_99</v>
          </cell>
          <cell r="H3903" t="str">
            <v>Λοιπά προβατοειδή</v>
          </cell>
          <cell r="I3903">
            <v>59</v>
          </cell>
          <cell r="N3903" t="str">
            <v>Ναι</v>
          </cell>
          <cell r="O3903" t="str">
            <v>Ναι</v>
          </cell>
          <cell r="P3903">
            <v>10.78</v>
          </cell>
        </row>
        <row r="3904">
          <cell r="A3904">
            <v>3902</v>
          </cell>
          <cell r="B3904">
            <v>1</v>
          </cell>
          <cell r="C3904" t="str">
            <v>ΑΙΓΟΠΡΟΒΑΤΑ</v>
          </cell>
          <cell r="D3904">
            <v>15000210</v>
          </cell>
          <cell r="E3904" t="str">
            <v>ΑΙΓΟΠΡΟΒΑΤΑ15000210</v>
          </cell>
          <cell r="F3904" t="str">
            <v xml:space="preserve">ΚΡΙΟΙ,  ΣΑΡΑΚΑΤΣΑΝΙΚΟ </v>
          </cell>
          <cell r="G3904" t="str">
            <v>C_3_1_99</v>
          </cell>
          <cell r="H3904" t="str">
            <v>Λοιπά προβατοειδή</v>
          </cell>
          <cell r="I3904">
            <v>59</v>
          </cell>
          <cell r="N3904" t="str">
            <v>Ναι</v>
          </cell>
          <cell r="O3904" t="str">
            <v>Ναι</v>
          </cell>
          <cell r="P3904">
            <v>10.78</v>
          </cell>
        </row>
        <row r="3905">
          <cell r="A3905">
            <v>3903</v>
          </cell>
          <cell r="B3905">
            <v>1</v>
          </cell>
          <cell r="C3905" t="str">
            <v>ΑΙΓΟΠΡΟΒΑΤΑ</v>
          </cell>
          <cell r="D3905">
            <v>15000211</v>
          </cell>
          <cell r="E3905" t="str">
            <v>ΑΙΓΟΠΡΟΒΑΤΑ15000211</v>
          </cell>
          <cell r="F3905" t="str">
            <v>ΚΡΙΟΙ,  ΓΛΩΣΣΑΣ ΣΚΟΠΕΛΟΥ</v>
          </cell>
          <cell r="G3905" t="str">
            <v>C_3_1_99</v>
          </cell>
          <cell r="H3905" t="str">
            <v>Λοιπά προβατοειδή</v>
          </cell>
          <cell r="I3905">
            <v>59</v>
          </cell>
          <cell r="N3905" t="str">
            <v>Ναι</v>
          </cell>
          <cell r="O3905" t="str">
            <v>Ναι</v>
          </cell>
          <cell r="P3905">
            <v>10.78</v>
          </cell>
        </row>
        <row r="3906">
          <cell r="A3906">
            <v>3904</v>
          </cell>
          <cell r="B3906">
            <v>1</v>
          </cell>
          <cell r="C3906" t="str">
            <v>ΑΙΓΟΠΡΟΒΑΤΑ</v>
          </cell>
          <cell r="D3906">
            <v>15000212</v>
          </cell>
          <cell r="E3906" t="str">
            <v>ΑΙΓΟΠΡΟΒΑΤΑ15000212</v>
          </cell>
          <cell r="F3906" t="str">
            <v>ΚΡΙΟΙ,  ΚΥΜΗΣ</v>
          </cell>
          <cell r="G3906" t="str">
            <v>C_3_1_99</v>
          </cell>
          <cell r="H3906" t="str">
            <v>Λοιπά προβατοειδή</v>
          </cell>
          <cell r="I3906">
            <v>59</v>
          </cell>
          <cell r="N3906" t="str">
            <v>Ναι</v>
          </cell>
          <cell r="O3906" t="str">
            <v>Ναι</v>
          </cell>
          <cell r="P3906">
            <v>10.78</v>
          </cell>
        </row>
        <row r="3907">
          <cell r="A3907">
            <v>3905</v>
          </cell>
          <cell r="B3907">
            <v>1</v>
          </cell>
          <cell r="C3907" t="str">
            <v>ΑΙΓΟΠΡΟΒΑΤΑ</v>
          </cell>
          <cell r="D3907">
            <v>15000213</v>
          </cell>
          <cell r="E3907" t="str">
            <v>ΑΙΓΟΠΡΟΒΑΤΑ15000213</v>
          </cell>
          <cell r="F3907" t="str">
            <v>ΚΡΙΟΙ,  ΑΓΡΙΝΙΟΥ</v>
          </cell>
          <cell r="G3907" t="str">
            <v>C_3_1_99</v>
          </cell>
          <cell r="H3907" t="str">
            <v>Λοιπά προβατοειδή</v>
          </cell>
          <cell r="I3907">
            <v>59</v>
          </cell>
          <cell r="N3907" t="str">
            <v>Ναι</v>
          </cell>
          <cell r="O3907" t="str">
            <v>Ναι</v>
          </cell>
          <cell r="P3907">
            <v>10.78</v>
          </cell>
        </row>
        <row r="3908">
          <cell r="A3908">
            <v>3906</v>
          </cell>
          <cell r="B3908">
            <v>1</v>
          </cell>
          <cell r="C3908" t="str">
            <v>ΑΙΓΟΠΡΟΒΑΤΑ</v>
          </cell>
          <cell r="D3908">
            <v>15000214</v>
          </cell>
          <cell r="E3908" t="str">
            <v>ΑΙΓΟΠΡΟΒΑΤΑ15000214</v>
          </cell>
          <cell r="F3908" t="str">
            <v>ΚΡΙΟΙ,  ΔΡΑΜΑΣ</v>
          </cell>
          <cell r="G3908" t="str">
            <v>C_3_1_99</v>
          </cell>
          <cell r="H3908" t="str">
            <v>Λοιπά προβατοειδή</v>
          </cell>
          <cell r="I3908">
            <v>59</v>
          </cell>
          <cell r="N3908" t="str">
            <v>Ναι</v>
          </cell>
          <cell r="O3908" t="str">
            <v>Ναι</v>
          </cell>
          <cell r="P3908">
            <v>10.78</v>
          </cell>
        </row>
        <row r="3909">
          <cell r="A3909">
            <v>3907</v>
          </cell>
          <cell r="B3909">
            <v>1</v>
          </cell>
          <cell r="C3909" t="str">
            <v>ΑΙΓΟΠΡΟΒΑΤΑ</v>
          </cell>
          <cell r="D3909">
            <v>15000215</v>
          </cell>
          <cell r="E3909" t="str">
            <v>ΑΙΓΟΠΡΟΒΑΤΑ15000215</v>
          </cell>
          <cell r="F3909" t="str">
            <v>ΚΡΙΟΙ,  ΘΡΑΚΗΣ</v>
          </cell>
          <cell r="G3909" t="str">
            <v>C_3_1_99</v>
          </cell>
          <cell r="H3909" t="str">
            <v>Λοιπά προβατοειδή</v>
          </cell>
          <cell r="I3909">
            <v>59</v>
          </cell>
          <cell r="N3909" t="str">
            <v>Ναι</v>
          </cell>
          <cell r="O3909" t="str">
            <v>Ναι</v>
          </cell>
          <cell r="P3909">
            <v>10.78</v>
          </cell>
        </row>
        <row r="3910">
          <cell r="A3910">
            <v>3908</v>
          </cell>
          <cell r="B3910">
            <v>1</v>
          </cell>
          <cell r="C3910" t="str">
            <v>ΑΙΓΟΠΡΟΒΑΤΑ</v>
          </cell>
          <cell r="D3910">
            <v>15000216</v>
          </cell>
          <cell r="E3910" t="str">
            <v>ΑΙΓΟΠΡΟΒΑΤΑ15000216</v>
          </cell>
          <cell r="F3910" t="str">
            <v>ΚΡΙΟΙ,  ΚΑΛΑΡΡΥΤΙΚΟ</v>
          </cell>
          <cell r="G3910" t="str">
            <v>C_3_1_99</v>
          </cell>
          <cell r="H3910" t="str">
            <v>Λοιπά προβατοειδή</v>
          </cell>
          <cell r="I3910">
            <v>59</v>
          </cell>
          <cell r="N3910" t="str">
            <v>Ναι</v>
          </cell>
          <cell r="O3910" t="str">
            <v>Ναι</v>
          </cell>
          <cell r="P3910">
            <v>10.78</v>
          </cell>
        </row>
        <row r="3911">
          <cell r="A3911">
            <v>3909</v>
          </cell>
          <cell r="B3911">
            <v>1</v>
          </cell>
          <cell r="C3911" t="str">
            <v>ΑΙΓΟΠΡΟΒΑΤΑ</v>
          </cell>
          <cell r="D3911">
            <v>15000217</v>
          </cell>
          <cell r="E3911" t="str">
            <v>ΑΙΓΟΠΡΟΒΑΤΑ15000217</v>
          </cell>
          <cell r="F3911" t="str">
            <v>ΚΡΙΟΙ,  ΠΗΛΙΟΥ</v>
          </cell>
          <cell r="G3911" t="str">
            <v>C_3_1_99</v>
          </cell>
          <cell r="H3911" t="str">
            <v>Λοιπά προβατοειδή</v>
          </cell>
          <cell r="I3911">
            <v>59</v>
          </cell>
          <cell r="N3911" t="str">
            <v>Ναι</v>
          </cell>
          <cell r="O3911" t="str">
            <v>Ναι</v>
          </cell>
          <cell r="P3911">
            <v>10.78</v>
          </cell>
        </row>
        <row r="3912">
          <cell r="A3912">
            <v>3910</v>
          </cell>
          <cell r="B3912">
            <v>1</v>
          </cell>
          <cell r="C3912" t="str">
            <v>ΑΙΓΟΠΡΟΒΑΤΑ</v>
          </cell>
          <cell r="D3912">
            <v>15000218</v>
          </cell>
          <cell r="E3912" t="str">
            <v>ΑΙΓΟΠΡΟΒΑΤΑ15000218</v>
          </cell>
          <cell r="F3912" t="str">
            <v>ΚΡΙΟΙ,  ΣΕΡΡΩΝ</v>
          </cell>
          <cell r="G3912" t="str">
            <v>C_3_1_99</v>
          </cell>
          <cell r="H3912" t="str">
            <v>Λοιπά προβατοειδή</v>
          </cell>
          <cell r="I3912">
            <v>59</v>
          </cell>
          <cell r="N3912" t="str">
            <v>Ναι</v>
          </cell>
          <cell r="O3912" t="str">
            <v>Ναι</v>
          </cell>
          <cell r="P3912">
            <v>10.78</v>
          </cell>
        </row>
        <row r="3913">
          <cell r="A3913">
            <v>3911</v>
          </cell>
          <cell r="B3913">
            <v>1</v>
          </cell>
          <cell r="C3913" t="str">
            <v>ΑΙΓΟΠΡΟΒΑΤΑ</v>
          </cell>
          <cell r="D3913">
            <v>16000219</v>
          </cell>
          <cell r="E3913" t="str">
            <v>ΑΙΓΟΠΡΟΒΑΤΑ16000219</v>
          </cell>
          <cell r="F3913" t="str">
            <v>ΤΡΑΓΟI,  ΣΚΟΠΕΛΟΥ</v>
          </cell>
          <cell r="G3913" t="str">
            <v>C_3_2_99</v>
          </cell>
          <cell r="H3913" t="str">
            <v>Λοιπά αιγοειδή</v>
          </cell>
          <cell r="I3913">
            <v>56</v>
          </cell>
          <cell r="N3913" t="str">
            <v>Ναι</v>
          </cell>
          <cell r="O3913" t="str">
            <v>Ναι</v>
          </cell>
          <cell r="P3913">
            <v>13.49</v>
          </cell>
        </row>
        <row r="3914">
          <cell r="A3914">
            <v>3912</v>
          </cell>
          <cell r="B3914">
            <v>3</v>
          </cell>
          <cell r="C3914" t="str">
            <v>ΙΠΠΟΕΙΔΗ</v>
          </cell>
          <cell r="D3914">
            <v>31130201</v>
          </cell>
          <cell r="E3914" t="str">
            <v>ΙΠΠΟΕΙΔΗ31130201</v>
          </cell>
          <cell r="F3914" t="str">
            <v>ΙΠΠΟΙ, ΑΡΣΕΝΙΚΟΙ, &lt; 6 ΜΗΝΩΝ, ΗΛΕΙΑΣ</v>
          </cell>
          <cell r="G3914" t="str">
            <v>C_1</v>
          </cell>
          <cell r="H3914" t="str">
            <v>Ιπποειδή</v>
          </cell>
          <cell r="I3914">
            <v>358</v>
          </cell>
          <cell r="O3914" t="str">
            <v/>
          </cell>
          <cell r="P3914">
            <v>20</v>
          </cell>
        </row>
        <row r="3915">
          <cell r="A3915">
            <v>3913</v>
          </cell>
          <cell r="B3915">
            <v>3</v>
          </cell>
          <cell r="C3915" t="str">
            <v>ΙΠΠΟΕΙΔΗ</v>
          </cell>
          <cell r="D3915">
            <v>31130202</v>
          </cell>
          <cell r="E3915" t="str">
            <v>ΙΠΠΟΕΙΔΗ31130202</v>
          </cell>
          <cell r="F3915" t="str">
            <v>ΙΠΠΟΙ, ΑΡΣΕΝΙΚΟΙ, &lt; 6 ΜΗΝΩΝ, ΠΗΝΕΙΑΣ</v>
          </cell>
          <cell r="G3915" t="str">
            <v>C_1</v>
          </cell>
          <cell r="H3915" t="str">
            <v>Ιπποειδή</v>
          </cell>
          <cell r="I3915">
            <v>358</v>
          </cell>
          <cell r="O3915" t="str">
            <v/>
          </cell>
          <cell r="P3915">
            <v>20</v>
          </cell>
        </row>
        <row r="3916">
          <cell r="A3916">
            <v>3914</v>
          </cell>
          <cell r="B3916">
            <v>3</v>
          </cell>
          <cell r="C3916" t="str">
            <v>ΙΠΠΟΕΙΔΗ</v>
          </cell>
          <cell r="D3916">
            <v>31130203</v>
          </cell>
          <cell r="E3916" t="str">
            <v>ΙΠΠΟΕΙΔΗ31130203</v>
          </cell>
          <cell r="F3916" t="str">
            <v>ΙΠΠΟΙ, ΑΡΣΕΝΙΚΟΙ, &lt; 6 ΜΗΝΩΝ, ΘΕΣΣΑΛΙΑΣ</v>
          </cell>
          <cell r="G3916" t="str">
            <v>C_1</v>
          </cell>
          <cell r="H3916" t="str">
            <v>Ιπποειδή</v>
          </cell>
          <cell r="I3916">
            <v>358</v>
          </cell>
          <cell r="O3916" t="str">
            <v/>
          </cell>
          <cell r="P3916">
            <v>20</v>
          </cell>
        </row>
        <row r="3917">
          <cell r="A3917">
            <v>3915</v>
          </cell>
          <cell r="B3917">
            <v>3</v>
          </cell>
          <cell r="C3917" t="str">
            <v>ΙΠΠΟΕΙΔΗ</v>
          </cell>
          <cell r="D3917">
            <v>31130204</v>
          </cell>
          <cell r="E3917" t="str">
            <v>ΙΠΠΟΕΙΔΗ31130204</v>
          </cell>
          <cell r="F3917" t="str">
            <v>ΙΠΠΟΙ, ΑΡΣΕΝΙΚΟΙ, &lt; 6 ΜΗΝΩΝ, ΣΚΥΡΟΥ</v>
          </cell>
          <cell r="G3917" t="str">
            <v>C_1</v>
          </cell>
          <cell r="H3917" t="str">
            <v>Ιπποειδή</v>
          </cell>
          <cell r="I3917">
            <v>358</v>
          </cell>
          <cell r="O3917" t="str">
            <v/>
          </cell>
          <cell r="P3917">
            <v>20</v>
          </cell>
        </row>
        <row r="3918">
          <cell r="A3918">
            <v>3916</v>
          </cell>
          <cell r="B3918">
            <v>3</v>
          </cell>
          <cell r="C3918" t="str">
            <v>ΙΠΠΟΕΙΔΗ</v>
          </cell>
          <cell r="D3918">
            <v>31130205</v>
          </cell>
          <cell r="E3918" t="str">
            <v>ΙΠΠΟΕΙΔΗ31130205</v>
          </cell>
          <cell r="F3918" t="str">
            <v>ΙΠΠΟΙ, ΑΡΣΕΝΙΚΟΙ, &lt; 6 ΜΗΝΩΝ, ΠΙΝΔΟΥ</v>
          </cell>
          <cell r="G3918" t="str">
            <v>C_1</v>
          </cell>
          <cell r="H3918" t="str">
            <v>Ιπποειδή</v>
          </cell>
          <cell r="I3918">
            <v>358</v>
          </cell>
          <cell r="O3918" t="str">
            <v/>
          </cell>
          <cell r="P3918">
            <v>20</v>
          </cell>
        </row>
        <row r="3919">
          <cell r="A3919">
            <v>3917</v>
          </cell>
          <cell r="B3919">
            <v>3</v>
          </cell>
          <cell r="C3919" t="str">
            <v>ΙΠΠΟΕΙΔΗ</v>
          </cell>
          <cell r="D3919">
            <v>31130206</v>
          </cell>
          <cell r="E3919" t="str">
            <v>ΙΠΠΟΕΙΔΗ31130206</v>
          </cell>
          <cell r="F3919" t="str">
            <v>ΙΠΠΟΙ, ΑΡΣΕΝΙΚΟΙ, &lt; 6 ΜΗΝΩΝ, ΜΕΣΣΑΡΑ</v>
          </cell>
          <cell r="G3919" t="str">
            <v>C_1</v>
          </cell>
          <cell r="H3919" t="str">
            <v>Ιπποειδή</v>
          </cell>
          <cell r="I3919">
            <v>358</v>
          </cell>
          <cell r="O3919" t="str">
            <v/>
          </cell>
          <cell r="P3919">
            <v>20</v>
          </cell>
        </row>
        <row r="3920">
          <cell r="A3920">
            <v>3918</v>
          </cell>
          <cell r="B3920">
            <v>3</v>
          </cell>
          <cell r="C3920" t="str">
            <v>ΙΠΠΟΕΙΔΗ</v>
          </cell>
          <cell r="D3920">
            <v>31140201</v>
          </cell>
          <cell r="E3920" t="str">
            <v>ΙΠΠΟΕΙΔΗ31140201</v>
          </cell>
          <cell r="F3920" t="str">
            <v>ΙΠΠΟΙ, ΑΡΣΕΝΙΚΟΙ, &gt; 6 ΜΗΝΩΝ, ΗΛΕΙΑΣ</v>
          </cell>
          <cell r="G3920" t="str">
            <v>C_1</v>
          </cell>
          <cell r="H3920" t="str">
            <v>Ιπποειδή</v>
          </cell>
          <cell r="I3920">
            <v>358</v>
          </cell>
          <cell r="O3920" t="str">
            <v/>
          </cell>
          <cell r="P3920">
            <v>20</v>
          </cell>
        </row>
        <row r="3921">
          <cell r="A3921">
            <v>3919</v>
          </cell>
          <cell r="B3921">
            <v>3</v>
          </cell>
          <cell r="C3921" t="str">
            <v>ΙΠΠΟΕΙΔΗ</v>
          </cell>
          <cell r="D3921">
            <v>31140202</v>
          </cell>
          <cell r="E3921" t="str">
            <v>ΙΠΠΟΕΙΔΗ31140202</v>
          </cell>
          <cell r="F3921" t="str">
            <v>ΙΠΠΟΙ, ΑΡΣΕΝΙΚΟΙ, &gt; 6 ΜΗΝΩΝ, ΠΗΝΕΙΑΣ</v>
          </cell>
          <cell r="G3921" t="str">
            <v>C_1</v>
          </cell>
          <cell r="H3921" t="str">
            <v>Ιπποειδή</v>
          </cell>
          <cell r="I3921">
            <v>358</v>
          </cell>
          <cell r="O3921" t="str">
            <v/>
          </cell>
          <cell r="P3921">
            <v>20</v>
          </cell>
        </row>
        <row r="3922">
          <cell r="A3922">
            <v>3920</v>
          </cell>
          <cell r="B3922">
            <v>3</v>
          </cell>
          <cell r="C3922" t="str">
            <v>ΙΠΠΟΕΙΔΗ</v>
          </cell>
          <cell r="D3922">
            <v>31140203</v>
          </cell>
          <cell r="E3922" t="str">
            <v>ΙΠΠΟΕΙΔΗ31140203</v>
          </cell>
          <cell r="F3922" t="str">
            <v>ΙΠΠΟΙ, ΑΡΣΕΝΙΚΟΙ, &gt; 6 ΜΗΝΩΝ, ΘΕΣΣΑΛΙΑΣ</v>
          </cell>
          <cell r="G3922" t="str">
            <v>C_1</v>
          </cell>
          <cell r="H3922" t="str">
            <v>Ιπποειδή</v>
          </cell>
          <cell r="I3922">
            <v>358</v>
          </cell>
          <cell r="O3922" t="str">
            <v/>
          </cell>
          <cell r="P3922">
            <v>20</v>
          </cell>
        </row>
        <row r="3923">
          <cell r="A3923">
            <v>3921</v>
          </cell>
          <cell r="B3923">
            <v>3</v>
          </cell>
          <cell r="C3923" t="str">
            <v>ΙΠΠΟΕΙΔΗ</v>
          </cell>
          <cell r="D3923">
            <v>31140204</v>
          </cell>
          <cell r="E3923" t="str">
            <v>ΙΠΠΟΕΙΔΗ31140204</v>
          </cell>
          <cell r="F3923" t="str">
            <v>ΙΠΠΟΙ, ΑΡΣΕΝΙΚΟΙ, &gt; 6 ΜΗΝΩΝ, ΣΚΥΡΟΥ</v>
          </cell>
          <cell r="G3923" t="str">
            <v>C_1</v>
          </cell>
          <cell r="H3923" t="str">
            <v>Ιπποειδή</v>
          </cell>
          <cell r="I3923">
            <v>358</v>
          </cell>
          <cell r="O3923" t="str">
            <v/>
          </cell>
          <cell r="P3923">
            <v>20</v>
          </cell>
        </row>
        <row r="3924">
          <cell r="A3924">
            <v>3922</v>
          </cell>
          <cell r="B3924">
            <v>3</v>
          </cell>
          <cell r="C3924" t="str">
            <v>ΙΠΠΟΕΙΔΗ</v>
          </cell>
          <cell r="D3924">
            <v>31140205</v>
          </cell>
          <cell r="E3924" t="str">
            <v>ΙΠΠΟΕΙΔΗ31140205</v>
          </cell>
          <cell r="F3924" t="str">
            <v>ΙΠΠΟΙ, ΑΡΣΕΝΙΚΟΙ, &gt; 6 ΜΗΝΩΝ, ΠΙΝΔΟΥ</v>
          </cell>
          <cell r="G3924" t="str">
            <v>C_1</v>
          </cell>
          <cell r="H3924" t="str">
            <v>Ιπποειδή</v>
          </cell>
          <cell r="I3924">
            <v>358</v>
          </cell>
          <cell r="O3924" t="str">
            <v/>
          </cell>
          <cell r="P3924">
            <v>20</v>
          </cell>
        </row>
        <row r="3925">
          <cell r="A3925">
            <v>3923</v>
          </cell>
          <cell r="B3925">
            <v>3</v>
          </cell>
          <cell r="C3925" t="str">
            <v>ΙΠΠΟΕΙΔΗ</v>
          </cell>
          <cell r="D3925">
            <v>31140206</v>
          </cell>
          <cell r="E3925" t="str">
            <v>ΙΠΠΟΕΙΔΗ31140206</v>
          </cell>
          <cell r="F3925" t="str">
            <v>ΙΠΠΟΙ, ΑΡΣΕΝΙΚΟΙ, &gt; 6 ΜΗΝΩΝ, ΜΕΣΣΑΡΑ</v>
          </cell>
          <cell r="G3925" t="str">
            <v>C_1</v>
          </cell>
          <cell r="H3925" t="str">
            <v>Ιπποειδή</v>
          </cell>
          <cell r="I3925">
            <v>358</v>
          </cell>
          <cell r="O3925" t="str">
            <v/>
          </cell>
          <cell r="P3925">
            <v>20</v>
          </cell>
        </row>
        <row r="3926">
          <cell r="A3926">
            <v>3924</v>
          </cell>
          <cell r="B3926">
            <v>3</v>
          </cell>
          <cell r="C3926" t="str">
            <v>ΙΠΠΟΕΙΔΗ</v>
          </cell>
          <cell r="D3926">
            <v>31230201</v>
          </cell>
          <cell r="E3926" t="str">
            <v>ΙΠΠΟΕΙΔΗ31230201</v>
          </cell>
          <cell r="F3926" t="str">
            <v>ΙΠΠΟΙ, ΘΗΛΥΚΟΙ, &lt; 6 ΜΗΝΩΝ, ΗΛΕΙΑΣ</v>
          </cell>
          <cell r="G3926" t="str">
            <v>C_1</v>
          </cell>
          <cell r="H3926" t="str">
            <v>Ιπποειδή</v>
          </cell>
          <cell r="I3926">
            <v>358</v>
          </cell>
          <cell r="O3926" t="str">
            <v/>
          </cell>
          <cell r="P3926">
            <v>20</v>
          </cell>
        </row>
        <row r="3927">
          <cell r="A3927">
            <v>3925</v>
          </cell>
          <cell r="B3927">
            <v>3</v>
          </cell>
          <cell r="C3927" t="str">
            <v>ΙΠΠΟΕΙΔΗ</v>
          </cell>
          <cell r="D3927">
            <v>31230202</v>
          </cell>
          <cell r="E3927" t="str">
            <v>ΙΠΠΟΕΙΔΗ31230202</v>
          </cell>
          <cell r="F3927" t="str">
            <v>ΙΠΠΟΙ, ΘΗΛΥΚΟΙ, &lt; 6 ΜΗΝΩΝ, ΠΗΝΕΙΑΣ</v>
          </cell>
          <cell r="G3927" t="str">
            <v>C_1</v>
          </cell>
          <cell r="H3927" t="str">
            <v>Ιπποειδή</v>
          </cell>
          <cell r="I3927">
            <v>358</v>
          </cell>
          <cell r="O3927" t="str">
            <v/>
          </cell>
          <cell r="P3927">
            <v>20</v>
          </cell>
        </row>
        <row r="3928">
          <cell r="A3928">
            <v>3926</v>
          </cell>
          <cell r="B3928">
            <v>3</v>
          </cell>
          <cell r="C3928" t="str">
            <v>ΙΠΠΟΕΙΔΗ</v>
          </cell>
          <cell r="D3928">
            <v>31230203</v>
          </cell>
          <cell r="E3928" t="str">
            <v>ΙΠΠΟΕΙΔΗ31230203</v>
          </cell>
          <cell r="F3928" t="str">
            <v>ΙΠΠΟΙ, ΘΗΛΥΚΟΙ, &lt; 6 ΜΗΝΩΝ, ΘΕΣΣΑΛΙΑΣ</v>
          </cell>
          <cell r="G3928" t="str">
            <v>C_1</v>
          </cell>
          <cell r="H3928" t="str">
            <v>Ιπποειδή</v>
          </cell>
          <cell r="I3928">
            <v>358</v>
          </cell>
          <cell r="O3928" t="str">
            <v/>
          </cell>
          <cell r="P3928">
            <v>20</v>
          </cell>
        </row>
        <row r="3929">
          <cell r="A3929">
            <v>3927</v>
          </cell>
          <cell r="B3929">
            <v>3</v>
          </cell>
          <cell r="C3929" t="str">
            <v>ΙΠΠΟΕΙΔΗ</v>
          </cell>
          <cell r="D3929">
            <v>31230204</v>
          </cell>
          <cell r="E3929" t="str">
            <v>ΙΠΠΟΕΙΔΗ31230204</v>
          </cell>
          <cell r="F3929" t="str">
            <v>ΙΠΠΟΙ, ΘΗΛΥΚΟΙ, &lt; 6 ΜΗΝΩΝ, ΣΚΥΡΟΥ</v>
          </cell>
          <cell r="G3929" t="str">
            <v>C_1</v>
          </cell>
          <cell r="H3929" t="str">
            <v>Ιπποειδή</v>
          </cell>
          <cell r="I3929">
            <v>358</v>
          </cell>
          <cell r="O3929" t="str">
            <v/>
          </cell>
          <cell r="P3929">
            <v>20</v>
          </cell>
        </row>
        <row r="3930">
          <cell r="A3930">
            <v>3928</v>
          </cell>
          <cell r="B3930">
            <v>3</v>
          </cell>
          <cell r="C3930" t="str">
            <v>ΙΠΠΟΕΙΔΗ</v>
          </cell>
          <cell r="D3930">
            <v>31230205</v>
          </cell>
          <cell r="E3930" t="str">
            <v>ΙΠΠΟΕΙΔΗ31230205</v>
          </cell>
          <cell r="F3930" t="str">
            <v>ΙΠΠΟΙ, ΘΗΛΥΚΟΙ, &lt; 6 ΜΗΝΩΝ, ΠΙΝΔΟΥ</v>
          </cell>
          <cell r="G3930" t="str">
            <v>C_1</v>
          </cell>
          <cell r="H3930" t="str">
            <v>Ιπποειδή</v>
          </cell>
          <cell r="I3930">
            <v>358</v>
          </cell>
          <cell r="O3930" t="str">
            <v/>
          </cell>
          <cell r="P3930">
            <v>20</v>
          </cell>
        </row>
        <row r="3931">
          <cell r="A3931">
            <v>3929</v>
          </cell>
          <cell r="B3931">
            <v>3</v>
          </cell>
          <cell r="C3931" t="str">
            <v>ΙΠΠΟΕΙΔΗ</v>
          </cell>
          <cell r="D3931">
            <v>31230206</v>
          </cell>
          <cell r="E3931" t="str">
            <v>ΙΠΠΟΕΙΔΗ31230206</v>
          </cell>
          <cell r="F3931" t="str">
            <v>ΙΠΠΟΙ, ΘΗΛΥΚΟΙ, &lt; 6 ΜΗΝΩΝ, ΜΕΣΣΑΡΑ</v>
          </cell>
          <cell r="G3931" t="str">
            <v>C_1</v>
          </cell>
          <cell r="H3931" t="str">
            <v>Ιπποειδή</v>
          </cell>
          <cell r="I3931">
            <v>358</v>
          </cell>
          <cell r="O3931" t="str">
            <v/>
          </cell>
          <cell r="P3931">
            <v>20</v>
          </cell>
        </row>
        <row r="3932">
          <cell r="A3932">
            <v>3930</v>
          </cell>
          <cell r="B3932">
            <v>3</v>
          </cell>
          <cell r="C3932" t="str">
            <v>ΙΠΠΟΕΙΔΗ</v>
          </cell>
          <cell r="D3932">
            <v>31240201</v>
          </cell>
          <cell r="E3932" t="str">
            <v>ΙΠΠΟΕΙΔΗ31240201</v>
          </cell>
          <cell r="F3932" t="str">
            <v>ΙΠΠΟΙ, ΘΗΛΥΚΟΙ, &gt; 6 ΜΗΝΩΝ, ΗΛΕΙΑΣ</v>
          </cell>
          <cell r="G3932" t="str">
            <v>C_1</v>
          </cell>
          <cell r="H3932" t="str">
            <v>Ιπποειδή</v>
          </cell>
          <cell r="I3932">
            <v>358</v>
          </cell>
          <cell r="O3932" t="str">
            <v/>
          </cell>
          <cell r="P3932">
            <v>20</v>
          </cell>
        </row>
        <row r="3933">
          <cell r="A3933">
            <v>3931</v>
          </cell>
          <cell r="B3933">
            <v>3</v>
          </cell>
          <cell r="C3933" t="str">
            <v>ΙΠΠΟΕΙΔΗ</v>
          </cell>
          <cell r="D3933">
            <v>31240202</v>
          </cell>
          <cell r="E3933" t="str">
            <v>ΙΠΠΟΕΙΔΗ31240202</v>
          </cell>
          <cell r="F3933" t="str">
            <v>ΙΠΠΟΙ, ΘΗΛΥΚΟΙ, &gt; 6 ΜΗΝΩΝ, ΠΗΝΕΙΑΣ</v>
          </cell>
          <cell r="G3933" t="str">
            <v>C_1</v>
          </cell>
          <cell r="H3933" t="str">
            <v>Ιπποειδή</v>
          </cell>
          <cell r="I3933">
            <v>358</v>
          </cell>
          <cell r="O3933" t="str">
            <v/>
          </cell>
          <cell r="P3933">
            <v>20</v>
          </cell>
        </row>
        <row r="3934">
          <cell r="A3934">
            <v>3932</v>
          </cell>
          <cell r="B3934">
            <v>3</v>
          </cell>
          <cell r="C3934" t="str">
            <v>ΙΠΠΟΕΙΔΗ</v>
          </cell>
          <cell r="D3934">
            <v>31240203</v>
          </cell>
          <cell r="E3934" t="str">
            <v>ΙΠΠΟΕΙΔΗ31240203</v>
          </cell>
          <cell r="F3934" t="str">
            <v>ΙΠΠΟΙ, ΘΗΛΥΚΟΙ, &gt; 6 ΜΗΝΩΝ, ΘΕΣΣΑΛΙΑΣ</v>
          </cell>
          <cell r="G3934" t="str">
            <v>C_1</v>
          </cell>
          <cell r="H3934" t="str">
            <v>Ιπποειδή</v>
          </cell>
          <cell r="I3934">
            <v>358</v>
          </cell>
          <cell r="O3934" t="str">
            <v/>
          </cell>
          <cell r="P3934">
            <v>20</v>
          </cell>
        </row>
        <row r="3935">
          <cell r="A3935">
            <v>3933</v>
          </cell>
          <cell r="B3935">
            <v>3</v>
          </cell>
          <cell r="C3935" t="str">
            <v>ΙΠΠΟΕΙΔΗ</v>
          </cell>
          <cell r="D3935">
            <v>31240204</v>
          </cell>
          <cell r="E3935" t="str">
            <v>ΙΠΠΟΕΙΔΗ31240204</v>
          </cell>
          <cell r="F3935" t="str">
            <v>ΙΠΠΟΙ, ΘΗΛΥΚΟΙ, &gt; 6 ΜΗΝΩΝ, ΣΚΥΡΟΥ</v>
          </cell>
          <cell r="G3935" t="str">
            <v>C_1</v>
          </cell>
          <cell r="H3935" t="str">
            <v>Ιπποειδή</v>
          </cell>
          <cell r="I3935">
            <v>358</v>
          </cell>
          <cell r="O3935" t="str">
            <v/>
          </cell>
          <cell r="P3935">
            <v>20</v>
          </cell>
        </row>
        <row r="3936">
          <cell r="A3936">
            <v>3934</v>
          </cell>
          <cell r="B3936">
            <v>3</v>
          </cell>
          <cell r="C3936" t="str">
            <v>ΙΠΠΟΕΙΔΗ</v>
          </cell>
          <cell r="D3936">
            <v>31240205</v>
          </cell>
          <cell r="E3936" t="str">
            <v>ΙΠΠΟΕΙΔΗ31240205</v>
          </cell>
          <cell r="F3936" t="str">
            <v>ΙΠΠΟΙ, ΘΗΛΥΚΟΙ, &gt; 6 ΜΗΝΩΝ, ΠΙΝΔΟΥ</v>
          </cell>
          <cell r="G3936" t="str">
            <v>C_1</v>
          </cell>
          <cell r="H3936" t="str">
            <v>Ιπποειδή</v>
          </cell>
          <cell r="I3936">
            <v>358</v>
          </cell>
          <cell r="O3936" t="str">
            <v/>
          </cell>
          <cell r="P3936">
            <v>20</v>
          </cell>
        </row>
        <row r="3937">
          <cell r="A3937">
            <v>3935</v>
          </cell>
          <cell r="B3937">
            <v>3</v>
          </cell>
          <cell r="C3937" t="str">
            <v>ΙΠΠΟΕΙΔΗ</v>
          </cell>
          <cell r="D3937">
            <v>31240206</v>
          </cell>
          <cell r="E3937" t="str">
            <v>ΙΠΠΟΕΙΔΗ31240206</v>
          </cell>
          <cell r="F3937" t="str">
            <v>ΙΠΠΟΙ, ΘΗΛΥΚΟΙ, &gt; 6 ΜΗΝΩΝ, ΜΕΣΣΑΡΑ</v>
          </cell>
          <cell r="G3937" t="str">
            <v>C_1</v>
          </cell>
          <cell r="H3937" t="str">
            <v>Ιπποειδή</v>
          </cell>
          <cell r="I3937">
            <v>358</v>
          </cell>
          <cell r="O3937" t="str">
            <v/>
          </cell>
          <cell r="P3937">
            <v>20</v>
          </cell>
        </row>
        <row r="3938">
          <cell r="A3938">
            <v>3936</v>
          </cell>
          <cell r="B3938">
            <v>4</v>
          </cell>
          <cell r="C3938" t="str">
            <v>ΧΟΙΡΟΙ</v>
          </cell>
          <cell r="D3938">
            <v>41000201</v>
          </cell>
          <cell r="E3938" t="str">
            <v>ΧΟΙΡΟΙ41000201</v>
          </cell>
          <cell r="F3938" t="str">
            <v>ΚΑΠΡΟΙ ΕΓΧΩΡΙΟΣ ΕΛΛΗΝΙΚΟΣ ΧΟΙΡΟΣ</v>
          </cell>
          <cell r="G3938" t="str">
            <v>C_4_2</v>
          </cell>
          <cell r="H3938" t="str">
            <v>Χοίροι αναπαραγωγής βαρούς 50 κιλών και άνω</v>
          </cell>
          <cell r="I3938">
            <v>597</v>
          </cell>
          <cell r="O3938" t="str">
            <v/>
          </cell>
          <cell r="P3938">
            <v>77</v>
          </cell>
        </row>
        <row r="3939">
          <cell r="A3939">
            <v>3937</v>
          </cell>
          <cell r="B3939">
            <v>4</v>
          </cell>
          <cell r="C3939" t="str">
            <v>ΧΟΙΡΟΙ</v>
          </cell>
          <cell r="D3939">
            <v>42000201</v>
          </cell>
          <cell r="E3939" t="str">
            <v>ΧΟΙΡΟΙ42000201</v>
          </cell>
          <cell r="F3939" t="str">
            <v>ΧΟΙΡΟΜΗΤΕΡΕΣ, ΕΓΧΩΡΙΟΣ ΕΛΛΗΝΙΚΟΣ ΧΟΙΡΟΣ</v>
          </cell>
          <cell r="G3939" t="str">
            <v>C_4_2</v>
          </cell>
          <cell r="H3939" t="str">
            <v>Χοιρομητέρες αναπαραγωγής βαρούς 50 κιλών και άνω</v>
          </cell>
          <cell r="I3939">
            <v>597</v>
          </cell>
          <cell r="O3939" t="str">
            <v/>
          </cell>
          <cell r="P3939">
            <v>77</v>
          </cell>
        </row>
        <row r="3940">
          <cell r="A3940">
            <v>3938</v>
          </cell>
          <cell r="B3940">
            <v>4</v>
          </cell>
          <cell r="C3940" t="str">
            <v>ΧΟΙΡΟΙ</v>
          </cell>
          <cell r="D3940">
            <v>43100201</v>
          </cell>
          <cell r="E3940" t="str">
            <v>ΧΟΙΡΟΙ43100201</v>
          </cell>
          <cell r="F3940" t="str">
            <v>ΠΑΧΥΝΟΜΕΝΑ ΧΟΙΡΙΔΙΑ, ΑΡΣΕΝΙΚΑ, ΕΓΧΩΡΙΟΣ ΕΛΛΗΝΙΚΟΣ ΧΟΙΡΟΣ</v>
          </cell>
          <cell r="G3940" t="str">
            <v>C_4_1</v>
          </cell>
          <cell r="H3940" t="str">
            <v>Χοιρίδια βάρους ζώντος ζώου κάτω των 20 κιλών</v>
          </cell>
          <cell r="I3940">
            <v>67</v>
          </cell>
          <cell r="O3940" t="str">
            <v/>
          </cell>
          <cell r="P3940">
            <v>8.64</v>
          </cell>
        </row>
        <row r="3941">
          <cell r="A3941">
            <v>3939</v>
          </cell>
          <cell r="B3941">
            <v>4</v>
          </cell>
          <cell r="C3941" t="str">
            <v>ΧΟΙΡΟΙ</v>
          </cell>
          <cell r="D3941">
            <v>43200201</v>
          </cell>
          <cell r="E3941" t="str">
            <v>ΧΟΙΡΟΙ43200201</v>
          </cell>
          <cell r="F3941" t="str">
            <v>ΠΑΧΥΝΟΜΕΝΑ ΧΟΙΡΙΔΙΑ, ΘΗΛΥΚΑ, ΕΓΧΩΡΙΟΣ ΕΛΛΗΝΙΚΟΣ ΧΟΙΡΟΣ</v>
          </cell>
          <cell r="G3941" t="str">
            <v>C_4_1</v>
          </cell>
          <cell r="H3941" t="str">
            <v>Χοιρίδια βάρους ζώντος ζώου κάτω των 20 κιλών</v>
          </cell>
          <cell r="I3941">
            <v>67</v>
          </cell>
          <cell r="O3941" t="str">
            <v/>
          </cell>
          <cell r="P3941">
            <v>8.64</v>
          </cell>
        </row>
      </sheetData>
      <sheetData sheetId="4" refreshError="1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53DF77-53E8-4975-ADA6-6435005A7B23}" name="Table3" displayName="Table3" ref="A1:F6563" totalsRowShown="0" headerRowBorderDxfId="7" tableBorderDxfId="6">
  <autoFilter ref="A1:F6563" xr:uid="{0A53DF77-53E8-4975-ADA6-6435005A7B23}"/>
  <tableColumns count="6">
    <tableColumn id="1" xr3:uid="{57C623C1-1766-4028-BB50-C067B722E9B4}" name="Column1" dataDxfId="5">
      <calculatedColumnFormula>_xlfn.CONCAT(B2,C2)</calculatedColumnFormula>
    </tableColumn>
    <tableColumn id="2" xr3:uid="{9F1FCFD8-0463-4707-8C23-52D500C98894}" name="Κατηγορία_ΟΣΔΕ2" dataDxfId="4"/>
    <tableColumn id="3" xr3:uid="{422B3704-CFA0-41E9-9A7E-B59DA8C205BF}" name="Περιγραφή_Είδους_Ποικιλίας_στο_ΟΣΔΕ" dataDxfId="3"/>
    <tableColumn id="4" xr3:uid="{02CEB86F-0578-4478-AAAF-7AFE5B65B84A}" name="Τυπικές Αποδόσεις Ηπειρωτικής Χώρας για προσκλήσεις ΣΣ ΚΑΠ " dataDxfId="2" dataCellStyle="Normal_Sheet3"/>
    <tableColumn id="5" xr3:uid="{A03FF71C-7ECB-41A5-B316-179891D9A39A}" name="Τυπικές Αποδόσεις Κρήτης -  Β. Αιγαίου - Ν. Αιγαίου για προσκλήσεις ΣΣ ΚΑΠ" dataDxfId="1" dataCellStyle="Normal_Sheet3"/>
    <tableColumn id="6" xr3:uid="{DA69E84F-953A-492C-AF91-A7F45C26F513}" name="Σταθµισµένοι _x000a_Συντελεστές _x000a_Τυπικής _x000a_Απόδοσης    _x000a_(€ / _x000a_Μονάδα*) " dataDxfId="0" dataCellStyle="Κανονικό 2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7709-86E0-41FC-B47C-A9A63A7B4A39}">
  <sheetPr>
    <tabColor theme="9"/>
  </sheetPr>
  <dimension ref="A1:L6563"/>
  <sheetViews>
    <sheetView tabSelected="1" zoomScale="85" zoomScaleNormal="85" workbookViewId="0">
      <pane ySplit="1" topLeftCell="A2" activePane="bottomLeft" state="frozen"/>
      <selection activeCell="A6553" sqref="A6553"/>
      <selection pane="bottomLeft" activeCell="A6421" sqref="A6421:XFD6421"/>
    </sheetView>
  </sheetViews>
  <sheetFormatPr defaultColWidth="9.140625" defaultRowHeight="15.75" x14ac:dyDescent="0.25"/>
  <cols>
    <col min="1" max="1" width="74" style="1" customWidth="1"/>
    <col min="2" max="2" width="36.140625" style="82" bestFit="1" customWidth="1"/>
    <col min="3" max="3" width="52" style="83" customWidth="1"/>
    <col min="4" max="4" width="51.140625" style="84" customWidth="1"/>
    <col min="5" max="5" width="59.7109375" style="84" customWidth="1"/>
    <col min="6" max="6" width="19.7109375" style="64" customWidth="1"/>
    <col min="7" max="8" width="26.140625" style="64" customWidth="1"/>
    <col min="9" max="9" width="5" style="85" customWidth="1"/>
    <col min="10" max="10" width="8.5703125" style="86" customWidth="1"/>
    <col min="11" max="11" width="11.28515625" style="87" bestFit="1" customWidth="1"/>
    <col min="12" max="12" width="24.140625" style="88" customWidth="1"/>
    <col min="13" max="16384" width="9.140625" style="2"/>
  </cols>
  <sheetData>
    <row r="1" spans="1:12" ht="198" customHeight="1" x14ac:dyDescent="0.25">
      <c r="A1" s="1" t="s">
        <v>0</v>
      </c>
      <c r="B1" s="107" t="s">
        <v>1</v>
      </c>
      <c r="C1" s="108" t="s">
        <v>2</v>
      </c>
      <c r="D1" s="109" t="s">
        <v>3</v>
      </c>
      <c r="E1" s="109" t="s">
        <v>4</v>
      </c>
      <c r="F1" s="110" t="s">
        <v>5</v>
      </c>
      <c r="G1" s="111" t="s">
        <v>6</v>
      </c>
      <c r="H1" s="112" t="s">
        <v>7</v>
      </c>
      <c r="I1" s="113" t="s">
        <v>8</v>
      </c>
      <c r="J1" s="114" t="s">
        <v>9</v>
      </c>
      <c r="K1" s="114" t="s">
        <v>10</v>
      </c>
      <c r="L1" s="107" t="s">
        <v>11</v>
      </c>
    </row>
    <row r="2" spans="1:12" ht="22.5" customHeight="1" x14ac:dyDescent="0.25">
      <c r="A2" s="122" t="str">
        <f>_xlfn.CONCAT(B2,C2)</f>
        <v>--Επιλέξτε--Επιλέξτε</v>
      </c>
      <c r="B2" s="128" t="s">
        <v>12527</v>
      </c>
      <c r="C2" s="128" t="s">
        <v>12527</v>
      </c>
      <c r="D2" s="45"/>
      <c r="E2" s="45"/>
      <c r="F2" s="123"/>
      <c r="G2" s="124"/>
      <c r="H2" s="125"/>
      <c r="I2" s="126"/>
      <c r="J2" s="124"/>
      <c r="K2" s="124"/>
      <c r="L2" s="127"/>
    </row>
    <row r="3" spans="1:12" s="3" customFormat="1" ht="24" x14ac:dyDescent="0.25">
      <c r="A3" s="3" t="str">
        <f t="shared" ref="A3:A66" si="0">_xlfn.CONCAT(B3,C3)</f>
        <v>ΑΓΡΑΝΑΠΑΥΣΗΕΚΤΑΣΗ ΣΕ ΚΑΛΗ ΓΕΩΡΓΙΚΗ ΚΑΤΑΣΤΑΣΗ</v>
      </c>
      <c r="B3" s="115" t="s">
        <v>12</v>
      </c>
      <c r="C3" s="116" t="s">
        <v>13</v>
      </c>
      <c r="D3" s="117">
        <v>0</v>
      </c>
      <c r="E3" s="117">
        <v>0</v>
      </c>
      <c r="F3" s="118" t="s">
        <v>14</v>
      </c>
      <c r="G3" s="119" t="s">
        <v>15</v>
      </c>
      <c r="H3" s="119" t="s">
        <v>16</v>
      </c>
      <c r="I3" s="120">
        <v>2772</v>
      </c>
      <c r="J3" s="121">
        <v>6</v>
      </c>
      <c r="K3" s="121">
        <v>1000</v>
      </c>
      <c r="L3" s="3" t="str">
        <f t="shared" ref="L3:L66" si="1">IFERROR(SUBSTITUTE(SUBSTITUTE(SUBSTITUTE(SUBSTITUTE(SUBSTITUTE(B3, "-", "_"), " ", "_"), ",", ""), "(", ""), ")", ""), B3)</f>
        <v>ΑΓΡΑΝΑΠΑΥΣΗ</v>
      </c>
    </row>
    <row r="4" spans="1:12" s="3" customFormat="1" ht="24" x14ac:dyDescent="0.25">
      <c r="A4" s="3" t="str">
        <f t="shared" si="0"/>
        <v>ΑΓΡΑΝΑΠΑΥΣΗΑΓΡΑΝΑΠΑΥΣΗ ΜΕ ΕΔΑΦΟΚΑΛΥΨΗ</v>
      </c>
      <c r="B4" s="4" t="s">
        <v>12</v>
      </c>
      <c r="C4" s="5" t="s">
        <v>17</v>
      </c>
      <c r="D4" s="6">
        <v>0</v>
      </c>
      <c r="E4" s="6">
        <v>0</v>
      </c>
      <c r="F4" s="7" t="s">
        <v>14</v>
      </c>
      <c r="G4" s="8" t="s">
        <v>18</v>
      </c>
      <c r="H4" s="8" t="s">
        <v>16</v>
      </c>
      <c r="I4" s="9">
        <v>2770</v>
      </c>
      <c r="J4" s="10">
        <v>6</v>
      </c>
      <c r="K4" s="10">
        <v>3806</v>
      </c>
      <c r="L4" s="3" t="str">
        <f t="shared" si="1"/>
        <v>ΑΓΡΑΝΑΠΑΥΣΗ</v>
      </c>
    </row>
    <row r="5" spans="1:12" s="3" customFormat="1" ht="24" x14ac:dyDescent="0.25">
      <c r="A5" s="3" t="str">
        <f t="shared" si="0"/>
        <v>ΑΓΡΑΝΑΠΑΥΣΗΑΓΡΑΝΑΠΑΥΣΗ ΧΩΡΙΣ ΓΕΩΡΓΙΚΗΣ ΔΡΑΣΤΗΡΙΟΤΗΤΑ</v>
      </c>
      <c r="B5" s="4" t="s">
        <v>12</v>
      </c>
      <c r="C5" s="5" t="s">
        <v>19</v>
      </c>
      <c r="D5" s="6">
        <v>0</v>
      </c>
      <c r="E5" s="6">
        <v>0</v>
      </c>
      <c r="F5" s="7" t="s">
        <v>14</v>
      </c>
      <c r="G5" s="8" t="s">
        <v>20</v>
      </c>
      <c r="H5" s="8" t="s">
        <v>16</v>
      </c>
      <c r="I5" s="9">
        <v>2771</v>
      </c>
      <c r="J5" s="10">
        <v>6</v>
      </c>
      <c r="K5" s="10">
        <v>3807</v>
      </c>
      <c r="L5" s="3" t="str">
        <f t="shared" si="1"/>
        <v>ΑΓΡΑΝΑΠΑΥΣΗ</v>
      </c>
    </row>
    <row r="6" spans="1:12" s="3" customFormat="1" ht="24" x14ac:dyDescent="0.25">
      <c r="A6" s="3" t="str">
        <f t="shared" si="0"/>
        <v>ΑΙΓΟΠΡΟΒΑΤΑΕΡΙΦΙΑ ΑΡΣΕΝΙΚΑ, ΒΕΛΤΙΩΜΕΝΗ</v>
      </c>
      <c r="B6" s="4" t="s">
        <v>21</v>
      </c>
      <c r="C6" s="5" t="s">
        <v>22</v>
      </c>
      <c r="D6" s="6">
        <v>60</v>
      </c>
      <c r="E6" s="6">
        <v>62</v>
      </c>
      <c r="F6" s="11" t="s">
        <v>23</v>
      </c>
      <c r="G6" s="8" t="s">
        <v>24</v>
      </c>
      <c r="H6" s="8" t="s">
        <v>16</v>
      </c>
      <c r="I6" s="9">
        <v>4642</v>
      </c>
      <c r="J6" s="12">
        <v>1</v>
      </c>
      <c r="K6" s="13">
        <v>111001</v>
      </c>
      <c r="L6" s="3" t="str">
        <f t="shared" si="1"/>
        <v>ΑΙΓΟΠΡΟΒΑΤΑ</v>
      </c>
    </row>
    <row r="7" spans="1:12" s="3" customFormat="1" x14ac:dyDescent="0.25">
      <c r="A7" s="3" t="str">
        <f t="shared" si="0"/>
        <v>ΑΙΓΟΠΡΟΒΑΤΑΕΡΙΦΙΑ ΑΡΣΕΝΙΚΑ, ΑΥΤΟΧΘΟΝΗ</v>
      </c>
      <c r="B7" s="4" t="s">
        <v>21</v>
      </c>
      <c r="C7" s="14" t="s">
        <v>25</v>
      </c>
      <c r="D7" s="6">
        <v>60</v>
      </c>
      <c r="E7" s="6">
        <v>62</v>
      </c>
      <c r="F7" s="11" t="s">
        <v>23</v>
      </c>
      <c r="G7" s="8" t="s">
        <v>26</v>
      </c>
      <c r="H7" s="8" t="s">
        <v>27</v>
      </c>
      <c r="I7" s="9">
        <v>4643</v>
      </c>
      <c r="J7" s="12">
        <v>1</v>
      </c>
      <c r="K7" s="10">
        <v>111002</v>
      </c>
      <c r="L7" s="3" t="str">
        <f t="shared" si="1"/>
        <v>ΑΙΓΟΠΡΟΒΑΤΑ</v>
      </c>
    </row>
    <row r="8" spans="1:12" s="3" customFormat="1" ht="24" x14ac:dyDescent="0.25">
      <c r="A8" s="3" t="str">
        <f t="shared" si="0"/>
        <v>ΑΙΓΟΠΡΟΒΑΤΑΕΡΙΦΙΑ ΑΡΣΕΝΙΚΑ, ΣΚΟΠΕΛΟΥ</v>
      </c>
      <c r="B8" s="15" t="s">
        <v>21</v>
      </c>
      <c r="C8" s="14" t="s">
        <v>28</v>
      </c>
      <c r="D8" s="6">
        <v>60</v>
      </c>
      <c r="E8" s="6">
        <v>62</v>
      </c>
      <c r="F8" s="11" t="s">
        <v>23</v>
      </c>
      <c r="G8" s="8" t="s">
        <v>29</v>
      </c>
      <c r="H8" s="8" t="s">
        <v>16</v>
      </c>
      <c r="I8" s="9">
        <v>4841</v>
      </c>
      <c r="J8" s="16">
        <v>1</v>
      </c>
      <c r="K8" s="16">
        <v>11100219</v>
      </c>
      <c r="L8" s="3" t="str">
        <f t="shared" si="1"/>
        <v>ΑΙΓΟΠΡΟΒΑΤΑ</v>
      </c>
    </row>
    <row r="9" spans="1:12" s="3" customFormat="1" x14ac:dyDescent="0.25">
      <c r="A9" s="3" t="str">
        <f t="shared" si="0"/>
        <v>ΑΙΓΟΠΡΟΒΑΤΑΕΡΙΦΙΑ ΑΡΣΕΝΙΚΑ, ΚΑΘΑΡΟΑΙΜΗ</v>
      </c>
      <c r="B9" s="17" t="s">
        <v>21</v>
      </c>
      <c r="C9" s="14" t="s">
        <v>30</v>
      </c>
      <c r="D9" s="6">
        <v>60</v>
      </c>
      <c r="E9" s="6">
        <v>62</v>
      </c>
      <c r="F9" s="11" t="s">
        <v>23</v>
      </c>
      <c r="G9" s="8" t="s">
        <v>31</v>
      </c>
      <c r="H9" s="8" t="s">
        <v>27</v>
      </c>
      <c r="I9" s="9">
        <v>4644</v>
      </c>
      <c r="J9" s="13">
        <v>1</v>
      </c>
      <c r="K9" s="13">
        <v>111003</v>
      </c>
      <c r="L9" s="3" t="str">
        <f t="shared" si="1"/>
        <v>ΑΙΓΟΠΡΟΒΑΤΑ</v>
      </c>
    </row>
    <row r="10" spans="1:12" s="3" customFormat="1" ht="24" x14ac:dyDescent="0.25">
      <c r="A10" s="3" t="str">
        <f t="shared" si="0"/>
        <v>ΑΙΓΟΠΡΟΒΑΤΑΕΡΙΦΙΑ ΑΡΣΕΝΙΚΑ, ΛΟΙΠΗ</v>
      </c>
      <c r="B10" s="17" t="s">
        <v>21</v>
      </c>
      <c r="C10" s="14" t="s">
        <v>32</v>
      </c>
      <c r="D10" s="6">
        <v>60</v>
      </c>
      <c r="E10" s="6">
        <v>62</v>
      </c>
      <c r="F10" s="11" t="s">
        <v>23</v>
      </c>
      <c r="G10" s="8" t="s">
        <v>33</v>
      </c>
      <c r="H10" s="8" t="s">
        <v>16</v>
      </c>
      <c r="I10" s="9">
        <v>4645</v>
      </c>
      <c r="J10" s="13">
        <v>1</v>
      </c>
      <c r="K10" s="13">
        <v>111004</v>
      </c>
      <c r="L10" s="3" t="str">
        <f t="shared" si="1"/>
        <v>ΑΙΓΟΠΡΟΒΑΤΑ</v>
      </c>
    </row>
    <row r="11" spans="1:12" s="3" customFormat="1" ht="24" x14ac:dyDescent="0.25">
      <c r="A11" s="3" t="str">
        <f t="shared" si="0"/>
        <v>ΑΙΓΟΠΡΟΒΑΤΑΕΡΙΦΙΑ ΘΗΛΥΚΑ ΒΕΛΤΙΩΜΕΝΗ</v>
      </c>
      <c r="B11" s="17" t="s">
        <v>21</v>
      </c>
      <c r="C11" s="14" t="s">
        <v>34</v>
      </c>
      <c r="D11" s="6">
        <v>60</v>
      </c>
      <c r="E11" s="6">
        <v>62</v>
      </c>
      <c r="F11" s="11" t="s">
        <v>23</v>
      </c>
      <c r="G11" s="8" t="s">
        <v>35</v>
      </c>
      <c r="H11" s="8" t="s">
        <v>16</v>
      </c>
      <c r="I11" s="9">
        <v>4646</v>
      </c>
      <c r="J11" s="13">
        <v>1</v>
      </c>
      <c r="K11" s="13">
        <v>112001</v>
      </c>
      <c r="L11" s="3" t="str">
        <f t="shared" si="1"/>
        <v>ΑΙΓΟΠΡΟΒΑΤΑ</v>
      </c>
    </row>
    <row r="12" spans="1:12" s="3" customFormat="1" x14ac:dyDescent="0.25">
      <c r="A12" s="3" t="str">
        <f t="shared" si="0"/>
        <v>ΑΙΓΟΠΡΟΒΑΤΑΕΡΙΦΙΑ ΘΗΛΥΚΑ ΑΥΤΟΧΘΟΝΗ</v>
      </c>
      <c r="B12" s="17" t="s">
        <v>21</v>
      </c>
      <c r="C12" s="14" t="s">
        <v>36</v>
      </c>
      <c r="D12" s="6">
        <v>60</v>
      </c>
      <c r="E12" s="6">
        <v>62</v>
      </c>
      <c r="F12" s="11" t="s">
        <v>23</v>
      </c>
      <c r="G12" s="8" t="s">
        <v>37</v>
      </c>
      <c r="H12" s="8" t="s">
        <v>27</v>
      </c>
      <c r="I12" s="9">
        <v>4647</v>
      </c>
      <c r="J12" s="13">
        <v>1</v>
      </c>
      <c r="K12" s="13">
        <v>112002</v>
      </c>
      <c r="L12" s="3" t="str">
        <f t="shared" si="1"/>
        <v>ΑΙΓΟΠΡΟΒΑΤΑ</v>
      </c>
    </row>
    <row r="13" spans="1:12" s="3" customFormat="1" ht="24" x14ac:dyDescent="0.25">
      <c r="A13" s="3" t="str">
        <f t="shared" si="0"/>
        <v>ΑΙΓΟΠΡΟΒΑΤΑΕΡΙΦΙΑ ΘΗΛΥΚΑ ΣΚΟΠΕΛΟΥ</v>
      </c>
      <c r="B13" s="15" t="s">
        <v>21</v>
      </c>
      <c r="C13" s="14" t="s">
        <v>38</v>
      </c>
      <c r="D13" s="6">
        <v>60</v>
      </c>
      <c r="E13" s="6">
        <v>62</v>
      </c>
      <c r="F13" s="11" t="s">
        <v>23</v>
      </c>
      <c r="G13" s="8" t="s">
        <v>39</v>
      </c>
      <c r="H13" s="8" t="s">
        <v>16</v>
      </c>
      <c r="I13" s="9">
        <v>4842</v>
      </c>
      <c r="J13" s="16">
        <v>1</v>
      </c>
      <c r="K13" s="16">
        <v>11200219</v>
      </c>
      <c r="L13" s="3" t="str">
        <f t="shared" si="1"/>
        <v>ΑΙΓΟΠΡΟΒΑΤΑ</v>
      </c>
    </row>
    <row r="14" spans="1:12" s="3" customFormat="1" x14ac:dyDescent="0.25">
      <c r="A14" s="3" t="str">
        <f t="shared" si="0"/>
        <v>ΑΙΓΟΠΡΟΒΑΤΑΕΡΙΦΙΑ ΘΗΛΥΚΑ ΚΑΘΑΡΟΑΙΜA</v>
      </c>
      <c r="B14" s="17" t="s">
        <v>21</v>
      </c>
      <c r="C14" s="14" t="s">
        <v>40</v>
      </c>
      <c r="D14" s="6">
        <v>60</v>
      </c>
      <c r="E14" s="6">
        <v>62</v>
      </c>
      <c r="F14" s="11" t="s">
        <v>23</v>
      </c>
      <c r="G14" s="8" t="s">
        <v>41</v>
      </c>
      <c r="H14" s="8" t="s">
        <v>27</v>
      </c>
      <c r="I14" s="9">
        <v>4648</v>
      </c>
      <c r="J14" s="13">
        <v>1</v>
      </c>
      <c r="K14" s="13">
        <v>112003</v>
      </c>
      <c r="L14" s="3" t="str">
        <f t="shared" si="1"/>
        <v>ΑΙΓΟΠΡΟΒΑΤΑ</v>
      </c>
    </row>
    <row r="15" spans="1:12" s="3" customFormat="1" ht="24" x14ac:dyDescent="0.25">
      <c r="A15" s="3" t="str">
        <f t="shared" si="0"/>
        <v>ΑΙΓΟΠΡΟΒΑΤΑΕΡΙΦΙΑ ΘΗΛΥΚΑ ΛΟΙΠA</v>
      </c>
      <c r="B15" s="17" t="s">
        <v>21</v>
      </c>
      <c r="C15" s="14" t="s">
        <v>42</v>
      </c>
      <c r="D15" s="6">
        <v>60</v>
      </c>
      <c r="E15" s="6">
        <v>62</v>
      </c>
      <c r="F15" s="11" t="s">
        <v>23</v>
      </c>
      <c r="G15" s="8" t="s">
        <v>43</v>
      </c>
      <c r="H15" s="8" t="s">
        <v>16</v>
      </c>
      <c r="I15" s="9">
        <v>4649</v>
      </c>
      <c r="J15" s="13">
        <v>1</v>
      </c>
      <c r="K15" s="13">
        <v>112004</v>
      </c>
      <c r="L15" s="3" t="str">
        <f t="shared" si="1"/>
        <v>ΑΙΓΟΠΡΟΒΑΤΑ</v>
      </c>
    </row>
    <row r="16" spans="1:12" s="3" customFormat="1" ht="24" x14ac:dyDescent="0.25">
      <c r="A16" s="3" t="str">
        <f t="shared" si="0"/>
        <v>ΑΙΓΟΠΡΟΒΑΤΑΑΙΓΕΣ ΒΕΛΤΙΩΜΕΝΗ</v>
      </c>
      <c r="B16" s="17" t="s">
        <v>21</v>
      </c>
      <c r="C16" s="14" t="s">
        <v>44</v>
      </c>
      <c r="D16" s="6">
        <v>150</v>
      </c>
      <c r="E16" s="6">
        <v>151</v>
      </c>
      <c r="F16" s="11" t="s">
        <v>23</v>
      </c>
      <c r="G16" s="8" t="s">
        <v>45</v>
      </c>
      <c r="H16" s="8" t="s">
        <v>16</v>
      </c>
      <c r="I16" s="9">
        <v>4650</v>
      </c>
      <c r="J16" s="13">
        <v>1</v>
      </c>
      <c r="K16" s="13">
        <v>120001</v>
      </c>
      <c r="L16" s="3" t="str">
        <f t="shared" si="1"/>
        <v>ΑΙΓΟΠΡΟΒΑΤΑ</v>
      </c>
    </row>
    <row r="17" spans="1:12" s="3" customFormat="1" x14ac:dyDescent="0.25">
      <c r="A17" s="3" t="str">
        <f t="shared" si="0"/>
        <v>ΑΙΓΟΠΡΟΒΑΤΑΑΙΓΕΣ, ΑΥΤΟΧΘΟΝΗ</v>
      </c>
      <c r="B17" s="17" t="s">
        <v>21</v>
      </c>
      <c r="C17" s="14" t="s">
        <v>46</v>
      </c>
      <c r="D17" s="6">
        <v>150</v>
      </c>
      <c r="E17" s="6">
        <v>151</v>
      </c>
      <c r="F17" s="11" t="s">
        <v>23</v>
      </c>
      <c r="G17" s="8" t="s">
        <v>47</v>
      </c>
      <c r="H17" s="8" t="s">
        <v>27</v>
      </c>
      <c r="I17" s="9">
        <v>4651</v>
      </c>
      <c r="J17" s="13">
        <v>1</v>
      </c>
      <c r="K17" s="13">
        <v>120002</v>
      </c>
      <c r="L17" s="3" t="str">
        <f t="shared" si="1"/>
        <v>ΑΙΓΟΠΡΟΒΑΤΑ</v>
      </c>
    </row>
    <row r="18" spans="1:12" s="3" customFormat="1" ht="24" x14ac:dyDescent="0.25">
      <c r="A18" s="3" t="str">
        <f t="shared" si="0"/>
        <v>ΑΙΓΟΠΡΟΒΑΤΑΑΙΓΕΣ, ΣΚΟΠΕΛΟΥ</v>
      </c>
      <c r="B18" s="15" t="s">
        <v>21</v>
      </c>
      <c r="C18" s="14" t="s">
        <v>48</v>
      </c>
      <c r="D18" s="6">
        <v>150</v>
      </c>
      <c r="E18" s="6">
        <v>151</v>
      </c>
      <c r="F18" s="11" t="s">
        <v>23</v>
      </c>
      <c r="G18" s="8" t="s">
        <v>49</v>
      </c>
      <c r="H18" s="8" t="s">
        <v>16</v>
      </c>
      <c r="I18" s="9">
        <v>4843</v>
      </c>
      <c r="J18" s="16">
        <v>1</v>
      </c>
      <c r="K18" s="16">
        <v>12000219</v>
      </c>
      <c r="L18" s="3" t="str">
        <f t="shared" si="1"/>
        <v>ΑΙΓΟΠΡΟΒΑΤΑ</v>
      </c>
    </row>
    <row r="19" spans="1:12" s="3" customFormat="1" x14ac:dyDescent="0.25">
      <c r="A19" s="3" t="str">
        <f t="shared" si="0"/>
        <v>ΑΙΓΟΠΡΟΒΑΤΑΑΙΓΕΣ, ΚΑΘΑΡΟΑΙΜΗ</v>
      </c>
      <c r="B19" s="17" t="s">
        <v>21</v>
      </c>
      <c r="C19" s="14" t="s">
        <v>50</v>
      </c>
      <c r="D19" s="6">
        <v>150</v>
      </c>
      <c r="E19" s="6">
        <v>151</v>
      </c>
      <c r="F19" s="11" t="s">
        <v>23</v>
      </c>
      <c r="G19" s="8" t="s">
        <v>51</v>
      </c>
      <c r="H19" s="8" t="s">
        <v>27</v>
      </c>
      <c r="I19" s="9">
        <v>4652</v>
      </c>
      <c r="J19" s="13">
        <v>1</v>
      </c>
      <c r="K19" s="13">
        <v>120003</v>
      </c>
      <c r="L19" s="3" t="str">
        <f t="shared" si="1"/>
        <v>ΑΙΓΟΠΡΟΒΑΤΑ</v>
      </c>
    </row>
    <row r="20" spans="1:12" s="3" customFormat="1" x14ac:dyDescent="0.25">
      <c r="A20" s="3" t="str">
        <f t="shared" si="0"/>
        <v>ΑΙΓΟΠΡΟΒΑΤΑΑΙΓΕΣ, ΛΟΙΠΗ</v>
      </c>
      <c r="B20" s="17" t="s">
        <v>21</v>
      </c>
      <c r="C20" s="14" t="s">
        <v>52</v>
      </c>
      <c r="D20" s="6">
        <v>150</v>
      </c>
      <c r="E20" s="6">
        <v>151</v>
      </c>
      <c r="F20" s="11" t="s">
        <v>23</v>
      </c>
      <c r="G20" s="8" t="s">
        <v>53</v>
      </c>
      <c r="H20" s="8" t="s">
        <v>27</v>
      </c>
      <c r="I20" s="9">
        <v>4653</v>
      </c>
      <c r="J20" s="13">
        <v>1</v>
      </c>
      <c r="K20" s="13">
        <v>120004</v>
      </c>
      <c r="L20" s="3" t="str">
        <f t="shared" si="1"/>
        <v>ΑΙΓΟΠΡΟΒΑΤΑ</v>
      </c>
    </row>
    <row r="21" spans="1:12" s="3" customFormat="1" ht="15" customHeight="1" x14ac:dyDescent="0.25">
      <c r="A21" s="3" t="str">
        <f t="shared" si="0"/>
        <v>ΑΙΓΟΠΡΟΒΑΤΑΑΙΓΕΣ, ΛΟΙΠΗ ΑΙΓΟΕΙΔΗ (&lt;30kg)</v>
      </c>
      <c r="B21" s="17" t="s">
        <v>21</v>
      </c>
      <c r="C21" s="14" t="s">
        <v>54</v>
      </c>
      <c r="D21" s="6">
        <v>150</v>
      </c>
      <c r="E21" s="6">
        <v>151</v>
      </c>
      <c r="F21" s="11" t="s">
        <v>23</v>
      </c>
      <c r="G21" s="8" t="s">
        <v>55</v>
      </c>
      <c r="H21" s="8" t="s">
        <v>16</v>
      </c>
      <c r="I21" s="9">
        <v>4654</v>
      </c>
      <c r="J21" s="13">
        <v>1</v>
      </c>
      <c r="K21" s="13">
        <v>120005</v>
      </c>
      <c r="L21" s="3" t="str">
        <f t="shared" si="1"/>
        <v>ΑΙΓΟΠΡΟΒΑΤΑ</v>
      </c>
    </row>
    <row r="22" spans="1:12" s="3" customFormat="1" ht="24" x14ac:dyDescent="0.25">
      <c r="A22" s="3" t="str">
        <f t="shared" si="0"/>
        <v>ΑΙΓΟΠΡΟΒΑΤΑΑΙΓΕΣ, ΛΟΙΠΗ ΑΙΓΟΕΙΔΗ (&gt;30kg)</v>
      </c>
      <c r="B22" s="17" t="s">
        <v>21</v>
      </c>
      <c r="C22" s="14" t="s">
        <v>56</v>
      </c>
      <c r="D22" s="6">
        <v>150</v>
      </c>
      <c r="E22" s="6">
        <v>151</v>
      </c>
      <c r="F22" s="11" t="s">
        <v>23</v>
      </c>
      <c r="G22" s="8" t="s">
        <v>57</v>
      </c>
      <c r="H22" s="8" t="s">
        <v>16</v>
      </c>
      <c r="I22" s="9">
        <v>4655</v>
      </c>
      <c r="J22" s="13">
        <v>1</v>
      </c>
      <c r="K22" s="13">
        <v>120006</v>
      </c>
      <c r="L22" s="3" t="str">
        <f t="shared" si="1"/>
        <v>ΑΙΓΟΠΡΟΒΑΤΑ</v>
      </c>
    </row>
    <row r="23" spans="1:12" s="3" customFormat="1" ht="24" x14ac:dyDescent="0.25">
      <c r="A23" s="3" t="str">
        <f t="shared" si="0"/>
        <v>ΑΙΓΟΠΡΟΒΑΤΑΑΜΝΟΙ ΑΡΣΕΝΙΚΟΙ, ΒΕΛΤΙΩΜΕΝΗ</v>
      </c>
      <c r="B23" s="17" t="s">
        <v>21</v>
      </c>
      <c r="C23" s="14" t="s">
        <v>58</v>
      </c>
      <c r="D23" s="6">
        <v>63</v>
      </c>
      <c r="E23" s="6">
        <v>60</v>
      </c>
      <c r="F23" s="11" t="s">
        <v>23</v>
      </c>
      <c r="G23" s="8" t="s">
        <v>59</v>
      </c>
      <c r="H23" s="8" t="s">
        <v>16</v>
      </c>
      <c r="I23" s="9">
        <v>4656</v>
      </c>
      <c r="J23" s="13">
        <v>1</v>
      </c>
      <c r="K23" s="13">
        <v>131001</v>
      </c>
      <c r="L23" s="3" t="str">
        <f t="shared" si="1"/>
        <v>ΑΙΓΟΠΡΟΒΑΤΑ</v>
      </c>
    </row>
    <row r="24" spans="1:12" s="3" customFormat="1" x14ac:dyDescent="0.25">
      <c r="A24" s="3" t="str">
        <f t="shared" si="0"/>
        <v>ΑΙΓΟΠΡΟΒΑΤΑΑΜΝΟΙ ΑΡΣΕΝΙΚΟΙ, ΑΥΤΟΧΘΟΝΗ</v>
      </c>
      <c r="B24" s="17" t="s">
        <v>21</v>
      </c>
      <c r="C24" s="14" t="s">
        <v>60</v>
      </c>
      <c r="D24" s="6">
        <v>63</v>
      </c>
      <c r="E24" s="6">
        <v>60</v>
      </c>
      <c r="F24" s="11" t="s">
        <v>23</v>
      </c>
      <c r="G24" s="8" t="s">
        <v>61</v>
      </c>
      <c r="H24" s="8" t="s">
        <v>27</v>
      </c>
      <c r="I24" s="9">
        <v>4657</v>
      </c>
      <c r="J24" s="13">
        <v>1</v>
      </c>
      <c r="K24" s="13">
        <v>131002</v>
      </c>
      <c r="L24" s="3" t="str">
        <f t="shared" si="1"/>
        <v>ΑΙΓΟΠΡΟΒΑΤΑ</v>
      </c>
    </row>
    <row r="25" spans="1:12" s="3" customFormat="1" ht="24" x14ac:dyDescent="0.25">
      <c r="A25" s="3" t="str">
        <f t="shared" si="0"/>
        <v>ΑΙΓΟΠΡΟΒΑΤΑΑΜΝΟΙ ΑΡΣΕΝΙΚΟΙ, ΚΑΤΑΦΥΓΙΟΥ</v>
      </c>
      <c r="B25" s="15" t="s">
        <v>21</v>
      </c>
      <c r="C25" s="14" t="s">
        <v>62</v>
      </c>
      <c r="D25" s="6">
        <v>63</v>
      </c>
      <c r="E25" s="6">
        <v>60</v>
      </c>
      <c r="F25" s="11" t="s">
        <v>23</v>
      </c>
      <c r="G25" s="8" t="s">
        <v>63</v>
      </c>
      <c r="H25" s="8" t="s">
        <v>16</v>
      </c>
      <c r="I25" s="9">
        <v>4844</v>
      </c>
      <c r="J25" s="16">
        <v>1</v>
      </c>
      <c r="K25" s="16">
        <v>13100201</v>
      </c>
      <c r="L25" s="3" t="str">
        <f t="shared" si="1"/>
        <v>ΑΙΓΟΠΡΟΒΑΤΑ</v>
      </c>
    </row>
    <row r="26" spans="1:12" s="3" customFormat="1" ht="24" x14ac:dyDescent="0.25">
      <c r="A26" s="3" t="str">
        <f t="shared" si="0"/>
        <v>ΑΙΓΟΠΡΟΒΑΤΑΑΜΝΟΙ ΑΡΣΕΝΙΚΟΙ, ΡΟΥΜΛΟΥΚΙΟΥ</v>
      </c>
      <c r="B26" s="15" t="s">
        <v>21</v>
      </c>
      <c r="C26" s="14" t="s">
        <v>64</v>
      </c>
      <c r="D26" s="6">
        <v>63</v>
      </c>
      <c r="E26" s="6">
        <v>60</v>
      </c>
      <c r="F26" s="11" t="s">
        <v>23</v>
      </c>
      <c r="G26" s="8" t="s">
        <v>65</v>
      </c>
      <c r="H26" s="8" t="s">
        <v>16</v>
      </c>
      <c r="I26" s="9">
        <v>4845</v>
      </c>
      <c r="J26" s="16">
        <v>1</v>
      </c>
      <c r="K26" s="16">
        <v>13100202</v>
      </c>
      <c r="L26" s="3" t="str">
        <f t="shared" si="1"/>
        <v>ΑΙΓΟΠΡΟΒΑΤΑ</v>
      </c>
    </row>
    <row r="27" spans="1:12" s="3" customFormat="1" ht="24" x14ac:dyDescent="0.25">
      <c r="A27" s="3" t="str">
        <f t="shared" si="0"/>
        <v>ΑΙΓΟΠΡΟΒΑΤΑΑΜΝΟΙ ΑΡΣΕΝΙΚΟΙ, ΟΡΕΙΝΟ ΗΠΕΙΡΟΥ</v>
      </c>
      <c r="B27" s="15" t="s">
        <v>21</v>
      </c>
      <c r="C27" s="14" t="s">
        <v>66</v>
      </c>
      <c r="D27" s="6">
        <v>63</v>
      </c>
      <c r="E27" s="6">
        <v>60</v>
      </c>
      <c r="F27" s="11" t="s">
        <v>23</v>
      </c>
      <c r="G27" s="8" t="s">
        <v>67</v>
      </c>
      <c r="H27" s="8" t="s">
        <v>16</v>
      </c>
      <c r="I27" s="9">
        <v>4846</v>
      </c>
      <c r="J27" s="16">
        <v>1</v>
      </c>
      <c r="K27" s="16">
        <v>13100203</v>
      </c>
      <c r="L27" s="3" t="str">
        <f t="shared" si="1"/>
        <v>ΑΙΓΟΠΡΟΒΑΤΑ</v>
      </c>
    </row>
    <row r="28" spans="1:12" s="3" customFormat="1" ht="24" x14ac:dyDescent="0.25">
      <c r="A28" s="3" t="str">
        <f t="shared" si="0"/>
        <v>ΑΙΓΟΠΡΟΒΑΤΑΑΜΝΟΙ ΑΡΣΕΝΙΚΟΙ, ΙΚΑΡΙΑΣ</v>
      </c>
      <c r="B28" s="15" t="s">
        <v>21</v>
      </c>
      <c r="C28" s="14" t="s">
        <v>68</v>
      </c>
      <c r="D28" s="6">
        <v>63</v>
      </c>
      <c r="E28" s="6">
        <v>60</v>
      </c>
      <c r="F28" s="11" t="s">
        <v>23</v>
      </c>
      <c r="G28" s="8" t="s">
        <v>69</v>
      </c>
      <c r="H28" s="8" t="s">
        <v>16</v>
      </c>
      <c r="I28" s="9">
        <v>4847</v>
      </c>
      <c r="J28" s="16">
        <v>1</v>
      </c>
      <c r="K28" s="16">
        <v>13100204</v>
      </c>
      <c r="L28" s="3" t="str">
        <f t="shared" si="1"/>
        <v>ΑΙΓΟΠΡΟΒΑΤΑ</v>
      </c>
    </row>
    <row r="29" spans="1:12" s="3" customFormat="1" ht="24" x14ac:dyDescent="0.25">
      <c r="A29" s="3" t="str">
        <f t="shared" si="0"/>
        <v>ΑΙΓΟΠΡΟΒΑΤΑΑΜΝΟΙ ΑΡΣΕΝΙΚΟΙ, ΛΕΥΚΙΜΗΣ</v>
      </c>
      <c r="B29" s="15" t="s">
        <v>21</v>
      </c>
      <c r="C29" s="14" t="s">
        <v>70</v>
      </c>
      <c r="D29" s="6">
        <v>63</v>
      </c>
      <c r="E29" s="6">
        <v>60</v>
      </c>
      <c r="F29" s="11" t="s">
        <v>23</v>
      </c>
      <c r="G29" s="8" t="s">
        <v>71</v>
      </c>
      <c r="H29" s="8" t="s">
        <v>16</v>
      </c>
      <c r="I29" s="9">
        <v>4848</v>
      </c>
      <c r="J29" s="16">
        <v>1</v>
      </c>
      <c r="K29" s="16">
        <v>13100205</v>
      </c>
      <c r="L29" s="3" t="str">
        <f t="shared" si="1"/>
        <v>ΑΙΓΟΠΡΟΒΑΤΑ</v>
      </c>
    </row>
    <row r="30" spans="1:12" s="3" customFormat="1" ht="24" x14ac:dyDescent="0.25">
      <c r="A30" s="3" t="str">
        <f t="shared" si="0"/>
        <v>ΑΙΓΟΠΡΟΒΑΤΑΑΜΝΟΙ ΑΡΣΕΝΙΚΟΙ, ΚΑΤΣΙΚΑ</v>
      </c>
      <c r="B30" s="15" t="s">
        <v>21</v>
      </c>
      <c r="C30" s="14" t="s">
        <v>72</v>
      </c>
      <c r="D30" s="6">
        <v>63</v>
      </c>
      <c r="E30" s="6">
        <v>60</v>
      </c>
      <c r="F30" s="11" t="s">
        <v>23</v>
      </c>
      <c r="G30" s="8" t="s">
        <v>73</v>
      </c>
      <c r="H30" s="8" t="s">
        <v>16</v>
      </c>
      <c r="I30" s="9">
        <v>4849</v>
      </c>
      <c r="J30" s="16">
        <v>1</v>
      </c>
      <c r="K30" s="16">
        <v>13100206</v>
      </c>
      <c r="L30" s="3" t="str">
        <f t="shared" si="1"/>
        <v>ΑΙΓΟΠΡΟΒΑΤΑ</v>
      </c>
    </row>
    <row r="31" spans="1:12" s="3" customFormat="1" ht="24" x14ac:dyDescent="0.25">
      <c r="A31" s="3" t="str">
        <f t="shared" si="0"/>
        <v>ΑΙΓΟΠΡΟΒΑΤΑΑΜΝΟΙ ΑΡΣΕΝΙΚΟΙ, ΑΡΓΟΥΣ</v>
      </c>
      <c r="B31" s="15" t="s">
        <v>21</v>
      </c>
      <c r="C31" s="14" t="s">
        <v>74</v>
      </c>
      <c r="D31" s="6">
        <v>63</v>
      </c>
      <c r="E31" s="6">
        <v>60</v>
      </c>
      <c r="F31" s="11" t="s">
        <v>23</v>
      </c>
      <c r="G31" s="8" t="s">
        <v>75</v>
      </c>
      <c r="H31" s="8" t="s">
        <v>16</v>
      </c>
      <c r="I31" s="9">
        <v>4850</v>
      </c>
      <c r="J31" s="16">
        <v>1</v>
      </c>
      <c r="K31" s="16">
        <v>13100207</v>
      </c>
      <c r="L31" s="3" t="str">
        <f t="shared" si="1"/>
        <v>ΑΙΓΟΠΡΟΒΑΤΑ</v>
      </c>
    </row>
    <row r="32" spans="1:12" s="3" customFormat="1" ht="24" x14ac:dyDescent="0.25">
      <c r="A32" s="3" t="str">
        <f t="shared" si="0"/>
        <v>ΑΙΓΟΠΡΟΒΑΤΑΑΜΝΟΙ ΑΡΣΕΝΙΚΟΙ, ΖΑΚΥΝΘΟΥ</v>
      </c>
      <c r="B32" s="15" t="s">
        <v>21</v>
      </c>
      <c r="C32" s="14" t="s">
        <v>76</v>
      </c>
      <c r="D32" s="6">
        <v>63</v>
      </c>
      <c r="E32" s="6">
        <v>60</v>
      </c>
      <c r="F32" s="11" t="s">
        <v>23</v>
      </c>
      <c r="G32" s="8" t="s">
        <v>77</v>
      </c>
      <c r="H32" s="8" t="s">
        <v>16</v>
      </c>
      <c r="I32" s="9">
        <v>4851</v>
      </c>
      <c r="J32" s="16">
        <v>1</v>
      </c>
      <c r="K32" s="16">
        <v>13100208</v>
      </c>
      <c r="L32" s="3" t="str">
        <f t="shared" si="1"/>
        <v>ΑΙΓΟΠΡΟΒΑΤΑ</v>
      </c>
    </row>
    <row r="33" spans="1:12" s="3" customFormat="1" ht="24" x14ac:dyDescent="0.25">
      <c r="A33" s="3" t="str">
        <f t="shared" si="0"/>
        <v>ΑΙΓΟΠΡΟΒΑΤΑΑΜΝΟΙ ΑΡΣΕΝΙΚΟΙ, ΦΛΩΡΙΝΑΣ -ΠΕΛΑΓΟΝΙΑΣ</v>
      </c>
      <c r="B33" s="15" t="s">
        <v>21</v>
      </c>
      <c r="C33" s="14" t="s">
        <v>78</v>
      </c>
      <c r="D33" s="6">
        <v>63</v>
      </c>
      <c r="E33" s="6">
        <v>60</v>
      </c>
      <c r="F33" s="11" t="s">
        <v>23</v>
      </c>
      <c r="G33" s="8" t="s">
        <v>79</v>
      </c>
      <c r="H33" s="8" t="s">
        <v>16</v>
      </c>
      <c r="I33" s="9">
        <v>4852</v>
      </c>
      <c r="J33" s="16">
        <v>1</v>
      </c>
      <c r="K33" s="16">
        <v>13100209</v>
      </c>
      <c r="L33" s="3" t="str">
        <f t="shared" si="1"/>
        <v>ΑΙΓΟΠΡΟΒΑΤΑ</v>
      </c>
    </row>
    <row r="34" spans="1:12" s="3" customFormat="1" ht="24" x14ac:dyDescent="0.25">
      <c r="A34" s="3" t="str">
        <f t="shared" si="0"/>
        <v xml:space="preserve">ΑΙΓΟΠΡΟΒΑΤΑΑΜΝΟΙ ΑΡΣΕΝΙΚΟΙ, ΣΑΡΑΚΑΤΣΑΝΙΚΟ </v>
      </c>
      <c r="B34" s="15" t="s">
        <v>21</v>
      </c>
      <c r="C34" s="14" t="s">
        <v>80</v>
      </c>
      <c r="D34" s="6">
        <v>63</v>
      </c>
      <c r="E34" s="6">
        <v>60</v>
      </c>
      <c r="F34" s="11" t="s">
        <v>23</v>
      </c>
      <c r="G34" s="8" t="s">
        <v>81</v>
      </c>
      <c r="H34" s="8" t="s">
        <v>16</v>
      </c>
      <c r="I34" s="9">
        <v>4853</v>
      </c>
      <c r="J34" s="16">
        <v>1</v>
      </c>
      <c r="K34" s="16">
        <v>13100210</v>
      </c>
      <c r="L34" s="3" t="str">
        <f t="shared" si="1"/>
        <v>ΑΙΓΟΠΡΟΒΑΤΑ</v>
      </c>
    </row>
    <row r="35" spans="1:12" s="3" customFormat="1" ht="24" x14ac:dyDescent="0.25">
      <c r="A35" s="3" t="str">
        <f t="shared" si="0"/>
        <v>ΑΙΓΟΠΡΟΒΑΤΑΑΜΝΟΙ ΑΡΣΕΝΙΚΟΙ, ΓΛΩΣΣΑΣ ΣΚΟΠΕΛΟΥ</v>
      </c>
      <c r="B35" s="15" t="s">
        <v>21</v>
      </c>
      <c r="C35" s="14" t="s">
        <v>82</v>
      </c>
      <c r="D35" s="6">
        <v>63</v>
      </c>
      <c r="E35" s="6">
        <v>60</v>
      </c>
      <c r="F35" s="11" t="s">
        <v>23</v>
      </c>
      <c r="G35" s="8" t="s">
        <v>83</v>
      </c>
      <c r="H35" s="8" t="s">
        <v>16</v>
      </c>
      <c r="I35" s="9">
        <v>4854</v>
      </c>
      <c r="J35" s="16">
        <v>1</v>
      </c>
      <c r="K35" s="16">
        <v>13100211</v>
      </c>
      <c r="L35" s="3" t="str">
        <f t="shared" si="1"/>
        <v>ΑΙΓΟΠΡΟΒΑΤΑ</v>
      </c>
    </row>
    <row r="36" spans="1:12" s="3" customFormat="1" ht="24" x14ac:dyDescent="0.25">
      <c r="A36" s="3" t="str">
        <f t="shared" si="0"/>
        <v>ΑΙΓΟΠΡΟΒΑΤΑΑΜΝΟΙ ΑΡΣΕΝΙΚΟΙ, ΚΥΜΗΣ</v>
      </c>
      <c r="B36" s="15" t="s">
        <v>21</v>
      </c>
      <c r="C36" s="14" t="s">
        <v>84</v>
      </c>
      <c r="D36" s="6">
        <v>63</v>
      </c>
      <c r="E36" s="6">
        <v>60</v>
      </c>
      <c r="F36" s="11" t="s">
        <v>23</v>
      </c>
      <c r="G36" s="8" t="s">
        <v>85</v>
      </c>
      <c r="H36" s="8" t="s">
        <v>16</v>
      </c>
      <c r="I36" s="9">
        <v>4855</v>
      </c>
      <c r="J36" s="16">
        <v>1</v>
      </c>
      <c r="K36" s="16">
        <v>13100212</v>
      </c>
      <c r="L36" s="3" t="str">
        <f t="shared" si="1"/>
        <v>ΑΙΓΟΠΡΟΒΑΤΑ</v>
      </c>
    </row>
    <row r="37" spans="1:12" s="3" customFormat="1" ht="24" x14ac:dyDescent="0.25">
      <c r="A37" s="3" t="str">
        <f t="shared" si="0"/>
        <v>ΑΙΓΟΠΡΟΒΑΤΑΑΜΝΟΙ ΑΡΣΕΝΙΚΟΙ, ΑΓΡΙΝΙΟΥ</v>
      </c>
      <c r="B37" s="15" t="s">
        <v>21</v>
      </c>
      <c r="C37" s="14" t="s">
        <v>86</v>
      </c>
      <c r="D37" s="6">
        <v>63</v>
      </c>
      <c r="E37" s="6">
        <v>60</v>
      </c>
      <c r="F37" s="11" t="s">
        <v>23</v>
      </c>
      <c r="G37" s="8" t="s">
        <v>87</v>
      </c>
      <c r="H37" s="8" t="s">
        <v>16</v>
      </c>
      <c r="I37" s="9">
        <v>4856</v>
      </c>
      <c r="J37" s="16">
        <v>1</v>
      </c>
      <c r="K37" s="16">
        <v>13100213</v>
      </c>
      <c r="L37" s="3" t="str">
        <f t="shared" si="1"/>
        <v>ΑΙΓΟΠΡΟΒΑΤΑ</v>
      </c>
    </row>
    <row r="38" spans="1:12" s="3" customFormat="1" ht="24" x14ac:dyDescent="0.25">
      <c r="A38" s="3" t="str">
        <f t="shared" si="0"/>
        <v>ΑΙΓΟΠΡΟΒΑΤΑΑΜΝΟΙ ΑΡΣΕΝΙΚΟΙ, ΔΡΑΜΑΣ</v>
      </c>
      <c r="B38" s="15" t="s">
        <v>21</v>
      </c>
      <c r="C38" s="14" t="s">
        <v>88</v>
      </c>
      <c r="D38" s="6">
        <v>63</v>
      </c>
      <c r="E38" s="6">
        <v>60</v>
      </c>
      <c r="F38" s="11" t="s">
        <v>23</v>
      </c>
      <c r="G38" s="8" t="s">
        <v>89</v>
      </c>
      <c r="H38" s="8" t="s">
        <v>16</v>
      </c>
      <c r="I38" s="9">
        <v>4857</v>
      </c>
      <c r="J38" s="16">
        <v>1</v>
      </c>
      <c r="K38" s="16">
        <v>13100214</v>
      </c>
      <c r="L38" s="3" t="str">
        <f t="shared" si="1"/>
        <v>ΑΙΓΟΠΡΟΒΑΤΑ</v>
      </c>
    </row>
    <row r="39" spans="1:12" s="3" customFormat="1" ht="24" x14ac:dyDescent="0.25">
      <c r="A39" s="3" t="str">
        <f t="shared" si="0"/>
        <v>ΑΙΓΟΠΡΟΒΑΤΑΑΜΝΟΙ ΑΡΣΕΝΙΚΟΙ, ΘΡΑΚΗΣ</v>
      </c>
      <c r="B39" s="15" t="s">
        <v>21</v>
      </c>
      <c r="C39" s="14" t="s">
        <v>90</v>
      </c>
      <c r="D39" s="6">
        <v>63</v>
      </c>
      <c r="E39" s="6">
        <v>60</v>
      </c>
      <c r="F39" s="11" t="s">
        <v>23</v>
      </c>
      <c r="G39" s="8" t="s">
        <v>91</v>
      </c>
      <c r="H39" s="8" t="s">
        <v>16</v>
      </c>
      <c r="I39" s="9">
        <v>4858</v>
      </c>
      <c r="J39" s="16">
        <v>1</v>
      </c>
      <c r="K39" s="16">
        <v>13100215</v>
      </c>
      <c r="L39" s="3" t="str">
        <f t="shared" si="1"/>
        <v>ΑΙΓΟΠΡΟΒΑΤΑ</v>
      </c>
    </row>
    <row r="40" spans="1:12" s="3" customFormat="1" ht="24" x14ac:dyDescent="0.25">
      <c r="A40" s="3" t="str">
        <f t="shared" si="0"/>
        <v>ΑΙΓΟΠΡΟΒΑΤΑΑΜΝΟΙ ΑΡΣΕΝΙΚΟΙ, ΚΑΛΑΡΡΥΤΙΚΟ</v>
      </c>
      <c r="B40" s="15" t="s">
        <v>21</v>
      </c>
      <c r="C40" s="14" t="s">
        <v>92</v>
      </c>
      <c r="D40" s="6">
        <v>63</v>
      </c>
      <c r="E40" s="6">
        <v>60</v>
      </c>
      <c r="F40" s="11" t="s">
        <v>23</v>
      </c>
      <c r="G40" s="8" t="s">
        <v>93</v>
      </c>
      <c r="H40" s="8" t="s">
        <v>16</v>
      </c>
      <c r="I40" s="9">
        <v>4859</v>
      </c>
      <c r="J40" s="16">
        <v>1</v>
      </c>
      <c r="K40" s="16">
        <v>13100216</v>
      </c>
      <c r="L40" s="3" t="str">
        <f t="shared" si="1"/>
        <v>ΑΙΓΟΠΡΟΒΑΤΑ</v>
      </c>
    </row>
    <row r="41" spans="1:12" s="3" customFormat="1" ht="24" x14ac:dyDescent="0.25">
      <c r="A41" s="3" t="str">
        <f t="shared" si="0"/>
        <v>ΑΙΓΟΠΡΟΒΑΤΑΑΜΝΟΙ ΑΡΣΕΝΙΚΟΙ, ΠΗΛΙΟΥ</v>
      </c>
      <c r="B41" s="15" t="s">
        <v>21</v>
      </c>
      <c r="C41" s="14" t="s">
        <v>94</v>
      </c>
      <c r="D41" s="6">
        <v>63</v>
      </c>
      <c r="E41" s="6">
        <v>60</v>
      </c>
      <c r="F41" s="11" t="s">
        <v>23</v>
      </c>
      <c r="G41" s="8" t="s">
        <v>95</v>
      </c>
      <c r="H41" s="8" t="s">
        <v>16</v>
      </c>
      <c r="I41" s="9">
        <v>4860</v>
      </c>
      <c r="J41" s="16">
        <v>1</v>
      </c>
      <c r="K41" s="16">
        <v>13100217</v>
      </c>
      <c r="L41" s="3" t="str">
        <f t="shared" si="1"/>
        <v>ΑΙΓΟΠΡΟΒΑΤΑ</v>
      </c>
    </row>
    <row r="42" spans="1:12" s="3" customFormat="1" ht="24" x14ac:dyDescent="0.25">
      <c r="A42" s="3" t="str">
        <f t="shared" si="0"/>
        <v>ΑΙΓΟΠΡΟΒΑΤΑΑΜΝΟΙ ΑΡΣΕΝΙΚΟΙ, ΣΕΡΡΩΝ</v>
      </c>
      <c r="B42" s="15" t="s">
        <v>21</v>
      </c>
      <c r="C42" s="14" t="s">
        <v>96</v>
      </c>
      <c r="D42" s="6">
        <v>63</v>
      </c>
      <c r="E42" s="6">
        <v>60</v>
      </c>
      <c r="F42" s="11" t="s">
        <v>23</v>
      </c>
      <c r="G42" s="8" t="s">
        <v>97</v>
      </c>
      <c r="H42" s="8" t="s">
        <v>16</v>
      </c>
      <c r="I42" s="9">
        <v>4861</v>
      </c>
      <c r="J42" s="16">
        <v>1</v>
      </c>
      <c r="K42" s="16">
        <v>13100218</v>
      </c>
      <c r="L42" s="3" t="str">
        <f t="shared" si="1"/>
        <v>ΑΙΓΟΠΡΟΒΑΤΑ</v>
      </c>
    </row>
    <row r="43" spans="1:12" s="3" customFormat="1" x14ac:dyDescent="0.25">
      <c r="A43" s="3" t="str">
        <f t="shared" si="0"/>
        <v>ΑΙΓΟΠΡΟΒΑΤΑΑΜΝΟΙ ΑΡΣΕΝΙΚΟΙ, ΚΑΘΑΡΟΑΙΜΗ</v>
      </c>
      <c r="B43" s="17" t="s">
        <v>21</v>
      </c>
      <c r="C43" s="14" t="s">
        <v>98</v>
      </c>
      <c r="D43" s="6">
        <v>63</v>
      </c>
      <c r="E43" s="6">
        <v>60</v>
      </c>
      <c r="F43" s="11" t="s">
        <v>23</v>
      </c>
      <c r="G43" s="8" t="s">
        <v>99</v>
      </c>
      <c r="H43" s="8" t="s">
        <v>27</v>
      </c>
      <c r="I43" s="9">
        <v>4658</v>
      </c>
      <c r="J43" s="13">
        <v>1</v>
      </c>
      <c r="K43" s="13">
        <v>131003</v>
      </c>
      <c r="L43" s="3" t="str">
        <f t="shared" si="1"/>
        <v>ΑΙΓΟΠΡΟΒΑΤΑ</v>
      </c>
    </row>
    <row r="44" spans="1:12" s="3" customFormat="1" ht="24" x14ac:dyDescent="0.25">
      <c r="A44" s="3" t="str">
        <f t="shared" si="0"/>
        <v>ΑΙΓΟΠΡΟΒΑΤΑΑΜΝΟΙ ΑΡΣΕΝΙΚΟΙ, ΛΟΙΠΗ</v>
      </c>
      <c r="B44" s="17" t="s">
        <v>21</v>
      </c>
      <c r="C44" s="14" t="s">
        <v>100</v>
      </c>
      <c r="D44" s="6">
        <v>63</v>
      </c>
      <c r="E44" s="6">
        <v>60</v>
      </c>
      <c r="F44" s="11" t="s">
        <v>23</v>
      </c>
      <c r="G44" s="8" t="s">
        <v>101</v>
      </c>
      <c r="H44" s="8" t="s">
        <v>16</v>
      </c>
      <c r="I44" s="9">
        <v>4659</v>
      </c>
      <c r="J44" s="13">
        <v>1</v>
      </c>
      <c r="K44" s="13">
        <v>131004</v>
      </c>
      <c r="L44" s="3" t="str">
        <f t="shared" si="1"/>
        <v>ΑΙΓΟΠΡΟΒΑΤΑ</v>
      </c>
    </row>
    <row r="45" spans="1:12" s="3" customFormat="1" ht="24" x14ac:dyDescent="0.25">
      <c r="A45" s="3" t="str">
        <f t="shared" si="0"/>
        <v>ΑΙΓΟΠΡΟΒΑΤΑΑΜΝΟΙ ΘΗΛΥΚΟΙ, ΒΕΛΤΙΩΜΕΝOI</v>
      </c>
      <c r="B45" s="17" t="s">
        <v>21</v>
      </c>
      <c r="C45" s="14" t="s">
        <v>102</v>
      </c>
      <c r="D45" s="6">
        <v>63</v>
      </c>
      <c r="E45" s="6">
        <v>60</v>
      </c>
      <c r="F45" s="11" t="s">
        <v>23</v>
      </c>
      <c r="G45" s="8" t="s">
        <v>103</v>
      </c>
      <c r="H45" s="8" t="s">
        <v>16</v>
      </c>
      <c r="I45" s="9">
        <v>4660</v>
      </c>
      <c r="J45" s="13">
        <v>1</v>
      </c>
      <c r="K45" s="13">
        <v>132001</v>
      </c>
      <c r="L45" s="3" t="str">
        <f t="shared" si="1"/>
        <v>ΑΙΓΟΠΡΟΒΑΤΑ</v>
      </c>
    </row>
    <row r="46" spans="1:12" s="3" customFormat="1" x14ac:dyDescent="0.25">
      <c r="A46" s="3" t="str">
        <f t="shared" si="0"/>
        <v>ΑΙΓΟΠΡΟΒΑΤΑΑΜΝΟΙ ΘΗΛΥΚΟΙ, ΑΥΤΟΧΘΟΝΗ</v>
      </c>
      <c r="B46" s="17" t="s">
        <v>21</v>
      </c>
      <c r="C46" s="14" t="s">
        <v>104</v>
      </c>
      <c r="D46" s="6">
        <v>63</v>
      </c>
      <c r="E46" s="6">
        <v>60</v>
      </c>
      <c r="F46" s="11" t="s">
        <v>23</v>
      </c>
      <c r="G46" s="8" t="s">
        <v>105</v>
      </c>
      <c r="H46" s="8" t="s">
        <v>27</v>
      </c>
      <c r="I46" s="9">
        <v>4661</v>
      </c>
      <c r="J46" s="13">
        <v>1</v>
      </c>
      <c r="K46" s="13">
        <v>132002</v>
      </c>
      <c r="L46" s="3" t="str">
        <f t="shared" si="1"/>
        <v>ΑΙΓΟΠΡΟΒΑΤΑ</v>
      </c>
    </row>
    <row r="47" spans="1:12" s="3" customFormat="1" ht="15" customHeight="1" x14ac:dyDescent="0.25">
      <c r="A47" s="3" t="str">
        <f t="shared" si="0"/>
        <v>ΑΙΓΟΠΡΟΒΑΤΑΑΜΝΟΙ ΘΗΛΥΚΟΙ, ΚΑΤΑΦΥΓΙΟΥ</v>
      </c>
      <c r="B47" s="15" t="s">
        <v>21</v>
      </c>
      <c r="C47" s="14" t="s">
        <v>106</v>
      </c>
      <c r="D47" s="6">
        <v>63</v>
      </c>
      <c r="E47" s="6">
        <v>60</v>
      </c>
      <c r="F47" s="11" t="s">
        <v>23</v>
      </c>
      <c r="G47" s="8" t="s">
        <v>107</v>
      </c>
      <c r="H47" s="8" t="s">
        <v>16</v>
      </c>
      <c r="I47" s="9">
        <v>4862</v>
      </c>
      <c r="J47" s="16">
        <v>1</v>
      </c>
      <c r="K47" s="16">
        <v>13200201</v>
      </c>
      <c r="L47" s="3" t="str">
        <f t="shared" si="1"/>
        <v>ΑΙΓΟΠΡΟΒΑΤΑ</v>
      </c>
    </row>
    <row r="48" spans="1:12" s="3" customFormat="1" ht="24" x14ac:dyDescent="0.25">
      <c r="A48" s="3" t="str">
        <f t="shared" si="0"/>
        <v>ΑΙΓΟΠΡΟΒΑΤΑΑΜΝΟΙ ΘΗΛΥΚΟΙ, ΡΟΥΜΛΟΥΚΙΟΥ</v>
      </c>
      <c r="B48" s="15" t="s">
        <v>21</v>
      </c>
      <c r="C48" s="14" t="s">
        <v>108</v>
      </c>
      <c r="D48" s="6">
        <v>63</v>
      </c>
      <c r="E48" s="6">
        <v>60</v>
      </c>
      <c r="F48" s="11" t="s">
        <v>23</v>
      </c>
      <c r="G48" s="8" t="s">
        <v>109</v>
      </c>
      <c r="H48" s="8" t="s">
        <v>16</v>
      </c>
      <c r="I48" s="9">
        <v>4863</v>
      </c>
      <c r="J48" s="16">
        <v>1</v>
      </c>
      <c r="K48" s="16">
        <v>13200202</v>
      </c>
      <c r="L48" s="3" t="str">
        <f t="shared" si="1"/>
        <v>ΑΙΓΟΠΡΟΒΑΤΑ</v>
      </c>
    </row>
    <row r="49" spans="1:12" s="3" customFormat="1" ht="24" x14ac:dyDescent="0.25">
      <c r="A49" s="3" t="str">
        <f t="shared" si="0"/>
        <v>ΑΙΓΟΠΡΟΒΑΤΑΑΜΝΟΙ ΘΗΛΥΚΟΙ, ΟΡΕΙΝΟ ΗΠΕΙΡΟΥ</v>
      </c>
      <c r="B49" s="15" t="s">
        <v>21</v>
      </c>
      <c r="C49" s="14" t="s">
        <v>110</v>
      </c>
      <c r="D49" s="6">
        <v>63</v>
      </c>
      <c r="E49" s="6">
        <v>60</v>
      </c>
      <c r="F49" s="11" t="s">
        <v>23</v>
      </c>
      <c r="G49" s="8" t="s">
        <v>111</v>
      </c>
      <c r="H49" s="8" t="s">
        <v>16</v>
      </c>
      <c r="I49" s="9">
        <v>4864</v>
      </c>
      <c r="J49" s="16">
        <v>1</v>
      </c>
      <c r="K49" s="16">
        <v>13200203</v>
      </c>
      <c r="L49" s="3" t="str">
        <f t="shared" si="1"/>
        <v>ΑΙΓΟΠΡΟΒΑΤΑ</v>
      </c>
    </row>
    <row r="50" spans="1:12" s="3" customFormat="1" ht="24" x14ac:dyDescent="0.25">
      <c r="A50" s="3" t="str">
        <f t="shared" si="0"/>
        <v>ΑΙΓΟΠΡΟΒΑΤΑΑΜΝΟΙ ΘΗΛΥΚΟΙ, ΙΚΑΡΙΑΣ</v>
      </c>
      <c r="B50" s="15" t="s">
        <v>21</v>
      </c>
      <c r="C50" s="14" t="s">
        <v>112</v>
      </c>
      <c r="D50" s="6">
        <v>63</v>
      </c>
      <c r="E50" s="6">
        <v>60</v>
      </c>
      <c r="F50" s="11" t="s">
        <v>23</v>
      </c>
      <c r="G50" s="8" t="s">
        <v>113</v>
      </c>
      <c r="H50" s="8" t="s">
        <v>16</v>
      </c>
      <c r="I50" s="9">
        <v>4865</v>
      </c>
      <c r="J50" s="16">
        <v>1</v>
      </c>
      <c r="K50" s="16">
        <v>13200204</v>
      </c>
      <c r="L50" s="3" t="str">
        <f t="shared" si="1"/>
        <v>ΑΙΓΟΠΡΟΒΑΤΑ</v>
      </c>
    </row>
    <row r="51" spans="1:12" s="3" customFormat="1" ht="24" x14ac:dyDescent="0.25">
      <c r="A51" s="3" t="str">
        <f t="shared" si="0"/>
        <v>ΑΙΓΟΠΡΟΒΑΤΑΑΜΝΟΙ ΘΗΛΥΚΟΙ, ΛΕΥΚΙΜΗΣ</v>
      </c>
      <c r="B51" s="15" t="s">
        <v>21</v>
      </c>
      <c r="C51" s="14" t="s">
        <v>114</v>
      </c>
      <c r="D51" s="6">
        <v>63</v>
      </c>
      <c r="E51" s="6">
        <v>60</v>
      </c>
      <c r="F51" s="11" t="s">
        <v>23</v>
      </c>
      <c r="G51" s="8" t="s">
        <v>115</v>
      </c>
      <c r="H51" s="8" t="s">
        <v>16</v>
      </c>
      <c r="I51" s="9">
        <v>4866</v>
      </c>
      <c r="J51" s="16">
        <v>1</v>
      </c>
      <c r="K51" s="16">
        <v>13200205</v>
      </c>
      <c r="L51" s="3" t="str">
        <f t="shared" si="1"/>
        <v>ΑΙΓΟΠΡΟΒΑΤΑ</v>
      </c>
    </row>
    <row r="52" spans="1:12" s="3" customFormat="1" ht="24" x14ac:dyDescent="0.25">
      <c r="A52" s="3" t="str">
        <f t="shared" si="0"/>
        <v>ΑΙΓΟΠΡΟΒΑΤΑΑΜΝΟΙ ΘΗΛΥΚΟΙ, ΚΑΤΣΙΚΑ</v>
      </c>
      <c r="B52" s="15" t="s">
        <v>21</v>
      </c>
      <c r="C52" s="14" t="s">
        <v>116</v>
      </c>
      <c r="D52" s="6">
        <v>63</v>
      </c>
      <c r="E52" s="6">
        <v>60</v>
      </c>
      <c r="F52" s="11" t="s">
        <v>23</v>
      </c>
      <c r="G52" s="8" t="s">
        <v>117</v>
      </c>
      <c r="H52" s="8" t="s">
        <v>16</v>
      </c>
      <c r="I52" s="9">
        <v>4867</v>
      </c>
      <c r="J52" s="16">
        <v>1</v>
      </c>
      <c r="K52" s="16">
        <v>13200206</v>
      </c>
      <c r="L52" s="3" t="str">
        <f t="shared" si="1"/>
        <v>ΑΙΓΟΠΡΟΒΑΤΑ</v>
      </c>
    </row>
    <row r="53" spans="1:12" s="3" customFormat="1" ht="24" x14ac:dyDescent="0.25">
      <c r="A53" s="3" t="str">
        <f t="shared" si="0"/>
        <v>ΑΙΓΟΠΡΟΒΑΤΑΑΜΝΟΙ ΘΗΛΥΚΟΙ, ΑΡΓΟΥΣ</v>
      </c>
      <c r="B53" s="15" t="s">
        <v>21</v>
      </c>
      <c r="C53" s="14" t="s">
        <v>118</v>
      </c>
      <c r="D53" s="6">
        <v>63</v>
      </c>
      <c r="E53" s="6">
        <v>60</v>
      </c>
      <c r="F53" s="11" t="s">
        <v>23</v>
      </c>
      <c r="G53" s="8" t="s">
        <v>119</v>
      </c>
      <c r="H53" s="8" t="s">
        <v>16</v>
      </c>
      <c r="I53" s="9">
        <v>4868</v>
      </c>
      <c r="J53" s="16">
        <v>1</v>
      </c>
      <c r="K53" s="16">
        <v>13200207</v>
      </c>
      <c r="L53" s="3" t="str">
        <f t="shared" si="1"/>
        <v>ΑΙΓΟΠΡΟΒΑΤΑ</v>
      </c>
    </row>
    <row r="54" spans="1:12" s="3" customFormat="1" ht="24" x14ac:dyDescent="0.25">
      <c r="A54" s="3" t="str">
        <f t="shared" si="0"/>
        <v>ΑΙΓΟΠΡΟΒΑΤΑΑΜΝΟΙ ΘΗΛΥΚΟΙ, ΖΑΚΥΝΘΟΥ</v>
      </c>
      <c r="B54" s="15" t="s">
        <v>21</v>
      </c>
      <c r="C54" s="14" t="s">
        <v>120</v>
      </c>
      <c r="D54" s="6">
        <v>63</v>
      </c>
      <c r="E54" s="6">
        <v>60</v>
      </c>
      <c r="F54" s="11" t="s">
        <v>23</v>
      </c>
      <c r="G54" s="8" t="s">
        <v>121</v>
      </c>
      <c r="H54" s="8" t="s">
        <v>16</v>
      </c>
      <c r="I54" s="9">
        <v>4869</v>
      </c>
      <c r="J54" s="16">
        <v>1</v>
      </c>
      <c r="K54" s="16">
        <v>13200208</v>
      </c>
      <c r="L54" s="3" t="str">
        <f t="shared" si="1"/>
        <v>ΑΙΓΟΠΡΟΒΑΤΑ</v>
      </c>
    </row>
    <row r="55" spans="1:12" s="3" customFormat="1" ht="24" x14ac:dyDescent="0.25">
      <c r="A55" s="3" t="str">
        <f t="shared" si="0"/>
        <v>ΑΙΓΟΠΡΟΒΑΤΑΑΜΝΟΙ ΘΗΛΥΚΟΙ, ΦΛΩΡΙΝΑΣ -ΠΕΛΑΓΟΝΙΑΣ</v>
      </c>
      <c r="B55" s="15" t="s">
        <v>21</v>
      </c>
      <c r="C55" s="14" t="s">
        <v>122</v>
      </c>
      <c r="D55" s="6">
        <v>63</v>
      </c>
      <c r="E55" s="6">
        <v>60</v>
      </c>
      <c r="F55" s="11" t="s">
        <v>23</v>
      </c>
      <c r="G55" s="8" t="s">
        <v>123</v>
      </c>
      <c r="H55" s="8" t="s">
        <v>16</v>
      </c>
      <c r="I55" s="9">
        <v>4870</v>
      </c>
      <c r="J55" s="16">
        <v>1</v>
      </c>
      <c r="K55" s="16">
        <v>13200209</v>
      </c>
      <c r="L55" s="3" t="str">
        <f t="shared" si="1"/>
        <v>ΑΙΓΟΠΡΟΒΑΤΑ</v>
      </c>
    </row>
    <row r="56" spans="1:12" s="3" customFormat="1" ht="24" x14ac:dyDescent="0.25">
      <c r="A56" s="3" t="str">
        <f t="shared" si="0"/>
        <v xml:space="preserve">ΑΙΓΟΠΡΟΒΑΤΑΑΜΝΟΙ ΘΗΛΥΚΟΙ, ΣΑΡΑΚΑΤΣΑΝΙΚΟ </v>
      </c>
      <c r="B56" s="15" t="s">
        <v>21</v>
      </c>
      <c r="C56" s="14" t="s">
        <v>124</v>
      </c>
      <c r="D56" s="6">
        <v>63</v>
      </c>
      <c r="E56" s="6">
        <v>60</v>
      </c>
      <c r="F56" s="11" t="s">
        <v>23</v>
      </c>
      <c r="G56" s="8" t="s">
        <v>125</v>
      </c>
      <c r="H56" s="8" t="s">
        <v>16</v>
      </c>
      <c r="I56" s="9">
        <v>4871</v>
      </c>
      <c r="J56" s="16">
        <v>1</v>
      </c>
      <c r="K56" s="16">
        <v>13200210</v>
      </c>
      <c r="L56" s="3" t="str">
        <f t="shared" si="1"/>
        <v>ΑΙΓΟΠΡΟΒΑΤΑ</v>
      </c>
    </row>
    <row r="57" spans="1:12" s="3" customFormat="1" ht="24" x14ac:dyDescent="0.25">
      <c r="A57" s="3" t="str">
        <f t="shared" si="0"/>
        <v>ΑΙΓΟΠΡΟΒΑΤΑΑΜΝΟΙ ΘΗΛΥΚΟΙ, ΓΛΩΣΣΑΣ ΣΚΟΠΕΛΟΥ</v>
      </c>
      <c r="B57" s="15" t="s">
        <v>21</v>
      </c>
      <c r="C57" s="14" t="s">
        <v>126</v>
      </c>
      <c r="D57" s="6">
        <v>63</v>
      </c>
      <c r="E57" s="6">
        <v>60</v>
      </c>
      <c r="F57" s="11" t="s">
        <v>23</v>
      </c>
      <c r="G57" s="8" t="s">
        <v>127</v>
      </c>
      <c r="H57" s="8" t="s">
        <v>16</v>
      </c>
      <c r="I57" s="9">
        <v>4872</v>
      </c>
      <c r="J57" s="16">
        <v>1</v>
      </c>
      <c r="K57" s="16">
        <v>13200211</v>
      </c>
      <c r="L57" s="3" t="str">
        <f t="shared" si="1"/>
        <v>ΑΙΓΟΠΡΟΒΑΤΑ</v>
      </c>
    </row>
    <row r="58" spans="1:12" s="3" customFormat="1" ht="24" x14ac:dyDescent="0.25">
      <c r="A58" s="3" t="str">
        <f t="shared" si="0"/>
        <v>ΑΙΓΟΠΡΟΒΑΤΑΑΜΝΟΙ ΘΗΛΥΚΟΙ, ΚΥΜΗΣ</v>
      </c>
      <c r="B58" s="15" t="s">
        <v>21</v>
      </c>
      <c r="C58" s="14" t="s">
        <v>128</v>
      </c>
      <c r="D58" s="6">
        <v>63</v>
      </c>
      <c r="E58" s="6">
        <v>60</v>
      </c>
      <c r="F58" s="11" t="s">
        <v>23</v>
      </c>
      <c r="G58" s="8" t="s">
        <v>129</v>
      </c>
      <c r="H58" s="8" t="s">
        <v>16</v>
      </c>
      <c r="I58" s="9">
        <v>4873</v>
      </c>
      <c r="J58" s="16">
        <v>1</v>
      </c>
      <c r="K58" s="16">
        <v>13200212</v>
      </c>
      <c r="L58" s="3" t="str">
        <f t="shared" si="1"/>
        <v>ΑΙΓΟΠΡΟΒΑΤΑ</v>
      </c>
    </row>
    <row r="59" spans="1:12" s="3" customFormat="1" ht="24" x14ac:dyDescent="0.25">
      <c r="A59" s="3" t="str">
        <f t="shared" si="0"/>
        <v>ΑΙΓΟΠΡΟΒΑΤΑΑΜΝΟΙ ΘΗΛΥΚΟΙ, ΑΓΡΙΝΙΟΥ</v>
      </c>
      <c r="B59" s="15" t="s">
        <v>21</v>
      </c>
      <c r="C59" s="14" t="s">
        <v>130</v>
      </c>
      <c r="D59" s="6">
        <v>63</v>
      </c>
      <c r="E59" s="6">
        <v>60</v>
      </c>
      <c r="F59" s="11" t="s">
        <v>23</v>
      </c>
      <c r="G59" s="8" t="s">
        <v>131</v>
      </c>
      <c r="H59" s="8" t="s">
        <v>16</v>
      </c>
      <c r="I59" s="9">
        <v>4874</v>
      </c>
      <c r="J59" s="16">
        <v>1</v>
      </c>
      <c r="K59" s="16">
        <v>13200213</v>
      </c>
      <c r="L59" s="3" t="str">
        <f t="shared" si="1"/>
        <v>ΑΙΓΟΠΡΟΒΑΤΑ</v>
      </c>
    </row>
    <row r="60" spans="1:12" s="3" customFormat="1" ht="24" x14ac:dyDescent="0.25">
      <c r="A60" s="3" t="str">
        <f t="shared" si="0"/>
        <v>ΑΙΓΟΠΡΟΒΑΤΑΑΜΝΟΙ ΘΗΛΥΚΟΙ, ΔΡΑΜΑΣ</v>
      </c>
      <c r="B60" s="15" t="s">
        <v>21</v>
      </c>
      <c r="C60" s="14" t="s">
        <v>132</v>
      </c>
      <c r="D60" s="6">
        <v>63</v>
      </c>
      <c r="E60" s="6">
        <v>60</v>
      </c>
      <c r="F60" s="11" t="s">
        <v>23</v>
      </c>
      <c r="G60" s="8" t="s">
        <v>133</v>
      </c>
      <c r="H60" s="8" t="s">
        <v>16</v>
      </c>
      <c r="I60" s="9">
        <v>4875</v>
      </c>
      <c r="J60" s="16">
        <v>1</v>
      </c>
      <c r="K60" s="16">
        <v>13200214</v>
      </c>
      <c r="L60" s="3" t="str">
        <f t="shared" si="1"/>
        <v>ΑΙΓΟΠΡΟΒΑΤΑ</v>
      </c>
    </row>
    <row r="61" spans="1:12" s="3" customFormat="1" ht="24" x14ac:dyDescent="0.25">
      <c r="A61" s="3" t="str">
        <f t="shared" si="0"/>
        <v>ΑΙΓΟΠΡΟΒΑΤΑΑΜΝΟΙ ΘΗΛΥΚΟΙ, ΘΡΑΚΗΣ</v>
      </c>
      <c r="B61" s="15" t="s">
        <v>21</v>
      </c>
      <c r="C61" s="14" t="s">
        <v>134</v>
      </c>
      <c r="D61" s="6">
        <v>63</v>
      </c>
      <c r="E61" s="6">
        <v>60</v>
      </c>
      <c r="F61" s="11" t="s">
        <v>23</v>
      </c>
      <c r="G61" s="8" t="s">
        <v>135</v>
      </c>
      <c r="H61" s="8" t="s">
        <v>16</v>
      </c>
      <c r="I61" s="9">
        <v>4876</v>
      </c>
      <c r="J61" s="16">
        <v>1</v>
      </c>
      <c r="K61" s="16">
        <v>13200215</v>
      </c>
      <c r="L61" s="3" t="str">
        <f t="shared" si="1"/>
        <v>ΑΙΓΟΠΡΟΒΑΤΑ</v>
      </c>
    </row>
    <row r="62" spans="1:12" s="3" customFormat="1" ht="24" x14ac:dyDescent="0.25">
      <c r="A62" s="3" t="str">
        <f t="shared" si="0"/>
        <v>ΑΙΓΟΠΡΟΒΑΤΑΑΜΝΟΙ ΘΗΛΥΚΟΙ, ΚΑΛΑΡΡΥΤΙΚΟ</v>
      </c>
      <c r="B62" s="15" t="s">
        <v>21</v>
      </c>
      <c r="C62" s="14" t="s">
        <v>136</v>
      </c>
      <c r="D62" s="6">
        <v>63</v>
      </c>
      <c r="E62" s="6">
        <v>60</v>
      </c>
      <c r="F62" s="11" t="s">
        <v>23</v>
      </c>
      <c r="G62" s="8" t="s">
        <v>137</v>
      </c>
      <c r="H62" s="8" t="s">
        <v>16</v>
      </c>
      <c r="I62" s="9">
        <v>4877</v>
      </c>
      <c r="J62" s="16">
        <v>1</v>
      </c>
      <c r="K62" s="16">
        <v>13200216</v>
      </c>
      <c r="L62" s="3" t="str">
        <f t="shared" si="1"/>
        <v>ΑΙΓΟΠΡΟΒΑΤΑ</v>
      </c>
    </row>
    <row r="63" spans="1:12" s="3" customFormat="1" ht="24" x14ac:dyDescent="0.25">
      <c r="A63" s="3" t="str">
        <f t="shared" si="0"/>
        <v>ΑΙΓΟΠΡΟΒΑΤΑΑΜΝΟΙ ΘΗΛΥΚΟΙ, ΠΗΛΙΟΥ</v>
      </c>
      <c r="B63" s="15" t="s">
        <v>21</v>
      </c>
      <c r="C63" s="14" t="s">
        <v>138</v>
      </c>
      <c r="D63" s="6">
        <v>63</v>
      </c>
      <c r="E63" s="6">
        <v>60</v>
      </c>
      <c r="F63" s="11" t="s">
        <v>23</v>
      </c>
      <c r="G63" s="8" t="s">
        <v>139</v>
      </c>
      <c r="H63" s="8" t="s">
        <v>16</v>
      </c>
      <c r="I63" s="9">
        <v>4878</v>
      </c>
      <c r="J63" s="16">
        <v>1</v>
      </c>
      <c r="K63" s="16">
        <v>13200217</v>
      </c>
      <c r="L63" s="3" t="str">
        <f t="shared" si="1"/>
        <v>ΑΙΓΟΠΡΟΒΑΤΑ</v>
      </c>
    </row>
    <row r="64" spans="1:12" s="3" customFormat="1" ht="24" x14ac:dyDescent="0.25">
      <c r="A64" s="3" t="str">
        <f t="shared" si="0"/>
        <v>ΑΙΓΟΠΡΟΒΑΤΑΑΜΝΟΙ ΘΗΛΥΚΟΙ, ΣΕΡΡΩΝ</v>
      </c>
      <c r="B64" s="15" t="s">
        <v>21</v>
      </c>
      <c r="C64" s="14" t="s">
        <v>140</v>
      </c>
      <c r="D64" s="6">
        <v>63</v>
      </c>
      <c r="E64" s="6">
        <v>60</v>
      </c>
      <c r="F64" s="11" t="s">
        <v>23</v>
      </c>
      <c r="G64" s="8" t="s">
        <v>141</v>
      </c>
      <c r="H64" s="8" t="s">
        <v>16</v>
      </c>
      <c r="I64" s="9">
        <v>4879</v>
      </c>
      <c r="J64" s="16">
        <v>1</v>
      </c>
      <c r="K64" s="16">
        <v>13200218</v>
      </c>
      <c r="L64" s="3" t="str">
        <f t="shared" si="1"/>
        <v>ΑΙΓΟΠΡΟΒΑΤΑ</v>
      </c>
    </row>
    <row r="65" spans="1:12" s="3" customFormat="1" x14ac:dyDescent="0.25">
      <c r="A65" s="3" t="str">
        <f t="shared" si="0"/>
        <v>ΑΙΓΟΠΡΟΒΑΤΑΑΜΝΟΙ ΘΗΛΥΚΟΙ, ΚΑΘΑΡΟΑΙΜΗ</v>
      </c>
      <c r="B65" s="17" t="s">
        <v>21</v>
      </c>
      <c r="C65" s="14" t="s">
        <v>142</v>
      </c>
      <c r="D65" s="6">
        <v>63</v>
      </c>
      <c r="E65" s="6">
        <v>60</v>
      </c>
      <c r="F65" s="11" t="s">
        <v>23</v>
      </c>
      <c r="G65" s="8" t="s">
        <v>143</v>
      </c>
      <c r="H65" s="8" t="s">
        <v>27</v>
      </c>
      <c r="I65" s="9">
        <v>4662</v>
      </c>
      <c r="J65" s="13">
        <v>1</v>
      </c>
      <c r="K65" s="13">
        <v>132003</v>
      </c>
      <c r="L65" s="3" t="str">
        <f t="shared" si="1"/>
        <v>ΑΙΓΟΠΡΟΒΑΤΑ</v>
      </c>
    </row>
    <row r="66" spans="1:12" s="3" customFormat="1" ht="24" x14ac:dyDescent="0.25">
      <c r="A66" s="3" t="str">
        <f t="shared" si="0"/>
        <v>ΑΙΓΟΠΡΟΒΑΤΑΑΜΝΟΙ ΘΗΛΥΚΟΙ, ΛΟΙΠΗ</v>
      </c>
      <c r="B66" s="17" t="s">
        <v>21</v>
      </c>
      <c r="C66" s="14" t="s">
        <v>144</v>
      </c>
      <c r="D66" s="6">
        <v>63</v>
      </c>
      <c r="E66" s="6">
        <v>60</v>
      </c>
      <c r="F66" s="11" t="s">
        <v>23</v>
      </c>
      <c r="G66" s="8" t="s">
        <v>145</v>
      </c>
      <c r="H66" s="8" t="s">
        <v>16</v>
      </c>
      <c r="I66" s="9">
        <v>4663</v>
      </c>
      <c r="J66" s="13">
        <v>1</v>
      </c>
      <c r="K66" s="13">
        <v>132004</v>
      </c>
      <c r="L66" s="3" t="str">
        <f t="shared" si="1"/>
        <v>ΑΙΓΟΠΡΟΒΑΤΑ</v>
      </c>
    </row>
    <row r="67" spans="1:12" s="3" customFormat="1" ht="24" x14ac:dyDescent="0.25">
      <c r="A67" s="3" t="str">
        <f t="shared" ref="A67:A130" si="2">_xlfn.CONCAT(B67,C67)</f>
        <v>ΑΙΓΟΠΡΟΒΑΤΑΠΡΟΒΑΤΙΝΕΣ, ΒΕΛΤΙΩΜΕΝΗ</v>
      </c>
      <c r="B67" s="17" t="s">
        <v>21</v>
      </c>
      <c r="C67" s="14" t="s">
        <v>146</v>
      </c>
      <c r="D67" s="6">
        <v>155</v>
      </c>
      <c r="E67" s="6">
        <v>140</v>
      </c>
      <c r="F67" s="11" t="s">
        <v>23</v>
      </c>
      <c r="G67" s="8" t="s">
        <v>147</v>
      </c>
      <c r="H67" s="8" t="s">
        <v>16</v>
      </c>
      <c r="I67" s="9">
        <v>4664</v>
      </c>
      <c r="J67" s="13">
        <v>1</v>
      </c>
      <c r="K67" s="13">
        <v>140001</v>
      </c>
      <c r="L67" s="3" t="str">
        <f t="shared" ref="L67:L130" si="3">IFERROR(SUBSTITUTE(SUBSTITUTE(SUBSTITUTE(SUBSTITUTE(SUBSTITUTE(B67, "-", "_"), " ", "_"), ",", ""), "(", ""), ")", ""), B67)</f>
        <v>ΑΙΓΟΠΡΟΒΑΤΑ</v>
      </c>
    </row>
    <row r="68" spans="1:12" s="3" customFormat="1" x14ac:dyDescent="0.25">
      <c r="A68" s="3" t="str">
        <f t="shared" si="2"/>
        <v>ΑΙΓΟΠΡΟΒΑΤΑΠΡΟΒΑΤΙΝΕΣ,  ΑΥΤΟΧΘΟΝΗ</v>
      </c>
      <c r="B68" s="17" t="s">
        <v>21</v>
      </c>
      <c r="C68" s="14" t="s">
        <v>148</v>
      </c>
      <c r="D68" s="6">
        <v>155</v>
      </c>
      <c r="E68" s="6">
        <v>140</v>
      </c>
      <c r="F68" s="11" t="s">
        <v>23</v>
      </c>
      <c r="G68" s="8" t="s">
        <v>149</v>
      </c>
      <c r="H68" s="8" t="s">
        <v>27</v>
      </c>
      <c r="I68" s="9">
        <v>4665</v>
      </c>
      <c r="J68" s="13">
        <v>1</v>
      </c>
      <c r="K68" s="13">
        <v>140002</v>
      </c>
      <c r="L68" s="3" t="str">
        <f t="shared" si="3"/>
        <v>ΑΙΓΟΠΡΟΒΑΤΑ</v>
      </c>
    </row>
    <row r="69" spans="1:12" s="3" customFormat="1" ht="24" x14ac:dyDescent="0.25">
      <c r="A69" s="3" t="str">
        <f t="shared" si="2"/>
        <v>ΑΙΓΟΠΡΟΒΑΤΑΠΡΟΒΑΤΙΝΕΣ,  ΚΑΤΑΦΥΓΙΟΥ</v>
      </c>
      <c r="B69" s="15" t="s">
        <v>21</v>
      </c>
      <c r="C69" s="14" t="s">
        <v>150</v>
      </c>
      <c r="D69" s="6">
        <v>155</v>
      </c>
      <c r="E69" s="6">
        <v>140</v>
      </c>
      <c r="F69" s="11" t="s">
        <v>23</v>
      </c>
      <c r="G69" s="8" t="s">
        <v>151</v>
      </c>
      <c r="H69" s="8" t="s">
        <v>16</v>
      </c>
      <c r="I69" s="9">
        <v>4880</v>
      </c>
      <c r="J69" s="16">
        <v>1</v>
      </c>
      <c r="K69" s="16">
        <v>14000201</v>
      </c>
      <c r="L69" s="3" t="str">
        <f t="shared" si="3"/>
        <v>ΑΙΓΟΠΡΟΒΑΤΑ</v>
      </c>
    </row>
    <row r="70" spans="1:12" s="3" customFormat="1" ht="24" x14ac:dyDescent="0.25">
      <c r="A70" s="3" t="str">
        <f t="shared" si="2"/>
        <v>ΑΙΓΟΠΡΟΒΑΤΑΠΡΟΒΑΤΙΝΕΣ,  ΡΟΥΜΛΟΥΚΙΟΥ</v>
      </c>
      <c r="B70" s="15" t="s">
        <v>21</v>
      </c>
      <c r="C70" s="14" t="s">
        <v>152</v>
      </c>
      <c r="D70" s="6">
        <v>155</v>
      </c>
      <c r="E70" s="6">
        <v>140</v>
      </c>
      <c r="F70" s="11" t="s">
        <v>23</v>
      </c>
      <c r="G70" s="8" t="s">
        <v>153</v>
      </c>
      <c r="H70" s="8" t="s">
        <v>16</v>
      </c>
      <c r="I70" s="9">
        <v>4881</v>
      </c>
      <c r="J70" s="16">
        <v>1</v>
      </c>
      <c r="K70" s="16">
        <v>14000202</v>
      </c>
      <c r="L70" s="3" t="str">
        <f t="shared" si="3"/>
        <v>ΑΙΓΟΠΡΟΒΑΤΑ</v>
      </c>
    </row>
    <row r="71" spans="1:12" s="3" customFormat="1" ht="15" customHeight="1" x14ac:dyDescent="0.25">
      <c r="A71" s="3" t="str">
        <f t="shared" si="2"/>
        <v>ΑΙΓΟΠΡΟΒΑΤΑΠΡΟΒΑΤΙΝΕΣ,  ΟΡΕΙΝΟ ΗΠΕΙΡΟΥ</v>
      </c>
      <c r="B71" s="15" t="s">
        <v>21</v>
      </c>
      <c r="C71" s="14" t="s">
        <v>154</v>
      </c>
      <c r="D71" s="6">
        <v>155</v>
      </c>
      <c r="E71" s="6">
        <v>140</v>
      </c>
      <c r="F71" s="11" t="s">
        <v>23</v>
      </c>
      <c r="G71" s="8" t="s">
        <v>155</v>
      </c>
      <c r="H71" s="8" t="s">
        <v>16</v>
      </c>
      <c r="I71" s="9">
        <v>4882</v>
      </c>
      <c r="J71" s="16">
        <v>1</v>
      </c>
      <c r="K71" s="16">
        <v>14000203</v>
      </c>
      <c r="L71" s="3" t="str">
        <f t="shared" si="3"/>
        <v>ΑΙΓΟΠΡΟΒΑΤΑ</v>
      </c>
    </row>
    <row r="72" spans="1:12" s="3" customFormat="1" ht="15" customHeight="1" x14ac:dyDescent="0.25">
      <c r="A72" s="3" t="str">
        <f t="shared" si="2"/>
        <v>ΑΙΓΟΠΡΟΒΑΤΑΠΡΟΒΑΤΙΝΕΣ,  ΙΚΑΡΙΑΣ</v>
      </c>
      <c r="B72" s="15" t="s">
        <v>21</v>
      </c>
      <c r="C72" s="14" t="s">
        <v>156</v>
      </c>
      <c r="D72" s="6">
        <v>155</v>
      </c>
      <c r="E72" s="6">
        <v>140</v>
      </c>
      <c r="F72" s="11" t="s">
        <v>23</v>
      </c>
      <c r="G72" s="8" t="s">
        <v>157</v>
      </c>
      <c r="H72" s="8" t="s">
        <v>16</v>
      </c>
      <c r="I72" s="9">
        <v>4883</v>
      </c>
      <c r="J72" s="16">
        <v>1</v>
      </c>
      <c r="K72" s="16">
        <v>14000204</v>
      </c>
      <c r="L72" s="3" t="str">
        <f t="shared" si="3"/>
        <v>ΑΙΓΟΠΡΟΒΑΤΑ</v>
      </c>
    </row>
    <row r="73" spans="1:12" s="3" customFormat="1" ht="24" x14ac:dyDescent="0.25">
      <c r="A73" s="3" t="str">
        <f t="shared" si="2"/>
        <v>ΑΙΓΟΠΡΟΒΑΤΑΠΡΟΒΑΤΙΝΕΣ,  ΛΕΥΚΙΜΗΣ</v>
      </c>
      <c r="B73" s="15" t="s">
        <v>21</v>
      </c>
      <c r="C73" s="14" t="s">
        <v>158</v>
      </c>
      <c r="D73" s="6">
        <v>155</v>
      </c>
      <c r="E73" s="6">
        <v>140</v>
      </c>
      <c r="F73" s="11" t="s">
        <v>23</v>
      </c>
      <c r="G73" s="8" t="s">
        <v>159</v>
      </c>
      <c r="H73" s="8" t="s">
        <v>16</v>
      </c>
      <c r="I73" s="9">
        <v>4884</v>
      </c>
      <c r="J73" s="16">
        <v>1</v>
      </c>
      <c r="K73" s="16">
        <v>14000205</v>
      </c>
      <c r="L73" s="3" t="str">
        <f t="shared" si="3"/>
        <v>ΑΙΓΟΠΡΟΒΑΤΑ</v>
      </c>
    </row>
    <row r="74" spans="1:12" s="3" customFormat="1" ht="24" x14ac:dyDescent="0.25">
      <c r="A74" s="3" t="str">
        <f t="shared" si="2"/>
        <v>ΑΙΓΟΠΡΟΒΑΤΑΠΡΟΒΑΤΙΝΕΣ,  ΚΑΤΣΙΚΑ</v>
      </c>
      <c r="B74" s="15" t="s">
        <v>21</v>
      </c>
      <c r="C74" s="14" t="s">
        <v>160</v>
      </c>
      <c r="D74" s="6">
        <v>155</v>
      </c>
      <c r="E74" s="6">
        <v>140</v>
      </c>
      <c r="F74" s="11" t="s">
        <v>23</v>
      </c>
      <c r="G74" s="8" t="s">
        <v>161</v>
      </c>
      <c r="H74" s="8" t="s">
        <v>16</v>
      </c>
      <c r="I74" s="9">
        <v>4885</v>
      </c>
      <c r="J74" s="16">
        <v>1</v>
      </c>
      <c r="K74" s="16">
        <v>14000206</v>
      </c>
      <c r="L74" s="3" t="str">
        <f t="shared" si="3"/>
        <v>ΑΙΓΟΠΡΟΒΑΤΑ</v>
      </c>
    </row>
    <row r="75" spans="1:12" s="3" customFormat="1" ht="24" x14ac:dyDescent="0.25">
      <c r="A75" s="3" t="str">
        <f t="shared" si="2"/>
        <v>ΑΙΓΟΠΡΟΒΑΤΑΠΡΟΒΑΤΙΝΕΣ,  ΑΡΓΟΥΣ</v>
      </c>
      <c r="B75" s="15" t="s">
        <v>21</v>
      </c>
      <c r="C75" s="14" t="s">
        <v>162</v>
      </c>
      <c r="D75" s="6">
        <v>155</v>
      </c>
      <c r="E75" s="6">
        <v>140</v>
      </c>
      <c r="F75" s="11" t="s">
        <v>23</v>
      </c>
      <c r="G75" s="8" t="s">
        <v>163</v>
      </c>
      <c r="H75" s="8" t="s">
        <v>16</v>
      </c>
      <c r="I75" s="9">
        <v>4886</v>
      </c>
      <c r="J75" s="16">
        <v>1</v>
      </c>
      <c r="K75" s="16">
        <v>14000207</v>
      </c>
      <c r="L75" s="3" t="str">
        <f t="shared" si="3"/>
        <v>ΑΙΓΟΠΡΟΒΑΤΑ</v>
      </c>
    </row>
    <row r="76" spans="1:12" s="3" customFormat="1" ht="24" x14ac:dyDescent="0.25">
      <c r="A76" s="3" t="str">
        <f t="shared" si="2"/>
        <v>ΑΙΓΟΠΡΟΒΑΤΑΠΡΟΒΑΤΙΝΕΣ,  ΖΑΚΥΝΘΟΥ</v>
      </c>
      <c r="B76" s="15" t="s">
        <v>21</v>
      </c>
      <c r="C76" s="14" t="s">
        <v>164</v>
      </c>
      <c r="D76" s="6">
        <v>155</v>
      </c>
      <c r="E76" s="6">
        <v>140</v>
      </c>
      <c r="F76" s="11" t="s">
        <v>23</v>
      </c>
      <c r="G76" s="8" t="s">
        <v>165</v>
      </c>
      <c r="H76" s="8" t="s">
        <v>16</v>
      </c>
      <c r="I76" s="9">
        <v>4887</v>
      </c>
      <c r="J76" s="16">
        <v>1</v>
      </c>
      <c r="K76" s="16">
        <v>14000208</v>
      </c>
      <c r="L76" s="3" t="str">
        <f t="shared" si="3"/>
        <v>ΑΙΓΟΠΡΟΒΑΤΑ</v>
      </c>
    </row>
    <row r="77" spans="1:12" s="3" customFormat="1" ht="24" x14ac:dyDescent="0.25">
      <c r="A77" s="3" t="str">
        <f t="shared" si="2"/>
        <v>ΑΙΓΟΠΡΟΒΑΤΑΠΡΟΒΑΤΙΝΕΣ,  ΦΛΩΡΙΝΑΣ -ΠΕΛΑΓΟΝΙΑΣ</v>
      </c>
      <c r="B77" s="15" t="s">
        <v>21</v>
      </c>
      <c r="C77" s="14" t="s">
        <v>166</v>
      </c>
      <c r="D77" s="6">
        <v>155</v>
      </c>
      <c r="E77" s="6">
        <v>140</v>
      </c>
      <c r="F77" s="11" t="s">
        <v>23</v>
      </c>
      <c r="G77" s="8" t="s">
        <v>167</v>
      </c>
      <c r="H77" s="8" t="s">
        <v>16</v>
      </c>
      <c r="I77" s="9">
        <v>4888</v>
      </c>
      <c r="J77" s="16">
        <v>1</v>
      </c>
      <c r="K77" s="16">
        <v>14000209</v>
      </c>
      <c r="L77" s="3" t="str">
        <f t="shared" si="3"/>
        <v>ΑΙΓΟΠΡΟΒΑΤΑ</v>
      </c>
    </row>
    <row r="78" spans="1:12" s="3" customFormat="1" ht="24" x14ac:dyDescent="0.25">
      <c r="A78" s="3" t="str">
        <f t="shared" si="2"/>
        <v xml:space="preserve">ΑΙΓΟΠΡΟΒΑΤΑΠΡΟΒΑΤΙΝΕΣ,  ΣΑΡΑΚΑΤΣΑΝΙΚΟ </v>
      </c>
      <c r="B78" s="15" t="s">
        <v>21</v>
      </c>
      <c r="C78" s="14" t="s">
        <v>168</v>
      </c>
      <c r="D78" s="6">
        <v>155</v>
      </c>
      <c r="E78" s="6">
        <v>140</v>
      </c>
      <c r="F78" s="11" t="s">
        <v>23</v>
      </c>
      <c r="G78" s="8" t="s">
        <v>169</v>
      </c>
      <c r="H78" s="8" t="s">
        <v>16</v>
      </c>
      <c r="I78" s="9">
        <v>4889</v>
      </c>
      <c r="J78" s="16">
        <v>1</v>
      </c>
      <c r="K78" s="16">
        <v>14000210</v>
      </c>
      <c r="L78" s="3" t="str">
        <f t="shared" si="3"/>
        <v>ΑΙΓΟΠΡΟΒΑΤΑ</v>
      </c>
    </row>
    <row r="79" spans="1:12" s="3" customFormat="1" ht="24" x14ac:dyDescent="0.25">
      <c r="A79" s="3" t="str">
        <f t="shared" si="2"/>
        <v>ΑΙΓΟΠΡΟΒΑΤΑΠΡΟΒΑΤΙΝΕΣ,  ΓΛΩΣΣΑΣ ΣΚΟΠΕΛΟΥ</v>
      </c>
      <c r="B79" s="15" t="s">
        <v>21</v>
      </c>
      <c r="C79" s="14" t="s">
        <v>170</v>
      </c>
      <c r="D79" s="6">
        <v>155</v>
      </c>
      <c r="E79" s="6">
        <v>140</v>
      </c>
      <c r="F79" s="11" t="s">
        <v>23</v>
      </c>
      <c r="G79" s="8" t="s">
        <v>171</v>
      </c>
      <c r="H79" s="8" t="s">
        <v>16</v>
      </c>
      <c r="I79" s="9">
        <v>4890</v>
      </c>
      <c r="J79" s="16">
        <v>1</v>
      </c>
      <c r="K79" s="16">
        <v>14000211</v>
      </c>
      <c r="L79" s="3" t="str">
        <f t="shared" si="3"/>
        <v>ΑΙΓΟΠΡΟΒΑΤΑ</v>
      </c>
    </row>
    <row r="80" spans="1:12" s="3" customFormat="1" ht="24" x14ac:dyDescent="0.25">
      <c r="A80" s="3" t="str">
        <f t="shared" si="2"/>
        <v>ΑΙΓΟΠΡΟΒΑΤΑΠΡΟΒΑΤΙΝΕΣ,  ΚΥΜΗΣ</v>
      </c>
      <c r="B80" s="15" t="s">
        <v>21</v>
      </c>
      <c r="C80" s="14" t="s">
        <v>172</v>
      </c>
      <c r="D80" s="6">
        <v>155</v>
      </c>
      <c r="E80" s="6">
        <v>140</v>
      </c>
      <c r="F80" s="11" t="s">
        <v>23</v>
      </c>
      <c r="G80" s="8" t="s">
        <v>173</v>
      </c>
      <c r="H80" s="8" t="s">
        <v>16</v>
      </c>
      <c r="I80" s="9">
        <v>4891</v>
      </c>
      <c r="J80" s="16">
        <v>1</v>
      </c>
      <c r="K80" s="16">
        <v>14000212</v>
      </c>
      <c r="L80" s="3" t="str">
        <f t="shared" si="3"/>
        <v>ΑΙΓΟΠΡΟΒΑΤΑ</v>
      </c>
    </row>
    <row r="81" spans="1:12" s="3" customFormat="1" ht="24" x14ac:dyDescent="0.25">
      <c r="A81" s="3" t="str">
        <f t="shared" si="2"/>
        <v>ΑΙΓΟΠΡΟΒΑΤΑΠΡΟΒΑΤΙΝΕΣ,  ΑΓΡΙΝΙΟΥ</v>
      </c>
      <c r="B81" s="15" t="s">
        <v>21</v>
      </c>
      <c r="C81" s="14" t="s">
        <v>174</v>
      </c>
      <c r="D81" s="6">
        <v>155</v>
      </c>
      <c r="E81" s="6">
        <v>140</v>
      </c>
      <c r="F81" s="11" t="s">
        <v>23</v>
      </c>
      <c r="G81" s="8" t="s">
        <v>175</v>
      </c>
      <c r="H81" s="8" t="s">
        <v>16</v>
      </c>
      <c r="I81" s="9">
        <v>4892</v>
      </c>
      <c r="J81" s="16">
        <v>1</v>
      </c>
      <c r="K81" s="16">
        <v>14000213</v>
      </c>
      <c r="L81" s="3" t="str">
        <f t="shared" si="3"/>
        <v>ΑΙΓΟΠΡΟΒΑΤΑ</v>
      </c>
    </row>
    <row r="82" spans="1:12" s="3" customFormat="1" ht="24" x14ac:dyDescent="0.25">
      <c r="A82" s="3" t="str">
        <f t="shared" si="2"/>
        <v>ΑΙΓΟΠΡΟΒΑΤΑΠΡΟΒΑΤΙΝΕΣ,  ΔΡΑΜΑΣ</v>
      </c>
      <c r="B82" s="15" t="s">
        <v>21</v>
      </c>
      <c r="C82" s="14" t="s">
        <v>176</v>
      </c>
      <c r="D82" s="6">
        <v>155</v>
      </c>
      <c r="E82" s="6">
        <v>140</v>
      </c>
      <c r="F82" s="11" t="s">
        <v>23</v>
      </c>
      <c r="G82" s="8" t="s">
        <v>177</v>
      </c>
      <c r="H82" s="8" t="s">
        <v>16</v>
      </c>
      <c r="I82" s="9">
        <v>4893</v>
      </c>
      <c r="J82" s="16">
        <v>1</v>
      </c>
      <c r="K82" s="16">
        <v>14000214</v>
      </c>
      <c r="L82" s="3" t="str">
        <f t="shared" si="3"/>
        <v>ΑΙΓΟΠΡΟΒΑΤΑ</v>
      </c>
    </row>
    <row r="83" spans="1:12" s="3" customFormat="1" ht="24" x14ac:dyDescent="0.25">
      <c r="A83" s="3" t="str">
        <f t="shared" si="2"/>
        <v>ΑΙΓΟΠΡΟΒΑΤΑΠΡΟΒΑΤΙΝΕΣ,  ΘΡΑΚΗΣ</v>
      </c>
      <c r="B83" s="15" t="s">
        <v>21</v>
      </c>
      <c r="C83" s="14" t="s">
        <v>178</v>
      </c>
      <c r="D83" s="6">
        <v>155</v>
      </c>
      <c r="E83" s="6">
        <v>140</v>
      </c>
      <c r="F83" s="11" t="s">
        <v>23</v>
      </c>
      <c r="G83" s="8" t="s">
        <v>179</v>
      </c>
      <c r="H83" s="8" t="s">
        <v>16</v>
      </c>
      <c r="I83" s="9">
        <v>4894</v>
      </c>
      <c r="J83" s="16">
        <v>1</v>
      </c>
      <c r="K83" s="16">
        <v>14000215</v>
      </c>
      <c r="L83" s="3" t="str">
        <f t="shared" si="3"/>
        <v>ΑΙΓΟΠΡΟΒΑΤΑ</v>
      </c>
    </row>
    <row r="84" spans="1:12" s="3" customFormat="1" ht="24" x14ac:dyDescent="0.25">
      <c r="A84" s="3" t="str">
        <f t="shared" si="2"/>
        <v>ΑΙΓΟΠΡΟΒΑΤΑΠΡΟΒΑΤΙΝΕΣ,  ΚΑΛΑΡΡΥΤΙΚΟ</v>
      </c>
      <c r="B84" s="15" t="s">
        <v>21</v>
      </c>
      <c r="C84" s="14" t="s">
        <v>180</v>
      </c>
      <c r="D84" s="6">
        <v>155</v>
      </c>
      <c r="E84" s="6">
        <v>140</v>
      </c>
      <c r="F84" s="11" t="s">
        <v>23</v>
      </c>
      <c r="G84" s="8" t="s">
        <v>181</v>
      </c>
      <c r="H84" s="8" t="s">
        <v>16</v>
      </c>
      <c r="I84" s="9">
        <v>4895</v>
      </c>
      <c r="J84" s="16">
        <v>1</v>
      </c>
      <c r="K84" s="16">
        <v>14000216</v>
      </c>
      <c r="L84" s="3" t="str">
        <f t="shared" si="3"/>
        <v>ΑΙΓΟΠΡΟΒΑΤΑ</v>
      </c>
    </row>
    <row r="85" spans="1:12" s="3" customFormat="1" ht="24" x14ac:dyDescent="0.25">
      <c r="A85" s="3" t="str">
        <f t="shared" si="2"/>
        <v>ΑΙΓΟΠΡΟΒΑΤΑΠΡΟΒΑΤΙΝΕΣ,  ΠΗΛΙΟΥ</v>
      </c>
      <c r="B85" s="15" t="s">
        <v>21</v>
      </c>
      <c r="C85" s="14" t="s">
        <v>182</v>
      </c>
      <c r="D85" s="6">
        <v>155</v>
      </c>
      <c r="E85" s="6">
        <v>140</v>
      </c>
      <c r="F85" s="11" t="s">
        <v>23</v>
      </c>
      <c r="G85" s="8" t="s">
        <v>183</v>
      </c>
      <c r="H85" s="8" t="s">
        <v>16</v>
      </c>
      <c r="I85" s="9">
        <v>4896</v>
      </c>
      <c r="J85" s="16">
        <v>1</v>
      </c>
      <c r="K85" s="16">
        <v>14000217</v>
      </c>
      <c r="L85" s="3" t="str">
        <f t="shared" si="3"/>
        <v>ΑΙΓΟΠΡΟΒΑΤΑ</v>
      </c>
    </row>
    <row r="86" spans="1:12" s="3" customFormat="1" ht="15" customHeight="1" x14ac:dyDescent="0.25">
      <c r="A86" s="3" t="str">
        <f t="shared" si="2"/>
        <v>ΑΙΓΟΠΡΟΒΑΤΑΠΡΟΒΑΤΙΝΕΣ,  ΣΕΡΡΩΝ</v>
      </c>
      <c r="B86" s="15" t="s">
        <v>21</v>
      </c>
      <c r="C86" s="14" t="s">
        <v>184</v>
      </c>
      <c r="D86" s="6">
        <v>155</v>
      </c>
      <c r="E86" s="6">
        <v>140</v>
      </c>
      <c r="F86" s="11" t="s">
        <v>23</v>
      </c>
      <c r="G86" s="8" t="s">
        <v>185</v>
      </c>
      <c r="H86" s="8" t="s">
        <v>16</v>
      </c>
      <c r="I86" s="9">
        <v>4897</v>
      </c>
      <c r="J86" s="16">
        <v>1</v>
      </c>
      <c r="K86" s="16">
        <v>14000218</v>
      </c>
      <c r="L86" s="3" t="str">
        <f t="shared" si="3"/>
        <v>ΑΙΓΟΠΡΟΒΑΤΑ</v>
      </c>
    </row>
    <row r="87" spans="1:12" s="3" customFormat="1" ht="15" customHeight="1" x14ac:dyDescent="0.25">
      <c r="A87" s="3" t="str">
        <f t="shared" si="2"/>
        <v>ΑΙΓΟΠΡΟΒΑΤΑΠΡΟΒΑΤΙΝΕΣ,  ΚΑΘΑΡΟΑΙΜΗ</v>
      </c>
      <c r="B87" s="17" t="s">
        <v>21</v>
      </c>
      <c r="C87" s="14" t="s">
        <v>186</v>
      </c>
      <c r="D87" s="6">
        <v>155</v>
      </c>
      <c r="E87" s="6">
        <v>140</v>
      </c>
      <c r="F87" s="11" t="s">
        <v>23</v>
      </c>
      <c r="G87" s="8" t="s">
        <v>187</v>
      </c>
      <c r="H87" s="8" t="s">
        <v>27</v>
      </c>
      <c r="I87" s="9">
        <v>4666</v>
      </c>
      <c r="J87" s="13">
        <v>1</v>
      </c>
      <c r="K87" s="13">
        <v>140003</v>
      </c>
      <c r="L87" s="3" t="str">
        <f t="shared" si="3"/>
        <v>ΑΙΓΟΠΡΟΒΑΤΑ</v>
      </c>
    </row>
    <row r="88" spans="1:12" s="3" customFormat="1" ht="15" customHeight="1" x14ac:dyDescent="0.25">
      <c r="A88" s="3" t="str">
        <f t="shared" si="2"/>
        <v>ΑΙΓΟΠΡΟΒΑΤΑΠΡΟΒΑΤΙΝΕΣ,  ΛΟΙΠΗ</v>
      </c>
      <c r="B88" s="17" t="s">
        <v>21</v>
      </c>
      <c r="C88" s="14" t="s">
        <v>188</v>
      </c>
      <c r="D88" s="6">
        <v>155</v>
      </c>
      <c r="E88" s="6">
        <v>140</v>
      </c>
      <c r="F88" s="11" t="s">
        <v>23</v>
      </c>
      <c r="G88" s="8" t="s">
        <v>189</v>
      </c>
      <c r="H88" s="8" t="s">
        <v>27</v>
      </c>
      <c r="I88" s="9">
        <v>4667</v>
      </c>
      <c r="J88" s="13">
        <v>1</v>
      </c>
      <c r="K88" s="13">
        <v>140004</v>
      </c>
      <c r="L88" s="3" t="str">
        <f t="shared" si="3"/>
        <v>ΑΙΓΟΠΡΟΒΑΤΑ</v>
      </c>
    </row>
    <row r="89" spans="1:12" s="3" customFormat="1" ht="15" customHeight="1" x14ac:dyDescent="0.25">
      <c r="A89" s="3" t="str">
        <f t="shared" si="2"/>
        <v>ΑΙΓΟΠΡΟΒΑΤΑΠΡΟΒΑΤΙΝΕΣ, ΛΟΙΠΗ ΠΡΟΒΑΤΟΕΙΔΗ (&lt;45kg)</v>
      </c>
      <c r="B89" s="17" t="s">
        <v>21</v>
      </c>
      <c r="C89" s="14" t="s">
        <v>190</v>
      </c>
      <c r="D89" s="6">
        <v>155</v>
      </c>
      <c r="E89" s="6">
        <v>140</v>
      </c>
      <c r="F89" s="11" t="s">
        <v>23</v>
      </c>
      <c r="G89" s="8" t="s">
        <v>191</v>
      </c>
      <c r="H89" s="8" t="s">
        <v>16</v>
      </c>
      <c r="I89" s="9">
        <v>4668</v>
      </c>
      <c r="J89" s="13">
        <v>1</v>
      </c>
      <c r="K89" s="13">
        <v>140007</v>
      </c>
      <c r="L89" s="3" t="str">
        <f t="shared" si="3"/>
        <v>ΑΙΓΟΠΡΟΒΑΤΑ</v>
      </c>
    </row>
    <row r="90" spans="1:12" s="3" customFormat="1" ht="15" customHeight="1" x14ac:dyDescent="0.25">
      <c r="A90" s="3" t="str">
        <f t="shared" si="2"/>
        <v>ΑΙΓΟΠΡΟΒΑΤΑΠΡΟΒΑΤΙΝΕΣ, ΛΟΙΠΗ ΠΡΟΒΑΤΟΕΙΔΗ (&gt;45kg)</v>
      </c>
      <c r="B90" s="17" t="s">
        <v>21</v>
      </c>
      <c r="C90" s="14" t="s">
        <v>192</v>
      </c>
      <c r="D90" s="6">
        <v>155</v>
      </c>
      <c r="E90" s="6">
        <v>140</v>
      </c>
      <c r="F90" s="11" t="s">
        <v>23</v>
      </c>
      <c r="G90" s="8" t="s">
        <v>193</v>
      </c>
      <c r="H90" s="8" t="s">
        <v>16</v>
      </c>
      <c r="I90" s="9">
        <v>4669</v>
      </c>
      <c r="J90" s="13">
        <v>1</v>
      </c>
      <c r="K90" s="13">
        <v>140008</v>
      </c>
      <c r="L90" s="3" t="str">
        <f t="shared" si="3"/>
        <v>ΑΙΓΟΠΡΟΒΑΤΑ</v>
      </c>
    </row>
    <row r="91" spans="1:12" s="3" customFormat="1" ht="15" customHeight="1" x14ac:dyDescent="0.25">
      <c r="A91" s="3" t="str">
        <f t="shared" si="2"/>
        <v>ΑΙΓΟΠΡΟΒΑΤΑΚΡΙΟΙ,  ΒΕΛΤΙΩΜΕΝΗ</v>
      </c>
      <c r="B91" s="17" t="s">
        <v>21</v>
      </c>
      <c r="C91" s="14" t="s">
        <v>194</v>
      </c>
      <c r="D91" s="6">
        <v>63</v>
      </c>
      <c r="E91" s="6">
        <v>60</v>
      </c>
      <c r="F91" s="11" t="s">
        <v>23</v>
      </c>
      <c r="G91" s="8" t="s">
        <v>195</v>
      </c>
      <c r="H91" s="8" t="s">
        <v>16</v>
      </c>
      <c r="I91" s="9">
        <v>4670</v>
      </c>
      <c r="J91" s="13">
        <v>1</v>
      </c>
      <c r="K91" s="13">
        <v>150001</v>
      </c>
      <c r="L91" s="3" t="str">
        <f t="shared" si="3"/>
        <v>ΑΙΓΟΠΡΟΒΑΤΑ</v>
      </c>
    </row>
    <row r="92" spans="1:12" s="3" customFormat="1" ht="15" customHeight="1" x14ac:dyDescent="0.25">
      <c r="A92" s="3" t="str">
        <f t="shared" si="2"/>
        <v>ΑΙΓΟΠΡΟΒΑΤΑΚΡΙΟΙ,  ΑΥΤΟΧΘΟΝΗ</v>
      </c>
      <c r="B92" s="17" t="s">
        <v>21</v>
      </c>
      <c r="C92" s="14" t="s">
        <v>196</v>
      </c>
      <c r="D92" s="6">
        <v>63</v>
      </c>
      <c r="E92" s="6">
        <v>60</v>
      </c>
      <c r="F92" s="11" t="s">
        <v>23</v>
      </c>
      <c r="G92" s="8" t="s">
        <v>197</v>
      </c>
      <c r="H92" s="8" t="s">
        <v>27</v>
      </c>
      <c r="I92" s="9">
        <v>4671</v>
      </c>
      <c r="J92" s="13">
        <v>1</v>
      </c>
      <c r="K92" s="13">
        <v>150002</v>
      </c>
      <c r="L92" s="3" t="str">
        <f t="shared" si="3"/>
        <v>ΑΙΓΟΠΡΟΒΑΤΑ</v>
      </c>
    </row>
    <row r="93" spans="1:12" s="3" customFormat="1" ht="15" customHeight="1" x14ac:dyDescent="0.25">
      <c r="A93" s="3" t="str">
        <f t="shared" si="2"/>
        <v>ΑΙΓΟΠΡΟΒΑΤΑΚΡΙΟΙ,  ΚΑΤΑΦΥΓΙΟΥ</v>
      </c>
      <c r="B93" s="15" t="s">
        <v>21</v>
      </c>
      <c r="C93" s="14" t="s">
        <v>198</v>
      </c>
      <c r="D93" s="6">
        <v>63</v>
      </c>
      <c r="E93" s="6">
        <v>60</v>
      </c>
      <c r="F93" s="11" t="s">
        <v>23</v>
      </c>
      <c r="G93" s="8" t="s">
        <v>199</v>
      </c>
      <c r="H93" s="8" t="s">
        <v>16</v>
      </c>
      <c r="I93" s="9">
        <v>4898</v>
      </c>
      <c r="J93" s="16">
        <v>1</v>
      </c>
      <c r="K93" s="16">
        <v>15000201</v>
      </c>
      <c r="L93" s="3" t="str">
        <f t="shared" si="3"/>
        <v>ΑΙΓΟΠΡΟΒΑΤΑ</v>
      </c>
    </row>
    <row r="94" spans="1:12" s="3" customFormat="1" ht="15" customHeight="1" x14ac:dyDescent="0.25">
      <c r="A94" s="3" t="str">
        <f t="shared" si="2"/>
        <v>ΑΙΓΟΠΡΟΒΑΤΑΚΡΙΟΙ,  ΡΟΥΜΛΟΥΚΙΟΥ</v>
      </c>
      <c r="B94" s="15" t="s">
        <v>21</v>
      </c>
      <c r="C94" s="14" t="s">
        <v>200</v>
      </c>
      <c r="D94" s="6">
        <v>63</v>
      </c>
      <c r="E94" s="6">
        <v>60</v>
      </c>
      <c r="F94" s="11" t="s">
        <v>23</v>
      </c>
      <c r="G94" s="8" t="s">
        <v>201</v>
      </c>
      <c r="H94" s="8" t="s">
        <v>16</v>
      </c>
      <c r="I94" s="9">
        <v>4899</v>
      </c>
      <c r="J94" s="16">
        <v>1</v>
      </c>
      <c r="K94" s="16">
        <v>15000202</v>
      </c>
      <c r="L94" s="3" t="str">
        <f t="shared" si="3"/>
        <v>ΑΙΓΟΠΡΟΒΑΤΑ</v>
      </c>
    </row>
    <row r="95" spans="1:12" s="3" customFormat="1" ht="15" customHeight="1" x14ac:dyDescent="0.25">
      <c r="A95" s="3" t="str">
        <f t="shared" si="2"/>
        <v>ΑΙΓΟΠΡΟΒΑΤΑΚΡΙΟΙ,  ΟΡΕΙΝΟ ΗΠΕΙΡΟΥ</v>
      </c>
      <c r="B95" s="15" t="s">
        <v>21</v>
      </c>
      <c r="C95" s="14" t="s">
        <v>202</v>
      </c>
      <c r="D95" s="6">
        <v>63</v>
      </c>
      <c r="E95" s="6">
        <v>60</v>
      </c>
      <c r="F95" s="11" t="s">
        <v>23</v>
      </c>
      <c r="G95" s="8" t="s">
        <v>203</v>
      </c>
      <c r="H95" s="8" t="s">
        <v>16</v>
      </c>
      <c r="I95" s="9">
        <v>4900</v>
      </c>
      <c r="J95" s="16">
        <v>1</v>
      </c>
      <c r="K95" s="16">
        <v>15000203</v>
      </c>
      <c r="L95" s="3" t="str">
        <f t="shared" si="3"/>
        <v>ΑΙΓΟΠΡΟΒΑΤΑ</v>
      </c>
    </row>
    <row r="96" spans="1:12" s="3" customFormat="1" ht="15" customHeight="1" x14ac:dyDescent="0.25">
      <c r="A96" s="3" t="str">
        <f t="shared" si="2"/>
        <v>ΑΙΓΟΠΡΟΒΑΤΑΚΡΙΟΙ,  ΙΚΑΡΙΑΣ</v>
      </c>
      <c r="B96" s="15" t="s">
        <v>21</v>
      </c>
      <c r="C96" s="14" t="s">
        <v>204</v>
      </c>
      <c r="D96" s="6">
        <v>63</v>
      </c>
      <c r="E96" s="6">
        <v>60</v>
      </c>
      <c r="F96" s="11" t="s">
        <v>23</v>
      </c>
      <c r="G96" s="8" t="s">
        <v>205</v>
      </c>
      <c r="H96" s="8" t="s">
        <v>16</v>
      </c>
      <c r="I96" s="9">
        <v>4901</v>
      </c>
      <c r="J96" s="16">
        <v>1</v>
      </c>
      <c r="K96" s="16">
        <v>15000204</v>
      </c>
      <c r="L96" s="3" t="str">
        <f t="shared" si="3"/>
        <v>ΑΙΓΟΠΡΟΒΑΤΑ</v>
      </c>
    </row>
    <row r="97" spans="1:12" s="3" customFormat="1" ht="15" customHeight="1" x14ac:dyDescent="0.25">
      <c r="A97" s="3" t="str">
        <f t="shared" si="2"/>
        <v>ΑΙΓΟΠΡΟΒΑΤΑΚΡΙΟΙ,  ΛΕΥΚΙΜΗΣ</v>
      </c>
      <c r="B97" s="15" t="s">
        <v>21</v>
      </c>
      <c r="C97" s="14" t="s">
        <v>206</v>
      </c>
      <c r="D97" s="6">
        <v>63</v>
      </c>
      <c r="E97" s="6">
        <v>60</v>
      </c>
      <c r="F97" s="11" t="s">
        <v>23</v>
      </c>
      <c r="G97" s="8" t="s">
        <v>207</v>
      </c>
      <c r="H97" s="8" t="s">
        <v>16</v>
      </c>
      <c r="I97" s="9">
        <v>4902</v>
      </c>
      <c r="J97" s="16">
        <v>1</v>
      </c>
      <c r="K97" s="16">
        <v>15000205</v>
      </c>
      <c r="L97" s="3" t="str">
        <f t="shared" si="3"/>
        <v>ΑΙΓΟΠΡΟΒΑΤΑ</v>
      </c>
    </row>
    <row r="98" spans="1:12" s="3" customFormat="1" ht="15" customHeight="1" x14ac:dyDescent="0.25">
      <c r="A98" s="3" t="str">
        <f t="shared" si="2"/>
        <v>ΑΙΓΟΠΡΟΒΑΤΑΚΡΙΟΙ,  ΚΑΤΣΙΚΑ</v>
      </c>
      <c r="B98" s="15" t="s">
        <v>21</v>
      </c>
      <c r="C98" s="14" t="s">
        <v>208</v>
      </c>
      <c r="D98" s="6">
        <v>63</v>
      </c>
      <c r="E98" s="6">
        <v>60</v>
      </c>
      <c r="F98" s="11" t="s">
        <v>23</v>
      </c>
      <c r="G98" s="8" t="s">
        <v>209</v>
      </c>
      <c r="H98" s="8" t="s">
        <v>16</v>
      </c>
      <c r="I98" s="9">
        <v>4903</v>
      </c>
      <c r="J98" s="16">
        <v>1</v>
      </c>
      <c r="K98" s="16">
        <v>15000206</v>
      </c>
      <c r="L98" s="3" t="str">
        <f t="shared" si="3"/>
        <v>ΑΙΓΟΠΡΟΒΑΤΑ</v>
      </c>
    </row>
    <row r="99" spans="1:12" s="3" customFormat="1" ht="24" x14ac:dyDescent="0.25">
      <c r="A99" s="3" t="str">
        <f t="shared" si="2"/>
        <v>ΑΙΓΟΠΡΟΒΑΤΑΚΡΙΟΙ,  ΑΡΓΟΥΣ</v>
      </c>
      <c r="B99" s="15" t="s">
        <v>21</v>
      </c>
      <c r="C99" s="14" t="s">
        <v>210</v>
      </c>
      <c r="D99" s="6">
        <v>63</v>
      </c>
      <c r="E99" s="6">
        <v>60</v>
      </c>
      <c r="F99" s="11" t="s">
        <v>23</v>
      </c>
      <c r="G99" s="8" t="s">
        <v>211</v>
      </c>
      <c r="H99" s="8" t="s">
        <v>16</v>
      </c>
      <c r="I99" s="9">
        <v>4904</v>
      </c>
      <c r="J99" s="16">
        <v>1</v>
      </c>
      <c r="K99" s="16">
        <v>15000207</v>
      </c>
      <c r="L99" s="3" t="str">
        <f t="shared" si="3"/>
        <v>ΑΙΓΟΠΡΟΒΑΤΑ</v>
      </c>
    </row>
    <row r="100" spans="1:12" s="3" customFormat="1" ht="24" x14ac:dyDescent="0.25">
      <c r="A100" s="3" t="str">
        <f t="shared" si="2"/>
        <v>ΑΙΓΟΠΡΟΒΑΤΑΚΡΙΟΙ,  ΖΑΚΥΝΘΟΥ</v>
      </c>
      <c r="B100" s="15" t="s">
        <v>21</v>
      </c>
      <c r="C100" s="14" t="s">
        <v>212</v>
      </c>
      <c r="D100" s="6">
        <v>63</v>
      </c>
      <c r="E100" s="6">
        <v>60</v>
      </c>
      <c r="F100" s="11" t="s">
        <v>23</v>
      </c>
      <c r="G100" s="8" t="s">
        <v>213</v>
      </c>
      <c r="H100" s="8" t="s">
        <v>16</v>
      </c>
      <c r="I100" s="9">
        <v>4905</v>
      </c>
      <c r="J100" s="16">
        <v>1</v>
      </c>
      <c r="K100" s="16">
        <v>15000208</v>
      </c>
      <c r="L100" s="3" t="str">
        <f t="shared" si="3"/>
        <v>ΑΙΓΟΠΡΟΒΑΤΑ</v>
      </c>
    </row>
    <row r="101" spans="1:12" s="3" customFormat="1" ht="24" x14ac:dyDescent="0.25">
      <c r="A101" s="3" t="str">
        <f t="shared" si="2"/>
        <v>ΑΙΓΟΠΡΟΒΑΤΑΚΡΙΟΙ,  ΦΛΩΡΙΝΑΣ -ΠΕΛΑΓΟΝΙΑΣ</v>
      </c>
      <c r="B101" s="15" t="s">
        <v>21</v>
      </c>
      <c r="C101" s="14" t="s">
        <v>214</v>
      </c>
      <c r="D101" s="6">
        <v>63</v>
      </c>
      <c r="E101" s="6">
        <v>60</v>
      </c>
      <c r="F101" s="11" t="s">
        <v>23</v>
      </c>
      <c r="G101" s="8" t="s">
        <v>215</v>
      </c>
      <c r="H101" s="8" t="s">
        <v>16</v>
      </c>
      <c r="I101" s="9">
        <v>4906</v>
      </c>
      <c r="J101" s="16">
        <v>1</v>
      </c>
      <c r="K101" s="16">
        <v>15000209</v>
      </c>
      <c r="L101" s="3" t="str">
        <f t="shared" si="3"/>
        <v>ΑΙΓΟΠΡΟΒΑΤΑ</v>
      </c>
    </row>
    <row r="102" spans="1:12" s="3" customFormat="1" ht="24" x14ac:dyDescent="0.25">
      <c r="A102" s="3" t="str">
        <f t="shared" si="2"/>
        <v xml:space="preserve">ΑΙΓΟΠΡΟΒΑΤΑΚΡΙΟΙ,  ΣΑΡΑΚΑΤΣΑΝΙΚΟ </v>
      </c>
      <c r="B102" s="15" t="s">
        <v>21</v>
      </c>
      <c r="C102" s="14" t="s">
        <v>216</v>
      </c>
      <c r="D102" s="6">
        <v>63</v>
      </c>
      <c r="E102" s="6">
        <v>60</v>
      </c>
      <c r="F102" s="11" t="s">
        <v>23</v>
      </c>
      <c r="G102" s="8" t="s">
        <v>217</v>
      </c>
      <c r="H102" s="8" t="s">
        <v>16</v>
      </c>
      <c r="I102" s="9">
        <v>4907</v>
      </c>
      <c r="J102" s="16">
        <v>1</v>
      </c>
      <c r="K102" s="16">
        <v>15000210</v>
      </c>
      <c r="L102" s="3" t="str">
        <f t="shared" si="3"/>
        <v>ΑΙΓΟΠΡΟΒΑΤΑ</v>
      </c>
    </row>
    <row r="103" spans="1:12" s="3" customFormat="1" ht="24" x14ac:dyDescent="0.25">
      <c r="A103" s="3" t="str">
        <f t="shared" si="2"/>
        <v>ΑΙΓΟΠΡΟΒΑΤΑΚΡΙΟΙ,  ΓΛΩΣΣΑΣ ΣΚΟΠΕΛΟΥ</v>
      </c>
      <c r="B103" s="15" t="s">
        <v>21</v>
      </c>
      <c r="C103" s="14" t="s">
        <v>218</v>
      </c>
      <c r="D103" s="6">
        <v>63</v>
      </c>
      <c r="E103" s="6">
        <v>60</v>
      </c>
      <c r="F103" s="11" t="s">
        <v>23</v>
      </c>
      <c r="G103" s="8" t="s">
        <v>219</v>
      </c>
      <c r="H103" s="8" t="s">
        <v>16</v>
      </c>
      <c r="I103" s="9">
        <v>4908</v>
      </c>
      <c r="J103" s="16">
        <v>1</v>
      </c>
      <c r="K103" s="16">
        <v>15000211</v>
      </c>
      <c r="L103" s="3" t="str">
        <f t="shared" si="3"/>
        <v>ΑΙΓΟΠΡΟΒΑΤΑ</v>
      </c>
    </row>
    <row r="104" spans="1:12" s="3" customFormat="1" ht="24" x14ac:dyDescent="0.25">
      <c r="A104" s="3" t="str">
        <f t="shared" si="2"/>
        <v>ΑΙΓΟΠΡΟΒΑΤΑΚΡΙΟΙ,  ΚΥΜΗΣ</v>
      </c>
      <c r="B104" s="15" t="s">
        <v>21</v>
      </c>
      <c r="C104" s="14" t="s">
        <v>220</v>
      </c>
      <c r="D104" s="6">
        <v>63</v>
      </c>
      <c r="E104" s="6">
        <v>60</v>
      </c>
      <c r="F104" s="11" t="s">
        <v>23</v>
      </c>
      <c r="G104" s="8" t="s">
        <v>221</v>
      </c>
      <c r="H104" s="8" t="s">
        <v>16</v>
      </c>
      <c r="I104" s="9">
        <v>4909</v>
      </c>
      <c r="J104" s="16">
        <v>1</v>
      </c>
      <c r="K104" s="16">
        <v>15000212</v>
      </c>
      <c r="L104" s="3" t="str">
        <f t="shared" si="3"/>
        <v>ΑΙΓΟΠΡΟΒΑΤΑ</v>
      </c>
    </row>
    <row r="105" spans="1:12" s="3" customFormat="1" ht="24" x14ac:dyDescent="0.25">
      <c r="A105" s="3" t="str">
        <f t="shared" si="2"/>
        <v>ΑΙΓΟΠΡΟΒΑΤΑΚΡΙΟΙ,  ΑΓΡΙΝΙΟΥ</v>
      </c>
      <c r="B105" s="15" t="s">
        <v>21</v>
      </c>
      <c r="C105" s="14" t="s">
        <v>222</v>
      </c>
      <c r="D105" s="6">
        <v>63</v>
      </c>
      <c r="E105" s="6">
        <v>60</v>
      </c>
      <c r="F105" s="11" t="s">
        <v>23</v>
      </c>
      <c r="G105" s="8" t="s">
        <v>223</v>
      </c>
      <c r="H105" s="8" t="s">
        <v>16</v>
      </c>
      <c r="I105" s="9">
        <v>4910</v>
      </c>
      <c r="J105" s="16">
        <v>1</v>
      </c>
      <c r="K105" s="16">
        <v>15000213</v>
      </c>
      <c r="L105" s="3" t="str">
        <f t="shared" si="3"/>
        <v>ΑΙΓΟΠΡΟΒΑΤΑ</v>
      </c>
    </row>
    <row r="106" spans="1:12" s="3" customFormat="1" ht="24" x14ac:dyDescent="0.25">
      <c r="A106" s="3" t="str">
        <f t="shared" si="2"/>
        <v>ΑΙΓΟΠΡΟΒΑΤΑΚΡΙΟΙ,  ΔΡΑΜΑΣ</v>
      </c>
      <c r="B106" s="15" t="s">
        <v>21</v>
      </c>
      <c r="C106" s="14" t="s">
        <v>224</v>
      </c>
      <c r="D106" s="6">
        <v>63</v>
      </c>
      <c r="E106" s="6">
        <v>60</v>
      </c>
      <c r="F106" s="11" t="s">
        <v>23</v>
      </c>
      <c r="G106" s="8" t="s">
        <v>225</v>
      </c>
      <c r="H106" s="8" t="s">
        <v>16</v>
      </c>
      <c r="I106" s="9">
        <v>4911</v>
      </c>
      <c r="J106" s="16">
        <v>1</v>
      </c>
      <c r="K106" s="16">
        <v>15000214</v>
      </c>
      <c r="L106" s="3" t="str">
        <f t="shared" si="3"/>
        <v>ΑΙΓΟΠΡΟΒΑΤΑ</v>
      </c>
    </row>
    <row r="107" spans="1:12" s="3" customFormat="1" ht="24" x14ac:dyDescent="0.25">
      <c r="A107" s="3" t="str">
        <f t="shared" si="2"/>
        <v>ΑΙΓΟΠΡΟΒΑΤΑΚΡΙΟΙ,  ΘΡΑΚΗΣ</v>
      </c>
      <c r="B107" s="15" t="s">
        <v>21</v>
      </c>
      <c r="C107" s="14" t="s">
        <v>226</v>
      </c>
      <c r="D107" s="6">
        <v>63</v>
      </c>
      <c r="E107" s="6">
        <v>60</v>
      </c>
      <c r="F107" s="11" t="s">
        <v>23</v>
      </c>
      <c r="G107" s="8" t="s">
        <v>227</v>
      </c>
      <c r="H107" s="8" t="s">
        <v>16</v>
      </c>
      <c r="I107" s="9">
        <v>4912</v>
      </c>
      <c r="J107" s="16">
        <v>1</v>
      </c>
      <c r="K107" s="16">
        <v>15000215</v>
      </c>
      <c r="L107" s="3" t="str">
        <f t="shared" si="3"/>
        <v>ΑΙΓΟΠΡΟΒΑΤΑ</v>
      </c>
    </row>
    <row r="108" spans="1:12" s="3" customFormat="1" ht="24" x14ac:dyDescent="0.25">
      <c r="A108" s="3" t="str">
        <f t="shared" si="2"/>
        <v>ΑΙΓΟΠΡΟΒΑΤΑΚΡΙΟΙ,  ΚΑΛΑΡΡΥΤΙΚΟ</v>
      </c>
      <c r="B108" s="15" t="s">
        <v>21</v>
      </c>
      <c r="C108" s="14" t="s">
        <v>228</v>
      </c>
      <c r="D108" s="6">
        <v>63</v>
      </c>
      <c r="E108" s="6">
        <v>60</v>
      </c>
      <c r="F108" s="11" t="s">
        <v>23</v>
      </c>
      <c r="G108" s="8" t="s">
        <v>229</v>
      </c>
      <c r="H108" s="8" t="s">
        <v>16</v>
      </c>
      <c r="I108" s="9">
        <v>4913</v>
      </c>
      <c r="J108" s="16">
        <v>1</v>
      </c>
      <c r="K108" s="16">
        <v>15000216</v>
      </c>
      <c r="L108" s="3" t="str">
        <f t="shared" si="3"/>
        <v>ΑΙΓΟΠΡΟΒΑΤΑ</v>
      </c>
    </row>
    <row r="109" spans="1:12" s="3" customFormat="1" ht="24" x14ac:dyDescent="0.25">
      <c r="A109" s="3" t="str">
        <f t="shared" si="2"/>
        <v>ΑΙΓΟΠΡΟΒΑΤΑΚΡΙΟΙ,  ΠΗΛΙΟΥ</v>
      </c>
      <c r="B109" s="15" t="s">
        <v>21</v>
      </c>
      <c r="C109" s="14" t="s">
        <v>230</v>
      </c>
      <c r="D109" s="6">
        <v>63</v>
      </c>
      <c r="E109" s="6">
        <v>60</v>
      </c>
      <c r="F109" s="11" t="s">
        <v>23</v>
      </c>
      <c r="G109" s="8" t="s">
        <v>231</v>
      </c>
      <c r="H109" s="8" t="s">
        <v>16</v>
      </c>
      <c r="I109" s="9">
        <v>4914</v>
      </c>
      <c r="J109" s="16">
        <v>1</v>
      </c>
      <c r="K109" s="16">
        <v>15000217</v>
      </c>
      <c r="L109" s="3" t="str">
        <f t="shared" si="3"/>
        <v>ΑΙΓΟΠΡΟΒΑΤΑ</v>
      </c>
    </row>
    <row r="110" spans="1:12" s="3" customFormat="1" ht="24" x14ac:dyDescent="0.25">
      <c r="A110" s="3" t="str">
        <f t="shared" si="2"/>
        <v>ΑΙΓΟΠΡΟΒΑΤΑΚΡΙΟΙ,  ΣΕΡΡΩΝ</v>
      </c>
      <c r="B110" s="15" t="s">
        <v>21</v>
      </c>
      <c r="C110" s="14" t="s">
        <v>232</v>
      </c>
      <c r="D110" s="6">
        <v>63</v>
      </c>
      <c r="E110" s="6">
        <v>60</v>
      </c>
      <c r="F110" s="11" t="s">
        <v>23</v>
      </c>
      <c r="G110" s="8" t="s">
        <v>233</v>
      </c>
      <c r="H110" s="8" t="s">
        <v>16</v>
      </c>
      <c r="I110" s="9">
        <v>4915</v>
      </c>
      <c r="J110" s="16">
        <v>1</v>
      </c>
      <c r="K110" s="16">
        <v>15000218</v>
      </c>
      <c r="L110" s="3" t="str">
        <f t="shared" si="3"/>
        <v>ΑΙΓΟΠΡΟΒΑΤΑ</v>
      </c>
    </row>
    <row r="111" spans="1:12" s="3" customFormat="1" x14ac:dyDescent="0.25">
      <c r="A111" s="3" t="str">
        <f t="shared" si="2"/>
        <v>ΑΙΓΟΠΡΟΒΑΤΑΚΡΙΟΙ,  ΚΑΘΑΡΟΑΙΜΗ</v>
      </c>
      <c r="B111" s="17" t="s">
        <v>21</v>
      </c>
      <c r="C111" s="14" t="s">
        <v>234</v>
      </c>
      <c r="D111" s="6">
        <v>63</v>
      </c>
      <c r="E111" s="6">
        <v>60</v>
      </c>
      <c r="F111" s="11" t="s">
        <v>23</v>
      </c>
      <c r="G111" s="8" t="s">
        <v>235</v>
      </c>
      <c r="H111" s="8" t="s">
        <v>27</v>
      </c>
      <c r="I111" s="9">
        <v>4672</v>
      </c>
      <c r="J111" s="13">
        <v>1</v>
      </c>
      <c r="K111" s="13">
        <v>150003</v>
      </c>
      <c r="L111" s="3" t="str">
        <f t="shared" si="3"/>
        <v>ΑΙΓΟΠΡΟΒΑΤΑ</v>
      </c>
    </row>
    <row r="112" spans="1:12" s="3" customFormat="1" x14ac:dyDescent="0.25">
      <c r="A112" s="3" t="str">
        <f t="shared" si="2"/>
        <v>ΑΙΓΟΠΡΟΒΑΤΑΚΡΙΟΙ, ΛΟΙΠΗ</v>
      </c>
      <c r="B112" s="17" t="s">
        <v>21</v>
      </c>
      <c r="C112" s="14" t="s">
        <v>236</v>
      </c>
      <c r="D112" s="6">
        <v>63</v>
      </c>
      <c r="E112" s="6">
        <v>60</v>
      </c>
      <c r="F112" s="11" t="s">
        <v>23</v>
      </c>
      <c r="G112" s="8" t="s">
        <v>237</v>
      </c>
      <c r="H112" s="8" t="s">
        <v>27</v>
      </c>
      <c r="I112" s="9">
        <v>4673</v>
      </c>
      <c r="J112" s="13">
        <v>1</v>
      </c>
      <c r="K112" s="13">
        <v>150004</v>
      </c>
      <c r="L112" s="3" t="str">
        <f t="shared" si="3"/>
        <v>ΑΙΓΟΠΡΟΒΑΤΑ</v>
      </c>
    </row>
    <row r="113" spans="1:12" s="3" customFormat="1" ht="15" customHeight="1" x14ac:dyDescent="0.25">
      <c r="A113" s="3" t="str">
        <f t="shared" si="2"/>
        <v>ΑΙΓΟΠΡΟΒΑΤΑΚΡΙΟΙ, ΛΟΙΠΗ ΠΡΟΒΑΤΟΕΙΔΗ (&lt;45kg)</v>
      </c>
      <c r="B113" s="17" t="s">
        <v>21</v>
      </c>
      <c r="C113" s="14" t="s">
        <v>238</v>
      </c>
      <c r="D113" s="6">
        <v>63</v>
      </c>
      <c r="E113" s="6">
        <v>60</v>
      </c>
      <c r="F113" s="11" t="s">
        <v>23</v>
      </c>
      <c r="G113" s="8" t="s">
        <v>239</v>
      </c>
      <c r="H113" s="8" t="s">
        <v>16</v>
      </c>
      <c r="I113" s="9">
        <v>4674</v>
      </c>
      <c r="J113" s="13">
        <v>1</v>
      </c>
      <c r="K113" s="13">
        <v>150007</v>
      </c>
      <c r="L113" s="3" t="str">
        <f t="shared" si="3"/>
        <v>ΑΙΓΟΠΡΟΒΑΤΑ</v>
      </c>
    </row>
    <row r="114" spans="1:12" s="3" customFormat="1" ht="15" customHeight="1" x14ac:dyDescent="0.25">
      <c r="A114" s="3" t="str">
        <f t="shared" si="2"/>
        <v>ΑΙΓΟΠΡΟΒΑΤΑΚΡΙΟΙ, ΛΟΙΠΗ ΠΡΟΒΑΤΟΕΙΔΗ (&gt;45kg)</v>
      </c>
      <c r="B114" s="17" t="s">
        <v>21</v>
      </c>
      <c r="C114" s="14" t="s">
        <v>240</v>
      </c>
      <c r="D114" s="6">
        <v>63</v>
      </c>
      <c r="E114" s="6">
        <v>60</v>
      </c>
      <c r="F114" s="11" t="s">
        <v>23</v>
      </c>
      <c r="G114" s="8" t="s">
        <v>241</v>
      </c>
      <c r="H114" s="8" t="s">
        <v>16</v>
      </c>
      <c r="I114" s="9">
        <v>4675</v>
      </c>
      <c r="J114" s="13">
        <v>1</v>
      </c>
      <c r="K114" s="13">
        <v>150008</v>
      </c>
      <c r="L114" s="3" t="str">
        <f t="shared" si="3"/>
        <v>ΑΙΓΟΠΡΟΒΑΤΑ</v>
      </c>
    </row>
    <row r="115" spans="1:12" s="3" customFormat="1" ht="15" customHeight="1" x14ac:dyDescent="0.25">
      <c r="A115" s="3" t="str">
        <f t="shared" si="2"/>
        <v>ΑΙΓΟΠΡΟΒΑΤΑΤΡΑΓΟI, ΒΕΛΤΙΩΜΕΝΗ</v>
      </c>
      <c r="B115" s="17" t="s">
        <v>21</v>
      </c>
      <c r="C115" s="14" t="s">
        <v>242</v>
      </c>
      <c r="D115" s="6">
        <v>60</v>
      </c>
      <c r="E115" s="6">
        <v>62</v>
      </c>
      <c r="F115" s="11" t="s">
        <v>23</v>
      </c>
      <c r="G115" s="8" t="s">
        <v>243</v>
      </c>
      <c r="H115" s="8" t="s">
        <v>16</v>
      </c>
      <c r="I115" s="9">
        <v>4676</v>
      </c>
      <c r="J115" s="13">
        <v>1</v>
      </c>
      <c r="K115" s="13">
        <v>160001</v>
      </c>
      <c r="L115" s="3" t="str">
        <f t="shared" si="3"/>
        <v>ΑΙΓΟΠΡΟΒΑΤΑ</v>
      </c>
    </row>
    <row r="116" spans="1:12" s="3" customFormat="1" ht="15" customHeight="1" x14ac:dyDescent="0.25">
      <c r="A116" s="3" t="str">
        <f t="shared" si="2"/>
        <v>ΑΙΓΟΠΡΟΒΑΤΑΤΡΑΓΟI,  ΑΥΤΟΧΘΟΝΗ</v>
      </c>
      <c r="B116" s="17" t="s">
        <v>21</v>
      </c>
      <c r="C116" s="14" t="s">
        <v>244</v>
      </c>
      <c r="D116" s="6">
        <v>60</v>
      </c>
      <c r="E116" s="6">
        <v>62</v>
      </c>
      <c r="F116" s="11" t="s">
        <v>23</v>
      </c>
      <c r="G116" s="8" t="s">
        <v>245</v>
      </c>
      <c r="H116" s="8" t="s">
        <v>27</v>
      </c>
      <c r="I116" s="9">
        <v>4677</v>
      </c>
      <c r="J116" s="13">
        <v>1</v>
      </c>
      <c r="K116" s="13">
        <v>160002</v>
      </c>
      <c r="L116" s="3" t="str">
        <f t="shared" si="3"/>
        <v>ΑΙΓΟΠΡΟΒΑΤΑ</v>
      </c>
    </row>
    <row r="117" spans="1:12" s="3" customFormat="1" ht="15" customHeight="1" x14ac:dyDescent="0.25">
      <c r="A117" s="3" t="str">
        <f t="shared" si="2"/>
        <v>ΑΙΓΟΠΡΟΒΑΤΑΤΡΑΓΟI,  ΣΚΟΠΕΛΟΥ</v>
      </c>
      <c r="B117" s="15" t="s">
        <v>21</v>
      </c>
      <c r="C117" s="14" t="s">
        <v>246</v>
      </c>
      <c r="D117" s="6">
        <v>60</v>
      </c>
      <c r="E117" s="6">
        <v>62</v>
      </c>
      <c r="F117" s="11" t="s">
        <v>23</v>
      </c>
      <c r="G117" s="8" t="s">
        <v>247</v>
      </c>
      <c r="H117" s="8" t="s">
        <v>16</v>
      </c>
      <c r="I117" s="9">
        <v>4916</v>
      </c>
      <c r="J117" s="16">
        <v>1</v>
      </c>
      <c r="K117" s="16">
        <v>16000219</v>
      </c>
      <c r="L117" s="3" t="str">
        <f t="shared" si="3"/>
        <v>ΑΙΓΟΠΡΟΒΑΤΑ</v>
      </c>
    </row>
    <row r="118" spans="1:12" s="3" customFormat="1" ht="15" customHeight="1" x14ac:dyDescent="0.25">
      <c r="A118" s="3" t="str">
        <f t="shared" si="2"/>
        <v>ΑΙΓΟΠΡΟΒΑΤΑΤΡΑΓΟI, ΚΑΘΑΡΟΑΙΜΗ</v>
      </c>
      <c r="B118" s="17" t="s">
        <v>21</v>
      </c>
      <c r="C118" s="14" t="s">
        <v>248</v>
      </c>
      <c r="D118" s="6">
        <v>60</v>
      </c>
      <c r="E118" s="6">
        <v>62</v>
      </c>
      <c r="F118" s="11" t="s">
        <v>23</v>
      </c>
      <c r="G118" s="8" t="s">
        <v>249</v>
      </c>
      <c r="H118" s="8" t="s">
        <v>27</v>
      </c>
      <c r="I118" s="9">
        <v>4678</v>
      </c>
      <c r="J118" s="13">
        <v>1</v>
      </c>
      <c r="K118" s="13">
        <v>160003</v>
      </c>
      <c r="L118" s="3" t="str">
        <f t="shared" si="3"/>
        <v>ΑΙΓΟΠΡΟΒΑΤΑ</v>
      </c>
    </row>
    <row r="119" spans="1:12" s="3" customFormat="1" ht="15" customHeight="1" x14ac:dyDescent="0.25">
      <c r="A119" s="3" t="str">
        <f t="shared" si="2"/>
        <v>ΑΙΓΟΠΡΟΒΑΤΑΤΡΑΓΟI, ΛΟΙΠΗ</v>
      </c>
      <c r="B119" s="17" t="s">
        <v>21</v>
      </c>
      <c r="C119" s="14" t="s">
        <v>250</v>
      </c>
      <c r="D119" s="6">
        <v>60</v>
      </c>
      <c r="E119" s="6">
        <v>62</v>
      </c>
      <c r="F119" s="11" t="s">
        <v>23</v>
      </c>
      <c r="G119" s="8" t="s">
        <v>251</v>
      </c>
      <c r="H119" s="8" t="s">
        <v>27</v>
      </c>
      <c r="I119" s="9">
        <v>4679</v>
      </c>
      <c r="J119" s="13">
        <v>1</v>
      </c>
      <c r="K119" s="13">
        <v>160004</v>
      </c>
      <c r="L119" s="3" t="str">
        <f t="shared" si="3"/>
        <v>ΑΙΓΟΠΡΟΒΑΤΑ</v>
      </c>
    </row>
    <row r="120" spans="1:12" s="3" customFormat="1" ht="15" customHeight="1" x14ac:dyDescent="0.25">
      <c r="A120" s="3" t="str">
        <f t="shared" si="2"/>
        <v>ΑΙΓΟΠΡΟΒΑΤΑΤΡΑΓΟI, ΛΟΙΠΗ ΑΙΓΟΕΙΔΗ (&lt;30kg)</v>
      </c>
      <c r="B120" s="17" t="s">
        <v>21</v>
      </c>
      <c r="C120" s="14" t="s">
        <v>252</v>
      </c>
      <c r="D120" s="6">
        <v>60</v>
      </c>
      <c r="E120" s="6">
        <v>62</v>
      </c>
      <c r="F120" s="11" t="s">
        <v>23</v>
      </c>
      <c r="G120" s="8" t="s">
        <v>253</v>
      </c>
      <c r="H120" s="8" t="s">
        <v>16</v>
      </c>
      <c r="I120" s="9">
        <v>4680</v>
      </c>
      <c r="J120" s="13">
        <v>1</v>
      </c>
      <c r="K120" s="13">
        <v>160005</v>
      </c>
      <c r="L120" s="3" t="str">
        <f t="shared" si="3"/>
        <v>ΑΙΓΟΠΡΟΒΑΤΑ</v>
      </c>
    </row>
    <row r="121" spans="1:12" s="3" customFormat="1" ht="15" customHeight="1" x14ac:dyDescent="0.25">
      <c r="A121" s="3" t="str">
        <f t="shared" si="2"/>
        <v>ΑΙΓΟΠΡΟΒΑΤΑΤΡΑΓΟI, ΛΟΙΠΗ ΑΙΓΟΕΙΔΗ (&gt;30kg)</v>
      </c>
      <c r="B121" s="17" t="s">
        <v>21</v>
      </c>
      <c r="C121" s="14" t="s">
        <v>254</v>
      </c>
      <c r="D121" s="6">
        <v>60</v>
      </c>
      <c r="E121" s="6">
        <v>62</v>
      </c>
      <c r="F121" s="11" t="s">
        <v>23</v>
      </c>
      <c r="G121" s="8" t="s">
        <v>255</v>
      </c>
      <c r="H121" s="8" t="s">
        <v>16</v>
      </c>
      <c r="I121" s="9">
        <v>4681</v>
      </c>
      <c r="J121" s="13">
        <v>1</v>
      </c>
      <c r="K121" s="13">
        <v>160006</v>
      </c>
      <c r="L121" s="3" t="str">
        <f t="shared" si="3"/>
        <v>ΑΙΓΟΠΡΟΒΑΤΑ</v>
      </c>
    </row>
    <row r="122" spans="1:12" s="3" customFormat="1" ht="15" customHeight="1" x14ac:dyDescent="0.25">
      <c r="A122" s="3" t="str">
        <f t="shared" si="2"/>
        <v>ΑΚΡΟΔΡΥΑ (ΚΑΡΠΟΙ ΜΕ ΚΕΛΥΦΟΣ)ΑΜΥΓΔΑΛΑ ΑΦΡΑΤΑ ΣΥΜΜΕΤΡΙΚΗ</v>
      </c>
      <c r="B122" s="18" t="s">
        <v>256</v>
      </c>
      <c r="C122" s="19" t="s">
        <v>257</v>
      </c>
      <c r="D122" s="6">
        <v>6628.52</v>
      </c>
      <c r="E122" s="6">
        <v>7978.51</v>
      </c>
      <c r="F122" s="6" t="s">
        <v>14</v>
      </c>
      <c r="G122" s="8" t="s">
        <v>258</v>
      </c>
      <c r="H122" s="8" t="s">
        <v>27</v>
      </c>
      <c r="I122" s="9">
        <v>4318</v>
      </c>
      <c r="J122" s="20">
        <v>21</v>
      </c>
      <c r="K122" s="20">
        <v>21001</v>
      </c>
      <c r="L122" s="3" t="str">
        <f t="shared" si="3"/>
        <v>ΑΚΡΟΔΡΥΑ_ΚΑΡΠΟΙ_ΜΕ_ΚΕΛΥΦΟΣ</v>
      </c>
    </row>
    <row r="123" spans="1:12" s="3" customFormat="1" ht="15" customHeight="1" x14ac:dyDescent="0.25">
      <c r="A123" s="3" t="str">
        <f t="shared" si="2"/>
        <v>ΑΚΡΟΔΡΥΑ (ΚΑΡΠΟΙ ΜΕ ΚΕΛΥΦΟΣ)ΑΜΥΓΔΑΛΑ ΑΦΡΑΤΑ ΧΙΟΥ</v>
      </c>
      <c r="B123" s="18" t="s">
        <v>256</v>
      </c>
      <c r="C123" s="19" t="s">
        <v>259</v>
      </c>
      <c r="D123" s="6">
        <v>6628.52</v>
      </c>
      <c r="E123" s="6">
        <v>7978.51</v>
      </c>
      <c r="F123" s="6" t="s">
        <v>14</v>
      </c>
      <c r="G123" s="8" t="s">
        <v>260</v>
      </c>
      <c r="H123" s="8" t="s">
        <v>27</v>
      </c>
      <c r="I123" s="9">
        <v>4319</v>
      </c>
      <c r="J123" s="20">
        <v>21</v>
      </c>
      <c r="K123" s="20">
        <v>21002</v>
      </c>
      <c r="L123" s="3" t="str">
        <f t="shared" si="3"/>
        <v>ΑΚΡΟΔΡΥΑ_ΚΑΡΠΟΙ_ΜΕ_ΚΕΛΥΦΟΣ</v>
      </c>
    </row>
    <row r="124" spans="1:12" s="3" customFormat="1" ht="15" customHeight="1" x14ac:dyDescent="0.25">
      <c r="A124" s="3" t="str">
        <f t="shared" si="2"/>
        <v>ΑΚΡΟΔΡΥΑ (ΚΑΡΠΟΙ ΜΕ ΚΕΛΥΦΟΣ)ΑΜΥΓΔΑΛΑ ΑΦΡΑΤΑ ΝΕ ΠΛ. ΟΥΛΤΡΑ</v>
      </c>
      <c r="B124" s="18" t="s">
        <v>256</v>
      </c>
      <c r="C124" s="19" t="s">
        <v>261</v>
      </c>
      <c r="D124" s="6">
        <v>6628.52</v>
      </c>
      <c r="E124" s="6">
        <v>7978.51</v>
      </c>
      <c r="F124" s="6" t="s">
        <v>14</v>
      </c>
      <c r="G124" s="8" t="s">
        <v>262</v>
      </c>
      <c r="H124" s="8" t="s">
        <v>27</v>
      </c>
      <c r="I124" s="9">
        <v>4320</v>
      </c>
      <c r="J124" s="20">
        <v>21</v>
      </c>
      <c r="K124" s="20">
        <v>21003</v>
      </c>
      <c r="L124" s="3" t="str">
        <f t="shared" si="3"/>
        <v>ΑΚΡΟΔΡΥΑ_ΚΑΡΠΟΙ_ΜΕ_ΚΕΛΥΦΟΣ</v>
      </c>
    </row>
    <row r="125" spans="1:12" s="3" customFormat="1" ht="15" customHeight="1" x14ac:dyDescent="0.25">
      <c r="A125" s="3" t="str">
        <f t="shared" si="2"/>
        <v>ΑΚΡΟΔΡΥΑ (ΚΑΡΠΟΙ ΜΕ ΚΕΛΥΦΟΣ)ΑΜΥΓΔΑΛΑ ΑΦΡΑΤΑ ΛΟΙΠ. ΠΟΙΚΙΛ.</v>
      </c>
      <c r="B125" s="18" t="s">
        <v>256</v>
      </c>
      <c r="C125" s="19" t="s">
        <v>263</v>
      </c>
      <c r="D125" s="6">
        <v>6628.52</v>
      </c>
      <c r="E125" s="6">
        <v>7978.51</v>
      </c>
      <c r="F125" s="6" t="s">
        <v>14</v>
      </c>
      <c r="G125" s="8" t="s">
        <v>264</v>
      </c>
      <c r="H125" s="8" t="s">
        <v>27</v>
      </c>
      <c r="I125" s="9">
        <v>4321</v>
      </c>
      <c r="J125" s="20">
        <v>21</v>
      </c>
      <c r="K125" s="20">
        <v>21004</v>
      </c>
      <c r="L125" s="3" t="str">
        <f t="shared" si="3"/>
        <v>ΑΚΡΟΔΡΥΑ_ΚΑΡΠΟΙ_ΜΕ_ΚΕΛΥΦΟΣ</v>
      </c>
    </row>
    <row r="126" spans="1:12" s="3" customFormat="1" ht="15" customHeight="1" x14ac:dyDescent="0.25">
      <c r="A126" s="3" t="str">
        <f t="shared" si="2"/>
        <v>ΑΚΡΟΔΡΥΑ (ΚΑΡΠΟΙ ΜΕ ΚΕΛΥΦΟΣ)ΑΜΥΓΔΑΛΑ ΦΕΡΑΝΤΟΥΕΛ</v>
      </c>
      <c r="B126" s="4" t="s">
        <v>256</v>
      </c>
      <c r="C126" s="5" t="s">
        <v>265</v>
      </c>
      <c r="D126" s="6">
        <v>6628.52</v>
      </c>
      <c r="E126" s="6">
        <v>7978.51</v>
      </c>
      <c r="F126" s="7" t="s">
        <v>14</v>
      </c>
      <c r="G126" s="8" t="s">
        <v>266</v>
      </c>
      <c r="H126" s="8" t="s">
        <v>16</v>
      </c>
      <c r="I126" s="9">
        <v>1567</v>
      </c>
      <c r="J126" s="10">
        <v>21</v>
      </c>
      <c r="K126" s="10">
        <v>21005</v>
      </c>
      <c r="L126" s="3" t="str">
        <f t="shared" si="3"/>
        <v>ΑΚΡΟΔΡΥΑ_ΚΑΡΠΟΙ_ΜΕ_ΚΕΛΥΦΟΣ</v>
      </c>
    </row>
    <row r="127" spans="1:12" s="3" customFormat="1" ht="15" customHeight="1" x14ac:dyDescent="0.25">
      <c r="A127" s="3" t="str">
        <f t="shared" si="2"/>
        <v>ΑΚΡΟΔΡΥΑ (ΚΑΡΠΟΙ ΜΕ ΚΕΛΥΦΟΣ)ΑΜΥΓΔΑΛΑ ΝΟΝ ΠΑΡΕΪ</v>
      </c>
      <c r="B127" s="4" t="s">
        <v>256</v>
      </c>
      <c r="C127" s="5" t="s">
        <v>267</v>
      </c>
      <c r="D127" s="6">
        <v>6628.52</v>
      </c>
      <c r="E127" s="6">
        <v>7978.51</v>
      </c>
      <c r="F127" s="7" t="s">
        <v>14</v>
      </c>
      <c r="G127" s="8" t="s">
        <v>268</v>
      </c>
      <c r="H127" s="8" t="s">
        <v>16</v>
      </c>
      <c r="I127" s="9">
        <v>1553</v>
      </c>
      <c r="J127" s="10">
        <v>21</v>
      </c>
      <c r="K127" s="10">
        <v>21006</v>
      </c>
      <c r="L127" s="3" t="str">
        <f t="shared" si="3"/>
        <v>ΑΚΡΟΔΡΥΑ_ΚΑΡΠΟΙ_ΜΕ_ΚΕΛΥΦΟΣ</v>
      </c>
    </row>
    <row r="128" spans="1:12" s="3" customFormat="1" ht="15" customHeight="1" x14ac:dyDescent="0.25">
      <c r="A128" s="3" t="str">
        <f t="shared" si="2"/>
        <v>ΑΚΡΟΔΡΥΑ (ΚΑΡΠΟΙ ΜΕ ΚΕΛΥΦΟΣ)ΚΑΡΥΔΙΑ ΣΚΛΗΡΑ ΑΓ. ΟΡΟΥΣ</v>
      </c>
      <c r="B128" s="18" t="s">
        <v>256</v>
      </c>
      <c r="C128" s="19" t="s">
        <v>269</v>
      </c>
      <c r="D128" s="6">
        <v>6628.52</v>
      </c>
      <c r="E128" s="6">
        <v>7978.51</v>
      </c>
      <c r="F128" s="6" t="s">
        <v>14</v>
      </c>
      <c r="G128" s="8" t="s">
        <v>270</v>
      </c>
      <c r="H128" s="8" t="s">
        <v>27</v>
      </c>
      <c r="I128" s="9">
        <v>4373</v>
      </c>
      <c r="J128" s="20">
        <v>21</v>
      </c>
      <c r="K128" s="20">
        <v>21007</v>
      </c>
      <c r="L128" s="3" t="str">
        <f t="shared" si="3"/>
        <v>ΑΚΡΟΔΡΥΑ_ΚΑΡΠΟΙ_ΜΕ_ΚΕΛΥΦΟΣ</v>
      </c>
    </row>
    <row r="129" spans="1:12" s="3" customFormat="1" ht="15" customHeight="1" x14ac:dyDescent="0.25">
      <c r="A129" s="3" t="str">
        <f t="shared" si="2"/>
        <v>ΑΚΡΟΔΡΥΑ (ΚΑΡΠΟΙ ΜΕ ΚΕΛΥΦΟΣ)ΚΑΡΥΔΙΑ ΣΚΛΗΡ. ΧΟΝΔΡΟΚΑΡΥΔΑ</v>
      </c>
      <c r="B129" s="18" t="s">
        <v>256</v>
      </c>
      <c r="C129" s="19" t="s">
        <v>271</v>
      </c>
      <c r="D129" s="6">
        <v>6628.52</v>
      </c>
      <c r="E129" s="6">
        <v>7978.51</v>
      </c>
      <c r="F129" s="6" t="s">
        <v>14</v>
      </c>
      <c r="G129" s="8" t="s">
        <v>272</v>
      </c>
      <c r="H129" s="8" t="s">
        <v>27</v>
      </c>
      <c r="I129" s="9">
        <v>4374</v>
      </c>
      <c r="J129" s="20">
        <v>21</v>
      </c>
      <c r="K129" s="20">
        <v>21008</v>
      </c>
      <c r="L129" s="3" t="str">
        <f t="shared" si="3"/>
        <v>ΑΚΡΟΔΡΥΑ_ΚΑΡΠΟΙ_ΜΕ_ΚΕΛΥΦΟΣ</v>
      </c>
    </row>
    <row r="130" spans="1:12" s="3" customFormat="1" ht="15" customHeight="1" x14ac:dyDescent="0.25">
      <c r="A130" s="3" t="str">
        <f t="shared" si="2"/>
        <v>ΑΚΡΟΔΡΥΑ (ΚΑΡΠΟΙ ΜΕ ΚΕΛΥΦΟΣ)ΚΑΡΥΔΙΑ ΣΚΛΗΡ. ΚΑΡΠΕΝΗΣΙΟΥ</v>
      </c>
      <c r="B130" s="18" t="s">
        <v>256</v>
      </c>
      <c r="C130" s="19" t="s">
        <v>273</v>
      </c>
      <c r="D130" s="6">
        <v>6628.52</v>
      </c>
      <c r="E130" s="6">
        <v>7978.51</v>
      </c>
      <c r="F130" s="6" t="s">
        <v>14</v>
      </c>
      <c r="G130" s="8" t="s">
        <v>274</v>
      </c>
      <c r="H130" s="8" t="s">
        <v>27</v>
      </c>
      <c r="I130" s="9">
        <v>4375</v>
      </c>
      <c r="J130" s="20">
        <v>21</v>
      </c>
      <c r="K130" s="20">
        <v>21009</v>
      </c>
      <c r="L130" s="3" t="str">
        <f t="shared" si="3"/>
        <v>ΑΚΡΟΔΡΥΑ_ΚΑΡΠΟΙ_ΜΕ_ΚΕΛΥΦΟΣ</v>
      </c>
    </row>
    <row r="131" spans="1:12" s="3" customFormat="1" ht="15" customHeight="1" x14ac:dyDescent="0.25">
      <c r="A131" s="3" t="str">
        <f t="shared" ref="A131:A194" si="4">_xlfn.CONCAT(B131,C131)</f>
        <v>ΑΚΡΟΔΡΥΑ (ΚΑΡΠΟΙ ΜΕ ΚΕΛΥΦΟΣ)ΚΑΡΥΔΙΑ ΣΚΛΗΡ. ΑΥΓΟΥΛΑΤΑ</v>
      </c>
      <c r="B131" s="18" t="s">
        <v>256</v>
      </c>
      <c r="C131" s="19" t="s">
        <v>275</v>
      </c>
      <c r="D131" s="6">
        <v>6628.52</v>
      </c>
      <c r="E131" s="6">
        <v>7978.51</v>
      </c>
      <c r="F131" s="6" t="s">
        <v>14</v>
      </c>
      <c r="G131" s="8" t="s">
        <v>276</v>
      </c>
      <c r="H131" s="8" t="s">
        <v>27</v>
      </c>
      <c r="I131" s="9">
        <v>4376</v>
      </c>
      <c r="J131" s="20">
        <v>21</v>
      </c>
      <c r="K131" s="20">
        <v>21010</v>
      </c>
      <c r="L131" s="3" t="str">
        <f t="shared" ref="L131:L194" si="5">IFERROR(SUBSTITUTE(SUBSTITUTE(SUBSTITUTE(SUBSTITUTE(SUBSTITUTE(B131, "-", "_"), " ", "_"), ",", ""), "(", ""), ")", ""), B131)</f>
        <v>ΑΚΡΟΔΡΥΑ_ΚΑΡΠΟΙ_ΜΕ_ΚΕΛΥΦΟΣ</v>
      </c>
    </row>
    <row r="132" spans="1:12" s="3" customFormat="1" ht="15" customHeight="1" x14ac:dyDescent="0.25">
      <c r="A132" s="3" t="str">
        <f t="shared" si="4"/>
        <v>ΑΚΡΟΔΡΥΑ (ΚΑΡΠΟΙ ΜΕ ΚΕΛΥΦΟΣ)ΚΑΡΥΔΙΑ ΣΚΛΗΡ. ΛΟΙΠ. ΠΟΙΚΙΛ.</v>
      </c>
      <c r="B132" s="4" t="s">
        <v>256</v>
      </c>
      <c r="C132" s="5" t="s">
        <v>277</v>
      </c>
      <c r="D132" s="6">
        <v>6628.52</v>
      </c>
      <c r="E132" s="6">
        <v>7978.51</v>
      </c>
      <c r="F132" s="7" t="s">
        <v>14</v>
      </c>
      <c r="G132" s="8" t="s">
        <v>278</v>
      </c>
      <c r="H132" s="8" t="s">
        <v>16</v>
      </c>
      <c r="I132" s="9">
        <v>1552</v>
      </c>
      <c r="J132" s="10">
        <v>21</v>
      </c>
      <c r="K132" s="10">
        <v>21011</v>
      </c>
      <c r="L132" s="3" t="str">
        <f t="shared" si="5"/>
        <v>ΑΚΡΟΔΡΥΑ_ΚΑΡΠΟΙ_ΜΕ_ΚΕΛΥΦΟΣ</v>
      </c>
    </row>
    <row r="133" spans="1:12" s="3" customFormat="1" ht="15" customHeight="1" x14ac:dyDescent="0.25">
      <c r="A133" s="3" t="str">
        <f t="shared" si="4"/>
        <v>ΑΚΡΟΔΡΥΑ (ΚΑΡΠΟΙ ΜΕ ΚΕΛΥΦΟΣ)ΚΑΡΥΔΙΑ ΑΠΑΛ. ΤΣΙΠΟΚΑΡΥΔΑ</v>
      </c>
      <c r="B133" s="18" t="s">
        <v>256</v>
      </c>
      <c r="C133" s="19" t="s">
        <v>279</v>
      </c>
      <c r="D133" s="6">
        <v>6628.52</v>
      </c>
      <c r="E133" s="6">
        <v>7978.51</v>
      </c>
      <c r="F133" s="6" t="s">
        <v>14</v>
      </c>
      <c r="G133" s="8" t="s">
        <v>280</v>
      </c>
      <c r="H133" s="8" t="s">
        <v>27</v>
      </c>
      <c r="I133" s="9">
        <v>4377</v>
      </c>
      <c r="J133" s="20">
        <v>21</v>
      </c>
      <c r="K133" s="20">
        <v>21012</v>
      </c>
      <c r="L133" s="3" t="str">
        <f t="shared" si="5"/>
        <v>ΑΚΡΟΔΡΥΑ_ΚΑΡΠΟΙ_ΜΕ_ΚΕΛΥΦΟΣ</v>
      </c>
    </row>
    <row r="134" spans="1:12" s="3" customFormat="1" ht="15" customHeight="1" x14ac:dyDescent="0.25">
      <c r="A134" s="3" t="str">
        <f t="shared" si="4"/>
        <v>ΑΚΡΟΔΡΥΑ (ΚΑΡΠΟΙ ΜΕ ΚΕΛΥΦΟΣ)ΚΑΡΥΔΙΑ ΑΠΑΛ. ΒΑΣΙΛΙΚΑ</v>
      </c>
      <c r="B134" s="4" t="s">
        <v>256</v>
      </c>
      <c r="C134" s="5" t="s">
        <v>281</v>
      </c>
      <c r="D134" s="6">
        <v>6628.52</v>
      </c>
      <c r="E134" s="6">
        <v>7978.51</v>
      </c>
      <c r="F134" s="7" t="s">
        <v>14</v>
      </c>
      <c r="G134" s="8" t="s">
        <v>282</v>
      </c>
      <c r="H134" s="8" t="s">
        <v>16</v>
      </c>
      <c r="I134" s="9">
        <v>1551</v>
      </c>
      <c r="J134" s="10">
        <v>21</v>
      </c>
      <c r="K134" s="10">
        <v>21013</v>
      </c>
      <c r="L134" s="3" t="str">
        <f t="shared" si="5"/>
        <v>ΑΚΡΟΔΡΥΑ_ΚΑΡΠΟΙ_ΜΕ_ΚΕΛΥΦΟΣ</v>
      </c>
    </row>
    <row r="135" spans="1:12" s="3" customFormat="1" ht="15" customHeight="1" x14ac:dyDescent="0.25">
      <c r="A135" s="3" t="str">
        <f t="shared" si="4"/>
        <v>ΑΚΡΟΔΡΥΑ (ΚΑΡΠΟΙ ΜΕ ΚΕΛΥΦΟΣ)ΚΑΡΥΔΙΑ ΑΠΑΛ. ΛΟΙΠ. ΠΟΙΚΙΛ.</v>
      </c>
      <c r="B135" s="4" t="s">
        <v>256</v>
      </c>
      <c r="C135" s="5" t="s">
        <v>283</v>
      </c>
      <c r="D135" s="6">
        <v>6628.52</v>
      </c>
      <c r="E135" s="6">
        <v>7978.51</v>
      </c>
      <c r="F135" s="7" t="s">
        <v>14</v>
      </c>
      <c r="G135" s="8" t="s">
        <v>284</v>
      </c>
      <c r="H135" s="8" t="s">
        <v>16</v>
      </c>
      <c r="I135" s="9">
        <v>1550</v>
      </c>
      <c r="J135" s="10">
        <v>21</v>
      </c>
      <c r="K135" s="10">
        <v>21014</v>
      </c>
      <c r="L135" s="3" t="str">
        <f t="shared" si="5"/>
        <v>ΑΚΡΟΔΡΥΑ_ΚΑΡΠΟΙ_ΜΕ_ΚΕΛΥΦΟΣ</v>
      </c>
    </row>
    <row r="136" spans="1:12" s="3" customFormat="1" ht="15" customHeight="1" x14ac:dyDescent="0.25">
      <c r="A136" s="3" t="str">
        <f t="shared" si="4"/>
        <v>ΑΚΡΟΔΡΥΑ (ΚΑΡΠΟΙ ΜΕ ΚΕΛΥΦΟΣ)ΚΑΡΥΔΙΑ ΦΡΑΝΚΕΤ</v>
      </c>
      <c r="B136" s="4" t="s">
        <v>256</v>
      </c>
      <c r="C136" s="5" t="s">
        <v>285</v>
      </c>
      <c r="D136" s="6">
        <v>6628.52</v>
      </c>
      <c r="E136" s="6">
        <v>7978.51</v>
      </c>
      <c r="F136" s="7" t="s">
        <v>14</v>
      </c>
      <c r="G136" s="8" t="s">
        <v>286</v>
      </c>
      <c r="H136" s="8" t="s">
        <v>16</v>
      </c>
      <c r="I136" s="9">
        <v>1549</v>
      </c>
      <c r="J136" s="10">
        <v>21</v>
      </c>
      <c r="K136" s="10">
        <v>21015</v>
      </c>
      <c r="L136" s="3" t="str">
        <f t="shared" si="5"/>
        <v>ΑΚΡΟΔΡΥΑ_ΚΑΡΠΟΙ_ΜΕ_ΚΕΛΥΦΟΣ</v>
      </c>
    </row>
    <row r="137" spans="1:12" s="3" customFormat="1" ht="15" customHeight="1" x14ac:dyDescent="0.25">
      <c r="A137" s="3" t="str">
        <f t="shared" si="4"/>
        <v>ΑΚΡΟΔΡΥΑ (ΚΑΡΠΟΙ ΜΕ ΚΕΛΥΦΟΣ)ΚΑΡΥΔΙΑ ΚΑΛΙΦΟΡΝΙΑΣ Κ11,Κ12,ΑΜΕΡΙΚΑΝ.ΠΟΙΚΙΛΙΕΣ</v>
      </c>
      <c r="B137" s="4" t="s">
        <v>256</v>
      </c>
      <c r="C137" s="5" t="s">
        <v>287</v>
      </c>
      <c r="D137" s="6">
        <v>6628.52</v>
      </c>
      <c r="E137" s="6">
        <v>7978.51</v>
      </c>
      <c r="F137" s="7" t="s">
        <v>14</v>
      </c>
      <c r="G137" s="8" t="s">
        <v>288</v>
      </c>
      <c r="H137" s="8" t="s">
        <v>16</v>
      </c>
      <c r="I137" s="9">
        <v>1548</v>
      </c>
      <c r="J137" s="10">
        <v>21</v>
      </c>
      <c r="K137" s="10">
        <v>21016</v>
      </c>
      <c r="L137" s="3" t="str">
        <f t="shared" si="5"/>
        <v>ΑΚΡΟΔΡΥΑ_ΚΑΡΠΟΙ_ΜΕ_ΚΕΛΥΦΟΣ</v>
      </c>
    </row>
    <row r="138" spans="1:12" s="3" customFormat="1" ht="15" customHeight="1" x14ac:dyDescent="0.25">
      <c r="A138" s="3" t="str">
        <f t="shared" si="4"/>
        <v>ΑΚΡΟΔΡΥΑ (ΚΑΡΠΟΙ ΜΕ ΚΕΛΥΦΟΣ)ΛΕΠΤΟΚΑΡΥΑ ΜΑΚΡΟΚΑΡΠΑ</v>
      </c>
      <c r="B138" s="18" t="s">
        <v>256</v>
      </c>
      <c r="C138" s="19" t="s">
        <v>289</v>
      </c>
      <c r="D138" s="6">
        <v>6628.52</v>
      </c>
      <c r="E138" s="6">
        <v>7978.51</v>
      </c>
      <c r="F138" s="6" t="s">
        <v>14</v>
      </c>
      <c r="G138" s="8" t="s">
        <v>290</v>
      </c>
      <c r="H138" s="8" t="s">
        <v>27</v>
      </c>
      <c r="I138" s="9">
        <v>4378</v>
      </c>
      <c r="J138" s="20">
        <v>21</v>
      </c>
      <c r="K138" s="20">
        <v>21017</v>
      </c>
      <c r="L138" s="3" t="str">
        <f t="shared" si="5"/>
        <v>ΑΚΡΟΔΡΥΑ_ΚΑΡΠΟΙ_ΜΕ_ΚΕΛΥΦΟΣ</v>
      </c>
    </row>
    <row r="139" spans="1:12" s="3" customFormat="1" ht="15" customHeight="1" x14ac:dyDescent="0.25">
      <c r="A139" s="3" t="str">
        <f t="shared" si="4"/>
        <v>ΑΚΡΟΔΡΥΑ (ΚΑΡΠΟΙ ΜΕ ΚΕΛΥΦΟΣ)ΛΕΠΤΟΚΑΡΥΑ ΣΤΡΟΓΓΥΛΟΚΑΡΠΑ</v>
      </c>
      <c r="B139" s="18" t="s">
        <v>256</v>
      </c>
      <c r="C139" s="19" t="s">
        <v>291</v>
      </c>
      <c r="D139" s="6">
        <v>6628.52</v>
      </c>
      <c r="E139" s="6">
        <v>7978.51</v>
      </c>
      <c r="F139" s="6" t="s">
        <v>14</v>
      </c>
      <c r="G139" s="8" t="s">
        <v>292</v>
      </c>
      <c r="H139" s="8" t="s">
        <v>27</v>
      </c>
      <c r="I139" s="9">
        <v>4379</v>
      </c>
      <c r="J139" s="20">
        <v>21</v>
      </c>
      <c r="K139" s="20">
        <v>21018</v>
      </c>
      <c r="L139" s="3" t="str">
        <f t="shared" si="5"/>
        <v>ΑΚΡΟΔΡΥΑ_ΚΑΡΠΟΙ_ΜΕ_ΚΕΛΥΦΟΣ</v>
      </c>
    </row>
    <row r="140" spans="1:12" s="3" customFormat="1" ht="15" customHeight="1" x14ac:dyDescent="0.25">
      <c r="A140" s="3" t="str">
        <f t="shared" si="4"/>
        <v>ΑΚΡΟΔΡΥΑ (ΚΑΡΠΟΙ ΜΕ ΚΕΛΥΦΟΣ)ΑΜΥΓΔΑΛΑ AI</v>
      </c>
      <c r="B140" s="4" t="s">
        <v>256</v>
      </c>
      <c r="C140" s="5" t="s">
        <v>293</v>
      </c>
      <c r="D140" s="6">
        <v>6628.52</v>
      </c>
      <c r="E140" s="6">
        <v>7978.51</v>
      </c>
      <c r="F140" s="7" t="s">
        <v>14</v>
      </c>
      <c r="G140" s="8" t="s">
        <v>294</v>
      </c>
      <c r="H140" s="8" t="s">
        <v>16</v>
      </c>
      <c r="I140" s="9">
        <v>1547</v>
      </c>
      <c r="J140" s="10">
        <v>21</v>
      </c>
      <c r="K140" s="10">
        <v>21019</v>
      </c>
      <c r="L140" s="3" t="str">
        <f t="shared" si="5"/>
        <v>ΑΚΡΟΔΡΥΑ_ΚΑΡΠΟΙ_ΜΕ_ΚΕΛΥΦΟΣ</v>
      </c>
    </row>
    <row r="141" spans="1:12" s="3" customFormat="1" ht="15" customHeight="1" x14ac:dyDescent="0.25">
      <c r="A141" s="3" t="str">
        <f t="shared" si="4"/>
        <v>ΑΚΡΟΔΡΥΑ (ΚΑΡΠΟΙ ΜΕ ΚΕΛΥΦΟΣ)ΑΜΥΓΔΑΛΑ FERRAGNES</v>
      </c>
      <c r="B141" s="4" t="s">
        <v>256</v>
      </c>
      <c r="C141" s="5" t="s">
        <v>295</v>
      </c>
      <c r="D141" s="6">
        <v>6628.52</v>
      </c>
      <c r="E141" s="6">
        <v>7978.51</v>
      </c>
      <c r="F141" s="7" t="s">
        <v>14</v>
      </c>
      <c r="G141" s="8" t="s">
        <v>296</v>
      </c>
      <c r="H141" s="8" t="s">
        <v>16</v>
      </c>
      <c r="I141" s="9">
        <v>1546</v>
      </c>
      <c r="J141" s="10">
        <v>21</v>
      </c>
      <c r="K141" s="10">
        <v>21020</v>
      </c>
      <c r="L141" s="3" t="str">
        <f t="shared" si="5"/>
        <v>ΑΚΡΟΔΡΥΑ_ΚΑΡΠΟΙ_ΜΕ_ΚΕΛΥΦΟΣ</v>
      </c>
    </row>
    <row r="142" spans="1:12" s="3" customFormat="1" ht="15" customHeight="1" x14ac:dyDescent="0.25">
      <c r="A142" s="3" t="str">
        <f t="shared" si="4"/>
        <v>ΑΚΡΟΔΡΥΑ (ΚΑΡΠΟΙ ΜΕ ΚΕΛΥΦΟΣ)ΑΜΥΓΔΑΛΑ MARCONA</v>
      </c>
      <c r="B142" s="4" t="s">
        <v>256</v>
      </c>
      <c r="C142" s="5" t="s">
        <v>297</v>
      </c>
      <c r="D142" s="6">
        <v>6628.52</v>
      </c>
      <c r="E142" s="6">
        <v>7978.51</v>
      </c>
      <c r="F142" s="7" t="s">
        <v>14</v>
      </c>
      <c r="G142" s="8" t="s">
        <v>298</v>
      </c>
      <c r="H142" s="8" t="s">
        <v>16</v>
      </c>
      <c r="I142" s="9">
        <v>1561</v>
      </c>
      <c r="J142" s="10">
        <v>21</v>
      </c>
      <c r="K142" s="10">
        <v>21021</v>
      </c>
      <c r="L142" s="3" t="str">
        <f t="shared" si="5"/>
        <v>ΑΚΡΟΔΡΥΑ_ΚΑΡΠΟΙ_ΜΕ_ΚΕΛΥΦΟΣ</v>
      </c>
    </row>
    <row r="143" spans="1:12" s="3" customFormat="1" ht="15" customHeight="1" x14ac:dyDescent="0.25">
      <c r="A143" s="3" t="str">
        <f t="shared" si="4"/>
        <v>ΑΚΡΟΔΡΥΑ (ΚΑΡΠΟΙ ΜΕ ΚΕΛΥΦΟΣ)ΑΜΥΓΔΑΛΑ RETSOU</v>
      </c>
      <c r="B143" s="4" t="s">
        <v>256</v>
      </c>
      <c r="C143" s="5" t="s">
        <v>299</v>
      </c>
      <c r="D143" s="6">
        <v>6628.52</v>
      </c>
      <c r="E143" s="6">
        <v>7978.51</v>
      </c>
      <c r="F143" s="7" t="s">
        <v>14</v>
      </c>
      <c r="G143" s="8" t="s">
        <v>300</v>
      </c>
      <c r="H143" s="8" t="s">
        <v>16</v>
      </c>
      <c r="I143" s="9">
        <v>1555</v>
      </c>
      <c r="J143" s="10">
        <v>21</v>
      </c>
      <c r="K143" s="10">
        <v>21022</v>
      </c>
      <c r="L143" s="3" t="str">
        <f t="shared" si="5"/>
        <v>ΑΚΡΟΔΡΥΑ_ΚΑΡΠΟΙ_ΜΕ_ΚΕΛΥΦΟΣ</v>
      </c>
    </row>
    <row r="144" spans="1:12" s="3" customFormat="1" ht="15" customHeight="1" x14ac:dyDescent="0.25">
      <c r="A144" s="3" t="str">
        <f t="shared" si="4"/>
        <v>ΑΚΡΟΔΡΥΑ (ΚΑΡΠΟΙ ΜΕ ΚΕΛΥΦΟΣ)ΑΜΥΓΔΑΛΑ TEXAS</v>
      </c>
      <c r="B144" s="4" t="s">
        <v>256</v>
      </c>
      <c r="C144" s="5" t="s">
        <v>301</v>
      </c>
      <c r="D144" s="6">
        <v>6628.52</v>
      </c>
      <c r="E144" s="6">
        <v>7978.51</v>
      </c>
      <c r="F144" s="7" t="s">
        <v>14</v>
      </c>
      <c r="G144" s="8" t="s">
        <v>302</v>
      </c>
      <c r="H144" s="8" t="s">
        <v>16</v>
      </c>
      <c r="I144" s="9">
        <v>1544</v>
      </c>
      <c r="J144" s="10">
        <v>21</v>
      </c>
      <c r="K144" s="10">
        <v>21023</v>
      </c>
      <c r="L144" s="3" t="str">
        <f t="shared" si="5"/>
        <v>ΑΚΡΟΔΡΥΑ_ΚΑΡΠΟΙ_ΜΕ_ΚΕΛΥΦΟΣ</v>
      </c>
    </row>
    <row r="145" spans="1:12" s="3" customFormat="1" ht="15" customHeight="1" x14ac:dyDescent="0.25">
      <c r="A145" s="3" t="str">
        <f t="shared" si="4"/>
        <v>ΑΚΡΟΔΡΥΑ (ΚΑΡΠΟΙ ΜΕ ΚΕΛΥΦΟΣ)ΑΜΥΓΔΑΛΑ TROUTO</v>
      </c>
      <c r="B145" s="4" t="s">
        <v>256</v>
      </c>
      <c r="C145" s="5" t="s">
        <v>303</v>
      </c>
      <c r="D145" s="6">
        <v>6628.52</v>
      </c>
      <c r="E145" s="6">
        <v>7978.51</v>
      </c>
      <c r="F145" s="7" t="s">
        <v>14</v>
      </c>
      <c r="G145" s="8" t="s">
        <v>304</v>
      </c>
      <c r="H145" s="8" t="s">
        <v>16</v>
      </c>
      <c r="I145" s="9">
        <v>1557</v>
      </c>
      <c r="J145" s="10">
        <v>21</v>
      </c>
      <c r="K145" s="10">
        <v>21024</v>
      </c>
      <c r="L145" s="3" t="str">
        <f t="shared" si="5"/>
        <v>ΑΚΡΟΔΡΥΑ_ΚΑΡΠΟΙ_ΜΕ_ΚΕΛΥΦΟΣ</v>
      </c>
    </row>
    <row r="146" spans="1:12" s="3" customFormat="1" ht="15" customHeight="1" x14ac:dyDescent="0.25">
      <c r="A146" s="3" t="str">
        <f t="shared" si="4"/>
        <v>ΑΚΡΟΔΡΥΑ (ΚΑΡΠΟΙ ΜΕ ΚΕΛΥΦΟΣ)ΚΑΡΥΔΙΑ AMIGO</v>
      </c>
      <c r="B146" s="4" t="s">
        <v>256</v>
      </c>
      <c r="C146" s="5" t="s">
        <v>305</v>
      </c>
      <c r="D146" s="6">
        <v>6628.52</v>
      </c>
      <c r="E146" s="6">
        <v>7978.51</v>
      </c>
      <c r="F146" s="7" t="s">
        <v>14</v>
      </c>
      <c r="G146" s="8" t="s">
        <v>306</v>
      </c>
      <c r="H146" s="8" t="s">
        <v>16</v>
      </c>
      <c r="I146" s="9">
        <v>1558</v>
      </c>
      <c r="J146" s="10">
        <v>21</v>
      </c>
      <c r="K146" s="10">
        <v>21025</v>
      </c>
      <c r="L146" s="3" t="str">
        <f t="shared" si="5"/>
        <v>ΑΚΡΟΔΡΥΑ_ΚΑΡΠΟΙ_ΜΕ_ΚΕΛΥΦΟΣ</v>
      </c>
    </row>
    <row r="147" spans="1:12" s="3" customFormat="1" ht="15" customHeight="1" x14ac:dyDescent="0.25">
      <c r="A147" s="3" t="str">
        <f t="shared" si="4"/>
        <v>ΑΚΡΟΔΡΥΑ (ΚΑΡΠΟΙ ΜΕ ΚΕΛΥΦΟΣ)ΚΑΡΥΔΙΑ CHANDLER</v>
      </c>
      <c r="B147" s="4" t="s">
        <v>256</v>
      </c>
      <c r="C147" s="5" t="s">
        <v>307</v>
      </c>
      <c r="D147" s="6">
        <v>6628.52</v>
      </c>
      <c r="E147" s="6">
        <v>7978.51</v>
      </c>
      <c r="F147" s="7" t="s">
        <v>14</v>
      </c>
      <c r="G147" s="8" t="s">
        <v>308</v>
      </c>
      <c r="H147" s="8" t="s">
        <v>16</v>
      </c>
      <c r="I147" s="9">
        <v>1559</v>
      </c>
      <c r="J147" s="10">
        <v>21</v>
      </c>
      <c r="K147" s="10">
        <v>21026</v>
      </c>
      <c r="L147" s="3" t="str">
        <f t="shared" si="5"/>
        <v>ΑΚΡΟΔΡΥΑ_ΚΑΡΠΟΙ_ΜΕ_ΚΕΛΥΦΟΣ</v>
      </c>
    </row>
    <row r="148" spans="1:12" s="3" customFormat="1" ht="15" customHeight="1" x14ac:dyDescent="0.25">
      <c r="A148" s="3" t="str">
        <f t="shared" si="4"/>
        <v>ΑΚΡΟΔΡΥΑ (ΚΑΡΠΟΙ ΜΕ ΚΕΛΥΦΟΣ)ΚΑΡΥΔΙΑ CHICO</v>
      </c>
      <c r="B148" s="4" t="s">
        <v>256</v>
      </c>
      <c r="C148" s="5" t="s">
        <v>309</v>
      </c>
      <c r="D148" s="6">
        <v>6628.52</v>
      </c>
      <c r="E148" s="6">
        <v>7978.51</v>
      </c>
      <c r="F148" s="7" t="s">
        <v>14</v>
      </c>
      <c r="G148" s="8" t="s">
        <v>310</v>
      </c>
      <c r="H148" s="8" t="s">
        <v>16</v>
      </c>
      <c r="I148" s="9">
        <v>1560</v>
      </c>
      <c r="J148" s="10">
        <v>21</v>
      </c>
      <c r="K148" s="10">
        <v>21027</v>
      </c>
      <c r="L148" s="3" t="str">
        <f t="shared" si="5"/>
        <v>ΑΚΡΟΔΡΥΑ_ΚΑΡΠΟΙ_ΜΕ_ΚΕΛΥΦΟΣ</v>
      </c>
    </row>
    <row r="149" spans="1:12" s="3" customFormat="1" ht="15" customHeight="1" x14ac:dyDescent="0.25">
      <c r="A149" s="3" t="str">
        <f t="shared" si="4"/>
        <v>ΑΚΡΟΔΡΥΑ (ΚΑΡΠΟΙ ΜΕ ΚΕΛΥΦΟΣ)ΚΑΡΥΔΙΑ GUSTINE (UC52-61)</v>
      </c>
      <c r="B149" s="4" t="s">
        <v>256</v>
      </c>
      <c r="C149" s="5" t="s">
        <v>311</v>
      </c>
      <c r="D149" s="6">
        <v>6628.52</v>
      </c>
      <c r="E149" s="6">
        <v>7978.51</v>
      </c>
      <c r="F149" s="7" t="s">
        <v>14</v>
      </c>
      <c r="G149" s="8" t="s">
        <v>312</v>
      </c>
      <c r="H149" s="8" t="s">
        <v>16</v>
      </c>
      <c r="I149" s="9">
        <v>1535</v>
      </c>
      <c r="J149" s="10">
        <v>21</v>
      </c>
      <c r="K149" s="10">
        <v>21028</v>
      </c>
      <c r="L149" s="3" t="str">
        <f t="shared" si="5"/>
        <v>ΑΚΡΟΔΡΥΑ_ΚΑΡΠΟΙ_ΜΕ_ΚΕΛΥΦΟΣ</v>
      </c>
    </row>
    <row r="150" spans="1:12" s="3" customFormat="1" ht="15" customHeight="1" x14ac:dyDescent="0.25">
      <c r="A150" s="3" t="str">
        <f t="shared" si="4"/>
        <v>ΑΚΡΟΔΡΥΑ (ΚΑΡΠΟΙ ΜΕ ΚΕΛΥΦΟΣ)ΚΑΡΥΔΙΑ HARTLEY</v>
      </c>
      <c r="B150" s="4" t="s">
        <v>256</v>
      </c>
      <c r="C150" s="5" t="s">
        <v>313</v>
      </c>
      <c r="D150" s="6">
        <v>6628.52</v>
      </c>
      <c r="E150" s="6">
        <v>7978.51</v>
      </c>
      <c r="F150" s="7" t="s">
        <v>14</v>
      </c>
      <c r="G150" s="8" t="s">
        <v>314</v>
      </c>
      <c r="H150" s="8" t="s">
        <v>16</v>
      </c>
      <c r="I150" s="9">
        <v>1562</v>
      </c>
      <c r="J150" s="10">
        <v>21</v>
      </c>
      <c r="K150" s="10">
        <v>21029</v>
      </c>
      <c r="L150" s="3" t="str">
        <f t="shared" si="5"/>
        <v>ΑΚΡΟΔΡΥΑ_ΚΑΡΠΟΙ_ΜΕ_ΚΕΛΥΦΟΣ</v>
      </c>
    </row>
    <row r="151" spans="1:12" s="3" customFormat="1" ht="15" customHeight="1" x14ac:dyDescent="0.25">
      <c r="A151" s="3" t="str">
        <f t="shared" si="4"/>
        <v>ΑΚΡΟΔΡΥΑ (ΚΑΡΠΟΙ ΜΕ ΚΕΛΥΦΟΣ)ΚΑΡΥΔΙΑ MEYLANNAISE</v>
      </c>
      <c r="B151" s="4" t="s">
        <v>256</v>
      </c>
      <c r="C151" s="5" t="s">
        <v>315</v>
      </c>
      <c r="D151" s="6">
        <v>6628.52</v>
      </c>
      <c r="E151" s="6">
        <v>7978.51</v>
      </c>
      <c r="F151" s="7" t="s">
        <v>14</v>
      </c>
      <c r="G151" s="8" t="s">
        <v>316</v>
      </c>
      <c r="H151" s="8" t="s">
        <v>16</v>
      </c>
      <c r="I151" s="9">
        <v>1554</v>
      </c>
      <c r="J151" s="10">
        <v>21</v>
      </c>
      <c r="K151" s="10">
        <v>21030</v>
      </c>
      <c r="L151" s="3" t="str">
        <f t="shared" si="5"/>
        <v>ΑΚΡΟΔΡΥΑ_ΚΑΡΠΟΙ_ΜΕ_ΚΕΛΥΦΟΣ</v>
      </c>
    </row>
    <row r="152" spans="1:12" s="3" customFormat="1" ht="15" customHeight="1" x14ac:dyDescent="0.25">
      <c r="A152" s="3" t="str">
        <f t="shared" si="4"/>
        <v>ΑΚΡΟΔΡΥΑ (ΚΑΡΠΟΙ ΜΕ ΚΕΛΥΦΟΣ)ΚΑΡΥΔΙΑ PARISIENNE</v>
      </c>
      <c r="B152" s="4" t="s">
        <v>256</v>
      </c>
      <c r="C152" s="5" t="s">
        <v>317</v>
      </c>
      <c r="D152" s="6">
        <v>6628.52</v>
      </c>
      <c r="E152" s="6">
        <v>7978.51</v>
      </c>
      <c r="F152" s="7" t="s">
        <v>14</v>
      </c>
      <c r="G152" s="8" t="s">
        <v>318</v>
      </c>
      <c r="H152" s="8" t="s">
        <v>16</v>
      </c>
      <c r="I152" s="9">
        <v>1563</v>
      </c>
      <c r="J152" s="10">
        <v>21</v>
      </c>
      <c r="K152" s="10">
        <v>21031</v>
      </c>
      <c r="L152" s="3" t="str">
        <f t="shared" si="5"/>
        <v>ΑΚΡΟΔΡΥΑ_ΚΑΡΠΟΙ_ΜΕ_ΚΕΛΥΦΟΣ</v>
      </c>
    </row>
    <row r="153" spans="1:12" s="3" customFormat="1" ht="15" customHeight="1" x14ac:dyDescent="0.25">
      <c r="A153" s="3" t="str">
        <f t="shared" si="4"/>
        <v>ΑΚΡΟΔΡΥΑ (ΚΑΡΠΟΙ ΜΕ ΚΕΛΥΦΟΣ)ΚΑΡΥΔΙΑ PEDRO (UC53-113)</v>
      </c>
      <c r="B153" s="4" t="s">
        <v>256</v>
      </c>
      <c r="C153" s="5" t="s">
        <v>319</v>
      </c>
      <c r="D153" s="6">
        <v>6628.52</v>
      </c>
      <c r="E153" s="6">
        <v>7978.51</v>
      </c>
      <c r="F153" s="7" t="s">
        <v>14</v>
      </c>
      <c r="G153" s="8" t="s">
        <v>320</v>
      </c>
      <c r="H153" s="8" t="s">
        <v>16</v>
      </c>
      <c r="I153" s="9">
        <v>1564</v>
      </c>
      <c r="J153" s="10">
        <v>21</v>
      </c>
      <c r="K153" s="10">
        <v>21032</v>
      </c>
      <c r="L153" s="3" t="str">
        <f t="shared" si="5"/>
        <v>ΑΚΡΟΔΡΥΑ_ΚΑΡΠΟΙ_ΜΕ_ΚΕΛΥΦΟΣ</v>
      </c>
    </row>
    <row r="154" spans="1:12" s="3" customFormat="1" ht="15" customHeight="1" x14ac:dyDescent="0.25">
      <c r="A154" s="3" t="str">
        <f t="shared" si="4"/>
        <v>ΑΚΡΟΔΡΥΑ (ΚΑΡΠΟΙ ΜΕ ΚΕΛΥΦΟΣ)ΚΑΡΥΔΙΑ RONDE DE MONTIGNAC</v>
      </c>
      <c r="B154" s="4" t="s">
        <v>256</v>
      </c>
      <c r="C154" s="5" t="s">
        <v>321</v>
      </c>
      <c r="D154" s="6">
        <v>6628.52</v>
      </c>
      <c r="E154" s="6">
        <v>7978.51</v>
      </c>
      <c r="F154" s="7" t="s">
        <v>14</v>
      </c>
      <c r="G154" s="8" t="s">
        <v>322</v>
      </c>
      <c r="H154" s="8" t="s">
        <v>16</v>
      </c>
      <c r="I154" s="9">
        <v>1565</v>
      </c>
      <c r="J154" s="10">
        <v>21</v>
      </c>
      <c r="K154" s="10">
        <v>21033</v>
      </c>
      <c r="L154" s="3" t="str">
        <f t="shared" si="5"/>
        <v>ΑΚΡΟΔΡΥΑ_ΚΑΡΠΟΙ_ΜΕ_ΚΕΛΥΦΟΣ</v>
      </c>
    </row>
    <row r="155" spans="1:12" s="3" customFormat="1" ht="15" customHeight="1" x14ac:dyDescent="0.25">
      <c r="A155" s="3" t="str">
        <f t="shared" si="4"/>
        <v>ΑΚΡΟΔΡΥΑ (ΚΑΡΠΟΙ ΜΕ ΚΕΛΥΦΟΣ)ΚΑΡΥΔΙΑ SERR</v>
      </c>
      <c r="B155" s="4" t="s">
        <v>256</v>
      </c>
      <c r="C155" s="5" t="s">
        <v>323</v>
      </c>
      <c r="D155" s="6">
        <v>6628.52</v>
      </c>
      <c r="E155" s="6">
        <v>7978.51</v>
      </c>
      <c r="F155" s="7" t="s">
        <v>14</v>
      </c>
      <c r="G155" s="8" t="s">
        <v>324</v>
      </c>
      <c r="H155" s="8" t="s">
        <v>16</v>
      </c>
      <c r="I155" s="9">
        <v>1566</v>
      </c>
      <c r="J155" s="10">
        <v>21</v>
      </c>
      <c r="K155" s="10">
        <v>21034</v>
      </c>
      <c r="L155" s="3" t="str">
        <f t="shared" si="5"/>
        <v>ΑΚΡΟΔΡΥΑ_ΚΑΡΠΟΙ_ΜΕ_ΚΕΛΥΦΟΣ</v>
      </c>
    </row>
    <row r="156" spans="1:12" s="3" customFormat="1" ht="15" customHeight="1" x14ac:dyDescent="0.25">
      <c r="A156" s="3" t="str">
        <f t="shared" si="4"/>
        <v>ΑΚΡΟΔΡΥΑ (ΚΑΡΠΟΙ ΜΕ ΚΕΛΥΦΟΣ)ΚΑΡΥΔΙΑ TECHAMA</v>
      </c>
      <c r="B156" s="4" t="s">
        <v>256</v>
      </c>
      <c r="C156" s="5" t="s">
        <v>325</v>
      </c>
      <c r="D156" s="6">
        <v>6628.52</v>
      </c>
      <c r="E156" s="6">
        <v>7978.51</v>
      </c>
      <c r="F156" s="7" t="s">
        <v>14</v>
      </c>
      <c r="G156" s="8" t="s">
        <v>326</v>
      </c>
      <c r="H156" s="8" t="s">
        <v>16</v>
      </c>
      <c r="I156" s="9">
        <v>1556</v>
      </c>
      <c r="J156" s="10">
        <v>21</v>
      </c>
      <c r="K156" s="10">
        <v>21035</v>
      </c>
      <c r="L156" s="3" t="str">
        <f t="shared" si="5"/>
        <v>ΑΚΡΟΔΡΥΑ_ΚΑΡΠΟΙ_ΜΕ_ΚΕΛΥΦΟΣ</v>
      </c>
    </row>
    <row r="157" spans="1:12" s="3" customFormat="1" ht="15" customHeight="1" x14ac:dyDescent="0.25">
      <c r="A157" s="3" t="str">
        <f t="shared" si="4"/>
        <v>ΑΚΡΟΔΡΥΑ (ΚΑΡΠΟΙ ΜΕ ΚΕΛΥΦΟΣ)ΚΑΡΥΔΙΑ VINA</v>
      </c>
      <c r="B157" s="4" t="s">
        <v>256</v>
      </c>
      <c r="C157" s="5" t="s">
        <v>327</v>
      </c>
      <c r="D157" s="6">
        <v>6628.52</v>
      </c>
      <c r="E157" s="6">
        <v>7978.51</v>
      </c>
      <c r="F157" s="7" t="s">
        <v>14</v>
      </c>
      <c r="G157" s="8" t="s">
        <v>328</v>
      </c>
      <c r="H157" s="8" t="s">
        <v>16</v>
      </c>
      <c r="I157" s="9">
        <v>1533</v>
      </c>
      <c r="J157" s="10">
        <v>21</v>
      </c>
      <c r="K157" s="10">
        <v>21036</v>
      </c>
      <c r="L157" s="3" t="str">
        <f t="shared" si="5"/>
        <v>ΑΚΡΟΔΡΥΑ_ΚΑΡΠΟΙ_ΜΕ_ΚΕΛΥΦΟΣ</v>
      </c>
    </row>
    <row r="158" spans="1:12" s="3" customFormat="1" ht="15" customHeight="1" x14ac:dyDescent="0.25">
      <c r="A158" s="3" t="str">
        <f t="shared" si="4"/>
        <v>ΑΚΡΟΔΡΥΑ (ΚΑΡΠΟΙ ΜΕ ΚΕΛΥΦΟΣ)ΦΟΥΝΤΟΥΚΙΑ ENNIS</v>
      </c>
      <c r="B158" s="4" t="s">
        <v>256</v>
      </c>
      <c r="C158" s="5" t="s">
        <v>329</v>
      </c>
      <c r="D158" s="6">
        <v>6628.52</v>
      </c>
      <c r="E158" s="6">
        <v>7978.51</v>
      </c>
      <c r="F158" s="7" t="s">
        <v>14</v>
      </c>
      <c r="G158" s="8" t="s">
        <v>330</v>
      </c>
      <c r="H158" s="8" t="s">
        <v>16</v>
      </c>
      <c r="I158" s="9">
        <v>1545</v>
      </c>
      <c r="J158" s="10">
        <v>21</v>
      </c>
      <c r="K158" s="10">
        <v>21037</v>
      </c>
      <c r="L158" s="3" t="str">
        <f t="shared" si="5"/>
        <v>ΑΚΡΟΔΡΥΑ_ΚΑΡΠΟΙ_ΜΕ_ΚΕΛΥΦΟΣ</v>
      </c>
    </row>
    <row r="159" spans="1:12" s="3" customFormat="1" ht="15" customHeight="1" x14ac:dyDescent="0.25">
      <c r="A159" s="3" t="str">
        <f t="shared" si="4"/>
        <v>ΑΚΡΟΔΡΥΑ (ΚΑΡΠΟΙ ΜΕ ΚΕΛΥΦΟΣ)ΦΟΥΝΤΟΥΚΙΑ EXTRA GIAGLI</v>
      </c>
      <c r="B159" s="4" t="s">
        <v>256</v>
      </c>
      <c r="C159" s="5" t="s">
        <v>331</v>
      </c>
      <c r="D159" s="6">
        <v>6628.52</v>
      </c>
      <c r="E159" s="6">
        <v>7978.51</v>
      </c>
      <c r="F159" s="7" t="s">
        <v>14</v>
      </c>
      <c r="G159" s="8" t="s">
        <v>332</v>
      </c>
      <c r="H159" s="8" t="s">
        <v>16</v>
      </c>
      <c r="I159" s="9">
        <v>1529</v>
      </c>
      <c r="J159" s="10">
        <v>21</v>
      </c>
      <c r="K159" s="10">
        <v>21038</v>
      </c>
      <c r="L159" s="3" t="str">
        <f t="shared" si="5"/>
        <v>ΑΚΡΟΔΡΥΑ_ΚΑΡΠΟΙ_ΜΕ_ΚΕΛΥΦΟΣ</v>
      </c>
    </row>
    <row r="160" spans="1:12" s="3" customFormat="1" ht="15" customHeight="1" x14ac:dyDescent="0.25">
      <c r="A160" s="3" t="str">
        <f t="shared" si="4"/>
        <v>ΑΚΡΟΔΡΥΑ (ΚΑΡΠΟΙ ΜΕ ΚΕΛΥΦΟΣ)ΦΟΥΝΤΟΥΚΙΑ NEGKRETTA</v>
      </c>
      <c r="B160" s="4" t="s">
        <v>256</v>
      </c>
      <c r="C160" s="5" t="s">
        <v>333</v>
      </c>
      <c r="D160" s="6">
        <v>6628.52</v>
      </c>
      <c r="E160" s="6">
        <v>7978.51</v>
      </c>
      <c r="F160" s="7" t="s">
        <v>14</v>
      </c>
      <c r="G160" s="8" t="s">
        <v>334</v>
      </c>
      <c r="H160" s="8" t="s">
        <v>16</v>
      </c>
      <c r="I160" s="9">
        <v>1573</v>
      </c>
      <c r="J160" s="10">
        <v>21</v>
      </c>
      <c r="K160" s="10">
        <v>21039</v>
      </c>
      <c r="L160" s="3" t="str">
        <f t="shared" si="5"/>
        <v>ΑΚΡΟΔΡΥΑ_ΚΑΡΠΟΙ_ΜΕ_ΚΕΛΥΦΟΣ</v>
      </c>
    </row>
    <row r="161" spans="1:12" s="3" customFormat="1" ht="15" customHeight="1" x14ac:dyDescent="0.25">
      <c r="A161" s="3" t="str">
        <f t="shared" si="4"/>
        <v>ΑΚΡΟΔΡΥΑ (ΚΑΡΠΟΙ ΜΕ ΚΕΛΥΦΟΣ)ΦΟΥΝΤΟΥΚΙΑ TONDA ROMANA</v>
      </c>
      <c r="B161" s="4" t="s">
        <v>256</v>
      </c>
      <c r="C161" s="5" t="s">
        <v>335</v>
      </c>
      <c r="D161" s="6">
        <v>6628.52</v>
      </c>
      <c r="E161" s="6">
        <v>7978.51</v>
      </c>
      <c r="F161" s="7" t="s">
        <v>14</v>
      </c>
      <c r="G161" s="8" t="s">
        <v>336</v>
      </c>
      <c r="H161" s="8" t="s">
        <v>16</v>
      </c>
      <c r="I161" s="9">
        <v>1520</v>
      </c>
      <c r="J161" s="10">
        <v>21</v>
      </c>
      <c r="K161" s="10">
        <v>21040</v>
      </c>
      <c r="L161" s="3" t="str">
        <f t="shared" si="5"/>
        <v>ΑΚΡΟΔΡΥΑ_ΚΑΡΠΟΙ_ΜΕ_ΚΕΛΥΦΟΣ</v>
      </c>
    </row>
    <row r="162" spans="1:12" s="3" customFormat="1" ht="15" customHeight="1" x14ac:dyDescent="0.25">
      <c r="A162" s="3" t="str">
        <f t="shared" si="4"/>
        <v>ΑΚΡΟΔΡΥΑ (ΚΑΡΠΟΙ ΜΕ ΚΕΛΥΦΟΣ)ΦΥΣΤΙΚΙΑ CHICO MALE</v>
      </c>
      <c r="B162" s="4" t="s">
        <v>256</v>
      </c>
      <c r="C162" s="5" t="s">
        <v>337</v>
      </c>
      <c r="D162" s="6">
        <v>6628.52</v>
      </c>
      <c r="E162" s="6">
        <v>7978.51</v>
      </c>
      <c r="F162" s="7" t="s">
        <v>14</v>
      </c>
      <c r="G162" s="8" t="s">
        <v>338</v>
      </c>
      <c r="H162" s="8" t="s">
        <v>16</v>
      </c>
      <c r="I162" s="9">
        <v>1527</v>
      </c>
      <c r="J162" s="10">
        <v>21</v>
      </c>
      <c r="K162" s="10">
        <v>21041</v>
      </c>
      <c r="L162" s="3" t="str">
        <f t="shared" si="5"/>
        <v>ΑΚΡΟΔΡΥΑ_ΚΑΡΠΟΙ_ΜΕ_ΚΕΛΥΦΟΣ</v>
      </c>
    </row>
    <row r="163" spans="1:12" s="3" customFormat="1" ht="15" customHeight="1" x14ac:dyDescent="0.25">
      <c r="A163" s="3" t="str">
        <f t="shared" si="4"/>
        <v>ΑΚΡΟΔΡΥΑ (ΚΑΡΠΟΙ ΜΕ ΚΕΛΥΦΟΣ)ΦΥΣΤΙΚΙΑ KERMAN</v>
      </c>
      <c r="B163" s="4" t="s">
        <v>256</v>
      </c>
      <c r="C163" s="5" t="s">
        <v>339</v>
      </c>
      <c r="D163" s="6">
        <v>6628.52</v>
      </c>
      <c r="E163" s="6">
        <v>7978.51</v>
      </c>
      <c r="F163" s="7" t="s">
        <v>14</v>
      </c>
      <c r="G163" s="8" t="s">
        <v>340</v>
      </c>
      <c r="H163" s="8" t="s">
        <v>16</v>
      </c>
      <c r="I163" s="9">
        <v>1530</v>
      </c>
      <c r="J163" s="10">
        <v>21</v>
      </c>
      <c r="K163" s="10">
        <v>21042</v>
      </c>
      <c r="L163" s="3" t="str">
        <f t="shared" si="5"/>
        <v>ΑΚΡΟΔΡΥΑ_ΚΑΡΠΟΙ_ΜΕ_ΚΕΛΥΦΟΣ</v>
      </c>
    </row>
    <row r="164" spans="1:12" s="3" customFormat="1" ht="15" customHeight="1" x14ac:dyDescent="0.25">
      <c r="A164" s="3" t="str">
        <f t="shared" si="4"/>
        <v>ΑΚΡΟΔΡΥΑ (ΚΑΡΠΟΙ ΜΕ ΚΕΛΥΦΟΣ)ΦΥΣΤΙΚΙΑ PETERS MALE</v>
      </c>
      <c r="B164" s="4" t="s">
        <v>256</v>
      </c>
      <c r="C164" s="5" t="s">
        <v>341</v>
      </c>
      <c r="D164" s="6">
        <v>6628.52</v>
      </c>
      <c r="E164" s="6">
        <v>7978.51</v>
      </c>
      <c r="F164" s="7" t="s">
        <v>14</v>
      </c>
      <c r="G164" s="8" t="s">
        <v>342</v>
      </c>
      <c r="H164" s="8" t="s">
        <v>16</v>
      </c>
      <c r="I164" s="9">
        <v>1525</v>
      </c>
      <c r="J164" s="10">
        <v>21</v>
      </c>
      <c r="K164" s="10">
        <v>21043</v>
      </c>
      <c r="L164" s="3" t="str">
        <f t="shared" si="5"/>
        <v>ΑΚΡΟΔΡΥΑ_ΚΑΡΠΟΙ_ΜΕ_ΚΕΛΥΦΟΣ</v>
      </c>
    </row>
    <row r="165" spans="1:12" s="3" customFormat="1" ht="15" customHeight="1" x14ac:dyDescent="0.25">
      <c r="A165" s="3" t="str">
        <f t="shared" si="4"/>
        <v>ΑΚΡΟΔΡΥΑ (ΚΑΡΠΟΙ ΜΕ ΚΕΛΥΦΟΣ)ΦΥΣΤΙΚΙΑ TYPE A MALE</v>
      </c>
      <c r="B165" s="4" t="s">
        <v>256</v>
      </c>
      <c r="C165" s="5" t="s">
        <v>343</v>
      </c>
      <c r="D165" s="6">
        <v>6628.52</v>
      </c>
      <c r="E165" s="6">
        <v>7978.51</v>
      </c>
      <c r="F165" s="7" t="s">
        <v>14</v>
      </c>
      <c r="G165" s="8" t="s">
        <v>344</v>
      </c>
      <c r="H165" s="8" t="s">
        <v>16</v>
      </c>
      <c r="I165" s="9">
        <v>1524</v>
      </c>
      <c r="J165" s="10">
        <v>21</v>
      </c>
      <c r="K165" s="10">
        <v>21044</v>
      </c>
      <c r="L165" s="3" t="str">
        <f t="shared" si="5"/>
        <v>ΑΚΡΟΔΡΥΑ_ΚΑΡΠΟΙ_ΜΕ_ΚΕΛΥΦΟΣ</v>
      </c>
    </row>
    <row r="166" spans="1:12" s="3" customFormat="1" ht="15" customHeight="1" x14ac:dyDescent="0.25">
      <c r="A166" s="3" t="str">
        <f t="shared" si="4"/>
        <v>ΑΚΡΟΔΡΥΑ (ΚΑΡΠΟΙ ΜΕ ΚΕΛΥΦΟΣ)ΦΥΣΤΙΚΙΑ TYPE B MALE</v>
      </c>
      <c r="B166" s="4" t="s">
        <v>256</v>
      </c>
      <c r="C166" s="5" t="s">
        <v>345</v>
      </c>
      <c r="D166" s="6">
        <v>6628.52</v>
      </c>
      <c r="E166" s="6">
        <v>7978.51</v>
      </c>
      <c r="F166" s="7" t="s">
        <v>14</v>
      </c>
      <c r="G166" s="8" t="s">
        <v>346</v>
      </c>
      <c r="H166" s="8" t="s">
        <v>16</v>
      </c>
      <c r="I166" s="9">
        <v>1521</v>
      </c>
      <c r="J166" s="10">
        <v>21</v>
      </c>
      <c r="K166" s="10">
        <v>21045</v>
      </c>
      <c r="L166" s="3" t="str">
        <f t="shared" si="5"/>
        <v>ΑΚΡΟΔΡΥΑ_ΚΑΡΠΟΙ_ΜΕ_ΚΕΛΥΦΟΣ</v>
      </c>
    </row>
    <row r="167" spans="1:12" s="3" customFormat="1" ht="15" customHeight="1" x14ac:dyDescent="0.25">
      <c r="A167" s="3" t="str">
        <f t="shared" si="4"/>
        <v>ΑΚΡΟΔΡΥΑ (ΚΑΡΠΟΙ ΜΕ ΚΕΛΥΦΟΣ)ΦΥΣΤΙΚΙΑ TYPE C MALE</v>
      </c>
      <c r="B167" s="4" t="s">
        <v>256</v>
      </c>
      <c r="C167" s="5" t="s">
        <v>347</v>
      </c>
      <c r="D167" s="6">
        <v>6628.52</v>
      </c>
      <c r="E167" s="6">
        <v>7978.51</v>
      </c>
      <c r="F167" s="7" t="s">
        <v>14</v>
      </c>
      <c r="G167" s="8" t="s">
        <v>348</v>
      </c>
      <c r="H167" s="8" t="s">
        <v>16</v>
      </c>
      <c r="I167" s="9">
        <v>1523</v>
      </c>
      <c r="J167" s="10">
        <v>21</v>
      </c>
      <c r="K167" s="10">
        <v>21046</v>
      </c>
      <c r="L167" s="3" t="str">
        <f t="shared" si="5"/>
        <v>ΑΚΡΟΔΡΥΑ_ΚΑΡΠΟΙ_ΜΕ_ΚΕΛΥΦΟΣ</v>
      </c>
    </row>
    <row r="168" spans="1:12" s="3" customFormat="1" ht="15" customHeight="1" x14ac:dyDescent="0.25">
      <c r="A168" s="3" t="str">
        <f t="shared" si="4"/>
        <v>ΑΚΡΟΔΡΥΑ (ΚΑΡΠΟΙ ΜΕ ΚΕΛΥΦΟΣ)ΑΜΥΓΔΑΛΑ TUONO</v>
      </c>
      <c r="B168" s="4" t="s">
        <v>256</v>
      </c>
      <c r="C168" s="5" t="s">
        <v>349</v>
      </c>
      <c r="D168" s="6">
        <v>6628.52</v>
      </c>
      <c r="E168" s="6">
        <v>7978.51</v>
      </c>
      <c r="F168" s="7" t="s">
        <v>14</v>
      </c>
      <c r="G168" s="8" t="s">
        <v>350</v>
      </c>
      <c r="H168" s="8" t="s">
        <v>16</v>
      </c>
      <c r="I168" s="9">
        <v>1522</v>
      </c>
      <c r="J168" s="10">
        <v>21</v>
      </c>
      <c r="K168" s="10">
        <v>21047</v>
      </c>
      <c r="L168" s="3" t="str">
        <f t="shared" si="5"/>
        <v>ΑΚΡΟΔΡΥΑ_ΚΑΡΠΟΙ_ΜΕ_ΚΕΛΥΦΟΣ</v>
      </c>
    </row>
    <row r="169" spans="1:12" s="3" customFormat="1" ht="15" customHeight="1" x14ac:dyDescent="0.25">
      <c r="A169" s="3" t="str">
        <f t="shared" si="4"/>
        <v>ΑΚΡΟΔΡΥΑ (ΚΑΡΠΟΙ ΜΕ ΚΕΛΥΦΟΣ)ΑΜΥΓΔΑΛΑ SOLETA</v>
      </c>
      <c r="B169" s="4" t="s">
        <v>256</v>
      </c>
      <c r="C169" s="5" t="s">
        <v>351</v>
      </c>
      <c r="D169" s="6">
        <v>6628.52</v>
      </c>
      <c r="E169" s="6">
        <v>7978.51</v>
      </c>
      <c r="F169" s="7" t="s">
        <v>14</v>
      </c>
      <c r="G169" s="8" t="s">
        <v>352</v>
      </c>
      <c r="H169" s="8" t="s">
        <v>16</v>
      </c>
      <c r="I169" s="9">
        <v>1526</v>
      </c>
      <c r="J169" s="10">
        <v>21</v>
      </c>
      <c r="K169" s="10">
        <v>21048</v>
      </c>
      <c r="L169" s="3" t="str">
        <f t="shared" si="5"/>
        <v>ΑΚΡΟΔΡΥΑ_ΚΑΡΠΟΙ_ΜΕ_ΚΕΛΥΦΟΣ</v>
      </c>
    </row>
    <row r="170" spans="1:12" s="3" customFormat="1" ht="15" customHeight="1" x14ac:dyDescent="0.25">
      <c r="A170" s="3" t="str">
        <f t="shared" si="4"/>
        <v>ΑΚΡΟΔΡΥΑ (ΚΑΡΠΟΙ ΜΕ ΚΕΛΥΦΟΣ)ΑΜΥΓΔΑΛΑ VAIRO</v>
      </c>
      <c r="B170" s="4" t="s">
        <v>256</v>
      </c>
      <c r="C170" s="5" t="s">
        <v>353</v>
      </c>
      <c r="D170" s="6">
        <v>6628.52</v>
      </c>
      <c r="E170" s="6">
        <v>7978.51</v>
      </c>
      <c r="F170" s="7" t="s">
        <v>14</v>
      </c>
      <c r="G170" s="8" t="s">
        <v>354</v>
      </c>
      <c r="H170" s="8" t="s">
        <v>16</v>
      </c>
      <c r="I170" s="9">
        <v>1531</v>
      </c>
      <c r="J170" s="10">
        <v>21</v>
      </c>
      <c r="K170" s="10">
        <v>21049</v>
      </c>
      <c r="L170" s="3" t="str">
        <f t="shared" si="5"/>
        <v>ΑΚΡΟΔΡΥΑ_ΚΑΡΠΟΙ_ΜΕ_ΚΕΛΥΦΟΣ</v>
      </c>
    </row>
    <row r="171" spans="1:12" s="3" customFormat="1" ht="15" customHeight="1" x14ac:dyDescent="0.25">
      <c r="A171" s="3" t="str">
        <f t="shared" si="4"/>
        <v>ΑΚΡΟΔΡΥΑ (ΚΑΡΠΟΙ ΜΕ ΚΕΛΥΦΟΣ)ΑΜΥΓΔΑΛΑ MARINADA</v>
      </c>
      <c r="B171" s="4" t="s">
        <v>256</v>
      </c>
      <c r="C171" s="5" t="s">
        <v>355</v>
      </c>
      <c r="D171" s="6">
        <v>6628.52</v>
      </c>
      <c r="E171" s="6">
        <v>7978.51</v>
      </c>
      <c r="F171" s="7" t="s">
        <v>14</v>
      </c>
      <c r="G171" s="8" t="s">
        <v>356</v>
      </c>
      <c r="H171" s="8" t="s">
        <v>16</v>
      </c>
      <c r="I171" s="9">
        <v>1532</v>
      </c>
      <c r="J171" s="10">
        <v>21</v>
      </c>
      <c r="K171" s="10">
        <v>21050</v>
      </c>
      <c r="L171" s="3" t="str">
        <f t="shared" si="5"/>
        <v>ΑΚΡΟΔΡΥΑ_ΚΑΡΠΟΙ_ΜΕ_ΚΕΛΥΦΟΣ</v>
      </c>
    </row>
    <row r="172" spans="1:12" s="3" customFormat="1" ht="15" customHeight="1" x14ac:dyDescent="0.25">
      <c r="A172" s="3" t="str">
        <f t="shared" si="4"/>
        <v>ΑΚΡΟΔΡΥΑ (ΚΑΡΠΟΙ ΜΕ ΚΕΛΥΦΟΣ)ΑΜΥΓΔΑΛΑ LAURANNE (LAURANNE-AVIJOR)</v>
      </c>
      <c r="B172" s="4" t="s">
        <v>256</v>
      </c>
      <c r="C172" s="5" t="s">
        <v>357</v>
      </c>
      <c r="D172" s="6">
        <v>6628.52</v>
      </c>
      <c r="E172" s="6">
        <v>7978.51</v>
      </c>
      <c r="F172" s="7" t="s">
        <v>14</v>
      </c>
      <c r="G172" s="8" t="s">
        <v>358</v>
      </c>
      <c r="H172" s="8" t="s">
        <v>16</v>
      </c>
      <c r="I172" s="9">
        <v>1543</v>
      </c>
      <c r="J172" s="10">
        <v>21</v>
      </c>
      <c r="K172" s="10">
        <v>21051</v>
      </c>
      <c r="L172" s="3" t="str">
        <f t="shared" si="5"/>
        <v>ΑΚΡΟΔΡΥΑ_ΚΑΡΠΟΙ_ΜΕ_ΚΕΛΥΦΟΣ</v>
      </c>
    </row>
    <row r="173" spans="1:12" s="3" customFormat="1" ht="15" customHeight="1" x14ac:dyDescent="0.25">
      <c r="A173" s="3" t="str">
        <f t="shared" si="4"/>
        <v>ΑΚΡΟΔΡΥΑ (ΚΑΡΠΟΙ ΜΕ ΚΕΛΥΦΟΣ)ΑΜΥΓΔΑΛΑ MARTA</v>
      </c>
      <c r="B173" s="4" t="s">
        <v>256</v>
      </c>
      <c r="C173" s="5" t="s">
        <v>359</v>
      </c>
      <c r="D173" s="6">
        <v>6628.52</v>
      </c>
      <c r="E173" s="6">
        <v>7978.51</v>
      </c>
      <c r="F173" s="7" t="s">
        <v>14</v>
      </c>
      <c r="G173" s="8" t="s">
        <v>360</v>
      </c>
      <c r="H173" s="8" t="s">
        <v>16</v>
      </c>
      <c r="I173" s="9">
        <v>1534</v>
      </c>
      <c r="J173" s="10">
        <v>21</v>
      </c>
      <c r="K173" s="10">
        <v>21052</v>
      </c>
      <c r="L173" s="3" t="str">
        <f t="shared" si="5"/>
        <v>ΑΚΡΟΔΡΥΑ_ΚΑΡΠΟΙ_ΜΕ_ΚΕΛΥΦΟΣ</v>
      </c>
    </row>
    <row r="174" spans="1:12" s="3" customFormat="1" ht="15" customHeight="1" x14ac:dyDescent="0.25">
      <c r="A174" s="3" t="str">
        <f t="shared" si="4"/>
        <v>ΑΚΡΟΔΡΥΑ (ΚΑΡΠΟΙ ΜΕ ΚΕΛΥΦΟΣ)ΦΟΥΝΤΟΥΚΙΑ KUBAN</v>
      </c>
      <c r="B174" s="4" t="s">
        <v>256</v>
      </c>
      <c r="C174" s="5" t="s">
        <v>361</v>
      </c>
      <c r="D174" s="6">
        <v>6628.52</v>
      </c>
      <c r="E174" s="6">
        <v>7978.51</v>
      </c>
      <c r="F174" s="7" t="s">
        <v>14</v>
      </c>
      <c r="G174" s="8" t="s">
        <v>362</v>
      </c>
      <c r="H174" s="8" t="s">
        <v>16</v>
      </c>
      <c r="I174" s="9">
        <v>1528</v>
      </c>
      <c r="J174" s="10">
        <v>21</v>
      </c>
      <c r="K174" s="10">
        <v>21053</v>
      </c>
      <c r="L174" s="3" t="str">
        <f t="shared" si="5"/>
        <v>ΑΚΡΟΔΡΥΑ_ΚΑΡΠΟΙ_ΜΕ_ΚΕΛΥΦΟΣ</v>
      </c>
    </row>
    <row r="175" spans="1:12" s="3" customFormat="1" ht="15" customHeight="1" x14ac:dyDescent="0.25">
      <c r="A175" s="3" t="str">
        <f t="shared" si="4"/>
        <v>ΑΚΡΟΔΡΥΑ (ΚΑΡΠΟΙ ΜΕ ΚΕΛΥΦΟΣ)ΦΟΥΝΤΟΥΚΙΑ SOChi 1</v>
      </c>
      <c r="B175" s="4" t="s">
        <v>256</v>
      </c>
      <c r="C175" s="5" t="s">
        <v>363</v>
      </c>
      <c r="D175" s="6">
        <v>6628.52</v>
      </c>
      <c r="E175" s="6">
        <v>7978.51</v>
      </c>
      <c r="F175" s="7" t="s">
        <v>14</v>
      </c>
      <c r="G175" s="8" t="s">
        <v>364</v>
      </c>
      <c r="H175" s="8" t="s">
        <v>16</v>
      </c>
      <c r="I175" s="9">
        <v>1536</v>
      </c>
      <c r="J175" s="10">
        <v>21</v>
      </c>
      <c r="K175" s="10">
        <v>21054</v>
      </c>
      <c r="L175" s="3" t="str">
        <f t="shared" si="5"/>
        <v>ΑΚΡΟΔΡΥΑ_ΚΑΡΠΟΙ_ΜΕ_ΚΕΛΥΦΟΣ</v>
      </c>
    </row>
    <row r="176" spans="1:12" s="3" customFormat="1" ht="15" customHeight="1" x14ac:dyDescent="0.25">
      <c r="A176" s="3" t="str">
        <f t="shared" si="4"/>
        <v>ΑΚΡΟΔΡΥΑ (ΚΑΡΠΟΙ ΜΕ ΚΕΛΥΦΟΣ)ΦΟΥΝΤΟΥΚΙΑ SOChi 2</v>
      </c>
      <c r="B176" s="4" t="s">
        <v>256</v>
      </c>
      <c r="C176" s="5" t="s">
        <v>365</v>
      </c>
      <c r="D176" s="6">
        <v>6628.52</v>
      </c>
      <c r="E176" s="6">
        <v>7978.51</v>
      </c>
      <c r="F176" s="7" t="s">
        <v>14</v>
      </c>
      <c r="G176" s="8" t="s">
        <v>366</v>
      </c>
      <c r="H176" s="8" t="s">
        <v>16</v>
      </c>
      <c r="I176" s="9">
        <v>1537</v>
      </c>
      <c r="J176" s="10">
        <v>21</v>
      </c>
      <c r="K176" s="10">
        <v>21055</v>
      </c>
      <c r="L176" s="3" t="str">
        <f t="shared" si="5"/>
        <v>ΑΚΡΟΔΡΥΑ_ΚΑΡΠΟΙ_ΜΕ_ΚΕΛΥΦΟΣ</v>
      </c>
    </row>
    <row r="177" spans="1:12" s="3" customFormat="1" ht="15" customHeight="1" x14ac:dyDescent="0.25">
      <c r="A177" s="3" t="str">
        <f t="shared" si="4"/>
        <v>ΑΚΡΟΔΡΥΑ (ΚΑΡΠΟΙ ΜΕ ΚΕΛΥΦΟΣ)ΑΜΥΓΔΑΛΑ MAKAKO</v>
      </c>
      <c r="B177" s="4" t="s">
        <v>256</v>
      </c>
      <c r="C177" s="5" t="s">
        <v>367</v>
      </c>
      <c r="D177" s="6">
        <v>6628.52</v>
      </c>
      <c r="E177" s="6">
        <v>7978.51</v>
      </c>
      <c r="F177" s="7" t="s">
        <v>14</v>
      </c>
      <c r="G177" s="8" t="s">
        <v>368</v>
      </c>
      <c r="H177" s="8" t="s">
        <v>16</v>
      </c>
      <c r="I177" s="9">
        <v>1538</v>
      </c>
      <c r="J177" s="10">
        <v>21</v>
      </c>
      <c r="K177" s="10">
        <v>21056</v>
      </c>
      <c r="L177" s="3" t="str">
        <f t="shared" si="5"/>
        <v>ΑΚΡΟΔΡΥΑ_ΚΑΡΠΟΙ_ΜΕ_ΚΕΛΥΦΟΣ</v>
      </c>
    </row>
    <row r="178" spans="1:12" s="3" customFormat="1" ht="15" customHeight="1" x14ac:dyDescent="0.25">
      <c r="A178" s="3" t="str">
        <f t="shared" si="4"/>
        <v>ΑΚΡΟΔΡΥΑ (ΚΑΡΠΟΙ ΜΕ ΚΕΛΥΦΟΣ)ΑΜΥΓΔΑΛΑ GUARA</v>
      </c>
      <c r="B178" s="4" t="s">
        <v>256</v>
      </c>
      <c r="C178" s="5" t="s">
        <v>369</v>
      </c>
      <c r="D178" s="6">
        <v>6628.52</v>
      </c>
      <c r="E178" s="6">
        <v>7978.51</v>
      </c>
      <c r="F178" s="7" t="s">
        <v>14</v>
      </c>
      <c r="G178" s="8" t="s">
        <v>370</v>
      </c>
      <c r="H178" s="8" t="s">
        <v>16</v>
      </c>
      <c r="I178" s="9">
        <v>1539</v>
      </c>
      <c r="J178" s="10">
        <v>21</v>
      </c>
      <c r="K178" s="10">
        <v>21057</v>
      </c>
      <c r="L178" s="3" t="str">
        <f t="shared" si="5"/>
        <v>ΑΚΡΟΔΡΥΑ_ΚΑΡΠΟΙ_ΜΕ_ΚΕΛΥΦΟΣ</v>
      </c>
    </row>
    <row r="179" spans="1:12" s="3" customFormat="1" ht="15" customHeight="1" x14ac:dyDescent="0.25">
      <c r="A179" s="3" t="str">
        <f t="shared" si="4"/>
        <v>ΑΚΡΟΔΡΥΑ (ΚΑΡΠΟΙ ΜΕ ΚΕΛΥΦΟΣ)ΦΟΥΝΤΟΥΚΙΑ TONDA DI GIFFONI</v>
      </c>
      <c r="B179" s="4" t="s">
        <v>256</v>
      </c>
      <c r="C179" s="5" t="s">
        <v>371</v>
      </c>
      <c r="D179" s="6">
        <v>6628.52</v>
      </c>
      <c r="E179" s="6">
        <v>7978.51</v>
      </c>
      <c r="F179" s="7" t="s">
        <v>14</v>
      </c>
      <c r="G179" s="8" t="s">
        <v>372</v>
      </c>
      <c r="H179" s="8" t="s">
        <v>16</v>
      </c>
      <c r="I179" s="9">
        <v>1540</v>
      </c>
      <c r="J179" s="10">
        <v>21</v>
      </c>
      <c r="K179" s="10">
        <v>21058</v>
      </c>
      <c r="L179" s="3" t="str">
        <f t="shared" si="5"/>
        <v>ΑΚΡΟΔΡΥΑ_ΚΑΡΠΟΙ_ΜΕ_ΚΕΛΥΦΟΣ</v>
      </c>
    </row>
    <row r="180" spans="1:12" s="3" customFormat="1" ht="15" customHeight="1" x14ac:dyDescent="0.25">
      <c r="A180" s="3" t="str">
        <f t="shared" si="4"/>
        <v>ΑΚΡΟΔΡΥΑ (ΚΑΡΠΟΙ ΜΕ ΚΕΛΥΦΟΣ)ΑΜΥΓΔΑΛΑ AVIJOR</v>
      </c>
      <c r="B180" s="4" t="s">
        <v>256</v>
      </c>
      <c r="C180" s="5" t="s">
        <v>373</v>
      </c>
      <c r="D180" s="6">
        <v>6628.52</v>
      </c>
      <c r="E180" s="6">
        <v>7978.51</v>
      </c>
      <c r="F180" s="7" t="s">
        <v>14</v>
      </c>
      <c r="G180" s="8" t="s">
        <v>374</v>
      </c>
      <c r="H180" s="8" t="s">
        <v>16</v>
      </c>
      <c r="I180" s="9">
        <v>1541</v>
      </c>
      <c r="J180" s="10">
        <v>21</v>
      </c>
      <c r="K180" s="10">
        <v>21059</v>
      </c>
      <c r="L180" s="3" t="str">
        <f t="shared" si="5"/>
        <v>ΑΚΡΟΔΡΥΑ_ΚΑΡΠΟΙ_ΜΕ_ΚΕΛΥΦΟΣ</v>
      </c>
    </row>
    <row r="181" spans="1:12" s="3" customFormat="1" ht="15" customHeight="1" x14ac:dyDescent="0.25">
      <c r="A181" s="3" t="str">
        <f t="shared" si="4"/>
        <v>ΑΚΡΟΔΡΥΑ (ΚΑΡΠΟΙ ΜΕ ΚΕΛΥΦΟΣ)ΑΜΥΓΔΑΛΑ ISABELONA</v>
      </c>
      <c r="B181" s="4" t="s">
        <v>256</v>
      </c>
      <c r="C181" s="5" t="s">
        <v>375</v>
      </c>
      <c r="D181" s="6">
        <v>6628.52</v>
      </c>
      <c r="E181" s="6">
        <v>7978.51</v>
      </c>
      <c r="F181" s="7" t="s">
        <v>14</v>
      </c>
      <c r="G181" s="8" t="s">
        <v>376</v>
      </c>
      <c r="H181" s="8" t="s">
        <v>16</v>
      </c>
      <c r="I181" s="9">
        <v>1542</v>
      </c>
      <c r="J181" s="10">
        <v>21</v>
      </c>
      <c r="K181" s="10">
        <v>21060</v>
      </c>
      <c r="L181" s="3" t="str">
        <f t="shared" si="5"/>
        <v>ΑΚΡΟΔΡΥΑ_ΚΑΡΠΟΙ_ΜΕ_ΚΕΛΥΦΟΣ</v>
      </c>
    </row>
    <row r="182" spans="1:12" s="3" customFormat="1" ht="15" customHeight="1" x14ac:dyDescent="0.25">
      <c r="A182" s="3" t="str">
        <f t="shared" si="4"/>
        <v>ΑΚΡΟΔΡΥΑ (ΚΑΡΠΟΙ ΜΕ ΚΕΛΥΦΟΣ)ΑΜΥΓΔΑΛΑ PENTACEBAS CSIC (PENTA)</v>
      </c>
      <c r="B182" s="21" t="s">
        <v>256</v>
      </c>
      <c r="C182" s="22" t="s">
        <v>377</v>
      </c>
      <c r="D182" s="6">
        <v>6628.52</v>
      </c>
      <c r="E182" s="6">
        <v>7978.51</v>
      </c>
      <c r="F182" s="6" t="s">
        <v>14</v>
      </c>
      <c r="G182" s="8" t="s">
        <v>378</v>
      </c>
      <c r="H182" s="8" t="s">
        <v>16</v>
      </c>
      <c r="I182" s="9">
        <v>5185</v>
      </c>
      <c r="J182" s="16">
        <v>21</v>
      </c>
      <c r="K182" s="16">
        <v>21061</v>
      </c>
      <c r="L182" s="3" t="str">
        <f t="shared" si="5"/>
        <v>ΑΚΡΟΔΡΥΑ_ΚΑΡΠΟΙ_ΜΕ_ΚΕΛΥΦΟΣ</v>
      </c>
    </row>
    <row r="183" spans="1:12" s="3" customFormat="1" ht="15" customHeight="1" x14ac:dyDescent="0.25">
      <c r="A183" s="3" t="str">
        <f t="shared" si="4"/>
        <v>ΑΚΡΟΔΡΥΑ (ΚΑΡΠΟΙ ΜΕ ΚΕΛΥΦΟΣ)ΑΜΥΓΔΑΛΑ CONSTANTI</v>
      </c>
      <c r="B183" s="21" t="s">
        <v>256</v>
      </c>
      <c r="C183" s="22" t="s">
        <v>379</v>
      </c>
      <c r="D183" s="6">
        <v>6628.52</v>
      </c>
      <c r="E183" s="6">
        <v>7978.51</v>
      </c>
      <c r="F183" s="6" t="s">
        <v>14</v>
      </c>
      <c r="G183" s="8" t="s">
        <v>380</v>
      </c>
      <c r="H183" s="8" t="s">
        <v>16</v>
      </c>
      <c r="I183" s="9">
        <v>5186</v>
      </c>
      <c r="J183" s="16">
        <v>21</v>
      </c>
      <c r="K183" s="16">
        <v>21062</v>
      </c>
      <c r="L183" s="3" t="str">
        <f t="shared" si="5"/>
        <v>ΑΚΡΟΔΡΥΑ_ΚΑΡΠΟΙ_ΜΕ_ΚΕΛΥΦΟΣ</v>
      </c>
    </row>
    <row r="184" spans="1:12" s="3" customFormat="1" ht="15" customHeight="1" x14ac:dyDescent="0.25">
      <c r="A184" s="3" t="str">
        <f t="shared" si="4"/>
        <v>ΑΚΡΟΔΡΥΑ (ΚΑΡΠΟΙ ΜΕ ΚΕΛΥΦΟΣ)ΑΜΥΓΔΑΛΑ VIALFAS</v>
      </c>
      <c r="B184" s="23" t="s">
        <v>256</v>
      </c>
      <c r="C184" s="24" t="s">
        <v>381</v>
      </c>
      <c r="D184" s="6">
        <v>6628.52</v>
      </c>
      <c r="E184" s="6">
        <v>7978.51</v>
      </c>
      <c r="F184" s="25" t="s">
        <v>14</v>
      </c>
      <c r="G184" s="8" t="s">
        <v>382</v>
      </c>
      <c r="H184" s="8" t="s">
        <v>16</v>
      </c>
      <c r="I184" s="9">
        <v>5337</v>
      </c>
      <c r="J184" s="26">
        <v>21</v>
      </c>
      <c r="K184" s="27">
        <v>21063</v>
      </c>
      <c r="L184" s="3" t="str">
        <f t="shared" si="5"/>
        <v>ΑΚΡΟΔΡΥΑ_ΚΑΡΠΟΙ_ΜΕ_ΚΕΛΥΦΟΣ</v>
      </c>
    </row>
    <row r="185" spans="1:12" s="3" customFormat="1" ht="15" customHeight="1" x14ac:dyDescent="0.25">
      <c r="A185" s="3" t="str">
        <f t="shared" si="4"/>
        <v>ΑΚΡΟΔΡΥΑ (ΚΑΡΠΟΙ ΜΕ ΚΕΛΥΦΟΣ)ΚΑΡΥΔΙΕΣ ΕΞΑΙΡΕΣΗ</v>
      </c>
      <c r="B185" s="4" t="s">
        <v>256</v>
      </c>
      <c r="C185" s="5" t="s">
        <v>383</v>
      </c>
      <c r="D185" s="6">
        <v>6628.52</v>
      </c>
      <c r="E185" s="6">
        <v>7978.51</v>
      </c>
      <c r="F185" s="7" t="s">
        <v>14</v>
      </c>
      <c r="G185" s="8" t="s">
        <v>384</v>
      </c>
      <c r="H185" s="8" t="s">
        <v>16</v>
      </c>
      <c r="I185" s="9">
        <v>1571</v>
      </c>
      <c r="J185" s="10">
        <v>21</v>
      </c>
      <c r="K185" s="10">
        <v>8125</v>
      </c>
      <c r="L185" s="3" t="str">
        <f t="shared" si="5"/>
        <v>ΑΚΡΟΔΡΥΑ_ΚΑΡΠΟΙ_ΜΕ_ΚΕΛΥΦΟΣ</v>
      </c>
    </row>
    <row r="186" spans="1:12" s="3" customFormat="1" ht="15" customHeight="1" x14ac:dyDescent="0.25">
      <c r="A186" s="3" t="str">
        <f t="shared" si="4"/>
        <v>ΑΚΡΟΔΡΥΑ (ΚΑΡΠΟΙ ΜΕ ΚΕΛΥΦΟΣ)ΑΜΥΓΔΑΛΙΕΣ</v>
      </c>
      <c r="B186" s="18" t="s">
        <v>256</v>
      </c>
      <c r="C186" s="19" t="s">
        <v>385</v>
      </c>
      <c r="D186" s="6">
        <v>6628.52</v>
      </c>
      <c r="E186" s="6">
        <v>7978.51</v>
      </c>
      <c r="F186" s="6" t="s">
        <v>14</v>
      </c>
      <c r="G186" s="8" t="s">
        <v>386</v>
      </c>
      <c r="H186" s="8" t="s">
        <v>27</v>
      </c>
      <c r="I186" s="9">
        <v>4322</v>
      </c>
      <c r="J186" s="20">
        <v>21</v>
      </c>
      <c r="K186" s="20">
        <v>8128</v>
      </c>
      <c r="L186" s="3" t="str">
        <f t="shared" si="5"/>
        <v>ΑΚΡΟΔΡΥΑ_ΚΑΡΠΟΙ_ΜΕ_ΚΕΛΥΦΟΣ</v>
      </c>
    </row>
    <row r="187" spans="1:12" s="3" customFormat="1" ht="15" customHeight="1" x14ac:dyDescent="0.25">
      <c r="A187" s="3" t="str">
        <f t="shared" si="4"/>
        <v>ΑΚΡΟΔΡΥΑ (ΚΑΡΠΟΙ ΜΕ ΚΕΛΥΦΟΣ)ΑΜΥΓΔΑΛΙΕΣ - ΑΛΚΥΩΝ</v>
      </c>
      <c r="B187" s="18" t="s">
        <v>256</v>
      </c>
      <c r="C187" s="19" t="s">
        <v>387</v>
      </c>
      <c r="D187" s="6">
        <v>6628.52</v>
      </c>
      <c r="E187" s="6">
        <v>7978.51</v>
      </c>
      <c r="F187" s="6" t="s">
        <v>14</v>
      </c>
      <c r="G187" s="8" t="s">
        <v>388</v>
      </c>
      <c r="H187" s="8" t="s">
        <v>27</v>
      </c>
      <c r="I187" s="9">
        <v>4323</v>
      </c>
      <c r="J187" s="20">
        <v>21</v>
      </c>
      <c r="K187" s="20">
        <v>8389</v>
      </c>
      <c r="L187" s="3" t="str">
        <f t="shared" si="5"/>
        <v>ΑΚΡΟΔΡΥΑ_ΚΑΡΠΟΙ_ΜΕ_ΚΕΛΥΦΟΣ</v>
      </c>
    </row>
    <row r="188" spans="1:12" s="3" customFormat="1" ht="15" customHeight="1" x14ac:dyDescent="0.25">
      <c r="A188" s="3" t="str">
        <f t="shared" si="4"/>
        <v>ΑΚΡΟΔΡΥΑ (ΚΑΡΠΟΙ ΜΕ ΚΕΛΥΦΟΣ)ΑΜΥΓΔΑΛΙΕΣ - ΔΡΕΠΑΝΩΤΟ</v>
      </c>
      <c r="B188" s="18" t="s">
        <v>256</v>
      </c>
      <c r="C188" s="19" t="s">
        <v>389</v>
      </c>
      <c r="D188" s="6">
        <v>6628.52</v>
      </c>
      <c r="E188" s="6">
        <v>7978.51</v>
      </c>
      <c r="F188" s="6" t="s">
        <v>14</v>
      </c>
      <c r="G188" s="8" t="s">
        <v>390</v>
      </c>
      <c r="H188" s="8" t="s">
        <v>27</v>
      </c>
      <c r="I188" s="9">
        <v>4324</v>
      </c>
      <c r="J188" s="20">
        <v>21</v>
      </c>
      <c r="K188" s="20">
        <v>8390</v>
      </c>
      <c r="L188" s="3" t="str">
        <f t="shared" si="5"/>
        <v>ΑΚΡΟΔΡΥΑ_ΚΑΡΠΟΙ_ΜΕ_ΚΕΛΥΦΟΣ</v>
      </c>
    </row>
    <row r="189" spans="1:12" s="3" customFormat="1" ht="15" customHeight="1" x14ac:dyDescent="0.25">
      <c r="A189" s="3" t="str">
        <f t="shared" si="4"/>
        <v>ΑΚΡΟΔΡΥΑ (ΚΑΡΠΟΙ ΜΕ ΚΕΛΥΦΟΣ)ΑΜΥΓΔΑΛΙΕΣ - ΣΥΜΜΕΤΡΙΚΗ</v>
      </c>
      <c r="B189" s="18" t="s">
        <v>256</v>
      </c>
      <c r="C189" s="19" t="s">
        <v>391</v>
      </c>
      <c r="D189" s="6">
        <v>6628.52</v>
      </c>
      <c r="E189" s="6">
        <v>7978.51</v>
      </c>
      <c r="F189" s="6" t="s">
        <v>14</v>
      </c>
      <c r="G189" s="8" t="s">
        <v>392</v>
      </c>
      <c r="H189" s="8" t="s">
        <v>27</v>
      </c>
      <c r="I189" s="9">
        <v>4325</v>
      </c>
      <c r="J189" s="20">
        <v>21</v>
      </c>
      <c r="K189" s="20">
        <v>8391</v>
      </c>
      <c r="L189" s="3" t="str">
        <f t="shared" si="5"/>
        <v>ΑΚΡΟΔΡΥΑ_ΚΑΡΠΟΙ_ΜΕ_ΚΕΛΥΦΟΣ</v>
      </c>
    </row>
    <row r="190" spans="1:12" s="3" customFormat="1" ht="15" customHeight="1" x14ac:dyDescent="0.25">
      <c r="A190" s="3" t="str">
        <f t="shared" si="4"/>
        <v>ΑΚΡΟΔΡΥΑ (ΚΑΡΠΟΙ ΜΕ ΚΕΛΥΦΟΣ)ΑΜΥΓΔΑΛΙΕΣ - ΦΥΛΛΙΣ</v>
      </c>
      <c r="B190" s="4" t="s">
        <v>256</v>
      </c>
      <c r="C190" s="5" t="s">
        <v>393</v>
      </c>
      <c r="D190" s="6">
        <v>6628.52</v>
      </c>
      <c r="E190" s="6">
        <v>7978.51</v>
      </c>
      <c r="F190" s="7" t="s">
        <v>14</v>
      </c>
      <c r="G190" s="8" t="s">
        <v>394</v>
      </c>
      <c r="H190" s="8" t="s">
        <v>16</v>
      </c>
      <c r="I190" s="9">
        <v>1569</v>
      </c>
      <c r="J190" s="10">
        <v>21</v>
      </c>
      <c r="K190" s="10">
        <v>8392</v>
      </c>
      <c r="L190" s="3" t="str">
        <f t="shared" si="5"/>
        <v>ΑΚΡΟΔΡΥΑ_ΚΑΡΠΟΙ_ΜΕ_ΚΕΛΥΦΟΣ</v>
      </c>
    </row>
    <row r="191" spans="1:12" s="3" customFormat="1" ht="15" customHeight="1" x14ac:dyDescent="0.25">
      <c r="A191" s="3" t="str">
        <f t="shared" si="4"/>
        <v>ΑΚΡΟΔΡΥΑ (ΚΑΡΠΟΙ ΜΕ ΚΕΛΥΦΟΣ)ΑΜΥΓΔΑΛΙΕΣ - ΣΙΑΤΙΣΤΗΣ</v>
      </c>
      <c r="B191" s="18" t="s">
        <v>256</v>
      </c>
      <c r="C191" s="19" t="s">
        <v>395</v>
      </c>
      <c r="D191" s="6">
        <v>6628.52</v>
      </c>
      <c r="E191" s="6">
        <v>7978.51</v>
      </c>
      <c r="F191" s="6" t="s">
        <v>14</v>
      </c>
      <c r="G191" s="8" t="s">
        <v>396</v>
      </c>
      <c r="H191" s="8" t="s">
        <v>27</v>
      </c>
      <c r="I191" s="9">
        <v>4326</v>
      </c>
      <c r="J191" s="20">
        <v>21</v>
      </c>
      <c r="K191" s="20">
        <v>8393</v>
      </c>
      <c r="L191" s="3" t="str">
        <f t="shared" si="5"/>
        <v>ΑΚΡΟΔΡΥΑ_ΚΑΡΠΟΙ_ΜΕ_ΚΕΛΥΦΟΣ</v>
      </c>
    </row>
    <row r="192" spans="1:12" s="3" customFormat="1" ht="15" customHeight="1" x14ac:dyDescent="0.25">
      <c r="A192" s="3" t="str">
        <f t="shared" si="4"/>
        <v>ΑΚΡΟΔΡΥΑ (ΚΑΡΠΟΙ ΜΕ ΚΕΛΥΦΟΣ)ΑΜΥΓΔΑΛΙΕΣ - ΟΨΙΜΑΝΘΗ ΒΟΛΟΥ</v>
      </c>
      <c r="B192" s="18" t="s">
        <v>256</v>
      </c>
      <c r="C192" s="19" t="s">
        <v>397</v>
      </c>
      <c r="D192" s="6">
        <v>6628.52</v>
      </c>
      <c r="E192" s="6">
        <v>7978.51</v>
      </c>
      <c r="F192" s="6" t="s">
        <v>14</v>
      </c>
      <c r="G192" s="8" t="s">
        <v>398</v>
      </c>
      <c r="H192" s="8" t="s">
        <v>27</v>
      </c>
      <c r="I192" s="9">
        <v>4327</v>
      </c>
      <c r="J192" s="20">
        <v>21</v>
      </c>
      <c r="K192" s="20">
        <v>8394</v>
      </c>
      <c r="L192" s="3" t="str">
        <f t="shared" si="5"/>
        <v>ΑΚΡΟΔΡΥΑ_ΚΑΡΠΟΙ_ΜΕ_ΚΕΛΥΦΟΣ</v>
      </c>
    </row>
    <row r="193" spans="1:12" s="3" customFormat="1" ht="15" customHeight="1" x14ac:dyDescent="0.25">
      <c r="A193" s="3" t="str">
        <f t="shared" si="4"/>
        <v>ΑΚΡΟΔΡΥΑ (ΚΑΡΠΟΙ ΜΕ ΚΕΛΥΦΟΣ)ΑΜΥΓΔΑΛΙΕΣ - ΛΗΜΝΟΥ ΚΑΡΥΔΑΤΑ</v>
      </c>
      <c r="B193" s="18" t="s">
        <v>256</v>
      </c>
      <c r="C193" s="19" t="s">
        <v>399</v>
      </c>
      <c r="D193" s="6">
        <v>6628.52</v>
      </c>
      <c r="E193" s="6">
        <v>7978.51</v>
      </c>
      <c r="F193" s="6" t="s">
        <v>14</v>
      </c>
      <c r="G193" s="8" t="s">
        <v>400</v>
      </c>
      <c r="H193" s="8" t="s">
        <v>27</v>
      </c>
      <c r="I193" s="9">
        <v>4328</v>
      </c>
      <c r="J193" s="20">
        <v>21</v>
      </c>
      <c r="K193" s="20">
        <v>8395</v>
      </c>
      <c r="L193" s="3" t="str">
        <f t="shared" si="5"/>
        <v>ΑΚΡΟΔΡΥΑ_ΚΑΡΠΟΙ_ΜΕ_ΚΕΛΥΦΟΣ</v>
      </c>
    </row>
    <row r="194" spans="1:12" s="3" customFormat="1" ht="15" customHeight="1" x14ac:dyDescent="0.25">
      <c r="A194" s="3" t="str">
        <f t="shared" si="4"/>
        <v>ΑΚΡΟΔΡΥΑ (ΚΑΡΠΟΙ ΜΕ ΚΕΛΥΦΟΣ)ΑΜΥΓΔΑΛΙΕΣ - ΛΗΜΝΟΥ ΑΦΡΑΤΑ</v>
      </c>
      <c r="B194" s="18" t="s">
        <v>256</v>
      </c>
      <c r="C194" s="19" t="s">
        <v>401</v>
      </c>
      <c r="D194" s="6">
        <v>6628.52</v>
      </c>
      <c r="E194" s="6">
        <v>7978.51</v>
      </c>
      <c r="F194" s="6" t="s">
        <v>14</v>
      </c>
      <c r="G194" s="8" t="s">
        <v>402</v>
      </c>
      <c r="H194" s="8" t="s">
        <v>27</v>
      </c>
      <c r="I194" s="9">
        <v>4329</v>
      </c>
      <c r="J194" s="20">
        <v>21</v>
      </c>
      <c r="K194" s="20">
        <v>8396</v>
      </c>
      <c r="L194" s="3" t="str">
        <f t="shared" si="5"/>
        <v>ΑΚΡΟΔΡΥΑ_ΚΑΡΠΟΙ_ΜΕ_ΚΕΛΥΦΟΣ</v>
      </c>
    </row>
    <row r="195" spans="1:12" s="3" customFormat="1" ht="15" customHeight="1" x14ac:dyDescent="0.25">
      <c r="A195" s="3" t="str">
        <f t="shared" ref="A195:A258" si="6">_xlfn.CONCAT(B195,C195)</f>
        <v>ΑΚΡΟΔΡΥΑ (ΚΑΡΠΟΙ ΜΕ ΚΕΛΥΦΟΣ)ΑΜΥΓΔΑΛΙΕΣ - ΧΙΟΥ ΑΦΡΑΤΑ</v>
      </c>
      <c r="B195" s="18" t="s">
        <v>256</v>
      </c>
      <c r="C195" s="19" t="s">
        <v>403</v>
      </c>
      <c r="D195" s="6">
        <v>6628.52</v>
      </c>
      <c r="E195" s="6">
        <v>7978.51</v>
      </c>
      <c r="F195" s="6" t="s">
        <v>14</v>
      </c>
      <c r="G195" s="8" t="s">
        <v>404</v>
      </c>
      <c r="H195" s="8" t="s">
        <v>27</v>
      </c>
      <c r="I195" s="9">
        <v>4330</v>
      </c>
      <c r="J195" s="20">
        <v>21</v>
      </c>
      <c r="K195" s="20">
        <v>8397</v>
      </c>
      <c r="L195" s="3" t="str">
        <f t="shared" ref="L195:L258" si="7">IFERROR(SUBSTITUTE(SUBSTITUTE(SUBSTITUTE(SUBSTITUTE(SUBSTITUTE(B195, "-", "_"), " ", "_"), ",", ""), "(", ""), ")", ""), B195)</f>
        <v>ΑΚΡΟΔΡΥΑ_ΚΑΡΠΟΙ_ΜΕ_ΚΕΛΥΦΟΣ</v>
      </c>
    </row>
    <row r="196" spans="1:12" s="3" customFormat="1" ht="15" customHeight="1" x14ac:dyDescent="0.25">
      <c r="A196" s="3" t="str">
        <f t="shared" si="6"/>
        <v>ΑΚΡΟΔΡΥΑ (ΚΑΡΠΟΙ ΜΕ ΚΕΛΥΦΟΣ)ΦΙΣΤΙΚΙΕΣ ΑΙΓΙΝΗΣ</v>
      </c>
      <c r="B196" s="4" t="s">
        <v>256</v>
      </c>
      <c r="C196" s="5" t="s">
        <v>405</v>
      </c>
      <c r="D196" s="6">
        <v>6628.52</v>
      </c>
      <c r="E196" s="6">
        <v>7978.51</v>
      </c>
      <c r="F196" s="7" t="s">
        <v>14</v>
      </c>
      <c r="G196" s="8" t="s">
        <v>406</v>
      </c>
      <c r="H196" s="8" t="s">
        <v>16</v>
      </c>
      <c r="I196" s="9">
        <v>1574</v>
      </c>
      <c r="J196" s="10">
        <v>21</v>
      </c>
      <c r="K196" s="10">
        <v>8401</v>
      </c>
      <c r="L196" s="3" t="str">
        <f t="shared" si="7"/>
        <v>ΑΚΡΟΔΡΥΑ_ΚΑΡΠΟΙ_ΜΕ_ΚΕΛΥΦΟΣ</v>
      </c>
    </row>
    <row r="197" spans="1:12" s="3" customFormat="1" ht="15" customHeight="1" x14ac:dyDescent="0.25">
      <c r="A197" s="3" t="str">
        <f t="shared" si="6"/>
        <v>ΑΚΡΟΔΡΥΑ (ΚΑΡΠΟΙ ΜΕ ΚΕΛΥΦΟΣ)ΦΟΥΝΤΟΥΚΕΣ</v>
      </c>
      <c r="B197" s="18" t="s">
        <v>256</v>
      </c>
      <c r="C197" s="19" t="s">
        <v>407</v>
      </c>
      <c r="D197" s="6">
        <v>6628.52</v>
      </c>
      <c r="E197" s="6">
        <v>7978.51</v>
      </c>
      <c r="F197" s="6" t="s">
        <v>14</v>
      </c>
      <c r="G197" s="8" t="s">
        <v>408</v>
      </c>
      <c r="H197" s="8" t="s">
        <v>27</v>
      </c>
      <c r="I197" s="9">
        <v>4610</v>
      </c>
      <c r="J197" s="20">
        <v>21</v>
      </c>
      <c r="K197" s="20">
        <v>8402</v>
      </c>
      <c r="L197" s="3" t="str">
        <f t="shared" si="7"/>
        <v>ΑΚΡΟΔΡΥΑ_ΚΑΡΠΟΙ_ΜΕ_ΚΕΛΥΦΟΣ</v>
      </c>
    </row>
    <row r="198" spans="1:12" s="3" customFormat="1" ht="15" customHeight="1" x14ac:dyDescent="0.25">
      <c r="A198" s="3" t="str">
        <f t="shared" si="6"/>
        <v>ΑΚΡΟΔΡΥΑ (ΚΑΡΠΟΙ ΜΕ ΚΕΛΥΦΟΣ)ΧΑΡΟΥΠΙΕΣ ΓΙΑ ΚΑΡΠΟ</v>
      </c>
      <c r="B198" s="4" t="s">
        <v>256</v>
      </c>
      <c r="C198" s="5" t="s">
        <v>409</v>
      </c>
      <c r="D198" s="6">
        <v>1829.23</v>
      </c>
      <c r="E198" s="6">
        <v>3862.55</v>
      </c>
      <c r="F198" s="7" t="s">
        <v>14</v>
      </c>
      <c r="G198" s="8" t="s">
        <v>410</v>
      </c>
      <c r="H198" s="8" t="s">
        <v>16</v>
      </c>
      <c r="I198" s="9">
        <v>1570</v>
      </c>
      <c r="J198" s="10">
        <v>21</v>
      </c>
      <c r="K198" s="10">
        <v>8403</v>
      </c>
      <c r="L198" s="3" t="str">
        <f t="shared" si="7"/>
        <v>ΑΚΡΟΔΡΥΑ_ΚΑΡΠΟΙ_ΜΕ_ΚΕΛΥΦΟΣ</v>
      </c>
    </row>
    <row r="199" spans="1:12" s="3" customFormat="1" ht="15" customHeight="1" x14ac:dyDescent="0.25">
      <c r="A199" s="3" t="str">
        <f t="shared" si="6"/>
        <v>ΑΚΡΟΔΡΥΑ (ΚΑΡΠΟΙ ΜΕ ΚΕΛΥΦΟΣ)ΧΑΡΟΥΠΙΕΣ ΕΞΑΙΡΕΣΗ</v>
      </c>
      <c r="B199" s="4" t="s">
        <v>256</v>
      </c>
      <c r="C199" s="5" t="s">
        <v>411</v>
      </c>
      <c r="D199" s="6">
        <v>1829.23</v>
      </c>
      <c r="E199" s="6">
        <v>3862.55</v>
      </c>
      <c r="F199" s="7" t="s">
        <v>14</v>
      </c>
      <c r="G199" s="8" t="s">
        <v>412</v>
      </c>
      <c r="H199" s="8" t="s">
        <v>16</v>
      </c>
      <c r="I199" s="9">
        <v>1568</v>
      </c>
      <c r="J199" s="10">
        <v>21</v>
      </c>
      <c r="K199" s="10">
        <v>8404</v>
      </c>
      <c r="L199" s="3" t="str">
        <f t="shared" si="7"/>
        <v>ΑΚΡΟΔΡΥΑ_ΚΑΡΠΟΙ_ΜΕ_ΚΕΛΥΦΟΣ</v>
      </c>
    </row>
    <row r="200" spans="1:12" s="3" customFormat="1" ht="15" customHeight="1" x14ac:dyDescent="0.25">
      <c r="A200" s="3" t="str">
        <f t="shared" si="6"/>
        <v>ΑΚΡΟΔΡΥΑ (ΚΑΡΠΟΙ ΜΕ ΚΕΛΥΦΟΣ)ΚΑΡΥΔΙΑ ΓΙΑ ΞΗΡΟ ΚΑΡΠΟ</v>
      </c>
      <c r="B200" s="4" t="s">
        <v>256</v>
      </c>
      <c r="C200" s="5" t="s">
        <v>413</v>
      </c>
      <c r="D200" s="6">
        <v>6628.52</v>
      </c>
      <c r="E200" s="6">
        <v>7978.51</v>
      </c>
      <c r="F200" s="7" t="s">
        <v>14</v>
      </c>
      <c r="G200" s="8" t="s">
        <v>414</v>
      </c>
      <c r="H200" s="8" t="s">
        <v>16</v>
      </c>
      <c r="I200" s="9">
        <v>1572</v>
      </c>
      <c r="J200" s="10">
        <v>21</v>
      </c>
      <c r="K200" s="10">
        <v>8405</v>
      </c>
      <c r="L200" s="3" t="str">
        <f t="shared" si="7"/>
        <v>ΑΚΡΟΔΡΥΑ_ΚΑΡΠΟΙ_ΜΕ_ΚΕΛΥΦΟΣ</v>
      </c>
    </row>
    <row r="201" spans="1:12" s="3" customFormat="1" ht="15" customHeight="1" x14ac:dyDescent="0.25">
      <c r="A201" s="3" t="str">
        <f t="shared" si="6"/>
        <v>ΑΜΠΕΛΩΝΕΣ ΓΙΑ ΕΠΙΤΡΑΠΕΖΙΑ ΧΡΗΣΗΧΛΩΡΕΣ</v>
      </c>
      <c r="B201" s="4" t="s">
        <v>415</v>
      </c>
      <c r="C201" s="5" t="s">
        <v>416</v>
      </c>
      <c r="D201" s="28">
        <v>12478.95</v>
      </c>
      <c r="E201" s="28">
        <v>11989.34</v>
      </c>
      <c r="F201" s="7" t="s">
        <v>14</v>
      </c>
      <c r="G201" s="8" t="s">
        <v>417</v>
      </c>
      <c r="H201" s="8" t="s">
        <v>16</v>
      </c>
      <c r="I201" s="9">
        <v>2288</v>
      </c>
      <c r="J201" s="10" t="s">
        <v>418</v>
      </c>
      <c r="K201" s="10">
        <v>11063</v>
      </c>
      <c r="L201" s="3" t="str">
        <f t="shared" si="7"/>
        <v>ΑΜΠΕΛΩΝΕΣ_ΓΙΑ_ΕΠΙΤΡΑΠΕΖΙΑ_ΧΡΗΣΗ</v>
      </c>
    </row>
    <row r="202" spans="1:12" s="3" customFormat="1" ht="15" customHeight="1" x14ac:dyDescent="0.25">
      <c r="A202" s="3" t="str">
        <f t="shared" si="6"/>
        <v>ΑΜΠΕΛΩΝΕΣ ΓΙΑ ΕΠΙΤΡΑΠΕΖΙΑ ΧΡΗΣΗRED GLOBE</v>
      </c>
      <c r="B202" s="4" t="s">
        <v>415</v>
      </c>
      <c r="C202" s="5" t="s">
        <v>419</v>
      </c>
      <c r="D202" s="6">
        <v>12478.95</v>
      </c>
      <c r="E202" s="6">
        <v>11989.34</v>
      </c>
      <c r="F202" s="7" t="s">
        <v>14</v>
      </c>
      <c r="G202" s="8" t="s">
        <v>420</v>
      </c>
      <c r="H202" s="8" t="s">
        <v>16</v>
      </c>
      <c r="I202" s="9">
        <v>2290</v>
      </c>
      <c r="J202" s="10" t="s">
        <v>418</v>
      </c>
      <c r="K202" s="10">
        <v>11085</v>
      </c>
      <c r="L202" s="3" t="str">
        <f t="shared" si="7"/>
        <v>ΑΜΠΕΛΩΝΕΣ_ΓΙΑ_ΕΠΙΤΡΑΠΕΖΙΑ_ΧΡΗΣΗ</v>
      </c>
    </row>
    <row r="203" spans="1:12" s="3" customFormat="1" ht="15" customHeight="1" x14ac:dyDescent="0.25">
      <c r="A203" s="3" t="str">
        <f t="shared" si="6"/>
        <v>ΑΜΠΕΛΩΝΕΣ ΓΙΑ ΕΠΙΤΡΑΠΕΖΙΑ ΧΡΗΣΗΡΟΖΑΚΙ ΔΙΠΛΗΣ ΧΡΗΣΗΣ</v>
      </c>
      <c r="B203" s="4" t="s">
        <v>415</v>
      </c>
      <c r="C203" s="5" t="s">
        <v>421</v>
      </c>
      <c r="D203" s="6">
        <v>12478.95</v>
      </c>
      <c r="E203" s="6">
        <v>11989.34</v>
      </c>
      <c r="F203" s="7" t="s">
        <v>14</v>
      </c>
      <c r="G203" s="8" t="s">
        <v>422</v>
      </c>
      <c r="H203" s="8" t="s">
        <v>16</v>
      </c>
      <c r="I203" s="9">
        <v>2291</v>
      </c>
      <c r="J203" s="10" t="s">
        <v>418</v>
      </c>
      <c r="K203" s="10">
        <v>11086</v>
      </c>
      <c r="L203" s="3" t="str">
        <f t="shared" si="7"/>
        <v>ΑΜΠΕΛΩΝΕΣ_ΓΙΑ_ΕΠΙΤΡΑΠΕΖΙΑ_ΧΡΗΣΗ</v>
      </c>
    </row>
    <row r="204" spans="1:12" s="3" customFormat="1" ht="15" customHeight="1" x14ac:dyDescent="0.25">
      <c r="A204" s="3" t="str">
        <f t="shared" si="6"/>
        <v>ΑΜΠΕΛΩΝΕΣ ΓΙΑ ΕΠΙΤΡΑΠΕΖΙΑ ΧΡΗΣΗΑΕΤΟΝΥΧΙ ΑΣΠΡΟ</v>
      </c>
      <c r="B204" s="4" t="s">
        <v>415</v>
      </c>
      <c r="C204" s="5" t="s">
        <v>423</v>
      </c>
      <c r="D204" s="6">
        <v>12478.95</v>
      </c>
      <c r="E204" s="6">
        <v>11989.34</v>
      </c>
      <c r="F204" s="7" t="s">
        <v>14</v>
      </c>
      <c r="G204" s="8" t="s">
        <v>424</v>
      </c>
      <c r="H204" s="8" t="s">
        <v>16</v>
      </c>
      <c r="I204" s="9">
        <v>2287</v>
      </c>
      <c r="J204" s="10" t="s">
        <v>418</v>
      </c>
      <c r="K204" s="10">
        <v>21246</v>
      </c>
      <c r="L204" s="3" t="str">
        <f t="shared" si="7"/>
        <v>ΑΜΠΕΛΩΝΕΣ_ΓΙΑ_ΕΠΙΤΡΑΠΕΖΙΑ_ΧΡΗΣΗ</v>
      </c>
    </row>
    <row r="205" spans="1:12" s="3" customFormat="1" ht="15" customHeight="1" x14ac:dyDescent="0.25">
      <c r="A205" s="3" t="str">
        <f t="shared" si="6"/>
        <v>ΑΜΠΕΛΩΝΕΣ ΓΙΑ ΕΠΙΤΡΑΠΕΖΙΑ ΧΡΗΣΗΡΟΖΑΚΙ (ΑΒΟΥΖ ΑΛΗ, ΚΕΡΙΝΟ)</v>
      </c>
      <c r="B205" s="4" t="s">
        <v>415</v>
      </c>
      <c r="C205" s="5" t="s">
        <v>425</v>
      </c>
      <c r="D205" s="6">
        <v>12478.95</v>
      </c>
      <c r="E205" s="6">
        <v>11989.34</v>
      </c>
      <c r="F205" s="7" t="s">
        <v>14</v>
      </c>
      <c r="G205" s="8" t="s">
        <v>426</v>
      </c>
      <c r="H205" s="8" t="s">
        <v>16</v>
      </c>
      <c r="I205" s="9">
        <v>2295</v>
      </c>
      <c r="J205" s="10" t="s">
        <v>418</v>
      </c>
      <c r="K205" s="10">
        <v>21247</v>
      </c>
      <c r="L205" s="3" t="str">
        <f t="shared" si="7"/>
        <v>ΑΜΠΕΛΩΝΕΣ_ΓΙΑ_ΕΠΙΤΡΑΠΕΖΙΑ_ΧΡΗΣΗ</v>
      </c>
    </row>
    <row r="206" spans="1:12" s="3" customFormat="1" ht="15" customHeight="1" x14ac:dyDescent="0.25">
      <c r="A206" s="3" t="str">
        <f t="shared" si="6"/>
        <v>ΑΜΠΕΛΩΝΕΣ ΓΙΑ ΕΠΙΤΡΑΠΕΖΙΑ ΧΡΗΣΗΡΑΖΑΚΙ ΔΙΠΛΗΣ ΧΡΗΣΗΣ</v>
      </c>
      <c r="B206" s="4" t="s">
        <v>415</v>
      </c>
      <c r="C206" s="5" t="s">
        <v>427</v>
      </c>
      <c r="D206" s="6">
        <v>12478.95</v>
      </c>
      <c r="E206" s="6">
        <v>11989.34</v>
      </c>
      <c r="F206" s="7" t="s">
        <v>14</v>
      </c>
      <c r="G206" s="8" t="s">
        <v>428</v>
      </c>
      <c r="H206" s="8" t="s">
        <v>16</v>
      </c>
      <c r="I206" s="9">
        <v>2296</v>
      </c>
      <c r="J206" s="10" t="s">
        <v>418</v>
      </c>
      <c r="K206" s="10">
        <v>21248</v>
      </c>
      <c r="L206" s="3" t="str">
        <f t="shared" si="7"/>
        <v>ΑΜΠΕΛΩΝΕΣ_ΓΙΑ_ΕΠΙΤΡΑΠΕΖΙΑ_ΧΡΗΣΗ</v>
      </c>
    </row>
    <row r="207" spans="1:12" s="3" customFormat="1" ht="15" customHeight="1" x14ac:dyDescent="0.25">
      <c r="A207" s="3" t="str">
        <f t="shared" si="6"/>
        <v>ΑΜΠΕΛΩΝΕΣ ΓΙΑ ΕΠΙΤΡΑΠΕΖΙΑ ΧΡΗΣΗΑΛΕΝΤΟ (ALEDO)</v>
      </c>
      <c r="B207" s="4" t="s">
        <v>415</v>
      </c>
      <c r="C207" s="5" t="s">
        <v>429</v>
      </c>
      <c r="D207" s="6">
        <v>12478.95</v>
      </c>
      <c r="E207" s="6">
        <v>11989.34</v>
      </c>
      <c r="F207" s="7" t="s">
        <v>14</v>
      </c>
      <c r="G207" s="8" t="s">
        <v>430</v>
      </c>
      <c r="H207" s="8" t="s">
        <v>16</v>
      </c>
      <c r="I207" s="9">
        <v>2297</v>
      </c>
      <c r="J207" s="10" t="s">
        <v>418</v>
      </c>
      <c r="K207" s="10">
        <v>21250</v>
      </c>
      <c r="L207" s="3" t="str">
        <f t="shared" si="7"/>
        <v>ΑΜΠΕΛΩΝΕΣ_ΓΙΑ_ΕΠΙΤΡΑΠΕΖΙΑ_ΧΡΗΣΗ</v>
      </c>
    </row>
    <row r="208" spans="1:12" s="3" customFormat="1" ht="15" customHeight="1" x14ac:dyDescent="0.25">
      <c r="A208" s="3" t="str">
        <f t="shared" si="6"/>
        <v>ΑΜΠΕΛΩΝΕΣ ΓΙΑ ΕΠΙΤΡΑΠΕΖΙΑ ΧΡΗΣΗΑΥΓΟΥΛΑΤΟ (ΚΟΛΟΚΥΘΑΤΟ)</v>
      </c>
      <c r="B208" s="4" t="s">
        <v>415</v>
      </c>
      <c r="C208" s="5" t="s">
        <v>431</v>
      </c>
      <c r="D208" s="6">
        <v>12478.95</v>
      </c>
      <c r="E208" s="6">
        <v>11989.34</v>
      </c>
      <c r="F208" s="7" t="s">
        <v>14</v>
      </c>
      <c r="G208" s="8" t="s">
        <v>432</v>
      </c>
      <c r="H208" s="8" t="s">
        <v>16</v>
      </c>
      <c r="I208" s="9">
        <v>2298</v>
      </c>
      <c r="J208" s="10" t="s">
        <v>418</v>
      </c>
      <c r="K208" s="10">
        <v>21251</v>
      </c>
      <c r="L208" s="3" t="str">
        <f t="shared" si="7"/>
        <v>ΑΜΠΕΛΩΝΕΣ_ΓΙΑ_ΕΠΙΤΡΑΠΕΖΙΑ_ΧΡΗΣΗ</v>
      </c>
    </row>
    <row r="209" spans="1:12" s="3" customFormat="1" ht="15" customHeight="1" x14ac:dyDescent="0.25">
      <c r="A209" s="3" t="str">
        <f t="shared" si="6"/>
        <v>ΑΜΠΕΛΩΝΕΣ ΓΙΑ ΕΠΙΤΡΑΠΕΖΙΑ ΧΡΗΣΗΒΙΚΤΩΡΙΑ (VICTORIA)</v>
      </c>
      <c r="B209" s="4" t="s">
        <v>415</v>
      </c>
      <c r="C209" s="5" t="s">
        <v>433</v>
      </c>
      <c r="D209" s="6">
        <v>12478.95</v>
      </c>
      <c r="E209" s="6">
        <v>11989.34</v>
      </c>
      <c r="F209" s="7" t="s">
        <v>14</v>
      </c>
      <c r="G209" s="8" t="s">
        <v>434</v>
      </c>
      <c r="H209" s="8" t="s">
        <v>16</v>
      </c>
      <c r="I209" s="9">
        <v>2299</v>
      </c>
      <c r="J209" s="10" t="s">
        <v>418</v>
      </c>
      <c r="K209" s="10">
        <v>21252</v>
      </c>
      <c r="L209" s="3" t="str">
        <f t="shared" si="7"/>
        <v>ΑΜΠΕΛΩΝΕΣ_ΓΙΑ_ΕΠΙΤΡΑΠΕΖΙΑ_ΧΡΗΣΗ</v>
      </c>
    </row>
    <row r="210" spans="1:12" s="3" customFormat="1" ht="15" customHeight="1" x14ac:dyDescent="0.25">
      <c r="A210" s="3" t="str">
        <f t="shared" si="6"/>
        <v>ΑΜΠΕΛΩΝΕΣ ΓΙΑ ΕΠΙΤΡΑΠΕΖΙΑ ΧΡΗΣΗΓΚΟΛΝΤ (GOLD)</v>
      </c>
      <c r="B210" s="4" t="s">
        <v>415</v>
      </c>
      <c r="C210" s="5" t="s">
        <v>435</v>
      </c>
      <c r="D210" s="6">
        <v>12478.95</v>
      </c>
      <c r="E210" s="6">
        <v>11989.34</v>
      </c>
      <c r="F210" s="7" t="s">
        <v>14</v>
      </c>
      <c r="G210" s="8" t="s">
        <v>436</v>
      </c>
      <c r="H210" s="8" t="s">
        <v>16</v>
      </c>
      <c r="I210" s="9">
        <v>2292</v>
      </c>
      <c r="J210" s="10" t="s">
        <v>418</v>
      </c>
      <c r="K210" s="10">
        <v>21253</v>
      </c>
      <c r="L210" s="3" t="str">
        <f t="shared" si="7"/>
        <v>ΑΜΠΕΛΩΝΕΣ_ΓΙΑ_ΕΠΙΤΡΑΠΕΖΙΑ_ΧΡΗΣΗ</v>
      </c>
    </row>
    <row r="211" spans="1:12" s="3" customFormat="1" ht="15" customHeight="1" x14ac:dyDescent="0.25">
      <c r="A211" s="3" t="str">
        <f t="shared" si="6"/>
        <v>ΑΜΠΕΛΩΝΕΣ ΓΙΑ ΕΠΙΤΡΑΠΕΖΙΑ ΧΡΗΣΗΕΛΛΑΣ</v>
      </c>
      <c r="B211" s="4" t="s">
        <v>415</v>
      </c>
      <c r="C211" s="5" t="s">
        <v>437</v>
      </c>
      <c r="D211" s="6">
        <v>12478.95</v>
      </c>
      <c r="E211" s="6">
        <v>11989.34</v>
      </c>
      <c r="F211" s="7" t="s">
        <v>14</v>
      </c>
      <c r="G211" s="8" t="s">
        <v>438</v>
      </c>
      <c r="H211" s="8" t="s">
        <v>16</v>
      </c>
      <c r="I211" s="9">
        <v>2237</v>
      </c>
      <c r="J211" s="10" t="s">
        <v>418</v>
      </c>
      <c r="K211" s="10">
        <v>21254</v>
      </c>
      <c r="L211" s="3" t="str">
        <f t="shared" si="7"/>
        <v>ΑΜΠΕΛΩΝΕΣ_ΓΙΑ_ΕΠΙΤΡΑΠΕΖΙΑ_ΧΡΗΣΗ</v>
      </c>
    </row>
    <row r="212" spans="1:12" s="3" customFormat="1" ht="15" customHeight="1" x14ac:dyDescent="0.25">
      <c r="A212" s="3" t="str">
        <f t="shared" si="6"/>
        <v>ΑΜΠΕΛΩΝΕΣ ΓΙΑ ΕΠΙΤΡΑΠΕΖΙΑ ΧΡΗΣΗΘΕΣΣΑΛΟΝΙΚΗ</v>
      </c>
      <c r="B212" s="4" t="s">
        <v>415</v>
      </c>
      <c r="C212" s="5" t="s">
        <v>439</v>
      </c>
      <c r="D212" s="6">
        <v>12478.95</v>
      </c>
      <c r="E212" s="6">
        <v>11989.34</v>
      </c>
      <c r="F212" s="7" t="s">
        <v>14</v>
      </c>
      <c r="G212" s="8" t="s">
        <v>440</v>
      </c>
      <c r="H212" s="8" t="s">
        <v>16</v>
      </c>
      <c r="I212" s="9">
        <v>2240</v>
      </c>
      <c r="J212" s="10" t="s">
        <v>418</v>
      </c>
      <c r="K212" s="10">
        <v>21255</v>
      </c>
      <c r="L212" s="3" t="str">
        <f t="shared" si="7"/>
        <v>ΑΜΠΕΛΩΝΕΣ_ΓΙΑ_ΕΠΙΤΡΑΠΕΖΙΑ_ΧΡΗΣΗ</v>
      </c>
    </row>
    <row r="213" spans="1:12" s="3" customFormat="1" ht="15" customHeight="1" x14ac:dyDescent="0.25">
      <c r="A213" s="3" t="str">
        <f t="shared" si="6"/>
        <v>ΑΜΠΕΛΩΝΕΣ ΓΙΑ ΕΠΙΤΡΑΠΕΖΙΑ ΧΡΗΣΗΙΤΑΛΙΑ (ITALIA)</v>
      </c>
      <c r="B213" s="4" t="s">
        <v>415</v>
      </c>
      <c r="C213" s="5" t="s">
        <v>441</v>
      </c>
      <c r="D213" s="6">
        <v>12478.95</v>
      </c>
      <c r="E213" s="6">
        <v>11989.34</v>
      </c>
      <c r="F213" s="7" t="s">
        <v>14</v>
      </c>
      <c r="G213" s="8" t="s">
        <v>442</v>
      </c>
      <c r="H213" s="8" t="s">
        <v>16</v>
      </c>
      <c r="I213" s="9">
        <v>2241</v>
      </c>
      <c r="J213" s="10" t="s">
        <v>418</v>
      </c>
      <c r="K213" s="10">
        <v>21256</v>
      </c>
      <c r="L213" s="3" t="str">
        <f t="shared" si="7"/>
        <v>ΑΜΠΕΛΩΝΕΣ_ΓΙΑ_ΕΠΙΤΡΑΠΕΖΙΑ_ΧΡΗΣΗ</v>
      </c>
    </row>
    <row r="214" spans="1:12" s="3" customFormat="1" ht="15" customHeight="1" x14ac:dyDescent="0.25">
      <c r="A214" s="3" t="str">
        <f t="shared" si="6"/>
        <v>ΑΜΠΕΛΩΝΕΣ ΓΙΑ ΕΠΙΤΡΑΠΕΖΙΑ ΧΡΗΣΗΚΑΛΜΕΡΙΑ (CALMERIA)</v>
      </c>
      <c r="B214" s="4" t="s">
        <v>415</v>
      </c>
      <c r="C214" s="5" t="s">
        <v>443</v>
      </c>
      <c r="D214" s="6">
        <v>12478.95</v>
      </c>
      <c r="E214" s="6">
        <v>11989.34</v>
      </c>
      <c r="F214" s="7" t="s">
        <v>14</v>
      </c>
      <c r="G214" s="8" t="s">
        <v>444</v>
      </c>
      <c r="H214" s="8" t="s">
        <v>16</v>
      </c>
      <c r="I214" s="9">
        <v>2242</v>
      </c>
      <c r="J214" s="10" t="s">
        <v>418</v>
      </c>
      <c r="K214" s="10">
        <v>21257</v>
      </c>
      <c r="L214" s="3" t="str">
        <f t="shared" si="7"/>
        <v>ΑΜΠΕΛΩΝΕΣ_ΓΙΑ_ΕΠΙΤΡΑΠΕΖΙΑ_ΧΡΗΣΗ</v>
      </c>
    </row>
    <row r="215" spans="1:12" s="3" customFormat="1" ht="15" customHeight="1" x14ac:dyDescent="0.25">
      <c r="A215" s="3" t="str">
        <f t="shared" si="6"/>
        <v>ΑΜΠΕΛΩΝΕΣ ΓΙΑ ΕΠΙΤΡΑΠΕΖΙΑ ΧΡΗΣΗΚΑΡΥΔΑΤΟ (ΕΠΙΤΡΑΠΕΖΙΑ)</v>
      </c>
      <c r="B215" s="4" t="s">
        <v>415</v>
      </c>
      <c r="C215" s="5" t="s">
        <v>445</v>
      </c>
      <c r="D215" s="6">
        <v>12478.95</v>
      </c>
      <c r="E215" s="6">
        <v>11989.34</v>
      </c>
      <c r="F215" s="7" t="s">
        <v>14</v>
      </c>
      <c r="G215" s="8" t="s">
        <v>446</v>
      </c>
      <c r="H215" s="8" t="s">
        <v>16</v>
      </c>
      <c r="I215" s="9">
        <v>2243</v>
      </c>
      <c r="J215" s="10" t="s">
        <v>418</v>
      </c>
      <c r="K215" s="10">
        <v>21258</v>
      </c>
      <c r="L215" s="3" t="str">
        <f t="shared" si="7"/>
        <v>ΑΜΠΕΛΩΝΕΣ_ΓΙΑ_ΕΠΙΤΡΑΠΕΖΙΑ_ΧΡΗΣΗ</v>
      </c>
    </row>
    <row r="216" spans="1:12" s="3" customFormat="1" ht="15" customHeight="1" x14ac:dyDescent="0.25">
      <c r="A216" s="3" t="str">
        <f t="shared" si="6"/>
        <v>ΑΜΠΕΛΩΝΕΣ ΓΙΑ ΕΠΙΤΡΑΠΕΖΙΑ ΧΡΗΣΗΛΕΥΚΑΣ</v>
      </c>
      <c r="B216" s="4" t="s">
        <v>415</v>
      </c>
      <c r="C216" s="5" t="s">
        <v>447</v>
      </c>
      <c r="D216" s="6">
        <v>12478.95</v>
      </c>
      <c r="E216" s="6">
        <v>11989.34</v>
      </c>
      <c r="F216" s="7" t="s">
        <v>14</v>
      </c>
      <c r="G216" s="8" t="s">
        <v>448</v>
      </c>
      <c r="H216" s="8" t="s">
        <v>16</v>
      </c>
      <c r="I216" s="9">
        <v>2244</v>
      </c>
      <c r="J216" s="10" t="s">
        <v>418</v>
      </c>
      <c r="K216" s="10">
        <v>21259</v>
      </c>
      <c r="L216" s="3" t="str">
        <f t="shared" si="7"/>
        <v>ΑΜΠΕΛΩΝΕΣ_ΓΙΑ_ΕΠΙΤΡΑΠΕΖΙΑ_ΧΡΗΣΗ</v>
      </c>
    </row>
    <row r="217" spans="1:12" s="3" customFormat="1" ht="15" customHeight="1" x14ac:dyDescent="0.25">
      <c r="A217" s="3" t="str">
        <f t="shared" si="6"/>
        <v>ΑΜΠΕΛΩΝΕΣ ΓΙΑ ΕΠΙΤΡΑΠΕΖΙΑ ΧΡΗΣΗΜΟΥΣΚΑ ΡΕΝ ΝΤΕ ΒΙΝΙ (ΒΑΣΙΛΙΣΣΑ, ΡΟΖΑΚΙ ΟΥΓΓΑΡΙΑΣ)</v>
      </c>
      <c r="B217" s="4" t="s">
        <v>415</v>
      </c>
      <c r="C217" s="5" t="s">
        <v>449</v>
      </c>
      <c r="D217" s="6">
        <v>12478.95</v>
      </c>
      <c r="E217" s="6">
        <v>11989.34</v>
      </c>
      <c r="F217" s="7" t="s">
        <v>14</v>
      </c>
      <c r="G217" s="8" t="s">
        <v>450</v>
      </c>
      <c r="H217" s="8" t="s">
        <v>16</v>
      </c>
      <c r="I217" s="9">
        <v>2254</v>
      </c>
      <c r="J217" s="10" t="s">
        <v>418</v>
      </c>
      <c r="K217" s="10">
        <v>21260</v>
      </c>
      <c r="L217" s="3" t="str">
        <f t="shared" si="7"/>
        <v>ΑΜΠΕΛΩΝΕΣ_ΓΙΑ_ΕΠΙΤΡΑΠΕΖΙΑ_ΧΡΗΣΗ</v>
      </c>
    </row>
    <row r="218" spans="1:12" s="3" customFormat="1" ht="15" customHeight="1" x14ac:dyDescent="0.25">
      <c r="A218" s="3" t="str">
        <f t="shared" si="6"/>
        <v>ΑΜΠΕΛΩΝΕΣ ΓΙΑ ΕΠΙΤΡΑΠΕΖΙΑ ΧΡΗΣΗΟΨΙΜΟ ΕΔΕΣΣΗΣ (ΑΜΑΣΣΙ, ΚΑΡΑΤΖΟΒΑΣ, ΦΟΥΣΤΑΝΙ)</v>
      </c>
      <c r="B218" s="4" t="s">
        <v>415</v>
      </c>
      <c r="C218" s="5" t="s">
        <v>451</v>
      </c>
      <c r="D218" s="6">
        <v>12478.95</v>
      </c>
      <c r="E218" s="6">
        <v>11989.34</v>
      </c>
      <c r="F218" s="7" t="s">
        <v>14</v>
      </c>
      <c r="G218" s="8" t="s">
        <v>452</v>
      </c>
      <c r="H218" s="8" t="s">
        <v>16</v>
      </c>
      <c r="I218" s="9">
        <v>2246</v>
      </c>
      <c r="J218" s="10" t="s">
        <v>418</v>
      </c>
      <c r="K218" s="10">
        <v>21261</v>
      </c>
      <c r="L218" s="3" t="str">
        <f t="shared" si="7"/>
        <v>ΑΜΠΕΛΩΝΕΣ_ΓΙΑ_ΕΠΙΤΡΑΠΕΖΙΑ_ΧΡΗΣΗ</v>
      </c>
    </row>
    <row r="219" spans="1:12" s="3" customFormat="1" ht="15" customHeight="1" x14ac:dyDescent="0.25">
      <c r="A219" s="3" t="str">
        <f t="shared" si="6"/>
        <v>ΑΜΠΕΛΩΝΕΣ ΓΙΑ ΕΠΙΤΡΑΠΕΖΙΑ ΧΡΗΣΗΟΨΙΜΟ ΕΔΕΣΣΗΣ Δ.Χ</v>
      </c>
      <c r="B219" s="4" t="s">
        <v>415</v>
      </c>
      <c r="C219" s="5" t="s">
        <v>453</v>
      </c>
      <c r="D219" s="6">
        <v>12478.95</v>
      </c>
      <c r="E219" s="6">
        <v>11989.34</v>
      </c>
      <c r="F219" s="7" t="s">
        <v>14</v>
      </c>
      <c r="G219" s="8" t="s">
        <v>454</v>
      </c>
      <c r="H219" s="8" t="s">
        <v>16</v>
      </c>
      <c r="I219" s="9">
        <v>2239</v>
      </c>
      <c r="J219" s="10" t="s">
        <v>418</v>
      </c>
      <c r="K219" s="10">
        <v>21262</v>
      </c>
      <c r="L219" s="3" t="str">
        <f t="shared" si="7"/>
        <v>ΑΜΠΕΛΩΝΕΣ_ΓΙΑ_ΕΠΙΤΡΑΠΕΖΙΑ_ΧΡΗΣΗ</v>
      </c>
    </row>
    <row r="220" spans="1:12" s="3" customFormat="1" ht="15" customHeight="1" x14ac:dyDescent="0.25">
      <c r="A220" s="3" t="str">
        <f t="shared" si="6"/>
        <v>ΑΜΠΕΛΩΝΕΣ ΓΙΑ ΕΠΙΤΡΑΠΕΖΙΑ ΧΡΗΣΗΟΨΙΜΟ ΣΟΥΦΛΙΟΥ</v>
      </c>
      <c r="B220" s="4" t="s">
        <v>415</v>
      </c>
      <c r="C220" s="5" t="s">
        <v>455</v>
      </c>
      <c r="D220" s="6">
        <v>12478.95</v>
      </c>
      <c r="E220" s="6">
        <v>11989.34</v>
      </c>
      <c r="F220" s="7" t="s">
        <v>14</v>
      </c>
      <c r="G220" s="8" t="s">
        <v>456</v>
      </c>
      <c r="H220" s="8" t="s">
        <v>16</v>
      </c>
      <c r="I220" s="9">
        <v>2279</v>
      </c>
      <c r="J220" s="10" t="s">
        <v>418</v>
      </c>
      <c r="K220" s="10">
        <v>21263</v>
      </c>
      <c r="L220" s="3" t="str">
        <f t="shared" si="7"/>
        <v>ΑΜΠΕΛΩΝΕΣ_ΓΙΑ_ΕΠΙΤΡΑΠΕΖΙΑ_ΧΡΗΣΗ</v>
      </c>
    </row>
    <row r="221" spans="1:12" s="3" customFormat="1" ht="15" customHeight="1" x14ac:dyDescent="0.25">
      <c r="A221" s="3" t="str">
        <f t="shared" si="6"/>
        <v>ΑΜΠΕΛΩΝΕΣ ΓΙΑ ΕΠΙΤΡΑΠΕΖΙΑ ΧΡΗΣΗΟΧΑΝΕΣ (OHANEZ)</v>
      </c>
      <c r="B221" s="4" t="s">
        <v>415</v>
      </c>
      <c r="C221" s="5" t="s">
        <v>457</v>
      </c>
      <c r="D221" s="6">
        <v>12478.95</v>
      </c>
      <c r="E221" s="6">
        <v>11989.34</v>
      </c>
      <c r="F221" s="7" t="s">
        <v>14</v>
      </c>
      <c r="G221" s="8" t="s">
        <v>458</v>
      </c>
      <c r="H221" s="8" t="s">
        <v>16</v>
      </c>
      <c r="I221" s="9">
        <v>2248</v>
      </c>
      <c r="J221" s="10" t="s">
        <v>418</v>
      </c>
      <c r="K221" s="10">
        <v>21265</v>
      </c>
      <c r="L221" s="3" t="str">
        <f t="shared" si="7"/>
        <v>ΑΜΠΕΛΩΝΕΣ_ΓΙΑ_ΕΠΙΤΡΑΠΕΖΙΑ_ΧΡΗΣΗ</v>
      </c>
    </row>
    <row r="222" spans="1:12" s="3" customFormat="1" ht="15" customHeight="1" x14ac:dyDescent="0.25">
      <c r="A222" s="3" t="str">
        <f t="shared" si="6"/>
        <v>ΑΜΠΕΛΩΝΕΣ ΓΙΑ ΕΠΙΤΡΑΠΕΖΙΑ ΧΡΗΣΗΠΕΡΛΕΤ (PERLETTE)</v>
      </c>
      <c r="B222" s="4" t="s">
        <v>415</v>
      </c>
      <c r="C222" s="5" t="s">
        <v>459</v>
      </c>
      <c r="D222" s="6">
        <v>12478.95</v>
      </c>
      <c r="E222" s="6">
        <v>11989.34</v>
      </c>
      <c r="F222" s="7" t="s">
        <v>14</v>
      </c>
      <c r="G222" s="8" t="s">
        <v>460</v>
      </c>
      <c r="H222" s="8" t="s">
        <v>16</v>
      </c>
      <c r="I222" s="9">
        <v>2293</v>
      </c>
      <c r="J222" s="10" t="s">
        <v>418</v>
      </c>
      <c r="K222" s="10">
        <v>21266</v>
      </c>
      <c r="L222" s="3" t="str">
        <f t="shared" si="7"/>
        <v>ΑΜΠΕΛΩΝΕΣ_ΓΙΑ_ΕΠΙΤΡΑΠΕΖΙΑ_ΧΡΗΣΗ</v>
      </c>
    </row>
    <row r="223" spans="1:12" s="3" customFormat="1" ht="15" customHeight="1" x14ac:dyDescent="0.25">
      <c r="A223" s="3" t="str">
        <f t="shared" si="6"/>
        <v>ΑΜΠΕΛΩΝΕΣ ΓΙΑ ΕΠΙΤΡΑΠΕΖΙΑ ΧΡΗΣΗΑΛΛΕΣ</v>
      </c>
      <c r="B223" s="4" t="s">
        <v>415</v>
      </c>
      <c r="C223" s="5" t="s">
        <v>461</v>
      </c>
      <c r="D223" s="6">
        <v>12478.95</v>
      </c>
      <c r="E223" s="6">
        <v>11989.34</v>
      </c>
      <c r="F223" s="7" t="s">
        <v>14</v>
      </c>
      <c r="G223" s="8" t="s">
        <v>462</v>
      </c>
      <c r="H223" s="8" t="s">
        <v>16</v>
      </c>
      <c r="I223" s="9">
        <v>2249</v>
      </c>
      <c r="J223" s="10" t="s">
        <v>418</v>
      </c>
      <c r="K223" s="10">
        <v>21268</v>
      </c>
      <c r="L223" s="3" t="str">
        <f t="shared" si="7"/>
        <v>ΑΜΠΕΛΩΝΕΣ_ΓΙΑ_ΕΠΙΤΡΑΠΕΖΙΑ_ΧΡΗΣΗ</v>
      </c>
    </row>
    <row r="224" spans="1:12" s="3" customFormat="1" ht="15" customHeight="1" x14ac:dyDescent="0.25">
      <c r="A224" s="3" t="str">
        <f t="shared" si="6"/>
        <v>ΑΜΠΕΛΩΝΕΣ ΓΙΑ ΕΠΙΤΡΑΠΕΖΙΑ ΧΡΗΣΗΒΕΡΓΙΝΑ</v>
      </c>
      <c r="B224" s="4" t="s">
        <v>415</v>
      </c>
      <c r="C224" s="5" t="s">
        <v>463</v>
      </c>
      <c r="D224" s="6">
        <v>12478.95</v>
      </c>
      <c r="E224" s="6">
        <v>11989.34</v>
      </c>
      <c r="F224" s="7" t="s">
        <v>14</v>
      </c>
      <c r="G224" s="8" t="s">
        <v>464</v>
      </c>
      <c r="H224" s="8" t="s">
        <v>16</v>
      </c>
      <c r="I224" s="9">
        <v>2250</v>
      </c>
      <c r="J224" s="10" t="s">
        <v>418</v>
      </c>
      <c r="K224" s="10">
        <v>21269</v>
      </c>
      <c r="L224" s="3" t="str">
        <f t="shared" si="7"/>
        <v>ΑΜΠΕΛΩΝΕΣ_ΓΙΑ_ΕΠΙΤΡΑΠΕΖΙΑ_ΧΡΗΣΗ</v>
      </c>
    </row>
    <row r="225" spans="1:12" s="3" customFormat="1" ht="15" customHeight="1" x14ac:dyDescent="0.25">
      <c r="A225" s="3" t="str">
        <f t="shared" si="6"/>
        <v>ΑΜΠΕΛΩΝΕΣ ΓΙΑ ΕΠΙΤΡΑΠΕΖΙΑ ΧΡΗΣΗΜΟΣΧΑΤΟ ΑΛΕΞΑΝΔΡΕΙΑΣ</v>
      </c>
      <c r="B225" s="4" t="s">
        <v>415</v>
      </c>
      <c r="C225" s="5" t="s">
        <v>465</v>
      </c>
      <c r="D225" s="6">
        <v>12478.95</v>
      </c>
      <c r="E225" s="6">
        <v>11989.34</v>
      </c>
      <c r="F225" s="7" t="s">
        <v>14</v>
      </c>
      <c r="G225" s="8" t="s">
        <v>466</v>
      </c>
      <c r="H225" s="8" t="s">
        <v>16</v>
      </c>
      <c r="I225" s="9">
        <v>2251</v>
      </c>
      <c r="J225" s="10" t="s">
        <v>418</v>
      </c>
      <c r="K225" s="10">
        <v>21270</v>
      </c>
      <c r="L225" s="3" t="str">
        <f t="shared" si="7"/>
        <v>ΑΜΠΕΛΩΝΕΣ_ΓΙΑ_ΕΠΙΤΡΑΠΕΖΙΑ_ΧΡΗΣΗ</v>
      </c>
    </row>
    <row r="226" spans="1:12" s="3" customFormat="1" ht="15" customHeight="1" x14ac:dyDescent="0.25">
      <c r="A226" s="3" t="str">
        <f t="shared" si="6"/>
        <v>ΑΜΠΕΛΩΝΕΣ ΓΙΑ ΕΠΙΤΡΑΠΕΖΙΑ ΧΡΗΣΗΝΕΒΑΝΤΟ</v>
      </c>
      <c r="B226" s="4" t="s">
        <v>415</v>
      </c>
      <c r="C226" s="5" t="s">
        <v>467</v>
      </c>
      <c r="D226" s="6">
        <v>12478.95</v>
      </c>
      <c r="E226" s="6">
        <v>11989.34</v>
      </c>
      <c r="F226" s="7" t="s">
        <v>14</v>
      </c>
      <c r="G226" s="8" t="s">
        <v>468</v>
      </c>
      <c r="H226" s="8" t="s">
        <v>16</v>
      </c>
      <c r="I226" s="9">
        <v>2252</v>
      </c>
      <c r="J226" s="10" t="s">
        <v>418</v>
      </c>
      <c r="K226" s="10">
        <v>21271</v>
      </c>
      <c r="L226" s="3" t="str">
        <f t="shared" si="7"/>
        <v>ΑΜΠΕΛΩΝΕΣ_ΓΙΑ_ΕΠΙΤΡΑΠΕΖΙΑ_ΧΡΗΣΗ</v>
      </c>
    </row>
    <row r="227" spans="1:12" s="3" customFormat="1" ht="15" customHeight="1" x14ac:dyDescent="0.25">
      <c r="A227" s="3" t="str">
        <f t="shared" si="6"/>
        <v>ΑΜΠΕΛΩΝΕΣ ΓΙΑ ΕΠΙΤΡΑΠΕΖΙΑ ΧΡΗΣΗΣΟΥΛΤΑΝΙΝΑ</v>
      </c>
      <c r="B227" s="4" t="s">
        <v>415</v>
      </c>
      <c r="C227" s="5" t="s">
        <v>469</v>
      </c>
      <c r="D227" s="6">
        <v>12478.95</v>
      </c>
      <c r="E227" s="6">
        <v>11989.34</v>
      </c>
      <c r="F227" s="7" t="s">
        <v>14</v>
      </c>
      <c r="G227" s="8" t="s">
        <v>470</v>
      </c>
      <c r="H227" s="8" t="s">
        <v>16</v>
      </c>
      <c r="I227" s="9">
        <v>2253</v>
      </c>
      <c r="J227" s="10" t="s">
        <v>418</v>
      </c>
      <c r="K227" s="10">
        <v>21272</v>
      </c>
      <c r="L227" s="3" t="str">
        <f t="shared" si="7"/>
        <v>ΑΜΠΕΛΩΝΕΣ_ΓΙΑ_ΕΠΙΤΡΑΠΕΖΙΑ_ΧΡΗΣΗ</v>
      </c>
    </row>
    <row r="228" spans="1:12" s="3" customFormat="1" ht="15" customHeight="1" x14ac:dyDescent="0.25">
      <c r="A228" s="3" t="str">
        <f t="shared" si="6"/>
        <v>ΑΜΠΕΛΩΝΕΣ ΓΙΑ ΕΠΙΤΡΑΠΕΖΙΑ ΧΡΗΣΗΚΩΝΣΤΑΝΤΙΝΑ</v>
      </c>
      <c r="B228" s="4" t="s">
        <v>415</v>
      </c>
      <c r="C228" s="5" t="s">
        <v>471</v>
      </c>
      <c r="D228" s="6">
        <v>12478.95</v>
      </c>
      <c r="E228" s="6">
        <v>11989.34</v>
      </c>
      <c r="F228" s="7" t="s">
        <v>14</v>
      </c>
      <c r="G228" s="8" t="s">
        <v>472</v>
      </c>
      <c r="H228" s="8" t="s">
        <v>16</v>
      </c>
      <c r="I228" s="9">
        <v>2231</v>
      </c>
      <c r="J228" s="10" t="s">
        <v>418</v>
      </c>
      <c r="K228" s="10">
        <v>21274</v>
      </c>
      <c r="L228" s="3" t="str">
        <f t="shared" si="7"/>
        <v>ΑΜΠΕΛΩΝΕΣ_ΓΙΑ_ΕΠΙΤΡΑΠΕΖΙΑ_ΧΡΗΣΗ</v>
      </c>
    </row>
    <row r="229" spans="1:12" s="3" customFormat="1" ht="15" customHeight="1" x14ac:dyDescent="0.25">
      <c r="A229" s="3" t="str">
        <f t="shared" si="6"/>
        <v>ΑΜΠΕΛΩΝΕΣ ΓΙΑ ΕΠΙΤΡΑΠΕΖΙΑ ΧΡΗΣΗΣΟΥΠΕΡΙΟΡ ΣΙΝΤΛΕΣ (SOUPERIOR SEEDLESS) B</v>
      </c>
      <c r="B229" s="4" t="s">
        <v>415</v>
      </c>
      <c r="C229" s="5" t="s">
        <v>473</v>
      </c>
      <c r="D229" s="6">
        <v>12478.95</v>
      </c>
      <c r="E229" s="6">
        <v>11989.34</v>
      </c>
      <c r="F229" s="7" t="s">
        <v>14</v>
      </c>
      <c r="G229" s="8" t="s">
        <v>474</v>
      </c>
      <c r="H229" s="8" t="s">
        <v>16</v>
      </c>
      <c r="I229" s="9">
        <v>2229</v>
      </c>
      <c r="J229" s="10" t="s">
        <v>418</v>
      </c>
      <c r="K229" s="10">
        <v>21278</v>
      </c>
      <c r="L229" s="3" t="str">
        <f t="shared" si="7"/>
        <v>ΑΜΠΕΛΩΝΕΣ_ΓΙΑ_ΕΠΙΤΡΑΠΕΖΙΑ_ΧΡΗΣΗ</v>
      </c>
    </row>
    <row r="230" spans="1:12" s="3" customFormat="1" ht="15" customHeight="1" x14ac:dyDescent="0.25">
      <c r="A230" s="3" t="str">
        <f t="shared" si="6"/>
        <v>ΑΜΠΕΛΩΝΕΣ ΓΙΑ ΕΠΙΤΡΑΠΕΖΙΑ ΧΡΗΣΗΑΕΤΟΝΥΧΙ ΜΑΥΡΟ</v>
      </c>
      <c r="B230" s="4" t="s">
        <v>415</v>
      </c>
      <c r="C230" s="5" t="s">
        <v>475</v>
      </c>
      <c r="D230" s="6">
        <v>12478.95</v>
      </c>
      <c r="E230" s="6">
        <v>11989.34</v>
      </c>
      <c r="F230" s="7" t="s">
        <v>14</v>
      </c>
      <c r="G230" s="8" t="s">
        <v>476</v>
      </c>
      <c r="H230" s="8" t="s">
        <v>16</v>
      </c>
      <c r="I230" s="9">
        <v>2245</v>
      </c>
      <c r="J230" s="10" t="s">
        <v>418</v>
      </c>
      <c r="K230" s="10">
        <v>22246</v>
      </c>
      <c r="L230" s="3" t="str">
        <f t="shared" si="7"/>
        <v>ΑΜΠΕΛΩΝΕΣ_ΓΙΑ_ΕΠΙΤΡΑΠΕΖΙΑ_ΧΡΗΣΗ</v>
      </c>
    </row>
    <row r="231" spans="1:12" s="3" customFormat="1" ht="15" customHeight="1" x14ac:dyDescent="0.25">
      <c r="A231" s="3" t="str">
        <f t="shared" si="6"/>
        <v>ΑΜΠΕΛΩΝΕΣ ΓΙΑ ΕΠΙΤΡΑΠΕΖΙΑ ΧΡΗΣΗΡΑΖΑΚΙ ΜΑΥΡΟ</v>
      </c>
      <c r="B231" s="4" t="s">
        <v>415</v>
      </c>
      <c r="C231" s="5" t="s">
        <v>477</v>
      </c>
      <c r="D231" s="6">
        <v>12478.95</v>
      </c>
      <c r="E231" s="6">
        <v>11989.34</v>
      </c>
      <c r="F231" s="7" t="s">
        <v>14</v>
      </c>
      <c r="G231" s="8" t="s">
        <v>478</v>
      </c>
      <c r="H231" s="8" t="s">
        <v>16</v>
      </c>
      <c r="I231" s="9">
        <v>2225</v>
      </c>
      <c r="J231" s="10" t="s">
        <v>418</v>
      </c>
      <c r="K231" s="10">
        <v>22247</v>
      </c>
      <c r="L231" s="3" t="str">
        <f t="shared" si="7"/>
        <v>ΑΜΠΕΛΩΝΕΣ_ΓΙΑ_ΕΠΙΤΡΑΠΕΖΙΑ_ΧΡΗΣΗ</v>
      </c>
    </row>
    <row r="232" spans="1:12" s="3" customFormat="1" ht="15" customHeight="1" x14ac:dyDescent="0.25">
      <c r="A232" s="3" t="str">
        <f t="shared" si="6"/>
        <v>ΑΜΠΕΛΩΝΕΣ ΓΙΑ ΕΠΙΤΡΑΠΕΖΙΑ ΧΡΗΣΗΑΛΦΟΝΣ ΛΑΒΑΛΕ (ALHONSE LAVALLEE)</v>
      </c>
      <c r="B232" s="4" t="s">
        <v>415</v>
      </c>
      <c r="C232" s="5" t="s">
        <v>479</v>
      </c>
      <c r="D232" s="6">
        <v>12478.95</v>
      </c>
      <c r="E232" s="6">
        <v>11989.34</v>
      </c>
      <c r="F232" s="7" t="s">
        <v>14</v>
      </c>
      <c r="G232" s="8" t="s">
        <v>480</v>
      </c>
      <c r="H232" s="8" t="s">
        <v>16</v>
      </c>
      <c r="I232" s="9">
        <v>2226</v>
      </c>
      <c r="J232" s="10" t="s">
        <v>418</v>
      </c>
      <c r="K232" s="10">
        <v>22300</v>
      </c>
      <c r="L232" s="3" t="str">
        <f t="shared" si="7"/>
        <v>ΑΜΠΕΛΩΝΕΣ_ΓΙΑ_ΕΠΙΤΡΑΠΕΖΙΑ_ΧΡΗΣΗ</v>
      </c>
    </row>
    <row r="233" spans="1:12" s="3" customFormat="1" ht="15" customHeight="1" x14ac:dyDescent="0.25">
      <c r="A233" s="3" t="str">
        <f t="shared" si="6"/>
        <v>ΑΜΠΕΛΩΝΕΣ ΓΙΑ ΕΠΙΤΡΑΠΕΖΙΑ ΧΡΗΣΗΙΘΑΚΗ</v>
      </c>
      <c r="B233" s="4" t="s">
        <v>415</v>
      </c>
      <c r="C233" s="5" t="s">
        <v>481</v>
      </c>
      <c r="D233" s="6">
        <v>12478.95</v>
      </c>
      <c r="E233" s="6">
        <v>11989.34</v>
      </c>
      <c r="F233" s="7" t="s">
        <v>14</v>
      </c>
      <c r="G233" s="8" t="s">
        <v>482</v>
      </c>
      <c r="H233" s="8" t="s">
        <v>16</v>
      </c>
      <c r="I233" s="9">
        <v>2227</v>
      </c>
      <c r="J233" s="10" t="s">
        <v>418</v>
      </c>
      <c r="K233" s="10">
        <v>22301</v>
      </c>
      <c r="L233" s="3" t="str">
        <f t="shared" si="7"/>
        <v>ΑΜΠΕΛΩΝΕΣ_ΓΙΑ_ΕΠΙΤΡΑΠΕΖΙΑ_ΧΡΗΣΗ</v>
      </c>
    </row>
    <row r="234" spans="1:12" s="3" customFormat="1" ht="15" customHeight="1" x14ac:dyDescent="0.25">
      <c r="A234" s="3" t="str">
        <f t="shared" si="6"/>
        <v>ΑΜΠΕΛΩΝΕΣ ΓΙΑ ΕΠΙΤΡΑΠΕΖΙΑ ΧΡΗΣΗΜΟΣΧΑΤΟ ΑΜΒΟΥΡΓΟΥ</v>
      </c>
      <c r="B234" s="4" t="s">
        <v>415</v>
      </c>
      <c r="C234" s="5" t="s">
        <v>483</v>
      </c>
      <c r="D234" s="6">
        <v>12478.95</v>
      </c>
      <c r="E234" s="6">
        <v>11989.34</v>
      </c>
      <c r="F234" s="7" t="s">
        <v>14</v>
      </c>
      <c r="G234" s="8" t="s">
        <v>484</v>
      </c>
      <c r="H234" s="8" t="s">
        <v>16</v>
      </c>
      <c r="I234" s="9">
        <v>2228</v>
      </c>
      <c r="J234" s="10" t="s">
        <v>418</v>
      </c>
      <c r="K234" s="10">
        <v>22302</v>
      </c>
      <c r="L234" s="3" t="str">
        <f t="shared" si="7"/>
        <v>ΑΜΠΕΛΩΝΕΣ_ΓΙΑ_ΕΠΙΤΡΑΠΕΖΙΑ_ΧΡΗΣΗ</v>
      </c>
    </row>
    <row r="235" spans="1:12" s="3" customFormat="1" ht="15" customHeight="1" x14ac:dyDescent="0.25">
      <c r="A235" s="3" t="str">
        <f t="shared" si="6"/>
        <v>ΑΜΠΕΛΩΝΕΣ ΓΙΑ ΕΠΙΤΡΑΠΕΖΙΑ ΧΡΗΣΗΜΟΣΧΑΤΟ ΑΜΒΟΥΡΓΟΥ ΔΙΠΛΗΣ ΧΡΗΣΗΣ</v>
      </c>
      <c r="B235" s="4" t="s">
        <v>415</v>
      </c>
      <c r="C235" s="5" t="s">
        <v>485</v>
      </c>
      <c r="D235" s="6">
        <v>12478.95</v>
      </c>
      <c r="E235" s="6">
        <v>11989.34</v>
      </c>
      <c r="F235" s="7" t="s">
        <v>14</v>
      </c>
      <c r="G235" s="8" t="s">
        <v>486</v>
      </c>
      <c r="H235" s="8" t="s">
        <v>16</v>
      </c>
      <c r="I235" s="9">
        <v>2238</v>
      </c>
      <c r="J235" s="10" t="s">
        <v>418</v>
      </c>
      <c r="K235" s="10">
        <v>22303</v>
      </c>
      <c r="L235" s="3" t="str">
        <f t="shared" si="7"/>
        <v>ΑΜΠΕΛΩΝΕΣ_ΓΙΑ_ΕΠΙΤΡΑΠΕΖΙΑ_ΧΡΗΣΗ</v>
      </c>
    </row>
    <row r="236" spans="1:12" s="3" customFormat="1" ht="15" customHeight="1" x14ac:dyDescent="0.25">
      <c r="A236" s="3" t="str">
        <f t="shared" si="6"/>
        <v>ΑΜΠΕΛΩΝΕΣ ΓΙΑ ΕΠΙΤΡΑΠΕΖΙΑ ΧΡΗΣΗΠΕΛΛΑ</v>
      </c>
      <c r="B236" s="4" t="s">
        <v>415</v>
      </c>
      <c r="C236" s="5" t="s">
        <v>487</v>
      </c>
      <c r="D236" s="6">
        <v>12478.95</v>
      </c>
      <c r="E236" s="6">
        <v>11989.34</v>
      </c>
      <c r="F236" s="7" t="s">
        <v>14</v>
      </c>
      <c r="G236" s="8" t="s">
        <v>488</v>
      </c>
      <c r="H236" s="8" t="s">
        <v>16</v>
      </c>
      <c r="I236" s="9">
        <v>2230</v>
      </c>
      <c r="J236" s="10" t="s">
        <v>418</v>
      </c>
      <c r="K236" s="10">
        <v>22304</v>
      </c>
      <c r="L236" s="3" t="str">
        <f t="shared" si="7"/>
        <v>ΑΜΠΕΛΩΝΕΣ_ΓΙΑ_ΕΠΙΤΡΑΠΕΖΙΑ_ΧΡΗΣΗ</v>
      </c>
    </row>
    <row r="237" spans="1:12" s="3" customFormat="1" ht="15" customHeight="1" x14ac:dyDescent="0.25">
      <c r="A237" s="3" t="str">
        <f t="shared" si="6"/>
        <v>ΑΜΠΕΛΩΝΕΣ ΓΙΑ ΕΠΙΤΡΑΠΕΖΙΑ ΧΡΗΣΗΑΤΤΙΚΗ</v>
      </c>
      <c r="B237" s="4" t="s">
        <v>415</v>
      </c>
      <c r="C237" s="5" t="s">
        <v>489</v>
      </c>
      <c r="D237" s="6">
        <v>12478.95</v>
      </c>
      <c r="E237" s="6">
        <v>11989.34</v>
      </c>
      <c r="F237" s="7" t="s">
        <v>14</v>
      </c>
      <c r="G237" s="8" t="s">
        <v>490</v>
      </c>
      <c r="H237" s="8" t="s">
        <v>16</v>
      </c>
      <c r="I237" s="9">
        <v>2223</v>
      </c>
      <c r="J237" s="10" t="s">
        <v>418</v>
      </c>
      <c r="K237" s="10">
        <v>22306</v>
      </c>
      <c r="L237" s="3" t="str">
        <f t="shared" si="7"/>
        <v>ΑΜΠΕΛΩΝΕΣ_ΓΙΑ_ΕΠΙΤΡΑΠΕΖΙΑ_ΧΡΗΣΗ</v>
      </c>
    </row>
    <row r="238" spans="1:12" s="3" customFormat="1" ht="15" customHeight="1" x14ac:dyDescent="0.25">
      <c r="A238" s="3" t="str">
        <f t="shared" si="6"/>
        <v>ΑΜΠΕΛΩΝΕΣ ΓΙΑ ΕΠΙΤΡΑΠΕΖΙΑ ΧΡΗΣΗΑΟΥΡΟΡΑ</v>
      </c>
      <c r="B238" s="4" t="s">
        <v>415</v>
      </c>
      <c r="C238" s="5" t="s">
        <v>491</v>
      </c>
      <c r="D238" s="6">
        <v>12478.95</v>
      </c>
      <c r="E238" s="6">
        <v>11989.34</v>
      </c>
      <c r="F238" s="7" t="s">
        <v>14</v>
      </c>
      <c r="G238" s="8" t="s">
        <v>492</v>
      </c>
      <c r="H238" s="8" t="s">
        <v>16</v>
      </c>
      <c r="I238" s="9">
        <v>2232</v>
      </c>
      <c r="J238" s="10" t="s">
        <v>418</v>
      </c>
      <c r="K238" s="10">
        <v>22307</v>
      </c>
      <c r="L238" s="3" t="str">
        <f t="shared" si="7"/>
        <v>ΑΜΠΕΛΩΝΕΣ_ΓΙΑ_ΕΠΙΤΡΑΠΕΖΙΑ_ΧΡΗΣΗ</v>
      </c>
    </row>
    <row r="239" spans="1:12" s="3" customFormat="1" ht="15" customHeight="1" x14ac:dyDescent="0.25">
      <c r="A239" s="3" t="str">
        <f t="shared" si="6"/>
        <v>ΑΜΠΕΛΩΝΕΣ ΓΙΑ ΕΠΙΤΡΑΠΕΖΙΑ ΧΡΗΣΗΠΕΡΛΟΝ</v>
      </c>
      <c r="B239" s="4" t="s">
        <v>415</v>
      </c>
      <c r="C239" s="5" t="s">
        <v>493</v>
      </c>
      <c r="D239" s="6">
        <v>12478.95</v>
      </c>
      <c r="E239" s="6">
        <v>11989.34</v>
      </c>
      <c r="F239" s="7" t="s">
        <v>14</v>
      </c>
      <c r="G239" s="8" t="s">
        <v>494</v>
      </c>
      <c r="H239" s="8" t="s">
        <v>16</v>
      </c>
      <c r="I239" s="9">
        <v>2233</v>
      </c>
      <c r="J239" s="10" t="s">
        <v>418</v>
      </c>
      <c r="K239" s="10">
        <v>22308</v>
      </c>
      <c r="L239" s="3" t="str">
        <f t="shared" si="7"/>
        <v>ΑΜΠΕΛΩΝΕΣ_ΓΙΑ_ΕΠΙΤΡΑΠΕΖΙΑ_ΧΡΗΣΗ</v>
      </c>
    </row>
    <row r="240" spans="1:12" s="3" customFormat="1" ht="15" customHeight="1" x14ac:dyDescent="0.25">
      <c r="A240" s="3" t="str">
        <f t="shared" si="6"/>
        <v>ΑΜΠΕΛΩΝΕΣ ΓΙΑ ΕΠΙΤΡΑΠΕΖΙΑ ΧΡΗΣΗΚΑΡΝΤΙΝΑΛ (CARDINAL)</v>
      </c>
      <c r="B240" s="4" t="s">
        <v>415</v>
      </c>
      <c r="C240" s="5" t="s">
        <v>495</v>
      </c>
      <c r="D240" s="6">
        <v>12478.95</v>
      </c>
      <c r="E240" s="6">
        <v>11989.34</v>
      </c>
      <c r="F240" s="7" t="s">
        <v>14</v>
      </c>
      <c r="G240" s="8" t="s">
        <v>496</v>
      </c>
      <c r="H240" s="8" t="s">
        <v>16</v>
      </c>
      <c r="I240" s="9">
        <v>2234</v>
      </c>
      <c r="J240" s="10" t="s">
        <v>418</v>
      </c>
      <c r="K240" s="10">
        <v>23350</v>
      </c>
      <c r="L240" s="3" t="str">
        <f t="shared" si="7"/>
        <v>ΑΜΠΕΛΩΝΕΣ_ΓΙΑ_ΕΠΙΤΡΑΠΕΖΙΑ_ΧΡΗΣΗ</v>
      </c>
    </row>
    <row r="241" spans="1:12" s="3" customFormat="1" ht="15" customHeight="1" x14ac:dyDescent="0.25">
      <c r="A241" s="3" t="str">
        <f t="shared" si="6"/>
        <v>ΑΜΠΕΛΩΝΕΣ ΓΙΑ ΕΠΙΤΡΑΠΕΖΙΑ ΧΡΗΣΗΣΙΔΕΡΙΤΗΣ</v>
      </c>
      <c r="B241" s="4" t="s">
        <v>415</v>
      </c>
      <c r="C241" s="5" t="s">
        <v>497</v>
      </c>
      <c r="D241" s="6">
        <v>12478.95</v>
      </c>
      <c r="E241" s="6">
        <v>11989.34</v>
      </c>
      <c r="F241" s="7" t="s">
        <v>14</v>
      </c>
      <c r="G241" s="8" t="s">
        <v>498</v>
      </c>
      <c r="H241" s="8" t="s">
        <v>16</v>
      </c>
      <c r="I241" s="9">
        <v>2235</v>
      </c>
      <c r="J241" s="10" t="s">
        <v>418</v>
      </c>
      <c r="K241" s="10">
        <v>23351</v>
      </c>
      <c r="L241" s="3" t="str">
        <f t="shared" si="7"/>
        <v>ΑΜΠΕΛΩΝΕΣ_ΓΙΑ_ΕΠΙΤΡΑΠΕΖΙΑ_ΧΡΗΣΗ</v>
      </c>
    </row>
    <row r="242" spans="1:12" s="3" customFormat="1" ht="15" customHeight="1" x14ac:dyDescent="0.25">
      <c r="A242" s="3" t="str">
        <f t="shared" si="6"/>
        <v>ΑΜΠΕΛΩΝΕΣ ΓΙΑ ΕΠΙΤΡΑΠΕΖΙΑ ΧΡΗΣΗΣΙΔΕΡΙΤΗΣ Δ.Χ</v>
      </c>
      <c r="B242" s="4" t="s">
        <v>415</v>
      </c>
      <c r="C242" s="5" t="s">
        <v>499</v>
      </c>
      <c r="D242" s="6">
        <v>12478.95</v>
      </c>
      <c r="E242" s="6">
        <v>11989.34</v>
      </c>
      <c r="F242" s="7" t="s">
        <v>14</v>
      </c>
      <c r="G242" s="8" t="s">
        <v>500</v>
      </c>
      <c r="H242" s="8" t="s">
        <v>16</v>
      </c>
      <c r="I242" s="9">
        <v>2236</v>
      </c>
      <c r="J242" s="10" t="s">
        <v>418</v>
      </c>
      <c r="K242" s="10">
        <v>23352</v>
      </c>
      <c r="L242" s="3" t="str">
        <f t="shared" si="7"/>
        <v>ΑΜΠΕΛΩΝΕΣ_ΓΙΑ_ΕΠΙΤΡΑΠΕΖΙΑ_ΧΡΗΣΗ</v>
      </c>
    </row>
    <row r="243" spans="1:12" s="3" customFormat="1" ht="15" customHeight="1" x14ac:dyDescent="0.25">
      <c r="A243" s="3" t="str">
        <f t="shared" si="6"/>
        <v>ΑΜΠΕΛΩΝΕΣ ΓΙΑ ΕΠΙΤΡΑΠΕΖΙΑ ΧΡΗΣΗΦΡΑΟΥΛΑ</v>
      </c>
      <c r="B243" s="4" t="s">
        <v>415</v>
      </c>
      <c r="C243" s="5" t="s">
        <v>501</v>
      </c>
      <c r="D243" s="28">
        <v>12478.95</v>
      </c>
      <c r="E243" s="28">
        <v>11989.34</v>
      </c>
      <c r="F243" s="7" t="s">
        <v>14</v>
      </c>
      <c r="G243" s="8" t="s">
        <v>502</v>
      </c>
      <c r="H243" s="8" t="s">
        <v>16</v>
      </c>
      <c r="I243" s="9">
        <v>2256</v>
      </c>
      <c r="J243" s="10" t="s">
        <v>418</v>
      </c>
      <c r="K243" s="10">
        <v>23353</v>
      </c>
      <c r="L243" s="3" t="str">
        <f t="shared" si="7"/>
        <v>ΑΜΠΕΛΩΝΕΣ_ΓΙΑ_ΕΠΙΤΡΑΠΕΖΙΑ_ΧΡΗΣΗ</v>
      </c>
    </row>
    <row r="244" spans="1:12" s="3" customFormat="1" ht="15" customHeight="1" x14ac:dyDescent="0.25">
      <c r="A244" s="3" t="str">
        <f t="shared" si="6"/>
        <v>ΑΜΠΕΛΩΝΕΣ ΓΙΑ ΕΠΙΤΡΑΠΕΖΙΑ ΧΡΗΣΗGRIMSON</v>
      </c>
      <c r="B244" s="4" t="s">
        <v>415</v>
      </c>
      <c r="C244" s="5" t="s">
        <v>503</v>
      </c>
      <c r="D244" s="6">
        <v>12478.95</v>
      </c>
      <c r="E244" s="6">
        <v>11989.34</v>
      </c>
      <c r="F244" s="7" t="s">
        <v>14</v>
      </c>
      <c r="G244" s="8" t="s">
        <v>504</v>
      </c>
      <c r="H244" s="8" t="s">
        <v>16</v>
      </c>
      <c r="I244" s="9">
        <v>2289</v>
      </c>
      <c r="J244" s="10" t="s">
        <v>418</v>
      </c>
      <c r="K244" s="10">
        <v>23356</v>
      </c>
      <c r="L244" s="3" t="str">
        <f t="shared" si="7"/>
        <v>ΑΜΠΕΛΩΝΕΣ_ΓΙΑ_ΕΠΙΤΡΑΠΕΖΙΑ_ΧΡΗΣΗ</v>
      </c>
    </row>
    <row r="245" spans="1:12" s="3" customFormat="1" ht="15" customHeight="1" x14ac:dyDescent="0.25">
      <c r="A245" s="3" t="str">
        <f t="shared" si="6"/>
        <v>ΑΜΠΕΛΩΝΕΣ ΓΙΑ ΕΠΙΤΡΑΠΕΖΙΑ ΧΡΗΣΗARRAFIFTEEN B. (ARRA 15)</v>
      </c>
      <c r="B245" s="4" t="s">
        <v>415</v>
      </c>
      <c r="C245" s="5" t="s">
        <v>505</v>
      </c>
      <c r="D245" s="6">
        <v>12478.95</v>
      </c>
      <c r="E245" s="6">
        <v>11989.34</v>
      </c>
      <c r="F245" s="7" t="s">
        <v>14</v>
      </c>
      <c r="G245" s="8" t="s">
        <v>506</v>
      </c>
      <c r="H245" s="8" t="s">
        <v>16</v>
      </c>
      <c r="I245" s="9">
        <v>2269</v>
      </c>
      <c r="J245" s="10" t="s">
        <v>418</v>
      </c>
      <c r="K245" s="10">
        <v>36301</v>
      </c>
      <c r="L245" s="3" t="str">
        <f t="shared" si="7"/>
        <v>ΑΜΠΕΛΩΝΕΣ_ΓΙΑ_ΕΠΙΤΡΑΠΕΖΙΑ_ΧΡΗΣΗ</v>
      </c>
    </row>
    <row r="246" spans="1:12" s="3" customFormat="1" ht="15" customHeight="1" x14ac:dyDescent="0.25">
      <c r="A246" s="3" t="str">
        <f t="shared" si="6"/>
        <v>ΑΜΠΕΛΩΝΕΣ ΓΙΑ ΕΠΙΤΡΑΠΕΖΙΑ ΧΡΗΣΗARRANINETEEN RS. (ARRA 19)</v>
      </c>
      <c r="B246" s="4" t="s">
        <v>415</v>
      </c>
      <c r="C246" s="5" t="s">
        <v>507</v>
      </c>
      <c r="D246" s="6">
        <v>12478.95</v>
      </c>
      <c r="E246" s="6">
        <v>11989.34</v>
      </c>
      <c r="F246" s="7" t="s">
        <v>14</v>
      </c>
      <c r="G246" s="8" t="s">
        <v>508</v>
      </c>
      <c r="H246" s="8" t="s">
        <v>16</v>
      </c>
      <c r="I246" s="9">
        <v>2268</v>
      </c>
      <c r="J246" s="10" t="s">
        <v>418</v>
      </c>
      <c r="K246" s="10">
        <v>36302</v>
      </c>
      <c r="L246" s="3" t="str">
        <f t="shared" si="7"/>
        <v>ΑΜΠΕΛΩΝΕΣ_ΓΙΑ_ΕΠΙΤΡΑΠΕΖΙΑ_ΧΡΗΣΗ</v>
      </c>
    </row>
    <row r="247" spans="1:12" s="3" customFormat="1" ht="15" customHeight="1" x14ac:dyDescent="0.25">
      <c r="A247" s="3" t="str">
        <f t="shared" si="6"/>
        <v>ΑΜΠΕΛΩΝΕΣ ΓΙΑ ΕΠΙΤΡΑΠΕΖΙΑ ΧΡΗΣΗARRATWENTYEIGHT RS. (ARRA 28)</v>
      </c>
      <c r="B247" s="4" t="s">
        <v>415</v>
      </c>
      <c r="C247" s="5" t="s">
        <v>509</v>
      </c>
      <c r="D247" s="6">
        <v>12478.95</v>
      </c>
      <c r="E247" s="6">
        <v>11989.34</v>
      </c>
      <c r="F247" s="7" t="s">
        <v>14</v>
      </c>
      <c r="G247" s="8" t="s">
        <v>510</v>
      </c>
      <c r="H247" s="8" t="s">
        <v>16</v>
      </c>
      <c r="I247" s="9">
        <v>2267</v>
      </c>
      <c r="J247" s="10" t="s">
        <v>418</v>
      </c>
      <c r="K247" s="10">
        <v>36303</v>
      </c>
      <c r="L247" s="3" t="str">
        <f t="shared" si="7"/>
        <v>ΑΜΠΕΛΩΝΕΣ_ΓΙΑ_ΕΠΙΤΡΑΠΕΖΙΑ_ΧΡΗΣΗ</v>
      </c>
    </row>
    <row r="248" spans="1:12" s="3" customFormat="1" ht="15" customHeight="1" x14ac:dyDescent="0.25">
      <c r="A248" s="3" t="str">
        <f t="shared" si="6"/>
        <v>ΑΜΠΕΛΩΝΕΣ ΓΙΑ ΕΠΙΤΡΑΠΕΖΙΑ ΧΡΗΣΗARRATHIRTHYTWO N. (ARRA 32)</v>
      </c>
      <c r="B248" s="4" t="s">
        <v>415</v>
      </c>
      <c r="C248" s="5" t="s">
        <v>511</v>
      </c>
      <c r="D248" s="6">
        <v>12478.95</v>
      </c>
      <c r="E248" s="6">
        <v>11989.34</v>
      </c>
      <c r="F248" s="7" t="s">
        <v>14</v>
      </c>
      <c r="G248" s="8" t="s">
        <v>512</v>
      </c>
      <c r="H248" s="8" t="s">
        <v>16</v>
      </c>
      <c r="I248" s="9">
        <v>2266</v>
      </c>
      <c r="J248" s="10" t="s">
        <v>418</v>
      </c>
      <c r="K248" s="10">
        <v>36304</v>
      </c>
      <c r="L248" s="3" t="str">
        <f t="shared" si="7"/>
        <v>ΑΜΠΕΛΩΝΕΣ_ΓΙΑ_ΕΠΙΤΡΑΠΕΖΙΑ_ΧΡΗΣΗ</v>
      </c>
    </row>
    <row r="249" spans="1:12" s="3" customFormat="1" ht="15" customHeight="1" x14ac:dyDescent="0.25">
      <c r="A249" s="3" t="str">
        <f t="shared" si="6"/>
        <v>ΑΜΠΕΛΩΝΕΣ ΓΙΑ ΕΠΙΤΡΑΠΕΖΙΑ ΧΡΗΣΗFLAME SEEDLESS</v>
      </c>
      <c r="B249" s="4" t="s">
        <v>415</v>
      </c>
      <c r="C249" s="5" t="s">
        <v>513</v>
      </c>
      <c r="D249" s="6">
        <v>12478.95</v>
      </c>
      <c r="E249" s="6">
        <v>11989.34</v>
      </c>
      <c r="F249" s="7" t="s">
        <v>14</v>
      </c>
      <c r="G249" s="8" t="s">
        <v>514</v>
      </c>
      <c r="H249" s="8" t="s">
        <v>16</v>
      </c>
      <c r="I249" s="9">
        <v>2265</v>
      </c>
      <c r="J249" s="10" t="s">
        <v>418</v>
      </c>
      <c r="K249" s="10">
        <v>36305</v>
      </c>
      <c r="L249" s="3" t="str">
        <f t="shared" si="7"/>
        <v>ΑΜΠΕΛΩΝΕΣ_ΓΙΑ_ΕΠΙΤΡΑΠΕΖΙΑ_ΧΡΗΣΗ</v>
      </c>
    </row>
    <row r="250" spans="1:12" s="3" customFormat="1" ht="15" customHeight="1" x14ac:dyDescent="0.25">
      <c r="A250" s="3" t="str">
        <f t="shared" si="6"/>
        <v>ΑΜΠΕΛΩΝΕΣ ΓΙΑ ΕΠΙΤΡΑΠΕΖΙΑ ΧΡΗΣΗBLACK MAGIC N</v>
      </c>
      <c r="B250" s="4" t="s">
        <v>415</v>
      </c>
      <c r="C250" s="5" t="s">
        <v>515</v>
      </c>
      <c r="D250" s="6">
        <v>12478.95</v>
      </c>
      <c r="E250" s="6">
        <v>11989.34</v>
      </c>
      <c r="F250" s="7" t="s">
        <v>14</v>
      </c>
      <c r="G250" s="8" t="s">
        <v>516</v>
      </c>
      <c r="H250" s="8" t="s">
        <v>16</v>
      </c>
      <c r="I250" s="9">
        <v>2264</v>
      </c>
      <c r="J250" s="10" t="s">
        <v>418</v>
      </c>
      <c r="K250" s="10">
        <v>36306</v>
      </c>
      <c r="L250" s="3" t="str">
        <f t="shared" si="7"/>
        <v>ΑΜΠΕΛΩΝΕΣ_ΓΙΑ_ΕΠΙΤΡΑΠΕΖΙΑ_ΧΡΗΣΗ</v>
      </c>
    </row>
    <row r="251" spans="1:12" s="3" customFormat="1" ht="15" customHeight="1" x14ac:dyDescent="0.25">
      <c r="A251" s="3" t="str">
        <f t="shared" si="6"/>
        <v>ΑΜΠΕΛΩΝΕΣ ΓΙΑ ΕΠΙΤΡΑΠΕΖΙΑ ΧΡΗΣΗATTIKI</v>
      </c>
      <c r="B251" s="4" t="s">
        <v>415</v>
      </c>
      <c r="C251" s="5" t="s">
        <v>517</v>
      </c>
      <c r="D251" s="6">
        <v>12478.95</v>
      </c>
      <c r="E251" s="6">
        <v>11989.34</v>
      </c>
      <c r="F251" s="7" t="s">
        <v>14</v>
      </c>
      <c r="G251" s="8" t="s">
        <v>518</v>
      </c>
      <c r="H251" s="8" t="s">
        <v>16</v>
      </c>
      <c r="I251" s="9">
        <v>2255</v>
      </c>
      <c r="J251" s="10" t="s">
        <v>418</v>
      </c>
      <c r="K251" s="10">
        <v>36307</v>
      </c>
      <c r="L251" s="3" t="str">
        <f t="shared" si="7"/>
        <v>ΑΜΠΕΛΩΝΕΣ_ΓΙΑ_ΕΠΙΤΡΑΠΕΖΙΑ_ΧΡΗΣΗ</v>
      </c>
    </row>
    <row r="252" spans="1:12" s="3" customFormat="1" ht="15" customHeight="1" x14ac:dyDescent="0.25">
      <c r="A252" s="3" t="str">
        <f t="shared" si="6"/>
        <v>ΑΜΠΕΛΩΝΕΣ ΓΙΑ ΕΠΙΤΡΑΠΕΖΙΑ ΧΡΗΣΗRALLI SEEDLESS</v>
      </c>
      <c r="B252" s="4" t="s">
        <v>415</v>
      </c>
      <c r="C252" s="5" t="s">
        <v>519</v>
      </c>
      <c r="D252" s="6">
        <v>12478.95</v>
      </c>
      <c r="E252" s="6">
        <v>11989.34</v>
      </c>
      <c r="F252" s="7" t="s">
        <v>14</v>
      </c>
      <c r="G252" s="8" t="s">
        <v>520</v>
      </c>
      <c r="H252" s="8" t="s">
        <v>16</v>
      </c>
      <c r="I252" s="9">
        <v>2262</v>
      </c>
      <c r="J252" s="10" t="s">
        <v>418</v>
      </c>
      <c r="K252" s="10">
        <v>36308</v>
      </c>
      <c r="L252" s="3" t="str">
        <f t="shared" si="7"/>
        <v>ΑΜΠΕΛΩΝΕΣ_ΓΙΑ_ΕΠΙΤΡΑΠΕΖΙΑ_ΧΡΗΣΗ</v>
      </c>
    </row>
    <row r="253" spans="1:12" s="3" customFormat="1" ht="15" customHeight="1" x14ac:dyDescent="0.25">
      <c r="A253" s="3" t="str">
        <f t="shared" si="6"/>
        <v>ΑΜΠΕΛΩΝΕΣ ΓΙΑ ΕΠΙΤΡΑΠΕΖΙΑ ΧΡΗΣΗARRATWENTYNINE RS. (ΑRRA 29)</v>
      </c>
      <c r="B253" s="4" t="s">
        <v>415</v>
      </c>
      <c r="C253" s="5" t="s">
        <v>521</v>
      </c>
      <c r="D253" s="6">
        <v>12478.95</v>
      </c>
      <c r="E253" s="6">
        <v>11989.34</v>
      </c>
      <c r="F253" s="7" t="s">
        <v>14</v>
      </c>
      <c r="G253" s="8" t="s">
        <v>522</v>
      </c>
      <c r="H253" s="8" t="s">
        <v>16</v>
      </c>
      <c r="I253" s="9">
        <v>2270</v>
      </c>
      <c r="J253" s="10" t="s">
        <v>418</v>
      </c>
      <c r="K253" s="10">
        <v>36309</v>
      </c>
      <c r="L253" s="3" t="str">
        <f t="shared" si="7"/>
        <v>ΑΜΠΕΛΩΝΕΣ_ΓΙΑ_ΕΠΙΤΡΑΠΕΖΙΑ_ΧΡΗΣΗ</v>
      </c>
    </row>
    <row r="254" spans="1:12" s="3" customFormat="1" ht="15" customHeight="1" x14ac:dyDescent="0.25">
      <c r="A254" s="3" t="str">
        <f t="shared" si="6"/>
        <v>ΑΜΠΕΛΩΝΕΣ ΓΙΑ ΕΠΙΤΡΑΠΕΖΙΑ ΧΡΗΣΗARRATHIRTY B. (ARRA 30)</v>
      </c>
      <c r="B254" s="4" t="s">
        <v>415</v>
      </c>
      <c r="C254" s="5" t="s">
        <v>523</v>
      </c>
      <c r="D254" s="6">
        <v>12478.95</v>
      </c>
      <c r="E254" s="6">
        <v>11989.34</v>
      </c>
      <c r="F254" s="7" t="s">
        <v>14</v>
      </c>
      <c r="G254" s="8" t="s">
        <v>524</v>
      </c>
      <c r="H254" s="8" t="s">
        <v>16</v>
      </c>
      <c r="I254" s="9">
        <v>2260</v>
      </c>
      <c r="J254" s="10" t="s">
        <v>418</v>
      </c>
      <c r="K254" s="10">
        <v>36310</v>
      </c>
      <c r="L254" s="3" t="str">
        <f t="shared" si="7"/>
        <v>ΑΜΠΕΛΩΝΕΣ_ΓΙΑ_ΕΠΙΤΡΑΠΕΖΙΑ_ΧΡΗΣΗ</v>
      </c>
    </row>
    <row r="255" spans="1:12" s="3" customFormat="1" ht="15" customHeight="1" x14ac:dyDescent="0.25">
      <c r="A255" s="3" t="str">
        <f t="shared" si="6"/>
        <v>ΑΜΠΕΛΩΝΕΣ ΓΙΑ ΕΠΙΤΡΑΠΕΖΙΑ ΧΡΗΣΗIFG 68-175 Rs (SWEET CELEBRATION)</v>
      </c>
      <c r="B255" s="4" t="s">
        <v>415</v>
      </c>
      <c r="C255" s="5" t="s">
        <v>525</v>
      </c>
      <c r="D255" s="6">
        <v>12478.95</v>
      </c>
      <c r="E255" s="6">
        <v>11989.34</v>
      </c>
      <c r="F255" s="7" t="s">
        <v>14</v>
      </c>
      <c r="G255" s="8" t="s">
        <v>526</v>
      </c>
      <c r="H255" s="8" t="s">
        <v>16</v>
      </c>
      <c r="I255" s="9">
        <v>2259</v>
      </c>
      <c r="J255" s="10" t="s">
        <v>418</v>
      </c>
      <c r="K255" s="10">
        <v>36311</v>
      </c>
      <c r="L255" s="3" t="str">
        <f t="shared" si="7"/>
        <v>ΑΜΠΕΛΩΝΕΣ_ΓΙΑ_ΕΠΙΤΡΑΠΕΖΙΑ_ΧΡΗΣΗ</v>
      </c>
    </row>
    <row r="256" spans="1:12" s="3" customFormat="1" ht="15" customHeight="1" x14ac:dyDescent="0.25">
      <c r="A256" s="3" t="str">
        <f t="shared" si="6"/>
        <v>ΑΜΠΕΛΩΝΕΣ ΓΙΑ ΕΠΙΤΡΑΠΕΖΙΑ ΧΡΗΣΗIFG ONE N. (SWEET SURRENDER)</v>
      </c>
      <c r="B256" s="4" t="s">
        <v>415</v>
      </c>
      <c r="C256" s="5" t="s">
        <v>527</v>
      </c>
      <c r="D256" s="6">
        <v>12478.95</v>
      </c>
      <c r="E256" s="6">
        <v>11989.34</v>
      </c>
      <c r="F256" s="7" t="s">
        <v>14</v>
      </c>
      <c r="G256" s="8" t="s">
        <v>528</v>
      </c>
      <c r="H256" s="8" t="s">
        <v>16</v>
      </c>
      <c r="I256" s="9">
        <v>2258</v>
      </c>
      <c r="J256" s="10" t="s">
        <v>418</v>
      </c>
      <c r="K256" s="10">
        <v>36312</v>
      </c>
      <c r="L256" s="3" t="str">
        <f t="shared" si="7"/>
        <v>ΑΜΠΕΛΩΝΕΣ_ΓΙΑ_ΕΠΙΤΡΑΠΕΖΙΑ_ΧΡΗΣΗ</v>
      </c>
    </row>
    <row r="257" spans="1:12" s="3" customFormat="1" ht="15" customHeight="1" x14ac:dyDescent="0.25">
      <c r="A257" s="3" t="str">
        <f t="shared" si="6"/>
        <v>ΑΜΠΕΛΩΝΕΣ ΓΙΑ ΕΠΙΤΡΑΠΕΖΙΑ ΧΡΗΣΗIFG TWO B. (SWEET SUNSHINE)</v>
      </c>
      <c r="B257" s="4" t="s">
        <v>415</v>
      </c>
      <c r="C257" s="5" t="s">
        <v>529</v>
      </c>
      <c r="D257" s="6">
        <v>12478.95</v>
      </c>
      <c r="E257" s="6">
        <v>11989.34</v>
      </c>
      <c r="F257" s="7" t="s">
        <v>14</v>
      </c>
      <c r="G257" s="8" t="s">
        <v>530</v>
      </c>
      <c r="H257" s="8" t="s">
        <v>16</v>
      </c>
      <c r="I257" s="9">
        <v>2257</v>
      </c>
      <c r="J257" s="10" t="s">
        <v>418</v>
      </c>
      <c r="K257" s="10">
        <v>36313</v>
      </c>
      <c r="L257" s="3" t="str">
        <f t="shared" si="7"/>
        <v>ΑΜΠΕΛΩΝΕΣ_ΓΙΑ_ΕΠΙΤΡΑΠΕΖΙΑ_ΧΡΗΣΗ</v>
      </c>
    </row>
    <row r="258" spans="1:12" s="3" customFormat="1" ht="15" customHeight="1" x14ac:dyDescent="0.25">
      <c r="A258" s="3" t="str">
        <f t="shared" si="6"/>
        <v>ΑΜΠΕΛΩΝΕΣ ΓΙΑ ΕΠΙΤΡΑΠΕΖΙΑ ΧΡΗΣΗIFG FOUR Rs. (SWEET ROMANCE)</v>
      </c>
      <c r="B258" s="4" t="s">
        <v>415</v>
      </c>
      <c r="C258" s="5" t="s">
        <v>531</v>
      </c>
      <c r="D258" s="6">
        <v>12478.95</v>
      </c>
      <c r="E258" s="6">
        <v>11989.34</v>
      </c>
      <c r="F258" s="7" t="s">
        <v>14</v>
      </c>
      <c r="G258" s="8" t="s">
        <v>532</v>
      </c>
      <c r="H258" s="8" t="s">
        <v>16</v>
      </c>
      <c r="I258" s="9">
        <v>2277</v>
      </c>
      <c r="J258" s="10" t="s">
        <v>418</v>
      </c>
      <c r="K258" s="10">
        <v>36314</v>
      </c>
      <c r="L258" s="3" t="str">
        <f t="shared" si="7"/>
        <v>ΑΜΠΕΛΩΝΕΣ_ΓΙΑ_ΕΠΙΤΡΑΠΕΖΙΑ_ΧΡΗΣΗ</v>
      </c>
    </row>
    <row r="259" spans="1:12" s="3" customFormat="1" ht="15" customHeight="1" x14ac:dyDescent="0.25">
      <c r="A259" s="3" t="str">
        <f t="shared" ref="A259:A322" si="8">_xlfn.CONCAT(B259,C259)</f>
        <v>ΑΜΠΕΛΩΝΕΣ ΓΙΑ ΕΠΙΤΡΑΠΕΖΙΑ ΧΡΗΣΗIFG FIVE N. (SWEET JUBILEE)</v>
      </c>
      <c r="B259" s="4" t="s">
        <v>415</v>
      </c>
      <c r="C259" s="5" t="s">
        <v>533</v>
      </c>
      <c r="D259" s="6">
        <v>12478.95</v>
      </c>
      <c r="E259" s="6">
        <v>11989.34</v>
      </c>
      <c r="F259" s="7" t="s">
        <v>14</v>
      </c>
      <c r="G259" s="8" t="s">
        <v>534</v>
      </c>
      <c r="H259" s="8" t="s">
        <v>16</v>
      </c>
      <c r="I259" s="9">
        <v>2261</v>
      </c>
      <c r="J259" s="10" t="s">
        <v>418</v>
      </c>
      <c r="K259" s="10">
        <v>36315</v>
      </c>
      <c r="L259" s="3" t="str">
        <f t="shared" ref="L259:L322" si="9">IFERROR(SUBSTITUTE(SUBSTITUTE(SUBSTITUTE(SUBSTITUTE(SUBSTITUTE(B259, "-", "_"), " ", "_"), ",", ""), "(", ""), ")", ""), B259)</f>
        <v>ΑΜΠΕΛΩΝΕΣ_ΓΙΑ_ΕΠΙΤΡΑΠΕΖΙΑ_ΧΡΗΣΗ</v>
      </c>
    </row>
    <row r="260" spans="1:12" s="3" customFormat="1" ht="15" customHeight="1" x14ac:dyDescent="0.25">
      <c r="A260" s="3" t="str">
        <f t="shared" si="8"/>
        <v>ΑΜΠΕΛΩΝΕΣ ΓΙΑ ΕΠΙΤΡΑΠΕΖΙΑ ΧΡΗΣΗIFG IFG SIX N. (SWEET SAPPHIRE)</v>
      </c>
      <c r="B260" s="4" t="s">
        <v>415</v>
      </c>
      <c r="C260" s="5" t="s">
        <v>535</v>
      </c>
      <c r="D260" s="6">
        <v>12478.95</v>
      </c>
      <c r="E260" s="6">
        <v>11989.34</v>
      </c>
      <c r="F260" s="7" t="s">
        <v>14</v>
      </c>
      <c r="G260" s="8" t="s">
        <v>536</v>
      </c>
      <c r="H260" s="8" t="s">
        <v>16</v>
      </c>
      <c r="I260" s="9">
        <v>2263</v>
      </c>
      <c r="J260" s="10" t="s">
        <v>418</v>
      </c>
      <c r="K260" s="10">
        <v>36316</v>
      </c>
      <c r="L260" s="3" t="str">
        <f t="shared" si="9"/>
        <v>ΑΜΠΕΛΩΝΕΣ_ΓΙΑ_ΕΠΙΤΡΑΠΕΖΙΑ_ΧΡΗΣΗ</v>
      </c>
    </row>
    <row r="261" spans="1:12" s="3" customFormat="1" ht="15" customHeight="1" x14ac:dyDescent="0.25">
      <c r="A261" s="3" t="str">
        <f t="shared" si="8"/>
        <v>ΑΜΠΕΛΩΝΕΣ ΓΙΑ ΕΠΙΤΡΑΠΕΖΙΑ ΧΡΗΣΗIFG SEVEN B. (COTTON CANDY)</v>
      </c>
      <c r="B261" s="4" t="s">
        <v>415</v>
      </c>
      <c r="C261" s="5" t="s">
        <v>537</v>
      </c>
      <c r="D261" s="6">
        <v>12478.95</v>
      </c>
      <c r="E261" s="6">
        <v>11989.34</v>
      </c>
      <c r="F261" s="7" t="s">
        <v>14</v>
      </c>
      <c r="G261" s="8" t="s">
        <v>538</v>
      </c>
      <c r="H261" s="8" t="s">
        <v>16</v>
      </c>
      <c r="I261" s="9">
        <v>2285</v>
      </c>
      <c r="J261" s="10" t="s">
        <v>418</v>
      </c>
      <c r="K261" s="10">
        <v>36317</v>
      </c>
      <c r="L261" s="3" t="str">
        <f t="shared" si="9"/>
        <v>ΑΜΠΕΛΩΝΕΣ_ΓΙΑ_ΕΠΙΤΡΑΠΕΖΙΑ_ΧΡΗΣΗ</v>
      </c>
    </row>
    <row r="262" spans="1:12" s="3" customFormat="1" ht="15" customHeight="1" x14ac:dyDescent="0.25">
      <c r="A262" s="3" t="str">
        <f t="shared" si="8"/>
        <v>ΑΜΠΕΛΩΝΕΣ ΓΙΑ ΕΠΙΤΡΑΠΕΖΙΑ ΧΡΗΣΗIFG EIGHT N. (SWEET ENCHANTMENT)</v>
      </c>
      <c r="B262" s="4" t="s">
        <v>415</v>
      </c>
      <c r="C262" s="5" t="s">
        <v>539</v>
      </c>
      <c r="D262" s="6">
        <v>12478.95</v>
      </c>
      <c r="E262" s="6">
        <v>11989.34</v>
      </c>
      <c r="F262" s="7" t="s">
        <v>14</v>
      </c>
      <c r="G262" s="8" t="s">
        <v>540</v>
      </c>
      <c r="H262" s="8" t="s">
        <v>16</v>
      </c>
      <c r="I262" s="9">
        <v>2284</v>
      </c>
      <c r="J262" s="10" t="s">
        <v>418</v>
      </c>
      <c r="K262" s="10">
        <v>36318</v>
      </c>
      <c r="L262" s="3" t="str">
        <f t="shared" si="9"/>
        <v>ΑΜΠΕΛΩΝΕΣ_ΓΙΑ_ΕΠΙΤΡΑΠΕΖΙΑ_ΧΡΗΣΗ</v>
      </c>
    </row>
    <row r="263" spans="1:12" s="3" customFormat="1" ht="15" customHeight="1" x14ac:dyDescent="0.25">
      <c r="A263" s="3" t="str">
        <f t="shared" si="8"/>
        <v>ΑΜΠΕΛΩΝΕΣ ΓΙΑ ΕΠΙΤΡΑΠΕΖΙΑ ΧΡΗΣΗIFG NINE Rs. (JACK'S SALUTE)</v>
      </c>
      <c r="B263" s="4" t="s">
        <v>415</v>
      </c>
      <c r="C263" s="5" t="s">
        <v>541</v>
      </c>
      <c r="D263" s="6">
        <v>12478.95</v>
      </c>
      <c r="E263" s="6">
        <v>11989.34</v>
      </c>
      <c r="F263" s="7" t="s">
        <v>14</v>
      </c>
      <c r="G263" s="8" t="s">
        <v>542</v>
      </c>
      <c r="H263" s="8" t="s">
        <v>16</v>
      </c>
      <c r="I263" s="9">
        <v>2283</v>
      </c>
      <c r="J263" s="10" t="s">
        <v>418</v>
      </c>
      <c r="K263" s="10">
        <v>36319</v>
      </c>
      <c r="L263" s="3" t="str">
        <f t="shared" si="9"/>
        <v>ΑΜΠΕΛΩΝΕΣ_ΓΙΑ_ΕΠΙΤΡΑΠΕΖΙΑ_ΧΡΗΣΗ</v>
      </c>
    </row>
    <row r="264" spans="1:12" s="3" customFormat="1" ht="15" customHeight="1" x14ac:dyDescent="0.25">
      <c r="A264" s="3" t="str">
        <f t="shared" si="8"/>
        <v>ΑΜΠΕΛΩΝΕΣ ΓΙΑ ΕΠΙΤΡΑΠΕΖΙΑ ΧΡΗΣΗIFG TEN B. (SWEET GLOBE)</v>
      </c>
      <c r="B264" s="4" t="s">
        <v>415</v>
      </c>
      <c r="C264" s="5" t="s">
        <v>543</v>
      </c>
      <c r="D264" s="6">
        <v>12478.95</v>
      </c>
      <c r="E264" s="6">
        <v>11989.34</v>
      </c>
      <c r="F264" s="7" t="s">
        <v>14</v>
      </c>
      <c r="G264" s="8" t="s">
        <v>544</v>
      </c>
      <c r="H264" s="8" t="s">
        <v>16</v>
      </c>
      <c r="I264" s="9">
        <v>2282</v>
      </c>
      <c r="J264" s="10" t="s">
        <v>418</v>
      </c>
      <c r="K264" s="10">
        <v>36320</v>
      </c>
      <c r="L264" s="3" t="str">
        <f t="shared" si="9"/>
        <v>ΑΜΠΕΛΩΝΕΣ_ΓΙΑ_ΕΠΙΤΡΑΠΕΖΙΑ_ΧΡΗΣΗ</v>
      </c>
    </row>
    <row r="265" spans="1:12" s="3" customFormat="1" ht="15" customHeight="1" x14ac:dyDescent="0.25">
      <c r="A265" s="3" t="str">
        <f t="shared" si="8"/>
        <v>ΑΜΠΕΛΩΝΕΣ ΓΙΑ ΕΠΙΤΡΑΠΕΖΙΑ ΧΡΗΣΗIFG ELEVEN B. (SUGAR CRISP)</v>
      </c>
      <c r="B265" s="4" t="s">
        <v>415</v>
      </c>
      <c r="C265" s="5" t="s">
        <v>545</v>
      </c>
      <c r="D265" s="6">
        <v>12478.95</v>
      </c>
      <c r="E265" s="6">
        <v>11989.34</v>
      </c>
      <c r="F265" s="7" t="s">
        <v>14</v>
      </c>
      <c r="G265" s="8" t="s">
        <v>546</v>
      </c>
      <c r="H265" s="8" t="s">
        <v>16</v>
      </c>
      <c r="I265" s="9">
        <v>2281</v>
      </c>
      <c r="J265" s="10" t="s">
        <v>418</v>
      </c>
      <c r="K265" s="10">
        <v>36321</v>
      </c>
      <c r="L265" s="3" t="str">
        <f t="shared" si="9"/>
        <v>ΑΜΠΕΛΩΝΕΣ_ΓΙΑ_ΕΠΙΤΡΑΠΕΖΙΑ_ΧΡΗΣΗ</v>
      </c>
    </row>
    <row r="266" spans="1:12" s="3" customFormat="1" ht="15" customHeight="1" x14ac:dyDescent="0.25">
      <c r="A266" s="3" t="str">
        <f t="shared" si="8"/>
        <v>ΑΜΠΕΛΩΝΕΣ ΓΙΑ ΕΠΙΤΡΑΠΕΖΙΑ ΧΡΗΣΗIFG TWELVE N. (FUNNY FINGERS)</v>
      </c>
      <c r="B266" s="4" t="s">
        <v>415</v>
      </c>
      <c r="C266" s="5" t="s">
        <v>547</v>
      </c>
      <c r="D266" s="6">
        <v>12478.95</v>
      </c>
      <c r="E266" s="6">
        <v>11989.34</v>
      </c>
      <c r="F266" s="7" t="s">
        <v>14</v>
      </c>
      <c r="G266" s="8" t="s">
        <v>548</v>
      </c>
      <c r="H266" s="8" t="s">
        <v>16</v>
      </c>
      <c r="I266" s="9">
        <v>2280</v>
      </c>
      <c r="J266" s="10" t="s">
        <v>418</v>
      </c>
      <c r="K266" s="10">
        <v>36322</v>
      </c>
      <c r="L266" s="3" t="str">
        <f t="shared" si="9"/>
        <v>ΑΜΠΕΛΩΝΕΣ_ΓΙΑ_ΕΠΙΤΡΑΠΕΖΙΑ_ΧΡΗΣΗ</v>
      </c>
    </row>
    <row r="267" spans="1:12" s="3" customFormat="1" ht="15" customHeight="1" x14ac:dyDescent="0.25">
      <c r="A267" s="3" t="str">
        <f t="shared" si="8"/>
        <v>ΑΜΠΕΛΩΝΕΣ ΓΙΑ ΕΠΙΤΡΑΠΕΖΙΑ ΧΡΗΣΗIFG THIRTEEN N. (SWEET SECRETS)</v>
      </c>
      <c r="B267" s="4" t="s">
        <v>415</v>
      </c>
      <c r="C267" s="5" t="s">
        <v>549</v>
      </c>
      <c r="D267" s="6">
        <v>12478.95</v>
      </c>
      <c r="E267" s="6">
        <v>11989.34</v>
      </c>
      <c r="F267" s="7" t="s">
        <v>14</v>
      </c>
      <c r="G267" s="8" t="s">
        <v>550</v>
      </c>
      <c r="H267" s="8" t="s">
        <v>16</v>
      </c>
      <c r="I267" s="9">
        <v>2271</v>
      </c>
      <c r="J267" s="10" t="s">
        <v>418</v>
      </c>
      <c r="K267" s="10">
        <v>36323</v>
      </c>
      <c r="L267" s="3" t="str">
        <f t="shared" si="9"/>
        <v>ΑΜΠΕΛΩΝΕΣ_ΓΙΑ_ΕΠΙΤΡΑΠΕΖΙΑ_ΧΡΗΣΗ</v>
      </c>
    </row>
    <row r="268" spans="1:12" s="3" customFormat="1" ht="15" customHeight="1" x14ac:dyDescent="0.25">
      <c r="A268" s="3" t="str">
        <f t="shared" si="8"/>
        <v>ΑΜΠΕΛΩΝΕΣ ΓΙΑ ΕΠΙΤΡΑΠΕΖΙΑ ΧΡΗΣΗIFG FOURTEEN Rs. (SWEET MAYABELLE)</v>
      </c>
      <c r="B268" s="4" t="s">
        <v>415</v>
      </c>
      <c r="C268" s="5" t="s">
        <v>551</v>
      </c>
      <c r="D268" s="6">
        <v>12478.95</v>
      </c>
      <c r="E268" s="6">
        <v>11989.34</v>
      </c>
      <c r="F268" s="7" t="s">
        <v>14</v>
      </c>
      <c r="G268" s="8" t="s">
        <v>552</v>
      </c>
      <c r="H268" s="8" t="s">
        <v>16</v>
      </c>
      <c r="I268" s="9">
        <v>2278</v>
      </c>
      <c r="J268" s="10" t="s">
        <v>418</v>
      </c>
      <c r="K268" s="10">
        <v>36324</v>
      </c>
      <c r="L268" s="3" t="str">
        <f t="shared" si="9"/>
        <v>ΑΜΠΕΛΩΝΕΣ_ΓΙΑ_ΕΠΙΤΡΑΠΕΖΙΑ_ΧΡΗΣΗ</v>
      </c>
    </row>
    <row r="269" spans="1:12" s="3" customFormat="1" ht="15" customHeight="1" x14ac:dyDescent="0.25">
      <c r="A269" s="3" t="str">
        <f t="shared" si="8"/>
        <v>ΑΜΠΕΛΩΝΕΣ ΓΙΑ ΕΠΙΤΡΑΠΕΖΙΑ ΧΡΗΣΗIFG FIFTEEN N. (SWEET SURPRISE)</v>
      </c>
      <c r="B269" s="4" t="s">
        <v>415</v>
      </c>
      <c r="C269" s="5" t="s">
        <v>553</v>
      </c>
      <c r="D269" s="6">
        <v>12478.95</v>
      </c>
      <c r="E269" s="6">
        <v>11989.34</v>
      </c>
      <c r="F269" s="7" t="s">
        <v>14</v>
      </c>
      <c r="G269" s="8" t="s">
        <v>554</v>
      </c>
      <c r="H269" s="8" t="s">
        <v>16</v>
      </c>
      <c r="I269" s="9">
        <v>2286</v>
      </c>
      <c r="J269" s="10" t="s">
        <v>418</v>
      </c>
      <c r="K269" s="10">
        <v>36325</v>
      </c>
      <c r="L269" s="3" t="str">
        <f t="shared" si="9"/>
        <v>ΑΜΠΕΛΩΝΕΣ_ΓΙΑ_ΕΠΙΤΡΑΠΕΖΙΑ_ΧΡΗΣΗ</v>
      </c>
    </row>
    <row r="270" spans="1:12" s="3" customFormat="1" ht="15" customHeight="1" x14ac:dyDescent="0.25">
      <c r="A270" s="3" t="str">
        <f t="shared" si="8"/>
        <v>ΑΜΠΕΛΩΝΕΣ ΓΙΑ ΕΠΙΤΡΑΠΕΖΙΑ ΧΡΗΣΗIFG SIXTEEN N. (SWEET FAVORS)</v>
      </c>
      <c r="B270" s="4" t="s">
        <v>415</v>
      </c>
      <c r="C270" s="5" t="s">
        <v>555</v>
      </c>
      <c r="D270" s="6">
        <v>12478.95</v>
      </c>
      <c r="E270" s="6">
        <v>11989.34</v>
      </c>
      <c r="F270" s="7" t="s">
        <v>14</v>
      </c>
      <c r="G270" s="8" t="s">
        <v>556</v>
      </c>
      <c r="H270" s="8" t="s">
        <v>16</v>
      </c>
      <c r="I270" s="9">
        <v>2276</v>
      </c>
      <c r="J270" s="10" t="s">
        <v>418</v>
      </c>
      <c r="K270" s="10">
        <v>36326</v>
      </c>
      <c r="L270" s="3" t="str">
        <f t="shared" si="9"/>
        <v>ΑΜΠΕΛΩΝΕΣ_ΓΙΑ_ΕΠΙΤΡΑΠΕΖΙΑ_ΧΡΗΣΗ</v>
      </c>
    </row>
    <row r="271" spans="1:12" s="3" customFormat="1" ht="15" customHeight="1" x14ac:dyDescent="0.25">
      <c r="A271" s="3" t="str">
        <f t="shared" si="8"/>
        <v>ΑΜΠΕΛΩΝΕΣ ΓΙΑ ΕΠΙΤΡΑΠΕΖΙΑ ΧΡΗΣΗIFG SEVENTEEN N. (SWEET JOY)</v>
      </c>
      <c r="B271" s="4" t="s">
        <v>415</v>
      </c>
      <c r="C271" s="5" t="s">
        <v>557</v>
      </c>
      <c r="D271" s="6">
        <v>12478.95</v>
      </c>
      <c r="E271" s="6">
        <v>11989.34</v>
      </c>
      <c r="F271" s="7" t="s">
        <v>14</v>
      </c>
      <c r="G271" s="8" t="s">
        <v>558</v>
      </c>
      <c r="H271" s="8" t="s">
        <v>16</v>
      </c>
      <c r="I271" s="9">
        <v>2275</v>
      </c>
      <c r="J271" s="10" t="s">
        <v>418</v>
      </c>
      <c r="K271" s="10">
        <v>36327</v>
      </c>
      <c r="L271" s="3" t="str">
        <f t="shared" si="9"/>
        <v>ΑΜΠΕΛΩΝΕΣ_ΓΙΑ_ΕΠΙΤΡΑΠΕΖΙΑ_ΧΡΗΣΗ</v>
      </c>
    </row>
    <row r="272" spans="1:12" s="3" customFormat="1" ht="15" customHeight="1" x14ac:dyDescent="0.25">
      <c r="A272" s="3" t="str">
        <f t="shared" si="8"/>
        <v>ΑΜΠΕΛΩΝΕΣ ΓΙΑ ΕΠΙΤΡΑΠΕΖΙΑ ΧΡΗΣΗIFG EIGHTEEN Rs. (SWEET NECTAR)</v>
      </c>
      <c r="B272" s="4" t="s">
        <v>415</v>
      </c>
      <c r="C272" s="5" t="s">
        <v>559</v>
      </c>
      <c r="D272" s="6">
        <v>12478.95</v>
      </c>
      <c r="E272" s="6">
        <v>11989.34</v>
      </c>
      <c r="F272" s="7" t="s">
        <v>14</v>
      </c>
      <c r="G272" s="8" t="s">
        <v>560</v>
      </c>
      <c r="H272" s="8" t="s">
        <v>16</v>
      </c>
      <c r="I272" s="9">
        <v>2274</v>
      </c>
      <c r="J272" s="10" t="s">
        <v>418</v>
      </c>
      <c r="K272" s="10">
        <v>36328</v>
      </c>
      <c r="L272" s="3" t="str">
        <f t="shared" si="9"/>
        <v>ΑΜΠΕΛΩΝΕΣ_ΓΙΑ_ΕΠΙΤΡΑΠΕΖΙΑ_ΧΡΗΣΗ</v>
      </c>
    </row>
    <row r="273" spans="1:12" s="3" customFormat="1" ht="15" customHeight="1" x14ac:dyDescent="0.25">
      <c r="A273" s="3" t="str">
        <f t="shared" si="8"/>
        <v>ΑΜΠΕΛΩΝΕΣ ΓΙΑ ΕΠΙΤΡΑΠΕΖΙΑ ΧΡΗΣΗIFG NINETEEN Rs. (CANDY HEARTS)</v>
      </c>
      <c r="B273" s="4" t="s">
        <v>415</v>
      </c>
      <c r="C273" s="5" t="s">
        <v>561</v>
      </c>
      <c r="D273" s="6">
        <v>12478.95</v>
      </c>
      <c r="E273" s="6">
        <v>11989.34</v>
      </c>
      <c r="F273" s="7" t="s">
        <v>14</v>
      </c>
      <c r="G273" s="8" t="s">
        <v>562</v>
      </c>
      <c r="H273" s="8" t="s">
        <v>16</v>
      </c>
      <c r="I273" s="9">
        <v>2273</v>
      </c>
      <c r="J273" s="10" t="s">
        <v>418</v>
      </c>
      <c r="K273" s="10">
        <v>36329</v>
      </c>
      <c r="L273" s="3" t="str">
        <f t="shared" si="9"/>
        <v>ΑΜΠΕΛΩΝΕΣ_ΓΙΑ_ΕΠΙΤΡΑΠΕΖΙΑ_ΧΡΗΣΗ</v>
      </c>
    </row>
    <row r="274" spans="1:12" s="3" customFormat="1" ht="15" customHeight="1" x14ac:dyDescent="0.25">
      <c r="A274" s="3" t="str">
        <f t="shared" si="8"/>
        <v>ΑΜΠΕΛΩΝΕΣ ΓΙΑ ΕΠΙΤΡΑΠΕΖΙΑ ΧΡΗΣΗIFG TWENTY N. (CANDY CRUNCH)</v>
      </c>
      <c r="B274" s="4" t="s">
        <v>415</v>
      </c>
      <c r="C274" s="5" t="s">
        <v>563</v>
      </c>
      <c r="D274" s="6">
        <v>12478.95</v>
      </c>
      <c r="E274" s="6">
        <v>11989.34</v>
      </c>
      <c r="F274" s="7" t="s">
        <v>14</v>
      </c>
      <c r="G274" s="8" t="s">
        <v>564</v>
      </c>
      <c r="H274" s="8" t="s">
        <v>16</v>
      </c>
      <c r="I274" s="9">
        <v>2272</v>
      </c>
      <c r="J274" s="10" t="s">
        <v>418</v>
      </c>
      <c r="K274" s="10">
        <v>36330</v>
      </c>
      <c r="L274" s="3" t="str">
        <f t="shared" si="9"/>
        <v>ΑΜΠΕΛΩΝΕΣ_ΓΙΑ_ΕΠΙΤΡΑΠΕΖΙΑ_ΧΡΗΣΗ</v>
      </c>
    </row>
    <row r="275" spans="1:12" s="3" customFormat="1" ht="15" customHeight="1" x14ac:dyDescent="0.25">
      <c r="A275" s="3" t="str">
        <f t="shared" si="8"/>
        <v>ΑΜΠΕΛΩΝΕΣ ΓΙΑ ΕΠΙΤΡΑΠΕΖΙΑ ΧΡΗΣΗIFG TWENTY ONE Rs. (CANDY SNAPS)</v>
      </c>
      <c r="B275" s="4" t="s">
        <v>415</v>
      </c>
      <c r="C275" s="5" t="s">
        <v>565</v>
      </c>
      <c r="D275" s="6">
        <v>12478.95</v>
      </c>
      <c r="E275" s="6">
        <v>11989.34</v>
      </c>
      <c r="F275" s="7" t="s">
        <v>14</v>
      </c>
      <c r="G275" s="8" t="s">
        <v>566</v>
      </c>
      <c r="H275" s="8" t="s">
        <v>16</v>
      </c>
      <c r="I275" s="9">
        <v>2247</v>
      </c>
      <c r="J275" s="10" t="s">
        <v>418</v>
      </c>
      <c r="K275" s="10">
        <v>36331</v>
      </c>
      <c r="L275" s="3" t="str">
        <f t="shared" si="9"/>
        <v>ΑΜΠΕΛΩΝΕΣ_ΓΙΑ_ΕΠΙΤΡΑΠΕΖΙΑ_ΧΡΗΣΗ</v>
      </c>
    </row>
    <row r="276" spans="1:12" s="3" customFormat="1" ht="15" customHeight="1" x14ac:dyDescent="0.25">
      <c r="A276" s="3" t="str">
        <f t="shared" si="8"/>
        <v>ΑΜΠΕΛΩΝΕΣ ΓΙΑ ΕΠΙΤΡΑΠΕΖΙΑ ΧΡΗΣΗIFG TWENTY TWO N. (CANDY DREAMS)</v>
      </c>
      <c r="B276" s="4" t="s">
        <v>415</v>
      </c>
      <c r="C276" s="5" t="s">
        <v>567</v>
      </c>
      <c r="D276" s="6">
        <v>12478.95</v>
      </c>
      <c r="E276" s="6">
        <v>11989.34</v>
      </c>
      <c r="F276" s="7" t="s">
        <v>14</v>
      </c>
      <c r="G276" s="8" t="s">
        <v>568</v>
      </c>
      <c r="H276" s="8" t="s">
        <v>16</v>
      </c>
      <c r="I276" s="9">
        <v>2224</v>
      </c>
      <c r="J276" s="10" t="s">
        <v>418</v>
      </c>
      <c r="K276" s="10">
        <v>36332</v>
      </c>
      <c r="L276" s="3" t="str">
        <f t="shared" si="9"/>
        <v>ΑΜΠΕΛΩΝΕΣ_ΓΙΑ_ΕΠΙΤΡΑΠΕΖΙΑ_ΧΡΗΣΗ</v>
      </c>
    </row>
    <row r="277" spans="1:12" s="3" customFormat="1" ht="15" customHeight="1" x14ac:dyDescent="0.25">
      <c r="A277" s="3" t="str">
        <f t="shared" si="8"/>
        <v>ΑΜΠΕΛΩΝΕΣ ΓΙΑ ΕΠΙΤΡΑΠΕΖΙΑ ΧΡΗΣΗGRAPAES B (PRIME SEEDLESS)</v>
      </c>
      <c r="B277" s="21" t="s">
        <v>415</v>
      </c>
      <c r="C277" s="22" t="s">
        <v>569</v>
      </c>
      <c r="D277" s="6">
        <v>12478.95</v>
      </c>
      <c r="E277" s="6">
        <v>11989.34</v>
      </c>
      <c r="F277" s="7" t="s">
        <v>14</v>
      </c>
      <c r="G277" s="8" t="s">
        <v>570</v>
      </c>
      <c r="H277" s="8" t="s">
        <v>16</v>
      </c>
      <c r="I277" s="9">
        <v>5201</v>
      </c>
      <c r="J277" s="16" t="s">
        <v>418</v>
      </c>
      <c r="K277" s="16">
        <v>36333</v>
      </c>
      <c r="L277" s="3" t="str">
        <f t="shared" si="9"/>
        <v>ΑΜΠΕΛΩΝΕΣ_ΓΙΑ_ΕΠΙΤΡΑΠΕΖΙΑ_ΧΡΗΣΗ</v>
      </c>
    </row>
    <row r="278" spans="1:12" s="3" customFormat="1" ht="15" customHeight="1" x14ac:dyDescent="0.25">
      <c r="A278" s="3" t="str">
        <f t="shared" si="8"/>
        <v>ΑΜΠΕΛΩΝΕΣ ΓΙΑ ΕΠΙΤΡΑΠΕΖΙΑ ΧΡΗΣΗCARATI B.</v>
      </c>
      <c r="B278" s="23" t="s">
        <v>415</v>
      </c>
      <c r="C278" s="24" t="s">
        <v>571</v>
      </c>
      <c r="D278" s="28">
        <v>12478.95</v>
      </c>
      <c r="E278" s="28">
        <v>11989.34</v>
      </c>
      <c r="F278" s="25" t="s">
        <v>14</v>
      </c>
      <c r="G278" s="8" t="s">
        <v>572</v>
      </c>
      <c r="H278" s="8" t="s">
        <v>16</v>
      </c>
      <c r="I278" s="9">
        <v>5338</v>
      </c>
      <c r="J278" s="26">
        <v>36.299999999999997</v>
      </c>
      <c r="K278" s="27">
        <v>36334</v>
      </c>
      <c r="L278" s="3" t="str">
        <f t="shared" si="9"/>
        <v>ΑΜΠΕΛΩΝΕΣ_ΓΙΑ_ΕΠΙΤΡΑΠΕΖΙΑ_ΧΡΗΣΗ</v>
      </c>
    </row>
    <row r="279" spans="1:12" s="3" customFormat="1" ht="15" customHeight="1" x14ac:dyDescent="0.25">
      <c r="A279" s="3" t="str">
        <f t="shared" si="8"/>
        <v>ΑΜΠΕΛΩΝΕΣ ΓΙΑ ΕΠΙΤΡΑΠΕΖΙΑ ΧΡΗΣΗACS V01 (PRISTINE)</v>
      </c>
      <c r="B279" s="23" t="s">
        <v>415</v>
      </c>
      <c r="C279" s="24" t="s">
        <v>573</v>
      </c>
      <c r="D279" s="6">
        <v>12478.95</v>
      </c>
      <c r="E279" s="6">
        <v>11989.34</v>
      </c>
      <c r="F279" s="29" t="s">
        <v>14</v>
      </c>
      <c r="G279" s="8" t="s">
        <v>574</v>
      </c>
      <c r="H279" s="8" t="s">
        <v>16</v>
      </c>
      <c r="I279" s="9">
        <v>5339</v>
      </c>
      <c r="J279" s="26">
        <v>36.299999999999997</v>
      </c>
      <c r="K279" s="27">
        <v>36335</v>
      </c>
      <c r="L279" s="3" t="str">
        <f t="shared" si="9"/>
        <v>ΑΜΠΕΛΩΝΕΣ_ΓΙΑ_ΕΠΙΤΡΑΠΕΖΙΑ_ΧΡΗΣΗ</v>
      </c>
    </row>
    <row r="280" spans="1:12" s="3" customFormat="1" ht="15" customHeight="1" x14ac:dyDescent="0.25">
      <c r="A280" s="3" t="str">
        <f t="shared" si="8"/>
        <v>ΑΜΠΕΛΩΝΕΣ ΓΙΑ ΕΠΙΤΡΑΠΕΖΙΑ ΧΡΗΣΗAGASI</v>
      </c>
      <c r="B280" s="23" t="s">
        <v>415</v>
      </c>
      <c r="C280" s="24" t="s">
        <v>575</v>
      </c>
      <c r="D280" s="6">
        <v>12478.95</v>
      </c>
      <c r="E280" s="6">
        <v>11989.34</v>
      </c>
      <c r="F280" s="29" t="s">
        <v>14</v>
      </c>
      <c r="G280" s="30" t="s">
        <v>576</v>
      </c>
      <c r="H280" s="31" t="s">
        <v>577</v>
      </c>
      <c r="I280" s="9">
        <v>5604</v>
      </c>
      <c r="J280" s="30" t="s">
        <v>418</v>
      </c>
      <c r="K280" s="30">
        <v>36336</v>
      </c>
      <c r="L280" s="3" t="str">
        <f t="shared" si="9"/>
        <v>ΑΜΠΕΛΩΝΕΣ_ΓΙΑ_ΕΠΙΤΡΑΠΕΖΙΑ_ΧΡΗΣΗ</v>
      </c>
    </row>
    <row r="281" spans="1:12" s="3" customFormat="1" ht="15" customHeight="1" x14ac:dyDescent="0.25">
      <c r="A281" s="3" t="str">
        <f t="shared" si="8"/>
        <v>ΑΜΠΕΛΩΝΕΣ ΓΙΑ ΕΠΙΤΡΑΠΕΖΙΑ ΧΡΗΣΗVARO 203</v>
      </c>
      <c r="B281" s="23" t="s">
        <v>415</v>
      </c>
      <c r="C281" s="24" t="s">
        <v>578</v>
      </c>
      <c r="D281" s="28">
        <v>12478.95</v>
      </c>
      <c r="E281" s="28">
        <v>11989.34</v>
      </c>
      <c r="F281" s="7" t="s">
        <v>14</v>
      </c>
      <c r="G281" s="30" t="s">
        <v>579</v>
      </c>
      <c r="H281" s="31" t="s">
        <v>577</v>
      </c>
      <c r="I281" s="9">
        <v>5615</v>
      </c>
      <c r="J281" s="30" t="s">
        <v>418</v>
      </c>
      <c r="K281" s="30">
        <v>36337</v>
      </c>
      <c r="L281" s="3" t="str">
        <f t="shared" si="9"/>
        <v>ΑΜΠΕΛΩΝΕΣ_ΓΙΑ_ΕΠΙΤΡΑΠΕΖΙΑ_ΧΡΗΣΗ</v>
      </c>
    </row>
    <row r="282" spans="1:12" s="3" customFormat="1" ht="15" customHeight="1" x14ac:dyDescent="0.25">
      <c r="A282" s="3" t="str">
        <f t="shared" si="8"/>
        <v>ΑΜΠΕΛΩΝΕΣ ΓΙΑ ΕΠΙΤΡΑΠΕΖΙΑ ΧΡΗΣΗTZUR</v>
      </c>
      <c r="B282" s="23" t="s">
        <v>415</v>
      </c>
      <c r="C282" s="24" t="s">
        <v>580</v>
      </c>
      <c r="D282" s="28">
        <v>12478.95</v>
      </c>
      <c r="E282" s="28">
        <v>11989.34</v>
      </c>
      <c r="F282" s="7" t="s">
        <v>14</v>
      </c>
      <c r="G282" s="30" t="s">
        <v>581</v>
      </c>
      <c r="H282" s="31" t="s">
        <v>577</v>
      </c>
      <c r="I282" s="9">
        <v>5614</v>
      </c>
      <c r="J282" s="30" t="s">
        <v>418</v>
      </c>
      <c r="K282" s="30">
        <v>36338</v>
      </c>
      <c r="L282" s="3" t="str">
        <f t="shared" si="9"/>
        <v>ΑΜΠΕΛΩΝΕΣ_ΓΙΑ_ΕΠΙΤΡΑΠΕΖΙΑ_ΧΡΗΣΗ</v>
      </c>
    </row>
    <row r="283" spans="1:12" s="3" customFormat="1" ht="15" customHeight="1" x14ac:dyDescent="0.25">
      <c r="A283" s="3" t="str">
        <f t="shared" si="8"/>
        <v>ΑΜΠΕΛΩΝΕΣ ΓΙΑ ΕΠΙΤΡΑΠΕΖΙΑ ΧΡΗΣΗSTAR LIGHT</v>
      </c>
      <c r="B283" s="23" t="s">
        <v>415</v>
      </c>
      <c r="C283" s="24" t="s">
        <v>582</v>
      </c>
      <c r="D283" s="28">
        <v>12478.95</v>
      </c>
      <c r="E283" s="28">
        <v>11989.34</v>
      </c>
      <c r="F283" s="7" t="s">
        <v>14</v>
      </c>
      <c r="G283" s="30" t="s">
        <v>583</v>
      </c>
      <c r="H283" s="31" t="s">
        <v>577</v>
      </c>
      <c r="I283" s="9">
        <v>5613</v>
      </c>
      <c r="J283" s="30" t="s">
        <v>418</v>
      </c>
      <c r="K283" s="30">
        <v>36339</v>
      </c>
      <c r="L283" s="3" t="str">
        <f t="shared" si="9"/>
        <v>ΑΜΠΕΛΩΝΕΣ_ΓΙΑ_ΕΠΙΤΡΑΠΕΖΙΑ_ΧΡΗΣΗ</v>
      </c>
    </row>
    <row r="284" spans="1:12" s="3" customFormat="1" ht="15" customHeight="1" x14ac:dyDescent="0.25">
      <c r="A284" s="3" t="str">
        <f t="shared" si="8"/>
        <v>ΑΜΠΕΛΩΝΕΣ ΓΙΑ ΕΠΙΤΡΑΠΕΖΙΑ ΧΡΗΣΗΣΟΥΠΕΡΙΟΡ ΣΙΝΤΛΕΣ (SOUPERIOR SEEDLESS) ΥΔΡΟΠΟΝΙΚΗ ΚΑΛΛΙΕΡΓΕΙΑ</v>
      </c>
      <c r="B284" s="23" t="s">
        <v>415</v>
      </c>
      <c r="C284" s="24" t="s">
        <v>584</v>
      </c>
      <c r="D284" s="28">
        <v>12478.95</v>
      </c>
      <c r="E284" s="28">
        <v>11989.34</v>
      </c>
      <c r="F284" s="7" t="s">
        <v>14</v>
      </c>
      <c r="G284" s="30" t="s">
        <v>585</v>
      </c>
      <c r="H284" s="31" t="s">
        <v>577</v>
      </c>
      <c r="I284" s="9">
        <v>6230</v>
      </c>
      <c r="J284" s="30" t="s">
        <v>418</v>
      </c>
      <c r="K284" s="30">
        <v>36340</v>
      </c>
      <c r="L284" s="3" t="str">
        <f t="shared" si="9"/>
        <v>ΑΜΠΕΛΩΝΕΣ_ΓΙΑ_ΕΠΙΤΡΑΠΕΖΙΑ_ΧΡΗΣΗ</v>
      </c>
    </row>
    <row r="285" spans="1:12" s="3" customFormat="1" ht="15" customHeight="1" x14ac:dyDescent="0.25">
      <c r="A285" s="3" t="str">
        <f t="shared" si="8"/>
        <v>ΑΜΠΕΛΩΝΕΣ ΓΙΑ ΕΠΙΤΡΑΠΕΖΙΑ ΧΡΗΣΗΑΜΠΕΛΩΝΕΣ ΓΙΑ ΕΠΙΤΡΑΠΕΖΙΑ ΧΡΗΣΗ-ΛΟΙΠΕΣ</v>
      </c>
      <c r="B285" s="4" t="s">
        <v>415</v>
      </c>
      <c r="C285" s="5" t="s">
        <v>586</v>
      </c>
      <c r="D285" s="6">
        <v>12478.95</v>
      </c>
      <c r="E285" s="6">
        <v>11989.34</v>
      </c>
      <c r="F285" s="7" t="s">
        <v>14</v>
      </c>
      <c r="G285" s="8" t="s">
        <v>587</v>
      </c>
      <c r="H285" s="8" t="s">
        <v>16</v>
      </c>
      <c r="I285" s="9">
        <v>2294</v>
      </c>
      <c r="J285" s="10" t="s">
        <v>418</v>
      </c>
      <c r="K285" s="10">
        <v>8202</v>
      </c>
      <c r="L285" s="3" t="str">
        <f t="shared" si="9"/>
        <v>ΑΜΠΕΛΩΝΕΣ_ΓΙΑ_ΕΠΙΤΡΑΠΕΖΙΑ_ΧΡΗΣΗ</v>
      </c>
    </row>
    <row r="286" spans="1:12" s="3" customFormat="1" ht="15" customHeight="1" x14ac:dyDescent="0.25">
      <c r="A286" s="3" t="str">
        <f t="shared" si="8"/>
        <v>ΑΜΠΕΛΩΝΕΣ ΓΙΑ ΕΠΙΤΡΑΠΕΖΙΑ ΧΡΗΣΗΣΟΥΛΤΑΝΙΝΑ ΨΙΛΟΡΩΓΗ</v>
      </c>
      <c r="B286" s="4" t="s">
        <v>415</v>
      </c>
      <c r="C286" s="5" t="s">
        <v>588</v>
      </c>
      <c r="D286" s="6">
        <v>12478.95</v>
      </c>
      <c r="E286" s="6">
        <v>11989.34</v>
      </c>
      <c r="F286" s="7" t="s">
        <v>14</v>
      </c>
      <c r="G286" s="8" t="s">
        <v>589</v>
      </c>
      <c r="H286" s="8" t="s">
        <v>16</v>
      </c>
      <c r="I286" s="9">
        <v>2222</v>
      </c>
      <c r="J286" s="10" t="s">
        <v>418</v>
      </c>
      <c r="K286" s="10">
        <v>931503</v>
      </c>
      <c r="L286" s="3" t="str">
        <f t="shared" si="9"/>
        <v>ΑΜΠΕΛΩΝΕΣ_ΓΙΑ_ΕΠΙΤΡΑΠΕΖΙΑ_ΧΡΗΣΗ</v>
      </c>
    </row>
    <row r="287" spans="1:12" s="3" customFormat="1" ht="15" customHeight="1" x14ac:dyDescent="0.25">
      <c r="A287" s="3" t="str">
        <f t="shared" si="8"/>
        <v>ΑΜΠΕΛΩΝΕΣ ΓΙΑ ΠΑΡΑΓΩΓΗ ΟΙΝΟΥΑΗΔΑΝΙ ΑΣΠΡΟ</v>
      </c>
      <c r="B287" s="4" t="s">
        <v>590</v>
      </c>
      <c r="C287" s="5" t="s">
        <v>591</v>
      </c>
      <c r="D287" s="6">
        <v>5999.78</v>
      </c>
      <c r="E287" s="6">
        <v>4188.4799999999996</v>
      </c>
      <c r="F287" s="7" t="s">
        <v>14</v>
      </c>
      <c r="G287" s="8" t="s">
        <v>592</v>
      </c>
      <c r="H287" s="8" t="s">
        <v>16</v>
      </c>
      <c r="I287" s="9">
        <v>2147</v>
      </c>
      <c r="J287" s="10" t="s">
        <v>593</v>
      </c>
      <c r="K287" s="10">
        <v>11001</v>
      </c>
      <c r="L287" s="3" t="str">
        <f t="shared" si="9"/>
        <v>ΑΜΠΕΛΩΝΕΣ_ΓΙΑ_ΠΑΡΑΓΩΓΗ_ΟΙΝΟΥ</v>
      </c>
    </row>
    <row r="288" spans="1:12" s="3" customFormat="1" ht="15" customHeight="1" x14ac:dyDescent="0.25">
      <c r="A288" s="3" t="str">
        <f t="shared" si="8"/>
        <v>ΑΜΠΕΛΩΝΕΣ ΓΙΑ ΠΑΡΑΓΩΓΗ ΟΙΝΟΥΑΘΗΡΙ</v>
      </c>
      <c r="B288" s="4" t="s">
        <v>590</v>
      </c>
      <c r="C288" s="5" t="s">
        <v>594</v>
      </c>
      <c r="D288" s="6">
        <v>5999.78</v>
      </c>
      <c r="E288" s="6">
        <v>4188.4799999999996</v>
      </c>
      <c r="F288" s="7" t="s">
        <v>14</v>
      </c>
      <c r="G288" s="8" t="s">
        <v>595</v>
      </c>
      <c r="H288" s="8" t="s">
        <v>16</v>
      </c>
      <c r="I288" s="9">
        <v>2148</v>
      </c>
      <c r="J288" s="10" t="s">
        <v>593</v>
      </c>
      <c r="K288" s="10">
        <v>11002</v>
      </c>
      <c r="L288" s="3" t="str">
        <f t="shared" si="9"/>
        <v>ΑΜΠΕΛΩΝΕΣ_ΓΙΑ_ΠΑΡΑΓΩΓΗ_ΟΙΝΟΥ</v>
      </c>
    </row>
    <row r="289" spans="1:12" s="3" customFormat="1" ht="15" customHeight="1" x14ac:dyDescent="0.25">
      <c r="A289" s="3" t="str">
        <f t="shared" si="8"/>
        <v>ΑΜΠΕΛΩΝΕΣ ΓΙΑ ΠΑΡΑΓΩΓΗ ΟΙΝΟΥΒΟΛΙΤΣΑ ΑΣΠΡΗ</v>
      </c>
      <c r="B289" s="4" t="s">
        <v>590</v>
      </c>
      <c r="C289" s="5" t="s">
        <v>596</v>
      </c>
      <c r="D289" s="6">
        <v>5999.78</v>
      </c>
      <c r="E289" s="6">
        <v>4188.4799999999996</v>
      </c>
      <c r="F289" s="7" t="s">
        <v>14</v>
      </c>
      <c r="G289" s="8" t="s">
        <v>597</v>
      </c>
      <c r="H289" s="8" t="s">
        <v>16</v>
      </c>
      <c r="I289" s="9">
        <v>2149</v>
      </c>
      <c r="J289" s="10" t="s">
        <v>593</v>
      </c>
      <c r="K289" s="10">
        <v>11003</v>
      </c>
      <c r="L289" s="3" t="str">
        <f t="shared" si="9"/>
        <v>ΑΜΠΕΛΩΝΕΣ_ΓΙΑ_ΠΑΡΑΓΩΓΗ_ΟΙΝΟΥ</v>
      </c>
    </row>
    <row r="290" spans="1:12" s="3" customFormat="1" ht="15" customHeight="1" x14ac:dyDescent="0.25">
      <c r="A290" s="3" t="str">
        <f t="shared" si="8"/>
        <v>ΑΜΠΕΛΩΝΕΣ ΓΙΑ ΠΑΡΑΓΩΓΗ ΟΙΝΟΥΚΟΡΙΘΙ</v>
      </c>
      <c r="B290" s="4" t="s">
        <v>590</v>
      </c>
      <c r="C290" s="5" t="s">
        <v>598</v>
      </c>
      <c r="D290" s="6">
        <v>5999.78</v>
      </c>
      <c r="E290" s="6">
        <v>4188.4799999999996</v>
      </c>
      <c r="F290" s="7" t="s">
        <v>14</v>
      </c>
      <c r="G290" s="8" t="s">
        <v>599</v>
      </c>
      <c r="H290" s="8" t="s">
        <v>16</v>
      </c>
      <c r="I290" s="9">
        <v>2159</v>
      </c>
      <c r="J290" s="10" t="s">
        <v>593</v>
      </c>
      <c r="K290" s="10">
        <v>11004</v>
      </c>
      <c r="L290" s="3" t="str">
        <f t="shared" si="9"/>
        <v>ΑΜΠΕΛΩΝΕΣ_ΓΙΑ_ΠΑΡΑΓΩΓΗ_ΟΙΝΟΥ</v>
      </c>
    </row>
    <row r="291" spans="1:12" s="3" customFormat="1" ht="15" customHeight="1" x14ac:dyDescent="0.25">
      <c r="A291" s="3" t="str">
        <f t="shared" si="8"/>
        <v>ΑΜΠΕΛΩΝΕΣ ΓΙΑ ΠΑΡΑΓΩΓΗ ΟΙΝΟΥΠΕΤΡΟΚΟΡΙΘΟ ΑΣΠΡΟ</v>
      </c>
      <c r="B291" s="4" t="s">
        <v>590</v>
      </c>
      <c r="C291" s="5" t="s">
        <v>600</v>
      </c>
      <c r="D291" s="6">
        <v>5999.78</v>
      </c>
      <c r="E291" s="6">
        <v>4188.4799999999996</v>
      </c>
      <c r="F291" s="7" t="s">
        <v>14</v>
      </c>
      <c r="G291" s="8" t="s">
        <v>601</v>
      </c>
      <c r="H291" s="8" t="s">
        <v>16</v>
      </c>
      <c r="I291" s="9">
        <v>2151</v>
      </c>
      <c r="J291" s="10" t="s">
        <v>593</v>
      </c>
      <c r="K291" s="10">
        <v>11005</v>
      </c>
      <c r="L291" s="3" t="str">
        <f t="shared" si="9"/>
        <v>ΑΜΠΕΛΩΝΕΣ_ΓΙΑ_ΠΑΡΑΓΩΓΗ_ΟΙΝΟΥ</v>
      </c>
    </row>
    <row r="292" spans="1:12" s="3" customFormat="1" ht="15" customHeight="1" x14ac:dyDescent="0.25">
      <c r="A292" s="3" t="str">
        <f t="shared" si="8"/>
        <v>ΑΜΠΕΛΩΝΕΣ ΓΙΑ ΠΑΡΑΓΩΓΗ ΟΙΝΟΥΠΟΤΑΜΙΣΙΟ ΑΣΠΡΟ Η ΠΟΤΑΜΙΣΙ</v>
      </c>
      <c r="B292" s="4" t="s">
        <v>590</v>
      </c>
      <c r="C292" s="5" t="s">
        <v>602</v>
      </c>
      <c r="D292" s="6">
        <v>5999.78</v>
      </c>
      <c r="E292" s="6">
        <v>4188.4799999999996</v>
      </c>
      <c r="F292" s="7" t="s">
        <v>14</v>
      </c>
      <c r="G292" s="8" t="s">
        <v>603</v>
      </c>
      <c r="H292" s="8" t="s">
        <v>16</v>
      </c>
      <c r="I292" s="9">
        <v>2144</v>
      </c>
      <c r="J292" s="10" t="s">
        <v>593</v>
      </c>
      <c r="K292" s="10">
        <v>11006</v>
      </c>
      <c r="L292" s="3" t="str">
        <f t="shared" si="9"/>
        <v>ΑΜΠΕΛΩΝΕΣ_ΓΙΑ_ΠΑΡΑΓΩΓΗ_ΟΙΝΟΥ</v>
      </c>
    </row>
    <row r="293" spans="1:12" s="3" customFormat="1" ht="15" customHeight="1" x14ac:dyDescent="0.25">
      <c r="A293" s="3" t="str">
        <f t="shared" si="8"/>
        <v>ΑΜΠΕΛΩΝΕΣ ΓΙΑ ΠΑΡΑΓΩΓΗ ΟΙΝΟΥΑΓΟΥΜΑΣΤΟΣ</v>
      </c>
      <c r="B293" s="4" t="s">
        <v>590</v>
      </c>
      <c r="C293" s="5" t="s">
        <v>604</v>
      </c>
      <c r="D293" s="6">
        <v>5999.78</v>
      </c>
      <c r="E293" s="6">
        <v>4188.4799999999996</v>
      </c>
      <c r="F293" s="7" t="s">
        <v>14</v>
      </c>
      <c r="G293" s="8" t="s">
        <v>605</v>
      </c>
      <c r="H293" s="8" t="s">
        <v>16</v>
      </c>
      <c r="I293" s="9">
        <v>2153</v>
      </c>
      <c r="J293" s="10" t="s">
        <v>593</v>
      </c>
      <c r="K293" s="10">
        <v>11007</v>
      </c>
      <c r="L293" s="3" t="str">
        <f t="shared" si="9"/>
        <v>ΑΜΠΕΛΩΝΕΣ_ΓΙΑ_ΠΑΡΑΓΩΓΗ_ΟΙΝΟΥ</v>
      </c>
    </row>
    <row r="294" spans="1:12" s="3" customFormat="1" ht="15" customHeight="1" x14ac:dyDescent="0.25">
      <c r="A294" s="3" t="str">
        <f t="shared" si="8"/>
        <v>ΑΜΠΕΛΩΝΕΣ ΓΙΑ ΠΑΡΑΓΩΓΗ ΟΙΝΟΥΑΡΙΝΘΟ (ARINTHO)</v>
      </c>
      <c r="B294" s="4" t="s">
        <v>590</v>
      </c>
      <c r="C294" s="5" t="s">
        <v>606</v>
      </c>
      <c r="D294" s="6">
        <v>5999.78</v>
      </c>
      <c r="E294" s="6">
        <v>4188.4799999999996</v>
      </c>
      <c r="F294" s="7" t="s">
        <v>14</v>
      </c>
      <c r="G294" s="8" t="s">
        <v>607</v>
      </c>
      <c r="H294" s="8" t="s">
        <v>16</v>
      </c>
      <c r="I294" s="9">
        <v>2154</v>
      </c>
      <c r="J294" s="10" t="s">
        <v>593</v>
      </c>
      <c r="K294" s="10">
        <v>11008</v>
      </c>
      <c r="L294" s="3" t="str">
        <f t="shared" si="9"/>
        <v>ΑΜΠΕΛΩΝΕΣ_ΓΙΑ_ΠΑΡΑΓΩΓΗ_ΟΙΝΟΥ</v>
      </c>
    </row>
    <row r="295" spans="1:12" s="3" customFormat="1" ht="15" customHeight="1" x14ac:dyDescent="0.25">
      <c r="A295" s="3" t="str">
        <f t="shared" si="8"/>
        <v>ΑΜΠΕΛΩΝΕΣ ΓΙΑ ΠΑΡΑΓΩΓΗ ΟΙΝΟΥΑΡΚΑΔΙΝΟ</v>
      </c>
      <c r="B295" s="4" t="s">
        <v>590</v>
      </c>
      <c r="C295" s="5" t="s">
        <v>608</v>
      </c>
      <c r="D295" s="6">
        <v>5999.78</v>
      </c>
      <c r="E295" s="6">
        <v>4188.4799999999996</v>
      </c>
      <c r="F295" s="7" t="s">
        <v>14</v>
      </c>
      <c r="G295" s="8" t="s">
        <v>609</v>
      </c>
      <c r="H295" s="8" t="s">
        <v>16</v>
      </c>
      <c r="I295" s="9">
        <v>2155</v>
      </c>
      <c r="J295" s="10" t="s">
        <v>593</v>
      </c>
      <c r="K295" s="10">
        <v>11009</v>
      </c>
      <c r="L295" s="3" t="str">
        <f t="shared" si="9"/>
        <v>ΑΜΠΕΛΩΝΕΣ_ΓΙΑ_ΠΑΡΑΓΩΓΗ_ΟΙΝΟΥ</v>
      </c>
    </row>
    <row r="296" spans="1:12" s="3" customFormat="1" ht="15" customHeight="1" x14ac:dyDescent="0.25">
      <c r="A296" s="3" t="str">
        <f t="shared" si="8"/>
        <v>ΑΜΠΕΛΩΝΕΣ ΓΙΑ ΠΑΡΑΓΩΓΗ ΟΙΝΟΥΑΣΠΡΟΒΕΡΤΖΑΜΟ</v>
      </c>
      <c r="B296" s="4" t="s">
        <v>590</v>
      </c>
      <c r="C296" s="5" t="s">
        <v>610</v>
      </c>
      <c r="D296" s="6">
        <v>5999.78</v>
      </c>
      <c r="E296" s="6">
        <v>4188.4799999999996</v>
      </c>
      <c r="F296" s="7" t="s">
        <v>14</v>
      </c>
      <c r="G296" s="8" t="s">
        <v>611</v>
      </c>
      <c r="H296" s="8" t="s">
        <v>16</v>
      </c>
      <c r="I296" s="9">
        <v>2156</v>
      </c>
      <c r="J296" s="10" t="s">
        <v>593</v>
      </c>
      <c r="K296" s="10">
        <v>11010</v>
      </c>
      <c r="L296" s="3" t="str">
        <f t="shared" si="9"/>
        <v>ΑΜΠΕΛΩΝΕΣ_ΓΙΑ_ΠΑΡΑΓΩΓΗ_ΟΙΝΟΥ</v>
      </c>
    </row>
    <row r="297" spans="1:12" s="3" customFormat="1" ht="15" customHeight="1" x14ac:dyDescent="0.25">
      <c r="A297" s="3" t="str">
        <f t="shared" si="8"/>
        <v>ΑΜΠΕΛΩΝΕΣ ΓΙΑ ΠΑΡΑΓΩΓΗ ΟΙΝΟΥΣΑΝΤΑΜΕΡΙΑΝΑ, ΑΣΠΡΟΥΔΑ ΠΑΤΡΩΝ</v>
      </c>
      <c r="B297" s="4" t="s">
        <v>590</v>
      </c>
      <c r="C297" s="5" t="s">
        <v>612</v>
      </c>
      <c r="D297" s="6">
        <v>5999.78</v>
      </c>
      <c r="E297" s="6">
        <v>4188.4799999999996</v>
      </c>
      <c r="F297" s="7" t="s">
        <v>14</v>
      </c>
      <c r="G297" s="8" t="s">
        <v>613</v>
      </c>
      <c r="H297" s="8" t="s">
        <v>16</v>
      </c>
      <c r="I297" s="9">
        <v>2157</v>
      </c>
      <c r="J297" s="10" t="s">
        <v>593</v>
      </c>
      <c r="K297" s="10">
        <v>11011</v>
      </c>
      <c r="L297" s="3" t="str">
        <f t="shared" si="9"/>
        <v>ΑΜΠΕΛΩΝΕΣ_ΓΙΑ_ΠΑΡΑΓΩΓΗ_ΟΙΝΟΥ</v>
      </c>
    </row>
    <row r="298" spans="1:12" s="3" customFormat="1" ht="15" customHeight="1" x14ac:dyDescent="0.25">
      <c r="A298" s="3" t="str">
        <f t="shared" si="8"/>
        <v>ΑΜΠΕΛΩΝΕΣ ΓΙΑ ΠΑΡΑΓΩΓΗ ΟΙΝΟΥΑΣΠΡΟΥΔΕΣ</v>
      </c>
      <c r="B298" s="4" t="s">
        <v>590</v>
      </c>
      <c r="C298" s="5" t="s">
        <v>614</v>
      </c>
      <c r="D298" s="6">
        <v>5999.78</v>
      </c>
      <c r="E298" s="6">
        <v>4188.4799999999996</v>
      </c>
      <c r="F298" s="7" t="s">
        <v>14</v>
      </c>
      <c r="G298" s="8" t="s">
        <v>615</v>
      </c>
      <c r="H298" s="8" t="s">
        <v>16</v>
      </c>
      <c r="I298" s="9">
        <v>2158</v>
      </c>
      <c r="J298" s="10" t="s">
        <v>593</v>
      </c>
      <c r="K298" s="10">
        <v>11012</v>
      </c>
      <c r="L298" s="3" t="str">
        <f t="shared" si="9"/>
        <v>ΑΜΠΕΛΩΝΕΣ_ΓΙΑ_ΠΑΡΑΓΩΓΗ_ΟΙΝΟΥ</v>
      </c>
    </row>
    <row r="299" spans="1:12" s="3" customFormat="1" ht="15" customHeight="1" x14ac:dyDescent="0.25">
      <c r="A299" s="3" t="str">
        <f t="shared" si="8"/>
        <v>ΑΜΠΕΛΩΝΕΣ ΓΙΑ ΠΑΡΑΓΩΓΗ ΟΙΝΟΥΑΣΥΡΤΙΚΟ</v>
      </c>
      <c r="B299" s="4" t="s">
        <v>590</v>
      </c>
      <c r="C299" s="5" t="s">
        <v>616</v>
      </c>
      <c r="D299" s="6">
        <v>5999.78</v>
      </c>
      <c r="E299" s="6">
        <v>4188.4799999999996</v>
      </c>
      <c r="F299" s="7" t="s">
        <v>14</v>
      </c>
      <c r="G299" s="8" t="s">
        <v>617</v>
      </c>
      <c r="H299" s="8" t="s">
        <v>16</v>
      </c>
      <c r="I299" s="9">
        <v>2136</v>
      </c>
      <c r="J299" s="10" t="s">
        <v>593</v>
      </c>
      <c r="K299" s="10">
        <v>11013</v>
      </c>
      <c r="L299" s="3" t="str">
        <f t="shared" si="9"/>
        <v>ΑΜΠΕΛΩΝΕΣ_ΓΙΑ_ΠΑΡΑΓΩΓΗ_ΟΙΝΟΥ</v>
      </c>
    </row>
    <row r="300" spans="1:12" s="3" customFormat="1" ht="15" customHeight="1" x14ac:dyDescent="0.25">
      <c r="A300" s="3" t="str">
        <f t="shared" si="8"/>
        <v>ΑΜΠΕΛΩΝΕΣ ΓΙΑ ΠΑΡΑΓΩΓΗ ΟΙΝΟΥΒΑΛΑΙΤΗΣ</v>
      </c>
      <c r="B300" s="4" t="s">
        <v>590</v>
      </c>
      <c r="C300" s="5" t="s">
        <v>618</v>
      </c>
      <c r="D300" s="6">
        <v>5999.78</v>
      </c>
      <c r="E300" s="6">
        <v>4188.4799999999996</v>
      </c>
      <c r="F300" s="7" t="s">
        <v>14</v>
      </c>
      <c r="G300" s="8" t="s">
        <v>619</v>
      </c>
      <c r="H300" s="8" t="s">
        <v>16</v>
      </c>
      <c r="I300" s="9">
        <v>2065</v>
      </c>
      <c r="J300" s="10" t="s">
        <v>593</v>
      </c>
      <c r="K300" s="10">
        <v>11014</v>
      </c>
      <c r="L300" s="3" t="str">
        <f t="shared" si="9"/>
        <v>ΑΜΠΕΛΩΝΕΣ_ΓΙΑ_ΠΑΡΑΓΩΓΗ_ΟΙΝΟΥ</v>
      </c>
    </row>
    <row r="301" spans="1:12" s="3" customFormat="1" ht="15" customHeight="1" x14ac:dyDescent="0.25">
      <c r="A301" s="3" t="str">
        <f t="shared" si="8"/>
        <v>ΑΜΠΕΛΩΝΕΣ ΓΙΑ ΠΑΡΑΓΩΓΗ ΟΙΝΟΥΒΑΡΔΕΑ</v>
      </c>
      <c r="B301" s="4" t="s">
        <v>590</v>
      </c>
      <c r="C301" s="5" t="s">
        <v>620</v>
      </c>
      <c r="D301" s="6">
        <v>5999.78</v>
      </c>
      <c r="E301" s="6">
        <v>4188.4799999999996</v>
      </c>
      <c r="F301" s="7" t="s">
        <v>14</v>
      </c>
      <c r="G301" s="8" t="s">
        <v>621</v>
      </c>
      <c r="H301" s="8" t="s">
        <v>16</v>
      </c>
      <c r="I301" s="9">
        <v>2122</v>
      </c>
      <c r="J301" s="10" t="s">
        <v>593</v>
      </c>
      <c r="K301" s="10">
        <v>11015</v>
      </c>
      <c r="L301" s="3" t="str">
        <f t="shared" si="9"/>
        <v>ΑΜΠΕΛΩΝΕΣ_ΓΙΑ_ΠΑΡΑΓΩΓΗ_ΟΙΝΟΥ</v>
      </c>
    </row>
    <row r="302" spans="1:12" s="3" customFormat="1" ht="15" customHeight="1" x14ac:dyDescent="0.25">
      <c r="A302" s="3" t="str">
        <f t="shared" si="8"/>
        <v>ΑΜΠΕΛΩΝΕΣ ΓΙΑ ΠΑΡΑΓΩΓΗ ΟΙΝΟΥΒΗΛΑΝΑ</v>
      </c>
      <c r="B302" s="4" t="s">
        <v>590</v>
      </c>
      <c r="C302" s="5" t="s">
        <v>622</v>
      </c>
      <c r="D302" s="6">
        <v>5999.78</v>
      </c>
      <c r="E302" s="6">
        <v>4188.4799999999996</v>
      </c>
      <c r="F302" s="7" t="s">
        <v>14</v>
      </c>
      <c r="G302" s="8" t="s">
        <v>623</v>
      </c>
      <c r="H302" s="8" t="s">
        <v>16</v>
      </c>
      <c r="I302" s="9">
        <v>2053</v>
      </c>
      <c r="J302" s="10" t="s">
        <v>593</v>
      </c>
      <c r="K302" s="10">
        <v>11016</v>
      </c>
      <c r="L302" s="3" t="str">
        <f t="shared" si="9"/>
        <v>ΑΜΠΕΛΩΝΕΣ_ΓΙΑ_ΠΑΡΑΓΩΓΗ_ΟΙΝΟΥ</v>
      </c>
    </row>
    <row r="303" spans="1:12" s="3" customFormat="1" ht="15" customHeight="1" x14ac:dyDescent="0.25">
      <c r="A303" s="3" t="str">
        <f t="shared" si="8"/>
        <v>ΑΜΠΕΛΩΝΕΣ ΓΙΑ ΠΑΡΑΓΩΓΗ ΟΙΝΟΥΒΙΔΙΑΝΟ</v>
      </c>
      <c r="B303" s="4" t="s">
        <v>590</v>
      </c>
      <c r="C303" s="5" t="s">
        <v>624</v>
      </c>
      <c r="D303" s="6">
        <v>5999.78</v>
      </c>
      <c r="E303" s="6">
        <v>4188.4799999999996</v>
      </c>
      <c r="F303" s="7" t="s">
        <v>14</v>
      </c>
      <c r="G303" s="8" t="s">
        <v>625</v>
      </c>
      <c r="H303" s="8" t="s">
        <v>16</v>
      </c>
      <c r="I303" s="9">
        <v>2054</v>
      </c>
      <c r="J303" s="10" t="s">
        <v>593</v>
      </c>
      <c r="K303" s="10">
        <v>11017</v>
      </c>
      <c r="L303" s="3" t="str">
        <f t="shared" si="9"/>
        <v>ΑΜΠΕΛΩΝΕΣ_ΓΙΑ_ΠΑΡΑΓΩΓΗ_ΟΙΝΟΥ</v>
      </c>
    </row>
    <row r="304" spans="1:12" s="3" customFormat="1" ht="15" customHeight="1" x14ac:dyDescent="0.25">
      <c r="A304" s="3" t="str">
        <f t="shared" si="8"/>
        <v>ΑΜΠΕΛΩΝΕΣ ΓΙΑ ΠΑΡΑΓΩΓΗ ΟΙΝΟΥΒΟΣΣΟΣ</v>
      </c>
      <c r="B304" s="4" t="s">
        <v>590</v>
      </c>
      <c r="C304" s="5" t="s">
        <v>626</v>
      </c>
      <c r="D304" s="6">
        <v>5999.78</v>
      </c>
      <c r="E304" s="6">
        <v>4188.4799999999996</v>
      </c>
      <c r="F304" s="7" t="s">
        <v>14</v>
      </c>
      <c r="G304" s="8" t="s">
        <v>627</v>
      </c>
      <c r="H304" s="8" t="s">
        <v>16</v>
      </c>
      <c r="I304" s="9">
        <v>2057</v>
      </c>
      <c r="J304" s="10" t="s">
        <v>593</v>
      </c>
      <c r="K304" s="10">
        <v>11018</v>
      </c>
      <c r="L304" s="3" t="str">
        <f t="shared" si="9"/>
        <v>ΑΜΠΕΛΩΝΕΣ_ΓΙΑ_ΠΑΡΑΓΩΓΗ_ΟΙΝΟΥ</v>
      </c>
    </row>
    <row r="305" spans="1:12" s="3" customFormat="1" ht="15" customHeight="1" x14ac:dyDescent="0.25">
      <c r="A305" s="3" t="str">
        <f t="shared" si="8"/>
        <v>ΑΜΠΕΛΩΝΕΣ ΓΙΑ ΠΑΡΑΓΩΓΗ ΟΙΝΟΥΓΚΡΕΝΑΣ ΜΠΛΑΝΚ</v>
      </c>
      <c r="B305" s="4" t="s">
        <v>590</v>
      </c>
      <c r="C305" s="5" t="s">
        <v>628</v>
      </c>
      <c r="D305" s="6">
        <v>5999.78</v>
      </c>
      <c r="E305" s="6">
        <v>4188.4799999999996</v>
      </c>
      <c r="F305" s="7" t="s">
        <v>14</v>
      </c>
      <c r="G305" s="8" t="s">
        <v>629</v>
      </c>
      <c r="H305" s="8" t="s">
        <v>16</v>
      </c>
      <c r="I305" s="9">
        <v>2061</v>
      </c>
      <c r="J305" s="10" t="s">
        <v>593</v>
      </c>
      <c r="K305" s="10">
        <v>11019</v>
      </c>
      <c r="L305" s="3" t="str">
        <f t="shared" si="9"/>
        <v>ΑΜΠΕΛΩΝΕΣ_ΓΙΑ_ΠΑΡΑΓΩΓΗ_ΟΙΝΟΥ</v>
      </c>
    </row>
    <row r="306" spans="1:12" s="3" customFormat="1" ht="24" x14ac:dyDescent="0.25">
      <c r="A306" s="3" t="str">
        <f t="shared" si="8"/>
        <v>ΑΜΠΕΛΩΝΕΣ ΓΙΑ ΠΑΡΑΓΩΓΗ ΟΙΝΟΥΓΛΥΚΑΣΠΟΥΔΑ, ΓΛΥΚΕΡΗΘΡΑ</v>
      </c>
      <c r="B306" s="4" t="s">
        <v>590</v>
      </c>
      <c r="C306" s="5" t="s">
        <v>630</v>
      </c>
      <c r="D306" s="6">
        <v>5999.78</v>
      </c>
      <c r="E306" s="6">
        <v>4188.4799999999996</v>
      </c>
      <c r="F306" s="7" t="s">
        <v>14</v>
      </c>
      <c r="G306" s="8" t="s">
        <v>631</v>
      </c>
      <c r="H306" s="8" t="s">
        <v>16</v>
      </c>
      <c r="I306" s="9">
        <v>2056</v>
      </c>
      <c r="J306" s="10" t="s">
        <v>593</v>
      </c>
      <c r="K306" s="10">
        <v>11020</v>
      </c>
      <c r="L306" s="3" t="str">
        <f t="shared" si="9"/>
        <v>ΑΜΠΕΛΩΝΕΣ_ΓΙΑ_ΠΑΡΑΓΩΓΗ_ΟΙΝΟΥ</v>
      </c>
    </row>
    <row r="307" spans="1:12" s="3" customFormat="1" ht="31.5" x14ac:dyDescent="0.25">
      <c r="A307" s="3" t="str">
        <f t="shared" si="8"/>
        <v>ΑΜΠΕΛΩΝΕΣ ΓΙΑ ΠΑΡΑΓΩΓΗ ΟΙΝΟΥΓΟΥΣΤΟΛΙΔΙ (ΑΥΓΟΥΣΤΙΑΤΗΣ, ΑΥΓΟΥΣΤΟΛΙΔΙ, ΒΟΣΤΙΛΙΔΑΣ)</v>
      </c>
      <c r="B307" s="4" t="s">
        <v>590</v>
      </c>
      <c r="C307" s="5" t="s">
        <v>632</v>
      </c>
      <c r="D307" s="6">
        <v>5999.78</v>
      </c>
      <c r="E307" s="6">
        <v>4188.4799999999996</v>
      </c>
      <c r="F307" s="7" t="s">
        <v>14</v>
      </c>
      <c r="G307" s="8" t="s">
        <v>633</v>
      </c>
      <c r="H307" s="8" t="s">
        <v>16</v>
      </c>
      <c r="I307" s="9">
        <v>2048</v>
      </c>
      <c r="J307" s="10" t="s">
        <v>593</v>
      </c>
      <c r="K307" s="10">
        <v>11021</v>
      </c>
      <c r="L307" s="3" t="str">
        <f t="shared" si="9"/>
        <v>ΑΜΠΕΛΩΝΕΣ_ΓΙΑ_ΠΑΡΑΓΩΓΗ_ΟΙΝΟΥ</v>
      </c>
    </row>
    <row r="308" spans="1:12" s="3" customFormat="1" ht="24" x14ac:dyDescent="0.25">
      <c r="A308" s="3" t="str">
        <f t="shared" si="8"/>
        <v>ΑΜΠΕΛΩΝΕΣ ΓΙΑ ΠΑΡΑΓΩΓΗ ΟΙΝΟΥΔΑΦΝΙΑ</v>
      </c>
      <c r="B308" s="4" t="s">
        <v>590</v>
      </c>
      <c r="C308" s="5" t="s">
        <v>634</v>
      </c>
      <c r="D308" s="6">
        <v>5999.78</v>
      </c>
      <c r="E308" s="6">
        <v>4188.4799999999996</v>
      </c>
      <c r="F308" s="7" t="s">
        <v>14</v>
      </c>
      <c r="G308" s="8" t="s">
        <v>635</v>
      </c>
      <c r="H308" s="8" t="s">
        <v>16</v>
      </c>
      <c r="I308" s="9">
        <v>2040</v>
      </c>
      <c r="J308" s="10" t="s">
        <v>593</v>
      </c>
      <c r="K308" s="10">
        <v>11022</v>
      </c>
      <c r="L308" s="3" t="str">
        <f t="shared" si="9"/>
        <v>ΑΜΠΕΛΩΝΕΣ_ΓΙΑ_ΠΑΡΑΓΩΓΗ_ΟΙΝΟΥ</v>
      </c>
    </row>
    <row r="309" spans="1:12" s="3" customFormat="1" ht="24" x14ac:dyDescent="0.25">
      <c r="A309" s="3" t="str">
        <f t="shared" si="8"/>
        <v>ΑΜΠΕΛΩΝΕΣ ΓΙΑ ΠΑΡΑΓΩΓΗ ΟΙΝΟΥΔΕΡΜΑΤΑΣ</v>
      </c>
      <c r="B309" s="4" t="s">
        <v>590</v>
      </c>
      <c r="C309" s="5" t="s">
        <v>636</v>
      </c>
      <c r="D309" s="6">
        <v>5999.78</v>
      </c>
      <c r="E309" s="6">
        <v>4188.4799999999996</v>
      </c>
      <c r="F309" s="7" t="s">
        <v>14</v>
      </c>
      <c r="G309" s="8" t="s">
        <v>637</v>
      </c>
      <c r="H309" s="8" t="s">
        <v>16</v>
      </c>
      <c r="I309" s="9">
        <v>2039</v>
      </c>
      <c r="J309" s="10" t="s">
        <v>593</v>
      </c>
      <c r="K309" s="10">
        <v>11023</v>
      </c>
      <c r="L309" s="3" t="str">
        <f t="shared" si="9"/>
        <v>ΑΜΠΕΛΩΝΕΣ_ΓΙΑ_ΠΑΡΑΓΩΓΗ_ΟΙΝΟΥ</v>
      </c>
    </row>
    <row r="310" spans="1:12" s="3" customFormat="1" ht="24" x14ac:dyDescent="0.25">
      <c r="A310" s="3" t="str">
        <f t="shared" si="8"/>
        <v>ΑΜΠΕΛΩΝΕΣ ΓΙΑ ΠΑΡΑΓΩΓΗ ΟΙΝΟΥΖΟΥΜΙΑΤΙΚΟ (ΔΑΜΙΑΤΗΣ)</v>
      </c>
      <c r="B310" s="4" t="s">
        <v>590</v>
      </c>
      <c r="C310" s="5" t="s">
        <v>638</v>
      </c>
      <c r="D310" s="6">
        <v>5999.78</v>
      </c>
      <c r="E310" s="6">
        <v>4188.4799999999996</v>
      </c>
      <c r="F310" s="7" t="s">
        <v>14</v>
      </c>
      <c r="G310" s="8" t="s">
        <v>639</v>
      </c>
      <c r="H310" s="8" t="s">
        <v>16</v>
      </c>
      <c r="I310" s="9">
        <v>2036</v>
      </c>
      <c r="J310" s="10" t="s">
        <v>593</v>
      </c>
      <c r="K310" s="10">
        <v>11024</v>
      </c>
      <c r="L310" s="3" t="str">
        <f t="shared" si="9"/>
        <v>ΑΜΠΕΛΩΝΕΣ_ΓΙΑ_ΠΑΡΑΓΩΓΗ_ΟΙΝΟΥ</v>
      </c>
    </row>
    <row r="311" spans="1:12" s="3" customFormat="1" ht="24" x14ac:dyDescent="0.25">
      <c r="A311" s="3" t="str">
        <f t="shared" si="8"/>
        <v>ΑΜΠΕΛΩΝΕΣ ΓΙΑ ΠΑΡΑΓΩΓΗ ΟΙΝΟΥΘΡΑΨΑΘΗΡΙ</v>
      </c>
      <c r="B311" s="4" t="s">
        <v>590</v>
      </c>
      <c r="C311" s="5" t="s">
        <v>640</v>
      </c>
      <c r="D311" s="6">
        <v>5999.78</v>
      </c>
      <c r="E311" s="6">
        <v>4188.4799999999996</v>
      </c>
      <c r="F311" s="7" t="s">
        <v>14</v>
      </c>
      <c r="G311" s="8" t="s">
        <v>641</v>
      </c>
      <c r="H311" s="8" t="s">
        <v>16</v>
      </c>
      <c r="I311" s="9">
        <v>2038</v>
      </c>
      <c r="J311" s="10" t="s">
        <v>593</v>
      </c>
      <c r="K311" s="10">
        <v>11025</v>
      </c>
      <c r="L311" s="3" t="str">
        <f t="shared" si="9"/>
        <v>ΑΜΠΕΛΩΝΕΣ_ΓΙΑ_ΠΑΡΑΓΩΓΗ_ΟΙΝΟΥ</v>
      </c>
    </row>
    <row r="312" spans="1:12" s="3" customFormat="1" ht="24" x14ac:dyDescent="0.25">
      <c r="A312" s="3" t="str">
        <f t="shared" si="8"/>
        <v>ΑΜΠΕΛΩΝΕΣ ΓΙΑ ΠΑΡΑΓΩΓΗ ΟΙΝΟΥΚΑΚΟΤΡΥΓΗΣ</v>
      </c>
      <c r="B312" s="4" t="s">
        <v>590</v>
      </c>
      <c r="C312" s="5" t="s">
        <v>642</v>
      </c>
      <c r="D312" s="6">
        <v>5999.78</v>
      </c>
      <c r="E312" s="6">
        <v>4188.4799999999996</v>
      </c>
      <c r="F312" s="7" t="s">
        <v>14</v>
      </c>
      <c r="G312" s="8" t="s">
        <v>643</v>
      </c>
      <c r="H312" s="8" t="s">
        <v>16</v>
      </c>
      <c r="I312" s="9">
        <v>2037</v>
      </c>
      <c r="J312" s="10" t="s">
        <v>593</v>
      </c>
      <c r="K312" s="10">
        <v>11026</v>
      </c>
      <c r="L312" s="3" t="str">
        <f t="shared" si="9"/>
        <v>ΑΜΠΕΛΩΝΕΣ_ΓΙΑ_ΠΑΡΑΓΩΓΗ_ΟΙΝΟΥ</v>
      </c>
    </row>
    <row r="313" spans="1:12" s="3" customFormat="1" ht="24" x14ac:dyDescent="0.25">
      <c r="A313" s="3" t="str">
        <f t="shared" si="8"/>
        <v>ΑΜΠΕΛΩΝΕΣ ΓΙΑ ΠΑΡΑΓΩΓΗ ΟΙΝΟΥΚΑΡΥΔΑΤΟ (ΟΙΝΟΠΟΙΙΑΣ)</v>
      </c>
      <c r="B313" s="4" t="s">
        <v>590</v>
      </c>
      <c r="C313" s="5" t="s">
        <v>644</v>
      </c>
      <c r="D313" s="6">
        <v>5999.78</v>
      </c>
      <c r="E313" s="6">
        <v>4188.4799999999996</v>
      </c>
      <c r="F313" s="7" t="s">
        <v>14</v>
      </c>
      <c r="G313" s="8" t="s">
        <v>645</v>
      </c>
      <c r="H313" s="8" t="s">
        <v>16</v>
      </c>
      <c r="I313" s="9">
        <v>2080</v>
      </c>
      <c r="J313" s="10" t="s">
        <v>593</v>
      </c>
      <c r="K313" s="10">
        <v>11027</v>
      </c>
      <c r="L313" s="3" t="str">
        <f t="shared" si="9"/>
        <v>ΑΜΠΕΛΩΝΕΣ_ΓΙΑ_ΠΑΡΑΓΩΓΗ_ΟΙΝΟΥ</v>
      </c>
    </row>
    <row r="314" spans="1:12" s="3" customFormat="1" ht="24" x14ac:dyDescent="0.25">
      <c r="A314" s="3" t="str">
        <f t="shared" si="8"/>
        <v>ΑΜΠΕΛΩΝΕΣ ΓΙΑ ΠΑΡΑΓΩΓΗ ΟΙΝΟΥΚΟΖΑΝΙΤΗΣ</v>
      </c>
      <c r="B314" s="4" t="s">
        <v>590</v>
      </c>
      <c r="C314" s="5" t="s">
        <v>646</v>
      </c>
      <c r="D314" s="6">
        <v>5999.78</v>
      </c>
      <c r="E314" s="6">
        <v>4188.4799999999996</v>
      </c>
      <c r="F314" s="7" t="s">
        <v>14</v>
      </c>
      <c r="G314" s="8" t="s">
        <v>647</v>
      </c>
      <c r="H314" s="8" t="s">
        <v>16</v>
      </c>
      <c r="I314" s="9">
        <v>2049</v>
      </c>
      <c r="J314" s="10" t="s">
        <v>593</v>
      </c>
      <c r="K314" s="10">
        <v>11028</v>
      </c>
      <c r="L314" s="3" t="str">
        <f t="shared" si="9"/>
        <v>ΑΜΠΕΛΩΝΕΣ_ΓΙΑ_ΠΑΡΑΓΩΓΗ_ΟΙΝΟΥ</v>
      </c>
    </row>
    <row r="315" spans="1:12" s="3" customFormat="1" ht="24" x14ac:dyDescent="0.25">
      <c r="A315" s="3" t="str">
        <f t="shared" si="8"/>
        <v>ΑΜΠΕΛΩΝΕΣ ΓΙΑ ΠΑΡΑΓΩΓΗ ΟΙΝΟΥΚΟΝΤΟΚΛΑΔΙ</v>
      </c>
      <c r="B315" s="4" t="s">
        <v>590</v>
      </c>
      <c r="C315" s="5" t="s">
        <v>648</v>
      </c>
      <c r="D315" s="6">
        <v>5999.78</v>
      </c>
      <c r="E315" s="6">
        <v>4188.4799999999996</v>
      </c>
      <c r="F315" s="7" t="s">
        <v>14</v>
      </c>
      <c r="G315" s="8" t="s">
        <v>649</v>
      </c>
      <c r="H315" s="8" t="s">
        <v>16</v>
      </c>
      <c r="I315" s="9">
        <v>2064</v>
      </c>
      <c r="J315" s="10" t="s">
        <v>593</v>
      </c>
      <c r="K315" s="10">
        <v>11029</v>
      </c>
      <c r="L315" s="3" t="str">
        <f t="shared" si="9"/>
        <v>ΑΜΠΕΛΩΝΕΣ_ΓΙΑ_ΠΑΡΑΓΩΓΗ_ΟΙΝΟΥ</v>
      </c>
    </row>
    <row r="316" spans="1:12" s="3" customFormat="1" ht="24" x14ac:dyDescent="0.25">
      <c r="A316" s="3" t="str">
        <f t="shared" si="8"/>
        <v>ΑΜΠΕΛΩΝΕΣ ΓΙΑ ΠΑΡΑΓΩΓΗ ΟΙΝΟΥΚΟΥΚΟΥΛΙ</v>
      </c>
      <c r="B316" s="4" t="s">
        <v>590</v>
      </c>
      <c r="C316" s="5" t="s">
        <v>650</v>
      </c>
      <c r="D316" s="6">
        <v>5999.78</v>
      </c>
      <c r="E316" s="6">
        <v>4188.4799999999996</v>
      </c>
      <c r="F316" s="7" t="s">
        <v>14</v>
      </c>
      <c r="G316" s="8" t="s">
        <v>651</v>
      </c>
      <c r="H316" s="8" t="s">
        <v>16</v>
      </c>
      <c r="I316" s="9">
        <v>2092</v>
      </c>
      <c r="J316" s="10" t="s">
        <v>593</v>
      </c>
      <c r="K316" s="10">
        <v>11030</v>
      </c>
      <c r="L316" s="3" t="str">
        <f t="shared" si="9"/>
        <v>ΑΜΠΕΛΩΝΕΣ_ΓΙΑ_ΠΑΡΑΓΩΓΗ_ΟΙΝΟΥ</v>
      </c>
    </row>
    <row r="317" spans="1:12" s="3" customFormat="1" ht="24" x14ac:dyDescent="0.25">
      <c r="A317" s="3" t="str">
        <f t="shared" si="8"/>
        <v>ΑΜΠΕΛΩΝΕΣ ΓΙΑ ΠΑΡΑΓΩΓΗ ΟΙΝΟΥΚΟΥΜΙΩΤΗΣ</v>
      </c>
      <c r="B317" s="4" t="s">
        <v>590</v>
      </c>
      <c r="C317" s="5" t="s">
        <v>652</v>
      </c>
      <c r="D317" s="6">
        <v>5999.78</v>
      </c>
      <c r="E317" s="6">
        <v>4188.4799999999996</v>
      </c>
      <c r="F317" s="7" t="s">
        <v>14</v>
      </c>
      <c r="G317" s="8" t="s">
        <v>653</v>
      </c>
      <c r="H317" s="8" t="s">
        <v>16</v>
      </c>
      <c r="I317" s="9">
        <v>2066</v>
      </c>
      <c r="J317" s="10" t="s">
        <v>593</v>
      </c>
      <c r="K317" s="10">
        <v>11031</v>
      </c>
      <c r="L317" s="3" t="str">
        <f t="shared" si="9"/>
        <v>ΑΜΠΕΛΩΝΕΣ_ΓΙΑ_ΠΑΡΑΓΩΓΗ_ΟΙΝΟΥ</v>
      </c>
    </row>
    <row r="318" spans="1:12" s="3" customFormat="1" ht="24" x14ac:dyDescent="0.25">
      <c r="A318" s="3" t="str">
        <f t="shared" si="8"/>
        <v>ΑΜΠΕΛΩΝΕΣ ΓΙΑ ΠΑΡΑΓΩΓΗ ΟΙΝΟΥΛΑΘΟΡΘΙ</v>
      </c>
      <c r="B318" s="4" t="s">
        <v>590</v>
      </c>
      <c r="C318" s="5" t="s">
        <v>654</v>
      </c>
      <c r="D318" s="6">
        <v>5999.78</v>
      </c>
      <c r="E318" s="6">
        <v>4188.4799999999996</v>
      </c>
      <c r="F318" s="7" t="s">
        <v>14</v>
      </c>
      <c r="G318" s="8" t="s">
        <v>655</v>
      </c>
      <c r="H318" s="8" t="s">
        <v>16</v>
      </c>
      <c r="I318" s="9">
        <v>2087</v>
      </c>
      <c r="J318" s="10" t="s">
        <v>593</v>
      </c>
      <c r="K318" s="10">
        <v>11032</v>
      </c>
      <c r="L318" s="3" t="str">
        <f t="shared" si="9"/>
        <v>ΑΜΠΕΛΩΝΕΣ_ΓΙΑ_ΠΑΡΑΓΩΓΗ_ΟΙΝΟΥ</v>
      </c>
    </row>
    <row r="319" spans="1:12" s="3" customFormat="1" ht="24" x14ac:dyDescent="0.25">
      <c r="A319" s="3" t="str">
        <f t="shared" si="8"/>
        <v>ΑΜΠΕΛΩΝΕΣ ΓΙΑ ΠΑΡΑΓΩΓΗ ΟΙΝΟΥΜΑΛΑΓΟΥΖΙΑ</v>
      </c>
      <c r="B319" s="4" t="s">
        <v>590</v>
      </c>
      <c r="C319" s="5" t="s">
        <v>656</v>
      </c>
      <c r="D319" s="6">
        <v>5999.78</v>
      </c>
      <c r="E319" s="6">
        <v>4188.4799999999996</v>
      </c>
      <c r="F319" s="7" t="s">
        <v>14</v>
      </c>
      <c r="G319" s="8" t="s">
        <v>657</v>
      </c>
      <c r="H319" s="8" t="s">
        <v>16</v>
      </c>
      <c r="I319" s="9">
        <v>2079</v>
      </c>
      <c r="J319" s="10" t="s">
        <v>593</v>
      </c>
      <c r="K319" s="10">
        <v>11033</v>
      </c>
      <c r="L319" s="3" t="str">
        <f t="shared" si="9"/>
        <v>ΑΜΠΕΛΩΝΕΣ_ΓΙΑ_ΠΑΡΑΓΩΓΗ_ΟΙΝΟΥ</v>
      </c>
    </row>
    <row r="320" spans="1:12" s="3" customFormat="1" ht="24" x14ac:dyDescent="0.25">
      <c r="A320" s="3" t="str">
        <f t="shared" si="8"/>
        <v>ΑΜΠΕΛΩΝΕΣ ΓΙΑ ΠΑΡΑΓΩΓΗ ΟΙΝΟΥΜΑΛΒΑΖΙΑ</v>
      </c>
      <c r="B320" s="4" t="s">
        <v>590</v>
      </c>
      <c r="C320" s="5" t="s">
        <v>658</v>
      </c>
      <c r="D320" s="6">
        <v>5999.78</v>
      </c>
      <c r="E320" s="6">
        <v>4188.4799999999996</v>
      </c>
      <c r="F320" s="7" t="s">
        <v>14</v>
      </c>
      <c r="G320" s="8" t="s">
        <v>659</v>
      </c>
      <c r="H320" s="8" t="s">
        <v>16</v>
      </c>
      <c r="I320" s="9">
        <v>2078</v>
      </c>
      <c r="J320" s="10" t="s">
        <v>593</v>
      </c>
      <c r="K320" s="10">
        <v>11034</v>
      </c>
      <c r="L320" s="3" t="str">
        <f t="shared" si="9"/>
        <v>ΑΜΠΕΛΩΝΕΣ_ΓΙΑ_ΠΑΡΑΓΩΓΗ_ΟΙΝΟΥ</v>
      </c>
    </row>
    <row r="321" spans="1:12" s="3" customFormat="1" ht="24" x14ac:dyDescent="0.25">
      <c r="A321" s="3" t="str">
        <f t="shared" si="8"/>
        <v>ΑΜΠΕΛΩΝΕΣ ΓΙΑ ΠΑΡΑΓΩΓΗ ΟΙΝΟΥΜΟΝΕΜΒΑΣΙΑ</v>
      </c>
      <c r="B321" s="4" t="s">
        <v>590</v>
      </c>
      <c r="C321" s="5" t="s">
        <v>660</v>
      </c>
      <c r="D321" s="6">
        <v>5999.78</v>
      </c>
      <c r="E321" s="6">
        <v>4188.4799999999996</v>
      </c>
      <c r="F321" s="7" t="s">
        <v>14</v>
      </c>
      <c r="G321" s="8" t="s">
        <v>661</v>
      </c>
      <c r="H321" s="8" t="s">
        <v>16</v>
      </c>
      <c r="I321" s="9">
        <v>2077</v>
      </c>
      <c r="J321" s="10" t="s">
        <v>593</v>
      </c>
      <c r="K321" s="10">
        <v>11035</v>
      </c>
      <c r="L321" s="3" t="str">
        <f t="shared" si="9"/>
        <v>ΑΜΠΕΛΩΝΕΣ_ΓΙΑ_ΠΑΡΑΓΩΓΗ_ΟΙΝΟΥ</v>
      </c>
    </row>
    <row r="322" spans="1:12" s="3" customFormat="1" ht="24" x14ac:dyDescent="0.25">
      <c r="A322" s="3" t="str">
        <f t="shared" si="8"/>
        <v>ΑΜΠΕΛΩΝΕΣ ΓΙΑ ΠΑΡΑΓΩΓΗ ΟΙΝΟΥΜΟΣΧΑΤΟ ΑΛΕΞΑΝΔΡΕΙΑΣ</v>
      </c>
      <c r="B322" s="4" t="s">
        <v>590</v>
      </c>
      <c r="C322" s="5" t="s">
        <v>465</v>
      </c>
      <c r="D322" s="6">
        <v>5999.78</v>
      </c>
      <c r="E322" s="6">
        <v>4188.4799999999996</v>
      </c>
      <c r="F322" s="7" t="s">
        <v>14</v>
      </c>
      <c r="G322" s="8" t="s">
        <v>662</v>
      </c>
      <c r="H322" s="8" t="s">
        <v>16</v>
      </c>
      <c r="I322" s="9">
        <v>2076</v>
      </c>
      <c r="J322" s="10" t="s">
        <v>593</v>
      </c>
      <c r="K322" s="10">
        <v>11036</v>
      </c>
      <c r="L322" s="3" t="str">
        <f t="shared" si="9"/>
        <v>ΑΜΠΕΛΩΝΕΣ_ΓΙΑ_ΠΑΡΑΓΩΓΗ_ΟΙΝΟΥ</v>
      </c>
    </row>
    <row r="323" spans="1:12" s="3" customFormat="1" ht="24" x14ac:dyDescent="0.25">
      <c r="A323" s="3" t="str">
        <f t="shared" ref="A323:A386" si="10">_xlfn.CONCAT(B323,C323)</f>
        <v>ΑΜΠΕΛΩΝΕΣ ΓΙΑ ΠΑΡΑΓΩΓΗ ΟΙΝΟΥΜΟΣΧΑΤΟ ΑΛΕΞΑΝΔΡΕΙΑΣ Δ.Χ</v>
      </c>
      <c r="B323" s="4" t="s">
        <v>590</v>
      </c>
      <c r="C323" s="5" t="s">
        <v>663</v>
      </c>
      <c r="D323" s="6">
        <v>5999.78</v>
      </c>
      <c r="E323" s="6">
        <v>4188.4799999999996</v>
      </c>
      <c r="F323" s="7" t="s">
        <v>14</v>
      </c>
      <c r="G323" s="8" t="s">
        <v>664</v>
      </c>
      <c r="H323" s="8" t="s">
        <v>16</v>
      </c>
      <c r="I323" s="9">
        <v>2075</v>
      </c>
      <c r="J323" s="10" t="s">
        <v>593</v>
      </c>
      <c r="K323" s="10">
        <v>11037</v>
      </c>
      <c r="L323" s="3" t="str">
        <f t="shared" ref="L323:L386" si="11">IFERROR(SUBSTITUTE(SUBSTITUTE(SUBSTITUTE(SUBSTITUTE(SUBSTITUTE(B323, "-", "_"), " ", "_"), ",", ""), "(", ""), ")", ""), B323)</f>
        <v>ΑΜΠΕΛΩΝΕΣ_ΓΙΑ_ΠΑΡΑΓΩΓΗ_ΟΙΝΟΥ</v>
      </c>
    </row>
    <row r="324" spans="1:12" s="3" customFormat="1" ht="24" x14ac:dyDescent="0.25">
      <c r="A324" s="3" t="str">
        <f t="shared" si="10"/>
        <v>ΑΜΠΕΛΩΝΕΣ ΓΙΑ ΠΑΡΑΓΩΓΗ ΟΙΝΟΥΜΟΣΧΑΤΟ ΑΣΠΡΟ</v>
      </c>
      <c r="B324" s="4" t="s">
        <v>590</v>
      </c>
      <c r="C324" s="5" t="s">
        <v>665</v>
      </c>
      <c r="D324" s="6">
        <v>5999.78</v>
      </c>
      <c r="E324" s="6">
        <v>4188.4799999999996</v>
      </c>
      <c r="F324" s="7" t="s">
        <v>14</v>
      </c>
      <c r="G324" s="8" t="s">
        <v>666</v>
      </c>
      <c r="H324" s="8" t="s">
        <v>16</v>
      </c>
      <c r="I324" s="9">
        <v>2047</v>
      </c>
      <c r="J324" s="10" t="s">
        <v>593</v>
      </c>
      <c r="K324" s="10">
        <v>11038</v>
      </c>
      <c r="L324" s="3" t="str">
        <f t="shared" si="11"/>
        <v>ΑΜΠΕΛΩΝΕΣ_ΓΙΑ_ΠΑΡΑΓΩΓΗ_ΟΙΝΟΥ</v>
      </c>
    </row>
    <row r="325" spans="1:12" s="3" customFormat="1" ht="24" x14ac:dyDescent="0.25">
      <c r="A325" s="3" t="str">
        <f t="shared" si="10"/>
        <v>ΑΜΠΕΛΩΝΕΣ ΓΙΑ ΠΑΡΑΓΩΓΗ ΟΙΝΟΥΜΟΣΧΑΤΟ ΣΠΙΝΑΣ</v>
      </c>
      <c r="B325" s="4" t="s">
        <v>590</v>
      </c>
      <c r="C325" s="5" t="s">
        <v>667</v>
      </c>
      <c r="D325" s="6">
        <v>5999.78</v>
      </c>
      <c r="E325" s="6">
        <v>4188.4799999999996</v>
      </c>
      <c r="F325" s="7" t="s">
        <v>14</v>
      </c>
      <c r="G325" s="8" t="s">
        <v>668</v>
      </c>
      <c r="H325" s="8" t="s">
        <v>16</v>
      </c>
      <c r="I325" s="9">
        <v>2031</v>
      </c>
      <c r="J325" s="10" t="s">
        <v>593</v>
      </c>
      <c r="K325" s="10">
        <v>11039</v>
      </c>
      <c r="L325" s="3" t="str">
        <f t="shared" si="11"/>
        <v>ΑΜΠΕΛΩΝΕΣ_ΓΙΑ_ΠΑΡΑΓΩΓΗ_ΟΙΝΟΥ</v>
      </c>
    </row>
    <row r="326" spans="1:12" s="3" customFormat="1" ht="24" x14ac:dyDescent="0.25">
      <c r="A326" s="3" t="str">
        <f t="shared" si="10"/>
        <v>ΑΜΠΕΛΩΝΕΣ ΓΙΑ ΠΑΡΑΓΩΓΗ ΟΙΝΟΥΜΟΣΧΑΤΟ ΤΡΑΝΙ</v>
      </c>
      <c r="B326" s="4" t="s">
        <v>590</v>
      </c>
      <c r="C326" s="5" t="s">
        <v>669</v>
      </c>
      <c r="D326" s="6">
        <v>5999.78</v>
      </c>
      <c r="E326" s="6">
        <v>4188.4799999999996</v>
      </c>
      <c r="F326" s="7" t="s">
        <v>14</v>
      </c>
      <c r="G326" s="8" t="s">
        <v>670</v>
      </c>
      <c r="H326" s="8" t="s">
        <v>16</v>
      </c>
      <c r="I326" s="9">
        <v>2030</v>
      </c>
      <c r="J326" s="10" t="s">
        <v>593</v>
      </c>
      <c r="K326" s="10">
        <v>11040</v>
      </c>
      <c r="L326" s="3" t="str">
        <f t="shared" si="11"/>
        <v>ΑΜΠΕΛΩΝΕΣ_ΓΙΑ_ΠΑΡΑΓΩΓΗ_ΟΙΝΟΥ</v>
      </c>
    </row>
    <row r="327" spans="1:12" s="3" customFormat="1" ht="24" x14ac:dyDescent="0.25">
      <c r="A327" s="3" t="str">
        <f t="shared" si="10"/>
        <v>ΑΜΠΕΛΩΝΕΣ ΓΙΑ ΠΑΡΑΓΩΓΗ ΟΙΝΟΥΜΠΑΤΙΚΙ</v>
      </c>
      <c r="B327" s="4" t="s">
        <v>590</v>
      </c>
      <c r="C327" s="5" t="s">
        <v>671</v>
      </c>
      <c r="D327" s="6">
        <v>5999.78</v>
      </c>
      <c r="E327" s="6">
        <v>4188.4799999999996</v>
      </c>
      <c r="F327" s="7" t="s">
        <v>14</v>
      </c>
      <c r="G327" s="8" t="s">
        <v>672</v>
      </c>
      <c r="H327" s="8" t="s">
        <v>16</v>
      </c>
      <c r="I327" s="9">
        <v>2029</v>
      </c>
      <c r="J327" s="10" t="s">
        <v>593</v>
      </c>
      <c r="K327" s="10">
        <v>11041</v>
      </c>
      <c r="L327" s="3" t="str">
        <f t="shared" si="11"/>
        <v>ΑΜΠΕΛΩΝΕΣ_ΓΙΑ_ΠΑΡΑΓΩΓΗ_ΟΙΝΟΥ</v>
      </c>
    </row>
    <row r="328" spans="1:12" s="3" customFormat="1" ht="24" x14ac:dyDescent="0.25">
      <c r="A328" s="3" t="str">
        <f t="shared" si="10"/>
        <v>ΑΜΠΕΛΩΝΕΣ ΓΙΑ ΠΑΡΑΓΩΓΗ ΟΙΝΟΥΜΥΓΔΑΛΙ</v>
      </c>
      <c r="B328" s="4" t="s">
        <v>590</v>
      </c>
      <c r="C328" s="5" t="s">
        <v>673</v>
      </c>
      <c r="D328" s="6">
        <v>5999.78</v>
      </c>
      <c r="E328" s="6">
        <v>4188.4799999999996</v>
      </c>
      <c r="F328" s="7" t="s">
        <v>14</v>
      </c>
      <c r="G328" s="8" t="s">
        <v>674</v>
      </c>
      <c r="H328" s="8" t="s">
        <v>16</v>
      </c>
      <c r="I328" s="9">
        <v>2028</v>
      </c>
      <c r="J328" s="10" t="s">
        <v>593</v>
      </c>
      <c r="K328" s="10">
        <v>11042</v>
      </c>
      <c r="L328" s="3" t="str">
        <f t="shared" si="11"/>
        <v>ΑΜΠΕΛΩΝΕΣ_ΓΙΑ_ΠΑΡΑΓΩΓΗ_ΟΙΝΟΥ</v>
      </c>
    </row>
    <row r="329" spans="1:12" s="3" customFormat="1" ht="24" x14ac:dyDescent="0.25">
      <c r="A329" s="3" t="str">
        <f t="shared" si="10"/>
        <v>ΑΜΠΕΛΩΝΕΣ ΓΙΑ ΠΑΡΑΓΩΓΗ ΟΙΝΟΥΜΑΚΑΜΠΕ (MACCABEU)</v>
      </c>
      <c r="B329" s="4" t="s">
        <v>590</v>
      </c>
      <c r="C329" s="5" t="s">
        <v>675</v>
      </c>
      <c r="D329" s="6">
        <v>5999.78</v>
      </c>
      <c r="E329" s="6">
        <v>4188.4799999999996</v>
      </c>
      <c r="F329" s="7" t="s">
        <v>14</v>
      </c>
      <c r="G329" s="8" t="s">
        <v>676</v>
      </c>
      <c r="H329" s="8" t="s">
        <v>16</v>
      </c>
      <c r="I329" s="9">
        <v>2019</v>
      </c>
      <c r="J329" s="10" t="s">
        <v>593</v>
      </c>
      <c r="K329" s="10">
        <v>11043</v>
      </c>
      <c r="L329" s="3" t="str">
        <f t="shared" si="11"/>
        <v>ΑΜΠΕΛΩΝΕΣ_ΓΙΑ_ΠΑΡΑΓΩΓΗ_ΟΙΝΟΥ</v>
      </c>
    </row>
    <row r="330" spans="1:12" s="3" customFormat="1" ht="24" x14ac:dyDescent="0.25">
      <c r="A330" s="3" t="str">
        <f t="shared" si="10"/>
        <v>ΑΜΠΕΛΩΝΕΣ ΓΙΑ ΠΑΡΑΓΩΓΗ ΟΙΝΟΥΝΤΕΜΠΙΝΑ</v>
      </c>
      <c r="B330" s="4" t="s">
        <v>590</v>
      </c>
      <c r="C330" s="5" t="s">
        <v>677</v>
      </c>
      <c r="D330" s="6">
        <v>5999.78</v>
      </c>
      <c r="E330" s="6">
        <v>4188.4799999999996</v>
      </c>
      <c r="F330" s="7" t="s">
        <v>14</v>
      </c>
      <c r="G330" s="8" t="s">
        <v>678</v>
      </c>
      <c r="H330" s="8" t="s">
        <v>16</v>
      </c>
      <c r="I330" s="9">
        <v>2026</v>
      </c>
      <c r="J330" s="10" t="s">
        <v>593</v>
      </c>
      <c r="K330" s="10">
        <v>11044</v>
      </c>
      <c r="L330" s="3" t="str">
        <f t="shared" si="11"/>
        <v>ΑΜΠΕΛΩΝΕΣ_ΓΙΑ_ΠΑΡΑΓΩΓΗ_ΟΙΝΟΥ</v>
      </c>
    </row>
    <row r="331" spans="1:12" s="3" customFormat="1" ht="24" x14ac:dyDescent="0.25">
      <c r="A331" s="3" t="str">
        <f t="shared" si="10"/>
        <v>ΑΜΠΕΛΩΝΕΣ ΓΙΑ ΠΑΡΑΓΩΓΗ ΟΙΝΟΥΞΕΡΟΜΑΧΑΙΡΟΥΔΑ</v>
      </c>
      <c r="B331" s="4" t="s">
        <v>590</v>
      </c>
      <c r="C331" s="5" t="s">
        <v>679</v>
      </c>
      <c r="D331" s="6">
        <v>5999.78</v>
      </c>
      <c r="E331" s="6">
        <v>4188.4799999999996</v>
      </c>
      <c r="F331" s="7" t="s">
        <v>14</v>
      </c>
      <c r="G331" s="8" t="s">
        <v>680</v>
      </c>
      <c r="H331" s="8" t="s">
        <v>16</v>
      </c>
      <c r="I331" s="9">
        <v>2034</v>
      </c>
      <c r="J331" s="10" t="s">
        <v>593</v>
      </c>
      <c r="K331" s="10">
        <v>11045</v>
      </c>
      <c r="L331" s="3" t="str">
        <f t="shared" si="11"/>
        <v>ΑΜΠΕΛΩΝΕΣ_ΓΙΑ_ΠΑΡΑΓΩΓΗ_ΟΙΝΟΥ</v>
      </c>
    </row>
    <row r="332" spans="1:12" s="3" customFormat="1" ht="24" x14ac:dyDescent="0.25">
      <c r="A332" s="3" t="str">
        <f t="shared" si="10"/>
        <v>ΑΜΠΕΛΩΝΕΣ ΓΙΑ ΠΑΡΑΓΩΓΗ ΟΙΝΟΥΠΑΥΛΟΣ</v>
      </c>
      <c r="B332" s="4" t="s">
        <v>590</v>
      </c>
      <c r="C332" s="5" t="s">
        <v>681</v>
      </c>
      <c r="D332" s="6">
        <v>5999.78</v>
      </c>
      <c r="E332" s="6">
        <v>4188.4799999999996</v>
      </c>
      <c r="F332" s="7" t="s">
        <v>14</v>
      </c>
      <c r="G332" s="8" t="s">
        <v>682</v>
      </c>
      <c r="H332" s="8" t="s">
        <v>16</v>
      </c>
      <c r="I332" s="9">
        <v>2024</v>
      </c>
      <c r="J332" s="10" t="s">
        <v>593</v>
      </c>
      <c r="K332" s="10">
        <v>11046</v>
      </c>
      <c r="L332" s="3" t="str">
        <f t="shared" si="11"/>
        <v>ΑΜΠΕΛΩΝΕΣ_ΓΙΑ_ΠΑΡΑΓΩΓΗ_ΟΙΝΟΥ</v>
      </c>
    </row>
    <row r="333" spans="1:12" s="3" customFormat="1" ht="24" x14ac:dyDescent="0.25">
      <c r="A333" s="3" t="str">
        <f t="shared" si="10"/>
        <v>ΑΜΠΕΛΩΝΕΣ ΓΙΑ ΠΑΡΑΓΩΓΗ ΟΙΝΟΥΠΕΤΡΟΥΛΙΑΝΟΣ</v>
      </c>
      <c r="B333" s="4" t="s">
        <v>590</v>
      </c>
      <c r="C333" s="5" t="s">
        <v>683</v>
      </c>
      <c r="D333" s="6">
        <v>5999.78</v>
      </c>
      <c r="E333" s="6">
        <v>4188.4799999999996</v>
      </c>
      <c r="F333" s="7" t="s">
        <v>14</v>
      </c>
      <c r="G333" s="8" t="s">
        <v>684</v>
      </c>
      <c r="H333" s="8" t="s">
        <v>16</v>
      </c>
      <c r="I333" s="9">
        <v>2023</v>
      </c>
      <c r="J333" s="10" t="s">
        <v>593</v>
      </c>
      <c r="K333" s="10">
        <v>11047</v>
      </c>
      <c r="L333" s="3" t="str">
        <f t="shared" si="11"/>
        <v>ΑΜΠΕΛΩΝΕΣ_ΓΙΑ_ΠΑΡΑΓΩΓΗ_ΟΙΝΟΥ</v>
      </c>
    </row>
    <row r="334" spans="1:12" s="3" customFormat="1" ht="24" x14ac:dyDescent="0.25">
      <c r="A334" s="3" t="str">
        <f t="shared" si="10"/>
        <v>ΑΜΠΕΛΩΝΕΣ ΓΙΑ ΠΑΡΑΓΩΓΗ ΟΙΝΟΥΠΛΥΤΟ</v>
      </c>
      <c r="B334" s="4" t="s">
        <v>590</v>
      </c>
      <c r="C334" s="5" t="s">
        <v>685</v>
      </c>
      <c r="D334" s="6">
        <v>5999.78</v>
      </c>
      <c r="E334" s="6">
        <v>4188.4799999999996</v>
      </c>
      <c r="F334" s="7" t="s">
        <v>14</v>
      </c>
      <c r="G334" s="8" t="s">
        <v>686</v>
      </c>
      <c r="H334" s="8" t="s">
        <v>16</v>
      </c>
      <c r="I334" s="9">
        <v>2022</v>
      </c>
      <c r="J334" s="10" t="s">
        <v>593</v>
      </c>
      <c r="K334" s="10">
        <v>11048</v>
      </c>
      <c r="L334" s="3" t="str">
        <f t="shared" si="11"/>
        <v>ΑΜΠΕΛΩΝΕΣ_ΓΙΑ_ΠΑΡΑΓΩΓΗ_ΟΙΝΟΥ</v>
      </c>
    </row>
    <row r="335" spans="1:12" s="3" customFormat="1" ht="24" x14ac:dyDescent="0.25">
      <c r="A335" s="3" t="str">
        <f t="shared" si="10"/>
        <v>ΑΜΠΕΛΩΝΕΣ ΓΙΑ ΠΑΡΑΓΩΓΗ ΟΙΝΟΥPΙΣΛΙΝΓΚ Β (RIESLING)</v>
      </c>
      <c r="B335" s="4" t="s">
        <v>590</v>
      </c>
      <c r="C335" s="5" t="s">
        <v>687</v>
      </c>
      <c r="D335" s="28">
        <v>5999.78</v>
      </c>
      <c r="E335" s="28">
        <v>4188.4799999999996</v>
      </c>
      <c r="F335" s="7" t="s">
        <v>14</v>
      </c>
      <c r="G335" s="8" t="s">
        <v>688</v>
      </c>
      <c r="H335" s="8" t="s">
        <v>16</v>
      </c>
      <c r="I335" s="9">
        <v>2021</v>
      </c>
      <c r="J335" s="10" t="s">
        <v>593</v>
      </c>
      <c r="K335" s="10">
        <v>11049</v>
      </c>
      <c r="L335" s="3" t="str">
        <f t="shared" si="11"/>
        <v>ΑΜΠΕΛΩΝΕΣ_ΓΙΑ_ΠΑΡΑΓΩΓΗ_ΟΙΝΟΥ</v>
      </c>
    </row>
    <row r="336" spans="1:12" s="3" customFormat="1" ht="24" x14ac:dyDescent="0.25">
      <c r="A336" s="3" t="str">
        <f t="shared" si="10"/>
        <v>ΑΜΠΕΛΩΝΕΣ ΓΙΑ ΠΑΡΑΓΩΓΗ ΟΙΝΟΥΡΟΜΠΟΛΑ</v>
      </c>
      <c r="B336" s="4" t="s">
        <v>590</v>
      </c>
      <c r="C336" s="5" t="s">
        <v>689</v>
      </c>
      <c r="D336" s="6">
        <v>5999.78</v>
      </c>
      <c r="E336" s="6">
        <v>4188.4799999999996</v>
      </c>
      <c r="F336" s="7" t="s">
        <v>14</v>
      </c>
      <c r="G336" s="8" t="s">
        <v>690</v>
      </c>
      <c r="H336" s="8" t="s">
        <v>16</v>
      </c>
      <c r="I336" s="9">
        <v>2020</v>
      </c>
      <c r="J336" s="10" t="s">
        <v>593</v>
      </c>
      <c r="K336" s="10">
        <v>11050</v>
      </c>
      <c r="L336" s="3" t="str">
        <f t="shared" si="11"/>
        <v>ΑΜΠΕΛΩΝΕΣ_ΓΙΑ_ΠΑΡΑΓΩΓΗ_ΟΙΝΟΥ</v>
      </c>
    </row>
    <row r="337" spans="1:12" s="3" customFormat="1" ht="31.5" x14ac:dyDescent="0.25">
      <c r="A337" s="3" t="str">
        <f t="shared" si="10"/>
        <v>ΑΜΠΕΛΩΝΕΣ ΓΙΑ ΠΑΡΑΓΩΓΗ ΟΙΝΟΥΣΑΒΒΑΤΙΑΝΟ (ΔΟΥΜΠΡΑΙΝΑ ΑΣΠΡΗ, ΚΟΥΝΤΟΥΡ ΑΣΠΡΗ, ΣΑΚ)</v>
      </c>
      <c r="B337" s="4" t="s">
        <v>590</v>
      </c>
      <c r="C337" s="5" t="s">
        <v>691</v>
      </c>
      <c r="D337" s="6">
        <v>5999.78</v>
      </c>
      <c r="E337" s="6">
        <v>4188.4799999999996</v>
      </c>
      <c r="F337" s="7" t="s">
        <v>14</v>
      </c>
      <c r="G337" s="8" t="s">
        <v>692</v>
      </c>
      <c r="H337" s="8" t="s">
        <v>16</v>
      </c>
      <c r="I337" s="9">
        <v>2033</v>
      </c>
      <c r="J337" s="10" t="s">
        <v>593</v>
      </c>
      <c r="K337" s="10">
        <v>11051</v>
      </c>
      <c r="L337" s="3" t="str">
        <f t="shared" si="11"/>
        <v>ΑΜΠΕΛΩΝΕΣ_ΓΙΑ_ΠΑΡΑΓΩΓΗ_ΟΙΝΟΥ</v>
      </c>
    </row>
    <row r="338" spans="1:12" s="3" customFormat="1" ht="24" x14ac:dyDescent="0.25">
      <c r="A338" s="3" t="str">
        <f t="shared" si="10"/>
        <v>ΑΜΠΕΛΩΝΕΣ ΓΙΑ ΠΑΡΑΓΩΓΗ ΟΙΝΟΥΣΑΡΝΤΟΝΕ (CHARDONNAY)</v>
      </c>
      <c r="B338" s="4" t="s">
        <v>590</v>
      </c>
      <c r="C338" s="5" t="s">
        <v>693</v>
      </c>
      <c r="D338" s="6">
        <v>5999.78</v>
      </c>
      <c r="E338" s="6">
        <v>4188.4799999999996</v>
      </c>
      <c r="F338" s="7" t="s">
        <v>14</v>
      </c>
      <c r="G338" s="8" t="s">
        <v>694</v>
      </c>
      <c r="H338" s="8" t="s">
        <v>16</v>
      </c>
      <c r="I338" s="9">
        <v>1992</v>
      </c>
      <c r="J338" s="10" t="s">
        <v>593</v>
      </c>
      <c r="K338" s="10">
        <v>11052</v>
      </c>
      <c r="L338" s="3" t="str">
        <f t="shared" si="11"/>
        <v>ΑΜΠΕΛΩΝΕΣ_ΓΙΑ_ΠΑΡΑΓΩΓΗ_ΟΙΝΟΥ</v>
      </c>
    </row>
    <row r="339" spans="1:12" s="3" customFormat="1" ht="24" x14ac:dyDescent="0.25">
      <c r="A339" s="3" t="str">
        <f t="shared" si="10"/>
        <v>ΑΜΠΕΛΩΝΕΣ ΓΙΑ ΠΑΡΑΓΩΓΗ ΟΙΝΟΥΣΕΜΙΓΙΟΝ (SEMILLON)</v>
      </c>
      <c r="B339" s="4" t="s">
        <v>590</v>
      </c>
      <c r="C339" s="5" t="s">
        <v>695</v>
      </c>
      <c r="D339" s="6">
        <v>5999.78</v>
      </c>
      <c r="E339" s="6">
        <v>4188.4799999999996</v>
      </c>
      <c r="F339" s="7" t="s">
        <v>14</v>
      </c>
      <c r="G339" s="8" t="s">
        <v>696</v>
      </c>
      <c r="H339" s="8" t="s">
        <v>16</v>
      </c>
      <c r="I339" s="9">
        <v>1985</v>
      </c>
      <c r="J339" s="10" t="s">
        <v>593</v>
      </c>
      <c r="K339" s="10">
        <v>11053</v>
      </c>
      <c r="L339" s="3" t="str">
        <f t="shared" si="11"/>
        <v>ΑΜΠΕΛΩΝΕΣ_ΓΙΑ_ΠΑΡΑΓΩΓΗ_ΟΙΝΟΥ</v>
      </c>
    </row>
    <row r="340" spans="1:12" s="3" customFormat="1" ht="24" x14ac:dyDescent="0.25">
      <c r="A340" s="3" t="str">
        <f t="shared" si="10"/>
        <v>ΑΜΠΕΛΩΝΕΣ ΓΙΑ ΠΑΡΑΓΩΓΗ ΟΙΝΟΥΣΚΙΑΔΟΠΟΥΛΟ</v>
      </c>
      <c r="B340" s="4" t="s">
        <v>590</v>
      </c>
      <c r="C340" s="5" t="s">
        <v>697</v>
      </c>
      <c r="D340" s="6">
        <v>5999.78</v>
      </c>
      <c r="E340" s="6">
        <v>4188.4799999999996</v>
      </c>
      <c r="F340" s="7" t="s">
        <v>14</v>
      </c>
      <c r="G340" s="8" t="s">
        <v>698</v>
      </c>
      <c r="H340" s="8" t="s">
        <v>16</v>
      </c>
      <c r="I340" s="9">
        <v>1983</v>
      </c>
      <c r="J340" s="10" t="s">
        <v>593</v>
      </c>
      <c r="K340" s="10">
        <v>11054</v>
      </c>
      <c r="L340" s="3" t="str">
        <f t="shared" si="11"/>
        <v>ΑΜΠΕΛΩΝΕΣ_ΓΙΑ_ΠΑΡΑΓΩΓΗ_ΟΙΝΟΥ</v>
      </c>
    </row>
    <row r="341" spans="1:12" s="3" customFormat="1" ht="24" x14ac:dyDescent="0.25">
      <c r="A341" s="3" t="str">
        <f t="shared" si="10"/>
        <v>ΑΜΠΕΛΩΝΕΣ ΓΙΑ ΠΑΡΑΓΩΓΗ ΟΙΝΟΥΣΥΛΒΑΝΕΡ (SYLVANER)</v>
      </c>
      <c r="B341" s="4" t="s">
        <v>590</v>
      </c>
      <c r="C341" s="5" t="s">
        <v>699</v>
      </c>
      <c r="D341" s="6">
        <v>5999.78</v>
      </c>
      <c r="E341" s="6">
        <v>4188.4799999999996</v>
      </c>
      <c r="F341" s="7" t="s">
        <v>14</v>
      </c>
      <c r="G341" s="8" t="s">
        <v>700</v>
      </c>
      <c r="H341" s="8" t="s">
        <v>16</v>
      </c>
      <c r="I341" s="9">
        <v>1982</v>
      </c>
      <c r="J341" s="10" t="s">
        <v>593</v>
      </c>
      <c r="K341" s="10">
        <v>11055</v>
      </c>
      <c r="L341" s="3" t="str">
        <f t="shared" si="11"/>
        <v>ΑΜΠΕΛΩΝΕΣ_ΓΙΑ_ΠΑΡΑΓΩΓΗ_ΟΙΝΟΥ</v>
      </c>
    </row>
    <row r="342" spans="1:12" s="3" customFormat="1" ht="24" x14ac:dyDescent="0.25">
      <c r="A342" s="3" t="str">
        <f t="shared" si="10"/>
        <v>ΑΜΠΕΛΩΝΕΣ ΓΙΑ ΠΑΡΑΓΩΓΗ ΟΙΝΟΥΣΥΛΒΑΝΕΡ ΒΕΡ (SYLVANER VERT)</v>
      </c>
      <c r="B342" s="4" t="s">
        <v>590</v>
      </c>
      <c r="C342" s="5" t="s">
        <v>701</v>
      </c>
      <c r="D342" s="6">
        <v>5999.78</v>
      </c>
      <c r="E342" s="6">
        <v>4188.4799999999996</v>
      </c>
      <c r="F342" s="7" t="s">
        <v>14</v>
      </c>
      <c r="G342" s="8" t="s">
        <v>702</v>
      </c>
      <c r="H342" s="8" t="s">
        <v>16</v>
      </c>
      <c r="I342" s="9">
        <v>1981</v>
      </c>
      <c r="J342" s="10" t="s">
        <v>593</v>
      </c>
      <c r="K342" s="10">
        <v>11056</v>
      </c>
      <c r="L342" s="3" t="str">
        <f t="shared" si="11"/>
        <v>ΑΜΠΕΛΩΝΕΣ_ΓΙΑ_ΠΑΡΑΓΩΓΗ_ΟΙΝΟΥ</v>
      </c>
    </row>
    <row r="343" spans="1:12" s="3" customFormat="1" ht="24" x14ac:dyDescent="0.25">
      <c r="A343" s="3" t="str">
        <f t="shared" si="10"/>
        <v>ΑΜΠΕΛΩΝΕΣ ΓΙΑ ΠΑΡΑΓΩΓΗ ΟΙΝΟΥΣΩΒΙΝΙΟΝ ΜΠΛΑΝΚ (SAUVIGNON BLANC)</v>
      </c>
      <c r="B343" s="4" t="s">
        <v>590</v>
      </c>
      <c r="C343" s="5" t="s">
        <v>703</v>
      </c>
      <c r="D343" s="6">
        <v>5999.78</v>
      </c>
      <c r="E343" s="6">
        <v>4188.4799999999996</v>
      </c>
      <c r="F343" s="7" t="s">
        <v>14</v>
      </c>
      <c r="G343" s="8" t="s">
        <v>704</v>
      </c>
      <c r="H343" s="8" t="s">
        <v>16</v>
      </c>
      <c r="I343" s="9">
        <v>1986</v>
      </c>
      <c r="J343" s="10" t="s">
        <v>593</v>
      </c>
      <c r="K343" s="10">
        <v>11057</v>
      </c>
      <c r="L343" s="3" t="str">
        <f t="shared" si="11"/>
        <v>ΑΜΠΕΛΩΝΕΣ_ΓΙΑ_ΠΑΡΑΓΩΓΗ_ΟΙΝΟΥ</v>
      </c>
    </row>
    <row r="344" spans="1:12" s="3" customFormat="1" ht="24" x14ac:dyDescent="0.25">
      <c r="A344" s="3" t="str">
        <f t="shared" si="10"/>
        <v>ΑΜΠΕΛΩΝΕΣ ΓΙΑ ΠΑΡΑΓΩΓΗ ΟΙΝΟΥΚΟΥΡΟΥΤΑΧΤΑΣ, ΤΑΧΤΑΣ</v>
      </c>
      <c r="B344" s="4" t="s">
        <v>590</v>
      </c>
      <c r="C344" s="5" t="s">
        <v>705</v>
      </c>
      <c r="D344" s="6">
        <v>5999.78</v>
      </c>
      <c r="E344" s="6">
        <v>4188.4799999999996</v>
      </c>
      <c r="F344" s="7" t="s">
        <v>14</v>
      </c>
      <c r="G344" s="8" t="s">
        <v>706</v>
      </c>
      <c r="H344" s="8" t="s">
        <v>16</v>
      </c>
      <c r="I344" s="9">
        <v>1980</v>
      </c>
      <c r="J344" s="10" t="s">
        <v>593</v>
      </c>
      <c r="K344" s="10">
        <v>11058</v>
      </c>
      <c r="L344" s="3" t="str">
        <f t="shared" si="11"/>
        <v>ΑΜΠΕΛΩΝΕΣ_ΓΙΑ_ΠΑΡΑΓΩΓΗ_ΟΙΝΟΥ</v>
      </c>
    </row>
    <row r="345" spans="1:12" s="3" customFormat="1" ht="24" x14ac:dyDescent="0.25">
      <c r="A345" s="3" t="str">
        <f t="shared" si="10"/>
        <v>ΑΜΠΕΛΩΝΕΣ ΓΙΑ ΠΑΡΑΓΩΓΗ ΟΙΝΟΥΤΣΑΟΥΣΙ</v>
      </c>
      <c r="B345" s="4" t="s">
        <v>590</v>
      </c>
      <c r="C345" s="5" t="s">
        <v>707</v>
      </c>
      <c r="D345" s="6">
        <v>5999.78</v>
      </c>
      <c r="E345" s="6">
        <v>4188.4799999999996</v>
      </c>
      <c r="F345" s="7" t="s">
        <v>14</v>
      </c>
      <c r="G345" s="8" t="s">
        <v>708</v>
      </c>
      <c r="H345" s="8" t="s">
        <v>16</v>
      </c>
      <c r="I345" s="9">
        <v>1979</v>
      </c>
      <c r="J345" s="10" t="s">
        <v>593</v>
      </c>
      <c r="K345" s="10">
        <v>11059</v>
      </c>
      <c r="L345" s="3" t="str">
        <f t="shared" si="11"/>
        <v>ΑΜΠΕΛΩΝΕΣ_ΓΙΑ_ΠΑΡΑΓΩΓΗ_ΟΙΝΟΥ</v>
      </c>
    </row>
    <row r="346" spans="1:12" s="3" customFormat="1" ht="24" x14ac:dyDescent="0.25">
      <c r="A346" s="3" t="str">
        <f t="shared" si="10"/>
        <v>ΑΜΠΕΛΩΝΕΣ ΓΙΑ ΠΑΡΑΓΩΓΗ ΟΙΝΟΥΤΣΑΟΥΣΙ ΔΙΠΛΗΣ ΧΡΗΣΗΣ</v>
      </c>
      <c r="B346" s="4" t="s">
        <v>590</v>
      </c>
      <c r="C346" s="5" t="s">
        <v>709</v>
      </c>
      <c r="D346" s="6">
        <v>5999.78</v>
      </c>
      <c r="E346" s="6">
        <v>4188.4799999999996</v>
      </c>
      <c r="F346" s="7" t="s">
        <v>14</v>
      </c>
      <c r="G346" s="8" t="s">
        <v>710</v>
      </c>
      <c r="H346" s="8" t="s">
        <v>16</v>
      </c>
      <c r="I346" s="9">
        <v>1978</v>
      </c>
      <c r="J346" s="10" t="s">
        <v>593</v>
      </c>
      <c r="K346" s="10">
        <v>11060</v>
      </c>
      <c r="L346" s="3" t="str">
        <f t="shared" si="11"/>
        <v>ΑΜΠΕΛΩΝΕΣ_ΓΙΑ_ΠΑΡΑΓΩΓΗ_ΟΙΝΟΥ</v>
      </c>
    </row>
    <row r="347" spans="1:12" s="3" customFormat="1" ht="24" x14ac:dyDescent="0.25">
      <c r="A347" s="3" t="str">
        <f t="shared" si="10"/>
        <v>ΑΜΠΕΛΩΝΕΣ ΓΙΑ ΠΑΡΑΓΩΓΗ ΟΙΝΟΥΤΡΑΜΙΝΕΡ (ΣΑΒΑΓΚΡΕΝ)</v>
      </c>
      <c r="B347" s="4" t="s">
        <v>590</v>
      </c>
      <c r="C347" s="5" t="s">
        <v>711</v>
      </c>
      <c r="D347" s="6">
        <v>5999.78</v>
      </c>
      <c r="E347" s="6">
        <v>4188.4799999999996</v>
      </c>
      <c r="F347" s="7" t="s">
        <v>14</v>
      </c>
      <c r="G347" s="8" t="s">
        <v>712</v>
      </c>
      <c r="H347" s="8" t="s">
        <v>16</v>
      </c>
      <c r="I347" s="9">
        <v>1976</v>
      </c>
      <c r="J347" s="10" t="s">
        <v>593</v>
      </c>
      <c r="K347" s="10">
        <v>11061</v>
      </c>
      <c r="L347" s="3" t="str">
        <f t="shared" si="11"/>
        <v>ΑΜΠΕΛΩΝΕΣ_ΓΙΑ_ΠΑΡΑΓΩΓΗ_ΟΙΝΟΥ</v>
      </c>
    </row>
    <row r="348" spans="1:12" s="3" customFormat="1" ht="24" x14ac:dyDescent="0.25">
      <c r="A348" s="3" t="str">
        <f t="shared" si="10"/>
        <v>ΑΜΠΕΛΩΝΕΣ ΓΙΑ ΠΑΡΑΓΩΓΗ ΟΙΝΟΥΦΟΛ ΜΠΛΑΝΣ (FOLLE BLANCHE)</v>
      </c>
      <c r="B348" s="4" t="s">
        <v>590</v>
      </c>
      <c r="C348" s="5" t="s">
        <v>713</v>
      </c>
      <c r="D348" s="6">
        <v>5999.78</v>
      </c>
      <c r="E348" s="6">
        <v>4188.4799999999996</v>
      </c>
      <c r="F348" s="7" t="s">
        <v>14</v>
      </c>
      <c r="G348" s="8" t="s">
        <v>714</v>
      </c>
      <c r="H348" s="8" t="s">
        <v>16</v>
      </c>
      <c r="I348" s="9">
        <v>1977</v>
      </c>
      <c r="J348" s="10" t="s">
        <v>593</v>
      </c>
      <c r="K348" s="10">
        <v>11062</v>
      </c>
      <c r="L348" s="3" t="str">
        <f t="shared" si="11"/>
        <v>ΑΜΠΕΛΩΝΕΣ_ΓΙΑ_ΠΑΡΑΓΩΓΗ_ΟΙΝΟΥ</v>
      </c>
    </row>
    <row r="349" spans="1:12" s="3" customFormat="1" ht="24" x14ac:dyDescent="0.25">
      <c r="A349" s="3" t="str">
        <f t="shared" si="10"/>
        <v>ΑΜΠΕΛΩΝΕΣ ΓΙΑ ΠΑΡΑΓΩΓΗ ΟΙΝΟΥΧΛΩΡΕΣ</v>
      </c>
      <c r="B349" s="4" t="s">
        <v>590</v>
      </c>
      <c r="C349" s="5" t="s">
        <v>416</v>
      </c>
      <c r="D349" s="6">
        <v>5999.78</v>
      </c>
      <c r="E349" s="6">
        <v>4188.4799999999996</v>
      </c>
      <c r="F349" s="7" t="s">
        <v>14</v>
      </c>
      <c r="G349" s="8" t="s">
        <v>715</v>
      </c>
      <c r="H349" s="8" t="s">
        <v>16</v>
      </c>
      <c r="I349" s="9">
        <v>1984</v>
      </c>
      <c r="J349" s="10" t="s">
        <v>593</v>
      </c>
      <c r="K349" s="10">
        <v>11063</v>
      </c>
      <c r="L349" s="3" t="str">
        <f t="shared" si="11"/>
        <v>ΑΜΠΕΛΩΝΕΣ_ΓΙΑ_ΠΑΡΑΓΩΓΗ_ΟΙΝΟΥ</v>
      </c>
    </row>
    <row r="350" spans="1:12" s="3" customFormat="1" ht="24" x14ac:dyDescent="0.25">
      <c r="A350" s="3" t="str">
        <f t="shared" si="10"/>
        <v>ΑΜΠΕΛΩΝΕΣ ΓΙΑ ΠΑΡΑΓΩΓΗ ΟΙΝΟΥΥΝΙ ΜΠΛΑΝ (UGNI BLANC)</v>
      </c>
      <c r="B350" s="4" t="s">
        <v>590</v>
      </c>
      <c r="C350" s="5" t="s">
        <v>716</v>
      </c>
      <c r="D350" s="6">
        <v>5999.78</v>
      </c>
      <c r="E350" s="6">
        <v>4188.4799999999996</v>
      </c>
      <c r="F350" s="7" t="s">
        <v>14</v>
      </c>
      <c r="G350" s="8" t="s">
        <v>717</v>
      </c>
      <c r="H350" s="8" t="s">
        <v>16</v>
      </c>
      <c r="I350" s="9">
        <v>2002</v>
      </c>
      <c r="J350" s="10" t="s">
        <v>593</v>
      </c>
      <c r="K350" s="10">
        <v>11064</v>
      </c>
      <c r="L350" s="3" t="str">
        <f t="shared" si="11"/>
        <v>ΑΜΠΕΛΩΝΕΣ_ΓΙΑ_ΠΑΡΑΓΩΓΗ_ΟΙΝΟΥ</v>
      </c>
    </row>
    <row r="351" spans="1:12" s="3" customFormat="1" ht="24" x14ac:dyDescent="0.25">
      <c r="A351" s="3" t="str">
        <f t="shared" si="10"/>
        <v>ΑΜΠΕΛΩΝΕΣ ΓΙΑ ΠΑΡΑΓΩΓΗ ΟΙΝΟΥΑΛΛΕΣ</v>
      </c>
      <c r="B351" s="4" t="s">
        <v>590</v>
      </c>
      <c r="C351" s="5" t="s">
        <v>461</v>
      </c>
      <c r="D351" s="6">
        <v>5999.78</v>
      </c>
      <c r="E351" s="6">
        <v>4188.4799999999996</v>
      </c>
      <c r="F351" s="7" t="s">
        <v>14</v>
      </c>
      <c r="G351" s="8" t="s">
        <v>718</v>
      </c>
      <c r="H351" s="8" t="s">
        <v>16</v>
      </c>
      <c r="I351" s="9">
        <v>2001</v>
      </c>
      <c r="J351" s="10" t="s">
        <v>593</v>
      </c>
      <c r="K351" s="10">
        <v>11065</v>
      </c>
      <c r="L351" s="3" t="str">
        <f t="shared" si="11"/>
        <v>ΑΜΠΕΛΩΝΕΣ_ΓΙΑ_ΠΑΡΑΓΩΓΗ_ΟΙΝΟΥ</v>
      </c>
    </row>
    <row r="352" spans="1:12" s="3" customFormat="1" ht="24" x14ac:dyDescent="0.25">
      <c r="A352" s="3" t="str">
        <f t="shared" si="10"/>
        <v>ΑΜΠΕΛΩΝΕΣ ΓΙΑ ΠΑΡΑΓΩΓΗ ΟΙΝΟΥΑΛΙΓΚΟΤΕ</v>
      </c>
      <c r="B352" s="4" t="s">
        <v>590</v>
      </c>
      <c r="C352" s="5" t="s">
        <v>719</v>
      </c>
      <c r="D352" s="6">
        <v>5999.78</v>
      </c>
      <c r="E352" s="6">
        <v>4188.4799999999996</v>
      </c>
      <c r="F352" s="7" t="s">
        <v>14</v>
      </c>
      <c r="G352" s="8" t="s">
        <v>720</v>
      </c>
      <c r="H352" s="8" t="s">
        <v>16</v>
      </c>
      <c r="I352" s="9">
        <v>2000</v>
      </c>
      <c r="J352" s="10" t="s">
        <v>593</v>
      </c>
      <c r="K352" s="10">
        <v>11066</v>
      </c>
      <c r="L352" s="3" t="str">
        <f t="shared" si="11"/>
        <v>ΑΜΠΕΛΩΝΕΣ_ΓΙΑ_ΠΑΡΑΓΩΓΗ_ΟΙΝΟΥ</v>
      </c>
    </row>
    <row r="353" spans="1:12" s="3" customFormat="1" ht="24" x14ac:dyDescent="0.25">
      <c r="A353" s="3" t="str">
        <f t="shared" si="10"/>
        <v>ΑΜΠΕΛΩΝΕΣ ΓΙΑ ΠΑΡΑΓΩΓΗ ΟΙΝΟΥΒΙΟΝΕ</v>
      </c>
      <c r="B353" s="4" t="s">
        <v>590</v>
      </c>
      <c r="C353" s="5" t="s">
        <v>721</v>
      </c>
      <c r="D353" s="6">
        <v>5999.78</v>
      </c>
      <c r="E353" s="6">
        <v>4188.4799999999996</v>
      </c>
      <c r="F353" s="7" t="s">
        <v>14</v>
      </c>
      <c r="G353" s="8" t="s">
        <v>722</v>
      </c>
      <c r="H353" s="8" t="s">
        <v>16</v>
      </c>
      <c r="I353" s="9">
        <v>1999</v>
      </c>
      <c r="J353" s="10" t="s">
        <v>593</v>
      </c>
      <c r="K353" s="10">
        <v>11067</v>
      </c>
      <c r="L353" s="3" t="str">
        <f t="shared" si="11"/>
        <v>ΑΜΠΕΛΩΝΕΣ_ΓΙΑ_ΠΑΡΑΓΩΓΗ_ΟΙΝΟΥ</v>
      </c>
    </row>
    <row r="354" spans="1:12" s="3" customFormat="1" ht="24" x14ac:dyDescent="0.25">
      <c r="A354" s="3" t="str">
        <f t="shared" si="10"/>
        <v>ΑΜΠΕΛΩΝΕΣ ΓΙΑ ΠΑΡΑΓΩΓΗ ΟΙΝΟΥΖΑΚΥΝΘΙΝΟ</v>
      </c>
      <c r="B354" s="4" t="s">
        <v>590</v>
      </c>
      <c r="C354" s="5" t="s">
        <v>723</v>
      </c>
      <c r="D354" s="6">
        <v>5999.78</v>
      </c>
      <c r="E354" s="6">
        <v>4188.4799999999996</v>
      </c>
      <c r="F354" s="7" t="s">
        <v>14</v>
      </c>
      <c r="G354" s="8" t="s">
        <v>724</v>
      </c>
      <c r="H354" s="8" t="s">
        <v>16</v>
      </c>
      <c r="I354" s="9">
        <v>1995</v>
      </c>
      <c r="J354" s="10" t="s">
        <v>593</v>
      </c>
      <c r="K354" s="10">
        <v>11068</v>
      </c>
      <c r="L354" s="3" t="str">
        <f t="shared" si="11"/>
        <v>ΑΜΠΕΛΩΝΕΣ_ΓΙΑ_ΠΑΡΑΓΩΓΗ_ΟΙΝΟΥ</v>
      </c>
    </row>
    <row r="355" spans="1:12" s="3" customFormat="1" ht="24" x14ac:dyDescent="0.25">
      <c r="A355" s="3" t="str">
        <f t="shared" si="10"/>
        <v>ΑΜΠΕΛΩΝΕΣ ΓΙΑ ΠΑΡΑΓΩΓΗ ΟΙΝΟΥΜΑΛΒΑΖΙΑ ΑΡΩΜΑΤΙΚΗ</v>
      </c>
      <c r="B355" s="4" t="s">
        <v>590</v>
      </c>
      <c r="C355" s="5" t="s">
        <v>725</v>
      </c>
      <c r="D355" s="6">
        <v>5999.78</v>
      </c>
      <c r="E355" s="6">
        <v>4188.4799999999996</v>
      </c>
      <c r="F355" s="7" t="s">
        <v>14</v>
      </c>
      <c r="G355" s="8" t="s">
        <v>726</v>
      </c>
      <c r="H355" s="8" t="s">
        <v>16</v>
      </c>
      <c r="I355" s="9">
        <v>2003</v>
      </c>
      <c r="J355" s="10" t="s">
        <v>593</v>
      </c>
      <c r="K355" s="10">
        <v>11069</v>
      </c>
      <c r="L355" s="3" t="str">
        <f t="shared" si="11"/>
        <v>ΑΜΠΕΛΩΝΕΣ_ΓΙΑ_ΠΑΡΑΓΩΓΗ_ΟΙΝΟΥ</v>
      </c>
    </row>
    <row r="356" spans="1:12" s="3" customFormat="1" ht="24" x14ac:dyDescent="0.25">
      <c r="A356" s="3" t="str">
        <f t="shared" si="10"/>
        <v>ΑΜΠΕΛΩΝΕΣ ΓΙΑ ΠΑΡΑΓΩΓΗ ΟΙΝΟΥΜΑΛΒΑΖΙΑ ΛΟΥΝΓΚΑ</v>
      </c>
      <c r="B356" s="4" t="s">
        <v>590</v>
      </c>
      <c r="C356" s="5" t="s">
        <v>727</v>
      </c>
      <c r="D356" s="6">
        <v>5999.78</v>
      </c>
      <c r="E356" s="6">
        <v>4188.4799999999996</v>
      </c>
      <c r="F356" s="7" t="s">
        <v>14</v>
      </c>
      <c r="G356" s="8" t="s">
        <v>728</v>
      </c>
      <c r="H356" s="8" t="s">
        <v>16</v>
      </c>
      <c r="I356" s="9">
        <v>1993</v>
      </c>
      <c r="J356" s="10" t="s">
        <v>593</v>
      </c>
      <c r="K356" s="10">
        <v>11070</v>
      </c>
      <c r="L356" s="3" t="str">
        <f t="shared" si="11"/>
        <v>ΑΜΠΕΛΩΝΕΣ_ΓΙΑ_ΠΑΡΑΓΩΓΗ_ΟΙΝΟΥ</v>
      </c>
    </row>
    <row r="357" spans="1:12" s="3" customFormat="1" ht="24" x14ac:dyDescent="0.25">
      <c r="A357" s="3" t="str">
        <f t="shared" si="10"/>
        <v>ΑΜΠΕΛΩΝΕΣ ΓΙΑ ΠΑΡΑΓΩΓΗ ΟΙΝΟΥΜΑΛΒΑΖΙΑ ΙΣΤΡΙΑΝΑ</v>
      </c>
      <c r="B357" s="4" t="s">
        <v>590</v>
      </c>
      <c r="C357" s="5" t="s">
        <v>729</v>
      </c>
      <c r="D357" s="6">
        <v>5999.78</v>
      </c>
      <c r="E357" s="6">
        <v>4188.4799999999996</v>
      </c>
      <c r="F357" s="7" t="s">
        <v>14</v>
      </c>
      <c r="G357" s="8" t="s">
        <v>730</v>
      </c>
      <c r="H357" s="8" t="s">
        <v>16</v>
      </c>
      <c r="I357" s="9">
        <v>1994</v>
      </c>
      <c r="J357" s="10" t="s">
        <v>593</v>
      </c>
      <c r="K357" s="10">
        <v>11071</v>
      </c>
      <c r="L357" s="3" t="str">
        <f t="shared" si="11"/>
        <v>ΑΜΠΕΛΩΝΕΣ_ΓΙΑ_ΠΑΡΑΓΩΓΗ_ΟΙΝΟΥ</v>
      </c>
    </row>
    <row r="358" spans="1:12" s="3" customFormat="1" ht="24" x14ac:dyDescent="0.25">
      <c r="A358" s="3" t="str">
        <f t="shared" si="10"/>
        <v>ΑΜΠΕΛΩΝΕΣ ΓΙΑ ΠΑΡΑΓΩΓΗ ΟΙΝΟΥΜΟΥΡΒΕΡΝΤΡ</v>
      </c>
      <c r="B358" s="4" t="s">
        <v>590</v>
      </c>
      <c r="C358" s="5" t="s">
        <v>731</v>
      </c>
      <c r="D358" s="6">
        <v>5999.78</v>
      </c>
      <c r="E358" s="6">
        <v>4188.4799999999996</v>
      </c>
      <c r="F358" s="7" t="s">
        <v>14</v>
      </c>
      <c r="G358" s="8" t="s">
        <v>732</v>
      </c>
      <c r="H358" s="8" t="s">
        <v>16</v>
      </c>
      <c r="I358" s="9">
        <v>1991</v>
      </c>
      <c r="J358" s="10" t="s">
        <v>593</v>
      </c>
      <c r="K358" s="10">
        <v>11072</v>
      </c>
      <c r="L358" s="3" t="str">
        <f t="shared" si="11"/>
        <v>ΑΜΠΕΛΩΝΕΣ_ΓΙΑ_ΠΑΡΑΓΩΓΗ_ΟΙΝΟΥ</v>
      </c>
    </row>
    <row r="359" spans="1:12" s="3" customFormat="1" ht="15" customHeight="1" x14ac:dyDescent="0.25">
      <c r="A359" s="3" t="str">
        <f t="shared" si="10"/>
        <v>ΑΜΠΕΛΩΝΕΣ ΓΙΑ ΠΑΡΑΓΩΓΗ ΟΙΝΟΥΜΟΣΧΑΤΕΛΛΑ</v>
      </c>
      <c r="B359" s="4" t="s">
        <v>590</v>
      </c>
      <c r="C359" s="5" t="s">
        <v>733</v>
      </c>
      <c r="D359" s="6">
        <v>5999.78</v>
      </c>
      <c r="E359" s="6">
        <v>4188.4799999999996</v>
      </c>
      <c r="F359" s="7" t="s">
        <v>14</v>
      </c>
      <c r="G359" s="8" t="s">
        <v>734</v>
      </c>
      <c r="H359" s="8" t="s">
        <v>16</v>
      </c>
      <c r="I359" s="9">
        <v>1989</v>
      </c>
      <c r="J359" s="10" t="s">
        <v>593</v>
      </c>
      <c r="K359" s="10">
        <v>11073</v>
      </c>
      <c r="L359" s="3" t="str">
        <f t="shared" si="11"/>
        <v>ΑΜΠΕΛΩΝΕΣ_ΓΙΑ_ΠΑΡΑΓΩΓΗ_ΟΙΝΟΥ</v>
      </c>
    </row>
    <row r="360" spans="1:12" s="3" customFormat="1" ht="24" x14ac:dyDescent="0.25">
      <c r="A360" s="3" t="str">
        <f t="shared" si="10"/>
        <v>ΑΜΠΕΛΩΝΕΣ ΓΙΑ ΠΑΡΑΓΩΓΗ ΟΙΝΟΥΟΨΙΜΟΣ ΣΟΥΦΛΙΟΥ</v>
      </c>
      <c r="B360" s="4" t="s">
        <v>590</v>
      </c>
      <c r="C360" s="5" t="s">
        <v>735</v>
      </c>
      <c r="D360" s="6">
        <v>5999.78</v>
      </c>
      <c r="E360" s="6">
        <v>4188.4799999999996</v>
      </c>
      <c r="F360" s="7" t="s">
        <v>14</v>
      </c>
      <c r="G360" s="8" t="s">
        <v>736</v>
      </c>
      <c r="H360" s="8" t="s">
        <v>16</v>
      </c>
      <c r="I360" s="9">
        <v>1988</v>
      </c>
      <c r="J360" s="10" t="s">
        <v>593</v>
      </c>
      <c r="K360" s="10">
        <v>11075</v>
      </c>
      <c r="L360" s="3" t="str">
        <f t="shared" si="11"/>
        <v>ΑΜΠΕΛΩΝΕΣ_ΓΙΑ_ΠΑΡΑΓΩΓΗ_ΟΙΝΟΥ</v>
      </c>
    </row>
    <row r="361" spans="1:12" s="3" customFormat="1" ht="24" x14ac:dyDescent="0.25">
      <c r="A361" s="3" t="str">
        <f t="shared" si="10"/>
        <v>ΑΜΠΕΛΩΝΕΣ ΓΙΑ ΠΑΡΑΓΩΓΗ ΟΙΝΟΥΠΡΙΚΝΑΔΙ</v>
      </c>
      <c r="B361" s="4" t="s">
        <v>590</v>
      </c>
      <c r="C361" s="5" t="s">
        <v>737</v>
      </c>
      <c r="D361" s="6">
        <v>5999.78</v>
      </c>
      <c r="E361" s="6">
        <v>4188.4799999999996</v>
      </c>
      <c r="F361" s="7" t="s">
        <v>14</v>
      </c>
      <c r="G361" s="8" t="s">
        <v>738</v>
      </c>
      <c r="H361" s="8" t="s">
        <v>16</v>
      </c>
      <c r="I361" s="9">
        <v>2006</v>
      </c>
      <c r="J361" s="10" t="s">
        <v>593</v>
      </c>
      <c r="K361" s="10">
        <v>11076</v>
      </c>
      <c r="L361" s="3" t="str">
        <f t="shared" si="11"/>
        <v>ΑΜΠΕΛΩΝΕΣ_ΓΙΑ_ΠΑΡΑΓΩΓΗ_ΟΙΝΟΥ</v>
      </c>
    </row>
    <row r="362" spans="1:12" s="3" customFormat="1" ht="24" x14ac:dyDescent="0.25">
      <c r="A362" s="3" t="str">
        <f t="shared" si="10"/>
        <v>ΑΜΠΕΛΩΝΕΣ ΓΙΑ ΠΑΡΑΓΩΓΗ ΟΙΝΟΥΡΟΖΑΚΙ</v>
      </c>
      <c r="B362" s="4" t="s">
        <v>590</v>
      </c>
      <c r="C362" s="5" t="s">
        <v>739</v>
      </c>
      <c r="D362" s="6">
        <v>5999.78</v>
      </c>
      <c r="E362" s="6">
        <v>4188.4799999999996</v>
      </c>
      <c r="F362" s="7" t="s">
        <v>14</v>
      </c>
      <c r="G362" s="8" t="s">
        <v>740</v>
      </c>
      <c r="H362" s="8" t="s">
        <v>16</v>
      </c>
      <c r="I362" s="9">
        <v>2095</v>
      </c>
      <c r="J362" s="10" t="s">
        <v>593</v>
      </c>
      <c r="K362" s="10">
        <v>11077</v>
      </c>
      <c r="L362" s="3" t="str">
        <f t="shared" si="11"/>
        <v>ΑΜΠΕΛΩΝΕΣ_ΓΙΑ_ΠΑΡΑΓΩΓΗ_ΟΙΝΟΥ</v>
      </c>
    </row>
    <row r="363" spans="1:12" s="3" customFormat="1" ht="24" x14ac:dyDescent="0.25">
      <c r="A363" s="3" t="str">
        <f t="shared" si="10"/>
        <v>ΑΜΠΕΛΩΝΕΣ ΓΙΑ ΠΑΡΑΓΩΓΗ ΟΙΝΟΥΣΟΥΛΤΑΝΙΝΑ</v>
      </c>
      <c r="B363" s="4" t="s">
        <v>590</v>
      </c>
      <c r="C363" s="5" t="s">
        <v>469</v>
      </c>
      <c r="D363" s="6">
        <v>5999.78</v>
      </c>
      <c r="E363" s="6">
        <v>4188.4799999999996</v>
      </c>
      <c r="F363" s="7" t="s">
        <v>14</v>
      </c>
      <c r="G363" s="8" t="s">
        <v>741</v>
      </c>
      <c r="H363" s="8" t="s">
        <v>16</v>
      </c>
      <c r="I363" s="9">
        <v>2067</v>
      </c>
      <c r="J363" s="10" t="s">
        <v>593</v>
      </c>
      <c r="K363" s="10">
        <v>11078</v>
      </c>
      <c r="L363" s="3" t="str">
        <f t="shared" si="11"/>
        <v>ΑΜΠΕΛΩΝΕΣ_ΓΙΑ_ΠΑΡΑΓΩΓΗ_ΟΙΝΟΥ</v>
      </c>
    </row>
    <row r="364" spans="1:12" s="3" customFormat="1" ht="24" x14ac:dyDescent="0.25">
      <c r="A364" s="3" t="str">
        <f t="shared" si="10"/>
        <v>ΑΜΠΕΛΩΝΕΣ ΓΙΑ ΠΑΡΑΓΩΓΗ ΟΙΝΟΥΣΚΥΛΟΚΛΗΜΑ Β</v>
      </c>
      <c r="B364" s="4" t="s">
        <v>590</v>
      </c>
      <c r="C364" s="5" t="s">
        <v>742</v>
      </c>
      <c r="D364" s="6">
        <v>5999.78</v>
      </c>
      <c r="E364" s="6">
        <v>4188.4799999999996</v>
      </c>
      <c r="F364" s="7" t="s">
        <v>14</v>
      </c>
      <c r="G364" s="8" t="s">
        <v>743</v>
      </c>
      <c r="H364" s="8" t="s">
        <v>16</v>
      </c>
      <c r="I364" s="9">
        <v>2068</v>
      </c>
      <c r="J364" s="10" t="s">
        <v>593</v>
      </c>
      <c r="K364" s="10">
        <v>11079</v>
      </c>
      <c r="L364" s="3" t="str">
        <f t="shared" si="11"/>
        <v>ΑΜΠΕΛΩΝΕΣ_ΓΙΑ_ΠΑΡΑΓΩΓΗ_ΟΙΝΟΥ</v>
      </c>
    </row>
    <row r="365" spans="1:12" s="3" customFormat="1" ht="24" x14ac:dyDescent="0.25">
      <c r="A365" s="3" t="str">
        <f t="shared" si="10"/>
        <v>ΑΜΠΕΛΩΝΕΣ ΓΙΑ ΠΑΡΑΓΩΓΗ ΟΙΝΟΥMALVASIA BIANCA DI CANDIA B</v>
      </c>
      <c r="B365" s="4" t="s">
        <v>590</v>
      </c>
      <c r="C365" s="5" t="s">
        <v>744</v>
      </c>
      <c r="D365" s="28">
        <v>5999.78</v>
      </c>
      <c r="E365" s="28">
        <v>4188.4799999999996</v>
      </c>
      <c r="F365" s="7" t="s">
        <v>14</v>
      </c>
      <c r="G365" s="8" t="s">
        <v>745</v>
      </c>
      <c r="H365" s="8" t="s">
        <v>16</v>
      </c>
      <c r="I365" s="9">
        <v>2069</v>
      </c>
      <c r="J365" s="10" t="s">
        <v>593</v>
      </c>
      <c r="K365" s="10">
        <v>11080</v>
      </c>
      <c r="L365" s="3" t="str">
        <f t="shared" si="11"/>
        <v>ΑΜΠΕΛΩΝΕΣ_ΓΙΑ_ΠΑΡΑΓΩΓΗ_ΟΙΝΟΥ</v>
      </c>
    </row>
    <row r="366" spans="1:12" s="3" customFormat="1" ht="24" x14ac:dyDescent="0.25">
      <c r="A366" s="3" t="str">
        <f t="shared" si="10"/>
        <v>ΑΜΠΕΛΩΝΕΣ ΓΙΑ ΠΑΡΑΓΩΓΗ ΟΙΝΟΥRED GLOBE</v>
      </c>
      <c r="B366" s="4" t="s">
        <v>590</v>
      </c>
      <c r="C366" s="5" t="s">
        <v>419</v>
      </c>
      <c r="D366" s="28">
        <v>5999.78</v>
      </c>
      <c r="E366" s="28">
        <v>4188.4799999999996</v>
      </c>
      <c r="F366" s="7" t="s">
        <v>14</v>
      </c>
      <c r="G366" s="8" t="s">
        <v>746</v>
      </c>
      <c r="H366" s="8" t="s">
        <v>16</v>
      </c>
      <c r="I366" s="9">
        <v>2070</v>
      </c>
      <c r="J366" s="10" t="s">
        <v>593</v>
      </c>
      <c r="K366" s="10">
        <v>11085</v>
      </c>
      <c r="L366" s="3" t="str">
        <f t="shared" si="11"/>
        <v>ΑΜΠΕΛΩΝΕΣ_ΓΙΑ_ΠΑΡΑΓΩΓΗ_ΟΙΝΟΥ</v>
      </c>
    </row>
    <row r="367" spans="1:12" s="3" customFormat="1" ht="24" x14ac:dyDescent="0.25">
      <c r="A367" s="3" t="str">
        <f t="shared" si="10"/>
        <v>ΑΜΠΕΛΩΝΕΣ ΓΙΑ ΠΑΡΑΓΩΓΗ ΟΙΝΟΥΡΟΖΑΚΙ ΔΙΠΛΗΣ ΧΡΗΣΗΣ</v>
      </c>
      <c r="B367" s="4" t="s">
        <v>590</v>
      </c>
      <c r="C367" s="5" t="s">
        <v>421</v>
      </c>
      <c r="D367" s="6">
        <v>5999.78</v>
      </c>
      <c r="E367" s="6">
        <v>4188.4799999999996</v>
      </c>
      <c r="F367" s="7" t="s">
        <v>14</v>
      </c>
      <c r="G367" s="8" t="s">
        <v>747</v>
      </c>
      <c r="H367" s="8" t="s">
        <v>16</v>
      </c>
      <c r="I367" s="9">
        <v>2072</v>
      </c>
      <c r="J367" s="10" t="s">
        <v>593</v>
      </c>
      <c r="K367" s="10">
        <v>11086</v>
      </c>
      <c r="L367" s="3" t="str">
        <f t="shared" si="11"/>
        <v>ΑΜΠΕΛΩΝΕΣ_ΓΙΑ_ΠΑΡΑΓΩΓΗ_ΟΙΝΟΥ</v>
      </c>
    </row>
    <row r="368" spans="1:12" s="3" customFormat="1" ht="24" x14ac:dyDescent="0.25">
      <c r="A368" s="3" t="str">
        <f t="shared" si="10"/>
        <v>ΑΜΠΕΛΩΝΕΣ ΓΙΑ ΠΑΡΑΓΩΓΗ ΟΙΝΟΥΣΚΛΑΒΑ</v>
      </c>
      <c r="B368" s="4" t="s">
        <v>590</v>
      </c>
      <c r="C368" s="5" t="s">
        <v>748</v>
      </c>
      <c r="D368" s="6">
        <v>5999.78</v>
      </c>
      <c r="E368" s="6">
        <v>4188.4799999999996</v>
      </c>
      <c r="F368" s="7" t="s">
        <v>14</v>
      </c>
      <c r="G368" s="8" t="s">
        <v>749</v>
      </c>
      <c r="H368" s="8" t="s">
        <v>16</v>
      </c>
      <c r="I368" s="9">
        <v>2089</v>
      </c>
      <c r="J368" s="10" t="s">
        <v>593</v>
      </c>
      <c r="K368" s="10">
        <v>11096</v>
      </c>
      <c r="L368" s="3" t="str">
        <f t="shared" si="11"/>
        <v>ΑΜΠΕΛΩΝΕΣ_ΓΙΑ_ΠΑΡΑΓΩΓΗ_ΟΙΝΟΥ</v>
      </c>
    </row>
    <row r="369" spans="1:12" s="3" customFormat="1" ht="24" x14ac:dyDescent="0.25">
      <c r="A369" s="3" t="str">
        <f t="shared" si="10"/>
        <v>ΑΜΠΕΛΩΝΕΣ ΓΙΑ ΠΑΡΑΓΩΓΗ ΟΙΝΟΥΑΗΔΑΝΙ ΜΑΥΡΟ</v>
      </c>
      <c r="B369" s="4" t="s">
        <v>590</v>
      </c>
      <c r="C369" s="5" t="s">
        <v>750</v>
      </c>
      <c r="D369" s="6">
        <v>5999.78</v>
      </c>
      <c r="E369" s="6">
        <v>4188.4799999999996</v>
      </c>
      <c r="F369" s="7" t="s">
        <v>14</v>
      </c>
      <c r="G369" s="8" t="s">
        <v>751</v>
      </c>
      <c r="H369" s="8" t="s">
        <v>16</v>
      </c>
      <c r="I369" s="9">
        <v>2041</v>
      </c>
      <c r="J369" s="10" t="s">
        <v>593</v>
      </c>
      <c r="K369" s="10">
        <v>12001</v>
      </c>
      <c r="L369" s="3" t="str">
        <f t="shared" si="11"/>
        <v>ΑΜΠΕΛΩΝΕΣ_ΓΙΑ_ΠΑΡΑΓΩΓΗ_ΟΙΝΟΥ</v>
      </c>
    </row>
    <row r="370" spans="1:12" s="3" customFormat="1" ht="24" x14ac:dyDescent="0.25">
      <c r="A370" s="3" t="str">
        <f t="shared" si="10"/>
        <v>ΑΜΠΕΛΩΝΕΣ ΓΙΑ ΠΑΡΑΓΩΓΗ ΟΙΝΟΥΑΘΗΡΙ ΜΑΥΡΟ</v>
      </c>
      <c r="B370" s="4" t="s">
        <v>590</v>
      </c>
      <c r="C370" s="5" t="s">
        <v>752</v>
      </c>
      <c r="D370" s="6">
        <v>5999.78</v>
      </c>
      <c r="E370" s="6">
        <v>4188.4799999999996</v>
      </c>
      <c r="F370" s="7" t="s">
        <v>14</v>
      </c>
      <c r="G370" s="8" t="s">
        <v>753</v>
      </c>
      <c r="H370" s="8" t="s">
        <v>16</v>
      </c>
      <c r="I370" s="9">
        <v>2042</v>
      </c>
      <c r="J370" s="10" t="s">
        <v>593</v>
      </c>
      <c r="K370" s="10">
        <v>12002</v>
      </c>
      <c r="L370" s="3" t="str">
        <f t="shared" si="11"/>
        <v>ΑΜΠΕΛΩΝΕΣ_ΓΙΑ_ΠΑΡΑΓΩΓΗ_ΟΙΝΟΥ</v>
      </c>
    </row>
    <row r="371" spans="1:12" s="3" customFormat="1" ht="24" x14ac:dyDescent="0.25">
      <c r="A371" s="3" t="str">
        <f t="shared" si="10"/>
        <v>ΑΜΠΕΛΩΝΕΣ ΓΙΑ ΠΑΡΑΓΩΓΗ ΟΙΝΟΥΒΟΛΙΤΣΑ ΜΑΥΡΗ</v>
      </c>
      <c r="B371" s="4" t="s">
        <v>590</v>
      </c>
      <c r="C371" s="5" t="s">
        <v>754</v>
      </c>
      <c r="D371" s="6">
        <v>5999.78</v>
      </c>
      <c r="E371" s="6">
        <v>4188.4799999999996</v>
      </c>
      <c r="F371" s="7" t="s">
        <v>14</v>
      </c>
      <c r="G371" s="8" t="s">
        <v>755</v>
      </c>
      <c r="H371" s="8" t="s">
        <v>16</v>
      </c>
      <c r="I371" s="9">
        <v>2043</v>
      </c>
      <c r="J371" s="10" t="s">
        <v>593</v>
      </c>
      <c r="K371" s="10">
        <v>12003</v>
      </c>
      <c r="L371" s="3" t="str">
        <f t="shared" si="11"/>
        <v>ΑΜΠΕΛΩΝΕΣ_ΓΙΑ_ΠΑΡΑΓΩΓΗ_ΟΙΝΟΥ</v>
      </c>
    </row>
    <row r="372" spans="1:12" s="3" customFormat="1" ht="24" x14ac:dyDescent="0.25">
      <c r="A372" s="3" t="str">
        <f t="shared" si="10"/>
        <v>ΑΜΠΕΛΩΝΕΣ ΓΙΑ ΠΑΡΑΓΩΓΗ ΟΙΝΟΥΚΟΡΙΘΙ ΜΑΥΡΟ</v>
      </c>
      <c r="B372" s="4" t="s">
        <v>590</v>
      </c>
      <c r="C372" s="5" t="s">
        <v>756</v>
      </c>
      <c r="D372" s="6">
        <v>5999.78</v>
      </c>
      <c r="E372" s="6">
        <v>4188.4799999999996</v>
      </c>
      <c r="F372" s="7" t="s">
        <v>14</v>
      </c>
      <c r="G372" s="8" t="s">
        <v>757</v>
      </c>
      <c r="H372" s="8" t="s">
        <v>16</v>
      </c>
      <c r="I372" s="9">
        <v>2044</v>
      </c>
      <c r="J372" s="10" t="s">
        <v>593</v>
      </c>
      <c r="K372" s="10">
        <v>12004</v>
      </c>
      <c r="L372" s="3" t="str">
        <f t="shared" si="11"/>
        <v>ΑΜΠΕΛΩΝΕΣ_ΓΙΑ_ΠΑΡΑΓΩΓΗ_ΟΙΝΟΥ</v>
      </c>
    </row>
    <row r="373" spans="1:12" s="3" customFormat="1" ht="24" x14ac:dyDescent="0.25">
      <c r="A373" s="3" t="str">
        <f t="shared" si="10"/>
        <v>ΑΜΠΕΛΩΝΕΣ ΓΙΑ ΠΑΡΑΓΩΓΗ ΟΙΝΟΥΠΕΤΡΟΚΟΡΙΘΟ ΜΑΥΡΟ</v>
      </c>
      <c r="B373" s="4" t="s">
        <v>590</v>
      </c>
      <c r="C373" s="5" t="s">
        <v>758</v>
      </c>
      <c r="D373" s="6">
        <v>5999.78</v>
      </c>
      <c r="E373" s="6">
        <v>4188.4799999999996</v>
      </c>
      <c r="F373" s="7" t="s">
        <v>14</v>
      </c>
      <c r="G373" s="8" t="s">
        <v>759</v>
      </c>
      <c r="H373" s="8" t="s">
        <v>16</v>
      </c>
      <c r="I373" s="9">
        <v>2045</v>
      </c>
      <c r="J373" s="10" t="s">
        <v>593</v>
      </c>
      <c r="K373" s="10">
        <v>12005</v>
      </c>
      <c r="L373" s="3" t="str">
        <f t="shared" si="11"/>
        <v>ΑΜΠΕΛΩΝΕΣ_ΓΙΑ_ΠΑΡΑΓΩΓΗ_ΟΙΝΟΥ</v>
      </c>
    </row>
    <row r="374" spans="1:12" s="3" customFormat="1" ht="24" x14ac:dyDescent="0.25">
      <c r="A374" s="3" t="str">
        <f t="shared" si="10"/>
        <v>ΑΜΠΕΛΩΝΕΣ ΓΙΑ ΠΑΡΑΓΩΓΗ ΟΙΝΟΥΠΟΤΑΜΙΣΙΟ</v>
      </c>
      <c r="B374" s="4" t="s">
        <v>590</v>
      </c>
      <c r="C374" s="5" t="s">
        <v>760</v>
      </c>
      <c r="D374" s="6">
        <v>5999.78</v>
      </c>
      <c r="E374" s="6">
        <v>4188.4799999999996</v>
      </c>
      <c r="F374" s="7" t="s">
        <v>14</v>
      </c>
      <c r="G374" s="8" t="s">
        <v>761</v>
      </c>
      <c r="H374" s="8" t="s">
        <v>16</v>
      </c>
      <c r="I374" s="9">
        <v>2046</v>
      </c>
      <c r="J374" s="10" t="s">
        <v>593</v>
      </c>
      <c r="K374" s="10">
        <v>12006</v>
      </c>
      <c r="L374" s="3" t="str">
        <f t="shared" si="11"/>
        <v>ΑΜΠΕΛΩΝΕΣ_ΓΙΑ_ΠΑΡΑΓΩΓΗ_ΟΙΝΟΥ</v>
      </c>
    </row>
    <row r="375" spans="1:12" s="3" customFormat="1" ht="24" x14ac:dyDescent="0.25">
      <c r="A375" s="3" t="str">
        <f t="shared" si="10"/>
        <v>ΑΜΠΕΛΩΝΕΣ ΓΙΑ ΠΑΡΑΓΩΓΗ ΟΙΝΟΥΑΓΙΑΝΝΙΩΤΙΚΟ</v>
      </c>
      <c r="B375" s="4" t="s">
        <v>590</v>
      </c>
      <c r="C375" s="5" t="s">
        <v>762</v>
      </c>
      <c r="D375" s="6">
        <v>5999.78</v>
      </c>
      <c r="E375" s="6">
        <v>4188.4799999999996</v>
      </c>
      <c r="F375" s="7" t="s">
        <v>14</v>
      </c>
      <c r="G375" s="8" t="s">
        <v>763</v>
      </c>
      <c r="H375" s="8" t="s">
        <v>16</v>
      </c>
      <c r="I375" s="9">
        <v>2050</v>
      </c>
      <c r="J375" s="10" t="s">
        <v>593</v>
      </c>
      <c r="K375" s="10">
        <v>12100</v>
      </c>
      <c r="L375" s="3" t="str">
        <f t="shared" si="11"/>
        <v>ΑΜΠΕΛΩΝΕΣ_ΓΙΑ_ΠΑΡΑΓΩΓΗ_ΟΙΝΟΥ</v>
      </c>
    </row>
    <row r="376" spans="1:12" s="3" customFormat="1" ht="24" x14ac:dyDescent="0.25">
      <c r="A376" s="3" t="str">
        <f t="shared" si="10"/>
        <v>ΑΜΠΕΛΩΝΕΣ ΓΙΑ ΠΑΡΑΓΩΓΗ ΟΙΝΟΥΑΓΙΩΡΓΙΤΙΚΟ (ΜΑΥΡΟ ΝΕΜΕΑΣ)</v>
      </c>
      <c r="B376" s="4" t="s">
        <v>590</v>
      </c>
      <c r="C376" s="5" t="s">
        <v>764</v>
      </c>
      <c r="D376" s="6">
        <v>5999.78</v>
      </c>
      <c r="E376" s="6">
        <v>4188.4799999999996</v>
      </c>
      <c r="F376" s="7" t="s">
        <v>14</v>
      </c>
      <c r="G376" s="8" t="s">
        <v>765</v>
      </c>
      <c r="H376" s="8" t="s">
        <v>16</v>
      </c>
      <c r="I376" s="9">
        <v>2059</v>
      </c>
      <c r="J376" s="10" t="s">
        <v>593</v>
      </c>
      <c r="K376" s="10">
        <v>12101</v>
      </c>
      <c r="L376" s="3" t="str">
        <f t="shared" si="11"/>
        <v>ΑΜΠΕΛΩΝΕΣ_ΓΙΑ_ΠΑΡΑΓΩΓΗ_ΟΙΝΟΥ</v>
      </c>
    </row>
    <row r="377" spans="1:12" s="3" customFormat="1" ht="24" x14ac:dyDescent="0.25">
      <c r="A377" s="3" t="str">
        <f t="shared" si="10"/>
        <v>ΑΜΠΕΛΩΝΕΣ ΓΙΑ ΠΑΡΑΓΩΓΗ ΟΙΝΟΥΑΛΙΚΑΝΤΕ ΜΠΟΥΣΕ (ALICANTE BOUSCHET)</v>
      </c>
      <c r="B377" s="4" t="s">
        <v>590</v>
      </c>
      <c r="C377" s="5" t="s">
        <v>766</v>
      </c>
      <c r="D377" s="6">
        <v>5999.78</v>
      </c>
      <c r="E377" s="6">
        <v>4188.4799999999996</v>
      </c>
      <c r="F377" s="7" t="s">
        <v>14</v>
      </c>
      <c r="G377" s="8" t="s">
        <v>767</v>
      </c>
      <c r="H377" s="8" t="s">
        <v>16</v>
      </c>
      <c r="I377" s="9">
        <v>2060</v>
      </c>
      <c r="J377" s="10" t="s">
        <v>593</v>
      </c>
      <c r="K377" s="10">
        <v>12102</v>
      </c>
      <c r="L377" s="3" t="str">
        <f t="shared" si="11"/>
        <v>ΑΜΠΕΛΩΝΕΣ_ΓΙΑ_ΠΑΡΑΓΩΓΗ_ΟΙΝΟΥ</v>
      </c>
    </row>
    <row r="378" spans="1:12" s="3" customFormat="1" ht="24" x14ac:dyDescent="0.25">
      <c r="A378" s="3" t="str">
        <f t="shared" si="10"/>
        <v>ΑΜΠΕΛΩΝΕΣ ΓΙΑ ΠΑΡΑΓΩΓΗ ΟΙΝΟΥΑΜΦΙΟΝΙ</v>
      </c>
      <c r="B378" s="4" t="s">
        <v>590</v>
      </c>
      <c r="C378" s="5" t="s">
        <v>768</v>
      </c>
      <c r="D378" s="6">
        <v>5999.78</v>
      </c>
      <c r="E378" s="6">
        <v>4188.4799999999996</v>
      </c>
      <c r="F378" s="7" t="s">
        <v>14</v>
      </c>
      <c r="G378" s="8" t="s">
        <v>769</v>
      </c>
      <c r="H378" s="8" t="s">
        <v>16</v>
      </c>
      <c r="I378" s="9">
        <v>2062</v>
      </c>
      <c r="J378" s="10" t="s">
        <v>593</v>
      </c>
      <c r="K378" s="10">
        <v>12103</v>
      </c>
      <c r="L378" s="3" t="str">
        <f t="shared" si="11"/>
        <v>ΑΜΠΕΛΩΝΕΣ_ΓΙΑ_ΠΑΡΑΓΩΓΗ_ΟΙΝΟΥ</v>
      </c>
    </row>
    <row r="379" spans="1:12" s="3" customFormat="1" ht="24" x14ac:dyDescent="0.25">
      <c r="A379" s="3" t="str">
        <f t="shared" si="10"/>
        <v>ΑΜΠΕΛΩΝΕΣ ΓΙΑ ΠΑΡΑΓΩΓΗ ΟΙΝΟΥΑΡΑΚΛΙΝΟΣ</v>
      </c>
      <c r="B379" s="4" t="s">
        <v>590</v>
      </c>
      <c r="C379" s="5" t="s">
        <v>770</v>
      </c>
      <c r="D379" s="6">
        <v>5999.78</v>
      </c>
      <c r="E379" s="6">
        <v>4188.4799999999996</v>
      </c>
      <c r="F379" s="7" t="s">
        <v>14</v>
      </c>
      <c r="G379" s="8" t="s">
        <v>771</v>
      </c>
      <c r="H379" s="8" t="s">
        <v>16</v>
      </c>
      <c r="I379" s="9">
        <v>2063</v>
      </c>
      <c r="J379" s="10" t="s">
        <v>593</v>
      </c>
      <c r="K379" s="10">
        <v>12104</v>
      </c>
      <c r="L379" s="3" t="str">
        <f t="shared" si="11"/>
        <v>ΑΜΠΕΛΩΝΕΣ_ΓΙΑ_ΠΑΡΑΓΩΓΗ_ΟΙΝΟΥ</v>
      </c>
    </row>
    <row r="380" spans="1:12" s="3" customFormat="1" ht="24" x14ac:dyDescent="0.25">
      <c r="A380" s="3" t="str">
        <f t="shared" si="10"/>
        <v>ΑΜΠΕΛΩΝΕΣ ΓΙΑ ΠΑΡΑΓΩΓΗ ΟΙΝΟΥΑΡΜΕΛΕΤΟΥΣΑ</v>
      </c>
      <c r="B380" s="4" t="s">
        <v>590</v>
      </c>
      <c r="C380" s="5" t="s">
        <v>772</v>
      </c>
      <c r="D380" s="6">
        <v>5999.78</v>
      </c>
      <c r="E380" s="6">
        <v>4188.4799999999996</v>
      </c>
      <c r="F380" s="7" t="s">
        <v>14</v>
      </c>
      <c r="G380" s="8" t="s">
        <v>773</v>
      </c>
      <c r="H380" s="8" t="s">
        <v>16</v>
      </c>
      <c r="I380" s="9">
        <v>2035</v>
      </c>
      <c r="J380" s="10" t="s">
        <v>593</v>
      </c>
      <c r="K380" s="10">
        <v>12105</v>
      </c>
      <c r="L380" s="3" t="str">
        <f t="shared" si="11"/>
        <v>ΑΜΠΕΛΩΝΕΣ_ΓΙΑ_ΠΑΡΑΓΩΓΗ_ΟΙΝΟΥ</v>
      </c>
    </row>
    <row r="381" spans="1:12" s="3" customFormat="1" ht="24" x14ac:dyDescent="0.25">
      <c r="A381" s="3" t="str">
        <f t="shared" si="10"/>
        <v>ΑΜΠΕΛΩΝΕΣ ΓΙΑ ΠΑΡΑΓΩΓΗ ΟΙΝΟΥΑΥΓΟΥΣΤΙΑΤΗΣ</v>
      </c>
      <c r="B381" s="4" t="s">
        <v>590</v>
      </c>
      <c r="C381" s="5" t="s">
        <v>774</v>
      </c>
      <c r="D381" s="6">
        <v>5999.78</v>
      </c>
      <c r="E381" s="6">
        <v>4188.4799999999996</v>
      </c>
      <c r="F381" s="7" t="s">
        <v>14</v>
      </c>
      <c r="G381" s="8" t="s">
        <v>775</v>
      </c>
      <c r="H381" s="8" t="s">
        <v>16</v>
      </c>
      <c r="I381" s="9">
        <v>2058</v>
      </c>
      <c r="J381" s="10" t="s">
        <v>593</v>
      </c>
      <c r="K381" s="10">
        <v>12106</v>
      </c>
      <c r="L381" s="3" t="str">
        <f t="shared" si="11"/>
        <v>ΑΜΠΕΛΩΝΕΣ_ΓΙΑ_ΠΑΡΑΓΩΓΗ_ΟΙΝΟΥ</v>
      </c>
    </row>
    <row r="382" spans="1:12" s="3" customFormat="1" ht="24" x14ac:dyDescent="0.25">
      <c r="A382" s="3" t="str">
        <f t="shared" si="10"/>
        <v>ΑΜΠΕΛΩΝΕΣ ΓΙΑ ΠΑΡΑΓΩΓΗ ΟΙΝΟΥΒΑΦΤΡΑ, ΒΑΨΑ</v>
      </c>
      <c r="B382" s="4" t="s">
        <v>590</v>
      </c>
      <c r="C382" s="5" t="s">
        <v>776</v>
      </c>
      <c r="D382" s="6">
        <v>5999.78</v>
      </c>
      <c r="E382" s="6">
        <v>4188.4799999999996</v>
      </c>
      <c r="F382" s="7" t="s">
        <v>14</v>
      </c>
      <c r="G382" s="8" t="s">
        <v>777</v>
      </c>
      <c r="H382" s="8" t="s">
        <v>16</v>
      </c>
      <c r="I382" s="9">
        <v>2082</v>
      </c>
      <c r="J382" s="10" t="s">
        <v>593</v>
      </c>
      <c r="K382" s="10">
        <v>12107</v>
      </c>
      <c r="L382" s="3" t="str">
        <f t="shared" si="11"/>
        <v>ΑΜΠΕΛΩΝΕΣ_ΓΙΑ_ΠΑΡΑΓΩΓΗ_ΟΙΝΟΥ</v>
      </c>
    </row>
    <row r="383" spans="1:12" s="3" customFormat="1" ht="24" x14ac:dyDescent="0.25">
      <c r="A383" s="3" t="str">
        <f t="shared" si="10"/>
        <v>ΑΜΠΕΛΩΝΕΣ ΓΙΑ ΠΑΡΑΓΩΓΗ ΟΙΝΟΥΒΕΡΤΖΑΜΙ</v>
      </c>
      <c r="B383" s="4" t="s">
        <v>590</v>
      </c>
      <c r="C383" s="5" t="s">
        <v>778</v>
      </c>
      <c r="D383" s="6">
        <v>5999.78</v>
      </c>
      <c r="E383" s="6">
        <v>4188.4799999999996</v>
      </c>
      <c r="F383" s="7" t="s">
        <v>14</v>
      </c>
      <c r="G383" s="8" t="s">
        <v>779</v>
      </c>
      <c r="H383" s="8" t="s">
        <v>16</v>
      </c>
      <c r="I383" s="9">
        <v>2083</v>
      </c>
      <c r="J383" s="10" t="s">
        <v>593</v>
      </c>
      <c r="K383" s="10">
        <v>12108</v>
      </c>
      <c r="L383" s="3" t="str">
        <f t="shared" si="11"/>
        <v>ΑΜΠΕΛΩΝΕΣ_ΓΙΑ_ΠΑΡΑΓΩΓΗ_ΟΙΝΟΥ</v>
      </c>
    </row>
    <row r="384" spans="1:12" s="3" customFormat="1" ht="24" x14ac:dyDescent="0.25">
      <c r="A384" s="3" t="str">
        <f t="shared" si="10"/>
        <v>ΑΜΠΕΛΩΝΕΣ ΓΙΑ ΠΑΡΑΓΩΓΗ ΟΙΝΟΥΒΙΟΛΕΝΤΟ</v>
      </c>
      <c r="B384" s="4" t="s">
        <v>590</v>
      </c>
      <c r="C384" s="5" t="s">
        <v>780</v>
      </c>
      <c r="D384" s="6">
        <v>5999.78</v>
      </c>
      <c r="E384" s="6">
        <v>4188.4799999999996</v>
      </c>
      <c r="F384" s="7" t="s">
        <v>14</v>
      </c>
      <c r="G384" s="8" t="s">
        <v>781</v>
      </c>
      <c r="H384" s="8" t="s">
        <v>16</v>
      </c>
      <c r="I384" s="9">
        <v>2084</v>
      </c>
      <c r="J384" s="10" t="s">
        <v>593</v>
      </c>
      <c r="K384" s="10">
        <v>12109</v>
      </c>
      <c r="L384" s="3" t="str">
        <f t="shared" si="11"/>
        <v>ΑΜΠΕΛΩΝΕΣ_ΓΙΑ_ΠΑΡΑΓΩΓΗ_ΟΙΝΟΥ</v>
      </c>
    </row>
    <row r="385" spans="1:12" s="3" customFormat="1" ht="24" x14ac:dyDescent="0.25">
      <c r="A385" s="3" t="str">
        <f t="shared" si="10"/>
        <v>ΑΜΠΕΛΩΝΕΣ ΓΙΑ ΠΑΡΑΓΩΓΗ ΟΙΝΟΥΒΛΑΧΙΚΟ</v>
      </c>
      <c r="B385" s="4" t="s">
        <v>590</v>
      </c>
      <c r="C385" s="5" t="s">
        <v>782</v>
      </c>
      <c r="D385" s="6">
        <v>5999.78</v>
      </c>
      <c r="E385" s="6">
        <v>4188.4799999999996</v>
      </c>
      <c r="F385" s="7" t="s">
        <v>14</v>
      </c>
      <c r="G385" s="8" t="s">
        <v>783</v>
      </c>
      <c r="H385" s="8" t="s">
        <v>16</v>
      </c>
      <c r="I385" s="9">
        <v>2085</v>
      </c>
      <c r="J385" s="10" t="s">
        <v>593</v>
      </c>
      <c r="K385" s="10">
        <v>12110</v>
      </c>
      <c r="L385" s="3" t="str">
        <f t="shared" si="11"/>
        <v>ΑΜΠΕΛΩΝΕΣ_ΓΙΑ_ΠΑΡΑΓΩΓΗ_ΟΙΝΟΥ</v>
      </c>
    </row>
    <row r="386" spans="1:12" s="3" customFormat="1" ht="24" x14ac:dyDescent="0.25">
      <c r="A386" s="3" t="str">
        <f t="shared" si="10"/>
        <v>ΑΜΠΕΛΩΝΕΣ ΓΙΑ ΠΑΡΑΓΩΓΗ ΟΙΝΟΥΒΟΙΔΟΜΑΤΗΣ</v>
      </c>
      <c r="B386" s="4" t="s">
        <v>590</v>
      </c>
      <c r="C386" s="5" t="s">
        <v>784</v>
      </c>
      <c r="D386" s="6">
        <v>5999.78</v>
      </c>
      <c r="E386" s="6">
        <v>4188.4799999999996</v>
      </c>
      <c r="F386" s="7" t="s">
        <v>14</v>
      </c>
      <c r="G386" s="8" t="s">
        <v>785</v>
      </c>
      <c r="H386" s="8" t="s">
        <v>16</v>
      </c>
      <c r="I386" s="9">
        <v>2086</v>
      </c>
      <c r="J386" s="10" t="s">
        <v>593</v>
      </c>
      <c r="K386" s="10">
        <v>12111</v>
      </c>
      <c r="L386" s="3" t="str">
        <f t="shared" si="11"/>
        <v>ΑΜΠΕΛΩΝΕΣ_ΓΙΑ_ΠΑΡΑΓΩΓΗ_ΟΙΝΟΥ</v>
      </c>
    </row>
    <row r="387" spans="1:12" s="3" customFormat="1" ht="24" x14ac:dyDescent="0.25">
      <c r="A387" s="3" t="str">
        <f t="shared" ref="A387:A450" si="12">_xlfn.CONCAT(B387,C387)</f>
        <v>ΑΜΠΕΛΩΝΕΣ ΓΙΑ ΠΑΡΑΓΩΓΗ ΟΙΝΟΥΒΡΑΔΙΑΝΟ</v>
      </c>
      <c r="B387" s="4" t="s">
        <v>590</v>
      </c>
      <c r="C387" s="5" t="s">
        <v>786</v>
      </c>
      <c r="D387" s="6">
        <v>5999.78</v>
      </c>
      <c r="E387" s="6">
        <v>4188.4799999999996</v>
      </c>
      <c r="F387" s="7" t="s">
        <v>14</v>
      </c>
      <c r="G387" s="8" t="s">
        <v>787</v>
      </c>
      <c r="H387" s="8" t="s">
        <v>16</v>
      </c>
      <c r="I387" s="9">
        <v>2096</v>
      </c>
      <c r="J387" s="10" t="s">
        <v>593</v>
      </c>
      <c r="K387" s="10">
        <v>12112</v>
      </c>
      <c r="L387" s="3" t="str">
        <f t="shared" ref="L387:L450" si="13">IFERROR(SUBSTITUTE(SUBSTITUTE(SUBSTITUTE(SUBSTITUTE(SUBSTITUTE(B387, "-", "_"), " ", "_"), ",", ""), "(", ""), ")", ""), B387)</f>
        <v>ΑΜΠΕΛΩΝΕΣ_ΓΙΑ_ΠΑΡΑΓΩΓΗ_ΟΙΝΟΥ</v>
      </c>
    </row>
    <row r="388" spans="1:12" s="3" customFormat="1" ht="24" x14ac:dyDescent="0.25">
      <c r="A388" s="3" t="str">
        <f t="shared" si="12"/>
        <v>ΑΜΠΕΛΩΝΕΣ ΓΙΑ ΠΑΡΑΓΩΓΗ ΟΙΝΟΥΓΚΡΕΝΑΣ ΡΟΥΖ (GRENACHE ROUGE)</v>
      </c>
      <c r="B388" s="4" t="s">
        <v>590</v>
      </c>
      <c r="C388" s="5" t="s">
        <v>788</v>
      </c>
      <c r="D388" s="6">
        <v>5999.78</v>
      </c>
      <c r="E388" s="6">
        <v>4188.4799999999996</v>
      </c>
      <c r="F388" s="7" t="s">
        <v>14</v>
      </c>
      <c r="G388" s="8" t="s">
        <v>789</v>
      </c>
      <c r="H388" s="8" t="s">
        <v>16</v>
      </c>
      <c r="I388" s="9">
        <v>2088</v>
      </c>
      <c r="J388" s="10" t="s">
        <v>593</v>
      </c>
      <c r="K388" s="10">
        <v>12113</v>
      </c>
      <c r="L388" s="3" t="str">
        <f t="shared" si="13"/>
        <v>ΑΜΠΕΛΩΝΕΣ_ΓΙΑ_ΠΑΡΑΓΩΓΗ_ΟΙΝΟΥ</v>
      </c>
    </row>
    <row r="389" spans="1:12" s="3" customFormat="1" ht="24" x14ac:dyDescent="0.25">
      <c r="A389" s="3" t="str">
        <f t="shared" si="12"/>
        <v>ΑΜΠΕΛΩΝΕΣ ΓΙΑ ΠΑΡΑΓΩΓΗ ΟΙΝΟΥΓΚΡΑΝ ΝΟΥΑΡ (GRAND NOIR)</v>
      </c>
      <c r="B389" s="4" t="s">
        <v>590</v>
      </c>
      <c r="C389" s="5" t="s">
        <v>790</v>
      </c>
      <c r="D389" s="6">
        <v>5999.78</v>
      </c>
      <c r="E389" s="6">
        <v>4188.4799999999996</v>
      </c>
      <c r="F389" s="7" t="s">
        <v>14</v>
      </c>
      <c r="G389" s="8" t="s">
        <v>791</v>
      </c>
      <c r="H389" s="8" t="s">
        <v>16</v>
      </c>
      <c r="I389" s="9">
        <v>2081</v>
      </c>
      <c r="J389" s="10" t="s">
        <v>593</v>
      </c>
      <c r="K389" s="10">
        <v>12114</v>
      </c>
      <c r="L389" s="3" t="str">
        <f t="shared" si="13"/>
        <v>ΑΜΠΕΛΩΝΕΣ_ΓΙΑ_ΠΑΡΑΓΩΓΗ_ΟΙΝΟΥ</v>
      </c>
    </row>
    <row r="390" spans="1:12" s="3" customFormat="1" ht="24" x14ac:dyDescent="0.25">
      <c r="A390" s="3" t="str">
        <f t="shared" si="12"/>
        <v>ΑΜΠΕΛΩΝΕΣ ΓΙΑ ΠΑΡΑΓΩΓΗ ΟΙΝΟΥΓΛΥΚΟΠΑΤΙ</v>
      </c>
      <c r="B390" s="4" t="s">
        <v>590</v>
      </c>
      <c r="C390" s="5" t="s">
        <v>792</v>
      </c>
      <c r="D390" s="6">
        <v>5999.78</v>
      </c>
      <c r="E390" s="6">
        <v>4188.4799999999996</v>
      </c>
      <c r="F390" s="7" t="s">
        <v>14</v>
      </c>
      <c r="G390" s="8" t="s">
        <v>793</v>
      </c>
      <c r="H390" s="8" t="s">
        <v>16</v>
      </c>
      <c r="I390" s="9">
        <v>2090</v>
      </c>
      <c r="J390" s="10" t="s">
        <v>593</v>
      </c>
      <c r="K390" s="10">
        <v>12115</v>
      </c>
      <c r="L390" s="3" t="str">
        <f t="shared" si="13"/>
        <v>ΑΜΠΕΛΩΝΕΣ_ΓΙΑ_ΠΑΡΑΓΩΓΗ_ΟΙΝΟΥ</v>
      </c>
    </row>
    <row r="391" spans="1:12" s="3" customFormat="1" ht="24" x14ac:dyDescent="0.25">
      <c r="A391" s="3" t="str">
        <f t="shared" si="12"/>
        <v>ΑΜΠΕΛΩΝΕΣ ΓΙΑ ΠΑΡΑΓΩΓΗ ΟΙΝΟΥΔΙΜΗΝΙΤΗΣ</v>
      </c>
      <c r="B391" s="4" t="s">
        <v>590</v>
      </c>
      <c r="C391" s="5" t="s">
        <v>794</v>
      </c>
      <c r="D391" s="6">
        <v>5999.78</v>
      </c>
      <c r="E391" s="6">
        <v>4188.4799999999996</v>
      </c>
      <c r="F391" s="7" t="s">
        <v>14</v>
      </c>
      <c r="G391" s="8" t="s">
        <v>795</v>
      </c>
      <c r="H391" s="8" t="s">
        <v>16</v>
      </c>
      <c r="I391" s="9">
        <v>2091</v>
      </c>
      <c r="J391" s="10" t="s">
        <v>593</v>
      </c>
      <c r="K391" s="10">
        <v>12116</v>
      </c>
      <c r="L391" s="3" t="str">
        <f t="shared" si="13"/>
        <v>ΑΜΠΕΛΩΝΕΣ_ΓΙΑ_ΠΑΡΑΓΩΓΗ_ΟΙΝΟΥ</v>
      </c>
    </row>
    <row r="392" spans="1:12" s="3" customFormat="1" ht="24" x14ac:dyDescent="0.25">
      <c r="A392" s="3" t="str">
        <f t="shared" si="12"/>
        <v>ΑΜΠΕΛΩΝΕΣ ΓΙΑ ΠΑΡΑΓΩΓΗ ΟΙΝΟΥΔΙΧΑΛΙ</v>
      </c>
      <c r="B392" s="4" t="s">
        <v>590</v>
      </c>
      <c r="C392" s="5" t="s">
        <v>796</v>
      </c>
      <c r="D392" s="6">
        <v>5999.78</v>
      </c>
      <c r="E392" s="6">
        <v>4188.4799999999996</v>
      </c>
      <c r="F392" s="7" t="s">
        <v>14</v>
      </c>
      <c r="G392" s="8" t="s">
        <v>797</v>
      </c>
      <c r="H392" s="8" t="s">
        <v>16</v>
      </c>
      <c r="I392" s="9">
        <v>2093</v>
      </c>
      <c r="J392" s="10" t="s">
        <v>593</v>
      </c>
      <c r="K392" s="10">
        <v>12117</v>
      </c>
      <c r="L392" s="3" t="str">
        <f t="shared" si="13"/>
        <v>ΑΜΠΕΛΩΝΕΣ_ΓΙΑ_ΠΑΡΑΓΩΓΗ_ΟΙΝΟΥ</v>
      </c>
    </row>
    <row r="393" spans="1:12" s="3" customFormat="1" ht="24" x14ac:dyDescent="0.25">
      <c r="A393" s="3" t="str">
        <f t="shared" si="12"/>
        <v>ΑΜΠΕΛΩΝΕΣ ΓΙΑ ΠΑΡΑΓΩΓΗ ΟΙΝΟΥΖΑΛΟΒΙΤΙΚΟ</v>
      </c>
      <c r="B393" s="4" t="s">
        <v>590</v>
      </c>
      <c r="C393" s="5" t="s">
        <v>798</v>
      </c>
      <c r="D393" s="6">
        <v>5999.78</v>
      </c>
      <c r="E393" s="6">
        <v>4188.4799999999996</v>
      </c>
      <c r="F393" s="7" t="s">
        <v>14</v>
      </c>
      <c r="G393" s="8" t="s">
        <v>799</v>
      </c>
      <c r="H393" s="8" t="s">
        <v>16</v>
      </c>
      <c r="I393" s="9">
        <v>2094</v>
      </c>
      <c r="J393" s="10" t="s">
        <v>593</v>
      </c>
      <c r="K393" s="10">
        <v>12118</v>
      </c>
      <c r="L393" s="3" t="str">
        <f t="shared" si="13"/>
        <v>ΑΜΠΕΛΩΝΕΣ_ΓΙΑ_ΠΑΡΑΓΩΓΗ_ΟΙΝΟΥ</v>
      </c>
    </row>
    <row r="394" spans="1:12" s="3" customFormat="1" ht="15" customHeight="1" x14ac:dyDescent="0.25">
      <c r="A394" s="3" t="str">
        <f t="shared" si="12"/>
        <v>ΑΜΠΕΛΩΝΕΣ ΓΙΑ ΠΑΡΑΓΩΓΗ ΟΙΝΟΥΘΕΙΑΚΟ</v>
      </c>
      <c r="B394" s="4" t="s">
        <v>590</v>
      </c>
      <c r="C394" s="5" t="s">
        <v>800</v>
      </c>
      <c r="D394" s="6">
        <v>5999.78</v>
      </c>
      <c r="E394" s="6">
        <v>4188.4799999999996</v>
      </c>
      <c r="F394" s="7" t="s">
        <v>14</v>
      </c>
      <c r="G394" s="8" t="s">
        <v>801</v>
      </c>
      <c r="H394" s="8" t="s">
        <v>16</v>
      </c>
      <c r="I394" s="9">
        <v>2074</v>
      </c>
      <c r="J394" s="10" t="s">
        <v>593</v>
      </c>
      <c r="K394" s="10">
        <v>12119</v>
      </c>
      <c r="L394" s="3" t="str">
        <f t="shared" si="13"/>
        <v>ΑΜΠΕΛΩΝΕΣ_ΓΙΑ_ΠΑΡΑΓΩΓΗ_ΟΙΝΟΥ</v>
      </c>
    </row>
    <row r="395" spans="1:12" s="3" customFormat="1" ht="24" x14ac:dyDescent="0.25">
      <c r="A395" s="3" t="str">
        <f t="shared" si="12"/>
        <v>ΑΜΠΕΛΩΝΕΣ ΓΙΑ ΠΑΡΑΓΩΓΗ ΟΙΝΟΥΙΖΑΜΠΕΛΑ (ΤΖΩΡΤΖΙΔΙΚΑ)</v>
      </c>
      <c r="B395" s="4" t="s">
        <v>590</v>
      </c>
      <c r="C395" s="5" t="s">
        <v>802</v>
      </c>
      <c r="D395" s="6">
        <v>5999.78</v>
      </c>
      <c r="E395" s="6">
        <v>4188.4799999999996</v>
      </c>
      <c r="F395" s="7" t="s">
        <v>14</v>
      </c>
      <c r="G395" s="8" t="s">
        <v>803</v>
      </c>
      <c r="H395" s="8" t="s">
        <v>16</v>
      </c>
      <c r="I395" s="9">
        <v>2015</v>
      </c>
      <c r="J395" s="10" t="s">
        <v>593</v>
      </c>
      <c r="K395" s="10">
        <v>12120</v>
      </c>
      <c r="L395" s="3" t="str">
        <f t="shared" si="13"/>
        <v>ΑΜΠΕΛΩΝΕΣ_ΓΙΑ_ΠΑΡΑΓΩΓΗ_ΟΙΝΟΥ</v>
      </c>
    </row>
    <row r="396" spans="1:12" s="3" customFormat="1" ht="24" x14ac:dyDescent="0.25">
      <c r="A396" s="3" t="str">
        <f t="shared" si="12"/>
        <v>ΑΜΠΕΛΩΝΕΣ ΓΙΑ ΠΑΡΑΓΩΓΗ ΟΙΝΟΥΚΑΜΠΕΡΝΕ ΣΩΒΙΝΙΟΝ (CABERNET SAUVIGNON)</v>
      </c>
      <c r="B396" s="4" t="s">
        <v>590</v>
      </c>
      <c r="C396" s="5" t="s">
        <v>804</v>
      </c>
      <c r="D396" s="6">
        <v>5999.78</v>
      </c>
      <c r="E396" s="6">
        <v>4188.4799999999996</v>
      </c>
      <c r="F396" s="7" t="s">
        <v>14</v>
      </c>
      <c r="G396" s="8" t="s">
        <v>805</v>
      </c>
      <c r="H396" s="8" t="s">
        <v>16</v>
      </c>
      <c r="I396" s="9">
        <v>2014</v>
      </c>
      <c r="J396" s="10" t="s">
        <v>593</v>
      </c>
      <c r="K396" s="10">
        <v>12121</v>
      </c>
      <c r="L396" s="3" t="str">
        <f t="shared" si="13"/>
        <v>ΑΜΠΕΛΩΝΕΣ_ΓΙΑ_ΠΑΡΑΓΩΓΗ_ΟΙΝΟΥ</v>
      </c>
    </row>
    <row r="397" spans="1:12" s="3" customFormat="1" ht="24" x14ac:dyDescent="0.25">
      <c r="A397" s="3" t="str">
        <f t="shared" si="12"/>
        <v>ΑΜΠΕΛΩΝΕΣ ΓΙΑ ΠΑΡΑΓΩΓΗ ΟΙΝΟΥΚΑΜΠΕΡΝΕ ΦΡΑΝ (CABERNET FRANK)</v>
      </c>
      <c r="B397" s="4" t="s">
        <v>590</v>
      </c>
      <c r="C397" s="5" t="s">
        <v>806</v>
      </c>
      <c r="D397" s="6">
        <v>5999.78</v>
      </c>
      <c r="E397" s="6">
        <v>4188.4799999999996</v>
      </c>
      <c r="F397" s="7" t="s">
        <v>14</v>
      </c>
      <c r="G397" s="8" t="s">
        <v>807</v>
      </c>
      <c r="H397" s="8" t="s">
        <v>16</v>
      </c>
      <c r="I397" s="9">
        <v>2013</v>
      </c>
      <c r="J397" s="10" t="s">
        <v>593</v>
      </c>
      <c r="K397" s="10">
        <v>12122</v>
      </c>
      <c r="L397" s="3" t="str">
        <f t="shared" si="13"/>
        <v>ΑΜΠΕΛΩΝΕΣ_ΓΙΑ_ΠΑΡΑΓΩΓΗ_ΟΙΝΟΥ</v>
      </c>
    </row>
    <row r="398" spans="1:12" s="3" customFormat="1" ht="24" x14ac:dyDescent="0.25">
      <c r="A398" s="3" t="str">
        <f t="shared" si="12"/>
        <v>ΑΜΠΕΛΩΝΕΣ ΓΙΑ ΠΑΡΑΓΩΓΗ ΟΙΝΟΥΚΑΡΑΜΠΡΑΙΜΗΣ</v>
      </c>
      <c r="B398" s="4" t="s">
        <v>590</v>
      </c>
      <c r="C398" s="5" t="s">
        <v>808</v>
      </c>
      <c r="D398" s="6">
        <v>5999.78</v>
      </c>
      <c r="E398" s="6">
        <v>4188.4799999999996</v>
      </c>
      <c r="F398" s="7" t="s">
        <v>14</v>
      </c>
      <c r="G398" s="8" t="s">
        <v>809</v>
      </c>
      <c r="H398" s="8" t="s">
        <v>16</v>
      </c>
      <c r="I398" s="9">
        <v>2012</v>
      </c>
      <c r="J398" s="10" t="s">
        <v>593</v>
      </c>
      <c r="K398" s="10">
        <v>12123</v>
      </c>
      <c r="L398" s="3" t="str">
        <f t="shared" si="13"/>
        <v>ΑΜΠΕΛΩΝΕΣ_ΓΙΑ_ΠΑΡΑΓΩΓΗ_ΟΙΝΟΥ</v>
      </c>
    </row>
    <row r="399" spans="1:12" s="3" customFormat="1" ht="24" x14ac:dyDescent="0.25">
      <c r="A399" s="3" t="str">
        <f t="shared" si="12"/>
        <v>ΑΜΠΕΛΩΝΕΣ ΓΙΑ ΠΑΡΑΓΩΓΗ ΟΙΝΟΥΚΑΡΙΝΙΑΝ (CARIGNAN)</v>
      </c>
      <c r="B399" s="4" t="s">
        <v>590</v>
      </c>
      <c r="C399" s="5" t="s">
        <v>810</v>
      </c>
      <c r="D399" s="6">
        <v>5999.78</v>
      </c>
      <c r="E399" s="6">
        <v>4188.4799999999996</v>
      </c>
      <c r="F399" s="7" t="s">
        <v>14</v>
      </c>
      <c r="G399" s="8" t="s">
        <v>811</v>
      </c>
      <c r="H399" s="8" t="s">
        <v>16</v>
      </c>
      <c r="I399" s="9">
        <v>2011</v>
      </c>
      <c r="J399" s="10" t="s">
        <v>593</v>
      </c>
      <c r="K399" s="10">
        <v>12124</v>
      </c>
      <c r="L399" s="3" t="str">
        <f t="shared" si="13"/>
        <v>ΑΜΠΕΛΩΝΕΣ_ΓΙΑ_ΠΑΡΑΓΩΓΗ_ΟΙΝΟΥ</v>
      </c>
    </row>
    <row r="400" spans="1:12" s="3" customFormat="1" ht="24" x14ac:dyDescent="0.25">
      <c r="A400" s="3" t="str">
        <f t="shared" si="12"/>
        <v>ΑΜΠΕΛΩΝΕΣ ΓΙΑ ΠΑΡΑΓΩΓΗ ΟΙΝΟΥΚΑΡΤΣΙΩΤΗΣ</v>
      </c>
      <c r="B400" s="4" t="s">
        <v>590</v>
      </c>
      <c r="C400" s="5" t="s">
        <v>812</v>
      </c>
      <c r="D400" s="6">
        <v>5999.78</v>
      </c>
      <c r="E400" s="6">
        <v>4188.4799999999996</v>
      </c>
      <c r="F400" s="7" t="s">
        <v>14</v>
      </c>
      <c r="G400" s="8" t="s">
        <v>813</v>
      </c>
      <c r="H400" s="8" t="s">
        <v>16</v>
      </c>
      <c r="I400" s="9">
        <v>2010</v>
      </c>
      <c r="J400" s="10" t="s">
        <v>593</v>
      </c>
      <c r="K400" s="10">
        <v>12125</v>
      </c>
      <c r="L400" s="3" t="str">
        <f t="shared" si="13"/>
        <v>ΑΜΠΕΛΩΝΕΣ_ΓΙΑ_ΠΑΡΑΓΩΓΗ_ΟΙΝΟΥ</v>
      </c>
    </row>
    <row r="401" spans="1:12" s="3" customFormat="1" ht="24" x14ac:dyDescent="0.25">
      <c r="A401" s="3" t="str">
        <f t="shared" si="12"/>
        <v>ΑΜΠΕΛΩΝΕΣ ΓΙΑ ΠΑΡΑΓΩΓΗ ΟΙΝΟΥΚΑΣΤΕΛΙΩΤΙΚΟ</v>
      </c>
      <c r="B401" s="4" t="s">
        <v>590</v>
      </c>
      <c r="C401" s="5" t="s">
        <v>814</v>
      </c>
      <c r="D401" s="6">
        <v>5999.78</v>
      </c>
      <c r="E401" s="6">
        <v>4188.4799999999996</v>
      </c>
      <c r="F401" s="7" t="s">
        <v>14</v>
      </c>
      <c r="G401" s="8" t="s">
        <v>815</v>
      </c>
      <c r="H401" s="8" t="s">
        <v>16</v>
      </c>
      <c r="I401" s="9">
        <v>2009</v>
      </c>
      <c r="J401" s="10" t="s">
        <v>593</v>
      </c>
      <c r="K401" s="10">
        <v>12126</v>
      </c>
      <c r="L401" s="3" t="str">
        <f t="shared" si="13"/>
        <v>ΑΜΠΕΛΩΝΕΣ_ΓΙΑ_ΠΑΡΑΓΩΓΗ_ΟΙΝΟΥ</v>
      </c>
    </row>
    <row r="402" spans="1:12" s="3" customFormat="1" ht="24" x14ac:dyDescent="0.25">
      <c r="A402" s="3" t="str">
        <f t="shared" si="12"/>
        <v>ΑΜΠΕΛΩΝΕΣ ΓΙΑ ΠΑΡΑΓΩΓΗ ΟΙΝΟΥΚΑΤΣΑΚΟΥΛΙΑΣ</v>
      </c>
      <c r="B402" s="4" t="s">
        <v>590</v>
      </c>
      <c r="C402" s="5" t="s">
        <v>816</v>
      </c>
      <c r="D402" s="6">
        <v>5999.78</v>
      </c>
      <c r="E402" s="6">
        <v>4188.4799999999996</v>
      </c>
      <c r="F402" s="7" t="s">
        <v>14</v>
      </c>
      <c r="G402" s="8" t="s">
        <v>817</v>
      </c>
      <c r="H402" s="8" t="s">
        <v>16</v>
      </c>
      <c r="I402" s="9">
        <v>2008</v>
      </c>
      <c r="J402" s="10" t="s">
        <v>593</v>
      </c>
      <c r="K402" s="10">
        <v>12127</v>
      </c>
      <c r="L402" s="3" t="str">
        <f t="shared" si="13"/>
        <v>ΑΜΠΕΛΩΝΕΣ_ΓΙΑ_ΠΑΡΑΓΩΓΗ_ΟΙΝΟΥ</v>
      </c>
    </row>
    <row r="403" spans="1:12" s="3" customFormat="1" ht="24" x14ac:dyDescent="0.25">
      <c r="A403" s="3" t="str">
        <f t="shared" si="12"/>
        <v>ΑΜΠΕΛΩΝΕΣ ΓΙΑ ΠΑΡΑΓΩΓΗ ΟΙΝΟΥΚΟΚΚΙΝΟΒΟΣΤΙΤΣΑ</v>
      </c>
      <c r="B403" s="4" t="s">
        <v>590</v>
      </c>
      <c r="C403" s="5" t="s">
        <v>818</v>
      </c>
      <c r="D403" s="6">
        <v>5999.78</v>
      </c>
      <c r="E403" s="6">
        <v>4188.4799999999996</v>
      </c>
      <c r="F403" s="7" t="s">
        <v>14</v>
      </c>
      <c r="G403" s="8" t="s">
        <v>819</v>
      </c>
      <c r="H403" s="8" t="s">
        <v>16</v>
      </c>
      <c r="I403" s="9">
        <v>2007</v>
      </c>
      <c r="J403" s="10" t="s">
        <v>593</v>
      </c>
      <c r="K403" s="10">
        <v>12128</v>
      </c>
      <c r="L403" s="3" t="str">
        <f t="shared" si="13"/>
        <v>ΑΜΠΕΛΩΝΕΣ_ΓΙΑ_ΠΑΡΑΓΩΓΗ_ΟΙΝΟΥ</v>
      </c>
    </row>
    <row r="404" spans="1:12" s="3" customFormat="1" ht="24" x14ac:dyDescent="0.25">
      <c r="A404" s="3" t="str">
        <f t="shared" si="12"/>
        <v>ΑΜΠΕΛΩΝΕΣ ΓΙΑ ΠΑΡΑΓΩΓΗ ΟΙΝΟΥΚΟΚΚΙΝΟΡΟΜΠΟΛΑ</v>
      </c>
      <c r="B404" s="4" t="s">
        <v>590</v>
      </c>
      <c r="C404" s="5" t="s">
        <v>820</v>
      </c>
      <c r="D404" s="6">
        <v>5999.78</v>
      </c>
      <c r="E404" s="6">
        <v>4188.4799999999996</v>
      </c>
      <c r="F404" s="7" t="s">
        <v>14</v>
      </c>
      <c r="G404" s="8" t="s">
        <v>821</v>
      </c>
      <c r="H404" s="8" t="s">
        <v>16</v>
      </c>
      <c r="I404" s="9">
        <v>2005</v>
      </c>
      <c r="J404" s="10" t="s">
        <v>593</v>
      </c>
      <c r="K404" s="10">
        <v>12129</v>
      </c>
      <c r="L404" s="3" t="str">
        <f t="shared" si="13"/>
        <v>ΑΜΠΕΛΩΝΕΣ_ΓΙΑ_ΠΑΡΑΓΩΓΗ_ΟΙΝΟΥ</v>
      </c>
    </row>
    <row r="405" spans="1:12" s="3" customFormat="1" ht="24" x14ac:dyDescent="0.25">
      <c r="A405" s="3" t="str">
        <f t="shared" si="12"/>
        <v>ΑΜΠΕΛΩΝΕΣ ΓΙΑ ΠΑΡΑΓΩΓΗ ΟΙΝΟΥΚΟΛΛΙΝΙΑΤΙΚΟ</v>
      </c>
      <c r="B405" s="4" t="s">
        <v>590</v>
      </c>
      <c r="C405" s="5" t="s">
        <v>822</v>
      </c>
      <c r="D405" s="6">
        <v>5999.78</v>
      </c>
      <c r="E405" s="6">
        <v>4188.4799999999996</v>
      </c>
      <c r="F405" s="7" t="s">
        <v>14</v>
      </c>
      <c r="G405" s="8" t="s">
        <v>823</v>
      </c>
      <c r="H405" s="8" t="s">
        <v>16</v>
      </c>
      <c r="I405" s="9">
        <v>2052</v>
      </c>
      <c r="J405" s="10" t="s">
        <v>593</v>
      </c>
      <c r="K405" s="10">
        <v>12130</v>
      </c>
      <c r="L405" s="3" t="str">
        <f t="shared" si="13"/>
        <v>ΑΜΠΕΛΩΝΕΣ_ΓΙΑ_ΠΑΡΑΓΩΓΗ_ΟΙΝΟΥ</v>
      </c>
    </row>
    <row r="406" spans="1:12" s="3" customFormat="1" ht="24" x14ac:dyDescent="0.25">
      <c r="A406" s="3" t="str">
        <f t="shared" si="12"/>
        <v>ΑΜΠΕΛΩΝΕΣ ΓΙΑ ΠΑΡΑΓΩΓΗ ΟΙΝΟΥΚΟΡΙΘΙ ΚΟΚΚΙΝΟ</v>
      </c>
      <c r="B406" s="4" t="s">
        <v>590</v>
      </c>
      <c r="C406" s="5" t="s">
        <v>824</v>
      </c>
      <c r="D406" s="6">
        <v>5999.78</v>
      </c>
      <c r="E406" s="6">
        <v>4188.4799999999996</v>
      </c>
      <c r="F406" s="7" t="s">
        <v>14</v>
      </c>
      <c r="G406" s="8" t="s">
        <v>825</v>
      </c>
      <c r="H406" s="8" t="s">
        <v>16</v>
      </c>
      <c r="I406" s="9">
        <v>2176</v>
      </c>
      <c r="J406" s="10" t="s">
        <v>593</v>
      </c>
      <c r="K406" s="10">
        <v>12132</v>
      </c>
      <c r="L406" s="3" t="str">
        <f t="shared" si="13"/>
        <v>ΑΜΠΕΛΩΝΕΣ_ΓΙΑ_ΠΑΡΑΓΩΓΗ_ΟΙΝΟΥ</v>
      </c>
    </row>
    <row r="407" spans="1:12" s="3" customFormat="1" ht="24" x14ac:dyDescent="0.25">
      <c r="A407" s="3" t="str">
        <f t="shared" si="12"/>
        <v>ΑΜΠΕΛΩΝΕΣ ΓΙΑ ΠΑΡΑΓΩΓΗ ΟΙΝΟΥΚΟΡΙΤΣΑΝΟΣ</v>
      </c>
      <c r="B407" s="4" t="s">
        <v>590</v>
      </c>
      <c r="C407" s="5" t="s">
        <v>826</v>
      </c>
      <c r="D407" s="6">
        <v>5999.78</v>
      </c>
      <c r="E407" s="6">
        <v>4188.4799999999996</v>
      </c>
      <c r="F407" s="7" t="s">
        <v>14</v>
      </c>
      <c r="G407" s="8" t="s">
        <v>827</v>
      </c>
      <c r="H407" s="8" t="s">
        <v>16</v>
      </c>
      <c r="I407" s="9">
        <v>2186</v>
      </c>
      <c r="J407" s="10" t="s">
        <v>593</v>
      </c>
      <c r="K407" s="10">
        <v>12133</v>
      </c>
      <c r="L407" s="3" t="str">
        <f t="shared" si="13"/>
        <v>ΑΜΠΕΛΩΝΕΣ_ΓΙΑ_ΠΑΡΑΓΩΓΗ_ΟΙΝΟΥ</v>
      </c>
    </row>
    <row r="408" spans="1:12" s="3" customFormat="1" ht="24" x14ac:dyDescent="0.25">
      <c r="A408" s="3" t="str">
        <f t="shared" si="12"/>
        <v>ΑΜΠΕΛΩΝΕΣ ΓΙΑ ΠΑΡΑΓΩΓΗ ΟΙΝΟΥΚΟΡΦΙΑΤΗΣ</v>
      </c>
      <c r="B408" s="4" t="s">
        <v>590</v>
      </c>
      <c r="C408" s="5" t="s">
        <v>828</v>
      </c>
      <c r="D408" s="6">
        <v>5999.78</v>
      </c>
      <c r="E408" s="6">
        <v>4188.4799999999996</v>
      </c>
      <c r="F408" s="7" t="s">
        <v>14</v>
      </c>
      <c r="G408" s="8" t="s">
        <v>829</v>
      </c>
      <c r="H408" s="8" t="s">
        <v>16</v>
      </c>
      <c r="I408" s="9">
        <v>2188</v>
      </c>
      <c r="J408" s="10" t="s">
        <v>593</v>
      </c>
      <c r="K408" s="10">
        <v>12134</v>
      </c>
      <c r="L408" s="3" t="str">
        <f t="shared" si="13"/>
        <v>ΑΜΠΕΛΩΝΕΣ_ΓΙΑ_ΠΑΡΑΓΩΓΗ_ΟΙΝΟΥ</v>
      </c>
    </row>
    <row r="409" spans="1:12" s="3" customFormat="1" ht="24" x14ac:dyDescent="0.25">
      <c r="A409" s="3" t="str">
        <f t="shared" si="12"/>
        <v>ΑΜΠΕΛΩΝΕΣ ΓΙΑ ΠΑΡΑΓΩΓΗ ΟΙΝΟΥΚΟΤΣΙΦΑΛΙ</v>
      </c>
      <c r="B409" s="4" t="s">
        <v>590</v>
      </c>
      <c r="C409" s="5" t="s">
        <v>830</v>
      </c>
      <c r="D409" s="6">
        <v>5999.78</v>
      </c>
      <c r="E409" s="6">
        <v>4188.4799999999996</v>
      </c>
      <c r="F409" s="7" t="s">
        <v>14</v>
      </c>
      <c r="G409" s="8" t="s">
        <v>831</v>
      </c>
      <c r="H409" s="8" t="s">
        <v>16</v>
      </c>
      <c r="I409" s="9">
        <v>2183</v>
      </c>
      <c r="J409" s="10" t="s">
        <v>593</v>
      </c>
      <c r="K409" s="10">
        <v>12135</v>
      </c>
      <c r="L409" s="3" t="str">
        <f t="shared" si="13"/>
        <v>ΑΜΠΕΛΩΝΕΣ_ΓΙΑ_ΠΑΡΑΓΩΓΗ_ΟΙΝΟΥ</v>
      </c>
    </row>
    <row r="410" spans="1:12" s="3" customFormat="1" ht="24" x14ac:dyDescent="0.25">
      <c r="A410" s="3" t="str">
        <f t="shared" si="12"/>
        <v>ΑΜΠΕΛΩΝΕΣ ΓΙΑ ΠΑΡΑΓΩΓΗ ΟΙΝΟΥΚΟΥΜΑΡΙ</v>
      </c>
      <c r="B410" s="4" t="s">
        <v>590</v>
      </c>
      <c r="C410" s="5" t="s">
        <v>832</v>
      </c>
      <c r="D410" s="6">
        <v>5999.78</v>
      </c>
      <c r="E410" s="6">
        <v>4188.4799999999996</v>
      </c>
      <c r="F410" s="7" t="s">
        <v>14</v>
      </c>
      <c r="G410" s="8" t="s">
        <v>833</v>
      </c>
      <c r="H410" s="8" t="s">
        <v>16</v>
      </c>
      <c r="I410" s="9">
        <v>2173</v>
      </c>
      <c r="J410" s="10" t="s">
        <v>593</v>
      </c>
      <c r="K410" s="10">
        <v>12136</v>
      </c>
      <c r="L410" s="3" t="str">
        <f t="shared" si="13"/>
        <v>ΑΜΠΕΛΩΝΕΣ_ΓΙΑ_ΠΑΡΑΓΩΓΗ_ΟΙΝΟΥ</v>
      </c>
    </row>
    <row r="411" spans="1:12" s="3" customFormat="1" ht="24" x14ac:dyDescent="0.25">
      <c r="A411" s="3" t="str">
        <f t="shared" si="12"/>
        <v>ΑΜΠΕΛΩΝΕΣ ΓΙΑ ΠΑΡΑΓΩΓΗ ΟΙΝΟΥΚΟΥΜΙΝΑΤΟ</v>
      </c>
      <c r="B411" s="4" t="s">
        <v>590</v>
      </c>
      <c r="C411" s="5" t="s">
        <v>834</v>
      </c>
      <c r="D411" s="6">
        <v>5999.78</v>
      </c>
      <c r="E411" s="6">
        <v>4188.4799999999996</v>
      </c>
      <c r="F411" s="7" t="s">
        <v>14</v>
      </c>
      <c r="G411" s="8" t="s">
        <v>835</v>
      </c>
      <c r="H411" s="8" t="s">
        <v>16</v>
      </c>
      <c r="I411" s="9">
        <v>2171</v>
      </c>
      <c r="J411" s="10" t="s">
        <v>593</v>
      </c>
      <c r="K411" s="10">
        <v>12137</v>
      </c>
      <c r="L411" s="3" t="str">
        <f t="shared" si="13"/>
        <v>ΑΜΠΕΛΩΝΕΣ_ΓΙΑ_ΠΑΡΑΓΩΓΗ_ΟΙΝΟΥ</v>
      </c>
    </row>
    <row r="412" spans="1:12" s="3" customFormat="1" ht="24" x14ac:dyDescent="0.25">
      <c r="A412" s="3" t="str">
        <f t="shared" si="12"/>
        <v>ΑΜΠΕΛΩΝΕΣ ΓΙΑ ΠΑΡΑΓΩΓΗ ΟΙΝΟΥΚΡΑΣΑΤΟ</v>
      </c>
      <c r="B412" s="4" t="s">
        <v>590</v>
      </c>
      <c r="C412" s="5" t="s">
        <v>836</v>
      </c>
      <c r="D412" s="6">
        <v>5999.78</v>
      </c>
      <c r="E412" s="6">
        <v>4188.4799999999996</v>
      </c>
      <c r="F412" s="7" t="s">
        <v>14</v>
      </c>
      <c r="G412" s="8" t="s">
        <v>837</v>
      </c>
      <c r="H412" s="8" t="s">
        <v>16</v>
      </c>
      <c r="I412" s="9">
        <v>2169</v>
      </c>
      <c r="J412" s="10" t="s">
        <v>593</v>
      </c>
      <c r="K412" s="10">
        <v>12139</v>
      </c>
      <c r="L412" s="3" t="str">
        <f t="shared" si="13"/>
        <v>ΑΜΠΕΛΩΝΕΣ_ΓΙΑ_ΠΑΡΑΓΩΓΗ_ΟΙΝΟΥ</v>
      </c>
    </row>
    <row r="413" spans="1:12" s="3" customFormat="1" ht="24" x14ac:dyDescent="0.25">
      <c r="A413" s="3" t="str">
        <f t="shared" si="12"/>
        <v>ΑΜΠΕΛΩΝΕΣ ΓΙΑ ΠΑΡΑΓΩΓΗ ΟΙΝΟΥΚΥΔΩΝΙΤΣΑ</v>
      </c>
      <c r="B413" s="4" t="s">
        <v>590</v>
      </c>
      <c r="C413" s="5" t="s">
        <v>838</v>
      </c>
      <c r="D413" s="6">
        <v>5999.78</v>
      </c>
      <c r="E413" s="6">
        <v>4188.4799999999996</v>
      </c>
      <c r="F413" s="7" t="s">
        <v>14</v>
      </c>
      <c r="G413" s="8" t="s">
        <v>839</v>
      </c>
      <c r="H413" s="8" t="s">
        <v>16</v>
      </c>
      <c r="I413" s="9">
        <v>2167</v>
      </c>
      <c r="J413" s="10" t="s">
        <v>593</v>
      </c>
      <c r="K413" s="10">
        <v>12140</v>
      </c>
      <c r="L413" s="3" t="str">
        <f t="shared" si="13"/>
        <v>ΑΜΠΕΛΩΝΕΣ_ΓΙΑ_ΠΑΡΑΓΩΓΗ_ΟΙΝΟΥ</v>
      </c>
    </row>
    <row r="414" spans="1:12" s="3" customFormat="1" ht="15" customHeight="1" x14ac:dyDescent="0.25">
      <c r="A414" s="3" t="str">
        <f t="shared" si="12"/>
        <v>ΑΜΠΕΛΩΝΕΣ ΓΙΑ ΠΑΡΑΓΩΓΗ ΟΙΝΟΥΛΑΔΙΚΙΝΟ</v>
      </c>
      <c r="B414" s="4" t="s">
        <v>590</v>
      </c>
      <c r="C414" s="5" t="s">
        <v>840</v>
      </c>
      <c r="D414" s="6">
        <v>5999.78</v>
      </c>
      <c r="E414" s="6">
        <v>4188.4799999999996</v>
      </c>
      <c r="F414" s="7" t="s">
        <v>14</v>
      </c>
      <c r="G414" s="8" t="s">
        <v>841</v>
      </c>
      <c r="H414" s="8" t="s">
        <v>16</v>
      </c>
      <c r="I414" s="9">
        <v>2192</v>
      </c>
      <c r="J414" s="10" t="s">
        <v>593</v>
      </c>
      <c r="K414" s="10">
        <v>12141</v>
      </c>
      <c r="L414" s="3" t="str">
        <f t="shared" si="13"/>
        <v>ΑΜΠΕΛΩΝΕΣ_ΓΙΑ_ΠΑΡΑΓΩΓΗ_ΟΙΝΟΥ</v>
      </c>
    </row>
    <row r="415" spans="1:12" s="3" customFormat="1" ht="24" x14ac:dyDescent="0.25">
      <c r="A415" s="3" t="str">
        <f t="shared" si="12"/>
        <v>ΑΜΠΕΛΩΝΕΣ ΓΙΑ ΠΑΡΑΓΩΓΗ ΟΙΝΟΥΛΗΜΝΙΟ (ΚΑΛΑΜΠΑΚΙ, ΝΤΟΥΡΟΥ ΚΑΡΑ)</v>
      </c>
      <c r="B415" s="4" t="s">
        <v>590</v>
      </c>
      <c r="C415" s="5" t="s">
        <v>842</v>
      </c>
      <c r="D415" s="6">
        <v>5999.78</v>
      </c>
      <c r="E415" s="6">
        <v>4188.4799999999996</v>
      </c>
      <c r="F415" s="7" t="s">
        <v>14</v>
      </c>
      <c r="G415" s="8" t="s">
        <v>843</v>
      </c>
      <c r="H415" s="8" t="s">
        <v>16</v>
      </c>
      <c r="I415" s="9">
        <v>2174</v>
      </c>
      <c r="J415" s="10" t="s">
        <v>593</v>
      </c>
      <c r="K415" s="10">
        <v>12142</v>
      </c>
      <c r="L415" s="3" t="str">
        <f t="shared" si="13"/>
        <v>ΑΜΠΕΛΩΝΕΣ_ΓΙΑ_ΠΑΡΑΓΩΓΗ_ΟΙΝΟΥ</v>
      </c>
    </row>
    <row r="416" spans="1:12" s="3" customFormat="1" ht="24" x14ac:dyDescent="0.25">
      <c r="A416" s="3" t="str">
        <f t="shared" si="12"/>
        <v>ΑΜΠΕΛΩΝΕΣ ΓΙΑ ΠΑΡΑΓΩΓΗ ΟΙΝΟΥΛΙΑΤΙΚΟ</v>
      </c>
      <c r="B416" s="4" t="s">
        <v>590</v>
      </c>
      <c r="C416" s="5" t="s">
        <v>844</v>
      </c>
      <c r="D416" s="6">
        <v>5999.78</v>
      </c>
      <c r="E416" s="6">
        <v>4188.4799999999996</v>
      </c>
      <c r="F416" s="7" t="s">
        <v>14</v>
      </c>
      <c r="G416" s="8" t="s">
        <v>845</v>
      </c>
      <c r="H416" s="8" t="s">
        <v>16</v>
      </c>
      <c r="I416" s="9">
        <v>2208</v>
      </c>
      <c r="J416" s="10" t="s">
        <v>593</v>
      </c>
      <c r="K416" s="10">
        <v>12143</v>
      </c>
      <c r="L416" s="3" t="str">
        <f t="shared" si="13"/>
        <v>ΑΜΠΕΛΩΝΕΣ_ΓΙΑ_ΠΑΡΑΓΩΓΗ_ΟΙΝΟΥ</v>
      </c>
    </row>
    <row r="417" spans="1:12" s="3" customFormat="1" ht="31.5" x14ac:dyDescent="0.25">
      <c r="A417" s="3" t="str">
        <f t="shared" si="12"/>
        <v>ΑΜΠΕΛΩΝΕΣ ΓΙΑ ΠΑΡΑΓΩΓΗ ΟΙΝΟΥΜΑΝΔΗΛΑΡΙΑ (ΑΜΟΡΓΙΑΝΟ, ΔΟΥΜΠΡ ΜΑΥΡΗ, ΚΟΥΝΤ ΜΑΥΡΗ)</v>
      </c>
      <c r="B417" s="4" t="s">
        <v>590</v>
      </c>
      <c r="C417" s="5" t="s">
        <v>846</v>
      </c>
      <c r="D417" s="6">
        <v>5999.78</v>
      </c>
      <c r="E417" s="6">
        <v>4188.4799999999996</v>
      </c>
      <c r="F417" s="7" t="s">
        <v>14</v>
      </c>
      <c r="G417" s="8" t="s">
        <v>847</v>
      </c>
      <c r="H417" s="8" t="s">
        <v>16</v>
      </c>
      <c r="I417" s="9">
        <v>2209</v>
      </c>
      <c r="J417" s="10" t="s">
        <v>593</v>
      </c>
      <c r="K417" s="10">
        <v>12144</v>
      </c>
      <c r="L417" s="3" t="str">
        <f t="shared" si="13"/>
        <v>ΑΜΠΕΛΩΝΕΣ_ΓΙΑ_ΠΑΡΑΓΩΓΗ_ΟΙΝΟΥ</v>
      </c>
    </row>
    <row r="418" spans="1:12" s="3" customFormat="1" ht="24" x14ac:dyDescent="0.25">
      <c r="A418" s="3" t="str">
        <f t="shared" si="12"/>
        <v>ΑΜΠΕΛΩΝΕΣ ΓΙΑ ΠΑΡΑΓΩΓΗ ΟΙΝΟΥΜΑΥΡΟΔΑΦΝΗ</v>
      </c>
      <c r="B418" s="4" t="s">
        <v>590</v>
      </c>
      <c r="C418" s="5" t="s">
        <v>848</v>
      </c>
      <c r="D418" s="6">
        <v>5999.78</v>
      </c>
      <c r="E418" s="6">
        <v>4188.4799999999996</v>
      </c>
      <c r="F418" s="7" t="s">
        <v>14</v>
      </c>
      <c r="G418" s="8" t="s">
        <v>849</v>
      </c>
      <c r="H418" s="8" t="s">
        <v>16</v>
      </c>
      <c r="I418" s="9">
        <v>2211</v>
      </c>
      <c r="J418" s="10" t="s">
        <v>593</v>
      </c>
      <c r="K418" s="10">
        <v>12145</v>
      </c>
      <c r="L418" s="3" t="str">
        <f t="shared" si="13"/>
        <v>ΑΜΠΕΛΩΝΕΣ_ΓΙΑ_ΠΑΡΑΓΩΓΗ_ΟΙΝΟΥ</v>
      </c>
    </row>
    <row r="419" spans="1:12" s="3" customFormat="1" ht="24" x14ac:dyDescent="0.25">
      <c r="A419" s="3" t="str">
        <f t="shared" si="12"/>
        <v>ΑΜΠΕΛΩΝΕΣ ΓΙΑ ΠΑΡΑΓΩΓΗ ΟΙΝΟΥΜΑΥΡΟΚΟΡΑΚΑΣ</v>
      </c>
      <c r="B419" s="4" t="s">
        <v>590</v>
      </c>
      <c r="C419" s="5" t="s">
        <v>850</v>
      </c>
      <c r="D419" s="6">
        <v>5999.78</v>
      </c>
      <c r="E419" s="6">
        <v>4188.4799999999996</v>
      </c>
      <c r="F419" s="7" t="s">
        <v>14</v>
      </c>
      <c r="G419" s="8" t="s">
        <v>851</v>
      </c>
      <c r="H419" s="8" t="s">
        <v>16</v>
      </c>
      <c r="I419" s="9">
        <v>2214</v>
      </c>
      <c r="J419" s="10" t="s">
        <v>593</v>
      </c>
      <c r="K419" s="10">
        <v>12146</v>
      </c>
      <c r="L419" s="3" t="str">
        <f t="shared" si="13"/>
        <v>ΑΜΠΕΛΩΝΕΣ_ΓΙΑ_ΠΑΡΑΓΩΓΗ_ΟΙΝΟΥ</v>
      </c>
    </row>
    <row r="420" spans="1:12" s="3" customFormat="1" ht="24" x14ac:dyDescent="0.25">
      <c r="A420" s="3" t="str">
        <f t="shared" si="12"/>
        <v>ΑΜΠΕΛΩΝΕΣ ΓΙΑ ΠΑΡΑΓΩΓΗ ΟΙΝΟΥΜΑΥΡΟ ΑΡΑΧΩΒΑΣ</v>
      </c>
      <c r="B420" s="4" t="s">
        <v>590</v>
      </c>
      <c r="C420" s="5" t="s">
        <v>852</v>
      </c>
      <c r="D420" s="6">
        <v>5999.78</v>
      </c>
      <c r="E420" s="6">
        <v>4188.4799999999996</v>
      </c>
      <c r="F420" s="7" t="s">
        <v>14</v>
      </c>
      <c r="G420" s="8" t="s">
        <v>853</v>
      </c>
      <c r="H420" s="8" t="s">
        <v>16</v>
      </c>
      <c r="I420" s="9">
        <v>2216</v>
      </c>
      <c r="J420" s="10" t="s">
        <v>593</v>
      </c>
      <c r="K420" s="10">
        <v>12147</v>
      </c>
      <c r="L420" s="3" t="str">
        <f t="shared" si="13"/>
        <v>ΑΜΠΕΛΩΝΕΣ_ΓΙΑ_ΠΑΡΑΓΩΓΗ_ΟΙΝΟΥ</v>
      </c>
    </row>
    <row r="421" spans="1:12" s="3" customFormat="1" ht="24" x14ac:dyDescent="0.25">
      <c r="A421" s="3" t="str">
        <f t="shared" si="12"/>
        <v>ΑΜΠΕΛΩΝΕΣ ΓΙΑ ΠΑΡΑΓΩΓΗ ΟΙΝΟΥΜΑΥΡΟ ΚΑΛΑΒΡΥΤΙΝΟ</v>
      </c>
      <c r="B421" s="4" t="s">
        <v>590</v>
      </c>
      <c r="C421" s="5" t="s">
        <v>854</v>
      </c>
      <c r="D421" s="6">
        <v>5999.78</v>
      </c>
      <c r="E421" s="6">
        <v>4188.4799999999996</v>
      </c>
      <c r="F421" s="7" t="s">
        <v>14</v>
      </c>
      <c r="G421" s="8" t="s">
        <v>855</v>
      </c>
      <c r="H421" s="8" t="s">
        <v>16</v>
      </c>
      <c r="I421" s="9">
        <v>2217</v>
      </c>
      <c r="J421" s="10" t="s">
        <v>593</v>
      </c>
      <c r="K421" s="10">
        <v>12148</v>
      </c>
      <c r="L421" s="3" t="str">
        <f t="shared" si="13"/>
        <v>ΑΜΠΕΛΩΝΕΣ_ΓΙΑ_ΠΑΡΑΓΩΓΗ_ΟΙΝΟΥ</v>
      </c>
    </row>
    <row r="422" spans="1:12" s="3" customFormat="1" ht="24" x14ac:dyDescent="0.25">
      <c r="A422" s="3" t="str">
        <f t="shared" si="12"/>
        <v>ΑΜΠΕΛΩΝΕΣ ΓΙΑ ΠΑΡΑΓΩΓΗ ΟΙΝΟΥΜΑΥΡΟ ΜΕΣΣΕΝΙΚΟΛΑ</v>
      </c>
      <c r="B422" s="4" t="s">
        <v>590</v>
      </c>
      <c r="C422" s="5" t="s">
        <v>856</v>
      </c>
      <c r="D422" s="6">
        <v>5999.78</v>
      </c>
      <c r="E422" s="6">
        <v>4188.4799999999996</v>
      </c>
      <c r="F422" s="7" t="s">
        <v>14</v>
      </c>
      <c r="G422" s="8" t="s">
        <v>857</v>
      </c>
      <c r="H422" s="8" t="s">
        <v>16</v>
      </c>
      <c r="I422" s="9">
        <v>2219</v>
      </c>
      <c r="J422" s="10" t="s">
        <v>593</v>
      </c>
      <c r="K422" s="10">
        <v>12149</v>
      </c>
      <c r="L422" s="3" t="str">
        <f t="shared" si="13"/>
        <v>ΑΜΠΕΛΩΝΕΣ_ΓΙΑ_ΠΑΡΑΓΩΓΗ_ΟΙΝΟΥ</v>
      </c>
    </row>
    <row r="423" spans="1:12" s="3" customFormat="1" ht="24" x14ac:dyDescent="0.25">
      <c r="A423" s="3" t="str">
        <f t="shared" si="12"/>
        <v>ΑΜΠΕΛΩΝΕΣ ΓΙΑ ΠΑΡΑΓΩΓΗ ΟΙΝΟΥΜΑΥΡΟΥΔΙ</v>
      </c>
      <c r="B423" s="4" t="s">
        <v>590</v>
      </c>
      <c r="C423" s="5" t="s">
        <v>858</v>
      </c>
      <c r="D423" s="6">
        <v>5999.78</v>
      </c>
      <c r="E423" s="6">
        <v>4188.4799999999996</v>
      </c>
      <c r="F423" s="7" t="s">
        <v>14</v>
      </c>
      <c r="G423" s="8" t="s">
        <v>859</v>
      </c>
      <c r="H423" s="8" t="s">
        <v>16</v>
      </c>
      <c r="I423" s="9">
        <v>2221</v>
      </c>
      <c r="J423" s="10" t="s">
        <v>593</v>
      </c>
      <c r="K423" s="10">
        <v>12150</v>
      </c>
      <c r="L423" s="3" t="str">
        <f t="shared" si="13"/>
        <v>ΑΜΠΕΛΩΝΕΣ_ΓΙΑ_ΠΑΡΑΓΩΓΗ_ΟΙΝΟΥ</v>
      </c>
    </row>
    <row r="424" spans="1:12" s="3" customFormat="1" ht="24" x14ac:dyDescent="0.25">
      <c r="A424" s="3" t="str">
        <f t="shared" si="12"/>
        <v>ΑΜΠΕΛΩΝΕΣ ΓΙΑ ΠΑΡΑΓΩΓΗ ΟΙΝΟΥΜΕΡΛΟ (MERLOT)</v>
      </c>
      <c r="B424" s="4" t="s">
        <v>590</v>
      </c>
      <c r="C424" s="5" t="s">
        <v>860</v>
      </c>
      <c r="D424" s="6">
        <v>5999.78</v>
      </c>
      <c r="E424" s="6">
        <v>4188.4799999999996</v>
      </c>
      <c r="F424" s="7" t="s">
        <v>14</v>
      </c>
      <c r="G424" s="8" t="s">
        <v>861</v>
      </c>
      <c r="H424" s="8" t="s">
        <v>16</v>
      </c>
      <c r="I424" s="9">
        <v>2197</v>
      </c>
      <c r="J424" s="10" t="s">
        <v>593</v>
      </c>
      <c r="K424" s="10">
        <v>12151</v>
      </c>
      <c r="L424" s="3" t="str">
        <f t="shared" si="13"/>
        <v>ΑΜΠΕΛΩΝΕΣ_ΓΙΑ_ΠΑΡΑΓΩΓΗ_ΟΙΝΟΥ</v>
      </c>
    </row>
    <row r="425" spans="1:12" s="3" customFormat="1" ht="24" x14ac:dyDescent="0.25">
      <c r="A425" s="3" t="str">
        <f t="shared" si="12"/>
        <v>ΑΜΠΕΛΩΝΕΣ ΓΙΑ ΠΑΡΑΓΩΓΗ ΟΙΝΟΥΜΟΣΧΟΜΑΥΡΟ (ΜΟΣΧΟΓΚΑΛΤΣΟ)</v>
      </c>
      <c r="B425" s="4" t="s">
        <v>590</v>
      </c>
      <c r="C425" s="5" t="s">
        <v>862</v>
      </c>
      <c r="D425" s="6">
        <v>5999.78</v>
      </c>
      <c r="E425" s="6">
        <v>4188.4799999999996</v>
      </c>
      <c r="F425" s="7" t="s">
        <v>14</v>
      </c>
      <c r="G425" s="8" t="s">
        <v>863</v>
      </c>
      <c r="H425" s="8" t="s">
        <v>16</v>
      </c>
      <c r="I425" s="9">
        <v>2193</v>
      </c>
      <c r="J425" s="10" t="s">
        <v>593</v>
      </c>
      <c r="K425" s="10">
        <v>12152</v>
      </c>
      <c r="L425" s="3" t="str">
        <f t="shared" si="13"/>
        <v>ΑΜΠΕΛΩΝΕΣ_ΓΙΑ_ΠΑΡΑΓΩΓΗ_ΟΙΝΟΥ</v>
      </c>
    </row>
    <row r="426" spans="1:12" s="3" customFormat="1" ht="24" x14ac:dyDescent="0.25">
      <c r="A426" s="3" t="str">
        <f t="shared" si="12"/>
        <v>ΑΜΠΕΛΩΝΕΣ ΓΙΑ ΠΑΡΑΓΩΓΗ ΟΙΝΟΥΜΟΥΔΙΑΤΙΚΟ</v>
      </c>
      <c r="B426" s="4" t="s">
        <v>590</v>
      </c>
      <c r="C426" s="5" t="s">
        <v>864</v>
      </c>
      <c r="D426" s="6">
        <v>5999.78</v>
      </c>
      <c r="E426" s="6">
        <v>4188.4799999999996</v>
      </c>
      <c r="F426" s="7" t="s">
        <v>14</v>
      </c>
      <c r="G426" s="8" t="s">
        <v>865</v>
      </c>
      <c r="H426" s="8" t="s">
        <v>16</v>
      </c>
      <c r="I426" s="9">
        <v>2195</v>
      </c>
      <c r="J426" s="10" t="s">
        <v>593</v>
      </c>
      <c r="K426" s="10">
        <v>12153</v>
      </c>
      <c r="L426" s="3" t="str">
        <f t="shared" si="13"/>
        <v>ΑΜΠΕΛΩΝΕΣ_ΓΙΑ_ΠΑΡΑΓΩΓΗ_ΟΙΝΟΥ</v>
      </c>
    </row>
    <row r="427" spans="1:12" s="3" customFormat="1" ht="24" x14ac:dyDescent="0.25">
      <c r="A427" s="3" t="str">
        <f t="shared" si="12"/>
        <v>ΑΜΠΕΛΩΝΕΣ ΓΙΑ ΠΑΡΑΓΩΓΗ ΟΙΝΟΥΜΟΥΧΤΑΡΟ</v>
      </c>
      <c r="B427" s="4" t="s">
        <v>590</v>
      </c>
      <c r="C427" s="5" t="s">
        <v>866</v>
      </c>
      <c r="D427" s="6">
        <v>5999.78</v>
      </c>
      <c r="E427" s="6">
        <v>4188.4799999999996</v>
      </c>
      <c r="F427" s="7" t="s">
        <v>14</v>
      </c>
      <c r="G427" s="8" t="s">
        <v>867</v>
      </c>
      <c r="H427" s="8" t="s">
        <v>16</v>
      </c>
      <c r="I427" s="9">
        <v>2196</v>
      </c>
      <c r="J427" s="10" t="s">
        <v>593</v>
      </c>
      <c r="K427" s="10">
        <v>12154</v>
      </c>
      <c r="L427" s="3" t="str">
        <f t="shared" si="13"/>
        <v>ΑΜΠΕΛΩΝΕΣ_ΓΙΑ_ΠΑΡΑΓΩΓΗ_ΟΙΝΟΥ</v>
      </c>
    </row>
    <row r="428" spans="1:12" s="3" customFormat="1" ht="24" x14ac:dyDescent="0.25">
      <c r="A428" s="3" t="str">
        <f t="shared" si="12"/>
        <v>ΑΜΠΕΛΩΝΕΣ ΓΙΑ ΠΑΡΑΓΩΓΗ ΟΙΝΟΥΜΠΑΡΜΠΕΡΑ (BARBERA)</v>
      </c>
      <c r="B428" s="4" t="s">
        <v>590</v>
      </c>
      <c r="C428" s="5" t="s">
        <v>868</v>
      </c>
      <c r="D428" s="6">
        <v>5999.78</v>
      </c>
      <c r="E428" s="6">
        <v>4188.4799999999996</v>
      </c>
      <c r="F428" s="7" t="s">
        <v>14</v>
      </c>
      <c r="G428" s="8" t="s">
        <v>869</v>
      </c>
      <c r="H428" s="8" t="s">
        <v>16</v>
      </c>
      <c r="I428" s="9">
        <v>2200</v>
      </c>
      <c r="J428" s="10" t="s">
        <v>593</v>
      </c>
      <c r="K428" s="10">
        <v>12155</v>
      </c>
      <c r="L428" s="3" t="str">
        <f t="shared" si="13"/>
        <v>ΑΜΠΕΛΩΝΕΣ_ΓΙΑ_ΠΑΡΑΓΩΓΗ_ΟΙΝΟΥ</v>
      </c>
    </row>
    <row r="429" spans="1:12" s="3" customFormat="1" ht="24" x14ac:dyDescent="0.25">
      <c r="A429" s="3" t="str">
        <f t="shared" si="12"/>
        <v>ΑΜΠΕΛΩΝΕΣ ΓΙΑ ΠΑΡΑΓΩΓΗ ΟΙΝΟΥΜΠΕΚΑΡΙ</v>
      </c>
      <c r="B429" s="4" t="s">
        <v>590</v>
      </c>
      <c r="C429" s="5" t="s">
        <v>870</v>
      </c>
      <c r="D429" s="6">
        <v>5999.78</v>
      </c>
      <c r="E429" s="6">
        <v>4188.4799999999996</v>
      </c>
      <c r="F429" s="7" t="s">
        <v>14</v>
      </c>
      <c r="G429" s="8" t="s">
        <v>871</v>
      </c>
      <c r="H429" s="8" t="s">
        <v>16</v>
      </c>
      <c r="I429" s="9">
        <v>2201</v>
      </c>
      <c r="J429" s="10" t="s">
        <v>593</v>
      </c>
      <c r="K429" s="10">
        <v>12156</v>
      </c>
      <c r="L429" s="3" t="str">
        <f t="shared" si="13"/>
        <v>ΑΜΠΕΛΩΝΕΣ_ΓΙΑ_ΠΑΡΑΓΩΓΗ_ΟΙΝΟΥ</v>
      </c>
    </row>
    <row r="430" spans="1:12" s="3" customFormat="1" ht="24" x14ac:dyDescent="0.25">
      <c r="A430" s="3" t="str">
        <f t="shared" si="12"/>
        <v>ΑΜΠΕΛΩΝΕΣ ΓΙΑ ΠΑΡΑΓΩΓΗ ΟΙΝΟΥΝΕΓΚΟΣΚΑ</v>
      </c>
      <c r="B430" s="4" t="s">
        <v>590</v>
      </c>
      <c r="C430" s="5" t="s">
        <v>872</v>
      </c>
      <c r="D430" s="6">
        <v>5999.78</v>
      </c>
      <c r="E430" s="6">
        <v>4188.4799999999996</v>
      </c>
      <c r="F430" s="7" t="s">
        <v>14</v>
      </c>
      <c r="G430" s="8" t="s">
        <v>873</v>
      </c>
      <c r="H430" s="8" t="s">
        <v>16</v>
      </c>
      <c r="I430" s="9">
        <v>2203</v>
      </c>
      <c r="J430" s="10" t="s">
        <v>593</v>
      </c>
      <c r="K430" s="10">
        <v>12157</v>
      </c>
      <c r="L430" s="3" t="str">
        <f t="shared" si="13"/>
        <v>ΑΜΠΕΛΩΝΕΣ_ΓΙΑ_ΠΑΡΑΓΩΓΗ_ΟΙΝΟΥ</v>
      </c>
    </row>
    <row r="431" spans="1:12" s="3" customFormat="1" ht="31.5" x14ac:dyDescent="0.25">
      <c r="A431" s="3" t="str">
        <f t="shared" si="12"/>
        <v>ΑΜΠΕΛΩΝΕΣ ΓΙΑ ΠΑΡΑΓΩΓΗ ΟΙΝΟΥΜΑΥΡΟ ΝΑΟΥΣΑΣ, ΞΥΝΟΚΑΛΤΣΟ, ΞΥΝΟΜΑΥΡΟ, ΠΟΠΟΛΚΑ</v>
      </c>
      <c r="B431" s="4" t="s">
        <v>590</v>
      </c>
      <c r="C431" s="5" t="s">
        <v>874</v>
      </c>
      <c r="D431" s="6">
        <v>5999.78</v>
      </c>
      <c r="E431" s="6">
        <v>4188.4799999999996</v>
      </c>
      <c r="F431" s="7" t="s">
        <v>14</v>
      </c>
      <c r="G431" s="8" t="s">
        <v>875</v>
      </c>
      <c r="H431" s="8" t="s">
        <v>16</v>
      </c>
      <c r="I431" s="9">
        <v>2204</v>
      </c>
      <c r="J431" s="10" t="s">
        <v>593</v>
      </c>
      <c r="K431" s="10">
        <v>12159</v>
      </c>
      <c r="L431" s="3" t="str">
        <f t="shared" si="13"/>
        <v>ΑΜΠΕΛΩΝΕΣ_ΓΙΑ_ΠΑΡΑΓΩΓΗ_ΟΙΝΟΥ</v>
      </c>
    </row>
    <row r="432" spans="1:12" s="3" customFormat="1" ht="24" x14ac:dyDescent="0.25">
      <c r="A432" s="3" t="str">
        <f t="shared" si="12"/>
        <v>ΑΜΠΕΛΩΝΕΣ ΓΙΑ ΠΑΡΑΓΩΓΗ ΟΙΝΟΥΠΑΜΙΔΙ</v>
      </c>
      <c r="B432" s="4" t="s">
        <v>590</v>
      </c>
      <c r="C432" s="5" t="s">
        <v>876</v>
      </c>
      <c r="D432" s="6">
        <v>5999.78</v>
      </c>
      <c r="E432" s="6">
        <v>4188.4799999999996</v>
      </c>
      <c r="F432" s="7" t="s">
        <v>14</v>
      </c>
      <c r="G432" s="8" t="s">
        <v>877</v>
      </c>
      <c r="H432" s="8" t="s">
        <v>16</v>
      </c>
      <c r="I432" s="9">
        <v>2145</v>
      </c>
      <c r="J432" s="10" t="s">
        <v>593</v>
      </c>
      <c r="K432" s="10">
        <v>12160</v>
      </c>
      <c r="L432" s="3" t="str">
        <f t="shared" si="13"/>
        <v>ΑΜΠΕΛΩΝΕΣ_ΓΙΑ_ΠΑΡΑΓΩΓΗ_ΟΙΝΟΥ</v>
      </c>
    </row>
    <row r="433" spans="1:12" s="3" customFormat="1" ht="24" x14ac:dyDescent="0.25">
      <c r="A433" s="3" t="str">
        <f t="shared" si="12"/>
        <v>ΑΜΠΕΛΩΝΕΣ ΓΙΑ ΠΑΡΑΓΩΓΗ ΟΙΝΟΥΠΑΠΑΔΙΚΟ</v>
      </c>
      <c r="B433" s="4" t="s">
        <v>590</v>
      </c>
      <c r="C433" s="5" t="s">
        <v>878</v>
      </c>
      <c r="D433" s="6">
        <v>5999.78</v>
      </c>
      <c r="E433" s="6">
        <v>4188.4799999999996</v>
      </c>
      <c r="F433" s="7" t="s">
        <v>14</v>
      </c>
      <c r="G433" s="8" t="s">
        <v>879</v>
      </c>
      <c r="H433" s="8" t="s">
        <v>16</v>
      </c>
      <c r="I433" s="9">
        <v>2161</v>
      </c>
      <c r="J433" s="10" t="s">
        <v>593</v>
      </c>
      <c r="K433" s="10">
        <v>12161</v>
      </c>
      <c r="L433" s="3" t="str">
        <f t="shared" si="13"/>
        <v>ΑΜΠΕΛΩΝΕΣ_ΓΙΑ_ΠΑΡΑΓΩΓΗ_ΟΙΝΟΥ</v>
      </c>
    </row>
    <row r="434" spans="1:12" s="3" customFormat="1" ht="24" x14ac:dyDescent="0.25">
      <c r="A434" s="3" t="str">
        <f t="shared" si="12"/>
        <v>ΑΜΠΕΛΩΝΕΣ ΓΙΑ ΠΑΡΑΓΩΓΗ ΟΙΝΟΥΠΑΠΑΣ ΚΑΡΑ</v>
      </c>
      <c r="B434" s="4" t="s">
        <v>590</v>
      </c>
      <c r="C434" s="5" t="s">
        <v>880</v>
      </c>
      <c r="D434" s="6">
        <v>5999.78</v>
      </c>
      <c r="E434" s="6">
        <v>4188.4799999999996</v>
      </c>
      <c r="F434" s="7" t="s">
        <v>14</v>
      </c>
      <c r="G434" s="8" t="s">
        <v>881</v>
      </c>
      <c r="H434" s="8" t="s">
        <v>16</v>
      </c>
      <c r="I434" s="9">
        <v>2116</v>
      </c>
      <c r="J434" s="10" t="s">
        <v>593</v>
      </c>
      <c r="K434" s="10">
        <v>12162</v>
      </c>
      <c r="L434" s="3" t="str">
        <f t="shared" si="13"/>
        <v>ΑΜΠΕΛΩΝΕΣ_ΓΙΑ_ΠΑΡΑΓΩΓΗ_ΟΙΝΟΥ</v>
      </c>
    </row>
    <row r="435" spans="1:12" s="3" customFormat="1" ht="24" x14ac:dyDescent="0.25">
      <c r="A435" s="3" t="str">
        <f t="shared" si="12"/>
        <v>ΑΜΠΕΛΩΝΕΣ ΓΙΑ ΠΑΡΑΓΩΓΗ ΟΙΝΟΥΠΑΤΡΙΝΟ</v>
      </c>
      <c r="B435" s="4" t="s">
        <v>590</v>
      </c>
      <c r="C435" s="5" t="s">
        <v>882</v>
      </c>
      <c r="D435" s="6">
        <v>5999.78</v>
      </c>
      <c r="E435" s="6">
        <v>4188.4799999999996</v>
      </c>
      <c r="F435" s="7" t="s">
        <v>14</v>
      </c>
      <c r="G435" s="8" t="s">
        <v>883</v>
      </c>
      <c r="H435" s="8" t="s">
        <v>16</v>
      </c>
      <c r="I435" s="9">
        <v>2127</v>
      </c>
      <c r="J435" s="10" t="s">
        <v>593</v>
      </c>
      <c r="K435" s="10">
        <v>12163</v>
      </c>
      <c r="L435" s="3" t="str">
        <f t="shared" si="13"/>
        <v>ΑΜΠΕΛΩΝΕΣ_ΓΙΑ_ΠΑΡΑΓΩΓΗ_ΟΙΝΟΥ</v>
      </c>
    </row>
    <row r="436" spans="1:12" s="3" customFormat="1" ht="24" x14ac:dyDescent="0.25">
      <c r="A436" s="3" t="str">
        <f t="shared" si="12"/>
        <v>ΑΜΠΕΛΩΝΕΣ ΓΙΑ ΠΑΡΑΓΩΓΗ ΟΙΝΟΥΠΙΝΟ ΝΟΥΑΡ (PINOT NOIR)</v>
      </c>
      <c r="B436" s="4" t="s">
        <v>590</v>
      </c>
      <c r="C436" s="5" t="s">
        <v>884</v>
      </c>
      <c r="D436" s="6">
        <v>5999.78</v>
      </c>
      <c r="E436" s="6">
        <v>4188.4799999999996</v>
      </c>
      <c r="F436" s="7" t="s">
        <v>14</v>
      </c>
      <c r="G436" s="8" t="s">
        <v>885</v>
      </c>
      <c r="H436" s="8" t="s">
        <v>16</v>
      </c>
      <c r="I436" s="9">
        <v>2112</v>
      </c>
      <c r="J436" s="10" t="s">
        <v>593</v>
      </c>
      <c r="K436" s="10">
        <v>12164</v>
      </c>
      <c r="L436" s="3" t="str">
        <f t="shared" si="13"/>
        <v>ΑΜΠΕΛΩΝΕΣ_ΓΙΑ_ΠΑΡΑΓΩΓΗ_ΟΙΝΟΥ</v>
      </c>
    </row>
    <row r="437" spans="1:12" s="3" customFormat="1" ht="24" x14ac:dyDescent="0.25">
      <c r="A437" s="3" t="str">
        <f t="shared" si="12"/>
        <v>ΑΜΠΕΛΩΝΕΣ ΓΙΑ ΠΑΡΑΓΩΓΗ ΟΙΝΟΥΠΡΟΒΑΤΙΝΑ</v>
      </c>
      <c r="B437" s="4" t="s">
        <v>590</v>
      </c>
      <c r="C437" s="5" t="s">
        <v>886</v>
      </c>
      <c r="D437" s="6">
        <v>5999.78</v>
      </c>
      <c r="E437" s="6">
        <v>4188.4799999999996</v>
      </c>
      <c r="F437" s="7" t="s">
        <v>14</v>
      </c>
      <c r="G437" s="8" t="s">
        <v>887</v>
      </c>
      <c r="H437" s="8" t="s">
        <v>16</v>
      </c>
      <c r="I437" s="9">
        <v>2121</v>
      </c>
      <c r="J437" s="10" t="s">
        <v>593</v>
      </c>
      <c r="K437" s="10">
        <v>12165</v>
      </c>
      <c r="L437" s="3" t="str">
        <f t="shared" si="13"/>
        <v>ΑΜΠΕΛΩΝΕΣ_ΓΙΑ_ΠΑΡΑΓΩΓΗ_ΟΙΝΟΥ</v>
      </c>
    </row>
    <row r="438" spans="1:12" s="3" customFormat="1" ht="24" x14ac:dyDescent="0.25">
      <c r="A438" s="3" t="str">
        <f t="shared" si="12"/>
        <v>ΑΜΠΕΛΩΝΕΣ ΓΙΑ ΠΑΡΑΓΩΓΗ ΟΙΝΟΥΡΕΦΟΣΚΟ</v>
      </c>
      <c r="B438" s="4" t="s">
        <v>590</v>
      </c>
      <c r="C438" s="5" t="s">
        <v>888</v>
      </c>
      <c r="D438" s="6">
        <v>5999.78</v>
      </c>
      <c r="E438" s="6">
        <v>4188.4799999999996</v>
      </c>
      <c r="F438" s="7" t="s">
        <v>14</v>
      </c>
      <c r="G438" s="8" t="s">
        <v>889</v>
      </c>
      <c r="H438" s="8" t="s">
        <v>16</v>
      </c>
      <c r="I438" s="9">
        <v>2113</v>
      </c>
      <c r="J438" s="10" t="s">
        <v>593</v>
      </c>
      <c r="K438" s="10">
        <v>12166</v>
      </c>
      <c r="L438" s="3" t="str">
        <f t="shared" si="13"/>
        <v>ΑΜΠΕΛΩΝΕΣ_ΓΙΑ_ΠΑΡΑΓΩΓΗ_ΟΙΝΟΥ</v>
      </c>
    </row>
    <row r="439" spans="1:12" s="3" customFormat="1" ht="24" x14ac:dyDescent="0.25">
      <c r="A439" s="3" t="str">
        <f t="shared" si="12"/>
        <v>ΑΜΠΕΛΩΝΕΣ ΓΙΑ ΠΑΡΑΓΩΓΗ ΟΙΝΟΥΡΗΤΙΝΟ</v>
      </c>
      <c r="B439" s="4" t="s">
        <v>590</v>
      </c>
      <c r="C439" s="5" t="s">
        <v>890</v>
      </c>
      <c r="D439" s="6">
        <v>5999.78</v>
      </c>
      <c r="E439" s="6">
        <v>4188.4799999999996</v>
      </c>
      <c r="F439" s="7" t="s">
        <v>14</v>
      </c>
      <c r="G439" s="8" t="s">
        <v>891</v>
      </c>
      <c r="H439" s="8" t="s">
        <v>16</v>
      </c>
      <c r="I439" s="9">
        <v>2123</v>
      </c>
      <c r="J439" s="10" t="s">
        <v>593</v>
      </c>
      <c r="K439" s="10">
        <v>12167</v>
      </c>
      <c r="L439" s="3" t="str">
        <f t="shared" si="13"/>
        <v>ΑΜΠΕΛΩΝΕΣ_ΓΙΑ_ΠΑΡΑΓΩΓΗ_ΟΙΝΟΥ</v>
      </c>
    </row>
    <row r="440" spans="1:12" s="3" customFormat="1" ht="24" x14ac:dyDescent="0.25">
      <c r="A440" s="3" t="str">
        <f t="shared" si="12"/>
        <v>ΑΜΠΕΛΩΝΕΣ ΓΙΑ ΠΑΡΑΓΩΓΗ ΟΙΝΟΥΡΟΥΣΣΑΙΤΗΣ</v>
      </c>
      <c r="B440" s="4" t="s">
        <v>590</v>
      </c>
      <c r="C440" s="5" t="s">
        <v>892</v>
      </c>
      <c r="D440" s="6">
        <v>5999.78</v>
      </c>
      <c r="E440" s="6">
        <v>4188.4799999999996</v>
      </c>
      <c r="F440" s="7" t="s">
        <v>14</v>
      </c>
      <c r="G440" s="8" t="s">
        <v>893</v>
      </c>
      <c r="H440" s="8" t="s">
        <v>16</v>
      </c>
      <c r="I440" s="9">
        <v>2051</v>
      </c>
      <c r="J440" s="10" t="s">
        <v>593</v>
      </c>
      <c r="K440" s="10">
        <v>12168</v>
      </c>
      <c r="L440" s="3" t="str">
        <f t="shared" si="13"/>
        <v>ΑΜΠΕΛΩΝΕΣ_ΓΙΑ_ΠΑΡΑΓΩΓΗ_ΟΙΝΟΥ</v>
      </c>
    </row>
    <row r="441" spans="1:12" s="3" customFormat="1" ht="15" customHeight="1" x14ac:dyDescent="0.25">
      <c r="A441" s="3" t="str">
        <f t="shared" si="12"/>
        <v>ΑΜΠΕΛΩΝΕΣ ΓΙΑ ΠΑΡΑΓΩΓΗ ΟΙΝΟΥΡΩΜΕΙΚΟ</v>
      </c>
      <c r="B441" s="4" t="s">
        <v>590</v>
      </c>
      <c r="C441" s="5" t="s">
        <v>894</v>
      </c>
      <c r="D441" s="6">
        <v>5999.78</v>
      </c>
      <c r="E441" s="6">
        <v>4188.4799999999996</v>
      </c>
      <c r="F441" s="7" t="s">
        <v>14</v>
      </c>
      <c r="G441" s="8" t="s">
        <v>895</v>
      </c>
      <c r="H441" s="8" t="s">
        <v>16</v>
      </c>
      <c r="I441" s="9">
        <v>2125</v>
      </c>
      <c r="J441" s="10" t="s">
        <v>593</v>
      </c>
      <c r="K441" s="10">
        <v>12169</v>
      </c>
      <c r="L441" s="3" t="str">
        <f t="shared" si="13"/>
        <v>ΑΜΠΕΛΩΝΕΣ_ΓΙΑ_ΠΑΡΑΓΩΓΗ_ΟΙΝΟΥ</v>
      </c>
    </row>
    <row r="442" spans="1:12" s="3" customFormat="1" ht="24" x14ac:dyDescent="0.25">
      <c r="A442" s="3" t="str">
        <f t="shared" si="12"/>
        <v>ΑΜΠΕΛΩΝΕΣ ΓΙΑ ΠΑΡΑΓΩΓΗ ΟΙΝΟΥΣΕΝΣΩ (CINSAUT)</v>
      </c>
      <c r="B442" s="4" t="s">
        <v>590</v>
      </c>
      <c r="C442" s="5" t="s">
        <v>896</v>
      </c>
      <c r="D442" s="6">
        <v>5999.78</v>
      </c>
      <c r="E442" s="6">
        <v>4188.4799999999996</v>
      </c>
      <c r="F442" s="7" t="s">
        <v>14</v>
      </c>
      <c r="G442" s="8" t="s">
        <v>897</v>
      </c>
      <c r="H442" s="8" t="s">
        <v>16</v>
      </c>
      <c r="I442" s="9">
        <v>2097</v>
      </c>
      <c r="J442" s="10" t="s">
        <v>593</v>
      </c>
      <c r="K442" s="10">
        <v>12170</v>
      </c>
      <c r="L442" s="3" t="str">
        <f t="shared" si="13"/>
        <v>ΑΜΠΕΛΩΝΕΣ_ΓΙΑ_ΠΑΡΑΓΩΓΗ_ΟΙΝΟΥ</v>
      </c>
    </row>
    <row r="443" spans="1:12" s="3" customFormat="1" ht="24" x14ac:dyDescent="0.25">
      <c r="A443" s="3" t="str">
        <f t="shared" si="12"/>
        <v>ΑΜΠΕΛΩΝΕΣ ΓΙΑ ΠΑΡΑΓΩΓΗ ΟΙΝΟΥΣΕΝ ΛΩΡΑΝ</v>
      </c>
      <c r="B443" s="4" t="s">
        <v>590</v>
      </c>
      <c r="C443" s="5" t="s">
        <v>898</v>
      </c>
      <c r="D443" s="6">
        <v>5999.78</v>
      </c>
      <c r="E443" s="6">
        <v>4188.4799999999996</v>
      </c>
      <c r="F443" s="7" t="s">
        <v>14</v>
      </c>
      <c r="G443" s="8" t="s">
        <v>899</v>
      </c>
      <c r="H443" s="8" t="s">
        <v>16</v>
      </c>
      <c r="I443" s="9">
        <v>2120</v>
      </c>
      <c r="J443" s="10" t="s">
        <v>593</v>
      </c>
      <c r="K443" s="10">
        <v>12171</v>
      </c>
      <c r="L443" s="3" t="str">
        <f t="shared" si="13"/>
        <v>ΑΜΠΕΛΩΝΕΣ_ΓΙΑ_ΠΑΡΑΓΩΓΗ_ΟΙΝΟΥ</v>
      </c>
    </row>
    <row r="444" spans="1:12" s="3" customFormat="1" ht="24" x14ac:dyDescent="0.25">
      <c r="A444" s="3" t="str">
        <f t="shared" si="12"/>
        <v>ΑΜΠΕΛΩΝΕΣ ΓΙΑ ΠΑΡΑΓΩΓΗ ΟΙΝΟΥΣΕΡΙΦΙΩΤΙΚΟ</v>
      </c>
      <c r="B444" s="4" t="s">
        <v>590</v>
      </c>
      <c r="C444" s="5" t="s">
        <v>900</v>
      </c>
      <c r="D444" s="6">
        <v>5999.78</v>
      </c>
      <c r="E444" s="6">
        <v>4188.4799999999996</v>
      </c>
      <c r="F444" s="7" t="s">
        <v>14</v>
      </c>
      <c r="G444" s="8" t="s">
        <v>901</v>
      </c>
      <c r="H444" s="8" t="s">
        <v>16</v>
      </c>
      <c r="I444" s="9">
        <v>2118</v>
      </c>
      <c r="J444" s="10" t="s">
        <v>593</v>
      </c>
      <c r="K444" s="10">
        <v>12172</v>
      </c>
      <c r="L444" s="3" t="str">
        <f t="shared" si="13"/>
        <v>ΑΜΠΕΛΩΝΕΣ_ΓΙΑ_ΠΑΡΑΓΩΓΗ_ΟΙΝΟΥ</v>
      </c>
    </row>
    <row r="445" spans="1:12" s="3" customFormat="1" ht="24" x14ac:dyDescent="0.25">
      <c r="A445" s="3" t="str">
        <f t="shared" si="12"/>
        <v>ΑΜΠΕΛΩΝΕΣ ΓΙΑ ΠΑΡΑΓΩΓΗ ΟΙΝΟΥΣΕΦΚΑ</v>
      </c>
      <c r="B445" s="4" t="s">
        <v>590</v>
      </c>
      <c r="C445" s="5" t="s">
        <v>902</v>
      </c>
      <c r="D445" s="6">
        <v>5999.78</v>
      </c>
      <c r="E445" s="6">
        <v>4188.4799999999996</v>
      </c>
      <c r="F445" s="7" t="s">
        <v>14</v>
      </c>
      <c r="G445" s="8" t="s">
        <v>903</v>
      </c>
      <c r="H445" s="8" t="s">
        <v>16</v>
      </c>
      <c r="I445" s="9">
        <v>2110</v>
      </c>
      <c r="J445" s="10" t="s">
        <v>593</v>
      </c>
      <c r="K445" s="10">
        <v>12173</v>
      </c>
      <c r="L445" s="3" t="str">
        <f t="shared" si="13"/>
        <v>ΑΜΠΕΛΩΝΕΣ_ΓΙΑ_ΠΑΡΑΓΩΓΗ_ΟΙΝΟΥ</v>
      </c>
    </row>
    <row r="446" spans="1:12" s="3" customFormat="1" ht="24" x14ac:dyDescent="0.25">
      <c r="A446" s="3" t="str">
        <f t="shared" si="12"/>
        <v>ΑΜΠΕΛΩΝΕΣ ΓΙΑ ΠΑΡΑΓΩΓΗ ΟΙΝΟΥΣΚΟΠΕΛΙΤΙΚΟ</v>
      </c>
      <c r="B446" s="4" t="s">
        <v>590</v>
      </c>
      <c r="C446" s="5" t="s">
        <v>904</v>
      </c>
      <c r="D446" s="6">
        <v>5999.78</v>
      </c>
      <c r="E446" s="6">
        <v>4188.4799999999996</v>
      </c>
      <c r="F446" s="7" t="s">
        <v>14</v>
      </c>
      <c r="G446" s="8" t="s">
        <v>905</v>
      </c>
      <c r="H446" s="8" t="s">
        <v>16</v>
      </c>
      <c r="I446" s="9">
        <v>2109</v>
      </c>
      <c r="J446" s="10" t="s">
        <v>593</v>
      </c>
      <c r="K446" s="10">
        <v>12174</v>
      </c>
      <c r="L446" s="3" t="str">
        <f t="shared" si="13"/>
        <v>ΑΜΠΕΛΩΝΕΣ_ΓΙΑ_ΠΑΡΑΓΩΓΗ_ΟΙΝΟΥ</v>
      </c>
    </row>
    <row r="447" spans="1:12" s="3" customFormat="1" ht="24" x14ac:dyDescent="0.25">
      <c r="A447" s="3" t="str">
        <f t="shared" si="12"/>
        <v>ΑΜΠΕΛΩΝΕΣ ΓΙΑ ΠΑΡΑΓΩΓΗ ΟΙΝΟΥΣΚΥΛΟΠΝΙΚΤΗΣ Ν (ΣΚΥΛΟΚΛΙΜΑ)</v>
      </c>
      <c r="B447" s="4" t="s">
        <v>590</v>
      </c>
      <c r="C447" s="5" t="s">
        <v>906</v>
      </c>
      <c r="D447" s="6">
        <v>5999.78</v>
      </c>
      <c r="E447" s="6">
        <v>4188.4799999999996</v>
      </c>
      <c r="F447" s="7" t="s">
        <v>14</v>
      </c>
      <c r="G447" s="8" t="s">
        <v>907</v>
      </c>
      <c r="H447" s="8" t="s">
        <v>16</v>
      </c>
      <c r="I447" s="9">
        <v>2108</v>
      </c>
      <c r="J447" s="10" t="s">
        <v>593</v>
      </c>
      <c r="K447" s="10">
        <v>12175</v>
      </c>
      <c r="L447" s="3" t="str">
        <f t="shared" si="13"/>
        <v>ΑΜΠΕΛΩΝΕΣ_ΓΙΑ_ΠΑΡΑΓΩΓΗ_ΟΙΝΟΥ</v>
      </c>
    </row>
    <row r="448" spans="1:12" s="3" customFormat="1" ht="24" x14ac:dyDescent="0.25">
      <c r="A448" s="3" t="str">
        <f t="shared" si="12"/>
        <v>ΑΜΠΕΛΩΝΕΣ ΓΙΑ ΠΑΡΑΓΩΓΗ ΟΙΝΟΥΑΜΠΕΛΑΚΙΩΤΙΚΟ, ΣΤΑΥΡΩΤΟ</v>
      </c>
      <c r="B448" s="4" t="s">
        <v>590</v>
      </c>
      <c r="C448" s="5" t="s">
        <v>908</v>
      </c>
      <c r="D448" s="6">
        <v>5999.78</v>
      </c>
      <c r="E448" s="6">
        <v>4188.4799999999996</v>
      </c>
      <c r="F448" s="7" t="s">
        <v>14</v>
      </c>
      <c r="G448" s="8" t="s">
        <v>909</v>
      </c>
      <c r="H448" s="8" t="s">
        <v>16</v>
      </c>
      <c r="I448" s="9">
        <v>2107</v>
      </c>
      <c r="J448" s="10" t="s">
        <v>593</v>
      </c>
      <c r="K448" s="10">
        <v>12176</v>
      </c>
      <c r="L448" s="3" t="str">
        <f t="shared" si="13"/>
        <v>ΑΜΠΕΛΩΝΕΣ_ΓΙΑ_ΠΑΡΑΓΩΓΗ_ΟΙΝΟΥ</v>
      </c>
    </row>
    <row r="449" spans="1:12" s="3" customFormat="1" ht="24" x14ac:dyDescent="0.25">
      <c r="A449" s="3" t="str">
        <f t="shared" si="12"/>
        <v>ΑΜΠΕΛΩΝΕΣ ΓΙΑ ΠΑΡΑΓΩΓΗ ΟΙΝΟΥΣΥΚΙΩΤΗΣ</v>
      </c>
      <c r="B449" s="4" t="s">
        <v>590</v>
      </c>
      <c r="C449" s="5" t="s">
        <v>910</v>
      </c>
      <c r="D449" s="6">
        <v>5999.78</v>
      </c>
      <c r="E449" s="6">
        <v>4188.4799999999996</v>
      </c>
      <c r="F449" s="7" t="s">
        <v>14</v>
      </c>
      <c r="G449" s="8" t="s">
        <v>911</v>
      </c>
      <c r="H449" s="8" t="s">
        <v>16</v>
      </c>
      <c r="I449" s="9">
        <v>2106</v>
      </c>
      <c r="J449" s="10" t="s">
        <v>593</v>
      </c>
      <c r="K449" s="10">
        <v>12177</v>
      </c>
      <c r="L449" s="3" t="str">
        <f t="shared" si="13"/>
        <v>ΑΜΠΕΛΩΝΕΣ_ΓΙΑ_ΠΑΡΑΓΩΓΗ_ΟΙΝΟΥ</v>
      </c>
    </row>
    <row r="450" spans="1:12" s="3" customFormat="1" ht="24" x14ac:dyDescent="0.25">
      <c r="A450" s="3" t="str">
        <f t="shared" si="12"/>
        <v>ΑΜΠΕΛΩΝΕΣ ΓΙΑ ΠΑΡΑΓΩΓΗ ΟΙΝΟΥΣΥΡΑΧ (SYRAH)</v>
      </c>
      <c r="B450" s="4" t="s">
        <v>590</v>
      </c>
      <c r="C450" s="5" t="s">
        <v>912</v>
      </c>
      <c r="D450" s="6">
        <v>5999.78</v>
      </c>
      <c r="E450" s="6">
        <v>4188.4799999999996</v>
      </c>
      <c r="F450" s="7" t="s">
        <v>14</v>
      </c>
      <c r="G450" s="8" t="s">
        <v>913</v>
      </c>
      <c r="H450" s="8" t="s">
        <v>16</v>
      </c>
      <c r="I450" s="9">
        <v>2105</v>
      </c>
      <c r="J450" s="10" t="s">
        <v>593</v>
      </c>
      <c r="K450" s="10">
        <v>12178</v>
      </c>
      <c r="L450" s="3" t="str">
        <f t="shared" si="13"/>
        <v>ΑΜΠΕΛΩΝΕΣ_ΓΙΑ_ΠΑΡΑΓΩΓΗ_ΟΙΝΟΥ</v>
      </c>
    </row>
    <row r="451" spans="1:12" s="3" customFormat="1" ht="24" x14ac:dyDescent="0.25">
      <c r="A451" s="3" t="str">
        <f t="shared" ref="A451:A514" si="14">_xlfn.CONCAT(B451,C451)</f>
        <v>ΑΜΠΕΛΩΝΕΣ ΓΙΑ ΠΑΡΑΓΩΓΗ ΟΙΝΟΥΤΕΜΠΡΑΝΙΛΟ (TEMPRANILLO)</v>
      </c>
      <c r="B451" s="4" t="s">
        <v>590</v>
      </c>
      <c r="C451" s="5" t="s">
        <v>914</v>
      </c>
      <c r="D451" s="6">
        <v>5999.78</v>
      </c>
      <c r="E451" s="6">
        <v>4188.4799999999996</v>
      </c>
      <c r="F451" s="7" t="s">
        <v>14</v>
      </c>
      <c r="G451" s="8" t="s">
        <v>915</v>
      </c>
      <c r="H451" s="8" t="s">
        <v>16</v>
      </c>
      <c r="I451" s="9">
        <v>2104</v>
      </c>
      <c r="J451" s="10" t="s">
        <v>593</v>
      </c>
      <c r="K451" s="10">
        <v>12179</v>
      </c>
      <c r="L451" s="3" t="str">
        <f t="shared" ref="L451:L514" si="15">IFERROR(SUBSTITUTE(SUBSTITUTE(SUBSTITUTE(SUBSTITUTE(SUBSTITUTE(B451, "-", "_"), " ", "_"), ",", ""), "(", ""), ")", ""), B451)</f>
        <v>ΑΜΠΕΛΩΝΕΣ_ΓΙΑ_ΠΑΡΑΓΩΓΗ_ΟΙΝΟΥ</v>
      </c>
    </row>
    <row r="452" spans="1:12" s="3" customFormat="1" ht="24" x14ac:dyDescent="0.25">
      <c r="A452" s="3" t="str">
        <f t="shared" si="14"/>
        <v>ΑΜΠΕΛΩΝΕΣ ΓΙΑ ΠΑΡΑΓΩΓΗ ΟΙΝΟΥΤΟΥΡΚΟΠΟΥΛΑ</v>
      </c>
      <c r="B452" s="4" t="s">
        <v>590</v>
      </c>
      <c r="C452" s="5" t="s">
        <v>916</v>
      </c>
      <c r="D452" s="6">
        <v>5999.78</v>
      </c>
      <c r="E452" s="6">
        <v>4188.4799999999996</v>
      </c>
      <c r="F452" s="7" t="s">
        <v>14</v>
      </c>
      <c r="G452" s="8" t="s">
        <v>917</v>
      </c>
      <c r="H452" s="8" t="s">
        <v>16</v>
      </c>
      <c r="I452" s="9">
        <v>2103</v>
      </c>
      <c r="J452" s="10" t="s">
        <v>593</v>
      </c>
      <c r="K452" s="10">
        <v>12180</v>
      </c>
      <c r="L452" s="3" t="str">
        <f t="shared" si="15"/>
        <v>ΑΜΠΕΛΩΝΕΣ_ΓΙΑ_ΠΑΡΑΓΩΓΗ_ΟΙΝΟΥ</v>
      </c>
    </row>
    <row r="453" spans="1:12" s="3" customFormat="1" ht="24" x14ac:dyDescent="0.25">
      <c r="A453" s="3" t="str">
        <f t="shared" si="14"/>
        <v>ΑΜΠΕΛΩΝΕΣ ΓΙΑ ΠΑΡΑΓΩΓΗ ΟΙΝΟΥΤΣΑΡΔΑΝΑ</v>
      </c>
      <c r="B453" s="4" t="s">
        <v>590</v>
      </c>
      <c r="C453" s="5" t="s">
        <v>918</v>
      </c>
      <c r="D453" s="6">
        <v>5999.78</v>
      </c>
      <c r="E453" s="6">
        <v>4188.4799999999996</v>
      </c>
      <c r="F453" s="7" t="s">
        <v>14</v>
      </c>
      <c r="G453" s="8" t="s">
        <v>919</v>
      </c>
      <c r="H453" s="8" t="s">
        <v>16</v>
      </c>
      <c r="I453" s="9">
        <v>2102</v>
      </c>
      <c r="J453" s="10" t="s">
        <v>593</v>
      </c>
      <c r="K453" s="10">
        <v>12181</v>
      </c>
      <c r="L453" s="3" t="str">
        <f t="shared" si="15"/>
        <v>ΑΜΠΕΛΩΝΕΣ_ΓΙΑ_ΠΑΡΑΓΩΓΗ_ΟΙΝΟΥ</v>
      </c>
    </row>
    <row r="454" spans="1:12" s="3" customFormat="1" ht="24" x14ac:dyDescent="0.25">
      <c r="A454" s="3" t="str">
        <f t="shared" si="14"/>
        <v>ΑΜΠΕΛΩΝΕΣ ΓΙΑ ΠΑΡΑΓΩΓΗ ΟΙΝΟΥΦΕΙΔΙΑ</v>
      </c>
      <c r="B454" s="4" t="s">
        <v>590</v>
      </c>
      <c r="C454" s="5" t="s">
        <v>920</v>
      </c>
      <c r="D454" s="6">
        <v>5999.78</v>
      </c>
      <c r="E454" s="6">
        <v>4188.4799999999996</v>
      </c>
      <c r="F454" s="7" t="s">
        <v>14</v>
      </c>
      <c r="G454" s="8" t="s">
        <v>921</v>
      </c>
      <c r="H454" s="8" t="s">
        <v>16</v>
      </c>
      <c r="I454" s="9">
        <v>2101</v>
      </c>
      <c r="J454" s="10" t="s">
        <v>593</v>
      </c>
      <c r="K454" s="10">
        <v>12182</v>
      </c>
      <c r="L454" s="3" t="str">
        <f t="shared" si="15"/>
        <v>ΑΜΠΕΛΩΝΕΣ_ΓΙΑ_ΠΑΡΑΓΩΓΗ_ΟΙΝΟΥ</v>
      </c>
    </row>
    <row r="455" spans="1:12" s="3" customFormat="1" ht="24" x14ac:dyDescent="0.25">
      <c r="A455" s="3" t="str">
        <f t="shared" si="14"/>
        <v>ΑΜΠΕΛΩΝΕΣ ΓΙΑ ΠΑΡΑΓΩΓΗ ΟΙΝΟΥΦΩΚΙΑΝΟ</v>
      </c>
      <c r="B455" s="4" t="s">
        <v>590</v>
      </c>
      <c r="C455" s="5" t="s">
        <v>922</v>
      </c>
      <c r="D455" s="6">
        <v>5999.78</v>
      </c>
      <c r="E455" s="6">
        <v>4188.4799999999996</v>
      </c>
      <c r="F455" s="7" t="s">
        <v>14</v>
      </c>
      <c r="G455" s="8" t="s">
        <v>923</v>
      </c>
      <c r="H455" s="8" t="s">
        <v>16</v>
      </c>
      <c r="I455" s="9">
        <v>2100</v>
      </c>
      <c r="J455" s="10" t="s">
        <v>593</v>
      </c>
      <c r="K455" s="10">
        <v>12183</v>
      </c>
      <c r="L455" s="3" t="str">
        <f t="shared" si="15"/>
        <v>ΑΜΠΕΛΩΝΕΣ_ΓΙΑ_ΠΑΡΑΓΩΓΗ_ΟΙΝΟΥ</v>
      </c>
    </row>
    <row r="456" spans="1:12" s="3" customFormat="1" ht="24" x14ac:dyDescent="0.25">
      <c r="A456" s="3" t="str">
        <f t="shared" si="14"/>
        <v>ΑΜΠΕΛΩΝΕΣ ΓΙΑ ΠΑΡΑΓΩΓΗ ΟΙΝΟΥΧΟΝΔΡΟΜΑΥΡΟ</v>
      </c>
      <c r="B456" s="4" t="s">
        <v>590</v>
      </c>
      <c r="C456" s="5" t="s">
        <v>924</v>
      </c>
      <c r="D456" s="6">
        <v>5999.78</v>
      </c>
      <c r="E456" s="6">
        <v>4188.4799999999996</v>
      </c>
      <c r="F456" s="7" t="s">
        <v>14</v>
      </c>
      <c r="G456" s="8" t="s">
        <v>925</v>
      </c>
      <c r="H456" s="8" t="s">
        <v>16</v>
      </c>
      <c r="I456" s="9">
        <v>2099</v>
      </c>
      <c r="J456" s="10" t="s">
        <v>593</v>
      </c>
      <c r="K456" s="10">
        <v>12184</v>
      </c>
      <c r="L456" s="3" t="str">
        <f t="shared" si="15"/>
        <v>ΑΜΠΕΛΩΝΕΣ_ΓΙΑ_ΠΑΡΑΓΩΓΗ_ΟΙΝΟΥ</v>
      </c>
    </row>
    <row r="457" spans="1:12" s="3" customFormat="1" ht="24" x14ac:dyDescent="0.25">
      <c r="A457" s="3" t="str">
        <f t="shared" si="14"/>
        <v>ΑΜΠΕΛΩΝΕΣ ΓΙΑ ΠΑΡΑΓΩΓΗ ΟΙΝΟΥΧΙΩΤΙΚΟ ΚΡΑΣΕΡΟ</v>
      </c>
      <c r="B457" s="4" t="s">
        <v>590</v>
      </c>
      <c r="C457" s="5" t="s">
        <v>926</v>
      </c>
      <c r="D457" s="6">
        <v>5999.78</v>
      </c>
      <c r="E457" s="6">
        <v>4188.4799999999996</v>
      </c>
      <c r="F457" s="7" t="s">
        <v>14</v>
      </c>
      <c r="G457" s="8" t="s">
        <v>927</v>
      </c>
      <c r="H457" s="8" t="s">
        <v>16</v>
      </c>
      <c r="I457" s="9">
        <v>2098</v>
      </c>
      <c r="J457" s="10" t="s">
        <v>593</v>
      </c>
      <c r="K457" s="10">
        <v>12185</v>
      </c>
      <c r="L457" s="3" t="str">
        <f t="shared" si="15"/>
        <v>ΑΜΠΕΛΩΝΕΣ_ΓΙΑ_ΠΑΡΑΓΩΓΗ_ΟΙΝΟΥ</v>
      </c>
    </row>
    <row r="458" spans="1:12" s="3" customFormat="1" ht="24" x14ac:dyDescent="0.25">
      <c r="A458" s="3" t="str">
        <f t="shared" si="14"/>
        <v>ΑΜΠΕΛΩΝΕΣ ΓΙΑ ΠΑΡΑΓΩΓΗ ΟΙΝΟΥΨΙΛΟΜΑΥΡΟ</v>
      </c>
      <c r="B458" s="4" t="s">
        <v>590</v>
      </c>
      <c r="C458" s="5" t="s">
        <v>928</v>
      </c>
      <c r="D458" s="6">
        <v>5999.78</v>
      </c>
      <c r="E458" s="6">
        <v>4188.4799999999996</v>
      </c>
      <c r="F458" s="7" t="s">
        <v>14</v>
      </c>
      <c r="G458" s="8" t="s">
        <v>929</v>
      </c>
      <c r="H458" s="8" t="s">
        <v>16</v>
      </c>
      <c r="I458" s="9">
        <v>2129</v>
      </c>
      <c r="J458" s="10" t="s">
        <v>593</v>
      </c>
      <c r="K458" s="10">
        <v>12186</v>
      </c>
      <c r="L458" s="3" t="str">
        <f t="shared" si="15"/>
        <v>ΑΜΠΕΛΩΝΕΣ_ΓΙΑ_ΠΑΡΑΓΩΓΗ_ΟΙΝΟΥ</v>
      </c>
    </row>
    <row r="459" spans="1:12" s="3" customFormat="1" ht="24" x14ac:dyDescent="0.25">
      <c r="A459" s="3" t="str">
        <f t="shared" si="14"/>
        <v>ΑΜΠΕΛΩΝΕΣ ΓΙΑ ΠΑΡΑΓΩΓΗ ΟΙΝΟΥΨΙΛΟΜΑΥΡΟ ΚΑΛΑΒΡΥΤΩΝ</v>
      </c>
      <c r="B459" s="4" t="s">
        <v>590</v>
      </c>
      <c r="C459" s="5" t="s">
        <v>930</v>
      </c>
      <c r="D459" s="6">
        <v>5999.78</v>
      </c>
      <c r="E459" s="6">
        <v>4188.4799999999996</v>
      </c>
      <c r="F459" s="7" t="s">
        <v>14</v>
      </c>
      <c r="G459" s="8" t="s">
        <v>931</v>
      </c>
      <c r="H459" s="8" t="s">
        <v>16</v>
      </c>
      <c r="I459" s="9">
        <v>2152</v>
      </c>
      <c r="J459" s="10" t="s">
        <v>593</v>
      </c>
      <c r="K459" s="10">
        <v>12187</v>
      </c>
      <c r="L459" s="3" t="str">
        <f t="shared" si="15"/>
        <v>ΑΜΠΕΛΩΝΕΣ_ΓΙΑ_ΠΑΡΑΓΩΓΗ_ΟΙΝΟΥ</v>
      </c>
    </row>
    <row r="460" spans="1:12" s="3" customFormat="1" ht="24" x14ac:dyDescent="0.25">
      <c r="A460" s="3" t="str">
        <f t="shared" si="14"/>
        <v>ΑΜΠΕΛΩΝΕΣ ΓΙΑ ΠΑΡΑΓΩΓΗ ΟΙΝΟΥΓΚΑΜΕ (GAMAY)</v>
      </c>
      <c r="B460" s="4" t="s">
        <v>590</v>
      </c>
      <c r="C460" s="5" t="s">
        <v>932</v>
      </c>
      <c r="D460" s="6">
        <v>5999.78</v>
      </c>
      <c r="E460" s="6">
        <v>4188.4799999999996</v>
      </c>
      <c r="F460" s="7" t="s">
        <v>14</v>
      </c>
      <c r="G460" s="8" t="s">
        <v>933</v>
      </c>
      <c r="H460" s="8" t="s">
        <v>16</v>
      </c>
      <c r="I460" s="9">
        <v>2126</v>
      </c>
      <c r="J460" s="10" t="s">
        <v>593</v>
      </c>
      <c r="K460" s="10">
        <v>12189</v>
      </c>
      <c r="L460" s="3" t="str">
        <f t="shared" si="15"/>
        <v>ΑΜΠΕΛΩΝΕΣ_ΓΙΑ_ΠΑΡΑΓΩΓΗ_ΟΙΝΟΥ</v>
      </c>
    </row>
    <row r="461" spans="1:12" s="3" customFormat="1" ht="24" x14ac:dyDescent="0.25">
      <c r="A461" s="3" t="str">
        <f t="shared" si="14"/>
        <v>ΑΜΠΕΛΩΝΕΣ ΓΙΑ ΠΑΡΑΓΩΓΗ ΟΙΝΟΥΚΟΡΙΝΘΙΑΚΗ</v>
      </c>
      <c r="B461" s="4" t="s">
        <v>590</v>
      </c>
      <c r="C461" s="5" t="s">
        <v>934</v>
      </c>
      <c r="D461" s="6">
        <v>5999.78</v>
      </c>
      <c r="E461" s="6">
        <v>4188.4799999999996</v>
      </c>
      <c r="F461" s="7" t="s">
        <v>14</v>
      </c>
      <c r="G461" s="8" t="s">
        <v>935</v>
      </c>
      <c r="H461" s="8" t="s">
        <v>16</v>
      </c>
      <c r="I461" s="9">
        <v>2146</v>
      </c>
      <c r="J461" s="10" t="s">
        <v>593</v>
      </c>
      <c r="K461" s="10">
        <v>12190</v>
      </c>
      <c r="L461" s="3" t="str">
        <f t="shared" si="15"/>
        <v>ΑΜΠΕΛΩΝΕΣ_ΓΙΑ_ΠΑΡΑΓΩΓΗ_ΟΙΝΟΥ</v>
      </c>
    </row>
    <row r="462" spans="1:12" s="3" customFormat="1" ht="24" x14ac:dyDescent="0.25">
      <c r="A462" s="3" t="str">
        <f t="shared" si="14"/>
        <v>ΑΜΠΕΛΩΝΕΣ ΓΙΑ ΠΑΡΑΓΩΓΗ ΟΙΝΟΥΜΟΣΧΑΤΟ ΑΜΒΟΥΡΓΟΥ</v>
      </c>
      <c r="B462" s="4" t="s">
        <v>590</v>
      </c>
      <c r="C462" s="5" t="s">
        <v>483</v>
      </c>
      <c r="D462" s="6">
        <v>5999.78</v>
      </c>
      <c r="E462" s="6">
        <v>4188.4799999999996</v>
      </c>
      <c r="F462" s="7" t="s">
        <v>14</v>
      </c>
      <c r="G462" s="8" t="s">
        <v>936</v>
      </c>
      <c r="H462" s="8" t="s">
        <v>16</v>
      </c>
      <c r="I462" s="9">
        <v>2215</v>
      </c>
      <c r="J462" s="10" t="s">
        <v>593</v>
      </c>
      <c r="K462" s="10">
        <v>12191</v>
      </c>
      <c r="L462" s="3" t="str">
        <f t="shared" si="15"/>
        <v>ΑΜΠΕΛΩΝΕΣ_ΓΙΑ_ΠΑΡΑΓΩΓΗ_ΟΙΝΟΥ</v>
      </c>
    </row>
    <row r="463" spans="1:12" s="3" customFormat="1" ht="24" x14ac:dyDescent="0.25">
      <c r="A463" s="3" t="str">
        <f t="shared" si="14"/>
        <v>ΑΜΠΕΛΩΝΕΣ ΓΙΑ ΠΑΡΑΓΩΓΗ ΟΙΝΟΥΜΟΥΡΒΕΝΤΡ</v>
      </c>
      <c r="B463" s="4" t="s">
        <v>590</v>
      </c>
      <c r="C463" s="5" t="s">
        <v>937</v>
      </c>
      <c r="D463" s="6">
        <v>5999.78</v>
      </c>
      <c r="E463" s="6">
        <v>4188.4799999999996</v>
      </c>
      <c r="F463" s="7" t="s">
        <v>14</v>
      </c>
      <c r="G463" s="8" t="s">
        <v>938</v>
      </c>
      <c r="H463" s="8" t="s">
        <v>16</v>
      </c>
      <c r="I463" s="9">
        <v>2131</v>
      </c>
      <c r="J463" s="10" t="s">
        <v>593</v>
      </c>
      <c r="K463" s="10">
        <v>12192</v>
      </c>
      <c r="L463" s="3" t="str">
        <f t="shared" si="15"/>
        <v>ΑΜΠΕΛΩΝΕΣ_ΓΙΑ_ΠΑΡΑΓΩΓΗ_ΟΙΝΟΥ</v>
      </c>
    </row>
    <row r="464" spans="1:12" s="3" customFormat="1" ht="24" x14ac:dyDescent="0.25">
      <c r="A464" s="3" t="str">
        <f t="shared" si="14"/>
        <v>ΑΜΠΕΛΩΝΕΣ ΓΙΑ ΠΑΡΑΓΩΓΗ ΟΙΝΟΥΛΗΜΝΙΩΝΑ</v>
      </c>
      <c r="B464" s="4" t="s">
        <v>590</v>
      </c>
      <c r="C464" s="5" t="s">
        <v>939</v>
      </c>
      <c r="D464" s="6">
        <v>5999.78</v>
      </c>
      <c r="E464" s="6">
        <v>4188.4799999999996</v>
      </c>
      <c r="F464" s="7" t="s">
        <v>14</v>
      </c>
      <c r="G464" s="8" t="s">
        <v>940</v>
      </c>
      <c r="H464" s="8" t="s">
        <v>16</v>
      </c>
      <c r="I464" s="9">
        <v>2130</v>
      </c>
      <c r="J464" s="10" t="s">
        <v>593</v>
      </c>
      <c r="K464" s="10">
        <v>12193</v>
      </c>
      <c r="L464" s="3" t="str">
        <f t="shared" si="15"/>
        <v>ΑΜΠΕΛΩΝΕΣ_ΓΙΑ_ΠΑΡΑΓΩΓΗ_ΟΙΝΟΥ</v>
      </c>
    </row>
    <row r="465" spans="1:12" s="3" customFormat="1" ht="24" x14ac:dyDescent="0.25">
      <c r="A465" s="3" t="str">
        <f t="shared" si="14"/>
        <v>ΑΜΠΕΛΩΝΕΣ ΓΙΑ ΠΑΡΑΓΩΓΗ ΟΙΝΟΥΜΠΕΓΛΕΡΙ</v>
      </c>
      <c r="B465" s="4" t="s">
        <v>590</v>
      </c>
      <c r="C465" s="5" t="s">
        <v>941</v>
      </c>
      <c r="D465" s="6">
        <v>5999.78</v>
      </c>
      <c r="E465" s="6">
        <v>4188.4799999999996</v>
      </c>
      <c r="F465" s="7" t="s">
        <v>14</v>
      </c>
      <c r="G465" s="8" t="s">
        <v>942</v>
      </c>
      <c r="H465" s="8" t="s">
        <v>16</v>
      </c>
      <c r="I465" s="9">
        <v>2150</v>
      </c>
      <c r="J465" s="10" t="s">
        <v>593</v>
      </c>
      <c r="K465" s="10">
        <v>12195</v>
      </c>
      <c r="L465" s="3" t="str">
        <f t="shared" si="15"/>
        <v>ΑΜΠΕΛΩΝΕΣ_ΓΙΑ_ΠΑΡΑΓΩΓΗ_ΟΙΝΟΥ</v>
      </c>
    </row>
    <row r="466" spans="1:12" s="3" customFormat="1" ht="24" x14ac:dyDescent="0.25">
      <c r="A466" s="3" t="str">
        <f t="shared" si="14"/>
        <v>ΑΜΠΕΛΩΝΕΣ ΓΙΑ ΠΑΡΑΓΩΓΗ ΟΙΝΟΥΚΟΤΣΙΦΩΛΙΑΤΙΚΟ</v>
      </c>
      <c r="B466" s="4" t="s">
        <v>590</v>
      </c>
      <c r="C466" s="5" t="s">
        <v>943</v>
      </c>
      <c r="D466" s="6">
        <v>5999.78</v>
      </c>
      <c r="E466" s="6">
        <v>4188.4799999999996</v>
      </c>
      <c r="F466" s="7" t="s">
        <v>14</v>
      </c>
      <c r="G466" s="8" t="s">
        <v>944</v>
      </c>
      <c r="H466" s="8" t="s">
        <v>16</v>
      </c>
      <c r="I466" s="9">
        <v>2134</v>
      </c>
      <c r="J466" s="10" t="s">
        <v>593</v>
      </c>
      <c r="K466" s="10">
        <v>12197</v>
      </c>
      <c r="L466" s="3" t="str">
        <f t="shared" si="15"/>
        <v>ΑΜΠΕΛΩΝΕΣ_ΓΙΑ_ΠΑΡΑΓΩΓΗ_ΟΙΝΟΥ</v>
      </c>
    </row>
    <row r="467" spans="1:12" s="3" customFormat="1" ht="24" x14ac:dyDescent="0.25">
      <c r="A467" s="3" t="str">
        <f t="shared" si="14"/>
        <v>ΑΜΠΕΛΩΝΕΣ ΓΙΑ ΠΑΡΑΓΩΓΗ ΟΙΝΟΥΚΟΥΤΣΟΥΜΠΕΛΙ</v>
      </c>
      <c r="B467" s="4" t="s">
        <v>590</v>
      </c>
      <c r="C467" s="5" t="s">
        <v>945</v>
      </c>
      <c r="D467" s="6">
        <v>5999.78</v>
      </c>
      <c r="E467" s="6">
        <v>4188.4799999999996</v>
      </c>
      <c r="F467" s="7" t="s">
        <v>14</v>
      </c>
      <c r="G467" s="8" t="s">
        <v>946</v>
      </c>
      <c r="H467" s="8" t="s">
        <v>16</v>
      </c>
      <c r="I467" s="9">
        <v>2184</v>
      </c>
      <c r="J467" s="10" t="s">
        <v>593</v>
      </c>
      <c r="K467" s="10">
        <v>13222</v>
      </c>
      <c r="L467" s="3" t="str">
        <f t="shared" si="15"/>
        <v>ΑΜΠΕΛΩΝΕΣ_ΓΙΑ_ΠΑΡΑΓΩΓΗ_ΟΙΝΟΥ</v>
      </c>
    </row>
    <row r="468" spans="1:12" s="3" customFormat="1" ht="24" x14ac:dyDescent="0.25">
      <c r="A468" s="3" t="str">
        <f t="shared" si="14"/>
        <v>ΑΜΠΕΛΩΝΕΣ ΓΙΑ ΠΑΡΑΓΩΓΗ ΟΙΝΟΥΜΟΣΧΟΦΙΛΕΡΟ</v>
      </c>
      <c r="B468" s="4" t="s">
        <v>590</v>
      </c>
      <c r="C468" s="5" t="s">
        <v>947</v>
      </c>
      <c r="D468" s="6">
        <v>5999.78</v>
      </c>
      <c r="E468" s="6">
        <v>4188.4799999999996</v>
      </c>
      <c r="F468" s="7" t="s">
        <v>14</v>
      </c>
      <c r="G468" s="8" t="s">
        <v>948</v>
      </c>
      <c r="H468" s="8" t="s">
        <v>16</v>
      </c>
      <c r="I468" s="9">
        <v>2182</v>
      </c>
      <c r="J468" s="10" t="s">
        <v>593</v>
      </c>
      <c r="K468" s="10">
        <v>13223</v>
      </c>
      <c r="L468" s="3" t="str">
        <f t="shared" si="15"/>
        <v>ΑΜΠΕΛΩΝΕΣ_ΓΙΑ_ΠΑΡΑΓΩΓΗ_ΟΙΝΟΥ</v>
      </c>
    </row>
    <row r="469" spans="1:12" s="3" customFormat="1" ht="24" x14ac:dyDescent="0.25">
      <c r="A469" s="3" t="str">
        <f t="shared" si="14"/>
        <v>ΑΜΠΕΛΩΝΕΣ ΓΙΑ ΠΑΡΑΓΩΓΗ ΟΙΝΟΥΡΟΔΙΤΗΣ (ΑΛΕΠΟΥ)</v>
      </c>
      <c r="B469" s="4" t="s">
        <v>590</v>
      </c>
      <c r="C469" s="5" t="s">
        <v>949</v>
      </c>
      <c r="D469" s="6">
        <v>5999.78</v>
      </c>
      <c r="E469" s="6">
        <v>4188.4799999999996</v>
      </c>
      <c r="F469" s="7" t="s">
        <v>14</v>
      </c>
      <c r="G469" s="8" t="s">
        <v>950</v>
      </c>
      <c r="H469" s="8" t="s">
        <v>16</v>
      </c>
      <c r="I469" s="9">
        <v>2190</v>
      </c>
      <c r="J469" s="10" t="s">
        <v>593</v>
      </c>
      <c r="K469" s="10">
        <v>13224</v>
      </c>
      <c r="L469" s="3" t="str">
        <f t="shared" si="15"/>
        <v>ΑΜΠΕΛΩΝΕΣ_ΓΙΑ_ΠΑΡΑΓΩΓΗ_ΟΙΝΟΥ</v>
      </c>
    </row>
    <row r="470" spans="1:12" s="3" customFormat="1" ht="24" x14ac:dyDescent="0.25">
      <c r="A470" s="3" t="str">
        <f t="shared" si="14"/>
        <v>ΑΜΠΕΛΩΝΕΣ ΓΙΑ ΠΑΡΑΓΩΓΗ ΟΙΝΟΥΦΙΛΕΡΙ</v>
      </c>
      <c r="B470" s="4" t="s">
        <v>590</v>
      </c>
      <c r="C470" s="5" t="s">
        <v>951</v>
      </c>
      <c r="D470" s="6">
        <v>5999.78</v>
      </c>
      <c r="E470" s="6">
        <v>4188.4799999999996</v>
      </c>
      <c r="F470" s="7" t="s">
        <v>14</v>
      </c>
      <c r="G470" s="8" t="s">
        <v>952</v>
      </c>
      <c r="H470" s="8" t="s">
        <v>16</v>
      </c>
      <c r="I470" s="9">
        <v>2179</v>
      </c>
      <c r="J470" s="10" t="s">
        <v>593</v>
      </c>
      <c r="K470" s="10">
        <v>13225</v>
      </c>
      <c r="L470" s="3" t="str">
        <f t="shared" si="15"/>
        <v>ΑΜΠΕΛΩΝΕΣ_ΓΙΑ_ΠΑΡΑΓΩΓΗ_ΟΙΝΟΥ</v>
      </c>
    </row>
    <row r="471" spans="1:12" s="3" customFormat="1" ht="24" x14ac:dyDescent="0.25">
      <c r="A471" s="3" t="str">
        <f t="shared" si="14"/>
        <v>ΑΜΠΕΛΩΝΕΣ ΓΙΑ ΠΑΡΑΓΩΓΗ ΟΙΝΟΥΣΙΔΕΡΙΤΗΣ</v>
      </c>
      <c r="B471" s="4" t="s">
        <v>590</v>
      </c>
      <c r="C471" s="5" t="s">
        <v>497</v>
      </c>
      <c r="D471" s="6">
        <v>5999.78</v>
      </c>
      <c r="E471" s="6">
        <v>4188.4799999999996</v>
      </c>
      <c r="F471" s="7" t="s">
        <v>14</v>
      </c>
      <c r="G471" s="8" t="s">
        <v>953</v>
      </c>
      <c r="H471" s="8" t="s">
        <v>16</v>
      </c>
      <c r="I471" s="9">
        <v>2177</v>
      </c>
      <c r="J471" s="10" t="s">
        <v>593</v>
      </c>
      <c r="K471" s="10">
        <v>13228</v>
      </c>
      <c r="L471" s="3" t="str">
        <f t="shared" si="15"/>
        <v>ΑΜΠΕΛΩΝΕΣ_ΓΙΑ_ΠΑΡΑΓΩΓΗ_ΟΙΝΟΥ</v>
      </c>
    </row>
    <row r="472" spans="1:12" s="3" customFormat="1" ht="24" x14ac:dyDescent="0.25">
      <c r="A472" s="3" t="str">
        <f t="shared" si="14"/>
        <v>ΑΜΠΕΛΩΝΕΣ ΓΙΑ ΠΑΡΑΓΩΓΗ ΟΙΝΟΥΑΕΤΟΝΥΧΙ ΑΣΠΡΟ</v>
      </c>
      <c r="B472" s="4" t="s">
        <v>590</v>
      </c>
      <c r="C472" s="5" t="s">
        <v>423</v>
      </c>
      <c r="D472" s="6">
        <v>5999.78</v>
      </c>
      <c r="E472" s="6">
        <v>4188.4799999999996</v>
      </c>
      <c r="F472" s="7" t="s">
        <v>14</v>
      </c>
      <c r="G472" s="8" t="s">
        <v>954</v>
      </c>
      <c r="H472" s="8" t="s">
        <v>16</v>
      </c>
      <c r="I472" s="9">
        <v>2124</v>
      </c>
      <c r="J472" s="10" t="s">
        <v>593</v>
      </c>
      <c r="K472" s="10">
        <v>21246</v>
      </c>
      <c r="L472" s="3" t="str">
        <f t="shared" si="15"/>
        <v>ΑΜΠΕΛΩΝΕΣ_ΓΙΑ_ΠΑΡΑΓΩΓΗ_ΟΙΝΟΥ</v>
      </c>
    </row>
    <row r="473" spans="1:12" s="3" customFormat="1" ht="24" x14ac:dyDescent="0.25">
      <c r="A473" s="3" t="str">
        <f t="shared" si="14"/>
        <v>ΑΜΠΕΛΩΝΕΣ ΓΙΑ ΠΑΡΑΓΩΓΗ ΟΙΝΟΥΡΟΖΑΚΙ (ΑΒΟΥΖ ΑΛΗ, ΚΕΡΙΝΟ)</v>
      </c>
      <c r="B473" s="4" t="s">
        <v>590</v>
      </c>
      <c r="C473" s="5" t="s">
        <v>425</v>
      </c>
      <c r="D473" s="6">
        <v>5999.78</v>
      </c>
      <c r="E473" s="6">
        <v>4188.4799999999996</v>
      </c>
      <c r="F473" s="7" t="s">
        <v>14</v>
      </c>
      <c r="G473" s="8" t="s">
        <v>955</v>
      </c>
      <c r="H473" s="8" t="s">
        <v>16</v>
      </c>
      <c r="I473" s="9">
        <v>2178</v>
      </c>
      <c r="J473" s="10" t="s">
        <v>593</v>
      </c>
      <c r="K473" s="10">
        <v>21247</v>
      </c>
      <c r="L473" s="3" t="str">
        <f t="shared" si="15"/>
        <v>ΑΜΠΕΛΩΝΕΣ_ΓΙΑ_ΠΑΡΑΓΩΓΗ_ΟΙΝΟΥ</v>
      </c>
    </row>
    <row r="474" spans="1:12" s="3" customFormat="1" ht="24" x14ac:dyDescent="0.25">
      <c r="A474" s="3" t="str">
        <f t="shared" si="14"/>
        <v>ΑΜΠΕΛΩΝΕΣ ΓΙΑ ΠΑΡΑΓΩΓΗ ΟΙΝΟΥΡΑΖΑΚΙ ΔΙΠΛΗΣ ΧΡΗΣΗΣ</v>
      </c>
      <c r="B474" s="4" t="s">
        <v>590</v>
      </c>
      <c r="C474" s="5" t="s">
        <v>427</v>
      </c>
      <c r="D474" s="6">
        <v>5999.78</v>
      </c>
      <c r="E474" s="6">
        <v>4188.4799999999996</v>
      </c>
      <c r="F474" s="7" t="s">
        <v>14</v>
      </c>
      <c r="G474" s="8" t="s">
        <v>956</v>
      </c>
      <c r="H474" s="8" t="s">
        <v>16</v>
      </c>
      <c r="I474" s="9">
        <v>2180</v>
      </c>
      <c r="J474" s="10" t="s">
        <v>593</v>
      </c>
      <c r="K474" s="10">
        <v>21248</v>
      </c>
      <c r="L474" s="3" t="str">
        <f t="shared" si="15"/>
        <v>ΑΜΠΕΛΩΝΕΣ_ΓΙΑ_ΠΑΡΑΓΩΓΗ_ΟΙΝΟΥ</v>
      </c>
    </row>
    <row r="475" spans="1:12" s="3" customFormat="1" ht="24" x14ac:dyDescent="0.25">
      <c r="A475" s="3" t="str">
        <f t="shared" si="14"/>
        <v>ΑΜΠΕΛΩΝΕΣ ΓΙΑ ΠΑΡΑΓΩΓΗ ΟΙΝΟΥΑΥΓΟΥΛΑΤΟ (ΚΟΛΟΚΥΘΑΤΟ)</v>
      </c>
      <c r="B475" s="4" t="s">
        <v>590</v>
      </c>
      <c r="C475" s="5" t="s">
        <v>431</v>
      </c>
      <c r="D475" s="6">
        <v>5999.78</v>
      </c>
      <c r="E475" s="6">
        <v>4188.4799999999996</v>
      </c>
      <c r="F475" s="7" t="s">
        <v>14</v>
      </c>
      <c r="G475" s="8" t="s">
        <v>957</v>
      </c>
      <c r="H475" s="8" t="s">
        <v>16</v>
      </c>
      <c r="I475" s="9">
        <v>2175</v>
      </c>
      <c r="J475" s="10" t="s">
        <v>593</v>
      </c>
      <c r="K475" s="10">
        <v>21251</v>
      </c>
      <c r="L475" s="3" t="str">
        <f t="shared" si="15"/>
        <v>ΑΜΠΕΛΩΝΕΣ_ΓΙΑ_ΠΑΡΑΓΩΓΗ_ΟΙΝΟΥ</v>
      </c>
    </row>
    <row r="476" spans="1:12" s="3" customFormat="1" ht="24" x14ac:dyDescent="0.25">
      <c r="A476" s="3" t="str">
        <f t="shared" si="14"/>
        <v>ΑΜΠΕΛΩΝΕΣ ΓΙΑ ΠΑΡΑΓΩΓΗ ΟΙΝΟΥΒΙΚΤΩΡΙΑ (VICTORIA)</v>
      </c>
      <c r="B476" s="4" t="s">
        <v>590</v>
      </c>
      <c r="C476" s="5" t="s">
        <v>433</v>
      </c>
      <c r="D476" s="6">
        <v>5999.78</v>
      </c>
      <c r="E476" s="6">
        <v>4188.4799999999996</v>
      </c>
      <c r="F476" s="7" t="s">
        <v>14</v>
      </c>
      <c r="G476" s="8" t="s">
        <v>958</v>
      </c>
      <c r="H476" s="8" t="s">
        <v>16</v>
      </c>
      <c r="I476" s="9">
        <v>2185</v>
      </c>
      <c r="J476" s="10" t="s">
        <v>593</v>
      </c>
      <c r="K476" s="10">
        <v>21252</v>
      </c>
      <c r="L476" s="3" t="str">
        <f t="shared" si="15"/>
        <v>ΑΜΠΕΛΩΝΕΣ_ΓΙΑ_ΠΑΡΑΓΩΓΗ_ΟΙΝΟΥ</v>
      </c>
    </row>
    <row r="477" spans="1:12" s="3" customFormat="1" ht="24" x14ac:dyDescent="0.25">
      <c r="A477" s="3" t="str">
        <f t="shared" si="14"/>
        <v>ΑΜΠΕΛΩΝΕΣ ΓΙΑ ΠΑΡΑΓΩΓΗ ΟΙΝΟΥΓΚΟΛΝΤ (GOLD)</v>
      </c>
      <c r="B477" s="4" t="s">
        <v>590</v>
      </c>
      <c r="C477" s="5" t="s">
        <v>435</v>
      </c>
      <c r="D477" s="6">
        <v>5999.78</v>
      </c>
      <c r="E477" s="6">
        <v>4188.4799999999996</v>
      </c>
      <c r="F477" s="7" t="s">
        <v>14</v>
      </c>
      <c r="G477" s="8" t="s">
        <v>959</v>
      </c>
      <c r="H477" s="8" t="s">
        <v>16</v>
      </c>
      <c r="I477" s="9">
        <v>2187</v>
      </c>
      <c r="J477" s="10" t="s">
        <v>593</v>
      </c>
      <c r="K477" s="10">
        <v>21253</v>
      </c>
      <c r="L477" s="3" t="str">
        <f t="shared" si="15"/>
        <v>ΑΜΠΕΛΩΝΕΣ_ΓΙΑ_ΠΑΡΑΓΩΓΗ_ΟΙΝΟΥ</v>
      </c>
    </row>
    <row r="478" spans="1:12" s="3" customFormat="1" ht="24" x14ac:dyDescent="0.25">
      <c r="A478" s="3" t="str">
        <f t="shared" si="14"/>
        <v>ΑΜΠΕΛΩΝΕΣ ΓΙΑ ΠΑΡΑΓΩΓΗ ΟΙΝΟΥΕΛΛΑΣ</v>
      </c>
      <c r="B478" s="4" t="s">
        <v>590</v>
      </c>
      <c r="C478" s="5" t="s">
        <v>437</v>
      </c>
      <c r="D478" s="6">
        <v>5999.78</v>
      </c>
      <c r="E478" s="6">
        <v>4188.4799999999996</v>
      </c>
      <c r="F478" s="7" t="s">
        <v>14</v>
      </c>
      <c r="G478" s="8" t="s">
        <v>960</v>
      </c>
      <c r="H478" s="8" t="s">
        <v>16</v>
      </c>
      <c r="I478" s="9">
        <v>2160</v>
      </c>
      <c r="J478" s="10" t="s">
        <v>593</v>
      </c>
      <c r="K478" s="10">
        <v>21254</v>
      </c>
      <c r="L478" s="3" t="str">
        <f t="shared" si="15"/>
        <v>ΑΜΠΕΛΩΝΕΣ_ΓΙΑ_ΠΑΡΑΓΩΓΗ_ΟΙΝΟΥ</v>
      </c>
    </row>
    <row r="479" spans="1:12" s="3" customFormat="1" ht="24" x14ac:dyDescent="0.25">
      <c r="A479" s="3" t="str">
        <f t="shared" si="14"/>
        <v>ΑΜΠΕΛΩΝΕΣ ΓΙΑ ΠΑΡΑΓΩΓΗ ΟΙΝΟΥΘΕΣΣΑΛΟΝΙΚΗ</v>
      </c>
      <c r="B479" s="4" t="s">
        <v>590</v>
      </c>
      <c r="C479" s="5" t="s">
        <v>439</v>
      </c>
      <c r="D479" s="6">
        <v>5999.78</v>
      </c>
      <c r="E479" s="6">
        <v>4188.4799999999996</v>
      </c>
      <c r="F479" s="7" t="s">
        <v>14</v>
      </c>
      <c r="G479" s="8" t="s">
        <v>961</v>
      </c>
      <c r="H479" s="8" t="s">
        <v>16</v>
      </c>
      <c r="I479" s="9">
        <v>2181</v>
      </c>
      <c r="J479" s="10" t="s">
        <v>593</v>
      </c>
      <c r="K479" s="10">
        <v>21255</v>
      </c>
      <c r="L479" s="3" t="str">
        <f t="shared" si="15"/>
        <v>ΑΜΠΕΛΩΝΕΣ_ΓΙΑ_ΠΑΡΑΓΩΓΗ_ΟΙΝΟΥ</v>
      </c>
    </row>
    <row r="480" spans="1:12" s="3" customFormat="1" ht="24" x14ac:dyDescent="0.25">
      <c r="A480" s="3" t="str">
        <f t="shared" si="14"/>
        <v>ΑΜΠΕΛΩΝΕΣ ΓΙΑ ΠΑΡΑΓΩΓΗ ΟΙΝΟΥΙΤΑΛΙΑ (ITALIA)</v>
      </c>
      <c r="B480" s="4" t="s">
        <v>590</v>
      </c>
      <c r="C480" s="5" t="s">
        <v>441</v>
      </c>
      <c r="D480" s="6">
        <v>5999.78</v>
      </c>
      <c r="E480" s="6">
        <v>4188.4799999999996</v>
      </c>
      <c r="F480" s="7" t="s">
        <v>14</v>
      </c>
      <c r="G480" s="8" t="s">
        <v>962</v>
      </c>
      <c r="H480" s="8" t="s">
        <v>16</v>
      </c>
      <c r="I480" s="9">
        <v>2172</v>
      </c>
      <c r="J480" s="10" t="s">
        <v>593</v>
      </c>
      <c r="K480" s="10">
        <v>21256</v>
      </c>
      <c r="L480" s="3" t="str">
        <f t="shared" si="15"/>
        <v>ΑΜΠΕΛΩΝΕΣ_ΓΙΑ_ΠΑΡΑΓΩΓΗ_ΟΙΝΟΥ</v>
      </c>
    </row>
    <row r="481" spans="1:12" s="3" customFormat="1" ht="24" x14ac:dyDescent="0.25">
      <c r="A481" s="3" t="str">
        <f t="shared" si="14"/>
        <v>ΑΜΠΕΛΩΝΕΣ ΓΙΑ ΠΑΡΑΓΩΓΗ ΟΙΝΟΥΚΑΛΜΕΡΙΑ (CALMERIA)</v>
      </c>
      <c r="B481" s="4" t="s">
        <v>590</v>
      </c>
      <c r="C481" s="5" t="s">
        <v>443</v>
      </c>
      <c r="D481" s="6">
        <v>5999.78</v>
      </c>
      <c r="E481" s="6">
        <v>4188.4799999999996</v>
      </c>
      <c r="F481" s="7" t="s">
        <v>14</v>
      </c>
      <c r="G481" s="8" t="s">
        <v>963</v>
      </c>
      <c r="H481" s="8" t="s">
        <v>16</v>
      </c>
      <c r="I481" s="9">
        <v>2170</v>
      </c>
      <c r="J481" s="10" t="s">
        <v>593</v>
      </c>
      <c r="K481" s="10">
        <v>21257</v>
      </c>
      <c r="L481" s="3" t="str">
        <f t="shared" si="15"/>
        <v>ΑΜΠΕΛΩΝΕΣ_ΓΙΑ_ΠΑΡΑΓΩΓΗ_ΟΙΝΟΥ</v>
      </c>
    </row>
    <row r="482" spans="1:12" s="3" customFormat="1" ht="24" x14ac:dyDescent="0.25">
      <c r="A482" s="3" t="str">
        <f t="shared" si="14"/>
        <v>ΑΜΠΕΛΩΝΕΣ ΓΙΑ ΠΑΡΑΓΩΓΗ ΟΙΝΟΥΚΑΡΥΔΑΤΟ (ΕΠΙΤΡΑΠΕΖΙΑ)</v>
      </c>
      <c r="B482" s="4" t="s">
        <v>590</v>
      </c>
      <c r="C482" s="5" t="s">
        <v>445</v>
      </c>
      <c r="D482" s="6">
        <v>5999.78</v>
      </c>
      <c r="E482" s="6">
        <v>4188.4799999999996</v>
      </c>
      <c r="F482" s="7" t="s">
        <v>14</v>
      </c>
      <c r="G482" s="8" t="s">
        <v>964</v>
      </c>
      <c r="H482" s="8" t="s">
        <v>16</v>
      </c>
      <c r="I482" s="9">
        <v>2168</v>
      </c>
      <c r="J482" s="10" t="s">
        <v>593</v>
      </c>
      <c r="K482" s="10">
        <v>21258</v>
      </c>
      <c r="L482" s="3" t="str">
        <f t="shared" si="15"/>
        <v>ΑΜΠΕΛΩΝΕΣ_ΓΙΑ_ΠΑΡΑΓΩΓΗ_ΟΙΝΟΥ</v>
      </c>
    </row>
    <row r="483" spans="1:12" s="3" customFormat="1" ht="24" x14ac:dyDescent="0.25">
      <c r="A483" s="3" t="str">
        <f t="shared" si="14"/>
        <v>ΑΜΠΕΛΩΝΕΣ ΓΙΑ ΠΑΡΑΓΩΓΗ ΟΙΝΟΥΟΨΙΜΟ ΕΔΕΣΣΗΣ (ΑΜΑΣΣΙ, ΚΑΡΑΤΖΟΒΑΣ, ΦΟΥΣΤΑΝΙ)</v>
      </c>
      <c r="B483" s="4" t="s">
        <v>590</v>
      </c>
      <c r="C483" s="5" t="s">
        <v>451</v>
      </c>
      <c r="D483" s="6">
        <v>5999.78</v>
      </c>
      <c r="E483" s="6">
        <v>4188.4799999999996</v>
      </c>
      <c r="F483" s="7" t="s">
        <v>14</v>
      </c>
      <c r="G483" s="8" t="s">
        <v>965</v>
      </c>
      <c r="H483" s="8" t="s">
        <v>16</v>
      </c>
      <c r="I483" s="9">
        <v>2165</v>
      </c>
      <c r="J483" s="10" t="s">
        <v>593</v>
      </c>
      <c r="K483" s="10">
        <v>21261</v>
      </c>
      <c r="L483" s="3" t="str">
        <f t="shared" si="15"/>
        <v>ΑΜΠΕΛΩΝΕΣ_ΓΙΑ_ΠΑΡΑΓΩΓΗ_ΟΙΝΟΥ</v>
      </c>
    </row>
    <row r="484" spans="1:12" s="3" customFormat="1" ht="24" x14ac:dyDescent="0.25">
      <c r="A484" s="3" t="str">
        <f t="shared" si="14"/>
        <v>ΑΜΠΕΛΩΝΕΣ ΓΙΑ ΠΑΡΑΓΩΓΗ ΟΙΝΟΥΟΨΙΜΟ ΕΔΕΣΣΗΣ Δ.Χ</v>
      </c>
      <c r="B484" s="4" t="s">
        <v>590</v>
      </c>
      <c r="C484" s="5" t="s">
        <v>453</v>
      </c>
      <c r="D484" s="6">
        <v>5999.78</v>
      </c>
      <c r="E484" s="6">
        <v>4188.4799999999996</v>
      </c>
      <c r="F484" s="7" t="s">
        <v>14</v>
      </c>
      <c r="G484" s="8" t="s">
        <v>966</v>
      </c>
      <c r="H484" s="8" t="s">
        <v>16</v>
      </c>
      <c r="I484" s="9">
        <v>2163</v>
      </c>
      <c r="J484" s="10" t="s">
        <v>593</v>
      </c>
      <c r="K484" s="10">
        <v>21262</v>
      </c>
      <c r="L484" s="3" t="str">
        <f t="shared" si="15"/>
        <v>ΑΜΠΕΛΩΝΕΣ_ΓΙΑ_ΠΑΡΑΓΩΓΗ_ΟΙΝΟΥ</v>
      </c>
    </row>
    <row r="485" spans="1:12" s="3" customFormat="1" ht="24" x14ac:dyDescent="0.25">
      <c r="A485" s="3" t="str">
        <f t="shared" si="14"/>
        <v>ΑΜΠΕΛΩΝΕΣ ΓΙΑ ΠΑΡΑΓΩΓΗ ΟΙΝΟΥΠΕΡΛΕΤ (PERLETTE)</v>
      </c>
      <c r="B485" s="4" t="s">
        <v>590</v>
      </c>
      <c r="C485" s="5" t="s">
        <v>459</v>
      </c>
      <c r="D485" s="6">
        <v>5999.78</v>
      </c>
      <c r="E485" s="6">
        <v>4188.4799999999996</v>
      </c>
      <c r="F485" s="7" t="s">
        <v>14</v>
      </c>
      <c r="G485" s="8" t="s">
        <v>967</v>
      </c>
      <c r="H485" s="8" t="s">
        <v>16</v>
      </c>
      <c r="I485" s="9">
        <v>2189</v>
      </c>
      <c r="J485" s="10" t="s">
        <v>593</v>
      </c>
      <c r="K485" s="10">
        <v>21266</v>
      </c>
      <c r="L485" s="3" t="str">
        <f t="shared" si="15"/>
        <v>ΑΜΠΕΛΩΝΕΣ_ΓΙΑ_ΠΑΡΑΓΩΓΗ_ΟΙΝΟΥ</v>
      </c>
    </row>
    <row r="486" spans="1:12" s="3" customFormat="1" ht="24" x14ac:dyDescent="0.25">
      <c r="A486" s="3" t="str">
        <f t="shared" si="14"/>
        <v>ΑΜΠΕΛΩΝΕΣ ΓΙΑ ΠΑΡΑΓΩΓΗ ΟΙΝΟΥΒΕΡΓΙΝΑ</v>
      </c>
      <c r="B486" s="4" t="s">
        <v>590</v>
      </c>
      <c r="C486" s="5" t="s">
        <v>463</v>
      </c>
      <c r="D486" s="6">
        <v>5999.78</v>
      </c>
      <c r="E486" s="6">
        <v>4188.4799999999996</v>
      </c>
      <c r="F486" s="7" t="s">
        <v>14</v>
      </c>
      <c r="G486" s="8" t="s">
        <v>968</v>
      </c>
      <c r="H486" s="8" t="s">
        <v>16</v>
      </c>
      <c r="I486" s="9">
        <v>2210</v>
      </c>
      <c r="J486" s="10" t="s">
        <v>593</v>
      </c>
      <c r="K486" s="10">
        <v>21269</v>
      </c>
      <c r="L486" s="3" t="str">
        <f t="shared" si="15"/>
        <v>ΑΜΠΕΛΩΝΕΣ_ΓΙΑ_ΠΑΡΑΓΩΓΗ_ΟΙΝΟΥ</v>
      </c>
    </row>
    <row r="487" spans="1:12" s="3" customFormat="1" ht="24" x14ac:dyDescent="0.25">
      <c r="A487" s="3" t="str">
        <f t="shared" si="14"/>
        <v>ΑΜΠΕΛΩΝΕΣ ΓΙΑ ΠΑΡΑΓΩΓΗ ΟΙΝΟΥΜΟΣΧΑΤΟ ΑΛΕΞΑΝΔΡΕΙΑΣ</v>
      </c>
      <c r="B487" s="4" t="s">
        <v>590</v>
      </c>
      <c r="C487" s="5" t="s">
        <v>465</v>
      </c>
      <c r="D487" s="6">
        <v>5999.78</v>
      </c>
      <c r="E487" s="6">
        <v>4188.4799999999996</v>
      </c>
      <c r="F487" s="7" t="s">
        <v>14</v>
      </c>
      <c r="G487" s="8" t="s">
        <v>969</v>
      </c>
      <c r="H487" s="8" t="s">
        <v>16</v>
      </c>
      <c r="I487" s="9">
        <v>2212</v>
      </c>
      <c r="J487" s="10" t="s">
        <v>593</v>
      </c>
      <c r="K487" s="10">
        <v>21270</v>
      </c>
      <c r="L487" s="3" t="str">
        <f t="shared" si="15"/>
        <v>ΑΜΠΕΛΩΝΕΣ_ΓΙΑ_ΠΑΡΑΓΩΓΗ_ΟΙΝΟΥ</v>
      </c>
    </row>
    <row r="488" spans="1:12" s="3" customFormat="1" ht="24" x14ac:dyDescent="0.25">
      <c r="A488" s="3" t="str">
        <f t="shared" si="14"/>
        <v>ΑΜΠΕΛΩΝΕΣ ΓΙΑ ΠΑΡΑΓΩΓΗ ΟΙΝΟΥΝΕΒΑΝΤΟ</v>
      </c>
      <c r="B488" s="4" t="s">
        <v>590</v>
      </c>
      <c r="C488" s="5" t="s">
        <v>467</v>
      </c>
      <c r="D488" s="6">
        <v>5999.78</v>
      </c>
      <c r="E488" s="6">
        <v>4188.4799999999996</v>
      </c>
      <c r="F488" s="7" t="s">
        <v>14</v>
      </c>
      <c r="G488" s="8" t="s">
        <v>970</v>
      </c>
      <c r="H488" s="8" t="s">
        <v>16</v>
      </c>
      <c r="I488" s="9">
        <v>2207</v>
      </c>
      <c r="J488" s="10" t="s">
        <v>593</v>
      </c>
      <c r="K488" s="10">
        <v>21271</v>
      </c>
      <c r="L488" s="3" t="str">
        <f t="shared" si="15"/>
        <v>ΑΜΠΕΛΩΝΕΣ_ΓΙΑ_ΠΑΡΑΓΩΓΗ_ΟΙΝΟΥ</v>
      </c>
    </row>
    <row r="489" spans="1:12" s="3" customFormat="1" ht="24" x14ac:dyDescent="0.25">
      <c r="A489" s="3" t="str">
        <f t="shared" si="14"/>
        <v>ΑΜΠΕΛΩΝΕΣ ΓΙΑ ΠΑΡΑΓΩΓΗ ΟΙΝΟΥΚΩΝΣΤΑΝΤΙΝΑ</v>
      </c>
      <c r="B489" s="4" t="s">
        <v>590</v>
      </c>
      <c r="C489" s="5" t="s">
        <v>471</v>
      </c>
      <c r="D489" s="6">
        <v>5999.78</v>
      </c>
      <c r="E489" s="6">
        <v>4188.4799999999996</v>
      </c>
      <c r="F489" s="7" t="s">
        <v>14</v>
      </c>
      <c r="G489" s="8" t="s">
        <v>971</v>
      </c>
      <c r="H489" s="8" t="s">
        <v>16</v>
      </c>
      <c r="I489" s="9">
        <v>2218</v>
      </c>
      <c r="J489" s="10" t="s">
        <v>593</v>
      </c>
      <c r="K489" s="10">
        <v>21274</v>
      </c>
      <c r="L489" s="3" t="str">
        <f t="shared" si="15"/>
        <v>ΑΜΠΕΛΩΝΕΣ_ΓΙΑ_ΠΑΡΑΓΩΓΗ_ΟΙΝΟΥ</v>
      </c>
    </row>
    <row r="490" spans="1:12" s="3" customFormat="1" ht="24" x14ac:dyDescent="0.25">
      <c r="A490" s="3" t="str">
        <f t="shared" si="14"/>
        <v>ΑΜΠΕΛΩΝΕΣ ΓΙΑ ΠΑΡΑΓΩΓΗ ΟΙΝΟΥΣΟΥΠΕΡΙΟΡ ΣΙΝΤΛΕΣ (SOUPERIOR SEEDLESS) B</v>
      </c>
      <c r="B490" s="4" t="s">
        <v>590</v>
      </c>
      <c r="C490" s="5" t="s">
        <v>473</v>
      </c>
      <c r="D490" s="6">
        <v>5999.78</v>
      </c>
      <c r="E490" s="6">
        <v>4188.4799999999996</v>
      </c>
      <c r="F490" s="7" t="s">
        <v>14</v>
      </c>
      <c r="G490" s="8" t="s">
        <v>972</v>
      </c>
      <c r="H490" s="8" t="s">
        <v>16</v>
      </c>
      <c r="I490" s="9">
        <v>2220</v>
      </c>
      <c r="J490" s="10" t="s">
        <v>593</v>
      </c>
      <c r="K490" s="10">
        <v>21278</v>
      </c>
      <c r="L490" s="3" t="str">
        <f t="shared" si="15"/>
        <v>ΑΜΠΕΛΩΝΕΣ_ΓΙΑ_ΠΑΡΑΓΩΓΗ_ΟΙΝΟΥ</v>
      </c>
    </row>
    <row r="491" spans="1:12" s="3" customFormat="1" ht="24" x14ac:dyDescent="0.25">
      <c r="A491" s="3" t="str">
        <f t="shared" si="14"/>
        <v>ΑΜΠΕΛΩΝΕΣ ΓΙΑ ΠΑΡΑΓΩΓΗ ΟΙΝΟΥΑΕΤΟΝΥΧΙ ΜΑΥΡΟ</v>
      </c>
      <c r="B491" s="4" t="s">
        <v>590</v>
      </c>
      <c r="C491" s="5" t="s">
        <v>475</v>
      </c>
      <c r="D491" s="6">
        <v>5999.78</v>
      </c>
      <c r="E491" s="6">
        <v>4188.4799999999996</v>
      </c>
      <c r="F491" s="7" t="s">
        <v>14</v>
      </c>
      <c r="G491" s="8" t="s">
        <v>973</v>
      </c>
      <c r="H491" s="8" t="s">
        <v>16</v>
      </c>
      <c r="I491" s="9">
        <v>2199</v>
      </c>
      <c r="J491" s="10" t="s">
        <v>593</v>
      </c>
      <c r="K491" s="10">
        <v>22246</v>
      </c>
      <c r="L491" s="3" t="str">
        <f t="shared" si="15"/>
        <v>ΑΜΠΕΛΩΝΕΣ_ΓΙΑ_ΠΑΡΑΓΩΓΗ_ΟΙΝΟΥ</v>
      </c>
    </row>
    <row r="492" spans="1:12" s="3" customFormat="1" ht="24" x14ac:dyDescent="0.25">
      <c r="A492" s="3" t="str">
        <f t="shared" si="14"/>
        <v>ΑΜΠΕΛΩΝΕΣ ΓΙΑ ΠΑΡΑΓΩΓΗ ΟΙΝΟΥΡΑΖΑΚΙ ΜΑΥΡΟ</v>
      </c>
      <c r="B492" s="4" t="s">
        <v>590</v>
      </c>
      <c r="C492" s="5" t="s">
        <v>477</v>
      </c>
      <c r="D492" s="6">
        <v>5999.78</v>
      </c>
      <c r="E492" s="6">
        <v>4188.4799999999996</v>
      </c>
      <c r="F492" s="7" t="s">
        <v>14</v>
      </c>
      <c r="G492" s="8" t="s">
        <v>974</v>
      </c>
      <c r="H492" s="8" t="s">
        <v>16</v>
      </c>
      <c r="I492" s="9">
        <v>2213</v>
      </c>
      <c r="J492" s="10" t="s">
        <v>593</v>
      </c>
      <c r="K492" s="10">
        <v>22247</v>
      </c>
      <c r="L492" s="3" t="str">
        <f t="shared" si="15"/>
        <v>ΑΜΠΕΛΩΝΕΣ_ΓΙΑ_ΠΑΡΑΓΩΓΗ_ΟΙΝΟΥ</v>
      </c>
    </row>
    <row r="493" spans="1:12" s="3" customFormat="1" ht="24" x14ac:dyDescent="0.25">
      <c r="A493" s="3" t="str">
        <f t="shared" si="14"/>
        <v>ΑΜΠΕΛΩΝΕΣ ΓΙΑ ΠΑΡΑΓΩΓΗ ΟΙΝΟΥΑΛΦΟΝΣ ΛΑΒΑΛΕ (ALHONSE LAVALLEE)</v>
      </c>
      <c r="B493" s="4" t="s">
        <v>590</v>
      </c>
      <c r="C493" s="5" t="s">
        <v>479</v>
      </c>
      <c r="D493" s="6">
        <v>5999.78</v>
      </c>
      <c r="E493" s="6">
        <v>4188.4799999999996</v>
      </c>
      <c r="F493" s="7" t="s">
        <v>14</v>
      </c>
      <c r="G493" s="8" t="s">
        <v>975</v>
      </c>
      <c r="H493" s="8" t="s">
        <v>16</v>
      </c>
      <c r="I493" s="9">
        <v>2194</v>
      </c>
      <c r="J493" s="10" t="s">
        <v>593</v>
      </c>
      <c r="K493" s="10">
        <v>22300</v>
      </c>
      <c r="L493" s="3" t="str">
        <f t="shared" si="15"/>
        <v>ΑΜΠΕΛΩΝΕΣ_ΓΙΑ_ΠΑΡΑΓΩΓΗ_ΟΙΝΟΥ</v>
      </c>
    </row>
    <row r="494" spans="1:12" s="3" customFormat="1" ht="24" x14ac:dyDescent="0.25">
      <c r="A494" s="3" t="str">
        <f t="shared" si="14"/>
        <v>ΑΜΠΕΛΩΝΕΣ ΓΙΑ ΠΑΡΑΓΩΓΗ ΟΙΝΟΥΜΟΣΧΑΤΟ ΑΜΒΟΥΡΓΟΥ</v>
      </c>
      <c r="B494" s="4" t="s">
        <v>590</v>
      </c>
      <c r="C494" s="5" t="s">
        <v>483</v>
      </c>
      <c r="D494" s="6">
        <v>5999.78</v>
      </c>
      <c r="E494" s="6">
        <v>4188.4799999999996</v>
      </c>
      <c r="F494" s="7" t="s">
        <v>14</v>
      </c>
      <c r="G494" s="8" t="s">
        <v>976</v>
      </c>
      <c r="H494" s="8" t="s">
        <v>16</v>
      </c>
      <c r="I494" s="9">
        <v>2206</v>
      </c>
      <c r="J494" s="10" t="s">
        <v>593</v>
      </c>
      <c r="K494" s="10">
        <v>22302</v>
      </c>
      <c r="L494" s="3" t="str">
        <f t="shared" si="15"/>
        <v>ΑΜΠΕΛΩΝΕΣ_ΓΙΑ_ΠΑΡΑΓΩΓΗ_ΟΙΝΟΥ</v>
      </c>
    </row>
    <row r="495" spans="1:12" s="3" customFormat="1" ht="24" x14ac:dyDescent="0.25">
      <c r="A495" s="3" t="str">
        <f t="shared" si="14"/>
        <v>ΑΜΠΕΛΩΝΕΣ ΓΙΑ ΠΑΡΑΓΩΓΗ ΟΙΝΟΥΜΟΣΧΑΤΟ ΑΜΒΟΥΡΓΟΥ ΔΙΠΛΗΣ ΧΡΗΣΗΣ</v>
      </c>
      <c r="B495" s="4" t="s">
        <v>590</v>
      </c>
      <c r="C495" s="5" t="s">
        <v>485</v>
      </c>
      <c r="D495" s="6">
        <v>5999.78</v>
      </c>
      <c r="E495" s="6">
        <v>4188.4799999999996</v>
      </c>
      <c r="F495" s="7" t="s">
        <v>14</v>
      </c>
      <c r="G495" s="8" t="s">
        <v>977</v>
      </c>
      <c r="H495" s="8" t="s">
        <v>16</v>
      </c>
      <c r="I495" s="9">
        <v>2191</v>
      </c>
      <c r="J495" s="10" t="s">
        <v>593</v>
      </c>
      <c r="K495" s="10">
        <v>22303</v>
      </c>
      <c r="L495" s="3" t="str">
        <f t="shared" si="15"/>
        <v>ΑΜΠΕΛΩΝΕΣ_ΓΙΑ_ΠΑΡΑΓΩΓΗ_ΟΙΝΟΥ</v>
      </c>
    </row>
    <row r="496" spans="1:12" s="3" customFormat="1" ht="24" x14ac:dyDescent="0.25">
      <c r="A496" s="3" t="str">
        <f t="shared" si="14"/>
        <v>ΑΜΠΕΛΩΝΕΣ ΓΙΑ ΠΑΡΑΓΩΓΗ ΟΙΝΟΥΑΤΤΙΚΗ</v>
      </c>
      <c r="B496" s="4" t="s">
        <v>590</v>
      </c>
      <c r="C496" s="5" t="s">
        <v>489</v>
      </c>
      <c r="D496" s="6">
        <v>5999.78</v>
      </c>
      <c r="E496" s="6">
        <v>4188.4799999999996</v>
      </c>
      <c r="F496" s="7" t="s">
        <v>14</v>
      </c>
      <c r="G496" s="8" t="s">
        <v>978</v>
      </c>
      <c r="H496" s="8" t="s">
        <v>16</v>
      </c>
      <c r="I496" s="9">
        <v>2202</v>
      </c>
      <c r="J496" s="10" t="s">
        <v>593</v>
      </c>
      <c r="K496" s="10">
        <v>22306</v>
      </c>
      <c r="L496" s="3" t="str">
        <f t="shared" si="15"/>
        <v>ΑΜΠΕΛΩΝΕΣ_ΓΙΑ_ΠΑΡΑΓΩΓΗ_ΟΙΝΟΥ</v>
      </c>
    </row>
    <row r="497" spans="1:12" s="3" customFormat="1" ht="24" x14ac:dyDescent="0.25">
      <c r="A497" s="3" t="str">
        <f t="shared" si="14"/>
        <v>ΑΜΠΕΛΩΝΕΣ ΓΙΑ ΠΑΡΑΓΩΓΗ ΟΙΝΟΥΠΕΡΛΟΝ</v>
      </c>
      <c r="B497" s="4" t="s">
        <v>590</v>
      </c>
      <c r="C497" s="5" t="s">
        <v>493</v>
      </c>
      <c r="D497" s="6">
        <v>5999.78</v>
      </c>
      <c r="E497" s="6">
        <v>4188.4799999999996</v>
      </c>
      <c r="F497" s="7" t="s">
        <v>14</v>
      </c>
      <c r="G497" s="8" t="s">
        <v>979</v>
      </c>
      <c r="H497" s="8" t="s">
        <v>16</v>
      </c>
      <c r="I497" s="9">
        <v>2205</v>
      </c>
      <c r="J497" s="10" t="s">
        <v>593</v>
      </c>
      <c r="K497" s="10">
        <v>22308</v>
      </c>
      <c r="L497" s="3" t="str">
        <f t="shared" si="15"/>
        <v>ΑΜΠΕΛΩΝΕΣ_ΓΙΑ_ΠΑΡΑΓΩΓΗ_ΟΙΝΟΥ</v>
      </c>
    </row>
    <row r="498" spans="1:12" s="3" customFormat="1" ht="24" x14ac:dyDescent="0.25">
      <c r="A498" s="3" t="str">
        <f t="shared" si="14"/>
        <v>ΑΜΠΕΛΩΝΕΣ ΓΙΑ ΠΑΡΑΓΩΓΗ ΟΙΝΟΥΚΑΡΝΤΙΝΑΛ (CARDINAL)</v>
      </c>
      <c r="B498" s="4" t="s">
        <v>590</v>
      </c>
      <c r="C498" s="5" t="s">
        <v>495</v>
      </c>
      <c r="D498" s="6">
        <v>5999.78</v>
      </c>
      <c r="E498" s="6">
        <v>4188.4799999999996</v>
      </c>
      <c r="F498" s="7" t="s">
        <v>14</v>
      </c>
      <c r="G498" s="8" t="s">
        <v>980</v>
      </c>
      <c r="H498" s="8" t="s">
        <v>16</v>
      </c>
      <c r="I498" s="9">
        <v>2111</v>
      </c>
      <c r="J498" s="10" t="s">
        <v>593</v>
      </c>
      <c r="K498" s="10">
        <v>23350</v>
      </c>
      <c r="L498" s="3" t="str">
        <f t="shared" si="15"/>
        <v>ΑΜΠΕΛΩΝΕΣ_ΓΙΑ_ΠΑΡΑΓΩΓΗ_ΟΙΝΟΥ</v>
      </c>
    </row>
    <row r="499" spans="1:12" s="3" customFormat="1" ht="24" x14ac:dyDescent="0.25">
      <c r="A499" s="3" t="str">
        <f t="shared" si="14"/>
        <v>ΑΜΠΕΛΩΝΕΣ ΓΙΑ ΠΑΡΑΓΩΓΗ ΟΙΝΟΥΣΙΔΕΡΙΤΗΣ Δ.Χ</v>
      </c>
      <c r="B499" s="4" t="s">
        <v>590</v>
      </c>
      <c r="C499" s="5" t="s">
        <v>499</v>
      </c>
      <c r="D499" s="6">
        <v>5999.78</v>
      </c>
      <c r="E499" s="6">
        <v>4188.4799999999996</v>
      </c>
      <c r="F499" s="7" t="s">
        <v>14</v>
      </c>
      <c r="G499" s="8" t="s">
        <v>981</v>
      </c>
      <c r="H499" s="8" t="s">
        <v>16</v>
      </c>
      <c r="I499" s="9">
        <v>2115</v>
      </c>
      <c r="J499" s="10" t="s">
        <v>593</v>
      </c>
      <c r="K499" s="10">
        <v>23352</v>
      </c>
      <c r="L499" s="3" t="str">
        <f t="shared" si="15"/>
        <v>ΑΜΠΕΛΩΝΕΣ_ΓΙΑ_ΠΑΡΑΓΩΓΗ_ΟΙΝΟΥ</v>
      </c>
    </row>
    <row r="500" spans="1:12" s="3" customFormat="1" ht="24" x14ac:dyDescent="0.25">
      <c r="A500" s="3" t="str">
        <f t="shared" si="14"/>
        <v>ΑΜΠΕΛΩΝΕΣ ΓΙΑ ΠΑΡΑΓΩΓΗ ΟΙΝΟΥΦΡΑΟΥΛΑ</v>
      </c>
      <c r="B500" s="4" t="s">
        <v>590</v>
      </c>
      <c r="C500" s="5" t="s">
        <v>501</v>
      </c>
      <c r="D500" s="6">
        <v>5999.78</v>
      </c>
      <c r="E500" s="6">
        <v>4188.4799999999996</v>
      </c>
      <c r="F500" s="7" t="s">
        <v>14</v>
      </c>
      <c r="G500" s="8" t="s">
        <v>982</v>
      </c>
      <c r="H500" s="8" t="s">
        <v>16</v>
      </c>
      <c r="I500" s="9">
        <v>2117</v>
      </c>
      <c r="J500" s="10" t="s">
        <v>593</v>
      </c>
      <c r="K500" s="10">
        <v>23353</v>
      </c>
      <c r="L500" s="3" t="str">
        <f t="shared" si="15"/>
        <v>ΑΜΠΕΛΩΝΕΣ_ΓΙΑ_ΠΑΡΑΓΩΓΗ_ΟΙΝΟΥ</v>
      </c>
    </row>
    <row r="501" spans="1:12" s="3" customFormat="1" ht="24" x14ac:dyDescent="0.25">
      <c r="A501" s="3" t="str">
        <f t="shared" si="14"/>
        <v>ΑΜΠΕΛΩΝΕΣ ΓΙΑ ΠΑΡΑΓΩΓΗ ΟΙΝΟΥΙΘΑΚΗ</v>
      </c>
      <c r="B501" s="4" t="s">
        <v>590</v>
      </c>
      <c r="C501" s="5" t="s">
        <v>481</v>
      </c>
      <c r="D501" s="6">
        <v>5999.78</v>
      </c>
      <c r="E501" s="6">
        <v>4188.4799999999996</v>
      </c>
      <c r="F501" s="7" t="s">
        <v>14</v>
      </c>
      <c r="G501" s="8" t="s">
        <v>983</v>
      </c>
      <c r="H501" s="8" t="s">
        <v>16</v>
      </c>
      <c r="I501" s="9">
        <v>2119</v>
      </c>
      <c r="J501" s="10" t="s">
        <v>593</v>
      </c>
      <c r="K501" s="10">
        <v>23355</v>
      </c>
      <c r="L501" s="3" t="str">
        <f t="shared" si="15"/>
        <v>ΑΜΠΕΛΩΝΕΣ_ΓΙΑ_ΠΑΡΑΓΩΓΗ_ΟΙΝΟΥ</v>
      </c>
    </row>
    <row r="502" spans="1:12" s="3" customFormat="1" ht="24" x14ac:dyDescent="0.25">
      <c r="A502" s="3" t="str">
        <f t="shared" si="14"/>
        <v>ΑΜΠΕΛΩΝΕΣ ΓΙΑ ΠΑΡΑΓΩΓΗ ΟΙΝΟΥΣΟΥΛΤΑΝΙΝΑ Δ.Χ</v>
      </c>
      <c r="B502" s="4" t="s">
        <v>590</v>
      </c>
      <c r="C502" s="5" t="s">
        <v>984</v>
      </c>
      <c r="D502" s="6">
        <v>5999.78</v>
      </c>
      <c r="E502" s="6">
        <v>4188.4799999999996</v>
      </c>
      <c r="F502" s="7" t="s">
        <v>14</v>
      </c>
      <c r="G502" s="8" t="s">
        <v>985</v>
      </c>
      <c r="H502" s="8" t="s">
        <v>16</v>
      </c>
      <c r="I502" s="9">
        <v>2142</v>
      </c>
      <c r="J502" s="10" t="s">
        <v>593</v>
      </c>
      <c r="K502" s="10">
        <v>31501</v>
      </c>
      <c r="L502" s="3" t="str">
        <f t="shared" si="15"/>
        <v>ΑΜΠΕΛΩΝΕΣ_ΓΙΑ_ΠΑΡΑΓΩΓΗ_ΟΙΝΟΥ</v>
      </c>
    </row>
    <row r="503" spans="1:12" s="3" customFormat="1" ht="24" x14ac:dyDescent="0.25">
      <c r="A503" s="3" t="str">
        <f t="shared" si="14"/>
        <v>ΑΜΠΕΛΩΝΕΣ ΓΙΑ ΠΑΡΑΓΩΓΗ ΟΙΝΟΥΣΟΥΛΤΑΝΙΝΑ Τ.Χ</v>
      </c>
      <c r="B503" s="4" t="s">
        <v>590</v>
      </c>
      <c r="C503" s="5" t="s">
        <v>986</v>
      </c>
      <c r="D503" s="6">
        <v>5999.78</v>
      </c>
      <c r="E503" s="6">
        <v>4188.4799999999996</v>
      </c>
      <c r="F503" s="7" t="s">
        <v>14</v>
      </c>
      <c r="G503" s="8" t="s">
        <v>987</v>
      </c>
      <c r="H503" s="8" t="s">
        <v>16</v>
      </c>
      <c r="I503" s="9">
        <v>2141</v>
      </c>
      <c r="J503" s="10" t="s">
        <v>593</v>
      </c>
      <c r="K503" s="10">
        <v>31502</v>
      </c>
      <c r="L503" s="3" t="str">
        <f t="shared" si="15"/>
        <v>ΑΜΠΕΛΩΝΕΣ_ΓΙΑ_ΠΑΡΑΓΩΓΗ_ΟΙΝΟΥ</v>
      </c>
    </row>
    <row r="504" spans="1:12" s="3" customFormat="1" ht="24" x14ac:dyDescent="0.25">
      <c r="A504" s="3" t="str">
        <f t="shared" si="14"/>
        <v>ΑΜΠΕΛΩΝΕΣ ΓΙΑ ΠΑΡΑΓΩΓΗ ΟΙΝΟΥΚΟΡΙΝΘΙΑΚΗ Δ.Χ</v>
      </c>
      <c r="B504" s="4" t="s">
        <v>590</v>
      </c>
      <c r="C504" s="5" t="s">
        <v>988</v>
      </c>
      <c r="D504" s="6">
        <v>5999.78</v>
      </c>
      <c r="E504" s="6">
        <v>4188.4799999999996</v>
      </c>
      <c r="F504" s="7" t="s">
        <v>14</v>
      </c>
      <c r="G504" s="8" t="s">
        <v>989</v>
      </c>
      <c r="H504" s="8" t="s">
        <v>16</v>
      </c>
      <c r="I504" s="9">
        <v>2140</v>
      </c>
      <c r="J504" s="10" t="s">
        <v>593</v>
      </c>
      <c r="K504" s="10">
        <v>32511</v>
      </c>
      <c r="L504" s="3" t="str">
        <f t="shared" si="15"/>
        <v>ΑΜΠΕΛΩΝΕΣ_ΓΙΑ_ΠΑΡΑΓΩΓΗ_ΟΙΝΟΥ</v>
      </c>
    </row>
    <row r="505" spans="1:12" s="3" customFormat="1" ht="24" x14ac:dyDescent="0.25">
      <c r="A505" s="3" t="str">
        <f t="shared" si="14"/>
        <v>ΑΜΠΕΛΩΝΕΣ ΓΙΑ ΠΑΡΑΓΩΓΗ ΟΙΝΟΥΤΣΑΠΟΥΡΝΟ Ν</v>
      </c>
      <c r="B505" s="4" t="s">
        <v>590</v>
      </c>
      <c r="C505" s="5" t="s">
        <v>990</v>
      </c>
      <c r="D505" s="6">
        <v>5999.78</v>
      </c>
      <c r="E505" s="6">
        <v>4188.4799999999996</v>
      </c>
      <c r="F505" s="7" t="s">
        <v>14</v>
      </c>
      <c r="G505" s="8" t="s">
        <v>991</v>
      </c>
      <c r="H505" s="8" t="s">
        <v>16</v>
      </c>
      <c r="I505" s="9">
        <v>2162</v>
      </c>
      <c r="J505" s="10" t="s">
        <v>593</v>
      </c>
      <c r="K505" s="10">
        <v>362001</v>
      </c>
      <c r="L505" s="3" t="str">
        <f t="shared" si="15"/>
        <v>ΑΜΠΕΛΩΝΕΣ_ΓΙΑ_ΠΑΡΑΓΩΓΗ_ΟΙΝΟΥ</v>
      </c>
    </row>
    <row r="506" spans="1:12" s="3" customFormat="1" ht="24" x14ac:dyDescent="0.25">
      <c r="A506" s="3" t="str">
        <f t="shared" si="14"/>
        <v>ΑΜΠΕΛΩΝΕΣ ΓΙΑ ΠΑΡΑΓΩΓΗ ΟΙΝΟΥAGLIANICO N</v>
      </c>
      <c r="B506" s="4" t="s">
        <v>590</v>
      </c>
      <c r="C506" s="5" t="s">
        <v>992</v>
      </c>
      <c r="D506" s="28">
        <v>5999.78</v>
      </c>
      <c r="E506" s="28">
        <v>4188.4799999999996</v>
      </c>
      <c r="F506" s="7" t="s">
        <v>14</v>
      </c>
      <c r="G506" s="8" t="s">
        <v>993</v>
      </c>
      <c r="H506" s="8" t="s">
        <v>16</v>
      </c>
      <c r="I506" s="9">
        <v>2164</v>
      </c>
      <c r="J506" s="10" t="s">
        <v>593</v>
      </c>
      <c r="K506" s="10">
        <v>362002</v>
      </c>
      <c r="L506" s="3" t="str">
        <f t="shared" si="15"/>
        <v>ΑΜΠΕΛΩΝΕΣ_ΓΙΑ_ΠΑΡΑΓΩΓΗ_ΟΙΝΟΥ</v>
      </c>
    </row>
    <row r="507" spans="1:12" s="3" customFormat="1" ht="24" x14ac:dyDescent="0.25">
      <c r="A507" s="3" t="str">
        <f t="shared" si="14"/>
        <v>ΑΜΠΕΛΩΝΕΣ ΓΙΑ ΠΑΡΑΓΩΓΗ ΟΙΝΟΥVERDICCHIO BIANCO B</v>
      </c>
      <c r="B507" s="4" t="s">
        <v>590</v>
      </c>
      <c r="C507" s="5" t="s">
        <v>994</v>
      </c>
      <c r="D507" s="28">
        <v>5999.78</v>
      </c>
      <c r="E507" s="28">
        <v>4188.4799999999996</v>
      </c>
      <c r="F507" s="7" t="s">
        <v>14</v>
      </c>
      <c r="G507" s="8" t="s">
        <v>995</v>
      </c>
      <c r="H507" s="8" t="s">
        <v>16</v>
      </c>
      <c r="I507" s="9">
        <v>2166</v>
      </c>
      <c r="J507" s="10" t="s">
        <v>593</v>
      </c>
      <c r="K507" s="10">
        <v>362003</v>
      </c>
      <c r="L507" s="3" t="str">
        <f t="shared" si="15"/>
        <v>ΑΜΠΕΛΩΝΕΣ_ΓΙΑ_ΠΑΡΑΓΩΓΗ_ΟΙΝΟΥ</v>
      </c>
    </row>
    <row r="508" spans="1:12" s="3" customFormat="1" ht="24" x14ac:dyDescent="0.25">
      <c r="A508" s="3" t="str">
        <f t="shared" si="14"/>
        <v>ΑΜΠΕΛΩΝΕΣ ΓΙΑ ΠΑΡΑΓΩΓΗ ΟΙΝΟΥVIOGNIER B</v>
      </c>
      <c r="B508" s="23" t="s">
        <v>590</v>
      </c>
      <c r="C508" s="24" t="s">
        <v>996</v>
      </c>
      <c r="D508" s="28">
        <v>5999.78</v>
      </c>
      <c r="E508" s="28">
        <v>4188.4799999999996</v>
      </c>
      <c r="F508" s="29" t="s">
        <v>14</v>
      </c>
      <c r="G508" s="8" t="s">
        <v>997</v>
      </c>
      <c r="H508" s="8" t="s">
        <v>16</v>
      </c>
      <c r="I508" s="9">
        <v>5340</v>
      </c>
      <c r="J508" s="26">
        <v>36.200000000000003</v>
      </c>
      <c r="K508" s="27">
        <v>362004</v>
      </c>
      <c r="L508" s="3" t="str">
        <f t="shared" si="15"/>
        <v>ΑΜΠΕΛΩΝΕΣ_ΓΙΑ_ΠΑΡΑΓΩΓΗ_ΟΙΝΟΥ</v>
      </c>
    </row>
    <row r="509" spans="1:12" s="3" customFormat="1" x14ac:dyDescent="0.25">
      <c r="A509" s="3" t="str">
        <f t="shared" si="14"/>
        <v>ΑΜΠΕΛΩΝΕΣ ΓΙΑ ΠΑΡΑΓΩΓΗ ΟΙΝΟΥΚΟΪΝΙΆΡΙΚΟ Ν</v>
      </c>
      <c r="B509" s="23" t="s">
        <v>590</v>
      </c>
      <c r="C509" s="24" t="s">
        <v>998</v>
      </c>
      <c r="D509" s="28">
        <v>5999.78</v>
      </c>
      <c r="E509" s="28">
        <v>4188.4799999999996</v>
      </c>
      <c r="F509" s="7" t="s">
        <v>14</v>
      </c>
      <c r="G509" s="30" t="s">
        <v>999</v>
      </c>
      <c r="H509" s="31" t="s">
        <v>577</v>
      </c>
      <c r="I509" s="9">
        <v>5991</v>
      </c>
      <c r="J509" s="30" t="s">
        <v>593</v>
      </c>
      <c r="K509" s="30">
        <v>362005</v>
      </c>
      <c r="L509" s="3" t="str">
        <f t="shared" si="15"/>
        <v>ΑΜΠΕΛΩΝΕΣ_ΓΙΑ_ΠΑΡΑΓΩΓΗ_ΟΙΝΟΥ</v>
      </c>
    </row>
    <row r="510" spans="1:12" s="3" customFormat="1" x14ac:dyDescent="0.25">
      <c r="A510" s="3" t="str">
        <f t="shared" si="14"/>
        <v>ΑΜΠΕΛΩΝΕΣ ΓΙΑ ΠΑΡΑΓΩΓΗ ΟΙΝΟΥΜΑΛΟΥΚΑΤΟ</v>
      </c>
      <c r="B510" s="23" t="s">
        <v>590</v>
      </c>
      <c r="C510" s="24" t="s">
        <v>1000</v>
      </c>
      <c r="D510" s="28">
        <v>5999.78</v>
      </c>
      <c r="E510" s="28">
        <v>4188.4799999999996</v>
      </c>
      <c r="F510" s="7" t="s">
        <v>14</v>
      </c>
      <c r="G510" s="30" t="s">
        <v>1001</v>
      </c>
      <c r="H510" s="31" t="s">
        <v>577</v>
      </c>
      <c r="I510" s="9">
        <v>6063</v>
      </c>
      <c r="J510" s="30" t="s">
        <v>593</v>
      </c>
      <c r="K510" s="30">
        <v>362007</v>
      </c>
      <c r="L510" s="3" t="str">
        <f t="shared" si="15"/>
        <v>ΑΜΠΕΛΩΝΕΣ_ΓΙΑ_ΠΑΡΑΓΩΓΗ_ΟΙΝΟΥ</v>
      </c>
    </row>
    <row r="511" spans="1:12" s="3" customFormat="1" ht="24" x14ac:dyDescent="0.25">
      <c r="A511" s="3" t="str">
        <f t="shared" si="14"/>
        <v>ΑΜΠΕΛΩΝΕΣ ΓΙΑ ΠΑΡΑΓΩΓΗ ΟΙΝΟΥΧΙΔΗΡΙΩΤΙΚΟ Ν  (ΚΑΛΛΟΝΙΑΤΙΚΟ)</v>
      </c>
      <c r="B511" s="4" t="s">
        <v>590</v>
      </c>
      <c r="C511" s="5" t="s">
        <v>1002</v>
      </c>
      <c r="D511" s="6">
        <v>5999.78</v>
      </c>
      <c r="E511" s="6">
        <v>4188.4799999999996</v>
      </c>
      <c r="F511" s="7" t="s">
        <v>14</v>
      </c>
      <c r="G511" s="8" t="s">
        <v>1003</v>
      </c>
      <c r="H511" s="8" t="s">
        <v>16</v>
      </c>
      <c r="I511" s="9">
        <v>2139</v>
      </c>
      <c r="J511" s="10" t="s">
        <v>593</v>
      </c>
      <c r="K511" s="10">
        <v>36201</v>
      </c>
      <c r="L511" s="3" t="str">
        <f t="shared" si="15"/>
        <v>ΑΜΠΕΛΩΝΕΣ_ΓΙΑ_ΠΑΡΑΓΩΓΗ_ΟΙΝΟΥ</v>
      </c>
    </row>
    <row r="512" spans="1:12" s="3" customFormat="1" ht="24" x14ac:dyDescent="0.25">
      <c r="A512" s="3" t="str">
        <f t="shared" si="14"/>
        <v>ΑΜΠΕΛΩΝΕΣ ΓΙΑ ΠΑΡΑΓΩΓΗ ΟΙΝΟΥΜΟΣΧΑΤΟ ΜΑΥΡΟ</v>
      </c>
      <c r="B512" s="4" t="s">
        <v>590</v>
      </c>
      <c r="C512" s="5" t="s">
        <v>1004</v>
      </c>
      <c r="D512" s="6">
        <v>5999.78</v>
      </c>
      <c r="E512" s="6">
        <v>4188.4799999999996</v>
      </c>
      <c r="F512" s="7" t="s">
        <v>14</v>
      </c>
      <c r="G512" s="8" t="s">
        <v>1005</v>
      </c>
      <c r="H512" s="8" t="s">
        <v>16</v>
      </c>
      <c r="I512" s="9">
        <v>2138</v>
      </c>
      <c r="J512" s="10" t="s">
        <v>593</v>
      </c>
      <c r="K512" s="10">
        <v>36202</v>
      </c>
      <c r="L512" s="3" t="str">
        <f t="shared" si="15"/>
        <v>ΑΜΠΕΛΩΝΕΣ_ΓΙΑ_ΠΑΡΑΓΩΓΗ_ΟΙΝΟΥ</v>
      </c>
    </row>
    <row r="513" spans="1:12" s="3" customFormat="1" ht="24" x14ac:dyDescent="0.25">
      <c r="A513" s="3" t="str">
        <f t="shared" si="14"/>
        <v>ΑΜΠΕΛΩΝΕΣ ΓΙΑ ΠΑΡΑΓΩΓΗ ΟΙΝΟΥMONTEPULCIANO</v>
      </c>
      <c r="B513" s="4" t="s">
        <v>590</v>
      </c>
      <c r="C513" s="5" t="s">
        <v>1006</v>
      </c>
      <c r="D513" s="28">
        <v>5999.78</v>
      </c>
      <c r="E513" s="28">
        <v>4188.4799999999996</v>
      </c>
      <c r="F513" s="7" t="s">
        <v>14</v>
      </c>
      <c r="G513" s="8" t="s">
        <v>1007</v>
      </c>
      <c r="H513" s="8" t="s">
        <v>16</v>
      </c>
      <c r="I513" s="9">
        <v>2137</v>
      </c>
      <c r="J513" s="10" t="s">
        <v>593</v>
      </c>
      <c r="K513" s="10">
        <v>36203</v>
      </c>
      <c r="L513" s="3" t="str">
        <f t="shared" si="15"/>
        <v>ΑΜΠΕΛΩΝΕΣ_ΓΙΑ_ΠΑΡΑΓΩΓΗ_ΟΙΝΟΥ</v>
      </c>
    </row>
    <row r="514" spans="1:12" s="3" customFormat="1" ht="24" x14ac:dyDescent="0.25">
      <c r="A514" s="3" t="str">
        <f t="shared" si="14"/>
        <v>ΑΜΠΕΛΩΝΕΣ ΓΙΑ ΠΑΡΑΓΩΓΗ ΟΙΝΟΥCΟΤ (MALBEC)</v>
      </c>
      <c r="B514" s="4" t="s">
        <v>590</v>
      </c>
      <c r="C514" s="5" t="s">
        <v>1008</v>
      </c>
      <c r="D514" s="28">
        <v>5999.78</v>
      </c>
      <c r="E514" s="28">
        <v>4188.4799999999996</v>
      </c>
      <c r="F514" s="7" t="s">
        <v>14</v>
      </c>
      <c r="G514" s="8" t="s">
        <v>1009</v>
      </c>
      <c r="H514" s="8" t="s">
        <v>16</v>
      </c>
      <c r="I514" s="9">
        <v>2128</v>
      </c>
      <c r="J514" s="10" t="s">
        <v>593</v>
      </c>
      <c r="K514" s="10">
        <v>36204</v>
      </c>
      <c r="L514" s="3" t="str">
        <f t="shared" si="15"/>
        <v>ΑΜΠΕΛΩΝΕΣ_ΓΙΑ_ΠΑΡΑΓΩΓΗ_ΟΙΝΟΥ</v>
      </c>
    </row>
    <row r="515" spans="1:12" s="3" customFormat="1" ht="24" x14ac:dyDescent="0.25">
      <c r="A515" s="3" t="str">
        <f t="shared" ref="A515:A578" si="16">_xlfn.CONCAT(B515,C515)</f>
        <v>ΑΜΠΕΛΩΝΕΣ ΓΙΑ ΠΑΡΑΓΩΓΗ ΟΙΝΟΥTANNAT N</v>
      </c>
      <c r="B515" s="4" t="s">
        <v>590</v>
      </c>
      <c r="C515" s="5" t="s">
        <v>1010</v>
      </c>
      <c r="D515" s="28">
        <v>5999.78</v>
      </c>
      <c r="E515" s="28">
        <v>4188.4799999999996</v>
      </c>
      <c r="F515" s="7" t="s">
        <v>14</v>
      </c>
      <c r="G515" s="8" t="s">
        <v>1011</v>
      </c>
      <c r="H515" s="8" t="s">
        <v>16</v>
      </c>
      <c r="I515" s="9">
        <v>2135</v>
      </c>
      <c r="J515" s="10" t="s">
        <v>593</v>
      </c>
      <c r="K515" s="10">
        <v>36205</v>
      </c>
      <c r="L515" s="3" t="str">
        <f t="shared" ref="L515:L578" si="17">IFERROR(SUBSTITUTE(SUBSTITUTE(SUBSTITUTE(SUBSTITUTE(SUBSTITUTE(B515, "-", "_"), " ", "_"), ",", ""), "(", ""), ")", ""), B515)</f>
        <v>ΑΜΠΕΛΩΝΕΣ_ΓΙΑ_ΠΑΡΑΓΩΓΗ_ΟΙΝΟΥ</v>
      </c>
    </row>
    <row r="516" spans="1:12" s="3" customFormat="1" ht="24" x14ac:dyDescent="0.25">
      <c r="A516" s="3" t="str">
        <f t="shared" si="16"/>
        <v>ΑΜΠΕΛΩΝΕΣ ΓΙΑ ΠΑΡΑΓΩΓΗ ΟΙΝΟΥΨΑΡΟΣΥΡΙΚΟ Ν</v>
      </c>
      <c r="B516" s="4" t="s">
        <v>590</v>
      </c>
      <c r="C516" s="5" t="s">
        <v>1012</v>
      </c>
      <c r="D516" s="6">
        <v>5999.78</v>
      </c>
      <c r="E516" s="6">
        <v>4188.4799999999996</v>
      </c>
      <c r="F516" s="7" t="s">
        <v>14</v>
      </c>
      <c r="G516" s="8" t="s">
        <v>1013</v>
      </c>
      <c r="H516" s="8" t="s">
        <v>16</v>
      </c>
      <c r="I516" s="9">
        <v>2143</v>
      </c>
      <c r="J516" s="10" t="s">
        <v>593</v>
      </c>
      <c r="K516" s="10">
        <v>36206</v>
      </c>
      <c r="L516" s="3" t="str">
        <f t="shared" si="17"/>
        <v>ΑΜΠΕΛΩΝΕΣ_ΓΙΑ_ΠΑΡΑΓΩΓΗ_ΟΙΝΟΥ</v>
      </c>
    </row>
    <row r="517" spans="1:12" s="3" customFormat="1" ht="24" x14ac:dyDescent="0.25">
      <c r="A517" s="3" t="str">
        <f t="shared" si="16"/>
        <v>ΑΜΠΕΛΩΝΕΣ ΓΙΑ ΠΑΡΑΓΩΓΗ ΟΙΝΟΥGEWURZTRAMINER RS</v>
      </c>
      <c r="B517" s="4" t="s">
        <v>590</v>
      </c>
      <c r="C517" s="5" t="s">
        <v>1014</v>
      </c>
      <c r="D517" s="28">
        <v>5999.78</v>
      </c>
      <c r="E517" s="28">
        <v>4188.4799999999996</v>
      </c>
      <c r="F517" s="7" t="s">
        <v>14</v>
      </c>
      <c r="G517" s="8" t="s">
        <v>1015</v>
      </c>
      <c r="H517" s="8" t="s">
        <v>16</v>
      </c>
      <c r="I517" s="9">
        <v>2133</v>
      </c>
      <c r="J517" s="10" t="s">
        <v>593</v>
      </c>
      <c r="K517" s="10">
        <v>36207</v>
      </c>
      <c r="L517" s="3" t="str">
        <f t="shared" si="17"/>
        <v>ΑΜΠΕΛΩΝΕΣ_ΓΙΑ_ΠΑΡΑΓΩΓΗ_ΟΙΝΟΥ</v>
      </c>
    </row>
    <row r="518" spans="1:12" s="3" customFormat="1" ht="24" x14ac:dyDescent="0.25">
      <c r="A518" s="3" t="str">
        <f t="shared" si="16"/>
        <v>ΑΜΠΕΛΩΝΕΣ ΓΙΑ ΠΑΡΑΓΩΓΗ ΟΙΝΟΥGRECANICO B</v>
      </c>
      <c r="B518" s="4" t="s">
        <v>590</v>
      </c>
      <c r="C518" s="5" t="s">
        <v>1016</v>
      </c>
      <c r="D518" s="28">
        <v>5999.78</v>
      </c>
      <c r="E518" s="28">
        <v>4188.4799999999996</v>
      </c>
      <c r="F518" s="7" t="s">
        <v>14</v>
      </c>
      <c r="G518" s="8" t="s">
        <v>1017</v>
      </c>
      <c r="H518" s="8" t="s">
        <v>16</v>
      </c>
      <c r="I518" s="9">
        <v>2132</v>
      </c>
      <c r="J518" s="10" t="s">
        <v>593</v>
      </c>
      <c r="K518" s="10">
        <v>36208</v>
      </c>
      <c r="L518" s="3" t="str">
        <f t="shared" si="17"/>
        <v>ΑΜΠΕΛΩΝΕΣ_ΓΙΑ_ΠΑΡΑΓΩΓΗ_ΟΙΝΟΥ</v>
      </c>
    </row>
    <row r="519" spans="1:12" s="3" customFormat="1" ht="24" x14ac:dyDescent="0.25">
      <c r="A519" s="3" t="str">
        <f t="shared" si="16"/>
        <v>ΑΜΠΕΛΩΝΕΣ ΓΙΑ ΠΑΡΑΓΩΓΗ ΟΙΝΟΥΥΒΡΙΔΙΑ</v>
      </c>
      <c r="B519" s="4" t="s">
        <v>590</v>
      </c>
      <c r="C519" s="5" t="s">
        <v>1018</v>
      </c>
      <c r="D519" s="6">
        <v>5999.78</v>
      </c>
      <c r="E519" s="6">
        <v>4188.4799999999996</v>
      </c>
      <c r="F519" s="7" t="s">
        <v>14</v>
      </c>
      <c r="G519" s="8" t="s">
        <v>1019</v>
      </c>
      <c r="H519" s="8" t="s">
        <v>16</v>
      </c>
      <c r="I519" s="9">
        <v>1998</v>
      </c>
      <c r="J519" s="10" t="s">
        <v>593</v>
      </c>
      <c r="K519" s="10">
        <v>40520</v>
      </c>
      <c r="L519" s="3" t="str">
        <f t="shared" si="17"/>
        <v>ΑΜΠΕΛΩΝΕΣ_ΓΙΑ_ΠΑΡΑΓΩΓΗ_ΟΙΝΟΥ</v>
      </c>
    </row>
    <row r="520" spans="1:12" s="3" customFormat="1" ht="24" x14ac:dyDescent="0.25">
      <c r="A520" s="3" t="str">
        <f t="shared" si="16"/>
        <v>ΑΜΠΕΛΩΝΕΣ ΓΙΑ ΠΑΡΑΓΩΓΗ ΟΙΝΟΥΕΚΤΑΣΗ ΥΠΟ ΕΜΒΟΛΙΑΣΜ</v>
      </c>
      <c r="B520" s="4" t="s">
        <v>590</v>
      </c>
      <c r="C520" s="5" t="s">
        <v>1020</v>
      </c>
      <c r="D520" s="6">
        <v>5999.78</v>
      </c>
      <c r="E520" s="6">
        <v>4188.4799999999996</v>
      </c>
      <c r="F520" s="7" t="s">
        <v>14</v>
      </c>
      <c r="G520" s="8" t="s">
        <v>1021</v>
      </c>
      <c r="H520" s="8" t="s">
        <v>16</v>
      </c>
      <c r="I520" s="9">
        <v>1997</v>
      </c>
      <c r="J520" s="10" t="s">
        <v>593</v>
      </c>
      <c r="K520" s="10">
        <v>40523</v>
      </c>
      <c r="L520" s="3" t="str">
        <f t="shared" si="17"/>
        <v>ΑΜΠΕΛΩΝΕΣ_ΓΙΑ_ΠΑΡΑΓΩΓΗ_ΟΙΝΟΥ</v>
      </c>
    </row>
    <row r="521" spans="1:12" s="3" customFormat="1" ht="31.5" x14ac:dyDescent="0.25">
      <c r="A521" s="3" t="str">
        <f t="shared" si="16"/>
        <v>ΑΜΠΕΛΩΝΕΣ ΓΙΑ ΠΑΡΑΓΩΓΗ ΟΙΝΟΥΠΟΠ-ΑΜΠΕΛΩΝΕΣ ΓΙΑ ΠΑΡΑΓΩΓΗ ΟΙΝΩΝ ΠΟΙΟΤΗΤΑΣ</v>
      </c>
      <c r="B521" s="4" t="s">
        <v>590</v>
      </c>
      <c r="C521" s="5" t="s">
        <v>1022</v>
      </c>
      <c r="D521" s="6">
        <v>7532.49</v>
      </c>
      <c r="E521" s="6">
        <v>7278.62</v>
      </c>
      <c r="F521" s="7" t="s">
        <v>14</v>
      </c>
      <c r="G521" s="8" t="s">
        <v>1023</v>
      </c>
      <c r="H521" s="8" t="s">
        <v>16</v>
      </c>
      <c r="I521" s="9">
        <v>2114</v>
      </c>
      <c r="J521" s="10" t="s">
        <v>593</v>
      </c>
      <c r="K521" s="10">
        <v>6005</v>
      </c>
      <c r="L521" s="3" t="str">
        <f t="shared" si="17"/>
        <v>ΑΜΠΕΛΩΝΕΣ_ΓΙΑ_ΠΑΡΑΓΩΓΗ_ΟΙΝΟΥ</v>
      </c>
    </row>
    <row r="522" spans="1:12" s="3" customFormat="1" ht="24" x14ac:dyDescent="0.25">
      <c r="A522" s="3" t="str">
        <f t="shared" si="16"/>
        <v>ΑΜΠΕΛΩΝΕΣ ΓΙΑ ΠΑΡΑΓΩΓΗ ΟΙΝΟΥΜΟΣΧΑΤΟ ΑΛΕΞ/ΡΕΙΑΣ</v>
      </c>
      <c r="B522" s="4" t="s">
        <v>590</v>
      </c>
      <c r="C522" s="5" t="s">
        <v>1024</v>
      </c>
      <c r="D522" s="6">
        <v>5999.78</v>
      </c>
      <c r="E522" s="6">
        <v>4188.4799999999996</v>
      </c>
      <c r="F522" s="7" t="s">
        <v>14</v>
      </c>
      <c r="G522" s="8" t="s">
        <v>1025</v>
      </c>
      <c r="H522" s="8" t="s">
        <v>16</v>
      </c>
      <c r="I522" s="9">
        <v>2073</v>
      </c>
      <c r="J522" s="10" t="s">
        <v>593</v>
      </c>
      <c r="K522" s="10">
        <v>61037</v>
      </c>
      <c r="L522" s="3" t="str">
        <f t="shared" si="17"/>
        <v>ΑΜΠΕΛΩΝΕΣ_ΓΙΑ_ΠΑΡΑΓΩΓΗ_ΟΙΝΟΥ</v>
      </c>
    </row>
    <row r="523" spans="1:12" s="3" customFormat="1" ht="24" x14ac:dyDescent="0.25">
      <c r="A523" s="3" t="str">
        <f t="shared" si="16"/>
        <v>ΑΜΠΕΛΩΝΕΣ ΓΙΑ ΠΑΡΑΓΩΓΗ ΟΙΝΟΥΟΨΙΜΟ ΕΔΕΣΣΗΣ</v>
      </c>
      <c r="B523" s="4" t="s">
        <v>590</v>
      </c>
      <c r="C523" s="5" t="s">
        <v>1026</v>
      </c>
      <c r="D523" s="6">
        <v>5999.78</v>
      </c>
      <c r="E523" s="6">
        <v>4188.4799999999996</v>
      </c>
      <c r="F523" s="7" t="s">
        <v>14</v>
      </c>
      <c r="G523" s="8" t="s">
        <v>1027</v>
      </c>
      <c r="H523" s="8" t="s">
        <v>16</v>
      </c>
      <c r="I523" s="9">
        <v>2071</v>
      </c>
      <c r="J523" s="10" t="s">
        <v>593</v>
      </c>
      <c r="K523" s="10">
        <v>61262</v>
      </c>
      <c r="L523" s="3" t="str">
        <f t="shared" si="17"/>
        <v>ΑΜΠΕΛΩΝΕΣ_ΓΙΑ_ΠΑΡΑΓΩΓΗ_ΟΙΝΟΥ</v>
      </c>
    </row>
    <row r="524" spans="1:12" s="3" customFormat="1" ht="24" x14ac:dyDescent="0.25">
      <c r="A524" s="3" t="str">
        <f t="shared" si="16"/>
        <v>ΑΜΠΕΛΩΝΕΣ ΓΙΑ ΠΑΡΑΓΩΓΗ ΟΙΝΟΥΜΟΣΧΑΤΟ ΑΜΒΟΥΡΓΟΥ</v>
      </c>
      <c r="B524" s="4" t="s">
        <v>590</v>
      </c>
      <c r="C524" s="5" t="s">
        <v>483</v>
      </c>
      <c r="D524" s="6">
        <v>5999.78</v>
      </c>
      <c r="E524" s="6">
        <v>4188.4799999999996</v>
      </c>
      <c r="F524" s="7" t="s">
        <v>14</v>
      </c>
      <c r="G524" s="8" t="s">
        <v>1028</v>
      </c>
      <c r="H524" s="8" t="s">
        <v>16</v>
      </c>
      <c r="I524" s="9">
        <v>1987</v>
      </c>
      <c r="J524" s="10" t="s">
        <v>593</v>
      </c>
      <c r="K524" s="10">
        <v>62303</v>
      </c>
      <c r="L524" s="3" t="str">
        <f t="shared" si="17"/>
        <v>ΑΜΠΕΛΩΝΕΣ_ΓΙΑ_ΠΑΡΑΓΩΓΗ_ΟΙΝΟΥ</v>
      </c>
    </row>
    <row r="525" spans="1:12" s="3" customFormat="1" ht="24" x14ac:dyDescent="0.25">
      <c r="A525" s="3" t="str">
        <f t="shared" si="16"/>
        <v>ΑΜΠΕΛΩΝΕΣ ΓΙΑ ΠΑΡΑΓΩΓΗ ΟΙΝΟΥΝΥΧΑΤΟ ΑΣΠΡΟ</v>
      </c>
      <c r="B525" s="4" t="s">
        <v>590</v>
      </c>
      <c r="C525" s="5" t="s">
        <v>1029</v>
      </c>
      <c r="D525" s="6">
        <v>5999.78</v>
      </c>
      <c r="E525" s="6">
        <v>4188.4799999999996</v>
      </c>
      <c r="F525" s="7" t="s">
        <v>14</v>
      </c>
      <c r="G525" s="8" t="s">
        <v>1030</v>
      </c>
      <c r="H525" s="8" t="s">
        <v>16</v>
      </c>
      <c r="I525" s="9">
        <v>1996</v>
      </c>
      <c r="J525" s="10" t="s">
        <v>593</v>
      </c>
      <c r="K525" s="10">
        <v>63347</v>
      </c>
      <c r="L525" s="3" t="str">
        <f t="shared" si="17"/>
        <v>ΑΜΠΕΛΩΝΕΣ_ΓΙΑ_ΠΑΡΑΓΩΓΗ_ΟΙΝΟΥ</v>
      </c>
    </row>
    <row r="526" spans="1:12" s="3" customFormat="1" ht="24" x14ac:dyDescent="0.25">
      <c r="A526" s="3" t="str">
        <f t="shared" si="16"/>
        <v>ΑΜΠΕΛΩΝΕΣ ΓΙΑ ΠΑΡΑΓΩΓΗ ΟΙΝΟΥΜΠΟΓΙΑΛΑΜΑΔΕΣ</v>
      </c>
      <c r="B526" s="4" t="s">
        <v>590</v>
      </c>
      <c r="C526" s="5" t="s">
        <v>1031</v>
      </c>
      <c r="D526" s="6">
        <v>5999.78</v>
      </c>
      <c r="E526" s="6">
        <v>4188.4799999999996</v>
      </c>
      <c r="F526" s="7" t="s">
        <v>14</v>
      </c>
      <c r="G526" s="8" t="s">
        <v>1032</v>
      </c>
      <c r="H526" s="8" t="s">
        <v>16</v>
      </c>
      <c r="I526" s="9">
        <v>2032</v>
      </c>
      <c r="J526" s="10" t="s">
        <v>593</v>
      </c>
      <c r="K526" s="10">
        <v>63348</v>
      </c>
      <c r="L526" s="3" t="str">
        <f t="shared" si="17"/>
        <v>ΑΜΠΕΛΩΝΕΣ_ΓΙΑ_ΠΑΡΑΓΩΓΗ_ΟΙΝΟΥ</v>
      </c>
    </row>
    <row r="527" spans="1:12" s="3" customFormat="1" ht="24" x14ac:dyDescent="0.25">
      <c r="A527" s="3" t="str">
        <f t="shared" si="16"/>
        <v>ΑΜΠΕΛΩΝΕΣ ΓΙΑ ΠΑΡΑΓΩΓΗ ΟΙΝΟΥΣΤΑΥΡΟΧΙΩΤΗΣ</v>
      </c>
      <c r="B527" s="4" t="s">
        <v>590</v>
      </c>
      <c r="C527" s="5" t="s">
        <v>1033</v>
      </c>
      <c r="D527" s="6">
        <v>5999.78</v>
      </c>
      <c r="E527" s="6">
        <v>4188.4799999999996</v>
      </c>
      <c r="F527" s="7" t="s">
        <v>14</v>
      </c>
      <c r="G527" s="8" t="s">
        <v>1034</v>
      </c>
      <c r="H527" s="8" t="s">
        <v>16</v>
      </c>
      <c r="I527" s="9">
        <v>2004</v>
      </c>
      <c r="J527" s="10" t="s">
        <v>593</v>
      </c>
      <c r="K527" s="10">
        <v>63349</v>
      </c>
      <c r="L527" s="3" t="str">
        <f t="shared" si="17"/>
        <v>ΑΜΠΕΛΩΝΕΣ_ΓΙΑ_ΠΑΡΑΓΩΓΗ_ΟΙΝΟΥ</v>
      </c>
    </row>
    <row r="528" spans="1:12" s="3" customFormat="1" ht="24" x14ac:dyDescent="0.25">
      <c r="A528" s="3" t="str">
        <f t="shared" si="16"/>
        <v>ΑΜΠΕΛΩΝΕΣ ΓΙΑ ΠΑΡΑΓΩΓΗ ΟΙΝΟΥΠΛΑΤΑΝΙ</v>
      </c>
      <c r="B528" s="4" t="s">
        <v>590</v>
      </c>
      <c r="C528" s="5" t="s">
        <v>1035</v>
      </c>
      <c r="D528" s="6">
        <v>5999.78</v>
      </c>
      <c r="E528" s="6">
        <v>4188.4799999999996</v>
      </c>
      <c r="F528" s="7" t="s">
        <v>14</v>
      </c>
      <c r="G528" s="8" t="s">
        <v>1036</v>
      </c>
      <c r="H528" s="8" t="s">
        <v>16</v>
      </c>
      <c r="I528" s="9">
        <v>2027</v>
      </c>
      <c r="J528" s="10" t="s">
        <v>593</v>
      </c>
      <c r="K528" s="10">
        <v>63350</v>
      </c>
      <c r="L528" s="3" t="str">
        <f t="shared" si="17"/>
        <v>ΑΜΠΕΛΩΝΕΣ_ΓΙΑ_ΠΑΡΑΓΩΓΗ_ΟΙΝΟΥ</v>
      </c>
    </row>
    <row r="529" spans="1:12" s="3" customFormat="1" ht="24" x14ac:dyDescent="0.25">
      <c r="A529" s="3" t="str">
        <f t="shared" si="16"/>
        <v>ΑΜΠΕΛΩΝΕΣ ΓΙΑ ΠΑΡΑΓΩΓΗ ΟΙΝΟΥΚΑΤΣΑΝΟ</v>
      </c>
      <c r="B529" s="4" t="s">
        <v>590</v>
      </c>
      <c r="C529" s="5" t="s">
        <v>1037</v>
      </c>
      <c r="D529" s="6">
        <v>5999.78</v>
      </c>
      <c r="E529" s="6">
        <v>4188.4799999999996</v>
      </c>
      <c r="F529" s="7" t="s">
        <v>14</v>
      </c>
      <c r="G529" s="8" t="s">
        <v>1038</v>
      </c>
      <c r="H529" s="8" t="s">
        <v>16</v>
      </c>
      <c r="I529" s="9">
        <v>2018</v>
      </c>
      <c r="J529" s="10" t="s">
        <v>593</v>
      </c>
      <c r="K529" s="10">
        <v>63351</v>
      </c>
      <c r="L529" s="3" t="str">
        <f t="shared" si="17"/>
        <v>ΑΜΠΕΛΩΝΕΣ_ΓΙΑ_ΠΑΡΑΓΩΓΗ_ΟΙΝΟΥ</v>
      </c>
    </row>
    <row r="530" spans="1:12" s="3" customFormat="1" ht="24" x14ac:dyDescent="0.25">
      <c r="A530" s="3" t="str">
        <f t="shared" si="16"/>
        <v>ΑΜΠΕΛΩΝΕΣ ΓΙΑ ΠΑΡΑΓΩΓΗ ΟΙΝΟΥΒΑΦΤΡΑ ΑΣΠΡΗ</v>
      </c>
      <c r="B530" s="4" t="s">
        <v>590</v>
      </c>
      <c r="C530" s="5" t="s">
        <v>1039</v>
      </c>
      <c r="D530" s="6">
        <v>5999.78</v>
      </c>
      <c r="E530" s="6">
        <v>4188.4799999999996</v>
      </c>
      <c r="F530" s="7" t="s">
        <v>14</v>
      </c>
      <c r="G530" s="8" t="s">
        <v>1040</v>
      </c>
      <c r="H530" s="8" t="s">
        <v>16</v>
      </c>
      <c r="I530" s="9">
        <v>2025</v>
      </c>
      <c r="J530" s="10" t="s">
        <v>593</v>
      </c>
      <c r="K530" s="10">
        <v>63353</v>
      </c>
      <c r="L530" s="3" t="str">
        <f t="shared" si="17"/>
        <v>ΑΜΠΕΛΩΝΕΣ_ΓΙΑ_ΠΑΡΑΓΩΓΗ_ΟΙΝΟΥ</v>
      </c>
    </row>
    <row r="531" spans="1:12" s="3" customFormat="1" ht="24" x14ac:dyDescent="0.25">
      <c r="A531" s="3" t="str">
        <f t="shared" si="16"/>
        <v>ΑΜΠΕΛΩΝΕΣ ΓΙΑ ΠΑΡΑΓΩΓΗ ΟΙΝΟΥΑΣΠΡΟΥΔΑ ΣΑΝΤΟΡΙΝΗΣ</v>
      </c>
      <c r="B531" s="4" t="s">
        <v>590</v>
      </c>
      <c r="C531" s="5" t="s">
        <v>1041</v>
      </c>
      <c r="D531" s="6">
        <v>5999.78</v>
      </c>
      <c r="E531" s="6">
        <v>4188.4799999999996</v>
      </c>
      <c r="F531" s="7" t="s">
        <v>14</v>
      </c>
      <c r="G531" s="8" t="s">
        <v>1042</v>
      </c>
      <c r="H531" s="8" t="s">
        <v>16</v>
      </c>
      <c r="I531" s="9">
        <v>1990</v>
      </c>
      <c r="J531" s="10" t="s">
        <v>593</v>
      </c>
      <c r="K531" s="10">
        <v>63354</v>
      </c>
      <c r="L531" s="3" t="str">
        <f t="shared" si="17"/>
        <v>ΑΜΠΕΛΩΝΕΣ_ΓΙΑ_ΠΑΡΑΓΩΓΗ_ΟΙΝΟΥ</v>
      </c>
    </row>
    <row r="532" spans="1:12" s="3" customFormat="1" ht="24" x14ac:dyDescent="0.25">
      <c r="A532" s="3" t="str">
        <f t="shared" si="16"/>
        <v>ΑΜΠΕΛΩΝΕΣ ΓΙΑ ΠΑΡΑΓΩΓΗ ΟΙΝΟΥΜΑΥΡΟΤΡΑΓΑΝΟ</v>
      </c>
      <c r="B532" s="4" t="s">
        <v>590</v>
      </c>
      <c r="C532" s="5" t="s">
        <v>1043</v>
      </c>
      <c r="D532" s="6">
        <v>5999.78</v>
      </c>
      <c r="E532" s="6">
        <v>4188.4799999999996</v>
      </c>
      <c r="F532" s="7" t="s">
        <v>14</v>
      </c>
      <c r="G532" s="8" t="s">
        <v>1044</v>
      </c>
      <c r="H532" s="8" t="s">
        <v>16</v>
      </c>
      <c r="I532" s="9">
        <v>2017</v>
      </c>
      <c r="J532" s="10" t="s">
        <v>593</v>
      </c>
      <c r="K532" s="10">
        <v>63355</v>
      </c>
      <c r="L532" s="3" t="str">
        <f t="shared" si="17"/>
        <v>ΑΜΠΕΛΩΝΕΣ_ΓΙΑ_ΠΑΡΑΓΩΓΗ_ΟΙΝΟΥ</v>
      </c>
    </row>
    <row r="533" spans="1:12" s="3" customFormat="1" ht="24" x14ac:dyDescent="0.25">
      <c r="A533" s="3" t="str">
        <f t="shared" si="16"/>
        <v>ΑΜΠΕΛΩΝΕΣ ΓΙΑ ΠΑΡΑΓΩΓΗ ΟΙΝΟΥΓΑΙΔΟΥΡΙΑ</v>
      </c>
      <c r="B533" s="4" t="s">
        <v>590</v>
      </c>
      <c r="C533" s="5" t="s">
        <v>1045</v>
      </c>
      <c r="D533" s="6">
        <v>5999.78</v>
      </c>
      <c r="E533" s="6">
        <v>4188.4799999999996</v>
      </c>
      <c r="F533" s="7" t="s">
        <v>14</v>
      </c>
      <c r="G533" s="8" t="s">
        <v>1046</v>
      </c>
      <c r="H533" s="8" t="s">
        <v>16</v>
      </c>
      <c r="I533" s="9">
        <v>2016</v>
      </c>
      <c r="J533" s="10" t="s">
        <v>593</v>
      </c>
      <c r="K533" s="10">
        <v>63357</v>
      </c>
      <c r="L533" s="3" t="str">
        <f t="shared" si="17"/>
        <v>ΑΜΠΕΛΩΝΕΣ_ΓΙΑ_ΠΑΡΑΓΩΓΗ_ΟΙΝΟΥ</v>
      </c>
    </row>
    <row r="534" spans="1:12" s="3" customFormat="1" ht="24" x14ac:dyDescent="0.25">
      <c r="A534" s="3" t="str">
        <f t="shared" si="16"/>
        <v>ΑΜΠΕΛΩΝΕΣ ΓΙΑ ΠΑΡΑΓΩΓΗ ΟΙΝΟΥΑΜΠΕΛΩΝΕΣ ΓΙΑ ΠΑΡΑΓΩΓΗ ΟΙΝΟΥ-ΛΟΙΠΕΣ</v>
      </c>
      <c r="B534" s="4" t="s">
        <v>590</v>
      </c>
      <c r="C534" s="5" t="s">
        <v>1047</v>
      </c>
      <c r="D534" s="6">
        <v>5999.78</v>
      </c>
      <c r="E534" s="6">
        <v>4188.4799999999996</v>
      </c>
      <c r="F534" s="7" t="s">
        <v>14</v>
      </c>
      <c r="G534" s="8" t="s">
        <v>1048</v>
      </c>
      <c r="H534" s="8" t="s">
        <v>16</v>
      </c>
      <c r="I534" s="9">
        <v>2055</v>
      </c>
      <c r="J534" s="10" t="s">
        <v>593</v>
      </c>
      <c r="K534" s="10">
        <v>8201</v>
      </c>
      <c r="L534" s="3" t="str">
        <f t="shared" si="17"/>
        <v>ΑΜΠΕΛΩΝΕΣ_ΓΙΑ_ΠΑΡΑΓΩΓΗ_ΟΙΝΟΥ</v>
      </c>
    </row>
    <row r="535" spans="1:12" s="3" customFormat="1" ht="31.5" x14ac:dyDescent="0.25">
      <c r="A535" s="3" t="str">
        <f t="shared" si="16"/>
        <v>ΑΜΠΕΛΩΝΕΣ ΓΙΑ ΠΑΡΑΓΩΓΗ ΟΙΝΟΥΠΓΕ-ΑΜΠΕΛΩΝΕΣ ΓΙΑ ΠΑΡΑΓΩΓΗ ΟΙΝΩΝ ΠΟΙΟΤΗΤΑΣ</v>
      </c>
      <c r="B535" s="4" t="s">
        <v>590</v>
      </c>
      <c r="C535" s="5" t="s">
        <v>1049</v>
      </c>
      <c r="D535" s="6">
        <v>6129.62</v>
      </c>
      <c r="E535" s="6">
        <v>6941.4</v>
      </c>
      <c r="F535" s="7" t="s">
        <v>14</v>
      </c>
      <c r="G535" s="8" t="s">
        <v>1050</v>
      </c>
      <c r="H535" s="8" t="s">
        <v>16</v>
      </c>
      <c r="I535" s="9">
        <v>2198</v>
      </c>
      <c r="J535" s="10" t="s">
        <v>593</v>
      </c>
      <c r="K535" s="10">
        <v>96007</v>
      </c>
      <c r="L535" s="3" t="str">
        <f t="shared" si="17"/>
        <v>ΑΜΠΕΛΩΝΕΣ_ΓΙΑ_ΠΑΡΑΓΩΓΗ_ΟΙΝΟΥ</v>
      </c>
    </row>
    <row r="536" spans="1:12" s="3" customFormat="1" ht="31.5" x14ac:dyDescent="0.25">
      <c r="A536" s="3" t="str">
        <f t="shared" si="16"/>
        <v>ΑΜΠΕΛΩΝΕΣ ΓΙΑ ΠΑΡΑΓΩΓΗ ΣΤΑΦΙΔΑΣΑΜΠΕΛΩΝΕΣ ΓΙΑ ΠΑΡΑΓΩΓΗ ΣΤΑΦΙΔΑΣ - ΣΟΥΛΤΑΝΙΝΑ</v>
      </c>
      <c r="B536" s="4" t="s">
        <v>1051</v>
      </c>
      <c r="C536" s="5" t="s">
        <v>1052</v>
      </c>
      <c r="D536" s="6">
        <v>5558.69</v>
      </c>
      <c r="E536" s="6">
        <v>6783.52</v>
      </c>
      <c r="F536" s="7" t="s">
        <v>14</v>
      </c>
      <c r="G536" s="8" t="s">
        <v>1053</v>
      </c>
      <c r="H536" s="8" t="s">
        <v>16</v>
      </c>
      <c r="I536" s="9">
        <v>1822</v>
      </c>
      <c r="J536" s="10" t="s">
        <v>1054</v>
      </c>
      <c r="K536" s="10">
        <v>8217</v>
      </c>
      <c r="L536" s="3" t="str">
        <f t="shared" si="17"/>
        <v>ΑΜΠΕΛΩΝΕΣ_ΓΙΑ_ΠΑΡΑΓΩΓΗ_ΣΤΑΦΙΔΑΣ</v>
      </c>
    </row>
    <row r="537" spans="1:12" s="3" customFormat="1" ht="31.5" x14ac:dyDescent="0.25">
      <c r="A537" s="3" t="str">
        <f t="shared" si="16"/>
        <v>ΑΜΠΕΛΩΝΕΣ ΓΙΑ ΠΑΡΑΓΩΓΗ ΣΤΑΦΙΔΑΣΑΜΠΕΛΩΝΕΣ ΓΙΑ ΠΑΡΑΓΩΓΗ ΣΤΑΦΙΔΑΣ - ΚΟΡΙΝΘΙΑΚΗ</v>
      </c>
      <c r="B537" s="4" t="s">
        <v>1051</v>
      </c>
      <c r="C537" s="5" t="s">
        <v>1055</v>
      </c>
      <c r="D537" s="6">
        <v>5558.69</v>
      </c>
      <c r="E537" s="6">
        <v>6783.52</v>
      </c>
      <c r="F537" s="7" t="s">
        <v>14</v>
      </c>
      <c r="G537" s="8" t="s">
        <v>1056</v>
      </c>
      <c r="H537" s="8" t="s">
        <v>16</v>
      </c>
      <c r="I537" s="9">
        <v>1821</v>
      </c>
      <c r="J537" s="10" t="s">
        <v>1054</v>
      </c>
      <c r="K537" s="10">
        <v>8218</v>
      </c>
      <c r="L537" s="3" t="str">
        <f t="shared" si="17"/>
        <v>ΑΜΠΕΛΩΝΕΣ_ΓΙΑ_ΠΑΡΑΓΩΓΗ_ΣΤΑΦΙΔΑΣ</v>
      </c>
    </row>
    <row r="538" spans="1:12" s="3" customFormat="1" ht="24" x14ac:dyDescent="0.25">
      <c r="A538" s="3" t="str">
        <f t="shared" si="16"/>
        <v>ΑΝΘΟΚΟΜΙΚΕΣ ΚΑΛΛΙΕΡΓΕΙΕΣΑΝΘΗ ΚΑΙ ΚΑΛΛΩΠΙΣΤΙΚΑ</v>
      </c>
      <c r="B538" s="4" t="s">
        <v>1057</v>
      </c>
      <c r="C538" s="5" t="s">
        <v>1058</v>
      </c>
      <c r="D538" s="6">
        <v>48272</v>
      </c>
      <c r="E538" s="6">
        <v>55220</v>
      </c>
      <c r="F538" s="7" t="s">
        <v>14</v>
      </c>
      <c r="G538" s="8" t="s">
        <v>1059</v>
      </c>
      <c r="H538" s="8" t="s">
        <v>16</v>
      </c>
      <c r="I538" s="9">
        <v>2577</v>
      </c>
      <c r="J538" s="10">
        <v>40</v>
      </c>
      <c r="K538" s="10">
        <v>8112</v>
      </c>
      <c r="L538" s="3" t="str">
        <f t="shared" si="17"/>
        <v>ΑΝΘΟΚΟΜΙΚΕΣ_ΚΑΛΛΙΕΡΓΕΙΕΣ</v>
      </c>
    </row>
    <row r="539" spans="1:12" s="3" customFormat="1" ht="24" x14ac:dyDescent="0.25">
      <c r="A539" s="3" t="str">
        <f t="shared" si="16"/>
        <v>ΑΝΘΟΚΟΜΙΚΕΣ ΚΑΛΛΙΕΡΓΕΙΕΣΑΝΘΗ ΚΑΙ ΚΑΛΛΩΠΙΣΤΙΚΑ ΦΥΤΑ ΘΕΡΜΟΚΗΠΙΟΥ</v>
      </c>
      <c r="B539" s="4" t="s">
        <v>1057</v>
      </c>
      <c r="C539" s="5" t="s">
        <v>1060</v>
      </c>
      <c r="D539" s="6">
        <v>143489</v>
      </c>
      <c r="E539" s="6">
        <v>172650</v>
      </c>
      <c r="F539" s="7" t="s">
        <v>14</v>
      </c>
      <c r="G539" s="8" t="s">
        <v>1061</v>
      </c>
      <c r="H539" s="8" t="s">
        <v>16</v>
      </c>
      <c r="I539" s="9">
        <v>2576</v>
      </c>
      <c r="J539" s="10">
        <v>40</v>
      </c>
      <c r="K539" s="10">
        <v>8120</v>
      </c>
      <c r="L539" s="3" t="str">
        <f t="shared" si="17"/>
        <v>ΑΝΘΟΚΟΜΙΚΕΣ_ΚΑΛΛΙΕΡΓΕΙΕΣ</v>
      </c>
    </row>
    <row r="540" spans="1:12" s="3" customFormat="1" ht="24" x14ac:dyDescent="0.25">
      <c r="A540" s="3" t="str">
        <f t="shared" si="16"/>
        <v>ΑΝΘΟΚΟΜΙΚΕΣ ΚΑΛΛΙΕΡΓΕΙΕΣΔΡΕΠΤΑ (ΚΟΜΜΕΝΑ) ΑΝΘΗ ΥΠΑΙΘΡΟΥ</v>
      </c>
      <c r="B540" s="4" t="s">
        <v>1057</v>
      </c>
      <c r="C540" s="5" t="s">
        <v>1062</v>
      </c>
      <c r="D540" s="6">
        <v>48272</v>
      </c>
      <c r="E540" s="6">
        <v>55220</v>
      </c>
      <c r="F540" s="7" t="s">
        <v>14</v>
      </c>
      <c r="G540" s="8" t="s">
        <v>1063</v>
      </c>
      <c r="H540" s="8" t="s">
        <v>16</v>
      </c>
      <c r="I540" s="9">
        <v>2578</v>
      </c>
      <c r="J540" s="10">
        <v>40</v>
      </c>
      <c r="K540" s="10">
        <v>8650</v>
      </c>
      <c r="L540" s="3" t="str">
        <f t="shared" si="17"/>
        <v>ΑΝΘΟΚΟΜΙΚΕΣ_ΚΑΛΛΙΕΡΓΕΙΕΣ</v>
      </c>
    </row>
    <row r="541" spans="1:12" s="3" customFormat="1" ht="31.5" x14ac:dyDescent="0.25">
      <c r="A541" s="3" t="str">
        <f t="shared" si="16"/>
        <v>ΑΝΘΟΚΟΜΙΚΕΣ ΚΑΛΛΙΕΡΓΕΙΕΣΦΥΤΑ ΚΗΠΟΤΕΧΝΙΑΣ ΚΑΙ ΑΛΛΑ ΑΝΘΟΚΟΜΙΚΑ ΦΥΤΑ ΕΞΩΤΕΡΙΚΟΥ ΧΩΡΟΥ</v>
      </c>
      <c r="B541" s="4" t="s">
        <v>1057</v>
      </c>
      <c r="C541" s="5" t="s">
        <v>1064</v>
      </c>
      <c r="D541" s="6">
        <v>52200</v>
      </c>
      <c r="E541" s="6">
        <v>52300</v>
      </c>
      <c r="F541" s="7" t="s">
        <v>14</v>
      </c>
      <c r="G541" s="8" t="s">
        <v>1065</v>
      </c>
      <c r="H541" s="8" t="s">
        <v>16</v>
      </c>
      <c r="I541" s="9">
        <v>2579</v>
      </c>
      <c r="J541" s="10">
        <v>40</v>
      </c>
      <c r="K541" s="10">
        <v>8651</v>
      </c>
      <c r="L541" s="3" t="str">
        <f t="shared" si="17"/>
        <v>ΑΝΘΟΚΟΜΙΚΕΣ_ΚΑΛΛΙΕΡΓΕΙΕΣ</v>
      </c>
    </row>
    <row r="542" spans="1:12" s="3" customFormat="1" ht="24" x14ac:dyDescent="0.25">
      <c r="A542" s="3" t="str">
        <f t="shared" si="16"/>
        <v>ΑΝΘΟΚΟΜΙΚΕΣ ΚΑΛΛΙΕΡΓΕΙΕΣΓΚΑΖΟΝ</v>
      </c>
      <c r="B542" s="4" t="s">
        <v>1057</v>
      </c>
      <c r="C542" s="5" t="s">
        <v>1066</v>
      </c>
      <c r="D542" s="6">
        <v>48272</v>
      </c>
      <c r="E542" s="6">
        <v>55220</v>
      </c>
      <c r="F542" s="7" t="s">
        <v>14</v>
      </c>
      <c r="G542" s="8" t="s">
        <v>1067</v>
      </c>
      <c r="H542" s="8" t="s">
        <v>16</v>
      </c>
      <c r="I542" s="9">
        <v>2582</v>
      </c>
      <c r="J542" s="10">
        <v>40</v>
      </c>
      <c r="K542" s="10">
        <v>8652</v>
      </c>
      <c r="L542" s="3" t="str">
        <f t="shared" si="17"/>
        <v>ΑΝΘΟΚΟΜΙΚΕΣ_ΚΑΛΛΙΕΡΓΕΙΕΣ</v>
      </c>
    </row>
    <row r="543" spans="1:12" s="3" customFormat="1" ht="24" x14ac:dyDescent="0.25">
      <c r="A543" s="3" t="str">
        <f t="shared" si="16"/>
        <v>ΑΝΘΟΚΟΜΙΚΕΣ ΚΑΛΛΙΕΡΓΕΙΕΣΓΛΑΣΤΡΙΚΑ ΘΕΡΜΟΚΗΠΙΟΥ ΕΣΩΤΕΡΙΚΟΥ ΧΩΡΟΥ</v>
      </c>
      <c r="B543" s="4" t="s">
        <v>1057</v>
      </c>
      <c r="C543" s="5" t="s">
        <v>1068</v>
      </c>
      <c r="D543" s="6">
        <v>143489</v>
      </c>
      <c r="E543" s="6">
        <v>172650</v>
      </c>
      <c r="F543" s="7" t="s">
        <v>14</v>
      </c>
      <c r="G543" s="8" t="s">
        <v>1069</v>
      </c>
      <c r="H543" s="8" t="s">
        <v>16</v>
      </c>
      <c r="I543" s="9">
        <v>2580</v>
      </c>
      <c r="J543" s="10">
        <v>40</v>
      </c>
      <c r="K543" s="10">
        <v>8653</v>
      </c>
      <c r="L543" s="3" t="str">
        <f t="shared" si="17"/>
        <v>ΑΝΘΟΚΟΜΙΚΕΣ_ΚΑΛΛΙΕΡΓΕΙΕΣ</v>
      </c>
    </row>
    <row r="544" spans="1:12" s="3" customFormat="1" ht="24" x14ac:dyDescent="0.25">
      <c r="A544" s="3" t="str">
        <f t="shared" si="16"/>
        <v>ΑΝΘΟΚΟΜΙΚΕΣ ΚΑΛΛΙΕΡΓΕΙΕΣΔΡΕΠΤΑ (ΚΟΜΜΕΝΑ) ΑΝΘΗ ΘΕΡΜΟΚΗΠΙΟΥ</v>
      </c>
      <c r="B544" s="4" t="s">
        <v>1057</v>
      </c>
      <c r="C544" s="5" t="s">
        <v>1070</v>
      </c>
      <c r="D544" s="6">
        <v>143489</v>
      </c>
      <c r="E544" s="6">
        <v>172650</v>
      </c>
      <c r="F544" s="7" t="s">
        <v>14</v>
      </c>
      <c r="G544" s="8" t="s">
        <v>1071</v>
      </c>
      <c r="H544" s="8" t="s">
        <v>16</v>
      </c>
      <c r="I544" s="9">
        <v>2581</v>
      </c>
      <c r="J544" s="10">
        <v>40</v>
      </c>
      <c r="K544" s="10">
        <v>8654</v>
      </c>
      <c r="L544" s="3" t="str">
        <f t="shared" si="17"/>
        <v>ΑΝΘΟΚΟΜΙΚΕΣ_ΚΑΛΛΙΕΡΓΕΙΕΣ</v>
      </c>
    </row>
    <row r="545" spans="1:12" s="3" customFormat="1" ht="24" x14ac:dyDescent="0.25">
      <c r="A545" s="3" t="str">
        <f t="shared" si="16"/>
        <v>ΑΡΑΒΟΣΙΤΟΣ ΕΝΣΙΡΩΣΗΣΑΡΑΒΟΣΙΤΟΣ RESERVE</v>
      </c>
      <c r="B545" s="4" t="s">
        <v>1072</v>
      </c>
      <c r="C545" s="5" t="s">
        <v>1073</v>
      </c>
      <c r="D545" s="6">
        <v>1314.55</v>
      </c>
      <c r="E545" s="6">
        <v>1158.28</v>
      </c>
      <c r="F545" s="7" t="s">
        <v>14</v>
      </c>
      <c r="G545" s="8" t="s">
        <v>1074</v>
      </c>
      <c r="H545" s="8" t="s">
        <v>16</v>
      </c>
      <c r="I545" s="9">
        <v>1972</v>
      </c>
      <c r="J545" s="10" t="s">
        <v>1075</v>
      </c>
      <c r="K545" s="10">
        <v>31021</v>
      </c>
      <c r="L545" s="3" t="str">
        <f t="shared" si="17"/>
        <v>ΑΡΑΒΟΣΙΤΟΣ_ΕΝΣΙΡΩΣΗΣ</v>
      </c>
    </row>
    <row r="546" spans="1:12" s="3" customFormat="1" ht="24" x14ac:dyDescent="0.25">
      <c r="A546" s="3" t="str">
        <f t="shared" si="16"/>
        <v>ΑΡΑΒΟΣΙΤΟΣ ΕΝΣΙΡΩΣΗΣΑΡΑΒΟΣΙΤΟΣ SY INOVE</v>
      </c>
      <c r="B546" s="4" t="s">
        <v>1072</v>
      </c>
      <c r="C546" s="5" t="s">
        <v>1076</v>
      </c>
      <c r="D546" s="6">
        <v>1314.55</v>
      </c>
      <c r="E546" s="6">
        <v>1158.28</v>
      </c>
      <c r="F546" s="7" t="s">
        <v>14</v>
      </c>
      <c r="G546" s="8" t="s">
        <v>1077</v>
      </c>
      <c r="H546" s="8" t="s">
        <v>16</v>
      </c>
      <c r="I546" s="9">
        <v>1970</v>
      </c>
      <c r="J546" s="10" t="s">
        <v>1075</v>
      </c>
      <c r="K546" s="10">
        <v>31024</v>
      </c>
      <c r="L546" s="3" t="str">
        <f t="shared" si="17"/>
        <v>ΑΡΑΒΟΣΙΤΟΣ_ΕΝΣΙΡΩΣΗΣ</v>
      </c>
    </row>
    <row r="547" spans="1:12" s="3" customFormat="1" ht="24" x14ac:dyDescent="0.25">
      <c r="A547" s="3" t="str">
        <f t="shared" si="16"/>
        <v>ΑΡΑΒΟΣΙΤΟΣ ΕΝΣΙΡΩΣΗΣΑΡΑΒΟΣΙΤΟΣ PR31Υ43</v>
      </c>
      <c r="B547" s="4" t="s">
        <v>1072</v>
      </c>
      <c r="C547" s="5" t="s">
        <v>1078</v>
      </c>
      <c r="D547" s="6">
        <v>1314.55</v>
      </c>
      <c r="E547" s="6">
        <v>1158.28</v>
      </c>
      <c r="F547" s="7" t="s">
        <v>14</v>
      </c>
      <c r="G547" s="8" t="s">
        <v>1079</v>
      </c>
      <c r="H547" s="8" t="s">
        <v>16</v>
      </c>
      <c r="I547" s="9">
        <v>1974</v>
      </c>
      <c r="J547" s="10" t="s">
        <v>1075</v>
      </c>
      <c r="K547" s="10">
        <v>32001</v>
      </c>
      <c r="L547" s="3" t="str">
        <f t="shared" si="17"/>
        <v>ΑΡΑΒΟΣΙΤΟΣ_ΕΝΣΙΡΩΣΗΣ</v>
      </c>
    </row>
    <row r="548" spans="1:12" s="3" customFormat="1" ht="24" x14ac:dyDescent="0.25">
      <c r="A548" s="3" t="str">
        <f t="shared" si="16"/>
        <v>ΑΡΑΒΟΣΙΤΟΣ ΕΝΣΙΡΩΣΗΣΑΡΑΒΟΣΙΤΟΣ P1134</v>
      </c>
      <c r="B548" s="4" t="s">
        <v>1072</v>
      </c>
      <c r="C548" s="5" t="s">
        <v>1080</v>
      </c>
      <c r="D548" s="6">
        <v>1314.55</v>
      </c>
      <c r="E548" s="6">
        <v>1158.28</v>
      </c>
      <c r="F548" s="7" t="s">
        <v>14</v>
      </c>
      <c r="G548" s="8" t="s">
        <v>1081</v>
      </c>
      <c r="H548" s="8" t="s">
        <v>16</v>
      </c>
      <c r="I548" s="9">
        <v>1975</v>
      </c>
      <c r="J548" s="10" t="s">
        <v>1075</v>
      </c>
      <c r="K548" s="10">
        <v>32002</v>
      </c>
      <c r="L548" s="3" t="str">
        <f t="shared" si="17"/>
        <v>ΑΡΑΒΟΣΙΤΟΣ_ΕΝΣΙΡΩΣΗΣ</v>
      </c>
    </row>
    <row r="549" spans="1:12" s="3" customFormat="1" ht="24" x14ac:dyDescent="0.25">
      <c r="A549" s="3" t="str">
        <f t="shared" si="16"/>
        <v>ΑΡΑΒΟΣΙΤΟΣ ΕΝΣΙΡΩΣΗΣΑΡΑΒΟΣΙΤΟΣ LG30600</v>
      </c>
      <c r="B549" s="4" t="s">
        <v>1072</v>
      </c>
      <c r="C549" s="5" t="s">
        <v>1082</v>
      </c>
      <c r="D549" s="6">
        <v>1314.55</v>
      </c>
      <c r="E549" s="6">
        <v>1158.28</v>
      </c>
      <c r="F549" s="7" t="s">
        <v>14</v>
      </c>
      <c r="G549" s="8" t="s">
        <v>1083</v>
      </c>
      <c r="H549" s="8" t="s">
        <v>16</v>
      </c>
      <c r="I549" s="9">
        <v>1971</v>
      </c>
      <c r="J549" s="10" t="s">
        <v>1075</v>
      </c>
      <c r="K549" s="10">
        <v>32003</v>
      </c>
      <c r="L549" s="3" t="str">
        <f t="shared" si="17"/>
        <v>ΑΡΑΒΟΣΙΤΟΣ_ΕΝΣΙΡΩΣΗΣ</v>
      </c>
    </row>
    <row r="550" spans="1:12" s="3" customFormat="1" x14ac:dyDescent="0.25">
      <c r="A550" s="3" t="str">
        <f t="shared" si="16"/>
        <v>ΑΡΑΒΟΣΙΤΟΣ ΕΝΣΙΡΩΣΗΣΑΡΑΒΟΣΙΤΟΣ LG31545</v>
      </c>
      <c r="B550" s="23" t="s">
        <v>1072</v>
      </c>
      <c r="C550" s="24" t="s">
        <v>1084</v>
      </c>
      <c r="D550" s="6">
        <v>1314.55</v>
      </c>
      <c r="E550" s="6">
        <v>1158.28</v>
      </c>
      <c r="F550" s="7" t="s">
        <v>14</v>
      </c>
      <c r="G550" s="30" t="s">
        <v>1085</v>
      </c>
      <c r="H550" s="31" t="s">
        <v>577</v>
      </c>
      <c r="I550" s="9">
        <v>5791</v>
      </c>
      <c r="J550" s="30" t="s">
        <v>1075</v>
      </c>
      <c r="K550" s="30">
        <v>32004</v>
      </c>
      <c r="L550" s="3" t="str">
        <f t="shared" si="17"/>
        <v>ΑΡΑΒΟΣΙΤΟΣ_ΕΝΣΙΡΩΣΗΣ</v>
      </c>
    </row>
    <row r="551" spans="1:12" s="3" customFormat="1" x14ac:dyDescent="0.25">
      <c r="A551" s="3" t="str">
        <f t="shared" si="16"/>
        <v>ΑΡΑΒΟΣΙΤΟΣ ΕΝΣΙΡΩΣΗΣΑΡΑΒΟΣΙΤΟΣ AGRISTER</v>
      </c>
      <c r="B551" s="23" t="s">
        <v>1072</v>
      </c>
      <c r="C551" s="24" t="s">
        <v>1086</v>
      </c>
      <c r="D551" s="6">
        <v>1314.55</v>
      </c>
      <c r="E551" s="6">
        <v>1158.28</v>
      </c>
      <c r="F551" s="7" t="s">
        <v>14</v>
      </c>
      <c r="G551" s="30" t="s">
        <v>1087</v>
      </c>
      <c r="H551" s="31" t="s">
        <v>577</v>
      </c>
      <c r="I551" s="9">
        <v>5643</v>
      </c>
      <c r="J551" s="30" t="s">
        <v>1075</v>
      </c>
      <c r="K551" s="30">
        <v>32005</v>
      </c>
      <c r="L551" s="3" t="str">
        <f t="shared" si="17"/>
        <v>ΑΡΑΒΟΣΙΤΟΣ_ΕΝΣΙΡΩΣΗΣ</v>
      </c>
    </row>
    <row r="552" spans="1:12" s="3" customFormat="1" x14ac:dyDescent="0.25">
      <c r="A552" s="3" t="str">
        <f t="shared" si="16"/>
        <v>ΑΡΑΒΟΣΙΤΟΣ ΕΝΣΙΡΩΣΗΣΑΡΑΒΟΣΙΤΟΣ ANTISS</v>
      </c>
      <c r="B552" s="23" t="s">
        <v>1072</v>
      </c>
      <c r="C552" s="24" t="s">
        <v>1088</v>
      </c>
      <c r="D552" s="6">
        <v>1314.55</v>
      </c>
      <c r="E552" s="6">
        <v>1158.28</v>
      </c>
      <c r="F552" s="7" t="s">
        <v>14</v>
      </c>
      <c r="G552" s="30" t="s">
        <v>1089</v>
      </c>
      <c r="H552" s="31" t="s">
        <v>577</v>
      </c>
      <c r="I552" s="9">
        <v>5654</v>
      </c>
      <c r="J552" s="30" t="s">
        <v>1075</v>
      </c>
      <c r="K552" s="30">
        <v>32006</v>
      </c>
      <c r="L552" s="3" t="str">
        <f t="shared" si="17"/>
        <v>ΑΡΑΒΟΣΙΤΟΣ_ΕΝΣΙΡΩΣΗΣ</v>
      </c>
    </row>
    <row r="553" spans="1:12" s="3" customFormat="1" x14ac:dyDescent="0.25">
      <c r="A553" s="3" t="str">
        <f t="shared" si="16"/>
        <v>ΑΡΑΒΟΣΙΤΟΣ ΕΝΣΙΡΩΣΗΣΑΡΑΒΟΣΙΤΟΣ AVELINE</v>
      </c>
      <c r="B553" s="23" t="s">
        <v>1072</v>
      </c>
      <c r="C553" s="24" t="s">
        <v>1090</v>
      </c>
      <c r="D553" s="6">
        <v>1314.55</v>
      </c>
      <c r="E553" s="6">
        <v>1158.28</v>
      </c>
      <c r="F553" s="7" t="s">
        <v>14</v>
      </c>
      <c r="G553" s="30" t="s">
        <v>1091</v>
      </c>
      <c r="H553" s="31" t="s">
        <v>577</v>
      </c>
      <c r="I553" s="9">
        <v>5664</v>
      </c>
      <c r="J553" s="30" t="s">
        <v>1075</v>
      </c>
      <c r="K553" s="30">
        <v>32007</v>
      </c>
      <c r="L553" s="3" t="str">
        <f t="shared" si="17"/>
        <v>ΑΡΑΒΟΣΙΤΟΣ_ΕΝΣΙΡΩΣΗΣ</v>
      </c>
    </row>
    <row r="554" spans="1:12" s="3" customFormat="1" x14ac:dyDescent="0.25">
      <c r="A554" s="3" t="str">
        <f t="shared" si="16"/>
        <v>ΑΡΑΒΟΣΙΤΟΣ ΕΝΣΙΡΩΣΗΣΑΡΑΒΟΣΙΤΟΣ LG30709</v>
      </c>
      <c r="B554" s="23" t="s">
        <v>1072</v>
      </c>
      <c r="C554" s="24" t="s">
        <v>1092</v>
      </c>
      <c r="D554" s="6">
        <v>1314.55</v>
      </c>
      <c r="E554" s="6">
        <v>1158.28</v>
      </c>
      <c r="F554" s="7" t="s">
        <v>14</v>
      </c>
      <c r="G554" s="30" t="s">
        <v>1093</v>
      </c>
      <c r="H554" s="31" t="s">
        <v>577</v>
      </c>
      <c r="I554" s="9">
        <v>5789</v>
      </c>
      <c r="J554" s="30" t="s">
        <v>1075</v>
      </c>
      <c r="K554" s="30">
        <v>32008</v>
      </c>
      <c r="L554" s="3" t="str">
        <f t="shared" si="17"/>
        <v>ΑΡΑΒΟΣΙΤΟΣ_ΕΝΣΙΡΩΣΗΣ</v>
      </c>
    </row>
    <row r="555" spans="1:12" s="3" customFormat="1" x14ac:dyDescent="0.25">
      <c r="A555" s="3" t="str">
        <f t="shared" si="16"/>
        <v>ΑΡΑΒΟΣΙΤΟΣ ΕΝΣΙΡΩΣΗΣΑΡΑΒΟΣΙΤΟΣ LG3490</v>
      </c>
      <c r="B555" s="23" t="s">
        <v>1072</v>
      </c>
      <c r="C555" s="24" t="s">
        <v>1094</v>
      </c>
      <c r="D555" s="6">
        <v>1314.55</v>
      </c>
      <c r="E555" s="6">
        <v>1158.28</v>
      </c>
      <c r="F555" s="7" t="s">
        <v>14</v>
      </c>
      <c r="G555" s="30" t="s">
        <v>1095</v>
      </c>
      <c r="H555" s="31" t="s">
        <v>577</v>
      </c>
      <c r="I555" s="9">
        <v>5799</v>
      </c>
      <c r="J555" s="30" t="s">
        <v>1075</v>
      </c>
      <c r="K555" s="30">
        <v>32009</v>
      </c>
      <c r="L555" s="3" t="str">
        <f t="shared" si="17"/>
        <v>ΑΡΑΒΟΣΙΤΟΣ_ΕΝΣΙΡΩΣΗΣ</v>
      </c>
    </row>
    <row r="556" spans="1:12" s="3" customFormat="1" x14ac:dyDescent="0.25">
      <c r="A556" s="3" t="str">
        <f t="shared" si="16"/>
        <v>ΑΡΑΒΟΣΙΤΟΣ ΕΝΣΙΡΩΣΗΣΑΡΑΒΟΣΙΤΟΣ LG30550</v>
      </c>
      <c r="B556" s="23" t="s">
        <v>1072</v>
      </c>
      <c r="C556" s="24" t="s">
        <v>1096</v>
      </c>
      <c r="D556" s="6">
        <v>1314.55</v>
      </c>
      <c r="E556" s="6">
        <v>1158.28</v>
      </c>
      <c r="F556" s="7" t="s">
        <v>14</v>
      </c>
      <c r="G556" s="30" t="s">
        <v>1097</v>
      </c>
      <c r="H556" s="31" t="s">
        <v>577</v>
      </c>
      <c r="I556" s="9">
        <v>5782</v>
      </c>
      <c r="J556" s="30" t="s">
        <v>1075</v>
      </c>
      <c r="K556" s="30">
        <v>32010</v>
      </c>
      <c r="L556" s="3" t="str">
        <f t="shared" si="17"/>
        <v>ΑΡΑΒΟΣΙΤΟΣ_ΕΝΣΙΡΩΣΗΣ</v>
      </c>
    </row>
    <row r="557" spans="1:12" s="3" customFormat="1" x14ac:dyDescent="0.25">
      <c r="A557" s="3" t="str">
        <f t="shared" si="16"/>
        <v>ΑΡΑΒΟΣΙΤΟΣ ΕΝΣΙΡΩΣΗΣΑΡΑΒΟΣΙΤΟΣ LG30597</v>
      </c>
      <c r="B557" s="23" t="s">
        <v>1072</v>
      </c>
      <c r="C557" s="24" t="s">
        <v>1098</v>
      </c>
      <c r="D557" s="6">
        <v>1314.55</v>
      </c>
      <c r="E557" s="6">
        <v>1158.28</v>
      </c>
      <c r="F557" s="7" t="s">
        <v>14</v>
      </c>
      <c r="G557" s="30" t="s">
        <v>1099</v>
      </c>
      <c r="H557" s="31" t="s">
        <v>577</v>
      </c>
      <c r="I557" s="9">
        <v>5783</v>
      </c>
      <c r="J557" s="30" t="s">
        <v>1075</v>
      </c>
      <c r="K557" s="30">
        <v>32011</v>
      </c>
      <c r="L557" s="3" t="str">
        <f t="shared" si="17"/>
        <v>ΑΡΑΒΟΣΙΤΟΣ_ΕΝΣΙΡΩΣΗΣ</v>
      </c>
    </row>
    <row r="558" spans="1:12" s="3" customFormat="1" x14ac:dyDescent="0.25">
      <c r="A558" s="3" t="str">
        <f t="shared" si="16"/>
        <v>ΑΡΑΒΟΣΙΤΟΣ ΕΝΣΙΡΩΣΗΣΑΡΑΒΟΣΙΤΟΣ GUADIANA</v>
      </c>
      <c r="B558" s="23" t="s">
        <v>1072</v>
      </c>
      <c r="C558" s="24" t="s">
        <v>1100</v>
      </c>
      <c r="D558" s="6">
        <v>1314.55</v>
      </c>
      <c r="E558" s="6">
        <v>1158.28</v>
      </c>
      <c r="F558" s="7" t="s">
        <v>14</v>
      </c>
      <c r="G558" s="30" t="s">
        <v>1101</v>
      </c>
      <c r="H558" s="31" t="s">
        <v>577</v>
      </c>
      <c r="I558" s="9">
        <v>5711</v>
      </c>
      <c r="J558" s="30" t="s">
        <v>1075</v>
      </c>
      <c r="K558" s="30">
        <v>32012</v>
      </c>
      <c r="L558" s="3" t="str">
        <f t="shared" si="17"/>
        <v>ΑΡΑΒΟΣΙΤΟΣ_ΕΝΣΙΡΩΣΗΣ</v>
      </c>
    </row>
    <row r="559" spans="1:12" s="3" customFormat="1" x14ac:dyDescent="0.25">
      <c r="A559" s="3" t="str">
        <f t="shared" si="16"/>
        <v>ΑΡΑΒΟΣΙΤΟΣ ΕΝΣΙΡΩΣΗΣΑΡΑΒΟΣΙΤΟΣ SY HYDRO</v>
      </c>
      <c r="B559" s="23" t="s">
        <v>1072</v>
      </c>
      <c r="C559" s="24" t="s">
        <v>1102</v>
      </c>
      <c r="D559" s="6">
        <v>1314.55</v>
      </c>
      <c r="E559" s="6">
        <v>1158.28</v>
      </c>
      <c r="F559" s="7" t="s">
        <v>14</v>
      </c>
      <c r="G559" s="30" t="s">
        <v>1103</v>
      </c>
      <c r="H559" s="31" t="s">
        <v>577</v>
      </c>
      <c r="I559" s="9">
        <v>5916</v>
      </c>
      <c r="J559" s="30" t="s">
        <v>1075</v>
      </c>
      <c r="K559" s="30">
        <v>32013</v>
      </c>
      <c r="L559" s="3" t="str">
        <f t="shared" si="17"/>
        <v>ΑΡΑΒΟΣΙΤΟΣ_ΕΝΣΙΡΩΣΗΣ</v>
      </c>
    </row>
    <row r="560" spans="1:12" s="3" customFormat="1" x14ac:dyDescent="0.25">
      <c r="A560" s="3" t="str">
        <f t="shared" si="16"/>
        <v>ΑΡΑΒΟΣΙΤΟΣ ΕΝΣΙΡΩΣΗΣΑΡΑΒΟΣΙΤΟΣ CISKO</v>
      </c>
      <c r="B560" s="23" t="s">
        <v>1072</v>
      </c>
      <c r="C560" s="24" t="s">
        <v>1104</v>
      </c>
      <c r="D560" s="6">
        <v>1314.55</v>
      </c>
      <c r="E560" s="6">
        <v>1158.28</v>
      </c>
      <c r="F560" s="7" t="s">
        <v>14</v>
      </c>
      <c r="G560" s="30" t="s">
        <v>1105</v>
      </c>
      <c r="H560" s="31" t="s">
        <v>577</v>
      </c>
      <c r="I560" s="9">
        <v>5668</v>
      </c>
      <c r="J560" s="30" t="s">
        <v>1075</v>
      </c>
      <c r="K560" s="30">
        <v>32014</v>
      </c>
      <c r="L560" s="3" t="str">
        <f t="shared" si="17"/>
        <v>ΑΡΑΒΟΣΙΤΟΣ_ΕΝΣΙΡΩΣΗΣ</v>
      </c>
    </row>
    <row r="561" spans="1:12" s="3" customFormat="1" x14ac:dyDescent="0.25">
      <c r="A561" s="3" t="str">
        <f t="shared" si="16"/>
        <v>ΑΡΑΒΟΣΙΤΟΣ ΕΝΣΙΡΩΣΗΣΑΡΑΒΟΣΙΤΟΣ SY JULLEN</v>
      </c>
      <c r="B561" s="23" t="s">
        <v>1072</v>
      </c>
      <c r="C561" s="24" t="s">
        <v>1106</v>
      </c>
      <c r="D561" s="6">
        <v>1314.55</v>
      </c>
      <c r="E561" s="6">
        <v>1158.28</v>
      </c>
      <c r="F561" s="7" t="s">
        <v>14</v>
      </c>
      <c r="G561" s="30" t="s">
        <v>1107</v>
      </c>
      <c r="H561" s="31" t="s">
        <v>577</v>
      </c>
      <c r="I561" s="9">
        <v>5917</v>
      </c>
      <c r="J561" s="30" t="s">
        <v>1075</v>
      </c>
      <c r="K561" s="30">
        <v>32015</v>
      </c>
      <c r="L561" s="3" t="str">
        <f t="shared" si="17"/>
        <v>ΑΡΑΒΟΣΙΤΟΣ_ΕΝΣΙΡΩΣΗΣ</v>
      </c>
    </row>
    <row r="562" spans="1:12" s="3" customFormat="1" x14ac:dyDescent="0.25">
      <c r="A562" s="3" t="str">
        <f t="shared" si="16"/>
        <v>ΑΡΑΒΟΣΙΤΟΣ ΕΝΣΙΡΩΣΗΣΑΡΑΒΟΣΙΤΟΣ NK FAMOSO</v>
      </c>
      <c r="B562" s="23" t="s">
        <v>1072</v>
      </c>
      <c r="C562" s="24" t="s">
        <v>1108</v>
      </c>
      <c r="D562" s="6">
        <v>1314.55</v>
      </c>
      <c r="E562" s="6">
        <v>1158.28</v>
      </c>
      <c r="F562" s="7" t="s">
        <v>14</v>
      </c>
      <c r="G562" s="30" t="s">
        <v>1109</v>
      </c>
      <c r="H562" s="31" t="s">
        <v>577</v>
      </c>
      <c r="I562" s="9">
        <v>5814</v>
      </c>
      <c r="J562" s="30" t="s">
        <v>1075</v>
      </c>
      <c r="K562" s="30">
        <v>32016</v>
      </c>
      <c r="L562" s="3" t="str">
        <f t="shared" si="17"/>
        <v>ΑΡΑΒΟΣΙΤΟΣ_ΕΝΣΙΡΩΣΗΣ</v>
      </c>
    </row>
    <row r="563" spans="1:12" s="3" customFormat="1" x14ac:dyDescent="0.25">
      <c r="A563" s="3" t="str">
        <f t="shared" si="16"/>
        <v>ΑΡΑΒΟΣΙΤΟΣ ΕΝΣΙΡΩΣΗΣΑΡΑΒΟΣΙΤΟΣ SY COMPETO</v>
      </c>
      <c r="B563" s="23" t="s">
        <v>1072</v>
      </c>
      <c r="C563" s="24" t="s">
        <v>1110</v>
      </c>
      <c r="D563" s="6">
        <v>1314.55</v>
      </c>
      <c r="E563" s="6">
        <v>1158.28</v>
      </c>
      <c r="F563" s="7" t="s">
        <v>14</v>
      </c>
      <c r="G563" s="30" t="s">
        <v>1111</v>
      </c>
      <c r="H563" s="31" t="s">
        <v>577</v>
      </c>
      <c r="I563" s="9">
        <v>5905</v>
      </c>
      <c r="J563" s="30" t="s">
        <v>1075</v>
      </c>
      <c r="K563" s="30">
        <v>32017</v>
      </c>
      <c r="L563" s="3" t="str">
        <f t="shared" si="17"/>
        <v>ΑΡΑΒΟΣΙΤΟΣ_ΕΝΣΙΡΩΣΗΣ</v>
      </c>
    </row>
    <row r="564" spans="1:12" s="3" customFormat="1" x14ac:dyDescent="0.25">
      <c r="A564" s="3" t="str">
        <f t="shared" si="16"/>
        <v>ΑΡΑΒΟΣΙΤΟΣ ΕΝΣΙΡΩΣΗΣΑΡΑΒΟΣΙΤΟΣ SY DECISO</v>
      </c>
      <c r="B564" s="23" t="s">
        <v>1072</v>
      </c>
      <c r="C564" s="24" t="s">
        <v>1112</v>
      </c>
      <c r="D564" s="6">
        <v>1314.55</v>
      </c>
      <c r="E564" s="6">
        <v>1158.28</v>
      </c>
      <c r="F564" s="7" t="s">
        <v>14</v>
      </c>
      <c r="G564" s="30" t="s">
        <v>1113</v>
      </c>
      <c r="H564" s="31" t="s">
        <v>577</v>
      </c>
      <c r="I564" s="9">
        <v>5906</v>
      </c>
      <c r="J564" s="30" t="s">
        <v>1075</v>
      </c>
      <c r="K564" s="30">
        <v>32018</v>
      </c>
      <c r="L564" s="3" t="str">
        <f t="shared" si="17"/>
        <v>ΑΡΑΒΟΣΙΤΟΣ_ΕΝΣΙΡΩΣΗΣ</v>
      </c>
    </row>
    <row r="565" spans="1:12" s="3" customFormat="1" x14ac:dyDescent="0.25">
      <c r="A565" s="3" t="str">
        <f t="shared" si="16"/>
        <v>ΑΡΑΒΟΣΙΤΟΣ ΕΝΣΙΡΩΣΗΣΑΡΑΒΟΣΙΤΟΣ SY MIAMI</v>
      </c>
      <c r="B565" s="23" t="s">
        <v>1072</v>
      </c>
      <c r="C565" s="24" t="s">
        <v>1114</v>
      </c>
      <c r="D565" s="6">
        <v>1314.55</v>
      </c>
      <c r="E565" s="6">
        <v>1158.28</v>
      </c>
      <c r="F565" s="7" t="s">
        <v>14</v>
      </c>
      <c r="G565" s="30" t="s">
        <v>1115</v>
      </c>
      <c r="H565" s="31" t="s">
        <v>577</v>
      </c>
      <c r="I565" s="9">
        <v>5918</v>
      </c>
      <c r="J565" s="30" t="s">
        <v>1075</v>
      </c>
      <c r="K565" s="30">
        <v>32019</v>
      </c>
      <c r="L565" s="3" t="str">
        <f t="shared" si="17"/>
        <v>ΑΡΑΒΟΣΙΤΟΣ_ΕΝΣΙΡΩΣΗΣ</v>
      </c>
    </row>
    <row r="566" spans="1:12" s="3" customFormat="1" x14ac:dyDescent="0.25">
      <c r="A566" s="3" t="str">
        <f t="shared" si="16"/>
        <v>ΑΡΑΒΟΣΙΤΟΣ ΕΝΣΙΡΩΣΗΣΑΡΑΒΟΣΙΤΟΣ NK PAKO</v>
      </c>
      <c r="B566" s="23" t="s">
        <v>1072</v>
      </c>
      <c r="C566" s="24" t="s">
        <v>1116</v>
      </c>
      <c r="D566" s="6">
        <v>1314.55</v>
      </c>
      <c r="E566" s="6">
        <v>1158.28</v>
      </c>
      <c r="F566" s="7" t="s">
        <v>14</v>
      </c>
      <c r="G566" s="30" t="s">
        <v>1117</v>
      </c>
      <c r="H566" s="31" t="s">
        <v>577</v>
      </c>
      <c r="I566" s="9">
        <v>5815</v>
      </c>
      <c r="J566" s="30" t="s">
        <v>1075</v>
      </c>
      <c r="K566" s="30">
        <v>32020</v>
      </c>
      <c r="L566" s="3" t="str">
        <f t="shared" si="17"/>
        <v>ΑΡΑΒΟΣΙΤΟΣ_ΕΝΣΙΡΩΣΗΣ</v>
      </c>
    </row>
    <row r="567" spans="1:12" s="3" customFormat="1" x14ac:dyDescent="0.25">
      <c r="A567" s="3" t="str">
        <f t="shared" si="16"/>
        <v>ΑΡΑΒΟΣΙΤΟΣ ΕΝΣΙΡΩΣΗΣΑΡΑΒΟΣΙΤΟΣ DKC 5276</v>
      </c>
      <c r="B567" s="23" t="s">
        <v>1072</v>
      </c>
      <c r="C567" s="24" t="s">
        <v>1118</v>
      </c>
      <c r="D567" s="6">
        <v>1314.55</v>
      </c>
      <c r="E567" s="6">
        <v>1158.28</v>
      </c>
      <c r="F567" s="7" t="s">
        <v>14</v>
      </c>
      <c r="G567" s="30" t="s">
        <v>1119</v>
      </c>
      <c r="H567" s="31" t="s">
        <v>577</v>
      </c>
      <c r="I567" s="9">
        <v>5673</v>
      </c>
      <c r="J567" s="30" t="s">
        <v>1075</v>
      </c>
      <c r="K567" s="30">
        <v>32021</v>
      </c>
      <c r="L567" s="3" t="str">
        <f t="shared" si="17"/>
        <v>ΑΡΑΒΟΣΙΤΟΣ_ΕΝΣΙΡΩΣΗΣ</v>
      </c>
    </row>
    <row r="568" spans="1:12" s="3" customFormat="1" x14ac:dyDescent="0.25">
      <c r="A568" s="3" t="str">
        <f t="shared" si="16"/>
        <v>ΑΡΑΒΟΣΙΤΟΣ ΕΝΣΙΡΩΣΗΣΑΡΑΒΟΣΙΤΟΣ AGN 720</v>
      </c>
      <c r="B568" s="23" t="s">
        <v>1072</v>
      </c>
      <c r="C568" s="24" t="s">
        <v>1120</v>
      </c>
      <c r="D568" s="6">
        <v>1314.55</v>
      </c>
      <c r="E568" s="6">
        <v>1158.28</v>
      </c>
      <c r="F568" s="7" t="s">
        <v>14</v>
      </c>
      <c r="G568" s="30" t="s">
        <v>1121</v>
      </c>
      <c r="H568" s="31" t="s">
        <v>577</v>
      </c>
      <c r="I568" s="9">
        <v>5641</v>
      </c>
      <c r="J568" s="30" t="s">
        <v>1075</v>
      </c>
      <c r="K568" s="30">
        <v>32022</v>
      </c>
      <c r="L568" s="3" t="str">
        <f t="shared" si="17"/>
        <v>ΑΡΑΒΟΣΙΤΟΣ_ΕΝΣΙΡΩΣΗΣ</v>
      </c>
    </row>
    <row r="569" spans="1:12" s="3" customFormat="1" x14ac:dyDescent="0.25">
      <c r="A569" s="3" t="str">
        <f t="shared" si="16"/>
        <v>ΑΡΑΒΟΣΙΤΟΣ ΕΝΣΙΡΩΣΗΣΑΡΑΒΟΣΙΤΟΣ AS 170 SILAZ</v>
      </c>
      <c r="B569" s="23" t="s">
        <v>1072</v>
      </c>
      <c r="C569" s="24" t="s">
        <v>1122</v>
      </c>
      <c r="D569" s="6">
        <v>1314.55</v>
      </c>
      <c r="E569" s="6">
        <v>1158.28</v>
      </c>
      <c r="F569" s="7" t="s">
        <v>14</v>
      </c>
      <c r="G569" s="30" t="s">
        <v>1123</v>
      </c>
      <c r="H569" s="31" t="s">
        <v>577</v>
      </c>
      <c r="I569" s="9">
        <v>5655</v>
      </c>
      <c r="J569" s="30" t="s">
        <v>1075</v>
      </c>
      <c r="K569" s="30">
        <v>32023</v>
      </c>
      <c r="L569" s="3" t="str">
        <f t="shared" si="17"/>
        <v>ΑΡΑΒΟΣΙΤΟΣ_ΕΝΣΙΡΩΣΗΣ</v>
      </c>
    </row>
    <row r="570" spans="1:12" s="3" customFormat="1" x14ac:dyDescent="0.25">
      <c r="A570" s="3" t="str">
        <f t="shared" si="16"/>
        <v>ΑΡΑΒΟΣΙΤΟΣ ΕΝΣΙΡΩΣΗΣΑΡΑΒΟΣΙΤΟΣ AS 537</v>
      </c>
      <c r="B570" s="23" t="s">
        <v>1072</v>
      </c>
      <c r="C570" s="24" t="s">
        <v>1124</v>
      </c>
      <c r="D570" s="6">
        <v>1314.55</v>
      </c>
      <c r="E570" s="6">
        <v>1158.28</v>
      </c>
      <c r="F570" s="7" t="s">
        <v>14</v>
      </c>
      <c r="G570" s="30" t="s">
        <v>1125</v>
      </c>
      <c r="H570" s="31" t="s">
        <v>577</v>
      </c>
      <c r="I570" s="9">
        <v>5656</v>
      </c>
      <c r="J570" s="30" t="s">
        <v>1075</v>
      </c>
      <c r="K570" s="30">
        <v>32024</v>
      </c>
      <c r="L570" s="3" t="str">
        <f t="shared" si="17"/>
        <v>ΑΡΑΒΟΣΙΤΟΣ_ΕΝΣΙΡΩΣΗΣ</v>
      </c>
    </row>
    <row r="571" spans="1:12" s="3" customFormat="1" x14ac:dyDescent="0.25">
      <c r="A571" s="3" t="str">
        <f t="shared" si="16"/>
        <v>ΑΡΑΒΟΣΙΤΟΣ ΕΝΣΙΡΩΣΗΣΑΡΑΒΟΣΙΤΟΣ DKC 6724</v>
      </c>
      <c r="B571" s="23" t="s">
        <v>1072</v>
      </c>
      <c r="C571" s="24" t="s">
        <v>1126</v>
      </c>
      <c r="D571" s="6">
        <v>1314.55</v>
      </c>
      <c r="E571" s="6">
        <v>1158.28</v>
      </c>
      <c r="F571" s="7" t="s">
        <v>14</v>
      </c>
      <c r="G571" s="30" t="s">
        <v>1127</v>
      </c>
      <c r="H571" s="31" t="s">
        <v>577</v>
      </c>
      <c r="I571" s="9">
        <v>5676</v>
      </c>
      <c r="J571" s="30" t="s">
        <v>1075</v>
      </c>
      <c r="K571" s="30">
        <v>32025</v>
      </c>
      <c r="L571" s="3" t="str">
        <f t="shared" si="17"/>
        <v>ΑΡΑΒΟΣΙΤΟΣ_ΕΝΣΙΡΩΣΗΣ</v>
      </c>
    </row>
    <row r="572" spans="1:12" s="3" customFormat="1" x14ac:dyDescent="0.25">
      <c r="A572" s="3" t="str">
        <f t="shared" si="16"/>
        <v>ΑΡΑΒΟΣΙΤΟΣ ΕΝΣΙΡΩΣΗΣΑΡΑΒΟΣΙΤΟΣ SY SENKO</v>
      </c>
      <c r="B572" s="23" t="s">
        <v>1072</v>
      </c>
      <c r="C572" s="24" t="s">
        <v>1128</v>
      </c>
      <c r="D572" s="6">
        <v>1314.55</v>
      </c>
      <c r="E572" s="6">
        <v>1158.28</v>
      </c>
      <c r="F572" s="7" t="s">
        <v>14</v>
      </c>
      <c r="G572" s="30" t="s">
        <v>1129</v>
      </c>
      <c r="H572" s="31" t="s">
        <v>577</v>
      </c>
      <c r="I572" s="9">
        <v>5921</v>
      </c>
      <c r="J572" s="30" t="s">
        <v>1075</v>
      </c>
      <c r="K572" s="30">
        <v>32026</v>
      </c>
      <c r="L572" s="3" t="str">
        <f t="shared" si="17"/>
        <v>ΑΡΑΒΟΣΙΤΟΣ_ΕΝΣΙΡΩΣΗΣ</v>
      </c>
    </row>
    <row r="573" spans="1:12" s="3" customFormat="1" x14ac:dyDescent="0.25">
      <c r="A573" s="3" t="str">
        <f t="shared" si="16"/>
        <v>ΑΡΑΒΟΣΙΤΟΣ ΕΝΣΙΡΩΣΗΣΑΡΑΒΟΣΙΤΟΣ CALGARY</v>
      </c>
      <c r="B573" s="23" t="s">
        <v>1072</v>
      </c>
      <c r="C573" s="24" t="s">
        <v>1130</v>
      </c>
      <c r="D573" s="6">
        <v>1314.55</v>
      </c>
      <c r="E573" s="6">
        <v>1158.28</v>
      </c>
      <c r="F573" s="7" t="s">
        <v>14</v>
      </c>
      <c r="G573" s="30" t="s">
        <v>1131</v>
      </c>
      <c r="H573" s="31" t="s">
        <v>577</v>
      </c>
      <c r="I573" s="9">
        <v>5665</v>
      </c>
      <c r="J573" s="30" t="s">
        <v>1075</v>
      </c>
      <c r="K573" s="30">
        <v>32027</v>
      </c>
      <c r="L573" s="3" t="str">
        <f t="shared" si="17"/>
        <v>ΑΡΑΒΟΣΙΤΟΣ_ΕΝΣΙΡΩΣΗΣ</v>
      </c>
    </row>
    <row r="574" spans="1:12" s="3" customFormat="1" x14ac:dyDescent="0.25">
      <c r="A574" s="3" t="str">
        <f t="shared" si="16"/>
        <v>ΑΡΑΒΟΣΙΤΟΣ ΕΝΣΙΡΩΣΗΣΑΡΑΒΟΣΙΤΟΣ DKC 6442</v>
      </c>
      <c r="B574" s="23" t="s">
        <v>1072</v>
      </c>
      <c r="C574" s="24" t="s">
        <v>1132</v>
      </c>
      <c r="D574" s="6">
        <v>1314.55</v>
      </c>
      <c r="E574" s="6">
        <v>1158.28</v>
      </c>
      <c r="F574" s="7" t="s">
        <v>14</v>
      </c>
      <c r="G574" s="30" t="s">
        <v>1133</v>
      </c>
      <c r="H574" s="31" t="s">
        <v>577</v>
      </c>
      <c r="I574" s="9">
        <v>5675</v>
      </c>
      <c r="J574" s="30" t="s">
        <v>1075</v>
      </c>
      <c r="K574" s="30">
        <v>32028</v>
      </c>
      <c r="L574" s="3" t="str">
        <f t="shared" si="17"/>
        <v>ΑΡΑΒΟΣΙΤΟΣ_ΕΝΣΙΡΩΣΗΣ</v>
      </c>
    </row>
    <row r="575" spans="1:12" s="3" customFormat="1" x14ac:dyDescent="0.25">
      <c r="A575" s="3" t="str">
        <f t="shared" si="16"/>
        <v>ΑΡΑΒΟΣΙΤΟΣ ΕΝΣΙΡΩΣΗΣΑΡΑΒΟΣΙΤΟΣ AS 72</v>
      </c>
      <c r="B575" s="23" t="s">
        <v>1072</v>
      </c>
      <c r="C575" s="24" t="s">
        <v>1134</v>
      </c>
      <c r="D575" s="6">
        <v>1314.55</v>
      </c>
      <c r="E575" s="6">
        <v>1158.28</v>
      </c>
      <c r="F575" s="7" t="s">
        <v>14</v>
      </c>
      <c r="G575" s="30" t="s">
        <v>1135</v>
      </c>
      <c r="H575" s="31" t="s">
        <v>577</v>
      </c>
      <c r="I575" s="9">
        <v>5659</v>
      </c>
      <c r="J575" s="30" t="s">
        <v>1075</v>
      </c>
      <c r="K575" s="30">
        <v>32029</v>
      </c>
      <c r="L575" s="3" t="str">
        <f t="shared" si="17"/>
        <v>ΑΡΑΒΟΣΙΤΟΣ_ΕΝΣΙΡΩΣΗΣ</v>
      </c>
    </row>
    <row r="576" spans="1:12" s="3" customFormat="1" x14ac:dyDescent="0.25">
      <c r="A576" s="3" t="str">
        <f t="shared" si="16"/>
        <v>ΑΡΑΒΟΣΙΤΟΣ ΕΝΣΙΡΩΣΗΣΑΡΑΒΟΣΙΤΟΣ KEFRANCOS</v>
      </c>
      <c r="B576" s="23" t="s">
        <v>1072</v>
      </c>
      <c r="C576" s="24" t="s">
        <v>1136</v>
      </c>
      <c r="D576" s="6">
        <v>1314.55</v>
      </c>
      <c r="E576" s="6">
        <v>1158.28</v>
      </c>
      <c r="F576" s="7" t="s">
        <v>14</v>
      </c>
      <c r="G576" s="30" t="s">
        <v>1137</v>
      </c>
      <c r="H576" s="31" t="s">
        <v>577</v>
      </c>
      <c r="I576" s="9">
        <v>5750</v>
      </c>
      <c r="J576" s="30" t="s">
        <v>1075</v>
      </c>
      <c r="K576" s="30">
        <v>32030</v>
      </c>
      <c r="L576" s="3" t="str">
        <f t="shared" si="17"/>
        <v>ΑΡΑΒΟΣΙΤΟΣ_ΕΝΣΙΡΩΣΗΣ</v>
      </c>
    </row>
    <row r="577" spans="1:12" s="3" customFormat="1" x14ac:dyDescent="0.25">
      <c r="A577" s="3" t="str">
        <f t="shared" si="16"/>
        <v>ΑΡΑΒΟΣΙΤΟΣ ΕΝΣΙΡΩΣΗΣΑΡΑΒΟΣΙΤΟΣ DUGI</v>
      </c>
      <c r="B577" s="23" t="s">
        <v>1072</v>
      </c>
      <c r="C577" s="24" t="s">
        <v>1138</v>
      </c>
      <c r="D577" s="6">
        <v>1314.55</v>
      </c>
      <c r="E577" s="6">
        <v>1158.28</v>
      </c>
      <c r="F577" s="7" t="s">
        <v>14</v>
      </c>
      <c r="G577" s="30" t="s">
        <v>1139</v>
      </c>
      <c r="H577" s="31" t="s">
        <v>577</v>
      </c>
      <c r="I577" s="9">
        <v>5703</v>
      </c>
      <c r="J577" s="30" t="s">
        <v>1075</v>
      </c>
      <c r="K577" s="30">
        <v>32031</v>
      </c>
      <c r="L577" s="3" t="str">
        <f t="shared" si="17"/>
        <v>ΑΡΑΒΟΣΙΤΟΣ_ΕΝΣΙΡΩΣΗΣ</v>
      </c>
    </row>
    <row r="578" spans="1:12" s="3" customFormat="1" x14ac:dyDescent="0.25">
      <c r="A578" s="3" t="str">
        <f t="shared" si="16"/>
        <v>ΑΡΑΒΟΣΙΤΟΣ ΕΝΣΙΡΩΣΗΣΑΡΑΒΟΣΙΤΟΣ P1565</v>
      </c>
      <c r="B578" s="23" t="s">
        <v>1072</v>
      </c>
      <c r="C578" s="24" t="s">
        <v>1140</v>
      </c>
      <c r="D578" s="6">
        <v>1314.55</v>
      </c>
      <c r="E578" s="6">
        <v>1158.28</v>
      </c>
      <c r="F578" s="7" t="s">
        <v>14</v>
      </c>
      <c r="G578" s="30" t="s">
        <v>1141</v>
      </c>
      <c r="H578" s="31" t="s">
        <v>577</v>
      </c>
      <c r="I578" s="9">
        <v>5850</v>
      </c>
      <c r="J578" s="30" t="s">
        <v>1075</v>
      </c>
      <c r="K578" s="30">
        <v>32032</v>
      </c>
      <c r="L578" s="3" t="str">
        <f t="shared" si="17"/>
        <v>ΑΡΑΒΟΣΙΤΟΣ_ΕΝΣΙΡΩΣΗΣ</v>
      </c>
    </row>
    <row r="579" spans="1:12" s="3" customFormat="1" x14ac:dyDescent="0.25">
      <c r="A579" s="3" t="str">
        <f t="shared" ref="A579:A642" si="18">_xlfn.CONCAT(B579,C579)</f>
        <v>ΑΡΑΒΟΣΙΤΟΣ ΕΝΣΙΡΩΣΗΣΑΡΑΒΟΣΙΤΟΣ MAS 66C</v>
      </c>
      <c r="B579" s="23" t="s">
        <v>1072</v>
      </c>
      <c r="C579" s="24" t="s">
        <v>1142</v>
      </c>
      <c r="D579" s="6">
        <v>1314.55</v>
      </c>
      <c r="E579" s="6">
        <v>1158.28</v>
      </c>
      <c r="F579" s="7" t="s">
        <v>14</v>
      </c>
      <c r="G579" s="30" t="s">
        <v>1143</v>
      </c>
      <c r="H579" s="31" t="s">
        <v>577</v>
      </c>
      <c r="I579" s="9">
        <v>5808</v>
      </c>
      <c r="J579" s="30" t="s">
        <v>1075</v>
      </c>
      <c r="K579" s="30">
        <v>32033</v>
      </c>
      <c r="L579" s="3" t="str">
        <f t="shared" ref="L579:L642" si="19">IFERROR(SUBSTITUTE(SUBSTITUTE(SUBSTITUTE(SUBSTITUTE(SUBSTITUTE(B579, "-", "_"), " ", "_"), ",", ""), "(", ""), ")", ""), B579)</f>
        <v>ΑΡΑΒΟΣΙΤΟΣ_ΕΝΣΙΡΩΣΗΣ</v>
      </c>
    </row>
    <row r="580" spans="1:12" s="3" customFormat="1" x14ac:dyDescent="0.25">
      <c r="A580" s="3" t="str">
        <f t="shared" si="18"/>
        <v>ΑΡΑΒΟΣΙΤΟΣ ΕΝΣΙΡΩΣΗΣΑΡΑΒΟΣΙΤΟΣ KALUMET</v>
      </c>
      <c r="B580" s="23" t="s">
        <v>1072</v>
      </c>
      <c r="C580" s="24" t="s">
        <v>1144</v>
      </c>
      <c r="D580" s="6">
        <v>1314.55</v>
      </c>
      <c r="E580" s="6">
        <v>1158.28</v>
      </c>
      <c r="F580" s="7" t="s">
        <v>14</v>
      </c>
      <c r="G580" s="30" t="s">
        <v>1145</v>
      </c>
      <c r="H580" s="31" t="s">
        <v>577</v>
      </c>
      <c r="I580" s="9">
        <v>5746</v>
      </c>
      <c r="J580" s="30" t="s">
        <v>1075</v>
      </c>
      <c r="K580" s="30">
        <v>32034</v>
      </c>
      <c r="L580" s="3" t="str">
        <f t="shared" si="19"/>
        <v>ΑΡΑΒΟΣΙΤΟΣ_ΕΝΣΙΡΩΣΗΣ</v>
      </c>
    </row>
    <row r="581" spans="1:12" s="3" customFormat="1" x14ac:dyDescent="0.25">
      <c r="A581" s="3" t="str">
        <f t="shared" si="18"/>
        <v>ΑΡΑΒΟΣΙΤΟΣ ΕΝΣΙΡΩΣΗΣΑΡΑΒΟΣΙΤΟΣ COLONIA</v>
      </c>
      <c r="B581" s="23" t="s">
        <v>1072</v>
      </c>
      <c r="C581" s="24" t="s">
        <v>1146</v>
      </c>
      <c r="D581" s="6">
        <v>1314.55</v>
      </c>
      <c r="E581" s="6">
        <v>1158.28</v>
      </c>
      <c r="F581" s="7" t="s">
        <v>14</v>
      </c>
      <c r="G581" s="30" t="s">
        <v>1147</v>
      </c>
      <c r="H581" s="31" t="s">
        <v>577</v>
      </c>
      <c r="I581" s="9">
        <v>5669</v>
      </c>
      <c r="J581" s="30" t="s">
        <v>1075</v>
      </c>
      <c r="K581" s="30">
        <v>32035</v>
      </c>
      <c r="L581" s="3" t="str">
        <f t="shared" si="19"/>
        <v>ΑΡΑΒΟΣΙΤΟΣ_ΕΝΣΙΡΩΣΗΣ</v>
      </c>
    </row>
    <row r="582" spans="1:12" s="3" customFormat="1" x14ac:dyDescent="0.25">
      <c r="A582" s="3" t="str">
        <f t="shared" si="18"/>
        <v>ΑΡΑΒΟΣΙΤΟΣ ΕΝΣΙΡΩΣΗΣΑΡΑΒΟΣΙΤΟΣ KERMESS</v>
      </c>
      <c r="B582" s="23" t="s">
        <v>1072</v>
      </c>
      <c r="C582" s="24" t="s">
        <v>1148</v>
      </c>
      <c r="D582" s="6">
        <v>1314.55</v>
      </c>
      <c r="E582" s="6">
        <v>1158.28</v>
      </c>
      <c r="F582" s="7" t="s">
        <v>14</v>
      </c>
      <c r="G582" s="30" t="s">
        <v>1149</v>
      </c>
      <c r="H582" s="31" t="s">
        <v>577</v>
      </c>
      <c r="I582" s="9">
        <v>5753</v>
      </c>
      <c r="J582" s="30" t="s">
        <v>1075</v>
      </c>
      <c r="K582" s="30">
        <v>32036</v>
      </c>
      <c r="L582" s="3" t="str">
        <f t="shared" si="19"/>
        <v>ΑΡΑΒΟΣΙΤΟΣ_ΕΝΣΙΡΩΣΗΣ</v>
      </c>
    </row>
    <row r="583" spans="1:12" s="3" customFormat="1" x14ac:dyDescent="0.25">
      <c r="A583" s="3" t="str">
        <f t="shared" si="18"/>
        <v>ΑΡΑΒΟΣΙΤΟΣ ΕΝΣΙΡΩΣΗΣΑΡΑΒΟΣΙΤΟΣ AS 730</v>
      </c>
      <c r="B583" s="23" t="s">
        <v>1072</v>
      </c>
      <c r="C583" s="24" t="s">
        <v>1150</v>
      </c>
      <c r="D583" s="6">
        <v>1314.55</v>
      </c>
      <c r="E583" s="6">
        <v>1158.28</v>
      </c>
      <c r="F583" s="7" t="s">
        <v>14</v>
      </c>
      <c r="G583" s="30" t="s">
        <v>1151</v>
      </c>
      <c r="H583" s="31" t="s">
        <v>577</v>
      </c>
      <c r="I583" s="9">
        <v>5660</v>
      </c>
      <c r="J583" s="30" t="s">
        <v>1075</v>
      </c>
      <c r="K583" s="30">
        <v>32037</v>
      </c>
      <c r="L583" s="3" t="str">
        <f t="shared" si="19"/>
        <v>ΑΡΑΒΟΣΙΤΟΣ_ΕΝΣΙΡΩΣΗΣ</v>
      </c>
    </row>
    <row r="584" spans="1:12" s="3" customFormat="1" x14ac:dyDescent="0.25">
      <c r="A584" s="3" t="str">
        <f t="shared" si="18"/>
        <v>ΑΡΑΒΟΣΙΤΟΣ ΕΝΣΙΡΩΣΗΣΑΡΑΒΟΣΙΤΟΣ AS5M10</v>
      </c>
      <c r="B584" s="23" t="s">
        <v>1072</v>
      </c>
      <c r="C584" s="24" t="s">
        <v>1152</v>
      </c>
      <c r="D584" s="6">
        <v>1314.55</v>
      </c>
      <c r="E584" s="6">
        <v>1158.28</v>
      </c>
      <c r="F584" s="7" t="s">
        <v>14</v>
      </c>
      <c r="G584" s="30" t="s">
        <v>1153</v>
      </c>
      <c r="H584" s="31" t="s">
        <v>577</v>
      </c>
      <c r="I584" s="9">
        <v>5661</v>
      </c>
      <c r="J584" s="30" t="s">
        <v>1075</v>
      </c>
      <c r="K584" s="30">
        <v>32038</v>
      </c>
      <c r="L584" s="3" t="str">
        <f t="shared" si="19"/>
        <v>ΑΡΑΒΟΣΙΤΟΣ_ΕΝΣΙΡΩΣΗΣ</v>
      </c>
    </row>
    <row r="585" spans="1:12" s="3" customFormat="1" x14ac:dyDescent="0.25">
      <c r="A585" s="3" t="str">
        <f t="shared" si="18"/>
        <v>ΑΡΑΒΟΣΙΤΟΣ ΕΝΣΙΡΩΣΗΣΑΡΑΒΟΣΙΤΟΣ EGEAN</v>
      </c>
      <c r="B585" s="23" t="s">
        <v>1072</v>
      </c>
      <c r="C585" s="24" t="s">
        <v>1154</v>
      </c>
      <c r="D585" s="6">
        <v>1314.55</v>
      </c>
      <c r="E585" s="6">
        <v>1158.28</v>
      </c>
      <c r="F585" s="7" t="s">
        <v>14</v>
      </c>
      <c r="G585" s="30" t="s">
        <v>1155</v>
      </c>
      <c r="H585" s="31" t="s">
        <v>577</v>
      </c>
      <c r="I585" s="9">
        <v>5704</v>
      </c>
      <c r="J585" s="30" t="s">
        <v>1075</v>
      </c>
      <c r="K585" s="30">
        <v>32039</v>
      </c>
      <c r="L585" s="3" t="str">
        <f t="shared" si="19"/>
        <v>ΑΡΑΒΟΣΙΤΟΣ_ΕΝΣΙΡΩΣΗΣ</v>
      </c>
    </row>
    <row r="586" spans="1:12" s="3" customFormat="1" x14ac:dyDescent="0.25">
      <c r="A586" s="3" t="str">
        <f t="shared" si="18"/>
        <v>ΑΡΑΒΟΣΙΤΟΣ ΕΝΣΙΡΩΣΗΣΑΡΑΒΟΣΙΤΟΣ FLAME</v>
      </c>
      <c r="B586" s="23" t="s">
        <v>1072</v>
      </c>
      <c r="C586" s="24" t="s">
        <v>1156</v>
      </c>
      <c r="D586" s="6">
        <v>1314.55</v>
      </c>
      <c r="E586" s="6">
        <v>1158.28</v>
      </c>
      <c r="F586" s="7" t="s">
        <v>14</v>
      </c>
      <c r="G586" s="30" t="s">
        <v>1157</v>
      </c>
      <c r="H586" s="31" t="s">
        <v>577</v>
      </c>
      <c r="I586" s="9">
        <v>5707</v>
      </c>
      <c r="J586" s="30" t="s">
        <v>1075</v>
      </c>
      <c r="K586" s="30">
        <v>32040</v>
      </c>
      <c r="L586" s="3" t="str">
        <f t="shared" si="19"/>
        <v>ΑΡΑΒΟΣΙΤΟΣ_ΕΝΣΙΡΩΣΗΣ</v>
      </c>
    </row>
    <row r="587" spans="1:12" s="3" customFormat="1" x14ac:dyDescent="0.25">
      <c r="A587" s="3" t="str">
        <f t="shared" si="18"/>
        <v>ΑΡΑΒΟΣΙΤΟΣ ΕΝΣΙΡΩΣΗΣΑΡΑΒΟΣΙΤΟΣ GW 1282</v>
      </c>
      <c r="B587" s="23" t="s">
        <v>1072</v>
      </c>
      <c r="C587" s="24" t="s">
        <v>1158</v>
      </c>
      <c r="D587" s="6">
        <v>1314.55</v>
      </c>
      <c r="E587" s="6">
        <v>1158.28</v>
      </c>
      <c r="F587" s="7" t="s">
        <v>14</v>
      </c>
      <c r="G587" s="30" t="s">
        <v>1159</v>
      </c>
      <c r="H587" s="31" t="s">
        <v>577</v>
      </c>
      <c r="I587" s="9">
        <v>5715</v>
      </c>
      <c r="J587" s="30" t="s">
        <v>1075</v>
      </c>
      <c r="K587" s="30">
        <v>32041</v>
      </c>
      <c r="L587" s="3" t="str">
        <f t="shared" si="19"/>
        <v>ΑΡΑΒΟΣΙΤΟΣ_ΕΝΣΙΡΩΣΗΣ</v>
      </c>
    </row>
    <row r="588" spans="1:12" s="3" customFormat="1" x14ac:dyDescent="0.25">
      <c r="A588" s="3" t="str">
        <f t="shared" si="18"/>
        <v xml:space="preserve">ΑΡΑΒΟΣΙΤΟΣ ΕΝΣΙΡΩΣΗΣΑΡΑΒΟΣΙΤΟΣ GW 2110 </v>
      </c>
      <c r="B588" s="23" t="s">
        <v>1072</v>
      </c>
      <c r="C588" s="24" t="s">
        <v>1160</v>
      </c>
      <c r="D588" s="6">
        <v>1314.55</v>
      </c>
      <c r="E588" s="6">
        <v>1158.28</v>
      </c>
      <c r="F588" s="7" t="s">
        <v>14</v>
      </c>
      <c r="G588" s="30" t="s">
        <v>1161</v>
      </c>
      <c r="H588" s="31" t="s">
        <v>577</v>
      </c>
      <c r="I588" s="9">
        <v>5716</v>
      </c>
      <c r="J588" s="30" t="s">
        <v>1075</v>
      </c>
      <c r="K588" s="30">
        <v>32042</v>
      </c>
      <c r="L588" s="3" t="str">
        <f t="shared" si="19"/>
        <v>ΑΡΑΒΟΣΙΤΟΣ_ΕΝΣΙΡΩΣΗΣ</v>
      </c>
    </row>
    <row r="589" spans="1:12" s="3" customFormat="1" x14ac:dyDescent="0.25">
      <c r="A589" s="3" t="str">
        <f t="shared" si="18"/>
        <v>ΑΡΑΒΟΣΙΤΟΣ ΕΝΣΙΡΩΣΗΣΑΡΑΒΟΣΙΤΟΣ GW 3436</v>
      </c>
      <c r="B589" s="23" t="s">
        <v>1072</v>
      </c>
      <c r="C589" s="24" t="s">
        <v>1162</v>
      </c>
      <c r="D589" s="6">
        <v>1314.55</v>
      </c>
      <c r="E589" s="6">
        <v>1158.28</v>
      </c>
      <c r="F589" s="7" t="s">
        <v>14</v>
      </c>
      <c r="G589" s="30" t="s">
        <v>1163</v>
      </c>
      <c r="H589" s="31" t="s">
        <v>577</v>
      </c>
      <c r="I589" s="9">
        <v>5719</v>
      </c>
      <c r="J589" s="30" t="s">
        <v>1075</v>
      </c>
      <c r="K589" s="30">
        <v>32043</v>
      </c>
      <c r="L589" s="3" t="str">
        <f t="shared" si="19"/>
        <v>ΑΡΑΒΟΣΙΤΟΣ_ΕΝΣΙΡΩΣΗΣ</v>
      </c>
    </row>
    <row r="590" spans="1:12" s="3" customFormat="1" x14ac:dyDescent="0.25">
      <c r="A590" s="3" t="str">
        <f t="shared" si="18"/>
        <v>ΑΡΑΒΟΣΙΤΟΣ ΕΝΣΙΡΩΣΗΣΑΡΑΒΟΣΙΤΟΣ GW 3808</v>
      </c>
      <c r="B590" s="23" t="s">
        <v>1072</v>
      </c>
      <c r="C590" s="24" t="s">
        <v>1164</v>
      </c>
      <c r="D590" s="6">
        <v>1314.55</v>
      </c>
      <c r="E590" s="6">
        <v>1158.28</v>
      </c>
      <c r="F590" s="7" t="s">
        <v>14</v>
      </c>
      <c r="G590" s="30" t="s">
        <v>1165</v>
      </c>
      <c r="H590" s="31" t="s">
        <v>577</v>
      </c>
      <c r="I590" s="9">
        <v>5721</v>
      </c>
      <c r="J590" s="30" t="s">
        <v>1075</v>
      </c>
      <c r="K590" s="30">
        <v>32044</v>
      </c>
      <c r="L590" s="3" t="str">
        <f t="shared" si="19"/>
        <v>ΑΡΑΒΟΣΙΤΟΣ_ΕΝΣΙΡΩΣΗΣ</v>
      </c>
    </row>
    <row r="591" spans="1:12" s="3" customFormat="1" x14ac:dyDescent="0.25">
      <c r="A591" s="3" t="str">
        <f t="shared" si="18"/>
        <v>ΑΡΑΒΟΣΙΤΟΣ ΕΝΣΙΡΩΣΗΣΑΡΑΒΟΣΙΤΟΣ HARIS NS</v>
      </c>
      <c r="B591" s="23" t="s">
        <v>1072</v>
      </c>
      <c r="C591" s="24" t="s">
        <v>1166</v>
      </c>
      <c r="D591" s="6">
        <v>1314.55</v>
      </c>
      <c r="E591" s="6">
        <v>1158.28</v>
      </c>
      <c r="F591" s="7" t="s">
        <v>14</v>
      </c>
      <c r="G591" s="30" t="s">
        <v>1167</v>
      </c>
      <c r="H591" s="31" t="s">
        <v>577</v>
      </c>
      <c r="I591" s="9">
        <v>5737</v>
      </c>
      <c r="J591" s="30" t="s">
        <v>1075</v>
      </c>
      <c r="K591" s="30">
        <v>32045</v>
      </c>
      <c r="L591" s="3" t="str">
        <f t="shared" si="19"/>
        <v>ΑΡΑΒΟΣΙΤΟΣ_ΕΝΣΙΡΩΣΗΣ</v>
      </c>
    </row>
    <row r="592" spans="1:12" s="3" customFormat="1" x14ac:dyDescent="0.25">
      <c r="A592" s="3" t="str">
        <f t="shared" si="18"/>
        <v>ΑΡΑΒΟΣΙΤΟΣ ΕΝΣΙΡΩΣΗΣΑΡΑΒΟΣΙΤΟΣ MAS 54T</v>
      </c>
      <c r="B592" s="23" t="s">
        <v>1072</v>
      </c>
      <c r="C592" s="24" t="s">
        <v>1168</v>
      </c>
      <c r="D592" s="6">
        <v>1314.55</v>
      </c>
      <c r="E592" s="6">
        <v>1158.28</v>
      </c>
      <c r="F592" s="7" t="s">
        <v>14</v>
      </c>
      <c r="G592" s="30" t="s">
        <v>1169</v>
      </c>
      <c r="H592" s="31" t="s">
        <v>577</v>
      </c>
      <c r="I592" s="9">
        <v>5803</v>
      </c>
      <c r="J592" s="30" t="s">
        <v>1075</v>
      </c>
      <c r="K592" s="30">
        <v>32046</v>
      </c>
      <c r="L592" s="3" t="str">
        <f t="shared" si="19"/>
        <v>ΑΡΑΒΟΣΙΤΟΣ_ΕΝΣΙΡΩΣΗΣ</v>
      </c>
    </row>
    <row r="593" spans="1:12" s="3" customFormat="1" x14ac:dyDescent="0.25">
      <c r="A593" s="3" t="str">
        <f t="shared" si="18"/>
        <v>ΑΡΑΒΟΣΙΤΟΣ ΕΝΣΙΡΩΣΗΣΑΡΑΒΟΣΙΤΟΣ ODYSSEAS</v>
      </c>
      <c r="B593" s="23" t="s">
        <v>1072</v>
      </c>
      <c r="C593" s="24" t="s">
        <v>1170</v>
      </c>
      <c r="D593" s="6">
        <v>1314.55</v>
      </c>
      <c r="E593" s="6">
        <v>1158.28</v>
      </c>
      <c r="F593" s="7" t="s">
        <v>14</v>
      </c>
      <c r="G593" s="30" t="s">
        <v>1171</v>
      </c>
      <c r="H593" s="31" t="s">
        <v>577</v>
      </c>
      <c r="I593" s="9">
        <v>5816</v>
      </c>
      <c r="J593" s="30" t="s">
        <v>1075</v>
      </c>
      <c r="K593" s="30">
        <v>32047</v>
      </c>
      <c r="L593" s="3" t="str">
        <f t="shared" si="19"/>
        <v>ΑΡΑΒΟΣΙΤΟΣ_ΕΝΣΙΡΩΣΗΣ</v>
      </c>
    </row>
    <row r="594" spans="1:12" s="3" customFormat="1" x14ac:dyDescent="0.25">
      <c r="A594" s="3" t="str">
        <f t="shared" si="18"/>
        <v>ΑΡΑΒΟΣΙΤΟΣ ΕΝΣΙΡΩΣΗΣΑΡΑΒΟΣΙΤΟΣ STATUS</v>
      </c>
      <c r="B594" s="23" t="s">
        <v>1072</v>
      </c>
      <c r="C594" s="24" t="s">
        <v>1172</v>
      </c>
      <c r="D594" s="6">
        <v>1314.55</v>
      </c>
      <c r="E594" s="6">
        <v>1158.28</v>
      </c>
      <c r="F594" s="7" t="s">
        <v>14</v>
      </c>
      <c r="G594" s="30" t="s">
        <v>1173</v>
      </c>
      <c r="H594" s="31" t="s">
        <v>577</v>
      </c>
      <c r="I594" s="9">
        <v>5896</v>
      </c>
      <c r="J594" s="30" t="s">
        <v>1075</v>
      </c>
      <c r="K594" s="30">
        <v>32048</v>
      </c>
      <c r="L594" s="3" t="str">
        <f t="shared" si="19"/>
        <v>ΑΡΑΒΟΣΙΤΟΣ_ΕΝΣΙΡΩΣΗΣ</v>
      </c>
    </row>
    <row r="595" spans="1:12" s="3" customFormat="1" x14ac:dyDescent="0.25">
      <c r="A595" s="3" t="str">
        <f t="shared" si="18"/>
        <v>ΑΡΑΒΟΣΙΤΟΣ ΕΝΣΙΡΩΣΗΣΑΡΑΒΟΣΙΤΟΣ DIAS</v>
      </c>
      <c r="B595" s="23" t="s">
        <v>1072</v>
      </c>
      <c r="C595" s="24" t="s">
        <v>1174</v>
      </c>
      <c r="D595" s="6">
        <v>1314.55</v>
      </c>
      <c r="E595" s="6">
        <v>1158.28</v>
      </c>
      <c r="F595" s="7" t="s">
        <v>14</v>
      </c>
      <c r="G595" s="30" t="s">
        <v>1175</v>
      </c>
      <c r="H595" s="31" t="s">
        <v>577</v>
      </c>
      <c r="I595" s="9">
        <v>5672</v>
      </c>
      <c r="J595" s="30" t="s">
        <v>1075</v>
      </c>
      <c r="K595" s="30">
        <v>32049</v>
      </c>
      <c r="L595" s="3" t="str">
        <f t="shared" si="19"/>
        <v>ΑΡΑΒΟΣΙΤΟΣ_ΕΝΣΙΡΩΣΗΣ</v>
      </c>
    </row>
    <row r="596" spans="1:12" s="3" customFormat="1" x14ac:dyDescent="0.25">
      <c r="A596" s="3" t="str">
        <f t="shared" si="18"/>
        <v xml:space="preserve">ΑΡΑΒΟΣΙΤΟΣ ΕΝΣΙΡΩΣΗΣΑΡΑΒΟΣΙΤΟΣ GW 8008 </v>
      </c>
      <c r="B596" s="23" t="s">
        <v>1072</v>
      </c>
      <c r="C596" s="24" t="s">
        <v>1176</v>
      </c>
      <c r="D596" s="6">
        <v>1314.55</v>
      </c>
      <c r="E596" s="6">
        <v>1158.28</v>
      </c>
      <c r="F596" s="7" t="s">
        <v>14</v>
      </c>
      <c r="G596" s="30" t="s">
        <v>1177</v>
      </c>
      <c r="H596" s="31" t="s">
        <v>577</v>
      </c>
      <c r="I596" s="9">
        <v>5727</v>
      </c>
      <c r="J596" s="30" t="s">
        <v>1075</v>
      </c>
      <c r="K596" s="30">
        <v>32050</v>
      </c>
      <c r="L596" s="3" t="str">
        <f t="shared" si="19"/>
        <v>ΑΡΑΒΟΣΙΤΟΣ_ΕΝΣΙΡΩΣΗΣ</v>
      </c>
    </row>
    <row r="597" spans="1:12" s="3" customFormat="1" x14ac:dyDescent="0.25">
      <c r="A597" s="3" t="str">
        <f t="shared" si="18"/>
        <v>ΑΡΑΒΟΣΙΤΟΣ ΕΝΣΙΡΩΣΗΣΑΡΑΒΟΣΙΤΟΣ GW 8266</v>
      </c>
      <c r="B597" s="23" t="s">
        <v>1072</v>
      </c>
      <c r="C597" s="24" t="s">
        <v>1178</v>
      </c>
      <c r="D597" s="6">
        <v>1314.55</v>
      </c>
      <c r="E597" s="6">
        <v>1158.28</v>
      </c>
      <c r="F597" s="7" t="s">
        <v>14</v>
      </c>
      <c r="G597" s="30" t="s">
        <v>1179</v>
      </c>
      <c r="H597" s="31" t="s">
        <v>577</v>
      </c>
      <c r="I597" s="9">
        <v>5728</v>
      </c>
      <c r="J597" s="30" t="s">
        <v>1075</v>
      </c>
      <c r="K597" s="30">
        <v>32051</v>
      </c>
      <c r="L597" s="3" t="str">
        <f t="shared" si="19"/>
        <v>ΑΡΑΒΟΣΙΤΟΣ_ΕΝΣΙΡΩΣΗΣ</v>
      </c>
    </row>
    <row r="598" spans="1:12" s="3" customFormat="1" x14ac:dyDescent="0.25">
      <c r="A598" s="3" t="str">
        <f t="shared" si="18"/>
        <v>ΑΡΑΒΟΣΙΤΟΣ ΕΝΣΙΡΩΣΗΣΑΡΑΒΟΣΙΤΟΣ WHANGAMATA</v>
      </c>
      <c r="B598" s="23" t="s">
        <v>1072</v>
      </c>
      <c r="C598" s="24" t="s">
        <v>1180</v>
      </c>
      <c r="D598" s="6">
        <v>1314.55</v>
      </c>
      <c r="E598" s="6">
        <v>1158.28</v>
      </c>
      <c r="F598" s="7" t="s">
        <v>14</v>
      </c>
      <c r="G598" s="30" t="s">
        <v>1181</v>
      </c>
      <c r="H598" s="31" t="s">
        <v>577</v>
      </c>
      <c r="I598" s="9">
        <v>5926</v>
      </c>
      <c r="J598" s="30" t="s">
        <v>1075</v>
      </c>
      <c r="K598" s="30">
        <v>32052</v>
      </c>
      <c r="L598" s="3" t="str">
        <f t="shared" si="19"/>
        <v>ΑΡΑΒΟΣΙΤΟΣ_ΕΝΣΙΡΩΣΗΣ</v>
      </c>
    </row>
    <row r="599" spans="1:12" s="3" customFormat="1" x14ac:dyDescent="0.25">
      <c r="A599" s="3" t="str">
        <f t="shared" si="18"/>
        <v>ΑΡΑΒΟΣΙΤΟΣ ΕΝΣΙΡΩΣΗΣΑΡΑΒΟΣΙΤΟΣ AGN 520</v>
      </c>
      <c r="B599" s="23" t="s">
        <v>1072</v>
      </c>
      <c r="C599" s="24" t="s">
        <v>1182</v>
      </c>
      <c r="D599" s="6">
        <v>1314.55</v>
      </c>
      <c r="E599" s="6">
        <v>1158.28</v>
      </c>
      <c r="F599" s="7" t="s">
        <v>14</v>
      </c>
      <c r="G599" s="30" t="s">
        <v>1183</v>
      </c>
      <c r="H599" s="31" t="s">
        <v>577</v>
      </c>
      <c r="I599" s="9">
        <v>5636</v>
      </c>
      <c r="J599" s="30" t="s">
        <v>1075</v>
      </c>
      <c r="K599" s="30">
        <v>32053</v>
      </c>
      <c r="L599" s="3" t="str">
        <f t="shared" si="19"/>
        <v>ΑΡΑΒΟΣΙΤΟΣ_ΕΝΣΙΡΩΣΗΣ</v>
      </c>
    </row>
    <row r="600" spans="1:12" s="3" customFormat="1" x14ac:dyDescent="0.25">
      <c r="A600" s="3" t="str">
        <f t="shared" si="18"/>
        <v>ΑΡΑΒΟΣΙΤΟΣ ΕΝΣΙΡΩΣΗΣΑΡΑΒΟΣΙΤΟΣ AGN 717</v>
      </c>
      <c r="B600" s="23" t="s">
        <v>1072</v>
      </c>
      <c r="C600" s="24" t="s">
        <v>1184</v>
      </c>
      <c r="D600" s="6">
        <v>1314.55</v>
      </c>
      <c r="E600" s="6">
        <v>1158.28</v>
      </c>
      <c r="F600" s="7" t="s">
        <v>14</v>
      </c>
      <c r="G600" s="30" t="s">
        <v>1185</v>
      </c>
      <c r="H600" s="31" t="s">
        <v>577</v>
      </c>
      <c r="I600" s="9">
        <v>5640</v>
      </c>
      <c r="J600" s="30" t="s">
        <v>1075</v>
      </c>
      <c r="K600" s="30">
        <v>32054</v>
      </c>
      <c r="L600" s="3" t="str">
        <f t="shared" si="19"/>
        <v>ΑΡΑΒΟΣΙΤΟΣ_ΕΝΣΙΡΩΣΗΣ</v>
      </c>
    </row>
    <row r="601" spans="1:12" s="3" customFormat="1" x14ac:dyDescent="0.25">
      <c r="A601" s="3" t="str">
        <f t="shared" si="18"/>
        <v>ΑΡΑΒΟΣΙΤΟΣ ΕΝΣΙΡΩΣΗΣΑΡΑΒΟΣΙΤΟΣ AGN 735</v>
      </c>
      <c r="B601" s="23" t="s">
        <v>1072</v>
      </c>
      <c r="C601" s="24" t="s">
        <v>1186</v>
      </c>
      <c r="D601" s="6">
        <v>1314.55</v>
      </c>
      <c r="E601" s="6">
        <v>1158.28</v>
      </c>
      <c r="F601" s="7" t="s">
        <v>14</v>
      </c>
      <c r="G601" s="30" t="s">
        <v>1187</v>
      </c>
      <c r="H601" s="31" t="s">
        <v>577</v>
      </c>
      <c r="I601" s="9">
        <v>5642</v>
      </c>
      <c r="J601" s="30" t="s">
        <v>1075</v>
      </c>
      <c r="K601" s="30">
        <v>32055</v>
      </c>
      <c r="L601" s="3" t="str">
        <f t="shared" si="19"/>
        <v>ΑΡΑΒΟΣΙΤΟΣ_ΕΝΣΙΡΩΣΗΣ</v>
      </c>
    </row>
    <row r="602" spans="1:12" s="3" customFormat="1" x14ac:dyDescent="0.25">
      <c r="A602" s="3" t="str">
        <f t="shared" si="18"/>
        <v>ΑΡΑΒΟΣΙΤΟΣ ΕΝΣΙΡΩΣΗΣΑΡΑΒΟΣΙΤΟΣ DANDI</v>
      </c>
      <c r="B602" s="23" t="s">
        <v>1072</v>
      </c>
      <c r="C602" s="24" t="s">
        <v>1188</v>
      </c>
      <c r="D602" s="6">
        <v>1314.55</v>
      </c>
      <c r="E602" s="6">
        <v>1158.28</v>
      </c>
      <c r="F602" s="7" t="s">
        <v>14</v>
      </c>
      <c r="G602" s="30" t="s">
        <v>1189</v>
      </c>
      <c r="H602" s="31" t="s">
        <v>577</v>
      </c>
      <c r="I602" s="9">
        <v>5671</v>
      </c>
      <c r="J602" s="30" t="s">
        <v>1075</v>
      </c>
      <c r="K602" s="30">
        <v>32056</v>
      </c>
      <c r="L602" s="3" t="str">
        <f t="shared" si="19"/>
        <v>ΑΡΑΒΟΣΙΤΟΣ_ΕΝΣΙΡΩΣΗΣ</v>
      </c>
    </row>
    <row r="603" spans="1:12" s="3" customFormat="1" x14ac:dyDescent="0.25">
      <c r="A603" s="3" t="str">
        <f t="shared" si="18"/>
        <v>ΑΡΑΒΟΣΙΤΟΣ ΕΝΣΙΡΩΣΗΣΑΡΑΒΟΣΙΤΟΣ GW 0185</v>
      </c>
      <c r="B603" s="23" t="s">
        <v>1072</v>
      </c>
      <c r="C603" s="24" t="s">
        <v>1190</v>
      </c>
      <c r="D603" s="6">
        <v>1314.55</v>
      </c>
      <c r="E603" s="6">
        <v>1158.28</v>
      </c>
      <c r="F603" s="7" t="s">
        <v>14</v>
      </c>
      <c r="G603" s="30" t="s">
        <v>1191</v>
      </c>
      <c r="H603" s="31" t="s">
        <v>577</v>
      </c>
      <c r="I603" s="9">
        <v>5712</v>
      </c>
      <c r="J603" s="30" t="s">
        <v>1075</v>
      </c>
      <c r="K603" s="30">
        <v>32057</v>
      </c>
      <c r="L603" s="3" t="str">
        <f t="shared" si="19"/>
        <v>ΑΡΑΒΟΣΙΤΟΣ_ΕΝΣΙΡΩΣΗΣ</v>
      </c>
    </row>
    <row r="604" spans="1:12" s="3" customFormat="1" x14ac:dyDescent="0.25">
      <c r="A604" s="3" t="str">
        <f t="shared" si="18"/>
        <v xml:space="preserve">ΑΡΑΒΟΣΙΤΟΣ ΕΝΣΙΡΩΣΗΣΑΡΑΒΟΣΙΤΟΣ GW 0494 </v>
      </c>
      <c r="B604" s="23" t="s">
        <v>1072</v>
      </c>
      <c r="C604" s="24" t="s">
        <v>1192</v>
      </c>
      <c r="D604" s="6">
        <v>1314.55</v>
      </c>
      <c r="E604" s="6">
        <v>1158.28</v>
      </c>
      <c r="F604" s="7" t="s">
        <v>14</v>
      </c>
      <c r="G604" s="30" t="s">
        <v>1193</v>
      </c>
      <c r="H604" s="31" t="s">
        <v>577</v>
      </c>
      <c r="I604" s="9">
        <v>5714</v>
      </c>
      <c r="J604" s="30" t="s">
        <v>1075</v>
      </c>
      <c r="K604" s="30">
        <v>32058</v>
      </c>
      <c r="L604" s="3" t="str">
        <f t="shared" si="19"/>
        <v>ΑΡΑΒΟΣΙΤΟΣ_ΕΝΣΙΡΩΣΗΣ</v>
      </c>
    </row>
    <row r="605" spans="1:12" s="3" customFormat="1" x14ac:dyDescent="0.25">
      <c r="A605" s="3" t="str">
        <f t="shared" si="18"/>
        <v>ΑΡΑΒΟΣΙΤΟΣ ΕΝΣΙΡΩΣΗΣΑΡΑΒΟΣΙΤΟΣ GW 8002</v>
      </c>
      <c r="B605" s="23" t="s">
        <v>1072</v>
      </c>
      <c r="C605" s="24" t="s">
        <v>1194</v>
      </c>
      <c r="D605" s="6">
        <v>1314.55</v>
      </c>
      <c r="E605" s="6">
        <v>1158.28</v>
      </c>
      <c r="F605" s="7" t="s">
        <v>14</v>
      </c>
      <c r="G605" s="30" t="s">
        <v>1195</v>
      </c>
      <c r="H605" s="31" t="s">
        <v>577</v>
      </c>
      <c r="I605" s="9">
        <v>5726</v>
      </c>
      <c r="J605" s="30" t="s">
        <v>1075</v>
      </c>
      <c r="K605" s="30">
        <v>32059</v>
      </c>
      <c r="L605" s="3" t="str">
        <f t="shared" si="19"/>
        <v>ΑΡΑΒΟΣΙΤΟΣ_ΕΝΣΙΡΩΣΗΣ</v>
      </c>
    </row>
    <row r="606" spans="1:12" s="3" customFormat="1" x14ac:dyDescent="0.25">
      <c r="A606" s="3" t="str">
        <f t="shared" si="18"/>
        <v>ΑΡΑΒΟΣΙΤΟΣ ΕΝΣΙΡΩΣΗΣΑΡΑΒΟΣΙΤΟΣ GW 8430</v>
      </c>
      <c r="B606" s="23" t="s">
        <v>1072</v>
      </c>
      <c r="C606" s="24" t="s">
        <v>1196</v>
      </c>
      <c r="D606" s="6">
        <v>1314.55</v>
      </c>
      <c r="E606" s="6">
        <v>1158.28</v>
      </c>
      <c r="F606" s="7" t="s">
        <v>14</v>
      </c>
      <c r="G606" s="30" t="s">
        <v>1197</v>
      </c>
      <c r="H606" s="31" t="s">
        <v>577</v>
      </c>
      <c r="I606" s="9">
        <v>5729</v>
      </c>
      <c r="J606" s="30" t="s">
        <v>1075</v>
      </c>
      <c r="K606" s="30">
        <v>32060</v>
      </c>
      <c r="L606" s="3" t="str">
        <f t="shared" si="19"/>
        <v>ΑΡΑΒΟΣΙΤΟΣ_ΕΝΣΙΡΩΣΗΣ</v>
      </c>
    </row>
    <row r="607" spans="1:12" s="3" customFormat="1" x14ac:dyDescent="0.25">
      <c r="A607" s="3" t="str">
        <f t="shared" si="18"/>
        <v>ΑΡΑΒΟΣΙΤΟΣ ΕΝΣΙΡΩΣΗΣΑΡΑΒΟΣΙΤΟΣ GW 8691</v>
      </c>
      <c r="B607" s="23" t="s">
        <v>1072</v>
      </c>
      <c r="C607" s="24" t="s">
        <v>1198</v>
      </c>
      <c r="D607" s="6">
        <v>1314.55</v>
      </c>
      <c r="E607" s="6">
        <v>1158.28</v>
      </c>
      <c r="F607" s="7" t="s">
        <v>14</v>
      </c>
      <c r="G607" s="30" t="s">
        <v>1199</v>
      </c>
      <c r="H607" s="31" t="s">
        <v>577</v>
      </c>
      <c r="I607" s="9">
        <v>5731</v>
      </c>
      <c r="J607" s="30" t="s">
        <v>1075</v>
      </c>
      <c r="K607" s="30">
        <v>32061</v>
      </c>
      <c r="L607" s="3" t="str">
        <f t="shared" si="19"/>
        <v>ΑΡΑΒΟΣΙΤΟΣ_ΕΝΣΙΡΩΣΗΣ</v>
      </c>
    </row>
    <row r="608" spans="1:12" s="3" customFormat="1" x14ac:dyDescent="0.25">
      <c r="A608" s="3" t="str">
        <f t="shared" si="18"/>
        <v>ΑΡΑΒΟΣΙΤΟΣ ΕΝΣΙΡΩΣΗΣΑΡΑΒΟΣΙΤΟΣ MPOUMPOULINA</v>
      </c>
      <c r="B608" s="23" t="s">
        <v>1072</v>
      </c>
      <c r="C608" s="24" t="s">
        <v>1200</v>
      </c>
      <c r="D608" s="6">
        <v>1314.55</v>
      </c>
      <c r="E608" s="6">
        <v>1158.28</v>
      </c>
      <c r="F608" s="7" t="s">
        <v>14</v>
      </c>
      <c r="G608" s="30" t="s">
        <v>1201</v>
      </c>
      <c r="H608" s="31" t="s">
        <v>577</v>
      </c>
      <c r="I608" s="9">
        <v>5813</v>
      </c>
      <c r="J608" s="30" t="s">
        <v>1075</v>
      </c>
      <c r="K608" s="30">
        <v>32062</v>
      </c>
      <c r="L608" s="3" t="str">
        <f t="shared" si="19"/>
        <v>ΑΡΑΒΟΣΙΤΟΣ_ΕΝΣΙΡΩΣΗΣ</v>
      </c>
    </row>
    <row r="609" spans="1:12" s="3" customFormat="1" x14ac:dyDescent="0.25">
      <c r="A609" s="3" t="str">
        <f t="shared" si="18"/>
        <v>ΑΡΑΒΟΣΙΤΟΣ ΕΝΣΙΡΩΣΗΣΑΡΑΒΟΣΙΤΟΣ ZOLA</v>
      </c>
      <c r="B609" s="23" t="s">
        <v>1072</v>
      </c>
      <c r="C609" s="24" t="s">
        <v>1202</v>
      </c>
      <c r="D609" s="6">
        <v>1314.55</v>
      </c>
      <c r="E609" s="6">
        <v>1158.28</v>
      </c>
      <c r="F609" s="7" t="s">
        <v>14</v>
      </c>
      <c r="G609" s="30" t="s">
        <v>1203</v>
      </c>
      <c r="H609" s="31" t="s">
        <v>577</v>
      </c>
      <c r="I609" s="9">
        <v>5928</v>
      </c>
      <c r="J609" s="30" t="s">
        <v>1075</v>
      </c>
      <c r="K609" s="30">
        <v>32063</v>
      </c>
      <c r="L609" s="3" t="str">
        <f t="shared" si="19"/>
        <v>ΑΡΑΒΟΣΙΤΟΣ_ΕΝΣΙΡΩΣΗΣ</v>
      </c>
    </row>
    <row r="610" spans="1:12" s="3" customFormat="1" x14ac:dyDescent="0.25">
      <c r="A610" s="3" t="str">
        <f t="shared" si="18"/>
        <v>ΑΡΑΒΟΣΙΤΟΣ ΕΝΣΙΡΩΣΗΣΑΡΑΒΟΣΙΤΟΣ AGN 715</v>
      </c>
      <c r="B610" s="23" t="s">
        <v>1072</v>
      </c>
      <c r="C610" s="24" t="s">
        <v>1204</v>
      </c>
      <c r="D610" s="6">
        <v>1314.55</v>
      </c>
      <c r="E610" s="6">
        <v>1158.28</v>
      </c>
      <c r="F610" s="7" t="s">
        <v>14</v>
      </c>
      <c r="G610" s="30" t="s">
        <v>1205</v>
      </c>
      <c r="H610" s="31" t="s">
        <v>577</v>
      </c>
      <c r="I610" s="9">
        <v>5639</v>
      </c>
      <c r="J610" s="30" t="s">
        <v>1075</v>
      </c>
      <c r="K610" s="30">
        <v>32064</v>
      </c>
      <c r="L610" s="3" t="str">
        <f t="shared" si="19"/>
        <v>ΑΡΑΒΟΣΙΤΟΣ_ΕΝΣΙΡΩΣΗΣ</v>
      </c>
    </row>
    <row r="611" spans="1:12" s="3" customFormat="1" x14ac:dyDescent="0.25">
      <c r="A611" s="3" t="str">
        <f t="shared" si="18"/>
        <v>ΑΡΑΒΟΣΙΤΟΣ ΕΝΣΙΡΩΣΗΣΑΡΑΒΟΣΙΤΟΣ JETA</v>
      </c>
      <c r="B611" s="23" t="s">
        <v>1072</v>
      </c>
      <c r="C611" s="24" t="s">
        <v>1206</v>
      </c>
      <c r="D611" s="6">
        <v>1314.55</v>
      </c>
      <c r="E611" s="6">
        <v>1158.28</v>
      </c>
      <c r="F611" s="7" t="s">
        <v>14</v>
      </c>
      <c r="G611" s="30" t="s">
        <v>1207</v>
      </c>
      <c r="H611" s="31" t="s">
        <v>577</v>
      </c>
      <c r="I611" s="9">
        <v>5744</v>
      </c>
      <c r="J611" s="30" t="s">
        <v>1075</v>
      </c>
      <c r="K611" s="30">
        <v>32065</v>
      </c>
      <c r="L611" s="3" t="str">
        <f t="shared" si="19"/>
        <v>ΑΡΑΒΟΣΙΤΟΣ_ΕΝΣΙΡΩΣΗΣ</v>
      </c>
    </row>
    <row r="612" spans="1:12" s="3" customFormat="1" x14ac:dyDescent="0.25">
      <c r="A612" s="3" t="str">
        <f t="shared" si="18"/>
        <v>ΑΡΑΒΟΣΙΤΟΣ ΕΝΣΙΡΩΣΗΣΑΡΑΒΟΣΙΤΟΣ JOLLY</v>
      </c>
      <c r="B612" s="23" t="s">
        <v>1072</v>
      </c>
      <c r="C612" s="24" t="s">
        <v>1208</v>
      </c>
      <c r="D612" s="6">
        <v>1314.55</v>
      </c>
      <c r="E612" s="6">
        <v>1158.28</v>
      </c>
      <c r="F612" s="7" t="s">
        <v>14</v>
      </c>
      <c r="G612" s="30" t="s">
        <v>1209</v>
      </c>
      <c r="H612" s="31" t="s">
        <v>577</v>
      </c>
      <c r="I612" s="9">
        <v>5745</v>
      </c>
      <c r="J612" s="30" t="s">
        <v>1075</v>
      </c>
      <c r="K612" s="30">
        <v>32066</v>
      </c>
      <c r="L612" s="3" t="str">
        <f t="shared" si="19"/>
        <v>ΑΡΑΒΟΣΙΤΟΣ_ΕΝΣΙΡΩΣΗΣ</v>
      </c>
    </row>
    <row r="613" spans="1:12" s="3" customFormat="1" x14ac:dyDescent="0.25">
      <c r="A613" s="3" t="str">
        <f t="shared" si="18"/>
        <v>ΑΡΑΒΟΣΙΤΟΣ ΕΝΣΙΡΩΣΗΣΑΡΑΒΟΣΙΤΟΣ KONSUR</v>
      </c>
      <c r="B613" s="23" t="s">
        <v>1072</v>
      </c>
      <c r="C613" s="24" t="s">
        <v>1210</v>
      </c>
      <c r="D613" s="6">
        <v>1314.55</v>
      </c>
      <c r="E613" s="6">
        <v>1158.28</v>
      </c>
      <c r="F613" s="7" t="s">
        <v>14</v>
      </c>
      <c r="G613" s="30" t="s">
        <v>1211</v>
      </c>
      <c r="H613" s="31" t="s">
        <v>577</v>
      </c>
      <c r="I613" s="9">
        <v>5758</v>
      </c>
      <c r="J613" s="30" t="s">
        <v>1075</v>
      </c>
      <c r="K613" s="30">
        <v>32067</v>
      </c>
      <c r="L613" s="3" t="str">
        <f t="shared" si="19"/>
        <v>ΑΡΑΒΟΣΙΤΟΣ_ΕΝΣΙΡΩΣΗΣ</v>
      </c>
    </row>
    <row r="614" spans="1:12" s="3" customFormat="1" x14ac:dyDescent="0.25">
      <c r="A614" s="3" t="str">
        <f t="shared" si="18"/>
        <v>ΑΡΑΒΟΣΙΤΟΣ ΕΝΣΙΡΩΣΗΣΑΡΑΒΟΣΙΤΟΣ PIROS NS</v>
      </c>
      <c r="B614" s="23" t="s">
        <v>1072</v>
      </c>
      <c r="C614" s="24" t="s">
        <v>1212</v>
      </c>
      <c r="D614" s="6">
        <v>1314.55</v>
      </c>
      <c r="E614" s="6">
        <v>1158.28</v>
      </c>
      <c r="F614" s="7" t="s">
        <v>14</v>
      </c>
      <c r="G614" s="30" t="s">
        <v>1213</v>
      </c>
      <c r="H614" s="31" t="s">
        <v>577</v>
      </c>
      <c r="I614" s="9">
        <v>5876</v>
      </c>
      <c r="J614" s="30" t="s">
        <v>1075</v>
      </c>
      <c r="K614" s="30">
        <v>32068</v>
      </c>
      <c r="L614" s="3" t="str">
        <f t="shared" si="19"/>
        <v>ΑΡΑΒΟΣΙΤΟΣ_ΕΝΣΙΡΩΣΗΣ</v>
      </c>
    </row>
    <row r="615" spans="1:12" s="3" customFormat="1" x14ac:dyDescent="0.25">
      <c r="A615" s="3" t="str">
        <f t="shared" si="18"/>
        <v>ΑΡΑΒΟΣΙΤΟΣ ΕΝΣΙΡΩΣΗΣΑΡΑΒΟΣΙΤΟΣ ZP 717</v>
      </c>
      <c r="B615" s="23" t="s">
        <v>1072</v>
      </c>
      <c r="C615" s="24" t="s">
        <v>1214</v>
      </c>
      <c r="D615" s="6">
        <v>1314.55</v>
      </c>
      <c r="E615" s="6">
        <v>1158.28</v>
      </c>
      <c r="F615" s="7" t="s">
        <v>14</v>
      </c>
      <c r="G615" s="30" t="s">
        <v>1215</v>
      </c>
      <c r="H615" s="31" t="s">
        <v>577</v>
      </c>
      <c r="I615" s="9">
        <v>5932</v>
      </c>
      <c r="J615" s="30" t="s">
        <v>1075</v>
      </c>
      <c r="K615" s="30">
        <v>32069</v>
      </c>
      <c r="L615" s="3" t="str">
        <f t="shared" si="19"/>
        <v>ΑΡΑΒΟΣΙΤΟΣ_ΕΝΣΙΡΩΣΗΣ</v>
      </c>
    </row>
    <row r="616" spans="1:12" s="3" customFormat="1" x14ac:dyDescent="0.25">
      <c r="A616" s="3" t="str">
        <f t="shared" si="18"/>
        <v>ΑΡΑΒΟΣΙΤΟΣ ΕΝΣΙΡΩΣΗΣΑΡΑΒΟΣΙΤΟΣ ZP 758</v>
      </c>
      <c r="B616" s="23" t="s">
        <v>1072</v>
      </c>
      <c r="C616" s="24" t="s">
        <v>1216</v>
      </c>
      <c r="D616" s="6">
        <v>1314.55</v>
      </c>
      <c r="E616" s="6">
        <v>1158.28</v>
      </c>
      <c r="F616" s="7" t="s">
        <v>14</v>
      </c>
      <c r="G616" s="30" t="s">
        <v>1217</v>
      </c>
      <c r="H616" s="31" t="s">
        <v>577</v>
      </c>
      <c r="I616" s="9">
        <v>5935</v>
      </c>
      <c r="J616" s="30" t="s">
        <v>1075</v>
      </c>
      <c r="K616" s="30">
        <v>32070</v>
      </c>
      <c r="L616" s="3" t="str">
        <f t="shared" si="19"/>
        <v>ΑΡΑΒΟΣΙΤΟΣ_ΕΝΣΙΡΩΣΗΣ</v>
      </c>
    </row>
    <row r="617" spans="1:12" s="3" customFormat="1" x14ac:dyDescent="0.25">
      <c r="A617" s="3" t="str">
        <f t="shared" si="18"/>
        <v>ΑΡΑΒΟΣΙΤΟΣ ΕΝΣΙΡΩΣΗΣΑΡΑΒΟΣΙΤΟΣ AGN 340</v>
      </c>
      <c r="B617" s="23" t="s">
        <v>1072</v>
      </c>
      <c r="C617" s="24" t="s">
        <v>1218</v>
      </c>
      <c r="D617" s="6">
        <v>1314.55</v>
      </c>
      <c r="E617" s="6">
        <v>1158.28</v>
      </c>
      <c r="F617" s="7" t="s">
        <v>14</v>
      </c>
      <c r="G617" s="30" t="s">
        <v>1219</v>
      </c>
      <c r="H617" s="31" t="s">
        <v>577</v>
      </c>
      <c r="I617" s="9">
        <v>5635</v>
      </c>
      <c r="J617" s="30" t="s">
        <v>1075</v>
      </c>
      <c r="K617" s="30">
        <v>32071</v>
      </c>
      <c r="L617" s="3" t="str">
        <f t="shared" si="19"/>
        <v>ΑΡΑΒΟΣΙΤΟΣ_ΕΝΣΙΡΩΣΗΣ</v>
      </c>
    </row>
    <row r="618" spans="1:12" s="3" customFormat="1" x14ac:dyDescent="0.25">
      <c r="A618" s="3" t="str">
        <f t="shared" si="18"/>
        <v>ΑΡΑΒΟΣΙΤΟΣ ΕΝΣΙΡΩΣΗΣΑΡΑΒΟΣΙΤΟΣ AS 66</v>
      </c>
      <c r="B618" s="23" t="s">
        <v>1072</v>
      </c>
      <c r="C618" s="24" t="s">
        <v>1220</v>
      </c>
      <c r="D618" s="6">
        <v>1314.55</v>
      </c>
      <c r="E618" s="6">
        <v>1158.28</v>
      </c>
      <c r="F618" s="7" t="s">
        <v>14</v>
      </c>
      <c r="G618" s="30" t="s">
        <v>1221</v>
      </c>
      <c r="H618" s="31" t="s">
        <v>577</v>
      </c>
      <c r="I618" s="9">
        <v>5658</v>
      </c>
      <c r="J618" s="30" t="s">
        <v>1075</v>
      </c>
      <c r="K618" s="30">
        <v>32072</v>
      </c>
      <c r="L618" s="3" t="str">
        <f t="shared" si="19"/>
        <v>ΑΡΑΒΟΣΙΤΟΣ_ΕΝΣΙΡΩΣΗΣ</v>
      </c>
    </row>
    <row r="619" spans="1:12" s="3" customFormat="1" x14ac:dyDescent="0.25">
      <c r="A619" s="3" t="str">
        <f t="shared" si="18"/>
        <v>ΑΡΑΒΟΣΙΤΟΣ ΕΝΣΙΡΩΣΗΣΑΡΑΒΟΣΙΤΟΣ GW 9003</v>
      </c>
      <c r="B619" s="23" t="s">
        <v>1072</v>
      </c>
      <c r="C619" s="24" t="s">
        <v>1222</v>
      </c>
      <c r="D619" s="6">
        <v>1314.55</v>
      </c>
      <c r="E619" s="6">
        <v>1158.28</v>
      </c>
      <c r="F619" s="7" t="s">
        <v>14</v>
      </c>
      <c r="G619" s="30" t="s">
        <v>1223</v>
      </c>
      <c r="H619" s="31" t="s">
        <v>577</v>
      </c>
      <c r="I619" s="9">
        <v>5733</v>
      </c>
      <c r="J619" s="30" t="s">
        <v>1075</v>
      </c>
      <c r="K619" s="30">
        <v>32073</v>
      </c>
      <c r="L619" s="3" t="str">
        <f t="shared" si="19"/>
        <v>ΑΡΑΒΟΣΙΤΟΣ_ΕΝΣΙΡΩΣΗΣ</v>
      </c>
    </row>
    <row r="620" spans="1:12" s="3" customFormat="1" x14ac:dyDescent="0.25">
      <c r="A620" s="3" t="str">
        <f t="shared" si="18"/>
        <v>ΑΡΑΒΟΣΙΤΟΣ ΕΝΣΙΡΩΣΗΣΑΡΑΒΟΣΙΤΟΣ IZABETA</v>
      </c>
      <c r="B620" s="23" t="s">
        <v>1072</v>
      </c>
      <c r="C620" s="24" t="s">
        <v>1224</v>
      </c>
      <c r="D620" s="6">
        <v>1314.55</v>
      </c>
      <c r="E620" s="6">
        <v>1158.28</v>
      </c>
      <c r="F620" s="7" t="s">
        <v>14</v>
      </c>
      <c r="G620" s="30" t="s">
        <v>1225</v>
      </c>
      <c r="H620" s="31" t="s">
        <v>577</v>
      </c>
      <c r="I620" s="9">
        <v>5742</v>
      </c>
      <c r="J620" s="30" t="s">
        <v>1075</v>
      </c>
      <c r="K620" s="30">
        <v>32074</v>
      </c>
      <c r="L620" s="3" t="str">
        <f t="shared" si="19"/>
        <v>ΑΡΑΒΟΣΙΤΟΣ_ΕΝΣΙΡΩΣΗΣ</v>
      </c>
    </row>
    <row r="621" spans="1:12" s="3" customFormat="1" x14ac:dyDescent="0.25">
      <c r="A621" s="3" t="str">
        <f t="shared" si="18"/>
        <v>ΑΡΑΒΟΣΙΤΟΣ ΕΝΣΙΡΩΣΗΣΑΡΑΒΟΣΙΤΟΣ AGN 625</v>
      </c>
      <c r="B621" s="23" t="s">
        <v>1072</v>
      </c>
      <c r="C621" s="24" t="s">
        <v>1226</v>
      </c>
      <c r="D621" s="6">
        <v>1314.55</v>
      </c>
      <c r="E621" s="6">
        <v>1158.28</v>
      </c>
      <c r="F621" s="7" t="s">
        <v>14</v>
      </c>
      <c r="G621" s="30" t="s">
        <v>1227</v>
      </c>
      <c r="H621" s="31" t="s">
        <v>577</v>
      </c>
      <c r="I621" s="9">
        <v>5637</v>
      </c>
      <c r="J621" s="30" t="s">
        <v>1075</v>
      </c>
      <c r="K621" s="30">
        <v>32075</v>
      </c>
      <c r="L621" s="3" t="str">
        <f t="shared" si="19"/>
        <v>ΑΡΑΒΟΣΙΤΟΣ_ΕΝΣΙΡΩΣΗΣ</v>
      </c>
    </row>
    <row r="622" spans="1:12" s="3" customFormat="1" x14ac:dyDescent="0.25">
      <c r="A622" s="3" t="str">
        <f t="shared" si="18"/>
        <v>ΑΡΑΒΟΣΙΤΟΣ ΕΝΣΙΡΩΣΗΣΑΡΑΒΟΣΙΤΟΣ DALMAC</v>
      </c>
      <c r="B622" s="23" t="s">
        <v>1072</v>
      </c>
      <c r="C622" s="24" t="s">
        <v>1228</v>
      </c>
      <c r="D622" s="6">
        <v>1314.55</v>
      </c>
      <c r="E622" s="6">
        <v>1158.28</v>
      </c>
      <c r="F622" s="7" t="s">
        <v>14</v>
      </c>
      <c r="G622" s="30" t="s">
        <v>1229</v>
      </c>
      <c r="H622" s="31" t="s">
        <v>577</v>
      </c>
      <c r="I622" s="9">
        <v>5670</v>
      </c>
      <c r="J622" s="30" t="s">
        <v>1075</v>
      </c>
      <c r="K622" s="30">
        <v>32076</v>
      </c>
      <c r="L622" s="3" t="str">
        <f t="shared" si="19"/>
        <v>ΑΡΑΒΟΣΙΤΟΣ_ΕΝΣΙΡΩΣΗΣ</v>
      </c>
    </row>
    <row r="623" spans="1:12" s="3" customFormat="1" x14ac:dyDescent="0.25">
      <c r="A623" s="3" t="str">
        <f t="shared" si="18"/>
        <v xml:space="preserve">ΑΡΑΒΟΣΙΤΟΣ ΕΝΣΙΡΩΣΗΣΑΡΑΒΟΣΙΤΟΣ GW 2122 </v>
      </c>
      <c r="B623" s="23" t="s">
        <v>1072</v>
      </c>
      <c r="C623" s="24" t="s">
        <v>1230</v>
      </c>
      <c r="D623" s="6">
        <v>1314.55</v>
      </c>
      <c r="E623" s="6">
        <v>1158.28</v>
      </c>
      <c r="F623" s="7" t="s">
        <v>14</v>
      </c>
      <c r="G623" s="30" t="s">
        <v>1231</v>
      </c>
      <c r="H623" s="31" t="s">
        <v>577</v>
      </c>
      <c r="I623" s="9">
        <v>5717</v>
      </c>
      <c r="J623" s="30" t="s">
        <v>1075</v>
      </c>
      <c r="K623" s="30">
        <v>32077</v>
      </c>
      <c r="L623" s="3" t="str">
        <f t="shared" si="19"/>
        <v>ΑΡΑΒΟΣΙΤΟΣ_ΕΝΣΙΡΩΣΗΣ</v>
      </c>
    </row>
    <row r="624" spans="1:12" s="3" customFormat="1" x14ac:dyDescent="0.25">
      <c r="A624" s="3" t="str">
        <f t="shared" si="18"/>
        <v>ΑΡΑΒΟΣΙΤΟΣ ΕΝΣΙΡΩΣΗΣΑΡΑΒΟΣΙΤΟΣ GW 8831</v>
      </c>
      <c r="B624" s="23" t="s">
        <v>1072</v>
      </c>
      <c r="C624" s="24" t="s">
        <v>1232</v>
      </c>
      <c r="D624" s="6">
        <v>1314.55</v>
      </c>
      <c r="E624" s="6">
        <v>1158.28</v>
      </c>
      <c r="F624" s="7" t="s">
        <v>14</v>
      </c>
      <c r="G624" s="30" t="s">
        <v>1233</v>
      </c>
      <c r="H624" s="31" t="s">
        <v>577</v>
      </c>
      <c r="I624" s="9">
        <v>5732</v>
      </c>
      <c r="J624" s="30" t="s">
        <v>1075</v>
      </c>
      <c r="K624" s="30">
        <v>32078</v>
      </c>
      <c r="L624" s="3" t="str">
        <f t="shared" si="19"/>
        <v>ΑΡΑΒΟΣΙΤΟΣ_ΕΝΣΙΡΩΣΗΣ</v>
      </c>
    </row>
    <row r="625" spans="1:12" s="3" customFormat="1" x14ac:dyDescent="0.25">
      <c r="A625" s="3" t="str">
        <f t="shared" si="18"/>
        <v>ΑΡΑΒΟΣΙΤΟΣ ΕΝΣΙΡΩΣΗΣΑΡΑΒΟΣΙΤΟΣ JAMESON</v>
      </c>
      <c r="B625" s="23" t="s">
        <v>1072</v>
      </c>
      <c r="C625" s="24" t="s">
        <v>1234</v>
      </c>
      <c r="D625" s="6">
        <v>1314.55</v>
      </c>
      <c r="E625" s="6">
        <v>1158.28</v>
      </c>
      <c r="F625" s="7" t="s">
        <v>14</v>
      </c>
      <c r="G625" s="30" t="s">
        <v>1235</v>
      </c>
      <c r="H625" s="31" t="s">
        <v>577</v>
      </c>
      <c r="I625" s="9">
        <v>5743</v>
      </c>
      <c r="J625" s="30" t="s">
        <v>1075</v>
      </c>
      <c r="K625" s="30">
        <v>32079</v>
      </c>
      <c r="L625" s="3" t="str">
        <f t="shared" si="19"/>
        <v>ΑΡΑΒΟΣΙΤΟΣ_ΕΝΣΙΡΩΣΗΣ</v>
      </c>
    </row>
    <row r="626" spans="1:12" s="3" customFormat="1" x14ac:dyDescent="0.25">
      <c r="A626" s="3" t="str">
        <f t="shared" si="18"/>
        <v>ΑΡΑΒΟΣΙΤΟΣ ΕΝΣΙΡΩΣΗΣΑΡΑΒΟΣΙΤΟΣ AGN 290</v>
      </c>
      <c r="B626" s="23" t="s">
        <v>1072</v>
      </c>
      <c r="C626" s="24" t="s">
        <v>1236</v>
      </c>
      <c r="D626" s="6">
        <v>1314.55</v>
      </c>
      <c r="E626" s="6">
        <v>1158.28</v>
      </c>
      <c r="F626" s="7" t="s">
        <v>14</v>
      </c>
      <c r="G626" s="30" t="s">
        <v>1237</v>
      </c>
      <c r="H626" s="31" t="s">
        <v>577</v>
      </c>
      <c r="I626" s="9">
        <v>5634</v>
      </c>
      <c r="J626" s="30" t="s">
        <v>1075</v>
      </c>
      <c r="K626" s="30">
        <v>32080</v>
      </c>
      <c r="L626" s="3" t="str">
        <f t="shared" si="19"/>
        <v>ΑΡΑΒΟΣΙΤΟΣ_ΕΝΣΙΡΩΣΗΣ</v>
      </c>
    </row>
    <row r="627" spans="1:12" s="3" customFormat="1" x14ac:dyDescent="0.25">
      <c r="A627" s="3" t="str">
        <f t="shared" si="18"/>
        <v>ΑΡΑΒΟΣΙΤΟΣ ΕΝΣΙΡΩΣΗΣΑΡΑΒΟΣΙΤΟΣ GW 4798</v>
      </c>
      <c r="B627" s="23" t="s">
        <v>1072</v>
      </c>
      <c r="C627" s="24" t="s">
        <v>1238</v>
      </c>
      <c r="D627" s="6">
        <v>1314.55</v>
      </c>
      <c r="E627" s="6">
        <v>1158.28</v>
      </c>
      <c r="F627" s="7" t="s">
        <v>14</v>
      </c>
      <c r="G627" s="30" t="s">
        <v>1239</v>
      </c>
      <c r="H627" s="31" t="s">
        <v>577</v>
      </c>
      <c r="I627" s="9">
        <v>5723</v>
      </c>
      <c r="J627" s="30" t="s">
        <v>1075</v>
      </c>
      <c r="K627" s="30">
        <v>32081</v>
      </c>
      <c r="L627" s="3" t="str">
        <f t="shared" si="19"/>
        <v>ΑΡΑΒΟΣΙΤΟΣ_ΕΝΣΙΡΩΣΗΣ</v>
      </c>
    </row>
    <row r="628" spans="1:12" s="3" customFormat="1" x14ac:dyDescent="0.25">
      <c r="A628" s="3" t="str">
        <f t="shared" si="18"/>
        <v>ΑΡΑΒΟΣΙΤΟΣ ΕΝΣΙΡΩΣΗΣΑΡΑΒΟΣΙΤΟΣ GW 6479</v>
      </c>
      <c r="B628" s="23" t="s">
        <v>1072</v>
      </c>
      <c r="C628" s="24" t="s">
        <v>1240</v>
      </c>
      <c r="D628" s="6">
        <v>1314.55</v>
      </c>
      <c r="E628" s="6">
        <v>1158.28</v>
      </c>
      <c r="F628" s="7" t="s">
        <v>14</v>
      </c>
      <c r="G628" s="30" t="s">
        <v>1241</v>
      </c>
      <c r="H628" s="31" t="s">
        <v>577</v>
      </c>
      <c r="I628" s="9">
        <v>5724</v>
      </c>
      <c r="J628" s="30" t="s">
        <v>1075</v>
      </c>
      <c r="K628" s="30">
        <v>32082</v>
      </c>
      <c r="L628" s="3" t="str">
        <f t="shared" si="19"/>
        <v>ΑΡΑΒΟΣΙΤΟΣ_ΕΝΣΙΡΩΣΗΣ</v>
      </c>
    </row>
    <row r="629" spans="1:12" s="3" customFormat="1" x14ac:dyDescent="0.25">
      <c r="A629" s="3" t="str">
        <f t="shared" si="18"/>
        <v>ΑΡΑΒΟΣΙΤΟΣ ΕΝΣΙΡΩΣΗΣΑΡΑΒΟΣΙΤΟΣ GW 8653</v>
      </c>
      <c r="B629" s="23" t="s">
        <v>1072</v>
      </c>
      <c r="C629" s="24" t="s">
        <v>1242</v>
      </c>
      <c r="D629" s="6">
        <v>1314.55</v>
      </c>
      <c r="E629" s="6">
        <v>1158.28</v>
      </c>
      <c r="F629" s="7" t="s">
        <v>14</v>
      </c>
      <c r="G629" s="30" t="s">
        <v>1243</v>
      </c>
      <c r="H629" s="31" t="s">
        <v>577</v>
      </c>
      <c r="I629" s="9">
        <v>5730</v>
      </c>
      <c r="J629" s="30" t="s">
        <v>1075</v>
      </c>
      <c r="K629" s="30">
        <v>32083</v>
      </c>
      <c r="L629" s="3" t="str">
        <f t="shared" si="19"/>
        <v>ΑΡΑΒΟΣΙΤΟΣ_ΕΝΣΙΡΩΣΗΣ</v>
      </c>
    </row>
    <row r="630" spans="1:12" s="3" customFormat="1" x14ac:dyDescent="0.25">
      <c r="A630" s="3" t="str">
        <f t="shared" si="18"/>
        <v>ΑΡΑΒΟΣΙΤΟΣ ΕΝΣΙΡΩΣΗΣΑΡΑΒΟΣΙΤΟΣ HAMILTON</v>
      </c>
      <c r="B630" s="23" t="s">
        <v>1072</v>
      </c>
      <c r="C630" s="24" t="s">
        <v>1244</v>
      </c>
      <c r="D630" s="6">
        <v>1314.55</v>
      </c>
      <c r="E630" s="6">
        <v>1158.28</v>
      </c>
      <c r="F630" s="7" t="s">
        <v>14</v>
      </c>
      <c r="G630" s="30" t="s">
        <v>1245</v>
      </c>
      <c r="H630" s="31" t="s">
        <v>577</v>
      </c>
      <c r="I630" s="9">
        <v>5736</v>
      </c>
      <c r="J630" s="30" t="s">
        <v>1075</v>
      </c>
      <c r="K630" s="30">
        <v>32084</v>
      </c>
      <c r="L630" s="3" t="str">
        <f t="shared" si="19"/>
        <v>ΑΡΑΒΟΣΙΤΟΣ_ΕΝΣΙΡΩΣΗΣ</v>
      </c>
    </row>
    <row r="631" spans="1:12" s="3" customFormat="1" ht="15" customHeight="1" x14ac:dyDescent="0.25">
      <c r="A631" s="3" t="str">
        <f t="shared" si="18"/>
        <v>ΑΡΑΒΟΣΙΤΟΣ ΕΝΣΙΡΩΣΗΣΑΡΑΒΟΣΙΤΟΣ MAKEDONIA</v>
      </c>
      <c r="B631" s="23" t="s">
        <v>1072</v>
      </c>
      <c r="C631" s="24" t="s">
        <v>1246</v>
      </c>
      <c r="D631" s="6">
        <v>1314.55</v>
      </c>
      <c r="E631" s="6">
        <v>1158.28</v>
      </c>
      <c r="F631" s="7" t="s">
        <v>14</v>
      </c>
      <c r="G631" s="30" t="s">
        <v>1247</v>
      </c>
      <c r="H631" s="31" t="s">
        <v>577</v>
      </c>
      <c r="I631" s="9">
        <v>5800</v>
      </c>
      <c r="J631" s="30" t="s">
        <v>1075</v>
      </c>
      <c r="K631" s="30">
        <v>32085</v>
      </c>
      <c r="L631" s="3" t="str">
        <f t="shared" si="19"/>
        <v>ΑΡΑΒΟΣΙΤΟΣ_ΕΝΣΙΡΩΣΗΣ</v>
      </c>
    </row>
    <row r="632" spans="1:12" s="3" customFormat="1" x14ac:dyDescent="0.25">
      <c r="A632" s="3" t="str">
        <f t="shared" si="18"/>
        <v>ΑΡΑΒΟΣΙΤΟΣ ΕΝΣΙΡΩΣΗΣΑΡΑΒΟΣΙΤΟΣ AGN 260</v>
      </c>
      <c r="B632" s="23" t="s">
        <v>1072</v>
      </c>
      <c r="C632" s="24" t="s">
        <v>1248</v>
      </c>
      <c r="D632" s="6">
        <v>1314.55</v>
      </c>
      <c r="E632" s="6">
        <v>1158.28</v>
      </c>
      <c r="F632" s="7" t="s">
        <v>14</v>
      </c>
      <c r="G632" s="30" t="s">
        <v>1249</v>
      </c>
      <c r="H632" s="31" t="s">
        <v>577</v>
      </c>
      <c r="I632" s="9">
        <v>5633</v>
      </c>
      <c r="J632" s="30" t="s">
        <v>1075</v>
      </c>
      <c r="K632" s="30">
        <v>32086</v>
      </c>
      <c r="L632" s="3" t="str">
        <f t="shared" si="19"/>
        <v>ΑΡΑΒΟΣΙΤΟΣ_ΕΝΣΙΡΩΣΗΣ</v>
      </c>
    </row>
    <row r="633" spans="1:12" s="3" customFormat="1" x14ac:dyDescent="0.25">
      <c r="A633" s="3" t="str">
        <f t="shared" si="18"/>
        <v>ΑΡΑΒΟΣΙΤΟΣ ΕΝΣΙΡΩΣΗΣΑΡΑΒΟΣΙΤΟΣ AGN 672</v>
      </c>
      <c r="B633" s="23" t="s">
        <v>1072</v>
      </c>
      <c r="C633" s="24" t="s">
        <v>1250</v>
      </c>
      <c r="D633" s="6">
        <v>1314.55</v>
      </c>
      <c r="E633" s="6">
        <v>1158.28</v>
      </c>
      <c r="F633" s="7" t="s">
        <v>14</v>
      </c>
      <c r="G633" s="30" t="s">
        <v>1251</v>
      </c>
      <c r="H633" s="31" t="s">
        <v>577</v>
      </c>
      <c r="I633" s="9">
        <v>5638</v>
      </c>
      <c r="J633" s="30" t="s">
        <v>1075</v>
      </c>
      <c r="K633" s="30">
        <v>32087</v>
      </c>
      <c r="L633" s="3" t="str">
        <f t="shared" si="19"/>
        <v>ΑΡΑΒΟΣΙΤΟΣ_ΕΝΣΙΡΩΣΗΣ</v>
      </c>
    </row>
    <row r="634" spans="1:12" s="3" customFormat="1" x14ac:dyDescent="0.25">
      <c r="A634" s="3" t="str">
        <f t="shared" si="18"/>
        <v>ΑΡΑΒΟΣΙΤΟΣ ΕΝΣΙΡΩΣΗΣΑΡΑΒΟΣΙΤΟΣ AS 54</v>
      </c>
      <c r="B634" s="23" t="s">
        <v>1072</v>
      </c>
      <c r="C634" s="24" t="s">
        <v>1252</v>
      </c>
      <c r="D634" s="6">
        <v>1314.55</v>
      </c>
      <c r="E634" s="6">
        <v>1158.28</v>
      </c>
      <c r="F634" s="7" t="s">
        <v>14</v>
      </c>
      <c r="G634" s="30" t="s">
        <v>1253</v>
      </c>
      <c r="H634" s="31" t="s">
        <v>577</v>
      </c>
      <c r="I634" s="9">
        <v>5657</v>
      </c>
      <c r="J634" s="30" t="s">
        <v>1075</v>
      </c>
      <c r="K634" s="30">
        <v>32088</v>
      </c>
      <c r="L634" s="3" t="str">
        <f t="shared" si="19"/>
        <v>ΑΡΑΒΟΣΙΤΟΣ_ΕΝΣΙΡΩΣΗΣ</v>
      </c>
    </row>
    <row r="635" spans="1:12" s="3" customFormat="1" x14ac:dyDescent="0.25">
      <c r="A635" s="3" t="str">
        <f t="shared" si="18"/>
        <v>ΑΡΑΒΟΣΙΤΟΣ ΕΝΣΙΡΩΣΗΣΑΡΑΒΟΣΙΤΟΣ AS5M11</v>
      </c>
      <c r="B635" s="23" t="s">
        <v>1072</v>
      </c>
      <c r="C635" s="24" t="s">
        <v>1254</v>
      </c>
      <c r="D635" s="6">
        <v>1314.55</v>
      </c>
      <c r="E635" s="6">
        <v>1158.28</v>
      </c>
      <c r="F635" s="7" t="s">
        <v>14</v>
      </c>
      <c r="G635" s="30" t="s">
        <v>1255</v>
      </c>
      <c r="H635" s="31" t="s">
        <v>577</v>
      </c>
      <c r="I635" s="9">
        <v>5662</v>
      </c>
      <c r="J635" s="30" t="s">
        <v>1075</v>
      </c>
      <c r="K635" s="30">
        <v>32089</v>
      </c>
      <c r="L635" s="3" t="str">
        <f t="shared" si="19"/>
        <v>ΑΡΑΒΟΣΙΤΟΣ_ΕΝΣΙΡΩΣΗΣ</v>
      </c>
    </row>
    <row r="636" spans="1:12" s="3" customFormat="1" x14ac:dyDescent="0.25">
      <c r="A636" s="3" t="str">
        <f t="shared" si="18"/>
        <v>ΑΡΑΒΟΣΙΤΟΣ ΕΝΣΙΡΩΣΗΣΑΡΑΒΟΣΙΤΟΣ AS6M10</v>
      </c>
      <c r="B636" s="23" t="s">
        <v>1072</v>
      </c>
      <c r="C636" s="24" t="s">
        <v>1256</v>
      </c>
      <c r="D636" s="6">
        <v>1314.55</v>
      </c>
      <c r="E636" s="6">
        <v>1158.28</v>
      </c>
      <c r="F636" s="7" t="s">
        <v>14</v>
      </c>
      <c r="G636" s="30" t="s">
        <v>1257</v>
      </c>
      <c r="H636" s="31" t="s">
        <v>577</v>
      </c>
      <c r="I636" s="9">
        <v>5663</v>
      </c>
      <c r="J636" s="30" t="s">
        <v>1075</v>
      </c>
      <c r="K636" s="30">
        <v>32090</v>
      </c>
      <c r="L636" s="3" t="str">
        <f t="shared" si="19"/>
        <v>ΑΡΑΒΟΣΙΤΟΣ_ΕΝΣΙΡΩΣΗΣ</v>
      </c>
    </row>
    <row r="637" spans="1:12" s="3" customFormat="1" x14ac:dyDescent="0.25">
      <c r="A637" s="3" t="str">
        <f t="shared" si="18"/>
        <v>ΑΡΑΒΟΣΙΤΟΣ ΕΝΣΙΡΩΣΗΣΑΡΑΒΟΣΙΤΟΣ DOXA</v>
      </c>
      <c r="B637" s="23" t="s">
        <v>1072</v>
      </c>
      <c r="C637" s="24" t="s">
        <v>1258</v>
      </c>
      <c r="D637" s="6">
        <v>1314.55</v>
      </c>
      <c r="E637" s="6">
        <v>1158.28</v>
      </c>
      <c r="F637" s="7" t="s">
        <v>14</v>
      </c>
      <c r="G637" s="30" t="s">
        <v>1259</v>
      </c>
      <c r="H637" s="31" t="s">
        <v>577</v>
      </c>
      <c r="I637" s="9">
        <v>5700</v>
      </c>
      <c r="J637" s="30" t="s">
        <v>1075</v>
      </c>
      <c r="K637" s="30">
        <v>32091</v>
      </c>
      <c r="L637" s="3" t="str">
        <f t="shared" si="19"/>
        <v>ΑΡΑΒΟΣΙΤΟΣ_ΕΝΣΙΡΩΣΗΣ</v>
      </c>
    </row>
    <row r="638" spans="1:12" s="3" customFormat="1" x14ac:dyDescent="0.25">
      <c r="A638" s="3" t="str">
        <f t="shared" si="18"/>
        <v xml:space="preserve">ΑΡΑΒΟΣΙΤΟΣ ΕΝΣΙΡΩΣΗΣΑΡΑΒΟΣΙΤΟΣ GW 037 </v>
      </c>
      <c r="B638" s="23" t="s">
        <v>1072</v>
      </c>
      <c r="C638" s="24" t="s">
        <v>1260</v>
      </c>
      <c r="D638" s="6">
        <v>1314.55</v>
      </c>
      <c r="E638" s="6">
        <v>1158.28</v>
      </c>
      <c r="F638" s="7" t="s">
        <v>14</v>
      </c>
      <c r="G638" s="30" t="s">
        <v>1261</v>
      </c>
      <c r="H638" s="31" t="s">
        <v>577</v>
      </c>
      <c r="I638" s="9">
        <v>5713</v>
      </c>
      <c r="J638" s="30" t="s">
        <v>1075</v>
      </c>
      <c r="K638" s="30">
        <v>32092</v>
      </c>
      <c r="L638" s="3" t="str">
        <f t="shared" si="19"/>
        <v>ΑΡΑΒΟΣΙΤΟΣ_ΕΝΣΙΡΩΣΗΣ</v>
      </c>
    </row>
    <row r="639" spans="1:12" s="3" customFormat="1" x14ac:dyDescent="0.25">
      <c r="A639" s="3" t="str">
        <f t="shared" si="18"/>
        <v>ΑΡΑΒΟΣΙΤΟΣ ΕΝΣΙΡΩΣΗΣΑΡΑΒΟΣΙΤΟΣ GW 7634</v>
      </c>
      <c r="B639" s="23" t="s">
        <v>1072</v>
      </c>
      <c r="C639" s="24" t="s">
        <v>1262</v>
      </c>
      <c r="D639" s="6">
        <v>1314.55</v>
      </c>
      <c r="E639" s="6">
        <v>1158.28</v>
      </c>
      <c r="F639" s="7" t="s">
        <v>14</v>
      </c>
      <c r="G639" s="30" t="s">
        <v>1263</v>
      </c>
      <c r="H639" s="31" t="s">
        <v>577</v>
      </c>
      <c r="I639" s="9">
        <v>5725</v>
      </c>
      <c r="J639" s="30" t="s">
        <v>1075</v>
      </c>
      <c r="K639" s="30">
        <v>32093</v>
      </c>
      <c r="L639" s="3" t="str">
        <f t="shared" si="19"/>
        <v>ΑΡΑΒΟΣΙΤΟΣ_ΕΝΣΙΡΩΣΗΣ</v>
      </c>
    </row>
    <row r="640" spans="1:12" s="3" customFormat="1" x14ac:dyDescent="0.25">
      <c r="A640" s="3" t="str">
        <f t="shared" si="18"/>
        <v>ΑΡΑΒΟΣΙΤΟΣ ΕΝΣΙΡΩΣΗΣΑΡΑΒΟΣΙΤΟΣ KORDUNA</v>
      </c>
      <c r="B640" s="23" t="s">
        <v>1072</v>
      </c>
      <c r="C640" s="24" t="s">
        <v>1264</v>
      </c>
      <c r="D640" s="6">
        <v>1314.55</v>
      </c>
      <c r="E640" s="6">
        <v>1158.28</v>
      </c>
      <c r="F640" s="7" t="s">
        <v>14</v>
      </c>
      <c r="G640" s="30" t="s">
        <v>1265</v>
      </c>
      <c r="H640" s="31" t="s">
        <v>577</v>
      </c>
      <c r="I640" s="9">
        <v>5759</v>
      </c>
      <c r="J640" s="30" t="s">
        <v>1075</v>
      </c>
      <c r="K640" s="30">
        <v>32094</v>
      </c>
      <c r="L640" s="3" t="str">
        <f t="shared" si="19"/>
        <v>ΑΡΑΒΟΣΙΤΟΣ_ΕΝΣΙΡΩΣΗΣ</v>
      </c>
    </row>
    <row r="641" spans="1:12" s="3" customFormat="1" x14ac:dyDescent="0.25">
      <c r="A641" s="3" t="str">
        <f t="shared" si="18"/>
        <v>ΑΡΑΒΟΣΙΤΟΣ ΕΝΣΙΡΩΣΗΣΑΡΑΒΟΣΙΤΟΣ MAS 66WX</v>
      </c>
      <c r="B641" s="23" t="s">
        <v>1072</v>
      </c>
      <c r="C641" s="24" t="s">
        <v>1266</v>
      </c>
      <c r="D641" s="6">
        <v>1314.55</v>
      </c>
      <c r="E641" s="6">
        <v>1158.28</v>
      </c>
      <c r="F641" s="7" t="s">
        <v>14</v>
      </c>
      <c r="G641" s="30" t="s">
        <v>1267</v>
      </c>
      <c r="H641" s="31" t="s">
        <v>577</v>
      </c>
      <c r="I641" s="9">
        <v>5809</v>
      </c>
      <c r="J641" s="30" t="s">
        <v>1075</v>
      </c>
      <c r="K641" s="30">
        <v>32095</v>
      </c>
      <c r="L641" s="3" t="str">
        <f t="shared" si="19"/>
        <v>ΑΡΑΒΟΣΙΤΟΣ_ΕΝΣΙΡΩΣΗΣ</v>
      </c>
    </row>
    <row r="642" spans="1:12" s="3" customFormat="1" x14ac:dyDescent="0.25">
      <c r="A642" s="3" t="str">
        <f t="shared" si="18"/>
        <v>ΑΡΑΒΟΣΙΤΟΣ ΕΝΣΙΡΩΣΗΣΑΡΑΒΟΣΙΤΟΣ MAS 78T</v>
      </c>
      <c r="B642" s="23" t="s">
        <v>1072</v>
      </c>
      <c r="C642" s="24" t="s">
        <v>1268</v>
      </c>
      <c r="D642" s="6">
        <v>1314.55</v>
      </c>
      <c r="E642" s="6">
        <v>1158.28</v>
      </c>
      <c r="F642" s="7" t="s">
        <v>14</v>
      </c>
      <c r="G642" s="30" t="s">
        <v>1269</v>
      </c>
      <c r="H642" s="31" t="s">
        <v>577</v>
      </c>
      <c r="I642" s="9">
        <v>5810</v>
      </c>
      <c r="J642" s="30" t="s">
        <v>1075</v>
      </c>
      <c r="K642" s="30">
        <v>32096</v>
      </c>
      <c r="L642" s="3" t="str">
        <f t="shared" si="19"/>
        <v>ΑΡΑΒΟΣΙΤΟΣ_ΕΝΣΙΡΩΣΗΣ</v>
      </c>
    </row>
    <row r="643" spans="1:12" s="3" customFormat="1" x14ac:dyDescent="0.25">
      <c r="A643" s="3" t="str">
        <f t="shared" ref="A643:A706" si="20">_xlfn.CONCAT(B643,C643)</f>
        <v>ΑΡΑΒΟΣΙΤΟΣ ΕΝΣΙΡΩΣΗΣΑΡΑΒΟΣΙΤΟΣ P1758</v>
      </c>
      <c r="B643" s="23" t="s">
        <v>1072</v>
      </c>
      <c r="C643" s="24" t="s">
        <v>1270</v>
      </c>
      <c r="D643" s="6">
        <v>1314.55</v>
      </c>
      <c r="E643" s="6">
        <v>1158.28</v>
      </c>
      <c r="F643" s="7" t="s">
        <v>14</v>
      </c>
      <c r="G643" s="30" t="s">
        <v>1271</v>
      </c>
      <c r="H643" s="31" t="s">
        <v>577</v>
      </c>
      <c r="I643" s="9">
        <v>5853</v>
      </c>
      <c r="J643" s="30" t="s">
        <v>1075</v>
      </c>
      <c r="K643" s="30">
        <v>32097</v>
      </c>
      <c r="L643" s="3" t="str">
        <f t="shared" ref="L643:L706" si="21">IFERROR(SUBSTITUTE(SUBSTITUTE(SUBSTITUTE(SUBSTITUTE(SUBSTITUTE(B643, "-", "_"), " ", "_"), ",", ""), "(", ""), ")", ""), B643)</f>
        <v>ΑΡΑΒΟΣΙΤΟΣ_ΕΝΣΙΡΩΣΗΣ</v>
      </c>
    </row>
    <row r="644" spans="1:12" s="3" customFormat="1" x14ac:dyDescent="0.25">
      <c r="A644" s="3" t="str">
        <f t="shared" si="20"/>
        <v>ΑΡΑΒΟΣΙΤΟΣ ΕΝΣΙΡΩΣΗΣΑΡΑΒΟΣΙΤΟΣ P1921</v>
      </c>
      <c r="B644" s="23" t="s">
        <v>1072</v>
      </c>
      <c r="C644" s="24" t="s">
        <v>1272</v>
      </c>
      <c r="D644" s="6">
        <v>1314.55</v>
      </c>
      <c r="E644" s="6">
        <v>1158.28</v>
      </c>
      <c r="F644" s="7" t="s">
        <v>14</v>
      </c>
      <c r="G644" s="30" t="s">
        <v>1273</v>
      </c>
      <c r="H644" s="31" t="s">
        <v>577</v>
      </c>
      <c r="I644" s="9">
        <v>5857</v>
      </c>
      <c r="J644" s="30" t="s">
        <v>1075</v>
      </c>
      <c r="K644" s="30">
        <v>32098</v>
      </c>
      <c r="L644" s="3" t="str">
        <f t="shared" si="21"/>
        <v>ΑΡΑΒΟΣΙΤΟΣ_ΕΝΣΙΡΩΣΗΣ</v>
      </c>
    </row>
    <row r="645" spans="1:12" s="3" customFormat="1" x14ac:dyDescent="0.25">
      <c r="A645" s="3" t="str">
        <f t="shared" si="20"/>
        <v>ΑΡΑΒΟΣΙΤΟΣ ΕΝΣΙΡΩΣΗΣΑΡΑΒΟΣΙΤΟΣ LG31630</v>
      </c>
      <c r="B645" s="23" t="s">
        <v>1072</v>
      </c>
      <c r="C645" s="24" t="s">
        <v>1274</v>
      </c>
      <c r="D645" s="6">
        <v>1314.55</v>
      </c>
      <c r="E645" s="6">
        <v>1158.28</v>
      </c>
      <c r="F645" s="7" t="s">
        <v>14</v>
      </c>
      <c r="G645" s="30" t="s">
        <v>1275</v>
      </c>
      <c r="H645" s="31" t="s">
        <v>577</v>
      </c>
      <c r="I645" s="9">
        <v>5792</v>
      </c>
      <c r="J645" s="30" t="s">
        <v>1075</v>
      </c>
      <c r="K645" s="30">
        <v>32099</v>
      </c>
      <c r="L645" s="3" t="str">
        <f t="shared" si="21"/>
        <v>ΑΡΑΒΟΣΙΤΟΣ_ΕΝΣΙΡΩΣΗΣ</v>
      </c>
    </row>
    <row r="646" spans="1:12" s="3" customFormat="1" x14ac:dyDescent="0.25">
      <c r="A646" s="3" t="str">
        <f t="shared" si="20"/>
        <v>ΑΡΑΒΟΣΙΤΟΣ ΕΝΣΙΡΩΣΗΣΑΡΑΒΟΣΙΤΟΣ DKC6728</v>
      </c>
      <c r="B646" s="23" t="s">
        <v>1072</v>
      </c>
      <c r="C646" s="24" t="s">
        <v>1276</v>
      </c>
      <c r="D646" s="6">
        <v>1314.55</v>
      </c>
      <c r="E646" s="6">
        <v>1158.28</v>
      </c>
      <c r="F646" s="7" t="s">
        <v>14</v>
      </c>
      <c r="G646" s="30" t="s">
        <v>1277</v>
      </c>
      <c r="H646" s="31" t="s">
        <v>577</v>
      </c>
      <c r="I646" s="9">
        <v>5687</v>
      </c>
      <c r="J646" s="30" t="s">
        <v>1075</v>
      </c>
      <c r="K646" s="30">
        <v>32100</v>
      </c>
      <c r="L646" s="3" t="str">
        <f t="shared" si="21"/>
        <v>ΑΡΑΒΟΣΙΤΟΣ_ΕΝΣΙΡΩΣΗΣ</v>
      </c>
    </row>
    <row r="647" spans="1:12" s="3" customFormat="1" x14ac:dyDescent="0.25">
      <c r="A647" s="3" t="str">
        <f t="shared" si="20"/>
        <v>ΑΡΑΒΟΣΙΤΟΣ ΕΝΣΙΡΩΣΗΣΑΡΑΒΟΣΙΤΟΣ P0729</v>
      </c>
      <c r="B647" s="23" t="s">
        <v>1072</v>
      </c>
      <c r="C647" s="24" t="s">
        <v>1278</v>
      </c>
      <c r="D647" s="6">
        <v>1314.55</v>
      </c>
      <c r="E647" s="6">
        <v>1158.28</v>
      </c>
      <c r="F647" s="7" t="s">
        <v>14</v>
      </c>
      <c r="G647" s="30" t="s">
        <v>1279</v>
      </c>
      <c r="H647" s="31" t="s">
        <v>577</v>
      </c>
      <c r="I647" s="9">
        <v>5829</v>
      </c>
      <c r="J647" s="30" t="s">
        <v>1075</v>
      </c>
      <c r="K647" s="30">
        <v>32101</v>
      </c>
      <c r="L647" s="3" t="str">
        <f t="shared" si="21"/>
        <v>ΑΡΑΒΟΣΙΤΟΣ_ΕΝΣΙΡΩΣΗΣ</v>
      </c>
    </row>
    <row r="648" spans="1:12" s="3" customFormat="1" x14ac:dyDescent="0.25">
      <c r="A648" s="3" t="str">
        <f t="shared" si="20"/>
        <v>ΑΡΑΒΟΣΙΤΟΣ ΕΝΣΙΡΩΣΗΣΑΡΑΒΟΣΙΤΟΣ P0937</v>
      </c>
      <c r="B648" s="23" t="s">
        <v>1072</v>
      </c>
      <c r="C648" s="24" t="s">
        <v>1280</v>
      </c>
      <c r="D648" s="6">
        <v>1314.55</v>
      </c>
      <c r="E648" s="6">
        <v>1158.28</v>
      </c>
      <c r="F648" s="7" t="s">
        <v>14</v>
      </c>
      <c r="G648" s="30" t="s">
        <v>1281</v>
      </c>
      <c r="H648" s="31" t="s">
        <v>577</v>
      </c>
      <c r="I648" s="9">
        <v>5833</v>
      </c>
      <c r="J648" s="30" t="s">
        <v>1075</v>
      </c>
      <c r="K648" s="30">
        <v>32102</v>
      </c>
      <c r="L648" s="3" t="str">
        <f t="shared" si="21"/>
        <v>ΑΡΑΒΟΣΙΤΟΣ_ΕΝΣΙΡΩΣΗΣ</v>
      </c>
    </row>
    <row r="649" spans="1:12" s="3" customFormat="1" x14ac:dyDescent="0.25">
      <c r="A649" s="3" t="str">
        <f t="shared" si="20"/>
        <v>ΑΡΑΒΟΣΙΤΟΣ ΕΝΣΙΡΩΣΗΣΑΡΑΒΟΣΙΤΟΣ P1524</v>
      </c>
      <c r="B649" s="23" t="s">
        <v>1072</v>
      </c>
      <c r="C649" s="24" t="s">
        <v>1282</v>
      </c>
      <c r="D649" s="6">
        <v>1314.55</v>
      </c>
      <c r="E649" s="6">
        <v>1158.28</v>
      </c>
      <c r="F649" s="7" t="s">
        <v>14</v>
      </c>
      <c r="G649" s="30" t="s">
        <v>1283</v>
      </c>
      <c r="H649" s="31" t="s">
        <v>577</v>
      </c>
      <c r="I649" s="9">
        <v>5846</v>
      </c>
      <c r="J649" s="30" t="s">
        <v>1075</v>
      </c>
      <c r="K649" s="30">
        <v>32103</v>
      </c>
      <c r="L649" s="3" t="str">
        <f t="shared" si="21"/>
        <v>ΑΡΑΒΟΣΙΤΟΣ_ΕΝΣΙΡΩΣΗΣ</v>
      </c>
    </row>
    <row r="650" spans="1:12" s="3" customFormat="1" x14ac:dyDescent="0.25">
      <c r="A650" s="3" t="str">
        <f t="shared" si="20"/>
        <v>ΑΡΑΒΟΣΙΤΟΣ ΕΝΣΙΡΩΣΗΣΑΡΑΒΟΣΙΤΟΣ ZP488</v>
      </c>
      <c r="B650" s="23" t="s">
        <v>1072</v>
      </c>
      <c r="C650" s="24" t="s">
        <v>1284</v>
      </c>
      <c r="D650" s="6">
        <v>1314.55</v>
      </c>
      <c r="E650" s="6">
        <v>1158.28</v>
      </c>
      <c r="F650" s="7" t="s">
        <v>14</v>
      </c>
      <c r="G650" s="30" t="s">
        <v>1285</v>
      </c>
      <c r="H650" s="31" t="s">
        <v>577</v>
      </c>
      <c r="I650" s="9">
        <v>5938</v>
      </c>
      <c r="J650" s="30" t="s">
        <v>1075</v>
      </c>
      <c r="K650" s="30">
        <v>32104</v>
      </c>
      <c r="L650" s="3" t="str">
        <f t="shared" si="21"/>
        <v>ΑΡΑΒΟΣΙΤΟΣ_ΕΝΣΙΡΩΣΗΣ</v>
      </c>
    </row>
    <row r="651" spans="1:12" s="3" customFormat="1" x14ac:dyDescent="0.25">
      <c r="A651" s="3" t="str">
        <f t="shared" si="20"/>
        <v>ΑΡΑΒΟΣΙΤΟΣ ΕΝΣΙΡΩΣΗΣΑΡΑΒΟΣΙΤΟΣ P1570</v>
      </c>
      <c r="B651" s="23" t="s">
        <v>1072</v>
      </c>
      <c r="C651" s="24" t="s">
        <v>1286</v>
      </c>
      <c r="D651" s="6">
        <v>1314.55</v>
      </c>
      <c r="E651" s="6">
        <v>1158.28</v>
      </c>
      <c r="F651" s="7" t="s">
        <v>14</v>
      </c>
      <c r="G651" s="30" t="s">
        <v>1287</v>
      </c>
      <c r="H651" s="31" t="s">
        <v>577</v>
      </c>
      <c r="I651" s="9">
        <v>5851</v>
      </c>
      <c r="J651" s="30" t="s">
        <v>1075</v>
      </c>
      <c r="K651" s="30">
        <v>32105</v>
      </c>
      <c r="L651" s="3" t="str">
        <f t="shared" si="21"/>
        <v>ΑΡΑΒΟΣΙΤΟΣ_ΕΝΣΙΡΩΣΗΣ</v>
      </c>
    </row>
    <row r="652" spans="1:12" s="3" customFormat="1" x14ac:dyDescent="0.25">
      <c r="A652" s="3" t="str">
        <f t="shared" si="20"/>
        <v>ΑΡΑΒΟΣΙΤΟΣ ΕΝΣΙΡΩΣΗΣΑΡΑΒΟΣΙΤΟΣ DKC6815</v>
      </c>
      <c r="B652" s="23" t="s">
        <v>1072</v>
      </c>
      <c r="C652" s="24" t="s">
        <v>1288</v>
      </c>
      <c r="D652" s="6">
        <v>1314.55</v>
      </c>
      <c r="E652" s="6">
        <v>1158.28</v>
      </c>
      <c r="F652" s="7" t="s">
        <v>14</v>
      </c>
      <c r="G652" s="30" t="s">
        <v>1289</v>
      </c>
      <c r="H652" s="31" t="s">
        <v>577</v>
      </c>
      <c r="I652" s="9">
        <v>5692</v>
      </c>
      <c r="J652" s="30" t="s">
        <v>1075</v>
      </c>
      <c r="K652" s="30">
        <v>32106</v>
      </c>
      <c r="L652" s="3" t="str">
        <f t="shared" si="21"/>
        <v>ΑΡΑΒΟΣΙΤΟΣ_ΕΝΣΙΡΩΣΗΣ</v>
      </c>
    </row>
    <row r="653" spans="1:12" s="3" customFormat="1" x14ac:dyDescent="0.25">
      <c r="A653" s="3" t="str">
        <f t="shared" si="20"/>
        <v>ΑΡΑΒΟΣΙΤΟΣ ΕΝΣΙΡΩΣΗΣΑΡΑΒΟΣΙΤΟΣ SNH 8606</v>
      </c>
      <c r="B653" s="23" t="s">
        <v>1072</v>
      </c>
      <c r="C653" s="24" t="s">
        <v>1290</v>
      </c>
      <c r="D653" s="6">
        <v>1314.55</v>
      </c>
      <c r="E653" s="6">
        <v>1158.28</v>
      </c>
      <c r="F653" s="7" t="s">
        <v>14</v>
      </c>
      <c r="G653" s="30" t="s">
        <v>1291</v>
      </c>
      <c r="H653" s="31" t="s">
        <v>577</v>
      </c>
      <c r="I653" s="9">
        <v>5885</v>
      </c>
      <c r="J653" s="30" t="s">
        <v>1075</v>
      </c>
      <c r="K653" s="30">
        <v>32107</v>
      </c>
      <c r="L653" s="3" t="str">
        <f t="shared" si="21"/>
        <v>ΑΡΑΒΟΣΙΤΟΣ_ΕΝΣΙΡΩΣΗΣ</v>
      </c>
    </row>
    <row r="654" spans="1:12" s="3" customFormat="1" x14ac:dyDescent="0.25">
      <c r="A654" s="3" t="str">
        <f t="shared" si="20"/>
        <v>ΑΡΑΒΟΣΙΤΟΣ ΕΝΣΙΡΩΣΗΣΑΡΑΒΟΣΙΤΟΣ P2105</v>
      </c>
      <c r="B654" s="23" t="s">
        <v>1072</v>
      </c>
      <c r="C654" s="24" t="s">
        <v>1292</v>
      </c>
      <c r="D654" s="6">
        <v>1314.55</v>
      </c>
      <c r="E654" s="6">
        <v>1158.28</v>
      </c>
      <c r="F654" s="7" t="s">
        <v>14</v>
      </c>
      <c r="G654" s="30" t="s">
        <v>1293</v>
      </c>
      <c r="H654" s="31" t="s">
        <v>577</v>
      </c>
      <c r="I654" s="9">
        <v>5861</v>
      </c>
      <c r="J654" s="30" t="s">
        <v>1075</v>
      </c>
      <c r="K654" s="30">
        <v>32108</v>
      </c>
      <c r="L654" s="3" t="str">
        <f t="shared" si="21"/>
        <v>ΑΡΑΒΟΣΙΤΟΣ_ΕΝΣΙΡΩΣΗΣ</v>
      </c>
    </row>
    <row r="655" spans="1:12" s="3" customFormat="1" x14ac:dyDescent="0.25">
      <c r="A655" s="3" t="str">
        <f t="shared" si="20"/>
        <v>ΑΡΑΒΟΣΙΤΟΣ ΕΝΣΙΡΩΣΗΣΑΡΑΒΟΣΙΤΟΣ DKC 6980</v>
      </c>
      <c r="B655" s="23" t="s">
        <v>1072</v>
      </c>
      <c r="C655" s="24" t="s">
        <v>1294</v>
      </c>
      <c r="D655" s="6">
        <v>1314.55</v>
      </c>
      <c r="E655" s="6">
        <v>1158.28</v>
      </c>
      <c r="F655" s="7" t="s">
        <v>14</v>
      </c>
      <c r="G655" s="30" t="s">
        <v>1295</v>
      </c>
      <c r="H655" s="31" t="s">
        <v>577</v>
      </c>
      <c r="I655" s="9">
        <v>5678</v>
      </c>
      <c r="J655" s="30" t="s">
        <v>1075</v>
      </c>
      <c r="K655" s="30">
        <v>32109</v>
      </c>
      <c r="L655" s="3" t="str">
        <f t="shared" si="21"/>
        <v>ΑΡΑΒΟΣΙΤΟΣ_ΕΝΣΙΡΩΣΗΣ</v>
      </c>
    </row>
    <row r="656" spans="1:12" s="3" customFormat="1" x14ac:dyDescent="0.25">
      <c r="A656" s="3" t="str">
        <f t="shared" si="20"/>
        <v>ΑΡΑΒΟΣΙΤΟΣ ΕΝΣΙΡΩΣΗΣΑΡΑΒΟΣΙΤΟΣ DKC 6777</v>
      </c>
      <c r="B656" s="23" t="s">
        <v>1072</v>
      </c>
      <c r="C656" s="24" t="s">
        <v>1296</v>
      </c>
      <c r="D656" s="6">
        <v>1314.55</v>
      </c>
      <c r="E656" s="6">
        <v>1158.28</v>
      </c>
      <c r="F656" s="7" t="s">
        <v>14</v>
      </c>
      <c r="G656" s="30" t="s">
        <v>1297</v>
      </c>
      <c r="H656" s="31" t="s">
        <v>577</v>
      </c>
      <c r="I656" s="9">
        <v>5677</v>
      </c>
      <c r="J656" s="30" t="s">
        <v>1075</v>
      </c>
      <c r="K656" s="30">
        <v>32110</v>
      </c>
      <c r="L656" s="3" t="str">
        <f t="shared" si="21"/>
        <v>ΑΡΑΒΟΣΙΤΟΣ_ΕΝΣΙΡΩΣΗΣ</v>
      </c>
    </row>
    <row r="657" spans="1:12" s="3" customFormat="1" x14ac:dyDescent="0.25">
      <c r="A657" s="3" t="str">
        <f t="shared" si="20"/>
        <v>ΑΡΑΒΟΣΙΤΟΣ ΕΝΣΙΡΩΣΗΣΑΡΑΒΟΣΙΤΟΣ DKC 7050</v>
      </c>
      <c r="B657" s="23" t="s">
        <v>1072</v>
      </c>
      <c r="C657" s="24" t="s">
        <v>1298</v>
      </c>
      <c r="D657" s="6">
        <v>1314.55</v>
      </c>
      <c r="E657" s="6">
        <v>1158.28</v>
      </c>
      <c r="F657" s="7" t="s">
        <v>14</v>
      </c>
      <c r="G657" s="30" t="s">
        <v>1299</v>
      </c>
      <c r="H657" s="31" t="s">
        <v>577</v>
      </c>
      <c r="I657" s="9">
        <v>5679</v>
      </c>
      <c r="J657" s="30" t="s">
        <v>1075</v>
      </c>
      <c r="K657" s="30">
        <v>32111</v>
      </c>
      <c r="L657" s="3" t="str">
        <f t="shared" si="21"/>
        <v>ΑΡΑΒΟΣΙΤΟΣ_ΕΝΣΙΡΩΣΗΣ</v>
      </c>
    </row>
    <row r="658" spans="1:12" s="3" customFormat="1" x14ac:dyDescent="0.25">
      <c r="A658" s="3" t="str">
        <f t="shared" si="20"/>
        <v>ΑΡΑΒΟΣΙΤΟΣ ΕΝΣΙΡΩΣΗΣΑΡΑΒΟΣΙΤΟΣ P1049</v>
      </c>
      <c r="B658" s="23" t="s">
        <v>1072</v>
      </c>
      <c r="C658" s="24" t="s">
        <v>1300</v>
      </c>
      <c r="D658" s="6">
        <v>1314.55</v>
      </c>
      <c r="E658" s="6">
        <v>1158.28</v>
      </c>
      <c r="F658" s="7" t="s">
        <v>14</v>
      </c>
      <c r="G658" s="30" t="s">
        <v>1301</v>
      </c>
      <c r="H658" s="31" t="s">
        <v>577</v>
      </c>
      <c r="I658" s="9">
        <v>5834</v>
      </c>
      <c r="J658" s="30" t="s">
        <v>1075</v>
      </c>
      <c r="K658" s="30">
        <v>32112</v>
      </c>
      <c r="L658" s="3" t="str">
        <f t="shared" si="21"/>
        <v>ΑΡΑΒΟΣΙΤΟΣ_ΕΝΣΙΡΩΣΗΣ</v>
      </c>
    </row>
    <row r="659" spans="1:12" s="3" customFormat="1" x14ac:dyDescent="0.25">
      <c r="A659" s="3" t="str">
        <f t="shared" si="20"/>
        <v>ΑΡΑΒΟΣΙΤΟΣ ΕΝΣΙΡΩΣΗΣΑΡΑΒΟΣΙΤΟΣ P1535</v>
      </c>
      <c r="B659" s="23" t="s">
        <v>1072</v>
      </c>
      <c r="C659" s="24" t="s">
        <v>1302</v>
      </c>
      <c r="D659" s="6">
        <v>1314.55</v>
      </c>
      <c r="E659" s="6">
        <v>1158.28</v>
      </c>
      <c r="F659" s="7" t="s">
        <v>14</v>
      </c>
      <c r="G659" s="30" t="s">
        <v>1303</v>
      </c>
      <c r="H659" s="31" t="s">
        <v>577</v>
      </c>
      <c r="I659" s="9">
        <v>5847</v>
      </c>
      <c r="J659" s="30" t="s">
        <v>1075</v>
      </c>
      <c r="K659" s="30">
        <v>32113</v>
      </c>
      <c r="L659" s="3" t="str">
        <f t="shared" si="21"/>
        <v>ΑΡΑΒΟΣΙΤΟΣ_ΕΝΣΙΡΩΣΗΣ</v>
      </c>
    </row>
    <row r="660" spans="1:12" s="3" customFormat="1" x14ac:dyDescent="0.25">
      <c r="A660" s="3" t="str">
        <f t="shared" si="20"/>
        <v>ΑΡΑΒΟΣΙΤΟΣ ΕΝΣΙΡΩΣΗΣΑΡΑΒΟΣΙΤΟΣ P9911</v>
      </c>
      <c r="B660" s="23" t="s">
        <v>1072</v>
      </c>
      <c r="C660" s="24" t="s">
        <v>1304</v>
      </c>
      <c r="D660" s="6">
        <v>1314.55</v>
      </c>
      <c r="E660" s="6">
        <v>1158.28</v>
      </c>
      <c r="F660" s="7" t="s">
        <v>14</v>
      </c>
      <c r="G660" s="30" t="s">
        <v>1305</v>
      </c>
      <c r="H660" s="31" t="s">
        <v>577</v>
      </c>
      <c r="I660" s="9">
        <v>5872</v>
      </c>
      <c r="J660" s="30" t="s">
        <v>1075</v>
      </c>
      <c r="K660" s="30">
        <v>32114</v>
      </c>
      <c r="L660" s="3" t="str">
        <f t="shared" si="21"/>
        <v>ΑΡΑΒΟΣΙΤΟΣ_ΕΝΣΙΡΩΣΗΣ</v>
      </c>
    </row>
    <row r="661" spans="1:12" s="3" customFormat="1" x14ac:dyDescent="0.25">
      <c r="A661" s="3" t="str">
        <f t="shared" si="20"/>
        <v>ΑΡΑΒΟΣΙΤΟΣ ΕΝΣΙΡΩΣΗΣΑΡΑΒΟΣΙΤΟΣ DKC6340</v>
      </c>
      <c r="B661" s="23" t="s">
        <v>1072</v>
      </c>
      <c r="C661" s="24" t="s">
        <v>1306</v>
      </c>
      <c r="D661" s="6">
        <v>1314.55</v>
      </c>
      <c r="E661" s="6">
        <v>1158.28</v>
      </c>
      <c r="F661" s="7" t="s">
        <v>14</v>
      </c>
      <c r="G661" s="30" t="s">
        <v>1307</v>
      </c>
      <c r="H661" s="31" t="s">
        <v>577</v>
      </c>
      <c r="I661" s="9">
        <v>5685</v>
      </c>
      <c r="J661" s="30" t="s">
        <v>1075</v>
      </c>
      <c r="K661" s="30">
        <v>32115</v>
      </c>
      <c r="L661" s="3" t="str">
        <f t="shared" si="21"/>
        <v>ΑΡΑΒΟΣΙΤΟΣ_ΕΝΣΙΡΩΣΗΣ</v>
      </c>
    </row>
    <row r="662" spans="1:12" s="3" customFormat="1" x14ac:dyDescent="0.25">
      <c r="A662" s="3" t="str">
        <f t="shared" si="20"/>
        <v>ΑΡΑΒΟΣΙΤΟΣ ΕΝΣΙΡΩΣΗΣΑΡΑΒΟΣΙΤΟΣ KEFIEROS</v>
      </c>
      <c r="B662" s="23" t="s">
        <v>1072</v>
      </c>
      <c r="C662" s="24" t="s">
        <v>1308</v>
      </c>
      <c r="D662" s="6">
        <v>1314.55</v>
      </c>
      <c r="E662" s="6">
        <v>1158.28</v>
      </c>
      <c r="F662" s="7" t="s">
        <v>14</v>
      </c>
      <c r="G662" s="30" t="s">
        <v>1309</v>
      </c>
      <c r="H662" s="31" t="s">
        <v>577</v>
      </c>
      <c r="I662" s="9">
        <v>5749</v>
      </c>
      <c r="J662" s="30" t="s">
        <v>1075</v>
      </c>
      <c r="K662" s="30">
        <v>32116</v>
      </c>
      <c r="L662" s="3" t="str">
        <f t="shared" si="21"/>
        <v>ΑΡΑΒΟΣΙΤΟΣ_ΕΝΣΙΡΩΣΗΣ</v>
      </c>
    </row>
    <row r="663" spans="1:12" s="3" customFormat="1" x14ac:dyDescent="0.25">
      <c r="A663" s="3" t="str">
        <f t="shared" si="20"/>
        <v>ΑΡΑΒΟΣΙΤΟΣ ΕΝΣΙΡΩΣΗΣΑΡΑΒΟΣΙΤΟΣ AHIPARA</v>
      </c>
      <c r="B663" s="23" t="s">
        <v>1072</v>
      </c>
      <c r="C663" s="24" t="s">
        <v>1310</v>
      </c>
      <c r="D663" s="6">
        <v>1314.55</v>
      </c>
      <c r="E663" s="6">
        <v>1158.28</v>
      </c>
      <c r="F663" s="7" t="s">
        <v>14</v>
      </c>
      <c r="G663" s="30" t="s">
        <v>1311</v>
      </c>
      <c r="H663" s="31" t="s">
        <v>577</v>
      </c>
      <c r="I663" s="9">
        <v>5644</v>
      </c>
      <c r="J663" s="30" t="s">
        <v>1075</v>
      </c>
      <c r="K663" s="30">
        <v>32117</v>
      </c>
      <c r="L663" s="3" t="str">
        <f t="shared" si="21"/>
        <v>ΑΡΑΒΟΣΙΤΟΣ_ΕΝΣΙΡΩΣΗΣ</v>
      </c>
    </row>
    <row r="664" spans="1:12" s="3" customFormat="1" x14ac:dyDescent="0.25">
      <c r="A664" s="3" t="str">
        <f t="shared" si="20"/>
        <v>ΑΡΑΒΟΣΙΤΟΣ ΕΝΣΙΡΩΣΗΣΑΡΑΒΟΣΙΤΟΣ AKAROA</v>
      </c>
      <c r="B664" s="23" t="s">
        <v>1072</v>
      </c>
      <c r="C664" s="24" t="s">
        <v>1312</v>
      </c>
      <c r="D664" s="6">
        <v>1314.55</v>
      </c>
      <c r="E664" s="6">
        <v>1158.28</v>
      </c>
      <c r="F664" s="7" t="s">
        <v>14</v>
      </c>
      <c r="G664" s="30" t="s">
        <v>1313</v>
      </c>
      <c r="H664" s="31" t="s">
        <v>577</v>
      </c>
      <c r="I664" s="9">
        <v>5645</v>
      </c>
      <c r="J664" s="30" t="s">
        <v>1075</v>
      </c>
      <c r="K664" s="30">
        <v>32118</v>
      </c>
      <c r="L664" s="3" t="str">
        <f t="shared" si="21"/>
        <v>ΑΡΑΒΟΣΙΤΟΣ_ΕΝΣΙΡΩΣΗΣ</v>
      </c>
    </row>
    <row r="665" spans="1:12" s="3" customFormat="1" x14ac:dyDescent="0.25">
      <c r="A665" s="3" t="str">
        <f t="shared" si="20"/>
        <v xml:space="preserve">ΑΡΑΒΟΣΙΤΟΣ ΕΝΣΙΡΩΣΗΣΑΡΑΒΟΣΙΤΟΣ GW 3159 </v>
      </c>
      <c r="B665" s="23" t="s">
        <v>1072</v>
      </c>
      <c r="C665" s="24" t="s">
        <v>1314</v>
      </c>
      <c r="D665" s="6">
        <v>1314.55</v>
      </c>
      <c r="E665" s="6">
        <v>1158.28</v>
      </c>
      <c r="F665" s="7" t="s">
        <v>14</v>
      </c>
      <c r="G665" s="30" t="s">
        <v>1315</v>
      </c>
      <c r="H665" s="31" t="s">
        <v>577</v>
      </c>
      <c r="I665" s="9">
        <v>5718</v>
      </c>
      <c r="J665" s="30" t="s">
        <v>1075</v>
      </c>
      <c r="K665" s="30">
        <v>32119</v>
      </c>
      <c r="L665" s="3" t="str">
        <f t="shared" si="21"/>
        <v>ΑΡΑΒΟΣΙΤΟΣ_ΕΝΣΙΡΩΣΗΣ</v>
      </c>
    </row>
    <row r="666" spans="1:12" s="3" customFormat="1" x14ac:dyDescent="0.25">
      <c r="A666" s="3" t="str">
        <f t="shared" si="20"/>
        <v>ΑΡΑΒΟΣΙΤΟΣ ΕΝΣΙΡΩΣΗΣΑΡΑΒΟΣΙΤΟΣ GW 3807</v>
      </c>
      <c r="B666" s="23" t="s">
        <v>1072</v>
      </c>
      <c r="C666" s="24" t="s">
        <v>1316</v>
      </c>
      <c r="D666" s="6">
        <v>1314.55</v>
      </c>
      <c r="E666" s="6">
        <v>1158.28</v>
      </c>
      <c r="F666" s="7" t="s">
        <v>14</v>
      </c>
      <c r="G666" s="30" t="s">
        <v>1317</v>
      </c>
      <c r="H666" s="31" t="s">
        <v>577</v>
      </c>
      <c r="I666" s="9">
        <v>5720</v>
      </c>
      <c r="J666" s="30" t="s">
        <v>1075</v>
      </c>
      <c r="K666" s="30">
        <v>32120</v>
      </c>
      <c r="L666" s="3" t="str">
        <f t="shared" si="21"/>
        <v>ΑΡΑΒΟΣΙΤΟΣ_ΕΝΣΙΡΩΣΗΣ</v>
      </c>
    </row>
    <row r="667" spans="1:12" s="3" customFormat="1" x14ac:dyDescent="0.25">
      <c r="A667" s="3" t="str">
        <f t="shared" si="20"/>
        <v>ΑΡΑΒΟΣΙΤΟΣ ΕΝΣΙΡΩΣΗΣΑΡΑΒΟΣΙΤΟΣ DKC 5530</v>
      </c>
      <c r="B667" s="23" t="s">
        <v>1072</v>
      </c>
      <c r="C667" s="24" t="s">
        <v>1318</v>
      </c>
      <c r="D667" s="6">
        <v>1314.55</v>
      </c>
      <c r="E667" s="6">
        <v>1158.28</v>
      </c>
      <c r="F667" s="7" t="s">
        <v>14</v>
      </c>
      <c r="G667" s="30" t="s">
        <v>1319</v>
      </c>
      <c r="H667" s="31" t="s">
        <v>577</v>
      </c>
      <c r="I667" s="9">
        <v>5674</v>
      </c>
      <c r="J667" s="30" t="s">
        <v>1075</v>
      </c>
      <c r="K667" s="30">
        <v>32121</v>
      </c>
      <c r="L667" s="3" t="str">
        <f t="shared" si="21"/>
        <v>ΑΡΑΒΟΣΙΤΟΣ_ΕΝΣΙΡΩΣΗΣ</v>
      </c>
    </row>
    <row r="668" spans="1:12" s="3" customFormat="1" x14ac:dyDescent="0.25">
      <c r="A668" s="3" t="str">
        <f t="shared" si="20"/>
        <v>ΑΡΑΒΟΣΙΤΟΣ ΕΝΣΙΡΩΣΗΣΑΡΑΒΟΣΙΤΟΣ ZP 341</v>
      </c>
      <c r="B668" s="23" t="s">
        <v>1072</v>
      </c>
      <c r="C668" s="24" t="s">
        <v>1320</v>
      </c>
      <c r="D668" s="6">
        <v>1314.55</v>
      </c>
      <c r="E668" s="6">
        <v>1158.28</v>
      </c>
      <c r="F668" s="7" t="s">
        <v>14</v>
      </c>
      <c r="G668" s="30" t="s">
        <v>1321</v>
      </c>
      <c r="H668" s="31" t="s">
        <v>577</v>
      </c>
      <c r="I668" s="9">
        <v>5929</v>
      </c>
      <c r="J668" s="30" t="s">
        <v>1075</v>
      </c>
      <c r="K668" s="30">
        <v>32122</v>
      </c>
      <c r="L668" s="3" t="str">
        <f t="shared" si="21"/>
        <v>ΑΡΑΒΟΣΙΤΟΣ_ΕΝΣΙΡΩΣΗΣ</v>
      </c>
    </row>
    <row r="669" spans="1:12" s="3" customFormat="1" x14ac:dyDescent="0.25">
      <c r="A669" s="3" t="str">
        <f t="shared" si="20"/>
        <v>ΑΡΑΒΟΣΙΤΟΣ ΕΝΣΙΡΩΣΗΣΑΡΑΒΟΣΙΤΟΣ PIANTONI</v>
      </c>
      <c r="B669" s="23" t="s">
        <v>1072</v>
      </c>
      <c r="C669" s="24" t="s">
        <v>1322</v>
      </c>
      <c r="D669" s="6">
        <v>1314.55</v>
      </c>
      <c r="E669" s="6">
        <v>1158.28</v>
      </c>
      <c r="F669" s="7" t="s">
        <v>14</v>
      </c>
      <c r="G669" s="30" t="s">
        <v>1323</v>
      </c>
      <c r="H669" s="31" t="s">
        <v>577</v>
      </c>
      <c r="I669" s="9">
        <v>5875</v>
      </c>
      <c r="J669" s="30" t="s">
        <v>1075</v>
      </c>
      <c r="K669" s="30">
        <v>32123</v>
      </c>
      <c r="L669" s="3" t="str">
        <f t="shared" si="21"/>
        <v>ΑΡΑΒΟΣΙΤΟΣ_ΕΝΣΙΡΩΣΗΣ</v>
      </c>
    </row>
    <row r="670" spans="1:12" s="3" customFormat="1" x14ac:dyDescent="0.25">
      <c r="A670" s="3" t="str">
        <f t="shared" si="20"/>
        <v>ΑΡΑΒΟΣΙΤΟΣ ΕΝΣΙΡΩΣΗΣΑΡΑΒΟΣΙΤΟΣ LEONIDAS</v>
      </c>
      <c r="B670" s="23" t="s">
        <v>1072</v>
      </c>
      <c r="C670" s="24" t="s">
        <v>1324</v>
      </c>
      <c r="D670" s="6">
        <v>1314.55</v>
      </c>
      <c r="E670" s="6">
        <v>1158.28</v>
      </c>
      <c r="F670" s="7" t="s">
        <v>14</v>
      </c>
      <c r="G670" s="30" t="s">
        <v>1325</v>
      </c>
      <c r="H670" s="31" t="s">
        <v>577</v>
      </c>
      <c r="I670" s="9">
        <v>5779</v>
      </c>
      <c r="J670" s="30" t="s">
        <v>1075</v>
      </c>
      <c r="K670" s="30">
        <v>32124</v>
      </c>
      <c r="L670" s="3" t="str">
        <f t="shared" si="21"/>
        <v>ΑΡΑΒΟΣΙΤΟΣ_ΕΝΣΙΡΩΣΗΣ</v>
      </c>
    </row>
    <row r="671" spans="1:12" s="3" customFormat="1" x14ac:dyDescent="0.25">
      <c r="A671" s="3" t="str">
        <f t="shared" si="20"/>
        <v>ΑΡΑΒΟΣΙΤΟΣ ΕΝΣΙΡΩΣΗΣΑΡΑΒΟΣΙΤΟΣ P1454</v>
      </c>
      <c r="B671" s="23" t="s">
        <v>1072</v>
      </c>
      <c r="C671" s="24" t="s">
        <v>1326</v>
      </c>
      <c r="D671" s="6">
        <v>1314.55</v>
      </c>
      <c r="E671" s="6">
        <v>1158.28</v>
      </c>
      <c r="F671" s="7" t="s">
        <v>14</v>
      </c>
      <c r="G671" s="30" t="s">
        <v>1327</v>
      </c>
      <c r="H671" s="31" t="s">
        <v>577</v>
      </c>
      <c r="I671" s="9">
        <v>5843</v>
      </c>
      <c r="J671" s="30" t="s">
        <v>1075</v>
      </c>
      <c r="K671" s="30">
        <v>32125</v>
      </c>
      <c r="L671" s="3" t="str">
        <f t="shared" si="21"/>
        <v>ΑΡΑΒΟΣΙΤΟΣ_ΕΝΣΙΡΩΣΗΣ</v>
      </c>
    </row>
    <row r="672" spans="1:12" s="3" customFormat="1" x14ac:dyDescent="0.25">
      <c r="A672" s="3" t="str">
        <f t="shared" si="20"/>
        <v>ΑΡΑΒΟΣΙΤΟΣ ΕΝΣΙΡΩΣΗΣΑΡΑΒΟΣΙΤΟΣ LG31700</v>
      </c>
      <c r="B672" s="23" t="s">
        <v>1072</v>
      </c>
      <c r="C672" s="24" t="s">
        <v>1328</v>
      </c>
      <c r="D672" s="6">
        <v>1314.55</v>
      </c>
      <c r="E672" s="6">
        <v>1158.28</v>
      </c>
      <c r="F672" s="7" t="s">
        <v>14</v>
      </c>
      <c r="G672" s="30" t="s">
        <v>1329</v>
      </c>
      <c r="H672" s="31" t="s">
        <v>577</v>
      </c>
      <c r="I672" s="9">
        <v>5798</v>
      </c>
      <c r="J672" s="30" t="s">
        <v>1075</v>
      </c>
      <c r="K672" s="30">
        <v>32126</v>
      </c>
      <c r="L672" s="3" t="str">
        <f t="shared" si="21"/>
        <v>ΑΡΑΒΟΣΙΤΟΣ_ΕΝΣΙΡΩΣΗΣ</v>
      </c>
    </row>
    <row r="673" spans="1:12" s="3" customFormat="1" x14ac:dyDescent="0.25">
      <c r="A673" s="3" t="str">
        <f t="shared" si="20"/>
        <v>ΑΡΑΒΟΣΙΤΟΣ ΕΝΣΙΡΩΣΗΣΑΡΑΒΟΣΙΤΟΣ MAS64P</v>
      </c>
      <c r="B673" s="23" t="s">
        <v>1072</v>
      </c>
      <c r="C673" s="24" t="s">
        <v>1330</v>
      </c>
      <c r="D673" s="6">
        <v>1314.55</v>
      </c>
      <c r="E673" s="6">
        <v>1158.28</v>
      </c>
      <c r="F673" s="7" t="s">
        <v>14</v>
      </c>
      <c r="G673" s="30" t="s">
        <v>1331</v>
      </c>
      <c r="H673" s="31" t="s">
        <v>577</v>
      </c>
      <c r="I673" s="9">
        <v>5811</v>
      </c>
      <c r="J673" s="30" t="s">
        <v>1075</v>
      </c>
      <c r="K673" s="30">
        <v>32127</v>
      </c>
      <c r="L673" s="3" t="str">
        <f t="shared" si="21"/>
        <v>ΑΡΑΒΟΣΙΤΟΣ_ΕΝΣΙΡΩΣΗΣ</v>
      </c>
    </row>
    <row r="674" spans="1:12" s="3" customFormat="1" x14ac:dyDescent="0.25">
      <c r="A674" s="3" t="str">
        <f t="shared" si="20"/>
        <v>ΑΡΑΒΟΣΙΤΟΣ ΕΝΣΙΡΩΣΗΣΑΡΑΒΟΣΙΤΟΣ P1672</v>
      </c>
      <c r="B674" s="23" t="s">
        <v>1072</v>
      </c>
      <c r="C674" s="24" t="s">
        <v>1332</v>
      </c>
      <c r="D674" s="6">
        <v>1314.55</v>
      </c>
      <c r="E674" s="6">
        <v>1158.28</v>
      </c>
      <c r="F674" s="7" t="s">
        <v>14</v>
      </c>
      <c r="G674" s="30" t="s">
        <v>1333</v>
      </c>
      <c r="H674" s="31" t="s">
        <v>577</v>
      </c>
      <c r="I674" s="9">
        <v>5852</v>
      </c>
      <c r="J674" s="30" t="s">
        <v>1075</v>
      </c>
      <c r="K674" s="30">
        <v>32128</v>
      </c>
      <c r="L674" s="3" t="str">
        <f t="shared" si="21"/>
        <v>ΑΡΑΒΟΣΙΤΟΣ_ΕΝΣΙΡΩΣΗΣ</v>
      </c>
    </row>
    <row r="675" spans="1:12" s="3" customFormat="1" x14ac:dyDescent="0.25">
      <c r="A675" s="3" t="str">
        <f t="shared" si="20"/>
        <v>ΑΡΑΒΟΣΙΤΟΣ ΕΝΣΙΡΩΣΗΣΑΡΑΒΟΣΙΤΟΣ P1916</v>
      </c>
      <c r="B675" s="23" t="s">
        <v>1072</v>
      </c>
      <c r="C675" s="24" t="s">
        <v>1334</v>
      </c>
      <c r="D675" s="6">
        <v>1314.55</v>
      </c>
      <c r="E675" s="6">
        <v>1158.28</v>
      </c>
      <c r="F675" s="7" t="s">
        <v>14</v>
      </c>
      <c r="G675" s="30" t="s">
        <v>1335</v>
      </c>
      <c r="H675" s="31" t="s">
        <v>577</v>
      </c>
      <c r="I675" s="9">
        <v>5856</v>
      </c>
      <c r="J675" s="30" t="s">
        <v>1075</v>
      </c>
      <c r="K675" s="30">
        <v>32129</v>
      </c>
      <c r="L675" s="3" t="str">
        <f t="shared" si="21"/>
        <v>ΑΡΑΒΟΣΙΤΟΣ_ΕΝΣΙΡΩΣΗΣ</v>
      </c>
    </row>
    <row r="676" spans="1:12" s="3" customFormat="1" x14ac:dyDescent="0.25">
      <c r="A676" s="3" t="str">
        <f t="shared" si="20"/>
        <v>ΑΡΑΒΟΣΙΤΟΣ ΕΝΣΙΡΩΣΗΣΑΡΑΒΟΣΙΤΟΣ DKC6897</v>
      </c>
      <c r="B676" s="23" t="s">
        <v>1072</v>
      </c>
      <c r="C676" s="24" t="s">
        <v>1336</v>
      </c>
      <c r="D676" s="6">
        <v>1314.55</v>
      </c>
      <c r="E676" s="6">
        <v>1158.28</v>
      </c>
      <c r="F676" s="7" t="s">
        <v>14</v>
      </c>
      <c r="G676" s="30" t="s">
        <v>1337</v>
      </c>
      <c r="H676" s="31" t="s">
        <v>577</v>
      </c>
      <c r="I676" s="9">
        <v>5693</v>
      </c>
      <c r="J676" s="30" t="s">
        <v>1075</v>
      </c>
      <c r="K676" s="30">
        <v>32130</v>
      </c>
      <c r="L676" s="3" t="str">
        <f t="shared" si="21"/>
        <v>ΑΡΑΒΟΣΙΤΟΣ_ΕΝΣΙΡΩΣΗΣ</v>
      </c>
    </row>
    <row r="677" spans="1:12" s="3" customFormat="1" x14ac:dyDescent="0.25">
      <c r="A677" s="3" t="str">
        <f t="shared" si="20"/>
        <v>ΑΡΑΒΟΣΙΤΟΣ ΕΝΣΙΡΩΣΗΣΑΡΑΒΟΣΙΤΟΣ GW 4627</v>
      </c>
      <c r="B677" s="23" t="s">
        <v>1072</v>
      </c>
      <c r="C677" s="24" t="s">
        <v>1338</v>
      </c>
      <c r="D677" s="6">
        <v>1314.55</v>
      </c>
      <c r="E677" s="6">
        <v>1158.28</v>
      </c>
      <c r="F677" s="7" t="s">
        <v>14</v>
      </c>
      <c r="G677" s="30" t="s">
        <v>1339</v>
      </c>
      <c r="H677" s="31" t="s">
        <v>577</v>
      </c>
      <c r="I677" s="9">
        <v>5722</v>
      </c>
      <c r="J677" s="30" t="s">
        <v>1075</v>
      </c>
      <c r="K677" s="30">
        <v>32131</v>
      </c>
      <c r="L677" s="3" t="str">
        <f t="shared" si="21"/>
        <v>ΑΡΑΒΟΣΙΤΟΣ_ΕΝΣΙΡΩΣΗΣ</v>
      </c>
    </row>
    <row r="678" spans="1:12" s="3" customFormat="1" x14ac:dyDescent="0.25">
      <c r="A678" s="3" t="str">
        <f t="shared" si="20"/>
        <v>ΑΡΑΒΟΣΙΤΟΣ ΕΝΣΙΡΩΣΗΣΑΡΑΒΟΣΙΤΟΣ LG31695</v>
      </c>
      <c r="B678" s="23" t="s">
        <v>1072</v>
      </c>
      <c r="C678" s="24" t="s">
        <v>1340</v>
      </c>
      <c r="D678" s="6">
        <v>1314.55</v>
      </c>
      <c r="E678" s="6">
        <v>1158.28</v>
      </c>
      <c r="F678" s="7" t="s">
        <v>14</v>
      </c>
      <c r="G678" s="30" t="s">
        <v>1341</v>
      </c>
      <c r="H678" s="31" t="s">
        <v>577</v>
      </c>
      <c r="I678" s="9">
        <v>5797</v>
      </c>
      <c r="J678" s="30" t="s">
        <v>1075</v>
      </c>
      <c r="K678" s="30">
        <v>32132</v>
      </c>
      <c r="L678" s="3" t="str">
        <f t="shared" si="21"/>
        <v>ΑΡΑΒΟΣΙΤΟΣ_ΕΝΣΙΡΩΣΗΣ</v>
      </c>
    </row>
    <row r="679" spans="1:12" s="3" customFormat="1" x14ac:dyDescent="0.25">
      <c r="A679" s="3" t="str">
        <f t="shared" si="20"/>
        <v>ΑΡΑΒΟΣΙΤΟΣ ΕΝΣΙΡΩΣΗΣΑΡΑΒΟΣΙΤΟΣ DKC6050</v>
      </c>
      <c r="B679" s="23" t="s">
        <v>1072</v>
      </c>
      <c r="C679" s="24" t="s">
        <v>1342</v>
      </c>
      <c r="D679" s="6">
        <v>1314.55</v>
      </c>
      <c r="E679" s="6">
        <v>1158.28</v>
      </c>
      <c r="F679" s="7" t="s">
        <v>14</v>
      </c>
      <c r="G679" s="30" t="s">
        <v>1343</v>
      </c>
      <c r="H679" s="31" t="s">
        <v>577</v>
      </c>
      <c r="I679" s="9">
        <v>5683</v>
      </c>
      <c r="J679" s="30" t="s">
        <v>1075</v>
      </c>
      <c r="K679" s="30">
        <v>32133</v>
      </c>
      <c r="L679" s="3" t="str">
        <f t="shared" si="21"/>
        <v>ΑΡΑΒΟΣΙΤΟΣ_ΕΝΣΙΡΩΣΗΣ</v>
      </c>
    </row>
    <row r="680" spans="1:12" s="3" customFormat="1" x14ac:dyDescent="0.25">
      <c r="A680" s="3" t="str">
        <f t="shared" si="20"/>
        <v>ΑΡΑΒΟΣΙΤΟΣ ΕΝΣΙΡΩΣΗΣΑΡΑΒΟΣΙΤΟΣ DKC5182</v>
      </c>
      <c r="B680" s="23" t="s">
        <v>1072</v>
      </c>
      <c r="C680" s="24" t="s">
        <v>1344</v>
      </c>
      <c r="D680" s="6">
        <v>1314.55</v>
      </c>
      <c r="E680" s="6">
        <v>1158.28</v>
      </c>
      <c r="F680" s="7" t="s">
        <v>14</v>
      </c>
      <c r="G680" s="30" t="s">
        <v>1345</v>
      </c>
      <c r="H680" s="31" t="s">
        <v>577</v>
      </c>
      <c r="I680" s="9">
        <v>5680</v>
      </c>
      <c r="J680" s="30" t="s">
        <v>1075</v>
      </c>
      <c r="K680" s="30">
        <v>32134</v>
      </c>
      <c r="L680" s="3" t="str">
        <f t="shared" si="21"/>
        <v>ΑΡΑΒΟΣΙΤΟΣ_ΕΝΣΙΡΩΣΗΣ</v>
      </c>
    </row>
    <row r="681" spans="1:12" s="3" customFormat="1" x14ac:dyDescent="0.25">
      <c r="A681" s="3" t="str">
        <f t="shared" si="20"/>
        <v>ΑΡΑΒΟΣΙΤΟΣ ΕΝΣΙΡΩΣΗΣΑΡΑΒΟΣΙΤΟΣ P0900</v>
      </c>
      <c r="B681" s="23" t="s">
        <v>1072</v>
      </c>
      <c r="C681" s="24" t="s">
        <v>1346</v>
      </c>
      <c r="D681" s="6">
        <v>1314.55</v>
      </c>
      <c r="E681" s="6">
        <v>1158.28</v>
      </c>
      <c r="F681" s="7" t="s">
        <v>14</v>
      </c>
      <c r="G681" s="30" t="s">
        <v>1347</v>
      </c>
      <c r="H681" s="31" t="s">
        <v>577</v>
      </c>
      <c r="I681" s="9">
        <v>5830</v>
      </c>
      <c r="J681" s="30" t="s">
        <v>1075</v>
      </c>
      <c r="K681" s="30">
        <v>32135</v>
      </c>
      <c r="L681" s="3" t="str">
        <f t="shared" si="21"/>
        <v>ΑΡΑΒΟΣΙΤΟΣ_ΕΝΣΙΡΩΣΗΣ</v>
      </c>
    </row>
    <row r="682" spans="1:12" s="3" customFormat="1" x14ac:dyDescent="0.25">
      <c r="A682" s="3" t="str">
        <f t="shared" si="20"/>
        <v>ΑΡΑΒΟΣΙΤΟΣ ΕΝΣΙΡΩΣΗΣΑΡΑΒΟΣΙΤΟΣ P0023</v>
      </c>
      <c r="B682" s="23" t="s">
        <v>1072</v>
      </c>
      <c r="C682" s="24" t="s">
        <v>1348</v>
      </c>
      <c r="D682" s="6">
        <v>1314.55</v>
      </c>
      <c r="E682" s="6">
        <v>1158.28</v>
      </c>
      <c r="F682" s="7" t="s">
        <v>14</v>
      </c>
      <c r="G682" s="30" t="s">
        <v>1349</v>
      </c>
      <c r="H682" s="31" t="s">
        <v>577</v>
      </c>
      <c r="I682" s="9">
        <v>5820</v>
      </c>
      <c r="J682" s="30" t="s">
        <v>1075</v>
      </c>
      <c r="K682" s="30">
        <v>32136</v>
      </c>
      <c r="L682" s="3" t="str">
        <f t="shared" si="21"/>
        <v>ΑΡΑΒΟΣΙΤΟΣ_ΕΝΣΙΡΩΣΗΣ</v>
      </c>
    </row>
    <row r="683" spans="1:12" s="3" customFormat="1" x14ac:dyDescent="0.25">
      <c r="A683" s="3" t="str">
        <f t="shared" si="20"/>
        <v>ΑΡΑΒΟΣΙΤΟΣ ΕΝΣΙΡΩΣΗΣΑΡΑΒΟΣΙΤΟΣ 68K</v>
      </c>
      <c r="B683" s="23" t="s">
        <v>1072</v>
      </c>
      <c r="C683" s="24" t="s">
        <v>1350</v>
      </c>
      <c r="D683" s="6">
        <v>1314.55</v>
      </c>
      <c r="E683" s="6">
        <v>1158.28</v>
      </c>
      <c r="F683" s="7" t="s">
        <v>14</v>
      </c>
      <c r="G683" s="30" t="s">
        <v>1351</v>
      </c>
      <c r="H683" s="31" t="s">
        <v>577</v>
      </c>
      <c r="I683" s="9">
        <v>5625</v>
      </c>
      <c r="J683" s="30" t="s">
        <v>1075</v>
      </c>
      <c r="K683" s="30">
        <v>32137</v>
      </c>
      <c r="L683" s="3" t="str">
        <f t="shared" si="21"/>
        <v>ΑΡΑΒΟΣΙΤΟΣ_ΕΝΣΙΡΩΣΗΣ</v>
      </c>
    </row>
    <row r="684" spans="1:12" s="3" customFormat="1" x14ac:dyDescent="0.25">
      <c r="A684" s="3" t="str">
        <f t="shared" si="20"/>
        <v>ΑΡΑΒΟΣΙΤΟΣ ΕΝΣΙΡΩΣΗΣΑΡΑΒΟΣΙΤΟΣ KWS INTELIGENS</v>
      </c>
      <c r="B684" s="23" t="s">
        <v>1072</v>
      </c>
      <c r="C684" s="24" t="s">
        <v>1352</v>
      </c>
      <c r="D684" s="6">
        <v>1314.55</v>
      </c>
      <c r="E684" s="6">
        <v>1158.28</v>
      </c>
      <c r="F684" s="7" t="s">
        <v>14</v>
      </c>
      <c r="G684" s="30" t="s">
        <v>1353</v>
      </c>
      <c r="H684" s="31" t="s">
        <v>577</v>
      </c>
      <c r="I684" s="9">
        <v>5766</v>
      </c>
      <c r="J684" s="30" t="s">
        <v>1075</v>
      </c>
      <c r="K684" s="30">
        <v>32138</v>
      </c>
      <c r="L684" s="3" t="str">
        <f t="shared" si="21"/>
        <v>ΑΡΑΒΟΣΙΤΟΣ_ΕΝΣΙΡΩΣΗΣ</v>
      </c>
    </row>
    <row r="685" spans="1:12" s="3" customFormat="1" x14ac:dyDescent="0.25">
      <c r="A685" s="3" t="str">
        <f t="shared" si="20"/>
        <v>ΑΡΑΒΟΣΙΤΟΣ ΕΝΣΙΡΩΣΗΣΑΡΑΒΟΣΙΤΟΣ FUERZA</v>
      </c>
      <c r="B685" s="23" t="s">
        <v>1072</v>
      </c>
      <c r="C685" s="24" t="s">
        <v>1354</v>
      </c>
      <c r="D685" s="6">
        <v>1314.55</v>
      </c>
      <c r="E685" s="6">
        <v>1158.28</v>
      </c>
      <c r="F685" s="7" t="s">
        <v>14</v>
      </c>
      <c r="G685" s="30" t="s">
        <v>1355</v>
      </c>
      <c r="H685" s="31" t="s">
        <v>577</v>
      </c>
      <c r="I685" s="9">
        <v>5708</v>
      </c>
      <c r="J685" s="30" t="s">
        <v>1075</v>
      </c>
      <c r="K685" s="30">
        <v>32139</v>
      </c>
      <c r="L685" s="3" t="str">
        <f t="shared" si="21"/>
        <v>ΑΡΑΒΟΣΙΤΟΣ_ΕΝΣΙΡΩΣΗΣ</v>
      </c>
    </row>
    <row r="686" spans="1:12" s="3" customFormat="1" x14ac:dyDescent="0.25">
      <c r="A686" s="3" t="str">
        <f t="shared" si="20"/>
        <v>ΑΡΑΒΟΣΙΤΟΣ ΕΝΣΙΡΩΣΗΣΑΡΑΒΟΣΙΤΟΣ SNH 9609</v>
      </c>
      <c r="B686" s="23" t="s">
        <v>1072</v>
      </c>
      <c r="C686" s="24" t="s">
        <v>1356</v>
      </c>
      <c r="D686" s="6">
        <v>1314.55</v>
      </c>
      <c r="E686" s="6">
        <v>1158.28</v>
      </c>
      <c r="F686" s="7" t="s">
        <v>14</v>
      </c>
      <c r="G686" s="30" t="s">
        <v>1357</v>
      </c>
      <c r="H686" s="31" t="s">
        <v>577</v>
      </c>
      <c r="I686" s="9">
        <v>5886</v>
      </c>
      <c r="J686" s="30" t="s">
        <v>1075</v>
      </c>
      <c r="K686" s="30">
        <v>32140</v>
      </c>
      <c r="L686" s="3" t="str">
        <f t="shared" si="21"/>
        <v>ΑΡΑΒΟΣΙΤΟΣ_ΕΝΣΙΡΩΣΗΣ</v>
      </c>
    </row>
    <row r="687" spans="1:12" s="3" customFormat="1" x14ac:dyDescent="0.25">
      <c r="A687" s="3" t="str">
        <f t="shared" si="20"/>
        <v>ΑΡΑΒΟΣΙΤΟΣ ΕΝΣΙΡΩΣΗΣΑΡΑΒΟΣΙΤΟΣ OTAKAU</v>
      </c>
      <c r="B687" s="23" t="s">
        <v>1072</v>
      </c>
      <c r="C687" s="24" t="s">
        <v>1358</v>
      </c>
      <c r="D687" s="6">
        <v>1314.55</v>
      </c>
      <c r="E687" s="6">
        <v>1158.28</v>
      </c>
      <c r="F687" s="7" t="s">
        <v>14</v>
      </c>
      <c r="G687" s="30" t="s">
        <v>1359</v>
      </c>
      <c r="H687" s="31" t="s">
        <v>577</v>
      </c>
      <c r="I687" s="9">
        <v>5817</v>
      </c>
      <c r="J687" s="30" t="s">
        <v>1075</v>
      </c>
      <c r="K687" s="30">
        <v>32141</v>
      </c>
      <c r="L687" s="3" t="str">
        <f t="shared" si="21"/>
        <v>ΑΡΑΒΟΣΙΤΟΣ_ΕΝΣΙΡΩΣΗΣ</v>
      </c>
    </row>
    <row r="688" spans="1:12" s="3" customFormat="1" x14ac:dyDescent="0.25">
      <c r="A688" s="3" t="str">
        <f t="shared" si="20"/>
        <v>ΑΡΑΒΟΣΙΤΟΣ ΕΝΣΙΡΩΣΗΣΑΡΑΒΟΣΙΤΟΣ RUNANGA</v>
      </c>
      <c r="B688" s="23" t="s">
        <v>1072</v>
      </c>
      <c r="C688" s="24" t="s">
        <v>1360</v>
      </c>
      <c r="D688" s="6">
        <v>1314.55</v>
      </c>
      <c r="E688" s="6">
        <v>1158.28</v>
      </c>
      <c r="F688" s="7" t="s">
        <v>14</v>
      </c>
      <c r="G688" s="30" t="s">
        <v>1361</v>
      </c>
      <c r="H688" s="31" t="s">
        <v>577</v>
      </c>
      <c r="I688" s="9">
        <v>5879</v>
      </c>
      <c r="J688" s="30" t="s">
        <v>1075</v>
      </c>
      <c r="K688" s="30">
        <v>32142</v>
      </c>
      <c r="L688" s="3" t="str">
        <f t="shared" si="21"/>
        <v>ΑΡΑΒΟΣΙΤΟΣ_ΕΝΣΙΡΩΣΗΣ</v>
      </c>
    </row>
    <row r="689" spans="1:12" s="3" customFormat="1" x14ac:dyDescent="0.25">
      <c r="A689" s="3" t="str">
        <f t="shared" si="20"/>
        <v>ΑΡΑΒΟΣΙΤΟΣ ΕΝΣΙΡΩΣΗΣΑΡΑΒΟΣΙΤΟΣ P2085</v>
      </c>
      <c r="B689" s="23" t="s">
        <v>1072</v>
      </c>
      <c r="C689" s="24" t="s">
        <v>1362</v>
      </c>
      <c r="D689" s="6">
        <v>1314.55</v>
      </c>
      <c r="E689" s="6">
        <v>1158.28</v>
      </c>
      <c r="F689" s="7" t="s">
        <v>14</v>
      </c>
      <c r="G689" s="30" t="s">
        <v>1363</v>
      </c>
      <c r="H689" s="31" t="s">
        <v>577</v>
      </c>
      <c r="I689" s="9">
        <v>5860</v>
      </c>
      <c r="J689" s="30" t="s">
        <v>1075</v>
      </c>
      <c r="K689" s="30">
        <v>32143</v>
      </c>
      <c r="L689" s="3" t="str">
        <f t="shared" si="21"/>
        <v>ΑΡΑΒΟΣΙΤΟΣ_ΕΝΣΙΡΩΣΗΣ</v>
      </c>
    </row>
    <row r="690" spans="1:12" s="3" customFormat="1" x14ac:dyDescent="0.25">
      <c r="A690" s="3" t="str">
        <f t="shared" si="20"/>
        <v>ΑΡΑΒΟΣΙΤΟΣ ΕΝΣΙΡΩΣΗΣΑΡΑΒΟΣΙΤΟΣ SMEDEREVO</v>
      </c>
      <c r="B690" s="23" t="s">
        <v>1072</v>
      </c>
      <c r="C690" s="24" t="s">
        <v>1364</v>
      </c>
      <c r="D690" s="6">
        <v>1314.55</v>
      </c>
      <c r="E690" s="6">
        <v>1158.28</v>
      </c>
      <c r="F690" s="7" t="s">
        <v>14</v>
      </c>
      <c r="G690" s="30" t="s">
        <v>1365</v>
      </c>
      <c r="H690" s="31" t="s">
        <v>577</v>
      </c>
      <c r="I690" s="9">
        <v>5884</v>
      </c>
      <c r="J690" s="30" t="s">
        <v>1075</v>
      </c>
      <c r="K690" s="30">
        <v>32144</v>
      </c>
      <c r="L690" s="3" t="str">
        <f t="shared" si="21"/>
        <v>ΑΡΑΒΟΣΙΤΟΣ_ΕΝΣΙΡΩΣΗΣ</v>
      </c>
    </row>
    <row r="691" spans="1:12" s="3" customFormat="1" x14ac:dyDescent="0.25">
      <c r="A691" s="3" t="str">
        <f t="shared" si="20"/>
        <v>ΑΡΑΒΟΣΙΤΟΣ ΕΝΣΙΡΩΣΗΣΑΡΑΒΟΣΙΤΟΣ DKC6492</v>
      </c>
      <c r="B691" s="23" t="s">
        <v>1072</v>
      </c>
      <c r="C691" s="24" t="s">
        <v>1366</v>
      </c>
      <c r="D691" s="6">
        <v>1314.55</v>
      </c>
      <c r="E691" s="6">
        <v>1158.28</v>
      </c>
      <c r="F691" s="7" t="s">
        <v>14</v>
      </c>
      <c r="G691" s="30" t="s">
        <v>1367</v>
      </c>
      <c r="H691" s="31" t="s">
        <v>577</v>
      </c>
      <c r="I691" s="9">
        <v>5686</v>
      </c>
      <c r="J691" s="30" t="s">
        <v>1075</v>
      </c>
      <c r="K691" s="30">
        <v>32145</v>
      </c>
      <c r="L691" s="3" t="str">
        <f t="shared" si="21"/>
        <v>ΑΡΑΒΟΣΙΤΟΣ_ΕΝΣΙΡΩΣΗΣ</v>
      </c>
    </row>
    <row r="692" spans="1:12" s="3" customFormat="1" x14ac:dyDescent="0.25">
      <c r="A692" s="3" t="str">
        <f t="shared" si="20"/>
        <v>ΑΡΑΒΟΣΙΤΟΣ ΕΝΣΙΡΩΣΗΣΑΡΑΒΟΣΙΤΟΣ DKC6092</v>
      </c>
      <c r="B692" s="23" t="s">
        <v>1072</v>
      </c>
      <c r="C692" s="24" t="s">
        <v>1368</v>
      </c>
      <c r="D692" s="6">
        <v>1314.55</v>
      </c>
      <c r="E692" s="6">
        <v>1158.28</v>
      </c>
      <c r="F692" s="7" t="s">
        <v>14</v>
      </c>
      <c r="G692" s="30" t="s">
        <v>1369</v>
      </c>
      <c r="H692" s="31" t="s">
        <v>577</v>
      </c>
      <c r="I692" s="9">
        <v>5684</v>
      </c>
      <c r="J692" s="30" t="s">
        <v>1075</v>
      </c>
      <c r="K692" s="30">
        <v>32146</v>
      </c>
      <c r="L692" s="3" t="str">
        <f t="shared" si="21"/>
        <v>ΑΡΑΒΟΣΙΤΟΣ_ΕΝΣΙΡΩΣΗΣ</v>
      </c>
    </row>
    <row r="693" spans="1:12" s="3" customFormat="1" x14ac:dyDescent="0.25">
      <c r="A693" s="3" t="str">
        <f t="shared" si="20"/>
        <v>ΑΡΑΒΟΣΙΤΟΣ ΕΝΣΙΡΩΣΗΣΑΡΑΒΟΣΙΤΟΣ SY GIANT</v>
      </c>
      <c r="B693" s="23" t="s">
        <v>1072</v>
      </c>
      <c r="C693" s="24" t="s">
        <v>1370</v>
      </c>
      <c r="D693" s="6">
        <v>1314.55</v>
      </c>
      <c r="E693" s="6">
        <v>1158.28</v>
      </c>
      <c r="F693" s="7" t="s">
        <v>14</v>
      </c>
      <c r="G693" s="30" t="s">
        <v>1371</v>
      </c>
      <c r="H693" s="31" t="s">
        <v>577</v>
      </c>
      <c r="I693" s="9">
        <v>5911</v>
      </c>
      <c r="J693" s="30" t="s">
        <v>1075</v>
      </c>
      <c r="K693" s="30">
        <v>32147</v>
      </c>
      <c r="L693" s="3" t="str">
        <f t="shared" si="21"/>
        <v>ΑΡΑΒΟΣΙΤΟΣ_ΕΝΣΙΡΩΣΗΣ</v>
      </c>
    </row>
    <row r="694" spans="1:12" s="3" customFormat="1" x14ac:dyDescent="0.25">
      <c r="A694" s="3" t="str">
        <f t="shared" si="20"/>
        <v>ΑΡΑΒΟΣΙΤΟΣ ΕΝΣΙΡΩΣΗΣΑΡΑΒΟΣΙΤΟΣ SNH9503</v>
      </c>
      <c r="B694" s="23" t="s">
        <v>1072</v>
      </c>
      <c r="C694" s="24" t="s">
        <v>1372</v>
      </c>
      <c r="D694" s="6">
        <v>1314.55</v>
      </c>
      <c r="E694" s="6">
        <v>1158.28</v>
      </c>
      <c r="F694" s="7" t="s">
        <v>14</v>
      </c>
      <c r="G694" s="30" t="s">
        <v>1373</v>
      </c>
      <c r="H694" s="31" t="s">
        <v>577</v>
      </c>
      <c r="I694" s="9">
        <v>5895</v>
      </c>
      <c r="J694" s="30" t="s">
        <v>1075</v>
      </c>
      <c r="K694" s="30">
        <v>32148</v>
      </c>
      <c r="L694" s="3" t="str">
        <f t="shared" si="21"/>
        <v>ΑΡΑΒΟΣΙΤΟΣ_ΕΝΣΙΡΩΣΗΣ</v>
      </c>
    </row>
    <row r="695" spans="1:12" s="3" customFormat="1" x14ac:dyDescent="0.25">
      <c r="A695" s="3" t="str">
        <f t="shared" si="20"/>
        <v>ΑΡΑΒΟΣΙΤΟΣ ΕΝΣΙΡΩΣΗΣΑΡΑΒΟΣΙΤΟΣ ABANTO</v>
      </c>
      <c r="B695" s="23" t="s">
        <v>1072</v>
      </c>
      <c r="C695" s="24" t="s">
        <v>1374</v>
      </c>
      <c r="D695" s="6">
        <v>1314.55</v>
      </c>
      <c r="E695" s="6">
        <v>1158.28</v>
      </c>
      <c r="F695" s="7" t="s">
        <v>14</v>
      </c>
      <c r="G695" s="30" t="s">
        <v>1375</v>
      </c>
      <c r="H695" s="31" t="s">
        <v>577</v>
      </c>
      <c r="I695" s="9">
        <v>5632</v>
      </c>
      <c r="J695" s="30" t="s">
        <v>1075</v>
      </c>
      <c r="K695" s="30">
        <v>32149</v>
      </c>
      <c r="L695" s="3" t="str">
        <f t="shared" si="21"/>
        <v>ΑΡΑΒΟΣΙΤΟΣ_ΕΝΣΙΡΩΣΗΣ</v>
      </c>
    </row>
    <row r="696" spans="1:12" s="3" customFormat="1" x14ac:dyDescent="0.25">
      <c r="A696" s="3" t="str">
        <f t="shared" si="20"/>
        <v>ΑΡΑΒΟΣΙΤΟΣ ΕΝΣΙΡΩΣΗΣΑΡΑΒΟΣΙΤΟΣ MAY 75</v>
      </c>
      <c r="B696" s="23" t="s">
        <v>1072</v>
      </c>
      <c r="C696" s="24" t="s">
        <v>1376</v>
      </c>
      <c r="D696" s="6">
        <v>1314.55</v>
      </c>
      <c r="E696" s="6">
        <v>1158.28</v>
      </c>
      <c r="F696" s="7" t="s">
        <v>14</v>
      </c>
      <c r="G696" s="30" t="s">
        <v>1377</v>
      </c>
      <c r="H696" s="31" t="s">
        <v>577</v>
      </c>
      <c r="I696" s="9">
        <v>5812</v>
      </c>
      <c r="J696" s="30" t="s">
        <v>1075</v>
      </c>
      <c r="K696" s="30">
        <v>32150</v>
      </c>
      <c r="L696" s="3" t="str">
        <f t="shared" si="21"/>
        <v>ΑΡΑΒΟΣΙΤΟΣ_ΕΝΣΙΡΩΣΗΣ</v>
      </c>
    </row>
    <row r="697" spans="1:12" s="3" customFormat="1" x14ac:dyDescent="0.25">
      <c r="A697" s="3" t="str">
        <f t="shared" si="20"/>
        <v>ΑΡΑΒΟΣΙΤΟΣ ΕΝΣΙΡΩΣΗΣΑΡΑΒΟΣΙΤΟΣ WICHITA</v>
      </c>
      <c r="B697" s="23" t="s">
        <v>1072</v>
      </c>
      <c r="C697" s="24" t="s">
        <v>1378</v>
      </c>
      <c r="D697" s="6">
        <v>1314.55</v>
      </c>
      <c r="E697" s="6">
        <v>1158.28</v>
      </c>
      <c r="F697" s="7" t="s">
        <v>14</v>
      </c>
      <c r="G697" s="30" t="s">
        <v>1379</v>
      </c>
      <c r="H697" s="31" t="s">
        <v>577</v>
      </c>
      <c r="I697" s="9">
        <v>5927</v>
      </c>
      <c r="J697" s="30" t="s">
        <v>1075</v>
      </c>
      <c r="K697" s="30">
        <v>32151</v>
      </c>
      <c r="L697" s="3" t="str">
        <f t="shared" si="21"/>
        <v>ΑΡΑΒΟΣΙΤΟΣ_ΕΝΣΙΡΩΣΗΣ</v>
      </c>
    </row>
    <row r="698" spans="1:12" s="3" customFormat="1" x14ac:dyDescent="0.25">
      <c r="A698" s="3" t="str">
        <f t="shared" si="20"/>
        <v>ΑΡΑΒΟΣΙΤΟΣ ΕΝΣΙΡΩΣΗΣΑΡΑΒΟΣΙΤΟΣ DKC6919</v>
      </c>
      <c r="B698" s="23" t="s">
        <v>1072</v>
      </c>
      <c r="C698" s="24" t="s">
        <v>1380</v>
      </c>
      <c r="D698" s="6">
        <v>1314.55</v>
      </c>
      <c r="E698" s="6">
        <v>1158.28</v>
      </c>
      <c r="F698" s="7" t="s">
        <v>14</v>
      </c>
      <c r="G698" s="30" t="s">
        <v>1381</v>
      </c>
      <c r="H698" s="31" t="s">
        <v>577</v>
      </c>
      <c r="I698" s="9">
        <v>5695</v>
      </c>
      <c r="J698" s="30" t="s">
        <v>1075</v>
      </c>
      <c r="K698" s="30">
        <v>32152</v>
      </c>
      <c r="L698" s="3" t="str">
        <f t="shared" si="21"/>
        <v>ΑΡΑΒΟΣΙΤΟΣ_ΕΝΣΙΡΩΣΗΣ</v>
      </c>
    </row>
    <row r="699" spans="1:12" s="3" customFormat="1" x14ac:dyDescent="0.25">
      <c r="A699" s="3" t="str">
        <f t="shared" si="20"/>
        <v>ΑΡΑΒΟΣΙΤΟΣ ΕΝΣΙΡΩΣΗΣΑΡΑΒΟΣΙΤΟΣ DKC6808</v>
      </c>
      <c r="B699" s="23" t="s">
        <v>1072</v>
      </c>
      <c r="C699" s="24" t="s">
        <v>1382</v>
      </c>
      <c r="D699" s="6">
        <v>1314.55</v>
      </c>
      <c r="E699" s="6">
        <v>1158.28</v>
      </c>
      <c r="F699" s="7" t="s">
        <v>14</v>
      </c>
      <c r="G699" s="30" t="s">
        <v>1383</v>
      </c>
      <c r="H699" s="31" t="s">
        <v>577</v>
      </c>
      <c r="I699" s="9">
        <v>5689</v>
      </c>
      <c r="J699" s="30" t="s">
        <v>1075</v>
      </c>
      <c r="K699" s="30">
        <v>32153</v>
      </c>
      <c r="L699" s="3" t="str">
        <f t="shared" si="21"/>
        <v>ΑΡΑΒΟΣΙΤΟΣ_ΕΝΣΙΡΩΣΗΣ</v>
      </c>
    </row>
    <row r="700" spans="1:12" s="3" customFormat="1" x14ac:dyDescent="0.25">
      <c r="A700" s="3" t="str">
        <f t="shared" si="20"/>
        <v>ΑΡΑΒΟΣΙΤΟΣ ΕΝΣΙΡΩΣΗΣΑΡΑΒΟΣΙΤΟΣ LG30685</v>
      </c>
      <c r="B700" s="23" t="s">
        <v>1072</v>
      </c>
      <c r="C700" s="24" t="s">
        <v>1384</v>
      </c>
      <c r="D700" s="6">
        <v>1314.55</v>
      </c>
      <c r="E700" s="6">
        <v>1158.28</v>
      </c>
      <c r="F700" s="7" t="s">
        <v>14</v>
      </c>
      <c r="G700" s="30" t="s">
        <v>1385</v>
      </c>
      <c r="H700" s="31" t="s">
        <v>577</v>
      </c>
      <c r="I700" s="9">
        <v>5786</v>
      </c>
      <c r="J700" s="30" t="s">
        <v>1075</v>
      </c>
      <c r="K700" s="30">
        <v>32154</v>
      </c>
      <c r="L700" s="3" t="str">
        <f t="shared" si="21"/>
        <v>ΑΡΑΒΟΣΙΤΟΣ_ΕΝΣΙΡΩΣΗΣ</v>
      </c>
    </row>
    <row r="701" spans="1:12" s="3" customFormat="1" x14ac:dyDescent="0.25">
      <c r="A701" s="3" t="str">
        <f t="shared" si="20"/>
        <v>ΑΡΑΒΟΣΙΤΟΣ ΕΝΣΙΡΩΣΗΣΑΡΑΒΟΣΙΤΟΣ FENWAY</v>
      </c>
      <c r="B701" s="23" t="s">
        <v>1072</v>
      </c>
      <c r="C701" s="24" t="s">
        <v>1386</v>
      </c>
      <c r="D701" s="6">
        <v>1314.55</v>
      </c>
      <c r="E701" s="6">
        <v>1158.28</v>
      </c>
      <c r="F701" s="7" t="s">
        <v>14</v>
      </c>
      <c r="G701" s="30" t="s">
        <v>1387</v>
      </c>
      <c r="H701" s="31" t="s">
        <v>577</v>
      </c>
      <c r="I701" s="9">
        <v>5706</v>
      </c>
      <c r="J701" s="30" t="s">
        <v>1075</v>
      </c>
      <c r="K701" s="30">
        <v>32155</v>
      </c>
      <c r="L701" s="3" t="str">
        <f t="shared" si="21"/>
        <v>ΑΡΑΒΟΣΙΤΟΣ_ΕΝΣΙΡΩΣΗΣ</v>
      </c>
    </row>
    <row r="702" spans="1:12" s="3" customFormat="1" x14ac:dyDescent="0.25">
      <c r="A702" s="3" t="str">
        <f t="shared" si="20"/>
        <v>ΑΡΑΒΟΣΙΤΟΣ ΕΝΣΙΡΩΣΗΣΑΡΑΒΟΣΙΤΟΣ DKC6812</v>
      </c>
      <c r="B702" s="23" t="s">
        <v>1072</v>
      </c>
      <c r="C702" s="24" t="s">
        <v>1388</v>
      </c>
      <c r="D702" s="6">
        <v>1314.55</v>
      </c>
      <c r="E702" s="6">
        <v>1158.28</v>
      </c>
      <c r="F702" s="7" t="s">
        <v>14</v>
      </c>
      <c r="G702" s="30" t="s">
        <v>1389</v>
      </c>
      <c r="H702" s="31" t="s">
        <v>577</v>
      </c>
      <c r="I702" s="9">
        <v>5691</v>
      </c>
      <c r="J702" s="30" t="s">
        <v>1075</v>
      </c>
      <c r="K702" s="30">
        <v>32156</v>
      </c>
      <c r="L702" s="3" t="str">
        <f t="shared" si="21"/>
        <v>ΑΡΑΒΟΣΙΤΟΣ_ΕΝΣΙΡΩΣΗΣ</v>
      </c>
    </row>
    <row r="703" spans="1:12" s="3" customFormat="1" x14ac:dyDescent="0.25">
      <c r="A703" s="3" t="str">
        <f t="shared" si="20"/>
        <v>ΑΡΑΒΟΣΙΤΟΣ ΕΝΣΙΡΩΣΗΣΑΡΑΒΟΣΙΤΟΣ SY GLADIUS</v>
      </c>
      <c r="B703" s="23" t="s">
        <v>1072</v>
      </c>
      <c r="C703" s="24" t="s">
        <v>1390</v>
      </c>
      <c r="D703" s="6">
        <v>1314.55</v>
      </c>
      <c r="E703" s="6">
        <v>1158.28</v>
      </c>
      <c r="F703" s="7" t="s">
        <v>14</v>
      </c>
      <c r="G703" s="30" t="s">
        <v>1391</v>
      </c>
      <c r="H703" s="31" t="s">
        <v>577</v>
      </c>
      <c r="I703" s="9">
        <v>5915</v>
      </c>
      <c r="J703" s="30" t="s">
        <v>1075</v>
      </c>
      <c r="K703" s="30">
        <v>32157</v>
      </c>
      <c r="L703" s="3" t="str">
        <f t="shared" si="21"/>
        <v>ΑΡΑΒΟΣΙΤΟΣ_ΕΝΣΙΡΩΣΗΣ</v>
      </c>
    </row>
    <row r="704" spans="1:12" s="3" customFormat="1" x14ac:dyDescent="0.25">
      <c r="A704" s="3" t="str">
        <f t="shared" si="20"/>
        <v>ΑΡΑΒΟΣΙΤΟΣ ΕΝΣΙΡΩΣΗΣΑΡΑΒΟΣΙΤΟΣ SY GIANTS</v>
      </c>
      <c r="B704" s="23" t="s">
        <v>1072</v>
      </c>
      <c r="C704" s="24" t="s">
        <v>1392</v>
      </c>
      <c r="D704" s="6">
        <v>1314.55</v>
      </c>
      <c r="E704" s="6">
        <v>1158.28</v>
      </c>
      <c r="F704" s="7" t="s">
        <v>14</v>
      </c>
      <c r="G704" s="30" t="s">
        <v>1393</v>
      </c>
      <c r="H704" s="31" t="s">
        <v>577</v>
      </c>
      <c r="I704" s="9">
        <v>5913</v>
      </c>
      <c r="J704" s="30" t="s">
        <v>1075</v>
      </c>
      <c r="K704" s="30">
        <v>32158</v>
      </c>
      <c r="L704" s="3" t="str">
        <f t="shared" si="21"/>
        <v>ΑΡΑΒΟΣΙΤΟΣ_ΕΝΣΙΡΩΣΗΣ</v>
      </c>
    </row>
    <row r="705" spans="1:12" s="3" customFormat="1" x14ac:dyDescent="0.25">
      <c r="A705" s="3" t="str">
        <f t="shared" si="20"/>
        <v>ΑΡΑΒΟΣΙΤΟΣ ΕΝΣΙΡΩΣΗΣΑΡΑΒΟΣΙΤΟΣ SY ANDROMEDA</v>
      </c>
      <c r="B705" s="23" t="s">
        <v>1072</v>
      </c>
      <c r="C705" s="24" t="s">
        <v>1394</v>
      </c>
      <c r="D705" s="6">
        <v>1314.55</v>
      </c>
      <c r="E705" s="6">
        <v>1158.28</v>
      </c>
      <c r="F705" s="7" t="s">
        <v>14</v>
      </c>
      <c r="G705" s="30" t="s">
        <v>1395</v>
      </c>
      <c r="H705" s="31" t="s">
        <v>577</v>
      </c>
      <c r="I705" s="9">
        <v>5898</v>
      </c>
      <c r="J705" s="30" t="s">
        <v>1075</v>
      </c>
      <c r="K705" s="30">
        <v>32159</v>
      </c>
      <c r="L705" s="3" t="str">
        <f t="shared" si="21"/>
        <v>ΑΡΑΒΟΣΙΤΟΣ_ΕΝΣΙΡΩΣΗΣ</v>
      </c>
    </row>
    <row r="706" spans="1:12" s="3" customFormat="1" x14ac:dyDescent="0.25">
      <c r="A706" s="3" t="str">
        <f t="shared" si="20"/>
        <v>ΑΡΑΒΟΣΙΤΟΣ ΕΝΣΙΡΩΣΗΣΑΡΑΒΟΣΙΤΟΣ P1441</v>
      </c>
      <c r="B706" s="23" t="s">
        <v>1072</v>
      </c>
      <c r="C706" s="24" t="s">
        <v>1396</v>
      </c>
      <c r="D706" s="6">
        <v>1314.55</v>
      </c>
      <c r="E706" s="6">
        <v>1158.28</v>
      </c>
      <c r="F706" s="7" t="s">
        <v>14</v>
      </c>
      <c r="G706" s="30" t="s">
        <v>1397</v>
      </c>
      <c r="H706" s="31" t="s">
        <v>577</v>
      </c>
      <c r="I706" s="9">
        <v>5842</v>
      </c>
      <c r="J706" s="30" t="s">
        <v>1075</v>
      </c>
      <c r="K706" s="30">
        <v>32160</v>
      </c>
      <c r="L706" s="3" t="str">
        <f t="shared" si="21"/>
        <v>ΑΡΑΒΟΣΙΤΟΣ_ΕΝΣΙΡΩΣΗΣ</v>
      </c>
    </row>
    <row r="707" spans="1:12" s="3" customFormat="1" x14ac:dyDescent="0.25">
      <c r="A707" s="3" t="str">
        <f t="shared" ref="A707:A770" si="22">_xlfn.CONCAT(B707,C707)</f>
        <v>ΑΡΑΒΟΣΙΤΟΣ ΕΝΣΙΡΩΣΗΣΑΡΑΒΟΣΙΤΟΣ P1884</v>
      </c>
      <c r="B707" s="23" t="s">
        <v>1072</v>
      </c>
      <c r="C707" s="24" t="s">
        <v>1398</v>
      </c>
      <c r="D707" s="6">
        <v>1314.55</v>
      </c>
      <c r="E707" s="6">
        <v>1158.28</v>
      </c>
      <c r="F707" s="7" t="s">
        <v>14</v>
      </c>
      <c r="G707" s="30" t="s">
        <v>1399</v>
      </c>
      <c r="H707" s="31" t="s">
        <v>577</v>
      </c>
      <c r="I707" s="9">
        <v>5855</v>
      </c>
      <c r="J707" s="30" t="s">
        <v>1075</v>
      </c>
      <c r="K707" s="30">
        <v>32161</v>
      </c>
      <c r="L707" s="3" t="str">
        <f t="shared" ref="L707:L770" si="23">IFERROR(SUBSTITUTE(SUBSTITUTE(SUBSTITUTE(SUBSTITUTE(SUBSTITUTE(B707, "-", "_"), " ", "_"), ",", ""), "(", ""), ")", ""), B707)</f>
        <v>ΑΡΑΒΟΣΙΤΟΣ_ΕΝΣΙΡΩΣΗΣ</v>
      </c>
    </row>
    <row r="708" spans="1:12" s="3" customFormat="1" x14ac:dyDescent="0.25">
      <c r="A708" s="3" t="str">
        <f t="shared" si="22"/>
        <v>ΑΡΑΒΟΣΙΤΟΣ ΕΝΣΙΡΩΣΗΣΑΡΑΒΟΣΙΤΟΣ DKC7084</v>
      </c>
      <c r="B708" s="23" t="s">
        <v>1072</v>
      </c>
      <c r="C708" s="24" t="s">
        <v>1400</v>
      </c>
      <c r="D708" s="6">
        <v>1314.55</v>
      </c>
      <c r="E708" s="6">
        <v>1158.28</v>
      </c>
      <c r="F708" s="7" t="s">
        <v>14</v>
      </c>
      <c r="G708" s="30" t="s">
        <v>1401</v>
      </c>
      <c r="H708" s="31" t="s">
        <v>577</v>
      </c>
      <c r="I708" s="9">
        <v>5697</v>
      </c>
      <c r="J708" s="30" t="s">
        <v>1075</v>
      </c>
      <c r="K708" s="30">
        <v>32162</v>
      </c>
      <c r="L708" s="3" t="str">
        <f t="shared" si="23"/>
        <v>ΑΡΑΒΟΣΙΤΟΣ_ΕΝΣΙΡΩΣΗΣ</v>
      </c>
    </row>
    <row r="709" spans="1:12" s="3" customFormat="1" x14ac:dyDescent="0.25">
      <c r="A709" s="3" t="str">
        <f t="shared" si="22"/>
        <v>ΑΡΑΒΟΣΙΤΟΣ ΕΝΣΙΡΩΣΗΣΑΡΑΒΟΣΙΤΟΣ KWS KULMOS</v>
      </c>
      <c r="B709" s="23" t="s">
        <v>1072</v>
      </c>
      <c r="C709" s="24" t="s">
        <v>1402</v>
      </c>
      <c r="D709" s="6">
        <v>1314.55</v>
      </c>
      <c r="E709" s="6">
        <v>1158.28</v>
      </c>
      <c r="F709" s="7" t="s">
        <v>14</v>
      </c>
      <c r="G709" s="30" t="s">
        <v>1403</v>
      </c>
      <c r="H709" s="31" t="s">
        <v>577</v>
      </c>
      <c r="I709" s="9">
        <v>5772</v>
      </c>
      <c r="J709" s="30" t="s">
        <v>1075</v>
      </c>
      <c r="K709" s="30">
        <v>32163</v>
      </c>
      <c r="L709" s="3" t="str">
        <f t="shared" si="23"/>
        <v>ΑΡΑΒΟΣΙΤΟΣ_ΕΝΣΙΡΩΣΗΣ</v>
      </c>
    </row>
    <row r="710" spans="1:12" s="3" customFormat="1" x14ac:dyDescent="0.25">
      <c r="A710" s="3" t="str">
        <f t="shared" si="22"/>
        <v>ΑΡΑΒΟΣΙΤΟΣ ΕΝΣΙΡΩΣΗΣΑΡΑΒΟΣΙΤΟΣ DKC7107</v>
      </c>
      <c r="B710" s="23" t="s">
        <v>1072</v>
      </c>
      <c r="C710" s="24" t="s">
        <v>1404</v>
      </c>
      <c r="D710" s="6">
        <v>1314.55</v>
      </c>
      <c r="E710" s="6">
        <v>1158.28</v>
      </c>
      <c r="F710" s="7" t="s">
        <v>14</v>
      </c>
      <c r="G710" s="30" t="s">
        <v>1405</v>
      </c>
      <c r="H710" s="31" t="s">
        <v>577</v>
      </c>
      <c r="I710" s="9">
        <v>5699</v>
      </c>
      <c r="J710" s="30" t="s">
        <v>1075</v>
      </c>
      <c r="K710" s="30">
        <v>32164</v>
      </c>
      <c r="L710" s="3" t="str">
        <f t="shared" si="23"/>
        <v>ΑΡΑΒΟΣΙΤΟΣ_ΕΝΣΙΡΩΣΗΣ</v>
      </c>
    </row>
    <row r="711" spans="1:12" s="3" customFormat="1" x14ac:dyDescent="0.25">
      <c r="A711" s="3" t="str">
        <f t="shared" si="22"/>
        <v>ΑΡΑΒΟΣΙΤΟΣ ΕΝΣΙΡΩΣΗΣΑΡΑΒΟΣΙΤΟΣ KWS POSEIDO</v>
      </c>
      <c r="B711" s="23" t="s">
        <v>1072</v>
      </c>
      <c r="C711" s="24" t="s">
        <v>1406</v>
      </c>
      <c r="D711" s="6">
        <v>1314.55</v>
      </c>
      <c r="E711" s="6">
        <v>1158.28</v>
      </c>
      <c r="F711" s="7" t="s">
        <v>14</v>
      </c>
      <c r="G711" s="30" t="s">
        <v>1407</v>
      </c>
      <c r="H711" s="31" t="s">
        <v>577</v>
      </c>
      <c r="I711" s="9">
        <v>5778</v>
      </c>
      <c r="J711" s="30" t="s">
        <v>1075</v>
      </c>
      <c r="K711" s="30">
        <v>32165</v>
      </c>
      <c r="L711" s="3" t="str">
        <f t="shared" si="23"/>
        <v>ΑΡΑΒΟΣΙΤΟΣ_ΕΝΣΙΡΩΣΗΣ</v>
      </c>
    </row>
    <row r="712" spans="1:12" s="3" customFormat="1" x14ac:dyDescent="0.25">
      <c r="A712" s="3" t="str">
        <f t="shared" si="22"/>
        <v>ΑΡΑΒΟΣΙΤΟΣ ΕΝΣΙΡΩΣΗΣΑΡΑΒΟΣΙΤΟΣ MAS 582D</v>
      </c>
      <c r="B712" s="23" t="s">
        <v>1072</v>
      </c>
      <c r="C712" s="24" t="s">
        <v>1408</v>
      </c>
      <c r="D712" s="6">
        <v>1314.55</v>
      </c>
      <c r="E712" s="6">
        <v>1158.28</v>
      </c>
      <c r="F712" s="7" t="s">
        <v>14</v>
      </c>
      <c r="G712" s="30" t="s">
        <v>1409</v>
      </c>
      <c r="H712" s="31" t="s">
        <v>577</v>
      </c>
      <c r="I712" s="9">
        <v>5805</v>
      </c>
      <c r="J712" s="30" t="s">
        <v>1075</v>
      </c>
      <c r="K712" s="30">
        <v>32167</v>
      </c>
      <c r="L712" s="3" t="str">
        <f t="shared" si="23"/>
        <v>ΑΡΑΒΟΣΙΤΟΣ_ΕΝΣΙΡΩΣΗΣ</v>
      </c>
    </row>
    <row r="713" spans="1:12" s="3" customFormat="1" x14ac:dyDescent="0.25">
      <c r="A713" s="3" t="str">
        <f t="shared" si="22"/>
        <v>ΑΡΑΒΟΣΙΤΟΣ ΕΝΣΙΡΩΣΗΣΑΡΑΒΟΣΙΤΟΣ KWS OLIMPION</v>
      </c>
      <c r="B713" s="23" t="s">
        <v>1072</v>
      </c>
      <c r="C713" s="24" t="s">
        <v>1410</v>
      </c>
      <c r="D713" s="6">
        <v>1314.55</v>
      </c>
      <c r="E713" s="6">
        <v>1158.28</v>
      </c>
      <c r="F713" s="7" t="s">
        <v>14</v>
      </c>
      <c r="G713" s="30" t="s">
        <v>1411</v>
      </c>
      <c r="H713" s="31" t="s">
        <v>577</v>
      </c>
      <c r="I713" s="9">
        <v>5776</v>
      </c>
      <c r="J713" s="30" t="s">
        <v>1075</v>
      </c>
      <c r="K713" s="30">
        <v>32168</v>
      </c>
      <c r="L713" s="3" t="str">
        <f t="shared" si="23"/>
        <v>ΑΡΑΒΟΣΙΤΟΣ_ΕΝΣΙΡΩΣΗΣ</v>
      </c>
    </row>
    <row r="714" spans="1:12" s="3" customFormat="1" x14ac:dyDescent="0.25">
      <c r="A714" s="3" t="str">
        <f t="shared" si="22"/>
        <v>ΑΡΑΒΟΣΙΤΟΣ ΕΝΣΙΡΩΣΗΣΑΡΑΒΟΣΙΤΟΣ ZP606</v>
      </c>
      <c r="B714" s="23" t="s">
        <v>1072</v>
      </c>
      <c r="C714" s="24" t="s">
        <v>1412</v>
      </c>
      <c r="D714" s="6">
        <v>1314.55</v>
      </c>
      <c r="E714" s="6">
        <v>1158.28</v>
      </c>
      <c r="F714" s="7" t="s">
        <v>14</v>
      </c>
      <c r="G714" s="30" t="s">
        <v>1413</v>
      </c>
      <c r="H714" s="31" t="s">
        <v>577</v>
      </c>
      <c r="I714" s="9">
        <v>5942</v>
      </c>
      <c r="J714" s="30" t="s">
        <v>1075</v>
      </c>
      <c r="K714" s="30">
        <v>32169</v>
      </c>
      <c r="L714" s="3" t="str">
        <f t="shared" si="23"/>
        <v>ΑΡΑΒΟΣΙΤΟΣ_ΕΝΣΙΡΩΣΗΣ</v>
      </c>
    </row>
    <row r="715" spans="1:12" s="3" customFormat="1" x14ac:dyDescent="0.25">
      <c r="A715" s="3" t="str">
        <f t="shared" si="22"/>
        <v>ΑΡΑΒΟΣΙΤΟΣ ΕΝΣΙΡΩΣΗΣΑΡΑΒΟΣΙΤΟΣ DKC5404</v>
      </c>
      <c r="B715" s="23" t="s">
        <v>1072</v>
      </c>
      <c r="C715" s="24" t="s">
        <v>1414</v>
      </c>
      <c r="D715" s="6">
        <v>1314.55</v>
      </c>
      <c r="E715" s="6">
        <v>1158.28</v>
      </c>
      <c r="F715" s="7" t="s">
        <v>14</v>
      </c>
      <c r="G715" s="30" t="s">
        <v>1415</v>
      </c>
      <c r="H715" s="31" t="s">
        <v>577</v>
      </c>
      <c r="I715" s="9">
        <v>5682</v>
      </c>
      <c r="J715" s="30" t="s">
        <v>1075</v>
      </c>
      <c r="K715" s="30">
        <v>32170</v>
      </c>
      <c r="L715" s="3" t="str">
        <f t="shared" si="23"/>
        <v>ΑΡΑΒΟΣΙΤΟΣ_ΕΝΣΙΡΩΣΗΣ</v>
      </c>
    </row>
    <row r="716" spans="1:12" s="3" customFormat="1" x14ac:dyDescent="0.25">
      <c r="A716" s="3" t="str">
        <f t="shared" si="22"/>
        <v>ΑΡΑΒΟΣΙΤΟΣ ΕΝΣΙΡΩΣΗΣΑΡΑΒΟΣΙΤΟΣ ZP560</v>
      </c>
      <c r="B716" s="23" t="s">
        <v>1072</v>
      </c>
      <c r="C716" s="24" t="s">
        <v>1416</v>
      </c>
      <c r="D716" s="6">
        <v>1314.55</v>
      </c>
      <c r="E716" s="6">
        <v>1158.28</v>
      </c>
      <c r="F716" s="7" t="s">
        <v>14</v>
      </c>
      <c r="G716" s="30" t="s">
        <v>1417</v>
      </c>
      <c r="H716" s="31" t="s">
        <v>577</v>
      </c>
      <c r="I716" s="9">
        <v>5940</v>
      </c>
      <c r="J716" s="30" t="s">
        <v>1075</v>
      </c>
      <c r="K716" s="30">
        <v>32171</v>
      </c>
      <c r="L716" s="3" t="str">
        <f t="shared" si="23"/>
        <v>ΑΡΑΒΟΣΙΤΟΣ_ΕΝΣΙΡΩΣΗΣ</v>
      </c>
    </row>
    <row r="717" spans="1:12" s="3" customFormat="1" x14ac:dyDescent="0.25">
      <c r="A717" s="3" t="str">
        <f t="shared" si="22"/>
        <v>ΑΡΑΒΟΣΙΤΟΣ ΕΝΣΙΡΩΣΗΣΑΡΑΒΟΣΙΤΟΣ P2141</v>
      </c>
      <c r="B717" s="23" t="s">
        <v>1072</v>
      </c>
      <c r="C717" s="24" t="s">
        <v>1418</v>
      </c>
      <c r="D717" s="6">
        <v>1314.55</v>
      </c>
      <c r="E717" s="6">
        <v>1158.28</v>
      </c>
      <c r="F717" s="7" t="s">
        <v>14</v>
      </c>
      <c r="G717" s="30" t="s">
        <v>1419</v>
      </c>
      <c r="H717" s="31" t="s">
        <v>577</v>
      </c>
      <c r="I717" s="9">
        <v>5863</v>
      </c>
      <c r="J717" s="30" t="s">
        <v>1075</v>
      </c>
      <c r="K717" s="30">
        <v>32172</v>
      </c>
      <c r="L717" s="3" t="str">
        <f t="shared" si="23"/>
        <v>ΑΡΑΒΟΣΙΤΟΣ_ΕΝΣΙΡΩΣΗΣ</v>
      </c>
    </row>
    <row r="718" spans="1:12" s="3" customFormat="1" x14ac:dyDescent="0.25">
      <c r="A718" s="3" t="str">
        <f t="shared" si="22"/>
        <v>ΑΡΑΒΟΣΙΤΟΣ ΕΝΣΙΡΩΣΗΣΑΡΑΒΟΣΙΤΟΣ LG30692</v>
      </c>
      <c r="B718" s="23" t="s">
        <v>1072</v>
      </c>
      <c r="C718" s="24" t="s">
        <v>1420</v>
      </c>
      <c r="D718" s="6">
        <v>1314.55</v>
      </c>
      <c r="E718" s="6">
        <v>1158.28</v>
      </c>
      <c r="F718" s="7" t="s">
        <v>14</v>
      </c>
      <c r="G718" s="30" t="s">
        <v>1421</v>
      </c>
      <c r="H718" s="31" t="s">
        <v>577</v>
      </c>
      <c r="I718" s="9">
        <v>5788</v>
      </c>
      <c r="J718" s="30" t="s">
        <v>1075</v>
      </c>
      <c r="K718" s="30">
        <v>32173</v>
      </c>
      <c r="L718" s="3" t="str">
        <f t="shared" si="23"/>
        <v>ΑΡΑΒΟΣΙΤΟΣ_ΕΝΣΙΡΩΣΗΣ</v>
      </c>
    </row>
    <row r="719" spans="1:12" s="3" customFormat="1" x14ac:dyDescent="0.25">
      <c r="A719" s="3" t="str">
        <f t="shared" si="22"/>
        <v>ΑΡΑΒΟΣΙΤΟΣ ΕΝΣΙΡΩΣΗΣΑΡΑΒΟΣΙΤΟΣ LG31677</v>
      </c>
      <c r="B719" s="23" t="s">
        <v>1072</v>
      </c>
      <c r="C719" s="24" t="s">
        <v>1422</v>
      </c>
      <c r="D719" s="6">
        <v>1314.55</v>
      </c>
      <c r="E719" s="6">
        <v>1158.28</v>
      </c>
      <c r="F719" s="7" t="s">
        <v>14</v>
      </c>
      <c r="G719" s="30" t="s">
        <v>1423</v>
      </c>
      <c r="H719" s="31" t="s">
        <v>577</v>
      </c>
      <c r="I719" s="9">
        <v>5796</v>
      </c>
      <c r="J719" s="30" t="s">
        <v>1075</v>
      </c>
      <c r="K719" s="30">
        <v>32174</v>
      </c>
      <c r="L719" s="3" t="str">
        <f t="shared" si="23"/>
        <v>ΑΡΑΒΟΣΙΤΟΣ_ΕΝΣΙΡΩΣΗΣ</v>
      </c>
    </row>
    <row r="720" spans="1:12" s="3" customFormat="1" x14ac:dyDescent="0.25">
      <c r="A720" s="3" t="str">
        <f t="shared" si="22"/>
        <v>ΑΡΑΒΟΣΙΤΟΣ ΕΝΣΙΡΩΣΗΣΑΡΑΒΟΣΙΤΟΣ LG31642</v>
      </c>
      <c r="B720" s="23" t="s">
        <v>1072</v>
      </c>
      <c r="C720" s="24" t="s">
        <v>1424</v>
      </c>
      <c r="D720" s="6">
        <v>1314.55</v>
      </c>
      <c r="E720" s="6">
        <v>1158.28</v>
      </c>
      <c r="F720" s="7" t="s">
        <v>14</v>
      </c>
      <c r="G720" s="30" t="s">
        <v>1425</v>
      </c>
      <c r="H720" s="31" t="s">
        <v>577</v>
      </c>
      <c r="I720" s="9">
        <v>5794</v>
      </c>
      <c r="J720" s="30" t="s">
        <v>1075</v>
      </c>
      <c r="K720" s="30">
        <v>32175</v>
      </c>
      <c r="L720" s="3" t="str">
        <f t="shared" si="23"/>
        <v>ΑΡΑΒΟΣΙΤΟΣ_ΕΝΣΙΡΩΣΗΣ</v>
      </c>
    </row>
    <row r="721" spans="1:12" s="3" customFormat="1" x14ac:dyDescent="0.25">
      <c r="A721" s="3" t="str">
        <f t="shared" si="22"/>
        <v>ΑΡΑΒΟΣΙΤΟΣ ΕΝΣΙΡΩΣΗΣΑΡΑΒΟΣΙΤΟΣ 72MAY80</v>
      </c>
      <c r="B721" s="23" t="s">
        <v>1072</v>
      </c>
      <c r="C721" s="24" t="s">
        <v>1426</v>
      </c>
      <c r="D721" s="6">
        <v>1314.55</v>
      </c>
      <c r="E721" s="6">
        <v>1158.28</v>
      </c>
      <c r="F721" s="7" t="s">
        <v>14</v>
      </c>
      <c r="G721" s="30" t="s">
        <v>1427</v>
      </c>
      <c r="H721" s="31" t="s">
        <v>577</v>
      </c>
      <c r="I721" s="9">
        <v>5627</v>
      </c>
      <c r="J721" s="30" t="s">
        <v>1075</v>
      </c>
      <c r="K721" s="30">
        <v>32176</v>
      </c>
      <c r="L721" s="3" t="str">
        <f t="shared" si="23"/>
        <v>ΑΡΑΒΟΣΙΤΟΣ_ΕΝΣΙΡΩΣΗΣ</v>
      </c>
    </row>
    <row r="722" spans="1:12" s="3" customFormat="1" x14ac:dyDescent="0.25">
      <c r="A722" s="3" t="str">
        <f t="shared" si="22"/>
        <v>ΑΡΑΒΟΣΙΤΟΣ ΕΝΣΙΡΩΣΗΣΑΡΑΒΟΣΙΤΟΣ KWS ELEKTRO</v>
      </c>
      <c r="B722" s="23" t="s">
        <v>1072</v>
      </c>
      <c r="C722" s="24" t="s">
        <v>1428</v>
      </c>
      <c r="D722" s="6">
        <v>1314.55</v>
      </c>
      <c r="E722" s="6">
        <v>1158.28</v>
      </c>
      <c r="F722" s="7" t="s">
        <v>14</v>
      </c>
      <c r="G722" s="30" t="s">
        <v>1429</v>
      </c>
      <c r="H722" s="31" t="s">
        <v>577</v>
      </c>
      <c r="I722" s="9">
        <v>5763</v>
      </c>
      <c r="J722" s="30" t="s">
        <v>1075</v>
      </c>
      <c r="K722" s="30">
        <v>32178</v>
      </c>
      <c r="L722" s="3" t="str">
        <f t="shared" si="23"/>
        <v>ΑΡΑΒΟΣΙΤΟΣ_ΕΝΣΙΡΩΣΗΣ</v>
      </c>
    </row>
    <row r="723" spans="1:12" s="3" customFormat="1" x14ac:dyDescent="0.25">
      <c r="A723" s="3" t="str">
        <f t="shared" si="22"/>
        <v>ΑΡΑΒΟΣΙΤΟΣ ΕΝΣΙΡΩΣΗΣΑΡΑΒΟΣΙΤΟΣ SY BAMBUS</v>
      </c>
      <c r="B723" s="23" t="s">
        <v>1072</v>
      </c>
      <c r="C723" s="24" t="s">
        <v>1430</v>
      </c>
      <c r="D723" s="6">
        <v>1314.55</v>
      </c>
      <c r="E723" s="6">
        <v>1158.28</v>
      </c>
      <c r="F723" s="7" t="s">
        <v>14</v>
      </c>
      <c r="G723" s="30" t="s">
        <v>1431</v>
      </c>
      <c r="H723" s="31" t="s">
        <v>577</v>
      </c>
      <c r="I723" s="9">
        <v>5902</v>
      </c>
      <c r="J723" s="30" t="s">
        <v>1075</v>
      </c>
      <c r="K723" s="30">
        <v>32179</v>
      </c>
      <c r="L723" s="3" t="str">
        <f t="shared" si="23"/>
        <v>ΑΡΑΒΟΣΙΤΟΣ_ΕΝΣΙΡΩΣΗΣ</v>
      </c>
    </row>
    <row r="724" spans="1:12" s="3" customFormat="1" x14ac:dyDescent="0.25">
      <c r="A724" s="3" t="str">
        <f t="shared" si="22"/>
        <v>ΑΡΑΒΟΣΙΤΟΣ ΕΝΣΙΡΩΣΗΣΑΡΑΒΟΣΙΤΟΣ 77MAY35</v>
      </c>
      <c r="B724" s="23" t="s">
        <v>1072</v>
      </c>
      <c r="C724" s="24" t="s">
        <v>1432</v>
      </c>
      <c r="D724" s="6">
        <v>1314.55</v>
      </c>
      <c r="E724" s="6">
        <v>1158.28</v>
      </c>
      <c r="F724" s="7" t="s">
        <v>14</v>
      </c>
      <c r="G724" s="30" t="s">
        <v>1433</v>
      </c>
      <c r="H724" s="31" t="s">
        <v>577</v>
      </c>
      <c r="I724" s="9">
        <v>5631</v>
      </c>
      <c r="J724" s="30" t="s">
        <v>1075</v>
      </c>
      <c r="K724" s="30">
        <v>32181</v>
      </c>
      <c r="L724" s="3" t="str">
        <f t="shared" si="23"/>
        <v>ΑΡΑΒΟΣΙΤΟΣ_ΕΝΣΙΡΩΣΗΣ</v>
      </c>
    </row>
    <row r="725" spans="1:12" s="3" customFormat="1" x14ac:dyDescent="0.25">
      <c r="A725" s="3" t="str">
        <f t="shared" si="22"/>
        <v>ΑΡΑΒΟΣΙΤΟΣ ΕΝΣΙΡΩΣΗΣΑΡΑΒΟΣΙΤΟΣ P1332</v>
      </c>
      <c r="B725" s="23" t="s">
        <v>1072</v>
      </c>
      <c r="C725" s="24" t="s">
        <v>1434</v>
      </c>
      <c r="D725" s="6">
        <v>1314.55</v>
      </c>
      <c r="E725" s="6">
        <v>1158.28</v>
      </c>
      <c r="F725" s="7" t="s">
        <v>14</v>
      </c>
      <c r="G725" s="30" t="s">
        <v>1435</v>
      </c>
      <c r="H725" s="31" t="s">
        <v>577</v>
      </c>
      <c r="I725" s="9">
        <v>5838</v>
      </c>
      <c r="J725" s="30" t="s">
        <v>1075</v>
      </c>
      <c r="K725" s="30">
        <v>32182</v>
      </c>
      <c r="L725" s="3" t="str">
        <f t="shared" si="23"/>
        <v>ΑΡΑΒΟΣΙΤΟΣ_ΕΝΣΙΡΩΣΗΣ</v>
      </c>
    </row>
    <row r="726" spans="1:12" s="3" customFormat="1" x14ac:dyDescent="0.25">
      <c r="A726" s="3" t="str">
        <f t="shared" si="22"/>
        <v>ΑΡΑΒΟΣΙΤΟΣ ΕΝΣΙΡΩΣΗΣΑΡΑΒΟΣΙΤΟΣ ZP 707</v>
      </c>
      <c r="B726" s="23" t="s">
        <v>1072</v>
      </c>
      <c r="C726" s="24" t="s">
        <v>1436</v>
      </c>
      <c r="D726" s="6">
        <v>1314.55</v>
      </c>
      <c r="E726" s="6">
        <v>1158.28</v>
      </c>
      <c r="F726" s="7" t="s">
        <v>14</v>
      </c>
      <c r="G726" s="30" t="s">
        <v>1437</v>
      </c>
      <c r="H726" s="31" t="s">
        <v>577</v>
      </c>
      <c r="I726" s="9">
        <v>5931</v>
      </c>
      <c r="J726" s="30" t="s">
        <v>1075</v>
      </c>
      <c r="K726" s="30">
        <v>32183</v>
      </c>
      <c r="L726" s="3" t="str">
        <f t="shared" si="23"/>
        <v>ΑΡΑΒΟΣΙΤΟΣ_ΕΝΣΙΡΩΣΗΣ</v>
      </c>
    </row>
    <row r="727" spans="1:12" s="3" customFormat="1" x14ac:dyDescent="0.25">
      <c r="A727" s="3" t="str">
        <f t="shared" si="22"/>
        <v>ΑΡΑΒΟΣΙΤΟΣ ΕΝΣΙΡΩΣΗΣΑΡΑΒΟΣΙΤΟΣ P9241</v>
      </c>
      <c r="B727" s="23" t="s">
        <v>1072</v>
      </c>
      <c r="C727" s="24" t="s">
        <v>1438</v>
      </c>
      <c r="D727" s="6">
        <v>1314.55</v>
      </c>
      <c r="E727" s="6">
        <v>1158.28</v>
      </c>
      <c r="F727" s="7" t="s">
        <v>14</v>
      </c>
      <c r="G727" s="30" t="s">
        <v>1439</v>
      </c>
      <c r="H727" s="31" t="s">
        <v>577</v>
      </c>
      <c r="I727" s="9">
        <v>5865</v>
      </c>
      <c r="J727" s="30" t="s">
        <v>1075</v>
      </c>
      <c r="K727" s="30">
        <v>32184</v>
      </c>
      <c r="L727" s="3" t="str">
        <f t="shared" si="23"/>
        <v>ΑΡΑΒΟΣΙΤΟΣ_ΕΝΣΙΡΩΣΗΣ</v>
      </c>
    </row>
    <row r="728" spans="1:12" s="3" customFormat="1" x14ac:dyDescent="0.25">
      <c r="A728" s="3" t="str">
        <f t="shared" si="22"/>
        <v>ΑΡΑΒΟΣΙΤΟΣ ΕΝΣΙΡΩΣΗΣΑΡΑΒΟΣΙΤΟΣ KOLOSSEUS</v>
      </c>
      <c r="B728" s="23" t="s">
        <v>1072</v>
      </c>
      <c r="C728" s="24" t="s">
        <v>1440</v>
      </c>
      <c r="D728" s="6">
        <v>1314.55</v>
      </c>
      <c r="E728" s="6">
        <v>1158.28</v>
      </c>
      <c r="F728" s="7" t="s">
        <v>14</v>
      </c>
      <c r="G728" s="30" t="s">
        <v>1441</v>
      </c>
      <c r="H728" s="31" t="s">
        <v>577</v>
      </c>
      <c r="I728" s="9">
        <v>5755</v>
      </c>
      <c r="J728" s="30" t="s">
        <v>1075</v>
      </c>
      <c r="K728" s="30">
        <v>32185</v>
      </c>
      <c r="L728" s="3" t="str">
        <f t="shared" si="23"/>
        <v>ΑΡΑΒΟΣΙΤΟΣ_ΕΝΣΙΡΩΣΗΣ</v>
      </c>
    </row>
    <row r="729" spans="1:12" s="3" customFormat="1" x14ac:dyDescent="0.25">
      <c r="A729" s="3" t="str">
        <f t="shared" si="22"/>
        <v>ΑΡΑΒΟΣΙΤΟΣ ΕΝΣΙΡΩΣΗΣΑΡΑΒΟΣΙΤΟΣ SY CARIOCA</v>
      </c>
      <c r="B729" s="23" t="s">
        <v>1072</v>
      </c>
      <c r="C729" s="24" t="s">
        <v>1442</v>
      </c>
      <c r="D729" s="6">
        <v>1314.55</v>
      </c>
      <c r="E729" s="6">
        <v>1158.28</v>
      </c>
      <c r="F729" s="7" t="s">
        <v>14</v>
      </c>
      <c r="G729" s="30" t="s">
        <v>1443</v>
      </c>
      <c r="H729" s="31" t="s">
        <v>577</v>
      </c>
      <c r="I729" s="9">
        <v>5904</v>
      </c>
      <c r="J729" s="30" t="s">
        <v>1075</v>
      </c>
      <c r="K729" s="30">
        <v>32186</v>
      </c>
      <c r="L729" s="3" t="str">
        <f t="shared" si="23"/>
        <v>ΑΡΑΒΟΣΙΤΟΣ_ΕΝΣΙΡΩΣΗΣ</v>
      </c>
    </row>
    <row r="730" spans="1:12" s="3" customFormat="1" x14ac:dyDescent="0.25">
      <c r="A730" s="3" t="str">
        <f t="shared" si="22"/>
        <v>ΑΡΑΒΟΣΙΤΟΣ ΕΝΣΙΡΩΣΗΣΑΡΑΒΟΣΙΤΟΣ SY ARNOLD</v>
      </c>
      <c r="B730" s="23" t="s">
        <v>1072</v>
      </c>
      <c r="C730" s="24" t="s">
        <v>1444</v>
      </c>
      <c r="D730" s="6">
        <v>1314.55</v>
      </c>
      <c r="E730" s="6">
        <v>1158.28</v>
      </c>
      <c r="F730" s="7" t="s">
        <v>14</v>
      </c>
      <c r="G730" s="30" t="s">
        <v>1445</v>
      </c>
      <c r="H730" s="31" t="s">
        <v>577</v>
      </c>
      <c r="I730" s="9">
        <v>5900</v>
      </c>
      <c r="J730" s="30" t="s">
        <v>1075</v>
      </c>
      <c r="K730" s="30">
        <v>32187</v>
      </c>
      <c r="L730" s="3" t="str">
        <f t="shared" si="23"/>
        <v>ΑΡΑΒΟΣΙΤΟΣ_ΕΝΣΙΡΩΣΗΣ</v>
      </c>
    </row>
    <row r="731" spans="1:12" s="3" customFormat="1" x14ac:dyDescent="0.25">
      <c r="A731" s="3" t="str">
        <f t="shared" si="22"/>
        <v>ΑΡΑΒΟΣΙΤΟΣ ΕΝΣΙΡΩΣΗΣΑΡΑΒΟΣΙΤΟΣ P1541</v>
      </c>
      <c r="B731" s="23" t="s">
        <v>1072</v>
      </c>
      <c r="C731" s="24" t="s">
        <v>1446</v>
      </c>
      <c r="D731" s="6">
        <v>1314.55</v>
      </c>
      <c r="E731" s="6">
        <v>1158.28</v>
      </c>
      <c r="F731" s="7" t="s">
        <v>14</v>
      </c>
      <c r="G731" s="30" t="s">
        <v>1447</v>
      </c>
      <c r="H731" s="31" t="s">
        <v>577</v>
      </c>
      <c r="I731" s="9">
        <v>5849</v>
      </c>
      <c r="J731" s="30" t="s">
        <v>1075</v>
      </c>
      <c r="K731" s="30">
        <v>32188</v>
      </c>
      <c r="L731" s="3" t="str">
        <f t="shared" si="23"/>
        <v>ΑΡΑΒΟΣΙΤΟΣ_ΕΝΣΙΡΩΣΗΣ</v>
      </c>
    </row>
    <row r="732" spans="1:12" s="3" customFormat="1" x14ac:dyDescent="0.25">
      <c r="A732" s="3" t="str">
        <f t="shared" si="22"/>
        <v>ΑΡΑΒΟΣΙΤΟΣ ΕΝΣΙΡΩΣΗΣΑΡΑΒΟΣΙΤΟΣ INDEM668</v>
      </c>
      <c r="B732" s="23" t="s">
        <v>1072</v>
      </c>
      <c r="C732" s="24" t="s">
        <v>1448</v>
      </c>
      <c r="D732" s="6">
        <v>1314.55</v>
      </c>
      <c r="E732" s="6">
        <v>1158.28</v>
      </c>
      <c r="F732" s="7" t="s">
        <v>14</v>
      </c>
      <c r="G732" s="30" t="s">
        <v>1449</v>
      </c>
      <c r="H732" s="31" t="s">
        <v>577</v>
      </c>
      <c r="I732" s="9">
        <v>5741</v>
      </c>
      <c r="J732" s="30" t="s">
        <v>1075</v>
      </c>
      <c r="K732" s="30">
        <v>32189</v>
      </c>
      <c r="L732" s="3" t="str">
        <f t="shared" si="23"/>
        <v>ΑΡΑΒΟΣΙΤΟΣ_ΕΝΣΙΡΩΣΗΣ</v>
      </c>
    </row>
    <row r="733" spans="1:12" s="3" customFormat="1" x14ac:dyDescent="0.25">
      <c r="A733" s="3" t="str">
        <f t="shared" si="22"/>
        <v>ΑΡΑΒΟΣΙΤΟΣ ΕΝΣΙΡΩΣΗΣΑΡΑΒΟΣΙΤΟΣ SY PROSPERIC</v>
      </c>
      <c r="B733" s="23" t="s">
        <v>1072</v>
      </c>
      <c r="C733" s="24" t="s">
        <v>1450</v>
      </c>
      <c r="D733" s="6">
        <v>1314.55</v>
      </c>
      <c r="E733" s="6">
        <v>1158.28</v>
      </c>
      <c r="F733" s="7" t="s">
        <v>14</v>
      </c>
      <c r="G733" s="30" t="s">
        <v>1451</v>
      </c>
      <c r="H733" s="31" t="s">
        <v>577</v>
      </c>
      <c r="I733" s="9">
        <v>5920</v>
      </c>
      <c r="J733" s="30" t="s">
        <v>1075</v>
      </c>
      <c r="K733" s="30">
        <v>32190</v>
      </c>
      <c r="L733" s="3" t="str">
        <f t="shared" si="23"/>
        <v>ΑΡΑΒΟΣΙΤΟΣ_ΕΝΣΙΡΩΣΗΣ</v>
      </c>
    </row>
    <row r="734" spans="1:12" s="3" customFormat="1" x14ac:dyDescent="0.25">
      <c r="A734" s="3" t="str">
        <f t="shared" si="22"/>
        <v>ΑΡΑΒΟΣΙΤΟΣ ΕΝΣΙΡΩΣΗΣΑΡΑΒΟΣΙΤΟΣ SY FONTERO</v>
      </c>
      <c r="B734" s="23" t="s">
        <v>1072</v>
      </c>
      <c r="C734" s="24" t="s">
        <v>1452</v>
      </c>
      <c r="D734" s="6">
        <v>1314.55</v>
      </c>
      <c r="E734" s="6">
        <v>1158.28</v>
      </c>
      <c r="F734" s="7" t="s">
        <v>14</v>
      </c>
      <c r="G734" s="30" t="s">
        <v>1453</v>
      </c>
      <c r="H734" s="31" t="s">
        <v>577</v>
      </c>
      <c r="I734" s="9">
        <v>5908</v>
      </c>
      <c r="J734" s="30" t="s">
        <v>1075</v>
      </c>
      <c r="K734" s="30">
        <v>32191</v>
      </c>
      <c r="L734" s="3" t="str">
        <f t="shared" si="23"/>
        <v>ΑΡΑΒΟΣΙΤΟΣ_ΕΝΣΙΡΩΣΗΣ</v>
      </c>
    </row>
    <row r="735" spans="1:12" s="3" customFormat="1" x14ac:dyDescent="0.25">
      <c r="A735" s="3" t="str">
        <f t="shared" si="22"/>
        <v>ΑΡΑΒΟΣΙΤΟΣ ΕΝΣΙΡΩΣΗΣΑΡΑΒΟΣΙΤΟΣ ZPSC600</v>
      </c>
      <c r="B735" s="23" t="s">
        <v>1072</v>
      </c>
      <c r="C735" s="24" t="s">
        <v>1454</v>
      </c>
      <c r="D735" s="6">
        <v>1314.55</v>
      </c>
      <c r="E735" s="6">
        <v>1158.28</v>
      </c>
      <c r="F735" s="7" t="s">
        <v>14</v>
      </c>
      <c r="G735" s="30" t="s">
        <v>1455</v>
      </c>
      <c r="H735" s="31" t="s">
        <v>577</v>
      </c>
      <c r="I735" s="9">
        <v>5944</v>
      </c>
      <c r="J735" s="30" t="s">
        <v>1075</v>
      </c>
      <c r="K735" s="30">
        <v>32192</v>
      </c>
      <c r="L735" s="3" t="str">
        <f t="shared" si="23"/>
        <v>ΑΡΑΒΟΣΙΤΟΣ_ΕΝΣΙΡΩΣΗΣ</v>
      </c>
    </row>
    <row r="736" spans="1:12" s="3" customFormat="1" x14ac:dyDescent="0.25">
      <c r="A736" s="3" t="str">
        <f t="shared" si="22"/>
        <v>ΑΡΑΒΟΣΙΤΟΣ ΕΝΣΙΡΩΣΗΣΑΡΑΒΟΣΙΤΟΣ KERBANIS</v>
      </c>
      <c r="B736" s="23" t="s">
        <v>1072</v>
      </c>
      <c r="C736" s="24" t="s">
        <v>1456</v>
      </c>
      <c r="D736" s="6">
        <v>1314.55</v>
      </c>
      <c r="E736" s="6">
        <v>1158.28</v>
      </c>
      <c r="F736" s="7" t="s">
        <v>14</v>
      </c>
      <c r="G736" s="30" t="s">
        <v>1457</v>
      </c>
      <c r="H736" s="31" t="s">
        <v>577</v>
      </c>
      <c r="I736" s="9">
        <v>5752</v>
      </c>
      <c r="J736" s="30" t="s">
        <v>1075</v>
      </c>
      <c r="K736" s="30">
        <v>32193</v>
      </c>
      <c r="L736" s="3" t="str">
        <f t="shared" si="23"/>
        <v>ΑΡΑΒΟΣΙΤΟΣ_ΕΝΣΙΡΩΣΗΣ</v>
      </c>
    </row>
    <row r="737" spans="1:12" s="3" customFormat="1" x14ac:dyDescent="0.25">
      <c r="A737" s="3" t="str">
        <f t="shared" si="22"/>
        <v>ΑΡΑΒΟΣΙΤΟΣ ΕΝΣΙΡΩΣΗΣΑΡΑΒΟΣΙΤΟΣ ZP 7357</v>
      </c>
      <c r="B737" s="23" t="s">
        <v>1072</v>
      </c>
      <c r="C737" s="24" t="s">
        <v>1458</v>
      </c>
      <c r="D737" s="6">
        <v>1314.55</v>
      </c>
      <c r="E737" s="6">
        <v>1158.28</v>
      </c>
      <c r="F737" s="7" t="s">
        <v>14</v>
      </c>
      <c r="G737" s="30" t="s">
        <v>1459</v>
      </c>
      <c r="H737" s="31" t="s">
        <v>577</v>
      </c>
      <c r="I737" s="9">
        <v>5934</v>
      </c>
      <c r="J737" s="30" t="s">
        <v>1075</v>
      </c>
      <c r="K737" s="30">
        <v>32194</v>
      </c>
      <c r="L737" s="3" t="str">
        <f t="shared" si="23"/>
        <v>ΑΡΑΒΟΣΙΤΟΣ_ΕΝΣΙΡΩΣΗΣ</v>
      </c>
    </row>
    <row r="738" spans="1:12" s="3" customFormat="1" x14ac:dyDescent="0.25">
      <c r="A738" s="3" t="str">
        <f t="shared" si="22"/>
        <v>ΑΡΑΒΟΣΙΤΟΣ ΕΝΣΙΡΩΣΗΣΑΡΑΒΟΣΙΤΟΣ ALTAMIRA</v>
      </c>
      <c r="B738" s="23" t="s">
        <v>1072</v>
      </c>
      <c r="C738" s="24" t="s">
        <v>1460</v>
      </c>
      <c r="D738" s="6">
        <v>1314.55</v>
      </c>
      <c r="E738" s="6">
        <v>1158.28</v>
      </c>
      <c r="F738" s="7" t="s">
        <v>14</v>
      </c>
      <c r="G738" s="30" t="s">
        <v>1461</v>
      </c>
      <c r="H738" s="31" t="s">
        <v>577</v>
      </c>
      <c r="I738" s="9">
        <v>5649</v>
      </c>
      <c r="J738" s="30" t="s">
        <v>1075</v>
      </c>
      <c r="K738" s="30">
        <v>32195</v>
      </c>
      <c r="L738" s="3" t="str">
        <f t="shared" si="23"/>
        <v>ΑΡΑΒΟΣΙΤΟΣ_ΕΝΣΙΡΩΣΗΣ</v>
      </c>
    </row>
    <row r="739" spans="1:12" s="3" customFormat="1" x14ac:dyDescent="0.25">
      <c r="A739" s="3" t="str">
        <f t="shared" si="22"/>
        <v>ΑΡΑΒΟΣΙΤΟΣ ΕΝΣΙΡΩΣΗΣΑΡΑΒΟΣΙΤΟΣ ALTEA</v>
      </c>
      <c r="B739" s="23" t="s">
        <v>1072</v>
      </c>
      <c r="C739" s="24" t="s">
        <v>1462</v>
      </c>
      <c r="D739" s="6">
        <v>1314.55</v>
      </c>
      <c r="E739" s="6">
        <v>1158.28</v>
      </c>
      <c r="F739" s="7" t="s">
        <v>14</v>
      </c>
      <c r="G739" s="30" t="s">
        <v>1463</v>
      </c>
      <c r="H739" s="31" t="s">
        <v>577</v>
      </c>
      <c r="I739" s="9">
        <v>5651</v>
      </c>
      <c r="J739" s="30" t="s">
        <v>1075</v>
      </c>
      <c r="K739" s="30">
        <v>32197</v>
      </c>
      <c r="L739" s="3" t="str">
        <f t="shared" si="23"/>
        <v>ΑΡΑΒΟΣΙΤΟΣ_ΕΝΣΙΡΩΣΗΣ</v>
      </c>
    </row>
    <row r="740" spans="1:12" s="3" customFormat="1" x14ac:dyDescent="0.25">
      <c r="A740" s="3" t="str">
        <f t="shared" si="22"/>
        <v>ΑΡΑΒΟΣΙΤΟΣ ΕΝΣΙΡΩΣΗΣΑΡΑΒΟΣΙΤΟΣ ANTILLA</v>
      </c>
      <c r="B740" s="23" t="s">
        <v>1072</v>
      </c>
      <c r="C740" s="24" t="s">
        <v>1464</v>
      </c>
      <c r="D740" s="6">
        <v>1314.55</v>
      </c>
      <c r="E740" s="6">
        <v>1158.28</v>
      </c>
      <c r="F740" s="7" t="s">
        <v>14</v>
      </c>
      <c r="G740" s="30" t="s">
        <v>1465</v>
      </c>
      <c r="H740" s="31" t="s">
        <v>577</v>
      </c>
      <c r="I740" s="9">
        <v>5653</v>
      </c>
      <c r="J740" s="30" t="s">
        <v>1075</v>
      </c>
      <c r="K740" s="30">
        <v>32198</v>
      </c>
      <c r="L740" s="3" t="str">
        <f t="shared" si="23"/>
        <v>ΑΡΑΒΟΣΙΤΟΣ_ΕΝΣΙΡΩΣΗΣ</v>
      </c>
    </row>
    <row r="741" spans="1:12" s="3" customFormat="1" x14ac:dyDescent="0.25">
      <c r="A741" s="3" t="str">
        <f t="shared" si="22"/>
        <v>ΑΡΑΒΟΣΙΤΟΣ ΕΝΣΙΡΩΣΗΣΑΡΑΒΟΣΙΤΟΣ HATAY</v>
      </c>
      <c r="B741" s="23" t="s">
        <v>1072</v>
      </c>
      <c r="C741" s="24" t="s">
        <v>1466</v>
      </c>
      <c r="D741" s="6">
        <v>1314.55</v>
      </c>
      <c r="E741" s="6">
        <v>1158.28</v>
      </c>
      <c r="F741" s="7" t="s">
        <v>14</v>
      </c>
      <c r="G741" s="30" t="s">
        <v>1467</v>
      </c>
      <c r="H741" s="31" t="s">
        <v>577</v>
      </c>
      <c r="I741" s="9">
        <v>5739</v>
      </c>
      <c r="J741" s="30" t="s">
        <v>1075</v>
      </c>
      <c r="K741" s="30">
        <v>32199</v>
      </c>
      <c r="L741" s="3" t="str">
        <f t="shared" si="23"/>
        <v>ΑΡΑΒΟΣΙΤΟΣ_ΕΝΣΙΡΩΣΗΣ</v>
      </c>
    </row>
    <row r="742" spans="1:12" s="3" customFormat="1" x14ac:dyDescent="0.25">
      <c r="A742" s="3" t="str">
        <f t="shared" si="22"/>
        <v>ΑΡΑΒΟΣΙΤΟΣ ΕΝΣΙΡΩΣΗΣΑΡΑΒΟΣΙΤΟΣ LERMA</v>
      </c>
      <c r="B742" s="23" t="s">
        <v>1072</v>
      </c>
      <c r="C742" s="24" t="s">
        <v>1468</v>
      </c>
      <c r="D742" s="6">
        <v>1314.55</v>
      </c>
      <c r="E742" s="6">
        <v>1158.28</v>
      </c>
      <c r="F742" s="7" t="s">
        <v>14</v>
      </c>
      <c r="G742" s="30" t="s">
        <v>1469</v>
      </c>
      <c r="H742" s="31" t="s">
        <v>577</v>
      </c>
      <c r="I742" s="9">
        <v>5781</v>
      </c>
      <c r="J742" s="30" t="s">
        <v>1075</v>
      </c>
      <c r="K742" s="30">
        <v>32200</v>
      </c>
      <c r="L742" s="3" t="str">
        <f t="shared" si="23"/>
        <v>ΑΡΑΒΟΣΙΤΟΣ_ΕΝΣΙΡΩΣΗΣ</v>
      </c>
    </row>
    <row r="743" spans="1:12" s="3" customFormat="1" x14ac:dyDescent="0.25">
      <c r="A743" s="3" t="str">
        <f t="shared" si="22"/>
        <v>ΑΡΑΒΟΣΙΤΟΣ ΕΝΣΙΡΩΣΗΣΑΡΑΒΟΣΙΤΟΣ PORTBOU</v>
      </c>
      <c r="B743" s="23" t="s">
        <v>1072</v>
      </c>
      <c r="C743" s="24" t="s">
        <v>1470</v>
      </c>
      <c r="D743" s="6">
        <v>1314.55</v>
      </c>
      <c r="E743" s="6">
        <v>1158.28</v>
      </c>
      <c r="F743" s="7" t="s">
        <v>14</v>
      </c>
      <c r="G743" s="30" t="s">
        <v>1471</v>
      </c>
      <c r="H743" s="31" t="s">
        <v>577</v>
      </c>
      <c r="I743" s="9">
        <v>5878</v>
      </c>
      <c r="J743" s="30" t="s">
        <v>1075</v>
      </c>
      <c r="K743" s="30">
        <v>32201</v>
      </c>
      <c r="L743" s="3" t="str">
        <f t="shared" si="23"/>
        <v>ΑΡΑΒΟΣΙΤΟΣ_ΕΝΣΙΡΩΣΗΣ</v>
      </c>
    </row>
    <row r="744" spans="1:12" s="3" customFormat="1" x14ac:dyDescent="0.25">
      <c r="A744" s="3" t="str">
        <f t="shared" si="22"/>
        <v>ΑΡΑΒΟΣΙΤΟΣ ΕΝΣΙΡΩΣΗΣΑΡΑΒΟΣΙΤΟΣ SAGUNTO</v>
      </c>
      <c r="B744" s="23" t="s">
        <v>1072</v>
      </c>
      <c r="C744" s="24" t="s">
        <v>1472</v>
      </c>
      <c r="D744" s="6">
        <v>1314.55</v>
      </c>
      <c r="E744" s="6">
        <v>1158.28</v>
      </c>
      <c r="F744" s="7" t="s">
        <v>14</v>
      </c>
      <c r="G744" s="30" t="s">
        <v>1473</v>
      </c>
      <c r="H744" s="31" t="s">
        <v>577</v>
      </c>
      <c r="I744" s="9">
        <v>5881</v>
      </c>
      <c r="J744" s="30" t="s">
        <v>1075</v>
      </c>
      <c r="K744" s="30">
        <v>32202</v>
      </c>
      <c r="L744" s="3" t="str">
        <f t="shared" si="23"/>
        <v>ΑΡΑΒΟΣΙΤΟΣ_ΕΝΣΙΡΩΣΗΣ</v>
      </c>
    </row>
    <row r="745" spans="1:12" s="3" customFormat="1" x14ac:dyDescent="0.25">
      <c r="A745" s="3" t="str">
        <f t="shared" si="22"/>
        <v>ΑΡΑΒΟΣΙΤΟΣ ΕΝΣΙΡΩΣΗΣΑΡΑΒΟΣΙΤΟΣ SNH8605</v>
      </c>
      <c r="B745" s="23" t="s">
        <v>1072</v>
      </c>
      <c r="C745" s="24" t="s">
        <v>1474</v>
      </c>
      <c r="D745" s="6">
        <v>1314.55</v>
      </c>
      <c r="E745" s="6">
        <v>1158.28</v>
      </c>
      <c r="F745" s="7" t="s">
        <v>14</v>
      </c>
      <c r="G745" s="30" t="s">
        <v>1475</v>
      </c>
      <c r="H745" s="31" t="s">
        <v>577</v>
      </c>
      <c r="I745" s="9">
        <v>5892</v>
      </c>
      <c r="J745" s="30" t="s">
        <v>1075</v>
      </c>
      <c r="K745" s="30">
        <v>32203</v>
      </c>
      <c r="L745" s="3" t="str">
        <f t="shared" si="23"/>
        <v>ΑΡΑΒΟΣΙΤΟΣ_ΕΝΣΙΡΩΣΗΣ</v>
      </c>
    </row>
    <row r="746" spans="1:12" s="3" customFormat="1" x14ac:dyDescent="0.25">
      <c r="A746" s="3" t="str">
        <f t="shared" si="22"/>
        <v>ΑΡΑΒΟΣΙΤΟΣ ΕΝΣΙΡΩΣΗΣΑΡΑΒΟΣΙΤΟΣ SNH9402</v>
      </c>
      <c r="B746" s="23" t="s">
        <v>1072</v>
      </c>
      <c r="C746" s="24" t="s">
        <v>1476</v>
      </c>
      <c r="D746" s="6">
        <v>1314.55</v>
      </c>
      <c r="E746" s="6">
        <v>1158.28</v>
      </c>
      <c r="F746" s="7" t="s">
        <v>14</v>
      </c>
      <c r="G746" s="30" t="s">
        <v>1477</v>
      </c>
      <c r="H746" s="31" t="s">
        <v>577</v>
      </c>
      <c r="I746" s="9">
        <v>5894</v>
      </c>
      <c r="J746" s="30" t="s">
        <v>1075</v>
      </c>
      <c r="K746" s="30">
        <v>32204</v>
      </c>
      <c r="L746" s="3" t="str">
        <f t="shared" si="23"/>
        <v>ΑΡΑΒΟΣΙΤΟΣ_ΕΝΣΙΡΩΣΗΣ</v>
      </c>
    </row>
    <row r="747" spans="1:12" s="3" customFormat="1" x14ac:dyDescent="0.25">
      <c r="A747" s="3" t="str">
        <f t="shared" si="22"/>
        <v>ΑΡΑΒΟΣΙΤΟΣ ΕΝΣΙΡΩΣΗΣΑΡΑΒΟΣΙΤΟΣ P1517W</v>
      </c>
      <c r="B747" s="23" t="s">
        <v>1072</v>
      </c>
      <c r="C747" s="24" t="s">
        <v>1478</v>
      </c>
      <c r="D747" s="6">
        <v>1314.55</v>
      </c>
      <c r="E747" s="6">
        <v>1158.28</v>
      </c>
      <c r="F747" s="7" t="s">
        <v>14</v>
      </c>
      <c r="G747" s="30" t="s">
        <v>1479</v>
      </c>
      <c r="H747" s="31" t="s">
        <v>577</v>
      </c>
      <c r="I747" s="9">
        <v>5845</v>
      </c>
      <c r="J747" s="30" t="s">
        <v>1075</v>
      </c>
      <c r="K747" s="30">
        <v>32205</v>
      </c>
      <c r="L747" s="3" t="str">
        <f t="shared" si="23"/>
        <v>ΑΡΑΒΟΣΙΤΟΣ_ΕΝΣΙΡΩΣΗΣ</v>
      </c>
    </row>
    <row r="748" spans="1:12" s="3" customFormat="1" x14ac:dyDescent="0.25">
      <c r="A748" s="3" t="str">
        <f t="shared" si="22"/>
        <v>ΑΡΑΒΟΣΙΤΟΣ ΕΝΣΙΡΩΣΗΣΑΡΑΒΟΣΙΤΟΣ P0710</v>
      </c>
      <c r="B748" s="23" t="s">
        <v>1072</v>
      </c>
      <c r="C748" s="24" t="s">
        <v>1480</v>
      </c>
      <c r="D748" s="6">
        <v>1314.55</v>
      </c>
      <c r="E748" s="6">
        <v>1158.28</v>
      </c>
      <c r="F748" s="7" t="s">
        <v>14</v>
      </c>
      <c r="G748" s="30" t="s">
        <v>1481</v>
      </c>
      <c r="H748" s="31" t="s">
        <v>577</v>
      </c>
      <c r="I748" s="9">
        <v>5828</v>
      </c>
      <c r="J748" s="30" t="s">
        <v>1075</v>
      </c>
      <c r="K748" s="30">
        <v>32207</v>
      </c>
      <c r="L748" s="3" t="str">
        <f t="shared" si="23"/>
        <v>ΑΡΑΒΟΣΙΤΟΣ_ΕΝΣΙΡΩΣΗΣ</v>
      </c>
    </row>
    <row r="749" spans="1:12" s="3" customFormat="1" x14ac:dyDescent="0.25">
      <c r="A749" s="3" t="str">
        <f t="shared" si="22"/>
        <v>ΑΡΑΒΟΣΙΤΟΣ ΕΝΣΙΡΩΣΗΣΑΡΑΒΟΣΙΤΟΣ KWS HYPOLITO</v>
      </c>
      <c r="B749" s="23" t="s">
        <v>1072</v>
      </c>
      <c r="C749" s="24" t="s">
        <v>1482</v>
      </c>
      <c r="D749" s="6">
        <v>1314.55</v>
      </c>
      <c r="E749" s="6">
        <v>1158.28</v>
      </c>
      <c r="F749" s="7" t="s">
        <v>14</v>
      </c>
      <c r="G749" s="30" t="s">
        <v>1483</v>
      </c>
      <c r="H749" s="31" t="s">
        <v>577</v>
      </c>
      <c r="I749" s="9">
        <v>5765</v>
      </c>
      <c r="J749" s="30" t="s">
        <v>1075</v>
      </c>
      <c r="K749" s="30">
        <v>32208</v>
      </c>
      <c r="L749" s="3" t="str">
        <f t="shared" si="23"/>
        <v>ΑΡΑΒΟΣΙΤΟΣ_ΕΝΣΙΡΩΣΗΣ</v>
      </c>
    </row>
    <row r="750" spans="1:12" s="3" customFormat="1" x14ac:dyDescent="0.25">
      <c r="A750" s="3" t="str">
        <f t="shared" si="22"/>
        <v>ΑΡΑΒΟΣΙΤΟΣ ΕΝΣΙΡΩΣΗΣΑΡΑΒΟΣΙΤΟΣ GW3378</v>
      </c>
      <c r="B750" s="23" t="s">
        <v>1072</v>
      </c>
      <c r="C750" s="24" t="s">
        <v>1484</v>
      </c>
      <c r="D750" s="6">
        <v>1314.55</v>
      </c>
      <c r="E750" s="6">
        <v>1158.28</v>
      </c>
      <c r="F750" s="7" t="s">
        <v>14</v>
      </c>
      <c r="G750" s="30" t="s">
        <v>1485</v>
      </c>
      <c r="H750" s="31" t="s">
        <v>577</v>
      </c>
      <c r="I750" s="9">
        <v>5735</v>
      </c>
      <c r="J750" s="30" t="s">
        <v>1075</v>
      </c>
      <c r="K750" s="30">
        <v>32209</v>
      </c>
      <c r="L750" s="3" t="str">
        <f t="shared" si="23"/>
        <v>ΑΡΑΒΟΣΙΤΟΣ_ΕΝΣΙΡΩΣΗΣ</v>
      </c>
    </row>
    <row r="751" spans="1:12" s="3" customFormat="1" x14ac:dyDescent="0.25">
      <c r="A751" s="3" t="str">
        <f t="shared" si="22"/>
        <v>ΑΡΑΒΟΣΙΤΟΣ ΕΝΣΙΡΩΣΗΣΑΡΑΒΟΣΙΤΟΣ ALIGAR</v>
      </c>
      <c r="B751" s="23" t="s">
        <v>1072</v>
      </c>
      <c r="C751" s="24" t="s">
        <v>1486</v>
      </c>
      <c r="D751" s="6">
        <v>1314.55</v>
      </c>
      <c r="E751" s="6">
        <v>1158.28</v>
      </c>
      <c r="F751" s="7" t="s">
        <v>14</v>
      </c>
      <c r="G751" s="30" t="s">
        <v>1487</v>
      </c>
      <c r="H751" s="31" t="s">
        <v>577</v>
      </c>
      <c r="I751" s="9">
        <v>5647</v>
      </c>
      <c r="J751" s="30" t="s">
        <v>1075</v>
      </c>
      <c r="K751" s="30">
        <v>32210</v>
      </c>
      <c r="L751" s="3" t="str">
        <f t="shared" si="23"/>
        <v>ΑΡΑΒΟΣΙΤΟΣ_ΕΝΣΙΡΩΣΗΣ</v>
      </c>
    </row>
    <row r="752" spans="1:12" s="3" customFormat="1" x14ac:dyDescent="0.25">
      <c r="A752" s="3" t="str">
        <f t="shared" si="22"/>
        <v>ΑΡΑΒΟΣΙΤΟΣ ΕΝΣΙΡΩΣΗΣΑΡΑΒΟΣΙΤΟΣ 75ΜΑΥ75</v>
      </c>
      <c r="B752" s="23" t="s">
        <v>1072</v>
      </c>
      <c r="C752" s="24" t="s">
        <v>1488</v>
      </c>
      <c r="D752" s="6">
        <v>1314.55</v>
      </c>
      <c r="E752" s="6">
        <v>1158.28</v>
      </c>
      <c r="F752" s="7" t="s">
        <v>14</v>
      </c>
      <c r="G752" s="30" t="s">
        <v>1489</v>
      </c>
      <c r="H752" s="31" t="s">
        <v>577</v>
      </c>
      <c r="I752" s="9">
        <v>5629</v>
      </c>
      <c r="J752" s="30" t="s">
        <v>1075</v>
      </c>
      <c r="K752" s="30">
        <v>32211</v>
      </c>
      <c r="L752" s="3" t="str">
        <f t="shared" si="23"/>
        <v>ΑΡΑΒΟΣΙΤΟΣ_ΕΝΣΙΡΩΣΗΣ</v>
      </c>
    </row>
    <row r="753" spans="1:12" s="3" customFormat="1" x14ac:dyDescent="0.25">
      <c r="A753" s="3" t="str">
        <f t="shared" si="22"/>
        <v>ΑΡΑΒΟΣΙΤΟΣ ΕΝΣΙΡΩΣΗΣΑΡΑΒΟΣΙΤΟΣ KWS KERUBINO</v>
      </c>
      <c r="B753" s="23" t="s">
        <v>1072</v>
      </c>
      <c r="C753" s="24" t="s">
        <v>1490</v>
      </c>
      <c r="D753" s="6">
        <v>1314.55</v>
      </c>
      <c r="E753" s="6">
        <v>1158.28</v>
      </c>
      <c r="F753" s="7" t="s">
        <v>14</v>
      </c>
      <c r="G753" s="30" t="s">
        <v>1491</v>
      </c>
      <c r="H753" s="31" t="s">
        <v>577</v>
      </c>
      <c r="I753" s="9">
        <v>5770</v>
      </c>
      <c r="J753" s="30" t="s">
        <v>1075</v>
      </c>
      <c r="K753" s="30">
        <v>32212</v>
      </c>
      <c r="L753" s="3" t="str">
        <f t="shared" si="23"/>
        <v>ΑΡΑΒΟΣΙΤΟΣ_ΕΝΣΙΡΩΣΗΣ</v>
      </c>
    </row>
    <row r="754" spans="1:12" s="3" customFormat="1" x14ac:dyDescent="0.25">
      <c r="A754" s="3" t="str">
        <f t="shared" si="22"/>
        <v>ΑΡΑΒΟΣΙΤΟΣ ΕΝΣΙΡΩΣΗΣΑΡΑΒΟΣΙΤΟΣ P0920</v>
      </c>
      <c r="B754" s="23" t="s">
        <v>1072</v>
      </c>
      <c r="C754" s="24" t="s">
        <v>1492</v>
      </c>
      <c r="D754" s="6">
        <v>1314.55</v>
      </c>
      <c r="E754" s="6">
        <v>1158.28</v>
      </c>
      <c r="F754" s="7" t="s">
        <v>14</v>
      </c>
      <c r="G754" s="30" t="s">
        <v>1493</v>
      </c>
      <c r="H754" s="31" t="s">
        <v>577</v>
      </c>
      <c r="I754" s="9">
        <v>5832</v>
      </c>
      <c r="J754" s="30" t="s">
        <v>1075</v>
      </c>
      <c r="K754" s="30">
        <v>32213</v>
      </c>
      <c r="L754" s="3" t="str">
        <f t="shared" si="23"/>
        <v>ΑΡΑΒΟΣΙΤΟΣ_ΕΝΣΙΡΩΣΗΣ</v>
      </c>
    </row>
    <row r="755" spans="1:12" s="3" customFormat="1" x14ac:dyDescent="0.25">
      <c r="A755" s="3" t="str">
        <f t="shared" si="22"/>
        <v>ΑΡΑΒΟΣΙΤΟΣ ΕΝΣΙΡΩΣΗΣΑΡΑΒΟΣΙΤΟΣ SNH3616A5</v>
      </c>
      <c r="B755" s="23" t="s">
        <v>1072</v>
      </c>
      <c r="C755" s="24" t="s">
        <v>1494</v>
      </c>
      <c r="D755" s="6">
        <v>1314.55</v>
      </c>
      <c r="E755" s="6">
        <v>1158.28</v>
      </c>
      <c r="F755" s="7" t="s">
        <v>14</v>
      </c>
      <c r="G755" s="30" t="s">
        <v>1495</v>
      </c>
      <c r="H755" s="31" t="s">
        <v>577</v>
      </c>
      <c r="I755" s="9">
        <v>5888</v>
      </c>
      <c r="J755" s="30" t="s">
        <v>1075</v>
      </c>
      <c r="K755" s="30">
        <v>32214</v>
      </c>
      <c r="L755" s="3" t="str">
        <f t="shared" si="23"/>
        <v>ΑΡΑΒΟΣΙΤΟΣ_ΕΝΣΙΡΩΣΗΣ</v>
      </c>
    </row>
    <row r="756" spans="1:12" s="3" customFormat="1" x14ac:dyDescent="0.25">
      <c r="A756" s="3" t="str">
        <f t="shared" si="22"/>
        <v>ΑΡΑΒΟΣΙΤΟΣ ΕΝΣΙΡΩΣΗΣΑΡΑΒΟΣΙΤΟΣ</v>
      </c>
      <c r="B756" s="23" t="s">
        <v>1072</v>
      </c>
      <c r="C756" s="24" t="s">
        <v>1496</v>
      </c>
      <c r="D756" s="6">
        <v>1314.55</v>
      </c>
      <c r="E756" s="6">
        <v>1158.28</v>
      </c>
      <c r="F756" s="7" t="s">
        <v>14</v>
      </c>
      <c r="G756" s="30" t="s">
        <v>1497</v>
      </c>
      <c r="H756" s="31" t="s">
        <v>577</v>
      </c>
      <c r="I756" s="9">
        <v>5624</v>
      </c>
      <c r="J756" s="30" t="s">
        <v>1075</v>
      </c>
      <c r="K756" s="30">
        <v>32215</v>
      </c>
      <c r="L756" s="3" t="str">
        <f t="shared" si="23"/>
        <v>ΑΡΑΒΟΣΙΤΟΣ_ΕΝΣΙΡΩΣΗΣ</v>
      </c>
    </row>
    <row r="757" spans="1:12" s="3" customFormat="1" x14ac:dyDescent="0.25">
      <c r="A757" s="3" t="str">
        <f t="shared" si="22"/>
        <v>ΑΡΑΒΟΣΙΤΟΣ ΕΝΣΙΡΩΣΗΣΑΡΑΒΟΣΙΤΟΣ KEBEOS</v>
      </c>
      <c r="B757" s="23" t="s">
        <v>1072</v>
      </c>
      <c r="C757" s="24" t="s">
        <v>1498</v>
      </c>
      <c r="D757" s="6">
        <v>1314.55</v>
      </c>
      <c r="E757" s="6">
        <v>1158.28</v>
      </c>
      <c r="F757" s="7" t="s">
        <v>14</v>
      </c>
      <c r="G757" s="30" t="s">
        <v>1499</v>
      </c>
      <c r="H757" s="31" t="s">
        <v>577</v>
      </c>
      <c r="I757" s="9">
        <v>5748</v>
      </c>
      <c r="J757" s="30" t="s">
        <v>1075</v>
      </c>
      <c r="K757" s="30">
        <v>32216</v>
      </c>
      <c r="L757" s="3" t="str">
        <f t="shared" si="23"/>
        <v>ΑΡΑΒΟΣΙΤΟΣ_ΕΝΣΙΡΩΣΗΣ</v>
      </c>
    </row>
    <row r="758" spans="1:12" s="3" customFormat="1" x14ac:dyDescent="0.25">
      <c r="A758" s="3" t="str">
        <f t="shared" si="22"/>
        <v>ΑΡΑΒΟΣΙΤΟΣ ΕΝΣΙΡΩΣΗΣΑΡΑΒΟΣΙΤΟΣ KWS KANTICO</v>
      </c>
      <c r="B758" s="23" t="s">
        <v>1072</v>
      </c>
      <c r="C758" s="24" t="s">
        <v>1500</v>
      </c>
      <c r="D758" s="6">
        <v>1314.55</v>
      </c>
      <c r="E758" s="6">
        <v>1158.28</v>
      </c>
      <c r="F758" s="7" t="s">
        <v>14</v>
      </c>
      <c r="G758" s="30" t="s">
        <v>1501</v>
      </c>
      <c r="H758" s="31" t="s">
        <v>577</v>
      </c>
      <c r="I758" s="9">
        <v>5768</v>
      </c>
      <c r="J758" s="30" t="s">
        <v>1075</v>
      </c>
      <c r="K758" s="30">
        <v>32217</v>
      </c>
      <c r="L758" s="3" t="str">
        <f t="shared" si="23"/>
        <v>ΑΡΑΒΟΣΙΤΟΣ_ΕΝΣΙΡΩΣΗΣ</v>
      </c>
    </row>
    <row r="759" spans="1:12" s="3" customFormat="1" x14ac:dyDescent="0.25">
      <c r="A759" s="3" t="str">
        <f t="shared" si="22"/>
        <v>ΑΡΑΒΟΣΙΤΟΣ ΕΝΣΙΡΩΣΗΣΑΡΑΒΟΣΙΤΟΣ P1410</v>
      </c>
      <c r="B759" s="23" t="s">
        <v>1072</v>
      </c>
      <c r="C759" s="24" t="s">
        <v>1502</v>
      </c>
      <c r="D759" s="6">
        <v>1314.55</v>
      </c>
      <c r="E759" s="6">
        <v>1158.28</v>
      </c>
      <c r="F759" s="7" t="s">
        <v>14</v>
      </c>
      <c r="G759" s="30" t="s">
        <v>1503</v>
      </c>
      <c r="H759" s="31" t="s">
        <v>577</v>
      </c>
      <c r="I759" s="9">
        <v>5840</v>
      </c>
      <c r="J759" s="30" t="s">
        <v>1075</v>
      </c>
      <c r="K759" s="30">
        <v>32218</v>
      </c>
      <c r="L759" s="3" t="str">
        <f t="shared" si="23"/>
        <v>ΑΡΑΒΟΣΙΤΟΣ_ΕΝΣΙΡΩΣΗΣ</v>
      </c>
    </row>
    <row r="760" spans="1:12" s="3" customFormat="1" x14ac:dyDescent="0.25">
      <c r="A760" s="3" t="str">
        <f t="shared" si="22"/>
        <v>ΑΡΑΒΟΣΙΤΟΣ ΕΝΣΙΡΩΣΗΣΑΡΑΒΟΣΙΤΟΣ SY FUERZA</v>
      </c>
      <c r="B760" s="23" t="s">
        <v>1072</v>
      </c>
      <c r="C760" s="24" t="s">
        <v>1504</v>
      </c>
      <c r="D760" s="6">
        <v>1314.55</v>
      </c>
      <c r="E760" s="6">
        <v>1158.28</v>
      </c>
      <c r="F760" s="7" t="s">
        <v>14</v>
      </c>
      <c r="G760" s="30" t="s">
        <v>1505</v>
      </c>
      <c r="H760" s="31" t="s">
        <v>577</v>
      </c>
      <c r="I760" s="9">
        <v>5910</v>
      </c>
      <c r="J760" s="30" t="s">
        <v>1075</v>
      </c>
      <c r="K760" s="30">
        <v>32219</v>
      </c>
      <c r="L760" s="3" t="str">
        <f t="shared" si="23"/>
        <v>ΑΡΑΒΟΣΙΤΟΣ_ΕΝΣΙΡΩΣΗΣ</v>
      </c>
    </row>
    <row r="761" spans="1:12" s="3" customFormat="1" x14ac:dyDescent="0.25">
      <c r="A761" s="3" t="str">
        <f t="shared" si="22"/>
        <v>ΑΡΑΒΟΣΙΤΟΣ ΕΝΣΙΡΩΣΗΣΑΡΑΒΟΣΙΤΟΣ MAS 59K</v>
      </c>
      <c r="B761" s="23" t="s">
        <v>1072</v>
      </c>
      <c r="C761" s="24" t="s">
        <v>1506</v>
      </c>
      <c r="D761" s="6">
        <v>1314.55</v>
      </c>
      <c r="E761" s="6">
        <v>1158.28</v>
      </c>
      <c r="F761" s="7" t="s">
        <v>14</v>
      </c>
      <c r="G761" s="30" t="s">
        <v>1507</v>
      </c>
      <c r="H761" s="31" t="s">
        <v>577</v>
      </c>
      <c r="I761" s="9">
        <v>5807</v>
      </c>
      <c r="J761" s="30" t="s">
        <v>1075</v>
      </c>
      <c r="K761" s="30">
        <v>32221</v>
      </c>
      <c r="L761" s="3" t="str">
        <f t="shared" si="23"/>
        <v>ΑΡΑΒΟΣΙΤΟΣ_ΕΝΣΙΡΩΣΗΣ</v>
      </c>
    </row>
    <row r="762" spans="1:12" s="3" customFormat="1" x14ac:dyDescent="0.25">
      <c r="A762" s="3" t="str">
        <f t="shared" si="22"/>
        <v>ΑΡΑΒΟΣΙΤΟΣ ΕΝΣΙΡΩΣΗΣΑΡΑΒΟΣΙΤΟΣ P2046</v>
      </c>
      <c r="B762" s="23" t="s">
        <v>1072</v>
      </c>
      <c r="C762" s="24" t="s">
        <v>1508</v>
      </c>
      <c r="D762" s="6">
        <v>1314.55</v>
      </c>
      <c r="E762" s="6">
        <v>1158.28</v>
      </c>
      <c r="F762" s="7" t="s">
        <v>14</v>
      </c>
      <c r="G762" s="30" t="s">
        <v>1509</v>
      </c>
      <c r="H762" s="31" t="s">
        <v>577</v>
      </c>
      <c r="I762" s="9">
        <v>5859</v>
      </c>
      <c r="J762" s="30" t="s">
        <v>1075</v>
      </c>
      <c r="K762" s="30">
        <v>32222</v>
      </c>
      <c r="L762" s="3" t="str">
        <f t="shared" si="23"/>
        <v>ΑΡΑΒΟΣΙΤΟΣ_ΕΝΣΙΡΩΣΗΣ</v>
      </c>
    </row>
    <row r="763" spans="1:12" s="3" customFormat="1" x14ac:dyDescent="0.25">
      <c r="A763" s="3" t="str">
        <f t="shared" si="22"/>
        <v>ΑΡΑΒΟΣΙΤΟΣ ΕΝΣΙΡΩΣΗΣΑΡΑΒΟΣΙΤΟΣ KWS LEONIDAS</v>
      </c>
      <c r="B763" s="23" t="s">
        <v>1072</v>
      </c>
      <c r="C763" s="24" t="s">
        <v>1510</v>
      </c>
      <c r="D763" s="6">
        <v>1314.55</v>
      </c>
      <c r="E763" s="6">
        <v>1158.28</v>
      </c>
      <c r="F763" s="7" t="s">
        <v>14</v>
      </c>
      <c r="G763" s="30" t="s">
        <v>1511</v>
      </c>
      <c r="H763" s="31" t="s">
        <v>577</v>
      </c>
      <c r="I763" s="9">
        <v>5774</v>
      </c>
      <c r="J763" s="30" t="s">
        <v>1075</v>
      </c>
      <c r="K763" s="30">
        <v>32223</v>
      </c>
      <c r="L763" s="3" t="str">
        <f t="shared" si="23"/>
        <v>ΑΡΑΒΟΣΙΤΟΣ_ΕΝΣΙΡΩΣΗΣ</v>
      </c>
    </row>
    <row r="764" spans="1:12" s="3" customFormat="1" x14ac:dyDescent="0.25">
      <c r="A764" s="3" t="str">
        <f t="shared" si="22"/>
        <v>ΑΡΑΒΟΣΙΤΟΣ ΕΝΣΙΡΩΣΗΣΑΡΑΒΟΣΙΤΟΣ SNH7603</v>
      </c>
      <c r="B764" s="23" t="s">
        <v>1072</v>
      </c>
      <c r="C764" s="24" t="s">
        <v>1512</v>
      </c>
      <c r="D764" s="6">
        <v>1314.55</v>
      </c>
      <c r="E764" s="6">
        <v>1158.28</v>
      </c>
      <c r="F764" s="7" t="s">
        <v>14</v>
      </c>
      <c r="G764" s="30" t="s">
        <v>1513</v>
      </c>
      <c r="H764" s="31" t="s">
        <v>577</v>
      </c>
      <c r="I764" s="9">
        <v>5890</v>
      </c>
      <c r="J764" s="30" t="s">
        <v>1075</v>
      </c>
      <c r="K764" s="30">
        <v>32224</v>
      </c>
      <c r="L764" s="3" t="str">
        <f t="shared" si="23"/>
        <v>ΑΡΑΒΟΣΙΤΟΣ_ΕΝΣΙΡΩΣΗΣ</v>
      </c>
    </row>
    <row r="765" spans="1:12" s="3" customFormat="1" x14ac:dyDescent="0.25">
      <c r="A765" s="3" t="str">
        <f t="shared" si="22"/>
        <v>ΑΡΑΒΟΣΙΤΟΣ ΕΝΣΙΡΩΣΗΣΑΡΑΒΟΣΙΤΟΣ GRIGRI CS</v>
      </c>
      <c r="B765" s="23" t="s">
        <v>1072</v>
      </c>
      <c r="C765" s="24" t="s">
        <v>1514</v>
      </c>
      <c r="D765" s="6">
        <v>1314.55</v>
      </c>
      <c r="E765" s="6">
        <v>1158.28</v>
      </c>
      <c r="F765" s="7" t="s">
        <v>14</v>
      </c>
      <c r="G765" s="30" t="s">
        <v>1515</v>
      </c>
      <c r="H765" s="31" t="s">
        <v>577</v>
      </c>
      <c r="I765" s="9">
        <v>5710</v>
      </c>
      <c r="J765" s="30" t="s">
        <v>1075</v>
      </c>
      <c r="K765" s="30">
        <v>32225</v>
      </c>
      <c r="L765" s="3" t="str">
        <f t="shared" si="23"/>
        <v>ΑΡΑΒΟΣΙΤΟΣ_ΕΝΣΙΡΩΣΗΣ</v>
      </c>
    </row>
    <row r="766" spans="1:12" s="3" customFormat="1" x14ac:dyDescent="0.25">
      <c r="A766" s="3" t="str">
        <f t="shared" si="22"/>
        <v>ΑΡΑΒΟΣΙΤΟΣ ΕΝΣΙΡΩΣΗΣΑΡΑΒΟΣΙΤΟΣ P9889</v>
      </c>
      <c r="B766" s="23" t="s">
        <v>1072</v>
      </c>
      <c r="C766" s="24" t="s">
        <v>1516</v>
      </c>
      <c r="D766" s="6">
        <v>1314.55</v>
      </c>
      <c r="E766" s="6">
        <v>1158.28</v>
      </c>
      <c r="F766" s="7" t="s">
        <v>14</v>
      </c>
      <c r="G766" s="30" t="s">
        <v>1517</v>
      </c>
      <c r="H766" s="31" t="s">
        <v>577</v>
      </c>
      <c r="I766" s="9">
        <v>5869</v>
      </c>
      <c r="J766" s="30" t="s">
        <v>1075</v>
      </c>
      <c r="K766" s="30">
        <v>32226</v>
      </c>
      <c r="L766" s="3" t="str">
        <f t="shared" si="23"/>
        <v>ΑΡΑΒΟΣΙΤΟΣ_ΕΝΣΙΡΩΣΗΣ</v>
      </c>
    </row>
    <row r="767" spans="1:12" s="3" customFormat="1" x14ac:dyDescent="0.25">
      <c r="A767" s="3" t="str">
        <f t="shared" si="22"/>
        <v>ΑΡΑΒΟΣΙΤΟΣ ΕΝΣΙΡΩΣΗΣΑΡΑΒΟΣΙΤΟΣ ZP ERRIKO</v>
      </c>
      <c r="B767" s="23" t="s">
        <v>1072</v>
      </c>
      <c r="C767" s="24" t="s">
        <v>1518</v>
      </c>
      <c r="D767" s="6">
        <v>1314.55</v>
      </c>
      <c r="E767" s="6">
        <v>1158.28</v>
      </c>
      <c r="F767" s="7" t="s">
        <v>14</v>
      </c>
      <c r="G767" s="30" t="s">
        <v>1519</v>
      </c>
      <c r="H767" s="31" t="s">
        <v>577</v>
      </c>
      <c r="I767" s="9">
        <v>5937</v>
      </c>
      <c r="J767" s="30" t="s">
        <v>1075</v>
      </c>
      <c r="K767" s="30">
        <v>32227</v>
      </c>
      <c r="L767" s="3" t="str">
        <f t="shared" si="23"/>
        <v>ΑΡΑΒΟΣΙΤΟΣ_ΕΝΣΙΡΩΣΗΣ</v>
      </c>
    </row>
    <row r="768" spans="1:12" s="3" customFormat="1" x14ac:dyDescent="0.25">
      <c r="A768" s="3" t="str">
        <f t="shared" si="22"/>
        <v>ΑΡΑΒΟΣΙΤΟΣ ΕΝΣΙΡΩΣΗΣΑΡΑΒΟΣΙΤΟΣ P0551</v>
      </c>
      <c r="B768" s="23" t="s">
        <v>1072</v>
      </c>
      <c r="C768" s="24" t="s">
        <v>1520</v>
      </c>
      <c r="D768" s="6">
        <v>1314.55</v>
      </c>
      <c r="E768" s="6">
        <v>1158.28</v>
      </c>
      <c r="F768" s="7" t="s">
        <v>14</v>
      </c>
      <c r="G768" s="30" t="s">
        <v>1521</v>
      </c>
      <c r="H768" s="31" t="s">
        <v>577</v>
      </c>
      <c r="I768" s="9">
        <v>5826</v>
      </c>
      <c r="J768" s="30" t="s">
        <v>1075</v>
      </c>
      <c r="K768" s="30">
        <v>32228</v>
      </c>
      <c r="L768" s="3" t="str">
        <f t="shared" si="23"/>
        <v>ΑΡΑΒΟΣΙΤΟΣ_ΕΝΣΙΡΩΣΗΣ</v>
      </c>
    </row>
    <row r="769" spans="1:12" s="3" customFormat="1" x14ac:dyDescent="0.25">
      <c r="A769" s="3" t="str">
        <f t="shared" si="22"/>
        <v>ΑΡΑΒΟΣΙΤΟΣ ΕΝΣΙΡΩΣΗΣΑΡΑΒΟΣΙΤΟΣ P0450</v>
      </c>
      <c r="B769" s="23" t="s">
        <v>1072</v>
      </c>
      <c r="C769" s="24" t="s">
        <v>1522</v>
      </c>
      <c r="D769" s="6">
        <v>1314.55</v>
      </c>
      <c r="E769" s="6">
        <v>1158.28</v>
      </c>
      <c r="F769" s="7" t="s">
        <v>14</v>
      </c>
      <c r="G769" s="30" t="s">
        <v>1523</v>
      </c>
      <c r="H769" s="31" t="s">
        <v>577</v>
      </c>
      <c r="I769" s="9">
        <v>5824</v>
      </c>
      <c r="J769" s="30" t="s">
        <v>1075</v>
      </c>
      <c r="K769" s="30">
        <v>32229</v>
      </c>
      <c r="L769" s="3" t="str">
        <f t="shared" si="23"/>
        <v>ΑΡΑΒΟΣΙΤΟΣ_ΕΝΣΙΡΩΣΗΣ</v>
      </c>
    </row>
    <row r="770" spans="1:12" s="3" customFormat="1" x14ac:dyDescent="0.25">
      <c r="A770" s="3" t="str">
        <f t="shared" si="22"/>
        <v>ΑΡΑΒΟΣΙΤΟΣ ΕΝΣΙΡΩΣΗΣΑΡΑΒΟΣΙΤΟΣ P9978</v>
      </c>
      <c r="B770" s="23" t="s">
        <v>1072</v>
      </c>
      <c r="C770" s="24" t="s">
        <v>1524</v>
      </c>
      <c r="D770" s="6">
        <v>1314.55</v>
      </c>
      <c r="E770" s="6">
        <v>1158.28</v>
      </c>
      <c r="F770" s="7" t="s">
        <v>14</v>
      </c>
      <c r="G770" s="30" t="s">
        <v>1525</v>
      </c>
      <c r="H770" s="31" t="s">
        <v>577</v>
      </c>
      <c r="I770" s="9">
        <v>5874</v>
      </c>
      <c r="J770" s="30" t="s">
        <v>1075</v>
      </c>
      <c r="K770" s="30">
        <v>32230</v>
      </c>
      <c r="L770" s="3" t="str">
        <f t="shared" si="23"/>
        <v>ΑΡΑΒΟΣΙΤΟΣ_ΕΝΣΙΡΩΣΗΣ</v>
      </c>
    </row>
    <row r="771" spans="1:12" s="3" customFormat="1" x14ac:dyDescent="0.25">
      <c r="A771" s="3" t="str">
        <f t="shared" ref="A771:A834" si="24">_xlfn.CONCAT(B771,C771)</f>
        <v>ΑΡΑΒΟΣΙΤΟΣ ΕΝΣΙΡΩΣΗΣΑΡΑΒΟΣΙΤΟΣ KWS CAMILLO</v>
      </c>
      <c r="B771" s="23" t="s">
        <v>1072</v>
      </c>
      <c r="C771" s="24" t="s">
        <v>1526</v>
      </c>
      <c r="D771" s="6">
        <v>1314.55</v>
      </c>
      <c r="E771" s="6">
        <v>1158.28</v>
      </c>
      <c r="F771" s="7" t="s">
        <v>14</v>
      </c>
      <c r="G771" s="30" t="s">
        <v>1527</v>
      </c>
      <c r="H771" s="31" t="s">
        <v>577</v>
      </c>
      <c r="I771" s="9">
        <v>5761</v>
      </c>
      <c r="J771" s="30" t="s">
        <v>1075</v>
      </c>
      <c r="K771" s="30">
        <v>32231</v>
      </c>
      <c r="L771" s="3" t="str">
        <f t="shared" ref="L771:L834" si="25">IFERROR(SUBSTITUTE(SUBSTITUTE(SUBSTITUTE(SUBSTITUTE(SUBSTITUTE(B771, "-", "_"), " ", "_"), ",", ""), "(", ""), ")", ""), B771)</f>
        <v>ΑΡΑΒΟΣΙΤΟΣ_ΕΝΣΙΡΩΣΗΣ</v>
      </c>
    </row>
    <row r="772" spans="1:12" s="3" customFormat="1" x14ac:dyDescent="0.25">
      <c r="A772" s="3" t="str">
        <f t="shared" si="24"/>
        <v>ΑΡΑΒΟΣΙΤΟΣ ΕΝΣΙΡΩΣΗΣΑΡΑΒΟΣΙΤΟΣ P1096</v>
      </c>
      <c r="B772" s="23" t="s">
        <v>1072</v>
      </c>
      <c r="C772" s="24" t="s">
        <v>1528</v>
      </c>
      <c r="D772" s="6">
        <v>1314.55</v>
      </c>
      <c r="E772" s="6">
        <v>1158.28</v>
      </c>
      <c r="F772" s="7" t="s">
        <v>14</v>
      </c>
      <c r="G772" s="30" t="s">
        <v>1529</v>
      </c>
      <c r="H772" s="31" t="s">
        <v>577</v>
      </c>
      <c r="I772" s="9">
        <v>5836</v>
      </c>
      <c r="J772" s="30" t="s">
        <v>1075</v>
      </c>
      <c r="K772" s="30">
        <v>32232</v>
      </c>
      <c r="L772" s="3" t="str">
        <f t="shared" si="25"/>
        <v>ΑΡΑΒΟΣΙΤΟΣ_ΕΝΣΙΡΩΣΗΣ</v>
      </c>
    </row>
    <row r="773" spans="1:12" s="3" customFormat="1" x14ac:dyDescent="0.25">
      <c r="A773" s="3" t="str">
        <f t="shared" si="24"/>
        <v>ΑΡΑΒΟΣΙΤΟΣ ΕΝΣΙΡΩΣΗΣΑΡΑΒΟΣΙΤΟΣ TOPOLA</v>
      </c>
      <c r="B773" s="23" t="s">
        <v>1072</v>
      </c>
      <c r="C773" s="24" t="s">
        <v>1530</v>
      </c>
      <c r="D773" s="6">
        <v>1314.55</v>
      </c>
      <c r="E773" s="6">
        <v>1158.28</v>
      </c>
      <c r="F773" s="7" t="s">
        <v>14</v>
      </c>
      <c r="G773" s="30" t="s">
        <v>1531</v>
      </c>
      <c r="H773" s="31" t="s">
        <v>577</v>
      </c>
      <c r="I773" s="9">
        <v>5925</v>
      </c>
      <c r="J773" s="30" t="s">
        <v>1075</v>
      </c>
      <c r="K773" s="30">
        <v>32233</v>
      </c>
      <c r="L773" s="3" t="str">
        <f t="shared" si="25"/>
        <v>ΑΡΑΒΟΣΙΤΟΣ_ΕΝΣΙΡΩΣΗΣ</v>
      </c>
    </row>
    <row r="774" spans="1:12" s="3" customFormat="1" x14ac:dyDescent="0.25">
      <c r="A774" s="3" t="str">
        <f t="shared" si="24"/>
        <v>ΑΡΑΒΟΣΙΤΟΣ ΕΝΣΙΡΩΣΗΣΑΡΑΒΟΣΙΤΟΣ P9903</v>
      </c>
      <c r="B774" s="23" t="s">
        <v>1072</v>
      </c>
      <c r="C774" s="24" t="s">
        <v>1532</v>
      </c>
      <c r="D774" s="6">
        <v>1314.55</v>
      </c>
      <c r="E774" s="6">
        <v>1158.28</v>
      </c>
      <c r="F774" s="7" t="s">
        <v>14</v>
      </c>
      <c r="G774" s="30" t="s">
        <v>1533</v>
      </c>
      <c r="H774" s="31" t="s">
        <v>577</v>
      </c>
      <c r="I774" s="9">
        <v>5871</v>
      </c>
      <c r="J774" s="30" t="s">
        <v>1075</v>
      </c>
      <c r="K774" s="30">
        <v>32234</v>
      </c>
      <c r="L774" s="3" t="str">
        <f t="shared" si="25"/>
        <v>ΑΡΑΒΟΣΙΤΟΣ_ΕΝΣΙΡΩΣΗΣ</v>
      </c>
    </row>
    <row r="775" spans="1:12" s="3" customFormat="1" x14ac:dyDescent="0.25">
      <c r="A775" s="3" t="str">
        <f t="shared" si="24"/>
        <v>ΑΡΑΒΟΣΙΤΟΣ ΕΝΣΙΡΩΣΗΣΑΡΑΒΟΣΙΤΟΣ KONFITES</v>
      </c>
      <c r="B775" s="23" t="s">
        <v>1072</v>
      </c>
      <c r="C775" s="24" t="s">
        <v>1534</v>
      </c>
      <c r="D775" s="6">
        <v>1314.55</v>
      </c>
      <c r="E775" s="6">
        <v>1158.28</v>
      </c>
      <c r="F775" s="7" t="s">
        <v>14</v>
      </c>
      <c r="G775" s="30" t="s">
        <v>1535</v>
      </c>
      <c r="H775" s="31" t="s">
        <v>577</v>
      </c>
      <c r="I775" s="9">
        <v>5757</v>
      </c>
      <c r="J775" s="30" t="s">
        <v>1075</v>
      </c>
      <c r="K775" s="30">
        <v>32235</v>
      </c>
      <c r="L775" s="3" t="str">
        <f t="shared" si="25"/>
        <v>ΑΡΑΒΟΣΙΤΟΣ_ΕΝΣΙΡΩΣΗΣ</v>
      </c>
    </row>
    <row r="776" spans="1:12" s="3" customFormat="1" x14ac:dyDescent="0.25">
      <c r="A776" s="3" t="str">
        <f t="shared" si="24"/>
        <v>ΑΡΑΒΟΣΙΤΟΣ ΕΝΣΙΡΩΣΗΣΑΡΑΒΟΣΙΤΟΣ OVERLAND</v>
      </c>
      <c r="B776" s="23" t="s">
        <v>1072</v>
      </c>
      <c r="C776" s="24" t="s">
        <v>1536</v>
      </c>
      <c r="D776" s="6">
        <v>1314.55</v>
      </c>
      <c r="E776" s="6">
        <v>1158.28</v>
      </c>
      <c r="F776" s="7" t="s">
        <v>14</v>
      </c>
      <c r="G776" s="30" t="s">
        <v>1537</v>
      </c>
      <c r="H776" s="31" t="s">
        <v>577</v>
      </c>
      <c r="I776" s="9">
        <v>5819</v>
      </c>
      <c r="J776" s="30" t="s">
        <v>1075</v>
      </c>
      <c r="K776" s="30">
        <v>32236</v>
      </c>
      <c r="L776" s="3" t="str">
        <f t="shared" si="25"/>
        <v>ΑΡΑΒΟΣΙΤΟΣ_ΕΝΣΙΡΩΣΗΣ</v>
      </c>
    </row>
    <row r="777" spans="1:12" s="3" customFormat="1" x14ac:dyDescent="0.25">
      <c r="A777" s="3" t="str">
        <f t="shared" si="24"/>
        <v>ΑΡΑΒΟΣΙΤΟΣ ΕΝΣΙΡΩΣΗΣΑΡΑΒΟΣΙΤΟΣ P0260</v>
      </c>
      <c r="B777" s="23" t="s">
        <v>1072</v>
      </c>
      <c r="C777" s="24" t="s">
        <v>1538</v>
      </c>
      <c r="D777" s="6">
        <v>1314.55</v>
      </c>
      <c r="E777" s="6">
        <v>1158.28</v>
      </c>
      <c r="F777" s="7" t="s">
        <v>14</v>
      </c>
      <c r="G777" s="30" t="s">
        <v>1539</v>
      </c>
      <c r="H777" s="31" t="s">
        <v>577</v>
      </c>
      <c r="I777" s="9">
        <v>5822</v>
      </c>
      <c r="J777" s="30" t="s">
        <v>1075</v>
      </c>
      <c r="K777" s="30">
        <v>32237</v>
      </c>
      <c r="L777" s="3" t="str">
        <f t="shared" si="25"/>
        <v>ΑΡΑΒΟΣΙΤΟΣ_ΕΝΣΙΡΩΣΗΣ</v>
      </c>
    </row>
    <row r="778" spans="1:12" s="3" customFormat="1" x14ac:dyDescent="0.25">
      <c r="A778" s="3" t="str">
        <f t="shared" si="24"/>
        <v>ΑΡΑΒΟΣΙΤΟΣ ΕΝΣΙΡΩΣΗΣΑΡΑΒΟΣΙΤΟΣ P9610</v>
      </c>
      <c r="B778" s="23" t="s">
        <v>1072</v>
      </c>
      <c r="C778" s="24" t="s">
        <v>1540</v>
      </c>
      <c r="D778" s="6">
        <v>1314.55</v>
      </c>
      <c r="E778" s="6">
        <v>1158.28</v>
      </c>
      <c r="F778" s="7" t="s">
        <v>14</v>
      </c>
      <c r="G778" s="30" t="s">
        <v>1541</v>
      </c>
      <c r="H778" s="31" t="s">
        <v>577</v>
      </c>
      <c r="I778" s="9">
        <v>5867</v>
      </c>
      <c r="J778" s="30" t="s">
        <v>1075</v>
      </c>
      <c r="K778" s="30">
        <v>32238</v>
      </c>
      <c r="L778" s="3" t="str">
        <f t="shared" si="25"/>
        <v>ΑΡΑΒΟΣΙΤΟΣ_ΕΝΣΙΡΩΣΗΣ</v>
      </c>
    </row>
    <row r="779" spans="1:12" s="3" customFormat="1" x14ac:dyDescent="0.25">
      <c r="A779" s="3" t="str">
        <f t="shared" si="24"/>
        <v>ΑΡΑΒΟΣΙΤΟΣ ΕΝΣΙΡΩΣΗΣΑΡΑΒΟΣΙΟΣ GUSTA</v>
      </c>
      <c r="B779" s="23" t="s">
        <v>1072</v>
      </c>
      <c r="C779" s="24" t="s">
        <v>1542</v>
      </c>
      <c r="D779" s="6">
        <v>1314.55</v>
      </c>
      <c r="E779" s="6">
        <v>1158.28</v>
      </c>
      <c r="F779" s="7" t="s">
        <v>14</v>
      </c>
      <c r="G779" s="30" t="s">
        <v>1543</v>
      </c>
      <c r="H779" s="31" t="s">
        <v>577</v>
      </c>
      <c r="I779" s="9">
        <v>5622</v>
      </c>
      <c r="J779" s="30" t="s">
        <v>1075</v>
      </c>
      <c r="K779" s="30">
        <v>32239</v>
      </c>
      <c r="L779" s="3" t="str">
        <f t="shared" si="25"/>
        <v>ΑΡΑΒΟΣΙΤΟΣ_ΕΝΣΙΡΩΣΗΣ</v>
      </c>
    </row>
    <row r="780" spans="1:12" s="3" customFormat="1" x14ac:dyDescent="0.25">
      <c r="A780" s="3" t="str">
        <f t="shared" si="24"/>
        <v>ΑΡΑΒΟΣΙΤΟΣ ΕΝΣΙΡΩΣΗΣΑΡΑΒΟΣΙΤΟΣ CAPUZI</v>
      </c>
      <c r="B780" s="23" t="s">
        <v>1072</v>
      </c>
      <c r="C780" s="24" t="s">
        <v>1544</v>
      </c>
      <c r="D780" s="6">
        <v>1314.55</v>
      </c>
      <c r="E780" s="6">
        <v>1158.28</v>
      </c>
      <c r="F780" s="7" t="s">
        <v>14</v>
      </c>
      <c r="G780" s="30" t="s">
        <v>1545</v>
      </c>
      <c r="H780" s="31" t="s">
        <v>577</v>
      </c>
      <c r="I780" s="9">
        <v>5667</v>
      </c>
      <c r="J780" s="30" t="s">
        <v>1075</v>
      </c>
      <c r="K780" s="30">
        <v>32240</v>
      </c>
      <c r="L780" s="3" t="str">
        <f t="shared" si="25"/>
        <v>ΑΡΑΒΟΣΙΤΟΣ_ΕΝΣΙΡΩΣΗΣ</v>
      </c>
    </row>
    <row r="781" spans="1:12" s="3" customFormat="1" x14ac:dyDescent="0.25">
      <c r="A781" s="3" t="str">
        <f t="shared" si="24"/>
        <v>ΑΡΑΒΟΣΙΤΟΣ ΕΝΣΙΡΩΣΗΣΑΡΑΒΟΣΙΤΟΣ MANCINI</v>
      </c>
      <c r="B781" s="23" t="s">
        <v>1072</v>
      </c>
      <c r="C781" s="24" t="s">
        <v>1546</v>
      </c>
      <c r="D781" s="6">
        <v>1314.55</v>
      </c>
      <c r="E781" s="6">
        <v>1158.28</v>
      </c>
      <c r="F781" s="7" t="s">
        <v>14</v>
      </c>
      <c r="G781" s="30" t="s">
        <v>1547</v>
      </c>
      <c r="H781" s="31" t="s">
        <v>577</v>
      </c>
      <c r="I781" s="9">
        <v>5802</v>
      </c>
      <c r="J781" s="30" t="s">
        <v>1075</v>
      </c>
      <c r="K781" s="30">
        <v>32241</v>
      </c>
      <c r="L781" s="3" t="str">
        <f t="shared" si="25"/>
        <v>ΑΡΑΒΟΣΙΤΟΣ_ΕΝΣΙΡΩΣΗΣ</v>
      </c>
    </row>
    <row r="782" spans="1:12" s="3" customFormat="1" x14ac:dyDescent="0.25">
      <c r="A782" s="3" t="str">
        <f t="shared" si="24"/>
        <v>ΑΡΑΒΟΣΙΤΟΣ ΕΝΣΙΡΩΣΗΣΑΡΑΒΟΣΙΤΟΣ TOPECA</v>
      </c>
      <c r="B782" s="23" t="s">
        <v>1072</v>
      </c>
      <c r="C782" s="24" t="s">
        <v>1548</v>
      </c>
      <c r="D782" s="6">
        <v>1314.55</v>
      </c>
      <c r="E782" s="6">
        <v>1158.28</v>
      </c>
      <c r="F782" s="7" t="s">
        <v>14</v>
      </c>
      <c r="G782" s="30" t="s">
        <v>1549</v>
      </c>
      <c r="H782" s="31" t="s">
        <v>577</v>
      </c>
      <c r="I782" s="9">
        <v>5923</v>
      </c>
      <c r="J782" s="30" t="s">
        <v>1075</v>
      </c>
      <c r="K782" s="30">
        <v>32242</v>
      </c>
      <c r="L782" s="3" t="str">
        <f t="shared" si="25"/>
        <v>ΑΡΑΒΟΣΙΤΟΣ_ΕΝΣΙΡΩΣΗΣ</v>
      </c>
    </row>
    <row r="783" spans="1:12" s="3" customFormat="1" x14ac:dyDescent="0.25">
      <c r="A783" s="3" t="str">
        <f t="shared" si="24"/>
        <v>ΑΡΑΒΟΣΙΤΟΣ ΕΝΣΙΡΩΣΗΣΑΡΑΒΟΣΙΤΟΣ SHANIYA</v>
      </c>
      <c r="B783" s="23" t="s">
        <v>1072</v>
      </c>
      <c r="C783" s="24" t="s">
        <v>1550</v>
      </c>
      <c r="D783" s="6">
        <v>1314.55</v>
      </c>
      <c r="E783" s="6">
        <v>1158.28</v>
      </c>
      <c r="F783" s="7" t="s">
        <v>14</v>
      </c>
      <c r="G783" s="30" t="s">
        <v>1551</v>
      </c>
      <c r="H783" s="31" t="s">
        <v>577</v>
      </c>
      <c r="I783" s="9">
        <v>5883</v>
      </c>
      <c r="J783" s="30" t="s">
        <v>1075</v>
      </c>
      <c r="K783" s="30">
        <v>32243</v>
      </c>
      <c r="L783" s="3" t="str">
        <f t="shared" si="25"/>
        <v>ΑΡΑΒΟΣΙΤΟΣ_ΕΝΣΙΡΩΣΗΣ</v>
      </c>
    </row>
    <row r="784" spans="1:12" s="3" customFormat="1" x14ac:dyDescent="0.25">
      <c r="A784" s="3" t="str">
        <f t="shared" si="24"/>
        <v>ΑΡΑΒΟΣΙΤΟΣ ΕΝΣΙΡΩΣΗΣΑΡΑΒΟΣΙΤΟΣ DS23188C</v>
      </c>
      <c r="B784" s="23" t="s">
        <v>1072</v>
      </c>
      <c r="C784" s="24" t="s">
        <v>1552</v>
      </c>
      <c r="D784" s="6">
        <v>1314.55</v>
      </c>
      <c r="E784" s="6">
        <v>1158.28</v>
      </c>
      <c r="F784" s="7" t="s">
        <v>14</v>
      </c>
      <c r="G784" s="30" t="s">
        <v>1553</v>
      </c>
      <c r="H784" s="31" t="s">
        <v>577</v>
      </c>
      <c r="I784" s="9">
        <v>5702</v>
      </c>
      <c r="J784" s="30" t="s">
        <v>1075</v>
      </c>
      <c r="K784" s="30">
        <v>32244</v>
      </c>
      <c r="L784" s="3" t="str">
        <f t="shared" si="25"/>
        <v>ΑΡΑΒΟΣΙΤΟΣ_ΕΝΣΙΡΩΣΗΣ</v>
      </c>
    </row>
    <row r="785" spans="1:12" s="3" customFormat="1" x14ac:dyDescent="0.25">
      <c r="A785" s="3" t="str">
        <f t="shared" si="24"/>
        <v>ΑΡΑΒΟΣΙΤΟΣ ΕΝΣΙΡΩΣΗΣΑΡΑΒΟΣΙΤΟΣ ΑΘΗΝΑ</v>
      </c>
      <c r="B785" s="18" t="s">
        <v>1072</v>
      </c>
      <c r="C785" s="19" t="s">
        <v>1554</v>
      </c>
      <c r="D785" s="6">
        <v>1314.55</v>
      </c>
      <c r="E785" s="6">
        <v>1158.28</v>
      </c>
      <c r="F785" s="6" t="s">
        <v>14</v>
      </c>
      <c r="G785" s="8" t="s">
        <v>1555</v>
      </c>
      <c r="H785" s="8" t="s">
        <v>27</v>
      </c>
      <c r="I785" s="9">
        <v>4343</v>
      </c>
      <c r="J785" s="20" t="s">
        <v>1075</v>
      </c>
      <c r="K785" s="20">
        <v>8002</v>
      </c>
      <c r="L785" s="3" t="str">
        <f t="shared" si="25"/>
        <v>ΑΡΑΒΟΣΙΤΟΣ_ΕΝΣΙΡΩΣΗΣ</v>
      </c>
    </row>
    <row r="786" spans="1:12" s="3" customFormat="1" x14ac:dyDescent="0.25">
      <c r="A786" s="3" t="str">
        <f t="shared" si="24"/>
        <v>ΑΡΑΒΟΣΙΤΟΣ ΕΝΣΙΡΩΣΗΣΑΡΑΒΟΣΙΤΟΣ ΑΛΕΞΑΝΔΡΟΣ</v>
      </c>
      <c r="B786" s="18" t="s">
        <v>1072</v>
      </c>
      <c r="C786" s="19" t="s">
        <v>1556</v>
      </c>
      <c r="D786" s="6">
        <v>1314.55</v>
      </c>
      <c r="E786" s="6">
        <v>1158.28</v>
      </c>
      <c r="F786" s="6" t="s">
        <v>14</v>
      </c>
      <c r="G786" s="8" t="s">
        <v>1557</v>
      </c>
      <c r="H786" s="8" t="s">
        <v>27</v>
      </c>
      <c r="I786" s="9">
        <v>4344</v>
      </c>
      <c r="J786" s="20" t="s">
        <v>1075</v>
      </c>
      <c r="K786" s="20">
        <v>8005</v>
      </c>
      <c r="L786" s="3" t="str">
        <f t="shared" si="25"/>
        <v>ΑΡΑΒΟΣΙΤΟΣ_ΕΝΣΙΡΩΣΗΣ</v>
      </c>
    </row>
    <row r="787" spans="1:12" s="3" customFormat="1" x14ac:dyDescent="0.25">
      <c r="A787" s="3" t="str">
        <f t="shared" si="24"/>
        <v>ΑΡΑΒΟΣΙΤΟΣ ΕΝΣΙΡΩΣΗΣΑΡΑΒΟΣΙΤΟΣ ΑΝΘΙΠΠΗ</v>
      </c>
      <c r="B787" s="18" t="s">
        <v>1072</v>
      </c>
      <c r="C787" s="19" t="s">
        <v>1558</v>
      </c>
      <c r="D787" s="6">
        <v>1314.55</v>
      </c>
      <c r="E787" s="6">
        <v>1158.28</v>
      </c>
      <c r="F787" s="6" t="s">
        <v>14</v>
      </c>
      <c r="G787" s="8" t="s">
        <v>1559</v>
      </c>
      <c r="H787" s="8" t="s">
        <v>27</v>
      </c>
      <c r="I787" s="9">
        <v>4345</v>
      </c>
      <c r="J787" s="20" t="s">
        <v>1075</v>
      </c>
      <c r="K787" s="20">
        <v>8011</v>
      </c>
      <c r="L787" s="3" t="str">
        <f t="shared" si="25"/>
        <v>ΑΡΑΒΟΣΙΤΟΣ_ΕΝΣΙΡΩΣΗΣ</v>
      </c>
    </row>
    <row r="788" spans="1:12" s="3" customFormat="1" x14ac:dyDescent="0.25">
      <c r="A788" s="3" t="str">
        <f t="shared" si="24"/>
        <v>ΑΡΑΒΟΣΙΤΟΣ ΕΝΣΙΡΩΣΗΣΑΡΑΒΟΣΙΤΟΣ ΑΞΙΟΣ</v>
      </c>
      <c r="B788" s="18" t="s">
        <v>1072</v>
      </c>
      <c r="C788" s="19" t="s">
        <v>1560</v>
      </c>
      <c r="D788" s="6">
        <v>1314.55</v>
      </c>
      <c r="E788" s="6">
        <v>1158.28</v>
      </c>
      <c r="F788" s="6" t="s">
        <v>14</v>
      </c>
      <c r="G788" s="8" t="s">
        <v>1561</v>
      </c>
      <c r="H788" s="8" t="s">
        <v>27</v>
      </c>
      <c r="I788" s="9">
        <v>4346</v>
      </c>
      <c r="J788" s="20" t="s">
        <v>1075</v>
      </c>
      <c r="K788" s="20">
        <v>8012</v>
      </c>
      <c r="L788" s="3" t="str">
        <f t="shared" si="25"/>
        <v>ΑΡΑΒΟΣΙΤΟΣ_ΕΝΣΙΡΩΣΗΣ</v>
      </c>
    </row>
    <row r="789" spans="1:12" s="3" customFormat="1" ht="24" x14ac:dyDescent="0.25">
      <c r="A789" s="3" t="str">
        <f t="shared" si="24"/>
        <v>ΑΡΑΒΟΣΙΤΟΣ ΕΝΣΙΡΩΣΗΣΑΡΑΒΟΣΙΤΟΣ ΑΡΗΣ</v>
      </c>
      <c r="B789" s="4" t="s">
        <v>1072</v>
      </c>
      <c r="C789" s="5" t="s">
        <v>1562</v>
      </c>
      <c r="D789" s="6">
        <v>1314.55</v>
      </c>
      <c r="E789" s="6">
        <v>1158.28</v>
      </c>
      <c r="F789" s="7" t="s">
        <v>14</v>
      </c>
      <c r="G789" s="8" t="s">
        <v>1563</v>
      </c>
      <c r="H789" s="8" t="s">
        <v>16</v>
      </c>
      <c r="I789" s="9">
        <v>1973</v>
      </c>
      <c r="J789" s="10" t="s">
        <v>1075</v>
      </c>
      <c r="K789" s="10">
        <v>8014</v>
      </c>
      <c r="L789" s="3" t="str">
        <f t="shared" si="25"/>
        <v>ΑΡΑΒΟΣΙΤΟΣ_ΕΝΣΙΡΩΣΗΣ</v>
      </c>
    </row>
    <row r="790" spans="1:12" s="3" customFormat="1" x14ac:dyDescent="0.25">
      <c r="A790" s="3" t="str">
        <f t="shared" si="24"/>
        <v>ΑΡΑΒΟΣΙΤΟΣ ΕΝΣΙΡΩΣΗΣΑΡΑΒΟΣΙΤΟΣ Z.P 704</v>
      </c>
      <c r="B790" s="18" t="s">
        <v>1072</v>
      </c>
      <c r="C790" s="19" t="s">
        <v>1564</v>
      </c>
      <c r="D790" s="6">
        <v>1314.55</v>
      </c>
      <c r="E790" s="6">
        <v>1158.28</v>
      </c>
      <c r="F790" s="6" t="s">
        <v>14</v>
      </c>
      <c r="G790" s="8" t="s">
        <v>1565</v>
      </c>
      <c r="H790" s="8" t="s">
        <v>27</v>
      </c>
      <c r="I790" s="9">
        <v>4347</v>
      </c>
      <c r="J790" s="20" t="s">
        <v>1075</v>
      </c>
      <c r="K790" s="20">
        <v>8016</v>
      </c>
      <c r="L790" s="3" t="str">
        <f t="shared" si="25"/>
        <v>ΑΡΑΒΟΣΙΤΟΣ_ΕΝΣΙΡΩΣΗΣ</v>
      </c>
    </row>
    <row r="791" spans="1:12" s="3" customFormat="1" ht="24" x14ac:dyDescent="0.25">
      <c r="A791" s="3" t="str">
        <f t="shared" si="24"/>
        <v>ΑΡΑΒΟΣΙΤΟΣΑΡΑΒΟΣΙΤΟΣ AGRISTER</v>
      </c>
      <c r="B791" s="4" t="s">
        <v>1496</v>
      </c>
      <c r="C791" s="5" t="s">
        <v>1086</v>
      </c>
      <c r="D791" s="6">
        <v>1831.09</v>
      </c>
      <c r="E791" s="6">
        <v>1533.82</v>
      </c>
      <c r="F791" s="7" t="s">
        <v>14</v>
      </c>
      <c r="G791" s="8" t="s">
        <v>1566</v>
      </c>
      <c r="H791" s="8" t="s">
        <v>16</v>
      </c>
      <c r="I791" s="9">
        <v>1950</v>
      </c>
      <c r="J791" s="10" t="s">
        <v>1567</v>
      </c>
      <c r="K791" s="10">
        <v>31001</v>
      </c>
      <c r="L791" s="3" t="str">
        <f t="shared" si="25"/>
        <v>ΑΡΑΒΟΣΙΤΟΣ</v>
      </c>
    </row>
    <row r="792" spans="1:12" s="3" customFormat="1" ht="24" x14ac:dyDescent="0.25">
      <c r="A792" s="3" t="str">
        <f t="shared" si="24"/>
        <v>ΑΡΑΒΟΣΙΤΟΣΑΡΑΒΟΣΙΤΟΣ ANTISS</v>
      </c>
      <c r="B792" s="4" t="s">
        <v>1496</v>
      </c>
      <c r="C792" s="5" t="s">
        <v>1088</v>
      </c>
      <c r="D792" s="28">
        <v>1831.09</v>
      </c>
      <c r="E792" s="28">
        <v>1533.82</v>
      </c>
      <c r="F792" s="7" t="s">
        <v>14</v>
      </c>
      <c r="G792" s="8" t="s">
        <v>1568</v>
      </c>
      <c r="H792" s="8" t="s">
        <v>16</v>
      </c>
      <c r="I792" s="9">
        <v>1920</v>
      </c>
      <c r="J792" s="10" t="s">
        <v>1567</v>
      </c>
      <c r="K792" s="10">
        <v>31002</v>
      </c>
      <c r="L792" s="3" t="str">
        <f t="shared" si="25"/>
        <v>ΑΡΑΒΟΣΙΤΟΣ</v>
      </c>
    </row>
    <row r="793" spans="1:12" s="3" customFormat="1" ht="24" x14ac:dyDescent="0.25">
      <c r="A793" s="3" t="str">
        <f t="shared" si="24"/>
        <v>ΑΡΑΒΟΣΙΤΟΣΑΡΑΒΟΣΙΤΟΣ AVELINE</v>
      </c>
      <c r="B793" s="4" t="s">
        <v>1496</v>
      </c>
      <c r="C793" s="5" t="s">
        <v>1090</v>
      </c>
      <c r="D793" s="28">
        <v>1831.09</v>
      </c>
      <c r="E793" s="28">
        <v>1533.82</v>
      </c>
      <c r="F793" s="7" t="s">
        <v>14</v>
      </c>
      <c r="G793" s="8" t="s">
        <v>1569</v>
      </c>
      <c r="H793" s="8" t="s">
        <v>16</v>
      </c>
      <c r="I793" s="9">
        <v>1919</v>
      </c>
      <c r="J793" s="10" t="s">
        <v>1567</v>
      </c>
      <c r="K793" s="10">
        <v>31003</v>
      </c>
      <c r="L793" s="3" t="str">
        <f t="shared" si="25"/>
        <v>ΑΡΑΒΟΣΙΤΟΣ</v>
      </c>
    </row>
    <row r="794" spans="1:12" s="3" customFormat="1" x14ac:dyDescent="0.25">
      <c r="A794" s="3" t="str">
        <f t="shared" si="24"/>
        <v>ΑΡΑΒΟΣΙΤΟΣΑΡΑΒΟΣΙΤΟΣ LG3440</v>
      </c>
      <c r="B794" s="18" t="s">
        <v>1496</v>
      </c>
      <c r="C794" s="19" t="s">
        <v>1570</v>
      </c>
      <c r="D794" s="28">
        <v>1831.09</v>
      </c>
      <c r="E794" s="28">
        <v>1533.82</v>
      </c>
      <c r="F794" s="6" t="s">
        <v>14</v>
      </c>
      <c r="G794" s="8" t="s">
        <v>1571</v>
      </c>
      <c r="H794" s="8" t="s">
        <v>27</v>
      </c>
      <c r="I794" s="9">
        <v>4297</v>
      </c>
      <c r="J794" s="20" t="s">
        <v>1567</v>
      </c>
      <c r="K794" s="20">
        <v>31004</v>
      </c>
      <c r="L794" s="3" t="str">
        <f t="shared" si="25"/>
        <v>ΑΡΑΒΟΣΙΤΟΣ</v>
      </c>
    </row>
    <row r="795" spans="1:12" s="3" customFormat="1" x14ac:dyDescent="0.25">
      <c r="A795" s="3" t="str">
        <f t="shared" si="24"/>
        <v>ΑΡΑΒΟΣΙΤΟΣΑΡΑΒΟΣΙΤΟΣ LG3710</v>
      </c>
      <c r="B795" s="4" t="s">
        <v>1496</v>
      </c>
      <c r="C795" s="5" t="s">
        <v>1572</v>
      </c>
      <c r="D795" s="28">
        <v>1831.09</v>
      </c>
      <c r="E795" s="28">
        <v>1533.82</v>
      </c>
      <c r="F795" s="7" t="s">
        <v>14</v>
      </c>
      <c r="G795" s="8" t="s">
        <v>1573</v>
      </c>
      <c r="H795" s="8" t="s">
        <v>27</v>
      </c>
      <c r="I795" s="9">
        <v>1932</v>
      </c>
      <c r="J795" s="10" t="s">
        <v>1567</v>
      </c>
      <c r="K795" s="10">
        <v>31005</v>
      </c>
      <c r="L795" s="3" t="str">
        <f t="shared" si="25"/>
        <v>ΑΡΑΒΟΣΙΤΟΣ</v>
      </c>
    </row>
    <row r="796" spans="1:12" s="3" customFormat="1" x14ac:dyDescent="0.25">
      <c r="A796" s="3" t="str">
        <f t="shared" si="24"/>
        <v>ΑΡΑΒΟΣΙΤΟΣΑΡΑΒΟΣΙΤΟΣ LG3713</v>
      </c>
      <c r="B796" s="4" t="s">
        <v>1496</v>
      </c>
      <c r="C796" s="5" t="s">
        <v>1574</v>
      </c>
      <c r="D796" s="28">
        <v>1831.09</v>
      </c>
      <c r="E796" s="28">
        <v>1533.82</v>
      </c>
      <c r="F796" s="7" t="s">
        <v>14</v>
      </c>
      <c r="G796" s="8" t="s">
        <v>1575</v>
      </c>
      <c r="H796" s="8" t="s">
        <v>27</v>
      </c>
      <c r="I796" s="9">
        <v>1916</v>
      </c>
      <c r="J796" s="10" t="s">
        <v>1567</v>
      </c>
      <c r="K796" s="10">
        <v>31006</v>
      </c>
      <c r="L796" s="3" t="str">
        <f t="shared" si="25"/>
        <v>ΑΡΑΒΟΣΙΤΟΣ</v>
      </c>
    </row>
    <row r="797" spans="1:12" s="3" customFormat="1" ht="24" x14ac:dyDescent="0.25">
      <c r="A797" s="3" t="str">
        <f t="shared" si="24"/>
        <v>ΑΡΑΒΟΣΙΤΟΣΑΡΑΒΟΣΙΤΟΣ LG30709</v>
      </c>
      <c r="B797" s="4" t="s">
        <v>1496</v>
      </c>
      <c r="C797" s="5" t="s">
        <v>1092</v>
      </c>
      <c r="D797" s="28">
        <v>1831.09</v>
      </c>
      <c r="E797" s="28">
        <v>1533.82</v>
      </c>
      <c r="F797" s="7" t="s">
        <v>14</v>
      </c>
      <c r="G797" s="8" t="s">
        <v>1576</v>
      </c>
      <c r="H797" s="8" t="s">
        <v>16</v>
      </c>
      <c r="I797" s="9">
        <v>1915</v>
      </c>
      <c r="J797" s="10" t="s">
        <v>1567</v>
      </c>
      <c r="K797" s="10">
        <v>31007</v>
      </c>
      <c r="L797" s="3" t="str">
        <f t="shared" si="25"/>
        <v>ΑΡΑΒΟΣΙΤΟΣ</v>
      </c>
    </row>
    <row r="798" spans="1:12" s="3" customFormat="1" ht="24" x14ac:dyDescent="0.25">
      <c r="A798" s="3" t="str">
        <f t="shared" si="24"/>
        <v>ΑΡΑΒΟΣΙΤΟΣΑΡΑΒΟΣΙΤΟΣ LG3490</v>
      </c>
      <c r="B798" s="4" t="s">
        <v>1496</v>
      </c>
      <c r="C798" s="5" t="s">
        <v>1094</v>
      </c>
      <c r="D798" s="28">
        <v>1831.09</v>
      </c>
      <c r="E798" s="28">
        <v>1533.82</v>
      </c>
      <c r="F798" s="7" t="s">
        <v>14</v>
      </c>
      <c r="G798" s="8" t="s">
        <v>1577</v>
      </c>
      <c r="H798" s="8" t="s">
        <v>16</v>
      </c>
      <c r="I798" s="9">
        <v>1926</v>
      </c>
      <c r="J798" s="10" t="s">
        <v>1567</v>
      </c>
      <c r="K798" s="10">
        <v>31008</v>
      </c>
      <c r="L798" s="3" t="str">
        <f t="shared" si="25"/>
        <v>ΑΡΑΒΟΣΙΤΟΣ</v>
      </c>
    </row>
    <row r="799" spans="1:12" s="3" customFormat="1" x14ac:dyDescent="0.25">
      <c r="A799" s="3" t="str">
        <f t="shared" si="24"/>
        <v>ΑΡΑΒΟΣΙΤΟΣΑΡΑΒΟΣΙΤΟΣ LG3535</v>
      </c>
      <c r="B799" s="4" t="s">
        <v>1496</v>
      </c>
      <c r="C799" s="5" t="s">
        <v>1578</v>
      </c>
      <c r="D799" s="28">
        <v>1831.09</v>
      </c>
      <c r="E799" s="28">
        <v>1533.82</v>
      </c>
      <c r="F799" s="7" t="s">
        <v>14</v>
      </c>
      <c r="G799" s="8" t="s">
        <v>1579</v>
      </c>
      <c r="H799" s="8" t="s">
        <v>27</v>
      </c>
      <c r="I799" s="9">
        <v>1876</v>
      </c>
      <c r="J799" s="10" t="s">
        <v>1567</v>
      </c>
      <c r="K799" s="10">
        <v>31009</v>
      </c>
      <c r="L799" s="3" t="str">
        <f t="shared" si="25"/>
        <v>ΑΡΑΒΟΣΙΤΟΣ</v>
      </c>
    </row>
    <row r="800" spans="1:12" s="3" customFormat="1" ht="24" x14ac:dyDescent="0.25">
      <c r="A800" s="3" t="str">
        <f t="shared" si="24"/>
        <v>ΑΡΑΒΟΣΙΤΟΣΑΡΑΒΟΣΙΤΟΣ LG30550</v>
      </c>
      <c r="B800" s="4" t="s">
        <v>1496</v>
      </c>
      <c r="C800" s="5" t="s">
        <v>1096</v>
      </c>
      <c r="D800" s="28">
        <v>1831.09</v>
      </c>
      <c r="E800" s="28">
        <v>1533.82</v>
      </c>
      <c r="F800" s="7" t="s">
        <v>14</v>
      </c>
      <c r="G800" s="8" t="s">
        <v>1580</v>
      </c>
      <c r="H800" s="8" t="s">
        <v>16</v>
      </c>
      <c r="I800" s="9">
        <v>1921</v>
      </c>
      <c r="J800" s="10" t="s">
        <v>1567</v>
      </c>
      <c r="K800" s="10">
        <v>31010</v>
      </c>
      <c r="L800" s="3" t="str">
        <f t="shared" si="25"/>
        <v>ΑΡΑΒΟΣΙΤΟΣ</v>
      </c>
    </row>
    <row r="801" spans="1:12" s="3" customFormat="1" ht="24" x14ac:dyDescent="0.25">
      <c r="A801" s="3" t="str">
        <f t="shared" si="24"/>
        <v>ΑΡΑΒΟΣΙΤΟΣΑΡΑΒΟΣΙΤΟΣ LG30597</v>
      </c>
      <c r="B801" s="4" t="s">
        <v>1496</v>
      </c>
      <c r="C801" s="5" t="s">
        <v>1098</v>
      </c>
      <c r="D801" s="28">
        <v>1831.09</v>
      </c>
      <c r="E801" s="28">
        <v>1533.82</v>
      </c>
      <c r="F801" s="7" t="s">
        <v>14</v>
      </c>
      <c r="G801" s="8" t="s">
        <v>1581</v>
      </c>
      <c r="H801" s="8" t="s">
        <v>16</v>
      </c>
      <c r="I801" s="9">
        <v>1931</v>
      </c>
      <c r="J801" s="10" t="s">
        <v>1567</v>
      </c>
      <c r="K801" s="10">
        <v>31011</v>
      </c>
      <c r="L801" s="3" t="str">
        <f t="shared" si="25"/>
        <v>ΑΡΑΒΟΣΙΤΟΣ</v>
      </c>
    </row>
    <row r="802" spans="1:12" s="3" customFormat="1" x14ac:dyDescent="0.25">
      <c r="A802" s="3" t="str">
        <f t="shared" si="24"/>
        <v>ΑΡΑΒΟΣΙΤΟΣΑΡΑΒΟΣΙΤΟΣ LG30681</v>
      </c>
      <c r="B802" s="4" t="s">
        <v>1496</v>
      </c>
      <c r="C802" s="5" t="s">
        <v>1582</v>
      </c>
      <c r="D802" s="28">
        <v>1831.09</v>
      </c>
      <c r="E802" s="28">
        <v>1533.82</v>
      </c>
      <c r="F802" s="7" t="s">
        <v>14</v>
      </c>
      <c r="G802" s="8" t="s">
        <v>1583</v>
      </c>
      <c r="H802" s="8" t="s">
        <v>27</v>
      </c>
      <c r="I802" s="9">
        <v>1923</v>
      </c>
      <c r="J802" s="10" t="s">
        <v>1567</v>
      </c>
      <c r="K802" s="10">
        <v>31012</v>
      </c>
      <c r="L802" s="3" t="str">
        <f t="shared" si="25"/>
        <v>ΑΡΑΒΟΣΙΤΟΣ</v>
      </c>
    </row>
    <row r="803" spans="1:12" s="3" customFormat="1" ht="24" x14ac:dyDescent="0.25">
      <c r="A803" s="3" t="str">
        <f t="shared" si="24"/>
        <v>ΑΡΑΒΟΣΙΤΟΣΑΡΑΒΟΣΙΤΟΣ GUADIANA</v>
      </c>
      <c r="B803" s="4" t="s">
        <v>1496</v>
      </c>
      <c r="C803" s="5" t="s">
        <v>1100</v>
      </c>
      <c r="D803" s="28">
        <v>1831.09</v>
      </c>
      <c r="E803" s="28">
        <v>1533.82</v>
      </c>
      <c r="F803" s="7" t="s">
        <v>14</v>
      </c>
      <c r="G803" s="8" t="s">
        <v>1584</v>
      </c>
      <c r="H803" s="8" t="s">
        <v>16</v>
      </c>
      <c r="I803" s="9">
        <v>1914</v>
      </c>
      <c r="J803" s="10" t="s">
        <v>1567</v>
      </c>
      <c r="K803" s="10">
        <v>31013</v>
      </c>
      <c r="L803" s="3" t="str">
        <f t="shared" si="25"/>
        <v>ΑΡΑΒΟΣΙΤΟΣ</v>
      </c>
    </row>
    <row r="804" spans="1:12" s="3" customFormat="1" x14ac:dyDescent="0.25">
      <c r="A804" s="3" t="str">
        <f t="shared" si="24"/>
        <v>ΑΡΑΒΟΣΙΤΟΣΑΡΑΒΟΣΙΤΟΣ PONCHO</v>
      </c>
      <c r="B804" s="4" t="s">
        <v>1496</v>
      </c>
      <c r="C804" s="5" t="s">
        <v>1585</v>
      </c>
      <c r="D804" s="6">
        <v>1831.09</v>
      </c>
      <c r="E804" s="6">
        <v>1533.82</v>
      </c>
      <c r="F804" s="7" t="s">
        <v>14</v>
      </c>
      <c r="G804" s="8" t="s">
        <v>1586</v>
      </c>
      <c r="H804" s="8" t="s">
        <v>27</v>
      </c>
      <c r="I804" s="9">
        <v>1925</v>
      </c>
      <c r="J804" s="10" t="s">
        <v>1567</v>
      </c>
      <c r="K804" s="10">
        <v>31014</v>
      </c>
      <c r="L804" s="3" t="str">
        <f t="shared" si="25"/>
        <v>ΑΡΑΒΟΣΙΤΟΣ</v>
      </c>
    </row>
    <row r="805" spans="1:12" s="3" customFormat="1" ht="24" x14ac:dyDescent="0.25">
      <c r="A805" s="3" t="str">
        <f t="shared" si="24"/>
        <v>ΑΡΑΒΟΣΙΤΟΣΑΡΑΒΟΣΙΤΟΣ SY HYDRO</v>
      </c>
      <c r="B805" s="4" t="s">
        <v>1496</v>
      </c>
      <c r="C805" s="5" t="s">
        <v>1102</v>
      </c>
      <c r="D805" s="6">
        <v>1831.09</v>
      </c>
      <c r="E805" s="6">
        <v>1533.82</v>
      </c>
      <c r="F805" s="7" t="s">
        <v>14</v>
      </c>
      <c r="G805" s="8" t="s">
        <v>1587</v>
      </c>
      <c r="H805" s="8" t="s">
        <v>16</v>
      </c>
      <c r="I805" s="9">
        <v>1927</v>
      </c>
      <c r="J805" s="10" t="s">
        <v>1567</v>
      </c>
      <c r="K805" s="10">
        <v>31015</v>
      </c>
      <c r="L805" s="3" t="str">
        <f t="shared" si="25"/>
        <v>ΑΡΑΒΟΣΙΤΟΣ</v>
      </c>
    </row>
    <row r="806" spans="1:12" s="3" customFormat="1" ht="24" x14ac:dyDescent="0.25">
      <c r="A806" s="3" t="str">
        <f t="shared" si="24"/>
        <v>ΑΡΑΒΟΣΙΤΟΣΑΡΑΒΟΣΙΤΟΣ CISKO</v>
      </c>
      <c r="B806" s="4" t="s">
        <v>1496</v>
      </c>
      <c r="C806" s="5" t="s">
        <v>1104</v>
      </c>
      <c r="D806" s="6">
        <v>1831.09</v>
      </c>
      <c r="E806" s="6">
        <v>1533.82</v>
      </c>
      <c r="F806" s="7" t="s">
        <v>14</v>
      </c>
      <c r="G806" s="8" t="s">
        <v>1588</v>
      </c>
      <c r="H806" s="8" t="s">
        <v>16</v>
      </c>
      <c r="I806" s="9">
        <v>1928</v>
      </c>
      <c r="J806" s="10" t="s">
        <v>1567</v>
      </c>
      <c r="K806" s="10">
        <v>31016</v>
      </c>
      <c r="L806" s="3" t="str">
        <f t="shared" si="25"/>
        <v>ΑΡΑΒΟΣΙΤΟΣ</v>
      </c>
    </row>
    <row r="807" spans="1:12" s="3" customFormat="1" ht="24" x14ac:dyDescent="0.25">
      <c r="A807" s="3" t="str">
        <f t="shared" si="24"/>
        <v>ΑΡΑΒΟΣΙΤΟΣΑΡΑΒΟΣΙΤΟΣ SY JULLEN</v>
      </c>
      <c r="B807" s="4" t="s">
        <v>1496</v>
      </c>
      <c r="C807" s="5" t="s">
        <v>1106</v>
      </c>
      <c r="D807" s="6">
        <v>1831.09</v>
      </c>
      <c r="E807" s="6">
        <v>1533.82</v>
      </c>
      <c r="F807" s="7" t="s">
        <v>14</v>
      </c>
      <c r="G807" s="8" t="s">
        <v>1589</v>
      </c>
      <c r="H807" s="8" t="s">
        <v>16</v>
      </c>
      <c r="I807" s="9">
        <v>1929</v>
      </c>
      <c r="J807" s="10" t="s">
        <v>1567</v>
      </c>
      <c r="K807" s="10">
        <v>31017</v>
      </c>
      <c r="L807" s="3" t="str">
        <f t="shared" si="25"/>
        <v>ΑΡΑΒΟΣΙΤΟΣ</v>
      </c>
    </row>
    <row r="808" spans="1:12" s="3" customFormat="1" ht="24" x14ac:dyDescent="0.25">
      <c r="A808" s="3" t="str">
        <f t="shared" si="24"/>
        <v>ΑΡΑΒΟΣΙΤΟΣΑΡΑΒΟΣΙΤΟΣ NK FAMOSO</v>
      </c>
      <c r="B808" s="4" t="s">
        <v>1496</v>
      </c>
      <c r="C808" s="5" t="s">
        <v>1108</v>
      </c>
      <c r="D808" s="6">
        <v>1831.09</v>
      </c>
      <c r="E808" s="6">
        <v>1533.82</v>
      </c>
      <c r="F808" s="7" t="s">
        <v>14</v>
      </c>
      <c r="G808" s="8" t="s">
        <v>1590</v>
      </c>
      <c r="H808" s="8" t="s">
        <v>16</v>
      </c>
      <c r="I808" s="9">
        <v>1930</v>
      </c>
      <c r="J808" s="10" t="s">
        <v>1567</v>
      </c>
      <c r="K808" s="10">
        <v>31018</v>
      </c>
      <c r="L808" s="3" t="str">
        <f t="shared" si="25"/>
        <v>ΑΡΑΒΟΣΙΤΟΣ</v>
      </c>
    </row>
    <row r="809" spans="1:12" s="3" customFormat="1" x14ac:dyDescent="0.25">
      <c r="A809" s="3" t="str">
        <f t="shared" si="24"/>
        <v>ΑΡΑΒΟΣΙΤΟΣΑΡΑΒΟΣΙΤΟΣ NK GIGANTIC</v>
      </c>
      <c r="B809" s="4" t="s">
        <v>1496</v>
      </c>
      <c r="C809" s="5" t="s">
        <v>1591</v>
      </c>
      <c r="D809" s="6">
        <v>1831.09</v>
      </c>
      <c r="E809" s="6">
        <v>1533.82</v>
      </c>
      <c r="F809" s="7" t="s">
        <v>14</v>
      </c>
      <c r="G809" s="8" t="s">
        <v>1592</v>
      </c>
      <c r="H809" s="8" t="s">
        <v>27</v>
      </c>
      <c r="I809" s="9">
        <v>1905</v>
      </c>
      <c r="J809" s="10" t="s">
        <v>1567</v>
      </c>
      <c r="K809" s="10">
        <v>31019</v>
      </c>
      <c r="L809" s="3" t="str">
        <f t="shared" si="25"/>
        <v>ΑΡΑΒΟΣΙΤΟΣ</v>
      </c>
    </row>
    <row r="810" spans="1:12" s="3" customFormat="1" ht="24" x14ac:dyDescent="0.25">
      <c r="A810" s="3" t="str">
        <f t="shared" si="24"/>
        <v>ΑΡΑΒΟΣΙΤΟΣΑΡΑΒΟΣΙΤΟΣ RESERVE</v>
      </c>
      <c r="B810" s="4" t="s">
        <v>1496</v>
      </c>
      <c r="C810" s="5" t="s">
        <v>1073</v>
      </c>
      <c r="D810" s="6">
        <v>1831.09</v>
      </c>
      <c r="E810" s="6">
        <v>1533.82</v>
      </c>
      <c r="F810" s="7" t="s">
        <v>14</v>
      </c>
      <c r="G810" s="8" t="s">
        <v>1593</v>
      </c>
      <c r="H810" s="8" t="s">
        <v>16</v>
      </c>
      <c r="I810" s="9">
        <v>1924</v>
      </c>
      <c r="J810" s="10" t="s">
        <v>1567</v>
      </c>
      <c r="K810" s="10">
        <v>31021</v>
      </c>
      <c r="L810" s="3" t="str">
        <f t="shared" si="25"/>
        <v>ΑΡΑΒΟΣΙΤΟΣ</v>
      </c>
    </row>
    <row r="811" spans="1:12" s="3" customFormat="1" ht="24" x14ac:dyDescent="0.25">
      <c r="A811" s="3" t="str">
        <f t="shared" si="24"/>
        <v>ΑΡΑΒΟΣΙΤΟΣΑΡΑΒΟΣΙΤΟΣ SY COMPETO</v>
      </c>
      <c r="B811" s="4" t="s">
        <v>1496</v>
      </c>
      <c r="C811" s="5" t="s">
        <v>1110</v>
      </c>
      <c r="D811" s="6">
        <v>1831.09</v>
      </c>
      <c r="E811" s="6">
        <v>1533.82</v>
      </c>
      <c r="F811" s="7" t="s">
        <v>14</v>
      </c>
      <c r="G811" s="8" t="s">
        <v>1594</v>
      </c>
      <c r="H811" s="8" t="s">
        <v>16</v>
      </c>
      <c r="I811" s="9">
        <v>1922</v>
      </c>
      <c r="J811" s="10" t="s">
        <v>1567</v>
      </c>
      <c r="K811" s="10">
        <v>31022</v>
      </c>
      <c r="L811" s="3" t="str">
        <f t="shared" si="25"/>
        <v>ΑΡΑΒΟΣΙΤΟΣ</v>
      </c>
    </row>
    <row r="812" spans="1:12" s="3" customFormat="1" ht="24" x14ac:dyDescent="0.25">
      <c r="A812" s="3" t="str">
        <f t="shared" si="24"/>
        <v>ΑΡΑΒΟΣΙΤΟΣΑΡΑΒΟΣΙΤΟΣ SY DECISO</v>
      </c>
      <c r="B812" s="4" t="s">
        <v>1496</v>
      </c>
      <c r="C812" s="5" t="s">
        <v>1112</v>
      </c>
      <c r="D812" s="6">
        <v>1831.09</v>
      </c>
      <c r="E812" s="6">
        <v>1533.82</v>
      </c>
      <c r="F812" s="7" t="s">
        <v>14</v>
      </c>
      <c r="G812" s="8" t="s">
        <v>1595</v>
      </c>
      <c r="H812" s="8" t="s">
        <v>16</v>
      </c>
      <c r="I812" s="9">
        <v>1897</v>
      </c>
      <c r="J812" s="10" t="s">
        <v>1567</v>
      </c>
      <c r="K812" s="10">
        <v>31023</v>
      </c>
      <c r="L812" s="3" t="str">
        <f t="shared" si="25"/>
        <v>ΑΡΑΒΟΣΙΤΟΣ</v>
      </c>
    </row>
    <row r="813" spans="1:12" s="3" customFormat="1" ht="24" x14ac:dyDescent="0.25">
      <c r="A813" s="3" t="str">
        <f t="shared" si="24"/>
        <v>ΑΡΑΒΟΣΙΤΟΣΑΡΑΒΟΣΙΤΟΣ SY INOVE</v>
      </c>
      <c r="B813" s="4" t="s">
        <v>1496</v>
      </c>
      <c r="C813" s="5" t="s">
        <v>1076</v>
      </c>
      <c r="D813" s="6">
        <v>1831.09</v>
      </c>
      <c r="E813" s="6">
        <v>1533.82</v>
      </c>
      <c r="F813" s="7" t="s">
        <v>14</v>
      </c>
      <c r="G813" s="8" t="s">
        <v>1596</v>
      </c>
      <c r="H813" s="8" t="s">
        <v>16</v>
      </c>
      <c r="I813" s="9">
        <v>1898</v>
      </c>
      <c r="J813" s="10" t="s">
        <v>1567</v>
      </c>
      <c r="K813" s="10">
        <v>31024</v>
      </c>
      <c r="L813" s="3" t="str">
        <f t="shared" si="25"/>
        <v>ΑΡΑΒΟΣΙΤΟΣ</v>
      </c>
    </row>
    <row r="814" spans="1:12" s="3" customFormat="1" ht="24" x14ac:dyDescent="0.25">
      <c r="A814" s="3" t="str">
        <f t="shared" si="24"/>
        <v>ΑΡΑΒΟΣΙΤΟΣΑΡΑΒΟΣΙΤΟΣ SY MIAMI</v>
      </c>
      <c r="B814" s="4" t="s">
        <v>1496</v>
      </c>
      <c r="C814" s="5" t="s">
        <v>1114</v>
      </c>
      <c r="D814" s="6">
        <v>1831.09</v>
      </c>
      <c r="E814" s="6">
        <v>1533.82</v>
      </c>
      <c r="F814" s="7" t="s">
        <v>14</v>
      </c>
      <c r="G814" s="8" t="s">
        <v>1597</v>
      </c>
      <c r="H814" s="8" t="s">
        <v>16</v>
      </c>
      <c r="I814" s="9">
        <v>1899</v>
      </c>
      <c r="J814" s="10" t="s">
        <v>1567</v>
      </c>
      <c r="K814" s="10">
        <v>31025</v>
      </c>
      <c r="L814" s="3" t="str">
        <f t="shared" si="25"/>
        <v>ΑΡΑΒΟΣΙΤΟΣ</v>
      </c>
    </row>
    <row r="815" spans="1:12" s="3" customFormat="1" x14ac:dyDescent="0.25">
      <c r="A815" s="3" t="str">
        <f t="shared" si="24"/>
        <v>ΑΡΑΒΟΣΙΤΟΣΑΡΑΒΟΣΙΤΟΣ NKFACTOR</v>
      </c>
      <c r="B815" s="18" t="s">
        <v>1496</v>
      </c>
      <c r="C815" s="19" t="s">
        <v>1598</v>
      </c>
      <c r="D815" s="6">
        <v>1831.09</v>
      </c>
      <c r="E815" s="6">
        <v>1533.82</v>
      </c>
      <c r="F815" s="6" t="s">
        <v>14</v>
      </c>
      <c r="G815" s="8" t="s">
        <v>1599</v>
      </c>
      <c r="H815" s="8" t="s">
        <v>27</v>
      </c>
      <c r="I815" s="9">
        <v>4298</v>
      </c>
      <c r="J815" s="20" t="s">
        <v>1567</v>
      </c>
      <c r="K815" s="20">
        <v>31026</v>
      </c>
      <c r="L815" s="3" t="str">
        <f t="shared" si="25"/>
        <v>ΑΡΑΒΟΣΙΤΟΣ</v>
      </c>
    </row>
    <row r="816" spans="1:12" s="3" customFormat="1" ht="24" x14ac:dyDescent="0.25">
      <c r="A816" s="3" t="str">
        <f t="shared" si="24"/>
        <v>ΑΡΑΒΟΣΙΤΟΣΑΡΑΒΟΣΙΤΟΣ NK PAKO</v>
      </c>
      <c r="B816" s="4" t="s">
        <v>1496</v>
      </c>
      <c r="C816" s="5" t="s">
        <v>1116</v>
      </c>
      <c r="D816" s="6">
        <v>1831.09</v>
      </c>
      <c r="E816" s="6">
        <v>1533.82</v>
      </c>
      <c r="F816" s="7" t="s">
        <v>14</v>
      </c>
      <c r="G816" s="8" t="s">
        <v>1600</v>
      </c>
      <c r="H816" s="8" t="s">
        <v>16</v>
      </c>
      <c r="I816" s="9">
        <v>1900</v>
      </c>
      <c r="J816" s="10" t="s">
        <v>1567</v>
      </c>
      <c r="K816" s="10">
        <v>31027</v>
      </c>
      <c r="L816" s="3" t="str">
        <f t="shared" si="25"/>
        <v>ΑΡΑΒΟΣΙΤΟΣ</v>
      </c>
    </row>
    <row r="817" spans="1:12" s="3" customFormat="1" ht="24" x14ac:dyDescent="0.25">
      <c r="A817" s="3" t="str">
        <f t="shared" si="24"/>
        <v>ΑΡΑΒΟΣΙΤΟΣΑΡΑΒΟΣΙΤΟΣ DKC5276</v>
      </c>
      <c r="B817" s="4" t="s">
        <v>1496</v>
      </c>
      <c r="C817" s="5" t="s">
        <v>1601</v>
      </c>
      <c r="D817" s="6">
        <v>1831.09</v>
      </c>
      <c r="E817" s="6">
        <v>1533.82</v>
      </c>
      <c r="F817" s="7" t="s">
        <v>14</v>
      </c>
      <c r="G817" s="8" t="s">
        <v>1602</v>
      </c>
      <c r="H817" s="8" t="s">
        <v>16</v>
      </c>
      <c r="I817" s="9">
        <v>1901</v>
      </c>
      <c r="J817" s="10" t="s">
        <v>1567</v>
      </c>
      <c r="K817" s="10">
        <v>31028</v>
      </c>
      <c r="L817" s="3" t="str">
        <f t="shared" si="25"/>
        <v>ΑΡΑΒΟΣΙΤΟΣ</v>
      </c>
    </row>
    <row r="818" spans="1:12" s="3" customFormat="1" ht="24" x14ac:dyDescent="0.25">
      <c r="A818" s="3" t="str">
        <f t="shared" si="24"/>
        <v>ΑΡΑΒΟΣΙΤΟΣΑΡΑΒΟΣΙΤΟΣ AGN 720</v>
      </c>
      <c r="B818" s="4" t="s">
        <v>1496</v>
      </c>
      <c r="C818" s="5" t="s">
        <v>1120</v>
      </c>
      <c r="D818" s="6">
        <v>1831.09</v>
      </c>
      <c r="E818" s="6">
        <v>1533.82</v>
      </c>
      <c r="F818" s="7" t="s">
        <v>14</v>
      </c>
      <c r="G818" s="8" t="s">
        <v>1603</v>
      </c>
      <c r="H818" s="8" t="s">
        <v>16</v>
      </c>
      <c r="I818" s="9">
        <v>1902</v>
      </c>
      <c r="J818" s="10" t="s">
        <v>1567</v>
      </c>
      <c r="K818" s="10">
        <v>31029</v>
      </c>
      <c r="L818" s="3" t="str">
        <f t="shared" si="25"/>
        <v>ΑΡΑΒΟΣΙΤΟΣ</v>
      </c>
    </row>
    <row r="819" spans="1:12" s="3" customFormat="1" x14ac:dyDescent="0.25">
      <c r="A819" s="3" t="str">
        <f t="shared" si="24"/>
        <v>ΑΡΑΒΟΣΙΤΟΣΑΡΑΒΟΣΙΤΟΣ ΑΡΑΒΟΣΙΤΟΣ 89ΜΑΥ70</v>
      </c>
      <c r="B819" s="4" t="s">
        <v>1496</v>
      </c>
      <c r="C819" s="5" t="s">
        <v>1604</v>
      </c>
      <c r="D819" s="6">
        <v>1831.09</v>
      </c>
      <c r="E819" s="6">
        <v>1533.82</v>
      </c>
      <c r="F819" s="7" t="s">
        <v>14</v>
      </c>
      <c r="G819" s="8" t="s">
        <v>1605</v>
      </c>
      <c r="H819" s="8" t="s">
        <v>27</v>
      </c>
      <c r="I819" s="9">
        <v>1913</v>
      </c>
      <c r="J819" s="10" t="s">
        <v>1567</v>
      </c>
      <c r="K819" s="10">
        <v>31030</v>
      </c>
      <c r="L819" s="3" t="str">
        <f t="shared" si="25"/>
        <v>ΑΡΑΒΟΣΙΤΟΣ</v>
      </c>
    </row>
    <row r="820" spans="1:12" s="3" customFormat="1" ht="24" x14ac:dyDescent="0.25">
      <c r="A820" s="3" t="str">
        <f t="shared" si="24"/>
        <v>ΑΡΑΒΟΣΙΤΟΣAS 170 SILAZ</v>
      </c>
      <c r="B820" s="4" t="s">
        <v>1496</v>
      </c>
      <c r="C820" s="5" t="s">
        <v>1606</v>
      </c>
      <c r="D820" s="6">
        <v>1831.09</v>
      </c>
      <c r="E820" s="6">
        <v>1533.82</v>
      </c>
      <c r="F820" s="7" t="s">
        <v>14</v>
      </c>
      <c r="G820" s="8" t="s">
        <v>1607</v>
      </c>
      <c r="H820" s="8" t="s">
        <v>16</v>
      </c>
      <c r="I820" s="9">
        <v>1904</v>
      </c>
      <c r="J820" s="10" t="s">
        <v>1567</v>
      </c>
      <c r="K820" s="10">
        <v>31031</v>
      </c>
      <c r="L820" s="3" t="str">
        <f t="shared" si="25"/>
        <v>ΑΡΑΒΟΣΙΤΟΣ</v>
      </c>
    </row>
    <row r="821" spans="1:12" s="3" customFormat="1" ht="24" x14ac:dyDescent="0.25">
      <c r="A821" s="3" t="str">
        <f t="shared" si="24"/>
        <v>ΑΡΑΒΟΣΙΤΟΣAS 537</v>
      </c>
      <c r="B821" s="4" t="s">
        <v>1496</v>
      </c>
      <c r="C821" s="5" t="s">
        <v>1608</v>
      </c>
      <c r="D821" s="6">
        <v>1831.09</v>
      </c>
      <c r="E821" s="6">
        <v>1533.82</v>
      </c>
      <c r="F821" s="7" t="s">
        <v>14</v>
      </c>
      <c r="G821" s="8" t="s">
        <v>1609</v>
      </c>
      <c r="H821" s="8" t="s">
        <v>16</v>
      </c>
      <c r="I821" s="9">
        <v>1896</v>
      </c>
      <c r="J821" s="10" t="s">
        <v>1567</v>
      </c>
      <c r="K821" s="10">
        <v>31032</v>
      </c>
      <c r="L821" s="3" t="str">
        <f t="shared" si="25"/>
        <v>ΑΡΑΒΟΣΙΤΟΣ</v>
      </c>
    </row>
    <row r="822" spans="1:12" s="3" customFormat="1" x14ac:dyDescent="0.25">
      <c r="A822" s="3" t="str">
        <f t="shared" si="24"/>
        <v>ΑΡΑΒΟΣΙΤΟΣΑΡΑΒΟΣΙΤΟΣ PR31D24</v>
      </c>
      <c r="B822" s="4" t="s">
        <v>1496</v>
      </c>
      <c r="C822" s="5" t="s">
        <v>1610</v>
      </c>
      <c r="D822" s="6">
        <v>1831.09</v>
      </c>
      <c r="E822" s="6">
        <v>1533.82</v>
      </c>
      <c r="F822" s="7" t="s">
        <v>14</v>
      </c>
      <c r="G822" s="8" t="s">
        <v>1611</v>
      </c>
      <c r="H822" s="8" t="s">
        <v>27</v>
      </c>
      <c r="I822" s="9">
        <v>1906</v>
      </c>
      <c r="J822" s="10" t="s">
        <v>1567</v>
      </c>
      <c r="K822" s="10">
        <v>31033</v>
      </c>
      <c r="L822" s="3" t="str">
        <f t="shared" si="25"/>
        <v>ΑΡΑΒΟΣΙΤΟΣ</v>
      </c>
    </row>
    <row r="823" spans="1:12" s="3" customFormat="1" ht="24" x14ac:dyDescent="0.25">
      <c r="A823" s="3" t="str">
        <f t="shared" si="24"/>
        <v>ΑΡΑΒΟΣΙΤΟΣΑΡΑΒΟΣΙΤΟΣ DKC6724</v>
      </c>
      <c r="B823" s="4" t="s">
        <v>1496</v>
      </c>
      <c r="C823" s="5" t="s">
        <v>1612</v>
      </c>
      <c r="D823" s="28">
        <v>1831.09</v>
      </c>
      <c r="E823" s="28">
        <v>1533.82</v>
      </c>
      <c r="F823" s="7" t="s">
        <v>14</v>
      </c>
      <c r="G823" s="8" t="s">
        <v>1613</v>
      </c>
      <c r="H823" s="8" t="s">
        <v>16</v>
      </c>
      <c r="I823" s="9">
        <v>1907</v>
      </c>
      <c r="J823" s="10" t="s">
        <v>1567</v>
      </c>
      <c r="K823" s="10">
        <v>31034</v>
      </c>
      <c r="L823" s="3" t="str">
        <f t="shared" si="25"/>
        <v>ΑΡΑΒΟΣΙΤΟΣ</v>
      </c>
    </row>
    <row r="824" spans="1:12" s="3" customFormat="1" ht="24" x14ac:dyDescent="0.25">
      <c r="A824" s="3" t="str">
        <f t="shared" si="24"/>
        <v>ΑΡΑΒΟΣΙΤΟΣΑΡΑΒΟΣΙΤΟΣ SY SENKO</v>
      </c>
      <c r="B824" s="4" t="s">
        <v>1496</v>
      </c>
      <c r="C824" s="5" t="s">
        <v>1128</v>
      </c>
      <c r="D824" s="6">
        <v>1831.09</v>
      </c>
      <c r="E824" s="6">
        <v>1533.82</v>
      </c>
      <c r="F824" s="7" t="s">
        <v>14</v>
      </c>
      <c r="G824" s="8" t="s">
        <v>1614</v>
      </c>
      <c r="H824" s="8" t="s">
        <v>16</v>
      </c>
      <c r="I824" s="9">
        <v>1908</v>
      </c>
      <c r="J824" s="10" t="s">
        <v>1567</v>
      </c>
      <c r="K824" s="10">
        <v>31035</v>
      </c>
      <c r="L824" s="3" t="str">
        <f t="shared" si="25"/>
        <v>ΑΡΑΒΟΣΙΤΟΣ</v>
      </c>
    </row>
    <row r="825" spans="1:12" s="3" customFormat="1" ht="24" x14ac:dyDescent="0.25">
      <c r="A825" s="3" t="str">
        <f t="shared" si="24"/>
        <v>ΑΡΑΒΟΣΙΤΟΣΑΡΑΒΟΣΙΤΟΣ CALGARI</v>
      </c>
      <c r="B825" s="4" t="s">
        <v>1496</v>
      </c>
      <c r="C825" s="5" t="s">
        <v>1615</v>
      </c>
      <c r="D825" s="28">
        <v>1831.09</v>
      </c>
      <c r="E825" s="28">
        <v>1533.82</v>
      </c>
      <c r="F825" s="7" t="s">
        <v>14</v>
      </c>
      <c r="G825" s="8" t="s">
        <v>1616</v>
      </c>
      <c r="H825" s="8" t="s">
        <v>16</v>
      </c>
      <c r="I825" s="9">
        <v>1909</v>
      </c>
      <c r="J825" s="10" t="s">
        <v>1567</v>
      </c>
      <c r="K825" s="10">
        <v>31036</v>
      </c>
      <c r="L825" s="3" t="str">
        <f t="shared" si="25"/>
        <v>ΑΡΑΒΟΣΙΤΟΣ</v>
      </c>
    </row>
    <row r="826" spans="1:12" s="3" customFormat="1" ht="24" x14ac:dyDescent="0.25">
      <c r="A826" s="3" t="str">
        <f t="shared" si="24"/>
        <v>ΑΡΑΒΟΣΙΤΟΣΑΡΑΒΟΣΙΤΟΣ DKC 6442</v>
      </c>
      <c r="B826" s="4" t="s">
        <v>1496</v>
      </c>
      <c r="C826" s="5" t="s">
        <v>1132</v>
      </c>
      <c r="D826" s="6">
        <v>1831.09</v>
      </c>
      <c r="E826" s="6">
        <v>1533.82</v>
      </c>
      <c r="F826" s="7" t="s">
        <v>14</v>
      </c>
      <c r="G826" s="8" t="s">
        <v>1617</v>
      </c>
      <c r="H826" s="8" t="s">
        <v>16</v>
      </c>
      <c r="I826" s="9">
        <v>1910</v>
      </c>
      <c r="J826" s="10" t="s">
        <v>1567</v>
      </c>
      <c r="K826" s="10">
        <v>31037</v>
      </c>
      <c r="L826" s="3" t="str">
        <f t="shared" si="25"/>
        <v>ΑΡΑΒΟΣΙΤΟΣ</v>
      </c>
    </row>
    <row r="827" spans="1:12" s="3" customFormat="1" ht="24" x14ac:dyDescent="0.25">
      <c r="A827" s="3" t="str">
        <f t="shared" si="24"/>
        <v>ΑΡΑΒΟΣΙΤΟΣΑΡΑΒΟΣΙΤΟΣ AS72 AS 72</v>
      </c>
      <c r="B827" s="4" t="s">
        <v>1496</v>
      </c>
      <c r="C827" s="5" t="s">
        <v>1618</v>
      </c>
      <c r="D827" s="28">
        <v>1831.09</v>
      </c>
      <c r="E827" s="28">
        <v>1533.82</v>
      </c>
      <c r="F827" s="7" t="s">
        <v>14</v>
      </c>
      <c r="G827" s="8" t="s">
        <v>1619</v>
      </c>
      <c r="H827" s="8" t="s">
        <v>16</v>
      </c>
      <c r="I827" s="9">
        <v>1911</v>
      </c>
      <c r="J827" s="10" t="s">
        <v>1567</v>
      </c>
      <c r="K827" s="10">
        <v>31038</v>
      </c>
      <c r="L827" s="3" t="str">
        <f t="shared" si="25"/>
        <v>ΑΡΑΒΟΣΙΤΟΣ</v>
      </c>
    </row>
    <row r="828" spans="1:12" s="3" customFormat="1" ht="24" x14ac:dyDescent="0.25">
      <c r="A828" s="3" t="str">
        <f t="shared" si="24"/>
        <v>ΑΡΑΒΟΣΙΤΟΣΑΡΑΒΟΣΙΤΟΣ KEFRANCOS</v>
      </c>
      <c r="B828" s="4" t="s">
        <v>1496</v>
      </c>
      <c r="C828" s="5" t="s">
        <v>1136</v>
      </c>
      <c r="D828" s="28">
        <v>1831.09</v>
      </c>
      <c r="E828" s="28">
        <v>1533.82</v>
      </c>
      <c r="F828" s="7" t="s">
        <v>14</v>
      </c>
      <c r="G828" s="8" t="s">
        <v>1620</v>
      </c>
      <c r="H828" s="8" t="s">
        <v>16</v>
      </c>
      <c r="I828" s="9">
        <v>1912</v>
      </c>
      <c r="J828" s="10" t="s">
        <v>1567</v>
      </c>
      <c r="K828" s="10">
        <v>31039</v>
      </c>
      <c r="L828" s="3" t="str">
        <f t="shared" si="25"/>
        <v>ΑΡΑΒΟΣΙΤΟΣ</v>
      </c>
    </row>
    <row r="829" spans="1:12" s="3" customFormat="1" x14ac:dyDescent="0.25">
      <c r="A829" s="3" t="str">
        <f t="shared" si="24"/>
        <v>ΑΡΑΒΟΣΙΤΟΣΑΡΑΒΟΣΙΤΟΣ BC 678</v>
      </c>
      <c r="B829" s="18" t="s">
        <v>1496</v>
      </c>
      <c r="C829" s="19" t="s">
        <v>1621</v>
      </c>
      <c r="D829" s="28">
        <v>1831.09</v>
      </c>
      <c r="E829" s="28">
        <v>1533.82</v>
      </c>
      <c r="F829" s="6" t="s">
        <v>14</v>
      </c>
      <c r="G829" s="8" t="s">
        <v>1622</v>
      </c>
      <c r="H829" s="8" t="s">
        <v>27</v>
      </c>
      <c r="I829" s="9">
        <v>4634</v>
      </c>
      <c r="J829" s="20" t="s">
        <v>1567</v>
      </c>
      <c r="K829" s="20">
        <v>31040</v>
      </c>
      <c r="L829" s="3" t="str">
        <f t="shared" si="25"/>
        <v>ΑΡΑΒΟΣΙΤΟΣ</v>
      </c>
    </row>
    <row r="830" spans="1:12" s="3" customFormat="1" ht="24" x14ac:dyDescent="0.25">
      <c r="A830" s="3" t="str">
        <f t="shared" si="24"/>
        <v>ΑΡΑΒΟΣΙΤΟΣΑΡΑΒΟΣΙΤΟΣ DUGI</v>
      </c>
      <c r="B830" s="4" t="s">
        <v>1496</v>
      </c>
      <c r="C830" s="5" t="s">
        <v>1138</v>
      </c>
      <c r="D830" s="28">
        <v>1831.09</v>
      </c>
      <c r="E830" s="28">
        <v>1533.82</v>
      </c>
      <c r="F830" s="7" t="s">
        <v>14</v>
      </c>
      <c r="G830" s="8" t="s">
        <v>1623</v>
      </c>
      <c r="H830" s="8" t="s">
        <v>16</v>
      </c>
      <c r="I830" s="9">
        <v>1903</v>
      </c>
      <c r="J830" s="10" t="s">
        <v>1567</v>
      </c>
      <c r="K830" s="10">
        <v>31041</v>
      </c>
      <c r="L830" s="3" t="str">
        <f t="shared" si="25"/>
        <v>ΑΡΑΒΟΣΙΤΟΣ</v>
      </c>
    </row>
    <row r="831" spans="1:12" s="3" customFormat="1" ht="24" x14ac:dyDescent="0.25">
      <c r="A831" s="3" t="str">
        <f t="shared" si="24"/>
        <v>ΑΡΑΒΟΣΙΤΟΣΑΡΑΒΟΣΙΤΟΣ P1565</v>
      </c>
      <c r="B831" s="4" t="s">
        <v>1496</v>
      </c>
      <c r="C831" s="5" t="s">
        <v>1140</v>
      </c>
      <c r="D831" s="6">
        <v>1831.09</v>
      </c>
      <c r="E831" s="6">
        <v>1533.82</v>
      </c>
      <c r="F831" s="7" t="s">
        <v>14</v>
      </c>
      <c r="G831" s="8" t="s">
        <v>1624</v>
      </c>
      <c r="H831" s="8" t="s">
        <v>16</v>
      </c>
      <c r="I831" s="9">
        <v>1948</v>
      </c>
      <c r="J831" s="10" t="s">
        <v>1567</v>
      </c>
      <c r="K831" s="10">
        <v>31042</v>
      </c>
      <c r="L831" s="3" t="str">
        <f t="shared" si="25"/>
        <v>ΑΡΑΒΟΣΙΤΟΣ</v>
      </c>
    </row>
    <row r="832" spans="1:12" s="3" customFormat="1" ht="24" x14ac:dyDescent="0.25">
      <c r="A832" s="3" t="str">
        <f t="shared" si="24"/>
        <v>ΑΡΑΒΟΣΙΤΟΣΑΡΑΒΟΣΙΤΟΣ MAS 66C</v>
      </c>
      <c r="B832" s="4" t="s">
        <v>1496</v>
      </c>
      <c r="C832" s="5" t="s">
        <v>1142</v>
      </c>
      <c r="D832" s="28">
        <v>1831.09</v>
      </c>
      <c r="E832" s="28">
        <v>1533.82</v>
      </c>
      <c r="F832" s="7" t="s">
        <v>14</v>
      </c>
      <c r="G832" s="8" t="s">
        <v>1625</v>
      </c>
      <c r="H832" s="8" t="s">
        <v>16</v>
      </c>
      <c r="I832" s="9">
        <v>1966</v>
      </c>
      <c r="J832" s="10" t="s">
        <v>1567</v>
      </c>
      <c r="K832" s="10">
        <v>31043</v>
      </c>
      <c r="L832" s="3" t="str">
        <f t="shared" si="25"/>
        <v>ΑΡΑΒΟΣΙΤΟΣ</v>
      </c>
    </row>
    <row r="833" spans="1:12" s="3" customFormat="1" ht="24" x14ac:dyDescent="0.25">
      <c r="A833" s="3" t="str">
        <f t="shared" si="24"/>
        <v>ΑΡΑΒΟΣΙΤΟΣΑΡΑΒΟΣΙΤΟΣ KALUMET</v>
      </c>
      <c r="B833" s="4" t="s">
        <v>1496</v>
      </c>
      <c r="C833" s="5" t="s">
        <v>1144</v>
      </c>
      <c r="D833" s="28">
        <v>1831.09</v>
      </c>
      <c r="E833" s="28">
        <v>1533.82</v>
      </c>
      <c r="F833" s="7" t="s">
        <v>14</v>
      </c>
      <c r="G833" s="8" t="s">
        <v>1626</v>
      </c>
      <c r="H833" s="8" t="s">
        <v>16</v>
      </c>
      <c r="I833" s="9">
        <v>1968</v>
      </c>
      <c r="J833" s="10" t="s">
        <v>1567</v>
      </c>
      <c r="K833" s="10">
        <v>31044</v>
      </c>
      <c r="L833" s="3" t="str">
        <f t="shared" si="25"/>
        <v>ΑΡΑΒΟΣΙΤΟΣ</v>
      </c>
    </row>
    <row r="834" spans="1:12" s="3" customFormat="1" ht="24" x14ac:dyDescent="0.25">
      <c r="A834" s="3" t="str">
        <f t="shared" si="24"/>
        <v>ΑΡΑΒΟΣΙΤΟΣΑΡΑΒΟΣΙΤΟΣ COLONIA</v>
      </c>
      <c r="B834" s="4" t="s">
        <v>1496</v>
      </c>
      <c r="C834" s="5" t="s">
        <v>1146</v>
      </c>
      <c r="D834" s="6">
        <v>1831.09</v>
      </c>
      <c r="E834" s="6">
        <v>1533.82</v>
      </c>
      <c r="F834" s="7" t="s">
        <v>14</v>
      </c>
      <c r="G834" s="8" t="s">
        <v>1627</v>
      </c>
      <c r="H834" s="8" t="s">
        <v>16</v>
      </c>
      <c r="I834" s="9">
        <v>1969</v>
      </c>
      <c r="J834" s="10" t="s">
        <v>1567</v>
      </c>
      <c r="K834" s="10">
        <v>31045</v>
      </c>
      <c r="L834" s="3" t="str">
        <f t="shared" si="25"/>
        <v>ΑΡΑΒΟΣΙΤΟΣ</v>
      </c>
    </row>
    <row r="835" spans="1:12" s="3" customFormat="1" ht="24" x14ac:dyDescent="0.25">
      <c r="A835" s="3" t="str">
        <f t="shared" ref="A835:A898" si="26">_xlfn.CONCAT(B835,C835)</f>
        <v>ΑΡΑΒΟΣΙΤΟΣΑΡΑΒΟΣΙΤΟΣ KERMESS</v>
      </c>
      <c r="B835" s="4" t="s">
        <v>1496</v>
      </c>
      <c r="C835" s="5" t="s">
        <v>1148</v>
      </c>
      <c r="D835" s="28">
        <v>1831.09</v>
      </c>
      <c r="E835" s="28">
        <v>1533.82</v>
      </c>
      <c r="F835" s="7" t="s">
        <v>14</v>
      </c>
      <c r="G835" s="8" t="s">
        <v>1628</v>
      </c>
      <c r="H835" s="8" t="s">
        <v>16</v>
      </c>
      <c r="I835" s="9">
        <v>1954</v>
      </c>
      <c r="J835" s="10" t="s">
        <v>1567</v>
      </c>
      <c r="K835" s="10">
        <v>31046</v>
      </c>
      <c r="L835" s="3" t="str">
        <f t="shared" ref="L835:L898" si="27">IFERROR(SUBSTITUTE(SUBSTITUTE(SUBSTITUTE(SUBSTITUTE(SUBSTITUTE(B835, "-", "_"), " ", "_"), ",", ""), "(", ""), ")", ""), B835)</f>
        <v>ΑΡΑΒΟΣΙΤΟΣ</v>
      </c>
    </row>
    <row r="836" spans="1:12" s="3" customFormat="1" ht="24" x14ac:dyDescent="0.25">
      <c r="A836" s="3" t="str">
        <f t="shared" si="26"/>
        <v>ΑΡΑΒΟΣΙΤΟΣΑΡΑΒΟΣΙΤΟΣ PR31Y43</v>
      </c>
      <c r="B836" s="4" t="s">
        <v>1496</v>
      </c>
      <c r="C836" s="5" t="s">
        <v>1629</v>
      </c>
      <c r="D836" s="6">
        <v>1831.09</v>
      </c>
      <c r="E836" s="6">
        <v>1533.82</v>
      </c>
      <c r="F836" s="7" t="s">
        <v>14</v>
      </c>
      <c r="G836" s="8" t="s">
        <v>1630</v>
      </c>
      <c r="H836" s="8" t="s">
        <v>16</v>
      </c>
      <c r="I836" s="9">
        <v>1953</v>
      </c>
      <c r="J836" s="10" t="s">
        <v>1567</v>
      </c>
      <c r="K836" s="10">
        <v>31047</v>
      </c>
      <c r="L836" s="3" t="str">
        <f t="shared" si="27"/>
        <v>ΑΡΑΒΟΣΙΤΟΣ</v>
      </c>
    </row>
    <row r="837" spans="1:12" s="3" customFormat="1" ht="24" x14ac:dyDescent="0.25">
      <c r="A837" s="3" t="str">
        <f t="shared" si="26"/>
        <v>ΑΡΑΒΟΣΙΤΟΣΑΡΑΒΟΣΙΤΟΣ AS 730</v>
      </c>
      <c r="B837" s="4" t="s">
        <v>1496</v>
      </c>
      <c r="C837" s="5" t="s">
        <v>1150</v>
      </c>
      <c r="D837" s="28">
        <v>1831.09</v>
      </c>
      <c r="E837" s="28">
        <v>1533.82</v>
      </c>
      <c r="F837" s="7" t="s">
        <v>14</v>
      </c>
      <c r="G837" s="8" t="s">
        <v>1631</v>
      </c>
      <c r="H837" s="8" t="s">
        <v>16</v>
      </c>
      <c r="I837" s="9">
        <v>1958</v>
      </c>
      <c r="J837" s="10" t="s">
        <v>1567</v>
      </c>
      <c r="K837" s="10">
        <v>31048</v>
      </c>
      <c r="L837" s="3" t="str">
        <f t="shared" si="27"/>
        <v>ΑΡΑΒΟΣΙΤΟΣ</v>
      </c>
    </row>
    <row r="838" spans="1:12" s="3" customFormat="1" ht="24" x14ac:dyDescent="0.25">
      <c r="A838" s="3" t="str">
        <f t="shared" si="26"/>
        <v>ΑΡΑΒΟΣΙΤΟΣΑΡΑΒΟΣΙΤΟΣ AS5M10</v>
      </c>
      <c r="B838" s="4" t="s">
        <v>1496</v>
      </c>
      <c r="C838" s="5" t="s">
        <v>1152</v>
      </c>
      <c r="D838" s="28">
        <v>1831.09</v>
      </c>
      <c r="E838" s="28">
        <v>1533.82</v>
      </c>
      <c r="F838" s="7" t="s">
        <v>14</v>
      </c>
      <c r="G838" s="8" t="s">
        <v>1632</v>
      </c>
      <c r="H838" s="8" t="s">
        <v>16</v>
      </c>
      <c r="I838" s="9">
        <v>1955</v>
      </c>
      <c r="J838" s="10" t="s">
        <v>1567</v>
      </c>
      <c r="K838" s="10">
        <v>31049</v>
      </c>
      <c r="L838" s="3" t="str">
        <f t="shared" si="27"/>
        <v>ΑΡΑΒΟΣΙΤΟΣ</v>
      </c>
    </row>
    <row r="839" spans="1:12" s="3" customFormat="1" ht="24" x14ac:dyDescent="0.25">
      <c r="A839" s="3" t="str">
        <f t="shared" si="26"/>
        <v>ΑΡΑΒΟΣΙΤΟΣΑΡΑΒΟΣΙΤΟΣ EGEAN</v>
      </c>
      <c r="B839" s="4" t="s">
        <v>1496</v>
      </c>
      <c r="C839" s="5" t="s">
        <v>1154</v>
      </c>
      <c r="D839" s="28">
        <v>1831.09</v>
      </c>
      <c r="E839" s="28">
        <v>1533.82</v>
      </c>
      <c r="F839" s="7" t="s">
        <v>14</v>
      </c>
      <c r="G839" s="8" t="s">
        <v>1633</v>
      </c>
      <c r="H839" s="8" t="s">
        <v>16</v>
      </c>
      <c r="I839" s="9">
        <v>1956</v>
      </c>
      <c r="J839" s="10" t="s">
        <v>1567</v>
      </c>
      <c r="K839" s="10">
        <v>31050</v>
      </c>
      <c r="L839" s="3" t="str">
        <f t="shared" si="27"/>
        <v>ΑΡΑΒΟΣΙΤΟΣ</v>
      </c>
    </row>
    <row r="840" spans="1:12" s="3" customFormat="1" ht="24" x14ac:dyDescent="0.25">
      <c r="A840" s="3" t="str">
        <f t="shared" si="26"/>
        <v>ΑΡΑΒΟΣΙΤΟΣΑΡΑΒΟΣΙΤΟΣ FLAME</v>
      </c>
      <c r="B840" s="4" t="s">
        <v>1496</v>
      </c>
      <c r="C840" s="5" t="s">
        <v>1156</v>
      </c>
      <c r="D840" s="28">
        <v>1831.09</v>
      </c>
      <c r="E840" s="28">
        <v>1533.82</v>
      </c>
      <c r="F840" s="7" t="s">
        <v>14</v>
      </c>
      <c r="G840" s="8" t="s">
        <v>1634</v>
      </c>
      <c r="H840" s="8" t="s">
        <v>16</v>
      </c>
      <c r="I840" s="9">
        <v>1959</v>
      </c>
      <c r="J840" s="10" t="s">
        <v>1567</v>
      </c>
      <c r="K840" s="10">
        <v>31051</v>
      </c>
      <c r="L840" s="3" t="str">
        <f t="shared" si="27"/>
        <v>ΑΡΑΒΟΣΙΤΟΣ</v>
      </c>
    </row>
    <row r="841" spans="1:12" s="3" customFormat="1" ht="24" x14ac:dyDescent="0.25">
      <c r="A841" s="3" t="str">
        <f t="shared" si="26"/>
        <v>ΑΡΑΒΟΣΙΤΟΣΑΡΑΒΟΣΙΤΟΣ GW 1282</v>
      </c>
      <c r="B841" s="4" t="s">
        <v>1496</v>
      </c>
      <c r="C841" s="5" t="s">
        <v>1158</v>
      </c>
      <c r="D841" s="6">
        <v>1831.09</v>
      </c>
      <c r="E841" s="6">
        <v>1533.82</v>
      </c>
      <c r="F841" s="7" t="s">
        <v>14</v>
      </c>
      <c r="G841" s="8" t="s">
        <v>1635</v>
      </c>
      <c r="H841" s="8" t="s">
        <v>16</v>
      </c>
      <c r="I841" s="9">
        <v>1952</v>
      </c>
      <c r="J841" s="10" t="s">
        <v>1567</v>
      </c>
      <c r="K841" s="10">
        <v>31052</v>
      </c>
      <c r="L841" s="3" t="str">
        <f t="shared" si="27"/>
        <v>ΑΡΑΒΟΣΙΤΟΣ</v>
      </c>
    </row>
    <row r="842" spans="1:12" s="3" customFormat="1" ht="24" x14ac:dyDescent="0.25">
      <c r="A842" s="3" t="str">
        <f t="shared" si="26"/>
        <v xml:space="preserve">ΑΡΑΒΟΣΙΤΟΣΑΡΑΒΟΣΙΤΟΣ GW 2110 </v>
      </c>
      <c r="B842" s="4" t="s">
        <v>1496</v>
      </c>
      <c r="C842" s="5" t="s">
        <v>1160</v>
      </c>
      <c r="D842" s="6">
        <v>1831.09</v>
      </c>
      <c r="E842" s="6">
        <v>1533.82</v>
      </c>
      <c r="F842" s="7" t="s">
        <v>14</v>
      </c>
      <c r="G842" s="8" t="s">
        <v>1636</v>
      </c>
      <c r="H842" s="8" t="s">
        <v>16</v>
      </c>
      <c r="I842" s="9">
        <v>1960</v>
      </c>
      <c r="J842" s="10" t="s">
        <v>1567</v>
      </c>
      <c r="K842" s="10">
        <v>31053</v>
      </c>
      <c r="L842" s="3" t="str">
        <f t="shared" si="27"/>
        <v>ΑΡΑΒΟΣΙΤΟΣ</v>
      </c>
    </row>
    <row r="843" spans="1:12" s="3" customFormat="1" ht="24" x14ac:dyDescent="0.25">
      <c r="A843" s="3" t="str">
        <f t="shared" si="26"/>
        <v>ΑΡΑΒΟΣΙΤΟΣΑΡΑΒΟΣΙΤΟΣ GW 3436</v>
      </c>
      <c r="B843" s="4" t="s">
        <v>1496</v>
      </c>
      <c r="C843" s="5" t="s">
        <v>1162</v>
      </c>
      <c r="D843" s="6">
        <v>1831.09</v>
      </c>
      <c r="E843" s="6">
        <v>1533.82</v>
      </c>
      <c r="F843" s="7" t="s">
        <v>14</v>
      </c>
      <c r="G843" s="8" t="s">
        <v>1637</v>
      </c>
      <c r="H843" s="8" t="s">
        <v>16</v>
      </c>
      <c r="I843" s="9">
        <v>1961</v>
      </c>
      <c r="J843" s="10" t="s">
        <v>1567</v>
      </c>
      <c r="K843" s="10">
        <v>31054</v>
      </c>
      <c r="L843" s="3" t="str">
        <f t="shared" si="27"/>
        <v>ΑΡΑΒΟΣΙΤΟΣ</v>
      </c>
    </row>
    <row r="844" spans="1:12" s="3" customFormat="1" ht="24" x14ac:dyDescent="0.25">
      <c r="A844" s="3" t="str">
        <f t="shared" si="26"/>
        <v>ΑΡΑΒΟΣΙΤΟΣΑΡΑΒΟΣΙΤΟΣ GW 3808</v>
      </c>
      <c r="B844" s="4" t="s">
        <v>1496</v>
      </c>
      <c r="C844" s="5" t="s">
        <v>1164</v>
      </c>
      <c r="D844" s="6">
        <v>1831.09</v>
      </c>
      <c r="E844" s="6">
        <v>1533.82</v>
      </c>
      <c r="F844" s="7" t="s">
        <v>14</v>
      </c>
      <c r="G844" s="8" t="s">
        <v>1638</v>
      </c>
      <c r="H844" s="8" t="s">
        <v>16</v>
      </c>
      <c r="I844" s="9">
        <v>1963</v>
      </c>
      <c r="J844" s="10" t="s">
        <v>1567</v>
      </c>
      <c r="K844" s="10">
        <v>31055</v>
      </c>
      <c r="L844" s="3" t="str">
        <f t="shared" si="27"/>
        <v>ΑΡΑΒΟΣΙΤΟΣ</v>
      </c>
    </row>
    <row r="845" spans="1:12" s="3" customFormat="1" x14ac:dyDescent="0.25">
      <c r="A845" s="3" t="str">
        <f t="shared" si="26"/>
        <v>ΑΡΑΒΟΣΙΤΟΣΑΡΑΒΟΣΙΤΟΣ GW 572</v>
      </c>
      <c r="B845" s="4" t="s">
        <v>1496</v>
      </c>
      <c r="C845" s="5" t="s">
        <v>1639</v>
      </c>
      <c r="D845" s="6">
        <v>1831.09</v>
      </c>
      <c r="E845" s="6">
        <v>1533.82</v>
      </c>
      <c r="F845" s="7" t="s">
        <v>14</v>
      </c>
      <c r="G845" s="8" t="s">
        <v>1640</v>
      </c>
      <c r="H845" s="8" t="s">
        <v>27</v>
      </c>
      <c r="I845" s="9">
        <v>1962</v>
      </c>
      <c r="J845" s="10" t="s">
        <v>1567</v>
      </c>
      <c r="K845" s="10">
        <v>31056</v>
      </c>
      <c r="L845" s="3" t="str">
        <f t="shared" si="27"/>
        <v>ΑΡΑΒΟΣΙΤΟΣ</v>
      </c>
    </row>
    <row r="846" spans="1:12" s="3" customFormat="1" ht="24" x14ac:dyDescent="0.25">
      <c r="A846" s="3" t="str">
        <f t="shared" si="26"/>
        <v>ΑΡΑΒΟΣΙΤΟΣΑΡΑΒΟΣΙΤΟΣ HARIS NS</v>
      </c>
      <c r="B846" s="4" t="s">
        <v>1496</v>
      </c>
      <c r="C846" s="5" t="s">
        <v>1166</v>
      </c>
      <c r="D846" s="28">
        <v>1831.09</v>
      </c>
      <c r="E846" s="28">
        <v>1533.82</v>
      </c>
      <c r="F846" s="7" t="s">
        <v>14</v>
      </c>
      <c r="G846" s="8" t="s">
        <v>1641</v>
      </c>
      <c r="H846" s="8" t="s">
        <v>16</v>
      </c>
      <c r="I846" s="9">
        <v>1967</v>
      </c>
      <c r="J846" s="10" t="s">
        <v>1567</v>
      </c>
      <c r="K846" s="10">
        <v>31057</v>
      </c>
      <c r="L846" s="3" t="str">
        <f t="shared" si="27"/>
        <v>ΑΡΑΒΟΣΙΤΟΣ</v>
      </c>
    </row>
    <row r="847" spans="1:12" s="3" customFormat="1" x14ac:dyDescent="0.25">
      <c r="A847" s="3" t="str">
        <f t="shared" si="26"/>
        <v>ΑΡΑΒΟΣΙΤΟΣΑΡΑΒΟΣΙΤΟΣ MARI NS</v>
      </c>
      <c r="B847" s="18" t="s">
        <v>1496</v>
      </c>
      <c r="C847" s="19" t="s">
        <v>1642</v>
      </c>
      <c r="D847" s="28">
        <v>1831.09</v>
      </c>
      <c r="E847" s="28">
        <v>1533.82</v>
      </c>
      <c r="F847" s="6" t="s">
        <v>14</v>
      </c>
      <c r="G847" s="8" t="s">
        <v>1643</v>
      </c>
      <c r="H847" s="8" t="s">
        <v>27</v>
      </c>
      <c r="I847" s="9">
        <v>4637</v>
      </c>
      <c r="J847" s="20" t="s">
        <v>1567</v>
      </c>
      <c r="K847" s="20">
        <v>31058</v>
      </c>
      <c r="L847" s="3" t="str">
        <f t="shared" si="27"/>
        <v>ΑΡΑΒΟΣΙΤΟΣ</v>
      </c>
    </row>
    <row r="848" spans="1:12" s="3" customFormat="1" ht="24" x14ac:dyDescent="0.25">
      <c r="A848" s="3" t="str">
        <f t="shared" si="26"/>
        <v>ΑΡΑΒΟΣΙΤΟΣΑΡΑΒΟΣΙΤΟΣ MAS 54T</v>
      </c>
      <c r="B848" s="4" t="s">
        <v>1496</v>
      </c>
      <c r="C848" s="5" t="s">
        <v>1168</v>
      </c>
      <c r="D848" s="28">
        <v>1831.09</v>
      </c>
      <c r="E848" s="28">
        <v>1533.82</v>
      </c>
      <c r="F848" s="7" t="s">
        <v>14</v>
      </c>
      <c r="G848" s="8" t="s">
        <v>1644</v>
      </c>
      <c r="H848" s="8" t="s">
        <v>16</v>
      </c>
      <c r="I848" s="9">
        <v>1965</v>
      </c>
      <c r="J848" s="10" t="s">
        <v>1567</v>
      </c>
      <c r="K848" s="10">
        <v>31059</v>
      </c>
      <c r="L848" s="3" t="str">
        <f t="shared" si="27"/>
        <v>ΑΡΑΒΟΣΙΤΟΣ</v>
      </c>
    </row>
    <row r="849" spans="1:12" s="3" customFormat="1" ht="24" x14ac:dyDescent="0.25">
      <c r="A849" s="3" t="str">
        <f t="shared" si="26"/>
        <v>ΑΡΑΒΟΣΙΤΟΣΑΡΑΒΟΣΙΤΟΣ ODYSSEAS</v>
      </c>
      <c r="B849" s="4" t="s">
        <v>1496</v>
      </c>
      <c r="C849" s="5" t="s">
        <v>1170</v>
      </c>
      <c r="D849" s="6">
        <v>1831.09</v>
      </c>
      <c r="E849" s="6">
        <v>1533.82</v>
      </c>
      <c r="F849" s="7" t="s">
        <v>14</v>
      </c>
      <c r="G849" s="8" t="s">
        <v>1645</v>
      </c>
      <c r="H849" s="8" t="s">
        <v>16</v>
      </c>
      <c r="I849" s="9">
        <v>1964</v>
      </c>
      <c r="J849" s="10" t="s">
        <v>1567</v>
      </c>
      <c r="K849" s="10">
        <v>31060</v>
      </c>
      <c r="L849" s="3" t="str">
        <f t="shared" si="27"/>
        <v>ΑΡΑΒΟΣΙΤΟΣ</v>
      </c>
    </row>
    <row r="850" spans="1:12" s="3" customFormat="1" ht="24" x14ac:dyDescent="0.25">
      <c r="A850" s="3" t="str">
        <f t="shared" si="26"/>
        <v>ΑΡΑΒΟΣΙΤΟΣΑΡΑΒΟΣΙΤΟΣ STATUS</v>
      </c>
      <c r="B850" s="4" t="s">
        <v>1496</v>
      </c>
      <c r="C850" s="5" t="s">
        <v>1172</v>
      </c>
      <c r="D850" s="6">
        <v>1831.09</v>
      </c>
      <c r="E850" s="6">
        <v>1533.82</v>
      </c>
      <c r="F850" s="7" t="s">
        <v>14</v>
      </c>
      <c r="G850" s="8" t="s">
        <v>1646</v>
      </c>
      <c r="H850" s="8" t="s">
        <v>16</v>
      </c>
      <c r="I850" s="9">
        <v>1941</v>
      </c>
      <c r="J850" s="10" t="s">
        <v>1567</v>
      </c>
      <c r="K850" s="10">
        <v>31061</v>
      </c>
      <c r="L850" s="3" t="str">
        <f t="shared" si="27"/>
        <v>ΑΡΑΒΟΣΙΤΟΣ</v>
      </c>
    </row>
    <row r="851" spans="1:12" s="3" customFormat="1" ht="24" x14ac:dyDescent="0.25">
      <c r="A851" s="3" t="str">
        <f t="shared" si="26"/>
        <v>ΑΡΑΒΟΣΙΤΟΣΑΡΑΒΟΣΙΤΟΣ DIAS</v>
      </c>
      <c r="B851" s="4" t="s">
        <v>1496</v>
      </c>
      <c r="C851" s="5" t="s">
        <v>1174</v>
      </c>
      <c r="D851" s="6">
        <v>1831.09</v>
      </c>
      <c r="E851" s="6">
        <v>1533.82</v>
      </c>
      <c r="F851" s="7" t="s">
        <v>14</v>
      </c>
      <c r="G851" s="8" t="s">
        <v>1647</v>
      </c>
      <c r="H851" s="8" t="s">
        <v>16</v>
      </c>
      <c r="I851" s="9">
        <v>1934</v>
      </c>
      <c r="J851" s="10" t="s">
        <v>1567</v>
      </c>
      <c r="K851" s="10">
        <v>31062</v>
      </c>
      <c r="L851" s="3" t="str">
        <f t="shared" si="27"/>
        <v>ΑΡΑΒΟΣΙΤΟΣ</v>
      </c>
    </row>
    <row r="852" spans="1:12" s="3" customFormat="1" ht="24" x14ac:dyDescent="0.25">
      <c r="A852" s="3" t="str">
        <f t="shared" si="26"/>
        <v xml:space="preserve">ΑΡΑΒΟΣΙΤΟΣΑΡΑΒΟΣΙΤΟΣ GW 8008 </v>
      </c>
      <c r="B852" s="4" t="s">
        <v>1496</v>
      </c>
      <c r="C852" s="5" t="s">
        <v>1176</v>
      </c>
      <c r="D852" s="6">
        <v>1831.09</v>
      </c>
      <c r="E852" s="6">
        <v>1533.82</v>
      </c>
      <c r="F852" s="7" t="s">
        <v>14</v>
      </c>
      <c r="G852" s="8" t="s">
        <v>1648</v>
      </c>
      <c r="H852" s="8" t="s">
        <v>16</v>
      </c>
      <c r="I852" s="9">
        <v>1935</v>
      </c>
      <c r="J852" s="10" t="s">
        <v>1567</v>
      </c>
      <c r="K852" s="10">
        <v>31063</v>
      </c>
      <c r="L852" s="3" t="str">
        <f t="shared" si="27"/>
        <v>ΑΡΑΒΟΣΙΤΟΣ</v>
      </c>
    </row>
    <row r="853" spans="1:12" s="3" customFormat="1" ht="24" x14ac:dyDescent="0.25">
      <c r="A853" s="3" t="str">
        <f t="shared" si="26"/>
        <v>ΑΡΑΒΟΣΙΤΟΣΑΡΑΒΟΣΙΤΟΣ GW 8266</v>
      </c>
      <c r="B853" s="4" t="s">
        <v>1496</v>
      </c>
      <c r="C853" s="5" t="s">
        <v>1178</v>
      </c>
      <c r="D853" s="6">
        <v>1831.09</v>
      </c>
      <c r="E853" s="6">
        <v>1533.82</v>
      </c>
      <c r="F853" s="7" t="s">
        <v>14</v>
      </c>
      <c r="G853" s="8" t="s">
        <v>1649</v>
      </c>
      <c r="H853" s="8" t="s">
        <v>16</v>
      </c>
      <c r="I853" s="9">
        <v>1936</v>
      </c>
      <c r="J853" s="10" t="s">
        <v>1567</v>
      </c>
      <c r="K853" s="10">
        <v>31064</v>
      </c>
      <c r="L853" s="3" t="str">
        <f t="shared" si="27"/>
        <v>ΑΡΑΒΟΣΙΤΟΣ</v>
      </c>
    </row>
    <row r="854" spans="1:12" s="3" customFormat="1" ht="24" x14ac:dyDescent="0.25">
      <c r="A854" s="3" t="str">
        <f t="shared" si="26"/>
        <v>ΑΡΑΒΟΣΙΤΟΣΑΡΑΒΟΣΙΤΟΣ WHANGAMATA</v>
      </c>
      <c r="B854" s="4" t="s">
        <v>1496</v>
      </c>
      <c r="C854" s="5" t="s">
        <v>1180</v>
      </c>
      <c r="D854" s="6">
        <v>1831.09</v>
      </c>
      <c r="E854" s="6">
        <v>1533.82</v>
      </c>
      <c r="F854" s="7" t="s">
        <v>14</v>
      </c>
      <c r="G854" s="8" t="s">
        <v>1650</v>
      </c>
      <c r="H854" s="8" t="s">
        <v>16</v>
      </c>
      <c r="I854" s="9">
        <v>1937</v>
      </c>
      <c r="J854" s="10" t="s">
        <v>1567</v>
      </c>
      <c r="K854" s="10">
        <v>31065</v>
      </c>
      <c r="L854" s="3" t="str">
        <f t="shared" si="27"/>
        <v>ΑΡΑΒΟΣΙΤΟΣ</v>
      </c>
    </row>
    <row r="855" spans="1:12" s="3" customFormat="1" ht="24" x14ac:dyDescent="0.25">
      <c r="A855" s="3" t="str">
        <f t="shared" si="26"/>
        <v>ΑΡΑΒΟΣΙΤΟΣΑΡΑΒΟΣΙΤΟΣ AGN 520</v>
      </c>
      <c r="B855" s="4" t="s">
        <v>1496</v>
      </c>
      <c r="C855" s="5" t="s">
        <v>1182</v>
      </c>
      <c r="D855" s="6">
        <v>1831.09</v>
      </c>
      <c r="E855" s="6">
        <v>1533.82</v>
      </c>
      <c r="F855" s="7" t="s">
        <v>14</v>
      </c>
      <c r="G855" s="8" t="s">
        <v>1651</v>
      </c>
      <c r="H855" s="8" t="s">
        <v>16</v>
      </c>
      <c r="I855" s="9">
        <v>1943</v>
      </c>
      <c r="J855" s="10" t="s">
        <v>1567</v>
      </c>
      <c r="K855" s="10">
        <v>31066</v>
      </c>
      <c r="L855" s="3" t="str">
        <f t="shared" si="27"/>
        <v>ΑΡΑΒΟΣΙΤΟΣ</v>
      </c>
    </row>
    <row r="856" spans="1:12" s="3" customFormat="1" ht="24" x14ac:dyDescent="0.25">
      <c r="A856" s="3" t="str">
        <f t="shared" si="26"/>
        <v>ΑΡΑΒΟΣΙΤΟΣΑΡΑΒΟΣΙΤΟΣ AGN 717</v>
      </c>
      <c r="B856" s="4" t="s">
        <v>1496</v>
      </c>
      <c r="C856" s="5" t="s">
        <v>1184</v>
      </c>
      <c r="D856" s="6">
        <v>1831.09</v>
      </c>
      <c r="E856" s="6">
        <v>1533.82</v>
      </c>
      <c r="F856" s="7" t="s">
        <v>14</v>
      </c>
      <c r="G856" s="8" t="s">
        <v>1652</v>
      </c>
      <c r="H856" s="8" t="s">
        <v>16</v>
      </c>
      <c r="I856" s="9">
        <v>1938</v>
      </c>
      <c r="J856" s="10" t="s">
        <v>1567</v>
      </c>
      <c r="K856" s="10">
        <v>31067</v>
      </c>
      <c r="L856" s="3" t="str">
        <f t="shared" si="27"/>
        <v>ΑΡΑΒΟΣΙΤΟΣ</v>
      </c>
    </row>
    <row r="857" spans="1:12" s="3" customFormat="1" ht="24" x14ac:dyDescent="0.25">
      <c r="A857" s="3" t="str">
        <f t="shared" si="26"/>
        <v>ΑΡΑΒΟΣΙΤΟΣΑΡΑΒΟΣΙΤΟΣ AGN 735</v>
      </c>
      <c r="B857" s="4" t="s">
        <v>1496</v>
      </c>
      <c r="C857" s="5" t="s">
        <v>1186</v>
      </c>
      <c r="D857" s="6">
        <v>1831.09</v>
      </c>
      <c r="E857" s="6">
        <v>1533.82</v>
      </c>
      <c r="F857" s="7" t="s">
        <v>14</v>
      </c>
      <c r="G857" s="8" t="s">
        <v>1653</v>
      </c>
      <c r="H857" s="8" t="s">
        <v>16</v>
      </c>
      <c r="I857" s="9">
        <v>1957</v>
      </c>
      <c r="J857" s="10" t="s">
        <v>1567</v>
      </c>
      <c r="K857" s="10">
        <v>31068</v>
      </c>
      <c r="L857" s="3" t="str">
        <f t="shared" si="27"/>
        <v>ΑΡΑΒΟΣΙΤΟΣ</v>
      </c>
    </row>
    <row r="858" spans="1:12" s="3" customFormat="1" ht="24" x14ac:dyDescent="0.25">
      <c r="A858" s="3" t="str">
        <f t="shared" si="26"/>
        <v>ΑΡΑΒΟΣΙΤΟΣΑΡΑΒΟΣΙΤΟΣ DANDI</v>
      </c>
      <c r="B858" s="4" t="s">
        <v>1496</v>
      </c>
      <c r="C858" s="5" t="s">
        <v>1188</v>
      </c>
      <c r="D858" s="6">
        <v>1831.09</v>
      </c>
      <c r="E858" s="6">
        <v>1533.82</v>
      </c>
      <c r="F858" s="7" t="s">
        <v>14</v>
      </c>
      <c r="G858" s="8" t="s">
        <v>1654</v>
      </c>
      <c r="H858" s="8" t="s">
        <v>16</v>
      </c>
      <c r="I858" s="9">
        <v>1939</v>
      </c>
      <c r="J858" s="10" t="s">
        <v>1567</v>
      </c>
      <c r="K858" s="10">
        <v>31069</v>
      </c>
      <c r="L858" s="3" t="str">
        <f t="shared" si="27"/>
        <v>ΑΡΑΒΟΣΙΤΟΣ</v>
      </c>
    </row>
    <row r="859" spans="1:12" s="3" customFormat="1" ht="24" x14ac:dyDescent="0.25">
      <c r="A859" s="3" t="str">
        <f t="shared" si="26"/>
        <v>ΑΡΑΒΟΣΙΤΟΣΑΡΑΒΟΣΙΤΟΣ GW 0185</v>
      </c>
      <c r="B859" s="4" t="s">
        <v>1496</v>
      </c>
      <c r="C859" s="5" t="s">
        <v>1190</v>
      </c>
      <c r="D859" s="6">
        <v>1831.09</v>
      </c>
      <c r="E859" s="6">
        <v>1533.82</v>
      </c>
      <c r="F859" s="7" t="s">
        <v>14</v>
      </c>
      <c r="G859" s="8" t="s">
        <v>1655</v>
      </c>
      <c r="H859" s="8" t="s">
        <v>16</v>
      </c>
      <c r="I859" s="9">
        <v>1940</v>
      </c>
      <c r="J859" s="10" t="s">
        <v>1567</v>
      </c>
      <c r="K859" s="10">
        <v>31070</v>
      </c>
      <c r="L859" s="3" t="str">
        <f t="shared" si="27"/>
        <v>ΑΡΑΒΟΣΙΤΟΣ</v>
      </c>
    </row>
    <row r="860" spans="1:12" s="3" customFormat="1" ht="24" x14ac:dyDescent="0.25">
      <c r="A860" s="3" t="str">
        <f t="shared" si="26"/>
        <v xml:space="preserve">ΑΡΑΒΟΣΙΤΟΣΑΡΑΒΟΣΙΤΟΣ GW 0494 </v>
      </c>
      <c r="B860" s="4" t="s">
        <v>1496</v>
      </c>
      <c r="C860" s="5" t="s">
        <v>1192</v>
      </c>
      <c r="D860" s="6">
        <v>1831.09</v>
      </c>
      <c r="E860" s="6">
        <v>1533.82</v>
      </c>
      <c r="F860" s="7" t="s">
        <v>14</v>
      </c>
      <c r="G860" s="8" t="s">
        <v>1656</v>
      </c>
      <c r="H860" s="8" t="s">
        <v>16</v>
      </c>
      <c r="I860" s="9">
        <v>1951</v>
      </c>
      <c r="J860" s="10" t="s">
        <v>1567</v>
      </c>
      <c r="K860" s="10">
        <v>31071</v>
      </c>
      <c r="L860" s="3" t="str">
        <f t="shared" si="27"/>
        <v>ΑΡΑΒΟΣΙΤΟΣ</v>
      </c>
    </row>
    <row r="861" spans="1:12" s="3" customFormat="1" ht="24" x14ac:dyDescent="0.25">
      <c r="A861" s="3" t="str">
        <f t="shared" si="26"/>
        <v>ΑΡΑΒΟΣΙΤΟΣΑΡΑΒΟΣΙΤΟΣ GW 8002</v>
      </c>
      <c r="B861" s="4" t="s">
        <v>1496</v>
      </c>
      <c r="C861" s="5" t="s">
        <v>1194</v>
      </c>
      <c r="D861" s="6">
        <v>1831.09</v>
      </c>
      <c r="E861" s="6">
        <v>1533.82</v>
      </c>
      <c r="F861" s="7" t="s">
        <v>14</v>
      </c>
      <c r="G861" s="8" t="s">
        <v>1657</v>
      </c>
      <c r="H861" s="8" t="s">
        <v>16</v>
      </c>
      <c r="I861" s="9">
        <v>1942</v>
      </c>
      <c r="J861" s="10" t="s">
        <v>1567</v>
      </c>
      <c r="K861" s="10">
        <v>31072</v>
      </c>
      <c r="L861" s="3" t="str">
        <f t="shared" si="27"/>
        <v>ΑΡΑΒΟΣΙΤΟΣ</v>
      </c>
    </row>
    <row r="862" spans="1:12" s="3" customFormat="1" ht="24" x14ac:dyDescent="0.25">
      <c r="A862" s="3" t="str">
        <f t="shared" si="26"/>
        <v>ΑΡΑΒΟΣΙΤΟΣΑΡΑΒΟΣΙΤΟΣ GW 8430</v>
      </c>
      <c r="B862" s="4" t="s">
        <v>1496</v>
      </c>
      <c r="C862" s="5" t="s">
        <v>1196</v>
      </c>
      <c r="D862" s="6">
        <v>1831.09</v>
      </c>
      <c r="E862" s="6">
        <v>1533.82</v>
      </c>
      <c r="F862" s="7" t="s">
        <v>14</v>
      </c>
      <c r="G862" s="8" t="s">
        <v>1658</v>
      </c>
      <c r="H862" s="8" t="s">
        <v>16</v>
      </c>
      <c r="I862" s="9">
        <v>1946</v>
      </c>
      <c r="J862" s="10" t="s">
        <v>1567</v>
      </c>
      <c r="K862" s="10">
        <v>31073</v>
      </c>
      <c r="L862" s="3" t="str">
        <f t="shared" si="27"/>
        <v>ΑΡΑΒΟΣΙΤΟΣ</v>
      </c>
    </row>
    <row r="863" spans="1:12" s="3" customFormat="1" ht="24" x14ac:dyDescent="0.25">
      <c r="A863" s="3" t="str">
        <f t="shared" si="26"/>
        <v>ΑΡΑΒΟΣΙΤΟΣΑΡΑΒΟΣΙΤΟΣ GW 8691</v>
      </c>
      <c r="B863" s="4" t="s">
        <v>1496</v>
      </c>
      <c r="C863" s="5" t="s">
        <v>1198</v>
      </c>
      <c r="D863" s="6">
        <v>1831.09</v>
      </c>
      <c r="E863" s="6">
        <v>1533.82</v>
      </c>
      <c r="F863" s="7" t="s">
        <v>14</v>
      </c>
      <c r="G863" s="8" t="s">
        <v>1659</v>
      </c>
      <c r="H863" s="8" t="s">
        <v>16</v>
      </c>
      <c r="I863" s="9">
        <v>1947</v>
      </c>
      <c r="J863" s="10" t="s">
        <v>1567</v>
      </c>
      <c r="K863" s="10">
        <v>31074</v>
      </c>
      <c r="L863" s="3" t="str">
        <f t="shared" si="27"/>
        <v>ΑΡΑΒΟΣΙΤΟΣ</v>
      </c>
    </row>
    <row r="864" spans="1:12" s="3" customFormat="1" ht="24" x14ac:dyDescent="0.25">
      <c r="A864" s="3" t="str">
        <f t="shared" si="26"/>
        <v>ΑΡΑΒΟΣΙΤΟΣΑΡΑΒΟΣΙΤΟΣ MPOUMPOULINA</v>
      </c>
      <c r="B864" s="4" t="s">
        <v>1496</v>
      </c>
      <c r="C864" s="5" t="s">
        <v>1200</v>
      </c>
      <c r="D864" s="28">
        <v>1831.09</v>
      </c>
      <c r="E864" s="28">
        <v>1533.82</v>
      </c>
      <c r="F864" s="7" t="s">
        <v>14</v>
      </c>
      <c r="G864" s="8" t="s">
        <v>1660</v>
      </c>
      <c r="H864" s="8" t="s">
        <v>16</v>
      </c>
      <c r="I864" s="9">
        <v>1944</v>
      </c>
      <c r="J864" s="10" t="s">
        <v>1567</v>
      </c>
      <c r="K864" s="10">
        <v>31075</v>
      </c>
      <c r="L864" s="3" t="str">
        <f t="shared" si="27"/>
        <v>ΑΡΑΒΟΣΙΤΟΣ</v>
      </c>
    </row>
    <row r="865" spans="1:12" s="3" customFormat="1" ht="24" x14ac:dyDescent="0.25">
      <c r="A865" s="3" t="str">
        <f t="shared" si="26"/>
        <v>ΑΡΑΒΟΣΙΤΟΣΑΡΑΒΟΣΙΤΟΣ ZOLA</v>
      </c>
      <c r="B865" s="4" t="s">
        <v>1496</v>
      </c>
      <c r="C865" s="5" t="s">
        <v>1202</v>
      </c>
      <c r="D865" s="6">
        <v>1831.09</v>
      </c>
      <c r="E865" s="6">
        <v>1533.82</v>
      </c>
      <c r="F865" s="7" t="s">
        <v>14</v>
      </c>
      <c r="G865" s="8" t="s">
        <v>1661</v>
      </c>
      <c r="H865" s="8" t="s">
        <v>16</v>
      </c>
      <c r="I865" s="9">
        <v>1933</v>
      </c>
      <c r="J865" s="10" t="s">
        <v>1567</v>
      </c>
      <c r="K865" s="10">
        <v>31076</v>
      </c>
      <c r="L865" s="3" t="str">
        <f t="shared" si="27"/>
        <v>ΑΡΑΒΟΣΙΤΟΣ</v>
      </c>
    </row>
    <row r="866" spans="1:12" s="3" customFormat="1" ht="24" x14ac:dyDescent="0.25">
      <c r="A866" s="3" t="str">
        <f t="shared" si="26"/>
        <v>ΑΡΑΒΟΣΙΤΟΣΑΡΑΒΟΣΙΤΟΣ AGN 715</v>
      </c>
      <c r="B866" s="4" t="s">
        <v>1496</v>
      </c>
      <c r="C866" s="5" t="s">
        <v>1204</v>
      </c>
      <c r="D866" s="6">
        <v>1831.09</v>
      </c>
      <c r="E866" s="6">
        <v>1533.82</v>
      </c>
      <c r="F866" s="7" t="s">
        <v>14</v>
      </c>
      <c r="G866" s="8" t="s">
        <v>1662</v>
      </c>
      <c r="H866" s="8" t="s">
        <v>16</v>
      </c>
      <c r="I866" s="9">
        <v>1949</v>
      </c>
      <c r="J866" s="10" t="s">
        <v>1567</v>
      </c>
      <c r="K866" s="10">
        <v>31077</v>
      </c>
      <c r="L866" s="3" t="str">
        <f t="shared" si="27"/>
        <v>ΑΡΑΒΟΣΙΤΟΣ</v>
      </c>
    </row>
    <row r="867" spans="1:12" s="3" customFormat="1" ht="24" x14ac:dyDescent="0.25">
      <c r="A867" s="3" t="str">
        <f t="shared" si="26"/>
        <v>ΑΡΑΒΟΣΙΤΟΣΑΡΑΒΟΣΙΤΟΣ JETA</v>
      </c>
      <c r="B867" s="4" t="s">
        <v>1496</v>
      </c>
      <c r="C867" s="5" t="s">
        <v>1206</v>
      </c>
      <c r="D867" s="28">
        <v>1831.09</v>
      </c>
      <c r="E867" s="28">
        <v>1533.82</v>
      </c>
      <c r="F867" s="7" t="s">
        <v>14</v>
      </c>
      <c r="G867" s="8" t="s">
        <v>1663</v>
      </c>
      <c r="H867" s="8" t="s">
        <v>16</v>
      </c>
      <c r="I867" s="9">
        <v>1945</v>
      </c>
      <c r="J867" s="10" t="s">
        <v>1567</v>
      </c>
      <c r="K867" s="10">
        <v>31078</v>
      </c>
      <c r="L867" s="3" t="str">
        <f t="shared" si="27"/>
        <v>ΑΡΑΒΟΣΙΤΟΣ</v>
      </c>
    </row>
    <row r="868" spans="1:12" s="3" customFormat="1" ht="24" x14ac:dyDescent="0.25">
      <c r="A868" s="3" t="str">
        <f t="shared" si="26"/>
        <v>ΑΡΑΒΟΣΙΤΟΣΑΡΑΒΟΣΙΤΟΣ JOLLY</v>
      </c>
      <c r="B868" s="4" t="s">
        <v>1496</v>
      </c>
      <c r="C868" s="5" t="s">
        <v>1208</v>
      </c>
      <c r="D868" s="28">
        <v>1831.09</v>
      </c>
      <c r="E868" s="28">
        <v>1533.82</v>
      </c>
      <c r="F868" s="7" t="s">
        <v>14</v>
      </c>
      <c r="G868" s="8" t="s">
        <v>1664</v>
      </c>
      <c r="H868" s="8" t="s">
        <v>16</v>
      </c>
      <c r="I868" s="9">
        <v>1918</v>
      </c>
      <c r="J868" s="10" t="s">
        <v>1567</v>
      </c>
      <c r="K868" s="10">
        <v>31079</v>
      </c>
      <c r="L868" s="3" t="str">
        <f t="shared" si="27"/>
        <v>ΑΡΑΒΟΣΙΤΟΣ</v>
      </c>
    </row>
    <row r="869" spans="1:12" s="3" customFormat="1" ht="24" x14ac:dyDescent="0.25">
      <c r="A869" s="3" t="str">
        <f t="shared" si="26"/>
        <v>ΑΡΑΒΟΣΙΤΟΣΑΡΑΒΟΣΙΤΟΣ KONSUR</v>
      </c>
      <c r="B869" s="4" t="s">
        <v>1496</v>
      </c>
      <c r="C869" s="5" t="s">
        <v>1210</v>
      </c>
      <c r="D869" s="28">
        <v>1831.09</v>
      </c>
      <c r="E869" s="28">
        <v>1533.82</v>
      </c>
      <c r="F869" s="7" t="s">
        <v>14</v>
      </c>
      <c r="G869" s="8" t="s">
        <v>1665</v>
      </c>
      <c r="H869" s="8" t="s">
        <v>16</v>
      </c>
      <c r="I869" s="9">
        <v>1879</v>
      </c>
      <c r="J869" s="10" t="s">
        <v>1567</v>
      </c>
      <c r="K869" s="10">
        <v>31080</v>
      </c>
      <c r="L869" s="3" t="str">
        <f t="shared" si="27"/>
        <v>ΑΡΑΒΟΣΙΤΟΣ</v>
      </c>
    </row>
    <row r="870" spans="1:12" s="3" customFormat="1" ht="24" x14ac:dyDescent="0.25">
      <c r="A870" s="3" t="str">
        <f t="shared" si="26"/>
        <v>ΑΡΑΒΟΣΙΤΟΣΑΡΑΒΟΣΙΤΟΣ PIROS NS</v>
      </c>
      <c r="B870" s="4" t="s">
        <v>1496</v>
      </c>
      <c r="C870" s="5" t="s">
        <v>1212</v>
      </c>
      <c r="D870" s="6">
        <v>1831.09</v>
      </c>
      <c r="E870" s="6">
        <v>1533.82</v>
      </c>
      <c r="F870" s="7" t="s">
        <v>14</v>
      </c>
      <c r="G870" s="8" t="s">
        <v>1666</v>
      </c>
      <c r="H870" s="8" t="s">
        <v>16</v>
      </c>
      <c r="I870" s="9">
        <v>1843</v>
      </c>
      <c r="J870" s="10" t="s">
        <v>1567</v>
      </c>
      <c r="K870" s="10">
        <v>31081</v>
      </c>
      <c r="L870" s="3" t="str">
        <f t="shared" si="27"/>
        <v>ΑΡΑΒΟΣΙΤΟΣ</v>
      </c>
    </row>
    <row r="871" spans="1:12" s="3" customFormat="1" ht="24" x14ac:dyDescent="0.25">
      <c r="A871" s="3" t="str">
        <f t="shared" si="26"/>
        <v>ΑΡΑΒΟΣΙΤΟΣΑΡΑΒΟΣΙΤΟΣ ZP 717</v>
      </c>
      <c r="B871" s="4" t="s">
        <v>1496</v>
      </c>
      <c r="C871" s="5" t="s">
        <v>1214</v>
      </c>
      <c r="D871" s="6">
        <v>1831.09</v>
      </c>
      <c r="E871" s="6">
        <v>1533.82</v>
      </c>
      <c r="F871" s="7" t="s">
        <v>14</v>
      </c>
      <c r="G871" s="8" t="s">
        <v>1667</v>
      </c>
      <c r="H871" s="8" t="s">
        <v>16</v>
      </c>
      <c r="I871" s="9">
        <v>1844</v>
      </c>
      <c r="J871" s="10" t="s">
        <v>1567</v>
      </c>
      <c r="K871" s="10">
        <v>31082</v>
      </c>
      <c r="L871" s="3" t="str">
        <f t="shared" si="27"/>
        <v>ΑΡΑΒΟΣΙΤΟΣ</v>
      </c>
    </row>
    <row r="872" spans="1:12" s="3" customFormat="1" ht="24" x14ac:dyDescent="0.25">
      <c r="A872" s="3" t="str">
        <f t="shared" si="26"/>
        <v>ΑΡΑΒΟΣΙΤΟΣΑΡΑΒΟΣΙΤΟΣ ZP 758</v>
      </c>
      <c r="B872" s="4" t="s">
        <v>1496</v>
      </c>
      <c r="C872" s="5" t="s">
        <v>1216</v>
      </c>
      <c r="D872" s="6">
        <v>1831.09</v>
      </c>
      <c r="E872" s="6">
        <v>1533.82</v>
      </c>
      <c r="F872" s="7" t="s">
        <v>14</v>
      </c>
      <c r="G872" s="8" t="s">
        <v>1668</v>
      </c>
      <c r="H872" s="8" t="s">
        <v>16</v>
      </c>
      <c r="I872" s="9">
        <v>1845</v>
      </c>
      <c r="J872" s="10" t="s">
        <v>1567</v>
      </c>
      <c r="K872" s="10">
        <v>31083</v>
      </c>
      <c r="L872" s="3" t="str">
        <f t="shared" si="27"/>
        <v>ΑΡΑΒΟΣΙΤΟΣ</v>
      </c>
    </row>
    <row r="873" spans="1:12" s="3" customFormat="1" ht="24" x14ac:dyDescent="0.25">
      <c r="A873" s="3" t="str">
        <f t="shared" si="26"/>
        <v>ΑΡΑΒΟΣΙΤΟΣΑΡΑΒΟΣΙΤΟΣ AGN 340</v>
      </c>
      <c r="B873" s="4" t="s">
        <v>1496</v>
      </c>
      <c r="C873" s="5" t="s">
        <v>1218</v>
      </c>
      <c r="D873" s="6">
        <v>1831.09</v>
      </c>
      <c r="E873" s="6">
        <v>1533.82</v>
      </c>
      <c r="F873" s="7" t="s">
        <v>14</v>
      </c>
      <c r="G873" s="8" t="s">
        <v>1669</v>
      </c>
      <c r="H873" s="8" t="s">
        <v>16</v>
      </c>
      <c r="I873" s="9">
        <v>1846</v>
      </c>
      <c r="J873" s="10" t="s">
        <v>1567</v>
      </c>
      <c r="K873" s="10">
        <v>31084</v>
      </c>
      <c r="L873" s="3" t="str">
        <f t="shared" si="27"/>
        <v>ΑΡΑΒΟΣΙΤΟΣ</v>
      </c>
    </row>
    <row r="874" spans="1:12" s="3" customFormat="1" ht="24" x14ac:dyDescent="0.25">
      <c r="A874" s="3" t="str">
        <f t="shared" si="26"/>
        <v>ΑΡΑΒΟΣΙΤΟΣΑΡΑΒΟΣΙΤΟΣ AS 66</v>
      </c>
      <c r="B874" s="4" t="s">
        <v>1496</v>
      </c>
      <c r="C874" s="5" t="s">
        <v>1220</v>
      </c>
      <c r="D874" s="28">
        <v>1831.09</v>
      </c>
      <c r="E874" s="28">
        <v>1533.82</v>
      </c>
      <c r="F874" s="7" t="s">
        <v>14</v>
      </c>
      <c r="G874" s="8" t="s">
        <v>1670</v>
      </c>
      <c r="H874" s="8" t="s">
        <v>16</v>
      </c>
      <c r="I874" s="9">
        <v>1847</v>
      </c>
      <c r="J874" s="10" t="s">
        <v>1567</v>
      </c>
      <c r="K874" s="10">
        <v>31085</v>
      </c>
      <c r="L874" s="3" t="str">
        <f t="shared" si="27"/>
        <v>ΑΡΑΒΟΣΙΤΟΣ</v>
      </c>
    </row>
    <row r="875" spans="1:12" s="3" customFormat="1" ht="24" x14ac:dyDescent="0.25">
      <c r="A875" s="3" t="str">
        <f t="shared" si="26"/>
        <v>ΑΡΑΒΟΣΙΤΟΣΑΡΑΒΟΣΙΤΟΣ GW 9003</v>
      </c>
      <c r="B875" s="4" t="s">
        <v>1496</v>
      </c>
      <c r="C875" s="5" t="s">
        <v>1222</v>
      </c>
      <c r="D875" s="6">
        <v>1831.09</v>
      </c>
      <c r="E875" s="6">
        <v>1533.82</v>
      </c>
      <c r="F875" s="7" t="s">
        <v>14</v>
      </c>
      <c r="G875" s="8" t="s">
        <v>1671</v>
      </c>
      <c r="H875" s="8" t="s">
        <v>16</v>
      </c>
      <c r="I875" s="9">
        <v>1848</v>
      </c>
      <c r="J875" s="10" t="s">
        <v>1567</v>
      </c>
      <c r="K875" s="10">
        <v>31086</v>
      </c>
      <c r="L875" s="3" t="str">
        <f t="shared" si="27"/>
        <v>ΑΡΑΒΟΣΙΤΟΣ</v>
      </c>
    </row>
    <row r="876" spans="1:12" s="3" customFormat="1" ht="24" x14ac:dyDescent="0.25">
      <c r="A876" s="3" t="str">
        <f t="shared" si="26"/>
        <v>ΑΡΑΒΟΣΙΤΟΣΑΡΑΒΟΣΙΤΟΣ ISABETA</v>
      </c>
      <c r="B876" s="4" t="s">
        <v>1496</v>
      </c>
      <c r="C876" s="5" t="s">
        <v>1672</v>
      </c>
      <c r="D876" s="28">
        <v>1831.09</v>
      </c>
      <c r="E876" s="28">
        <v>1533.82</v>
      </c>
      <c r="F876" s="7" t="s">
        <v>14</v>
      </c>
      <c r="G876" s="8" t="s">
        <v>1673</v>
      </c>
      <c r="H876" s="8" t="s">
        <v>16</v>
      </c>
      <c r="I876" s="9">
        <v>1859</v>
      </c>
      <c r="J876" s="10" t="s">
        <v>1567</v>
      </c>
      <c r="K876" s="10">
        <v>31087</v>
      </c>
      <c r="L876" s="3" t="str">
        <f t="shared" si="27"/>
        <v>ΑΡΑΒΟΣΙΤΟΣ</v>
      </c>
    </row>
    <row r="877" spans="1:12" s="3" customFormat="1" x14ac:dyDescent="0.25">
      <c r="A877" s="3" t="str">
        <f t="shared" si="26"/>
        <v>ΑΡΑΒΟΣΙΤΟΣΑΡΑΒΟΣΙΤΟΣ UNIMEZA</v>
      </c>
      <c r="B877" s="4" t="s">
        <v>1496</v>
      </c>
      <c r="C877" s="5" t="s">
        <v>1674</v>
      </c>
      <c r="D877" s="6">
        <v>1831.09</v>
      </c>
      <c r="E877" s="6">
        <v>1533.82</v>
      </c>
      <c r="F877" s="7" t="s">
        <v>14</v>
      </c>
      <c r="G877" s="8" t="s">
        <v>1675</v>
      </c>
      <c r="H877" s="8" t="s">
        <v>27</v>
      </c>
      <c r="I877" s="9">
        <v>1850</v>
      </c>
      <c r="J877" s="10" t="s">
        <v>1567</v>
      </c>
      <c r="K877" s="10">
        <v>31088</v>
      </c>
      <c r="L877" s="3" t="str">
        <f t="shared" si="27"/>
        <v>ΑΡΑΒΟΣΙΤΟΣ</v>
      </c>
    </row>
    <row r="878" spans="1:12" s="3" customFormat="1" ht="24" x14ac:dyDescent="0.25">
      <c r="A878" s="3" t="str">
        <f t="shared" si="26"/>
        <v>ΑΡΑΒΟΣΙΤΟΣΑΡΑΒΟΣΙΤΟΣ AGN 625</v>
      </c>
      <c r="B878" s="4" t="s">
        <v>1496</v>
      </c>
      <c r="C878" s="5" t="s">
        <v>1226</v>
      </c>
      <c r="D878" s="6">
        <v>1831.09</v>
      </c>
      <c r="E878" s="6">
        <v>1533.82</v>
      </c>
      <c r="F878" s="7" t="s">
        <v>14</v>
      </c>
      <c r="G878" s="8" t="s">
        <v>1676</v>
      </c>
      <c r="H878" s="8" t="s">
        <v>16</v>
      </c>
      <c r="I878" s="9">
        <v>1842</v>
      </c>
      <c r="J878" s="10" t="s">
        <v>1567</v>
      </c>
      <c r="K878" s="10">
        <v>31089</v>
      </c>
      <c r="L878" s="3" t="str">
        <f t="shared" si="27"/>
        <v>ΑΡΑΒΟΣΙΤΟΣ</v>
      </c>
    </row>
    <row r="879" spans="1:12" s="3" customFormat="1" x14ac:dyDescent="0.25">
      <c r="A879" s="3" t="str">
        <f t="shared" si="26"/>
        <v>ΑΡΑΒΟΣΙΤΟΣΑΡΑΒΟΣΙΤΟΣ ANTHI NS</v>
      </c>
      <c r="B879" s="18" t="s">
        <v>1496</v>
      </c>
      <c r="C879" s="19" t="s">
        <v>1677</v>
      </c>
      <c r="D879" s="28">
        <v>1831.09</v>
      </c>
      <c r="E879" s="28">
        <v>1533.82</v>
      </c>
      <c r="F879" s="6" t="s">
        <v>14</v>
      </c>
      <c r="G879" s="8" t="s">
        <v>1678</v>
      </c>
      <c r="H879" s="8" t="s">
        <v>27</v>
      </c>
      <c r="I879" s="9">
        <v>4633</v>
      </c>
      <c r="J879" s="20" t="s">
        <v>1567</v>
      </c>
      <c r="K879" s="20">
        <v>31090</v>
      </c>
      <c r="L879" s="3" t="str">
        <f t="shared" si="27"/>
        <v>ΑΡΑΒΟΣΙΤΟΣ</v>
      </c>
    </row>
    <row r="880" spans="1:12" s="3" customFormat="1" ht="24" x14ac:dyDescent="0.25">
      <c r="A880" s="3" t="str">
        <f t="shared" si="26"/>
        <v>ΑΡΑΒΟΣΙΤΟΣΑΡΑΒΟΣΙΤΟΣ DALMAC</v>
      </c>
      <c r="B880" s="4" t="s">
        <v>1496</v>
      </c>
      <c r="C880" s="5" t="s">
        <v>1228</v>
      </c>
      <c r="D880" s="6">
        <v>1831.09</v>
      </c>
      <c r="E880" s="6">
        <v>1533.82</v>
      </c>
      <c r="F880" s="7" t="s">
        <v>14</v>
      </c>
      <c r="G880" s="8" t="s">
        <v>1679</v>
      </c>
      <c r="H880" s="8" t="s">
        <v>16</v>
      </c>
      <c r="I880" s="9">
        <v>1852</v>
      </c>
      <c r="J880" s="10" t="s">
        <v>1567</v>
      </c>
      <c r="K880" s="10">
        <v>31091</v>
      </c>
      <c r="L880" s="3" t="str">
        <f t="shared" si="27"/>
        <v>ΑΡΑΒΟΣΙΤΟΣ</v>
      </c>
    </row>
    <row r="881" spans="1:12" s="3" customFormat="1" ht="24" x14ac:dyDescent="0.25">
      <c r="A881" s="3" t="str">
        <f t="shared" si="26"/>
        <v xml:space="preserve">ΑΡΑΒΟΣΙΤΟΣΑΡΑΒΟΣΙΤΟΣ GW 2122 </v>
      </c>
      <c r="B881" s="4" t="s">
        <v>1496</v>
      </c>
      <c r="C881" s="5" t="s">
        <v>1230</v>
      </c>
      <c r="D881" s="6">
        <v>1831.09</v>
      </c>
      <c r="E881" s="6">
        <v>1533.82</v>
      </c>
      <c r="F881" s="7" t="s">
        <v>14</v>
      </c>
      <c r="G881" s="8" t="s">
        <v>1680</v>
      </c>
      <c r="H881" s="8" t="s">
        <v>16</v>
      </c>
      <c r="I881" s="9">
        <v>1853</v>
      </c>
      <c r="J881" s="10" t="s">
        <v>1567</v>
      </c>
      <c r="K881" s="10">
        <v>31092</v>
      </c>
      <c r="L881" s="3" t="str">
        <f t="shared" si="27"/>
        <v>ΑΡΑΒΟΣΙΤΟΣ</v>
      </c>
    </row>
    <row r="882" spans="1:12" s="3" customFormat="1" ht="24" x14ac:dyDescent="0.25">
      <c r="A882" s="3" t="str">
        <f t="shared" si="26"/>
        <v>ΑΡΑΒΟΣΙΤΟΣΑΡΑΒΟΣΙΤΟΣ GW 8831</v>
      </c>
      <c r="B882" s="4" t="s">
        <v>1496</v>
      </c>
      <c r="C882" s="5" t="s">
        <v>1232</v>
      </c>
      <c r="D882" s="6">
        <v>1831.09</v>
      </c>
      <c r="E882" s="6">
        <v>1533.82</v>
      </c>
      <c r="F882" s="7" t="s">
        <v>14</v>
      </c>
      <c r="G882" s="8" t="s">
        <v>1681</v>
      </c>
      <c r="H882" s="8" t="s">
        <v>16</v>
      </c>
      <c r="I882" s="9">
        <v>1854</v>
      </c>
      <c r="J882" s="10" t="s">
        <v>1567</v>
      </c>
      <c r="K882" s="10">
        <v>31093</v>
      </c>
      <c r="L882" s="3" t="str">
        <f t="shared" si="27"/>
        <v>ΑΡΑΒΟΣΙΤΟΣ</v>
      </c>
    </row>
    <row r="883" spans="1:12" s="3" customFormat="1" ht="24" x14ac:dyDescent="0.25">
      <c r="A883" s="3" t="str">
        <f t="shared" si="26"/>
        <v>ΑΡΑΒΟΣΙΤΟΣΑΡΑΒΟΣΙΤΟΣ JAMESON</v>
      </c>
      <c r="B883" s="4" t="s">
        <v>1496</v>
      </c>
      <c r="C883" s="5" t="s">
        <v>1234</v>
      </c>
      <c r="D883" s="28">
        <v>1831.09</v>
      </c>
      <c r="E883" s="28">
        <v>1533.82</v>
      </c>
      <c r="F883" s="7" t="s">
        <v>14</v>
      </c>
      <c r="G883" s="8" t="s">
        <v>1682</v>
      </c>
      <c r="H883" s="8" t="s">
        <v>16</v>
      </c>
      <c r="I883" s="9">
        <v>1855</v>
      </c>
      <c r="J883" s="10" t="s">
        <v>1567</v>
      </c>
      <c r="K883" s="10">
        <v>31094</v>
      </c>
      <c r="L883" s="3" t="str">
        <f t="shared" si="27"/>
        <v>ΑΡΑΒΟΣΙΤΟΣ</v>
      </c>
    </row>
    <row r="884" spans="1:12" s="3" customFormat="1" ht="24" x14ac:dyDescent="0.25">
      <c r="A884" s="3" t="str">
        <f t="shared" si="26"/>
        <v>ΑΡΑΒΟΣΙΤΟΣΑΡΑΒΟΣΙΤΟΣ AGN 290</v>
      </c>
      <c r="B884" s="4" t="s">
        <v>1496</v>
      </c>
      <c r="C884" s="5" t="s">
        <v>1236</v>
      </c>
      <c r="D884" s="6">
        <v>1831.09</v>
      </c>
      <c r="E884" s="6">
        <v>1533.82</v>
      </c>
      <c r="F884" s="7" t="s">
        <v>14</v>
      </c>
      <c r="G884" s="8" t="s">
        <v>1683</v>
      </c>
      <c r="H884" s="8" t="s">
        <v>16</v>
      </c>
      <c r="I884" s="9">
        <v>1836</v>
      </c>
      <c r="J884" s="10" t="s">
        <v>1567</v>
      </c>
      <c r="K884" s="10">
        <v>31095</v>
      </c>
      <c r="L884" s="3" t="str">
        <f t="shared" si="27"/>
        <v>ΑΡΑΒΟΣΙΤΟΣ</v>
      </c>
    </row>
    <row r="885" spans="1:12" s="3" customFormat="1" x14ac:dyDescent="0.25">
      <c r="A885" s="3" t="str">
        <f t="shared" si="26"/>
        <v>ΑΡΑΒΟΣΙΤΟΣΑΡΑΒΟΣΙΤΟΣ EFRAT</v>
      </c>
      <c r="B885" s="4" t="s">
        <v>1496</v>
      </c>
      <c r="C885" s="5" t="s">
        <v>1684</v>
      </c>
      <c r="D885" s="28">
        <v>1831.09</v>
      </c>
      <c r="E885" s="28">
        <v>1533.82</v>
      </c>
      <c r="F885" s="7" t="s">
        <v>14</v>
      </c>
      <c r="G885" s="8" t="s">
        <v>1685</v>
      </c>
      <c r="H885" s="8" t="s">
        <v>27</v>
      </c>
      <c r="I885" s="9">
        <v>1857</v>
      </c>
      <c r="J885" s="10" t="s">
        <v>1567</v>
      </c>
      <c r="K885" s="10">
        <v>31096</v>
      </c>
      <c r="L885" s="3" t="str">
        <f t="shared" si="27"/>
        <v>ΑΡΑΒΟΣΙΤΟΣ</v>
      </c>
    </row>
    <row r="886" spans="1:12" s="3" customFormat="1" ht="24" x14ac:dyDescent="0.25">
      <c r="A886" s="3" t="str">
        <f t="shared" si="26"/>
        <v>ΑΡΑΒΟΣΙΤΟΣΑΡΑΒΟΣΙΤΟΣ GW 4798</v>
      </c>
      <c r="B886" s="4" t="s">
        <v>1496</v>
      </c>
      <c r="C886" s="5" t="s">
        <v>1238</v>
      </c>
      <c r="D886" s="6">
        <v>1831.09</v>
      </c>
      <c r="E886" s="6">
        <v>1533.82</v>
      </c>
      <c r="F886" s="7" t="s">
        <v>14</v>
      </c>
      <c r="G886" s="8" t="s">
        <v>1686</v>
      </c>
      <c r="H886" s="8" t="s">
        <v>16</v>
      </c>
      <c r="I886" s="9">
        <v>1849</v>
      </c>
      <c r="J886" s="10" t="s">
        <v>1567</v>
      </c>
      <c r="K886" s="10">
        <v>31097</v>
      </c>
      <c r="L886" s="3" t="str">
        <f t="shared" si="27"/>
        <v>ΑΡΑΒΟΣΙΤΟΣ</v>
      </c>
    </row>
    <row r="887" spans="1:12" s="3" customFormat="1" ht="24" x14ac:dyDescent="0.25">
      <c r="A887" s="3" t="str">
        <f t="shared" si="26"/>
        <v>ΑΡΑΒΟΣΙΤΟΣΑΡΑΒΟΣΙΤΟΣ GW 6479</v>
      </c>
      <c r="B887" s="4" t="s">
        <v>1496</v>
      </c>
      <c r="C887" s="5" t="s">
        <v>1240</v>
      </c>
      <c r="D887" s="6">
        <v>1831.09</v>
      </c>
      <c r="E887" s="6">
        <v>1533.82</v>
      </c>
      <c r="F887" s="7" t="s">
        <v>14</v>
      </c>
      <c r="G887" s="8" t="s">
        <v>1687</v>
      </c>
      <c r="H887" s="8" t="s">
        <v>16</v>
      </c>
      <c r="I887" s="9">
        <v>1851</v>
      </c>
      <c r="J887" s="10" t="s">
        <v>1567</v>
      </c>
      <c r="K887" s="10">
        <v>31098</v>
      </c>
      <c r="L887" s="3" t="str">
        <f t="shared" si="27"/>
        <v>ΑΡΑΒΟΣΙΤΟΣ</v>
      </c>
    </row>
    <row r="888" spans="1:12" s="3" customFormat="1" ht="24" x14ac:dyDescent="0.25">
      <c r="A888" s="3" t="str">
        <f t="shared" si="26"/>
        <v>ΑΡΑΒΟΣΙΤΟΣΑΡΑΒΟΣΙΤΟΣ GW 8653</v>
      </c>
      <c r="B888" s="4" t="s">
        <v>1496</v>
      </c>
      <c r="C888" s="5" t="s">
        <v>1242</v>
      </c>
      <c r="D888" s="6">
        <v>1831.09</v>
      </c>
      <c r="E888" s="6">
        <v>1533.82</v>
      </c>
      <c r="F888" s="7" t="s">
        <v>14</v>
      </c>
      <c r="G888" s="8" t="s">
        <v>1688</v>
      </c>
      <c r="H888" s="8" t="s">
        <v>16</v>
      </c>
      <c r="I888" s="9">
        <v>1834</v>
      </c>
      <c r="J888" s="10" t="s">
        <v>1567</v>
      </c>
      <c r="K888" s="10">
        <v>31099</v>
      </c>
      <c r="L888" s="3" t="str">
        <f t="shared" si="27"/>
        <v>ΑΡΑΒΟΣΙΤΟΣ</v>
      </c>
    </row>
    <row r="889" spans="1:12" s="3" customFormat="1" ht="24" x14ac:dyDescent="0.25">
      <c r="A889" s="3" t="str">
        <f t="shared" si="26"/>
        <v>ΑΡΑΒΟΣΙΤΟΣΑΡΑΒΟΣΙΤΟΣ HAMILTON</v>
      </c>
      <c r="B889" s="4" t="s">
        <v>1496</v>
      </c>
      <c r="C889" s="5" t="s">
        <v>1244</v>
      </c>
      <c r="D889" s="28">
        <v>1831.09</v>
      </c>
      <c r="E889" s="28">
        <v>1533.82</v>
      </c>
      <c r="F889" s="7" t="s">
        <v>14</v>
      </c>
      <c r="G889" s="8" t="s">
        <v>1689</v>
      </c>
      <c r="H889" s="8" t="s">
        <v>16</v>
      </c>
      <c r="I889" s="9">
        <v>1826</v>
      </c>
      <c r="J889" s="10" t="s">
        <v>1567</v>
      </c>
      <c r="K889" s="10">
        <v>31100</v>
      </c>
      <c r="L889" s="3" t="str">
        <f t="shared" si="27"/>
        <v>ΑΡΑΒΟΣΙΤΟΣ</v>
      </c>
    </row>
    <row r="890" spans="1:12" s="3" customFormat="1" x14ac:dyDescent="0.25">
      <c r="A890" s="3" t="str">
        <f t="shared" si="26"/>
        <v>ΑΡΑΒΟΣΙΤΟΣΑΡΑΒΟΣΙΤΟΣ JOSIA</v>
      </c>
      <c r="B890" s="18" t="s">
        <v>1496</v>
      </c>
      <c r="C890" s="19" t="s">
        <v>1690</v>
      </c>
      <c r="D890" s="28">
        <v>1831.09</v>
      </c>
      <c r="E890" s="28">
        <v>1533.82</v>
      </c>
      <c r="F890" s="6" t="s">
        <v>14</v>
      </c>
      <c r="G890" s="8" t="s">
        <v>1691</v>
      </c>
      <c r="H890" s="8" t="s">
        <v>27</v>
      </c>
      <c r="I890" s="9">
        <v>4636</v>
      </c>
      <c r="J890" s="20" t="s">
        <v>1567</v>
      </c>
      <c r="K890" s="20">
        <v>31101</v>
      </c>
      <c r="L890" s="3" t="str">
        <f t="shared" si="27"/>
        <v>ΑΡΑΒΟΣΙΤΟΣ</v>
      </c>
    </row>
    <row r="891" spans="1:12" s="3" customFormat="1" ht="24" x14ac:dyDescent="0.25">
      <c r="A891" s="3" t="str">
        <f t="shared" si="26"/>
        <v>ΑΡΑΒΟΣΙΤΟΣΑΡΑΒΟΣΙΤΟΣ MAKEDONIA</v>
      </c>
      <c r="B891" s="4" t="s">
        <v>1496</v>
      </c>
      <c r="C891" s="5" t="s">
        <v>1246</v>
      </c>
      <c r="D891" s="28">
        <v>1831.09</v>
      </c>
      <c r="E891" s="28">
        <v>1533.82</v>
      </c>
      <c r="F891" s="7" t="s">
        <v>14</v>
      </c>
      <c r="G891" s="8" t="s">
        <v>1692</v>
      </c>
      <c r="H891" s="8" t="s">
        <v>16</v>
      </c>
      <c r="I891" s="9">
        <v>1827</v>
      </c>
      <c r="J891" s="10" t="s">
        <v>1567</v>
      </c>
      <c r="K891" s="10">
        <v>31102</v>
      </c>
      <c r="L891" s="3" t="str">
        <f t="shared" si="27"/>
        <v>ΑΡΑΒΟΣΙΤΟΣ</v>
      </c>
    </row>
    <row r="892" spans="1:12" s="3" customFormat="1" ht="24" x14ac:dyDescent="0.25">
      <c r="A892" s="3" t="str">
        <f t="shared" si="26"/>
        <v>ΑΡΑΒΟΣΙΤΟΣΑΡΑΒΟΣΙΤΟΣ AGN 260</v>
      </c>
      <c r="B892" s="4" t="s">
        <v>1496</v>
      </c>
      <c r="C892" s="5" t="s">
        <v>1248</v>
      </c>
      <c r="D892" s="6">
        <v>1831.09</v>
      </c>
      <c r="E892" s="6">
        <v>1533.82</v>
      </c>
      <c r="F892" s="7" t="s">
        <v>14</v>
      </c>
      <c r="G892" s="8" t="s">
        <v>1693</v>
      </c>
      <c r="H892" s="8" t="s">
        <v>16</v>
      </c>
      <c r="I892" s="9">
        <v>1828</v>
      </c>
      <c r="J892" s="10" t="s">
        <v>1567</v>
      </c>
      <c r="K892" s="10">
        <v>31103</v>
      </c>
      <c r="L892" s="3" t="str">
        <f t="shared" si="27"/>
        <v>ΑΡΑΒΟΣΙΤΟΣ</v>
      </c>
    </row>
    <row r="893" spans="1:12" s="3" customFormat="1" ht="24" x14ac:dyDescent="0.25">
      <c r="A893" s="3" t="str">
        <f t="shared" si="26"/>
        <v>ΑΡΑΒΟΣΙΤΟΣΑΡΑΒΟΣΙΤΟΣ AGN 672</v>
      </c>
      <c r="B893" s="4" t="s">
        <v>1496</v>
      </c>
      <c r="C893" s="5" t="s">
        <v>1250</v>
      </c>
      <c r="D893" s="6">
        <v>1831.09</v>
      </c>
      <c r="E893" s="6">
        <v>1533.82</v>
      </c>
      <c r="F893" s="7" t="s">
        <v>14</v>
      </c>
      <c r="G893" s="8" t="s">
        <v>1694</v>
      </c>
      <c r="H893" s="8" t="s">
        <v>16</v>
      </c>
      <c r="I893" s="9">
        <v>1829</v>
      </c>
      <c r="J893" s="10" t="s">
        <v>1567</v>
      </c>
      <c r="K893" s="10">
        <v>31104</v>
      </c>
      <c r="L893" s="3" t="str">
        <f t="shared" si="27"/>
        <v>ΑΡΑΒΟΣΙΤΟΣ</v>
      </c>
    </row>
    <row r="894" spans="1:12" s="3" customFormat="1" ht="24" x14ac:dyDescent="0.25">
      <c r="A894" s="3" t="str">
        <f t="shared" si="26"/>
        <v>ΑΡΑΒΟΣΙΤΟΣΑΡΑΒΟΣΙΤΟΣ AS 54</v>
      </c>
      <c r="B894" s="4" t="s">
        <v>1496</v>
      </c>
      <c r="C894" s="5" t="s">
        <v>1252</v>
      </c>
      <c r="D894" s="28">
        <v>1831.09</v>
      </c>
      <c r="E894" s="28">
        <v>1533.82</v>
      </c>
      <c r="F894" s="7" t="s">
        <v>14</v>
      </c>
      <c r="G894" s="8" t="s">
        <v>1695</v>
      </c>
      <c r="H894" s="8" t="s">
        <v>16</v>
      </c>
      <c r="I894" s="9">
        <v>1830</v>
      </c>
      <c r="J894" s="10" t="s">
        <v>1567</v>
      </c>
      <c r="K894" s="10">
        <v>31105</v>
      </c>
      <c r="L894" s="3" t="str">
        <f t="shared" si="27"/>
        <v>ΑΡΑΒΟΣΙΤΟΣ</v>
      </c>
    </row>
    <row r="895" spans="1:12" s="3" customFormat="1" ht="24" x14ac:dyDescent="0.25">
      <c r="A895" s="3" t="str">
        <f t="shared" si="26"/>
        <v>ΑΡΑΒΟΣΙΤΟΣΑΡΑΒΟΣΙΤΟΣ AS5M11</v>
      </c>
      <c r="B895" s="4" t="s">
        <v>1496</v>
      </c>
      <c r="C895" s="5" t="s">
        <v>1254</v>
      </c>
      <c r="D895" s="28">
        <v>1831.09</v>
      </c>
      <c r="E895" s="28">
        <v>1533.82</v>
      </c>
      <c r="F895" s="7" t="s">
        <v>14</v>
      </c>
      <c r="G895" s="8" t="s">
        <v>1696</v>
      </c>
      <c r="H895" s="8" t="s">
        <v>16</v>
      </c>
      <c r="I895" s="9">
        <v>1831</v>
      </c>
      <c r="J895" s="10" t="s">
        <v>1567</v>
      </c>
      <c r="K895" s="10">
        <v>31106</v>
      </c>
      <c r="L895" s="3" t="str">
        <f t="shared" si="27"/>
        <v>ΑΡΑΒΟΣΙΤΟΣ</v>
      </c>
    </row>
    <row r="896" spans="1:12" s="3" customFormat="1" ht="24" x14ac:dyDescent="0.25">
      <c r="A896" s="3" t="str">
        <f t="shared" si="26"/>
        <v>ΑΡΑΒΟΣΙΤΟΣΑΡΑΒΟΣΙΤΟΣ AS6M10</v>
      </c>
      <c r="B896" s="4" t="s">
        <v>1496</v>
      </c>
      <c r="C896" s="5" t="s">
        <v>1256</v>
      </c>
      <c r="D896" s="28">
        <v>1831.09</v>
      </c>
      <c r="E896" s="28">
        <v>1533.82</v>
      </c>
      <c r="F896" s="7" t="s">
        <v>14</v>
      </c>
      <c r="G896" s="8" t="s">
        <v>1697</v>
      </c>
      <c r="H896" s="8" t="s">
        <v>16</v>
      </c>
      <c r="I896" s="9">
        <v>1832</v>
      </c>
      <c r="J896" s="10" t="s">
        <v>1567</v>
      </c>
      <c r="K896" s="10">
        <v>31107</v>
      </c>
      <c r="L896" s="3" t="str">
        <f t="shared" si="27"/>
        <v>ΑΡΑΒΟΣΙΤΟΣ</v>
      </c>
    </row>
    <row r="897" spans="1:12" s="3" customFormat="1" ht="24" x14ac:dyDescent="0.25">
      <c r="A897" s="3" t="str">
        <f t="shared" si="26"/>
        <v>ΑΡΑΒΟΣΙΤΟΣΑΡΑΒΟΣΙΤΟΣ DOXA</v>
      </c>
      <c r="B897" s="4" t="s">
        <v>1496</v>
      </c>
      <c r="C897" s="5" t="s">
        <v>1258</v>
      </c>
      <c r="D897" s="6">
        <v>1831.09</v>
      </c>
      <c r="E897" s="6">
        <v>1533.82</v>
      </c>
      <c r="F897" s="7" t="s">
        <v>14</v>
      </c>
      <c r="G897" s="8" t="s">
        <v>1698</v>
      </c>
      <c r="H897" s="8" t="s">
        <v>16</v>
      </c>
      <c r="I897" s="9">
        <v>1833</v>
      </c>
      <c r="J897" s="10" t="s">
        <v>1567</v>
      </c>
      <c r="K897" s="10">
        <v>31108</v>
      </c>
      <c r="L897" s="3" t="str">
        <f t="shared" si="27"/>
        <v>ΑΡΑΒΟΣΙΤΟΣ</v>
      </c>
    </row>
    <row r="898" spans="1:12" s="3" customFormat="1" x14ac:dyDescent="0.25">
      <c r="A898" s="3" t="str">
        <f t="shared" si="26"/>
        <v>ΑΡΑΒΟΣΙΤΟΣΑΡΑΒΟΣΙΤΟΣ EVITA NS</v>
      </c>
      <c r="B898" s="18" t="s">
        <v>1496</v>
      </c>
      <c r="C898" s="19" t="s">
        <v>1699</v>
      </c>
      <c r="D898" s="28">
        <v>1831.09</v>
      </c>
      <c r="E898" s="28">
        <v>1533.82</v>
      </c>
      <c r="F898" s="6" t="s">
        <v>14</v>
      </c>
      <c r="G898" s="8" t="s">
        <v>1700</v>
      </c>
      <c r="H898" s="8" t="s">
        <v>27</v>
      </c>
      <c r="I898" s="9">
        <v>4635</v>
      </c>
      <c r="J898" s="20" t="s">
        <v>1567</v>
      </c>
      <c r="K898" s="20">
        <v>31109</v>
      </c>
      <c r="L898" s="3" t="str">
        <f t="shared" si="27"/>
        <v>ΑΡΑΒΟΣΙΤΟΣ</v>
      </c>
    </row>
    <row r="899" spans="1:12" s="3" customFormat="1" ht="24" x14ac:dyDescent="0.25">
      <c r="A899" s="3" t="str">
        <f t="shared" ref="A899:A962" si="28">_xlfn.CONCAT(B899,C899)</f>
        <v xml:space="preserve">ΑΡΑΒΟΣΙΤΟΣΑΡΑΒΟΣΙΤΟΣ GW 037 </v>
      </c>
      <c r="B899" s="4" t="s">
        <v>1496</v>
      </c>
      <c r="C899" s="5" t="s">
        <v>1260</v>
      </c>
      <c r="D899" s="6">
        <v>1831.09</v>
      </c>
      <c r="E899" s="6">
        <v>1533.82</v>
      </c>
      <c r="F899" s="7" t="s">
        <v>14</v>
      </c>
      <c r="G899" s="8" t="s">
        <v>1701</v>
      </c>
      <c r="H899" s="8" t="s">
        <v>16</v>
      </c>
      <c r="I899" s="9">
        <v>1841</v>
      </c>
      <c r="J899" s="10" t="s">
        <v>1567</v>
      </c>
      <c r="K899" s="10">
        <v>31110</v>
      </c>
      <c r="L899" s="3" t="str">
        <f t="shared" ref="L899:L962" si="29">IFERROR(SUBSTITUTE(SUBSTITUTE(SUBSTITUTE(SUBSTITUTE(SUBSTITUTE(B899, "-", "_"), " ", "_"), ",", ""), "(", ""), ")", ""), B899)</f>
        <v>ΑΡΑΒΟΣΙΤΟΣ</v>
      </c>
    </row>
    <row r="900" spans="1:12" s="3" customFormat="1" ht="24" x14ac:dyDescent="0.25">
      <c r="A900" s="3" t="str">
        <f t="shared" si="28"/>
        <v>ΑΡΑΒΟΣΙΤΟΣΑΡΑΒΟΣΙΤΟΣ GW 7634</v>
      </c>
      <c r="B900" s="4" t="s">
        <v>1496</v>
      </c>
      <c r="C900" s="5" t="s">
        <v>1262</v>
      </c>
      <c r="D900" s="6">
        <v>1831.09</v>
      </c>
      <c r="E900" s="6">
        <v>1533.82</v>
      </c>
      <c r="F900" s="7" t="s">
        <v>14</v>
      </c>
      <c r="G900" s="8" t="s">
        <v>1702</v>
      </c>
      <c r="H900" s="8" t="s">
        <v>16</v>
      </c>
      <c r="I900" s="9">
        <v>1835</v>
      </c>
      <c r="J900" s="10" t="s">
        <v>1567</v>
      </c>
      <c r="K900" s="10">
        <v>31111</v>
      </c>
      <c r="L900" s="3" t="str">
        <f t="shared" si="29"/>
        <v>ΑΡΑΒΟΣΙΤΟΣ</v>
      </c>
    </row>
    <row r="901" spans="1:12" s="3" customFormat="1" ht="24" x14ac:dyDescent="0.25">
      <c r="A901" s="3" t="str">
        <f t="shared" si="28"/>
        <v>ΑΡΑΒΟΣΙΤΟΣΑΡΑΒΟΣΙΤΟΣ KORDUNA</v>
      </c>
      <c r="B901" s="4" t="s">
        <v>1496</v>
      </c>
      <c r="C901" s="5" t="s">
        <v>1264</v>
      </c>
      <c r="D901" s="28">
        <v>1831.09</v>
      </c>
      <c r="E901" s="28">
        <v>1533.82</v>
      </c>
      <c r="F901" s="7" t="s">
        <v>14</v>
      </c>
      <c r="G901" s="8" t="s">
        <v>1703</v>
      </c>
      <c r="H901" s="8" t="s">
        <v>16</v>
      </c>
      <c r="I901" s="9">
        <v>1825</v>
      </c>
      <c r="J901" s="10" t="s">
        <v>1567</v>
      </c>
      <c r="K901" s="10">
        <v>31112</v>
      </c>
      <c r="L901" s="3" t="str">
        <f t="shared" si="29"/>
        <v>ΑΡΑΒΟΣΙΤΟΣ</v>
      </c>
    </row>
    <row r="902" spans="1:12" s="3" customFormat="1" ht="24" x14ac:dyDescent="0.25">
      <c r="A902" s="3" t="str">
        <f t="shared" si="28"/>
        <v>ΑΡΑΒΟΣΙΤΟΣΑΡΑΒΟΣΙΤΟΣ MAS 66WX</v>
      </c>
      <c r="B902" s="4" t="s">
        <v>1496</v>
      </c>
      <c r="C902" s="5" t="s">
        <v>1266</v>
      </c>
      <c r="D902" s="28">
        <v>1831.09</v>
      </c>
      <c r="E902" s="28">
        <v>1533.82</v>
      </c>
      <c r="F902" s="7" t="s">
        <v>14</v>
      </c>
      <c r="G902" s="8" t="s">
        <v>1704</v>
      </c>
      <c r="H902" s="8" t="s">
        <v>16</v>
      </c>
      <c r="I902" s="9">
        <v>1837</v>
      </c>
      <c r="J902" s="10" t="s">
        <v>1567</v>
      </c>
      <c r="K902" s="10">
        <v>31113</v>
      </c>
      <c r="L902" s="3" t="str">
        <f t="shared" si="29"/>
        <v>ΑΡΑΒΟΣΙΤΟΣ</v>
      </c>
    </row>
    <row r="903" spans="1:12" s="3" customFormat="1" ht="24" x14ac:dyDescent="0.25">
      <c r="A903" s="3" t="str">
        <f t="shared" si="28"/>
        <v>ΑΡΑΒΟΣΙΤΟΣΑΡΑΒΟΣΙΤΟΣ MAS 78T</v>
      </c>
      <c r="B903" s="4" t="s">
        <v>1496</v>
      </c>
      <c r="C903" s="5" t="s">
        <v>1268</v>
      </c>
      <c r="D903" s="28">
        <v>1831.09</v>
      </c>
      <c r="E903" s="28">
        <v>1533.82</v>
      </c>
      <c r="F903" s="7" t="s">
        <v>14</v>
      </c>
      <c r="G903" s="8" t="s">
        <v>1705</v>
      </c>
      <c r="H903" s="8" t="s">
        <v>16</v>
      </c>
      <c r="I903" s="9">
        <v>1838</v>
      </c>
      <c r="J903" s="10" t="s">
        <v>1567</v>
      </c>
      <c r="K903" s="10">
        <v>31114</v>
      </c>
      <c r="L903" s="3" t="str">
        <f t="shared" si="29"/>
        <v>ΑΡΑΒΟΣΙΤΟΣ</v>
      </c>
    </row>
    <row r="904" spans="1:12" s="3" customFormat="1" ht="24" x14ac:dyDescent="0.25">
      <c r="A904" s="3" t="str">
        <f t="shared" si="28"/>
        <v>ΑΡΑΒΟΣΙΤΟΣΑΡΑΒΟΣΙΤΟΣ P1758</v>
      </c>
      <c r="B904" s="4" t="s">
        <v>1496</v>
      </c>
      <c r="C904" s="5" t="s">
        <v>1270</v>
      </c>
      <c r="D904" s="6">
        <v>1831.09</v>
      </c>
      <c r="E904" s="6">
        <v>1533.82</v>
      </c>
      <c r="F904" s="7" t="s">
        <v>14</v>
      </c>
      <c r="G904" s="8" t="s">
        <v>1706</v>
      </c>
      <c r="H904" s="8" t="s">
        <v>16</v>
      </c>
      <c r="I904" s="9">
        <v>1839</v>
      </c>
      <c r="J904" s="10" t="s">
        <v>1567</v>
      </c>
      <c r="K904" s="10">
        <v>31115</v>
      </c>
      <c r="L904" s="3" t="str">
        <f t="shared" si="29"/>
        <v>ΑΡΑΒΟΣΙΤΟΣ</v>
      </c>
    </row>
    <row r="905" spans="1:12" s="3" customFormat="1" ht="24" x14ac:dyDescent="0.25">
      <c r="A905" s="3" t="str">
        <f t="shared" si="28"/>
        <v>ΑΡΑΒΟΣΙΤΟΣΑΡΑΒΟΣΙΤΟΣ P1921</v>
      </c>
      <c r="B905" s="4" t="s">
        <v>1496</v>
      </c>
      <c r="C905" s="5" t="s">
        <v>1272</v>
      </c>
      <c r="D905" s="6">
        <v>1831.09</v>
      </c>
      <c r="E905" s="6">
        <v>1533.82</v>
      </c>
      <c r="F905" s="7" t="s">
        <v>14</v>
      </c>
      <c r="G905" s="8" t="s">
        <v>1707</v>
      </c>
      <c r="H905" s="8" t="s">
        <v>16</v>
      </c>
      <c r="I905" s="9">
        <v>1840</v>
      </c>
      <c r="J905" s="10" t="s">
        <v>1567</v>
      </c>
      <c r="K905" s="10">
        <v>31116</v>
      </c>
      <c r="L905" s="3" t="str">
        <f t="shared" si="29"/>
        <v>ΑΡΑΒΟΣΙΤΟΣ</v>
      </c>
    </row>
    <row r="906" spans="1:12" s="3" customFormat="1" ht="24" x14ac:dyDescent="0.25">
      <c r="A906" s="3" t="str">
        <f t="shared" si="28"/>
        <v>ΑΡΑΒΟΣΙΤΟΣΑΡΑΒΟΣΙΤΟΣ LG31630</v>
      </c>
      <c r="B906" s="4" t="s">
        <v>1496</v>
      </c>
      <c r="C906" s="5" t="s">
        <v>1274</v>
      </c>
      <c r="D906" s="28">
        <v>1831.09</v>
      </c>
      <c r="E906" s="28">
        <v>1533.82</v>
      </c>
      <c r="F906" s="7" t="s">
        <v>14</v>
      </c>
      <c r="G906" s="8" t="s">
        <v>1708</v>
      </c>
      <c r="H906" s="8" t="s">
        <v>16</v>
      </c>
      <c r="I906" s="9">
        <v>1858</v>
      </c>
      <c r="J906" s="10" t="s">
        <v>1567</v>
      </c>
      <c r="K906" s="10">
        <v>31117</v>
      </c>
      <c r="L906" s="3" t="str">
        <f t="shared" si="29"/>
        <v>ΑΡΑΒΟΣΙΤΟΣ</v>
      </c>
    </row>
    <row r="907" spans="1:12" s="3" customFormat="1" ht="24" x14ac:dyDescent="0.25">
      <c r="A907" s="3" t="str">
        <f t="shared" si="28"/>
        <v>ΑΡΑΒΟΣΙΤΟΣΑΡΑΒΟΣΙΤΟΣ DKC6728</v>
      </c>
      <c r="B907" s="4" t="s">
        <v>1496</v>
      </c>
      <c r="C907" s="5" t="s">
        <v>1276</v>
      </c>
      <c r="D907" s="28">
        <v>1831.09</v>
      </c>
      <c r="E907" s="28">
        <v>1533.82</v>
      </c>
      <c r="F907" s="7" t="s">
        <v>14</v>
      </c>
      <c r="G907" s="8" t="s">
        <v>1709</v>
      </c>
      <c r="H907" s="8" t="s">
        <v>16</v>
      </c>
      <c r="I907" s="9">
        <v>1887</v>
      </c>
      <c r="J907" s="10" t="s">
        <v>1567</v>
      </c>
      <c r="K907" s="10">
        <v>31118</v>
      </c>
      <c r="L907" s="3" t="str">
        <f t="shared" si="29"/>
        <v>ΑΡΑΒΟΣΙΤΟΣ</v>
      </c>
    </row>
    <row r="908" spans="1:12" s="3" customFormat="1" x14ac:dyDescent="0.25">
      <c r="A908" s="3" t="str">
        <f t="shared" si="28"/>
        <v>ΑΡΑΒΟΣΙΤΟΣΑΡΑΒΟΣΙΤΟΣ DKC6442</v>
      </c>
      <c r="B908" s="4" t="s">
        <v>1496</v>
      </c>
      <c r="C908" s="5" t="s">
        <v>1710</v>
      </c>
      <c r="D908" s="28">
        <v>1831.09</v>
      </c>
      <c r="E908" s="28">
        <v>1533.82</v>
      </c>
      <c r="F908" s="7" t="s">
        <v>14</v>
      </c>
      <c r="G908" s="8" t="s">
        <v>1711</v>
      </c>
      <c r="H908" s="8" t="s">
        <v>27</v>
      </c>
      <c r="I908" s="9">
        <v>1861</v>
      </c>
      <c r="J908" s="10" t="s">
        <v>1567</v>
      </c>
      <c r="K908" s="10">
        <v>31119</v>
      </c>
      <c r="L908" s="3" t="str">
        <f t="shared" si="29"/>
        <v>ΑΡΑΒΟΣΙΤΟΣ</v>
      </c>
    </row>
    <row r="909" spans="1:12" s="3" customFormat="1" ht="24" x14ac:dyDescent="0.25">
      <c r="A909" s="3" t="str">
        <f t="shared" si="28"/>
        <v>ΑΡΑΒΟΣΙΤΟΣΑΡΑΒΟΣΙΤΟΣ P0729</v>
      </c>
      <c r="B909" s="4" t="s">
        <v>1496</v>
      </c>
      <c r="C909" s="5" t="s">
        <v>1278</v>
      </c>
      <c r="D909" s="6">
        <v>1831.09</v>
      </c>
      <c r="E909" s="6">
        <v>1533.82</v>
      </c>
      <c r="F909" s="7" t="s">
        <v>14</v>
      </c>
      <c r="G909" s="8" t="s">
        <v>1712</v>
      </c>
      <c r="H909" s="8" t="s">
        <v>16</v>
      </c>
      <c r="I909" s="9">
        <v>1880</v>
      </c>
      <c r="J909" s="10" t="s">
        <v>1567</v>
      </c>
      <c r="K909" s="10">
        <v>31120</v>
      </c>
      <c r="L909" s="3" t="str">
        <f t="shared" si="29"/>
        <v>ΑΡΑΒΟΣΙΤΟΣ</v>
      </c>
    </row>
    <row r="910" spans="1:12" s="3" customFormat="1" ht="24" x14ac:dyDescent="0.25">
      <c r="A910" s="3" t="str">
        <f t="shared" si="28"/>
        <v>ΑΡΑΒΟΣΙΤΟΣΑΡΑΒΟΣΙΤΟΣ P0937</v>
      </c>
      <c r="B910" s="4" t="s">
        <v>1496</v>
      </c>
      <c r="C910" s="5" t="s">
        <v>1280</v>
      </c>
      <c r="D910" s="6">
        <v>1831.09</v>
      </c>
      <c r="E910" s="6">
        <v>1533.82</v>
      </c>
      <c r="F910" s="7" t="s">
        <v>14</v>
      </c>
      <c r="G910" s="8" t="s">
        <v>1713</v>
      </c>
      <c r="H910" s="8" t="s">
        <v>16</v>
      </c>
      <c r="I910" s="9">
        <v>1856</v>
      </c>
      <c r="J910" s="10" t="s">
        <v>1567</v>
      </c>
      <c r="K910" s="10">
        <v>31121</v>
      </c>
      <c r="L910" s="3" t="str">
        <f t="shared" si="29"/>
        <v>ΑΡΑΒΟΣΙΤΟΣ</v>
      </c>
    </row>
    <row r="911" spans="1:12" s="3" customFormat="1" x14ac:dyDescent="0.25">
      <c r="A911" s="3" t="str">
        <f t="shared" si="28"/>
        <v>ΑΡΑΒΟΣΙΤΟΣΑΡΑΒΟΣΙΤΟΣ P1949</v>
      </c>
      <c r="B911" s="4" t="s">
        <v>1496</v>
      </c>
      <c r="C911" s="5" t="s">
        <v>1714</v>
      </c>
      <c r="D911" s="6">
        <v>1831.09</v>
      </c>
      <c r="E911" s="6">
        <v>1533.82</v>
      </c>
      <c r="F911" s="7" t="s">
        <v>14</v>
      </c>
      <c r="G911" s="8" t="s">
        <v>1715</v>
      </c>
      <c r="H911" s="8" t="s">
        <v>27</v>
      </c>
      <c r="I911" s="9">
        <v>1882</v>
      </c>
      <c r="J911" s="10" t="s">
        <v>1567</v>
      </c>
      <c r="K911" s="10">
        <v>31122</v>
      </c>
      <c r="L911" s="3" t="str">
        <f t="shared" si="29"/>
        <v>ΑΡΑΒΟΣΙΤΟΣ</v>
      </c>
    </row>
    <row r="912" spans="1:12" s="3" customFormat="1" ht="24" x14ac:dyDescent="0.25">
      <c r="A912" s="3" t="str">
        <f t="shared" si="28"/>
        <v>ΑΡΑΒΟΣΙΤΟΣΑΡΑΒΟΣΙΤΟΣ P1524</v>
      </c>
      <c r="B912" s="4" t="s">
        <v>1496</v>
      </c>
      <c r="C912" s="5" t="s">
        <v>1282</v>
      </c>
      <c r="D912" s="6">
        <v>1831.09</v>
      </c>
      <c r="E912" s="6">
        <v>1533.82</v>
      </c>
      <c r="F912" s="7" t="s">
        <v>14</v>
      </c>
      <c r="G912" s="8" t="s">
        <v>1716</v>
      </c>
      <c r="H912" s="8" t="s">
        <v>16</v>
      </c>
      <c r="I912" s="9">
        <v>1883</v>
      </c>
      <c r="J912" s="10" t="s">
        <v>1567</v>
      </c>
      <c r="K912" s="10">
        <v>31123</v>
      </c>
      <c r="L912" s="3" t="str">
        <f t="shared" si="29"/>
        <v>ΑΡΑΒΟΣΙΤΟΣ</v>
      </c>
    </row>
    <row r="913" spans="1:12" s="3" customFormat="1" ht="24" x14ac:dyDescent="0.25">
      <c r="A913" s="3" t="str">
        <f t="shared" si="28"/>
        <v>ΑΡΑΒΟΣΙΤΟΣΑΡΑΒΟΣΙΤΟΣ ZP488</v>
      </c>
      <c r="B913" s="4" t="s">
        <v>1496</v>
      </c>
      <c r="C913" s="5" t="s">
        <v>1284</v>
      </c>
      <c r="D913" s="6">
        <v>1831.09</v>
      </c>
      <c r="E913" s="6">
        <v>1533.82</v>
      </c>
      <c r="F913" s="7" t="s">
        <v>14</v>
      </c>
      <c r="G913" s="8" t="s">
        <v>1717</v>
      </c>
      <c r="H913" s="8" t="s">
        <v>16</v>
      </c>
      <c r="I913" s="9">
        <v>1884</v>
      </c>
      <c r="J913" s="10" t="s">
        <v>1567</v>
      </c>
      <c r="K913" s="10">
        <v>31124</v>
      </c>
      <c r="L913" s="3" t="str">
        <f t="shared" si="29"/>
        <v>ΑΡΑΒΟΣΙΤΟΣ</v>
      </c>
    </row>
    <row r="914" spans="1:12" s="3" customFormat="1" ht="24" x14ac:dyDescent="0.25">
      <c r="A914" s="3" t="str">
        <f t="shared" si="28"/>
        <v>ΑΡΑΒΟΣΙΤΟΣΑΡΑΒΟΣΙΤΟΣ P1570</v>
      </c>
      <c r="B914" s="4" t="s">
        <v>1496</v>
      </c>
      <c r="C914" s="5" t="s">
        <v>1286</v>
      </c>
      <c r="D914" s="6">
        <v>1831.09</v>
      </c>
      <c r="E914" s="6">
        <v>1533.82</v>
      </c>
      <c r="F914" s="7" t="s">
        <v>14</v>
      </c>
      <c r="G914" s="8" t="s">
        <v>1718</v>
      </c>
      <c r="H914" s="8" t="s">
        <v>16</v>
      </c>
      <c r="I914" s="9">
        <v>1895</v>
      </c>
      <c r="J914" s="10" t="s">
        <v>1567</v>
      </c>
      <c r="K914" s="10">
        <v>31125</v>
      </c>
      <c r="L914" s="3" t="str">
        <f t="shared" si="29"/>
        <v>ΑΡΑΒΟΣΙΤΟΣ</v>
      </c>
    </row>
    <row r="915" spans="1:12" s="3" customFormat="1" ht="24" x14ac:dyDescent="0.25">
      <c r="A915" s="3" t="str">
        <f t="shared" si="28"/>
        <v>ΑΡΑΒΟΣΙΤΟΣΑΡΑΒΟΣΙΤΟΣ DKC6815</v>
      </c>
      <c r="B915" s="4" t="s">
        <v>1496</v>
      </c>
      <c r="C915" s="5" t="s">
        <v>1288</v>
      </c>
      <c r="D915" s="28">
        <v>1831.09</v>
      </c>
      <c r="E915" s="28">
        <v>1533.82</v>
      </c>
      <c r="F915" s="7" t="s">
        <v>14</v>
      </c>
      <c r="G915" s="8" t="s">
        <v>1719</v>
      </c>
      <c r="H915" s="8" t="s">
        <v>16</v>
      </c>
      <c r="I915" s="9">
        <v>1886</v>
      </c>
      <c r="J915" s="10" t="s">
        <v>1567</v>
      </c>
      <c r="K915" s="10">
        <v>31126</v>
      </c>
      <c r="L915" s="3" t="str">
        <f t="shared" si="29"/>
        <v>ΑΡΑΒΟΣΙΤΟΣ</v>
      </c>
    </row>
    <row r="916" spans="1:12" s="3" customFormat="1" ht="24" x14ac:dyDescent="0.25">
      <c r="A916" s="3" t="str">
        <f t="shared" si="28"/>
        <v>ΑΡΑΒΟΣΙΤΟΣΑΡΑΒΟΣΙΤΟΣ SNH 8606</v>
      </c>
      <c r="B916" s="4" t="s">
        <v>1496</v>
      </c>
      <c r="C916" s="5" t="s">
        <v>1290</v>
      </c>
      <c r="D916" s="6">
        <v>1831.09</v>
      </c>
      <c r="E916" s="6">
        <v>1533.82</v>
      </c>
      <c r="F916" s="7" t="s">
        <v>14</v>
      </c>
      <c r="G916" s="8" t="s">
        <v>1720</v>
      </c>
      <c r="H916" s="8" t="s">
        <v>16</v>
      </c>
      <c r="I916" s="9">
        <v>1878</v>
      </c>
      <c r="J916" s="10" t="s">
        <v>1567</v>
      </c>
      <c r="K916" s="10">
        <v>31127</v>
      </c>
      <c r="L916" s="3" t="str">
        <f t="shared" si="29"/>
        <v>ΑΡΑΒΟΣΙΤΟΣ</v>
      </c>
    </row>
    <row r="917" spans="1:12" s="3" customFormat="1" ht="24" x14ac:dyDescent="0.25">
      <c r="A917" s="3" t="str">
        <f t="shared" si="28"/>
        <v>ΑΡΑΒΟΣΙΤΟΣΑΡΑΒΟΣΙΤΟΣ P2105</v>
      </c>
      <c r="B917" s="4" t="s">
        <v>1496</v>
      </c>
      <c r="C917" s="5" t="s">
        <v>1292</v>
      </c>
      <c r="D917" s="6">
        <v>1831.09</v>
      </c>
      <c r="E917" s="6">
        <v>1533.82</v>
      </c>
      <c r="F917" s="7" t="s">
        <v>14</v>
      </c>
      <c r="G917" s="8" t="s">
        <v>1721</v>
      </c>
      <c r="H917" s="8" t="s">
        <v>16</v>
      </c>
      <c r="I917" s="9">
        <v>1888</v>
      </c>
      <c r="J917" s="10" t="s">
        <v>1567</v>
      </c>
      <c r="K917" s="10">
        <v>31128</v>
      </c>
      <c r="L917" s="3" t="str">
        <f t="shared" si="29"/>
        <v>ΑΡΑΒΟΣΙΤΟΣ</v>
      </c>
    </row>
    <row r="918" spans="1:12" s="3" customFormat="1" ht="24" x14ac:dyDescent="0.25">
      <c r="A918" s="3" t="str">
        <f t="shared" si="28"/>
        <v>ΑΡΑΒΟΣΙΤΟΣΑΡΑΒΟΣΙΤΟΣ DKC 6980</v>
      </c>
      <c r="B918" s="4" t="s">
        <v>1496</v>
      </c>
      <c r="C918" s="5" t="s">
        <v>1294</v>
      </c>
      <c r="D918" s="6">
        <v>1831.09</v>
      </c>
      <c r="E918" s="6">
        <v>1533.82</v>
      </c>
      <c r="F918" s="7" t="s">
        <v>14</v>
      </c>
      <c r="G918" s="8" t="s">
        <v>1722</v>
      </c>
      <c r="H918" s="8" t="s">
        <v>16</v>
      </c>
      <c r="I918" s="9">
        <v>1889</v>
      </c>
      <c r="J918" s="10" t="s">
        <v>1567</v>
      </c>
      <c r="K918" s="10">
        <v>31129</v>
      </c>
      <c r="L918" s="3" t="str">
        <f t="shared" si="29"/>
        <v>ΑΡΑΒΟΣΙΤΟΣ</v>
      </c>
    </row>
    <row r="919" spans="1:12" s="3" customFormat="1" ht="24" x14ac:dyDescent="0.25">
      <c r="A919" s="3" t="str">
        <f t="shared" si="28"/>
        <v>ΑΡΑΒΟΣΙΤΟΣΑΡΑΒΟΣΙΤΟΣ DKC 6777</v>
      </c>
      <c r="B919" s="4" t="s">
        <v>1496</v>
      </c>
      <c r="C919" s="5" t="s">
        <v>1296</v>
      </c>
      <c r="D919" s="6">
        <v>1831.09</v>
      </c>
      <c r="E919" s="6">
        <v>1533.82</v>
      </c>
      <c r="F919" s="7" t="s">
        <v>14</v>
      </c>
      <c r="G919" s="8" t="s">
        <v>1723</v>
      </c>
      <c r="H919" s="8" t="s">
        <v>16</v>
      </c>
      <c r="I919" s="9">
        <v>1890</v>
      </c>
      <c r="J919" s="10" t="s">
        <v>1567</v>
      </c>
      <c r="K919" s="10">
        <v>31130</v>
      </c>
      <c r="L919" s="3" t="str">
        <f t="shared" si="29"/>
        <v>ΑΡΑΒΟΣΙΤΟΣ</v>
      </c>
    </row>
    <row r="920" spans="1:12" s="3" customFormat="1" ht="24" x14ac:dyDescent="0.25">
      <c r="A920" s="3" t="str">
        <f t="shared" si="28"/>
        <v>ΑΡΑΒΟΣΙΤΟΣΑΡΑΒΟΣΙΤΟΣ DKC 7050</v>
      </c>
      <c r="B920" s="4" t="s">
        <v>1496</v>
      </c>
      <c r="C920" s="5" t="s">
        <v>1298</v>
      </c>
      <c r="D920" s="6">
        <v>1831.09</v>
      </c>
      <c r="E920" s="6">
        <v>1533.82</v>
      </c>
      <c r="F920" s="7" t="s">
        <v>14</v>
      </c>
      <c r="G920" s="8" t="s">
        <v>1724</v>
      </c>
      <c r="H920" s="8" t="s">
        <v>16</v>
      </c>
      <c r="I920" s="9">
        <v>1891</v>
      </c>
      <c r="J920" s="10" t="s">
        <v>1567</v>
      </c>
      <c r="K920" s="10">
        <v>31131</v>
      </c>
      <c r="L920" s="3" t="str">
        <f t="shared" si="29"/>
        <v>ΑΡΑΒΟΣΙΤΟΣ</v>
      </c>
    </row>
    <row r="921" spans="1:12" s="3" customFormat="1" ht="24" x14ac:dyDescent="0.25">
      <c r="A921" s="3" t="str">
        <f t="shared" si="28"/>
        <v>ΑΡΑΒΟΣΙΤΟΣΑΡΑΒΟΣΙΤΟΣ P1049</v>
      </c>
      <c r="B921" s="4" t="s">
        <v>1496</v>
      </c>
      <c r="C921" s="5" t="s">
        <v>1300</v>
      </c>
      <c r="D921" s="6">
        <v>1831.09</v>
      </c>
      <c r="E921" s="6">
        <v>1533.82</v>
      </c>
      <c r="F921" s="7" t="s">
        <v>14</v>
      </c>
      <c r="G921" s="8" t="s">
        <v>1725</v>
      </c>
      <c r="H921" s="8" t="s">
        <v>16</v>
      </c>
      <c r="I921" s="9">
        <v>1892</v>
      </c>
      <c r="J921" s="10" t="s">
        <v>1567</v>
      </c>
      <c r="K921" s="10">
        <v>31132</v>
      </c>
      <c r="L921" s="3" t="str">
        <f t="shared" si="29"/>
        <v>ΑΡΑΒΟΣΙΤΟΣ</v>
      </c>
    </row>
    <row r="922" spans="1:12" s="3" customFormat="1" x14ac:dyDescent="0.25">
      <c r="A922" s="3" t="str">
        <f t="shared" si="28"/>
        <v>ΑΡΑΒΟΣΙΤΟΣΑΡΑΒΟΣΙΤΟΣ BORA</v>
      </c>
      <c r="B922" s="4" t="s">
        <v>1496</v>
      </c>
      <c r="C922" s="5" t="s">
        <v>1726</v>
      </c>
      <c r="D922" s="28">
        <v>1831.09</v>
      </c>
      <c r="E922" s="28">
        <v>1533.82</v>
      </c>
      <c r="F922" s="7" t="s">
        <v>14</v>
      </c>
      <c r="G922" s="8" t="s">
        <v>1727</v>
      </c>
      <c r="H922" s="8" t="s">
        <v>27</v>
      </c>
      <c r="I922" s="9">
        <v>1893</v>
      </c>
      <c r="J922" s="10" t="s">
        <v>1567</v>
      </c>
      <c r="K922" s="10">
        <v>31133</v>
      </c>
      <c r="L922" s="3" t="str">
        <f t="shared" si="29"/>
        <v>ΑΡΑΒΟΣΙΤΟΣ</v>
      </c>
    </row>
    <row r="923" spans="1:12" s="3" customFormat="1" ht="24" x14ac:dyDescent="0.25">
      <c r="A923" s="3" t="str">
        <f t="shared" si="28"/>
        <v>ΑΡΑΒΟΣΙΤΟΣΑΡΑΒΟΣΙΤΟΣ P1535</v>
      </c>
      <c r="B923" s="4" t="s">
        <v>1496</v>
      </c>
      <c r="C923" s="5" t="s">
        <v>1302</v>
      </c>
      <c r="D923" s="6">
        <v>1831.09</v>
      </c>
      <c r="E923" s="6">
        <v>1533.82</v>
      </c>
      <c r="F923" s="7" t="s">
        <v>14</v>
      </c>
      <c r="G923" s="8" t="s">
        <v>1728</v>
      </c>
      <c r="H923" s="8" t="s">
        <v>16</v>
      </c>
      <c r="I923" s="9">
        <v>1894</v>
      </c>
      <c r="J923" s="10" t="s">
        <v>1567</v>
      </c>
      <c r="K923" s="10">
        <v>31134</v>
      </c>
      <c r="L923" s="3" t="str">
        <f t="shared" si="29"/>
        <v>ΑΡΑΒΟΣΙΤΟΣ</v>
      </c>
    </row>
    <row r="924" spans="1:12" s="3" customFormat="1" ht="24" x14ac:dyDescent="0.25">
      <c r="A924" s="3" t="str">
        <f t="shared" si="28"/>
        <v>ΑΡΑΒΟΣΙΤΟΣΑΡΑΒΟΣΙΤΟΣ P9911</v>
      </c>
      <c r="B924" s="4" t="s">
        <v>1496</v>
      </c>
      <c r="C924" s="5" t="s">
        <v>1304</v>
      </c>
      <c r="D924" s="6">
        <v>1831.09</v>
      </c>
      <c r="E924" s="6">
        <v>1533.82</v>
      </c>
      <c r="F924" s="7" t="s">
        <v>14</v>
      </c>
      <c r="G924" s="8" t="s">
        <v>1729</v>
      </c>
      <c r="H924" s="8" t="s">
        <v>16</v>
      </c>
      <c r="I924" s="9">
        <v>1869</v>
      </c>
      <c r="J924" s="10" t="s">
        <v>1567</v>
      </c>
      <c r="K924" s="10">
        <v>31135</v>
      </c>
      <c r="L924" s="3" t="str">
        <f t="shared" si="29"/>
        <v>ΑΡΑΒΟΣΙΤΟΣ</v>
      </c>
    </row>
    <row r="925" spans="1:12" s="3" customFormat="1" ht="24" x14ac:dyDescent="0.25">
      <c r="A925" s="3" t="str">
        <f t="shared" si="28"/>
        <v>ΑΡΑΒΟΣΙΤΟΣΑΡΑΒΟΣΙΤΟΣ DKC6340</v>
      </c>
      <c r="B925" s="4" t="s">
        <v>1496</v>
      </c>
      <c r="C925" s="5" t="s">
        <v>1306</v>
      </c>
      <c r="D925" s="28">
        <v>1831.09</v>
      </c>
      <c r="E925" s="28">
        <v>1533.82</v>
      </c>
      <c r="F925" s="7" t="s">
        <v>14</v>
      </c>
      <c r="G925" s="8" t="s">
        <v>1730</v>
      </c>
      <c r="H925" s="8" t="s">
        <v>16</v>
      </c>
      <c r="I925" s="9">
        <v>1867</v>
      </c>
      <c r="J925" s="10" t="s">
        <v>1567</v>
      </c>
      <c r="K925" s="10">
        <v>31136</v>
      </c>
      <c r="L925" s="3" t="str">
        <f t="shared" si="29"/>
        <v>ΑΡΑΒΟΣΙΤΟΣ</v>
      </c>
    </row>
    <row r="926" spans="1:12" s="3" customFormat="1" ht="24" x14ac:dyDescent="0.25">
      <c r="A926" s="3" t="str">
        <f t="shared" si="28"/>
        <v>ΑΡΑΒΟΣΙΤΟΣΑΡΑΒΟΣΙΤΟΣ KEFIEROS</v>
      </c>
      <c r="B926" s="4" t="s">
        <v>1496</v>
      </c>
      <c r="C926" s="5" t="s">
        <v>1308</v>
      </c>
      <c r="D926" s="28">
        <v>1831.09</v>
      </c>
      <c r="E926" s="28">
        <v>1533.82</v>
      </c>
      <c r="F926" s="7" t="s">
        <v>14</v>
      </c>
      <c r="G926" s="8" t="s">
        <v>1731</v>
      </c>
      <c r="H926" s="8" t="s">
        <v>16</v>
      </c>
      <c r="I926" s="9">
        <v>1885</v>
      </c>
      <c r="J926" s="10" t="s">
        <v>1567</v>
      </c>
      <c r="K926" s="10">
        <v>31137</v>
      </c>
      <c r="L926" s="3" t="str">
        <f t="shared" si="29"/>
        <v>ΑΡΑΒΟΣΙΤΟΣ</v>
      </c>
    </row>
    <row r="927" spans="1:12" s="3" customFormat="1" ht="24" x14ac:dyDescent="0.25">
      <c r="A927" s="3" t="str">
        <f t="shared" si="28"/>
        <v>ΑΡΑΒΟΣΙΤΟΣΑΡΑΒΟΣΙΤΟΣ AHIPARA</v>
      </c>
      <c r="B927" s="4" t="s">
        <v>1496</v>
      </c>
      <c r="C927" s="5" t="s">
        <v>1310</v>
      </c>
      <c r="D927" s="6">
        <v>1831.09</v>
      </c>
      <c r="E927" s="6">
        <v>1533.82</v>
      </c>
      <c r="F927" s="7" t="s">
        <v>14</v>
      </c>
      <c r="G927" s="8" t="s">
        <v>1732</v>
      </c>
      <c r="H927" s="8" t="s">
        <v>16</v>
      </c>
      <c r="I927" s="9">
        <v>1862</v>
      </c>
      <c r="J927" s="10" t="s">
        <v>1567</v>
      </c>
      <c r="K927" s="10">
        <v>31139</v>
      </c>
      <c r="L927" s="3" t="str">
        <f t="shared" si="29"/>
        <v>ΑΡΑΒΟΣΙΤΟΣ</v>
      </c>
    </row>
    <row r="928" spans="1:12" s="3" customFormat="1" ht="24" x14ac:dyDescent="0.25">
      <c r="A928" s="3" t="str">
        <f t="shared" si="28"/>
        <v>ΑΡΑΒΟΣΙΤΟΣΑΡΑΒΟΣΙΤΟΣ AKAROA</v>
      </c>
      <c r="B928" s="4" t="s">
        <v>1496</v>
      </c>
      <c r="C928" s="5" t="s">
        <v>1312</v>
      </c>
      <c r="D928" s="6">
        <v>1831.09</v>
      </c>
      <c r="E928" s="6">
        <v>1533.82</v>
      </c>
      <c r="F928" s="7" t="s">
        <v>14</v>
      </c>
      <c r="G928" s="8" t="s">
        <v>1733</v>
      </c>
      <c r="H928" s="8" t="s">
        <v>16</v>
      </c>
      <c r="I928" s="9">
        <v>1863</v>
      </c>
      <c r="J928" s="10" t="s">
        <v>1567</v>
      </c>
      <c r="K928" s="10">
        <v>31140</v>
      </c>
      <c r="L928" s="3" t="str">
        <f t="shared" si="29"/>
        <v>ΑΡΑΒΟΣΙΤΟΣ</v>
      </c>
    </row>
    <row r="929" spans="1:12" s="3" customFormat="1" ht="24" x14ac:dyDescent="0.25">
      <c r="A929" s="3" t="str">
        <f t="shared" si="28"/>
        <v xml:space="preserve">ΑΡΑΒΟΣΙΤΟΣΑΡΑΒΟΣΙΤΟΣ GW 3159 </v>
      </c>
      <c r="B929" s="4" t="s">
        <v>1496</v>
      </c>
      <c r="C929" s="5" t="s">
        <v>1314</v>
      </c>
      <c r="D929" s="6">
        <v>1831.09</v>
      </c>
      <c r="E929" s="6">
        <v>1533.82</v>
      </c>
      <c r="F929" s="7" t="s">
        <v>14</v>
      </c>
      <c r="G929" s="8" t="s">
        <v>1734</v>
      </c>
      <c r="H929" s="8" t="s">
        <v>16</v>
      </c>
      <c r="I929" s="9">
        <v>1864</v>
      </c>
      <c r="J929" s="10" t="s">
        <v>1567</v>
      </c>
      <c r="K929" s="10">
        <v>31141</v>
      </c>
      <c r="L929" s="3" t="str">
        <f t="shared" si="29"/>
        <v>ΑΡΑΒΟΣΙΤΟΣ</v>
      </c>
    </row>
    <row r="930" spans="1:12" s="3" customFormat="1" ht="24" x14ac:dyDescent="0.25">
      <c r="A930" s="3" t="str">
        <f t="shared" si="28"/>
        <v>ΑΡΑΒΟΣΙΤΟΣΑΡΑΒΟΣΙΤΟΣ GW 3807</v>
      </c>
      <c r="B930" s="4" t="s">
        <v>1496</v>
      </c>
      <c r="C930" s="5" t="s">
        <v>1316</v>
      </c>
      <c r="D930" s="6">
        <v>1831.09</v>
      </c>
      <c r="E930" s="6">
        <v>1533.82</v>
      </c>
      <c r="F930" s="7" t="s">
        <v>14</v>
      </c>
      <c r="G930" s="8" t="s">
        <v>1735</v>
      </c>
      <c r="H930" s="8" t="s">
        <v>16</v>
      </c>
      <c r="I930" s="9">
        <v>1865</v>
      </c>
      <c r="J930" s="10" t="s">
        <v>1567</v>
      </c>
      <c r="K930" s="10">
        <v>31142</v>
      </c>
      <c r="L930" s="3" t="str">
        <f t="shared" si="29"/>
        <v>ΑΡΑΒΟΣΙΤΟΣ</v>
      </c>
    </row>
    <row r="931" spans="1:12" s="3" customFormat="1" ht="24" x14ac:dyDescent="0.25">
      <c r="A931" s="3" t="str">
        <f t="shared" si="28"/>
        <v>ΑΡΑΒΟΣΙΤΟΣΑΡΑΒΟΣΙΤΟΣ DKC 5530</v>
      </c>
      <c r="B931" s="4" t="s">
        <v>1496</v>
      </c>
      <c r="C931" s="5" t="s">
        <v>1318</v>
      </c>
      <c r="D931" s="6">
        <v>1831.09</v>
      </c>
      <c r="E931" s="6">
        <v>1533.82</v>
      </c>
      <c r="F931" s="7" t="s">
        <v>14</v>
      </c>
      <c r="G931" s="8" t="s">
        <v>1736</v>
      </c>
      <c r="H931" s="8" t="s">
        <v>16</v>
      </c>
      <c r="I931" s="9">
        <v>1866</v>
      </c>
      <c r="J931" s="10" t="s">
        <v>1567</v>
      </c>
      <c r="K931" s="10">
        <v>31143</v>
      </c>
      <c r="L931" s="3" t="str">
        <f t="shared" si="29"/>
        <v>ΑΡΑΒΟΣΙΤΟΣ</v>
      </c>
    </row>
    <row r="932" spans="1:12" s="3" customFormat="1" ht="24" x14ac:dyDescent="0.25">
      <c r="A932" s="3" t="str">
        <f t="shared" si="28"/>
        <v>ΑΡΑΒΟΣΙΤΟΣΑΡΑΒΟΣΙΤΟΣ ZP 341</v>
      </c>
      <c r="B932" s="4" t="s">
        <v>1496</v>
      </c>
      <c r="C932" s="5" t="s">
        <v>1320</v>
      </c>
      <c r="D932" s="6">
        <v>1831.09</v>
      </c>
      <c r="E932" s="6">
        <v>1533.82</v>
      </c>
      <c r="F932" s="7" t="s">
        <v>14</v>
      </c>
      <c r="G932" s="8" t="s">
        <v>1737</v>
      </c>
      <c r="H932" s="8" t="s">
        <v>16</v>
      </c>
      <c r="I932" s="9">
        <v>1877</v>
      </c>
      <c r="J932" s="10" t="s">
        <v>1567</v>
      </c>
      <c r="K932" s="10">
        <v>31144</v>
      </c>
      <c r="L932" s="3" t="str">
        <f t="shared" si="29"/>
        <v>ΑΡΑΒΟΣΙΤΟΣ</v>
      </c>
    </row>
    <row r="933" spans="1:12" s="3" customFormat="1" ht="24" x14ac:dyDescent="0.25">
      <c r="A933" s="3" t="str">
        <f t="shared" si="28"/>
        <v>ΑΡΑΒΟΣΙΤΟΣΑΡΑΒΟΣΙΤΟΣ PIANTONI</v>
      </c>
      <c r="B933" s="4" t="s">
        <v>1496</v>
      </c>
      <c r="C933" s="5" t="s">
        <v>1322</v>
      </c>
      <c r="D933" s="6">
        <v>1831.09</v>
      </c>
      <c r="E933" s="6">
        <v>1533.82</v>
      </c>
      <c r="F933" s="7" t="s">
        <v>14</v>
      </c>
      <c r="G933" s="8" t="s">
        <v>1738</v>
      </c>
      <c r="H933" s="8" t="s">
        <v>16</v>
      </c>
      <c r="I933" s="9">
        <v>1881</v>
      </c>
      <c r="J933" s="10" t="s">
        <v>1567</v>
      </c>
      <c r="K933" s="10">
        <v>31145</v>
      </c>
      <c r="L933" s="3" t="str">
        <f t="shared" si="29"/>
        <v>ΑΡΑΒΟΣΙΤΟΣ</v>
      </c>
    </row>
    <row r="934" spans="1:12" s="3" customFormat="1" ht="24" x14ac:dyDescent="0.25">
      <c r="A934" s="3" t="str">
        <f t="shared" si="28"/>
        <v>ΑΡΑΒΟΣΙΤΟΣΑΡΑΒΟΣΙΤΟΣ LEONIDAS</v>
      </c>
      <c r="B934" s="4" t="s">
        <v>1496</v>
      </c>
      <c r="C934" s="5" t="s">
        <v>1324</v>
      </c>
      <c r="D934" s="28">
        <v>1831.09</v>
      </c>
      <c r="E934" s="28">
        <v>1533.82</v>
      </c>
      <c r="F934" s="7" t="s">
        <v>14</v>
      </c>
      <c r="G934" s="8" t="s">
        <v>1739</v>
      </c>
      <c r="H934" s="8" t="s">
        <v>16</v>
      </c>
      <c r="I934" s="9">
        <v>1868</v>
      </c>
      <c r="J934" s="10" t="s">
        <v>1567</v>
      </c>
      <c r="K934" s="10">
        <v>31146</v>
      </c>
      <c r="L934" s="3" t="str">
        <f t="shared" si="29"/>
        <v>ΑΡΑΒΟΣΙΤΟΣ</v>
      </c>
    </row>
    <row r="935" spans="1:12" s="3" customFormat="1" ht="24" x14ac:dyDescent="0.25">
      <c r="A935" s="3" t="str">
        <f t="shared" si="28"/>
        <v>ΑΡΑΒΟΣΙΤΟΣΑΡΑΒΟΣΙΤΟΣ P1454</v>
      </c>
      <c r="B935" s="4" t="s">
        <v>1496</v>
      </c>
      <c r="C935" s="5" t="s">
        <v>1326</v>
      </c>
      <c r="D935" s="6">
        <v>1831.09</v>
      </c>
      <c r="E935" s="6">
        <v>1533.82</v>
      </c>
      <c r="F935" s="7" t="s">
        <v>14</v>
      </c>
      <c r="G935" s="8" t="s">
        <v>1740</v>
      </c>
      <c r="H935" s="8" t="s">
        <v>16</v>
      </c>
      <c r="I935" s="9">
        <v>1917</v>
      </c>
      <c r="J935" s="10" t="s">
        <v>1567</v>
      </c>
      <c r="K935" s="10">
        <v>31147</v>
      </c>
      <c r="L935" s="3" t="str">
        <f t="shared" si="29"/>
        <v>ΑΡΑΒΟΣΙΤΟΣ</v>
      </c>
    </row>
    <row r="936" spans="1:12" s="3" customFormat="1" ht="24" x14ac:dyDescent="0.25">
      <c r="A936" s="3" t="str">
        <f t="shared" si="28"/>
        <v>ΑΡΑΒΟΣΙΤΟΣΑΡΑΒΟΣΙΤΟΣ LG31700</v>
      </c>
      <c r="B936" s="4" t="s">
        <v>1496</v>
      </c>
      <c r="C936" s="5" t="s">
        <v>1328</v>
      </c>
      <c r="D936" s="28">
        <v>1831.09</v>
      </c>
      <c r="E936" s="28">
        <v>1533.82</v>
      </c>
      <c r="F936" s="7" t="s">
        <v>14</v>
      </c>
      <c r="G936" s="8" t="s">
        <v>1741</v>
      </c>
      <c r="H936" s="8" t="s">
        <v>16</v>
      </c>
      <c r="I936" s="9">
        <v>1860</v>
      </c>
      <c r="J936" s="10" t="s">
        <v>1567</v>
      </c>
      <c r="K936" s="10">
        <v>31148</v>
      </c>
      <c r="L936" s="3" t="str">
        <f t="shared" si="29"/>
        <v>ΑΡΑΒΟΣΙΤΟΣ</v>
      </c>
    </row>
    <row r="937" spans="1:12" s="3" customFormat="1" ht="24" x14ac:dyDescent="0.25">
      <c r="A937" s="3" t="str">
        <f t="shared" si="28"/>
        <v>ΑΡΑΒΟΣΙΤΟΣMAS64P</v>
      </c>
      <c r="B937" s="4" t="s">
        <v>1496</v>
      </c>
      <c r="C937" s="5" t="s">
        <v>1742</v>
      </c>
      <c r="D937" s="6">
        <v>1831.09</v>
      </c>
      <c r="E937" s="6">
        <v>1533.82</v>
      </c>
      <c r="F937" s="7" t="s">
        <v>14</v>
      </c>
      <c r="G937" s="8" t="s">
        <v>1743</v>
      </c>
      <c r="H937" s="8" t="s">
        <v>16</v>
      </c>
      <c r="I937" s="9">
        <v>1870</v>
      </c>
      <c r="J937" s="10" t="s">
        <v>1567</v>
      </c>
      <c r="K937" s="10">
        <v>31149</v>
      </c>
      <c r="L937" s="3" t="str">
        <f t="shared" si="29"/>
        <v>ΑΡΑΒΟΣΙΤΟΣ</v>
      </c>
    </row>
    <row r="938" spans="1:12" s="3" customFormat="1" ht="24" x14ac:dyDescent="0.25">
      <c r="A938" s="3" t="str">
        <f t="shared" si="28"/>
        <v>ΑΡΑΒΟΣΙΤΟΣΑΡΑΒΟΣΙΤΟΣ 68Κ</v>
      </c>
      <c r="B938" s="4" t="s">
        <v>1496</v>
      </c>
      <c r="C938" s="5" t="s">
        <v>1744</v>
      </c>
      <c r="D938" s="6">
        <v>1831.09</v>
      </c>
      <c r="E938" s="6">
        <v>1533.82</v>
      </c>
      <c r="F938" s="7" t="s">
        <v>14</v>
      </c>
      <c r="G938" s="8" t="s">
        <v>1745</v>
      </c>
      <c r="H938" s="8" t="s">
        <v>16</v>
      </c>
      <c r="I938" s="9">
        <v>1871</v>
      </c>
      <c r="J938" s="10" t="s">
        <v>1567</v>
      </c>
      <c r="K938" s="10">
        <v>31150</v>
      </c>
      <c r="L938" s="3" t="str">
        <f t="shared" si="29"/>
        <v>ΑΡΑΒΟΣΙΤΟΣ</v>
      </c>
    </row>
    <row r="939" spans="1:12" s="3" customFormat="1" ht="24" x14ac:dyDescent="0.25">
      <c r="A939" s="3" t="str">
        <f t="shared" si="28"/>
        <v>ΑΡΑΒΟΣΙΤΟΣΑΡΑΒΟΣΙΤΟΣ P1672</v>
      </c>
      <c r="B939" s="4" t="s">
        <v>1496</v>
      </c>
      <c r="C939" s="5" t="s">
        <v>1332</v>
      </c>
      <c r="D939" s="6">
        <v>1831.09</v>
      </c>
      <c r="E939" s="6">
        <v>1533.82</v>
      </c>
      <c r="F939" s="7" t="s">
        <v>14</v>
      </c>
      <c r="G939" s="8" t="s">
        <v>1746</v>
      </c>
      <c r="H939" s="8" t="s">
        <v>16</v>
      </c>
      <c r="I939" s="9">
        <v>1872</v>
      </c>
      <c r="J939" s="10" t="s">
        <v>1567</v>
      </c>
      <c r="K939" s="10">
        <v>31151</v>
      </c>
      <c r="L939" s="3" t="str">
        <f t="shared" si="29"/>
        <v>ΑΡΑΒΟΣΙΤΟΣ</v>
      </c>
    </row>
    <row r="940" spans="1:12" s="3" customFormat="1" ht="24" x14ac:dyDescent="0.25">
      <c r="A940" s="3" t="str">
        <f t="shared" si="28"/>
        <v>ΑΡΑΒΟΣΙΤΟΣΑΡΑΒΟΣΙΤΟΣ P1916</v>
      </c>
      <c r="B940" s="4" t="s">
        <v>1496</v>
      </c>
      <c r="C940" s="5" t="s">
        <v>1334</v>
      </c>
      <c r="D940" s="6">
        <v>1831.09</v>
      </c>
      <c r="E940" s="6">
        <v>1533.82</v>
      </c>
      <c r="F940" s="7" t="s">
        <v>14</v>
      </c>
      <c r="G940" s="8" t="s">
        <v>1747</v>
      </c>
      <c r="H940" s="8" t="s">
        <v>16</v>
      </c>
      <c r="I940" s="9">
        <v>1873</v>
      </c>
      <c r="J940" s="10" t="s">
        <v>1567</v>
      </c>
      <c r="K940" s="10">
        <v>31152</v>
      </c>
      <c r="L940" s="3" t="str">
        <f t="shared" si="29"/>
        <v>ΑΡΑΒΟΣΙΤΟΣ</v>
      </c>
    </row>
    <row r="941" spans="1:12" s="3" customFormat="1" ht="24" x14ac:dyDescent="0.25">
      <c r="A941" s="3" t="str">
        <f t="shared" si="28"/>
        <v>ΑΡΑΒΟΣΙΤΟΣΑΡΑΒΟΣΙΤΟΣ DKC6897</v>
      </c>
      <c r="B941" s="4" t="s">
        <v>1496</v>
      </c>
      <c r="C941" s="5" t="s">
        <v>1336</v>
      </c>
      <c r="D941" s="28">
        <v>1831.09</v>
      </c>
      <c r="E941" s="28">
        <v>1533.82</v>
      </c>
      <c r="F941" s="7" t="s">
        <v>14</v>
      </c>
      <c r="G941" s="8" t="s">
        <v>1748</v>
      </c>
      <c r="H941" s="8" t="s">
        <v>16</v>
      </c>
      <c r="I941" s="9">
        <v>1874</v>
      </c>
      <c r="J941" s="10" t="s">
        <v>1567</v>
      </c>
      <c r="K941" s="10">
        <v>31153</v>
      </c>
      <c r="L941" s="3" t="str">
        <f t="shared" si="29"/>
        <v>ΑΡΑΒΟΣΙΤΟΣ</v>
      </c>
    </row>
    <row r="942" spans="1:12" s="3" customFormat="1" ht="24" x14ac:dyDescent="0.25">
      <c r="A942" s="3" t="str">
        <f t="shared" si="28"/>
        <v>ΑΡΑΒΟΣΙΤΟΣΑΡΑΒΟΣΙΤΟΣ GW 4627</v>
      </c>
      <c r="B942" s="21" t="s">
        <v>1496</v>
      </c>
      <c r="C942" s="22" t="s">
        <v>1338</v>
      </c>
      <c r="D942" s="6">
        <v>1831.09</v>
      </c>
      <c r="E942" s="6">
        <v>1533.82</v>
      </c>
      <c r="F942" s="7" t="s">
        <v>14</v>
      </c>
      <c r="G942" s="8" t="s">
        <v>1749</v>
      </c>
      <c r="H942" s="8" t="s">
        <v>16</v>
      </c>
      <c r="I942" s="9">
        <v>5200</v>
      </c>
      <c r="J942" s="16" t="s">
        <v>1567</v>
      </c>
      <c r="K942" s="16">
        <v>31154</v>
      </c>
      <c r="L942" s="3" t="str">
        <f t="shared" si="29"/>
        <v>ΑΡΑΒΟΣΙΤΟΣ</v>
      </c>
    </row>
    <row r="943" spans="1:12" s="3" customFormat="1" ht="24" x14ac:dyDescent="0.25">
      <c r="A943" s="3" t="str">
        <f t="shared" si="28"/>
        <v>ΑΡΑΒΟΣΙΤΟΣΑΡΑΒΟΣΙΤΟΣ LG31695</v>
      </c>
      <c r="B943" s="21" t="s">
        <v>1496</v>
      </c>
      <c r="C943" s="22" t="s">
        <v>1340</v>
      </c>
      <c r="D943" s="28">
        <v>1831.09</v>
      </c>
      <c r="E943" s="28">
        <v>1533.82</v>
      </c>
      <c r="F943" s="7" t="s">
        <v>14</v>
      </c>
      <c r="G943" s="8" t="s">
        <v>1750</v>
      </c>
      <c r="H943" s="8" t="s">
        <v>16</v>
      </c>
      <c r="I943" s="9">
        <v>5193</v>
      </c>
      <c r="J943" s="16" t="s">
        <v>1567</v>
      </c>
      <c r="K943" s="16">
        <v>31155</v>
      </c>
      <c r="L943" s="3" t="str">
        <f t="shared" si="29"/>
        <v>ΑΡΑΒΟΣΙΤΟΣ</v>
      </c>
    </row>
    <row r="944" spans="1:12" s="3" customFormat="1" ht="24" x14ac:dyDescent="0.25">
      <c r="A944" s="3" t="str">
        <f t="shared" si="28"/>
        <v>ΑΡΑΒΟΣΙΤΟΣΑΡΑΒΟΣΙΤΟΣ DKC6050</v>
      </c>
      <c r="B944" s="21" t="s">
        <v>1496</v>
      </c>
      <c r="C944" s="22" t="s">
        <v>1342</v>
      </c>
      <c r="D944" s="28">
        <v>1831.09</v>
      </c>
      <c r="E944" s="28">
        <v>1533.82</v>
      </c>
      <c r="F944" s="7" t="s">
        <v>14</v>
      </c>
      <c r="G944" s="8" t="s">
        <v>1751</v>
      </c>
      <c r="H944" s="8" t="s">
        <v>16</v>
      </c>
      <c r="I944" s="9">
        <v>5194</v>
      </c>
      <c r="J944" s="16" t="s">
        <v>1567</v>
      </c>
      <c r="K944" s="16">
        <v>31156</v>
      </c>
      <c r="L944" s="3" t="str">
        <f t="shared" si="29"/>
        <v>ΑΡΑΒΟΣΙΤΟΣ</v>
      </c>
    </row>
    <row r="945" spans="1:12" s="3" customFormat="1" ht="24" x14ac:dyDescent="0.25">
      <c r="A945" s="3" t="str">
        <f t="shared" si="28"/>
        <v>ΑΡΑΒΟΣΙΤΟΣΑΡΑΒΟΣΙΤΟΣ DKC5182</v>
      </c>
      <c r="B945" s="21" t="s">
        <v>1496</v>
      </c>
      <c r="C945" s="22" t="s">
        <v>1344</v>
      </c>
      <c r="D945" s="6">
        <v>1831.09</v>
      </c>
      <c r="E945" s="6">
        <v>1533.82</v>
      </c>
      <c r="F945" s="7" t="s">
        <v>14</v>
      </c>
      <c r="G945" s="8" t="s">
        <v>1752</v>
      </c>
      <c r="H945" s="8" t="s">
        <v>16</v>
      </c>
      <c r="I945" s="9">
        <v>5195</v>
      </c>
      <c r="J945" s="16" t="s">
        <v>1567</v>
      </c>
      <c r="K945" s="16">
        <v>31157</v>
      </c>
      <c r="L945" s="3" t="str">
        <f t="shared" si="29"/>
        <v>ΑΡΑΒΟΣΙΤΟΣ</v>
      </c>
    </row>
    <row r="946" spans="1:12" s="3" customFormat="1" ht="24" x14ac:dyDescent="0.25">
      <c r="A946" s="3" t="str">
        <f t="shared" si="28"/>
        <v>ΑΡΑΒΟΣΙΤΟΣΑΡΑΒΟΣΙΤΟΣ P0900</v>
      </c>
      <c r="B946" s="21" t="s">
        <v>1496</v>
      </c>
      <c r="C946" s="22" t="s">
        <v>1346</v>
      </c>
      <c r="D946" s="6">
        <v>1831.09</v>
      </c>
      <c r="E946" s="6">
        <v>1533.82</v>
      </c>
      <c r="F946" s="7" t="s">
        <v>14</v>
      </c>
      <c r="G946" s="8" t="s">
        <v>1753</v>
      </c>
      <c r="H946" s="8" t="s">
        <v>16</v>
      </c>
      <c r="I946" s="9">
        <v>5196</v>
      </c>
      <c r="J946" s="16" t="s">
        <v>1567</v>
      </c>
      <c r="K946" s="16">
        <v>31158</v>
      </c>
      <c r="L946" s="3" t="str">
        <f t="shared" si="29"/>
        <v>ΑΡΑΒΟΣΙΤΟΣ</v>
      </c>
    </row>
    <row r="947" spans="1:12" s="3" customFormat="1" ht="24" x14ac:dyDescent="0.25">
      <c r="A947" s="3" t="str">
        <f t="shared" si="28"/>
        <v>ΑΡΑΒΟΣΙΤΟΣΑΡΑΒΟΣΙΤΟΣ P0023</v>
      </c>
      <c r="B947" s="21" t="s">
        <v>1496</v>
      </c>
      <c r="C947" s="22" t="s">
        <v>1348</v>
      </c>
      <c r="D947" s="6">
        <v>1831.09</v>
      </c>
      <c r="E947" s="6">
        <v>1533.82</v>
      </c>
      <c r="F947" s="7" t="s">
        <v>14</v>
      </c>
      <c r="G947" s="8" t="s">
        <v>1754</v>
      </c>
      <c r="H947" s="8" t="s">
        <v>16</v>
      </c>
      <c r="I947" s="9">
        <v>5197</v>
      </c>
      <c r="J947" s="16" t="s">
        <v>1567</v>
      </c>
      <c r="K947" s="16">
        <v>31159</v>
      </c>
      <c r="L947" s="3" t="str">
        <f t="shared" si="29"/>
        <v>ΑΡΑΒΟΣΙΤΟΣ</v>
      </c>
    </row>
    <row r="948" spans="1:12" s="3" customFormat="1" ht="24" x14ac:dyDescent="0.25">
      <c r="A948" s="3" t="str">
        <f t="shared" si="28"/>
        <v>ΑΡΑΒΟΣΙΤΟΣΑΡΑΒΟΣΙΤΟΣ 68K</v>
      </c>
      <c r="B948" s="21" t="s">
        <v>1496</v>
      </c>
      <c r="C948" s="22" t="s">
        <v>1350</v>
      </c>
      <c r="D948" s="6">
        <v>1831.09</v>
      </c>
      <c r="E948" s="6">
        <v>1533.82</v>
      </c>
      <c r="F948" s="7" t="s">
        <v>14</v>
      </c>
      <c r="G948" s="8" t="s">
        <v>1755</v>
      </c>
      <c r="H948" s="8" t="s">
        <v>16</v>
      </c>
      <c r="I948" s="9">
        <v>5198</v>
      </c>
      <c r="J948" s="16" t="s">
        <v>1567</v>
      </c>
      <c r="K948" s="16">
        <v>31160</v>
      </c>
      <c r="L948" s="3" t="str">
        <f t="shared" si="29"/>
        <v>ΑΡΑΒΟΣΙΤΟΣ</v>
      </c>
    </row>
    <row r="949" spans="1:12" s="3" customFormat="1" ht="24" x14ac:dyDescent="0.25">
      <c r="A949" s="3" t="str">
        <f t="shared" si="28"/>
        <v>ΑΡΑΒΟΣΙΤΟΣΑΡΑΒΟΣΙΤΟΣ KWS INTELIGENS</v>
      </c>
      <c r="B949" s="21" t="s">
        <v>1496</v>
      </c>
      <c r="C949" s="22" t="s">
        <v>1352</v>
      </c>
      <c r="D949" s="28">
        <v>1831.09</v>
      </c>
      <c r="E949" s="28">
        <v>1533.82</v>
      </c>
      <c r="F949" s="7" t="s">
        <v>14</v>
      </c>
      <c r="G949" s="8" t="s">
        <v>1756</v>
      </c>
      <c r="H949" s="8" t="s">
        <v>16</v>
      </c>
      <c r="I949" s="9">
        <v>5199</v>
      </c>
      <c r="J949" s="16" t="s">
        <v>1567</v>
      </c>
      <c r="K949" s="16">
        <v>31161</v>
      </c>
      <c r="L949" s="3" t="str">
        <f t="shared" si="29"/>
        <v>ΑΡΑΒΟΣΙΤΟΣ</v>
      </c>
    </row>
    <row r="950" spans="1:12" s="3" customFormat="1" ht="24" x14ac:dyDescent="0.25">
      <c r="A950" s="3" t="str">
        <f t="shared" si="28"/>
        <v>ΑΡΑΒΟΣΙΤΟΣΑΡΑΒΟΣΙΤΟΣ FUERZA</v>
      </c>
      <c r="B950" s="23" t="s">
        <v>1496</v>
      </c>
      <c r="C950" s="24" t="s">
        <v>1354</v>
      </c>
      <c r="D950" s="28">
        <v>1831.09</v>
      </c>
      <c r="E950" s="28">
        <v>1533.82</v>
      </c>
      <c r="F950" s="29" t="s">
        <v>14</v>
      </c>
      <c r="G950" s="8" t="s">
        <v>1757</v>
      </c>
      <c r="H950" s="8" t="s">
        <v>16</v>
      </c>
      <c r="I950" s="9">
        <v>5341</v>
      </c>
      <c r="J950" s="26">
        <v>3.1</v>
      </c>
      <c r="K950" s="27">
        <v>31162</v>
      </c>
      <c r="L950" s="3" t="str">
        <f t="shared" si="29"/>
        <v>ΑΡΑΒΟΣΙΤΟΣ</v>
      </c>
    </row>
    <row r="951" spans="1:12" s="3" customFormat="1" ht="24" x14ac:dyDescent="0.25">
      <c r="A951" s="3" t="str">
        <f t="shared" si="28"/>
        <v>ΑΡΑΒΟΣΙΤΟΣΑΡΑΒΟΣΙΤΟΣ SNH 9609</v>
      </c>
      <c r="B951" s="23" t="s">
        <v>1496</v>
      </c>
      <c r="C951" s="24" t="s">
        <v>1356</v>
      </c>
      <c r="D951" s="6">
        <v>1831.09</v>
      </c>
      <c r="E951" s="6">
        <v>1533.82</v>
      </c>
      <c r="F951" s="29" t="s">
        <v>14</v>
      </c>
      <c r="G951" s="8" t="s">
        <v>1758</v>
      </c>
      <c r="H951" s="8" t="s">
        <v>16</v>
      </c>
      <c r="I951" s="9">
        <v>5342</v>
      </c>
      <c r="J951" s="26">
        <v>3.1</v>
      </c>
      <c r="K951" s="27">
        <v>31163</v>
      </c>
      <c r="L951" s="3" t="str">
        <f t="shared" si="29"/>
        <v>ΑΡΑΒΟΣΙΤΟΣ</v>
      </c>
    </row>
    <row r="952" spans="1:12" s="3" customFormat="1" ht="24" x14ac:dyDescent="0.25">
      <c r="A952" s="3" t="str">
        <f t="shared" si="28"/>
        <v>ΑΡΑΒΟΣΙΤΟΣΑΡΑΒΟΣΙΤΟΣ OTAKAU</v>
      </c>
      <c r="B952" s="23" t="s">
        <v>1496</v>
      </c>
      <c r="C952" s="24" t="s">
        <v>1358</v>
      </c>
      <c r="D952" s="6">
        <v>1831.09</v>
      </c>
      <c r="E952" s="6">
        <v>1533.82</v>
      </c>
      <c r="F952" s="29" t="s">
        <v>14</v>
      </c>
      <c r="G952" s="8" t="s">
        <v>1759</v>
      </c>
      <c r="H952" s="8" t="s">
        <v>16</v>
      </c>
      <c r="I952" s="9">
        <v>5343</v>
      </c>
      <c r="J952" s="26">
        <v>3.1</v>
      </c>
      <c r="K952" s="27">
        <v>31164</v>
      </c>
      <c r="L952" s="3" t="str">
        <f t="shared" si="29"/>
        <v>ΑΡΑΒΟΣΙΤΟΣ</v>
      </c>
    </row>
    <row r="953" spans="1:12" s="3" customFormat="1" ht="24" x14ac:dyDescent="0.25">
      <c r="A953" s="3" t="str">
        <f t="shared" si="28"/>
        <v>ΑΡΑΒΟΣΙΤΟΣΑΡΑΒΟΣΙΤΟΣ RUNANGA</v>
      </c>
      <c r="B953" s="23" t="s">
        <v>1496</v>
      </c>
      <c r="C953" s="24" t="s">
        <v>1360</v>
      </c>
      <c r="D953" s="6">
        <v>1831.09</v>
      </c>
      <c r="E953" s="6">
        <v>1533.82</v>
      </c>
      <c r="F953" s="29" t="s">
        <v>14</v>
      </c>
      <c r="G953" s="8" t="s">
        <v>1760</v>
      </c>
      <c r="H953" s="8" t="s">
        <v>16</v>
      </c>
      <c r="I953" s="9">
        <v>5344</v>
      </c>
      <c r="J953" s="26">
        <v>3.1</v>
      </c>
      <c r="K953" s="27">
        <v>31165</v>
      </c>
      <c r="L953" s="3" t="str">
        <f t="shared" si="29"/>
        <v>ΑΡΑΒΟΣΙΤΟΣ</v>
      </c>
    </row>
    <row r="954" spans="1:12" s="3" customFormat="1" ht="24" x14ac:dyDescent="0.25">
      <c r="A954" s="3" t="str">
        <f t="shared" si="28"/>
        <v>ΑΡΑΒΟΣΙΤΟΣΑΡΑΒΟΣΙΤΟΣ P2085</v>
      </c>
      <c r="B954" s="23" t="s">
        <v>1496</v>
      </c>
      <c r="C954" s="24" t="s">
        <v>1362</v>
      </c>
      <c r="D954" s="6">
        <v>1831.09</v>
      </c>
      <c r="E954" s="6">
        <v>1533.82</v>
      </c>
      <c r="F954" s="29" t="s">
        <v>14</v>
      </c>
      <c r="G954" s="8" t="s">
        <v>1761</v>
      </c>
      <c r="H954" s="8" t="s">
        <v>16</v>
      </c>
      <c r="I954" s="9">
        <v>5345</v>
      </c>
      <c r="J954" s="26">
        <v>3.1</v>
      </c>
      <c r="K954" s="27">
        <v>31166</v>
      </c>
      <c r="L954" s="3" t="str">
        <f t="shared" si="29"/>
        <v>ΑΡΑΒΟΣΙΤΟΣ</v>
      </c>
    </row>
    <row r="955" spans="1:12" s="3" customFormat="1" ht="24" x14ac:dyDescent="0.25">
      <c r="A955" s="3" t="str">
        <f t="shared" si="28"/>
        <v>ΑΡΑΒΟΣΙΤΟΣΑΡΑΒΟΣΙΤΟΣ SMEDEREVO</v>
      </c>
      <c r="B955" s="23" t="s">
        <v>1496</v>
      </c>
      <c r="C955" s="24" t="s">
        <v>1364</v>
      </c>
      <c r="D955" s="6">
        <v>1831.09</v>
      </c>
      <c r="E955" s="6">
        <v>1533.82</v>
      </c>
      <c r="F955" s="29" t="s">
        <v>14</v>
      </c>
      <c r="G955" s="8" t="s">
        <v>1762</v>
      </c>
      <c r="H955" s="8" t="s">
        <v>16</v>
      </c>
      <c r="I955" s="9">
        <v>5346</v>
      </c>
      <c r="J955" s="26">
        <v>3.1</v>
      </c>
      <c r="K955" s="27">
        <v>31167</v>
      </c>
      <c r="L955" s="3" t="str">
        <f t="shared" si="29"/>
        <v>ΑΡΑΒΟΣΙΤΟΣ</v>
      </c>
    </row>
    <row r="956" spans="1:12" s="3" customFormat="1" ht="24" x14ac:dyDescent="0.25">
      <c r="A956" s="3" t="str">
        <f t="shared" si="28"/>
        <v>ΑΡΑΒΟΣΙΤΟΣΑΡΑΒΟΣΙΤΟΣ DKC6492</v>
      </c>
      <c r="B956" s="23" t="s">
        <v>1496</v>
      </c>
      <c r="C956" s="24" t="s">
        <v>1366</v>
      </c>
      <c r="D956" s="28">
        <v>1831.09</v>
      </c>
      <c r="E956" s="28">
        <v>1533.82</v>
      </c>
      <c r="F956" s="29" t="s">
        <v>14</v>
      </c>
      <c r="G956" s="8" t="s">
        <v>1763</v>
      </c>
      <c r="H956" s="8" t="s">
        <v>16</v>
      </c>
      <c r="I956" s="9">
        <v>5347</v>
      </c>
      <c r="J956" s="26">
        <v>3.1</v>
      </c>
      <c r="K956" s="27">
        <v>31168</v>
      </c>
      <c r="L956" s="3" t="str">
        <f t="shared" si="29"/>
        <v>ΑΡΑΒΟΣΙΤΟΣ</v>
      </c>
    </row>
    <row r="957" spans="1:12" s="3" customFormat="1" ht="24" x14ac:dyDescent="0.25">
      <c r="A957" s="3" t="str">
        <f t="shared" si="28"/>
        <v>ΑΡΑΒΟΣΙΤΟΣΑΡΑΒΟΣΙΤΟΣ DKC6092</v>
      </c>
      <c r="B957" s="23" t="s">
        <v>1496</v>
      </c>
      <c r="C957" s="24" t="s">
        <v>1368</v>
      </c>
      <c r="D957" s="28">
        <v>1831.09</v>
      </c>
      <c r="E957" s="28">
        <v>1533.82</v>
      </c>
      <c r="F957" s="29" t="s">
        <v>14</v>
      </c>
      <c r="G957" s="8" t="s">
        <v>1764</v>
      </c>
      <c r="H957" s="8" t="s">
        <v>16</v>
      </c>
      <c r="I957" s="9">
        <v>5348</v>
      </c>
      <c r="J957" s="26">
        <v>3.1</v>
      </c>
      <c r="K957" s="27">
        <v>31169</v>
      </c>
      <c r="L957" s="3" t="str">
        <f t="shared" si="29"/>
        <v>ΑΡΑΒΟΣΙΤΟΣ</v>
      </c>
    </row>
    <row r="958" spans="1:12" s="3" customFormat="1" ht="24" x14ac:dyDescent="0.25">
      <c r="A958" s="3" t="str">
        <f t="shared" si="28"/>
        <v>ΑΡΑΒΟΣΙΤΟΣΑΡΑΒΟΣΙΤΟΣ SY GIANT</v>
      </c>
      <c r="B958" s="23" t="s">
        <v>1496</v>
      </c>
      <c r="C958" s="24" t="s">
        <v>1370</v>
      </c>
      <c r="D958" s="6">
        <v>1831.09</v>
      </c>
      <c r="E958" s="6">
        <v>1533.82</v>
      </c>
      <c r="F958" s="29" t="s">
        <v>14</v>
      </c>
      <c r="G958" s="8" t="s">
        <v>1765</v>
      </c>
      <c r="H958" s="8" t="s">
        <v>16</v>
      </c>
      <c r="I958" s="9">
        <v>5349</v>
      </c>
      <c r="J958" s="26">
        <v>3.1</v>
      </c>
      <c r="K958" s="27">
        <v>31170</v>
      </c>
      <c r="L958" s="3" t="str">
        <f t="shared" si="29"/>
        <v>ΑΡΑΒΟΣΙΤΟΣ</v>
      </c>
    </row>
    <row r="959" spans="1:12" s="3" customFormat="1" ht="24" x14ac:dyDescent="0.25">
      <c r="A959" s="3" t="str">
        <f t="shared" si="28"/>
        <v>ΑΡΑΒΟΣΙΤΟΣΑΡΑΒΟΣΙΤΟΣ SNH9503</v>
      </c>
      <c r="B959" s="23" t="s">
        <v>1496</v>
      </c>
      <c r="C959" s="24" t="s">
        <v>1372</v>
      </c>
      <c r="D959" s="6">
        <v>1831.09</v>
      </c>
      <c r="E959" s="6">
        <v>1533.82</v>
      </c>
      <c r="F959" s="29" t="s">
        <v>14</v>
      </c>
      <c r="G959" s="8" t="s">
        <v>1766</v>
      </c>
      <c r="H959" s="8" t="s">
        <v>16</v>
      </c>
      <c r="I959" s="9">
        <v>5350</v>
      </c>
      <c r="J959" s="26">
        <v>3.1</v>
      </c>
      <c r="K959" s="27">
        <v>31171</v>
      </c>
      <c r="L959" s="3" t="str">
        <f t="shared" si="29"/>
        <v>ΑΡΑΒΟΣΙΤΟΣ</v>
      </c>
    </row>
    <row r="960" spans="1:12" s="3" customFormat="1" ht="24" x14ac:dyDescent="0.25">
      <c r="A960" s="3" t="str">
        <f t="shared" si="28"/>
        <v>ΑΡΑΒΟΣΙΤΟΣΑΡΑΒΟΣΙΤΟΣ ABANTO</v>
      </c>
      <c r="B960" s="23" t="s">
        <v>1496</v>
      </c>
      <c r="C960" s="24" t="s">
        <v>1374</v>
      </c>
      <c r="D960" s="6">
        <v>1831.09</v>
      </c>
      <c r="E960" s="6">
        <v>1533.82</v>
      </c>
      <c r="F960" s="29" t="s">
        <v>14</v>
      </c>
      <c r="G960" s="8" t="s">
        <v>1767</v>
      </c>
      <c r="H960" s="8" t="s">
        <v>16</v>
      </c>
      <c r="I960" s="9">
        <v>5351</v>
      </c>
      <c r="J960" s="26">
        <v>3.1</v>
      </c>
      <c r="K960" s="27">
        <v>31172</v>
      </c>
      <c r="L960" s="3" t="str">
        <f t="shared" si="29"/>
        <v>ΑΡΑΒΟΣΙΤΟΣ</v>
      </c>
    </row>
    <row r="961" spans="1:12" s="3" customFormat="1" ht="24" x14ac:dyDescent="0.25">
      <c r="A961" s="3" t="str">
        <f t="shared" si="28"/>
        <v>ΑΡΑΒΟΣΙΤΟΣΑΡΑΒΟΣΙΤΟΣ MAY 75</v>
      </c>
      <c r="B961" s="23" t="s">
        <v>1496</v>
      </c>
      <c r="C961" s="24" t="s">
        <v>1376</v>
      </c>
      <c r="D961" s="28">
        <v>1831.09</v>
      </c>
      <c r="E961" s="28">
        <v>1533.82</v>
      </c>
      <c r="F961" s="29" t="s">
        <v>14</v>
      </c>
      <c r="G961" s="8" t="s">
        <v>1768</v>
      </c>
      <c r="H961" s="8" t="s">
        <v>16</v>
      </c>
      <c r="I961" s="9">
        <v>5352</v>
      </c>
      <c r="J961" s="26">
        <v>3.1</v>
      </c>
      <c r="K961" s="27">
        <v>31173</v>
      </c>
      <c r="L961" s="3" t="str">
        <f t="shared" si="29"/>
        <v>ΑΡΑΒΟΣΙΤΟΣ</v>
      </c>
    </row>
    <row r="962" spans="1:12" s="3" customFormat="1" ht="24" x14ac:dyDescent="0.25">
      <c r="A962" s="3" t="str">
        <f t="shared" si="28"/>
        <v>ΑΡΑΒΟΣΙΤΟΣΑΡΑΒΟΣΙΤΟΣ WICHITA</v>
      </c>
      <c r="B962" s="23" t="s">
        <v>1496</v>
      </c>
      <c r="C962" s="24" t="s">
        <v>1378</v>
      </c>
      <c r="D962" s="6">
        <v>1831.09</v>
      </c>
      <c r="E962" s="6">
        <v>1533.82</v>
      </c>
      <c r="F962" s="29" t="s">
        <v>14</v>
      </c>
      <c r="G962" s="8" t="s">
        <v>1769</v>
      </c>
      <c r="H962" s="8" t="s">
        <v>16</v>
      </c>
      <c r="I962" s="9">
        <v>5353</v>
      </c>
      <c r="J962" s="26">
        <v>3.1</v>
      </c>
      <c r="K962" s="27">
        <v>31174</v>
      </c>
      <c r="L962" s="3" t="str">
        <f t="shared" si="29"/>
        <v>ΑΡΑΒΟΣΙΤΟΣ</v>
      </c>
    </row>
    <row r="963" spans="1:12" s="3" customFormat="1" x14ac:dyDescent="0.25">
      <c r="A963" s="3" t="str">
        <f t="shared" ref="A963:A1026" si="30">_xlfn.CONCAT(B963,C963)</f>
        <v>ΑΡΑΒΟΣΙΤΟΣΑΡΑΒΟΣΙΤΟΣ LG30600</v>
      </c>
      <c r="B963" s="23" t="s">
        <v>1496</v>
      </c>
      <c r="C963" s="24" t="s">
        <v>1082</v>
      </c>
      <c r="D963" s="28">
        <v>1831.09</v>
      </c>
      <c r="E963" s="28">
        <v>1533.82</v>
      </c>
      <c r="F963" s="6" t="s">
        <v>14</v>
      </c>
      <c r="G963" s="30" t="s">
        <v>1770</v>
      </c>
      <c r="H963" s="31" t="s">
        <v>577</v>
      </c>
      <c r="I963" s="9">
        <v>5784</v>
      </c>
      <c r="J963" s="30" t="s">
        <v>1567</v>
      </c>
      <c r="K963" s="30">
        <v>31175</v>
      </c>
      <c r="L963" s="3" t="str">
        <f t="shared" ref="L963:L1026" si="31">IFERROR(SUBSTITUTE(SUBSTITUTE(SUBSTITUTE(SUBSTITUTE(SUBSTITUTE(B963, "-", "_"), " ", "_"), ",", ""), "(", ""), ")", ""), B963)</f>
        <v>ΑΡΑΒΟΣΙΤΟΣ</v>
      </c>
    </row>
    <row r="964" spans="1:12" s="3" customFormat="1" x14ac:dyDescent="0.25">
      <c r="A964" s="3" t="str">
        <f t="shared" si="30"/>
        <v>ΑΡΑΒΟΣΙΤΟΣΑΡΑΒΟΣΙΤΟΣ DKC6919</v>
      </c>
      <c r="B964" s="23" t="s">
        <v>1496</v>
      </c>
      <c r="C964" s="24" t="s">
        <v>1380</v>
      </c>
      <c r="D964" s="28">
        <v>1831.09</v>
      </c>
      <c r="E964" s="28">
        <v>1533.82</v>
      </c>
      <c r="F964" s="6" t="s">
        <v>14</v>
      </c>
      <c r="G964" s="30" t="s">
        <v>1771</v>
      </c>
      <c r="H964" s="31" t="s">
        <v>577</v>
      </c>
      <c r="I964" s="9">
        <v>5694</v>
      </c>
      <c r="J964" s="30" t="s">
        <v>1567</v>
      </c>
      <c r="K964" s="30">
        <v>31176</v>
      </c>
      <c r="L964" s="3" t="str">
        <f t="shared" si="31"/>
        <v>ΑΡΑΒΟΣΙΤΟΣ</v>
      </c>
    </row>
    <row r="965" spans="1:12" s="3" customFormat="1" x14ac:dyDescent="0.25">
      <c r="A965" s="3" t="str">
        <f t="shared" si="30"/>
        <v>ΑΡΑΒΟΣΙΤΟΣΑΡΑΒΟΣΙΤΟΣ DKC6808</v>
      </c>
      <c r="B965" s="23" t="s">
        <v>1496</v>
      </c>
      <c r="C965" s="24" t="s">
        <v>1382</v>
      </c>
      <c r="D965" s="28">
        <v>1831.09</v>
      </c>
      <c r="E965" s="28">
        <v>1533.82</v>
      </c>
      <c r="F965" s="6" t="s">
        <v>14</v>
      </c>
      <c r="G965" s="30" t="s">
        <v>1772</v>
      </c>
      <c r="H965" s="31" t="s">
        <v>577</v>
      </c>
      <c r="I965" s="9">
        <v>5688</v>
      </c>
      <c r="J965" s="30" t="s">
        <v>1567</v>
      </c>
      <c r="K965" s="30">
        <v>31177</v>
      </c>
      <c r="L965" s="3" t="str">
        <f t="shared" si="31"/>
        <v>ΑΡΑΒΟΣΙΤΟΣ</v>
      </c>
    </row>
    <row r="966" spans="1:12" s="3" customFormat="1" x14ac:dyDescent="0.25">
      <c r="A966" s="3" t="str">
        <f t="shared" si="30"/>
        <v>ΑΡΑΒΟΣΙΤΟΣΑΡΑΒΟΣΙΤΟΣ LG30685</v>
      </c>
      <c r="B966" s="23" t="s">
        <v>1496</v>
      </c>
      <c r="C966" s="24" t="s">
        <v>1384</v>
      </c>
      <c r="D966" s="28">
        <v>1831.09</v>
      </c>
      <c r="E966" s="28">
        <v>1533.82</v>
      </c>
      <c r="F966" s="6" t="s">
        <v>14</v>
      </c>
      <c r="G966" s="30" t="s">
        <v>1773</v>
      </c>
      <c r="H966" s="31" t="s">
        <v>577</v>
      </c>
      <c r="I966" s="9">
        <v>5785</v>
      </c>
      <c r="J966" s="30" t="s">
        <v>1567</v>
      </c>
      <c r="K966" s="30">
        <v>31178</v>
      </c>
      <c r="L966" s="3" t="str">
        <f t="shared" si="31"/>
        <v>ΑΡΑΒΟΣΙΤΟΣ</v>
      </c>
    </row>
    <row r="967" spans="1:12" s="3" customFormat="1" x14ac:dyDescent="0.25">
      <c r="A967" s="3" t="str">
        <f t="shared" si="30"/>
        <v>ΑΡΑΒΟΣΙΤΟΣΑΡΑΒΟΣΙΤΟΣ DKC6812</v>
      </c>
      <c r="B967" s="23" t="s">
        <v>1496</v>
      </c>
      <c r="C967" s="24" t="s">
        <v>1388</v>
      </c>
      <c r="D967" s="28">
        <v>1831.09</v>
      </c>
      <c r="E967" s="28">
        <v>1533.82</v>
      </c>
      <c r="F967" s="6" t="s">
        <v>14</v>
      </c>
      <c r="G967" s="30" t="s">
        <v>1774</v>
      </c>
      <c r="H967" s="31" t="s">
        <v>577</v>
      </c>
      <c r="I967" s="9">
        <v>5690</v>
      </c>
      <c r="J967" s="30" t="s">
        <v>1567</v>
      </c>
      <c r="K967" s="30">
        <v>31180</v>
      </c>
      <c r="L967" s="3" t="str">
        <f t="shared" si="31"/>
        <v>ΑΡΑΒΟΣΙΤΟΣ</v>
      </c>
    </row>
    <row r="968" spans="1:12" s="3" customFormat="1" x14ac:dyDescent="0.25">
      <c r="A968" s="3" t="str">
        <f t="shared" si="30"/>
        <v>ΑΡΑΒΟΣΙΤΟΣΑΡΑΒΟΣΙΤΟΣ SY GLADIUS</v>
      </c>
      <c r="B968" s="23" t="s">
        <v>1496</v>
      </c>
      <c r="C968" s="24" t="s">
        <v>1390</v>
      </c>
      <c r="D968" s="6">
        <v>1831.09</v>
      </c>
      <c r="E968" s="6">
        <v>1533.82</v>
      </c>
      <c r="F968" s="6" t="s">
        <v>14</v>
      </c>
      <c r="G968" s="30" t="s">
        <v>1775</v>
      </c>
      <c r="H968" s="31" t="s">
        <v>577</v>
      </c>
      <c r="I968" s="9">
        <v>5914</v>
      </c>
      <c r="J968" s="30" t="s">
        <v>1567</v>
      </c>
      <c r="K968" s="30">
        <v>31181</v>
      </c>
      <c r="L968" s="3" t="str">
        <f t="shared" si="31"/>
        <v>ΑΡΑΒΟΣΙΤΟΣ</v>
      </c>
    </row>
    <row r="969" spans="1:12" s="3" customFormat="1" x14ac:dyDescent="0.25">
      <c r="A969" s="3" t="str">
        <f t="shared" si="30"/>
        <v>ΑΡΑΒΟΣΙΤΟΣΑΡΑΒΟΣΙΤΟΣ SY GIANTS</v>
      </c>
      <c r="B969" s="23" t="s">
        <v>1496</v>
      </c>
      <c r="C969" s="24" t="s">
        <v>1392</v>
      </c>
      <c r="D969" s="6">
        <v>1831.09</v>
      </c>
      <c r="E969" s="6">
        <v>1533.82</v>
      </c>
      <c r="F969" s="6" t="s">
        <v>14</v>
      </c>
      <c r="G969" s="30" t="s">
        <v>1776</v>
      </c>
      <c r="H969" s="31" t="s">
        <v>577</v>
      </c>
      <c r="I969" s="9">
        <v>5912</v>
      </c>
      <c r="J969" s="30" t="s">
        <v>1567</v>
      </c>
      <c r="K969" s="30">
        <v>31182</v>
      </c>
      <c r="L969" s="3" t="str">
        <f t="shared" si="31"/>
        <v>ΑΡΑΒΟΣΙΤΟΣ</v>
      </c>
    </row>
    <row r="970" spans="1:12" s="3" customFormat="1" x14ac:dyDescent="0.25">
      <c r="A970" s="3" t="str">
        <f t="shared" si="30"/>
        <v>ΑΡΑΒΟΣΙΤΟΣΑΡΑΒΟΣΙΤΟΣ SY ANDROMEDA</v>
      </c>
      <c r="B970" s="23" t="s">
        <v>1496</v>
      </c>
      <c r="C970" s="24" t="s">
        <v>1394</v>
      </c>
      <c r="D970" s="6">
        <v>1831.09</v>
      </c>
      <c r="E970" s="6">
        <v>1533.82</v>
      </c>
      <c r="F970" s="6" t="s">
        <v>14</v>
      </c>
      <c r="G970" s="30" t="s">
        <v>1777</v>
      </c>
      <c r="H970" s="31" t="s">
        <v>577</v>
      </c>
      <c r="I970" s="9">
        <v>5897</v>
      </c>
      <c r="J970" s="30" t="s">
        <v>1567</v>
      </c>
      <c r="K970" s="30">
        <v>31183</v>
      </c>
      <c r="L970" s="3" t="str">
        <f t="shared" si="31"/>
        <v>ΑΡΑΒΟΣΙΤΟΣ</v>
      </c>
    </row>
    <row r="971" spans="1:12" s="3" customFormat="1" x14ac:dyDescent="0.25">
      <c r="A971" s="3" t="str">
        <f t="shared" si="30"/>
        <v>ΑΡΑΒΟΣΙΤΟΣΑΡΑΒΟΣΙΤΟΣ P1441</v>
      </c>
      <c r="B971" s="23" t="s">
        <v>1496</v>
      </c>
      <c r="C971" s="24" t="s">
        <v>1396</v>
      </c>
      <c r="D971" s="6">
        <v>1831.09</v>
      </c>
      <c r="E971" s="6">
        <v>1533.82</v>
      </c>
      <c r="F971" s="6" t="s">
        <v>14</v>
      </c>
      <c r="G971" s="30" t="s">
        <v>1778</v>
      </c>
      <c r="H971" s="31" t="s">
        <v>577</v>
      </c>
      <c r="I971" s="9">
        <v>5841</v>
      </c>
      <c r="J971" s="30" t="s">
        <v>1567</v>
      </c>
      <c r="K971" s="30">
        <v>31184</v>
      </c>
      <c r="L971" s="3" t="str">
        <f t="shared" si="31"/>
        <v>ΑΡΑΒΟΣΙΤΟΣ</v>
      </c>
    </row>
    <row r="972" spans="1:12" s="3" customFormat="1" x14ac:dyDescent="0.25">
      <c r="A972" s="3" t="str">
        <f t="shared" si="30"/>
        <v>ΑΡΑΒΟΣΙΤΟΣΑΡΑΒΟΣΙΤΟΣ P1884</v>
      </c>
      <c r="B972" s="23" t="s">
        <v>1496</v>
      </c>
      <c r="C972" s="24" t="s">
        <v>1398</v>
      </c>
      <c r="D972" s="6">
        <v>1831.09</v>
      </c>
      <c r="E972" s="6">
        <v>1533.82</v>
      </c>
      <c r="F972" s="6" t="s">
        <v>14</v>
      </c>
      <c r="G972" s="30" t="s">
        <v>1779</v>
      </c>
      <c r="H972" s="31" t="s">
        <v>577</v>
      </c>
      <c r="I972" s="9">
        <v>5854</v>
      </c>
      <c r="J972" s="30" t="s">
        <v>1567</v>
      </c>
      <c r="K972" s="30">
        <v>31185</v>
      </c>
      <c r="L972" s="3" t="str">
        <f t="shared" si="31"/>
        <v>ΑΡΑΒΟΣΙΤΟΣ</v>
      </c>
    </row>
    <row r="973" spans="1:12" s="3" customFormat="1" x14ac:dyDescent="0.25">
      <c r="A973" s="3" t="str">
        <f t="shared" si="30"/>
        <v>ΑΡΑΒΟΣΙΤΟΣΑΡΑΒΟΣΙΤΟΣ DKC7084</v>
      </c>
      <c r="B973" s="23" t="s">
        <v>1496</v>
      </c>
      <c r="C973" s="24" t="s">
        <v>1400</v>
      </c>
      <c r="D973" s="28">
        <v>1831.09</v>
      </c>
      <c r="E973" s="28">
        <v>1533.82</v>
      </c>
      <c r="F973" s="6" t="s">
        <v>14</v>
      </c>
      <c r="G973" s="30" t="s">
        <v>1780</v>
      </c>
      <c r="H973" s="31" t="s">
        <v>577</v>
      </c>
      <c r="I973" s="9">
        <v>5696</v>
      </c>
      <c r="J973" s="30" t="s">
        <v>1567</v>
      </c>
      <c r="K973" s="30">
        <v>31186</v>
      </c>
      <c r="L973" s="3" t="str">
        <f t="shared" si="31"/>
        <v>ΑΡΑΒΟΣΙΤΟΣ</v>
      </c>
    </row>
    <row r="974" spans="1:12" s="3" customFormat="1" x14ac:dyDescent="0.25">
      <c r="A974" s="3" t="str">
        <f t="shared" si="30"/>
        <v>ΑΡΑΒΟΣΙΤΟΣΑΡΑΒΟΣΙΤΟΣ FENWAY</v>
      </c>
      <c r="B974" s="23" t="s">
        <v>1496</v>
      </c>
      <c r="C974" s="24" t="s">
        <v>1386</v>
      </c>
      <c r="D974" s="28">
        <v>1831.09</v>
      </c>
      <c r="E974" s="28">
        <v>1533.82</v>
      </c>
      <c r="F974" s="6" t="s">
        <v>14</v>
      </c>
      <c r="G974" s="30" t="s">
        <v>1781</v>
      </c>
      <c r="H974" s="31" t="s">
        <v>577</v>
      </c>
      <c r="I974" s="9">
        <v>5705</v>
      </c>
      <c r="J974" s="30" t="s">
        <v>1567</v>
      </c>
      <c r="K974" s="30">
        <v>31187</v>
      </c>
      <c r="L974" s="3" t="str">
        <f t="shared" si="31"/>
        <v>ΑΡΑΒΟΣΙΤΟΣ</v>
      </c>
    </row>
    <row r="975" spans="1:12" s="3" customFormat="1" x14ac:dyDescent="0.25">
      <c r="A975" s="3" t="str">
        <f t="shared" si="30"/>
        <v>ΑΡΑΒΟΣΙΤΟΣΑΡΑΒΟΣΙΤΟΣ KWS KULMOS</v>
      </c>
      <c r="B975" s="23" t="s">
        <v>1496</v>
      </c>
      <c r="C975" s="24" t="s">
        <v>1402</v>
      </c>
      <c r="D975" s="28">
        <v>1831.09</v>
      </c>
      <c r="E975" s="28">
        <v>1533.82</v>
      </c>
      <c r="F975" s="6" t="s">
        <v>14</v>
      </c>
      <c r="G975" s="30" t="s">
        <v>1782</v>
      </c>
      <c r="H975" s="31" t="s">
        <v>577</v>
      </c>
      <c r="I975" s="9">
        <v>5771</v>
      </c>
      <c r="J975" s="30" t="s">
        <v>1567</v>
      </c>
      <c r="K975" s="30">
        <v>31188</v>
      </c>
      <c r="L975" s="3" t="str">
        <f t="shared" si="31"/>
        <v>ΑΡΑΒΟΣΙΤΟΣ</v>
      </c>
    </row>
    <row r="976" spans="1:12" s="3" customFormat="1" x14ac:dyDescent="0.25">
      <c r="A976" s="3" t="str">
        <f t="shared" si="30"/>
        <v>ΑΡΑΒΟΣΙΤΟΣΑΡΑΒΟΣΙΤΟΣ DKC7107</v>
      </c>
      <c r="B976" s="23" t="s">
        <v>1496</v>
      </c>
      <c r="C976" s="24" t="s">
        <v>1404</v>
      </c>
      <c r="D976" s="28">
        <v>1831.09</v>
      </c>
      <c r="E976" s="28">
        <v>1533.82</v>
      </c>
      <c r="F976" s="6" t="s">
        <v>14</v>
      </c>
      <c r="G976" s="30" t="s">
        <v>1783</v>
      </c>
      <c r="H976" s="31" t="s">
        <v>577</v>
      </c>
      <c r="I976" s="9">
        <v>5698</v>
      </c>
      <c r="J976" s="30" t="s">
        <v>1567</v>
      </c>
      <c r="K976" s="30">
        <v>31189</v>
      </c>
      <c r="L976" s="3" t="str">
        <f t="shared" si="31"/>
        <v>ΑΡΑΒΟΣΙΤΟΣ</v>
      </c>
    </row>
    <row r="977" spans="1:12" s="3" customFormat="1" x14ac:dyDescent="0.25">
      <c r="A977" s="3" t="str">
        <f t="shared" si="30"/>
        <v>ΑΡΑΒΟΣΙΤΟΣΑΡΑΒΟΣΙΤΟΣ LG31545</v>
      </c>
      <c r="B977" s="23" t="s">
        <v>1496</v>
      </c>
      <c r="C977" s="24" t="s">
        <v>1084</v>
      </c>
      <c r="D977" s="28">
        <v>1831.09</v>
      </c>
      <c r="E977" s="28">
        <v>1533.82</v>
      </c>
      <c r="F977" s="6" t="s">
        <v>14</v>
      </c>
      <c r="G977" s="30" t="s">
        <v>1784</v>
      </c>
      <c r="H977" s="31" t="s">
        <v>577</v>
      </c>
      <c r="I977" s="9">
        <v>5790</v>
      </c>
      <c r="J977" s="30" t="s">
        <v>1567</v>
      </c>
      <c r="K977" s="30">
        <v>31190</v>
      </c>
      <c r="L977" s="3" t="str">
        <f t="shared" si="31"/>
        <v>ΑΡΑΒΟΣΙΤΟΣ</v>
      </c>
    </row>
    <row r="978" spans="1:12" s="3" customFormat="1" x14ac:dyDescent="0.25">
      <c r="A978" s="3" t="str">
        <f t="shared" si="30"/>
        <v>ΑΡΑΒΟΣΙΤΟΣΑΡΑΒΟΣΙΤΟΣ KWS POSEIDO</v>
      </c>
      <c r="B978" s="23" t="s">
        <v>1496</v>
      </c>
      <c r="C978" s="24" t="s">
        <v>1406</v>
      </c>
      <c r="D978" s="28">
        <v>1831.09</v>
      </c>
      <c r="E978" s="28">
        <v>1533.82</v>
      </c>
      <c r="F978" s="6" t="s">
        <v>14</v>
      </c>
      <c r="G978" s="30" t="s">
        <v>1785</v>
      </c>
      <c r="H978" s="31" t="s">
        <v>577</v>
      </c>
      <c r="I978" s="9">
        <v>5777</v>
      </c>
      <c r="J978" s="30" t="s">
        <v>1567</v>
      </c>
      <c r="K978" s="30">
        <v>31192</v>
      </c>
      <c r="L978" s="3" t="str">
        <f t="shared" si="31"/>
        <v>ΑΡΑΒΟΣΙΤΟΣ</v>
      </c>
    </row>
    <row r="979" spans="1:12" s="3" customFormat="1" x14ac:dyDescent="0.25">
      <c r="A979" s="3" t="str">
        <f t="shared" si="30"/>
        <v>ΑΡΑΒΟΣΙΤΟΣΑΡΑΒΟΣΙΤΟΣ MAS 582D</v>
      </c>
      <c r="B979" s="23" t="s">
        <v>1496</v>
      </c>
      <c r="C979" s="24" t="s">
        <v>1408</v>
      </c>
      <c r="D979" s="28">
        <v>1831.09</v>
      </c>
      <c r="E979" s="28">
        <v>1533.82</v>
      </c>
      <c r="F979" s="6" t="s">
        <v>14</v>
      </c>
      <c r="G979" s="30" t="s">
        <v>1786</v>
      </c>
      <c r="H979" s="31" t="s">
        <v>577</v>
      </c>
      <c r="I979" s="9">
        <v>5804</v>
      </c>
      <c r="J979" s="30" t="s">
        <v>1567</v>
      </c>
      <c r="K979" s="30">
        <v>31194</v>
      </c>
      <c r="L979" s="3" t="str">
        <f t="shared" si="31"/>
        <v>ΑΡΑΒΟΣΙΤΟΣ</v>
      </c>
    </row>
    <row r="980" spans="1:12" s="3" customFormat="1" x14ac:dyDescent="0.25">
      <c r="A980" s="3" t="str">
        <f t="shared" si="30"/>
        <v>ΑΡΑΒΟΣΙΤΟΣΑΡΑΒΟΣΙΤΟΣ KWS OLIMPION</v>
      </c>
      <c r="B980" s="23" t="s">
        <v>1496</v>
      </c>
      <c r="C980" s="24" t="s">
        <v>1410</v>
      </c>
      <c r="D980" s="28">
        <v>1831.09</v>
      </c>
      <c r="E980" s="28">
        <v>1533.82</v>
      </c>
      <c r="F980" s="6" t="s">
        <v>14</v>
      </c>
      <c r="G980" s="30" t="s">
        <v>1787</v>
      </c>
      <c r="H980" s="31" t="s">
        <v>577</v>
      </c>
      <c r="I980" s="9">
        <v>5775</v>
      </c>
      <c r="J980" s="30" t="s">
        <v>1567</v>
      </c>
      <c r="K980" s="30">
        <v>31195</v>
      </c>
      <c r="L980" s="3" t="str">
        <f t="shared" si="31"/>
        <v>ΑΡΑΒΟΣΙΤΟΣ</v>
      </c>
    </row>
    <row r="981" spans="1:12" s="3" customFormat="1" x14ac:dyDescent="0.25">
      <c r="A981" s="3" t="str">
        <f t="shared" si="30"/>
        <v>ΑΡΑΒΟΣΙΤΟΣΑΡΑΒΟΣΙΤΟΣ ZP606</v>
      </c>
      <c r="B981" s="23" t="s">
        <v>1496</v>
      </c>
      <c r="C981" s="24" t="s">
        <v>1412</v>
      </c>
      <c r="D981" s="6">
        <v>1831.09</v>
      </c>
      <c r="E981" s="6">
        <v>1533.82</v>
      </c>
      <c r="F981" s="6" t="s">
        <v>14</v>
      </c>
      <c r="G981" s="30" t="s">
        <v>1788</v>
      </c>
      <c r="H981" s="31" t="s">
        <v>577</v>
      </c>
      <c r="I981" s="9">
        <v>5941</v>
      </c>
      <c r="J981" s="30" t="s">
        <v>1567</v>
      </c>
      <c r="K981" s="30">
        <v>31196</v>
      </c>
      <c r="L981" s="3" t="str">
        <f t="shared" si="31"/>
        <v>ΑΡΑΒΟΣΙΤΟΣ</v>
      </c>
    </row>
    <row r="982" spans="1:12" s="3" customFormat="1" x14ac:dyDescent="0.25">
      <c r="A982" s="3" t="str">
        <f t="shared" si="30"/>
        <v>ΑΡΑΒΟΣΙΤΟΣΑΡΑΒΟΣΙΤΟΣ DKC5404</v>
      </c>
      <c r="B982" s="23" t="s">
        <v>1496</v>
      </c>
      <c r="C982" s="24" t="s">
        <v>1414</v>
      </c>
      <c r="D982" s="28">
        <v>1831.09</v>
      </c>
      <c r="E982" s="28">
        <v>1533.82</v>
      </c>
      <c r="F982" s="6" t="s">
        <v>14</v>
      </c>
      <c r="G982" s="30" t="s">
        <v>1789</v>
      </c>
      <c r="H982" s="31" t="s">
        <v>577</v>
      </c>
      <c r="I982" s="9">
        <v>5681</v>
      </c>
      <c r="J982" s="30" t="s">
        <v>1567</v>
      </c>
      <c r="K982" s="30">
        <v>31197</v>
      </c>
      <c r="L982" s="3" t="str">
        <f t="shared" si="31"/>
        <v>ΑΡΑΒΟΣΙΤΟΣ</v>
      </c>
    </row>
    <row r="983" spans="1:12" s="3" customFormat="1" x14ac:dyDescent="0.25">
      <c r="A983" s="3" t="str">
        <f t="shared" si="30"/>
        <v>ΑΡΑΒΟΣΙΤΟΣΑΡΑΒΟΣΙΤΟΣ ZP560</v>
      </c>
      <c r="B983" s="23" t="s">
        <v>1496</v>
      </c>
      <c r="C983" s="24" t="s">
        <v>1416</v>
      </c>
      <c r="D983" s="6">
        <v>1831.09</v>
      </c>
      <c r="E983" s="6">
        <v>1533.82</v>
      </c>
      <c r="F983" s="6" t="s">
        <v>14</v>
      </c>
      <c r="G983" s="30" t="s">
        <v>1790</v>
      </c>
      <c r="H983" s="31" t="s">
        <v>577</v>
      </c>
      <c r="I983" s="9">
        <v>5939</v>
      </c>
      <c r="J983" s="30" t="s">
        <v>1567</v>
      </c>
      <c r="K983" s="30">
        <v>31198</v>
      </c>
      <c r="L983" s="3" t="str">
        <f t="shared" si="31"/>
        <v>ΑΡΑΒΟΣΙΤΟΣ</v>
      </c>
    </row>
    <row r="984" spans="1:12" s="3" customFormat="1" x14ac:dyDescent="0.25">
      <c r="A984" s="3" t="str">
        <f t="shared" si="30"/>
        <v>ΑΡΑΒΟΣΙΤΟΣΑΡΑΒΟΣΙΤΟΣ P2141</v>
      </c>
      <c r="B984" s="23" t="s">
        <v>1496</v>
      </c>
      <c r="C984" s="24" t="s">
        <v>1418</v>
      </c>
      <c r="D984" s="6">
        <v>1831.09</v>
      </c>
      <c r="E984" s="6">
        <v>1533.82</v>
      </c>
      <c r="F984" s="6" t="s">
        <v>14</v>
      </c>
      <c r="G984" s="30" t="s">
        <v>1791</v>
      </c>
      <c r="H984" s="31" t="s">
        <v>577</v>
      </c>
      <c r="I984" s="9">
        <v>5862</v>
      </c>
      <c r="J984" s="30" t="s">
        <v>1567</v>
      </c>
      <c r="K984" s="30">
        <v>31199</v>
      </c>
      <c r="L984" s="3" t="str">
        <f t="shared" si="31"/>
        <v>ΑΡΑΒΟΣΙΤΟΣ</v>
      </c>
    </row>
    <row r="985" spans="1:12" s="3" customFormat="1" x14ac:dyDescent="0.25">
      <c r="A985" s="3" t="str">
        <f t="shared" si="30"/>
        <v>ΑΡΑΒΟΣΙΤΟΣΑΡΑΒΟΣΙΤΟΣ LG30692</v>
      </c>
      <c r="B985" s="23" t="s">
        <v>1496</v>
      </c>
      <c r="C985" s="24" t="s">
        <v>1420</v>
      </c>
      <c r="D985" s="28">
        <v>1831.09</v>
      </c>
      <c r="E985" s="28">
        <v>1533.82</v>
      </c>
      <c r="F985" s="6" t="s">
        <v>14</v>
      </c>
      <c r="G985" s="30" t="s">
        <v>1792</v>
      </c>
      <c r="H985" s="31" t="s">
        <v>577</v>
      </c>
      <c r="I985" s="9">
        <v>5787</v>
      </c>
      <c r="J985" s="30" t="s">
        <v>1567</v>
      </c>
      <c r="K985" s="30">
        <v>31200</v>
      </c>
      <c r="L985" s="3" t="str">
        <f t="shared" si="31"/>
        <v>ΑΡΑΒΟΣΙΤΟΣ</v>
      </c>
    </row>
    <row r="986" spans="1:12" s="3" customFormat="1" x14ac:dyDescent="0.25">
      <c r="A986" s="3" t="str">
        <f t="shared" si="30"/>
        <v>ΑΡΑΒΟΣΙΤΟΣΑΡΑΒΟΣΙΤΟΣ LG31677</v>
      </c>
      <c r="B986" s="23" t="s">
        <v>1496</v>
      </c>
      <c r="C986" s="24" t="s">
        <v>1422</v>
      </c>
      <c r="D986" s="28">
        <v>1831.09</v>
      </c>
      <c r="E986" s="28">
        <v>1533.82</v>
      </c>
      <c r="F986" s="6" t="s">
        <v>14</v>
      </c>
      <c r="G986" s="30" t="s">
        <v>1793</v>
      </c>
      <c r="H986" s="31" t="s">
        <v>577</v>
      </c>
      <c r="I986" s="9">
        <v>5795</v>
      </c>
      <c r="J986" s="30" t="s">
        <v>1567</v>
      </c>
      <c r="K986" s="30">
        <v>31201</v>
      </c>
      <c r="L986" s="3" t="str">
        <f t="shared" si="31"/>
        <v>ΑΡΑΒΟΣΙΤΟΣ</v>
      </c>
    </row>
    <row r="987" spans="1:12" s="3" customFormat="1" x14ac:dyDescent="0.25">
      <c r="A987" s="3" t="str">
        <f t="shared" si="30"/>
        <v>ΑΡΑΒΟΣΙΤΟΣΑΡΑΒΟΣΙΤΟΣ LG31642</v>
      </c>
      <c r="B987" s="23" t="s">
        <v>1496</v>
      </c>
      <c r="C987" s="24" t="s">
        <v>1424</v>
      </c>
      <c r="D987" s="28">
        <v>1831.09</v>
      </c>
      <c r="E987" s="28">
        <v>1533.82</v>
      </c>
      <c r="F987" s="6" t="s">
        <v>14</v>
      </c>
      <c r="G987" s="30" t="s">
        <v>1794</v>
      </c>
      <c r="H987" s="31" t="s">
        <v>577</v>
      </c>
      <c r="I987" s="9">
        <v>5793</v>
      </c>
      <c r="J987" s="30" t="s">
        <v>1567</v>
      </c>
      <c r="K987" s="30">
        <v>31202</v>
      </c>
      <c r="L987" s="3" t="str">
        <f t="shared" si="31"/>
        <v>ΑΡΑΒΟΣΙΤΟΣ</v>
      </c>
    </row>
    <row r="988" spans="1:12" s="3" customFormat="1" x14ac:dyDescent="0.25">
      <c r="A988" s="3" t="str">
        <f t="shared" si="30"/>
        <v>ΑΡΑΒΟΣΙΤΟΣΑΡΑΒΟΣΙΤΟΣ 72MAY80</v>
      </c>
      <c r="B988" s="23" t="s">
        <v>1496</v>
      </c>
      <c r="C988" s="24" t="s">
        <v>1426</v>
      </c>
      <c r="D988" s="6">
        <v>1831.09</v>
      </c>
      <c r="E988" s="6">
        <v>1533.82</v>
      </c>
      <c r="F988" s="6" t="s">
        <v>14</v>
      </c>
      <c r="G988" s="30" t="s">
        <v>1795</v>
      </c>
      <c r="H988" s="31" t="s">
        <v>577</v>
      </c>
      <c r="I988" s="9">
        <v>5626</v>
      </c>
      <c r="J988" s="30" t="s">
        <v>1567</v>
      </c>
      <c r="K988" s="30">
        <v>31203</v>
      </c>
      <c r="L988" s="3" t="str">
        <f t="shared" si="31"/>
        <v>ΑΡΑΒΟΣΙΤΟΣ</v>
      </c>
    </row>
    <row r="989" spans="1:12" s="3" customFormat="1" x14ac:dyDescent="0.25">
      <c r="A989" s="3" t="str">
        <f t="shared" si="30"/>
        <v>ΑΡΑΒΟΣΙΤΟΣΑΡΑΒΟΣΙΤΟΣ KWS ELEKTRO</v>
      </c>
      <c r="B989" s="23" t="s">
        <v>1496</v>
      </c>
      <c r="C989" s="24" t="s">
        <v>1428</v>
      </c>
      <c r="D989" s="28">
        <v>1831.09</v>
      </c>
      <c r="E989" s="28">
        <v>1533.82</v>
      </c>
      <c r="F989" s="6" t="s">
        <v>14</v>
      </c>
      <c r="G989" s="30" t="s">
        <v>1796</v>
      </c>
      <c r="H989" s="31" t="s">
        <v>577</v>
      </c>
      <c r="I989" s="9">
        <v>5762</v>
      </c>
      <c r="J989" s="30" t="s">
        <v>1567</v>
      </c>
      <c r="K989" s="30">
        <v>31205</v>
      </c>
      <c r="L989" s="3" t="str">
        <f t="shared" si="31"/>
        <v>ΑΡΑΒΟΣΙΤΟΣ</v>
      </c>
    </row>
    <row r="990" spans="1:12" s="3" customFormat="1" x14ac:dyDescent="0.25">
      <c r="A990" s="3" t="str">
        <f t="shared" si="30"/>
        <v>ΑΡΑΒΟΣΙΤΟΣΑΡΑΒΟΣΙΤΟΣ SY BAMBUS</v>
      </c>
      <c r="B990" s="23" t="s">
        <v>1496</v>
      </c>
      <c r="C990" s="24" t="s">
        <v>1430</v>
      </c>
      <c r="D990" s="6">
        <v>1831.09</v>
      </c>
      <c r="E990" s="6">
        <v>1533.82</v>
      </c>
      <c r="F990" s="6" t="s">
        <v>14</v>
      </c>
      <c r="G990" s="30" t="s">
        <v>1797</v>
      </c>
      <c r="H990" s="31" t="s">
        <v>577</v>
      </c>
      <c r="I990" s="9">
        <v>5901</v>
      </c>
      <c r="J990" s="30" t="s">
        <v>1567</v>
      </c>
      <c r="K990" s="30">
        <v>31206</v>
      </c>
      <c r="L990" s="3" t="str">
        <f t="shared" si="31"/>
        <v>ΑΡΑΒΟΣΙΤΟΣ</v>
      </c>
    </row>
    <row r="991" spans="1:12" s="3" customFormat="1" x14ac:dyDescent="0.25">
      <c r="A991" s="3" t="str">
        <f t="shared" si="30"/>
        <v>ΑΡΑΒΟΣΙΤΟΣΑΡΑΒΟΣΙΤΟΣ 77MAY35</v>
      </c>
      <c r="B991" s="23" t="s">
        <v>1496</v>
      </c>
      <c r="C991" s="24" t="s">
        <v>1432</v>
      </c>
      <c r="D991" s="6">
        <v>1831.09</v>
      </c>
      <c r="E991" s="6">
        <v>1533.82</v>
      </c>
      <c r="F991" s="6" t="s">
        <v>14</v>
      </c>
      <c r="G991" s="30" t="s">
        <v>1798</v>
      </c>
      <c r="H991" s="31" t="s">
        <v>577</v>
      </c>
      <c r="I991" s="9">
        <v>5630</v>
      </c>
      <c r="J991" s="30" t="s">
        <v>1567</v>
      </c>
      <c r="K991" s="30">
        <v>31208</v>
      </c>
      <c r="L991" s="3" t="str">
        <f t="shared" si="31"/>
        <v>ΑΡΑΒΟΣΙΤΟΣ</v>
      </c>
    </row>
    <row r="992" spans="1:12" s="3" customFormat="1" x14ac:dyDescent="0.25">
      <c r="A992" s="3" t="str">
        <f t="shared" si="30"/>
        <v>ΑΡΑΒΟΣΙΤΟΣΑΡΑΒΟΣΙΤΟΣ P1332</v>
      </c>
      <c r="B992" s="23" t="s">
        <v>1496</v>
      </c>
      <c r="C992" s="24" t="s">
        <v>1434</v>
      </c>
      <c r="D992" s="6">
        <v>1831.09</v>
      </c>
      <c r="E992" s="6">
        <v>1533.82</v>
      </c>
      <c r="F992" s="6" t="s">
        <v>14</v>
      </c>
      <c r="G992" s="30" t="s">
        <v>1799</v>
      </c>
      <c r="H992" s="31" t="s">
        <v>577</v>
      </c>
      <c r="I992" s="9">
        <v>5837</v>
      </c>
      <c r="J992" s="30" t="s">
        <v>1567</v>
      </c>
      <c r="K992" s="30">
        <v>31209</v>
      </c>
      <c r="L992" s="3" t="str">
        <f t="shared" si="31"/>
        <v>ΑΡΑΒΟΣΙΤΟΣ</v>
      </c>
    </row>
    <row r="993" spans="1:12" s="3" customFormat="1" x14ac:dyDescent="0.25">
      <c r="A993" s="3" t="str">
        <f t="shared" si="30"/>
        <v>ΑΡΑΒΟΣΙΤΟΣΑΡΑΒΟΣΙΤΟΣ ZP 707</v>
      </c>
      <c r="B993" s="23" t="s">
        <v>1496</v>
      </c>
      <c r="C993" s="24" t="s">
        <v>1436</v>
      </c>
      <c r="D993" s="6">
        <v>1831.09</v>
      </c>
      <c r="E993" s="6">
        <v>1533.82</v>
      </c>
      <c r="F993" s="6" t="s">
        <v>14</v>
      </c>
      <c r="G993" s="30" t="s">
        <v>1800</v>
      </c>
      <c r="H993" s="31" t="s">
        <v>577</v>
      </c>
      <c r="I993" s="9">
        <v>5930</v>
      </c>
      <c r="J993" s="30" t="s">
        <v>1567</v>
      </c>
      <c r="K993" s="30">
        <v>31210</v>
      </c>
      <c r="L993" s="3" t="str">
        <f t="shared" si="31"/>
        <v>ΑΡΑΒΟΣΙΤΟΣ</v>
      </c>
    </row>
    <row r="994" spans="1:12" s="3" customFormat="1" x14ac:dyDescent="0.25">
      <c r="A994" s="3" t="str">
        <f t="shared" si="30"/>
        <v>ΑΡΑΒΟΣΙΤΟΣΑΡΑΒΟΣΙΤΟΣ P9241</v>
      </c>
      <c r="B994" s="23" t="s">
        <v>1496</v>
      </c>
      <c r="C994" s="24" t="s">
        <v>1438</v>
      </c>
      <c r="D994" s="6">
        <v>1831.09</v>
      </c>
      <c r="E994" s="6">
        <v>1533.82</v>
      </c>
      <c r="F994" s="6" t="s">
        <v>14</v>
      </c>
      <c r="G994" s="30" t="s">
        <v>1801</v>
      </c>
      <c r="H994" s="31" t="s">
        <v>577</v>
      </c>
      <c r="I994" s="9">
        <v>5864</v>
      </c>
      <c r="J994" s="30" t="s">
        <v>1567</v>
      </c>
      <c r="K994" s="30">
        <v>31211</v>
      </c>
      <c r="L994" s="3" t="str">
        <f t="shared" si="31"/>
        <v>ΑΡΑΒΟΣΙΤΟΣ</v>
      </c>
    </row>
    <row r="995" spans="1:12" s="3" customFormat="1" x14ac:dyDescent="0.25">
      <c r="A995" s="3" t="str">
        <f t="shared" si="30"/>
        <v>ΑΡΑΒΟΣΙΤΟΣΑΡΑΒΟΣΙΤΟΣ KOLOSSEUS</v>
      </c>
      <c r="B995" s="23" t="s">
        <v>1496</v>
      </c>
      <c r="C995" s="24" t="s">
        <v>1440</v>
      </c>
      <c r="D995" s="28">
        <v>1831.09</v>
      </c>
      <c r="E995" s="28">
        <v>1533.82</v>
      </c>
      <c r="F995" s="6" t="s">
        <v>14</v>
      </c>
      <c r="G995" s="30" t="s">
        <v>1802</v>
      </c>
      <c r="H995" s="31" t="s">
        <v>577</v>
      </c>
      <c r="I995" s="9">
        <v>5754</v>
      </c>
      <c r="J995" s="30" t="s">
        <v>1567</v>
      </c>
      <c r="K995" s="30">
        <v>31212</v>
      </c>
      <c r="L995" s="3" t="str">
        <f t="shared" si="31"/>
        <v>ΑΡΑΒΟΣΙΤΟΣ</v>
      </c>
    </row>
    <row r="996" spans="1:12" s="3" customFormat="1" x14ac:dyDescent="0.25">
      <c r="A996" s="3" t="str">
        <f t="shared" si="30"/>
        <v>ΑΡΑΒΟΣΙΤΟΣΑΡΑΒΟΣΙΤΟΣ SY CARIOCA</v>
      </c>
      <c r="B996" s="23" t="s">
        <v>1496</v>
      </c>
      <c r="C996" s="24" t="s">
        <v>1442</v>
      </c>
      <c r="D996" s="6">
        <v>1831.09</v>
      </c>
      <c r="E996" s="6">
        <v>1533.82</v>
      </c>
      <c r="F996" s="6" t="s">
        <v>14</v>
      </c>
      <c r="G996" s="30" t="s">
        <v>1803</v>
      </c>
      <c r="H996" s="31" t="s">
        <v>577</v>
      </c>
      <c r="I996" s="9">
        <v>5903</v>
      </c>
      <c r="J996" s="30" t="s">
        <v>1567</v>
      </c>
      <c r="K996" s="30">
        <v>31213</v>
      </c>
      <c r="L996" s="3" t="str">
        <f t="shared" si="31"/>
        <v>ΑΡΑΒΟΣΙΤΟΣ</v>
      </c>
    </row>
    <row r="997" spans="1:12" s="3" customFormat="1" x14ac:dyDescent="0.25">
      <c r="A997" s="3" t="str">
        <f t="shared" si="30"/>
        <v>ΑΡΑΒΟΣΙΤΟΣΑΡΑΒΟΣΙΤΟΣ SY ARNOLD</v>
      </c>
      <c r="B997" s="23" t="s">
        <v>1496</v>
      </c>
      <c r="C997" s="24" t="s">
        <v>1444</v>
      </c>
      <c r="D997" s="6">
        <v>1831.09</v>
      </c>
      <c r="E997" s="6">
        <v>1533.82</v>
      </c>
      <c r="F997" s="6" t="s">
        <v>14</v>
      </c>
      <c r="G997" s="30" t="s">
        <v>1804</v>
      </c>
      <c r="H997" s="31" t="s">
        <v>577</v>
      </c>
      <c r="I997" s="9">
        <v>5899</v>
      </c>
      <c r="J997" s="30" t="s">
        <v>1567</v>
      </c>
      <c r="K997" s="30">
        <v>31214</v>
      </c>
      <c r="L997" s="3" t="str">
        <f t="shared" si="31"/>
        <v>ΑΡΑΒΟΣΙΤΟΣ</v>
      </c>
    </row>
    <row r="998" spans="1:12" s="3" customFormat="1" x14ac:dyDescent="0.25">
      <c r="A998" s="3" t="str">
        <f t="shared" si="30"/>
        <v>ΑΡΑΒΟΣΙΤΟΣΑΡΑΒΟΣΙΤΟΣ P1541</v>
      </c>
      <c r="B998" s="23" t="s">
        <v>1496</v>
      </c>
      <c r="C998" s="24" t="s">
        <v>1446</v>
      </c>
      <c r="D998" s="6">
        <v>1831.09</v>
      </c>
      <c r="E998" s="6">
        <v>1533.82</v>
      </c>
      <c r="F998" s="6" t="s">
        <v>14</v>
      </c>
      <c r="G998" s="30" t="s">
        <v>1805</v>
      </c>
      <c r="H998" s="31" t="s">
        <v>577</v>
      </c>
      <c r="I998" s="9">
        <v>5848</v>
      </c>
      <c r="J998" s="30" t="s">
        <v>1567</v>
      </c>
      <c r="K998" s="30">
        <v>31215</v>
      </c>
      <c r="L998" s="3" t="str">
        <f t="shared" si="31"/>
        <v>ΑΡΑΒΟΣΙΤΟΣ</v>
      </c>
    </row>
    <row r="999" spans="1:12" s="3" customFormat="1" x14ac:dyDescent="0.25">
      <c r="A999" s="3" t="str">
        <f t="shared" si="30"/>
        <v>ΑΡΑΒΟΣΙΤΟΣΑΡΑΒΟΣΙΤΟΣ INDEM668</v>
      </c>
      <c r="B999" s="23" t="s">
        <v>1496</v>
      </c>
      <c r="C999" s="24" t="s">
        <v>1448</v>
      </c>
      <c r="D999" s="28">
        <v>1831.09</v>
      </c>
      <c r="E999" s="28">
        <v>1533.82</v>
      </c>
      <c r="F999" s="6" t="s">
        <v>14</v>
      </c>
      <c r="G999" s="30" t="s">
        <v>1806</v>
      </c>
      <c r="H999" s="31" t="s">
        <v>577</v>
      </c>
      <c r="I999" s="9">
        <v>5740</v>
      </c>
      <c r="J999" s="30" t="s">
        <v>1567</v>
      </c>
      <c r="K999" s="30">
        <v>31216</v>
      </c>
      <c r="L999" s="3" t="str">
        <f t="shared" si="31"/>
        <v>ΑΡΑΒΟΣΙΤΟΣ</v>
      </c>
    </row>
    <row r="1000" spans="1:12" s="3" customFormat="1" x14ac:dyDescent="0.25">
      <c r="A1000" s="3" t="str">
        <f t="shared" si="30"/>
        <v>ΑΡΑΒΟΣΙΤΟΣΑΡΑΒΟΣΙΤΟΣ SY PROSPERIC</v>
      </c>
      <c r="B1000" s="23" t="s">
        <v>1496</v>
      </c>
      <c r="C1000" s="24" t="s">
        <v>1450</v>
      </c>
      <c r="D1000" s="6">
        <v>1831.09</v>
      </c>
      <c r="E1000" s="6">
        <v>1533.82</v>
      </c>
      <c r="F1000" s="6" t="s">
        <v>14</v>
      </c>
      <c r="G1000" s="30" t="s">
        <v>1807</v>
      </c>
      <c r="H1000" s="31" t="s">
        <v>577</v>
      </c>
      <c r="I1000" s="9">
        <v>5919</v>
      </c>
      <c r="J1000" s="30" t="s">
        <v>1567</v>
      </c>
      <c r="K1000" s="30">
        <v>31217</v>
      </c>
      <c r="L1000" s="3" t="str">
        <f t="shared" si="31"/>
        <v>ΑΡΑΒΟΣΙΤΟΣ</v>
      </c>
    </row>
    <row r="1001" spans="1:12" s="3" customFormat="1" x14ac:dyDescent="0.25">
      <c r="A1001" s="3" t="str">
        <f t="shared" si="30"/>
        <v>ΑΡΑΒΟΣΙΤΟΣΑΡΑΒΟΣΙΤΟΣ SY FONTERO</v>
      </c>
      <c r="B1001" s="23" t="s">
        <v>1496</v>
      </c>
      <c r="C1001" s="24" t="s">
        <v>1452</v>
      </c>
      <c r="D1001" s="6">
        <v>1831.09</v>
      </c>
      <c r="E1001" s="6">
        <v>1533.82</v>
      </c>
      <c r="F1001" s="6" t="s">
        <v>14</v>
      </c>
      <c r="G1001" s="30" t="s">
        <v>1808</v>
      </c>
      <c r="H1001" s="31" t="s">
        <v>577</v>
      </c>
      <c r="I1001" s="9">
        <v>5907</v>
      </c>
      <c r="J1001" s="30" t="s">
        <v>1567</v>
      </c>
      <c r="K1001" s="30">
        <v>31218</v>
      </c>
      <c r="L1001" s="3" t="str">
        <f t="shared" si="31"/>
        <v>ΑΡΑΒΟΣΙΤΟΣ</v>
      </c>
    </row>
    <row r="1002" spans="1:12" s="3" customFormat="1" x14ac:dyDescent="0.25">
      <c r="A1002" s="3" t="str">
        <f t="shared" si="30"/>
        <v>ΑΡΑΒΟΣΙΤΟΣΑΡΑΒΟΣΙΤΟΣ ZPSC600</v>
      </c>
      <c r="B1002" s="23" t="s">
        <v>1496</v>
      </c>
      <c r="C1002" s="24" t="s">
        <v>1454</v>
      </c>
      <c r="D1002" s="6">
        <v>1831.09</v>
      </c>
      <c r="E1002" s="6">
        <v>1533.82</v>
      </c>
      <c r="F1002" s="6" t="s">
        <v>14</v>
      </c>
      <c r="G1002" s="30" t="s">
        <v>1809</v>
      </c>
      <c r="H1002" s="31" t="s">
        <v>577</v>
      </c>
      <c r="I1002" s="9">
        <v>5943</v>
      </c>
      <c r="J1002" s="30" t="s">
        <v>1567</v>
      </c>
      <c r="K1002" s="30">
        <v>31219</v>
      </c>
      <c r="L1002" s="3" t="str">
        <f t="shared" si="31"/>
        <v>ΑΡΑΒΟΣΙΤΟΣ</v>
      </c>
    </row>
    <row r="1003" spans="1:12" s="3" customFormat="1" x14ac:dyDescent="0.25">
      <c r="A1003" s="3" t="str">
        <f t="shared" si="30"/>
        <v>ΑΡΑΒΟΣΙΤΟΣΑΡΑΒΟΣΙΤΟΣ KERBANIS</v>
      </c>
      <c r="B1003" s="23" t="s">
        <v>1496</v>
      </c>
      <c r="C1003" s="24" t="s">
        <v>1456</v>
      </c>
      <c r="D1003" s="28">
        <v>1831.09</v>
      </c>
      <c r="E1003" s="28">
        <v>1533.82</v>
      </c>
      <c r="F1003" s="6" t="s">
        <v>14</v>
      </c>
      <c r="G1003" s="30" t="s">
        <v>1810</v>
      </c>
      <c r="H1003" s="31" t="s">
        <v>577</v>
      </c>
      <c r="I1003" s="9">
        <v>5751</v>
      </c>
      <c r="J1003" s="30" t="s">
        <v>1567</v>
      </c>
      <c r="K1003" s="30">
        <v>31220</v>
      </c>
      <c r="L1003" s="3" t="str">
        <f t="shared" si="31"/>
        <v>ΑΡΑΒΟΣΙΤΟΣ</v>
      </c>
    </row>
    <row r="1004" spans="1:12" s="3" customFormat="1" x14ac:dyDescent="0.25">
      <c r="A1004" s="3" t="str">
        <f t="shared" si="30"/>
        <v>ΑΡΑΒΟΣΙΤΟΣΑΡΑΒΟΣΙΤΟΣ ZP 7357</v>
      </c>
      <c r="B1004" s="23" t="s">
        <v>1496</v>
      </c>
      <c r="C1004" s="24" t="s">
        <v>1458</v>
      </c>
      <c r="D1004" s="6">
        <v>1831.09</v>
      </c>
      <c r="E1004" s="6">
        <v>1533.82</v>
      </c>
      <c r="F1004" s="6" t="s">
        <v>14</v>
      </c>
      <c r="G1004" s="30" t="s">
        <v>1811</v>
      </c>
      <c r="H1004" s="31" t="s">
        <v>577</v>
      </c>
      <c r="I1004" s="9">
        <v>5933</v>
      </c>
      <c r="J1004" s="30" t="s">
        <v>1567</v>
      </c>
      <c r="K1004" s="30">
        <v>31221</v>
      </c>
      <c r="L1004" s="3" t="str">
        <f t="shared" si="31"/>
        <v>ΑΡΑΒΟΣΙΤΟΣ</v>
      </c>
    </row>
    <row r="1005" spans="1:12" s="3" customFormat="1" x14ac:dyDescent="0.25">
      <c r="A1005" s="3" t="str">
        <f t="shared" si="30"/>
        <v>ΑΡΑΒΟΣΙΤΟΣΑΡΑΒΟΣΙΤΟΣ ALTAMIRA</v>
      </c>
      <c r="B1005" s="23" t="s">
        <v>1496</v>
      </c>
      <c r="C1005" s="24" t="s">
        <v>1460</v>
      </c>
      <c r="D1005" s="28">
        <v>1831.09</v>
      </c>
      <c r="E1005" s="28">
        <v>1533.82</v>
      </c>
      <c r="F1005" s="6" t="s">
        <v>14</v>
      </c>
      <c r="G1005" s="30" t="s">
        <v>1812</v>
      </c>
      <c r="H1005" s="31" t="s">
        <v>577</v>
      </c>
      <c r="I1005" s="9">
        <v>5648</v>
      </c>
      <c r="J1005" s="30" t="s">
        <v>1567</v>
      </c>
      <c r="K1005" s="30">
        <v>31222</v>
      </c>
      <c r="L1005" s="3" t="str">
        <f t="shared" si="31"/>
        <v>ΑΡΑΒΟΣΙΤΟΣ</v>
      </c>
    </row>
    <row r="1006" spans="1:12" s="3" customFormat="1" x14ac:dyDescent="0.25">
      <c r="A1006" s="3" t="str">
        <f t="shared" si="30"/>
        <v>ΑΡΑΒΟΣΙΤΟΣΑΡΑΒΟΣΙΤΟΣ ALTEA</v>
      </c>
      <c r="B1006" s="23" t="s">
        <v>1496</v>
      </c>
      <c r="C1006" s="24" t="s">
        <v>1462</v>
      </c>
      <c r="D1006" s="28">
        <v>1831.09</v>
      </c>
      <c r="E1006" s="28">
        <v>1533.82</v>
      </c>
      <c r="F1006" s="6" t="s">
        <v>14</v>
      </c>
      <c r="G1006" s="30" t="s">
        <v>1813</v>
      </c>
      <c r="H1006" s="31" t="s">
        <v>577</v>
      </c>
      <c r="I1006" s="9">
        <v>5650</v>
      </c>
      <c r="J1006" s="30" t="s">
        <v>1567</v>
      </c>
      <c r="K1006" s="30">
        <v>31224</v>
      </c>
      <c r="L1006" s="3" t="str">
        <f t="shared" si="31"/>
        <v>ΑΡΑΒΟΣΙΤΟΣ</v>
      </c>
    </row>
    <row r="1007" spans="1:12" s="3" customFormat="1" x14ac:dyDescent="0.25">
      <c r="A1007" s="3" t="str">
        <f t="shared" si="30"/>
        <v>ΑΡΑΒΟΣΙΤΟΣΑΡΑΒΟΣΙΤΟΣ ANTILLA</v>
      </c>
      <c r="B1007" s="23" t="s">
        <v>1496</v>
      </c>
      <c r="C1007" s="24" t="s">
        <v>1464</v>
      </c>
      <c r="D1007" s="28">
        <v>1831.09</v>
      </c>
      <c r="E1007" s="28">
        <v>1533.82</v>
      </c>
      <c r="F1007" s="6" t="s">
        <v>14</v>
      </c>
      <c r="G1007" s="30" t="s">
        <v>1814</v>
      </c>
      <c r="H1007" s="31" t="s">
        <v>577</v>
      </c>
      <c r="I1007" s="9">
        <v>5652</v>
      </c>
      <c r="J1007" s="30" t="s">
        <v>1567</v>
      </c>
      <c r="K1007" s="30">
        <v>31225</v>
      </c>
      <c r="L1007" s="3" t="str">
        <f t="shared" si="31"/>
        <v>ΑΡΑΒΟΣΙΤΟΣ</v>
      </c>
    </row>
    <row r="1008" spans="1:12" s="3" customFormat="1" x14ac:dyDescent="0.25">
      <c r="A1008" s="3" t="str">
        <f t="shared" si="30"/>
        <v>ΑΡΑΒΟΣΙΤΟΣΑΡΑΒΟΣΙΤΟΣ HATAY</v>
      </c>
      <c r="B1008" s="23" t="s">
        <v>1496</v>
      </c>
      <c r="C1008" s="24" t="s">
        <v>1466</v>
      </c>
      <c r="D1008" s="28">
        <v>1831.09</v>
      </c>
      <c r="E1008" s="28">
        <v>1533.82</v>
      </c>
      <c r="F1008" s="6" t="s">
        <v>14</v>
      </c>
      <c r="G1008" s="30" t="s">
        <v>1815</v>
      </c>
      <c r="H1008" s="31" t="s">
        <v>577</v>
      </c>
      <c r="I1008" s="9">
        <v>5738</v>
      </c>
      <c r="J1008" s="30" t="s">
        <v>1567</v>
      </c>
      <c r="K1008" s="30">
        <v>31226</v>
      </c>
      <c r="L1008" s="3" t="str">
        <f t="shared" si="31"/>
        <v>ΑΡΑΒΟΣΙΤΟΣ</v>
      </c>
    </row>
    <row r="1009" spans="1:12" s="3" customFormat="1" x14ac:dyDescent="0.25">
      <c r="A1009" s="3" t="str">
        <f t="shared" si="30"/>
        <v>ΑΡΑΒΟΣΙΤΟΣΑΡΑΒΟΣΙΤΟΣ LERMA</v>
      </c>
      <c r="B1009" s="23" t="s">
        <v>1496</v>
      </c>
      <c r="C1009" s="24" t="s">
        <v>1468</v>
      </c>
      <c r="D1009" s="28">
        <v>1831.09</v>
      </c>
      <c r="E1009" s="28">
        <v>1533.82</v>
      </c>
      <c r="F1009" s="6" t="s">
        <v>14</v>
      </c>
      <c r="G1009" s="30" t="s">
        <v>1816</v>
      </c>
      <c r="H1009" s="31" t="s">
        <v>577</v>
      </c>
      <c r="I1009" s="9">
        <v>5780</v>
      </c>
      <c r="J1009" s="30" t="s">
        <v>1567</v>
      </c>
      <c r="K1009" s="30">
        <v>31227</v>
      </c>
      <c r="L1009" s="3" t="str">
        <f t="shared" si="31"/>
        <v>ΑΡΑΒΟΣΙΤΟΣ</v>
      </c>
    </row>
    <row r="1010" spans="1:12" s="3" customFormat="1" x14ac:dyDescent="0.25">
      <c r="A1010" s="3" t="str">
        <f t="shared" si="30"/>
        <v>ΑΡΑΒΟΣΙΤΟΣΑΡΑΒΟΣΙΤΟΣ PORTBOU</v>
      </c>
      <c r="B1010" s="23" t="s">
        <v>1496</v>
      </c>
      <c r="C1010" s="24" t="s">
        <v>1470</v>
      </c>
      <c r="D1010" s="6">
        <v>1831.09</v>
      </c>
      <c r="E1010" s="6">
        <v>1533.82</v>
      </c>
      <c r="F1010" s="6" t="s">
        <v>14</v>
      </c>
      <c r="G1010" s="30" t="s">
        <v>1817</v>
      </c>
      <c r="H1010" s="31" t="s">
        <v>577</v>
      </c>
      <c r="I1010" s="9">
        <v>5877</v>
      </c>
      <c r="J1010" s="30" t="s">
        <v>1567</v>
      </c>
      <c r="K1010" s="30">
        <v>31228</v>
      </c>
      <c r="L1010" s="3" t="str">
        <f t="shared" si="31"/>
        <v>ΑΡΑΒΟΣΙΤΟΣ</v>
      </c>
    </row>
    <row r="1011" spans="1:12" s="3" customFormat="1" x14ac:dyDescent="0.25">
      <c r="A1011" s="3" t="str">
        <f t="shared" si="30"/>
        <v>ΑΡΑΒΟΣΙΤΟΣΑΡΑΒΟΣΙΤΟΣ SAGUNTO</v>
      </c>
      <c r="B1011" s="23" t="s">
        <v>1496</v>
      </c>
      <c r="C1011" s="24" t="s">
        <v>1472</v>
      </c>
      <c r="D1011" s="6">
        <v>1831.09</v>
      </c>
      <c r="E1011" s="6">
        <v>1533.82</v>
      </c>
      <c r="F1011" s="6" t="s">
        <v>14</v>
      </c>
      <c r="G1011" s="30" t="s">
        <v>1818</v>
      </c>
      <c r="H1011" s="31" t="s">
        <v>577</v>
      </c>
      <c r="I1011" s="9">
        <v>5880</v>
      </c>
      <c r="J1011" s="30" t="s">
        <v>1567</v>
      </c>
      <c r="K1011" s="30">
        <v>31229</v>
      </c>
      <c r="L1011" s="3" t="str">
        <f t="shared" si="31"/>
        <v>ΑΡΑΒΟΣΙΤΟΣ</v>
      </c>
    </row>
    <row r="1012" spans="1:12" s="3" customFormat="1" x14ac:dyDescent="0.25">
      <c r="A1012" s="3" t="str">
        <f t="shared" si="30"/>
        <v>ΑΡΑΒΟΣΙΤΟΣΑΡΑΒΟΣΙΤΟΣ SNH8605</v>
      </c>
      <c r="B1012" s="23" t="s">
        <v>1496</v>
      </c>
      <c r="C1012" s="24" t="s">
        <v>1474</v>
      </c>
      <c r="D1012" s="6">
        <v>1831.09</v>
      </c>
      <c r="E1012" s="6">
        <v>1533.82</v>
      </c>
      <c r="F1012" s="6" t="s">
        <v>14</v>
      </c>
      <c r="G1012" s="30" t="s">
        <v>1819</v>
      </c>
      <c r="H1012" s="31" t="s">
        <v>577</v>
      </c>
      <c r="I1012" s="9">
        <v>5891</v>
      </c>
      <c r="J1012" s="30" t="s">
        <v>1567</v>
      </c>
      <c r="K1012" s="30">
        <v>31230</v>
      </c>
      <c r="L1012" s="3" t="str">
        <f t="shared" si="31"/>
        <v>ΑΡΑΒΟΣΙΤΟΣ</v>
      </c>
    </row>
    <row r="1013" spans="1:12" s="3" customFormat="1" x14ac:dyDescent="0.25">
      <c r="A1013" s="3" t="str">
        <f t="shared" si="30"/>
        <v>ΑΡΑΒΟΣΙΤΟΣΑΡΑΒΟΣΙΤΟΣ SNH9402</v>
      </c>
      <c r="B1013" s="23" t="s">
        <v>1496</v>
      </c>
      <c r="C1013" s="24" t="s">
        <v>1476</v>
      </c>
      <c r="D1013" s="6">
        <v>1831.09</v>
      </c>
      <c r="E1013" s="6">
        <v>1533.82</v>
      </c>
      <c r="F1013" s="6" t="s">
        <v>14</v>
      </c>
      <c r="G1013" s="30" t="s">
        <v>1820</v>
      </c>
      <c r="H1013" s="31" t="s">
        <v>577</v>
      </c>
      <c r="I1013" s="9">
        <v>5893</v>
      </c>
      <c r="J1013" s="30" t="s">
        <v>1567</v>
      </c>
      <c r="K1013" s="30">
        <v>31231</v>
      </c>
      <c r="L1013" s="3" t="str">
        <f t="shared" si="31"/>
        <v>ΑΡΑΒΟΣΙΤΟΣ</v>
      </c>
    </row>
    <row r="1014" spans="1:12" s="3" customFormat="1" x14ac:dyDescent="0.25">
      <c r="A1014" s="3" t="str">
        <f t="shared" si="30"/>
        <v>ΑΡΑΒΟΣΙΤΟΣΑΡΑΒΟΣΙΤΟΣ P1517W</v>
      </c>
      <c r="B1014" s="23" t="s">
        <v>1496</v>
      </c>
      <c r="C1014" s="24" t="s">
        <v>1478</v>
      </c>
      <c r="D1014" s="6">
        <v>1831.09</v>
      </c>
      <c r="E1014" s="6">
        <v>1533.82</v>
      </c>
      <c r="F1014" s="6" t="s">
        <v>14</v>
      </c>
      <c r="G1014" s="30" t="s">
        <v>1821</v>
      </c>
      <c r="H1014" s="31" t="s">
        <v>577</v>
      </c>
      <c r="I1014" s="9">
        <v>5844</v>
      </c>
      <c r="J1014" s="30" t="s">
        <v>1567</v>
      </c>
      <c r="K1014" s="30">
        <v>31232</v>
      </c>
      <c r="L1014" s="3" t="str">
        <f t="shared" si="31"/>
        <v>ΑΡΑΒΟΣΙΤΟΣ</v>
      </c>
    </row>
    <row r="1015" spans="1:12" s="3" customFormat="1" x14ac:dyDescent="0.25">
      <c r="A1015" s="3" t="str">
        <f t="shared" si="30"/>
        <v>ΑΡΑΒΟΣΙΤΟΣΑΡΑΒΟΣΙΤΟΣ P0710</v>
      </c>
      <c r="B1015" s="23" t="s">
        <v>1496</v>
      </c>
      <c r="C1015" s="24" t="s">
        <v>1480</v>
      </c>
      <c r="D1015" s="6">
        <v>1831.09</v>
      </c>
      <c r="E1015" s="6">
        <v>1533.82</v>
      </c>
      <c r="F1015" s="6" t="s">
        <v>14</v>
      </c>
      <c r="G1015" s="30" t="s">
        <v>1822</v>
      </c>
      <c r="H1015" s="31" t="s">
        <v>577</v>
      </c>
      <c r="I1015" s="9">
        <v>5827</v>
      </c>
      <c r="J1015" s="30" t="s">
        <v>1567</v>
      </c>
      <c r="K1015" s="30">
        <v>31234</v>
      </c>
      <c r="L1015" s="3" t="str">
        <f t="shared" si="31"/>
        <v>ΑΡΑΒΟΣΙΤΟΣ</v>
      </c>
    </row>
    <row r="1016" spans="1:12" s="3" customFormat="1" x14ac:dyDescent="0.25">
      <c r="A1016" s="3" t="str">
        <f t="shared" si="30"/>
        <v>ΑΡΑΒΟΣΙΤΟΣΑΡΑΒΟΣΙΤΟΣ KWS HYPOLITO</v>
      </c>
      <c r="B1016" s="23" t="s">
        <v>1496</v>
      </c>
      <c r="C1016" s="24" t="s">
        <v>1482</v>
      </c>
      <c r="D1016" s="28">
        <v>1831.09</v>
      </c>
      <c r="E1016" s="28">
        <v>1533.82</v>
      </c>
      <c r="F1016" s="6" t="s">
        <v>14</v>
      </c>
      <c r="G1016" s="30" t="s">
        <v>1823</v>
      </c>
      <c r="H1016" s="31" t="s">
        <v>577</v>
      </c>
      <c r="I1016" s="9">
        <v>5764</v>
      </c>
      <c r="J1016" s="30" t="s">
        <v>1567</v>
      </c>
      <c r="K1016" s="30">
        <v>31235</v>
      </c>
      <c r="L1016" s="3" t="str">
        <f t="shared" si="31"/>
        <v>ΑΡΑΒΟΣΙΤΟΣ</v>
      </c>
    </row>
    <row r="1017" spans="1:12" s="3" customFormat="1" x14ac:dyDescent="0.25">
      <c r="A1017" s="3" t="str">
        <f t="shared" si="30"/>
        <v>ΑΡΑΒΟΣΙΤΟΣΑΡΑΒΟΣΙΤΟΣ GW3378</v>
      </c>
      <c r="B1017" s="23" t="s">
        <v>1496</v>
      </c>
      <c r="C1017" s="24" t="s">
        <v>1484</v>
      </c>
      <c r="D1017" s="28">
        <v>1831.09</v>
      </c>
      <c r="E1017" s="28">
        <v>1533.82</v>
      </c>
      <c r="F1017" s="6" t="s">
        <v>14</v>
      </c>
      <c r="G1017" s="30" t="s">
        <v>1824</v>
      </c>
      <c r="H1017" s="31" t="s">
        <v>577</v>
      </c>
      <c r="I1017" s="9">
        <v>5734</v>
      </c>
      <c r="J1017" s="30" t="s">
        <v>1567</v>
      </c>
      <c r="K1017" s="30">
        <v>31236</v>
      </c>
      <c r="L1017" s="3" t="str">
        <f t="shared" si="31"/>
        <v>ΑΡΑΒΟΣΙΤΟΣ</v>
      </c>
    </row>
    <row r="1018" spans="1:12" s="3" customFormat="1" x14ac:dyDescent="0.25">
      <c r="A1018" s="3" t="str">
        <f t="shared" si="30"/>
        <v>ΑΡΑΒΟΣΙΤΟΣΑΡΑΒΟΣΙΤΟΣ ALIGAR</v>
      </c>
      <c r="B1018" s="23" t="s">
        <v>1496</v>
      </c>
      <c r="C1018" s="24" t="s">
        <v>1486</v>
      </c>
      <c r="D1018" s="28">
        <v>1831.09</v>
      </c>
      <c r="E1018" s="28">
        <v>1533.82</v>
      </c>
      <c r="F1018" s="6" t="s">
        <v>14</v>
      </c>
      <c r="G1018" s="30" t="s">
        <v>1825</v>
      </c>
      <c r="H1018" s="31" t="s">
        <v>577</v>
      </c>
      <c r="I1018" s="9">
        <v>5646</v>
      </c>
      <c r="J1018" s="30" t="s">
        <v>1567</v>
      </c>
      <c r="K1018" s="30">
        <v>31237</v>
      </c>
      <c r="L1018" s="3" t="str">
        <f t="shared" si="31"/>
        <v>ΑΡΑΒΟΣΙΤΟΣ</v>
      </c>
    </row>
    <row r="1019" spans="1:12" s="3" customFormat="1" x14ac:dyDescent="0.25">
      <c r="A1019" s="3" t="str">
        <f t="shared" si="30"/>
        <v>ΑΡΑΒΟΣΙΤΟΣΑΡΑΒΟΣΙΤΟΣ 75ΜΑΥ75</v>
      </c>
      <c r="B1019" s="23" t="s">
        <v>1496</v>
      </c>
      <c r="C1019" s="24" t="s">
        <v>1488</v>
      </c>
      <c r="D1019" s="6">
        <v>1831.09</v>
      </c>
      <c r="E1019" s="6">
        <v>1533.82</v>
      </c>
      <c r="F1019" s="6" t="s">
        <v>14</v>
      </c>
      <c r="G1019" s="30" t="s">
        <v>1826</v>
      </c>
      <c r="H1019" s="31" t="s">
        <v>577</v>
      </c>
      <c r="I1019" s="9">
        <v>5628</v>
      </c>
      <c r="J1019" s="30" t="s">
        <v>1567</v>
      </c>
      <c r="K1019" s="30">
        <v>31238</v>
      </c>
      <c r="L1019" s="3" t="str">
        <f t="shared" si="31"/>
        <v>ΑΡΑΒΟΣΙΤΟΣ</v>
      </c>
    </row>
    <row r="1020" spans="1:12" s="3" customFormat="1" x14ac:dyDescent="0.25">
      <c r="A1020" s="3" t="str">
        <f t="shared" si="30"/>
        <v>ΑΡΑΒΟΣΙΤΟΣΑΡΑΒΟΣΙΤΟΣ KWS KERUBINO</v>
      </c>
      <c r="B1020" s="23" t="s">
        <v>1496</v>
      </c>
      <c r="C1020" s="24" t="s">
        <v>1490</v>
      </c>
      <c r="D1020" s="28">
        <v>1831.09</v>
      </c>
      <c r="E1020" s="28">
        <v>1533.82</v>
      </c>
      <c r="F1020" s="6" t="s">
        <v>14</v>
      </c>
      <c r="G1020" s="30" t="s">
        <v>1827</v>
      </c>
      <c r="H1020" s="31" t="s">
        <v>577</v>
      </c>
      <c r="I1020" s="9">
        <v>5769</v>
      </c>
      <c r="J1020" s="30" t="s">
        <v>1567</v>
      </c>
      <c r="K1020" s="30">
        <v>31239</v>
      </c>
      <c r="L1020" s="3" t="str">
        <f t="shared" si="31"/>
        <v>ΑΡΑΒΟΣΙΤΟΣ</v>
      </c>
    </row>
    <row r="1021" spans="1:12" s="3" customFormat="1" x14ac:dyDescent="0.25">
      <c r="A1021" s="3" t="str">
        <f t="shared" si="30"/>
        <v>ΑΡΑΒΟΣΙΤΟΣΑΡΑΒΟΣΙΤΟΣ P0920</v>
      </c>
      <c r="B1021" s="23" t="s">
        <v>1496</v>
      </c>
      <c r="C1021" s="24" t="s">
        <v>1492</v>
      </c>
      <c r="D1021" s="6">
        <v>1831.09</v>
      </c>
      <c r="E1021" s="6">
        <v>1533.82</v>
      </c>
      <c r="F1021" s="6" t="s">
        <v>14</v>
      </c>
      <c r="G1021" s="30" t="s">
        <v>1828</v>
      </c>
      <c r="H1021" s="31" t="s">
        <v>577</v>
      </c>
      <c r="I1021" s="9">
        <v>5831</v>
      </c>
      <c r="J1021" s="30" t="s">
        <v>1567</v>
      </c>
      <c r="K1021" s="30">
        <v>31240</v>
      </c>
      <c r="L1021" s="3" t="str">
        <f t="shared" si="31"/>
        <v>ΑΡΑΒΟΣΙΤΟΣ</v>
      </c>
    </row>
    <row r="1022" spans="1:12" s="3" customFormat="1" x14ac:dyDescent="0.25">
      <c r="A1022" s="3" t="str">
        <f t="shared" si="30"/>
        <v>ΑΡΑΒΟΣΙΤΟΣΑΡΑΒΟΣΙΤΟΣ SNH3616A5</v>
      </c>
      <c r="B1022" s="23" t="s">
        <v>1496</v>
      </c>
      <c r="C1022" s="24" t="s">
        <v>1494</v>
      </c>
      <c r="D1022" s="6">
        <v>1831.09</v>
      </c>
      <c r="E1022" s="6">
        <v>1533.82</v>
      </c>
      <c r="F1022" s="6" t="s">
        <v>14</v>
      </c>
      <c r="G1022" s="30" t="s">
        <v>1829</v>
      </c>
      <c r="H1022" s="31" t="s">
        <v>577</v>
      </c>
      <c r="I1022" s="9">
        <v>5887</v>
      </c>
      <c r="J1022" s="30" t="s">
        <v>1567</v>
      </c>
      <c r="K1022" s="30">
        <v>31241</v>
      </c>
      <c r="L1022" s="3" t="str">
        <f t="shared" si="31"/>
        <v>ΑΡΑΒΟΣΙΤΟΣ</v>
      </c>
    </row>
    <row r="1023" spans="1:12" s="3" customFormat="1" x14ac:dyDescent="0.25">
      <c r="A1023" s="3" t="str">
        <f t="shared" si="30"/>
        <v>ΑΡΑΒΟΣΙΤΟΣΑΡΑΒΟΣΙΤΟΣ</v>
      </c>
      <c r="B1023" s="23" t="s">
        <v>1496</v>
      </c>
      <c r="C1023" s="24" t="s">
        <v>1496</v>
      </c>
      <c r="D1023" s="6">
        <v>1831.09</v>
      </c>
      <c r="E1023" s="6">
        <v>1533.82</v>
      </c>
      <c r="F1023" s="6" t="s">
        <v>14</v>
      </c>
      <c r="G1023" s="30" t="s">
        <v>1830</v>
      </c>
      <c r="H1023" s="31" t="s">
        <v>577</v>
      </c>
      <c r="I1023" s="9">
        <v>5623</v>
      </c>
      <c r="J1023" s="30" t="s">
        <v>1567</v>
      </c>
      <c r="K1023" s="30">
        <v>31242</v>
      </c>
      <c r="L1023" s="3" t="str">
        <f t="shared" si="31"/>
        <v>ΑΡΑΒΟΣΙΤΟΣ</v>
      </c>
    </row>
    <row r="1024" spans="1:12" s="3" customFormat="1" x14ac:dyDescent="0.25">
      <c r="A1024" s="3" t="str">
        <f t="shared" si="30"/>
        <v>ΑΡΑΒΟΣΙΤΟΣΑΡΑΒΟΣΙΤΟΣ KEBEOS</v>
      </c>
      <c r="B1024" s="23" t="s">
        <v>1496</v>
      </c>
      <c r="C1024" s="24" t="s">
        <v>1498</v>
      </c>
      <c r="D1024" s="28">
        <v>1831.09</v>
      </c>
      <c r="E1024" s="28">
        <v>1533.82</v>
      </c>
      <c r="F1024" s="6" t="s">
        <v>14</v>
      </c>
      <c r="G1024" s="30" t="s">
        <v>1831</v>
      </c>
      <c r="H1024" s="31" t="s">
        <v>577</v>
      </c>
      <c r="I1024" s="9">
        <v>5747</v>
      </c>
      <c r="J1024" s="30" t="s">
        <v>1567</v>
      </c>
      <c r="K1024" s="30">
        <v>31243</v>
      </c>
      <c r="L1024" s="3" t="str">
        <f t="shared" si="31"/>
        <v>ΑΡΑΒΟΣΙΤΟΣ</v>
      </c>
    </row>
    <row r="1025" spans="1:12" s="3" customFormat="1" x14ac:dyDescent="0.25">
      <c r="A1025" s="3" t="str">
        <f t="shared" si="30"/>
        <v>ΑΡΑΒΟΣΙΤΟΣΑΡΑΒΟΣΙΤΟΣ KWS KANTICO</v>
      </c>
      <c r="B1025" s="23" t="s">
        <v>1496</v>
      </c>
      <c r="C1025" s="24" t="s">
        <v>1500</v>
      </c>
      <c r="D1025" s="28">
        <v>1831.09</v>
      </c>
      <c r="E1025" s="28">
        <v>1533.82</v>
      </c>
      <c r="F1025" s="6" t="s">
        <v>14</v>
      </c>
      <c r="G1025" s="30" t="s">
        <v>1832</v>
      </c>
      <c r="H1025" s="31" t="s">
        <v>577</v>
      </c>
      <c r="I1025" s="9">
        <v>5767</v>
      </c>
      <c r="J1025" s="30" t="s">
        <v>1567</v>
      </c>
      <c r="K1025" s="30">
        <v>31244</v>
      </c>
      <c r="L1025" s="3" t="str">
        <f t="shared" si="31"/>
        <v>ΑΡΑΒΟΣΙΤΟΣ</v>
      </c>
    </row>
    <row r="1026" spans="1:12" s="3" customFormat="1" x14ac:dyDescent="0.25">
      <c r="A1026" s="3" t="str">
        <f t="shared" si="30"/>
        <v>ΑΡΑΒΟΣΙΤΟΣΑΡΑΒΟΣΙΤΟΣ P1410</v>
      </c>
      <c r="B1026" s="23" t="s">
        <v>1496</v>
      </c>
      <c r="C1026" s="24" t="s">
        <v>1502</v>
      </c>
      <c r="D1026" s="6">
        <v>1831.09</v>
      </c>
      <c r="E1026" s="6">
        <v>1533.82</v>
      </c>
      <c r="F1026" s="6" t="s">
        <v>14</v>
      </c>
      <c r="G1026" s="30" t="s">
        <v>1833</v>
      </c>
      <c r="H1026" s="31" t="s">
        <v>577</v>
      </c>
      <c r="I1026" s="9">
        <v>5839</v>
      </c>
      <c r="J1026" s="30" t="s">
        <v>1567</v>
      </c>
      <c r="K1026" s="30">
        <v>31245</v>
      </c>
      <c r="L1026" s="3" t="str">
        <f t="shared" si="31"/>
        <v>ΑΡΑΒΟΣΙΤΟΣ</v>
      </c>
    </row>
    <row r="1027" spans="1:12" s="3" customFormat="1" x14ac:dyDescent="0.25">
      <c r="A1027" s="3" t="str">
        <f t="shared" ref="A1027:A1090" si="32">_xlfn.CONCAT(B1027,C1027)</f>
        <v>ΑΡΑΒΟΣΙΤΟΣΑΡΑΒΟΣΙΤΟΣ SY FUERZA</v>
      </c>
      <c r="B1027" s="23" t="s">
        <v>1496</v>
      </c>
      <c r="C1027" s="24" t="s">
        <v>1504</v>
      </c>
      <c r="D1027" s="6">
        <v>1831.09</v>
      </c>
      <c r="E1027" s="6">
        <v>1533.82</v>
      </c>
      <c r="F1027" s="6" t="s">
        <v>14</v>
      </c>
      <c r="G1027" s="30" t="s">
        <v>1834</v>
      </c>
      <c r="H1027" s="31" t="s">
        <v>577</v>
      </c>
      <c r="I1027" s="9">
        <v>5909</v>
      </c>
      <c r="J1027" s="30" t="s">
        <v>1567</v>
      </c>
      <c r="K1027" s="30">
        <v>31246</v>
      </c>
      <c r="L1027" s="3" t="str">
        <f t="shared" ref="L1027:L1090" si="33">IFERROR(SUBSTITUTE(SUBSTITUTE(SUBSTITUTE(SUBSTITUTE(SUBSTITUTE(B1027, "-", "_"), " ", "_"), ",", ""), "(", ""), ")", ""), B1027)</f>
        <v>ΑΡΑΒΟΣΙΤΟΣ</v>
      </c>
    </row>
    <row r="1028" spans="1:12" s="3" customFormat="1" x14ac:dyDescent="0.25">
      <c r="A1028" s="3" t="str">
        <f t="shared" si="32"/>
        <v>ΑΡΑΒΟΣΙΤΟΣΑΡΑΒΟΣΙΤΟΣ MAS 59K</v>
      </c>
      <c r="B1028" s="23" t="s">
        <v>1496</v>
      </c>
      <c r="C1028" s="24" t="s">
        <v>1506</v>
      </c>
      <c r="D1028" s="28">
        <v>1831.09</v>
      </c>
      <c r="E1028" s="28">
        <v>1533.82</v>
      </c>
      <c r="F1028" s="6" t="s">
        <v>14</v>
      </c>
      <c r="G1028" s="30" t="s">
        <v>1835</v>
      </c>
      <c r="H1028" s="31" t="s">
        <v>577</v>
      </c>
      <c r="I1028" s="9">
        <v>5806</v>
      </c>
      <c r="J1028" s="30" t="s">
        <v>1567</v>
      </c>
      <c r="K1028" s="30">
        <v>31248</v>
      </c>
      <c r="L1028" s="3" t="str">
        <f t="shared" si="33"/>
        <v>ΑΡΑΒΟΣΙΤΟΣ</v>
      </c>
    </row>
    <row r="1029" spans="1:12" s="3" customFormat="1" x14ac:dyDescent="0.25">
      <c r="A1029" s="3" t="str">
        <f t="shared" si="32"/>
        <v>ΑΡΑΒΟΣΙΤΟΣΑΡΑΒΟΣΙΤΟΣ P2046</v>
      </c>
      <c r="B1029" s="23" t="s">
        <v>1496</v>
      </c>
      <c r="C1029" s="24" t="s">
        <v>1508</v>
      </c>
      <c r="D1029" s="6">
        <v>1831.09</v>
      </c>
      <c r="E1029" s="6">
        <v>1533.82</v>
      </c>
      <c r="F1029" s="6" t="s">
        <v>14</v>
      </c>
      <c r="G1029" s="30" t="s">
        <v>1836</v>
      </c>
      <c r="H1029" s="31" t="s">
        <v>577</v>
      </c>
      <c r="I1029" s="9">
        <v>5858</v>
      </c>
      <c r="J1029" s="30" t="s">
        <v>1567</v>
      </c>
      <c r="K1029" s="30">
        <v>31249</v>
      </c>
      <c r="L1029" s="3" t="str">
        <f t="shared" si="33"/>
        <v>ΑΡΑΒΟΣΙΤΟΣ</v>
      </c>
    </row>
    <row r="1030" spans="1:12" s="3" customFormat="1" x14ac:dyDescent="0.25">
      <c r="A1030" s="3" t="str">
        <f t="shared" si="32"/>
        <v>ΑΡΑΒΟΣΙΤΟΣΑΡΑΒΟΣΙΤΟΣ KWS LEONIDAS</v>
      </c>
      <c r="B1030" s="23" t="s">
        <v>1496</v>
      </c>
      <c r="C1030" s="24" t="s">
        <v>1510</v>
      </c>
      <c r="D1030" s="28">
        <v>1831.09</v>
      </c>
      <c r="E1030" s="28">
        <v>1533.82</v>
      </c>
      <c r="F1030" s="6" t="s">
        <v>14</v>
      </c>
      <c r="G1030" s="30" t="s">
        <v>1837</v>
      </c>
      <c r="H1030" s="31" t="s">
        <v>577</v>
      </c>
      <c r="I1030" s="9">
        <v>5773</v>
      </c>
      <c r="J1030" s="30" t="s">
        <v>1567</v>
      </c>
      <c r="K1030" s="30">
        <v>31250</v>
      </c>
      <c r="L1030" s="3" t="str">
        <f t="shared" si="33"/>
        <v>ΑΡΑΒΟΣΙΤΟΣ</v>
      </c>
    </row>
    <row r="1031" spans="1:12" s="3" customFormat="1" x14ac:dyDescent="0.25">
      <c r="A1031" s="3" t="str">
        <f t="shared" si="32"/>
        <v>ΑΡΑΒΟΣΙΤΟΣΑΡΑΒΟΣΙΤΟΣ SNH7603</v>
      </c>
      <c r="B1031" s="23" t="s">
        <v>1496</v>
      </c>
      <c r="C1031" s="24" t="s">
        <v>1512</v>
      </c>
      <c r="D1031" s="6">
        <v>1831.09</v>
      </c>
      <c r="E1031" s="6">
        <v>1533.82</v>
      </c>
      <c r="F1031" s="6" t="s">
        <v>14</v>
      </c>
      <c r="G1031" s="30" t="s">
        <v>1838</v>
      </c>
      <c r="H1031" s="31" t="s">
        <v>577</v>
      </c>
      <c r="I1031" s="9">
        <v>5889</v>
      </c>
      <c r="J1031" s="30" t="s">
        <v>1567</v>
      </c>
      <c r="K1031" s="30">
        <v>31251</v>
      </c>
      <c r="L1031" s="3" t="str">
        <f t="shared" si="33"/>
        <v>ΑΡΑΒΟΣΙΤΟΣ</v>
      </c>
    </row>
    <row r="1032" spans="1:12" s="3" customFormat="1" x14ac:dyDescent="0.25">
      <c r="A1032" s="3" t="str">
        <f t="shared" si="32"/>
        <v>ΑΡΑΒΟΣΙΤΟΣΑΡΑΒΟΣΙΤΟΣ GRIGRI CS</v>
      </c>
      <c r="B1032" s="23" t="s">
        <v>1496</v>
      </c>
      <c r="C1032" s="24" t="s">
        <v>1514</v>
      </c>
      <c r="D1032" s="28">
        <v>1831.09</v>
      </c>
      <c r="E1032" s="28">
        <v>1533.82</v>
      </c>
      <c r="F1032" s="6" t="s">
        <v>14</v>
      </c>
      <c r="G1032" s="30" t="s">
        <v>1839</v>
      </c>
      <c r="H1032" s="31" t="s">
        <v>577</v>
      </c>
      <c r="I1032" s="9">
        <v>5709</v>
      </c>
      <c r="J1032" s="30" t="s">
        <v>1567</v>
      </c>
      <c r="K1032" s="30">
        <v>31252</v>
      </c>
      <c r="L1032" s="3" t="str">
        <f t="shared" si="33"/>
        <v>ΑΡΑΒΟΣΙΤΟΣ</v>
      </c>
    </row>
    <row r="1033" spans="1:12" s="3" customFormat="1" x14ac:dyDescent="0.25">
      <c r="A1033" s="3" t="str">
        <f t="shared" si="32"/>
        <v>ΑΡΑΒΟΣΙΤΟΣΑΡΑΒΟΣΙΤΟΣ P9889</v>
      </c>
      <c r="B1033" s="23" t="s">
        <v>1496</v>
      </c>
      <c r="C1033" s="24" t="s">
        <v>1516</v>
      </c>
      <c r="D1033" s="6">
        <v>1831.09</v>
      </c>
      <c r="E1033" s="6">
        <v>1533.82</v>
      </c>
      <c r="F1033" s="6" t="s">
        <v>14</v>
      </c>
      <c r="G1033" s="30" t="s">
        <v>1840</v>
      </c>
      <c r="H1033" s="31" t="s">
        <v>577</v>
      </c>
      <c r="I1033" s="9">
        <v>5868</v>
      </c>
      <c r="J1033" s="30" t="s">
        <v>1567</v>
      </c>
      <c r="K1033" s="30">
        <v>31253</v>
      </c>
      <c r="L1033" s="3" t="str">
        <f t="shared" si="33"/>
        <v>ΑΡΑΒΟΣΙΤΟΣ</v>
      </c>
    </row>
    <row r="1034" spans="1:12" s="3" customFormat="1" x14ac:dyDescent="0.25">
      <c r="A1034" s="3" t="str">
        <f t="shared" si="32"/>
        <v>ΑΡΑΒΟΣΙΤΟΣΑΡΑΒΟΣΙΤΟΣ ZP ERRIKO</v>
      </c>
      <c r="B1034" s="23" t="s">
        <v>1496</v>
      </c>
      <c r="C1034" s="24" t="s">
        <v>1518</v>
      </c>
      <c r="D1034" s="6">
        <v>1831.09</v>
      </c>
      <c r="E1034" s="6">
        <v>1533.82</v>
      </c>
      <c r="F1034" s="6" t="s">
        <v>14</v>
      </c>
      <c r="G1034" s="30" t="s">
        <v>1841</v>
      </c>
      <c r="H1034" s="31" t="s">
        <v>577</v>
      </c>
      <c r="I1034" s="9">
        <v>5936</v>
      </c>
      <c r="J1034" s="30" t="s">
        <v>1567</v>
      </c>
      <c r="K1034" s="30">
        <v>31254</v>
      </c>
      <c r="L1034" s="3" t="str">
        <f t="shared" si="33"/>
        <v>ΑΡΑΒΟΣΙΤΟΣ</v>
      </c>
    </row>
    <row r="1035" spans="1:12" s="3" customFormat="1" x14ac:dyDescent="0.25">
      <c r="A1035" s="3" t="str">
        <f t="shared" si="32"/>
        <v>ΑΡΑΒΟΣΙΤΟΣΑΡΑΒΟΣΙΤΟΣ P0551</v>
      </c>
      <c r="B1035" s="23" t="s">
        <v>1496</v>
      </c>
      <c r="C1035" s="24" t="s">
        <v>1520</v>
      </c>
      <c r="D1035" s="6">
        <v>1831.09</v>
      </c>
      <c r="E1035" s="6">
        <v>1533.82</v>
      </c>
      <c r="F1035" s="6" t="s">
        <v>14</v>
      </c>
      <c r="G1035" s="30" t="s">
        <v>1842</v>
      </c>
      <c r="H1035" s="31" t="s">
        <v>577</v>
      </c>
      <c r="I1035" s="9">
        <v>5825</v>
      </c>
      <c r="J1035" s="30" t="s">
        <v>1567</v>
      </c>
      <c r="K1035" s="30">
        <v>31255</v>
      </c>
      <c r="L1035" s="3" t="str">
        <f t="shared" si="33"/>
        <v>ΑΡΑΒΟΣΙΤΟΣ</v>
      </c>
    </row>
    <row r="1036" spans="1:12" s="3" customFormat="1" x14ac:dyDescent="0.25">
      <c r="A1036" s="3" t="str">
        <f t="shared" si="32"/>
        <v>ΑΡΑΒΟΣΙΤΟΣΑΡΑΒΟΣΙΤΟΣ P0450</v>
      </c>
      <c r="B1036" s="23" t="s">
        <v>1496</v>
      </c>
      <c r="C1036" s="24" t="s">
        <v>1522</v>
      </c>
      <c r="D1036" s="6">
        <v>1831.09</v>
      </c>
      <c r="E1036" s="6">
        <v>1533.82</v>
      </c>
      <c r="F1036" s="6" t="s">
        <v>14</v>
      </c>
      <c r="G1036" s="30" t="s">
        <v>1843</v>
      </c>
      <c r="H1036" s="31" t="s">
        <v>577</v>
      </c>
      <c r="I1036" s="9">
        <v>5823</v>
      </c>
      <c r="J1036" s="30" t="s">
        <v>1567</v>
      </c>
      <c r="K1036" s="30">
        <v>31256</v>
      </c>
      <c r="L1036" s="3" t="str">
        <f t="shared" si="33"/>
        <v>ΑΡΑΒΟΣΙΤΟΣ</v>
      </c>
    </row>
    <row r="1037" spans="1:12" s="3" customFormat="1" x14ac:dyDescent="0.25">
      <c r="A1037" s="3" t="str">
        <f t="shared" si="32"/>
        <v>ΑΡΑΒΟΣΙΤΟΣΑΡΑΒΟΣΙΤΟΣ P9978</v>
      </c>
      <c r="B1037" s="23" t="s">
        <v>1496</v>
      </c>
      <c r="C1037" s="24" t="s">
        <v>1524</v>
      </c>
      <c r="D1037" s="6">
        <v>1831.09</v>
      </c>
      <c r="E1037" s="6">
        <v>1533.82</v>
      </c>
      <c r="F1037" s="6" t="s">
        <v>14</v>
      </c>
      <c r="G1037" s="30" t="s">
        <v>1844</v>
      </c>
      <c r="H1037" s="31" t="s">
        <v>577</v>
      </c>
      <c r="I1037" s="9">
        <v>5873</v>
      </c>
      <c r="J1037" s="30" t="s">
        <v>1567</v>
      </c>
      <c r="K1037" s="30">
        <v>31257</v>
      </c>
      <c r="L1037" s="3" t="str">
        <f t="shared" si="33"/>
        <v>ΑΡΑΒΟΣΙΤΟΣ</v>
      </c>
    </row>
    <row r="1038" spans="1:12" s="3" customFormat="1" x14ac:dyDescent="0.25">
      <c r="A1038" s="3" t="str">
        <f t="shared" si="32"/>
        <v>ΑΡΑΒΟΣΙΤΟΣΑΡΑΒΟΣΙΤΟΣ KWS CAMILLO</v>
      </c>
      <c r="B1038" s="23" t="s">
        <v>1496</v>
      </c>
      <c r="C1038" s="24" t="s">
        <v>1526</v>
      </c>
      <c r="D1038" s="28">
        <v>1831.09</v>
      </c>
      <c r="E1038" s="28">
        <v>1533.82</v>
      </c>
      <c r="F1038" s="6" t="s">
        <v>14</v>
      </c>
      <c r="G1038" s="30" t="s">
        <v>1845</v>
      </c>
      <c r="H1038" s="31" t="s">
        <v>577</v>
      </c>
      <c r="I1038" s="9">
        <v>5760</v>
      </c>
      <c r="J1038" s="30" t="s">
        <v>1567</v>
      </c>
      <c r="K1038" s="30">
        <v>31258</v>
      </c>
      <c r="L1038" s="3" t="str">
        <f t="shared" si="33"/>
        <v>ΑΡΑΒΟΣΙΤΟΣ</v>
      </c>
    </row>
    <row r="1039" spans="1:12" s="3" customFormat="1" x14ac:dyDescent="0.25">
      <c r="A1039" s="3" t="str">
        <f t="shared" si="32"/>
        <v>ΑΡΑΒΟΣΙΤΟΣΑΡΑΒΟΣΙΤΟΣ P1096</v>
      </c>
      <c r="B1039" s="23" t="s">
        <v>1496</v>
      </c>
      <c r="C1039" s="24" t="s">
        <v>1528</v>
      </c>
      <c r="D1039" s="6">
        <v>1831.09</v>
      </c>
      <c r="E1039" s="6">
        <v>1533.82</v>
      </c>
      <c r="F1039" s="6" t="s">
        <v>14</v>
      </c>
      <c r="G1039" s="30" t="s">
        <v>1846</v>
      </c>
      <c r="H1039" s="31" t="s">
        <v>577</v>
      </c>
      <c r="I1039" s="9">
        <v>5835</v>
      </c>
      <c r="J1039" s="30" t="s">
        <v>1567</v>
      </c>
      <c r="K1039" s="30">
        <v>31259</v>
      </c>
      <c r="L1039" s="3" t="str">
        <f t="shared" si="33"/>
        <v>ΑΡΑΒΟΣΙΤΟΣ</v>
      </c>
    </row>
    <row r="1040" spans="1:12" s="3" customFormat="1" x14ac:dyDescent="0.25">
      <c r="A1040" s="3" t="str">
        <f t="shared" si="32"/>
        <v>ΑΡΑΒΟΣΙΤΟΣΑΡΑΒΟΣΙΤΟΣ TOPOLA</v>
      </c>
      <c r="B1040" s="23" t="s">
        <v>1496</v>
      </c>
      <c r="C1040" s="24" t="s">
        <v>1530</v>
      </c>
      <c r="D1040" s="6">
        <v>1831.09</v>
      </c>
      <c r="E1040" s="6">
        <v>1533.82</v>
      </c>
      <c r="F1040" s="6" t="s">
        <v>14</v>
      </c>
      <c r="G1040" s="30" t="s">
        <v>1847</v>
      </c>
      <c r="H1040" s="31" t="s">
        <v>577</v>
      </c>
      <c r="I1040" s="9">
        <v>5924</v>
      </c>
      <c r="J1040" s="30" t="s">
        <v>1567</v>
      </c>
      <c r="K1040" s="30">
        <v>31260</v>
      </c>
      <c r="L1040" s="3" t="str">
        <f t="shared" si="33"/>
        <v>ΑΡΑΒΟΣΙΤΟΣ</v>
      </c>
    </row>
    <row r="1041" spans="1:12" s="3" customFormat="1" x14ac:dyDescent="0.25">
      <c r="A1041" s="3" t="str">
        <f t="shared" si="32"/>
        <v>ΑΡΑΒΟΣΙΤΟΣΑΡΑΒΟΣΙΤΟΣ P9903</v>
      </c>
      <c r="B1041" s="23" t="s">
        <v>1496</v>
      </c>
      <c r="C1041" s="24" t="s">
        <v>1532</v>
      </c>
      <c r="D1041" s="6">
        <v>1831.09</v>
      </c>
      <c r="E1041" s="6">
        <v>1533.82</v>
      </c>
      <c r="F1041" s="6" t="s">
        <v>14</v>
      </c>
      <c r="G1041" s="30" t="s">
        <v>1848</v>
      </c>
      <c r="H1041" s="31" t="s">
        <v>577</v>
      </c>
      <c r="I1041" s="9">
        <v>5870</v>
      </c>
      <c r="J1041" s="30" t="s">
        <v>1567</v>
      </c>
      <c r="K1041" s="30">
        <v>31261</v>
      </c>
      <c r="L1041" s="3" t="str">
        <f t="shared" si="33"/>
        <v>ΑΡΑΒΟΣΙΤΟΣ</v>
      </c>
    </row>
    <row r="1042" spans="1:12" s="3" customFormat="1" x14ac:dyDescent="0.25">
      <c r="A1042" s="3" t="str">
        <f t="shared" si="32"/>
        <v>ΑΡΑΒΟΣΙΤΟΣΑΡΑΒΟΣΙΤΟΣ KONFITES</v>
      </c>
      <c r="B1042" s="23" t="s">
        <v>1496</v>
      </c>
      <c r="C1042" s="24" t="s">
        <v>1534</v>
      </c>
      <c r="D1042" s="28">
        <v>1831.09</v>
      </c>
      <c r="E1042" s="28">
        <v>1533.82</v>
      </c>
      <c r="F1042" s="6" t="s">
        <v>14</v>
      </c>
      <c r="G1042" s="30" t="s">
        <v>1849</v>
      </c>
      <c r="H1042" s="31" t="s">
        <v>577</v>
      </c>
      <c r="I1042" s="9">
        <v>5756</v>
      </c>
      <c r="J1042" s="30" t="s">
        <v>1567</v>
      </c>
      <c r="K1042" s="30">
        <v>31262</v>
      </c>
      <c r="L1042" s="3" t="str">
        <f t="shared" si="33"/>
        <v>ΑΡΑΒΟΣΙΤΟΣ</v>
      </c>
    </row>
    <row r="1043" spans="1:12" s="3" customFormat="1" x14ac:dyDescent="0.25">
      <c r="A1043" s="3" t="str">
        <f t="shared" si="32"/>
        <v>ΑΡΑΒΟΣΙΤΟΣΑΡΑΒΟΣΙΤΟΣ OVERLAND</v>
      </c>
      <c r="B1043" s="23" t="s">
        <v>1496</v>
      </c>
      <c r="C1043" s="24" t="s">
        <v>1536</v>
      </c>
      <c r="D1043" s="6">
        <v>1831.09</v>
      </c>
      <c r="E1043" s="6">
        <v>1533.82</v>
      </c>
      <c r="F1043" s="6" t="s">
        <v>14</v>
      </c>
      <c r="G1043" s="30" t="s">
        <v>1850</v>
      </c>
      <c r="H1043" s="31" t="s">
        <v>577</v>
      </c>
      <c r="I1043" s="9">
        <v>5818</v>
      </c>
      <c r="J1043" s="30" t="s">
        <v>1567</v>
      </c>
      <c r="K1043" s="30">
        <v>31263</v>
      </c>
      <c r="L1043" s="3" t="str">
        <f t="shared" si="33"/>
        <v>ΑΡΑΒΟΣΙΤΟΣ</v>
      </c>
    </row>
    <row r="1044" spans="1:12" s="3" customFormat="1" x14ac:dyDescent="0.25">
      <c r="A1044" s="3" t="str">
        <f t="shared" si="32"/>
        <v>ΑΡΑΒΟΣΙΤΟΣΑΡΑΒΟΣΙΤΟΣ P0260</v>
      </c>
      <c r="B1044" s="23" t="s">
        <v>1496</v>
      </c>
      <c r="C1044" s="24" t="s">
        <v>1538</v>
      </c>
      <c r="D1044" s="6">
        <v>1831.09</v>
      </c>
      <c r="E1044" s="6">
        <v>1533.82</v>
      </c>
      <c r="F1044" s="6" t="s">
        <v>14</v>
      </c>
      <c r="G1044" s="30" t="s">
        <v>1851</v>
      </c>
      <c r="H1044" s="31" t="s">
        <v>577</v>
      </c>
      <c r="I1044" s="9">
        <v>5821</v>
      </c>
      <c r="J1044" s="30" t="s">
        <v>1567</v>
      </c>
      <c r="K1044" s="30">
        <v>31264</v>
      </c>
      <c r="L1044" s="3" t="str">
        <f t="shared" si="33"/>
        <v>ΑΡΑΒΟΣΙΤΟΣ</v>
      </c>
    </row>
    <row r="1045" spans="1:12" s="3" customFormat="1" x14ac:dyDescent="0.25">
      <c r="A1045" s="3" t="str">
        <f t="shared" si="32"/>
        <v>ΑΡΑΒΟΣΙΤΟΣΑΡΑΒΟΣΙΤΟΣ P9610</v>
      </c>
      <c r="B1045" s="23" t="s">
        <v>1496</v>
      </c>
      <c r="C1045" s="24" t="s">
        <v>1540</v>
      </c>
      <c r="D1045" s="6">
        <v>1831.09</v>
      </c>
      <c r="E1045" s="6">
        <v>1533.82</v>
      </c>
      <c r="F1045" s="6" t="s">
        <v>14</v>
      </c>
      <c r="G1045" s="30" t="s">
        <v>1852</v>
      </c>
      <c r="H1045" s="31" t="s">
        <v>577</v>
      </c>
      <c r="I1045" s="9">
        <v>5866</v>
      </c>
      <c r="J1045" s="30" t="s">
        <v>1567</v>
      </c>
      <c r="K1045" s="30">
        <v>31265</v>
      </c>
      <c r="L1045" s="3" t="str">
        <f t="shared" si="33"/>
        <v>ΑΡΑΒΟΣΙΤΟΣ</v>
      </c>
    </row>
    <row r="1046" spans="1:12" s="3" customFormat="1" x14ac:dyDescent="0.25">
      <c r="A1046" s="3" t="str">
        <f t="shared" si="32"/>
        <v>ΑΡΑΒΟΣΙΤΟΣΑΡΑΒΟΣΙΟΣ GUSTA</v>
      </c>
      <c r="B1046" s="23" t="s">
        <v>1496</v>
      </c>
      <c r="C1046" s="24" t="s">
        <v>1542</v>
      </c>
      <c r="D1046" s="6">
        <v>1831.09</v>
      </c>
      <c r="E1046" s="6">
        <v>1533.82</v>
      </c>
      <c r="F1046" s="6" t="s">
        <v>14</v>
      </c>
      <c r="G1046" s="30" t="s">
        <v>1853</v>
      </c>
      <c r="H1046" s="31" t="s">
        <v>577</v>
      </c>
      <c r="I1046" s="9">
        <v>5621</v>
      </c>
      <c r="J1046" s="30" t="s">
        <v>1567</v>
      </c>
      <c r="K1046" s="30">
        <v>31266</v>
      </c>
      <c r="L1046" s="3" t="str">
        <f t="shared" si="33"/>
        <v>ΑΡΑΒΟΣΙΤΟΣ</v>
      </c>
    </row>
    <row r="1047" spans="1:12" s="3" customFormat="1" x14ac:dyDescent="0.25">
      <c r="A1047" s="3" t="str">
        <f t="shared" si="32"/>
        <v>ΑΡΑΒΟΣΙΤΟΣΑΡΑΒΟΣΙΤΟΣ CAPUZI</v>
      </c>
      <c r="B1047" s="23" t="s">
        <v>1496</v>
      </c>
      <c r="C1047" s="24" t="s">
        <v>1544</v>
      </c>
      <c r="D1047" s="28">
        <v>1831.09</v>
      </c>
      <c r="E1047" s="28">
        <v>1533.82</v>
      </c>
      <c r="F1047" s="6" t="s">
        <v>14</v>
      </c>
      <c r="G1047" s="30" t="s">
        <v>1854</v>
      </c>
      <c r="H1047" s="31" t="s">
        <v>577</v>
      </c>
      <c r="I1047" s="9">
        <v>5666</v>
      </c>
      <c r="J1047" s="30" t="s">
        <v>1567</v>
      </c>
      <c r="K1047" s="30">
        <v>31267</v>
      </c>
      <c r="L1047" s="3" t="str">
        <f t="shared" si="33"/>
        <v>ΑΡΑΒΟΣΙΤΟΣ</v>
      </c>
    </row>
    <row r="1048" spans="1:12" s="3" customFormat="1" x14ac:dyDescent="0.25">
      <c r="A1048" s="3" t="str">
        <f t="shared" si="32"/>
        <v>ΑΡΑΒΟΣΙΤΟΣΑΡΑΒΟΣΙΤΟΣ MANCINI</v>
      </c>
      <c r="B1048" s="23" t="s">
        <v>1496</v>
      </c>
      <c r="C1048" s="24" t="s">
        <v>1546</v>
      </c>
      <c r="D1048" s="28">
        <v>1831.09</v>
      </c>
      <c r="E1048" s="28">
        <v>1533.82</v>
      </c>
      <c r="F1048" s="6" t="s">
        <v>14</v>
      </c>
      <c r="G1048" s="30" t="s">
        <v>1855</v>
      </c>
      <c r="H1048" s="31" t="s">
        <v>577</v>
      </c>
      <c r="I1048" s="9">
        <v>5801</v>
      </c>
      <c r="J1048" s="30" t="s">
        <v>1567</v>
      </c>
      <c r="K1048" s="30">
        <v>31268</v>
      </c>
      <c r="L1048" s="3" t="str">
        <f t="shared" si="33"/>
        <v>ΑΡΑΒΟΣΙΤΟΣ</v>
      </c>
    </row>
    <row r="1049" spans="1:12" s="3" customFormat="1" x14ac:dyDescent="0.25">
      <c r="A1049" s="3" t="str">
        <f t="shared" si="32"/>
        <v>ΑΡΑΒΟΣΙΤΟΣΑΡΑΒΟΣΙΤΟΣ TOPECA</v>
      </c>
      <c r="B1049" s="23" t="s">
        <v>1496</v>
      </c>
      <c r="C1049" s="24" t="s">
        <v>1548</v>
      </c>
      <c r="D1049" s="6">
        <v>1831.09</v>
      </c>
      <c r="E1049" s="6">
        <v>1533.82</v>
      </c>
      <c r="F1049" s="6" t="s">
        <v>14</v>
      </c>
      <c r="G1049" s="30" t="s">
        <v>1856</v>
      </c>
      <c r="H1049" s="31" t="s">
        <v>577</v>
      </c>
      <c r="I1049" s="9">
        <v>5922</v>
      </c>
      <c r="J1049" s="30" t="s">
        <v>1567</v>
      </c>
      <c r="K1049" s="30">
        <v>31269</v>
      </c>
      <c r="L1049" s="3" t="str">
        <f t="shared" si="33"/>
        <v>ΑΡΑΒΟΣΙΤΟΣ</v>
      </c>
    </row>
    <row r="1050" spans="1:12" s="3" customFormat="1" x14ac:dyDescent="0.25">
      <c r="A1050" s="3" t="str">
        <f t="shared" si="32"/>
        <v>ΑΡΑΒΟΣΙΤΟΣΑΡΑΒΟΣΙΤΟΣ SHANIYA</v>
      </c>
      <c r="B1050" s="23" t="s">
        <v>1496</v>
      </c>
      <c r="C1050" s="24" t="s">
        <v>1550</v>
      </c>
      <c r="D1050" s="6">
        <v>1831.09</v>
      </c>
      <c r="E1050" s="6">
        <v>1533.82</v>
      </c>
      <c r="F1050" s="6" t="s">
        <v>14</v>
      </c>
      <c r="G1050" s="30" t="s">
        <v>1857</v>
      </c>
      <c r="H1050" s="31" t="s">
        <v>577</v>
      </c>
      <c r="I1050" s="9">
        <v>5882</v>
      </c>
      <c r="J1050" s="30" t="s">
        <v>1567</v>
      </c>
      <c r="K1050" s="30">
        <v>31270</v>
      </c>
      <c r="L1050" s="3" t="str">
        <f t="shared" si="33"/>
        <v>ΑΡΑΒΟΣΙΤΟΣ</v>
      </c>
    </row>
    <row r="1051" spans="1:12" s="3" customFormat="1" x14ac:dyDescent="0.25">
      <c r="A1051" s="3" t="str">
        <f t="shared" si="32"/>
        <v>ΑΡΑΒΟΣΙΤΟΣΑΡΑΒΟΣΙΤΟΣ DS23188C</v>
      </c>
      <c r="B1051" s="23" t="s">
        <v>1496</v>
      </c>
      <c r="C1051" s="24" t="s">
        <v>1552</v>
      </c>
      <c r="D1051" s="28">
        <v>1831.09</v>
      </c>
      <c r="E1051" s="28">
        <v>1533.82</v>
      </c>
      <c r="F1051" s="6" t="s">
        <v>14</v>
      </c>
      <c r="G1051" s="30" t="s">
        <v>1858</v>
      </c>
      <c r="H1051" s="31" t="s">
        <v>577</v>
      </c>
      <c r="I1051" s="9">
        <v>5701</v>
      </c>
      <c r="J1051" s="30" t="s">
        <v>1567</v>
      </c>
      <c r="K1051" s="30">
        <v>31271</v>
      </c>
      <c r="L1051" s="3" t="str">
        <f t="shared" si="33"/>
        <v>ΑΡΑΒΟΣΙΤΟΣ</v>
      </c>
    </row>
    <row r="1052" spans="1:12" s="3" customFormat="1" x14ac:dyDescent="0.25">
      <c r="A1052" s="3" t="str">
        <f t="shared" si="32"/>
        <v>ΑΡΑΒΟΣΙΤΟΣΑΡΑΒΟΣΙΤΟΣ ADDA 90</v>
      </c>
      <c r="B1052" s="18" t="s">
        <v>1496</v>
      </c>
      <c r="C1052" s="19" t="s">
        <v>1859</v>
      </c>
      <c r="D1052" s="6">
        <v>1831.09</v>
      </c>
      <c r="E1052" s="6">
        <v>1533.82</v>
      </c>
      <c r="F1052" s="6" t="s">
        <v>14</v>
      </c>
      <c r="G1052" s="8" t="s">
        <v>1860</v>
      </c>
      <c r="H1052" s="8" t="s">
        <v>27</v>
      </c>
      <c r="I1052" s="9">
        <v>4299</v>
      </c>
      <c r="J1052" s="20" t="s">
        <v>1567</v>
      </c>
      <c r="K1052" s="20">
        <v>8001</v>
      </c>
      <c r="L1052" s="3" t="str">
        <f t="shared" si="33"/>
        <v>ΑΡΑΒΟΣΙΤΟΣ</v>
      </c>
    </row>
    <row r="1053" spans="1:12" s="3" customFormat="1" x14ac:dyDescent="0.25">
      <c r="A1053" s="3" t="str">
        <f t="shared" si="32"/>
        <v>ΑΡΑΒΟΣΙΤΟΣΑΡΑΒΟΣΙΤΟΣ ΑΘΗΝΑ</v>
      </c>
      <c r="B1053" s="18" t="s">
        <v>1496</v>
      </c>
      <c r="C1053" s="19" t="s">
        <v>1554</v>
      </c>
      <c r="D1053" s="6">
        <v>1831.09</v>
      </c>
      <c r="E1053" s="6">
        <v>1533.82</v>
      </c>
      <c r="F1053" s="6" t="s">
        <v>14</v>
      </c>
      <c r="G1053" s="8" t="s">
        <v>1861</v>
      </c>
      <c r="H1053" s="8" t="s">
        <v>27</v>
      </c>
      <c r="I1053" s="9">
        <v>4300</v>
      </c>
      <c r="J1053" s="20" t="s">
        <v>1567</v>
      </c>
      <c r="K1053" s="20">
        <v>8002</v>
      </c>
      <c r="L1053" s="3" t="str">
        <f t="shared" si="33"/>
        <v>ΑΡΑΒΟΣΙΤΟΣ</v>
      </c>
    </row>
    <row r="1054" spans="1:12" s="3" customFormat="1" x14ac:dyDescent="0.25">
      <c r="A1054" s="3" t="str">
        <f t="shared" si="32"/>
        <v>ΑΡΑΒΟΣΙΤΟΣΑΡΑΒΟΣΙΤΟΣ AJACE</v>
      </c>
      <c r="B1054" s="18" t="s">
        <v>1496</v>
      </c>
      <c r="C1054" s="19" t="s">
        <v>1862</v>
      </c>
      <c r="D1054" s="6">
        <v>1831.09</v>
      </c>
      <c r="E1054" s="6">
        <v>1533.82</v>
      </c>
      <c r="F1054" s="6" t="s">
        <v>14</v>
      </c>
      <c r="G1054" s="8" t="s">
        <v>1863</v>
      </c>
      <c r="H1054" s="8" t="s">
        <v>27</v>
      </c>
      <c r="I1054" s="9">
        <v>4301</v>
      </c>
      <c r="J1054" s="20" t="s">
        <v>1567</v>
      </c>
      <c r="K1054" s="20">
        <v>8003</v>
      </c>
      <c r="L1054" s="3" t="str">
        <f t="shared" si="33"/>
        <v>ΑΡΑΒΟΣΙΤΟΣ</v>
      </c>
    </row>
    <row r="1055" spans="1:12" s="3" customFormat="1" x14ac:dyDescent="0.25">
      <c r="A1055" s="3" t="str">
        <f t="shared" si="32"/>
        <v>ΑΡΑΒΟΣΙΤΟΣΑΡΑΒΟΣΙΤΟΣ ALBATROS T1069</v>
      </c>
      <c r="B1055" s="18" t="s">
        <v>1496</v>
      </c>
      <c r="C1055" s="19" t="s">
        <v>1864</v>
      </c>
      <c r="D1055" s="6">
        <v>1831.09</v>
      </c>
      <c r="E1055" s="6">
        <v>1533.82</v>
      </c>
      <c r="F1055" s="6" t="s">
        <v>14</v>
      </c>
      <c r="G1055" s="8" t="s">
        <v>1865</v>
      </c>
      <c r="H1055" s="8" t="s">
        <v>27</v>
      </c>
      <c r="I1055" s="9">
        <v>4302</v>
      </c>
      <c r="J1055" s="20" t="s">
        <v>1567</v>
      </c>
      <c r="K1055" s="20">
        <v>8004</v>
      </c>
      <c r="L1055" s="3" t="str">
        <f t="shared" si="33"/>
        <v>ΑΡΑΒΟΣΙΤΟΣ</v>
      </c>
    </row>
    <row r="1056" spans="1:12" s="3" customFormat="1" x14ac:dyDescent="0.25">
      <c r="A1056" s="3" t="str">
        <f t="shared" si="32"/>
        <v>ΑΡΑΒΟΣΙΤΟΣΑΡΑΒΟΣΙΤΟΣ ΑΛΕΞΑΝΔΡΟΣ</v>
      </c>
      <c r="B1056" s="18" t="s">
        <v>1496</v>
      </c>
      <c r="C1056" s="19" t="s">
        <v>1556</v>
      </c>
      <c r="D1056" s="6">
        <v>1831.09</v>
      </c>
      <c r="E1056" s="6">
        <v>1533.82</v>
      </c>
      <c r="F1056" s="6" t="s">
        <v>14</v>
      </c>
      <c r="G1056" s="8" t="s">
        <v>1866</v>
      </c>
      <c r="H1056" s="8" t="s">
        <v>27</v>
      </c>
      <c r="I1056" s="9">
        <v>4303</v>
      </c>
      <c r="J1056" s="20" t="s">
        <v>1567</v>
      </c>
      <c r="K1056" s="20">
        <v>8005</v>
      </c>
      <c r="L1056" s="3" t="str">
        <f t="shared" si="33"/>
        <v>ΑΡΑΒΟΣΙΤΟΣ</v>
      </c>
    </row>
    <row r="1057" spans="1:12" s="3" customFormat="1" x14ac:dyDescent="0.25">
      <c r="A1057" s="3" t="str">
        <f t="shared" si="32"/>
        <v>ΑΡΑΒΟΣΙΤΟΣΑΡΑΒΟΣΙΤΟΣ ALNUS-PX9646</v>
      </c>
      <c r="B1057" s="18" t="s">
        <v>1496</v>
      </c>
      <c r="C1057" s="19" t="s">
        <v>1867</v>
      </c>
      <c r="D1057" s="28">
        <v>1831.09</v>
      </c>
      <c r="E1057" s="28">
        <v>1533.82</v>
      </c>
      <c r="F1057" s="6" t="s">
        <v>14</v>
      </c>
      <c r="G1057" s="8" t="s">
        <v>1868</v>
      </c>
      <c r="H1057" s="8" t="s">
        <v>27</v>
      </c>
      <c r="I1057" s="9">
        <v>4304</v>
      </c>
      <c r="J1057" s="20" t="s">
        <v>1567</v>
      </c>
      <c r="K1057" s="20">
        <v>8006</v>
      </c>
      <c r="L1057" s="3" t="str">
        <f t="shared" si="33"/>
        <v>ΑΡΑΒΟΣΙΤΟΣ</v>
      </c>
    </row>
    <row r="1058" spans="1:12" s="3" customFormat="1" x14ac:dyDescent="0.25">
      <c r="A1058" s="3" t="str">
        <f t="shared" si="32"/>
        <v>ΑΡΑΒΟΣΙΤΟΣΑΡΑΒΟΣΙΤΟΣ ALTON</v>
      </c>
      <c r="B1058" s="18" t="s">
        <v>1496</v>
      </c>
      <c r="C1058" s="19" t="s">
        <v>1869</v>
      </c>
      <c r="D1058" s="28">
        <v>1831.09</v>
      </c>
      <c r="E1058" s="28">
        <v>1533.82</v>
      </c>
      <c r="F1058" s="6" t="s">
        <v>14</v>
      </c>
      <c r="G1058" s="8" t="s">
        <v>1870</v>
      </c>
      <c r="H1058" s="8" t="s">
        <v>27</v>
      </c>
      <c r="I1058" s="9">
        <v>4305</v>
      </c>
      <c r="J1058" s="20" t="s">
        <v>1567</v>
      </c>
      <c r="K1058" s="20">
        <v>8007</v>
      </c>
      <c r="L1058" s="3" t="str">
        <f t="shared" si="33"/>
        <v>ΑΡΑΒΟΣΙΤΟΣ</v>
      </c>
    </row>
    <row r="1059" spans="1:12" s="3" customFormat="1" x14ac:dyDescent="0.25">
      <c r="A1059" s="3" t="str">
        <f t="shared" si="32"/>
        <v>ΑΡΑΒΟΣΙΤΟΣΑΡΑΒΟΣΙΤΟΣ AMANDA</v>
      </c>
      <c r="B1059" s="18" t="s">
        <v>1496</v>
      </c>
      <c r="C1059" s="19" t="s">
        <v>1871</v>
      </c>
      <c r="D1059" s="28">
        <v>1831.09</v>
      </c>
      <c r="E1059" s="28">
        <v>1533.82</v>
      </c>
      <c r="F1059" s="6" t="s">
        <v>14</v>
      </c>
      <c r="G1059" s="8" t="s">
        <v>1872</v>
      </c>
      <c r="H1059" s="8" t="s">
        <v>27</v>
      </c>
      <c r="I1059" s="9">
        <v>4306</v>
      </c>
      <c r="J1059" s="20" t="s">
        <v>1567</v>
      </c>
      <c r="K1059" s="20">
        <v>8008</v>
      </c>
      <c r="L1059" s="3" t="str">
        <f t="shared" si="33"/>
        <v>ΑΡΑΒΟΣΙΤΟΣ</v>
      </c>
    </row>
    <row r="1060" spans="1:12" s="3" customFormat="1" x14ac:dyDescent="0.25">
      <c r="A1060" s="3" t="str">
        <f t="shared" si="32"/>
        <v>ΑΡΑΒΟΣΙΤΟΣΑΡΑΒΟΣΙΤΟΣ AMARANTO</v>
      </c>
      <c r="B1060" s="18" t="s">
        <v>1496</v>
      </c>
      <c r="C1060" s="19" t="s">
        <v>1873</v>
      </c>
      <c r="D1060" s="28">
        <v>1831.09</v>
      </c>
      <c r="E1060" s="28">
        <v>1533.82</v>
      </c>
      <c r="F1060" s="6" t="s">
        <v>14</v>
      </c>
      <c r="G1060" s="8" t="s">
        <v>1874</v>
      </c>
      <c r="H1060" s="8" t="s">
        <v>27</v>
      </c>
      <c r="I1060" s="9">
        <v>4307</v>
      </c>
      <c r="J1060" s="20" t="s">
        <v>1567</v>
      </c>
      <c r="K1060" s="20">
        <v>8009</v>
      </c>
      <c r="L1060" s="3" t="str">
        <f t="shared" si="33"/>
        <v>ΑΡΑΒΟΣΙΤΟΣ</v>
      </c>
    </row>
    <row r="1061" spans="1:12" s="3" customFormat="1" x14ac:dyDescent="0.25">
      <c r="A1061" s="3" t="str">
        <f t="shared" si="32"/>
        <v>ΑΡΑΒΟΣΙΤΟΣΑΡΑΒΟΣΙΤΟΣ AMERICA</v>
      </c>
      <c r="B1061" s="18" t="s">
        <v>1496</v>
      </c>
      <c r="C1061" s="19" t="s">
        <v>1875</v>
      </c>
      <c r="D1061" s="28">
        <v>1831.09</v>
      </c>
      <c r="E1061" s="28">
        <v>1533.82</v>
      </c>
      <c r="F1061" s="6" t="s">
        <v>14</v>
      </c>
      <c r="G1061" s="8" t="s">
        <v>1876</v>
      </c>
      <c r="H1061" s="8" t="s">
        <v>27</v>
      </c>
      <c r="I1061" s="9">
        <v>4308</v>
      </c>
      <c r="J1061" s="20" t="s">
        <v>1567</v>
      </c>
      <c r="K1061" s="20">
        <v>8010</v>
      </c>
      <c r="L1061" s="3" t="str">
        <f t="shared" si="33"/>
        <v>ΑΡΑΒΟΣΙΤΟΣ</v>
      </c>
    </row>
    <row r="1062" spans="1:12" s="3" customFormat="1" x14ac:dyDescent="0.25">
      <c r="A1062" s="3" t="str">
        <f t="shared" si="32"/>
        <v>ΑΡΑΒΟΣΙΤΟΣΑΡΑΒΟΣΙΤΟΣ ΑΝΘΙΠΠΗ</v>
      </c>
      <c r="B1062" s="18" t="s">
        <v>1496</v>
      </c>
      <c r="C1062" s="19" t="s">
        <v>1558</v>
      </c>
      <c r="D1062" s="6">
        <v>1831.09</v>
      </c>
      <c r="E1062" s="6">
        <v>1533.82</v>
      </c>
      <c r="F1062" s="6" t="s">
        <v>14</v>
      </c>
      <c r="G1062" s="8" t="s">
        <v>1877</v>
      </c>
      <c r="H1062" s="8" t="s">
        <v>27</v>
      </c>
      <c r="I1062" s="9">
        <v>4309</v>
      </c>
      <c r="J1062" s="20" t="s">
        <v>1567</v>
      </c>
      <c r="K1062" s="20">
        <v>8011</v>
      </c>
      <c r="L1062" s="3" t="str">
        <f t="shared" si="33"/>
        <v>ΑΡΑΒΟΣΙΤΟΣ</v>
      </c>
    </row>
    <row r="1063" spans="1:12" s="3" customFormat="1" x14ac:dyDescent="0.25">
      <c r="A1063" s="3" t="str">
        <f t="shared" si="32"/>
        <v>ΑΡΑΒΟΣΙΤΟΣΑΡΑΒΟΣΙΤΟΣ ΑΞΙΟΣ</v>
      </c>
      <c r="B1063" s="18" t="s">
        <v>1496</v>
      </c>
      <c r="C1063" s="19" t="s">
        <v>1560</v>
      </c>
      <c r="D1063" s="6">
        <v>1831.09</v>
      </c>
      <c r="E1063" s="6">
        <v>1533.82</v>
      </c>
      <c r="F1063" s="6" t="s">
        <v>14</v>
      </c>
      <c r="G1063" s="8" t="s">
        <v>1878</v>
      </c>
      <c r="H1063" s="8" t="s">
        <v>27</v>
      </c>
      <c r="I1063" s="9">
        <v>4310</v>
      </c>
      <c r="J1063" s="20" t="s">
        <v>1567</v>
      </c>
      <c r="K1063" s="20">
        <v>8012</v>
      </c>
      <c r="L1063" s="3" t="str">
        <f t="shared" si="33"/>
        <v>ΑΡΑΒΟΣΙΤΟΣ</v>
      </c>
    </row>
    <row r="1064" spans="1:12" s="3" customFormat="1" x14ac:dyDescent="0.25">
      <c r="A1064" s="3" t="str">
        <f t="shared" si="32"/>
        <v>ΑΡΑΒΟΣΙΤΟΣΑΡΑΒΟΣΙΤΟΣ PIONEER</v>
      </c>
      <c r="B1064" s="18" t="s">
        <v>1496</v>
      </c>
      <c r="C1064" s="19" t="s">
        <v>1879</v>
      </c>
      <c r="D1064" s="6">
        <v>1831.09</v>
      </c>
      <c r="E1064" s="6">
        <v>1533.82</v>
      </c>
      <c r="F1064" s="6" t="s">
        <v>14</v>
      </c>
      <c r="G1064" s="8" t="s">
        <v>1880</v>
      </c>
      <c r="H1064" s="8" t="s">
        <v>27</v>
      </c>
      <c r="I1064" s="9">
        <v>4311</v>
      </c>
      <c r="J1064" s="20" t="s">
        <v>1567</v>
      </c>
      <c r="K1064" s="20">
        <v>8013</v>
      </c>
      <c r="L1064" s="3" t="str">
        <f t="shared" si="33"/>
        <v>ΑΡΑΒΟΣΙΤΟΣ</v>
      </c>
    </row>
    <row r="1065" spans="1:12" s="3" customFormat="1" ht="24" x14ac:dyDescent="0.25">
      <c r="A1065" s="3" t="str">
        <f t="shared" si="32"/>
        <v>ΑΡΑΒΟΣΙΤΟΣΑΡΑΒΟΣΙΤΟΣ ΑΡΗΣ</v>
      </c>
      <c r="B1065" s="4" t="s">
        <v>1496</v>
      </c>
      <c r="C1065" s="5" t="s">
        <v>1562</v>
      </c>
      <c r="D1065" s="6">
        <v>1831.09</v>
      </c>
      <c r="E1065" s="6">
        <v>1533.82</v>
      </c>
      <c r="F1065" s="7" t="s">
        <v>14</v>
      </c>
      <c r="G1065" s="8" t="s">
        <v>1881</v>
      </c>
      <c r="H1065" s="8" t="s">
        <v>16</v>
      </c>
      <c r="I1065" s="9">
        <v>1875</v>
      </c>
      <c r="J1065" s="10" t="s">
        <v>1567</v>
      </c>
      <c r="K1065" s="10">
        <v>8014</v>
      </c>
      <c r="L1065" s="3" t="str">
        <f t="shared" si="33"/>
        <v>ΑΡΑΒΟΣΙΤΟΣ</v>
      </c>
    </row>
    <row r="1066" spans="1:12" s="3" customFormat="1" x14ac:dyDescent="0.25">
      <c r="A1066" s="3" t="str">
        <f t="shared" si="32"/>
        <v>ΑΡΑΒΟΣΙΤΟΣΑΡΑΒΟΣΙΤΟΣ FUNKS-PRISM-G4760</v>
      </c>
      <c r="B1066" s="18" t="s">
        <v>1496</v>
      </c>
      <c r="C1066" s="19" t="s">
        <v>1882</v>
      </c>
      <c r="D1066" s="28">
        <v>1831.09</v>
      </c>
      <c r="E1066" s="28">
        <v>1533.82</v>
      </c>
      <c r="F1066" s="6" t="s">
        <v>14</v>
      </c>
      <c r="G1066" s="8" t="s">
        <v>1883</v>
      </c>
      <c r="H1066" s="8" t="s">
        <v>27</v>
      </c>
      <c r="I1066" s="9">
        <v>4312</v>
      </c>
      <c r="J1066" s="20" t="s">
        <v>1567</v>
      </c>
      <c r="K1066" s="20">
        <v>8015</v>
      </c>
      <c r="L1066" s="3" t="str">
        <f t="shared" si="33"/>
        <v>ΑΡΑΒΟΣΙΤΟΣ</v>
      </c>
    </row>
    <row r="1067" spans="1:12" s="3" customFormat="1" x14ac:dyDescent="0.25">
      <c r="A1067" s="3" t="str">
        <f t="shared" si="32"/>
        <v>ΑΡΑΒΟΣΙΤΟΣΑΡΑΒΟΣΙΤΟΣ Z.P 704</v>
      </c>
      <c r="B1067" s="18" t="s">
        <v>1496</v>
      </c>
      <c r="C1067" s="19" t="s">
        <v>1564</v>
      </c>
      <c r="D1067" s="6">
        <v>1831.09</v>
      </c>
      <c r="E1067" s="6">
        <v>1533.82</v>
      </c>
      <c r="F1067" s="6" t="s">
        <v>14</v>
      </c>
      <c r="G1067" s="8" t="s">
        <v>1884</v>
      </c>
      <c r="H1067" s="8" t="s">
        <v>27</v>
      </c>
      <c r="I1067" s="9">
        <v>4313</v>
      </c>
      <c r="J1067" s="20" t="s">
        <v>1567</v>
      </c>
      <c r="K1067" s="20">
        <v>8016</v>
      </c>
      <c r="L1067" s="3" t="str">
        <f t="shared" si="33"/>
        <v>ΑΡΑΒΟΣΙΤΟΣ</v>
      </c>
    </row>
    <row r="1068" spans="1:12" s="3" customFormat="1" x14ac:dyDescent="0.25">
      <c r="A1068" s="3" t="str">
        <f t="shared" si="32"/>
        <v>ΑΡΑΒΟΣΙΤΟΣΑΡΑΒΟΣΙΤΟΣ NICKERSON</v>
      </c>
      <c r="B1068" s="18" t="s">
        <v>1496</v>
      </c>
      <c r="C1068" s="19" t="s">
        <v>1885</v>
      </c>
      <c r="D1068" s="6">
        <v>1831.09</v>
      </c>
      <c r="E1068" s="6">
        <v>1533.82</v>
      </c>
      <c r="F1068" s="6" t="s">
        <v>14</v>
      </c>
      <c r="G1068" s="8" t="s">
        <v>1886</v>
      </c>
      <c r="H1068" s="8" t="s">
        <v>27</v>
      </c>
      <c r="I1068" s="9">
        <v>4314</v>
      </c>
      <c r="J1068" s="20" t="s">
        <v>1567</v>
      </c>
      <c r="K1068" s="20">
        <v>8017</v>
      </c>
      <c r="L1068" s="3" t="str">
        <f t="shared" si="33"/>
        <v>ΑΡΑΒΟΣΙΤΟΣ</v>
      </c>
    </row>
    <row r="1069" spans="1:12" s="3" customFormat="1" x14ac:dyDescent="0.25">
      <c r="A1069" s="3" t="str">
        <f t="shared" si="32"/>
        <v>ΑΡΑΒΟΣΙΤΟΣΑΡΑΒΟΣΙΤΟΣ CORTES</v>
      </c>
      <c r="B1069" s="18" t="s">
        <v>1496</v>
      </c>
      <c r="C1069" s="19" t="s">
        <v>1887</v>
      </c>
      <c r="D1069" s="6">
        <v>1831.09</v>
      </c>
      <c r="E1069" s="6">
        <v>1533.82</v>
      </c>
      <c r="F1069" s="6" t="s">
        <v>14</v>
      </c>
      <c r="G1069" s="8" t="s">
        <v>1888</v>
      </c>
      <c r="H1069" s="8" t="s">
        <v>27</v>
      </c>
      <c r="I1069" s="9">
        <v>4315</v>
      </c>
      <c r="J1069" s="20" t="s">
        <v>1567</v>
      </c>
      <c r="K1069" s="20">
        <v>8018</v>
      </c>
      <c r="L1069" s="3" t="str">
        <f t="shared" si="33"/>
        <v>ΑΡΑΒΟΣΙΤΟΣ</v>
      </c>
    </row>
    <row r="1070" spans="1:12" s="3" customFormat="1" x14ac:dyDescent="0.25">
      <c r="A1070" s="3" t="str">
        <f t="shared" si="32"/>
        <v>ΑΡΑΒΟΣΙΤΟΣΑΡΑΒΟΣΙΤΟΣ DEKALB</v>
      </c>
      <c r="B1070" s="18" t="s">
        <v>1496</v>
      </c>
      <c r="C1070" s="19" t="s">
        <v>1889</v>
      </c>
      <c r="D1070" s="6">
        <v>1831.09</v>
      </c>
      <c r="E1070" s="6">
        <v>1533.82</v>
      </c>
      <c r="F1070" s="6" t="s">
        <v>14</v>
      </c>
      <c r="G1070" s="8" t="s">
        <v>1890</v>
      </c>
      <c r="H1070" s="8" t="s">
        <v>27</v>
      </c>
      <c r="I1070" s="9">
        <v>4316</v>
      </c>
      <c r="J1070" s="20" t="s">
        <v>1567</v>
      </c>
      <c r="K1070" s="20">
        <v>8019</v>
      </c>
      <c r="L1070" s="3" t="str">
        <f t="shared" si="33"/>
        <v>ΑΡΑΒΟΣΙΤΟΣ</v>
      </c>
    </row>
    <row r="1071" spans="1:12" s="3" customFormat="1" x14ac:dyDescent="0.25">
      <c r="A1071" s="3" t="str">
        <f t="shared" si="32"/>
        <v>ΑΡΑΒΟΣΙΤΟΣΑΡΑΒΟΣΙΤΟΣ ΓΛΥΚΟΣ</v>
      </c>
      <c r="B1071" s="18" t="s">
        <v>1496</v>
      </c>
      <c r="C1071" s="19" t="s">
        <v>1891</v>
      </c>
      <c r="D1071" s="6">
        <v>1831.09</v>
      </c>
      <c r="E1071" s="6">
        <v>1533.82</v>
      </c>
      <c r="F1071" s="6" t="s">
        <v>14</v>
      </c>
      <c r="G1071" s="8" t="s">
        <v>1892</v>
      </c>
      <c r="H1071" s="8" t="s">
        <v>27</v>
      </c>
      <c r="I1071" s="9">
        <v>4317</v>
      </c>
      <c r="J1071" s="20" t="s">
        <v>1567</v>
      </c>
      <c r="K1071" s="20">
        <v>8020</v>
      </c>
      <c r="L1071" s="3" t="str">
        <f t="shared" si="33"/>
        <v>ΑΡΑΒΟΣΙΤΟΣ</v>
      </c>
    </row>
    <row r="1072" spans="1:12" s="3" customFormat="1" ht="24" x14ac:dyDescent="0.25">
      <c r="A1072" s="3" t="str">
        <f t="shared" si="32"/>
        <v>ΑΡΩΜΑΤΙΚΑ ΦΥΤΑCURRY</v>
      </c>
      <c r="B1072" s="4" t="s">
        <v>1893</v>
      </c>
      <c r="C1072" s="5" t="s">
        <v>1894</v>
      </c>
      <c r="D1072" s="6">
        <v>11041.07</v>
      </c>
      <c r="E1072" s="6">
        <v>11535.86</v>
      </c>
      <c r="F1072" s="7" t="s">
        <v>14</v>
      </c>
      <c r="G1072" s="8" t="s">
        <v>1895</v>
      </c>
      <c r="H1072" s="8" t="s">
        <v>16</v>
      </c>
      <c r="I1072" s="9">
        <v>2591</v>
      </c>
      <c r="J1072" s="10">
        <v>41</v>
      </c>
      <c r="K1072" s="10">
        <v>1010</v>
      </c>
      <c r="L1072" s="3" t="str">
        <f t="shared" si="33"/>
        <v>ΑΡΩΜΑΤΙΚΑ_ΦΥΤΑ</v>
      </c>
    </row>
    <row r="1073" spans="1:12" s="3" customFormat="1" ht="24" x14ac:dyDescent="0.25">
      <c r="A1073" s="3" t="str">
        <f t="shared" si="32"/>
        <v>ΑΡΩΜΑΤΙΚΑ ΦΥΤΑΚΑΡΔΑΜΟ</v>
      </c>
      <c r="B1073" s="4" t="s">
        <v>1893</v>
      </c>
      <c r="C1073" s="5" t="s">
        <v>1896</v>
      </c>
      <c r="D1073" s="6">
        <v>11041.07</v>
      </c>
      <c r="E1073" s="6">
        <v>11535.86</v>
      </c>
      <c r="F1073" s="7" t="s">
        <v>14</v>
      </c>
      <c r="G1073" s="8" t="s">
        <v>1897</v>
      </c>
      <c r="H1073" s="8" t="s">
        <v>16</v>
      </c>
      <c r="I1073" s="9">
        <v>2583</v>
      </c>
      <c r="J1073" s="10">
        <v>41</v>
      </c>
      <c r="K1073" s="10">
        <v>10238</v>
      </c>
      <c r="L1073" s="3" t="str">
        <f t="shared" si="33"/>
        <v>ΑΡΩΜΑΤΙΚΑ_ΦΥΤΑ</v>
      </c>
    </row>
    <row r="1074" spans="1:12" s="3" customFormat="1" ht="24" x14ac:dyDescent="0.25">
      <c r="A1074" s="3" t="str">
        <f t="shared" si="32"/>
        <v>ΑΡΩΜΑΤΙΚΑ ΦΥΤΑΣΙΝΑΠΙ</v>
      </c>
      <c r="B1074" s="4" t="s">
        <v>1893</v>
      </c>
      <c r="C1074" s="5" t="s">
        <v>1898</v>
      </c>
      <c r="D1074" s="6">
        <v>3602.4</v>
      </c>
      <c r="E1074" s="6">
        <v>2521.4499999999998</v>
      </c>
      <c r="F1074" s="7" t="s">
        <v>14</v>
      </c>
      <c r="G1074" s="8" t="s">
        <v>1899</v>
      </c>
      <c r="H1074" s="8" t="s">
        <v>16</v>
      </c>
      <c r="I1074" s="9">
        <v>2590</v>
      </c>
      <c r="J1074" s="10">
        <v>41</v>
      </c>
      <c r="K1074" s="10">
        <v>18101</v>
      </c>
      <c r="L1074" s="3" t="str">
        <f t="shared" si="33"/>
        <v>ΑΡΩΜΑΤΙΚΑ_ΦΥΤΑ</v>
      </c>
    </row>
    <row r="1075" spans="1:12" s="3" customFormat="1" ht="24" x14ac:dyDescent="0.25">
      <c r="A1075" s="3" t="str">
        <f t="shared" si="32"/>
        <v>ΑΡΩΜΑΤΙΚΑ ΦΥΤΑΧΑΜΟΜΗΛΙ</v>
      </c>
      <c r="B1075" s="4" t="s">
        <v>1893</v>
      </c>
      <c r="C1075" s="5" t="s">
        <v>1900</v>
      </c>
      <c r="D1075" s="6">
        <v>11041.07</v>
      </c>
      <c r="E1075" s="6">
        <v>11535.86</v>
      </c>
      <c r="F1075" s="7" t="s">
        <v>14</v>
      </c>
      <c r="G1075" s="8" t="s">
        <v>1901</v>
      </c>
      <c r="H1075" s="8" t="s">
        <v>16</v>
      </c>
      <c r="I1075" s="9">
        <v>2589</v>
      </c>
      <c r="J1075" s="10">
        <v>41</v>
      </c>
      <c r="K1075" s="10">
        <v>18102</v>
      </c>
      <c r="L1075" s="3" t="str">
        <f t="shared" si="33"/>
        <v>ΑΡΩΜΑΤΙΚΑ_ΦΥΤΑ</v>
      </c>
    </row>
    <row r="1076" spans="1:12" s="3" customFormat="1" ht="24" x14ac:dyDescent="0.25">
      <c r="A1076" s="3" t="str">
        <f t="shared" si="32"/>
        <v>ΑΡΩΜΑΤΙΚΑ ΦΥΤΑΑΓΡΙΟΣ ΔΥΟΣΜΟΣ</v>
      </c>
      <c r="B1076" s="4" t="s">
        <v>1893</v>
      </c>
      <c r="C1076" s="5" t="s">
        <v>1902</v>
      </c>
      <c r="D1076" s="6">
        <v>11041.07</v>
      </c>
      <c r="E1076" s="6">
        <v>11535.86</v>
      </c>
      <c r="F1076" s="7" t="s">
        <v>14</v>
      </c>
      <c r="G1076" s="8" t="s">
        <v>1903</v>
      </c>
      <c r="H1076" s="8" t="s">
        <v>16</v>
      </c>
      <c r="I1076" s="9">
        <v>2588</v>
      </c>
      <c r="J1076" s="10">
        <v>41</v>
      </c>
      <c r="K1076" s="10">
        <v>18103</v>
      </c>
      <c r="L1076" s="3" t="str">
        <f t="shared" si="33"/>
        <v>ΑΡΩΜΑΤΙΚΑ_ΦΥΤΑ</v>
      </c>
    </row>
    <row r="1077" spans="1:12" s="3" customFormat="1" ht="24" x14ac:dyDescent="0.25">
      <c r="A1077" s="3" t="str">
        <f t="shared" si="32"/>
        <v>ΑΡΩΜΑΤΙΚΑ ΦΥΤΑΣΠΑΘΟΧΟΡΤΟ</v>
      </c>
      <c r="B1077" s="4" t="s">
        <v>1893</v>
      </c>
      <c r="C1077" s="5" t="s">
        <v>1904</v>
      </c>
      <c r="D1077" s="6">
        <v>11041.07</v>
      </c>
      <c r="E1077" s="6">
        <v>11535.86</v>
      </c>
      <c r="F1077" s="7" t="s">
        <v>14</v>
      </c>
      <c r="G1077" s="8" t="s">
        <v>1905</v>
      </c>
      <c r="H1077" s="8" t="s">
        <v>16</v>
      </c>
      <c r="I1077" s="9">
        <v>2613</v>
      </c>
      <c r="J1077" s="10">
        <v>41</v>
      </c>
      <c r="K1077" s="10">
        <v>18104</v>
      </c>
      <c r="L1077" s="3" t="str">
        <f t="shared" si="33"/>
        <v>ΑΡΩΜΑΤΙΚΑ_ΦΥΤΑ</v>
      </c>
    </row>
    <row r="1078" spans="1:12" s="3" customFormat="1" ht="24" x14ac:dyDescent="0.25">
      <c r="A1078" s="3" t="str">
        <f t="shared" si="32"/>
        <v>ΑΡΩΜΑΤΙΚΑ ΦΥΤΑΤΣΟΥΚΝΙΔΑ</v>
      </c>
      <c r="B1078" s="4" t="s">
        <v>1893</v>
      </c>
      <c r="C1078" s="5" t="s">
        <v>1906</v>
      </c>
      <c r="D1078" s="6">
        <v>11041.07</v>
      </c>
      <c r="E1078" s="6">
        <v>11535.86</v>
      </c>
      <c r="F1078" s="7" t="s">
        <v>14</v>
      </c>
      <c r="G1078" s="8" t="s">
        <v>1907</v>
      </c>
      <c r="H1078" s="8" t="s">
        <v>16</v>
      </c>
      <c r="I1078" s="9">
        <v>2594</v>
      </c>
      <c r="J1078" s="10">
        <v>41</v>
      </c>
      <c r="K1078" s="10">
        <v>18105</v>
      </c>
      <c r="L1078" s="3" t="str">
        <f t="shared" si="33"/>
        <v>ΑΡΩΜΑΤΙΚΑ_ΦΥΤΑ</v>
      </c>
    </row>
    <row r="1079" spans="1:12" s="3" customFormat="1" ht="24" x14ac:dyDescent="0.25">
      <c r="A1079" s="3" t="str">
        <f t="shared" si="32"/>
        <v>ΑΡΩΜΑΤΙΚΑ ΦΥΤΑΛΟΥΙΖΑ</v>
      </c>
      <c r="B1079" s="4" t="s">
        <v>1893</v>
      </c>
      <c r="C1079" s="5" t="s">
        <v>1908</v>
      </c>
      <c r="D1079" s="6">
        <v>11041.07</v>
      </c>
      <c r="E1079" s="6">
        <v>11535.86</v>
      </c>
      <c r="F1079" s="7" t="s">
        <v>14</v>
      </c>
      <c r="G1079" s="8" t="s">
        <v>1909</v>
      </c>
      <c r="H1079" s="8" t="s">
        <v>16</v>
      </c>
      <c r="I1079" s="9">
        <v>2615</v>
      </c>
      <c r="J1079" s="10">
        <v>41</v>
      </c>
      <c r="K1079" s="10">
        <v>18106</v>
      </c>
      <c r="L1079" s="3" t="str">
        <f t="shared" si="33"/>
        <v>ΑΡΩΜΑΤΙΚΑ_ΦΥΤΑ</v>
      </c>
    </row>
    <row r="1080" spans="1:12" s="3" customFormat="1" ht="24" x14ac:dyDescent="0.25">
      <c r="A1080" s="3" t="str">
        <f t="shared" si="32"/>
        <v>ΑΡΩΜΑΤΙΚΑ ΦΥΤΑΚΡΙΤΑΜΑ</v>
      </c>
      <c r="B1080" s="4" t="s">
        <v>1893</v>
      </c>
      <c r="C1080" s="5" t="s">
        <v>1910</v>
      </c>
      <c r="D1080" s="6">
        <v>11041.07</v>
      </c>
      <c r="E1080" s="6">
        <v>11535.86</v>
      </c>
      <c r="F1080" s="7" t="s">
        <v>14</v>
      </c>
      <c r="G1080" s="8" t="s">
        <v>1911</v>
      </c>
      <c r="H1080" s="8" t="s">
        <v>16</v>
      </c>
      <c r="I1080" s="9">
        <v>2596</v>
      </c>
      <c r="J1080" s="10">
        <v>41</v>
      </c>
      <c r="K1080" s="10">
        <v>18107</v>
      </c>
      <c r="L1080" s="3" t="str">
        <f t="shared" si="33"/>
        <v>ΑΡΩΜΑΤΙΚΑ_ΦΥΤΑ</v>
      </c>
    </row>
    <row r="1081" spans="1:12" s="3" customFormat="1" ht="24" x14ac:dyDescent="0.25">
      <c r="A1081" s="3" t="str">
        <f t="shared" si="32"/>
        <v>ΑΡΩΜΑΤΙΚΑ ΦΥΤΑΔΥΟΣΜΟΣ</v>
      </c>
      <c r="B1081" s="4" t="s">
        <v>1893</v>
      </c>
      <c r="C1081" s="5" t="s">
        <v>1912</v>
      </c>
      <c r="D1081" s="6">
        <v>11041.07</v>
      </c>
      <c r="E1081" s="6">
        <v>11535.86</v>
      </c>
      <c r="F1081" s="7" t="s">
        <v>14</v>
      </c>
      <c r="G1081" s="8" t="s">
        <v>1913</v>
      </c>
      <c r="H1081" s="8" t="s">
        <v>16</v>
      </c>
      <c r="I1081" s="9">
        <v>2626</v>
      </c>
      <c r="J1081" s="10">
        <v>41</v>
      </c>
      <c r="K1081" s="10">
        <v>18108</v>
      </c>
      <c r="L1081" s="3" t="str">
        <f t="shared" si="33"/>
        <v>ΑΡΩΜΑΤΙΚΑ_ΦΥΤΑ</v>
      </c>
    </row>
    <row r="1082" spans="1:12" s="3" customFormat="1" ht="24" x14ac:dyDescent="0.25">
      <c r="A1082" s="3" t="str">
        <f t="shared" si="32"/>
        <v>ΑΡΩΜΑΤΙΚΑ ΦΥΤΑΑΡΩΜΑΤΙΚΑ ΔΙΑΦΟΡΑ</v>
      </c>
      <c r="B1082" s="4" t="s">
        <v>1893</v>
      </c>
      <c r="C1082" s="5" t="s">
        <v>1914</v>
      </c>
      <c r="D1082" s="6">
        <v>11041.07</v>
      </c>
      <c r="E1082" s="6">
        <v>11535.86</v>
      </c>
      <c r="F1082" s="7" t="s">
        <v>14</v>
      </c>
      <c r="G1082" s="8" t="s">
        <v>1915</v>
      </c>
      <c r="H1082" s="8" t="s">
        <v>16</v>
      </c>
      <c r="I1082" s="9">
        <v>2606</v>
      </c>
      <c r="J1082" s="10">
        <v>41</v>
      </c>
      <c r="K1082" s="10">
        <v>41001</v>
      </c>
      <c r="L1082" s="3" t="str">
        <f t="shared" si="33"/>
        <v>ΑΡΩΜΑΤΙΚΑ_ΦΥΤΑ</v>
      </c>
    </row>
    <row r="1083" spans="1:12" s="3" customFormat="1" ht="24" x14ac:dyDescent="0.25">
      <c r="A1083" s="3" t="str">
        <f t="shared" si="32"/>
        <v>ΑΡΩΜΑΤΙΚΑ ΦΥΤΑΑΘΑΝΑΤΟΣ - ΑΓΑΥΗ</v>
      </c>
      <c r="B1083" s="4" t="s">
        <v>1893</v>
      </c>
      <c r="C1083" s="5" t="s">
        <v>1916</v>
      </c>
      <c r="D1083" s="6">
        <v>11041.07</v>
      </c>
      <c r="E1083" s="6">
        <v>11535.86</v>
      </c>
      <c r="F1083" s="7" t="s">
        <v>14</v>
      </c>
      <c r="G1083" s="8" t="s">
        <v>1917</v>
      </c>
      <c r="H1083" s="8" t="s">
        <v>16</v>
      </c>
      <c r="I1083" s="9">
        <v>2607</v>
      </c>
      <c r="J1083" s="10">
        <v>41</v>
      </c>
      <c r="K1083" s="10">
        <v>41002</v>
      </c>
      <c r="L1083" s="3" t="str">
        <f t="shared" si="33"/>
        <v>ΑΡΩΜΑΤΙΚΑ_ΦΥΤΑ</v>
      </c>
    </row>
    <row r="1084" spans="1:12" s="3" customFormat="1" ht="24" x14ac:dyDescent="0.25">
      <c r="A1084" s="3" t="str">
        <f t="shared" si="32"/>
        <v>ΑΡΩΜΑΤΙΚΑ ΦΥΤΑΚΑΛΕΝΤΟΥΛΑ</v>
      </c>
      <c r="B1084" s="4" t="s">
        <v>1893</v>
      </c>
      <c r="C1084" s="5" t="s">
        <v>1918</v>
      </c>
      <c r="D1084" s="6">
        <v>11041.07</v>
      </c>
      <c r="E1084" s="6">
        <v>11535.86</v>
      </c>
      <c r="F1084" s="7" t="s">
        <v>14</v>
      </c>
      <c r="G1084" s="8" t="s">
        <v>1919</v>
      </c>
      <c r="H1084" s="8" t="s">
        <v>16</v>
      </c>
      <c r="I1084" s="9">
        <v>2608</v>
      </c>
      <c r="J1084" s="10">
        <v>41</v>
      </c>
      <c r="K1084" s="10">
        <v>41003</v>
      </c>
      <c r="L1084" s="3" t="str">
        <f t="shared" si="33"/>
        <v>ΑΡΩΜΑΤΙΚΑ_ΦΥΤΑ</v>
      </c>
    </row>
    <row r="1085" spans="1:12" s="3" customFormat="1" ht="24" x14ac:dyDescent="0.25">
      <c r="A1085" s="3" t="str">
        <f t="shared" si="32"/>
        <v>ΑΡΩΜΑΤΙΚΑ ΦΥΤΑΤΡΙΑΝΤΑΦΥΛΛΙΑ ROSA DAMASCENA</v>
      </c>
      <c r="B1085" s="4" t="s">
        <v>1893</v>
      </c>
      <c r="C1085" s="5" t="s">
        <v>1920</v>
      </c>
      <c r="D1085" s="6">
        <v>12000</v>
      </c>
      <c r="E1085" s="6">
        <v>12000</v>
      </c>
      <c r="F1085" s="7" t="s">
        <v>14</v>
      </c>
      <c r="G1085" s="8" t="s">
        <v>1921</v>
      </c>
      <c r="H1085" s="8" t="s">
        <v>16</v>
      </c>
      <c r="I1085" s="9">
        <v>2609</v>
      </c>
      <c r="J1085" s="10">
        <v>41</v>
      </c>
      <c r="K1085" s="10">
        <v>41004</v>
      </c>
      <c r="L1085" s="3" t="str">
        <f t="shared" si="33"/>
        <v>ΑΡΩΜΑΤΙΚΑ_ΦΥΤΑ</v>
      </c>
    </row>
    <row r="1086" spans="1:12" s="3" customFormat="1" ht="24" x14ac:dyDescent="0.25">
      <c r="A1086" s="3" t="str">
        <f t="shared" si="32"/>
        <v>ΑΡΩΜΑΤΙΚΑ ΦΥΤΑΑΓΡΙΟ ΤΡΙΑΝΤΑΦΥΛΛΟ</v>
      </c>
      <c r="B1086" s="4" t="s">
        <v>1893</v>
      </c>
      <c r="C1086" s="5" t="s">
        <v>1922</v>
      </c>
      <c r="D1086" s="6">
        <v>11041.07</v>
      </c>
      <c r="E1086" s="6">
        <v>11535.86</v>
      </c>
      <c r="F1086" s="7" t="s">
        <v>14</v>
      </c>
      <c r="G1086" s="8" t="s">
        <v>1923</v>
      </c>
      <c r="H1086" s="8" t="s">
        <v>16</v>
      </c>
      <c r="I1086" s="9">
        <v>2610</v>
      </c>
      <c r="J1086" s="10">
        <v>41</v>
      </c>
      <c r="K1086" s="10">
        <v>41005</v>
      </c>
      <c r="L1086" s="3" t="str">
        <f t="shared" si="33"/>
        <v>ΑΡΩΜΑΤΙΚΑ_ΦΥΤΑ</v>
      </c>
    </row>
    <row r="1087" spans="1:12" s="3" customFormat="1" ht="24" x14ac:dyDescent="0.25">
      <c r="A1087" s="3" t="str">
        <f t="shared" si="32"/>
        <v>ΑΡΩΜΑΤΙΚΑ ΦΥΤΑΕΧΙΝΑΚΕΙΑ</v>
      </c>
      <c r="B1087" s="4" t="s">
        <v>1893</v>
      </c>
      <c r="C1087" s="5" t="s">
        <v>1924</v>
      </c>
      <c r="D1087" s="6">
        <v>11041.07</v>
      </c>
      <c r="E1087" s="6">
        <v>11535.86</v>
      </c>
      <c r="F1087" s="7" t="s">
        <v>14</v>
      </c>
      <c r="G1087" s="8" t="s">
        <v>1925</v>
      </c>
      <c r="H1087" s="8" t="s">
        <v>16</v>
      </c>
      <c r="I1087" s="9">
        <v>2611</v>
      </c>
      <c r="J1087" s="10">
        <v>41</v>
      </c>
      <c r="K1087" s="10">
        <v>41006</v>
      </c>
      <c r="L1087" s="3" t="str">
        <f t="shared" si="33"/>
        <v>ΑΡΩΜΑΤΙΚΑ_ΦΥΤΑ</v>
      </c>
    </row>
    <row r="1088" spans="1:12" s="3" customFormat="1" ht="24" x14ac:dyDescent="0.25">
      <c r="A1088" s="3" t="str">
        <f t="shared" si="32"/>
        <v>ΑΡΩΜΑΤΙΚΑ ΦΥΤΑΤΡΙΓΩΝΕΛΛΑ</v>
      </c>
      <c r="B1088" s="4" t="s">
        <v>1893</v>
      </c>
      <c r="C1088" s="5" t="s">
        <v>1926</v>
      </c>
      <c r="D1088" s="6">
        <v>11041.07</v>
      </c>
      <c r="E1088" s="6">
        <v>11535.86</v>
      </c>
      <c r="F1088" s="7" t="s">
        <v>14</v>
      </c>
      <c r="G1088" s="8" t="s">
        <v>1927</v>
      </c>
      <c r="H1088" s="8" t="s">
        <v>16</v>
      </c>
      <c r="I1088" s="9">
        <v>2612</v>
      </c>
      <c r="J1088" s="10">
        <v>41</v>
      </c>
      <c r="K1088" s="10">
        <v>41007</v>
      </c>
      <c r="L1088" s="3" t="str">
        <f t="shared" si="33"/>
        <v>ΑΡΩΜΑΤΙΚΑ_ΦΥΤΑ</v>
      </c>
    </row>
    <row r="1089" spans="1:12" s="3" customFormat="1" ht="24" x14ac:dyDescent="0.25">
      <c r="A1089" s="3" t="str">
        <f t="shared" si="32"/>
        <v>ΑΡΩΜΑΤΙΚΑ ΦΥΤΑΡΕΙΚΙ</v>
      </c>
      <c r="B1089" s="4" t="s">
        <v>1893</v>
      </c>
      <c r="C1089" s="5" t="s">
        <v>1928</v>
      </c>
      <c r="D1089" s="6">
        <v>11041.07</v>
      </c>
      <c r="E1089" s="6">
        <v>11535.86</v>
      </c>
      <c r="F1089" s="7" t="s">
        <v>14</v>
      </c>
      <c r="G1089" s="8" t="s">
        <v>1929</v>
      </c>
      <c r="H1089" s="8" t="s">
        <v>16</v>
      </c>
      <c r="I1089" s="9">
        <v>2623</v>
      </c>
      <c r="J1089" s="10">
        <v>41</v>
      </c>
      <c r="K1089" s="10">
        <v>41008</v>
      </c>
      <c r="L1089" s="3" t="str">
        <f t="shared" si="33"/>
        <v>ΑΡΩΜΑΤΙΚΑ_ΦΥΤΑ</v>
      </c>
    </row>
    <row r="1090" spans="1:12" s="3" customFormat="1" ht="24" x14ac:dyDescent="0.25">
      <c r="A1090" s="3" t="str">
        <f t="shared" si="32"/>
        <v>ΑΡΩΜΑΤΙΚΑ ΦΥΤΑΒΑΛΕΡΙΑΝΑ</v>
      </c>
      <c r="B1090" s="4" t="s">
        <v>1893</v>
      </c>
      <c r="C1090" s="5" t="s">
        <v>1930</v>
      </c>
      <c r="D1090" s="6">
        <v>11041.07</v>
      </c>
      <c r="E1090" s="6">
        <v>11535.86</v>
      </c>
      <c r="F1090" s="7" t="s">
        <v>14</v>
      </c>
      <c r="G1090" s="8" t="s">
        <v>1931</v>
      </c>
      <c r="H1090" s="8" t="s">
        <v>16</v>
      </c>
      <c r="I1090" s="9">
        <v>2614</v>
      </c>
      <c r="J1090" s="10">
        <v>41</v>
      </c>
      <c r="K1090" s="10">
        <v>41009</v>
      </c>
      <c r="L1090" s="3" t="str">
        <f t="shared" si="33"/>
        <v>ΑΡΩΜΑΤΙΚΑ_ΦΥΤΑ</v>
      </c>
    </row>
    <row r="1091" spans="1:12" s="3" customFormat="1" ht="24" x14ac:dyDescent="0.25">
      <c r="A1091" s="3" t="str">
        <f t="shared" ref="A1091:A1154" si="34">_xlfn.CONCAT(B1091,C1091)</f>
        <v>ΑΡΩΜΑΤΙΚΑ ΦΥΤΑΖΑΜΠΟΥΚΟ (Sambucus nigra)</v>
      </c>
      <c r="B1091" s="4" t="s">
        <v>1893</v>
      </c>
      <c r="C1091" s="5" t="s">
        <v>1932</v>
      </c>
      <c r="D1091" s="6">
        <v>11041.07</v>
      </c>
      <c r="E1091" s="6">
        <v>11535.86</v>
      </c>
      <c r="F1091" s="7" t="s">
        <v>14</v>
      </c>
      <c r="G1091" s="8" t="s">
        <v>1933</v>
      </c>
      <c r="H1091" s="8" t="s">
        <v>16</v>
      </c>
      <c r="I1091" s="9">
        <v>2605</v>
      </c>
      <c r="J1091" s="10">
        <v>41</v>
      </c>
      <c r="K1091" s="10">
        <v>41010</v>
      </c>
      <c r="L1091" s="3" t="str">
        <f t="shared" ref="L1091:L1154" si="35">IFERROR(SUBSTITUTE(SUBSTITUTE(SUBSTITUTE(SUBSTITUTE(SUBSTITUTE(B1091, "-", "_"), " ", "_"), ",", ""), "(", ""), ")", ""), B1091)</f>
        <v>ΑΡΩΜΑΤΙΚΑ_ΦΥΤΑ</v>
      </c>
    </row>
    <row r="1092" spans="1:12" s="3" customFormat="1" ht="24" x14ac:dyDescent="0.25">
      <c r="A1092" s="3" t="str">
        <f t="shared" si="34"/>
        <v>ΑΡΩΜΑΤΙΚΑ ΦΥΤΑΔΑΦΝΗ (Laurus)</v>
      </c>
      <c r="B1092" s="4" t="s">
        <v>1893</v>
      </c>
      <c r="C1092" s="5" t="s">
        <v>1934</v>
      </c>
      <c r="D1092" s="6">
        <v>11041.07</v>
      </c>
      <c r="E1092" s="6">
        <v>11535.86</v>
      </c>
      <c r="F1092" s="7" t="s">
        <v>14</v>
      </c>
      <c r="G1092" s="8" t="s">
        <v>1935</v>
      </c>
      <c r="H1092" s="8" t="s">
        <v>16</v>
      </c>
      <c r="I1092" s="9">
        <v>2616</v>
      </c>
      <c r="J1092" s="10">
        <v>41</v>
      </c>
      <c r="K1092" s="10">
        <v>41011</v>
      </c>
      <c r="L1092" s="3" t="str">
        <f t="shared" si="35"/>
        <v>ΑΡΩΜΑΤΙΚΑ_ΦΥΤΑ</v>
      </c>
    </row>
    <row r="1093" spans="1:12" s="3" customFormat="1" ht="24" x14ac:dyDescent="0.25">
      <c r="A1093" s="3" t="str">
        <f t="shared" si="34"/>
        <v>ΑΡΩΜΑΤΙΚΑ ΦΥΤΑΕΛΙΧΡΥΣΟΣ</v>
      </c>
      <c r="B1093" s="4" t="s">
        <v>1893</v>
      </c>
      <c r="C1093" s="5" t="s">
        <v>1936</v>
      </c>
      <c r="D1093" s="6">
        <v>11041.07</v>
      </c>
      <c r="E1093" s="6">
        <v>11535.86</v>
      </c>
      <c r="F1093" s="7" t="s">
        <v>14</v>
      </c>
      <c r="G1093" s="8" t="s">
        <v>1937</v>
      </c>
      <c r="H1093" s="8" t="s">
        <v>16</v>
      </c>
      <c r="I1093" s="9">
        <v>2617</v>
      </c>
      <c r="J1093" s="10">
        <v>41</v>
      </c>
      <c r="K1093" s="10">
        <v>41012</v>
      </c>
      <c r="L1093" s="3" t="str">
        <f t="shared" si="35"/>
        <v>ΑΡΩΜΑΤΙΚΑ_ΦΥΤΑ</v>
      </c>
    </row>
    <row r="1094" spans="1:12" s="3" customFormat="1" ht="24" x14ac:dyDescent="0.25">
      <c r="A1094" s="3" t="str">
        <f t="shared" si="34"/>
        <v>ΑΡΩΜΑΤΙΚΑ ΦΥΤΑΘΡΟΥΜΠΙ</v>
      </c>
      <c r="B1094" s="4" t="s">
        <v>1893</v>
      </c>
      <c r="C1094" s="5" t="s">
        <v>1938</v>
      </c>
      <c r="D1094" s="6">
        <v>11041.07</v>
      </c>
      <c r="E1094" s="6">
        <v>11535.86</v>
      </c>
      <c r="F1094" s="7" t="s">
        <v>14</v>
      </c>
      <c r="G1094" s="8" t="s">
        <v>1939</v>
      </c>
      <c r="H1094" s="8" t="s">
        <v>16</v>
      </c>
      <c r="I1094" s="9">
        <v>2618</v>
      </c>
      <c r="J1094" s="10">
        <v>41</v>
      </c>
      <c r="K1094" s="10">
        <v>41013</v>
      </c>
      <c r="L1094" s="3" t="str">
        <f t="shared" si="35"/>
        <v>ΑΡΩΜΑΤΙΚΑ_ΦΥΤΑ</v>
      </c>
    </row>
    <row r="1095" spans="1:12" s="3" customFormat="1" ht="24" x14ac:dyDescent="0.25">
      <c r="A1095" s="3" t="str">
        <f t="shared" si="34"/>
        <v>ΑΡΩΜΑΤΙΚΑ ΦΥΤΑΕΣΤΡΑΓΚΟΝ (Artemisia Dracunculus)</v>
      </c>
      <c r="B1095" s="4" t="s">
        <v>1893</v>
      </c>
      <c r="C1095" s="5" t="s">
        <v>1940</v>
      </c>
      <c r="D1095" s="6">
        <v>11041.07</v>
      </c>
      <c r="E1095" s="6">
        <v>11535.86</v>
      </c>
      <c r="F1095" s="7" t="s">
        <v>14</v>
      </c>
      <c r="G1095" s="8" t="s">
        <v>1941</v>
      </c>
      <c r="H1095" s="8" t="s">
        <v>16</v>
      </c>
      <c r="I1095" s="9">
        <v>2619</v>
      </c>
      <c r="J1095" s="10">
        <v>41</v>
      </c>
      <c r="K1095" s="10">
        <v>41014</v>
      </c>
      <c r="L1095" s="3" t="str">
        <f t="shared" si="35"/>
        <v>ΑΡΩΜΑΤΙΚΑ_ΦΥΤΑ</v>
      </c>
    </row>
    <row r="1096" spans="1:12" s="3" customFormat="1" ht="24" x14ac:dyDescent="0.25">
      <c r="A1096" s="3" t="str">
        <f t="shared" si="34"/>
        <v>ΑΡΩΜΑΤΙΚΑ ΦΥΤΑΦΛΙΣΚΟΥΝΙ (Mentha pulegium)</v>
      </c>
      <c r="B1096" s="4" t="s">
        <v>1893</v>
      </c>
      <c r="C1096" s="5" t="s">
        <v>1942</v>
      </c>
      <c r="D1096" s="6">
        <v>11041.07</v>
      </c>
      <c r="E1096" s="6">
        <v>11535.86</v>
      </c>
      <c r="F1096" s="7" t="s">
        <v>14</v>
      </c>
      <c r="G1096" s="8" t="s">
        <v>1943</v>
      </c>
      <c r="H1096" s="8" t="s">
        <v>16</v>
      </c>
      <c r="I1096" s="9">
        <v>2620</v>
      </c>
      <c r="J1096" s="10">
        <v>41</v>
      </c>
      <c r="K1096" s="10">
        <v>41015</v>
      </c>
      <c r="L1096" s="3" t="str">
        <f t="shared" si="35"/>
        <v>ΑΡΩΜΑΤΙΚΑ_ΦΥΤΑ</v>
      </c>
    </row>
    <row r="1097" spans="1:12" s="3" customFormat="1" ht="24" x14ac:dyDescent="0.25">
      <c r="A1097" s="3" t="str">
        <f t="shared" si="34"/>
        <v>ΑΡΩΜΑΤΙΚΑ ΦΥΤΑΚΟΥΡΚΟΥΜΑΣ ή ΚΙΤΡΙΝΟΡΙΖΑ</v>
      </c>
      <c r="B1097" s="4" t="s">
        <v>1893</v>
      </c>
      <c r="C1097" s="5" t="s">
        <v>1944</v>
      </c>
      <c r="D1097" s="6">
        <v>11041.07</v>
      </c>
      <c r="E1097" s="6">
        <v>11535.86</v>
      </c>
      <c r="F1097" s="7" t="s">
        <v>14</v>
      </c>
      <c r="G1097" s="8" t="s">
        <v>1945</v>
      </c>
      <c r="H1097" s="8" t="s">
        <v>16</v>
      </c>
      <c r="I1097" s="9">
        <v>2621</v>
      </c>
      <c r="J1097" s="10">
        <v>41</v>
      </c>
      <c r="K1097" s="10">
        <v>41016</v>
      </c>
      <c r="L1097" s="3" t="str">
        <f t="shared" si="35"/>
        <v>ΑΡΩΜΑΤΙΚΑ_ΦΥΤΑ</v>
      </c>
    </row>
    <row r="1098" spans="1:12" s="3" customFormat="1" ht="24" x14ac:dyDescent="0.25">
      <c r="A1098" s="3" t="str">
        <f t="shared" si="34"/>
        <v>ΑΡΩΜΑΤΙΚΑ ΦΥΤΑΤΡΙΑΝΤΑΦΥΛΛΙΑ ROSA CENTIFOLIA</v>
      </c>
      <c r="B1098" s="21" t="s">
        <v>1893</v>
      </c>
      <c r="C1098" s="22" t="s">
        <v>1946</v>
      </c>
      <c r="D1098" s="6">
        <v>12000</v>
      </c>
      <c r="E1098" s="6">
        <v>12000</v>
      </c>
      <c r="F1098" s="7" t="s">
        <v>14</v>
      </c>
      <c r="G1098" s="8" t="s">
        <v>1947</v>
      </c>
      <c r="H1098" s="8" t="s">
        <v>16</v>
      </c>
      <c r="I1098" s="9">
        <v>5213</v>
      </c>
      <c r="J1098" s="16">
        <v>41</v>
      </c>
      <c r="K1098" s="16">
        <v>41017</v>
      </c>
      <c r="L1098" s="3" t="str">
        <f t="shared" si="35"/>
        <v>ΑΡΩΜΑΤΙΚΑ_ΦΥΤΑ</v>
      </c>
    </row>
    <row r="1099" spans="1:12" s="3" customFormat="1" ht="24" x14ac:dyDescent="0.25">
      <c r="A1099" s="3" t="str">
        <f t="shared" si="34"/>
        <v>ΑΡΩΜΑΤΙΚΑ ΦΥΤΑΑΡΤΕΜΙΣΙΑ Ή ΑΨΙΘΙΑ</v>
      </c>
      <c r="B1099" s="21" t="s">
        <v>1893</v>
      </c>
      <c r="C1099" s="22" t="s">
        <v>1948</v>
      </c>
      <c r="D1099" s="6">
        <v>11041.07</v>
      </c>
      <c r="E1099" s="6">
        <v>11535.86</v>
      </c>
      <c r="F1099" s="7" t="s">
        <v>14</v>
      </c>
      <c r="G1099" s="8" t="s">
        <v>1949</v>
      </c>
      <c r="H1099" s="8" t="s">
        <v>16</v>
      </c>
      <c r="I1099" s="9">
        <v>5211</v>
      </c>
      <c r="J1099" s="16">
        <v>41</v>
      </c>
      <c r="K1099" s="16">
        <v>41018</v>
      </c>
      <c r="L1099" s="3" t="str">
        <f t="shared" si="35"/>
        <v>ΑΡΩΜΑΤΙΚΑ_ΦΥΤΑ</v>
      </c>
    </row>
    <row r="1100" spans="1:12" s="3" customFormat="1" ht="24" x14ac:dyDescent="0.25">
      <c r="A1100" s="3" t="str">
        <f t="shared" si="34"/>
        <v>ΑΡΩΜΑΤΙΚΑ ΦΥΤΑΛΑΔΑΝΙΑ ή ΚΙΣΤΟΣ</v>
      </c>
      <c r="B1100" s="21" t="s">
        <v>1893</v>
      </c>
      <c r="C1100" s="22" t="s">
        <v>1950</v>
      </c>
      <c r="D1100" s="6">
        <v>11041.07</v>
      </c>
      <c r="E1100" s="6">
        <v>11535.86</v>
      </c>
      <c r="F1100" s="7" t="s">
        <v>14</v>
      </c>
      <c r="G1100" s="8" t="s">
        <v>1951</v>
      </c>
      <c r="H1100" s="8" t="s">
        <v>16</v>
      </c>
      <c r="I1100" s="9">
        <v>5212</v>
      </c>
      <c r="J1100" s="16">
        <v>41</v>
      </c>
      <c r="K1100" s="16">
        <v>41019</v>
      </c>
      <c r="L1100" s="3" t="str">
        <f t="shared" si="35"/>
        <v>ΑΡΩΜΑΤΙΚΑ_ΦΥΤΑ</v>
      </c>
    </row>
    <row r="1101" spans="1:12" s="3" customFormat="1" ht="24" x14ac:dyDescent="0.25">
      <c r="A1101" s="3" t="str">
        <f t="shared" si="34"/>
        <v>ΑΡΩΜΑΤΙΚΑ ΦΥΤΑΛΕΜΟΝΟΧΟΡΤΟ</v>
      </c>
      <c r="B1101" s="23" t="s">
        <v>1893</v>
      </c>
      <c r="C1101" s="24" t="s">
        <v>1952</v>
      </c>
      <c r="D1101" s="6">
        <v>11041.07</v>
      </c>
      <c r="E1101" s="6">
        <v>11535.86</v>
      </c>
      <c r="F1101" s="29" t="s">
        <v>14</v>
      </c>
      <c r="G1101" s="8" t="s">
        <v>1953</v>
      </c>
      <c r="H1101" s="8" t="s">
        <v>16</v>
      </c>
      <c r="I1101" s="9">
        <v>5354</v>
      </c>
      <c r="J1101" s="26">
        <v>41</v>
      </c>
      <c r="K1101" s="27">
        <v>41020</v>
      </c>
      <c r="L1101" s="3" t="str">
        <f t="shared" si="35"/>
        <v>ΑΡΩΜΑΤΙΚΑ_ΦΥΤΑ</v>
      </c>
    </row>
    <row r="1102" spans="1:12" s="3" customFormat="1" ht="24" x14ac:dyDescent="0.25">
      <c r="A1102" s="3" t="str">
        <f t="shared" si="34"/>
        <v>ΑΡΩΜΑΤΙΚΑ ΦΥΤΑΠΑΣΙΦΛΟΡΑ ή ΡΟΛΟΓΙΑ (Passiflora)</v>
      </c>
      <c r="B1102" s="23" t="s">
        <v>1893</v>
      </c>
      <c r="C1102" s="24" t="s">
        <v>1954</v>
      </c>
      <c r="D1102" s="6">
        <v>11041.07</v>
      </c>
      <c r="E1102" s="6">
        <v>11535.86</v>
      </c>
      <c r="F1102" s="29" t="s">
        <v>14</v>
      </c>
      <c r="G1102" s="8" t="s">
        <v>1955</v>
      </c>
      <c r="H1102" s="8" t="s">
        <v>16</v>
      </c>
      <c r="I1102" s="9">
        <v>5355</v>
      </c>
      <c r="J1102" s="26">
        <v>41</v>
      </c>
      <c r="K1102" s="27">
        <v>41021</v>
      </c>
      <c r="L1102" s="3" t="str">
        <f t="shared" si="35"/>
        <v>ΑΡΩΜΑΤΙΚΑ_ΦΥΤΑ</v>
      </c>
    </row>
    <row r="1103" spans="1:12" s="3" customFormat="1" x14ac:dyDescent="0.25">
      <c r="A1103" s="3" t="str">
        <f t="shared" si="34"/>
        <v>ΑΡΩΜΑΤΙΚΑ ΦΥΤΑΜΑΥΡΟ ΣΙΝΑΠΙ</v>
      </c>
      <c r="B1103" s="23" t="s">
        <v>1893</v>
      </c>
      <c r="C1103" s="24" t="s">
        <v>1956</v>
      </c>
      <c r="D1103" s="6">
        <v>11041.07</v>
      </c>
      <c r="E1103" s="6">
        <v>11535.86</v>
      </c>
      <c r="F1103" s="7" t="s">
        <v>14</v>
      </c>
      <c r="G1103" s="30" t="s">
        <v>1957</v>
      </c>
      <c r="H1103" s="31" t="s">
        <v>577</v>
      </c>
      <c r="I1103" s="9">
        <v>6066</v>
      </c>
      <c r="J1103" s="30">
        <v>41</v>
      </c>
      <c r="K1103" s="30">
        <v>41024</v>
      </c>
      <c r="L1103" s="3" t="str">
        <f t="shared" si="35"/>
        <v>ΑΡΩΜΑΤΙΚΑ_ΦΥΤΑ</v>
      </c>
    </row>
    <row r="1104" spans="1:12" s="3" customFormat="1" x14ac:dyDescent="0.25">
      <c r="A1104" s="3" t="str">
        <f t="shared" si="34"/>
        <v>ΑΡΩΜΑΤΙΚΑ ΦΥΤΑΝΙΓΚΕΛΑ</v>
      </c>
      <c r="B1104" s="23" t="s">
        <v>1893</v>
      </c>
      <c r="C1104" s="24" t="s">
        <v>1958</v>
      </c>
      <c r="D1104" s="6">
        <v>11041.07</v>
      </c>
      <c r="E1104" s="6">
        <v>11535.86</v>
      </c>
      <c r="F1104" s="7" t="s">
        <v>14</v>
      </c>
      <c r="G1104" s="30" t="s">
        <v>1959</v>
      </c>
      <c r="H1104" s="31" t="s">
        <v>577</v>
      </c>
      <c r="I1104" s="9">
        <v>6117</v>
      </c>
      <c r="J1104" s="30">
        <v>41</v>
      </c>
      <c r="K1104" s="30">
        <v>41025</v>
      </c>
      <c r="L1104" s="3" t="str">
        <f t="shared" si="35"/>
        <v>ΑΡΩΜΑΤΙΚΑ_ΦΥΤΑ</v>
      </c>
    </row>
    <row r="1105" spans="1:12" s="3" customFormat="1" x14ac:dyDescent="0.25">
      <c r="A1105" s="3" t="str">
        <f t="shared" si="34"/>
        <v>ΑΡΩΜΑΤΙΚΑ ΦΥΤΑΜΟΥΚΟΥΝΑ</v>
      </c>
      <c r="B1105" s="23" t="s">
        <v>1893</v>
      </c>
      <c r="C1105" s="24" t="s">
        <v>1960</v>
      </c>
      <c r="D1105" s="6">
        <v>11041.07</v>
      </c>
      <c r="E1105" s="6">
        <v>11535.86</v>
      </c>
      <c r="F1105" s="7" t="s">
        <v>14</v>
      </c>
      <c r="G1105" s="30" t="s">
        <v>1961</v>
      </c>
      <c r="H1105" s="31" t="s">
        <v>577</v>
      </c>
      <c r="I1105" s="9">
        <v>6093</v>
      </c>
      <c r="J1105" s="30">
        <v>41</v>
      </c>
      <c r="K1105" s="30">
        <v>41026</v>
      </c>
      <c r="L1105" s="3" t="str">
        <f t="shared" si="35"/>
        <v>ΑΡΩΜΑΤΙΚΑ_ΦΥΤΑ</v>
      </c>
    </row>
    <row r="1106" spans="1:12" s="3" customFormat="1" ht="24" x14ac:dyDescent="0.25">
      <c r="A1106" s="3" t="str">
        <f t="shared" si="34"/>
        <v>ΑΡΩΜΑΤΙΚΑ ΦΥΤΑΛΙΟΠΟΥΡΝΑ-ΓΚΙ</v>
      </c>
      <c r="B1106" s="4" t="s">
        <v>1893</v>
      </c>
      <c r="C1106" s="5" t="s">
        <v>1962</v>
      </c>
      <c r="D1106" s="6">
        <v>1829.23</v>
      </c>
      <c r="E1106" s="6">
        <v>3862.55</v>
      </c>
      <c r="F1106" s="7" t="s">
        <v>14</v>
      </c>
      <c r="G1106" s="8" t="s">
        <v>1963</v>
      </c>
      <c r="H1106" s="8" t="s">
        <v>16</v>
      </c>
      <c r="I1106" s="9">
        <v>2592</v>
      </c>
      <c r="J1106" s="10">
        <v>41</v>
      </c>
      <c r="K1106" s="10">
        <v>4990</v>
      </c>
      <c r="L1106" s="3" t="str">
        <f t="shared" si="35"/>
        <v>ΑΡΩΜΑΤΙΚΑ_ΦΥΤΑ</v>
      </c>
    </row>
    <row r="1107" spans="1:12" s="3" customFormat="1" ht="24" x14ac:dyDescent="0.25">
      <c r="A1107" s="3" t="str">
        <f t="shared" si="34"/>
        <v>ΑΡΩΜΑΤΙΚΑ ΦΥΤΑΔΙΚΤΑΜΟΣ</v>
      </c>
      <c r="B1107" s="4" t="s">
        <v>1893</v>
      </c>
      <c r="C1107" s="5" t="s">
        <v>1964</v>
      </c>
      <c r="D1107" s="6">
        <v>11041.07</v>
      </c>
      <c r="E1107" s="6">
        <v>11535.86</v>
      </c>
      <c r="F1107" s="7" t="s">
        <v>14</v>
      </c>
      <c r="G1107" s="8" t="s">
        <v>1965</v>
      </c>
      <c r="H1107" s="8" t="s">
        <v>16</v>
      </c>
      <c r="I1107" s="9">
        <v>2593</v>
      </c>
      <c r="J1107" s="10">
        <v>41</v>
      </c>
      <c r="K1107" s="10">
        <v>8133</v>
      </c>
      <c r="L1107" s="3" t="str">
        <f t="shared" si="35"/>
        <v>ΑΡΩΜΑΤΙΚΑ_ΦΥΤΑ</v>
      </c>
    </row>
    <row r="1108" spans="1:12" s="3" customFormat="1" ht="24" x14ac:dyDescent="0.25">
      <c r="A1108" s="3" t="str">
        <f t="shared" si="34"/>
        <v>ΑΡΩΜΑΤΙΚΑ ΦΥΤΑΚΡΟΚΟΣ</v>
      </c>
      <c r="B1108" s="4" t="s">
        <v>1893</v>
      </c>
      <c r="C1108" s="5" t="s">
        <v>1966</v>
      </c>
      <c r="D1108" s="6">
        <v>11041.07</v>
      </c>
      <c r="E1108" s="6">
        <v>11535.86</v>
      </c>
      <c r="F1108" s="7" t="s">
        <v>14</v>
      </c>
      <c r="G1108" s="8" t="s">
        <v>1967</v>
      </c>
      <c r="H1108" s="8" t="s">
        <v>16</v>
      </c>
      <c r="I1108" s="9">
        <v>2604</v>
      </c>
      <c r="J1108" s="10">
        <v>41</v>
      </c>
      <c r="K1108" s="10">
        <v>8134</v>
      </c>
      <c r="L1108" s="3" t="str">
        <f t="shared" si="35"/>
        <v>ΑΡΩΜΑΤΙΚΑ_ΦΥΤΑ</v>
      </c>
    </row>
    <row r="1109" spans="1:12" s="3" customFormat="1" ht="24" x14ac:dyDescent="0.25">
      <c r="A1109" s="3" t="str">
        <f t="shared" si="34"/>
        <v>ΑΡΩΜΑΤΙΚΑ ΦΥΤΑΜΑΡΑΘΟΣ</v>
      </c>
      <c r="B1109" s="4" t="s">
        <v>1893</v>
      </c>
      <c r="C1109" s="5" t="s">
        <v>1968</v>
      </c>
      <c r="D1109" s="6">
        <v>11041.07</v>
      </c>
      <c r="E1109" s="6">
        <v>11535.86</v>
      </c>
      <c r="F1109" s="7" t="s">
        <v>14</v>
      </c>
      <c r="G1109" s="8" t="s">
        <v>1969</v>
      </c>
      <c r="H1109" s="8" t="s">
        <v>16</v>
      </c>
      <c r="I1109" s="9">
        <v>2595</v>
      </c>
      <c r="J1109" s="10">
        <v>41</v>
      </c>
      <c r="K1109" s="10">
        <v>8135</v>
      </c>
      <c r="L1109" s="3" t="str">
        <f t="shared" si="35"/>
        <v>ΑΡΩΜΑΤΙΚΑ_ΦΥΤΑ</v>
      </c>
    </row>
    <row r="1110" spans="1:12" s="3" customFormat="1" ht="24" x14ac:dyDescent="0.25">
      <c r="A1110" s="3" t="str">
        <f t="shared" si="34"/>
        <v>ΑΡΩΜΑΤΙΚΑ ΦΥΤΑΜΕΝΤΑ</v>
      </c>
      <c r="B1110" s="4" t="s">
        <v>1893</v>
      </c>
      <c r="C1110" s="5" t="s">
        <v>1970</v>
      </c>
      <c r="D1110" s="6">
        <v>11041.07</v>
      </c>
      <c r="E1110" s="6">
        <v>11535.86</v>
      </c>
      <c r="F1110" s="7" t="s">
        <v>14</v>
      </c>
      <c r="G1110" s="8" t="s">
        <v>1971</v>
      </c>
      <c r="H1110" s="8" t="s">
        <v>16</v>
      </c>
      <c r="I1110" s="9">
        <v>2586</v>
      </c>
      <c r="J1110" s="10">
        <v>41</v>
      </c>
      <c r="K1110" s="10">
        <v>8136</v>
      </c>
      <c r="L1110" s="3" t="str">
        <f t="shared" si="35"/>
        <v>ΑΡΩΜΑΤΙΚΑ_ΦΥΤΑ</v>
      </c>
    </row>
    <row r="1111" spans="1:12" s="3" customFormat="1" ht="24" x14ac:dyDescent="0.25">
      <c r="A1111" s="3" t="str">
        <f t="shared" si="34"/>
        <v>ΑΡΩΜΑΤΙΚΑ ΦΥΤΑΡΙΓΑΝΗ</v>
      </c>
      <c r="B1111" s="4" t="s">
        <v>1893</v>
      </c>
      <c r="C1111" s="5" t="s">
        <v>1972</v>
      </c>
      <c r="D1111" s="6">
        <v>11041.07</v>
      </c>
      <c r="E1111" s="6">
        <v>11535.86</v>
      </c>
      <c r="F1111" s="7" t="s">
        <v>14</v>
      </c>
      <c r="G1111" s="8" t="s">
        <v>1973</v>
      </c>
      <c r="H1111" s="8" t="s">
        <v>16</v>
      </c>
      <c r="I1111" s="9">
        <v>2597</v>
      </c>
      <c r="J1111" s="10">
        <v>41</v>
      </c>
      <c r="K1111" s="10">
        <v>8137</v>
      </c>
      <c r="L1111" s="3" t="str">
        <f t="shared" si="35"/>
        <v>ΑΡΩΜΑΤΙΚΑ_ΦΥΤΑ</v>
      </c>
    </row>
    <row r="1112" spans="1:12" s="3" customFormat="1" ht="24" x14ac:dyDescent="0.25">
      <c r="A1112" s="3" t="str">
        <f t="shared" si="34"/>
        <v>ΑΡΩΜΑΤΙΚΑ ΦΥΤΑΦΑΣΚΟΜΗΛΟ</v>
      </c>
      <c r="B1112" s="4" t="s">
        <v>1893</v>
      </c>
      <c r="C1112" s="5" t="s">
        <v>1974</v>
      </c>
      <c r="D1112" s="6">
        <v>11041.07</v>
      </c>
      <c r="E1112" s="6">
        <v>11535.86</v>
      </c>
      <c r="F1112" s="7" t="s">
        <v>14</v>
      </c>
      <c r="G1112" s="8" t="s">
        <v>1975</v>
      </c>
      <c r="H1112" s="8" t="s">
        <v>16</v>
      </c>
      <c r="I1112" s="9">
        <v>2598</v>
      </c>
      <c r="J1112" s="10">
        <v>41</v>
      </c>
      <c r="K1112" s="10">
        <v>8138</v>
      </c>
      <c r="L1112" s="3" t="str">
        <f t="shared" si="35"/>
        <v>ΑΡΩΜΑΤΙΚΑ_ΦΥΤΑ</v>
      </c>
    </row>
    <row r="1113" spans="1:12" s="3" customFormat="1" ht="24" x14ac:dyDescent="0.25">
      <c r="A1113" s="3" t="str">
        <f t="shared" si="34"/>
        <v>ΑΡΩΜΑΤΙΚΑ ΦΥΤΑΤΣΑΙ ΤΟΥ ΒΟΥΝΟΥ</v>
      </c>
      <c r="B1113" s="4" t="s">
        <v>1893</v>
      </c>
      <c r="C1113" s="5" t="s">
        <v>1976</v>
      </c>
      <c r="D1113" s="6">
        <v>11041.07</v>
      </c>
      <c r="E1113" s="6">
        <v>11535.86</v>
      </c>
      <c r="F1113" s="7" t="s">
        <v>14</v>
      </c>
      <c r="G1113" s="8" t="s">
        <v>1977</v>
      </c>
      <c r="H1113" s="8" t="s">
        <v>16</v>
      </c>
      <c r="I1113" s="9">
        <v>2599</v>
      </c>
      <c r="J1113" s="10">
        <v>41</v>
      </c>
      <c r="K1113" s="10">
        <v>8139</v>
      </c>
      <c r="L1113" s="3" t="str">
        <f t="shared" si="35"/>
        <v>ΑΡΩΜΑΤΙΚΑ_ΦΥΤΑ</v>
      </c>
    </row>
    <row r="1114" spans="1:12" s="3" customFormat="1" ht="24" x14ac:dyDescent="0.25">
      <c r="A1114" s="3" t="str">
        <f t="shared" si="34"/>
        <v>ΑΡΩΜΑΤΙΚΑ ΦΥΤΑΒΑΣΙΛΙΚΟΣ</v>
      </c>
      <c r="B1114" s="4" t="s">
        <v>1893</v>
      </c>
      <c r="C1114" s="5" t="s">
        <v>1978</v>
      </c>
      <c r="D1114" s="6">
        <v>11041.07</v>
      </c>
      <c r="E1114" s="6">
        <v>11535.86</v>
      </c>
      <c r="F1114" s="7" t="s">
        <v>14</v>
      </c>
      <c r="G1114" s="8" t="s">
        <v>1979</v>
      </c>
      <c r="H1114" s="8" t="s">
        <v>16</v>
      </c>
      <c r="I1114" s="9">
        <v>2600</v>
      </c>
      <c r="J1114" s="10">
        <v>41</v>
      </c>
      <c r="K1114" s="10">
        <v>8141</v>
      </c>
      <c r="L1114" s="3" t="str">
        <f t="shared" si="35"/>
        <v>ΑΡΩΜΑΤΙΚΑ_ΦΥΤΑ</v>
      </c>
    </row>
    <row r="1115" spans="1:12" s="3" customFormat="1" ht="24" x14ac:dyDescent="0.25">
      <c r="A1115" s="3" t="str">
        <f t="shared" si="34"/>
        <v>ΑΡΩΜΑΤΙΚΑ ΦΥΤΑΓΙΑΣΕΜΙ</v>
      </c>
      <c r="B1115" s="4" t="s">
        <v>1893</v>
      </c>
      <c r="C1115" s="5" t="s">
        <v>1980</v>
      </c>
      <c r="D1115" s="6">
        <v>11041.07</v>
      </c>
      <c r="E1115" s="6">
        <v>11535.86</v>
      </c>
      <c r="F1115" s="7" t="s">
        <v>14</v>
      </c>
      <c r="G1115" s="8" t="s">
        <v>1981</v>
      </c>
      <c r="H1115" s="8" t="s">
        <v>16</v>
      </c>
      <c r="I1115" s="9">
        <v>2601</v>
      </c>
      <c r="J1115" s="10">
        <v>41</v>
      </c>
      <c r="K1115" s="10">
        <v>8142</v>
      </c>
      <c r="L1115" s="3" t="str">
        <f t="shared" si="35"/>
        <v>ΑΡΩΜΑΤΙΚΑ_ΦΥΤΑ</v>
      </c>
    </row>
    <row r="1116" spans="1:12" s="3" customFormat="1" ht="24" x14ac:dyDescent="0.25">
      <c r="A1116" s="3" t="str">
        <f t="shared" si="34"/>
        <v>ΑΡΩΜΑΤΙΚΑ ΦΥΤΑΓΛΥΚΑΝΙΣΟ - ΜΑΡΑΘΟΣΠΟΡΟΣ</v>
      </c>
      <c r="B1116" s="4" t="s">
        <v>1893</v>
      </c>
      <c r="C1116" s="5" t="s">
        <v>1982</v>
      </c>
      <c r="D1116" s="6">
        <v>11041.07</v>
      </c>
      <c r="E1116" s="6">
        <v>11535.86</v>
      </c>
      <c r="F1116" s="7" t="s">
        <v>14</v>
      </c>
      <c r="G1116" s="8" t="s">
        <v>1983</v>
      </c>
      <c r="H1116" s="8" t="s">
        <v>16</v>
      </c>
      <c r="I1116" s="9">
        <v>2602</v>
      </c>
      <c r="J1116" s="10">
        <v>41</v>
      </c>
      <c r="K1116" s="10">
        <v>8143</v>
      </c>
      <c r="L1116" s="3" t="str">
        <f t="shared" si="35"/>
        <v>ΑΡΩΜΑΤΙΚΑ_ΦΥΤΑ</v>
      </c>
    </row>
    <row r="1117" spans="1:12" s="3" customFormat="1" ht="24" x14ac:dyDescent="0.25">
      <c r="A1117" s="3" t="str">
        <f t="shared" si="34"/>
        <v>ΑΡΩΜΑΤΙΚΑ ΦΥΤΑΔΕΝΔΡΟΛΙΒΑΝΟ</v>
      </c>
      <c r="B1117" s="4" t="s">
        <v>1893</v>
      </c>
      <c r="C1117" s="5" t="s">
        <v>1984</v>
      </c>
      <c r="D1117" s="6">
        <v>11041.07</v>
      </c>
      <c r="E1117" s="6">
        <v>11535.86</v>
      </c>
      <c r="F1117" s="7" t="s">
        <v>14</v>
      </c>
      <c r="G1117" s="8" t="s">
        <v>1985</v>
      </c>
      <c r="H1117" s="8" t="s">
        <v>16</v>
      </c>
      <c r="I1117" s="9">
        <v>2603</v>
      </c>
      <c r="J1117" s="10">
        <v>41</v>
      </c>
      <c r="K1117" s="10">
        <v>8144</v>
      </c>
      <c r="L1117" s="3" t="str">
        <f t="shared" si="35"/>
        <v>ΑΡΩΜΑΤΙΚΑ_ΦΥΤΑ</v>
      </c>
    </row>
    <row r="1118" spans="1:12" s="3" customFormat="1" ht="24" x14ac:dyDescent="0.25">
      <c r="A1118" s="3" t="str">
        <f t="shared" si="34"/>
        <v>ΑΡΩΜΑΤΙΚΑ ΦΥΤΑΘΥΜΑΡΙ</v>
      </c>
      <c r="B1118" s="4" t="s">
        <v>1893</v>
      </c>
      <c r="C1118" s="5" t="s">
        <v>1986</v>
      </c>
      <c r="D1118" s="6">
        <v>11041.07</v>
      </c>
      <c r="E1118" s="6">
        <v>11535.86</v>
      </c>
      <c r="F1118" s="7" t="s">
        <v>14</v>
      </c>
      <c r="G1118" s="8" t="s">
        <v>1987</v>
      </c>
      <c r="H1118" s="8" t="s">
        <v>16</v>
      </c>
      <c r="I1118" s="9">
        <v>2587</v>
      </c>
      <c r="J1118" s="10">
        <v>41</v>
      </c>
      <c r="K1118" s="10">
        <v>8145</v>
      </c>
      <c r="L1118" s="3" t="str">
        <f t="shared" si="35"/>
        <v>ΑΡΩΜΑΤΙΚΑ_ΦΥΤΑ</v>
      </c>
    </row>
    <row r="1119" spans="1:12" s="3" customFormat="1" ht="24" x14ac:dyDescent="0.25">
      <c r="A1119" s="3" t="str">
        <f t="shared" si="34"/>
        <v>ΑΡΩΜΑΤΙΚΑ ΦΥΤΑΚΟΡΙΑΝΔΡΟΣ</v>
      </c>
      <c r="B1119" s="4" t="s">
        <v>1893</v>
      </c>
      <c r="C1119" s="5" t="s">
        <v>1988</v>
      </c>
      <c r="D1119" s="6">
        <v>11041.07</v>
      </c>
      <c r="E1119" s="6">
        <v>11535.86</v>
      </c>
      <c r="F1119" s="7" t="s">
        <v>14</v>
      </c>
      <c r="G1119" s="8" t="s">
        <v>1989</v>
      </c>
      <c r="H1119" s="8" t="s">
        <v>16</v>
      </c>
      <c r="I1119" s="9">
        <v>2584</v>
      </c>
      <c r="J1119" s="10">
        <v>41</v>
      </c>
      <c r="K1119" s="10">
        <v>8146</v>
      </c>
      <c r="L1119" s="3" t="str">
        <f t="shared" si="35"/>
        <v>ΑΡΩΜΑΤΙΚΑ_ΦΥΤΑ</v>
      </c>
    </row>
    <row r="1120" spans="1:12" s="3" customFormat="1" ht="24" x14ac:dyDescent="0.25">
      <c r="A1120" s="3" t="str">
        <f t="shared" si="34"/>
        <v>ΑΡΩΜΑΤΙΚΑ ΦΥΤΑΚΥΜΙΝΟ</v>
      </c>
      <c r="B1120" s="4" t="s">
        <v>1893</v>
      </c>
      <c r="C1120" s="5" t="s">
        <v>1990</v>
      </c>
      <c r="D1120" s="6">
        <v>11041.07</v>
      </c>
      <c r="E1120" s="6">
        <v>11535.86</v>
      </c>
      <c r="F1120" s="7" t="s">
        <v>14</v>
      </c>
      <c r="G1120" s="8" t="s">
        <v>1991</v>
      </c>
      <c r="H1120" s="8" t="s">
        <v>16</v>
      </c>
      <c r="I1120" s="9">
        <v>2625</v>
      </c>
      <c r="J1120" s="10">
        <v>41</v>
      </c>
      <c r="K1120" s="10">
        <v>8147</v>
      </c>
      <c r="L1120" s="3" t="str">
        <f t="shared" si="35"/>
        <v>ΑΡΩΜΑΤΙΚΑ_ΦΥΤΑ</v>
      </c>
    </row>
    <row r="1121" spans="1:12" s="3" customFormat="1" ht="24" x14ac:dyDescent="0.25">
      <c r="A1121" s="3" t="str">
        <f t="shared" si="34"/>
        <v>ΑΡΩΜΑΤΙΚΑ ΦΥΤΑΛΕΒΑΝΤΑ</v>
      </c>
      <c r="B1121" s="4" t="s">
        <v>1893</v>
      </c>
      <c r="C1121" s="5" t="s">
        <v>1992</v>
      </c>
      <c r="D1121" s="6">
        <v>11041.07</v>
      </c>
      <c r="E1121" s="6">
        <v>11535.86</v>
      </c>
      <c r="F1121" s="7" t="s">
        <v>14</v>
      </c>
      <c r="G1121" s="8" t="s">
        <v>1993</v>
      </c>
      <c r="H1121" s="8" t="s">
        <v>16</v>
      </c>
      <c r="I1121" s="9">
        <v>2622</v>
      </c>
      <c r="J1121" s="10">
        <v>41</v>
      </c>
      <c r="K1121" s="10">
        <v>8148</v>
      </c>
      <c r="L1121" s="3" t="str">
        <f t="shared" si="35"/>
        <v>ΑΡΩΜΑΤΙΚΑ_ΦΥΤΑ</v>
      </c>
    </row>
    <row r="1122" spans="1:12" s="3" customFormat="1" ht="24" x14ac:dyDescent="0.25">
      <c r="A1122" s="3" t="str">
        <f t="shared" si="34"/>
        <v>ΑΡΩΜΑΤΙΚΑ ΦΥΤΑΜΑΝΤΖΟΥΡΑΝΑ</v>
      </c>
      <c r="B1122" s="4" t="s">
        <v>1893</v>
      </c>
      <c r="C1122" s="5" t="s">
        <v>1994</v>
      </c>
      <c r="D1122" s="6">
        <v>11041.07</v>
      </c>
      <c r="E1122" s="6">
        <v>11535.86</v>
      </c>
      <c r="F1122" s="7" t="s">
        <v>14</v>
      </c>
      <c r="G1122" s="8" t="s">
        <v>1995</v>
      </c>
      <c r="H1122" s="8" t="s">
        <v>16</v>
      </c>
      <c r="I1122" s="9">
        <v>2627</v>
      </c>
      <c r="J1122" s="10">
        <v>41</v>
      </c>
      <c r="K1122" s="10">
        <v>8149</v>
      </c>
      <c r="L1122" s="3" t="str">
        <f t="shared" si="35"/>
        <v>ΑΡΩΜΑΤΙΚΑ_ΦΥΤΑ</v>
      </c>
    </row>
    <row r="1123" spans="1:12" s="3" customFormat="1" ht="24" x14ac:dyDescent="0.25">
      <c r="A1123" s="3" t="str">
        <f t="shared" si="34"/>
        <v>ΑΡΩΜΑΤΙΚΑ ΦΥΤΑΜΕΛΙΣΣΟΧΟΡΤΟ</v>
      </c>
      <c r="B1123" s="4" t="s">
        <v>1893</v>
      </c>
      <c r="C1123" s="5" t="s">
        <v>1996</v>
      </c>
      <c r="D1123" s="6">
        <v>11041.07</v>
      </c>
      <c r="E1123" s="6">
        <v>11535.86</v>
      </c>
      <c r="F1123" s="7" t="s">
        <v>14</v>
      </c>
      <c r="G1123" s="8" t="s">
        <v>1997</v>
      </c>
      <c r="H1123" s="8" t="s">
        <v>16</v>
      </c>
      <c r="I1123" s="9">
        <v>2629</v>
      </c>
      <c r="J1123" s="10">
        <v>41</v>
      </c>
      <c r="K1123" s="10">
        <v>8151</v>
      </c>
      <c r="L1123" s="3" t="str">
        <f t="shared" si="35"/>
        <v>ΑΡΩΜΑΤΙΚΑ_ΦΥΤΑ</v>
      </c>
    </row>
    <row r="1124" spans="1:12" s="3" customFormat="1" ht="24" x14ac:dyDescent="0.25">
      <c r="A1124" s="3" t="str">
        <f t="shared" si="34"/>
        <v>ΑΡΩΜΑΤΙΚΑ ΦΥΤΑΣΛΑΒΙΑ ΣΚΛΑΡΕΑ</v>
      </c>
      <c r="B1124" s="4" t="s">
        <v>1893</v>
      </c>
      <c r="C1124" s="5" t="s">
        <v>1998</v>
      </c>
      <c r="D1124" s="6">
        <v>11041.07</v>
      </c>
      <c r="E1124" s="6">
        <v>11535.86</v>
      </c>
      <c r="F1124" s="7" t="s">
        <v>14</v>
      </c>
      <c r="G1124" s="8" t="s">
        <v>1999</v>
      </c>
      <c r="H1124" s="8" t="s">
        <v>16</v>
      </c>
      <c r="I1124" s="9">
        <v>2624</v>
      </c>
      <c r="J1124" s="10">
        <v>41</v>
      </c>
      <c r="K1124" s="10">
        <v>8152</v>
      </c>
      <c r="L1124" s="3" t="str">
        <f t="shared" si="35"/>
        <v>ΑΡΩΜΑΤΙΚΑ_ΦΥΤΑ</v>
      </c>
    </row>
    <row r="1125" spans="1:12" s="3" customFormat="1" ht="24" x14ac:dyDescent="0.25">
      <c r="A1125" s="3" t="str">
        <f t="shared" si="34"/>
        <v>ΑΡΩΜΑΤΙΚΑ ΦΥΤΑΥΣΣΩΠΟΣ</v>
      </c>
      <c r="B1125" s="4" t="s">
        <v>1893</v>
      </c>
      <c r="C1125" s="5" t="s">
        <v>2000</v>
      </c>
      <c r="D1125" s="6">
        <v>11041.07</v>
      </c>
      <c r="E1125" s="6">
        <v>11535.86</v>
      </c>
      <c r="F1125" s="7" t="s">
        <v>14</v>
      </c>
      <c r="G1125" s="8" t="s">
        <v>2001</v>
      </c>
      <c r="H1125" s="8" t="s">
        <v>16</v>
      </c>
      <c r="I1125" s="9">
        <v>2630</v>
      </c>
      <c r="J1125" s="10">
        <v>41</v>
      </c>
      <c r="K1125" s="10">
        <v>8153</v>
      </c>
      <c r="L1125" s="3" t="str">
        <f t="shared" si="35"/>
        <v>ΑΡΩΜΑΤΙΚΑ_ΦΥΤΑ</v>
      </c>
    </row>
    <row r="1126" spans="1:12" s="3" customFormat="1" ht="24" x14ac:dyDescent="0.25">
      <c r="A1126" s="3" t="str">
        <f t="shared" si="34"/>
        <v>ΑΡΩΜΑΤΙΚΑ ΦΥΤΑΓΛΥΚΟΡΙΖΑ</v>
      </c>
      <c r="B1126" s="4" t="s">
        <v>1893</v>
      </c>
      <c r="C1126" s="5" t="s">
        <v>2002</v>
      </c>
      <c r="D1126" s="6">
        <v>11041.07</v>
      </c>
      <c r="E1126" s="6">
        <v>11535.86</v>
      </c>
      <c r="F1126" s="7" t="s">
        <v>14</v>
      </c>
      <c r="G1126" s="8" t="s">
        <v>2003</v>
      </c>
      <c r="H1126" s="8" t="s">
        <v>16</v>
      </c>
      <c r="I1126" s="9">
        <v>2635</v>
      </c>
      <c r="J1126" s="10">
        <v>41</v>
      </c>
      <c r="K1126" s="10">
        <v>8154</v>
      </c>
      <c r="L1126" s="3" t="str">
        <f t="shared" si="35"/>
        <v>ΑΡΩΜΑΤΙΚΑ_ΦΥΤΑ</v>
      </c>
    </row>
    <row r="1127" spans="1:12" s="3" customFormat="1" ht="24" x14ac:dyDescent="0.25">
      <c r="A1127" s="3" t="str">
        <f t="shared" si="34"/>
        <v>ΑΡΩΜΑΤΙΚΑ ΦΥΤΑΚΡΟΚΟΣ (ΒΙΟΛΟΓΙΚΟΣ)</v>
      </c>
      <c r="B1127" s="4" t="s">
        <v>1893</v>
      </c>
      <c r="C1127" s="5" t="s">
        <v>2004</v>
      </c>
      <c r="D1127" s="6">
        <v>11041.07</v>
      </c>
      <c r="E1127" s="6">
        <v>11535.86</v>
      </c>
      <c r="F1127" s="7" t="s">
        <v>14</v>
      </c>
      <c r="G1127" s="8" t="s">
        <v>2005</v>
      </c>
      <c r="H1127" s="8" t="s">
        <v>16</v>
      </c>
      <c r="I1127" s="9">
        <v>2634</v>
      </c>
      <c r="J1127" s="10">
        <v>41</v>
      </c>
      <c r="K1127" s="10">
        <v>8156</v>
      </c>
      <c r="L1127" s="3" t="str">
        <f t="shared" si="35"/>
        <v>ΑΡΩΜΑΤΙΚΑ_ΦΥΤΑ</v>
      </c>
    </row>
    <row r="1128" spans="1:12" s="3" customFormat="1" ht="24" x14ac:dyDescent="0.25">
      <c r="A1128" s="3" t="str">
        <f t="shared" si="34"/>
        <v>ΑΡΩΜΑΤΙΚΑ ΦΥΤΑΤΣΑΙ ΤΟΥ ΒΟΥΝΟΥ - ΤΟΠΙΚΟΙ ΠΛΗΘΥΣΜΟΙ</v>
      </c>
      <c r="B1128" s="4" t="s">
        <v>1893</v>
      </c>
      <c r="C1128" s="5" t="s">
        <v>2006</v>
      </c>
      <c r="D1128" s="6">
        <v>11041.07</v>
      </c>
      <c r="E1128" s="6">
        <v>11535.86</v>
      </c>
      <c r="F1128" s="7" t="s">
        <v>14</v>
      </c>
      <c r="G1128" s="8" t="s">
        <v>2007</v>
      </c>
      <c r="H1128" s="8" t="s">
        <v>16</v>
      </c>
      <c r="I1128" s="9">
        <v>2631</v>
      </c>
      <c r="J1128" s="10">
        <v>41</v>
      </c>
      <c r="K1128" s="10">
        <v>8157</v>
      </c>
      <c r="L1128" s="3" t="str">
        <f t="shared" si="35"/>
        <v>ΑΡΩΜΑΤΙΚΑ_ΦΥΤΑ</v>
      </c>
    </row>
    <row r="1129" spans="1:12" s="3" customFormat="1" ht="24" x14ac:dyDescent="0.25">
      <c r="A1129" s="3" t="str">
        <f t="shared" si="34"/>
        <v>ΑΡΩΜΑΤΙΚΑ ΦΥΤΑΓΛΥΚΑΝΙΣΟ - ΤΟΠΙΚΗ ΛΕΣΒΟΥ, ΧΙΟΥ</v>
      </c>
      <c r="B1129" s="4" t="s">
        <v>1893</v>
      </c>
      <c r="C1129" s="5" t="s">
        <v>2008</v>
      </c>
      <c r="D1129" s="6">
        <v>11041.07</v>
      </c>
      <c r="E1129" s="6">
        <v>11535.86</v>
      </c>
      <c r="F1129" s="7" t="s">
        <v>14</v>
      </c>
      <c r="G1129" s="8" t="s">
        <v>2009</v>
      </c>
      <c r="H1129" s="8" t="s">
        <v>16</v>
      </c>
      <c r="I1129" s="9">
        <v>2632</v>
      </c>
      <c r="J1129" s="10">
        <v>41</v>
      </c>
      <c r="K1129" s="10">
        <v>8158</v>
      </c>
      <c r="L1129" s="3" t="str">
        <f t="shared" si="35"/>
        <v>ΑΡΩΜΑΤΙΚΑ_ΦΥΤΑ</v>
      </c>
    </row>
    <row r="1130" spans="1:12" s="3" customFormat="1" ht="24" x14ac:dyDescent="0.25">
      <c r="A1130" s="3" t="str">
        <f t="shared" si="34"/>
        <v>ΑΡΩΜΑΤΙΚΑ ΦΥΤΑΡΙΓΑΝΗ - ΤΟΠΙΚΟΙ ΠΛΗΘΥΣΜΟΙ</v>
      </c>
      <c r="B1130" s="4" t="s">
        <v>1893</v>
      </c>
      <c r="C1130" s="5" t="s">
        <v>2010</v>
      </c>
      <c r="D1130" s="6">
        <v>11041.07</v>
      </c>
      <c r="E1130" s="6">
        <v>11535.86</v>
      </c>
      <c r="F1130" s="7" t="s">
        <v>14</v>
      </c>
      <c r="G1130" s="8" t="s">
        <v>2011</v>
      </c>
      <c r="H1130" s="8" t="s">
        <v>16</v>
      </c>
      <c r="I1130" s="9">
        <v>2628</v>
      </c>
      <c r="J1130" s="10">
        <v>41</v>
      </c>
      <c r="K1130" s="10">
        <v>8159</v>
      </c>
      <c r="L1130" s="3" t="str">
        <f t="shared" si="35"/>
        <v>ΑΡΩΜΑΤΙΚΑ_ΦΥΤΑ</v>
      </c>
    </row>
    <row r="1131" spans="1:12" s="3" customFormat="1" ht="24" x14ac:dyDescent="0.25">
      <c r="A1131" s="3" t="str">
        <f t="shared" si="34"/>
        <v>ΑΡΩΜΑΤΙΚΑ ΦΥΤΑΔΙΚΤΑΜΟΣ - ΤΟΠΙΚΟΙ ΠΛΗΘΥΣΜΟΙ</v>
      </c>
      <c r="B1131" s="4" t="s">
        <v>1893</v>
      </c>
      <c r="C1131" s="5" t="s">
        <v>2012</v>
      </c>
      <c r="D1131" s="6">
        <v>11041.07</v>
      </c>
      <c r="E1131" s="6">
        <v>11535.86</v>
      </c>
      <c r="F1131" s="7" t="s">
        <v>14</v>
      </c>
      <c r="G1131" s="8" t="s">
        <v>2013</v>
      </c>
      <c r="H1131" s="8" t="s">
        <v>16</v>
      </c>
      <c r="I1131" s="9">
        <v>2633</v>
      </c>
      <c r="J1131" s="10">
        <v>41</v>
      </c>
      <c r="K1131" s="10">
        <v>8160</v>
      </c>
      <c r="L1131" s="3" t="str">
        <f t="shared" si="35"/>
        <v>ΑΡΩΜΑΤΙΚΑ_ΦΥΤΑ</v>
      </c>
    </row>
    <row r="1132" spans="1:12" s="3" customFormat="1" ht="24" x14ac:dyDescent="0.25">
      <c r="A1132" s="3" t="str">
        <f t="shared" si="34"/>
        <v>ΑΡΩΜΑΤΙΚΑ ΦΥΤΑΦΑΚΕΛΩΤΗ</v>
      </c>
      <c r="B1132" s="4" t="s">
        <v>1893</v>
      </c>
      <c r="C1132" s="5" t="s">
        <v>2014</v>
      </c>
      <c r="D1132" s="6">
        <v>11041.07</v>
      </c>
      <c r="E1132" s="6">
        <v>11535.86</v>
      </c>
      <c r="F1132" s="7" t="s">
        <v>14</v>
      </c>
      <c r="G1132" s="8" t="s">
        <v>2015</v>
      </c>
      <c r="H1132" s="8" t="s">
        <v>16</v>
      </c>
      <c r="I1132" s="9">
        <v>2585</v>
      </c>
      <c r="J1132" s="10">
        <v>41</v>
      </c>
      <c r="K1132" s="10">
        <v>8760</v>
      </c>
      <c r="L1132" s="3" t="str">
        <f t="shared" si="35"/>
        <v>ΑΡΩΜΑΤΙΚΑ_ΦΥΤΑ</v>
      </c>
    </row>
    <row r="1133" spans="1:12" s="3" customFormat="1" x14ac:dyDescent="0.25">
      <c r="A1133" s="3" t="str">
        <f t="shared" si="34"/>
        <v>ΒΑΜΒΑΚΙREGINA</v>
      </c>
      <c r="B1133" s="18" t="s">
        <v>2016</v>
      </c>
      <c r="C1133" s="19" t="s">
        <v>2017</v>
      </c>
      <c r="D1133" s="6">
        <v>1513.82</v>
      </c>
      <c r="E1133" s="6">
        <v>1498.43</v>
      </c>
      <c r="F1133" s="6" t="s">
        <v>14</v>
      </c>
      <c r="G1133" s="8" t="s">
        <v>2018</v>
      </c>
      <c r="H1133" s="8" t="s">
        <v>27</v>
      </c>
      <c r="I1133" s="9">
        <v>4117</v>
      </c>
      <c r="J1133" s="20">
        <v>12</v>
      </c>
      <c r="K1133" s="20">
        <v>1050</v>
      </c>
      <c r="L1133" s="3" t="str">
        <f t="shared" si="35"/>
        <v>ΒΑΜΒΑΚΙ</v>
      </c>
    </row>
    <row r="1134" spans="1:12" s="3" customFormat="1" x14ac:dyDescent="0.25">
      <c r="A1134" s="3" t="str">
        <f t="shared" si="34"/>
        <v>ΒΑΜΒΑΚΙMIRKANA</v>
      </c>
      <c r="B1134" s="18" t="s">
        <v>2016</v>
      </c>
      <c r="C1134" s="19" t="s">
        <v>2019</v>
      </c>
      <c r="D1134" s="6">
        <v>1513.82</v>
      </c>
      <c r="E1134" s="6">
        <v>1498.43</v>
      </c>
      <c r="F1134" s="6" t="s">
        <v>14</v>
      </c>
      <c r="G1134" s="8" t="s">
        <v>2020</v>
      </c>
      <c r="H1134" s="8" t="s">
        <v>27</v>
      </c>
      <c r="I1134" s="9">
        <v>4118</v>
      </c>
      <c r="J1134" s="20">
        <v>12</v>
      </c>
      <c r="K1134" s="20">
        <v>1098</v>
      </c>
      <c r="L1134" s="3" t="str">
        <f t="shared" si="35"/>
        <v>ΒΑΜΒΑΚΙ</v>
      </c>
    </row>
    <row r="1135" spans="1:12" s="3" customFormat="1" ht="24" x14ac:dyDescent="0.25">
      <c r="A1135" s="3" t="str">
        <f t="shared" si="34"/>
        <v>ΒΑΜΒΑΚΙCARLA</v>
      </c>
      <c r="B1135" s="4" t="s">
        <v>2016</v>
      </c>
      <c r="C1135" s="5" t="s">
        <v>2021</v>
      </c>
      <c r="D1135" s="6">
        <v>1513.82</v>
      </c>
      <c r="E1135" s="6">
        <v>1498.43</v>
      </c>
      <c r="F1135" s="7" t="s">
        <v>14</v>
      </c>
      <c r="G1135" s="8" t="s">
        <v>2022</v>
      </c>
      <c r="H1135" s="8" t="s">
        <v>16</v>
      </c>
      <c r="I1135" s="9">
        <v>806</v>
      </c>
      <c r="J1135" s="10">
        <v>12</v>
      </c>
      <c r="K1135" s="10">
        <v>12007</v>
      </c>
      <c r="L1135" s="3" t="str">
        <f t="shared" si="35"/>
        <v>ΒΑΜΒΑΚΙ</v>
      </c>
    </row>
    <row r="1136" spans="1:12" s="3" customFormat="1" ht="24" x14ac:dyDescent="0.25">
      <c r="A1136" s="3" t="str">
        <f t="shared" si="34"/>
        <v>ΒΑΜΒΑΚΙARMADA</v>
      </c>
      <c r="B1136" s="4" t="s">
        <v>2016</v>
      </c>
      <c r="C1136" s="5" t="s">
        <v>2023</v>
      </c>
      <c r="D1136" s="6">
        <v>1513.82</v>
      </c>
      <c r="E1136" s="6">
        <v>1498.43</v>
      </c>
      <c r="F1136" s="7" t="s">
        <v>14</v>
      </c>
      <c r="G1136" s="8" t="s">
        <v>2024</v>
      </c>
      <c r="H1136" s="8" t="s">
        <v>16</v>
      </c>
      <c r="I1136" s="9">
        <v>805</v>
      </c>
      <c r="J1136" s="10">
        <v>12</v>
      </c>
      <c r="K1136" s="10">
        <v>12008</v>
      </c>
      <c r="L1136" s="3" t="str">
        <f t="shared" si="35"/>
        <v>ΒΑΜΒΑΚΙ</v>
      </c>
    </row>
    <row r="1137" spans="1:12" s="3" customFormat="1" x14ac:dyDescent="0.25">
      <c r="A1137" s="3" t="str">
        <f t="shared" si="34"/>
        <v>ΒΑΜΒΑΚΙGAIA</v>
      </c>
      <c r="B1137" s="4" t="s">
        <v>2016</v>
      </c>
      <c r="C1137" s="5" t="s">
        <v>2025</v>
      </c>
      <c r="D1137" s="6">
        <v>1513.82</v>
      </c>
      <c r="E1137" s="6">
        <v>1498.43</v>
      </c>
      <c r="F1137" s="7" t="s">
        <v>14</v>
      </c>
      <c r="G1137" s="8" t="s">
        <v>2026</v>
      </c>
      <c r="H1137" s="8" t="s">
        <v>27</v>
      </c>
      <c r="I1137" s="9">
        <v>804</v>
      </c>
      <c r="J1137" s="10">
        <v>12</v>
      </c>
      <c r="K1137" s="10">
        <v>12009</v>
      </c>
      <c r="L1137" s="3" t="str">
        <f t="shared" si="35"/>
        <v>ΒΑΜΒΑΚΙ</v>
      </c>
    </row>
    <row r="1138" spans="1:12" s="3" customFormat="1" x14ac:dyDescent="0.25">
      <c r="A1138" s="3" t="str">
        <f t="shared" si="34"/>
        <v>ΒΑΜΒΑΚΙETNA</v>
      </c>
      <c r="B1138" s="18" t="s">
        <v>2016</v>
      </c>
      <c r="C1138" s="19" t="s">
        <v>2027</v>
      </c>
      <c r="D1138" s="6">
        <v>1513.82</v>
      </c>
      <c r="E1138" s="6">
        <v>1498.43</v>
      </c>
      <c r="F1138" s="6" t="s">
        <v>14</v>
      </c>
      <c r="G1138" s="8" t="s">
        <v>2028</v>
      </c>
      <c r="H1138" s="8" t="s">
        <v>27</v>
      </c>
      <c r="I1138" s="9">
        <v>4240</v>
      </c>
      <c r="J1138" s="20">
        <v>12</v>
      </c>
      <c r="K1138" s="20">
        <v>12010</v>
      </c>
      <c r="L1138" s="3" t="str">
        <f t="shared" si="35"/>
        <v>ΒΑΜΒΑΚΙ</v>
      </c>
    </row>
    <row r="1139" spans="1:12" s="3" customFormat="1" x14ac:dyDescent="0.25">
      <c r="A1139" s="3" t="str">
        <f t="shared" si="34"/>
        <v>ΒΑΜΒΑΚΙETNA-YΒΡΙΔΙΟ</v>
      </c>
      <c r="B1139" s="4" t="s">
        <v>2016</v>
      </c>
      <c r="C1139" s="5" t="s">
        <v>2029</v>
      </c>
      <c r="D1139" s="6">
        <v>1513.82</v>
      </c>
      <c r="E1139" s="6">
        <v>1498.43</v>
      </c>
      <c r="F1139" s="7" t="s">
        <v>14</v>
      </c>
      <c r="G1139" s="8" t="s">
        <v>2030</v>
      </c>
      <c r="H1139" s="8" t="s">
        <v>27</v>
      </c>
      <c r="I1139" s="9">
        <v>803</v>
      </c>
      <c r="J1139" s="10">
        <v>12</v>
      </c>
      <c r="K1139" s="10">
        <v>12011</v>
      </c>
      <c r="L1139" s="3" t="str">
        <f t="shared" si="35"/>
        <v>ΒΑΜΒΑΚΙ</v>
      </c>
    </row>
    <row r="1140" spans="1:12" s="3" customFormat="1" x14ac:dyDescent="0.25">
      <c r="A1140" s="3" t="str">
        <f t="shared" si="34"/>
        <v>ΒΑΜΒΑΚΙEUROPA-YBΡΙΔΙΟ</v>
      </c>
      <c r="B1140" s="4" t="s">
        <v>2016</v>
      </c>
      <c r="C1140" s="5" t="s">
        <v>2031</v>
      </c>
      <c r="D1140" s="6">
        <v>1513.82</v>
      </c>
      <c r="E1140" s="6">
        <v>1498.43</v>
      </c>
      <c r="F1140" s="7" t="s">
        <v>14</v>
      </c>
      <c r="G1140" s="8" t="s">
        <v>2032</v>
      </c>
      <c r="H1140" s="8" t="s">
        <v>27</v>
      </c>
      <c r="I1140" s="9">
        <v>802</v>
      </c>
      <c r="J1140" s="10">
        <v>12</v>
      </c>
      <c r="K1140" s="10">
        <v>12012</v>
      </c>
      <c r="L1140" s="3" t="str">
        <f t="shared" si="35"/>
        <v>ΒΑΜΒΑΚΙ</v>
      </c>
    </row>
    <row r="1141" spans="1:12" s="3" customFormat="1" ht="24" x14ac:dyDescent="0.25">
      <c r="A1141" s="3" t="str">
        <f t="shared" si="34"/>
        <v>ΒΑΜΒΑΚΙINTERCOTT 195-ΥΒΡΙΔΙΟ</v>
      </c>
      <c r="B1141" s="4" t="s">
        <v>2016</v>
      </c>
      <c r="C1141" s="5" t="s">
        <v>2033</v>
      </c>
      <c r="D1141" s="6">
        <v>1513.82</v>
      </c>
      <c r="E1141" s="6">
        <v>1498.43</v>
      </c>
      <c r="F1141" s="7" t="s">
        <v>14</v>
      </c>
      <c r="G1141" s="8" t="s">
        <v>2034</v>
      </c>
      <c r="H1141" s="8" t="s">
        <v>16</v>
      </c>
      <c r="I1141" s="9">
        <v>801</v>
      </c>
      <c r="J1141" s="10">
        <v>12</v>
      </c>
      <c r="K1141" s="10">
        <v>12013</v>
      </c>
      <c r="L1141" s="3" t="str">
        <f t="shared" si="35"/>
        <v>ΒΑΜΒΑΚΙ</v>
      </c>
    </row>
    <row r="1142" spans="1:12" s="3" customFormat="1" ht="24" x14ac:dyDescent="0.25">
      <c r="A1142" s="3" t="str">
        <f t="shared" si="34"/>
        <v>ΒΑΜΒΑΚΙINTERCOTT 211-ΥΒΡΙΔΙΟ</v>
      </c>
      <c r="B1142" s="4" t="s">
        <v>2016</v>
      </c>
      <c r="C1142" s="5" t="s">
        <v>2035</v>
      </c>
      <c r="D1142" s="6">
        <v>1513.82</v>
      </c>
      <c r="E1142" s="6">
        <v>1498.43</v>
      </c>
      <c r="F1142" s="7" t="s">
        <v>14</v>
      </c>
      <c r="G1142" s="8" t="s">
        <v>2036</v>
      </c>
      <c r="H1142" s="8" t="s">
        <v>16</v>
      </c>
      <c r="I1142" s="9">
        <v>800</v>
      </c>
      <c r="J1142" s="10">
        <v>12</v>
      </c>
      <c r="K1142" s="10">
        <v>12014</v>
      </c>
      <c r="L1142" s="3" t="str">
        <f t="shared" si="35"/>
        <v>ΒΑΜΒΑΚΙ</v>
      </c>
    </row>
    <row r="1143" spans="1:12" s="3" customFormat="1" ht="24" x14ac:dyDescent="0.25">
      <c r="A1143" s="3" t="str">
        <f t="shared" si="34"/>
        <v>ΒΑΜΒΑΚΙINTERCOTT 670-YΒΡΙΔΙΟ</v>
      </c>
      <c r="B1143" s="4" t="s">
        <v>2016</v>
      </c>
      <c r="C1143" s="5" t="s">
        <v>2037</v>
      </c>
      <c r="D1143" s="6">
        <v>1513.82</v>
      </c>
      <c r="E1143" s="6">
        <v>1498.43</v>
      </c>
      <c r="F1143" s="7" t="s">
        <v>14</v>
      </c>
      <c r="G1143" s="8" t="s">
        <v>2038</v>
      </c>
      <c r="H1143" s="8" t="s">
        <v>16</v>
      </c>
      <c r="I1143" s="9">
        <v>799</v>
      </c>
      <c r="J1143" s="10">
        <v>12</v>
      </c>
      <c r="K1143" s="10">
        <v>12015</v>
      </c>
      <c r="L1143" s="3" t="str">
        <f t="shared" si="35"/>
        <v>ΒΑΜΒΑΚΙ</v>
      </c>
    </row>
    <row r="1144" spans="1:12" s="3" customFormat="1" ht="24" x14ac:dyDescent="0.25">
      <c r="A1144" s="3" t="str">
        <f t="shared" si="34"/>
        <v>ΒΑΜΒΑΚΙINTERCOTT 701-ΥΒΡΙΔΙΟ</v>
      </c>
      <c r="B1144" s="4" t="s">
        <v>2016</v>
      </c>
      <c r="C1144" s="5" t="s">
        <v>2039</v>
      </c>
      <c r="D1144" s="6">
        <v>1513.82</v>
      </c>
      <c r="E1144" s="6">
        <v>1498.43</v>
      </c>
      <c r="F1144" s="7" t="s">
        <v>14</v>
      </c>
      <c r="G1144" s="8" t="s">
        <v>2040</v>
      </c>
      <c r="H1144" s="8" t="s">
        <v>16</v>
      </c>
      <c r="I1144" s="9">
        <v>798</v>
      </c>
      <c r="J1144" s="10">
        <v>12</v>
      </c>
      <c r="K1144" s="10">
        <v>12016</v>
      </c>
      <c r="L1144" s="3" t="str">
        <f t="shared" si="35"/>
        <v>ΒΑΜΒΑΚΙ</v>
      </c>
    </row>
    <row r="1145" spans="1:12" s="3" customFormat="1" ht="24" x14ac:dyDescent="0.25">
      <c r="A1145" s="3" t="str">
        <f t="shared" si="34"/>
        <v>ΒΑΜΒΑΚΙSEVILLA-YBΡΙΔΙΟ</v>
      </c>
      <c r="B1145" s="4" t="s">
        <v>2016</v>
      </c>
      <c r="C1145" s="5" t="s">
        <v>2041</v>
      </c>
      <c r="D1145" s="6">
        <v>1513.82</v>
      </c>
      <c r="E1145" s="6">
        <v>1498.43</v>
      </c>
      <c r="F1145" s="7" t="s">
        <v>14</v>
      </c>
      <c r="G1145" s="8" t="s">
        <v>2042</v>
      </c>
      <c r="H1145" s="8" t="s">
        <v>16</v>
      </c>
      <c r="I1145" s="9">
        <v>784</v>
      </c>
      <c r="J1145" s="10">
        <v>12</v>
      </c>
      <c r="K1145" s="10">
        <v>12017</v>
      </c>
      <c r="L1145" s="3" t="str">
        <f t="shared" si="35"/>
        <v>ΒΑΜΒΑΚΙ</v>
      </c>
    </row>
    <row r="1146" spans="1:12" s="3" customFormat="1" ht="24" x14ac:dyDescent="0.25">
      <c r="A1146" s="3" t="str">
        <f t="shared" si="34"/>
        <v>ΒΑΜΒΑΚΙPRG 9706</v>
      </c>
      <c r="B1146" s="4" t="s">
        <v>2016</v>
      </c>
      <c r="C1146" s="5" t="s">
        <v>2043</v>
      </c>
      <c r="D1146" s="6">
        <v>1513.82</v>
      </c>
      <c r="E1146" s="6">
        <v>1498.43</v>
      </c>
      <c r="F1146" s="7" t="s">
        <v>14</v>
      </c>
      <c r="G1146" s="8" t="s">
        <v>2044</v>
      </c>
      <c r="H1146" s="8" t="s">
        <v>16</v>
      </c>
      <c r="I1146" s="9">
        <v>796</v>
      </c>
      <c r="J1146" s="10">
        <v>12</v>
      </c>
      <c r="K1146" s="10">
        <v>12018</v>
      </c>
      <c r="L1146" s="3" t="str">
        <f t="shared" si="35"/>
        <v>ΒΑΜΒΑΚΙ</v>
      </c>
    </row>
    <row r="1147" spans="1:12" s="3" customFormat="1" ht="24" x14ac:dyDescent="0.25">
      <c r="A1147" s="3" t="str">
        <f t="shared" si="34"/>
        <v>ΒΑΜΒΑΚΙPHY 983</v>
      </c>
      <c r="B1147" s="4" t="s">
        <v>2016</v>
      </c>
      <c r="C1147" s="5" t="s">
        <v>2045</v>
      </c>
      <c r="D1147" s="6">
        <v>1513.82</v>
      </c>
      <c r="E1147" s="6">
        <v>1498.43</v>
      </c>
      <c r="F1147" s="7" t="s">
        <v>14</v>
      </c>
      <c r="G1147" s="8" t="s">
        <v>2046</v>
      </c>
      <c r="H1147" s="8" t="s">
        <v>16</v>
      </c>
      <c r="I1147" s="9">
        <v>807</v>
      </c>
      <c r="J1147" s="10">
        <v>12</v>
      </c>
      <c r="K1147" s="10">
        <v>12019</v>
      </c>
      <c r="L1147" s="3" t="str">
        <f t="shared" si="35"/>
        <v>ΒΑΜΒΑΚΙ</v>
      </c>
    </row>
    <row r="1148" spans="1:12" s="3" customFormat="1" ht="24" x14ac:dyDescent="0.25">
      <c r="A1148" s="3" t="str">
        <f t="shared" si="34"/>
        <v>ΒΑΜΒΑΚΙPG 2018</v>
      </c>
      <c r="B1148" s="4" t="s">
        <v>2016</v>
      </c>
      <c r="C1148" s="5" t="s">
        <v>2047</v>
      </c>
      <c r="D1148" s="6">
        <v>1513.82</v>
      </c>
      <c r="E1148" s="6">
        <v>1498.43</v>
      </c>
      <c r="F1148" s="7" t="s">
        <v>14</v>
      </c>
      <c r="G1148" s="8" t="s">
        <v>2048</v>
      </c>
      <c r="H1148" s="8" t="s">
        <v>16</v>
      </c>
      <c r="I1148" s="9">
        <v>794</v>
      </c>
      <c r="J1148" s="10">
        <v>12</v>
      </c>
      <c r="K1148" s="10">
        <v>12020</v>
      </c>
      <c r="L1148" s="3" t="str">
        <f t="shared" si="35"/>
        <v>ΒΑΜΒΑΚΙ</v>
      </c>
    </row>
    <row r="1149" spans="1:12" s="3" customFormat="1" ht="24" x14ac:dyDescent="0.25">
      <c r="A1149" s="3" t="str">
        <f t="shared" si="34"/>
        <v>ΒΑΜΒΑΚΙZENITH</v>
      </c>
      <c r="B1149" s="4" t="s">
        <v>2016</v>
      </c>
      <c r="C1149" s="5" t="s">
        <v>2049</v>
      </c>
      <c r="D1149" s="6">
        <v>1513.82</v>
      </c>
      <c r="E1149" s="6">
        <v>1498.43</v>
      </c>
      <c r="F1149" s="7" t="s">
        <v>14</v>
      </c>
      <c r="G1149" s="8" t="s">
        <v>2050</v>
      </c>
      <c r="H1149" s="8" t="s">
        <v>16</v>
      </c>
      <c r="I1149" s="9">
        <v>793</v>
      </c>
      <c r="J1149" s="10">
        <v>12</v>
      </c>
      <c r="K1149" s="10">
        <v>12021</v>
      </c>
      <c r="L1149" s="3" t="str">
        <f t="shared" si="35"/>
        <v>ΒΑΜΒΑΚΙ</v>
      </c>
    </row>
    <row r="1150" spans="1:12" s="3" customFormat="1" ht="24" x14ac:dyDescent="0.25">
      <c r="A1150" s="3" t="str">
        <f t="shared" si="34"/>
        <v>ΒΑΜΒΑΚΙALICIA</v>
      </c>
      <c r="B1150" s="4" t="s">
        <v>2016</v>
      </c>
      <c r="C1150" s="5" t="s">
        <v>2051</v>
      </c>
      <c r="D1150" s="6">
        <v>1513.82</v>
      </c>
      <c r="E1150" s="6">
        <v>1498.43</v>
      </c>
      <c r="F1150" s="7" t="s">
        <v>14</v>
      </c>
      <c r="G1150" s="8" t="s">
        <v>2052</v>
      </c>
      <c r="H1150" s="8" t="s">
        <v>16</v>
      </c>
      <c r="I1150" s="9">
        <v>792</v>
      </c>
      <c r="J1150" s="10">
        <v>12</v>
      </c>
      <c r="K1150" s="10">
        <v>12022</v>
      </c>
      <c r="L1150" s="3" t="str">
        <f t="shared" si="35"/>
        <v>ΒΑΜΒΑΚΙ</v>
      </c>
    </row>
    <row r="1151" spans="1:12" s="3" customFormat="1" ht="24" x14ac:dyDescent="0.25">
      <c r="A1151" s="3" t="str">
        <f t="shared" si="34"/>
        <v>ΒΑΜΒΑΚΙAURELIA</v>
      </c>
      <c r="B1151" s="4" t="s">
        <v>2016</v>
      </c>
      <c r="C1151" s="5" t="s">
        <v>2053</v>
      </c>
      <c r="D1151" s="6">
        <v>1513.82</v>
      </c>
      <c r="E1151" s="6">
        <v>1498.43</v>
      </c>
      <c r="F1151" s="7" t="s">
        <v>14</v>
      </c>
      <c r="G1151" s="8" t="s">
        <v>2054</v>
      </c>
      <c r="H1151" s="8" t="s">
        <v>16</v>
      </c>
      <c r="I1151" s="9">
        <v>791</v>
      </c>
      <c r="J1151" s="10">
        <v>12</v>
      </c>
      <c r="K1151" s="10">
        <v>12023</v>
      </c>
      <c r="L1151" s="3" t="str">
        <f t="shared" si="35"/>
        <v>ΒΑΜΒΑΚΙ</v>
      </c>
    </row>
    <row r="1152" spans="1:12" s="3" customFormat="1" ht="24" x14ac:dyDescent="0.25">
      <c r="A1152" s="3" t="str">
        <f t="shared" si="34"/>
        <v>ΒΑΜΒΑΚΙADRA</v>
      </c>
      <c r="B1152" s="4" t="s">
        <v>2016</v>
      </c>
      <c r="C1152" s="5" t="s">
        <v>2055</v>
      </c>
      <c r="D1152" s="6">
        <v>1513.82</v>
      </c>
      <c r="E1152" s="6">
        <v>1498.43</v>
      </c>
      <c r="F1152" s="7" t="s">
        <v>14</v>
      </c>
      <c r="G1152" s="8" t="s">
        <v>2056</v>
      </c>
      <c r="H1152" s="8" t="s">
        <v>16</v>
      </c>
      <c r="I1152" s="9">
        <v>790</v>
      </c>
      <c r="J1152" s="10">
        <v>12</v>
      </c>
      <c r="K1152" s="10">
        <v>12024</v>
      </c>
      <c r="L1152" s="3" t="str">
        <f t="shared" si="35"/>
        <v>ΒΑΜΒΑΚΙ</v>
      </c>
    </row>
    <row r="1153" spans="1:12" s="3" customFormat="1" ht="24" x14ac:dyDescent="0.25">
      <c r="A1153" s="3" t="str">
        <f t="shared" si="34"/>
        <v>ΒΑΜΒΑΚΙPIRIN</v>
      </c>
      <c r="B1153" s="4" t="s">
        <v>2016</v>
      </c>
      <c r="C1153" s="5" t="s">
        <v>2057</v>
      </c>
      <c r="D1153" s="6">
        <v>1513.82</v>
      </c>
      <c r="E1153" s="6">
        <v>1498.43</v>
      </c>
      <c r="F1153" s="7" t="s">
        <v>14</v>
      </c>
      <c r="G1153" s="8" t="s">
        <v>2058</v>
      </c>
      <c r="H1153" s="8" t="s">
        <v>16</v>
      </c>
      <c r="I1153" s="9">
        <v>789</v>
      </c>
      <c r="J1153" s="10">
        <v>12</v>
      </c>
      <c r="K1153" s="10">
        <v>12025</v>
      </c>
      <c r="L1153" s="3" t="str">
        <f t="shared" si="35"/>
        <v>ΒΑΜΒΑΚΙ</v>
      </c>
    </row>
    <row r="1154" spans="1:12" s="3" customFormat="1" ht="24" x14ac:dyDescent="0.25">
      <c r="A1154" s="3" t="str">
        <f t="shared" si="34"/>
        <v>ΒΑΜΒΑΚΙMANUELA</v>
      </c>
      <c r="B1154" s="4" t="s">
        <v>2016</v>
      </c>
      <c r="C1154" s="5" t="s">
        <v>2059</v>
      </c>
      <c r="D1154" s="6">
        <v>1513.82</v>
      </c>
      <c r="E1154" s="6">
        <v>1498.43</v>
      </c>
      <c r="F1154" s="7" t="s">
        <v>14</v>
      </c>
      <c r="G1154" s="8" t="s">
        <v>2060</v>
      </c>
      <c r="H1154" s="8" t="s">
        <v>16</v>
      </c>
      <c r="I1154" s="9">
        <v>788</v>
      </c>
      <c r="J1154" s="10">
        <v>12</v>
      </c>
      <c r="K1154" s="10">
        <v>12026</v>
      </c>
      <c r="L1154" s="3" t="str">
        <f t="shared" si="35"/>
        <v>ΒΑΜΒΑΚΙ</v>
      </c>
    </row>
    <row r="1155" spans="1:12" s="3" customFormat="1" ht="24" x14ac:dyDescent="0.25">
      <c r="A1155" s="3" t="str">
        <f t="shared" ref="A1155:A1218" si="36">_xlfn.CONCAT(B1155,C1155)</f>
        <v>ΒΑΜΒΑΚΙPRG 9048</v>
      </c>
      <c r="B1155" s="4" t="s">
        <v>2016</v>
      </c>
      <c r="C1155" s="5" t="s">
        <v>2061</v>
      </c>
      <c r="D1155" s="6">
        <v>1513.82</v>
      </c>
      <c r="E1155" s="6">
        <v>1498.43</v>
      </c>
      <c r="F1155" s="7" t="s">
        <v>14</v>
      </c>
      <c r="G1155" s="8" t="s">
        <v>2062</v>
      </c>
      <c r="H1155" s="8" t="s">
        <v>16</v>
      </c>
      <c r="I1155" s="9">
        <v>787</v>
      </c>
      <c r="J1155" s="10">
        <v>12</v>
      </c>
      <c r="K1155" s="10">
        <v>12027</v>
      </c>
      <c r="L1155" s="3" t="str">
        <f t="shared" ref="L1155:L1218" si="37">IFERROR(SUBSTITUTE(SUBSTITUTE(SUBSTITUTE(SUBSTITUTE(SUBSTITUTE(B1155, "-", "_"), " ", "_"), ",", ""), "(", ""), ")", ""), B1155)</f>
        <v>ΒΑΜΒΑΚΙ</v>
      </c>
    </row>
    <row r="1156" spans="1:12" s="3" customFormat="1" ht="24" x14ac:dyDescent="0.25">
      <c r="A1156" s="3" t="str">
        <f t="shared" si="36"/>
        <v>ΒΑΜΒΑΚΙBA 440</v>
      </c>
      <c r="B1156" s="4" t="s">
        <v>2016</v>
      </c>
      <c r="C1156" s="5" t="s">
        <v>2063</v>
      </c>
      <c r="D1156" s="6">
        <v>1513.82</v>
      </c>
      <c r="E1156" s="6">
        <v>1498.43</v>
      </c>
      <c r="F1156" s="7" t="s">
        <v>14</v>
      </c>
      <c r="G1156" s="8" t="s">
        <v>2064</v>
      </c>
      <c r="H1156" s="8" t="s">
        <v>16</v>
      </c>
      <c r="I1156" s="9">
        <v>786</v>
      </c>
      <c r="J1156" s="10">
        <v>12</v>
      </c>
      <c r="K1156" s="10">
        <v>12028</v>
      </c>
      <c r="L1156" s="3" t="str">
        <f t="shared" si="37"/>
        <v>ΒΑΜΒΑΚΙ</v>
      </c>
    </row>
    <row r="1157" spans="1:12" s="3" customFormat="1" ht="24" x14ac:dyDescent="0.25">
      <c r="A1157" s="3" t="str">
        <f t="shared" si="36"/>
        <v>ΒΑΜΒΑΚΙALIDA</v>
      </c>
      <c r="B1157" s="4" t="s">
        <v>2016</v>
      </c>
      <c r="C1157" s="5" t="s">
        <v>2065</v>
      </c>
      <c r="D1157" s="6">
        <v>1513.82</v>
      </c>
      <c r="E1157" s="6">
        <v>1498.43</v>
      </c>
      <c r="F1157" s="7" t="s">
        <v>14</v>
      </c>
      <c r="G1157" s="8" t="s">
        <v>2066</v>
      </c>
      <c r="H1157" s="8" t="s">
        <v>16</v>
      </c>
      <c r="I1157" s="9">
        <v>785</v>
      </c>
      <c r="J1157" s="10">
        <v>12</v>
      </c>
      <c r="K1157" s="10">
        <v>12029</v>
      </c>
      <c r="L1157" s="3" t="str">
        <f t="shared" si="37"/>
        <v>ΒΑΜΒΑΚΙ</v>
      </c>
    </row>
    <row r="1158" spans="1:12" s="3" customFormat="1" ht="24" x14ac:dyDescent="0.25">
      <c r="A1158" s="3" t="str">
        <f t="shared" si="36"/>
        <v>ΒΑΜΒΑΚΙTROY</v>
      </c>
      <c r="B1158" s="4" t="s">
        <v>2016</v>
      </c>
      <c r="C1158" s="5" t="s">
        <v>2067</v>
      </c>
      <c r="D1158" s="6">
        <v>1513.82</v>
      </c>
      <c r="E1158" s="6">
        <v>1498.43</v>
      </c>
      <c r="F1158" s="7" t="s">
        <v>14</v>
      </c>
      <c r="G1158" s="8" t="s">
        <v>2068</v>
      </c>
      <c r="H1158" s="8" t="s">
        <v>16</v>
      </c>
      <c r="I1158" s="9">
        <v>758</v>
      </c>
      <c r="J1158" s="10">
        <v>12</v>
      </c>
      <c r="K1158" s="10">
        <v>12030</v>
      </c>
      <c r="L1158" s="3" t="str">
        <f t="shared" si="37"/>
        <v>ΒΑΜΒΑΚΙ</v>
      </c>
    </row>
    <row r="1159" spans="1:12" s="3" customFormat="1" ht="24" x14ac:dyDescent="0.25">
      <c r="A1159" s="3" t="str">
        <f t="shared" si="36"/>
        <v>ΒΑΜΒΑΚΙOLIVIA</v>
      </c>
      <c r="B1159" s="4" t="s">
        <v>2016</v>
      </c>
      <c r="C1159" s="5" t="s">
        <v>2069</v>
      </c>
      <c r="D1159" s="6">
        <v>1513.82</v>
      </c>
      <c r="E1159" s="6">
        <v>1498.43</v>
      </c>
      <c r="F1159" s="7" t="s">
        <v>14</v>
      </c>
      <c r="G1159" s="8" t="s">
        <v>2070</v>
      </c>
      <c r="H1159" s="8" t="s">
        <v>16</v>
      </c>
      <c r="I1159" s="9">
        <v>721</v>
      </c>
      <c r="J1159" s="10">
        <v>12</v>
      </c>
      <c r="K1159" s="10">
        <v>12031</v>
      </c>
      <c r="L1159" s="3" t="str">
        <f t="shared" si="37"/>
        <v>ΒΑΜΒΑΚΙ</v>
      </c>
    </row>
    <row r="1160" spans="1:12" s="3" customFormat="1" x14ac:dyDescent="0.25">
      <c r="A1160" s="3" t="str">
        <f t="shared" si="36"/>
        <v>ΒΑΜΒΑΚΙAIDA</v>
      </c>
      <c r="B1160" s="4" t="s">
        <v>2016</v>
      </c>
      <c r="C1160" s="5" t="s">
        <v>2071</v>
      </c>
      <c r="D1160" s="6">
        <v>1513.82</v>
      </c>
      <c r="E1160" s="6">
        <v>1498.43</v>
      </c>
      <c r="F1160" s="7" t="s">
        <v>14</v>
      </c>
      <c r="G1160" s="8" t="s">
        <v>2072</v>
      </c>
      <c r="H1160" s="8" t="s">
        <v>27</v>
      </c>
      <c r="I1160" s="9">
        <v>770</v>
      </c>
      <c r="J1160" s="10">
        <v>12</v>
      </c>
      <c r="K1160" s="10">
        <v>12032</v>
      </c>
      <c r="L1160" s="3" t="str">
        <f t="shared" si="37"/>
        <v>ΒΑΜΒΑΚΙ</v>
      </c>
    </row>
    <row r="1161" spans="1:12" s="3" customFormat="1" ht="24" x14ac:dyDescent="0.25">
      <c r="A1161" s="3" t="str">
        <f t="shared" si="36"/>
        <v>ΒΑΜΒΑΚΙBELITSA</v>
      </c>
      <c r="B1161" s="4" t="s">
        <v>2016</v>
      </c>
      <c r="C1161" s="5" t="s">
        <v>2073</v>
      </c>
      <c r="D1161" s="6">
        <v>1513.82</v>
      </c>
      <c r="E1161" s="6">
        <v>1498.43</v>
      </c>
      <c r="F1161" s="7" t="s">
        <v>14</v>
      </c>
      <c r="G1161" s="8" t="s">
        <v>2074</v>
      </c>
      <c r="H1161" s="8" t="s">
        <v>16</v>
      </c>
      <c r="I1161" s="9">
        <v>732</v>
      </c>
      <c r="J1161" s="10">
        <v>12</v>
      </c>
      <c r="K1161" s="10">
        <v>12033</v>
      </c>
      <c r="L1161" s="3" t="str">
        <f t="shared" si="37"/>
        <v>ΒΑΜΒΑΚΙ</v>
      </c>
    </row>
    <row r="1162" spans="1:12" s="3" customFormat="1" ht="24" x14ac:dyDescent="0.25">
      <c r="A1162" s="3" t="str">
        <f t="shared" si="36"/>
        <v>ΒΑΜΒΑΚΙDEBLA</v>
      </c>
      <c r="B1162" s="4" t="s">
        <v>2016</v>
      </c>
      <c r="C1162" s="5" t="s">
        <v>2075</v>
      </c>
      <c r="D1162" s="6">
        <v>1513.82</v>
      </c>
      <c r="E1162" s="6">
        <v>1498.43</v>
      </c>
      <c r="F1162" s="7" t="s">
        <v>14</v>
      </c>
      <c r="G1162" s="8" t="s">
        <v>2076</v>
      </c>
      <c r="H1162" s="8" t="s">
        <v>16</v>
      </c>
      <c r="I1162" s="9">
        <v>731</v>
      </c>
      <c r="J1162" s="10">
        <v>12</v>
      </c>
      <c r="K1162" s="10">
        <v>12034</v>
      </c>
      <c r="L1162" s="3" t="str">
        <f t="shared" si="37"/>
        <v>ΒΑΜΒΑΚΙ</v>
      </c>
    </row>
    <row r="1163" spans="1:12" s="3" customFormat="1" ht="24" x14ac:dyDescent="0.25">
      <c r="A1163" s="3" t="str">
        <f t="shared" si="36"/>
        <v>ΒΑΜΒΑΚΙDUPLO</v>
      </c>
      <c r="B1163" s="4" t="s">
        <v>2016</v>
      </c>
      <c r="C1163" s="5" t="s">
        <v>2077</v>
      </c>
      <c r="D1163" s="6">
        <v>1513.82</v>
      </c>
      <c r="E1163" s="6">
        <v>1498.43</v>
      </c>
      <c r="F1163" s="7" t="s">
        <v>14</v>
      </c>
      <c r="G1163" s="8" t="s">
        <v>2078</v>
      </c>
      <c r="H1163" s="8" t="s">
        <v>16</v>
      </c>
      <c r="I1163" s="9">
        <v>730</v>
      </c>
      <c r="J1163" s="10">
        <v>12</v>
      </c>
      <c r="K1163" s="10">
        <v>12035</v>
      </c>
      <c r="L1163" s="3" t="str">
        <f t="shared" si="37"/>
        <v>ΒΑΜΒΑΚΙ</v>
      </c>
    </row>
    <row r="1164" spans="1:12" s="3" customFormat="1" x14ac:dyDescent="0.25">
      <c r="A1164" s="3" t="str">
        <f t="shared" si="36"/>
        <v>ΒΑΜΒΑΚΙPERUN</v>
      </c>
      <c r="B1164" s="4" t="s">
        <v>2016</v>
      </c>
      <c r="C1164" s="5" t="s">
        <v>2079</v>
      </c>
      <c r="D1164" s="6">
        <v>1513.82</v>
      </c>
      <c r="E1164" s="6">
        <v>1498.43</v>
      </c>
      <c r="F1164" s="7" t="s">
        <v>14</v>
      </c>
      <c r="G1164" s="8" t="s">
        <v>2080</v>
      </c>
      <c r="H1164" s="8" t="s">
        <v>27</v>
      </c>
      <c r="I1164" s="9">
        <v>729</v>
      </c>
      <c r="J1164" s="10">
        <v>12</v>
      </c>
      <c r="K1164" s="10">
        <v>12036</v>
      </c>
      <c r="L1164" s="3" t="str">
        <f t="shared" si="37"/>
        <v>ΒΑΜΒΑΚΙ</v>
      </c>
    </row>
    <row r="1165" spans="1:12" s="3" customFormat="1" ht="24" x14ac:dyDescent="0.25">
      <c r="A1165" s="3" t="str">
        <f t="shared" si="36"/>
        <v>ΒΑΜΒΑΚΙPHY48</v>
      </c>
      <c r="B1165" s="4" t="s">
        <v>2016</v>
      </c>
      <c r="C1165" s="5" t="s">
        <v>2081</v>
      </c>
      <c r="D1165" s="6">
        <v>1513.82</v>
      </c>
      <c r="E1165" s="6">
        <v>1498.43</v>
      </c>
      <c r="F1165" s="7" t="s">
        <v>14</v>
      </c>
      <c r="G1165" s="8" t="s">
        <v>2082</v>
      </c>
      <c r="H1165" s="8" t="s">
        <v>16</v>
      </c>
      <c r="I1165" s="9">
        <v>728</v>
      </c>
      <c r="J1165" s="10">
        <v>12</v>
      </c>
      <c r="K1165" s="10">
        <v>12037</v>
      </c>
      <c r="L1165" s="3" t="str">
        <f t="shared" si="37"/>
        <v>ΒΑΜΒΑΚΙ</v>
      </c>
    </row>
    <row r="1166" spans="1:12" s="3" customFormat="1" ht="24" x14ac:dyDescent="0.25">
      <c r="A1166" s="3" t="str">
        <f t="shared" si="36"/>
        <v>ΒΑΜΒΑΚΙHA 1432 -YBΡΙΔΙΟ ***</v>
      </c>
      <c r="B1166" s="21" t="s">
        <v>2016</v>
      </c>
      <c r="C1166" s="22" t="s">
        <v>2083</v>
      </c>
      <c r="D1166" s="6">
        <v>1513.82</v>
      </c>
      <c r="E1166" s="6">
        <v>1498.43</v>
      </c>
      <c r="F1166" s="6" t="s">
        <v>14</v>
      </c>
      <c r="G1166" s="8" t="s">
        <v>2084</v>
      </c>
      <c r="H1166" s="8" t="s">
        <v>16</v>
      </c>
      <c r="I1166" s="9">
        <v>4975</v>
      </c>
      <c r="J1166" s="16">
        <v>12</v>
      </c>
      <c r="K1166" s="16">
        <v>12038</v>
      </c>
      <c r="L1166" s="3" t="str">
        <f t="shared" si="37"/>
        <v>ΒΑΜΒΑΚΙ</v>
      </c>
    </row>
    <row r="1167" spans="1:12" s="3" customFormat="1" ht="24" x14ac:dyDescent="0.25">
      <c r="A1167" s="3" t="str">
        <f t="shared" si="36"/>
        <v>ΒΑΜΒΑΚΙLAZER</v>
      </c>
      <c r="B1167" s="21" t="s">
        <v>2016</v>
      </c>
      <c r="C1167" s="22" t="s">
        <v>2085</v>
      </c>
      <c r="D1167" s="6">
        <v>1513.82</v>
      </c>
      <c r="E1167" s="6">
        <v>1498.43</v>
      </c>
      <c r="F1167" s="6" t="s">
        <v>14</v>
      </c>
      <c r="G1167" s="8" t="s">
        <v>2086</v>
      </c>
      <c r="H1167" s="8" t="s">
        <v>16</v>
      </c>
      <c r="I1167" s="9">
        <v>4976</v>
      </c>
      <c r="J1167" s="16">
        <v>12</v>
      </c>
      <c r="K1167" s="16">
        <v>12039</v>
      </c>
      <c r="L1167" s="3" t="str">
        <f t="shared" si="37"/>
        <v>ΒΑΜΒΑΚΙ</v>
      </c>
    </row>
    <row r="1168" spans="1:12" s="3" customFormat="1" ht="24" x14ac:dyDescent="0.25">
      <c r="A1168" s="3" t="str">
        <f t="shared" si="36"/>
        <v>ΒΑΜΒΑΚΙACALA SJ-2</v>
      </c>
      <c r="B1168" s="4" t="s">
        <v>2016</v>
      </c>
      <c r="C1168" s="5" t="s">
        <v>2087</v>
      </c>
      <c r="D1168" s="6">
        <v>1513.82</v>
      </c>
      <c r="E1168" s="6">
        <v>1498.43</v>
      </c>
      <c r="F1168" s="7" t="s">
        <v>14</v>
      </c>
      <c r="G1168" s="8" t="s">
        <v>2088</v>
      </c>
      <c r="H1168" s="8" t="s">
        <v>16</v>
      </c>
      <c r="I1168" s="9">
        <v>727</v>
      </c>
      <c r="J1168" s="10">
        <v>12</v>
      </c>
      <c r="K1168" s="10">
        <v>12198</v>
      </c>
      <c r="L1168" s="3" t="str">
        <f t="shared" si="37"/>
        <v>ΒΑΜΒΑΚΙ</v>
      </c>
    </row>
    <row r="1169" spans="1:12" s="3" customFormat="1" ht="24" x14ac:dyDescent="0.25">
      <c r="A1169" s="3" t="str">
        <f t="shared" si="36"/>
        <v>ΒΑΜΒΑΚΙACHILLEAS</v>
      </c>
      <c r="B1169" s="4" t="s">
        <v>2016</v>
      </c>
      <c r="C1169" s="5" t="s">
        <v>2089</v>
      </c>
      <c r="D1169" s="6">
        <v>1513.82</v>
      </c>
      <c r="E1169" s="6">
        <v>1498.43</v>
      </c>
      <c r="F1169" s="7" t="s">
        <v>14</v>
      </c>
      <c r="G1169" s="8" t="s">
        <v>2090</v>
      </c>
      <c r="H1169" s="8" t="s">
        <v>16</v>
      </c>
      <c r="I1169" s="9">
        <v>726</v>
      </c>
      <c r="J1169" s="10">
        <v>12</v>
      </c>
      <c r="K1169" s="10">
        <v>12199</v>
      </c>
      <c r="L1169" s="3" t="str">
        <f t="shared" si="37"/>
        <v>ΒΑΜΒΑΚΙ</v>
      </c>
    </row>
    <row r="1170" spans="1:12" s="3" customFormat="1" ht="24" x14ac:dyDescent="0.25">
      <c r="A1170" s="3" t="str">
        <f t="shared" si="36"/>
        <v>ΒΑΜΒΑΚΙAKSEL</v>
      </c>
      <c r="B1170" s="4" t="s">
        <v>2016</v>
      </c>
      <c r="C1170" s="5" t="s">
        <v>2091</v>
      </c>
      <c r="D1170" s="6">
        <v>1513.82</v>
      </c>
      <c r="E1170" s="6">
        <v>1498.43</v>
      </c>
      <c r="F1170" s="7" t="s">
        <v>14</v>
      </c>
      <c r="G1170" s="8" t="s">
        <v>2092</v>
      </c>
      <c r="H1170" s="8" t="s">
        <v>16</v>
      </c>
      <c r="I1170" s="9">
        <v>725</v>
      </c>
      <c r="J1170" s="10">
        <v>12</v>
      </c>
      <c r="K1170" s="10">
        <v>12200</v>
      </c>
      <c r="L1170" s="3" t="str">
        <f t="shared" si="37"/>
        <v>ΒΑΜΒΑΚΙ</v>
      </c>
    </row>
    <row r="1171" spans="1:12" s="3" customFormat="1" x14ac:dyDescent="0.25">
      <c r="A1171" s="3" t="str">
        <f t="shared" si="36"/>
        <v>ΒΑΜΒΑΚΙATHINA</v>
      </c>
      <c r="B1171" s="4" t="s">
        <v>2016</v>
      </c>
      <c r="C1171" s="5" t="s">
        <v>2093</v>
      </c>
      <c r="D1171" s="6">
        <v>1513.82</v>
      </c>
      <c r="E1171" s="6">
        <v>1498.43</v>
      </c>
      <c r="F1171" s="7" t="s">
        <v>14</v>
      </c>
      <c r="G1171" s="8" t="s">
        <v>2094</v>
      </c>
      <c r="H1171" s="8" t="s">
        <v>27</v>
      </c>
      <c r="I1171" s="9">
        <v>724</v>
      </c>
      <c r="J1171" s="10">
        <v>12</v>
      </c>
      <c r="K1171" s="10">
        <v>12201</v>
      </c>
      <c r="L1171" s="3" t="str">
        <f t="shared" si="37"/>
        <v>ΒΑΜΒΑΚΙ</v>
      </c>
    </row>
    <row r="1172" spans="1:12" s="3" customFormat="1" ht="24" x14ac:dyDescent="0.25">
      <c r="A1172" s="3" t="str">
        <f t="shared" si="36"/>
        <v>ΒΑΜΒΑΚΙAUREA</v>
      </c>
      <c r="B1172" s="4" t="s">
        <v>2016</v>
      </c>
      <c r="C1172" s="5" t="s">
        <v>2095</v>
      </c>
      <c r="D1172" s="6">
        <v>1513.82</v>
      </c>
      <c r="E1172" s="6">
        <v>1498.43</v>
      </c>
      <c r="F1172" s="7" t="s">
        <v>14</v>
      </c>
      <c r="G1172" s="8" t="s">
        <v>2096</v>
      </c>
      <c r="H1172" s="8" t="s">
        <v>16</v>
      </c>
      <c r="I1172" s="9">
        <v>711</v>
      </c>
      <c r="J1172" s="10">
        <v>12</v>
      </c>
      <c r="K1172" s="10">
        <v>12202</v>
      </c>
      <c r="L1172" s="3" t="str">
        <f t="shared" si="37"/>
        <v>ΒΑΜΒΑΚΙ</v>
      </c>
    </row>
    <row r="1173" spans="1:12" s="3" customFormat="1" ht="24" x14ac:dyDescent="0.25">
      <c r="A1173" s="3" t="str">
        <f t="shared" si="36"/>
        <v>ΒΑΜΒΑΚΙAVANGARD 264</v>
      </c>
      <c r="B1173" s="4" t="s">
        <v>2016</v>
      </c>
      <c r="C1173" s="5" t="s">
        <v>2097</v>
      </c>
      <c r="D1173" s="6">
        <v>1513.82</v>
      </c>
      <c r="E1173" s="6">
        <v>1498.43</v>
      </c>
      <c r="F1173" s="7" t="s">
        <v>14</v>
      </c>
      <c r="G1173" s="8" t="s">
        <v>2098</v>
      </c>
      <c r="H1173" s="8" t="s">
        <v>16</v>
      </c>
      <c r="I1173" s="9">
        <v>722</v>
      </c>
      <c r="J1173" s="10">
        <v>12</v>
      </c>
      <c r="K1173" s="10">
        <v>12203</v>
      </c>
      <c r="L1173" s="3" t="str">
        <f t="shared" si="37"/>
        <v>ΒΑΜΒΑΚΙ</v>
      </c>
    </row>
    <row r="1174" spans="1:12" s="3" customFormat="1" ht="24" x14ac:dyDescent="0.25">
      <c r="A1174" s="3" t="str">
        <f t="shared" si="36"/>
        <v>ΒΑΜΒΑΚΙAZAHAR</v>
      </c>
      <c r="B1174" s="4" t="s">
        <v>2016</v>
      </c>
      <c r="C1174" s="5" t="s">
        <v>2099</v>
      </c>
      <c r="D1174" s="6">
        <v>1513.82</v>
      </c>
      <c r="E1174" s="6">
        <v>1498.43</v>
      </c>
      <c r="F1174" s="7" t="s">
        <v>14</v>
      </c>
      <c r="G1174" s="8" t="s">
        <v>2100</v>
      </c>
      <c r="H1174" s="8" t="s">
        <v>16</v>
      </c>
      <c r="I1174" s="9">
        <v>734</v>
      </c>
      <c r="J1174" s="10">
        <v>12</v>
      </c>
      <c r="K1174" s="10">
        <v>12204</v>
      </c>
      <c r="L1174" s="3" t="str">
        <f t="shared" si="37"/>
        <v>ΒΑΜΒΑΚΙ</v>
      </c>
    </row>
    <row r="1175" spans="1:12" s="3" customFormat="1" ht="24" x14ac:dyDescent="0.25">
      <c r="A1175" s="3" t="str">
        <f t="shared" si="36"/>
        <v>ΒΑΜΒΑΚΙBEKY</v>
      </c>
      <c r="B1175" s="4" t="s">
        <v>2016</v>
      </c>
      <c r="C1175" s="5" t="s">
        <v>2101</v>
      </c>
      <c r="D1175" s="6">
        <v>1513.82</v>
      </c>
      <c r="E1175" s="6">
        <v>1498.43</v>
      </c>
      <c r="F1175" s="7" t="s">
        <v>14</v>
      </c>
      <c r="G1175" s="8" t="s">
        <v>2102</v>
      </c>
      <c r="H1175" s="8" t="s">
        <v>16</v>
      </c>
      <c r="I1175" s="9">
        <v>720</v>
      </c>
      <c r="J1175" s="10">
        <v>12</v>
      </c>
      <c r="K1175" s="10">
        <v>12205</v>
      </c>
      <c r="L1175" s="3" t="str">
        <f t="shared" si="37"/>
        <v>ΒΑΜΒΑΚΙ</v>
      </c>
    </row>
    <row r="1176" spans="1:12" s="3" customFormat="1" ht="24" x14ac:dyDescent="0.25">
      <c r="A1176" s="3" t="str">
        <f t="shared" si="36"/>
        <v>ΒΑΜΒΑΚΙBEYAZ ALTIN 320</v>
      </c>
      <c r="B1176" s="4" t="s">
        <v>2016</v>
      </c>
      <c r="C1176" s="5" t="s">
        <v>2103</v>
      </c>
      <c r="D1176" s="6">
        <v>1513.82</v>
      </c>
      <c r="E1176" s="6">
        <v>1498.43</v>
      </c>
      <c r="F1176" s="7" t="s">
        <v>14</v>
      </c>
      <c r="G1176" s="8" t="s">
        <v>2104</v>
      </c>
      <c r="H1176" s="8" t="s">
        <v>16</v>
      </c>
      <c r="I1176" s="9">
        <v>719</v>
      </c>
      <c r="J1176" s="10">
        <v>12</v>
      </c>
      <c r="K1176" s="10">
        <v>12206</v>
      </c>
      <c r="L1176" s="3" t="str">
        <f t="shared" si="37"/>
        <v>ΒΑΜΒΑΚΙ</v>
      </c>
    </row>
    <row r="1177" spans="1:12" s="3" customFormat="1" ht="24" x14ac:dyDescent="0.25">
      <c r="A1177" s="3" t="str">
        <f t="shared" si="36"/>
        <v>ΒΑΜΒΑΚΙBLUES</v>
      </c>
      <c r="B1177" s="4" t="s">
        <v>2016</v>
      </c>
      <c r="C1177" s="5" t="s">
        <v>2105</v>
      </c>
      <c r="D1177" s="6">
        <v>1513.82</v>
      </c>
      <c r="E1177" s="6">
        <v>1498.43</v>
      </c>
      <c r="F1177" s="7" t="s">
        <v>14</v>
      </c>
      <c r="G1177" s="8" t="s">
        <v>2106</v>
      </c>
      <c r="H1177" s="8" t="s">
        <v>16</v>
      </c>
      <c r="I1177" s="9">
        <v>718</v>
      </c>
      <c r="J1177" s="10">
        <v>12</v>
      </c>
      <c r="K1177" s="10">
        <v>12207</v>
      </c>
      <c r="L1177" s="3" t="str">
        <f t="shared" si="37"/>
        <v>ΒΑΜΒΑΚΙ</v>
      </c>
    </row>
    <row r="1178" spans="1:12" s="3" customFormat="1" ht="24" x14ac:dyDescent="0.25">
      <c r="A1178" s="3" t="str">
        <f t="shared" si="36"/>
        <v>ΒΑΜΒΑΚΙBOYANA</v>
      </c>
      <c r="B1178" s="4" t="s">
        <v>2016</v>
      </c>
      <c r="C1178" s="5" t="s">
        <v>2107</v>
      </c>
      <c r="D1178" s="6">
        <v>1513.82</v>
      </c>
      <c r="E1178" s="6">
        <v>1498.43</v>
      </c>
      <c r="F1178" s="7" t="s">
        <v>14</v>
      </c>
      <c r="G1178" s="8" t="s">
        <v>2108</v>
      </c>
      <c r="H1178" s="8" t="s">
        <v>16</v>
      </c>
      <c r="I1178" s="9">
        <v>717</v>
      </c>
      <c r="J1178" s="10">
        <v>12</v>
      </c>
      <c r="K1178" s="10">
        <v>12208</v>
      </c>
      <c r="L1178" s="3" t="str">
        <f t="shared" si="37"/>
        <v>ΒΑΜΒΑΚΙ</v>
      </c>
    </row>
    <row r="1179" spans="1:12" s="3" customFormat="1" x14ac:dyDescent="0.25">
      <c r="A1179" s="3" t="str">
        <f t="shared" si="36"/>
        <v>ΒΑΜΒΑΚΙC-310</v>
      </c>
      <c r="B1179" s="18" t="s">
        <v>2016</v>
      </c>
      <c r="C1179" s="19" t="s">
        <v>2109</v>
      </c>
      <c r="D1179" s="6">
        <v>1513.82</v>
      </c>
      <c r="E1179" s="6">
        <v>1498.43</v>
      </c>
      <c r="F1179" s="6" t="s">
        <v>14</v>
      </c>
      <c r="G1179" s="8" t="s">
        <v>2110</v>
      </c>
      <c r="H1179" s="8" t="s">
        <v>27</v>
      </c>
      <c r="I1179" s="9">
        <v>4241</v>
      </c>
      <c r="J1179" s="20">
        <v>12</v>
      </c>
      <c r="K1179" s="20">
        <v>12209</v>
      </c>
      <c r="L1179" s="3" t="str">
        <f t="shared" si="37"/>
        <v>ΒΑΜΒΑΚΙ</v>
      </c>
    </row>
    <row r="1180" spans="1:12" s="3" customFormat="1" ht="24" x14ac:dyDescent="0.25">
      <c r="A1180" s="3" t="str">
        <f t="shared" si="36"/>
        <v>ΒΑΜΒΑΚΙCARLOTA</v>
      </c>
      <c r="B1180" s="4" t="s">
        <v>2016</v>
      </c>
      <c r="C1180" s="5" t="s">
        <v>2111</v>
      </c>
      <c r="D1180" s="6">
        <v>1513.82</v>
      </c>
      <c r="E1180" s="6">
        <v>1498.43</v>
      </c>
      <c r="F1180" s="7" t="s">
        <v>14</v>
      </c>
      <c r="G1180" s="8" t="s">
        <v>2112</v>
      </c>
      <c r="H1180" s="8" t="s">
        <v>16</v>
      </c>
      <c r="I1180" s="9">
        <v>716</v>
      </c>
      <c r="J1180" s="10">
        <v>12</v>
      </c>
      <c r="K1180" s="10">
        <v>12210</v>
      </c>
      <c r="L1180" s="3" t="str">
        <f t="shared" si="37"/>
        <v>ΒΑΜΒΑΚΙ</v>
      </c>
    </row>
    <row r="1181" spans="1:12" s="3" customFormat="1" ht="24" x14ac:dyDescent="0.25">
      <c r="A1181" s="3" t="str">
        <f t="shared" si="36"/>
        <v>ΒΑΜΒΑΚΙCHIRPAN 539</v>
      </c>
      <c r="B1181" s="4" t="s">
        <v>2016</v>
      </c>
      <c r="C1181" s="5" t="s">
        <v>2113</v>
      </c>
      <c r="D1181" s="6">
        <v>1513.82</v>
      </c>
      <c r="E1181" s="6">
        <v>1498.43</v>
      </c>
      <c r="F1181" s="7" t="s">
        <v>14</v>
      </c>
      <c r="G1181" s="8" t="s">
        <v>2114</v>
      </c>
      <c r="H1181" s="8" t="s">
        <v>16</v>
      </c>
      <c r="I1181" s="9">
        <v>715</v>
      </c>
      <c r="J1181" s="10">
        <v>12</v>
      </c>
      <c r="K1181" s="10">
        <v>12211</v>
      </c>
      <c r="L1181" s="3" t="str">
        <f t="shared" si="37"/>
        <v>ΒΑΜΒΑΚΙ</v>
      </c>
    </row>
    <row r="1182" spans="1:12" s="3" customFormat="1" ht="24" x14ac:dyDescent="0.25">
      <c r="A1182" s="3" t="str">
        <f t="shared" si="36"/>
        <v>ΒΑΜΒΑΚΙCONCHITA</v>
      </c>
      <c r="B1182" s="4" t="s">
        <v>2016</v>
      </c>
      <c r="C1182" s="5" t="s">
        <v>2115</v>
      </c>
      <c r="D1182" s="6">
        <v>1513.82</v>
      </c>
      <c r="E1182" s="6">
        <v>1498.43</v>
      </c>
      <c r="F1182" s="7" t="s">
        <v>14</v>
      </c>
      <c r="G1182" s="8" t="s">
        <v>2116</v>
      </c>
      <c r="H1182" s="8" t="s">
        <v>16</v>
      </c>
      <c r="I1182" s="9">
        <v>714</v>
      </c>
      <c r="J1182" s="10">
        <v>12</v>
      </c>
      <c r="K1182" s="10">
        <v>12212</v>
      </c>
      <c r="L1182" s="3" t="str">
        <f t="shared" si="37"/>
        <v>ΒΑΜΒΑΚΙ</v>
      </c>
    </row>
    <row r="1183" spans="1:12" s="3" customFormat="1" x14ac:dyDescent="0.25">
      <c r="A1183" s="3" t="str">
        <f t="shared" si="36"/>
        <v>ΒΑΜΒΑΚΙCONDOR</v>
      </c>
      <c r="B1183" s="4" t="s">
        <v>2016</v>
      </c>
      <c r="C1183" s="5" t="s">
        <v>2117</v>
      </c>
      <c r="D1183" s="6">
        <v>1513.82</v>
      </c>
      <c r="E1183" s="6">
        <v>1498.43</v>
      </c>
      <c r="F1183" s="7" t="s">
        <v>14</v>
      </c>
      <c r="G1183" s="8" t="s">
        <v>2118</v>
      </c>
      <c r="H1183" s="8" t="s">
        <v>27</v>
      </c>
      <c r="I1183" s="9">
        <v>713</v>
      </c>
      <c r="J1183" s="10">
        <v>12</v>
      </c>
      <c r="K1183" s="10">
        <v>12213</v>
      </c>
      <c r="L1183" s="3" t="str">
        <f t="shared" si="37"/>
        <v>ΒΑΜΒΑΚΙ</v>
      </c>
    </row>
    <row r="1184" spans="1:12" s="3" customFormat="1" x14ac:dyDescent="0.25">
      <c r="A1184" s="3" t="str">
        <f t="shared" si="36"/>
        <v>ΒΑΜΒΑΚΙCORONA</v>
      </c>
      <c r="B1184" s="4" t="s">
        <v>2016</v>
      </c>
      <c r="C1184" s="5" t="s">
        <v>2119</v>
      </c>
      <c r="D1184" s="6">
        <v>1513.82</v>
      </c>
      <c r="E1184" s="6">
        <v>1498.43</v>
      </c>
      <c r="F1184" s="7" t="s">
        <v>14</v>
      </c>
      <c r="G1184" s="8" t="s">
        <v>2120</v>
      </c>
      <c r="H1184" s="8" t="s">
        <v>27</v>
      </c>
      <c r="I1184" s="9">
        <v>712</v>
      </c>
      <c r="J1184" s="10">
        <v>12</v>
      </c>
      <c r="K1184" s="10">
        <v>12214</v>
      </c>
      <c r="L1184" s="3" t="str">
        <f t="shared" si="37"/>
        <v>ΒΑΜΒΑΚΙ</v>
      </c>
    </row>
    <row r="1185" spans="1:12" s="3" customFormat="1" x14ac:dyDescent="0.25">
      <c r="A1185" s="3" t="str">
        <f t="shared" si="36"/>
        <v>ΒΑΜΒΑΚΙCREMA-111</v>
      </c>
      <c r="B1185" s="4" t="s">
        <v>2016</v>
      </c>
      <c r="C1185" s="5" t="s">
        <v>2121</v>
      </c>
      <c r="D1185" s="6">
        <v>1513.82</v>
      </c>
      <c r="E1185" s="6">
        <v>1498.43</v>
      </c>
      <c r="F1185" s="7" t="s">
        <v>14</v>
      </c>
      <c r="G1185" s="8" t="s">
        <v>2122</v>
      </c>
      <c r="H1185" s="8" t="s">
        <v>27</v>
      </c>
      <c r="I1185" s="9">
        <v>746</v>
      </c>
      <c r="J1185" s="10">
        <v>12</v>
      </c>
      <c r="K1185" s="10">
        <v>12215</v>
      </c>
      <c r="L1185" s="3" t="str">
        <f t="shared" si="37"/>
        <v>ΒΑΜΒΑΚΙ</v>
      </c>
    </row>
    <row r="1186" spans="1:12" s="3" customFormat="1" ht="24" x14ac:dyDescent="0.25">
      <c r="A1186" s="3" t="str">
        <f t="shared" si="36"/>
        <v>ΒΑΜΒΑΚΙCS37</v>
      </c>
      <c r="B1186" s="4" t="s">
        <v>2016</v>
      </c>
      <c r="C1186" s="5" t="s">
        <v>2123</v>
      </c>
      <c r="D1186" s="6">
        <v>1513.82</v>
      </c>
      <c r="E1186" s="6">
        <v>1498.43</v>
      </c>
      <c r="F1186" s="7" t="s">
        <v>14</v>
      </c>
      <c r="G1186" s="8" t="s">
        <v>2124</v>
      </c>
      <c r="H1186" s="8" t="s">
        <v>16</v>
      </c>
      <c r="I1186" s="9">
        <v>748</v>
      </c>
      <c r="J1186" s="10">
        <v>12</v>
      </c>
      <c r="K1186" s="10">
        <v>12216</v>
      </c>
      <c r="L1186" s="3" t="str">
        <f t="shared" si="37"/>
        <v>ΒΑΜΒΑΚΙ</v>
      </c>
    </row>
    <row r="1187" spans="1:12" s="3" customFormat="1" x14ac:dyDescent="0.25">
      <c r="A1187" s="3" t="str">
        <f t="shared" si="36"/>
        <v>ΒΑΜΒΑΚΙCT 13</v>
      </c>
      <c r="B1187" s="18" t="s">
        <v>2016</v>
      </c>
      <c r="C1187" s="19" t="s">
        <v>2125</v>
      </c>
      <c r="D1187" s="6">
        <v>1513.82</v>
      </c>
      <c r="E1187" s="6">
        <v>1498.43</v>
      </c>
      <c r="F1187" s="6" t="s">
        <v>14</v>
      </c>
      <c r="G1187" s="8" t="s">
        <v>2126</v>
      </c>
      <c r="H1187" s="8" t="s">
        <v>27</v>
      </c>
      <c r="I1187" s="9">
        <v>4242</v>
      </c>
      <c r="J1187" s="20">
        <v>12</v>
      </c>
      <c r="K1187" s="20">
        <v>12217</v>
      </c>
      <c r="L1187" s="3" t="str">
        <f t="shared" si="37"/>
        <v>ΒΑΜΒΑΚΙ</v>
      </c>
    </row>
    <row r="1188" spans="1:12" s="3" customFormat="1" ht="24" x14ac:dyDescent="0.25">
      <c r="A1188" s="3" t="str">
        <f t="shared" si="36"/>
        <v>ΒΑΜΒΑΚΙDARMI</v>
      </c>
      <c r="B1188" s="4" t="s">
        <v>2016</v>
      </c>
      <c r="C1188" s="5" t="s">
        <v>2127</v>
      </c>
      <c r="D1188" s="6">
        <v>1513.82</v>
      </c>
      <c r="E1188" s="6">
        <v>1498.43</v>
      </c>
      <c r="F1188" s="7" t="s">
        <v>14</v>
      </c>
      <c r="G1188" s="8" t="s">
        <v>2128</v>
      </c>
      <c r="H1188" s="8" t="s">
        <v>16</v>
      </c>
      <c r="I1188" s="9">
        <v>723</v>
      </c>
      <c r="J1188" s="10">
        <v>12</v>
      </c>
      <c r="K1188" s="10">
        <v>12218</v>
      </c>
      <c r="L1188" s="3" t="str">
        <f t="shared" si="37"/>
        <v>ΒΑΜΒΑΚΙ</v>
      </c>
    </row>
    <row r="1189" spans="1:12" s="3" customFormat="1" ht="24" x14ac:dyDescent="0.25">
      <c r="A1189" s="3" t="str">
        <f t="shared" si="36"/>
        <v>ΒΑΜΒΑΚΙDENITSA</v>
      </c>
      <c r="B1189" s="4" t="s">
        <v>2016</v>
      </c>
      <c r="C1189" s="5" t="s">
        <v>2129</v>
      </c>
      <c r="D1189" s="6">
        <v>1513.82</v>
      </c>
      <c r="E1189" s="6">
        <v>1498.43</v>
      </c>
      <c r="F1189" s="7" t="s">
        <v>14</v>
      </c>
      <c r="G1189" s="8" t="s">
        <v>2130</v>
      </c>
      <c r="H1189" s="8" t="s">
        <v>16</v>
      </c>
      <c r="I1189" s="9">
        <v>757</v>
      </c>
      <c r="J1189" s="10">
        <v>12</v>
      </c>
      <c r="K1189" s="10">
        <v>12219</v>
      </c>
      <c r="L1189" s="3" t="str">
        <f t="shared" si="37"/>
        <v>ΒΑΜΒΑΚΙ</v>
      </c>
    </row>
    <row r="1190" spans="1:12" s="3" customFormat="1" x14ac:dyDescent="0.25">
      <c r="A1190" s="3" t="str">
        <f t="shared" si="36"/>
        <v>ΒΑΜΒΑΚΙDORINA</v>
      </c>
      <c r="B1190" s="4" t="s">
        <v>2016</v>
      </c>
      <c r="C1190" s="5" t="s">
        <v>2131</v>
      </c>
      <c r="D1190" s="6">
        <v>1513.82</v>
      </c>
      <c r="E1190" s="6">
        <v>1498.43</v>
      </c>
      <c r="F1190" s="7" t="s">
        <v>14</v>
      </c>
      <c r="G1190" s="8" t="s">
        <v>2132</v>
      </c>
      <c r="H1190" s="8" t="s">
        <v>27</v>
      </c>
      <c r="I1190" s="9">
        <v>756</v>
      </c>
      <c r="J1190" s="10">
        <v>12</v>
      </c>
      <c r="K1190" s="10">
        <v>12220</v>
      </c>
      <c r="L1190" s="3" t="str">
        <f t="shared" si="37"/>
        <v>ΒΑΜΒΑΚΙ</v>
      </c>
    </row>
    <row r="1191" spans="1:12" s="3" customFormat="1" x14ac:dyDescent="0.25">
      <c r="A1191" s="3" t="str">
        <f t="shared" si="36"/>
        <v>ΒΑΜΒΑΚΙDP 399</v>
      </c>
      <c r="B1191" s="18" t="s">
        <v>2016</v>
      </c>
      <c r="C1191" s="19" t="s">
        <v>2133</v>
      </c>
      <c r="D1191" s="6">
        <v>1513.82</v>
      </c>
      <c r="E1191" s="6">
        <v>1498.43</v>
      </c>
      <c r="F1191" s="6" t="s">
        <v>14</v>
      </c>
      <c r="G1191" s="8" t="s">
        <v>2134</v>
      </c>
      <c r="H1191" s="8" t="s">
        <v>27</v>
      </c>
      <c r="I1191" s="9">
        <v>4243</v>
      </c>
      <c r="J1191" s="20">
        <v>12</v>
      </c>
      <c r="K1191" s="20">
        <v>12221</v>
      </c>
      <c r="L1191" s="3" t="str">
        <f t="shared" si="37"/>
        <v>ΒΑΜΒΑΚΙ</v>
      </c>
    </row>
    <row r="1192" spans="1:12" s="3" customFormat="1" x14ac:dyDescent="0.25">
      <c r="A1192" s="3" t="str">
        <f t="shared" si="36"/>
        <v>ΒΑΜΒΑΚΙDP 411</v>
      </c>
      <c r="B1192" s="4" t="s">
        <v>2016</v>
      </c>
      <c r="C1192" s="5" t="s">
        <v>2135</v>
      </c>
      <c r="D1192" s="6">
        <v>1513.82</v>
      </c>
      <c r="E1192" s="6">
        <v>1498.43</v>
      </c>
      <c r="F1192" s="7" t="s">
        <v>14</v>
      </c>
      <c r="G1192" s="8" t="s">
        <v>2136</v>
      </c>
      <c r="H1192" s="8" t="s">
        <v>27</v>
      </c>
      <c r="I1192" s="9">
        <v>755</v>
      </c>
      <c r="J1192" s="10">
        <v>12</v>
      </c>
      <c r="K1192" s="10">
        <v>12222</v>
      </c>
      <c r="L1192" s="3" t="str">
        <f t="shared" si="37"/>
        <v>ΒΑΜΒΑΚΙ</v>
      </c>
    </row>
    <row r="1193" spans="1:12" s="3" customFormat="1" x14ac:dyDescent="0.25">
      <c r="A1193" s="3" t="str">
        <f t="shared" si="36"/>
        <v>ΒΑΜΒΑΚΙDP 414</v>
      </c>
      <c r="B1193" s="4" t="s">
        <v>2016</v>
      </c>
      <c r="C1193" s="5" t="s">
        <v>2137</v>
      </c>
      <c r="D1193" s="6">
        <v>1513.82</v>
      </c>
      <c r="E1193" s="6">
        <v>1498.43</v>
      </c>
      <c r="F1193" s="7" t="s">
        <v>14</v>
      </c>
      <c r="G1193" s="8" t="s">
        <v>2138</v>
      </c>
      <c r="H1193" s="8" t="s">
        <v>27</v>
      </c>
      <c r="I1193" s="9">
        <v>754</v>
      </c>
      <c r="J1193" s="10">
        <v>12</v>
      </c>
      <c r="K1193" s="10">
        <v>12223</v>
      </c>
      <c r="L1193" s="3" t="str">
        <f t="shared" si="37"/>
        <v>ΒΑΜΒΑΚΙ</v>
      </c>
    </row>
    <row r="1194" spans="1:12" s="3" customFormat="1" x14ac:dyDescent="0.25">
      <c r="A1194" s="3" t="str">
        <f t="shared" si="36"/>
        <v>ΒΑΜΒΑΚΙDP 435</v>
      </c>
      <c r="B1194" s="4" t="s">
        <v>2016</v>
      </c>
      <c r="C1194" s="5" t="s">
        <v>2139</v>
      </c>
      <c r="D1194" s="6">
        <v>1513.82</v>
      </c>
      <c r="E1194" s="6">
        <v>1498.43</v>
      </c>
      <c r="F1194" s="7" t="s">
        <v>14</v>
      </c>
      <c r="G1194" s="8" t="s">
        <v>2140</v>
      </c>
      <c r="H1194" s="8" t="s">
        <v>27</v>
      </c>
      <c r="I1194" s="9">
        <v>753</v>
      </c>
      <c r="J1194" s="10">
        <v>12</v>
      </c>
      <c r="K1194" s="10">
        <v>12224</v>
      </c>
      <c r="L1194" s="3" t="str">
        <f t="shared" si="37"/>
        <v>ΒΑΜΒΑΚΙ</v>
      </c>
    </row>
    <row r="1195" spans="1:12" s="3" customFormat="1" x14ac:dyDescent="0.25">
      <c r="A1195" s="3" t="str">
        <f t="shared" si="36"/>
        <v>ΒΑΜΒΑΚΙDP 466</v>
      </c>
      <c r="B1195" s="18" t="s">
        <v>2016</v>
      </c>
      <c r="C1195" s="19" t="s">
        <v>2141</v>
      </c>
      <c r="D1195" s="6">
        <v>1513.82</v>
      </c>
      <c r="E1195" s="6">
        <v>1498.43</v>
      </c>
      <c r="F1195" s="6" t="s">
        <v>14</v>
      </c>
      <c r="G1195" s="8" t="s">
        <v>2142</v>
      </c>
      <c r="H1195" s="8" t="s">
        <v>27</v>
      </c>
      <c r="I1195" s="9">
        <v>4244</v>
      </c>
      <c r="J1195" s="20">
        <v>12</v>
      </c>
      <c r="K1195" s="20">
        <v>12225</v>
      </c>
      <c r="L1195" s="3" t="str">
        <f t="shared" si="37"/>
        <v>ΒΑΜΒΑΚΙ</v>
      </c>
    </row>
    <row r="1196" spans="1:12" s="3" customFormat="1" x14ac:dyDescent="0.25">
      <c r="A1196" s="3" t="str">
        <f t="shared" si="36"/>
        <v>ΒΑΜΒΑΚΙDP 499</v>
      </c>
      <c r="B1196" s="18" t="s">
        <v>2016</v>
      </c>
      <c r="C1196" s="19" t="s">
        <v>2143</v>
      </c>
      <c r="D1196" s="6">
        <v>1513.82</v>
      </c>
      <c r="E1196" s="6">
        <v>1498.43</v>
      </c>
      <c r="F1196" s="6" t="s">
        <v>14</v>
      </c>
      <c r="G1196" s="8" t="s">
        <v>2144</v>
      </c>
      <c r="H1196" s="8" t="s">
        <v>27</v>
      </c>
      <c r="I1196" s="9">
        <v>4245</v>
      </c>
      <c r="J1196" s="20">
        <v>12</v>
      </c>
      <c r="K1196" s="20">
        <v>12226</v>
      </c>
      <c r="L1196" s="3" t="str">
        <f t="shared" si="37"/>
        <v>ΒΑΜΒΑΚΙ</v>
      </c>
    </row>
    <row r="1197" spans="1:12" s="3" customFormat="1" ht="24" x14ac:dyDescent="0.25">
      <c r="A1197" s="3" t="str">
        <f t="shared" si="36"/>
        <v>ΒΑΜΒΑΚΙE1</v>
      </c>
      <c r="B1197" s="4" t="s">
        <v>2016</v>
      </c>
      <c r="C1197" s="5" t="s">
        <v>2145</v>
      </c>
      <c r="D1197" s="6">
        <v>1513.82</v>
      </c>
      <c r="E1197" s="6">
        <v>1498.43</v>
      </c>
      <c r="F1197" s="7" t="s">
        <v>14</v>
      </c>
      <c r="G1197" s="8" t="s">
        <v>2146</v>
      </c>
      <c r="H1197" s="8" t="s">
        <v>16</v>
      </c>
      <c r="I1197" s="9">
        <v>752</v>
      </c>
      <c r="J1197" s="10">
        <v>12</v>
      </c>
      <c r="K1197" s="10">
        <v>12227</v>
      </c>
      <c r="L1197" s="3" t="str">
        <f t="shared" si="37"/>
        <v>ΒΑΜΒΑΚΙ</v>
      </c>
    </row>
    <row r="1198" spans="1:12" s="3" customFormat="1" ht="24" x14ac:dyDescent="0.25">
      <c r="A1198" s="3" t="str">
        <f t="shared" si="36"/>
        <v>ΒΑΜΒΑΚΙEFES</v>
      </c>
      <c r="B1198" s="4" t="s">
        <v>2016</v>
      </c>
      <c r="C1198" s="5" t="s">
        <v>2147</v>
      </c>
      <c r="D1198" s="6">
        <v>1513.82</v>
      </c>
      <c r="E1198" s="6">
        <v>1498.43</v>
      </c>
      <c r="F1198" s="7" t="s">
        <v>14</v>
      </c>
      <c r="G1198" s="8" t="s">
        <v>2148</v>
      </c>
      <c r="H1198" s="8" t="s">
        <v>16</v>
      </c>
      <c r="I1198" s="9">
        <v>751</v>
      </c>
      <c r="J1198" s="10">
        <v>12</v>
      </c>
      <c r="K1198" s="10">
        <v>12228</v>
      </c>
      <c r="L1198" s="3" t="str">
        <f t="shared" si="37"/>
        <v>ΒΑΜΒΑΚΙ</v>
      </c>
    </row>
    <row r="1199" spans="1:12" s="3" customFormat="1" ht="24" x14ac:dyDescent="0.25">
      <c r="A1199" s="3" t="str">
        <f t="shared" si="36"/>
        <v>ΒΑΜΒΑΚΙELPIDA</v>
      </c>
      <c r="B1199" s="4" t="s">
        <v>2016</v>
      </c>
      <c r="C1199" s="5" t="s">
        <v>2149</v>
      </c>
      <c r="D1199" s="6">
        <v>1513.82</v>
      </c>
      <c r="E1199" s="6">
        <v>1498.43</v>
      </c>
      <c r="F1199" s="7" t="s">
        <v>14</v>
      </c>
      <c r="G1199" s="8" t="s">
        <v>2150</v>
      </c>
      <c r="H1199" s="8" t="s">
        <v>16</v>
      </c>
      <c r="I1199" s="9">
        <v>750</v>
      </c>
      <c r="J1199" s="10">
        <v>12</v>
      </c>
      <c r="K1199" s="10">
        <v>12229</v>
      </c>
      <c r="L1199" s="3" t="str">
        <f t="shared" si="37"/>
        <v>ΒΑΜΒΑΚΙ</v>
      </c>
    </row>
    <row r="1200" spans="1:12" s="3" customFormat="1" ht="24" x14ac:dyDescent="0.25">
      <c r="A1200" s="3" t="str">
        <f t="shared" si="36"/>
        <v>ΒΑΜΒΑΚΙESPERIA</v>
      </c>
      <c r="B1200" s="4" t="s">
        <v>2016</v>
      </c>
      <c r="C1200" s="5" t="s">
        <v>2151</v>
      </c>
      <c r="D1200" s="6">
        <v>1513.82</v>
      </c>
      <c r="E1200" s="6">
        <v>1498.43</v>
      </c>
      <c r="F1200" s="7" t="s">
        <v>14</v>
      </c>
      <c r="G1200" s="8" t="s">
        <v>2152</v>
      </c>
      <c r="H1200" s="8" t="s">
        <v>16</v>
      </c>
      <c r="I1200" s="9">
        <v>749</v>
      </c>
      <c r="J1200" s="10">
        <v>12</v>
      </c>
      <c r="K1200" s="10">
        <v>12230</v>
      </c>
      <c r="L1200" s="3" t="str">
        <f t="shared" si="37"/>
        <v>ΒΑΜΒΑΚΙ</v>
      </c>
    </row>
    <row r="1201" spans="1:12" s="3" customFormat="1" ht="24" x14ac:dyDescent="0.25">
      <c r="A1201" s="3" t="str">
        <f t="shared" si="36"/>
        <v>ΒΑΜΒΑΚΙFILIPOPOLIS</v>
      </c>
      <c r="B1201" s="4" t="s">
        <v>2016</v>
      </c>
      <c r="C1201" s="5" t="s">
        <v>2153</v>
      </c>
      <c r="D1201" s="6">
        <v>1513.82</v>
      </c>
      <c r="E1201" s="6">
        <v>1498.43</v>
      </c>
      <c r="F1201" s="7" t="s">
        <v>14</v>
      </c>
      <c r="G1201" s="8" t="s">
        <v>2154</v>
      </c>
      <c r="H1201" s="8" t="s">
        <v>16</v>
      </c>
      <c r="I1201" s="9">
        <v>735</v>
      </c>
      <c r="J1201" s="10">
        <v>12</v>
      </c>
      <c r="K1201" s="10">
        <v>12232</v>
      </c>
      <c r="L1201" s="3" t="str">
        <f t="shared" si="37"/>
        <v>ΒΑΜΒΑΚΙ</v>
      </c>
    </row>
    <row r="1202" spans="1:12" s="3" customFormat="1" ht="24" x14ac:dyDescent="0.25">
      <c r="A1202" s="3" t="str">
        <f t="shared" si="36"/>
        <v>ΒΑΜΒΑΚΙFIONA</v>
      </c>
      <c r="B1202" s="4" t="s">
        <v>2016</v>
      </c>
      <c r="C1202" s="5" t="s">
        <v>2155</v>
      </c>
      <c r="D1202" s="6">
        <v>1513.82</v>
      </c>
      <c r="E1202" s="6">
        <v>1498.43</v>
      </c>
      <c r="F1202" s="7" t="s">
        <v>14</v>
      </c>
      <c r="G1202" s="8" t="s">
        <v>2156</v>
      </c>
      <c r="H1202" s="8" t="s">
        <v>16</v>
      </c>
      <c r="I1202" s="9">
        <v>747</v>
      </c>
      <c r="J1202" s="10">
        <v>12</v>
      </c>
      <c r="K1202" s="10">
        <v>12233</v>
      </c>
      <c r="L1202" s="3" t="str">
        <f t="shared" si="37"/>
        <v>ΒΑΜΒΑΚΙ</v>
      </c>
    </row>
    <row r="1203" spans="1:12" s="3" customFormat="1" ht="24" x14ac:dyDescent="0.25">
      <c r="A1203" s="3" t="str">
        <f t="shared" si="36"/>
        <v>ΒΑΜΒΑΚΙFOKION</v>
      </c>
      <c r="B1203" s="4" t="s">
        <v>2016</v>
      </c>
      <c r="C1203" s="5" t="s">
        <v>2157</v>
      </c>
      <c r="D1203" s="6">
        <v>1513.82</v>
      </c>
      <c r="E1203" s="6">
        <v>1498.43</v>
      </c>
      <c r="F1203" s="7" t="s">
        <v>14</v>
      </c>
      <c r="G1203" s="8" t="s">
        <v>2158</v>
      </c>
      <c r="H1203" s="8" t="s">
        <v>16</v>
      </c>
      <c r="I1203" s="9">
        <v>759</v>
      </c>
      <c r="J1203" s="10">
        <v>12</v>
      </c>
      <c r="K1203" s="10">
        <v>12234</v>
      </c>
      <c r="L1203" s="3" t="str">
        <f t="shared" si="37"/>
        <v>ΒΑΜΒΑΚΙ</v>
      </c>
    </row>
    <row r="1204" spans="1:12" s="3" customFormat="1" ht="24" x14ac:dyDescent="0.25">
      <c r="A1204" s="3" t="str">
        <f t="shared" si="36"/>
        <v>ΒΑΜΒΑΚΙGLORIA</v>
      </c>
      <c r="B1204" s="4" t="s">
        <v>2016</v>
      </c>
      <c r="C1204" s="5" t="s">
        <v>2159</v>
      </c>
      <c r="D1204" s="6">
        <v>1513.82</v>
      </c>
      <c r="E1204" s="6">
        <v>1498.43</v>
      </c>
      <c r="F1204" s="7" t="s">
        <v>14</v>
      </c>
      <c r="G1204" s="8" t="s">
        <v>2160</v>
      </c>
      <c r="H1204" s="8" t="s">
        <v>16</v>
      </c>
      <c r="I1204" s="9">
        <v>745</v>
      </c>
      <c r="J1204" s="10">
        <v>12</v>
      </c>
      <c r="K1204" s="10">
        <v>12235</v>
      </c>
      <c r="L1204" s="3" t="str">
        <f t="shared" si="37"/>
        <v>ΒΑΜΒΑΚΙ</v>
      </c>
    </row>
    <row r="1205" spans="1:12" s="3" customFormat="1" x14ac:dyDescent="0.25">
      <c r="A1205" s="3" t="str">
        <f t="shared" si="36"/>
        <v>ΒΑΜΒΑΚΙGRETA</v>
      </c>
      <c r="B1205" s="4" t="s">
        <v>2016</v>
      </c>
      <c r="C1205" s="5" t="s">
        <v>2161</v>
      </c>
      <c r="D1205" s="6">
        <v>1513.82</v>
      </c>
      <c r="E1205" s="6">
        <v>1498.43</v>
      </c>
      <c r="F1205" s="7" t="s">
        <v>14</v>
      </c>
      <c r="G1205" s="8" t="s">
        <v>2162</v>
      </c>
      <c r="H1205" s="8" t="s">
        <v>27</v>
      </c>
      <c r="I1205" s="9">
        <v>744</v>
      </c>
      <c r="J1205" s="10">
        <v>12</v>
      </c>
      <c r="K1205" s="10">
        <v>12236</v>
      </c>
      <c r="L1205" s="3" t="str">
        <f t="shared" si="37"/>
        <v>ΒΑΜΒΑΚΙ</v>
      </c>
    </row>
    <row r="1206" spans="1:12" s="3" customFormat="1" x14ac:dyDescent="0.25">
      <c r="A1206" s="3" t="str">
        <f t="shared" si="36"/>
        <v>ΒΑΜΒΑΚΙGUADALQUIVIR</v>
      </c>
      <c r="B1206" s="18" t="s">
        <v>2016</v>
      </c>
      <c r="C1206" s="19" t="s">
        <v>2163</v>
      </c>
      <c r="D1206" s="6">
        <v>1513.82</v>
      </c>
      <c r="E1206" s="6">
        <v>1498.43</v>
      </c>
      <c r="F1206" s="6" t="s">
        <v>14</v>
      </c>
      <c r="G1206" s="8" t="s">
        <v>2164</v>
      </c>
      <c r="H1206" s="8" t="s">
        <v>27</v>
      </c>
      <c r="I1206" s="9">
        <v>4246</v>
      </c>
      <c r="J1206" s="20">
        <v>12</v>
      </c>
      <c r="K1206" s="20">
        <v>12237</v>
      </c>
      <c r="L1206" s="3" t="str">
        <f t="shared" si="37"/>
        <v>ΒΑΜΒΑΚΙ</v>
      </c>
    </row>
    <row r="1207" spans="1:12" s="3" customFormat="1" ht="24" x14ac:dyDescent="0.25">
      <c r="A1207" s="3" t="str">
        <f t="shared" si="36"/>
        <v>ΒΑΜΒΑΚΙHA-1280</v>
      </c>
      <c r="B1207" s="4" t="s">
        <v>2016</v>
      </c>
      <c r="C1207" s="5" t="s">
        <v>2165</v>
      </c>
      <c r="D1207" s="6">
        <v>1513.82</v>
      </c>
      <c r="E1207" s="6">
        <v>1498.43</v>
      </c>
      <c r="F1207" s="7" t="s">
        <v>14</v>
      </c>
      <c r="G1207" s="8" t="s">
        <v>2166</v>
      </c>
      <c r="H1207" s="8" t="s">
        <v>16</v>
      </c>
      <c r="I1207" s="9">
        <v>743</v>
      </c>
      <c r="J1207" s="10">
        <v>12</v>
      </c>
      <c r="K1207" s="10">
        <v>12238</v>
      </c>
      <c r="L1207" s="3" t="str">
        <f t="shared" si="37"/>
        <v>ΒΑΜΒΑΚΙ</v>
      </c>
    </row>
    <row r="1208" spans="1:12" s="3" customFormat="1" ht="24" x14ac:dyDescent="0.25">
      <c r="A1208" s="3" t="str">
        <f t="shared" si="36"/>
        <v>ΒΑΜΒΑΚΙHA-1409</v>
      </c>
      <c r="B1208" s="4" t="s">
        <v>2016</v>
      </c>
      <c r="C1208" s="5" t="s">
        <v>2167</v>
      </c>
      <c r="D1208" s="6">
        <v>1513.82</v>
      </c>
      <c r="E1208" s="6">
        <v>1498.43</v>
      </c>
      <c r="F1208" s="7" t="s">
        <v>14</v>
      </c>
      <c r="G1208" s="8" t="s">
        <v>2168</v>
      </c>
      <c r="H1208" s="8" t="s">
        <v>16</v>
      </c>
      <c r="I1208" s="9">
        <v>742</v>
      </c>
      <c r="J1208" s="10">
        <v>12</v>
      </c>
      <c r="K1208" s="10">
        <v>12239</v>
      </c>
      <c r="L1208" s="3" t="str">
        <f t="shared" si="37"/>
        <v>ΒΑΜΒΑΚΙ</v>
      </c>
    </row>
    <row r="1209" spans="1:12" s="3" customFormat="1" ht="24" x14ac:dyDescent="0.25">
      <c r="A1209" s="3" t="str">
        <f t="shared" si="36"/>
        <v>ΒΑΜΒΑΚΙHELENA</v>
      </c>
      <c r="B1209" s="4" t="s">
        <v>2016</v>
      </c>
      <c r="C1209" s="5" t="s">
        <v>2169</v>
      </c>
      <c r="D1209" s="6">
        <v>1513.82</v>
      </c>
      <c r="E1209" s="6">
        <v>1498.43</v>
      </c>
      <c r="F1209" s="7" t="s">
        <v>14</v>
      </c>
      <c r="G1209" s="8" t="s">
        <v>2170</v>
      </c>
      <c r="H1209" s="8" t="s">
        <v>16</v>
      </c>
      <c r="I1209" s="9">
        <v>741</v>
      </c>
      <c r="J1209" s="10">
        <v>12</v>
      </c>
      <c r="K1209" s="10">
        <v>12240</v>
      </c>
      <c r="L1209" s="3" t="str">
        <f t="shared" si="37"/>
        <v>ΒΑΜΒΑΚΙ</v>
      </c>
    </row>
    <row r="1210" spans="1:12" s="3" customFormat="1" ht="24" x14ac:dyDescent="0.25">
      <c r="A1210" s="3" t="str">
        <f t="shared" si="36"/>
        <v>ΒΑΜΒΑΚΙHELIUS</v>
      </c>
      <c r="B1210" s="4" t="s">
        <v>2016</v>
      </c>
      <c r="C1210" s="5" t="s">
        <v>2171</v>
      </c>
      <c r="D1210" s="6">
        <v>1513.82</v>
      </c>
      <c r="E1210" s="6">
        <v>1498.43</v>
      </c>
      <c r="F1210" s="7" t="s">
        <v>14</v>
      </c>
      <c r="G1210" s="8" t="s">
        <v>2172</v>
      </c>
      <c r="H1210" s="8" t="s">
        <v>16</v>
      </c>
      <c r="I1210" s="9">
        <v>740</v>
      </c>
      <c r="J1210" s="10">
        <v>12</v>
      </c>
      <c r="K1210" s="10">
        <v>12241</v>
      </c>
      <c r="L1210" s="3" t="str">
        <f t="shared" si="37"/>
        <v>ΒΑΜΒΑΚΙ</v>
      </c>
    </row>
    <row r="1211" spans="1:12" s="3" customFormat="1" x14ac:dyDescent="0.25">
      <c r="A1211" s="3" t="str">
        <f t="shared" si="36"/>
        <v>ΒΑΜΒΑΚΙIPK NELINA</v>
      </c>
      <c r="B1211" s="4" t="s">
        <v>2016</v>
      </c>
      <c r="C1211" s="5" t="s">
        <v>2173</v>
      </c>
      <c r="D1211" s="6">
        <v>1513.82</v>
      </c>
      <c r="E1211" s="6">
        <v>1498.43</v>
      </c>
      <c r="F1211" s="7" t="s">
        <v>14</v>
      </c>
      <c r="G1211" s="8" t="s">
        <v>2174</v>
      </c>
      <c r="H1211" s="8" t="s">
        <v>27</v>
      </c>
      <c r="I1211" s="9">
        <v>739</v>
      </c>
      <c r="J1211" s="10">
        <v>12</v>
      </c>
      <c r="K1211" s="10">
        <v>12245</v>
      </c>
      <c r="L1211" s="3" t="str">
        <f t="shared" si="37"/>
        <v>ΒΑΜΒΑΚΙ</v>
      </c>
    </row>
    <row r="1212" spans="1:12" s="3" customFormat="1" ht="24" x14ac:dyDescent="0.25">
      <c r="A1212" s="3" t="str">
        <f t="shared" si="36"/>
        <v>ΒΑΜΒΑΚΙIPTP VENO</v>
      </c>
      <c r="B1212" s="4" t="s">
        <v>2016</v>
      </c>
      <c r="C1212" s="5" t="s">
        <v>2175</v>
      </c>
      <c r="D1212" s="6">
        <v>1513.82</v>
      </c>
      <c r="E1212" s="6">
        <v>1498.43</v>
      </c>
      <c r="F1212" s="7" t="s">
        <v>14</v>
      </c>
      <c r="G1212" s="8" t="s">
        <v>2176</v>
      </c>
      <c r="H1212" s="8" t="s">
        <v>16</v>
      </c>
      <c r="I1212" s="9">
        <v>738</v>
      </c>
      <c r="J1212" s="10">
        <v>12</v>
      </c>
      <c r="K1212" s="10">
        <v>12246</v>
      </c>
      <c r="L1212" s="3" t="str">
        <f t="shared" si="37"/>
        <v>ΒΑΜΒΑΚΙ</v>
      </c>
    </row>
    <row r="1213" spans="1:12" s="3" customFormat="1" ht="24" x14ac:dyDescent="0.25">
      <c r="A1213" s="3" t="str">
        <f t="shared" si="36"/>
        <v>ΒΑΜΒΑΚΙISIS</v>
      </c>
      <c r="B1213" s="4" t="s">
        <v>2016</v>
      </c>
      <c r="C1213" s="5" t="s">
        <v>2177</v>
      </c>
      <c r="D1213" s="6">
        <v>1513.82</v>
      </c>
      <c r="E1213" s="6">
        <v>1498.43</v>
      </c>
      <c r="F1213" s="7" t="s">
        <v>14</v>
      </c>
      <c r="G1213" s="8" t="s">
        <v>2178</v>
      </c>
      <c r="H1213" s="8" t="s">
        <v>16</v>
      </c>
      <c r="I1213" s="9">
        <v>737</v>
      </c>
      <c r="J1213" s="10">
        <v>12</v>
      </c>
      <c r="K1213" s="10">
        <v>12247</v>
      </c>
      <c r="L1213" s="3" t="str">
        <f t="shared" si="37"/>
        <v>ΒΑΜΒΑΚΙ</v>
      </c>
    </row>
    <row r="1214" spans="1:12" s="3" customFormat="1" x14ac:dyDescent="0.25">
      <c r="A1214" s="3" t="str">
        <f t="shared" si="36"/>
        <v>ΒΑΜΒΑΚΙIZABELL</v>
      </c>
      <c r="B1214" s="4" t="s">
        <v>2016</v>
      </c>
      <c r="C1214" s="5" t="s">
        <v>2179</v>
      </c>
      <c r="D1214" s="6">
        <v>1513.82</v>
      </c>
      <c r="E1214" s="6">
        <v>1498.43</v>
      </c>
      <c r="F1214" s="7" t="s">
        <v>14</v>
      </c>
      <c r="G1214" s="8" t="s">
        <v>2180</v>
      </c>
      <c r="H1214" s="8" t="s">
        <v>27</v>
      </c>
      <c r="I1214" s="9">
        <v>736</v>
      </c>
      <c r="J1214" s="10">
        <v>12</v>
      </c>
      <c r="K1214" s="10">
        <v>12248</v>
      </c>
      <c r="L1214" s="3" t="str">
        <f t="shared" si="37"/>
        <v>ΒΑΜΒΑΚΙ</v>
      </c>
    </row>
    <row r="1215" spans="1:12" s="3" customFormat="1" x14ac:dyDescent="0.25">
      <c r="A1215" s="3" t="str">
        <f t="shared" si="36"/>
        <v>ΒΑΜΒΑΚΙKALIA</v>
      </c>
      <c r="B1215" s="18" t="s">
        <v>2016</v>
      </c>
      <c r="C1215" s="19" t="s">
        <v>2181</v>
      </c>
      <c r="D1215" s="6">
        <v>1513.82</v>
      </c>
      <c r="E1215" s="6">
        <v>1498.43</v>
      </c>
      <c r="F1215" s="6" t="s">
        <v>14</v>
      </c>
      <c r="G1215" s="8" t="s">
        <v>2182</v>
      </c>
      <c r="H1215" s="8" t="s">
        <v>27</v>
      </c>
      <c r="I1215" s="9">
        <v>4247</v>
      </c>
      <c r="J1215" s="20">
        <v>12</v>
      </c>
      <c r="K1215" s="20">
        <v>12249</v>
      </c>
      <c r="L1215" s="3" t="str">
        <f t="shared" si="37"/>
        <v>ΒΑΜΒΑΚΙ</v>
      </c>
    </row>
    <row r="1216" spans="1:12" s="3" customFormat="1" x14ac:dyDescent="0.25">
      <c r="A1216" s="3" t="str">
        <f t="shared" si="36"/>
        <v>ΒΑΜΒΑΚΙLACHATA</v>
      </c>
      <c r="B1216" s="4" t="s">
        <v>2016</v>
      </c>
      <c r="C1216" s="5" t="s">
        <v>2183</v>
      </c>
      <c r="D1216" s="6">
        <v>1513.82</v>
      </c>
      <c r="E1216" s="6">
        <v>1498.43</v>
      </c>
      <c r="F1216" s="7" t="s">
        <v>14</v>
      </c>
      <c r="G1216" s="8" t="s">
        <v>2184</v>
      </c>
      <c r="H1216" s="8" t="s">
        <v>27</v>
      </c>
      <c r="I1216" s="9">
        <v>639</v>
      </c>
      <c r="J1216" s="10">
        <v>12</v>
      </c>
      <c r="K1216" s="10">
        <v>12250</v>
      </c>
      <c r="L1216" s="3" t="str">
        <f t="shared" si="37"/>
        <v>ΒΑΜΒΑΚΙ</v>
      </c>
    </row>
    <row r="1217" spans="1:12" s="3" customFormat="1" ht="24" x14ac:dyDescent="0.25">
      <c r="A1217" s="3" t="str">
        <f t="shared" si="36"/>
        <v>ΒΑΜΒΑΚΙLAMDA 206</v>
      </c>
      <c r="B1217" s="4" t="s">
        <v>2016</v>
      </c>
      <c r="C1217" s="5" t="s">
        <v>2185</v>
      </c>
      <c r="D1217" s="6">
        <v>1513.82</v>
      </c>
      <c r="E1217" s="6">
        <v>1498.43</v>
      </c>
      <c r="F1217" s="7" t="s">
        <v>14</v>
      </c>
      <c r="G1217" s="8" t="s">
        <v>2186</v>
      </c>
      <c r="H1217" s="8" t="s">
        <v>16</v>
      </c>
      <c r="I1217" s="9">
        <v>772</v>
      </c>
      <c r="J1217" s="10">
        <v>12</v>
      </c>
      <c r="K1217" s="10">
        <v>12251</v>
      </c>
      <c r="L1217" s="3" t="str">
        <f t="shared" si="37"/>
        <v>ΒΑΜΒΑΚΙ</v>
      </c>
    </row>
    <row r="1218" spans="1:12" s="3" customFormat="1" ht="24" x14ac:dyDescent="0.25">
      <c r="A1218" s="3" t="str">
        <f t="shared" si="36"/>
        <v>ΒΑΜΒΑΚΙLIGUR</v>
      </c>
      <c r="B1218" s="4" t="s">
        <v>2016</v>
      </c>
      <c r="C1218" s="5" t="s">
        <v>2187</v>
      </c>
      <c r="D1218" s="6">
        <v>1513.82</v>
      </c>
      <c r="E1218" s="6">
        <v>1498.43</v>
      </c>
      <c r="F1218" s="7" t="s">
        <v>14</v>
      </c>
      <c r="G1218" s="8" t="s">
        <v>2188</v>
      </c>
      <c r="H1218" s="8" t="s">
        <v>16</v>
      </c>
      <c r="I1218" s="9">
        <v>797</v>
      </c>
      <c r="J1218" s="10">
        <v>12</v>
      </c>
      <c r="K1218" s="10">
        <v>12252</v>
      </c>
      <c r="L1218" s="3" t="str">
        <f t="shared" si="37"/>
        <v>ΒΑΜΒΑΚΙ</v>
      </c>
    </row>
    <row r="1219" spans="1:12" s="3" customFormat="1" x14ac:dyDescent="0.25">
      <c r="A1219" s="3" t="str">
        <f t="shared" ref="A1219:A1282" si="38">_xlfn.CONCAT(B1219,C1219)</f>
        <v>ΒΑΜΒΑΚΙLUELA</v>
      </c>
      <c r="B1219" s="18" t="s">
        <v>2016</v>
      </c>
      <c r="C1219" s="19" t="s">
        <v>2189</v>
      </c>
      <c r="D1219" s="6">
        <v>1513.82</v>
      </c>
      <c r="E1219" s="6">
        <v>1498.43</v>
      </c>
      <c r="F1219" s="6" t="s">
        <v>14</v>
      </c>
      <c r="G1219" s="8" t="s">
        <v>2190</v>
      </c>
      <c r="H1219" s="8" t="s">
        <v>27</v>
      </c>
      <c r="I1219" s="9">
        <v>4248</v>
      </c>
      <c r="J1219" s="20">
        <v>12</v>
      </c>
      <c r="K1219" s="20">
        <v>12253</v>
      </c>
      <c r="L1219" s="3" t="str">
        <f t="shared" ref="L1219:L1282" si="39">IFERROR(SUBSTITUTE(SUBSTITUTE(SUBSTITUTE(SUBSTITUTE(SUBSTITUTE(B1219, "-", "_"), " ", "_"), ",", ""), "(", ""), ")", ""), B1219)</f>
        <v>ΒΑΜΒΑΚΙ</v>
      </c>
    </row>
    <row r="1220" spans="1:12" s="3" customFormat="1" x14ac:dyDescent="0.25">
      <c r="A1220" s="3" t="str">
        <f t="shared" si="38"/>
        <v>ΒΑΜΒΑΚΙMARISMENA</v>
      </c>
      <c r="B1220" s="18" t="s">
        <v>2016</v>
      </c>
      <c r="C1220" s="19" t="s">
        <v>2191</v>
      </c>
      <c r="D1220" s="6">
        <v>1513.82</v>
      </c>
      <c r="E1220" s="6">
        <v>1498.43</v>
      </c>
      <c r="F1220" s="6" t="s">
        <v>14</v>
      </c>
      <c r="G1220" s="8" t="s">
        <v>2192</v>
      </c>
      <c r="H1220" s="8" t="s">
        <v>27</v>
      </c>
      <c r="I1220" s="9">
        <v>4249</v>
      </c>
      <c r="J1220" s="20">
        <v>12</v>
      </c>
      <c r="K1220" s="20">
        <v>12254</v>
      </c>
      <c r="L1220" s="3" t="str">
        <f t="shared" si="39"/>
        <v>ΒΑΜΒΑΚΙ</v>
      </c>
    </row>
    <row r="1221" spans="1:12" s="3" customFormat="1" x14ac:dyDescent="0.25">
      <c r="A1221" s="3" t="str">
        <f t="shared" si="38"/>
        <v>ΒΑΜΒΑΚΙMAX 9</v>
      </c>
      <c r="B1221" s="18" t="s">
        <v>2016</v>
      </c>
      <c r="C1221" s="19" t="s">
        <v>2193</v>
      </c>
      <c r="D1221" s="6">
        <v>1513.82</v>
      </c>
      <c r="E1221" s="6">
        <v>1498.43</v>
      </c>
      <c r="F1221" s="6" t="s">
        <v>14</v>
      </c>
      <c r="G1221" s="8" t="s">
        <v>2194</v>
      </c>
      <c r="H1221" s="8" t="s">
        <v>27</v>
      </c>
      <c r="I1221" s="9">
        <v>4250</v>
      </c>
      <c r="J1221" s="20">
        <v>12</v>
      </c>
      <c r="K1221" s="20">
        <v>12255</v>
      </c>
      <c r="L1221" s="3" t="str">
        <f t="shared" si="39"/>
        <v>ΒΑΜΒΑΚΙ</v>
      </c>
    </row>
    <row r="1222" spans="1:12" s="3" customFormat="1" x14ac:dyDescent="0.25">
      <c r="A1222" s="3" t="str">
        <f t="shared" si="38"/>
        <v>ΒΑΜΒΑΚΙMEGASEED</v>
      </c>
      <c r="B1222" s="18" t="s">
        <v>2016</v>
      </c>
      <c r="C1222" s="19" t="s">
        <v>2195</v>
      </c>
      <c r="D1222" s="6">
        <v>1513.82</v>
      </c>
      <c r="E1222" s="6">
        <v>1498.43</v>
      </c>
      <c r="F1222" s="6" t="s">
        <v>14</v>
      </c>
      <c r="G1222" s="8" t="s">
        <v>2196</v>
      </c>
      <c r="H1222" s="8" t="s">
        <v>27</v>
      </c>
      <c r="I1222" s="9">
        <v>4251</v>
      </c>
      <c r="J1222" s="20">
        <v>12</v>
      </c>
      <c r="K1222" s="20">
        <v>12256</v>
      </c>
      <c r="L1222" s="3" t="str">
        <f t="shared" si="39"/>
        <v>ΒΑΜΒΑΚΙ</v>
      </c>
    </row>
    <row r="1223" spans="1:12" s="3" customFormat="1" x14ac:dyDescent="0.25">
      <c r="A1223" s="3" t="str">
        <f t="shared" si="38"/>
        <v>ΒΑΜΒΑΚΙMELINA</v>
      </c>
      <c r="B1223" s="18" t="s">
        <v>2016</v>
      </c>
      <c r="C1223" s="19" t="s">
        <v>2197</v>
      </c>
      <c r="D1223" s="6">
        <v>1513.82</v>
      </c>
      <c r="E1223" s="6">
        <v>1498.43</v>
      </c>
      <c r="F1223" s="6" t="s">
        <v>14</v>
      </c>
      <c r="G1223" s="8" t="s">
        <v>2198</v>
      </c>
      <c r="H1223" s="8" t="s">
        <v>27</v>
      </c>
      <c r="I1223" s="9">
        <v>4252</v>
      </c>
      <c r="J1223" s="20">
        <v>12</v>
      </c>
      <c r="K1223" s="20">
        <v>12257</v>
      </c>
      <c r="L1223" s="3" t="str">
        <f t="shared" si="39"/>
        <v>ΒΑΜΒΑΚΙ</v>
      </c>
    </row>
    <row r="1224" spans="1:12" s="3" customFormat="1" x14ac:dyDescent="0.25">
      <c r="A1224" s="3" t="str">
        <f t="shared" si="38"/>
        <v>ΒΑΜΒΑΚΙNATA</v>
      </c>
      <c r="B1224" s="4" t="s">
        <v>2016</v>
      </c>
      <c r="C1224" s="5" t="s">
        <v>2199</v>
      </c>
      <c r="D1224" s="6">
        <v>1513.82</v>
      </c>
      <c r="E1224" s="6">
        <v>1498.43</v>
      </c>
      <c r="F1224" s="7" t="s">
        <v>14</v>
      </c>
      <c r="G1224" s="8" t="s">
        <v>2200</v>
      </c>
      <c r="H1224" s="8" t="s">
        <v>27</v>
      </c>
      <c r="I1224" s="9">
        <v>795</v>
      </c>
      <c r="J1224" s="10">
        <v>12</v>
      </c>
      <c r="K1224" s="10">
        <v>12258</v>
      </c>
      <c r="L1224" s="3" t="str">
        <f t="shared" si="39"/>
        <v>ΒΑΜΒΑΚΙ</v>
      </c>
    </row>
    <row r="1225" spans="1:12" s="3" customFormat="1" x14ac:dyDescent="0.25">
      <c r="A1225" s="3" t="str">
        <f t="shared" si="38"/>
        <v>ΒΑΜΒΑΚΙNATALIYA</v>
      </c>
      <c r="B1225" s="18" t="s">
        <v>2016</v>
      </c>
      <c r="C1225" s="19" t="s">
        <v>2201</v>
      </c>
      <c r="D1225" s="6">
        <v>1513.82</v>
      </c>
      <c r="E1225" s="6">
        <v>1498.43</v>
      </c>
      <c r="F1225" s="6" t="s">
        <v>14</v>
      </c>
      <c r="G1225" s="8" t="s">
        <v>2202</v>
      </c>
      <c r="H1225" s="8" t="s">
        <v>27</v>
      </c>
      <c r="I1225" s="9">
        <v>4253</v>
      </c>
      <c r="J1225" s="20">
        <v>12</v>
      </c>
      <c r="K1225" s="20">
        <v>12259</v>
      </c>
      <c r="L1225" s="3" t="str">
        <f t="shared" si="39"/>
        <v>ΒΑΜΒΑΚΙ</v>
      </c>
    </row>
    <row r="1226" spans="1:12" s="3" customFormat="1" x14ac:dyDescent="0.25">
      <c r="A1226" s="3" t="str">
        <f t="shared" si="38"/>
        <v>ΒΑΜΒΑΚΙOLYMPUS 10</v>
      </c>
      <c r="B1226" s="18" t="s">
        <v>2016</v>
      </c>
      <c r="C1226" s="19" t="s">
        <v>2203</v>
      </c>
      <c r="D1226" s="6">
        <v>1513.82</v>
      </c>
      <c r="E1226" s="6">
        <v>1498.43</v>
      </c>
      <c r="F1226" s="6" t="s">
        <v>14</v>
      </c>
      <c r="G1226" s="8" t="s">
        <v>2204</v>
      </c>
      <c r="H1226" s="8" t="s">
        <v>27</v>
      </c>
      <c r="I1226" s="9">
        <v>4254</v>
      </c>
      <c r="J1226" s="20">
        <v>12</v>
      </c>
      <c r="K1226" s="20">
        <v>12260</v>
      </c>
      <c r="L1226" s="3" t="str">
        <f t="shared" si="39"/>
        <v>ΒΑΜΒΑΚΙ</v>
      </c>
    </row>
    <row r="1227" spans="1:12" s="3" customFormat="1" x14ac:dyDescent="0.25">
      <c r="A1227" s="3" t="str">
        <f t="shared" si="38"/>
        <v>ΒΑΜΒΑΚΙPOCKET</v>
      </c>
      <c r="B1227" s="18" t="s">
        <v>2016</v>
      </c>
      <c r="C1227" s="19" t="s">
        <v>2205</v>
      </c>
      <c r="D1227" s="6">
        <v>1513.82</v>
      </c>
      <c r="E1227" s="6">
        <v>1498.43</v>
      </c>
      <c r="F1227" s="6" t="s">
        <v>14</v>
      </c>
      <c r="G1227" s="8" t="s">
        <v>2206</v>
      </c>
      <c r="H1227" s="8" t="s">
        <v>27</v>
      </c>
      <c r="I1227" s="9">
        <v>4255</v>
      </c>
      <c r="J1227" s="20">
        <v>12</v>
      </c>
      <c r="K1227" s="20">
        <v>12261</v>
      </c>
      <c r="L1227" s="3" t="str">
        <f t="shared" si="39"/>
        <v>ΒΑΜΒΑΚΙ</v>
      </c>
    </row>
    <row r="1228" spans="1:12" s="3" customFormat="1" ht="24" x14ac:dyDescent="0.25">
      <c r="A1228" s="3" t="str">
        <f t="shared" si="38"/>
        <v>ΒΑΜΒΑΚΙPRIME 1004</v>
      </c>
      <c r="B1228" s="4" t="s">
        <v>2016</v>
      </c>
      <c r="C1228" s="5" t="s">
        <v>2207</v>
      </c>
      <c r="D1228" s="6">
        <v>1513.82</v>
      </c>
      <c r="E1228" s="6">
        <v>1498.43</v>
      </c>
      <c r="F1228" s="7" t="s">
        <v>14</v>
      </c>
      <c r="G1228" s="8" t="s">
        <v>2208</v>
      </c>
      <c r="H1228" s="8" t="s">
        <v>16</v>
      </c>
      <c r="I1228" s="9">
        <v>761</v>
      </c>
      <c r="J1228" s="10">
        <v>12</v>
      </c>
      <c r="K1228" s="10">
        <v>12262</v>
      </c>
      <c r="L1228" s="3" t="str">
        <f t="shared" si="39"/>
        <v>ΒΑΜΒΑΚΙ</v>
      </c>
    </row>
    <row r="1229" spans="1:12" s="3" customFormat="1" ht="24" x14ac:dyDescent="0.25">
      <c r="A1229" s="3" t="str">
        <f t="shared" si="38"/>
        <v>ΒΑΜΒΑΚΙRECITAL</v>
      </c>
      <c r="B1229" s="4" t="s">
        <v>2016</v>
      </c>
      <c r="C1229" s="5" t="s">
        <v>2209</v>
      </c>
      <c r="D1229" s="6">
        <v>1513.82</v>
      </c>
      <c r="E1229" s="6">
        <v>1498.43</v>
      </c>
      <c r="F1229" s="7" t="s">
        <v>14</v>
      </c>
      <c r="G1229" s="8" t="s">
        <v>2210</v>
      </c>
      <c r="H1229" s="8" t="s">
        <v>16</v>
      </c>
      <c r="I1229" s="9">
        <v>762</v>
      </c>
      <c r="J1229" s="10">
        <v>12</v>
      </c>
      <c r="K1229" s="10">
        <v>12263</v>
      </c>
      <c r="L1229" s="3" t="str">
        <f t="shared" si="39"/>
        <v>ΒΑΜΒΑΚΙ</v>
      </c>
    </row>
    <row r="1230" spans="1:12" s="3" customFormat="1" x14ac:dyDescent="0.25">
      <c r="A1230" s="3" t="str">
        <f t="shared" si="38"/>
        <v>ΒΑΜΒΑΚΙREFLEX</v>
      </c>
      <c r="B1230" s="18" t="s">
        <v>2016</v>
      </c>
      <c r="C1230" s="19" t="s">
        <v>2211</v>
      </c>
      <c r="D1230" s="6">
        <v>1513.82</v>
      </c>
      <c r="E1230" s="6">
        <v>1498.43</v>
      </c>
      <c r="F1230" s="6" t="s">
        <v>14</v>
      </c>
      <c r="G1230" s="8" t="s">
        <v>2212</v>
      </c>
      <c r="H1230" s="8" t="s">
        <v>27</v>
      </c>
      <c r="I1230" s="9">
        <v>4256</v>
      </c>
      <c r="J1230" s="20">
        <v>12</v>
      </c>
      <c r="K1230" s="20">
        <v>12264</v>
      </c>
      <c r="L1230" s="3" t="str">
        <f t="shared" si="39"/>
        <v>ΒΑΜΒΑΚΙ</v>
      </c>
    </row>
    <row r="1231" spans="1:12" s="3" customFormat="1" ht="24" x14ac:dyDescent="0.25">
      <c r="A1231" s="3" t="str">
        <f t="shared" si="38"/>
        <v>ΒΑΜΒΑΚΙREINA</v>
      </c>
      <c r="B1231" s="4" t="s">
        <v>2016</v>
      </c>
      <c r="C1231" s="5" t="s">
        <v>2213</v>
      </c>
      <c r="D1231" s="6">
        <v>1513.82</v>
      </c>
      <c r="E1231" s="6">
        <v>1498.43</v>
      </c>
      <c r="F1231" s="7" t="s">
        <v>14</v>
      </c>
      <c r="G1231" s="8" t="s">
        <v>2214</v>
      </c>
      <c r="H1231" s="8" t="s">
        <v>16</v>
      </c>
      <c r="I1231" s="9">
        <v>763</v>
      </c>
      <c r="J1231" s="10">
        <v>12</v>
      </c>
      <c r="K1231" s="10">
        <v>12265</v>
      </c>
      <c r="L1231" s="3" t="str">
        <f t="shared" si="39"/>
        <v>ΒΑΜΒΑΚΙ</v>
      </c>
    </row>
    <row r="1232" spans="1:12" s="3" customFormat="1" ht="24" x14ac:dyDescent="0.25">
      <c r="A1232" s="3" t="str">
        <f t="shared" si="38"/>
        <v>ΒΑΜΒΑΚΙROSITA</v>
      </c>
      <c r="B1232" s="4" t="s">
        <v>2016</v>
      </c>
      <c r="C1232" s="5" t="s">
        <v>2215</v>
      </c>
      <c r="D1232" s="6">
        <v>1513.82</v>
      </c>
      <c r="E1232" s="6">
        <v>1498.43</v>
      </c>
      <c r="F1232" s="7" t="s">
        <v>14</v>
      </c>
      <c r="G1232" s="8" t="s">
        <v>2216</v>
      </c>
      <c r="H1232" s="8" t="s">
        <v>16</v>
      </c>
      <c r="I1232" s="9">
        <v>764</v>
      </c>
      <c r="J1232" s="10">
        <v>12</v>
      </c>
      <c r="K1232" s="10">
        <v>12266</v>
      </c>
      <c r="L1232" s="3" t="str">
        <f t="shared" si="39"/>
        <v>ΒΑΜΒΑΚΙ</v>
      </c>
    </row>
    <row r="1233" spans="1:12" s="3" customFormat="1" x14ac:dyDescent="0.25">
      <c r="A1233" s="3" t="str">
        <f t="shared" si="38"/>
        <v>ΒΑΜΒΑΚΙRUMI</v>
      </c>
      <c r="B1233" s="4" t="s">
        <v>2016</v>
      </c>
      <c r="C1233" s="5" t="s">
        <v>2217</v>
      </c>
      <c r="D1233" s="6">
        <v>1513.82</v>
      </c>
      <c r="E1233" s="6">
        <v>1498.43</v>
      </c>
      <c r="F1233" s="7" t="s">
        <v>14</v>
      </c>
      <c r="G1233" s="8" t="s">
        <v>2218</v>
      </c>
      <c r="H1233" s="8" t="s">
        <v>27</v>
      </c>
      <c r="I1233" s="9">
        <v>765</v>
      </c>
      <c r="J1233" s="10">
        <v>12</v>
      </c>
      <c r="K1233" s="10">
        <v>12267</v>
      </c>
      <c r="L1233" s="3" t="str">
        <f t="shared" si="39"/>
        <v>ΒΑΜΒΑΚΙ</v>
      </c>
    </row>
    <row r="1234" spans="1:12" s="3" customFormat="1" ht="24" x14ac:dyDescent="0.25">
      <c r="A1234" s="3" t="str">
        <f t="shared" si="38"/>
        <v>ΒΑΜΒΑΚΙSILVIA</v>
      </c>
      <c r="B1234" s="4" t="s">
        <v>2016</v>
      </c>
      <c r="C1234" s="5" t="s">
        <v>2219</v>
      </c>
      <c r="D1234" s="6">
        <v>1513.82</v>
      </c>
      <c r="E1234" s="6">
        <v>1498.43</v>
      </c>
      <c r="F1234" s="7" t="s">
        <v>14</v>
      </c>
      <c r="G1234" s="8" t="s">
        <v>2220</v>
      </c>
      <c r="H1234" s="8" t="s">
        <v>16</v>
      </c>
      <c r="I1234" s="9">
        <v>766</v>
      </c>
      <c r="J1234" s="10">
        <v>12</v>
      </c>
      <c r="K1234" s="10">
        <v>12269</v>
      </c>
      <c r="L1234" s="3" t="str">
        <f t="shared" si="39"/>
        <v>ΒΑΜΒΑΚΙ</v>
      </c>
    </row>
    <row r="1235" spans="1:12" s="3" customFormat="1" x14ac:dyDescent="0.25">
      <c r="A1235" s="3" t="str">
        <f t="shared" si="38"/>
        <v>ΒΑΜΒΑΚΙSINA</v>
      </c>
      <c r="B1235" s="18" t="s">
        <v>2016</v>
      </c>
      <c r="C1235" s="19" t="s">
        <v>2221</v>
      </c>
      <c r="D1235" s="6">
        <v>1513.82</v>
      </c>
      <c r="E1235" s="6">
        <v>1498.43</v>
      </c>
      <c r="F1235" s="6" t="s">
        <v>14</v>
      </c>
      <c r="G1235" s="8" t="s">
        <v>2222</v>
      </c>
      <c r="H1235" s="8" t="s">
        <v>27</v>
      </c>
      <c r="I1235" s="9">
        <v>4257</v>
      </c>
      <c r="J1235" s="20">
        <v>12</v>
      </c>
      <c r="K1235" s="20">
        <v>12270</v>
      </c>
      <c r="L1235" s="3" t="str">
        <f t="shared" si="39"/>
        <v>ΒΑΜΒΑΚΙ</v>
      </c>
    </row>
    <row r="1236" spans="1:12" s="3" customFormat="1" ht="24" x14ac:dyDescent="0.25">
      <c r="A1236" s="3" t="str">
        <f t="shared" si="38"/>
        <v>ΒΑΜΒΑΚΙSIRIUS</v>
      </c>
      <c r="B1236" s="4" t="s">
        <v>2016</v>
      </c>
      <c r="C1236" s="5" t="s">
        <v>2223</v>
      </c>
      <c r="D1236" s="6">
        <v>1513.82</v>
      </c>
      <c r="E1236" s="6">
        <v>1498.43</v>
      </c>
      <c r="F1236" s="7" t="s">
        <v>14</v>
      </c>
      <c r="G1236" s="8" t="s">
        <v>2224</v>
      </c>
      <c r="H1236" s="8" t="s">
        <v>16</v>
      </c>
      <c r="I1236" s="9">
        <v>767</v>
      </c>
      <c r="J1236" s="10">
        <v>12</v>
      </c>
      <c r="K1236" s="10">
        <v>12271</v>
      </c>
      <c r="L1236" s="3" t="str">
        <f t="shared" si="39"/>
        <v>ΒΑΜΒΑΚΙ</v>
      </c>
    </row>
    <row r="1237" spans="1:12" s="3" customFormat="1" ht="24" x14ac:dyDescent="0.25">
      <c r="A1237" s="3" t="str">
        <f t="shared" si="38"/>
        <v>ΒΑΜΒΑΚΙSOLERA</v>
      </c>
      <c r="B1237" s="4" t="s">
        <v>2016</v>
      </c>
      <c r="C1237" s="5" t="s">
        <v>2225</v>
      </c>
      <c r="D1237" s="6">
        <v>1513.82</v>
      </c>
      <c r="E1237" s="6">
        <v>1498.43</v>
      </c>
      <c r="F1237" s="7" t="s">
        <v>14</v>
      </c>
      <c r="G1237" s="8" t="s">
        <v>2226</v>
      </c>
      <c r="H1237" s="8" t="s">
        <v>16</v>
      </c>
      <c r="I1237" s="9">
        <v>768</v>
      </c>
      <c r="J1237" s="10">
        <v>12</v>
      </c>
      <c r="K1237" s="10">
        <v>12272</v>
      </c>
      <c r="L1237" s="3" t="str">
        <f t="shared" si="39"/>
        <v>ΒΑΜΒΑΚΙ</v>
      </c>
    </row>
    <row r="1238" spans="1:12" s="3" customFormat="1" ht="24" x14ac:dyDescent="0.25">
      <c r="A1238" s="3" t="str">
        <f t="shared" si="38"/>
        <v>ΒΑΜΒΑΚΙST 132</v>
      </c>
      <c r="B1238" s="4" t="s">
        <v>2016</v>
      </c>
      <c r="C1238" s="5" t="s">
        <v>2227</v>
      </c>
      <c r="D1238" s="6">
        <v>1513.82</v>
      </c>
      <c r="E1238" s="6">
        <v>1498.43</v>
      </c>
      <c r="F1238" s="7" t="s">
        <v>14</v>
      </c>
      <c r="G1238" s="8" t="s">
        <v>2228</v>
      </c>
      <c r="H1238" s="8" t="s">
        <v>16</v>
      </c>
      <c r="I1238" s="9">
        <v>769</v>
      </c>
      <c r="J1238" s="10">
        <v>12</v>
      </c>
      <c r="K1238" s="10">
        <v>12273</v>
      </c>
      <c r="L1238" s="3" t="str">
        <f t="shared" si="39"/>
        <v>ΒΑΜΒΑΚΙ</v>
      </c>
    </row>
    <row r="1239" spans="1:12" s="3" customFormat="1" x14ac:dyDescent="0.25">
      <c r="A1239" s="3" t="str">
        <f t="shared" si="38"/>
        <v>ΒΑΜΒΑΚΙST 439</v>
      </c>
      <c r="B1239" s="4" t="s">
        <v>2016</v>
      </c>
      <c r="C1239" s="5" t="s">
        <v>2229</v>
      </c>
      <c r="D1239" s="6">
        <v>1513.82</v>
      </c>
      <c r="E1239" s="6">
        <v>1498.43</v>
      </c>
      <c r="F1239" s="7" t="s">
        <v>14</v>
      </c>
      <c r="G1239" s="8" t="s">
        <v>2230</v>
      </c>
      <c r="H1239" s="8" t="s">
        <v>27</v>
      </c>
      <c r="I1239" s="9">
        <v>783</v>
      </c>
      <c r="J1239" s="10">
        <v>12</v>
      </c>
      <c r="K1239" s="10">
        <v>12274</v>
      </c>
      <c r="L1239" s="3" t="str">
        <f t="shared" si="39"/>
        <v>ΒΑΜΒΑΚΙ</v>
      </c>
    </row>
    <row r="1240" spans="1:12" s="3" customFormat="1" x14ac:dyDescent="0.25">
      <c r="A1240" s="3" t="str">
        <f t="shared" si="38"/>
        <v>ΒΑΜΒΑΚΙST 453</v>
      </c>
      <c r="B1240" s="18" t="s">
        <v>2016</v>
      </c>
      <c r="C1240" s="19" t="s">
        <v>2231</v>
      </c>
      <c r="D1240" s="6">
        <v>1513.82</v>
      </c>
      <c r="E1240" s="6">
        <v>1498.43</v>
      </c>
      <c r="F1240" s="6" t="s">
        <v>14</v>
      </c>
      <c r="G1240" s="8" t="s">
        <v>2232</v>
      </c>
      <c r="H1240" s="8" t="s">
        <v>27</v>
      </c>
      <c r="I1240" s="9">
        <v>4258</v>
      </c>
      <c r="J1240" s="20">
        <v>12</v>
      </c>
      <c r="K1240" s="20">
        <v>12275</v>
      </c>
      <c r="L1240" s="3" t="str">
        <f t="shared" si="39"/>
        <v>ΒΑΜΒΑΚΙ</v>
      </c>
    </row>
    <row r="1241" spans="1:12" s="3" customFormat="1" x14ac:dyDescent="0.25">
      <c r="A1241" s="3" t="str">
        <f t="shared" si="38"/>
        <v>ΒΑΜΒΑΚΙST 477</v>
      </c>
      <c r="B1241" s="4" t="s">
        <v>2016</v>
      </c>
      <c r="C1241" s="5" t="s">
        <v>2233</v>
      </c>
      <c r="D1241" s="6">
        <v>1513.82</v>
      </c>
      <c r="E1241" s="6">
        <v>1498.43</v>
      </c>
      <c r="F1241" s="7" t="s">
        <v>14</v>
      </c>
      <c r="G1241" s="8" t="s">
        <v>2234</v>
      </c>
      <c r="H1241" s="8" t="s">
        <v>27</v>
      </c>
      <c r="I1241" s="9">
        <v>771</v>
      </c>
      <c r="J1241" s="10">
        <v>12</v>
      </c>
      <c r="K1241" s="10">
        <v>12276</v>
      </c>
      <c r="L1241" s="3" t="str">
        <f t="shared" si="39"/>
        <v>ΒΑΜΒΑΚΙ</v>
      </c>
    </row>
    <row r="1242" spans="1:12" s="3" customFormat="1" ht="24" x14ac:dyDescent="0.25">
      <c r="A1242" s="3" t="str">
        <f t="shared" si="38"/>
        <v>ΒΑΜΒΑΚΙST 488</v>
      </c>
      <c r="B1242" s="4" t="s">
        <v>2016</v>
      </c>
      <c r="C1242" s="5" t="s">
        <v>2235</v>
      </c>
      <c r="D1242" s="6">
        <v>1513.82</v>
      </c>
      <c r="E1242" s="6">
        <v>1498.43</v>
      </c>
      <c r="F1242" s="7" t="s">
        <v>14</v>
      </c>
      <c r="G1242" s="8" t="s">
        <v>2236</v>
      </c>
      <c r="H1242" s="8" t="s">
        <v>16</v>
      </c>
      <c r="I1242" s="9">
        <v>760</v>
      </c>
      <c r="J1242" s="10">
        <v>12</v>
      </c>
      <c r="K1242" s="10">
        <v>12277</v>
      </c>
      <c r="L1242" s="3" t="str">
        <f t="shared" si="39"/>
        <v>ΒΑΜΒΑΚΙ</v>
      </c>
    </row>
    <row r="1243" spans="1:12" s="3" customFormat="1" x14ac:dyDescent="0.25">
      <c r="A1243" s="3" t="str">
        <f t="shared" si="38"/>
        <v>ΒΑΜΒΑΚΙST 575</v>
      </c>
      <c r="B1243" s="18" t="s">
        <v>2016</v>
      </c>
      <c r="C1243" s="19" t="s">
        <v>2237</v>
      </c>
      <c r="D1243" s="6">
        <v>1513.82</v>
      </c>
      <c r="E1243" s="6">
        <v>1498.43</v>
      </c>
      <c r="F1243" s="6" t="s">
        <v>14</v>
      </c>
      <c r="G1243" s="8" t="s">
        <v>2238</v>
      </c>
      <c r="H1243" s="8" t="s">
        <v>27</v>
      </c>
      <c r="I1243" s="9">
        <v>4259</v>
      </c>
      <c r="J1243" s="20">
        <v>12</v>
      </c>
      <c r="K1243" s="20">
        <v>12278</v>
      </c>
      <c r="L1243" s="3" t="str">
        <f t="shared" si="39"/>
        <v>ΒΑΜΒΑΚΙ</v>
      </c>
    </row>
    <row r="1244" spans="1:12" s="3" customFormat="1" x14ac:dyDescent="0.25">
      <c r="A1244" s="3" t="str">
        <f t="shared" si="38"/>
        <v>ΒΑΜΒΑΚΙTEBA</v>
      </c>
      <c r="B1244" s="18" t="s">
        <v>2016</v>
      </c>
      <c r="C1244" s="19" t="s">
        <v>2239</v>
      </c>
      <c r="D1244" s="6">
        <v>1513.82</v>
      </c>
      <c r="E1244" s="6">
        <v>1498.43</v>
      </c>
      <c r="F1244" s="6" t="s">
        <v>14</v>
      </c>
      <c r="G1244" s="8" t="s">
        <v>2240</v>
      </c>
      <c r="H1244" s="8" t="s">
        <v>27</v>
      </c>
      <c r="I1244" s="9">
        <v>4260</v>
      </c>
      <c r="J1244" s="20">
        <v>12</v>
      </c>
      <c r="K1244" s="20">
        <v>12279</v>
      </c>
      <c r="L1244" s="3" t="str">
        <f t="shared" si="39"/>
        <v>ΒΑΜΒΑΚΙ</v>
      </c>
    </row>
    <row r="1245" spans="1:12" s="3" customFormat="1" x14ac:dyDescent="0.25">
      <c r="A1245" s="3" t="str">
        <f t="shared" si="38"/>
        <v>ΒΑΜΒΑΚΙTEIDE</v>
      </c>
      <c r="B1245" s="18" t="s">
        <v>2016</v>
      </c>
      <c r="C1245" s="19" t="s">
        <v>2241</v>
      </c>
      <c r="D1245" s="6">
        <v>1513.82</v>
      </c>
      <c r="E1245" s="6">
        <v>1498.43</v>
      </c>
      <c r="F1245" s="6" t="s">
        <v>14</v>
      </c>
      <c r="G1245" s="8" t="s">
        <v>2242</v>
      </c>
      <c r="H1245" s="8" t="s">
        <v>27</v>
      </c>
      <c r="I1245" s="9">
        <v>4261</v>
      </c>
      <c r="J1245" s="20">
        <v>12</v>
      </c>
      <c r="K1245" s="20">
        <v>12280</v>
      </c>
      <c r="L1245" s="3" t="str">
        <f t="shared" si="39"/>
        <v>ΒΑΜΒΑΚΙ</v>
      </c>
    </row>
    <row r="1246" spans="1:12" s="3" customFormat="1" x14ac:dyDescent="0.25">
      <c r="A1246" s="3" t="str">
        <f t="shared" si="38"/>
        <v>ΒΑΜΒΑΚΙTHEKA</v>
      </c>
      <c r="B1246" s="4" t="s">
        <v>2016</v>
      </c>
      <c r="C1246" s="5" t="s">
        <v>2243</v>
      </c>
      <c r="D1246" s="6">
        <v>1513.82</v>
      </c>
      <c r="E1246" s="6">
        <v>1498.43</v>
      </c>
      <c r="F1246" s="7" t="s">
        <v>14</v>
      </c>
      <c r="G1246" s="8" t="s">
        <v>2244</v>
      </c>
      <c r="H1246" s="8" t="s">
        <v>27</v>
      </c>
      <c r="I1246" s="9">
        <v>773</v>
      </c>
      <c r="J1246" s="10">
        <v>12</v>
      </c>
      <c r="K1246" s="10">
        <v>12281</v>
      </c>
      <c r="L1246" s="3" t="str">
        <f t="shared" si="39"/>
        <v>ΒΑΜΒΑΚΙ</v>
      </c>
    </row>
    <row r="1247" spans="1:12" s="3" customFormat="1" ht="24" x14ac:dyDescent="0.25">
      <c r="A1247" s="3" t="str">
        <f t="shared" si="38"/>
        <v>ΒΑΜΒΑΚΙTRAKIYA</v>
      </c>
      <c r="B1247" s="4" t="s">
        <v>2016</v>
      </c>
      <c r="C1247" s="5" t="s">
        <v>2245</v>
      </c>
      <c r="D1247" s="6">
        <v>1513.82</v>
      </c>
      <c r="E1247" s="6">
        <v>1498.43</v>
      </c>
      <c r="F1247" s="7" t="s">
        <v>14</v>
      </c>
      <c r="G1247" s="8" t="s">
        <v>2246</v>
      </c>
      <c r="H1247" s="8" t="s">
        <v>16</v>
      </c>
      <c r="I1247" s="9">
        <v>774</v>
      </c>
      <c r="J1247" s="10">
        <v>12</v>
      </c>
      <c r="K1247" s="10">
        <v>12282</v>
      </c>
      <c r="L1247" s="3" t="str">
        <f t="shared" si="39"/>
        <v>ΒΑΜΒΑΚΙ</v>
      </c>
    </row>
    <row r="1248" spans="1:12" s="3" customFormat="1" x14ac:dyDescent="0.25">
      <c r="A1248" s="3" t="str">
        <f t="shared" si="38"/>
        <v>ΒΑΜΒΑΚΙVIKI IPTP</v>
      </c>
      <c r="B1248" s="18" t="s">
        <v>2016</v>
      </c>
      <c r="C1248" s="19" t="s">
        <v>2247</v>
      </c>
      <c r="D1248" s="6">
        <v>1513.82</v>
      </c>
      <c r="E1248" s="6">
        <v>1498.43</v>
      </c>
      <c r="F1248" s="6" t="s">
        <v>14</v>
      </c>
      <c r="G1248" s="8" t="s">
        <v>2248</v>
      </c>
      <c r="H1248" s="8" t="s">
        <v>27</v>
      </c>
      <c r="I1248" s="9">
        <v>4262</v>
      </c>
      <c r="J1248" s="20">
        <v>12</v>
      </c>
      <c r="K1248" s="20">
        <v>12283</v>
      </c>
      <c r="L1248" s="3" t="str">
        <f t="shared" si="39"/>
        <v>ΒΑΜΒΑΚΙ</v>
      </c>
    </row>
    <row r="1249" spans="1:12" s="3" customFormat="1" ht="24" x14ac:dyDescent="0.25">
      <c r="A1249" s="3" t="str">
        <f t="shared" si="38"/>
        <v>ΒΑΜΒΑΚΙVIKY</v>
      </c>
      <c r="B1249" s="4" t="s">
        <v>2016</v>
      </c>
      <c r="C1249" s="5" t="s">
        <v>2249</v>
      </c>
      <c r="D1249" s="6">
        <v>1513.82</v>
      </c>
      <c r="E1249" s="6">
        <v>1498.43</v>
      </c>
      <c r="F1249" s="7" t="s">
        <v>14</v>
      </c>
      <c r="G1249" s="8" t="s">
        <v>2250</v>
      </c>
      <c r="H1249" s="8" t="s">
        <v>16</v>
      </c>
      <c r="I1249" s="9">
        <v>775</v>
      </c>
      <c r="J1249" s="10">
        <v>12</v>
      </c>
      <c r="K1249" s="10">
        <v>12284</v>
      </c>
      <c r="L1249" s="3" t="str">
        <f t="shared" si="39"/>
        <v>ΒΑΜΒΑΚΙ</v>
      </c>
    </row>
    <row r="1250" spans="1:12" s="3" customFormat="1" x14ac:dyDescent="0.25">
      <c r="A1250" s="3" t="str">
        <f t="shared" si="38"/>
        <v>ΒΑΜΒΑΚΙVULCANO</v>
      </c>
      <c r="B1250" s="4" t="s">
        <v>2016</v>
      </c>
      <c r="C1250" s="5" t="s">
        <v>2251</v>
      </c>
      <c r="D1250" s="6">
        <v>1513.82</v>
      </c>
      <c r="E1250" s="6">
        <v>1498.43</v>
      </c>
      <c r="F1250" s="7" t="s">
        <v>14</v>
      </c>
      <c r="G1250" s="8" t="s">
        <v>2252</v>
      </c>
      <c r="H1250" s="8" t="s">
        <v>27</v>
      </c>
      <c r="I1250" s="9">
        <v>776</v>
      </c>
      <c r="J1250" s="10">
        <v>12</v>
      </c>
      <c r="K1250" s="10">
        <v>12285</v>
      </c>
      <c r="L1250" s="3" t="str">
        <f t="shared" si="39"/>
        <v>ΒΑΜΒΑΚΙ</v>
      </c>
    </row>
    <row r="1251" spans="1:12" s="3" customFormat="1" ht="24" x14ac:dyDescent="0.25">
      <c r="A1251" s="3" t="str">
        <f t="shared" si="38"/>
        <v>ΒΑΜΒΑΚΙALEPO</v>
      </c>
      <c r="B1251" s="4" t="s">
        <v>2016</v>
      </c>
      <c r="C1251" s="5" t="s">
        <v>2253</v>
      </c>
      <c r="D1251" s="6">
        <v>1513.82</v>
      </c>
      <c r="E1251" s="6">
        <v>1498.43</v>
      </c>
      <c r="F1251" s="7" t="s">
        <v>14</v>
      </c>
      <c r="G1251" s="8" t="s">
        <v>2254</v>
      </c>
      <c r="H1251" s="8" t="s">
        <v>16</v>
      </c>
      <c r="I1251" s="9">
        <v>777</v>
      </c>
      <c r="J1251" s="10">
        <v>12</v>
      </c>
      <c r="K1251" s="10">
        <v>12286</v>
      </c>
      <c r="L1251" s="3" t="str">
        <f t="shared" si="39"/>
        <v>ΒΑΜΒΑΚΙ</v>
      </c>
    </row>
    <row r="1252" spans="1:12" s="3" customFormat="1" ht="24" x14ac:dyDescent="0.25">
      <c r="A1252" s="3" t="str">
        <f t="shared" si="38"/>
        <v>ΒΑΜΒΑΚΙEDESSA</v>
      </c>
      <c r="B1252" s="4" t="s">
        <v>2016</v>
      </c>
      <c r="C1252" s="5" t="s">
        <v>2255</v>
      </c>
      <c r="D1252" s="6">
        <v>1513.82</v>
      </c>
      <c r="E1252" s="6">
        <v>1498.43</v>
      </c>
      <c r="F1252" s="7" t="s">
        <v>14</v>
      </c>
      <c r="G1252" s="8" t="s">
        <v>2256</v>
      </c>
      <c r="H1252" s="8" t="s">
        <v>16</v>
      </c>
      <c r="I1252" s="9">
        <v>778</v>
      </c>
      <c r="J1252" s="10">
        <v>12</v>
      </c>
      <c r="K1252" s="10">
        <v>12287</v>
      </c>
      <c r="L1252" s="3" t="str">
        <f t="shared" si="39"/>
        <v>ΒΑΜΒΑΚΙ</v>
      </c>
    </row>
    <row r="1253" spans="1:12" s="3" customFormat="1" ht="24" x14ac:dyDescent="0.25">
      <c r="A1253" s="3" t="str">
        <f t="shared" si="38"/>
        <v>ΒΑΜΒΑΚΙKENDRA</v>
      </c>
      <c r="B1253" s="4" t="s">
        <v>2016</v>
      </c>
      <c r="C1253" s="5" t="s">
        <v>2257</v>
      </c>
      <c r="D1253" s="6">
        <v>1513.82</v>
      </c>
      <c r="E1253" s="6">
        <v>1498.43</v>
      </c>
      <c r="F1253" s="7" t="s">
        <v>14</v>
      </c>
      <c r="G1253" s="8" t="s">
        <v>2258</v>
      </c>
      <c r="H1253" s="8" t="s">
        <v>16</v>
      </c>
      <c r="I1253" s="9">
        <v>779</v>
      </c>
      <c r="J1253" s="10">
        <v>12</v>
      </c>
      <c r="K1253" s="10">
        <v>12288</v>
      </c>
      <c r="L1253" s="3" t="str">
        <f t="shared" si="39"/>
        <v>ΒΑΜΒΑΚΙ</v>
      </c>
    </row>
    <row r="1254" spans="1:12" s="3" customFormat="1" ht="24" x14ac:dyDescent="0.25">
      <c r="A1254" s="3" t="str">
        <f t="shared" si="38"/>
        <v>ΒΑΜΒΑΚΙLAGIRALDA</v>
      </c>
      <c r="B1254" s="4" t="s">
        <v>2016</v>
      </c>
      <c r="C1254" s="5" t="s">
        <v>2259</v>
      </c>
      <c r="D1254" s="6">
        <v>1513.82</v>
      </c>
      <c r="E1254" s="6">
        <v>1498.43</v>
      </c>
      <c r="F1254" s="7" t="s">
        <v>14</v>
      </c>
      <c r="G1254" s="8" t="s">
        <v>2260</v>
      </c>
      <c r="H1254" s="8" t="s">
        <v>16</v>
      </c>
      <c r="I1254" s="9">
        <v>780</v>
      </c>
      <c r="J1254" s="10">
        <v>12</v>
      </c>
      <c r="K1254" s="10">
        <v>12289</v>
      </c>
      <c r="L1254" s="3" t="str">
        <f t="shared" si="39"/>
        <v>ΒΑΜΒΑΚΙ</v>
      </c>
    </row>
    <row r="1255" spans="1:12" s="3" customFormat="1" ht="24" x14ac:dyDescent="0.25">
      <c r="A1255" s="3" t="str">
        <f t="shared" si="38"/>
        <v>ΒΑΜΒΑΚΙLANOVIA</v>
      </c>
      <c r="B1255" s="4" t="s">
        <v>2016</v>
      </c>
      <c r="C1255" s="5" t="s">
        <v>2261</v>
      </c>
      <c r="D1255" s="6">
        <v>1513.82</v>
      </c>
      <c r="E1255" s="6">
        <v>1498.43</v>
      </c>
      <c r="F1255" s="7" t="s">
        <v>14</v>
      </c>
      <c r="G1255" s="8" t="s">
        <v>2262</v>
      </c>
      <c r="H1255" s="8" t="s">
        <v>16</v>
      </c>
      <c r="I1255" s="9">
        <v>781</v>
      </c>
      <c r="J1255" s="10">
        <v>12</v>
      </c>
      <c r="K1255" s="10">
        <v>12290</v>
      </c>
      <c r="L1255" s="3" t="str">
        <f t="shared" si="39"/>
        <v>ΒΑΜΒΑΚΙ</v>
      </c>
    </row>
    <row r="1256" spans="1:12" s="3" customFormat="1" ht="24" x14ac:dyDescent="0.25">
      <c r="A1256" s="3" t="str">
        <f t="shared" si="38"/>
        <v>ΒΑΜΒΑΚΙARMONIA</v>
      </c>
      <c r="B1256" s="4" t="s">
        <v>2016</v>
      </c>
      <c r="C1256" s="5" t="s">
        <v>2263</v>
      </c>
      <c r="D1256" s="6">
        <v>1513.82</v>
      </c>
      <c r="E1256" s="6">
        <v>1498.43</v>
      </c>
      <c r="F1256" s="7" t="s">
        <v>14</v>
      </c>
      <c r="G1256" s="8" t="s">
        <v>2264</v>
      </c>
      <c r="H1256" s="8" t="s">
        <v>16</v>
      </c>
      <c r="I1256" s="9">
        <v>782</v>
      </c>
      <c r="J1256" s="10">
        <v>12</v>
      </c>
      <c r="K1256" s="10">
        <v>12291</v>
      </c>
      <c r="L1256" s="3" t="str">
        <f t="shared" si="39"/>
        <v>ΒΑΜΒΑΚΙ</v>
      </c>
    </row>
    <row r="1257" spans="1:12" s="3" customFormat="1" ht="24" x14ac:dyDescent="0.25">
      <c r="A1257" s="3" t="str">
        <f t="shared" si="38"/>
        <v>ΒΑΜΒΑΚΙBRIDGET</v>
      </c>
      <c r="B1257" s="4" t="s">
        <v>2016</v>
      </c>
      <c r="C1257" s="5" t="s">
        <v>2265</v>
      </c>
      <c r="D1257" s="6">
        <v>1513.82</v>
      </c>
      <c r="E1257" s="6">
        <v>1498.43</v>
      </c>
      <c r="F1257" s="7" t="s">
        <v>14</v>
      </c>
      <c r="G1257" s="8" t="s">
        <v>2266</v>
      </c>
      <c r="H1257" s="8" t="s">
        <v>16</v>
      </c>
      <c r="I1257" s="9">
        <v>687</v>
      </c>
      <c r="J1257" s="10">
        <v>12</v>
      </c>
      <c r="K1257" s="10">
        <v>12292</v>
      </c>
      <c r="L1257" s="3" t="str">
        <f t="shared" si="39"/>
        <v>ΒΑΜΒΑΚΙ</v>
      </c>
    </row>
    <row r="1258" spans="1:12" s="3" customFormat="1" ht="24" x14ac:dyDescent="0.25">
      <c r="A1258" s="3" t="str">
        <f t="shared" si="38"/>
        <v>ΒΑΜΒΑΚΙCYNTIA</v>
      </c>
      <c r="B1258" s="4" t="s">
        <v>2016</v>
      </c>
      <c r="C1258" s="5" t="s">
        <v>2267</v>
      </c>
      <c r="D1258" s="6">
        <v>1513.82</v>
      </c>
      <c r="E1258" s="6">
        <v>1498.43</v>
      </c>
      <c r="F1258" s="7" t="s">
        <v>14</v>
      </c>
      <c r="G1258" s="8" t="s">
        <v>2268</v>
      </c>
      <c r="H1258" s="8" t="s">
        <v>16</v>
      </c>
      <c r="I1258" s="9">
        <v>625</v>
      </c>
      <c r="J1258" s="10">
        <v>12</v>
      </c>
      <c r="K1258" s="10">
        <v>12293</v>
      </c>
      <c r="L1258" s="3" t="str">
        <f t="shared" si="39"/>
        <v>ΒΑΜΒΑΚΙ</v>
      </c>
    </row>
    <row r="1259" spans="1:12" s="3" customFormat="1" ht="24" x14ac:dyDescent="0.25">
      <c r="A1259" s="3" t="str">
        <f t="shared" si="38"/>
        <v>ΒΑΜΒΑΚΙEGEYA</v>
      </c>
      <c r="B1259" s="4" t="s">
        <v>2016</v>
      </c>
      <c r="C1259" s="5" t="s">
        <v>2269</v>
      </c>
      <c r="D1259" s="6">
        <v>1513.82</v>
      </c>
      <c r="E1259" s="6">
        <v>1498.43</v>
      </c>
      <c r="F1259" s="7" t="s">
        <v>14</v>
      </c>
      <c r="G1259" s="8" t="s">
        <v>2270</v>
      </c>
      <c r="H1259" s="8" t="s">
        <v>16</v>
      </c>
      <c r="I1259" s="9">
        <v>733</v>
      </c>
      <c r="J1259" s="10">
        <v>12</v>
      </c>
      <c r="K1259" s="10">
        <v>12294</v>
      </c>
      <c r="L1259" s="3" t="str">
        <f t="shared" si="39"/>
        <v>ΒΑΜΒΑΚΙ</v>
      </c>
    </row>
    <row r="1260" spans="1:12" s="3" customFormat="1" ht="24" x14ac:dyDescent="0.25">
      <c r="A1260" s="3" t="str">
        <f t="shared" si="38"/>
        <v>ΒΑΜΒΑΚΙESA015</v>
      </c>
      <c r="B1260" s="4" t="s">
        <v>2016</v>
      </c>
      <c r="C1260" s="5" t="s">
        <v>2271</v>
      </c>
      <c r="D1260" s="6">
        <v>1513.82</v>
      </c>
      <c r="E1260" s="6">
        <v>1498.43</v>
      </c>
      <c r="F1260" s="7" t="s">
        <v>14</v>
      </c>
      <c r="G1260" s="8" t="s">
        <v>2272</v>
      </c>
      <c r="H1260" s="8" t="s">
        <v>16</v>
      </c>
      <c r="I1260" s="9">
        <v>640</v>
      </c>
      <c r="J1260" s="10">
        <v>12</v>
      </c>
      <c r="K1260" s="10">
        <v>12295</v>
      </c>
      <c r="L1260" s="3" t="str">
        <f t="shared" si="39"/>
        <v>ΒΑΜΒΑΚΙ</v>
      </c>
    </row>
    <row r="1261" spans="1:12" s="3" customFormat="1" ht="24" x14ac:dyDescent="0.25">
      <c r="A1261" s="3" t="str">
        <f t="shared" si="38"/>
        <v>ΒΑΜΒΑΚΙFIDEL</v>
      </c>
      <c r="B1261" s="4" t="s">
        <v>2016</v>
      </c>
      <c r="C1261" s="5" t="s">
        <v>2273</v>
      </c>
      <c r="D1261" s="6">
        <v>1513.82</v>
      </c>
      <c r="E1261" s="6">
        <v>1498.43</v>
      </c>
      <c r="F1261" s="7" t="s">
        <v>14</v>
      </c>
      <c r="G1261" s="8" t="s">
        <v>2274</v>
      </c>
      <c r="H1261" s="8" t="s">
        <v>16</v>
      </c>
      <c r="I1261" s="9">
        <v>641</v>
      </c>
      <c r="J1261" s="10">
        <v>12</v>
      </c>
      <c r="K1261" s="10">
        <v>12296</v>
      </c>
      <c r="L1261" s="3" t="str">
        <f t="shared" si="39"/>
        <v>ΒΑΜΒΑΚΙ</v>
      </c>
    </row>
    <row r="1262" spans="1:12" s="3" customFormat="1" ht="24" x14ac:dyDescent="0.25">
      <c r="A1262" s="3" t="str">
        <f t="shared" si="38"/>
        <v>ΒΑΜΒΑΚΙLIMA</v>
      </c>
      <c r="B1262" s="4" t="s">
        <v>2016</v>
      </c>
      <c r="C1262" s="5" t="s">
        <v>2275</v>
      </c>
      <c r="D1262" s="6">
        <v>1513.82</v>
      </c>
      <c r="E1262" s="6">
        <v>1498.43</v>
      </c>
      <c r="F1262" s="7" t="s">
        <v>14</v>
      </c>
      <c r="G1262" s="8" t="s">
        <v>2276</v>
      </c>
      <c r="H1262" s="8" t="s">
        <v>16</v>
      </c>
      <c r="I1262" s="9">
        <v>642</v>
      </c>
      <c r="J1262" s="10">
        <v>12</v>
      </c>
      <c r="K1262" s="10">
        <v>12297</v>
      </c>
      <c r="L1262" s="3" t="str">
        <f t="shared" si="39"/>
        <v>ΒΑΜΒΑΚΙ</v>
      </c>
    </row>
    <row r="1263" spans="1:12" s="3" customFormat="1" ht="24" x14ac:dyDescent="0.25">
      <c r="A1263" s="3" t="str">
        <f t="shared" si="38"/>
        <v>ΒΑΜΒΑΚΙNIKE</v>
      </c>
      <c r="B1263" s="4" t="s">
        <v>2016</v>
      </c>
      <c r="C1263" s="5" t="s">
        <v>2277</v>
      </c>
      <c r="D1263" s="6">
        <v>1513.82</v>
      </c>
      <c r="E1263" s="6">
        <v>1498.43</v>
      </c>
      <c r="F1263" s="7" t="s">
        <v>14</v>
      </c>
      <c r="G1263" s="8" t="s">
        <v>2278</v>
      </c>
      <c r="H1263" s="8" t="s">
        <v>16</v>
      </c>
      <c r="I1263" s="9">
        <v>643</v>
      </c>
      <c r="J1263" s="10">
        <v>12</v>
      </c>
      <c r="K1263" s="10">
        <v>12298</v>
      </c>
      <c r="L1263" s="3" t="str">
        <f t="shared" si="39"/>
        <v>ΒΑΜΒΑΚΙ</v>
      </c>
    </row>
    <row r="1264" spans="1:12" s="3" customFormat="1" ht="24" x14ac:dyDescent="0.25">
      <c r="A1264" s="3" t="str">
        <f t="shared" si="38"/>
        <v>ΒΑΜΒΑΚΙPG 1150</v>
      </c>
      <c r="B1264" s="4" t="s">
        <v>2016</v>
      </c>
      <c r="C1264" s="5" t="s">
        <v>2279</v>
      </c>
      <c r="D1264" s="6">
        <v>1513.82</v>
      </c>
      <c r="E1264" s="6">
        <v>1498.43</v>
      </c>
      <c r="F1264" s="7" t="s">
        <v>14</v>
      </c>
      <c r="G1264" s="8" t="s">
        <v>2280</v>
      </c>
      <c r="H1264" s="8" t="s">
        <v>16</v>
      </c>
      <c r="I1264" s="9">
        <v>699</v>
      </c>
      <c r="J1264" s="10">
        <v>12</v>
      </c>
      <c r="K1264" s="10">
        <v>12299</v>
      </c>
      <c r="L1264" s="3" t="str">
        <f t="shared" si="39"/>
        <v>ΒΑΜΒΑΚΙ</v>
      </c>
    </row>
    <row r="1265" spans="1:12" s="3" customFormat="1" ht="24" x14ac:dyDescent="0.25">
      <c r="A1265" s="3" t="str">
        <f t="shared" si="38"/>
        <v>ΒΑΜΒΑΚΙPRIME 4246</v>
      </c>
      <c r="B1265" s="4" t="s">
        <v>2016</v>
      </c>
      <c r="C1265" s="5" t="s">
        <v>2281</v>
      </c>
      <c r="D1265" s="6">
        <v>1513.82</v>
      </c>
      <c r="E1265" s="6">
        <v>1498.43</v>
      </c>
      <c r="F1265" s="7" t="s">
        <v>14</v>
      </c>
      <c r="G1265" s="8" t="s">
        <v>2282</v>
      </c>
      <c r="H1265" s="8" t="s">
        <v>16</v>
      </c>
      <c r="I1265" s="9">
        <v>697</v>
      </c>
      <c r="J1265" s="10">
        <v>12</v>
      </c>
      <c r="K1265" s="10">
        <v>12300</v>
      </c>
      <c r="L1265" s="3" t="str">
        <f t="shared" si="39"/>
        <v>ΒΑΜΒΑΚΙ</v>
      </c>
    </row>
    <row r="1266" spans="1:12" s="3" customFormat="1" ht="24" x14ac:dyDescent="0.25">
      <c r="A1266" s="3" t="str">
        <f t="shared" si="38"/>
        <v>ΒΑΜΒΑΚΙSCARLET</v>
      </c>
      <c r="B1266" s="4" t="s">
        <v>2016</v>
      </c>
      <c r="C1266" s="5" t="s">
        <v>2283</v>
      </c>
      <c r="D1266" s="6">
        <v>1513.82</v>
      </c>
      <c r="E1266" s="6">
        <v>1498.43</v>
      </c>
      <c r="F1266" s="7" t="s">
        <v>14</v>
      </c>
      <c r="G1266" s="8" t="s">
        <v>2284</v>
      </c>
      <c r="H1266" s="8" t="s">
        <v>16</v>
      </c>
      <c r="I1266" s="9">
        <v>614</v>
      </c>
      <c r="J1266" s="10">
        <v>12</v>
      </c>
      <c r="K1266" s="10">
        <v>12301</v>
      </c>
      <c r="L1266" s="3" t="str">
        <f t="shared" si="39"/>
        <v>ΒΑΜΒΑΚΙ</v>
      </c>
    </row>
    <row r="1267" spans="1:12" s="3" customFormat="1" ht="24" x14ac:dyDescent="0.25">
      <c r="A1267" s="3" t="str">
        <f t="shared" si="38"/>
        <v>ΒΑΜΒΑΚΙTZVETELINA</v>
      </c>
      <c r="B1267" s="4" t="s">
        <v>2016</v>
      </c>
      <c r="C1267" s="5" t="s">
        <v>2285</v>
      </c>
      <c r="D1267" s="6">
        <v>1513.82</v>
      </c>
      <c r="E1267" s="6">
        <v>1498.43</v>
      </c>
      <c r="F1267" s="7" t="s">
        <v>14</v>
      </c>
      <c r="G1267" s="8" t="s">
        <v>2286</v>
      </c>
      <c r="H1267" s="8" t="s">
        <v>16</v>
      </c>
      <c r="I1267" s="9">
        <v>648</v>
      </c>
      <c r="J1267" s="10">
        <v>12</v>
      </c>
      <c r="K1267" s="10">
        <v>12302</v>
      </c>
      <c r="L1267" s="3" t="str">
        <f t="shared" si="39"/>
        <v>ΒΑΜΒΑΚΙ</v>
      </c>
    </row>
    <row r="1268" spans="1:12" s="3" customFormat="1" ht="24" x14ac:dyDescent="0.25">
      <c r="A1268" s="3" t="str">
        <f t="shared" si="38"/>
        <v>ΒΑΜΒΑΚΙVALERIA</v>
      </c>
      <c r="B1268" s="4" t="s">
        <v>2016</v>
      </c>
      <c r="C1268" s="5" t="s">
        <v>2287</v>
      </c>
      <c r="D1268" s="6">
        <v>1513.82</v>
      </c>
      <c r="E1268" s="6">
        <v>1498.43</v>
      </c>
      <c r="F1268" s="7" t="s">
        <v>14</v>
      </c>
      <c r="G1268" s="8" t="s">
        <v>2288</v>
      </c>
      <c r="H1268" s="8" t="s">
        <v>16</v>
      </c>
      <c r="I1268" s="9">
        <v>627</v>
      </c>
      <c r="J1268" s="10">
        <v>12</v>
      </c>
      <c r="K1268" s="10">
        <v>12303</v>
      </c>
      <c r="L1268" s="3" t="str">
        <f t="shared" si="39"/>
        <v>ΒΑΜΒΑΚΙ</v>
      </c>
    </row>
    <row r="1269" spans="1:12" s="3" customFormat="1" ht="24" x14ac:dyDescent="0.25">
      <c r="A1269" s="3" t="str">
        <f t="shared" si="38"/>
        <v>ΒΑΜΒΑΚΙPHYNTA</v>
      </c>
      <c r="B1269" s="4" t="s">
        <v>2016</v>
      </c>
      <c r="C1269" s="5" t="s">
        <v>2289</v>
      </c>
      <c r="D1269" s="6">
        <v>1513.82</v>
      </c>
      <c r="E1269" s="6">
        <v>1498.43</v>
      </c>
      <c r="F1269" s="7" t="s">
        <v>14</v>
      </c>
      <c r="G1269" s="8" t="s">
        <v>2290</v>
      </c>
      <c r="H1269" s="8" t="s">
        <v>16</v>
      </c>
      <c r="I1269" s="9">
        <v>636</v>
      </c>
      <c r="J1269" s="10">
        <v>12</v>
      </c>
      <c r="K1269" s="10">
        <v>12304</v>
      </c>
      <c r="L1269" s="3" t="str">
        <f t="shared" si="39"/>
        <v>ΒΑΜΒΑΚΙ</v>
      </c>
    </row>
    <row r="1270" spans="1:12" s="3" customFormat="1" ht="24" x14ac:dyDescent="0.25">
      <c r="A1270" s="3" t="str">
        <f t="shared" si="38"/>
        <v>ΒΑΜΒΑΚΙAIRLAB</v>
      </c>
      <c r="B1270" s="21" t="s">
        <v>2016</v>
      </c>
      <c r="C1270" s="22" t="s">
        <v>2291</v>
      </c>
      <c r="D1270" s="6">
        <v>1513.82</v>
      </c>
      <c r="E1270" s="6">
        <v>1498.43</v>
      </c>
      <c r="F1270" s="6" t="s">
        <v>14</v>
      </c>
      <c r="G1270" s="8" t="s">
        <v>2292</v>
      </c>
      <c r="H1270" s="8" t="s">
        <v>16</v>
      </c>
      <c r="I1270" s="9">
        <v>4987</v>
      </c>
      <c r="J1270" s="16">
        <v>12</v>
      </c>
      <c r="K1270" s="16">
        <v>12305</v>
      </c>
      <c r="L1270" s="3" t="str">
        <f t="shared" si="39"/>
        <v>ΒΑΜΒΑΚΙ</v>
      </c>
    </row>
    <row r="1271" spans="1:12" s="3" customFormat="1" x14ac:dyDescent="0.25">
      <c r="A1271" s="3" t="str">
        <f t="shared" si="38"/>
        <v>ΒΑΜΒΑΚΙARIA</v>
      </c>
      <c r="B1271" s="21" t="s">
        <v>2016</v>
      </c>
      <c r="C1271" s="22" t="s">
        <v>2293</v>
      </c>
      <c r="D1271" s="6">
        <v>1513.82</v>
      </c>
      <c r="E1271" s="6">
        <v>1498.43</v>
      </c>
      <c r="F1271" s="6" t="s">
        <v>14</v>
      </c>
      <c r="G1271" s="8" t="s">
        <v>2294</v>
      </c>
      <c r="H1271" s="8" t="s">
        <v>27</v>
      </c>
      <c r="I1271" s="9">
        <v>4988</v>
      </c>
      <c r="J1271" s="16">
        <v>12</v>
      </c>
      <c r="K1271" s="16">
        <v>12306</v>
      </c>
      <c r="L1271" s="3" t="str">
        <f t="shared" si="39"/>
        <v>ΒΑΜΒΑΚΙ</v>
      </c>
    </row>
    <row r="1272" spans="1:12" s="3" customFormat="1" ht="24" x14ac:dyDescent="0.25">
      <c r="A1272" s="3" t="str">
        <f t="shared" si="38"/>
        <v>ΒΑΜΒΑΚΙFILIA</v>
      </c>
      <c r="B1272" s="21" t="s">
        <v>2016</v>
      </c>
      <c r="C1272" s="22" t="s">
        <v>2295</v>
      </c>
      <c r="D1272" s="6">
        <v>1513.82</v>
      </c>
      <c r="E1272" s="6">
        <v>1498.43</v>
      </c>
      <c r="F1272" s="6" t="s">
        <v>14</v>
      </c>
      <c r="G1272" s="8" t="s">
        <v>2296</v>
      </c>
      <c r="H1272" s="8" t="s">
        <v>16</v>
      </c>
      <c r="I1272" s="9">
        <v>4989</v>
      </c>
      <c r="J1272" s="16">
        <v>12</v>
      </c>
      <c r="K1272" s="16">
        <v>12307</v>
      </c>
      <c r="L1272" s="3" t="str">
        <f t="shared" si="39"/>
        <v>ΒΑΜΒΑΚΙ</v>
      </c>
    </row>
    <row r="1273" spans="1:12" s="3" customFormat="1" ht="24" x14ac:dyDescent="0.25">
      <c r="A1273" s="3" t="str">
        <f t="shared" si="38"/>
        <v>ΒΑΜΒΑΚΙKLEA</v>
      </c>
      <c r="B1273" s="21" t="s">
        <v>2016</v>
      </c>
      <c r="C1273" s="22" t="s">
        <v>2297</v>
      </c>
      <c r="D1273" s="6">
        <v>1513.82</v>
      </c>
      <c r="E1273" s="6">
        <v>1498.43</v>
      </c>
      <c r="F1273" s="6" t="s">
        <v>14</v>
      </c>
      <c r="G1273" s="8" t="s">
        <v>2298</v>
      </c>
      <c r="H1273" s="8" t="s">
        <v>16</v>
      </c>
      <c r="I1273" s="9">
        <v>4990</v>
      </c>
      <c r="J1273" s="16">
        <v>12</v>
      </c>
      <c r="K1273" s="16">
        <v>12308</v>
      </c>
      <c r="L1273" s="3" t="str">
        <f t="shared" si="39"/>
        <v>ΒΑΜΒΑΚΙ</v>
      </c>
    </row>
    <row r="1274" spans="1:12" s="3" customFormat="1" ht="24" x14ac:dyDescent="0.25">
      <c r="A1274" s="3" t="str">
        <f t="shared" si="38"/>
        <v>ΒΑΜΒΑΚΙL 206</v>
      </c>
      <c r="B1274" s="21" t="s">
        <v>2016</v>
      </c>
      <c r="C1274" s="22" t="s">
        <v>2299</v>
      </c>
      <c r="D1274" s="6">
        <v>1513.82</v>
      </c>
      <c r="E1274" s="6">
        <v>1498.43</v>
      </c>
      <c r="F1274" s="6" t="s">
        <v>14</v>
      </c>
      <c r="G1274" s="8" t="s">
        <v>2300</v>
      </c>
      <c r="H1274" s="8" t="s">
        <v>16</v>
      </c>
      <c r="I1274" s="9">
        <v>4991</v>
      </c>
      <c r="J1274" s="16">
        <v>12</v>
      </c>
      <c r="K1274" s="16">
        <v>12309</v>
      </c>
      <c r="L1274" s="3" t="str">
        <f t="shared" si="39"/>
        <v>ΒΑΜΒΑΚΙ</v>
      </c>
    </row>
    <row r="1275" spans="1:12" s="3" customFormat="1" ht="24" x14ac:dyDescent="0.25">
      <c r="A1275" s="3" t="str">
        <f t="shared" si="38"/>
        <v>ΒΑΜΒΑΚΙMARKELLA</v>
      </c>
      <c r="B1275" s="21" t="s">
        <v>2016</v>
      </c>
      <c r="C1275" s="22" t="s">
        <v>2301</v>
      </c>
      <c r="D1275" s="6">
        <v>1513.82</v>
      </c>
      <c r="E1275" s="6">
        <v>1498.43</v>
      </c>
      <c r="F1275" s="6" t="s">
        <v>14</v>
      </c>
      <c r="G1275" s="8" t="s">
        <v>2302</v>
      </c>
      <c r="H1275" s="8" t="s">
        <v>16</v>
      </c>
      <c r="I1275" s="9">
        <v>4992</v>
      </c>
      <c r="J1275" s="16">
        <v>12</v>
      </c>
      <c r="K1275" s="16">
        <v>12310</v>
      </c>
      <c r="L1275" s="3" t="str">
        <f t="shared" si="39"/>
        <v>ΒΑΜΒΑΚΙ</v>
      </c>
    </row>
    <row r="1276" spans="1:12" s="3" customFormat="1" ht="24" x14ac:dyDescent="0.25">
      <c r="A1276" s="3" t="str">
        <f t="shared" si="38"/>
        <v>ΒΑΜΒΑΚΙMORELIA</v>
      </c>
      <c r="B1276" s="21" t="s">
        <v>2016</v>
      </c>
      <c r="C1276" s="22" t="s">
        <v>2303</v>
      </c>
      <c r="D1276" s="6">
        <v>1513.82</v>
      </c>
      <c r="E1276" s="6">
        <v>1498.43</v>
      </c>
      <c r="F1276" s="6" t="s">
        <v>14</v>
      </c>
      <c r="G1276" s="8" t="s">
        <v>2304</v>
      </c>
      <c r="H1276" s="8" t="s">
        <v>16</v>
      </c>
      <c r="I1276" s="9">
        <v>4993</v>
      </c>
      <c r="J1276" s="16">
        <v>12</v>
      </c>
      <c r="K1276" s="16">
        <v>12311</v>
      </c>
      <c r="L1276" s="3" t="str">
        <f t="shared" si="39"/>
        <v>ΒΑΜΒΑΚΙ</v>
      </c>
    </row>
    <row r="1277" spans="1:12" s="3" customFormat="1" ht="24" x14ac:dyDescent="0.25">
      <c r="A1277" s="3" t="str">
        <f t="shared" si="38"/>
        <v>ΒΑΜΒΑΚΙPHY44</v>
      </c>
      <c r="B1277" s="21" t="s">
        <v>2016</v>
      </c>
      <c r="C1277" s="22" t="s">
        <v>2305</v>
      </c>
      <c r="D1277" s="6">
        <v>1513.82</v>
      </c>
      <c r="E1277" s="6">
        <v>1498.43</v>
      </c>
      <c r="F1277" s="6" t="s">
        <v>14</v>
      </c>
      <c r="G1277" s="8" t="s">
        <v>2306</v>
      </c>
      <c r="H1277" s="8" t="s">
        <v>16</v>
      </c>
      <c r="I1277" s="9">
        <v>4994</v>
      </c>
      <c r="J1277" s="16">
        <v>12</v>
      </c>
      <c r="K1277" s="16">
        <v>12312</v>
      </c>
      <c r="L1277" s="3" t="str">
        <f t="shared" si="39"/>
        <v>ΒΑΜΒΑΚΙ</v>
      </c>
    </row>
    <row r="1278" spans="1:12" s="3" customFormat="1" ht="24" x14ac:dyDescent="0.25">
      <c r="A1278" s="3" t="str">
        <f t="shared" si="38"/>
        <v>ΒΑΜΒΑΚΙPHY64</v>
      </c>
      <c r="B1278" s="21" t="s">
        <v>2016</v>
      </c>
      <c r="C1278" s="22" t="s">
        <v>2307</v>
      </c>
      <c r="D1278" s="6">
        <v>1513.82</v>
      </c>
      <c r="E1278" s="6">
        <v>1498.43</v>
      </c>
      <c r="F1278" s="6" t="s">
        <v>14</v>
      </c>
      <c r="G1278" s="8" t="s">
        <v>2308</v>
      </c>
      <c r="H1278" s="8" t="s">
        <v>16</v>
      </c>
      <c r="I1278" s="9">
        <v>4995</v>
      </c>
      <c r="J1278" s="16">
        <v>12</v>
      </c>
      <c r="K1278" s="16">
        <v>12313</v>
      </c>
      <c r="L1278" s="3" t="str">
        <f t="shared" si="39"/>
        <v>ΒΑΜΒΑΚΙ</v>
      </c>
    </row>
    <row r="1279" spans="1:12" s="3" customFormat="1" ht="24" x14ac:dyDescent="0.25">
      <c r="A1279" s="3" t="str">
        <f t="shared" si="38"/>
        <v>ΒΑΜΒΑΚΙPHYLONG 1</v>
      </c>
      <c r="B1279" s="21" t="s">
        <v>2016</v>
      </c>
      <c r="C1279" s="22" t="s">
        <v>2309</v>
      </c>
      <c r="D1279" s="6">
        <v>1513.82</v>
      </c>
      <c r="E1279" s="6">
        <v>1498.43</v>
      </c>
      <c r="F1279" s="6" t="s">
        <v>14</v>
      </c>
      <c r="G1279" s="8" t="s">
        <v>2310</v>
      </c>
      <c r="H1279" s="8" t="s">
        <v>16</v>
      </c>
      <c r="I1279" s="9">
        <v>4996</v>
      </c>
      <c r="J1279" s="16">
        <v>12</v>
      </c>
      <c r="K1279" s="16">
        <v>12314</v>
      </c>
      <c r="L1279" s="3" t="str">
        <f t="shared" si="39"/>
        <v>ΒΑΜΒΑΚΙ</v>
      </c>
    </row>
    <row r="1280" spans="1:12" s="3" customFormat="1" ht="24" x14ac:dyDescent="0.25">
      <c r="A1280" s="3" t="str">
        <f t="shared" si="38"/>
        <v>ΒΑΜΒΑΚΙPHYNAL</v>
      </c>
      <c r="B1280" s="21" t="s">
        <v>2016</v>
      </c>
      <c r="C1280" s="22" t="s">
        <v>2311</v>
      </c>
      <c r="D1280" s="6">
        <v>1513.82</v>
      </c>
      <c r="E1280" s="6">
        <v>1498.43</v>
      </c>
      <c r="F1280" s="6" t="s">
        <v>14</v>
      </c>
      <c r="G1280" s="8" t="s">
        <v>2312</v>
      </c>
      <c r="H1280" s="8" t="s">
        <v>16</v>
      </c>
      <c r="I1280" s="9">
        <v>4997</v>
      </c>
      <c r="J1280" s="16">
        <v>12</v>
      </c>
      <c r="K1280" s="16">
        <v>12315</v>
      </c>
      <c r="L1280" s="3" t="str">
        <f t="shared" si="39"/>
        <v>ΒΑΜΒΑΚΙ</v>
      </c>
    </row>
    <row r="1281" spans="1:12" s="3" customFormat="1" ht="24" x14ac:dyDescent="0.25">
      <c r="A1281" s="3" t="str">
        <f t="shared" si="38"/>
        <v>ΒΑΜΒΑΚΙSANDY</v>
      </c>
      <c r="B1281" s="21" t="s">
        <v>2016</v>
      </c>
      <c r="C1281" s="22" t="s">
        <v>2313</v>
      </c>
      <c r="D1281" s="6">
        <v>1513.82</v>
      </c>
      <c r="E1281" s="6">
        <v>1498.43</v>
      </c>
      <c r="F1281" s="6" t="s">
        <v>14</v>
      </c>
      <c r="G1281" s="8" t="s">
        <v>2314</v>
      </c>
      <c r="H1281" s="8" t="s">
        <v>16</v>
      </c>
      <c r="I1281" s="9">
        <v>4998</v>
      </c>
      <c r="J1281" s="16">
        <v>12</v>
      </c>
      <c r="K1281" s="16">
        <v>12316</v>
      </c>
      <c r="L1281" s="3" t="str">
        <f t="shared" si="39"/>
        <v>ΒΑΜΒΑΚΙ</v>
      </c>
    </row>
    <row r="1282" spans="1:12" s="3" customFormat="1" ht="24" x14ac:dyDescent="0.25">
      <c r="A1282" s="3" t="str">
        <f t="shared" si="38"/>
        <v>ΒΑΜΒΑΚΙSIRO</v>
      </c>
      <c r="B1282" s="21" t="s">
        <v>2016</v>
      </c>
      <c r="C1282" s="22" t="s">
        <v>2315</v>
      </c>
      <c r="D1282" s="6">
        <v>1513.82</v>
      </c>
      <c r="E1282" s="6">
        <v>1498.43</v>
      </c>
      <c r="F1282" s="6" t="s">
        <v>14</v>
      </c>
      <c r="G1282" s="8" t="s">
        <v>2316</v>
      </c>
      <c r="H1282" s="8" t="s">
        <v>16</v>
      </c>
      <c r="I1282" s="9">
        <v>4999</v>
      </c>
      <c r="J1282" s="16">
        <v>12</v>
      </c>
      <c r="K1282" s="16">
        <v>12317</v>
      </c>
      <c r="L1282" s="3" t="str">
        <f t="shared" si="39"/>
        <v>ΒΑΜΒΑΚΙ</v>
      </c>
    </row>
    <row r="1283" spans="1:12" s="3" customFormat="1" x14ac:dyDescent="0.25">
      <c r="A1283" s="3" t="str">
        <f t="shared" ref="A1283:A1346" si="40">_xlfn.CONCAT(B1283,C1283)</f>
        <v>ΒΑΜΒΑΚΙSTONEVILLE-1324</v>
      </c>
      <c r="B1283" s="21" t="s">
        <v>2016</v>
      </c>
      <c r="C1283" s="22" t="s">
        <v>2317</v>
      </c>
      <c r="D1283" s="6">
        <v>1513.82</v>
      </c>
      <c r="E1283" s="6">
        <v>1498.43</v>
      </c>
      <c r="F1283" s="6" t="s">
        <v>14</v>
      </c>
      <c r="G1283" s="8" t="s">
        <v>2318</v>
      </c>
      <c r="H1283" s="8" t="s">
        <v>27</v>
      </c>
      <c r="I1283" s="9">
        <v>5000</v>
      </c>
      <c r="J1283" s="16">
        <v>12</v>
      </c>
      <c r="K1283" s="16">
        <v>12318</v>
      </c>
      <c r="L1283" s="3" t="str">
        <f t="shared" ref="L1283:L1346" si="41">IFERROR(SUBSTITUTE(SUBSTITUTE(SUBSTITUTE(SUBSTITUTE(SUBSTITUTE(B1283, "-", "_"), " ", "_"), ",", ""), "(", ""), ")", ""), B1283)</f>
        <v>ΒΑΜΒΑΚΙ</v>
      </c>
    </row>
    <row r="1284" spans="1:12" s="3" customFormat="1" ht="24" x14ac:dyDescent="0.25">
      <c r="A1284" s="3" t="str">
        <f t="shared" si="40"/>
        <v>ΒΑΜΒΑΚΙUZI</v>
      </c>
      <c r="B1284" s="21" t="s">
        <v>2016</v>
      </c>
      <c r="C1284" s="22" t="s">
        <v>2319</v>
      </c>
      <c r="D1284" s="6">
        <v>1513.82</v>
      </c>
      <c r="E1284" s="6">
        <v>1498.43</v>
      </c>
      <c r="F1284" s="6" t="s">
        <v>14</v>
      </c>
      <c r="G1284" s="8" t="s">
        <v>2320</v>
      </c>
      <c r="H1284" s="8" t="s">
        <v>16</v>
      </c>
      <c r="I1284" s="9">
        <v>5001</v>
      </c>
      <c r="J1284" s="16">
        <v>12</v>
      </c>
      <c r="K1284" s="16">
        <v>12319</v>
      </c>
      <c r="L1284" s="3" t="str">
        <f t="shared" si="41"/>
        <v>ΒΑΜΒΑΚΙ</v>
      </c>
    </row>
    <row r="1285" spans="1:12" s="3" customFormat="1" ht="24" x14ac:dyDescent="0.25">
      <c r="A1285" s="3" t="str">
        <f t="shared" si="40"/>
        <v>ΒΑΜΒΑΚΙZAXIR</v>
      </c>
      <c r="B1285" s="21" t="s">
        <v>2016</v>
      </c>
      <c r="C1285" s="22" t="s">
        <v>2321</v>
      </c>
      <c r="D1285" s="6">
        <v>1513.82</v>
      </c>
      <c r="E1285" s="6">
        <v>1498.43</v>
      </c>
      <c r="F1285" s="6" t="s">
        <v>14</v>
      </c>
      <c r="G1285" s="8" t="s">
        <v>2322</v>
      </c>
      <c r="H1285" s="8" t="s">
        <v>16</v>
      </c>
      <c r="I1285" s="9">
        <v>5002</v>
      </c>
      <c r="J1285" s="16">
        <v>12</v>
      </c>
      <c r="K1285" s="16">
        <v>12320</v>
      </c>
      <c r="L1285" s="3" t="str">
        <f t="shared" si="41"/>
        <v>ΒΑΜΒΑΚΙ</v>
      </c>
    </row>
    <row r="1286" spans="1:12" s="3" customFormat="1" ht="24" x14ac:dyDescent="0.25">
      <c r="A1286" s="3" t="str">
        <f t="shared" si="40"/>
        <v>ΒΑΜΒΑΚΙAIDA</v>
      </c>
      <c r="B1286" s="23" t="s">
        <v>2016</v>
      </c>
      <c r="C1286" s="24" t="s">
        <v>2071</v>
      </c>
      <c r="D1286" s="6">
        <v>1513.82</v>
      </c>
      <c r="E1286" s="6">
        <v>1498.43</v>
      </c>
      <c r="F1286" s="29" t="s">
        <v>14</v>
      </c>
      <c r="G1286" s="8" t="s">
        <v>2323</v>
      </c>
      <c r="H1286" s="8" t="s">
        <v>16</v>
      </c>
      <c r="I1286" s="9">
        <v>5356</v>
      </c>
      <c r="J1286" s="26">
        <v>12</v>
      </c>
      <c r="K1286" s="27">
        <v>12321</v>
      </c>
      <c r="L1286" s="3" t="str">
        <f t="shared" si="41"/>
        <v>ΒΑΜΒΑΚΙ</v>
      </c>
    </row>
    <row r="1287" spans="1:12" s="3" customFormat="1" ht="24" x14ac:dyDescent="0.25">
      <c r="A1287" s="3" t="str">
        <f t="shared" si="40"/>
        <v>ΒΑΜΒΑΚΙANABEL</v>
      </c>
      <c r="B1287" s="23" t="s">
        <v>2016</v>
      </c>
      <c r="C1287" s="24" t="s">
        <v>2324</v>
      </c>
      <c r="D1287" s="6">
        <v>1513.82</v>
      </c>
      <c r="E1287" s="6">
        <v>1498.43</v>
      </c>
      <c r="F1287" s="29" t="s">
        <v>14</v>
      </c>
      <c r="G1287" s="8" t="s">
        <v>2325</v>
      </c>
      <c r="H1287" s="8" t="s">
        <v>16</v>
      </c>
      <c r="I1287" s="9">
        <v>5357</v>
      </c>
      <c r="J1287" s="26">
        <v>12</v>
      </c>
      <c r="K1287" s="27">
        <v>12322</v>
      </c>
      <c r="L1287" s="3" t="str">
        <f t="shared" si="41"/>
        <v>ΒΑΜΒΑΚΙ</v>
      </c>
    </row>
    <row r="1288" spans="1:12" s="3" customFormat="1" ht="24" x14ac:dyDescent="0.25">
      <c r="A1288" s="3" t="str">
        <f t="shared" si="40"/>
        <v>ΒΑΜΒΑΚΙBA 1010</v>
      </c>
      <c r="B1288" s="23" t="s">
        <v>2016</v>
      </c>
      <c r="C1288" s="24" t="s">
        <v>2326</v>
      </c>
      <c r="D1288" s="6">
        <v>1513.82</v>
      </c>
      <c r="E1288" s="6">
        <v>1498.43</v>
      </c>
      <c r="F1288" s="29" t="s">
        <v>14</v>
      </c>
      <c r="G1288" s="8" t="s">
        <v>2327</v>
      </c>
      <c r="H1288" s="8" t="s">
        <v>16</v>
      </c>
      <c r="I1288" s="9">
        <v>5358</v>
      </c>
      <c r="J1288" s="26">
        <v>12</v>
      </c>
      <c r="K1288" s="27">
        <v>12323</v>
      </c>
      <c r="L1288" s="3" t="str">
        <f t="shared" si="41"/>
        <v>ΒΑΜΒΑΚΙ</v>
      </c>
    </row>
    <row r="1289" spans="1:12" s="3" customFormat="1" ht="24" x14ac:dyDescent="0.25">
      <c r="A1289" s="3" t="str">
        <f t="shared" si="40"/>
        <v>ΒΑΜΒΑΚΙKRISTAL</v>
      </c>
      <c r="B1289" s="23" t="s">
        <v>2016</v>
      </c>
      <c r="C1289" s="24" t="s">
        <v>2328</v>
      </c>
      <c r="D1289" s="6">
        <v>1513.82</v>
      </c>
      <c r="E1289" s="6">
        <v>1498.43</v>
      </c>
      <c r="F1289" s="29" t="s">
        <v>14</v>
      </c>
      <c r="G1289" s="8" t="s">
        <v>2329</v>
      </c>
      <c r="H1289" s="8" t="s">
        <v>16</v>
      </c>
      <c r="I1289" s="9">
        <v>5359</v>
      </c>
      <c r="J1289" s="26">
        <v>12</v>
      </c>
      <c r="K1289" s="27">
        <v>12324</v>
      </c>
      <c r="L1289" s="3" t="str">
        <f t="shared" si="41"/>
        <v>ΒΑΜΒΑΚΙ</v>
      </c>
    </row>
    <row r="1290" spans="1:12" s="3" customFormat="1" ht="24" x14ac:dyDescent="0.25">
      <c r="A1290" s="3" t="str">
        <f t="shared" si="40"/>
        <v>ΒΑΜΒΑΚΙMELANI</v>
      </c>
      <c r="B1290" s="23" t="s">
        <v>2016</v>
      </c>
      <c r="C1290" s="24" t="s">
        <v>2330</v>
      </c>
      <c r="D1290" s="6">
        <v>1513.82</v>
      </c>
      <c r="E1290" s="6">
        <v>1498.43</v>
      </c>
      <c r="F1290" s="29" t="s">
        <v>14</v>
      </c>
      <c r="G1290" s="8" t="s">
        <v>2331</v>
      </c>
      <c r="H1290" s="8" t="s">
        <v>16</v>
      </c>
      <c r="I1290" s="9">
        <v>5360</v>
      </c>
      <c r="J1290" s="26">
        <v>12</v>
      </c>
      <c r="K1290" s="27">
        <v>12325</v>
      </c>
      <c r="L1290" s="3" t="str">
        <f t="shared" si="41"/>
        <v>ΒΑΜΒΑΚΙ</v>
      </c>
    </row>
    <row r="1291" spans="1:12" s="3" customFormat="1" ht="24" x14ac:dyDescent="0.25">
      <c r="A1291" s="3" t="str">
        <f t="shared" si="40"/>
        <v>ΒΑΜΒΑΚΙNOVELIA</v>
      </c>
      <c r="B1291" s="23" t="s">
        <v>2016</v>
      </c>
      <c r="C1291" s="24" t="s">
        <v>2332</v>
      </c>
      <c r="D1291" s="6">
        <v>1513.82</v>
      </c>
      <c r="E1291" s="6">
        <v>1498.43</v>
      </c>
      <c r="F1291" s="29" t="s">
        <v>14</v>
      </c>
      <c r="G1291" s="8" t="s">
        <v>2333</v>
      </c>
      <c r="H1291" s="8" t="s">
        <v>16</v>
      </c>
      <c r="I1291" s="9">
        <v>5361</v>
      </c>
      <c r="J1291" s="26">
        <v>12</v>
      </c>
      <c r="K1291" s="27">
        <v>12326</v>
      </c>
      <c r="L1291" s="3" t="str">
        <f t="shared" si="41"/>
        <v>ΒΑΜΒΑΚΙ</v>
      </c>
    </row>
    <row r="1292" spans="1:12" s="3" customFormat="1" ht="24" x14ac:dyDescent="0.25">
      <c r="A1292" s="3" t="str">
        <f t="shared" si="40"/>
        <v>ΒΑΜΒΑΚΙPERUN</v>
      </c>
      <c r="B1292" s="23" t="s">
        <v>2016</v>
      </c>
      <c r="C1292" s="24" t="s">
        <v>2079</v>
      </c>
      <c r="D1292" s="6">
        <v>1513.82</v>
      </c>
      <c r="E1292" s="6">
        <v>1498.43</v>
      </c>
      <c r="F1292" s="29" t="s">
        <v>14</v>
      </c>
      <c r="G1292" s="8" t="s">
        <v>2334</v>
      </c>
      <c r="H1292" s="8" t="s">
        <v>16</v>
      </c>
      <c r="I1292" s="9">
        <v>5362</v>
      </c>
      <c r="J1292" s="26">
        <v>12</v>
      </c>
      <c r="K1292" s="27">
        <v>12327</v>
      </c>
      <c r="L1292" s="3" t="str">
        <f t="shared" si="41"/>
        <v>ΒΑΜΒΑΚΙ</v>
      </c>
    </row>
    <row r="1293" spans="1:12" s="3" customFormat="1" ht="24" x14ac:dyDescent="0.25">
      <c r="A1293" s="3" t="str">
        <f t="shared" si="40"/>
        <v>ΒΑΜΒΑΚΙTOTEMIA</v>
      </c>
      <c r="B1293" s="23" t="s">
        <v>2016</v>
      </c>
      <c r="C1293" s="24" t="s">
        <v>2335</v>
      </c>
      <c r="D1293" s="6">
        <v>1513.82</v>
      </c>
      <c r="E1293" s="6">
        <v>1498.43</v>
      </c>
      <c r="F1293" s="29" t="s">
        <v>14</v>
      </c>
      <c r="G1293" s="8" t="s">
        <v>2336</v>
      </c>
      <c r="H1293" s="8" t="s">
        <v>16</v>
      </c>
      <c r="I1293" s="9">
        <v>5363</v>
      </c>
      <c r="J1293" s="26">
        <v>12</v>
      </c>
      <c r="K1293" s="27">
        <v>12328</v>
      </c>
      <c r="L1293" s="3" t="str">
        <f t="shared" si="41"/>
        <v>ΒΑΜΒΑΚΙ</v>
      </c>
    </row>
    <row r="1294" spans="1:12" s="3" customFormat="1" ht="24" x14ac:dyDescent="0.25">
      <c r="A1294" s="3" t="str">
        <f t="shared" si="40"/>
        <v>ΒΑΜΒΑΚΙVERED 171</v>
      </c>
      <c r="B1294" s="23" t="s">
        <v>2016</v>
      </c>
      <c r="C1294" s="24" t="s">
        <v>2337</v>
      </c>
      <c r="D1294" s="6">
        <v>1513.82</v>
      </c>
      <c r="E1294" s="6">
        <v>1498.43</v>
      </c>
      <c r="F1294" s="29" t="s">
        <v>14</v>
      </c>
      <c r="G1294" s="8" t="s">
        <v>2338</v>
      </c>
      <c r="H1294" s="8" t="s">
        <v>16</v>
      </c>
      <c r="I1294" s="9">
        <v>5364</v>
      </c>
      <c r="J1294" s="26">
        <v>12</v>
      </c>
      <c r="K1294" s="27">
        <v>12329</v>
      </c>
      <c r="L1294" s="3" t="str">
        <f t="shared" si="41"/>
        <v>ΒΑΜΒΑΚΙ</v>
      </c>
    </row>
    <row r="1295" spans="1:12" s="3" customFormat="1" ht="24" x14ac:dyDescent="0.25">
      <c r="A1295" s="3" t="str">
        <f t="shared" si="40"/>
        <v>ΒΑΜΒΑΚΙCONCHA</v>
      </c>
      <c r="B1295" s="23" t="s">
        <v>2016</v>
      </c>
      <c r="C1295" s="24" t="s">
        <v>2339</v>
      </c>
      <c r="D1295" s="6">
        <v>1513.82</v>
      </c>
      <c r="E1295" s="6">
        <v>1498.43</v>
      </c>
      <c r="F1295" s="29" t="s">
        <v>14</v>
      </c>
      <c r="G1295" s="8" t="s">
        <v>2340</v>
      </c>
      <c r="H1295" s="8" t="s">
        <v>16</v>
      </c>
      <c r="I1295" s="9">
        <v>5365</v>
      </c>
      <c r="J1295" s="26">
        <v>12</v>
      </c>
      <c r="K1295" s="27">
        <v>12330</v>
      </c>
      <c r="L1295" s="3" t="str">
        <f t="shared" si="41"/>
        <v>ΒΑΜΒΑΚΙ</v>
      </c>
    </row>
    <row r="1296" spans="1:12" s="3" customFormat="1" ht="24" x14ac:dyDescent="0.25">
      <c r="A1296" s="3" t="str">
        <f t="shared" si="40"/>
        <v>ΒΑΜΒΑΚΙST 830</v>
      </c>
      <c r="B1296" s="23" t="s">
        <v>2016</v>
      </c>
      <c r="C1296" s="24" t="s">
        <v>2341</v>
      </c>
      <c r="D1296" s="6">
        <v>1513.82</v>
      </c>
      <c r="E1296" s="6">
        <v>1498.43</v>
      </c>
      <c r="F1296" s="29" t="s">
        <v>14</v>
      </c>
      <c r="G1296" s="8" t="s">
        <v>2342</v>
      </c>
      <c r="H1296" s="8" t="s">
        <v>16</v>
      </c>
      <c r="I1296" s="9">
        <v>5366</v>
      </c>
      <c r="J1296" s="26">
        <v>12</v>
      </c>
      <c r="K1296" s="27">
        <v>12331</v>
      </c>
      <c r="L1296" s="3" t="str">
        <f t="shared" si="41"/>
        <v>ΒΑΜΒΑΚΙ</v>
      </c>
    </row>
    <row r="1297" spans="1:12" s="3" customFormat="1" x14ac:dyDescent="0.25">
      <c r="A1297" s="3" t="str">
        <f t="shared" si="40"/>
        <v>ΒΑΜΒΑΚΙERIKA</v>
      </c>
      <c r="B1297" s="23" t="s">
        <v>2016</v>
      </c>
      <c r="C1297" s="24" t="s">
        <v>2343</v>
      </c>
      <c r="D1297" s="6">
        <v>1513.82</v>
      </c>
      <c r="E1297" s="6">
        <v>1498.43</v>
      </c>
      <c r="F1297" s="6" t="s">
        <v>14</v>
      </c>
      <c r="G1297" s="30" t="s">
        <v>2344</v>
      </c>
      <c r="H1297" s="31" t="s">
        <v>577</v>
      </c>
      <c r="I1297" s="9">
        <v>5607</v>
      </c>
      <c r="J1297" s="30">
        <v>12</v>
      </c>
      <c r="K1297" s="30">
        <v>12332</v>
      </c>
      <c r="L1297" s="3" t="str">
        <f t="shared" si="41"/>
        <v>ΒΑΜΒΑΚΙ</v>
      </c>
    </row>
    <row r="1298" spans="1:12" s="3" customFormat="1" x14ac:dyDescent="0.25">
      <c r="A1298" s="3" t="str">
        <f t="shared" si="40"/>
        <v>ΒΑΜΒΑΚΙBALAIKA</v>
      </c>
      <c r="B1298" s="23" t="s">
        <v>2016</v>
      </c>
      <c r="C1298" s="24" t="s">
        <v>2345</v>
      </c>
      <c r="D1298" s="6">
        <v>1513.82</v>
      </c>
      <c r="E1298" s="6">
        <v>1498.43</v>
      </c>
      <c r="F1298" s="6" t="s">
        <v>14</v>
      </c>
      <c r="G1298" s="30" t="s">
        <v>2346</v>
      </c>
      <c r="H1298" s="31" t="s">
        <v>577</v>
      </c>
      <c r="I1298" s="9">
        <v>5605</v>
      </c>
      <c r="J1298" s="30">
        <v>12</v>
      </c>
      <c r="K1298" s="30">
        <v>12333</v>
      </c>
      <c r="L1298" s="3" t="str">
        <f t="shared" si="41"/>
        <v>ΒΑΜΒΑΚΙ</v>
      </c>
    </row>
    <row r="1299" spans="1:12" s="3" customFormat="1" x14ac:dyDescent="0.25">
      <c r="A1299" s="3" t="str">
        <f t="shared" si="40"/>
        <v>ΒΑΜΒΑΚΙIRIDA</v>
      </c>
      <c r="B1299" s="23" t="s">
        <v>2016</v>
      </c>
      <c r="C1299" s="24" t="s">
        <v>2347</v>
      </c>
      <c r="D1299" s="6">
        <v>1513.82</v>
      </c>
      <c r="E1299" s="6">
        <v>1498.43</v>
      </c>
      <c r="F1299" s="6" t="s">
        <v>14</v>
      </c>
      <c r="G1299" s="30" t="s">
        <v>2348</v>
      </c>
      <c r="H1299" s="31" t="s">
        <v>577</v>
      </c>
      <c r="I1299" s="9">
        <v>5608</v>
      </c>
      <c r="J1299" s="30">
        <v>12</v>
      </c>
      <c r="K1299" s="30">
        <v>12334</v>
      </c>
      <c r="L1299" s="3" t="str">
        <f t="shared" si="41"/>
        <v>ΒΑΜΒΑΚΙ</v>
      </c>
    </row>
    <row r="1300" spans="1:12" s="3" customFormat="1" x14ac:dyDescent="0.25">
      <c r="A1300" s="3" t="str">
        <f t="shared" si="40"/>
        <v>ΒΑΜΒΑΚΙADORA</v>
      </c>
      <c r="B1300" s="23" t="s">
        <v>2016</v>
      </c>
      <c r="C1300" s="24" t="s">
        <v>2349</v>
      </c>
      <c r="D1300" s="6">
        <v>1513.82</v>
      </c>
      <c r="E1300" s="6">
        <v>1498.43</v>
      </c>
      <c r="F1300" s="6" t="s">
        <v>14</v>
      </c>
      <c r="G1300" s="30" t="s">
        <v>2350</v>
      </c>
      <c r="H1300" s="31" t="s">
        <v>577</v>
      </c>
      <c r="I1300" s="9">
        <v>5603</v>
      </c>
      <c r="J1300" s="30">
        <v>12</v>
      </c>
      <c r="K1300" s="30">
        <v>12335</v>
      </c>
      <c r="L1300" s="3" t="str">
        <f t="shared" si="41"/>
        <v>ΒΑΜΒΑΚΙ</v>
      </c>
    </row>
    <row r="1301" spans="1:12" s="3" customFormat="1" x14ac:dyDescent="0.25">
      <c r="A1301" s="3" t="str">
        <f t="shared" si="40"/>
        <v>ΒΑΜΒΑΚΙST 810</v>
      </c>
      <c r="B1301" s="23" t="s">
        <v>2016</v>
      </c>
      <c r="C1301" s="24" t="s">
        <v>2351</v>
      </c>
      <c r="D1301" s="6">
        <v>1513.82</v>
      </c>
      <c r="E1301" s="6">
        <v>1498.43</v>
      </c>
      <c r="F1301" s="6" t="s">
        <v>14</v>
      </c>
      <c r="G1301" s="30" t="s">
        <v>2352</v>
      </c>
      <c r="H1301" s="31" t="s">
        <v>577</v>
      </c>
      <c r="I1301" s="9">
        <v>5612</v>
      </c>
      <c r="J1301" s="30">
        <v>12</v>
      </c>
      <c r="K1301" s="30">
        <v>12336</v>
      </c>
      <c r="L1301" s="3" t="str">
        <f t="shared" si="41"/>
        <v>ΒΑΜΒΑΚΙ</v>
      </c>
    </row>
    <row r="1302" spans="1:12" s="3" customFormat="1" x14ac:dyDescent="0.25">
      <c r="A1302" s="3" t="str">
        <f t="shared" si="40"/>
        <v>ΒΑΜΒΑΚΙMONICA</v>
      </c>
      <c r="B1302" s="23" t="s">
        <v>2016</v>
      </c>
      <c r="C1302" s="24" t="s">
        <v>2353</v>
      </c>
      <c r="D1302" s="6">
        <v>1513.82</v>
      </c>
      <c r="E1302" s="6">
        <v>1498.43</v>
      </c>
      <c r="F1302" s="6" t="s">
        <v>14</v>
      </c>
      <c r="G1302" s="30" t="s">
        <v>2354</v>
      </c>
      <c r="H1302" s="31" t="s">
        <v>577</v>
      </c>
      <c r="I1302" s="9">
        <v>5610</v>
      </c>
      <c r="J1302" s="30">
        <v>12</v>
      </c>
      <c r="K1302" s="30">
        <v>12337</v>
      </c>
      <c r="L1302" s="3" t="str">
        <f t="shared" si="41"/>
        <v>ΒΑΜΒΑΚΙ</v>
      </c>
    </row>
    <row r="1303" spans="1:12" s="3" customFormat="1" x14ac:dyDescent="0.25">
      <c r="A1303" s="3" t="str">
        <f t="shared" si="40"/>
        <v>ΒΑΜΒΑΚΙKORINA (ΚΟΡΙΝΑ)</v>
      </c>
      <c r="B1303" s="18" t="s">
        <v>2016</v>
      </c>
      <c r="C1303" s="19" t="s">
        <v>2355</v>
      </c>
      <c r="D1303" s="6">
        <v>1513.82</v>
      </c>
      <c r="E1303" s="6">
        <v>1498.43</v>
      </c>
      <c r="F1303" s="6" t="s">
        <v>14</v>
      </c>
      <c r="G1303" s="8" t="s">
        <v>2356</v>
      </c>
      <c r="H1303" s="8" t="s">
        <v>27</v>
      </c>
      <c r="I1303" s="9">
        <v>4119</v>
      </c>
      <c r="J1303" s="20">
        <v>12</v>
      </c>
      <c r="K1303" s="20">
        <v>1256</v>
      </c>
      <c r="L1303" s="3" t="str">
        <f t="shared" si="41"/>
        <v>ΒΑΜΒΑΚΙ</v>
      </c>
    </row>
    <row r="1304" spans="1:12" s="3" customFormat="1" x14ac:dyDescent="0.25">
      <c r="A1304" s="3" t="str">
        <f t="shared" si="40"/>
        <v>ΒΑΜΒΑΚΙMYRTO (ΜΥΡΤΩ)</v>
      </c>
      <c r="B1304" s="18" t="s">
        <v>2016</v>
      </c>
      <c r="C1304" s="19" t="s">
        <v>2357</v>
      </c>
      <c r="D1304" s="6">
        <v>1513.82</v>
      </c>
      <c r="E1304" s="6">
        <v>1498.43</v>
      </c>
      <c r="F1304" s="6" t="s">
        <v>14</v>
      </c>
      <c r="G1304" s="8" t="s">
        <v>2358</v>
      </c>
      <c r="H1304" s="8" t="s">
        <v>27</v>
      </c>
      <c r="I1304" s="9">
        <v>4120</v>
      </c>
      <c r="J1304" s="20">
        <v>12</v>
      </c>
      <c r="K1304" s="20">
        <v>1258</v>
      </c>
      <c r="L1304" s="3" t="str">
        <f t="shared" si="41"/>
        <v>ΒΑΜΒΑΚΙ</v>
      </c>
    </row>
    <row r="1305" spans="1:12" s="3" customFormat="1" ht="24" x14ac:dyDescent="0.25">
      <c r="A1305" s="3" t="str">
        <f t="shared" si="40"/>
        <v>ΒΑΜΒΑΚΙEVA</v>
      </c>
      <c r="B1305" s="4" t="s">
        <v>2016</v>
      </c>
      <c r="C1305" s="5" t="s">
        <v>2359</v>
      </c>
      <c r="D1305" s="6">
        <v>1513.82</v>
      </c>
      <c r="E1305" s="6">
        <v>1498.43</v>
      </c>
      <c r="F1305" s="7" t="s">
        <v>14</v>
      </c>
      <c r="G1305" s="8" t="s">
        <v>2360</v>
      </c>
      <c r="H1305" s="8" t="s">
        <v>16</v>
      </c>
      <c r="I1305" s="9">
        <v>701</v>
      </c>
      <c r="J1305" s="10">
        <v>12</v>
      </c>
      <c r="K1305" s="10">
        <v>1259</v>
      </c>
      <c r="L1305" s="3" t="str">
        <f t="shared" si="41"/>
        <v>ΒΑΜΒΑΚΙ</v>
      </c>
    </row>
    <row r="1306" spans="1:12" s="3" customFormat="1" x14ac:dyDescent="0.25">
      <c r="A1306" s="3" t="str">
        <f t="shared" si="40"/>
        <v>ΒΑΜΒΑΚΙOURANIA</v>
      </c>
      <c r="B1306" s="18" t="s">
        <v>2016</v>
      </c>
      <c r="C1306" s="19" t="s">
        <v>2361</v>
      </c>
      <c r="D1306" s="6">
        <v>1513.82</v>
      </c>
      <c r="E1306" s="6">
        <v>1498.43</v>
      </c>
      <c r="F1306" s="6" t="s">
        <v>14</v>
      </c>
      <c r="G1306" s="8" t="s">
        <v>2362</v>
      </c>
      <c r="H1306" s="8" t="s">
        <v>27</v>
      </c>
      <c r="I1306" s="9">
        <v>4121</v>
      </c>
      <c r="J1306" s="20">
        <v>12</v>
      </c>
      <c r="K1306" s="20">
        <v>1336</v>
      </c>
      <c r="L1306" s="3" t="str">
        <f t="shared" si="41"/>
        <v>ΒΑΜΒΑΚΙ</v>
      </c>
    </row>
    <row r="1307" spans="1:12" s="3" customFormat="1" x14ac:dyDescent="0.25">
      <c r="A1307" s="3" t="str">
        <f t="shared" si="40"/>
        <v>ΒΑΜΒΑΚΙSTONEVILLE-506</v>
      </c>
      <c r="B1307" s="18" t="s">
        <v>2016</v>
      </c>
      <c r="C1307" s="19" t="s">
        <v>2363</v>
      </c>
      <c r="D1307" s="6">
        <v>1513.82</v>
      </c>
      <c r="E1307" s="6">
        <v>1498.43</v>
      </c>
      <c r="F1307" s="6" t="s">
        <v>14</v>
      </c>
      <c r="G1307" s="8" t="s">
        <v>2364</v>
      </c>
      <c r="H1307" s="8" t="s">
        <v>27</v>
      </c>
      <c r="I1307" s="9">
        <v>4122</v>
      </c>
      <c r="J1307" s="20">
        <v>12</v>
      </c>
      <c r="K1307" s="20">
        <v>1458</v>
      </c>
      <c r="L1307" s="3" t="str">
        <f t="shared" si="41"/>
        <v>ΒΑΜΒΑΚΙ</v>
      </c>
    </row>
    <row r="1308" spans="1:12" s="3" customFormat="1" x14ac:dyDescent="0.25">
      <c r="A1308" s="3" t="str">
        <f t="shared" si="40"/>
        <v>ΒΑΜΒΑΚΙST 324</v>
      </c>
      <c r="B1308" s="4" t="s">
        <v>2016</v>
      </c>
      <c r="C1308" s="5" t="s">
        <v>2365</v>
      </c>
      <c r="D1308" s="6">
        <v>1513.82</v>
      </c>
      <c r="E1308" s="6">
        <v>1498.43</v>
      </c>
      <c r="F1308" s="7" t="s">
        <v>14</v>
      </c>
      <c r="G1308" s="8" t="s">
        <v>2366</v>
      </c>
      <c r="H1308" s="8" t="s">
        <v>27</v>
      </c>
      <c r="I1308" s="9">
        <v>710</v>
      </c>
      <c r="J1308" s="10">
        <v>12</v>
      </c>
      <c r="K1308" s="10">
        <v>1461</v>
      </c>
      <c r="L1308" s="3" t="str">
        <f t="shared" si="41"/>
        <v>ΒΑΜΒΑΚΙ</v>
      </c>
    </row>
    <row r="1309" spans="1:12" s="3" customFormat="1" x14ac:dyDescent="0.25">
      <c r="A1309" s="3" t="str">
        <f t="shared" si="40"/>
        <v>ΒΑΜΒΑΚΙAVGI</v>
      </c>
      <c r="B1309" s="18" t="s">
        <v>2016</v>
      </c>
      <c r="C1309" s="19" t="s">
        <v>2367</v>
      </c>
      <c r="D1309" s="6">
        <v>1513.82</v>
      </c>
      <c r="E1309" s="6">
        <v>1498.43</v>
      </c>
      <c r="F1309" s="6" t="s">
        <v>14</v>
      </c>
      <c r="G1309" s="8" t="s">
        <v>2368</v>
      </c>
      <c r="H1309" s="8" t="s">
        <v>27</v>
      </c>
      <c r="I1309" s="9">
        <v>4123</v>
      </c>
      <c r="J1309" s="20">
        <v>12</v>
      </c>
      <c r="K1309" s="20">
        <v>1479</v>
      </c>
      <c r="L1309" s="3" t="str">
        <f t="shared" si="41"/>
        <v>ΒΑΜΒΑΚΙ</v>
      </c>
    </row>
    <row r="1310" spans="1:12" s="3" customFormat="1" x14ac:dyDescent="0.25">
      <c r="A1310" s="3" t="str">
        <f t="shared" si="40"/>
        <v>ΒΑΜΒΑΚΙILION</v>
      </c>
      <c r="B1310" s="18" t="s">
        <v>2016</v>
      </c>
      <c r="C1310" s="19" t="s">
        <v>2369</v>
      </c>
      <c r="D1310" s="6">
        <v>1513.82</v>
      </c>
      <c r="E1310" s="6">
        <v>1498.43</v>
      </c>
      <c r="F1310" s="6" t="s">
        <v>14</v>
      </c>
      <c r="G1310" s="8" t="s">
        <v>2370</v>
      </c>
      <c r="H1310" s="8" t="s">
        <v>27</v>
      </c>
      <c r="I1310" s="9">
        <v>4124</v>
      </c>
      <c r="J1310" s="20">
        <v>12</v>
      </c>
      <c r="K1310" s="20">
        <v>1562</v>
      </c>
      <c r="L1310" s="3" t="str">
        <f t="shared" si="41"/>
        <v>ΒΑΜΒΑΚΙ</v>
      </c>
    </row>
    <row r="1311" spans="1:12" s="3" customFormat="1" ht="24" x14ac:dyDescent="0.25">
      <c r="A1311" s="3" t="str">
        <f t="shared" si="40"/>
        <v>ΒΑΜΒΑΚΙPENTA</v>
      </c>
      <c r="B1311" s="4" t="s">
        <v>2016</v>
      </c>
      <c r="C1311" s="5" t="s">
        <v>2371</v>
      </c>
      <c r="D1311" s="6">
        <v>1513.82</v>
      </c>
      <c r="E1311" s="6">
        <v>1498.43</v>
      </c>
      <c r="F1311" s="7" t="s">
        <v>14</v>
      </c>
      <c r="G1311" s="8" t="s">
        <v>2372</v>
      </c>
      <c r="H1311" s="8" t="s">
        <v>16</v>
      </c>
      <c r="I1311" s="9">
        <v>696</v>
      </c>
      <c r="J1311" s="10">
        <v>12</v>
      </c>
      <c r="K1311" s="10">
        <v>1563</v>
      </c>
      <c r="L1311" s="3" t="str">
        <f t="shared" si="41"/>
        <v>ΒΑΜΒΑΚΙ</v>
      </c>
    </row>
    <row r="1312" spans="1:12" s="3" customFormat="1" x14ac:dyDescent="0.25">
      <c r="A1312" s="3" t="str">
        <f t="shared" si="40"/>
        <v>ΒΑΜΒΑΚΙALFA</v>
      </c>
      <c r="B1312" s="18" t="s">
        <v>2016</v>
      </c>
      <c r="C1312" s="19" t="s">
        <v>2373</v>
      </c>
      <c r="D1312" s="6">
        <v>1513.82</v>
      </c>
      <c r="E1312" s="6">
        <v>1498.43</v>
      </c>
      <c r="F1312" s="6" t="s">
        <v>14</v>
      </c>
      <c r="G1312" s="8" t="s">
        <v>2374</v>
      </c>
      <c r="H1312" s="8" t="s">
        <v>27</v>
      </c>
      <c r="I1312" s="9">
        <v>4125</v>
      </c>
      <c r="J1312" s="20">
        <v>12</v>
      </c>
      <c r="K1312" s="20">
        <v>1564</v>
      </c>
      <c r="L1312" s="3" t="str">
        <f t="shared" si="41"/>
        <v>ΒΑΜΒΑΚΙ</v>
      </c>
    </row>
    <row r="1313" spans="1:12" s="3" customFormat="1" ht="24" x14ac:dyDescent="0.25">
      <c r="A1313" s="3" t="str">
        <f t="shared" si="40"/>
        <v>ΒΑΜΒΑΚΙZOI</v>
      </c>
      <c r="B1313" s="4" t="s">
        <v>2016</v>
      </c>
      <c r="C1313" s="5" t="s">
        <v>2375</v>
      </c>
      <c r="D1313" s="6">
        <v>1513.82</v>
      </c>
      <c r="E1313" s="6">
        <v>1498.43</v>
      </c>
      <c r="F1313" s="7" t="s">
        <v>14</v>
      </c>
      <c r="G1313" s="8" t="s">
        <v>2376</v>
      </c>
      <c r="H1313" s="8" t="s">
        <v>16</v>
      </c>
      <c r="I1313" s="9">
        <v>695</v>
      </c>
      <c r="J1313" s="10">
        <v>12</v>
      </c>
      <c r="K1313" s="10">
        <v>1597</v>
      </c>
      <c r="L1313" s="3" t="str">
        <f t="shared" si="41"/>
        <v>ΒΑΜΒΑΚΙ</v>
      </c>
    </row>
    <row r="1314" spans="1:12" s="3" customFormat="1" x14ac:dyDescent="0.25">
      <c r="A1314" s="3" t="str">
        <f t="shared" si="40"/>
        <v>ΒΑΜΒΑΚΙNEVADA</v>
      </c>
      <c r="B1314" s="18" t="s">
        <v>2016</v>
      </c>
      <c r="C1314" s="19" t="s">
        <v>2377</v>
      </c>
      <c r="D1314" s="6">
        <v>1513.82</v>
      </c>
      <c r="E1314" s="6">
        <v>1498.43</v>
      </c>
      <c r="F1314" s="6" t="s">
        <v>14</v>
      </c>
      <c r="G1314" s="8" t="s">
        <v>2378</v>
      </c>
      <c r="H1314" s="8" t="s">
        <v>27</v>
      </c>
      <c r="I1314" s="9">
        <v>4126</v>
      </c>
      <c r="J1314" s="20">
        <v>12</v>
      </c>
      <c r="K1314" s="20">
        <v>1642</v>
      </c>
      <c r="L1314" s="3" t="str">
        <f t="shared" si="41"/>
        <v>ΒΑΜΒΑΚΙ</v>
      </c>
    </row>
    <row r="1315" spans="1:12" s="3" customFormat="1" x14ac:dyDescent="0.25">
      <c r="A1315" s="3" t="str">
        <f t="shared" si="40"/>
        <v>ΒΑΜΒΑΚΙROXY</v>
      </c>
      <c r="B1315" s="18" t="s">
        <v>2016</v>
      </c>
      <c r="C1315" s="19" t="s">
        <v>2379</v>
      </c>
      <c r="D1315" s="6">
        <v>1513.82</v>
      </c>
      <c r="E1315" s="6">
        <v>1498.43</v>
      </c>
      <c r="F1315" s="6" t="s">
        <v>14</v>
      </c>
      <c r="G1315" s="8" t="s">
        <v>2380</v>
      </c>
      <c r="H1315" s="8" t="s">
        <v>27</v>
      </c>
      <c r="I1315" s="9">
        <v>4127</v>
      </c>
      <c r="J1315" s="20">
        <v>12</v>
      </c>
      <c r="K1315" s="20">
        <v>1655</v>
      </c>
      <c r="L1315" s="3" t="str">
        <f t="shared" si="41"/>
        <v>ΒΑΜΒΑΚΙ</v>
      </c>
    </row>
    <row r="1316" spans="1:12" s="3" customFormat="1" x14ac:dyDescent="0.25">
      <c r="A1316" s="3" t="str">
        <f t="shared" si="40"/>
        <v>ΒΑΜΒΑΚΙCONTESSA</v>
      </c>
      <c r="B1316" s="18" t="s">
        <v>2016</v>
      </c>
      <c r="C1316" s="19" t="s">
        <v>2381</v>
      </c>
      <c r="D1316" s="6">
        <v>1513.82</v>
      </c>
      <c r="E1316" s="6">
        <v>1498.43</v>
      </c>
      <c r="F1316" s="6" t="s">
        <v>14</v>
      </c>
      <c r="G1316" s="8" t="s">
        <v>2382</v>
      </c>
      <c r="H1316" s="8" t="s">
        <v>27</v>
      </c>
      <c r="I1316" s="9">
        <v>4128</v>
      </c>
      <c r="J1316" s="20">
        <v>12</v>
      </c>
      <c r="K1316" s="20">
        <v>1656</v>
      </c>
      <c r="L1316" s="3" t="str">
        <f t="shared" si="41"/>
        <v>ΒΑΜΒΑΚΙ</v>
      </c>
    </row>
    <row r="1317" spans="1:12" s="3" customFormat="1" x14ac:dyDescent="0.25">
      <c r="A1317" s="3" t="str">
        <f t="shared" si="40"/>
        <v>ΒΑΜΒΑΚΙTROPICANA</v>
      </c>
      <c r="B1317" s="18" t="s">
        <v>2016</v>
      </c>
      <c r="C1317" s="19" t="s">
        <v>2383</v>
      </c>
      <c r="D1317" s="6">
        <v>1513.82</v>
      </c>
      <c r="E1317" s="6">
        <v>1498.43</v>
      </c>
      <c r="F1317" s="6" t="s">
        <v>14</v>
      </c>
      <c r="G1317" s="8" t="s">
        <v>2384</v>
      </c>
      <c r="H1317" s="8" t="s">
        <v>27</v>
      </c>
      <c r="I1317" s="9">
        <v>4129</v>
      </c>
      <c r="J1317" s="20">
        <v>12</v>
      </c>
      <c r="K1317" s="20">
        <v>1657</v>
      </c>
      <c r="L1317" s="3" t="str">
        <f t="shared" si="41"/>
        <v>ΒΑΜΒΑΚΙ</v>
      </c>
    </row>
    <row r="1318" spans="1:12" s="3" customFormat="1" x14ac:dyDescent="0.25">
      <c r="A1318" s="3" t="str">
        <f t="shared" si="40"/>
        <v>ΒΑΜΒΑΚΙEL DORADO</v>
      </c>
      <c r="B1318" s="18" t="s">
        <v>2016</v>
      </c>
      <c r="C1318" s="19" t="s">
        <v>2385</v>
      </c>
      <c r="D1318" s="6">
        <v>1513.82</v>
      </c>
      <c r="E1318" s="6">
        <v>1498.43</v>
      </c>
      <c r="F1318" s="6" t="s">
        <v>14</v>
      </c>
      <c r="G1318" s="8" t="s">
        <v>2386</v>
      </c>
      <c r="H1318" s="8" t="s">
        <v>27</v>
      </c>
      <c r="I1318" s="9">
        <v>4130</v>
      </c>
      <c r="J1318" s="20">
        <v>12</v>
      </c>
      <c r="K1318" s="20">
        <v>1661</v>
      </c>
      <c r="L1318" s="3" t="str">
        <f t="shared" si="41"/>
        <v>ΒΑΜΒΑΚΙ</v>
      </c>
    </row>
    <row r="1319" spans="1:12" s="3" customFormat="1" x14ac:dyDescent="0.25">
      <c r="A1319" s="3" t="str">
        <f t="shared" si="40"/>
        <v>ΒΑΜΒΑΚΙBALKA</v>
      </c>
      <c r="B1319" s="18" t="s">
        <v>2016</v>
      </c>
      <c r="C1319" s="19" t="s">
        <v>2387</v>
      </c>
      <c r="D1319" s="6">
        <v>1513.82</v>
      </c>
      <c r="E1319" s="6">
        <v>1498.43</v>
      </c>
      <c r="F1319" s="6" t="s">
        <v>14</v>
      </c>
      <c r="G1319" s="8" t="s">
        <v>2388</v>
      </c>
      <c r="H1319" s="8" t="s">
        <v>27</v>
      </c>
      <c r="I1319" s="9">
        <v>4131</v>
      </c>
      <c r="J1319" s="20">
        <v>12</v>
      </c>
      <c r="K1319" s="20">
        <v>1662</v>
      </c>
      <c r="L1319" s="3" t="str">
        <f t="shared" si="41"/>
        <v>ΒΑΜΒΑΚΙ</v>
      </c>
    </row>
    <row r="1320" spans="1:12" s="3" customFormat="1" x14ac:dyDescent="0.25">
      <c r="A1320" s="3" t="str">
        <f t="shared" si="40"/>
        <v>ΒΑΜΒΑΚΙMAYA</v>
      </c>
      <c r="B1320" s="18" t="s">
        <v>2016</v>
      </c>
      <c r="C1320" s="19" t="s">
        <v>2389</v>
      </c>
      <c r="D1320" s="6">
        <v>1513.82</v>
      </c>
      <c r="E1320" s="6">
        <v>1498.43</v>
      </c>
      <c r="F1320" s="6" t="s">
        <v>14</v>
      </c>
      <c r="G1320" s="8" t="s">
        <v>2390</v>
      </c>
      <c r="H1320" s="8" t="s">
        <v>27</v>
      </c>
      <c r="I1320" s="9">
        <v>4132</v>
      </c>
      <c r="J1320" s="20">
        <v>12</v>
      </c>
      <c r="K1320" s="20">
        <v>1663</v>
      </c>
      <c r="L1320" s="3" t="str">
        <f t="shared" si="41"/>
        <v>ΒΑΜΒΑΚΙ</v>
      </c>
    </row>
    <row r="1321" spans="1:12" s="3" customFormat="1" x14ac:dyDescent="0.25">
      <c r="A1321" s="3" t="str">
        <f t="shared" si="40"/>
        <v>ΒΑΜΒΑΚΙKING</v>
      </c>
      <c r="B1321" s="18" t="s">
        <v>2016</v>
      </c>
      <c r="C1321" s="19" t="s">
        <v>2391</v>
      </c>
      <c r="D1321" s="6">
        <v>1513.82</v>
      </c>
      <c r="E1321" s="6">
        <v>1498.43</v>
      </c>
      <c r="F1321" s="6" t="s">
        <v>14</v>
      </c>
      <c r="G1321" s="8" t="s">
        <v>2392</v>
      </c>
      <c r="H1321" s="8" t="s">
        <v>27</v>
      </c>
      <c r="I1321" s="9">
        <v>4133</v>
      </c>
      <c r="J1321" s="20">
        <v>12</v>
      </c>
      <c r="K1321" s="20">
        <v>1680</v>
      </c>
      <c r="L1321" s="3" t="str">
        <f t="shared" si="41"/>
        <v>ΒΑΜΒΑΚΙ</v>
      </c>
    </row>
    <row r="1322" spans="1:12" s="3" customFormat="1" x14ac:dyDescent="0.25">
      <c r="A1322" s="3" t="str">
        <f t="shared" si="40"/>
        <v>ΒΑΜΒΑΚΙSURE GROW 501</v>
      </c>
      <c r="B1322" s="18" t="s">
        <v>2016</v>
      </c>
      <c r="C1322" s="19" t="s">
        <v>2393</v>
      </c>
      <c r="D1322" s="6">
        <v>1513.82</v>
      </c>
      <c r="E1322" s="6">
        <v>1498.43</v>
      </c>
      <c r="F1322" s="6" t="s">
        <v>14</v>
      </c>
      <c r="G1322" s="8" t="s">
        <v>2394</v>
      </c>
      <c r="H1322" s="8" t="s">
        <v>27</v>
      </c>
      <c r="I1322" s="9">
        <v>4134</v>
      </c>
      <c r="J1322" s="20">
        <v>12</v>
      </c>
      <c r="K1322" s="20">
        <v>1687</v>
      </c>
      <c r="L1322" s="3" t="str">
        <f t="shared" si="41"/>
        <v>ΒΑΜΒΑΚΙ</v>
      </c>
    </row>
    <row r="1323" spans="1:12" s="3" customFormat="1" x14ac:dyDescent="0.25">
      <c r="A1323" s="3" t="str">
        <f t="shared" si="40"/>
        <v>ΒΑΜΒΑΚΙSURE GROW 404</v>
      </c>
      <c r="B1323" s="18" t="s">
        <v>2016</v>
      </c>
      <c r="C1323" s="19" t="s">
        <v>2395</v>
      </c>
      <c r="D1323" s="6">
        <v>1513.82</v>
      </c>
      <c r="E1323" s="6">
        <v>1498.43</v>
      </c>
      <c r="F1323" s="6" t="s">
        <v>14</v>
      </c>
      <c r="G1323" s="8" t="s">
        <v>2396</v>
      </c>
      <c r="H1323" s="8" t="s">
        <v>27</v>
      </c>
      <c r="I1323" s="9">
        <v>4135</v>
      </c>
      <c r="J1323" s="20">
        <v>12</v>
      </c>
      <c r="K1323" s="20">
        <v>1688</v>
      </c>
      <c r="L1323" s="3" t="str">
        <f t="shared" si="41"/>
        <v>ΒΑΜΒΑΚΙ</v>
      </c>
    </row>
    <row r="1324" spans="1:12" s="3" customFormat="1" x14ac:dyDescent="0.25">
      <c r="A1324" s="3" t="str">
        <f t="shared" si="40"/>
        <v>ΒΑΜΒΑΚΙSINDOS 80 (ΣΙΝΔΟΣ 80)</v>
      </c>
      <c r="B1324" s="18" t="s">
        <v>2016</v>
      </c>
      <c r="C1324" s="19" t="s">
        <v>2397</v>
      </c>
      <c r="D1324" s="6">
        <v>1513.82</v>
      </c>
      <c r="E1324" s="6">
        <v>1498.43</v>
      </c>
      <c r="F1324" s="6" t="s">
        <v>14</v>
      </c>
      <c r="G1324" s="8" t="s">
        <v>2398</v>
      </c>
      <c r="H1324" s="8" t="s">
        <v>27</v>
      </c>
      <c r="I1324" s="9">
        <v>4112</v>
      </c>
      <c r="J1324" s="20">
        <v>12</v>
      </c>
      <c r="K1324" s="20">
        <v>169</v>
      </c>
      <c r="L1324" s="3" t="str">
        <f t="shared" si="41"/>
        <v>ΒΑΜΒΑΚΙ</v>
      </c>
    </row>
    <row r="1325" spans="1:12" s="3" customFormat="1" x14ac:dyDescent="0.25">
      <c r="A1325" s="3" t="str">
        <f t="shared" si="40"/>
        <v>ΒΑΜΒΑΚΙMONTANA</v>
      </c>
      <c r="B1325" s="18" t="s">
        <v>2016</v>
      </c>
      <c r="C1325" s="19" t="s">
        <v>2399</v>
      </c>
      <c r="D1325" s="6">
        <v>1513.82</v>
      </c>
      <c r="E1325" s="6">
        <v>1498.43</v>
      </c>
      <c r="F1325" s="6" t="s">
        <v>14</v>
      </c>
      <c r="G1325" s="8" t="s">
        <v>2400</v>
      </c>
      <c r="H1325" s="8" t="s">
        <v>27</v>
      </c>
      <c r="I1325" s="9">
        <v>4136</v>
      </c>
      <c r="J1325" s="20">
        <v>12</v>
      </c>
      <c r="K1325" s="20">
        <v>1690</v>
      </c>
      <c r="L1325" s="3" t="str">
        <f t="shared" si="41"/>
        <v>ΒΑΜΒΑΚΙ</v>
      </c>
    </row>
    <row r="1326" spans="1:12" s="3" customFormat="1" x14ac:dyDescent="0.25">
      <c r="A1326" s="3" t="str">
        <f t="shared" si="40"/>
        <v>ΒΑΜΒΑΚΙYUMA</v>
      </c>
      <c r="B1326" s="18" t="s">
        <v>2016</v>
      </c>
      <c r="C1326" s="19" t="s">
        <v>2401</v>
      </c>
      <c r="D1326" s="6">
        <v>1513.82</v>
      </c>
      <c r="E1326" s="6">
        <v>1498.43</v>
      </c>
      <c r="F1326" s="6" t="s">
        <v>14</v>
      </c>
      <c r="G1326" s="8" t="s">
        <v>2402</v>
      </c>
      <c r="H1326" s="8" t="s">
        <v>27</v>
      </c>
      <c r="I1326" s="9">
        <v>4137</v>
      </c>
      <c r="J1326" s="20">
        <v>12</v>
      </c>
      <c r="K1326" s="20">
        <v>1691</v>
      </c>
      <c r="L1326" s="3" t="str">
        <f t="shared" si="41"/>
        <v>ΒΑΜΒΑΚΙ</v>
      </c>
    </row>
    <row r="1327" spans="1:12" s="3" customFormat="1" x14ac:dyDescent="0.25">
      <c r="A1327" s="3" t="str">
        <f t="shared" si="40"/>
        <v>ΒΑΜΒΑΚΙAPOLLONIA</v>
      </c>
      <c r="B1327" s="18" t="s">
        <v>2016</v>
      </c>
      <c r="C1327" s="19" t="s">
        <v>2403</v>
      </c>
      <c r="D1327" s="6">
        <v>1513.82</v>
      </c>
      <c r="E1327" s="6">
        <v>1498.43</v>
      </c>
      <c r="F1327" s="6" t="s">
        <v>14</v>
      </c>
      <c r="G1327" s="8" t="s">
        <v>2404</v>
      </c>
      <c r="H1327" s="8" t="s">
        <v>27</v>
      </c>
      <c r="I1327" s="9">
        <v>4138</v>
      </c>
      <c r="J1327" s="20">
        <v>12</v>
      </c>
      <c r="K1327" s="20">
        <v>1692</v>
      </c>
      <c r="L1327" s="3" t="str">
        <f t="shared" si="41"/>
        <v>ΒΑΜΒΑΚΙ</v>
      </c>
    </row>
    <row r="1328" spans="1:12" s="3" customFormat="1" x14ac:dyDescent="0.25">
      <c r="A1328" s="3" t="str">
        <f t="shared" si="40"/>
        <v>ΒΑΜΒΑΚΙOLYMPIA</v>
      </c>
      <c r="B1328" s="18" t="s">
        <v>2016</v>
      </c>
      <c r="C1328" s="19" t="s">
        <v>2405</v>
      </c>
      <c r="D1328" s="6">
        <v>1513.82</v>
      </c>
      <c r="E1328" s="6">
        <v>1498.43</v>
      </c>
      <c r="F1328" s="6" t="s">
        <v>14</v>
      </c>
      <c r="G1328" s="8" t="s">
        <v>2406</v>
      </c>
      <c r="H1328" s="8" t="s">
        <v>27</v>
      </c>
      <c r="I1328" s="9">
        <v>4139</v>
      </c>
      <c r="J1328" s="20">
        <v>12</v>
      </c>
      <c r="K1328" s="20">
        <v>1693</v>
      </c>
      <c r="L1328" s="3" t="str">
        <f t="shared" si="41"/>
        <v>ΒΑΜΒΑΚΙ</v>
      </c>
    </row>
    <row r="1329" spans="1:12" s="3" customFormat="1" x14ac:dyDescent="0.25">
      <c r="A1329" s="3" t="str">
        <f t="shared" si="40"/>
        <v>ΒΑΜΒΑΚΙCHRISTIDIS (ΧΡΗΣΤΙΔΗΣ)</v>
      </c>
      <c r="B1329" s="18" t="s">
        <v>2016</v>
      </c>
      <c r="C1329" s="19" t="s">
        <v>2407</v>
      </c>
      <c r="D1329" s="6">
        <v>1513.82</v>
      </c>
      <c r="E1329" s="6">
        <v>1498.43</v>
      </c>
      <c r="F1329" s="6" t="s">
        <v>14</v>
      </c>
      <c r="G1329" s="8" t="s">
        <v>2408</v>
      </c>
      <c r="H1329" s="8" t="s">
        <v>27</v>
      </c>
      <c r="I1329" s="9">
        <v>4140</v>
      </c>
      <c r="J1329" s="20">
        <v>12</v>
      </c>
      <c r="K1329" s="20">
        <v>1694</v>
      </c>
      <c r="L1329" s="3" t="str">
        <f t="shared" si="41"/>
        <v>ΒΑΜΒΑΚΙ</v>
      </c>
    </row>
    <row r="1330" spans="1:12" s="3" customFormat="1" x14ac:dyDescent="0.25">
      <c r="A1330" s="3" t="str">
        <f t="shared" si="40"/>
        <v>ΒΑΜΒΑΚΙETHIAGE-1</v>
      </c>
      <c r="B1330" s="18" t="s">
        <v>2016</v>
      </c>
      <c r="C1330" s="19" t="s">
        <v>2409</v>
      </c>
      <c r="D1330" s="6">
        <v>1513.82</v>
      </c>
      <c r="E1330" s="6">
        <v>1498.43</v>
      </c>
      <c r="F1330" s="6" t="s">
        <v>14</v>
      </c>
      <c r="G1330" s="8" t="s">
        <v>2410</v>
      </c>
      <c r="H1330" s="8" t="s">
        <v>27</v>
      </c>
      <c r="I1330" s="9">
        <v>4141</v>
      </c>
      <c r="J1330" s="20">
        <v>12</v>
      </c>
      <c r="K1330" s="20">
        <v>1695</v>
      </c>
      <c r="L1330" s="3" t="str">
        <f t="shared" si="41"/>
        <v>ΒΑΜΒΑΚΙ</v>
      </c>
    </row>
    <row r="1331" spans="1:12" s="3" customFormat="1" x14ac:dyDescent="0.25">
      <c r="A1331" s="3" t="str">
        <f t="shared" si="40"/>
        <v>ΒΑΜΒΑΚΙPONDEROSA</v>
      </c>
      <c r="B1331" s="18" t="s">
        <v>2016</v>
      </c>
      <c r="C1331" s="19" t="s">
        <v>2411</v>
      </c>
      <c r="D1331" s="6">
        <v>1513.82</v>
      </c>
      <c r="E1331" s="6">
        <v>1498.43</v>
      </c>
      <c r="F1331" s="6" t="s">
        <v>14</v>
      </c>
      <c r="G1331" s="8" t="s">
        <v>2412</v>
      </c>
      <c r="H1331" s="8" t="s">
        <v>27</v>
      </c>
      <c r="I1331" s="9">
        <v>4142</v>
      </c>
      <c r="J1331" s="20">
        <v>12</v>
      </c>
      <c r="K1331" s="20">
        <v>1697</v>
      </c>
      <c r="L1331" s="3" t="str">
        <f t="shared" si="41"/>
        <v>ΒΑΜΒΑΚΙ</v>
      </c>
    </row>
    <row r="1332" spans="1:12" s="3" customFormat="1" x14ac:dyDescent="0.25">
      <c r="A1332" s="3" t="str">
        <f t="shared" si="40"/>
        <v>ΒΑΜΒΑΚΙ4S (4Σ)</v>
      </c>
      <c r="B1332" s="18" t="s">
        <v>2016</v>
      </c>
      <c r="C1332" s="19" t="s">
        <v>2413</v>
      </c>
      <c r="D1332" s="6">
        <v>1513.82</v>
      </c>
      <c r="E1332" s="6">
        <v>1498.43</v>
      </c>
      <c r="F1332" s="6" t="s">
        <v>14</v>
      </c>
      <c r="G1332" s="8" t="s">
        <v>2414</v>
      </c>
      <c r="H1332" s="8" t="s">
        <v>27</v>
      </c>
      <c r="I1332" s="9">
        <v>4113</v>
      </c>
      <c r="J1332" s="20">
        <v>12</v>
      </c>
      <c r="K1332" s="20">
        <v>170</v>
      </c>
      <c r="L1332" s="3" t="str">
        <f t="shared" si="41"/>
        <v>ΒΑΜΒΑΚΙ</v>
      </c>
    </row>
    <row r="1333" spans="1:12" s="3" customFormat="1" x14ac:dyDescent="0.25">
      <c r="A1333" s="3" t="str">
        <f t="shared" si="40"/>
        <v>ΒΑΜΒΑΚΙCARAT</v>
      </c>
      <c r="B1333" s="18" t="s">
        <v>2016</v>
      </c>
      <c r="C1333" s="19" t="s">
        <v>2415</v>
      </c>
      <c r="D1333" s="6">
        <v>1513.82</v>
      </c>
      <c r="E1333" s="6">
        <v>1498.43</v>
      </c>
      <c r="F1333" s="6" t="s">
        <v>14</v>
      </c>
      <c r="G1333" s="8" t="s">
        <v>2416</v>
      </c>
      <c r="H1333" s="8" t="s">
        <v>27</v>
      </c>
      <c r="I1333" s="9">
        <v>4143</v>
      </c>
      <c r="J1333" s="20">
        <v>12</v>
      </c>
      <c r="K1333" s="20">
        <v>1707</v>
      </c>
      <c r="L1333" s="3" t="str">
        <f t="shared" si="41"/>
        <v>ΒΑΜΒΑΚΙ</v>
      </c>
    </row>
    <row r="1334" spans="1:12" s="3" customFormat="1" x14ac:dyDescent="0.25">
      <c r="A1334" s="3" t="str">
        <f t="shared" si="40"/>
        <v>ΒΑΜΒΑΚΙAΚALA SINDOY (ΑΚΑΛΑ ΣΙΝΔΟΥ)</v>
      </c>
      <c r="B1334" s="18" t="s">
        <v>2016</v>
      </c>
      <c r="C1334" s="19" t="s">
        <v>2417</v>
      </c>
      <c r="D1334" s="6">
        <v>1513.82</v>
      </c>
      <c r="E1334" s="6">
        <v>1498.43</v>
      </c>
      <c r="F1334" s="6" t="s">
        <v>14</v>
      </c>
      <c r="G1334" s="8" t="s">
        <v>2418</v>
      </c>
      <c r="H1334" s="8" t="s">
        <v>27</v>
      </c>
      <c r="I1334" s="9">
        <v>4114</v>
      </c>
      <c r="J1334" s="20">
        <v>12</v>
      </c>
      <c r="K1334" s="20">
        <v>172</v>
      </c>
      <c r="L1334" s="3" t="str">
        <f t="shared" si="41"/>
        <v>ΒΑΜΒΑΚΙ</v>
      </c>
    </row>
    <row r="1335" spans="1:12" s="3" customFormat="1" x14ac:dyDescent="0.25">
      <c r="A1335" s="3" t="str">
        <f t="shared" si="40"/>
        <v>ΒΑΜΒΑΚΙIPEN</v>
      </c>
      <c r="B1335" s="18" t="s">
        <v>2016</v>
      </c>
      <c r="C1335" s="19" t="s">
        <v>2419</v>
      </c>
      <c r="D1335" s="6">
        <v>1513.82</v>
      </c>
      <c r="E1335" s="6">
        <v>1498.43</v>
      </c>
      <c r="F1335" s="6" t="s">
        <v>14</v>
      </c>
      <c r="G1335" s="8" t="s">
        <v>2420</v>
      </c>
      <c r="H1335" s="8" t="s">
        <v>27</v>
      </c>
      <c r="I1335" s="9">
        <v>4144</v>
      </c>
      <c r="J1335" s="20">
        <v>12</v>
      </c>
      <c r="K1335" s="20">
        <v>1728</v>
      </c>
      <c r="L1335" s="3" t="str">
        <f t="shared" si="41"/>
        <v>ΒΑΜΒΑΚΙ</v>
      </c>
    </row>
    <row r="1336" spans="1:12" s="3" customFormat="1" x14ac:dyDescent="0.25">
      <c r="A1336" s="3" t="str">
        <f t="shared" si="40"/>
        <v>ΒΑΜΒΑΚΙRENATA</v>
      </c>
      <c r="B1336" s="18" t="s">
        <v>2016</v>
      </c>
      <c r="C1336" s="19" t="s">
        <v>2421</v>
      </c>
      <c r="D1336" s="6">
        <v>1513.82</v>
      </c>
      <c r="E1336" s="6">
        <v>1498.43</v>
      </c>
      <c r="F1336" s="6" t="s">
        <v>14</v>
      </c>
      <c r="G1336" s="8" t="s">
        <v>2422</v>
      </c>
      <c r="H1336" s="8" t="s">
        <v>27</v>
      </c>
      <c r="I1336" s="9">
        <v>4145</v>
      </c>
      <c r="J1336" s="20">
        <v>12</v>
      </c>
      <c r="K1336" s="20">
        <v>1730</v>
      </c>
      <c r="L1336" s="3" t="str">
        <f t="shared" si="41"/>
        <v>ΒΑΜΒΑΚΙ</v>
      </c>
    </row>
    <row r="1337" spans="1:12" s="3" customFormat="1" ht="24" x14ac:dyDescent="0.25">
      <c r="A1337" s="3" t="str">
        <f t="shared" si="40"/>
        <v>ΒΑΜΒΑΚΙCHRISTINA</v>
      </c>
      <c r="B1337" s="4" t="s">
        <v>2016</v>
      </c>
      <c r="C1337" s="5" t="s">
        <v>2423</v>
      </c>
      <c r="D1337" s="6">
        <v>1513.82</v>
      </c>
      <c r="E1337" s="6">
        <v>1498.43</v>
      </c>
      <c r="F1337" s="7" t="s">
        <v>14</v>
      </c>
      <c r="G1337" s="8" t="s">
        <v>2424</v>
      </c>
      <c r="H1337" s="8" t="s">
        <v>16</v>
      </c>
      <c r="I1337" s="9">
        <v>694</v>
      </c>
      <c r="J1337" s="10">
        <v>12</v>
      </c>
      <c r="K1337" s="10">
        <v>1734</v>
      </c>
      <c r="L1337" s="3" t="str">
        <f t="shared" si="41"/>
        <v>ΒΑΜΒΑΚΙ</v>
      </c>
    </row>
    <row r="1338" spans="1:12" s="3" customFormat="1" x14ac:dyDescent="0.25">
      <c r="A1338" s="3" t="str">
        <f t="shared" si="40"/>
        <v>ΒΑΜΒΑΚΙROMILA</v>
      </c>
      <c r="B1338" s="18" t="s">
        <v>2016</v>
      </c>
      <c r="C1338" s="19" t="s">
        <v>2425</v>
      </c>
      <c r="D1338" s="6">
        <v>1513.82</v>
      </c>
      <c r="E1338" s="6">
        <v>1498.43</v>
      </c>
      <c r="F1338" s="6" t="s">
        <v>14</v>
      </c>
      <c r="G1338" s="8" t="s">
        <v>2426</v>
      </c>
      <c r="H1338" s="8" t="s">
        <v>27</v>
      </c>
      <c r="I1338" s="9">
        <v>4146</v>
      </c>
      <c r="J1338" s="20">
        <v>12</v>
      </c>
      <c r="K1338" s="20">
        <v>1736</v>
      </c>
      <c r="L1338" s="3" t="str">
        <f t="shared" si="41"/>
        <v>ΒΑΜΒΑΚΙ</v>
      </c>
    </row>
    <row r="1339" spans="1:12" s="3" customFormat="1" x14ac:dyDescent="0.25">
      <c r="A1339" s="3" t="str">
        <f t="shared" si="40"/>
        <v>ΒΑΜΒΑΚΙINDIANA</v>
      </c>
      <c r="B1339" s="18" t="s">
        <v>2016</v>
      </c>
      <c r="C1339" s="19" t="s">
        <v>2427</v>
      </c>
      <c r="D1339" s="6">
        <v>1513.82</v>
      </c>
      <c r="E1339" s="6">
        <v>1498.43</v>
      </c>
      <c r="F1339" s="6" t="s">
        <v>14</v>
      </c>
      <c r="G1339" s="8" t="s">
        <v>2428</v>
      </c>
      <c r="H1339" s="8" t="s">
        <v>27</v>
      </c>
      <c r="I1339" s="9">
        <v>4147</v>
      </c>
      <c r="J1339" s="20">
        <v>12</v>
      </c>
      <c r="K1339" s="20">
        <v>1737</v>
      </c>
      <c r="L1339" s="3" t="str">
        <f t="shared" si="41"/>
        <v>ΒΑΜΒΑΚΙ</v>
      </c>
    </row>
    <row r="1340" spans="1:12" s="3" customFormat="1" x14ac:dyDescent="0.25">
      <c r="A1340" s="3" t="str">
        <f t="shared" si="40"/>
        <v>ΒΑΜΒΑΚΙLIA</v>
      </c>
      <c r="B1340" s="18" t="s">
        <v>2016</v>
      </c>
      <c r="C1340" s="19" t="s">
        <v>2429</v>
      </c>
      <c r="D1340" s="6">
        <v>1513.82</v>
      </c>
      <c r="E1340" s="6">
        <v>1498.43</v>
      </c>
      <c r="F1340" s="6" t="s">
        <v>14</v>
      </c>
      <c r="G1340" s="8" t="s">
        <v>2430</v>
      </c>
      <c r="H1340" s="8" t="s">
        <v>27</v>
      </c>
      <c r="I1340" s="9">
        <v>4148</v>
      </c>
      <c r="J1340" s="20">
        <v>12</v>
      </c>
      <c r="K1340" s="20">
        <v>1739</v>
      </c>
      <c r="L1340" s="3" t="str">
        <f t="shared" si="41"/>
        <v>ΒΑΜΒΑΚΙ</v>
      </c>
    </row>
    <row r="1341" spans="1:12" s="3" customFormat="1" x14ac:dyDescent="0.25">
      <c r="A1341" s="3" t="str">
        <f t="shared" si="40"/>
        <v>ΒΑΜΒΑΚΙAMARA</v>
      </c>
      <c r="B1341" s="18" t="s">
        <v>2016</v>
      </c>
      <c r="C1341" s="19" t="s">
        <v>2431</v>
      </c>
      <c r="D1341" s="6">
        <v>1513.82</v>
      </c>
      <c r="E1341" s="6">
        <v>1498.43</v>
      </c>
      <c r="F1341" s="6" t="s">
        <v>14</v>
      </c>
      <c r="G1341" s="8" t="s">
        <v>2432</v>
      </c>
      <c r="H1341" s="8" t="s">
        <v>27</v>
      </c>
      <c r="I1341" s="9">
        <v>4149</v>
      </c>
      <c r="J1341" s="20">
        <v>12</v>
      </c>
      <c r="K1341" s="20">
        <v>1740</v>
      </c>
      <c r="L1341" s="3" t="str">
        <f t="shared" si="41"/>
        <v>ΒΑΜΒΑΚΙ</v>
      </c>
    </row>
    <row r="1342" spans="1:12" s="3" customFormat="1" x14ac:dyDescent="0.25">
      <c r="A1342" s="3" t="str">
        <f t="shared" si="40"/>
        <v>ΒΑΜΒΑΚΙSURE GROW 125</v>
      </c>
      <c r="B1342" s="18" t="s">
        <v>2016</v>
      </c>
      <c r="C1342" s="19" t="s">
        <v>2433</v>
      </c>
      <c r="D1342" s="6">
        <v>1513.82</v>
      </c>
      <c r="E1342" s="6">
        <v>1498.43</v>
      </c>
      <c r="F1342" s="6" t="s">
        <v>14</v>
      </c>
      <c r="G1342" s="8" t="s">
        <v>2434</v>
      </c>
      <c r="H1342" s="8" t="s">
        <v>27</v>
      </c>
      <c r="I1342" s="9">
        <v>4150</v>
      </c>
      <c r="J1342" s="20">
        <v>12</v>
      </c>
      <c r="K1342" s="20">
        <v>1747</v>
      </c>
      <c r="L1342" s="3" t="str">
        <f t="shared" si="41"/>
        <v>ΒΑΜΒΑΚΙ</v>
      </c>
    </row>
    <row r="1343" spans="1:12" s="3" customFormat="1" x14ac:dyDescent="0.25">
      <c r="A1343" s="3" t="str">
        <f t="shared" si="40"/>
        <v>ΒΑΜΒΑΚΙDIVA</v>
      </c>
      <c r="B1343" s="18" t="s">
        <v>2016</v>
      </c>
      <c r="C1343" s="19" t="s">
        <v>2435</v>
      </c>
      <c r="D1343" s="6">
        <v>1513.82</v>
      </c>
      <c r="E1343" s="6">
        <v>1498.43</v>
      </c>
      <c r="F1343" s="6" t="s">
        <v>14</v>
      </c>
      <c r="G1343" s="8" t="s">
        <v>2436</v>
      </c>
      <c r="H1343" s="8" t="s">
        <v>27</v>
      </c>
      <c r="I1343" s="9">
        <v>4151</v>
      </c>
      <c r="J1343" s="20">
        <v>12</v>
      </c>
      <c r="K1343" s="20">
        <v>1748</v>
      </c>
      <c r="L1343" s="3" t="str">
        <f t="shared" si="41"/>
        <v>ΒΑΜΒΑΚΙ</v>
      </c>
    </row>
    <row r="1344" spans="1:12" s="3" customFormat="1" x14ac:dyDescent="0.25">
      <c r="A1344" s="3" t="str">
        <f t="shared" si="40"/>
        <v>ΒΑΜΒΑΚΙSTEFANIA</v>
      </c>
      <c r="B1344" s="18" t="s">
        <v>2016</v>
      </c>
      <c r="C1344" s="19" t="s">
        <v>2437</v>
      </c>
      <c r="D1344" s="6">
        <v>1513.82</v>
      </c>
      <c r="E1344" s="6">
        <v>1498.43</v>
      </c>
      <c r="F1344" s="6" t="s">
        <v>14</v>
      </c>
      <c r="G1344" s="8" t="s">
        <v>2438</v>
      </c>
      <c r="H1344" s="8" t="s">
        <v>27</v>
      </c>
      <c r="I1344" s="9">
        <v>4152</v>
      </c>
      <c r="J1344" s="20">
        <v>12</v>
      </c>
      <c r="K1344" s="20">
        <v>1773</v>
      </c>
      <c r="L1344" s="3" t="str">
        <f t="shared" si="41"/>
        <v>ΒΑΜΒΑΚΙ</v>
      </c>
    </row>
    <row r="1345" spans="1:12" s="3" customFormat="1" x14ac:dyDescent="0.25">
      <c r="A1345" s="3" t="str">
        <f t="shared" si="40"/>
        <v>ΒΑΜΒΑΚΙBOLINA</v>
      </c>
      <c r="B1345" s="18" t="s">
        <v>2016</v>
      </c>
      <c r="C1345" s="19" t="s">
        <v>2439</v>
      </c>
      <c r="D1345" s="6">
        <v>1513.82</v>
      </c>
      <c r="E1345" s="6">
        <v>1498.43</v>
      </c>
      <c r="F1345" s="6" t="s">
        <v>14</v>
      </c>
      <c r="G1345" s="8" t="s">
        <v>2440</v>
      </c>
      <c r="H1345" s="8" t="s">
        <v>27</v>
      </c>
      <c r="I1345" s="9">
        <v>4153</v>
      </c>
      <c r="J1345" s="20">
        <v>12</v>
      </c>
      <c r="K1345" s="20">
        <v>1778</v>
      </c>
      <c r="L1345" s="3" t="str">
        <f t="shared" si="41"/>
        <v>ΒΑΜΒΑΚΙ</v>
      </c>
    </row>
    <row r="1346" spans="1:12" s="3" customFormat="1" x14ac:dyDescent="0.25">
      <c r="A1346" s="3" t="str">
        <f t="shared" si="40"/>
        <v>ΒΑΜΒΑΚΙSAMOS (ΣΑΜΟΣ)</v>
      </c>
      <c r="B1346" s="18" t="s">
        <v>2016</v>
      </c>
      <c r="C1346" s="19" t="s">
        <v>2441</v>
      </c>
      <c r="D1346" s="6">
        <v>1513.82</v>
      </c>
      <c r="E1346" s="6">
        <v>1498.43</v>
      </c>
      <c r="F1346" s="6" t="s">
        <v>14</v>
      </c>
      <c r="G1346" s="8" t="s">
        <v>2442</v>
      </c>
      <c r="H1346" s="8" t="s">
        <v>27</v>
      </c>
      <c r="I1346" s="9">
        <v>4115</v>
      </c>
      <c r="J1346" s="20">
        <v>12</v>
      </c>
      <c r="K1346" s="20">
        <v>180</v>
      </c>
      <c r="L1346" s="3" t="str">
        <f t="shared" si="41"/>
        <v>ΒΑΜΒΑΚΙ</v>
      </c>
    </row>
    <row r="1347" spans="1:12" s="3" customFormat="1" ht="24" x14ac:dyDescent="0.25">
      <c r="A1347" s="3" t="str">
        <f t="shared" ref="A1347:A1410" si="42">_xlfn.CONCAT(B1347,C1347)</f>
        <v>ΒΑΜΒΑΚΙEXPRESS</v>
      </c>
      <c r="B1347" s="4" t="s">
        <v>2016</v>
      </c>
      <c r="C1347" s="5" t="s">
        <v>2443</v>
      </c>
      <c r="D1347" s="6">
        <v>1513.82</v>
      </c>
      <c r="E1347" s="6">
        <v>1498.43</v>
      </c>
      <c r="F1347" s="7" t="s">
        <v>14</v>
      </c>
      <c r="G1347" s="8" t="s">
        <v>2444</v>
      </c>
      <c r="H1347" s="8" t="s">
        <v>16</v>
      </c>
      <c r="I1347" s="9">
        <v>693</v>
      </c>
      <c r="J1347" s="10">
        <v>12</v>
      </c>
      <c r="K1347" s="10">
        <v>1809</v>
      </c>
      <c r="L1347" s="3" t="str">
        <f t="shared" ref="L1347:L1410" si="43">IFERROR(SUBSTITUTE(SUBSTITUTE(SUBSTITUTE(SUBSTITUTE(SUBSTITUTE(B1347, "-", "_"), " ", "_"), ",", ""), "(", ""), ")", ""), B1347)</f>
        <v>ΒΑΜΒΑΚΙ</v>
      </c>
    </row>
    <row r="1348" spans="1:12" s="3" customFormat="1" ht="24" x14ac:dyDescent="0.25">
      <c r="A1348" s="3" t="str">
        <f t="shared" si="42"/>
        <v>ΒΑΜΒΑΚΙDALIA</v>
      </c>
      <c r="B1348" s="4" t="s">
        <v>2016</v>
      </c>
      <c r="C1348" s="5" t="s">
        <v>2445</v>
      </c>
      <c r="D1348" s="6">
        <v>1513.82</v>
      </c>
      <c r="E1348" s="6">
        <v>1498.43</v>
      </c>
      <c r="F1348" s="7" t="s">
        <v>14</v>
      </c>
      <c r="G1348" s="8" t="s">
        <v>2446</v>
      </c>
      <c r="H1348" s="8" t="s">
        <v>16</v>
      </c>
      <c r="I1348" s="9">
        <v>691</v>
      </c>
      <c r="J1348" s="10">
        <v>12</v>
      </c>
      <c r="K1348" s="10">
        <v>1813</v>
      </c>
      <c r="L1348" s="3" t="str">
        <f t="shared" si="43"/>
        <v>ΒΑΜΒΑΚΙ</v>
      </c>
    </row>
    <row r="1349" spans="1:12" s="3" customFormat="1" x14ac:dyDescent="0.25">
      <c r="A1349" s="3" t="str">
        <f t="shared" si="42"/>
        <v>ΒΑΜΒΑΚΙLUCIA (ΛΟΥΚΙΑ)</v>
      </c>
      <c r="B1349" s="18" t="s">
        <v>2016</v>
      </c>
      <c r="C1349" s="19" t="s">
        <v>2447</v>
      </c>
      <c r="D1349" s="6">
        <v>1513.82</v>
      </c>
      <c r="E1349" s="6">
        <v>1498.43</v>
      </c>
      <c r="F1349" s="6" t="s">
        <v>14</v>
      </c>
      <c r="G1349" s="8" t="s">
        <v>2448</v>
      </c>
      <c r="H1349" s="8" t="s">
        <v>27</v>
      </c>
      <c r="I1349" s="9">
        <v>4154</v>
      </c>
      <c r="J1349" s="20">
        <v>12</v>
      </c>
      <c r="K1349" s="20">
        <v>1814</v>
      </c>
      <c r="L1349" s="3" t="str">
        <f t="shared" si="43"/>
        <v>ΒΑΜΒΑΚΙ</v>
      </c>
    </row>
    <row r="1350" spans="1:12" s="3" customFormat="1" x14ac:dyDescent="0.25">
      <c r="A1350" s="3" t="str">
        <f t="shared" si="42"/>
        <v>ΒΑΜΒΑΚΙASTRA</v>
      </c>
      <c r="B1350" s="18" t="s">
        <v>2016</v>
      </c>
      <c r="C1350" s="19" t="s">
        <v>2449</v>
      </c>
      <c r="D1350" s="6">
        <v>1513.82</v>
      </c>
      <c r="E1350" s="6">
        <v>1498.43</v>
      </c>
      <c r="F1350" s="6" t="s">
        <v>14</v>
      </c>
      <c r="G1350" s="8" t="s">
        <v>2450</v>
      </c>
      <c r="H1350" s="8" t="s">
        <v>27</v>
      </c>
      <c r="I1350" s="9">
        <v>4155</v>
      </c>
      <c r="J1350" s="20">
        <v>12</v>
      </c>
      <c r="K1350" s="20">
        <v>1817</v>
      </c>
      <c r="L1350" s="3" t="str">
        <f t="shared" si="43"/>
        <v>ΒΑΜΒΑΚΙ</v>
      </c>
    </row>
    <row r="1351" spans="1:12" s="3" customFormat="1" x14ac:dyDescent="0.25">
      <c r="A1351" s="3" t="str">
        <f t="shared" si="42"/>
        <v>ΒΑΜΒΑΚΙVENTO</v>
      </c>
      <c r="B1351" s="18" t="s">
        <v>2016</v>
      </c>
      <c r="C1351" s="19" t="s">
        <v>2451</v>
      </c>
      <c r="D1351" s="6">
        <v>1513.82</v>
      </c>
      <c r="E1351" s="6">
        <v>1498.43</v>
      </c>
      <c r="F1351" s="6" t="s">
        <v>14</v>
      </c>
      <c r="G1351" s="8" t="s">
        <v>2452</v>
      </c>
      <c r="H1351" s="8" t="s">
        <v>27</v>
      </c>
      <c r="I1351" s="9">
        <v>4156</v>
      </c>
      <c r="J1351" s="20">
        <v>12</v>
      </c>
      <c r="K1351" s="20">
        <v>1818</v>
      </c>
      <c r="L1351" s="3" t="str">
        <f t="shared" si="43"/>
        <v>ΒΑΜΒΑΚΙ</v>
      </c>
    </row>
    <row r="1352" spans="1:12" s="3" customFormat="1" x14ac:dyDescent="0.25">
      <c r="A1352" s="3" t="str">
        <f t="shared" si="42"/>
        <v>ΒΑΜΒΑΚΙMACEDON</v>
      </c>
      <c r="B1352" s="18" t="s">
        <v>2016</v>
      </c>
      <c r="C1352" s="19" t="s">
        <v>2453</v>
      </c>
      <c r="D1352" s="6">
        <v>1513.82</v>
      </c>
      <c r="E1352" s="6">
        <v>1498.43</v>
      </c>
      <c r="F1352" s="6" t="s">
        <v>14</v>
      </c>
      <c r="G1352" s="8" t="s">
        <v>2454</v>
      </c>
      <c r="H1352" s="8" t="s">
        <v>27</v>
      </c>
      <c r="I1352" s="9">
        <v>4157</v>
      </c>
      <c r="J1352" s="20">
        <v>12</v>
      </c>
      <c r="K1352" s="20">
        <v>1821</v>
      </c>
      <c r="L1352" s="3" t="str">
        <f t="shared" si="43"/>
        <v>ΒΑΜΒΑΚΙ</v>
      </c>
    </row>
    <row r="1353" spans="1:12" s="3" customFormat="1" x14ac:dyDescent="0.25">
      <c r="A1353" s="3" t="str">
        <f t="shared" si="42"/>
        <v>ΒΑΜΒΑΚΙDIMITRA</v>
      </c>
      <c r="B1353" s="18" t="s">
        <v>2016</v>
      </c>
      <c r="C1353" s="19" t="s">
        <v>2455</v>
      </c>
      <c r="D1353" s="6">
        <v>1513.82</v>
      </c>
      <c r="E1353" s="6">
        <v>1498.43</v>
      </c>
      <c r="F1353" s="6" t="s">
        <v>14</v>
      </c>
      <c r="G1353" s="8" t="s">
        <v>2456</v>
      </c>
      <c r="H1353" s="8" t="s">
        <v>27</v>
      </c>
      <c r="I1353" s="9">
        <v>4158</v>
      </c>
      <c r="J1353" s="20">
        <v>12</v>
      </c>
      <c r="K1353" s="20">
        <v>1830</v>
      </c>
      <c r="L1353" s="3" t="str">
        <f t="shared" si="43"/>
        <v>ΒΑΜΒΑΚΙ</v>
      </c>
    </row>
    <row r="1354" spans="1:12" s="3" customFormat="1" x14ac:dyDescent="0.25">
      <c r="A1354" s="3" t="str">
        <f t="shared" si="42"/>
        <v>ΒΑΜΒΑΚΙNOVA</v>
      </c>
      <c r="B1354" s="4" t="s">
        <v>2016</v>
      </c>
      <c r="C1354" s="5" t="s">
        <v>2457</v>
      </c>
      <c r="D1354" s="6">
        <v>1513.82</v>
      </c>
      <c r="E1354" s="6">
        <v>1498.43</v>
      </c>
      <c r="F1354" s="7" t="s">
        <v>14</v>
      </c>
      <c r="G1354" s="8" t="s">
        <v>2458</v>
      </c>
      <c r="H1354" s="8" t="s">
        <v>27</v>
      </c>
      <c r="I1354" s="9">
        <v>690</v>
      </c>
      <c r="J1354" s="10">
        <v>12</v>
      </c>
      <c r="K1354" s="10">
        <v>1834</v>
      </c>
      <c r="L1354" s="3" t="str">
        <f t="shared" si="43"/>
        <v>ΒΑΜΒΑΚΙ</v>
      </c>
    </row>
    <row r="1355" spans="1:12" s="3" customFormat="1" x14ac:dyDescent="0.25">
      <c r="A1355" s="3" t="str">
        <f t="shared" si="42"/>
        <v>ΒΑΜΒΑΚΙBRAVADA</v>
      </c>
      <c r="B1355" s="18" t="s">
        <v>2016</v>
      </c>
      <c r="C1355" s="19" t="s">
        <v>2459</v>
      </c>
      <c r="D1355" s="6">
        <v>1513.82</v>
      </c>
      <c r="E1355" s="6">
        <v>1498.43</v>
      </c>
      <c r="F1355" s="6" t="s">
        <v>14</v>
      </c>
      <c r="G1355" s="8" t="s">
        <v>2460</v>
      </c>
      <c r="H1355" s="8" t="s">
        <v>27</v>
      </c>
      <c r="I1355" s="9">
        <v>4159</v>
      </c>
      <c r="J1355" s="20">
        <v>12</v>
      </c>
      <c r="K1355" s="20">
        <v>1835</v>
      </c>
      <c r="L1355" s="3" t="str">
        <f t="shared" si="43"/>
        <v>ΒΑΜΒΑΚΙ</v>
      </c>
    </row>
    <row r="1356" spans="1:12" s="3" customFormat="1" x14ac:dyDescent="0.25">
      <c r="A1356" s="3" t="str">
        <f t="shared" si="42"/>
        <v>ΒΑΜΒΑΚΙALPINA</v>
      </c>
      <c r="B1356" s="18" t="s">
        <v>2016</v>
      </c>
      <c r="C1356" s="19" t="s">
        <v>2461</v>
      </c>
      <c r="D1356" s="6">
        <v>1513.82</v>
      </c>
      <c r="E1356" s="6">
        <v>1498.43</v>
      </c>
      <c r="F1356" s="6" t="s">
        <v>14</v>
      </c>
      <c r="G1356" s="8" t="s">
        <v>2462</v>
      </c>
      <c r="H1356" s="8" t="s">
        <v>27</v>
      </c>
      <c r="I1356" s="9">
        <v>4160</v>
      </c>
      <c r="J1356" s="20">
        <v>12</v>
      </c>
      <c r="K1356" s="20">
        <v>1839</v>
      </c>
      <c r="L1356" s="3" t="str">
        <f t="shared" si="43"/>
        <v>ΒΑΜΒΑΚΙ</v>
      </c>
    </row>
    <row r="1357" spans="1:12" s="3" customFormat="1" x14ac:dyDescent="0.25">
      <c r="A1357" s="3" t="str">
        <f t="shared" si="42"/>
        <v>ΒΑΜΒΑΚΙROMANOS</v>
      </c>
      <c r="B1357" s="4" t="s">
        <v>2016</v>
      </c>
      <c r="C1357" s="5" t="s">
        <v>2463</v>
      </c>
      <c r="D1357" s="6">
        <v>1513.82</v>
      </c>
      <c r="E1357" s="6">
        <v>1498.43</v>
      </c>
      <c r="F1357" s="7" t="s">
        <v>14</v>
      </c>
      <c r="G1357" s="8" t="s">
        <v>2464</v>
      </c>
      <c r="H1357" s="8" t="s">
        <v>27</v>
      </c>
      <c r="I1357" s="9">
        <v>689</v>
      </c>
      <c r="J1357" s="10">
        <v>12</v>
      </c>
      <c r="K1357" s="10">
        <v>1841</v>
      </c>
      <c r="L1357" s="3" t="str">
        <f t="shared" si="43"/>
        <v>ΒΑΜΒΑΚΙ</v>
      </c>
    </row>
    <row r="1358" spans="1:12" s="3" customFormat="1" ht="24" x14ac:dyDescent="0.25">
      <c r="A1358" s="3" t="str">
        <f t="shared" si="42"/>
        <v>ΒΑΜΒΑΚΙELINA</v>
      </c>
      <c r="B1358" s="4" t="s">
        <v>2016</v>
      </c>
      <c r="C1358" s="5" t="s">
        <v>2465</v>
      </c>
      <c r="D1358" s="6">
        <v>1513.82</v>
      </c>
      <c r="E1358" s="6">
        <v>1498.43</v>
      </c>
      <c r="F1358" s="7" t="s">
        <v>14</v>
      </c>
      <c r="G1358" s="8" t="s">
        <v>2466</v>
      </c>
      <c r="H1358" s="8" t="s">
        <v>16</v>
      </c>
      <c r="I1358" s="9">
        <v>688</v>
      </c>
      <c r="J1358" s="10">
        <v>12</v>
      </c>
      <c r="K1358" s="10">
        <v>1842</v>
      </c>
      <c r="L1358" s="3" t="str">
        <f t="shared" si="43"/>
        <v>ΒΑΜΒΑΚΙ</v>
      </c>
    </row>
    <row r="1359" spans="1:12" s="3" customFormat="1" x14ac:dyDescent="0.25">
      <c r="A1359" s="3" t="str">
        <f t="shared" si="42"/>
        <v>ΒΑΜΒΑΚΙGEDERA 5</v>
      </c>
      <c r="B1359" s="18" t="s">
        <v>2016</v>
      </c>
      <c r="C1359" s="19" t="s">
        <v>2467</v>
      </c>
      <c r="D1359" s="6">
        <v>1513.82</v>
      </c>
      <c r="E1359" s="6">
        <v>1498.43</v>
      </c>
      <c r="F1359" s="6" t="s">
        <v>14</v>
      </c>
      <c r="G1359" s="8" t="s">
        <v>2468</v>
      </c>
      <c r="H1359" s="8" t="s">
        <v>27</v>
      </c>
      <c r="I1359" s="9">
        <v>4161</v>
      </c>
      <c r="J1359" s="20">
        <v>12</v>
      </c>
      <c r="K1359" s="20">
        <v>1843</v>
      </c>
      <c r="L1359" s="3" t="str">
        <f t="shared" si="43"/>
        <v>ΒΑΜΒΑΚΙ</v>
      </c>
    </row>
    <row r="1360" spans="1:12" s="3" customFormat="1" x14ac:dyDescent="0.25">
      <c r="A1360" s="3" t="str">
        <f t="shared" si="42"/>
        <v>ΒΑΜΒΑΚΙARIANA-1</v>
      </c>
      <c r="B1360" s="18" t="s">
        <v>2016</v>
      </c>
      <c r="C1360" s="19" t="s">
        <v>2469</v>
      </c>
      <c r="D1360" s="6">
        <v>1513.82</v>
      </c>
      <c r="E1360" s="6">
        <v>1498.43</v>
      </c>
      <c r="F1360" s="6" t="s">
        <v>14</v>
      </c>
      <c r="G1360" s="8" t="s">
        <v>2470</v>
      </c>
      <c r="H1360" s="8" t="s">
        <v>27</v>
      </c>
      <c r="I1360" s="9">
        <v>4162</v>
      </c>
      <c r="J1360" s="20">
        <v>12</v>
      </c>
      <c r="K1360" s="20">
        <v>1844</v>
      </c>
      <c r="L1360" s="3" t="str">
        <f t="shared" si="43"/>
        <v>ΒΑΜΒΑΚΙ</v>
      </c>
    </row>
    <row r="1361" spans="1:12" s="3" customFormat="1" x14ac:dyDescent="0.25">
      <c r="A1361" s="3" t="str">
        <f t="shared" si="42"/>
        <v>ΒΑΜΒΑΚΙLUNA</v>
      </c>
      <c r="B1361" s="18" t="s">
        <v>2016</v>
      </c>
      <c r="C1361" s="19" t="s">
        <v>2471</v>
      </c>
      <c r="D1361" s="6">
        <v>1513.82</v>
      </c>
      <c r="E1361" s="6">
        <v>1498.43</v>
      </c>
      <c r="F1361" s="6" t="s">
        <v>14</v>
      </c>
      <c r="G1361" s="8" t="s">
        <v>2472</v>
      </c>
      <c r="H1361" s="8" t="s">
        <v>27</v>
      </c>
      <c r="I1361" s="9">
        <v>4163</v>
      </c>
      <c r="J1361" s="20">
        <v>12</v>
      </c>
      <c r="K1361" s="20">
        <v>1845</v>
      </c>
      <c r="L1361" s="3" t="str">
        <f t="shared" si="43"/>
        <v>ΒΑΜΒΑΚΙ</v>
      </c>
    </row>
    <row r="1362" spans="1:12" s="3" customFormat="1" x14ac:dyDescent="0.25">
      <c r="A1362" s="3" t="str">
        <f t="shared" si="42"/>
        <v>ΒΑΜΒΑΚΙANTAIOS</v>
      </c>
      <c r="B1362" s="18" t="s">
        <v>2016</v>
      </c>
      <c r="C1362" s="19" t="s">
        <v>2473</v>
      </c>
      <c r="D1362" s="6">
        <v>1513.82</v>
      </c>
      <c r="E1362" s="6">
        <v>1498.43</v>
      </c>
      <c r="F1362" s="6" t="s">
        <v>14</v>
      </c>
      <c r="G1362" s="8" t="s">
        <v>2474</v>
      </c>
      <c r="H1362" s="8" t="s">
        <v>27</v>
      </c>
      <c r="I1362" s="9">
        <v>4164</v>
      </c>
      <c r="J1362" s="20">
        <v>12</v>
      </c>
      <c r="K1362" s="20">
        <v>1849</v>
      </c>
      <c r="L1362" s="3" t="str">
        <f t="shared" si="43"/>
        <v>ΒΑΜΒΑΚΙ</v>
      </c>
    </row>
    <row r="1363" spans="1:12" s="3" customFormat="1" x14ac:dyDescent="0.25">
      <c r="A1363" s="3" t="str">
        <f t="shared" si="42"/>
        <v>ΒΑΜΒΑΚΙPROMITHEAS (ΠΡΟΜΗΘΕΑΣ)</v>
      </c>
      <c r="B1363" s="18" t="s">
        <v>2016</v>
      </c>
      <c r="C1363" s="19" t="s">
        <v>2475</v>
      </c>
      <c r="D1363" s="6">
        <v>1513.82</v>
      </c>
      <c r="E1363" s="6">
        <v>1498.43</v>
      </c>
      <c r="F1363" s="6" t="s">
        <v>14</v>
      </c>
      <c r="G1363" s="8" t="s">
        <v>2476</v>
      </c>
      <c r="H1363" s="8" t="s">
        <v>27</v>
      </c>
      <c r="I1363" s="9">
        <v>4165</v>
      </c>
      <c r="J1363" s="20">
        <v>12</v>
      </c>
      <c r="K1363" s="20">
        <v>1850</v>
      </c>
      <c r="L1363" s="3" t="str">
        <f t="shared" si="43"/>
        <v>ΒΑΜΒΑΚΙ</v>
      </c>
    </row>
    <row r="1364" spans="1:12" s="3" customFormat="1" x14ac:dyDescent="0.25">
      <c r="A1364" s="3" t="str">
        <f t="shared" si="42"/>
        <v>ΒΑΜΒΑΚΙDELTA ODALO</v>
      </c>
      <c r="B1364" s="4" t="s">
        <v>2016</v>
      </c>
      <c r="C1364" s="5" t="s">
        <v>2477</v>
      </c>
      <c r="D1364" s="6">
        <v>1513.82</v>
      </c>
      <c r="E1364" s="6">
        <v>1498.43</v>
      </c>
      <c r="F1364" s="7" t="s">
        <v>14</v>
      </c>
      <c r="G1364" s="8" t="s">
        <v>2478</v>
      </c>
      <c r="H1364" s="8" t="s">
        <v>27</v>
      </c>
      <c r="I1364" s="9">
        <v>616</v>
      </c>
      <c r="J1364" s="10">
        <v>12</v>
      </c>
      <c r="K1364" s="10">
        <v>1877</v>
      </c>
      <c r="L1364" s="3" t="str">
        <f t="shared" si="43"/>
        <v>ΒΑΜΒΑΚΙ</v>
      </c>
    </row>
    <row r="1365" spans="1:12" s="3" customFormat="1" x14ac:dyDescent="0.25">
      <c r="A1365" s="3" t="str">
        <f t="shared" si="42"/>
        <v>ΒΑΜΒΑΚΙARENA</v>
      </c>
      <c r="B1365" s="18" t="s">
        <v>2016</v>
      </c>
      <c r="C1365" s="19" t="s">
        <v>2479</v>
      </c>
      <c r="D1365" s="6">
        <v>1513.82</v>
      </c>
      <c r="E1365" s="6">
        <v>1498.43</v>
      </c>
      <c r="F1365" s="6" t="s">
        <v>14</v>
      </c>
      <c r="G1365" s="8" t="s">
        <v>2480</v>
      </c>
      <c r="H1365" s="8" t="s">
        <v>27</v>
      </c>
      <c r="I1365" s="9">
        <v>4166</v>
      </c>
      <c r="J1365" s="20">
        <v>12</v>
      </c>
      <c r="K1365" s="20">
        <v>1884</v>
      </c>
      <c r="L1365" s="3" t="str">
        <f t="shared" si="43"/>
        <v>ΒΑΜΒΑΚΙ</v>
      </c>
    </row>
    <row r="1366" spans="1:12" s="3" customFormat="1" x14ac:dyDescent="0.25">
      <c r="A1366" s="3" t="str">
        <f t="shared" si="42"/>
        <v>ΒΑΜΒΑΚΙVELOS</v>
      </c>
      <c r="B1366" s="18" t="s">
        <v>2016</v>
      </c>
      <c r="C1366" s="19" t="s">
        <v>2481</v>
      </c>
      <c r="D1366" s="6">
        <v>1513.82</v>
      </c>
      <c r="E1366" s="6">
        <v>1498.43</v>
      </c>
      <c r="F1366" s="6" t="s">
        <v>14</v>
      </c>
      <c r="G1366" s="8" t="s">
        <v>2482</v>
      </c>
      <c r="H1366" s="8" t="s">
        <v>27</v>
      </c>
      <c r="I1366" s="9">
        <v>4167</v>
      </c>
      <c r="J1366" s="20">
        <v>12</v>
      </c>
      <c r="K1366" s="20">
        <v>1885</v>
      </c>
      <c r="L1366" s="3" t="str">
        <f t="shared" si="43"/>
        <v>ΒΑΜΒΑΚΙ</v>
      </c>
    </row>
    <row r="1367" spans="1:12" s="3" customFormat="1" x14ac:dyDescent="0.25">
      <c r="A1367" s="3" t="str">
        <f t="shared" si="42"/>
        <v>ΒΑΜΒΑΚΙJOAN</v>
      </c>
      <c r="B1367" s="4" t="s">
        <v>2016</v>
      </c>
      <c r="C1367" s="5" t="s">
        <v>2483</v>
      </c>
      <c r="D1367" s="6">
        <v>1513.82</v>
      </c>
      <c r="E1367" s="6">
        <v>1498.43</v>
      </c>
      <c r="F1367" s="7" t="s">
        <v>14</v>
      </c>
      <c r="G1367" s="8" t="s">
        <v>2484</v>
      </c>
      <c r="H1367" s="8" t="s">
        <v>27</v>
      </c>
      <c r="I1367" s="9">
        <v>615</v>
      </c>
      <c r="J1367" s="10">
        <v>12</v>
      </c>
      <c r="K1367" s="10">
        <v>1888</v>
      </c>
      <c r="L1367" s="3" t="str">
        <f t="shared" si="43"/>
        <v>ΒΑΜΒΑΚΙ</v>
      </c>
    </row>
    <row r="1368" spans="1:12" s="3" customFormat="1" x14ac:dyDescent="0.25">
      <c r="A1368" s="3" t="str">
        <f t="shared" si="42"/>
        <v>ΒΑΜΒΑΚΙVAKI - 230</v>
      </c>
      <c r="B1368" s="18" t="s">
        <v>2016</v>
      </c>
      <c r="C1368" s="19" t="s">
        <v>2485</v>
      </c>
      <c r="D1368" s="6">
        <v>1513.82</v>
      </c>
      <c r="E1368" s="6">
        <v>1498.43</v>
      </c>
      <c r="F1368" s="6" t="s">
        <v>14</v>
      </c>
      <c r="G1368" s="8" t="s">
        <v>2486</v>
      </c>
      <c r="H1368" s="8" t="s">
        <v>27</v>
      </c>
      <c r="I1368" s="9">
        <v>4168</v>
      </c>
      <c r="J1368" s="20">
        <v>12</v>
      </c>
      <c r="K1368" s="20">
        <v>1889</v>
      </c>
      <c r="L1368" s="3" t="str">
        <f t="shared" si="43"/>
        <v>ΒΑΜΒΑΚΙ</v>
      </c>
    </row>
    <row r="1369" spans="1:12" s="3" customFormat="1" ht="24" x14ac:dyDescent="0.25">
      <c r="A1369" s="3" t="str">
        <f t="shared" si="42"/>
        <v>ΒΑΜΒΑΚΙSANDRA</v>
      </c>
      <c r="B1369" s="4" t="s">
        <v>2016</v>
      </c>
      <c r="C1369" s="5" t="s">
        <v>2487</v>
      </c>
      <c r="D1369" s="6">
        <v>1513.82</v>
      </c>
      <c r="E1369" s="6">
        <v>1498.43</v>
      </c>
      <c r="F1369" s="7" t="s">
        <v>14</v>
      </c>
      <c r="G1369" s="8" t="s">
        <v>2488</v>
      </c>
      <c r="H1369" s="8" t="s">
        <v>16</v>
      </c>
      <c r="I1369" s="9">
        <v>644</v>
      </c>
      <c r="J1369" s="10">
        <v>12</v>
      </c>
      <c r="K1369" s="10">
        <v>1892</v>
      </c>
      <c r="L1369" s="3" t="str">
        <f t="shared" si="43"/>
        <v>ΒΑΜΒΑΚΙ</v>
      </c>
    </row>
    <row r="1370" spans="1:12" s="3" customFormat="1" x14ac:dyDescent="0.25">
      <c r="A1370" s="3" t="str">
        <f t="shared" si="42"/>
        <v>ΒΑΜΒΑΚΙPALOMA</v>
      </c>
      <c r="B1370" s="18" t="s">
        <v>2016</v>
      </c>
      <c r="C1370" s="19" t="s">
        <v>2489</v>
      </c>
      <c r="D1370" s="6">
        <v>1513.82</v>
      </c>
      <c r="E1370" s="6">
        <v>1498.43</v>
      </c>
      <c r="F1370" s="6" t="s">
        <v>14</v>
      </c>
      <c r="G1370" s="8" t="s">
        <v>2490</v>
      </c>
      <c r="H1370" s="8" t="s">
        <v>27</v>
      </c>
      <c r="I1370" s="9">
        <v>4169</v>
      </c>
      <c r="J1370" s="20">
        <v>12</v>
      </c>
      <c r="K1370" s="20">
        <v>1898</v>
      </c>
      <c r="L1370" s="3" t="str">
        <f t="shared" si="43"/>
        <v>ΒΑΜΒΑΚΙ</v>
      </c>
    </row>
    <row r="1371" spans="1:12" s="3" customFormat="1" x14ac:dyDescent="0.25">
      <c r="A1371" s="3" t="str">
        <f t="shared" si="42"/>
        <v>ΒΑΜΒΑΚΙNORIS</v>
      </c>
      <c r="B1371" s="18" t="s">
        <v>2016</v>
      </c>
      <c r="C1371" s="19" t="s">
        <v>2491</v>
      </c>
      <c r="D1371" s="6">
        <v>1513.82</v>
      </c>
      <c r="E1371" s="6">
        <v>1498.43</v>
      </c>
      <c r="F1371" s="6" t="s">
        <v>14</v>
      </c>
      <c r="G1371" s="8" t="s">
        <v>2492</v>
      </c>
      <c r="H1371" s="8" t="s">
        <v>27</v>
      </c>
      <c r="I1371" s="9">
        <v>4170</v>
      </c>
      <c r="J1371" s="20">
        <v>12</v>
      </c>
      <c r="K1371" s="20">
        <v>1906</v>
      </c>
      <c r="L1371" s="3" t="str">
        <f t="shared" si="43"/>
        <v>ΒΑΜΒΑΚΙ</v>
      </c>
    </row>
    <row r="1372" spans="1:12" s="3" customFormat="1" ht="24" x14ac:dyDescent="0.25">
      <c r="A1372" s="3" t="str">
        <f t="shared" si="42"/>
        <v>ΒΑΜΒΑΚΙFLORA</v>
      </c>
      <c r="B1372" s="4" t="s">
        <v>2016</v>
      </c>
      <c r="C1372" s="5" t="s">
        <v>2493</v>
      </c>
      <c r="D1372" s="6">
        <v>1513.82</v>
      </c>
      <c r="E1372" s="6">
        <v>1498.43</v>
      </c>
      <c r="F1372" s="7" t="s">
        <v>14</v>
      </c>
      <c r="G1372" s="8" t="s">
        <v>2494</v>
      </c>
      <c r="H1372" s="8" t="s">
        <v>16</v>
      </c>
      <c r="I1372" s="9">
        <v>681</v>
      </c>
      <c r="J1372" s="10">
        <v>12</v>
      </c>
      <c r="K1372" s="10">
        <v>1907</v>
      </c>
      <c r="L1372" s="3" t="str">
        <f t="shared" si="43"/>
        <v>ΒΑΜΒΑΚΙ</v>
      </c>
    </row>
    <row r="1373" spans="1:12" s="3" customFormat="1" x14ac:dyDescent="0.25">
      <c r="A1373" s="3" t="str">
        <f t="shared" si="42"/>
        <v>ΒΑΜΒΑΚΙKALIDON</v>
      </c>
      <c r="B1373" s="18" t="s">
        <v>2016</v>
      </c>
      <c r="C1373" s="19" t="s">
        <v>2495</v>
      </c>
      <c r="D1373" s="6">
        <v>1513.82</v>
      </c>
      <c r="E1373" s="6">
        <v>1498.43</v>
      </c>
      <c r="F1373" s="6" t="s">
        <v>14</v>
      </c>
      <c r="G1373" s="8" t="s">
        <v>2496</v>
      </c>
      <c r="H1373" s="8" t="s">
        <v>27</v>
      </c>
      <c r="I1373" s="9">
        <v>4171</v>
      </c>
      <c r="J1373" s="20">
        <v>12</v>
      </c>
      <c r="K1373" s="20">
        <v>1913</v>
      </c>
      <c r="L1373" s="3" t="str">
        <f t="shared" si="43"/>
        <v>ΒΑΜΒΑΚΙ</v>
      </c>
    </row>
    <row r="1374" spans="1:12" s="3" customFormat="1" ht="24" x14ac:dyDescent="0.25">
      <c r="A1374" s="3" t="str">
        <f t="shared" si="42"/>
        <v>ΒΑΜΒΑΚΙFANTOM</v>
      </c>
      <c r="B1374" s="4" t="s">
        <v>2016</v>
      </c>
      <c r="C1374" s="5" t="s">
        <v>2497</v>
      </c>
      <c r="D1374" s="6">
        <v>1513.82</v>
      </c>
      <c r="E1374" s="6">
        <v>1498.43</v>
      </c>
      <c r="F1374" s="7" t="s">
        <v>14</v>
      </c>
      <c r="G1374" s="8" t="s">
        <v>2498</v>
      </c>
      <c r="H1374" s="8" t="s">
        <v>16</v>
      </c>
      <c r="I1374" s="9">
        <v>680</v>
      </c>
      <c r="J1374" s="10">
        <v>12</v>
      </c>
      <c r="K1374" s="10">
        <v>1914</v>
      </c>
      <c r="L1374" s="3" t="str">
        <f t="shared" si="43"/>
        <v>ΒΑΜΒΑΚΙ</v>
      </c>
    </row>
    <row r="1375" spans="1:12" s="3" customFormat="1" x14ac:dyDescent="0.25">
      <c r="A1375" s="3" t="str">
        <f t="shared" si="42"/>
        <v>ΒΑΜΒΑΚΙPRIMERA</v>
      </c>
      <c r="B1375" s="18" t="s">
        <v>2016</v>
      </c>
      <c r="C1375" s="19" t="s">
        <v>2499</v>
      </c>
      <c r="D1375" s="6">
        <v>1513.82</v>
      </c>
      <c r="E1375" s="6">
        <v>1498.43</v>
      </c>
      <c r="F1375" s="6" t="s">
        <v>14</v>
      </c>
      <c r="G1375" s="8" t="s">
        <v>2500</v>
      </c>
      <c r="H1375" s="8" t="s">
        <v>27</v>
      </c>
      <c r="I1375" s="9">
        <v>4172</v>
      </c>
      <c r="J1375" s="20">
        <v>12</v>
      </c>
      <c r="K1375" s="20">
        <v>1915</v>
      </c>
      <c r="L1375" s="3" t="str">
        <f t="shared" si="43"/>
        <v>ΒΑΜΒΑΚΙ</v>
      </c>
    </row>
    <row r="1376" spans="1:12" s="3" customFormat="1" ht="24" x14ac:dyDescent="0.25">
      <c r="A1376" s="3" t="str">
        <f t="shared" si="42"/>
        <v>ΒΑΜΒΑΚΙST 373</v>
      </c>
      <c r="B1376" s="4" t="s">
        <v>2016</v>
      </c>
      <c r="C1376" s="5" t="s">
        <v>2501</v>
      </c>
      <c r="D1376" s="6">
        <v>1513.82</v>
      </c>
      <c r="E1376" s="6">
        <v>1498.43</v>
      </c>
      <c r="F1376" s="7" t="s">
        <v>14</v>
      </c>
      <c r="G1376" s="8" t="s">
        <v>2502</v>
      </c>
      <c r="H1376" s="8" t="s">
        <v>16</v>
      </c>
      <c r="I1376" s="9">
        <v>679</v>
      </c>
      <c r="J1376" s="10">
        <v>12</v>
      </c>
      <c r="K1376" s="10">
        <v>1917</v>
      </c>
      <c r="L1376" s="3" t="str">
        <f t="shared" si="43"/>
        <v>ΒΑΜΒΑΚΙ</v>
      </c>
    </row>
    <row r="1377" spans="1:12" s="3" customFormat="1" x14ac:dyDescent="0.25">
      <c r="A1377" s="3" t="str">
        <f t="shared" si="42"/>
        <v>ΒΑΜΒΑΚΙDORA</v>
      </c>
      <c r="B1377" s="18" t="s">
        <v>2016</v>
      </c>
      <c r="C1377" s="19" t="s">
        <v>2503</v>
      </c>
      <c r="D1377" s="6">
        <v>1513.82</v>
      </c>
      <c r="E1377" s="6">
        <v>1498.43</v>
      </c>
      <c r="F1377" s="6" t="s">
        <v>14</v>
      </c>
      <c r="G1377" s="8" t="s">
        <v>2504</v>
      </c>
      <c r="H1377" s="8" t="s">
        <v>27</v>
      </c>
      <c r="I1377" s="9">
        <v>4173</v>
      </c>
      <c r="J1377" s="20">
        <v>12</v>
      </c>
      <c r="K1377" s="20">
        <v>1918</v>
      </c>
      <c r="L1377" s="3" t="str">
        <f t="shared" si="43"/>
        <v>ΒΑΜΒΑΚΙ</v>
      </c>
    </row>
    <row r="1378" spans="1:12" s="3" customFormat="1" x14ac:dyDescent="0.25">
      <c r="A1378" s="3" t="str">
        <f t="shared" si="42"/>
        <v>ΒΑΜΒΑΚΙSOFIA</v>
      </c>
      <c r="B1378" s="18" t="s">
        <v>2016</v>
      </c>
      <c r="C1378" s="19" t="s">
        <v>2505</v>
      </c>
      <c r="D1378" s="6">
        <v>1513.82</v>
      </c>
      <c r="E1378" s="6">
        <v>1498.43</v>
      </c>
      <c r="F1378" s="6" t="s">
        <v>14</v>
      </c>
      <c r="G1378" s="8" t="s">
        <v>2506</v>
      </c>
      <c r="H1378" s="8" t="s">
        <v>27</v>
      </c>
      <c r="I1378" s="9">
        <v>4174</v>
      </c>
      <c r="J1378" s="20">
        <v>12</v>
      </c>
      <c r="K1378" s="20">
        <v>1928</v>
      </c>
      <c r="L1378" s="3" t="str">
        <f t="shared" si="43"/>
        <v>ΒΑΜΒΑΚΙ</v>
      </c>
    </row>
    <row r="1379" spans="1:12" s="3" customFormat="1" x14ac:dyDescent="0.25">
      <c r="A1379" s="3" t="str">
        <f t="shared" si="42"/>
        <v>ΒΑΜΒΑΚΙFOTINI</v>
      </c>
      <c r="B1379" s="4" t="s">
        <v>2016</v>
      </c>
      <c r="C1379" s="5" t="s">
        <v>2507</v>
      </c>
      <c r="D1379" s="6">
        <v>1513.82</v>
      </c>
      <c r="E1379" s="6">
        <v>1498.43</v>
      </c>
      <c r="F1379" s="7" t="s">
        <v>14</v>
      </c>
      <c r="G1379" s="8" t="s">
        <v>2508</v>
      </c>
      <c r="H1379" s="8" t="s">
        <v>27</v>
      </c>
      <c r="I1379" s="9">
        <v>678</v>
      </c>
      <c r="J1379" s="10">
        <v>12</v>
      </c>
      <c r="K1379" s="10">
        <v>1929</v>
      </c>
      <c r="L1379" s="3" t="str">
        <f t="shared" si="43"/>
        <v>ΒΑΜΒΑΚΙ</v>
      </c>
    </row>
    <row r="1380" spans="1:12" s="3" customFormat="1" x14ac:dyDescent="0.25">
      <c r="A1380" s="3" t="str">
        <f t="shared" si="42"/>
        <v>ΒΑΜΒΑΚΙIONIA</v>
      </c>
      <c r="B1380" s="4" t="s">
        <v>2016</v>
      </c>
      <c r="C1380" s="5" t="s">
        <v>2509</v>
      </c>
      <c r="D1380" s="6">
        <v>1513.82</v>
      </c>
      <c r="E1380" s="6">
        <v>1498.43</v>
      </c>
      <c r="F1380" s="7" t="s">
        <v>14</v>
      </c>
      <c r="G1380" s="8" t="s">
        <v>2510</v>
      </c>
      <c r="H1380" s="8" t="s">
        <v>27</v>
      </c>
      <c r="I1380" s="9">
        <v>709</v>
      </c>
      <c r="J1380" s="10">
        <v>12</v>
      </c>
      <c r="K1380" s="10">
        <v>1931</v>
      </c>
      <c r="L1380" s="3" t="str">
        <f t="shared" si="43"/>
        <v>ΒΑΜΒΑΚΙ</v>
      </c>
    </row>
    <row r="1381" spans="1:12" s="3" customFormat="1" x14ac:dyDescent="0.25">
      <c r="A1381" s="3" t="str">
        <f t="shared" si="42"/>
        <v>ΒΑΜΒΑΚΙPONTOS</v>
      </c>
      <c r="B1381" s="4" t="s">
        <v>2016</v>
      </c>
      <c r="C1381" s="5" t="s">
        <v>2511</v>
      </c>
      <c r="D1381" s="6">
        <v>1513.82</v>
      </c>
      <c r="E1381" s="6">
        <v>1498.43</v>
      </c>
      <c r="F1381" s="7" t="s">
        <v>14</v>
      </c>
      <c r="G1381" s="8" t="s">
        <v>2512</v>
      </c>
      <c r="H1381" s="8" t="s">
        <v>27</v>
      </c>
      <c r="I1381" s="9">
        <v>672</v>
      </c>
      <c r="J1381" s="10">
        <v>12</v>
      </c>
      <c r="K1381" s="10">
        <v>1932</v>
      </c>
      <c r="L1381" s="3" t="str">
        <f t="shared" si="43"/>
        <v>ΒΑΜΒΑΚΙ</v>
      </c>
    </row>
    <row r="1382" spans="1:12" s="3" customFormat="1" x14ac:dyDescent="0.25">
      <c r="A1382" s="3" t="str">
        <f t="shared" si="42"/>
        <v>ΒΑΜΒΑΚΙKARLILA</v>
      </c>
      <c r="B1382" s="18" t="s">
        <v>2016</v>
      </c>
      <c r="C1382" s="19" t="s">
        <v>2513</v>
      </c>
      <c r="D1382" s="6">
        <v>1513.82</v>
      </c>
      <c r="E1382" s="6">
        <v>1498.43</v>
      </c>
      <c r="F1382" s="6" t="s">
        <v>14</v>
      </c>
      <c r="G1382" s="8" t="s">
        <v>2514</v>
      </c>
      <c r="H1382" s="8" t="s">
        <v>27</v>
      </c>
      <c r="I1382" s="9">
        <v>4175</v>
      </c>
      <c r="J1382" s="20">
        <v>12</v>
      </c>
      <c r="K1382" s="20">
        <v>1982</v>
      </c>
      <c r="L1382" s="3" t="str">
        <f t="shared" si="43"/>
        <v>ΒΑΜΒΑΚΙ</v>
      </c>
    </row>
    <row r="1383" spans="1:12" s="3" customFormat="1" x14ac:dyDescent="0.25">
      <c r="A1383" s="3" t="str">
        <f t="shared" si="42"/>
        <v>ΒΑΜΒΑΚΙCRONOS</v>
      </c>
      <c r="B1383" s="18" t="s">
        <v>2016</v>
      </c>
      <c r="C1383" s="19" t="s">
        <v>2515</v>
      </c>
      <c r="D1383" s="6">
        <v>1513.82</v>
      </c>
      <c r="E1383" s="6">
        <v>1498.43</v>
      </c>
      <c r="F1383" s="6" t="s">
        <v>14</v>
      </c>
      <c r="G1383" s="8" t="s">
        <v>2516</v>
      </c>
      <c r="H1383" s="8" t="s">
        <v>27</v>
      </c>
      <c r="I1383" s="9">
        <v>4176</v>
      </c>
      <c r="J1383" s="20">
        <v>12</v>
      </c>
      <c r="K1383" s="20">
        <v>1984</v>
      </c>
      <c r="L1383" s="3" t="str">
        <f t="shared" si="43"/>
        <v>ΒΑΜΒΑΚΙ</v>
      </c>
    </row>
    <row r="1384" spans="1:12" s="3" customFormat="1" x14ac:dyDescent="0.25">
      <c r="A1384" s="3" t="str">
        <f t="shared" si="42"/>
        <v>ΒΑΜΒΑΚΙHERMES</v>
      </c>
      <c r="B1384" s="18" t="s">
        <v>2016</v>
      </c>
      <c r="C1384" s="19" t="s">
        <v>2517</v>
      </c>
      <c r="D1384" s="6">
        <v>1513.82</v>
      </c>
      <c r="E1384" s="6">
        <v>1498.43</v>
      </c>
      <c r="F1384" s="6" t="s">
        <v>14</v>
      </c>
      <c r="G1384" s="8" t="s">
        <v>2518</v>
      </c>
      <c r="H1384" s="8" t="s">
        <v>27</v>
      </c>
      <c r="I1384" s="9">
        <v>4177</v>
      </c>
      <c r="J1384" s="20">
        <v>12</v>
      </c>
      <c r="K1384" s="20">
        <v>1985</v>
      </c>
      <c r="L1384" s="3" t="str">
        <f t="shared" si="43"/>
        <v>ΒΑΜΒΑΚΙ</v>
      </c>
    </row>
    <row r="1385" spans="1:12" s="3" customFormat="1" x14ac:dyDescent="0.25">
      <c r="A1385" s="3" t="str">
        <f t="shared" si="42"/>
        <v>ΒΑΜΒΑΚΙARTEMIS</v>
      </c>
      <c r="B1385" s="18" t="s">
        <v>2016</v>
      </c>
      <c r="C1385" s="19" t="s">
        <v>2519</v>
      </c>
      <c r="D1385" s="6">
        <v>1513.82</v>
      </c>
      <c r="E1385" s="6">
        <v>1498.43</v>
      </c>
      <c r="F1385" s="6" t="s">
        <v>14</v>
      </c>
      <c r="G1385" s="8" t="s">
        <v>2520</v>
      </c>
      <c r="H1385" s="8" t="s">
        <v>27</v>
      </c>
      <c r="I1385" s="9">
        <v>4178</v>
      </c>
      <c r="J1385" s="20">
        <v>12</v>
      </c>
      <c r="K1385" s="20">
        <v>1986</v>
      </c>
      <c r="L1385" s="3" t="str">
        <f t="shared" si="43"/>
        <v>ΒΑΜΒΑΚΙ</v>
      </c>
    </row>
    <row r="1386" spans="1:12" s="3" customFormat="1" ht="24" x14ac:dyDescent="0.25">
      <c r="A1386" s="3" t="str">
        <f t="shared" si="42"/>
        <v>ΒΑΜΒΑΚΙIRINI</v>
      </c>
      <c r="B1386" s="4" t="s">
        <v>2016</v>
      </c>
      <c r="C1386" s="5" t="s">
        <v>2521</v>
      </c>
      <c r="D1386" s="6">
        <v>1513.82</v>
      </c>
      <c r="E1386" s="6">
        <v>1498.43</v>
      </c>
      <c r="F1386" s="7" t="s">
        <v>14</v>
      </c>
      <c r="G1386" s="8" t="s">
        <v>2522</v>
      </c>
      <c r="H1386" s="8" t="s">
        <v>16</v>
      </c>
      <c r="I1386" s="9">
        <v>635</v>
      </c>
      <c r="J1386" s="10">
        <v>12</v>
      </c>
      <c r="K1386" s="10">
        <v>2008</v>
      </c>
      <c r="L1386" s="3" t="str">
        <f t="shared" si="43"/>
        <v>ΒΑΜΒΑΚΙ</v>
      </c>
    </row>
    <row r="1387" spans="1:12" s="3" customFormat="1" ht="24" x14ac:dyDescent="0.25">
      <c r="A1387" s="3" t="str">
        <f t="shared" si="42"/>
        <v>ΒΑΜΒΑΚΙCELIA</v>
      </c>
      <c r="B1387" s="4" t="s">
        <v>2016</v>
      </c>
      <c r="C1387" s="5" t="s">
        <v>2523</v>
      </c>
      <c r="D1387" s="6">
        <v>1513.82</v>
      </c>
      <c r="E1387" s="6">
        <v>1498.43</v>
      </c>
      <c r="F1387" s="7" t="s">
        <v>14</v>
      </c>
      <c r="G1387" s="8" t="s">
        <v>2524</v>
      </c>
      <c r="H1387" s="8" t="s">
        <v>16</v>
      </c>
      <c r="I1387" s="9">
        <v>628</v>
      </c>
      <c r="J1387" s="10">
        <v>12</v>
      </c>
      <c r="K1387" s="10">
        <v>2011</v>
      </c>
      <c r="L1387" s="3" t="str">
        <f t="shared" si="43"/>
        <v>ΒΑΜΒΑΚΙ</v>
      </c>
    </row>
    <row r="1388" spans="1:12" s="3" customFormat="1" x14ac:dyDescent="0.25">
      <c r="A1388" s="3" t="str">
        <f t="shared" si="42"/>
        <v>ΒΑΜΒΑΚΙGEDERA 10</v>
      </c>
      <c r="B1388" s="18" t="s">
        <v>2016</v>
      </c>
      <c r="C1388" s="19" t="s">
        <v>2525</v>
      </c>
      <c r="D1388" s="6">
        <v>1513.82</v>
      </c>
      <c r="E1388" s="6">
        <v>1498.43</v>
      </c>
      <c r="F1388" s="6" t="s">
        <v>14</v>
      </c>
      <c r="G1388" s="8" t="s">
        <v>2526</v>
      </c>
      <c r="H1388" s="8" t="s">
        <v>27</v>
      </c>
      <c r="I1388" s="9">
        <v>4179</v>
      </c>
      <c r="J1388" s="20">
        <v>12</v>
      </c>
      <c r="K1388" s="20">
        <v>2025</v>
      </c>
      <c r="L1388" s="3" t="str">
        <f t="shared" si="43"/>
        <v>ΒΑΜΒΑΚΙ</v>
      </c>
    </row>
    <row r="1389" spans="1:12" s="3" customFormat="1" ht="24" x14ac:dyDescent="0.25">
      <c r="A1389" s="3" t="str">
        <f t="shared" si="42"/>
        <v>ΒΑΜΒΑΚΙMILENIUM</v>
      </c>
      <c r="B1389" s="4" t="s">
        <v>2016</v>
      </c>
      <c r="C1389" s="5" t="s">
        <v>2527</v>
      </c>
      <c r="D1389" s="6">
        <v>1513.82</v>
      </c>
      <c r="E1389" s="6">
        <v>1498.43</v>
      </c>
      <c r="F1389" s="7" t="s">
        <v>14</v>
      </c>
      <c r="G1389" s="8" t="s">
        <v>2528</v>
      </c>
      <c r="H1389" s="8" t="s">
        <v>16</v>
      </c>
      <c r="I1389" s="9">
        <v>700</v>
      </c>
      <c r="J1389" s="10">
        <v>12</v>
      </c>
      <c r="K1389" s="10">
        <v>2030</v>
      </c>
      <c r="L1389" s="3" t="str">
        <f t="shared" si="43"/>
        <v>ΒΑΜΒΑΚΙ</v>
      </c>
    </row>
    <row r="1390" spans="1:12" s="3" customFormat="1" x14ac:dyDescent="0.25">
      <c r="A1390" s="3" t="str">
        <f t="shared" si="42"/>
        <v>ΒΑΜΒΑΚΙANITA</v>
      </c>
      <c r="B1390" s="18" t="s">
        <v>2016</v>
      </c>
      <c r="C1390" s="19" t="s">
        <v>2529</v>
      </c>
      <c r="D1390" s="6">
        <v>1513.82</v>
      </c>
      <c r="E1390" s="6">
        <v>1498.43</v>
      </c>
      <c r="F1390" s="6" t="s">
        <v>14</v>
      </c>
      <c r="G1390" s="8" t="s">
        <v>2530</v>
      </c>
      <c r="H1390" s="8" t="s">
        <v>27</v>
      </c>
      <c r="I1390" s="9">
        <v>4180</v>
      </c>
      <c r="J1390" s="20">
        <v>12</v>
      </c>
      <c r="K1390" s="20">
        <v>2063</v>
      </c>
      <c r="L1390" s="3" t="str">
        <f t="shared" si="43"/>
        <v>ΒΑΜΒΑΚΙ</v>
      </c>
    </row>
    <row r="1391" spans="1:12" s="3" customFormat="1" ht="24" x14ac:dyDescent="0.25">
      <c r="A1391" s="3" t="str">
        <f t="shared" si="42"/>
        <v>ΒΑΜΒΑΚΙSPEED</v>
      </c>
      <c r="B1391" s="4" t="s">
        <v>2016</v>
      </c>
      <c r="C1391" s="5" t="s">
        <v>2531</v>
      </c>
      <c r="D1391" s="6">
        <v>1513.82</v>
      </c>
      <c r="E1391" s="6">
        <v>1498.43</v>
      </c>
      <c r="F1391" s="7" t="s">
        <v>14</v>
      </c>
      <c r="G1391" s="8" t="s">
        <v>2532</v>
      </c>
      <c r="H1391" s="8" t="s">
        <v>16</v>
      </c>
      <c r="I1391" s="9">
        <v>657</v>
      </c>
      <c r="J1391" s="10">
        <v>12</v>
      </c>
      <c r="K1391" s="10">
        <v>2078</v>
      </c>
      <c r="L1391" s="3" t="str">
        <f t="shared" si="43"/>
        <v>ΒΑΜΒΑΚΙ</v>
      </c>
    </row>
    <row r="1392" spans="1:12" s="3" customFormat="1" x14ac:dyDescent="0.25">
      <c r="A1392" s="3" t="str">
        <f t="shared" si="42"/>
        <v>ΒΑΜΒΑΚΙCANON</v>
      </c>
      <c r="B1392" s="18" t="s">
        <v>2016</v>
      </c>
      <c r="C1392" s="19" t="s">
        <v>2533</v>
      </c>
      <c r="D1392" s="6">
        <v>1513.82</v>
      </c>
      <c r="E1392" s="6">
        <v>1498.43</v>
      </c>
      <c r="F1392" s="6" t="s">
        <v>14</v>
      </c>
      <c r="G1392" s="8" t="s">
        <v>2534</v>
      </c>
      <c r="H1392" s="8" t="s">
        <v>27</v>
      </c>
      <c r="I1392" s="9">
        <v>4181</v>
      </c>
      <c r="J1392" s="20">
        <v>12</v>
      </c>
      <c r="K1392" s="20">
        <v>2080</v>
      </c>
      <c r="L1392" s="3" t="str">
        <f t="shared" si="43"/>
        <v>ΒΑΜΒΑΚΙ</v>
      </c>
    </row>
    <row r="1393" spans="1:12" s="3" customFormat="1" ht="24" x14ac:dyDescent="0.25">
      <c r="A1393" s="3" t="str">
        <f t="shared" si="42"/>
        <v>ΒΑΜΒΑΚΙCAMPO</v>
      </c>
      <c r="B1393" s="4" t="s">
        <v>2016</v>
      </c>
      <c r="C1393" s="5" t="s">
        <v>2535</v>
      </c>
      <c r="D1393" s="6">
        <v>1513.82</v>
      </c>
      <c r="E1393" s="6">
        <v>1498.43</v>
      </c>
      <c r="F1393" s="7" t="s">
        <v>14</v>
      </c>
      <c r="G1393" s="8" t="s">
        <v>2536</v>
      </c>
      <c r="H1393" s="8" t="s">
        <v>16</v>
      </c>
      <c r="I1393" s="9">
        <v>658</v>
      </c>
      <c r="J1393" s="10">
        <v>12</v>
      </c>
      <c r="K1393" s="10">
        <v>2099</v>
      </c>
      <c r="L1393" s="3" t="str">
        <f t="shared" si="43"/>
        <v>ΒΑΜΒΑΚΙ</v>
      </c>
    </row>
    <row r="1394" spans="1:12" s="3" customFormat="1" ht="24" x14ac:dyDescent="0.25">
      <c r="A1394" s="3" t="str">
        <f t="shared" si="42"/>
        <v>ΒΑΜΒΑΚΙLIDER</v>
      </c>
      <c r="B1394" s="4" t="s">
        <v>2016</v>
      </c>
      <c r="C1394" s="5" t="s">
        <v>2537</v>
      </c>
      <c r="D1394" s="6">
        <v>1513.82</v>
      </c>
      <c r="E1394" s="6">
        <v>1498.43</v>
      </c>
      <c r="F1394" s="7" t="s">
        <v>14</v>
      </c>
      <c r="G1394" s="8" t="s">
        <v>2538</v>
      </c>
      <c r="H1394" s="8" t="s">
        <v>16</v>
      </c>
      <c r="I1394" s="9">
        <v>659</v>
      </c>
      <c r="J1394" s="10">
        <v>12</v>
      </c>
      <c r="K1394" s="10">
        <v>2100</v>
      </c>
      <c r="L1394" s="3" t="str">
        <f t="shared" si="43"/>
        <v>ΒΑΜΒΑΚΙ</v>
      </c>
    </row>
    <row r="1395" spans="1:12" s="3" customFormat="1" x14ac:dyDescent="0.25">
      <c r="A1395" s="3" t="str">
        <f t="shared" si="42"/>
        <v>ΒΑΜΒΑΚΙFOIVI</v>
      </c>
      <c r="B1395" s="18" t="s">
        <v>2016</v>
      </c>
      <c r="C1395" s="19" t="s">
        <v>2539</v>
      </c>
      <c r="D1395" s="6">
        <v>1513.82</v>
      </c>
      <c r="E1395" s="6">
        <v>1498.43</v>
      </c>
      <c r="F1395" s="6" t="s">
        <v>14</v>
      </c>
      <c r="G1395" s="8" t="s">
        <v>2540</v>
      </c>
      <c r="H1395" s="8" t="s">
        <v>27</v>
      </c>
      <c r="I1395" s="9">
        <v>4182</v>
      </c>
      <c r="J1395" s="20">
        <v>12</v>
      </c>
      <c r="K1395" s="20">
        <v>2115</v>
      </c>
      <c r="L1395" s="3" t="str">
        <f t="shared" si="43"/>
        <v>ΒΑΜΒΑΚΙ</v>
      </c>
    </row>
    <row r="1396" spans="1:12" s="3" customFormat="1" ht="24" x14ac:dyDescent="0.25">
      <c r="A1396" s="3" t="str">
        <f t="shared" si="42"/>
        <v>ΒΑΜΒΑΚΙIDEAL</v>
      </c>
      <c r="B1396" s="4" t="s">
        <v>2016</v>
      </c>
      <c r="C1396" s="5" t="s">
        <v>2541</v>
      </c>
      <c r="D1396" s="6">
        <v>1513.82</v>
      </c>
      <c r="E1396" s="6">
        <v>1498.43</v>
      </c>
      <c r="F1396" s="7" t="s">
        <v>14</v>
      </c>
      <c r="G1396" s="8" t="s">
        <v>2542</v>
      </c>
      <c r="H1396" s="8" t="s">
        <v>16</v>
      </c>
      <c r="I1396" s="9">
        <v>650</v>
      </c>
      <c r="J1396" s="10">
        <v>12</v>
      </c>
      <c r="K1396" s="10">
        <v>2116</v>
      </c>
      <c r="L1396" s="3" t="str">
        <f t="shared" si="43"/>
        <v>ΒΑΜΒΑΚΙ</v>
      </c>
    </row>
    <row r="1397" spans="1:12" s="3" customFormat="1" x14ac:dyDescent="0.25">
      <c r="A1397" s="3" t="str">
        <f t="shared" si="42"/>
        <v>ΒΑΜΒΑΚΙSAMANTHA</v>
      </c>
      <c r="B1397" s="18" t="s">
        <v>2016</v>
      </c>
      <c r="C1397" s="19" t="s">
        <v>2543</v>
      </c>
      <c r="D1397" s="6">
        <v>1513.82</v>
      </c>
      <c r="E1397" s="6">
        <v>1498.43</v>
      </c>
      <c r="F1397" s="6" t="s">
        <v>14</v>
      </c>
      <c r="G1397" s="8" t="s">
        <v>2544</v>
      </c>
      <c r="H1397" s="8" t="s">
        <v>27</v>
      </c>
      <c r="I1397" s="9">
        <v>4183</v>
      </c>
      <c r="J1397" s="20">
        <v>12</v>
      </c>
      <c r="K1397" s="20">
        <v>2117</v>
      </c>
      <c r="L1397" s="3" t="str">
        <f t="shared" si="43"/>
        <v>ΒΑΜΒΑΚΙ</v>
      </c>
    </row>
    <row r="1398" spans="1:12" s="3" customFormat="1" ht="24" x14ac:dyDescent="0.25">
      <c r="A1398" s="3" t="str">
        <f t="shared" si="42"/>
        <v>ΒΑΜΒΑΚΙILEKTRA</v>
      </c>
      <c r="B1398" s="4" t="s">
        <v>2016</v>
      </c>
      <c r="C1398" s="5" t="s">
        <v>2545</v>
      </c>
      <c r="D1398" s="6">
        <v>1513.82</v>
      </c>
      <c r="E1398" s="6">
        <v>1498.43</v>
      </c>
      <c r="F1398" s="7" t="s">
        <v>14</v>
      </c>
      <c r="G1398" s="8" t="s">
        <v>2546</v>
      </c>
      <c r="H1398" s="8" t="s">
        <v>16</v>
      </c>
      <c r="I1398" s="9">
        <v>617</v>
      </c>
      <c r="J1398" s="10">
        <v>12</v>
      </c>
      <c r="K1398" s="10">
        <v>2119</v>
      </c>
      <c r="L1398" s="3" t="str">
        <f t="shared" si="43"/>
        <v>ΒΑΜΒΑΚΙ</v>
      </c>
    </row>
    <row r="1399" spans="1:12" s="3" customFormat="1" ht="24" x14ac:dyDescent="0.25">
      <c r="A1399" s="3" t="str">
        <f t="shared" si="42"/>
        <v>ΒΑΜΒΑΚΙANDROMEDA</v>
      </c>
      <c r="B1399" s="4" t="s">
        <v>2016</v>
      </c>
      <c r="C1399" s="5" t="s">
        <v>2547</v>
      </c>
      <c r="D1399" s="6">
        <v>1513.82</v>
      </c>
      <c r="E1399" s="6">
        <v>1498.43</v>
      </c>
      <c r="F1399" s="7" t="s">
        <v>14</v>
      </c>
      <c r="G1399" s="8" t="s">
        <v>2548</v>
      </c>
      <c r="H1399" s="8" t="s">
        <v>16</v>
      </c>
      <c r="I1399" s="9">
        <v>618</v>
      </c>
      <c r="J1399" s="10">
        <v>12</v>
      </c>
      <c r="K1399" s="10">
        <v>2120</v>
      </c>
      <c r="L1399" s="3" t="str">
        <f t="shared" si="43"/>
        <v>ΒΑΜΒΑΚΙ</v>
      </c>
    </row>
    <row r="1400" spans="1:12" s="3" customFormat="1" ht="24" x14ac:dyDescent="0.25">
      <c r="A1400" s="3" t="str">
        <f t="shared" si="42"/>
        <v>ΒΑΜΒΑΚΙASSOS</v>
      </c>
      <c r="B1400" s="4" t="s">
        <v>2016</v>
      </c>
      <c r="C1400" s="5" t="s">
        <v>2549</v>
      </c>
      <c r="D1400" s="6">
        <v>1513.82</v>
      </c>
      <c r="E1400" s="6">
        <v>1498.43</v>
      </c>
      <c r="F1400" s="7" t="s">
        <v>14</v>
      </c>
      <c r="G1400" s="8" t="s">
        <v>2550</v>
      </c>
      <c r="H1400" s="8" t="s">
        <v>16</v>
      </c>
      <c r="I1400" s="9">
        <v>619</v>
      </c>
      <c r="J1400" s="10">
        <v>12</v>
      </c>
      <c r="K1400" s="10">
        <v>2122</v>
      </c>
      <c r="L1400" s="3" t="str">
        <f t="shared" si="43"/>
        <v>ΒΑΜΒΑΚΙ</v>
      </c>
    </row>
    <row r="1401" spans="1:12" s="3" customFormat="1" x14ac:dyDescent="0.25">
      <c r="A1401" s="3" t="str">
        <f t="shared" si="42"/>
        <v>ΒΑΜΒΑΚΙSUN</v>
      </c>
      <c r="B1401" s="18" t="s">
        <v>2016</v>
      </c>
      <c r="C1401" s="19" t="s">
        <v>2551</v>
      </c>
      <c r="D1401" s="6">
        <v>1513.82</v>
      </c>
      <c r="E1401" s="6">
        <v>1498.43</v>
      </c>
      <c r="F1401" s="6" t="s">
        <v>14</v>
      </c>
      <c r="G1401" s="8" t="s">
        <v>2552</v>
      </c>
      <c r="H1401" s="8" t="s">
        <v>27</v>
      </c>
      <c r="I1401" s="9">
        <v>4184</v>
      </c>
      <c r="J1401" s="20">
        <v>12</v>
      </c>
      <c r="K1401" s="20">
        <v>2123</v>
      </c>
      <c r="L1401" s="3" t="str">
        <f t="shared" si="43"/>
        <v>ΒΑΜΒΑΚΙ</v>
      </c>
    </row>
    <row r="1402" spans="1:12" s="3" customFormat="1" x14ac:dyDescent="0.25">
      <c r="A1402" s="3" t="str">
        <f t="shared" si="42"/>
        <v>ΒΑΜΒΑΚΙESMERALDA</v>
      </c>
      <c r="B1402" s="18" t="s">
        <v>2016</v>
      </c>
      <c r="C1402" s="19" t="s">
        <v>2553</v>
      </c>
      <c r="D1402" s="6">
        <v>1513.82</v>
      </c>
      <c r="E1402" s="6">
        <v>1498.43</v>
      </c>
      <c r="F1402" s="6" t="s">
        <v>14</v>
      </c>
      <c r="G1402" s="8" t="s">
        <v>2554</v>
      </c>
      <c r="H1402" s="8" t="s">
        <v>27</v>
      </c>
      <c r="I1402" s="9">
        <v>4185</v>
      </c>
      <c r="J1402" s="20">
        <v>12</v>
      </c>
      <c r="K1402" s="20">
        <v>2124</v>
      </c>
      <c r="L1402" s="3" t="str">
        <f t="shared" si="43"/>
        <v>ΒΑΜΒΑΚΙ</v>
      </c>
    </row>
    <row r="1403" spans="1:12" s="3" customFormat="1" x14ac:dyDescent="0.25">
      <c r="A1403" s="3" t="str">
        <f t="shared" si="42"/>
        <v>ΒΑΜΒΑΚΙPANDORA</v>
      </c>
      <c r="B1403" s="18" t="s">
        <v>2016</v>
      </c>
      <c r="C1403" s="19" t="s">
        <v>2555</v>
      </c>
      <c r="D1403" s="6">
        <v>1513.82</v>
      </c>
      <c r="E1403" s="6">
        <v>1498.43</v>
      </c>
      <c r="F1403" s="6" t="s">
        <v>14</v>
      </c>
      <c r="G1403" s="8" t="s">
        <v>2556</v>
      </c>
      <c r="H1403" s="8" t="s">
        <v>27</v>
      </c>
      <c r="I1403" s="9">
        <v>4186</v>
      </c>
      <c r="J1403" s="20">
        <v>12</v>
      </c>
      <c r="K1403" s="20">
        <v>2128</v>
      </c>
      <c r="L1403" s="3" t="str">
        <f t="shared" si="43"/>
        <v>ΒΑΜΒΑΚΙ</v>
      </c>
    </row>
    <row r="1404" spans="1:12" s="3" customFormat="1" x14ac:dyDescent="0.25">
      <c r="A1404" s="3" t="str">
        <f t="shared" si="42"/>
        <v>ΒΑΜΒΑΚΙROKA</v>
      </c>
      <c r="B1404" s="4" t="s">
        <v>2016</v>
      </c>
      <c r="C1404" s="5" t="s">
        <v>2557</v>
      </c>
      <c r="D1404" s="6">
        <v>1513.82</v>
      </c>
      <c r="E1404" s="6">
        <v>1498.43</v>
      </c>
      <c r="F1404" s="7" t="s">
        <v>14</v>
      </c>
      <c r="G1404" s="8" t="s">
        <v>2558</v>
      </c>
      <c r="H1404" s="8" t="s">
        <v>27</v>
      </c>
      <c r="I1404" s="9">
        <v>620</v>
      </c>
      <c r="J1404" s="10">
        <v>12</v>
      </c>
      <c r="K1404" s="10">
        <v>2131</v>
      </c>
      <c r="L1404" s="3" t="str">
        <f t="shared" si="43"/>
        <v>ΒΑΜΒΑΚΙ</v>
      </c>
    </row>
    <row r="1405" spans="1:12" s="3" customFormat="1" ht="24" x14ac:dyDescent="0.25">
      <c r="A1405" s="3" t="str">
        <f t="shared" si="42"/>
        <v>ΒΑΜΒΑΚΙLACTA</v>
      </c>
      <c r="B1405" s="4" t="s">
        <v>2016</v>
      </c>
      <c r="C1405" s="5" t="s">
        <v>2559</v>
      </c>
      <c r="D1405" s="6">
        <v>1513.82</v>
      </c>
      <c r="E1405" s="6">
        <v>1498.43</v>
      </c>
      <c r="F1405" s="7" t="s">
        <v>14</v>
      </c>
      <c r="G1405" s="8" t="s">
        <v>2560</v>
      </c>
      <c r="H1405" s="8" t="s">
        <v>16</v>
      </c>
      <c r="I1405" s="9">
        <v>621</v>
      </c>
      <c r="J1405" s="10">
        <v>12</v>
      </c>
      <c r="K1405" s="10">
        <v>2132</v>
      </c>
      <c r="L1405" s="3" t="str">
        <f t="shared" si="43"/>
        <v>ΒΑΜΒΑΚΙ</v>
      </c>
    </row>
    <row r="1406" spans="1:12" s="3" customFormat="1" ht="24" x14ac:dyDescent="0.25">
      <c r="A1406" s="3" t="str">
        <f t="shared" si="42"/>
        <v>ΒΑΜΒΑΚΙLEON</v>
      </c>
      <c r="B1406" s="4" t="s">
        <v>2016</v>
      </c>
      <c r="C1406" s="5" t="s">
        <v>2561</v>
      </c>
      <c r="D1406" s="6">
        <v>1513.82</v>
      </c>
      <c r="E1406" s="6">
        <v>1498.43</v>
      </c>
      <c r="F1406" s="7" t="s">
        <v>14</v>
      </c>
      <c r="G1406" s="8" t="s">
        <v>2562</v>
      </c>
      <c r="H1406" s="8" t="s">
        <v>16</v>
      </c>
      <c r="I1406" s="9">
        <v>622</v>
      </c>
      <c r="J1406" s="10">
        <v>12</v>
      </c>
      <c r="K1406" s="10">
        <v>2188</v>
      </c>
      <c r="L1406" s="3" t="str">
        <f t="shared" si="43"/>
        <v>ΒΑΜΒΑΚΙ</v>
      </c>
    </row>
    <row r="1407" spans="1:12" s="3" customFormat="1" ht="24" x14ac:dyDescent="0.25">
      <c r="A1407" s="3" t="str">
        <f t="shared" si="42"/>
        <v>ΒΑΜΒΑΚΙALEXANDROS</v>
      </c>
      <c r="B1407" s="4" t="s">
        <v>2016</v>
      </c>
      <c r="C1407" s="5" t="s">
        <v>2563</v>
      </c>
      <c r="D1407" s="6">
        <v>1513.82</v>
      </c>
      <c r="E1407" s="6">
        <v>1498.43</v>
      </c>
      <c r="F1407" s="7" t="s">
        <v>14</v>
      </c>
      <c r="G1407" s="8" t="s">
        <v>2564</v>
      </c>
      <c r="H1407" s="8" t="s">
        <v>16</v>
      </c>
      <c r="I1407" s="9">
        <v>623</v>
      </c>
      <c r="J1407" s="10">
        <v>12</v>
      </c>
      <c r="K1407" s="10">
        <v>2202</v>
      </c>
      <c r="L1407" s="3" t="str">
        <f t="shared" si="43"/>
        <v>ΒΑΜΒΑΚΙ</v>
      </c>
    </row>
    <row r="1408" spans="1:12" s="3" customFormat="1" ht="24" x14ac:dyDescent="0.25">
      <c r="A1408" s="3" t="str">
        <f t="shared" si="42"/>
        <v>ΒΑΜΒΑΚΙCOTTON CLUB</v>
      </c>
      <c r="B1408" s="4" t="s">
        <v>2016</v>
      </c>
      <c r="C1408" s="5" t="s">
        <v>2565</v>
      </c>
      <c r="D1408" s="6">
        <v>1513.82</v>
      </c>
      <c r="E1408" s="6">
        <v>1498.43</v>
      </c>
      <c r="F1408" s="7" t="s">
        <v>14</v>
      </c>
      <c r="G1408" s="8" t="s">
        <v>2566</v>
      </c>
      <c r="H1408" s="8" t="s">
        <v>16</v>
      </c>
      <c r="I1408" s="9">
        <v>624</v>
      </c>
      <c r="J1408" s="10">
        <v>12</v>
      </c>
      <c r="K1408" s="10">
        <v>2210</v>
      </c>
      <c r="L1408" s="3" t="str">
        <f t="shared" si="43"/>
        <v>ΒΑΜΒΑΚΙ</v>
      </c>
    </row>
    <row r="1409" spans="1:12" s="3" customFormat="1" ht="24" x14ac:dyDescent="0.25">
      <c r="A1409" s="3" t="str">
        <f t="shared" si="42"/>
        <v>ΒΑΜΒΑΚΙBABYLON</v>
      </c>
      <c r="B1409" s="4" t="s">
        <v>2016</v>
      </c>
      <c r="C1409" s="5" t="s">
        <v>2567</v>
      </c>
      <c r="D1409" s="6">
        <v>1513.82</v>
      </c>
      <c r="E1409" s="6">
        <v>1498.43</v>
      </c>
      <c r="F1409" s="7" t="s">
        <v>14</v>
      </c>
      <c r="G1409" s="8" t="s">
        <v>2568</v>
      </c>
      <c r="H1409" s="8" t="s">
        <v>16</v>
      </c>
      <c r="I1409" s="9">
        <v>637</v>
      </c>
      <c r="J1409" s="10">
        <v>12</v>
      </c>
      <c r="K1409" s="10">
        <v>2211</v>
      </c>
      <c r="L1409" s="3" t="str">
        <f t="shared" si="43"/>
        <v>ΒΑΜΒΑΚΙ</v>
      </c>
    </row>
    <row r="1410" spans="1:12" s="3" customFormat="1" x14ac:dyDescent="0.25">
      <c r="A1410" s="3" t="str">
        <f t="shared" si="42"/>
        <v>ΒΑΜΒΑΚΙAMANTA</v>
      </c>
      <c r="B1410" s="18" t="s">
        <v>2016</v>
      </c>
      <c r="C1410" s="19" t="s">
        <v>2569</v>
      </c>
      <c r="D1410" s="6">
        <v>1513.82</v>
      </c>
      <c r="E1410" s="6">
        <v>1498.43</v>
      </c>
      <c r="F1410" s="6" t="s">
        <v>14</v>
      </c>
      <c r="G1410" s="8" t="s">
        <v>2570</v>
      </c>
      <c r="H1410" s="8" t="s">
        <v>27</v>
      </c>
      <c r="I1410" s="9">
        <v>4187</v>
      </c>
      <c r="J1410" s="20">
        <v>12</v>
      </c>
      <c r="K1410" s="20">
        <v>2212</v>
      </c>
      <c r="L1410" s="3" t="str">
        <f t="shared" si="43"/>
        <v>ΒΑΜΒΑΚΙ</v>
      </c>
    </row>
    <row r="1411" spans="1:12" s="3" customFormat="1" x14ac:dyDescent="0.25">
      <c r="A1411" s="3" t="str">
        <f t="shared" ref="A1411:A1474" si="44">_xlfn.CONCAT(B1411,C1411)</f>
        <v>ΒΑΜΒΑΚΙDYNASTY</v>
      </c>
      <c r="B1411" s="18" t="s">
        <v>2016</v>
      </c>
      <c r="C1411" s="19" t="s">
        <v>2571</v>
      </c>
      <c r="D1411" s="6">
        <v>1513.82</v>
      </c>
      <c r="E1411" s="6">
        <v>1498.43</v>
      </c>
      <c r="F1411" s="6" t="s">
        <v>14</v>
      </c>
      <c r="G1411" s="8" t="s">
        <v>2572</v>
      </c>
      <c r="H1411" s="8" t="s">
        <v>27</v>
      </c>
      <c r="I1411" s="9">
        <v>4188</v>
      </c>
      <c r="J1411" s="20">
        <v>12</v>
      </c>
      <c r="K1411" s="20">
        <v>2213</v>
      </c>
      <c r="L1411" s="3" t="str">
        <f t="shared" ref="L1411:L1474" si="45">IFERROR(SUBSTITUTE(SUBSTITUTE(SUBSTITUTE(SUBSTITUTE(SUBSTITUTE(B1411, "-", "_"), " ", "_"), ",", ""), "(", ""), ")", ""), B1411)</f>
        <v>ΒΑΜΒΑΚΙ</v>
      </c>
    </row>
    <row r="1412" spans="1:12" s="3" customFormat="1" x14ac:dyDescent="0.25">
      <c r="A1412" s="3" t="str">
        <f t="shared" si="44"/>
        <v>ΒΑΜΒΑΚΙFOCUS</v>
      </c>
      <c r="B1412" s="18" t="s">
        <v>2016</v>
      </c>
      <c r="C1412" s="19" t="s">
        <v>2573</v>
      </c>
      <c r="D1412" s="6">
        <v>1513.82</v>
      </c>
      <c r="E1412" s="6">
        <v>1498.43</v>
      </c>
      <c r="F1412" s="6" t="s">
        <v>14</v>
      </c>
      <c r="G1412" s="8" t="s">
        <v>2574</v>
      </c>
      <c r="H1412" s="8" t="s">
        <v>27</v>
      </c>
      <c r="I1412" s="9">
        <v>4189</v>
      </c>
      <c r="J1412" s="20">
        <v>12</v>
      </c>
      <c r="K1412" s="20">
        <v>2214</v>
      </c>
      <c r="L1412" s="3" t="str">
        <f t="shared" si="45"/>
        <v>ΒΑΜΒΑΚΙ</v>
      </c>
    </row>
    <row r="1413" spans="1:12" s="3" customFormat="1" x14ac:dyDescent="0.25">
      <c r="A1413" s="3" t="str">
        <f t="shared" si="44"/>
        <v>ΒΑΜΒΑΚΙESPADA</v>
      </c>
      <c r="B1413" s="18" t="s">
        <v>2016</v>
      </c>
      <c r="C1413" s="19" t="s">
        <v>2575</v>
      </c>
      <c r="D1413" s="6">
        <v>1513.82</v>
      </c>
      <c r="E1413" s="6">
        <v>1498.43</v>
      </c>
      <c r="F1413" s="6" t="s">
        <v>14</v>
      </c>
      <c r="G1413" s="8" t="s">
        <v>2576</v>
      </c>
      <c r="H1413" s="8" t="s">
        <v>27</v>
      </c>
      <c r="I1413" s="9">
        <v>4190</v>
      </c>
      <c r="J1413" s="20">
        <v>12</v>
      </c>
      <c r="K1413" s="20">
        <v>2215</v>
      </c>
      <c r="L1413" s="3" t="str">
        <f t="shared" si="45"/>
        <v>ΒΑΜΒΑΚΙ</v>
      </c>
    </row>
    <row r="1414" spans="1:12" s="3" customFormat="1" x14ac:dyDescent="0.25">
      <c r="A1414" s="3" t="str">
        <f t="shared" si="44"/>
        <v>ΒΑΜΒΑΚΙSYMBOL</v>
      </c>
      <c r="B1414" s="18" t="s">
        <v>2016</v>
      </c>
      <c r="C1414" s="19" t="s">
        <v>2577</v>
      </c>
      <c r="D1414" s="6">
        <v>1513.82</v>
      </c>
      <c r="E1414" s="6">
        <v>1498.43</v>
      </c>
      <c r="F1414" s="6" t="s">
        <v>14</v>
      </c>
      <c r="G1414" s="8" t="s">
        <v>2578</v>
      </c>
      <c r="H1414" s="8" t="s">
        <v>27</v>
      </c>
      <c r="I1414" s="9">
        <v>4191</v>
      </c>
      <c r="J1414" s="20">
        <v>12</v>
      </c>
      <c r="K1414" s="20">
        <v>2216</v>
      </c>
      <c r="L1414" s="3" t="str">
        <f t="shared" si="45"/>
        <v>ΒΑΜΒΑΚΙ</v>
      </c>
    </row>
    <row r="1415" spans="1:12" s="3" customFormat="1" x14ac:dyDescent="0.25">
      <c r="A1415" s="3" t="str">
        <f t="shared" si="44"/>
        <v>ΒΑΜΒΑΚΙILIANA</v>
      </c>
      <c r="B1415" s="18" t="s">
        <v>2016</v>
      </c>
      <c r="C1415" s="19" t="s">
        <v>2579</v>
      </c>
      <c r="D1415" s="6">
        <v>1513.82</v>
      </c>
      <c r="E1415" s="6">
        <v>1498.43</v>
      </c>
      <c r="F1415" s="6" t="s">
        <v>14</v>
      </c>
      <c r="G1415" s="8" t="s">
        <v>2580</v>
      </c>
      <c r="H1415" s="8" t="s">
        <v>27</v>
      </c>
      <c r="I1415" s="9">
        <v>4192</v>
      </c>
      <c r="J1415" s="20">
        <v>12</v>
      </c>
      <c r="K1415" s="20">
        <v>2217</v>
      </c>
      <c r="L1415" s="3" t="str">
        <f t="shared" si="45"/>
        <v>ΒΑΜΒΑΚΙ</v>
      </c>
    </row>
    <row r="1416" spans="1:12" s="3" customFormat="1" x14ac:dyDescent="0.25">
      <c r="A1416" s="3" t="str">
        <f t="shared" si="44"/>
        <v>ΒΑΜΒΑΚΙMYTHOS (ΜΥΘΟΣ)</v>
      </c>
      <c r="B1416" s="18" t="s">
        <v>2016</v>
      </c>
      <c r="C1416" s="19" t="s">
        <v>2581</v>
      </c>
      <c r="D1416" s="6">
        <v>1513.82</v>
      </c>
      <c r="E1416" s="6">
        <v>1498.43</v>
      </c>
      <c r="F1416" s="6" t="s">
        <v>14</v>
      </c>
      <c r="G1416" s="8" t="s">
        <v>2582</v>
      </c>
      <c r="H1416" s="8" t="s">
        <v>27</v>
      </c>
      <c r="I1416" s="9">
        <v>4193</v>
      </c>
      <c r="J1416" s="20">
        <v>12</v>
      </c>
      <c r="K1416" s="20">
        <v>2218</v>
      </c>
      <c r="L1416" s="3" t="str">
        <f t="shared" si="45"/>
        <v>ΒΑΜΒΑΚΙ</v>
      </c>
    </row>
    <row r="1417" spans="1:12" s="3" customFormat="1" x14ac:dyDescent="0.25">
      <c r="A1417" s="3" t="str">
        <f t="shared" si="44"/>
        <v>ΒΑΜΒΑΚΙATLAS</v>
      </c>
      <c r="B1417" s="18" t="s">
        <v>2016</v>
      </c>
      <c r="C1417" s="19" t="s">
        <v>2583</v>
      </c>
      <c r="D1417" s="6">
        <v>1513.82</v>
      </c>
      <c r="E1417" s="6">
        <v>1498.43</v>
      </c>
      <c r="F1417" s="6" t="s">
        <v>14</v>
      </c>
      <c r="G1417" s="8" t="s">
        <v>2584</v>
      </c>
      <c r="H1417" s="8" t="s">
        <v>27</v>
      </c>
      <c r="I1417" s="9">
        <v>4194</v>
      </c>
      <c r="J1417" s="20">
        <v>12</v>
      </c>
      <c r="K1417" s="20">
        <v>2219</v>
      </c>
      <c r="L1417" s="3" t="str">
        <f t="shared" si="45"/>
        <v>ΒΑΜΒΑΚΙ</v>
      </c>
    </row>
    <row r="1418" spans="1:12" s="3" customFormat="1" ht="24" x14ac:dyDescent="0.25">
      <c r="A1418" s="3" t="str">
        <f t="shared" si="44"/>
        <v>ΒΑΜΒΑΚΙST 463</v>
      </c>
      <c r="B1418" s="4" t="s">
        <v>2016</v>
      </c>
      <c r="C1418" s="5" t="s">
        <v>2585</v>
      </c>
      <c r="D1418" s="6">
        <v>1513.82</v>
      </c>
      <c r="E1418" s="6">
        <v>1498.43</v>
      </c>
      <c r="F1418" s="7" t="s">
        <v>14</v>
      </c>
      <c r="G1418" s="8" t="s">
        <v>2586</v>
      </c>
      <c r="H1418" s="8" t="s">
        <v>16</v>
      </c>
      <c r="I1418" s="9">
        <v>626</v>
      </c>
      <c r="J1418" s="10">
        <v>12</v>
      </c>
      <c r="K1418" s="10">
        <v>2221</v>
      </c>
      <c r="L1418" s="3" t="str">
        <f t="shared" si="45"/>
        <v>ΒΑΜΒΑΚΙ</v>
      </c>
    </row>
    <row r="1419" spans="1:12" s="3" customFormat="1" x14ac:dyDescent="0.25">
      <c r="A1419" s="3" t="str">
        <f t="shared" si="44"/>
        <v>ΒΑΜΒΑΚΙCELESTIA</v>
      </c>
      <c r="B1419" s="18" t="s">
        <v>2016</v>
      </c>
      <c r="C1419" s="19" t="s">
        <v>2587</v>
      </c>
      <c r="D1419" s="6">
        <v>1513.82</v>
      </c>
      <c r="E1419" s="6">
        <v>1498.43</v>
      </c>
      <c r="F1419" s="6" t="s">
        <v>14</v>
      </c>
      <c r="G1419" s="8" t="s">
        <v>2588</v>
      </c>
      <c r="H1419" s="8" t="s">
        <v>27</v>
      </c>
      <c r="I1419" s="9">
        <v>4195</v>
      </c>
      <c r="J1419" s="20">
        <v>12</v>
      </c>
      <c r="K1419" s="20">
        <v>2224</v>
      </c>
      <c r="L1419" s="3" t="str">
        <f t="shared" si="45"/>
        <v>ΒΑΜΒΑΚΙ</v>
      </c>
    </row>
    <row r="1420" spans="1:12" s="3" customFormat="1" ht="24" x14ac:dyDescent="0.25">
      <c r="A1420" s="3" t="str">
        <f t="shared" si="44"/>
        <v>ΒΑΜΒΑΚΙST 457</v>
      </c>
      <c r="B1420" s="4" t="s">
        <v>2016</v>
      </c>
      <c r="C1420" s="5" t="s">
        <v>2589</v>
      </c>
      <c r="D1420" s="6">
        <v>1513.82</v>
      </c>
      <c r="E1420" s="6">
        <v>1498.43</v>
      </c>
      <c r="F1420" s="7" t="s">
        <v>14</v>
      </c>
      <c r="G1420" s="8" t="s">
        <v>2590</v>
      </c>
      <c r="H1420" s="8" t="s">
        <v>16</v>
      </c>
      <c r="I1420" s="9">
        <v>629</v>
      </c>
      <c r="J1420" s="10">
        <v>12</v>
      </c>
      <c r="K1420" s="10">
        <v>2313</v>
      </c>
      <c r="L1420" s="3" t="str">
        <f t="shared" si="45"/>
        <v>ΒΑΜΒΑΚΙ</v>
      </c>
    </row>
    <row r="1421" spans="1:12" s="3" customFormat="1" x14ac:dyDescent="0.25">
      <c r="A1421" s="3" t="str">
        <f t="shared" si="44"/>
        <v>ΒΑΜΒΑΚΙST 468</v>
      </c>
      <c r="B1421" s="18" t="s">
        <v>2016</v>
      </c>
      <c r="C1421" s="19" t="s">
        <v>2591</v>
      </c>
      <c r="D1421" s="6">
        <v>1513.82</v>
      </c>
      <c r="E1421" s="6">
        <v>1498.43</v>
      </c>
      <c r="F1421" s="6" t="s">
        <v>14</v>
      </c>
      <c r="G1421" s="8" t="s">
        <v>2592</v>
      </c>
      <c r="H1421" s="8" t="s">
        <v>27</v>
      </c>
      <c r="I1421" s="9">
        <v>4196</v>
      </c>
      <c r="J1421" s="20">
        <v>12</v>
      </c>
      <c r="K1421" s="20">
        <v>2314</v>
      </c>
      <c r="L1421" s="3" t="str">
        <f t="shared" si="45"/>
        <v>ΒΑΜΒΑΚΙ</v>
      </c>
    </row>
    <row r="1422" spans="1:12" s="3" customFormat="1" x14ac:dyDescent="0.25">
      <c r="A1422" s="3" t="str">
        <f t="shared" si="44"/>
        <v>ΒΑΜΒΑΚΙPERLA</v>
      </c>
      <c r="B1422" s="18" t="s">
        <v>2016</v>
      </c>
      <c r="C1422" s="19" t="s">
        <v>2593</v>
      </c>
      <c r="D1422" s="6">
        <v>1513.82</v>
      </c>
      <c r="E1422" s="6">
        <v>1498.43</v>
      </c>
      <c r="F1422" s="6" t="s">
        <v>14</v>
      </c>
      <c r="G1422" s="8" t="s">
        <v>2594</v>
      </c>
      <c r="H1422" s="8" t="s">
        <v>27</v>
      </c>
      <c r="I1422" s="9">
        <v>4197</v>
      </c>
      <c r="J1422" s="20">
        <v>12</v>
      </c>
      <c r="K1422" s="20">
        <v>2318</v>
      </c>
      <c r="L1422" s="3" t="str">
        <f t="shared" si="45"/>
        <v>ΒΑΜΒΑΚΙ</v>
      </c>
    </row>
    <row r="1423" spans="1:12" s="3" customFormat="1" x14ac:dyDescent="0.25">
      <c r="A1423" s="3" t="str">
        <f t="shared" si="44"/>
        <v>ΒΑΜΒΑΚΙORION</v>
      </c>
      <c r="B1423" s="18" t="s">
        <v>2016</v>
      </c>
      <c r="C1423" s="19" t="s">
        <v>2595</v>
      </c>
      <c r="D1423" s="6">
        <v>1513.82</v>
      </c>
      <c r="E1423" s="6">
        <v>1498.43</v>
      </c>
      <c r="F1423" s="6" t="s">
        <v>14</v>
      </c>
      <c r="G1423" s="8" t="s">
        <v>2596</v>
      </c>
      <c r="H1423" s="8" t="s">
        <v>27</v>
      </c>
      <c r="I1423" s="9">
        <v>4198</v>
      </c>
      <c r="J1423" s="20">
        <v>12</v>
      </c>
      <c r="K1423" s="20">
        <v>2319</v>
      </c>
      <c r="L1423" s="3" t="str">
        <f t="shared" si="45"/>
        <v>ΒΑΜΒΑΚΙ</v>
      </c>
    </row>
    <row r="1424" spans="1:12" s="3" customFormat="1" x14ac:dyDescent="0.25">
      <c r="A1424" s="3" t="str">
        <f t="shared" si="44"/>
        <v>ΒΑΜΒΑΚΙIMPREZA</v>
      </c>
      <c r="B1424" s="18" t="s">
        <v>2016</v>
      </c>
      <c r="C1424" s="19" t="s">
        <v>2597</v>
      </c>
      <c r="D1424" s="6">
        <v>1513.82</v>
      </c>
      <c r="E1424" s="6">
        <v>1498.43</v>
      </c>
      <c r="F1424" s="6" t="s">
        <v>14</v>
      </c>
      <c r="G1424" s="8" t="s">
        <v>2598</v>
      </c>
      <c r="H1424" s="8" t="s">
        <v>27</v>
      </c>
      <c r="I1424" s="9">
        <v>4199</v>
      </c>
      <c r="J1424" s="20">
        <v>12</v>
      </c>
      <c r="K1424" s="20">
        <v>2320</v>
      </c>
      <c r="L1424" s="3" t="str">
        <f t="shared" si="45"/>
        <v>ΒΑΜΒΑΚΙ</v>
      </c>
    </row>
    <row r="1425" spans="1:12" s="3" customFormat="1" x14ac:dyDescent="0.25">
      <c r="A1425" s="3" t="str">
        <f t="shared" si="44"/>
        <v>ΒΑΜΒΑΚΙLONZA</v>
      </c>
      <c r="B1425" s="18" t="s">
        <v>2016</v>
      </c>
      <c r="C1425" s="19" t="s">
        <v>2599</v>
      </c>
      <c r="D1425" s="6">
        <v>1513.82</v>
      </c>
      <c r="E1425" s="6">
        <v>1498.43</v>
      </c>
      <c r="F1425" s="6" t="s">
        <v>14</v>
      </c>
      <c r="G1425" s="8" t="s">
        <v>2600</v>
      </c>
      <c r="H1425" s="8" t="s">
        <v>27</v>
      </c>
      <c r="I1425" s="9">
        <v>4200</v>
      </c>
      <c r="J1425" s="20">
        <v>12</v>
      </c>
      <c r="K1425" s="20">
        <v>2324</v>
      </c>
      <c r="L1425" s="3" t="str">
        <f t="shared" si="45"/>
        <v>ΒΑΜΒΑΚΙ</v>
      </c>
    </row>
    <row r="1426" spans="1:12" s="3" customFormat="1" x14ac:dyDescent="0.25">
      <c r="A1426" s="3" t="str">
        <f t="shared" si="44"/>
        <v>ΒΑΜΒΑΚΙMIRAGE</v>
      </c>
      <c r="B1426" s="18" t="s">
        <v>2016</v>
      </c>
      <c r="C1426" s="19" t="s">
        <v>2601</v>
      </c>
      <c r="D1426" s="6">
        <v>1513.82</v>
      </c>
      <c r="E1426" s="6">
        <v>1498.43</v>
      </c>
      <c r="F1426" s="6" t="s">
        <v>14</v>
      </c>
      <c r="G1426" s="8" t="s">
        <v>2602</v>
      </c>
      <c r="H1426" s="8" t="s">
        <v>27</v>
      </c>
      <c r="I1426" s="9">
        <v>4201</v>
      </c>
      <c r="J1426" s="20">
        <v>12</v>
      </c>
      <c r="K1426" s="20">
        <v>2326</v>
      </c>
      <c r="L1426" s="3" t="str">
        <f t="shared" si="45"/>
        <v>ΒΑΜΒΑΚΙ</v>
      </c>
    </row>
    <row r="1427" spans="1:12" s="3" customFormat="1" ht="24" x14ac:dyDescent="0.25">
      <c r="A1427" s="3" t="str">
        <f t="shared" si="44"/>
        <v>ΒΑΜΒΑΚΙPLATINA</v>
      </c>
      <c r="B1427" s="4" t="s">
        <v>2016</v>
      </c>
      <c r="C1427" s="5" t="s">
        <v>2603</v>
      </c>
      <c r="D1427" s="6">
        <v>1513.82</v>
      </c>
      <c r="E1427" s="6">
        <v>1498.43</v>
      </c>
      <c r="F1427" s="7" t="s">
        <v>14</v>
      </c>
      <c r="G1427" s="8" t="s">
        <v>2604</v>
      </c>
      <c r="H1427" s="8" t="s">
        <v>16</v>
      </c>
      <c r="I1427" s="9">
        <v>630</v>
      </c>
      <c r="J1427" s="10">
        <v>12</v>
      </c>
      <c r="K1427" s="10">
        <v>2327</v>
      </c>
      <c r="L1427" s="3" t="str">
        <f t="shared" si="45"/>
        <v>ΒΑΜΒΑΚΙ</v>
      </c>
    </row>
    <row r="1428" spans="1:12" s="3" customFormat="1" ht="24" x14ac:dyDescent="0.25">
      <c r="A1428" s="3" t="str">
        <f t="shared" si="44"/>
        <v>ΒΑΜΒΑΚΙFAMOSA</v>
      </c>
      <c r="B1428" s="4" t="s">
        <v>2016</v>
      </c>
      <c r="C1428" s="5" t="s">
        <v>2605</v>
      </c>
      <c r="D1428" s="6">
        <v>1513.82</v>
      </c>
      <c r="E1428" s="6">
        <v>1498.43</v>
      </c>
      <c r="F1428" s="7" t="s">
        <v>14</v>
      </c>
      <c r="G1428" s="8" t="s">
        <v>2606</v>
      </c>
      <c r="H1428" s="8" t="s">
        <v>16</v>
      </c>
      <c r="I1428" s="9">
        <v>631</v>
      </c>
      <c r="J1428" s="10">
        <v>12</v>
      </c>
      <c r="K1428" s="10">
        <v>2328</v>
      </c>
      <c r="L1428" s="3" t="str">
        <f t="shared" si="45"/>
        <v>ΒΑΜΒΑΚΙ</v>
      </c>
    </row>
    <row r="1429" spans="1:12" s="3" customFormat="1" x14ac:dyDescent="0.25">
      <c r="A1429" s="3" t="str">
        <f t="shared" si="44"/>
        <v>ΒΑΜΒΑΚΙANAIS</v>
      </c>
      <c r="B1429" s="18" t="s">
        <v>2016</v>
      </c>
      <c r="C1429" s="19" t="s">
        <v>2607</v>
      </c>
      <c r="D1429" s="6">
        <v>1513.82</v>
      </c>
      <c r="E1429" s="6">
        <v>1498.43</v>
      </c>
      <c r="F1429" s="6" t="s">
        <v>14</v>
      </c>
      <c r="G1429" s="8" t="s">
        <v>2608</v>
      </c>
      <c r="H1429" s="8" t="s">
        <v>27</v>
      </c>
      <c r="I1429" s="9">
        <v>4202</v>
      </c>
      <c r="J1429" s="20">
        <v>12</v>
      </c>
      <c r="K1429" s="20">
        <v>2329</v>
      </c>
      <c r="L1429" s="3" t="str">
        <f t="shared" si="45"/>
        <v>ΒΑΜΒΑΚΙ</v>
      </c>
    </row>
    <row r="1430" spans="1:12" s="3" customFormat="1" x14ac:dyDescent="0.25">
      <c r="A1430" s="3" t="str">
        <f t="shared" si="44"/>
        <v>ΒΑΜΒΑΚΙSERIA</v>
      </c>
      <c r="B1430" s="18" t="s">
        <v>2016</v>
      </c>
      <c r="C1430" s="19" t="s">
        <v>2609</v>
      </c>
      <c r="D1430" s="6">
        <v>1513.82</v>
      </c>
      <c r="E1430" s="6">
        <v>1498.43</v>
      </c>
      <c r="F1430" s="6" t="s">
        <v>14</v>
      </c>
      <c r="G1430" s="8" t="s">
        <v>2610</v>
      </c>
      <c r="H1430" s="8" t="s">
        <v>27</v>
      </c>
      <c r="I1430" s="9">
        <v>4203</v>
      </c>
      <c r="J1430" s="20">
        <v>12</v>
      </c>
      <c r="K1430" s="20">
        <v>2330</v>
      </c>
      <c r="L1430" s="3" t="str">
        <f t="shared" si="45"/>
        <v>ΒΑΜΒΑΚΙ</v>
      </c>
    </row>
    <row r="1431" spans="1:12" s="3" customFormat="1" x14ac:dyDescent="0.25">
      <c r="A1431" s="3" t="str">
        <f t="shared" si="44"/>
        <v>ΒΑΜΒΑΚΙALMON</v>
      </c>
      <c r="B1431" s="18" t="s">
        <v>2016</v>
      </c>
      <c r="C1431" s="19" t="s">
        <v>2611</v>
      </c>
      <c r="D1431" s="6">
        <v>1513.82</v>
      </c>
      <c r="E1431" s="6">
        <v>1498.43</v>
      </c>
      <c r="F1431" s="6" t="s">
        <v>14</v>
      </c>
      <c r="G1431" s="8" t="s">
        <v>2612</v>
      </c>
      <c r="H1431" s="8" t="s">
        <v>27</v>
      </c>
      <c r="I1431" s="9">
        <v>4204</v>
      </c>
      <c r="J1431" s="20">
        <v>12</v>
      </c>
      <c r="K1431" s="20">
        <v>2331</v>
      </c>
      <c r="L1431" s="3" t="str">
        <f t="shared" si="45"/>
        <v>ΒΑΜΒΑΚΙ</v>
      </c>
    </row>
    <row r="1432" spans="1:12" s="3" customFormat="1" x14ac:dyDescent="0.25">
      <c r="A1432" s="3" t="str">
        <f t="shared" si="44"/>
        <v>ΒΑΜΒΑΚΙCOBRA</v>
      </c>
      <c r="B1432" s="18" t="s">
        <v>2016</v>
      </c>
      <c r="C1432" s="19" t="s">
        <v>2613</v>
      </c>
      <c r="D1432" s="6">
        <v>1513.82</v>
      </c>
      <c r="E1432" s="6">
        <v>1498.43</v>
      </c>
      <c r="F1432" s="6" t="s">
        <v>14</v>
      </c>
      <c r="G1432" s="8" t="s">
        <v>2614</v>
      </c>
      <c r="H1432" s="8" t="s">
        <v>27</v>
      </c>
      <c r="I1432" s="9">
        <v>4205</v>
      </c>
      <c r="J1432" s="20">
        <v>12</v>
      </c>
      <c r="K1432" s="20">
        <v>2333</v>
      </c>
      <c r="L1432" s="3" t="str">
        <f t="shared" si="45"/>
        <v>ΒΑΜΒΑΚΙ</v>
      </c>
    </row>
    <row r="1433" spans="1:12" s="3" customFormat="1" x14ac:dyDescent="0.25">
      <c r="A1433" s="3" t="str">
        <f t="shared" si="44"/>
        <v>ΒΑΜΒΑΚΙZARKO</v>
      </c>
      <c r="B1433" s="18" t="s">
        <v>2016</v>
      </c>
      <c r="C1433" s="19" t="s">
        <v>2615</v>
      </c>
      <c r="D1433" s="6">
        <v>1513.82</v>
      </c>
      <c r="E1433" s="6">
        <v>1498.43</v>
      </c>
      <c r="F1433" s="6" t="s">
        <v>14</v>
      </c>
      <c r="G1433" s="8" t="s">
        <v>2616</v>
      </c>
      <c r="H1433" s="8" t="s">
        <v>27</v>
      </c>
      <c r="I1433" s="9">
        <v>4206</v>
      </c>
      <c r="J1433" s="20">
        <v>12</v>
      </c>
      <c r="K1433" s="20">
        <v>2334</v>
      </c>
      <c r="L1433" s="3" t="str">
        <f t="shared" si="45"/>
        <v>ΒΑΜΒΑΚΙ</v>
      </c>
    </row>
    <row r="1434" spans="1:12" s="3" customFormat="1" x14ac:dyDescent="0.25">
      <c r="A1434" s="3" t="str">
        <f t="shared" si="44"/>
        <v>ΒΑΜΒΑΚΙFAYTOS</v>
      </c>
      <c r="B1434" s="18" t="s">
        <v>2016</v>
      </c>
      <c r="C1434" s="19" t="s">
        <v>2617</v>
      </c>
      <c r="D1434" s="6">
        <v>1513.82</v>
      </c>
      <c r="E1434" s="6">
        <v>1498.43</v>
      </c>
      <c r="F1434" s="6" t="s">
        <v>14</v>
      </c>
      <c r="G1434" s="8" t="s">
        <v>2618</v>
      </c>
      <c r="H1434" s="8" t="s">
        <v>27</v>
      </c>
      <c r="I1434" s="9">
        <v>4207</v>
      </c>
      <c r="J1434" s="20">
        <v>12</v>
      </c>
      <c r="K1434" s="20">
        <v>2336</v>
      </c>
      <c r="L1434" s="3" t="str">
        <f t="shared" si="45"/>
        <v>ΒΑΜΒΑΚΙ</v>
      </c>
    </row>
    <row r="1435" spans="1:12" s="3" customFormat="1" ht="24" x14ac:dyDescent="0.25">
      <c r="A1435" s="3" t="str">
        <f t="shared" si="44"/>
        <v>ΒΑΜΒΑΚΙFOIVOS</v>
      </c>
      <c r="B1435" s="4" t="s">
        <v>2016</v>
      </c>
      <c r="C1435" s="5" t="s">
        <v>2619</v>
      </c>
      <c r="D1435" s="6">
        <v>1513.82</v>
      </c>
      <c r="E1435" s="6">
        <v>1498.43</v>
      </c>
      <c r="F1435" s="7" t="s">
        <v>14</v>
      </c>
      <c r="G1435" s="8" t="s">
        <v>2620</v>
      </c>
      <c r="H1435" s="8" t="s">
        <v>16</v>
      </c>
      <c r="I1435" s="9">
        <v>632</v>
      </c>
      <c r="J1435" s="10">
        <v>12</v>
      </c>
      <c r="K1435" s="10">
        <v>2337</v>
      </c>
      <c r="L1435" s="3" t="str">
        <f t="shared" si="45"/>
        <v>ΒΑΜΒΑΚΙ</v>
      </c>
    </row>
    <row r="1436" spans="1:12" s="3" customFormat="1" ht="24" x14ac:dyDescent="0.25">
      <c r="A1436" s="3" t="str">
        <f t="shared" si="44"/>
        <v>ΒΑΜΒΑΚΙAVRA</v>
      </c>
      <c r="B1436" s="4" t="s">
        <v>2016</v>
      </c>
      <c r="C1436" s="5" t="s">
        <v>2621</v>
      </c>
      <c r="D1436" s="6">
        <v>1513.82</v>
      </c>
      <c r="E1436" s="6">
        <v>1498.43</v>
      </c>
      <c r="F1436" s="7" t="s">
        <v>14</v>
      </c>
      <c r="G1436" s="8" t="s">
        <v>2622</v>
      </c>
      <c r="H1436" s="8" t="s">
        <v>16</v>
      </c>
      <c r="I1436" s="9">
        <v>633</v>
      </c>
      <c r="J1436" s="10">
        <v>12</v>
      </c>
      <c r="K1436" s="10">
        <v>2338</v>
      </c>
      <c r="L1436" s="3" t="str">
        <f t="shared" si="45"/>
        <v>ΒΑΜΒΑΚΙ</v>
      </c>
    </row>
    <row r="1437" spans="1:12" s="3" customFormat="1" x14ac:dyDescent="0.25">
      <c r="A1437" s="3" t="str">
        <f t="shared" si="44"/>
        <v>ΒΑΜΒΑΚΙDELTA DIAMOND</v>
      </c>
      <c r="B1437" s="18" t="s">
        <v>2016</v>
      </c>
      <c r="C1437" s="19" t="s">
        <v>2623</v>
      </c>
      <c r="D1437" s="6">
        <v>1513.82</v>
      </c>
      <c r="E1437" s="6">
        <v>1498.43</v>
      </c>
      <c r="F1437" s="6" t="s">
        <v>14</v>
      </c>
      <c r="G1437" s="8" t="s">
        <v>2624</v>
      </c>
      <c r="H1437" s="8" t="s">
        <v>27</v>
      </c>
      <c r="I1437" s="9">
        <v>4208</v>
      </c>
      <c r="J1437" s="20">
        <v>12</v>
      </c>
      <c r="K1437" s="20">
        <v>2341</v>
      </c>
      <c r="L1437" s="3" t="str">
        <f t="shared" si="45"/>
        <v>ΒΑΜΒΑΚΙ</v>
      </c>
    </row>
    <row r="1438" spans="1:12" s="3" customFormat="1" x14ac:dyDescent="0.25">
      <c r="A1438" s="3" t="str">
        <f t="shared" si="44"/>
        <v>ΒΑΜΒΑΚΙEXTRA</v>
      </c>
      <c r="B1438" s="18" t="s">
        <v>2016</v>
      </c>
      <c r="C1438" s="19" t="s">
        <v>2625</v>
      </c>
      <c r="D1438" s="6">
        <v>1513.82</v>
      </c>
      <c r="E1438" s="6">
        <v>1498.43</v>
      </c>
      <c r="F1438" s="6" t="s">
        <v>14</v>
      </c>
      <c r="G1438" s="8" t="s">
        <v>2626</v>
      </c>
      <c r="H1438" s="8" t="s">
        <v>27</v>
      </c>
      <c r="I1438" s="9">
        <v>4209</v>
      </c>
      <c r="J1438" s="20">
        <v>12</v>
      </c>
      <c r="K1438" s="20">
        <v>2342</v>
      </c>
      <c r="L1438" s="3" t="str">
        <f t="shared" si="45"/>
        <v>ΒΑΜΒΑΚΙ</v>
      </c>
    </row>
    <row r="1439" spans="1:12" s="3" customFormat="1" ht="24" x14ac:dyDescent="0.25">
      <c r="A1439" s="3" t="str">
        <f t="shared" si="44"/>
        <v>ΒΑΜΒΑΚΙNIMA</v>
      </c>
      <c r="B1439" s="4" t="s">
        <v>2016</v>
      </c>
      <c r="C1439" s="5" t="s">
        <v>2627</v>
      </c>
      <c r="D1439" s="6">
        <v>1513.82</v>
      </c>
      <c r="E1439" s="6">
        <v>1498.43</v>
      </c>
      <c r="F1439" s="7" t="s">
        <v>14</v>
      </c>
      <c r="G1439" s="8" t="s">
        <v>2628</v>
      </c>
      <c r="H1439" s="8" t="s">
        <v>16</v>
      </c>
      <c r="I1439" s="9">
        <v>634</v>
      </c>
      <c r="J1439" s="10">
        <v>12</v>
      </c>
      <c r="K1439" s="10">
        <v>2387</v>
      </c>
      <c r="L1439" s="3" t="str">
        <f t="shared" si="45"/>
        <v>ΒΑΜΒΑΚΙ</v>
      </c>
    </row>
    <row r="1440" spans="1:12" s="3" customFormat="1" x14ac:dyDescent="0.25">
      <c r="A1440" s="3" t="str">
        <f t="shared" si="44"/>
        <v>ΒΑΜΒΑΚΙMARTHA</v>
      </c>
      <c r="B1440" s="18" t="s">
        <v>2016</v>
      </c>
      <c r="C1440" s="19" t="s">
        <v>2629</v>
      </c>
      <c r="D1440" s="6">
        <v>1513.82</v>
      </c>
      <c r="E1440" s="6">
        <v>1498.43</v>
      </c>
      <c r="F1440" s="6" t="s">
        <v>14</v>
      </c>
      <c r="G1440" s="8" t="s">
        <v>2630</v>
      </c>
      <c r="H1440" s="8" t="s">
        <v>27</v>
      </c>
      <c r="I1440" s="9">
        <v>4210</v>
      </c>
      <c r="J1440" s="20">
        <v>12</v>
      </c>
      <c r="K1440" s="20">
        <v>2447</v>
      </c>
      <c r="L1440" s="3" t="str">
        <f t="shared" si="45"/>
        <v>ΒΑΜΒΑΚΙ</v>
      </c>
    </row>
    <row r="1441" spans="1:12" s="3" customFormat="1" x14ac:dyDescent="0.25">
      <c r="A1441" s="3" t="str">
        <f t="shared" si="44"/>
        <v>ΒΑΜΒΑΚΙX020</v>
      </c>
      <c r="B1441" s="18" t="s">
        <v>2016</v>
      </c>
      <c r="C1441" s="19" t="s">
        <v>2631</v>
      </c>
      <c r="D1441" s="6">
        <v>1513.82</v>
      </c>
      <c r="E1441" s="6">
        <v>1498.43</v>
      </c>
      <c r="F1441" s="6" t="s">
        <v>14</v>
      </c>
      <c r="G1441" s="8" t="s">
        <v>2632</v>
      </c>
      <c r="H1441" s="8" t="s">
        <v>27</v>
      </c>
      <c r="I1441" s="9">
        <v>4211</v>
      </c>
      <c r="J1441" s="20">
        <v>12</v>
      </c>
      <c r="K1441" s="20">
        <v>2448</v>
      </c>
      <c r="L1441" s="3" t="str">
        <f t="shared" si="45"/>
        <v>ΒΑΜΒΑΚΙ</v>
      </c>
    </row>
    <row r="1442" spans="1:12" s="3" customFormat="1" x14ac:dyDescent="0.25">
      <c r="A1442" s="3" t="str">
        <f t="shared" si="44"/>
        <v>ΒΑΜΒΑΚΙANETO</v>
      </c>
      <c r="B1442" s="18" t="s">
        <v>2016</v>
      </c>
      <c r="C1442" s="19" t="s">
        <v>2633</v>
      </c>
      <c r="D1442" s="6">
        <v>1513.82</v>
      </c>
      <c r="E1442" s="6">
        <v>1498.43</v>
      </c>
      <c r="F1442" s="6" t="s">
        <v>14</v>
      </c>
      <c r="G1442" s="8" t="s">
        <v>2634</v>
      </c>
      <c r="H1442" s="8" t="s">
        <v>27</v>
      </c>
      <c r="I1442" s="9">
        <v>4212</v>
      </c>
      <c r="J1442" s="20">
        <v>12</v>
      </c>
      <c r="K1442" s="20">
        <v>2449</v>
      </c>
      <c r="L1442" s="3" t="str">
        <f t="shared" si="45"/>
        <v>ΒΑΜΒΑΚΙ</v>
      </c>
    </row>
    <row r="1443" spans="1:12" s="3" customFormat="1" x14ac:dyDescent="0.25">
      <c r="A1443" s="3" t="str">
        <f t="shared" si="44"/>
        <v>ΒΑΜΒΑΚΙDP468</v>
      </c>
      <c r="B1443" s="18" t="s">
        <v>2016</v>
      </c>
      <c r="C1443" s="19" t="s">
        <v>2635</v>
      </c>
      <c r="D1443" s="6">
        <v>1513.82</v>
      </c>
      <c r="E1443" s="6">
        <v>1498.43</v>
      </c>
      <c r="F1443" s="6" t="s">
        <v>14</v>
      </c>
      <c r="G1443" s="8" t="s">
        <v>2636</v>
      </c>
      <c r="H1443" s="8" t="s">
        <v>27</v>
      </c>
      <c r="I1443" s="9">
        <v>4213</v>
      </c>
      <c r="J1443" s="20">
        <v>12</v>
      </c>
      <c r="K1443" s="20">
        <v>2450</v>
      </c>
      <c r="L1443" s="3" t="str">
        <f t="shared" si="45"/>
        <v>ΒΑΜΒΑΚΙ</v>
      </c>
    </row>
    <row r="1444" spans="1:12" s="3" customFormat="1" x14ac:dyDescent="0.25">
      <c r="A1444" s="3" t="str">
        <f t="shared" si="44"/>
        <v>ΒΑΜΒΑΚΙDP 577</v>
      </c>
      <c r="B1444" s="18" t="s">
        <v>2016</v>
      </c>
      <c r="C1444" s="19" t="s">
        <v>2637</v>
      </c>
      <c r="D1444" s="6">
        <v>1513.82</v>
      </c>
      <c r="E1444" s="6">
        <v>1498.43</v>
      </c>
      <c r="F1444" s="6" t="s">
        <v>14</v>
      </c>
      <c r="G1444" s="8" t="s">
        <v>2638</v>
      </c>
      <c r="H1444" s="8" t="s">
        <v>27</v>
      </c>
      <c r="I1444" s="9">
        <v>4214</v>
      </c>
      <c r="J1444" s="20">
        <v>12</v>
      </c>
      <c r="K1444" s="20">
        <v>2451</v>
      </c>
      <c r="L1444" s="3" t="str">
        <f t="shared" si="45"/>
        <v>ΒΑΜΒΑΚΙ</v>
      </c>
    </row>
    <row r="1445" spans="1:12" s="3" customFormat="1" ht="24" x14ac:dyDescent="0.25">
      <c r="A1445" s="3" t="str">
        <f t="shared" si="44"/>
        <v>ΒΑΜΒΑΚΙDP 419</v>
      </c>
      <c r="B1445" s="4" t="s">
        <v>2016</v>
      </c>
      <c r="C1445" s="5" t="s">
        <v>2639</v>
      </c>
      <c r="D1445" s="6">
        <v>1513.82</v>
      </c>
      <c r="E1445" s="6">
        <v>1498.43</v>
      </c>
      <c r="F1445" s="7" t="s">
        <v>14</v>
      </c>
      <c r="G1445" s="8" t="s">
        <v>2640</v>
      </c>
      <c r="H1445" s="8" t="s">
        <v>16</v>
      </c>
      <c r="I1445" s="9">
        <v>660</v>
      </c>
      <c r="J1445" s="10">
        <v>12</v>
      </c>
      <c r="K1445" s="10">
        <v>2452</v>
      </c>
      <c r="L1445" s="3" t="str">
        <f t="shared" si="45"/>
        <v>ΒΑΜΒΑΚΙ</v>
      </c>
    </row>
    <row r="1446" spans="1:12" s="3" customFormat="1" x14ac:dyDescent="0.25">
      <c r="A1446" s="3" t="str">
        <f t="shared" si="44"/>
        <v>ΒΑΜΒΑΚΙTHESSALIA</v>
      </c>
      <c r="B1446" s="18" t="s">
        <v>2016</v>
      </c>
      <c r="C1446" s="19" t="s">
        <v>2641</v>
      </c>
      <c r="D1446" s="6">
        <v>1513.82</v>
      </c>
      <c r="E1446" s="6">
        <v>1498.43</v>
      </c>
      <c r="F1446" s="6" t="s">
        <v>14</v>
      </c>
      <c r="G1446" s="8" t="s">
        <v>2642</v>
      </c>
      <c r="H1446" s="8" t="s">
        <v>27</v>
      </c>
      <c r="I1446" s="9">
        <v>4215</v>
      </c>
      <c r="J1446" s="20">
        <v>12</v>
      </c>
      <c r="K1446" s="20">
        <v>2453</v>
      </c>
      <c r="L1446" s="3" t="str">
        <f t="shared" si="45"/>
        <v>ΒΑΜΒΑΚΙ</v>
      </c>
    </row>
    <row r="1447" spans="1:12" s="3" customFormat="1" x14ac:dyDescent="0.25">
      <c r="A1447" s="3" t="str">
        <f t="shared" si="44"/>
        <v>ΒΑΜΒΑΚΙNIKI</v>
      </c>
      <c r="B1447" s="18" t="s">
        <v>2016</v>
      </c>
      <c r="C1447" s="19" t="s">
        <v>2643</v>
      </c>
      <c r="D1447" s="6">
        <v>1513.82</v>
      </c>
      <c r="E1447" s="6">
        <v>1498.43</v>
      </c>
      <c r="F1447" s="6" t="s">
        <v>14</v>
      </c>
      <c r="G1447" s="8" t="s">
        <v>2644</v>
      </c>
      <c r="H1447" s="8" t="s">
        <v>27</v>
      </c>
      <c r="I1447" s="9">
        <v>4216</v>
      </c>
      <c r="J1447" s="20">
        <v>12</v>
      </c>
      <c r="K1447" s="20">
        <v>2454</v>
      </c>
      <c r="L1447" s="3" t="str">
        <f t="shared" si="45"/>
        <v>ΒΑΜΒΑΚΙ</v>
      </c>
    </row>
    <row r="1448" spans="1:12" s="3" customFormat="1" ht="24" x14ac:dyDescent="0.25">
      <c r="A1448" s="3" t="str">
        <f t="shared" si="44"/>
        <v>ΒΑΜΒΑΚΙJUNCAL</v>
      </c>
      <c r="B1448" s="4" t="s">
        <v>2016</v>
      </c>
      <c r="C1448" s="5" t="s">
        <v>2645</v>
      </c>
      <c r="D1448" s="6">
        <v>1513.82</v>
      </c>
      <c r="E1448" s="6">
        <v>1498.43</v>
      </c>
      <c r="F1448" s="7" t="s">
        <v>14</v>
      </c>
      <c r="G1448" s="8" t="s">
        <v>2646</v>
      </c>
      <c r="H1448" s="8" t="s">
        <v>16</v>
      </c>
      <c r="I1448" s="9">
        <v>667</v>
      </c>
      <c r="J1448" s="10">
        <v>12</v>
      </c>
      <c r="K1448" s="10">
        <v>2457</v>
      </c>
      <c r="L1448" s="3" t="str">
        <f t="shared" si="45"/>
        <v>ΒΑΜΒΑΚΙ</v>
      </c>
    </row>
    <row r="1449" spans="1:12" s="3" customFormat="1" x14ac:dyDescent="0.25">
      <c r="A1449" s="3" t="str">
        <f t="shared" si="44"/>
        <v>ΒΑΜΒΑΚΙDELFOS</v>
      </c>
      <c r="B1449" s="18" t="s">
        <v>2016</v>
      </c>
      <c r="C1449" s="19" t="s">
        <v>2647</v>
      </c>
      <c r="D1449" s="6">
        <v>1513.82</v>
      </c>
      <c r="E1449" s="6">
        <v>1498.43</v>
      </c>
      <c r="F1449" s="6" t="s">
        <v>14</v>
      </c>
      <c r="G1449" s="8" t="s">
        <v>2648</v>
      </c>
      <c r="H1449" s="8" t="s">
        <v>27</v>
      </c>
      <c r="I1449" s="9">
        <v>4217</v>
      </c>
      <c r="J1449" s="20">
        <v>12</v>
      </c>
      <c r="K1449" s="20">
        <v>2458</v>
      </c>
      <c r="L1449" s="3" t="str">
        <f t="shared" si="45"/>
        <v>ΒΑΜΒΑΚΙ</v>
      </c>
    </row>
    <row r="1450" spans="1:12" s="3" customFormat="1" ht="24" x14ac:dyDescent="0.25">
      <c r="A1450" s="3" t="str">
        <f t="shared" si="44"/>
        <v>ΒΑΜΒΑΚΙEVDOKIA</v>
      </c>
      <c r="B1450" s="4" t="s">
        <v>2016</v>
      </c>
      <c r="C1450" s="5" t="s">
        <v>2649</v>
      </c>
      <c r="D1450" s="6">
        <v>1513.82</v>
      </c>
      <c r="E1450" s="6">
        <v>1498.43</v>
      </c>
      <c r="F1450" s="7" t="s">
        <v>14</v>
      </c>
      <c r="G1450" s="8" t="s">
        <v>2650</v>
      </c>
      <c r="H1450" s="8" t="s">
        <v>16</v>
      </c>
      <c r="I1450" s="9">
        <v>665</v>
      </c>
      <c r="J1450" s="10">
        <v>12</v>
      </c>
      <c r="K1450" s="10">
        <v>2459</v>
      </c>
      <c r="L1450" s="3" t="str">
        <f t="shared" si="45"/>
        <v>ΒΑΜΒΑΚΙ</v>
      </c>
    </row>
    <row r="1451" spans="1:12" s="3" customFormat="1" ht="24" x14ac:dyDescent="0.25">
      <c r="A1451" s="3" t="str">
        <f t="shared" si="44"/>
        <v>ΒΑΜΒΑΚΙTZORTZINA</v>
      </c>
      <c r="B1451" s="4" t="s">
        <v>2016</v>
      </c>
      <c r="C1451" s="5" t="s">
        <v>2651</v>
      </c>
      <c r="D1451" s="6">
        <v>1513.82</v>
      </c>
      <c r="E1451" s="6">
        <v>1498.43</v>
      </c>
      <c r="F1451" s="7" t="s">
        <v>14</v>
      </c>
      <c r="G1451" s="8" t="s">
        <v>2652</v>
      </c>
      <c r="H1451" s="8" t="s">
        <v>16</v>
      </c>
      <c r="I1451" s="9">
        <v>664</v>
      </c>
      <c r="J1451" s="10">
        <v>12</v>
      </c>
      <c r="K1451" s="10">
        <v>2460</v>
      </c>
      <c r="L1451" s="3" t="str">
        <f t="shared" si="45"/>
        <v>ΒΑΜΒΑΚΙ</v>
      </c>
    </row>
    <row r="1452" spans="1:12" s="3" customFormat="1" x14ac:dyDescent="0.25">
      <c r="A1452" s="3" t="str">
        <f t="shared" si="44"/>
        <v>ΒΑΜΒΑΚΙOSCAR</v>
      </c>
      <c r="B1452" s="18" t="s">
        <v>2016</v>
      </c>
      <c r="C1452" s="19" t="s">
        <v>2653</v>
      </c>
      <c r="D1452" s="6">
        <v>1513.82</v>
      </c>
      <c r="E1452" s="6">
        <v>1498.43</v>
      </c>
      <c r="F1452" s="6" t="s">
        <v>14</v>
      </c>
      <c r="G1452" s="8" t="s">
        <v>2654</v>
      </c>
      <c r="H1452" s="8" t="s">
        <v>27</v>
      </c>
      <c r="I1452" s="9">
        <v>4218</v>
      </c>
      <c r="J1452" s="20">
        <v>12</v>
      </c>
      <c r="K1452" s="20">
        <v>2461</v>
      </c>
      <c r="L1452" s="3" t="str">
        <f t="shared" si="45"/>
        <v>ΒΑΜΒΑΚΙ</v>
      </c>
    </row>
    <row r="1453" spans="1:12" s="3" customFormat="1" x14ac:dyDescent="0.25">
      <c r="A1453" s="3" t="str">
        <f t="shared" si="44"/>
        <v>ΒΑΜΒΑΚΙSTUKA</v>
      </c>
      <c r="B1453" s="18" t="s">
        <v>2016</v>
      </c>
      <c r="C1453" s="19" t="s">
        <v>2655</v>
      </c>
      <c r="D1453" s="6">
        <v>1513.82</v>
      </c>
      <c r="E1453" s="6">
        <v>1498.43</v>
      </c>
      <c r="F1453" s="6" t="s">
        <v>14</v>
      </c>
      <c r="G1453" s="8" t="s">
        <v>2656</v>
      </c>
      <c r="H1453" s="8" t="s">
        <v>27</v>
      </c>
      <c r="I1453" s="9">
        <v>4219</v>
      </c>
      <c r="J1453" s="20">
        <v>12</v>
      </c>
      <c r="K1453" s="20">
        <v>2462</v>
      </c>
      <c r="L1453" s="3" t="str">
        <f t="shared" si="45"/>
        <v>ΒΑΜΒΑΚΙ</v>
      </c>
    </row>
    <row r="1454" spans="1:12" s="3" customFormat="1" x14ac:dyDescent="0.25">
      <c r="A1454" s="3" t="str">
        <f t="shared" si="44"/>
        <v>ΒΑΜΒΑΚΙPIGAL</v>
      </c>
      <c r="B1454" s="18" t="s">
        <v>2016</v>
      </c>
      <c r="C1454" s="19" t="s">
        <v>2657</v>
      </c>
      <c r="D1454" s="6">
        <v>1513.82</v>
      </c>
      <c r="E1454" s="6">
        <v>1498.43</v>
      </c>
      <c r="F1454" s="6" t="s">
        <v>14</v>
      </c>
      <c r="G1454" s="8" t="s">
        <v>2658</v>
      </c>
      <c r="H1454" s="8" t="s">
        <v>27</v>
      </c>
      <c r="I1454" s="9">
        <v>4220</v>
      </c>
      <c r="J1454" s="20">
        <v>12</v>
      </c>
      <c r="K1454" s="20">
        <v>2463</v>
      </c>
      <c r="L1454" s="3" t="str">
        <f t="shared" si="45"/>
        <v>ΒΑΜΒΑΚΙ</v>
      </c>
    </row>
    <row r="1455" spans="1:12" s="3" customFormat="1" x14ac:dyDescent="0.25">
      <c r="A1455" s="3" t="str">
        <f t="shared" si="44"/>
        <v>ΒΑΜΒΑΚΙNEILOS</v>
      </c>
      <c r="B1455" s="18" t="s">
        <v>2016</v>
      </c>
      <c r="C1455" s="19" t="s">
        <v>2659</v>
      </c>
      <c r="D1455" s="6">
        <v>1513.82</v>
      </c>
      <c r="E1455" s="6">
        <v>1498.43</v>
      </c>
      <c r="F1455" s="6" t="s">
        <v>14</v>
      </c>
      <c r="G1455" s="8" t="s">
        <v>2660</v>
      </c>
      <c r="H1455" s="8" t="s">
        <v>27</v>
      </c>
      <c r="I1455" s="9">
        <v>4221</v>
      </c>
      <c r="J1455" s="20">
        <v>12</v>
      </c>
      <c r="K1455" s="20">
        <v>2464</v>
      </c>
      <c r="L1455" s="3" t="str">
        <f t="shared" si="45"/>
        <v>ΒΑΜΒΑΚΙ</v>
      </c>
    </row>
    <row r="1456" spans="1:12" s="3" customFormat="1" x14ac:dyDescent="0.25">
      <c r="A1456" s="3" t="str">
        <f t="shared" si="44"/>
        <v>ΒΑΜΒΑΚΙST 446</v>
      </c>
      <c r="B1456" s="18" t="s">
        <v>2016</v>
      </c>
      <c r="C1456" s="19" t="s">
        <v>2661</v>
      </c>
      <c r="D1456" s="6">
        <v>1513.82</v>
      </c>
      <c r="E1456" s="6">
        <v>1498.43</v>
      </c>
      <c r="F1456" s="6" t="s">
        <v>14</v>
      </c>
      <c r="G1456" s="8" t="s">
        <v>2662</v>
      </c>
      <c r="H1456" s="8" t="s">
        <v>27</v>
      </c>
      <c r="I1456" s="9">
        <v>4222</v>
      </c>
      <c r="J1456" s="20">
        <v>12</v>
      </c>
      <c r="K1456" s="20">
        <v>2465</v>
      </c>
      <c r="L1456" s="3" t="str">
        <f t="shared" si="45"/>
        <v>ΒΑΜΒΑΚΙ</v>
      </c>
    </row>
    <row r="1457" spans="1:12" s="3" customFormat="1" x14ac:dyDescent="0.25">
      <c r="A1457" s="3" t="str">
        <f t="shared" si="44"/>
        <v>ΒΑΜΒΑΚΙST 431</v>
      </c>
      <c r="B1457" s="18" t="s">
        <v>2016</v>
      </c>
      <c r="C1457" s="19" t="s">
        <v>2663</v>
      </c>
      <c r="D1457" s="6">
        <v>1513.82</v>
      </c>
      <c r="E1457" s="6">
        <v>1498.43</v>
      </c>
      <c r="F1457" s="6" t="s">
        <v>14</v>
      </c>
      <c r="G1457" s="8" t="s">
        <v>2664</v>
      </c>
      <c r="H1457" s="8" t="s">
        <v>27</v>
      </c>
      <c r="I1457" s="9">
        <v>4223</v>
      </c>
      <c r="J1457" s="20">
        <v>12</v>
      </c>
      <c r="K1457" s="20">
        <v>2466</v>
      </c>
      <c r="L1457" s="3" t="str">
        <f t="shared" si="45"/>
        <v>ΒΑΜΒΑΚΙ</v>
      </c>
    </row>
    <row r="1458" spans="1:12" s="3" customFormat="1" ht="15" customHeight="1" x14ac:dyDescent="0.25">
      <c r="A1458" s="3" t="str">
        <f t="shared" si="44"/>
        <v>ΒΑΜΒΑΚΙST 525</v>
      </c>
      <c r="B1458" s="18" t="s">
        <v>2016</v>
      </c>
      <c r="C1458" s="19" t="s">
        <v>2665</v>
      </c>
      <c r="D1458" s="6">
        <v>1513.82</v>
      </c>
      <c r="E1458" s="6">
        <v>1498.43</v>
      </c>
      <c r="F1458" s="6" t="s">
        <v>14</v>
      </c>
      <c r="G1458" s="8" t="s">
        <v>2666</v>
      </c>
      <c r="H1458" s="8" t="s">
        <v>27</v>
      </c>
      <c r="I1458" s="9">
        <v>4224</v>
      </c>
      <c r="J1458" s="20">
        <v>12</v>
      </c>
      <c r="K1458" s="20">
        <v>2467</v>
      </c>
      <c r="L1458" s="3" t="str">
        <f t="shared" si="45"/>
        <v>ΒΑΜΒΑΚΙ</v>
      </c>
    </row>
    <row r="1459" spans="1:12" s="3" customFormat="1" ht="15" customHeight="1" x14ac:dyDescent="0.25">
      <c r="A1459" s="3" t="str">
        <f t="shared" si="44"/>
        <v>ΒΑΜΒΑΚΙPIGASOS</v>
      </c>
      <c r="B1459" s="18" t="s">
        <v>2016</v>
      </c>
      <c r="C1459" s="19" t="s">
        <v>2667</v>
      </c>
      <c r="D1459" s="6">
        <v>1513.82</v>
      </c>
      <c r="E1459" s="6">
        <v>1498.43</v>
      </c>
      <c r="F1459" s="6" t="s">
        <v>14</v>
      </c>
      <c r="G1459" s="8" t="s">
        <v>2668</v>
      </c>
      <c r="H1459" s="8" t="s">
        <v>27</v>
      </c>
      <c r="I1459" s="9">
        <v>4225</v>
      </c>
      <c r="J1459" s="20">
        <v>12</v>
      </c>
      <c r="K1459" s="20">
        <v>2468</v>
      </c>
      <c r="L1459" s="3" t="str">
        <f t="shared" si="45"/>
        <v>ΒΑΜΒΑΚΙ</v>
      </c>
    </row>
    <row r="1460" spans="1:12" s="3" customFormat="1" x14ac:dyDescent="0.25">
      <c r="A1460" s="3" t="str">
        <f t="shared" si="44"/>
        <v>ΒΑΜΒΑΚΙPROTEAS</v>
      </c>
      <c r="B1460" s="18" t="s">
        <v>2016</v>
      </c>
      <c r="C1460" s="19" t="s">
        <v>2669</v>
      </c>
      <c r="D1460" s="6">
        <v>1513.82</v>
      </c>
      <c r="E1460" s="6">
        <v>1498.43</v>
      </c>
      <c r="F1460" s="6" t="s">
        <v>14</v>
      </c>
      <c r="G1460" s="8" t="s">
        <v>2670</v>
      </c>
      <c r="H1460" s="8" t="s">
        <v>27</v>
      </c>
      <c r="I1460" s="9">
        <v>4226</v>
      </c>
      <c r="J1460" s="20">
        <v>12</v>
      </c>
      <c r="K1460" s="20">
        <v>2470</v>
      </c>
      <c r="L1460" s="3" t="str">
        <f t="shared" si="45"/>
        <v>ΒΑΜΒΑΚΙ</v>
      </c>
    </row>
    <row r="1461" spans="1:12" s="3" customFormat="1" ht="24" x14ac:dyDescent="0.25">
      <c r="A1461" s="3" t="str">
        <f t="shared" si="44"/>
        <v>ΒΑΜΒΑΚΙCOSMOS</v>
      </c>
      <c r="B1461" s="4" t="s">
        <v>2016</v>
      </c>
      <c r="C1461" s="5" t="s">
        <v>2671</v>
      </c>
      <c r="D1461" s="6">
        <v>1513.82</v>
      </c>
      <c r="E1461" s="6">
        <v>1498.43</v>
      </c>
      <c r="F1461" s="7" t="s">
        <v>14</v>
      </c>
      <c r="G1461" s="8" t="s">
        <v>2672</v>
      </c>
      <c r="H1461" s="8" t="s">
        <v>16</v>
      </c>
      <c r="I1461" s="9">
        <v>663</v>
      </c>
      <c r="J1461" s="10">
        <v>12</v>
      </c>
      <c r="K1461" s="10">
        <v>2471</v>
      </c>
      <c r="L1461" s="3" t="str">
        <f t="shared" si="45"/>
        <v>ΒΑΜΒΑΚΙ</v>
      </c>
    </row>
    <row r="1462" spans="1:12" s="3" customFormat="1" x14ac:dyDescent="0.25">
      <c r="A1462" s="3" t="str">
        <f t="shared" si="44"/>
        <v>ΒΑΜΒΑΚΙICARUS</v>
      </c>
      <c r="B1462" s="18" t="s">
        <v>2016</v>
      </c>
      <c r="C1462" s="19" t="s">
        <v>2673</v>
      </c>
      <c r="D1462" s="6">
        <v>1513.82</v>
      </c>
      <c r="E1462" s="6">
        <v>1498.43</v>
      </c>
      <c r="F1462" s="6" t="s">
        <v>14</v>
      </c>
      <c r="G1462" s="8" t="s">
        <v>2674</v>
      </c>
      <c r="H1462" s="8" t="s">
        <v>27</v>
      </c>
      <c r="I1462" s="9">
        <v>4227</v>
      </c>
      <c r="J1462" s="20">
        <v>12</v>
      </c>
      <c r="K1462" s="20">
        <v>2489</v>
      </c>
      <c r="L1462" s="3" t="str">
        <f t="shared" si="45"/>
        <v>ΒΑΜΒΑΚΙ</v>
      </c>
    </row>
    <row r="1463" spans="1:12" s="3" customFormat="1" x14ac:dyDescent="0.25">
      <c r="A1463" s="3" t="str">
        <f t="shared" si="44"/>
        <v>ΒΑΜΒΑΚΙDONNA</v>
      </c>
      <c r="B1463" s="18" t="s">
        <v>2016</v>
      </c>
      <c r="C1463" s="19" t="s">
        <v>2675</v>
      </c>
      <c r="D1463" s="6">
        <v>1513.82</v>
      </c>
      <c r="E1463" s="6">
        <v>1498.43</v>
      </c>
      <c r="F1463" s="6" t="s">
        <v>14</v>
      </c>
      <c r="G1463" s="8" t="s">
        <v>2676</v>
      </c>
      <c r="H1463" s="8" t="s">
        <v>27</v>
      </c>
      <c r="I1463" s="9">
        <v>4228</v>
      </c>
      <c r="J1463" s="20">
        <v>12</v>
      </c>
      <c r="K1463" s="20">
        <v>2570</v>
      </c>
      <c r="L1463" s="3" t="str">
        <f t="shared" si="45"/>
        <v>ΒΑΜΒΑΚΙ</v>
      </c>
    </row>
    <row r="1464" spans="1:12" s="3" customFormat="1" x14ac:dyDescent="0.25">
      <c r="A1464" s="3" t="str">
        <f t="shared" si="44"/>
        <v>ΒΑΜΒΑΚΙORFEAS</v>
      </c>
      <c r="B1464" s="18" t="s">
        <v>2016</v>
      </c>
      <c r="C1464" s="19" t="s">
        <v>2677</v>
      </c>
      <c r="D1464" s="6">
        <v>1513.82</v>
      </c>
      <c r="E1464" s="6">
        <v>1498.43</v>
      </c>
      <c r="F1464" s="6" t="s">
        <v>14</v>
      </c>
      <c r="G1464" s="8" t="s">
        <v>2678</v>
      </c>
      <c r="H1464" s="8" t="s">
        <v>27</v>
      </c>
      <c r="I1464" s="9">
        <v>4229</v>
      </c>
      <c r="J1464" s="20">
        <v>12</v>
      </c>
      <c r="K1464" s="20">
        <v>2575</v>
      </c>
      <c r="L1464" s="3" t="str">
        <f t="shared" si="45"/>
        <v>ΒΑΜΒΑΚΙ</v>
      </c>
    </row>
    <row r="1465" spans="1:12" s="3" customFormat="1" x14ac:dyDescent="0.25">
      <c r="A1465" s="3" t="str">
        <f t="shared" si="44"/>
        <v>ΒΑΜΒΑΚΙTOTA</v>
      </c>
      <c r="B1465" s="18" t="s">
        <v>2016</v>
      </c>
      <c r="C1465" s="19" t="s">
        <v>2679</v>
      </c>
      <c r="D1465" s="6">
        <v>1513.82</v>
      </c>
      <c r="E1465" s="6">
        <v>1498.43</v>
      </c>
      <c r="F1465" s="6" t="s">
        <v>14</v>
      </c>
      <c r="G1465" s="8" t="s">
        <v>2680</v>
      </c>
      <c r="H1465" s="8" t="s">
        <v>27</v>
      </c>
      <c r="I1465" s="9">
        <v>4230</v>
      </c>
      <c r="J1465" s="20">
        <v>12</v>
      </c>
      <c r="K1465" s="20">
        <v>2576</v>
      </c>
      <c r="L1465" s="3" t="str">
        <f t="shared" si="45"/>
        <v>ΒΑΜΒΑΚΙ</v>
      </c>
    </row>
    <row r="1466" spans="1:12" s="3" customFormat="1" x14ac:dyDescent="0.25">
      <c r="A1466" s="3" t="str">
        <f t="shared" si="44"/>
        <v>ΒΑΜΒΑΚΙCT 1</v>
      </c>
      <c r="B1466" s="18" t="s">
        <v>2016</v>
      </c>
      <c r="C1466" s="19" t="s">
        <v>2681</v>
      </c>
      <c r="D1466" s="6">
        <v>1513.82</v>
      </c>
      <c r="E1466" s="6">
        <v>1498.43</v>
      </c>
      <c r="F1466" s="6" t="s">
        <v>14</v>
      </c>
      <c r="G1466" s="8" t="s">
        <v>2682</v>
      </c>
      <c r="H1466" s="8" t="s">
        <v>27</v>
      </c>
      <c r="I1466" s="9">
        <v>4231</v>
      </c>
      <c r="J1466" s="20">
        <v>12</v>
      </c>
      <c r="K1466" s="20">
        <v>2585</v>
      </c>
      <c r="L1466" s="3" t="str">
        <f t="shared" si="45"/>
        <v>ΒΑΜΒΑΚΙ</v>
      </c>
    </row>
    <row r="1467" spans="1:12" s="3" customFormat="1" x14ac:dyDescent="0.25">
      <c r="A1467" s="3" t="str">
        <f t="shared" si="44"/>
        <v>ΒΑΜΒΑΚΙCT 12</v>
      </c>
      <c r="B1467" s="18" t="s">
        <v>2016</v>
      </c>
      <c r="C1467" s="19" t="s">
        <v>2683</v>
      </c>
      <c r="D1467" s="6">
        <v>1513.82</v>
      </c>
      <c r="E1467" s="6">
        <v>1498.43</v>
      </c>
      <c r="F1467" s="6" t="s">
        <v>14</v>
      </c>
      <c r="G1467" s="8" t="s">
        <v>2684</v>
      </c>
      <c r="H1467" s="8" t="s">
        <v>27</v>
      </c>
      <c r="I1467" s="9">
        <v>4232</v>
      </c>
      <c r="J1467" s="20">
        <v>12</v>
      </c>
      <c r="K1467" s="20">
        <v>2586</v>
      </c>
      <c r="L1467" s="3" t="str">
        <f t="shared" si="45"/>
        <v>ΒΑΜΒΑΚΙ</v>
      </c>
    </row>
    <row r="1468" spans="1:12" s="3" customFormat="1" x14ac:dyDescent="0.25">
      <c r="A1468" s="3" t="str">
        <f t="shared" si="44"/>
        <v>ΒΑΜΒΑΚΙEKATI</v>
      </c>
      <c r="B1468" s="18" t="s">
        <v>2016</v>
      </c>
      <c r="C1468" s="19" t="s">
        <v>2685</v>
      </c>
      <c r="D1468" s="6">
        <v>1513.82</v>
      </c>
      <c r="E1468" s="6">
        <v>1498.43</v>
      </c>
      <c r="F1468" s="6" t="s">
        <v>14</v>
      </c>
      <c r="G1468" s="8" t="s">
        <v>2686</v>
      </c>
      <c r="H1468" s="8" t="s">
        <v>27</v>
      </c>
      <c r="I1468" s="9">
        <v>4233</v>
      </c>
      <c r="J1468" s="20">
        <v>12</v>
      </c>
      <c r="K1468" s="20">
        <v>2588</v>
      </c>
      <c r="L1468" s="3" t="str">
        <f t="shared" si="45"/>
        <v>ΒΑΜΒΑΚΙ</v>
      </c>
    </row>
    <row r="1469" spans="1:12" s="3" customFormat="1" x14ac:dyDescent="0.25">
      <c r="A1469" s="3" t="str">
        <f t="shared" si="44"/>
        <v>ΒΑΜΒΑΚΙKK801</v>
      </c>
      <c r="B1469" s="18" t="s">
        <v>2016</v>
      </c>
      <c r="C1469" s="19" t="s">
        <v>2687</v>
      </c>
      <c r="D1469" s="6">
        <v>1513.82</v>
      </c>
      <c r="E1469" s="6">
        <v>1498.43</v>
      </c>
      <c r="F1469" s="6" t="s">
        <v>14</v>
      </c>
      <c r="G1469" s="8" t="s">
        <v>2688</v>
      </c>
      <c r="H1469" s="8" t="s">
        <v>27</v>
      </c>
      <c r="I1469" s="9">
        <v>4234</v>
      </c>
      <c r="J1469" s="20">
        <v>12</v>
      </c>
      <c r="K1469" s="20">
        <v>2589</v>
      </c>
      <c r="L1469" s="3" t="str">
        <f t="shared" si="45"/>
        <v>ΒΑΜΒΑΚΙ</v>
      </c>
    </row>
    <row r="1470" spans="1:12" s="3" customFormat="1" x14ac:dyDescent="0.25">
      <c r="A1470" s="3" t="str">
        <f t="shared" si="44"/>
        <v>ΒΑΜΒΑΚΙKK803</v>
      </c>
      <c r="B1470" s="18" t="s">
        <v>2016</v>
      </c>
      <c r="C1470" s="19" t="s">
        <v>2689</v>
      </c>
      <c r="D1470" s="6">
        <v>1513.82</v>
      </c>
      <c r="E1470" s="6">
        <v>1498.43</v>
      </c>
      <c r="F1470" s="6" t="s">
        <v>14</v>
      </c>
      <c r="G1470" s="8" t="s">
        <v>2690</v>
      </c>
      <c r="H1470" s="8" t="s">
        <v>27</v>
      </c>
      <c r="I1470" s="9">
        <v>4235</v>
      </c>
      <c r="J1470" s="20">
        <v>12</v>
      </c>
      <c r="K1470" s="20">
        <v>2590</v>
      </c>
      <c r="L1470" s="3" t="str">
        <f t="shared" si="45"/>
        <v>ΒΑΜΒΑΚΙ</v>
      </c>
    </row>
    <row r="1471" spans="1:12" s="3" customFormat="1" x14ac:dyDescent="0.25">
      <c r="A1471" s="3" t="str">
        <f t="shared" si="44"/>
        <v>ΒΑΜΒΑΚΙKK805</v>
      </c>
      <c r="B1471" s="18" t="s">
        <v>2016</v>
      </c>
      <c r="C1471" s="19" t="s">
        <v>2691</v>
      </c>
      <c r="D1471" s="6">
        <v>1513.82</v>
      </c>
      <c r="E1471" s="6">
        <v>1498.43</v>
      </c>
      <c r="F1471" s="6" t="s">
        <v>14</v>
      </c>
      <c r="G1471" s="8" t="s">
        <v>2692</v>
      </c>
      <c r="H1471" s="8" t="s">
        <v>27</v>
      </c>
      <c r="I1471" s="9">
        <v>4236</v>
      </c>
      <c r="J1471" s="20">
        <v>12</v>
      </c>
      <c r="K1471" s="20">
        <v>2592</v>
      </c>
      <c r="L1471" s="3" t="str">
        <f t="shared" si="45"/>
        <v>ΒΑΜΒΑΚΙ</v>
      </c>
    </row>
    <row r="1472" spans="1:12" s="3" customFormat="1" x14ac:dyDescent="0.25">
      <c r="A1472" s="3" t="str">
        <f t="shared" si="44"/>
        <v>ΒΑΜΒΑΚΙKK807</v>
      </c>
      <c r="B1472" s="18" t="s">
        <v>2016</v>
      </c>
      <c r="C1472" s="19" t="s">
        <v>2693</v>
      </c>
      <c r="D1472" s="6">
        <v>1513.82</v>
      </c>
      <c r="E1472" s="6">
        <v>1498.43</v>
      </c>
      <c r="F1472" s="6" t="s">
        <v>14</v>
      </c>
      <c r="G1472" s="8" t="s">
        <v>2694</v>
      </c>
      <c r="H1472" s="8" t="s">
        <v>27</v>
      </c>
      <c r="I1472" s="9">
        <v>4237</v>
      </c>
      <c r="J1472" s="20">
        <v>12</v>
      </c>
      <c r="K1472" s="20">
        <v>2593</v>
      </c>
      <c r="L1472" s="3" t="str">
        <f t="shared" si="45"/>
        <v>ΒΑΜΒΑΚΙ</v>
      </c>
    </row>
    <row r="1473" spans="1:12" s="3" customFormat="1" x14ac:dyDescent="0.25">
      <c r="A1473" s="3" t="str">
        <f t="shared" si="44"/>
        <v>ΒΑΜΒΑΚΙKK808</v>
      </c>
      <c r="B1473" s="18" t="s">
        <v>2016</v>
      </c>
      <c r="C1473" s="19" t="s">
        <v>2695</v>
      </c>
      <c r="D1473" s="6">
        <v>1513.82</v>
      </c>
      <c r="E1473" s="6">
        <v>1498.43</v>
      </c>
      <c r="F1473" s="6" t="s">
        <v>14</v>
      </c>
      <c r="G1473" s="8" t="s">
        <v>2696</v>
      </c>
      <c r="H1473" s="8" t="s">
        <v>27</v>
      </c>
      <c r="I1473" s="9">
        <v>4238</v>
      </c>
      <c r="J1473" s="20">
        <v>12</v>
      </c>
      <c r="K1473" s="20">
        <v>2594</v>
      </c>
      <c r="L1473" s="3" t="str">
        <f t="shared" si="45"/>
        <v>ΒΑΜΒΑΚΙ</v>
      </c>
    </row>
    <row r="1474" spans="1:12" s="3" customFormat="1" ht="24" x14ac:dyDescent="0.25">
      <c r="A1474" s="3" t="str">
        <f t="shared" si="44"/>
        <v>ΒΑΜΒΑΚΙCANDIA</v>
      </c>
      <c r="B1474" s="4" t="s">
        <v>2016</v>
      </c>
      <c r="C1474" s="5" t="s">
        <v>2697</v>
      </c>
      <c r="D1474" s="6">
        <v>1513.82</v>
      </c>
      <c r="E1474" s="6">
        <v>1498.43</v>
      </c>
      <c r="F1474" s="7" t="s">
        <v>14</v>
      </c>
      <c r="G1474" s="8" t="s">
        <v>2698</v>
      </c>
      <c r="H1474" s="8" t="s">
        <v>16</v>
      </c>
      <c r="I1474" s="9">
        <v>674</v>
      </c>
      <c r="J1474" s="10">
        <v>12</v>
      </c>
      <c r="K1474" s="10">
        <v>2678</v>
      </c>
      <c r="L1474" s="3" t="str">
        <f t="shared" si="45"/>
        <v>ΒΑΜΒΑΚΙ</v>
      </c>
    </row>
    <row r="1475" spans="1:12" s="3" customFormat="1" x14ac:dyDescent="0.25">
      <c r="A1475" s="3" t="str">
        <f t="shared" ref="A1475:A1538" si="46">_xlfn.CONCAT(B1475,C1475)</f>
        <v>ΒΑΜΒΑΚΙLAURA</v>
      </c>
      <c r="B1475" s="18" t="s">
        <v>2016</v>
      </c>
      <c r="C1475" s="19" t="s">
        <v>2699</v>
      </c>
      <c r="D1475" s="6">
        <v>1513.82</v>
      </c>
      <c r="E1475" s="6">
        <v>1498.43</v>
      </c>
      <c r="F1475" s="6" t="s">
        <v>14</v>
      </c>
      <c r="G1475" s="8" t="s">
        <v>2700</v>
      </c>
      <c r="H1475" s="8" t="s">
        <v>27</v>
      </c>
      <c r="I1475" s="9">
        <v>4263</v>
      </c>
      <c r="J1475" s="20">
        <v>12</v>
      </c>
      <c r="K1475" s="20">
        <v>2680</v>
      </c>
      <c r="L1475" s="3" t="str">
        <f t="shared" ref="L1475:L1538" si="47">IFERROR(SUBSTITUTE(SUBSTITUTE(SUBSTITUTE(SUBSTITUTE(SUBSTITUTE(B1475, "-", "_"), " ", "_"), ",", ""), "(", ""), ")", ""), B1475)</f>
        <v>ΒΑΜΒΑΚΙ</v>
      </c>
    </row>
    <row r="1476" spans="1:12" s="3" customFormat="1" x14ac:dyDescent="0.25">
      <c r="A1476" s="3" t="str">
        <f t="shared" si="46"/>
        <v>ΒΑΜΒΑΚΙNEFELI</v>
      </c>
      <c r="B1476" s="18" t="s">
        <v>2016</v>
      </c>
      <c r="C1476" s="19" t="s">
        <v>2701</v>
      </c>
      <c r="D1476" s="6">
        <v>1513.82</v>
      </c>
      <c r="E1476" s="6">
        <v>1498.43</v>
      </c>
      <c r="F1476" s="6" t="s">
        <v>14</v>
      </c>
      <c r="G1476" s="8" t="s">
        <v>2702</v>
      </c>
      <c r="H1476" s="8" t="s">
        <v>27</v>
      </c>
      <c r="I1476" s="9">
        <v>4264</v>
      </c>
      <c r="J1476" s="20">
        <v>12</v>
      </c>
      <c r="K1476" s="20">
        <v>2682</v>
      </c>
      <c r="L1476" s="3" t="str">
        <f t="shared" si="47"/>
        <v>ΒΑΜΒΑΚΙ</v>
      </c>
    </row>
    <row r="1477" spans="1:12" s="3" customFormat="1" x14ac:dyDescent="0.25">
      <c r="A1477" s="3" t="str">
        <f t="shared" si="46"/>
        <v>ΒΑΜΒΑΚΙKALLINA</v>
      </c>
      <c r="B1477" s="18" t="s">
        <v>2016</v>
      </c>
      <c r="C1477" s="19" t="s">
        <v>2703</v>
      </c>
      <c r="D1477" s="6">
        <v>1513.82</v>
      </c>
      <c r="E1477" s="6">
        <v>1498.43</v>
      </c>
      <c r="F1477" s="6" t="s">
        <v>14</v>
      </c>
      <c r="G1477" s="8" t="s">
        <v>2704</v>
      </c>
      <c r="H1477" s="8" t="s">
        <v>27</v>
      </c>
      <c r="I1477" s="9">
        <v>4239</v>
      </c>
      <c r="J1477" s="20">
        <v>12</v>
      </c>
      <c r="K1477" s="20">
        <v>2878</v>
      </c>
      <c r="L1477" s="3" t="str">
        <f t="shared" si="47"/>
        <v>ΒΑΜΒΑΚΙ</v>
      </c>
    </row>
    <row r="1478" spans="1:12" s="3" customFormat="1" ht="24" x14ac:dyDescent="0.25">
      <c r="A1478" s="3" t="str">
        <f t="shared" si="46"/>
        <v>ΒΑΜΒΑΚΙELSA</v>
      </c>
      <c r="B1478" s="4" t="s">
        <v>2016</v>
      </c>
      <c r="C1478" s="5" t="s">
        <v>2705</v>
      </c>
      <c r="D1478" s="6">
        <v>1513.82</v>
      </c>
      <c r="E1478" s="6">
        <v>1498.43</v>
      </c>
      <c r="F1478" s="7" t="s">
        <v>14</v>
      </c>
      <c r="G1478" s="8" t="s">
        <v>2706</v>
      </c>
      <c r="H1478" s="8" t="s">
        <v>16</v>
      </c>
      <c r="I1478" s="9">
        <v>708</v>
      </c>
      <c r="J1478" s="10">
        <v>12</v>
      </c>
      <c r="K1478" s="10">
        <v>2879</v>
      </c>
      <c r="L1478" s="3" t="str">
        <f t="shared" si="47"/>
        <v>ΒΑΜΒΑΚΙ</v>
      </c>
    </row>
    <row r="1479" spans="1:12" s="3" customFormat="1" ht="24" x14ac:dyDescent="0.25">
      <c r="A1479" s="3" t="str">
        <f t="shared" si="46"/>
        <v>ΒΑΜΒΑΚΙAPHRICA</v>
      </c>
      <c r="B1479" s="4" t="s">
        <v>2016</v>
      </c>
      <c r="C1479" s="5" t="s">
        <v>2707</v>
      </c>
      <c r="D1479" s="6">
        <v>1513.82</v>
      </c>
      <c r="E1479" s="6">
        <v>1498.43</v>
      </c>
      <c r="F1479" s="7" t="s">
        <v>14</v>
      </c>
      <c r="G1479" s="8" t="s">
        <v>2708</v>
      </c>
      <c r="H1479" s="8" t="s">
        <v>16</v>
      </c>
      <c r="I1479" s="9">
        <v>707</v>
      </c>
      <c r="J1479" s="10">
        <v>12</v>
      </c>
      <c r="K1479" s="10">
        <v>2880</v>
      </c>
      <c r="L1479" s="3" t="str">
        <f t="shared" si="47"/>
        <v>ΒΑΜΒΑΚΙ</v>
      </c>
    </row>
    <row r="1480" spans="1:12" s="3" customFormat="1" x14ac:dyDescent="0.25">
      <c r="A1480" s="3" t="str">
        <f t="shared" si="46"/>
        <v>ΒΑΜΒΑΚΙLAMBADA</v>
      </c>
      <c r="B1480" s="4" t="s">
        <v>2016</v>
      </c>
      <c r="C1480" s="5" t="s">
        <v>2709</v>
      </c>
      <c r="D1480" s="6">
        <v>1513.82</v>
      </c>
      <c r="E1480" s="6">
        <v>1498.43</v>
      </c>
      <c r="F1480" s="7" t="s">
        <v>14</v>
      </c>
      <c r="G1480" s="8" t="s">
        <v>2710</v>
      </c>
      <c r="H1480" s="8" t="s">
        <v>27</v>
      </c>
      <c r="I1480" s="9">
        <v>706</v>
      </c>
      <c r="J1480" s="10">
        <v>12</v>
      </c>
      <c r="K1480" s="10">
        <v>2881</v>
      </c>
      <c r="L1480" s="3" t="str">
        <f t="shared" si="47"/>
        <v>ΒΑΜΒΑΚΙ</v>
      </c>
    </row>
    <row r="1481" spans="1:12" s="3" customFormat="1" ht="24" x14ac:dyDescent="0.25">
      <c r="A1481" s="3" t="str">
        <f t="shared" si="46"/>
        <v>ΒΑΜΒΑΚΙST 405</v>
      </c>
      <c r="B1481" s="4" t="s">
        <v>2016</v>
      </c>
      <c r="C1481" s="5" t="s">
        <v>2711</v>
      </c>
      <c r="D1481" s="6">
        <v>1513.82</v>
      </c>
      <c r="E1481" s="6">
        <v>1498.43</v>
      </c>
      <c r="F1481" s="7" t="s">
        <v>14</v>
      </c>
      <c r="G1481" s="8" t="s">
        <v>2712</v>
      </c>
      <c r="H1481" s="8" t="s">
        <v>16</v>
      </c>
      <c r="I1481" s="9">
        <v>705</v>
      </c>
      <c r="J1481" s="10">
        <v>12</v>
      </c>
      <c r="K1481" s="10">
        <v>2882</v>
      </c>
      <c r="L1481" s="3" t="str">
        <f t="shared" si="47"/>
        <v>ΒΑΜΒΑΚΙ</v>
      </c>
    </row>
    <row r="1482" spans="1:12" s="3" customFormat="1" ht="24" x14ac:dyDescent="0.25">
      <c r="A1482" s="3" t="str">
        <f t="shared" si="46"/>
        <v>ΒΑΜΒΑΚΙSELECT</v>
      </c>
      <c r="B1482" s="4" t="s">
        <v>2016</v>
      </c>
      <c r="C1482" s="5" t="s">
        <v>2713</v>
      </c>
      <c r="D1482" s="6">
        <v>1513.82</v>
      </c>
      <c r="E1482" s="6">
        <v>1498.43</v>
      </c>
      <c r="F1482" s="7" t="s">
        <v>14</v>
      </c>
      <c r="G1482" s="8" t="s">
        <v>2714</v>
      </c>
      <c r="H1482" s="8" t="s">
        <v>16</v>
      </c>
      <c r="I1482" s="9">
        <v>704</v>
      </c>
      <c r="J1482" s="10">
        <v>12</v>
      </c>
      <c r="K1482" s="10">
        <v>2883</v>
      </c>
      <c r="L1482" s="3" t="str">
        <f t="shared" si="47"/>
        <v>ΒΑΜΒΑΚΙ</v>
      </c>
    </row>
    <row r="1483" spans="1:12" s="3" customFormat="1" ht="24" x14ac:dyDescent="0.25">
      <c r="A1483" s="3" t="str">
        <f t="shared" si="46"/>
        <v>ΒΑΜΒΑΚΙATLANDA</v>
      </c>
      <c r="B1483" s="4" t="s">
        <v>2016</v>
      </c>
      <c r="C1483" s="5" t="s">
        <v>2715</v>
      </c>
      <c r="D1483" s="6">
        <v>1513.82</v>
      </c>
      <c r="E1483" s="6">
        <v>1498.43</v>
      </c>
      <c r="F1483" s="7" t="s">
        <v>14</v>
      </c>
      <c r="G1483" s="8" t="s">
        <v>2716</v>
      </c>
      <c r="H1483" s="8" t="s">
        <v>16</v>
      </c>
      <c r="I1483" s="9">
        <v>703</v>
      </c>
      <c r="J1483" s="10">
        <v>12</v>
      </c>
      <c r="K1483" s="10">
        <v>2884</v>
      </c>
      <c r="L1483" s="3" t="str">
        <f t="shared" si="47"/>
        <v>ΒΑΜΒΑΚΙ</v>
      </c>
    </row>
    <row r="1484" spans="1:12" s="3" customFormat="1" ht="24" x14ac:dyDescent="0.25">
      <c r="A1484" s="3" t="str">
        <f t="shared" si="46"/>
        <v>ΒΑΜΒΑΚΙEVITA</v>
      </c>
      <c r="B1484" s="4" t="s">
        <v>2016</v>
      </c>
      <c r="C1484" s="5" t="s">
        <v>2717</v>
      </c>
      <c r="D1484" s="6">
        <v>1513.82</v>
      </c>
      <c r="E1484" s="6">
        <v>1498.43</v>
      </c>
      <c r="F1484" s="7" t="s">
        <v>14</v>
      </c>
      <c r="G1484" s="8" t="s">
        <v>2718</v>
      </c>
      <c r="H1484" s="8" t="s">
        <v>16</v>
      </c>
      <c r="I1484" s="9">
        <v>702</v>
      </c>
      <c r="J1484" s="10">
        <v>12</v>
      </c>
      <c r="K1484" s="10">
        <v>2885</v>
      </c>
      <c r="L1484" s="3" t="str">
        <f t="shared" si="47"/>
        <v>ΒΑΜΒΑΚΙ</v>
      </c>
    </row>
    <row r="1485" spans="1:12" s="3" customFormat="1" ht="24" x14ac:dyDescent="0.25">
      <c r="A1485" s="3" t="str">
        <f t="shared" si="46"/>
        <v>ΒΑΜΒΑΚΙJULIA</v>
      </c>
      <c r="B1485" s="4" t="s">
        <v>2016</v>
      </c>
      <c r="C1485" s="5" t="s">
        <v>2719</v>
      </c>
      <c r="D1485" s="6">
        <v>1513.82</v>
      </c>
      <c r="E1485" s="6">
        <v>1498.43</v>
      </c>
      <c r="F1485" s="7" t="s">
        <v>14</v>
      </c>
      <c r="G1485" s="8" t="s">
        <v>2720</v>
      </c>
      <c r="H1485" s="8" t="s">
        <v>16</v>
      </c>
      <c r="I1485" s="9">
        <v>656</v>
      </c>
      <c r="J1485" s="10">
        <v>12</v>
      </c>
      <c r="K1485" s="10">
        <v>2886</v>
      </c>
      <c r="L1485" s="3" t="str">
        <f t="shared" si="47"/>
        <v>ΒΑΜΒΑΚΙ</v>
      </c>
    </row>
    <row r="1486" spans="1:12" s="3" customFormat="1" ht="24" x14ac:dyDescent="0.25">
      <c r="A1486" s="3" t="str">
        <f t="shared" si="46"/>
        <v>ΒΑΜΒΑΚΙCARMEN</v>
      </c>
      <c r="B1486" s="4" t="s">
        <v>2016</v>
      </c>
      <c r="C1486" s="5" t="s">
        <v>2721</v>
      </c>
      <c r="D1486" s="6">
        <v>1513.82</v>
      </c>
      <c r="E1486" s="6">
        <v>1498.43</v>
      </c>
      <c r="F1486" s="7" t="s">
        <v>14</v>
      </c>
      <c r="G1486" s="8" t="s">
        <v>2722</v>
      </c>
      <c r="H1486" s="8" t="s">
        <v>16</v>
      </c>
      <c r="I1486" s="9">
        <v>655</v>
      </c>
      <c r="J1486" s="10">
        <v>12</v>
      </c>
      <c r="K1486" s="10">
        <v>2888</v>
      </c>
      <c r="L1486" s="3" t="str">
        <f t="shared" si="47"/>
        <v>ΒΑΜΒΑΚΙ</v>
      </c>
    </row>
    <row r="1487" spans="1:12" s="3" customFormat="1" ht="24" x14ac:dyDescent="0.25">
      <c r="A1487" s="3" t="str">
        <f t="shared" si="46"/>
        <v>ΒΑΜΒΑΚΙCLAUDIA</v>
      </c>
      <c r="B1487" s="4" t="s">
        <v>2016</v>
      </c>
      <c r="C1487" s="5" t="s">
        <v>2723</v>
      </c>
      <c r="D1487" s="6">
        <v>1513.82</v>
      </c>
      <c r="E1487" s="6">
        <v>1498.43</v>
      </c>
      <c r="F1487" s="7" t="s">
        <v>14</v>
      </c>
      <c r="G1487" s="8" t="s">
        <v>2724</v>
      </c>
      <c r="H1487" s="8" t="s">
        <v>16</v>
      </c>
      <c r="I1487" s="9">
        <v>654</v>
      </c>
      <c r="J1487" s="10">
        <v>12</v>
      </c>
      <c r="K1487" s="10">
        <v>2889</v>
      </c>
      <c r="L1487" s="3" t="str">
        <f t="shared" si="47"/>
        <v>ΒΑΜΒΑΚΙ</v>
      </c>
    </row>
    <row r="1488" spans="1:12" s="3" customFormat="1" ht="24" x14ac:dyDescent="0.25">
      <c r="A1488" s="3" t="str">
        <f t="shared" si="46"/>
        <v>ΒΑΜΒΑΚΙDP 396</v>
      </c>
      <c r="B1488" s="4" t="s">
        <v>2016</v>
      </c>
      <c r="C1488" s="5" t="s">
        <v>2725</v>
      </c>
      <c r="D1488" s="6">
        <v>1513.82</v>
      </c>
      <c r="E1488" s="6">
        <v>1498.43</v>
      </c>
      <c r="F1488" s="7" t="s">
        <v>14</v>
      </c>
      <c r="G1488" s="8" t="s">
        <v>2726</v>
      </c>
      <c r="H1488" s="8" t="s">
        <v>16</v>
      </c>
      <c r="I1488" s="9">
        <v>653</v>
      </c>
      <c r="J1488" s="10">
        <v>12</v>
      </c>
      <c r="K1488" s="10">
        <v>2890</v>
      </c>
      <c r="L1488" s="3" t="str">
        <f t="shared" si="47"/>
        <v>ΒΑΜΒΑΚΙ</v>
      </c>
    </row>
    <row r="1489" spans="1:12" s="3" customFormat="1" ht="24" x14ac:dyDescent="0.25">
      <c r="A1489" s="3" t="str">
        <f t="shared" si="46"/>
        <v>ΒΑΜΒΑΚΙALBARIZA</v>
      </c>
      <c r="B1489" s="4" t="s">
        <v>2016</v>
      </c>
      <c r="C1489" s="5" t="s">
        <v>2727</v>
      </c>
      <c r="D1489" s="6">
        <v>1513.82</v>
      </c>
      <c r="E1489" s="6">
        <v>1498.43</v>
      </c>
      <c r="F1489" s="7" t="s">
        <v>14</v>
      </c>
      <c r="G1489" s="8" t="s">
        <v>2728</v>
      </c>
      <c r="H1489" s="8" t="s">
        <v>16</v>
      </c>
      <c r="I1489" s="9">
        <v>652</v>
      </c>
      <c r="J1489" s="10">
        <v>12</v>
      </c>
      <c r="K1489" s="10">
        <v>2891</v>
      </c>
      <c r="L1489" s="3" t="str">
        <f t="shared" si="47"/>
        <v>ΒΑΜΒΑΚΙ</v>
      </c>
    </row>
    <row r="1490" spans="1:12" s="3" customFormat="1" x14ac:dyDescent="0.25">
      <c r="A1490" s="3" t="str">
        <f t="shared" si="46"/>
        <v>ΒΑΜΒΑΚΙTOSCA</v>
      </c>
      <c r="B1490" s="4" t="s">
        <v>2016</v>
      </c>
      <c r="C1490" s="5" t="s">
        <v>2729</v>
      </c>
      <c r="D1490" s="6">
        <v>1513.82</v>
      </c>
      <c r="E1490" s="6">
        <v>1498.43</v>
      </c>
      <c r="F1490" s="7" t="s">
        <v>14</v>
      </c>
      <c r="G1490" s="8" t="s">
        <v>2730</v>
      </c>
      <c r="H1490" s="8" t="s">
        <v>27</v>
      </c>
      <c r="I1490" s="9">
        <v>651</v>
      </c>
      <c r="J1490" s="10">
        <v>12</v>
      </c>
      <c r="K1490" s="10">
        <v>2892</v>
      </c>
      <c r="L1490" s="3" t="str">
        <f t="shared" si="47"/>
        <v>ΒΑΜΒΑΚΙ</v>
      </c>
    </row>
    <row r="1491" spans="1:12" s="3" customFormat="1" x14ac:dyDescent="0.25">
      <c r="A1491" s="3" t="str">
        <f t="shared" si="46"/>
        <v>ΒΑΜΒΑΚΙINTERCOTT 211</v>
      </c>
      <c r="B1491" s="18" t="s">
        <v>2016</v>
      </c>
      <c r="C1491" s="19" t="s">
        <v>2731</v>
      </c>
      <c r="D1491" s="6">
        <v>1513.82</v>
      </c>
      <c r="E1491" s="6">
        <v>1498.43</v>
      </c>
      <c r="F1491" s="6" t="s">
        <v>14</v>
      </c>
      <c r="G1491" s="8" t="s">
        <v>2732</v>
      </c>
      <c r="H1491" s="8" t="s">
        <v>27</v>
      </c>
      <c r="I1491" s="9">
        <v>4265</v>
      </c>
      <c r="J1491" s="20">
        <v>12</v>
      </c>
      <c r="K1491" s="20">
        <v>2893</v>
      </c>
      <c r="L1491" s="3" t="str">
        <f t="shared" si="47"/>
        <v>ΒΑΜΒΑΚΙ</v>
      </c>
    </row>
    <row r="1492" spans="1:12" s="3" customFormat="1" ht="24" x14ac:dyDescent="0.25">
      <c r="A1492" s="3" t="str">
        <f t="shared" si="46"/>
        <v>ΒΑΜΒΑΚΙDP 332</v>
      </c>
      <c r="B1492" s="4" t="s">
        <v>2016</v>
      </c>
      <c r="C1492" s="5" t="s">
        <v>2733</v>
      </c>
      <c r="D1492" s="6">
        <v>1513.82</v>
      </c>
      <c r="E1492" s="6">
        <v>1498.43</v>
      </c>
      <c r="F1492" s="7" t="s">
        <v>14</v>
      </c>
      <c r="G1492" s="8" t="s">
        <v>2734</v>
      </c>
      <c r="H1492" s="8" t="s">
        <v>16</v>
      </c>
      <c r="I1492" s="9">
        <v>638</v>
      </c>
      <c r="J1492" s="10">
        <v>12</v>
      </c>
      <c r="K1492" s="10">
        <v>2894</v>
      </c>
      <c r="L1492" s="3" t="str">
        <f t="shared" si="47"/>
        <v>ΒΑΜΒΑΚΙ</v>
      </c>
    </row>
    <row r="1493" spans="1:12" s="3" customFormat="1" ht="24" x14ac:dyDescent="0.25">
      <c r="A1493" s="3" t="str">
        <f t="shared" si="46"/>
        <v>ΒΑΜΒΑΚΙBETICA</v>
      </c>
      <c r="B1493" s="4" t="s">
        <v>2016</v>
      </c>
      <c r="C1493" s="5" t="s">
        <v>2735</v>
      </c>
      <c r="D1493" s="6">
        <v>1513.82</v>
      </c>
      <c r="E1493" s="6">
        <v>1498.43</v>
      </c>
      <c r="F1493" s="7" t="s">
        <v>14</v>
      </c>
      <c r="G1493" s="8" t="s">
        <v>2736</v>
      </c>
      <c r="H1493" s="8" t="s">
        <v>16</v>
      </c>
      <c r="I1493" s="9">
        <v>649</v>
      </c>
      <c r="J1493" s="10">
        <v>12</v>
      </c>
      <c r="K1493" s="10">
        <v>2895</v>
      </c>
      <c r="L1493" s="3" t="str">
        <f t="shared" si="47"/>
        <v>ΒΑΜΒΑΚΙ</v>
      </c>
    </row>
    <row r="1494" spans="1:12" s="3" customFormat="1" ht="24" x14ac:dyDescent="0.25">
      <c r="A1494" s="3" t="str">
        <f t="shared" si="46"/>
        <v>ΒΑΜΒΑΚΙST 478</v>
      </c>
      <c r="B1494" s="4" t="s">
        <v>2016</v>
      </c>
      <c r="C1494" s="5" t="s">
        <v>2737</v>
      </c>
      <c r="D1494" s="6">
        <v>1513.82</v>
      </c>
      <c r="E1494" s="6">
        <v>1498.43</v>
      </c>
      <c r="F1494" s="7" t="s">
        <v>14</v>
      </c>
      <c r="G1494" s="8" t="s">
        <v>2738</v>
      </c>
      <c r="H1494" s="8" t="s">
        <v>16</v>
      </c>
      <c r="I1494" s="9">
        <v>661</v>
      </c>
      <c r="J1494" s="10">
        <v>12</v>
      </c>
      <c r="K1494" s="10">
        <v>2896</v>
      </c>
      <c r="L1494" s="3" t="str">
        <f t="shared" si="47"/>
        <v>ΒΑΜΒΑΚΙ</v>
      </c>
    </row>
    <row r="1495" spans="1:12" s="3" customFormat="1" x14ac:dyDescent="0.25">
      <c r="A1495" s="3" t="str">
        <f t="shared" si="46"/>
        <v>ΒΑΜΒΑΚΙDP 402</v>
      </c>
      <c r="B1495" s="18" t="s">
        <v>2016</v>
      </c>
      <c r="C1495" s="19" t="s">
        <v>2739</v>
      </c>
      <c r="D1495" s="6">
        <v>1513.82</v>
      </c>
      <c r="E1495" s="6">
        <v>1498.43</v>
      </c>
      <c r="F1495" s="6" t="s">
        <v>14</v>
      </c>
      <c r="G1495" s="8" t="s">
        <v>2740</v>
      </c>
      <c r="H1495" s="8" t="s">
        <v>27</v>
      </c>
      <c r="I1495" s="9">
        <v>4266</v>
      </c>
      <c r="J1495" s="20">
        <v>12</v>
      </c>
      <c r="K1495" s="20">
        <v>2897</v>
      </c>
      <c r="L1495" s="3" t="str">
        <f t="shared" si="47"/>
        <v>ΒΑΜΒΑΚΙ</v>
      </c>
    </row>
    <row r="1496" spans="1:12" s="3" customFormat="1" x14ac:dyDescent="0.25">
      <c r="A1496" s="3" t="str">
        <f t="shared" si="46"/>
        <v>ΒΑΜΒΑΚΙST 363</v>
      </c>
      <c r="B1496" s="18" t="s">
        <v>2016</v>
      </c>
      <c r="C1496" s="19" t="s">
        <v>2741</v>
      </c>
      <c r="D1496" s="6">
        <v>1513.82</v>
      </c>
      <c r="E1496" s="6">
        <v>1498.43</v>
      </c>
      <c r="F1496" s="6" t="s">
        <v>14</v>
      </c>
      <c r="G1496" s="8" t="s">
        <v>2742</v>
      </c>
      <c r="H1496" s="8" t="s">
        <v>27</v>
      </c>
      <c r="I1496" s="9">
        <v>4267</v>
      </c>
      <c r="J1496" s="20">
        <v>12</v>
      </c>
      <c r="K1496" s="20">
        <v>2898</v>
      </c>
      <c r="L1496" s="3" t="str">
        <f t="shared" si="47"/>
        <v>ΒΑΜΒΑΚΙ</v>
      </c>
    </row>
    <row r="1497" spans="1:12" s="3" customFormat="1" x14ac:dyDescent="0.25">
      <c r="A1497" s="3" t="str">
        <f t="shared" si="46"/>
        <v>ΒΑΜΒΑΚΙDP 349</v>
      </c>
      <c r="B1497" s="18" t="s">
        <v>2016</v>
      </c>
      <c r="C1497" s="19" t="s">
        <v>2743</v>
      </c>
      <c r="D1497" s="6">
        <v>1513.82</v>
      </c>
      <c r="E1497" s="6">
        <v>1498.43</v>
      </c>
      <c r="F1497" s="6" t="s">
        <v>14</v>
      </c>
      <c r="G1497" s="8" t="s">
        <v>2744</v>
      </c>
      <c r="H1497" s="8" t="s">
        <v>27</v>
      </c>
      <c r="I1497" s="9">
        <v>4268</v>
      </c>
      <c r="J1497" s="20">
        <v>12</v>
      </c>
      <c r="K1497" s="20">
        <v>2899</v>
      </c>
      <c r="L1497" s="3" t="str">
        <f t="shared" si="47"/>
        <v>ΒΑΜΒΑΚΙ</v>
      </c>
    </row>
    <row r="1498" spans="1:12" s="3" customFormat="1" x14ac:dyDescent="0.25">
      <c r="A1498" s="3" t="str">
        <f t="shared" si="46"/>
        <v>ΒΑΜΒΑΚΙCRUIS</v>
      </c>
      <c r="B1498" s="18" t="s">
        <v>2016</v>
      </c>
      <c r="C1498" s="19" t="s">
        <v>2745</v>
      </c>
      <c r="D1498" s="6">
        <v>1513.82</v>
      </c>
      <c r="E1498" s="6">
        <v>1498.43</v>
      </c>
      <c r="F1498" s="6" t="s">
        <v>14</v>
      </c>
      <c r="G1498" s="8" t="s">
        <v>2746</v>
      </c>
      <c r="H1498" s="8" t="s">
        <v>27</v>
      </c>
      <c r="I1498" s="9">
        <v>4269</v>
      </c>
      <c r="J1498" s="20">
        <v>12</v>
      </c>
      <c r="K1498" s="20">
        <v>2900</v>
      </c>
      <c r="L1498" s="3" t="str">
        <f t="shared" si="47"/>
        <v>ΒΑΜΒΑΚΙ</v>
      </c>
    </row>
    <row r="1499" spans="1:12" s="3" customFormat="1" ht="24" x14ac:dyDescent="0.25">
      <c r="A1499" s="3" t="str">
        <f t="shared" si="46"/>
        <v>ΒΑΜΒΑΚΙSAVINA</v>
      </c>
      <c r="B1499" s="4" t="s">
        <v>2016</v>
      </c>
      <c r="C1499" s="5" t="s">
        <v>2747</v>
      </c>
      <c r="D1499" s="6">
        <v>1513.82</v>
      </c>
      <c r="E1499" s="6">
        <v>1498.43</v>
      </c>
      <c r="F1499" s="7" t="s">
        <v>14</v>
      </c>
      <c r="G1499" s="8" t="s">
        <v>2748</v>
      </c>
      <c r="H1499" s="8" t="s">
        <v>16</v>
      </c>
      <c r="I1499" s="9">
        <v>647</v>
      </c>
      <c r="J1499" s="10">
        <v>12</v>
      </c>
      <c r="K1499" s="10">
        <v>2901</v>
      </c>
      <c r="L1499" s="3" t="str">
        <f t="shared" si="47"/>
        <v>ΒΑΜΒΑΚΙ</v>
      </c>
    </row>
    <row r="1500" spans="1:12" s="3" customFormat="1" ht="24" x14ac:dyDescent="0.25">
      <c r="A1500" s="3" t="str">
        <f t="shared" si="46"/>
        <v>ΒΑΜΒΑΚΙHERSI</v>
      </c>
      <c r="B1500" s="4" t="s">
        <v>2016</v>
      </c>
      <c r="C1500" s="5" t="s">
        <v>2749</v>
      </c>
      <c r="D1500" s="6">
        <v>1513.82</v>
      </c>
      <c r="E1500" s="6">
        <v>1498.43</v>
      </c>
      <c r="F1500" s="7" t="s">
        <v>14</v>
      </c>
      <c r="G1500" s="8" t="s">
        <v>2750</v>
      </c>
      <c r="H1500" s="8" t="s">
        <v>16</v>
      </c>
      <c r="I1500" s="9">
        <v>646</v>
      </c>
      <c r="J1500" s="10">
        <v>12</v>
      </c>
      <c r="K1500" s="10">
        <v>2902</v>
      </c>
      <c r="L1500" s="3" t="str">
        <f t="shared" si="47"/>
        <v>ΒΑΜΒΑΚΙ</v>
      </c>
    </row>
    <row r="1501" spans="1:12" s="3" customFormat="1" x14ac:dyDescent="0.25">
      <c r="A1501" s="3" t="str">
        <f t="shared" si="46"/>
        <v>ΒΑΜΒΑΚΙSPEED R1</v>
      </c>
      <c r="B1501" s="18" t="s">
        <v>2016</v>
      </c>
      <c r="C1501" s="19" t="s">
        <v>2751</v>
      </c>
      <c r="D1501" s="6">
        <v>1513.82</v>
      </c>
      <c r="E1501" s="6">
        <v>1498.43</v>
      </c>
      <c r="F1501" s="6" t="s">
        <v>14</v>
      </c>
      <c r="G1501" s="8" t="s">
        <v>2752</v>
      </c>
      <c r="H1501" s="8" t="s">
        <v>27</v>
      </c>
      <c r="I1501" s="9">
        <v>4270</v>
      </c>
      <c r="J1501" s="20">
        <v>12</v>
      </c>
      <c r="K1501" s="20">
        <v>2903</v>
      </c>
      <c r="L1501" s="3" t="str">
        <f t="shared" si="47"/>
        <v>ΒΑΜΒΑΚΙ</v>
      </c>
    </row>
    <row r="1502" spans="1:12" s="3" customFormat="1" ht="24" x14ac:dyDescent="0.25">
      <c r="A1502" s="3" t="str">
        <f t="shared" si="46"/>
        <v>ΒΑΜΒΑΚΙDP 401</v>
      </c>
      <c r="B1502" s="4" t="s">
        <v>2016</v>
      </c>
      <c r="C1502" s="5" t="s">
        <v>2753</v>
      </c>
      <c r="D1502" s="6">
        <v>1513.82</v>
      </c>
      <c r="E1502" s="6">
        <v>1498.43</v>
      </c>
      <c r="F1502" s="7" t="s">
        <v>14</v>
      </c>
      <c r="G1502" s="8" t="s">
        <v>2754</v>
      </c>
      <c r="H1502" s="8" t="s">
        <v>16</v>
      </c>
      <c r="I1502" s="9">
        <v>645</v>
      </c>
      <c r="J1502" s="10">
        <v>12</v>
      </c>
      <c r="K1502" s="10">
        <v>2904</v>
      </c>
      <c r="L1502" s="3" t="str">
        <f t="shared" si="47"/>
        <v>ΒΑΜΒΑΚΙ</v>
      </c>
    </row>
    <row r="1503" spans="1:12" s="3" customFormat="1" ht="24" x14ac:dyDescent="0.25">
      <c r="A1503" s="3" t="str">
        <f t="shared" si="46"/>
        <v>ΒΑΜΒΑΚΙZETA 2</v>
      </c>
      <c r="B1503" s="4" t="s">
        <v>2016</v>
      </c>
      <c r="C1503" s="5" t="s">
        <v>2755</v>
      </c>
      <c r="D1503" s="6">
        <v>1513.82</v>
      </c>
      <c r="E1503" s="6">
        <v>1498.43</v>
      </c>
      <c r="F1503" s="7" t="s">
        <v>14</v>
      </c>
      <c r="G1503" s="8" t="s">
        <v>2756</v>
      </c>
      <c r="H1503" s="8" t="s">
        <v>16</v>
      </c>
      <c r="I1503" s="9">
        <v>683</v>
      </c>
      <c r="J1503" s="10">
        <v>12</v>
      </c>
      <c r="K1503" s="10">
        <v>664</v>
      </c>
      <c r="L1503" s="3" t="str">
        <f t="shared" si="47"/>
        <v>ΒΑΜΒΑΚΙ</v>
      </c>
    </row>
    <row r="1504" spans="1:12" s="3" customFormat="1" x14ac:dyDescent="0.25">
      <c r="A1504" s="3" t="str">
        <f t="shared" si="46"/>
        <v>ΒΑΜΒΑΚΙZETA 5</v>
      </c>
      <c r="B1504" s="18" t="s">
        <v>2016</v>
      </c>
      <c r="C1504" s="19" t="s">
        <v>2757</v>
      </c>
      <c r="D1504" s="6">
        <v>1513.82</v>
      </c>
      <c r="E1504" s="6">
        <v>1498.43</v>
      </c>
      <c r="F1504" s="6" t="s">
        <v>14</v>
      </c>
      <c r="G1504" s="8" t="s">
        <v>2758</v>
      </c>
      <c r="H1504" s="8" t="s">
        <v>27</v>
      </c>
      <c r="I1504" s="9">
        <v>4116</v>
      </c>
      <c r="J1504" s="20">
        <v>12</v>
      </c>
      <c r="K1504" s="20">
        <v>665</v>
      </c>
      <c r="L1504" s="3" t="str">
        <f t="shared" si="47"/>
        <v>ΒΑΜΒΑΚΙ</v>
      </c>
    </row>
    <row r="1505" spans="1:12" s="3" customFormat="1" x14ac:dyDescent="0.25">
      <c r="A1505" s="3" t="str">
        <f t="shared" si="46"/>
        <v>ΒΑΜΒΑΚΙΒΑΜΒΑΚΙ ΞΗΡΙΚΟ</v>
      </c>
      <c r="B1505" s="18" t="s">
        <v>2016</v>
      </c>
      <c r="C1505" s="19" t="s">
        <v>2759</v>
      </c>
      <c r="D1505" s="6">
        <v>1513.82</v>
      </c>
      <c r="E1505" s="6">
        <v>1498.43</v>
      </c>
      <c r="F1505" s="6" t="s">
        <v>14</v>
      </c>
      <c r="G1505" s="8" t="s">
        <v>2760</v>
      </c>
      <c r="H1505" s="8" t="s">
        <v>27</v>
      </c>
      <c r="I1505" s="9">
        <v>4271</v>
      </c>
      <c r="J1505" s="20">
        <v>12</v>
      </c>
      <c r="K1505" s="20">
        <v>8108</v>
      </c>
      <c r="L1505" s="3" t="str">
        <f t="shared" si="47"/>
        <v>ΒΑΜΒΑΚΙ</v>
      </c>
    </row>
    <row r="1506" spans="1:12" s="3" customFormat="1" ht="24" x14ac:dyDescent="0.25">
      <c r="A1506" s="3" t="str">
        <f t="shared" si="46"/>
        <v>ΒΑΜΒΑΚΙST 402</v>
      </c>
      <c r="B1506" s="4" t="s">
        <v>2016</v>
      </c>
      <c r="C1506" s="5" t="s">
        <v>2761</v>
      </c>
      <c r="D1506" s="6">
        <v>1513.82</v>
      </c>
      <c r="E1506" s="6">
        <v>1498.43</v>
      </c>
      <c r="F1506" s="7" t="s">
        <v>14</v>
      </c>
      <c r="G1506" s="8" t="s">
        <v>2762</v>
      </c>
      <c r="H1506" s="8" t="s">
        <v>16</v>
      </c>
      <c r="I1506" s="9">
        <v>684</v>
      </c>
      <c r="J1506" s="10">
        <v>12</v>
      </c>
      <c r="K1506" s="10">
        <v>8667</v>
      </c>
      <c r="L1506" s="3" t="str">
        <f t="shared" si="47"/>
        <v>ΒΑΜΒΑΚΙ</v>
      </c>
    </row>
    <row r="1507" spans="1:12" s="3" customFormat="1" ht="24" x14ac:dyDescent="0.25">
      <c r="A1507" s="3" t="str">
        <f t="shared" si="46"/>
        <v>ΒΑΜΒΑΚΙST 318</v>
      </c>
      <c r="B1507" s="4" t="s">
        <v>2016</v>
      </c>
      <c r="C1507" s="5" t="s">
        <v>2763</v>
      </c>
      <c r="D1507" s="6">
        <v>1513.82</v>
      </c>
      <c r="E1507" s="6">
        <v>1498.43</v>
      </c>
      <c r="F1507" s="7" t="s">
        <v>14</v>
      </c>
      <c r="G1507" s="8" t="s">
        <v>2764</v>
      </c>
      <c r="H1507" s="8" t="s">
        <v>16</v>
      </c>
      <c r="I1507" s="9">
        <v>682</v>
      </c>
      <c r="J1507" s="10">
        <v>12</v>
      </c>
      <c r="K1507" s="10">
        <v>8668</v>
      </c>
      <c r="L1507" s="3" t="str">
        <f t="shared" si="47"/>
        <v>ΒΑΜΒΑΚΙ</v>
      </c>
    </row>
    <row r="1508" spans="1:12" s="3" customFormat="1" ht="24" x14ac:dyDescent="0.25">
      <c r="A1508" s="3" t="str">
        <f t="shared" si="46"/>
        <v>ΒΑΜΒΑΚΙST 474</v>
      </c>
      <c r="B1508" s="4" t="s">
        <v>2016</v>
      </c>
      <c r="C1508" s="5" t="s">
        <v>2765</v>
      </c>
      <c r="D1508" s="6">
        <v>1513.82</v>
      </c>
      <c r="E1508" s="6">
        <v>1498.43</v>
      </c>
      <c r="F1508" s="7" t="s">
        <v>14</v>
      </c>
      <c r="G1508" s="8" t="s">
        <v>2766</v>
      </c>
      <c r="H1508" s="8" t="s">
        <v>16</v>
      </c>
      <c r="I1508" s="9">
        <v>677</v>
      </c>
      <c r="J1508" s="10">
        <v>12</v>
      </c>
      <c r="K1508" s="10">
        <v>98110</v>
      </c>
      <c r="L1508" s="3" t="str">
        <f t="shared" si="47"/>
        <v>ΒΑΜΒΑΚΙ</v>
      </c>
    </row>
    <row r="1509" spans="1:12" s="3" customFormat="1" x14ac:dyDescent="0.25">
      <c r="A1509" s="3" t="str">
        <f t="shared" si="46"/>
        <v>ΒΑΜΒΑΚΙVERED 171</v>
      </c>
      <c r="B1509" s="18" t="s">
        <v>2016</v>
      </c>
      <c r="C1509" s="19" t="s">
        <v>2337</v>
      </c>
      <c r="D1509" s="6">
        <v>1513.82</v>
      </c>
      <c r="E1509" s="6">
        <v>1498.43</v>
      </c>
      <c r="F1509" s="6" t="s">
        <v>14</v>
      </c>
      <c r="G1509" s="8" t="s">
        <v>2767</v>
      </c>
      <c r="H1509" s="8" t="s">
        <v>27</v>
      </c>
      <c r="I1509" s="9">
        <v>4272</v>
      </c>
      <c r="J1509" s="20">
        <v>12</v>
      </c>
      <c r="K1509" s="20">
        <v>98111</v>
      </c>
      <c r="L1509" s="3" t="str">
        <f t="shared" si="47"/>
        <v>ΒΑΜΒΑΚΙ</v>
      </c>
    </row>
    <row r="1510" spans="1:12" s="3" customFormat="1" ht="24" x14ac:dyDescent="0.25">
      <c r="A1510" s="3" t="str">
        <f t="shared" si="46"/>
        <v>ΒΑΜΒΑΚΙNELI</v>
      </c>
      <c r="B1510" s="4" t="s">
        <v>2016</v>
      </c>
      <c r="C1510" s="5" t="s">
        <v>2768</v>
      </c>
      <c r="D1510" s="6">
        <v>1513.82</v>
      </c>
      <c r="E1510" s="6">
        <v>1498.43</v>
      </c>
      <c r="F1510" s="7" t="s">
        <v>14</v>
      </c>
      <c r="G1510" s="8" t="s">
        <v>2769</v>
      </c>
      <c r="H1510" s="8" t="s">
        <v>16</v>
      </c>
      <c r="I1510" s="9">
        <v>676</v>
      </c>
      <c r="J1510" s="10">
        <v>12</v>
      </c>
      <c r="K1510" s="10">
        <v>98112</v>
      </c>
      <c r="L1510" s="3" t="str">
        <f t="shared" si="47"/>
        <v>ΒΑΜΒΑΚΙ</v>
      </c>
    </row>
    <row r="1511" spans="1:12" s="3" customFormat="1" ht="24" x14ac:dyDescent="0.25">
      <c r="A1511" s="3" t="str">
        <f t="shared" si="46"/>
        <v>ΒΑΜΒΑΚΙFLASH</v>
      </c>
      <c r="B1511" s="4" t="s">
        <v>2016</v>
      </c>
      <c r="C1511" s="5" t="s">
        <v>2770</v>
      </c>
      <c r="D1511" s="6">
        <v>1513.82</v>
      </c>
      <c r="E1511" s="6">
        <v>1498.43</v>
      </c>
      <c r="F1511" s="7" t="s">
        <v>14</v>
      </c>
      <c r="G1511" s="8" t="s">
        <v>2771</v>
      </c>
      <c r="H1511" s="8" t="s">
        <v>16</v>
      </c>
      <c r="I1511" s="9">
        <v>675</v>
      </c>
      <c r="J1511" s="10">
        <v>12</v>
      </c>
      <c r="K1511" s="10">
        <v>98113</v>
      </c>
      <c r="L1511" s="3" t="str">
        <f t="shared" si="47"/>
        <v>ΒΑΜΒΑΚΙ</v>
      </c>
    </row>
    <row r="1512" spans="1:12" s="3" customFormat="1" ht="24" x14ac:dyDescent="0.25">
      <c r="A1512" s="3" t="str">
        <f t="shared" si="46"/>
        <v>ΒΑΜΒΑΚΙBEYAZ ALTIN 151</v>
      </c>
      <c r="B1512" s="4" t="s">
        <v>2016</v>
      </c>
      <c r="C1512" s="5" t="s">
        <v>2772</v>
      </c>
      <c r="D1512" s="6">
        <v>1513.82</v>
      </c>
      <c r="E1512" s="6">
        <v>1498.43</v>
      </c>
      <c r="F1512" s="7" t="s">
        <v>14</v>
      </c>
      <c r="G1512" s="8" t="s">
        <v>2773</v>
      </c>
      <c r="H1512" s="8" t="s">
        <v>16</v>
      </c>
      <c r="I1512" s="9">
        <v>662</v>
      </c>
      <c r="J1512" s="10">
        <v>12</v>
      </c>
      <c r="K1512" s="10">
        <v>98114</v>
      </c>
      <c r="L1512" s="3" t="str">
        <f t="shared" si="47"/>
        <v>ΒΑΜΒΑΚΙ</v>
      </c>
    </row>
    <row r="1513" spans="1:12" s="3" customFormat="1" ht="24" x14ac:dyDescent="0.25">
      <c r="A1513" s="3" t="str">
        <f t="shared" si="46"/>
        <v>ΒΑΜΒΑΚΙLYDIA</v>
      </c>
      <c r="B1513" s="4" t="s">
        <v>2016</v>
      </c>
      <c r="C1513" s="5" t="s">
        <v>2774</v>
      </c>
      <c r="D1513" s="6">
        <v>1513.82</v>
      </c>
      <c r="E1513" s="6">
        <v>1498.43</v>
      </c>
      <c r="F1513" s="7" t="s">
        <v>14</v>
      </c>
      <c r="G1513" s="8" t="s">
        <v>2775</v>
      </c>
      <c r="H1513" s="8" t="s">
        <v>16</v>
      </c>
      <c r="I1513" s="9">
        <v>673</v>
      </c>
      <c r="J1513" s="10">
        <v>12</v>
      </c>
      <c r="K1513" s="10">
        <v>98115</v>
      </c>
      <c r="L1513" s="3" t="str">
        <f t="shared" si="47"/>
        <v>ΒΑΜΒΑΚΙ</v>
      </c>
    </row>
    <row r="1514" spans="1:12" s="3" customFormat="1" ht="24" x14ac:dyDescent="0.25">
      <c r="A1514" s="3" t="str">
        <f t="shared" si="46"/>
        <v>ΒΑΜΒΑΚΙAMAZONA</v>
      </c>
      <c r="B1514" s="4" t="s">
        <v>2016</v>
      </c>
      <c r="C1514" s="5" t="s">
        <v>2776</v>
      </c>
      <c r="D1514" s="6">
        <v>1513.82</v>
      </c>
      <c r="E1514" s="6">
        <v>1498.43</v>
      </c>
      <c r="F1514" s="7" t="s">
        <v>14</v>
      </c>
      <c r="G1514" s="8" t="s">
        <v>2777</v>
      </c>
      <c r="H1514" s="8" t="s">
        <v>16</v>
      </c>
      <c r="I1514" s="9">
        <v>685</v>
      </c>
      <c r="J1514" s="10">
        <v>12</v>
      </c>
      <c r="K1514" s="10">
        <v>98116</v>
      </c>
      <c r="L1514" s="3" t="str">
        <f t="shared" si="47"/>
        <v>ΒΑΜΒΑΚΙ</v>
      </c>
    </row>
    <row r="1515" spans="1:12" s="3" customFormat="1" ht="24" x14ac:dyDescent="0.25">
      <c r="A1515" s="3" t="str">
        <f t="shared" si="46"/>
        <v>ΒΑΜΒΑΚΙNATASA</v>
      </c>
      <c r="B1515" s="4" t="s">
        <v>2016</v>
      </c>
      <c r="C1515" s="5" t="s">
        <v>2778</v>
      </c>
      <c r="D1515" s="6">
        <v>1513.82</v>
      </c>
      <c r="E1515" s="6">
        <v>1498.43</v>
      </c>
      <c r="F1515" s="7" t="s">
        <v>14</v>
      </c>
      <c r="G1515" s="8" t="s">
        <v>2779</v>
      </c>
      <c r="H1515" s="8" t="s">
        <v>16</v>
      </c>
      <c r="I1515" s="9">
        <v>671</v>
      </c>
      <c r="J1515" s="10">
        <v>12</v>
      </c>
      <c r="K1515" s="10">
        <v>98117</v>
      </c>
      <c r="L1515" s="3" t="str">
        <f t="shared" si="47"/>
        <v>ΒΑΜΒΑΚΙ</v>
      </c>
    </row>
    <row r="1516" spans="1:12" s="3" customFormat="1" ht="24" x14ac:dyDescent="0.25">
      <c r="A1516" s="3" t="str">
        <f t="shared" si="46"/>
        <v>ΒΑΜΒΑΚΙDP 377</v>
      </c>
      <c r="B1516" s="4" t="s">
        <v>2016</v>
      </c>
      <c r="C1516" s="5" t="s">
        <v>2780</v>
      </c>
      <c r="D1516" s="6">
        <v>1513.82</v>
      </c>
      <c r="E1516" s="6">
        <v>1498.43</v>
      </c>
      <c r="F1516" s="7" t="s">
        <v>14</v>
      </c>
      <c r="G1516" s="8" t="s">
        <v>2781</v>
      </c>
      <c r="H1516" s="8" t="s">
        <v>16</v>
      </c>
      <c r="I1516" s="9">
        <v>670</v>
      </c>
      <c r="J1516" s="10">
        <v>12</v>
      </c>
      <c r="K1516" s="10">
        <v>98118</v>
      </c>
      <c r="L1516" s="3" t="str">
        <f t="shared" si="47"/>
        <v>ΒΑΜΒΑΚΙ</v>
      </c>
    </row>
    <row r="1517" spans="1:12" s="3" customFormat="1" ht="24" x14ac:dyDescent="0.25">
      <c r="A1517" s="3" t="str">
        <f t="shared" si="46"/>
        <v>ΒΑΜΒΑΚΙPRG 9811</v>
      </c>
      <c r="B1517" s="4" t="s">
        <v>2016</v>
      </c>
      <c r="C1517" s="5" t="s">
        <v>2782</v>
      </c>
      <c r="D1517" s="6">
        <v>1513.82</v>
      </c>
      <c r="E1517" s="6">
        <v>1498.43</v>
      </c>
      <c r="F1517" s="7" t="s">
        <v>14</v>
      </c>
      <c r="G1517" s="8" t="s">
        <v>2783</v>
      </c>
      <c r="H1517" s="8" t="s">
        <v>16</v>
      </c>
      <c r="I1517" s="9">
        <v>669</v>
      </c>
      <c r="J1517" s="10">
        <v>12</v>
      </c>
      <c r="K1517" s="10">
        <v>98119</v>
      </c>
      <c r="L1517" s="3" t="str">
        <f t="shared" si="47"/>
        <v>ΒΑΜΒΑΚΙ</v>
      </c>
    </row>
    <row r="1518" spans="1:12" s="3" customFormat="1" ht="24" x14ac:dyDescent="0.25">
      <c r="A1518" s="3" t="str">
        <f t="shared" si="46"/>
        <v>ΒΑΜΒΑΚΙCOKO</v>
      </c>
      <c r="B1518" s="4" t="s">
        <v>2016</v>
      </c>
      <c r="C1518" s="5" t="s">
        <v>2784</v>
      </c>
      <c r="D1518" s="6">
        <v>1513.82</v>
      </c>
      <c r="E1518" s="6">
        <v>1498.43</v>
      </c>
      <c r="F1518" s="7" t="s">
        <v>14</v>
      </c>
      <c r="G1518" s="8" t="s">
        <v>2785</v>
      </c>
      <c r="H1518" s="8" t="s">
        <v>16</v>
      </c>
      <c r="I1518" s="9">
        <v>668</v>
      </c>
      <c r="J1518" s="10">
        <v>12</v>
      </c>
      <c r="K1518" s="10">
        <v>98120</v>
      </c>
      <c r="L1518" s="3" t="str">
        <f t="shared" si="47"/>
        <v>ΒΑΜΒΑΚΙ</v>
      </c>
    </row>
    <row r="1519" spans="1:12" s="3" customFormat="1" ht="24" x14ac:dyDescent="0.25">
      <c r="A1519" s="3" t="str">
        <f t="shared" si="46"/>
        <v>ΒΑΜΒΑΚΙLIDRA</v>
      </c>
      <c r="B1519" s="4" t="s">
        <v>2016</v>
      </c>
      <c r="C1519" s="5" t="s">
        <v>2786</v>
      </c>
      <c r="D1519" s="6">
        <v>1513.82</v>
      </c>
      <c r="E1519" s="6">
        <v>1498.43</v>
      </c>
      <c r="F1519" s="7" t="s">
        <v>14</v>
      </c>
      <c r="G1519" s="8" t="s">
        <v>2787</v>
      </c>
      <c r="H1519" s="8" t="s">
        <v>16</v>
      </c>
      <c r="I1519" s="9">
        <v>666</v>
      </c>
      <c r="J1519" s="10">
        <v>12</v>
      </c>
      <c r="K1519" s="10">
        <v>98121</v>
      </c>
      <c r="L1519" s="3" t="str">
        <f t="shared" si="47"/>
        <v>ΒΑΜΒΑΚΙ</v>
      </c>
    </row>
    <row r="1520" spans="1:12" s="3" customFormat="1" ht="24" x14ac:dyDescent="0.25">
      <c r="A1520" s="3" t="str">
        <f t="shared" si="46"/>
        <v>ΒΑΜΒΑΚΙCARISMA</v>
      </c>
      <c r="B1520" s="4" t="s">
        <v>2016</v>
      </c>
      <c r="C1520" s="5" t="s">
        <v>2788</v>
      </c>
      <c r="D1520" s="6">
        <v>1513.82</v>
      </c>
      <c r="E1520" s="6">
        <v>1498.43</v>
      </c>
      <c r="F1520" s="7" t="s">
        <v>14</v>
      </c>
      <c r="G1520" s="8" t="s">
        <v>2789</v>
      </c>
      <c r="H1520" s="8" t="s">
        <v>16</v>
      </c>
      <c r="I1520" s="9">
        <v>686</v>
      </c>
      <c r="J1520" s="10">
        <v>12</v>
      </c>
      <c r="K1520" s="10">
        <v>98122</v>
      </c>
      <c r="L1520" s="3" t="str">
        <f t="shared" si="47"/>
        <v>ΒΑΜΒΑΚΙ</v>
      </c>
    </row>
    <row r="1521" spans="1:12" s="3" customFormat="1" ht="24" x14ac:dyDescent="0.25">
      <c r="A1521" s="3" t="str">
        <f t="shared" si="46"/>
        <v>ΒΑΜΒΑΚΙPRIME 1848</v>
      </c>
      <c r="B1521" s="4" t="s">
        <v>2016</v>
      </c>
      <c r="C1521" s="5" t="s">
        <v>2790</v>
      </c>
      <c r="D1521" s="6">
        <v>1513.82</v>
      </c>
      <c r="E1521" s="6">
        <v>1498.43</v>
      </c>
      <c r="F1521" s="7" t="s">
        <v>14</v>
      </c>
      <c r="G1521" s="8" t="s">
        <v>2791</v>
      </c>
      <c r="H1521" s="8" t="s">
        <v>16</v>
      </c>
      <c r="I1521" s="9">
        <v>698</v>
      </c>
      <c r="J1521" s="10">
        <v>12</v>
      </c>
      <c r="K1521" s="10">
        <v>98123</v>
      </c>
      <c r="L1521" s="3" t="str">
        <f t="shared" si="47"/>
        <v>ΒΑΜΒΑΚΙ</v>
      </c>
    </row>
    <row r="1522" spans="1:12" s="3" customFormat="1" ht="24" x14ac:dyDescent="0.25">
      <c r="A1522" s="3" t="str">
        <f t="shared" si="46"/>
        <v>ΒΑΜΒΑΚΙMISTRAL</v>
      </c>
      <c r="B1522" s="4" t="s">
        <v>2016</v>
      </c>
      <c r="C1522" s="5" t="s">
        <v>2792</v>
      </c>
      <c r="D1522" s="6">
        <v>1513.82</v>
      </c>
      <c r="E1522" s="6">
        <v>1498.43</v>
      </c>
      <c r="F1522" s="7" t="s">
        <v>14</v>
      </c>
      <c r="G1522" s="8" t="s">
        <v>2793</v>
      </c>
      <c r="H1522" s="8" t="s">
        <v>16</v>
      </c>
      <c r="I1522" s="9">
        <v>692</v>
      </c>
      <c r="J1522" s="10">
        <v>12</v>
      </c>
      <c r="K1522" s="10">
        <v>98124</v>
      </c>
      <c r="L1522" s="3" t="str">
        <f t="shared" si="47"/>
        <v>ΒΑΜΒΑΚΙ</v>
      </c>
    </row>
    <row r="1523" spans="1:12" s="3" customFormat="1" ht="31.5" x14ac:dyDescent="0.25">
      <c r="A1523" s="3" t="str">
        <f t="shared" si="46"/>
        <v>ΒΙΟΜΗΧΑΝΙΚΗ ΚΑΝΝΑΒΗ ΕΚΤΟΣ ΚΟΙΝΟΤΙΚΟΥ ΚΑΤΑΛΟΓΟΥΒΙΟΜΗΧΑΝΙΚΗ ΚΑΝΝΑΒΗ ΕΚΤΟΣ ΚΟΙΝΟΤΙΚΟΥ ΚΑΤΑΛΟΓΟΥ</v>
      </c>
      <c r="B1523" s="4" t="s">
        <v>2794</v>
      </c>
      <c r="C1523" s="5" t="s">
        <v>2794</v>
      </c>
      <c r="D1523" s="6">
        <v>835.84</v>
      </c>
      <c r="E1523" s="6">
        <v>845.67</v>
      </c>
      <c r="F1523" s="7" t="s">
        <v>14</v>
      </c>
      <c r="G1523" s="8" t="s">
        <v>2795</v>
      </c>
      <c r="H1523" s="8" t="s">
        <v>27</v>
      </c>
      <c r="I1523" s="9">
        <v>2655</v>
      </c>
      <c r="J1523" s="10">
        <v>44</v>
      </c>
      <c r="K1523" s="10">
        <v>44001</v>
      </c>
      <c r="L1523" s="3" t="str">
        <f t="shared" si="47"/>
        <v>ΒΙΟΜΗΧΑΝΙΚΗ_ΚΑΝΝΑΒΗ_ΕΚΤΟΣ_ΚΟΙΝΟΤΙΚΟΥ_ΚΑΤΑΛΟΓΟΥ</v>
      </c>
    </row>
    <row r="1524" spans="1:12" s="3" customFormat="1" ht="31.5" x14ac:dyDescent="0.25">
      <c r="A1524" s="3" t="str">
        <f t="shared" si="46"/>
        <v>ΒΙΟΜΗΧΑΝΙΚΗ ΚΑΝΝΑΒΗ ΕΚΤΟΣ ΚΟΙΝΟΤΙΚΟΥ ΚΑΤΑΛΟΓΟΥΒΙΟΜ. ΚΑΝΝΑΒΗ MOUNTAIN MANGO (ΧΩΡΑ ΠΡΟΕΛΕΥΣΗΣ ΗΠΑ)</v>
      </c>
      <c r="B1524" s="4" t="s">
        <v>2794</v>
      </c>
      <c r="C1524" s="5" t="s">
        <v>2796</v>
      </c>
      <c r="D1524" s="6">
        <v>835.84</v>
      </c>
      <c r="E1524" s="6">
        <v>845.67</v>
      </c>
      <c r="F1524" s="7" t="s">
        <v>14</v>
      </c>
      <c r="G1524" s="8" t="s">
        <v>2797</v>
      </c>
      <c r="H1524" s="8" t="s">
        <v>27</v>
      </c>
      <c r="I1524" s="9">
        <v>2652</v>
      </c>
      <c r="J1524" s="10">
        <v>44</v>
      </c>
      <c r="K1524" s="10">
        <v>44002</v>
      </c>
      <c r="L1524" s="3" t="str">
        <f t="shared" si="47"/>
        <v>ΒΙΟΜΗΧΑΝΙΚΗ_ΚΑΝΝΑΒΗ_ΕΚΤΟΣ_ΚΟΙΝΟΤΙΚΟΥ_ΚΑΤΑΛΟΓΟΥ</v>
      </c>
    </row>
    <row r="1525" spans="1:12" s="3" customFormat="1" ht="47.25" x14ac:dyDescent="0.25">
      <c r="A1525" s="3" t="str">
        <f t="shared" si="46"/>
        <v>ΒΙΟΜΗΧΑΝΙΚΗ ΚΑΝΝΑΒΗ ΕΚΤΟΣ ΚΟΙΝΟΤΙΚΟΥ ΚΑΤΑΛΟΓΟΥΒΙΟΜ. ΚΑΝΝΑΒΗ MOUNTAIN MANGO - ΘΕΡΜΟΚΗΠΙΑΚΗ ΚΑΛΛΙΕΡΓΕΙΑ (ΧΩΡΑ ΠΡΟΕΛΕΥΣΗΣ ΗΠΑ)</v>
      </c>
      <c r="B1525" s="4" t="s">
        <v>2794</v>
      </c>
      <c r="C1525" s="5" t="s">
        <v>2798</v>
      </c>
      <c r="D1525" s="6">
        <v>11333.22</v>
      </c>
      <c r="E1525" s="6">
        <v>10073.59</v>
      </c>
      <c r="F1525" s="7" t="s">
        <v>14</v>
      </c>
      <c r="G1525" s="8" t="s">
        <v>2799</v>
      </c>
      <c r="H1525" s="8" t="s">
        <v>27</v>
      </c>
      <c r="I1525" s="9">
        <v>2653</v>
      </c>
      <c r="J1525" s="10">
        <v>44</v>
      </c>
      <c r="K1525" s="10">
        <v>44003</v>
      </c>
      <c r="L1525" s="3" t="str">
        <f t="shared" si="47"/>
        <v>ΒΙΟΜΗΧΑΝΙΚΗ_ΚΑΝΝΑΒΗ_ΕΚΤΟΣ_ΚΟΙΝΟΤΙΚΟΥ_ΚΑΤΑΛΟΓΟΥ</v>
      </c>
    </row>
    <row r="1526" spans="1:12" s="3" customFormat="1" ht="25.5" x14ac:dyDescent="0.25">
      <c r="A1526" s="3" t="str">
        <f t="shared" si="46"/>
        <v>ΒΙΟΜΗΧΑΝΙΚΗ ΚΑΝΝΑΒΗ ΕΚΤΟΣ ΚΟΙΝΟΤΙΚΟΥ ΚΑΤΑΛΟΓΟΥΒΙΟΜ. ΚΑΝΝΑΒΗ KATANA (ΧΩΡΑ ΠΡΟΕΛΕΥΣΗΣ ΗΠΑ)</v>
      </c>
      <c r="B1526" s="4" t="s">
        <v>2794</v>
      </c>
      <c r="C1526" s="5" t="s">
        <v>2800</v>
      </c>
      <c r="D1526" s="6">
        <v>835.84</v>
      </c>
      <c r="E1526" s="6">
        <v>845.67</v>
      </c>
      <c r="F1526" s="7" t="s">
        <v>14</v>
      </c>
      <c r="G1526" s="8" t="s">
        <v>2801</v>
      </c>
      <c r="H1526" s="8" t="s">
        <v>27</v>
      </c>
      <c r="I1526" s="9">
        <v>2654</v>
      </c>
      <c r="J1526" s="10">
        <v>44</v>
      </c>
      <c r="K1526" s="10">
        <v>44004</v>
      </c>
      <c r="L1526" s="3" t="str">
        <f t="shared" si="47"/>
        <v>ΒΙΟΜΗΧΑΝΙΚΗ_ΚΑΝΝΑΒΗ_ΕΚΤΟΣ_ΚΟΙΝΟΤΙΚΟΥ_ΚΑΤΑΛΟΓΟΥ</v>
      </c>
    </row>
    <row r="1527" spans="1:12" s="3" customFormat="1" ht="31.5" x14ac:dyDescent="0.25">
      <c r="A1527" s="3" t="str">
        <f t="shared" si="46"/>
        <v>ΒΙΟΜΗΧΑΝΙΚΗ ΚΑΝΝΑΒΗ ΕΚΤΟΣ ΚΟΙΝΟΤΙΚΟΥ ΚΑΤΑΛΟΓΟΥΒΙΟΜ. ΚΑΝΝΑΒΗ KATANA - ΘΕΡΜΟΚΗΠΙΑΚΗ ΚΑΛΛΙΕΡΓΕΙΑ (ΧΩΡΑ ΠΡΟΕΛΕΥΣΗΣ ΗΠΑ)</v>
      </c>
      <c r="B1527" s="4" t="s">
        <v>2794</v>
      </c>
      <c r="C1527" s="5" t="s">
        <v>2802</v>
      </c>
      <c r="D1527" s="6">
        <v>11333.22</v>
      </c>
      <c r="E1527" s="6">
        <v>10073.59</v>
      </c>
      <c r="F1527" s="7" t="s">
        <v>14</v>
      </c>
      <c r="G1527" s="8" t="s">
        <v>2803</v>
      </c>
      <c r="H1527" s="8" t="s">
        <v>27</v>
      </c>
      <c r="I1527" s="9">
        <v>2649</v>
      </c>
      <c r="J1527" s="10">
        <v>44</v>
      </c>
      <c r="K1527" s="10">
        <v>44005</v>
      </c>
      <c r="L1527" s="3" t="str">
        <f t="shared" si="47"/>
        <v>ΒΙΟΜΗΧΑΝΙΚΗ_ΚΑΝΝΑΒΗ_ΕΚΤΟΣ_ΚΟΙΝΟΤΙΚΟΥ_ΚΑΤΑΛΟΓΟΥ</v>
      </c>
    </row>
    <row r="1528" spans="1:12" s="3" customFormat="1" ht="31.5" x14ac:dyDescent="0.25">
      <c r="A1528" s="3" t="str">
        <f t="shared" si="46"/>
        <v>ΒΙΟΜΗΧΑΝΙΚΗ ΚΑΝΝΑΒΗ ΕΚΤΟΣ ΚΟΙΝΟΤΙΚΟΥ ΚΑΤΑΛΟΓΟΥΒΙΟΜ. ΚΑΝΝΑΒΗ CHERRY WINE (ΧΩΡΑ ΠΡΟΕΛΕΥΣΗΣ ΗΠΑ)</v>
      </c>
      <c r="B1528" s="4" t="s">
        <v>2794</v>
      </c>
      <c r="C1528" s="5" t="s">
        <v>2804</v>
      </c>
      <c r="D1528" s="6">
        <v>835.84</v>
      </c>
      <c r="E1528" s="6">
        <v>845.67</v>
      </c>
      <c r="F1528" s="7" t="s">
        <v>14</v>
      </c>
      <c r="G1528" s="8" t="s">
        <v>2805</v>
      </c>
      <c r="H1528" s="8" t="s">
        <v>27</v>
      </c>
      <c r="I1528" s="9">
        <v>2656</v>
      </c>
      <c r="J1528" s="10">
        <v>44</v>
      </c>
      <c r="K1528" s="10">
        <v>44006</v>
      </c>
      <c r="L1528" s="3" t="str">
        <f t="shared" si="47"/>
        <v>ΒΙΟΜΗΧΑΝΙΚΗ_ΚΑΝΝΑΒΗ_ΕΚΤΟΣ_ΚΟΙΝΟΤΙΚΟΥ_ΚΑΤΑΛΟΓΟΥ</v>
      </c>
    </row>
    <row r="1529" spans="1:12" s="3" customFormat="1" ht="31.5" x14ac:dyDescent="0.25">
      <c r="A1529" s="3" t="str">
        <f t="shared" si="46"/>
        <v>ΒΙΟΜΗΧΑΝΙΚΗ ΚΑΝΝΑΒΗ ΕΚΤΟΣ ΚΟΙΝΟΤΙΚΟΥ ΚΑΤΑΛΟΓΟΥΒΙΟΜ. ΚΑΝΝΑΒΗ CHERRY WINE - ΘΕΡΜΟΚΗΠΙΑΚΗ ΚΑΛΛΙΕΡΓΕΙΑ (ΧΩΡΑ ΠΡΟΕΛΕΥΣΗΣ ΗΠΑ)</v>
      </c>
      <c r="B1529" s="4" t="s">
        <v>2794</v>
      </c>
      <c r="C1529" s="5" t="s">
        <v>2806</v>
      </c>
      <c r="D1529" s="6">
        <v>11333.22</v>
      </c>
      <c r="E1529" s="6">
        <v>10073.59</v>
      </c>
      <c r="F1529" s="7" t="s">
        <v>14</v>
      </c>
      <c r="G1529" s="8" t="s">
        <v>2807</v>
      </c>
      <c r="H1529" s="8" t="s">
        <v>27</v>
      </c>
      <c r="I1529" s="9">
        <v>2657</v>
      </c>
      <c r="J1529" s="10">
        <v>44</v>
      </c>
      <c r="K1529" s="10">
        <v>44007</v>
      </c>
      <c r="L1529" s="3" t="str">
        <f t="shared" si="47"/>
        <v>ΒΙΟΜΗΧΑΝΙΚΗ_ΚΑΝΝΑΒΗ_ΕΚΤΟΣ_ΚΟΙΝΟΤΙΚΟΥ_ΚΑΤΑΛΟΓΟΥ</v>
      </c>
    </row>
    <row r="1530" spans="1:12" s="3" customFormat="1" ht="31.5" x14ac:dyDescent="0.25">
      <c r="A1530" s="3" t="str">
        <f t="shared" si="46"/>
        <v>ΒΙΟΜΗΧΑΝΙΚΗ ΚΑΝΝΑΒΗ ΕΚΤΟΣ ΚΟΙΝΟΤΙΚΟΥ ΚΑΤΑΛΟΓΟΥΒΙΟΜ. ΚΑΝΝΑΒΗ CHERRY BLOSSOM (ΧΩΡΑ ΠΡΟΕΛΕΥΣΗΣ ΗΠΑ)</v>
      </c>
      <c r="B1530" s="4" t="s">
        <v>2794</v>
      </c>
      <c r="C1530" s="5" t="s">
        <v>2808</v>
      </c>
      <c r="D1530" s="6">
        <v>835.84</v>
      </c>
      <c r="E1530" s="6">
        <v>845.67</v>
      </c>
      <c r="F1530" s="7" t="s">
        <v>14</v>
      </c>
      <c r="G1530" s="8" t="s">
        <v>2809</v>
      </c>
      <c r="H1530" s="8" t="s">
        <v>27</v>
      </c>
      <c r="I1530" s="9">
        <v>2658</v>
      </c>
      <c r="J1530" s="10">
        <v>44</v>
      </c>
      <c r="K1530" s="10">
        <v>44008</v>
      </c>
      <c r="L1530" s="3" t="str">
        <f t="shared" si="47"/>
        <v>ΒΙΟΜΗΧΑΝΙΚΗ_ΚΑΝΝΑΒΗ_ΕΚΤΟΣ_ΚΟΙΝΟΤΙΚΟΥ_ΚΑΤΑΛΟΓΟΥ</v>
      </c>
    </row>
    <row r="1531" spans="1:12" s="3" customFormat="1" ht="47.25" x14ac:dyDescent="0.25">
      <c r="A1531" s="3" t="str">
        <f t="shared" si="46"/>
        <v>ΒΙΟΜΗΧΑΝΙΚΗ ΚΑΝΝΑΒΗ ΕΚΤΟΣ ΚΟΙΝΟΤΙΚΟΥ ΚΑΤΑΛΟΓΟΥΒΙΟΜ. ΚΑΝΝΑΒΗ CHERRY BLOSSOM - ΘΕΡΜΟΚΗΠΙΑΚΗ ΚΑΛΛΙΕΡΓΕΙΑ (ΧΩΡΑ ΠΡΟΕΛΕΥΣΗΣ ΗΠΑ)</v>
      </c>
      <c r="B1531" s="4" t="s">
        <v>2794</v>
      </c>
      <c r="C1531" s="5" t="s">
        <v>2810</v>
      </c>
      <c r="D1531" s="6">
        <v>11333.22</v>
      </c>
      <c r="E1531" s="6">
        <v>10073.59</v>
      </c>
      <c r="F1531" s="7" t="s">
        <v>14</v>
      </c>
      <c r="G1531" s="8" t="s">
        <v>2811</v>
      </c>
      <c r="H1531" s="8" t="s">
        <v>27</v>
      </c>
      <c r="I1531" s="9">
        <v>2659</v>
      </c>
      <c r="J1531" s="10">
        <v>44</v>
      </c>
      <c r="K1531" s="10">
        <v>44009</v>
      </c>
      <c r="L1531" s="3" t="str">
        <f t="shared" si="47"/>
        <v>ΒΙΟΜΗΧΑΝΙΚΗ_ΚΑΝΝΑΒΗ_ΕΚΤΟΣ_ΚΟΙΝΟΤΙΚΟΥ_ΚΑΤΑΛΟΓΟΥ</v>
      </c>
    </row>
    <row r="1532" spans="1:12" s="3" customFormat="1" ht="31.5" x14ac:dyDescent="0.25">
      <c r="A1532" s="3" t="str">
        <f t="shared" si="46"/>
        <v>ΒΙΟΜΗΧΑΝΙΚΗ ΚΑΝΝΑΒΗ ΕΚΤΟΣ ΚΟΙΝΟΤΙΚΟΥ ΚΑΤΑΛΟΓΟΥΒΙΟΜ. ΚΑΝΝΑΒΗ HAN FN H (ΧΩΡΑ ΠΡΟΕΛΕΥΣΗΣ ΚΙΝΑ)</v>
      </c>
      <c r="B1532" s="4" t="s">
        <v>2794</v>
      </c>
      <c r="C1532" s="5" t="s">
        <v>2812</v>
      </c>
      <c r="D1532" s="6">
        <v>835.84</v>
      </c>
      <c r="E1532" s="6">
        <v>845.67</v>
      </c>
      <c r="F1532" s="7" t="s">
        <v>14</v>
      </c>
      <c r="G1532" s="8" t="s">
        <v>2813</v>
      </c>
      <c r="H1532" s="8" t="s">
        <v>27</v>
      </c>
      <c r="I1532" s="9">
        <v>2660</v>
      </c>
      <c r="J1532" s="10">
        <v>44</v>
      </c>
      <c r="K1532" s="10">
        <v>44010</v>
      </c>
      <c r="L1532" s="3" t="str">
        <f t="shared" si="47"/>
        <v>ΒΙΟΜΗΧΑΝΙΚΗ_ΚΑΝΝΑΒΗ_ΕΚΤΟΣ_ΚΟΙΝΟΤΙΚΟΥ_ΚΑΤΑΛΟΓΟΥ</v>
      </c>
    </row>
    <row r="1533" spans="1:12" s="3" customFormat="1" ht="31.5" x14ac:dyDescent="0.25">
      <c r="A1533" s="3" t="str">
        <f t="shared" si="46"/>
        <v>ΒΙΟΜΗΧΑΝΙΚΗ ΚΑΝΝΑΒΗ ΕΚΤΟΣ ΚΟΙΝΟΤΙΚΟΥ ΚΑΤΑΛΟΓΟΥΒΙΟΜ. ΚΑΝΝΑΒΗ HAN FN H - ΘΕΡΜΟΚΗΠΙΑΚΗ ΚΑΛΛΙΕΡΓΕΙΑ (ΧΩΡΑ ΠΡΟΕΛΕΥΣΗΣ ΚΙΝΑ)</v>
      </c>
      <c r="B1533" s="4" t="s">
        <v>2794</v>
      </c>
      <c r="C1533" s="5" t="s">
        <v>2814</v>
      </c>
      <c r="D1533" s="6">
        <v>11333.22</v>
      </c>
      <c r="E1533" s="6">
        <v>10073.59</v>
      </c>
      <c r="F1533" s="7" t="s">
        <v>14</v>
      </c>
      <c r="G1533" s="8" t="s">
        <v>2815</v>
      </c>
      <c r="H1533" s="8" t="s">
        <v>27</v>
      </c>
      <c r="I1533" s="9">
        <v>2650</v>
      </c>
      <c r="J1533" s="10">
        <v>44</v>
      </c>
      <c r="K1533" s="10">
        <v>44011</v>
      </c>
      <c r="L1533" s="3" t="str">
        <f t="shared" si="47"/>
        <v>ΒΙΟΜΗΧΑΝΙΚΗ_ΚΑΝΝΑΒΗ_ΕΚΤΟΣ_ΚΟΙΝΟΤΙΚΟΥ_ΚΑΤΑΛΟΓΟΥ</v>
      </c>
    </row>
    <row r="1534" spans="1:12" s="3" customFormat="1" ht="31.5" x14ac:dyDescent="0.25">
      <c r="A1534" s="3" t="str">
        <f t="shared" si="46"/>
        <v>ΒΙΟΜΗΧΑΝΙΚΗ ΚΑΝΝΑΒΗ ΕΚΤΟΣ ΚΟΙΝΟΤΙΚΟΥ ΚΑΤΑΛΟΓΟΥΒΙΟΜ. ΚΑΝΝΑΒΗ BUFFALO SOLDIER (ΧΩΡΑ ΠΡΟΕΛΕΥΣΗΣ ΗΠΑ)</v>
      </c>
      <c r="B1534" s="4" t="s">
        <v>2794</v>
      </c>
      <c r="C1534" s="5" t="s">
        <v>2816</v>
      </c>
      <c r="D1534" s="6">
        <v>835.84</v>
      </c>
      <c r="E1534" s="6">
        <v>845.67</v>
      </c>
      <c r="F1534" s="7" t="s">
        <v>14</v>
      </c>
      <c r="G1534" s="8" t="s">
        <v>2817</v>
      </c>
      <c r="H1534" s="8" t="s">
        <v>27</v>
      </c>
      <c r="I1534" s="9">
        <v>2642</v>
      </c>
      <c r="J1534" s="10">
        <v>44</v>
      </c>
      <c r="K1534" s="10">
        <v>44012</v>
      </c>
      <c r="L1534" s="3" t="str">
        <f t="shared" si="47"/>
        <v>ΒΙΟΜΗΧΑΝΙΚΗ_ΚΑΝΝΑΒΗ_ΕΚΤΟΣ_ΚΟΙΝΟΤΙΚΟΥ_ΚΑΤΑΛΟΓΟΥ</v>
      </c>
    </row>
    <row r="1535" spans="1:12" s="3" customFormat="1" ht="47.25" x14ac:dyDescent="0.25">
      <c r="A1535" s="3" t="str">
        <f t="shared" si="46"/>
        <v>ΒΙΟΜΗΧΑΝΙΚΗ ΚΑΝΝΑΒΗ ΕΚΤΟΣ ΚΟΙΝΟΤΙΚΟΥ ΚΑΤΑΛΟΓΟΥΒΙΟΜ. ΚΑΝΝΑΒΗ BUFFALO SOLDIER - ΘΕΡΜΟΚΗΠΙΑΚΗ ΚΑΛΛΙΕΡΓΕΙΑ (ΧΩΡΑ ΠΡΟΕΛΕΥΣΗΣ ΗΠΑ)</v>
      </c>
      <c r="B1535" s="4" t="s">
        <v>2794</v>
      </c>
      <c r="C1535" s="5" t="s">
        <v>2818</v>
      </c>
      <c r="D1535" s="6">
        <v>11333.22</v>
      </c>
      <c r="E1535" s="6">
        <v>10073.59</v>
      </c>
      <c r="F1535" s="7" t="s">
        <v>14</v>
      </c>
      <c r="G1535" s="8" t="s">
        <v>2819</v>
      </c>
      <c r="H1535" s="8" t="s">
        <v>27</v>
      </c>
      <c r="I1535" s="9">
        <v>2640</v>
      </c>
      <c r="J1535" s="10">
        <v>44</v>
      </c>
      <c r="K1535" s="10">
        <v>44013</v>
      </c>
      <c r="L1535" s="3" t="str">
        <f t="shared" si="47"/>
        <v>ΒΙΟΜΗΧΑΝΙΚΗ_ΚΑΝΝΑΒΗ_ΕΚΤΟΣ_ΚΟΙΝΟΤΙΚΟΥ_ΚΑΤΑΛΟΓΟΥ</v>
      </c>
    </row>
    <row r="1536" spans="1:12" s="3" customFormat="1" ht="31.5" x14ac:dyDescent="0.25">
      <c r="A1536" s="3" t="str">
        <f t="shared" si="46"/>
        <v>ΒΙΟΜΗΧΑΝΙΚΗ ΚΑΝΝΑΒΗ ΕΚΤΟΣ ΚΟΙΝΟΤΙΚΟΥ ΚΑΤΑΛΟΓΟΥΒΙΟΜ. ΚΑΝΝΑΒΗ MATTERHORN CBG (ΧΩΡΑ ΠΡΟΕΛΕΥΣΗΣ ΗΠΑ)</v>
      </c>
      <c r="B1536" s="4" t="s">
        <v>2794</v>
      </c>
      <c r="C1536" s="5" t="s">
        <v>2820</v>
      </c>
      <c r="D1536" s="6">
        <v>835.84</v>
      </c>
      <c r="E1536" s="6">
        <v>845.67</v>
      </c>
      <c r="F1536" s="7" t="s">
        <v>14</v>
      </c>
      <c r="G1536" s="8" t="s">
        <v>2821</v>
      </c>
      <c r="H1536" s="8" t="s">
        <v>27</v>
      </c>
      <c r="I1536" s="9">
        <v>2641</v>
      </c>
      <c r="J1536" s="10">
        <v>44</v>
      </c>
      <c r="K1536" s="10">
        <v>44014</v>
      </c>
      <c r="L1536" s="3" t="str">
        <f t="shared" si="47"/>
        <v>ΒΙΟΜΗΧΑΝΙΚΗ_ΚΑΝΝΑΒΗ_ΕΚΤΟΣ_ΚΟΙΝΟΤΙΚΟΥ_ΚΑΤΑΛΟΓΟΥ</v>
      </c>
    </row>
    <row r="1537" spans="1:12" s="3" customFormat="1" ht="47.25" x14ac:dyDescent="0.25">
      <c r="A1537" s="3" t="str">
        <f t="shared" si="46"/>
        <v>ΒΙΟΜΗΧΑΝΙΚΗ ΚΑΝΝΑΒΗ ΕΚΤΟΣ ΚΟΙΝΟΤΙΚΟΥ ΚΑΤΑΛΟΓΟΥΒΙΟΜ. ΚΑΝΝΑΒΗ MATTERHORN CBG - ΘΕΡΜΟΚΗΠΙΑΚΗ ΚΑΛΛΙΕΡΓΕΙΑ (ΧΩΡΑ ΠΡΟΕΛΕΥΣΗΣ ΗΠΑ)</v>
      </c>
      <c r="B1537" s="4" t="s">
        <v>2794</v>
      </c>
      <c r="C1537" s="5" t="s">
        <v>2822</v>
      </c>
      <c r="D1537" s="6">
        <v>11333.22</v>
      </c>
      <c r="E1537" s="6">
        <v>10073.59</v>
      </c>
      <c r="F1537" s="7" t="s">
        <v>14</v>
      </c>
      <c r="G1537" s="8" t="s">
        <v>2823</v>
      </c>
      <c r="H1537" s="8" t="s">
        <v>27</v>
      </c>
      <c r="I1537" s="9">
        <v>2639</v>
      </c>
      <c r="J1537" s="10">
        <v>44</v>
      </c>
      <c r="K1537" s="10">
        <v>44015</v>
      </c>
      <c r="L1537" s="3" t="str">
        <f t="shared" si="47"/>
        <v>ΒΙΟΜΗΧΑΝΙΚΗ_ΚΑΝΝΑΒΗ_ΕΚΤΟΣ_ΚΟΙΝΟΤΙΚΟΥ_ΚΑΤΑΛΟΓΟΥ</v>
      </c>
    </row>
    <row r="1538" spans="1:12" s="3" customFormat="1" ht="31.5" x14ac:dyDescent="0.25">
      <c r="A1538" s="3" t="str">
        <f t="shared" si="46"/>
        <v>ΒΙΟΜΗΧΑΝΙΚΗ ΚΑΝΝΑΒΗ ΕΚΤΟΣ ΚΟΙΝΟΤΙΚΟΥ ΚΑΤΑΛΟΓΟΥΒΙΟΜ. ΚΑΝΝΑΒΗ STORMY DANIELS (ΧΩΡΑ ΠΡΟΕΛΕΥΣΗΣ ΗΠΑ)</v>
      </c>
      <c r="B1538" s="4" t="s">
        <v>2794</v>
      </c>
      <c r="C1538" s="5" t="s">
        <v>2824</v>
      </c>
      <c r="D1538" s="6">
        <v>835.84</v>
      </c>
      <c r="E1538" s="6">
        <v>845.67</v>
      </c>
      <c r="F1538" s="7" t="s">
        <v>14</v>
      </c>
      <c r="G1538" s="8" t="s">
        <v>2825</v>
      </c>
      <c r="H1538" s="8" t="s">
        <v>27</v>
      </c>
      <c r="I1538" s="9">
        <v>2644</v>
      </c>
      <c r="J1538" s="10">
        <v>44</v>
      </c>
      <c r="K1538" s="10">
        <v>44016</v>
      </c>
      <c r="L1538" s="3" t="str">
        <f t="shared" si="47"/>
        <v>ΒΙΟΜΗΧΑΝΙΚΗ_ΚΑΝΝΑΒΗ_ΕΚΤΟΣ_ΚΟΙΝΟΤΙΚΟΥ_ΚΑΤΑΛΟΓΟΥ</v>
      </c>
    </row>
    <row r="1539" spans="1:12" s="3" customFormat="1" ht="47.25" x14ac:dyDescent="0.25">
      <c r="A1539" s="3" t="str">
        <f t="shared" ref="A1539:A1602" si="48">_xlfn.CONCAT(B1539,C1539)</f>
        <v>ΒΙΟΜΗΧΑΝΙΚΗ ΚΑΝΝΑΒΗ ΕΚΤΟΣ ΚΟΙΝΟΤΙΚΟΥ ΚΑΤΑΛΟΓΟΥΒΙΟΜ. ΚΑΝΝΑΒΗ STORMY DANIELS - ΘΕΡΜΟΚΗΠΙΑΚΗ ΚΑΛΛΙΕΡΓΕΙΑ (ΧΩΡΑ ΠΡΟΕΛΕΥΣΗΣ ΗΠΑ)</v>
      </c>
      <c r="B1539" s="4" t="s">
        <v>2794</v>
      </c>
      <c r="C1539" s="5" t="s">
        <v>2826</v>
      </c>
      <c r="D1539" s="6">
        <v>11333.22</v>
      </c>
      <c r="E1539" s="6">
        <v>10073.59</v>
      </c>
      <c r="F1539" s="7" t="s">
        <v>14</v>
      </c>
      <c r="G1539" s="8" t="s">
        <v>2827</v>
      </c>
      <c r="H1539" s="8" t="s">
        <v>27</v>
      </c>
      <c r="I1539" s="9">
        <v>2638</v>
      </c>
      <c r="J1539" s="10">
        <v>44</v>
      </c>
      <c r="K1539" s="10">
        <v>44017</v>
      </c>
      <c r="L1539" s="3" t="str">
        <f t="shared" ref="L1539:L1602" si="49">IFERROR(SUBSTITUTE(SUBSTITUTE(SUBSTITUTE(SUBSTITUTE(SUBSTITUTE(B1539, "-", "_"), " ", "_"), ",", ""), "(", ""), ")", ""), B1539)</f>
        <v>ΒΙΟΜΗΧΑΝΙΚΗ_ΚΑΝΝΑΒΗ_ΕΚΤΟΣ_ΚΟΙΝΟΤΙΚΟΥ_ΚΑΤΑΛΟΓΟΥ</v>
      </c>
    </row>
    <row r="1540" spans="1:12" s="3" customFormat="1" ht="31.5" x14ac:dyDescent="0.25">
      <c r="A1540" s="3" t="str">
        <f t="shared" si="48"/>
        <v>ΒΙΟΜΗΧΑΝΙΚΗ ΚΑΝΝΑΒΗ ΕΚΤΟΣ ΚΟΙΝΟΤΙΚΟΥ ΚΑΤΑΛΟΓΟΥΒΙΟΜ. ΚΑΝΝΑΒΗ MOUNTAIN BLIZZARD (ΧΩΡΑ ΠΡΟΕΛΕΥΣΗΣ ΗΠΑ)</v>
      </c>
      <c r="B1540" s="4" t="s">
        <v>2794</v>
      </c>
      <c r="C1540" s="5" t="s">
        <v>2828</v>
      </c>
      <c r="D1540" s="6">
        <v>835.84</v>
      </c>
      <c r="E1540" s="6">
        <v>845.67</v>
      </c>
      <c r="F1540" s="7" t="s">
        <v>14</v>
      </c>
      <c r="G1540" s="8" t="s">
        <v>2829</v>
      </c>
      <c r="H1540" s="8" t="s">
        <v>27</v>
      </c>
      <c r="I1540" s="9">
        <v>2651</v>
      </c>
      <c r="J1540" s="10">
        <v>44</v>
      </c>
      <c r="K1540" s="10">
        <v>44018</v>
      </c>
      <c r="L1540" s="3" t="str">
        <f t="shared" si="49"/>
        <v>ΒΙΟΜΗΧΑΝΙΚΗ_ΚΑΝΝΑΒΗ_ΕΚΤΟΣ_ΚΟΙΝΟΤΙΚΟΥ_ΚΑΤΑΛΟΓΟΥ</v>
      </c>
    </row>
    <row r="1541" spans="1:12" s="3" customFormat="1" ht="47.25" x14ac:dyDescent="0.25">
      <c r="A1541" s="3" t="str">
        <f t="shared" si="48"/>
        <v>ΒΙΟΜΗΧΑΝΙΚΗ ΚΑΝΝΑΒΗ ΕΚΤΟΣ ΚΟΙΝΟΤΙΚΟΥ ΚΑΤΑΛΟΓΟΥΒΙΟΜ. ΚΑΝΝΑΒΗ MOUNTAIN BLIZZARD - ΘΕΡΜΟΚΗΠΙΑΚΗ ΚΑΛΛΙΕΡΓΕΙΑ (ΧΩΡΑ ΠΡΟΕΛΕΥΣΗΣ ΗΠΑ)</v>
      </c>
      <c r="B1541" s="4" t="s">
        <v>2794</v>
      </c>
      <c r="C1541" s="5" t="s">
        <v>2830</v>
      </c>
      <c r="D1541" s="6">
        <v>11333.22</v>
      </c>
      <c r="E1541" s="6">
        <v>10073.59</v>
      </c>
      <c r="F1541" s="7" t="s">
        <v>14</v>
      </c>
      <c r="G1541" s="8" t="s">
        <v>2831</v>
      </c>
      <c r="H1541" s="8" t="s">
        <v>27</v>
      </c>
      <c r="I1541" s="9">
        <v>2648</v>
      </c>
      <c r="J1541" s="10">
        <v>44</v>
      </c>
      <c r="K1541" s="10">
        <v>44019</v>
      </c>
      <c r="L1541" s="3" t="str">
        <f t="shared" si="49"/>
        <v>ΒΙΟΜΗΧΑΝΙΚΗ_ΚΑΝΝΑΒΗ_ΕΚΤΟΣ_ΚΟΙΝΟΤΙΚΟΥ_ΚΑΤΑΛΟΓΟΥ</v>
      </c>
    </row>
    <row r="1542" spans="1:12" s="3" customFormat="1" ht="31.5" x14ac:dyDescent="0.25">
      <c r="A1542" s="3" t="str">
        <f t="shared" si="48"/>
        <v>ΒΙΟΜΗΧΑΝΙΚΗ ΚΑΝΝΑΒΗ ΕΚΤΟΣ ΚΟΙΝΟΤΙΚΟΥ ΚΑΤΑΛΟΓΟΥΒΙΟΜ. ΚΑΝΝΑΒΗ QUICK KUSH (ΧΩΡΑ ΠΡΟΕΛΕΥΣΗΣ ΗΠΑ)</v>
      </c>
      <c r="B1542" s="4" t="s">
        <v>2794</v>
      </c>
      <c r="C1542" s="5" t="s">
        <v>2832</v>
      </c>
      <c r="D1542" s="6">
        <v>835.84</v>
      </c>
      <c r="E1542" s="6">
        <v>845.67</v>
      </c>
      <c r="F1542" s="7" t="s">
        <v>14</v>
      </c>
      <c r="G1542" s="8" t="s">
        <v>2833</v>
      </c>
      <c r="H1542" s="8" t="s">
        <v>27</v>
      </c>
      <c r="I1542" s="9">
        <v>2643</v>
      </c>
      <c r="J1542" s="10">
        <v>44</v>
      </c>
      <c r="K1542" s="10">
        <v>44020</v>
      </c>
      <c r="L1542" s="3" t="str">
        <f t="shared" si="49"/>
        <v>ΒΙΟΜΗΧΑΝΙΚΗ_ΚΑΝΝΑΒΗ_ΕΚΤΟΣ_ΚΟΙΝΟΤΙΚΟΥ_ΚΑΤΑΛΟΓΟΥ</v>
      </c>
    </row>
    <row r="1543" spans="1:12" s="3" customFormat="1" ht="31.5" x14ac:dyDescent="0.25">
      <c r="A1543" s="3" t="str">
        <f t="shared" si="48"/>
        <v>ΒΙΟΜΗΧΑΝΙΚΗ ΚΑΝΝΑΒΗ ΕΚΤΟΣ ΚΟΙΝΟΤΙΚΟΥ ΚΑΤΑΛΟΓΟΥΒΙΟΜ. ΚΑΝΝΑΒΗ QUICK KUSH - ΘΕΡΜΟΚΗΠΙΑΚΗ ΚΑΛΛΙΕΡΓΕΙΑ (ΧΩΡΑ ΠΡΟΕΛΕΥΣΗΣ ΗΠΑ)</v>
      </c>
      <c r="B1543" s="4" t="s">
        <v>2794</v>
      </c>
      <c r="C1543" s="5" t="s">
        <v>2834</v>
      </c>
      <c r="D1543" s="6">
        <v>11333.22</v>
      </c>
      <c r="E1543" s="6">
        <v>10073.59</v>
      </c>
      <c r="F1543" s="7" t="s">
        <v>14</v>
      </c>
      <c r="G1543" s="8" t="s">
        <v>2835</v>
      </c>
      <c r="H1543" s="8" t="s">
        <v>27</v>
      </c>
      <c r="I1543" s="9">
        <v>2645</v>
      </c>
      <c r="J1543" s="10">
        <v>44</v>
      </c>
      <c r="K1543" s="10">
        <v>44021</v>
      </c>
      <c r="L1543" s="3" t="str">
        <f t="shared" si="49"/>
        <v>ΒΙΟΜΗΧΑΝΙΚΗ_ΚΑΝΝΑΒΗ_ΕΚΤΟΣ_ΚΟΙΝΟΤΙΚΟΥ_ΚΑΤΑΛΟΓΟΥ</v>
      </c>
    </row>
    <row r="1544" spans="1:12" s="3" customFormat="1" ht="31.5" x14ac:dyDescent="0.25">
      <c r="A1544" s="3" t="str">
        <f t="shared" si="48"/>
        <v>ΒΙΟΜΗΧΑΝΙΚΗ ΚΑΝΝΑΒΗ ΕΚΤΟΣ ΚΟΙΝΟΤΙΚΟΥ ΚΑΤΑΛΟΓΟΥΒΙΟΜ. ΚΑΝΝΑΒΗ CHERRY WINAMED (ΧΩΡΑ ΠΡΟΕΛΕΥΣΗΣ ΚΑΝΑΔΑΣ)</v>
      </c>
      <c r="B1544" s="4" t="s">
        <v>2794</v>
      </c>
      <c r="C1544" s="5" t="s">
        <v>2836</v>
      </c>
      <c r="D1544" s="6">
        <v>835.84</v>
      </c>
      <c r="E1544" s="6">
        <v>845.67</v>
      </c>
      <c r="F1544" s="7" t="s">
        <v>14</v>
      </c>
      <c r="G1544" s="8" t="s">
        <v>2837</v>
      </c>
      <c r="H1544" s="8" t="s">
        <v>27</v>
      </c>
      <c r="I1544" s="9">
        <v>2646</v>
      </c>
      <c r="J1544" s="10">
        <v>44</v>
      </c>
      <c r="K1544" s="10">
        <v>44022</v>
      </c>
      <c r="L1544" s="3" t="str">
        <f t="shared" si="49"/>
        <v>ΒΙΟΜΗΧΑΝΙΚΗ_ΚΑΝΝΑΒΗ_ΕΚΤΟΣ_ΚΟΙΝΟΤΙΚΟΥ_ΚΑΤΑΛΟΓΟΥ</v>
      </c>
    </row>
    <row r="1545" spans="1:12" s="3" customFormat="1" ht="47.25" x14ac:dyDescent="0.25">
      <c r="A1545" s="3" t="str">
        <f t="shared" si="48"/>
        <v>ΒΙΟΜΗΧΑΝΙΚΗ ΚΑΝΝΑΒΗ ΕΚΤΟΣ ΚΟΙΝΟΤΙΚΟΥ ΚΑΤΑΛΟΓΟΥΒΙΟΜ. ΚΑΝΝΑΒΗ CHERRY WINAMED - ΘΕΡΜΟΚΗΠΙΑΚΗ ΚΑΛΛΙΕΡΓΕΙΑ (ΧΩΡΑ ΠΡΟΕΛΕΥΣΗΣ ΚΑΝΑΔΑΣ)</v>
      </c>
      <c r="B1545" s="4" t="s">
        <v>2794</v>
      </c>
      <c r="C1545" s="5" t="s">
        <v>2838</v>
      </c>
      <c r="D1545" s="6">
        <v>11333.22</v>
      </c>
      <c r="E1545" s="6">
        <v>10073.59</v>
      </c>
      <c r="F1545" s="7" t="s">
        <v>14</v>
      </c>
      <c r="G1545" s="8" t="s">
        <v>2839</v>
      </c>
      <c r="H1545" s="8" t="s">
        <v>27</v>
      </c>
      <c r="I1545" s="9">
        <v>2647</v>
      </c>
      <c r="J1545" s="10">
        <v>44</v>
      </c>
      <c r="K1545" s="10">
        <v>44023</v>
      </c>
      <c r="L1545" s="3" t="str">
        <f t="shared" si="49"/>
        <v>ΒΙΟΜΗΧΑΝΙΚΗ_ΚΑΝΝΑΒΗ_ΕΚΤΟΣ_ΚΟΙΝΟΤΙΚΟΥ_ΚΑΤΑΛΟΓΟΥ</v>
      </c>
    </row>
    <row r="1546" spans="1:12" s="3" customFormat="1" x14ac:dyDescent="0.25">
      <c r="A1546" s="3" t="str">
        <f t="shared" si="48"/>
        <v>ΒΙΟΜΗΧΑΝΙΚΗ ΚΑΝΝΑΒΗANTAL</v>
      </c>
      <c r="B1546" s="18" t="s">
        <v>2840</v>
      </c>
      <c r="C1546" s="19" t="s">
        <v>2841</v>
      </c>
      <c r="D1546" s="6">
        <v>835.84</v>
      </c>
      <c r="E1546" s="6">
        <v>845.67</v>
      </c>
      <c r="F1546" s="6" t="s">
        <v>14</v>
      </c>
      <c r="G1546" s="8" t="s">
        <v>2842</v>
      </c>
      <c r="H1546" s="8" t="s">
        <v>27</v>
      </c>
      <c r="I1546" s="9">
        <v>4108</v>
      </c>
      <c r="J1546" s="20">
        <v>69</v>
      </c>
      <c r="K1546" s="20">
        <v>69001</v>
      </c>
      <c r="L1546" s="3" t="str">
        <f t="shared" si="49"/>
        <v>ΒΙΟΜΗΧΑΝΙΚΗ_ΚΑΝΝΑΒΗ</v>
      </c>
    </row>
    <row r="1547" spans="1:12" s="3" customFormat="1" ht="24" x14ac:dyDescent="0.25">
      <c r="A1547" s="3" t="str">
        <f t="shared" si="48"/>
        <v>ΒΙΟΜΗΧΑΝΙΚΗ ΚΑΝΝΑΒΗARMANCA</v>
      </c>
      <c r="B1547" s="4" t="s">
        <v>2840</v>
      </c>
      <c r="C1547" s="5" t="s">
        <v>2843</v>
      </c>
      <c r="D1547" s="6">
        <v>835.84</v>
      </c>
      <c r="E1547" s="6">
        <v>845.67</v>
      </c>
      <c r="F1547" s="7" t="s">
        <v>14</v>
      </c>
      <c r="G1547" s="8" t="s">
        <v>2844</v>
      </c>
      <c r="H1547" s="8" t="s">
        <v>16</v>
      </c>
      <c r="I1547" s="9">
        <v>3675</v>
      </c>
      <c r="J1547" s="10">
        <v>69</v>
      </c>
      <c r="K1547" s="10">
        <v>69002</v>
      </c>
      <c r="L1547" s="3" t="str">
        <f t="shared" si="49"/>
        <v>ΒΙΟΜΗΧΑΝΙΚΗ_ΚΑΝΝΑΒΗ</v>
      </c>
    </row>
    <row r="1548" spans="1:12" s="3" customFormat="1" ht="24" x14ac:dyDescent="0.25">
      <c r="A1548" s="3" t="str">
        <f t="shared" si="48"/>
        <v>ΒΙΟΜΗΧΑΝΙΚΗ ΚΑΝΝΑΒΗBENIKO</v>
      </c>
      <c r="B1548" s="4" t="s">
        <v>2840</v>
      </c>
      <c r="C1548" s="5" t="s">
        <v>2845</v>
      </c>
      <c r="D1548" s="6">
        <v>835.84</v>
      </c>
      <c r="E1548" s="6">
        <v>845.67</v>
      </c>
      <c r="F1548" s="7" t="s">
        <v>14</v>
      </c>
      <c r="G1548" s="8" t="s">
        <v>2846</v>
      </c>
      <c r="H1548" s="8" t="s">
        <v>16</v>
      </c>
      <c r="I1548" s="9">
        <v>3677</v>
      </c>
      <c r="J1548" s="10">
        <v>69</v>
      </c>
      <c r="K1548" s="10">
        <v>69003</v>
      </c>
      <c r="L1548" s="3" t="str">
        <f t="shared" si="49"/>
        <v>ΒΙΟΜΗΧΑΝΙΚΗ_ΚΑΝΝΑΒΗ</v>
      </c>
    </row>
    <row r="1549" spans="1:12" s="3" customFormat="1" ht="24" x14ac:dyDescent="0.25">
      <c r="A1549" s="3" t="str">
        <f t="shared" si="48"/>
        <v>ΒΙΟΜΗΧΑΝΙΚΗ ΚΑΝΝΑΒΗBIALOBREZESKIE</v>
      </c>
      <c r="B1549" s="4" t="s">
        <v>2840</v>
      </c>
      <c r="C1549" s="5" t="s">
        <v>2847</v>
      </c>
      <c r="D1549" s="6">
        <v>835.84</v>
      </c>
      <c r="E1549" s="6">
        <v>845.67</v>
      </c>
      <c r="F1549" s="7" t="s">
        <v>14</v>
      </c>
      <c r="G1549" s="8" t="s">
        <v>2848</v>
      </c>
      <c r="H1549" s="8" t="s">
        <v>16</v>
      </c>
      <c r="I1549" s="9">
        <v>3679</v>
      </c>
      <c r="J1549" s="10">
        <v>69</v>
      </c>
      <c r="K1549" s="10">
        <v>69004</v>
      </c>
      <c r="L1549" s="3" t="str">
        <f t="shared" si="49"/>
        <v>ΒΙΟΜΗΧΑΝΙΚΗ_ΚΑΝΝΑΒΗ</v>
      </c>
    </row>
    <row r="1550" spans="1:12" s="3" customFormat="1" ht="24" x14ac:dyDescent="0.25">
      <c r="A1550" s="3" t="str">
        <f t="shared" si="48"/>
        <v>ΒΙΟΜΗΧΑΝΙΚΗ ΚΑΝΝΑΒΗCANNAKOMP</v>
      </c>
      <c r="B1550" s="4" t="s">
        <v>2840</v>
      </c>
      <c r="C1550" s="5" t="s">
        <v>2849</v>
      </c>
      <c r="D1550" s="6">
        <v>835.84</v>
      </c>
      <c r="E1550" s="6">
        <v>845.67</v>
      </c>
      <c r="F1550" s="7" t="s">
        <v>14</v>
      </c>
      <c r="G1550" s="8" t="s">
        <v>2850</v>
      </c>
      <c r="H1550" s="8" t="s">
        <v>16</v>
      </c>
      <c r="I1550" s="9">
        <v>3671</v>
      </c>
      <c r="J1550" s="10">
        <v>69</v>
      </c>
      <c r="K1550" s="10">
        <v>69005</v>
      </c>
      <c r="L1550" s="3" t="str">
        <f t="shared" si="49"/>
        <v>ΒΙΟΜΗΧΑΝΙΚΗ_ΚΑΝΝΑΒΗ</v>
      </c>
    </row>
    <row r="1551" spans="1:12" s="3" customFormat="1" ht="24" x14ac:dyDescent="0.25">
      <c r="A1551" s="3" t="str">
        <f t="shared" si="48"/>
        <v>ΒΙΟΜΗΧΑΝΙΚΗ ΚΑΝΝΑΒΗCARMA</v>
      </c>
      <c r="B1551" s="4" t="s">
        <v>2840</v>
      </c>
      <c r="C1551" s="5" t="s">
        <v>2851</v>
      </c>
      <c r="D1551" s="6">
        <v>835.84</v>
      </c>
      <c r="E1551" s="6">
        <v>845.67</v>
      </c>
      <c r="F1551" s="7" t="s">
        <v>14</v>
      </c>
      <c r="G1551" s="8" t="s">
        <v>2852</v>
      </c>
      <c r="H1551" s="8" t="s">
        <v>16</v>
      </c>
      <c r="I1551" s="9">
        <v>3667</v>
      </c>
      <c r="J1551" s="10">
        <v>69</v>
      </c>
      <c r="K1551" s="10">
        <v>69006</v>
      </c>
      <c r="L1551" s="3" t="str">
        <f t="shared" si="49"/>
        <v>ΒΙΟΜΗΧΑΝΙΚΗ_ΚΑΝΝΑΒΗ</v>
      </c>
    </row>
    <row r="1552" spans="1:12" s="3" customFormat="1" ht="24" x14ac:dyDescent="0.25">
      <c r="A1552" s="3" t="str">
        <f t="shared" si="48"/>
        <v>ΒΙΟΜΗΧΑΝΙΚΗ ΚΑΝΝΑΒΗCARMAGNOLA</v>
      </c>
      <c r="B1552" s="4" t="s">
        <v>2840</v>
      </c>
      <c r="C1552" s="5" t="s">
        <v>2853</v>
      </c>
      <c r="D1552" s="6">
        <v>835.84</v>
      </c>
      <c r="E1552" s="6">
        <v>845.67</v>
      </c>
      <c r="F1552" s="7" t="s">
        <v>14</v>
      </c>
      <c r="G1552" s="8" t="s">
        <v>2854</v>
      </c>
      <c r="H1552" s="8" t="s">
        <v>16</v>
      </c>
      <c r="I1552" s="9">
        <v>3664</v>
      </c>
      <c r="J1552" s="10">
        <v>69</v>
      </c>
      <c r="K1552" s="10">
        <v>69007</v>
      </c>
      <c r="L1552" s="3" t="str">
        <f t="shared" si="49"/>
        <v>ΒΙΟΜΗΧΑΝΙΚΗ_ΚΑΝΝΑΒΗ</v>
      </c>
    </row>
    <row r="1553" spans="1:12" s="3" customFormat="1" ht="24" x14ac:dyDescent="0.25">
      <c r="A1553" s="3" t="str">
        <f t="shared" si="48"/>
        <v>ΒΙΟΜΗΧΑΝΙΚΗ ΚΑΝΝΑΒΗCHAMAELEON</v>
      </c>
      <c r="B1553" s="4" t="s">
        <v>2840</v>
      </c>
      <c r="C1553" s="5" t="s">
        <v>2855</v>
      </c>
      <c r="D1553" s="6">
        <v>835.84</v>
      </c>
      <c r="E1553" s="6">
        <v>845.67</v>
      </c>
      <c r="F1553" s="7" t="s">
        <v>14</v>
      </c>
      <c r="G1553" s="8" t="s">
        <v>2856</v>
      </c>
      <c r="H1553" s="8" t="s">
        <v>16</v>
      </c>
      <c r="I1553" s="9">
        <v>3662</v>
      </c>
      <c r="J1553" s="10">
        <v>69</v>
      </c>
      <c r="K1553" s="10">
        <v>69008</v>
      </c>
      <c r="L1553" s="3" t="str">
        <f t="shared" si="49"/>
        <v>ΒΙΟΜΗΧΑΝΙΚΗ_ΚΑΝΝΑΒΗ</v>
      </c>
    </row>
    <row r="1554" spans="1:12" s="3" customFormat="1" ht="24" x14ac:dyDescent="0.25">
      <c r="A1554" s="3" t="str">
        <f t="shared" si="48"/>
        <v>ΒΙΟΜΗΧΑΝΙΚΗ ΚΑΝΝΑΒΗCODIMONO</v>
      </c>
      <c r="B1554" s="4" t="s">
        <v>2840</v>
      </c>
      <c r="C1554" s="5" t="s">
        <v>2857</v>
      </c>
      <c r="D1554" s="6">
        <v>835.84</v>
      </c>
      <c r="E1554" s="6">
        <v>845.67</v>
      </c>
      <c r="F1554" s="7" t="s">
        <v>14</v>
      </c>
      <c r="G1554" s="8" t="s">
        <v>2858</v>
      </c>
      <c r="H1554" s="8" t="s">
        <v>16</v>
      </c>
      <c r="I1554" s="9">
        <v>3661</v>
      </c>
      <c r="J1554" s="10">
        <v>69</v>
      </c>
      <c r="K1554" s="10">
        <v>69009</v>
      </c>
      <c r="L1554" s="3" t="str">
        <f t="shared" si="49"/>
        <v>ΒΙΟΜΗΧΑΝΙΚΗ_ΚΑΝΝΑΒΗ</v>
      </c>
    </row>
    <row r="1555" spans="1:12" s="3" customFormat="1" ht="24" x14ac:dyDescent="0.25">
      <c r="A1555" s="3" t="str">
        <f t="shared" si="48"/>
        <v>ΒΙΟΜΗΧΑΝΙΚΗ ΚΑΝΝΑΒΗCS</v>
      </c>
      <c r="B1555" s="4" t="s">
        <v>2840</v>
      </c>
      <c r="C1555" s="5" t="s">
        <v>2859</v>
      </c>
      <c r="D1555" s="6">
        <v>835.84</v>
      </c>
      <c r="E1555" s="6">
        <v>845.67</v>
      </c>
      <c r="F1555" s="7" t="s">
        <v>14</v>
      </c>
      <c r="G1555" s="8" t="s">
        <v>2860</v>
      </c>
      <c r="H1555" s="8" t="s">
        <v>16</v>
      </c>
      <c r="I1555" s="9">
        <v>3646</v>
      </c>
      <c r="J1555" s="10">
        <v>69</v>
      </c>
      <c r="K1555" s="10">
        <v>69010</v>
      </c>
      <c r="L1555" s="3" t="str">
        <f t="shared" si="49"/>
        <v>ΒΙΟΜΗΧΑΝΙΚΗ_ΚΑΝΝΑΒΗ</v>
      </c>
    </row>
    <row r="1556" spans="1:12" s="3" customFormat="1" ht="24" x14ac:dyDescent="0.25">
      <c r="A1556" s="3" t="str">
        <f t="shared" si="48"/>
        <v>ΒΙΟΜΗΧΑΝΙΚΗ ΚΑΝΝΑΒΗDACIA SECUIENI</v>
      </c>
      <c r="B1556" s="4" t="s">
        <v>2840</v>
      </c>
      <c r="C1556" s="5" t="s">
        <v>2861</v>
      </c>
      <c r="D1556" s="6">
        <v>835.84</v>
      </c>
      <c r="E1556" s="6">
        <v>845.67</v>
      </c>
      <c r="F1556" s="7" t="s">
        <v>14</v>
      </c>
      <c r="G1556" s="8" t="s">
        <v>2862</v>
      </c>
      <c r="H1556" s="8" t="s">
        <v>16</v>
      </c>
      <c r="I1556" s="9">
        <v>3672</v>
      </c>
      <c r="J1556" s="10">
        <v>69</v>
      </c>
      <c r="K1556" s="10">
        <v>69011</v>
      </c>
      <c r="L1556" s="3" t="str">
        <f t="shared" si="49"/>
        <v>ΒΙΟΜΗΧΑΝΙΚΗ_ΚΑΝΝΑΒΗ</v>
      </c>
    </row>
    <row r="1557" spans="1:12" s="3" customFormat="1" ht="24" x14ac:dyDescent="0.25">
      <c r="A1557" s="3" t="str">
        <f t="shared" si="48"/>
        <v>ΒΙΟΜΗΧΑΝΙΚΗ ΚΑΝΝΑΒΗDELTA-LLOSA</v>
      </c>
      <c r="B1557" s="4" t="s">
        <v>2840</v>
      </c>
      <c r="C1557" s="5" t="s">
        <v>2863</v>
      </c>
      <c r="D1557" s="6">
        <v>835.84</v>
      </c>
      <c r="E1557" s="6">
        <v>845.67</v>
      </c>
      <c r="F1557" s="7" t="s">
        <v>14</v>
      </c>
      <c r="G1557" s="8" t="s">
        <v>2864</v>
      </c>
      <c r="H1557" s="8" t="s">
        <v>16</v>
      </c>
      <c r="I1557" s="9">
        <v>3657</v>
      </c>
      <c r="J1557" s="10">
        <v>69</v>
      </c>
      <c r="K1557" s="10">
        <v>69012</v>
      </c>
      <c r="L1557" s="3" t="str">
        <f t="shared" si="49"/>
        <v>ΒΙΟΜΗΧΑΝΙΚΗ_ΚΑΝΝΑΒΗ</v>
      </c>
    </row>
    <row r="1558" spans="1:12" s="3" customFormat="1" ht="24" x14ac:dyDescent="0.25">
      <c r="A1558" s="3" t="str">
        <f t="shared" si="48"/>
        <v>ΒΙΟΜΗΧΑΝΙΚΗ ΚΑΝΝΑΒΗDELTA-405</v>
      </c>
      <c r="B1558" s="4" t="s">
        <v>2840</v>
      </c>
      <c r="C1558" s="5" t="s">
        <v>2865</v>
      </c>
      <c r="D1558" s="6">
        <v>835.84</v>
      </c>
      <c r="E1558" s="6">
        <v>845.67</v>
      </c>
      <c r="F1558" s="7" t="s">
        <v>14</v>
      </c>
      <c r="G1558" s="8" t="s">
        <v>2866</v>
      </c>
      <c r="H1558" s="8" t="s">
        <v>16</v>
      </c>
      <c r="I1558" s="9">
        <v>3655</v>
      </c>
      <c r="J1558" s="10">
        <v>69</v>
      </c>
      <c r="K1558" s="10">
        <v>69013</v>
      </c>
      <c r="L1558" s="3" t="str">
        <f t="shared" si="49"/>
        <v>ΒΙΟΜΗΧΑΝΙΚΗ_ΚΑΝΝΑΒΗ</v>
      </c>
    </row>
    <row r="1559" spans="1:12" s="3" customFormat="1" x14ac:dyDescent="0.25">
      <c r="A1559" s="3" t="str">
        <f t="shared" si="48"/>
        <v>ΒΙΟΜΗΧΑΝΙΚΗ ΚΑΝΝΑΒΗDENISE</v>
      </c>
      <c r="B1559" s="4" t="s">
        <v>2840</v>
      </c>
      <c r="C1559" s="5" t="s">
        <v>2867</v>
      </c>
      <c r="D1559" s="6">
        <v>835.84</v>
      </c>
      <c r="E1559" s="6">
        <v>845.67</v>
      </c>
      <c r="F1559" s="7" t="s">
        <v>14</v>
      </c>
      <c r="G1559" s="8" t="s">
        <v>2868</v>
      </c>
      <c r="H1559" s="8" t="s">
        <v>27</v>
      </c>
      <c r="I1559" s="9">
        <v>3653</v>
      </c>
      <c r="J1559" s="10">
        <v>69</v>
      </c>
      <c r="K1559" s="10">
        <v>69014</v>
      </c>
      <c r="L1559" s="3" t="str">
        <f t="shared" si="49"/>
        <v>ΒΙΟΜΗΧΑΝΙΚΗ_ΚΑΝΝΑΒΗ</v>
      </c>
    </row>
    <row r="1560" spans="1:12" s="3" customFormat="1" x14ac:dyDescent="0.25">
      <c r="A1560" s="3" t="str">
        <f t="shared" si="48"/>
        <v>ΒΙΟΜΗΧΑΝΙΚΗ ΚΑΝΝΑΒΗDIANA</v>
      </c>
      <c r="B1560" s="4" t="s">
        <v>2840</v>
      </c>
      <c r="C1560" s="5" t="s">
        <v>2869</v>
      </c>
      <c r="D1560" s="6">
        <v>835.84</v>
      </c>
      <c r="E1560" s="6">
        <v>845.67</v>
      </c>
      <c r="F1560" s="7" t="s">
        <v>14</v>
      </c>
      <c r="G1560" s="8" t="s">
        <v>2870</v>
      </c>
      <c r="H1560" s="8" t="s">
        <v>27</v>
      </c>
      <c r="I1560" s="9">
        <v>3651</v>
      </c>
      <c r="J1560" s="10">
        <v>69</v>
      </c>
      <c r="K1560" s="10">
        <v>69015</v>
      </c>
      <c r="L1560" s="3" t="str">
        <f t="shared" si="49"/>
        <v>ΒΙΟΜΗΧΑΝΙΚΗ_ΚΑΝΝΑΒΗ</v>
      </c>
    </row>
    <row r="1561" spans="1:12" s="3" customFormat="1" ht="24" x14ac:dyDescent="0.25">
      <c r="A1561" s="3" t="str">
        <f t="shared" si="48"/>
        <v>ΒΙΟΜΗΧΑΝΙΚΗ ΚΑΝΝΑΒΗDIOICA 88</v>
      </c>
      <c r="B1561" s="4" t="s">
        <v>2840</v>
      </c>
      <c r="C1561" s="5" t="s">
        <v>2871</v>
      </c>
      <c r="D1561" s="6">
        <v>835.84</v>
      </c>
      <c r="E1561" s="6">
        <v>845.67</v>
      </c>
      <c r="F1561" s="7" t="s">
        <v>14</v>
      </c>
      <c r="G1561" s="8" t="s">
        <v>2872</v>
      </c>
      <c r="H1561" s="8" t="s">
        <v>16</v>
      </c>
      <c r="I1561" s="9">
        <v>3682</v>
      </c>
      <c r="J1561" s="10">
        <v>69</v>
      </c>
      <c r="K1561" s="10">
        <v>69016</v>
      </c>
      <c r="L1561" s="3" t="str">
        <f t="shared" si="49"/>
        <v>ΒΙΟΜΗΧΑΝΙΚΗ_ΚΑΝΝΑΒΗ</v>
      </c>
    </row>
    <row r="1562" spans="1:12" s="3" customFormat="1" ht="24" x14ac:dyDescent="0.25">
      <c r="A1562" s="3" t="str">
        <f t="shared" si="48"/>
        <v>ΒΙΟΜΗΧΑΝΙΚΗ ΚΑΝΝΑΒΗEPSILON 68</v>
      </c>
      <c r="B1562" s="4" t="s">
        <v>2840</v>
      </c>
      <c r="C1562" s="5" t="s">
        <v>2873</v>
      </c>
      <c r="D1562" s="6">
        <v>835.84</v>
      </c>
      <c r="E1562" s="6">
        <v>845.67</v>
      </c>
      <c r="F1562" s="7" t="s">
        <v>14</v>
      </c>
      <c r="G1562" s="8" t="s">
        <v>2874</v>
      </c>
      <c r="H1562" s="8" t="s">
        <v>16</v>
      </c>
      <c r="I1562" s="9">
        <v>3658</v>
      </c>
      <c r="J1562" s="10">
        <v>69</v>
      </c>
      <c r="K1562" s="10">
        <v>69017</v>
      </c>
      <c r="L1562" s="3" t="str">
        <f t="shared" si="49"/>
        <v>ΒΙΟΜΗΧΑΝΙΚΗ_ΚΑΝΝΑΒΗ</v>
      </c>
    </row>
    <row r="1563" spans="1:12" s="3" customFormat="1" ht="24" x14ac:dyDescent="0.25">
      <c r="A1563" s="3" t="str">
        <f t="shared" si="48"/>
        <v>ΒΙΟΜΗΧΑΝΙΚΗ ΚΑΝΝΑΒΗFEDORA 17</v>
      </c>
      <c r="B1563" s="4" t="s">
        <v>2840</v>
      </c>
      <c r="C1563" s="5" t="s">
        <v>2875</v>
      </c>
      <c r="D1563" s="6">
        <v>835.84</v>
      </c>
      <c r="E1563" s="6">
        <v>845.67</v>
      </c>
      <c r="F1563" s="7" t="s">
        <v>14</v>
      </c>
      <c r="G1563" s="8" t="s">
        <v>2876</v>
      </c>
      <c r="H1563" s="8" t="s">
        <v>16</v>
      </c>
      <c r="I1563" s="9">
        <v>3688</v>
      </c>
      <c r="J1563" s="10">
        <v>69</v>
      </c>
      <c r="K1563" s="10">
        <v>69018</v>
      </c>
      <c r="L1563" s="3" t="str">
        <f t="shared" si="49"/>
        <v>ΒΙΟΜΗΧΑΝΙΚΗ_ΚΑΝΝΑΒΗ</v>
      </c>
    </row>
    <row r="1564" spans="1:12" s="3" customFormat="1" ht="24" x14ac:dyDescent="0.25">
      <c r="A1564" s="3" t="str">
        <f t="shared" si="48"/>
        <v>ΒΙΟΜΗΧΑΝΙΚΗ ΚΑΝΝΑΒΗFELINA 32</v>
      </c>
      <c r="B1564" s="4" t="s">
        <v>2840</v>
      </c>
      <c r="C1564" s="5" t="s">
        <v>2877</v>
      </c>
      <c r="D1564" s="6">
        <v>835.84</v>
      </c>
      <c r="E1564" s="6">
        <v>845.67</v>
      </c>
      <c r="F1564" s="7" t="s">
        <v>14</v>
      </c>
      <c r="G1564" s="8" t="s">
        <v>2878</v>
      </c>
      <c r="H1564" s="8" t="s">
        <v>16</v>
      </c>
      <c r="I1564" s="9">
        <v>3699</v>
      </c>
      <c r="J1564" s="10">
        <v>69</v>
      </c>
      <c r="K1564" s="10">
        <v>69019</v>
      </c>
      <c r="L1564" s="3" t="str">
        <f t="shared" si="49"/>
        <v>ΒΙΟΜΗΧΑΝΙΚΗ_ΚΑΝΝΑΒΗ</v>
      </c>
    </row>
    <row r="1565" spans="1:12" s="3" customFormat="1" ht="24" x14ac:dyDescent="0.25">
      <c r="A1565" s="3" t="str">
        <f t="shared" si="48"/>
        <v>ΒΙΟΜΗΧΑΝΙΚΗ ΚΑΝΝΑΒΗFERIMON</v>
      </c>
      <c r="B1565" s="4" t="s">
        <v>2840</v>
      </c>
      <c r="C1565" s="5" t="s">
        <v>2879</v>
      </c>
      <c r="D1565" s="6">
        <v>835.84</v>
      </c>
      <c r="E1565" s="6">
        <v>845.67</v>
      </c>
      <c r="F1565" s="7" t="s">
        <v>14</v>
      </c>
      <c r="G1565" s="8" t="s">
        <v>2880</v>
      </c>
      <c r="H1565" s="8" t="s">
        <v>16</v>
      </c>
      <c r="I1565" s="9">
        <v>3694</v>
      </c>
      <c r="J1565" s="10">
        <v>69</v>
      </c>
      <c r="K1565" s="10">
        <v>69020</v>
      </c>
      <c r="L1565" s="3" t="str">
        <f t="shared" si="49"/>
        <v>ΒΙΟΜΗΧΑΝΙΚΗ_ΚΑΝΝΑΒΗ</v>
      </c>
    </row>
    <row r="1566" spans="1:12" s="3" customFormat="1" ht="24" x14ac:dyDescent="0.25">
      <c r="A1566" s="3" t="str">
        <f t="shared" si="48"/>
        <v>ΒΙΟΜΗΧΑΝΙΚΗ ΚΑΝΝΑΒΗFIBRANOVA</v>
      </c>
      <c r="B1566" s="4" t="s">
        <v>2840</v>
      </c>
      <c r="C1566" s="5" t="s">
        <v>2881</v>
      </c>
      <c r="D1566" s="6">
        <v>835.84</v>
      </c>
      <c r="E1566" s="6">
        <v>845.67</v>
      </c>
      <c r="F1566" s="7" t="s">
        <v>14</v>
      </c>
      <c r="G1566" s="8" t="s">
        <v>2882</v>
      </c>
      <c r="H1566" s="8" t="s">
        <v>16</v>
      </c>
      <c r="I1566" s="9">
        <v>3696</v>
      </c>
      <c r="J1566" s="10">
        <v>69</v>
      </c>
      <c r="K1566" s="10">
        <v>69021</v>
      </c>
      <c r="L1566" s="3" t="str">
        <f t="shared" si="49"/>
        <v>ΒΙΟΜΗΧΑΝΙΚΗ_ΚΑΝΝΑΒΗ</v>
      </c>
    </row>
    <row r="1567" spans="1:12" s="3" customFormat="1" ht="24" x14ac:dyDescent="0.25">
      <c r="A1567" s="3" t="str">
        <f t="shared" si="48"/>
        <v>ΒΙΟΜΗΧΑΝΙΚΗ ΚΑΝΝΑΒΗFIBROL</v>
      </c>
      <c r="B1567" s="4" t="s">
        <v>2840</v>
      </c>
      <c r="C1567" s="5" t="s">
        <v>2883</v>
      </c>
      <c r="D1567" s="6">
        <v>835.84</v>
      </c>
      <c r="E1567" s="6">
        <v>845.67</v>
      </c>
      <c r="F1567" s="7" t="s">
        <v>14</v>
      </c>
      <c r="G1567" s="8" t="s">
        <v>2884</v>
      </c>
      <c r="H1567" s="8" t="s">
        <v>16</v>
      </c>
      <c r="I1567" s="9">
        <v>3698</v>
      </c>
      <c r="J1567" s="10">
        <v>69</v>
      </c>
      <c r="K1567" s="10">
        <v>69022</v>
      </c>
      <c r="L1567" s="3" t="str">
        <f t="shared" si="49"/>
        <v>ΒΙΟΜΗΧΑΝΙΚΗ_ΚΑΝΝΑΒΗ</v>
      </c>
    </row>
    <row r="1568" spans="1:12" s="3" customFormat="1" ht="24" x14ac:dyDescent="0.25">
      <c r="A1568" s="3" t="str">
        <f t="shared" si="48"/>
        <v>ΒΙΟΜΗΧΑΝΙΚΗ ΚΑΝΝΑΒΗFINOLA</v>
      </c>
      <c r="B1568" s="4" t="s">
        <v>2840</v>
      </c>
      <c r="C1568" s="5" t="s">
        <v>2885</v>
      </c>
      <c r="D1568" s="6">
        <v>835.84</v>
      </c>
      <c r="E1568" s="6">
        <v>845.67</v>
      </c>
      <c r="F1568" s="7" t="s">
        <v>14</v>
      </c>
      <c r="G1568" s="8" t="s">
        <v>2886</v>
      </c>
      <c r="H1568" s="8" t="s">
        <v>16</v>
      </c>
      <c r="I1568" s="9">
        <v>3685</v>
      </c>
      <c r="J1568" s="10">
        <v>69</v>
      </c>
      <c r="K1568" s="10">
        <v>69023</v>
      </c>
      <c r="L1568" s="3" t="str">
        <f t="shared" si="49"/>
        <v>ΒΙΟΜΗΧΑΝΙΚΗ_ΚΑΝΝΑΒΗ</v>
      </c>
    </row>
    <row r="1569" spans="1:12" s="3" customFormat="1" ht="24" x14ac:dyDescent="0.25">
      <c r="A1569" s="3" t="str">
        <f t="shared" si="48"/>
        <v>ΒΙΟΜΗΧΑΝΙΚΗ ΚΑΝΝΑΒΗFUTURA 75</v>
      </c>
      <c r="B1569" s="4" t="s">
        <v>2840</v>
      </c>
      <c r="C1569" s="5" t="s">
        <v>2887</v>
      </c>
      <c r="D1569" s="6">
        <v>835.84</v>
      </c>
      <c r="E1569" s="6">
        <v>845.67</v>
      </c>
      <c r="F1569" s="7" t="s">
        <v>14</v>
      </c>
      <c r="G1569" s="8" t="s">
        <v>2888</v>
      </c>
      <c r="H1569" s="8" t="s">
        <v>16</v>
      </c>
      <c r="I1569" s="9">
        <v>3683</v>
      </c>
      <c r="J1569" s="10">
        <v>69</v>
      </c>
      <c r="K1569" s="10">
        <v>69024</v>
      </c>
      <c r="L1569" s="3" t="str">
        <f t="shared" si="49"/>
        <v>ΒΙΟΜΗΧΑΝΙΚΗ_ΚΑΝΝΑΒΗ</v>
      </c>
    </row>
    <row r="1570" spans="1:12" s="3" customFormat="1" ht="24" x14ac:dyDescent="0.25">
      <c r="A1570" s="3" t="str">
        <f t="shared" si="48"/>
        <v>ΒΙΟΜΗΧΑΝΙΚΗ ΚΑΝΝΑΒΗIVORY</v>
      </c>
      <c r="B1570" s="4" t="s">
        <v>2840</v>
      </c>
      <c r="C1570" s="5" t="s">
        <v>2889</v>
      </c>
      <c r="D1570" s="6">
        <v>835.84</v>
      </c>
      <c r="E1570" s="6">
        <v>845.67</v>
      </c>
      <c r="F1570" s="7" t="s">
        <v>14</v>
      </c>
      <c r="G1570" s="8" t="s">
        <v>2890</v>
      </c>
      <c r="H1570" s="8" t="s">
        <v>16</v>
      </c>
      <c r="I1570" s="9">
        <v>3681</v>
      </c>
      <c r="J1570" s="10">
        <v>69</v>
      </c>
      <c r="K1570" s="10">
        <v>69025</v>
      </c>
      <c r="L1570" s="3" t="str">
        <f t="shared" si="49"/>
        <v>ΒΙΟΜΗΧΑΝΙΚΗ_ΚΑΝΝΑΒΗ</v>
      </c>
    </row>
    <row r="1571" spans="1:12" s="3" customFormat="1" ht="24" x14ac:dyDescent="0.25">
      <c r="A1571" s="3" t="str">
        <f t="shared" si="48"/>
        <v>ΒΙΟΜΗΧΑΝΙΚΗ ΚΑΝΝΑΒΗKC DORA</v>
      </c>
      <c r="B1571" s="4" t="s">
        <v>2840</v>
      </c>
      <c r="C1571" s="5" t="s">
        <v>2891</v>
      </c>
      <c r="D1571" s="6">
        <v>835.84</v>
      </c>
      <c r="E1571" s="6">
        <v>845.67</v>
      </c>
      <c r="F1571" s="7" t="s">
        <v>14</v>
      </c>
      <c r="G1571" s="8" t="s">
        <v>2892</v>
      </c>
      <c r="H1571" s="8" t="s">
        <v>16</v>
      </c>
      <c r="I1571" s="9">
        <v>3665</v>
      </c>
      <c r="J1571" s="10">
        <v>69</v>
      </c>
      <c r="K1571" s="10">
        <v>69026</v>
      </c>
      <c r="L1571" s="3" t="str">
        <f t="shared" si="49"/>
        <v>ΒΙΟΜΗΧΑΝΙΚΗ_ΚΑΝΝΑΒΗ</v>
      </c>
    </row>
    <row r="1572" spans="1:12" s="3" customFormat="1" ht="24" x14ac:dyDescent="0.25">
      <c r="A1572" s="3" t="str">
        <f t="shared" si="48"/>
        <v>ΒΙΟΜΗΧΑΝΙΚΗ ΚΑΝΝΑΒΗKC VIRTUS</v>
      </c>
      <c r="B1572" s="4" t="s">
        <v>2840</v>
      </c>
      <c r="C1572" s="5" t="s">
        <v>2893</v>
      </c>
      <c r="D1572" s="6">
        <v>835.84</v>
      </c>
      <c r="E1572" s="6">
        <v>845.67</v>
      </c>
      <c r="F1572" s="7" t="s">
        <v>14</v>
      </c>
      <c r="G1572" s="8" t="s">
        <v>2894</v>
      </c>
      <c r="H1572" s="8" t="s">
        <v>16</v>
      </c>
      <c r="I1572" s="9">
        <v>3686</v>
      </c>
      <c r="J1572" s="10">
        <v>69</v>
      </c>
      <c r="K1572" s="10">
        <v>69027</v>
      </c>
      <c r="L1572" s="3" t="str">
        <f t="shared" si="49"/>
        <v>ΒΙΟΜΗΧΑΝΙΚΗ_ΚΑΝΝΑΒΗ</v>
      </c>
    </row>
    <row r="1573" spans="1:12" s="3" customFormat="1" ht="24" x14ac:dyDescent="0.25">
      <c r="A1573" s="3" t="str">
        <f t="shared" si="48"/>
        <v>ΒΙΟΜΗΧΑΝΙΚΗ ΚΑΝΝΑΒΗKC ZUZANA</v>
      </c>
      <c r="B1573" s="4" t="s">
        <v>2840</v>
      </c>
      <c r="C1573" s="5" t="s">
        <v>2895</v>
      </c>
      <c r="D1573" s="6">
        <v>835.84</v>
      </c>
      <c r="E1573" s="6">
        <v>845.67</v>
      </c>
      <c r="F1573" s="7" t="s">
        <v>14</v>
      </c>
      <c r="G1573" s="8" t="s">
        <v>2896</v>
      </c>
      <c r="H1573" s="8" t="s">
        <v>16</v>
      </c>
      <c r="I1573" s="9">
        <v>3687</v>
      </c>
      <c r="J1573" s="10">
        <v>69</v>
      </c>
      <c r="K1573" s="10">
        <v>69028</v>
      </c>
      <c r="L1573" s="3" t="str">
        <f t="shared" si="49"/>
        <v>ΒΙΟΜΗΧΑΝΙΚΗ_ΚΑΝΝΑΒΗ</v>
      </c>
    </row>
    <row r="1574" spans="1:12" s="3" customFormat="1" ht="24" x14ac:dyDescent="0.25">
      <c r="A1574" s="3" t="str">
        <f t="shared" si="48"/>
        <v>ΒΙΟΜΗΧΑΝΙΚΗ ΚΑΝΝΑΒΗKOMPOLTI</v>
      </c>
      <c r="B1574" s="4" t="s">
        <v>2840</v>
      </c>
      <c r="C1574" s="5" t="s">
        <v>2897</v>
      </c>
      <c r="D1574" s="6">
        <v>835.84</v>
      </c>
      <c r="E1574" s="6">
        <v>845.67</v>
      </c>
      <c r="F1574" s="7" t="s">
        <v>14</v>
      </c>
      <c r="G1574" s="8" t="s">
        <v>2898</v>
      </c>
      <c r="H1574" s="8" t="s">
        <v>16</v>
      </c>
      <c r="I1574" s="9">
        <v>3660</v>
      </c>
      <c r="J1574" s="10">
        <v>69</v>
      </c>
      <c r="K1574" s="10">
        <v>69029</v>
      </c>
      <c r="L1574" s="3" t="str">
        <f t="shared" si="49"/>
        <v>ΒΙΟΜΗΧΑΝΙΚΗ_ΚΑΝΝΑΒΗ</v>
      </c>
    </row>
    <row r="1575" spans="1:12" s="3" customFormat="1" ht="24" x14ac:dyDescent="0.25">
      <c r="A1575" s="3" t="str">
        <f t="shared" si="48"/>
        <v>ΒΙΟΜΗΧΑΝΙΚΗ ΚΑΝΝΑΒΗKOMPOLTI HIBRID TC</v>
      </c>
      <c r="B1575" s="4" t="s">
        <v>2840</v>
      </c>
      <c r="C1575" s="5" t="s">
        <v>2899</v>
      </c>
      <c r="D1575" s="6">
        <v>835.84</v>
      </c>
      <c r="E1575" s="6">
        <v>845.67</v>
      </c>
      <c r="F1575" s="7" t="s">
        <v>14</v>
      </c>
      <c r="G1575" s="8" t="s">
        <v>2900</v>
      </c>
      <c r="H1575" s="8" t="s">
        <v>16</v>
      </c>
      <c r="I1575" s="9">
        <v>3654</v>
      </c>
      <c r="J1575" s="10">
        <v>69</v>
      </c>
      <c r="K1575" s="10">
        <v>69030</v>
      </c>
      <c r="L1575" s="3" t="str">
        <f t="shared" si="49"/>
        <v>ΒΙΟΜΗΧΑΝΙΚΗ_ΚΑΝΝΑΒΗ</v>
      </c>
    </row>
    <row r="1576" spans="1:12" s="3" customFormat="1" ht="24" x14ac:dyDescent="0.25">
      <c r="A1576" s="3" t="str">
        <f t="shared" si="48"/>
        <v>ΒΙΟΜΗΧΑΝΙΚΗ ΚΑΝΝΑΒΗLIPKO</v>
      </c>
      <c r="B1576" s="4" t="s">
        <v>2840</v>
      </c>
      <c r="C1576" s="5" t="s">
        <v>2901</v>
      </c>
      <c r="D1576" s="6">
        <v>835.84</v>
      </c>
      <c r="E1576" s="6">
        <v>845.67</v>
      </c>
      <c r="F1576" s="7" t="s">
        <v>14</v>
      </c>
      <c r="G1576" s="8" t="s">
        <v>2902</v>
      </c>
      <c r="H1576" s="8" t="s">
        <v>16</v>
      </c>
      <c r="I1576" s="9">
        <v>3659</v>
      </c>
      <c r="J1576" s="10">
        <v>69</v>
      </c>
      <c r="K1576" s="10">
        <v>69031</v>
      </c>
      <c r="L1576" s="3" t="str">
        <f t="shared" si="49"/>
        <v>ΒΙΟΜΗΧΑΝΙΚΗ_ΚΑΝΝΑΒΗ</v>
      </c>
    </row>
    <row r="1577" spans="1:12" s="3" customFormat="1" ht="24" x14ac:dyDescent="0.25">
      <c r="A1577" s="3" t="str">
        <f t="shared" si="48"/>
        <v>ΒΙΟΜΗΧΑΝΙΚΗ ΚΑΝΝΑΒΗLOVRIN 110</v>
      </c>
      <c r="B1577" s="4" t="s">
        <v>2840</v>
      </c>
      <c r="C1577" s="5" t="s">
        <v>2903</v>
      </c>
      <c r="D1577" s="6">
        <v>835.84</v>
      </c>
      <c r="E1577" s="6">
        <v>845.67</v>
      </c>
      <c r="F1577" s="7" t="s">
        <v>14</v>
      </c>
      <c r="G1577" s="8" t="s">
        <v>2904</v>
      </c>
      <c r="H1577" s="8" t="s">
        <v>16</v>
      </c>
      <c r="I1577" s="9">
        <v>3663</v>
      </c>
      <c r="J1577" s="10">
        <v>69</v>
      </c>
      <c r="K1577" s="10">
        <v>69032</v>
      </c>
      <c r="L1577" s="3" t="str">
        <f t="shared" si="49"/>
        <v>ΒΙΟΜΗΧΑΝΙΚΗ_ΚΑΝΝΑΒΗ</v>
      </c>
    </row>
    <row r="1578" spans="1:12" s="3" customFormat="1" ht="24" x14ac:dyDescent="0.25">
      <c r="A1578" s="3" t="str">
        <f t="shared" si="48"/>
        <v>ΒΙΟΜΗΧΑΝΙΚΗ ΚΑΝΝΑΒΗMARCELLO</v>
      </c>
      <c r="B1578" s="4" t="s">
        <v>2840</v>
      </c>
      <c r="C1578" s="5" t="s">
        <v>2905</v>
      </c>
      <c r="D1578" s="6">
        <v>835.84</v>
      </c>
      <c r="E1578" s="6">
        <v>845.67</v>
      </c>
      <c r="F1578" s="7" t="s">
        <v>14</v>
      </c>
      <c r="G1578" s="8" t="s">
        <v>2906</v>
      </c>
      <c r="H1578" s="8" t="s">
        <v>16</v>
      </c>
      <c r="I1578" s="9">
        <v>3666</v>
      </c>
      <c r="J1578" s="10">
        <v>69</v>
      </c>
      <c r="K1578" s="10">
        <v>69033</v>
      </c>
      <c r="L1578" s="3" t="str">
        <f t="shared" si="49"/>
        <v>ΒΙΟΜΗΧΑΝΙΚΗ_ΚΑΝΝΑΒΗ</v>
      </c>
    </row>
    <row r="1579" spans="1:12" s="3" customFormat="1" ht="24" x14ac:dyDescent="0.25">
      <c r="A1579" s="3" t="str">
        <f t="shared" si="48"/>
        <v>ΒΙΟΜΗΧΑΝΙΚΗ ΚΑΝΝΑΒΗMARKANT</v>
      </c>
      <c r="B1579" s="4" t="s">
        <v>2840</v>
      </c>
      <c r="C1579" s="5" t="s">
        <v>2907</v>
      </c>
      <c r="D1579" s="6">
        <v>835.84</v>
      </c>
      <c r="E1579" s="6">
        <v>845.67</v>
      </c>
      <c r="F1579" s="7" t="s">
        <v>14</v>
      </c>
      <c r="G1579" s="8" t="s">
        <v>2908</v>
      </c>
      <c r="H1579" s="8" t="s">
        <v>16</v>
      </c>
      <c r="I1579" s="9">
        <v>3669</v>
      </c>
      <c r="J1579" s="10">
        <v>69</v>
      </c>
      <c r="K1579" s="10">
        <v>69034</v>
      </c>
      <c r="L1579" s="3" t="str">
        <f t="shared" si="49"/>
        <v>ΒΙΟΜΗΧΑΝΙΚΗ_ΚΑΝΝΑΒΗ</v>
      </c>
    </row>
    <row r="1580" spans="1:12" s="3" customFormat="1" ht="24" x14ac:dyDescent="0.25">
      <c r="A1580" s="3" t="str">
        <f t="shared" si="48"/>
        <v>ΒΙΟΜΗΧΑΝΙΚΗ ΚΑΝΝΑΒΗMONOICA</v>
      </c>
      <c r="B1580" s="4" t="s">
        <v>2840</v>
      </c>
      <c r="C1580" s="5" t="s">
        <v>2909</v>
      </c>
      <c r="D1580" s="6">
        <v>835.84</v>
      </c>
      <c r="E1580" s="6">
        <v>845.67</v>
      </c>
      <c r="F1580" s="7" t="s">
        <v>14</v>
      </c>
      <c r="G1580" s="8" t="s">
        <v>2910</v>
      </c>
      <c r="H1580" s="8" t="s">
        <v>16</v>
      </c>
      <c r="I1580" s="9">
        <v>3649</v>
      </c>
      <c r="J1580" s="10">
        <v>69</v>
      </c>
      <c r="K1580" s="10">
        <v>69035</v>
      </c>
      <c r="L1580" s="3" t="str">
        <f t="shared" si="49"/>
        <v>ΒΙΟΜΗΧΑΝΙΚΗ_ΚΑΝΝΑΒΗ</v>
      </c>
    </row>
    <row r="1581" spans="1:12" s="3" customFormat="1" ht="24" x14ac:dyDescent="0.25">
      <c r="A1581" s="3" t="str">
        <f t="shared" si="48"/>
        <v>ΒΙΟΜΗΧΑΝΙΚΗ ΚΑΝΝΑΒΗRAJAN</v>
      </c>
      <c r="B1581" s="4" t="s">
        <v>2840</v>
      </c>
      <c r="C1581" s="5" t="s">
        <v>2911</v>
      </c>
      <c r="D1581" s="6">
        <v>835.84</v>
      </c>
      <c r="E1581" s="6">
        <v>845.67</v>
      </c>
      <c r="F1581" s="7" t="s">
        <v>14</v>
      </c>
      <c r="G1581" s="8" t="s">
        <v>2912</v>
      </c>
      <c r="H1581" s="8" t="s">
        <v>16</v>
      </c>
      <c r="I1581" s="9">
        <v>3670</v>
      </c>
      <c r="J1581" s="10">
        <v>69</v>
      </c>
      <c r="K1581" s="10">
        <v>69036</v>
      </c>
      <c r="L1581" s="3" t="str">
        <f t="shared" si="49"/>
        <v>ΒΙΟΜΗΧΑΝΙΚΗ_ΚΑΝΝΑΒΗ</v>
      </c>
    </row>
    <row r="1582" spans="1:12" s="3" customFormat="1" ht="24" x14ac:dyDescent="0.25">
      <c r="A1582" s="3" t="str">
        <f t="shared" si="48"/>
        <v>ΒΙΟΜΗΧΑΝΙΚΗ ΚΑΝΝΑΒΗSANTHICA 23</v>
      </c>
      <c r="B1582" s="4" t="s">
        <v>2840</v>
      </c>
      <c r="C1582" s="5" t="s">
        <v>2913</v>
      </c>
      <c r="D1582" s="6">
        <v>835.84</v>
      </c>
      <c r="E1582" s="6">
        <v>845.67</v>
      </c>
      <c r="F1582" s="7" t="s">
        <v>14</v>
      </c>
      <c r="G1582" s="8" t="s">
        <v>2914</v>
      </c>
      <c r="H1582" s="8" t="s">
        <v>16</v>
      </c>
      <c r="I1582" s="9">
        <v>3668</v>
      </c>
      <c r="J1582" s="10">
        <v>69</v>
      </c>
      <c r="K1582" s="10">
        <v>69037</v>
      </c>
      <c r="L1582" s="3" t="str">
        <f t="shared" si="49"/>
        <v>ΒΙΟΜΗΧΑΝΙΚΗ_ΚΑΝΝΑΒΗ</v>
      </c>
    </row>
    <row r="1583" spans="1:12" s="3" customFormat="1" ht="24" x14ac:dyDescent="0.25">
      <c r="A1583" s="3" t="str">
        <f t="shared" si="48"/>
        <v>ΒΙΟΜΗΧΑΝΙΚΗ ΚΑΝΝΑΒΗSANTHICA 27</v>
      </c>
      <c r="B1583" s="4" t="s">
        <v>2840</v>
      </c>
      <c r="C1583" s="5" t="s">
        <v>2915</v>
      </c>
      <c r="D1583" s="6">
        <v>835.84</v>
      </c>
      <c r="E1583" s="6">
        <v>845.67</v>
      </c>
      <c r="F1583" s="7" t="s">
        <v>14</v>
      </c>
      <c r="G1583" s="8" t="s">
        <v>2916</v>
      </c>
      <c r="H1583" s="8" t="s">
        <v>16</v>
      </c>
      <c r="I1583" s="9">
        <v>3652</v>
      </c>
      <c r="J1583" s="10">
        <v>69</v>
      </c>
      <c r="K1583" s="10">
        <v>69038</v>
      </c>
      <c r="L1583" s="3" t="str">
        <f t="shared" si="49"/>
        <v>ΒΙΟΜΗΧΑΝΙΚΗ_ΚΑΝΝΑΒΗ</v>
      </c>
    </row>
    <row r="1584" spans="1:12" s="3" customFormat="1" ht="24" x14ac:dyDescent="0.25">
      <c r="A1584" s="3" t="str">
        <f t="shared" si="48"/>
        <v>ΒΙΟΜΗΧΑΝΙΚΗ ΚΑΝΝΑΒΗSANTHICA 70</v>
      </c>
      <c r="B1584" s="4" t="s">
        <v>2840</v>
      </c>
      <c r="C1584" s="5" t="s">
        <v>2917</v>
      </c>
      <c r="D1584" s="6">
        <v>835.84</v>
      </c>
      <c r="E1584" s="6">
        <v>845.67</v>
      </c>
      <c r="F1584" s="7" t="s">
        <v>14</v>
      </c>
      <c r="G1584" s="8" t="s">
        <v>2918</v>
      </c>
      <c r="H1584" s="8" t="s">
        <v>16</v>
      </c>
      <c r="I1584" s="9">
        <v>3650</v>
      </c>
      <c r="J1584" s="10">
        <v>69</v>
      </c>
      <c r="K1584" s="10">
        <v>69039</v>
      </c>
      <c r="L1584" s="3" t="str">
        <f t="shared" si="49"/>
        <v>ΒΙΟΜΗΧΑΝΙΚΗ_ΚΑΝΝΑΒΗ</v>
      </c>
    </row>
    <row r="1585" spans="1:12" s="3" customFormat="1" ht="24" x14ac:dyDescent="0.25">
      <c r="A1585" s="3" t="str">
        <f t="shared" si="48"/>
        <v>ΒΙΟΜΗΧΑΝΙΚΗ ΚΑΝΝΑΒΗSECUIENI JUBILEU</v>
      </c>
      <c r="B1585" s="4" t="s">
        <v>2840</v>
      </c>
      <c r="C1585" s="5" t="s">
        <v>2919</v>
      </c>
      <c r="D1585" s="6">
        <v>835.84</v>
      </c>
      <c r="E1585" s="6">
        <v>845.67</v>
      </c>
      <c r="F1585" s="7" t="s">
        <v>14</v>
      </c>
      <c r="G1585" s="8" t="s">
        <v>2920</v>
      </c>
      <c r="H1585" s="8" t="s">
        <v>16</v>
      </c>
      <c r="I1585" s="9">
        <v>3648</v>
      </c>
      <c r="J1585" s="10">
        <v>69</v>
      </c>
      <c r="K1585" s="10">
        <v>69040</v>
      </c>
      <c r="L1585" s="3" t="str">
        <f t="shared" si="49"/>
        <v>ΒΙΟΜΗΧΑΝΙΚΗ_ΚΑΝΝΑΒΗ</v>
      </c>
    </row>
    <row r="1586" spans="1:12" s="3" customFormat="1" ht="24" x14ac:dyDescent="0.25">
      <c r="A1586" s="3" t="str">
        <f t="shared" si="48"/>
        <v>ΒΙΟΜΗΧΑΝΙΚΗ ΚΑΝΝΑΒΗSILVANA</v>
      </c>
      <c r="B1586" s="4" t="s">
        <v>2840</v>
      </c>
      <c r="C1586" s="5" t="s">
        <v>2921</v>
      </c>
      <c r="D1586" s="6">
        <v>835.84</v>
      </c>
      <c r="E1586" s="6">
        <v>845.67</v>
      </c>
      <c r="F1586" s="7" t="s">
        <v>14</v>
      </c>
      <c r="G1586" s="8" t="s">
        <v>2922</v>
      </c>
      <c r="H1586" s="8" t="s">
        <v>16</v>
      </c>
      <c r="I1586" s="9">
        <v>3647</v>
      </c>
      <c r="J1586" s="10">
        <v>69</v>
      </c>
      <c r="K1586" s="10">
        <v>69041</v>
      </c>
      <c r="L1586" s="3" t="str">
        <f t="shared" si="49"/>
        <v>ΒΙΟΜΗΧΑΝΙΚΗ_ΚΑΝΝΑΒΗ</v>
      </c>
    </row>
    <row r="1587" spans="1:12" s="3" customFormat="1" x14ac:dyDescent="0.25">
      <c r="A1587" s="3" t="str">
        <f t="shared" si="48"/>
        <v>ΒΙΟΜΗΧΑΝΙΚΗ ΚΑΝΝΑΒΗSZARVASI</v>
      </c>
      <c r="B1587" s="4" t="s">
        <v>2840</v>
      </c>
      <c r="C1587" s="5" t="s">
        <v>2923</v>
      </c>
      <c r="D1587" s="6">
        <v>835.84</v>
      </c>
      <c r="E1587" s="6">
        <v>845.67</v>
      </c>
      <c r="F1587" s="7" t="s">
        <v>14</v>
      </c>
      <c r="G1587" s="8" t="s">
        <v>2924</v>
      </c>
      <c r="H1587" s="8" t="s">
        <v>27</v>
      </c>
      <c r="I1587" s="9">
        <v>3684</v>
      </c>
      <c r="J1587" s="10">
        <v>69</v>
      </c>
      <c r="K1587" s="10">
        <v>69042</v>
      </c>
      <c r="L1587" s="3" t="str">
        <f t="shared" si="49"/>
        <v>ΒΙΟΜΗΧΑΝΙΚΗ_ΚΑΝΝΑΒΗ</v>
      </c>
    </row>
    <row r="1588" spans="1:12" s="3" customFormat="1" ht="24" x14ac:dyDescent="0.25">
      <c r="A1588" s="3" t="str">
        <f t="shared" si="48"/>
        <v>ΒΙΟΜΗΧΑΝΙΚΗ ΚΑΝΝΑΒΗTIBORSZALLASI</v>
      </c>
      <c r="B1588" s="4" t="s">
        <v>2840</v>
      </c>
      <c r="C1588" s="5" t="s">
        <v>2925</v>
      </c>
      <c r="D1588" s="6">
        <v>835.84</v>
      </c>
      <c r="E1588" s="6">
        <v>845.67</v>
      </c>
      <c r="F1588" s="7" t="s">
        <v>14</v>
      </c>
      <c r="G1588" s="8" t="s">
        <v>2926</v>
      </c>
      <c r="H1588" s="8" t="s">
        <v>16</v>
      </c>
      <c r="I1588" s="9">
        <v>3689</v>
      </c>
      <c r="J1588" s="10">
        <v>69</v>
      </c>
      <c r="K1588" s="10">
        <v>69043</v>
      </c>
      <c r="L1588" s="3" t="str">
        <f t="shared" si="49"/>
        <v>ΒΙΟΜΗΧΑΝΙΚΗ_ΚΑΝΝΑΒΗ</v>
      </c>
    </row>
    <row r="1589" spans="1:12" s="3" customFormat="1" ht="24" x14ac:dyDescent="0.25">
      <c r="A1589" s="3" t="str">
        <f t="shared" si="48"/>
        <v>ΒΙΟΜΗΧΑΝΙΚΗ ΚΑΝΝΑΒΗTISZA</v>
      </c>
      <c r="B1589" s="4" t="s">
        <v>2840</v>
      </c>
      <c r="C1589" s="5" t="s">
        <v>2927</v>
      </c>
      <c r="D1589" s="6">
        <v>835.84</v>
      </c>
      <c r="E1589" s="6">
        <v>845.67</v>
      </c>
      <c r="F1589" s="7" t="s">
        <v>14</v>
      </c>
      <c r="G1589" s="8" t="s">
        <v>2928</v>
      </c>
      <c r="H1589" s="8" t="s">
        <v>16</v>
      </c>
      <c r="I1589" s="9">
        <v>3691</v>
      </c>
      <c r="J1589" s="10">
        <v>69</v>
      </c>
      <c r="K1589" s="10">
        <v>69044</v>
      </c>
      <c r="L1589" s="3" t="str">
        <f t="shared" si="49"/>
        <v>ΒΙΟΜΗΧΑΝΙΚΗ_ΚΑΝΝΑΒΗ</v>
      </c>
    </row>
    <row r="1590" spans="1:12" s="3" customFormat="1" ht="24" x14ac:dyDescent="0.25">
      <c r="A1590" s="3" t="str">
        <f t="shared" si="48"/>
        <v>ΒΙΟΜΗΧΑΝΙΚΗ ΚΑΝΝΑΒΗTYGRA</v>
      </c>
      <c r="B1590" s="4" t="s">
        <v>2840</v>
      </c>
      <c r="C1590" s="5" t="s">
        <v>2929</v>
      </c>
      <c r="D1590" s="6">
        <v>835.84</v>
      </c>
      <c r="E1590" s="6">
        <v>845.67</v>
      </c>
      <c r="F1590" s="7" t="s">
        <v>14</v>
      </c>
      <c r="G1590" s="8" t="s">
        <v>2930</v>
      </c>
      <c r="H1590" s="8" t="s">
        <v>16</v>
      </c>
      <c r="I1590" s="9">
        <v>3693</v>
      </c>
      <c r="J1590" s="10">
        <v>69</v>
      </c>
      <c r="K1590" s="10">
        <v>69045</v>
      </c>
      <c r="L1590" s="3" t="str">
        <f t="shared" si="49"/>
        <v>ΒΙΟΜΗΧΑΝΙΚΗ_ΚΑΝΝΑΒΗ</v>
      </c>
    </row>
    <row r="1591" spans="1:12" s="3" customFormat="1" ht="24" x14ac:dyDescent="0.25">
      <c r="A1591" s="3" t="str">
        <f t="shared" si="48"/>
        <v>ΒΙΟΜΗΧΑΝΙΚΗ ΚΑΝΝΑΒΗUNICO B</v>
      </c>
      <c r="B1591" s="4" t="s">
        <v>2840</v>
      </c>
      <c r="C1591" s="5" t="s">
        <v>2931</v>
      </c>
      <c r="D1591" s="6">
        <v>835.84</v>
      </c>
      <c r="E1591" s="6">
        <v>845.67</v>
      </c>
      <c r="F1591" s="7" t="s">
        <v>14</v>
      </c>
      <c r="G1591" s="8" t="s">
        <v>2932</v>
      </c>
      <c r="H1591" s="8" t="s">
        <v>16</v>
      </c>
      <c r="I1591" s="9">
        <v>3695</v>
      </c>
      <c r="J1591" s="10">
        <v>69</v>
      </c>
      <c r="K1591" s="10">
        <v>69046</v>
      </c>
      <c r="L1591" s="3" t="str">
        <f t="shared" si="49"/>
        <v>ΒΙΟΜΗΧΑΝΙΚΗ_ΚΑΝΝΑΒΗ</v>
      </c>
    </row>
    <row r="1592" spans="1:12" s="3" customFormat="1" ht="24" x14ac:dyDescent="0.25">
      <c r="A1592" s="3" t="str">
        <f t="shared" si="48"/>
        <v>ΒΙΟΜΗΧΑΝΙΚΗ ΚΑΝΝΑΒΗUSO-31</v>
      </c>
      <c r="B1592" s="4" t="s">
        <v>2840</v>
      </c>
      <c r="C1592" s="5" t="s">
        <v>2933</v>
      </c>
      <c r="D1592" s="6">
        <v>835.84</v>
      </c>
      <c r="E1592" s="6">
        <v>845.67</v>
      </c>
      <c r="F1592" s="7" t="s">
        <v>14</v>
      </c>
      <c r="G1592" s="8" t="s">
        <v>2934</v>
      </c>
      <c r="H1592" s="8" t="s">
        <v>16</v>
      </c>
      <c r="I1592" s="9">
        <v>3697</v>
      </c>
      <c r="J1592" s="10">
        <v>69</v>
      </c>
      <c r="K1592" s="10">
        <v>69047</v>
      </c>
      <c r="L1592" s="3" t="str">
        <f t="shared" si="49"/>
        <v>ΒΙΟΜΗΧΑΝΙΚΗ_ΚΑΝΝΑΒΗ</v>
      </c>
    </row>
    <row r="1593" spans="1:12" s="3" customFormat="1" ht="24" x14ac:dyDescent="0.25">
      <c r="A1593" s="3" t="str">
        <f t="shared" si="48"/>
        <v>ΒΙΟΜΗΧΑΝΙΚΗ ΚΑΝΝΑΒΗWIELKOPOLSKIE</v>
      </c>
      <c r="B1593" s="4" t="s">
        <v>2840</v>
      </c>
      <c r="C1593" s="5" t="s">
        <v>2935</v>
      </c>
      <c r="D1593" s="6">
        <v>835.84</v>
      </c>
      <c r="E1593" s="6">
        <v>845.67</v>
      </c>
      <c r="F1593" s="7" t="s">
        <v>14</v>
      </c>
      <c r="G1593" s="8" t="s">
        <v>2936</v>
      </c>
      <c r="H1593" s="8" t="s">
        <v>16</v>
      </c>
      <c r="I1593" s="9">
        <v>3692</v>
      </c>
      <c r="J1593" s="10">
        <v>69</v>
      </c>
      <c r="K1593" s="10">
        <v>69048</v>
      </c>
      <c r="L1593" s="3" t="str">
        <f t="shared" si="49"/>
        <v>ΒΙΟΜΗΧΑΝΙΚΗ_ΚΑΝΝΑΒΗ</v>
      </c>
    </row>
    <row r="1594" spans="1:12" s="3" customFormat="1" ht="24" x14ac:dyDescent="0.25">
      <c r="A1594" s="3" t="str">
        <f t="shared" si="48"/>
        <v>ΒΙΟΜΗΧΑΝΙΚΗ ΚΑΝΝΑΒΗWOJKO</v>
      </c>
      <c r="B1594" s="4" t="s">
        <v>2840</v>
      </c>
      <c r="C1594" s="5" t="s">
        <v>2937</v>
      </c>
      <c r="D1594" s="6">
        <v>835.84</v>
      </c>
      <c r="E1594" s="6">
        <v>845.67</v>
      </c>
      <c r="F1594" s="7" t="s">
        <v>14</v>
      </c>
      <c r="G1594" s="8" t="s">
        <v>2938</v>
      </c>
      <c r="H1594" s="8" t="s">
        <v>16</v>
      </c>
      <c r="I1594" s="9">
        <v>3673</v>
      </c>
      <c r="J1594" s="10">
        <v>69</v>
      </c>
      <c r="K1594" s="10">
        <v>69049</v>
      </c>
      <c r="L1594" s="3" t="str">
        <f t="shared" si="49"/>
        <v>ΒΙΟΜΗΧΑΝΙΚΗ_ΚΑΝΝΑΒΗ</v>
      </c>
    </row>
    <row r="1595" spans="1:12" s="3" customFormat="1" ht="24" x14ac:dyDescent="0.25">
      <c r="A1595" s="3" t="str">
        <f t="shared" si="48"/>
        <v>ΒΙΟΜΗΧΑΝΙΚΗ ΚΑΝΝΑΒΗZENIT</v>
      </c>
      <c r="B1595" s="4" t="s">
        <v>2840</v>
      </c>
      <c r="C1595" s="5" t="s">
        <v>2939</v>
      </c>
      <c r="D1595" s="6">
        <v>835.84</v>
      </c>
      <c r="E1595" s="6">
        <v>845.67</v>
      </c>
      <c r="F1595" s="7" t="s">
        <v>14</v>
      </c>
      <c r="G1595" s="8" t="s">
        <v>2940</v>
      </c>
      <c r="H1595" s="8" t="s">
        <v>16</v>
      </c>
      <c r="I1595" s="9">
        <v>3690</v>
      </c>
      <c r="J1595" s="10">
        <v>69</v>
      </c>
      <c r="K1595" s="10">
        <v>69050</v>
      </c>
      <c r="L1595" s="3" t="str">
        <f t="shared" si="49"/>
        <v>ΒΙΟΜΗΧΑΝΙΚΗ_ΚΑΝΝΑΒΗ</v>
      </c>
    </row>
    <row r="1596" spans="1:12" s="3" customFormat="1" ht="24" x14ac:dyDescent="0.25">
      <c r="A1596" s="3" t="str">
        <f t="shared" si="48"/>
        <v>ΒΙΟΜΗΧΑΝΙΚΗ ΚΑΝΝΑΒΗCARMALEONTE</v>
      </c>
      <c r="B1596" s="4" t="s">
        <v>2840</v>
      </c>
      <c r="C1596" s="5" t="s">
        <v>2941</v>
      </c>
      <c r="D1596" s="6">
        <v>835.84</v>
      </c>
      <c r="E1596" s="6">
        <v>845.67</v>
      </c>
      <c r="F1596" s="7" t="s">
        <v>14</v>
      </c>
      <c r="G1596" s="8" t="s">
        <v>2942</v>
      </c>
      <c r="H1596" s="8" t="s">
        <v>16</v>
      </c>
      <c r="I1596" s="9">
        <v>3680</v>
      </c>
      <c r="J1596" s="10">
        <v>69</v>
      </c>
      <c r="K1596" s="10">
        <v>69051</v>
      </c>
      <c r="L1596" s="3" t="str">
        <f t="shared" si="49"/>
        <v>ΒΙΟΜΗΧΑΝΙΚΗ_ΚΑΝΝΑΒΗ</v>
      </c>
    </row>
    <row r="1597" spans="1:12" s="3" customFormat="1" ht="24" x14ac:dyDescent="0.25">
      <c r="A1597" s="3" t="str">
        <f t="shared" si="48"/>
        <v>ΒΙΟΜΗΧΑΝΙΚΗ ΚΑΝΝΑΒΗELETTA CAMPANA</v>
      </c>
      <c r="B1597" s="4" t="s">
        <v>2840</v>
      </c>
      <c r="C1597" s="5" t="s">
        <v>2943</v>
      </c>
      <c r="D1597" s="6">
        <v>835.84</v>
      </c>
      <c r="E1597" s="6">
        <v>845.67</v>
      </c>
      <c r="F1597" s="7" t="s">
        <v>14</v>
      </c>
      <c r="G1597" s="8" t="s">
        <v>2944</v>
      </c>
      <c r="H1597" s="8" t="s">
        <v>16</v>
      </c>
      <c r="I1597" s="9">
        <v>3678</v>
      </c>
      <c r="J1597" s="10">
        <v>69</v>
      </c>
      <c r="K1597" s="10">
        <v>69052</v>
      </c>
      <c r="L1597" s="3" t="str">
        <f t="shared" si="49"/>
        <v>ΒΙΟΜΗΧΑΝΙΚΗ_ΚΑΝΝΑΒΗ</v>
      </c>
    </row>
    <row r="1598" spans="1:12" s="3" customFormat="1" ht="24" x14ac:dyDescent="0.25">
      <c r="A1598" s="3" t="str">
        <f t="shared" si="48"/>
        <v>ΒΙΟΜΗΧΑΝΙΚΗ ΚΑΝΝΑΒΗFIBRANTE</v>
      </c>
      <c r="B1598" s="4" t="s">
        <v>2840</v>
      </c>
      <c r="C1598" s="5" t="s">
        <v>2945</v>
      </c>
      <c r="D1598" s="6">
        <v>835.84</v>
      </c>
      <c r="E1598" s="6">
        <v>845.67</v>
      </c>
      <c r="F1598" s="7" t="s">
        <v>14</v>
      </c>
      <c r="G1598" s="8" t="s">
        <v>2946</v>
      </c>
      <c r="H1598" s="8" t="s">
        <v>16</v>
      </c>
      <c r="I1598" s="9">
        <v>3676</v>
      </c>
      <c r="J1598" s="10">
        <v>69</v>
      </c>
      <c r="K1598" s="10">
        <v>69053</v>
      </c>
      <c r="L1598" s="3" t="str">
        <f t="shared" si="49"/>
        <v>ΒΙΟΜΗΧΑΝΙΚΗ_ΚΑΝΝΑΒΗ</v>
      </c>
    </row>
    <row r="1599" spans="1:12" s="3" customFormat="1" ht="24" x14ac:dyDescent="0.25">
      <c r="A1599" s="3" t="str">
        <f t="shared" si="48"/>
        <v>ΒΙΟΜΗΧΑΝΙΚΗ ΚΑΝΝΑΒΗFIBROL FIBROR 79</v>
      </c>
      <c r="B1599" s="4" t="s">
        <v>2840</v>
      </c>
      <c r="C1599" s="5" t="s">
        <v>2947</v>
      </c>
      <c r="D1599" s="6">
        <v>835.84</v>
      </c>
      <c r="E1599" s="6">
        <v>845.67</v>
      </c>
      <c r="F1599" s="7" t="s">
        <v>14</v>
      </c>
      <c r="G1599" s="8" t="s">
        <v>2948</v>
      </c>
      <c r="H1599" s="8" t="s">
        <v>16</v>
      </c>
      <c r="I1599" s="9">
        <v>3674</v>
      </c>
      <c r="J1599" s="10">
        <v>69</v>
      </c>
      <c r="K1599" s="10">
        <v>69054</v>
      </c>
      <c r="L1599" s="3" t="str">
        <f t="shared" si="49"/>
        <v>ΒΙΟΜΗΧΑΝΙΚΗ_ΚΑΝΝΑΒΗ</v>
      </c>
    </row>
    <row r="1600" spans="1:12" s="3" customFormat="1" ht="24" x14ac:dyDescent="0.25">
      <c r="A1600" s="3" t="str">
        <f t="shared" si="48"/>
        <v>ΒΙΟΜΗΧΑΝΙΚΗ ΚΑΝΝΑΒΗGLYANA</v>
      </c>
      <c r="B1600" s="4" t="s">
        <v>2840</v>
      </c>
      <c r="C1600" s="5" t="s">
        <v>2949</v>
      </c>
      <c r="D1600" s="6">
        <v>835.84</v>
      </c>
      <c r="E1600" s="6">
        <v>845.67</v>
      </c>
      <c r="F1600" s="7" t="s">
        <v>14</v>
      </c>
      <c r="G1600" s="8" t="s">
        <v>2950</v>
      </c>
      <c r="H1600" s="8" t="s">
        <v>16</v>
      </c>
      <c r="I1600" s="9">
        <v>3656</v>
      </c>
      <c r="J1600" s="10">
        <v>69</v>
      </c>
      <c r="K1600" s="10">
        <v>69055</v>
      </c>
      <c r="L1600" s="3" t="str">
        <f t="shared" si="49"/>
        <v>ΒΙΟΜΗΧΑΝΙΚΗ_ΚΑΝΝΑΒΗ</v>
      </c>
    </row>
    <row r="1601" spans="1:12" s="3" customFormat="1" ht="24" x14ac:dyDescent="0.25">
      <c r="A1601" s="3" t="str">
        <f t="shared" si="48"/>
        <v>ΒΙΟΜΗΧΑΝΙΚΗ ΚΑΝΝΑΒΗHENOLA</v>
      </c>
      <c r="B1601" s="4" t="s">
        <v>2840</v>
      </c>
      <c r="C1601" s="5" t="s">
        <v>2951</v>
      </c>
      <c r="D1601" s="6">
        <v>835.84</v>
      </c>
      <c r="E1601" s="6">
        <v>845.67</v>
      </c>
      <c r="F1601" s="7" t="s">
        <v>14</v>
      </c>
      <c r="G1601" s="8" t="s">
        <v>2952</v>
      </c>
      <c r="H1601" s="8" t="s">
        <v>16</v>
      </c>
      <c r="I1601" s="9">
        <v>3621</v>
      </c>
      <c r="J1601" s="10">
        <v>69</v>
      </c>
      <c r="K1601" s="10">
        <v>69056</v>
      </c>
      <c r="L1601" s="3" t="str">
        <f t="shared" si="49"/>
        <v>ΒΙΟΜΗΧΑΝΙΚΗ_ΚΑΝΝΑΒΗ</v>
      </c>
    </row>
    <row r="1602" spans="1:12" s="3" customFormat="1" ht="24" x14ac:dyDescent="0.25">
      <c r="A1602" s="3" t="str">
        <f t="shared" si="48"/>
        <v>ΒΙΟΜΗΧΑΝΙΚΗ ΚΑΝΝΑΒΗKC BONUSZ</v>
      </c>
      <c r="B1602" s="4" t="s">
        <v>2840</v>
      </c>
      <c r="C1602" s="5" t="s">
        <v>2953</v>
      </c>
      <c r="D1602" s="6">
        <v>835.84</v>
      </c>
      <c r="E1602" s="6">
        <v>845.67</v>
      </c>
      <c r="F1602" s="7" t="s">
        <v>14</v>
      </c>
      <c r="G1602" s="8" t="s">
        <v>2954</v>
      </c>
      <c r="H1602" s="8" t="s">
        <v>16</v>
      </c>
      <c r="I1602" s="9">
        <v>3579</v>
      </c>
      <c r="J1602" s="10">
        <v>69</v>
      </c>
      <c r="K1602" s="10">
        <v>69057</v>
      </c>
      <c r="L1602" s="3" t="str">
        <f t="shared" si="49"/>
        <v>ΒΙΟΜΗΧΑΝΙΚΗ_ΚΑΝΝΑΒΗ</v>
      </c>
    </row>
    <row r="1603" spans="1:12" s="3" customFormat="1" ht="24" x14ac:dyDescent="0.25">
      <c r="A1603" s="3" t="str">
        <f t="shared" ref="A1603:A1666" si="50">_xlfn.CONCAT(B1603,C1603)</f>
        <v>ΒΙΟΜΗΧΑΝΙΚΗ ΚΑΝΝΑΒΗRATZA</v>
      </c>
      <c r="B1603" s="4" t="s">
        <v>2840</v>
      </c>
      <c r="C1603" s="5" t="s">
        <v>2955</v>
      </c>
      <c r="D1603" s="6">
        <v>835.84</v>
      </c>
      <c r="E1603" s="6">
        <v>845.67</v>
      </c>
      <c r="F1603" s="7" t="s">
        <v>14</v>
      </c>
      <c r="G1603" s="8" t="s">
        <v>2956</v>
      </c>
      <c r="H1603" s="8" t="s">
        <v>16</v>
      </c>
      <c r="I1603" s="9">
        <v>3580</v>
      </c>
      <c r="J1603" s="10">
        <v>69</v>
      </c>
      <c r="K1603" s="10">
        <v>69058</v>
      </c>
      <c r="L1603" s="3" t="str">
        <f t="shared" ref="L1603:L1666" si="51">IFERROR(SUBSTITUTE(SUBSTITUTE(SUBSTITUTE(SUBSTITUTE(SUBSTITUTE(B1603, "-", "_"), " ", "_"), ",", ""), "(", ""), ")", ""), B1603)</f>
        <v>ΒΙΟΜΗΧΑΝΙΚΗ_ΚΑΝΝΑΒΗ</v>
      </c>
    </row>
    <row r="1604" spans="1:12" s="3" customFormat="1" ht="24" x14ac:dyDescent="0.25">
      <c r="A1604" s="3" t="str">
        <f t="shared" si="50"/>
        <v>ΒΙΟΜΗΧΑΝΙΚΗ ΚΑΝΝΑΒΗSUCCESIV</v>
      </c>
      <c r="B1604" s="4" t="s">
        <v>2840</v>
      </c>
      <c r="C1604" s="5" t="s">
        <v>2957</v>
      </c>
      <c r="D1604" s="6">
        <v>835.84</v>
      </c>
      <c r="E1604" s="6">
        <v>845.67</v>
      </c>
      <c r="F1604" s="7" t="s">
        <v>14</v>
      </c>
      <c r="G1604" s="8" t="s">
        <v>2958</v>
      </c>
      <c r="H1604" s="8" t="s">
        <v>16</v>
      </c>
      <c r="I1604" s="9">
        <v>3582</v>
      </c>
      <c r="J1604" s="10">
        <v>69</v>
      </c>
      <c r="K1604" s="10">
        <v>69059</v>
      </c>
      <c r="L1604" s="3" t="str">
        <f t="shared" si="51"/>
        <v>ΒΙΟΜΗΧΑΝΙΚΗ_ΚΑΝΝΑΒΗ</v>
      </c>
    </row>
    <row r="1605" spans="1:12" s="3" customFormat="1" ht="24" x14ac:dyDescent="0.25">
      <c r="A1605" s="3" t="str">
        <f t="shared" si="50"/>
        <v>ΒΙΟΜΗΧΑΝΙΚΗ ΚΑΝΝΑΒΗVILLANOVA</v>
      </c>
      <c r="B1605" s="4" t="s">
        <v>2840</v>
      </c>
      <c r="C1605" s="5" t="s">
        <v>2959</v>
      </c>
      <c r="D1605" s="6">
        <v>835.84</v>
      </c>
      <c r="E1605" s="6">
        <v>845.67</v>
      </c>
      <c r="F1605" s="7" t="s">
        <v>14</v>
      </c>
      <c r="G1605" s="8" t="s">
        <v>2960</v>
      </c>
      <c r="H1605" s="8" t="s">
        <v>16</v>
      </c>
      <c r="I1605" s="9">
        <v>3588</v>
      </c>
      <c r="J1605" s="10">
        <v>69</v>
      </c>
      <c r="K1605" s="10">
        <v>69060</v>
      </c>
      <c r="L1605" s="3" t="str">
        <f t="shared" si="51"/>
        <v>ΒΙΟΜΗΧΑΝΙΚΗ_ΚΑΝΝΑΒΗ</v>
      </c>
    </row>
    <row r="1606" spans="1:12" s="3" customFormat="1" ht="24" x14ac:dyDescent="0.25">
      <c r="A1606" s="3" t="str">
        <f t="shared" si="50"/>
        <v>ΒΙΟΜΗΧΑΝΙΚΗ ΚΑΝΝΑΒΗARMANCA (ΘΕΡΜΟΚΗΠΙΑΚΗ ΚΑΛΛΙΕΡΓΕΙΑ)</v>
      </c>
      <c r="B1606" s="4" t="s">
        <v>2840</v>
      </c>
      <c r="C1606" s="5" t="s">
        <v>2961</v>
      </c>
      <c r="D1606" s="6">
        <v>11333.22</v>
      </c>
      <c r="E1606" s="6">
        <v>10073.59</v>
      </c>
      <c r="F1606" s="7" t="s">
        <v>14</v>
      </c>
      <c r="G1606" s="8" t="s">
        <v>2962</v>
      </c>
      <c r="H1606" s="8" t="s">
        <v>16</v>
      </c>
      <c r="I1606" s="9">
        <v>3584</v>
      </c>
      <c r="J1606" s="10">
        <v>69</v>
      </c>
      <c r="K1606" s="10">
        <v>69061</v>
      </c>
      <c r="L1606" s="3" t="str">
        <f t="shared" si="51"/>
        <v>ΒΙΟΜΗΧΑΝΙΚΗ_ΚΑΝΝΑΒΗ</v>
      </c>
    </row>
    <row r="1607" spans="1:12" s="3" customFormat="1" ht="24" x14ac:dyDescent="0.25">
      <c r="A1607" s="3" t="str">
        <f t="shared" si="50"/>
        <v>ΒΙΟΜΗΧΑΝΙΚΗ ΚΑΝΝΑΒΗCARMAGNOLA (ΘΕΡΜΟΚΗΠΙΑΚΗ ΚΑΛΛΙΕΡΓΕΙΑ)</v>
      </c>
      <c r="B1607" s="4" t="s">
        <v>2840</v>
      </c>
      <c r="C1607" s="5" t="s">
        <v>2963</v>
      </c>
      <c r="D1607" s="6">
        <v>11333.22</v>
      </c>
      <c r="E1607" s="6">
        <v>10073.59</v>
      </c>
      <c r="F1607" s="7" t="s">
        <v>14</v>
      </c>
      <c r="G1607" s="8" t="s">
        <v>2964</v>
      </c>
      <c r="H1607" s="8" t="s">
        <v>16</v>
      </c>
      <c r="I1607" s="9">
        <v>3585</v>
      </c>
      <c r="J1607" s="10">
        <v>69</v>
      </c>
      <c r="K1607" s="10">
        <v>69062</v>
      </c>
      <c r="L1607" s="3" t="str">
        <f t="shared" si="51"/>
        <v>ΒΙΟΜΗΧΑΝΙΚΗ_ΚΑΝΝΑΒΗ</v>
      </c>
    </row>
    <row r="1608" spans="1:12" s="3" customFormat="1" ht="24" x14ac:dyDescent="0.25">
      <c r="A1608" s="3" t="str">
        <f t="shared" si="50"/>
        <v>ΒΙΟΜΗΧΑΝΙΚΗ ΚΑΝΝΑΒΗDELTA-405 (ΘΕΡΜΟΚΗΠΙΑΚΗ ΚΑΛΛΙΕΡΓΕΙΑ)</v>
      </c>
      <c r="B1608" s="4" t="s">
        <v>2840</v>
      </c>
      <c r="C1608" s="5" t="s">
        <v>2965</v>
      </c>
      <c r="D1608" s="6">
        <v>11333.22</v>
      </c>
      <c r="E1608" s="6">
        <v>10073.59</v>
      </c>
      <c r="F1608" s="7" t="s">
        <v>14</v>
      </c>
      <c r="G1608" s="8" t="s">
        <v>2966</v>
      </c>
      <c r="H1608" s="8" t="s">
        <v>16</v>
      </c>
      <c r="I1608" s="9">
        <v>3586</v>
      </c>
      <c r="J1608" s="10">
        <v>69</v>
      </c>
      <c r="K1608" s="10">
        <v>69063</v>
      </c>
      <c r="L1608" s="3" t="str">
        <f t="shared" si="51"/>
        <v>ΒΙΟΜΗΧΑΝΙΚΗ_ΚΑΝΝΑΒΗ</v>
      </c>
    </row>
    <row r="1609" spans="1:12" s="3" customFormat="1" ht="24" x14ac:dyDescent="0.25">
      <c r="A1609" s="3" t="str">
        <f t="shared" si="50"/>
        <v>ΒΙΟΜΗΧΑΝΙΚΗ ΚΑΝΝΑΒΗELETTA CAMPANA (ΘΕΡΜΟΚΗΠΙΑΚΗ ΚΑΛΛΙΕΡΓΕΙΑ)</v>
      </c>
      <c r="B1609" s="4" t="s">
        <v>2840</v>
      </c>
      <c r="C1609" s="5" t="s">
        <v>2967</v>
      </c>
      <c r="D1609" s="6">
        <v>11333.22</v>
      </c>
      <c r="E1609" s="6">
        <v>10073.59</v>
      </c>
      <c r="F1609" s="7" t="s">
        <v>14</v>
      </c>
      <c r="G1609" s="8" t="s">
        <v>2968</v>
      </c>
      <c r="H1609" s="8" t="s">
        <v>16</v>
      </c>
      <c r="I1609" s="9">
        <v>3587</v>
      </c>
      <c r="J1609" s="10">
        <v>69</v>
      </c>
      <c r="K1609" s="10">
        <v>69064</v>
      </c>
      <c r="L1609" s="3" t="str">
        <f t="shared" si="51"/>
        <v>ΒΙΟΜΗΧΑΝΙΚΗ_ΚΑΝΝΑΒΗ</v>
      </c>
    </row>
    <row r="1610" spans="1:12" s="3" customFormat="1" ht="24" x14ac:dyDescent="0.25">
      <c r="A1610" s="3" t="str">
        <f t="shared" si="50"/>
        <v>ΒΙΟΜΗΧΑΝΙΚΗ ΚΑΝΝΑΒΗFINOLA (ΘΕΡΜΟΚΗΠΙΑΚΗ ΚΑΛΛΙΕΡΓΕΙΑ)</v>
      </c>
      <c r="B1610" s="4" t="s">
        <v>2840</v>
      </c>
      <c r="C1610" s="5" t="s">
        <v>2969</v>
      </c>
      <c r="D1610" s="6">
        <v>11333.22</v>
      </c>
      <c r="E1610" s="6">
        <v>10073.59</v>
      </c>
      <c r="F1610" s="7" t="s">
        <v>14</v>
      </c>
      <c r="G1610" s="8" t="s">
        <v>2970</v>
      </c>
      <c r="H1610" s="8" t="s">
        <v>16</v>
      </c>
      <c r="I1610" s="9">
        <v>3601</v>
      </c>
      <c r="J1610" s="10">
        <v>69</v>
      </c>
      <c r="K1610" s="10">
        <v>69065</v>
      </c>
      <c r="L1610" s="3" t="str">
        <f t="shared" si="51"/>
        <v>ΒΙΟΜΗΧΑΝΙΚΗ_ΚΑΝΝΑΒΗ</v>
      </c>
    </row>
    <row r="1611" spans="1:12" s="3" customFormat="1" ht="24" x14ac:dyDescent="0.25">
      <c r="A1611" s="3" t="str">
        <f t="shared" si="50"/>
        <v>ΒΙΟΜΗΧΑΝΙΚΗ ΚΑΝΝΑΒΗFUTURA 75 (ΘΕΡΜΟΚΗΠΙΑΚΗ ΚΑΛΛΙΕΡΓΕΙΑ)</v>
      </c>
      <c r="B1611" s="4" t="s">
        <v>2840</v>
      </c>
      <c r="C1611" s="5" t="s">
        <v>2971</v>
      </c>
      <c r="D1611" s="6">
        <v>11333.22</v>
      </c>
      <c r="E1611" s="6">
        <v>10073.59</v>
      </c>
      <c r="F1611" s="7" t="s">
        <v>14</v>
      </c>
      <c r="G1611" s="8" t="s">
        <v>2972</v>
      </c>
      <c r="H1611" s="8" t="s">
        <v>16</v>
      </c>
      <c r="I1611" s="9">
        <v>3589</v>
      </c>
      <c r="J1611" s="10">
        <v>69</v>
      </c>
      <c r="K1611" s="10">
        <v>69066</v>
      </c>
      <c r="L1611" s="3" t="str">
        <f t="shared" si="51"/>
        <v>ΒΙΟΜΗΧΑΝΙΚΗ_ΚΑΝΝΑΒΗ</v>
      </c>
    </row>
    <row r="1612" spans="1:12" s="3" customFormat="1" ht="24" x14ac:dyDescent="0.25">
      <c r="A1612" s="3" t="str">
        <f t="shared" si="50"/>
        <v>ΒΙΟΜΗΧΑΝΙΚΗ ΚΑΝΝΑΒΗGLIANA (ΘΕΡΜΟΚΗΠΙΑΚΗ ΚΑΛΛΙΕΡΓΕΙΑ)</v>
      </c>
      <c r="B1612" s="4" t="s">
        <v>2840</v>
      </c>
      <c r="C1612" s="5" t="s">
        <v>2973</v>
      </c>
      <c r="D1612" s="6">
        <v>11333.22</v>
      </c>
      <c r="E1612" s="6">
        <v>10073.59</v>
      </c>
      <c r="F1612" s="7" t="s">
        <v>14</v>
      </c>
      <c r="G1612" s="8" t="s">
        <v>2974</v>
      </c>
      <c r="H1612" s="8" t="s">
        <v>16</v>
      </c>
      <c r="I1612" s="9">
        <v>3578</v>
      </c>
      <c r="J1612" s="10">
        <v>69</v>
      </c>
      <c r="K1612" s="10">
        <v>69067</v>
      </c>
      <c r="L1612" s="3" t="str">
        <f t="shared" si="51"/>
        <v>ΒΙΟΜΗΧΑΝΙΚΗ_ΚΑΝΝΑΒΗ</v>
      </c>
    </row>
    <row r="1613" spans="1:12" s="3" customFormat="1" ht="24" x14ac:dyDescent="0.25">
      <c r="A1613" s="3" t="str">
        <f t="shared" si="50"/>
        <v>ΒΙΟΜΗΧΑΝΙΚΗ ΚΑΝΝΑΒΗIVORY (ΘΕΡΜΟΚΗΠΙΑΚΗ ΚΑΛΛΙΕΡΓΕΙΑ)</v>
      </c>
      <c r="B1613" s="4" t="s">
        <v>2840</v>
      </c>
      <c r="C1613" s="5" t="s">
        <v>2975</v>
      </c>
      <c r="D1613" s="6">
        <v>11333.22</v>
      </c>
      <c r="E1613" s="6">
        <v>10073.59</v>
      </c>
      <c r="F1613" s="7" t="s">
        <v>14</v>
      </c>
      <c r="G1613" s="8" t="s">
        <v>2976</v>
      </c>
      <c r="H1613" s="8" t="s">
        <v>16</v>
      </c>
      <c r="I1613" s="9">
        <v>3591</v>
      </c>
      <c r="J1613" s="10">
        <v>69</v>
      </c>
      <c r="K1613" s="10">
        <v>69068</v>
      </c>
      <c r="L1613" s="3" t="str">
        <f t="shared" si="51"/>
        <v>ΒΙΟΜΗΧΑΝΙΚΗ_ΚΑΝΝΑΒΗ</v>
      </c>
    </row>
    <row r="1614" spans="1:12" s="3" customFormat="1" ht="24" x14ac:dyDescent="0.25">
      <c r="A1614" s="3" t="str">
        <f t="shared" si="50"/>
        <v>ΒΙΟΜΗΧΑΝΙΚΗ ΚΑΝΝΑΒΗMONOICA (ΘΕΡΜΟΚΗΠΙΑΚΗ ΚΑΛΛΙΕΡΓΕΙΑ)</v>
      </c>
      <c r="B1614" s="4" t="s">
        <v>2840</v>
      </c>
      <c r="C1614" s="5" t="s">
        <v>2977</v>
      </c>
      <c r="D1614" s="6">
        <v>11333.22</v>
      </c>
      <c r="E1614" s="6">
        <v>10073.59</v>
      </c>
      <c r="F1614" s="7" t="s">
        <v>14</v>
      </c>
      <c r="G1614" s="8" t="s">
        <v>2978</v>
      </c>
      <c r="H1614" s="8" t="s">
        <v>16</v>
      </c>
      <c r="I1614" s="9">
        <v>3592</v>
      </c>
      <c r="J1614" s="10">
        <v>69</v>
      </c>
      <c r="K1614" s="10">
        <v>69069</v>
      </c>
      <c r="L1614" s="3" t="str">
        <f t="shared" si="51"/>
        <v>ΒΙΟΜΗΧΑΝΙΚΗ_ΚΑΝΝΑΒΗ</v>
      </c>
    </row>
    <row r="1615" spans="1:12" s="3" customFormat="1" ht="24" x14ac:dyDescent="0.25">
      <c r="A1615" s="3" t="str">
        <f t="shared" si="50"/>
        <v>ΒΙΟΜΗΧΑΝΙΚΗ ΚΑΝΝΑΒΗRAJAN (ΘΕΡΜΟΚΗΠΙΑΚΗ ΚΑΛΛΙΕΡΓΕΙΑ)</v>
      </c>
      <c r="B1615" s="4" t="s">
        <v>2840</v>
      </c>
      <c r="C1615" s="5" t="s">
        <v>2979</v>
      </c>
      <c r="D1615" s="6">
        <v>11333.22</v>
      </c>
      <c r="E1615" s="6">
        <v>10073.59</v>
      </c>
      <c r="F1615" s="7" t="s">
        <v>14</v>
      </c>
      <c r="G1615" s="8" t="s">
        <v>2980</v>
      </c>
      <c r="H1615" s="8" t="s">
        <v>16</v>
      </c>
      <c r="I1615" s="9">
        <v>3593</v>
      </c>
      <c r="J1615" s="10">
        <v>69</v>
      </c>
      <c r="K1615" s="10">
        <v>69070</v>
      </c>
      <c r="L1615" s="3" t="str">
        <f t="shared" si="51"/>
        <v>ΒΙΟΜΗΧΑΝΙΚΗ_ΚΑΝΝΑΒΗ</v>
      </c>
    </row>
    <row r="1616" spans="1:12" s="3" customFormat="1" x14ac:dyDescent="0.25">
      <c r="A1616" s="3" t="str">
        <f t="shared" si="50"/>
        <v>ΒΙΟΜΗΧΑΝΙΚΗ ΚΑΝΝΑΒΗSZARVASI (ΘΕΡΜΟΚΗΠΙΑΚΗ ΚΑΛΛΙΕΡΓΕΙΑ)</v>
      </c>
      <c r="B1616" s="4" t="s">
        <v>2840</v>
      </c>
      <c r="C1616" s="5" t="s">
        <v>2981</v>
      </c>
      <c r="D1616" s="6">
        <v>11333.22</v>
      </c>
      <c r="E1616" s="6">
        <v>10073.59</v>
      </c>
      <c r="F1616" s="7" t="s">
        <v>14</v>
      </c>
      <c r="G1616" s="8" t="s">
        <v>2982</v>
      </c>
      <c r="H1616" s="8" t="s">
        <v>27</v>
      </c>
      <c r="I1616" s="9">
        <v>3594</v>
      </c>
      <c r="J1616" s="10">
        <v>69</v>
      </c>
      <c r="K1616" s="10">
        <v>69071</v>
      </c>
      <c r="L1616" s="3" t="str">
        <f t="shared" si="51"/>
        <v>ΒΙΟΜΗΧΑΝΙΚΗ_ΚΑΝΝΑΒΗ</v>
      </c>
    </row>
    <row r="1617" spans="1:12" s="3" customFormat="1" ht="24" x14ac:dyDescent="0.25">
      <c r="A1617" s="3" t="str">
        <f t="shared" si="50"/>
        <v>ΒΙΟΜΗΧΑΝΙΚΗ ΚΑΝΝΑΒΗWOJKO (ΘΕΡΜΟΚΗΠΙΑΚΗ ΚΑΛΛΙΕΡΓΕΙΑ)</v>
      </c>
      <c r="B1617" s="4" t="s">
        <v>2840</v>
      </c>
      <c r="C1617" s="5" t="s">
        <v>2983</v>
      </c>
      <c r="D1617" s="6">
        <v>11333.22</v>
      </c>
      <c r="E1617" s="6">
        <v>10073.59</v>
      </c>
      <c r="F1617" s="7" t="s">
        <v>14</v>
      </c>
      <c r="G1617" s="8" t="s">
        <v>2984</v>
      </c>
      <c r="H1617" s="8" t="s">
        <v>16</v>
      </c>
      <c r="I1617" s="9">
        <v>3595</v>
      </c>
      <c r="J1617" s="10">
        <v>69</v>
      </c>
      <c r="K1617" s="10">
        <v>69072</v>
      </c>
      <c r="L1617" s="3" t="str">
        <f t="shared" si="51"/>
        <v>ΒΙΟΜΗΧΑΝΙΚΗ_ΚΑΝΝΑΒΗ</v>
      </c>
    </row>
    <row r="1618" spans="1:12" s="3" customFormat="1" x14ac:dyDescent="0.25">
      <c r="A1618" s="3" t="str">
        <f t="shared" si="50"/>
        <v>ΒΙΟΜΗΧΑΝΙΚΗ ΚΑΝΝΑΒΗANTAL (ΘΕΡΜΟΚΗΠΙΑΚΗ ΚΑΛΛΙΕΡΓΕΙΑ)</v>
      </c>
      <c r="B1618" s="18" t="s">
        <v>2840</v>
      </c>
      <c r="C1618" s="19" t="s">
        <v>2985</v>
      </c>
      <c r="D1618" s="6">
        <v>11333.22</v>
      </c>
      <c r="E1618" s="6">
        <v>10073.59</v>
      </c>
      <c r="F1618" s="7" t="s">
        <v>14</v>
      </c>
      <c r="G1618" s="8" t="s">
        <v>2986</v>
      </c>
      <c r="H1618" s="8" t="s">
        <v>27</v>
      </c>
      <c r="I1618" s="9">
        <v>4638</v>
      </c>
      <c r="J1618" s="20">
        <v>69</v>
      </c>
      <c r="K1618" s="20">
        <v>69073</v>
      </c>
      <c r="L1618" s="3" t="str">
        <f t="shared" si="51"/>
        <v>ΒΙΟΜΗΧΑΝΙΚΗ_ΚΑΝΝΑΒΗ</v>
      </c>
    </row>
    <row r="1619" spans="1:12" s="3" customFormat="1" ht="24" x14ac:dyDescent="0.25">
      <c r="A1619" s="3" t="str">
        <f t="shared" si="50"/>
        <v>ΒΙΟΜΗΧΑΝΙΚΗ ΚΑΝΝΑΒΗAUSTA SK</v>
      </c>
      <c r="B1619" s="4" t="s">
        <v>2840</v>
      </c>
      <c r="C1619" s="5" t="s">
        <v>2987</v>
      </c>
      <c r="D1619" s="6">
        <v>835.84</v>
      </c>
      <c r="E1619" s="6">
        <v>845.67</v>
      </c>
      <c r="F1619" s="7" t="s">
        <v>14</v>
      </c>
      <c r="G1619" s="8" t="s">
        <v>2988</v>
      </c>
      <c r="H1619" s="8" t="s">
        <v>16</v>
      </c>
      <c r="I1619" s="9">
        <v>3596</v>
      </c>
      <c r="J1619" s="10">
        <v>69</v>
      </c>
      <c r="K1619" s="10">
        <v>69074</v>
      </c>
      <c r="L1619" s="3" t="str">
        <f t="shared" si="51"/>
        <v>ΒΙΟΜΗΧΑΝΙΚΗ_ΚΑΝΝΑΒΗ</v>
      </c>
    </row>
    <row r="1620" spans="1:12" s="3" customFormat="1" ht="24" x14ac:dyDescent="0.25">
      <c r="A1620" s="3" t="str">
        <f t="shared" si="50"/>
        <v>ΒΙΟΜΗΧΑΝΙΚΗ ΚΑΝΝΑΒΗCARMALEONTE (ΘΕΡΜΟΚΗΠΙΑΚΗ ΚΑΛΛΙΕΡΓΕΙΑ)</v>
      </c>
      <c r="B1620" s="4" t="s">
        <v>2840</v>
      </c>
      <c r="C1620" s="5" t="s">
        <v>2989</v>
      </c>
      <c r="D1620" s="6">
        <v>11333.22</v>
      </c>
      <c r="E1620" s="6">
        <v>10073.59</v>
      </c>
      <c r="F1620" s="7" t="s">
        <v>14</v>
      </c>
      <c r="G1620" s="8" t="s">
        <v>2990</v>
      </c>
      <c r="H1620" s="8" t="s">
        <v>16</v>
      </c>
      <c r="I1620" s="9">
        <v>3597</v>
      </c>
      <c r="J1620" s="10">
        <v>69</v>
      </c>
      <c r="K1620" s="10">
        <v>69075</v>
      </c>
      <c r="L1620" s="3" t="str">
        <f t="shared" si="51"/>
        <v>ΒΙΟΜΗΧΑΝΙΚΗ_ΚΑΝΝΑΒΗ</v>
      </c>
    </row>
    <row r="1621" spans="1:12" s="3" customFormat="1" ht="24" x14ac:dyDescent="0.25">
      <c r="A1621" s="3" t="str">
        <f t="shared" si="50"/>
        <v>ΒΙΟΜΗΧΑΝΙΚΗ ΚΑΝΝΑΒΗFIBRANTE (ΘΕΡΜΟΚΗΠΙΑΚΗ ΚΑΛΛΙΕΡΓΕΙΑ)</v>
      </c>
      <c r="B1621" s="4" t="s">
        <v>2840</v>
      </c>
      <c r="C1621" s="5" t="s">
        <v>2991</v>
      </c>
      <c r="D1621" s="6">
        <v>11333.22</v>
      </c>
      <c r="E1621" s="6">
        <v>10073.59</v>
      </c>
      <c r="F1621" s="7" t="s">
        <v>14</v>
      </c>
      <c r="G1621" s="8" t="s">
        <v>2992</v>
      </c>
      <c r="H1621" s="8" t="s">
        <v>16</v>
      </c>
      <c r="I1621" s="9">
        <v>3598</v>
      </c>
      <c r="J1621" s="10">
        <v>69</v>
      </c>
      <c r="K1621" s="10">
        <v>69076</v>
      </c>
      <c r="L1621" s="3" t="str">
        <f t="shared" si="51"/>
        <v>ΒΙΟΜΗΧΑΝΙΚΗ_ΚΑΝΝΑΒΗ</v>
      </c>
    </row>
    <row r="1622" spans="1:12" s="3" customFormat="1" ht="24" x14ac:dyDescent="0.25">
      <c r="A1622" s="3" t="str">
        <f t="shared" si="50"/>
        <v>ΒΙΟΜΗΧΑΝΙΚΗ ΚΑΝΝΑΒΗHENOLA (ΘΕΡΜΟΚΗΠΙΑΚΗ ΚΑΛΛΙΕΡΓΕΙΑ)</v>
      </c>
      <c r="B1622" s="4" t="s">
        <v>2840</v>
      </c>
      <c r="C1622" s="5" t="s">
        <v>2993</v>
      </c>
      <c r="D1622" s="6">
        <v>11333.22</v>
      </c>
      <c r="E1622" s="6">
        <v>10073.59</v>
      </c>
      <c r="F1622" s="7" t="s">
        <v>14</v>
      </c>
      <c r="G1622" s="8" t="s">
        <v>2994</v>
      </c>
      <c r="H1622" s="8" t="s">
        <v>16</v>
      </c>
      <c r="I1622" s="9">
        <v>3599</v>
      </c>
      <c r="J1622" s="10">
        <v>69</v>
      </c>
      <c r="K1622" s="10">
        <v>69077</v>
      </c>
      <c r="L1622" s="3" t="str">
        <f t="shared" si="51"/>
        <v>ΒΙΟΜΗΧΑΝΙΚΗ_ΚΑΝΝΑΒΗ</v>
      </c>
    </row>
    <row r="1623" spans="1:12" s="3" customFormat="1" ht="24" x14ac:dyDescent="0.25">
      <c r="A1623" s="3" t="str">
        <f t="shared" si="50"/>
        <v>ΒΙΟΜΗΧΑΝΙΚΗ ΚΑΝΝΑΒΗKC BONUSZ (ΘΕΡΜΟΚΗΠΙΑΚΗ ΚΑΛΛΙΕΡΓΕΙΑ)</v>
      </c>
      <c r="B1623" s="4" t="s">
        <v>2840</v>
      </c>
      <c r="C1623" s="5" t="s">
        <v>2995</v>
      </c>
      <c r="D1623" s="6">
        <v>11333.22</v>
      </c>
      <c r="E1623" s="6">
        <v>10073.59</v>
      </c>
      <c r="F1623" s="7" t="s">
        <v>14</v>
      </c>
      <c r="G1623" s="8" t="s">
        <v>2996</v>
      </c>
      <c r="H1623" s="8" t="s">
        <v>16</v>
      </c>
      <c r="I1623" s="9">
        <v>3600</v>
      </c>
      <c r="J1623" s="10">
        <v>69</v>
      </c>
      <c r="K1623" s="10">
        <v>69078</v>
      </c>
      <c r="L1623" s="3" t="str">
        <f t="shared" si="51"/>
        <v>ΒΙΟΜΗΧΑΝΙΚΗ_ΚΑΝΝΑΒΗ</v>
      </c>
    </row>
    <row r="1624" spans="1:12" s="3" customFormat="1" ht="24" x14ac:dyDescent="0.25">
      <c r="A1624" s="3" t="str">
        <f t="shared" si="50"/>
        <v>ΒΙΟΜΗΧΑΝΙΚΗ ΚΑΝΝΑΒΗKCA BORANA</v>
      </c>
      <c r="B1624" s="4" t="s">
        <v>2840</v>
      </c>
      <c r="C1624" s="5" t="s">
        <v>2997</v>
      </c>
      <c r="D1624" s="6">
        <v>835.84</v>
      </c>
      <c r="E1624" s="6">
        <v>845.67</v>
      </c>
      <c r="F1624" s="7" t="s">
        <v>14</v>
      </c>
      <c r="G1624" s="8" t="s">
        <v>2998</v>
      </c>
      <c r="H1624" s="8" t="s">
        <v>16</v>
      </c>
      <c r="I1624" s="9">
        <v>3590</v>
      </c>
      <c r="J1624" s="10">
        <v>69</v>
      </c>
      <c r="K1624" s="10">
        <v>69079</v>
      </c>
      <c r="L1624" s="3" t="str">
        <f t="shared" si="51"/>
        <v>ΒΙΟΜΗΧΑΝΙΚΗ_ΚΑΝΝΑΒΗ</v>
      </c>
    </row>
    <row r="1625" spans="1:12" s="3" customFormat="1" ht="24" x14ac:dyDescent="0.25">
      <c r="A1625" s="3" t="str">
        <f t="shared" si="50"/>
        <v>ΒΙΟΜΗΧΑΝΙΚΗ ΚΑΝΝΑΒΗKCA BORANA (ΘΕΡΜΟΚΗΠΙΑΚΗ ΚΑΛΛΙΕΡΓΕΙΑ)</v>
      </c>
      <c r="B1625" s="4" t="s">
        <v>2840</v>
      </c>
      <c r="C1625" s="5" t="s">
        <v>2999</v>
      </c>
      <c r="D1625" s="6">
        <v>11333.22</v>
      </c>
      <c r="E1625" s="6">
        <v>10073.59</v>
      </c>
      <c r="F1625" s="7" t="s">
        <v>14</v>
      </c>
      <c r="G1625" s="8" t="s">
        <v>3000</v>
      </c>
      <c r="H1625" s="8" t="s">
        <v>16</v>
      </c>
      <c r="I1625" s="9">
        <v>3576</v>
      </c>
      <c r="J1625" s="10">
        <v>69</v>
      </c>
      <c r="K1625" s="10">
        <v>69080</v>
      </c>
      <c r="L1625" s="3" t="str">
        <f t="shared" si="51"/>
        <v>ΒΙΟΜΗΧΑΝΙΚΗ_ΚΑΝΝΑΒΗ</v>
      </c>
    </row>
    <row r="1626" spans="1:12" s="3" customFormat="1" ht="24" x14ac:dyDescent="0.25">
      <c r="A1626" s="3" t="str">
        <f t="shared" si="50"/>
        <v>ΒΙΟΜΗΧΑΝΙΚΗ ΚΑΝΝΑΒΗLIPKO (ΘΕΡΜΟΚΗΠΙΑΚΗ ΚΑΛΛΙΕΡΓΕΙΑ)</v>
      </c>
      <c r="B1626" s="4" t="s">
        <v>2840</v>
      </c>
      <c r="C1626" s="5" t="s">
        <v>3001</v>
      </c>
      <c r="D1626" s="6">
        <v>11333.22</v>
      </c>
      <c r="E1626" s="6">
        <v>10073.59</v>
      </c>
      <c r="F1626" s="7" t="s">
        <v>14</v>
      </c>
      <c r="G1626" s="8" t="s">
        <v>3002</v>
      </c>
      <c r="H1626" s="8" t="s">
        <v>16</v>
      </c>
      <c r="I1626" s="9">
        <v>3561</v>
      </c>
      <c r="J1626" s="10">
        <v>69</v>
      </c>
      <c r="K1626" s="10">
        <v>69081</v>
      </c>
      <c r="L1626" s="3" t="str">
        <f t="shared" si="51"/>
        <v>ΒΙΟΜΗΧΑΝΙΚΗ_ΚΑΝΝΑΒΗ</v>
      </c>
    </row>
    <row r="1627" spans="1:12" s="3" customFormat="1" ht="24" x14ac:dyDescent="0.25">
      <c r="A1627" s="3" t="str">
        <f t="shared" si="50"/>
        <v>ΒΙΟΜΗΧΑΝΙΚΗ ΚΑΝΝΑΒΗLOVRIN 110 (ΘΕΡΜΟΚΗΠΙΑΚΗ ΚΑΛΛΙΕΡΓΕΙΑ)</v>
      </c>
      <c r="B1627" s="4" t="s">
        <v>2840</v>
      </c>
      <c r="C1627" s="5" t="s">
        <v>3003</v>
      </c>
      <c r="D1627" s="6">
        <v>11333.22</v>
      </c>
      <c r="E1627" s="6">
        <v>10073.59</v>
      </c>
      <c r="F1627" s="7" t="s">
        <v>14</v>
      </c>
      <c r="G1627" s="8" t="s">
        <v>3004</v>
      </c>
      <c r="H1627" s="8" t="s">
        <v>16</v>
      </c>
      <c r="I1627" s="9">
        <v>3559</v>
      </c>
      <c r="J1627" s="10">
        <v>69</v>
      </c>
      <c r="K1627" s="10">
        <v>69082</v>
      </c>
      <c r="L1627" s="3" t="str">
        <f t="shared" si="51"/>
        <v>ΒΙΟΜΗΧΑΝΙΚΗ_ΚΑΝΝΑΒΗ</v>
      </c>
    </row>
    <row r="1628" spans="1:12" s="3" customFormat="1" ht="24" x14ac:dyDescent="0.25">
      <c r="A1628" s="3" t="str">
        <f t="shared" si="50"/>
        <v>ΒΙΟΜΗΧΑΝΙΚΗ ΚΑΝΝΑΒΗMARKANT (ΘΕΡΜΟΚΗΠΙΑΚΗ ΚΑΛΛΙΕΡΓΕΙΑ)</v>
      </c>
      <c r="B1628" s="4" t="s">
        <v>2840</v>
      </c>
      <c r="C1628" s="5" t="s">
        <v>3005</v>
      </c>
      <c r="D1628" s="6">
        <v>11333.22</v>
      </c>
      <c r="E1628" s="6">
        <v>10073.59</v>
      </c>
      <c r="F1628" s="7" t="s">
        <v>14</v>
      </c>
      <c r="G1628" s="8" t="s">
        <v>3006</v>
      </c>
      <c r="H1628" s="8" t="s">
        <v>16</v>
      </c>
      <c r="I1628" s="9">
        <v>3558</v>
      </c>
      <c r="J1628" s="10">
        <v>69</v>
      </c>
      <c r="K1628" s="10">
        <v>69083</v>
      </c>
      <c r="L1628" s="3" t="str">
        <f t="shared" si="51"/>
        <v>ΒΙΟΜΗΧΑΝΙΚΗ_ΚΑΝΝΑΒΗ</v>
      </c>
    </row>
    <row r="1629" spans="1:12" s="3" customFormat="1" ht="24" x14ac:dyDescent="0.25">
      <c r="A1629" s="3" t="str">
        <f t="shared" si="50"/>
        <v>ΒΙΟΜΗΧΑΝΙΚΗ ΚΑΝΝΑΒΗUSO-31 (ΘΕΡΜΟΚΗΠΙΑΚΗ ΚΑΛΛΙΕΡΓΕΙΑ)</v>
      </c>
      <c r="B1629" s="4" t="s">
        <v>2840</v>
      </c>
      <c r="C1629" s="5" t="s">
        <v>3007</v>
      </c>
      <c r="D1629" s="6">
        <v>11333.22</v>
      </c>
      <c r="E1629" s="6">
        <v>10073.59</v>
      </c>
      <c r="F1629" s="7" t="s">
        <v>14</v>
      </c>
      <c r="G1629" s="8" t="s">
        <v>3008</v>
      </c>
      <c r="H1629" s="8" t="s">
        <v>16</v>
      </c>
      <c r="I1629" s="9">
        <v>3560</v>
      </c>
      <c r="J1629" s="10">
        <v>69</v>
      </c>
      <c r="K1629" s="10">
        <v>69084</v>
      </c>
      <c r="L1629" s="3" t="str">
        <f t="shared" si="51"/>
        <v>ΒΙΟΜΗΧΑΝΙΚΗ_ΚΑΝΝΑΒΗ</v>
      </c>
    </row>
    <row r="1630" spans="1:12" s="3" customFormat="1" ht="24" x14ac:dyDescent="0.25">
      <c r="A1630" s="3" t="str">
        <f t="shared" si="50"/>
        <v>ΒΙΟΜΗΧΑΝΙΚΗ ΚΑΝΝΑΒΗZENIT (ΘΕΡΜΟΚΗΠΙΑΚΗ ΚΑΛΛΙΕΡΓΕΙΑ)</v>
      </c>
      <c r="B1630" s="4" t="s">
        <v>2840</v>
      </c>
      <c r="C1630" s="5" t="s">
        <v>3009</v>
      </c>
      <c r="D1630" s="6">
        <v>11333.22</v>
      </c>
      <c r="E1630" s="6">
        <v>10073.59</v>
      </c>
      <c r="F1630" s="7" t="s">
        <v>14</v>
      </c>
      <c r="G1630" s="8" t="s">
        <v>3010</v>
      </c>
      <c r="H1630" s="8" t="s">
        <v>16</v>
      </c>
      <c r="I1630" s="9">
        <v>3563</v>
      </c>
      <c r="J1630" s="10">
        <v>69</v>
      </c>
      <c r="K1630" s="10">
        <v>69085</v>
      </c>
      <c r="L1630" s="3" t="str">
        <f t="shared" si="51"/>
        <v>ΒΙΟΜΗΧΑΝΙΚΗ_ΚΑΝΝΑΒΗ</v>
      </c>
    </row>
    <row r="1631" spans="1:12" s="3" customFormat="1" ht="24" x14ac:dyDescent="0.25">
      <c r="A1631" s="3" t="str">
        <f t="shared" si="50"/>
        <v>ΒΙΟΜΗΧΑΝΙΚΗ ΚΑΝΝΑΒΗCHAMAELEON (ΘΕΡΜΟΚΗΠΙΑΚΗ ΚΑΛΛΙΕΡΓΕΙΑ)</v>
      </c>
      <c r="B1631" s="4" t="s">
        <v>2840</v>
      </c>
      <c r="C1631" s="5" t="s">
        <v>3011</v>
      </c>
      <c r="D1631" s="6">
        <v>11333.22</v>
      </c>
      <c r="E1631" s="6">
        <v>10073.59</v>
      </c>
      <c r="F1631" s="7" t="s">
        <v>14</v>
      </c>
      <c r="G1631" s="8" t="s">
        <v>3012</v>
      </c>
      <c r="H1631" s="8" t="s">
        <v>16</v>
      </c>
      <c r="I1631" s="9">
        <v>3564</v>
      </c>
      <c r="J1631" s="10">
        <v>69</v>
      </c>
      <c r="K1631" s="10">
        <v>69086</v>
      </c>
      <c r="L1631" s="3" t="str">
        <f t="shared" si="51"/>
        <v>ΒΙΟΜΗΧΑΝΙΚΗ_ΚΑΝΝΑΒΗ</v>
      </c>
    </row>
    <row r="1632" spans="1:12" s="3" customFormat="1" ht="24" x14ac:dyDescent="0.25">
      <c r="A1632" s="3" t="str">
        <f t="shared" si="50"/>
        <v>ΒΙΟΜΗΧΑΝΙΚΗ ΚΑΝΝΑΒΗGLECIA (ΘΕΡΜΟΚΗΠΙΑΚΗ ΚΑΛΛΙΕΡΓΕΙΑ)</v>
      </c>
      <c r="B1632" s="4" t="s">
        <v>2840</v>
      </c>
      <c r="C1632" s="5" t="s">
        <v>3013</v>
      </c>
      <c r="D1632" s="6">
        <v>11333.22</v>
      </c>
      <c r="E1632" s="6">
        <v>10073.59</v>
      </c>
      <c r="F1632" s="7" t="s">
        <v>14</v>
      </c>
      <c r="G1632" s="8" t="s">
        <v>3014</v>
      </c>
      <c r="H1632" s="8" t="s">
        <v>16</v>
      </c>
      <c r="I1632" s="9">
        <v>3562</v>
      </c>
      <c r="J1632" s="10">
        <v>69</v>
      </c>
      <c r="K1632" s="10">
        <v>69087</v>
      </c>
      <c r="L1632" s="3" t="str">
        <f t="shared" si="51"/>
        <v>ΒΙΟΜΗΧΑΝΙΚΗ_ΚΑΝΝΑΒΗ</v>
      </c>
    </row>
    <row r="1633" spans="1:12" s="3" customFormat="1" ht="24" x14ac:dyDescent="0.25">
      <c r="A1633" s="3" t="str">
        <f t="shared" si="50"/>
        <v>ΒΙΟΜΗΧΑΝΙΚΗ ΚΑΝΝΑΒΗGLYANA (ΘΕΡΜΟΚΗΠΙΑΚΗ ΚΑΛΛΙΕΡΓΕΙΑ)</v>
      </c>
      <c r="B1633" s="4" t="s">
        <v>2840</v>
      </c>
      <c r="C1633" s="5" t="s">
        <v>3015</v>
      </c>
      <c r="D1633" s="6">
        <v>11333.22</v>
      </c>
      <c r="E1633" s="6">
        <v>10073.59</v>
      </c>
      <c r="F1633" s="7" t="s">
        <v>14</v>
      </c>
      <c r="G1633" s="8" t="s">
        <v>3016</v>
      </c>
      <c r="H1633" s="8" t="s">
        <v>16</v>
      </c>
      <c r="I1633" s="9">
        <v>3565</v>
      </c>
      <c r="J1633" s="10">
        <v>69</v>
      </c>
      <c r="K1633" s="10">
        <v>69088</v>
      </c>
      <c r="L1633" s="3" t="str">
        <f t="shared" si="51"/>
        <v>ΒΙΟΜΗΧΑΝΙΚΗ_ΚΑΝΝΑΒΗ</v>
      </c>
    </row>
    <row r="1634" spans="1:12" s="3" customFormat="1" ht="24" x14ac:dyDescent="0.25">
      <c r="A1634" s="3" t="str">
        <f t="shared" si="50"/>
        <v>ΒΙΟΜΗΧΑΝΙΚΗ ΚΑΝΝΑΒΗSANTHICA 70 (ΘΕΡΜΟΚΗΠΙΑΚΗ ΚΑΛΛΙΕΡΓΕΙΑ)</v>
      </c>
      <c r="B1634" s="4" t="s">
        <v>2840</v>
      </c>
      <c r="C1634" s="5" t="s">
        <v>3017</v>
      </c>
      <c r="D1634" s="6">
        <v>11333.22</v>
      </c>
      <c r="E1634" s="6">
        <v>10073.59</v>
      </c>
      <c r="F1634" s="7" t="s">
        <v>14</v>
      </c>
      <c r="G1634" s="8" t="s">
        <v>3018</v>
      </c>
      <c r="H1634" s="8" t="s">
        <v>16</v>
      </c>
      <c r="I1634" s="9">
        <v>3566</v>
      </c>
      <c r="J1634" s="10">
        <v>69</v>
      </c>
      <c r="K1634" s="10">
        <v>69089</v>
      </c>
      <c r="L1634" s="3" t="str">
        <f t="shared" si="51"/>
        <v>ΒΙΟΜΗΧΑΝΙΚΗ_ΚΑΝΝΑΒΗ</v>
      </c>
    </row>
    <row r="1635" spans="1:12" s="3" customFormat="1" ht="24" x14ac:dyDescent="0.25">
      <c r="A1635" s="3" t="str">
        <f t="shared" si="50"/>
        <v>ΒΙΟΜΗΧΑΝΙΚΗ ΚΑΝΝΑΒΗSECUIENI JUBILEU (ΘΕΡΜΟΚΗΠΙΑΚΗ ΚΑΛΛΙΕΡΓΕΙΑ)</v>
      </c>
      <c r="B1635" s="4" t="s">
        <v>2840</v>
      </c>
      <c r="C1635" s="5" t="s">
        <v>3019</v>
      </c>
      <c r="D1635" s="6">
        <v>11333.22</v>
      </c>
      <c r="E1635" s="6">
        <v>10073.59</v>
      </c>
      <c r="F1635" s="7" t="s">
        <v>14</v>
      </c>
      <c r="G1635" s="8" t="s">
        <v>3020</v>
      </c>
      <c r="H1635" s="8" t="s">
        <v>16</v>
      </c>
      <c r="I1635" s="9">
        <v>3567</v>
      </c>
      <c r="J1635" s="10">
        <v>69</v>
      </c>
      <c r="K1635" s="10">
        <v>69090</v>
      </c>
      <c r="L1635" s="3" t="str">
        <f t="shared" si="51"/>
        <v>ΒΙΟΜΗΧΑΝΙΚΗ_ΚΑΝΝΑΒΗ</v>
      </c>
    </row>
    <row r="1636" spans="1:12" s="3" customFormat="1" ht="24" x14ac:dyDescent="0.25">
      <c r="A1636" s="3" t="str">
        <f t="shared" si="50"/>
        <v>ΒΙΟΜΗΧΑΝΙΚΗ ΚΑΝΝΑΒΗSILVANA (ΘΕΡΜΟΚΗΠΙΑΚΗ ΚΑΛΛΙΕΡΓΕΙΑ)</v>
      </c>
      <c r="B1636" s="4" t="s">
        <v>2840</v>
      </c>
      <c r="C1636" s="5" t="s">
        <v>3021</v>
      </c>
      <c r="D1636" s="6">
        <v>11333.22</v>
      </c>
      <c r="E1636" s="6">
        <v>10073.59</v>
      </c>
      <c r="F1636" s="7" t="s">
        <v>14</v>
      </c>
      <c r="G1636" s="8" t="s">
        <v>3022</v>
      </c>
      <c r="H1636" s="8" t="s">
        <v>16</v>
      </c>
      <c r="I1636" s="9">
        <v>3568</v>
      </c>
      <c r="J1636" s="10">
        <v>69</v>
      </c>
      <c r="K1636" s="10">
        <v>69091</v>
      </c>
      <c r="L1636" s="3" t="str">
        <f t="shared" si="51"/>
        <v>ΒΙΟΜΗΧΑΝΙΚΗ_ΚΑΝΝΑΒΗ</v>
      </c>
    </row>
    <row r="1637" spans="1:12" s="3" customFormat="1" ht="24" x14ac:dyDescent="0.25">
      <c r="A1637" s="3" t="str">
        <f t="shared" si="50"/>
        <v>ΒΙΟΜΗΧΑΝΙΚΗ ΚΑΝΝΑΒΗTISZA (ΘΕΡΜΟΚΗΠΙΑΚΗ ΚΑΛΛΙΕΡΓΕΙΑ)</v>
      </c>
      <c r="B1637" s="4" t="s">
        <v>2840</v>
      </c>
      <c r="C1637" s="5" t="s">
        <v>3023</v>
      </c>
      <c r="D1637" s="6">
        <v>11333.22</v>
      </c>
      <c r="E1637" s="6">
        <v>10073.59</v>
      </c>
      <c r="F1637" s="7" t="s">
        <v>14</v>
      </c>
      <c r="G1637" s="8" t="s">
        <v>3024</v>
      </c>
      <c r="H1637" s="8" t="s">
        <v>16</v>
      </c>
      <c r="I1637" s="9">
        <v>3569</v>
      </c>
      <c r="J1637" s="10">
        <v>69</v>
      </c>
      <c r="K1637" s="10">
        <v>69092</v>
      </c>
      <c r="L1637" s="3" t="str">
        <f t="shared" si="51"/>
        <v>ΒΙΟΜΗΧΑΝΙΚΗ_ΚΑΝΝΑΒΗ</v>
      </c>
    </row>
    <row r="1638" spans="1:12" s="3" customFormat="1" ht="24" x14ac:dyDescent="0.25">
      <c r="A1638" s="3" t="str">
        <f t="shared" si="50"/>
        <v>ΒΙΟΜΗΧΑΝΙΚΗ ΚΑΝΝΑΒΗUNIKO B (ΘΕΡΜΟΚΗΠΙΑΚΗ ΚΑΛΛΙΕΡΓΕΙΑ)</v>
      </c>
      <c r="B1638" s="4" t="s">
        <v>2840</v>
      </c>
      <c r="C1638" s="5" t="s">
        <v>3025</v>
      </c>
      <c r="D1638" s="6">
        <v>11333.22</v>
      </c>
      <c r="E1638" s="6">
        <v>10073.59</v>
      </c>
      <c r="F1638" s="7" t="s">
        <v>14</v>
      </c>
      <c r="G1638" s="8" t="s">
        <v>3026</v>
      </c>
      <c r="H1638" s="8" t="s">
        <v>16</v>
      </c>
      <c r="I1638" s="9">
        <v>3570</v>
      </c>
      <c r="J1638" s="10">
        <v>69</v>
      </c>
      <c r="K1638" s="10">
        <v>69093</v>
      </c>
      <c r="L1638" s="3" t="str">
        <f t="shared" si="51"/>
        <v>ΒΙΟΜΗΧΑΝΙΚΗ_ΚΑΝΝΑΒΗ</v>
      </c>
    </row>
    <row r="1639" spans="1:12" s="3" customFormat="1" ht="24" x14ac:dyDescent="0.25">
      <c r="A1639" s="3" t="str">
        <f t="shared" si="50"/>
        <v>ΒΙΟΜΗΧΑΝΙΚΗ ΚΑΝΝΑΒΗVILLANOVA (ΘΕΡΜΟΚΗΠΙΑΚΗ ΚΑΛΛΙΕΡΓΕΙΑ)</v>
      </c>
      <c r="B1639" s="4" t="s">
        <v>2840</v>
      </c>
      <c r="C1639" s="5" t="s">
        <v>3027</v>
      </c>
      <c r="D1639" s="6">
        <v>11333.22</v>
      </c>
      <c r="E1639" s="6">
        <v>10073.59</v>
      </c>
      <c r="F1639" s="7" t="s">
        <v>14</v>
      </c>
      <c r="G1639" s="8" t="s">
        <v>3028</v>
      </c>
      <c r="H1639" s="8" t="s">
        <v>16</v>
      </c>
      <c r="I1639" s="9">
        <v>3577</v>
      </c>
      <c r="J1639" s="10">
        <v>69</v>
      </c>
      <c r="K1639" s="10">
        <v>69094</v>
      </c>
      <c r="L1639" s="3" t="str">
        <f t="shared" si="51"/>
        <v>ΒΙΟΜΗΧΑΝΙΚΗ_ΚΑΝΝΑΒΗ</v>
      </c>
    </row>
    <row r="1640" spans="1:12" s="3" customFormat="1" ht="24" x14ac:dyDescent="0.25">
      <c r="A1640" s="3" t="str">
        <f t="shared" si="50"/>
        <v>ΒΙΟΜΗΧΑΝΙΚΗ ΚΑΝΝΑΒΗWIELKOPOLSKIE (ΘΕΡΜΟΚΗΠΙΑΚΗ ΚΑΛΛΙΕΡΓΕΙΑ)</v>
      </c>
      <c r="B1640" s="4" t="s">
        <v>2840</v>
      </c>
      <c r="C1640" s="5" t="s">
        <v>3029</v>
      </c>
      <c r="D1640" s="6">
        <v>11333.22</v>
      </c>
      <c r="E1640" s="6">
        <v>10073.59</v>
      </c>
      <c r="F1640" s="7" t="s">
        <v>14</v>
      </c>
      <c r="G1640" s="8" t="s">
        <v>3030</v>
      </c>
      <c r="H1640" s="8" t="s">
        <v>16</v>
      </c>
      <c r="I1640" s="9">
        <v>3571</v>
      </c>
      <c r="J1640" s="10">
        <v>69</v>
      </c>
      <c r="K1640" s="10">
        <v>69095</v>
      </c>
      <c r="L1640" s="3" t="str">
        <f t="shared" si="51"/>
        <v>ΒΙΟΜΗΧΑΝΙΚΗ_ΚΑΝΝΑΒΗ</v>
      </c>
    </row>
    <row r="1641" spans="1:12" s="3" customFormat="1" ht="24" x14ac:dyDescent="0.25">
      <c r="A1641" s="3" t="str">
        <f t="shared" si="50"/>
        <v>ΒΙΟΜΗΧΑΝΙΚΗ ΚΑΝΝΑΒΗCANNAKOMP (ΘΕΡΜΟΚΗΠΙΑΚΗ ΚΑΛΛΙΕΡΓΕΙΑ)</v>
      </c>
      <c r="B1641" s="4" t="s">
        <v>2840</v>
      </c>
      <c r="C1641" s="5" t="s">
        <v>3031</v>
      </c>
      <c r="D1641" s="6">
        <v>11333.22</v>
      </c>
      <c r="E1641" s="6">
        <v>10073.59</v>
      </c>
      <c r="F1641" s="7" t="s">
        <v>14</v>
      </c>
      <c r="G1641" s="8" t="s">
        <v>3032</v>
      </c>
      <c r="H1641" s="8" t="s">
        <v>16</v>
      </c>
      <c r="I1641" s="9">
        <v>3572</v>
      </c>
      <c r="J1641" s="10">
        <v>69</v>
      </c>
      <c r="K1641" s="10">
        <v>69096</v>
      </c>
      <c r="L1641" s="3" t="str">
        <f t="shared" si="51"/>
        <v>ΒΙΟΜΗΧΑΝΙΚΗ_ΚΑΝΝΑΒΗ</v>
      </c>
    </row>
    <row r="1642" spans="1:12" s="3" customFormat="1" ht="24" x14ac:dyDescent="0.25">
      <c r="A1642" s="3" t="str">
        <f t="shared" si="50"/>
        <v>ΒΙΟΜΗΧΑΝΙΚΗ ΚΑΝΝΑΒΗCARMA (ΘΕΡΜΟΚΗΠΙΑΚΗ ΚΑΛΛΙΕΡΓΕΙΑ)</v>
      </c>
      <c r="B1642" s="4" t="s">
        <v>2840</v>
      </c>
      <c r="C1642" s="5" t="s">
        <v>3033</v>
      </c>
      <c r="D1642" s="6">
        <v>11333.22</v>
      </c>
      <c r="E1642" s="6">
        <v>10073.59</v>
      </c>
      <c r="F1642" s="7" t="s">
        <v>14</v>
      </c>
      <c r="G1642" s="8" t="s">
        <v>3034</v>
      </c>
      <c r="H1642" s="8" t="s">
        <v>16</v>
      </c>
      <c r="I1642" s="9">
        <v>3573</v>
      </c>
      <c r="J1642" s="10">
        <v>69</v>
      </c>
      <c r="K1642" s="10">
        <v>69097</v>
      </c>
      <c r="L1642" s="3" t="str">
        <f t="shared" si="51"/>
        <v>ΒΙΟΜΗΧΑΝΙΚΗ_ΚΑΝΝΑΒΗ</v>
      </c>
    </row>
    <row r="1643" spans="1:12" s="3" customFormat="1" ht="24" x14ac:dyDescent="0.25">
      <c r="A1643" s="3" t="str">
        <f t="shared" si="50"/>
        <v>ΒΙΟΜΗΧΑΝΙΚΗ ΚΑΝΝΑΒΗCS (ΘΕΡΜΟΚΗΠΙΑΚΗ ΚΑΛΛΙΕΡΓΕΙΑ)</v>
      </c>
      <c r="B1643" s="4" t="s">
        <v>2840</v>
      </c>
      <c r="C1643" s="5" t="s">
        <v>3035</v>
      </c>
      <c r="D1643" s="6">
        <v>11333.22</v>
      </c>
      <c r="E1643" s="6">
        <v>10073.59</v>
      </c>
      <c r="F1643" s="7" t="s">
        <v>14</v>
      </c>
      <c r="G1643" s="8" t="s">
        <v>3036</v>
      </c>
      <c r="H1643" s="8" t="s">
        <v>16</v>
      </c>
      <c r="I1643" s="9">
        <v>3574</v>
      </c>
      <c r="J1643" s="10">
        <v>69</v>
      </c>
      <c r="K1643" s="10">
        <v>69098</v>
      </c>
      <c r="L1643" s="3" t="str">
        <f t="shared" si="51"/>
        <v>ΒΙΟΜΗΧΑΝΙΚΗ_ΚΑΝΝΑΒΗ</v>
      </c>
    </row>
    <row r="1644" spans="1:12" s="3" customFormat="1" ht="24" x14ac:dyDescent="0.25">
      <c r="A1644" s="3" t="str">
        <f t="shared" si="50"/>
        <v>ΒΙΟΜΗΧΑΝΙΚΗ ΚΑΝΝΑΒΗDELTA-LLOSA (ΘΕΡΜΟΚΗΠΙΑΚΗ ΚΑΛΛΙΕΡΓΕΙΑ)</v>
      </c>
      <c r="B1644" s="4" t="s">
        <v>2840</v>
      </c>
      <c r="C1644" s="5" t="s">
        <v>3037</v>
      </c>
      <c r="D1644" s="6">
        <v>11333.22</v>
      </c>
      <c r="E1644" s="6">
        <v>10073.59</v>
      </c>
      <c r="F1644" s="7" t="s">
        <v>14</v>
      </c>
      <c r="G1644" s="8" t="s">
        <v>3038</v>
      </c>
      <c r="H1644" s="8" t="s">
        <v>16</v>
      </c>
      <c r="I1644" s="9">
        <v>3575</v>
      </c>
      <c r="J1644" s="10">
        <v>69</v>
      </c>
      <c r="K1644" s="10">
        <v>69099</v>
      </c>
      <c r="L1644" s="3" t="str">
        <f t="shared" si="51"/>
        <v>ΒΙΟΜΗΧΑΝΙΚΗ_ΚΑΝΝΑΒΗ</v>
      </c>
    </row>
    <row r="1645" spans="1:12" s="3" customFormat="1" ht="24" x14ac:dyDescent="0.25">
      <c r="A1645" s="3" t="str">
        <f t="shared" si="50"/>
        <v>ΒΙΟΜΗΧΑΝΙΚΗ ΚΑΝΝΑΒΗKOMPOLTI (ΘΕΡΜΟΚΗΠΙΑΚΗ ΚΑΛΛΙΕΡΓΕΙΑ)</v>
      </c>
      <c r="B1645" s="4" t="s">
        <v>2840</v>
      </c>
      <c r="C1645" s="5" t="s">
        <v>3039</v>
      </c>
      <c r="D1645" s="6">
        <v>11333.22</v>
      </c>
      <c r="E1645" s="6">
        <v>10073.59</v>
      </c>
      <c r="F1645" s="7" t="s">
        <v>14</v>
      </c>
      <c r="G1645" s="8" t="s">
        <v>3040</v>
      </c>
      <c r="H1645" s="8" t="s">
        <v>16</v>
      </c>
      <c r="I1645" s="9">
        <v>3583</v>
      </c>
      <c r="J1645" s="10">
        <v>69</v>
      </c>
      <c r="K1645" s="10">
        <v>69100</v>
      </c>
      <c r="L1645" s="3" t="str">
        <f t="shared" si="51"/>
        <v>ΒΙΟΜΗΧΑΝΙΚΗ_ΚΑΝΝΑΒΗ</v>
      </c>
    </row>
    <row r="1646" spans="1:12" s="3" customFormat="1" ht="24" x14ac:dyDescent="0.25">
      <c r="A1646" s="3" t="str">
        <f t="shared" si="50"/>
        <v>ΒΙΟΜΗΧΑΝΙΚΗ ΚΑΝΝΑΒΗCODIMONO (ΘΕΡΜΟΚΗΠΙΑΚΗ ΚΑΛΛΙΕΡΓΕΙΑ)</v>
      </c>
      <c r="B1646" s="4" t="s">
        <v>2840</v>
      </c>
      <c r="C1646" s="5" t="s">
        <v>3041</v>
      </c>
      <c r="D1646" s="6">
        <v>11333.22</v>
      </c>
      <c r="E1646" s="6">
        <v>10073.59</v>
      </c>
      <c r="F1646" s="7" t="s">
        <v>14</v>
      </c>
      <c r="G1646" s="8" t="s">
        <v>3042</v>
      </c>
      <c r="H1646" s="8" t="s">
        <v>16</v>
      </c>
      <c r="I1646" s="9">
        <v>3635</v>
      </c>
      <c r="J1646" s="10">
        <v>69</v>
      </c>
      <c r="K1646" s="10">
        <v>69101</v>
      </c>
      <c r="L1646" s="3" t="str">
        <f t="shared" si="51"/>
        <v>ΒΙΟΜΗΧΑΝΙΚΗ_ΚΑΝΝΑΒΗ</v>
      </c>
    </row>
    <row r="1647" spans="1:12" s="3" customFormat="1" ht="24" x14ac:dyDescent="0.25">
      <c r="A1647" s="3" t="str">
        <f t="shared" si="50"/>
        <v>ΒΙΟΜΗΧΑΝΙΚΗ ΚΑΝΝΑΒΗDACIA SECUIENI (ΘΕΡΜΟΚΗΠΙΑΚΗ ΚΑΛΛΙΕΡΓΕΙΑ)</v>
      </c>
      <c r="B1647" s="4" t="s">
        <v>2840</v>
      </c>
      <c r="C1647" s="5" t="s">
        <v>3043</v>
      </c>
      <c r="D1647" s="6">
        <v>11333.22</v>
      </c>
      <c r="E1647" s="6">
        <v>10073.59</v>
      </c>
      <c r="F1647" s="7" t="s">
        <v>14</v>
      </c>
      <c r="G1647" s="8" t="s">
        <v>3044</v>
      </c>
      <c r="H1647" s="8" t="s">
        <v>16</v>
      </c>
      <c r="I1647" s="9">
        <v>3625</v>
      </c>
      <c r="J1647" s="10">
        <v>69</v>
      </c>
      <c r="K1647" s="10">
        <v>69102</v>
      </c>
      <c r="L1647" s="3" t="str">
        <f t="shared" si="51"/>
        <v>ΒΙΟΜΗΧΑΝΙΚΗ_ΚΑΝΝΑΒΗ</v>
      </c>
    </row>
    <row r="1648" spans="1:12" s="3" customFormat="1" x14ac:dyDescent="0.25">
      <c r="A1648" s="3" t="str">
        <f t="shared" si="50"/>
        <v>ΒΙΟΜΗΧΑΝΙΚΗ ΚΑΝΝΑΒΗDENISE (ΘΕΡΜΟΚΗΠΙΑΚΗ ΚΑΛΛΙΕΡΓΕΙΑ)</v>
      </c>
      <c r="B1648" s="4" t="s">
        <v>2840</v>
      </c>
      <c r="C1648" s="5" t="s">
        <v>3045</v>
      </c>
      <c r="D1648" s="6">
        <v>11333.22</v>
      </c>
      <c r="E1648" s="6">
        <v>10073.59</v>
      </c>
      <c r="F1648" s="7" t="s">
        <v>14</v>
      </c>
      <c r="G1648" s="8" t="s">
        <v>3046</v>
      </c>
      <c r="H1648" s="8" t="s">
        <v>27</v>
      </c>
      <c r="I1648" s="9">
        <v>3626</v>
      </c>
      <c r="J1648" s="10">
        <v>69</v>
      </c>
      <c r="K1648" s="10">
        <v>69103</v>
      </c>
      <c r="L1648" s="3" t="str">
        <f t="shared" si="51"/>
        <v>ΒΙΟΜΗΧΑΝΙΚΗ_ΚΑΝΝΑΒΗ</v>
      </c>
    </row>
    <row r="1649" spans="1:12" s="3" customFormat="1" ht="24" x14ac:dyDescent="0.25">
      <c r="A1649" s="3" t="str">
        <f t="shared" si="50"/>
        <v>ΒΙΟΜΗΧΑΝΙΚΗ ΚΑΝΝΑΒΗDIOICA 88 (ΘΕΡΜΟΚΗΠΙΑΚΗ ΚΑΛΛΙΕΡΓΕΙΑ)</v>
      </c>
      <c r="B1649" s="4" t="s">
        <v>2840</v>
      </c>
      <c r="C1649" s="5" t="s">
        <v>3047</v>
      </c>
      <c r="D1649" s="6">
        <v>11333.22</v>
      </c>
      <c r="E1649" s="6">
        <v>10073.59</v>
      </c>
      <c r="F1649" s="7" t="s">
        <v>14</v>
      </c>
      <c r="G1649" s="8" t="s">
        <v>3048</v>
      </c>
      <c r="H1649" s="8" t="s">
        <v>16</v>
      </c>
      <c r="I1649" s="9">
        <v>3627</v>
      </c>
      <c r="J1649" s="10">
        <v>69</v>
      </c>
      <c r="K1649" s="10">
        <v>69104</v>
      </c>
      <c r="L1649" s="3" t="str">
        <f t="shared" si="51"/>
        <v>ΒΙΟΜΗΧΑΝΙΚΗ_ΚΑΝΝΑΒΗ</v>
      </c>
    </row>
    <row r="1650" spans="1:12" s="3" customFormat="1" ht="24" x14ac:dyDescent="0.25">
      <c r="A1650" s="3" t="str">
        <f t="shared" si="50"/>
        <v>ΒΙΟΜΗΧΑΝΙΚΗ ΚΑΝΝΑΒΗFEDORA 17 (ΘΕΡΜΟΚΗΠΙΑΚΗ ΚΑΛΛΙΕΡΓΕΙΑ)</v>
      </c>
      <c r="B1650" s="4" t="s">
        <v>2840</v>
      </c>
      <c r="C1650" s="5" t="s">
        <v>3049</v>
      </c>
      <c r="D1650" s="6">
        <v>11333.22</v>
      </c>
      <c r="E1650" s="6">
        <v>10073.59</v>
      </c>
      <c r="F1650" s="7" t="s">
        <v>14</v>
      </c>
      <c r="G1650" s="8" t="s">
        <v>3050</v>
      </c>
      <c r="H1650" s="8" t="s">
        <v>16</v>
      </c>
      <c r="I1650" s="9">
        <v>3628</v>
      </c>
      <c r="J1650" s="10">
        <v>69</v>
      </c>
      <c r="K1650" s="10">
        <v>69105</v>
      </c>
      <c r="L1650" s="3" t="str">
        <f t="shared" si="51"/>
        <v>ΒΙΟΜΗΧΑΝΙΚΗ_ΚΑΝΝΑΒΗ</v>
      </c>
    </row>
    <row r="1651" spans="1:12" s="3" customFormat="1" ht="24" x14ac:dyDescent="0.25">
      <c r="A1651" s="3" t="str">
        <f t="shared" si="50"/>
        <v>ΒΙΟΜΗΧΑΝΙΚΗ ΚΑΝΝΑΒΗFIBROR 79 (ΘΕΡΜΟΚΗΠΙΑΚΗ ΚΑΛΛΙΕΡΓΕΙΑ)</v>
      </c>
      <c r="B1651" s="4" t="s">
        <v>2840</v>
      </c>
      <c r="C1651" s="5" t="s">
        <v>3051</v>
      </c>
      <c r="D1651" s="6">
        <v>11333.22</v>
      </c>
      <c r="E1651" s="6">
        <v>10073.59</v>
      </c>
      <c r="F1651" s="7" t="s">
        <v>14</v>
      </c>
      <c r="G1651" s="8" t="s">
        <v>3052</v>
      </c>
      <c r="H1651" s="8" t="s">
        <v>16</v>
      </c>
      <c r="I1651" s="9">
        <v>3629</v>
      </c>
      <c r="J1651" s="10">
        <v>69</v>
      </c>
      <c r="K1651" s="10">
        <v>69106</v>
      </c>
      <c r="L1651" s="3" t="str">
        <f t="shared" si="51"/>
        <v>ΒΙΟΜΗΧΑΝΙΚΗ_ΚΑΝΝΑΒΗ</v>
      </c>
    </row>
    <row r="1652" spans="1:12" s="3" customFormat="1" ht="24" x14ac:dyDescent="0.25">
      <c r="A1652" s="3" t="str">
        <f t="shared" si="50"/>
        <v>ΒΙΟΜΗΧΑΝΙΚΗ ΚΑΝΝΑΒΗKC ZUZANA (ΘΕΡΜΟΚΗΠΙΑΚΗ ΚΑΛΛΙΕΡΓΕΙΑ)</v>
      </c>
      <c r="B1652" s="4" t="s">
        <v>2840</v>
      </c>
      <c r="C1652" s="5" t="s">
        <v>3053</v>
      </c>
      <c r="D1652" s="6">
        <v>11333.22</v>
      </c>
      <c r="E1652" s="6">
        <v>10073.59</v>
      </c>
      <c r="F1652" s="7" t="s">
        <v>14</v>
      </c>
      <c r="G1652" s="8" t="s">
        <v>3054</v>
      </c>
      <c r="H1652" s="8" t="s">
        <v>16</v>
      </c>
      <c r="I1652" s="9">
        <v>3630</v>
      </c>
      <c r="J1652" s="10">
        <v>69</v>
      </c>
      <c r="K1652" s="10">
        <v>69107</v>
      </c>
      <c r="L1652" s="3" t="str">
        <f t="shared" si="51"/>
        <v>ΒΙΟΜΗΧΑΝΙΚΗ_ΚΑΝΝΑΒΗ</v>
      </c>
    </row>
    <row r="1653" spans="1:12" s="3" customFormat="1" ht="31.5" x14ac:dyDescent="0.25">
      <c r="A1653" s="3" t="str">
        <f t="shared" si="50"/>
        <v>ΒΙΟΜΗΧΑΝΙΚΗ ΚΑΝΝΑΒΗKOMPOLTI HIBRID TC (ΘΕΡΜΟΚΗΠΙΑΚΗ ΚΑΛΛΙΕΡΓΕΙΑ)</v>
      </c>
      <c r="B1653" s="4" t="s">
        <v>2840</v>
      </c>
      <c r="C1653" s="5" t="s">
        <v>3055</v>
      </c>
      <c r="D1653" s="6">
        <v>11333.22</v>
      </c>
      <c r="E1653" s="6">
        <v>10073.59</v>
      </c>
      <c r="F1653" s="7" t="s">
        <v>14</v>
      </c>
      <c r="G1653" s="8" t="s">
        <v>3056</v>
      </c>
      <c r="H1653" s="8" t="s">
        <v>16</v>
      </c>
      <c r="I1653" s="9">
        <v>3631</v>
      </c>
      <c r="J1653" s="10">
        <v>69</v>
      </c>
      <c r="K1653" s="10">
        <v>69108</v>
      </c>
      <c r="L1653" s="3" t="str">
        <f t="shared" si="51"/>
        <v>ΒΙΟΜΗΧΑΝΙΚΗ_ΚΑΝΝΑΒΗ</v>
      </c>
    </row>
    <row r="1654" spans="1:12" s="3" customFormat="1" ht="24" x14ac:dyDescent="0.25">
      <c r="A1654" s="3" t="str">
        <f t="shared" si="50"/>
        <v>ΒΙΟΜΗΧΑΝΙΚΗ ΚΑΝΝΑΒΗMARCELLO (ΘΕΡΜΟΚΗΠΙΑΚΗ ΚΑΛΛΙΕΡΓΕΙΑ)</v>
      </c>
      <c r="B1654" s="4" t="s">
        <v>2840</v>
      </c>
      <c r="C1654" s="5" t="s">
        <v>3057</v>
      </c>
      <c r="D1654" s="6">
        <v>11333.22</v>
      </c>
      <c r="E1654" s="6">
        <v>10073.59</v>
      </c>
      <c r="F1654" s="7" t="s">
        <v>14</v>
      </c>
      <c r="G1654" s="8" t="s">
        <v>3058</v>
      </c>
      <c r="H1654" s="8" t="s">
        <v>16</v>
      </c>
      <c r="I1654" s="9">
        <v>3632</v>
      </c>
      <c r="J1654" s="10">
        <v>69</v>
      </c>
      <c r="K1654" s="10">
        <v>69109</v>
      </c>
      <c r="L1654" s="3" t="str">
        <f t="shared" si="51"/>
        <v>ΒΙΟΜΗΧΑΝΙΚΗ_ΚΑΝΝΑΒΗ</v>
      </c>
    </row>
    <row r="1655" spans="1:12" s="3" customFormat="1" ht="24" x14ac:dyDescent="0.25">
      <c r="A1655" s="3" t="str">
        <f t="shared" si="50"/>
        <v>ΒΙΟΜΗΧΑΝΙΚΗ ΚΑΝΝΑΒΗSANTHICA 23 (ΘΕΡΜΟΚΗΠΙΑΚΗ ΚΑΛΛΙΕΡΓΕΙΑ)</v>
      </c>
      <c r="B1655" s="4" t="s">
        <v>2840</v>
      </c>
      <c r="C1655" s="5" t="s">
        <v>3059</v>
      </c>
      <c r="D1655" s="6">
        <v>11333.22</v>
      </c>
      <c r="E1655" s="6">
        <v>10073.59</v>
      </c>
      <c r="F1655" s="7" t="s">
        <v>14</v>
      </c>
      <c r="G1655" s="8" t="s">
        <v>3060</v>
      </c>
      <c r="H1655" s="8" t="s">
        <v>16</v>
      </c>
      <c r="I1655" s="9">
        <v>3645</v>
      </c>
      <c r="J1655" s="10">
        <v>69</v>
      </c>
      <c r="K1655" s="10">
        <v>69110</v>
      </c>
      <c r="L1655" s="3" t="str">
        <f t="shared" si="51"/>
        <v>ΒΙΟΜΗΧΑΝΙΚΗ_ΚΑΝΝΑΒΗ</v>
      </c>
    </row>
    <row r="1656" spans="1:12" s="3" customFormat="1" ht="24" x14ac:dyDescent="0.25">
      <c r="A1656" s="3" t="str">
        <f t="shared" si="50"/>
        <v>ΒΙΟΜΗΧΑΝΙΚΗ ΚΑΝΝΑΒΗEARLINA 8 FC (ΘΕΡΜΟΚΗΠΙΑΚΗ ΚΑΛΛΙΕΡΓΕΙΑ)</v>
      </c>
      <c r="B1656" s="4" t="s">
        <v>2840</v>
      </c>
      <c r="C1656" s="5" t="s">
        <v>3061</v>
      </c>
      <c r="D1656" s="6">
        <v>11333.22</v>
      </c>
      <c r="E1656" s="6">
        <v>10073.59</v>
      </c>
      <c r="F1656" s="7" t="s">
        <v>14</v>
      </c>
      <c r="G1656" s="8" t="s">
        <v>3062</v>
      </c>
      <c r="H1656" s="8" t="s">
        <v>16</v>
      </c>
      <c r="I1656" s="9">
        <v>3634</v>
      </c>
      <c r="J1656" s="10">
        <v>69</v>
      </c>
      <c r="K1656" s="10">
        <v>69111</v>
      </c>
      <c r="L1656" s="3" t="str">
        <f t="shared" si="51"/>
        <v>ΒΙΟΜΗΧΑΝΙΚΗ_ΚΑΝΝΑΒΗ</v>
      </c>
    </row>
    <row r="1657" spans="1:12" s="3" customFormat="1" ht="24" x14ac:dyDescent="0.25">
      <c r="A1657" s="3" t="str">
        <f t="shared" si="50"/>
        <v>ΒΙΟΜΗΧΑΝΙΚΗ ΚΑΝΝΑΒΗFIBRANOVA (ΘΕΡΜΟΚΗΠΙΑΚΗ ΚΑΛΛΙΕΡΓΕΙΑ)</v>
      </c>
      <c r="B1657" s="4" t="s">
        <v>2840</v>
      </c>
      <c r="C1657" s="5" t="s">
        <v>3063</v>
      </c>
      <c r="D1657" s="6">
        <v>11333.22</v>
      </c>
      <c r="E1657" s="6">
        <v>10073.59</v>
      </c>
      <c r="F1657" s="7" t="s">
        <v>14</v>
      </c>
      <c r="G1657" s="8" t="s">
        <v>3064</v>
      </c>
      <c r="H1657" s="8" t="s">
        <v>16</v>
      </c>
      <c r="I1657" s="9">
        <v>3624</v>
      </c>
      <c r="J1657" s="10">
        <v>69</v>
      </c>
      <c r="K1657" s="10">
        <v>69112</v>
      </c>
      <c r="L1657" s="3" t="str">
        <f t="shared" si="51"/>
        <v>ΒΙΟΜΗΧΑΝΙΚΗ_ΚΑΝΝΑΒΗ</v>
      </c>
    </row>
    <row r="1658" spans="1:12" s="3" customFormat="1" ht="24" x14ac:dyDescent="0.25">
      <c r="A1658" s="3" t="str">
        <f t="shared" si="50"/>
        <v>ΒΙΟΜΗΧΑΝΙΚΗ ΚΑΝΝΑΒΗRATZA (ΘΕΡΜΟΚΗΠΙΑΚΗ ΚΑΛΛΙΕΡΓΕΙΑ)</v>
      </c>
      <c r="B1658" s="4" t="s">
        <v>2840</v>
      </c>
      <c r="C1658" s="5" t="s">
        <v>3065</v>
      </c>
      <c r="D1658" s="6">
        <v>11333.22</v>
      </c>
      <c r="E1658" s="6">
        <v>10073.59</v>
      </c>
      <c r="F1658" s="7" t="s">
        <v>14</v>
      </c>
      <c r="G1658" s="8" t="s">
        <v>3066</v>
      </c>
      <c r="H1658" s="8" t="s">
        <v>16</v>
      </c>
      <c r="I1658" s="9">
        <v>3636</v>
      </c>
      <c r="J1658" s="10">
        <v>69</v>
      </c>
      <c r="K1658" s="10">
        <v>69113</v>
      </c>
      <c r="L1658" s="3" t="str">
        <f t="shared" si="51"/>
        <v>ΒΙΟΜΗΧΑΝΙΚΗ_ΚΑΝΝΑΒΗ</v>
      </c>
    </row>
    <row r="1659" spans="1:12" s="3" customFormat="1" ht="24" x14ac:dyDescent="0.25">
      <c r="A1659" s="3" t="str">
        <f t="shared" si="50"/>
        <v>ΒΙΟΜΗΧΑΝΙΚΗ ΚΑΝΝΑΒΗSANTHICA 27 (ΘΕΡΜΟΚΗΠΙΑΚΗ ΚΑΛΛΙΕΡΓΕΙΑ)</v>
      </c>
      <c r="B1659" s="4" t="s">
        <v>2840</v>
      </c>
      <c r="C1659" s="5" t="s">
        <v>3067</v>
      </c>
      <c r="D1659" s="6">
        <v>11333.22</v>
      </c>
      <c r="E1659" s="6">
        <v>10073.59</v>
      </c>
      <c r="F1659" s="7" t="s">
        <v>14</v>
      </c>
      <c r="G1659" s="8" t="s">
        <v>3068</v>
      </c>
      <c r="H1659" s="8" t="s">
        <v>16</v>
      </c>
      <c r="I1659" s="9">
        <v>3637</v>
      </c>
      <c r="J1659" s="10">
        <v>69</v>
      </c>
      <c r="K1659" s="10">
        <v>69114</v>
      </c>
      <c r="L1659" s="3" t="str">
        <f t="shared" si="51"/>
        <v>ΒΙΟΜΗΧΑΝΙΚΗ_ΚΑΝΝΑΒΗ</v>
      </c>
    </row>
    <row r="1660" spans="1:12" s="3" customFormat="1" ht="24" x14ac:dyDescent="0.25">
      <c r="A1660" s="3" t="str">
        <f t="shared" si="50"/>
        <v>ΒΙΟΜΗΧΑΝΙΚΗ ΚΑΝΝΑΒΗSUCCESIV (ΘΕΡΜΟΚΗΠΙΑΚΗ ΚΑΛΛΙΕΡΓΕΙΑ)</v>
      </c>
      <c r="B1660" s="4" t="s">
        <v>2840</v>
      </c>
      <c r="C1660" s="5" t="s">
        <v>3069</v>
      </c>
      <c r="D1660" s="6">
        <v>11333.22</v>
      </c>
      <c r="E1660" s="6">
        <v>10073.59</v>
      </c>
      <c r="F1660" s="7" t="s">
        <v>14</v>
      </c>
      <c r="G1660" s="8" t="s">
        <v>3070</v>
      </c>
      <c r="H1660" s="8" t="s">
        <v>16</v>
      </c>
      <c r="I1660" s="9">
        <v>3638</v>
      </c>
      <c r="J1660" s="10">
        <v>69</v>
      </c>
      <c r="K1660" s="10">
        <v>69115</v>
      </c>
      <c r="L1660" s="3" t="str">
        <f t="shared" si="51"/>
        <v>ΒΙΟΜΗΧΑΝΙΚΗ_ΚΑΝΝΑΒΗ</v>
      </c>
    </row>
    <row r="1661" spans="1:12" s="3" customFormat="1" ht="24" x14ac:dyDescent="0.25">
      <c r="A1661" s="3" t="str">
        <f t="shared" si="50"/>
        <v>ΒΙΟΜΗΧΑΝΙΚΗ ΚΑΝΝΑΒΗTIBORSZALLASI (ΘΕΡΜΟΚΗΠΙΑΚΗ ΚΑΛΛΙΕΡΓΕΙΑ)</v>
      </c>
      <c r="B1661" s="4" t="s">
        <v>2840</v>
      </c>
      <c r="C1661" s="5" t="s">
        <v>3071</v>
      </c>
      <c r="D1661" s="6">
        <v>11333.22</v>
      </c>
      <c r="E1661" s="6">
        <v>10073.59</v>
      </c>
      <c r="F1661" s="7" t="s">
        <v>14</v>
      </c>
      <c r="G1661" s="8" t="s">
        <v>3072</v>
      </c>
      <c r="H1661" s="8" t="s">
        <v>16</v>
      </c>
      <c r="I1661" s="9">
        <v>3639</v>
      </c>
      <c r="J1661" s="10">
        <v>69</v>
      </c>
      <c r="K1661" s="10">
        <v>69116</v>
      </c>
      <c r="L1661" s="3" t="str">
        <f t="shared" si="51"/>
        <v>ΒΙΟΜΗΧΑΝΙΚΗ_ΚΑΝΝΑΒΗ</v>
      </c>
    </row>
    <row r="1662" spans="1:12" s="3" customFormat="1" ht="24" x14ac:dyDescent="0.25">
      <c r="A1662" s="3" t="str">
        <f t="shared" si="50"/>
        <v>ΒΙΟΜΗΧΑΝΙΚΗ ΚΑΝΝΑΒΗAUSTA SK (ΘΕΡΜΟΚΗΠΙΑΚΗ ΚΑΛΛΙΕΡΓΕΙΑ)</v>
      </c>
      <c r="B1662" s="4" t="s">
        <v>2840</v>
      </c>
      <c r="C1662" s="5" t="s">
        <v>3073</v>
      </c>
      <c r="D1662" s="6">
        <v>11333.22</v>
      </c>
      <c r="E1662" s="6">
        <v>10073.59</v>
      </c>
      <c r="F1662" s="7" t="s">
        <v>14</v>
      </c>
      <c r="G1662" s="8" t="s">
        <v>3074</v>
      </c>
      <c r="H1662" s="8" t="s">
        <v>16</v>
      </c>
      <c r="I1662" s="9">
        <v>3622</v>
      </c>
      <c r="J1662" s="10">
        <v>69</v>
      </c>
      <c r="K1662" s="10">
        <v>69117</v>
      </c>
      <c r="L1662" s="3" t="str">
        <f t="shared" si="51"/>
        <v>ΒΙΟΜΗΧΑΝΙΚΗ_ΚΑΝΝΑΒΗ</v>
      </c>
    </row>
    <row r="1663" spans="1:12" s="3" customFormat="1" ht="24" x14ac:dyDescent="0.25">
      <c r="A1663" s="3" t="str">
        <f t="shared" si="50"/>
        <v>ΒΙΟΜΗΧΑΝΙΚΗ ΚΑΝΝΑΒΗBENIKO (ΘΕΡΜΟΚΗΠΙΑΚΗ ΚΑΛΛΙΕΡΓΕΙΑ)</v>
      </c>
      <c r="B1663" s="4" t="s">
        <v>2840</v>
      </c>
      <c r="C1663" s="5" t="s">
        <v>3075</v>
      </c>
      <c r="D1663" s="6">
        <v>11333.22</v>
      </c>
      <c r="E1663" s="6">
        <v>10073.59</v>
      </c>
      <c r="F1663" s="7" t="s">
        <v>14</v>
      </c>
      <c r="G1663" s="8" t="s">
        <v>3076</v>
      </c>
      <c r="H1663" s="8" t="s">
        <v>16</v>
      </c>
      <c r="I1663" s="9">
        <v>3640</v>
      </c>
      <c r="J1663" s="10">
        <v>69</v>
      </c>
      <c r="K1663" s="10">
        <v>69118</v>
      </c>
      <c r="L1663" s="3" t="str">
        <f t="shared" si="51"/>
        <v>ΒΙΟΜΗΧΑΝΙΚΗ_ΚΑΝΝΑΒΗ</v>
      </c>
    </row>
    <row r="1664" spans="1:12" s="3" customFormat="1" x14ac:dyDescent="0.25">
      <c r="A1664" s="3" t="str">
        <f t="shared" si="50"/>
        <v>ΒΙΟΜΗΧΑΝΙΚΗ ΚΑΝΝΑΒΗDIANA (ΘΕΡΜΟΚΗΠΙΑΚΗ ΚΑΛΛΙΕΡΓΕΙΑ)</v>
      </c>
      <c r="B1664" s="4" t="s">
        <v>2840</v>
      </c>
      <c r="C1664" s="5" t="s">
        <v>3077</v>
      </c>
      <c r="D1664" s="6">
        <v>11333.22</v>
      </c>
      <c r="E1664" s="6">
        <v>10073.59</v>
      </c>
      <c r="F1664" s="7" t="s">
        <v>14</v>
      </c>
      <c r="G1664" s="8" t="s">
        <v>3078</v>
      </c>
      <c r="H1664" s="8" t="s">
        <v>27</v>
      </c>
      <c r="I1664" s="9">
        <v>3641</v>
      </c>
      <c r="J1664" s="10">
        <v>69</v>
      </c>
      <c r="K1664" s="10">
        <v>69119</v>
      </c>
      <c r="L1664" s="3" t="str">
        <f t="shared" si="51"/>
        <v>ΒΙΟΜΗΧΑΝΙΚΗ_ΚΑΝΝΑΒΗ</v>
      </c>
    </row>
    <row r="1665" spans="1:12" s="3" customFormat="1" ht="24" x14ac:dyDescent="0.25">
      <c r="A1665" s="3" t="str">
        <f t="shared" si="50"/>
        <v>ΒΙΟΜΗΧΑΝΙΚΗ ΚΑΝΝΑΒΗEARLINA 8 FC</v>
      </c>
      <c r="B1665" s="4" t="s">
        <v>2840</v>
      </c>
      <c r="C1665" s="5" t="s">
        <v>3079</v>
      </c>
      <c r="D1665" s="6">
        <v>835.84</v>
      </c>
      <c r="E1665" s="6">
        <v>845.67</v>
      </c>
      <c r="F1665" s="7" t="s">
        <v>14</v>
      </c>
      <c r="G1665" s="8" t="s">
        <v>3080</v>
      </c>
      <c r="H1665" s="8" t="s">
        <v>16</v>
      </c>
      <c r="I1665" s="9">
        <v>3642</v>
      </c>
      <c r="J1665" s="10">
        <v>69</v>
      </c>
      <c r="K1665" s="10">
        <v>69120</v>
      </c>
      <c r="L1665" s="3" t="str">
        <f t="shared" si="51"/>
        <v>ΒΙΟΜΗΧΑΝΙΚΗ_ΚΑΝΝΑΒΗ</v>
      </c>
    </row>
    <row r="1666" spans="1:12" s="3" customFormat="1" ht="24" x14ac:dyDescent="0.25">
      <c r="A1666" s="3" t="str">
        <f t="shared" si="50"/>
        <v>ΒΙΟΜΗΧΑΝΙΚΗ ΚΑΝΝΑΒΗFELINA 32 (ΘΕΡΜΟΚΗΠΙΑΚΗ ΚΑΛΛΙΕΡΓΕΙΑ)</v>
      </c>
      <c r="B1666" s="4" t="s">
        <v>2840</v>
      </c>
      <c r="C1666" s="5" t="s">
        <v>3081</v>
      </c>
      <c r="D1666" s="6">
        <v>11333.22</v>
      </c>
      <c r="E1666" s="6">
        <v>10073.59</v>
      </c>
      <c r="F1666" s="7" t="s">
        <v>14</v>
      </c>
      <c r="G1666" s="8" t="s">
        <v>3082</v>
      </c>
      <c r="H1666" s="8" t="s">
        <v>16</v>
      </c>
      <c r="I1666" s="9">
        <v>3643</v>
      </c>
      <c r="J1666" s="10">
        <v>69</v>
      </c>
      <c r="K1666" s="10">
        <v>69121</v>
      </c>
      <c r="L1666" s="3" t="str">
        <f t="shared" si="51"/>
        <v>ΒΙΟΜΗΧΑΝΙΚΗ_ΚΑΝΝΑΒΗ</v>
      </c>
    </row>
    <row r="1667" spans="1:12" s="3" customFormat="1" ht="24" x14ac:dyDescent="0.25">
      <c r="A1667" s="3" t="str">
        <f t="shared" ref="A1667:A1730" si="52">_xlfn.CONCAT(B1667,C1667)</f>
        <v>ΒΙΟΜΗΧΑΝΙΚΗ ΚΑΝΝΑΒΗFERIMON (ΘΕΡΜΟΚΗΠΙΑΚΗ ΚΑΛΛΙΕΡΓΕΙΑ)</v>
      </c>
      <c r="B1667" s="4" t="s">
        <v>2840</v>
      </c>
      <c r="C1667" s="5" t="s">
        <v>3083</v>
      </c>
      <c r="D1667" s="6">
        <v>11333.22</v>
      </c>
      <c r="E1667" s="6">
        <v>10073.59</v>
      </c>
      <c r="F1667" s="7" t="s">
        <v>14</v>
      </c>
      <c r="G1667" s="8" t="s">
        <v>3084</v>
      </c>
      <c r="H1667" s="8" t="s">
        <v>16</v>
      </c>
      <c r="I1667" s="9">
        <v>3644</v>
      </c>
      <c r="J1667" s="10">
        <v>69</v>
      </c>
      <c r="K1667" s="10">
        <v>69122</v>
      </c>
      <c r="L1667" s="3" t="str">
        <f t="shared" ref="L1667:L1730" si="53">IFERROR(SUBSTITUTE(SUBSTITUTE(SUBSTITUTE(SUBSTITUTE(SUBSTITUTE(B1667, "-", "_"), " ", "_"), ",", ""), "(", ""), ")", ""), B1667)</f>
        <v>ΒΙΟΜΗΧΑΝΙΚΗ_ΚΑΝΝΑΒΗ</v>
      </c>
    </row>
    <row r="1668" spans="1:12" s="3" customFormat="1" ht="24" x14ac:dyDescent="0.25">
      <c r="A1668" s="3" t="str">
        <f t="shared" si="52"/>
        <v>ΒΙΟΜΗΧΑΝΙΚΗ ΚΑΝΝΑΒΗGLECIA</v>
      </c>
      <c r="B1668" s="4" t="s">
        <v>2840</v>
      </c>
      <c r="C1668" s="5" t="s">
        <v>3085</v>
      </c>
      <c r="D1668" s="6">
        <v>835.84</v>
      </c>
      <c r="E1668" s="6">
        <v>845.67</v>
      </c>
      <c r="F1668" s="7" t="s">
        <v>14</v>
      </c>
      <c r="G1668" s="8" t="s">
        <v>3086</v>
      </c>
      <c r="H1668" s="8" t="s">
        <v>16</v>
      </c>
      <c r="I1668" s="9">
        <v>3613</v>
      </c>
      <c r="J1668" s="10">
        <v>69</v>
      </c>
      <c r="K1668" s="10">
        <v>69123</v>
      </c>
      <c r="L1668" s="3" t="str">
        <f t="shared" si="53"/>
        <v>ΒΙΟΜΗΧΑΝΙΚΗ_ΚΑΝΝΑΒΗ</v>
      </c>
    </row>
    <row r="1669" spans="1:12" s="3" customFormat="1" ht="24" x14ac:dyDescent="0.25">
      <c r="A1669" s="3" t="str">
        <f t="shared" si="52"/>
        <v>ΒΙΟΜΗΧΑΝΙΚΗ ΚΑΝΝΑΒΗKC VIRTUS (ΘΕΡΜΟΚΗΠΙΑΚΗ ΚΑΛΛΙΕΡΓΕΙΑ)</v>
      </c>
      <c r="B1669" s="4" t="s">
        <v>2840</v>
      </c>
      <c r="C1669" s="5" t="s">
        <v>3087</v>
      </c>
      <c r="D1669" s="6">
        <v>11333.22</v>
      </c>
      <c r="E1669" s="6">
        <v>10073.59</v>
      </c>
      <c r="F1669" s="7" t="s">
        <v>14</v>
      </c>
      <c r="G1669" s="8" t="s">
        <v>3088</v>
      </c>
      <c r="H1669" s="8" t="s">
        <v>16</v>
      </c>
      <c r="I1669" s="9">
        <v>3611</v>
      </c>
      <c r="J1669" s="10">
        <v>69</v>
      </c>
      <c r="K1669" s="10">
        <v>69124</v>
      </c>
      <c r="L1669" s="3" t="str">
        <f t="shared" si="53"/>
        <v>ΒΙΟΜΗΧΑΝΙΚΗ_ΚΑΝΝΑΒΗ</v>
      </c>
    </row>
    <row r="1670" spans="1:12" s="3" customFormat="1" ht="24" x14ac:dyDescent="0.25">
      <c r="A1670" s="3" t="str">
        <f t="shared" si="52"/>
        <v>ΒΙΟΜΗΧΑΝΙΚΗ ΚΑΝΝΑΒΗBIALOBREZESKIE (ΘΕΡΜΟΚΗΠΙΑΚΗ ΚΑΛΛΙΕΡΓΕΙΑ)</v>
      </c>
      <c r="B1670" s="4" t="s">
        <v>2840</v>
      </c>
      <c r="C1670" s="5" t="s">
        <v>3089</v>
      </c>
      <c r="D1670" s="6">
        <v>11333.22</v>
      </c>
      <c r="E1670" s="6">
        <v>10073.59</v>
      </c>
      <c r="F1670" s="7" t="s">
        <v>14</v>
      </c>
      <c r="G1670" s="8" t="s">
        <v>3090</v>
      </c>
      <c r="H1670" s="8" t="s">
        <v>16</v>
      </c>
      <c r="I1670" s="9">
        <v>3633</v>
      </c>
      <c r="J1670" s="10">
        <v>69</v>
      </c>
      <c r="K1670" s="10">
        <v>69125</v>
      </c>
      <c r="L1670" s="3" t="str">
        <f t="shared" si="53"/>
        <v>ΒΙΟΜΗΧΑΝΙΚΗ_ΚΑΝΝΑΒΗ</v>
      </c>
    </row>
    <row r="1671" spans="1:12" s="3" customFormat="1" ht="24" x14ac:dyDescent="0.25">
      <c r="A1671" s="3" t="str">
        <f t="shared" si="52"/>
        <v>ΒΙΟΜΗΧΑΝΙΚΗ ΚΑΝΝΑΒΗEPSILON 68 (ΘΕΡΜΟΚΗΠΙΑΚΗ ΚΑΛΛΙΕΡΓΕΙΑ)</v>
      </c>
      <c r="B1671" s="4" t="s">
        <v>2840</v>
      </c>
      <c r="C1671" s="5" t="s">
        <v>3091</v>
      </c>
      <c r="D1671" s="6">
        <v>11333.22</v>
      </c>
      <c r="E1671" s="6">
        <v>10073.59</v>
      </c>
      <c r="F1671" s="7" t="s">
        <v>14</v>
      </c>
      <c r="G1671" s="8" t="s">
        <v>3092</v>
      </c>
      <c r="H1671" s="8" t="s">
        <v>16</v>
      </c>
      <c r="I1671" s="9">
        <v>3603</v>
      </c>
      <c r="J1671" s="10">
        <v>69</v>
      </c>
      <c r="K1671" s="10">
        <v>69126</v>
      </c>
      <c r="L1671" s="3" t="str">
        <f t="shared" si="53"/>
        <v>ΒΙΟΜΗΧΑΝΙΚΗ_ΚΑΝΝΑΒΗ</v>
      </c>
    </row>
    <row r="1672" spans="1:12" s="3" customFormat="1" ht="24" x14ac:dyDescent="0.25">
      <c r="A1672" s="3" t="str">
        <f t="shared" si="52"/>
        <v>ΒΙΟΜΗΧΑΝΙΚΗ ΚΑΝΝΑΒΗFIBROL (ΘΕΡΜΟΚΗΠΙΑΚΗ ΚΑΛΛΙΕΡΓΕΙΑ)</v>
      </c>
      <c r="B1672" s="4" t="s">
        <v>2840</v>
      </c>
      <c r="C1672" s="5" t="s">
        <v>3093</v>
      </c>
      <c r="D1672" s="6">
        <v>11333.22</v>
      </c>
      <c r="E1672" s="6">
        <v>10073.59</v>
      </c>
      <c r="F1672" s="7" t="s">
        <v>14</v>
      </c>
      <c r="G1672" s="8" t="s">
        <v>3094</v>
      </c>
      <c r="H1672" s="8" t="s">
        <v>16</v>
      </c>
      <c r="I1672" s="9">
        <v>3604</v>
      </c>
      <c r="J1672" s="10">
        <v>69</v>
      </c>
      <c r="K1672" s="10">
        <v>69127</v>
      </c>
      <c r="L1672" s="3" t="str">
        <f t="shared" si="53"/>
        <v>ΒΙΟΜΗΧΑΝΙΚΗ_ΚΑΝΝΑΒΗ</v>
      </c>
    </row>
    <row r="1673" spans="1:12" s="3" customFormat="1" ht="24" x14ac:dyDescent="0.25">
      <c r="A1673" s="3" t="str">
        <f t="shared" si="52"/>
        <v>ΒΙΟΜΗΧΑΝΙΚΗ ΚΑΝΝΑΒΗGLIANA</v>
      </c>
      <c r="B1673" s="4" t="s">
        <v>2840</v>
      </c>
      <c r="C1673" s="5" t="s">
        <v>3095</v>
      </c>
      <c r="D1673" s="6">
        <v>835.84</v>
      </c>
      <c r="E1673" s="6">
        <v>845.67</v>
      </c>
      <c r="F1673" s="7" t="s">
        <v>14</v>
      </c>
      <c r="G1673" s="8" t="s">
        <v>3096</v>
      </c>
      <c r="H1673" s="8" t="s">
        <v>16</v>
      </c>
      <c r="I1673" s="9">
        <v>3581</v>
      </c>
      <c r="J1673" s="10">
        <v>69</v>
      </c>
      <c r="K1673" s="10">
        <v>69128</v>
      </c>
      <c r="L1673" s="3" t="str">
        <f t="shared" si="53"/>
        <v>ΒΙΟΜΗΧΑΝΙΚΗ_ΚΑΝΝΑΒΗ</v>
      </c>
    </row>
    <row r="1674" spans="1:12" s="3" customFormat="1" ht="24" x14ac:dyDescent="0.25">
      <c r="A1674" s="3" t="str">
        <f t="shared" si="52"/>
        <v>ΒΙΟΜΗΧΑΝΙΚΗ ΚΑΝΝΑΒΗKC DORA (ΘΕΡΜΟΚΗΠΙΑΚΗ ΚΑΛΛΙΕΡΓΕΙΑ)</v>
      </c>
      <c r="B1674" s="4" t="s">
        <v>2840</v>
      </c>
      <c r="C1674" s="5" t="s">
        <v>3097</v>
      </c>
      <c r="D1674" s="6">
        <v>11333.22</v>
      </c>
      <c r="E1674" s="6">
        <v>10073.59</v>
      </c>
      <c r="F1674" s="7" t="s">
        <v>14</v>
      </c>
      <c r="G1674" s="8" t="s">
        <v>3098</v>
      </c>
      <c r="H1674" s="8" t="s">
        <v>16</v>
      </c>
      <c r="I1674" s="9">
        <v>3605</v>
      </c>
      <c r="J1674" s="10">
        <v>69</v>
      </c>
      <c r="K1674" s="10">
        <v>69129</v>
      </c>
      <c r="L1674" s="3" t="str">
        <f t="shared" si="53"/>
        <v>ΒΙΟΜΗΧΑΝΙΚΗ_ΚΑΝΝΑΒΗ</v>
      </c>
    </row>
    <row r="1675" spans="1:12" s="3" customFormat="1" ht="24" x14ac:dyDescent="0.25">
      <c r="A1675" s="3" t="str">
        <f t="shared" si="52"/>
        <v>ΒΙΟΜΗΧΑΝΙΚΗ ΚΑΝΝΑΒΗTYGRA (ΘΕΡΜΟΚΗΠΙΑΚΗ ΚΑΛΛΙΕΡΓΕΙΑ)</v>
      </c>
      <c r="B1675" s="4" t="s">
        <v>2840</v>
      </c>
      <c r="C1675" s="5" t="s">
        <v>3099</v>
      </c>
      <c r="D1675" s="6">
        <v>11333.22</v>
      </c>
      <c r="E1675" s="6">
        <v>10073.59</v>
      </c>
      <c r="F1675" s="7" t="s">
        <v>14</v>
      </c>
      <c r="G1675" s="8" t="s">
        <v>3100</v>
      </c>
      <c r="H1675" s="8" t="s">
        <v>16</v>
      </c>
      <c r="I1675" s="9">
        <v>3606</v>
      </c>
      <c r="J1675" s="10">
        <v>69</v>
      </c>
      <c r="K1675" s="10">
        <v>69130</v>
      </c>
      <c r="L1675" s="3" t="str">
        <f t="shared" si="53"/>
        <v>ΒΙΟΜΗΧΑΝΙΚΗ_ΚΑΝΝΑΒΗ</v>
      </c>
    </row>
    <row r="1676" spans="1:12" s="3" customFormat="1" x14ac:dyDescent="0.25">
      <c r="A1676" s="3" t="str">
        <f t="shared" si="52"/>
        <v>ΒΙΟΜΗΧΑΝΙΚΗ ΚΑΝΝΑΒΗASSO</v>
      </c>
      <c r="B1676" s="4" t="s">
        <v>2840</v>
      </c>
      <c r="C1676" s="5" t="s">
        <v>3101</v>
      </c>
      <c r="D1676" s="6">
        <v>835.84</v>
      </c>
      <c r="E1676" s="6">
        <v>845.67</v>
      </c>
      <c r="F1676" s="7" t="s">
        <v>14</v>
      </c>
      <c r="G1676" s="8" t="s">
        <v>3102</v>
      </c>
      <c r="H1676" s="8" t="s">
        <v>27</v>
      </c>
      <c r="I1676" s="9">
        <v>3607</v>
      </c>
      <c r="J1676" s="10">
        <v>69</v>
      </c>
      <c r="K1676" s="10">
        <v>69131</v>
      </c>
      <c r="L1676" s="3" t="str">
        <f t="shared" si="53"/>
        <v>ΒΙΟΜΗΧΑΝΙΚΗ_ΚΑΝΝΑΒΗ</v>
      </c>
    </row>
    <row r="1677" spans="1:12" s="3" customFormat="1" x14ac:dyDescent="0.25">
      <c r="A1677" s="3" t="str">
        <f t="shared" si="52"/>
        <v>ΒΙΟΜΗΧΑΝΙΚΗ ΚΑΝΝΑΒΗASSO (ΘΕΡΜΟΚΗΠΙΑΚΗ ΚΑΛΛΙΕΡΓΕΙΑ)</v>
      </c>
      <c r="B1677" s="4" t="s">
        <v>2840</v>
      </c>
      <c r="C1677" s="5" t="s">
        <v>3103</v>
      </c>
      <c r="D1677" s="6">
        <v>11333.22</v>
      </c>
      <c r="E1677" s="6">
        <v>10073.59</v>
      </c>
      <c r="F1677" s="7" t="s">
        <v>14</v>
      </c>
      <c r="G1677" s="8" t="s">
        <v>3104</v>
      </c>
      <c r="H1677" s="8" t="s">
        <v>27</v>
      </c>
      <c r="I1677" s="9">
        <v>3608</v>
      </c>
      <c r="J1677" s="10">
        <v>69</v>
      </c>
      <c r="K1677" s="10">
        <v>69132</v>
      </c>
      <c r="L1677" s="3" t="str">
        <f t="shared" si="53"/>
        <v>ΒΙΟΜΗΧΑΝΙΚΗ_ΚΑΝΝΑΒΗ</v>
      </c>
    </row>
    <row r="1678" spans="1:12" s="3" customFormat="1" ht="24" x14ac:dyDescent="0.25">
      <c r="A1678" s="3" t="str">
        <f t="shared" si="52"/>
        <v>ΒΙΟΜΗΧΑΝΙΚΗ ΚΑΝΝΑΒΗBALATON</v>
      </c>
      <c r="B1678" s="4" t="s">
        <v>2840</v>
      </c>
      <c r="C1678" s="5" t="s">
        <v>3105</v>
      </c>
      <c r="D1678" s="6">
        <v>835.84</v>
      </c>
      <c r="E1678" s="6">
        <v>845.67</v>
      </c>
      <c r="F1678" s="7" t="s">
        <v>14</v>
      </c>
      <c r="G1678" s="8" t="s">
        <v>3106</v>
      </c>
      <c r="H1678" s="8" t="s">
        <v>16</v>
      </c>
      <c r="I1678" s="9">
        <v>3609</v>
      </c>
      <c r="J1678" s="10">
        <v>69</v>
      </c>
      <c r="K1678" s="10">
        <v>69133</v>
      </c>
      <c r="L1678" s="3" t="str">
        <f t="shared" si="53"/>
        <v>ΒΙΟΜΗΧΑΝΙΚΗ_ΚΑΝΝΑΒΗ</v>
      </c>
    </row>
    <row r="1679" spans="1:12" s="3" customFormat="1" ht="24" x14ac:dyDescent="0.25">
      <c r="A1679" s="3" t="str">
        <f t="shared" si="52"/>
        <v>ΒΙΟΜΗΧΑΝΙΚΗ ΚΑΝΝΑΒΗBALATON (ΘΕΡΜΟΚΗΠΙΑΚΗ ΚΑΛΛΙΕΡΓΕΙΑ)</v>
      </c>
      <c r="B1679" s="4" t="s">
        <v>2840</v>
      </c>
      <c r="C1679" s="5" t="s">
        <v>3107</v>
      </c>
      <c r="D1679" s="6">
        <v>11333.22</v>
      </c>
      <c r="E1679" s="6">
        <v>10073.59</v>
      </c>
      <c r="F1679" s="7" t="s">
        <v>14</v>
      </c>
      <c r="G1679" s="8" t="s">
        <v>3108</v>
      </c>
      <c r="H1679" s="8" t="s">
        <v>16</v>
      </c>
      <c r="I1679" s="9">
        <v>3610</v>
      </c>
      <c r="J1679" s="10">
        <v>69</v>
      </c>
      <c r="K1679" s="10">
        <v>69134</v>
      </c>
      <c r="L1679" s="3" t="str">
        <f t="shared" si="53"/>
        <v>ΒΙΟΜΗΧΑΝΙΚΗ_ΚΑΝΝΑΒΗ</v>
      </c>
    </row>
    <row r="1680" spans="1:12" s="3" customFormat="1" ht="24" x14ac:dyDescent="0.25">
      <c r="A1680" s="3" t="str">
        <f t="shared" si="52"/>
        <v>ΒΙΟΜΗΧΑΝΙΚΗ ΚΑΝΝΑΒΗFUTURA 83</v>
      </c>
      <c r="B1680" s="4" t="s">
        <v>2840</v>
      </c>
      <c r="C1680" s="5" t="s">
        <v>3109</v>
      </c>
      <c r="D1680" s="6">
        <v>835.84</v>
      </c>
      <c r="E1680" s="6">
        <v>845.67</v>
      </c>
      <c r="F1680" s="7" t="s">
        <v>14</v>
      </c>
      <c r="G1680" s="8" t="s">
        <v>3110</v>
      </c>
      <c r="H1680" s="8" t="s">
        <v>16</v>
      </c>
      <c r="I1680" s="9">
        <v>3623</v>
      </c>
      <c r="J1680" s="10">
        <v>69</v>
      </c>
      <c r="K1680" s="10">
        <v>69135</v>
      </c>
      <c r="L1680" s="3" t="str">
        <f t="shared" si="53"/>
        <v>ΒΙΟΜΗΧΑΝΙΚΗ_ΚΑΝΝΑΒΗ</v>
      </c>
    </row>
    <row r="1681" spans="1:12" s="3" customFormat="1" ht="24" x14ac:dyDescent="0.25">
      <c r="A1681" s="3" t="str">
        <f t="shared" si="52"/>
        <v>ΒΙΟΜΗΧΑΝΙΚΗ ΚΑΝΝΑΒΗFUTURA 83 (ΘΕΡΜΟΚΗΠΙΑΚΗ ΚΑΛΛΙΕΡΓΕΙΑ)</v>
      </c>
      <c r="B1681" s="4" t="s">
        <v>2840</v>
      </c>
      <c r="C1681" s="5" t="s">
        <v>3111</v>
      </c>
      <c r="D1681" s="6">
        <v>11333.22</v>
      </c>
      <c r="E1681" s="6">
        <v>10073.59</v>
      </c>
      <c r="F1681" s="7" t="s">
        <v>14</v>
      </c>
      <c r="G1681" s="8" t="s">
        <v>3112</v>
      </c>
      <c r="H1681" s="8" t="s">
        <v>16</v>
      </c>
      <c r="I1681" s="9">
        <v>3612</v>
      </c>
      <c r="J1681" s="10">
        <v>69</v>
      </c>
      <c r="K1681" s="10">
        <v>69136</v>
      </c>
      <c r="L1681" s="3" t="str">
        <f t="shared" si="53"/>
        <v>ΒΙΟΜΗΧΑΝΙΚΗ_ΚΑΝΝΑΒΗ</v>
      </c>
    </row>
    <row r="1682" spans="1:12" s="3" customFormat="1" ht="24" x14ac:dyDescent="0.25">
      <c r="A1682" s="3" t="str">
        <f t="shared" si="52"/>
        <v>ΒΙΟΜΗΧΑΝΙΚΗ ΚΑΝΝΑΒΗORION 33</v>
      </c>
      <c r="B1682" s="4" t="s">
        <v>2840</v>
      </c>
      <c r="C1682" s="5" t="s">
        <v>3113</v>
      </c>
      <c r="D1682" s="6">
        <v>835.84</v>
      </c>
      <c r="E1682" s="6">
        <v>845.67</v>
      </c>
      <c r="F1682" s="7" t="s">
        <v>14</v>
      </c>
      <c r="G1682" s="8" t="s">
        <v>3114</v>
      </c>
      <c r="H1682" s="8" t="s">
        <v>16</v>
      </c>
      <c r="I1682" s="9">
        <v>3602</v>
      </c>
      <c r="J1682" s="10">
        <v>69</v>
      </c>
      <c r="K1682" s="10">
        <v>69137</v>
      </c>
      <c r="L1682" s="3" t="str">
        <f t="shared" si="53"/>
        <v>ΒΙΟΜΗΧΑΝΙΚΗ_ΚΑΝΝΑΒΗ</v>
      </c>
    </row>
    <row r="1683" spans="1:12" s="3" customFormat="1" ht="24" x14ac:dyDescent="0.25">
      <c r="A1683" s="3" t="str">
        <f t="shared" si="52"/>
        <v>ΒΙΟΜΗΧΑΝΙΚΗ ΚΑΝΝΑΒΗORION 33 (ΘΕΡΜΟΚΗΠΙΑΚΗ ΚΑΛΛΙΕΡΓΕΙΑ)</v>
      </c>
      <c r="B1683" s="4" t="s">
        <v>2840</v>
      </c>
      <c r="C1683" s="5" t="s">
        <v>3115</v>
      </c>
      <c r="D1683" s="6">
        <v>11333.22</v>
      </c>
      <c r="E1683" s="6">
        <v>10073.59</v>
      </c>
      <c r="F1683" s="7" t="s">
        <v>14</v>
      </c>
      <c r="G1683" s="8" t="s">
        <v>3116</v>
      </c>
      <c r="H1683" s="8" t="s">
        <v>16</v>
      </c>
      <c r="I1683" s="9">
        <v>3614</v>
      </c>
      <c r="J1683" s="10">
        <v>69</v>
      </c>
      <c r="K1683" s="10">
        <v>69138</v>
      </c>
      <c r="L1683" s="3" t="str">
        <f t="shared" si="53"/>
        <v>ΒΙΟΜΗΧΑΝΙΚΗ_ΚΑΝΝΑΒΗ</v>
      </c>
    </row>
    <row r="1684" spans="1:12" s="3" customFormat="1" ht="24" x14ac:dyDescent="0.25">
      <c r="A1684" s="3" t="str">
        <f t="shared" si="52"/>
        <v>ΒΙΟΜΗΧΑΝΙΚΗ ΚΑΝΝΑΒΗTEODORA</v>
      </c>
      <c r="B1684" s="4" t="s">
        <v>2840</v>
      </c>
      <c r="C1684" s="5" t="s">
        <v>3117</v>
      </c>
      <c r="D1684" s="6">
        <v>835.84</v>
      </c>
      <c r="E1684" s="6">
        <v>845.67</v>
      </c>
      <c r="F1684" s="7" t="s">
        <v>14</v>
      </c>
      <c r="G1684" s="8" t="s">
        <v>3118</v>
      </c>
      <c r="H1684" s="8" t="s">
        <v>16</v>
      </c>
      <c r="I1684" s="9">
        <v>3615</v>
      </c>
      <c r="J1684" s="10">
        <v>69</v>
      </c>
      <c r="K1684" s="10">
        <v>69139</v>
      </c>
      <c r="L1684" s="3" t="str">
        <f t="shared" si="53"/>
        <v>ΒΙΟΜΗΧΑΝΙΚΗ_ΚΑΝΝΑΒΗ</v>
      </c>
    </row>
    <row r="1685" spans="1:12" s="3" customFormat="1" ht="24" x14ac:dyDescent="0.25">
      <c r="A1685" s="3" t="str">
        <f t="shared" si="52"/>
        <v>ΒΙΟΜΗΧΑΝΙΚΗ ΚΑΝΝΑΒΗTHEODORA (ΘΕΡΜΟΚΗΠΙΑΚΗ ΚΑΛΛΙΕΡΓΕΙΑ)</v>
      </c>
      <c r="B1685" s="4" t="s">
        <v>2840</v>
      </c>
      <c r="C1685" s="5" t="s">
        <v>3119</v>
      </c>
      <c r="D1685" s="6">
        <v>11333.22</v>
      </c>
      <c r="E1685" s="6">
        <v>10073.59</v>
      </c>
      <c r="F1685" s="7" t="s">
        <v>14</v>
      </c>
      <c r="G1685" s="8" t="s">
        <v>3120</v>
      </c>
      <c r="H1685" s="8" t="s">
        <v>16</v>
      </c>
      <c r="I1685" s="9">
        <v>3616</v>
      </c>
      <c r="J1685" s="10">
        <v>69</v>
      </c>
      <c r="K1685" s="10">
        <v>69140</v>
      </c>
      <c r="L1685" s="3" t="str">
        <f t="shared" si="53"/>
        <v>ΒΙΟΜΗΧΑΝΙΚΗ_ΚΑΝΝΑΒΗ</v>
      </c>
    </row>
    <row r="1686" spans="1:12" s="3" customFormat="1" x14ac:dyDescent="0.25">
      <c r="A1686" s="3" t="str">
        <f t="shared" si="52"/>
        <v>ΒΙΟΜΗΧΑΝΙΚΗ ΚΑΝΝΑΒΗADZELVIESI</v>
      </c>
      <c r="B1686" s="4" t="s">
        <v>2840</v>
      </c>
      <c r="C1686" s="5" t="s">
        <v>3121</v>
      </c>
      <c r="D1686" s="6">
        <v>835.84</v>
      </c>
      <c r="E1686" s="6">
        <v>845.67</v>
      </c>
      <c r="F1686" s="7" t="s">
        <v>14</v>
      </c>
      <c r="G1686" s="8" t="s">
        <v>3122</v>
      </c>
      <c r="H1686" s="8" t="s">
        <v>27</v>
      </c>
      <c r="I1686" s="9">
        <v>3617</v>
      </c>
      <c r="J1686" s="10">
        <v>69</v>
      </c>
      <c r="K1686" s="10">
        <v>69141</v>
      </c>
      <c r="L1686" s="3" t="str">
        <f t="shared" si="53"/>
        <v>ΒΙΟΜΗΧΑΝΙΚΗ_ΚΑΝΝΑΒΗ</v>
      </c>
    </row>
    <row r="1687" spans="1:12" s="3" customFormat="1" x14ac:dyDescent="0.25">
      <c r="A1687" s="3" t="str">
        <f t="shared" si="52"/>
        <v>ΒΙΟΜΗΧΑΝΙΚΗ ΚΑΝΝΑΒΗADZELVIESI (ΘΕΡΜΟΚΗΠΙΑΚΗ ΚΑΛΛΙΕΡΓΕΙΑ)</v>
      </c>
      <c r="B1687" s="4" t="s">
        <v>2840</v>
      </c>
      <c r="C1687" s="5" t="s">
        <v>3123</v>
      </c>
      <c r="D1687" s="6">
        <v>11333.22</v>
      </c>
      <c r="E1687" s="6">
        <v>10073.59</v>
      </c>
      <c r="F1687" s="7" t="s">
        <v>14</v>
      </c>
      <c r="G1687" s="8" t="s">
        <v>3124</v>
      </c>
      <c r="H1687" s="8" t="s">
        <v>27</v>
      </c>
      <c r="I1687" s="9">
        <v>3618</v>
      </c>
      <c r="J1687" s="10">
        <v>69</v>
      </c>
      <c r="K1687" s="10">
        <v>69142</v>
      </c>
      <c r="L1687" s="3" t="str">
        <f t="shared" si="53"/>
        <v>ΒΙΟΜΗΧΑΝΙΚΗ_ΚΑΝΝΑΒΗ</v>
      </c>
    </row>
    <row r="1688" spans="1:12" s="3" customFormat="1" ht="24" x14ac:dyDescent="0.25">
      <c r="A1688" s="3" t="str">
        <f t="shared" si="52"/>
        <v>ΒΙΟΜΗΧΑΝΙΚΗ ΚΑΝΝΑΒΗMGC 1013</v>
      </c>
      <c r="B1688" s="4" t="s">
        <v>2840</v>
      </c>
      <c r="C1688" s="5" t="s">
        <v>3125</v>
      </c>
      <c r="D1688" s="6">
        <v>835.84</v>
      </c>
      <c r="E1688" s="6">
        <v>845.67</v>
      </c>
      <c r="F1688" s="7" t="s">
        <v>14</v>
      </c>
      <c r="G1688" s="8" t="s">
        <v>3126</v>
      </c>
      <c r="H1688" s="8" t="s">
        <v>16</v>
      </c>
      <c r="I1688" s="9">
        <v>3619</v>
      </c>
      <c r="J1688" s="10">
        <v>69</v>
      </c>
      <c r="K1688" s="10">
        <v>69143</v>
      </c>
      <c r="L1688" s="3" t="str">
        <f t="shared" si="53"/>
        <v>ΒΙΟΜΗΧΑΝΙΚΗ_ΚΑΝΝΑΒΗ</v>
      </c>
    </row>
    <row r="1689" spans="1:12" s="3" customFormat="1" ht="24" x14ac:dyDescent="0.25">
      <c r="A1689" s="3" t="str">
        <f t="shared" si="52"/>
        <v>ΒΙΟΜΗΧΑΝΙΚΗ ΚΑΝΝΑΒΗMGC 1013 (ΘΕΡΜΟΚΗΠΙΑΚΗ ΚΑΛΛΙΕΡΓΕΙΑ)</v>
      </c>
      <c r="B1689" s="4" t="s">
        <v>2840</v>
      </c>
      <c r="C1689" s="5" t="s">
        <v>3127</v>
      </c>
      <c r="D1689" s="6">
        <v>11333.22</v>
      </c>
      <c r="E1689" s="6">
        <v>10073.59</v>
      </c>
      <c r="F1689" s="7" t="s">
        <v>14</v>
      </c>
      <c r="G1689" s="8" t="s">
        <v>3128</v>
      </c>
      <c r="H1689" s="8" t="s">
        <v>16</v>
      </c>
      <c r="I1689" s="9">
        <v>3620</v>
      </c>
      <c r="J1689" s="10">
        <v>69</v>
      </c>
      <c r="K1689" s="10">
        <v>69144</v>
      </c>
      <c r="L1689" s="3" t="str">
        <f t="shared" si="53"/>
        <v>ΒΙΟΜΗΧΑΝΙΚΗ_ΚΑΝΝΑΒΗ</v>
      </c>
    </row>
    <row r="1690" spans="1:12" s="3" customFormat="1" ht="24" x14ac:dyDescent="0.25">
      <c r="A1690" s="3" t="str">
        <f t="shared" si="52"/>
        <v>ΒΙΟΜΗΧΑΝΙΚΗ ΚΑΝΝΑΒΗHELENA</v>
      </c>
      <c r="B1690" s="21" t="s">
        <v>2840</v>
      </c>
      <c r="C1690" s="22" t="s">
        <v>2169</v>
      </c>
      <c r="D1690" s="6">
        <v>835.84</v>
      </c>
      <c r="E1690" s="6">
        <v>845.67</v>
      </c>
      <c r="F1690" s="6" t="s">
        <v>14</v>
      </c>
      <c r="G1690" s="8" t="s">
        <v>3129</v>
      </c>
      <c r="H1690" s="8" t="s">
        <v>16</v>
      </c>
      <c r="I1690" s="9">
        <v>5305</v>
      </c>
      <c r="J1690" s="16">
        <v>69</v>
      </c>
      <c r="K1690" s="16">
        <v>69145</v>
      </c>
      <c r="L1690" s="3" t="str">
        <f t="shared" si="53"/>
        <v>ΒΙΟΜΗΧΑΝΙΚΗ_ΚΑΝΝΑΒΗ</v>
      </c>
    </row>
    <row r="1691" spans="1:12" s="3" customFormat="1" ht="24" x14ac:dyDescent="0.25">
      <c r="A1691" s="3" t="str">
        <f t="shared" si="52"/>
        <v>ΒΙΟΜΗΧΑΝΙΚΗ ΚΑΝΝΑΒΗHELENA (ΘΕΡΜΟΚΗΠΙΑΚΗ ΚΑΛΛΙΕΡΓΕΙΑ)</v>
      </c>
      <c r="B1691" s="21" t="s">
        <v>2840</v>
      </c>
      <c r="C1691" s="22" t="s">
        <v>3130</v>
      </c>
      <c r="D1691" s="6">
        <v>11333.22</v>
      </c>
      <c r="E1691" s="6">
        <v>10073.59</v>
      </c>
      <c r="F1691" s="7" t="s">
        <v>14</v>
      </c>
      <c r="G1691" s="8" t="s">
        <v>3131</v>
      </c>
      <c r="H1691" s="8" t="s">
        <v>16</v>
      </c>
      <c r="I1691" s="9">
        <v>5306</v>
      </c>
      <c r="J1691" s="16">
        <v>69</v>
      </c>
      <c r="K1691" s="16">
        <v>69146</v>
      </c>
      <c r="L1691" s="3" t="str">
        <f t="shared" si="53"/>
        <v>ΒΙΟΜΗΧΑΝΙΚΗ_ΚΑΝΝΑΒΗ</v>
      </c>
    </row>
    <row r="1692" spans="1:12" s="3" customFormat="1" ht="24" x14ac:dyDescent="0.25">
      <c r="A1692" s="3" t="str">
        <f t="shared" si="52"/>
        <v>ΒΙΟΜΗΧΑΝΙΚΗ ΚΑΝΝΑΒΗMARINA</v>
      </c>
      <c r="B1692" s="21" t="s">
        <v>2840</v>
      </c>
      <c r="C1692" s="22" t="s">
        <v>3132</v>
      </c>
      <c r="D1692" s="6">
        <v>835.84</v>
      </c>
      <c r="E1692" s="6">
        <v>845.67</v>
      </c>
      <c r="F1692" s="6" t="s">
        <v>14</v>
      </c>
      <c r="G1692" s="8" t="s">
        <v>3133</v>
      </c>
      <c r="H1692" s="8" t="s">
        <v>16</v>
      </c>
      <c r="I1692" s="9">
        <v>5307</v>
      </c>
      <c r="J1692" s="16">
        <v>69</v>
      </c>
      <c r="K1692" s="16">
        <v>69147</v>
      </c>
      <c r="L1692" s="3" t="str">
        <f t="shared" si="53"/>
        <v>ΒΙΟΜΗΧΑΝΙΚΗ_ΚΑΝΝΑΒΗ</v>
      </c>
    </row>
    <row r="1693" spans="1:12" s="3" customFormat="1" ht="24" x14ac:dyDescent="0.25">
      <c r="A1693" s="3" t="str">
        <f t="shared" si="52"/>
        <v>ΒΙΟΜΗΧΑΝΙΚΗ ΚΑΝΝΑΒΗMARINA (ΘΕΡΜΟΚΗΠΙΑΚΗ ΚΑΛΛΙΕΡΓΕΙΑ)</v>
      </c>
      <c r="B1693" s="21" t="s">
        <v>2840</v>
      </c>
      <c r="C1693" s="22" t="s">
        <v>3134</v>
      </c>
      <c r="D1693" s="6">
        <v>11333.22</v>
      </c>
      <c r="E1693" s="6">
        <v>10073.59</v>
      </c>
      <c r="F1693" s="7" t="s">
        <v>14</v>
      </c>
      <c r="G1693" s="8" t="s">
        <v>3135</v>
      </c>
      <c r="H1693" s="8" t="s">
        <v>16</v>
      </c>
      <c r="I1693" s="9">
        <v>5308</v>
      </c>
      <c r="J1693" s="16">
        <v>69</v>
      </c>
      <c r="K1693" s="16">
        <v>69148</v>
      </c>
      <c r="L1693" s="3" t="str">
        <f t="shared" si="53"/>
        <v>ΒΙΟΜΗΧΑΝΙΚΗ_ΚΑΝΝΑΒΗ</v>
      </c>
    </row>
    <row r="1694" spans="1:12" s="3" customFormat="1" ht="24" x14ac:dyDescent="0.25">
      <c r="A1694" s="3" t="str">
        <f t="shared" si="52"/>
        <v>ΒΙΟΜΗΧΑΝΙΚΗ ΚΑΝΝΑΒΗMATRIX</v>
      </c>
      <c r="B1694" s="21" t="s">
        <v>2840</v>
      </c>
      <c r="C1694" s="22" t="s">
        <v>3136</v>
      </c>
      <c r="D1694" s="6">
        <v>835.84</v>
      </c>
      <c r="E1694" s="6">
        <v>845.67</v>
      </c>
      <c r="F1694" s="6" t="s">
        <v>14</v>
      </c>
      <c r="G1694" s="8" t="s">
        <v>3137</v>
      </c>
      <c r="H1694" s="8" t="s">
        <v>16</v>
      </c>
      <c r="I1694" s="9">
        <v>5309</v>
      </c>
      <c r="J1694" s="16">
        <v>69</v>
      </c>
      <c r="K1694" s="16">
        <v>69149</v>
      </c>
      <c r="L1694" s="3" t="str">
        <f t="shared" si="53"/>
        <v>ΒΙΟΜΗΧΑΝΙΚΗ_ΚΑΝΝΑΒΗ</v>
      </c>
    </row>
    <row r="1695" spans="1:12" s="3" customFormat="1" ht="24" x14ac:dyDescent="0.25">
      <c r="A1695" s="3" t="str">
        <f t="shared" si="52"/>
        <v>ΒΙΟΜΗΧΑΝΙΚΗ ΚΑΝΝΑΒΗMATRIX (ΘΕΡΜΟΚΗΠΙΑΚΗ ΚΑΛΛΙΕΡΓΕΙΑ)</v>
      </c>
      <c r="B1695" s="21" t="s">
        <v>2840</v>
      </c>
      <c r="C1695" s="22" t="s">
        <v>3138</v>
      </c>
      <c r="D1695" s="6">
        <v>11333.22</v>
      </c>
      <c r="E1695" s="6">
        <v>10073.59</v>
      </c>
      <c r="F1695" s="7" t="s">
        <v>14</v>
      </c>
      <c r="G1695" s="8" t="s">
        <v>3139</v>
      </c>
      <c r="H1695" s="8" t="s">
        <v>16</v>
      </c>
      <c r="I1695" s="9">
        <v>5310</v>
      </c>
      <c r="J1695" s="16">
        <v>69</v>
      </c>
      <c r="K1695" s="16">
        <v>69150</v>
      </c>
      <c r="L1695" s="3" t="str">
        <f t="shared" si="53"/>
        <v>ΒΙΟΜΗΧΑΝΙΚΗ_ΚΑΝΝΑΒΗ</v>
      </c>
    </row>
    <row r="1696" spans="1:12" s="3" customFormat="1" ht="24" x14ac:dyDescent="0.25">
      <c r="A1696" s="3" t="str">
        <f t="shared" si="52"/>
        <v>ΒΙΟΜΗΧΑΝΙΚΗ ΚΑΝΝΑΒΗMIETKO</v>
      </c>
      <c r="B1696" s="21" t="s">
        <v>2840</v>
      </c>
      <c r="C1696" s="22" t="s">
        <v>3140</v>
      </c>
      <c r="D1696" s="6">
        <v>835.84</v>
      </c>
      <c r="E1696" s="6">
        <v>845.67</v>
      </c>
      <c r="F1696" s="6" t="s">
        <v>14</v>
      </c>
      <c r="G1696" s="8" t="s">
        <v>3141</v>
      </c>
      <c r="H1696" s="8" t="s">
        <v>16</v>
      </c>
      <c r="I1696" s="9">
        <v>5311</v>
      </c>
      <c r="J1696" s="16">
        <v>69</v>
      </c>
      <c r="K1696" s="16">
        <v>69151</v>
      </c>
      <c r="L1696" s="3" t="str">
        <f t="shared" si="53"/>
        <v>ΒΙΟΜΗΧΑΝΙΚΗ_ΚΑΝΝΑΒΗ</v>
      </c>
    </row>
    <row r="1697" spans="1:12" s="3" customFormat="1" ht="24" x14ac:dyDescent="0.25">
      <c r="A1697" s="3" t="str">
        <f t="shared" si="52"/>
        <v>ΒΙΟΜΗΧΑΝΙΚΗ ΚΑΝΝΑΒΗMIETKO (ΘΕΡΜΟΚΗΠΙΑΚΗ ΚΑΛΛΙΕΡΓΕΙΑ)</v>
      </c>
      <c r="B1697" s="21" t="s">
        <v>2840</v>
      </c>
      <c r="C1697" s="22" t="s">
        <v>3142</v>
      </c>
      <c r="D1697" s="6">
        <v>11333.22</v>
      </c>
      <c r="E1697" s="6">
        <v>10073.59</v>
      </c>
      <c r="F1697" s="7" t="s">
        <v>14</v>
      </c>
      <c r="G1697" s="8" t="s">
        <v>3143</v>
      </c>
      <c r="H1697" s="8" t="s">
        <v>16</v>
      </c>
      <c r="I1697" s="9">
        <v>5312</v>
      </c>
      <c r="J1697" s="16">
        <v>69</v>
      </c>
      <c r="K1697" s="16">
        <v>69152</v>
      </c>
      <c r="L1697" s="3" t="str">
        <f t="shared" si="53"/>
        <v>ΒΙΟΜΗΧΑΝΙΚΗ_ΚΑΝΝΑΒΗ</v>
      </c>
    </row>
    <row r="1698" spans="1:12" s="3" customFormat="1" ht="24" x14ac:dyDescent="0.25">
      <c r="A1698" s="3" t="str">
        <f t="shared" si="52"/>
        <v>ΒΙΟΜΗΧΑΝΙΚΗ ΚΑΝΝΑΒΗOLIVIA</v>
      </c>
      <c r="B1698" s="21" t="s">
        <v>2840</v>
      </c>
      <c r="C1698" s="22" t="s">
        <v>2069</v>
      </c>
      <c r="D1698" s="6">
        <v>835.84</v>
      </c>
      <c r="E1698" s="6">
        <v>845.67</v>
      </c>
      <c r="F1698" s="6" t="s">
        <v>14</v>
      </c>
      <c r="G1698" s="8" t="s">
        <v>3144</v>
      </c>
      <c r="H1698" s="8" t="s">
        <v>16</v>
      </c>
      <c r="I1698" s="9">
        <v>5299</v>
      </c>
      <c r="J1698" s="16">
        <v>69</v>
      </c>
      <c r="K1698" s="16">
        <v>69153</v>
      </c>
      <c r="L1698" s="3" t="str">
        <f t="shared" si="53"/>
        <v>ΒΙΟΜΗΧΑΝΙΚΗ_ΚΑΝΝΑΒΗ</v>
      </c>
    </row>
    <row r="1699" spans="1:12" s="3" customFormat="1" ht="24" x14ac:dyDescent="0.25">
      <c r="A1699" s="3" t="str">
        <f t="shared" si="52"/>
        <v>ΒΙΟΜΗΧΑΝΙΚΗ ΚΑΝΝΑΒΗOLIVIA (ΘΕΡΜΟΚΗΠΙΑΚΗ ΚΑΛΛΙΕΡΓΕΙΑ)</v>
      </c>
      <c r="B1699" s="21" t="s">
        <v>2840</v>
      </c>
      <c r="C1699" s="22" t="s">
        <v>3145</v>
      </c>
      <c r="D1699" s="6">
        <v>11333.22</v>
      </c>
      <c r="E1699" s="6">
        <v>10073.59</v>
      </c>
      <c r="F1699" s="7" t="s">
        <v>14</v>
      </c>
      <c r="G1699" s="8" t="s">
        <v>3146</v>
      </c>
      <c r="H1699" s="8" t="s">
        <v>16</v>
      </c>
      <c r="I1699" s="9">
        <v>5300</v>
      </c>
      <c r="J1699" s="16">
        <v>69</v>
      </c>
      <c r="K1699" s="16">
        <v>69154</v>
      </c>
      <c r="L1699" s="3" t="str">
        <f t="shared" si="53"/>
        <v>ΒΙΟΜΗΧΑΝΙΚΗ_ΚΑΝΝΑΒΗ</v>
      </c>
    </row>
    <row r="1700" spans="1:12" s="3" customFormat="1" x14ac:dyDescent="0.25">
      <c r="A1700" s="3" t="str">
        <f t="shared" si="52"/>
        <v>ΒΙΟΜΗΧΑΝΙΚΗ ΚΑΝΝΑΒΗPURINI</v>
      </c>
      <c r="B1700" s="21" t="s">
        <v>2840</v>
      </c>
      <c r="C1700" s="22" t="s">
        <v>3147</v>
      </c>
      <c r="D1700" s="6">
        <v>835.84</v>
      </c>
      <c r="E1700" s="6">
        <v>845.67</v>
      </c>
      <c r="F1700" s="6" t="s">
        <v>14</v>
      </c>
      <c r="G1700" s="8" t="s">
        <v>3148</v>
      </c>
      <c r="H1700" s="8" t="s">
        <v>27</v>
      </c>
      <c r="I1700" s="9">
        <v>5301</v>
      </c>
      <c r="J1700" s="16">
        <v>69</v>
      </c>
      <c r="K1700" s="16">
        <v>69155</v>
      </c>
      <c r="L1700" s="3" t="str">
        <f t="shared" si="53"/>
        <v>ΒΙΟΜΗΧΑΝΙΚΗ_ΚΑΝΝΑΒΗ</v>
      </c>
    </row>
    <row r="1701" spans="1:12" s="3" customFormat="1" x14ac:dyDescent="0.25">
      <c r="A1701" s="3" t="str">
        <f t="shared" si="52"/>
        <v>ΒΙΟΜΗΧΑΝΙΚΗ ΚΑΝΝΑΒΗPURINI (ΘΕΡΜΟΚΗΠΙΑΚΗ ΚΑΛΛΙΕΡΓΕΙΑ)</v>
      </c>
      <c r="B1701" s="21" t="s">
        <v>2840</v>
      </c>
      <c r="C1701" s="22" t="s">
        <v>3149</v>
      </c>
      <c r="D1701" s="6">
        <v>11333.22</v>
      </c>
      <c r="E1701" s="6">
        <v>10073.59</v>
      </c>
      <c r="F1701" s="7" t="s">
        <v>14</v>
      </c>
      <c r="G1701" s="8" t="s">
        <v>3150</v>
      </c>
      <c r="H1701" s="8" t="s">
        <v>27</v>
      </c>
      <c r="I1701" s="9">
        <v>5302</v>
      </c>
      <c r="J1701" s="16">
        <v>69</v>
      </c>
      <c r="K1701" s="16">
        <v>69156</v>
      </c>
      <c r="L1701" s="3" t="str">
        <f t="shared" si="53"/>
        <v>ΒΙΟΜΗΧΑΝΙΚΗ_ΚΑΝΝΑΒΗ</v>
      </c>
    </row>
    <row r="1702" spans="1:12" s="3" customFormat="1" ht="24" x14ac:dyDescent="0.25">
      <c r="A1702" s="3" t="str">
        <f t="shared" si="52"/>
        <v>ΒΙΟΜΗΧΑΝΙΚΗ ΚΑΝΝΑΒΗSOFIA</v>
      </c>
      <c r="B1702" s="21" t="s">
        <v>2840</v>
      </c>
      <c r="C1702" s="22" t="s">
        <v>2505</v>
      </c>
      <c r="D1702" s="6">
        <v>835.84</v>
      </c>
      <c r="E1702" s="6">
        <v>845.67</v>
      </c>
      <c r="F1702" s="6" t="s">
        <v>14</v>
      </c>
      <c r="G1702" s="8" t="s">
        <v>3151</v>
      </c>
      <c r="H1702" s="8" t="s">
        <v>16</v>
      </c>
      <c r="I1702" s="9">
        <v>5303</v>
      </c>
      <c r="J1702" s="16">
        <v>69</v>
      </c>
      <c r="K1702" s="16">
        <v>69157</v>
      </c>
      <c r="L1702" s="3" t="str">
        <f t="shared" si="53"/>
        <v>ΒΙΟΜΗΧΑΝΙΚΗ_ΚΑΝΝΑΒΗ</v>
      </c>
    </row>
    <row r="1703" spans="1:12" s="3" customFormat="1" ht="24" x14ac:dyDescent="0.25">
      <c r="A1703" s="3" t="str">
        <f t="shared" si="52"/>
        <v>ΒΙΟΜΗΧΑΝΙΚΗ ΚΑΝΝΑΒΗSOFIA (ΘΕΡΜΟΚΗΠΙΑΚΗ ΚΑΛΛΙΕΡΓΕΙΑ)</v>
      </c>
      <c r="B1703" s="21" t="s">
        <v>2840</v>
      </c>
      <c r="C1703" s="22" t="s">
        <v>3152</v>
      </c>
      <c r="D1703" s="6">
        <v>11333.22</v>
      </c>
      <c r="E1703" s="6">
        <v>10073.59</v>
      </c>
      <c r="F1703" s="7" t="s">
        <v>14</v>
      </c>
      <c r="G1703" s="8" t="s">
        <v>3153</v>
      </c>
      <c r="H1703" s="8" t="s">
        <v>16</v>
      </c>
      <c r="I1703" s="9">
        <v>5304</v>
      </c>
      <c r="J1703" s="16">
        <v>69</v>
      </c>
      <c r="K1703" s="16">
        <v>69158</v>
      </c>
      <c r="L1703" s="3" t="str">
        <f t="shared" si="53"/>
        <v>ΒΙΟΜΗΧΑΝΙΚΗ_ΚΑΝΝΑΒΗ</v>
      </c>
    </row>
    <row r="1704" spans="1:12" s="3" customFormat="1" ht="24" x14ac:dyDescent="0.25">
      <c r="A1704" s="3" t="str">
        <f t="shared" si="52"/>
        <v>ΒΙΟΜΗΧΑΝΙΚΗ ΚΑΝΝΑΒΗALIVE SK</v>
      </c>
      <c r="B1704" s="23" t="s">
        <v>2840</v>
      </c>
      <c r="C1704" s="24" t="s">
        <v>3154</v>
      </c>
      <c r="D1704" s="32">
        <v>11333.22</v>
      </c>
      <c r="E1704" s="32">
        <v>10073.59</v>
      </c>
      <c r="F1704" s="7" t="s">
        <v>14</v>
      </c>
      <c r="G1704" s="8" t="s">
        <v>3155</v>
      </c>
      <c r="H1704" s="8" t="s">
        <v>16</v>
      </c>
      <c r="I1704" s="9">
        <v>5367</v>
      </c>
      <c r="J1704" s="26">
        <v>69</v>
      </c>
      <c r="K1704" s="27">
        <v>69159</v>
      </c>
      <c r="L1704" s="3" t="str">
        <f t="shared" si="53"/>
        <v>ΒΙΟΜΗΧΑΝΙΚΗ_ΚΑΝΝΑΒΗ</v>
      </c>
    </row>
    <row r="1705" spans="1:12" s="3" customFormat="1" ht="24" x14ac:dyDescent="0.25">
      <c r="A1705" s="3" t="str">
        <f t="shared" si="52"/>
        <v>ΒΙΟΜΗΧΑΝΙΚΗ ΚΑΝΝΑΒΗALIVE SK (ΘΕΡΜΟΚΗΠΙΑΚΗ ΚΑΛΛΙΕΡΓΕΙΑ)</v>
      </c>
      <c r="B1705" s="23" t="s">
        <v>2840</v>
      </c>
      <c r="C1705" s="24" t="s">
        <v>3156</v>
      </c>
      <c r="D1705" s="6">
        <v>11333.22</v>
      </c>
      <c r="E1705" s="6">
        <v>10073.59</v>
      </c>
      <c r="F1705" s="7" t="s">
        <v>14</v>
      </c>
      <c r="G1705" s="8" t="s">
        <v>3157</v>
      </c>
      <c r="H1705" s="8" t="s">
        <v>16</v>
      </c>
      <c r="I1705" s="9">
        <v>5368</v>
      </c>
      <c r="J1705" s="26">
        <v>69</v>
      </c>
      <c r="K1705" s="27">
        <v>69160</v>
      </c>
      <c r="L1705" s="3" t="str">
        <f t="shared" si="53"/>
        <v>ΒΙΟΜΗΧΑΝΙΚΗ_ΚΑΝΝΑΒΗ</v>
      </c>
    </row>
    <row r="1706" spans="1:12" s="3" customFormat="1" ht="24" x14ac:dyDescent="0.25">
      <c r="A1706" s="3" t="str">
        <f t="shared" si="52"/>
        <v>ΒΙΟΜΗΧΑΝΙΚΗ ΚΑΝΝΑΒΗESTICA</v>
      </c>
      <c r="B1706" s="23" t="s">
        <v>2840</v>
      </c>
      <c r="C1706" s="24" t="s">
        <v>3158</v>
      </c>
      <c r="D1706" s="6">
        <v>11333.22</v>
      </c>
      <c r="E1706" s="6">
        <v>10073.59</v>
      </c>
      <c r="F1706" s="7" t="s">
        <v>14</v>
      </c>
      <c r="G1706" s="8" t="s">
        <v>3159</v>
      </c>
      <c r="H1706" s="8" t="s">
        <v>16</v>
      </c>
      <c r="I1706" s="9">
        <v>5369</v>
      </c>
      <c r="J1706" s="26">
        <v>69</v>
      </c>
      <c r="K1706" s="27">
        <v>69161</v>
      </c>
      <c r="L1706" s="3" t="str">
        <f t="shared" si="53"/>
        <v>ΒΙΟΜΗΧΑΝΙΚΗ_ΚΑΝΝΑΒΗ</v>
      </c>
    </row>
    <row r="1707" spans="1:12" s="3" customFormat="1" ht="24" x14ac:dyDescent="0.25">
      <c r="A1707" s="3" t="str">
        <f t="shared" si="52"/>
        <v>ΒΙΟΜΗΧΑΝΙΚΗ ΚΑΝΝΑΒΗESTICA (ΘΕΡΜΟΚΗΠΙΑΚΗ ΚΑΛΛΙΕΡΓΕΙΑ)</v>
      </c>
      <c r="B1707" s="23" t="s">
        <v>2840</v>
      </c>
      <c r="C1707" s="24" t="s">
        <v>3160</v>
      </c>
      <c r="D1707" s="6">
        <v>11333.22</v>
      </c>
      <c r="E1707" s="6">
        <v>10073.59</v>
      </c>
      <c r="F1707" s="7" t="s">
        <v>14</v>
      </c>
      <c r="G1707" s="8" t="s">
        <v>3161</v>
      </c>
      <c r="H1707" s="8" t="s">
        <v>16</v>
      </c>
      <c r="I1707" s="9">
        <v>5370</v>
      </c>
      <c r="J1707" s="26">
        <v>69</v>
      </c>
      <c r="K1707" s="27">
        <v>69162</v>
      </c>
      <c r="L1707" s="3" t="str">
        <f t="shared" si="53"/>
        <v>ΒΙΟΜΗΧΑΝΙΚΗ_ΚΑΝΝΑΒΗ</v>
      </c>
    </row>
    <row r="1708" spans="1:12" s="3" customFormat="1" ht="24" x14ac:dyDescent="0.25">
      <c r="A1708" s="3" t="str">
        <f t="shared" si="52"/>
        <v>ΒΙΟΜΗΧΑΝΙΚΗ ΚΑΝΝΑΒΗFIONA</v>
      </c>
      <c r="B1708" s="23" t="s">
        <v>2840</v>
      </c>
      <c r="C1708" s="24" t="s">
        <v>2155</v>
      </c>
      <c r="D1708" s="6">
        <v>11333.22</v>
      </c>
      <c r="E1708" s="6">
        <v>10073.59</v>
      </c>
      <c r="F1708" s="7" t="s">
        <v>14</v>
      </c>
      <c r="G1708" s="8" t="s">
        <v>3162</v>
      </c>
      <c r="H1708" s="8" t="s">
        <v>16</v>
      </c>
      <c r="I1708" s="9">
        <v>5371</v>
      </c>
      <c r="J1708" s="26">
        <v>69</v>
      </c>
      <c r="K1708" s="27">
        <v>69163</v>
      </c>
      <c r="L1708" s="3" t="str">
        <f t="shared" si="53"/>
        <v>ΒΙΟΜΗΧΑΝΙΚΗ_ΚΑΝΝΑΒΗ</v>
      </c>
    </row>
    <row r="1709" spans="1:12" s="3" customFormat="1" ht="24" x14ac:dyDescent="0.25">
      <c r="A1709" s="3" t="str">
        <f t="shared" si="52"/>
        <v>ΒΙΟΜΗΧΑΝΙΚΗ ΚΑΝΝΑΒΗFIONA (ΘΕΡΜΟΚΗΠΙΑΚΗ ΚΑΛΛΙΕΡΓΕΙΑ)</v>
      </c>
      <c r="B1709" s="23" t="s">
        <v>2840</v>
      </c>
      <c r="C1709" s="24" t="s">
        <v>3163</v>
      </c>
      <c r="D1709" s="6">
        <v>11333.22</v>
      </c>
      <c r="E1709" s="6">
        <v>10073.59</v>
      </c>
      <c r="F1709" s="7" t="s">
        <v>14</v>
      </c>
      <c r="G1709" s="8" t="s">
        <v>3164</v>
      </c>
      <c r="H1709" s="8" t="s">
        <v>16</v>
      </c>
      <c r="I1709" s="9">
        <v>5372</v>
      </c>
      <c r="J1709" s="26">
        <v>69</v>
      </c>
      <c r="K1709" s="27">
        <v>69164</v>
      </c>
      <c r="L1709" s="3" t="str">
        <f t="shared" si="53"/>
        <v>ΒΙΟΜΗΧΑΝΙΚΗ_ΚΑΝΝΑΒΗ</v>
      </c>
    </row>
    <row r="1710" spans="1:12" s="3" customFormat="1" ht="24" x14ac:dyDescent="0.25">
      <c r="A1710" s="3" t="str">
        <f t="shared" si="52"/>
        <v>ΒΙΟΜΗΧΑΝΙΚΗ ΚΑΝΝΑΒΗLOJA</v>
      </c>
      <c r="B1710" s="23" t="s">
        <v>2840</v>
      </c>
      <c r="C1710" s="24" t="s">
        <v>3165</v>
      </c>
      <c r="D1710" s="6">
        <v>11333.22</v>
      </c>
      <c r="E1710" s="6">
        <v>10073.59</v>
      </c>
      <c r="F1710" s="7" t="s">
        <v>14</v>
      </c>
      <c r="G1710" s="8" t="s">
        <v>3166</v>
      </c>
      <c r="H1710" s="8" t="s">
        <v>16</v>
      </c>
      <c r="I1710" s="9">
        <v>5373</v>
      </c>
      <c r="J1710" s="26">
        <v>69</v>
      </c>
      <c r="K1710" s="27">
        <v>69165</v>
      </c>
      <c r="L1710" s="3" t="str">
        <f t="shared" si="53"/>
        <v>ΒΙΟΜΗΧΑΝΙΚΗ_ΚΑΝΝΑΒΗ</v>
      </c>
    </row>
    <row r="1711" spans="1:12" s="3" customFormat="1" ht="24" x14ac:dyDescent="0.25">
      <c r="A1711" s="3" t="str">
        <f t="shared" si="52"/>
        <v>ΒΙΟΜΗΧΑΝΙΚΗ ΚΑΝΝΑΒΗLOJA (ΘΕΡΜΟΚΗΠΙΑΚΗ ΚΑΛΛΙΕΡΓΕΙΑ)</v>
      </c>
      <c r="B1711" s="23" t="s">
        <v>2840</v>
      </c>
      <c r="C1711" s="24" t="s">
        <v>3167</v>
      </c>
      <c r="D1711" s="6">
        <v>11333.22</v>
      </c>
      <c r="E1711" s="6">
        <v>10073.59</v>
      </c>
      <c r="F1711" s="7" t="s">
        <v>14</v>
      </c>
      <c r="G1711" s="8" t="s">
        <v>3168</v>
      </c>
      <c r="H1711" s="8" t="s">
        <v>16</v>
      </c>
      <c r="I1711" s="9">
        <v>5374</v>
      </c>
      <c r="J1711" s="26">
        <v>69</v>
      </c>
      <c r="K1711" s="27">
        <v>69166</v>
      </c>
      <c r="L1711" s="3" t="str">
        <f t="shared" si="53"/>
        <v>ΒΙΟΜΗΧΑΝΙΚΗ_ΚΑΝΝΑΒΗ</v>
      </c>
    </row>
    <row r="1712" spans="1:12" s="3" customFormat="1" ht="24" x14ac:dyDescent="0.25">
      <c r="A1712" s="3" t="str">
        <f t="shared" si="52"/>
        <v>ΒΙΟΜΗΧΑΝΙΚΗ ΚΑΝΝΑΒΗMARA 21</v>
      </c>
      <c r="B1712" s="23" t="s">
        <v>2840</v>
      </c>
      <c r="C1712" s="24" t="s">
        <v>3169</v>
      </c>
      <c r="D1712" s="6">
        <v>11333.22</v>
      </c>
      <c r="E1712" s="6">
        <v>10073.59</v>
      </c>
      <c r="F1712" s="7" t="s">
        <v>14</v>
      </c>
      <c r="G1712" s="8" t="s">
        <v>3170</v>
      </c>
      <c r="H1712" s="8" t="s">
        <v>16</v>
      </c>
      <c r="I1712" s="9">
        <v>5375</v>
      </c>
      <c r="J1712" s="26">
        <v>69</v>
      </c>
      <c r="K1712" s="27">
        <v>69167</v>
      </c>
      <c r="L1712" s="3" t="str">
        <f t="shared" si="53"/>
        <v>ΒΙΟΜΗΧΑΝΙΚΗ_ΚΑΝΝΑΒΗ</v>
      </c>
    </row>
    <row r="1713" spans="1:12" s="3" customFormat="1" ht="24" x14ac:dyDescent="0.25">
      <c r="A1713" s="3" t="str">
        <f t="shared" si="52"/>
        <v>ΒΙΟΜΗΧΑΝΙΚΗ ΚΑΝΝΑΒΗMARA 21 (ΘΕΡΜΟΚΗΠΙΑΚΗ ΚΑΛΛΙΕΡΓΕΙΑ)</v>
      </c>
      <c r="B1713" s="23" t="s">
        <v>2840</v>
      </c>
      <c r="C1713" s="24" t="s">
        <v>3171</v>
      </c>
      <c r="D1713" s="6">
        <v>11333.22</v>
      </c>
      <c r="E1713" s="6">
        <v>10073.59</v>
      </c>
      <c r="F1713" s="7" t="s">
        <v>14</v>
      </c>
      <c r="G1713" s="8" t="s">
        <v>3172</v>
      </c>
      <c r="H1713" s="8" t="s">
        <v>16</v>
      </c>
      <c r="I1713" s="9">
        <v>5376</v>
      </c>
      <c r="J1713" s="26">
        <v>69</v>
      </c>
      <c r="K1713" s="27">
        <v>69168</v>
      </c>
      <c r="L1713" s="3" t="str">
        <f t="shared" si="53"/>
        <v>ΒΙΟΜΗΧΑΝΙΚΗ_ΚΑΝΝΑΒΗ</v>
      </c>
    </row>
    <row r="1714" spans="1:12" s="3" customFormat="1" ht="24" x14ac:dyDescent="0.25">
      <c r="A1714" s="3" t="str">
        <f t="shared" si="52"/>
        <v>ΒΙΟΜΗΧΑΝΙΚΗ ΚΑΝΝΑΒΗMUKA 76</v>
      </c>
      <c r="B1714" s="23" t="s">
        <v>2840</v>
      </c>
      <c r="C1714" s="24" t="s">
        <v>3173</v>
      </c>
      <c r="D1714" s="6">
        <v>11333.22</v>
      </c>
      <c r="E1714" s="6">
        <v>10073.59</v>
      </c>
      <c r="F1714" s="7" t="s">
        <v>14</v>
      </c>
      <c r="G1714" s="8" t="s">
        <v>3174</v>
      </c>
      <c r="H1714" s="8" t="s">
        <v>16</v>
      </c>
      <c r="I1714" s="9">
        <v>5377</v>
      </c>
      <c r="J1714" s="26">
        <v>69</v>
      </c>
      <c r="K1714" s="27">
        <v>69169</v>
      </c>
      <c r="L1714" s="3" t="str">
        <f t="shared" si="53"/>
        <v>ΒΙΟΜΗΧΑΝΙΚΗ_ΚΑΝΝΑΒΗ</v>
      </c>
    </row>
    <row r="1715" spans="1:12" s="3" customFormat="1" ht="24" x14ac:dyDescent="0.25">
      <c r="A1715" s="3" t="str">
        <f t="shared" si="52"/>
        <v>ΒΙΟΜΗΧΑΝΙΚΗ ΚΑΝΝΑΒΗMUKA 76 (ΘΕΡΜΟΚΗΠΙΑΚΗ ΚΑΛΛΙΕΡΓΕΙΑ)</v>
      </c>
      <c r="B1715" s="23" t="s">
        <v>2840</v>
      </c>
      <c r="C1715" s="24" t="s">
        <v>3175</v>
      </c>
      <c r="D1715" s="6">
        <v>11333.22</v>
      </c>
      <c r="E1715" s="6">
        <v>10073.59</v>
      </c>
      <c r="F1715" s="7" t="s">
        <v>14</v>
      </c>
      <c r="G1715" s="8" t="s">
        <v>3176</v>
      </c>
      <c r="H1715" s="8" t="s">
        <v>16</v>
      </c>
      <c r="I1715" s="9">
        <v>5378</v>
      </c>
      <c r="J1715" s="26">
        <v>69</v>
      </c>
      <c r="K1715" s="27">
        <v>69170</v>
      </c>
      <c r="L1715" s="3" t="str">
        <f t="shared" si="53"/>
        <v>ΒΙΟΜΗΧΑΝΙΚΗ_ΚΑΝΝΑΒΗ</v>
      </c>
    </row>
    <row r="1716" spans="1:12" s="3" customFormat="1" x14ac:dyDescent="0.25">
      <c r="A1716" s="3" t="str">
        <f t="shared" si="52"/>
        <v>ΒΙΟΜΗΧΑΝΙΚΗ ΚΑΝΝΑΒΗMIDWEST</v>
      </c>
      <c r="B1716" s="23" t="s">
        <v>2840</v>
      </c>
      <c r="C1716" s="24" t="s">
        <v>3177</v>
      </c>
      <c r="D1716" s="6">
        <v>11333.22</v>
      </c>
      <c r="E1716" s="6">
        <v>10073.59</v>
      </c>
      <c r="F1716" s="7" t="s">
        <v>14</v>
      </c>
      <c r="G1716" s="30" t="s">
        <v>3178</v>
      </c>
      <c r="H1716" s="31" t="s">
        <v>577</v>
      </c>
      <c r="I1716" s="9">
        <v>5609</v>
      </c>
      <c r="J1716" s="30">
        <v>69</v>
      </c>
      <c r="K1716" s="30">
        <v>69171</v>
      </c>
      <c r="L1716" s="3" t="str">
        <f t="shared" si="53"/>
        <v>ΒΙΟΜΗΧΑΝΙΚΗ_ΚΑΝΝΑΒΗ</v>
      </c>
    </row>
    <row r="1717" spans="1:12" s="3" customFormat="1" x14ac:dyDescent="0.25">
      <c r="A1717" s="3" t="str">
        <f t="shared" si="52"/>
        <v>ΒΙΟΜΗΧΑΝΙΚΗ ΚΑΝΝΑΒΗNORTHWEST</v>
      </c>
      <c r="B1717" s="23" t="s">
        <v>2840</v>
      </c>
      <c r="C1717" s="24" t="s">
        <v>3179</v>
      </c>
      <c r="D1717" s="6">
        <v>11333.22</v>
      </c>
      <c r="E1717" s="6">
        <v>10073.59</v>
      </c>
      <c r="F1717" s="7" t="s">
        <v>14</v>
      </c>
      <c r="G1717" s="30" t="s">
        <v>3180</v>
      </c>
      <c r="H1717" s="31" t="s">
        <v>577</v>
      </c>
      <c r="I1717" s="9">
        <v>5611</v>
      </c>
      <c r="J1717" s="30">
        <v>69</v>
      </c>
      <c r="K1717" s="30">
        <v>69172</v>
      </c>
      <c r="L1717" s="3" t="str">
        <f t="shared" si="53"/>
        <v>ΒΙΟΜΗΧΑΝΙΚΗ_ΚΑΝΝΑΒΗ</v>
      </c>
    </row>
    <row r="1718" spans="1:12" s="3" customFormat="1" x14ac:dyDescent="0.25">
      <c r="A1718" s="3" t="str">
        <f t="shared" si="52"/>
        <v>ΒΙΟΜΗΧΑΝΙΚΗ ΚΑΝΝΑΒΗENECTAROL</v>
      </c>
      <c r="B1718" s="23" t="s">
        <v>2840</v>
      </c>
      <c r="C1718" s="24" t="s">
        <v>3181</v>
      </c>
      <c r="D1718" s="6">
        <v>11333.22</v>
      </c>
      <c r="E1718" s="6">
        <v>10073.59</v>
      </c>
      <c r="F1718" s="7" t="s">
        <v>14</v>
      </c>
      <c r="G1718" s="30" t="s">
        <v>3182</v>
      </c>
      <c r="H1718" s="31" t="s">
        <v>577</v>
      </c>
      <c r="I1718" s="9">
        <v>5606</v>
      </c>
      <c r="J1718" s="30">
        <v>69</v>
      </c>
      <c r="K1718" s="30">
        <v>69173</v>
      </c>
      <c r="L1718" s="3" t="str">
        <f t="shared" si="53"/>
        <v>ΒΙΟΜΗΧΑΝΙΚΗ_ΚΑΝΝΑΒΗ</v>
      </c>
    </row>
    <row r="1719" spans="1:12" s="3" customFormat="1" ht="24" x14ac:dyDescent="0.25">
      <c r="A1719" s="3" t="str">
        <f t="shared" si="52"/>
        <v>ΒΟΟΕΙΔΗΒΟΟΕΙΔΗ, ΑΡΣΕΝΙΚΑ, &lt; 1 ΜΗΝΟΣ, ΓΑΛΑΚΤΟΠΑΡΑΓΩΓΗΣ, ΒΕΛΤΙΩΜΕΝΗ</v>
      </c>
      <c r="B1719" s="17" t="s">
        <v>3183</v>
      </c>
      <c r="C1719" s="14" t="s">
        <v>3184</v>
      </c>
      <c r="D1719" s="6">
        <v>410</v>
      </c>
      <c r="E1719" s="6">
        <v>399</v>
      </c>
      <c r="F1719" s="11" t="s">
        <v>23</v>
      </c>
      <c r="G1719" s="8" t="s">
        <v>3185</v>
      </c>
      <c r="H1719" s="8" t="s">
        <v>16</v>
      </c>
      <c r="I1719" s="9">
        <v>4682</v>
      </c>
      <c r="J1719" s="13">
        <v>2</v>
      </c>
      <c r="K1719" s="13">
        <v>211111</v>
      </c>
      <c r="L1719" s="3" t="str">
        <f t="shared" si="53"/>
        <v>ΒΟΟΕΙΔΗ</v>
      </c>
    </row>
    <row r="1720" spans="1:12" s="3" customFormat="1" ht="24" x14ac:dyDescent="0.25">
      <c r="A1720" s="3" t="str">
        <f t="shared" si="52"/>
        <v>ΒΟΟΕΙΔΗΒΟΟΕΙΔΗ, ΑΡΣΕΝΙΚΑ, &lt; 1 ΜΗΝΟΣ, ΓΑΛΑΚΤΟΠΑΡΑΓΩΓΉΣ, ΑΥΤΟΧΘΟΝΗ</v>
      </c>
      <c r="B1720" s="17" t="s">
        <v>3183</v>
      </c>
      <c r="C1720" s="14" t="s">
        <v>3186</v>
      </c>
      <c r="D1720" s="6">
        <v>410</v>
      </c>
      <c r="E1720" s="6">
        <v>399</v>
      </c>
      <c r="F1720" s="11" t="s">
        <v>23</v>
      </c>
      <c r="G1720" s="8" t="s">
        <v>3187</v>
      </c>
      <c r="H1720" s="8" t="s">
        <v>16</v>
      </c>
      <c r="I1720" s="9">
        <v>4683</v>
      </c>
      <c r="J1720" s="13">
        <v>2</v>
      </c>
      <c r="K1720" s="13">
        <v>211112</v>
      </c>
      <c r="L1720" s="3" t="str">
        <f t="shared" si="53"/>
        <v>ΒΟΟΕΙΔΗ</v>
      </c>
    </row>
    <row r="1721" spans="1:12" s="3" customFormat="1" ht="24" x14ac:dyDescent="0.25">
      <c r="A1721" s="3" t="str">
        <f t="shared" si="52"/>
        <v>ΒΟΟΕΙΔΗΒΟΟΕΙΔΗ, ΑΡΣΕΝΙΚΑ, &lt; 1 ΜΗΝΟΣ, ΓΑΛΑΚΤΟΠΑΡΑΓΩΓΉΣ, ΚΑΘΑΡΟΑΙΜΗ</v>
      </c>
      <c r="B1721" s="17" t="s">
        <v>3183</v>
      </c>
      <c r="C1721" s="14" t="s">
        <v>3188</v>
      </c>
      <c r="D1721" s="6">
        <v>410</v>
      </c>
      <c r="E1721" s="6">
        <v>399</v>
      </c>
      <c r="F1721" s="11" t="s">
        <v>23</v>
      </c>
      <c r="G1721" s="8" t="s">
        <v>3189</v>
      </c>
      <c r="H1721" s="8" t="s">
        <v>16</v>
      </c>
      <c r="I1721" s="9">
        <v>4684</v>
      </c>
      <c r="J1721" s="13">
        <v>2</v>
      </c>
      <c r="K1721" s="13">
        <v>211113</v>
      </c>
      <c r="L1721" s="3" t="str">
        <f t="shared" si="53"/>
        <v>ΒΟΟΕΙΔΗ</v>
      </c>
    </row>
    <row r="1722" spans="1:12" s="3" customFormat="1" ht="24" x14ac:dyDescent="0.25">
      <c r="A1722" s="3" t="str">
        <f t="shared" si="52"/>
        <v>ΒΟΟΕΙΔΗΒΟΟΕΙΔΗ, ΑΡΣΕΝΙΚΑ, &lt; 1 ΜΗΝΟΣ, ΓΑΛΑΚΤΟΠΑΡΑΓΩΓΉΣ, ΛΟΙΠΗ</v>
      </c>
      <c r="B1722" s="17" t="s">
        <v>3183</v>
      </c>
      <c r="C1722" s="14" t="s">
        <v>3190</v>
      </c>
      <c r="D1722" s="6">
        <v>410</v>
      </c>
      <c r="E1722" s="6">
        <v>399</v>
      </c>
      <c r="F1722" s="11" t="s">
        <v>23</v>
      </c>
      <c r="G1722" s="8" t="s">
        <v>3191</v>
      </c>
      <c r="H1722" s="8" t="s">
        <v>16</v>
      </c>
      <c r="I1722" s="9">
        <v>4685</v>
      </c>
      <c r="J1722" s="13">
        <v>2</v>
      </c>
      <c r="K1722" s="13">
        <v>211114</v>
      </c>
      <c r="L1722" s="3" t="str">
        <f t="shared" si="53"/>
        <v>ΒΟΟΕΙΔΗ</v>
      </c>
    </row>
    <row r="1723" spans="1:12" s="3" customFormat="1" ht="24" x14ac:dyDescent="0.25">
      <c r="A1723" s="3" t="str">
        <f t="shared" si="52"/>
        <v>ΒΟΟΕΙΔΗΒΟΟΕΙΔΗ, ΑΡΣΕΝΙΚΑ, &lt; 1 ΜΗΝΟΣ, ΚΡΕΟΠΑΡΑΓΩΓΗΣ, ΑΥΤΟΧΘΟΝΗ</v>
      </c>
      <c r="B1723" s="17" t="s">
        <v>3183</v>
      </c>
      <c r="C1723" s="14" t="s">
        <v>3192</v>
      </c>
      <c r="D1723" s="6">
        <v>410</v>
      </c>
      <c r="E1723" s="6">
        <v>399</v>
      </c>
      <c r="F1723" s="11" t="s">
        <v>23</v>
      </c>
      <c r="G1723" s="8" t="s">
        <v>3193</v>
      </c>
      <c r="H1723" s="8" t="s">
        <v>16</v>
      </c>
      <c r="I1723" s="9">
        <v>4686</v>
      </c>
      <c r="J1723" s="13">
        <v>2</v>
      </c>
      <c r="K1723" s="13">
        <v>211122</v>
      </c>
      <c r="L1723" s="3" t="str">
        <f t="shared" si="53"/>
        <v>ΒΟΟΕΙΔΗ</v>
      </c>
    </row>
    <row r="1724" spans="1:12" s="3" customFormat="1" ht="24" x14ac:dyDescent="0.25">
      <c r="A1724" s="3" t="str">
        <f t="shared" si="52"/>
        <v>ΒΟΟΕΙΔΗΒΟΟΕΙΔΗ, ΑΡΣΕΝΙΚΑ, &lt; 1 ΜΗΝΟΣ, ΚΡΕΟΠΑΡΑΓΩΓΗΣ, ΚΑΘΑΡΟΑΙΜΗ</v>
      </c>
      <c r="B1724" s="17" t="s">
        <v>3183</v>
      </c>
      <c r="C1724" s="14" t="s">
        <v>3194</v>
      </c>
      <c r="D1724" s="6">
        <v>410</v>
      </c>
      <c r="E1724" s="6">
        <v>399</v>
      </c>
      <c r="F1724" s="11" t="s">
        <v>23</v>
      </c>
      <c r="G1724" s="8" t="s">
        <v>3195</v>
      </c>
      <c r="H1724" s="8" t="s">
        <v>16</v>
      </c>
      <c r="I1724" s="9">
        <v>4687</v>
      </c>
      <c r="J1724" s="13">
        <v>2</v>
      </c>
      <c r="K1724" s="13">
        <v>211123</v>
      </c>
      <c r="L1724" s="3" t="str">
        <f t="shared" si="53"/>
        <v>ΒΟΟΕΙΔΗ</v>
      </c>
    </row>
    <row r="1725" spans="1:12" s="3" customFormat="1" ht="24" x14ac:dyDescent="0.25">
      <c r="A1725" s="3" t="str">
        <f t="shared" si="52"/>
        <v>ΒΟΟΕΙΔΗΒΟΟΕΙΔΗ, ΑΡΣΕΝΙΚΑ, &lt; 1 ΜΗΝΟΣ, ΚΡΕΟΠΑΡΑΓΩΓΗΣ, ΒΕΛΤΙΩΜΕΝΗ (&gt;550kg)</v>
      </c>
      <c r="B1725" s="17" t="s">
        <v>3183</v>
      </c>
      <c r="C1725" s="14" t="s">
        <v>3196</v>
      </c>
      <c r="D1725" s="6">
        <v>410</v>
      </c>
      <c r="E1725" s="6">
        <v>399</v>
      </c>
      <c r="F1725" s="11" t="s">
        <v>23</v>
      </c>
      <c r="G1725" s="8" t="s">
        <v>3197</v>
      </c>
      <c r="H1725" s="8" t="s">
        <v>16</v>
      </c>
      <c r="I1725" s="9">
        <v>4688</v>
      </c>
      <c r="J1725" s="13">
        <v>2</v>
      </c>
      <c r="K1725" s="13">
        <v>211125</v>
      </c>
      <c r="L1725" s="3" t="str">
        <f t="shared" si="53"/>
        <v>ΒΟΟΕΙΔΗ</v>
      </c>
    </row>
    <row r="1726" spans="1:12" s="3" customFormat="1" ht="24" x14ac:dyDescent="0.25">
      <c r="A1726" s="3" t="str">
        <f t="shared" si="52"/>
        <v>ΒΟΟΕΙΔΗΒΟΟΕΙΔΗ, ΑΡΣΕΝΙΚΑ, &lt; 1 ΜΗΝΟΣ, ΚΡΕΟΠΑΡΑΓΩΓΗΣ, ΛΟΙΠΗ (&lt;400kg)</v>
      </c>
      <c r="B1726" s="17" t="s">
        <v>3183</v>
      </c>
      <c r="C1726" s="14" t="s">
        <v>3198</v>
      </c>
      <c r="D1726" s="6">
        <v>410</v>
      </c>
      <c r="E1726" s="6">
        <v>399</v>
      </c>
      <c r="F1726" s="11" t="s">
        <v>23</v>
      </c>
      <c r="G1726" s="8" t="s">
        <v>3199</v>
      </c>
      <c r="H1726" s="8" t="s">
        <v>16</v>
      </c>
      <c r="I1726" s="9">
        <v>4689</v>
      </c>
      <c r="J1726" s="13">
        <v>2</v>
      </c>
      <c r="K1726" s="13">
        <v>211126</v>
      </c>
      <c r="L1726" s="3" t="str">
        <f t="shared" si="53"/>
        <v>ΒΟΟΕΙΔΗ</v>
      </c>
    </row>
    <row r="1727" spans="1:12" s="3" customFormat="1" ht="24" x14ac:dyDescent="0.25">
      <c r="A1727" s="3" t="str">
        <f t="shared" si="52"/>
        <v>ΒΟΟΕΙΔΗΒΟΟΕΙΔΗ, ΑΡΣΕΝΙΚΑ, &lt; 1 ΜΗΝΟΣ ΚΡΕΟΠΑΡΑΓΩΓΗΣ, ΛΟΙΠΗ (400 - 550kg)</v>
      </c>
      <c r="B1727" s="17" t="s">
        <v>3183</v>
      </c>
      <c r="C1727" s="14" t="s">
        <v>3200</v>
      </c>
      <c r="D1727" s="6">
        <v>410</v>
      </c>
      <c r="E1727" s="6">
        <v>399</v>
      </c>
      <c r="F1727" s="11" t="s">
        <v>23</v>
      </c>
      <c r="G1727" s="8" t="s">
        <v>3201</v>
      </c>
      <c r="H1727" s="8" t="s">
        <v>16</v>
      </c>
      <c r="I1727" s="9">
        <v>4690</v>
      </c>
      <c r="J1727" s="13">
        <v>2</v>
      </c>
      <c r="K1727" s="13">
        <v>211127</v>
      </c>
      <c r="L1727" s="3" t="str">
        <f t="shared" si="53"/>
        <v>ΒΟΟΕΙΔΗ</v>
      </c>
    </row>
    <row r="1728" spans="1:12" s="3" customFormat="1" ht="24" x14ac:dyDescent="0.25">
      <c r="A1728" s="3" t="str">
        <f t="shared" si="52"/>
        <v>ΒΟΟΕΙΔΗΒΟΟΕΙΔΗ, ΑΡΣΕΝΙΚΑ, &lt; 1 ΜΗΝΟΣ, ΜΙΚΤΗ, ΑΥΤΟΧΘΟΝΗ</v>
      </c>
      <c r="B1728" s="17" t="s">
        <v>3183</v>
      </c>
      <c r="C1728" s="14" t="s">
        <v>3202</v>
      </c>
      <c r="D1728" s="6">
        <v>410</v>
      </c>
      <c r="E1728" s="6">
        <v>399</v>
      </c>
      <c r="F1728" s="11" t="s">
        <v>23</v>
      </c>
      <c r="G1728" s="8" t="s">
        <v>3203</v>
      </c>
      <c r="H1728" s="8" t="s">
        <v>16</v>
      </c>
      <c r="I1728" s="9">
        <v>4691</v>
      </c>
      <c r="J1728" s="13">
        <v>2</v>
      </c>
      <c r="K1728" s="13">
        <v>211132</v>
      </c>
      <c r="L1728" s="3" t="str">
        <f t="shared" si="53"/>
        <v>ΒΟΟΕΙΔΗ</v>
      </c>
    </row>
    <row r="1729" spans="1:12" s="3" customFormat="1" ht="24" x14ac:dyDescent="0.25">
      <c r="A1729" s="3" t="str">
        <f t="shared" si="52"/>
        <v>ΒΟΟΕΙΔΗΒΟΟΕΙΔΗ, ΑΡΣΕΝΙΚΑ, &lt; 1 ΜΗΝΟΣ, ΜΙΚΤΗ, ΚΑΘΑΡΟΑΙΜΗ</v>
      </c>
      <c r="B1729" s="17" t="s">
        <v>3183</v>
      </c>
      <c r="C1729" s="14" t="s">
        <v>3204</v>
      </c>
      <c r="D1729" s="6">
        <v>410</v>
      </c>
      <c r="E1729" s="6">
        <v>399</v>
      </c>
      <c r="F1729" s="11" t="s">
        <v>23</v>
      </c>
      <c r="G1729" s="8" t="s">
        <v>3205</v>
      </c>
      <c r="H1729" s="8" t="s">
        <v>16</v>
      </c>
      <c r="I1729" s="9">
        <v>4692</v>
      </c>
      <c r="J1729" s="13">
        <v>2</v>
      </c>
      <c r="K1729" s="13">
        <v>211133</v>
      </c>
      <c r="L1729" s="3" t="str">
        <f t="shared" si="53"/>
        <v>ΒΟΟΕΙΔΗ</v>
      </c>
    </row>
    <row r="1730" spans="1:12" s="3" customFormat="1" ht="24" x14ac:dyDescent="0.25">
      <c r="A1730" s="3" t="str">
        <f t="shared" si="52"/>
        <v>ΒΟΟΕΙΔΗΒΟΟΕΙΔΗ, ΑΡΣΕΝΙΚΑ,&lt; 1 ΜΗΝΟΣ, ΜΙΚΤΗ, ΛΟΙΠΗ</v>
      </c>
      <c r="B1730" s="17" t="s">
        <v>3183</v>
      </c>
      <c r="C1730" s="14" t="s">
        <v>3206</v>
      </c>
      <c r="D1730" s="6">
        <v>410</v>
      </c>
      <c r="E1730" s="6">
        <v>399</v>
      </c>
      <c r="F1730" s="11" t="s">
        <v>23</v>
      </c>
      <c r="G1730" s="8" t="s">
        <v>3207</v>
      </c>
      <c r="H1730" s="8" t="s">
        <v>16</v>
      </c>
      <c r="I1730" s="9">
        <v>4693</v>
      </c>
      <c r="J1730" s="13">
        <v>2</v>
      </c>
      <c r="K1730" s="13">
        <v>211134</v>
      </c>
      <c r="L1730" s="3" t="str">
        <f t="shared" si="53"/>
        <v>ΒΟΟΕΙΔΗ</v>
      </c>
    </row>
    <row r="1731" spans="1:12" s="3" customFormat="1" ht="24" x14ac:dyDescent="0.25">
      <c r="A1731" s="3" t="str">
        <f t="shared" ref="A1731:A1794" si="54">_xlfn.CONCAT(B1731,C1731)</f>
        <v>ΒΟΟΕΙΔΗΒΟΟΕΙΔΗ, ΑΡΣΕΝΙΚΑ, 1 - 6 ΜΗΝΩΝ, ΓΑΛΑΚΤΟΠΑΡΑΓΩΓΗΣ, ΒΕΛΤΙΩΜΕΝΗ</v>
      </c>
      <c r="B1731" s="17" t="s">
        <v>3183</v>
      </c>
      <c r="C1731" s="14" t="s">
        <v>3208</v>
      </c>
      <c r="D1731" s="6">
        <v>410</v>
      </c>
      <c r="E1731" s="6">
        <v>399</v>
      </c>
      <c r="F1731" s="11" t="s">
        <v>23</v>
      </c>
      <c r="G1731" s="8" t="s">
        <v>3209</v>
      </c>
      <c r="H1731" s="8" t="s">
        <v>16</v>
      </c>
      <c r="I1731" s="9">
        <v>4694</v>
      </c>
      <c r="J1731" s="13">
        <v>2</v>
      </c>
      <c r="K1731" s="13">
        <v>211211</v>
      </c>
      <c r="L1731" s="3" t="str">
        <f t="shared" ref="L1731:L1794" si="55">IFERROR(SUBSTITUTE(SUBSTITUTE(SUBSTITUTE(SUBSTITUTE(SUBSTITUTE(B1731, "-", "_"), " ", "_"), ",", ""), "(", ""), ")", ""), B1731)</f>
        <v>ΒΟΟΕΙΔΗ</v>
      </c>
    </row>
    <row r="1732" spans="1:12" s="3" customFormat="1" ht="24" x14ac:dyDescent="0.25">
      <c r="A1732" s="3" t="str">
        <f t="shared" si="54"/>
        <v>ΒΟΟΕΙΔΗΒΟΟΕΙΔΗ, ΑΡΣΕΝΙΚΑ, 1 - 6 ΜΗΝΩΝ, ΓΑΛΑΚΤΟΠΑΡΑΓΩΓΉΣ, ΑΥΤΟΧΘΟΝΗ</v>
      </c>
      <c r="B1732" s="17" t="s">
        <v>3183</v>
      </c>
      <c r="C1732" s="14" t="s">
        <v>3210</v>
      </c>
      <c r="D1732" s="6">
        <v>410</v>
      </c>
      <c r="E1732" s="6">
        <v>399</v>
      </c>
      <c r="F1732" s="11" t="s">
        <v>23</v>
      </c>
      <c r="G1732" s="8" t="s">
        <v>3211</v>
      </c>
      <c r="H1732" s="8" t="s">
        <v>16</v>
      </c>
      <c r="I1732" s="9">
        <v>4695</v>
      </c>
      <c r="J1732" s="13">
        <v>2</v>
      </c>
      <c r="K1732" s="13">
        <v>211212</v>
      </c>
      <c r="L1732" s="3" t="str">
        <f t="shared" si="55"/>
        <v>ΒΟΟΕΙΔΗ</v>
      </c>
    </row>
    <row r="1733" spans="1:12" s="3" customFormat="1" ht="24" x14ac:dyDescent="0.25">
      <c r="A1733" s="3" t="str">
        <f t="shared" si="54"/>
        <v>ΒΟΟΕΙΔΗΒΟΟΕΙΔΗ, ΑΡΣΕΝΙΚΑ, 1 - 6 ΜΗΝΩΝ, ΓΑΛΑΚΤΟΠΑΡΑΓΩΓΉΣ, ΚΑΘΑΡΟΑΙΜΗ</v>
      </c>
      <c r="B1733" s="17" t="s">
        <v>3183</v>
      </c>
      <c r="C1733" s="14" t="s">
        <v>3212</v>
      </c>
      <c r="D1733" s="6">
        <v>410</v>
      </c>
      <c r="E1733" s="6">
        <v>399</v>
      </c>
      <c r="F1733" s="11" t="s">
        <v>23</v>
      </c>
      <c r="G1733" s="8" t="s">
        <v>3213</v>
      </c>
      <c r="H1733" s="8" t="s">
        <v>16</v>
      </c>
      <c r="I1733" s="9">
        <v>4696</v>
      </c>
      <c r="J1733" s="13">
        <v>2</v>
      </c>
      <c r="K1733" s="13">
        <v>211213</v>
      </c>
      <c r="L1733" s="3" t="str">
        <f t="shared" si="55"/>
        <v>ΒΟΟΕΙΔΗ</v>
      </c>
    </row>
    <row r="1734" spans="1:12" s="3" customFormat="1" ht="24" x14ac:dyDescent="0.25">
      <c r="A1734" s="3" t="str">
        <f t="shared" si="54"/>
        <v>ΒΟΟΕΙΔΗΒΟΟΕΙΔΗ, ΑΡΣΕΝΙΚΑ, 1 - 6 ΜΗΝΩΝ, ΓΑΛΑΚΤΟΠΑΡΑΓΩΓΉΣ, ΛΟΙΠΗ</v>
      </c>
      <c r="B1734" s="17" t="s">
        <v>3183</v>
      </c>
      <c r="C1734" s="14" t="s">
        <v>3214</v>
      </c>
      <c r="D1734" s="6">
        <v>410</v>
      </c>
      <c r="E1734" s="6">
        <v>399</v>
      </c>
      <c r="F1734" s="11" t="s">
        <v>23</v>
      </c>
      <c r="G1734" s="8" t="s">
        <v>3215</v>
      </c>
      <c r="H1734" s="8" t="s">
        <v>16</v>
      </c>
      <c r="I1734" s="9">
        <v>4697</v>
      </c>
      <c r="J1734" s="13">
        <v>2</v>
      </c>
      <c r="K1734" s="13">
        <v>211214</v>
      </c>
      <c r="L1734" s="3" t="str">
        <f t="shared" si="55"/>
        <v>ΒΟΟΕΙΔΗ</v>
      </c>
    </row>
    <row r="1735" spans="1:12" s="3" customFormat="1" ht="24" x14ac:dyDescent="0.25">
      <c r="A1735" s="3" t="str">
        <f t="shared" si="54"/>
        <v>ΒΟΟΕΙΔΗΒΟΟΕΙΔΗ, ΑΡΣΕΝΙΚΑ, 1 - 6 ΜΗΝΩΝ, ΚΡΕΟΠΑΡΑΓΩΓΗΣ, ΑΥΤΟΧΘΟΝΗ</v>
      </c>
      <c r="B1735" s="17" t="s">
        <v>3183</v>
      </c>
      <c r="C1735" s="14" t="s">
        <v>3216</v>
      </c>
      <c r="D1735" s="6">
        <v>410</v>
      </c>
      <c r="E1735" s="6">
        <v>399</v>
      </c>
      <c r="F1735" s="11" t="s">
        <v>23</v>
      </c>
      <c r="G1735" s="8" t="s">
        <v>3217</v>
      </c>
      <c r="H1735" s="8" t="s">
        <v>16</v>
      </c>
      <c r="I1735" s="9">
        <v>4698</v>
      </c>
      <c r="J1735" s="13">
        <v>2</v>
      </c>
      <c r="K1735" s="13">
        <v>211222</v>
      </c>
      <c r="L1735" s="3" t="str">
        <f t="shared" si="55"/>
        <v>ΒΟΟΕΙΔΗ</v>
      </c>
    </row>
    <row r="1736" spans="1:12" s="3" customFormat="1" ht="24" x14ac:dyDescent="0.25">
      <c r="A1736" s="3" t="str">
        <f t="shared" si="54"/>
        <v>ΒΟΟΕΙΔΗΒΟΟΕΙΔΗ, ΑΡΣΕΝΙΚΑ, 1 - 6 ΜΗΝΩΝ, ΚΡΕΟΠΑΡΑΓΩΓΗΣ, ΚΑΘΑΡΟΑΙΜΗ</v>
      </c>
      <c r="B1736" s="17" t="s">
        <v>3183</v>
      </c>
      <c r="C1736" s="14" t="s">
        <v>3218</v>
      </c>
      <c r="D1736" s="6">
        <v>410</v>
      </c>
      <c r="E1736" s="6">
        <v>399</v>
      </c>
      <c r="F1736" s="11" t="s">
        <v>23</v>
      </c>
      <c r="G1736" s="8" t="s">
        <v>3219</v>
      </c>
      <c r="H1736" s="8" t="s">
        <v>16</v>
      </c>
      <c r="I1736" s="9">
        <v>4699</v>
      </c>
      <c r="J1736" s="13">
        <v>2</v>
      </c>
      <c r="K1736" s="13">
        <v>211223</v>
      </c>
      <c r="L1736" s="3" t="str">
        <f t="shared" si="55"/>
        <v>ΒΟΟΕΙΔΗ</v>
      </c>
    </row>
    <row r="1737" spans="1:12" s="3" customFormat="1" ht="24" x14ac:dyDescent="0.25">
      <c r="A1737" s="3" t="str">
        <f t="shared" si="54"/>
        <v>ΒΟΟΕΙΔΗΒΟΟΕΙΔΗ, ΑΡΣΕΝΙΚΑ, 1 - 6 ΜΗΝΩΝ, ΚΡΕΟΠΑΡΑΓΩΓΗΣ, ΒΕΛΤΙΩΜΕΝΗ (&gt;550kg)</v>
      </c>
      <c r="B1737" s="17" t="s">
        <v>3183</v>
      </c>
      <c r="C1737" s="14" t="s">
        <v>3220</v>
      </c>
      <c r="D1737" s="6">
        <v>410</v>
      </c>
      <c r="E1737" s="6">
        <v>399</v>
      </c>
      <c r="F1737" s="11" t="s">
        <v>23</v>
      </c>
      <c r="G1737" s="8" t="s">
        <v>3221</v>
      </c>
      <c r="H1737" s="8" t="s">
        <v>16</v>
      </c>
      <c r="I1737" s="9">
        <v>4700</v>
      </c>
      <c r="J1737" s="13">
        <v>2</v>
      </c>
      <c r="K1737" s="13">
        <v>211225</v>
      </c>
      <c r="L1737" s="3" t="str">
        <f t="shared" si="55"/>
        <v>ΒΟΟΕΙΔΗ</v>
      </c>
    </row>
    <row r="1738" spans="1:12" s="3" customFormat="1" ht="24" x14ac:dyDescent="0.25">
      <c r="A1738" s="3" t="str">
        <f t="shared" si="54"/>
        <v>ΒΟΟΕΙΔΗΒΟΟΕΙΔΗ, ΑΡΣΕΝΙΚΑ, 1 - 6 ΜΗΝΩΝ, ΚΡΕΟΠΑΡΑΓΩΓΗΣ, ΛΟΙΠΗ (&lt;400kg)</v>
      </c>
      <c r="B1738" s="17" t="s">
        <v>3183</v>
      </c>
      <c r="C1738" s="14" t="s">
        <v>3222</v>
      </c>
      <c r="D1738" s="6">
        <v>410</v>
      </c>
      <c r="E1738" s="6">
        <v>399</v>
      </c>
      <c r="F1738" s="11" t="s">
        <v>23</v>
      </c>
      <c r="G1738" s="8" t="s">
        <v>3223</v>
      </c>
      <c r="H1738" s="8" t="s">
        <v>16</v>
      </c>
      <c r="I1738" s="9">
        <v>4701</v>
      </c>
      <c r="J1738" s="13">
        <v>2</v>
      </c>
      <c r="K1738" s="13">
        <v>211226</v>
      </c>
      <c r="L1738" s="3" t="str">
        <f t="shared" si="55"/>
        <v>ΒΟΟΕΙΔΗ</v>
      </c>
    </row>
    <row r="1739" spans="1:12" s="3" customFormat="1" ht="24" x14ac:dyDescent="0.25">
      <c r="A1739" s="3" t="str">
        <f t="shared" si="54"/>
        <v>ΒΟΟΕΙΔΗΒΟΟΕΙΔΗ, ΑΡΣΕΝΙΚΑ, 1 - 6 ΜΗΝΩΝ, ΚΡΕΟΠΑΡΑΓΩΓΗΣ, ΛΟΙΠΗ (400 - 550kg)</v>
      </c>
      <c r="B1739" s="17" t="s">
        <v>3183</v>
      </c>
      <c r="C1739" s="14" t="s">
        <v>3224</v>
      </c>
      <c r="D1739" s="6">
        <v>410</v>
      </c>
      <c r="E1739" s="6">
        <v>399</v>
      </c>
      <c r="F1739" s="11" t="s">
        <v>23</v>
      </c>
      <c r="G1739" s="8" t="s">
        <v>3225</v>
      </c>
      <c r="H1739" s="8" t="s">
        <v>16</v>
      </c>
      <c r="I1739" s="9">
        <v>4702</v>
      </c>
      <c r="J1739" s="13">
        <v>2</v>
      </c>
      <c r="K1739" s="13">
        <v>211227</v>
      </c>
      <c r="L1739" s="3" t="str">
        <f t="shared" si="55"/>
        <v>ΒΟΟΕΙΔΗ</v>
      </c>
    </row>
    <row r="1740" spans="1:12" s="3" customFormat="1" ht="24" x14ac:dyDescent="0.25">
      <c r="A1740" s="3" t="str">
        <f t="shared" si="54"/>
        <v>ΒΟΟΕΙΔΗΒΟΟΕΙΔΗ, ΑΡΣΕΝΙΚΑ, 1 - 6 ΜΗΝΩΝ, ΜΙΚΤΗ, ΑΥΤΟΧΘΟΝΗ</v>
      </c>
      <c r="B1740" s="17" t="s">
        <v>3183</v>
      </c>
      <c r="C1740" s="14" t="s">
        <v>3226</v>
      </c>
      <c r="D1740" s="6">
        <v>410</v>
      </c>
      <c r="E1740" s="6">
        <v>399</v>
      </c>
      <c r="F1740" s="11" t="s">
        <v>23</v>
      </c>
      <c r="G1740" s="8" t="s">
        <v>3227</v>
      </c>
      <c r="H1740" s="8" t="s">
        <v>16</v>
      </c>
      <c r="I1740" s="9">
        <v>4703</v>
      </c>
      <c r="J1740" s="13">
        <v>2</v>
      </c>
      <c r="K1740" s="13">
        <v>211232</v>
      </c>
      <c r="L1740" s="3" t="str">
        <f t="shared" si="55"/>
        <v>ΒΟΟΕΙΔΗ</v>
      </c>
    </row>
    <row r="1741" spans="1:12" s="3" customFormat="1" ht="24" x14ac:dyDescent="0.25">
      <c r="A1741" s="3" t="str">
        <f t="shared" si="54"/>
        <v>ΒΟΟΕΙΔΗΒΟΟΕΙΔΗ, ΑΡΣΕΝΙΚΑ, 1 - 6 ΜΗΝΩΝ, ΜΙΚΤΗ, ΚΑΘΑΡΟΑΙΜΗ</v>
      </c>
      <c r="B1741" s="17" t="s">
        <v>3183</v>
      </c>
      <c r="C1741" s="14" t="s">
        <v>3228</v>
      </c>
      <c r="D1741" s="6">
        <v>410</v>
      </c>
      <c r="E1741" s="6">
        <v>399</v>
      </c>
      <c r="F1741" s="11" t="s">
        <v>23</v>
      </c>
      <c r="G1741" s="8" t="s">
        <v>3229</v>
      </c>
      <c r="H1741" s="8" t="s">
        <v>16</v>
      </c>
      <c r="I1741" s="9">
        <v>4704</v>
      </c>
      <c r="J1741" s="13">
        <v>2</v>
      </c>
      <c r="K1741" s="13">
        <v>211233</v>
      </c>
      <c r="L1741" s="3" t="str">
        <f t="shared" si="55"/>
        <v>ΒΟΟΕΙΔΗ</v>
      </c>
    </row>
    <row r="1742" spans="1:12" s="3" customFormat="1" ht="24" x14ac:dyDescent="0.25">
      <c r="A1742" s="3" t="str">
        <f t="shared" si="54"/>
        <v>ΒΟΟΕΙΔΗΒΟΟΕΙΔΗ, ΑΡΣΕΝΙΚΑ, 1 - 6 ΜΗΝΩΝ, ΜΙΚΤΗ, ΛΟΙΠΗ</v>
      </c>
      <c r="B1742" s="17" t="s">
        <v>3183</v>
      </c>
      <c r="C1742" s="14" t="s">
        <v>3230</v>
      </c>
      <c r="D1742" s="6">
        <v>410</v>
      </c>
      <c r="E1742" s="6">
        <v>399</v>
      </c>
      <c r="F1742" s="11" t="s">
        <v>23</v>
      </c>
      <c r="G1742" s="8" t="s">
        <v>3231</v>
      </c>
      <c r="H1742" s="8" t="s">
        <v>16</v>
      </c>
      <c r="I1742" s="9">
        <v>4705</v>
      </c>
      <c r="J1742" s="13">
        <v>2</v>
      </c>
      <c r="K1742" s="13">
        <v>211234</v>
      </c>
      <c r="L1742" s="3" t="str">
        <f t="shared" si="55"/>
        <v>ΒΟΟΕΙΔΗ</v>
      </c>
    </row>
    <row r="1743" spans="1:12" s="3" customFormat="1" ht="24" x14ac:dyDescent="0.25">
      <c r="A1743" s="3" t="str">
        <f t="shared" si="54"/>
        <v>ΒΟΟΕΙΔΗΒΟΟΕΙΔΗ, ΑΡΣΕΝΙΚΑ, 6 - 24 ΜΗΝΩΝ, ΓΑΛΑΚΤΟΠΑΡΑΓΩΓΗΣ, ΒΕΛΤΙΩΜΕΝΗ</v>
      </c>
      <c r="B1743" s="17" t="s">
        <v>3183</v>
      </c>
      <c r="C1743" s="14" t="s">
        <v>3232</v>
      </c>
      <c r="D1743" s="6">
        <v>880</v>
      </c>
      <c r="E1743" s="6">
        <v>860</v>
      </c>
      <c r="F1743" s="11" t="s">
        <v>23</v>
      </c>
      <c r="G1743" s="8" t="s">
        <v>3233</v>
      </c>
      <c r="H1743" s="8" t="s">
        <v>16</v>
      </c>
      <c r="I1743" s="9">
        <v>4706</v>
      </c>
      <c r="J1743" s="13">
        <v>2</v>
      </c>
      <c r="K1743" s="13">
        <v>211511</v>
      </c>
      <c r="L1743" s="3" t="str">
        <f t="shared" si="55"/>
        <v>ΒΟΟΕΙΔΗ</v>
      </c>
    </row>
    <row r="1744" spans="1:12" s="3" customFormat="1" ht="24" x14ac:dyDescent="0.25">
      <c r="A1744" s="3" t="str">
        <f t="shared" si="54"/>
        <v>ΒΟΟΕΙΔΗΒΟΟΕΙΔΗ, ΑΡΣΕΝΙΚΑ, 6 - 24 ΜΗΝΩΝ, ΓΑΛΑΚΤΟΠΑΡΑΓΩΓΉΣ, ΑΥΤΟΧΘΟΝΗ</v>
      </c>
      <c r="B1744" s="17" t="s">
        <v>3183</v>
      </c>
      <c r="C1744" s="14" t="s">
        <v>3234</v>
      </c>
      <c r="D1744" s="6">
        <v>880</v>
      </c>
      <c r="E1744" s="6">
        <v>860</v>
      </c>
      <c r="F1744" s="11" t="s">
        <v>23</v>
      </c>
      <c r="G1744" s="8" t="s">
        <v>3235</v>
      </c>
      <c r="H1744" s="8" t="s">
        <v>16</v>
      </c>
      <c r="I1744" s="9">
        <v>4707</v>
      </c>
      <c r="J1744" s="13">
        <v>2</v>
      </c>
      <c r="K1744" s="13">
        <v>211512</v>
      </c>
      <c r="L1744" s="3" t="str">
        <f t="shared" si="55"/>
        <v>ΒΟΟΕΙΔΗ</v>
      </c>
    </row>
    <row r="1745" spans="1:12" s="3" customFormat="1" ht="24" x14ac:dyDescent="0.25">
      <c r="A1745" s="3" t="str">
        <f t="shared" si="54"/>
        <v>ΒΟΟΕΙΔΗΒΟΟΕΙΔΗ, ΑΡΣΕΝΙΚΑ, 6 - 24 ΜΗΝΩΝ, ΓΑΛΑΚΤΟΠΑΡΑΓΩΓΉΣ, ΚΑΘΑΡΟΑΙΜΗ</v>
      </c>
      <c r="B1745" s="17" t="s">
        <v>3183</v>
      </c>
      <c r="C1745" s="14" t="s">
        <v>3236</v>
      </c>
      <c r="D1745" s="6">
        <v>880</v>
      </c>
      <c r="E1745" s="6">
        <v>860</v>
      </c>
      <c r="F1745" s="11" t="s">
        <v>23</v>
      </c>
      <c r="G1745" s="8" t="s">
        <v>3237</v>
      </c>
      <c r="H1745" s="8" t="s">
        <v>16</v>
      </c>
      <c r="I1745" s="9">
        <v>4708</v>
      </c>
      <c r="J1745" s="13">
        <v>2</v>
      </c>
      <c r="K1745" s="13">
        <v>211513</v>
      </c>
      <c r="L1745" s="3" t="str">
        <f t="shared" si="55"/>
        <v>ΒΟΟΕΙΔΗ</v>
      </c>
    </row>
    <row r="1746" spans="1:12" s="3" customFormat="1" ht="24" x14ac:dyDescent="0.25">
      <c r="A1746" s="3" t="str">
        <f t="shared" si="54"/>
        <v>ΒΟΟΕΙΔΗΒΟΟΕΙΔΗ, ΑΡΣΕΝΙΚΑ, 6 - 24 ΜΗΝΩΝ, ΓΑΛΑΚΤΟΠΑΡΑΓΩΓΉΣ, ΛΟΙΠΗ</v>
      </c>
      <c r="B1746" s="17" t="s">
        <v>3183</v>
      </c>
      <c r="C1746" s="14" t="s">
        <v>3238</v>
      </c>
      <c r="D1746" s="6">
        <v>880</v>
      </c>
      <c r="E1746" s="6">
        <v>860</v>
      </c>
      <c r="F1746" s="11" t="s">
        <v>23</v>
      </c>
      <c r="G1746" s="8" t="s">
        <v>3239</v>
      </c>
      <c r="H1746" s="8" t="s">
        <v>16</v>
      </c>
      <c r="I1746" s="9">
        <v>4709</v>
      </c>
      <c r="J1746" s="13">
        <v>2</v>
      </c>
      <c r="K1746" s="13">
        <v>211514</v>
      </c>
      <c r="L1746" s="3" t="str">
        <f t="shared" si="55"/>
        <v>ΒΟΟΕΙΔΗ</v>
      </c>
    </row>
    <row r="1747" spans="1:12" s="3" customFormat="1" ht="24" x14ac:dyDescent="0.25">
      <c r="A1747" s="3" t="str">
        <f t="shared" si="54"/>
        <v>ΒΟΟΕΙΔΗΒΟΟΕΙΔΗ, ΑΡΣΕΝΙΚΑ, 6 - 24 ΜΗΝΩΝ, ΚΡΕΟΠΑΡΑΓΩΓΗΣ, ΑΥΤΟΧΘΟΝΗ</v>
      </c>
      <c r="B1747" s="17" t="s">
        <v>3183</v>
      </c>
      <c r="C1747" s="14" t="s">
        <v>3240</v>
      </c>
      <c r="D1747" s="6">
        <v>880</v>
      </c>
      <c r="E1747" s="6">
        <v>860</v>
      </c>
      <c r="F1747" s="11" t="s">
        <v>23</v>
      </c>
      <c r="G1747" s="8" t="s">
        <v>3241</v>
      </c>
      <c r="H1747" s="8" t="s">
        <v>16</v>
      </c>
      <c r="I1747" s="9">
        <v>4710</v>
      </c>
      <c r="J1747" s="13">
        <v>2</v>
      </c>
      <c r="K1747" s="13">
        <v>211522</v>
      </c>
      <c r="L1747" s="3" t="str">
        <f t="shared" si="55"/>
        <v>ΒΟΟΕΙΔΗ</v>
      </c>
    </row>
    <row r="1748" spans="1:12" s="3" customFormat="1" ht="24" x14ac:dyDescent="0.25">
      <c r="A1748" s="3" t="str">
        <f t="shared" si="54"/>
        <v>ΒΟΟΕΙΔΗΒΟΟΕΙΔΗ, ΑΡΣΕΝΙΚΑ, 6 - 24 ΜΗΝΩΝ, ΚΡΕΟΠΑΡΑΓΩΓΗΣ, ΚΑΘΑΡΟΑΙΜΗ</v>
      </c>
      <c r="B1748" s="17" t="s">
        <v>3183</v>
      </c>
      <c r="C1748" s="14" t="s">
        <v>3242</v>
      </c>
      <c r="D1748" s="6">
        <v>880</v>
      </c>
      <c r="E1748" s="6">
        <v>860</v>
      </c>
      <c r="F1748" s="11" t="s">
        <v>23</v>
      </c>
      <c r="G1748" s="8" t="s">
        <v>3243</v>
      </c>
      <c r="H1748" s="8" t="s">
        <v>16</v>
      </c>
      <c r="I1748" s="9">
        <v>4711</v>
      </c>
      <c r="J1748" s="13">
        <v>2</v>
      </c>
      <c r="K1748" s="13">
        <v>211523</v>
      </c>
      <c r="L1748" s="3" t="str">
        <f t="shared" si="55"/>
        <v>ΒΟΟΕΙΔΗ</v>
      </c>
    </row>
    <row r="1749" spans="1:12" s="3" customFormat="1" ht="24" x14ac:dyDescent="0.25">
      <c r="A1749" s="3" t="str">
        <f t="shared" si="54"/>
        <v>ΒΟΟΕΙΔΗΒΟΟΕΙΔΗ, ΑΡΣΕΝΙΚΑ, 6 - 24 ΜΗΝΩΝ, ΚΡΕΟΠΑΡΑΓΩΓΗΣ, ΒΕΛΤΙΩΜΕΝΗ (&gt;550kg)</v>
      </c>
      <c r="B1749" s="17" t="s">
        <v>3183</v>
      </c>
      <c r="C1749" s="14" t="s">
        <v>3244</v>
      </c>
      <c r="D1749" s="6">
        <v>880</v>
      </c>
      <c r="E1749" s="6">
        <v>860</v>
      </c>
      <c r="F1749" s="11" t="s">
        <v>23</v>
      </c>
      <c r="G1749" s="8" t="s">
        <v>3245</v>
      </c>
      <c r="H1749" s="8" t="s">
        <v>16</v>
      </c>
      <c r="I1749" s="9">
        <v>4712</v>
      </c>
      <c r="J1749" s="13">
        <v>2</v>
      </c>
      <c r="K1749" s="13">
        <v>211525</v>
      </c>
      <c r="L1749" s="3" t="str">
        <f t="shared" si="55"/>
        <v>ΒΟΟΕΙΔΗ</v>
      </c>
    </row>
    <row r="1750" spans="1:12" s="3" customFormat="1" ht="24" x14ac:dyDescent="0.25">
      <c r="A1750" s="3" t="str">
        <f t="shared" si="54"/>
        <v>ΒΟΟΕΙΔΗΒΟΟΕΙΔΗ, ΑΡΣΕΝΙΚΑ, 6 - 24 ΜΗΝΩΝ, ΚΡΕΟΠΑΡΑΓΩΓΗΣ, ΛΟΙΠΗ (&lt;400kg)</v>
      </c>
      <c r="B1750" s="17" t="s">
        <v>3183</v>
      </c>
      <c r="C1750" s="14" t="s">
        <v>3246</v>
      </c>
      <c r="D1750" s="6">
        <v>880</v>
      </c>
      <c r="E1750" s="6">
        <v>860</v>
      </c>
      <c r="F1750" s="11" t="s">
        <v>23</v>
      </c>
      <c r="G1750" s="8" t="s">
        <v>3247</v>
      </c>
      <c r="H1750" s="8" t="s">
        <v>16</v>
      </c>
      <c r="I1750" s="9">
        <v>4713</v>
      </c>
      <c r="J1750" s="13">
        <v>2</v>
      </c>
      <c r="K1750" s="13">
        <v>211526</v>
      </c>
      <c r="L1750" s="3" t="str">
        <f t="shared" si="55"/>
        <v>ΒΟΟΕΙΔΗ</v>
      </c>
    </row>
    <row r="1751" spans="1:12" s="3" customFormat="1" ht="24" x14ac:dyDescent="0.25">
      <c r="A1751" s="3" t="str">
        <f t="shared" si="54"/>
        <v>ΒΟΟΕΙΔΗΒΟΟΕΙΔΗ, ΑΡΣΕΝΙΚΑ, 6 - 24 ΜΗΝΩΝ, ΚΡΕΟΠΑΡΑΓΩΓΗΣ, ΛΟΙΠΗ (400 - 550kg)</v>
      </c>
      <c r="B1751" s="17" t="s">
        <v>3183</v>
      </c>
      <c r="C1751" s="14" t="s">
        <v>3248</v>
      </c>
      <c r="D1751" s="6">
        <v>880</v>
      </c>
      <c r="E1751" s="6">
        <v>860</v>
      </c>
      <c r="F1751" s="11" t="s">
        <v>23</v>
      </c>
      <c r="G1751" s="8" t="s">
        <v>3249</v>
      </c>
      <c r="H1751" s="8" t="s">
        <v>16</v>
      </c>
      <c r="I1751" s="9">
        <v>4714</v>
      </c>
      <c r="J1751" s="13">
        <v>2</v>
      </c>
      <c r="K1751" s="13">
        <v>211527</v>
      </c>
      <c r="L1751" s="3" t="str">
        <f t="shared" si="55"/>
        <v>ΒΟΟΕΙΔΗ</v>
      </c>
    </row>
    <row r="1752" spans="1:12" s="3" customFormat="1" ht="24" x14ac:dyDescent="0.25">
      <c r="A1752" s="3" t="str">
        <f t="shared" si="54"/>
        <v>ΒΟΟΕΙΔΗΒΟΟΕΙΔΗ, ΑΡΣΕΝΙΚΑ, 6 - 24 ΜΗΝΩΝ, ΜΙΚΤΗ, ΑΥΤΟΧΘΟΝΗ</v>
      </c>
      <c r="B1752" s="17" t="s">
        <v>3183</v>
      </c>
      <c r="C1752" s="14" t="s">
        <v>3250</v>
      </c>
      <c r="D1752" s="6">
        <v>880</v>
      </c>
      <c r="E1752" s="6">
        <v>860</v>
      </c>
      <c r="F1752" s="11" t="s">
        <v>23</v>
      </c>
      <c r="G1752" s="8" t="s">
        <v>3251</v>
      </c>
      <c r="H1752" s="8" t="s">
        <v>16</v>
      </c>
      <c r="I1752" s="9">
        <v>4715</v>
      </c>
      <c r="J1752" s="13">
        <v>2</v>
      </c>
      <c r="K1752" s="13">
        <v>211532</v>
      </c>
      <c r="L1752" s="3" t="str">
        <f t="shared" si="55"/>
        <v>ΒΟΟΕΙΔΗ</v>
      </c>
    </row>
    <row r="1753" spans="1:12" s="3" customFormat="1" ht="24" x14ac:dyDescent="0.25">
      <c r="A1753" s="3" t="str">
        <f t="shared" si="54"/>
        <v>ΒΟΟΕΙΔΗΒΟΟΕΙΔΗ, ΑΡΣΕΝΙΚΑ, 6 - 24 ΜΗΝΩΝ, ΜΙΚΤΗ, ΚΑΘΑΡΟΑΙΜΗ</v>
      </c>
      <c r="B1753" s="17" t="s">
        <v>3183</v>
      </c>
      <c r="C1753" s="14" t="s">
        <v>3252</v>
      </c>
      <c r="D1753" s="6">
        <v>880</v>
      </c>
      <c r="E1753" s="6">
        <v>860</v>
      </c>
      <c r="F1753" s="11" t="s">
        <v>23</v>
      </c>
      <c r="G1753" s="8" t="s">
        <v>3253</v>
      </c>
      <c r="H1753" s="8" t="s">
        <v>16</v>
      </c>
      <c r="I1753" s="9">
        <v>4716</v>
      </c>
      <c r="J1753" s="13">
        <v>2</v>
      </c>
      <c r="K1753" s="13">
        <v>211533</v>
      </c>
      <c r="L1753" s="3" t="str">
        <f t="shared" si="55"/>
        <v>ΒΟΟΕΙΔΗ</v>
      </c>
    </row>
    <row r="1754" spans="1:12" s="3" customFormat="1" ht="24" x14ac:dyDescent="0.25">
      <c r="A1754" s="3" t="str">
        <f t="shared" si="54"/>
        <v>ΒΟΟΕΙΔΗΒΟΟΕΙΔΗ, ΑΡΣΕΝΙΚΑ, 6 - 24 ΜΗΝΩΝ, ΜΙΚΤΗ, ΛΟΙΠΗ</v>
      </c>
      <c r="B1754" s="17" t="s">
        <v>3183</v>
      </c>
      <c r="C1754" s="14" t="s">
        <v>3254</v>
      </c>
      <c r="D1754" s="6">
        <v>880</v>
      </c>
      <c r="E1754" s="6">
        <v>860</v>
      </c>
      <c r="F1754" s="11" t="s">
        <v>23</v>
      </c>
      <c r="G1754" s="8" t="s">
        <v>3255</v>
      </c>
      <c r="H1754" s="8" t="s">
        <v>16</v>
      </c>
      <c r="I1754" s="9">
        <v>4717</v>
      </c>
      <c r="J1754" s="13">
        <v>2</v>
      </c>
      <c r="K1754" s="13">
        <v>211534</v>
      </c>
      <c r="L1754" s="3" t="str">
        <f t="shared" si="55"/>
        <v>ΒΟΟΕΙΔΗ</v>
      </c>
    </row>
    <row r="1755" spans="1:12" s="3" customFormat="1" ht="24" x14ac:dyDescent="0.25">
      <c r="A1755" s="3" t="str">
        <f t="shared" si="54"/>
        <v>ΒΟΟΕΙΔΗΒΟΟΕΙΔΗ, ΑΡΣΕΝΙΚΑ, 2 - 6 ΕΤΩΝ, ΓΑΛΑΚΤΟΠΑΡΑΓΩΓΗΣ, ΒΕΛΤΙΩΜΕΝΗ</v>
      </c>
      <c r="B1755" s="17" t="s">
        <v>3183</v>
      </c>
      <c r="C1755" s="14" t="s">
        <v>3256</v>
      </c>
      <c r="D1755" s="6">
        <v>990</v>
      </c>
      <c r="E1755" s="6">
        <v>1220</v>
      </c>
      <c r="F1755" s="11" t="s">
        <v>23</v>
      </c>
      <c r="G1755" s="8" t="s">
        <v>3257</v>
      </c>
      <c r="H1755" s="8" t="s">
        <v>16</v>
      </c>
      <c r="I1755" s="9">
        <v>4718</v>
      </c>
      <c r="J1755" s="13">
        <v>2</v>
      </c>
      <c r="K1755" s="13">
        <v>211611</v>
      </c>
      <c r="L1755" s="3" t="str">
        <f t="shared" si="55"/>
        <v>ΒΟΟΕΙΔΗ</v>
      </c>
    </row>
    <row r="1756" spans="1:12" s="3" customFormat="1" ht="24" x14ac:dyDescent="0.25">
      <c r="A1756" s="3" t="str">
        <f t="shared" si="54"/>
        <v>ΒΟΟΕΙΔΗΒΟΟΕΙΔΗ, ΑΡΣΕΝΙΚΑ, 2 - 6 ΕΤΩΝ, ΓΑΛΑΚΤΟΠΑΡΑΓΩΓΉΣ, ΑΥΤΟΧΘΟΝΗ</v>
      </c>
      <c r="B1756" s="17" t="s">
        <v>3183</v>
      </c>
      <c r="C1756" s="14" t="s">
        <v>3258</v>
      </c>
      <c r="D1756" s="6">
        <v>990</v>
      </c>
      <c r="E1756" s="6">
        <v>1220</v>
      </c>
      <c r="F1756" s="11" t="s">
        <v>23</v>
      </c>
      <c r="G1756" s="8" t="s">
        <v>3259</v>
      </c>
      <c r="H1756" s="8" t="s">
        <v>16</v>
      </c>
      <c r="I1756" s="9">
        <v>4719</v>
      </c>
      <c r="J1756" s="13">
        <v>2</v>
      </c>
      <c r="K1756" s="13">
        <v>211612</v>
      </c>
      <c r="L1756" s="3" t="str">
        <f t="shared" si="55"/>
        <v>ΒΟΟΕΙΔΗ</v>
      </c>
    </row>
    <row r="1757" spans="1:12" s="3" customFormat="1" ht="24" x14ac:dyDescent="0.25">
      <c r="A1757" s="3" t="str">
        <f t="shared" si="54"/>
        <v>ΒΟΟΕΙΔΗΒΟΟΕΙΔΗ, ΑΡΣΕΝΙΚΑ, 2 - 6 ΕΤΩΝ, ΓΑΛΑΚΤΟΠΑΡΑΓΩΓΉΣ, ΚΑΘΑΡΟΑΙΜΗ</v>
      </c>
      <c r="B1757" s="17" t="s">
        <v>3183</v>
      </c>
      <c r="C1757" s="14" t="s">
        <v>3260</v>
      </c>
      <c r="D1757" s="6">
        <v>990</v>
      </c>
      <c r="E1757" s="6">
        <v>1220</v>
      </c>
      <c r="F1757" s="11" t="s">
        <v>23</v>
      </c>
      <c r="G1757" s="8" t="s">
        <v>3261</v>
      </c>
      <c r="H1757" s="8" t="s">
        <v>16</v>
      </c>
      <c r="I1757" s="9">
        <v>4720</v>
      </c>
      <c r="J1757" s="13">
        <v>2</v>
      </c>
      <c r="K1757" s="13">
        <v>211613</v>
      </c>
      <c r="L1757" s="3" t="str">
        <f t="shared" si="55"/>
        <v>ΒΟΟΕΙΔΗ</v>
      </c>
    </row>
    <row r="1758" spans="1:12" s="3" customFormat="1" ht="24" x14ac:dyDescent="0.25">
      <c r="A1758" s="3" t="str">
        <f t="shared" si="54"/>
        <v>ΒΟΟΕΙΔΗΒΟΟΕΙΔΗ, ΑΡΣΕΝΙΚΑ, 2 - 6 ΕΤΩΝ, ΓΑΛΑΚΤΟΠΑΡΑΓΩΓΉΣ, ΛΟΙΠΗ</v>
      </c>
      <c r="B1758" s="17" t="s">
        <v>3183</v>
      </c>
      <c r="C1758" s="14" t="s">
        <v>3262</v>
      </c>
      <c r="D1758" s="6">
        <v>990</v>
      </c>
      <c r="E1758" s="6">
        <v>1220</v>
      </c>
      <c r="F1758" s="11" t="s">
        <v>23</v>
      </c>
      <c r="G1758" s="8" t="s">
        <v>3263</v>
      </c>
      <c r="H1758" s="8" t="s">
        <v>16</v>
      </c>
      <c r="I1758" s="9">
        <v>4721</v>
      </c>
      <c r="J1758" s="13">
        <v>2</v>
      </c>
      <c r="K1758" s="13">
        <v>211614</v>
      </c>
      <c r="L1758" s="3" t="str">
        <f t="shared" si="55"/>
        <v>ΒΟΟΕΙΔΗ</v>
      </c>
    </row>
    <row r="1759" spans="1:12" s="3" customFormat="1" ht="24" x14ac:dyDescent="0.25">
      <c r="A1759" s="3" t="str">
        <f t="shared" si="54"/>
        <v>ΒΟΟΕΙΔΗΒΟΟΕΙΔΗ, ΑΡΣΕΝΙΚΑ, 2 - 6 ΕΤΩΝ, ΚΡΕΟΠΑΡΑΓΩΓΗΣ, ΑΥΤΟΧΘΟΝΗ</v>
      </c>
      <c r="B1759" s="17" t="s">
        <v>3183</v>
      </c>
      <c r="C1759" s="14" t="s">
        <v>3264</v>
      </c>
      <c r="D1759" s="6">
        <v>990</v>
      </c>
      <c r="E1759" s="6">
        <v>1220</v>
      </c>
      <c r="F1759" s="11" t="s">
        <v>23</v>
      </c>
      <c r="G1759" s="8" t="s">
        <v>3265</v>
      </c>
      <c r="H1759" s="8" t="s">
        <v>16</v>
      </c>
      <c r="I1759" s="9">
        <v>4722</v>
      </c>
      <c r="J1759" s="13">
        <v>2</v>
      </c>
      <c r="K1759" s="13">
        <v>211622</v>
      </c>
      <c r="L1759" s="3" t="str">
        <f t="shared" si="55"/>
        <v>ΒΟΟΕΙΔΗ</v>
      </c>
    </row>
    <row r="1760" spans="1:12" s="3" customFormat="1" ht="24" x14ac:dyDescent="0.25">
      <c r="A1760" s="3" t="str">
        <f t="shared" si="54"/>
        <v>ΒΟΟΕΙΔΗΒΟΟΕΙΔΗ, ΑΡΣΕΝΙΚΑ, 2 - 6 ΕΤΩΝ, ΚΡΕΟΠΑΡΑΓΩΓΗΣ, ΚΑΘΑΡΟΑΙΜΗ</v>
      </c>
      <c r="B1760" s="17" t="s">
        <v>3183</v>
      </c>
      <c r="C1760" s="14" t="s">
        <v>3266</v>
      </c>
      <c r="D1760" s="6">
        <v>990</v>
      </c>
      <c r="E1760" s="6">
        <v>1220</v>
      </c>
      <c r="F1760" s="11" t="s">
        <v>23</v>
      </c>
      <c r="G1760" s="8" t="s">
        <v>3267</v>
      </c>
      <c r="H1760" s="8" t="s">
        <v>16</v>
      </c>
      <c r="I1760" s="9">
        <v>4723</v>
      </c>
      <c r="J1760" s="13">
        <v>2</v>
      </c>
      <c r="K1760" s="13">
        <v>211623</v>
      </c>
      <c r="L1760" s="3" t="str">
        <f t="shared" si="55"/>
        <v>ΒΟΟΕΙΔΗ</v>
      </c>
    </row>
    <row r="1761" spans="1:12" s="3" customFormat="1" ht="24" x14ac:dyDescent="0.25">
      <c r="A1761" s="3" t="str">
        <f t="shared" si="54"/>
        <v>ΒΟΟΕΙΔΗΒΟΟΕΙΔΗ, ΑΡΣΕΝΙΚΑ, 2 - 6 ΕΤΩΝ, ΚΡΕΟΠΑΡΑΓΩΓΗΣ, ΒΕΛΤΙΩΜΕΝΗ (&gt;550kg)</v>
      </c>
      <c r="B1761" s="17" t="s">
        <v>3183</v>
      </c>
      <c r="C1761" s="14" t="s">
        <v>3268</v>
      </c>
      <c r="D1761" s="6">
        <v>990</v>
      </c>
      <c r="E1761" s="6">
        <v>1220</v>
      </c>
      <c r="F1761" s="11" t="s">
        <v>23</v>
      </c>
      <c r="G1761" s="8" t="s">
        <v>3269</v>
      </c>
      <c r="H1761" s="8" t="s">
        <v>16</v>
      </c>
      <c r="I1761" s="9">
        <v>4724</v>
      </c>
      <c r="J1761" s="13">
        <v>2</v>
      </c>
      <c r="K1761" s="13">
        <v>211625</v>
      </c>
      <c r="L1761" s="3" t="str">
        <f t="shared" si="55"/>
        <v>ΒΟΟΕΙΔΗ</v>
      </c>
    </row>
    <row r="1762" spans="1:12" s="3" customFormat="1" ht="24" x14ac:dyDescent="0.25">
      <c r="A1762" s="3" t="str">
        <f t="shared" si="54"/>
        <v>ΒΟΟΕΙΔΗΒΟΟΕΙΔΗ, ΑΡΣΕΝΙΚΑ, 2 - 6 ΕΤΩΝ, ΚΡΕΟΠΑΡΑΓΩΓΗΣ, ΛΟΙΠΗ (&lt;400kg)</v>
      </c>
      <c r="B1762" s="17" t="s">
        <v>3183</v>
      </c>
      <c r="C1762" s="14" t="s">
        <v>3270</v>
      </c>
      <c r="D1762" s="6">
        <v>990</v>
      </c>
      <c r="E1762" s="6">
        <v>1220</v>
      </c>
      <c r="F1762" s="11" t="s">
        <v>23</v>
      </c>
      <c r="G1762" s="8" t="s">
        <v>3271</v>
      </c>
      <c r="H1762" s="8" t="s">
        <v>16</v>
      </c>
      <c r="I1762" s="9">
        <v>4725</v>
      </c>
      <c r="J1762" s="13">
        <v>2</v>
      </c>
      <c r="K1762" s="13">
        <v>211626</v>
      </c>
      <c r="L1762" s="3" t="str">
        <f t="shared" si="55"/>
        <v>ΒΟΟΕΙΔΗ</v>
      </c>
    </row>
    <row r="1763" spans="1:12" s="3" customFormat="1" ht="24" x14ac:dyDescent="0.25">
      <c r="A1763" s="3" t="str">
        <f t="shared" si="54"/>
        <v>ΒΟΟΕΙΔΗΒΟΟΕΙΔΗ, ΑΡΣΕΝΙΚΑ, 2 - 6 ΕΤΩΝ, ΚΡΕΟΠΑΡΑΓΩΓΗΣ, ΛΟΙΠΗ (400 - 550kg)</v>
      </c>
      <c r="B1763" s="17" t="s">
        <v>3183</v>
      </c>
      <c r="C1763" s="14" t="s">
        <v>3272</v>
      </c>
      <c r="D1763" s="6">
        <v>990</v>
      </c>
      <c r="E1763" s="6">
        <v>1220</v>
      </c>
      <c r="F1763" s="11" t="s">
        <v>23</v>
      </c>
      <c r="G1763" s="8" t="s">
        <v>3273</v>
      </c>
      <c r="H1763" s="8" t="s">
        <v>16</v>
      </c>
      <c r="I1763" s="9">
        <v>4726</v>
      </c>
      <c r="J1763" s="13">
        <v>2</v>
      </c>
      <c r="K1763" s="13">
        <v>211627</v>
      </c>
      <c r="L1763" s="3" t="str">
        <f t="shared" si="55"/>
        <v>ΒΟΟΕΙΔΗ</v>
      </c>
    </row>
    <row r="1764" spans="1:12" s="3" customFormat="1" ht="24" x14ac:dyDescent="0.25">
      <c r="A1764" s="3" t="str">
        <f t="shared" si="54"/>
        <v>ΒΟΟΕΙΔΗΒΟΟΕΙΔΗ, ΑΡΣΕΝΙΚΑ, 2 - 6 ΕΤΩΝ, ΜΙΚΤΗ, ΑΥΤΟΧΘΟΝΗ</v>
      </c>
      <c r="B1764" s="17" t="s">
        <v>3183</v>
      </c>
      <c r="C1764" s="14" t="s">
        <v>3274</v>
      </c>
      <c r="D1764" s="6">
        <v>990</v>
      </c>
      <c r="E1764" s="6">
        <v>1220</v>
      </c>
      <c r="F1764" s="11" t="s">
        <v>23</v>
      </c>
      <c r="G1764" s="8" t="s">
        <v>3275</v>
      </c>
      <c r="H1764" s="8" t="s">
        <v>16</v>
      </c>
      <c r="I1764" s="9">
        <v>4727</v>
      </c>
      <c r="J1764" s="13">
        <v>2</v>
      </c>
      <c r="K1764" s="13">
        <v>211632</v>
      </c>
      <c r="L1764" s="3" t="str">
        <f t="shared" si="55"/>
        <v>ΒΟΟΕΙΔΗ</v>
      </c>
    </row>
    <row r="1765" spans="1:12" s="3" customFormat="1" ht="24" x14ac:dyDescent="0.25">
      <c r="A1765" s="3" t="str">
        <f t="shared" si="54"/>
        <v>ΒΟΟΕΙΔΗΒΟΟΕΙΔΗ, ΑΡΣΕΝΙΚΑ, 2 - 6 ΕΤΩΝ, ΜΙΚΤΗ, ΚΑΘΑΡΟΑΙΜΗ</v>
      </c>
      <c r="B1765" s="17" t="s">
        <v>3183</v>
      </c>
      <c r="C1765" s="14" t="s">
        <v>3276</v>
      </c>
      <c r="D1765" s="6">
        <v>990</v>
      </c>
      <c r="E1765" s="6">
        <v>1220</v>
      </c>
      <c r="F1765" s="11" t="s">
        <v>23</v>
      </c>
      <c r="G1765" s="8" t="s">
        <v>3277</v>
      </c>
      <c r="H1765" s="8" t="s">
        <v>16</v>
      </c>
      <c r="I1765" s="9">
        <v>4728</v>
      </c>
      <c r="J1765" s="13">
        <v>2</v>
      </c>
      <c r="K1765" s="13">
        <v>211633</v>
      </c>
      <c r="L1765" s="3" t="str">
        <f t="shared" si="55"/>
        <v>ΒΟΟΕΙΔΗ</v>
      </c>
    </row>
    <row r="1766" spans="1:12" s="3" customFormat="1" ht="24" x14ac:dyDescent="0.25">
      <c r="A1766" s="3" t="str">
        <f t="shared" si="54"/>
        <v>ΒΟΟΕΙΔΗΒΟΟΕΙΔΗ, ΑΡΣΕΝΙΚΑ, 2 - 6 ΕΤΩΝ, ΜΙΚΤΗ, ΛΟΙΠΗ</v>
      </c>
      <c r="B1766" s="17" t="s">
        <v>3183</v>
      </c>
      <c r="C1766" s="14" t="s">
        <v>3278</v>
      </c>
      <c r="D1766" s="6">
        <v>990</v>
      </c>
      <c r="E1766" s="6">
        <v>1220</v>
      </c>
      <c r="F1766" s="11" t="s">
        <v>23</v>
      </c>
      <c r="G1766" s="8" t="s">
        <v>3279</v>
      </c>
      <c r="H1766" s="8" t="s">
        <v>16</v>
      </c>
      <c r="I1766" s="9">
        <v>4729</v>
      </c>
      <c r="J1766" s="13">
        <v>2</v>
      </c>
      <c r="K1766" s="13">
        <v>211634</v>
      </c>
      <c r="L1766" s="3" t="str">
        <f t="shared" si="55"/>
        <v>ΒΟΟΕΙΔΗ</v>
      </c>
    </row>
    <row r="1767" spans="1:12" s="3" customFormat="1" ht="24" x14ac:dyDescent="0.25">
      <c r="A1767" s="3" t="str">
        <f t="shared" si="54"/>
        <v>ΒΟΟΕΙΔΗΒΟΟΕΙΔΗ, ΑΡΣΕΝΙΚΑ, &gt; 6 ΕΤΩΝ, ΓΑΛΑΚΤΟΠΑΡΑΓΩΓΗΣ, ΒΕΛΤΙΩΜΕΝΗ</v>
      </c>
      <c r="B1767" s="17" t="s">
        <v>3183</v>
      </c>
      <c r="C1767" s="14" t="s">
        <v>3280</v>
      </c>
      <c r="D1767" s="6">
        <v>990</v>
      </c>
      <c r="E1767" s="6">
        <v>1220</v>
      </c>
      <c r="F1767" s="11" t="s">
        <v>23</v>
      </c>
      <c r="G1767" s="8" t="s">
        <v>3281</v>
      </c>
      <c r="H1767" s="8" t="s">
        <v>16</v>
      </c>
      <c r="I1767" s="9">
        <v>4730</v>
      </c>
      <c r="J1767" s="13">
        <v>2</v>
      </c>
      <c r="K1767" s="13">
        <v>211711</v>
      </c>
      <c r="L1767" s="3" t="str">
        <f t="shared" si="55"/>
        <v>ΒΟΟΕΙΔΗ</v>
      </c>
    </row>
    <row r="1768" spans="1:12" s="3" customFormat="1" ht="24" x14ac:dyDescent="0.25">
      <c r="A1768" s="3" t="str">
        <f t="shared" si="54"/>
        <v>ΒΟΟΕΙΔΗΒΟΟΕΙΔΗ, ΑΡΣΕΝΙΚΑ, &gt; 6 ΕΤΩΝ, ΓΑΛΑΚΤΟΠΑΡΑΓΩΓΉΣ, ΑΥΤΟΧΘΟΝΗ</v>
      </c>
      <c r="B1768" s="17" t="s">
        <v>3183</v>
      </c>
      <c r="C1768" s="14" t="s">
        <v>3282</v>
      </c>
      <c r="D1768" s="6">
        <v>990</v>
      </c>
      <c r="E1768" s="6">
        <v>1220</v>
      </c>
      <c r="F1768" s="11" t="s">
        <v>23</v>
      </c>
      <c r="G1768" s="8" t="s">
        <v>3283</v>
      </c>
      <c r="H1768" s="8" t="s">
        <v>16</v>
      </c>
      <c r="I1768" s="9">
        <v>4731</v>
      </c>
      <c r="J1768" s="13">
        <v>2</v>
      </c>
      <c r="K1768" s="13">
        <v>211712</v>
      </c>
      <c r="L1768" s="3" t="str">
        <f t="shared" si="55"/>
        <v>ΒΟΟΕΙΔΗ</v>
      </c>
    </row>
    <row r="1769" spans="1:12" s="3" customFormat="1" ht="24" x14ac:dyDescent="0.25">
      <c r="A1769" s="3" t="str">
        <f t="shared" si="54"/>
        <v>ΒΟΟΕΙΔΗΒΟΟΕΙΔΗ, ΑΡΣΕΝΙΚΑ, &gt; 6 ΕΤΩΝ, ΓΑΛΑΚΤΟΠΑΡΑΓΩΓΉΣ, ΚΑΘΑΡΟΑΙΜΗ</v>
      </c>
      <c r="B1769" s="17" t="s">
        <v>3183</v>
      </c>
      <c r="C1769" s="14" t="s">
        <v>3284</v>
      </c>
      <c r="D1769" s="6">
        <v>990</v>
      </c>
      <c r="E1769" s="6">
        <v>1220</v>
      </c>
      <c r="F1769" s="11" t="s">
        <v>23</v>
      </c>
      <c r="G1769" s="8" t="s">
        <v>3285</v>
      </c>
      <c r="H1769" s="8" t="s">
        <v>16</v>
      </c>
      <c r="I1769" s="9">
        <v>4732</v>
      </c>
      <c r="J1769" s="13">
        <v>2</v>
      </c>
      <c r="K1769" s="13">
        <v>211713</v>
      </c>
      <c r="L1769" s="3" t="str">
        <f t="shared" si="55"/>
        <v>ΒΟΟΕΙΔΗ</v>
      </c>
    </row>
    <row r="1770" spans="1:12" s="3" customFormat="1" ht="24" x14ac:dyDescent="0.25">
      <c r="A1770" s="3" t="str">
        <f t="shared" si="54"/>
        <v>ΒΟΟΕΙΔΗΒΟΟΕΙΔΗ, ΑΡΣΕΝΙΚΑ, &gt; 6 ΕΤΩΝ, ΓΑΛΑΚΤΟΠΑΡΑΓΩΓΉΣ, ΛΟΙΠΗ</v>
      </c>
      <c r="B1770" s="17" t="s">
        <v>3183</v>
      </c>
      <c r="C1770" s="14" t="s">
        <v>3286</v>
      </c>
      <c r="D1770" s="6">
        <v>990</v>
      </c>
      <c r="E1770" s="6">
        <v>1220</v>
      </c>
      <c r="F1770" s="11" t="s">
        <v>23</v>
      </c>
      <c r="G1770" s="8" t="s">
        <v>3287</v>
      </c>
      <c r="H1770" s="8" t="s">
        <v>16</v>
      </c>
      <c r="I1770" s="9">
        <v>4733</v>
      </c>
      <c r="J1770" s="13">
        <v>2</v>
      </c>
      <c r="K1770" s="13">
        <v>211714</v>
      </c>
      <c r="L1770" s="3" t="str">
        <f t="shared" si="55"/>
        <v>ΒΟΟΕΙΔΗ</v>
      </c>
    </row>
    <row r="1771" spans="1:12" s="3" customFormat="1" ht="24" x14ac:dyDescent="0.25">
      <c r="A1771" s="3" t="str">
        <f t="shared" si="54"/>
        <v>ΒΟΟΕΙΔΗΒΟΟΕΙΔΗ, ΑΡΣΕΝΙΚΑ, &gt; 6 ΕΤΩΝ, ΚΡΕΟΠΑΡΑΓΩΓΗΣ, ΑΥΤΟΧΘΟΝΗ</v>
      </c>
      <c r="B1771" s="17" t="s">
        <v>3183</v>
      </c>
      <c r="C1771" s="14" t="s">
        <v>3288</v>
      </c>
      <c r="D1771" s="6">
        <v>990</v>
      </c>
      <c r="E1771" s="6">
        <v>1220</v>
      </c>
      <c r="F1771" s="11" t="s">
        <v>23</v>
      </c>
      <c r="G1771" s="8" t="s">
        <v>3289</v>
      </c>
      <c r="H1771" s="8" t="s">
        <v>16</v>
      </c>
      <c r="I1771" s="9">
        <v>4734</v>
      </c>
      <c r="J1771" s="13">
        <v>2</v>
      </c>
      <c r="K1771" s="13">
        <v>211722</v>
      </c>
      <c r="L1771" s="3" t="str">
        <f t="shared" si="55"/>
        <v>ΒΟΟΕΙΔΗ</v>
      </c>
    </row>
    <row r="1772" spans="1:12" s="3" customFormat="1" ht="24" x14ac:dyDescent="0.25">
      <c r="A1772" s="3" t="str">
        <f t="shared" si="54"/>
        <v>ΒΟΟΕΙΔΗΒΟΟΕΙΔΗ, ΑΡΣΕΝΙΚΑ, &gt; 6 ΕΤΩΝ, ΚΡΕΟΠΑΡΑΓΩΓΗΣ, ΚΑΘΑΡΟΑΙΜΗ</v>
      </c>
      <c r="B1772" s="17" t="s">
        <v>3183</v>
      </c>
      <c r="C1772" s="14" t="s">
        <v>3290</v>
      </c>
      <c r="D1772" s="6">
        <v>990</v>
      </c>
      <c r="E1772" s="6">
        <v>1220</v>
      </c>
      <c r="F1772" s="11" t="s">
        <v>23</v>
      </c>
      <c r="G1772" s="8" t="s">
        <v>3291</v>
      </c>
      <c r="H1772" s="8" t="s">
        <v>16</v>
      </c>
      <c r="I1772" s="9">
        <v>4735</v>
      </c>
      <c r="J1772" s="13">
        <v>2</v>
      </c>
      <c r="K1772" s="13">
        <v>211723</v>
      </c>
      <c r="L1772" s="3" t="str">
        <f t="shared" si="55"/>
        <v>ΒΟΟΕΙΔΗ</v>
      </c>
    </row>
    <row r="1773" spans="1:12" s="3" customFormat="1" ht="24" x14ac:dyDescent="0.25">
      <c r="A1773" s="3" t="str">
        <f t="shared" si="54"/>
        <v>ΒΟΟΕΙΔΗΒΟΟΕΙΔΗ, ΑΡΣΕΝΙΚΑ, &gt; 6 ΕΤΩΝ, ΚΡΕΟΠΑΡΑΓΩΓΗΣ, ΒΕΛΤΙΩΜΕΝΗ (&gt;550kg)</v>
      </c>
      <c r="B1773" s="17" t="s">
        <v>3183</v>
      </c>
      <c r="C1773" s="14" t="s">
        <v>3292</v>
      </c>
      <c r="D1773" s="6">
        <v>990</v>
      </c>
      <c r="E1773" s="6">
        <v>1220</v>
      </c>
      <c r="F1773" s="11" t="s">
        <v>23</v>
      </c>
      <c r="G1773" s="8" t="s">
        <v>3293</v>
      </c>
      <c r="H1773" s="8" t="s">
        <v>16</v>
      </c>
      <c r="I1773" s="9">
        <v>4736</v>
      </c>
      <c r="J1773" s="13">
        <v>2</v>
      </c>
      <c r="K1773" s="13">
        <v>211725</v>
      </c>
      <c r="L1773" s="3" t="str">
        <f t="shared" si="55"/>
        <v>ΒΟΟΕΙΔΗ</v>
      </c>
    </row>
    <row r="1774" spans="1:12" s="3" customFormat="1" ht="24" x14ac:dyDescent="0.25">
      <c r="A1774" s="3" t="str">
        <f t="shared" si="54"/>
        <v>ΒΟΟΕΙΔΗΒΟΟΕΙΔΗ, ΑΡΣΕΝΙΚΑ, &gt; 6 ΕΤΩΝ, ΚΡΕΟΠΑΡΑΓΩΓΗΣ, ΛΟΙΠΗ (&lt;400kg)</v>
      </c>
      <c r="B1774" s="17" t="s">
        <v>3183</v>
      </c>
      <c r="C1774" s="14" t="s">
        <v>3294</v>
      </c>
      <c r="D1774" s="6">
        <v>990</v>
      </c>
      <c r="E1774" s="6">
        <v>1220</v>
      </c>
      <c r="F1774" s="11" t="s">
        <v>23</v>
      </c>
      <c r="G1774" s="8" t="s">
        <v>3295</v>
      </c>
      <c r="H1774" s="8" t="s">
        <v>16</v>
      </c>
      <c r="I1774" s="9">
        <v>4737</v>
      </c>
      <c r="J1774" s="13">
        <v>2</v>
      </c>
      <c r="K1774" s="13">
        <v>211726</v>
      </c>
      <c r="L1774" s="3" t="str">
        <f t="shared" si="55"/>
        <v>ΒΟΟΕΙΔΗ</v>
      </c>
    </row>
    <row r="1775" spans="1:12" s="3" customFormat="1" ht="24" x14ac:dyDescent="0.25">
      <c r="A1775" s="3" t="str">
        <f t="shared" si="54"/>
        <v>ΒΟΟΕΙΔΗΒΟΟΕΙΔΗ, ΑΡΣΕΝΙΚΑ, &gt; 6 ΕΤΩΝ, ΚΡΕΟΠΑΡΑΓΩΓΗΣ, ΛΟΙΠΗ (400 - 550kg)</v>
      </c>
      <c r="B1775" s="17" t="s">
        <v>3183</v>
      </c>
      <c r="C1775" s="14" t="s">
        <v>3296</v>
      </c>
      <c r="D1775" s="6">
        <v>990</v>
      </c>
      <c r="E1775" s="6">
        <v>1220</v>
      </c>
      <c r="F1775" s="11" t="s">
        <v>23</v>
      </c>
      <c r="G1775" s="8" t="s">
        <v>3297</v>
      </c>
      <c r="H1775" s="8" t="s">
        <v>16</v>
      </c>
      <c r="I1775" s="9">
        <v>4738</v>
      </c>
      <c r="J1775" s="13">
        <v>2</v>
      </c>
      <c r="K1775" s="13">
        <v>211727</v>
      </c>
      <c r="L1775" s="3" t="str">
        <f t="shared" si="55"/>
        <v>ΒΟΟΕΙΔΗ</v>
      </c>
    </row>
    <row r="1776" spans="1:12" s="3" customFormat="1" ht="24" x14ac:dyDescent="0.25">
      <c r="A1776" s="3" t="str">
        <f t="shared" si="54"/>
        <v>ΒΟΟΕΙΔΗΒΟΟΕΙΔΗ, ΑΡΣΕΝΙΚΑ, &gt; 6 ΕΤΩΝ, ΜΙΚΤΗ, ΑΥΤΟΧΘΟΝΗ</v>
      </c>
      <c r="B1776" s="17" t="s">
        <v>3183</v>
      </c>
      <c r="C1776" s="14" t="s">
        <v>3298</v>
      </c>
      <c r="D1776" s="6">
        <v>990</v>
      </c>
      <c r="E1776" s="6">
        <v>1220</v>
      </c>
      <c r="F1776" s="11" t="s">
        <v>23</v>
      </c>
      <c r="G1776" s="8" t="s">
        <v>3299</v>
      </c>
      <c r="H1776" s="8" t="s">
        <v>16</v>
      </c>
      <c r="I1776" s="9">
        <v>4739</v>
      </c>
      <c r="J1776" s="13">
        <v>2</v>
      </c>
      <c r="K1776" s="13">
        <v>211732</v>
      </c>
      <c r="L1776" s="3" t="str">
        <f t="shared" si="55"/>
        <v>ΒΟΟΕΙΔΗ</v>
      </c>
    </row>
    <row r="1777" spans="1:12" s="3" customFormat="1" ht="24" x14ac:dyDescent="0.25">
      <c r="A1777" s="3" t="str">
        <f t="shared" si="54"/>
        <v>ΒΟΟΕΙΔΗΒΟΟΕΙΔΗ, ΑΡΣΕΝΙΚΑ, &gt; 6 ΕΤΩΝ, ΜΙΚΤΗ, ΚΑΘΑΡΟΑΙΜΗ</v>
      </c>
      <c r="B1777" s="17" t="s">
        <v>3183</v>
      </c>
      <c r="C1777" s="14" t="s">
        <v>3300</v>
      </c>
      <c r="D1777" s="6">
        <v>990</v>
      </c>
      <c r="E1777" s="6">
        <v>1220</v>
      </c>
      <c r="F1777" s="11" t="s">
        <v>23</v>
      </c>
      <c r="G1777" s="8" t="s">
        <v>3301</v>
      </c>
      <c r="H1777" s="8" t="s">
        <v>16</v>
      </c>
      <c r="I1777" s="9">
        <v>4740</v>
      </c>
      <c r="J1777" s="13">
        <v>2</v>
      </c>
      <c r="K1777" s="13">
        <v>211733</v>
      </c>
      <c r="L1777" s="3" t="str">
        <f t="shared" si="55"/>
        <v>ΒΟΟΕΙΔΗ</v>
      </c>
    </row>
    <row r="1778" spans="1:12" s="3" customFormat="1" ht="24" x14ac:dyDescent="0.25">
      <c r="A1778" s="3" t="str">
        <f t="shared" si="54"/>
        <v>ΒΟΟΕΙΔΗΒΟΟΕΙΔΗ, ΑΡΣΕΝΙΚΑ, &gt; 6 ΕΤΩΝ, ΜΙΚΤΗ, ΛΟΙΠΗ</v>
      </c>
      <c r="B1778" s="17" t="s">
        <v>3183</v>
      </c>
      <c r="C1778" s="14" t="s">
        <v>3302</v>
      </c>
      <c r="D1778" s="6">
        <v>990</v>
      </c>
      <c r="E1778" s="6">
        <v>1220</v>
      </c>
      <c r="F1778" s="11" t="s">
        <v>23</v>
      </c>
      <c r="G1778" s="8" t="s">
        <v>3303</v>
      </c>
      <c r="H1778" s="8" t="s">
        <v>16</v>
      </c>
      <c r="I1778" s="9">
        <v>4741</v>
      </c>
      <c r="J1778" s="13">
        <v>2</v>
      </c>
      <c r="K1778" s="13">
        <v>211734</v>
      </c>
      <c r="L1778" s="3" t="str">
        <f t="shared" si="55"/>
        <v>ΒΟΟΕΙΔΗ</v>
      </c>
    </row>
    <row r="1779" spans="1:12" s="3" customFormat="1" ht="24" x14ac:dyDescent="0.25">
      <c r="A1779" s="3" t="str">
        <f t="shared" si="54"/>
        <v>ΒΟΟΕΙΔΗΒΟΟΕΙΔΗ, ΘΗΛΥΚΑ, &lt; 1 ΜΗΝΟΣ, ΓΑΛΑΚΤΟΠΑΡΑΓΩΓΉΣ, ΒΕΛΤΙΩΜΕΝΗ</v>
      </c>
      <c r="B1779" s="17" t="s">
        <v>3183</v>
      </c>
      <c r="C1779" s="14" t="s">
        <v>3304</v>
      </c>
      <c r="D1779" s="6">
        <v>410</v>
      </c>
      <c r="E1779" s="6">
        <v>399</v>
      </c>
      <c r="F1779" s="11" t="s">
        <v>23</v>
      </c>
      <c r="G1779" s="8" t="s">
        <v>3305</v>
      </c>
      <c r="H1779" s="8" t="s">
        <v>16</v>
      </c>
      <c r="I1779" s="9">
        <v>4742</v>
      </c>
      <c r="J1779" s="13">
        <v>2</v>
      </c>
      <c r="K1779" s="13">
        <v>212111</v>
      </c>
      <c r="L1779" s="3" t="str">
        <f t="shared" si="55"/>
        <v>ΒΟΟΕΙΔΗ</v>
      </c>
    </row>
    <row r="1780" spans="1:12" s="3" customFormat="1" ht="24" x14ac:dyDescent="0.25">
      <c r="A1780" s="3" t="str">
        <f t="shared" si="54"/>
        <v>ΒΟΟΕΙΔΗΒΟΟΕΙΔΗ, ΘΗΛΥΚΑ, &lt; 1 ΜΗΝΟΣ, ΓΑΛΑΚΤΟΠΑΡΑΓΩΓΉΣ, ΑΥΤΟΧΘΟΝΗ</v>
      </c>
      <c r="B1780" s="17" t="s">
        <v>3183</v>
      </c>
      <c r="C1780" s="14" t="s">
        <v>3306</v>
      </c>
      <c r="D1780" s="6">
        <v>410</v>
      </c>
      <c r="E1780" s="6">
        <v>399</v>
      </c>
      <c r="F1780" s="11" t="s">
        <v>23</v>
      </c>
      <c r="G1780" s="8" t="s">
        <v>3307</v>
      </c>
      <c r="H1780" s="8" t="s">
        <v>16</v>
      </c>
      <c r="I1780" s="9">
        <v>4743</v>
      </c>
      <c r="J1780" s="13">
        <v>2</v>
      </c>
      <c r="K1780" s="13">
        <v>212112</v>
      </c>
      <c r="L1780" s="3" t="str">
        <f t="shared" si="55"/>
        <v>ΒΟΟΕΙΔΗ</v>
      </c>
    </row>
    <row r="1781" spans="1:12" s="3" customFormat="1" ht="24" x14ac:dyDescent="0.25">
      <c r="A1781" s="3" t="str">
        <f t="shared" si="54"/>
        <v>ΒΟΟΕΙΔΗΒΟΟΕΙΔΗ, ΘΗΛΥΚΑ, &lt; 1 ΜΗΝΟΣ, ΓΑΛΑΚΤΟΠΑΡΑΓΩΓΉΣ, ΚΑΘΑΡΟΑΙΜΗ</v>
      </c>
      <c r="B1781" s="17" t="s">
        <v>3183</v>
      </c>
      <c r="C1781" s="14" t="s">
        <v>3308</v>
      </c>
      <c r="D1781" s="6">
        <v>410</v>
      </c>
      <c r="E1781" s="6">
        <v>399</v>
      </c>
      <c r="F1781" s="11" t="s">
        <v>23</v>
      </c>
      <c r="G1781" s="8" t="s">
        <v>3309</v>
      </c>
      <c r="H1781" s="8" t="s">
        <v>16</v>
      </c>
      <c r="I1781" s="9">
        <v>4744</v>
      </c>
      <c r="J1781" s="13">
        <v>2</v>
      </c>
      <c r="K1781" s="13">
        <v>212113</v>
      </c>
      <c r="L1781" s="3" t="str">
        <f t="shared" si="55"/>
        <v>ΒΟΟΕΙΔΗ</v>
      </c>
    </row>
    <row r="1782" spans="1:12" s="3" customFormat="1" ht="24" x14ac:dyDescent="0.25">
      <c r="A1782" s="3" t="str">
        <f t="shared" si="54"/>
        <v>ΒΟΟΕΙΔΗΒΟΟΕΙΔΗ, ΘΗΛΥΚΑ, &lt; 1 ΜΗΝΟΣ, ΓΑΛΑΚΤΟΠΑΡΑΓΩΓΉΣ, ΛΟΙΠΗ</v>
      </c>
      <c r="B1782" s="17" t="s">
        <v>3183</v>
      </c>
      <c r="C1782" s="14" t="s">
        <v>3310</v>
      </c>
      <c r="D1782" s="6">
        <v>410</v>
      </c>
      <c r="E1782" s="6">
        <v>399</v>
      </c>
      <c r="F1782" s="11" t="s">
        <v>23</v>
      </c>
      <c r="G1782" s="8" t="s">
        <v>3311</v>
      </c>
      <c r="H1782" s="8" t="s">
        <v>16</v>
      </c>
      <c r="I1782" s="9">
        <v>4745</v>
      </c>
      <c r="J1782" s="13">
        <v>2</v>
      </c>
      <c r="K1782" s="13">
        <v>212114</v>
      </c>
      <c r="L1782" s="3" t="str">
        <f t="shared" si="55"/>
        <v>ΒΟΟΕΙΔΗ</v>
      </c>
    </row>
    <row r="1783" spans="1:12" s="3" customFormat="1" ht="24" x14ac:dyDescent="0.25">
      <c r="A1783" s="3" t="str">
        <f t="shared" si="54"/>
        <v>ΒΟΟΕΙΔΗΒΟΟΕΙΔΗ, ΘΗΛΥΚΑ, &lt; 1 ΜΗΝΟΣ, ΚΡΕΟΠΑΡΑΓΩΓΗΣ, ΑΥΤΟΧΘΟΝΗ</v>
      </c>
      <c r="B1783" s="17" t="s">
        <v>3183</v>
      </c>
      <c r="C1783" s="14" t="s">
        <v>3312</v>
      </c>
      <c r="D1783" s="6">
        <v>410</v>
      </c>
      <c r="E1783" s="6">
        <v>399</v>
      </c>
      <c r="F1783" s="11" t="s">
        <v>23</v>
      </c>
      <c r="G1783" s="8" t="s">
        <v>3313</v>
      </c>
      <c r="H1783" s="8" t="s">
        <v>16</v>
      </c>
      <c r="I1783" s="9">
        <v>4746</v>
      </c>
      <c r="J1783" s="13">
        <v>2</v>
      </c>
      <c r="K1783" s="13">
        <v>212122</v>
      </c>
      <c r="L1783" s="3" t="str">
        <f t="shared" si="55"/>
        <v>ΒΟΟΕΙΔΗ</v>
      </c>
    </row>
    <row r="1784" spans="1:12" s="3" customFormat="1" ht="24" x14ac:dyDescent="0.25">
      <c r="A1784" s="3" t="str">
        <f t="shared" si="54"/>
        <v>ΒΟΟΕΙΔΗΒΟΟΕΙΔΗ, ΘΗΛΥΚΑ, &lt; 1 ΜΗΝΟΣ, ΚΡΕΟΠΑΡΑΓΩΓΗΣ, ΚΑΘΑΡΟΑΙΜΗ</v>
      </c>
      <c r="B1784" s="17" t="s">
        <v>3183</v>
      </c>
      <c r="C1784" s="14" t="s">
        <v>3314</v>
      </c>
      <c r="D1784" s="6">
        <v>410</v>
      </c>
      <c r="E1784" s="6">
        <v>399</v>
      </c>
      <c r="F1784" s="11" t="s">
        <v>23</v>
      </c>
      <c r="G1784" s="8" t="s">
        <v>3315</v>
      </c>
      <c r="H1784" s="8" t="s">
        <v>16</v>
      </c>
      <c r="I1784" s="9">
        <v>4747</v>
      </c>
      <c r="J1784" s="13">
        <v>2</v>
      </c>
      <c r="K1784" s="13">
        <v>212123</v>
      </c>
      <c r="L1784" s="3" t="str">
        <f t="shared" si="55"/>
        <v>ΒΟΟΕΙΔΗ</v>
      </c>
    </row>
    <row r="1785" spans="1:12" s="3" customFormat="1" ht="24" x14ac:dyDescent="0.25">
      <c r="A1785" s="3" t="str">
        <f t="shared" si="54"/>
        <v>ΒΟΟΕΙΔΗΒΟΟΕΙΔΗ, ΘΗΛΥΚΑ,  &lt; 1 ΜΗΝΟΣ, ΚΡΕΟΠΑΡΑΓΩΓΗΣ, ΒΕΛΤΙΩΜΕΝΗ (&gt;550kg)</v>
      </c>
      <c r="B1785" s="17" t="s">
        <v>3183</v>
      </c>
      <c r="C1785" s="14" t="s">
        <v>3316</v>
      </c>
      <c r="D1785" s="6">
        <v>410</v>
      </c>
      <c r="E1785" s="6">
        <v>399</v>
      </c>
      <c r="F1785" s="11" t="s">
        <v>23</v>
      </c>
      <c r="G1785" s="8" t="s">
        <v>3317</v>
      </c>
      <c r="H1785" s="8" t="s">
        <v>16</v>
      </c>
      <c r="I1785" s="9">
        <v>4748</v>
      </c>
      <c r="J1785" s="13">
        <v>2</v>
      </c>
      <c r="K1785" s="13">
        <v>212125</v>
      </c>
      <c r="L1785" s="3" t="str">
        <f t="shared" si="55"/>
        <v>ΒΟΟΕΙΔΗ</v>
      </c>
    </row>
    <row r="1786" spans="1:12" s="3" customFormat="1" ht="24" x14ac:dyDescent="0.25">
      <c r="A1786" s="3" t="str">
        <f t="shared" si="54"/>
        <v>ΒΟΟΕΙΔΗΒΟΟΕΙΔΗ, ΘΗΛΥΚΑ, &lt; 1 ΜΗΝΟΣ, ΚΡΕΟΠΑΡΑΓΩΓΗΣ, ΛΟΙΠΗ (&lt;400kg)</v>
      </c>
      <c r="B1786" s="17" t="s">
        <v>3183</v>
      </c>
      <c r="C1786" s="14" t="s">
        <v>3318</v>
      </c>
      <c r="D1786" s="6">
        <v>410</v>
      </c>
      <c r="E1786" s="6">
        <v>399</v>
      </c>
      <c r="F1786" s="11" t="s">
        <v>23</v>
      </c>
      <c r="G1786" s="8" t="s">
        <v>3319</v>
      </c>
      <c r="H1786" s="8" t="s">
        <v>16</v>
      </c>
      <c r="I1786" s="9">
        <v>4749</v>
      </c>
      <c r="J1786" s="13">
        <v>2</v>
      </c>
      <c r="K1786" s="13">
        <v>212126</v>
      </c>
      <c r="L1786" s="3" t="str">
        <f t="shared" si="55"/>
        <v>ΒΟΟΕΙΔΗ</v>
      </c>
    </row>
    <row r="1787" spans="1:12" s="3" customFormat="1" ht="24" x14ac:dyDescent="0.25">
      <c r="A1787" s="3" t="str">
        <f t="shared" si="54"/>
        <v>ΒΟΟΕΙΔΗΒΟΟΕΙΔΗ, ΘΗΛΥΚΑ, &lt; 1 ΜΗΝΟΣ, ΚΡΕΟΠΑΡΑΓΩΓΗΣ, ΛΟΙΠΗ (400 - 550kg)</v>
      </c>
      <c r="B1787" s="17" t="s">
        <v>3183</v>
      </c>
      <c r="C1787" s="14" t="s">
        <v>3320</v>
      </c>
      <c r="D1787" s="6">
        <v>410</v>
      </c>
      <c r="E1787" s="6">
        <v>399</v>
      </c>
      <c r="F1787" s="11" t="s">
        <v>23</v>
      </c>
      <c r="G1787" s="8" t="s">
        <v>3321</v>
      </c>
      <c r="H1787" s="8" t="s">
        <v>16</v>
      </c>
      <c r="I1787" s="9">
        <v>4750</v>
      </c>
      <c r="J1787" s="13">
        <v>2</v>
      </c>
      <c r="K1787" s="13">
        <v>212127</v>
      </c>
      <c r="L1787" s="3" t="str">
        <f t="shared" si="55"/>
        <v>ΒΟΟΕΙΔΗ</v>
      </c>
    </row>
    <row r="1788" spans="1:12" s="3" customFormat="1" ht="24" x14ac:dyDescent="0.25">
      <c r="A1788" s="3" t="str">
        <f t="shared" si="54"/>
        <v>ΒΟΟΕΙΔΗΒΟΟΕΙΔΗ, ΘΗΛΥΚΑ, &lt; 1 ΜΗΝΟΣ, ΜΙΚΤΗ, ΑΥΤΟΧΘΟΝΗ</v>
      </c>
      <c r="B1788" s="17" t="s">
        <v>3183</v>
      </c>
      <c r="C1788" s="14" t="s">
        <v>3322</v>
      </c>
      <c r="D1788" s="6">
        <v>410</v>
      </c>
      <c r="E1788" s="6">
        <v>399</v>
      </c>
      <c r="F1788" s="11" t="s">
        <v>23</v>
      </c>
      <c r="G1788" s="8" t="s">
        <v>3323</v>
      </c>
      <c r="H1788" s="8" t="s">
        <v>16</v>
      </c>
      <c r="I1788" s="9">
        <v>4751</v>
      </c>
      <c r="J1788" s="13">
        <v>2</v>
      </c>
      <c r="K1788" s="13">
        <v>212132</v>
      </c>
      <c r="L1788" s="3" t="str">
        <f t="shared" si="55"/>
        <v>ΒΟΟΕΙΔΗ</v>
      </c>
    </row>
    <row r="1789" spans="1:12" s="3" customFormat="1" ht="24" x14ac:dyDescent="0.25">
      <c r="A1789" s="3" t="str">
        <f t="shared" si="54"/>
        <v>ΒΟΟΕΙΔΗΒΟΟΕΙΔΗ, ΘΗΛΥΚΑ, &lt; 1 ΜΗΝΟΣ, ΜΙΚΤΗ, ΚΑΘΑΡΟΑΙΜΗ</v>
      </c>
      <c r="B1789" s="17" t="s">
        <v>3183</v>
      </c>
      <c r="C1789" s="14" t="s">
        <v>3324</v>
      </c>
      <c r="D1789" s="6">
        <v>410</v>
      </c>
      <c r="E1789" s="6">
        <v>399</v>
      </c>
      <c r="F1789" s="11" t="s">
        <v>23</v>
      </c>
      <c r="G1789" s="8" t="s">
        <v>3325</v>
      </c>
      <c r="H1789" s="8" t="s">
        <v>16</v>
      </c>
      <c r="I1789" s="9">
        <v>4752</v>
      </c>
      <c r="J1789" s="13">
        <v>2</v>
      </c>
      <c r="K1789" s="13">
        <v>212133</v>
      </c>
      <c r="L1789" s="3" t="str">
        <f t="shared" si="55"/>
        <v>ΒΟΟΕΙΔΗ</v>
      </c>
    </row>
    <row r="1790" spans="1:12" s="3" customFormat="1" ht="24" x14ac:dyDescent="0.25">
      <c r="A1790" s="3" t="str">
        <f t="shared" si="54"/>
        <v>ΒΟΟΕΙΔΗΒΟΟΕΙΔΗ, ΘΗΛΥΚΑ, &lt; 1 ΜΗΝΟΣ, ΜΙΚΤΗ, ΛΟΙΠΗ</v>
      </c>
      <c r="B1790" s="17" t="s">
        <v>3183</v>
      </c>
      <c r="C1790" s="14" t="s">
        <v>3326</v>
      </c>
      <c r="D1790" s="6">
        <v>410</v>
      </c>
      <c r="E1790" s="6">
        <v>399</v>
      </c>
      <c r="F1790" s="11" t="s">
        <v>23</v>
      </c>
      <c r="G1790" s="8" t="s">
        <v>3327</v>
      </c>
      <c r="H1790" s="8" t="s">
        <v>16</v>
      </c>
      <c r="I1790" s="9">
        <v>4753</v>
      </c>
      <c r="J1790" s="13">
        <v>2</v>
      </c>
      <c r="K1790" s="13">
        <v>212134</v>
      </c>
      <c r="L1790" s="3" t="str">
        <f t="shared" si="55"/>
        <v>ΒΟΟΕΙΔΗ</v>
      </c>
    </row>
    <row r="1791" spans="1:12" s="3" customFormat="1" ht="24" x14ac:dyDescent="0.25">
      <c r="A1791" s="3" t="str">
        <f t="shared" si="54"/>
        <v>ΒΟΟΕΙΔΗΒΟΟΕΙΔΗ, ΘΗΛΥΚΑ, 1 - 6 ΜΗΝΩΝ, ΓΑΛΑΚΤΟΠΑΡΑΓΩΓΉΣ, ΒΕΛΤΙΩΜΕΝΗ</v>
      </c>
      <c r="B1791" s="17" t="s">
        <v>3183</v>
      </c>
      <c r="C1791" s="14" t="s">
        <v>3328</v>
      </c>
      <c r="D1791" s="6">
        <v>410</v>
      </c>
      <c r="E1791" s="6">
        <v>399</v>
      </c>
      <c r="F1791" s="11" t="s">
        <v>23</v>
      </c>
      <c r="G1791" s="8" t="s">
        <v>3329</v>
      </c>
      <c r="H1791" s="8" t="s">
        <v>16</v>
      </c>
      <c r="I1791" s="9">
        <v>4754</v>
      </c>
      <c r="J1791" s="13">
        <v>2</v>
      </c>
      <c r="K1791" s="13">
        <v>212211</v>
      </c>
      <c r="L1791" s="3" t="str">
        <f t="shared" si="55"/>
        <v>ΒΟΟΕΙΔΗ</v>
      </c>
    </row>
    <row r="1792" spans="1:12" s="3" customFormat="1" ht="24" x14ac:dyDescent="0.25">
      <c r="A1792" s="3" t="str">
        <f t="shared" si="54"/>
        <v>ΒΟΟΕΙΔΗΒΟΟΕΙΔΗ, ΘΗΛΥΚΑ, 1 - 6 ΜΗΝΩΝ, ΓΑΛΑΚΤΟΠΑΡΑΓΩΓΉΣ, ΑΥΤΟΧΘΟΝΗ</v>
      </c>
      <c r="B1792" s="17" t="s">
        <v>3183</v>
      </c>
      <c r="C1792" s="14" t="s">
        <v>3330</v>
      </c>
      <c r="D1792" s="6">
        <v>410</v>
      </c>
      <c r="E1792" s="6">
        <v>399</v>
      </c>
      <c r="F1792" s="11" t="s">
        <v>23</v>
      </c>
      <c r="G1792" s="8" t="s">
        <v>3331</v>
      </c>
      <c r="H1792" s="8" t="s">
        <v>16</v>
      </c>
      <c r="I1792" s="9">
        <v>4755</v>
      </c>
      <c r="J1792" s="13">
        <v>2</v>
      </c>
      <c r="K1792" s="13">
        <v>212212</v>
      </c>
      <c r="L1792" s="3" t="str">
        <f t="shared" si="55"/>
        <v>ΒΟΟΕΙΔΗ</v>
      </c>
    </row>
    <row r="1793" spans="1:12" s="3" customFormat="1" ht="24" x14ac:dyDescent="0.25">
      <c r="A1793" s="3" t="str">
        <f t="shared" si="54"/>
        <v>ΒΟΟΕΙΔΗΒΟΟΕΙΔΗ, ΘΗΛΥΚΑ, 1 - 6 ΜΗΝΩΝ, ΓΑΛΑΚΤΟΠΑΡΑΓΩΓΉΣ, ΚΑΘΑΡΟΑΙΜΗ</v>
      </c>
      <c r="B1793" s="17" t="s">
        <v>3183</v>
      </c>
      <c r="C1793" s="14" t="s">
        <v>3332</v>
      </c>
      <c r="D1793" s="6">
        <v>410</v>
      </c>
      <c r="E1793" s="6">
        <v>399</v>
      </c>
      <c r="F1793" s="11" t="s">
        <v>23</v>
      </c>
      <c r="G1793" s="8" t="s">
        <v>3333</v>
      </c>
      <c r="H1793" s="8" t="s">
        <v>16</v>
      </c>
      <c r="I1793" s="9">
        <v>4756</v>
      </c>
      <c r="J1793" s="13">
        <v>2</v>
      </c>
      <c r="K1793" s="13">
        <v>212213</v>
      </c>
      <c r="L1793" s="3" t="str">
        <f t="shared" si="55"/>
        <v>ΒΟΟΕΙΔΗ</v>
      </c>
    </row>
    <row r="1794" spans="1:12" s="3" customFormat="1" ht="24" x14ac:dyDescent="0.25">
      <c r="A1794" s="3" t="str">
        <f t="shared" si="54"/>
        <v>ΒΟΟΕΙΔΗΒΟΟΕΙΔΗ, ΘΗΛΥΚΑ, 1 - 6 ΜΗΝΩΝ, ΓΑΛΑΚΤΟΠΑΡΑΓΩΓΉΣ, ΛΟΙΠΗ</v>
      </c>
      <c r="B1794" s="17" t="s">
        <v>3183</v>
      </c>
      <c r="C1794" s="14" t="s">
        <v>3334</v>
      </c>
      <c r="D1794" s="6">
        <v>410</v>
      </c>
      <c r="E1794" s="6">
        <v>399</v>
      </c>
      <c r="F1794" s="11" t="s">
        <v>23</v>
      </c>
      <c r="G1794" s="8" t="s">
        <v>3335</v>
      </c>
      <c r="H1794" s="8" t="s">
        <v>16</v>
      </c>
      <c r="I1794" s="9">
        <v>4757</v>
      </c>
      <c r="J1794" s="13">
        <v>2</v>
      </c>
      <c r="K1794" s="13">
        <v>212214</v>
      </c>
      <c r="L1794" s="3" t="str">
        <f t="shared" si="55"/>
        <v>ΒΟΟΕΙΔΗ</v>
      </c>
    </row>
    <row r="1795" spans="1:12" s="3" customFormat="1" ht="24" x14ac:dyDescent="0.25">
      <c r="A1795" s="3" t="str">
        <f t="shared" ref="A1795:A1858" si="56">_xlfn.CONCAT(B1795,C1795)</f>
        <v>ΒΟΟΕΙΔΗΒΟΟΕΙΔΗ, ΘΗΛΥΚΑ, 1 - 6 ΜΗΝΩΝ, ΚΡΕΟΠΑΡΑΓΩΓΗΣ, ΑΥΤΟΧΘΟΝΗ</v>
      </c>
      <c r="B1795" s="17" t="s">
        <v>3183</v>
      </c>
      <c r="C1795" s="14" t="s">
        <v>3336</v>
      </c>
      <c r="D1795" s="6">
        <v>410</v>
      </c>
      <c r="E1795" s="6">
        <v>399</v>
      </c>
      <c r="F1795" s="11" t="s">
        <v>23</v>
      </c>
      <c r="G1795" s="8" t="s">
        <v>3337</v>
      </c>
      <c r="H1795" s="8" t="s">
        <v>16</v>
      </c>
      <c r="I1795" s="9">
        <v>4758</v>
      </c>
      <c r="J1795" s="13">
        <v>2</v>
      </c>
      <c r="K1795" s="13">
        <v>212222</v>
      </c>
      <c r="L1795" s="3" t="str">
        <f t="shared" ref="L1795:L1858" si="57">IFERROR(SUBSTITUTE(SUBSTITUTE(SUBSTITUTE(SUBSTITUTE(SUBSTITUTE(B1795, "-", "_"), " ", "_"), ",", ""), "(", ""), ")", ""), B1795)</f>
        <v>ΒΟΟΕΙΔΗ</v>
      </c>
    </row>
    <row r="1796" spans="1:12" s="3" customFormat="1" ht="24" x14ac:dyDescent="0.25">
      <c r="A1796" s="3" t="str">
        <f t="shared" si="56"/>
        <v>ΒΟΟΕΙΔΗΒΟΟΕΙΔΗ, ΘΗΛΥΚΑ, 1 - 6 ΜΗΝΩΝ, ΚΡΕΟΠΑΡΑΓΩΓΗΣ, ΚΑΘΑΡΟΑΙΜΗ</v>
      </c>
      <c r="B1796" s="17" t="s">
        <v>3183</v>
      </c>
      <c r="C1796" s="14" t="s">
        <v>3338</v>
      </c>
      <c r="D1796" s="6">
        <v>410</v>
      </c>
      <c r="E1796" s="6">
        <v>399</v>
      </c>
      <c r="F1796" s="11" t="s">
        <v>23</v>
      </c>
      <c r="G1796" s="8" t="s">
        <v>3339</v>
      </c>
      <c r="H1796" s="8" t="s">
        <v>16</v>
      </c>
      <c r="I1796" s="9">
        <v>4759</v>
      </c>
      <c r="J1796" s="13">
        <v>2</v>
      </c>
      <c r="K1796" s="13">
        <v>212223</v>
      </c>
      <c r="L1796" s="3" t="str">
        <f t="shared" si="57"/>
        <v>ΒΟΟΕΙΔΗ</v>
      </c>
    </row>
    <row r="1797" spans="1:12" s="3" customFormat="1" ht="24" x14ac:dyDescent="0.25">
      <c r="A1797" s="3" t="str">
        <f t="shared" si="56"/>
        <v>ΒΟΟΕΙΔΗΒΟΟΕΙΔΗ, ΘΗΛΥΚΑ, 1 - 6 ΜΗΝΩΝ, ΚΡΕΟΠΑΡΑΓΩΓΗΣ, ΒΕΛΤΙΩΜΕΝΗ (&gt;550kg)</v>
      </c>
      <c r="B1797" s="17" t="s">
        <v>3183</v>
      </c>
      <c r="C1797" s="14" t="s">
        <v>3340</v>
      </c>
      <c r="D1797" s="6">
        <v>410</v>
      </c>
      <c r="E1797" s="6">
        <v>399</v>
      </c>
      <c r="F1797" s="11" t="s">
        <v>23</v>
      </c>
      <c r="G1797" s="8" t="s">
        <v>3341</v>
      </c>
      <c r="H1797" s="8" t="s">
        <v>16</v>
      </c>
      <c r="I1797" s="9">
        <v>4760</v>
      </c>
      <c r="J1797" s="13">
        <v>2</v>
      </c>
      <c r="K1797" s="13">
        <v>212225</v>
      </c>
      <c r="L1797" s="3" t="str">
        <f t="shared" si="57"/>
        <v>ΒΟΟΕΙΔΗ</v>
      </c>
    </row>
    <row r="1798" spans="1:12" s="3" customFormat="1" ht="24" x14ac:dyDescent="0.25">
      <c r="A1798" s="3" t="str">
        <f t="shared" si="56"/>
        <v>ΒΟΟΕΙΔΗΒΟΟΕΙΔΗ, ΘΗΛΥΚΑ, 1 - 6 ΜΗΝΩΝ, ΚΡΕΟΠΑΡΑΓΩΓΗΣ, ΛΟΙΠΗ (&lt;400kg)</v>
      </c>
      <c r="B1798" s="17" t="s">
        <v>3183</v>
      </c>
      <c r="C1798" s="14" t="s">
        <v>3342</v>
      </c>
      <c r="D1798" s="6">
        <v>410</v>
      </c>
      <c r="E1798" s="6">
        <v>399</v>
      </c>
      <c r="F1798" s="11" t="s">
        <v>23</v>
      </c>
      <c r="G1798" s="8" t="s">
        <v>3343</v>
      </c>
      <c r="H1798" s="8" t="s">
        <v>16</v>
      </c>
      <c r="I1798" s="9">
        <v>4761</v>
      </c>
      <c r="J1798" s="13">
        <v>2</v>
      </c>
      <c r="K1798" s="13">
        <v>212226</v>
      </c>
      <c r="L1798" s="3" t="str">
        <f t="shared" si="57"/>
        <v>ΒΟΟΕΙΔΗ</v>
      </c>
    </row>
    <row r="1799" spans="1:12" s="3" customFormat="1" ht="24" x14ac:dyDescent="0.25">
      <c r="A1799" s="3" t="str">
        <f t="shared" si="56"/>
        <v>ΒΟΟΕΙΔΗΒΟΟΕΙΔΗ, ΘΗΛΥΚΑ, 1 - 6 ΜΗΝΩΝ, ΚΡΕΟΠΑΡΑΓΩΓΗΣ, ΛΟΙΠΗ (400 - 550kg)</v>
      </c>
      <c r="B1799" s="17" t="s">
        <v>3183</v>
      </c>
      <c r="C1799" s="14" t="s">
        <v>3344</v>
      </c>
      <c r="D1799" s="6">
        <v>410</v>
      </c>
      <c r="E1799" s="6">
        <v>399</v>
      </c>
      <c r="F1799" s="11" t="s">
        <v>23</v>
      </c>
      <c r="G1799" s="8" t="s">
        <v>3345</v>
      </c>
      <c r="H1799" s="8" t="s">
        <v>16</v>
      </c>
      <c r="I1799" s="9">
        <v>4762</v>
      </c>
      <c r="J1799" s="13">
        <v>2</v>
      </c>
      <c r="K1799" s="13">
        <v>212227</v>
      </c>
      <c r="L1799" s="3" t="str">
        <f t="shared" si="57"/>
        <v>ΒΟΟΕΙΔΗ</v>
      </c>
    </row>
    <row r="1800" spans="1:12" s="3" customFormat="1" ht="24" x14ac:dyDescent="0.25">
      <c r="A1800" s="3" t="str">
        <f t="shared" si="56"/>
        <v>ΒΟΟΕΙΔΗΒΟΟΕΙΔΗ, ΘΗΛΥΚΑ, 1 - 6 ΜΗΝΩΝ, ΜΙΚΤΗ, ΑΥΤΟΧΘΟΝΗ</v>
      </c>
      <c r="B1800" s="17" t="s">
        <v>3183</v>
      </c>
      <c r="C1800" s="14" t="s">
        <v>3346</v>
      </c>
      <c r="D1800" s="6">
        <v>410</v>
      </c>
      <c r="E1800" s="6">
        <v>399</v>
      </c>
      <c r="F1800" s="11" t="s">
        <v>23</v>
      </c>
      <c r="G1800" s="8" t="s">
        <v>3347</v>
      </c>
      <c r="H1800" s="8" t="s">
        <v>16</v>
      </c>
      <c r="I1800" s="9">
        <v>4763</v>
      </c>
      <c r="J1800" s="13">
        <v>2</v>
      </c>
      <c r="K1800" s="13">
        <v>212232</v>
      </c>
      <c r="L1800" s="3" t="str">
        <f t="shared" si="57"/>
        <v>ΒΟΟΕΙΔΗ</v>
      </c>
    </row>
    <row r="1801" spans="1:12" s="3" customFormat="1" ht="24" x14ac:dyDescent="0.25">
      <c r="A1801" s="3" t="str">
        <f t="shared" si="56"/>
        <v>ΒΟΟΕΙΔΗΒΟΟΕΙΔΗ, ΘΗΛΥΚΑ, 1 - 6 ΜΗΝΩΝ, ΜΙΚΤΗ, ΚΑΘΑΡΟΑΙΜΗ</v>
      </c>
      <c r="B1801" s="17" t="s">
        <v>3183</v>
      </c>
      <c r="C1801" s="14" t="s">
        <v>3348</v>
      </c>
      <c r="D1801" s="6">
        <v>410</v>
      </c>
      <c r="E1801" s="6">
        <v>399</v>
      </c>
      <c r="F1801" s="11" t="s">
        <v>23</v>
      </c>
      <c r="G1801" s="8" t="s">
        <v>3349</v>
      </c>
      <c r="H1801" s="8" t="s">
        <v>16</v>
      </c>
      <c r="I1801" s="9">
        <v>4764</v>
      </c>
      <c r="J1801" s="13">
        <v>2</v>
      </c>
      <c r="K1801" s="13">
        <v>212233</v>
      </c>
      <c r="L1801" s="3" t="str">
        <f t="shared" si="57"/>
        <v>ΒΟΟΕΙΔΗ</v>
      </c>
    </row>
    <row r="1802" spans="1:12" s="3" customFormat="1" ht="24" x14ac:dyDescent="0.25">
      <c r="A1802" s="3" t="str">
        <f t="shared" si="56"/>
        <v>ΒΟΟΕΙΔΗΒΟΟΕΙΔΗ, ΘΗΛΥΚΑ, 1 - 6 ΜΗΝΩΝ, ΜΙΚΤΗ, ΛΟΙΠΗ</v>
      </c>
      <c r="B1802" s="17" t="s">
        <v>3183</v>
      </c>
      <c r="C1802" s="14" t="s">
        <v>3350</v>
      </c>
      <c r="D1802" s="6">
        <v>410</v>
      </c>
      <c r="E1802" s="6">
        <v>399</v>
      </c>
      <c r="F1802" s="11" t="s">
        <v>23</v>
      </c>
      <c r="G1802" s="8" t="s">
        <v>3351</v>
      </c>
      <c r="H1802" s="8" t="s">
        <v>16</v>
      </c>
      <c r="I1802" s="9">
        <v>4765</v>
      </c>
      <c r="J1802" s="13">
        <v>2</v>
      </c>
      <c r="K1802" s="13">
        <v>212234</v>
      </c>
      <c r="L1802" s="3" t="str">
        <f t="shared" si="57"/>
        <v>ΒΟΟΕΙΔΗ</v>
      </c>
    </row>
    <row r="1803" spans="1:12" s="3" customFormat="1" ht="24" x14ac:dyDescent="0.25">
      <c r="A1803" s="3" t="str">
        <f t="shared" si="56"/>
        <v>ΒΟΟΕΙΔΗΒΟΟΕΙΔΗ, ΘΗΛΥΚΑ, 6 - 24 ΜΗΝΩΝ, ΓΑΛΑΚΤΟΠΑΡΑΓΩΓΉΣ, ΒΕΛΤΙΩΜΕΝΗ</v>
      </c>
      <c r="B1803" s="17" t="s">
        <v>3183</v>
      </c>
      <c r="C1803" s="14" t="s">
        <v>3352</v>
      </c>
      <c r="D1803" s="6">
        <v>630</v>
      </c>
      <c r="E1803" s="6">
        <v>635</v>
      </c>
      <c r="F1803" s="11" t="s">
        <v>23</v>
      </c>
      <c r="G1803" s="8" t="s">
        <v>3353</v>
      </c>
      <c r="H1803" s="8" t="s">
        <v>16</v>
      </c>
      <c r="I1803" s="9">
        <v>4766</v>
      </c>
      <c r="J1803" s="13">
        <v>2</v>
      </c>
      <c r="K1803" s="13">
        <v>212511</v>
      </c>
      <c r="L1803" s="3" t="str">
        <f t="shared" si="57"/>
        <v>ΒΟΟΕΙΔΗ</v>
      </c>
    </row>
    <row r="1804" spans="1:12" s="3" customFormat="1" ht="24" x14ac:dyDescent="0.25">
      <c r="A1804" s="3" t="str">
        <f t="shared" si="56"/>
        <v>ΒΟΟΕΙΔΗΒΟΟΕΙΔΗ, ΘΗΛΥΚΑ, 6 - 24 ΜΗΝΩΝ, ΓΑΛΑΚΤΟΠΑΡΑΓΩΓΉΣ, ΑΥΤΟΧΘΟΝΗ</v>
      </c>
      <c r="B1804" s="17" t="s">
        <v>3183</v>
      </c>
      <c r="C1804" s="14" t="s">
        <v>3354</v>
      </c>
      <c r="D1804" s="6">
        <v>630</v>
      </c>
      <c r="E1804" s="6">
        <v>635</v>
      </c>
      <c r="F1804" s="11" t="s">
        <v>23</v>
      </c>
      <c r="G1804" s="8" t="s">
        <v>3355</v>
      </c>
      <c r="H1804" s="8" t="s">
        <v>16</v>
      </c>
      <c r="I1804" s="9">
        <v>4767</v>
      </c>
      <c r="J1804" s="13">
        <v>2</v>
      </c>
      <c r="K1804" s="13">
        <v>212512</v>
      </c>
      <c r="L1804" s="3" t="str">
        <f t="shared" si="57"/>
        <v>ΒΟΟΕΙΔΗ</v>
      </c>
    </row>
    <row r="1805" spans="1:12" s="3" customFormat="1" ht="24" x14ac:dyDescent="0.25">
      <c r="A1805" s="3" t="str">
        <f t="shared" si="56"/>
        <v>ΒΟΟΕΙΔΗΒΟΟΕΙΔΗ, ΘΗΛΥΚΑ, 6 - 24 ΜΗΝΩΝ, ΓΑΛΑΚΤΟΠΑΡΑΓΩΓΉΣ, ΚΑΘΑΡΟΑΙΜΗ</v>
      </c>
      <c r="B1805" s="17" t="s">
        <v>3183</v>
      </c>
      <c r="C1805" s="14" t="s">
        <v>3356</v>
      </c>
      <c r="D1805" s="6">
        <v>630</v>
      </c>
      <c r="E1805" s="6">
        <v>635</v>
      </c>
      <c r="F1805" s="11" t="s">
        <v>23</v>
      </c>
      <c r="G1805" s="8" t="s">
        <v>3357</v>
      </c>
      <c r="H1805" s="8" t="s">
        <v>16</v>
      </c>
      <c r="I1805" s="9">
        <v>4768</v>
      </c>
      <c r="J1805" s="13">
        <v>2</v>
      </c>
      <c r="K1805" s="13">
        <v>212513</v>
      </c>
      <c r="L1805" s="3" t="str">
        <f t="shared" si="57"/>
        <v>ΒΟΟΕΙΔΗ</v>
      </c>
    </row>
    <row r="1806" spans="1:12" s="3" customFormat="1" ht="24" x14ac:dyDescent="0.25">
      <c r="A1806" s="3" t="str">
        <f t="shared" si="56"/>
        <v>ΒΟΟΕΙΔΗΒΟΟΕΙΔΗ, ΘΗΛΥΚΑ, 6 - 24 ΜΗΝΩΝ, ΓΑΛΑΚΤΟΠΑΡΑΓΩΓΉΣ, ΛΟΙΠΗ</v>
      </c>
      <c r="B1806" s="17" t="s">
        <v>3183</v>
      </c>
      <c r="C1806" s="14" t="s">
        <v>3358</v>
      </c>
      <c r="D1806" s="6">
        <v>630</v>
      </c>
      <c r="E1806" s="6">
        <v>635</v>
      </c>
      <c r="F1806" s="11" t="s">
        <v>23</v>
      </c>
      <c r="G1806" s="8" t="s">
        <v>3359</v>
      </c>
      <c r="H1806" s="8" t="s">
        <v>16</v>
      </c>
      <c r="I1806" s="9">
        <v>4769</v>
      </c>
      <c r="J1806" s="13">
        <v>2</v>
      </c>
      <c r="K1806" s="13">
        <v>212514</v>
      </c>
      <c r="L1806" s="3" t="str">
        <f t="shared" si="57"/>
        <v>ΒΟΟΕΙΔΗ</v>
      </c>
    </row>
    <row r="1807" spans="1:12" s="3" customFormat="1" ht="24" x14ac:dyDescent="0.25">
      <c r="A1807" s="3" t="str">
        <f t="shared" si="56"/>
        <v>ΒΟΟΕΙΔΗΒΟΟΕΙΔΗ, ΘΗΛΥΚΑ, 6 - 24 ΜΗΝΩΝ, ΚΡΕΟΠΑΡΑΓΩΓΗΣ, ΑΥΤΟΧΘΟΝΗ</v>
      </c>
      <c r="B1807" s="17" t="s">
        <v>3183</v>
      </c>
      <c r="C1807" s="14" t="s">
        <v>3360</v>
      </c>
      <c r="D1807" s="6">
        <v>630</v>
      </c>
      <c r="E1807" s="6">
        <v>635</v>
      </c>
      <c r="F1807" s="11" t="s">
        <v>23</v>
      </c>
      <c r="G1807" s="8" t="s">
        <v>3361</v>
      </c>
      <c r="H1807" s="8" t="s">
        <v>16</v>
      </c>
      <c r="I1807" s="9">
        <v>4770</v>
      </c>
      <c r="J1807" s="13">
        <v>2</v>
      </c>
      <c r="K1807" s="13">
        <v>212522</v>
      </c>
      <c r="L1807" s="3" t="str">
        <f t="shared" si="57"/>
        <v>ΒΟΟΕΙΔΗ</v>
      </c>
    </row>
    <row r="1808" spans="1:12" s="3" customFormat="1" ht="24" x14ac:dyDescent="0.25">
      <c r="A1808" s="3" t="str">
        <f t="shared" si="56"/>
        <v>ΒΟΟΕΙΔΗΒΟΟΕΙΔΗ, ΘΗΛΥΚΑ, 6 - 24 ΜΗΝΩΝ, ΚΡΕΟΠΑΡΑΓΩΓΗΣ, ΚΑΘΑΡΟΑΙΜΗ</v>
      </c>
      <c r="B1808" s="17" t="s">
        <v>3183</v>
      </c>
      <c r="C1808" s="14" t="s">
        <v>3362</v>
      </c>
      <c r="D1808" s="6">
        <v>630</v>
      </c>
      <c r="E1808" s="6">
        <v>635</v>
      </c>
      <c r="F1808" s="11" t="s">
        <v>23</v>
      </c>
      <c r="G1808" s="8" t="s">
        <v>3363</v>
      </c>
      <c r="H1808" s="8" t="s">
        <v>16</v>
      </c>
      <c r="I1808" s="9">
        <v>4771</v>
      </c>
      <c r="J1808" s="13">
        <v>2</v>
      </c>
      <c r="K1808" s="13">
        <v>212523</v>
      </c>
      <c r="L1808" s="3" t="str">
        <f t="shared" si="57"/>
        <v>ΒΟΟΕΙΔΗ</v>
      </c>
    </row>
    <row r="1809" spans="1:12" s="3" customFormat="1" ht="24" x14ac:dyDescent="0.25">
      <c r="A1809" s="3" t="str">
        <f t="shared" si="56"/>
        <v>ΒΟΟΕΙΔΗΒΟΟΕΙΔΗ, ΘΗΛΥΚΑ, 6 - 24 ΜΗΝΩΝ, ΚΡΕΟΠΑΡΑΓΩΓΗΣ, ΒΕΛΤΙΩΜΕΝΗ (&gt;550kg)</v>
      </c>
      <c r="B1809" s="17" t="s">
        <v>3183</v>
      </c>
      <c r="C1809" s="14" t="s">
        <v>3364</v>
      </c>
      <c r="D1809" s="6">
        <v>630</v>
      </c>
      <c r="E1809" s="6">
        <v>635</v>
      </c>
      <c r="F1809" s="11" t="s">
        <v>23</v>
      </c>
      <c r="G1809" s="8" t="s">
        <v>3365</v>
      </c>
      <c r="H1809" s="8" t="s">
        <v>16</v>
      </c>
      <c r="I1809" s="9">
        <v>4772</v>
      </c>
      <c r="J1809" s="13">
        <v>2</v>
      </c>
      <c r="K1809" s="13">
        <v>212525</v>
      </c>
      <c r="L1809" s="3" t="str">
        <f t="shared" si="57"/>
        <v>ΒΟΟΕΙΔΗ</v>
      </c>
    </row>
    <row r="1810" spans="1:12" s="3" customFormat="1" ht="24" x14ac:dyDescent="0.25">
      <c r="A1810" s="3" t="str">
        <f t="shared" si="56"/>
        <v>ΒΟΟΕΙΔΗΒΟΟΕΙΔΗ, ΘΗΛΥΚΑ, 6 - 24 ΜΗΝΩΝ, ΚΡΕΟΠΑΡΑΓΩΓΗΣ, ΛΟΙΠΗ (&lt;400kg)</v>
      </c>
      <c r="B1810" s="17" t="s">
        <v>3183</v>
      </c>
      <c r="C1810" s="14" t="s">
        <v>3366</v>
      </c>
      <c r="D1810" s="6">
        <v>630</v>
      </c>
      <c r="E1810" s="6">
        <v>635</v>
      </c>
      <c r="F1810" s="11" t="s">
        <v>23</v>
      </c>
      <c r="G1810" s="8" t="s">
        <v>3367</v>
      </c>
      <c r="H1810" s="8" t="s">
        <v>16</v>
      </c>
      <c r="I1810" s="9">
        <v>4773</v>
      </c>
      <c r="J1810" s="13">
        <v>2</v>
      </c>
      <c r="K1810" s="13">
        <v>212526</v>
      </c>
      <c r="L1810" s="3" t="str">
        <f t="shared" si="57"/>
        <v>ΒΟΟΕΙΔΗ</v>
      </c>
    </row>
    <row r="1811" spans="1:12" s="3" customFormat="1" ht="24" x14ac:dyDescent="0.25">
      <c r="A1811" s="3" t="str">
        <f t="shared" si="56"/>
        <v>ΒΟΟΕΙΔΗΒΟΟΕΙΔΗ, ΘΗΛΥΚΑ, 6 - 24 ΜΗΝΩΝ, ΚΡΕΟΠΑΡΑΓΩΓΗΣ, ΛΟΙΠΗ (400 - 550kg)</v>
      </c>
      <c r="B1811" s="17" t="s">
        <v>3183</v>
      </c>
      <c r="C1811" s="14" t="s">
        <v>3368</v>
      </c>
      <c r="D1811" s="6">
        <v>630</v>
      </c>
      <c r="E1811" s="6">
        <v>635</v>
      </c>
      <c r="F1811" s="11" t="s">
        <v>23</v>
      </c>
      <c r="G1811" s="8" t="s">
        <v>3369</v>
      </c>
      <c r="H1811" s="8" t="s">
        <v>16</v>
      </c>
      <c r="I1811" s="9">
        <v>4774</v>
      </c>
      <c r="J1811" s="13">
        <v>2</v>
      </c>
      <c r="K1811" s="13">
        <v>212527</v>
      </c>
      <c r="L1811" s="3" t="str">
        <f t="shared" si="57"/>
        <v>ΒΟΟΕΙΔΗ</v>
      </c>
    </row>
    <row r="1812" spans="1:12" s="3" customFormat="1" ht="24" x14ac:dyDescent="0.25">
      <c r="A1812" s="3" t="str">
        <f t="shared" si="56"/>
        <v>ΒΟΟΕΙΔΗΒΟΟΕΙΔΗ, ΘΗΛΥΚΑ, 6 - 24 ΜΗΝΩΝ, ΜΙΚΤΗ, ΑΥΤΟΧΘΟΝΗ</v>
      </c>
      <c r="B1812" s="17" t="s">
        <v>3183</v>
      </c>
      <c r="C1812" s="14" t="s">
        <v>3370</v>
      </c>
      <c r="D1812" s="6">
        <v>630</v>
      </c>
      <c r="E1812" s="6">
        <v>635</v>
      </c>
      <c r="F1812" s="11" t="s">
        <v>23</v>
      </c>
      <c r="G1812" s="8" t="s">
        <v>3371</v>
      </c>
      <c r="H1812" s="8" t="s">
        <v>16</v>
      </c>
      <c r="I1812" s="9">
        <v>4775</v>
      </c>
      <c r="J1812" s="13">
        <v>2</v>
      </c>
      <c r="K1812" s="13">
        <v>212532</v>
      </c>
      <c r="L1812" s="3" t="str">
        <f t="shared" si="57"/>
        <v>ΒΟΟΕΙΔΗ</v>
      </c>
    </row>
    <row r="1813" spans="1:12" s="3" customFormat="1" ht="24" x14ac:dyDescent="0.25">
      <c r="A1813" s="3" t="str">
        <f t="shared" si="56"/>
        <v>ΒΟΟΕΙΔΗΒΟΟΕΙΔΗ, ΘΗΛΥΚΑ, 6 - 24 ΜΗΝΩΝ, ΜΙΚΤΗ, ΚΑΘΑΡΟΑΙΜΗ</v>
      </c>
      <c r="B1813" s="17" t="s">
        <v>3183</v>
      </c>
      <c r="C1813" s="14" t="s">
        <v>3372</v>
      </c>
      <c r="D1813" s="6">
        <v>630</v>
      </c>
      <c r="E1813" s="6">
        <v>635</v>
      </c>
      <c r="F1813" s="11" t="s">
        <v>23</v>
      </c>
      <c r="G1813" s="8" t="s">
        <v>3373</v>
      </c>
      <c r="H1813" s="8" t="s">
        <v>16</v>
      </c>
      <c r="I1813" s="9">
        <v>4776</v>
      </c>
      <c r="J1813" s="13">
        <v>2</v>
      </c>
      <c r="K1813" s="13">
        <v>212533</v>
      </c>
      <c r="L1813" s="3" t="str">
        <f t="shared" si="57"/>
        <v>ΒΟΟΕΙΔΗ</v>
      </c>
    </row>
    <row r="1814" spans="1:12" s="3" customFormat="1" ht="24" x14ac:dyDescent="0.25">
      <c r="A1814" s="3" t="str">
        <f t="shared" si="56"/>
        <v>ΒΟΟΕΙΔΗΒΟΟΕΙΔΗ, ΘΗΛΥΚΑ, 6 - 24 ΜΗΝΩΝ, ΜΙΚΤΗ, ΛΟΙΠΗ</v>
      </c>
      <c r="B1814" s="17" t="s">
        <v>3183</v>
      </c>
      <c r="C1814" s="14" t="s">
        <v>3374</v>
      </c>
      <c r="D1814" s="6">
        <v>630</v>
      </c>
      <c r="E1814" s="6">
        <v>635</v>
      </c>
      <c r="F1814" s="11" t="s">
        <v>23</v>
      </c>
      <c r="G1814" s="8" t="s">
        <v>3375</v>
      </c>
      <c r="H1814" s="8" t="s">
        <v>16</v>
      </c>
      <c r="I1814" s="9">
        <v>4777</v>
      </c>
      <c r="J1814" s="13">
        <v>2</v>
      </c>
      <c r="K1814" s="13">
        <v>212534</v>
      </c>
      <c r="L1814" s="3" t="str">
        <f t="shared" si="57"/>
        <v>ΒΟΟΕΙΔΗ</v>
      </c>
    </row>
    <row r="1815" spans="1:12" s="3" customFormat="1" ht="24" x14ac:dyDescent="0.25">
      <c r="A1815" s="3" t="str">
        <f t="shared" si="56"/>
        <v>ΒΟΟΕΙΔΗΒΟΟΕΙΔΗ, ΘΗΛΥΚΑ, 2 - 6 ΕΤΩΝ, ΓΑΛΑΚΤΟΠΑΡΑΓΩΓΉΣ, ΒΕΛΤΙΩΜΕΝΗ</v>
      </c>
      <c r="B1815" s="17" t="s">
        <v>3183</v>
      </c>
      <c r="C1815" s="14" t="s">
        <v>3376</v>
      </c>
      <c r="D1815" s="6">
        <v>1790</v>
      </c>
      <c r="E1815" s="6">
        <v>1586</v>
      </c>
      <c r="F1815" s="11" t="s">
        <v>23</v>
      </c>
      <c r="G1815" s="8" t="s">
        <v>3377</v>
      </c>
      <c r="H1815" s="8" t="s">
        <v>16</v>
      </c>
      <c r="I1815" s="9">
        <v>4778</v>
      </c>
      <c r="J1815" s="13">
        <v>2</v>
      </c>
      <c r="K1815" s="13">
        <v>212611</v>
      </c>
      <c r="L1815" s="3" t="str">
        <f t="shared" si="57"/>
        <v>ΒΟΟΕΙΔΗ</v>
      </c>
    </row>
    <row r="1816" spans="1:12" s="3" customFormat="1" ht="24" x14ac:dyDescent="0.25">
      <c r="A1816" s="3" t="str">
        <f t="shared" si="56"/>
        <v>ΒΟΟΕΙΔΗΒΟΟΕΙΔΗ, ΘΗΛΥΚΑ, 2 - 6 ΕΤΩΝ, ΓΑΛΑΚΤΟΠΑΡΑΓΩΓΉΣ, ΑΥΤΟΧΘΟΝΗ</v>
      </c>
      <c r="B1816" s="17" t="s">
        <v>3183</v>
      </c>
      <c r="C1816" s="14" t="s">
        <v>3378</v>
      </c>
      <c r="D1816" s="6">
        <v>1790</v>
      </c>
      <c r="E1816" s="6">
        <v>1586</v>
      </c>
      <c r="F1816" s="11" t="s">
        <v>23</v>
      </c>
      <c r="G1816" s="8" t="s">
        <v>3379</v>
      </c>
      <c r="H1816" s="8" t="s">
        <v>16</v>
      </c>
      <c r="I1816" s="9">
        <v>4779</v>
      </c>
      <c r="J1816" s="13">
        <v>2</v>
      </c>
      <c r="K1816" s="13">
        <v>212612</v>
      </c>
      <c r="L1816" s="3" t="str">
        <f t="shared" si="57"/>
        <v>ΒΟΟΕΙΔΗ</v>
      </c>
    </row>
    <row r="1817" spans="1:12" s="3" customFormat="1" ht="24" x14ac:dyDescent="0.25">
      <c r="A1817" s="3" t="str">
        <f t="shared" si="56"/>
        <v>ΒΟΟΕΙΔΗΒΟΟΕΙΔΗ, ΘΗΛΥΚΑ, 2 - 6 ΕΤΩΝ, ΓΑΛΑΚΤΟΠΑΡΑΓΩΓΉΣ, ΚΑΘΑΡΟΑΙΜΗ</v>
      </c>
      <c r="B1817" s="17" t="s">
        <v>3183</v>
      </c>
      <c r="C1817" s="14" t="s">
        <v>3380</v>
      </c>
      <c r="D1817" s="6">
        <v>1790</v>
      </c>
      <c r="E1817" s="6">
        <v>1586</v>
      </c>
      <c r="F1817" s="11" t="s">
        <v>23</v>
      </c>
      <c r="G1817" s="8" t="s">
        <v>3381</v>
      </c>
      <c r="H1817" s="8" t="s">
        <v>16</v>
      </c>
      <c r="I1817" s="9">
        <v>4780</v>
      </c>
      <c r="J1817" s="13">
        <v>2</v>
      </c>
      <c r="K1817" s="13">
        <v>212613</v>
      </c>
      <c r="L1817" s="3" t="str">
        <f t="shared" si="57"/>
        <v>ΒΟΟΕΙΔΗ</v>
      </c>
    </row>
    <row r="1818" spans="1:12" s="3" customFormat="1" ht="24" x14ac:dyDescent="0.25">
      <c r="A1818" s="3" t="str">
        <f t="shared" si="56"/>
        <v>ΒΟΟΕΙΔΗΒΟΟΕΙΔΗ, ΘΗΛΥΚΑ, 2 - 6 ΕΤΩΝ, ΓΑΛΑΚΤΟΠΑΡΑΓΩΓΉΣ, ΛΟΙΠΗ</v>
      </c>
      <c r="B1818" s="17" t="s">
        <v>3183</v>
      </c>
      <c r="C1818" s="14" t="s">
        <v>3382</v>
      </c>
      <c r="D1818" s="6">
        <v>1790</v>
      </c>
      <c r="E1818" s="6">
        <v>1586</v>
      </c>
      <c r="F1818" s="11" t="s">
        <v>23</v>
      </c>
      <c r="G1818" s="8" t="s">
        <v>3383</v>
      </c>
      <c r="H1818" s="8" t="s">
        <v>16</v>
      </c>
      <c r="I1818" s="9">
        <v>4781</v>
      </c>
      <c r="J1818" s="13">
        <v>2</v>
      </c>
      <c r="K1818" s="13">
        <v>212614</v>
      </c>
      <c r="L1818" s="3" t="str">
        <f t="shared" si="57"/>
        <v>ΒΟΟΕΙΔΗ</v>
      </c>
    </row>
    <row r="1819" spans="1:12" s="3" customFormat="1" ht="24" x14ac:dyDescent="0.25">
      <c r="A1819" s="3" t="str">
        <f t="shared" si="56"/>
        <v>ΒΟΟΕΙΔΗΒΟΟΕΙΔΗ, ΘΗΛΥΚΑ, 2 - 6 ΕΤΩΝ, ΚΡΕΟΠΑΡΑΓΩΓΗΣ, ΑΥΤΟΧΘΟΝΗ</v>
      </c>
      <c r="B1819" s="17" t="s">
        <v>3183</v>
      </c>
      <c r="C1819" s="14" t="s">
        <v>3384</v>
      </c>
      <c r="D1819" s="6">
        <v>1080</v>
      </c>
      <c r="E1819" s="6">
        <v>1010</v>
      </c>
      <c r="F1819" s="11" t="s">
        <v>23</v>
      </c>
      <c r="G1819" s="8" t="s">
        <v>3385</v>
      </c>
      <c r="H1819" s="8" t="s">
        <v>16</v>
      </c>
      <c r="I1819" s="9">
        <v>4782</v>
      </c>
      <c r="J1819" s="13">
        <v>2</v>
      </c>
      <c r="K1819" s="13">
        <v>212622</v>
      </c>
      <c r="L1819" s="3" t="str">
        <f t="shared" si="57"/>
        <v>ΒΟΟΕΙΔΗ</v>
      </c>
    </row>
    <row r="1820" spans="1:12" s="3" customFormat="1" ht="24" x14ac:dyDescent="0.25">
      <c r="A1820" s="3" t="str">
        <f t="shared" si="56"/>
        <v>ΒΟΟΕΙΔΗΒΟΟΕΙΔΗ, ΘΗΛΥΚΑ, 2 - 6 ΕΤΩΝ, ΚΡΕΟΠΑΡΑΓΩΓΗΣ, ΚΑΘΑΡΟΑΙΜΗ</v>
      </c>
      <c r="B1820" s="17" t="s">
        <v>3183</v>
      </c>
      <c r="C1820" s="14" t="s">
        <v>3386</v>
      </c>
      <c r="D1820" s="6">
        <v>1080</v>
      </c>
      <c r="E1820" s="6">
        <v>1010</v>
      </c>
      <c r="F1820" s="11" t="s">
        <v>23</v>
      </c>
      <c r="G1820" s="8" t="s">
        <v>3387</v>
      </c>
      <c r="H1820" s="8" t="s">
        <v>16</v>
      </c>
      <c r="I1820" s="9">
        <v>4783</v>
      </c>
      <c r="J1820" s="13">
        <v>2</v>
      </c>
      <c r="K1820" s="13">
        <v>212623</v>
      </c>
      <c r="L1820" s="3" t="str">
        <f t="shared" si="57"/>
        <v>ΒΟΟΕΙΔΗ</v>
      </c>
    </row>
    <row r="1821" spans="1:12" s="3" customFormat="1" ht="24" x14ac:dyDescent="0.25">
      <c r="A1821" s="3" t="str">
        <f t="shared" si="56"/>
        <v>ΒΟΟΕΙΔΗΒΟΟΕΙΔΗ, ΘΗΛΥΚΑ, 2 - 6 ΕΤΩΝ, ΚΡΕΟΠΑΡΑΓΩΓΗΣ, ΒΕΛΤΙΩΜΕΝΗ (&gt;550kg)</v>
      </c>
      <c r="B1821" s="17" t="s">
        <v>3183</v>
      </c>
      <c r="C1821" s="14" t="s">
        <v>3388</v>
      </c>
      <c r="D1821" s="6">
        <v>1080</v>
      </c>
      <c r="E1821" s="6">
        <v>1010</v>
      </c>
      <c r="F1821" s="11" t="s">
        <v>23</v>
      </c>
      <c r="G1821" s="8" t="s">
        <v>3389</v>
      </c>
      <c r="H1821" s="8" t="s">
        <v>16</v>
      </c>
      <c r="I1821" s="9">
        <v>4784</v>
      </c>
      <c r="J1821" s="13">
        <v>2</v>
      </c>
      <c r="K1821" s="13">
        <v>212625</v>
      </c>
      <c r="L1821" s="3" t="str">
        <f t="shared" si="57"/>
        <v>ΒΟΟΕΙΔΗ</v>
      </c>
    </row>
    <row r="1822" spans="1:12" s="3" customFormat="1" ht="24" x14ac:dyDescent="0.25">
      <c r="A1822" s="3" t="str">
        <f t="shared" si="56"/>
        <v>ΒΟΟΕΙΔΗΒΟΟΕΙΔΗ, ΘΗΛΥΚΑ, 2 - 6 ΕΤΩΝ, ΚΡΕΟΠΑΡΑΓΩΓΗΣ, ΛΟΙΠΗ (&lt;400kg)</v>
      </c>
      <c r="B1822" s="17" t="s">
        <v>3183</v>
      </c>
      <c r="C1822" s="14" t="s">
        <v>3390</v>
      </c>
      <c r="D1822" s="6">
        <v>1080</v>
      </c>
      <c r="E1822" s="6">
        <v>1010</v>
      </c>
      <c r="F1822" s="11" t="s">
        <v>23</v>
      </c>
      <c r="G1822" s="8" t="s">
        <v>3391</v>
      </c>
      <c r="H1822" s="8" t="s">
        <v>16</v>
      </c>
      <c r="I1822" s="9">
        <v>4785</v>
      </c>
      <c r="J1822" s="13">
        <v>2</v>
      </c>
      <c r="K1822" s="13">
        <v>212626</v>
      </c>
      <c r="L1822" s="3" t="str">
        <f t="shared" si="57"/>
        <v>ΒΟΟΕΙΔΗ</v>
      </c>
    </row>
    <row r="1823" spans="1:12" s="3" customFormat="1" ht="24" x14ac:dyDescent="0.25">
      <c r="A1823" s="3" t="str">
        <f t="shared" si="56"/>
        <v>ΒΟΟΕΙΔΗΒΟΟΕΙΔΗ, ΘΗΛΥΚΑ, 2 - 6 ΕΤΩΝ, ΚΡΕΟΠΑΡΑΓΩΓΗΣ, ΛΟΙΠΗ (400 - 550kg)</v>
      </c>
      <c r="B1823" s="17" t="s">
        <v>3183</v>
      </c>
      <c r="C1823" s="14" t="s">
        <v>3392</v>
      </c>
      <c r="D1823" s="6">
        <v>1080</v>
      </c>
      <c r="E1823" s="6">
        <v>1010</v>
      </c>
      <c r="F1823" s="11" t="s">
        <v>23</v>
      </c>
      <c r="G1823" s="8" t="s">
        <v>3393</v>
      </c>
      <c r="H1823" s="8" t="s">
        <v>16</v>
      </c>
      <c r="I1823" s="9">
        <v>4786</v>
      </c>
      <c r="J1823" s="13">
        <v>2</v>
      </c>
      <c r="K1823" s="13">
        <v>212627</v>
      </c>
      <c r="L1823" s="3" t="str">
        <f t="shared" si="57"/>
        <v>ΒΟΟΕΙΔΗ</v>
      </c>
    </row>
    <row r="1824" spans="1:12" s="3" customFormat="1" ht="24" x14ac:dyDescent="0.25">
      <c r="A1824" s="3" t="str">
        <f t="shared" si="56"/>
        <v>ΒΟΟΕΙΔΗΒΟΟΕΙΔΗ, ΘΗΛΥΚΑ, 2 - 6 ΕΤΩΝ, ΜΙΚΤΗ, ΑΥΤΟΧΘΟΝΗ</v>
      </c>
      <c r="B1824" s="17" t="s">
        <v>3183</v>
      </c>
      <c r="C1824" s="14" t="s">
        <v>3394</v>
      </c>
      <c r="D1824" s="6">
        <v>1080</v>
      </c>
      <c r="E1824" s="6">
        <v>1010</v>
      </c>
      <c r="F1824" s="11" t="s">
        <v>23</v>
      </c>
      <c r="G1824" s="8" t="s">
        <v>3395</v>
      </c>
      <c r="H1824" s="8" t="s">
        <v>16</v>
      </c>
      <c r="I1824" s="9">
        <v>4787</v>
      </c>
      <c r="J1824" s="13">
        <v>2</v>
      </c>
      <c r="K1824" s="13">
        <v>212632</v>
      </c>
      <c r="L1824" s="3" t="str">
        <f t="shared" si="57"/>
        <v>ΒΟΟΕΙΔΗ</v>
      </c>
    </row>
    <row r="1825" spans="1:12" s="3" customFormat="1" ht="24" x14ac:dyDescent="0.25">
      <c r="A1825" s="3" t="str">
        <f t="shared" si="56"/>
        <v>ΒΟΟΕΙΔΗΒΟΟΕΙΔΗ, ΘΗΛΥΚΑ, 2 - 6 ΕΤΩΝ, ΜΙΚΤΗ, ΚΑΘΑΡΟΑΙΜΗ</v>
      </c>
      <c r="B1825" s="17" t="s">
        <v>3183</v>
      </c>
      <c r="C1825" s="14" t="s">
        <v>3396</v>
      </c>
      <c r="D1825" s="6">
        <v>1080</v>
      </c>
      <c r="E1825" s="6">
        <v>1010</v>
      </c>
      <c r="F1825" s="11" t="s">
        <v>23</v>
      </c>
      <c r="G1825" s="8" t="s">
        <v>3397</v>
      </c>
      <c r="H1825" s="8" t="s">
        <v>16</v>
      </c>
      <c r="I1825" s="9">
        <v>4788</v>
      </c>
      <c r="J1825" s="13">
        <v>2</v>
      </c>
      <c r="K1825" s="13">
        <v>212633</v>
      </c>
      <c r="L1825" s="3" t="str">
        <f t="shared" si="57"/>
        <v>ΒΟΟΕΙΔΗ</v>
      </c>
    </row>
    <row r="1826" spans="1:12" s="3" customFormat="1" ht="24" x14ac:dyDescent="0.25">
      <c r="A1826" s="3" t="str">
        <f t="shared" si="56"/>
        <v>ΒΟΟΕΙΔΗΒΟΟΕΙΔΗ, ΘΗΛΥΚΑ, 2 - 6 ΕΤΩΝ, ΜΙΚΤΗ, ΛΟΙΠΗ</v>
      </c>
      <c r="B1826" s="17" t="s">
        <v>3183</v>
      </c>
      <c r="C1826" s="14" t="s">
        <v>3398</v>
      </c>
      <c r="D1826" s="6">
        <v>1080</v>
      </c>
      <c r="E1826" s="6">
        <v>1010</v>
      </c>
      <c r="F1826" s="11" t="s">
        <v>23</v>
      </c>
      <c r="G1826" s="8" t="s">
        <v>3399</v>
      </c>
      <c r="H1826" s="8" t="s">
        <v>16</v>
      </c>
      <c r="I1826" s="9">
        <v>4789</v>
      </c>
      <c r="J1826" s="13">
        <v>2</v>
      </c>
      <c r="K1826" s="13">
        <v>212634</v>
      </c>
      <c r="L1826" s="3" t="str">
        <f t="shared" si="57"/>
        <v>ΒΟΟΕΙΔΗ</v>
      </c>
    </row>
    <row r="1827" spans="1:12" s="3" customFormat="1" ht="24" x14ac:dyDescent="0.25">
      <c r="A1827" s="3" t="str">
        <f t="shared" si="56"/>
        <v>ΒΟΟΕΙΔΗΒΟΟΕΙΔΗ, ΘΗΛΥΚΑ, &gt; 6 ΕΤΩΝ, ΓΑΛΑΚΤΟΠΑΡΑΓΩΓΉΣ, ΒΕΛΤΙΩΜΕΝΗ</v>
      </c>
      <c r="B1827" s="17" t="s">
        <v>3183</v>
      </c>
      <c r="C1827" s="14" t="s">
        <v>3400</v>
      </c>
      <c r="D1827" s="6">
        <v>1790</v>
      </c>
      <c r="E1827" s="6">
        <v>1586</v>
      </c>
      <c r="F1827" s="11" t="s">
        <v>23</v>
      </c>
      <c r="G1827" s="8" t="s">
        <v>3401</v>
      </c>
      <c r="H1827" s="8" t="s">
        <v>16</v>
      </c>
      <c r="I1827" s="9">
        <v>4790</v>
      </c>
      <c r="J1827" s="13">
        <v>2</v>
      </c>
      <c r="K1827" s="13">
        <v>212711</v>
      </c>
      <c r="L1827" s="3" t="str">
        <f t="shared" si="57"/>
        <v>ΒΟΟΕΙΔΗ</v>
      </c>
    </row>
    <row r="1828" spans="1:12" s="3" customFormat="1" ht="24" x14ac:dyDescent="0.25">
      <c r="A1828" s="3" t="str">
        <f t="shared" si="56"/>
        <v>ΒΟΟΕΙΔΗΒΟΟΕΙΔΗ, ΘΗΛΥΚΑ, &gt; 6 ΕΤΩΝ, ΓΑΛΑΚΤΟΠΑΡΑΓΩΓΉΣ, ΑΥΤΟΧΘΟΝΗ</v>
      </c>
      <c r="B1828" s="17" t="s">
        <v>3183</v>
      </c>
      <c r="C1828" s="14" t="s">
        <v>3402</v>
      </c>
      <c r="D1828" s="6">
        <v>1790</v>
      </c>
      <c r="E1828" s="6">
        <v>1586</v>
      </c>
      <c r="F1828" s="11" t="s">
        <v>23</v>
      </c>
      <c r="G1828" s="8" t="s">
        <v>3403</v>
      </c>
      <c r="H1828" s="8" t="s">
        <v>16</v>
      </c>
      <c r="I1828" s="9">
        <v>4791</v>
      </c>
      <c r="J1828" s="13">
        <v>2</v>
      </c>
      <c r="K1828" s="13">
        <v>212712</v>
      </c>
      <c r="L1828" s="3" t="str">
        <f t="shared" si="57"/>
        <v>ΒΟΟΕΙΔΗ</v>
      </c>
    </row>
    <row r="1829" spans="1:12" s="3" customFormat="1" ht="24" x14ac:dyDescent="0.25">
      <c r="A1829" s="3" t="str">
        <f t="shared" si="56"/>
        <v>ΒΟΟΕΙΔΗΒΟΟΕΙΔΗ, ΘΗΛΥΚΑ, &gt; 6 ΕΤΩΝ, ΓΑΛΑΚΤΟΠΑΡΑΓΩΓΉΣ, ΚΑΘΑΡΟΑΙΜΗ</v>
      </c>
      <c r="B1829" s="17" t="s">
        <v>3183</v>
      </c>
      <c r="C1829" s="14" t="s">
        <v>3404</v>
      </c>
      <c r="D1829" s="6">
        <v>1790</v>
      </c>
      <c r="E1829" s="6">
        <v>1586</v>
      </c>
      <c r="F1829" s="11" t="s">
        <v>23</v>
      </c>
      <c r="G1829" s="8" t="s">
        <v>3405</v>
      </c>
      <c r="H1829" s="8" t="s">
        <v>16</v>
      </c>
      <c r="I1829" s="9">
        <v>4792</v>
      </c>
      <c r="J1829" s="13">
        <v>2</v>
      </c>
      <c r="K1829" s="13">
        <v>212713</v>
      </c>
      <c r="L1829" s="3" t="str">
        <f t="shared" si="57"/>
        <v>ΒΟΟΕΙΔΗ</v>
      </c>
    </row>
    <row r="1830" spans="1:12" s="3" customFormat="1" ht="24" x14ac:dyDescent="0.25">
      <c r="A1830" s="3" t="str">
        <f t="shared" si="56"/>
        <v>ΒΟΟΕΙΔΗΒΟΟΕΙΔΗ, ΘΗΛΥΚΑ, &gt; 6 ΕΤΩΝ, ΓΑΛΑΚΤΟΠΑΡΑΓΩΓΉΣ, ΛΟΙΠΗ</v>
      </c>
      <c r="B1830" s="17" t="s">
        <v>3183</v>
      </c>
      <c r="C1830" s="14" t="s">
        <v>3406</v>
      </c>
      <c r="D1830" s="6">
        <v>1790</v>
      </c>
      <c r="E1830" s="6">
        <v>1586</v>
      </c>
      <c r="F1830" s="11" t="s">
        <v>23</v>
      </c>
      <c r="G1830" s="8" t="s">
        <v>3407</v>
      </c>
      <c r="H1830" s="8" t="s">
        <v>16</v>
      </c>
      <c r="I1830" s="9">
        <v>4793</v>
      </c>
      <c r="J1830" s="13">
        <v>2</v>
      </c>
      <c r="K1830" s="13">
        <v>212714</v>
      </c>
      <c r="L1830" s="3" t="str">
        <f t="shared" si="57"/>
        <v>ΒΟΟΕΙΔΗ</v>
      </c>
    </row>
    <row r="1831" spans="1:12" s="3" customFormat="1" ht="24" x14ac:dyDescent="0.25">
      <c r="A1831" s="3" t="str">
        <f t="shared" si="56"/>
        <v>ΒΟΟΕΙΔΗΒΟΟΕΙΔΗ, ΘΗΛΥΚΑ, &gt; 6 ΕΤΩΝ, ΚΡΕΟΠΑΡΑΓΩΓΗΣ, ΑΥΤΟΧΘΟΝΗ</v>
      </c>
      <c r="B1831" s="17" t="s">
        <v>3183</v>
      </c>
      <c r="C1831" s="14" t="s">
        <v>3408</v>
      </c>
      <c r="D1831" s="6">
        <v>1080</v>
      </c>
      <c r="E1831" s="6">
        <v>1010</v>
      </c>
      <c r="F1831" s="11" t="s">
        <v>23</v>
      </c>
      <c r="G1831" s="8" t="s">
        <v>3409</v>
      </c>
      <c r="H1831" s="8" t="s">
        <v>16</v>
      </c>
      <c r="I1831" s="9">
        <v>4794</v>
      </c>
      <c r="J1831" s="13">
        <v>2</v>
      </c>
      <c r="K1831" s="13">
        <v>212722</v>
      </c>
      <c r="L1831" s="3" t="str">
        <f t="shared" si="57"/>
        <v>ΒΟΟΕΙΔΗ</v>
      </c>
    </row>
    <row r="1832" spans="1:12" s="3" customFormat="1" ht="24" x14ac:dyDescent="0.25">
      <c r="A1832" s="3" t="str">
        <f t="shared" si="56"/>
        <v>ΒΟΟΕΙΔΗΒΟΟΕΙΔΗ, ΘΗΛΥΚΑ, &gt; 6 ΕΤΩΝ, ΚΡΕΟΠΑΡΑΓΩΓΗΣ, ΚΑΘΑΡΟΑΙΜΗ</v>
      </c>
      <c r="B1832" s="17" t="s">
        <v>3183</v>
      </c>
      <c r="C1832" s="14" t="s">
        <v>3410</v>
      </c>
      <c r="D1832" s="6">
        <v>1080</v>
      </c>
      <c r="E1832" s="6">
        <v>1010</v>
      </c>
      <c r="F1832" s="11" t="s">
        <v>23</v>
      </c>
      <c r="G1832" s="8" t="s">
        <v>3411</v>
      </c>
      <c r="H1832" s="8" t="s">
        <v>16</v>
      </c>
      <c r="I1832" s="9">
        <v>4795</v>
      </c>
      <c r="J1832" s="13">
        <v>2</v>
      </c>
      <c r="K1832" s="13">
        <v>212723</v>
      </c>
      <c r="L1832" s="3" t="str">
        <f t="shared" si="57"/>
        <v>ΒΟΟΕΙΔΗ</v>
      </c>
    </row>
    <row r="1833" spans="1:12" s="3" customFormat="1" ht="24" x14ac:dyDescent="0.25">
      <c r="A1833" s="3" t="str">
        <f t="shared" si="56"/>
        <v>ΒΟΟΕΙΔΗΒΟΟΕΙΔΗ, ΘΗΛΥΚΑ, &gt; 6 ΕΤΩΝ, ΚΡΕΟΠΑΡΑΓΩΓΗΣ, ΒΕΛΤΙΩΜΕΝΗ (&gt;550kg)</v>
      </c>
      <c r="B1833" s="17" t="s">
        <v>3183</v>
      </c>
      <c r="C1833" s="14" t="s">
        <v>3412</v>
      </c>
      <c r="D1833" s="6">
        <v>1080</v>
      </c>
      <c r="E1833" s="6">
        <v>1010</v>
      </c>
      <c r="F1833" s="11" t="s">
        <v>23</v>
      </c>
      <c r="G1833" s="8" t="s">
        <v>3413</v>
      </c>
      <c r="H1833" s="8" t="s">
        <v>16</v>
      </c>
      <c r="I1833" s="9">
        <v>4796</v>
      </c>
      <c r="J1833" s="13">
        <v>2</v>
      </c>
      <c r="K1833" s="13">
        <v>212725</v>
      </c>
      <c r="L1833" s="3" t="str">
        <f t="shared" si="57"/>
        <v>ΒΟΟΕΙΔΗ</v>
      </c>
    </row>
    <row r="1834" spans="1:12" s="3" customFormat="1" ht="24" x14ac:dyDescent="0.25">
      <c r="A1834" s="3" t="str">
        <f t="shared" si="56"/>
        <v>ΒΟΟΕΙΔΗΒΟΟΕΙΔΗ, ΘΗΛΥΚΑ, &gt; 6 ΕΤΩΝ, ΚΡΕΟΠΑΡΑΓΩΓΗΣ, ΛΟΙΠΗ (&lt;400kg)</v>
      </c>
      <c r="B1834" s="17" t="s">
        <v>3183</v>
      </c>
      <c r="C1834" s="14" t="s">
        <v>3414</v>
      </c>
      <c r="D1834" s="6">
        <v>1080</v>
      </c>
      <c r="E1834" s="6">
        <v>1010</v>
      </c>
      <c r="F1834" s="11" t="s">
        <v>23</v>
      </c>
      <c r="G1834" s="8" t="s">
        <v>3415</v>
      </c>
      <c r="H1834" s="8" t="s">
        <v>16</v>
      </c>
      <c r="I1834" s="9">
        <v>4797</v>
      </c>
      <c r="J1834" s="13">
        <v>2</v>
      </c>
      <c r="K1834" s="13">
        <v>212726</v>
      </c>
      <c r="L1834" s="3" t="str">
        <f t="shared" si="57"/>
        <v>ΒΟΟΕΙΔΗ</v>
      </c>
    </row>
    <row r="1835" spans="1:12" s="3" customFormat="1" ht="24" x14ac:dyDescent="0.25">
      <c r="A1835" s="3" t="str">
        <f t="shared" si="56"/>
        <v>ΒΟΟΕΙΔΗΒΟΟΕΙΔΗ, ΘΗΛΥΚΑ, &gt; 6 ΕΤΩΝ, ΚΡΕΟΠΑΡΑΓΩΓΗΣ, ΛΟΙΠΗ (400 - 550kg)</v>
      </c>
      <c r="B1835" s="17" t="s">
        <v>3183</v>
      </c>
      <c r="C1835" s="14" t="s">
        <v>3416</v>
      </c>
      <c r="D1835" s="6">
        <v>1080</v>
      </c>
      <c r="E1835" s="6">
        <v>1010</v>
      </c>
      <c r="F1835" s="11" t="s">
        <v>23</v>
      </c>
      <c r="G1835" s="8" t="s">
        <v>3417</v>
      </c>
      <c r="H1835" s="8" t="s">
        <v>16</v>
      </c>
      <c r="I1835" s="9">
        <v>4798</v>
      </c>
      <c r="J1835" s="13">
        <v>2</v>
      </c>
      <c r="K1835" s="13">
        <v>212727</v>
      </c>
      <c r="L1835" s="3" t="str">
        <f t="shared" si="57"/>
        <v>ΒΟΟΕΙΔΗ</v>
      </c>
    </row>
    <row r="1836" spans="1:12" s="3" customFormat="1" ht="24" x14ac:dyDescent="0.25">
      <c r="A1836" s="3" t="str">
        <f t="shared" si="56"/>
        <v>ΒΟΟΕΙΔΗΒΟΟΕΙΔΗ, ΘΗΛΥΚΑ, &gt; 6 ΕΤΩΝ, ΜΙΚΤΗ, ΑΥΤΟΧΘΟΝΗ</v>
      </c>
      <c r="B1836" s="17" t="s">
        <v>3183</v>
      </c>
      <c r="C1836" s="14" t="s">
        <v>3418</v>
      </c>
      <c r="D1836" s="6">
        <v>1080</v>
      </c>
      <c r="E1836" s="6">
        <v>1010</v>
      </c>
      <c r="F1836" s="11" t="s">
        <v>23</v>
      </c>
      <c r="G1836" s="8" t="s">
        <v>3419</v>
      </c>
      <c r="H1836" s="8" t="s">
        <v>16</v>
      </c>
      <c r="I1836" s="9">
        <v>4799</v>
      </c>
      <c r="J1836" s="13">
        <v>2</v>
      </c>
      <c r="K1836" s="13">
        <v>212732</v>
      </c>
      <c r="L1836" s="3" t="str">
        <f t="shared" si="57"/>
        <v>ΒΟΟΕΙΔΗ</v>
      </c>
    </row>
    <row r="1837" spans="1:12" s="3" customFormat="1" ht="24" x14ac:dyDescent="0.25">
      <c r="A1837" s="3" t="str">
        <f t="shared" si="56"/>
        <v>ΒΟΟΕΙΔΗΒΟΟΕΙΔΗ, ΘΗΛΥΚΑ, &gt; 6 ΕΤΩΝ, ΜΙΚΤΗ, ΚΑΘΑΡΟΑΙΜΗ</v>
      </c>
      <c r="B1837" s="17" t="s">
        <v>3183</v>
      </c>
      <c r="C1837" s="14" t="s">
        <v>3420</v>
      </c>
      <c r="D1837" s="6">
        <v>1080</v>
      </c>
      <c r="E1837" s="6">
        <v>1010</v>
      </c>
      <c r="F1837" s="11" t="s">
        <v>23</v>
      </c>
      <c r="G1837" s="8" t="s">
        <v>3421</v>
      </c>
      <c r="H1837" s="8" t="s">
        <v>16</v>
      </c>
      <c r="I1837" s="9">
        <v>4800</v>
      </c>
      <c r="J1837" s="13">
        <v>2</v>
      </c>
      <c r="K1837" s="13">
        <v>212733</v>
      </c>
      <c r="L1837" s="3" t="str">
        <f t="shared" si="57"/>
        <v>ΒΟΟΕΙΔΗ</v>
      </c>
    </row>
    <row r="1838" spans="1:12" s="3" customFormat="1" ht="24" x14ac:dyDescent="0.25">
      <c r="A1838" s="3" t="str">
        <f t="shared" si="56"/>
        <v>ΒΟΟΕΙΔΗΒΟΟΕΙΔΗ, ΘΗΛΥΚΑ, &gt; 6 ΕΤΩΝ, ΜΙΚΤΗ, ΛΟΙΠΗ</v>
      </c>
      <c r="B1838" s="17" t="s">
        <v>3183</v>
      </c>
      <c r="C1838" s="14" t="s">
        <v>3422</v>
      </c>
      <c r="D1838" s="6">
        <v>1080</v>
      </c>
      <c r="E1838" s="6">
        <v>1010</v>
      </c>
      <c r="F1838" s="11" t="s">
        <v>23</v>
      </c>
      <c r="G1838" s="8" t="s">
        <v>3423</v>
      </c>
      <c r="H1838" s="8" t="s">
        <v>16</v>
      </c>
      <c r="I1838" s="9">
        <v>4801</v>
      </c>
      <c r="J1838" s="13">
        <v>2</v>
      </c>
      <c r="K1838" s="13">
        <v>212734</v>
      </c>
      <c r="L1838" s="3" t="str">
        <f t="shared" si="57"/>
        <v>ΒΟΟΕΙΔΗ</v>
      </c>
    </row>
    <row r="1839" spans="1:12" s="3" customFormat="1" x14ac:dyDescent="0.25">
      <c r="A1839" s="3" t="str">
        <f t="shared" si="56"/>
        <v>ΒΟΣΚΟΤΟΠΟΙΒΟΣΚΟΤΟΠΟΣ</v>
      </c>
      <c r="B1839" s="18" t="s">
        <v>3424</v>
      </c>
      <c r="C1839" s="19" t="s">
        <v>3425</v>
      </c>
      <c r="D1839" s="6">
        <v>0</v>
      </c>
      <c r="E1839" s="6">
        <v>0</v>
      </c>
      <c r="F1839" s="7" t="s">
        <v>14</v>
      </c>
      <c r="G1839" s="8" t="s">
        <v>3426</v>
      </c>
      <c r="H1839" s="8" t="s">
        <v>27</v>
      </c>
      <c r="I1839" s="9">
        <v>4296</v>
      </c>
      <c r="J1839" s="20">
        <v>9</v>
      </c>
      <c r="K1839" s="20">
        <v>10500</v>
      </c>
      <c r="L1839" s="3" t="str">
        <f t="shared" si="57"/>
        <v>ΒΟΣΚΟΤΟΠΟΙ</v>
      </c>
    </row>
    <row r="1840" spans="1:12" s="3" customFormat="1" ht="24" x14ac:dyDescent="0.25">
      <c r="A1840" s="3" t="str">
        <f t="shared" si="56"/>
        <v>ΒΟΣΚΟΤΟΠΟΙΒΟΣΚΟΤΟΠΟΣ ΠΑΡΑΓΩΓΙΚΟΣ</v>
      </c>
      <c r="B1840" s="4" t="s">
        <v>3424</v>
      </c>
      <c r="C1840" s="5" t="s">
        <v>3427</v>
      </c>
      <c r="D1840" s="6">
        <v>0</v>
      </c>
      <c r="E1840" s="6">
        <v>0</v>
      </c>
      <c r="F1840" s="7" t="s">
        <v>14</v>
      </c>
      <c r="G1840" s="8" t="s">
        <v>3428</v>
      </c>
      <c r="H1840" s="8" t="s">
        <v>16</v>
      </c>
      <c r="I1840" s="9">
        <v>4044</v>
      </c>
      <c r="J1840" s="10">
        <v>9</v>
      </c>
      <c r="K1840" s="10">
        <v>90001</v>
      </c>
      <c r="L1840" s="3" t="str">
        <f t="shared" si="57"/>
        <v>ΒΟΣΚΟΤΟΠΟΙ</v>
      </c>
    </row>
    <row r="1841" spans="1:12" s="3" customFormat="1" ht="24" x14ac:dyDescent="0.25">
      <c r="A1841" s="3" t="str">
        <f t="shared" si="56"/>
        <v>ΒΟΣΚΟΤΟΠΟΙΒΟΣΚΟΤΟΠΟΣ ΣΕ ΚΑΛΗ ΚΑΤΑΣΤΑΣΗ</v>
      </c>
      <c r="B1841" s="4" t="s">
        <v>3424</v>
      </c>
      <c r="C1841" s="5" t="s">
        <v>3429</v>
      </c>
      <c r="D1841" s="6">
        <v>0</v>
      </c>
      <c r="E1841" s="6">
        <v>0</v>
      </c>
      <c r="F1841" s="7" t="s">
        <v>14</v>
      </c>
      <c r="G1841" s="8" t="s">
        <v>3430</v>
      </c>
      <c r="H1841" s="8" t="s">
        <v>16</v>
      </c>
      <c r="I1841" s="9">
        <v>4045</v>
      </c>
      <c r="J1841" s="10">
        <v>9</v>
      </c>
      <c r="K1841" s="10">
        <v>90002</v>
      </c>
      <c r="L1841" s="3" t="str">
        <f t="shared" si="57"/>
        <v>ΒΟΣΚΟΤΟΠΟΙ</v>
      </c>
    </row>
    <row r="1842" spans="1:12" s="3" customFormat="1" ht="24" x14ac:dyDescent="0.25">
      <c r="A1842" s="3" t="str">
        <f t="shared" si="56"/>
        <v>ΓΕΩΜΗΛΑΠΑΤΑΤΕΣ ΓΙΑ ΠΑΡΑΓΩΓΗ ΑΜΥΛΟΥ</v>
      </c>
      <c r="B1842" s="4" t="s">
        <v>3431</v>
      </c>
      <c r="C1842" s="5" t="s">
        <v>3432</v>
      </c>
      <c r="D1842" s="6">
        <v>9307.3700000000008</v>
      </c>
      <c r="E1842" s="6">
        <v>11609.49</v>
      </c>
      <c r="F1842" s="7" t="s">
        <v>14</v>
      </c>
      <c r="G1842" s="8" t="s">
        <v>3433</v>
      </c>
      <c r="H1842" s="8" t="s">
        <v>16</v>
      </c>
      <c r="I1842" s="9">
        <v>1576</v>
      </c>
      <c r="J1842" s="10">
        <v>24</v>
      </c>
      <c r="K1842" s="10">
        <v>10100</v>
      </c>
      <c r="L1842" s="3" t="str">
        <f t="shared" si="57"/>
        <v>ΓΕΩΜΗΛΑ</v>
      </c>
    </row>
    <row r="1843" spans="1:12" s="3" customFormat="1" ht="24" x14ac:dyDescent="0.25">
      <c r="A1843" s="3" t="str">
        <f t="shared" si="56"/>
        <v>ΓΕΩΜΗΛΑΒΙΟΜΗΧΑΝΙΚΗ ΠΑΤΑΤΑ</v>
      </c>
      <c r="B1843" s="4" t="s">
        <v>3431</v>
      </c>
      <c r="C1843" s="5" t="s">
        <v>3434</v>
      </c>
      <c r="D1843" s="6">
        <v>9307.3700000000008</v>
      </c>
      <c r="E1843" s="6">
        <v>11609.49</v>
      </c>
      <c r="F1843" s="7" t="s">
        <v>14</v>
      </c>
      <c r="G1843" s="8" t="s">
        <v>3435</v>
      </c>
      <c r="H1843" s="8" t="s">
        <v>16</v>
      </c>
      <c r="I1843" s="9">
        <v>1575</v>
      </c>
      <c r="J1843" s="10">
        <v>24</v>
      </c>
      <c r="K1843" s="10">
        <v>24001</v>
      </c>
      <c r="L1843" s="3" t="str">
        <f t="shared" si="57"/>
        <v>ΓΕΩΜΗΛΑ</v>
      </c>
    </row>
    <row r="1844" spans="1:12" s="3" customFormat="1" ht="24" x14ac:dyDescent="0.25">
      <c r="A1844" s="3" t="str">
        <f t="shared" si="56"/>
        <v>ΓΕΩΜΗΛΑΠΑΤΑΤΑ LADY CLAIRE</v>
      </c>
      <c r="B1844" s="4" t="s">
        <v>3431</v>
      </c>
      <c r="C1844" s="22" t="s">
        <v>3436</v>
      </c>
      <c r="D1844" s="6">
        <v>9307.3700000000008</v>
      </c>
      <c r="E1844" s="6">
        <v>11609.49</v>
      </c>
      <c r="F1844" s="6" t="s">
        <v>14</v>
      </c>
      <c r="G1844" s="8" t="s">
        <v>3437</v>
      </c>
      <c r="H1844" s="8" t="s">
        <v>16</v>
      </c>
      <c r="I1844" s="9">
        <v>5187</v>
      </c>
      <c r="J1844" s="16">
        <v>24</v>
      </c>
      <c r="K1844" s="16">
        <v>24002</v>
      </c>
      <c r="L1844" s="3" t="str">
        <f t="shared" si="57"/>
        <v>ΓΕΩΜΗΛΑ</v>
      </c>
    </row>
    <row r="1845" spans="1:12" s="3" customFormat="1" ht="24" x14ac:dyDescent="0.25">
      <c r="A1845" s="3" t="str">
        <f t="shared" si="56"/>
        <v>ΓΕΩΜΗΛΑΑΝΟΙΞΙΑΤΙΚΗ</v>
      </c>
      <c r="B1845" s="4" t="s">
        <v>3431</v>
      </c>
      <c r="C1845" s="5" t="s">
        <v>3438</v>
      </c>
      <c r="D1845" s="6">
        <v>9307.3700000000008</v>
      </c>
      <c r="E1845" s="6">
        <v>11609.49</v>
      </c>
      <c r="F1845" s="7" t="s">
        <v>14</v>
      </c>
      <c r="G1845" s="8" t="s">
        <v>3439</v>
      </c>
      <c r="H1845" s="8" t="s">
        <v>16</v>
      </c>
      <c r="I1845" s="9">
        <v>1577</v>
      </c>
      <c r="J1845" s="10">
        <v>24</v>
      </c>
      <c r="K1845" s="10">
        <v>6001</v>
      </c>
      <c r="L1845" s="3" t="str">
        <f t="shared" si="57"/>
        <v>ΓΕΩΜΗΛΑ</v>
      </c>
    </row>
    <row r="1846" spans="1:12" s="3" customFormat="1" ht="24" x14ac:dyDescent="0.25">
      <c r="A1846" s="3" t="str">
        <f t="shared" si="56"/>
        <v>ΓΕΩΜΗΛΑΚΑΛΟΚΑΙΡΙΝΗ</v>
      </c>
      <c r="B1846" s="4" t="s">
        <v>3431</v>
      </c>
      <c r="C1846" s="5" t="s">
        <v>3440</v>
      </c>
      <c r="D1846" s="6">
        <v>9307.3700000000008</v>
      </c>
      <c r="E1846" s="6">
        <v>11609.49</v>
      </c>
      <c r="F1846" s="7" t="s">
        <v>14</v>
      </c>
      <c r="G1846" s="8" t="s">
        <v>3441</v>
      </c>
      <c r="H1846" s="8" t="s">
        <v>16</v>
      </c>
      <c r="I1846" s="9">
        <v>1579</v>
      </c>
      <c r="J1846" s="10">
        <v>24</v>
      </c>
      <c r="K1846" s="10">
        <v>6002</v>
      </c>
      <c r="L1846" s="3" t="str">
        <f t="shared" si="57"/>
        <v>ΓΕΩΜΗΛΑ</v>
      </c>
    </row>
    <row r="1847" spans="1:12" s="3" customFormat="1" ht="24" x14ac:dyDescent="0.25">
      <c r="A1847" s="3" t="str">
        <f t="shared" si="56"/>
        <v>ΓΕΩΜΗΛΑΦΘΙΝΟΠΩΡΙΝΗ</v>
      </c>
      <c r="B1847" s="4" t="s">
        <v>3431</v>
      </c>
      <c r="C1847" s="5" t="s">
        <v>3442</v>
      </c>
      <c r="D1847" s="6">
        <v>9307.3700000000008</v>
      </c>
      <c r="E1847" s="6">
        <v>11609.49</v>
      </c>
      <c r="F1847" s="7" t="s">
        <v>14</v>
      </c>
      <c r="G1847" s="8" t="s">
        <v>3443</v>
      </c>
      <c r="H1847" s="8" t="s">
        <v>16</v>
      </c>
      <c r="I1847" s="9">
        <v>1578</v>
      </c>
      <c r="J1847" s="10">
        <v>24</v>
      </c>
      <c r="K1847" s="10">
        <v>6003</v>
      </c>
      <c r="L1847" s="3" t="str">
        <f t="shared" si="57"/>
        <v>ΓΕΩΜΗΛΑ</v>
      </c>
    </row>
    <row r="1848" spans="1:12" s="3" customFormat="1" x14ac:dyDescent="0.25">
      <c r="A1848" s="3" t="str">
        <f t="shared" si="56"/>
        <v>ΓΕΩΜΗΛΑΠΑΤΑΤΕΣ</v>
      </c>
      <c r="B1848" s="4" t="s">
        <v>3431</v>
      </c>
      <c r="C1848" s="19" t="s">
        <v>3444</v>
      </c>
      <c r="D1848" s="6">
        <v>9307.3700000000008</v>
      </c>
      <c r="E1848" s="6">
        <v>11609.49</v>
      </c>
      <c r="F1848" s="6" t="s">
        <v>14</v>
      </c>
      <c r="G1848" s="8" t="s">
        <v>3445</v>
      </c>
      <c r="H1848" s="8" t="s">
        <v>27</v>
      </c>
      <c r="I1848" s="9">
        <v>4611</v>
      </c>
      <c r="J1848" s="20">
        <v>24</v>
      </c>
      <c r="K1848" s="20">
        <v>6006</v>
      </c>
      <c r="L1848" s="3" t="str">
        <f t="shared" si="57"/>
        <v>ΓΕΩΜΗΛΑ</v>
      </c>
    </row>
    <row r="1849" spans="1:12" s="3" customFormat="1" ht="36" x14ac:dyDescent="0.25">
      <c r="A1849" s="3" t="str">
        <f t="shared" si="56"/>
        <v>ΓΗ ΠΟΥ ΔΕΝ ΕΝΤΑΣΣΕΤΑΙ ΣΕ ΚΑΛΛΙΕΡΓΗΤΙΚΗ ΔΡΑΣΤΗΡΙΟΤΗΤΑΦΑΡΜΑΚΕΥΤΙΚΗ ΚΑΝΝΑΒΗ</v>
      </c>
      <c r="B1849" s="18" t="s">
        <v>3446</v>
      </c>
      <c r="C1849" s="19" t="s">
        <v>3447</v>
      </c>
      <c r="D1849" s="6">
        <v>835.84</v>
      </c>
      <c r="E1849" s="6">
        <v>845.67</v>
      </c>
      <c r="F1849" s="7" t="s">
        <v>14</v>
      </c>
      <c r="G1849" s="8" t="s">
        <v>3448</v>
      </c>
      <c r="H1849" s="8" t="s">
        <v>27</v>
      </c>
      <c r="I1849" s="9">
        <v>4639</v>
      </c>
      <c r="J1849" s="20">
        <v>42</v>
      </c>
      <c r="K1849" s="20">
        <v>42001</v>
      </c>
      <c r="L1849" s="3" t="str">
        <f t="shared" si="57"/>
        <v>ΓΗ_ΠΟΥ_ΔΕΝ_ΕΝΤΑΣΣΕΤΑΙ_ΣΕ_ΚΑΛΛΙΕΡΓΗΤΙΚΗ_ΔΡΑΣΤΗΡΙΟΤΗΤΑ</v>
      </c>
    </row>
    <row r="1850" spans="1:12" s="3" customFormat="1" ht="36" x14ac:dyDescent="0.25">
      <c r="A1850" s="3" t="str">
        <f t="shared" si="56"/>
        <v>ΓΗ ΠΟΥ ΔΕΝ ΕΝΤΑΣΣΕΤΑΙ ΣΕ ΚΑΛΛΙΕΡΓΗΤΙΚΗ ΔΡΑΣΤΗΡΙΟΤΗΤΑΑΚΑΛΛΙΕΡΓΗΤΑ</v>
      </c>
      <c r="B1850" s="4" t="s">
        <v>3446</v>
      </c>
      <c r="C1850" s="5" t="s">
        <v>3449</v>
      </c>
      <c r="D1850" s="6">
        <v>0</v>
      </c>
      <c r="E1850" s="6">
        <v>0</v>
      </c>
      <c r="F1850" s="7" t="s">
        <v>14</v>
      </c>
      <c r="G1850" s="8" t="s">
        <v>3450</v>
      </c>
      <c r="H1850" s="8" t="s">
        <v>27</v>
      </c>
      <c r="I1850" s="9">
        <v>2636</v>
      </c>
      <c r="J1850" s="10">
        <v>42</v>
      </c>
      <c r="K1850" s="10">
        <v>8150</v>
      </c>
      <c r="L1850" s="3" t="str">
        <f t="shared" si="57"/>
        <v>ΓΗ_ΠΟΥ_ΔΕΝ_ΕΝΤΑΣΣΕΤΑΙ_ΣΕ_ΚΑΛΛΙΕΡΓΗΤΙΚΗ_ΔΡΑΣΤΗΡΙΟΤΗΤΑ</v>
      </c>
    </row>
    <row r="1851" spans="1:12" s="3" customFormat="1" ht="24" x14ac:dyDescent="0.25">
      <c r="A1851" s="3" t="str">
        <f t="shared" si="56"/>
        <v>ΓΟΥΝΟΦΟΡΑΓΟΥΝΟΦΟΡΑ</v>
      </c>
      <c r="B1851" s="15" t="s">
        <v>3451</v>
      </c>
      <c r="C1851" s="14" t="s">
        <v>3451</v>
      </c>
      <c r="D1851" s="6">
        <v>30</v>
      </c>
      <c r="E1851" s="6">
        <v>30</v>
      </c>
      <c r="F1851" s="11" t="s">
        <v>23</v>
      </c>
      <c r="G1851" s="8" t="s">
        <v>3452</v>
      </c>
      <c r="H1851" s="8" t="s">
        <v>16</v>
      </c>
      <c r="I1851" s="9">
        <v>4837</v>
      </c>
      <c r="J1851" s="16">
        <v>12</v>
      </c>
      <c r="K1851" s="16">
        <v>1210000</v>
      </c>
      <c r="L1851" s="3" t="str">
        <f t="shared" si="57"/>
        <v>ΓΟΥΝΟΦΟΡΑ</v>
      </c>
    </row>
    <row r="1852" spans="1:12" s="3" customFormat="1" ht="24" x14ac:dyDescent="0.25">
      <c r="A1852" s="3" t="str">
        <f t="shared" si="56"/>
        <v>ΔΑΣΙΚΑ ΔΕΝΤΡΑΜΟΥΡΙΕΣ - ΕΞΑΙΡΕΣΗ</v>
      </c>
      <c r="B1852" s="4" t="s">
        <v>3453</v>
      </c>
      <c r="C1852" s="5" t="s">
        <v>3454</v>
      </c>
      <c r="D1852" s="6">
        <v>0</v>
      </c>
      <c r="E1852" s="6">
        <v>0</v>
      </c>
      <c r="F1852" s="7" t="s">
        <v>14</v>
      </c>
      <c r="G1852" s="8" t="s">
        <v>3455</v>
      </c>
      <c r="H1852" s="8" t="s">
        <v>16</v>
      </c>
      <c r="I1852" s="9">
        <v>2769</v>
      </c>
      <c r="J1852" s="10">
        <v>49</v>
      </c>
      <c r="K1852" s="10">
        <v>14035</v>
      </c>
      <c r="L1852" s="3" t="str">
        <f t="shared" si="57"/>
        <v>ΔΑΣΙΚΑ_ΔΕΝΤΡΑ</v>
      </c>
    </row>
    <row r="1853" spans="1:12" s="3" customFormat="1" ht="24" x14ac:dyDescent="0.25">
      <c r="A1853" s="3" t="str">
        <f t="shared" si="56"/>
        <v>ΔΑΣΙΚΑ ΔΕΝΤΡΑΠΕΥΚΗ</v>
      </c>
      <c r="B1853" s="4" t="s">
        <v>3453</v>
      </c>
      <c r="C1853" s="5" t="s">
        <v>3456</v>
      </c>
      <c r="D1853" s="6">
        <v>0</v>
      </c>
      <c r="E1853" s="6">
        <v>0</v>
      </c>
      <c r="F1853" s="7" t="s">
        <v>14</v>
      </c>
      <c r="G1853" s="8" t="s">
        <v>3457</v>
      </c>
      <c r="H1853" s="8" t="s">
        <v>16</v>
      </c>
      <c r="I1853" s="9">
        <v>2765</v>
      </c>
      <c r="J1853" s="10">
        <v>49</v>
      </c>
      <c r="K1853" s="10">
        <v>49001</v>
      </c>
      <c r="L1853" s="3" t="str">
        <f t="shared" si="57"/>
        <v>ΔΑΣΙΚΑ_ΔΕΝΤΡΑ</v>
      </c>
    </row>
    <row r="1854" spans="1:12" s="3" customFormat="1" ht="24" x14ac:dyDescent="0.25">
      <c r="A1854" s="3" t="str">
        <f t="shared" si="56"/>
        <v>ΔΑΣΙΚΑ ΔΕΝΤΡΑΑΛΜΥΡΙΚΙΑ</v>
      </c>
      <c r="B1854" s="4" t="s">
        <v>3453</v>
      </c>
      <c r="C1854" s="5" t="s">
        <v>3458</v>
      </c>
      <c r="D1854" s="6">
        <v>0</v>
      </c>
      <c r="E1854" s="6">
        <v>0</v>
      </c>
      <c r="F1854" s="7" t="s">
        <v>14</v>
      </c>
      <c r="G1854" s="8" t="s">
        <v>3459</v>
      </c>
      <c r="H1854" s="8" t="s">
        <v>16</v>
      </c>
      <c r="I1854" s="9">
        <v>2768</v>
      </c>
      <c r="J1854" s="10">
        <v>49</v>
      </c>
      <c r="K1854" s="10">
        <v>49002</v>
      </c>
      <c r="L1854" s="3" t="str">
        <f t="shared" si="57"/>
        <v>ΔΑΣΙΚΑ_ΔΕΝΤΡΑ</v>
      </c>
    </row>
    <row r="1855" spans="1:12" s="3" customFormat="1" ht="24" x14ac:dyDescent="0.25">
      <c r="A1855" s="3" t="str">
        <f t="shared" si="56"/>
        <v>ΔΑΣΙΚΑ ΔΕΝΤΡΑΕΛΑΤΗ</v>
      </c>
      <c r="B1855" s="21" t="s">
        <v>3453</v>
      </c>
      <c r="C1855" s="22" t="s">
        <v>3460</v>
      </c>
      <c r="D1855" s="6">
        <v>0</v>
      </c>
      <c r="E1855" s="6">
        <v>0</v>
      </c>
      <c r="F1855" s="7" t="s">
        <v>14</v>
      </c>
      <c r="G1855" s="8" t="s">
        <v>3461</v>
      </c>
      <c r="H1855" s="8" t="s">
        <v>16</v>
      </c>
      <c r="I1855" s="9">
        <v>5221</v>
      </c>
      <c r="J1855" s="16">
        <v>49</v>
      </c>
      <c r="K1855" s="16">
        <v>49003</v>
      </c>
      <c r="L1855" s="3" t="str">
        <f t="shared" si="57"/>
        <v>ΔΑΣΙΚΑ_ΔΕΝΤΡΑ</v>
      </c>
    </row>
    <row r="1856" spans="1:12" s="3" customFormat="1" ht="24" x14ac:dyDescent="0.25">
      <c r="A1856" s="3" t="str">
        <f t="shared" si="56"/>
        <v>ΔΑΣΙΚΑ ΔΕΝΤΡΑΚΟΥΚΟΥΝΑΡΙΑ</v>
      </c>
      <c r="B1856" s="21" t="s">
        <v>3453</v>
      </c>
      <c r="C1856" s="22" t="s">
        <v>3462</v>
      </c>
      <c r="D1856" s="6">
        <v>0</v>
      </c>
      <c r="E1856" s="6">
        <v>0</v>
      </c>
      <c r="F1856" s="7" t="s">
        <v>14</v>
      </c>
      <c r="G1856" s="8" t="s">
        <v>3463</v>
      </c>
      <c r="H1856" s="8" t="s">
        <v>16</v>
      </c>
      <c r="I1856" s="9">
        <v>5222</v>
      </c>
      <c r="J1856" s="16">
        <v>49</v>
      </c>
      <c r="K1856" s="16">
        <v>49004</v>
      </c>
      <c r="L1856" s="3" t="str">
        <f t="shared" si="57"/>
        <v>ΔΑΣΙΚΑ_ΔΕΝΤΡΑ</v>
      </c>
    </row>
    <row r="1857" spans="1:12" s="3" customFormat="1" ht="24" x14ac:dyDescent="0.25">
      <c r="A1857" s="3" t="str">
        <f t="shared" si="56"/>
        <v>ΔΑΣΙΚΑ ΔΕΝΤΡΑΚΥΠΑΡΙΣΣΟΣ</v>
      </c>
      <c r="B1857" s="21" t="s">
        <v>3453</v>
      </c>
      <c r="C1857" s="22" t="s">
        <v>3464</v>
      </c>
      <c r="D1857" s="6">
        <v>0</v>
      </c>
      <c r="E1857" s="6">
        <v>0</v>
      </c>
      <c r="F1857" s="7" t="s">
        <v>14</v>
      </c>
      <c r="G1857" s="8" t="s">
        <v>3465</v>
      </c>
      <c r="H1857" s="8" t="s">
        <v>16</v>
      </c>
      <c r="I1857" s="9">
        <v>5223</v>
      </c>
      <c r="J1857" s="16">
        <v>49</v>
      </c>
      <c r="K1857" s="16">
        <v>49005</v>
      </c>
      <c r="L1857" s="3" t="str">
        <f t="shared" si="57"/>
        <v>ΔΑΣΙΚΑ_ΔΕΝΤΡΑ</v>
      </c>
    </row>
    <row r="1858" spans="1:12" s="3" customFormat="1" ht="24" x14ac:dyDescent="0.25">
      <c r="A1858" s="3" t="str">
        <f t="shared" si="56"/>
        <v>ΔΑΣΙΚΑ ΔΕΝΤΡΑΚΕΔΡΟΣ</v>
      </c>
      <c r="B1858" s="21" t="s">
        <v>3453</v>
      </c>
      <c r="C1858" s="22" t="s">
        <v>3466</v>
      </c>
      <c r="D1858" s="6">
        <v>0</v>
      </c>
      <c r="E1858" s="6">
        <v>0</v>
      </c>
      <c r="F1858" s="7" t="s">
        <v>14</v>
      </c>
      <c r="G1858" s="8" t="s">
        <v>3467</v>
      </c>
      <c r="H1858" s="8" t="s">
        <v>16</v>
      </c>
      <c r="I1858" s="9">
        <v>5224</v>
      </c>
      <c r="J1858" s="16">
        <v>49</v>
      </c>
      <c r="K1858" s="16">
        <v>49006</v>
      </c>
      <c r="L1858" s="3" t="str">
        <f t="shared" si="57"/>
        <v>ΔΑΣΙΚΑ_ΔΕΝΤΡΑ</v>
      </c>
    </row>
    <row r="1859" spans="1:12" s="3" customFormat="1" ht="24" x14ac:dyDescent="0.25">
      <c r="A1859" s="3" t="str">
        <f t="shared" ref="A1859:A1922" si="58">_xlfn.CONCAT(B1859,C1859)</f>
        <v>ΔΑΣΙΚΑ ΔΕΝΤΡΑΣΦΕΝΔΑΜΟΣ</v>
      </c>
      <c r="B1859" s="21" t="s">
        <v>3453</v>
      </c>
      <c r="C1859" s="22" t="s">
        <v>3468</v>
      </c>
      <c r="D1859" s="6">
        <v>0</v>
      </c>
      <c r="E1859" s="6">
        <v>0</v>
      </c>
      <c r="F1859" s="7" t="s">
        <v>14</v>
      </c>
      <c r="G1859" s="8" t="s">
        <v>3469</v>
      </c>
      <c r="H1859" s="8" t="s">
        <v>16</v>
      </c>
      <c r="I1859" s="9">
        <v>5225</v>
      </c>
      <c r="J1859" s="16">
        <v>49</v>
      </c>
      <c r="K1859" s="16">
        <v>49007</v>
      </c>
      <c r="L1859" s="3" t="str">
        <f t="shared" ref="L1859:L1922" si="59">IFERROR(SUBSTITUTE(SUBSTITUTE(SUBSTITUTE(SUBSTITUTE(SUBSTITUTE(B1859, "-", "_"), " ", "_"), ",", ""), "(", ""), ")", ""), B1859)</f>
        <v>ΔΑΣΙΚΑ_ΔΕΝΤΡΑ</v>
      </c>
    </row>
    <row r="1860" spans="1:12" s="3" customFormat="1" ht="24" x14ac:dyDescent="0.25">
      <c r="A1860" s="3" t="str">
        <f t="shared" si="58"/>
        <v>ΔΑΣΙΚΑ ΔΕΝΤΡΑΟΞΥΑ</v>
      </c>
      <c r="B1860" s="21" t="s">
        <v>3453</v>
      </c>
      <c r="C1860" s="22" t="s">
        <v>3470</v>
      </c>
      <c r="D1860" s="6">
        <v>0</v>
      </c>
      <c r="E1860" s="6">
        <v>0</v>
      </c>
      <c r="F1860" s="7" t="s">
        <v>14</v>
      </c>
      <c r="G1860" s="8" t="s">
        <v>3471</v>
      </c>
      <c r="H1860" s="8" t="s">
        <v>16</v>
      </c>
      <c r="I1860" s="9">
        <v>5226</v>
      </c>
      <c r="J1860" s="16">
        <v>49</v>
      </c>
      <c r="K1860" s="16">
        <v>49008</v>
      </c>
      <c r="L1860" s="3" t="str">
        <f t="shared" si="59"/>
        <v>ΔΑΣΙΚΑ_ΔΕΝΤΡΑ</v>
      </c>
    </row>
    <row r="1861" spans="1:12" s="3" customFormat="1" ht="24" x14ac:dyDescent="0.25">
      <c r="A1861" s="3" t="str">
        <f t="shared" si="58"/>
        <v>ΔΑΣΙΚΑ ΔΕΝΤΡΑΔΡΥΣ</v>
      </c>
      <c r="B1861" s="21" t="s">
        <v>3453</v>
      </c>
      <c r="C1861" s="22" t="s">
        <v>3472</v>
      </c>
      <c r="D1861" s="6">
        <v>0</v>
      </c>
      <c r="E1861" s="6">
        <v>0</v>
      </c>
      <c r="F1861" s="7" t="s">
        <v>14</v>
      </c>
      <c r="G1861" s="8" t="s">
        <v>3473</v>
      </c>
      <c r="H1861" s="8" t="s">
        <v>16</v>
      </c>
      <c r="I1861" s="9">
        <v>5227</v>
      </c>
      <c r="J1861" s="16">
        <v>49</v>
      </c>
      <c r="K1861" s="16">
        <v>49009</v>
      </c>
      <c r="L1861" s="3" t="str">
        <f t="shared" si="59"/>
        <v>ΔΑΣΙΚΑ_ΔΕΝΤΡΑ</v>
      </c>
    </row>
    <row r="1862" spans="1:12" s="3" customFormat="1" x14ac:dyDescent="0.25">
      <c r="A1862" s="3" t="str">
        <f t="shared" si="58"/>
        <v>ΔΑΣΙΚΑ ΔΕΝΤΡΑΔΙΑΦΟΡΑ ΔΑΣΙΚΑ ΔΕΝΤΡΑ</v>
      </c>
      <c r="B1862" s="4" t="s">
        <v>3453</v>
      </c>
      <c r="C1862" s="5" t="s">
        <v>3474</v>
      </c>
      <c r="D1862" s="6">
        <v>0</v>
      </c>
      <c r="E1862" s="6">
        <v>0</v>
      </c>
      <c r="F1862" s="7" t="s">
        <v>14</v>
      </c>
      <c r="G1862" s="8" t="s">
        <v>3475</v>
      </c>
      <c r="H1862" s="8" t="s">
        <v>27</v>
      </c>
      <c r="I1862" s="9">
        <v>2766</v>
      </c>
      <c r="J1862" s="10">
        <v>49</v>
      </c>
      <c r="K1862" s="10">
        <v>9108001</v>
      </c>
      <c r="L1862" s="3" t="str">
        <f t="shared" si="59"/>
        <v>ΔΑΣΙΚΑ_ΔΕΝΤΡΑ</v>
      </c>
    </row>
    <row r="1863" spans="1:12" s="3" customFormat="1" ht="24" x14ac:dyDescent="0.25">
      <c r="A1863" s="3" t="str">
        <f t="shared" si="58"/>
        <v>ΔΑΣΙΚΑ ΔΕΝΤΡΑΛΕΥΚΕΣ</v>
      </c>
      <c r="B1863" s="4" t="s">
        <v>3453</v>
      </c>
      <c r="C1863" s="5" t="s">
        <v>3476</v>
      </c>
      <c r="D1863" s="6">
        <v>0</v>
      </c>
      <c r="E1863" s="6">
        <v>0</v>
      </c>
      <c r="F1863" s="7" t="s">
        <v>14</v>
      </c>
      <c r="G1863" s="8" t="s">
        <v>3477</v>
      </c>
      <c r="H1863" s="8" t="s">
        <v>16</v>
      </c>
      <c r="I1863" s="9">
        <v>2764</v>
      </c>
      <c r="J1863" s="10">
        <v>49</v>
      </c>
      <c r="K1863" s="10">
        <v>9108003</v>
      </c>
      <c r="L1863" s="3" t="str">
        <f t="shared" si="59"/>
        <v>ΔΑΣΙΚΑ_ΔΕΝΤΡΑ</v>
      </c>
    </row>
    <row r="1864" spans="1:12" s="3" customFormat="1" ht="24" x14ac:dyDescent="0.25">
      <c r="A1864" s="3" t="str">
        <f t="shared" si="58"/>
        <v>ΔΑΣΙΚΑ ΔΕΝΤΡΑΑΚΑΚΙΕΣ</v>
      </c>
      <c r="B1864" s="4" t="s">
        <v>3453</v>
      </c>
      <c r="C1864" s="5" t="s">
        <v>3478</v>
      </c>
      <c r="D1864" s="6">
        <v>0</v>
      </c>
      <c r="E1864" s="6">
        <v>0</v>
      </c>
      <c r="F1864" s="7" t="s">
        <v>14</v>
      </c>
      <c r="G1864" s="8" t="s">
        <v>3479</v>
      </c>
      <c r="H1864" s="8" t="s">
        <v>16</v>
      </c>
      <c r="I1864" s="9">
        <v>2767</v>
      </c>
      <c r="J1864" s="10">
        <v>49</v>
      </c>
      <c r="K1864" s="10">
        <v>9108004</v>
      </c>
      <c r="L1864" s="3" t="str">
        <f t="shared" si="59"/>
        <v>ΔΑΣΙΚΑ_ΔΕΝΤΡΑ</v>
      </c>
    </row>
    <row r="1865" spans="1:12" s="3" customFormat="1" x14ac:dyDescent="0.25">
      <c r="A1865" s="3" t="str">
        <f t="shared" si="58"/>
        <v>ΕΚΤΑΣΕΙΣ ΜΕ ΑΠΕΕΚΤΑΣΕΙΣ ΜΕ ΑΠΕ</v>
      </c>
      <c r="B1865" s="4" t="s">
        <v>3480</v>
      </c>
      <c r="C1865" s="5" t="s">
        <v>3480</v>
      </c>
      <c r="D1865" s="6">
        <v>0</v>
      </c>
      <c r="E1865" s="6">
        <v>0</v>
      </c>
      <c r="F1865" s="7" t="s">
        <v>14</v>
      </c>
      <c r="G1865" s="8" t="s">
        <v>3481</v>
      </c>
      <c r="H1865" s="8" t="s">
        <v>27</v>
      </c>
      <c r="I1865" s="9">
        <v>2763</v>
      </c>
      <c r="J1865" s="10">
        <v>48</v>
      </c>
      <c r="K1865" s="10">
        <v>9108000</v>
      </c>
      <c r="L1865" s="3" t="str">
        <f t="shared" si="59"/>
        <v>ΕΚΤΑΣΕΙΣ_ΜΕ_ΑΠΕ</v>
      </c>
    </row>
    <row r="1866" spans="1:12" s="3" customFormat="1" ht="24" x14ac:dyDescent="0.25">
      <c r="A1866" s="3" t="str">
        <f t="shared" si="58"/>
        <v>ΕΛΑΙΟΥΧΟΙ ΣΠΟΡΟΙΗΛΙΑΝΘΟΣ LG59580</v>
      </c>
      <c r="B1866" s="4" t="s">
        <v>3482</v>
      </c>
      <c r="C1866" s="5" t="s">
        <v>3483</v>
      </c>
      <c r="D1866" s="6">
        <v>1006.46</v>
      </c>
      <c r="E1866" s="6">
        <v>1031.58</v>
      </c>
      <c r="F1866" s="7" t="s">
        <v>14</v>
      </c>
      <c r="G1866" s="8" t="s">
        <v>3484</v>
      </c>
      <c r="H1866" s="8" t="s">
        <v>16</v>
      </c>
      <c r="I1866" s="9">
        <v>2566</v>
      </c>
      <c r="J1866" s="10">
        <v>4</v>
      </c>
      <c r="K1866" s="10">
        <v>40001</v>
      </c>
      <c r="L1866" s="3" t="str">
        <f t="shared" si="59"/>
        <v>ΕΛΑΙΟΥΧΟΙ_ΣΠΟΡΟΙ</v>
      </c>
    </row>
    <row r="1867" spans="1:12" s="3" customFormat="1" ht="24" x14ac:dyDescent="0.25">
      <c r="A1867" s="3" t="str">
        <f t="shared" si="58"/>
        <v>ΕΛΑΙΟΥΧΟΙ ΣΠΟΡΟΙΣΟΓΙΑ AMMA</v>
      </c>
      <c r="B1867" s="23" t="s">
        <v>3482</v>
      </c>
      <c r="C1867" s="24" t="s">
        <v>3485</v>
      </c>
      <c r="D1867" s="6">
        <v>1336.72</v>
      </c>
      <c r="E1867" s="6">
        <v>1613.72</v>
      </c>
      <c r="F1867" s="29" t="s">
        <v>14</v>
      </c>
      <c r="G1867" s="8" t="s">
        <v>3486</v>
      </c>
      <c r="H1867" s="8" t="s">
        <v>16</v>
      </c>
      <c r="I1867" s="9">
        <v>5379</v>
      </c>
      <c r="J1867" s="26">
        <v>4</v>
      </c>
      <c r="K1867" s="27">
        <v>40002</v>
      </c>
      <c r="L1867" s="3" t="str">
        <f t="shared" si="59"/>
        <v>ΕΛΑΙΟΥΧΟΙ_ΣΠΟΡΟΙ</v>
      </c>
    </row>
    <row r="1868" spans="1:12" s="3" customFormat="1" ht="24" x14ac:dyDescent="0.25">
      <c r="A1868" s="3" t="str">
        <f t="shared" si="58"/>
        <v>ΕΛΑΙΟΥΧΟΙ ΣΠΟΡΟΙΗΛΙΑΝΘΟΣ ES AROMATIC SU</v>
      </c>
      <c r="B1868" s="23" t="s">
        <v>3482</v>
      </c>
      <c r="C1868" s="24" t="s">
        <v>3487</v>
      </c>
      <c r="D1868" s="6">
        <v>1006.46</v>
      </c>
      <c r="E1868" s="6">
        <v>1031.58</v>
      </c>
      <c r="F1868" s="29" t="s">
        <v>14</v>
      </c>
      <c r="G1868" s="8" t="s">
        <v>3488</v>
      </c>
      <c r="H1868" s="8" t="s">
        <v>16</v>
      </c>
      <c r="I1868" s="9">
        <v>5380</v>
      </c>
      <c r="J1868" s="26">
        <v>4</v>
      </c>
      <c r="K1868" s="27">
        <v>40003</v>
      </c>
      <c r="L1868" s="3" t="str">
        <f t="shared" si="59"/>
        <v>ΕΛΑΙΟΥΧΟΙ_ΣΠΟΡΟΙ</v>
      </c>
    </row>
    <row r="1869" spans="1:12" s="3" customFormat="1" ht="24" x14ac:dyDescent="0.25">
      <c r="A1869" s="3" t="str">
        <f t="shared" si="58"/>
        <v>ΕΛΑΙΟΥΧΟΙ ΣΠΟΡΟΙΗΛΙΑΝΘΟΣ BILOBA CLP</v>
      </c>
      <c r="B1869" s="23" t="s">
        <v>3482</v>
      </c>
      <c r="C1869" s="24" t="s">
        <v>3489</v>
      </c>
      <c r="D1869" s="6">
        <v>1006.46</v>
      </c>
      <c r="E1869" s="6">
        <v>1031.58</v>
      </c>
      <c r="F1869" s="29" t="s">
        <v>14</v>
      </c>
      <c r="G1869" s="8" t="s">
        <v>3490</v>
      </c>
      <c r="H1869" s="8" t="s">
        <v>16</v>
      </c>
      <c r="I1869" s="9">
        <v>5381</v>
      </c>
      <c r="J1869" s="26">
        <v>4</v>
      </c>
      <c r="K1869" s="27">
        <v>40004</v>
      </c>
      <c r="L1869" s="3" t="str">
        <f t="shared" si="59"/>
        <v>ΕΛΑΙΟΥΧΟΙ_ΣΠΟΡΟΙ</v>
      </c>
    </row>
    <row r="1870" spans="1:12" s="3" customFormat="1" x14ac:dyDescent="0.25">
      <c r="A1870" s="3" t="str">
        <f t="shared" si="58"/>
        <v>ΕΛΑΙΟΥΧΟΙ ΣΠΟΡΟΙΧΙΑ / ΤΣΙΑ / ΚΙΑ</v>
      </c>
      <c r="B1870" s="23" t="s">
        <v>3482</v>
      </c>
      <c r="C1870" s="24" t="s">
        <v>3491</v>
      </c>
      <c r="D1870" s="6">
        <v>1006.46</v>
      </c>
      <c r="E1870" s="6">
        <v>1031.58</v>
      </c>
      <c r="F1870" s="7" t="s">
        <v>14</v>
      </c>
      <c r="G1870" s="30" t="s">
        <v>3492</v>
      </c>
      <c r="H1870" s="31" t="s">
        <v>577</v>
      </c>
      <c r="I1870" s="9">
        <v>6240</v>
      </c>
      <c r="J1870" s="30">
        <v>4</v>
      </c>
      <c r="K1870" s="30">
        <v>40005</v>
      </c>
      <c r="L1870" s="3" t="str">
        <f t="shared" si="59"/>
        <v>ΕΛΑΙΟΥΧΟΙ_ΣΠΟΡΟΙ</v>
      </c>
    </row>
    <row r="1871" spans="1:12" s="3" customFormat="1" x14ac:dyDescent="0.25">
      <c r="A1871" s="3" t="str">
        <f t="shared" si="58"/>
        <v>ΕΛΑΙΟΥΧΟΙ ΣΠΟΡΟΙΚΑΜΕΛΙΝΑ</v>
      </c>
      <c r="B1871" s="23" t="s">
        <v>3482</v>
      </c>
      <c r="C1871" s="24" t="s">
        <v>3493</v>
      </c>
      <c r="D1871" s="6">
        <v>1006.46</v>
      </c>
      <c r="E1871" s="6">
        <v>1031.58</v>
      </c>
      <c r="F1871" s="7" t="s">
        <v>14</v>
      </c>
      <c r="G1871" s="30" t="s">
        <v>3494</v>
      </c>
      <c r="H1871" s="31" t="s">
        <v>577</v>
      </c>
      <c r="I1871" s="9">
        <v>5982</v>
      </c>
      <c r="J1871" s="30">
        <v>4</v>
      </c>
      <c r="K1871" s="30">
        <v>40006</v>
      </c>
      <c r="L1871" s="3" t="str">
        <f t="shared" si="59"/>
        <v>ΕΛΑΙΟΥΧΟΙ_ΣΠΟΡΟΙ</v>
      </c>
    </row>
    <row r="1872" spans="1:12" s="3" customFormat="1" x14ac:dyDescent="0.25">
      <c r="A1872" s="3" t="str">
        <f t="shared" si="58"/>
        <v>ΕΛΑΙΟΥΧΟΙ ΣΠΟΡΟΙΛΙΝΑΡΙ</v>
      </c>
      <c r="B1872" s="23" t="s">
        <v>3482</v>
      </c>
      <c r="C1872" s="24" t="s">
        <v>3495</v>
      </c>
      <c r="D1872" s="6">
        <v>1006.46</v>
      </c>
      <c r="E1872" s="6">
        <v>1031.58</v>
      </c>
      <c r="F1872" s="7" t="s">
        <v>14</v>
      </c>
      <c r="G1872" s="30" t="s">
        <v>3496</v>
      </c>
      <c r="H1872" s="31" t="s">
        <v>577</v>
      </c>
      <c r="I1872" s="9">
        <v>6062</v>
      </c>
      <c r="J1872" s="30">
        <v>4</v>
      </c>
      <c r="K1872" s="30">
        <v>40007</v>
      </c>
      <c r="L1872" s="3" t="str">
        <f t="shared" si="59"/>
        <v>ΕΛΑΙΟΥΧΟΙ_ΣΠΟΡΟΙ</v>
      </c>
    </row>
    <row r="1873" spans="1:12" s="3" customFormat="1" x14ac:dyDescent="0.25">
      <c r="A1873" s="3" t="str">
        <f t="shared" si="58"/>
        <v>ΕΛΑΙΟΥΧΟΙ ΣΠΟΡΟΙΗΛΙΑΝΘΟΣ P64HE133 (ΞΗΡΙΚΌΣ)</v>
      </c>
      <c r="B1873" s="23" t="s">
        <v>3482</v>
      </c>
      <c r="C1873" s="24" t="s">
        <v>3497</v>
      </c>
      <c r="D1873" s="6">
        <v>1006.46</v>
      </c>
      <c r="E1873" s="6">
        <v>1031.58</v>
      </c>
      <c r="F1873" s="7" t="s">
        <v>14</v>
      </c>
      <c r="G1873" s="30" t="s">
        <v>3498</v>
      </c>
      <c r="H1873" s="31" t="s">
        <v>577</v>
      </c>
      <c r="I1873" s="9">
        <v>5968</v>
      </c>
      <c r="J1873" s="30">
        <v>4</v>
      </c>
      <c r="K1873" s="30">
        <v>40008</v>
      </c>
      <c r="L1873" s="3" t="str">
        <f t="shared" si="59"/>
        <v>ΕΛΑΙΟΥΧΟΙ_ΣΠΟΡΟΙ</v>
      </c>
    </row>
    <row r="1874" spans="1:12" s="3" customFormat="1" x14ac:dyDescent="0.25">
      <c r="A1874" s="3" t="str">
        <f t="shared" si="58"/>
        <v>ΕΛΑΙΟΥΧΟΙ ΣΠΟΡΟΙΗΛΙΑΝΘΟΣ P64HE133 (ΠΟΤΙΣΤΙΚΌΣ)</v>
      </c>
      <c r="B1874" s="23" t="s">
        <v>3482</v>
      </c>
      <c r="C1874" s="24" t="s">
        <v>3499</v>
      </c>
      <c r="D1874" s="6">
        <v>1006.46</v>
      </c>
      <c r="E1874" s="6">
        <v>1031.58</v>
      </c>
      <c r="F1874" s="7" t="s">
        <v>14</v>
      </c>
      <c r="G1874" s="30" t="s">
        <v>3500</v>
      </c>
      <c r="H1874" s="31" t="s">
        <v>577</v>
      </c>
      <c r="I1874" s="9">
        <v>5969</v>
      </c>
      <c r="J1874" s="30">
        <v>4</v>
      </c>
      <c r="K1874" s="30">
        <v>40009</v>
      </c>
      <c r="L1874" s="3" t="str">
        <f t="shared" si="59"/>
        <v>ΕΛΑΙΟΥΧΟΙ_ΣΠΟΡΟΙ</v>
      </c>
    </row>
    <row r="1875" spans="1:12" s="3" customFormat="1" x14ac:dyDescent="0.25">
      <c r="A1875" s="3" t="str">
        <f t="shared" si="58"/>
        <v>ΕΛΑΙΟΥΧΟΙ ΣΠΟΡΟΙΗΛΙΑΝΘΟΣ SY BACARDI CLP (ΞΗΡΙΚΌΣ)</v>
      </c>
      <c r="B1875" s="23" t="s">
        <v>3482</v>
      </c>
      <c r="C1875" s="24" t="s">
        <v>3501</v>
      </c>
      <c r="D1875" s="6">
        <v>1006.46</v>
      </c>
      <c r="E1875" s="6">
        <v>1031.58</v>
      </c>
      <c r="F1875" s="7" t="s">
        <v>14</v>
      </c>
      <c r="G1875" s="30" t="s">
        <v>3502</v>
      </c>
      <c r="H1875" s="31" t="s">
        <v>577</v>
      </c>
      <c r="I1875" s="9">
        <v>5980</v>
      </c>
      <c r="J1875" s="30">
        <v>4</v>
      </c>
      <c r="K1875" s="30">
        <v>40010</v>
      </c>
      <c r="L1875" s="3" t="str">
        <f t="shared" si="59"/>
        <v>ΕΛΑΙΟΥΧΟΙ_ΣΠΟΡΟΙ</v>
      </c>
    </row>
    <row r="1876" spans="1:12" s="3" customFormat="1" x14ac:dyDescent="0.25">
      <c r="A1876" s="3" t="str">
        <f t="shared" si="58"/>
        <v>ΕΛΑΙΟΥΧΟΙ ΣΠΟΡΟΙΗΛΙΑΝΘΟΣ SY BACARDI CLP (ΠΟΤΙΣΤΙΚΌΣ)</v>
      </c>
      <c r="B1876" s="23" t="s">
        <v>3482</v>
      </c>
      <c r="C1876" s="24" t="s">
        <v>3503</v>
      </c>
      <c r="D1876" s="6">
        <v>1006.46</v>
      </c>
      <c r="E1876" s="6">
        <v>1031.58</v>
      </c>
      <c r="F1876" s="7" t="s">
        <v>14</v>
      </c>
      <c r="G1876" s="30" t="s">
        <v>3504</v>
      </c>
      <c r="H1876" s="31" t="s">
        <v>577</v>
      </c>
      <c r="I1876" s="9">
        <v>5981</v>
      </c>
      <c r="J1876" s="30">
        <v>4</v>
      </c>
      <c r="K1876" s="30">
        <v>40011</v>
      </c>
      <c r="L1876" s="3" t="str">
        <f t="shared" si="59"/>
        <v>ΕΛΑΙΟΥΧΟΙ_ΣΠΟΡΟΙ</v>
      </c>
    </row>
    <row r="1877" spans="1:12" s="3" customFormat="1" x14ac:dyDescent="0.25">
      <c r="A1877" s="3" t="str">
        <f t="shared" si="58"/>
        <v>ΕΛΑΙΟΥΧΟΙ ΣΠΟΡΟΙΗΛΙΑΝΘΟΣ SILLOUET (ΞΗΡΙΚΟΣ)</v>
      </c>
      <c r="B1877" s="23" t="s">
        <v>3482</v>
      </c>
      <c r="C1877" s="24" t="s">
        <v>3505</v>
      </c>
      <c r="D1877" s="6">
        <v>1006.46</v>
      </c>
      <c r="E1877" s="6">
        <v>1031.58</v>
      </c>
      <c r="F1877" s="7" t="s">
        <v>14</v>
      </c>
      <c r="G1877" s="30" t="s">
        <v>3506</v>
      </c>
      <c r="H1877" s="31" t="s">
        <v>577</v>
      </c>
      <c r="I1877" s="9">
        <v>5974</v>
      </c>
      <c r="J1877" s="30">
        <v>4</v>
      </c>
      <c r="K1877" s="30">
        <v>40012</v>
      </c>
      <c r="L1877" s="3" t="str">
        <f t="shared" si="59"/>
        <v>ΕΛΑΙΟΥΧΟΙ_ΣΠΟΡΟΙ</v>
      </c>
    </row>
    <row r="1878" spans="1:12" s="3" customFormat="1" x14ac:dyDescent="0.25">
      <c r="A1878" s="3" t="str">
        <f t="shared" si="58"/>
        <v>ΕΛΑΙΟΥΧΟΙ ΣΠΟΡΟΙΗΛΙΑΝΘΟΣ SILLOUET (ΠΟΤΙΣΤΙΚΟΣ)</v>
      </c>
      <c r="B1878" s="23" t="s">
        <v>3482</v>
      </c>
      <c r="C1878" s="24" t="s">
        <v>3507</v>
      </c>
      <c r="D1878" s="6">
        <v>1006.46</v>
      </c>
      <c r="E1878" s="6">
        <v>1031.58</v>
      </c>
      <c r="F1878" s="7" t="s">
        <v>14</v>
      </c>
      <c r="G1878" s="30" t="s">
        <v>3508</v>
      </c>
      <c r="H1878" s="31" t="s">
        <v>577</v>
      </c>
      <c r="I1878" s="9">
        <v>5975</v>
      </c>
      <c r="J1878" s="30">
        <v>4</v>
      </c>
      <c r="K1878" s="30">
        <v>40013</v>
      </c>
      <c r="L1878" s="3" t="str">
        <f t="shared" si="59"/>
        <v>ΕΛΑΙΟΥΧΟΙ_ΣΠΟΡΟΙ</v>
      </c>
    </row>
    <row r="1879" spans="1:12" s="3" customFormat="1" x14ac:dyDescent="0.25">
      <c r="A1879" s="3" t="str">
        <f t="shared" si="58"/>
        <v>ΕΛΑΙΟΥΧΟΙ ΣΠΟΡΟΙΗΛΙΑΝΘΟΣ SUOMI (ΠΟΤΙΣΤΙΚΟΣ)</v>
      </c>
      <c r="B1879" s="23" t="s">
        <v>3482</v>
      </c>
      <c r="C1879" s="24" t="s">
        <v>3509</v>
      </c>
      <c r="D1879" s="6">
        <v>1006.46</v>
      </c>
      <c r="E1879" s="6">
        <v>1031.58</v>
      </c>
      <c r="F1879" s="7" t="s">
        <v>14</v>
      </c>
      <c r="G1879" s="30" t="s">
        <v>3510</v>
      </c>
      <c r="H1879" s="31" t="s">
        <v>577</v>
      </c>
      <c r="I1879" s="9">
        <v>5978</v>
      </c>
      <c r="J1879" s="30">
        <v>4</v>
      </c>
      <c r="K1879" s="30">
        <v>40014</v>
      </c>
      <c r="L1879" s="3" t="str">
        <f t="shared" si="59"/>
        <v>ΕΛΑΙΟΥΧΟΙ_ΣΠΟΡΟΙ</v>
      </c>
    </row>
    <row r="1880" spans="1:12" s="3" customFormat="1" x14ac:dyDescent="0.25">
      <c r="A1880" s="3" t="str">
        <f t="shared" si="58"/>
        <v>ΕΛΑΙΟΥΧΟΙ ΣΠΟΡΟΙΗΛΙΑΝΘΟΣ SUOMI (ΞΗΡΙΚΟΣ)</v>
      </c>
      <c r="B1880" s="23" t="s">
        <v>3482</v>
      </c>
      <c r="C1880" s="24" t="s">
        <v>3511</v>
      </c>
      <c r="D1880" s="6">
        <v>1006.46</v>
      </c>
      <c r="E1880" s="6">
        <v>1031.58</v>
      </c>
      <c r="F1880" s="7" t="s">
        <v>14</v>
      </c>
      <c r="G1880" s="30" t="s">
        <v>3512</v>
      </c>
      <c r="H1880" s="31" t="s">
        <v>577</v>
      </c>
      <c r="I1880" s="9">
        <v>5976</v>
      </c>
      <c r="J1880" s="30">
        <v>4</v>
      </c>
      <c r="K1880" s="30">
        <v>40015</v>
      </c>
      <c r="L1880" s="3" t="str">
        <f t="shared" si="59"/>
        <v>ΕΛΑΙΟΥΧΟΙ_ΣΠΟΡΟΙ</v>
      </c>
    </row>
    <row r="1881" spans="1:12" s="3" customFormat="1" x14ac:dyDescent="0.25">
      <c r="A1881" s="3" t="str">
        <f t="shared" si="58"/>
        <v>ΕΛΑΙΟΥΧΟΙ ΣΠΟΡΟΙΗΛΙΑΝΘΟΣ P64LΕ99 (ΠΟΤΙΣΤΙΚΟΣ)</v>
      </c>
      <c r="B1881" s="23" t="s">
        <v>3482</v>
      </c>
      <c r="C1881" s="24" t="s">
        <v>3513</v>
      </c>
      <c r="D1881" s="6">
        <v>1006.46</v>
      </c>
      <c r="E1881" s="6">
        <v>1031.58</v>
      </c>
      <c r="F1881" s="7" t="s">
        <v>14</v>
      </c>
      <c r="G1881" s="30" t="s">
        <v>3514</v>
      </c>
      <c r="H1881" s="31" t="s">
        <v>577</v>
      </c>
      <c r="I1881" s="9">
        <v>5972</v>
      </c>
      <c r="J1881" s="30">
        <v>4</v>
      </c>
      <c r="K1881" s="30">
        <v>40016</v>
      </c>
      <c r="L1881" s="3" t="str">
        <f t="shared" si="59"/>
        <v>ΕΛΑΙΟΥΧΟΙ_ΣΠΟΡΟΙ</v>
      </c>
    </row>
    <row r="1882" spans="1:12" s="3" customFormat="1" x14ac:dyDescent="0.25">
      <c r="A1882" s="3" t="str">
        <f t="shared" si="58"/>
        <v>ΕΛΑΙΟΥΧΟΙ ΣΠΟΡΟΙΗΛΙΑΝΘΟΣ P64LΕ99 (ΞΗΡΙΚΟΣ)</v>
      </c>
      <c r="B1882" s="23" t="s">
        <v>3482</v>
      </c>
      <c r="C1882" s="24" t="s">
        <v>3515</v>
      </c>
      <c r="D1882" s="6">
        <v>1006.46</v>
      </c>
      <c r="E1882" s="6">
        <v>1031.58</v>
      </c>
      <c r="F1882" s="7" t="s">
        <v>14</v>
      </c>
      <c r="G1882" s="30" t="s">
        <v>3516</v>
      </c>
      <c r="H1882" s="31" t="s">
        <v>577</v>
      </c>
      <c r="I1882" s="9">
        <v>5970</v>
      </c>
      <c r="J1882" s="30">
        <v>4</v>
      </c>
      <c r="K1882" s="30">
        <v>40017</v>
      </c>
      <c r="L1882" s="3" t="str">
        <f t="shared" si="59"/>
        <v>ΕΛΑΙΟΥΧΟΙ_ΣΠΟΡΟΙ</v>
      </c>
    </row>
    <row r="1883" spans="1:12" s="3" customFormat="1" ht="24" x14ac:dyDescent="0.25">
      <c r="A1883" s="3" t="str">
        <f t="shared" si="58"/>
        <v>ΕΛΑΙΟΥΧΟΙ ΣΠΟΡΟΙΕΛΑΙΟΚΡΑΜΒΗ</v>
      </c>
      <c r="B1883" s="4" t="s">
        <v>3482</v>
      </c>
      <c r="C1883" s="5" t="s">
        <v>3517</v>
      </c>
      <c r="D1883" s="6">
        <v>3602.4</v>
      </c>
      <c r="E1883" s="6">
        <v>2521.4499999999998</v>
      </c>
      <c r="F1883" s="7" t="s">
        <v>14</v>
      </c>
      <c r="G1883" s="8" t="s">
        <v>3518</v>
      </c>
      <c r="H1883" s="8" t="s">
        <v>16</v>
      </c>
      <c r="I1883" s="9">
        <v>2571</v>
      </c>
      <c r="J1883" s="10">
        <v>4</v>
      </c>
      <c r="K1883" s="10">
        <v>6299</v>
      </c>
      <c r="L1883" s="3" t="str">
        <f t="shared" si="59"/>
        <v>ΕΛΑΙΟΥΧΟΙ_ΣΠΟΡΟΙ</v>
      </c>
    </row>
    <row r="1884" spans="1:12" s="3" customFormat="1" ht="24" x14ac:dyDescent="0.25">
      <c r="A1884" s="3" t="str">
        <f t="shared" si="58"/>
        <v>ΕΛΑΙΟΥΧΟΙ ΣΠΟΡΟΙΗΛΙΑΝΘΟΣ QUIRO (ΗΠΑ)</v>
      </c>
      <c r="B1884" s="4" t="s">
        <v>3482</v>
      </c>
      <c r="C1884" s="5" t="s">
        <v>3519</v>
      </c>
      <c r="D1884" s="6">
        <v>1006.46</v>
      </c>
      <c r="E1884" s="6">
        <v>1031.58</v>
      </c>
      <c r="F1884" s="7" t="s">
        <v>14</v>
      </c>
      <c r="G1884" s="8" t="s">
        <v>3520</v>
      </c>
      <c r="H1884" s="8" t="s">
        <v>16</v>
      </c>
      <c r="I1884" s="9">
        <v>2570</v>
      </c>
      <c r="J1884" s="10">
        <v>4</v>
      </c>
      <c r="K1884" s="10">
        <v>6301</v>
      </c>
      <c r="L1884" s="3" t="str">
        <f t="shared" si="59"/>
        <v>ΕΛΑΙΟΥΧΟΙ_ΣΠΟΡΟΙ</v>
      </c>
    </row>
    <row r="1885" spans="1:12" s="3" customFormat="1" ht="24" x14ac:dyDescent="0.25">
      <c r="A1885" s="3" t="str">
        <f t="shared" si="58"/>
        <v>ΕΛΑΙΟΥΧΟΙ ΣΠΟΡΟΙΗΛΙΑΝΘΟΣ TURBO (ROM)</v>
      </c>
      <c r="B1885" s="4" t="s">
        <v>3482</v>
      </c>
      <c r="C1885" s="5" t="s">
        <v>3521</v>
      </c>
      <c r="D1885" s="6">
        <v>1006.46</v>
      </c>
      <c r="E1885" s="6">
        <v>1031.58</v>
      </c>
      <c r="F1885" s="7" t="s">
        <v>14</v>
      </c>
      <c r="G1885" s="8" t="s">
        <v>3522</v>
      </c>
      <c r="H1885" s="8" t="s">
        <v>16</v>
      </c>
      <c r="I1885" s="9">
        <v>2569</v>
      </c>
      <c r="J1885" s="10">
        <v>4</v>
      </c>
      <c r="K1885" s="10">
        <v>6302</v>
      </c>
      <c r="L1885" s="3" t="str">
        <f t="shared" si="59"/>
        <v>ΕΛΑΙΟΥΧΟΙ_ΣΠΟΡΟΙ</v>
      </c>
    </row>
    <row r="1886" spans="1:12" s="3" customFormat="1" ht="24" x14ac:dyDescent="0.25">
      <c r="A1886" s="3" t="str">
        <f t="shared" si="58"/>
        <v>ΕΛΑΙΟΥΧΟΙ ΣΠΟΡΟΙΗΛΙΑΝΘΟΣ PHARAON (ΗΠΑ)</v>
      </c>
      <c r="B1886" s="4" t="s">
        <v>3482</v>
      </c>
      <c r="C1886" s="5" t="s">
        <v>3523</v>
      </c>
      <c r="D1886" s="6">
        <v>1006.46</v>
      </c>
      <c r="E1886" s="6">
        <v>1031.58</v>
      </c>
      <c r="F1886" s="7" t="s">
        <v>14</v>
      </c>
      <c r="G1886" s="8" t="s">
        <v>3524</v>
      </c>
      <c r="H1886" s="8" t="s">
        <v>16</v>
      </c>
      <c r="I1886" s="9">
        <v>2568</v>
      </c>
      <c r="J1886" s="10">
        <v>4</v>
      </c>
      <c r="K1886" s="10">
        <v>6303</v>
      </c>
      <c r="L1886" s="3" t="str">
        <f t="shared" si="59"/>
        <v>ΕΛΑΙΟΥΧΟΙ_ΣΠΟΡΟΙ</v>
      </c>
    </row>
    <row r="1887" spans="1:12" s="3" customFormat="1" ht="24" x14ac:dyDescent="0.25">
      <c r="A1887" s="3" t="str">
        <f t="shared" si="58"/>
        <v>ΕΛΑΙΟΥΧΟΙ ΣΠΟΡΟΙΗΛΙΑΝΘΟΣ SUNSTAR (ΗΠΑ)</v>
      </c>
      <c r="B1887" s="4" t="s">
        <v>3482</v>
      </c>
      <c r="C1887" s="5" t="s">
        <v>3525</v>
      </c>
      <c r="D1887" s="6">
        <v>1006.46</v>
      </c>
      <c r="E1887" s="6">
        <v>1031.58</v>
      </c>
      <c r="F1887" s="7" t="s">
        <v>14</v>
      </c>
      <c r="G1887" s="8" t="s">
        <v>3526</v>
      </c>
      <c r="H1887" s="8" t="s">
        <v>16</v>
      </c>
      <c r="I1887" s="9">
        <v>2567</v>
      </c>
      <c r="J1887" s="10">
        <v>4</v>
      </c>
      <c r="K1887" s="10">
        <v>6304</v>
      </c>
      <c r="L1887" s="3" t="str">
        <f t="shared" si="59"/>
        <v>ΕΛΑΙΟΥΧΟΙ_ΣΠΟΡΟΙ</v>
      </c>
    </row>
    <row r="1888" spans="1:12" s="3" customFormat="1" ht="24" x14ac:dyDescent="0.25">
      <c r="A1888" s="3" t="str">
        <f t="shared" si="58"/>
        <v>ΕΛΑΙΟΥΧΟΙ ΣΠΟΡΟΙΗΛΙΑΝΘΟΣ ΚΑΒΗΣΟΣ (ΕΛΛΑΣ)</v>
      </c>
      <c r="B1888" s="4" t="s">
        <v>3482</v>
      </c>
      <c r="C1888" s="5" t="s">
        <v>3527</v>
      </c>
      <c r="D1888" s="6">
        <v>1006.46</v>
      </c>
      <c r="E1888" s="6">
        <v>1031.58</v>
      </c>
      <c r="F1888" s="7" t="s">
        <v>14</v>
      </c>
      <c r="G1888" s="8" t="s">
        <v>3528</v>
      </c>
      <c r="H1888" s="8" t="s">
        <v>16</v>
      </c>
      <c r="I1888" s="9">
        <v>2561</v>
      </c>
      <c r="J1888" s="10">
        <v>4</v>
      </c>
      <c r="K1888" s="10">
        <v>6305</v>
      </c>
      <c r="L1888" s="3" t="str">
        <f t="shared" si="59"/>
        <v>ΕΛΑΙΟΥΧΟΙ_ΣΠΟΡΟΙ</v>
      </c>
    </row>
    <row r="1889" spans="1:12" s="3" customFormat="1" ht="24" x14ac:dyDescent="0.25">
      <c r="A1889" s="3" t="str">
        <f t="shared" si="58"/>
        <v>ΕΛΑΙΟΥΧΟΙ ΣΠΟΡΟΙΗΛΙΑΝΘΟΣ ΠΑΣΑΤΕΜΠΟΣ</v>
      </c>
      <c r="B1889" s="4" t="s">
        <v>3482</v>
      </c>
      <c r="C1889" s="5" t="s">
        <v>3529</v>
      </c>
      <c r="D1889" s="6">
        <v>1006.46</v>
      </c>
      <c r="E1889" s="6">
        <v>1031.58</v>
      </c>
      <c r="F1889" s="7" t="s">
        <v>14</v>
      </c>
      <c r="G1889" s="8" t="s">
        <v>3530</v>
      </c>
      <c r="H1889" s="8" t="s">
        <v>16</v>
      </c>
      <c r="I1889" s="9">
        <v>2565</v>
      </c>
      <c r="J1889" s="10">
        <v>4</v>
      </c>
      <c r="K1889" s="10">
        <v>6310</v>
      </c>
      <c r="L1889" s="3" t="str">
        <f t="shared" si="59"/>
        <v>ΕΛΑΙΟΥΧΟΙ_ΣΠΟΡΟΙ</v>
      </c>
    </row>
    <row r="1890" spans="1:12" s="3" customFormat="1" ht="24" x14ac:dyDescent="0.25">
      <c r="A1890" s="3" t="str">
        <f t="shared" si="58"/>
        <v>ΕΛΑΙΟΥΧΟΙ ΣΠΟΡΟΙΚΟΛΟΚΥΘΟΣΠΟΡΟΣ</v>
      </c>
      <c r="B1890" s="4" t="s">
        <v>3482</v>
      </c>
      <c r="C1890" s="5" t="s">
        <v>3531</v>
      </c>
      <c r="D1890" s="6">
        <v>3602.4</v>
      </c>
      <c r="E1890" s="6">
        <v>2521.4499999999998</v>
      </c>
      <c r="F1890" s="7" t="s">
        <v>14</v>
      </c>
      <c r="G1890" s="8" t="s">
        <v>3532</v>
      </c>
      <c r="H1890" s="8" t="s">
        <v>16</v>
      </c>
      <c r="I1890" s="9">
        <v>2575</v>
      </c>
      <c r="J1890" s="10">
        <v>4</v>
      </c>
      <c r="K1890" s="10">
        <v>6311</v>
      </c>
      <c r="L1890" s="3" t="str">
        <f t="shared" si="59"/>
        <v>ΕΛΑΙΟΥΧΟΙ_ΣΠΟΡΟΙ</v>
      </c>
    </row>
    <row r="1891" spans="1:12" s="3" customFormat="1" ht="24" x14ac:dyDescent="0.25">
      <c r="A1891" s="3" t="str">
        <f t="shared" si="58"/>
        <v>ΕΛΑΙΟΥΧΟΙ ΣΠΟΡΟΙΗΛΙΑΝΘΟΣ</v>
      </c>
      <c r="B1891" s="4" t="s">
        <v>3482</v>
      </c>
      <c r="C1891" s="5" t="s">
        <v>3533</v>
      </c>
      <c r="D1891" s="6">
        <v>1006.46</v>
      </c>
      <c r="E1891" s="6">
        <v>1031.58</v>
      </c>
      <c r="F1891" s="7" t="s">
        <v>14</v>
      </c>
      <c r="G1891" s="8" t="s">
        <v>3534</v>
      </c>
      <c r="H1891" s="8" t="s">
        <v>16</v>
      </c>
      <c r="I1891" s="9">
        <v>2564</v>
      </c>
      <c r="J1891" s="10">
        <v>4</v>
      </c>
      <c r="K1891" s="10">
        <v>6398</v>
      </c>
      <c r="L1891" s="3" t="str">
        <f t="shared" si="59"/>
        <v>ΕΛΑΙΟΥΧΟΙ_ΣΠΟΡΟΙ</v>
      </c>
    </row>
    <row r="1892" spans="1:12" s="3" customFormat="1" ht="24" x14ac:dyDescent="0.25">
      <c r="A1892" s="3" t="str">
        <f t="shared" si="58"/>
        <v>ΕΛΑΙΟΥΧΟΙ ΣΠΟΡΟΙΣΟΓΙΑ WEBER</v>
      </c>
      <c r="B1892" s="4" t="s">
        <v>3482</v>
      </c>
      <c r="C1892" s="5" t="s">
        <v>3535</v>
      </c>
      <c r="D1892" s="6">
        <v>1336.72</v>
      </c>
      <c r="E1892" s="6">
        <v>1613.72</v>
      </c>
      <c r="F1892" s="7" t="s">
        <v>14</v>
      </c>
      <c r="G1892" s="8" t="s">
        <v>3536</v>
      </c>
      <c r="H1892" s="8" t="s">
        <v>16</v>
      </c>
      <c r="I1892" s="9">
        <v>2563</v>
      </c>
      <c r="J1892" s="10">
        <v>4</v>
      </c>
      <c r="K1892" s="10">
        <v>6401</v>
      </c>
      <c r="L1892" s="3" t="str">
        <f t="shared" si="59"/>
        <v>ΕΛΑΙΟΥΧΟΙ_ΣΠΟΡΟΙ</v>
      </c>
    </row>
    <row r="1893" spans="1:12" s="3" customFormat="1" ht="24" x14ac:dyDescent="0.25">
      <c r="A1893" s="3" t="str">
        <f t="shared" si="58"/>
        <v>ΕΛΑΙΟΥΧΟΙ ΣΠΟΡΟΙΣΟΓΙΑ WILLIAMS</v>
      </c>
      <c r="B1893" s="4" t="s">
        <v>3482</v>
      </c>
      <c r="C1893" s="5" t="s">
        <v>3537</v>
      </c>
      <c r="D1893" s="6">
        <v>1336.72</v>
      </c>
      <c r="E1893" s="6">
        <v>1613.72</v>
      </c>
      <c r="F1893" s="7" t="s">
        <v>14</v>
      </c>
      <c r="G1893" s="8" t="s">
        <v>3538</v>
      </c>
      <c r="H1893" s="8" t="s">
        <v>16</v>
      </c>
      <c r="I1893" s="9">
        <v>2562</v>
      </c>
      <c r="J1893" s="10">
        <v>4</v>
      </c>
      <c r="K1893" s="10">
        <v>6402</v>
      </c>
      <c r="L1893" s="3" t="str">
        <f t="shared" si="59"/>
        <v>ΕΛΑΙΟΥΧΟΙ_ΣΠΟΡΟΙ</v>
      </c>
    </row>
    <row r="1894" spans="1:12" s="3" customFormat="1" ht="24" x14ac:dyDescent="0.25">
      <c r="A1894" s="3" t="str">
        <f t="shared" si="58"/>
        <v>ΕΛΑΙΟΥΧΟΙ ΣΠΟΡΟΙΣΟΥΣΑΜΙ</v>
      </c>
      <c r="B1894" s="4" t="s">
        <v>3482</v>
      </c>
      <c r="C1894" s="5" t="s">
        <v>3539</v>
      </c>
      <c r="D1894" s="6">
        <v>3602.4</v>
      </c>
      <c r="E1894" s="6">
        <v>2521.4499999999998</v>
      </c>
      <c r="F1894" s="7" t="s">
        <v>14</v>
      </c>
      <c r="G1894" s="8" t="s">
        <v>3540</v>
      </c>
      <c r="H1894" s="8" t="s">
        <v>16</v>
      </c>
      <c r="I1894" s="9">
        <v>2572</v>
      </c>
      <c r="J1894" s="10">
        <v>4</v>
      </c>
      <c r="K1894" s="10">
        <v>8703</v>
      </c>
      <c r="L1894" s="3" t="str">
        <f t="shared" si="59"/>
        <v>ΕΛΑΙΟΥΧΟΙ_ΣΠΟΡΟΙ</v>
      </c>
    </row>
    <row r="1895" spans="1:12" s="3" customFormat="1" ht="24" x14ac:dyDescent="0.25">
      <c r="A1895" s="3" t="str">
        <f t="shared" si="58"/>
        <v>ΕΛΑΙΟΥΧΟΙ ΣΠΟΡΟΙΣΟΥΣΑΜΙ ΓΕΩΡΓΙΟΥΠΟΛΗΣ</v>
      </c>
      <c r="B1895" s="4" t="s">
        <v>3482</v>
      </c>
      <c r="C1895" s="5" t="s">
        <v>3541</v>
      </c>
      <c r="D1895" s="6">
        <v>3602.4</v>
      </c>
      <c r="E1895" s="6">
        <v>2521.4499999999998</v>
      </c>
      <c r="F1895" s="7" t="s">
        <v>14</v>
      </c>
      <c r="G1895" s="8" t="s">
        <v>3542</v>
      </c>
      <c r="H1895" s="8" t="s">
        <v>16</v>
      </c>
      <c r="I1895" s="9">
        <v>2573</v>
      </c>
      <c r="J1895" s="10">
        <v>4</v>
      </c>
      <c r="K1895" s="10">
        <v>8746</v>
      </c>
      <c r="L1895" s="3" t="str">
        <f t="shared" si="59"/>
        <v>ΕΛΑΙΟΥΧΟΙ_ΣΠΟΡΟΙ</v>
      </c>
    </row>
    <row r="1896" spans="1:12" s="3" customFormat="1" ht="24" x14ac:dyDescent="0.25">
      <c r="A1896" s="3" t="str">
        <f t="shared" si="58"/>
        <v>ΕΛΑΙΟΥΧΟΙ ΣΠΟΡΟΙΣΟΥΣΑΜΙ ΕΒΡΟΥ</v>
      </c>
      <c r="B1896" s="4" t="s">
        <v>3482</v>
      </c>
      <c r="C1896" s="5" t="s">
        <v>3543</v>
      </c>
      <c r="D1896" s="6">
        <v>3602.4</v>
      </c>
      <c r="E1896" s="6">
        <v>2521.4499999999998</v>
      </c>
      <c r="F1896" s="7" t="s">
        <v>14</v>
      </c>
      <c r="G1896" s="8" t="s">
        <v>3544</v>
      </c>
      <c r="H1896" s="8" t="s">
        <v>16</v>
      </c>
      <c r="I1896" s="9">
        <v>2574</v>
      </c>
      <c r="J1896" s="10">
        <v>4</v>
      </c>
      <c r="K1896" s="10">
        <v>8747</v>
      </c>
      <c r="L1896" s="3" t="str">
        <f t="shared" si="59"/>
        <v>ΕΛΑΙΟΥΧΟΙ_ΣΠΟΡΟΙ</v>
      </c>
    </row>
    <row r="1897" spans="1:12" s="3" customFormat="1" ht="31.5" x14ac:dyDescent="0.25">
      <c r="A1897" s="3" t="str">
        <f t="shared" si="58"/>
        <v>ΕΛΑΙΩΝΕΣΑΜΦΙΣΣΗΣ (ΒΟΛΙΩΤΙΚΗ, ΠΗΛΙΟΥ, ΣΤΥΛΙΔΟΣ, ΑΓΡΙΝΙΟΥ), ΓΙΑ ΠΑΡΑΓΩΓΗ ΕΛΑΙΟΛΑΔΟΥ</v>
      </c>
      <c r="B1897" s="4" t="s">
        <v>3545</v>
      </c>
      <c r="C1897" s="5" t="s">
        <v>3546</v>
      </c>
      <c r="D1897" s="6">
        <v>1821.1</v>
      </c>
      <c r="E1897" s="6">
        <v>1722.44</v>
      </c>
      <c r="F1897" s="7" t="s">
        <v>14</v>
      </c>
      <c r="G1897" s="8" t="s">
        <v>3547</v>
      </c>
      <c r="H1897" s="8" t="s">
        <v>16</v>
      </c>
      <c r="I1897" s="9">
        <v>1091</v>
      </c>
      <c r="J1897" s="10">
        <v>15</v>
      </c>
      <c r="K1897" s="10">
        <v>1000153</v>
      </c>
      <c r="L1897" s="3" t="str">
        <f t="shared" si="59"/>
        <v>ΕΛΑΙΩΝΕΣ</v>
      </c>
    </row>
    <row r="1898" spans="1:12" s="3" customFormat="1" ht="31.5" x14ac:dyDescent="0.25">
      <c r="A1898" s="3" t="str">
        <f t="shared" si="58"/>
        <v>ΕΛΑΙΩΝΕΣΑΜΥΓΔΑΛΟΛΗΑ (ΣΤΡΑΒΟΜΥΤΑ, ΚΟΥΡΟΜΥΤΑ), ΓΙΑ ΠΑΡΑΓΩΓΗ ΕΛΑΙΟΛΑΔΟΥ</v>
      </c>
      <c r="B1898" s="4" t="s">
        <v>3545</v>
      </c>
      <c r="C1898" s="5" t="s">
        <v>3548</v>
      </c>
      <c r="D1898" s="6">
        <v>1821.1</v>
      </c>
      <c r="E1898" s="6">
        <v>1722.44</v>
      </c>
      <c r="F1898" s="7" t="s">
        <v>14</v>
      </c>
      <c r="G1898" s="8" t="s">
        <v>3549</v>
      </c>
      <c r="H1898" s="8" t="s">
        <v>16</v>
      </c>
      <c r="I1898" s="9">
        <v>1090</v>
      </c>
      <c r="J1898" s="10">
        <v>15</v>
      </c>
      <c r="K1898" s="10">
        <v>1000154</v>
      </c>
      <c r="L1898" s="3" t="str">
        <f t="shared" si="59"/>
        <v>ΕΛΑΙΩΝΕΣ</v>
      </c>
    </row>
    <row r="1899" spans="1:12" s="3" customFormat="1" ht="31.5" x14ac:dyDescent="0.25">
      <c r="A1899" s="3" t="str">
        <f t="shared" si="58"/>
        <v>ΕΛΑΙΩΝΕΣΑΔΡΑΜΥΤΤΙΝΗ (ΑΔΡΑΜΥΤΙΚΗ ΛΕΣΒΟΥ, ΑΙΒΑΛΙΩΤΙΚΗ,  ΦΡΑΓΚ), ΓΙΑ ΠΑΡΑΓΩΓΗ ΕΛΑΙΟΛΑΔΟΥ</v>
      </c>
      <c r="B1899" s="4" t="s">
        <v>3545</v>
      </c>
      <c r="C1899" s="5" t="s">
        <v>3550</v>
      </c>
      <c r="D1899" s="6">
        <v>1821.1</v>
      </c>
      <c r="E1899" s="6">
        <v>1722.44</v>
      </c>
      <c r="F1899" s="7" t="s">
        <v>14</v>
      </c>
      <c r="G1899" s="8" t="s">
        <v>3551</v>
      </c>
      <c r="H1899" s="8" t="s">
        <v>16</v>
      </c>
      <c r="I1899" s="9">
        <v>1089</v>
      </c>
      <c r="J1899" s="10">
        <v>15</v>
      </c>
      <c r="K1899" s="10">
        <v>1000155</v>
      </c>
      <c r="L1899" s="3" t="str">
        <f t="shared" si="59"/>
        <v>ΕΛΑΙΩΝΕΣ</v>
      </c>
    </row>
    <row r="1900" spans="1:12" s="3" customFormat="1" ht="31.5" x14ac:dyDescent="0.25">
      <c r="A1900" s="3" t="str">
        <f t="shared" si="58"/>
        <v>ΕΛΑΙΩΝΕΣΑΓΟΥΡΟΜΑΝΑΚΟΛΙΑ (ΑΓΟΥΡΟΜΑΝΑΚΟ, ΑΓΟΥΡΟΜΑΝΑΚΙ), ΓΙΑ ΠΑΡΑΓΩΓΗ ΕΛΑΙΟΛΑΔΟΥ</v>
      </c>
      <c r="B1900" s="4" t="s">
        <v>3545</v>
      </c>
      <c r="C1900" s="5" t="s">
        <v>3552</v>
      </c>
      <c r="D1900" s="6">
        <v>1821.1</v>
      </c>
      <c r="E1900" s="6">
        <v>1722.44</v>
      </c>
      <c r="F1900" s="7" t="s">
        <v>14</v>
      </c>
      <c r="G1900" s="8" t="s">
        <v>3553</v>
      </c>
      <c r="H1900" s="8" t="s">
        <v>16</v>
      </c>
      <c r="I1900" s="9">
        <v>1088</v>
      </c>
      <c r="J1900" s="10">
        <v>15</v>
      </c>
      <c r="K1900" s="10">
        <v>1000156</v>
      </c>
      <c r="L1900" s="3" t="str">
        <f t="shared" si="59"/>
        <v>ΕΛΑΙΩΝΕΣ</v>
      </c>
    </row>
    <row r="1901" spans="1:12" s="3" customFormat="1" ht="31.5" x14ac:dyDescent="0.25">
      <c r="A1901" s="3" t="str">
        <f t="shared" si="58"/>
        <v>ΕΛΑΙΩΝΕΣARBEQUINE (ARBEQUINA, ARBEQUIN), ΓΙΑ ΠΑΡΑΓΩΓΗ ΕΛΑΙΟΛΑΔΟΥ</v>
      </c>
      <c r="B1901" s="4" t="s">
        <v>3545</v>
      </c>
      <c r="C1901" s="5" t="s">
        <v>3554</v>
      </c>
      <c r="D1901" s="6">
        <v>1821.1</v>
      </c>
      <c r="E1901" s="6">
        <v>1722.44</v>
      </c>
      <c r="F1901" s="7" t="s">
        <v>14</v>
      </c>
      <c r="G1901" s="8" t="s">
        <v>3555</v>
      </c>
      <c r="H1901" s="8" t="s">
        <v>16</v>
      </c>
      <c r="I1901" s="9">
        <v>1087</v>
      </c>
      <c r="J1901" s="10">
        <v>15</v>
      </c>
      <c r="K1901" s="10">
        <v>1000157</v>
      </c>
      <c r="L1901" s="3" t="str">
        <f t="shared" si="59"/>
        <v>ΕΛΑΙΩΝΕΣ</v>
      </c>
    </row>
    <row r="1902" spans="1:12" s="3" customFormat="1" ht="24" x14ac:dyDescent="0.25">
      <c r="A1902" s="3" t="str">
        <f t="shared" si="58"/>
        <v>ΕΛΑΙΩΝΕΣΒΑΣΙΛΙΚΑΔΑ (ΒΑΣΙΛΙΚΗ), ΓΙΑ ΠΑΡΑΓΩΓΗ ΕΛΑΙΟΛΑΔΟΥ</v>
      </c>
      <c r="B1902" s="4" t="s">
        <v>3545</v>
      </c>
      <c r="C1902" s="5" t="s">
        <v>3556</v>
      </c>
      <c r="D1902" s="6">
        <v>1821.1</v>
      </c>
      <c r="E1902" s="6">
        <v>1722.44</v>
      </c>
      <c r="F1902" s="7" t="s">
        <v>14</v>
      </c>
      <c r="G1902" s="8" t="s">
        <v>3557</v>
      </c>
      <c r="H1902" s="8" t="s">
        <v>16</v>
      </c>
      <c r="I1902" s="9">
        <v>1086</v>
      </c>
      <c r="J1902" s="10">
        <v>15</v>
      </c>
      <c r="K1902" s="10">
        <v>1000158</v>
      </c>
      <c r="L1902" s="3" t="str">
        <f t="shared" si="59"/>
        <v>ΕΛΑΙΩΝΕΣ</v>
      </c>
    </row>
    <row r="1903" spans="1:12" s="3" customFormat="1" ht="31.5" x14ac:dyDescent="0.25">
      <c r="A1903" s="3" t="str">
        <f t="shared" si="58"/>
        <v>ΕΛΑΙΩΝΕΣΒΑΛΑΝΟΛΙΑ (ΜΥΤΙΛΙΝΙΑ, ΚΟΛΟΒΗ, ΒΑΛΑΝΑ), ΓΙΑ ΠΑΡΑΓΩΓΗ ΕΛΑΙΟΛΑΔΟΥ</v>
      </c>
      <c r="B1903" s="4" t="s">
        <v>3545</v>
      </c>
      <c r="C1903" s="5" t="s">
        <v>3558</v>
      </c>
      <c r="D1903" s="6">
        <v>1821.1</v>
      </c>
      <c r="E1903" s="6">
        <v>1722.44</v>
      </c>
      <c r="F1903" s="7" t="s">
        <v>14</v>
      </c>
      <c r="G1903" s="8" t="s">
        <v>3559</v>
      </c>
      <c r="H1903" s="8" t="s">
        <v>16</v>
      </c>
      <c r="I1903" s="9">
        <v>1085</v>
      </c>
      <c r="J1903" s="10">
        <v>15</v>
      </c>
      <c r="K1903" s="10">
        <v>1000159</v>
      </c>
      <c r="L1903" s="3" t="str">
        <f t="shared" si="59"/>
        <v>ΕΛΑΙΩΝΕΣ</v>
      </c>
    </row>
    <row r="1904" spans="1:12" s="3" customFormat="1" ht="31.5" x14ac:dyDescent="0.25">
      <c r="A1904" s="3" t="str">
        <f t="shared" si="58"/>
        <v>ΕΛΑΙΩΝΕΣΓΑΙΔΟΥΡΕΛΙΑ (ΔΑΜΑΣΚΗΝΑΤΗ, ΑΔΡΟΚΑΡΠΗ), ΓΙΑ ΠΑΡΑΓΩΓΗ ΕΛΑΙΟΛΑΔΟΥ</v>
      </c>
      <c r="B1904" s="4" t="s">
        <v>3545</v>
      </c>
      <c r="C1904" s="5" t="s">
        <v>3560</v>
      </c>
      <c r="D1904" s="6">
        <v>1821.1</v>
      </c>
      <c r="E1904" s="6">
        <v>1722.44</v>
      </c>
      <c r="F1904" s="7" t="s">
        <v>14</v>
      </c>
      <c r="G1904" s="8" t="s">
        <v>3561</v>
      </c>
      <c r="H1904" s="8" t="s">
        <v>16</v>
      </c>
      <c r="I1904" s="9">
        <v>1082</v>
      </c>
      <c r="J1904" s="10">
        <v>15</v>
      </c>
      <c r="K1904" s="10">
        <v>1000160</v>
      </c>
      <c r="L1904" s="3" t="str">
        <f t="shared" si="59"/>
        <v>ΕΛΑΙΩΝΕΣ</v>
      </c>
    </row>
    <row r="1905" spans="1:12" s="3" customFormat="1" ht="31.5" x14ac:dyDescent="0.25">
      <c r="A1905" s="3" t="str">
        <f t="shared" si="58"/>
        <v>ΕΛΑΙΩΝΕΣΔΑΜΑΣΚΗΝΑΤΗ ΛΕΣΒΟΥ, ΓΙΑ ΠΑΡΑΓΩΓΗ ΕΛΑΙΟΛΑΔΟΥ</v>
      </c>
      <c r="B1905" s="4" t="s">
        <v>3545</v>
      </c>
      <c r="C1905" s="5" t="s">
        <v>3562</v>
      </c>
      <c r="D1905" s="6">
        <v>1821.1</v>
      </c>
      <c r="E1905" s="6">
        <v>1722.44</v>
      </c>
      <c r="F1905" s="7" t="s">
        <v>14</v>
      </c>
      <c r="G1905" s="8" t="s">
        <v>3563</v>
      </c>
      <c r="H1905" s="8" t="s">
        <v>16</v>
      </c>
      <c r="I1905" s="9">
        <v>1217</v>
      </c>
      <c r="J1905" s="10">
        <v>15</v>
      </c>
      <c r="K1905" s="10">
        <v>1000161</v>
      </c>
      <c r="L1905" s="3" t="str">
        <f t="shared" si="59"/>
        <v>ΕΛΑΙΩΝΕΣ</v>
      </c>
    </row>
    <row r="1906" spans="1:12" s="3" customFormat="1" ht="31.5" x14ac:dyDescent="0.25">
      <c r="A1906" s="3" t="str">
        <f t="shared" si="58"/>
        <v>ΕΛΑΙΩΝΕΣΔΑΦΝΕΛΙA (ΔΑΦΝΟΚΑΡΠΗ), ΓΙΑ ΠΑΡΑΓΩΓΗ ΕΛΑΙΟΛΑΔΟΥ</v>
      </c>
      <c r="B1906" s="4" t="s">
        <v>3545</v>
      </c>
      <c r="C1906" s="5" t="s">
        <v>3564</v>
      </c>
      <c r="D1906" s="6">
        <v>1821.1</v>
      </c>
      <c r="E1906" s="6">
        <v>1722.44</v>
      </c>
      <c r="F1906" s="7" t="s">
        <v>14</v>
      </c>
      <c r="G1906" s="8" t="s">
        <v>3565</v>
      </c>
      <c r="H1906" s="8" t="s">
        <v>16</v>
      </c>
      <c r="I1906" s="9">
        <v>1250</v>
      </c>
      <c r="J1906" s="10">
        <v>15</v>
      </c>
      <c r="K1906" s="10">
        <v>1000162</v>
      </c>
      <c r="L1906" s="3" t="str">
        <f t="shared" si="59"/>
        <v>ΕΛΑΙΩΝΕΣ</v>
      </c>
    </row>
    <row r="1907" spans="1:12" s="3" customFormat="1" ht="24" x14ac:dyDescent="0.25">
      <c r="A1907" s="3" t="str">
        <f t="shared" si="58"/>
        <v>ΕΛΑΙΩΝΕΣGORDAL, ΓΙΑ ΠΑΡΑΓΩΓΗ ΕΛΑΙΟΛΑΔΟΥ</v>
      </c>
      <c r="B1907" s="4" t="s">
        <v>3545</v>
      </c>
      <c r="C1907" s="5" t="s">
        <v>3566</v>
      </c>
      <c r="D1907" s="6">
        <v>1821.1</v>
      </c>
      <c r="E1907" s="6">
        <v>1722.44</v>
      </c>
      <c r="F1907" s="7" t="s">
        <v>14</v>
      </c>
      <c r="G1907" s="8" t="s">
        <v>3567</v>
      </c>
      <c r="H1907" s="8" t="s">
        <v>16</v>
      </c>
      <c r="I1907" s="9">
        <v>1248</v>
      </c>
      <c r="J1907" s="10">
        <v>15</v>
      </c>
      <c r="K1907" s="10">
        <v>1000163</v>
      </c>
      <c r="L1907" s="3" t="str">
        <f t="shared" si="59"/>
        <v>ΕΛΑΙΩΝΕΣ</v>
      </c>
    </row>
    <row r="1908" spans="1:12" s="3" customFormat="1" ht="31.5" x14ac:dyDescent="0.25">
      <c r="A1908" s="3" t="str">
        <f t="shared" si="58"/>
        <v>ΕΛΑΙΩΝΕΣΘΡΟΥΜΠΑ (ΘΡΟΥΜΠΟΛΙΑ, ΘΑΣΙΤΙΚΗ, ΛΑΔΟΛΙΑ, ΘΑΣΟΥ), ΓΙΑ ΠΑΡΑΓΩΓΗ ΕΛΑΙΟΛΑΔΟΥ</v>
      </c>
      <c r="B1908" s="4" t="s">
        <v>3545</v>
      </c>
      <c r="C1908" s="5" t="s">
        <v>3568</v>
      </c>
      <c r="D1908" s="6">
        <v>1821.1</v>
      </c>
      <c r="E1908" s="6">
        <v>1722.44</v>
      </c>
      <c r="F1908" s="7" t="s">
        <v>14</v>
      </c>
      <c r="G1908" s="8" t="s">
        <v>3569</v>
      </c>
      <c r="H1908" s="8" t="s">
        <v>16</v>
      </c>
      <c r="I1908" s="9">
        <v>1241</v>
      </c>
      <c r="J1908" s="10">
        <v>15</v>
      </c>
      <c r="K1908" s="10">
        <v>1000164</v>
      </c>
      <c r="L1908" s="3" t="str">
        <f t="shared" si="59"/>
        <v>ΕΛΑΙΩΝΕΣ</v>
      </c>
    </row>
    <row r="1909" spans="1:12" s="3" customFormat="1" ht="31.5" x14ac:dyDescent="0.25">
      <c r="A1909" s="3" t="str">
        <f t="shared" si="58"/>
        <v>ΕΛΑΙΩΝΕΣΚΟΥΤΣΟΥΡΕΛΙΑ (ΚΟΥΡΤΕΛΙΑ, ΚΟΥΡΕΛΙΑ), ΓΙΑ ΠΑΡΑΓΩΓΗ ΕΛΑΙΟΛΑΔΟΥ</v>
      </c>
      <c r="B1909" s="4" t="s">
        <v>3545</v>
      </c>
      <c r="C1909" s="5" t="s">
        <v>3570</v>
      </c>
      <c r="D1909" s="6">
        <v>1821.1</v>
      </c>
      <c r="E1909" s="6">
        <v>1722.44</v>
      </c>
      <c r="F1909" s="7" t="s">
        <v>14</v>
      </c>
      <c r="G1909" s="8" t="s">
        <v>3571</v>
      </c>
      <c r="H1909" s="8" t="s">
        <v>16</v>
      </c>
      <c r="I1909" s="9">
        <v>1240</v>
      </c>
      <c r="J1909" s="10">
        <v>15</v>
      </c>
      <c r="K1909" s="10">
        <v>1000165</v>
      </c>
      <c r="L1909" s="3" t="str">
        <f t="shared" si="59"/>
        <v>ΕΛΑΙΩΝΕΣ</v>
      </c>
    </row>
    <row r="1910" spans="1:12" s="3" customFormat="1" ht="31.5" x14ac:dyDescent="0.25">
      <c r="A1910" s="3" t="str">
        <f t="shared" si="58"/>
        <v>ΕΛΑΙΩΝΕΣΚΟΡΩΝΕΙΚΗ (ΚΟΡΩΝΗ, ΒΑΤΣΙΚΗ, ΚΡΗΤΙΚΙΑ, ΚΟΡΩΝΙΑ ΚΡΗ), ΓΙΑ ΠΑΡΑΓΩΓΗ ΕΛΑΙΟΛΑΔΟΥ</v>
      </c>
      <c r="B1910" s="4" t="s">
        <v>3545</v>
      </c>
      <c r="C1910" s="5" t="s">
        <v>3572</v>
      </c>
      <c r="D1910" s="6">
        <v>1821.1</v>
      </c>
      <c r="E1910" s="6">
        <v>1722.44</v>
      </c>
      <c r="F1910" s="7" t="s">
        <v>14</v>
      </c>
      <c r="G1910" s="8" t="s">
        <v>3573</v>
      </c>
      <c r="H1910" s="8" t="s">
        <v>16</v>
      </c>
      <c r="I1910" s="9">
        <v>1239</v>
      </c>
      <c r="J1910" s="10">
        <v>15</v>
      </c>
      <c r="K1910" s="10">
        <v>1000166</v>
      </c>
      <c r="L1910" s="3" t="str">
        <f t="shared" si="59"/>
        <v>ΕΛΑΙΩΝΕΣ</v>
      </c>
    </row>
    <row r="1911" spans="1:12" s="3" customFormat="1" ht="31.5" x14ac:dyDescent="0.25">
      <c r="A1911" s="3" t="str">
        <f t="shared" si="58"/>
        <v>ΕΛΑΙΩΝΕΣΚΑΛΟΚΑΙΡΙΔΑ (ΠΡΩΙΜΗ), ΓΙΑ ΠΑΡΑΓΩΓΗ ΕΛΑΙΟΛΑΔΟΥ</v>
      </c>
      <c r="B1911" s="4" t="s">
        <v>3545</v>
      </c>
      <c r="C1911" s="5" t="s">
        <v>3574</v>
      </c>
      <c r="D1911" s="6">
        <v>1821.1</v>
      </c>
      <c r="E1911" s="6">
        <v>1722.44</v>
      </c>
      <c r="F1911" s="7" t="s">
        <v>14</v>
      </c>
      <c r="G1911" s="8" t="s">
        <v>3575</v>
      </c>
      <c r="H1911" s="8" t="s">
        <v>16</v>
      </c>
      <c r="I1911" s="9">
        <v>1238</v>
      </c>
      <c r="J1911" s="10">
        <v>15</v>
      </c>
      <c r="K1911" s="10">
        <v>1000167</v>
      </c>
      <c r="L1911" s="3" t="str">
        <f t="shared" si="59"/>
        <v>ΕΛΑΙΩΝΕΣ</v>
      </c>
    </row>
    <row r="1912" spans="1:12" s="3" customFormat="1" ht="31.5" x14ac:dyDescent="0.25">
      <c r="A1912" s="3" t="str">
        <f t="shared" si="58"/>
        <v>ΕΛΑΙΩΝΕΣΚΑΛΑΜΩΝ (ΚΑΛΑΜΑΤΙΑΝΗ, ΤΣΙΓΚΟΛΙ, ΑΕΤΟΝΥΧΙ), ΓΙΑ ΠΑΡΑΓΩΓΗ ΕΛΑΙΟΛΑΔΟΥ</v>
      </c>
      <c r="B1912" s="4" t="s">
        <v>3545</v>
      </c>
      <c r="C1912" s="5" t="s">
        <v>3576</v>
      </c>
      <c r="D1912" s="6">
        <v>1821.1</v>
      </c>
      <c r="E1912" s="6">
        <v>1722.44</v>
      </c>
      <c r="F1912" s="7" t="s">
        <v>14</v>
      </c>
      <c r="G1912" s="8" t="s">
        <v>3577</v>
      </c>
      <c r="H1912" s="8" t="s">
        <v>16</v>
      </c>
      <c r="I1912" s="9">
        <v>1237</v>
      </c>
      <c r="J1912" s="10">
        <v>15</v>
      </c>
      <c r="K1912" s="10">
        <v>1000168</v>
      </c>
      <c r="L1912" s="3" t="str">
        <f t="shared" si="59"/>
        <v>ΕΛΑΙΩΝΕΣ</v>
      </c>
    </row>
    <row r="1913" spans="1:12" s="3" customFormat="1" ht="24" x14ac:dyDescent="0.25">
      <c r="A1913" s="3" t="str">
        <f t="shared" si="58"/>
        <v>ΕΛΑΙΩΝΕΣΚΟΛΥΜΠΑΔΑ, ΓΙΑ ΠΑΡΑΓΩΓΗ ΕΛΑΙΟΛΑΔΟΥ</v>
      </c>
      <c r="B1913" s="4" t="s">
        <v>3545</v>
      </c>
      <c r="C1913" s="5" t="s">
        <v>3578</v>
      </c>
      <c r="D1913" s="6">
        <v>1821.1</v>
      </c>
      <c r="E1913" s="6">
        <v>1722.44</v>
      </c>
      <c r="F1913" s="7" t="s">
        <v>14</v>
      </c>
      <c r="G1913" s="8" t="s">
        <v>3579</v>
      </c>
      <c r="H1913" s="8" t="s">
        <v>16</v>
      </c>
      <c r="I1913" s="9">
        <v>1236</v>
      </c>
      <c r="J1913" s="10">
        <v>15</v>
      </c>
      <c r="K1913" s="10">
        <v>1000169</v>
      </c>
      <c r="L1913" s="3" t="str">
        <f t="shared" si="59"/>
        <v>ΕΛΑΙΩΝΕΣ</v>
      </c>
    </row>
    <row r="1914" spans="1:12" s="3" customFormat="1" ht="24" x14ac:dyDescent="0.25">
      <c r="A1914" s="3" t="str">
        <f t="shared" si="58"/>
        <v>ΕΛΑΙΩΝΕΣΚΑΡΟΛΗΑ, ΓΙΑ ΠΑΡΑΓΩΓΗ ΕΛΑΙΟΛΑΔΟΥ</v>
      </c>
      <c r="B1914" s="4" t="s">
        <v>3545</v>
      </c>
      <c r="C1914" s="5" t="s">
        <v>3580</v>
      </c>
      <c r="D1914" s="6">
        <v>1821.1</v>
      </c>
      <c r="E1914" s="6">
        <v>1722.44</v>
      </c>
      <c r="F1914" s="7" t="s">
        <v>14</v>
      </c>
      <c r="G1914" s="8" t="s">
        <v>3581</v>
      </c>
      <c r="H1914" s="8" t="s">
        <v>16</v>
      </c>
      <c r="I1914" s="9">
        <v>1235</v>
      </c>
      <c r="J1914" s="10">
        <v>15</v>
      </c>
      <c r="K1914" s="10">
        <v>1000170</v>
      </c>
      <c r="L1914" s="3" t="str">
        <f t="shared" si="59"/>
        <v>ΕΛΑΙΩΝΕΣ</v>
      </c>
    </row>
    <row r="1915" spans="1:12" s="3" customFormat="1" ht="31.5" x14ac:dyDescent="0.25">
      <c r="A1915" s="3" t="str">
        <f t="shared" si="58"/>
        <v>ΕΛΑΙΩΝΕΣΚΟΘΡΕΙΚΗ (ΜΑΝΑΚΙ, ΜΑΝΑΚΟΛΙΑ, ΓΛΥΚΟΜΑΝΑΚΟ), ΓΙΑ ΠΑΡΑΓΩΓΗ ΕΛΑΙΟΛΑΔΟΥ</v>
      </c>
      <c r="B1915" s="4" t="s">
        <v>3545</v>
      </c>
      <c r="C1915" s="5" t="s">
        <v>3582</v>
      </c>
      <c r="D1915" s="6">
        <v>1821.1</v>
      </c>
      <c r="E1915" s="6">
        <v>1722.44</v>
      </c>
      <c r="F1915" s="7" t="s">
        <v>14</v>
      </c>
      <c r="G1915" s="8" t="s">
        <v>3583</v>
      </c>
      <c r="H1915" s="8" t="s">
        <v>16</v>
      </c>
      <c r="I1915" s="9">
        <v>1234</v>
      </c>
      <c r="J1915" s="10">
        <v>15</v>
      </c>
      <c r="K1915" s="10">
        <v>1000171</v>
      </c>
      <c r="L1915" s="3" t="str">
        <f t="shared" si="59"/>
        <v>ΕΛΑΙΩΝΕΣ</v>
      </c>
    </row>
    <row r="1916" spans="1:12" s="3" customFormat="1" ht="24" x14ac:dyDescent="0.25">
      <c r="A1916" s="3" t="str">
        <f t="shared" si="58"/>
        <v>ΕΛΑΙΩΝΕΣΚΑΡΥΔΟΛΙΑ, ΓΙΑ ΠΑΡΑΓΩΓΗ ΕΛΑΙΟΛΑΔΟΥ</v>
      </c>
      <c r="B1916" s="4" t="s">
        <v>3545</v>
      </c>
      <c r="C1916" s="5" t="s">
        <v>3584</v>
      </c>
      <c r="D1916" s="6">
        <v>1821.1</v>
      </c>
      <c r="E1916" s="6">
        <v>1722.44</v>
      </c>
      <c r="F1916" s="7" t="s">
        <v>14</v>
      </c>
      <c r="G1916" s="8" t="s">
        <v>3585</v>
      </c>
      <c r="H1916" s="8" t="s">
        <v>16</v>
      </c>
      <c r="I1916" s="9">
        <v>1233</v>
      </c>
      <c r="J1916" s="10">
        <v>15</v>
      </c>
      <c r="K1916" s="10">
        <v>1000172</v>
      </c>
      <c r="L1916" s="3" t="str">
        <f t="shared" si="59"/>
        <v>ΕΛΑΙΩΝΕΣ</v>
      </c>
    </row>
    <row r="1917" spans="1:12" s="3" customFormat="1" ht="24" x14ac:dyDescent="0.25">
      <c r="A1917" s="3" t="str">
        <f t="shared" si="58"/>
        <v>ΕΛΑΙΩΝΕΣΚΑΡΥΔΟΛΙΑ ΣΠΕΤΣΩΝ, ΓΙΑ ΠΑΡΑΓΩΓΗ ΕΛΑΙΟΛΑΔΟΥ</v>
      </c>
      <c r="B1917" s="4" t="s">
        <v>3545</v>
      </c>
      <c r="C1917" s="5" t="s">
        <v>3586</v>
      </c>
      <c r="D1917" s="6">
        <v>1821.1</v>
      </c>
      <c r="E1917" s="6">
        <v>1722.44</v>
      </c>
      <c r="F1917" s="7" t="s">
        <v>14</v>
      </c>
      <c r="G1917" s="8" t="s">
        <v>3587</v>
      </c>
      <c r="H1917" s="8" t="s">
        <v>16</v>
      </c>
      <c r="I1917" s="9">
        <v>1218</v>
      </c>
      <c r="J1917" s="10">
        <v>15</v>
      </c>
      <c r="K1917" s="10">
        <v>1000173</v>
      </c>
      <c r="L1917" s="3" t="str">
        <f t="shared" si="59"/>
        <v>ΕΛΑΙΩΝΕΣ</v>
      </c>
    </row>
    <row r="1918" spans="1:12" s="3" customFormat="1" ht="24" x14ac:dyDescent="0.25">
      <c r="A1918" s="3" t="str">
        <f t="shared" si="58"/>
        <v>ΕΛΑΙΩΝΕΣΚΛΩΝΑΡΕΣ ΚΟΡΩΠΙΟΥ, ΓΙΑ ΠΑΡΑΓΩΓΗ ΕΛΑΙΟΛΑΔΟΥ</v>
      </c>
      <c r="B1918" s="4" t="s">
        <v>3545</v>
      </c>
      <c r="C1918" s="5" t="s">
        <v>3588</v>
      </c>
      <c r="D1918" s="6">
        <v>1821.1</v>
      </c>
      <c r="E1918" s="6">
        <v>1722.44</v>
      </c>
      <c r="F1918" s="7" t="s">
        <v>14</v>
      </c>
      <c r="G1918" s="8" t="s">
        <v>3589</v>
      </c>
      <c r="H1918" s="8" t="s">
        <v>16</v>
      </c>
      <c r="I1918" s="9">
        <v>1231</v>
      </c>
      <c r="J1918" s="10">
        <v>15</v>
      </c>
      <c r="K1918" s="10">
        <v>1000174</v>
      </c>
      <c r="L1918" s="3" t="str">
        <f t="shared" si="59"/>
        <v>ΕΛΑΙΩΝΕΣ</v>
      </c>
    </row>
    <row r="1919" spans="1:12" s="3" customFormat="1" ht="24" x14ac:dyDescent="0.25">
      <c r="A1919" s="3" t="str">
        <f t="shared" si="58"/>
        <v>ΕΛΑΙΩΝΕΣΚΑΡΟΛΙΑ ΙΣΤΙΑΙΑΣ, ΓΙΑ ΠΑΡΑΓΩΓΗ ΕΛΑΙΟΛΑΔΟΥ</v>
      </c>
      <c r="B1919" s="4" t="s">
        <v>3545</v>
      </c>
      <c r="C1919" s="5" t="s">
        <v>3590</v>
      </c>
      <c r="D1919" s="6">
        <v>1821.1</v>
      </c>
      <c r="E1919" s="6">
        <v>1722.44</v>
      </c>
      <c r="F1919" s="7" t="s">
        <v>14</v>
      </c>
      <c r="G1919" s="8" t="s">
        <v>3591</v>
      </c>
      <c r="H1919" s="8" t="s">
        <v>16</v>
      </c>
      <c r="I1919" s="9">
        <v>1244</v>
      </c>
      <c r="J1919" s="10">
        <v>15</v>
      </c>
      <c r="K1919" s="10">
        <v>1000175</v>
      </c>
      <c r="L1919" s="3" t="str">
        <f t="shared" si="59"/>
        <v>ΕΛΑΙΩΝΕΣ</v>
      </c>
    </row>
    <row r="1920" spans="1:12" s="3" customFormat="1" ht="24" x14ac:dyDescent="0.25">
      <c r="A1920" s="3" t="str">
        <f t="shared" si="58"/>
        <v>ΕΛΑΙΩΝΕΣΚΟΛΥΡΕΙΚΗ, ΓΙΑ ΠΑΡΑΓΩΓΗ ΕΛΑΙΟΛΑΔΟΥ</v>
      </c>
      <c r="B1920" s="4" t="s">
        <v>3545</v>
      </c>
      <c r="C1920" s="5" t="s">
        <v>3592</v>
      </c>
      <c r="D1920" s="6">
        <v>1821.1</v>
      </c>
      <c r="E1920" s="6">
        <v>1722.44</v>
      </c>
      <c r="F1920" s="7" t="s">
        <v>14</v>
      </c>
      <c r="G1920" s="8" t="s">
        <v>3593</v>
      </c>
      <c r="H1920" s="8" t="s">
        <v>16</v>
      </c>
      <c r="I1920" s="9">
        <v>1229</v>
      </c>
      <c r="J1920" s="10">
        <v>15</v>
      </c>
      <c r="K1920" s="10">
        <v>1000176</v>
      </c>
      <c r="L1920" s="3" t="str">
        <f t="shared" si="59"/>
        <v>ΕΛΑΙΩΝΕΣ</v>
      </c>
    </row>
    <row r="1921" spans="1:12" s="3" customFormat="1" ht="31.5" x14ac:dyDescent="0.25">
      <c r="A1921" s="3" t="str">
        <f t="shared" si="58"/>
        <v>ΕΛΑΙΩΝΕΣLECHINO (LECHIN DE SEVILLA), ΓΙΑ ΠΑΡΑΓΩΓΗ ΕΛΑΙΟΛΑΔΟΥ</v>
      </c>
      <c r="B1921" s="4" t="s">
        <v>3545</v>
      </c>
      <c r="C1921" s="5" t="s">
        <v>3594</v>
      </c>
      <c r="D1921" s="6">
        <v>1821.1</v>
      </c>
      <c r="E1921" s="6">
        <v>1722.44</v>
      </c>
      <c r="F1921" s="7" t="s">
        <v>14</v>
      </c>
      <c r="G1921" s="8" t="s">
        <v>3595</v>
      </c>
      <c r="H1921" s="8" t="s">
        <v>16</v>
      </c>
      <c r="I1921" s="9">
        <v>1228</v>
      </c>
      <c r="J1921" s="10">
        <v>15</v>
      </c>
      <c r="K1921" s="10">
        <v>1000177</v>
      </c>
      <c r="L1921" s="3" t="str">
        <f t="shared" si="59"/>
        <v>ΕΛΑΙΩΝΕΣ</v>
      </c>
    </row>
    <row r="1922" spans="1:12" s="3" customFormat="1" ht="31.5" x14ac:dyDescent="0.25">
      <c r="A1922" s="3" t="str">
        <f t="shared" si="58"/>
        <v>ΕΛΑΙΩΝΕΣΛΙΑΝΟΛΗΑ ΚΕΡΚΥΡΑΣ (ΠΡΕΒΕΖΑΝΑ, ΝΕΡΟΛΙΑ,  ΚΑΡΦΟΛΙΑ), ΓΙΑ ΠΑΡΑΓΩΓΗ ΕΛΑΙΟΛΑΔΟΥ</v>
      </c>
      <c r="B1922" s="4" t="s">
        <v>3545</v>
      </c>
      <c r="C1922" s="5" t="s">
        <v>3596</v>
      </c>
      <c r="D1922" s="6">
        <v>1821.1</v>
      </c>
      <c r="E1922" s="6">
        <v>1722.44</v>
      </c>
      <c r="F1922" s="7" t="s">
        <v>14</v>
      </c>
      <c r="G1922" s="8" t="s">
        <v>3597</v>
      </c>
      <c r="H1922" s="8" t="s">
        <v>16</v>
      </c>
      <c r="I1922" s="9">
        <v>1227</v>
      </c>
      <c r="J1922" s="10">
        <v>15</v>
      </c>
      <c r="K1922" s="10">
        <v>1000178</v>
      </c>
      <c r="L1922" s="3" t="str">
        <f t="shared" si="59"/>
        <v>ΕΛΑΙΩΝΕΣ</v>
      </c>
    </row>
    <row r="1923" spans="1:12" s="3" customFormat="1" ht="24" x14ac:dyDescent="0.25">
      <c r="A1923" s="3" t="str">
        <f t="shared" ref="A1923:A1986" si="60">_xlfn.CONCAT(B1923,C1923)</f>
        <v>ΕΛΑΙΩΝΕΣLUCQUES, ΓΙΑ ΠΑΡΑΓΩΓΗ ΕΛΑΙΟΛΑΔΟΥ</v>
      </c>
      <c r="B1923" s="4" t="s">
        <v>3545</v>
      </c>
      <c r="C1923" s="5" t="s">
        <v>3598</v>
      </c>
      <c r="D1923" s="6">
        <v>1821.1</v>
      </c>
      <c r="E1923" s="6">
        <v>1722.44</v>
      </c>
      <c r="F1923" s="7" t="s">
        <v>14</v>
      </c>
      <c r="G1923" s="8" t="s">
        <v>3599</v>
      </c>
      <c r="H1923" s="8" t="s">
        <v>16</v>
      </c>
      <c r="I1923" s="9">
        <v>1232</v>
      </c>
      <c r="J1923" s="10">
        <v>15</v>
      </c>
      <c r="K1923" s="10">
        <v>1000179</v>
      </c>
      <c r="L1923" s="3" t="str">
        <f t="shared" ref="L1923:L1986" si="61">IFERROR(SUBSTITUTE(SUBSTITUTE(SUBSTITUTE(SUBSTITUTE(SUBSTITUTE(B1923, "-", "_"), " ", "_"), ",", ""), "(", ""), ")", ""), B1923)</f>
        <v>ΕΛΑΙΩΝΕΣ</v>
      </c>
    </row>
    <row r="1924" spans="1:12" s="3" customFormat="1" ht="31.5" x14ac:dyDescent="0.25">
      <c r="A1924" s="3" t="str">
        <f t="shared" si="60"/>
        <v>ΕΛΑΙΩΝΕΣΜΑΥΡΕΛΗΑ (ΜΕΘΩΝΙΑ, ΜΑΥΡΟΛΙΑ, ΜΟΥΤΡΟΛΙΑ), ΓΙΑ ΠΑΡΑΓΩΓΗ ΕΛΑΙΟΛΑΔΟΥ</v>
      </c>
      <c r="B1924" s="4" t="s">
        <v>3545</v>
      </c>
      <c r="C1924" s="5" t="s">
        <v>3600</v>
      </c>
      <c r="D1924" s="6">
        <v>1821.1</v>
      </c>
      <c r="E1924" s="6">
        <v>1722.44</v>
      </c>
      <c r="F1924" s="7" t="s">
        <v>14</v>
      </c>
      <c r="G1924" s="8" t="s">
        <v>3601</v>
      </c>
      <c r="H1924" s="8" t="s">
        <v>16</v>
      </c>
      <c r="I1924" s="9">
        <v>1226</v>
      </c>
      <c r="J1924" s="10">
        <v>15</v>
      </c>
      <c r="K1924" s="10">
        <v>1000180</v>
      </c>
      <c r="L1924" s="3" t="str">
        <f t="shared" si="61"/>
        <v>ΕΛΑΙΩΝΕΣ</v>
      </c>
    </row>
    <row r="1925" spans="1:12" s="3" customFormat="1" ht="24" x14ac:dyDescent="0.25">
      <c r="A1925" s="3" t="str">
        <f t="shared" si="60"/>
        <v>ΕΛΑΙΩΝΕΣΜΥΡΤΟΛΗΑ, ΓΙΑ ΠΑΡΑΓΩΓΗ ΕΛΑΙΟΛΑΔΟΥ</v>
      </c>
      <c r="B1925" s="4" t="s">
        <v>3545</v>
      </c>
      <c r="C1925" s="5" t="s">
        <v>3602</v>
      </c>
      <c r="D1925" s="6">
        <v>1821.1</v>
      </c>
      <c r="E1925" s="6">
        <v>1722.44</v>
      </c>
      <c r="F1925" s="7" t="s">
        <v>14</v>
      </c>
      <c r="G1925" s="8" t="s">
        <v>3603</v>
      </c>
      <c r="H1925" s="8" t="s">
        <v>16</v>
      </c>
      <c r="I1925" s="9">
        <v>1225</v>
      </c>
      <c r="J1925" s="10">
        <v>15</v>
      </c>
      <c r="K1925" s="10">
        <v>1000181</v>
      </c>
      <c r="L1925" s="3" t="str">
        <f t="shared" si="61"/>
        <v>ΕΛΑΙΩΝΕΣ</v>
      </c>
    </row>
    <row r="1926" spans="1:12" s="3" customFormat="1" ht="24" x14ac:dyDescent="0.25">
      <c r="A1926" s="3" t="str">
        <f t="shared" si="60"/>
        <v>ΕΛΑΙΩΝΕΣMEXINE, ΓΙΑ ΠΑΡΑΓΩΓΗ ΕΛΑΙΟΛΑΔΟΥ</v>
      </c>
      <c r="B1926" s="4" t="s">
        <v>3545</v>
      </c>
      <c r="C1926" s="5" t="s">
        <v>3604</v>
      </c>
      <c r="D1926" s="6">
        <v>1821.1</v>
      </c>
      <c r="E1926" s="6">
        <v>1722.44</v>
      </c>
      <c r="F1926" s="7" t="s">
        <v>14</v>
      </c>
      <c r="G1926" s="8" t="s">
        <v>3605</v>
      </c>
      <c r="H1926" s="8" t="s">
        <v>16</v>
      </c>
      <c r="I1926" s="9">
        <v>1224</v>
      </c>
      <c r="J1926" s="10">
        <v>15</v>
      </c>
      <c r="K1926" s="10">
        <v>1000182</v>
      </c>
      <c r="L1926" s="3" t="str">
        <f t="shared" si="61"/>
        <v>ΕΛΑΙΩΝΕΣ</v>
      </c>
    </row>
    <row r="1927" spans="1:12" s="3" customFormat="1" ht="31.5" x14ac:dyDescent="0.25">
      <c r="A1927" s="3" t="str">
        <f t="shared" si="60"/>
        <v>ΕΛΑΙΩΝΕΣΜΕΓΑΡΕΙΤΙΚΗ (ΠΕΡΑΧΩΡΙΤΙΚΗ, ΒΟΙΒΟΔΙΤΙΚΗ, ΒΟΒΩΔΗ), ΓΙΑ ΠΑΡΑΓΩΓΗ ΕΛΑΙΟΛΑΔΟΥ</v>
      </c>
      <c r="B1927" s="4" t="s">
        <v>3545</v>
      </c>
      <c r="C1927" s="5" t="s">
        <v>3606</v>
      </c>
      <c r="D1927" s="6">
        <v>1821.1</v>
      </c>
      <c r="E1927" s="6">
        <v>1722.44</v>
      </c>
      <c r="F1927" s="7" t="s">
        <v>14</v>
      </c>
      <c r="G1927" s="8" t="s">
        <v>3607</v>
      </c>
      <c r="H1927" s="8" t="s">
        <v>16</v>
      </c>
      <c r="I1927" s="9">
        <v>1223</v>
      </c>
      <c r="J1927" s="10">
        <v>15</v>
      </c>
      <c r="K1927" s="10">
        <v>1000183</v>
      </c>
      <c r="L1927" s="3" t="str">
        <f t="shared" si="61"/>
        <v>ΕΛΑΙΩΝΕΣ</v>
      </c>
    </row>
    <row r="1928" spans="1:12" s="3" customFormat="1" ht="24" x14ac:dyDescent="0.25">
      <c r="A1928" s="3" t="str">
        <f t="shared" si="60"/>
        <v>ΕΛΑΙΩΝΕΣMANZANILLA JAEN, ΓΙΑ ΠΑΡΑΓΩΓΗ ΕΛΑΙΟΛΑΔΟΥ</v>
      </c>
      <c r="B1928" s="4" t="s">
        <v>3545</v>
      </c>
      <c r="C1928" s="5" t="s">
        <v>3608</v>
      </c>
      <c r="D1928" s="6">
        <v>1821.1</v>
      </c>
      <c r="E1928" s="6">
        <v>1722.44</v>
      </c>
      <c r="F1928" s="7" t="s">
        <v>14</v>
      </c>
      <c r="G1928" s="8" t="s">
        <v>3609</v>
      </c>
      <c r="H1928" s="8" t="s">
        <v>16</v>
      </c>
      <c r="I1928" s="9">
        <v>1222</v>
      </c>
      <c r="J1928" s="10">
        <v>15</v>
      </c>
      <c r="K1928" s="10">
        <v>1000184</v>
      </c>
      <c r="L1928" s="3" t="str">
        <f t="shared" si="61"/>
        <v>ΕΛΑΙΩΝΕΣ</v>
      </c>
    </row>
    <row r="1929" spans="1:12" s="3" customFormat="1" ht="31.5" x14ac:dyDescent="0.25">
      <c r="A1929" s="3" t="str">
        <f t="shared" si="60"/>
        <v>ΕΛΑΙΩΝΕΣMANZANILLA DOS HERMANOS, ΓΙΑ ΠΑΡΑΓΩΓΗ ΕΛΑΙΟΛΑΔΟΥ</v>
      </c>
      <c r="B1929" s="4" t="s">
        <v>3545</v>
      </c>
      <c r="C1929" s="5" t="s">
        <v>3610</v>
      </c>
      <c r="D1929" s="6">
        <v>1821.1</v>
      </c>
      <c r="E1929" s="6">
        <v>1722.44</v>
      </c>
      <c r="F1929" s="7" t="s">
        <v>14</v>
      </c>
      <c r="G1929" s="8" t="s">
        <v>3611</v>
      </c>
      <c r="H1929" s="8" t="s">
        <v>16</v>
      </c>
      <c r="I1929" s="9">
        <v>1221</v>
      </c>
      <c r="J1929" s="10">
        <v>15</v>
      </c>
      <c r="K1929" s="10">
        <v>1000185</v>
      </c>
      <c r="L1929" s="3" t="str">
        <f t="shared" si="61"/>
        <v>ΕΛΑΙΩΝΕΣ</v>
      </c>
    </row>
    <row r="1930" spans="1:12" s="3" customFormat="1" ht="24" x14ac:dyDescent="0.25">
      <c r="A1930" s="3" t="str">
        <f t="shared" si="60"/>
        <v>ΕΛΑΙΩΝΕΣMANZANILLA, ΓΙΑ ΠΑΡΑΓΩΓΗ ΕΛΑΙΟΛΑΔΟΥ</v>
      </c>
      <c r="B1930" s="4" t="s">
        <v>3545</v>
      </c>
      <c r="C1930" s="5" t="s">
        <v>3612</v>
      </c>
      <c r="D1930" s="6">
        <v>1821.1</v>
      </c>
      <c r="E1930" s="6">
        <v>1722.44</v>
      </c>
      <c r="F1930" s="7" t="s">
        <v>14</v>
      </c>
      <c r="G1930" s="8" t="s">
        <v>3613</v>
      </c>
      <c r="H1930" s="8" t="s">
        <v>16</v>
      </c>
      <c r="I1930" s="9">
        <v>1220</v>
      </c>
      <c r="J1930" s="10">
        <v>15</v>
      </c>
      <c r="K1930" s="10">
        <v>1000186</v>
      </c>
      <c r="L1930" s="3" t="str">
        <f t="shared" si="61"/>
        <v>ΕΛΑΙΩΝΕΣ</v>
      </c>
    </row>
    <row r="1931" spans="1:12" s="3" customFormat="1" ht="31.5" x14ac:dyDescent="0.25">
      <c r="A1931" s="3" t="str">
        <f t="shared" si="60"/>
        <v>ΕΛΑΙΩΝΕΣΜΕΛΟΛΙΑ (ΕΛΙΑ ΗΔΙΚΑΡΠΗ), ΓΙΑ ΠΑΡΑΓΩΓΗ ΕΛΑΙΟΛΑΔΟΥ</v>
      </c>
      <c r="B1931" s="4" t="s">
        <v>3545</v>
      </c>
      <c r="C1931" s="5" t="s">
        <v>3614</v>
      </c>
      <c r="D1931" s="6">
        <v>1821.1</v>
      </c>
      <c r="E1931" s="6">
        <v>1722.44</v>
      </c>
      <c r="F1931" s="7" t="s">
        <v>14</v>
      </c>
      <c r="G1931" s="8" t="s">
        <v>3615</v>
      </c>
      <c r="H1931" s="8" t="s">
        <v>16</v>
      </c>
      <c r="I1931" s="9">
        <v>1219</v>
      </c>
      <c r="J1931" s="10">
        <v>15</v>
      </c>
      <c r="K1931" s="10">
        <v>1000187</v>
      </c>
      <c r="L1931" s="3" t="str">
        <f t="shared" si="61"/>
        <v>ΕΛΑΙΩΝΕΣ</v>
      </c>
    </row>
    <row r="1932" spans="1:12" s="3" customFormat="1" ht="24" x14ac:dyDescent="0.25">
      <c r="A1932" s="3" t="str">
        <f t="shared" si="60"/>
        <v>ΕΛΑΙΩΝΕΣMISSION, ΓΙΑ ΠΑΡΑΓΩΓΗ ΕΛΑΙΟΛΑΔΟΥ</v>
      </c>
      <c r="B1932" s="4" t="s">
        <v>3545</v>
      </c>
      <c r="C1932" s="5" t="s">
        <v>3616</v>
      </c>
      <c r="D1932" s="6">
        <v>1821.1</v>
      </c>
      <c r="E1932" s="6">
        <v>1722.44</v>
      </c>
      <c r="F1932" s="7" t="s">
        <v>14</v>
      </c>
      <c r="G1932" s="8" t="s">
        <v>3617</v>
      </c>
      <c r="H1932" s="8" t="s">
        <v>16</v>
      </c>
      <c r="I1932" s="9">
        <v>1230</v>
      </c>
      <c r="J1932" s="10">
        <v>15</v>
      </c>
      <c r="K1932" s="10">
        <v>1000188</v>
      </c>
      <c r="L1932" s="3" t="str">
        <f t="shared" si="61"/>
        <v>ΕΛΑΙΩΝΕΣ</v>
      </c>
    </row>
    <row r="1933" spans="1:12" s="3" customFormat="1" ht="31.5" x14ac:dyDescent="0.25">
      <c r="A1933" s="3" t="str">
        <f t="shared" si="60"/>
        <v>ΕΛΑΙΩΝΕΣPICUAL (NEVADILLO BLANCO), ΓΙΑ ΠΑΡΑΓΩΓΗ ΕΛΑΙΟΛΑΔΟΥ</v>
      </c>
      <c r="B1933" s="4" t="s">
        <v>3545</v>
      </c>
      <c r="C1933" s="5" t="s">
        <v>3618</v>
      </c>
      <c r="D1933" s="6">
        <v>1821.1</v>
      </c>
      <c r="E1933" s="6">
        <v>1722.44</v>
      </c>
      <c r="F1933" s="7" t="s">
        <v>14</v>
      </c>
      <c r="G1933" s="8" t="s">
        <v>3619</v>
      </c>
      <c r="H1933" s="8" t="s">
        <v>16</v>
      </c>
      <c r="I1933" s="9">
        <v>1246</v>
      </c>
      <c r="J1933" s="10">
        <v>15</v>
      </c>
      <c r="K1933" s="10">
        <v>1000189</v>
      </c>
      <c r="L1933" s="3" t="str">
        <f t="shared" si="61"/>
        <v>ΕΛΑΙΩΝΕΣ</v>
      </c>
    </row>
    <row r="1934" spans="1:12" s="3" customFormat="1" ht="24" x14ac:dyDescent="0.25">
      <c r="A1934" s="3" t="str">
        <f t="shared" si="60"/>
        <v>ΕΛΑΙΩΝΕΣΠΑΤΡΙΝΗ, ΓΙΑ ΠΑΡΑΓΩΓΗ ΕΛΑΙΟΛΑΔΟΥ</v>
      </c>
      <c r="B1934" s="4" t="s">
        <v>3545</v>
      </c>
      <c r="C1934" s="5" t="s">
        <v>3620</v>
      </c>
      <c r="D1934" s="6">
        <v>1821.1</v>
      </c>
      <c r="E1934" s="6">
        <v>1722.44</v>
      </c>
      <c r="F1934" s="7" t="s">
        <v>14</v>
      </c>
      <c r="G1934" s="8" t="s">
        <v>3621</v>
      </c>
      <c r="H1934" s="8" t="s">
        <v>16</v>
      </c>
      <c r="I1934" s="9">
        <v>1255</v>
      </c>
      <c r="J1934" s="10">
        <v>15</v>
      </c>
      <c r="K1934" s="10">
        <v>1000190</v>
      </c>
      <c r="L1934" s="3" t="str">
        <f t="shared" si="61"/>
        <v>ΕΛΑΙΩΝΕΣ</v>
      </c>
    </row>
    <row r="1935" spans="1:12" s="3" customFormat="1" ht="24" x14ac:dyDescent="0.25">
      <c r="A1935" s="3" t="str">
        <f t="shared" si="60"/>
        <v>ΕΛΑΙΩΝΕΣPICHOLIN ή PICHOLINE, ΓΙΑ ΠΑΡΑΓΩΓΗ ΕΛΑΙΟΛΑΔΟΥ</v>
      </c>
      <c r="B1935" s="4" t="s">
        <v>3545</v>
      </c>
      <c r="C1935" s="5" t="s">
        <v>3622</v>
      </c>
      <c r="D1935" s="6">
        <v>1821.1</v>
      </c>
      <c r="E1935" s="6">
        <v>1722.44</v>
      </c>
      <c r="F1935" s="7" t="s">
        <v>14</v>
      </c>
      <c r="G1935" s="8" t="s">
        <v>3623</v>
      </c>
      <c r="H1935" s="8" t="s">
        <v>16</v>
      </c>
      <c r="I1935" s="9">
        <v>1254</v>
      </c>
      <c r="J1935" s="10">
        <v>15</v>
      </c>
      <c r="K1935" s="10">
        <v>1000191</v>
      </c>
      <c r="L1935" s="3" t="str">
        <f t="shared" si="61"/>
        <v>ΕΛΑΙΩΝΕΣ</v>
      </c>
    </row>
    <row r="1936" spans="1:12" s="3" customFormat="1" ht="24" x14ac:dyDescent="0.25">
      <c r="A1936" s="3" t="str">
        <f t="shared" si="60"/>
        <v>ΕΛΑΙΩΝΕΣΠΙΚΡΟΛΙΑ, ΓΙΑ ΠΑΡΑΓΩΓΗ ΕΛΑΙΟΛΑΔΟΥ</v>
      </c>
      <c r="B1936" s="4" t="s">
        <v>3545</v>
      </c>
      <c r="C1936" s="5" t="s">
        <v>3624</v>
      </c>
      <c r="D1936" s="6">
        <v>1821.1</v>
      </c>
      <c r="E1936" s="6">
        <v>1722.44</v>
      </c>
      <c r="F1936" s="7" t="s">
        <v>14</v>
      </c>
      <c r="G1936" s="8" t="s">
        <v>3625</v>
      </c>
      <c r="H1936" s="8" t="s">
        <v>16</v>
      </c>
      <c r="I1936" s="9">
        <v>1253</v>
      </c>
      <c r="J1936" s="10">
        <v>15</v>
      </c>
      <c r="K1936" s="10">
        <v>1000192</v>
      </c>
      <c r="L1936" s="3" t="str">
        <f t="shared" si="61"/>
        <v>ΕΛΑΙΩΝΕΣ</v>
      </c>
    </row>
    <row r="1937" spans="1:12" s="3" customFormat="1" ht="24" x14ac:dyDescent="0.25">
      <c r="A1937" s="3" t="str">
        <f t="shared" si="60"/>
        <v>ΕΛΑΙΩΝΕΣREDDING PICHOLINE, ΓΙΑ ΠΑΡΑΓΩΓΗ ΕΛΑΙΟΛΑΔΟΥ</v>
      </c>
      <c r="B1937" s="4" t="s">
        <v>3545</v>
      </c>
      <c r="C1937" s="5" t="s">
        <v>3626</v>
      </c>
      <c r="D1937" s="6">
        <v>1821.1</v>
      </c>
      <c r="E1937" s="6">
        <v>1722.44</v>
      </c>
      <c r="F1937" s="7" t="s">
        <v>14</v>
      </c>
      <c r="G1937" s="8" t="s">
        <v>3627</v>
      </c>
      <c r="H1937" s="8" t="s">
        <v>16</v>
      </c>
      <c r="I1937" s="9">
        <v>1252</v>
      </c>
      <c r="J1937" s="10">
        <v>15</v>
      </c>
      <c r="K1937" s="10">
        <v>1000193</v>
      </c>
      <c r="L1937" s="3" t="str">
        <f t="shared" si="61"/>
        <v>ΕΛΑΙΩΝΕΣ</v>
      </c>
    </row>
    <row r="1938" spans="1:12" s="3" customFormat="1" ht="24" x14ac:dyDescent="0.25">
      <c r="A1938" s="3" t="str">
        <f t="shared" si="60"/>
        <v>ΕΛΑΙΩΝΕΣROUSETTE, ΓΙΑ ΠΑΡΑΓΩΓΗ ΕΛΑΙΟΛΑΔΟΥ</v>
      </c>
      <c r="B1938" s="4" t="s">
        <v>3545</v>
      </c>
      <c r="C1938" s="5" t="s">
        <v>3628</v>
      </c>
      <c r="D1938" s="6">
        <v>1821.1</v>
      </c>
      <c r="E1938" s="6">
        <v>1722.44</v>
      </c>
      <c r="F1938" s="7" t="s">
        <v>14</v>
      </c>
      <c r="G1938" s="8" t="s">
        <v>3629</v>
      </c>
      <c r="H1938" s="8" t="s">
        <v>16</v>
      </c>
      <c r="I1938" s="9">
        <v>1247</v>
      </c>
      <c r="J1938" s="10">
        <v>15</v>
      </c>
      <c r="K1938" s="10">
        <v>1000194</v>
      </c>
      <c r="L1938" s="3" t="str">
        <f t="shared" si="61"/>
        <v>ΕΛΑΙΩΝΕΣ</v>
      </c>
    </row>
    <row r="1939" spans="1:12" s="3" customFormat="1" ht="24" x14ac:dyDescent="0.25">
      <c r="A1939" s="3" t="str">
        <f t="shared" si="60"/>
        <v>ΕΛΑΙΩΝΕΣSALONENQUE, ΓΙΑ ΠΑΡΑΓΩΓΗ ΕΛΑΙΟΛΑΔΟΥ</v>
      </c>
      <c r="B1939" s="4" t="s">
        <v>3545</v>
      </c>
      <c r="C1939" s="5" t="s">
        <v>3630</v>
      </c>
      <c r="D1939" s="6">
        <v>1821.1</v>
      </c>
      <c r="E1939" s="6">
        <v>1722.44</v>
      </c>
      <c r="F1939" s="7" t="s">
        <v>14</v>
      </c>
      <c r="G1939" s="8" t="s">
        <v>3631</v>
      </c>
      <c r="H1939" s="8" t="s">
        <v>16</v>
      </c>
      <c r="I1939" s="9">
        <v>1245</v>
      </c>
      <c r="J1939" s="10">
        <v>15</v>
      </c>
      <c r="K1939" s="10">
        <v>1000195</v>
      </c>
      <c r="L1939" s="3" t="str">
        <f t="shared" si="61"/>
        <v>ΕΛΑΙΩΝΕΣ</v>
      </c>
    </row>
    <row r="1940" spans="1:12" s="3" customFormat="1" ht="31.5" x14ac:dyDescent="0.25">
      <c r="A1940" s="3" t="str">
        <f t="shared" si="60"/>
        <v>ΕΛΑΙΩΝΕΣΣΤΡΟΓΓΥΛΟΛΙΑ (ΓΑΛΑΝΗ, ΠΡΑΣΙΝΟΛΙΑ), ΓΙΑ ΠΑΡΑΓΩΓΗ ΕΛΑΙΟΛΑΔΟΥ</v>
      </c>
      <c r="B1940" s="4" t="s">
        <v>3545</v>
      </c>
      <c r="C1940" s="5" t="s">
        <v>3632</v>
      </c>
      <c r="D1940" s="6">
        <v>1821.1</v>
      </c>
      <c r="E1940" s="6">
        <v>1722.44</v>
      </c>
      <c r="F1940" s="7" t="s">
        <v>14</v>
      </c>
      <c r="G1940" s="8" t="s">
        <v>3633</v>
      </c>
      <c r="H1940" s="8" t="s">
        <v>16</v>
      </c>
      <c r="I1940" s="9">
        <v>1249</v>
      </c>
      <c r="J1940" s="10">
        <v>15</v>
      </c>
      <c r="K1940" s="10">
        <v>1000196</v>
      </c>
      <c r="L1940" s="3" t="str">
        <f t="shared" si="61"/>
        <v>ΕΛΑΙΩΝΕΣ</v>
      </c>
    </row>
    <row r="1941" spans="1:12" s="3" customFormat="1" ht="24" x14ac:dyDescent="0.25">
      <c r="A1941" s="3" t="str">
        <f t="shared" si="60"/>
        <v>ΕΛΑΙΩΝΕΣS. FRANCESCO, ΓΙΑ ΠΑΡΑΓΩΓΗ ΕΛΑΙΟΛΑΔΟΥ</v>
      </c>
      <c r="B1941" s="4" t="s">
        <v>3545</v>
      </c>
      <c r="C1941" s="5" t="s">
        <v>3634</v>
      </c>
      <c r="D1941" s="6">
        <v>1821.1</v>
      </c>
      <c r="E1941" s="6">
        <v>1722.44</v>
      </c>
      <c r="F1941" s="7" t="s">
        <v>14</v>
      </c>
      <c r="G1941" s="8" t="s">
        <v>3635</v>
      </c>
      <c r="H1941" s="8" t="s">
        <v>16</v>
      </c>
      <c r="I1941" s="9">
        <v>1251</v>
      </c>
      <c r="J1941" s="10">
        <v>15</v>
      </c>
      <c r="K1941" s="10">
        <v>1000197</v>
      </c>
      <c r="L1941" s="3" t="str">
        <f t="shared" si="61"/>
        <v>ΕΛΑΙΩΝΕΣ</v>
      </c>
    </row>
    <row r="1942" spans="1:12" s="3" customFormat="1" ht="31.5" x14ac:dyDescent="0.25">
      <c r="A1942" s="3" t="str">
        <f t="shared" si="60"/>
        <v>ΕΛΑΙΩΝΕΣS. AGOSTINO (S. AUGUSTINE), ΓΙΑ ΠΑΡΑΓΩΓΗ ΕΛΑΙΟΛΑΔΟΥ</v>
      </c>
      <c r="B1942" s="4" t="s">
        <v>3545</v>
      </c>
      <c r="C1942" s="5" t="s">
        <v>3636</v>
      </c>
      <c r="D1942" s="6">
        <v>1821.1</v>
      </c>
      <c r="E1942" s="6">
        <v>1722.44</v>
      </c>
      <c r="F1942" s="7" t="s">
        <v>14</v>
      </c>
      <c r="G1942" s="8" t="s">
        <v>3637</v>
      </c>
      <c r="H1942" s="8" t="s">
        <v>16</v>
      </c>
      <c r="I1942" s="9">
        <v>1243</v>
      </c>
      <c r="J1942" s="10">
        <v>15</v>
      </c>
      <c r="K1942" s="10">
        <v>1000198</v>
      </c>
      <c r="L1942" s="3" t="str">
        <f t="shared" si="61"/>
        <v>ΕΛΑΙΩΝΕΣ</v>
      </c>
    </row>
    <row r="1943" spans="1:12" s="3" customFormat="1" ht="24" x14ac:dyDescent="0.25">
      <c r="A1943" s="3" t="str">
        <f t="shared" si="60"/>
        <v>ΕΛΑΙΩΝΕΣSIGOISE, ΓΙΑ ΠΑΡΑΓΩΓΗ ΕΛΑΙΟΛΑΔΟΥ</v>
      </c>
      <c r="B1943" s="4" t="s">
        <v>3545</v>
      </c>
      <c r="C1943" s="5" t="s">
        <v>3638</v>
      </c>
      <c r="D1943" s="6">
        <v>1821.1</v>
      </c>
      <c r="E1943" s="6">
        <v>1722.44</v>
      </c>
      <c r="F1943" s="7" t="s">
        <v>14</v>
      </c>
      <c r="G1943" s="8" t="s">
        <v>3639</v>
      </c>
      <c r="H1943" s="8" t="s">
        <v>16</v>
      </c>
      <c r="I1943" s="9">
        <v>1159</v>
      </c>
      <c r="J1943" s="10">
        <v>15</v>
      </c>
      <c r="K1943" s="10">
        <v>1000199</v>
      </c>
      <c r="L1943" s="3" t="str">
        <f t="shared" si="61"/>
        <v>ΕΛΑΙΩΝΕΣ</v>
      </c>
    </row>
    <row r="1944" spans="1:12" s="3" customFormat="1" ht="24" x14ac:dyDescent="0.25">
      <c r="A1944" s="3" t="str">
        <f t="shared" si="60"/>
        <v>ΕΛΑΙΩΝΕΣΤΡΑΓΟΛΙΑ, ΓΙΑ ΠΑΡΑΓΩΓΗ ΕΛΑΙΟΛΑΔΟΥ</v>
      </c>
      <c r="B1944" s="4" t="s">
        <v>3545</v>
      </c>
      <c r="C1944" s="5" t="s">
        <v>3640</v>
      </c>
      <c r="D1944" s="6">
        <v>1821.1</v>
      </c>
      <c r="E1944" s="6">
        <v>1722.44</v>
      </c>
      <c r="F1944" s="7" t="s">
        <v>14</v>
      </c>
      <c r="G1944" s="8" t="s">
        <v>3641</v>
      </c>
      <c r="H1944" s="8" t="s">
        <v>16</v>
      </c>
      <c r="I1944" s="9">
        <v>1186</v>
      </c>
      <c r="J1944" s="10">
        <v>15</v>
      </c>
      <c r="K1944" s="10">
        <v>1000200</v>
      </c>
      <c r="L1944" s="3" t="str">
        <f t="shared" si="61"/>
        <v>ΕΛΑΙΩΝΕΣ</v>
      </c>
    </row>
    <row r="1945" spans="1:12" s="3" customFormat="1" ht="31.5" x14ac:dyDescent="0.25">
      <c r="A1945" s="3" t="str">
        <f t="shared" si="60"/>
        <v>ΕΛΑΙΩΝΕΣΤΣΟΥΝΑΤΗ (ΜΑΤΣΟΛΗΑ, ΑΘΗΝΟΛΙΑ), ΓΙΑ ΠΑΡΑΓΩΓΗ ΕΛΑΙΟΛΑΔΟΥ</v>
      </c>
      <c r="B1945" s="4" t="s">
        <v>3545</v>
      </c>
      <c r="C1945" s="5" t="s">
        <v>3642</v>
      </c>
      <c r="D1945" s="6">
        <v>1821.1</v>
      </c>
      <c r="E1945" s="6">
        <v>1722.44</v>
      </c>
      <c r="F1945" s="7" t="s">
        <v>14</v>
      </c>
      <c r="G1945" s="8" t="s">
        <v>3643</v>
      </c>
      <c r="H1945" s="8" t="s">
        <v>16</v>
      </c>
      <c r="I1945" s="9">
        <v>1185</v>
      </c>
      <c r="J1945" s="10">
        <v>15</v>
      </c>
      <c r="K1945" s="10">
        <v>1000201</v>
      </c>
      <c r="L1945" s="3" t="str">
        <f t="shared" si="61"/>
        <v>ΕΛΑΙΩΝΕΣ</v>
      </c>
    </row>
    <row r="1946" spans="1:12" s="3" customFormat="1" ht="24" x14ac:dyDescent="0.25">
      <c r="A1946" s="3" t="str">
        <f t="shared" si="60"/>
        <v>ΕΛΑΙΩΝΕΣFRANTOIO, ΓΙΑ ΠΑΡΑΓΩΓΗ ΕΛΑΙΟΛΑΔΟΥ</v>
      </c>
      <c r="B1946" s="4" t="s">
        <v>3545</v>
      </c>
      <c r="C1946" s="5" t="s">
        <v>3644</v>
      </c>
      <c r="D1946" s="6">
        <v>1821.1</v>
      </c>
      <c r="E1946" s="6">
        <v>1722.44</v>
      </c>
      <c r="F1946" s="7" t="s">
        <v>14</v>
      </c>
      <c r="G1946" s="8" t="s">
        <v>3645</v>
      </c>
      <c r="H1946" s="8" t="s">
        <v>16</v>
      </c>
      <c r="I1946" s="9">
        <v>1184</v>
      </c>
      <c r="J1946" s="10">
        <v>15</v>
      </c>
      <c r="K1946" s="10">
        <v>1000202</v>
      </c>
      <c r="L1946" s="3" t="str">
        <f t="shared" si="61"/>
        <v>ΕΛΑΙΩΝΕΣ</v>
      </c>
    </row>
    <row r="1947" spans="1:12" s="3" customFormat="1" ht="24" x14ac:dyDescent="0.25">
      <c r="A1947" s="3" t="str">
        <f t="shared" si="60"/>
        <v>ΕΛΑΙΩΝΕΣΧΑΛΚΙΔΙΚΗΣ, ΓΙΑ ΠΑΡΑΓΩΓΗ ΕΛΑΙΟΛΑΔΟΥ</v>
      </c>
      <c r="B1947" s="4" t="s">
        <v>3545</v>
      </c>
      <c r="C1947" s="5" t="s">
        <v>3646</v>
      </c>
      <c r="D1947" s="6">
        <v>1821.1</v>
      </c>
      <c r="E1947" s="6">
        <v>1722.44</v>
      </c>
      <c r="F1947" s="7" t="s">
        <v>14</v>
      </c>
      <c r="G1947" s="8" t="s">
        <v>3647</v>
      </c>
      <c r="H1947" s="8" t="s">
        <v>16</v>
      </c>
      <c r="I1947" s="9">
        <v>1183</v>
      </c>
      <c r="J1947" s="10">
        <v>15</v>
      </c>
      <c r="K1947" s="10">
        <v>1000203</v>
      </c>
      <c r="L1947" s="3" t="str">
        <f t="shared" si="61"/>
        <v>ΕΛΑΙΩΝΕΣ</v>
      </c>
    </row>
    <row r="1948" spans="1:12" s="3" customFormat="1" ht="24" x14ac:dyDescent="0.25">
      <c r="A1948" s="3" t="str">
        <f t="shared" si="60"/>
        <v>ΕΛΑΙΩΝΕΣΧΟΝΔΡΟΛΗΑ, ΓΙΑ ΠΑΡΑΓΩΓΗ ΕΛΑΙΟΛΑΔΟΥ</v>
      </c>
      <c r="B1948" s="4" t="s">
        <v>3545</v>
      </c>
      <c r="C1948" s="5" t="s">
        <v>3648</v>
      </c>
      <c r="D1948" s="6">
        <v>1821.1</v>
      </c>
      <c r="E1948" s="6">
        <v>1722.44</v>
      </c>
      <c r="F1948" s="7" t="s">
        <v>14</v>
      </c>
      <c r="G1948" s="8" t="s">
        <v>3649</v>
      </c>
      <c r="H1948" s="8" t="s">
        <v>16</v>
      </c>
      <c r="I1948" s="9">
        <v>1182</v>
      </c>
      <c r="J1948" s="10">
        <v>15</v>
      </c>
      <c r="K1948" s="10">
        <v>1000204</v>
      </c>
      <c r="L1948" s="3" t="str">
        <f t="shared" si="61"/>
        <v>ΕΛΑΙΩΝΕΣ</v>
      </c>
    </row>
    <row r="1949" spans="1:12" s="3" customFormat="1" ht="31.5" x14ac:dyDescent="0.25">
      <c r="A1949" s="3" t="str">
        <f t="shared" si="60"/>
        <v>ΕΛΑΙΩΝΕΣΧΟΝΔΡΟΛΗΑ ΧΑΛΚΙΔΙΚΗΣ, ΓΙΑ ΠΑΡΑΓΩΓΗ ΕΛΑΙΟΛΑΔΟΥ</v>
      </c>
      <c r="B1949" s="4" t="s">
        <v>3545</v>
      </c>
      <c r="C1949" s="5" t="s">
        <v>3650</v>
      </c>
      <c r="D1949" s="6">
        <v>1821.1</v>
      </c>
      <c r="E1949" s="6">
        <v>1722.44</v>
      </c>
      <c r="F1949" s="7" t="s">
        <v>14</v>
      </c>
      <c r="G1949" s="8" t="s">
        <v>3651</v>
      </c>
      <c r="H1949" s="8" t="s">
        <v>16</v>
      </c>
      <c r="I1949" s="9">
        <v>1181</v>
      </c>
      <c r="J1949" s="10">
        <v>15</v>
      </c>
      <c r="K1949" s="10">
        <v>1000205</v>
      </c>
      <c r="L1949" s="3" t="str">
        <f t="shared" si="61"/>
        <v>ΕΛΑΙΩΝΕΣ</v>
      </c>
    </row>
    <row r="1950" spans="1:12" s="3" customFormat="1" ht="24" x14ac:dyDescent="0.25">
      <c r="A1950" s="3" t="str">
        <f t="shared" si="60"/>
        <v>ΕΛΑΙΩΝΕΣΧΡΥΣΟΛΙΑ, ΓΙΑ ΠΑΡΑΓΩΓΗ ΕΛΑΙΟΛΑΔΟΥ</v>
      </c>
      <c r="B1950" s="4" t="s">
        <v>3545</v>
      </c>
      <c r="C1950" s="5" t="s">
        <v>3652</v>
      </c>
      <c r="D1950" s="6">
        <v>1821.1</v>
      </c>
      <c r="E1950" s="6">
        <v>1722.44</v>
      </c>
      <c r="F1950" s="7" t="s">
        <v>14</v>
      </c>
      <c r="G1950" s="8" t="s">
        <v>3653</v>
      </c>
      <c r="H1950" s="8" t="s">
        <v>16</v>
      </c>
      <c r="I1950" s="9">
        <v>1180</v>
      </c>
      <c r="J1950" s="10">
        <v>15</v>
      </c>
      <c r="K1950" s="10">
        <v>1000206</v>
      </c>
      <c r="L1950" s="3" t="str">
        <f t="shared" si="61"/>
        <v>ΕΛΑΙΩΝΕΣ</v>
      </c>
    </row>
    <row r="1951" spans="1:12" s="3" customFormat="1" ht="24" x14ac:dyDescent="0.25">
      <c r="A1951" s="3" t="str">
        <f t="shared" si="60"/>
        <v>ΕΛΑΙΩΝΕΣSEVILLANO, ΓΙΑ ΠΑΡΑΓΩΓΗ ΕΛΑΙΟΛΑΔΟΥ</v>
      </c>
      <c r="B1951" s="4" t="s">
        <v>3545</v>
      </c>
      <c r="C1951" s="5" t="s">
        <v>3654</v>
      </c>
      <c r="D1951" s="6">
        <v>1821.1</v>
      </c>
      <c r="E1951" s="6">
        <v>1722.44</v>
      </c>
      <c r="F1951" s="7" t="s">
        <v>14</v>
      </c>
      <c r="G1951" s="8" t="s">
        <v>3655</v>
      </c>
      <c r="H1951" s="8" t="s">
        <v>16</v>
      </c>
      <c r="I1951" s="9">
        <v>1179</v>
      </c>
      <c r="J1951" s="10">
        <v>15</v>
      </c>
      <c r="K1951" s="10">
        <v>1000207</v>
      </c>
      <c r="L1951" s="3" t="str">
        <f t="shared" si="61"/>
        <v>ΕΛΑΙΩΝΕΣ</v>
      </c>
    </row>
    <row r="1952" spans="1:12" s="3" customFormat="1" ht="24" x14ac:dyDescent="0.25">
      <c r="A1952" s="3" t="str">
        <f t="shared" si="60"/>
        <v>ΕΛΑΙΩΝΕΣOBLONCA, ΓΙΑ ΠΑΡΑΓΩΓΗ ΕΛΑΙΟΛΑΔΟΥ</v>
      </c>
      <c r="B1952" s="4" t="s">
        <v>3545</v>
      </c>
      <c r="C1952" s="5" t="s">
        <v>3656</v>
      </c>
      <c r="D1952" s="6">
        <v>1821.1</v>
      </c>
      <c r="E1952" s="6">
        <v>1722.44</v>
      </c>
      <c r="F1952" s="7" t="s">
        <v>14</v>
      </c>
      <c r="G1952" s="8" t="s">
        <v>3657</v>
      </c>
      <c r="H1952" s="8" t="s">
        <v>16</v>
      </c>
      <c r="I1952" s="9">
        <v>1178</v>
      </c>
      <c r="J1952" s="10">
        <v>15</v>
      </c>
      <c r="K1952" s="10">
        <v>1000208</v>
      </c>
      <c r="L1952" s="3" t="str">
        <f t="shared" si="61"/>
        <v>ΕΛΑΙΩΝΕΣ</v>
      </c>
    </row>
    <row r="1953" spans="1:12" s="3" customFormat="1" ht="24" x14ac:dyDescent="0.25">
      <c r="A1953" s="3" t="str">
        <f t="shared" si="60"/>
        <v>ΕΛΑΙΩΝΕΣKADESH, ΓΙΑ ΠΑΡΑΓΩΓΗ ΕΛΑΙΟΛΑΔΟΥ</v>
      </c>
      <c r="B1953" s="4" t="s">
        <v>3545</v>
      </c>
      <c r="C1953" s="5" t="s">
        <v>3658</v>
      </c>
      <c r="D1953" s="6">
        <v>1821.1</v>
      </c>
      <c r="E1953" s="6">
        <v>1722.44</v>
      </c>
      <c r="F1953" s="7" t="s">
        <v>14</v>
      </c>
      <c r="G1953" s="8" t="s">
        <v>3659</v>
      </c>
      <c r="H1953" s="8" t="s">
        <v>16</v>
      </c>
      <c r="I1953" s="9">
        <v>1177</v>
      </c>
      <c r="J1953" s="10">
        <v>15</v>
      </c>
      <c r="K1953" s="10">
        <v>1000209</v>
      </c>
      <c r="L1953" s="3" t="str">
        <f t="shared" si="61"/>
        <v>ΕΛΑΙΩΝΕΣ</v>
      </c>
    </row>
    <row r="1954" spans="1:12" s="3" customFormat="1" ht="24" x14ac:dyDescent="0.25">
      <c r="A1954" s="3" t="str">
        <f t="shared" si="60"/>
        <v>ΕΛΑΙΩΝΕΣSOYRI, ΓΙΑ ΠΑΡΑΓΩΓΗ ΕΛΑΙΟΛΑΔΟΥ</v>
      </c>
      <c r="B1954" s="4" t="s">
        <v>3545</v>
      </c>
      <c r="C1954" s="5" t="s">
        <v>3660</v>
      </c>
      <c r="D1954" s="6">
        <v>1821.1</v>
      </c>
      <c r="E1954" s="6">
        <v>1722.44</v>
      </c>
      <c r="F1954" s="7" t="s">
        <v>14</v>
      </c>
      <c r="G1954" s="8" t="s">
        <v>3661</v>
      </c>
      <c r="H1954" s="8" t="s">
        <v>16</v>
      </c>
      <c r="I1954" s="9">
        <v>1176</v>
      </c>
      <c r="J1954" s="10">
        <v>15</v>
      </c>
      <c r="K1954" s="10">
        <v>1000210</v>
      </c>
      <c r="L1954" s="3" t="str">
        <f t="shared" si="61"/>
        <v>ΕΛΑΙΩΝΕΣ</v>
      </c>
    </row>
    <row r="1955" spans="1:12" s="3" customFormat="1" ht="24" x14ac:dyDescent="0.25">
      <c r="A1955" s="3" t="str">
        <f t="shared" si="60"/>
        <v>ΕΛΑΙΩΝΕΣZARZARIEGA, ΓΙΑ ΠΑΡΑΓΩΓΗ ΕΛΑΙΟΛΑΔΟΥ</v>
      </c>
      <c r="B1955" s="4" t="s">
        <v>3545</v>
      </c>
      <c r="C1955" s="5" t="s">
        <v>3662</v>
      </c>
      <c r="D1955" s="6">
        <v>1821.1</v>
      </c>
      <c r="E1955" s="6">
        <v>1722.44</v>
      </c>
      <c r="F1955" s="7" t="s">
        <v>14</v>
      </c>
      <c r="G1955" s="8" t="s">
        <v>3663</v>
      </c>
      <c r="H1955" s="8" t="s">
        <v>16</v>
      </c>
      <c r="I1955" s="9">
        <v>1175</v>
      </c>
      <c r="J1955" s="10">
        <v>15</v>
      </c>
      <c r="K1955" s="10">
        <v>1000211</v>
      </c>
      <c r="L1955" s="3" t="str">
        <f t="shared" si="61"/>
        <v>ΕΛΑΙΩΝΕΣ</v>
      </c>
    </row>
    <row r="1956" spans="1:12" s="3" customFormat="1" ht="24" x14ac:dyDescent="0.25">
      <c r="A1956" s="3" t="str">
        <f t="shared" si="60"/>
        <v>ΕΛΑΙΩΝΕΣCORNICABRA, ΓΙΑ ΠΑΡΑΓΩΓΗ ΕΛΑΙΟΛΑΔΟΥ</v>
      </c>
      <c r="B1956" s="4" t="s">
        <v>3545</v>
      </c>
      <c r="C1956" s="5" t="s">
        <v>3664</v>
      </c>
      <c r="D1956" s="6">
        <v>1821.1</v>
      </c>
      <c r="E1956" s="6">
        <v>1722.44</v>
      </c>
      <c r="F1956" s="7" t="s">
        <v>14</v>
      </c>
      <c r="G1956" s="8" t="s">
        <v>3665</v>
      </c>
      <c r="H1956" s="8" t="s">
        <v>16</v>
      </c>
      <c r="I1956" s="9">
        <v>1174</v>
      </c>
      <c r="J1956" s="10">
        <v>15</v>
      </c>
      <c r="K1956" s="10">
        <v>1000212</v>
      </c>
      <c r="L1956" s="3" t="str">
        <f t="shared" si="61"/>
        <v>ΕΛΑΙΩΝΕΣ</v>
      </c>
    </row>
    <row r="1957" spans="1:12" s="3" customFormat="1" ht="24" x14ac:dyDescent="0.25">
      <c r="A1957" s="3" t="str">
        <f t="shared" si="60"/>
        <v>ΕΛΑΙΩΝΕΣECIJANO, ΓΙΑ ΠΑΡΑΓΩΓΗ ΕΛΑΙΟΛΑΔΟΥ</v>
      </c>
      <c r="B1957" s="4" t="s">
        <v>3545</v>
      </c>
      <c r="C1957" s="5" t="s">
        <v>3666</v>
      </c>
      <c r="D1957" s="6">
        <v>1821.1</v>
      </c>
      <c r="E1957" s="6">
        <v>1722.44</v>
      </c>
      <c r="F1957" s="7" t="s">
        <v>14</v>
      </c>
      <c r="G1957" s="8" t="s">
        <v>3667</v>
      </c>
      <c r="H1957" s="8" t="s">
        <v>16</v>
      </c>
      <c r="I1957" s="9">
        <v>1158</v>
      </c>
      <c r="J1957" s="10">
        <v>15</v>
      </c>
      <c r="K1957" s="10">
        <v>1000213</v>
      </c>
      <c r="L1957" s="3" t="str">
        <f t="shared" si="61"/>
        <v>ΕΛΑΙΩΝΕΣ</v>
      </c>
    </row>
    <row r="1958" spans="1:12" s="3" customFormat="1" ht="24" x14ac:dyDescent="0.25">
      <c r="A1958" s="3" t="str">
        <f t="shared" si="60"/>
        <v>ΕΛΑΙΩΝΕΣVERDIAL, ΓΙΑ ΠΑΡΑΓΩΓΗ ΕΛΑΙΟΛΑΔΟΥ</v>
      </c>
      <c r="B1958" s="4" t="s">
        <v>3545</v>
      </c>
      <c r="C1958" s="5" t="s">
        <v>3668</v>
      </c>
      <c r="D1958" s="6">
        <v>1821.1</v>
      </c>
      <c r="E1958" s="6">
        <v>1722.44</v>
      </c>
      <c r="F1958" s="7" t="s">
        <v>14</v>
      </c>
      <c r="G1958" s="8" t="s">
        <v>3669</v>
      </c>
      <c r="H1958" s="8" t="s">
        <v>16</v>
      </c>
      <c r="I1958" s="9">
        <v>1172</v>
      </c>
      <c r="J1958" s="10">
        <v>15</v>
      </c>
      <c r="K1958" s="10">
        <v>1000214</v>
      </c>
      <c r="L1958" s="3" t="str">
        <f t="shared" si="61"/>
        <v>ΕΛΑΙΩΝΕΣ</v>
      </c>
    </row>
    <row r="1959" spans="1:12" s="3" customFormat="1" ht="24" x14ac:dyDescent="0.25">
      <c r="A1959" s="3" t="str">
        <f t="shared" si="60"/>
        <v>ΕΛΑΙΩΝΕΣBAROUNI, ΓΙΑ ΠΑΡΑΓΩΓΗ ΕΛΑΙΟΛΑΔΟΥ</v>
      </c>
      <c r="B1959" s="4" t="s">
        <v>3545</v>
      </c>
      <c r="C1959" s="5" t="s">
        <v>3670</v>
      </c>
      <c r="D1959" s="6">
        <v>1821.1</v>
      </c>
      <c r="E1959" s="6">
        <v>1722.44</v>
      </c>
      <c r="F1959" s="7" t="s">
        <v>14</v>
      </c>
      <c r="G1959" s="8" t="s">
        <v>3671</v>
      </c>
      <c r="H1959" s="8" t="s">
        <v>16</v>
      </c>
      <c r="I1959" s="9">
        <v>1187</v>
      </c>
      <c r="J1959" s="10">
        <v>15</v>
      </c>
      <c r="K1959" s="10">
        <v>1000215</v>
      </c>
      <c r="L1959" s="3" t="str">
        <f t="shared" si="61"/>
        <v>ΕΛΑΙΩΝΕΣ</v>
      </c>
    </row>
    <row r="1960" spans="1:12" s="3" customFormat="1" ht="24" x14ac:dyDescent="0.25">
      <c r="A1960" s="3" t="str">
        <f t="shared" si="60"/>
        <v>ΕΛΑΙΩΝΕΣPIACENTE, ΓΙΑ ΠΑΡΑΓΩΓΗ ΕΛΑΙΟΛΑΔΟΥ</v>
      </c>
      <c r="B1960" s="4" t="s">
        <v>3545</v>
      </c>
      <c r="C1960" s="5" t="s">
        <v>3672</v>
      </c>
      <c r="D1960" s="6">
        <v>1821.1</v>
      </c>
      <c r="E1960" s="6">
        <v>1722.44</v>
      </c>
      <c r="F1960" s="7" t="s">
        <v>14</v>
      </c>
      <c r="G1960" s="8" t="s">
        <v>3673</v>
      </c>
      <c r="H1960" s="8" t="s">
        <v>16</v>
      </c>
      <c r="I1960" s="9">
        <v>1170</v>
      </c>
      <c r="J1960" s="10">
        <v>15</v>
      </c>
      <c r="K1960" s="10">
        <v>1000216</v>
      </c>
      <c r="L1960" s="3" t="str">
        <f t="shared" si="61"/>
        <v>ΕΛΑΙΩΝΕΣ</v>
      </c>
    </row>
    <row r="1961" spans="1:12" s="3" customFormat="1" ht="24" x14ac:dyDescent="0.25">
      <c r="A1961" s="3" t="str">
        <f t="shared" si="60"/>
        <v>ΕΛΑΙΩΝΕΣDOLCE AGOCIA, ΓΙΑ ΠΑΡΑΓΩΓΗ ΕΛΑΙΟΛΑΔΟΥ</v>
      </c>
      <c r="B1961" s="4" t="s">
        <v>3545</v>
      </c>
      <c r="C1961" s="5" t="s">
        <v>3674</v>
      </c>
      <c r="D1961" s="6">
        <v>1821.1</v>
      </c>
      <c r="E1961" s="6">
        <v>1722.44</v>
      </c>
      <c r="F1961" s="7" t="s">
        <v>14</v>
      </c>
      <c r="G1961" s="8" t="s">
        <v>3675</v>
      </c>
      <c r="H1961" s="8" t="s">
        <v>16</v>
      </c>
      <c r="I1961" s="9">
        <v>1169</v>
      </c>
      <c r="J1961" s="10">
        <v>15</v>
      </c>
      <c r="K1961" s="10">
        <v>1000217</v>
      </c>
      <c r="L1961" s="3" t="str">
        <f t="shared" si="61"/>
        <v>ΕΛΑΙΩΝΕΣ</v>
      </c>
    </row>
    <row r="1962" spans="1:12" s="3" customFormat="1" ht="24" x14ac:dyDescent="0.25">
      <c r="A1962" s="3" t="str">
        <f t="shared" si="60"/>
        <v>ΕΛΑΙΩΝΕΣHOJIBLANCA, ΓΙΑ ΠΑΡΑΓΩΓΗ ΕΛΑΙΟΛΑΔΟΥ</v>
      </c>
      <c r="B1962" s="4" t="s">
        <v>3545</v>
      </c>
      <c r="C1962" s="5" t="s">
        <v>3676</v>
      </c>
      <c r="D1962" s="6">
        <v>1821.1</v>
      </c>
      <c r="E1962" s="6">
        <v>1722.44</v>
      </c>
      <c r="F1962" s="7" t="s">
        <v>14</v>
      </c>
      <c r="G1962" s="8" t="s">
        <v>3677</v>
      </c>
      <c r="H1962" s="8" t="s">
        <v>16</v>
      </c>
      <c r="I1962" s="9">
        <v>1168</v>
      </c>
      <c r="J1962" s="10">
        <v>15</v>
      </c>
      <c r="K1962" s="10">
        <v>1000218</v>
      </c>
      <c r="L1962" s="3" t="str">
        <f t="shared" si="61"/>
        <v>ΕΛΑΙΩΝΕΣ</v>
      </c>
    </row>
    <row r="1963" spans="1:12" s="3" customFormat="1" ht="24" x14ac:dyDescent="0.25">
      <c r="A1963" s="3" t="str">
        <f t="shared" si="60"/>
        <v>ΕΛΑΙΩΝΕΣCORATINA, ΓΙΑ ΠΑΡΑΓΩΓΗ ΕΛΑΙΟΛΑΔΟΥ</v>
      </c>
      <c r="B1963" s="4" t="s">
        <v>3545</v>
      </c>
      <c r="C1963" s="5" t="s">
        <v>3678</v>
      </c>
      <c r="D1963" s="6">
        <v>1821.1</v>
      </c>
      <c r="E1963" s="6">
        <v>1722.44</v>
      </c>
      <c r="F1963" s="7" t="s">
        <v>14</v>
      </c>
      <c r="G1963" s="8" t="s">
        <v>3679</v>
      </c>
      <c r="H1963" s="8" t="s">
        <v>16</v>
      </c>
      <c r="I1963" s="9">
        <v>1167</v>
      </c>
      <c r="J1963" s="10">
        <v>15</v>
      </c>
      <c r="K1963" s="10">
        <v>1000219</v>
      </c>
      <c r="L1963" s="3" t="str">
        <f t="shared" si="61"/>
        <v>ΕΛΑΙΩΝΕΣ</v>
      </c>
    </row>
    <row r="1964" spans="1:12" s="3" customFormat="1" ht="24" x14ac:dyDescent="0.25">
      <c r="A1964" s="3" t="str">
        <f t="shared" si="60"/>
        <v>ΕΛΑΙΩΝΕΣNEGRAL, ΓΙΑ ΠΑΡΑΓΩΓΗ ΕΛΑΙΟΛΑΔΟΥ</v>
      </c>
      <c r="B1964" s="4" t="s">
        <v>3545</v>
      </c>
      <c r="C1964" s="5" t="s">
        <v>3680</v>
      </c>
      <c r="D1964" s="6">
        <v>1821.1</v>
      </c>
      <c r="E1964" s="6">
        <v>1722.44</v>
      </c>
      <c r="F1964" s="7" t="s">
        <v>14</v>
      </c>
      <c r="G1964" s="8" t="s">
        <v>3681</v>
      </c>
      <c r="H1964" s="8" t="s">
        <v>16</v>
      </c>
      <c r="I1964" s="9">
        <v>1166</v>
      </c>
      <c r="J1964" s="10">
        <v>15</v>
      </c>
      <c r="K1964" s="10">
        <v>1000220</v>
      </c>
      <c r="L1964" s="3" t="str">
        <f t="shared" si="61"/>
        <v>ΕΛΑΙΩΝΕΣ</v>
      </c>
    </row>
    <row r="1965" spans="1:12" s="3" customFormat="1" ht="24" x14ac:dyDescent="0.25">
      <c r="A1965" s="3" t="str">
        <f t="shared" si="60"/>
        <v>ΕΛΑΙΩΝΕΣFARGA, ΓΙΑ ΠΑΡΑΓΩΓΗ ΕΛΑΙΟΛΑΔΟΥ</v>
      </c>
      <c r="B1965" s="4" t="s">
        <v>3545</v>
      </c>
      <c r="C1965" s="5" t="s">
        <v>3682</v>
      </c>
      <c r="D1965" s="6">
        <v>1821.1</v>
      </c>
      <c r="E1965" s="6">
        <v>1722.44</v>
      </c>
      <c r="F1965" s="7" t="s">
        <v>14</v>
      </c>
      <c r="G1965" s="8" t="s">
        <v>3683</v>
      </c>
      <c r="H1965" s="8" t="s">
        <v>16</v>
      </c>
      <c r="I1965" s="9">
        <v>1165</v>
      </c>
      <c r="J1965" s="10">
        <v>15</v>
      </c>
      <c r="K1965" s="10">
        <v>1000221</v>
      </c>
      <c r="L1965" s="3" t="str">
        <f t="shared" si="61"/>
        <v>ΕΛΑΙΩΝΕΣ</v>
      </c>
    </row>
    <row r="1966" spans="1:12" s="3" customFormat="1" ht="24" x14ac:dyDescent="0.25">
      <c r="A1966" s="3" t="str">
        <f t="shared" si="60"/>
        <v>ΕΛΑΙΩΝΕΣNABAL, ΓΙΑ ΠΑΡΑΓΩΓΗ ΕΛΑΙΟΛΑΔΟΥ</v>
      </c>
      <c r="B1966" s="4" t="s">
        <v>3545</v>
      </c>
      <c r="C1966" s="5" t="s">
        <v>3684</v>
      </c>
      <c r="D1966" s="6">
        <v>1821.1</v>
      </c>
      <c r="E1966" s="6">
        <v>1722.44</v>
      </c>
      <c r="F1966" s="7" t="s">
        <v>14</v>
      </c>
      <c r="G1966" s="8" t="s">
        <v>3685</v>
      </c>
      <c r="H1966" s="8" t="s">
        <v>16</v>
      </c>
      <c r="I1966" s="9">
        <v>1164</v>
      </c>
      <c r="J1966" s="10">
        <v>15</v>
      </c>
      <c r="K1966" s="10">
        <v>1000222</v>
      </c>
      <c r="L1966" s="3" t="str">
        <f t="shared" si="61"/>
        <v>ΕΛΑΙΩΝΕΣ</v>
      </c>
    </row>
    <row r="1967" spans="1:12" s="3" customFormat="1" ht="24" x14ac:dyDescent="0.25">
      <c r="A1967" s="3" t="str">
        <f t="shared" si="60"/>
        <v>ΕΛΑΙΩΝΕΣMORISCA, ΓΙΑ ΠΑΡΑΓΩΓΗ ΕΛΑΙΟΛΑΔΟΥ</v>
      </c>
      <c r="B1967" s="4" t="s">
        <v>3545</v>
      </c>
      <c r="C1967" s="5" t="s">
        <v>3686</v>
      </c>
      <c r="D1967" s="6">
        <v>1821.1</v>
      </c>
      <c r="E1967" s="6">
        <v>1722.44</v>
      </c>
      <c r="F1967" s="7" t="s">
        <v>14</v>
      </c>
      <c r="G1967" s="8" t="s">
        <v>3687</v>
      </c>
      <c r="H1967" s="8" t="s">
        <v>16</v>
      </c>
      <c r="I1967" s="9">
        <v>1163</v>
      </c>
      <c r="J1967" s="10">
        <v>15</v>
      </c>
      <c r="K1967" s="10">
        <v>1000223</v>
      </c>
      <c r="L1967" s="3" t="str">
        <f t="shared" si="61"/>
        <v>ΕΛΑΙΩΝΕΣ</v>
      </c>
    </row>
    <row r="1968" spans="1:12" s="3" customFormat="1" ht="24" x14ac:dyDescent="0.25">
      <c r="A1968" s="3" t="str">
        <f t="shared" si="60"/>
        <v>ΕΛΑΙΩΝΕΣEMPELTRE, ΓΙΑ ΠΑΡΑΓΩΓΗ ΕΛΑΙΟΛΑΔΟΥ</v>
      </c>
      <c r="B1968" s="4" t="s">
        <v>3545</v>
      </c>
      <c r="C1968" s="5" t="s">
        <v>3688</v>
      </c>
      <c r="D1968" s="6">
        <v>1821.1</v>
      </c>
      <c r="E1968" s="6">
        <v>1722.44</v>
      </c>
      <c r="F1968" s="7" t="s">
        <v>14</v>
      </c>
      <c r="G1968" s="8" t="s">
        <v>3689</v>
      </c>
      <c r="H1968" s="8" t="s">
        <v>16</v>
      </c>
      <c r="I1968" s="9">
        <v>1162</v>
      </c>
      <c r="J1968" s="10">
        <v>15</v>
      </c>
      <c r="K1968" s="10">
        <v>1000224</v>
      </c>
      <c r="L1968" s="3" t="str">
        <f t="shared" si="61"/>
        <v>ΕΛΑΙΩΝΕΣ</v>
      </c>
    </row>
    <row r="1969" spans="1:12" s="3" customFormat="1" ht="24" x14ac:dyDescent="0.25">
      <c r="A1969" s="3" t="str">
        <f t="shared" si="60"/>
        <v>ΕΛΑΙΩΝΕΣCASALIVA, ΓΙΑ ΠΑΡΑΓΩΓΗ ΕΛΑΙΟΛΑΔΟΥ</v>
      </c>
      <c r="B1969" s="4" t="s">
        <v>3545</v>
      </c>
      <c r="C1969" s="5" t="s">
        <v>3690</v>
      </c>
      <c r="D1969" s="6">
        <v>1821.1</v>
      </c>
      <c r="E1969" s="6">
        <v>1722.44</v>
      </c>
      <c r="F1969" s="7" t="s">
        <v>14</v>
      </c>
      <c r="G1969" s="8" t="s">
        <v>3691</v>
      </c>
      <c r="H1969" s="8" t="s">
        <v>16</v>
      </c>
      <c r="I1969" s="9">
        <v>1161</v>
      </c>
      <c r="J1969" s="10">
        <v>15</v>
      </c>
      <c r="K1969" s="10">
        <v>1000225</v>
      </c>
      <c r="L1969" s="3" t="str">
        <f t="shared" si="61"/>
        <v>ΕΛΑΙΩΝΕΣ</v>
      </c>
    </row>
    <row r="1970" spans="1:12" s="3" customFormat="1" ht="24" x14ac:dyDescent="0.25">
      <c r="A1970" s="3" t="str">
        <f t="shared" si="60"/>
        <v>ΕΛΑΙΩΝΕΣLEUCOCARPA, ΓΙΑ ΠΑΡΑΓΩΓΗ ΕΛΑΙΟΛΑΔΟΥ</v>
      </c>
      <c r="B1970" s="4" t="s">
        <v>3545</v>
      </c>
      <c r="C1970" s="5" t="s">
        <v>3692</v>
      </c>
      <c r="D1970" s="6">
        <v>1821.1</v>
      </c>
      <c r="E1970" s="6">
        <v>1722.44</v>
      </c>
      <c r="F1970" s="7" t="s">
        <v>14</v>
      </c>
      <c r="G1970" s="8" t="s">
        <v>3693</v>
      </c>
      <c r="H1970" s="8" t="s">
        <v>16</v>
      </c>
      <c r="I1970" s="9">
        <v>1160</v>
      </c>
      <c r="J1970" s="10">
        <v>15</v>
      </c>
      <c r="K1970" s="10">
        <v>1000226</v>
      </c>
      <c r="L1970" s="3" t="str">
        <f t="shared" si="61"/>
        <v>ΕΛΑΙΩΝΕΣ</v>
      </c>
    </row>
    <row r="1971" spans="1:12" s="3" customFormat="1" ht="24" x14ac:dyDescent="0.25">
      <c r="A1971" s="3" t="str">
        <f t="shared" si="60"/>
        <v>ΕΛΑΙΩΝΕΣCORNEZUELO, ΓΙΑ ΠΑΡΑΓΩΓΗ ΕΛΑΙΟΛΑΔΟΥ</v>
      </c>
      <c r="B1971" s="4" t="s">
        <v>3545</v>
      </c>
      <c r="C1971" s="5" t="s">
        <v>3694</v>
      </c>
      <c r="D1971" s="6">
        <v>1821.1</v>
      </c>
      <c r="E1971" s="6">
        <v>1722.44</v>
      </c>
      <c r="F1971" s="7" t="s">
        <v>14</v>
      </c>
      <c r="G1971" s="8" t="s">
        <v>3695</v>
      </c>
      <c r="H1971" s="8" t="s">
        <v>16</v>
      </c>
      <c r="I1971" s="9">
        <v>1201</v>
      </c>
      <c r="J1971" s="10">
        <v>15</v>
      </c>
      <c r="K1971" s="10">
        <v>1000227</v>
      </c>
      <c r="L1971" s="3" t="str">
        <f t="shared" si="61"/>
        <v>ΕΛΑΙΩΝΕΣ</v>
      </c>
    </row>
    <row r="1972" spans="1:12" s="3" customFormat="1" ht="24" x14ac:dyDescent="0.25">
      <c r="A1972" s="3" t="str">
        <f t="shared" si="60"/>
        <v>ΕΛΑΙΩΝΕΣRAZZOLA, ΓΙΑ ΠΑΡΑΓΩΓΗ ΕΛΑΙΟΛΑΔΟΥ</v>
      </c>
      <c r="B1972" s="4" t="s">
        <v>3545</v>
      </c>
      <c r="C1972" s="5" t="s">
        <v>3696</v>
      </c>
      <c r="D1972" s="6">
        <v>1821.1</v>
      </c>
      <c r="E1972" s="6">
        <v>1722.44</v>
      </c>
      <c r="F1972" s="7" t="s">
        <v>14</v>
      </c>
      <c r="G1972" s="8" t="s">
        <v>3697</v>
      </c>
      <c r="H1972" s="8" t="s">
        <v>16</v>
      </c>
      <c r="I1972" s="9">
        <v>1171</v>
      </c>
      <c r="J1972" s="10">
        <v>15</v>
      </c>
      <c r="K1972" s="10">
        <v>1000228</v>
      </c>
      <c r="L1972" s="3" t="str">
        <f t="shared" si="61"/>
        <v>ΕΛΑΙΩΝΕΣ</v>
      </c>
    </row>
    <row r="1973" spans="1:12" s="3" customFormat="1" ht="24" x14ac:dyDescent="0.25">
      <c r="A1973" s="3" t="str">
        <f t="shared" si="60"/>
        <v>ΕΛΑΙΩΝΕΣFECCIARO, ΓΙΑ ΠΑΡΑΓΩΓΗ ΕΛΑΙΟΛΑΔΟΥ</v>
      </c>
      <c r="B1973" s="4" t="s">
        <v>3545</v>
      </c>
      <c r="C1973" s="5" t="s">
        <v>3698</v>
      </c>
      <c r="D1973" s="6">
        <v>1821.1</v>
      </c>
      <c r="E1973" s="6">
        <v>1722.44</v>
      </c>
      <c r="F1973" s="7" t="s">
        <v>14</v>
      </c>
      <c r="G1973" s="8" t="s">
        <v>3699</v>
      </c>
      <c r="H1973" s="8" t="s">
        <v>16</v>
      </c>
      <c r="I1973" s="9">
        <v>1173</v>
      </c>
      <c r="J1973" s="10">
        <v>15</v>
      </c>
      <c r="K1973" s="10">
        <v>1000229</v>
      </c>
      <c r="L1973" s="3" t="str">
        <f t="shared" si="61"/>
        <v>ΕΛΑΙΩΝΕΣ</v>
      </c>
    </row>
    <row r="1974" spans="1:12" s="3" customFormat="1" ht="24" x14ac:dyDescent="0.25">
      <c r="A1974" s="3" t="str">
        <f t="shared" si="60"/>
        <v>ΕΛΑΙΩΝΕΣCUCCO, ΓΙΑ ΠΑΡΑΓΩΓΗ ΕΛΑΙΟΛΑΔΟΥ</v>
      </c>
      <c r="B1974" s="4" t="s">
        <v>3545</v>
      </c>
      <c r="C1974" s="5" t="s">
        <v>3700</v>
      </c>
      <c r="D1974" s="6">
        <v>1821.1</v>
      </c>
      <c r="E1974" s="6">
        <v>1722.44</v>
      </c>
      <c r="F1974" s="7" t="s">
        <v>14</v>
      </c>
      <c r="G1974" s="8" t="s">
        <v>3701</v>
      </c>
      <c r="H1974" s="8" t="s">
        <v>16</v>
      </c>
      <c r="I1974" s="9">
        <v>1216</v>
      </c>
      <c r="J1974" s="10">
        <v>15</v>
      </c>
      <c r="K1974" s="10">
        <v>1000230</v>
      </c>
      <c r="L1974" s="3" t="str">
        <f t="shared" si="61"/>
        <v>ΕΛΑΙΩΝΕΣ</v>
      </c>
    </row>
    <row r="1975" spans="1:12" s="3" customFormat="1" ht="24" x14ac:dyDescent="0.25">
      <c r="A1975" s="3" t="str">
        <f t="shared" si="60"/>
        <v>ΕΛΑΙΩΝΕΣMAURINO, ΓΙΑ ΠΑΡΑΓΩΓΗ ΕΛΑΙΟΛΑΔΟΥ</v>
      </c>
      <c r="B1975" s="4" t="s">
        <v>3545</v>
      </c>
      <c r="C1975" s="5" t="s">
        <v>3702</v>
      </c>
      <c r="D1975" s="6">
        <v>1821.1</v>
      </c>
      <c r="E1975" s="6">
        <v>1722.44</v>
      </c>
      <c r="F1975" s="7" t="s">
        <v>14</v>
      </c>
      <c r="G1975" s="8" t="s">
        <v>3703</v>
      </c>
      <c r="H1975" s="8" t="s">
        <v>16</v>
      </c>
      <c r="I1975" s="9">
        <v>1215</v>
      </c>
      <c r="J1975" s="10">
        <v>15</v>
      </c>
      <c r="K1975" s="10">
        <v>1000231</v>
      </c>
      <c r="L1975" s="3" t="str">
        <f t="shared" si="61"/>
        <v>ΕΛΑΙΩΝΕΣ</v>
      </c>
    </row>
    <row r="1976" spans="1:12" s="3" customFormat="1" ht="24" x14ac:dyDescent="0.25">
      <c r="A1976" s="3" t="str">
        <f t="shared" si="60"/>
        <v>ΕΛΑΙΩΝΕΣΑΓΡΙΕΛΙΑ</v>
      </c>
      <c r="B1976" s="4" t="s">
        <v>3545</v>
      </c>
      <c r="C1976" s="5" t="s">
        <v>3704</v>
      </c>
      <c r="D1976" s="6">
        <v>1829.23</v>
      </c>
      <c r="E1976" s="6">
        <v>3862.55</v>
      </c>
      <c r="F1976" s="7" t="s">
        <v>14</v>
      </c>
      <c r="G1976" s="8" t="s">
        <v>3705</v>
      </c>
      <c r="H1976" s="8" t="s">
        <v>16</v>
      </c>
      <c r="I1976" s="9">
        <v>1214</v>
      </c>
      <c r="J1976" s="10">
        <v>15</v>
      </c>
      <c r="K1976" s="10">
        <v>1000232</v>
      </c>
      <c r="L1976" s="3" t="str">
        <f t="shared" si="61"/>
        <v>ΕΛΑΙΩΝΕΣ</v>
      </c>
    </row>
    <row r="1977" spans="1:12" s="3" customFormat="1" ht="31.5" x14ac:dyDescent="0.25">
      <c r="A1977" s="3" t="str">
        <f t="shared" si="60"/>
        <v>ΕΛΑΙΩΝΕΣΘΙΑΚΗ (ΑΝΩ ΗΣΑΝΑ, ΘΙΑΚΟ, ΠΛΕΞΙΔΕΝΙΑ, ΝΤΟΠΙΑ), ΓΙΑ ΠΑΡΑΓΩΓΗ ΕΛΑΙΟΛΑΔΟΥ</v>
      </c>
      <c r="B1977" s="4" t="s">
        <v>3545</v>
      </c>
      <c r="C1977" s="5" t="s">
        <v>3706</v>
      </c>
      <c r="D1977" s="6">
        <v>1821.1</v>
      </c>
      <c r="E1977" s="6">
        <v>1722.44</v>
      </c>
      <c r="F1977" s="7" t="s">
        <v>14</v>
      </c>
      <c r="G1977" s="8" t="s">
        <v>3707</v>
      </c>
      <c r="H1977" s="8" t="s">
        <v>16</v>
      </c>
      <c r="I1977" s="9">
        <v>1213</v>
      </c>
      <c r="J1977" s="10">
        <v>15</v>
      </c>
      <c r="K1977" s="10">
        <v>1000589</v>
      </c>
      <c r="L1977" s="3" t="str">
        <f t="shared" si="61"/>
        <v>ΕΛΑΙΩΝΕΣ</v>
      </c>
    </row>
    <row r="1978" spans="1:12" s="3" customFormat="1" ht="24" x14ac:dyDescent="0.25">
      <c r="A1978" s="3" t="str">
        <f t="shared" si="60"/>
        <v>ΕΛΑΙΩΝΕΣΑΓΙΟΡΙΤΙΚΗ, ΓΙΑ ΠΑΡΑΓΩΓΗ ΕΛΑΙΟΛΑΔΟΥ</v>
      </c>
      <c r="B1978" s="4" t="s">
        <v>3545</v>
      </c>
      <c r="C1978" s="5" t="s">
        <v>3708</v>
      </c>
      <c r="D1978" s="6">
        <v>1821.1</v>
      </c>
      <c r="E1978" s="6">
        <v>1722.44</v>
      </c>
      <c r="F1978" s="7" t="s">
        <v>14</v>
      </c>
      <c r="G1978" s="8" t="s">
        <v>3709</v>
      </c>
      <c r="H1978" s="8" t="s">
        <v>16</v>
      </c>
      <c r="I1978" s="9">
        <v>1212</v>
      </c>
      <c r="J1978" s="10">
        <v>15</v>
      </c>
      <c r="K1978" s="10">
        <v>1000648</v>
      </c>
      <c r="L1978" s="3" t="str">
        <f t="shared" si="61"/>
        <v>ΕΛΑΙΩΝΕΣ</v>
      </c>
    </row>
    <row r="1979" spans="1:12" s="3" customFormat="1" ht="24" x14ac:dyDescent="0.25">
      <c r="A1979" s="3" t="str">
        <f t="shared" si="60"/>
        <v>ΕΛΑΙΩΝΕΣBLANQUETA, ΓΙΑ ΠΑΡΑΓΩΓΗ ΕΛΑΙΟΛΑΔΟΥ</v>
      </c>
      <c r="B1979" s="4" t="s">
        <v>3545</v>
      </c>
      <c r="C1979" s="5" t="s">
        <v>3710</v>
      </c>
      <c r="D1979" s="6">
        <v>1821.1</v>
      </c>
      <c r="E1979" s="6">
        <v>1722.44</v>
      </c>
      <c r="F1979" s="7" t="s">
        <v>14</v>
      </c>
      <c r="G1979" s="8" t="s">
        <v>3711</v>
      </c>
      <c r="H1979" s="8" t="s">
        <v>16</v>
      </c>
      <c r="I1979" s="9">
        <v>1211</v>
      </c>
      <c r="J1979" s="10">
        <v>15</v>
      </c>
      <c r="K1979" s="10">
        <v>1000649</v>
      </c>
      <c r="L1979" s="3" t="str">
        <f t="shared" si="61"/>
        <v>ΕΛΑΙΩΝΕΣ</v>
      </c>
    </row>
    <row r="1980" spans="1:12" s="3" customFormat="1" ht="24" x14ac:dyDescent="0.25">
      <c r="A1980" s="3" t="str">
        <f t="shared" si="60"/>
        <v>ΕΛΑΙΩΝΕΣBLANQUETA DE ELVAS, ΓΙΑ ΠΑΡΑΓΩΓΗ ΕΛΑΙΟΛΑΔΟΥ</v>
      </c>
      <c r="B1980" s="4" t="s">
        <v>3545</v>
      </c>
      <c r="C1980" s="5" t="s">
        <v>3712</v>
      </c>
      <c r="D1980" s="6">
        <v>1821.1</v>
      </c>
      <c r="E1980" s="6">
        <v>1722.44</v>
      </c>
      <c r="F1980" s="7" t="s">
        <v>14</v>
      </c>
      <c r="G1980" s="8" t="s">
        <v>3713</v>
      </c>
      <c r="H1980" s="8" t="s">
        <v>16</v>
      </c>
      <c r="I1980" s="9">
        <v>1210</v>
      </c>
      <c r="J1980" s="10">
        <v>15</v>
      </c>
      <c r="K1980" s="10">
        <v>1000650</v>
      </c>
      <c r="L1980" s="3" t="str">
        <f t="shared" si="61"/>
        <v>ΕΛΑΙΩΝΕΣ</v>
      </c>
    </row>
    <row r="1981" spans="1:12" s="3" customFormat="1" ht="24" x14ac:dyDescent="0.25">
      <c r="A1981" s="3" t="str">
        <f t="shared" si="60"/>
        <v>ΕΛΑΙΩΝΕΣBOUTEILLAN, ΓΙΑ ΠΑΡΑΓΩΓΗ ΕΛΑΙΟΛΑΔΟΥ</v>
      </c>
      <c r="B1981" s="4" t="s">
        <v>3545</v>
      </c>
      <c r="C1981" s="5" t="s">
        <v>3714</v>
      </c>
      <c r="D1981" s="6">
        <v>1821.1</v>
      </c>
      <c r="E1981" s="6">
        <v>1722.44</v>
      </c>
      <c r="F1981" s="7" t="s">
        <v>14</v>
      </c>
      <c r="G1981" s="8" t="s">
        <v>3715</v>
      </c>
      <c r="H1981" s="8" t="s">
        <v>16</v>
      </c>
      <c r="I1981" s="9">
        <v>1209</v>
      </c>
      <c r="J1981" s="10">
        <v>15</v>
      </c>
      <c r="K1981" s="10">
        <v>1000651</v>
      </c>
      <c r="L1981" s="3" t="str">
        <f t="shared" si="61"/>
        <v>ΕΛΑΙΩΝΕΣ</v>
      </c>
    </row>
    <row r="1982" spans="1:12" s="3" customFormat="1" ht="24" x14ac:dyDescent="0.25">
      <c r="A1982" s="3" t="str">
        <f t="shared" si="60"/>
        <v>ΕΛΑΙΩΝΕΣΓΑΛΑΤΣΑΝΙΚΗ, ΓΙΑ ΠΑΡΑΓΩΓΗ ΕΛΑΙΟΛΑΔΟΥ</v>
      </c>
      <c r="B1982" s="4" t="s">
        <v>3545</v>
      </c>
      <c r="C1982" s="5" t="s">
        <v>3716</v>
      </c>
      <c r="D1982" s="6">
        <v>1821.1</v>
      </c>
      <c r="E1982" s="6">
        <v>1722.44</v>
      </c>
      <c r="F1982" s="7" t="s">
        <v>14</v>
      </c>
      <c r="G1982" s="8" t="s">
        <v>3717</v>
      </c>
      <c r="H1982" s="8" t="s">
        <v>16</v>
      </c>
      <c r="I1982" s="9">
        <v>1208</v>
      </c>
      <c r="J1982" s="10">
        <v>15</v>
      </c>
      <c r="K1982" s="10">
        <v>1000652</v>
      </c>
      <c r="L1982" s="3" t="str">
        <f t="shared" si="61"/>
        <v>ΕΛΑΙΩΝΕΣ</v>
      </c>
    </row>
    <row r="1983" spans="1:12" s="3" customFormat="1" ht="24" x14ac:dyDescent="0.25">
      <c r="A1983" s="3" t="str">
        <f t="shared" si="60"/>
        <v>ΕΛΑΙΩΝΕΣΖΑΚΥΝΘΟΥ, ΓΙΑ ΠΑΡΑΓΩΓΗ ΕΛΑΙΟΛΑΔΟΥ</v>
      </c>
      <c r="B1983" s="4" t="s">
        <v>3545</v>
      </c>
      <c r="C1983" s="5" t="s">
        <v>3718</v>
      </c>
      <c r="D1983" s="6">
        <v>1821.1</v>
      </c>
      <c r="E1983" s="6">
        <v>1722.44</v>
      </c>
      <c r="F1983" s="7" t="s">
        <v>14</v>
      </c>
      <c r="G1983" s="8" t="s">
        <v>3719</v>
      </c>
      <c r="H1983" s="8" t="s">
        <v>16</v>
      </c>
      <c r="I1983" s="9">
        <v>1207</v>
      </c>
      <c r="J1983" s="10">
        <v>15</v>
      </c>
      <c r="K1983" s="10">
        <v>1000653</v>
      </c>
      <c r="L1983" s="3" t="str">
        <f t="shared" si="61"/>
        <v>ΕΛΑΙΩΝΕΣ</v>
      </c>
    </row>
    <row r="1984" spans="1:12" s="3" customFormat="1" ht="24" x14ac:dyDescent="0.25">
      <c r="A1984" s="3" t="str">
        <f t="shared" si="60"/>
        <v>ΕΛΑΙΩΝΕΣFRANCIVENTO, ΓΙΑ ΠΑΡΑΓΩΓΗ ΕΛΑΙΟΛΑΔΟΥ</v>
      </c>
      <c r="B1984" s="4" t="s">
        <v>3545</v>
      </c>
      <c r="C1984" s="5" t="s">
        <v>3720</v>
      </c>
      <c r="D1984" s="6">
        <v>1821.1</v>
      </c>
      <c r="E1984" s="6">
        <v>1722.44</v>
      </c>
      <c r="F1984" s="7" t="s">
        <v>14</v>
      </c>
      <c r="G1984" s="8" t="s">
        <v>3721</v>
      </c>
      <c r="H1984" s="8" t="s">
        <v>16</v>
      </c>
      <c r="I1984" s="9">
        <v>1206</v>
      </c>
      <c r="J1984" s="10">
        <v>15</v>
      </c>
      <c r="K1984" s="10">
        <v>1000654</v>
      </c>
      <c r="L1984" s="3" t="str">
        <f t="shared" si="61"/>
        <v>ΕΛΑΙΩΝΕΣ</v>
      </c>
    </row>
    <row r="1985" spans="1:12" s="3" customFormat="1" ht="24" x14ac:dyDescent="0.25">
      <c r="A1985" s="3" t="str">
        <f t="shared" si="60"/>
        <v>ΕΛΑΙΩΝΕΣGORDAL SEVILLANA, ΓΙΑ ΠΑΡΑΓΩΓΗ ΕΛΑΙΟΛΑΔΟΥ</v>
      </c>
      <c r="B1985" s="4" t="s">
        <v>3545</v>
      </c>
      <c r="C1985" s="5" t="s">
        <v>3722</v>
      </c>
      <c r="D1985" s="6">
        <v>1821.1</v>
      </c>
      <c r="E1985" s="6">
        <v>1722.44</v>
      </c>
      <c r="F1985" s="7" t="s">
        <v>14</v>
      </c>
      <c r="G1985" s="8" t="s">
        <v>3723</v>
      </c>
      <c r="H1985" s="8" t="s">
        <v>16</v>
      </c>
      <c r="I1985" s="9">
        <v>1205</v>
      </c>
      <c r="J1985" s="10">
        <v>15</v>
      </c>
      <c r="K1985" s="10">
        <v>1000655</v>
      </c>
      <c r="L1985" s="3" t="str">
        <f t="shared" si="61"/>
        <v>ΕΛΑΙΩΝΕΣ</v>
      </c>
    </row>
    <row r="1986" spans="1:12" s="3" customFormat="1" ht="24" x14ac:dyDescent="0.25">
      <c r="A1986" s="3" t="str">
        <f t="shared" si="60"/>
        <v>ΕΛΑΙΩΝΕΣGRAPPOLO, ΓΙΑ ΠΑΡΑΓΩΓΗ ΕΛΑΙΟΛΑΔΟΥ</v>
      </c>
      <c r="B1986" s="4" t="s">
        <v>3545</v>
      </c>
      <c r="C1986" s="5" t="s">
        <v>3724</v>
      </c>
      <c r="D1986" s="6">
        <v>1821.1</v>
      </c>
      <c r="E1986" s="6">
        <v>1722.44</v>
      </c>
      <c r="F1986" s="7" t="s">
        <v>14</v>
      </c>
      <c r="G1986" s="8" t="s">
        <v>3725</v>
      </c>
      <c r="H1986" s="8" t="s">
        <v>16</v>
      </c>
      <c r="I1986" s="9">
        <v>1204</v>
      </c>
      <c r="J1986" s="10">
        <v>15</v>
      </c>
      <c r="K1986" s="10">
        <v>1000656</v>
      </c>
      <c r="L1986" s="3" t="str">
        <f t="shared" si="61"/>
        <v>ΕΛΑΙΩΝΕΣ</v>
      </c>
    </row>
    <row r="1987" spans="1:12" s="3" customFormat="1" ht="24" x14ac:dyDescent="0.25">
      <c r="A1987" s="3" t="str">
        <f t="shared" ref="A1987:A2050" si="62">_xlfn.CONCAT(B1987,C1987)</f>
        <v>ΕΛΑΙΩΝΕΣLECHIO DEL CORNO, ΓΙΑ ΠΑΡΑΓΩΓΗ ΕΛΑΙΟΛΑΔΟΥ</v>
      </c>
      <c r="B1987" s="4" t="s">
        <v>3545</v>
      </c>
      <c r="C1987" s="5" t="s">
        <v>3726</v>
      </c>
      <c r="D1987" s="6">
        <v>1821.1</v>
      </c>
      <c r="E1987" s="6">
        <v>1722.44</v>
      </c>
      <c r="F1987" s="7" t="s">
        <v>14</v>
      </c>
      <c r="G1987" s="8" t="s">
        <v>3727</v>
      </c>
      <c r="H1987" s="8" t="s">
        <v>16</v>
      </c>
      <c r="I1987" s="9">
        <v>1188</v>
      </c>
      <c r="J1987" s="10">
        <v>15</v>
      </c>
      <c r="K1987" s="10">
        <v>1000657</v>
      </c>
      <c r="L1987" s="3" t="str">
        <f t="shared" ref="L1987:L2050" si="63">IFERROR(SUBSTITUTE(SUBSTITUTE(SUBSTITUTE(SUBSTITUTE(SUBSTITUTE(B1987, "-", "_"), " ", "_"), ",", ""), "(", ""), ")", ""), B1987)</f>
        <v>ΕΛΑΙΩΝΕΣ</v>
      </c>
    </row>
    <row r="1988" spans="1:12" s="3" customFormat="1" ht="24" x14ac:dyDescent="0.25">
      <c r="A1988" s="3" t="str">
        <f t="shared" si="62"/>
        <v>ΕΛΑΙΩΝΕΣΛΕΥΚΑΔΑΣ ΑΣΠΡΟΛΙΑ, ΓΙΑ ΠΑΡΑΓΩΓΗ ΕΛΑΙΟΛΑΔΟΥ</v>
      </c>
      <c r="B1988" s="4" t="s">
        <v>3545</v>
      </c>
      <c r="C1988" s="5" t="s">
        <v>3728</v>
      </c>
      <c r="D1988" s="6">
        <v>1821.1</v>
      </c>
      <c r="E1988" s="6">
        <v>1722.44</v>
      </c>
      <c r="F1988" s="7" t="s">
        <v>14</v>
      </c>
      <c r="G1988" s="8" t="s">
        <v>3729</v>
      </c>
      <c r="H1988" s="8" t="s">
        <v>16</v>
      </c>
      <c r="I1988" s="9">
        <v>1202</v>
      </c>
      <c r="J1988" s="10">
        <v>15</v>
      </c>
      <c r="K1988" s="10">
        <v>1000658</v>
      </c>
      <c r="L1988" s="3" t="str">
        <f t="shared" si="63"/>
        <v>ΕΛΑΙΩΝΕΣ</v>
      </c>
    </row>
    <row r="1989" spans="1:12" s="3" customFormat="1" ht="31.5" x14ac:dyDescent="0.25">
      <c r="A1989" s="3" t="str">
        <f t="shared" si="62"/>
        <v>ΕΛΑΙΩΝΕΣMANZANILLA DE CARMONA, ΓΙΑ ΠΑΡΑΓΩΓΗ ΕΛΑΙΟΛΑΔΟΥ</v>
      </c>
      <c r="B1989" s="4" t="s">
        <v>3545</v>
      </c>
      <c r="C1989" s="5" t="s">
        <v>3730</v>
      </c>
      <c r="D1989" s="6">
        <v>1821.1</v>
      </c>
      <c r="E1989" s="6">
        <v>1722.44</v>
      </c>
      <c r="F1989" s="7" t="s">
        <v>14</v>
      </c>
      <c r="G1989" s="8" t="s">
        <v>3731</v>
      </c>
      <c r="H1989" s="8" t="s">
        <v>16</v>
      </c>
      <c r="I1989" s="9">
        <v>1203</v>
      </c>
      <c r="J1989" s="10">
        <v>15</v>
      </c>
      <c r="K1989" s="10">
        <v>1000659</v>
      </c>
      <c r="L1989" s="3" t="str">
        <f t="shared" si="63"/>
        <v>ΕΛΑΙΩΝΕΣ</v>
      </c>
    </row>
    <row r="1990" spans="1:12" s="3" customFormat="1" ht="24" x14ac:dyDescent="0.25">
      <c r="A1990" s="3" t="str">
        <f t="shared" si="62"/>
        <v>ΕΛΑΙΩΝΕΣMANZANILLA ISR., ΓΙΑ ΠΑΡΑΓΩΓΗ ΕΛΑΙΟΛΑΔΟΥ</v>
      </c>
      <c r="B1990" s="4" t="s">
        <v>3545</v>
      </c>
      <c r="C1990" s="5" t="s">
        <v>3732</v>
      </c>
      <c r="D1990" s="6">
        <v>1821.1</v>
      </c>
      <c r="E1990" s="6">
        <v>1722.44</v>
      </c>
      <c r="F1990" s="7" t="s">
        <v>14</v>
      </c>
      <c r="G1990" s="8" t="s">
        <v>3733</v>
      </c>
      <c r="H1990" s="8" t="s">
        <v>16</v>
      </c>
      <c r="I1990" s="9">
        <v>1200</v>
      </c>
      <c r="J1990" s="10">
        <v>15</v>
      </c>
      <c r="K1990" s="10">
        <v>1000660</v>
      </c>
      <c r="L1990" s="3" t="str">
        <f t="shared" si="63"/>
        <v>ΕΛΑΙΩΝΕΣ</v>
      </c>
    </row>
    <row r="1991" spans="1:12" s="3" customFormat="1" ht="24" x14ac:dyDescent="0.25">
      <c r="A1991" s="3" t="str">
        <f t="shared" si="62"/>
        <v>ΕΛΑΙΩΝΕΣMANZANILLA NORMAL, ΓΙΑ ΠΑΡΑΓΩΓΗ ΕΛΑΙΟΛΑΔΟΥ</v>
      </c>
      <c r="B1991" s="4" t="s">
        <v>3545</v>
      </c>
      <c r="C1991" s="5" t="s">
        <v>3734</v>
      </c>
      <c r="D1991" s="6">
        <v>1821.1</v>
      </c>
      <c r="E1991" s="6">
        <v>1722.44</v>
      </c>
      <c r="F1991" s="7" t="s">
        <v>14</v>
      </c>
      <c r="G1991" s="8" t="s">
        <v>3735</v>
      </c>
      <c r="H1991" s="8" t="s">
        <v>16</v>
      </c>
      <c r="I1991" s="9">
        <v>1242</v>
      </c>
      <c r="J1991" s="10">
        <v>15</v>
      </c>
      <c r="K1991" s="10">
        <v>1000661</v>
      </c>
      <c r="L1991" s="3" t="str">
        <f t="shared" si="63"/>
        <v>ΕΛΑΙΩΝΕΣ</v>
      </c>
    </row>
    <row r="1992" spans="1:12" s="3" customFormat="1" ht="24" x14ac:dyDescent="0.25">
      <c r="A1992" s="3" t="str">
        <f t="shared" si="62"/>
        <v>ΕΛΑΙΩΝΕΣMAROCAN PICHOLINE, ΓΙΑ ΠΑΡΑΓΩΓΗ ΕΛΑΙΟΛΑΔΟΥ</v>
      </c>
      <c r="B1992" s="4" t="s">
        <v>3545</v>
      </c>
      <c r="C1992" s="5" t="s">
        <v>3736</v>
      </c>
      <c r="D1992" s="6">
        <v>1821.1</v>
      </c>
      <c r="E1992" s="6">
        <v>1722.44</v>
      </c>
      <c r="F1992" s="7" t="s">
        <v>14</v>
      </c>
      <c r="G1992" s="8" t="s">
        <v>3737</v>
      </c>
      <c r="H1992" s="8" t="s">
        <v>16</v>
      </c>
      <c r="I1992" s="9">
        <v>1198</v>
      </c>
      <c r="J1992" s="10">
        <v>15</v>
      </c>
      <c r="K1992" s="10">
        <v>1000662</v>
      </c>
      <c r="L1992" s="3" t="str">
        <f t="shared" si="63"/>
        <v>ΕΛΑΙΩΝΕΣ</v>
      </c>
    </row>
    <row r="1993" spans="1:12" s="3" customFormat="1" ht="24" x14ac:dyDescent="0.25">
      <c r="A1993" s="3" t="str">
        <f t="shared" si="62"/>
        <v>ΕΛΑΙΩΝΕΣΜΑΡΩΝΕΙΑΣ, ΓΙΑ ΠΑΡΑΓΩΓΗ ΕΛΑΙΟΛΑΔΟΥ</v>
      </c>
      <c r="B1993" s="4" t="s">
        <v>3545</v>
      </c>
      <c r="C1993" s="5" t="s">
        <v>3738</v>
      </c>
      <c r="D1993" s="6">
        <v>1821.1</v>
      </c>
      <c r="E1993" s="6">
        <v>1722.44</v>
      </c>
      <c r="F1993" s="7" t="s">
        <v>14</v>
      </c>
      <c r="G1993" s="8" t="s">
        <v>3739</v>
      </c>
      <c r="H1993" s="8" t="s">
        <v>16</v>
      </c>
      <c r="I1993" s="9">
        <v>1197</v>
      </c>
      <c r="J1993" s="10">
        <v>15</v>
      </c>
      <c r="K1993" s="10">
        <v>1000663</v>
      </c>
      <c r="L1993" s="3" t="str">
        <f t="shared" si="63"/>
        <v>ΕΛΑΙΩΝΕΣ</v>
      </c>
    </row>
    <row r="1994" spans="1:12" s="3" customFormat="1" ht="24" x14ac:dyDescent="0.25">
      <c r="A1994" s="3" t="str">
        <f t="shared" si="62"/>
        <v>ΕΛΑΙΩΝΕΣMERHAVIA, ΓΙΑ ΠΑΡΑΓΩΓΗ ΕΛΑΙΟΛΑΔΟΥ</v>
      </c>
      <c r="B1994" s="4" t="s">
        <v>3545</v>
      </c>
      <c r="C1994" s="5" t="s">
        <v>3740</v>
      </c>
      <c r="D1994" s="6">
        <v>1821.1</v>
      </c>
      <c r="E1994" s="6">
        <v>1722.44</v>
      </c>
      <c r="F1994" s="7" t="s">
        <v>14</v>
      </c>
      <c r="G1994" s="8" t="s">
        <v>3741</v>
      </c>
      <c r="H1994" s="8" t="s">
        <v>16</v>
      </c>
      <c r="I1994" s="9">
        <v>1196</v>
      </c>
      <c r="J1994" s="10">
        <v>15</v>
      </c>
      <c r="K1994" s="10">
        <v>1000664</v>
      </c>
      <c r="L1994" s="3" t="str">
        <f t="shared" si="63"/>
        <v>ΕΛΑΙΩΝΕΣ</v>
      </c>
    </row>
    <row r="1995" spans="1:12" s="3" customFormat="1" ht="24" x14ac:dyDescent="0.25">
      <c r="A1995" s="3" t="str">
        <f t="shared" si="62"/>
        <v>ΕΛΑΙΩΝΕΣNASUICHI, ΓΙΑ ΠΑΡΑΓΩΓΗ ΕΛΑΙΟΛΑΔΟΥ</v>
      </c>
      <c r="B1995" s="4" t="s">
        <v>3545</v>
      </c>
      <c r="C1995" s="5" t="s">
        <v>3742</v>
      </c>
      <c r="D1995" s="6">
        <v>1821.1</v>
      </c>
      <c r="E1995" s="6">
        <v>1722.44</v>
      </c>
      <c r="F1995" s="7" t="s">
        <v>14</v>
      </c>
      <c r="G1995" s="8" t="s">
        <v>3743</v>
      </c>
      <c r="H1995" s="8" t="s">
        <v>16</v>
      </c>
      <c r="I1995" s="9">
        <v>1195</v>
      </c>
      <c r="J1995" s="10">
        <v>15</v>
      </c>
      <c r="K1995" s="10">
        <v>1000665</v>
      </c>
      <c r="L1995" s="3" t="str">
        <f t="shared" si="63"/>
        <v>ΕΛΑΙΩΝΕΣ</v>
      </c>
    </row>
    <row r="1996" spans="1:12" s="3" customFormat="1" ht="24" x14ac:dyDescent="0.25">
      <c r="A1996" s="3" t="str">
        <f t="shared" si="62"/>
        <v>ΕΛΑΙΩΝΕΣNEVADILLO BLANCO, ΓΙΑ ΠΑΡΑΓΩΓΗ ΕΛΑΙΟΛΑΔΟΥ</v>
      </c>
      <c r="B1996" s="4" t="s">
        <v>3545</v>
      </c>
      <c r="C1996" s="5" t="s">
        <v>3744</v>
      </c>
      <c r="D1996" s="6">
        <v>1821.1</v>
      </c>
      <c r="E1996" s="6">
        <v>1722.44</v>
      </c>
      <c r="F1996" s="7" t="s">
        <v>14</v>
      </c>
      <c r="G1996" s="8" t="s">
        <v>3745</v>
      </c>
      <c r="H1996" s="8" t="s">
        <v>16</v>
      </c>
      <c r="I1996" s="9">
        <v>1194</v>
      </c>
      <c r="J1996" s="10">
        <v>15</v>
      </c>
      <c r="K1996" s="10">
        <v>1000666</v>
      </c>
      <c r="L1996" s="3" t="str">
        <f t="shared" si="63"/>
        <v>ΕΛΑΙΩΝΕΣ</v>
      </c>
    </row>
    <row r="1997" spans="1:12" s="3" customFormat="1" ht="24" x14ac:dyDescent="0.25">
      <c r="A1997" s="3" t="str">
        <f t="shared" si="62"/>
        <v>ΕΛΑΙΩΝΕΣNEVADILLO NEGRO, ΓΙΑ ΠΑΡΑΓΩΓΗ ΕΛΑΙΟΛΑΔΟΥ</v>
      </c>
      <c r="B1997" s="4" t="s">
        <v>3545</v>
      </c>
      <c r="C1997" s="5" t="s">
        <v>3746</v>
      </c>
      <c r="D1997" s="6">
        <v>1821.1</v>
      </c>
      <c r="E1997" s="6">
        <v>1722.44</v>
      </c>
      <c r="F1997" s="7" t="s">
        <v>14</v>
      </c>
      <c r="G1997" s="8" t="s">
        <v>3747</v>
      </c>
      <c r="H1997" s="8" t="s">
        <v>16</v>
      </c>
      <c r="I1997" s="9">
        <v>1193</v>
      </c>
      <c r="J1997" s="10">
        <v>15</v>
      </c>
      <c r="K1997" s="10">
        <v>1000667</v>
      </c>
      <c r="L1997" s="3" t="str">
        <f t="shared" si="63"/>
        <v>ΕΛΑΙΩΝΕΣ</v>
      </c>
    </row>
    <row r="1998" spans="1:12" s="3" customFormat="1" ht="24" x14ac:dyDescent="0.25">
      <c r="A1998" s="3" t="str">
        <f t="shared" si="62"/>
        <v>ΕΛΑΙΩΝΕΣOLIVA DE CERIGNOLA, ΓΙΑ ΠΑΡΑΓΩΓΗ ΕΛΑΙΟΛΑΔΟΥ</v>
      </c>
      <c r="B1998" s="4" t="s">
        <v>3545</v>
      </c>
      <c r="C1998" s="5" t="s">
        <v>3748</v>
      </c>
      <c r="D1998" s="6">
        <v>1821.1</v>
      </c>
      <c r="E1998" s="6">
        <v>1722.44</v>
      </c>
      <c r="F1998" s="7" t="s">
        <v>14</v>
      </c>
      <c r="G1998" s="8" t="s">
        <v>3749</v>
      </c>
      <c r="H1998" s="8" t="s">
        <v>16</v>
      </c>
      <c r="I1998" s="9">
        <v>1192</v>
      </c>
      <c r="J1998" s="10">
        <v>15</v>
      </c>
      <c r="K1998" s="10">
        <v>1000668</v>
      </c>
      <c r="L1998" s="3" t="str">
        <f t="shared" si="63"/>
        <v>ΕΛΑΙΩΝΕΣ</v>
      </c>
    </row>
    <row r="1999" spans="1:12" s="3" customFormat="1" ht="24" x14ac:dyDescent="0.25">
      <c r="A1999" s="3" t="str">
        <f t="shared" si="62"/>
        <v>ΕΛΑΙΩΝΕΣPENDOLINO, ΓΙΑ ΠΑΡΑΓΩΓΗ ΕΛΑΙΟΛΑΔΟΥ</v>
      </c>
      <c r="B1999" s="4" t="s">
        <v>3545</v>
      </c>
      <c r="C1999" s="5" t="s">
        <v>3750</v>
      </c>
      <c r="D1999" s="6">
        <v>1821.1</v>
      </c>
      <c r="E1999" s="6">
        <v>1722.44</v>
      </c>
      <c r="F1999" s="7" t="s">
        <v>14</v>
      </c>
      <c r="G1999" s="8" t="s">
        <v>3751</v>
      </c>
      <c r="H1999" s="8" t="s">
        <v>16</v>
      </c>
      <c r="I1999" s="9">
        <v>1191</v>
      </c>
      <c r="J1999" s="10">
        <v>15</v>
      </c>
      <c r="K1999" s="10">
        <v>1000669</v>
      </c>
      <c r="L1999" s="3" t="str">
        <f t="shared" si="63"/>
        <v>ΕΛΑΙΩΝΕΣ</v>
      </c>
    </row>
    <row r="2000" spans="1:12" s="3" customFormat="1" ht="24" x14ac:dyDescent="0.25">
      <c r="A2000" s="3" t="str">
        <f t="shared" si="62"/>
        <v>ΕΛΑΙΩΝΕΣΡΑΧΑΤΗ, ΓΙΑ ΠΑΡΑΓΩΓΗ ΕΛΑΙΟΛΑΔΟΥ</v>
      </c>
      <c r="B2000" s="4" t="s">
        <v>3545</v>
      </c>
      <c r="C2000" s="5" t="s">
        <v>3752</v>
      </c>
      <c r="D2000" s="6">
        <v>1821.1</v>
      </c>
      <c r="E2000" s="6">
        <v>1722.44</v>
      </c>
      <c r="F2000" s="7" t="s">
        <v>14</v>
      </c>
      <c r="G2000" s="8" t="s">
        <v>3753</v>
      </c>
      <c r="H2000" s="8" t="s">
        <v>16</v>
      </c>
      <c r="I2000" s="9">
        <v>1190</v>
      </c>
      <c r="J2000" s="10">
        <v>15</v>
      </c>
      <c r="K2000" s="10">
        <v>1000670</v>
      </c>
      <c r="L2000" s="3" t="str">
        <f t="shared" si="63"/>
        <v>ΕΛΑΙΩΝΕΣ</v>
      </c>
    </row>
    <row r="2001" spans="1:12" s="3" customFormat="1" ht="24" x14ac:dyDescent="0.25">
      <c r="A2001" s="3" t="str">
        <f t="shared" si="62"/>
        <v>ΕΛΑΙΩΝΕΣREAL SEVILLANA, ΓΙΑ ΠΑΡΑΓΩΓΗ ΕΛΑΙΟΛΑΔΟΥ</v>
      </c>
      <c r="B2001" s="4" t="s">
        <v>3545</v>
      </c>
      <c r="C2001" s="5" t="s">
        <v>3754</v>
      </c>
      <c r="D2001" s="6">
        <v>1821.1</v>
      </c>
      <c r="E2001" s="6">
        <v>1722.44</v>
      </c>
      <c r="F2001" s="7" t="s">
        <v>14</v>
      </c>
      <c r="G2001" s="8" t="s">
        <v>3755</v>
      </c>
      <c r="H2001" s="8" t="s">
        <v>16</v>
      </c>
      <c r="I2001" s="9">
        <v>1189</v>
      </c>
      <c r="J2001" s="10">
        <v>15</v>
      </c>
      <c r="K2001" s="10">
        <v>1000671</v>
      </c>
      <c r="L2001" s="3" t="str">
        <f t="shared" si="63"/>
        <v>ΕΛΑΙΩΝΕΣ</v>
      </c>
    </row>
    <row r="2002" spans="1:12" s="3" customFormat="1" ht="24" x14ac:dyDescent="0.25">
      <c r="A2002" s="3" t="str">
        <f t="shared" si="62"/>
        <v>ΕΛΑΙΩΝΕΣΡΟΒΙΩΝ (ΠΡΑΣΙΝΗ), ΓΙΑ ΠΑΡΑΓΩΓΗ ΕΛΑΙΟΛΑΔΟΥ</v>
      </c>
      <c r="B2002" s="4" t="s">
        <v>3545</v>
      </c>
      <c r="C2002" s="5" t="s">
        <v>3756</v>
      </c>
      <c r="D2002" s="6">
        <v>1821.1</v>
      </c>
      <c r="E2002" s="6">
        <v>1722.44</v>
      </c>
      <c r="F2002" s="7" t="s">
        <v>14</v>
      </c>
      <c r="G2002" s="8" t="s">
        <v>3757</v>
      </c>
      <c r="H2002" s="8" t="s">
        <v>16</v>
      </c>
      <c r="I2002" s="9">
        <v>1131</v>
      </c>
      <c r="J2002" s="10">
        <v>15</v>
      </c>
      <c r="K2002" s="10">
        <v>1000672</v>
      </c>
      <c r="L2002" s="3" t="str">
        <f t="shared" si="63"/>
        <v>ΕΛΑΙΩΝΕΣ</v>
      </c>
    </row>
    <row r="2003" spans="1:12" s="3" customFormat="1" ht="24" x14ac:dyDescent="0.25">
      <c r="A2003" s="3" t="str">
        <f t="shared" si="62"/>
        <v>ΕΛΑΙΩΝΕΣROSCIOLA, ΓΙΑ ΠΑΡΑΓΩΓΗ ΕΛΑΙΟΛΑΔΟΥ</v>
      </c>
      <c r="B2003" s="4" t="s">
        <v>3545</v>
      </c>
      <c r="C2003" s="5" t="s">
        <v>3758</v>
      </c>
      <c r="D2003" s="6">
        <v>1821.1</v>
      </c>
      <c r="E2003" s="6">
        <v>1722.44</v>
      </c>
      <c r="F2003" s="7" t="s">
        <v>14</v>
      </c>
      <c r="G2003" s="8" t="s">
        <v>3759</v>
      </c>
      <c r="H2003" s="8" t="s">
        <v>16</v>
      </c>
      <c r="I2003" s="9">
        <v>932</v>
      </c>
      <c r="J2003" s="10">
        <v>15</v>
      </c>
      <c r="K2003" s="10">
        <v>1000673</v>
      </c>
      <c r="L2003" s="3" t="str">
        <f t="shared" si="63"/>
        <v>ΕΛΑΙΩΝΕΣ</v>
      </c>
    </row>
    <row r="2004" spans="1:12" s="3" customFormat="1" ht="24" x14ac:dyDescent="0.25">
      <c r="A2004" s="3" t="str">
        <f t="shared" si="62"/>
        <v>ΕΛΑΙΩΝΕΣSDE ELIAO, ΓΙΑ ΠΑΡΑΓΩΓΗ ΕΛΑΙΟΛΑΔΟΥ</v>
      </c>
      <c r="B2004" s="4" t="s">
        <v>3545</v>
      </c>
      <c r="C2004" s="5" t="s">
        <v>3760</v>
      </c>
      <c r="D2004" s="6">
        <v>1821.1</v>
      </c>
      <c r="E2004" s="6">
        <v>1722.44</v>
      </c>
      <c r="F2004" s="7" t="s">
        <v>14</v>
      </c>
      <c r="G2004" s="8" t="s">
        <v>3761</v>
      </c>
      <c r="H2004" s="8" t="s">
        <v>16</v>
      </c>
      <c r="I2004" s="9">
        <v>840</v>
      </c>
      <c r="J2004" s="10">
        <v>15</v>
      </c>
      <c r="K2004" s="10">
        <v>1000674</v>
      </c>
      <c r="L2004" s="3" t="str">
        <f t="shared" si="63"/>
        <v>ΕΛΑΙΩΝΕΣ</v>
      </c>
    </row>
    <row r="2005" spans="1:12" s="3" customFormat="1" ht="24" x14ac:dyDescent="0.25">
      <c r="A2005" s="3" t="str">
        <f t="shared" si="62"/>
        <v>ΕΛΑΙΩΝΕΣSORANI, ΓΙΑ ΠΑΡΑΓΩΓΗ ΕΛΑΙΟΛΑΔΟΥ</v>
      </c>
      <c r="B2005" s="4" t="s">
        <v>3545</v>
      </c>
      <c r="C2005" s="5" t="s">
        <v>3762</v>
      </c>
      <c r="D2005" s="6">
        <v>1821.1</v>
      </c>
      <c r="E2005" s="6">
        <v>1722.44</v>
      </c>
      <c r="F2005" s="7" t="s">
        <v>14</v>
      </c>
      <c r="G2005" s="8" t="s">
        <v>3763</v>
      </c>
      <c r="H2005" s="8" t="s">
        <v>16</v>
      </c>
      <c r="I2005" s="9">
        <v>841</v>
      </c>
      <c r="J2005" s="10">
        <v>15</v>
      </c>
      <c r="K2005" s="10">
        <v>1000675</v>
      </c>
      <c r="L2005" s="3" t="str">
        <f t="shared" si="63"/>
        <v>ΕΛΑΙΩΝΕΣ</v>
      </c>
    </row>
    <row r="2006" spans="1:12" s="3" customFormat="1" ht="24" x14ac:dyDescent="0.25">
      <c r="A2006" s="3" t="str">
        <f t="shared" si="62"/>
        <v>ΕΛΑΙΩΝΕΣTEMPIANILLO LUCENA, ΓΙΑ ΠΑΡΑΓΩΓΗ ΕΛΑΙΟΛΑΔΟΥ</v>
      </c>
      <c r="B2006" s="4" t="s">
        <v>3545</v>
      </c>
      <c r="C2006" s="5" t="s">
        <v>3764</v>
      </c>
      <c r="D2006" s="6">
        <v>1821.1</v>
      </c>
      <c r="E2006" s="6">
        <v>1722.44</v>
      </c>
      <c r="F2006" s="7" t="s">
        <v>14</v>
      </c>
      <c r="G2006" s="8" t="s">
        <v>3765</v>
      </c>
      <c r="H2006" s="8" t="s">
        <v>16</v>
      </c>
      <c r="I2006" s="9">
        <v>842</v>
      </c>
      <c r="J2006" s="10">
        <v>15</v>
      </c>
      <c r="K2006" s="10">
        <v>1000676</v>
      </c>
      <c r="L2006" s="3" t="str">
        <f t="shared" si="63"/>
        <v>ΕΛΑΙΩΝΕΣ</v>
      </c>
    </row>
    <row r="2007" spans="1:12" s="3" customFormat="1" ht="24" x14ac:dyDescent="0.25">
      <c r="A2007" s="3" t="str">
        <f t="shared" si="62"/>
        <v>ΕΛΑΙΩΝΕΣZORZALENO, ΓΙΑ ΠΑΡΑΓΩΓΗ ΕΛΑΙΟΛΑΔΟΥ</v>
      </c>
      <c r="B2007" s="4" t="s">
        <v>3545</v>
      </c>
      <c r="C2007" s="5" t="s">
        <v>3766</v>
      </c>
      <c r="D2007" s="6">
        <v>1821.1</v>
      </c>
      <c r="E2007" s="6">
        <v>1722.44</v>
      </c>
      <c r="F2007" s="7" t="s">
        <v>14</v>
      </c>
      <c r="G2007" s="8" t="s">
        <v>3767</v>
      </c>
      <c r="H2007" s="8" t="s">
        <v>16</v>
      </c>
      <c r="I2007" s="9">
        <v>843</v>
      </c>
      <c r="J2007" s="10">
        <v>15</v>
      </c>
      <c r="K2007" s="10">
        <v>1000677</v>
      </c>
      <c r="L2007" s="3" t="str">
        <f t="shared" si="63"/>
        <v>ΕΛΑΙΩΝΕΣ</v>
      </c>
    </row>
    <row r="2008" spans="1:12" s="3" customFormat="1" ht="24" x14ac:dyDescent="0.25">
      <c r="A2008" s="3" t="str">
        <f t="shared" si="62"/>
        <v>ΕΛΑΙΩΝΕΣΧΩΡΙΣ ΚΑΛΛΙΕΡΓΕΙΑ, ΓΙΑ ΠΑΡΑΓΩΓΗ ΕΛΑΙΟΛΑΔΟΥ</v>
      </c>
      <c r="B2008" s="4" t="s">
        <v>3545</v>
      </c>
      <c r="C2008" s="5" t="s">
        <v>3768</v>
      </c>
      <c r="D2008" s="6">
        <v>1829.23</v>
      </c>
      <c r="E2008" s="6">
        <v>3862.55</v>
      </c>
      <c r="F2008" s="7" t="s">
        <v>14</v>
      </c>
      <c r="G2008" s="8" t="s">
        <v>3769</v>
      </c>
      <c r="H2008" s="8" t="s">
        <v>16</v>
      </c>
      <c r="I2008" s="9">
        <v>844</v>
      </c>
      <c r="J2008" s="10">
        <v>15</v>
      </c>
      <c r="K2008" s="10">
        <v>1001000</v>
      </c>
      <c r="L2008" s="3" t="str">
        <f t="shared" si="63"/>
        <v>ΕΛΑΙΩΝΕΣ</v>
      </c>
    </row>
    <row r="2009" spans="1:12" s="3" customFormat="1" ht="15" customHeight="1" x14ac:dyDescent="0.25">
      <c r="A2009" s="3" t="str">
        <f t="shared" si="62"/>
        <v>ΕΛΑΙΩΝΕΣΕΛΑΙΩΝΕΣ ΓΙΑ ΠΑΡΑΓΩΓΗ ΕΛΑΙΟΛΑΔΟΥ - ΛΟΙΠΕΣ, ΓΙΑ ΠΑΡΑΓΩΓΗ ΕΛΑΙΟΛΑΔΟΥ</v>
      </c>
      <c r="B2009" s="4" t="s">
        <v>3545</v>
      </c>
      <c r="C2009" s="5" t="s">
        <v>3770</v>
      </c>
      <c r="D2009" s="6">
        <v>1821.1</v>
      </c>
      <c r="E2009" s="6">
        <v>1722.44</v>
      </c>
      <c r="F2009" s="7" t="s">
        <v>14</v>
      </c>
      <c r="G2009" s="8" t="s">
        <v>3771</v>
      </c>
      <c r="H2009" s="8" t="s">
        <v>16</v>
      </c>
      <c r="I2009" s="9">
        <v>845</v>
      </c>
      <c r="J2009" s="10">
        <v>15</v>
      </c>
      <c r="K2009" s="10">
        <v>1008191</v>
      </c>
      <c r="L2009" s="3" t="str">
        <f t="shared" si="63"/>
        <v>ΕΛΑΙΩΝΕΣ</v>
      </c>
    </row>
    <row r="2010" spans="1:12" s="3" customFormat="1" ht="15" customHeight="1" x14ac:dyDescent="0.25">
      <c r="A2010" s="3" t="str">
        <f t="shared" si="62"/>
        <v>ΕΛΑΙΩΝΕΣΑΜΦΙΣΣΗΣ (ΒΟΛΙΩΤΙΚΗ, ΠΗΛΙΟΥ, ΣΤΥΛΙΔΟΣ, ΑΓΡΙΝΙΟΥ)</v>
      </c>
      <c r="B2010" s="4" t="s">
        <v>3545</v>
      </c>
      <c r="C2010" s="5" t="s">
        <v>3772</v>
      </c>
      <c r="D2010" s="6">
        <v>1821.1</v>
      </c>
      <c r="E2010" s="6">
        <v>1722.44</v>
      </c>
      <c r="F2010" s="7" t="s">
        <v>14</v>
      </c>
      <c r="G2010" s="8" t="s">
        <v>3773</v>
      </c>
      <c r="H2010" s="8" t="s">
        <v>16</v>
      </c>
      <c r="I2010" s="9">
        <v>832</v>
      </c>
      <c r="J2010" s="10">
        <v>15</v>
      </c>
      <c r="K2010" s="10">
        <v>153</v>
      </c>
      <c r="L2010" s="3" t="str">
        <f t="shared" si="63"/>
        <v>ΕΛΑΙΩΝΕΣ</v>
      </c>
    </row>
    <row r="2011" spans="1:12" s="3" customFormat="1" ht="15" customHeight="1" x14ac:dyDescent="0.25">
      <c r="A2011" s="3" t="str">
        <f t="shared" si="62"/>
        <v>ΕΛΑΙΩΝΕΣΑΜΥΓΔΑΛΟΛΗΑ (ΣΤΡΑΒΟΜΥΤΑ, ΚΟΥΡΟΜΥΤΑ)</v>
      </c>
      <c r="B2011" s="4" t="s">
        <v>3545</v>
      </c>
      <c r="C2011" s="5" t="s">
        <v>3774</v>
      </c>
      <c r="D2011" s="6">
        <v>1821.1</v>
      </c>
      <c r="E2011" s="6">
        <v>1722.44</v>
      </c>
      <c r="F2011" s="7" t="s">
        <v>14</v>
      </c>
      <c r="G2011" s="8" t="s">
        <v>3775</v>
      </c>
      <c r="H2011" s="8" t="s">
        <v>27</v>
      </c>
      <c r="I2011" s="9">
        <v>977</v>
      </c>
      <c r="J2011" s="10">
        <v>15</v>
      </c>
      <c r="K2011" s="10">
        <v>154</v>
      </c>
      <c r="L2011" s="3" t="str">
        <f t="shared" si="63"/>
        <v>ΕΛΑΙΩΝΕΣ</v>
      </c>
    </row>
    <row r="2012" spans="1:12" s="3" customFormat="1" ht="15" customHeight="1" x14ac:dyDescent="0.25">
      <c r="A2012" s="3" t="str">
        <f t="shared" si="62"/>
        <v>ΕΛΑΙΩΝΕΣΑΔΡΑΜΥΤΤΙΝΗ (ΑΔΡΑΜΥΤΙΚΗ ΛΕΣΒΟΥ, ΑΙΒΑΛΙΩΤΙΚΗ, ΦΡΑΓΚ)</v>
      </c>
      <c r="B2012" s="4" t="s">
        <v>3545</v>
      </c>
      <c r="C2012" s="5" t="s">
        <v>3776</v>
      </c>
      <c r="D2012" s="6">
        <v>1821.1</v>
      </c>
      <c r="E2012" s="6">
        <v>1722.44</v>
      </c>
      <c r="F2012" s="7" t="s">
        <v>14</v>
      </c>
      <c r="G2012" s="8" t="s">
        <v>3777</v>
      </c>
      <c r="H2012" s="8" t="s">
        <v>16</v>
      </c>
      <c r="I2012" s="9">
        <v>976</v>
      </c>
      <c r="J2012" s="10">
        <v>15</v>
      </c>
      <c r="K2012" s="10">
        <v>155</v>
      </c>
      <c r="L2012" s="3" t="str">
        <f t="shared" si="63"/>
        <v>ΕΛΑΙΩΝΕΣ</v>
      </c>
    </row>
    <row r="2013" spans="1:12" s="3" customFormat="1" ht="15" customHeight="1" x14ac:dyDescent="0.25">
      <c r="A2013" s="3" t="str">
        <f t="shared" si="62"/>
        <v>ΕΛΑΙΩΝΕΣΑΓΟΥΡΟΜΑΝΑΚΟΛΙΑ (ΑΓΟΥΡΟΜΑΝΑΚΟ, ΑΓΟΥΡΟΜΑΝΑΚΙ)</v>
      </c>
      <c r="B2013" s="4" t="s">
        <v>3545</v>
      </c>
      <c r="C2013" s="5" t="s">
        <v>3778</v>
      </c>
      <c r="D2013" s="6">
        <v>1821.1</v>
      </c>
      <c r="E2013" s="6">
        <v>1722.44</v>
      </c>
      <c r="F2013" s="7" t="s">
        <v>14</v>
      </c>
      <c r="G2013" s="8" t="s">
        <v>3779</v>
      </c>
      <c r="H2013" s="8" t="s">
        <v>16</v>
      </c>
      <c r="I2013" s="9">
        <v>975</v>
      </c>
      <c r="J2013" s="10">
        <v>15</v>
      </c>
      <c r="K2013" s="10">
        <v>156</v>
      </c>
      <c r="L2013" s="3" t="str">
        <f t="shared" si="63"/>
        <v>ΕΛΑΙΩΝΕΣ</v>
      </c>
    </row>
    <row r="2014" spans="1:12" s="3" customFormat="1" ht="15" customHeight="1" x14ac:dyDescent="0.25">
      <c r="A2014" s="3" t="str">
        <f t="shared" si="62"/>
        <v>ΕΛΑΙΩΝΕΣARBEQUINE (ARBEQUINA, ARBEQUIN)</v>
      </c>
      <c r="B2014" s="4" t="s">
        <v>3545</v>
      </c>
      <c r="C2014" s="5" t="s">
        <v>3780</v>
      </c>
      <c r="D2014" s="6">
        <v>1821.1</v>
      </c>
      <c r="E2014" s="6">
        <v>1722.44</v>
      </c>
      <c r="F2014" s="7" t="s">
        <v>14</v>
      </c>
      <c r="G2014" s="8" t="s">
        <v>3781</v>
      </c>
      <c r="H2014" s="8" t="s">
        <v>27</v>
      </c>
      <c r="I2014" s="9">
        <v>974</v>
      </c>
      <c r="J2014" s="10">
        <v>15</v>
      </c>
      <c r="K2014" s="10">
        <v>157</v>
      </c>
      <c r="L2014" s="3" t="str">
        <f t="shared" si="63"/>
        <v>ΕΛΑΙΩΝΕΣ</v>
      </c>
    </row>
    <row r="2015" spans="1:12" s="3" customFormat="1" ht="15" customHeight="1" x14ac:dyDescent="0.25">
      <c r="A2015" s="3" t="str">
        <f t="shared" si="62"/>
        <v>ΕΛΑΙΩΝΕΣΒΑΣΙΛΙΚΑΔΑ (ΒΑΣΙΛΙΚΗ)</v>
      </c>
      <c r="B2015" s="4" t="s">
        <v>3545</v>
      </c>
      <c r="C2015" s="5" t="s">
        <v>3782</v>
      </c>
      <c r="D2015" s="6">
        <v>1821.1</v>
      </c>
      <c r="E2015" s="6">
        <v>1722.44</v>
      </c>
      <c r="F2015" s="7" t="s">
        <v>14</v>
      </c>
      <c r="G2015" s="8" t="s">
        <v>3783</v>
      </c>
      <c r="H2015" s="8" t="s">
        <v>27</v>
      </c>
      <c r="I2015" s="9">
        <v>973</v>
      </c>
      <c r="J2015" s="10">
        <v>15</v>
      </c>
      <c r="K2015" s="10">
        <v>158</v>
      </c>
      <c r="L2015" s="3" t="str">
        <f t="shared" si="63"/>
        <v>ΕΛΑΙΩΝΕΣ</v>
      </c>
    </row>
    <row r="2016" spans="1:12" s="3" customFormat="1" ht="15" customHeight="1" x14ac:dyDescent="0.25">
      <c r="A2016" s="3" t="str">
        <f t="shared" si="62"/>
        <v>ΕΛΑΙΩΝΕΣΒΑΛΑΝΟΛΙΑ (ΜΥΤΙΛΙΝΙΑ, ΚΟΛΟΒΗ, ΒΑΛΑΝΑ)</v>
      </c>
      <c r="B2016" s="4" t="s">
        <v>3545</v>
      </c>
      <c r="C2016" s="5" t="s">
        <v>3784</v>
      </c>
      <c r="D2016" s="6">
        <v>1821.1</v>
      </c>
      <c r="E2016" s="6">
        <v>1722.44</v>
      </c>
      <c r="F2016" s="7" t="s">
        <v>14</v>
      </c>
      <c r="G2016" s="8" t="s">
        <v>3785</v>
      </c>
      <c r="H2016" s="8" t="s">
        <v>16</v>
      </c>
      <c r="I2016" s="9">
        <v>972</v>
      </c>
      <c r="J2016" s="10">
        <v>15</v>
      </c>
      <c r="K2016" s="10">
        <v>159</v>
      </c>
      <c r="L2016" s="3" t="str">
        <f t="shared" si="63"/>
        <v>ΕΛΑΙΩΝΕΣ</v>
      </c>
    </row>
    <row r="2017" spans="1:12" s="3" customFormat="1" ht="15" customHeight="1" x14ac:dyDescent="0.25">
      <c r="A2017" s="3" t="str">
        <f t="shared" si="62"/>
        <v>ΕΛΑΙΩΝΕΣΓΑΙΔΟΥΡΕΛΙΑ (ΔΑΜΑΣΚΗΝΑΤΗ, ΑΔΡΟΚΑΡΠΗ)</v>
      </c>
      <c r="B2017" s="4" t="s">
        <v>3545</v>
      </c>
      <c r="C2017" s="5" t="s">
        <v>3786</v>
      </c>
      <c r="D2017" s="6">
        <v>1821.1</v>
      </c>
      <c r="E2017" s="6">
        <v>1722.44</v>
      </c>
      <c r="F2017" s="7" t="s">
        <v>14</v>
      </c>
      <c r="G2017" s="8" t="s">
        <v>3787</v>
      </c>
      <c r="H2017" s="8" t="s">
        <v>27</v>
      </c>
      <c r="I2017" s="9">
        <v>963</v>
      </c>
      <c r="J2017" s="10">
        <v>15</v>
      </c>
      <c r="K2017" s="10">
        <v>160</v>
      </c>
      <c r="L2017" s="3" t="str">
        <f t="shared" si="63"/>
        <v>ΕΛΑΙΩΝΕΣ</v>
      </c>
    </row>
    <row r="2018" spans="1:12" s="3" customFormat="1" ht="15" customHeight="1" x14ac:dyDescent="0.25">
      <c r="A2018" s="3" t="str">
        <f t="shared" si="62"/>
        <v>ΕΛΑΙΩΝΕΣΔΑΜΑΣΚΗΝΑΤΗ ΛΕΣΒΟΥ</v>
      </c>
      <c r="B2018" s="4" t="s">
        <v>3545</v>
      </c>
      <c r="C2018" s="5" t="s">
        <v>3788</v>
      </c>
      <c r="D2018" s="6">
        <v>1821.1</v>
      </c>
      <c r="E2018" s="6">
        <v>1722.44</v>
      </c>
      <c r="F2018" s="7" t="s">
        <v>14</v>
      </c>
      <c r="G2018" s="8" t="s">
        <v>3789</v>
      </c>
      <c r="H2018" s="8" t="s">
        <v>27</v>
      </c>
      <c r="I2018" s="9">
        <v>970</v>
      </c>
      <c r="J2018" s="10">
        <v>15</v>
      </c>
      <c r="K2018" s="10">
        <v>161</v>
      </c>
      <c r="L2018" s="3" t="str">
        <f t="shared" si="63"/>
        <v>ΕΛΑΙΩΝΕΣ</v>
      </c>
    </row>
    <row r="2019" spans="1:12" s="3" customFormat="1" ht="15" customHeight="1" x14ac:dyDescent="0.25">
      <c r="A2019" s="3" t="str">
        <f t="shared" si="62"/>
        <v>ΕΛΑΙΩΝΕΣΔΑΦΝΕΛΙA  (ΔΑΦΝΟΚΑΡΠΗ)</v>
      </c>
      <c r="B2019" s="4" t="s">
        <v>3545</v>
      </c>
      <c r="C2019" s="5" t="s">
        <v>3790</v>
      </c>
      <c r="D2019" s="6">
        <v>1821.1</v>
      </c>
      <c r="E2019" s="6">
        <v>1722.44</v>
      </c>
      <c r="F2019" s="7" t="s">
        <v>14</v>
      </c>
      <c r="G2019" s="8" t="s">
        <v>3791</v>
      </c>
      <c r="H2019" s="8" t="s">
        <v>27</v>
      </c>
      <c r="I2019" s="9">
        <v>978</v>
      </c>
      <c r="J2019" s="10">
        <v>15</v>
      </c>
      <c r="K2019" s="10">
        <v>162</v>
      </c>
      <c r="L2019" s="3" t="str">
        <f t="shared" si="63"/>
        <v>ΕΛΑΙΩΝΕΣ</v>
      </c>
    </row>
    <row r="2020" spans="1:12" s="3" customFormat="1" ht="15" customHeight="1" x14ac:dyDescent="0.25">
      <c r="A2020" s="3" t="str">
        <f t="shared" si="62"/>
        <v>ΕΛΑΙΩΝΕΣGORDAL</v>
      </c>
      <c r="B2020" s="4" t="s">
        <v>3545</v>
      </c>
      <c r="C2020" s="5" t="s">
        <v>3792</v>
      </c>
      <c r="D2020" s="6">
        <v>1821.1</v>
      </c>
      <c r="E2020" s="6">
        <v>1722.44</v>
      </c>
      <c r="F2020" s="7" t="s">
        <v>14</v>
      </c>
      <c r="G2020" s="8" t="s">
        <v>3793</v>
      </c>
      <c r="H2020" s="8" t="s">
        <v>27</v>
      </c>
      <c r="I2020" s="9">
        <v>968</v>
      </c>
      <c r="J2020" s="10">
        <v>15</v>
      </c>
      <c r="K2020" s="10">
        <v>163</v>
      </c>
      <c r="L2020" s="3" t="str">
        <f t="shared" si="63"/>
        <v>ΕΛΑΙΩΝΕΣ</v>
      </c>
    </row>
    <row r="2021" spans="1:12" s="3" customFormat="1" ht="15" customHeight="1" x14ac:dyDescent="0.25">
      <c r="A2021" s="3" t="str">
        <f t="shared" si="62"/>
        <v>ΕΛΑΙΩΝΕΣΘΡΟΥΜΠΑ (ΘΡΟΥΜΠΟΛΙΑ, ΘΑΣΙΤΙΚΗ, ΛΑΔΟΛΙΑ, ΘΑΣΟΥ)</v>
      </c>
      <c r="B2021" s="4" t="s">
        <v>3545</v>
      </c>
      <c r="C2021" s="5" t="s">
        <v>3794</v>
      </c>
      <c r="D2021" s="6">
        <v>1821.1</v>
      </c>
      <c r="E2021" s="6">
        <v>1722.44</v>
      </c>
      <c r="F2021" s="7" t="s">
        <v>14</v>
      </c>
      <c r="G2021" s="8" t="s">
        <v>3795</v>
      </c>
      <c r="H2021" s="8" t="s">
        <v>16</v>
      </c>
      <c r="I2021" s="9">
        <v>967</v>
      </c>
      <c r="J2021" s="10">
        <v>15</v>
      </c>
      <c r="K2021" s="10">
        <v>164</v>
      </c>
      <c r="L2021" s="3" t="str">
        <f t="shared" si="63"/>
        <v>ΕΛΑΙΩΝΕΣ</v>
      </c>
    </row>
    <row r="2022" spans="1:12" s="3" customFormat="1" ht="15" customHeight="1" x14ac:dyDescent="0.25">
      <c r="A2022" s="3" t="str">
        <f t="shared" si="62"/>
        <v>ΕΛΑΙΩΝΕΣΚΟΥΤΣΟΥΡΕΛΙΑ (ΚΟΥΡΤΕΛΙΑ,ΚΟΥΡΕΛΙΑ)</v>
      </c>
      <c r="B2022" s="4" t="s">
        <v>3545</v>
      </c>
      <c r="C2022" s="5" t="s">
        <v>3796</v>
      </c>
      <c r="D2022" s="6">
        <v>1821.1</v>
      </c>
      <c r="E2022" s="6">
        <v>1722.44</v>
      </c>
      <c r="F2022" s="7" t="s">
        <v>14</v>
      </c>
      <c r="G2022" s="8" t="s">
        <v>3797</v>
      </c>
      <c r="H2022" s="8" t="s">
        <v>16</v>
      </c>
      <c r="I2022" s="9">
        <v>966</v>
      </c>
      <c r="J2022" s="10">
        <v>15</v>
      </c>
      <c r="K2022" s="10">
        <v>165</v>
      </c>
      <c r="L2022" s="3" t="str">
        <f t="shared" si="63"/>
        <v>ΕΛΑΙΩΝΕΣ</v>
      </c>
    </row>
    <row r="2023" spans="1:12" s="3" customFormat="1" ht="15" customHeight="1" x14ac:dyDescent="0.25">
      <c r="A2023" s="3" t="str">
        <f t="shared" si="62"/>
        <v>ΕΛΑΙΩΝΕΣΚΟΡΩΝΕΙΚΗ (ΚΟΡΩΝΗ, ΒΑΤΣΙΚΗ, ΚΡΗΤΙΚΙΑ, ΚΟΡΩΝΙΑ ΚΡΗ)</v>
      </c>
      <c r="B2023" s="4" t="s">
        <v>3545</v>
      </c>
      <c r="C2023" s="5" t="s">
        <v>3798</v>
      </c>
      <c r="D2023" s="6">
        <v>1821.1</v>
      </c>
      <c r="E2023" s="6">
        <v>1722.44</v>
      </c>
      <c r="F2023" s="7" t="s">
        <v>14</v>
      </c>
      <c r="G2023" s="8" t="s">
        <v>3799</v>
      </c>
      <c r="H2023" s="8" t="s">
        <v>16</v>
      </c>
      <c r="I2023" s="9">
        <v>965</v>
      </c>
      <c r="J2023" s="10">
        <v>15</v>
      </c>
      <c r="K2023" s="10">
        <v>166</v>
      </c>
      <c r="L2023" s="3" t="str">
        <f t="shared" si="63"/>
        <v>ΕΛΑΙΩΝΕΣ</v>
      </c>
    </row>
    <row r="2024" spans="1:12" s="3" customFormat="1" ht="15" customHeight="1" x14ac:dyDescent="0.25">
      <c r="A2024" s="3" t="str">
        <f t="shared" si="62"/>
        <v>ΕΛΑΙΩΝΕΣΚΑΛΟΚΑΙΡΙΔΑ (ΠΡΩΙΜΗ)</v>
      </c>
      <c r="B2024" s="4" t="s">
        <v>3545</v>
      </c>
      <c r="C2024" s="5" t="s">
        <v>3800</v>
      </c>
      <c r="D2024" s="6">
        <v>1821.1</v>
      </c>
      <c r="E2024" s="6">
        <v>1722.44</v>
      </c>
      <c r="F2024" s="7" t="s">
        <v>14</v>
      </c>
      <c r="G2024" s="8" t="s">
        <v>3801</v>
      </c>
      <c r="H2024" s="8" t="s">
        <v>27</v>
      </c>
      <c r="I2024" s="9">
        <v>985</v>
      </c>
      <c r="J2024" s="10">
        <v>15</v>
      </c>
      <c r="K2024" s="10">
        <v>167</v>
      </c>
      <c r="L2024" s="3" t="str">
        <f t="shared" si="63"/>
        <v>ΕΛΑΙΩΝΕΣ</v>
      </c>
    </row>
    <row r="2025" spans="1:12" s="3" customFormat="1" ht="15" customHeight="1" x14ac:dyDescent="0.25">
      <c r="A2025" s="3" t="str">
        <f t="shared" si="62"/>
        <v>ΕΛΑΙΩΝΕΣΚΑΛΑΜΩΝ (ΚΑΛΑΜΑΤΙΑΝΗ, ΤΣΙΓΚΟΛΙ, ΑΕΤΟΝΥΧΙ)</v>
      </c>
      <c r="B2025" s="4" t="s">
        <v>3545</v>
      </c>
      <c r="C2025" s="5" t="s">
        <v>3802</v>
      </c>
      <c r="D2025" s="6">
        <v>1821.1</v>
      </c>
      <c r="E2025" s="6">
        <v>1722.44</v>
      </c>
      <c r="F2025" s="7" t="s">
        <v>14</v>
      </c>
      <c r="G2025" s="8" t="s">
        <v>3803</v>
      </c>
      <c r="H2025" s="8" t="s">
        <v>16</v>
      </c>
      <c r="I2025" s="9">
        <v>969</v>
      </c>
      <c r="J2025" s="10">
        <v>15</v>
      </c>
      <c r="K2025" s="10">
        <v>168</v>
      </c>
      <c r="L2025" s="3" t="str">
        <f t="shared" si="63"/>
        <v>ΕΛΑΙΩΝΕΣ</v>
      </c>
    </row>
    <row r="2026" spans="1:12" s="3" customFormat="1" ht="15" customHeight="1" x14ac:dyDescent="0.25">
      <c r="A2026" s="3" t="str">
        <f t="shared" si="62"/>
        <v>ΕΛΑΙΩΝΕΣΚΟΛΥΜΠΑΔΑ</v>
      </c>
      <c r="B2026" s="4" t="s">
        <v>3545</v>
      </c>
      <c r="C2026" s="5" t="s">
        <v>3804</v>
      </c>
      <c r="D2026" s="6">
        <v>1821.1</v>
      </c>
      <c r="E2026" s="6">
        <v>1722.44</v>
      </c>
      <c r="F2026" s="7" t="s">
        <v>14</v>
      </c>
      <c r="G2026" s="8" t="s">
        <v>3805</v>
      </c>
      <c r="H2026" s="8" t="s">
        <v>27</v>
      </c>
      <c r="I2026" s="9">
        <v>971</v>
      </c>
      <c r="J2026" s="10">
        <v>15</v>
      </c>
      <c r="K2026" s="10">
        <v>169</v>
      </c>
      <c r="L2026" s="3" t="str">
        <f t="shared" si="63"/>
        <v>ΕΛΑΙΩΝΕΣ</v>
      </c>
    </row>
    <row r="2027" spans="1:12" s="3" customFormat="1" ht="15" customHeight="1" x14ac:dyDescent="0.25">
      <c r="A2027" s="3" t="str">
        <f t="shared" si="62"/>
        <v>ΕΛΑΙΩΝΕΣΚΑΡΟΛΗΑ</v>
      </c>
      <c r="B2027" s="4" t="s">
        <v>3545</v>
      </c>
      <c r="C2027" s="5" t="s">
        <v>3806</v>
      </c>
      <c r="D2027" s="6">
        <v>1821.1</v>
      </c>
      <c r="E2027" s="6">
        <v>1722.44</v>
      </c>
      <c r="F2027" s="7" t="s">
        <v>14</v>
      </c>
      <c r="G2027" s="8" t="s">
        <v>3807</v>
      </c>
      <c r="H2027" s="8" t="s">
        <v>27</v>
      </c>
      <c r="I2027" s="9">
        <v>993</v>
      </c>
      <c r="J2027" s="10">
        <v>15</v>
      </c>
      <c r="K2027" s="10">
        <v>170</v>
      </c>
      <c r="L2027" s="3" t="str">
        <f t="shared" si="63"/>
        <v>ΕΛΑΙΩΝΕΣ</v>
      </c>
    </row>
    <row r="2028" spans="1:12" s="3" customFormat="1" ht="15" customHeight="1" x14ac:dyDescent="0.25">
      <c r="A2028" s="3" t="str">
        <f t="shared" si="62"/>
        <v>ΕΛΑΙΩΝΕΣΚΟΘΡΕΙΚΗ (ΜΑΝΑΚΙ, ΜΑΝΑΚΟΛΙΑ, ΓΛΥΚΟΜΑΝΑΚΟ)</v>
      </c>
      <c r="B2028" s="4" t="s">
        <v>3545</v>
      </c>
      <c r="C2028" s="5" t="s">
        <v>3808</v>
      </c>
      <c r="D2028" s="6">
        <v>1821.1</v>
      </c>
      <c r="E2028" s="6">
        <v>1722.44</v>
      </c>
      <c r="F2028" s="7" t="s">
        <v>14</v>
      </c>
      <c r="G2028" s="8" t="s">
        <v>3809</v>
      </c>
      <c r="H2028" s="8" t="s">
        <v>16</v>
      </c>
      <c r="I2028" s="9">
        <v>992</v>
      </c>
      <c r="J2028" s="10">
        <v>15</v>
      </c>
      <c r="K2028" s="10">
        <v>171</v>
      </c>
      <c r="L2028" s="3" t="str">
        <f t="shared" si="63"/>
        <v>ΕΛΑΙΩΝΕΣ</v>
      </c>
    </row>
    <row r="2029" spans="1:12" s="3" customFormat="1" ht="15" customHeight="1" x14ac:dyDescent="0.25">
      <c r="A2029" s="3" t="str">
        <f t="shared" si="62"/>
        <v>ΕΛΑΙΩΝΕΣΚΑΡΥΔΟΛΙΑ</v>
      </c>
      <c r="B2029" s="4" t="s">
        <v>3545</v>
      </c>
      <c r="C2029" s="5" t="s">
        <v>3810</v>
      </c>
      <c r="D2029" s="6">
        <v>1821.1</v>
      </c>
      <c r="E2029" s="6">
        <v>1722.44</v>
      </c>
      <c r="F2029" s="7" t="s">
        <v>14</v>
      </c>
      <c r="G2029" s="8" t="s">
        <v>3811</v>
      </c>
      <c r="H2029" s="8" t="s">
        <v>27</v>
      </c>
      <c r="I2029" s="9">
        <v>991</v>
      </c>
      <c r="J2029" s="10">
        <v>15</v>
      </c>
      <c r="K2029" s="10">
        <v>172</v>
      </c>
      <c r="L2029" s="3" t="str">
        <f t="shared" si="63"/>
        <v>ΕΛΑΙΩΝΕΣ</v>
      </c>
    </row>
    <row r="2030" spans="1:12" s="3" customFormat="1" ht="15" customHeight="1" x14ac:dyDescent="0.25">
      <c r="A2030" s="3" t="str">
        <f t="shared" si="62"/>
        <v>ΕΛΑΙΩΝΕΣΚΑΡΥΔΟΛΙΑ ΣΠΕΤΣΩΝ</v>
      </c>
      <c r="B2030" s="4" t="s">
        <v>3545</v>
      </c>
      <c r="C2030" s="5" t="s">
        <v>3812</v>
      </c>
      <c r="D2030" s="6">
        <v>1821.1</v>
      </c>
      <c r="E2030" s="6">
        <v>1722.44</v>
      </c>
      <c r="F2030" s="7" t="s">
        <v>14</v>
      </c>
      <c r="G2030" s="8" t="s">
        <v>3813</v>
      </c>
      <c r="H2030" s="8" t="s">
        <v>27</v>
      </c>
      <c r="I2030" s="9">
        <v>990</v>
      </c>
      <c r="J2030" s="10">
        <v>15</v>
      </c>
      <c r="K2030" s="10">
        <v>173</v>
      </c>
      <c r="L2030" s="3" t="str">
        <f t="shared" si="63"/>
        <v>ΕΛΑΙΩΝΕΣ</v>
      </c>
    </row>
    <row r="2031" spans="1:12" s="3" customFormat="1" ht="15" customHeight="1" x14ac:dyDescent="0.25">
      <c r="A2031" s="3" t="str">
        <f t="shared" si="62"/>
        <v>ΕΛΑΙΩΝΕΣΚΛΩΝΑΡΕΣ ΚΟΡΩΠΙΟΥ</v>
      </c>
      <c r="B2031" s="4" t="s">
        <v>3545</v>
      </c>
      <c r="C2031" s="5" t="s">
        <v>3814</v>
      </c>
      <c r="D2031" s="6">
        <v>1821.1</v>
      </c>
      <c r="E2031" s="6">
        <v>1722.44</v>
      </c>
      <c r="F2031" s="7" t="s">
        <v>14</v>
      </c>
      <c r="G2031" s="8" t="s">
        <v>3815</v>
      </c>
      <c r="H2031" s="8" t="s">
        <v>27</v>
      </c>
      <c r="I2031" s="9">
        <v>1092</v>
      </c>
      <c r="J2031" s="10">
        <v>15</v>
      </c>
      <c r="K2031" s="10">
        <v>174</v>
      </c>
      <c r="L2031" s="3" t="str">
        <f t="shared" si="63"/>
        <v>ΕΛΑΙΩΝΕΣ</v>
      </c>
    </row>
    <row r="2032" spans="1:12" s="3" customFormat="1" ht="15" customHeight="1" x14ac:dyDescent="0.25">
      <c r="A2032" s="3" t="str">
        <f t="shared" si="62"/>
        <v>ΕΛΑΙΩΝΕΣΚΑΡΟΛΙΑ ΙΣΤΙΑΙΑΣ</v>
      </c>
      <c r="B2032" s="4" t="s">
        <v>3545</v>
      </c>
      <c r="C2032" s="5" t="s">
        <v>3816</v>
      </c>
      <c r="D2032" s="6">
        <v>1821.1</v>
      </c>
      <c r="E2032" s="6">
        <v>1722.44</v>
      </c>
      <c r="F2032" s="7" t="s">
        <v>14</v>
      </c>
      <c r="G2032" s="8" t="s">
        <v>3817</v>
      </c>
      <c r="H2032" s="8" t="s">
        <v>27</v>
      </c>
      <c r="I2032" s="9">
        <v>1093</v>
      </c>
      <c r="J2032" s="10">
        <v>15</v>
      </c>
      <c r="K2032" s="10">
        <v>175</v>
      </c>
      <c r="L2032" s="3" t="str">
        <f t="shared" si="63"/>
        <v>ΕΛΑΙΩΝΕΣ</v>
      </c>
    </row>
    <row r="2033" spans="1:12" s="3" customFormat="1" ht="15" customHeight="1" x14ac:dyDescent="0.25">
      <c r="A2033" s="3" t="str">
        <f t="shared" si="62"/>
        <v>ΕΛΑΙΩΝΕΣΚΟΛΥΡΕΙΚΗ</v>
      </c>
      <c r="B2033" s="4" t="s">
        <v>3545</v>
      </c>
      <c r="C2033" s="5" t="s">
        <v>3818</v>
      </c>
      <c r="D2033" s="6">
        <v>1821.1</v>
      </c>
      <c r="E2033" s="6">
        <v>1722.44</v>
      </c>
      <c r="F2033" s="7" t="s">
        <v>14</v>
      </c>
      <c r="G2033" s="8" t="s">
        <v>3819</v>
      </c>
      <c r="H2033" s="8" t="s">
        <v>27</v>
      </c>
      <c r="I2033" s="9">
        <v>1094</v>
      </c>
      <c r="J2033" s="10">
        <v>15</v>
      </c>
      <c r="K2033" s="10">
        <v>176</v>
      </c>
      <c r="L2033" s="3" t="str">
        <f t="shared" si="63"/>
        <v>ΕΛΑΙΩΝΕΣ</v>
      </c>
    </row>
    <row r="2034" spans="1:12" s="3" customFormat="1" ht="15" customHeight="1" x14ac:dyDescent="0.25">
      <c r="A2034" s="3" t="str">
        <f t="shared" si="62"/>
        <v>ΕΛΑΙΩΝΕΣLECHINO (LECHIN DE SEVILLA)</v>
      </c>
      <c r="B2034" s="4" t="s">
        <v>3545</v>
      </c>
      <c r="C2034" s="5" t="s">
        <v>3820</v>
      </c>
      <c r="D2034" s="6">
        <v>1821.1</v>
      </c>
      <c r="E2034" s="6">
        <v>1722.44</v>
      </c>
      <c r="F2034" s="7" t="s">
        <v>14</v>
      </c>
      <c r="G2034" s="8" t="s">
        <v>3821</v>
      </c>
      <c r="H2034" s="8" t="s">
        <v>27</v>
      </c>
      <c r="I2034" s="9">
        <v>1108</v>
      </c>
      <c r="J2034" s="10">
        <v>15</v>
      </c>
      <c r="K2034" s="10">
        <v>177</v>
      </c>
      <c r="L2034" s="3" t="str">
        <f t="shared" si="63"/>
        <v>ΕΛΑΙΩΝΕΣ</v>
      </c>
    </row>
    <row r="2035" spans="1:12" s="3" customFormat="1" ht="15" customHeight="1" x14ac:dyDescent="0.25">
      <c r="A2035" s="3" t="str">
        <f t="shared" si="62"/>
        <v>ΕΛΑΙΩΝΕΣΛΙΑΝΟΛΗΑ ΚΕΡΚΥΡΑΣ (ΠΡΕΒΕΖΑΝΑ, ΝΕΡΟΛΙΑ, ΚΑΡΦΟΛΙΑ)</v>
      </c>
      <c r="B2035" s="4" t="s">
        <v>3545</v>
      </c>
      <c r="C2035" s="5" t="s">
        <v>3822</v>
      </c>
      <c r="D2035" s="6">
        <v>1821.1</v>
      </c>
      <c r="E2035" s="6">
        <v>1722.44</v>
      </c>
      <c r="F2035" s="7" t="s">
        <v>14</v>
      </c>
      <c r="G2035" s="8" t="s">
        <v>3823</v>
      </c>
      <c r="H2035" s="8" t="s">
        <v>27</v>
      </c>
      <c r="I2035" s="9">
        <v>1096</v>
      </c>
      <c r="J2035" s="10">
        <v>15</v>
      </c>
      <c r="K2035" s="10">
        <v>178</v>
      </c>
      <c r="L2035" s="3" t="str">
        <f t="shared" si="63"/>
        <v>ΕΛΑΙΩΝΕΣ</v>
      </c>
    </row>
    <row r="2036" spans="1:12" s="3" customFormat="1" ht="15" customHeight="1" x14ac:dyDescent="0.25">
      <c r="A2036" s="3" t="str">
        <f t="shared" si="62"/>
        <v>ΕΛΑΙΩΝΕΣLUCQUES</v>
      </c>
      <c r="B2036" s="4" t="s">
        <v>3545</v>
      </c>
      <c r="C2036" s="5" t="s">
        <v>3824</v>
      </c>
      <c r="D2036" s="6">
        <v>1821.1</v>
      </c>
      <c r="E2036" s="6">
        <v>1722.44</v>
      </c>
      <c r="F2036" s="7" t="s">
        <v>14</v>
      </c>
      <c r="G2036" s="8" t="s">
        <v>3825</v>
      </c>
      <c r="H2036" s="8" t="s">
        <v>27</v>
      </c>
      <c r="I2036" s="9">
        <v>1084</v>
      </c>
      <c r="J2036" s="10">
        <v>15</v>
      </c>
      <c r="K2036" s="10">
        <v>179</v>
      </c>
      <c r="L2036" s="3" t="str">
        <f t="shared" si="63"/>
        <v>ΕΛΑΙΩΝΕΣ</v>
      </c>
    </row>
    <row r="2037" spans="1:12" s="3" customFormat="1" ht="15" customHeight="1" x14ac:dyDescent="0.25">
      <c r="A2037" s="3" t="str">
        <f t="shared" si="62"/>
        <v>ΕΛΑΙΩΝΕΣΜΑΥΡΕΛΗΑ (ΜΕΘΩΝΙΑ, ΜΑΥΡΟΛΙΑ, ΜΟΥΤΡΟΛΙΑ)</v>
      </c>
      <c r="B2037" s="4" t="s">
        <v>3545</v>
      </c>
      <c r="C2037" s="5" t="s">
        <v>3826</v>
      </c>
      <c r="D2037" s="6">
        <v>1821.1</v>
      </c>
      <c r="E2037" s="6">
        <v>1722.44</v>
      </c>
      <c r="F2037" s="7" t="s">
        <v>14</v>
      </c>
      <c r="G2037" s="8" t="s">
        <v>3827</v>
      </c>
      <c r="H2037" s="8" t="s">
        <v>27</v>
      </c>
      <c r="I2037" s="9">
        <v>1098</v>
      </c>
      <c r="J2037" s="10">
        <v>15</v>
      </c>
      <c r="K2037" s="10">
        <v>180</v>
      </c>
      <c r="L2037" s="3" t="str">
        <f t="shared" si="63"/>
        <v>ΕΛΑΙΩΝΕΣ</v>
      </c>
    </row>
    <row r="2038" spans="1:12" s="3" customFormat="1" ht="15" customHeight="1" x14ac:dyDescent="0.25">
      <c r="A2038" s="3" t="str">
        <f t="shared" si="62"/>
        <v>ΕΛΑΙΩΝΕΣΜΥΡΤΟΛΗΑ</v>
      </c>
      <c r="B2038" s="4" t="s">
        <v>3545</v>
      </c>
      <c r="C2038" s="5" t="s">
        <v>3828</v>
      </c>
      <c r="D2038" s="6">
        <v>1821.1</v>
      </c>
      <c r="E2038" s="6">
        <v>1722.44</v>
      </c>
      <c r="F2038" s="7" t="s">
        <v>14</v>
      </c>
      <c r="G2038" s="8" t="s">
        <v>3829</v>
      </c>
      <c r="H2038" s="8" t="s">
        <v>27</v>
      </c>
      <c r="I2038" s="9">
        <v>1099</v>
      </c>
      <c r="J2038" s="10">
        <v>15</v>
      </c>
      <c r="K2038" s="10">
        <v>181</v>
      </c>
      <c r="L2038" s="3" t="str">
        <f t="shared" si="63"/>
        <v>ΕΛΑΙΩΝΕΣ</v>
      </c>
    </row>
    <row r="2039" spans="1:12" s="3" customFormat="1" ht="15" customHeight="1" x14ac:dyDescent="0.25">
      <c r="A2039" s="3" t="str">
        <f t="shared" si="62"/>
        <v>ΕΛΑΙΩΝΕΣMEXINE</v>
      </c>
      <c r="B2039" s="4" t="s">
        <v>3545</v>
      </c>
      <c r="C2039" s="5" t="s">
        <v>3830</v>
      </c>
      <c r="D2039" s="6">
        <v>1821.1</v>
      </c>
      <c r="E2039" s="6">
        <v>1722.44</v>
      </c>
      <c r="F2039" s="7" t="s">
        <v>14</v>
      </c>
      <c r="G2039" s="8" t="s">
        <v>3831</v>
      </c>
      <c r="H2039" s="8" t="s">
        <v>27</v>
      </c>
      <c r="I2039" s="9">
        <v>1100</v>
      </c>
      <c r="J2039" s="10">
        <v>15</v>
      </c>
      <c r="K2039" s="10">
        <v>182</v>
      </c>
      <c r="L2039" s="3" t="str">
        <f t="shared" si="63"/>
        <v>ΕΛΑΙΩΝΕΣ</v>
      </c>
    </row>
    <row r="2040" spans="1:12" s="3" customFormat="1" ht="15" customHeight="1" x14ac:dyDescent="0.25">
      <c r="A2040" s="3" t="str">
        <f t="shared" si="62"/>
        <v>ΕΛΑΙΩΝΕΣΜΕΓΑΡΕΙΤΙΚΗ (ΠΕΡΑΧΩΡΙΤΙΚΗ, ΒΟΙΒΟΔΙΤΙΚΗ, ΒΟΒΩΔΗ)</v>
      </c>
      <c r="B2040" s="4" t="s">
        <v>3545</v>
      </c>
      <c r="C2040" s="5" t="s">
        <v>3832</v>
      </c>
      <c r="D2040" s="6">
        <v>1821.1</v>
      </c>
      <c r="E2040" s="6">
        <v>1722.44</v>
      </c>
      <c r="F2040" s="7" t="s">
        <v>14</v>
      </c>
      <c r="G2040" s="8" t="s">
        <v>3833</v>
      </c>
      <c r="H2040" s="8" t="s">
        <v>16</v>
      </c>
      <c r="I2040" s="9">
        <v>1101</v>
      </c>
      <c r="J2040" s="10">
        <v>15</v>
      </c>
      <c r="K2040" s="10">
        <v>183</v>
      </c>
      <c r="L2040" s="3" t="str">
        <f t="shared" si="63"/>
        <v>ΕΛΑΙΩΝΕΣ</v>
      </c>
    </row>
    <row r="2041" spans="1:12" s="3" customFormat="1" ht="15" customHeight="1" x14ac:dyDescent="0.25">
      <c r="A2041" s="3" t="str">
        <f t="shared" si="62"/>
        <v>ΕΛΑΙΩΝΕΣMANZANILLA JAEN</v>
      </c>
      <c r="B2041" s="4" t="s">
        <v>3545</v>
      </c>
      <c r="C2041" s="5" t="s">
        <v>3834</v>
      </c>
      <c r="D2041" s="6">
        <v>1821.1</v>
      </c>
      <c r="E2041" s="6">
        <v>1722.44</v>
      </c>
      <c r="F2041" s="7" t="s">
        <v>14</v>
      </c>
      <c r="G2041" s="8" t="s">
        <v>3835</v>
      </c>
      <c r="H2041" s="8" t="s">
        <v>27</v>
      </c>
      <c r="I2041" s="9">
        <v>1102</v>
      </c>
      <c r="J2041" s="10">
        <v>15</v>
      </c>
      <c r="K2041" s="10">
        <v>184</v>
      </c>
      <c r="L2041" s="3" t="str">
        <f t="shared" si="63"/>
        <v>ΕΛΑΙΩΝΕΣ</v>
      </c>
    </row>
    <row r="2042" spans="1:12" s="3" customFormat="1" ht="15" customHeight="1" x14ac:dyDescent="0.25">
      <c r="A2042" s="3" t="str">
        <f t="shared" si="62"/>
        <v>ΕΛΑΙΩΝΕΣMANZANILLA DOS HERMANOS</v>
      </c>
      <c r="B2042" s="4" t="s">
        <v>3545</v>
      </c>
      <c r="C2042" s="5" t="s">
        <v>3836</v>
      </c>
      <c r="D2042" s="6">
        <v>1821.1</v>
      </c>
      <c r="E2042" s="6">
        <v>1722.44</v>
      </c>
      <c r="F2042" s="7" t="s">
        <v>14</v>
      </c>
      <c r="G2042" s="8" t="s">
        <v>3837</v>
      </c>
      <c r="H2042" s="8" t="s">
        <v>27</v>
      </c>
      <c r="I2042" s="9">
        <v>1103</v>
      </c>
      <c r="J2042" s="10">
        <v>15</v>
      </c>
      <c r="K2042" s="10">
        <v>185</v>
      </c>
      <c r="L2042" s="3" t="str">
        <f t="shared" si="63"/>
        <v>ΕΛΑΙΩΝΕΣ</v>
      </c>
    </row>
    <row r="2043" spans="1:12" s="3" customFormat="1" ht="15" customHeight="1" x14ac:dyDescent="0.25">
      <c r="A2043" s="3" t="str">
        <f t="shared" si="62"/>
        <v>ΕΛΑΙΩΝΕΣMANZANILLA</v>
      </c>
      <c r="B2043" s="4" t="s">
        <v>3545</v>
      </c>
      <c r="C2043" s="5" t="s">
        <v>3838</v>
      </c>
      <c r="D2043" s="6">
        <v>1821.1</v>
      </c>
      <c r="E2043" s="6">
        <v>1722.44</v>
      </c>
      <c r="F2043" s="7" t="s">
        <v>14</v>
      </c>
      <c r="G2043" s="8" t="s">
        <v>3839</v>
      </c>
      <c r="H2043" s="8" t="s">
        <v>27</v>
      </c>
      <c r="I2043" s="9">
        <v>1104</v>
      </c>
      <c r="J2043" s="10">
        <v>15</v>
      </c>
      <c r="K2043" s="10">
        <v>186</v>
      </c>
      <c r="L2043" s="3" t="str">
        <f t="shared" si="63"/>
        <v>ΕΛΑΙΩΝΕΣ</v>
      </c>
    </row>
    <row r="2044" spans="1:12" s="3" customFormat="1" ht="15" customHeight="1" x14ac:dyDescent="0.25">
      <c r="A2044" s="3" t="str">
        <f t="shared" si="62"/>
        <v>ΕΛΑΙΩΝΕΣΜΕΛΟΛΙΑ (ΕΛΙΑ ΗΔΙΚΑΡΠΗ)</v>
      </c>
      <c r="B2044" s="4" t="s">
        <v>3545</v>
      </c>
      <c r="C2044" s="5" t="s">
        <v>3840</v>
      </c>
      <c r="D2044" s="6">
        <v>1821.1</v>
      </c>
      <c r="E2044" s="6">
        <v>1722.44</v>
      </c>
      <c r="F2044" s="7" t="s">
        <v>14</v>
      </c>
      <c r="G2044" s="8" t="s">
        <v>3841</v>
      </c>
      <c r="H2044" s="8" t="s">
        <v>27</v>
      </c>
      <c r="I2044" s="9">
        <v>1105</v>
      </c>
      <c r="J2044" s="10">
        <v>15</v>
      </c>
      <c r="K2044" s="10">
        <v>187</v>
      </c>
      <c r="L2044" s="3" t="str">
        <f t="shared" si="63"/>
        <v>ΕΛΑΙΩΝΕΣ</v>
      </c>
    </row>
    <row r="2045" spans="1:12" s="3" customFormat="1" ht="15" customHeight="1" x14ac:dyDescent="0.25">
      <c r="A2045" s="3" t="str">
        <f t="shared" si="62"/>
        <v>ΕΛΑΙΩΝΕΣMISSION</v>
      </c>
      <c r="B2045" s="4" t="s">
        <v>3545</v>
      </c>
      <c r="C2045" s="5" t="s">
        <v>3842</v>
      </c>
      <c r="D2045" s="6">
        <v>1821.1</v>
      </c>
      <c r="E2045" s="6">
        <v>1722.44</v>
      </c>
      <c r="F2045" s="7" t="s">
        <v>14</v>
      </c>
      <c r="G2045" s="8" t="s">
        <v>3843</v>
      </c>
      <c r="H2045" s="8" t="s">
        <v>27</v>
      </c>
      <c r="I2045" s="9">
        <v>1106</v>
      </c>
      <c r="J2045" s="10">
        <v>15</v>
      </c>
      <c r="K2045" s="10">
        <v>188</v>
      </c>
      <c r="L2045" s="3" t="str">
        <f t="shared" si="63"/>
        <v>ΕΛΑΙΩΝΕΣ</v>
      </c>
    </row>
    <row r="2046" spans="1:12" s="3" customFormat="1" ht="15" customHeight="1" x14ac:dyDescent="0.25">
      <c r="A2046" s="3" t="str">
        <f t="shared" si="62"/>
        <v>ΕΛΑΙΩΝΕΣPICUAL (NEVADILLO BLANCO)</v>
      </c>
      <c r="B2046" s="4" t="s">
        <v>3545</v>
      </c>
      <c r="C2046" s="5" t="s">
        <v>3844</v>
      </c>
      <c r="D2046" s="6">
        <v>1821.1</v>
      </c>
      <c r="E2046" s="6">
        <v>1722.44</v>
      </c>
      <c r="F2046" s="7" t="s">
        <v>14</v>
      </c>
      <c r="G2046" s="8" t="s">
        <v>3845</v>
      </c>
      <c r="H2046" s="8" t="s">
        <v>16</v>
      </c>
      <c r="I2046" s="9">
        <v>1072</v>
      </c>
      <c r="J2046" s="10">
        <v>15</v>
      </c>
      <c r="K2046" s="10">
        <v>189</v>
      </c>
      <c r="L2046" s="3" t="str">
        <f t="shared" si="63"/>
        <v>ΕΛΑΙΩΝΕΣ</v>
      </c>
    </row>
    <row r="2047" spans="1:12" s="3" customFormat="1" ht="15" customHeight="1" x14ac:dyDescent="0.25">
      <c r="A2047" s="3" t="str">
        <f t="shared" si="62"/>
        <v>ΕΛΑΙΩΝΕΣΠΑΤΡΙΝΗ</v>
      </c>
      <c r="B2047" s="4" t="s">
        <v>3545</v>
      </c>
      <c r="C2047" s="5" t="s">
        <v>3846</v>
      </c>
      <c r="D2047" s="6">
        <v>1821.1</v>
      </c>
      <c r="E2047" s="6">
        <v>1722.44</v>
      </c>
      <c r="F2047" s="7" t="s">
        <v>14</v>
      </c>
      <c r="G2047" s="8" t="s">
        <v>3847</v>
      </c>
      <c r="H2047" s="8" t="s">
        <v>16</v>
      </c>
      <c r="I2047" s="9">
        <v>1097</v>
      </c>
      <c r="J2047" s="10">
        <v>15</v>
      </c>
      <c r="K2047" s="10">
        <v>190</v>
      </c>
      <c r="L2047" s="3" t="str">
        <f t="shared" si="63"/>
        <v>ΕΛΑΙΩΝΕΣ</v>
      </c>
    </row>
    <row r="2048" spans="1:12" s="3" customFormat="1" ht="15" customHeight="1" x14ac:dyDescent="0.25">
      <c r="A2048" s="3" t="str">
        <f t="shared" si="62"/>
        <v>ΕΛΑΙΩΝΕΣPICHOLIN ή PICHOLINE</v>
      </c>
      <c r="B2048" s="4" t="s">
        <v>3545</v>
      </c>
      <c r="C2048" s="5" t="s">
        <v>3848</v>
      </c>
      <c r="D2048" s="6">
        <v>1821.1</v>
      </c>
      <c r="E2048" s="6">
        <v>1722.44</v>
      </c>
      <c r="F2048" s="7" t="s">
        <v>14</v>
      </c>
      <c r="G2048" s="8" t="s">
        <v>3849</v>
      </c>
      <c r="H2048" s="8" t="s">
        <v>27</v>
      </c>
      <c r="I2048" s="9">
        <v>1095</v>
      </c>
      <c r="J2048" s="10">
        <v>15</v>
      </c>
      <c r="K2048" s="10">
        <v>191</v>
      </c>
      <c r="L2048" s="3" t="str">
        <f t="shared" si="63"/>
        <v>ΕΛΑΙΩΝΕΣ</v>
      </c>
    </row>
    <row r="2049" spans="1:12" s="3" customFormat="1" ht="15" customHeight="1" x14ac:dyDescent="0.25">
      <c r="A2049" s="3" t="str">
        <f t="shared" si="62"/>
        <v>ΕΛΑΙΩΝΕΣΠΙΚΡΟΛΙΑ</v>
      </c>
      <c r="B2049" s="4" t="s">
        <v>3545</v>
      </c>
      <c r="C2049" s="5" t="s">
        <v>3850</v>
      </c>
      <c r="D2049" s="6">
        <v>1821.1</v>
      </c>
      <c r="E2049" s="6">
        <v>1722.44</v>
      </c>
      <c r="F2049" s="7" t="s">
        <v>14</v>
      </c>
      <c r="G2049" s="8" t="s">
        <v>3851</v>
      </c>
      <c r="H2049" s="8" t="s">
        <v>27</v>
      </c>
      <c r="I2049" s="9">
        <v>1061</v>
      </c>
      <c r="J2049" s="10">
        <v>15</v>
      </c>
      <c r="K2049" s="10">
        <v>192</v>
      </c>
      <c r="L2049" s="3" t="str">
        <f t="shared" si="63"/>
        <v>ΕΛΑΙΩΝΕΣ</v>
      </c>
    </row>
    <row r="2050" spans="1:12" s="3" customFormat="1" ht="15" customHeight="1" x14ac:dyDescent="0.25">
      <c r="A2050" s="3" t="str">
        <f t="shared" si="62"/>
        <v>ΕΛΑΙΩΝΕΣREDDING PICHOLINE</v>
      </c>
      <c r="B2050" s="4" t="s">
        <v>3545</v>
      </c>
      <c r="C2050" s="5" t="s">
        <v>3852</v>
      </c>
      <c r="D2050" s="6">
        <v>1821.1</v>
      </c>
      <c r="E2050" s="6">
        <v>1722.44</v>
      </c>
      <c r="F2050" s="7" t="s">
        <v>14</v>
      </c>
      <c r="G2050" s="8" t="s">
        <v>3853</v>
      </c>
      <c r="H2050" s="8" t="s">
        <v>27</v>
      </c>
      <c r="I2050" s="9">
        <v>1062</v>
      </c>
      <c r="J2050" s="10">
        <v>15</v>
      </c>
      <c r="K2050" s="10">
        <v>193</v>
      </c>
      <c r="L2050" s="3" t="str">
        <f t="shared" si="63"/>
        <v>ΕΛΑΙΩΝΕΣ</v>
      </c>
    </row>
    <row r="2051" spans="1:12" s="3" customFormat="1" ht="15" customHeight="1" x14ac:dyDescent="0.25">
      <c r="A2051" s="3" t="str">
        <f t="shared" ref="A2051:A2114" si="64">_xlfn.CONCAT(B2051,C2051)</f>
        <v>ΕΛΑΙΩΝΕΣROUSETTE</v>
      </c>
      <c r="B2051" s="4" t="s">
        <v>3545</v>
      </c>
      <c r="C2051" s="5" t="s">
        <v>3854</v>
      </c>
      <c r="D2051" s="6">
        <v>1821.1</v>
      </c>
      <c r="E2051" s="6">
        <v>1722.44</v>
      </c>
      <c r="F2051" s="7" t="s">
        <v>14</v>
      </c>
      <c r="G2051" s="8" t="s">
        <v>3855</v>
      </c>
      <c r="H2051" s="8" t="s">
        <v>27</v>
      </c>
      <c r="I2051" s="9">
        <v>1063</v>
      </c>
      <c r="J2051" s="10">
        <v>15</v>
      </c>
      <c r="K2051" s="10">
        <v>194</v>
      </c>
      <c r="L2051" s="3" t="str">
        <f t="shared" ref="L2051:L2114" si="65">IFERROR(SUBSTITUTE(SUBSTITUTE(SUBSTITUTE(SUBSTITUTE(SUBSTITUTE(B2051, "-", "_"), " ", "_"), ",", ""), "(", ""), ")", ""), B2051)</f>
        <v>ΕΛΑΙΩΝΕΣ</v>
      </c>
    </row>
    <row r="2052" spans="1:12" s="3" customFormat="1" ht="15" customHeight="1" x14ac:dyDescent="0.25">
      <c r="A2052" s="3" t="str">
        <f t="shared" si="64"/>
        <v>ΕΛΑΙΩΝΕΣSALONENQUE</v>
      </c>
      <c r="B2052" s="4" t="s">
        <v>3545</v>
      </c>
      <c r="C2052" s="5" t="s">
        <v>3856</v>
      </c>
      <c r="D2052" s="6">
        <v>1821.1</v>
      </c>
      <c r="E2052" s="6">
        <v>1722.44</v>
      </c>
      <c r="F2052" s="7" t="s">
        <v>14</v>
      </c>
      <c r="G2052" s="8" t="s">
        <v>3857</v>
      </c>
      <c r="H2052" s="8" t="s">
        <v>27</v>
      </c>
      <c r="I2052" s="9">
        <v>1064</v>
      </c>
      <c r="J2052" s="10">
        <v>15</v>
      </c>
      <c r="K2052" s="10">
        <v>195</v>
      </c>
      <c r="L2052" s="3" t="str">
        <f t="shared" si="65"/>
        <v>ΕΛΑΙΩΝΕΣ</v>
      </c>
    </row>
    <row r="2053" spans="1:12" s="3" customFormat="1" ht="15" customHeight="1" x14ac:dyDescent="0.25">
      <c r="A2053" s="3" t="str">
        <f t="shared" si="64"/>
        <v>ΕΛΑΙΩΝΕΣΣΤΡΟΓΓΥΛΟΛΙΑ (ΓΑΛΑΝΗ, ΠΡΑΣΙΝΟΛΙΑ)</v>
      </c>
      <c r="B2053" s="4" t="s">
        <v>3545</v>
      </c>
      <c r="C2053" s="5" t="s">
        <v>3858</v>
      </c>
      <c r="D2053" s="6">
        <v>1821.1</v>
      </c>
      <c r="E2053" s="6">
        <v>1722.44</v>
      </c>
      <c r="F2053" s="7" t="s">
        <v>14</v>
      </c>
      <c r="G2053" s="8" t="s">
        <v>3859</v>
      </c>
      <c r="H2053" s="8" t="s">
        <v>27</v>
      </c>
      <c r="I2053" s="9">
        <v>1065</v>
      </c>
      <c r="J2053" s="10">
        <v>15</v>
      </c>
      <c r="K2053" s="10">
        <v>196</v>
      </c>
      <c r="L2053" s="3" t="str">
        <f t="shared" si="65"/>
        <v>ΕΛΑΙΩΝΕΣ</v>
      </c>
    </row>
    <row r="2054" spans="1:12" s="3" customFormat="1" x14ac:dyDescent="0.25">
      <c r="A2054" s="3" t="str">
        <f t="shared" si="64"/>
        <v>ΕΛΑΙΩΝΕΣS. FRANCESCO</v>
      </c>
      <c r="B2054" s="4" t="s">
        <v>3545</v>
      </c>
      <c r="C2054" s="5" t="s">
        <v>3860</v>
      </c>
      <c r="D2054" s="6">
        <v>1821.1</v>
      </c>
      <c r="E2054" s="6">
        <v>1722.44</v>
      </c>
      <c r="F2054" s="7" t="s">
        <v>14</v>
      </c>
      <c r="G2054" s="8" t="s">
        <v>3861</v>
      </c>
      <c r="H2054" s="8" t="s">
        <v>27</v>
      </c>
      <c r="I2054" s="9">
        <v>1066</v>
      </c>
      <c r="J2054" s="10">
        <v>15</v>
      </c>
      <c r="K2054" s="10">
        <v>197</v>
      </c>
      <c r="L2054" s="3" t="str">
        <f t="shared" si="65"/>
        <v>ΕΛΑΙΩΝΕΣ</v>
      </c>
    </row>
    <row r="2055" spans="1:12" s="3" customFormat="1" x14ac:dyDescent="0.25">
      <c r="A2055" s="3" t="str">
        <f t="shared" si="64"/>
        <v>ΕΛΑΙΩΝΕΣS. AGOSTINO (S. AUGUSTINE)</v>
      </c>
      <c r="B2055" s="4" t="s">
        <v>3545</v>
      </c>
      <c r="C2055" s="5" t="s">
        <v>3862</v>
      </c>
      <c r="D2055" s="6">
        <v>1821.1</v>
      </c>
      <c r="E2055" s="6">
        <v>1722.44</v>
      </c>
      <c r="F2055" s="7" t="s">
        <v>14</v>
      </c>
      <c r="G2055" s="8" t="s">
        <v>3863</v>
      </c>
      <c r="H2055" s="8" t="s">
        <v>27</v>
      </c>
      <c r="I2055" s="9">
        <v>1067</v>
      </c>
      <c r="J2055" s="10">
        <v>15</v>
      </c>
      <c r="K2055" s="10">
        <v>198</v>
      </c>
      <c r="L2055" s="3" t="str">
        <f t="shared" si="65"/>
        <v>ΕΛΑΙΩΝΕΣ</v>
      </c>
    </row>
    <row r="2056" spans="1:12" s="3" customFormat="1" x14ac:dyDescent="0.25">
      <c r="A2056" s="3" t="str">
        <f t="shared" si="64"/>
        <v>ΕΛΑΙΩΝΕΣSIGOISE</v>
      </c>
      <c r="B2056" s="4" t="s">
        <v>3545</v>
      </c>
      <c r="C2056" s="5" t="s">
        <v>3864</v>
      </c>
      <c r="D2056" s="6">
        <v>1821.1</v>
      </c>
      <c r="E2056" s="6">
        <v>1722.44</v>
      </c>
      <c r="F2056" s="7" t="s">
        <v>14</v>
      </c>
      <c r="G2056" s="8" t="s">
        <v>3865</v>
      </c>
      <c r="H2056" s="8" t="s">
        <v>27</v>
      </c>
      <c r="I2056" s="9">
        <v>1068</v>
      </c>
      <c r="J2056" s="10">
        <v>15</v>
      </c>
      <c r="K2056" s="10">
        <v>199</v>
      </c>
      <c r="L2056" s="3" t="str">
        <f t="shared" si="65"/>
        <v>ΕΛΑΙΩΝΕΣ</v>
      </c>
    </row>
    <row r="2057" spans="1:12" s="3" customFormat="1" x14ac:dyDescent="0.25">
      <c r="A2057" s="3" t="str">
        <f t="shared" si="64"/>
        <v>ΕΛΑΙΩΝΕΣΤΡΑΓΟΛΙΑ</v>
      </c>
      <c r="B2057" s="4" t="s">
        <v>3545</v>
      </c>
      <c r="C2057" s="5" t="s">
        <v>3866</v>
      </c>
      <c r="D2057" s="6">
        <v>1821.1</v>
      </c>
      <c r="E2057" s="6">
        <v>1722.44</v>
      </c>
      <c r="F2057" s="7" t="s">
        <v>14</v>
      </c>
      <c r="G2057" s="8" t="s">
        <v>3867</v>
      </c>
      <c r="H2057" s="8" t="s">
        <v>27</v>
      </c>
      <c r="I2057" s="9">
        <v>1069</v>
      </c>
      <c r="J2057" s="10">
        <v>15</v>
      </c>
      <c r="K2057" s="10">
        <v>200</v>
      </c>
      <c r="L2057" s="3" t="str">
        <f t="shared" si="65"/>
        <v>ΕΛΑΙΩΝΕΣ</v>
      </c>
    </row>
    <row r="2058" spans="1:12" s="3" customFormat="1" ht="31.5" x14ac:dyDescent="0.25">
      <c r="A2058" s="3" t="str">
        <f t="shared" si="64"/>
        <v>ΕΛΑΙΩΝΕΣΑΜΦΙΣΣΗΣ (ΒΟΛΙΩΤΙΚΗ, ΠΗΛΙΟΥ, ΣΤΥΛΙΔΟΣ, ΑΓΡΙΝΙΟΥ), ΓΙΑ ΠΑΡΑΓΩΓΗ ΕΠΙΤΡΑΠΕΖΙΑΣ</v>
      </c>
      <c r="B2058" s="4" t="s">
        <v>3545</v>
      </c>
      <c r="C2058" s="5" t="s">
        <v>3868</v>
      </c>
      <c r="D2058" s="6">
        <v>2736.21</v>
      </c>
      <c r="E2058" s="6">
        <v>3136.74</v>
      </c>
      <c r="F2058" s="7" t="s">
        <v>14</v>
      </c>
      <c r="G2058" s="8" t="s">
        <v>3869</v>
      </c>
      <c r="H2058" s="8" t="s">
        <v>16</v>
      </c>
      <c r="I2058" s="9">
        <v>846</v>
      </c>
      <c r="J2058" s="10">
        <v>15</v>
      </c>
      <c r="K2058" s="10">
        <v>2000153</v>
      </c>
      <c r="L2058" s="3" t="str">
        <f t="shared" si="65"/>
        <v>ΕΛΑΙΩΝΕΣ</v>
      </c>
    </row>
    <row r="2059" spans="1:12" s="3" customFormat="1" ht="31.5" x14ac:dyDescent="0.25">
      <c r="A2059" s="3" t="str">
        <f t="shared" si="64"/>
        <v>ΕΛΑΙΩΝΕΣΑΜΥΓΔΑΛΟΛΗΑ (ΣΤΡΑΒΟΜΥΤΑ, ΚΟΥΡΟΜΥΤΑ), ΓΙΑ ΠΑΡΑΓΩΓΗ ΕΠΙΤΡΑΠΕΖΙΑΣ</v>
      </c>
      <c r="B2059" s="4" t="s">
        <v>3545</v>
      </c>
      <c r="C2059" s="5" t="s">
        <v>3870</v>
      </c>
      <c r="D2059" s="6">
        <v>2736.21</v>
      </c>
      <c r="E2059" s="6">
        <v>3136.74</v>
      </c>
      <c r="F2059" s="7" t="s">
        <v>14</v>
      </c>
      <c r="G2059" s="8" t="s">
        <v>3871</v>
      </c>
      <c r="H2059" s="8" t="s">
        <v>16</v>
      </c>
      <c r="I2059" s="9">
        <v>847</v>
      </c>
      <c r="J2059" s="10">
        <v>15</v>
      </c>
      <c r="K2059" s="10">
        <v>2000154</v>
      </c>
      <c r="L2059" s="3" t="str">
        <f t="shared" si="65"/>
        <v>ΕΛΑΙΩΝΕΣ</v>
      </c>
    </row>
    <row r="2060" spans="1:12" s="3" customFormat="1" ht="31.5" x14ac:dyDescent="0.25">
      <c r="A2060" s="3" t="str">
        <f t="shared" si="64"/>
        <v>ΕΛΑΙΩΝΕΣΑΔΡΑΜΥΤΤΙΝΗ (ΑΔΡΑΜΥΤΙΚΗ ΛΕΣΒΟΥ, ΑΙΒΑΛΙΩΤΙΚΗ, ΦΡΑΓΚ), ΓΙΑ ΠΑΡΑΓΩΓΗ ΕΠΙΤΡΑΠΕΖΙΑΣ</v>
      </c>
      <c r="B2060" s="4" t="s">
        <v>3545</v>
      </c>
      <c r="C2060" s="5" t="s">
        <v>3872</v>
      </c>
      <c r="D2060" s="6">
        <v>2736.21</v>
      </c>
      <c r="E2060" s="6">
        <v>3136.74</v>
      </c>
      <c r="F2060" s="7" t="s">
        <v>14</v>
      </c>
      <c r="G2060" s="8" t="s">
        <v>3873</v>
      </c>
      <c r="H2060" s="8" t="s">
        <v>16</v>
      </c>
      <c r="I2060" s="9">
        <v>848</v>
      </c>
      <c r="J2060" s="10">
        <v>15</v>
      </c>
      <c r="K2060" s="10">
        <v>2000155</v>
      </c>
      <c r="L2060" s="3" t="str">
        <f t="shared" si="65"/>
        <v>ΕΛΑΙΩΝΕΣ</v>
      </c>
    </row>
    <row r="2061" spans="1:12" s="3" customFormat="1" ht="31.5" x14ac:dyDescent="0.25">
      <c r="A2061" s="3" t="str">
        <f t="shared" si="64"/>
        <v>ΕΛΑΙΩΝΕΣΑΓΟΥΡΟΜΑΝΑΚΟΛΙΑ (ΑΓΟΥΡΟΜΑΝΑΚΟ, ΑΓΟΥΡΟΜΑΝΑΚΙ), ΓΙΑ ΠΑΡΑΓΩΓΗ ΕΠΙΤΡΑΠΕΖΙΑΣ</v>
      </c>
      <c r="B2061" s="4" t="s">
        <v>3545</v>
      </c>
      <c r="C2061" s="5" t="s">
        <v>3874</v>
      </c>
      <c r="D2061" s="6">
        <v>2736.21</v>
      </c>
      <c r="E2061" s="6">
        <v>3136.74</v>
      </c>
      <c r="F2061" s="7" t="s">
        <v>14</v>
      </c>
      <c r="G2061" s="8" t="s">
        <v>3875</v>
      </c>
      <c r="H2061" s="8" t="s">
        <v>16</v>
      </c>
      <c r="I2061" s="9">
        <v>849</v>
      </c>
      <c r="J2061" s="10">
        <v>15</v>
      </c>
      <c r="K2061" s="10">
        <v>2000156</v>
      </c>
      <c r="L2061" s="3" t="str">
        <f t="shared" si="65"/>
        <v>ΕΛΑΙΩΝΕΣ</v>
      </c>
    </row>
    <row r="2062" spans="1:12" s="3" customFormat="1" ht="31.5" x14ac:dyDescent="0.25">
      <c r="A2062" s="3" t="str">
        <f t="shared" si="64"/>
        <v>ΕΛΑΙΩΝΕΣARBEQUINE (ARBEQUINA, ARBEQUIN), ΓΙΑ ΠΑΡΑΓΩΓΗ ΕΠΙΤΡΑΠΕΖΙΑΣ</v>
      </c>
      <c r="B2062" s="4" t="s">
        <v>3545</v>
      </c>
      <c r="C2062" s="5" t="s">
        <v>3876</v>
      </c>
      <c r="D2062" s="6">
        <v>2736.21</v>
      </c>
      <c r="E2062" s="6">
        <v>3136.74</v>
      </c>
      <c r="F2062" s="7" t="s">
        <v>14</v>
      </c>
      <c r="G2062" s="8" t="s">
        <v>3877</v>
      </c>
      <c r="H2062" s="8" t="s">
        <v>16</v>
      </c>
      <c r="I2062" s="9">
        <v>850</v>
      </c>
      <c r="J2062" s="10">
        <v>15</v>
      </c>
      <c r="K2062" s="10">
        <v>2000157</v>
      </c>
      <c r="L2062" s="3" t="str">
        <f t="shared" si="65"/>
        <v>ΕΛΑΙΩΝΕΣ</v>
      </c>
    </row>
    <row r="2063" spans="1:12" s="3" customFormat="1" ht="31.5" x14ac:dyDescent="0.25">
      <c r="A2063" s="3" t="str">
        <f t="shared" si="64"/>
        <v>ΕΛΑΙΩΝΕΣΒΑΣΙΛΙΚΑΔΑ (ΒΑΣΙΛΙΚΗ), ΓΙΑ ΠΑΡΑΓΩΓΗ ΕΠΙΤΡΑΠΕΖΙΑΣ</v>
      </c>
      <c r="B2063" s="4" t="s">
        <v>3545</v>
      </c>
      <c r="C2063" s="5" t="s">
        <v>3878</v>
      </c>
      <c r="D2063" s="6">
        <v>2736.21</v>
      </c>
      <c r="E2063" s="6">
        <v>3136.74</v>
      </c>
      <c r="F2063" s="7" t="s">
        <v>14</v>
      </c>
      <c r="G2063" s="8" t="s">
        <v>3879</v>
      </c>
      <c r="H2063" s="8" t="s">
        <v>16</v>
      </c>
      <c r="I2063" s="9">
        <v>851</v>
      </c>
      <c r="J2063" s="10">
        <v>15</v>
      </c>
      <c r="K2063" s="10">
        <v>2000158</v>
      </c>
      <c r="L2063" s="3" t="str">
        <f t="shared" si="65"/>
        <v>ΕΛΑΙΩΝΕΣ</v>
      </c>
    </row>
    <row r="2064" spans="1:12" s="3" customFormat="1" ht="31.5" x14ac:dyDescent="0.25">
      <c r="A2064" s="3" t="str">
        <f t="shared" si="64"/>
        <v>ΕΛΑΙΩΝΕΣΒΑΛΑΝΟΛΙΑ (ΜΥΤΙΛΙΝΙΑ, ΚΟΛΟΒΗ,  ΒΑΛΑΝΑ), ΓΙΑ ΠΑΡΑΓΩΓΗ ΕΠΙΤΡΑΠΕΖΙΑΣ</v>
      </c>
      <c r="B2064" s="4" t="s">
        <v>3545</v>
      </c>
      <c r="C2064" s="5" t="s">
        <v>3880</v>
      </c>
      <c r="D2064" s="6">
        <v>2736.21</v>
      </c>
      <c r="E2064" s="6">
        <v>3136.74</v>
      </c>
      <c r="F2064" s="7" t="s">
        <v>14</v>
      </c>
      <c r="G2064" s="8" t="s">
        <v>3881</v>
      </c>
      <c r="H2064" s="8" t="s">
        <v>16</v>
      </c>
      <c r="I2064" s="9">
        <v>852</v>
      </c>
      <c r="J2064" s="10">
        <v>15</v>
      </c>
      <c r="K2064" s="10">
        <v>2000159</v>
      </c>
      <c r="L2064" s="3" t="str">
        <f t="shared" si="65"/>
        <v>ΕΛΑΙΩΝΕΣ</v>
      </c>
    </row>
    <row r="2065" spans="1:12" s="3" customFormat="1" ht="31.5" x14ac:dyDescent="0.25">
      <c r="A2065" s="3" t="str">
        <f t="shared" si="64"/>
        <v>ΕΛΑΙΩΝΕΣΓΑΙΔΟΥΡΕΛΙΑ (ΔΑΜΑΣΚΗΝΑΤΗ, ΑΔΡΟΚΑΡΠΗ), ΓΙΑ ΠΑΡΑΓΩΓΗ ΕΠΙΤΡΑΠΕΖΙΑΣ</v>
      </c>
      <c r="B2065" s="4" t="s">
        <v>3545</v>
      </c>
      <c r="C2065" s="5" t="s">
        <v>3882</v>
      </c>
      <c r="D2065" s="6">
        <v>2736.21</v>
      </c>
      <c r="E2065" s="6">
        <v>3136.74</v>
      </c>
      <c r="F2065" s="7" t="s">
        <v>14</v>
      </c>
      <c r="G2065" s="8" t="s">
        <v>3883</v>
      </c>
      <c r="H2065" s="8" t="s">
        <v>16</v>
      </c>
      <c r="I2065" s="9">
        <v>860</v>
      </c>
      <c r="J2065" s="10">
        <v>15</v>
      </c>
      <c r="K2065" s="10">
        <v>2000160</v>
      </c>
      <c r="L2065" s="3" t="str">
        <f t="shared" si="65"/>
        <v>ΕΛΑΙΩΝΕΣ</v>
      </c>
    </row>
    <row r="2066" spans="1:12" s="3" customFormat="1" ht="31.5" x14ac:dyDescent="0.25">
      <c r="A2066" s="3" t="str">
        <f t="shared" si="64"/>
        <v>ΕΛΑΙΩΝΕΣΔΑΜΑΣΚΗΝΑΤΗ ΛΕΣΒΟΥ, ΓΙΑ ΠΑΡΑΓΩΓΗ ΕΠΙΤΡΑΠΕΖΙΑΣ</v>
      </c>
      <c r="B2066" s="4" t="s">
        <v>3545</v>
      </c>
      <c r="C2066" s="5" t="s">
        <v>3884</v>
      </c>
      <c r="D2066" s="6">
        <v>2736.21</v>
      </c>
      <c r="E2066" s="6">
        <v>3136.74</v>
      </c>
      <c r="F2066" s="7" t="s">
        <v>14</v>
      </c>
      <c r="G2066" s="8" t="s">
        <v>3885</v>
      </c>
      <c r="H2066" s="8" t="s">
        <v>16</v>
      </c>
      <c r="I2066" s="9">
        <v>862</v>
      </c>
      <c r="J2066" s="10">
        <v>15</v>
      </c>
      <c r="K2066" s="10">
        <v>2000161</v>
      </c>
      <c r="L2066" s="3" t="str">
        <f t="shared" si="65"/>
        <v>ΕΛΑΙΩΝΕΣ</v>
      </c>
    </row>
    <row r="2067" spans="1:12" s="3" customFormat="1" ht="31.5" x14ac:dyDescent="0.25">
      <c r="A2067" s="3" t="str">
        <f t="shared" si="64"/>
        <v>ΕΛΑΙΩΝΕΣΔΑΦΝΕΛΙA (ΔΑΦΝΟΚΑΡΠΗ), ΓΙΑ ΠΑΡΑΓΩΓΗ ΕΠΙΤΡΑΠΕΖΙΑΣ</v>
      </c>
      <c r="B2067" s="4" t="s">
        <v>3545</v>
      </c>
      <c r="C2067" s="5" t="s">
        <v>3886</v>
      </c>
      <c r="D2067" s="6">
        <v>2736.21</v>
      </c>
      <c r="E2067" s="6">
        <v>3136.74</v>
      </c>
      <c r="F2067" s="7" t="s">
        <v>14</v>
      </c>
      <c r="G2067" s="8" t="s">
        <v>3887</v>
      </c>
      <c r="H2067" s="8" t="s">
        <v>16</v>
      </c>
      <c r="I2067" s="9">
        <v>839</v>
      </c>
      <c r="J2067" s="10">
        <v>15</v>
      </c>
      <c r="K2067" s="10">
        <v>2000162</v>
      </c>
      <c r="L2067" s="3" t="str">
        <f t="shared" si="65"/>
        <v>ΕΛΑΙΩΝΕΣ</v>
      </c>
    </row>
    <row r="2068" spans="1:12" s="3" customFormat="1" ht="24" x14ac:dyDescent="0.25">
      <c r="A2068" s="3" t="str">
        <f t="shared" si="64"/>
        <v>ΕΛΑΙΩΝΕΣGORDAL, ΓΙΑ ΠΑΡΑΓΩΓΗ ΕΠΙΤΡΑΠΕΖΙΑΣ</v>
      </c>
      <c r="B2068" s="4" t="s">
        <v>3545</v>
      </c>
      <c r="C2068" s="5" t="s">
        <v>3888</v>
      </c>
      <c r="D2068" s="6">
        <v>2736.21</v>
      </c>
      <c r="E2068" s="6">
        <v>3136.74</v>
      </c>
      <c r="F2068" s="7" t="s">
        <v>14</v>
      </c>
      <c r="G2068" s="8" t="s">
        <v>3889</v>
      </c>
      <c r="H2068" s="8" t="s">
        <v>16</v>
      </c>
      <c r="I2068" s="9">
        <v>867</v>
      </c>
      <c r="J2068" s="10">
        <v>15</v>
      </c>
      <c r="K2068" s="10">
        <v>2000163</v>
      </c>
      <c r="L2068" s="3" t="str">
        <f t="shared" si="65"/>
        <v>ΕΛΑΙΩΝΕΣ</v>
      </c>
    </row>
    <row r="2069" spans="1:12" s="3" customFormat="1" ht="31.5" x14ac:dyDescent="0.25">
      <c r="A2069" s="3" t="str">
        <f t="shared" si="64"/>
        <v>ΕΛΑΙΩΝΕΣΘΡΟΥΜΠΑ (ΘΡΟΥΜΠΟΛΙΑ, ΘΑΣΙΤΙΚΗ,  ΛΑΔΟΛΙΑ,  ΘΑΣΟΥ), ΓΙΑ ΠΑΡΑΓΩΓΗ ΕΠΙΤΡΑΠΕΖΙΑΣ</v>
      </c>
      <c r="B2069" s="4" t="s">
        <v>3545</v>
      </c>
      <c r="C2069" s="5" t="s">
        <v>3890</v>
      </c>
      <c r="D2069" s="6">
        <v>2736.21</v>
      </c>
      <c r="E2069" s="6">
        <v>3136.74</v>
      </c>
      <c r="F2069" s="7" t="s">
        <v>14</v>
      </c>
      <c r="G2069" s="8" t="s">
        <v>3891</v>
      </c>
      <c r="H2069" s="8" t="s">
        <v>16</v>
      </c>
      <c r="I2069" s="9">
        <v>866</v>
      </c>
      <c r="J2069" s="10">
        <v>15</v>
      </c>
      <c r="K2069" s="10">
        <v>2000164</v>
      </c>
      <c r="L2069" s="3" t="str">
        <f t="shared" si="65"/>
        <v>ΕΛΑΙΩΝΕΣ</v>
      </c>
    </row>
    <row r="2070" spans="1:12" s="3" customFormat="1" ht="15" customHeight="1" x14ac:dyDescent="0.25">
      <c r="A2070" s="3" t="str">
        <f t="shared" si="64"/>
        <v>ΕΛΑΙΩΝΕΣΚΟΥΤΣΟΥΡΕΛΙΑ (ΚΟΥΡΤΕΛΙΑ, ΚΟΥΡΕΛΙΑ), ΓΙΑ ΠΑΡΑΓΩΓΗ ΕΠΙΤΡΑΠΕΖΙΑΣ</v>
      </c>
      <c r="B2070" s="4" t="s">
        <v>3545</v>
      </c>
      <c r="C2070" s="5" t="s">
        <v>3892</v>
      </c>
      <c r="D2070" s="6">
        <v>2736.21</v>
      </c>
      <c r="E2070" s="6">
        <v>3136.74</v>
      </c>
      <c r="F2070" s="7" t="s">
        <v>14</v>
      </c>
      <c r="G2070" s="8" t="s">
        <v>3893</v>
      </c>
      <c r="H2070" s="8" t="s">
        <v>16</v>
      </c>
      <c r="I2070" s="9">
        <v>865</v>
      </c>
      <c r="J2070" s="10">
        <v>15</v>
      </c>
      <c r="K2070" s="10">
        <v>2000165</v>
      </c>
      <c r="L2070" s="3" t="str">
        <f t="shared" si="65"/>
        <v>ΕΛΑΙΩΝΕΣ</v>
      </c>
    </row>
    <row r="2071" spans="1:12" s="3" customFormat="1" ht="15" customHeight="1" x14ac:dyDescent="0.25">
      <c r="A2071" s="3" t="str">
        <f t="shared" si="64"/>
        <v>ΕΛΑΙΩΝΕΣΚΟΡΩΝΕΙΚΗ (ΚΟΡΩΝΗ, ΒΑΤΣΙΚΗ, ΚΡΗΤΙΚΙΑ, ΚΟΡΩΝΙΑ ΚΡΗ), ΓΙΑ ΠΑΡΑΓΩΓΗ ΕΠΙΤΡΑΠΕΖΙΑΣ</v>
      </c>
      <c r="B2071" s="4" t="s">
        <v>3545</v>
      </c>
      <c r="C2071" s="5" t="s">
        <v>3894</v>
      </c>
      <c r="D2071" s="6">
        <v>2736.21</v>
      </c>
      <c r="E2071" s="6">
        <v>3136.74</v>
      </c>
      <c r="F2071" s="7" t="s">
        <v>14</v>
      </c>
      <c r="G2071" s="8" t="s">
        <v>3895</v>
      </c>
      <c r="H2071" s="8" t="s">
        <v>16</v>
      </c>
      <c r="I2071" s="9">
        <v>863</v>
      </c>
      <c r="J2071" s="10">
        <v>15</v>
      </c>
      <c r="K2071" s="10">
        <v>2000166</v>
      </c>
      <c r="L2071" s="3" t="str">
        <f t="shared" si="65"/>
        <v>ΕΛΑΙΩΝΕΣ</v>
      </c>
    </row>
    <row r="2072" spans="1:12" s="3" customFormat="1" ht="15" customHeight="1" x14ac:dyDescent="0.25">
      <c r="A2072" s="3" t="str">
        <f t="shared" si="64"/>
        <v>ΕΛΑΙΩΝΕΣΚΑΛΟΚΑΙΡΙΔΑ (ΠΡΩΙΜΗ), ΓΙΑ ΠΑΡΑΓΩΓΗ ΕΠΙΤΡΑΠΕΖΙΑΣ</v>
      </c>
      <c r="B2072" s="4" t="s">
        <v>3545</v>
      </c>
      <c r="C2072" s="5" t="s">
        <v>3896</v>
      </c>
      <c r="D2072" s="6">
        <v>2736.21</v>
      </c>
      <c r="E2072" s="6">
        <v>3136.74</v>
      </c>
      <c r="F2072" s="7" t="s">
        <v>14</v>
      </c>
      <c r="G2072" s="8" t="s">
        <v>3897</v>
      </c>
      <c r="H2072" s="8" t="s">
        <v>16</v>
      </c>
      <c r="I2072" s="9">
        <v>854</v>
      </c>
      <c r="J2072" s="10">
        <v>15</v>
      </c>
      <c r="K2072" s="10">
        <v>2000167</v>
      </c>
      <c r="L2072" s="3" t="str">
        <f t="shared" si="65"/>
        <v>ΕΛΑΙΩΝΕΣ</v>
      </c>
    </row>
    <row r="2073" spans="1:12" s="3" customFormat="1" ht="15" customHeight="1" x14ac:dyDescent="0.25">
      <c r="A2073" s="3" t="str">
        <f t="shared" si="64"/>
        <v>ΕΛΑΙΩΝΕΣΚΑΛΑΜΩΝ (ΚΑΛΑΜΑΤΙΑΝΗ, ΤΣΙΓΚΟΛΙ,  ΑΕΤΟΝΥΧΙ), ΓΙΑ ΠΑΡΑΓΩΓΗ ΕΠΙΤΡΑΠΕΖΙΑΣ</v>
      </c>
      <c r="B2073" s="4" t="s">
        <v>3545</v>
      </c>
      <c r="C2073" s="5" t="s">
        <v>3898</v>
      </c>
      <c r="D2073" s="6">
        <v>2736.21</v>
      </c>
      <c r="E2073" s="6">
        <v>3136.74</v>
      </c>
      <c r="F2073" s="7" t="s">
        <v>14</v>
      </c>
      <c r="G2073" s="8" t="s">
        <v>3899</v>
      </c>
      <c r="H2073" s="8" t="s">
        <v>16</v>
      </c>
      <c r="I2073" s="9">
        <v>861</v>
      </c>
      <c r="J2073" s="10">
        <v>15</v>
      </c>
      <c r="K2073" s="10">
        <v>2000168</v>
      </c>
      <c r="L2073" s="3" t="str">
        <f t="shared" si="65"/>
        <v>ΕΛΑΙΩΝΕΣ</v>
      </c>
    </row>
    <row r="2074" spans="1:12" s="3" customFormat="1" ht="15" customHeight="1" x14ac:dyDescent="0.25">
      <c r="A2074" s="3" t="str">
        <f t="shared" si="64"/>
        <v>ΕΛΑΙΩΝΕΣΚΟΛΥΜΠΑΔΑ, ΓΙΑ ΠΑΡΑΓΩΓΗ ΕΠΙΤΡΑΠΕΖΙΑΣ</v>
      </c>
      <c r="B2074" s="4" t="s">
        <v>3545</v>
      </c>
      <c r="C2074" s="5" t="s">
        <v>3900</v>
      </c>
      <c r="D2074" s="6">
        <v>2736.21</v>
      </c>
      <c r="E2074" s="6">
        <v>3136.74</v>
      </c>
      <c r="F2074" s="7" t="s">
        <v>14</v>
      </c>
      <c r="G2074" s="8" t="s">
        <v>3901</v>
      </c>
      <c r="H2074" s="8" t="s">
        <v>16</v>
      </c>
      <c r="I2074" s="9">
        <v>869</v>
      </c>
      <c r="J2074" s="10">
        <v>15</v>
      </c>
      <c r="K2074" s="10">
        <v>2000169</v>
      </c>
      <c r="L2074" s="3" t="str">
        <f t="shared" si="65"/>
        <v>ΕΛΑΙΩΝΕΣ</v>
      </c>
    </row>
    <row r="2075" spans="1:12" s="3" customFormat="1" ht="15" customHeight="1" x14ac:dyDescent="0.25">
      <c r="A2075" s="3" t="str">
        <f t="shared" si="64"/>
        <v>ΕΛΑΙΩΝΕΣΚΑΡΟΛΗΑ, ΓΙΑ ΠΑΡΑΓΩΓΗ ΕΠΙΤΡΑΠΕΖΙΑΣ</v>
      </c>
      <c r="B2075" s="4" t="s">
        <v>3545</v>
      </c>
      <c r="C2075" s="5" t="s">
        <v>3902</v>
      </c>
      <c r="D2075" s="6">
        <v>2736.21</v>
      </c>
      <c r="E2075" s="6">
        <v>3136.74</v>
      </c>
      <c r="F2075" s="7" t="s">
        <v>14</v>
      </c>
      <c r="G2075" s="8" t="s">
        <v>3903</v>
      </c>
      <c r="H2075" s="8" t="s">
        <v>16</v>
      </c>
      <c r="I2075" s="9">
        <v>859</v>
      </c>
      <c r="J2075" s="10">
        <v>15</v>
      </c>
      <c r="K2075" s="10">
        <v>2000170</v>
      </c>
      <c r="L2075" s="3" t="str">
        <f t="shared" si="65"/>
        <v>ΕΛΑΙΩΝΕΣ</v>
      </c>
    </row>
    <row r="2076" spans="1:12" s="3" customFormat="1" ht="15" customHeight="1" x14ac:dyDescent="0.25">
      <c r="A2076" s="3" t="str">
        <f t="shared" si="64"/>
        <v>ΕΛΑΙΩΝΕΣΚΟΘΡΕΙΚΗ (ΜΑΝΑΚΙ, ΜΑΝΑΚΟΛΙΑ, ΓΛΥΚΟΜΑΝΑΚΟ), ΓΙΑ ΠΑΡΑΓΩΓΗ ΕΠΙΤΡΑΠΕΖΙΑΣ</v>
      </c>
      <c r="B2076" s="4" t="s">
        <v>3545</v>
      </c>
      <c r="C2076" s="5" t="s">
        <v>3904</v>
      </c>
      <c r="D2076" s="6">
        <v>2736.21</v>
      </c>
      <c r="E2076" s="6">
        <v>3136.74</v>
      </c>
      <c r="F2076" s="7" t="s">
        <v>14</v>
      </c>
      <c r="G2076" s="8" t="s">
        <v>3905</v>
      </c>
      <c r="H2076" s="8" t="s">
        <v>16</v>
      </c>
      <c r="I2076" s="9">
        <v>856</v>
      </c>
      <c r="J2076" s="10">
        <v>15</v>
      </c>
      <c r="K2076" s="10">
        <v>2000171</v>
      </c>
      <c r="L2076" s="3" t="str">
        <f t="shared" si="65"/>
        <v>ΕΛΑΙΩΝΕΣ</v>
      </c>
    </row>
    <row r="2077" spans="1:12" s="3" customFormat="1" ht="15" customHeight="1" x14ac:dyDescent="0.25">
      <c r="A2077" s="3" t="str">
        <f t="shared" si="64"/>
        <v>ΕΛΑΙΩΝΕΣΚΑΡΥΔΟΛΙΑ, ΓΙΑ ΠΑΡΑΓΩΓΗ ΕΠΙΤΡΑΠΕΖΙΑΣ</v>
      </c>
      <c r="B2077" s="4" t="s">
        <v>3545</v>
      </c>
      <c r="C2077" s="5" t="s">
        <v>3906</v>
      </c>
      <c r="D2077" s="6">
        <v>2736.21</v>
      </c>
      <c r="E2077" s="6">
        <v>3136.74</v>
      </c>
      <c r="F2077" s="7" t="s">
        <v>14</v>
      </c>
      <c r="G2077" s="8" t="s">
        <v>3907</v>
      </c>
      <c r="H2077" s="8" t="s">
        <v>16</v>
      </c>
      <c r="I2077" s="9">
        <v>825</v>
      </c>
      <c r="J2077" s="10">
        <v>15</v>
      </c>
      <c r="K2077" s="10">
        <v>2000172</v>
      </c>
      <c r="L2077" s="3" t="str">
        <f t="shared" si="65"/>
        <v>ΕΛΑΙΩΝΕΣ</v>
      </c>
    </row>
    <row r="2078" spans="1:12" s="3" customFormat="1" ht="15" customHeight="1" x14ac:dyDescent="0.25">
      <c r="A2078" s="3" t="str">
        <f t="shared" si="64"/>
        <v>ΕΛΑΙΩΝΕΣΚΑΡΥΔΟΛΙΑ ΣΠΕΤΣΩΝ, ΓΙΑ ΠΑΡΑΓΩΓΗ ΕΠΙΤΡΑΠΕΖΙΑΣ</v>
      </c>
      <c r="B2078" s="4" t="s">
        <v>3545</v>
      </c>
      <c r="C2078" s="5" t="s">
        <v>3908</v>
      </c>
      <c r="D2078" s="6">
        <v>2736.21</v>
      </c>
      <c r="E2078" s="6">
        <v>3136.74</v>
      </c>
      <c r="F2078" s="7" t="s">
        <v>14</v>
      </c>
      <c r="G2078" s="8" t="s">
        <v>3909</v>
      </c>
      <c r="H2078" s="8" t="s">
        <v>16</v>
      </c>
      <c r="I2078" s="9">
        <v>868</v>
      </c>
      <c r="J2078" s="10">
        <v>15</v>
      </c>
      <c r="K2078" s="10">
        <v>2000173</v>
      </c>
      <c r="L2078" s="3" t="str">
        <f t="shared" si="65"/>
        <v>ΕΛΑΙΩΝΕΣ</v>
      </c>
    </row>
    <row r="2079" spans="1:12" s="3" customFormat="1" ht="15" customHeight="1" x14ac:dyDescent="0.25">
      <c r="A2079" s="3" t="str">
        <f t="shared" si="64"/>
        <v>ΕΛΑΙΩΝΕΣΚΛΩΝΑΡΕΣ ΚΟΡΩΠΙΟΥ, ΓΙΑ ΠΑΡΑΓΩΓΗ ΕΠΙΤΡΑΠΕΖΙΑΣ</v>
      </c>
      <c r="B2079" s="4" t="s">
        <v>3545</v>
      </c>
      <c r="C2079" s="5" t="s">
        <v>3910</v>
      </c>
      <c r="D2079" s="6">
        <v>2736.21</v>
      </c>
      <c r="E2079" s="6">
        <v>3136.74</v>
      </c>
      <c r="F2079" s="7" t="s">
        <v>14</v>
      </c>
      <c r="G2079" s="8" t="s">
        <v>3911</v>
      </c>
      <c r="H2079" s="8" t="s">
        <v>16</v>
      </c>
      <c r="I2079" s="9">
        <v>816</v>
      </c>
      <c r="J2079" s="10">
        <v>15</v>
      </c>
      <c r="K2079" s="10">
        <v>2000174</v>
      </c>
      <c r="L2079" s="3" t="str">
        <f t="shared" si="65"/>
        <v>ΕΛΑΙΩΝΕΣ</v>
      </c>
    </row>
    <row r="2080" spans="1:12" s="3" customFormat="1" ht="15" customHeight="1" x14ac:dyDescent="0.25">
      <c r="A2080" s="3" t="str">
        <f t="shared" si="64"/>
        <v>ΕΛΑΙΩΝΕΣΚΑΡΟΛΙΑ ΙΣΤΙΑΙΑΣ, ΓΙΑ ΠΑΡΑΓΩΓΗ ΕΠΙΤΡΑΠΕΖΙΑΣ</v>
      </c>
      <c r="B2080" s="4" t="s">
        <v>3545</v>
      </c>
      <c r="C2080" s="5" t="s">
        <v>3912</v>
      </c>
      <c r="D2080" s="6">
        <v>2736.21</v>
      </c>
      <c r="E2080" s="6">
        <v>3136.74</v>
      </c>
      <c r="F2080" s="7" t="s">
        <v>14</v>
      </c>
      <c r="G2080" s="8" t="s">
        <v>3913</v>
      </c>
      <c r="H2080" s="8" t="s">
        <v>16</v>
      </c>
      <c r="I2080" s="9">
        <v>817</v>
      </c>
      <c r="J2080" s="10">
        <v>15</v>
      </c>
      <c r="K2080" s="10">
        <v>2000175</v>
      </c>
      <c r="L2080" s="3" t="str">
        <f t="shared" si="65"/>
        <v>ΕΛΑΙΩΝΕΣ</v>
      </c>
    </row>
    <row r="2081" spans="1:12" s="3" customFormat="1" ht="15" customHeight="1" x14ac:dyDescent="0.25">
      <c r="A2081" s="3" t="str">
        <f t="shared" si="64"/>
        <v>ΕΛΑΙΩΝΕΣΚΟΛΥΡΕΙΚΗ, ΓΙΑ ΠΑΡΑΓΩΓΗ ΕΠΙΤΡΑΠΕΖΙΑΣ</v>
      </c>
      <c r="B2081" s="4" t="s">
        <v>3545</v>
      </c>
      <c r="C2081" s="5" t="s">
        <v>3914</v>
      </c>
      <c r="D2081" s="6">
        <v>2736.21</v>
      </c>
      <c r="E2081" s="6">
        <v>3136.74</v>
      </c>
      <c r="F2081" s="7" t="s">
        <v>14</v>
      </c>
      <c r="G2081" s="8" t="s">
        <v>3915</v>
      </c>
      <c r="H2081" s="8" t="s">
        <v>16</v>
      </c>
      <c r="I2081" s="9">
        <v>818</v>
      </c>
      <c r="J2081" s="10">
        <v>15</v>
      </c>
      <c r="K2081" s="10">
        <v>2000176</v>
      </c>
      <c r="L2081" s="3" t="str">
        <f t="shared" si="65"/>
        <v>ΕΛΑΙΩΝΕΣ</v>
      </c>
    </row>
    <row r="2082" spans="1:12" s="3" customFormat="1" ht="15" customHeight="1" x14ac:dyDescent="0.25">
      <c r="A2082" s="3" t="str">
        <f t="shared" si="64"/>
        <v>ΕΛΑΙΩΝΕΣLECHINO (LECHIN DE SEVILLA), ΓΙΑ ΠΑΡΑΓΩΓΗ ΕΠΙΤΡΑΠΕΖΙΑΣ</v>
      </c>
      <c r="B2082" s="4" t="s">
        <v>3545</v>
      </c>
      <c r="C2082" s="5" t="s">
        <v>3916</v>
      </c>
      <c r="D2082" s="6">
        <v>2736.21</v>
      </c>
      <c r="E2082" s="6">
        <v>3136.74</v>
      </c>
      <c r="F2082" s="7" t="s">
        <v>14</v>
      </c>
      <c r="G2082" s="8" t="s">
        <v>3917</v>
      </c>
      <c r="H2082" s="8" t="s">
        <v>16</v>
      </c>
      <c r="I2082" s="9">
        <v>820</v>
      </c>
      <c r="J2082" s="10">
        <v>15</v>
      </c>
      <c r="K2082" s="10">
        <v>2000177</v>
      </c>
      <c r="L2082" s="3" t="str">
        <f t="shared" si="65"/>
        <v>ΕΛΑΙΩΝΕΣ</v>
      </c>
    </row>
    <row r="2083" spans="1:12" s="3" customFormat="1" ht="31.5" x14ac:dyDescent="0.25">
      <c r="A2083" s="3" t="str">
        <f t="shared" si="64"/>
        <v>ΕΛΑΙΩΝΕΣΛΙΑΝΟΛΗΑ ΚΕΡΚΥΡΑΣ (ΠΡΕΒΕΖΑΝΑ, ΝΕΡΟΛΙΑ,  ΚΑΡΦΟΛΙΑ), ΓΙΑ ΠΑΡΑΓΩΓΗ ΕΠΙΤΡΑΠΕΖΙΑΣ</v>
      </c>
      <c r="B2083" s="4" t="s">
        <v>3545</v>
      </c>
      <c r="C2083" s="5" t="s">
        <v>3918</v>
      </c>
      <c r="D2083" s="6">
        <v>2736.21</v>
      </c>
      <c r="E2083" s="6">
        <v>3136.74</v>
      </c>
      <c r="F2083" s="7" t="s">
        <v>14</v>
      </c>
      <c r="G2083" s="8" t="s">
        <v>3919</v>
      </c>
      <c r="H2083" s="8" t="s">
        <v>16</v>
      </c>
      <c r="I2083" s="9">
        <v>821</v>
      </c>
      <c r="J2083" s="10">
        <v>15</v>
      </c>
      <c r="K2083" s="10">
        <v>2000178</v>
      </c>
      <c r="L2083" s="3" t="str">
        <f t="shared" si="65"/>
        <v>ΕΛΑΙΩΝΕΣ</v>
      </c>
    </row>
    <row r="2084" spans="1:12" s="3" customFormat="1" ht="24" x14ac:dyDescent="0.25">
      <c r="A2084" s="3" t="str">
        <f t="shared" si="64"/>
        <v>ΕΛΑΙΩΝΕΣLUCQUES, ΓΙΑ ΠΑΡΑΓΩΓΗ ΕΠΙΤΡΑΠΕΖΙΑΣ</v>
      </c>
      <c r="B2084" s="4" t="s">
        <v>3545</v>
      </c>
      <c r="C2084" s="5" t="s">
        <v>3920</v>
      </c>
      <c r="D2084" s="6">
        <v>2736.21</v>
      </c>
      <c r="E2084" s="6">
        <v>3136.74</v>
      </c>
      <c r="F2084" s="7" t="s">
        <v>14</v>
      </c>
      <c r="G2084" s="8" t="s">
        <v>3921</v>
      </c>
      <c r="H2084" s="8" t="s">
        <v>16</v>
      </c>
      <c r="I2084" s="9">
        <v>822</v>
      </c>
      <c r="J2084" s="10">
        <v>15</v>
      </c>
      <c r="K2084" s="10">
        <v>2000179</v>
      </c>
      <c r="L2084" s="3" t="str">
        <f t="shared" si="65"/>
        <v>ΕΛΑΙΩΝΕΣ</v>
      </c>
    </row>
    <row r="2085" spans="1:12" s="3" customFormat="1" ht="31.5" x14ac:dyDescent="0.25">
      <c r="A2085" s="3" t="str">
        <f t="shared" si="64"/>
        <v>ΕΛΑΙΩΝΕΣΜΑΥΡΕΛΗΑ (ΜΕΘΩΝΙΑ, ΜΑΥΡΟΛΙΑ,  ΜΟΥΤΡΟΛΙΑ), ΓΙΑ ΠΑΡΑΓΩΓΗ ΕΠΙΤΡΑΠΕΖΙΑΣ</v>
      </c>
      <c r="B2085" s="4" t="s">
        <v>3545</v>
      </c>
      <c r="C2085" s="5" t="s">
        <v>3922</v>
      </c>
      <c r="D2085" s="6">
        <v>2736.21</v>
      </c>
      <c r="E2085" s="6">
        <v>3136.74</v>
      </c>
      <c r="F2085" s="7" t="s">
        <v>14</v>
      </c>
      <c r="G2085" s="8" t="s">
        <v>3923</v>
      </c>
      <c r="H2085" s="8" t="s">
        <v>16</v>
      </c>
      <c r="I2085" s="9">
        <v>838</v>
      </c>
      <c r="J2085" s="10">
        <v>15</v>
      </c>
      <c r="K2085" s="10">
        <v>2000180</v>
      </c>
      <c r="L2085" s="3" t="str">
        <f t="shared" si="65"/>
        <v>ΕΛΑΙΩΝΕΣ</v>
      </c>
    </row>
    <row r="2086" spans="1:12" s="3" customFormat="1" ht="24" x14ac:dyDescent="0.25">
      <c r="A2086" s="3" t="str">
        <f t="shared" si="64"/>
        <v>ΕΛΑΙΩΝΕΣΜΥΡΤΟΛΗΑ, ΓΙΑ ΠΑΡΑΓΩΓΗ ΕΠΙΤΡΑΠΕΖΙΑΣ</v>
      </c>
      <c r="B2086" s="4" t="s">
        <v>3545</v>
      </c>
      <c r="C2086" s="5" t="s">
        <v>3924</v>
      </c>
      <c r="D2086" s="6">
        <v>2736.21</v>
      </c>
      <c r="E2086" s="6">
        <v>3136.74</v>
      </c>
      <c r="F2086" s="7" t="s">
        <v>14</v>
      </c>
      <c r="G2086" s="8" t="s">
        <v>3925</v>
      </c>
      <c r="H2086" s="8" t="s">
        <v>16</v>
      </c>
      <c r="I2086" s="9">
        <v>824</v>
      </c>
      <c r="J2086" s="10">
        <v>15</v>
      </c>
      <c r="K2086" s="10">
        <v>2000181</v>
      </c>
      <c r="L2086" s="3" t="str">
        <f t="shared" si="65"/>
        <v>ΕΛΑΙΩΝΕΣ</v>
      </c>
    </row>
    <row r="2087" spans="1:12" s="3" customFormat="1" ht="24" x14ac:dyDescent="0.25">
      <c r="A2087" s="3" t="str">
        <f t="shared" si="64"/>
        <v>ΕΛΑΙΩΝΕΣMEXINE, ΓΙΑ ΠΑΡΑΓΩΓΗ ΕΠΙΤΡΑΠΕΖΙΑΣ</v>
      </c>
      <c r="B2087" s="4" t="s">
        <v>3545</v>
      </c>
      <c r="C2087" s="5" t="s">
        <v>3926</v>
      </c>
      <c r="D2087" s="6">
        <v>2736.21</v>
      </c>
      <c r="E2087" s="6">
        <v>3136.74</v>
      </c>
      <c r="F2087" s="7" t="s">
        <v>14</v>
      </c>
      <c r="G2087" s="8" t="s">
        <v>3927</v>
      </c>
      <c r="H2087" s="8" t="s">
        <v>16</v>
      </c>
      <c r="I2087" s="9">
        <v>811</v>
      </c>
      <c r="J2087" s="10">
        <v>15</v>
      </c>
      <c r="K2087" s="10">
        <v>2000182</v>
      </c>
      <c r="L2087" s="3" t="str">
        <f t="shared" si="65"/>
        <v>ΕΛΑΙΩΝΕΣ</v>
      </c>
    </row>
    <row r="2088" spans="1:12" s="3" customFormat="1" ht="31.5" x14ac:dyDescent="0.25">
      <c r="A2088" s="3" t="str">
        <f t="shared" si="64"/>
        <v>ΕΛΑΙΩΝΕΣΜΕΓΑΡΕΙΤΙΚΗ (ΠΕΡΑΧΩΡΙΤΙΚΗ, ΒΟΙΒΟΔΙΤΙΚΗ,  ΒΟΒΩΔΗ), ΓΙΑ ΠΑΡΑΓΩΓΗ ΕΠΙΤΡΑΠΕΖΙΑΣ</v>
      </c>
      <c r="B2088" s="4" t="s">
        <v>3545</v>
      </c>
      <c r="C2088" s="5" t="s">
        <v>3928</v>
      </c>
      <c r="D2088" s="6">
        <v>2736.21</v>
      </c>
      <c r="E2088" s="6">
        <v>3136.74</v>
      </c>
      <c r="F2088" s="7" t="s">
        <v>14</v>
      </c>
      <c r="G2088" s="8" t="s">
        <v>3929</v>
      </c>
      <c r="H2088" s="8" t="s">
        <v>16</v>
      </c>
      <c r="I2088" s="9">
        <v>826</v>
      </c>
      <c r="J2088" s="10">
        <v>15</v>
      </c>
      <c r="K2088" s="10">
        <v>2000183</v>
      </c>
      <c r="L2088" s="3" t="str">
        <f t="shared" si="65"/>
        <v>ΕΛΑΙΩΝΕΣ</v>
      </c>
    </row>
    <row r="2089" spans="1:12" s="3" customFormat="1" ht="24" x14ac:dyDescent="0.25">
      <c r="A2089" s="3" t="str">
        <f t="shared" si="64"/>
        <v>ΕΛΑΙΩΝΕΣMANZANILLA JAEN, ΓΙΑ ΠΑΡΑΓΩΓΗ ΕΠΙΤΡΑΠΕΖΙΑΣ</v>
      </c>
      <c r="B2089" s="4" t="s">
        <v>3545</v>
      </c>
      <c r="C2089" s="5" t="s">
        <v>3930</v>
      </c>
      <c r="D2089" s="6">
        <v>2736.21</v>
      </c>
      <c r="E2089" s="6">
        <v>3136.74</v>
      </c>
      <c r="F2089" s="7" t="s">
        <v>14</v>
      </c>
      <c r="G2089" s="8" t="s">
        <v>3931</v>
      </c>
      <c r="H2089" s="8" t="s">
        <v>16</v>
      </c>
      <c r="I2089" s="9">
        <v>827</v>
      </c>
      <c r="J2089" s="10">
        <v>15</v>
      </c>
      <c r="K2089" s="10">
        <v>2000184</v>
      </c>
      <c r="L2089" s="3" t="str">
        <f t="shared" si="65"/>
        <v>ΕΛΑΙΩΝΕΣ</v>
      </c>
    </row>
    <row r="2090" spans="1:12" s="3" customFormat="1" ht="31.5" x14ac:dyDescent="0.25">
      <c r="A2090" s="3" t="str">
        <f t="shared" si="64"/>
        <v>ΕΛΑΙΩΝΕΣMANZANILLA DOS HERMANOS, ΓΙΑ ΠΑΡΑΓΩΓΗ ΕΠΙΤΡΑΠΕΖΙΑΣ</v>
      </c>
      <c r="B2090" s="4" t="s">
        <v>3545</v>
      </c>
      <c r="C2090" s="5" t="s">
        <v>3932</v>
      </c>
      <c r="D2090" s="6">
        <v>2736.21</v>
      </c>
      <c r="E2090" s="6">
        <v>3136.74</v>
      </c>
      <c r="F2090" s="7" t="s">
        <v>14</v>
      </c>
      <c r="G2090" s="8" t="s">
        <v>3933</v>
      </c>
      <c r="H2090" s="8" t="s">
        <v>16</v>
      </c>
      <c r="I2090" s="9">
        <v>828</v>
      </c>
      <c r="J2090" s="10">
        <v>15</v>
      </c>
      <c r="K2090" s="10">
        <v>2000185</v>
      </c>
      <c r="L2090" s="3" t="str">
        <f t="shared" si="65"/>
        <v>ΕΛΑΙΩΝΕΣ</v>
      </c>
    </row>
    <row r="2091" spans="1:12" s="3" customFormat="1" ht="24" x14ac:dyDescent="0.25">
      <c r="A2091" s="3" t="str">
        <f t="shared" si="64"/>
        <v>ΕΛΑΙΩΝΕΣMANZANILLA, ΓΙΑ ΠΑΡΑΓΩΓΗ ΕΠΙΤΡΑΠΕΖΙΑΣ</v>
      </c>
      <c r="B2091" s="4" t="s">
        <v>3545</v>
      </c>
      <c r="C2091" s="5" t="s">
        <v>3934</v>
      </c>
      <c r="D2091" s="6">
        <v>2736.21</v>
      </c>
      <c r="E2091" s="6">
        <v>3136.74</v>
      </c>
      <c r="F2091" s="7" t="s">
        <v>14</v>
      </c>
      <c r="G2091" s="8" t="s">
        <v>3935</v>
      </c>
      <c r="H2091" s="8" t="s">
        <v>16</v>
      </c>
      <c r="I2091" s="9">
        <v>829</v>
      </c>
      <c r="J2091" s="10">
        <v>15</v>
      </c>
      <c r="K2091" s="10">
        <v>2000186</v>
      </c>
      <c r="L2091" s="3" t="str">
        <f t="shared" si="65"/>
        <v>ΕΛΑΙΩΝΕΣ</v>
      </c>
    </row>
    <row r="2092" spans="1:12" s="3" customFormat="1" ht="31.5" x14ac:dyDescent="0.25">
      <c r="A2092" s="3" t="str">
        <f t="shared" si="64"/>
        <v>ΕΛΑΙΩΝΕΣΜΕΛΟΛΙΑ (ΕΛΙΑ ΗΔΙΚΑΡΠΗ), ΓΙΑ ΠΑΡΑΓΩΓΗ ΕΠΙΤΡΑΠΕΖΙΑΣ</v>
      </c>
      <c r="B2092" s="4" t="s">
        <v>3545</v>
      </c>
      <c r="C2092" s="5" t="s">
        <v>3936</v>
      </c>
      <c r="D2092" s="6">
        <v>2736.21</v>
      </c>
      <c r="E2092" s="6">
        <v>3136.74</v>
      </c>
      <c r="F2092" s="7" t="s">
        <v>14</v>
      </c>
      <c r="G2092" s="8" t="s">
        <v>3937</v>
      </c>
      <c r="H2092" s="8" t="s">
        <v>16</v>
      </c>
      <c r="I2092" s="9">
        <v>830</v>
      </c>
      <c r="J2092" s="10">
        <v>15</v>
      </c>
      <c r="K2092" s="10">
        <v>2000187</v>
      </c>
      <c r="L2092" s="3" t="str">
        <f t="shared" si="65"/>
        <v>ΕΛΑΙΩΝΕΣ</v>
      </c>
    </row>
    <row r="2093" spans="1:12" s="3" customFormat="1" ht="24" x14ac:dyDescent="0.25">
      <c r="A2093" s="3" t="str">
        <f t="shared" si="64"/>
        <v>ΕΛΑΙΩΝΕΣMISSION, ΓΙΑ ΠΑΡΑΓΩΓΗ ΕΠΙΤΡΑΠΕΖΙΑΣ</v>
      </c>
      <c r="B2093" s="4" t="s">
        <v>3545</v>
      </c>
      <c r="C2093" s="5" t="s">
        <v>3938</v>
      </c>
      <c r="D2093" s="6">
        <v>2736.21</v>
      </c>
      <c r="E2093" s="6">
        <v>3136.74</v>
      </c>
      <c r="F2093" s="7" t="s">
        <v>14</v>
      </c>
      <c r="G2093" s="8" t="s">
        <v>3939</v>
      </c>
      <c r="H2093" s="8" t="s">
        <v>16</v>
      </c>
      <c r="I2093" s="9">
        <v>831</v>
      </c>
      <c r="J2093" s="10">
        <v>15</v>
      </c>
      <c r="K2093" s="10">
        <v>2000188</v>
      </c>
      <c r="L2093" s="3" t="str">
        <f t="shared" si="65"/>
        <v>ΕΛΑΙΩΝΕΣ</v>
      </c>
    </row>
    <row r="2094" spans="1:12" s="3" customFormat="1" ht="31.5" x14ac:dyDescent="0.25">
      <c r="A2094" s="3" t="str">
        <f t="shared" si="64"/>
        <v>ΕΛΑΙΩΝΕΣPICUAL (NEVADILLO BLANCO), ΓΙΑ ΠΑΡΑΓΩΓΗ ΕΠΙΤΡΑΠΕΖΙΑΣ</v>
      </c>
      <c r="B2094" s="4" t="s">
        <v>3545</v>
      </c>
      <c r="C2094" s="5" t="s">
        <v>3940</v>
      </c>
      <c r="D2094" s="6">
        <v>2736.21</v>
      </c>
      <c r="E2094" s="6">
        <v>3136.74</v>
      </c>
      <c r="F2094" s="7" t="s">
        <v>14</v>
      </c>
      <c r="G2094" s="8" t="s">
        <v>3941</v>
      </c>
      <c r="H2094" s="8" t="s">
        <v>16</v>
      </c>
      <c r="I2094" s="9">
        <v>833</v>
      </c>
      <c r="J2094" s="10">
        <v>15</v>
      </c>
      <c r="K2094" s="10">
        <v>2000189</v>
      </c>
      <c r="L2094" s="3" t="str">
        <f t="shared" si="65"/>
        <v>ΕΛΑΙΩΝΕΣ</v>
      </c>
    </row>
    <row r="2095" spans="1:12" s="3" customFormat="1" ht="24" x14ac:dyDescent="0.25">
      <c r="A2095" s="3" t="str">
        <f t="shared" si="64"/>
        <v>ΕΛΑΙΩΝΕΣΠΑΤΡΙΝΗ, ΓΙΑ ΠΑΡΑΓΩΓΗ ΕΠΙΤΡΑΠΕΖΙΑΣ</v>
      </c>
      <c r="B2095" s="4" t="s">
        <v>3545</v>
      </c>
      <c r="C2095" s="5" t="s">
        <v>3942</v>
      </c>
      <c r="D2095" s="6">
        <v>2736.21</v>
      </c>
      <c r="E2095" s="6">
        <v>3136.74</v>
      </c>
      <c r="F2095" s="7" t="s">
        <v>14</v>
      </c>
      <c r="G2095" s="8" t="s">
        <v>3943</v>
      </c>
      <c r="H2095" s="8" t="s">
        <v>16</v>
      </c>
      <c r="I2095" s="9">
        <v>835</v>
      </c>
      <c r="J2095" s="10">
        <v>15</v>
      </c>
      <c r="K2095" s="10">
        <v>2000190</v>
      </c>
      <c r="L2095" s="3" t="str">
        <f t="shared" si="65"/>
        <v>ΕΛΑΙΩΝΕΣ</v>
      </c>
    </row>
    <row r="2096" spans="1:12" s="3" customFormat="1" ht="31.5" x14ac:dyDescent="0.25">
      <c r="A2096" s="3" t="str">
        <f t="shared" si="64"/>
        <v>ΕΛΑΙΩΝΕΣPICHOLIN ή PICHOLINE, ΓΙΑ ΠΑΡΑΓΩΓΗ ΕΠΙΤΡΑΠΕΖΙΑΣ</v>
      </c>
      <c r="B2096" s="4" t="s">
        <v>3545</v>
      </c>
      <c r="C2096" s="5" t="s">
        <v>3944</v>
      </c>
      <c r="D2096" s="6">
        <v>2736.21</v>
      </c>
      <c r="E2096" s="6">
        <v>3136.74</v>
      </c>
      <c r="F2096" s="7" t="s">
        <v>14</v>
      </c>
      <c r="G2096" s="8" t="s">
        <v>3945</v>
      </c>
      <c r="H2096" s="8" t="s">
        <v>16</v>
      </c>
      <c r="I2096" s="9">
        <v>837</v>
      </c>
      <c r="J2096" s="10">
        <v>15</v>
      </c>
      <c r="K2096" s="10">
        <v>2000191</v>
      </c>
      <c r="L2096" s="3" t="str">
        <f t="shared" si="65"/>
        <v>ΕΛΑΙΩΝΕΣ</v>
      </c>
    </row>
    <row r="2097" spans="1:12" s="3" customFormat="1" ht="24" x14ac:dyDescent="0.25">
      <c r="A2097" s="3" t="str">
        <f t="shared" si="64"/>
        <v>ΕΛΑΙΩΝΕΣΠΙΚΡΟΛΙΑ, ΓΙΑ ΠΑΡΑΓΩΓΗ ΕΠΙΤΡΑΠΕΖΙΑΣ</v>
      </c>
      <c r="B2097" s="4" t="s">
        <v>3545</v>
      </c>
      <c r="C2097" s="5" t="s">
        <v>3946</v>
      </c>
      <c r="D2097" s="6">
        <v>2736.21</v>
      </c>
      <c r="E2097" s="6">
        <v>3136.74</v>
      </c>
      <c r="F2097" s="7" t="s">
        <v>14</v>
      </c>
      <c r="G2097" s="8" t="s">
        <v>3947</v>
      </c>
      <c r="H2097" s="8" t="s">
        <v>16</v>
      </c>
      <c r="I2097" s="9">
        <v>823</v>
      </c>
      <c r="J2097" s="10">
        <v>15</v>
      </c>
      <c r="K2097" s="10">
        <v>2000192</v>
      </c>
      <c r="L2097" s="3" t="str">
        <f t="shared" si="65"/>
        <v>ΕΛΑΙΩΝΕΣ</v>
      </c>
    </row>
    <row r="2098" spans="1:12" s="3" customFormat="1" ht="24" x14ac:dyDescent="0.25">
      <c r="A2098" s="3" t="str">
        <f t="shared" si="64"/>
        <v>ΕΛΑΙΩΝΕΣREDDING PICHOLINE, ΓΙΑ ΠΑΡΑΓΩΓΗ ΕΠΙΤΡΑΠΕΖΙΑΣ</v>
      </c>
      <c r="B2098" s="4" t="s">
        <v>3545</v>
      </c>
      <c r="C2098" s="5" t="s">
        <v>3948</v>
      </c>
      <c r="D2098" s="6">
        <v>2736.21</v>
      </c>
      <c r="E2098" s="6">
        <v>3136.74</v>
      </c>
      <c r="F2098" s="7" t="s">
        <v>14</v>
      </c>
      <c r="G2098" s="8" t="s">
        <v>3949</v>
      </c>
      <c r="H2098" s="8" t="s">
        <v>16</v>
      </c>
      <c r="I2098" s="9">
        <v>855</v>
      </c>
      <c r="J2098" s="10">
        <v>15</v>
      </c>
      <c r="K2098" s="10">
        <v>2000193</v>
      </c>
      <c r="L2098" s="3" t="str">
        <f t="shared" si="65"/>
        <v>ΕΛΑΙΩΝΕΣ</v>
      </c>
    </row>
    <row r="2099" spans="1:12" s="3" customFormat="1" ht="24" x14ac:dyDescent="0.25">
      <c r="A2099" s="3" t="str">
        <f t="shared" si="64"/>
        <v>ΕΛΑΙΩΝΕΣROUSETTE, ΓΙΑ ΠΑΡΑΓΩΓΗ ΕΠΙΤΡΑΠΕΖΙΑΣ</v>
      </c>
      <c r="B2099" s="4" t="s">
        <v>3545</v>
      </c>
      <c r="C2099" s="5" t="s">
        <v>3950</v>
      </c>
      <c r="D2099" s="6">
        <v>2736.21</v>
      </c>
      <c r="E2099" s="6">
        <v>3136.74</v>
      </c>
      <c r="F2099" s="7" t="s">
        <v>14</v>
      </c>
      <c r="G2099" s="8" t="s">
        <v>3951</v>
      </c>
      <c r="H2099" s="8" t="s">
        <v>16</v>
      </c>
      <c r="I2099" s="9">
        <v>871</v>
      </c>
      <c r="J2099" s="10">
        <v>15</v>
      </c>
      <c r="K2099" s="10">
        <v>2000194</v>
      </c>
      <c r="L2099" s="3" t="str">
        <f t="shared" si="65"/>
        <v>ΕΛΑΙΩΝΕΣ</v>
      </c>
    </row>
    <row r="2100" spans="1:12" s="3" customFormat="1" ht="15" customHeight="1" x14ac:dyDescent="0.25">
      <c r="A2100" s="3" t="str">
        <f t="shared" si="64"/>
        <v>ΕΛΑΙΩΝΕΣSALONENQUE, ΓΙΑ ΠΑΡΑΓΩΓΗ ΕΠΙΤΡΑΠΕΖΙΑΣ</v>
      </c>
      <c r="B2100" s="4" t="s">
        <v>3545</v>
      </c>
      <c r="C2100" s="5" t="s">
        <v>3952</v>
      </c>
      <c r="D2100" s="6">
        <v>2736.21</v>
      </c>
      <c r="E2100" s="6">
        <v>3136.74</v>
      </c>
      <c r="F2100" s="7" t="s">
        <v>14</v>
      </c>
      <c r="G2100" s="8" t="s">
        <v>3953</v>
      </c>
      <c r="H2100" s="8" t="s">
        <v>16</v>
      </c>
      <c r="I2100" s="9">
        <v>873</v>
      </c>
      <c r="J2100" s="10">
        <v>15</v>
      </c>
      <c r="K2100" s="10">
        <v>2000195</v>
      </c>
      <c r="L2100" s="3" t="str">
        <f t="shared" si="65"/>
        <v>ΕΛΑΙΩΝΕΣ</v>
      </c>
    </row>
    <row r="2101" spans="1:12" s="3" customFormat="1" ht="31.5" x14ac:dyDescent="0.25">
      <c r="A2101" s="3" t="str">
        <f t="shared" si="64"/>
        <v>ΕΛΑΙΩΝΕΣΣΤΡΟΓΓΥΛΟΛΙΑ (ΓΑΛΑΝΗ, ΠΡΑΣΙΝΟΛΙΑ), ΓΙΑ ΠΑΡΑΓΩΓΗ ΕΠΙΤΡΑΠΕΖΙΑΣ</v>
      </c>
      <c r="B2101" s="4" t="s">
        <v>3545</v>
      </c>
      <c r="C2101" s="5" t="s">
        <v>3954</v>
      </c>
      <c r="D2101" s="6">
        <v>2736.21</v>
      </c>
      <c r="E2101" s="6">
        <v>3136.74</v>
      </c>
      <c r="F2101" s="7" t="s">
        <v>14</v>
      </c>
      <c r="G2101" s="8" t="s">
        <v>3955</v>
      </c>
      <c r="H2101" s="8" t="s">
        <v>16</v>
      </c>
      <c r="I2101" s="9">
        <v>916</v>
      </c>
      <c r="J2101" s="10">
        <v>15</v>
      </c>
      <c r="K2101" s="10">
        <v>2000196</v>
      </c>
      <c r="L2101" s="3" t="str">
        <f t="shared" si="65"/>
        <v>ΕΛΑΙΩΝΕΣ</v>
      </c>
    </row>
    <row r="2102" spans="1:12" s="3" customFormat="1" ht="24" x14ac:dyDescent="0.25">
      <c r="A2102" s="3" t="str">
        <f t="shared" si="64"/>
        <v>ΕΛΑΙΩΝΕΣS. FRANCESCO, ΓΙΑ ΠΑΡΑΓΩΓΗ ΕΠΙΤΡΑΠΕΖΙΑΣ</v>
      </c>
      <c r="B2102" s="4" t="s">
        <v>3545</v>
      </c>
      <c r="C2102" s="5" t="s">
        <v>3956</v>
      </c>
      <c r="D2102" s="6">
        <v>2736.21</v>
      </c>
      <c r="E2102" s="6">
        <v>3136.74</v>
      </c>
      <c r="F2102" s="7" t="s">
        <v>14</v>
      </c>
      <c r="G2102" s="8" t="s">
        <v>3957</v>
      </c>
      <c r="H2102" s="8" t="s">
        <v>16</v>
      </c>
      <c r="I2102" s="9">
        <v>898</v>
      </c>
      <c r="J2102" s="10">
        <v>15</v>
      </c>
      <c r="K2102" s="10">
        <v>2000197</v>
      </c>
      <c r="L2102" s="3" t="str">
        <f t="shared" si="65"/>
        <v>ΕΛΑΙΩΝΕΣ</v>
      </c>
    </row>
    <row r="2103" spans="1:12" s="3" customFormat="1" ht="31.5" x14ac:dyDescent="0.25">
      <c r="A2103" s="3" t="str">
        <f t="shared" si="64"/>
        <v>ΕΛΑΙΩΝΕΣS. AGOSTINO (S. AUGUSTINE), ΓΙΑ ΠΑΡΑΓΩΓΗ ΕΠΙΤΡΑΠΕΖΙΑΣ</v>
      </c>
      <c r="B2103" s="4" t="s">
        <v>3545</v>
      </c>
      <c r="C2103" s="5" t="s">
        <v>3958</v>
      </c>
      <c r="D2103" s="6">
        <v>2736.21</v>
      </c>
      <c r="E2103" s="6">
        <v>3136.74</v>
      </c>
      <c r="F2103" s="7" t="s">
        <v>14</v>
      </c>
      <c r="G2103" s="8" t="s">
        <v>3959</v>
      </c>
      <c r="H2103" s="8" t="s">
        <v>16</v>
      </c>
      <c r="I2103" s="9">
        <v>897</v>
      </c>
      <c r="J2103" s="10">
        <v>15</v>
      </c>
      <c r="K2103" s="10">
        <v>2000198</v>
      </c>
      <c r="L2103" s="3" t="str">
        <f t="shared" si="65"/>
        <v>ΕΛΑΙΩΝΕΣ</v>
      </c>
    </row>
    <row r="2104" spans="1:12" s="3" customFormat="1" ht="24" x14ac:dyDescent="0.25">
      <c r="A2104" s="3" t="str">
        <f t="shared" si="64"/>
        <v>ΕΛΑΙΩΝΕΣSIGOISE, ΓΙΑ ΠΑΡΑΓΩΓΗ ΕΠΙΤΡΑΠΕΖΙΑΣ</v>
      </c>
      <c r="B2104" s="4" t="s">
        <v>3545</v>
      </c>
      <c r="C2104" s="5" t="s">
        <v>3960</v>
      </c>
      <c r="D2104" s="6">
        <v>2736.21</v>
      </c>
      <c r="E2104" s="6">
        <v>3136.74</v>
      </c>
      <c r="F2104" s="7" t="s">
        <v>14</v>
      </c>
      <c r="G2104" s="8" t="s">
        <v>3961</v>
      </c>
      <c r="H2104" s="8" t="s">
        <v>16</v>
      </c>
      <c r="I2104" s="9">
        <v>896</v>
      </c>
      <c r="J2104" s="10">
        <v>15</v>
      </c>
      <c r="K2104" s="10">
        <v>2000199</v>
      </c>
      <c r="L2104" s="3" t="str">
        <f t="shared" si="65"/>
        <v>ΕΛΑΙΩΝΕΣ</v>
      </c>
    </row>
    <row r="2105" spans="1:12" s="3" customFormat="1" ht="24" x14ac:dyDescent="0.25">
      <c r="A2105" s="3" t="str">
        <f t="shared" si="64"/>
        <v>ΕΛΑΙΩΝΕΣΤΡΑΓΟΛΙΑ, ΓΙΑ ΠΑΡΑΓΩΓΗ ΕΠΙΤΡΑΠΕΖΙΑΣ</v>
      </c>
      <c r="B2105" s="4" t="s">
        <v>3545</v>
      </c>
      <c r="C2105" s="5" t="s">
        <v>3962</v>
      </c>
      <c r="D2105" s="6">
        <v>2736.21</v>
      </c>
      <c r="E2105" s="6">
        <v>3136.74</v>
      </c>
      <c r="F2105" s="7" t="s">
        <v>14</v>
      </c>
      <c r="G2105" s="8" t="s">
        <v>3963</v>
      </c>
      <c r="H2105" s="8" t="s">
        <v>16</v>
      </c>
      <c r="I2105" s="9">
        <v>895</v>
      </c>
      <c r="J2105" s="10">
        <v>15</v>
      </c>
      <c r="K2105" s="10">
        <v>2000200</v>
      </c>
      <c r="L2105" s="3" t="str">
        <f t="shared" si="65"/>
        <v>ΕΛΑΙΩΝΕΣ</v>
      </c>
    </row>
    <row r="2106" spans="1:12" s="3" customFormat="1" ht="31.5" x14ac:dyDescent="0.25">
      <c r="A2106" s="3" t="str">
        <f t="shared" si="64"/>
        <v>ΕΛΑΙΩΝΕΣΤΣΟΥΝΑΤΗ (ΜΑΤΣΟΛΗΑ, ΑΘΗΝΟΛΙΑ), ΓΙΑ ΠΑΡΑΓΩΓΗ ΕΠΙΤΡΑΠΕΖΙΑΣ</v>
      </c>
      <c r="B2106" s="4" t="s">
        <v>3545</v>
      </c>
      <c r="C2106" s="5" t="s">
        <v>3964</v>
      </c>
      <c r="D2106" s="6">
        <v>2736.21</v>
      </c>
      <c r="E2106" s="6">
        <v>3136.74</v>
      </c>
      <c r="F2106" s="7" t="s">
        <v>14</v>
      </c>
      <c r="G2106" s="8" t="s">
        <v>3965</v>
      </c>
      <c r="H2106" s="8" t="s">
        <v>16</v>
      </c>
      <c r="I2106" s="9">
        <v>894</v>
      </c>
      <c r="J2106" s="10">
        <v>15</v>
      </c>
      <c r="K2106" s="10">
        <v>2000201</v>
      </c>
      <c r="L2106" s="3" t="str">
        <f t="shared" si="65"/>
        <v>ΕΛΑΙΩΝΕΣ</v>
      </c>
    </row>
    <row r="2107" spans="1:12" s="3" customFormat="1" ht="24" x14ac:dyDescent="0.25">
      <c r="A2107" s="3" t="str">
        <f t="shared" si="64"/>
        <v>ΕΛΑΙΩΝΕΣFRANTOIO, ΓΙΑ ΠΑΡΑΓΩΓΗ ΕΠΙΤΡΑΠΕΖΙΑΣ</v>
      </c>
      <c r="B2107" s="4" t="s">
        <v>3545</v>
      </c>
      <c r="C2107" s="5" t="s">
        <v>3966</v>
      </c>
      <c r="D2107" s="6">
        <v>2736.21</v>
      </c>
      <c r="E2107" s="6">
        <v>3136.74</v>
      </c>
      <c r="F2107" s="7" t="s">
        <v>14</v>
      </c>
      <c r="G2107" s="8" t="s">
        <v>3967</v>
      </c>
      <c r="H2107" s="8" t="s">
        <v>16</v>
      </c>
      <c r="I2107" s="9">
        <v>893</v>
      </c>
      <c r="J2107" s="10">
        <v>15</v>
      </c>
      <c r="K2107" s="10">
        <v>2000202</v>
      </c>
      <c r="L2107" s="3" t="str">
        <f t="shared" si="65"/>
        <v>ΕΛΑΙΩΝΕΣ</v>
      </c>
    </row>
    <row r="2108" spans="1:12" s="3" customFormat="1" ht="24" x14ac:dyDescent="0.25">
      <c r="A2108" s="3" t="str">
        <f t="shared" si="64"/>
        <v>ΕΛΑΙΩΝΕΣΧΑΛΚΙΔΙΚΗΣ, ΓΙΑ ΠΑΡΑΓΩΓΗ ΕΠΙΤΡΑΠΕΖΙΑΣ</v>
      </c>
      <c r="B2108" s="4" t="s">
        <v>3545</v>
      </c>
      <c r="C2108" s="5" t="s">
        <v>3968</v>
      </c>
      <c r="D2108" s="6">
        <v>2736.21</v>
      </c>
      <c r="E2108" s="6">
        <v>3136.74</v>
      </c>
      <c r="F2108" s="7" t="s">
        <v>14</v>
      </c>
      <c r="G2108" s="8" t="s">
        <v>3969</v>
      </c>
      <c r="H2108" s="8" t="s">
        <v>16</v>
      </c>
      <c r="I2108" s="9">
        <v>892</v>
      </c>
      <c r="J2108" s="10">
        <v>15</v>
      </c>
      <c r="K2108" s="10">
        <v>2000203</v>
      </c>
      <c r="L2108" s="3" t="str">
        <f t="shared" si="65"/>
        <v>ΕΛΑΙΩΝΕΣ</v>
      </c>
    </row>
    <row r="2109" spans="1:12" s="3" customFormat="1" ht="24" x14ac:dyDescent="0.25">
      <c r="A2109" s="3" t="str">
        <f t="shared" si="64"/>
        <v>ΕΛΑΙΩΝΕΣΧΟΝΔΡΟΛΗΑ, ΓΙΑ ΠΑΡΑΓΩΓΗ ΕΠΙΤΡΑΠΕΖΙΑΣ</v>
      </c>
      <c r="B2109" s="4" t="s">
        <v>3545</v>
      </c>
      <c r="C2109" s="5" t="s">
        <v>3970</v>
      </c>
      <c r="D2109" s="6">
        <v>2736.21</v>
      </c>
      <c r="E2109" s="6">
        <v>3136.74</v>
      </c>
      <c r="F2109" s="7" t="s">
        <v>14</v>
      </c>
      <c r="G2109" s="8" t="s">
        <v>3971</v>
      </c>
      <c r="H2109" s="8" t="s">
        <v>16</v>
      </c>
      <c r="I2109" s="9">
        <v>891</v>
      </c>
      <c r="J2109" s="10">
        <v>15</v>
      </c>
      <c r="K2109" s="10">
        <v>2000204</v>
      </c>
      <c r="L2109" s="3" t="str">
        <f t="shared" si="65"/>
        <v>ΕΛΑΙΩΝΕΣ</v>
      </c>
    </row>
    <row r="2110" spans="1:12" s="3" customFormat="1" ht="31.5" x14ac:dyDescent="0.25">
      <c r="A2110" s="3" t="str">
        <f t="shared" si="64"/>
        <v>ΕΛΑΙΩΝΕΣΧΟΝΔΡΟΛΗΑ ΧΑΛΚΙΔΙΚΗΣ, ΓΙΑ ΠΑΡΑΓΩΓΗ ΕΠΙΤΡΑΠΕΖΙΑΣ</v>
      </c>
      <c r="B2110" s="4" t="s">
        <v>3545</v>
      </c>
      <c r="C2110" s="5" t="s">
        <v>3972</v>
      </c>
      <c r="D2110" s="6">
        <v>2736.21</v>
      </c>
      <c r="E2110" s="6">
        <v>3136.74</v>
      </c>
      <c r="F2110" s="7" t="s">
        <v>14</v>
      </c>
      <c r="G2110" s="8" t="s">
        <v>3973</v>
      </c>
      <c r="H2110" s="8" t="s">
        <v>16</v>
      </c>
      <c r="I2110" s="9">
        <v>890</v>
      </c>
      <c r="J2110" s="10">
        <v>15</v>
      </c>
      <c r="K2110" s="10">
        <v>2000205</v>
      </c>
      <c r="L2110" s="3" t="str">
        <f t="shared" si="65"/>
        <v>ΕΛΑΙΩΝΕΣ</v>
      </c>
    </row>
    <row r="2111" spans="1:12" s="3" customFormat="1" ht="24" x14ac:dyDescent="0.25">
      <c r="A2111" s="3" t="str">
        <f t="shared" si="64"/>
        <v>ΕΛΑΙΩΝΕΣΧΡΥΣΟΛΙΑ, ΓΙΑ ΠΑΡΑΓΩΓΗ ΕΠΙΤΡΑΠΕΖΙΑΣ</v>
      </c>
      <c r="B2111" s="4" t="s">
        <v>3545</v>
      </c>
      <c r="C2111" s="5" t="s">
        <v>3974</v>
      </c>
      <c r="D2111" s="6">
        <v>2736.21</v>
      </c>
      <c r="E2111" s="6">
        <v>3136.74</v>
      </c>
      <c r="F2111" s="7" t="s">
        <v>14</v>
      </c>
      <c r="G2111" s="8" t="s">
        <v>3975</v>
      </c>
      <c r="H2111" s="8" t="s">
        <v>16</v>
      </c>
      <c r="I2111" s="9">
        <v>889</v>
      </c>
      <c r="J2111" s="10">
        <v>15</v>
      </c>
      <c r="K2111" s="10">
        <v>2000206</v>
      </c>
      <c r="L2111" s="3" t="str">
        <f t="shared" si="65"/>
        <v>ΕΛΑΙΩΝΕΣ</v>
      </c>
    </row>
    <row r="2112" spans="1:12" s="3" customFormat="1" ht="24" x14ac:dyDescent="0.25">
      <c r="A2112" s="3" t="str">
        <f t="shared" si="64"/>
        <v>ΕΛΑΙΩΝΕΣSEVILLANO, ΓΙΑ ΠΑΡΑΓΩΓΗ ΕΠΙΤΡΑΠΕΖΙΑΣ</v>
      </c>
      <c r="B2112" s="4" t="s">
        <v>3545</v>
      </c>
      <c r="C2112" s="5" t="s">
        <v>3976</v>
      </c>
      <c r="D2112" s="6">
        <v>2736.21</v>
      </c>
      <c r="E2112" s="6">
        <v>3136.74</v>
      </c>
      <c r="F2112" s="7" t="s">
        <v>14</v>
      </c>
      <c r="G2112" s="8" t="s">
        <v>3977</v>
      </c>
      <c r="H2112" s="8" t="s">
        <v>16</v>
      </c>
      <c r="I2112" s="9">
        <v>888</v>
      </c>
      <c r="J2112" s="10">
        <v>15</v>
      </c>
      <c r="K2112" s="10">
        <v>2000207</v>
      </c>
      <c r="L2112" s="3" t="str">
        <f t="shared" si="65"/>
        <v>ΕΛΑΙΩΝΕΣ</v>
      </c>
    </row>
    <row r="2113" spans="1:12" s="3" customFormat="1" ht="24" x14ac:dyDescent="0.25">
      <c r="A2113" s="3" t="str">
        <f t="shared" si="64"/>
        <v>ΕΛΑΙΩΝΕΣOBLONCA, ΓΙΑ ΠΑΡΑΓΩΓΗ ΕΠΙΤΡΑΠΕΖΙΑΣ</v>
      </c>
      <c r="B2113" s="4" t="s">
        <v>3545</v>
      </c>
      <c r="C2113" s="5" t="s">
        <v>3978</v>
      </c>
      <c r="D2113" s="6">
        <v>2736.21</v>
      </c>
      <c r="E2113" s="6">
        <v>3136.74</v>
      </c>
      <c r="F2113" s="7" t="s">
        <v>14</v>
      </c>
      <c r="G2113" s="8" t="s">
        <v>3979</v>
      </c>
      <c r="H2113" s="8" t="s">
        <v>16</v>
      </c>
      <c r="I2113" s="9">
        <v>887</v>
      </c>
      <c r="J2113" s="10">
        <v>15</v>
      </c>
      <c r="K2113" s="10">
        <v>2000208</v>
      </c>
      <c r="L2113" s="3" t="str">
        <f t="shared" si="65"/>
        <v>ΕΛΑΙΩΝΕΣ</v>
      </c>
    </row>
    <row r="2114" spans="1:12" s="3" customFormat="1" ht="24" x14ac:dyDescent="0.25">
      <c r="A2114" s="3" t="str">
        <f t="shared" si="64"/>
        <v>ΕΛΑΙΩΝΕΣKADESH, ΓΙΑ ΠΑΡΑΓΩΓΗ ΕΠΙΤΡΑΠΕΖΙΑΣ</v>
      </c>
      <c r="B2114" s="4" t="s">
        <v>3545</v>
      </c>
      <c r="C2114" s="5" t="s">
        <v>3980</v>
      </c>
      <c r="D2114" s="6">
        <v>2736.21</v>
      </c>
      <c r="E2114" s="6">
        <v>3136.74</v>
      </c>
      <c r="F2114" s="7" t="s">
        <v>14</v>
      </c>
      <c r="G2114" s="8" t="s">
        <v>3981</v>
      </c>
      <c r="H2114" s="8" t="s">
        <v>16</v>
      </c>
      <c r="I2114" s="9">
        <v>886</v>
      </c>
      <c r="J2114" s="10">
        <v>15</v>
      </c>
      <c r="K2114" s="10">
        <v>2000209</v>
      </c>
      <c r="L2114" s="3" t="str">
        <f t="shared" si="65"/>
        <v>ΕΛΑΙΩΝΕΣ</v>
      </c>
    </row>
    <row r="2115" spans="1:12" s="3" customFormat="1" ht="24" x14ac:dyDescent="0.25">
      <c r="A2115" s="3" t="str">
        <f t="shared" ref="A2115:A2178" si="66">_xlfn.CONCAT(B2115,C2115)</f>
        <v>ΕΛΑΙΩΝΕΣSOYRI, ΓΙΑ ΠΑΡΑΓΩΓΗ ΕΠΙΤΡΑΠΕΖΙΑΣ</v>
      </c>
      <c r="B2115" s="4" t="s">
        <v>3545</v>
      </c>
      <c r="C2115" s="5" t="s">
        <v>3982</v>
      </c>
      <c r="D2115" s="6">
        <v>2736.21</v>
      </c>
      <c r="E2115" s="6">
        <v>3136.74</v>
      </c>
      <c r="F2115" s="7" t="s">
        <v>14</v>
      </c>
      <c r="G2115" s="8" t="s">
        <v>3983</v>
      </c>
      <c r="H2115" s="8" t="s">
        <v>16</v>
      </c>
      <c r="I2115" s="9">
        <v>870</v>
      </c>
      <c r="J2115" s="10">
        <v>15</v>
      </c>
      <c r="K2115" s="10">
        <v>2000210</v>
      </c>
      <c r="L2115" s="3" t="str">
        <f t="shared" ref="L2115:L2178" si="67">IFERROR(SUBSTITUTE(SUBSTITUTE(SUBSTITUTE(SUBSTITUTE(SUBSTITUTE(B2115, "-", "_"), " ", "_"), ",", ""), "(", ""), ")", ""), B2115)</f>
        <v>ΕΛΑΙΩΝΕΣ</v>
      </c>
    </row>
    <row r="2116" spans="1:12" s="3" customFormat="1" ht="24" x14ac:dyDescent="0.25">
      <c r="A2116" s="3" t="str">
        <f t="shared" si="66"/>
        <v>ΕΛΑΙΩΝΕΣZARZARIEGA, ΓΙΑ ΠΑΡΑΓΩΓΗ ΕΠΙΤΡΑΠΕΖΙΑΣ</v>
      </c>
      <c r="B2116" s="4" t="s">
        <v>3545</v>
      </c>
      <c r="C2116" s="5" t="s">
        <v>3984</v>
      </c>
      <c r="D2116" s="6">
        <v>2736.21</v>
      </c>
      <c r="E2116" s="6">
        <v>3136.74</v>
      </c>
      <c r="F2116" s="7" t="s">
        <v>14</v>
      </c>
      <c r="G2116" s="8" t="s">
        <v>3985</v>
      </c>
      <c r="H2116" s="8" t="s">
        <v>16</v>
      </c>
      <c r="I2116" s="9">
        <v>884</v>
      </c>
      <c r="J2116" s="10">
        <v>15</v>
      </c>
      <c r="K2116" s="10">
        <v>2000211</v>
      </c>
      <c r="L2116" s="3" t="str">
        <f t="shared" si="67"/>
        <v>ΕΛΑΙΩΝΕΣ</v>
      </c>
    </row>
    <row r="2117" spans="1:12" s="3" customFormat="1" ht="24" x14ac:dyDescent="0.25">
      <c r="A2117" s="3" t="str">
        <f t="shared" si="66"/>
        <v>ΕΛΑΙΩΝΕΣCORNICABRA, ΓΙΑ ΠΑΡΑΓΩΓΗ ΕΠΙΤΡΑΠΕΖΙΑΣ</v>
      </c>
      <c r="B2117" s="4" t="s">
        <v>3545</v>
      </c>
      <c r="C2117" s="5" t="s">
        <v>3986</v>
      </c>
      <c r="D2117" s="6">
        <v>2736.21</v>
      </c>
      <c r="E2117" s="6">
        <v>3136.74</v>
      </c>
      <c r="F2117" s="7" t="s">
        <v>14</v>
      </c>
      <c r="G2117" s="8" t="s">
        <v>3987</v>
      </c>
      <c r="H2117" s="8" t="s">
        <v>16</v>
      </c>
      <c r="I2117" s="9">
        <v>899</v>
      </c>
      <c r="J2117" s="10">
        <v>15</v>
      </c>
      <c r="K2117" s="10">
        <v>2000212</v>
      </c>
      <c r="L2117" s="3" t="str">
        <f t="shared" si="67"/>
        <v>ΕΛΑΙΩΝΕΣ</v>
      </c>
    </row>
    <row r="2118" spans="1:12" s="3" customFormat="1" ht="24" x14ac:dyDescent="0.25">
      <c r="A2118" s="3" t="str">
        <f t="shared" si="66"/>
        <v>ΕΛΑΙΩΝΕΣECIJANO, ΓΙΑ ΠΑΡΑΓΩΓΗ ΕΠΙΤΡΑΠΕΖΙΑΣ</v>
      </c>
      <c r="B2118" s="4" t="s">
        <v>3545</v>
      </c>
      <c r="C2118" s="5" t="s">
        <v>3988</v>
      </c>
      <c r="D2118" s="6">
        <v>2736.21</v>
      </c>
      <c r="E2118" s="6">
        <v>3136.74</v>
      </c>
      <c r="F2118" s="7" t="s">
        <v>14</v>
      </c>
      <c r="G2118" s="8" t="s">
        <v>3989</v>
      </c>
      <c r="H2118" s="8" t="s">
        <v>16</v>
      </c>
      <c r="I2118" s="9">
        <v>882</v>
      </c>
      <c r="J2118" s="10">
        <v>15</v>
      </c>
      <c r="K2118" s="10">
        <v>2000213</v>
      </c>
      <c r="L2118" s="3" t="str">
        <f t="shared" si="67"/>
        <v>ΕΛΑΙΩΝΕΣ</v>
      </c>
    </row>
    <row r="2119" spans="1:12" s="3" customFormat="1" ht="24" x14ac:dyDescent="0.25">
      <c r="A2119" s="3" t="str">
        <f t="shared" si="66"/>
        <v>ΕΛΑΙΩΝΕΣVERDIAL, ΓΙΑ ΠΑΡΑΓΩΓΗ ΕΠΙΤΡΑΠΕΖΙΑΣ</v>
      </c>
      <c r="B2119" s="4" t="s">
        <v>3545</v>
      </c>
      <c r="C2119" s="5" t="s">
        <v>3990</v>
      </c>
      <c r="D2119" s="6">
        <v>2736.21</v>
      </c>
      <c r="E2119" s="6">
        <v>3136.74</v>
      </c>
      <c r="F2119" s="7" t="s">
        <v>14</v>
      </c>
      <c r="G2119" s="8" t="s">
        <v>3991</v>
      </c>
      <c r="H2119" s="8" t="s">
        <v>16</v>
      </c>
      <c r="I2119" s="9">
        <v>881</v>
      </c>
      <c r="J2119" s="10">
        <v>15</v>
      </c>
      <c r="K2119" s="10">
        <v>2000214</v>
      </c>
      <c r="L2119" s="3" t="str">
        <f t="shared" si="67"/>
        <v>ΕΛΑΙΩΝΕΣ</v>
      </c>
    </row>
    <row r="2120" spans="1:12" s="3" customFormat="1" ht="24" x14ac:dyDescent="0.25">
      <c r="A2120" s="3" t="str">
        <f t="shared" si="66"/>
        <v>ΕΛΑΙΩΝΕΣBAROUNI, ΓΙΑ ΠΑΡΑΓΩΓΗ ΕΠΙΤΡΑΠΕΖΙΑΣ</v>
      </c>
      <c r="B2120" s="4" t="s">
        <v>3545</v>
      </c>
      <c r="C2120" s="5" t="s">
        <v>3992</v>
      </c>
      <c r="D2120" s="6">
        <v>2736.21</v>
      </c>
      <c r="E2120" s="6">
        <v>3136.74</v>
      </c>
      <c r="F2120" s="7" t="s">
        <v>14</v>
      </c>
      <c r="G2120" s="8" t="s">
        <v>3993</v>
      </c>
      <c r="H2120" s="8" t="s">
        <v>16</v>
      </c>
      <c r="I2120" s="9">
        <v>880</v>
      </c>
      <c r="J2120" s="10">
        <v>15</v>
      </c>
      <c r="K2120" s="10">
        <v>2000215</v>
      </c>
      <c r="L2120" s="3" t="str">
        <f t="shared" si="67"/>
        <v>ΕΛΑΙΩΝΕΣ</v>
      </c>
    </row>
    <row r="2121" spans="1:12" s="3" customFormat="1" ht="24" x14ac:dyDescent="0.25">
      <c r="A2121" s="3" t="str">
        <f t="shared" si="66"/>
        <v>ΕΛΑΙΩΝΕΣPIACENTE, ΓΙΑ ΠΑΡΑΓΩΓΗ ΕΠΙΤΡΑΠΕΖΙΑΣ</v>
      </c>
      <c r="B2121" s="4" t="s">
        <v>3545</v>
      </c>
      <c r="C2121" s="5" t="s">
        <v>3994</v>
      </c>
      <c r="D2121" s="6">
        <v>2736.21</v>
      </c>
      <c r="E2121" s="6">
        <v>3136.74</v>
      </c>
      <c r="F2121" s="7" t="s">
        <v>14</v>
      </c>
      <c r="G2121" s="8" t="s">
        <v>3995</v>
      </c>
      <c r="H2121" s="8" t="s">
        <v>16</v>
      </c>
      <c r="I2121" s="9">
        <v>879</v>
      </c>
      <c r="J2121" s="10">
        <v>15</v>
      </c>
      <c r="K2121" s="10">
        <v>2000216</v>
      </c>
      <c r="L2121" s="3" t="str">
        <f t="shared" si="67"/>
        <v>ΕΛΑΙΩΝΕΣ</v>
      </c>
    </row>
    <row r="2122" spans="1:12" s="3" customFormat="1" ht="24" x14ac:dyDescent="0.25">
      <c r="A2122" s="3" t="str">
        <f t="shared" si="66"/>
        <v>ΕΛΑΙΩΝΕΣDOLCE AGOCIA, ΓΙΑ ΠΑΡΑΓΩΓΗ ΕΠΙΤΡΑΠΕΖΙΑΣ</v>
      </c>
      <c r="B2122" s="4" t="s">
        <v>3545</v>
      </c>
      <c r="C2122" s="5" t="s">
        <v>3996</v>
      </c>
      <c r="D2122" s="6">
        <v>2736.21</v>
      </c>
      <c r="E2122" s="6">
        <v>3136.74</v>
      </c>
      <c r="F2122" s="7" t="s">
        <v>14</v>
      </c>
      <c r="G2122" s="8" t="s">
        <v>3997</v>
      </c>
      <c r="H2122" s="8" t="s">
        <v>16</v>
      </c>
      <c r="I2122" s="9">
        <v>878</v>
      </c>
      <c r="J2122" s="10">
        <v>15</v>
      </c>
      <c r="K2122" s="10">
        <v>2000217</v>
      </c>
      <c r="L2122" s="3" t="str">
        <f t="shared" si="67"/>
        <v>ΕΛΑΙΩΝΕΣ</v>
      </c>
    </row>
    <row r="2123" spans="1:12" s="3" customFormat="1" ht="24" x14ac:dyDescent="0.25">
      <c r="A2123" s="3" t="str">
        <f t="shared" si="66"/>
        <v>ΕΛΑΙΩΝΕΣHOJIBLANCA, ΓΙΑ ΠΑΡΑΓΩΓΗ ΕΠΙΤΡΑΠΕΖΙΑΣ</v>
      </c>
      <c r="B2123" s="4" t="s">
        <v>3545</v>
      </c>
      <c r="C2123" s="5" t="s">
        <v>3998</v>
      </c>
      <c r="D2123" s="6">
        <v>2736.21</v>
      </c>
      <c r="E2123" s="6">
        <v>3136.74</v>
      </c>
      <c r="F2123" s="7" t="s">
        <v>14</v>
      </c>
      <c r="G2123" s="8" t="s">
        <v>3999</v>
      </c>
      <c r="H2123" s="8" t="s">
        <v>16</v>
      </c>
      <c r="I2123" s="9">
        <v>877</v>
      </c>
      <c r="J2123" s="10">
        <v>15</v>
      </c>
      <c r="K2123" s="10">
        <v>2000218</v>
      </c>
      <c r="L2123" s="3" t="str">
        <f t="shared" si="67"/>
        <v>ΕΛΑΙΩΝΕΣ</v>
      </c>
    </row>
    <row r="2124" spans="1:12" s="3" customFormat="1" ht="24" x14ac:dyDescent="0.25">
      <c r="A2124" s="3" t="str">
        <f t="shared" si="66"/>
        <v>ΕΛΑΙΩΝΕΣCORATINA, ΓΙΑ ΠΑΡΑΓΩΓΗ ΕΠΙΤΡΑΠΕΖΙΑΣ</v>
      </c>
      <c r="B2124" s="4" t="s">
        <v>3545</v>
      </c>
      <c r="C2124" s="5" t="s">
        <v>4000</v>
      </c>
      <c r="D2124" s="6">
        <v>2736.21</v>
      </c>
      <c r="E2124" s="6">
        <v>3136.74</v>
      </c>
      <c r="F2124" s="7" t="s">
        <v>14</v>
      </c>
      <c r="G2124" s="8" t="s">
        <v>4001</v>
      </c>
      <c r="H2124" s="8" t="s">
        <v>16</v>
      </c>
      <c r="I2124" s="9">
        <v>876</v>
      </c>
      <c r="J2124" s="10">
        <v>15</v>
      </c>
      <c r="K2124" s="10">
        <v>2000219</v>
      </c>
      <c r="L2124" s="3" t="str">
        <f t="shared" si="67"/>
        <v>ΕΛΑΙΩΝΕΣ</v>
      </c>
    </row>
    <row r="2125" spans="1:12" s="3" customFormat="1" ht="24" x14ac:dyDescent="0.25">
      <c r="A2125" s="3" t="str">
        <f t="shared" si="66"/>
        <v>ΕΛΑΙΩΝΕΣNEGRAL, ΓΙΑ ΠΑΡΑΓΩΓΗ ΕΠΙΤΡΑΠΕΖΙΑΣ</v>
      </c>
      <c r="B2125" s="4" t="s">
        <v>3545</v>
      </c>
      <c r="C2125" s="5" t="s">
        <v>4002</v>
      </c>
      <c r="D2125" s="6">
        <v>2736.21</v>
      </c>
      <c r="E2125" s="6">
        <v>3136.74</v>
      </c>
      <c r="F2125" s="7" t="s">
        <v>14</v>
      </c>
      <c r="G2125" s="8" t="s">
        <v>4003</v>
      </c>
      <c r="H2125" s="8" t="s">
        <v>16</v>
      </c>
      <c r="I2125" s="9">
        <v>875</v>
      </c>
      <c r="J2125" s="10">
        <v>15</v>
      </c>
      <c r="K2125" s="10">
        <v>2000220</v>
      </c>
      <c r="L2125" s="3" t="str">
        <f t="shared" si="67"/>
        <v>ΕΛΑΙΩΝΕΣ</v>
      </c>
    </row>
    <row r="2126" spans="1:12" s="3" customFormat="1" ht="24" x14ac:dyDescent="0.25">
      <c r="A2126" s="3" t="str">
        <f t="shared" si="66"/>
        <v>ΕΛΑΙΩΝΕΣFARGA, ΓΙΑ ΠΑΡΑΓΩΓΗ ΕΠΙΤΡΑΠΕΖΙΑΣ</v>
      </c>
      <c r="B2126" s="4" t="s">
        <v>3545</v>
      </c>
      <c r="C2126" s="5" t="s">
        <v>4004</v>
      </c>
      <c r="D2126" s="6">
        <v>2736.21</v>
      </c>
      <c r="E2126" s="6">
        <v>3136.74</v>
      </c>
      <c r="F2126" s="7" t="s">
        <v>14</v>
      </c>
      <c r="G2126" s="8" t="s">
        <v>4005</v>
      </c>
      <c r="H2126" s="8" t="s">
        <v>16</v>
      </c>
      <c r="I2126" s="9">
        <v>874</v>
      </c>
      <c r="J2126" s="10">
        <v>15</v>
      </c>
      <c r="K2126" s="10">
        <v>2000221</v>
      </c>
      <c r="L2126" s="3" t="str">
        <f t="shared" si="67"/>
        <v>ΕΛΑΙΩΝΕΣ</v>
      </c>
    </row>
    <row r="2127" spans="1:12" s="3" customFormat="1" ht="24" x14ac:dyDescent="0.25">
      <c r="A2127" s="3" t="str">
        <f t="shared" si="66"/>
        <v>ΕΛΑΙΩΝΕΣNABAL, ΓΙΑ ΠΑΡΑΓΩΓΗ ΕΠΙΤΡΑΠΕΖΙΑΣ</v>
      </c>
      <c r="B2127" s="4" t="s">
        <v>3545</v>
      </c>
      <c r="C2127" s="5" t="s">
        <v>4006</v>
      </c>
      <c r="D2127" s="6">
        <v>2736.21</v>
      </c>
      <c r="E2127" s="6">
        <v>3136.74</v>
      </c>
      <c r="F2127" s="7" t="s">
        <v>14</v>
      </c>
      <c r="G2127" s="8" t="s">
        <v>4007</v>
      </c>
      <c r="H2127" s="8" t="s">
        <v>16</v>
      </c>
      <c r="I2127" s="9">
        <v>872</v>
      </c>
      <c r="J2127" s="10">
        <v>15</v>
      </c>
      <c r="K2127" s="10">
        <v>2000222</v>
      </c>
      <c r="L2127" s="3" t="str">
        <f t="shared" si="67"/>
        <v>ΕΛΑΙΩΝΕΣ</v>
      </c>
    </row>
    <row r="2128" spans="1:12" s="3" customFormat="1" ht="24" x14ac:dyDescent="0.25">
      <c r="A2128" s="3" t="str">
        <f t="shared" si="66"/>
        <v>ΕΛΑΙΩΝΕΣMORISCA, ΓΙΑ ΠΑΡΑΓΩΓΗ ΕΠΙΤΡΑΠΕΖΙΑΣ</v>
      </c>
      <c r="B2128" s="4" t="s">
        <v>3545</v>
      </c>
      <c r="C2128" s="5" t="s">
        <v>4008</v>
      </c>
      <c r="D2128" s="6">
        <v>2736.21</v>
      </c>
      <c r="E2128" s="6">
        <v>3136.74</v>
      </c>
      <c r="F2128" s="7" t="s">
        <v>14</v>
      </c>
      <c r="G2128" s="8" t="s">
        <v>4009</v>
      </c>
      <c r="H2128" s="8" t="s">
        <v>16</v>
      </c>
      <c r="I2128" s="9">
        <v>914</v>
      </c>
      <c r="J2128" s="10">
        <v>15</v>
      </c>
      <c r="K2128" s="10">
        <v>2000223</v>
      </c>
      <c r="L2128" s="3" t="str">
        <f t="shared" si="67"/>
        <v>ΕΛΑΙΩΝΕΣ</v>
      </c>
    </row>
    <row r="2129" spans="1:12" s="3" customFormat="1" ht="24" x14ac:dyDescent="0.25">
      <c r="A2129" s="3" t="str">
        <f t="shared" si="66"/>
        <v>ΕΛΑΙΩΝΕΣEMPELTRE, ΓΙΑ ΠΑΡΑΓΩΓΗ ΕΠΙΤΡΑΠΕΖΙΑΣ</v>
      </c>
      <c r="B2129" s="4" t="s">
        <v>3545</v>
      </c>
      <c r="C2129" s="5" t="s">
        <v>4010</v>
      </c>
      <c r="D2129" s="6">
        <v>2736.21</v>
      </c>
      <c r="E2129" s="6">
        <v>3136.74</v>
      </c>
      <c r="F2129" s="7" t="s">
        <v>14</v>
      </c>
      <c r="G2129" s="8" t="s">
        <v>4011</v>
      </c>
      <c r="H2129" s="8" t="s">
        <v>16</v>
      </c>
      <c r="I2129" s="9">
        <v>929</v>
      </c>
      <c r="J2129" s="10">
        <v>15</v>
      </c>
      <c r="K2129" s="10">
        <v>2000224</v>
      </c>
      <c r="L2129" s="3" t="str">
        <f t="shared" si="67"/>
        <v>ΕΛΑΙΩΝΕΣ</v>
      </c>
    </row>
    <row r="2130" spans="1:12" s="3" customFormat="1" ht="24" x14ac:dyDescent="0.25">
      <c r="A2130" s="3" t="str">
        <f t="shared" si="66"/>
        <v>ΕΛΑΙΩΝΕΣCASALIVA, ΓΙΑ ΠΑΡΑΓΩΓΗ ΕΠΙΤΡΑΠΕΖΙΑΣ</v>
      </c>
      <c r="B2130" s="4" t="s">
        <v>3545</v>
      </c>
      <c r="C2130" s="5" t="s">
        <v>4012</v>
      </c>
      <c r="D2130" s="6">
        <v>2736.21</v>
      </c>
      <c r="E2130" s="6">
        <v>3136.74</v>
      </c>
      <c r="F2130" s="7" t="s">
        <v>14</v>
      </c>
      <c r="G2130" s="8" t="s">
        <v>4013</v>
      </c>
      <c r="H2130" s="8" t="s">
        <v>16</v>
      </c>
      <c r="I2130" s="9">
        <v>885</v>
      </c>
      <c r="J2130" s="10">
        <v>15</v>
      </c>
      <c r="K2130" s="10">
        <v>2000225</v>
      </c>
      <c r="L2130" s="3" t="str">
        <f t="shared" si="67"/>
        <v>ΕΛΑΙΩΝΕΣ</v>
      </c>
    </row>
    <row r="2131" spans="1:12" s="3" customFormat="1" ht="24" x14ac:dyDescent="0.25">
      <c r="A2131" s="3" t="str">
        <f t="shared" si="66"/>
        <v>ΕΛΑΙΩΝΕΣLEUCOCARPA, ΓΙΑ ΠΑΡΑΓΩΓΗ ΕΠΙΤΡΑΠΕΖΙΑΣ</v>
      </c>
      <c r="B2131" s="4" t="s">
        <v>3545</v>
      </c>
      <c r="C2131" s="5" t="s">
        <v>4014</v>
      </c>
      <c r="D2131" s="6">
        <v>2736.21</v>
      </c>
      <c r="E2131" s="6">
        <v>3136.74</v>
      </c>
      <c r="F2131" s="7" t="s">
        <v>14</v>
      </c>
      <c r="G2131" s="8" t="s">
        <v>4015</v>
      </c>
      <c r="H2131" s="8" t="s">
        <v>16</v>
      </c>
      <c r="I2131" s="9">
        <v>917</v>
      </c>
      <c r="J2131" s="10">
        <v>15</v>
      </c>
      <c r="K2131" s="10">
        <v>2000226</v>
      </c>
      <c r="L2131" s="3" t="str">
        <f t="shared" si="67"/>
        <v>ΕΛΑΙΩΝΕΣ</v>
      </c>
    </row>
    <row r="2132" spans="1:12" s="3" customFormat="1" ht="24" x14ac:dyDescent="0.25">
      <c r="A2132" s="3" t="str">
        <f t="shared" si="66"/>
        <v>ΕΛΑΙΩΝΕΣCORNEZUELO, ΓΙΑ ΠΑΡΑΓΩΓΗ ΕΠΙΤΡΑΠΕΖΙΑΣ</v>
      </c>
      <c r="B2132" s="4" t="s">
        <v>3545</v>
      </c>
      <c r="C2132" s="5" t="s">
        <v>4016</v>
      </c>
      <c r="D2132" s="6">
        <v>2736.21</v>
      </c>
      <c r="E2132" s="6">
        <v>3136.74</v>
      </c>
      <c r="F2132" s="7" t="s">
        <v>14</v>
      </c>
      <c r="G2132" s="8" t="s">
        <v>4017</v>
      </c>
      <c r="H2132" s="8" t="s">
        <v>16</v>
      </c>
      <c r="I2132" s="9">
        <v>918</v>
      </c>
      <c r="J2132" s="10">
        <v>15</v>
      </c>
      <c r="K2132" s="10">
        <v>2000227</v>
      </c>
      <c r="L2132" s="3" t="str">
        <f t="shared" si="67"/>
        <v>ΕΛΑΙΩΝΕΣ</v>
      </c>
    </row>
    <row r="2133" spans="1:12" s="3" customFormat="1" ht="24" x14ac:dyDescent="0.25">
      <c r="A2133" s="3" t="str">
        <f t="shared" si="66"/>
        <v>ΕΛΑΙΩΝΕΣRAZZOLA, ΓΙΑ ΠΑΡΑΓΩΓΗ ΕΠΙΤΡΑΠΕΖΙΑΣ</v>
      </c>
      <c r="B2133" s="4" t="s">
        <v>3545</v>
      </c>
      <c r="C2133" s="5" t="s">
        <v>4018</v>
      </c>
      <c r="D2133" s="6">
        <v>2736.21</v>
      </c>
      <c r="E2133" s="6">
        <v>3136.74</v>
      </c>
      <c r="F2133" s="7" t="s">
        <v>14</v>
      </c>
      <c r="G2133" s="8" t="s">
        <v>4019</v>
      </c>
      <c r="H2133" s="8" t="s">
        <v>16</v>
      </c>
      <c r="I2133" s="9">
        <v>919</v>
      </c>
      <c r="J2133" s="10">
        <v>15</v>
      </c>
      <c r="K2133" s="10">
        <v>2000228</v>
      </c>
      <c r="L2133" s="3" t="str">
        <f t="shared" si="67"/>
        <v>ΕΛΑΙΩΝΕΣ</v>
      </c>
    </row>
    <row r="2134" spans="1:12" s="3" customFormat="1" ht="24" x14ac:dyDescent="0.25">
      <c r="A2134" s="3" t="str">
        <f t="shared" si="66"/>
        <v>ΕΛΑΙΩΝΕΣFECCIARO, ΓΙΑ ΠΑΡΑΓΩΓΗ ΕΠΙΤΡΑΠΕΖΙΑΣ</v>
      </c>
      <c r="B2134" s="4" t="s">
        <v>3545</v>
      </c>
      <c r="C2134" s="5" t="s">
        <v>4020</v>
      </c>
      <c r="D2134" s="6">
        <v>2736.21</v>
      </c>
      <c r="E2134" s="6">
        <v>3136.74</v>
      </c>
      <c r="F2134" s="7" t="s">
        <v>14</v>
      </c>
      <c r="G2134" s="8" t="s">
        <v>4021</v>
      </c>
      <c r="H2134" s="8" t="s">
        <v>16</v>
      </c>
      <c r="I2134" s="9">
        <v>920</v>
      </c>
      <c r="J2134" s="10">
        <v>15</v>
      </c>
      <c r="K2134" s="10">
        <v>2000229</v>
      </c>
      <c r="L2134" s="3" t="str">
        <f t="shared" si="67"/>
        <v>ΕΛΑΙΩΝΕΣ</v>
      </c>
    </row>
    <row r="2135" spans="1:12" s="3" customFormat="1" ht="24" x14ac:dyDescent="0.25">
      <c r="A2135" s="3" t="str">
        <f t="shared" si="66"/>
        <v>ΕΛΑΙΩΝΕΣCUCCO, ΓΙΑ ΠΑΡΑΓΩΓΗ ΕΠΙΤΡΑΠΕΖΙΑΣ</v>
      </c>
      <c r="B2135" s="4" t="s">
        <v>3545</v>
      </c>
      <c r="C2135" s="5" t="s">
        <v>4022</v>
      </c>
      <c r="D2135" s="6">
        <v>2736.21</v>
      </c>
      <c r="E2135" s="6">
        <v>3136.74</v>
      </c>
      <c r="F2135" s="7" t="s">
        <v>14</v>
      </c>
      <c r="G2135" s="8" t="s">
        <v>4023</v>
      </c>
      <c r="H2135" s="8" t="s">
        <v>16</v>
      </c>
      <c r="I2135" s="9">
        <v>930</v>
      </c>
      <c r="J2135" s="10">
        <v>15</v>
      </c>
      <c r="K2135" s="10">
        <v>2000230</v>
      </c>
      <c r="L2135" s="3" t="str">
        <f t="shared" si="67"/>
        <v>ΕΛΑΙΩΝΕΣ</v>
      </c>
    </row>
    <row r="2136" spans="1:12" s="3" customFormat="1" ht="24" x14ac:dyDescent="0.25">
      <c r="A2136" s="3" t="str">
        <f t="shared" si="66"/>
        <v>ΕΛΑΙΩΝΕΣMAURINO, ΓΙΑ ΠΑΡΑΓΩΓΗ ΕΠΙΤΡΑΠΕΖΙΑΣ</v>
      </c>
      <c r="B2136" s="4" t="s">
        <v>3545</v>
      </c>
      <c r="C2136" s="5" t="s">
        <v>4024</v>
      </c>
      <c r="D2136" s="6">
        <v>2736.21</v>
      </c>
      <c r="E2136" s="6">
        <v>3136.74</v>
      </c>
      <c r="F2136" s="7" t="s">
        <v>14</v>
      </c>
      <c r="G2136" s="8" t="s">
        <v>4025</v>
      </c>
      <c r="H2136" s="8" t="s">
        <v>16</v>
      </c>
      <c r="I2136" s="9">
        <v>922</v>
      </c>
      <c r="J2136" s="10">
        <v>15</v>
      </c>
      <c r="K2136" s="10">
        <v>2000231</v>
      </c>
      <c r="L2136" s="3" t="str">
        <f t="shared" si="67"/>
        <v>ΕΛΑΙΩΝΕΣ</v>
      </c>
    </row>
    <row r="2137" spans="1:12" s="3" customFormat="1" ht="31.5" x14ac:dyDescent="0.25">
      <c r="A2137" s="3" t="str">
        <f t="shared" si="66"/>
        <v>ΕΛΑΙΩΝΕΣΘΙΑΚΗ (ΑΝΩ ΗΣΑΝΑ, ΘΙΑΚΟ, ΠΛΕΞΙΔΕΝΙΑ, ΝΤΟΠΙΑ), ΓΙΑ ΠΑΡΑΓΩΓΗ ΕΠΙΤΡΑΠΕΖΙΑΣ</v>
      </c>
      <c r="B2137" s="4" t="s">
        <v>3545</v>
      </c>
      <c r="C2137" s="5" t="s">
        <v>4026</v>
      </c>
      <c r="D2137" s="6">
        <v>2736.21</v>
      </c>
      <c r="E2137" s="6">
        <v>3136.74</v>
      </c>
      <c r="F2137" s="7" t="s">
        <v>14</v>
      </c>
      <c r="G2137" s="8" t="s">
        <v>4027</v>
      </c>
      <c r="H2137" s="8" t="s">
        <v>16</v>
      </c>
      <c r="I2137" s="9">
        <v>915</v>
      </c>
      <c r="J2137" s="10">
        <v>15</v>
      </c>
      <c r="K2137" s="10">
        <v>2000589</v>
      </c>
      <c r="L2137" s="3" t="str">
        <f t="shared" si="67"/>
        <v>ΕΛΑΙΩΝΕΣ</v>
      </c>
    </row>
    <row r="2138" spans="1:12" s="3" customFormat="1" ht="24" x14ac:dyDescent="0.25">
      <c r="A2138" s="3" t="str">
        <f t="shared" si="66"/>
        <v>ΕΛΑΙΩΝΕΣΑΓΙΟΡΙΤΙΚΗ, ΓΙΑ ΠΑΡΑΓΩΓΗ ΕΠΙΤΡΑΠΕΖΙΑΣ</v>
      </c>
      <c r="B2138" s="4" t="s">
        <v>3545</v>
      </c>
      <c r="C2138" s="5" t="s">
        <v>4028</v>
      </c>
      <c r="D2138" s="6">
        <v>2736.21</v>
      </c>
      <c r="E2138" s="6">
        <v>3136.74</v>
      </c>
      <c r="F2138" s="7" t="s">
        <v>14</v>
      </c>
      <c r="G2138" s="8" t="s">
        <v>4029</v>
      </c>
      <c r="H2138" s="8" t="s">
        <v>16</v>
      </c>
      <c r="I2138" s="9">
        <v>924</v>
      </c>
      <c r="J2138" s="10">
        <v>15</v>
      </c>
      <c r="K2138" s="10">
        <v>2000648</v>
      </c>
      <c r="L2138" s="3" t="str">
        <f t="shared" si="67"/>
        <v>ΕΛΑΙΩΝΕΣ</v>
      </c>
    </row>
    <row r="2139" spans="1:12" s="3" customFormat="1" ht="24" x14ac:dyDescent="0.25">
      <c r="A2139" s="3" t="str">
        <f t="shared" si="66"/>
        <v>ΕΛΑΙΩΝΕΣBLANQUETA, ΓΙΑ ΠΑΡΑΓΩΓΗ ΕΠΙΤΡΑΠΕΖΙΑΣ</v>
      </c>
      <c r="B2139" s="4" t="s">
        <v>3545</v>
      </c>
      <c r="C2139" s="5" t="s">
        <v>4030</v>
      </c>
      <c r="D2139" s="6">
        <v>2736.21</v>
      </c>
      <c r="E2139" s="6">
        <v>3136.74</v>
      </c>
      <c r="F2139" s="7" t="s">
        <v>14</v>
      </c>
      <c r="G2139" s="8" t="s">
        <v>4031</v>
      </c>
      <c r="H2139" s="8" t="s">
        <v>16</v>
      </c>
      <c r="I2139" s="9">
        <v>925</v>
      </c>
      <c r="J2139" s="10">
        <v>15</v>
      </c>
      <c r="K2139" s="10">
        <v>2000649</v>
      </c>
      <c r="L2139" s="3" t="str">
        <f t="shared" si="67"/>
        <v>ΕΛΑΙΩΝΕΣ</v>
      </c>
    </row>
    <row r="2140" spans="1:12" s="3" customFormat="1" ht="31.5" x14ac:dyDescent="0.25">
      <c r="A2140" s="3" t="str">
        <f t="shared" si="66"/>
        <v>ΕΛΑΙΩΝΕΣBLANQUETA DE ELVAS, ΓΙΑ ΠΑΡΑΓΩΓΗ ΕΠΙΤΡΑΠΕΖΙΑΣ</v>
      </c>
      <c r="B2140" s="4" t="s">
        <v>3545</v>
      </c>
      <c r="C2140" s="5" t="s">
        <v>4032</v>
      </c>
      <c r="D2140" s="6">
        <v>2736.21</v>
      </c>
      <c r="E2140" s="6">
        <v>3136.74</v>
      </c>
      <c r="F2140" s="7" t="s">
        <v>14</v>
      </c>
      <c r="G2140" s="8" t="s">
        <v>4033</v>
      </c>
      <c r="H2140" s="8" t="s">
        <v>16</v>
      </c>
      <c r="I2140" s="9">
        <v>926</v>
      </c>
      <c r="J2140" s="10">
        <v>15</v>
      </c>
      <c r="K2140" s="10">
        <v>2000650</v>
      </c>
      <c r="L2140" s="3" t="str">
        <f t="shared" si="67"/>
        <v>ΕΛΑΙΩΝΕΣ</v>
      </c>
    </row>
    <row r="2141" spans="1:12" s="3" customFormat="1" ht="24" x14ac:dyDescent="0.25">
      <c r="A2141" s="3" t="str">
        <f t="shared" si="66"/>
        <v>ΕΛΑΙΩΝΕΣBOUTEILLAN, ΓΙΑ ΠΑΡΑΓΩΓΗ ΕΠΙΤΡΑΠΕΖΙΑΣ</v>
      </c>
      <c r="B2141" s="4" t="s">
        <v>3545</v>
      </c>
      <c r="C2141" s="5" t="s">
        <v>4034</v>
      </c>
      <c r="D2141" s="6">
        <v>2736.21</v>
      </c>
      <c r="E2141" s="6">
        <v>3136.74</v>
      </c>
      <c r="F2141" s="7" t="s">
        <v>14</v>
      </c>
      <c r="G2141" s="8" t="s">
        <v>4035</v>
      </c>
      <c r="H2141" s="8" t="s">
        <v>16</v>
      </c>
      <c r="I2141" s="9">
        <v>927</v>
      </c>
      <c r="J2141" s="10">
        <v>15</v>
      </c>
      <c r="K2141" s="10">
        <v>2000651</v>
      </c>
      <c r="L2141" s="3" t="str">
        <f t="shared" si="67"/>
        <v>ΕΛΑΙΩΝΕΣ</v>
      </c>
    </row>
    <row r="2142" spans="1:12" s="3" customFormat="1" ht="24" x14ac:dyDescent="0.25">
      <c r="A2142" s="3" t="str">
        <f t="shared" si="66"/>
        <v>ΕΛΑΙΩΝΕΣΓΑΛΑΤΣΑΝΙΚΗ, ΓΙΑ ΠΑΡΑΓΩΓΗ ΕΠΙΤΡΑΠΕΖΙΑΣ</v>
      </c>
      <c r="B2142" s="4" t="s">
        <v>3545</v>
      </c>
      <c r="C2142" s="5" t="s">
        <v>4036</v>
      </c>
      <c r="D2142" s="6">
        <v>2736.21</v>
      </c>
      <c r="E2142" s="6">
        <v>3136.74</v>
      </c>
      <c r="F2142" s="7" t="s">
        <v>14</v>
      </c>
      <c r="G2142" s="8" t="s">
        <v>4037</v>
      </c>
      <c r="H2142" s="8" t="s">
        <v>16</v>
      </c>
      <c r="I2142" s="9">
        <v>928</v>
      </c>
      <c r="J2142" s="10">
        <v>15</v>
      </c>
      <c r="K2142" s="10">
        <v>2000652</v>
      </c>
      <c r="L2142" s="3" t="str">
        <f t="shared" si="67"/>
        <v>ΕΛΑΙΩΝΕΣ</v>
      </c>
    </row>
    <row r="2143" spans="1:12" s="3" customFormat="1" ht="24" x14ac:dyDescent="0.25">
      <c r="A2143" s="3" t="str">
        <f t="shared" si="66"/>
        <v>ΕΛΑΙΩΝΕΣΖΑΚΥΝΘΟΥ, ΓΙΑ ΠΑΡΑΓΩΓΗ ΕΠΙΤΡΑΠΕΖΙΑΣ</v>
      </c>
      <c r="B2143" s="4" t="s">
        <v>3545</v>
      </c>
      <c r="C2143" s="5" t="s">
        <v>4038</v>
      </c>
      <c r="D2143" s="6">
        <v>2736.21</v>
      </c>
      <c r="E2143" s="6">
        <v>3136.74</v>
      </c>
      <c r="F2143" s="7" t="s">
        <v>14</v>
      </c>
      <c r="G2143" s="8" t="s">
        <v>4039</v>
      </c>
      <c r="H2143" s="8" t="s">
        <v>16</v>
      </c>
      <c r="I2143" s="9">
        <v>900</v>
      </c>
      <c r="J2143" s="10">
        <v>15</v>
      </c>
      <c r="K2143" s="10">
        <v>2000653</v>
      </c>
      <c r="L2143" s="3" t="str">
        <f t="shared" si="67"/>
        <v>ΕΛΑΙΩΝΕΣ</v>
      </c>
    </row>
    <row r="2144" spans="1:12" s="3" customFormat="1" ht="24" x14ac:dyDescent="0.25">
      <c r="A2144" s="3" t="str">
        <f t="shared" si="66"/>
        <v>ΕΛΑΙΩΝΕΣFRANCIVENTO, ΓΙΑ ΠΑΡΑΓΩΓΗ ΕΠΙΤΡΑΠΕΖΙΑΣ</v>
      </c>
      <c r="B2144" s="4" t="s">
        <v>3545</v>
      </c>
      <c r="C2144" s="5" t="s">
        <v>4040</v>
      </c>
      <c r="D2144" s="6">
        <v>2736.21</v>
      </c>
      <c r="E2144" s="6">
        <v>3136.74</v>
      </c>
      <c r="F2144" s="7" t="s">
        <v>14</v>
      </c>
      <c r="G2144" s="8" t="s">
        <v>4041</v>
      </c>
      <c r="H2144" s="8" t="s">
        <v>16</v>
      </c>
      <c r="I2144" s="9">
        <v>923</v>
      </c>
      <c r="J2144" s="10">
        <v>15</v>
      </c>
      <c r="K2144" s="10">
        <v>2000654</v>
      </c>
      <c r="L2144" s="3" t="str">
        <f t="shared" si="67"/>
        <v>ΕΛΑΙΩΝΕΣ</v>
      </c>
    </row>
    <row r="2145" spans="1:12" s="3" customFormat="1" ht="24" x14ac:dyDescent="0.25">
      <c r="A2145" s="3" t="str">
        <f t="shared" si="66"/>
        <v>ΕΛΑΙΩΝΕΣGORDAL SEVILLANA, ΓΙΑ ΠΑΡΑΓΩΓΗ ΕΠΙΤΡΑΠΕΖΙΑΣ</v>
      </c>
      <c r="B2145" s="4" t="s">
        <v>3545</v>
      </c>
      <c r="C2145" s="5" t="s">
        <v>4042</v>
      </c>
      <c r="D2145" s="6">
        <v>2736.21</v>
      </c>
      <c r="E2145" s="6">
        <v>3136.74</v>
      </c>
      <c r="F2145" s="7" t="s">
        <v>14</v>
      </c>
      <c r="G2145" s="8" t="s">
        <v>4043</v>
      </c>
      <c r="H2145" s="8" t="s">
        <v>16</v>
      </c>
      <c r="I2145" s="9">
        <v>921</v>
      </c>
      <c r="J2145" s="10">
        <v>15</v>
      </c>
      <c r="K2145" s="10">
        <v>2000655</v>
      </c>
      <c r="L2145" s="3" t="str">
        <f t="shared" si="67"/>
        <v>ΕΛΑΙΩΝΕΣ</v>
      </c>
    </row>
    <row r="2146" spans="1:12" s="3" customFormat="1" ht="24" x14ac:dyDescent="0.25">
      <c r="A2146" s="3" t="str">
        <f t="shared" si="66"/>
        <v>ΕΛΑΙΩΝΕΣGRAPPOLO, ΓΙΑ ΠΑΡΑΓΩΓΗ ΕΠΙΤΡΑΠΕΖΙΑΣ</v>
      </c>
      <c r="B2146" s="4" t="s">
        <v>3545</v>
      </c>
      <c r="C2146" s="5" t="s">
        <v>4044</v>
      </c>
      <c r="D2146" s="6">
        <v>2736.21</v>
      </c>
      <c r="E2146" s="6">
        <v>3136.74</v>
      </c>
      <c r="F2146" s="7" t="s">
        <v>14</v>
      </c>
      <c r="G2146" s="8" t="s">
        <v>4045</v>
      </c>
      <c r="H2146" s="8" t="s">
        <v>16</v>
      </c>
      <c r="I2146" s="9">
        <v>913</v>
      </c>
      <c r="J2146" s="10">
        <v>15</v>
      </c>
      <c r="K2146" s="10">
        <v>2000656</v>
      </c>
      <c r="L2146" s="3" t="str">
        <f t="shared" si="67"/>
        <v>ΕΛΑΙΩΝΕΣ</v>
      </c>
    </row>
    <row r="2147" spans="1:12" s="3" customFormat="1" ht="24" x14ac:dyDescent="0.25">
      <c r="A2147" s="3" t="str">
        <f t="shared" si="66"/>
        <v>ΕΛΑΙΩΝΕΣLECHIO DEL CORNO, ΓΙΑ ΠΑΡΑΓΩΓΗ ΕΠΙΤΡΑΠΕΖΙΑΣ</v>
      </c>
      <c r="B2147" s="4" t="s">
        <v>3545</v>
      </c>
      <c r="C2147" s="5" t="s">
        <v>4046</v>
      </c>
      <c r="D2147" s="6">
        <v>2736.21</v>
      </c>
      <c r="E2147" s="6">
        <v>3136.74</v>
      </c>
      <c r="F2147" s="7" t="s">
        <v>14</v>
      </c>
      <c r="G2147" s="8" t="s">
        <v>4047</v>
      </c>
      <c r="H2147" s="8" t="s">
        <v>16</v>
      </c>
      <c r="I2147" s="9">
        <v>912</v>
      </c>
      <c r="J2147" s="10">
        <v>15</v>
      </c>
      <c r="K2147" s="10">
        <v>2000657</v>
      </c>
      <c r="L2147" s="3" t="str">
        <f t="shared" si="67"/>
        <v>ΕΛΑΙΩΝΕΣ</v>
      </c>
    </row>
    <row r="2148" spans="1:12" s="3" customFormat="1" ht="24" x14ac:dyDescent="0.25">
      <c r="A2148" s="3" t="str">
        <f t="shared" si="66"/>
        <v>ΕΛΑΙΩΝΕΣΛΕΥΚΑΔΑΣ ΑΣΠΡΟΛΙΑ, ΓΙΑ ΠΑΡΑΓΩΓΗ ΕΠΙΤΡΑΠΕΖΙΑΣ</v>
      </c>
      <c r="B2148" s="4" t="s">
        <v>3545</v>
      </c>
      <c r="C2148" s="5" t="s">
        <v>4048</v>
      </c>
      <c r="D2148" s="6">
        <v>2736.21</v>
      </c>
      <c r="E2148" s="6">
        <v>3136.74</v>
      </c>
      <c r="F2148" s="7" t="s">
        <v>14</v>
      </c>
      <c r="G2148" s="8" t="s">
        <v>4049</v>
      </c>
      <c r="H2148" s="8" t="s">
        <v>16</v>
      </c>
      <c r="I2148" s="9">
        <v>911</v>
      </c>
      <c r="J2148" s="10">
        <v>15</v>
      </c>
      <c r="K2148" s="10">
        <v>2000658</v>
      </c>
      <c r="L2148" s="3" t="str">
        <f t="shared" si="67"/>
        <v>ΕΛΑΙΩΝΕΣ</v>
      </c>
    </row>
    <row r="2149" spans="1:12" s="3" customFormat="1" ht="31.5" x14ac:dyDescent="0.25">
      <c r="A2149" s="3" t="str">
        <f t="shared" si="66"/>
        <v>ΕΛΑΙΩΝΕΣMANZANILLA DE CARMONA, ΓΙΑ ΠΑΡΑΓΩΓΗ ΕΠΙΤΡΑΠΕΖΙΑΣ</v>
      </c>
      <c r="B2149" s="4" t="s">
        <v>3545</v>
      </c>
      <c r="C2149" s="5" t="s">
        <v>4050</v>
      </c>
      <c r="D2149" s="6">
        <v>2736.21</v>
      </c>
      <c r="E2149" s="6">
        <v>3136.74</v>
      </c>
      <c r="F2149" s="7" t="s">
        <v>14</v>
      </c>
      <c r="G2149" s="8" t="s">
        <v>4051</v>
      </c>
      <c r="H2149" s="8" t="s">
        <v>16</v>
      </c>
      <c r="I2149" s="9">
        <v>910</v>
      </c>
      <c r="J2149" s="10">
        <v>15</v>
      </c>
      <c r="K2149" s="10">
        <v>2000659</v>
      </c>
      <c r="L2149" s="3" t="str">
        <f t="shared" si="67"/>
        <v>ΕΛΑΙΩΝΕΣ</v>
      </c>
    </row>
    <row r="2150" spans="1:12" s="3" customFormat="1" ht="24" x14ac:dyDescent="0.25">
      <c r="A2150" s="3" t="str">
        <f t="shared" si="66"/>
        <v>ΕΛΑΙΩΝΕΣMANZANILLA ISR., ΓΙΑ ΠΑΡΑΓΩΓΗ ΕΠΙΤΡΑΠΕΖΙΑΣ</v>
      </c>
      <c r="B2150" s="4" t="s">
        <v>3545</v>
      </c>
      <c r="C2150" s="5" t="s">
        <v>4052</v>
      </c>
      <c r="D2150" s="6">
        <v>2736.21</v>
      </c>
      <c r="E2150" s="6">
        <v>3136.74</v>
      </c>
      <c r="F2150" s="7" t="s">
        <v>14</v>
      </c>
      <c r="G2150" s="8" t="s">
        <v>4053</v>
      </c>
      <c r="H2150" s="8" t="s">
        <v>16</v>
      </c>
      <c r="I2150" s="9">
        <v>909</v>
      </c>
      <c r="J2150" s="10">
        <v>15</v>
      </c>
      <c r="K2150" s="10">
        <v>2000660</v>
      </c>
      <c r="L2150" s="3" t="str">
        <f t="shared" si="67"/>
        <v>ΕΛΑΙΩΝΕΣ</v>
      </c>
    </row>
    <row r="2151" spans="1:12" s="3" customFormat="1" ht="31.5" x14ac:dyDescent="0.25">
      <c r="A2151" s="3" t="str">
        <f t="shared" si="66"/>
        <v>ΕΛΑΙΩΝΕΣMANZANILLA NORMAL, ΓΙΑ ΠΑΡΑΓΩΓΗ ΕΠΙΤΡΑΠΕΖΙΑΣ</v>
      </c>
      <c r="B2151" s="4" t="s">
        <v>3545</v>
      </c>
      <c r="C2151" s="5" t="s">
        <v>4054</v>
      </c>
      <c r="D2151" s="6">
        <v>2736.21</v>
      </c>
      <c r="E2151" s="6">
        <v>3136.74</v>
      </c>
      <c r="F2151" s="7" t="s">
        <v>14</v>
      </c>
      <c r="G2151" s="8" t="s">
        <v>4055</v>
      </c>
      <c r="H2151" s="8" t="s">
        <v>16</v>
      </c>
      <c r="I2151" s="9">
        <v>908</v>
      </c>
      <c r="J2151" s="10">
        <v>15</v>
      </c>
      <c r="K2151" s="10">
        <v>2000661</v>
      </c>
      <c r="L2151" s="3" t="str">
        <f t="shared" si="67"/>
        <v>ΕΛΑΙΩΝΕΣ</v>
      </c>
    </row>
    <row r="2152" spans="1:12" s="3" customFormat="1" ht="24" x14ac:dyDescent="0.25">
      <c r="A2152" s="3" t="str">
        <f t="shared" si="66"/>
        <v>ΕΛΑΙΩΝΕΣMAROCAN PICHOLINE, ΓΙΑ ΠΑΡΑΓΩΓΗ ΕΠΙΤΡΑΠΕΖΙΑΣ</v>
      </c>
      <c r="B2152" s="4" t="s">
        <v>3545</v>
      </c>
      <c r="C2152" s="5" t="s">
        <v>4056</v>
      </c>
      <c r="D2152" s="6">
        <v>2736.21</v>
      </c>
      <c r="E2152" s="6">
        <v>3136.74</v>
      </c>
      <c r="F2152" s="7" t="s">
        <v>14</v>
      </c>
      <c r="G2152" s="8" t="s">
        <v>4057</v>
      </c>
      <c r="H2152" s="8" t="s">
        <v>16</v>
      </c>
      <c r="I2152" s="9">
        <v>907</v>
      </c>
      <c r="J2152" s="10">
        <v>15</v>
      </c>
      <c r="K2152" s="10">
        <v>2000662</v>
      </c>
      <c r="L2152" s="3" t="str">
        <f t="shared" si="67"/>
        <v>ΕΛΑΙΩΝΕΣ</v>
      </c>
    </row>
    <row r="2153" spans="1:12" s="3" customFormat="1" ht="24" x14ac:dyDescent="0.25">
      <c r="A2153" s="3" t="str">
        <f t="shared" si="66"/>
        <v>ΕΛΑΙΩΝΕΣΜΑΡΩΝΕΙΑΣ, ΓΙΑ ΠΑΡΑΓΩΓΗ ΕΠΙΤΡΑΠΕΖΙΑΣ</v>
      </c>
      <c r="B2153" s="4" t="s">
        <v>3545</v>
      </c>
      <c r="C2153" s="5" t="s">
        <v>4058</v>
      </c>
      <c r="D2153" s="6">
        <v>2736.21</v>
      </c>
      <c r="E2153" s="6">
        <v>3136.74</v>
      </c>
      <c r="F2153" s="7" t="s">
        <v>14</v>
      </c>
      <c r="G2153" s="8" t="s">
        <v>4059</v>
      </c>
      <c r="H2153" s="8" t="s">
        <v>16</v>
      </c>
      <c r="I2153" s="9">
        <v>906</v>
      </c>
      <c r="J2153" s="10">
        <v>15</v>
      </c>
      <c r="K2153" s="10">
        <v>2000663</v>
      </c>
      <c r="L2153" s="3" t="str">
        <f t="shared" si="67"/>
        <v>ΕΛΑΙΩΝΕΣ</v>
      </c>
    </row>
    <row r="2154" spans="1:12" s="3" customFormat="1" ht="24" x14ac:dyDescent="0.25">
      <c r="A2154" s="3" t="str">
        <f t="shared" si="66"/>
        <v>ΕΛΑΙΩΝΕΣMERHAVIA, ΓΙΑ ΠΑΡΑΓΩΓΗ ΕΠΙΤΡΑΠΕΖΙΑΣ</v>
      </c>
      <c r="B2154" s="4" t="s">
        <v>3545</v>
      </c>
      <c r="C2154" s="5" t="s">
        <v>4060</v>
      </c>
      <c r="D2154" s="6">
        <v>2736.21</v>
      </c>
      <c r="E2154" s="6">
        <v>3136.74</v>
      </c>
      <c r="F2154" s="7" t="s">
        <v>14</v>
      </c>
      <c r="G2154" s="8" t="s">
        <v>4061</v>
      </c>
      <c r="H2154" s="8" t="s">
        <v>16</v>
      </c>
      <c r="I2154" s="9">
        <v>905</v>
      </c>
      <c r="J2154" s="10">
        <v>15</v>
      </c>
      <c r="K2154" s="10">
        <v>2000664</v>
      </c>
      <c r="L2154" s="3" t="str">
        <f t="shared" si="67"/>
        <v>ΕΛΑΙΩΝΕΣ</v>
      </c>
    </row>
    <row r="2155" spans="1:12" s="3" customFormat="1" ht="24" x14ac:dyDescent="0.25">
      <c r="A2155" s="3" t="str">
        <f t="shared" si="66"/>
        <v>ΕΛΑΙΩΝΕΣNASUICHI, ΓΙΑ ΠΑΡΑΓΩΓΗ ΕΠΙΤΡΑΠΕΖΙΑΣ</v>
      </c>
      <c r="B2155" s="4" t="s">
        <v>3545</v>
      </c>
      <c r="C2155" s="5" t="s">
        <v>4062</v>
      </c>
      <c r="D2155" s="6">
        <v>2736.21</v>
      </c>
      <c r="E2155" s="6">
        <v>3136.74</v>
      </c>
      <c r="F2155" s="7" t="s">
        <v>14</v>
      </c>
      <c r="G2155" s="8" t="s">
        <v>4063</v>
      </c>
      <c r="H2155" s="8" t="s">
        <v>16</v>
      </c>
      <c r="I2155" s="9">
        <v>904</v>
      </c>
      <c r="J2155" s="10">
        <v>15</v>
      </c>
      <c r="K2155" s="10">
        <v>2000665</v>
      </c>
      <c r="L2155" s="3" t="str">
        <f t="shared" si="67"/>
        <v>ΕΛΑΙΩΝΕΣ</v>
      </c>
    </row>
    <row r="2156" spans="1:12" s="3" customFormat="1" ht="24" x14ac:dyDescent="0.25">
      <c r="A2156" s="3" t="str">
        <f t="shared" si="66"/>
        <v>ΕΛΑΙΩΝΕΣNEVADILLO BLANCO, ΓΙΑ ΠΑΡΑΓΩΓΗ ΕΠΙΤΡΑΠΕΖΙΑΣ</v>
      </c>
      <c r="B2156" s="4" t="s">
        <v>3545</v>
      </c>
      <c r="C2156" s="5" t="s">
        <v>4064</v>
      </c>
      <c r="D2156" s="6">
        <v>2736.21</v>
      </c>
      <c r="E2156" s="6">
        <v>3136.74</v>
      </c>
      <c r="F2156" s="7" t="s">
        <v>14</v>
      </c>
      <c r="G2156" s="8" t="s">
        <v>4065</v>
      </c>
      <c r="H2156" s="8" t="s">
        <v>16</v>
      </c>
      <c r="I2156" s="9">
        <v>903</v>
      </c>
      <c r="J2156" s="10">
        <v>15</v>
      </c>
      <c r="K2156" s="10">
        <v>2000666</v>
      </c>
      <c r="L2156" s="3" t="str">
        <f t="shared" si="67"/>
        <v>ΕΛΑΙΩΝΕΣ</v>
      </c>
    </row>
    <row r="2157" spans="1:12" s="3" customFormat="1" ht="24" x14ac:dyDescent="0.25">
      <c r="A2157" s="3" t="str">
        <f t="shared" si="66"/>
        <v>ΕΛΑΙΩΝΕΣNEVADILLO NEGRO, ΓΙΑ ΠΑΡΑΓΩΓΗ ΕΠΙΤΡΑΠΕΖΙΑΣ</v>
      </c>
      <c r="B2157" s="4" t="s">
        <v>3545</v>
      </c>
      <c r="C2157" s="5" t="s">
        <v>4066</v>
      </c>
      <c r="D2157" s="6">
        <v>2736.21</v>
      </c>
      <c r="E2157" s="6">
        <v>3136.74</v>
      </c>
      <c r="F2157" s="7" t="s">
        <v>14</v>
      </c>
      <c r="G2157" s="8" t="s">
        <v>4067</v>
      </c>
      <c r="H2157" s="8" t="s">
        <v>16</v>
      </c>
      <c r="I2157" s="9">
        <v>902</v>
      </c>
      <c r="J2157" s="10">
        <v>15</v>
      </c>
      <c r="K2157" s="10">
        <v>2000667</v>
      </c>
      <c r="L2157" s="3" t="str">
        <f t="shared" si="67"/>
        <v>ΕΛΑΙΩΝΕΣ</v>
      </c>
    </row>
    <row r="2158" spans="1:12" s="3" customFormat="1" ht="24" x14ac:dyDescent="0.25">
      <c r="A2158" s="3" t="str">
        <f t="shared" si="66"/>
        <v>ΕΛΑΙΩΝΕΣOLIVA DE CERIGNOLA, ΓΙΑ ΠΑΡΑΓΩΓΗ ΕΠΙΤΡΑΠΕΖΙΑΣ</v>
      </c>
      <c r="B2158" s="4" t="s">
        <v>3545</v>
      </c>
      <c r="C2158" s="5" t="s">
        <v>4068</v>
      </c>
      <c r="D2158" s="6">
        <v>2736.21</v>
      </c>
      <c r="E2158" s="6">
        <v>3136.74</v>
      </c>
      <c r="F2158" s="7" t="s">
        <v>14</v>
      </c>
      <c r="G2158" s="8" t="s">
        <v>4069</v>
      </c>
      <c r="H2158" s="8" t="s">
        <v>16</v>
      </c>
      <c r="I2158" s="9">
        <v>901</v>
      </c>
      <c r="J2158" s="10">
        <v>15</v>
      </c>
      <c r="K2158" s="10">
        <v>2000668</v>
      </c>
      <c r="L2158" s="3" t="str">
        <f t="shared" si="67"/>
        <v>ΕΛΑΙΩΝΕΣ</v>
      </c>
    </row>
    <row r="2159" spans="1:12" s="3" customFormat="1" ht="24" x14ac:dyDescent="0.25">
      <c r="A2159" s="3" t="str">
        <f t="shared" si="66"/>
        <v>ΕΛΑΙΩΝΕΣPENDOLINO, ΓΙΑ ΠΑΡΑΓΩΓΗ ΕΠΙΤΡΑΠΕΖΙΑΣ</v>
      </c>
      <c r="B2159" s="4" t="s">
        <v>3545</v>
      </c>
      <c r="C2159" s="5" t="s">
        <v>4070</v>
      </c>
      <c r="D2159" s="6">
        <v>2736.21</v>
      </c>
      <c r="E2159" s="6">
        <v>3136.74</v>
      </c>
      <c r="F2159" s="7" t="s">
        <v>14</v>
      </c>
      <c r="G2159" s="8" t="s">
        <v>4071</v>
      </c>
      <c r="H2159" s="8" t="s">
        <v>16</v>
      </c>
      <c r="I2159" s="9">
        <v>883</v>
      </c>
      <c r="J2159" s="10">
        <v>15</v>
      </c>
      <c r="K2159" s="10">
        <v>2000669</v>
      </c>
      <c r="L2159" s="3" t="str">
        <f t="shared" si="67"/>
        <v>ΕΛΑΙΩΝΕΣ</v>
      </c>
    </row>
    <row r="2160" spans="1:12" s="3" customFormat="1" ht="24" x14ac:dyDescent="0.25">
      <c r="A2160" s="3" t="str">
        <f t="shared" si="66"/>
        <v>ΕΛΑΙΩΝΕΣΡΑΧΑΤΗ, ΓΙΑ ΠΑΡΑΓΩΓΗ ΕΠΙΤΡΑΠΕΖΙΑΣ</v>
      </c>
      <c r="B2160" s="4" t="s">
        <v>3545</v>
      </c>
      <c r="C2160" s="5" t="s">
        <v>4072</v>
      </c>
      <c r="D2160" s="6">
        <v>2736.21</v>
      </c>
      <c r="E2160" s="6">
        <v>3136.74</v>
      </c>
      <c r="F2160" s="7" t="s">
        <v>14</v>
      </c>
      <c r="G2160" s="8" t="s">
        <v>4073</v>
      </c>
      <c r="H2160" s="8" t="s">
        <v>16</v>
      </c>
      <c r="I2160" s="9">
        <v>955</v>
      </c>
      <c r="J2160" s="10">
        <v>15</v>
      </c>
      <c r="K2160" s="10">
        <v>2000670</v>
      </c>
      <c r="L2160" s="3" t="str">
        <f t="shared" si="67"/>
        <v>ΕΛΑΙΩΝΕΣ</v>
      </c>
    </row>
    <row r="2161" spans="1:12" s="3" customFormat="1" ht="24" x14ac:dyDescent="0.25">
      <c r="A2161" s="3" t="str">
        <f t="shared" si="66"/>
        <v>ΕΛΑΙΩΝΕΣREAL SEVILLANA, ΓΙΑ ΠΑΡΑΓΩΓΗ ΕΠΙΤΡΑΠΕΖΙΑΣ</v>
      </c>
      <c r="B2161" s="4" t="s">
        <v>3545</v>
      </c>
      <c r="C2161" s="5" t="s">
        <v>4074</v>
      </c>
      <c r="D2161" s="6">
        <v>2736.21</v>
      </c>
      <c r="E2161" s="6">
        <v>3136.74</v>
      </c>
      <c r="F2161" s="7" t="s">
        <v>14</v>
      </c>
      <c r="G2161" s="8" t="s">
        <v>4075</v>
      </c>
      <c r="H2161" s="8" t="s">
        <v>16</v>
      </c>
      <c r="I2161" s="9">
        <v>836</v>
      </c>
      <c r="J2161" s="10">
        <v>15</v>
      </c>
      <c r="K2161" s="10">
        <v>2000671</v>
      </c>
      <c r="L2161" s="3" t="str">
        <f t="shared" si="67"/>
        <v>ΕΛΑΙΩΝΕΣ</v>
      </c>
    </row>
    <row r="2162" spans="1:12" s="3" customFormat="1" ht="24" x14ac:dyDescent="0.25">
      <c r="A2162" s="3" t="str">
        <f t="shared" si="66"/>
        <v>ΕΛΑΙΩΝΕΣΡΟΒΙΩΝ (ΠΡΑΣΙΝΗ), ΓΙΑ ΠΑΡΑΓΩΓΗ ΕΠΙΤΡΑΠΕΖΙΑΣ</v>
      </c>
      <c r="B2162" s="4" t="s">
        <v>3545</v>
      </c>
      <c r="C2162" s="5" t="s">
        <v>4076</v>
      </c>
      <c r="D2162" s="6">
        <v>2736.21</v>
      </c>
      <c r="E2162" s="6">
        <v>3136.74</v>
      </c>
      <c r="F2162" s="7" t="s">
        <v>14</v>
      </c>
      <c r="G2162" s="8" t="s">
        <v>4077</v>
      </c>
      <c r="H2162" s="8" t="s">
        <v>16</v>
      </c>
      <c r="I2162" s="9">
        <v>1130</v>
      </c>
      <c r="J2162" s="10">
        <v>15</v>
      </c>
      <c r="K2162" s="10">
        <v>2000672</v>
      </c>
      <c r="L2162" s="3" t="str">
        <f t="shared" si="67"/>
        <v>ΕΛΑΙΩΝΕΣ</v>
      </c>
    </row>
    <row r="2163" spans="1:12" s="3" customFormat="1" ht="24" x14ac:dyDescent="0.25">
      <c r="A2163" s="3" t="str">
        <f t="shared" si="66"/>
        <v>ΕΛΑΙΩΝΕΣROSCIOLA, ΓΙΑ ΠΑΡΑΓΩΓΗ ΕΠΙΤΡΑΠΕΖΙΑΣ</v>
      </c>
      <c r="B2163" s="4" t="s">
        <v>3545</v>
      </c>
      <c r="C2163" s="5" t="s">
        <v>4078</v>
      </c>
      <c r="D2163" s="6">
        <v>2736.21</v>
      </c>
      <c r="E2163" s="6">
        <v>3136.74</v>
      </c>
      <c r="F2163" s="7" t="s">
        <v>14</v>
      </c>
      <c r="G2163" s="8" t="s">
        <v>4079</v>
      </c>
      <c r="H2163" s="8" t="s">
        <v>16</v>
      </c>
      <c r="I2163" s="9">
        <v>834</v>
      </c>
      <c r="J2163" s="10">
        <v>15</v>
      </c>
      <c r="K2163" s="10">
        <v>2000673</v>
      </c>
      <c r="L2163" s="3" t="str">
        <f t="shared" si="67"/>
        <v>ΕΛΑΙΩΝΕΣ</v>
      </c>
    </row>
    <row r="2164" spans="1:12" s="3" customFormat="1" ht="24" x14ac:dyDescent="0.25">
      <c r="A2164" s="3" t="str">
        <f t="shared" si="66"/>
        <v>ΕΛΑΙΩΝΕΣSDE ELIAO, ΓΙΑ ΠΑΡΑΓΩΓΗ ΕΠΙΤΡΑΠΕΖΙΑΣ</v>
      </c>
      <c r="B2164" s="4" t="s">
        <v>3545</v>
      </c>
      <c r="C2164" s="5" t="s">
        <v>4080</v>
      </c>
      <c r="D2164" s="6">
        <v>2736.21</v>
      </c>
      <c r="E2164" s="6">
        <v>3136.74</v>
      </c>
      <c r="F2164" s="7" t="s">
        <v>14</v>
      </c>
      <c r="G2164" s="8" t="s">
        <v>4081</v>
      </c>
      <c r="H2164" s="8" t="s">
        <v>16</v>
      </c>
      <c r="I2164" s="9">
        <v>815</v>
      </c>
      <c r="J2164" s="10">
        <v>15</v>
      </c>
      <c r="K2164" s="10">
        <v>2000674</v>
      </c>
      <c r="L2164" s="3" t="str">
        <f t="shared" si="67"/>
        <v>ΕΛΑΙΩΝΕΣ</v>
      </c>
    </row>
    <row r="2165" spans="1:12" s="3" customFormat="1" ht="24" x14ac:dyDescent="0.25">
      <c r="A2165" s="3" t="str">
        <f t="shared" si="66"/>
        <v>ΕΛΑΙΩΝΕΣSORANI, ΓΙΑ ΠΑΡΑΓΩΓΗ ΕΠΙΤΡΑΠΕΖΙΑΣ</v>
      </c>
      <c r="B2165" s="4" t="s">
        <v>3545</v>
      </c>
      <c r="C2165" s="5" t="s">
        <v>4082</v>
      </c>
      <c r="D2165" s="6">
        <v>2736.21</v>
      </c>
      <c r="E2165" s="6">
        <v>3136.74</v>
      </c>
      <c r="F2165" s="7" t="s">
        <v>14</v>
      </c>
      <c r="G2165" s="8" t="s">
        <v>4083</v>
      </c>
      <c r="H2165" s="8" t="s">
        <v>16</v>
      </c>
      <c r="I2165" s="9">
        <v>814</v>
      </c>
      <c r="J2165" s="10">
        <v>15</v>
      </c>
      <c r="K2165" s="10">
        <v>2000675</v>
      </c>
      <c r="L2165" s="3" t="str">
        <f t="shared" si="67"/>
        <v>ΕΛΑΙΩΝΕΣ</v>
      </c>
    </row>
    <row r="2166" spans="1:12" s="3" customFormat="1" ht="31.5" x14ac:dyDescent="0.25">
      <c r="A2166" s="3" t="str">
        <f t="shared" si="66"/>
        <v>ΕΛΑΙΩΝΕΣTEMPIANILLO LUCENA, ΓΙΑ ΠΑΡΑΓΩΓΗ ΕΠΙΤΡΑΠΕΖΙΑΣ</v>
      </c>
      <c r="B2166" s="4" t="s">
        <v>3545</v>
      </c>
      <c r="C2166" s="5" t="s">
        <v>4084</v>
      </c>
      <c r="D2166" s="6">
        <v>2736.21</v>
      </c>
      <c r="E2166" s="6">
        <v>3136.74</v>
      </c>
      <c r="F2166" s="7" t="s">
        <v>14</v>
      </c>
      <c r="G2166" s="8" t="s">
        <v>4085</v>
      </c>
      <c r="H2166" s="8" t="s">
        <v>16</v>
      </c>
      <c r="I2166" s="9">
        <v>813</v>
      </c>
      <c r="J2166" s="10">
        <v>15</v>
      </c>
      <c r="K2166" s="10">
        <v>2000676</v>
      </c>
      <c r="L2166" s="3" t="str">
        <f t="shared" si="67"/>
        <v>ΕΛΑΙΩΝΕΣ</v>
      </c>
    </row>
    <row r="2167" spans="1:12" s="3" customFormat="1" ht="24" x14ac:dyDescent="0.25">
      <c r="A2167" s="3" t="str">
        <f t="shared" si="66"/>
        <v>ΕΛΑΙΩΝΕΣZORZALENO, ΓΙΑ ΠΑΡΑΓΩΓΗ ΕΠΙΤΡΑΠΕΖΙΑΣ</v>
      </c>
      <c r="B2167" s="4" t="s">
        <v>3545</v>
      </c>
      <c r="C2167" s="5" t="s">
        <v>4086</v>
      </c>
      <c r="D2167" s="6">
        <v>2736.21</v>
      </c>
      <c r="E2167" s="6">
        <v>3136.74</v>
      </c>
      <c r="F2167" s="7" t="s">
        <v>14</v>
      </c>
      <c r="G2167" s="8" t="s">
        <v>4087</v>
      </c>
      <c r="H2167" s="8" t="s">
        <v>16</v>
      </c>
      <c r="I2167" s="9">
        <v>812</v>
      </c>
      <c r="J2167" s="10">
        <v>15</v>
      </c>
      <c r="K2167" s="10">
        <v>2000677</v>
      </c>
      <c r="L2167" s="3" t="str">
        <f t="shared" si="67"/>
        <v>ΕΛΑΙΩΝΕΣ</v>
      </c>
    </row>
    <row r="2168" spans="1:12" s="3" customFormat="1" ht="31.5" x14ac:dyDescent="0.25">
      <c r="A2168" s="3" t="str">
        <f t="shared" si="66"/>
        <v>ΕΛΑΙΩΝΕΣΕΛΑΙΩΝΕΣ ΓΙΑ ΠΑΡΑΓΩΓΗ ΕΠΙΤΡΑΠΕΖΙΑΣ ΕΛΙΑΣ - ΛΟΙΠΕΣ, ΓΙΑ ΠΑΡΑΓΩΓΗ ΕΠΙΤΡΑΠΕΖΙΑΣ</v>
      </c>
      <c r="B2168" s="4" t="s">
        <v>3545</v>
      </c>
      <c r="C2168" s="5" t="s">
        <v>4088</v>
      </c>
      <c r="D2168" s="6">
        <v>2736.21</v>
      </c>
      <c r="E2168" s="6">
        <v>3136.74</v>
      </c>
      <c r="F2168" s="7" t="s">
        <v>14</v>
      </c>
      <c r="G2168" s="8" t="s">
        <v>4089</v>
      </c>
      <c r="H2168" s="8" t="s">
        <v>16</v>
      </c>
      <c r="I2168" s="9">
        <v>853</v>
      </c>
      <c r="J2168" s="10">
        <v>15</v>
      </c>
      <c r="K2168" s="10">
        <v>2008190</v>
      </c>
      <c r="L2168" s="3" t="str">
        <f t="shared" si="67"/>
        <v>ΕΛΑΙΩΝΕΣ</v>
      </c>
    </row>
    <row r="2169" spans="1:12" s="3" customFormat="1" ht="24" x14ac:dyDescent="0.25">
      <c r="A2169" s="3" t="str">
        <f t="shared" si="66"/>
        <v>ΕΛΑΙΩΝΕΣΤΣΟΥΝΑΤΗ (ΜΑΤΣΟΛΗΑ, ΑΘΗΝΟΛΙΑ)</v>
      </c>
      <c r="B2169" s="4" t="s">
        <v>3545</v>
      </c>
      <c r="C2169" s="5" t="s">
        <v>4090</v>
      </c>
      <c r="D2169" s="6">
        <v>1821.1</v>
      </c>
      <c r="E2169" s="6">
        <v>1722.44</v>
      </c>
      <c r="F2169" s="7" t="s">
        <v>14</v>
      </c>
      <c r="G2169" s="8" t="s">
        <v>4091</v>
      </c>
      <c r="H2169" s="8" t="s">
        <v>16</v>
      </c>
      <c r="I2169" s="9">
        <v>1083</v>
      </c>
      <c r="J2169" s="10">
        <v>15</v>
      </c>
      <c r="K2169" s="10">
        <v>201</v>
      </c>
      <c r="L2169" s="3" t="str">
        <f t="shared" si="67"/>
        <v>ΕΛΑΙΩΝΕΣ</v>
      </c>
    </row>
    <row r="2170" spans="1:12" s="3" customFormat="1" x14ac:dyDescent="0.25">
      <c r="A2170" s="3" t="str">
        <f t="shared" si="66"/>
        <v>ΕΛΑΙΩΝΕΣFRANTOIO</v>
      </c>
      <c r="B2170" s="4" t="s">
        <v>3545</v>
      </c>
      <c r="C2170" s="5" t="s">
        <v>4092</v>
      </c>
      <c r="D2170" s="6">
        <v>1821.1</v>
      </c>
      <c r="E2170" s="6">
        <v>1722.44</v>
      </c>
      <c r="F2170" s="7" t="s">
        <v>14</v>
      </c>
      <c r="G2170" s="8" t="s">
        <v>4093</v>
      </c>
      <c r="H2170" s="8" t="s">
        <v>27</v>
      </c>
      <c r="I2170" s="9">
        <v>1071</v>
      </c>
      <c r="J2170" s="10">
        <v>15</v>
      </c>
      <c r="K2170" s="10">
        <v>202</v>
      </c>
      <c r="L2170" s="3" t="str">
        <f t="shared" si="67"/>
        <v>ΕΛΑΙΩΝΕΣ</v>
      </c>
    </row>
    <row r="2171" spans="1:12" s="3" customFormat="1" ht="24" x14ac:dyDescent="0.25">
      <c r="A2171" s="3" t="str">
        <f t="shared" si="66"/>
        <v>ΕΛΑΙΩΝΕΣΧΑΛΚΙΔΙΚΗΣ</v>
      </c>
      <c r="B2171" s="4" t="s">
        <v>3545</v>
      </c>
      <c r="C2171" s="5" t="s">
        <v>4094</v>
      </c>
      <c r="D2171" s="6">
        <v>1821.1</v>
      </c>
      <c r="E2171" s="6">
        <v>1722.44</v>
      </c>
      <c r="F2171" s="7" t="s">
        <v>14</v>
      </c>
      <c r="G2171" s="8" t="s">
        <v>4095</v>
      </c>
      <c r="H2171" s="8" t="s">
        <v>16</v>
      </c>
      <c r="I2171" s="9">
        <v>1060</v>
      </c>
      <c r="J2171" s="10">
        <v>15</v>
      </c>
      <c r="K2171" s="10">
        <v>203</v>
      </c>
      <c r="L2171" s="3" t="str">
        <f t="shared" si="67"/>
        <v>ΕΛΑΙΩΝΕΣ</v>
      </c>
    </row>
    <row r="2172" spans="1:12" s="3" customFormat="1" ht="24" x14ac:dyDescent="0.25">
      <c r="A2172" s="3" t="str">
        <f t="shared" si="66"/>
        <v>ΕΛΑΙΩΝΕΣΧΟΝΔΡΟΛΗΑ</v>
      </c>
      <c r="B2172" s="4" t="s">
        <v>3545</v>
      </c>
      <c r="C2172" s="5" t="s">
        <v>4096</v>
      </c>
      <c r="D2172" s="6">
        <v>1821.1</v>
      </c>
      <c r="E2172" s="6">
        <v>1722.44</v>
      </c>
      <c r="F2172" s="7" t="s">
        <v>14</v>
      </c>
      <c r="G2172" s="8" t="s">
        <v>4097</v>
      </c>
      <c r="H2172" s="8" t="s">
        <v>16</v>
      </c>
      <c r="I2172" s="9">
        <v>1073</v>
      </c>
      <c r="J2172" s="10">
        <v>15</v>
      </c>
      <c r="K2172" s="10">
        <v>204</v>
      </c>
      <c r="L2172" s="3" t="str">
        <f t="shared" si="67"/>
        <v>ΕΛΑΙΩΝΕΣ</v>
      </c>
    </row>
    <row r="2173" spans="1:12" s="3" customFormat="1" x14ac:dyDescent="0.25">
      <c r="A2173" s="3" t="str">
        <f t="shared" si="66"/>
        <v>ΕΛΑΙΩΝΕΣΧΟΝΔΡΟΛΗΑ ΧΑΛΚΙΔΙΚΗΣ</v>
      </c>
      <c r="B2173" s="4" t="s">
        <v>3545</v>
      </c>
      <c r="C2173" s="5" t="s">
        <v>4098</v>
      </c>
      <c r="D2173" s="6">
        <v>1821.1</v>
      </c>
      <c r="E2173" s="6">
        <v>1722.44</v>
      </c>
      <c r="F2173" s="7" t="s">
        <v>14</v>
      </c>
      <c r="G2173" s="8" t="s">
        <v>4099</v>
      </c>
      <c r="H2173" s="8" t="s">
        <v>27</v>
      </c>
      <c r="I2173" s="9">
        <v>1156</v>
      </c>
      <c r="J2173" s="10">
        <v>15</v>
      </c>
      <c r="K2173" s="10">
        <v>205</v>
      </c>
      <c r="L2173" s="3" t="str">
        <f t="shared" si="67"/>
        <v>ΕΛΑΙΩΝΕΣ</v>
      </c>
    </row>
    <row r="2174" spans="1:12" s="3" customFormat="1" x14ac:dyDescent="0.25">
      <c r="A2174" s="3" t="str">
        <f t="shared" si="66"/>
        <v>ΕΛΑΙΩΝΕΣΧΡΥΣΟΛΙΑ</v>
      </c>
      <c r="B2174" s="4" t="s">
        <v>3545</v>
      </c>
      <c r="C2174" s="5" t="s">
        <v>4100</v>
      </c>
      <c r="D2174" s="6">
        <v>1821.1</v>
      </c>
      <c r="E2174" s="6">
        <v>1722.44</v>
      </c>
      <c r="F2174" s="7" t="s">
        <v>14</v>
      </c>
      <c r="G2174" s="8" t="s">
        <v>4101</v>
      </c>
      <c r="H2174" s="8" t="s">
        <v>27</v>
      </c>
      <c r="I2174" s="9">
        <v>1074</v>
      </c>
      <c r="J2174" s="10">
        <v>15</v>
      </c>
      <c r="K2174" s="10">
        <v>206</v>
      </c>
      <c r="L2174" s="3" t="str">
        <f t="shared" si="67"/>
        <v>ΕΛΑΙΩΝΕΣ</v>
      </c>
    </row>
    <row r="2175" spans="1:12" s="3" customFormat="1" x14ac:dyDescent="0.25">
      <c r="A2175" s="3" t="str">
        <f t="shared" si="66"/>
        <v>ΕΛΑΙΩΝΕΣSEVILLANO</v>
      </c>
      <c r="B2175" s="4" t="s">
        <v>3545</v>
      </c>
      <c r="C2175" s="5" t="s">
        <v>4102</v>
      </c>
      <c r="D2175" s="6">
        <v>1821.1</v>
      </c>
      <c r="E2175" s="6">
        <v>1722.44</v>
      </c>
      <c r="F2175" s="7" t="s">
        <v>14</v>
      </c>
      <c r="G2175" s="8" t="s">
        <v>4103</v>
      </c>
      <c r="H2175" s="8" t="s">
        <v>27</v>
      </c>
      <c r="I2175" s="9">
        <v>1199</v>
      </c>
      <c r="J2175" s="10">
        <v>15</v>
      </c>
      <c r="K2175" s="10">
        <v>207</v>
      </c>
      <c r="L2175" s="3" t="str">
        <f t="shared" si="67"/>
        <v>ΕΛΑΙΩΝΕΣ</v>
      </c>
    </row>
    <row r="2176" spans="1:12" s="3" customFormat="1" x14ac:dyDescent="0.25">
      <c r="A2176" s="3" t="str">
        <f t="shared" si="66"/>
        <v>ΕΛΑΙΩΝΕΣOBLONCA</v>
      </c>
      <c r="B2176" s="4" t="s">
        <v>3545</v>
      </c>
      <c r="C2176" s="5" t="s">
        <v>4104</v>
      </c>
      <c r="D2176" s="6">
        <v>1821.1</v>
      </c>
      <c r="E2176" s="6">
        <v>1722.44</v>
      </c>
      <c r="F2176" s="7" t="s">
        <v>14</v>
      </c>
      <c r="G2176" s="8" t="s">
        <v>4105</v>
      </c>
      <c r="H2176" s="8" t="s">
        <v>27</v>
      </c>
      <c r="I2176" s="9">
        <v>1075</v>
      </c>
      <c r="J2176" s="10">
        <v>15</v>
      </c>
      <c r="K2176" s="10">
        <v>208</v>
      </c>
      <c r="L2176" s="3" t="str">
        <f t="shared" si="67"/>
        <v>ΕΛΑΙΩΝΕΣ</v>
      </c>
    </row>
    <row r="2177" spans="1:12" s="3" customFormat="1" x14ac:dyDescent="0.25">
      <c r="A2177" s="3" t="str">
        <f t="shared" si="66"/>
        <v>ΕΛΑΙΩΝΕΣKADESH</v>
      </c>
      <c r="B2177" s="4" t="s">
        <v>3545</v>
      </c>
      <c r="C2177" s="5" t="s">
        <v>4106</v>
      </c>
      <c r="D2177" s="6">
        <v>1821.1</v>
      </c>
      <c r="E2177" s="6">
        <v>1722.44</v>
      </c>
      <c r="F2177" s="7" t="s">
        <v>14</v>
      </c>
      <c r="G2177" s="8" t="s">
        <v>4107</v>
      </c>
      <c r="H2177" s="8" t="s">
        <v>27</v>
      </c>
      <c r="I2177" s="9">
        <v>1076</v>
      </c>
      <c r="J2177" s="10">
        <v>15</v>
      </c>
      <c r="K2177" s="10">
        <v>209</v>
      </c>
      <c r="L2177" s="3" t="str">
        <f t="shared" si="67"/>
        <v>ΕΛΑΙΩΝΕΣ</v>
      </c>
    </row>
    <row r="2178" spans="1:12" s="3" customFormat="1" x14ac:dyDescent="0.25">
      <c r="A2178" s="3" t="str">
        <f t="shared" si="66"/>
        <v>ΕΛΑΙΩΝΕΣSOYRI</v>
      </c>
      <c r="B2178" s="4" t="s">
        <v>3545</v>
      </c>
      <c r="C2178" s="5" t="s">
        <v>4108</v>
      </c>
      <c r="D2178" s="6">
        <v>1821.1</v>
      </c>
      <c r="E2178" s="6">
        <v>1722.44</v>
      </c>
      <c r="F2178" s="7" t="s">
        <v>14</v>
      </c>
      <c r="G2178" s="8" t="s">
        <v>4109</v>
      </c>
      <c r="H2178" s="8" t="s">
        <v>27</v>
      </c>
      <c r="I2178" s="9">
        <v>1077</v>
      </c>
      <c r="J2178" s="10">
        <v>15</v>
      </c>
      <c r="K2178" s="10">
        <v>210</v>
      </c>
      <c r="L2178" s="3" t="str">
        <f t="shared" si="67"/>
        <v>ΕΛΑΙΩΝΕΣ</v>
      </c>
    </row>
    <row r="2179" spans="1:12" s="3" customFormat="1" x14ac:dyDescent="0.25">
      <c r="A2179" s="3" t="str">
        <f t="shared" ref="A2179:A2242" si="68">_xlfn.CONCAT(B2179,C2179)</f>
        <v>ΕΛΑΙΩΝΕΣZARZARIEGA</v>
      </c>
      <c r="B2179" s="4" t="s">
        <v>3545</v>
      </c>
      <c r="C2179" s="5" t="s">
        <v>4110</v>
      </c>
      <c r="D2179" s="6">
        <v>1821.1</v>
      </c>
      <c r="E2179" s="6">
        <v>1722.44</v>
      </c>
      <c r="F2179" s="7" t="s">
        <v>14</v>
      </c>
      <c r="G2179" s="8" t="s">
        <v>4111</v>
      </c>
      <c r="H2179" s="8" t="s">
        <v>27</v>
      </c>
      <c r="I2179" s="9">
        <v>1078</v>
      </c>
      <c r="J2179" s="10">
        <v>15</v>
      </c>
      <c r="K2179" s="10">
        <v>211</v>
      </c>
      <c r="L2179" s="3" t="str">
        <f t="shared" ref="L2179:L2242" si="69">IFERROR(SUBSTITUTE(SUBSTITUTE(SUBSTITUTE(SUBSTITUTE(SUBSTITUTE(B2179, "-", "_"), " ", "_"), ",", ""), "(", ""), ")", ""), B2179)</f>
        <v>ΕΛΑΙΩΝΕΣ</v>
      </c>
    </row>
    <row r="2180" spans="1:12" s="3" customFormat="1" x14ac:dyDescent="0.25">
      <c r="A2180" s="3" t="str">
        <f t="shared" si="68"/>
        <v>ΕΛΑΙΩΝΕΣCORNICABRA</v>
      </c>
      <c r="B2180" s="4" t="s">
        <v>3545</v>
      </c>
      <c r="C2180" s="5" t="s">
        <v>4112</v>
      </c>
      <c r="D2180" s="6">
        <v>1821.1</v>
      </c>
      <c r="E2180" s="6">
        <v>1722.44</v>
      </c>
      <c r="F2180" s="7" t="s">
        <v>14</v>
      </c>
      <c r="G2180" s="8" t="s">
        <v>4113</v>
      </c>
      <c r="H2180" s="8" t="s">
        <v>27</v>
      </c>
      <c r="I2180" s="9">
        <v>1079</v>
      </c>
      <c r="J2180" s="10">
        <v>15</v>
      </c>
      <c r="K2180" s="10">
        <v>212</v>
      </c>
      <c r="L2180" s="3" t="str">
        <f t="shared" si="69"/>
        <v>ΕΛΑΙΩΝΕΣ</v>
      </c>
    </row>
    <row r="2181" spans="1:12" s="3" customFormat="1" x14ac:dyDescent="0.25">
      <c r="A2181" s="3" t="str">
        <f t="shared" si="68"/>
        <v>ΕΛΑΙΩΝΕΣECIJANO</v>
      </c>
      <c r="B2181" s="4" t="s">
        <v>3545</v>
      </c>
      <c r="C2181" s="5" t="s">
        <v>4114</v>
      </c>
      <c r="D2181" s="6">
        <v>1821.1</v>
      </c>
      <c r="E2181" s="6">
        <v>1722.44</v>
      </c>
      <c r="F2181" s="7" t="s">
        <v>14</v>
      </c>
      <c r="G2181" s="8" t="s">
        <v>4115</v>
      </c>
      <c r="H2181" s="8" t="s">
        <v>27</v>
      </c>
      <c r="I2181" s="9">
        <v>1080</v>
      </c>
      <c r="J2181" s="10">
        <v>15</v>
      </c>
      <c r="K2181" s="10">
        <v>213</v>
      </c>
      <c r="L2181" s="3" t="str">
        <f t="shared" si="69"/>
        <v>ΕΛΑΙΩΝΕΣ</v>
      </c>
    </row>
    <row r="2182" spans="1:12" s="3" customFormat="1" x14ac:dyDescent="0.25">
      <c r="A2182" s="3" t="str">
        <f t="shared" si="68"/>
        <v>ΕΛΑΙΩΝΕΣVERDIAL</v>
      </c>
      <c r="B2182" s="4" t="s">
        <v>3545</v>
      </c>
      <c r="C2182" s="5" t="s">
        <v>4116</v>
      </c>
      <c r="D2182" s="6">
        <v>1821.1</v>
      </c>
      <c r="E2182" s="6">
        <v>1722.44</v>
      </c>
      <c r="F2182" s="7" t="s">
        <v>14</v>
      </c>
      <c r="G2182" s="8" t="s">
        <v>4117</v>
      </c>
      <c r="H2182" s="8" t="s">
        <v>27</v>
      </c>
      <c r="I2182" s="9">
        <v>1081</v>
      </c>
      <c r="J2182" s="10">
        <v>15</v>
      </c>
      <c r="K2182" s="10">
        <v>214</v>
      </c>
      <c r="L2182" s="3" t="str">
        <f t="shared" si="69"/>
        <v>ΕΛΑΙΩΝΕΣ</v>
      </c>
    </row>
    <row r="2183" spans="1:12" s="3" customFormat="1" x14ac:dyDescent="0.25">
      <c r="A2183" s="3" t="str">
        <f t="shared" si="68"/>
        <v>ΕΛΑΙΩΝΕΣBAROUNI</v>
      </c>
      <c r="B2183" s="4" t="s">
        <v>3545</v>
      </c>
      <c r="C2183" s="5" t="s">
        <v>4118</v>
      </c>
      <c r="D2183" s="6">
        <v>1821.1</v>
      </c>
      <c r="E2183" s="6">
        <v>1722.44</v>
      </c>
      <c r="F2183" s="7" t="s">
        <v>14</v>
      </c>
      <c r="G2183" s="8" t="s">
        <v>4119</v>
      </c>
      <c r="H2183" s="8" t="s">
        <v>27</v>
      </c>
      <c r="I2183" s="9">
        <v>1119</v>
      </c>
      <c r="J2183" s="10">
        <v>15</v>
      </c>
      <c r="K2183" s="10">
        <v>215</v>
      </c>
      <c r="L2183" s="3" t="str">
        <f t="shared" si="69"/>
        <v>ΕΛΑΙΩΝΕΣ</v>
      </c>
    </row>
    <row r="2184" spans="1:12" s="3" customFormat="1" x14ac:dyDescent="0.25">
      <c r="A2184" s="3" t="str">
        <f t="shared" si="68"/>
        <v>ΕΛΑΙΩΝΕΣPIACENTE</v>
      </c>
      <c r="B2184" s="4" t="s">
        <v>3545</v>
      </c>
      <c r="C2184" s="5" t="s">
        <v>4120</v>
      </c>
      <c r="D2184" s="6">
        <v>1821.1</v>
      </c>
      <c r="E2184" s="6">
        <v>1722.44</v>
      </c>
      <c r="F2184" s="7" t="s">
        <v>14</v>
      </c>
      <c r="G2184" s="8" t="s">
        <v>4121</v>
      </c>
      <c r="H2184" s="8" t="s">
        <v>27</v>
      </c>
      <c r="I2184" s="9">
        <v>1070</v>
      </c>
      <c r="J2184" s="10">
        <v>15</v>
      </c>
      <c r="K2184" s="10">
        <v>216</v>
      </c>
      <c r="L2184" s="3" t="str">
        <f t="shared" si="69"/>
        <v>ΕΛΑΙΩΝΕΣ</v>
      </c>
    </row>
    <row r="2185" spans="1:12" s="3" customFormat="1" x14ac:dyDescent="0.25">
      <c r="A2185" s="3" t="str">
        <f t="shared" si="68"/>
        <v>ΕΛΑΙΩΝΕΣDOLCE AGOCIA</v>
      </c>
      <c r="B2185" s="4" t="s">
        <v>3545</v>
      </c>
      <c r="C2185" s="5" t="s">
        <v>4122</v>
      </c>
      <c r="D2185" s="6">
        <v>1821.1</v>
      </c>
      <c r="E2185" s="6">
        <v>1722.44</v>
      </c>
      <c r="F2185" s="7" t="s">
        <v>14</v>
      </c>
      <c r="G2185" s="8" t="s">
        <v>4123</v>
      </c>
      <c r="H2185" s="8" t="s">
        <v>27</v>
      </c>
      <c r="I2185" s="9">
        <v>1107</v>
      </c>
      <c r="J2185" s="10">
        <v>15</v>
      </c>
      <c r="K2185" s="10">
        <v>217</v>
      </c>
      <c r="L2185" s="3" t="str">
        <f t="shared" si="69"/>
        <v>ΕΛΑΙΩΝΕΣ</v>
      </c>
    </row>
    <row r="2186" spans="1:12" s="3" customFormat="1" x14ac:dyDescent="0.25">
      <c r="A2186" s="3" t="str">
        <f t="shared" si="68"/>
        <v>ΕΛΑΙΩΝΕΣHOJIBLANCA</v>
      </c>
      <c r="B2186" s="4" t="s">
        <v>3545</v>
      </c>
      <c r="C2186" s="5" t="s">
        <v>4124</v>
      </c>
      <c r="D2186" s="6">
        <v>1821.1</v>
      </c>
      <c r="E2186" s="6">
        <v>1722.44</v>
      </c>
      <c r="F2186" s="7" t="s">
        <v>14</v>
      </c>
      <c r="G2186" s="8" t="s">
        <v>4125</v>
      </c>
      <c r="H2186" s="8" t="s">
        <v>27</v>
      </c>
      <c r="I2186" s="9">
        <v>1134</v>
      </c>
      <c r="J2186" s="10">
        <v>15</v>
      </c>
      <c r="K2186" s="10">
        <v>218</v>
      </c>
      <c r="L2186" s="3" t="str">
        <f t="shared" si="69"/>
        <v>ΕΛΑΙΩΝΕΣ</v>
      </c>
    </row>
    <row r="2187" spans="1:12" s="3" customFormat="1" x14ac:dyDescent="0.25">
      <c r="A2187" s="3" t="str">
        <f t="shared" si="68"/>
        <v>ΕΛΑΙΩΝΕΣCORATINA</v>
      </c>
      <c r="B2187" s="4" t="s">
        <v>3545</v>
      </c>
      <c r="C2187" s="5" t="s">
        <v>4126</v>
      </c>
      <c r="D2187" s="6">
        <v>1821.1</v>
      </c>
      <c r="E2187" s="6">
        <v>1722.44</v>
      </c>
      <c r="F2187" s="7" t="s">
        <v>14</v>
      </c>
      <c r="G2187" s="8" t="s">
        <v>4127</v>
      </c>
      <c r="H2187" s="8" t="s">
        <v>27</v>
      </c>
      <c r="I2187" s="9">
        <v>1135</v>
      </c>
      <c r="J2187" s="10">
        <v>15</v>
      </c>
      <c r="K2187" s="10">
        <v>219</v>
      </c>
      <c r="L2187" s="3" t="str">
        <f t="shared" si="69"/>
        <v>ΕΛΑΙΩΝΕΣ</v>
      </c>
    </row>
    <row r="2188" spans="1:12" s="3" customFormat="1" x14ac:dyDescent="0.25">
      <c r="A2188" s="3" t="str">
        <f t="shared" si="68"/>
        <v>ΕΛΑΙΩΝΕΣNEGRAL</v>
      </c>
      <c r="B2188" s="4" t="s">
        <v>3545</v>
      </c>
      <c r="C2188" s="5" t="s">
        <v>4128</v>
      </c>
      <c r="D2188" s="6">
        <v>1821.1</v>
      </c>
      <c r="E2188" s="6">
        <v>1722.44</v>
      </c>
      <c r="F2188" s="7" t="s">
        <v>14</v>
      </c>
      <c r="G2188" s="8" t="s">
        <v>4129</v>
      </c>
      <c r="H2188" s="8" t="s">
        <v>27</v>
      </c>
      <c r="I2188" s="9">
        <v>1136</v>
      </c>
      <c r="J2188" s="10">
        <v>15</v>
      </c>
      <c r="K2188" s="10">
        <v>220</v>
      </c>
      <c r="L2188" s="3" t="str">
        <f t="shared" si="69"/>
        <v>ΕΛΑΙΩΝΕΣ</v>
      </c>
    </row>
    <row r="2189" spans="1:12" s="3" customFormat="1" x14ac:dyDescent="0.25">
      <c r="A2189" s="3" t="str">
        <f t="shared" si="68"/>
        <v>ΕΛΑΙΩΝΕΣFARGA</v>
      </c>
      <c r="B2189" s="4" t="s">
        <v>3545</v>
      </c>
      <c r="C2189" s="5" t="s">
        <v>4130</v>
      </c>
      <c r="D2189" s="6">
        <v>1821.1</v>
      </c>
      <c r="E2189" s="6">
        <v>1722.44</v>
      </c>
      <c r="F2189" s="7" t="s">
        <v>14</v>
      </c>
      <c r="G2189" s="8" t="s">
        <v>4131</v>
      </c>
      <c r="H2189" s="8" t="s">
        <v>27</v>
      </c>
      <c r="I2189" s="9">
        <v>1137</v>
      </c>
      <c r="J2189" s="10">
        <v>15</v>
      </c>
      <c r="K2189" s="10">
        <v>221</v>
      </c>
      <c r="L2189" s="3" t="str">
        <f t="shared" si="69"/>
        <v>ΕΛΑΙΩΝΕΣ</v>
      </c>
    </row>
    <row r="2190" spans="1:12" s="3" customFormat="1" x14ac:dyDescent="0.25">
      <c r="A2190" s="3" t="str">
        <f t="shared" si="68"/>
        <v>ΕΛΑΙΩΝΕΣNABAL</v>
      </c>
      <c r="B2190" s="4" t="s">
        <v>3545</v>
      </c>
      <c r="C2190" s="5" t="s">
        <v>4132</v>
      </c>
      <c r="D2190" s="6">
        <v>1821.1</v>
      </c>
      <c r="E2190" s="6">
        <v>1722.44</v>
      </c>
      <c r="F2190" s="7" t="s">
        <v>14</v>
      </c>
      <c r="G2190" s="8" t="s">
        <v>4133</v>
      </c>
      <c r="H2190" s="8" t="s">
        <v>27</v>
      </c>
      <c r="I2190" s="9">
        <v>1138</v>
      </c>
      <c r="J2190" s="10">
        <v>15</v>
      </c>
      <c r="K2190" s="10">
        <v>222</v>
      </c>
      <c r="L2190" s="3" t="str">
        <f t="shared" si="69"/>
        <v>ΕΛΑΙΩΝΕΣ</v>
      </c>
    </row>
    <row r="2191" spans="1:12" s="3" customFormat="1" x14ac:dyDescent="0.25">
      <c r="A2191" s="3" t="str">
        <f t="shared" si="68"/>
        <v>ΕΛΑΙΩΝΕΣMORISCA</v>
      </c>
      <c r="B2191" s="4" t="s">
        <v>3545</v>
      </c>
      <c r="C2191" s="5" t="s">
        <v>4134</v>
      </c>
      <c r="D2191" s="6">
        <v>1821.1</v>
      </c>
      <c r="E2191" s="6">
        <v>1722.44</v>
      </c>
      <c r="F2191" s="7" t="s">
        <v>14</v>
      </c>
      <c r="G2191" s="8" t="s">
        <v>4135</v>
      </c>
      <c r="H2191" s="8" t="s">
        <v>27</v>
      </c>
      <c r="I2191" s="9">
        <v>1139</v>
      </c>
      <c r="J2191" s="10">
        <v>15</v>
      </c>
      <c r="K2191" s="10">
        <v>223</v>
      </c>
      <c r="L2191" s="3" t="str">
        <f t="shared" si="69"/>
        <v>ΕΛΑΙΩΝΕΣ</v>
      </c>
    </row>
    <row r="2192" spans="1:12" s="3" customFormat="1" x14ac:dyDescent="0.25">
      <c r="A2192" s="3" t="str">
        <f t="shared" si="68"/>
        <v>ΕΛΑΙΩΝΕΣEMPELTRE</v>
      </c>
      <c r="B2192" s="4" t="s">
        <v>3545</v>
      </c>
      <c r="C2192" s="5" t="s">
        <v>4136</v>
      </c>
      <c r="D2192" s="6">
        <v>1821.1</v>
      </c>
      <c r="E2192" s="6">
        <v>1722.44</v>
      </c>
      <c r="F2192" s="7" t="s">
        <v>14</v>
      </c>
      <c r="G2192" s="8" t="s">
        <v>4137</v>
      </c>
      <c r="H2192" s="8" t="s">
        <v>27</v>
      </c>
      <c r="I2192" s="9">
        <v>1140</v>
      </c>
      <c r="J2192" s="10">
        <v>15</v>
      </c>
      <c r="K2192" s="10">
        <v>224</v>
      </c>
      <c r="L2192" s="3" t="str">
        <f t="shared" si="69"/>
        <v>ΕΛΑΙΩΝΕΣ</v>
      </c>
    </row>
    <row r="2193" spans="1:12" s="3" customFormat="1" x14ac:dyDescent="0.25">
      <c r="A2193" s="3" t="str">
        <f t="shared" si="68"/>
        <v>ΕΛΑΙΩΝΕΣCASALIVA</v>
      </c>
      <c r="B2193" s="4" t="s">
        <v>3545</v>
      </c>
      <c r="C2193" s="5" t="s">
        <v>4138</v>
      </c>
      <c r="D2193" s="6">
        <v>1821.1</v>
      </c>
      <c r="E2193" s="6">
        <v>1722.44</v>
      </c>
      <c r="F2193" s="7" t="s">
        <v>14</v>
      </c>
      <c r="G2193" s="8" t="s">
        <v>4139</v>
      </c>
      <c r="H2193" s="8" t="s">
        <v>27</v>
      </c>
      <c r="I2193" s="9">
        <v>1141</v>
      </c>
      <c r="J2193" s="10">
        <v>15</v>
      </c>
      <c r="K2193" s="10">
        <v>225</v>
      </c>
      <c r="L2193" s="3" t="str">
        <f t="shared" si="69"/>
        <v>ΕΛΑΙΩΝΕΣ</v>
      </c>
    </row>
    <row r="2194" spans="1:12" s="3" customFormat="1" x14ac:dyDescent="0.25">
      <c r="A2194" s="3" t="str">
        <f t="shared" si="68"/>
        <v>ΕΛΑΙΩΝΕΣLEUCOCARPA</v>
      </c>
      <c r="B2194" s="4" t="s">
        <v>3545</v>
      </c>
      <c r="C2194" s="5" t="s">
        <v>4140</v>
      </c>
      <c r="D2194" s="6">
        <v>1821.1</v>
      </c>
      <c r="E2194" s="6">
        <v>1722.44</v>
      </c>
      <c r="F2194" s="7" t="s">
        <v>14</v>
      </c>
      <c r="G2194" s="8" t="s">
        <v>4141</v>
      </c>
      <c r="H2194" s="8" t="s">
        <v>27</v>
      </c>
      <c r="I2194" s="9">
        <v>1142</v>
      </c>
      <c r="J2194" s="10">
        <v>15</v>
      </c>
      <c r="K2194" s="10">
        <v>226</v>
      </c>
      <c r="L2194" s="3" t="str">
        <f t="shared" si="69"/>
        <v>ΕΛΑΙΩΝΕΣ</v>
      </c>
    </row>
    <row r="2195" spans="1:12" s="3" customFormat="1" x14ac:dyDescent="0.25">
      <c r="A2195" s="3" t="str">
        <f t="shared" si="68"/>
        <v>ΕΛΑΙΩΝΕΣCORNEZUELO</v>
      </c>
      <c r="B2195" s="4" t="s">
        <v>3545</v>
      </c>
      <c r="C2195" s="5" t="s">
        <v>4142</v>
      </c>
      <c r="D2195" s="6">
        <v>1821.1</v>
      </c>
      <c r="E2195" s="6">
        <v>1722.44</v>
      </c>
      <c r="F2195" s="7" t="s">
        <v>14</v>
      </c>
      <c r="G2195" s="8" t="s">
        <v>4143</v>
      </c>
      <c r="H2195" s="8" t="s">
        <v>27</v>
      </c>
      <c r="I2195" s="9">
        <v>1143</v>
      </c>
      <c r="J2195" s="10">
        <v>15</v>
      </c>
      <c r="K2195" s="10">
        <v>227</v>
      </c>
      <c r="L2195" s="3" t="str">
        <f t="shared" si="69"/>
        <v>ΕΛΑΙΩΝΕΣ</v>
      </c>
    </row>
    <row r="2196" spans="1:12" s="3" customFormat="1" x14ac:dyDescent="0.25">
      <c r="A2196" s="3" t="str">
        <f t="shared" si="68"/>
        <v>ΕΛΑΙΩΝΕΣRAZZOLA</v>
      </c>
      <c r="B2196" s="4" t="s">
        <v>3545</v>
      </c>
      <c r="C2196" s="5" t="s">
        <v>4144</v>
      </c>
      <c r="D2196" s="6">
        <v>1821.1</v>
      </c>
      <c r="E2196" s="6">
        <v>1722.44</v>
      </c>
      <c r="F2196" s="7" t="s">
        <v>14</v>
      </c>
      <c r="G2196" s="8" t="s">
        <v>4145</v>
      </c>
      <c r="H2196" s="8" t="s">
        <v>27</v>
      </c>
      <c r="I2196" s="9">
        <v>1157</v>
      </c>
      <c r="J2196" s="10">
        <v>15</v>
      </c>
      <c r="K2196" s="10">
        <v>228</v>
      </c>
      <c r="L2196" s="3" t="str">
        <f t="shared" si="69"/>
        <v>ΕΛΑΙΩΝΕΣ</v>
      </c>
    </row>
    <row r="2197" spans="1:12" s="3" customFormat="1" x14ac:dyDescent="0.25">
      <c r="A2197" s="3" t="str">
        <f t="shared" si="68"/>
        <v>ΕΛΑΙΩΝΕΣFECCIARO</v>
      </c>
      <c r="B2197" s="4" t="s">
        <v>3545</v>
      </c>
      <c r="C2197" s="5" t="s">
        <v>4146</v>
      </c>
      <c r="D2197" s="6">
        <v>1821.1</v>
      </c>
      <c r="E2197" s="6">
        <v>1722.44</v>
      </c>
      <c r="F2197" s="7" t="s">
        <v>14</v>
      </c>
      <c r="G2197" s="8" t="s">
        <v>4147</v>
      </c>
      <c r="H2197" s="8" t="s">
        <v>27</v>
      </c>
      <c r="I2197" s="9">
        <v>1145</v>
      </c>
      <c r="J2197" s="10">
        <v>15</v>
      </c>
      <c r="K2197" s="10">
        <v>229</v>
      </c>
      <c r="L2197" s="3" t="str">
        <f t="shared" si="69"/>
        <v>ΕΛΑΙΩΝΕΣ</v>
      </c>
    </row>
    <row r="2198" spans="1:12" s="3" customFormat="1" x14ac:dyDescent="0.25">
      <c r="A2198" s="3" t="str">
        <f t="shared" si="68"/>
        <v>ΕΛΑΙΩΝΕΣCUCCO</v>
      </c>
      <c r="B2198" s="4" t="s">
        <v>3545</v>
      </c>
      <c r="C2198" s="5" t="s">
        <v>4148</v>
      </c>
      <c r="D2198" s="6">
        <v>1821.1</v>
      </c>
      <c r="E2198" s="6">
        <v>1722.44</v>
      </c>
      <c r="F2198" s="7" t="s">
        <v>14</v>
      </c>
      <c r="G2198" s="8" t="s">
        <v>4149</v>
      </c>
      <c r="H2198" s="8" t="s">
        <v>27</v>
      </c>
      <c r="I2198" s="9">
        <v>1133</v>
      </c>
      <c r="J2198" s="10">
        <v>15</v>
      </c>
      <c r="K2198" s="10">
        <v>230</v>
      </c>
      <c r="L2198" s="3" t="str">
        <f t="shared" si="69"/>
        <v>ΕΛΑΙΩΝΕΣ</v>
      </c>
    </row>
    <row r="2199" spans="1:12" s="3" customFormat="1" x14ac:dyDescent="0.25">
      <c r="A2199" s="3" t="str">
        <f t="shared" si="68"/>
        <v>ΕΛΑΙΩΝΕΣMAURINO</v>
      </c>
      <c r="B2199" s="4" t="s">
        <v>3545</v>
      </c>
      <c r="C2199" s="5" t="s">
        <v>4150</v>
      </c>
      <c r="D2199" s="6">
        <v>1821.1</v>
      </c>
      <c r="E2199" s="6">
        <v>1722.44</v>
      </c>
      <c r="F2199" s="7" t="s">
        <v>14</v>
      </c>
      <c r="G2199" s="8" t="s">
        <v>4151</v>
      </c>
      <c r="H2199" s="8" t="s">
        <v>27</v>
      </c>
      <c r="I2199" s="9">
        <v>1147</v>
      </c>
      <c r="J2199" s="10">
        <v>15</v>
      </c>
      <c r="K2199" s="10">
        <v>231</v>
      </c>
      <c r="L2199" s="3" t="str">
        <f t="shared" si="69"/>
        <v>ΕΛΑΙΩΝΕΣ</v>
      </c>
    </row>
    <row r="2200" spans="1:12" s="3" customFormat="1" ht="31.5" x14ac:dyDescent="0.25">
      <c r="A2200" s="3" t="str">
        <f t="shared" si="68"/>
        <v>ΕΛΑΙΩΝΕΣΑΜΦΙΣΣΗΣ (ΒΟΛΙΩΤΙΚΗ, ΠΗΛΙΟΥ, ΣΤΥΛΙΔΟΣ, ΑΓΡΙΝΙΟΥ), ΔΙΠΛΗΣ ΚΑΤΕΥΘΥΝΣΗΣ</v>
      </c>
      <c r="B2200" s="4" t="s">
        <v>3545</v>
      </c>
      <c r="C2200" s="5" t="s">
        <v>4152</v>
      </c>
      <c r="D2200" s="6">
        <v>2736.21</v>
      </c>
      <c r="E2200" s="6">
        <v>3136.74</v>
      </c>
      <c r="F2200" s="7" t="s">
        <v>14</v>
      </c>
      <c r="G2200" s="8" t="s">
        <v>4153</v>
      </c>
      <c r="H2200" s="8" t="s">
        <v>16</v>
      </c>
      <c r="I2200" s="9">
        <v>857</v>
      </c>
      <c r="J2200" s="10">
        <v>15</v>
      </c>
      <c r="K2200" s="10">
        <v>3000153</v>
      </c>
      <c r="L2200" s="3" t="str">
        <f t="shared" si="69"/>
        <v>ΕΛΑΙΩΝΕΣ</v>
      </c>
    </row>
    <row r="2201" spans="1:12" s="3" customFormat="1" ht="31.5" x14ac:dyDescent="0.25">
      <c r="A2201" s="3" t="str">
        <f t="shared" si="68"/>
        <v>ΕΛΑΙΩΝΕΣΑΜΥΓΔΑΛΟΛΗΑ (ΣΤΡΑΒΟΜΥΤΑ, ΚΟΥΡΟΜΥΤΑ), ΔΙΠΛΗΣ ΚΑΤΕΥΘΥΝΣΗΣ</v>
      </c>
      <c r="B2201" s="4" t="s">
        <v>3545</v>
      </c>
      <c r="C2201" s="5" t="s">
        <v>4154</v>
      </c>
      <c r="D2201" s="6">
        <v>2736.21</v>
      </c>
      <c r="E2201" s="6">
        <v>3136.74</v>
      </c>
      <c r="F2201" s="7" t="s">
        <v>14</v>
      </c>
      <c r="G2201" s="8" t="s">
        <v>4155</v>
      </c>
      <c r="H2201" s="8" t="s">
        <v>16</v>
      </c>
      <c r="I2201" s="9">
        <v>858</v>
      </c>
      <c r="J2201" s="10">
        <v>15</v>
      </c>
      <c r="K2201" s="10">
        <v>3000154</v>
      </c>
      <c r="L2201" s="3" t="str">
        <f t="shared" si="69"/>
        <v>ΕΛΑΙΩΝΕΣ</v>
      </c>
    </row>
    <row r="2202" spans="1:12" s="3" customFormat="1" ht="31.5" x14ac:dyDescent="0.25">
      <c r="A2202" s="3" t="str">
        <f t="shared" si="68"/>
        <v>ΕΛΑΙΩΝΕΣΑΔΡΑΜΥΤΤΙΝΗ (ΑΔΡΑΜΥΤΙΚΗ ΛΕΣΒΟΥ, ΑΙΒΑΛΙΩΤΙΚΗ,  ΦΡΑΓΚ), ΔΙΠΛΗΣ ΚΑΤΕΥΘΥΝΣΗΣ</v>
      </c>
      <c r="B2202" s="4" t="s">
        <v>3545</v>
      </c>
      <c r="C2202" s="5" t="s">
        <v>4156</v>
      </c>
      <c r="D2202" s="6">
        <v>2736.21</v>
      </c>
      <c r="E2202" s="6">
        <v>3136.74</v>
      </c>
      <c r="F2202" s="7" t="s">
        <v>14</v>
      </c>
      <c r="G2202" s="8" t="s">
        <v>4157</v>
      </c>
      <c r="H2202" s="8" t="s">
        <v>16</v>
      </c>
      <c r="I2202" s="9">
        <v>864</v>
      </c>
      <c r="J2202" s="10">
        <v>15</v>
      </c>
      <c r="K2202" s="10">
        <v>3000155</v>
      </c>
      <c r="L2202" s="3" t="str">
        <f t="shared" si="69"/>
        <v>ΕΛΑΙΩΝΕΣ</v>
      </c>
    </row>
    <row r="2203" spans="1:12" s="3" customFormat="1" ht="31.5" x14ac:dyDescent="0.25">
      <c r="A2203" s="3" t="str">
        <f t="shared" si="68"/>
        <v>ΕΛΑΙΩΝΕΣΑΓΟΥΡΟΜΑΝΑΚΟΛΙΑ (ΑΓΟΥΡΟΜΑΝΑΚΟ, ΑΓΟΥΡΟΜΑΝΑΚΙ), ΔΙΠΛΗΣ ΚΑΤΕΥΘΥΝΣΗΣ</v>
      </c>
      <c r="B2203" s="4" t="s">
        <v>3545</v>
      </c>
      <c r="C2203" s="5" t="s">
        <v>4158</v>
      </c>
      <c r="D2203" s="6">
        <v>2736.21</v>
      </c>
      <c r="E2203" s="6">
        <v>3136.74</v>
      </c>
      <c r="F2203" s="7" t="s">
        <v>14</v>
      </c>
      <c r="G2203" s="8" t="s">
        <v>4159</v>
      </c>
      <c r="H2203" s="8" t="s">
        <v>16</v>
      </c>
      <c r="I2203" s="9">
        <v>1041</v>
      </c>
      <c r="J2203" s="10">
        <v>15</v>
      </c>
      <c r="K2203" s="10">
        <v>3000156</v>
      </c>
      <c r="L2203" s="3" t="str">
        <f t="shared" si="69"/>
        <v>ΕΛΑΙΩΝΕΣ</v>
      </c>
    </row>
    <row r="2204" spans="1:12" s="3" customFormat="1" ht="31.5" x14ac:dyDescent="0.25">
      <c r="A2204" s="3" t="str">
        <f t="shared" si="68"/>
        <v>ΕΛΑΙΩΝΕΣARBEQUINE (ARBEQUINA, ARBEQUIN), ΔΙΠΛΗΣ ΚΑΤΕΥΘΥΝΣΗΣ</v>
      </c>
      <c r="B2204" s="4" t="s">
        <v>3545</v>
      </c>
      <c r="C2204" s="5" t="s">
        <v>4160</v>
      </c>
      <c r="D2204" s="6">
        <v>2736.21</v>
      </c>
      <c r="E2204" s="6">
        <v>3136.74</v>
      </c>
      <c r="F2204" s="7" t="s">
        <v>14</v>
      </c>
      <c r="G2204" s="8" t="s">
        <v>4161</v>
      </c>
      <c r="H2204" s="8" t="s">
        <v>16</v>
      </c>
      <c r="I2204" s="9">
        <v>1012</v>
      </c>
      <c r="J2204" s="10">
        <v>15</v>
      </c>
      <c r="K2204" s="10">
        <v>3000157</v>
      </c>
      <c r="L2204" s="3" t="str">
        <f t="shared" si="69"/>
        <v>ΕΛΑΙΩΝΕΣ</v>
      </c>
    </row>
    <row r="2205" spans="1:12" s="3" customFormat="1" ht="24" x14ac:dyDescent="0.25">
      <c r="A2205" s="3" t="str">
        <f t="shared" si="68"/>
        <v>ΕΛΑΙΩΝΕΣΒΑΣΙΛΙΚΑΔΑ (ΒΑΣΙΛΙΚΗ), ΔΙΠΛΗΣ ΚΑΤΕΥΘΥΝΣΗΣ</v>
      </c>
      <c r="B2205" s="4" t="s">
        <v>3545</v>
      </c>
      <c r="C2205" s="5" t="s">
        <v>4162</v>
      </c>
      <c r="D2205" s="6">
        <v>2736.21</v>
      </c>
      <c r="E2205" s="6">
        <v>3136.74</v>
      </c>
      <c r="F2205" s="7" t="s">
        <v>14</v>
      </c>
      <c r="G2205" s="8" t="s">
        <v>4163</v>
      </c>
      <c r="H2205" s="8" t="s">
        <v>16</v>
      </c>
      <c r="I2205" s="9">
        <v>1013</v>
      </c>
      <c r="J2205" s="10">
        <v>15</v>
      </c>
      <c r="K2205" s="10">
        <v>3000158</v>
      </c>
      <c r="L2205" s="3" t="str">
        <f t="shared" si="69"/>
        <v>ΕΛΑΙΩΝΕΣ</v>
      </c>
    </row>
    <row r="2206" spans="1:12" s="3" customFormat="1" ht="31.5" x14ac:dyDescent="0.25">
      <c r="A2206" s="3" t="str">
        <f t="shared" si="68"/>
        <v>ΕΛΑΙΩΝΕΣΒΑΛΑΝΟΛΙΑ (ΜΥΤΙΛΙΝΙΑ, ΚΟΛΟΒΗ,  ΒΑΛΑΝΑ), ΔΙΠΛΗΣ ΚΑΤΕΥΘΥΝΣΗΣ</v>
      </c>
      <c r="B2206" s="4" t="s">
        <v>3545</v>
      </c>
      <c r="C2206" s="5" t="s">
        <v>4164</v>
      </c>
      <c r="D2206" s="6">
        <v>2736.21</v>
      </c>
      <c r="E2206" s="6">
        <v>3136.74</v>
      </c>
      <c r="F2206" s="7" t="s">
        <v>14</v>
      </c>
      <c r="G2206" s="8" t="s">
        <v>4165</v>
      </c>
      <c r="H2206" s="8" t="s">
        <v>16</v>
      </c>
      <c r="I2206" s="9">
        <v>1014</v>
      </c>
      <c r="J2206" s="10">
        <v>15</v>
      </c>
      <c r="K2206" s="10">
        <v>3000159</v>
      </c>
      <c r="L2206" s="3" t="str">
        <f t="shared" si="69"/>
        <v>ΕΛΑΙΩΝΕΣ</v>
      </c>
    </row>
    <row r="2207" spans="1:12" s="3" customFormat="1" ht="31.5" x14ac:dyDescent="0.25">
      <c r="A2207" s="3" t="str">
        <f t="shared" si="68"/>
        <v>ΕΛΑΙΩΝΕΣΓΑΙΔΟΥΡΕΛΙΑ (ΔΑΜΑΣΚΗΝΑΤΗ, ΑΔΡΟΚΑΡΠΗ), ΔΙΠΛΗΣ ΚΑΤΕΥΘΥΝΣΗΣ</v>
      </c>
      <c r="B2207" s="4" t="s">
        <v>3545</v>
      </c>
      <c r="C2207" s="5" t="s">
        <v>4166</v>
      </c>
      <c r="D2207" s="6">
        <v>2736.21</v>
      </c>
      <c r="E2207" s="6">
        <v>3136.74</v>
      </c>
      <c r="F2207" s="7" t="s">
        <v>14</v>
      </c>
      <c r="G2207" s="8" t="s">
        <v>4167</v>
      </c>
      <c r="H2207" s="8" t="s">
        <v>16</v>
      </c>
      <c r="I2207" s="9">
        <v>1015</v>
      </c>
      <c r="J2207" s="10">
        <v>15</v>
      </c>
      <c r="K2207" s="10">
        <v>3000160</v>
      </c>
      <c r="L2207" s="3" t="str">
        <f t="shared" si="69"/>
        <v>ΕΛΑΙΩΝΕΣ</v>
      </c>
    </row>
    <row r="2208" spans="1:12" s="3" customFormat="1" ht="24" x14ac:dyDescent="0.25">
      <c r="A2208" s="3" t="str">
        <f t="shared" si="68"/>
        <v>ΕΛΑΙΩΝΕΣΔΑΜΑΣΚΗΝΑΤΗ ΛΕΣΒΟΥ, ΔΙΠΛΗΣ ΚΑΤΕΥΘΥΝΣΗΣ</v>
      </c>
      <c r="B2208" s="4" t="s">
        <v>3545</v>
      </c>
      <c r="C2208" s="5" t="s">
        <v>4168</v>
      </c>
      <c r="D2208" s="6">
        <v>2736.21</v>
      </c>
      <c r="E2208" s="6">
        <v>3136.74</v>
      </c>
      <c r="F2208" s="7" t="s">
        <v>14</v>
      </c>
      <c r="G2208" s="8" t="s">
        <v>4169</v>
      </c>
      <c r="H2208" s="8" t="s">
        <v>16</v>
      </c>
      <c r="I2208" s="9">
        <v>1016</v>
      </c>
      <c r="J2208" s="10">
        <v>15</v>
      </c>
      <c r="K2208" s="10">
        <v>3000161</v>
      </c>
      <c r="L2208" s="3" t="str">
        <f t="shared" si="69"/>
        <v>ΕΛΑΙΩΝΕΣ</v>
      </c>
    </row>
    <row r="2209" spans="1:12" s="3" customFormat="1" ht="24" x14ac:dyDescent="0.25">
      <c r="A2209" s="3" t="str">
        <f t="shared" si="68"/>
        <v>ΕΛΑΙΩΝΕΣΔΑΦΝΕΛΙA (ΔΑΦΝΟΚΑΡΠΗ), ΔΙΠΛΗΣ ΚΑΤΕΥΘΥΝΣΗΣ</v>
      </c>
      <c r="B2209" s="4" t="s">
        <v>3545</v>
      </c>
      <c r="C2209" s="5" t="s">
        <v>4170</v>
      </c>
      <c r="D2209" s="6">
        <v>2736.21</v>
      </c>
      <c r="E2209" s="6">
        <v>3136.74</v>
      </c>
      <c r="F2209" s="7" t="s">
        <v>14</v>
      </c>
      <c r="G2209" s="8" t="s">
        <v>4171</v>
      </c>
      <c r="H2209" s="8" t="s">
        <v>16</v>
      </c>
      <c r="I2209" s="9">
        <v>1026</v>
      </c>
      <c r="J2209" s="10">
        <v>15</v>
      </c>
      <c r="K2209" s="10">
        <v>3000162</v>
      </c>
      <c r="L2209" s="3" t="str">
        <f t="shared" si="69"/>
        <v>ΕΛΑΙΩΝΕΣ</v>
      </c>
    </row>
    <row r="2210" spans="1:12" s="3" customFormat="1" ht="24" x14ac:dyDescent="0.25">
      <c r="A2210" s="3" t="str">
        <f t="shared" si="68"/>
        <v>ΕΛΑΙΩΝΕΣGORDAL, ΔΙΠΛΗΣ ΚΑΤΕΥΘΥΝΣΗΣ</v>
      </c>
      <c r="B2210" s="4" t="s">
        <v>3545</v>
      </c>
      <c r="C2210" s="5" t="s">
        <v>4172</v>
      </c>
      <c r="D2210" s="6">
        <v>2736.21</v>
      </c>
      <c r="E2210" s="6">
        <v>3136.74</v>
      </c>
      <c r="F2210" s="7" t="s">
        <v>14</v>
      </c>
      <c r="G2210" s="8" t="s">
        <v>4173</v>
      </c>
      <c r="H2210" s="8" t="s">
        <v>16</v>
      </c>
      <c r="I2210" s="9">
        <v>1018</v>
      </c>
      <c r="J2210" s="10">
        <v>15</v>
      </c>
      <c r="K2210" s="10">
        <v>3000163</v>
      </c>
      <c r="L2210" s="3" t="str">
        <f t="shared" si="69"/>
        <v>ΕΛΑΙΩΝΕΣ</v>
      </c>
    </row>
    <row r="2211" spans="1:12" s="3" customFormat="1" ht="31.5" x14ac:dyDescent="0.25">
      <c r="A2211" s="3" t="str">
        <f t="shared" si="68"/>
        <v>ΕΛΑΙΩΝΕΣΘΡΟΥΜΠΑ (ΘΡΟΥΜΠΟΛΙΑ, ΘΑΣΙΤΙΚΗ, ΛΑΔΟΛΙΑ, ΘΑΣΟΥ), ΔΙΠΛΗΣ ΚΑΤΕΥΘΥΝΣΗΣ</v>
      </c>
      <c r="B2211" s="4" t="s">
        <v>3545</v>
      </c>
      <c r="C2211" s="5" t="s">
        <v>4174</v>
      </c>
      <c r="D2211" s="6">
        <v>2736.21</v>
      </c>
      <c r="E2211" s="6">
        <v>3136.74</v>
      </c>
      <c r="F2211" s="7" t="s">
        <v>14</v>
      </c>
      <c r="G2211" s="8" t="s">
        <v>4175</v>
      </c>
      <c r="H2211" s="8" t="s">
        <v>16</v>
      </c>
      <c r="I2211" s="9">
        <v>1011</v>
      </c>
      <c r="J2211" s="10">
        <v>15</v>
      </c>
      <c r="K2211" s="10">
        <v>3000164</v>
      </c>
      <c r="L2211" s="3" t="str">
        <f t="shared" si="69"/>
        <v>ΕΛΑΙΩΝΕΣ</v>
      </c>
    </row>
    <row r="2212" spans="1:12" s="3" customFormat="1" ht="31.5" x14ac:dyDescent="0.25">
      <c r="A2212" s="3" t="str">
        <f t="shared" si="68"/>
        <v>ΕΛΑΙΩΝΕΣΚΟΥΤΣΟΥΡΕΛΙΑ (ΚΟΥΡΤΕΛΙΑ, ΚΟΥΡΕΛΙΑ), ΔΙΠΛΗΣ ΚΑΤΕΥΘΥΝΣΗΣ</v>
      </c>
      <c r="B2212" s="4" t="s">
        <v>3545</v>
      </c>
      <c r="C2212" s="5" t="s">
        <v>4176</v>
      </c>
      <c r="D2212" s="6">
        <v>2736.21</v>
      </c>
      <c r="E2212" s="6">
        <v>3136.74</v>
      </c>
      <c r="F2212" s="7" t="s">
        <v>14</v>
      </c>
      <c r="G2212" s="8" t="s">
        <v>4177</v>
      </c>
      <c r="H2212" s="8" t="s">
        <v>16</v>
      </c>
      <c r="I2212" s="9">
        <v>1020</v>
      </c>
      <c r="J2212" s="10">
        <v>15</v>
      </c>
      <c r="K2212" s="10">
        <v>3000165</v>
      </c>
      <c r="L2212" s="3" t="str">
        <f t="shared" si="69"/>
        <v>ΕΛΑΙΩΝΕΣ</v>
      </c>
    </row>
    <row r="2213" spans="1:12" s="3" customFormat="1" ht="31.5" x14ac:dyDescent="0.25">
      <c r="A2213" s="3" t="str">
        <f t="shared" si="68"/>
        <v>ΕΛΑΙΩΝΕΣΚΟΡΩΝΕΙΚΗ (ΚΟΡΩΝΗ, ΒΑΤΣΙΚΗ,  ΚΡΗΤΙΚΙΑ,  ΚΟΡΩΝΙΑ ΚΡΗ), ΔΙΠΛΗΣ ΚΑΤΕΥΘΥΝΣΗΣ</v>
      </c>
      <c r="B2213" s="4" t="s">
        <v>3545</v>
      </c>
      <c r="C2213" s="5" t="s">
        <v>4178</v>
      </c>
      <c r="D2213" s="6">
        <v>2736.21</v>
      </c>
      <c r="E2213" s="6">
        <v>3136.74</v>
      </c>
      <c r="F2213" s="7" t="s">
        <v>14</v>
      </c>
      <c r="G2213" s="8" t="s">
        <v>4179</v>
      </c>
      <c r="H2213" s="8" t="s">
        <v>16</v>
      </c>
      <c r="I2213" s="9">
        <v>1021</v>
      </c>
      <c r="J2213" s="10">
        <v>15</v>
      </c>
      <c r="K2213" s="10">
        <v>3000166</v>
      </c>
      <c r="L2213" s="3" t="str">
        <f t="shared" si="69"/>
        <v>ΕΛΑΙΩΝΕΣ</v>
      </c>
    </row>
    <row r="2214" spans="1:12" s="3" customFormat="1" ht="24" x14ac:dyDescent="0.25">
      <c r="A2214" s="3" t="str">
        <f t="shared" si="68"/>
        <v>ΕΛΑΙΩΝΕΣΚΑΛΟΚΑΙΡΙΔΑ (ΠΡΩΙΜΗ), ΔΙΠΛΗΣ ΚΑΤΕΥΘΥΝΣΗΣ</v>
      </c>
      <c r="B2214" s="4" t="s">
        <v>3545</v>
      </c>
      <c r="C2214" s="5" t="s">
        <v>4180</v>
      </c>
      <c r="D2214" s="6">
        <v>2736.21</v>
      </c>
      <c r="E2214" s="6">
        <v>3136.74</v>
      </c>
      <c r="F2214" s="7" t="s">
        <v>14</v>
      </c>
      <c r="G2214" s="8" t="s">
        <v>4181</v>
      </c>
      <c r="H2214" s="8" t="s">
        <v>16</v>
      </c>
      <c r="I2214" s="9">
        <v>1022</v>
      </c>
      <c r="J2214" s="10">
        <v>15</v>
      </c>
      <c r="K2214" s="10">
        <v>3000167</v>
      </c>
      <c r="L2214" s="3" t="str">
        <f t="shared" si="69"/>
        <v>ΕΛΑΙΩΝΕΣ</v>
      </c>
    </row>
    <row r="2215" spans="1:12" s="3" customFormat="1" ht="31.5" x14ac:dyDescent="0.25">
      <c r="A2215" s="3" t="str">
        <f t="shared" si="68"/>
        <v>ΕΛΑΙΩΝΕΣΚΑΛΑΜΩΝ (ΚΑΛΑΜΑΤΙΑΝΗ, ΤΣΙΓΚΟΛΙ,  ΑΕΤΟΝΥΧΙ), ΔΙΠΛΗΣ ΚΑΤΕΥΘΥΝΣΗΣ</v>
      </c>
      <c r="B2215" s="4" t="s">
        <v>3545</v>
      </c>
      <c r="C2215" s="5" t="s">
        <v>4182</v>
      </c>
      <c r="D2215" s="6">
        <v>2736.21</v>
      </c>
      <c r="E2215" s="6">
        <v>3136.74</v>
      </c>
      <c r="F2215" s="7" t="s">
        <v>14</v>
      </c>
      <c r="G2215" s="8" t="s">
        <v>4183</v>
      </c>
      <c r="H2215" s="8" t="s">
        <v>16</v>
      </c>
      <c r="I2215" s="9">
        <v>1023</v>
      </c>
      <c r="J2215" s="10">
        <v>15</v>
      </c>
      <c r="K2215" s="10">
        <v>3000168</v>
      </c>
      <c r="L2215" s="3" t="str">
        <f t="shared" si="69"/>
        <v>ΕΛΑΙΩΝΕΣ</v>
      </c>
    </row>
    <row r="2216" spans="1:12" s="3" customFormat="1" ht="24" x14ac:dyDescent="0.25">
      <c r="A2216" s="3" t="str">
        <f t="shared" si="68"/>
        <v>ΕΛΑΙΩΝΕΣΚΟΛΥΜΠΑΔΑ, ΔΙΠΛΗΣ ΚΑΤΕΥΘΥΝΣΗΣ</v>
      </c>
      <c r="B2216" s="4" t="s">
        <v>3545</v>
      </c>
      <c r="C2216" s="5" t="s">
        <v>4184</v>
      </c>
      <c r="D2216" s="6">
        <v>2736.21</v>
      </c>
      <c r="E2216" s="6">
        <v>3136.74</v>
      </c>
      <c r="F2216" s="7" t="s">
        <v>14</v>
      </c>
      <c r="G2216" s="8" t="s">
        <v>4185</v>
      </c>
      <c r="H2216" s="8" t="s">
        <v>16</v>
      </c>
      <c r="I2216" s="9">
        <v>1024</v>
      </c>
      <c r="J2216" s="10">
        <v>15</v>
      </c>
      <c r="K2216" s="10">
        <v>3000169</v>
      </c>
      <c r="L2216" s="3" t="str">
        <f t="shared" si="69"/>
        <v>ΕΛΑΙΩΝΕΣ</v>
      </c>
    </row>
    <row r="2217" spans="1:12" s="3" customFormat="1" ht="24" x14ac:dyDescent="0.25">
      <c r="A2217" s="3" t="str">
        <f t="shared" si="68"/>
        <v>ΕΛΑΙΩΝΕΣΚΑΡΟΛΗΑ, ΔΙΠΛΗΣ ΚΑΤΕΥΘΥΝΣΗΣ</v>
      </c>
      <c r="B2217" s="4" t="s">
        <v>3545</v>
      </c>
      <c r="C2217" s="5" t="s">
        <v>4186</v>
      </c>
      <c r="D2217" s="6">
        <v>2736.21</v>
      </c>
      <c r="E2217" s="6">
        <v>3136.74</v>
      </c>
      <c r="F2217" s="7" t="s">
        <v>14</v>
      </c>
      <c r="G2217" s="8" t="s">
        <v>4187</v>
      </c>
      <c r="H2217" s="8" t="s">
        <v>16</v>
      </c>
      <c r="I2217" s="9">
        <v>1025</v>
      </c>
      <c r="J2217" s="10">
        <v>15</v>
      </c>
      <c r="K2217" s="10">
        <v>3000170</v>
      </c>
      <c r="L2217" s="3" t="str">
        <f t="shared" si="69"/>
        <v>ΕΛΑΙΩΝΕΣ</v>
      </c>
    </row>
    <row r="2218" spans="1:12" s="3" customFormat="1" ht="31.5" x14ac:dyDescent="0.25">
      <c r="A2218" s="3" t="str">
        <f t="shared" si="68"/>
        <v>ΕΛΑΙΩΝΕΣΚΟΘΡΕΙΚΗ (ΜΑΝΑΚΙ, ΜΑΝΑΚΟΛΙΑ, ΓΛΥΚΟΜΑΝΑΚΟ), ΔΙΠΛΗΣ ΚΑΤΕΥΘΥΝΣΗΣ</v>
      </c>
      <c r="B2218" s="4" t="s">
        <v>3545</v>
      </c>
      <c r="C2218" s="5" t="s">
        <v>4188</v>
      </c>
      <c r="D2218" s="6">
        <v>2736.21</v>
      </c>
      <c r="E2218" s="6">
        <v>3136.74</v>
      </c>
      <c r="F2218" s="7" t="s">
        <v>14</v>
      </c>
      <c r="G2218" s="8" t="s">
        <v>4189</v>
      </c>
      <c r="H2218" s="8" t="s">
        <v>16</v>
      </c>
      <c r="I2218" s="9">
        <v>1003</v>
      </c>
      <c r="J2218" s="10">
        <v>15</v>
      </c>
      <c r="K2218" s="10">
        <v>3000171</v>
      </c>
      <c r="L2218" s="3" t="str">
        <f t="shared" si="69"/>
        <v>ΕΛΑΙΩΝΕΣ</v>
      </c>
    </row>
    <row r="2219" spans="1:12" s="3" customFormat="1" ht="24" x14ac:dyDescent="0.25">
      <c r="A2219" s="3" t="str">
        <f t="shared" si="68"/>
        <v>ΕΛΑΙΩΝΕΣΚΑΡΥΔΟΛΙΑ, ΔΙΠΛΗΣ ΚΑΤΕΥΘΥΝΣΗΣ</v>
      </c>
      <c r="B2219" s="4" t="s">
        <v>3545</v>
      </c>
      <c r="C2219" s="5" t="s">
        <v>4190</v>
      </c>
      <c r="D2219" s="6">
        <v>2736.21</v>
      </c>
      <c r="E2219" s="6">
        <v>3136.74</v>
      </c>
      <c r="F2219" s="7" t="s">
        <v>14</v>
      </c>
      <c r="G2219" s="8" t="s">
        <v>4191</v>
      </c>
      <c r="H2219" s="8" t="s">
        <v>16</v>
      </c>
      <c r="I2219" s="9">
        <v>1001</v>
      </c>
      <c r="J2219" s="10">
        <v>15</v>
      </c>
      <c r="K2219" s="10">
        <v>3000172</v>
      </c>
      <c r="L2219" s="3" t="str">
        <f t="shared" si="69"/>
        <v>ΕΛΑΙΩΝΕΣ</v>
      </c>
    </row>
    <row r="2220" spans="1:12" s="3" customFormat="1" ht="24" x14ac:dyDescent="0.25">
      <c r="A2220" s="3" t="str">
        <f t="shared" si="68"/>
        <v>ΕΛΑΙΩΝΕΣΚΑΡΥΔΟΛΙΑ ΣΠΕΤΣΩΝ, ΔΙΠΛΗΣ ΚΑΤΕΥΘΥΝΣΗΣ</v>
      </c>
      <c r="B2220" s="4" t="s">
        <v>3545</v>
      </c>
      <c r="C2220" s="5" t="s">
        <v>4192</v>
      </c>
      <c r="D2220" s="6">
        <v>2736.21</v>
      </c>
      <c r="E2220" s="6">
        <v>3136.74</v>
      </c>
      <c r="F2220" s="7" t="s">
        <v>14</v>
      </c>
      <c r="G2220" s="8" t="s">
        <v>4193</v>
      </c>
      <c r="H2220" s="8" t="s">
        <v>16</v>
      </c>
      <c r="I2220" s="9">
        <v>1017</v>
      </c>
      <c r="J2220" s="10">
        <v>15</v>
      </c>
      <c r="K2220" s="10">
        <v>3000173</v>
      </c>
      <c r="L2220" s="3" t="str">
        <f t="shared" si="69"/>
        <v>ΕΛΑΙΩΝΕΣ</v>
      </c>
    </row>
    <row r="2221" spans="1:12" s="3" customFormat="1" ht="24" x14ac:dyDescent="0.25">
      <c r="A2221" s="3" t="str">
        <f t="shared" si="68"/>
        <v>ΕΛΑΙΩΝΕΣΚΛΩΝΑΡΕΣ ΚΟΡΩΠΙΟΥ, ΔΙΠΛΗΣ ΚΑΤΕΥΘΥΝΣΗΣ</v>
      </c>
      <c r="B2221" s="4" t="s">
        <v>3545</v>
      </c>
      <c r="C2221" s="5" t="s">
        <v>4194</v>
      </c>
      <c r="D2221" s="6">
        <v>2736.21</v>
      </c>
      <c r="E2221" s="6">
        <v>3136.74</v>
      </c>
      <c r="F2221" s="7" t="s">
        <v>14</v>
      </c>
      <c r="G2221" s="8" t="s">
        <v>4195</v>
      </c>
      <c r="H2221" s="8" t="s">
        <v>16</v>
      </c>
      <c r="I2221" s="9">
        <v>997</v>
      </c>
      <c r="J2221" s="10">
        <v>15</v>
      </c>
      <c r="K2221" s="10">
        <v>3000174</v>
      </c>
      <c r="L2221" s="3" t="str">
        <f t="shared" si="69"/>
        <v>ΕΛΑΙΩΝΕΣ</v>
      </c>
    </row>
    <row r="2222" spans="1:12" s="3" customFormat="1" ht="24" x14ac:dyDescent="0.25">
      <c r="A2222" s="3" t="str">
        <f t="shared" si="68"/>
        <v>ΕΛΑΙΩΝΕΣΚΑΡΟΛΙΑ ΙΣΤΙΑΙΑΣ, ΔΙΠΛΗΣ ΚΑΤΕΥΘΥΝΣΗΣ</v>
      </c>
      <c r="B2222" s="4" t="s">
        <v>3545</v>
      </c>
      <c r="C2222" s="5" t="s">
        <v>4196</v>
      </c>
      <c r="D2222" s="6">
        <v>2736.21</v>
      </c>
      <c r="E2222" s="6">
        <v>3136.74</v>
      </c>
      <c r="F2222" s="7" t="s">
        <v>14</v>
      </c>
      <c r="G2222" s="8" t="s">
        <v>4197</v>
      </c>
      <c r="H2222" s="8" t="s">
        <v>16</v>
      </c>
      <c r="I2222" s="9">
        <v>998</v>
      </c>
      <c r="J2222" s="10">
        <v>15</v>
      </c>
      <c r="K2222" s="10">
        <v>3000175</v>
      </c>
      <c r="L2222" s="3" t="str">
        <f t="shared" si="69"/>
        <v>ΕΛΑΙΩΝΕΣ</v>
      </c>
    </row>
    <row r="2223" spans="1:12" s="3" customFormat="1" ht="24" x14ac:dyDescent="0.25">
      <c r="A2223" s="3" t="str">
        <f t="shared" si="68"/>
        <v>ΕΛΑΙΩΝΕΣΚΟΛΥΡΕΙΚΗ, ΔΙΠΛΗΣ ΚΑΤΕΥΘΥΝΣΗΣ</v>
      </c>
      <c r="B2223" s="4" t="s">
        <v>3545</v>
      </c>
      <c r="C2223" s="5" t="s">
        <v>4198</v>
      </c>
      <c r="D2223" s="6">
        <v>2736.21</v>
      </c>
      <c r="E2223" s="6">
        <v>3136.74</v>
      </c>
      <c r="F2223" s="7" t="s">
        <v>14</v>
      </c>
      <c r="G2223" s="8" t="s">
        <v>4199</v>
      </c>
      <c r="H2223" s="8" t="s">
        <v>16</v>
      </c>
      <c r="I2223" s="9">
        <v>999</v>
      </c>
      <c r="J2223" s="10">
        <v>15</v>
      </c>
      <c r="K2223" s="10">
        <v>3000176</v>
      </c>
      <c r="L2223" s="3" t="str">
        <f t="shared" si="69"/>
        <v>ΕΛΑΙΩΝΕΣ</v>
      </c>
    </row>
    <row r="2224" spans="1:12" s="3" customFormat="1" ht="31.5" x14ac:dyDescent="0.25">
      <c r="A2224" s="3" t="str">
        <f t="shared" si="68"/>
        <v>ΕΛΑΙΩΝΕΣLECHINO (LECHIN DE SEVILLA), ΔΙΠΛΗΣ ΚΑΤΕΥΘΥΝΣΗΣ</v>
      </c>
      <c r="B2224" s="4" t="s">
        <v>3545</v>
      </c>
      <c r="C2224" s="5" t="s">
        <v>4200</v>
      </c>
      <c r="D2224" s="6">
        <v>2736.21</v>
      </c>
      <c r="E2224" s="6">
        <v>3136.74</v>
      </c>
      <c r="F2224" s="7" t="s">
        <v>14</v>
      </c>
      <c r="G2224" s="8" t="s">
        <v>4201</v>
      </c>
      <c r="H2224" s="8" t="s">
        <v>16</v>
      </c>
      <c r="I2224" s="9">
        <v>1000</v>
      </c>
      <c r="J2224" s="10">
        <v>15</v>
      </c>
      <c r="K2224" s="10">
        <v>3000177</v>
      </c>
      <c r="L2224" s="3" t="str">
        <f t="shared" si="69"/>
        <v>ΕΛΑΙΩΝΕΣ</v>
      </c>
    </row>
    <row r="2225" spans="1:12" s="3" customFormat="1" ht="31.5" x14ac:dyDescent="0.25">
      <c r="A2225" s="3" t="str">
        <f t="shared" si="68"/>
        <v>ΕΛΑΙΩΝΕΣΛΙΑΝΟΛΗΑ ΚΕΡΚΥΡΑΣ (ΠΡΕΒΕΖΑΝΑ, ΝΕΡΟΛΙΑ,  ΚΑΡΦΟΛΙΑ), ΔΙΠΛΗΣ ΚΑΤΕΥΘΥΝΣΗΣ</v>
      </c>
      <c r="B2225" s="4" t="s">
        <v>3545</v>
      </c>
      <c r="C2225" s="5" t="s">
        <v>4202</v>
      </c>
      <c r="D2225" s="6">
        <v>2736.21</v>
      </c>
      <c r="E2225" s="6">
        <v>3136.74</v>
      </c>
      <c r="F2225" s="7" t="s">
        <v>14</v>
      </c>
      <c r="G2225" s="8" t="s">
        <v>4203</v>
      </c>
      <c r="H2225" s="8" t="s">
        <v>16</v>
      </c>
      <c r="I2225" s="9">
        <v>1010</v>
      </c>
      <c r="J2225" s="10">
        <v>15</v>
      </c>
      <c r="K2225" s="10">
        <v>3000178</v>
      </c>
      <c r="L2225" s="3" t="str">
        <f t="shared" si="69"/>
        <v>ΕΛΑΙΩΝΕΣ</v>
      </c>
    </row>
    <row r="2226" spans="1:12" s="3" customFormat="1" ht="24" x14ac:dyDescent="0.25">
      <c r="A2226" s="3" t="str">
        <f t="shared" si="68"/>
        <v>ΕΛΑΙΩΝΕΣLUCQUES, ΔΙΠΛΗΣ ΚΑΤΕΥΘΥΝΣΗΣ</v>
      </c>
      <c r="B2226" s="4" t="s">
        <v>3545</v>
      </c>
      <c r="C2226" s="5" t="s">
        <v>4204</v>
      </c>
      <c r="D2226" s="6">
        <v>2736.21</v>
      </c>
      <c r="E2226" s="6">
        <v>3136.74</v>
      </c>
      <c r="F2226" s="7" t="s">
        <v>14</v>
      </c>
      <c r="G2226" s="8" t="s">
        <v>4205</v>
      </c>
      <c r="H2226" s="8" t="s">
        <v>16</v>
      </c>
      <c r="I2226" s="9">
        <v>1002</v>
      </c>
      <c r="J2226" s="10">
        <v>15</v>
      </c>
      <c r="K2226" s="10">
        <v>3000179</v>
      </c>
      <c r="L2226" s="3" t="str">
        <f t="shared" si="69"/>
        <v>ΕΛΑΙΩΝΕΣ</v>
      </c>
    </row>
    <row r="2227" spans="1:12" s="3" customFormat="1" ht="31.5" x14ac:dyDescent="0.25">
      <c r="A2227" s="3" t="str">
        <f t="shared" si="68"/>
        <v>ΕΛΑΙΩΝΕΣΜΑΥΡΕΛΗΑ (ΜΕΘΩΝΙΑ, ΜΑΥΡΟΛΙΑ,  ΜΟΥΤΡΟΛΙΑ), ΔΙΠΛΗΣ ΚΑΤΕΥΘΥΝΣΗΣ</v>
      </c>
      <c r="B2227" s="4" t="s">
        <v>3545</v>
      </c>
      <c r="C2227" s="5" t="s">
        <v>4206</v>
      </c>
      <c r="D2227" s="6">
        <v>2736.21</v>
      </c>
      <c r="E2227" s="6">
        <v>3136.74</v>
      </c>
      <c r="F2227" s="7" t="s">
        <v>14</v>
      </c>
      <c r="G2227" s="8" t="s">
        <v>4207</v>
      </c>
      <c r="H2227" s="8" t="s">
        <v>16</v>
      </c>
      <c r="I2227" s="9">
        <v>995</v>
      </c>
      <c r="J2227" s="10">
        <v>15</v>
      </c>
      <c r="K2227" s="10">
        <v>3000180</v>
      </c>
      <c r="L2227" s="3" t="str">
        <f t="shared" si="69"/>
        <v>ΕΛΑΙΩΝΕΣ</v>
      </c>
    </row>
    <row r="2228" spans="1:12" s="3" customFormat="1" ht="24" x14ac:dyDescent="0.25">
      <c r="A2228" s="3" t="str">
        <f t="shared" si="68"/>
        <v>ΕΛΑΙΩΝΕΣΜΥΡΤΟΛΗΑ, ΔΙΠΛΗΣ ΚΑΤΕΥΘΥΝΣΗΣ</v>
      </c>
      <c r="B2228" s="4" t="s">
        <v>3545</v>
      </c>
      <c r="C2228" s="5" t="s">
        <v>4208</v>
      </c>
      <c r="D2228" s="6">
        <v>2736.21</v>
      </c>
      <c r="E2228" s="6">
        <v>3136.74</v>
      </c>
      <c r="F2228" s="7" t="s">
        <v>14</v>
      </c>
      <c r="G2228" s="8" t="s">
        <v>4209</v>
      </c>
      <c r="H2228" s="8" t="s">
        <v>16</v>
      </c>
      <c r="I2228" s="9">
        <v>1004</v>
      </c>
      <c r="J2228" s="10">
        <v>15</v>
      </c>
      <c r="K2228" s="10">
        <v>3000181</v>
      </c>
      <c r="L2228" s="3" t="str">
        <f t="shared" si="69"/>
        <v>ΕΛΑΙΩΝΕΣ</v>
      </c>
    </row>
    <row r="2229" spans="1:12" s="3" customFormat="1" ht="24" x14ac:dyDescent="0.25">
      <c r="A2229" s="3" t="str">
        <f t="shared" si="68"/>
        <v>ΕΛΑΙΩΝΕΣMEXINE, ΔΙΠΛΗΣ ΚΑΤΕΥΘΥΝΣΗΣ</v>
      </c>
      <c r="B2229" s="4" t="s">
        <v>3545</v>
      </c>
      <c r="C2229" s="5" t="s">
        <v>4210</v>
      </c>
      <c r="D2229" s="6">
        <v>2736.21</v>
      </c>
      <c r="E2229" s="6">
        <v>3136.74</v>
      </c>
      <c r="F2229" s="7" t="s">
        <v>14</v>
      </c>
      <c r="G2229" s="8" t="s">
        <v>4211</v>
      </c>
      <c r="H2229" s="8" t="s">
        <v>16</v>
      </c>
      <c r="I2229" s="9">
        <v>1005</v>
      </c>
      <c r="J2229" s="10">
        <v>15</v>
      </c>
      <c r="K2229" s="10">
        <v>3000182</v>
      </c>
      <c r="L2229" s="3" t="str">
        <f t="shared" si="69"/>
        <v>ΕΛΑΙΩΝΕΣ</v>
      </c>
    </row>
    <row r="2230" spans="1:12" s="3" customFormat="1" ht="31.5" x14ac:dyDescent="0.25">
      <c r="A2230" s="3" t="str">
        <f t="shared" si="68"/>
        <v>ΕΛΑΙΩΝΕΣΜΕΓΑΡΕΙΤΙΚΗ (ΠΕΡΑΧΩΡΙΤΙΚΗ, ΒΟΙΒΟΔΙΤΙΚΗ,  ΒΟΒΩΔΗ), ΔΙΠΛΗΣ ΚΑΤΕΥΘΥΝΣΗΣ</v>
      </c>
      <c r="B2230" s="4" t="s">
        <v>3545</v>
      </c>
      <c r="C2230" s="5" t="s">
        <v>4212</v>
      </c>
      <c r="D2230" s="6">
        <v>2736.21</v>
      </c>
      <c r="E2230" s="6">
        <v>3136.74</v>
      </c>
      <c r="F2230" s="7" t="s">
        <v>14</v>
      </c>
      <c r="G2230" s="8" t="s">
        <v>4213</v>
      </c>
      <c r="H2230" s="8" t="s">
        <v>16</v>
      </c>
      <c r="I2230" s="9">
        <v>1006</v>
      </c>
      <c r="J2230" s="10">
        <v>15</v>
      </c>
      <c r="K2230" s="10">
        <v>3000183</v>
      </c>
      <c r="L2230" s="3" t="str">
        <f t="shared" si="69"/>
        <v>ΕΛΑΙΩΝΕΣ</v>
      </c>
    </row>
    <row r="2231" spans="1:12" s="3" customFormat="1" ht="24" x14ac:dyDescent="0.25">
      <c r="A2231" s="3" t="str">
        <f t="shared" si="68"/>
        <v>ΕΛΑΙΩΝΕΣMANZANILLA JAEN, ΔΙΠΛΗΣ ΚΑΤΕΥΘΥΝΣΗΣ</v>
      </c>
      <c r="B2231" s="4" t="s">
        <v>3545</v>
      </c>
      <c r="C2231" s="5" t="s">
        <v>4214</v>
      </c>
      <c r="D2231" s="6">
        <v>2736.21</v>
      </c>
      <c r="E2231" s="6">
        <v>3136.74</v>
      </c>
      <c r="F2231" s="7" t="s">
        <v>14</v>
      </c>
      <c r="G2231" s="8" t="s">
        <v>4215</v>
      </c>
      <c r="H2231" s="8" t="s">
        <v>16</v>
      </c>
      <c r="I2231" s="9">
        <v>1007</v>
      </c>
      <c r="J2231" s="10">
        <v>15</v>
      </c>
      <c r="K2231" s="10">
        <v>3000184</v>
      </c>
      <c r="L2231" s="3" t="str">
        <f t="shared" si="69"/>
        <v>ΕΛΑΙΩΝΕΣ</v>
      </c>
    </row>
    <row r="2232" spans="1:12" s="3" customFormat="1" ht="31.5" x14ac:dyDescent="0.25">
      <c r="A2232" s="3" t="str">
        <f t="shared" si="68"/>
        <v>ΕΛΑΙΩΝΕΣMANZANILLA DOS HERMANOS, ΔΙΠΛΗΣ ΚΑΤΕΥΘΥΝΣΗΣ</v>
      </c>
      <c r="B2232" s="4" t="s">
        <v>3545</v>
      </c>
      <c r="C2232" s="5" t="s">
        <v>4216</v>
      </c>
      <c r="D2232" s="6">
        <v>2736.21</v>
      </c>
      <c r="E2232" s="6">
        <v>3136.74</v>
      </c>
      <c r="F2232" s="7" t="s">
        <v>14</v>
      </c>
      <c r="G2232" s="8" t="s">
        <v>4217</v>
      </c>
      <c r="H2232" s="8" t="s">
        <v>16</v>
      </c>
      <c r="I2232" s="9">
        <v>1008</v>
      </c>
      <c r="J2232" s="10">
        <v>15</v>
      </c>
      <c r="K2232" s="10">
        <v>3000185</v>
      </c>
      <c r="L2232" s="3" t="str">
        <f t="shared" si="69"/>
        <v>ΕΛΑΙΩΝΕΣ</v>
      </c>
    </row>
    <row r="2233" spans="1:12" s="3" customFormat="1" ht="24" x14ac:dyDescent="0.25">
      <c r="A2233" s="3" t="str">
        <f t="shared" si="68"/>
        <v>ΕΛΑΙΩΝΕΣMANZANILLA, ΔΙΠΛΗΣ ΚΑΤΕΥΘΥΝΣΗΣ</v>
      </c>
      <c r="B2233" s="4" t="s">
        <v>3545</v>
      </c>
      <c r="C2233" s="5" t="s">
        <v>4218</v>
      </c>
      <c r="D2233" s="6">
        <v>2736.21</v>
      </c>
      <c r="E2233" s="6">
        <v>3136.74</v>
      </c>
      <c r="F2233" s="7" t="s">
        <v>14</v>
      </c>
      <c r="G2233" s="8" t="s">
        <v>4219</v>
      </c>
      <c r="H2233" s="8" t="s">
        <v>16</v>
      </c>
      <c r="I2233" s="9">
        <v>1009</v>
      </c>
      <c r="J2233" s="10">
        <v>15</v>
      </c>
      <c r="K2233" s="10">
        <v>3000186</v>
      </c>
      <c r="L2233" s="3" t="str">
        <f t="shared" si="69"/>
        <v>ΕΛΑΙΩΝΕΣ</v>
      </c>
    </row>
    <row r="2234" spans="1:12" s="3" customFormat="1" ht="24" x14ac:dyDescent="0.25">
      <c r="A2234" s="3" t="str">
        <f t="shared" si="68"/>
        <v>ΕΛΑΙΩΝΕΣΜΕΛΟΛΙΑ (ΕΛΙΑ ΗΔΙΚΑΡΠΗ), ΔΙΠΛΗΣ ΚΑΤΕΥΘΥΝΣΗΣ</v>
      </c>
      <c r="B2234" s="4" t="s">
        <v>3545</v>
      </c>
      <c r="C2234" s="5" t="s">
        <v>4220</v>
      </c>
      <c r="D2234" s="6">
        <v>2736.21</v>
      </c>
      <c r="E2234" s="6">
        <v>3136.74</v>
      </c>
      <c r="F2234" s="7" t="s">
        <v>14</v>
      </c>
      <c r="G2234" s="8" t="s">
        <v>4221</v>
      </c>
      <c r="H2234" s="8" t="s">
        <v>16</v>
      </c>
      <c r="I2234" s="9">
        <v>1033</v>
      </c>
      <c r="J2234" s="10">
        <v>15</v>
      </c>
      <c r="K2234" s="10">
        <v>3000187</v>
      </c>
      <c r="L2234" s="3" t="str">
        <f t="shared" si="69"/>
        <v>ΕΛΑΙΩΝΕΣ</v>
      </c>
    </row>
    <row r="2235" spans="1:12" s="3" customFormat="1" ht="24" x14ac:dyDescent="0.25">
      <c r="A2235" s="3" t="str">
        <f t="shared" si="68"/>
        <v>ΕΛΑΙΩΝΕΣMISSION, ΔΙΠΛΗΣ ΚΑΤΕΥΘΥΝΣΗΣ</v>
      </c>
      <c r="B2235" s="4" t="s">
        <v>3545</v>
      </c>
      <c r="C2235" s="5" t="s">
        <v>4222</v>
      </c>
      <c r="D2235" s="6">
        <v>2736.21</v>
      </c>
      <c r="E2235" s="6">
        <v>3136.74</v>
      </c>
      <c r="F2235" s="7" t="s">
        <v>14</v>
      </c>
      <c r="G2235" s="8" t="s">
        <v>4223</v>
      </c>
      <c r="H2235" s="8" t="s">
        <v>16</v>
      </c>
      <c r="I2235" s="9">
        <v>1058</v>
      </c>
      <c r="J2235" s="10">
        <v>15</v>
      </c>
      <c r="K2235" s="10">
        <v>3000188</v>
      </c>
      <c r="L2235" s="3" t="str">
        <f t="shared" si="69"/>
        <v>ΕΛΑΙΩΝΕΣ</v>
      </c>
    </row>
    <row r="2236" spans="1:12" s="3" customFormat="1" ht="31.5" x14ac:dyDescent="0.25">
      <c r="A2236" s="3" t="str">
        <f t="shared" si="68"/>
        <v>ΕΛΑΙΩΝΕΣPICUAL (NEVADILLO BLANCO), ΔΙΠΛΗΣ ΚΑΤΕΥΘΥΝΣΗΣ</v>
      </c>
      <c r="B2236" s="4" t="s">
        <v>3545</v>
      </c>
      <c r="C2236" s="5" t="s">
        <v>4224</v>
      </c>
      <c r="D2236" s="6">
        <v>2736.21</v>
      </c>
      <c r="E2236" s="6">
        <v>3136.74</v>
      </c>
      <c r="F2236" s="7" t="s">
        <v>14</v>
      </c>
      <c r="G2236" s="8" t="s">
        <v>4225</v>
      </c>
      <c r="H2236" s="8" t="s">
        <v>16</v>
      </c>
      <c r="I2236" s="9">
        <v>1019</v>
      </c>
      <c r="J2236" s="10">
        <v>15</v>
      </c>
      <c r="K2236" s="10">
        <v>3000189</v>
      </c>
      <c r="L2236" s="3" t="str">
        <f t="shared" si="69"/>
        <v>ΕΛΑΙΩΝΕΣ</v>
      </c>
    </row>
    <row r="2237" spans="1:12" s="3" customFormat="1" ht="24" x14ac:dyDescent="0.25">
      <c r="A2237" s="3" t="str">
        <f t="shared" si="68"/>
        <v>ΕΛΑΙΩΝΕΣΠΑΤΡΙΝΗ, ΔΙΠΛΗΣ ΚΑΤΕΥΘΥΝΣΗΣ</v>
      </c>
      <c r="B2237" s="4" t="s">
        <v>3545</v>
      </c>
      <c r="C2237" s="5" t="s">
        <v>4226</v>
      </c>
      <c r="D2237" s="6">
        <v>2736.21</v>
      </c>
      <c r="E2237" s="6">
        <v>3136.74</v>
      </c>
      <c r="F2237" s="7" t="s">
        <v>14</v>
      </c>
      <c r="G2237" s="8" t="s">
        <v>4227</v>
      </c>
      <c r="H2237" s="8" t="s">
        <v>16</v>
      </c>
      <c r="I2237" s="9">
        <v>1045</v>
      </c>
      <c r="J2237" s="10">
        <v>15</v>
      </c>
      <c r="K2237" s="10">
        <v>3000190</v>
      </c>
      <c r="L2237" s="3" t="str">
        <f t="shared" si="69"/>
        <v>ΕΛΑΙΩΝΕΣ</v>
      </c>
    </row>
    <row r="2238" spans="1:12" s="3" customFormat="1" ht="24" x14ac:dyDescent="0.25">
      <c r="A2238" s="3" t="str">
        <f t="shared" si="68"/>
        <v>ΕΛΑΙΩΝΕΣPICHOLIN ή PICHOLINE, ΔΙΠΛΗΣ ΚΑΤΕΥΘΥΝΣΗΣ</v>
      </c>
      <c r="B2238" s="4" t="s">
        <v>3545</v>
      </c>
      <c r="C2238" s="5" t="s">
        <v>4228</v>
      </c>
      <c r="D2238" s="6">
        <v>2736.21</v>
      </c>
      <c r="E2238" s="6">
        <v>3136.74</v>
      </c>
      <c r="F2238" s="7" t="s">
        <v>14</v>
      </c>
      <c r="G2238" s="8" t="s">
        <v>4229</v>
      </c>
      <c r="H2238" s="8" t="s">
        <v>16</v>
      </c>
      <c r="I2238" s="9">
        <v>1046</v>
      </c>
      <c r="J2238" s="10">
        <v>15</v>
      </c>
      <c r="K2238" s="10">
        <v>3000191</v>
      </c>
      <c r="L2238" s="3" t="str">
        <f t="shared" si="69"/>
        <v>ΕΛΑΙΩΝΕΣ</v>
      </c>
    </row>
    <row r="2239" spans="1:12" s="3" customFormat="1" ht="24" x14ac:dyDescent="0.25">
      <c r="A2239" s="3" t="str">
        <f t="shared" si="68"/>
        <v>ΕΛΑΙΩΝΕΣΠΙΚΡΟΛΙΑ, ΔΙΠΛΗΣ ΚΑΤΕΥΘΥΝΣΗΣ</v>
      </c>
      <c r="B2239" s="4" t="s">
        <v>3545</v>
      </c>
      <c r="C2239" s="5" t="s">
        <v>4230</v>
      </c>
      <c r="D2239" s="6">
        <v>2736.21</v>
      </c>
      <c r="E2239" s="6">
        <v>3136.74</v>
      </c>
      <c r="F2239" s="7" t="s">
        <v>14</v>
      </c>
      <c r="G2239" s="8" t="s">
        <v>4231</v>
      </c>
      <c r="H2239" s="8" t="s">
        <v>16</v>
      </c>
      <c r="I2239" s="9">
        <v>1047</v>
      </c>
      <c r="J2239" s="10">
        <v>15</v>
      </c>
      <c r="K2239" s="10">
        <v>3000192</v>
      </c>
      <c r="L2239" s="3" t="str">
        <f t="shared" si="69"/>
        <v>ΕΛΑΙΩΝΕΣ</v>
      </c>
    </row>
    <row r="2240" spans="1:12" s="3" customFormat="1" ht="24" x14ac:dyDescent="0.25">
      <c r="A2240" s="3" t="str">
        <f t="shared" si="68"/>
        <v>ΕΛΑΙΩΝΕΣREDDING PICHOLINE, ΔΙΠΛΗΣ ΚΑΤΕΥΘΥΝΣΗΣ</v>
      </c>
      <c r="B2240" s="4" t="s">
        <v>3545</v>
      </c>
      <c r="C2240" s="5" t="s">
        <v>4232</v>
      </c>
      <c r="D2240" s="6">
        <v>2736.21</v>
      </c>
      <c r="E2240" s="6">
        <v>3136.74</v>
      </c>
      <c r="F2240" s="7" t="s">
        <v>14</v>
      </c>
      <c r="G2240" s="8" t="s">
        <v>4233</v>
      </c>
      <c r="H2240" s="8" t="s">
        <v>16</v>
      </c>
      <c r="I2240" s="9">
        <v>1048</v>
      </c>
      <c r="J2240" s="10">
        <v>15</v>
      </c>
      <c r="K2240" s="10">
        <v>3000193</v>
      </c>
      <c r="L2240" s="3" t="str">
        <f t="shared" si="69"/>
        <v>ΕΛΑΙΩΝΕΣ</v>
      </c>
    </row>
    <row r="2241" spans="1:12" s="3" customFormat="1" ht="24" x14ac:dyDescent="0.25">
      <c r="A2241" s="3" t="str">
        <f t="shared" si="68"/>
        <v>ΕΛΑΙΩΝΕΣROUSETTE, ΔΙΠΛΗΣ ΚΑΤΕΥΘΥΝΣΗΣ</v>
      </c>
      <c r="B2241" s="4" t="s">
        <v>3545</v>
      </c>
      <c r="C2241" s="5" t="s">
        <v>4234</v>
      </c>
      <c r="D2241" s="6">
        <v>2736.21</v>
      </c>
      <c r="E2241" s="6">
        <v>3136.74</v>
      </c>
      <c r="F2241" s="7" t="s">
        <v>14</v>
      </c>
      <c r="G2241" s="8" t="s">
        <v>4235</v>
      </c>
      <c r="H2241" s="8" t="s">
        <v>16</v>
      </c>
      <c r="I2241" s="9">
        <v>1049</v>
      </c>
      <c r="J2241" s="10">
        <v>15</v>
      </c>
      <c r="K2241" s="10">
        <v>3000194</v>
      </c>
      <c r="L2241" s="3" t="str">
        <f t="shared" si="69"/>
        <v>ΕΛΑΙΩΝΕΣ</v>
      </c>
    </row>
    <row r="2242" spans="1:12" s="3" customFormat="1" ht="24" x14ac:dyDescent="0.25">
      <c r="A2242" s="3" t="str">
        <f t="shared" si="68"/>
        <v>ΕΛΑΙΩΝΕΣSALONENQUE, ΔΙΠΛΗΣ ΚΑΤΕΥΘΥΝΣΗΣ</v>
      </c>
      <c r="B2242" s="4" t="s">
        <v>3545</v>
      </c>
      <c r="C2242" s="5" t="s">
        <v>4236</v>
      </c>
      <c r="D2242" s="6">
        <v>2736.21</v>
      </c>
      <c r="E2242" s="6">
        <v>3136.74</v>
      </c>
      <c r="F2242" s="7" t="s">
        <v>14</v>
      </c>
      <c r="G2242" s="8" t="s">
        <v>4237</v>
      </c>
      <c r="H2242" s="8" t="s">
        <v>16</v>
      </c>
      <c r="I2242" s="9">
        <v>1059</v>
      </c>
      <c r="J2242" s="10">
        <v>15</v>
      </c>
      <c r="K2242" s="10">
        <v>3000195</v>
      </c>
      <c r="L2242" s="3" t="str">
        <f t="shared" si="69"/>
        <v>ΕΛΑΙΩΝΕΣ</v>
      </c>
    </row>
    <row r="2243" spans="1:12" s="3" customFormat="1" ht="31.5" x14ac:dyDescent="0.25">
      <c r="A2243" s="3" t="str">
        <f t="shared" ref="A2243:A2306" si="70">_xlfn.CONCAT(B2243,C2243)</f>
        <v>ΕΛΑΙΩΝΕΣΣΤΡΟΓΓΥΛΟΛΙΑ (ΓΑΛΑΝΗ, ΠΡΑΣΙΝΟΛΙΑ), ΔΙΠΛΗΣ ΚΑΤΕΥΘΥΝΣΗΣ</v>
      </c>
      <c r="B2243" s="4" t="s">
        <v>3545</v>
      </c>
      <c r="C2243" s="5" t="s">
        <v>4238</v>
      </c>
      <c r="D2243" s="6">
        <v>2736.21</v>
      </c>
      <c r="E2243" s="6">
        <v>3136.74</v>
      </c>
      <c r="F2243" s="7" t="s">
        <v>14</v>
      </c>
      <c r="G2243" s="8" t="s">
        <v>4239</v>
      </c>
      <c r="H2243" s="8" t="s">
        <v>16</v>
      </c>
      <c r="I2243" s="9">
        <v>1051</v>
      </c>
      <c r="J2243" s="10">
        <v>15</v>
      </c>
      <c r="K2243" s="10">
        <v>3000196</v>
      </c>
      <c r="L2243" s="3" t="str">
        <f t="shared" ref="L2243:L2306" si="71">IFERROR(SUBSTITUTE(SUBSTITUTE(SUBSTITUTE(SUBSTITUTE(SUBSTITUTE(B2243, "-", "_"), " ", "_"), ",", ""), "(", ""), ")", ""), B2243)</f>
        <v>ΕΛΑΙΩΝΕΣ</v>
      </c>
    </row>
    <row r="2244" spans="1:12" s="3" customFormat="1" ht="15" customHeight="1" x14ac:dyDescent="0.25">
      <c r="A2244" s="3" t="str">
        <f t="shared" si="70"/>
        <v>ΕΛΑΙΩΝΕΣS. FRANCESCO, ΔΙΠΛΗΣ ΚΑΤΕΥΘΥΝΣΗΣ</v>
      </c>
      <c r="B2244" s="4" t="s">
        <v>3545</v>
      </c>
      <c r="C2244" s="5" t="s">
        <v>4240</v>
      </c>
      <c r="D2244" s="6">
        <v>2736.21</v>
      </c>
      <c r="E2244" s="6">
        <v>3136.74</v>
      </c>
      <c r="F2244" s="7" t="s">
        <v>14</v>
      </c>
      <c r="G2244" s="8" t="s">
        <v>4241</v>
      </c>
      <c r="H2244" s="8" t="s">
        <v>16</v>
      </c>
      <c r="I2244" s="9">
        <v>1043</v>
      </c>
      <c r="J2244" s="10">
        <v>15</v>
      </c>
      <c r="K2244" s="10">
        <v>3000197</v>
      </c>
      <c r="L2244" s="3" t="str">
        <f t="shared" si="71"/>
        <v>ΕΛΑΙΩΝΕΣ</v>
      </c>
    </row>
    <row r="2245" spans="1:12" s="3" customFormat="1" ht="15" customHeight="1" x14ac:dyDescent="0.25">
      <c r="A2245" s="3" t="str">
        <f t="shared" si="70"/>
        <v>ΕΛΑΙΩΝΕΣS. AGOSTINO (S. AUGUSTINE), ΔΙΠΛΗΣ ΚΑΤΕΥΘΥΝΣΗΣ</v>
      </c>
      <c r="B2245" s="4" t="s">
        <v>3545</v>
      </c>
      <c r="C2245" s="5" t="s">
        <v>4242</v>
      </c>
      <c r="D2245" s="6">
        <v>2736.21</v>
      </c>
      <c r="E2245" s="6">
        <v>3136.74</v>
      </c>
      <c r="F2245" s="7" t="s">
        <v>14</v>
      </c>
      <c r="G2245" s="8" t="s">
        <v>4243</v>
      </c>
      <c r="H2245" s="8" t="s">
        <v>16</v>
      </c>
      <c r="I2245" s="9">
        <v>1053</v>
      </c>
      <c r="J2245" s="10">
        <v>15</v>
      </c>
      <c r="K2245" s="10">
        <v>3000198</v>
      </c>
      <c r="L2245" s="3" t="str">
        <f t="shared" si="71"/>
        <v>ΕΛΑΙΩΝΕΣ</v>
      </c>
    </row>
    <row r="2246" spans="1:12" s="3" customFormat="1" ht="15" customHeight="1" x14ac:dyDescent="0.25">
      <c r="A2246" s="3" t="str">
        <f t="shared" si="70"/>
        <v>ΕΛΑΙΩΝΕΣSIGOISE, ΔΙΠΛΗΣ ΚΑΤΕΥΘΥΝΣΗΣ</v>
      </c>
      <c r="B2246" s="4" t="s">
        <v>3545</v>
      </c>
      <c r="C2246" s="5" t="s">
        <v>4244</v>
      </c>
      <c r="D2246" s="6">
        <v>2736.21</v>
      </c>
      <c r="E2246" s="6">
        <v>3136.74</v>
      </c>
      <c r="F2246" s="7" t="s">
        <v>14</v>
      </c>
      <c r="G2246" s="8" t="s">
        <v>4245</v>
      </c>
      <c r="H2246" s="8" t="s">
        <v>16</v>
      </c>
      <c r="I2246" s="9">
        <v>1054</v>
      </c>
      <c r="J2246" s="10">
        <v>15</v>
      </c>
      <c r="K2246" s="10">
        <v>3000199</v>
      </c>
      <c r="L2246" s="3" t="str">
        <f t="shared" si="71"/>
        <v>ΕΛΑΙΩΝΕΣ</v>
      </c>
    </row>
    <row r="2247" spans="1:12" s="3" customFormat="1" ht="15" customHeight="1" x14ac:dyDescent="0.25">
      <c r="A2247" s="3" t="str">
        <f t="shared" si="70"/>
        <v>ΕΛΑΙΩΝΕΣΤΡΑΓΟΛΙΑ, ΔΙΠΛΗΣ ΚΑΤΕΥΘΥΝΣΗΣ</v>
      </c>
      <c r="B2247" s="4" t="s">
        <v>3545</v>
      </c>
      <c r="C2247" s="5" t="s">
        <v>4246</v>
      </c>
      <c r="D2247" s="6">
        <v>2736.21</v>
      </c>
      <c r="E2247" s="6">
        <v>3136.74</v>
      </c>
      <c r="F2247" s="7" t="s">
        <v>14</v>
      </c>
      <c r="G2247" s="8" t="s">
        <v>4247</v>
      </c>
      <c r="H2247" s="8" t="s">
        <v>16</v>
      </c>
      <c r="I2247" s="9">
        <v>1055</v>
      </c>
      <c r="J2247" s="10">
        <v>15</v>
      </c>
      <c r="K2247" s="10">
        <v>3000200</v>
      </c>
      <c r="L2247" s="3" t="str">
        <f t="shared" si="71"/>
        <v>ΕΛΑΙΩΝΕΣ</v>
      </c>
    </row>
    <row r="2248" spans="1:12" s="3" customFormat="1" ht="15" customHeight="1" x14ac:dyDescent="0.25">
      <c r="A2248" s="3" t="str">
        <f t="shared" si="70"/>
        <v>ΕΛΑΙΩΝΕΣΤΣΟΥΝΑΤΗ (ΜΑΤΣΟΛΗΑ, ΑΘΗΝΟΛΙΑ), ΔΙΠΛΗΣ ΚΑΤΕΥΘΥΝΣΗΣ</v>
      </c>
      <c r="B2248" s="4" t="s">
        <v>3545</v>
      </c>
      <c r="C2248" s="5" t="s">
        <v>4248</v>
      </c>
      <c r="D2248" s="6">
        <v>2736.21</v>
      </c>
      <c r="E2248" s="6">
        <v>3136.74</v>
      </c>
      <c r="F2248" s="7" t="s">
        <v>14</v>
      </c>
      <c r="G2248" s="8" t="s">
        <v>4249</v>
      </c>
      <c r="H2248" s="8" t="s">
        <v>16</v>
      </c>
      <c r="I2248" s="9">
        <v>1056</v>
      </c>
      <c r="J2248" s="10">
        <v>15</v>
      </c>
      <c r="K2248" s="10">
        <v>3000201</v>
      </c>
      <c r="L2248" s="3" t="str">
        <f t="shared" si="71"/>
        <v>ΕΛΑΙΩΝΕΣ</v>
      </c>
    </row>
    <row r="2249" spans="1:12" s="3" customFormat="1" ht="15" customHeight="1" x14ac:dyDescent="0.25">
      <c r="A2249" s="3" t="str">
        <f t="shared" si="70"/>
        <v>ΕΛΑΙΩΝΕΣFRANTOIO, ΔΙΠΛΗΣ ΚΑΤΕΥΘΥΝΣΗΣ</v>
      </c>
      <c r="B2249" s="4" t="s">
        <v>3545</v>
      </c>
      <c r="C2249" s="5" t="s">
        <v>4250</v>
      </c>
      <c r="D2249" s="6">
        <v>2736.21</v>
      </c>
      <c r="E2249" s="6">
        <v>3136.74</v>
      </c>
      <c r="F2249" s="7" t="s">
        <v>14</v>
      </c>
      <c r="G2249" s="8" t="s">
        <v>4251</v>
      </c>
      <c r="H2249" s="8" t="s">
        <v>16</v>
      </c>
      <c r="I2249" s="9">
        <v>1057</v>
      </c>
      <c r="J2249" s="10">
        <v>15</v>
      </c>
      <c r="K2249" s="10">
        <v>3000202</v>
      </c>
      <c r="L2249" s="3" t="str">
        <f t="shared" si="71"/>
        <v>ΕΛΑΙΩΝΕΣ</v>
      </c>
    </row>
    <row r="2250" spans="1:12" s="3" customFormat="1" ht="15" customHeight="1" x14ac:dyDescent="0.25">
      <c r="A2250" s="3" t="str">
        <f t="shared" si="70"/>
        <v>ΕΛΑΙΩΝΕΣΧΑΛΚΙΔΙΚΗΣ, ΔΙΠΛΗΣ ΚΑΤΕΥΘΥΝΣΗΣ</v>
      </c>
      <c r="B2250" s="4" t="s">
        <v>3545</v>
      </c>
      <c r="C2250" s="5" t="s">
        <v>4252</v>
      </c>
      <c r="D2250" s="6">
        <v>2736.21</v>
      </c>
      <c r="E2250" s="6">
        <v>3136.74</v>
      </c>
      <c r="F2250" s="7" t="s">
        <v>14</v>
      </c>
      <c r="G2250" s="8" t="s">
        <v>4253</v>
      </c>
      <c r="H2250" s="8" t="s">
        <v>16</v>
      </c>
      <c r="I2250" s="9">
        <v>1035</v>
      </c>
      <c r="J2250" s="10">
        <v>15</v>
      </c>
      <c r="K2250" s="10">
        <v>3000203</v>
      </c>
      <c r="L2250" s="3" t="str">
        <f t="shared" si="71"/>
        <v>ΕΛΑΙΩΝΕΣ</v>
      </c>
    </row>
    <row r="2251" spans="1:12" s="3" customFormat="1" ht="15" customHeight="1" x14ac:dyDescent="0.25">
      <c r="A2251" s="3" t="str">
        <f t="shared" si="70"/>
        <v>ΕΛΑΙΩΝΕΣΧΟΝΔΡΟΛΗΑ, ΔΙΠΛΗΣ ΚΑΤΕΥΘΥΝΣΗΣ</v>
      </c>
      <c r="B2251" s="4" t="s">
        <v>3545</v>
      </c>
      <c r="C2251" s="5" t="s">
        <v>4254</v>
      </c>
      <c r="D2251" s="6">
        <v>2736.21</v>
      </c>
      <c r="E2251" s="6">
        <v>3136.74</v>
      </c>
      <c r="F2251" s="7" t="s">
        <v>14</v>
      </c>
      <c r="G2251" s="8" t="s">
        <v>4255</v>
      </c>
      <c r="H2251" s="8" t="s">
        <v>16</v>
      </c>
      <c r="I2251" s="9">
        <v>1052</v>
      </c>
      <c r="J2251" s="10">
        <v>15</v>
      </c>
      <c r="K2251" s="10">
        <v>3000204</v>
      </c>
      <c r="L2251" s="3" t="str">
        <f t="shared" si="71"/>
        <v>ΕΛΑΙΩΝΕΣ</v>
      </c>
    </row>
    <row r="2252" spans="1:12" s="3" customFormat="1" ht="15" customHeight="1" x14ac:dyDescent="0.25">
      <c r="A2252" s="3" t="str">
        <f t="shared" si="70"/>
        <v>ΕΛΑΙΩΝΕΣΧΟΝΔΡΟΛΗΑ ΧΑΛΚΙΔΙΚΗΣ, ΔΙΠΛΗΣ ΚΑΤΕΥΘΥΝΣΗΣ</v>
      </c>
      <c r="B2252" s="4" t="s">
        <v>3545</v>
      </c>
      <c r="C2252" s="5" t="s">
        <v>4256</v>
      </c>
      <c r="D2252" s="6">
        <v>2736.21</v>
      </c>
      <c r="E2252" s="6">
        <v>3136.74</v>
      </c>
      <c r="F2252" s="7" t="s">
        <v>14</v>
      </c>
      <c r="G2252" s="8" t="s">
        <v>4257</v>
      </c>
      <c r="H2252" s="8" t="s">
        <v>16</v>
      </c>
      <c r="I2252" s="9">
        <v>1050</v>
      </c>
      <c r="J2252" s="10">
        <v>15</v>
      </c>
      <c r="K2252" s="10">
        <v>3000205</v>
      </c>
      <c r="L2252" s="3" t="str">
        <f t="shared" si="71"/>
        <v>ΕΛΑΙΩΝΕΣ</v>
      </c>
    </row>
    <row r="2253" spans="1:12" s="3" customFormat="1" ht="15" customHeight="1" x14ac:dyDescent="0.25">
      <c r="A2253" s="3" t="str">
        <f t="shared" si="70"/>
        <v>ΕΛΑΙΩΝΕΣΧΡΥΣΟΛΙΑ, ΔΙΠΛΗΣ ΚΑΤΕΥΘΥΝΣΗΣ</v>
      </c>
      <c r="B2253" s="4" t="s">
        <v>3545</v>
      </c>
      <c r="C2253" s="5" t="s">
        <v>4258</v>
      </c>
      <c r="D2253" s="6">
        <v>2736.21</v>
      </c>
      <c r="E2253" s="6">
        <v>3136.74</v>
      </c>
      <c r="F2253" s="7" t="s">
        <v>14</v>
      </c>
      <c r="G2253" s="8" t="s">
        <v>4259</v>
      </c>
      <c r="H2253" s="8" t="s">
        <v>16</v>
      </c>
      <c r="I2253" s="9">
        <v>1028</v>
      </c>
      <c r="J2253" s="10">
        <v>15</v>
      </c>
      <c r="K2253" s="10">
        <v>3000206</v>
      </c>
      <c r="L2253" s="3" t="str">
        <f t="shared" si="71"/>
        <v>ΕΛΑΙΩΝΕΣ</v>
      </c>
    </row>
    <row r="2254" spans="1:12" s="3" customFormat="1" ht="15" customHeight="1" x14ac:dyDescent="0.25">
      <c r="A2254" s="3" t="str">
        <f t="shared" si="70"/>
        <v>ΕΛΑΙΩΝΕΣSEVILLANO, ΔΙΠΛΗΣ ΚΑΤΕΥΘΥΝΣΗΣ</v>
      </c>
      <c r="B2254" s="4" t="s">
        <v>3545</v>
      </c>
      <c r="C2254" s="5" t="s">
        <v>4260</v>
      </c>
      <c r="D2254" s="6">
        <v>2736.21</v>
      </c>
      <c r="E2254" s="6">
        <v>3136.74</v>
      </c>
      <c r="F2254" s="7" t="s">
        <v>14</v>
      </c>
      <c r="G2254" s="8" t="s">
        <v>4261</v>
      </c>
      <c r="H2254" s="8" t="s">
        <v>16</v>
      </c>
      <c r="I2254" s="9">
        <v>1029</v>
      </c>
      <c r="J2254" s="10">
        <v>15</v>
      </c>
      <c r="K2254" s="10">
        <v>3000207</v>
      </c>
      <c r="L2254" s="3" t="str">
        <f t="shared" si="71"/>
        <v>ΕΛΑΙΩΝΕΣ</v>
      </c>
    </row>
    <row r="2255" spans="1:12" s="3" customFormat="1" ht="15" customHeight="1" x14ac:dyDescent="0.25">
      <c r="A2255" s="3" t="str">
        <f t="shared" si="70"/>
        <v>ΕΛΑΙΩΝΕΣOBLONCA, ΔΙΠΛΗΣ ΚΑΤΕΥΘΥΝΣΗΣ</v>
      </c>
      <c r="B2255" s="4" t="s">
        <v>3545</v>
      </c>
      <c r="C2255" s="5" t="s">
        <v>4262</v>
      </c>
      <c r="D2255" s="6">
        <v>2736.21</v>
      </c>
      <c r="E2255" s="6">
        <v>3136.74</v>
      </c>
      <c r="F2255" s="7" t="s">
        <v>14</v>
      </c>
      <c r="G2255" s="8" t="s">
        <v>4263</v>
      </c>
      <c r="H2255" s="8" t="s">
        <v>16</v>
      </c>
      <c r="I2255" s="9">
        <v>945</v>
      </c>
      <c r="J2255" s="10">
        <v>15</v>
      </c>
      <c r="K2255" s="10">
        <v>3000208</v>
      </c>
      <c r="L2255" s="3" t="str">
        <f t="shared" si="71"/>
        <v>ΕΛΑΙΩΝΕΣ</v>
      </c>
    </row>
    <row r="2256" spans="1:12" s="3" customFormat="1" ht="15" customHeight="1" x14ac:dyDescent="0.25">
      <c r="A2256" s="3" t="str">
        <f t="shared" si="70"/>
        <v>ΕΛΑΙΩΝΕΣKADESH, ΔΙΠΛΗΣ ΚΑΤΕΥΘΥΝΣΗΣ</v>
      </c>
      <c r="B2256" s="4" t="s">
        <v>3545</v>
      </c>
      <c r="C2256" s="5" t="s">
        <v>4264</v>
      </c>
      <c r="D2256" s="6">
        <v>2736.21</v>
      </c>
      <c r="E2256" s="6">
        <v>3136.74</v>
      </c>
      <c r="F2256" s="7" t="s">
        <v>14</v>
      </c>
      <c r="G2256" s="8" t="s">
        <v>4265</v>
      </c>
      <c r="H2256" s="8" t="s">
        <v>16</v>
      </c>
      <c r="I2256" s="9">
        <v>1030</v>
      </c>
      <c r="J2256" s="10">
        <v>15</v>
      </c>
      <c r="K2256" s="10">
        <v>3000209</v>
      </c>
      <c r="L2256" s="3" t="str">
        <f t="shared" si="71"/>
        <v>ΕΛΑΙΩΝΕΣ</v>
      </c>
    </row>
    <row r="2257" spans="1:12" s="3" customFormat="1" ht="15" customHeight="1" x14ac:dyDescent="0.25">
      <c r="A2257" s="3" t="str">
        <f t="shared" si="70"/>
        <v>ΕΛΑΙΩΝΕΣSOYRI, ΔΙΠΛΗΣ ΚΑΤΕΥΘΥΝΣΗΣ</v>
      </c>
      <c r="B2257" s="4" t="s">
        <v>3545</v>
      </c>
      <c r="C2257" s="5" t="s">
        <v>4266</v>
      </c>
      <c r="D2257" s="6">
        <v>2736.21</v>
      </c>
      <c r="E2257" s="6">
        <v>3136.74</v>
      </c>
      <c r="F2257" s="7" t="s">
        <v>14</v>
      </c>
      <c r="G2257" s="8" t="s">
        <v>4267</v>
      </c>
      <c r="H2257" s="8" t="s">
        <v>16</v>
      </c>
      <c r="I2257" s="9">
        <v>819</v>
      </c>
      <c r="J2257" s="10">
        <v>15</v>
      </c>
      <c r="K2257" s="10">
        <v>3000210</v>
      </c>
      <c r="L2257" s="3" t="str">
        <f t="shared" si="71"/>
        <v>ΕΛΑΙΩΝΕΣ</v>
      </c>
    </row>
    <row r="2258" spans="1:12" s="3" customFormat="1" ht="15" customHeight="1" x14ac:dyDescent="0.25">
      <c r="A2258" s="3" t="str">
        <f t="shared" si="70"/>
        <v>ΕΛΑΙΩΝΕΣZARZARIEGA, ΔΙΠΛΗΣ ΚΑΤΕΥΘΥΝΣΗΣ</v>
      </c>
      <c r="B2258" s="4" t="s">
        <v>3545</v>
      </c>
      <c r="C2258" s="5" t="s">
        <v>4268</v>
      </c>
      <c r="D2258" s="6">
        <v>2736.21</v>
      </c>
      <c r="E2258" s="6">
        <v>3136.74</v>
      </c>
      <c r="F2258" s="7" t="s">
        <v>14</v>
      </c>
      <c r="G2258" s="8" t="s">
        <v>4269</v>
      </c>
      <c r="H2258" s="8" t="s">
        <v>16</v>
      </c>
      <c r="I2258" s="9">
        <v>1031</v>
      </c>
      <c r="J2258" s="10">
        <v>15</v>
      </c>
      <c r="K2258" s="10">
        <v>3000211</v>
      </c>
      <c r="L2258" s="3" t="str">
        <f t="shared" si="71"/>
        <v>ΕΛΑΙΩΝΕΣ</v>
      </c>
    </row>
    <row r="2259" spans="1:12" s="3" customFormat="1" ht="15" customHeight="1" x14ac:dyDescent="0.25">
      <c r="A2259" s="3" t="str">
        <f t="shared" si="70"/>
        <v>ΕΛΑΙΩΝΕΣCORNICABRA, ΔΙΠΛΗΣ ΚΑΤΕΥΘΥΝΣΗΣ</v>
      </c>
      <c r="B2259" s="4" t="s">
        <v>3545</v>
      </c>
      <c r="C2259" s="5" t="s">
        <v>4270</v>
      </c>
      <c r="D2259" s="6">
        <v>2736.21</v>
      </c>
      <c r="E2259" s="6">
        <v>3136.74</v>
      </c>
      <c r="F2259" s="7" t="s">
        <v>14</v>
      </c>
      <c r="G2259" s="8" t="s">
        <v>4271</v>
      </c>
      <c r="H2259" s="8" t="s">
        <v>16</v>
      </c>
      <c r="I2259" s="9">
        <v>1032</v>
      </c>
      <c r="J2259" s="10">
        <v>15</v>
      </c>
      <c r="K2259" s="10">
        <v>3000212</v>
      </c>
      <c r="L2259" s="3" t="str">
        <f t="shared" si="71"/>
        <v>ΕΛΑΙΩΝΕΣ</v>
      </c>
    </row>
    <row r="2260" spans="1:12" s="3" customFormat="1" ht="15" customHeight="1" x14ac:dyDescent="0.25">
      <c r="A2260" s="3" t="str">
        <f t="shared" si="70"/>
        <v>ΕΛΑΙΩΝΕΣECIJANO, ΔΙΠΛΗΣ ΚΑΤΕΥΘΥΝΣΗΣ</v>
      </c>
      <c r="B2260" s="4" t="s">
        <v>3545</v>
      </c>
      <c r="C2260" s="5" t="s">
        <v>4272</v>
      </c>
      <c r="D2260" s="6">
        <v>2736.21</v>
      </c>
      <c r="E2260" s="6">
        <v>3136.74</v>
      </c>
      <c r="F2260" s="7" t="s">
        <v>14</v>
      </c>
      <c r="G2260" s="8" t="s">
        <v>4273</v>
      </c>
      <c r="H2260" s="8" t="s">
        <v>16</v>
      </c>
      <c r="I2260" s="9">
        <v>1042</v>
      </c>
      <c r="J2260" s="10">
        <v>15</v>
      </c>
      <c r="K2260" s="10">
        <v>3000213</v>
      </c>
      <c r="L2260" s="3" t="str">
        <f t="shared" si="71"/>
        <v>ΕΛΑΙΩΝΕΣ</v>
      </c>
    </row>
    <row r="2261" spans="1:12" s="3" customFormat="1" ht="15" customHeight="1" x14ac:dyDescent="0.25">
      <c r="A2261" s="3" t="str">
        <f t="shared" si="70"/>
        <v>ΕΛΑΙΩΝΕΣVERDIAL, ΔΙΠΛΗΣ ΚΑΤΕΥΘΥΝΣΗΣ</v>
      </c>
      <c r="B2261" s="4" t="s">
        <v>3545</v>
      </c>
      <c r="C2261" s="5" t="s">
        <v>4274</v>
      </c>
      <c r="D2261" s="6">
        <v>2736.21</v>
      </c>
      <c r="E2261" s="6">
        <v>3136.74</v>
      </c>
      <c r="F2261" s="7" t="s">
        <v>14</v>
      </c>
      <c r="G2261" s="8" t="s">
        <v>4275</v>
      </c>
      <c r="H2261" s="8" t="s">
        <v>16</v>
      </c>
      <c r="I2261" s="9">
        <v>1034</v>
      </c>
      <c r="J2261" s="10">
        <v>15</v>
      </c>
      <c r="K2261" s="10">
        <v>3000214</v>
      </c>
      <c r="L2261" s="3" t="str">
        <f t="shared" si="71"/>
        <v>ΕΛΑΙΩΝΕΣ</v>
      </c>
    </row>
    <row r="2262" spans="1:12" s="3" customFormat="1" ht="15" customHeight="1" x14ac:dyDescent="0.25">
      <c r="A2262" s="3" t="str">
        <f t="shared" si="70"/>
        <v>ΕΛΑΙΩΝΕΣBAROUNI, ΔΙΠΛΗΣ ΚΑΤΕΥΘΥΝΣΗΣ</v>
      </c>
      <c r="B2262" s="4" t="s">
        <v>3545</v>
      </c>
      <c r="C2262" s="5" t="s">
        <v>4276</v>
      </c>
      <c r="D2262" s="6">
        <v>2736.21</v>
      </c>
      <c r="E2262" s="6">
        <v>3136.74</v>
      </c>
      <c r="F2262" s="7" t="s">
        <v>14</v>
      </c>
      <c r="G2262" s="8" t="s">
        <v>4277</v>
      </c>
      <c r="H2262" s="8" t="s">
        <v>16</v>
      </c>
      <c r="I2262" s="9">
        <v>1027</v>
      </c>
      <c r="J2262" s="10">
        <v>15</v>
      </c>
      <c r="K2262" s="10">
        <v>3000215</v>
      </c>
      <c r="L2262" s="3" t="str">
        <f t="shared" si="71"/>
        <v>ΕΛΑΙΩΝΕΣ</v>
      </c>
    </row>
    <row r="2263" spans="1:12" s="3" customFormat="1" ht="15" customHeight="1" x14ac:dyDescent="0.25">
      <c r="A2263" s="3" t="str">
        <f t="shared" si="70"/>
        <v>ΕΛΑΙΩΝΕΣPIACENTE, ΔΙΠΛΗΣ ΚΑΤΕΥΘΥΝΣΗΣ</v>
      </c>
      <c r="B2263" s="4" t="s">
        <v>3545</v>
      </c>
      <c r="C2263" s="5" t="s">
        <v>4278</v>
      </c>
      <c r="D2263" s="6">
        <v>2736.21</v>
      </c>
      <c r="E2263" s="6">
        <v>3136.74</v>
      </c>
      <c r="F2263" s="7" t="s">
        <v>14</v>
      </c>
      <c r="G2263" s="8" t="s">
        <v>4279</v>
      </c>
      <c r="H2263" s="8" t="s">
        <v>16</v>
      </c>
      <c r="I2263" s="9">
        <v>1036</v>
      </c>
      <c r="J2263" s="10">
        <v>15</v>
      </c>
      <c r="K2263" s="10">
        <v>3000216</v>
      </c>
      <c r="L2263" s="3" t="str">
        <f t="shared" si="71"/>
        <v>ΕΛΑΙΩΝΕΣ</v>
      </c>
    </row>
    <row r="2264" spans="1:12" s="3" customFormat="1" ht="15" customHeight="1" x14ac:dyDescent="0.25">
      <c r="A2264" s="3" t="str">
        <f t="shared" si="70"/>
        <v>ΕΛΑΙΩΝΕΣDOLCE AGOCIA, ΔΙΠΛΗΣ ΚΑΤΕΥΘΥΝΣΗΣ</v>
      </c>
      <c r="B2264" s="4" t="s">
        <v>3545</v>
      </c>
      <c r="C2264" s="5" t="s">
        <v>4280</v>
      </c>
      <c r="D2264" s="6">
        <v>2736.21</v>
      </c>
      <c r="E2264" s="6">
        <v>3136.74</v>
      </c>
      <c r="F2264" s="7" t="s">
        <v>14</v>
      </c>
      <c r="G2264" s="8" t="s">
        <v>4281</v>
      </c>
      <c r="H2264" s="8" t="s">
        <v>16</v>
      </c>
      <c r="I2264" s="9">
        <v>1037</v>
      </c>
      <c r="J2264" s="10">
        <v>15</v>
      </c>
      <c r="K2264" s="10">
        <v>3000217</v>
      </c>
      <c r="L2264" s="3" t="str">
        <f t="shared" si="71"/>
        <v>ΕΛΑΙΩΝΕΣ</v>
      </c>
    </row>
    <row r="2265" spans="1:12" s="3" customFormat="1" ht="15" customHeight="1" x14ac:dyDescent="0.25">
      <c r="A2265" s="3" t="str">
        <f t="shared" si="70"/>
        <v>ΕΛΑΙΩΝΕΣHOJIBLANCA, ΔΙΠΛΗΣ ΚΑΤΕΥΘΥΝΣΗΣ</v>
      </c>
      <c r="B2265" s="4" t="s">
        <v>3545</v>
      </c>
      <c r="C2265" s="5" t="s">
        <v>4282</v>
      </c>
      <c r="D2265" s="6">
        <v>2736.21</v>
      </c>
      <c r="E2265" s="6">
        <v>3136.74</v>
      </c>
      <c r="F2265" s="7" t="s">
        <v>14</v>
      </c>
      <c r="G2265" s="8" t="s">
        <v>4283</v>
      </c>
      <c r="H2265" s="8" t="s">
        <v>16</v>
      </c>
      <c r="I2265" s="9">
        <v>1038</v>
      </c>
      <c r="J2265" s="10">
        <v>15</v>
      </c>
      <c r="K2265" s="10">
        <v>3000218</v>
      </c>
      <c r="L2265" s="3" t="str">
        <f t="shared" si="71"/>
        <v>ΕΛΑΙΩΝΕΣ</v>
      </c>
    </row>
    <row r="2266" spans="1:12" s="3" customFormat="1" ht="15" customHeight="1" x14ac:dyDescent="0.25">
      <c r="A2266" s="3" t="str">
        <f t="shared" si="70"/>
        <v>ΕΛΑΙΩΝΕΣCORATINA, ΔΙΠΛΗΣ ΚΑΤΕΥΘΥΝΣΗΣ</v>
      </c>
      <c r="B2266" s="4" t="s">
        <v>3545</v>
      </c>
      <c r="C2266" s="5" t="s">
        <v>4284</v>
      </c>
      <c r="D2266" s="6">
        <v>2736.21</v>
      </c>
      <c r="E2266" s="6">
        <v>3136.74</v>
      </c>
      <c r="F2266" s="7" t="s">
        <v>14</v>
      </c>
      <c r="G2266" s="8" t="s">
        <v>4285</v>
      </c>
      <c r="H2266" s="8" t="s">
        <v>16</v>
      </c>
      <c r="I2266" s="9">
        <v>1039</v>
      </c>
      <c r="J2266" s="10">
        <v>15</v>
      </c>
      <c r="K2266" s="10">
        <v>3000219</v>
      </c>
      <c r="L2266" s="3" t="str">
        <f t="shared" si="71"/>
        <v>ΕΛΑΙΩΝΕΣ</v>
      </c>
    </row>
    <row r="2267" spans="1:12" s="3" customFormat="1" ht="15" customHeight="1" x14ac:dyDescent="0.25">
      <c r="A2267" s="3" t="str">
        <f t="shared" si="70"/>
        <v>ΕΛΑΙΩΝΕΣNEGRAL, ΔΙΠΛΗΣ ΚΑΤΕΥΘΥΝΣΗΣ</v>
      </c>
      <c r="B2267" s="4" t="s">
        <v>3545</v>
      </c>
      <c r="C2267" s="5" t="s">
        <v>4286</v>
      </c>
      <c r="D2267" s="6">
        <v>2736.21</v>
      </c>
      <c r="E2267" s="6">
        <v>3136.74</v>
      </c>
      <c r="F2267" s="7" t="s">
        <v>14</v>
      </c>
      <c r="G2267" s="8" t="s">
        <v>4287</v>
      </c>
      <c r="H2267" s="8" t="s">
        <v>16</v>
      </c>
      <c r="I2267" s="9">
        <v>1040</v>
      </c>
      <c r="J2267" s="10">
        <v>15</v>
      </c>
      <c r="K2267" s="10">
        <v>3000220</v>
      </c>
      <c r="L2267" s="3" t="str">
        <f t="shared" si="71"/>
        <v>ΕΛΑΙΩΝΕΣ</v>
      </c>
    </row>
    <row r="2268" spans="1:12" s="3" customFormat="1" ht="24" x14ac:dyDescent="0.25">
      <c r="A2268" s="3" t="str">
        <f t="shared" si="70"/>
        <v>ΕΛΑΙΩΝΕΣFARGA, ΔΙΠΛΗΣ ΚΑΤΕΥΘΥΝΣΗΣ</v>
      </c>
      <c r="B2268" s="4" t="s">
        <v>3545</v>
      </c>
      <c r="C2268" s="5" t="s">
        <v>4288</v>
      </c>
      <c r="D2268" s="6">
        <v>2736.21</v>
      </c>
      <c r="E2268" s="6">
        <v>3136.74</v>
      </c>
      <c r="F2268" s="7" t="s">
        <v>14</v>
      </c>
      <c r="G2268" s="8" t="s">
        <v>4289</v>
      </c>
      <c r="H2268" s="8" t="s">
        <v>16</v>
      </c>
      <c r="I2268" s="9">
        <v>987</v>
      </c>
      <c r="J2268" s="10">
        <v>15</v>
      </c>
      <c r="K2268" s="10">
        <v>3000221</v>
      </c>
      <c r="L2268" s="3" t="str">
        <f t="shared" si="71"/>
        <v>ΕΛΑΙΩΝΕΣ</v>
      </c>
    </row>
    <row r="2269" spans="1:12" s="3" customFormat="1" ht="24" x14ac:dyDescent="0.25">
      <c r="A2269" s="3" t="str">
        <f t="shared" si="70"/>
        <v>ΕΛΑΙΩΝΕΣNABAL, ΔΙΠΛΗΣ ΚΑΤΕΥΘΥΝΣΗΣ</v>
      </c>
      <c r="B2269" s="4" t="s">
        <v>3545</v>
      </c>
      <c r="C2269" s="5" t="s">
        <v>4290</v>
      </c>
      <c r="D2269" s="6">
        <v>2736.21</v>
      </c>
      <c r="E2269" s="6">
        <v>3136.74</v>
      </c>
      <c r="F2269" s="7" t="s">
        <v>14</v>
      </c>
      <c r="G2269" s="8" t="s">
        <v>4291</v>
      </c>
      <c r="H2269" s="8" t="s">
        <v>16</v>
      </c>
      <c r="I2269" s="9">
        <v>1044</v>
      </c>
      <c r="J2269" s="10">
        <v>15</v>
      </c>
      <c r="K2269" s="10">
        <v>3000222</v>
      </c>
      <c r="L2269" s="3" t="str">
        <f t="shared" si="71"/>
        <v>ΕΛΑΙΩΝΕΣ</v>
      </c>
    </row>
    <row r="2270" spans="1:12" s="3" customFormat="1" ht="24" x14ac:dyDescent="0.25">
      <c r="A2270" s="3" t="str">
        <f t="shared" si="70"/>
        <v>ΕΛΑΙΩΝΕΣMORISCA, ΔΙΠΛΗΣ ΚΑΤΕΥΘΥΝΣΗΣ</v>
      </c>
      <c r="B2270" s="4" t="s">
        <v>3545</v>
      </c>
      <c r="C2270" s="5" t="s">
        <v>4292</v>
      </c>
      <c r="D2270" s="6">
        <v>2736.21</v>
      </c>
      <c r="E2270" s="6">
        <v>3136.74</v>
      </c>
      <c r="F2270" s="7" t="s">
        <v>14</v>
      </c>
      <c r="G2270" s="8" t="s">
        <v>4293</v>
      </c>
      <c r="H2270" s="8" t="s">
        <v>16</v>
      </c>
      <c r="I2270" s="9">
        <v>996</v>
      </c>
      <c r="J2270" s="10">
        <v>15</v>
      </c>
      <c r="K2270" s="10">
        <v>3000223</v>
      </c>
      <c r="L2270" s="3" t="str">
        <f t="shared" si="71"/>
        <v>ΕΛΑΙΩΝΕΣ</v>
      </c>
    </row>
    <row r="2271" spans="1:12" s="3" customFormat="1" ht="24" x14ac:dyDescent="0.25">
      <c r="A2271" s="3" t="str">
        <f t="shared" si="70"/>
        <v>ΕΛΑΙΩΝΕΣEMPELTRE, ΔΙΠΛΗΣ ΚΑΤΕΥΘΥΝΣΗΣ</v>
      </c>
      <c r="B2271" s="4" t="s">
        <v>3545</v>
      </c>
      <c r="C2271" s="5" t="s">
        <v>4294</v>
      </c>
      <c r="D2271" s="6">
        <v>2736.21</v>
      </c>
      <c r="E2271" s="6">
        <v>3136.74</v>
      </c>
      <c r="F2271" s="7" t="s">
        <v>14</v>
      </c>
      <c r="G2271" s="8" t="s">
        <v>4295</v>
      </c>
      <c r="H2271" s="8" t="s">
        <v>16</v>
      </c>
      <c r="I2271" s="9">
        <v>948</v>
      </c>
      <c r="J2271" s="10">
        <v>15</v>
      </c>
      <c r="K2271" s="10">
        <v>3000224</v>
      </c>
      <c r="L2271" s="3" t="str">
        <f t="shared" si="71"/>
        <v>ΕΛΑΙΩΝΕΣ</v>
      </c>
    </row>
    <row r="2272" spans="1:12" s="3" customFormat="1" ht="24" x14ac:dyDescent="0.25">
      <c r="A2272" s="3" t="str">
        <f t="shared" si="70"/>
        <v>ΕΛΑΙΩΝΕΣCASALIVA, ΔΙΠΛΗΣ ΚΑΤΕΥΘΥΝΣΗΣ</v>
      </c>
      <c r="B2272" s="4" t="s">
        <v>3545</v>
      </c>
      <c r="C2272" s="5" t="s">
        <v>4296</v>
      </c>
      <c r="D2272" s="6">
        <v>2736.21</v>
      </c>
      <c r="E2272" s="6">
        <v>3136.74</v>
      </c>
      <c r="F2272" s="7" t="s">
        <v>14</v>
      </c>
      <c r="G2272" s="8" t="s">
        <v>4297</v>
      </c>
      <c r="H2272" s="8" t="s">
        <v>16</v>
      </c>
      <c r="I2272" s="9">
        <v>949</v>
      </c>
      <c r="J2272" s="10">
        <v>15</v>
      </c>
      <c r="K2272" s="10">
        <v>3000225</v>
      </c>
      <c r="L2272" s="3" t="str">
        <f t="shared" si="71"/>
        <v>ΕΛΑΙΩΝΕΣ</v>
      </c>
    </row>
    <row r="2273" spans="1:12" s="3" customFormat="1" ht="24" x14ac:dyDescent="0.25">
      <c r="A2273" s="3" t="str">
        <f t="shared" si="70"/>
        <v>ΕΛΑΙΩΝΕΣLEUCOCARPA, ΔΙΠΛΗΣ ΚΑΤΕΥΘΥΝΣΗΣ</v>
      </c>
      <c r="B2273" s="4" t="s">
        <v>3545</v>
      </c>
      <c r="C2273" s="5" t="s">
        <v>4298</v>
      </c>
      <c r="D2273" s="6">
        <v>2736.21</v>
      </c>
      <c r="E2273" s="6">
        <v>3136.74</v>
      </c>
      <c r="F2273" s="7" t="s">
        <v>14</v>
      </c>
      <c r="G2273" s="8" t="s">
        <v>4299</v>
      </c>
      <c r="H2273" s="8" t="s">
        <v>16</v>
      </c>
      <c r="I2273" s="9">
        <v>950</v>
      </c>
      <c r="J2273" s="10">
        <v>15</v>
      </c>
      <c r="K2273" s="10">
        <v>3000226</v>
      </c>
      <c r="L2273" s="3" t="str">
        <f t="shared" si="71"/>
        <v>ΕΛΑΙΩΝΕΣ</v>
      </c>
    </row>
    <row r="2274" spans="1:12" s="3" customFormat="1" ht="24" x14ac:dyDescent="0.25">
      <c r="A2274" s="3" t="str">
        <f t="shared" si="70"/>
        <v>ΕΛΑΙΩΝΕΣCORNEZUELO, ΔΙΠΛΗΣ ΚΑΤΕΥΘΥΝΣΗΣ</v>
      </c>
      <c r="B2274" s="4" t="s">
        <v>3545</v>
      </c>
      <c r="C2274" s="5" t="s">
        <v>4300</v>
      </c>
      <c r="D2274" s="6">
        <v>2736.21</v>
      </c>
      <c r="E2274" s="6">
        <v>3136.74</v>
      </c>
      <c r="F2274" s="7" t="s">
        <v>14</v>
      </c>
      <c r="G2274" s="8" t="s">
        <v>4301</v>
      </c>
      <c r="H2274" s="8" t="s">
        <v>16</v>
      </c>
      <c r="I2274" s="9">
        <v>951</v>
      </c>
      <c r="J2274" s="10">
        <v>15</v>
      </c>
      <c r="K2274" s="10">
        <v>3000227</v>
      </c>
      <c r="L2274" s="3" t="str">
        <f t="shared" si="71"/>
        <v>ΕΛΑΙΩΝΕΣ</v>
      </c>
    </row>
    <row r="2275" spans="1:12" s="3" customFormat="1" ht="24" x14ac:dyDescent="0.25">
      <c r="A2275" s="3" t="str">
        <f t="shared" si="70"/>
        <v>ΕΛΑΙΩΝΕΣRAZZOLA, ΔΙΠΛΗΣ ΚΑΤΕΥΘΥΝΣΗΣ</v>
      </c>
      <c r="B2275" s="4" t="s">
        <v>3545</v>
      </c>
      <c r="C2275" s="5" t="s">
        <v>4302</v>
      </c>
      <c r="D2275" s="6">
        <v>2736.21</v>
      </c>
      <c r="E2275" s="6">
        <v>3136.74</v>
      </c>
      <c r="F2275" s="7" t="s">
        <v>14</v>
      </c>
      <c r="G2275" s="8" t="s">
        <v>4303</v>
      </c>
      <c r="H2275" s="8" t="s">
        <v>16</v>
      </c>
      <c r="I2275" s="9">
        <v>952</v>
      </c>
      <c r="J2275" s="10">
        <v>15</v>
      </c>
      <c r="K2275" s="10">
        <v>3000228</v>
      </c>
      <c r="L2275" s="3" t="str">
        <f t="shared" si="71"/>
        <v>ΕΛΑΙΩΝΕΣ</v>
      </c>
    </row>
    <row r="2276" spans="1:12" s="3" customFormat="1" ht="24" x14ac:dyDescent="0.25">
      <c r="A2276" s="3" t="str">
        <f t="shared" si="70"/>
        <v>ΕΛΑΙΩΝΕΣFECCIARO, ΔΙΠΛΗΣ ΚΑΤΕΥΘΥΝΣΗΣ</v>
      </c>
      <c r="B2276" s="4" t="s">
        <v>3545</v>
      </c>
      <c r="C2276" s="5" t="s">
        <v>4304</v>
      </c>
      <c r="D2276" s="6">
        <v>2736.21</v>
      </c>
      <c r="E2276" s="6">
        <v>3136.74</v>
      </c>
      <c r="F2276" s="7" t="s">
        <v>14</v>
      </c>
      <c r="G2276" s="8" t="s">
        <v>4305</v>
      </c>
      <c r="H2276" s="8" t="s">
        <v>16</v>
      </c>
      <c r="I2276" s="9">
        <v>962</v>
      </c>
      <c r="J2276" s="10">
        <v>15</v>
      </c>
      <c r="K2276" s="10">
        <v>3000229</v>
      </c>
      <c r="L2276" s="3" t="str">
        <f t="shared" si="71"/>
        <v>ΕΛΑΙΩΝΕΣ</v>
      </c>
    </row>
    <row r="2277" spans="1:12" s="3" customFormat="1" ht="24" x14ac:dyDescent="0.25">
      <c r="A2277" s="3" t="str">
        <f t="shared" si="70"/>
        <v>ΕΛΑΙΩΝΕΣCUCCO, ΔΙΠΛΗΣ ΚΑΤΕΥΘΥΝΣΗΣ</v>
      </c>
      <c r="B2277" s="4" t="s">
        <v>3545</v>
      </c>
      <c r="C2277" s="5" t="s">
        <v>4306</v>
      </c>
      <c r="D2277" s="6">
        <v>2736.21</v>
      </c>
      <c r="E2277" s="6">
        <v>3136.74</v>
      </c>
      <c r="F2277" s="7" t="s">
        <v>14</v>
      </c>
      <c r="G2277" s="8" t="s">
        <v>4307</v>
      </c>
      <c r="H2277" s="8" t="s">
        <v>16</v>
      </c>
      <c r="I2277" s="9">
        <v>954</v>
      </c>
      <c r="J2277" s="10">
        <v>15</v>
      </c>
      <c r="K2277" s="10">
        <v>3000230</v>
      </c>
      <c r="L2277" s="3" t="str">
        <f t="shared" si="71"/>
        <v>ΕΛΑΙΩΝΕΣ</v>
      </c>
    </row>
    <row r="2278" spans="1:12" s="3" customFormat="1" ht="24" x14ac:dyDescent="0.25">
      <c r="A2278" s="3" t="str">
        <f t="shared" si="70"/>
        <v>ΕΛΑΙΩΝΕΣMAURINO, ΔΙΠΛΗΣ ΚΑΤΕΥΘΥΝΣΗΣ</v>
      </c>
      <c r="B2278" s="4" t="s">
        <v>3545</v>
      </c>
      <c r="C2278" s="5" t="s">
        <v>4308</v>
      </c>
      <c r="D2278" s="6">
        <v>2736.21</v>
      </c>
      <c r="E2278" s="6">
        <v>3136.74</v>
      </c>
      <c r="F2278" s="7" t="s">
        <v>14</v>
      </c>
      <c r="G2278" s="8" t="s">
        <v>4309</v>
      </c>
      <c r="H2278" s="8" t="s">
        <v>16</v>
      </c>
      <c r="I2278" s="9">
        <v>947</v>
      </c>
      <c r="J2278" s="10">
        <v>15</v>
      </c>
      <c r="K2278" s="10">
        <v>3000231</v>
      </c>
      <c r="L2278" s="3" t="str">
        <f t="shared" si="71"/>
        <v>ΕΛΑΙΩΝΕΣ</v>
      </c>
    </row>
    <row r="2279" spans="1:12" s="3" customFormat="1" ht="31.5" x14ac:dyDescent="0.25">
      <c r="A2279" s="3" t="str">
        <f t="shared" si="70"/>
        <v>ΕΛΑΙΩΝΕΣΘΙΑΚΗ (ΑΝΩ ΗΣΑΝΑ, ΘΙΑΚΟ,  ΠΛΕΞΙΔΕΝΙΑ,  ΝΤΟΠΙΑ), ΔΙΠΛΗΣ ΚΑΤΕΥΘΥΝΣΗΣ</v>
      </c>
      <c r="B2279" s="4" t="s">
        <v>3545</v>
      </c>
      <c r="C2279" s="5" t="s">
        <v>4310</v>
      </c>
      <c r="D2279" s="6">
        <v>2736.21</v>
      </c>
      <c r="E2279" s="6">
        <v>3136.74</v>
      </c>
      <c r="F2279" s="7" t="s">
        <v>14</v>
      </c>
      <c r="G2279" s="8" t="s">
        <v>4311</v>
      </c>
      <c r="H2279" s="8" t="s">
        <v>16</v>
      </c>
      <c r="I2279" s="9">
        <v>956</v>
      </c>
      <c r="J2279" s="10">
        <v>15</v>
      </c>
      <c r="K2279" s="10">
        <v>3000589</v>
      </c>
      <c r="L2279" s="3" t="str">
        <f t="shared" si="71"/>
        <v>ΕΛΑΙΩΝΕΣ</v>
      </c>
    </row>
    <row r="2280" spans="1:12" s="3" customFormat="1" ht="24" x14ac:dyDescent="0.25">
      <c r="A2280" s="3" t="str">
        <f t="shared" si="70"/>
        <v>ΕΛΑΙΩΝΕΣΑΓΙΟΡΙΤΙΚΗ, ΔΙΠΛΗΣ ΚΑΤΕΥΘΥΝΣΗΣ</v>
      </c>
      <c r="B2280" s="4" t="s">
        <v>3545</v>
      </c>
      <c r="C2280" s="5" t="s">
        <v>4312</v>
      </c>
      <c r="D2280" s="6">
        <v>2736.21</v>
      </c>
      <c r="E2280" s="6">
        <v>3136.74</v>
      </c>
      <c r="F2280" s="7" t="s">
        <v>14</v>
      </c>
      <c r="G2280" s="8" t="s">
        <v>4313</v>
      </c>
      <c r="H2280" s="8" t="s">
        <v>16</v>
      </c>
      <c r="I2280" s="9">
        <v>957</v>
      </c>
      <c r="J2280" s="10">
        <v>15</v>
      </c>
      <c r="K2280" s="10">
        <v>3000648</v>
      </c>
      <c r="L2280" s="3" t="str">
        <f t="shared" si="71"/>
        <v>ΕΛΑΙΩΝΕΣ</v>
      </c>
    </row>
    <row r="2281" spans="1:12" s="3" customFormat="1" ht="24" x14ac:dyDescent="0.25">
      <c r="A2281" s="3" t="str">
        <f t="shared" si="70"/>
        <v>ΕΛΑΙΩΝΕΣBLANQUETA, ΔΙΠΛΗΣ ΚΑΤΕΥΘΥΝΣΗΣ</v>
      </c>
      <c r="B2281" s="4" t="s">
        <v>3545</v>
      </c>
      <c r="C2281" s="5" t="s">
        <v>4314</v>
      </c>
      <c r="D2281" s="6">
        <v>2736.21</v>
      </c>
      <c r="E2281" s="6">
        <v>3136.74</v>
      </c>
      <c r="F2281" s="7" t="s">
        <v>14</v>
      </c>
      <c r="G2281" s="8" t="s">
        <v>4315</v>
      </c>
      <c r="H2281" s="8" t="s">
        <v>16</v>
      </c>
      <c r="I2281" s="9">
        <v>958</v>
      </c>
      <c r="J2281" s="10">
        <v>15</v>
      </c>
      <c r="K2281" s="10">
        <v>3000649</v>
      </c>
      <c r="L2281" s="3" t="str">
        <f t="shared" si="71"/>
        <v>ΕΛΑΙΩΝΕΣ</v>
      </c>
    </row>
    <row r="2282" spans="1:12" s="3" customFormat="1" ht="24" x14ac:dyDescent="0.25">
      <c r="A2282" s="3" t="str">
        <f t="shared" si="70"/>
        <v>ΕΛΑΙΩΝΕΣBLANQUETA DE ELVAS, ΔΙΠΛΗΣ ΚΑΤΕΥΘΥΝΣΗΣ</v>
      </c>
      <c r="B2282" s="4" t="s">
        <v>3545</v>
      </c>
      <c r="C2282" s="5" t="s">
        <v>4316</v>
      </c>
      <c r="D2282" s="6">
        <v>2736.21</v>
      </c>
      <c r="E2282" s="6">
        <v>3136.74</v>
      </c>
      <c r="F2282" s="7" t="s">
        <v>14</v>
      </c>
      <c r="G2282" s="8" t="s">
        <v>4317</v>
      </c>
      <c r="H2282" s="8" t="s">
        <v>16</v>
      </c>
      <c r="I2282" s="9">
        <v>959</v>
      </c>
      <c r="J2282" s="10">
        <v>15</v>
      </c>
      <c r="K2282" s="10">
        <v>3000650</v>
      </c>
      <c r="L2282" s="3" t="str">
        <f t="shared" si="71"/>
        <v>ΕΛΑΙΩΝΕΣ</v>
      </c>
    </row>
    <row r="2283" spans="1:12" s="3" customFormat="1" ht="24" x14ac:dyDescent="0.25">
      <c r="A2283" s="3" t="str">
        <f t="shared" si="70"/>
        <v>ΕΛΑΙΩΝΕΣBOUTEILLAN, ΔΙΠΛΗΣ ΚΑΤΕΥΘΥΝΣΗΣ</v>
      </c>
      <c r="B2283" s="4" t="s">
        <v>3545</v>
      </c>
      <c r="C2283" s="5" t="s">
        <v>4318</v>
      </c>
      <c r="D2283" s="6">
        <v>2736.21</v>
      </c>
      <c r="E2283" s="6">
        <v>3136.74</v>
      </c>
      <c r="F2283" s="7" t="s">
        <v>14</v>
      </c>
      <c r="G2283" s="8" t="s">
        <v>4319</v>
      </c>
      <c r="H2283" s="8" t="s">
        <v>16</v>
      </c>
      <c r="I2283" s="9">
        <v>960</v>
      </c>
      <c r="J2283" s="10">
        <v>15</v>
      </c>
      <c r="K2283" s="10">
        <v>3000651</v>
      </c>
      <c r="L2283" s="3" t="str">
        <f t="shared" si="71"/>
        <v>ΕΛΑΙΩΝΕΣ</v>
      </c>
    </row>
    <row r="2284" spans="1:12" s="3" customFormat="1" ht="24" x14ac:dyDescent="0.25">
      <c r="A2284" s="3" t="str">
        <f t="shared" si="70"/>
        <v>ΕΛΑΙΩΝΕΣΓΑΛΑΤΣΑΝΙΚΗ, ΔΙΠΛΗΣ ΚΑΤΕΥΘΥΝΣΗΣ</v>
      </c>
      <c r="B2284" s="4" t="s">
        <v>3545</v>
      </c>
      <c r="C2284" s="5" t="s">
        <v>4320</v>
      </c>
      <c r="D2284" s="6">
        <v>2736.21</v>
      </c>
      <c r="E2284" s="6">
        <v>3136.74</v>
      </c>
      <c r="F2284" s="7" t="s">
        <v>14</v>
      </c>
      <c r="G2284" s="8" t="s">
        <v>4321</v>
      </c>
      <c r="H2284" s="8" t="s">
        <v>16</v>
      </c>
      <c r="I2284" s="9">
        <v>961</v>
      </c>
      <c r="J2284" s="10">
        <v>15</v>
      </c>
      <c r="K2284" s="10">
        <v>3000652</v>
      </c>
      <c r="L2284" s="3" t="str">
        <f t="shared" si="71"/>
        <v>ΕΛΑΙΩΝΕΣ</v>
      </c>
    </row>
    <row r="2285" spans="1:12" s="3" customFormat="1" ht="15" customHeight="1" x14ac:dyDescent="0.25">
      <c r="A2285" s="3" t="str">
        <f t="shared" si="70"/>
        <v>ΕΛΑΙΩΝΕΣΖΑΚΥΝΘΟΥ, ΔΙΠΛΗΣ ΚΑΤΕΥΘΥΝΣΗΣ</v>
      </c>
      <c r="B2285" s="4" t="s">
        <v>3545</v>
      </c>
      <c r="C2285" s="5" t="s">
        <v>4322</v>
      </c>
      <c r="D2285" s="6">
        <v>2736.21</v>
      </c>
      <c r="E2285" s="6">
        <v>3136.74</v>
      </c>
      <c r="F2285" s="7" t="s">
        <v>14</v>
      </c>
      <c r="G2285" s="8" t="s">
        <v>4323</v>
      </c>
      <c r="H2285" s="8" t="s">
        <v>16</v>
      </c>
      <c r="I2285" s="9">
        <v>939</v>
      </c>
      <c r="J2285" s="10">
        <v>15</v>
      </c>
      <c r="K2285" s="10">
        <v>3000653</v>
      </c>
      <c r="L2285" s="3" t="str">
        <f t="shared" si="71"/>
        <v>ΕΛΑΙΩΝΕΣ</v>
      </c>
    </row>
    <row r="2286" spans="1:12" s="3" customFormat="1" ht="15" customHeight="1" x14ac:dyDescent="0.25">
      <c r="A2286" s="3" t="str">
        <f t="shared" si="70"/>
        <v>ΕΛΑΙΩΝΕΣFRANCIVENTO, ΔΙΠΛΗΣ ΚΑΤΕΥΘΥΝΣΗΣ</v>
      </c>
      <c r="B2286" s="4" t="s">
        <v>3545</v>
      </c>
      <c r="C2286" s="5" t="s">
        <v>4324</v>
      </c>
      <c r="D2286" s="6">
        <v>2736.21</v>
      </c>
      <c r="E2286" s="6">
        <v>3136.74</v>
      </c>
      <c r="F2286" s="7" t="s">
        <v>14</v>
      </c>
      <c r="G2286" s="8" t="s">
        <v>4325</v>
      </c>
      <c r="H2286" s="8" t="s">
        <v>16</v>
      </c>
      <c r="I2286" s="9">
        <v>937</v>
      </c>
      <c r="J2286" s="10">
        <v>15</v>
      </c>
      <c r="K2286" s="10">
        <v>3000654</v>
      </c>
      <c r="L2286" s="3" t="str">
        <f t="shared" si="71"/>
        <v>ΕΛΑΙΩΝΕΣ</v>
      </c>
    </row>
    <row r="2287" spans="1:12" s="3" customFormat="1" ht="15" customHeight="1" x14ac:dyDescent="0.25">
      <c r="A2287" s="3" t="str">
        <f t="shared" si="70"/>
        <v>ΕΛΑΙΩΝΕΣGORDAL SEVILLANA, ΔΙΠΛΗΣ ΚΑΤΕΥΘΥΝΣΗΣ</v>
      </c>
      <c r="B2287" s="4" t="s">
        <v>3545</v>
      </c>
      <c r="C2287" s="5" t="s">
        <v>4326</v>
      </c>
      <c r="D2287" s="6">
        <v>2736.21</v>
      </c>
      <c r="E2287" s="6">
        <v>3136.74</v>
      </c>
      <c r="F2287" s="7" t="s">
        <v>14</v>
      </c>
      <c r="G2287" s="8" t="s">
        <v>4327</v>
      </c>
      <c r="H2287" s="8" t="s">
        <v>16</v>
      </c>
      <c r="I2287" s="9">
        <v>953</v>
      </c>
      <c r="J2287" s="10">
        <v>15</v>
      </c>
      <c r="K2287" s="10">
        <v>3000655</v>
      </c>
      <c r="L2287" s="3" t="str">
        <f t="shared" si="71"/>
        <v>ΕΛΑΙΩΝΕΣ</v>
      </c>
    </row>
    <row r="2288" spans="1:12" s="3" customFormat="1" ht="15" customHeight="1" x14ac:dyDescent="0.25">
      <c r="A2288" s="3" t="str">
        <f t="shared" si="70"/>
        <v>ΕΛΑΙΩΝΕΣGRAPPOLO, ΔΙΠΛΗΣ ΚΑΤΕΥΘΥΝΣΗΣ</v>
      </c>
      <c r="B2288" s="4" t="s">
        <v>3545</v>
      </c>
      <c r="C2288" s="5" t="s">
        <v>4328</v>
      </c>
      <c r="D2288" s="6">
        <v>2736.21</v>
      </c>
      <c r="E2288" s="6">
        <v>3136.74</v>
      </c>
      <c r="F2288" s="7" t="s">
        <v>14</v>
      </c>
      <c r="G2288" s="8" t="s">
        <v>4329</v>
      </c>
      <c r="H2288" s="8" t="s">
        <v>16</v>
      </c>
      <c r="I2288" s="9">
        <v>933</v>
      </c>
      <c r="J2288" s="10">
        <v>15</v>
      </c>
      <c r="K2288" s="10">
        <v>3000656</v>
      </c>
      <c r="L2288" s="3" t="str">
        <f t="shared" si="71"/>
        <v>ΕΛΑΙΩΝΕΣ</v>
      </c>
    </row>
    <row r="2289" spans="1:12" s="3" customFormat="1" ht="15" customHeight="1" x14ac:dyDescent="0.25">
      <c r="A2289" s="3" t="str">
        <f t="shared" si="70"/>
        <v>ΕΛΑΙΩΝΕΣLECHIO DEL CORNO, ΔΙΠΛΗΣ ΚΑΤΕΥΘΥΝΣΗΣ</v>
      </c>
      <c r="B2289" s="4" t="s">
        <v>3545</v>
      </c>
      <c r="C2289" s="5" t="s">
        <v>4330</v>
      </c>
      <c r="D2289" s="6">
        <v>2736.21</v>
      </c>
      <c r="E2289" s="6">
        <v>3136.74</v>
      </c>
      <c r="F2289" s="7" t="s">
        <v>14</v>
      </c>
      <c r="G2289" s="8" t="s">
        <v>4331</v>
      </c>
      <c r="H2289" s="8" t="s">
        <v>16</v>
      </c>
      <c r="I2289" s="9">
        <v>934</v>
      </c>
      <c r="J2289" s="10">
        <v>15</v>
      </c>
      <c r="K2289" s="10">
        <v>3000657</v>
      </c>
      <c r="L2289" s="3" t="str">
        <f t="shared" si="71"/>
        <v>ΕΛΑΙΩΝΕΣ</v>
      </c>
    </row>
    <row r="2290" spans="1:12" s="3" customFormat="1" ht="15" customHeight="1" x14ac:dyDescent="0.25">
      <c r="A2290" s="3" t="str">
        <f t="shared" si="70"/>
        <v>ΕΛΑΙΩΝΕΣΛΕΥΚΑΔΑΣ ΑΣΠΡΟΛΙΑ, ΔΙΠΛΗΣ ΚΑΤΕΥΘΥΝΣΗΣ</v>
      </c>
      <c r="B2290" s="4" t="s">
        <v>3545</v>
      </c>
      <c r="C2290" s="5" t="s">
        <v>4332</v>
      </c>
      <c r="D2290" s="6">
        <v>2736.21</v>
      </c>
      <c r="E2290" s="6">
        <v>3136.74</v>
      </c>
      <c r="F2290" s="7" t="s">
        <v>14</v>
      </c>
      <c r="G2290" s="8" t="s">
        <v>4333</v>
      </c>
      <c r="H2290" s="8" t="s">
        <v>16</v>
      </c>
      <c r="I2290" s="9">
        <v>935</v>
      </c>
      <c r="J2290" s="10">
        <v>15</v>
      </c>
      <c r="K2290" s="10">
        <v>3000658</v>
      </c>
      <c r="L2290" s="3" t="str">
        <f t="shared" si="71"/>
        <v>ΕΛΑΙΩΝΕΣ</v>
      </c>
    </row>
    <row r="2291" spans="1:12" s="3" customFormat="1" ht="15" customHeight="1" x14ac:dyDescent="0.25">
      <c r="A2291" s="3" t="str">
        <f t="shared" si="70"/>
        <v>ΕΛΑΙΩΝΕΣMANZANILLA DE CARMONA, ΔΙΠΛΗΣ ΚΑΤΕΥΘΥΝΣΗΣ</v>
      </c>
      <c r="B2291" s="4" t="s">
        <v>3545</v>
      </c>
      <c r="C2291" s="5" t="s">
        <v>4334</v>
      </c>
      <c r="D2291" s="6">
        <v>2736.21</v>
      </c>
      <c r="E2291" s="6">
        <v>3136.74</v>
      </c>
      <c r="F2291" s="7" t="s">
        <v>14</v>
      </c>
      <c r="G2291" s="8" t="s">
        <v>4335</v>
      </c>
      <c r="H2291" s="8" t="s">
        <v>16</v>
      </c>
      <c r="I2291" s="9">
        <v>936</v>
      </c>
      <c r="J2291" s="10">
        <v>15</v>
      </c>
      <c r="K2291" s="10">
        <v>3000659</v>
      </c>
      <c r="L2291" s="3" t="str">
        <f t="shared" si="71"/>
        <v>ΕΛΑΙΩΝΕΣ</v>
      </c>
    </row>
    <row r="2292" spans="1:12" s="3" customFormat="1" ht="15" customHeight="1" x14ac:dyDescent="0.25">
      <c r="A2292" s="3" t="str">
        <f t="shared" si="70"/>
        <v>ΕΛΑΙΩΝΕΣMANZANILLA ISR., ΔΙΠΛΗΣ ΚΑΤΕΥΘΥΝΣΗΣ</v>
      </c>
      <c r="B2292" s="4" t="s">
        <v>3545</v>
      </c>
      <c r="C2292" s="5" t="s">
        <v>4336</v>
      </c>
      <c r="D2292" s="6">
        <v>2736.21</v>
      </c>
      <c r="E2292" s="6">
        <v>3136.74</v>
      </c>
      <c r="F2292" s="7" t="s">
        <v>14</v>
      </c>
      <c r="G2292" s="8" t="s">
        <v>4337</v>
      </c>
      <c r="H2292" s="8" t="s">
        <v>16</v>
      </c>
      <c r="I2292" s="9">
        <v>946</v>
      </c>
      <c r="J2292" s="10">
        <v>15</v>
      </c>
      <c r="K2292" s="10">
        <v>3000660</v>
      </c>
      <c r="L2292" s="3" t="str">
        <f t="shared" si="71"/>
        <v>ΕΛΑΙΩΝΕΣ</v>
      </c>
    </row>
    <row r="2293" spans="1:12" s="3" customFormat="1" ht="24" x14ac:dyDescent="0.25">
      <c r="A2293" s="3" t="str">
        <f t="shared" si="70"/>
        <v>ΕΛΑΙΩΝΕΣMANZANILLA NORMAL, ΔΙΠΛΗΣ ΚΑΤΕΥΘΥΝΣΗΣ</v>
      </c>
      <c r="B2293" s="4" t="s">
        <v>3545</v>
      </c>
      <c r="C2293" s="5" t="s">
        <v>4338</v>
      </c>
      <c r="D2293" s="6">
        <v>2736.21</v>
      </c>
      <c r="E2293" s="6">
        <v>3136.74</v>
      </c>
      <c r="F2293" s="7" t="s">
        <v>14</v>
      </c>
      <c r="G2293" s="8" t="s">
        <v>4339</v>
      </c>
      <c r="H2293" s="8" t="s">
        <v>16</v>
      </c>
      <c r="I2293" s="9">
        <v>938</v>
      </c>
      <c r="J2293" s="10">
        <v>15</v>
      </c>
      <c r="K2293" s="10">
        <v>3000661</v>
      </c>
      <c r="L2293" s="3" t="str">
        <f t="shared" si="71"/>
        <v>ΕΛΑΙΩΝΕΣ</v>
      </c>
    </row>
    <row r="2294" spans="1:12" s="3" customFormat="1" ht="24" x14ac:dyDescent="0.25">
      <c r="A2294" s="3" t="str">
        <f t="shared" si="70"/>
        <v>ΕΛΑΙΩΝΕΣMAROCAN PICHOLINE, ΔΙΠΛΗΣ ΚΑΤΕΥΘΥΝΣΗΣ</v>
      </c>
      <c r="B2294" s="4" t="s">
        <v>3545</v>
      </c>
      <c r="C2294" s="5" t="s">
        <v>4340</v>
      </c>
      <c r="D2294" s="6">
        <v>2736.21</v>
      </c>
      <c r="E2294" s="6">
        <v>3136.74</v>
      </c>
      <c r="F2294" s="7" t="s">
        <v>14</v>
      </c>
      <c r="G2294" s="8" t="s">
        <v>4341</v>
      </c>
      <c r="H2294" s="8" t="s">
        <v>16</v>
      </c>
      <c r="I2294" s="9">
        <v>931</v>
      </c>
      <c r="J2294" s="10">
        <v>15</v>
      </c>
      <c r="K2294" s="10">
        <v>3000662</v>
      </c>
      <c r="L2294" s="3" t="str">
        <f t="shared" si="71"/>
        <v>ΕΛΑΙΩΝΕΣ</v>
      </c>
    </row>
    <row r="2295" spans="1:12" s="3" customFormat="1" ht="24" x14ac:dyDescent="0.25">
      <c r="A2295" s="3" t="str">
        <f t="shared" si="70"/>
        <v>ΕΛΑΙΩΝΕΣΜΑΡΩΝΕΙΑΣ, ΔΙΠΛΗΣ ΚΑΤΕΥΘΥΝΣΗΣ</v>
      </c>
      <c r="B2295" s="4" t="s">
        <v>3545</v>
      </c>
      <c r="C2295" s="5" t="s">
        <v>4342</v>
      </c>
      <c r="D2295" s="6">
        <v>2736.21</v>
      </c>
      <c r="E2295" s="6">
        <v>3136.74</v>
      </c>
      <c r="F2295" s="7" t="s">
        <v>14</v>
      </c>
      <c r="G2295" s="8" t="s">
        <v>4343</v>
      </c>
      <c r="H2295" s="8" t="s">
        <v>16</v>
      </c>
      <c r="I2295" s="9">
        <v>940</v>
      </c>
      <c r="J2295" s="10">
        <v>15</v>
      </c>
      <c r="K2295" s="10">
        <v>3000663</v>
      </c>
      <c r="L2295" s="3" t="str">
        <f t="shared" si="71"/>
        <v>ΕΛΑΙΩΝΕΣ</v>
      </c>
    </row>
    <row r="2296" spans="1:12" s="3" customFormat="1" ht="24" x14ac:dyDescent="0.25">
      <c r="A2296" s="3" t="str">
        <f t="shared" si="70"/>
        <v>ΕΛΑΙΩΝΕΣMERHAVIA, ΔΙΠΛΗΣ ΚΑΤΕΥΘΥΝΣΗΣ</v>
      </c>
      <c r="B2296" s="4" t="s">
        <v>3545</v>
      </c>
      <c r="C2296" s="5" t="s">
        <v>4344</v>
      </c>
      <c r="D2296" s="6">
        <v>2736.21</v>
      </c>
      <c r="E2296" s="6">
        <v>3136.74</v>
      </c>
      <c r="F2296" s="7" t="s">
        <v>14</v>
      </c>
      <c r="G2296" s="8" t="s">
        <v>4345</v>
      </c>
      <c r="H2296" s="8" t="s">
        <v>16</v>
      </c>
      <c r="I2296" s="9">
        <v>941</v>
      </c>
      <c r="J2296" s="10">
        <v>15</v>
      </c>
      <c r="K2296" s="10">
        <v>3000664</v>
      </c>
      <c r="L2296" s="3" t="str">
        <f t="shared" si="71"/>
        <v>ΕΛΑΙΩΝΕΣ</v>
      </c>
    </row>
    <row r="2297" spans="1:12" s="3" customFormat="1" ht="24" x14ac:dyDescent="0.25">
      <c r="A2297" s="3" t="str">
        <f t="shared" si="70"/>
        <v>ΕΛΑΙΩΝΕΣNASUICHI, ΔΙΠΛΗΣ ΚΑΤΕΥΘΥΝΣΗΣ</v>
      </c>
      <c r="B2297" s="4" t="s">
        <v>3545</v>
      </c>
      <c r="C2297" s="5" t="s">
        <v>4346</v>
      </c>
      <c r="D2297" s="6">
        <v>2736.21</v>
      </c>
      <c r="E2297" s="6">
        <v>3136.74</v>
      </c>
      <c r="F2297" s="7" t="s">
        <v>14</v>
      </c>
      <c r="G2297" s="8" t="s">
        <v>4347</v>
      </c>
      <c r="H2297" s="8" t="s">
        <v>16</v>
      </c>
      <c r="I2297" s="9">
        <v>942</v>
      </c>
      <c r="J2297" s="10">
        <v>15</v>
      </c>
      <c r="K2297" s="10">
        <v>3000665</v>
      </c>
      <c r="L2297" s="3" t="str">
        <f t="shared" si="71"/>
        <v>ΕΛΑΙΩΝΕΣ</v>
      </c>
    </row>
    <row r="2298" spans="1:12" s="3" customFormat="1" ht="24" x14ac:dyDescent="0.25">
      <c r="A2298" s="3" t="str">
        <f t="shared" si="70"/>
        <v>ΕΛΑΙΩΝΕΣNEVADILLO BLANCO, ΔΙΠΛΗΣ ΚΑΤΕΥΘΥΝΣΗΣ</v>
      </c>
      <c r="B2298" s="4" t="s">
        <v>3545</v>
      </c>
      <c r="C2298" s="5" t="s">
        <v>4348</v>
      </c>
      <c r="D2298" s="6">
        <v>2736.21</v>
      </c>
      <c r="E2298" s="6">
        <v>3136.74</v>
      </c>
      <c r="F2298" s="7" t="s">
        <v>14</v>
      </c>
      <c r="G2298" s="8" t="s">
        <v>4349</v>
      </c>
      <c r="H2298" s="8" t="s">
        <v>16</v>
      </c>
      <c r="I2298" s="9">
        <v>943</v>
      </c>
      <c r="J2298" s="10">
        <v>15</v>
      </c>
      <c r="K2298" s="10">
        <v>3000666</v>
      </c>
      <c r="L2298" s="3" t="str">
        <f t="shared" si="71"/>
        <v>ΕΛΑΙΩΝΕΣ</v>
      </c>
    </row>
    <row r="2299" spans="1:12" s="3" customFormat="1" ht="24" x14ac:dyDescent="0.25">
      <c r="A2299" s="3" t="str">
        <f t="shared" si="70"/>
        <v>ΕΛΑΙΩΝΕΣNEVADILLO NEGRO, ΔΙΠΛΗΣ ΚΑΤΕΥΘΥΝΣΗΣ</v>
      </c>
      <c r="B2299" s="4" t="s">
        <v>3545</v>
      </c>
      <c r="C2299" s="5" t="s">
        <v>4350</v>
      </c>
      <c r="D2299" s="6">
        <v>2736.21</v>
      </c>
      <c r="E2299" s="6">
        <v>3136.74</v>
      </c>
      <c r="F2299" s="7" t="s">
        <v>14</v>
      </c>
      <c r="G2299" s="8" t="s">
        <v>4351</v>
      </c>
      <c r="H2299" s="8" t="s">
        <v>16</v>
      </c>
      <c r="I2299" s="9">
        <v>944</v>
      </c>
      <c r="J2299" s="10">
        <v>15</v>
      </c>
      <c r="K2299" s="10">
        <v>3000667</v>
      </c>
      <c r="L2299" s="3" t="str">
        <f t="shared" si="71"/>
        <v>ΕΛΑΙΩΝΕΣ</v>
      </c>
    </row>
    <row r="2300" spans="1:12" s="3" customFormat="1" ht="24" x14ac:dyDescent="0.25">
      <c r="A2300" s="3" t="str">
        <f t="shared" si="70"/>
        <v>ΕΛΑΙΩΝΕΣOLIVA DE CERIGNOLA, ΔΙΠΛΗΣ ΚΑΤΕΥΘΥΝΣΗΣ</v>
      </c>
      <c r="B2300" s="4" t="s">
        <v>3545</v>
      </c>
      <c r="C2300" s="5" t="s">
        <v>4352</v>
      </c>
      <c r="D2300" s="6">
        <v>2736.21</v>
      </c>
      <c r="E2300" s="6">
        <v>3136.74</v>
      </c>
      <c r="F2300" s="7" t="s">
        <v>14</v>
      </c>
      <c r="G2300" s="8" t="s">
        <v>4353</v>
      </c>
      <c r="H2300" s="8" t="s">
        <v>16</v>
      </c>
      <c r="I2300" s="9">
        <v>964</v>
      </c>
      <c r="J2300" s="10">
        <v>15</v>
      </c>
      <c r="K2300" s="10">
        <v>3000668</v>
      </c>
      <c r="L2300" s="3" t="str">
        <f t="shared" si="71"/>
        <v>ΕΛΑΙΩΝΕΣ</v>
      </c>
    </row>
    <row r="2301" spans="1:12" s="3" customFormat="1" ht="24" x14ac:dyDescent="0.25">
      <c r="A2301" s="3" t="str">
        <f t="shared" si="70"/>
        <v>ΕΛΑΙΩΝΕΣPENDOLINO, ΔΙΠΛΗΣ ΚΑΤΕΥΘΥΝΣΗΣ</v>
      </c>
      <c r="B2301" s="4" t="s">
        <v>3545</v>
      </c>
      <c r="C2301" s="5" t="s">
        <v>4354</v>
      </c>
      <c r="D2301" s="6">
        <v>2736.21</v>
      </c>
      <c r="E2301" s="6">
        <v>3136.74</v>
      </c>
      <c r="F2301" s="7" t="s">
        <v>14</v>
      </c>
      <c r="G2301" s="8" t="s">
        <v>4355</v>
      </c>
      <c r="H2301" s="8" t="s">
        <v>16</v>
      </c>
      <c r="I2301" s="9">
        <v>980</v>
      </c>
      <c r="J2301" s="10">
        <v>15</v>
      </c>
      <c r="K2301" s="10">
        <v>3000669</v>
      </c>
      <c r="L2301" s="3" t="str">
        <f t="shared" si="71"/>
        <v>ΕΛΑΙΩΝΕΣ</v>
      </c>
    </row>
    <row r="2302" spans="1:12" s="3" customFormat="1" ht="24" x14ac:dyDescent="0.25">
      <c r="A2302" s="3" t="str">
        <f t="shared" si="70"/>
        <v>ΕΛΑΙΩΝΕΣΡΑΧΑΤΗ, ΔΙΠΛΗΣ ΚΑΤΕΥΘΥΝΣΗΣ</v>
      </c>
      <c r="B2302" s="4" t="s">
        <v>3545</v>
      </c>
      <c r="C2302" s="5" t="s">
        <v>4356</v>
      </c>
      <c r="D2302" s="6">
        <v>2736.21</v>
      </c>
      <c r="E2302" s="6">
        <v>3136.74</v>
      </c>
      <c r="F2302" s="7" t="s">
        <v>14</v>
      </c>
      <c r="G2302" s="8" t="s">
        <v>4357</v>
      </c>
      <c r="H2302" s="8" t="s">
        <v>16</v>
      </c>
      <c r="I2302" s="9">
        <v>981</v>
      </c>
      <c r="J2302" s="10">
        <v>15</v>
      </c>
      <c r="K2302" s="10">
        <v>3000670</v>
      </c>
      <c r="L2302" s="3" t="str">
        <f t="shared" si="71"/>
        <v>ΕΛΑΙΩΝΕΣ</v>
      </c>
    </row>
    <row r="2303" spans="1:12" s="3" customFormat="1" ht="24" x14ac:dyDescent="0.25">
      <c r="A2303" s="3" t="str">
        <f t="shared" si="70"/>
        <v>ΕΛΑΙΩΝΕΣREAL SEVILLANA, ΔΙΠΛΗΣ ΚΑΤΕΥΘΥΝΣΗΣ</v>
      </c>
      <c r="B2303" s="4" t="s">
        <v>3545</v>
      </c>
      <c r="C2303" s="5" t="s">
        <v>4358</v>
      </c>
      <c r="D2303" s="6">
        <v>2736.21</v>
      </c>
      <c r="E2303" s="6">
        <v>3136.74</v>
      </c>
      <c r="F2303" s="7" t="s">
        <v>14</v>
      </c>
      <c r="G2303" s="8" t="s">
        <v>4359</v>
      </c>
      <c r="H2303" s="8" t="s">
        <v>16</v>
      </c>
      <c r="I2303" s="9">
        <v>982</v>
      </c>
      <c r="J2303" s="10">
        <v>15</v>
      </c>
      <c r="K2303" s="10">
        <v>3000671</v>
      </c>
      <c r="L2303" s="3" t="str">
        <f t="shared" si="71"/>
        <v>ΕΛΑΙΩΝΕΣ</v>
      </c>
    </row>
    <row r="2304" spans="1:12" s="3" customFormat="1" ht="24" x14ac:dyDescent="0.25">
      <c r="A2304" s="3" t="str">
        <f t="shared" si="70"/>
        <v>ΕΛΑΙΩΝΕΣΡΟΒΙΩΝ (ΠΡΑΣΙΝΗ), ΔΙΠΛΗΣ ΚΑΤΕΥΘΥΝΣΗΣ</v>
      </c>
      <c r="B2304" s="4" t="s">
        <v>3545</v>
      </c>
      <c r="C2304" s="5" t="s">
        <v>4360</v>
      </c>
      <c r="D2304" s="6">
        <v>2736.21</v>
      </c>
      <c r="E2304" s="6">
        <v>3136.74</v>
      </c>
      <c r="F2304" s="7" t="s">
        <v>14</v>
      </c>
      <c r="G2304" s="8" t="s">
        <v>4361</v>
      </c>
      <c r="H2304" s="8" t="s">
        <v>16</v>
      </c>
      <c r="I2304" s="9">
        <v>983</v>
      </c>
      <c r="J2304" s="10">
        <v>15</v>
      </c>
      <c r="K2304" s="10">
        <v>3000672</v>
      </c>
      <c r="L2304" s="3" t="str">
        <f t="shared" si="71"/>
        <v>ΕΛΑΙΩΝΕΣ</v>
      </c>
    </row>
    <row r="2305" spans="1:12" s="3" customFormat="1" ht="24" x14ac:dyDescent="0.25">
      <c r="A2305" s="3" t="str">
        <f t="shared" si="70"/>
        <v>ΕΛΑΙΩΝΕΣROSCIOLA, ΔΙΠΛΗΣ ΚΑΤΕΥΘΥΝΣΗΣ</v>
      </c>
      <c r="B2305" s="4" t="s">
        <v>3545</v>
      </c>
      <c r="C2305" s="5" t="s">
        <v>4362</v>
      </c>
      <c r="D2305" s="6">
        <v>2736.21</v>
      </c>
      <c r="E2305" s="6">
        <v>3136.74</v>
      </c>
      <c r="F2305" s="7" t="s">
        <v>14</v>
      </c>
      <c r="G2305" s="8" t="s">
        <v>4363</v>
      </c>
      <c r="H2305" s="8" t="s">
        <v>16</v>
      </c>
      <c r="I2305" s="9">
        <v>984</v>
      </c>
      <c r="J2305" s="10">
        <v>15</v>
      </c>
      <c r="K2305" s="10">
        <v>3000673</v>
      </c>
      <c r="L2305" s="3" t="str">
        <f t="shared" si="71"/>
        <v>ΕΛΑΙΩΝΕΣ</v>
      </c>
    </row>
    <row r="2306" spans="1:12" s="3" customFormat="1" ht="24" x14ac:dyDescent="0.25">
      <c r="A2306" s="3" t="str">
        <f t="shared" si="70"/>
        <v>ΕΛΑΙΩΝΕΣSDE ELIAO, ΔΙΠΛΗΣ ΚΑΤΕΥΘΥΝΣΗΣ</v>
      </c>
      <c r="B2306" s="4" t="s">
        <v>3545</v>
      </c>
      <c r="C2306" s="5" t="s">
        <v>4364</v>
      </c>
      <c r="D2306" s="6">
        <v>2736.21</v>
      </c>
      <c r="E2306" s="6">
        <v>3136.74</v>
      </c>
      <c r="F2306" s="7" t="s">
        <v>14</v>
      </c>
      <c r="G2306" s="8" t="s">
        <v>4365</v>
      </c>
      <c r="H2306" s="8" t="s">
        <v>16</v>
      </c>
      <c r="I2306" s="9">
        <v>994</v>
      </c>
      <c r="J2306" s="10">
        <v>15</v>
      </c>
      <c r="K2306" s="10">
        <v>3000674</v>
      </c>
      <c r="L2306" s="3" t="str">
        <f t="shared" si="71"/>
        <v>ΕΛΑΙΩΝΕΣ</v>
      </c>
    </row>
    <row r="2307" spans="1:12" s="3" customFormat="1" ht="24" x14ac:dyDescent="0.25">
      <c r="A2307" s="3" t="str">
        <f t="shared" ref="A2307:A2370" si="72">_xlfn.CONCAT(B2307,C2307)</f>
        <v>ΕΛΑΙΩΝΕΣSORANI, ΔΙΠΛΗΣ ΚΑΤΕΥΘΥΝΣΗΣ</v>
      </c>
      <c r="B2307" s="4" t="s">
        <v>3545</v>
      </c>
      <c r="C2307" s="5" t="s">
        <v>4366</v>
      </c>
      <c r="D2307" s="6">
        <v>2736.21</v>
      </c>
      <c r="E2307" s="6">
        <v>3136.74</v>
      </c>
      <c r="F2307" s="7" t="s">
        <v>14</v>
      </c>
      <c r="G2307" s="8" t="s">
        <v>4367</v>
      </c>
      <c r="H2307" s="8" t="s">
        <v>16</v>
      </c>
      <c r="I2307" s="9">
        <v>986</v>
      </c>
      <c r="J2307" s="10">
        <v>15</v>
      </c>
      <c r="K2307" s="10">
        <v>3000675</v>
      </c>
      <c r="L2307" s="3" t="str">
        <f t="shared" ref="L2307:L2370" si="73">IFERROR(SUBSTITUTE(SUBSTITUTE(SUBSTITUTE(SUBSTITUTE(SUBSTITUTE(B2307, "-", "_"), " ", "_"), ",", ""), "(", ""), ")", ""), B2307)</f>
        <v>ΕΛΑΙΩΝΕΣ</v>
      </c>
    </row>
    <row r="2308" spans="1:12" s="3" customFormat="1" ht="24" x14ac:dyDescent="0.25">
      <c r="A2308" s="3" t="str">
        <f t="shared" si="72"/>
        <v>ΕΛΑΙΩΝΕΣTEMPIANILLO LUCENA, ΔΙΠΛΗΣ ΚΑΤΕΥΘΥΝΣΗΣ</v>
      </c>
      <c r="B2308" s="4" t="s">
        <v>3545</v>
      </c>
      <c r="C2308" s="5" t="s">
        <v>4368</v>
      </c>
      <c r="D2308" s="6">
        <v>2736.21</v>
      </c>
      <c r="E2308" s="6">
        <v>3136.74</v>
      </c>
      <c r="F2308" s="7" t="s">
        <v>14</v>
      </c>
      <c r="G2308" s="8" t="s">
        <v>4369</v>
      </c>
      <c r="H2308" s="8" t="s">
        <v>16</v>
      </c>
      <c r="I2308" s="9">
        <v>979</v>
      </c>
      <c r="J2308" s="10">
        <v>15</v>
      </c>
      <c r="K2308" s="10">
        <v>3000676</v>
      </c>
      <c r="L2308" s="3" t="str">
        <f t="shared" si="73"/>
        <v>ΕΛΑΙΩΝΕΣ</v>
      </c>
    </row>
    <row r="2309" spans="1:12" s="3" customFormat="1" ht="24" x14ac:dyDescent="0.25">
      <c r="A2309" s="3" t="str">
        <f t="shared" si="72"/>
        <v>ΕΛΑΙΩΝΕΣZORZALENO, ΔΙΠΛΗΣ ΚΑΤΕΥΘΥΝΣΗΣ</v>
      </c>
      <c r="B2309" s="4" t="s">
        <v>3545</v>
      </c>
      <c r="C2309" s="5" t="s">
        <v>4370</v>
      </c>
      <c r="D2309" s="6">
        <v>2736.21</v>
      </c>
      <c r="E2309" s="6">
        <v>3136.74</v>
      </c>
      <c r="F2309" s="7" t="s">
        <v>14</v>
      </c>
      <c r="G2309" s="8" t="s">
        <v>4371</v>
      </c>
      <c r="H2309" s="8" t="s">
        <v>16</v>
      </c>
      <c r="I2309" s="9">
        <v>988</v>
      </c>
      <c r="J2309" s="10">
        <v>15</v>
      </c>
      <c r="K2309" s="10">
        <v>3000677</v>
      </c>
      <c r="L2309" s="3" t="str">
        <f t="shared" si="73"/>
        <v>ΕΛΑΙΩΝΕΣ</v>
      </c>
    </row>
    <row r="2310" spans="1:12" s="3" customFormat="1" ht="31.5" x14ac:dyDescent="0.25">
      <c r="A2310" s="3" t="str">
        <f t="shared" si="72"/>
        <v>ΕΛΑΙΩΝΕΣΕΛΑΙΩΝΕΣ ΚΟΙΝΗΣ ΚΑΤΕΥΘΥΝΣΗΣ - ΛΟΙΠΕΣ, ΔΙΠΛΗΣ ΚΑΤΕΥΘΥΝΣΗΣ</v>
      </c>
      <c r="B2310" s="4" t="s">
        <v>3545</v>
      </c>
      <c r="C2310" s="5" t="s">
        <v>4372</v>
      </c>
      <c r="D2310" s="6">
        <v>2736.21</v>
      </c>
      <c r="E2310" s="6">
        <v>3136.74</v>
      </c>
      <c r="F2310" s="7" t="s">
        <v>14</v>
      </c>
      <c r="G2310" s="8" t="s">
        <v>4373</v>
      </c>
      <c r="H2310" s="8" t="s">
        <v>16</v>
      </c>
      <c r="I2310" s="9">
        <v>989</v>
      </c>
      <c r="J2310" s="10">
        <v>15</v>
      </c>
      <c r="K2310" s="10">
        <v>3008192</v>
      </c>
      <c r="L2310" s="3" t="str">
        <f t="shared" si="73"/>
        <v>ΕΛΑΙΩΝΕΣ</v>
      </c>
    </row>
    <row r="2311" spans="1:12" s="3" customFormat="1" x14ac:dyDescent="0.25">
      <c r="A2311" s="3" t="str">
        <f t="shared" si="72"/>
        <v>ΕΛΑΙΩΝΕΣΘΙΑΚΗ (ΑΝΩ ΗΣΑΝΑ, ΘΙΑΚΟ, ΠΛΕΞΙΔΕΝΙΑ, ΝΤΟΠΙΑ)</v>
      </c>
      <c r="B2311" s="4" t="s">
        <v>3545</v>
      </c>
      <c r="C2311" s="5" t="s">
        <v>4374</v>
      </c>
      <c r="D2311" s="6">
        <v>1821.1</v>
      </c>
      <c r="E2311" s="6">
        <v>1722.44</v>
      </c>
      <c r="F2311" s="7" t="s">
        <v>14</v>
      </c>
      <c r="G2311" s="8" t="s">
        <v>4375</v>
      </c>
      <c r="H2311" s="8" t="s">
        <v>27</v>
      </c>
      <c r="I2311" s="9">
        <v>1148</v>
      </c>
      <c r="J2311" s="10">
        <v>15</v>
      </c>
      <c r="K2311" s="10">
        <v>589</v>
      </c>
      <c r="L2311" s="3" t="str">
        <f t="shared" si="73"/>
        <v>ΕΛΑΙΩΝΕΣ</v>
      </c>
    </row>
    <row r="2312" spans="1:12" s="3" customFormat="1" x14ac:dyDescent="0.25">
      <c r="A2312" s="3" t="str">
        <f t="shared" si="72"/>
        <v>ΕΛΑΙΩΝΕΣΑΓΙΟΡΙΤΙΚΗ</v>
      </c>
      <c r="B2312" s="4" t="s">
        <v>3545</v>
      </c>
      <c r="C2312" s="5" t="s">
        <v>4376</v>
      </c>
      <c r="D2312" s="6">
        <v>1821.1</v>
      </c>
      <c r="E2312" s="6">
        <v>1722.44</v>
      </c>
      <c r="F2312" s="7" t="s">
        <v>14</v>
      </c>
      <c r="G2312" s="8" t="s">
        <v>4377</v>
      </c>
      <c r="H2312" s="8" t="s">
        <v>27</v>
      </c>
      <c r="I2312" s="9">
        <v>1149</v>
      </c>
      <c r="J2312" s="10">
        <v>15</v>
      </c>
      <c r="K2312" s="10">
        <v>648</v>
      </c>
      <c r="L2312" s="3" t="str">
        <f t="shared" si="73"/>
        <v>ΕΛΑΙΩΝΕΣ</v>
      </c>
    </row>
    <row r="2313" spans="1:12" s="3" customFormat="1" x14ac:dyDescent="0.25">
      <c r="A2313" s="3" t="str">
        <f t="shared" si="72"/>
        <v>ΕΛΑΙΩΝΕΣBLANQUETA</v>
      </c>
      <c r="B2313" s="4" t="s">
        <v>3545</v>
      </c>
      <c r="C2313" s="5" t="s">
        <v>4378</v>
      </c>
      <c r="D2313" s="6">
        <v>1821.1</v>
      </c>
      <c r="E2313" s="6">
        <v>1722.44</v>
      </c>
      <c r="F2313" s="7" t="s">
        <v>14</v>
      </c>
      <c r="G2313" s="8" t="s">
        <v>4379</v>
      </c>
      <c r="H2313" s="8" t="s">
        <v>27</v>
      </c>
      <c r="I2313" s="9">
        <v>1150</v>
      </c>
      <c r="J2313" s="10">
        <v>15</v>
      </c>
      <c r="K2313" s="10">
        <v>649</v>
      </c>
      <c r="L2313" s="3" t="str">
        <f t="shared" si="73"/>
        <v>ΕΛΑΙΩΝΕΣ</v>
      </c>
    </row>
    <row r="2314" spans="1:12" s="3" customFormat="1" x14ac:dyDescent="0.25">
      <c r="A2314" s="3" t="str">
        <f t="shared" si="72"/>
        <v>ΕΛΑΙΩΝΕΣBLANQUETA DE ELVAS</v>
      </c>
      <c r="B2314" s="4" t="s">
        <v>3545</v>
      </c>
      <c r="C2314" s="5" t="s">
        <v>4380</v>
      </c>
      <c r="D2314" s="6">
        <v>1821.1</v>
      </c>
      <c r="E2314" s="6">
        <v>1722.44</v>
      </c>
      <c r="F2314" s="7" t="s">
        <v>14</v>
      </c>
      <c r="G2314" s="8" t="s">
        <v>4381</v>
      </c>
      <c r="H2314" s="8" t="s">
        <v>27</v>
      </c>
      <c r="I2314" s="9">
        <v>1151</v>
      </c>
      <c r="J2314" s="10">
        <v>15</v>
      </c>
      <c r="K2314" s="10">
        <v>650</v>
      </c>
      <c r="L2314" s="3" t="str">
        <f t="shared" si="73"/>
        <v>ΕΛΑΙΩΝΕΣ</v>
      </c>
    </row>
    <row r="2315" spans="1:12" s="3" customFormat="1" x14ac:dyDescent="0.25">
      <c r="A2315" s="3" t="str">
        <f t="shared" si="72"/>
        <v>ΕΛΑΙΩΝΕΣBOUTEILLAN</v>
      </c>
      <c r="B2315" s="4" t="s">
        <v>3545</v>
      </c>
      <c r="C2315" s="5" t="s">
        <v>4382</v>
      </c>
      <c r="D2315" s="6">
        <v>1821.1</v>
      </c>
      <c r="E2315" s="6">
        <v>1722.44</v>
      </c>
      <c r="F2315" s="7" t="s">
        <v>14</v>
      </c>
      <c r="G2315" s="8" t="s">
        <v>4383</v>
      </c>
      <c r="H2315" s="8" t="s">
        <v>27</v>
      </c>
      <c r="I2315" s="9">
        <v>1152</v>
      </c>
      <c r="J2315" s="10">
        <v>15</v>
      </c>
      <c r="K2315" s="10">
        <v>651</v>
      </c>
      <c r="L2315" s="3" t="str">
        <f t="shared" si="73"/>
        <v>ΕΛΑΙΩΝΕΣ</v>
      </c>
    </row>
    <row r="2316" spans="1:12" s="3" customFormat="1" x14ac:dyDescent="0.25">
      <c r="A2316" s="3" t="str">
        <f t="shared" si="72"/>
        <v>ΕΛΑΙΩΝΕΣΓΑΛΑΤΣΑΝΙΚΗ</v>
      </c>
      <c r="B2316" s="4" t="s">
        <v>3545</v>
      </c>
      <c r="C2316" s="5" t="s">
        <v>4384</v>
      </c>
      <c r="D2316" s="6">
        <v>1821.1</v>
      </c>
      <c r="E2316" s="6">
        <v>1722.44</v>
      </c>
      <c r="F2316" s="7" t="s">
        <v>14</v>
      </c>
      <c r="G2316" s="8" t="s">
        <v>4385</v>
      </c>
      <c r="H2316" s="8" t="s">
        <v>27</v>
      </c>
      <c r="I2316" s="9">
        <v>1153</v>
      </c>
      <c r="J2316" s="10">
        <v>15</v>
      </c>
      <c r="K2316" s="10">
        <v>652</v>
      </c>
      <c r="L2316" s="3" t="str">
        <f t="shared" si="73"/>
        <v>ΕΛΑΙΩΝΕΣ</v>
      </c>
    </row>
    <row r="2317" spans="1:12" s="3" customFormat="1" x14ac:dyDescent="0.25">
      <c r="A2317" s="3" t="str">
        <f t="shared" si="72"/>
        <v>ΕΛΑΙΩΝΕΣΖΑΚΥΝΘΟΥ</v>
      </c>
      <c r="B2317" s="4" t="s">
        <v>3545</v>
      </c>
      <c r="C2317" s="5" t="s">
        <v>4386</v>
      </c>
      <c r="D2317" s="6">
        <v>1821.1</v>
      </c>
      <c r="E2317" s="6">
        <v>1722.44</v>
      </c>
      <c r="F2317" s="7" t="s">
        <v>14</v>
      </c>
      <c r="G2317" s="8" t="s">
        <v>4387</v>
      </c>
      <c r="H2317" s="8" t="s">
        <v>27</v>
      </c>
      <c r="I2317" s="9">
        <v>1154</v>
      </c>
      <c r="J2317" s="10">
        <v>15</v>
      </c>
      <c r="K2317" s="10">
        <v>653</v>
      </c>
      <c r="L2317" s="3" t="str">
        <f t="shared" si="73"/>
        <v>ΕΛΑΙΩΝΕΣ</v>
      </c>
    </row>
    <row r="2318" spans="1:12" s="3" customFormat="1" x14ac:dyDescent="0.25">
      <c r="A2318" s="3" t="str">
        <f t="shared" si="72"/>
        <v>ΕΛΑΙΩΝΕΣFRANCIVENTO</v>
      </c>
      <c r="B2318" s="4" t="s">
        <v>3545</v>
      </c>
      <c r="C2318" s="5" t="s">
        <v>4388</v>
      </c>
      <c r="D2318" s="6">
        <v>1821.1</v>
      </c>
      <c r="E2318" s="6">
        <v>1722.44</v>
      </c>
      <c r="F2318" s="7" t="s">
        <v>14</v>
      </c>
      <c r="G2318" s="8" t="s">
        <v>4389</v>
      </c>
      <c r="H2318" s="8" t="s">
        <v>27</v>
      </c>
      <c r="I2318" s="9">
        <v>1155</v>
      </c>
      <c r="J2318" s="10">
        <v>15</v>
      </c>
      <c r="K2318" s="10">
        <v>654</v>
      </c>
      <c r="L2318" s="3" t="str">
        <f t="shared" si="73"/>
        <v>ΕΛΑΙΩΝΕΣ</v>
      </c>
    </row>
    <row r="2319" spans="1:12" s="3" customFormat="1" x14ac:dyDescent="0.25">
      <c r="A2319" s="3" t="str">
        <f t="shared" si="72"/>
        <v>ΕΛΑΙΩΝΕΣGORDAL SEVILLANA</v>
      </c>
      <c r="B2319" s="4" t="s">
        <v>3545</v>
      </c>
      <c r="C2319" s="5" t="s">
        <v>4390</v>
      </c>
      <c r="D2319" s="6">
        <v>1821.1</v>
      </c>
      <c r="E2319" s="6">
        <v>1722.44</v>
      </c>
      <c r="F2319" s="7" t="s">
        <v>14</v>
      </c>
      <c r="G2319" s="8" t="s">
        <v>4391</v>
      </c>
      <c r="H2319" s="8" t="s">
        <v>27</v>
      </c>
      <c r="I2319" s="9">
        <v>1121</v>
      </c>
      <c r="J2319" s="10">
        <v>15</v>
      </c>
      <c r="K2319" s="10">
        <v>655</v>
      </c>
      <c r="L2319" s="3" t="str">
        <f t="shared" si="73"/>
        <v>ΕΛΑΙΩΝΕΣ</v>
      </c>
    </row>
    <row r="2320" spans="1:12" s="3" customFormat="1" x14ac:dyDescent="0.25">
      <c r="A2320" s="3" t="str">
        <f t="shared" si="72"/>
        <v>ΕΛΑΙΩΝΕΣGRAPPOLO</v>
      </c>
      <c r="B2320" s="4" t="s">
        <v>3545</v>
      </c>
      <c r="C2320" s="5" t="s">
        <v>4392</v>
      </c>
      <c r="D2320" s="6">
        <v>1821.1</v>
      </c>
      <c r="E2320" s="6">
        <v>1722.44</v>
      </c>
      <c r="F2320" s="7" t="s">
        <v>14</v>
      </c>
      <c r="G2320" s="8" t="s">
        <v>4393</v>
      </c>
      <c r="H2320" s="8" t="s">
        <v>27</v>
      </c>
      <c r="I2320" s="9">
        <v>1146</v>
      </c>
      <c r="J2320" s="10">
        <v>15</v>
      </c>
      <c r="K2320" s="10">
        <v>656</v>
      </c>
      <c r="L2320" s="3" t="str">
        <f t="shared" si="73"/>
        <v>ΕΛΑΙΩΝΕΣ</v>
      </c>
    </row>
    <row r="2321" spans="1:12" s="3" customFormat="1" x14ac:dyDescent="0.25">
      <c r="A2321" s="3" t="str">
        <f t="shared" si="72"/>
        <v>ΕΛΑΙΩΝΕΣLECHIO DEL CORNO</v>
      </c>
      <c r="B2321" s="4" t="s">
        <v>3545</v>
      </c>
      <c r="C2321" s="5" t="s">
        <v>4394</v>
      </c>
      <c r="D2321" s="6">
        <v>1821.1</v>
      </c>
      <c r="E2321" s="6">
        <v>1722.44</v>
      </c>
      <c r="F2321" s="7" t="s">
        <v>14</v>
      </c>
      <c r="G2321" s="8" t="s">
        <v>4395</v>
      </c>
      <c r="H2321" s="8" t="s">
        <v>27</v>
      </c>
      <c r="I2321" s="9">
        <v>1144</v>
      </c>
      <c r="J2321" s="10">
        <v>15</v>
      </c>
      <c r="K2321" s="10">
        <v>657</v>
      </c>
      <c r="L2321" s="3" t="str">
        <f t="shared" si="73"/>
        <v>ΕΛΑΙΩΝΕΣ</v>
      </c>
    </row>
    <row r="2322" spans="1:12" s="3" customFormat="1" x14ac:dyDescent="0.25">
      <c r="A2322" s="3" t="str">
        <f t="shared" si="72"/>
        <v>ΕΛΑΙΩΝΕΣΛΕΥΚΑΔΑΣ ΑΣΠΡΟΛΙΑ</v>
      </c>
      <c r="B2322" s="4" t="s">
        <v>3545</v>
      </c>
      <c r="C2322" s="5" t="s">
        <v>4396</v>
      </c>
      <c r="D2322" s="6">
        <v>1821.1</v>
      </c>
      <c r="E2322" s="6">
        <v>1722.44</v>
      </c>
      <c r="F2322" s="7" t="s">
        <v>14</v>
      </c>
      <c r="G2322" s="8" t="s">
        <v>4397</v>
      </c>
      <c r="H2322" s="8" t="s">
        <v>27</v>
      </c>
      <c r="I2322" s="9">
        <v>1110</v>
      </c>
      <c r="J2322" s="10">
        <v>15</v>
      </c>
      <c r="K2322" s="10">
        <v>658</v>
      </c>
      <c r="L2322" s="3" t="str">
        <f t="shared" si="73"/>
        <v>ΕΛΑΙΩΝΕΣ</v>
      </c>
    </row>
    <row r="2323" spans="1:12" s="3" customFormat="1" x14ac:dyDescent="0.25">
      <c r="A2323" s="3" t="str">
        <f t="shared" si="72"/>
        <v>ΕΛΑΙΩΝΕΣMANZANILLA DE CARMONA</v>
      </c>
      <c r="B2323" s="4" t="s">
        <v>3545</v>
      </c>
      <c r="C2323" s="5" t="s">
        <v>4398</v>
      </c>
      <c r="D2323" s="6">
        <v>1821.1</v>
      </c>
      <c r="E2323" s="6">
        <v>1722.44</v>
      </c>
      <c r="F2323" s="7" t="s">
        <v>14</v>
      </c>
      <c r="G2323" s="8" t="s">
        <v>4399</v>
      </c>
      <c r="H2323" s="8" t="s">
        <v>27</v>
      </c>
      <c r="I2323" s="9">
        <v>1111</v>
      </c>
      <c r="J2323" s="10">
        <v>15</v>
      </c>
      <c r="K2323" s="10">
        <v>659</v>
      </c>
      <c r="L2323" s="3" t="str">
        <f t="shared" si="73"/>
        <v>ΕΛΑΙΩΝΕΣ</v>
      </c>
    </row>
    <row r="2324" spans="1:12" s="3" customFormat="1" x14ac:dyDescent="0.25">
      <c r="A2324" s="3" t="str">
        <f t="shared" si="72"/>
        <v>ΕΛΑΙΩΝΕΣMANZANILLA ISR.</v>
      </c>
      <c r="B2324" s="4" t="s">
        <v>3545</v>
      </c>
      <c r="C2324" s="5" t="s">
        <v>4400</v>
      </c>
      <c r="D2324" s="6">
        <v>1821.1</v>
      </c>
      <c r="E2324" s="6">
        <v>1722.44</v>
      </c>
      <c r="F2324" s="7" t="s">
        <v>14</v>
      </c>
      <c r="G2324" s="8" t="s">
        <v>4401</v>
      </c>
      <c r="H2324" s="8" t="s">
        <v>27</v>
      </c>
      <c r="I2324" s="9">
        <v>1112</v>
      </c>
      <c r="J2324" s="10">
        <v>15</v>
      </c>
      <c r="K2324" s="10">
        <v>660</v>
      </c>
      <c r="L2324" s="3" t="str">
        <f t="shared" si="73"/>
        <v>ΕΛΑΙΩΝΕΣ</v>
      </c>
    </row>
    <row r="2325" spans="1:12" s="3" customFormat="1" x14ac:dyDescent="0.25">
      <c r="A2325" s="3" t="str">
        <f t="shared" si="72"/>
        <v>ΕΛΑΙΩΝΕΣMANZANILLA NORMAL</v>
      </c>
      <c r="B2325" s="4" t="s">
        <v>3545</v>
      </c>
      <c r="C2325" s="5" t="s">
        <v>4402</v>
      </c>
      <c r="D2325" s="6">
        <v>1821.1</v>
      </c>
      <c r="E2325" s="6">
        <v>1722.44</v>
      </c>
      <c r="F2325" s="7" t="s">
        <v>14</v>
      </c>
      <c r="G2325" s="8" t="s">
        <v>4403</v>
      </c>
      <c r="H2325" s="8" t="s">
        <v>27</v>
      </c>
      <c r="I2325" s="9">
        <v>1113</v>
      </c>
      <c r="J2325" s="10">
        <v>15</v>
      </c>
      <c r="K2325" s="10">
        <v>661</v>
      </c>
      <c r="L2325" s="3" t="str">
        <f t="shared" si="73"/>
        <v>ΕΛΑΙΩΝΕΣ</v>
      </c>
    </row>
    <row r="2326" spans="1:12" s="3" customFormat="1" x14ac:dyDescent="0.25">
      <c r="A2326" s="3" t="str">
        <f t="shared" si="72"/>
        <v>ΕΛΑΙΩΝΕΣMAROCAN PICHOLINE</v>
      </c>
      <c r="B2326" s="4" t="s">
        <v>3545</v>
      </c>
      <c r="C2326" s="5" t="s">
        <v>4404</v>
      </c>
      <c r="D2326" s="6">
        <v>1821.1</v>
      </c>
      <c r="E2326" s="6">
        <v>1722.44</v>
      </c>
      <c r="F2326" s="7" t="s">
        <v>14</v>
      </c>
      <c r="G2326" s="8" t="s">
        <v>4405</v>
      </c>
      <c r="H2326" s="8" t="s">
        <v>27</v>
      </c>
      <c r="I2326" s="9">
        <v>1114</v>
      </c>
      <c r="J2326" s="10">
        <v>15</v>
      </c>
      <c r="K2326" s="10">
        <v>662</v>
      </c>
      <c r="L2326" s="3" t="str">
        <f t="shared" si="73"/>
        <v>ΕΛΑΙΩΝΕΣ</v>
      </c>
    </row>
    <row r="2327" spans="1:12" s="3" customFormat="1" x14ac:dyDescent="0.25">
      <c r="A2327" s="3" t="str">
        <f t="shared" si="72"/>
        <v>ΕΛΑΙΩΝΕΣΜΑΡΩΝΕΙΑΣ</v>
      </c>
      <c r="B2327" s="4" t="s">
        <v>3545</v>
      </c>
      <c r="C2327" s="5" t="s">
        <v>4406</v>
      </c>
      <c r="D2327" s="6">
        <v>1821.1</v>
      </c>
      <c r="E2327" s="6">
        <v>1722.44</v>
      </c>
      <c r="F2327" s="7" t="s">
        <v>14</v>
      </c>
      <c r="G2327" s="8" t="s">
        <v>4407</v>
      </c>
      <c r="H2327" s="8" t="s">
        <v>27</v>
      </c>
      <c r="I2327" s="9">
        <v>1115</v>
      </c>
      <c r="J2327" s="10">
        <v>15</v>
      </c>
      <c r="K2327" s="10">
        <v>663</v>
      </c>
      <c r="L2327" s="3" t="str">
        <f t="shared" si="73"/>
        <v>ΕΛΑΙΩΝΕΣ</v>
      </c>
    </row>
    <row r="2328" spans="1:12" s="3" customFormat="1" x14ac:dyDescent="0.25">
      <c r="A2328" s="3" t="str">
        <f t="shared" si="72"/>
        <v>ΕΛΑΙΩΝΕΣMERHAVIA</v>
      </c>
      <c r="B2328" s="4" t="s">
        <v>3545</v>
      </c>
      <c r="C2328" s="5" t="s">
        <v>4408</v>
      </c>
      <c r="D2328" s="6">
        <v>1821.1</v>
      </c>
      <c r="E2328" s="6">
        <v>1722.44</v>
      </c>
      <c r="F2328" s="7" t="s">
        <v>14</v>
      </c>
      <c r="G2328" s="8" t="s">
        <v>4409</v>
      </c>
      <c r="H2328" s="8" t="s">
        <v>27</v>
      </c>
      <c r="I2328" s="9">
        <v>1116</v>
      </c>
      <c r="J2328" s="10">
        <v>15</v>
      </c>
      <c r="K2328" s="10">
        <v>664</v>
      </c>
      <c r="L2328" s="3" t="str">
        <f t="shared" si="73"/>
        <v>ΕΛΑΙΩΝΕΣ</v>
      </c>
    </row>
    <row r="2329" spans="1:12" s="3" customFormat="1" x14ac:dyDescent="0.25">
      <c r="A2329" s="3" t="str">
        <f t="shared" si="72"/>
        <v>ΕΛΑΙΩΝΕΣNASUICHI</v>
      </c>
      <c r="B2329" s="4" t="s">
        <v>3545</v>
      </c>
      <c r="C2329" s="5" t="s">
        <v>4410</v>
      </c>
      <c r="D2329" s="6">
        <v>1821.1</v>
      </c>
      <c r="E2329" s="6">
        <v>1722.44</v>
      </c>
      <c r="F2329" s="7" t="s">
        <v>14</v>
      </c>
      <c r="G2329" s="8" t="s">
        <v>4411</v>
      </c>
      <c r="H2329" s="8" t="s">
        <v>27</v>
      </c>
      <c r="I2329" s="9">
        <v>1117</v>
      </c>
      <c r="J2329" s="10">
        <v>15</v>
      </c>
      <c r="K2329" s="10">
        <v>665</v>
      </c>
      <c r="L2329" s="3" t="str">
        <f t="shared" si="73"/>
        <v>ΕΛΑΙΩΝΕΣ</v>
      </c>
    </row>
    <row r="2330" spans="1:12" s="3" customFormat="1" x14ac:dyDescent="0.25">
      <c r="A2330" s="3" t="str">
        <f t="shared" si="72"/>
        <v>ΕΛΑΙΩΝΕΣNEVADILLO BLANCO</v>
      </c>
      <c r="B2330" s="4" t="s">
        <v>3545</v>
      </c>
      <c r="C2330" s="5" t="s">
        <v>4412</v>
      </c>
      <c r="D2330" s="6">
        <v>1821.1</v>
      </c>
      <c r="E2330" s="6">
        <v>1722.44</v>
      </c>
      <c r="F2330" s="7" t="s">
        <v>14</v>
      </c>
      <c r="G2330" s="8" t="s">
        <v>4413</v>
      </c>
      <c r="H2330" s="8" t="s">
        <v>27</v>
      </c>
      <c r="I2330" s="9">
        <v>1118</v>
      </c>
      <c r="J2330" s="10">
        <v>15</v>
      </c>
      <c r="K2330" s="10">
        <v>666</v>
      </c>
      <c r="L2330" s="3" t="str">
        <f t="shared" si="73"/>
        <v>ΕΛΑΙΩΝΕΣ</v>
      </c>
    </row>
    <row r="2331" spans="1:12" s="3" customFormat="1" x14ac:dyDescent="0.25">
      <c r="A2331" s="3" t="str">
        <f t="shared" si="72"/>
        <v>ΕΛΑΙΩΝΕΣNEVADILLO NEGRO</v>
      </c>
      <c r="B2331" s="4" t="s">
        <v>3545</v>
      </c>
      <c r="C2331" s="5" t="s">
        <v>4414</v>
      </c>
      <c r="D2331" s="6">
        <v>1821.1</v>
      </c>
      <c r="E2331" s="6">
        <v>1722.44</v>
      </c>
      <c r="F2331" s="7" t="s">
        <v>14</v>
      </c>
      <c r="G2331" s="8" t="s">
        <v>4415</v>
      </c>
      <c r="H2331" s="8" t="s">
        <v>27</v>
      </c>
      <c r="I2331" s="9">
        <v>1132</v>
      </c>
      <c r="J2331" s="10">
        <v>15</v>
      </c>
      <c r="K2331" s="10">
        <v>667</v>
      </c>
      <c r="L2331" s="3" t="str">
        <f t="shared" si="73"/>
        <v>ΕΛΑΙΩΝΕΣ</v>
      </c>
    </row>
    <row r="2332" spans="1:12" s="3" customFormat="1" x14ac:dyDescent="0.25">
      <c r="A2332" s="3" t="str">
        <f t="shared" si="72"/>
        <v>ΕΛΑΙΩΝΕΣOLIVA DE CERIGNOLA</v>
      </c>
      <c r="B2332" s="4" t="s">
        <v>3545</v>
      </c>
      <c r="C2332" s="5" t="s">
        <v>4416</v>
      </c>
      <c r="D2332" s="6">
        <v>1821.1</v>
      </c>
      <c r="E2332" s="6">
        <v>1722.44</v>
      </c>
      <c r="F2332" s="7" t="s">
        <v>14</v>
      </c>
      <c r="G2332" s="8" t="s">
        <v>4417</v>
      </c>
      <c r="H2332" s="8" t="s">
        <v>27</v>
      </c>
      <c r="I2332" s="9">
        <v>1120</v>
      </c>
      <c r="J2332" s="10">
        <v>15</v>
      </c>
      <c r="K2332" s="10">
        <v>668</v>
      </c>
      <c r="L2332" s="3" t="str">
        <f t="shared" si="73"/>
        <v>ΕΛΑΙΩΝΕΣ</v>
      </c>
    </row>
    <row r="2333" spans="1:12" s="3" customFormat="1" x14ac:dyDescent="0.25">
      <c r="A2333" s="3" t="str">
        <f t="shared" si="72"/>
        <v>ΕΛΑΙΩΝΕΣPENDOLINO</v>
      </c>
      <c r="B2333" s="4" t="s">
        <v>3545</v>
      </c>
      <c r="C2333" s="5" t="s">
        <v>4418</v>
      </c>
      <c r="D2333" s="6">
        <v>1821.1</v>
      </c>
      <c r="E2333" s="6">
        <v>1722.44</v>
      </c>
      <c r="F2333" s="7" t="s">
        <v>14</v>
      </c>
      <c r="G2333" s="8" t="s">
        <v>4419</v>
      </c>
      <c r="H2333" s="8" t="s">
        <v>27</v>
      </c>
      <c r="I2333" s="9">
        <v>1109</v>
      </c>
      <c r="J2333" s="10">
        <v>15</v>
      </c>
      <c r="K2333" s="10">
        <v>669</v>
      </c>
      <c r="L2333" s="3" t="str">
        <f t="shared" si="73"/>
        <v>ΕΛΑΙΩΝΕΣ</v>
      </c>
    </row>
    <row r="2334" spans="1:12" s="3" customFormat="1" x14ac:dyDescent="0.25">
      <c r="A2334" s="3" t="str">
        <f t="shared" si="72"/>
        <v>ΕΛΑΙΩΝΕΣΡΑΧΑΤΗ</v>
      </c>
      <c r="B2334" s="4" t="s">
        <v>3545</v>
      </c>
      <c r="C2334" s="5" t="s">
        <v>4420</v>
      </c>
      <c r="D2334" s="6">
        <v>1821.1</v>
      </c>
      <c r="E2334" s="6">
        <v>1722.44</v>
      </c>
      <c r="F2334" s="7" t="s">
        <v>14</v>
      </c>
      <c r="G2334" s="8" t="s">
        <v>4421</v>
      </c>
      <c r="H2334" s="8" t="s">
        <v>27</v>
      </c>
      <c r="I2334" s="9">
        <v>1122</v>
      </c>
      <c r="J2334" s="10">
        <v>15</v>
      </c>
      <c r="K2334" s="10">
        <v>670</v>
      </c>
      <c r="L2334" s="3" t="str">
        <f t="shared" si="73"/>
        <v>ΕΛΑΙΩΝΕΣ</v>
      </c>
    </row>
    <row r="2335" spans="1:12" s="3" customFormat="1" x14ac:dyDescent="0.25">
      <c r="A2335" s="3" t="str">
        <f t="shared" si="72"/>
        <v>ΕΛΑΙΩΝΕΣREAL SEVILLANA</v>
      </c>
      <c r="B2335" s="4" t="s">
        <v>3545</v>
      </c>
      <c r="C2335" s="5" t="s">
        <v>4422</v>
      </c>
      <c r="D2335" s="6">
        <v>1821.1</v>
      </c>
      <c r="E2335" s="6">
        <v>1722.44</v>
      </c>
      <c r="F2335" s="7" t="s">
        <v>14</v>
      </c>
      <c r="G2335" s="8" t="s">
        <v>4423</v>
      </c>
      <c r="H2335" s="8" t="s">
        <v>27</v>
      </c>
      <c r="I2335" s="9">
        <v>1123</v>
      </c>
      <c r="J2335" s="10">
        <v>15</v>
      </c>
      <c r="K2335" s="10">
        <v>671</v>
      </c>
      <c r="L2335" s="3" t="str">
        <f t="shared" si="73"/>
        <v>ΕΛΑΙΩΝΕΣ</v>
      </c>
    </row>
    <row r="2336" spans="1:12" s="3" customFormat="1" x14ac:dyDescent="0.25">
      <c r="A2336" s="3" t="str">
        <f t="shared" si="72"/>
        <v>ΕΛΑΙΩΝΕΣΡΟΒΙΩΝ (ΠΡΑΣΙΝΗ)</v>
      </c>
      <c r="B2336" s="4" t="s">
        <v>3545</v>
      </c>
      <c r="C2336" s="5" t="s">
        <v>4424</v>
      </c>
      <c r="D2336" s="6">
        <v>1821.1</v>
      </c>
      <c r="E2336" s="6">
        <v>1722.44</v>
      </c>
      <c r="F2336" s="7" t="s">
        <v>14</v>
      </c>
      <c r="G2336" s="8" t="s">
        <v>4425</v>
      </c>
      <c r="H2336" s="8" t="s">
        <v>27</v>
      </c>
      <c r="I2336" s="9">
        <v>1124</v>
      </c>
      <c r="J2336" s="10">
        <v>15</v>
      </c>
      <c r="K2336" s="10">
        <v>672</v>
      </c>
      <c r="L2336" s="3" t="str">
        <f t="shared" si="73"/>
        <v>ΕΛΑΙΩΝΕΣ</v>
      </c>
    </row>
    <row r="2337" spans="1:12" s="3" customFormat="1" x14ac:dyDescent="0.25">
      <c r="A2337" s="3" t="str">
        <f t="shared" si="72"/>
        <v>ΕΛΑΙΩΝΕΣROSCIOLA</v>
      </c>
      <c r="B2337" s="4" t="s">
        <v>3545</v>
      </c>
      <c r="C2337" s="5" t="s">
        <v>4426</v>
      </c>
      <c r="D2337" s="6">
        <v>1821.1</v>
      </c>
      <c r="E2337" s="6">
        <v>1722.44</v>
      </c>
      <c r="F2337" s="7" t="s">
        <v>14</v>
      </c>
      <c r="G2337" s="8" t="s">
        <v>4427</v>
      </c>
      <c r="H2337" s="8" t="s">
        <v>27</v>
      </c>
      <c r="I2337" s="9">
        <v>1125</v>
      </c>
      <c r="J2337" s="10">
        <v>15</v>
      </c>
      <c r="K2337" s="10">
        <v>673</v>
      </c>
      <c r="L2337" s="3" t="str">
        <f t="shared" si="73"/>
        <v>ΕΛΑΙΩΝΕΣ</v>
      </c>
    </row>
    <row r="2338" spans="1:12" s="3" customFormat="1" x14ac:dyDescent="0.25">
      <c r="A2338" s="3" t="str">
        <f t="shared" si="72"/>
        <v>ΕΛΑΙΩΝΕΣSDE ELIAO</v>
      </c>
      <c r="B2338" s="4" t="s">
        <v>3545</v>
      </c>
      <c r="C2338" s="5" t="s">
        <v>4428</v>
      </c>
      <c r="D2338" s="6">
        <v>1821.1</v>
      </c>
      <c r="E2338" s="6">
        <v>1722.44</v>
      </c>
      <c r="F2338" s="7" t="s">
        <v>14</v>
      </c>
      <c r="G2338" s="8" t="s">
        <v>4429</v>
      </c>
      <c r="H2338" s="8" t="s">
        <v>27</v>
      </c>
      <c r="I2338" s="9">
        <v>1126</v>
      </c>
      <c r="J2338" s="10">
        <v>15</v>
      </c>
      <c r="K2338" s="10">
        <v>674</v>
      </c>
      <c r="L2338" s="3" t="str">
        <f t="shared" si="73"/>
        <v>ΕΛΑΙΩΝΕΣ</v>
      </c>
    </row>
    <row r="2339" spans="1:12" s="3" customFormat="1" x14ac:dyDescent="0.25">
      <c r="A2339" s="3" t="str">
        <f t="shared" si="72"/>
        <v>ΕΛΑΙΩΝΕΣSORANI</v>
      </c>
      <c r="B2339" s="4" t="s">
        <v>3545</v>
      </c>
      <c r="C2339" s="5" t="s">
        <v>4430</v>
      </c>
      <c r="D2339" s="6">
        <v>1821.1</v>
      </c>
      <c r="E2339" s="6">
        <v>1722.44</v>
      </c>
      <c r="F2339" s="7" t="s">
        <v>14</v>
      </c>
      <c r="G2339" s="8" t="s">
        <v>4431</v>
      </c>
      <c r="H2339" s="8" t="s">
        <v>27</v>
      </c>
      <c r="I2339" s="9">
        <v>1127</v>
      </c>
      <c r="J2339" s="10">
        <v>15</v>
      </c>
      <c r="K2339" s="10">
        <v>675</v>
      </c>
      <c r="L2339" s="3" t="str">
        <f t="shared" si="73"/>
        <v>ΕΛΑΙΩΝΕΣ</v>
      </c>
    </row>
    <row r="2340" spans="1:12" s="3" customFormat="1" x14ac:dyDescent="0.25">
      <c r="A2340" s="3" t="str">
        <f t="shared" si="72"/>
        <v>ΕΛΑΙΩΝΕΣTEMPIANILLO LUCENA</v>
      </c>
      <c r="B2340" s="4" t="s">
        <v>3545</v>
      </c>
      <c r="C2340" s="5" t="s">
        <v>4432</v>
      </c>
      <c r="D2340" s="6">
        <v>1821.1</v>
      </c>
      <c r="E2340" s="6">
        <v>1722.44</v>
      </c>
      <c r="F2340" s="7" t="s">
        <v>14</v>
      </c>
      <c r="G2340" s="8" t="s">
        <v>4433</v>
      </c>
      <c r="H2340" s="8" t="s">
        <v>27</v>
      </c>
      <c r="I2340" s="9">
        <v>1128</v>
      </c>
      <c r="J2340" s="10">
        <v>15</v>
      </c>
      <c r="K2340" s="10">
        <v>676</v>
      </c>
      <c r="L2340" s="3" t="str">
        <f t="shared" si="73"/>
        <v>ΕΛΑΙΩΝΕΣ</v>
      </c>
    </row>
    <row r="2341" spans="1:12" s="3" customFormat="1" x14ac:dyDescent="0.25">
      <c r="A2341" s="3" t="str">
        <f t="shared" si="72"/>
        <v>ΕΛΑΙΩΝΕΣZORZALENO</v>
      </c>
      <c r="B2341" s="4" t="s">
        <v>3545</v>
      </c>
      <c r="C2341" s="5" t="s">
        <v>4434</v>
      </c>
      <c r="D2341" s="6">
        <v>1821.1</v>
      </c>
      <c r="E2341" s="6">
        <v>1722.44</v>
      </c>
      <c r="F2341" s="7" t="s">
        <v>14</v>
      </c>
      <c r="G2341" s="8" t="s">
        <v>4435</v>
      </c>
      <c r="H2341" s="8" t="s">
        <v>27</v>
      </c>
      <c r="I2341" s="9">
        <v>1129</v>
      </c>
      <c r="J2341" s="10">
        <v>15</v>
      </c>
      <c r="K2341" s="10">
        <v>677</v>
      </c>
      <c r="L2341" s="3" t="str">
        <f t="shared" si="73"/>
        <v>ΕΛΑΙΩΝΕΣ</v>
      </c>
    </row>
    <row r="2342" spans="1:12" s="3" customFormat="1" ht="24" x14ac:dyDescent="0.25">
      <c r="A2342" s="3" t="str">
        <f t="shared" si="72"/>
        <v>ΕΝΕΡΓΕΙΑΚΕΣ ΚΑΛΛΙΕΡΓΕΙΕΣΗΛΙΑΝΘΟΣ TALENTO</v>
      </c>
      <c r="B2342" s="4" t="s">
        <v>4436</v>
      </c>
      <c r="C2342" s="5" t="s">
        <v>4437</v>
      </c>
      <c r="D2342" s="6">
        <v>1006.46</v>
      </c>
      <c r="E2342" s="6">
        <v>1031.58</v>
      </c>
      <c r="F2342" s="7" t="s">
        <v>14</v>
      </c>
      <c r="G2342" s="8" t="s">
        <v>4438</v>
      </c>
      <c r="H2342" s="8" t="s">
        <v>16</v>
      </c>
      <c r="I2342" s="9">
        <v>1266</v>
      </c>
      <c r="J2342" s="10">
        <v>16</v>
      </c>
      <c r="K2342" s="10">
        <v>16001</v>
      </c>
      <c r="L2342" s="3" t="str">
        <f t="shared" si="73"/>
        <v>ΕΝΕΡΓΕΙΑΚΕΣ_ΚΑΛΛΙΕΡΓΕΙΕΣ</v>
      </c>
    </row>
    <row r="2343" spans="1:12" s="3" customFormat="1" ht="24" x14ac:dyDescent="0.25">
      <c r="A2343" s="3" t="str">
        <f t="shared" si="72"/>
        <v>ΕΝΕΡΓΕΙΑΚΕΣ ΚΑΛΛΙΕΡΓΕΙΕΣΗΛΙΑΝΘΟΣ SY EXPERTO</v>
      </c>
      <c r="B2343" s="4" t="s">
        <v>4436</v>
      </c>
      <c r="C2343" s="5" t="s">
        <v>4439</v>
      </c>
      <c r="D2343" s="6">
        <v>1006.46</v>
      </c>
      <c r="E2343" s="6">
        <v>1031.58</v>
      </c>
      <c r="F2343" s="7" t="s">
        <v>14</v>
      </c>
      <c r="G2343" s="8" t="s">
        <v>4440</v>
      </c>
      <c r="H2343" s="8" t="s">
        <v>16</v>
      </c>
      <c r="I2343" s="9">
        <v>1262</v>
      </c>
      <c r="J2343" s="10">
        <v>16</v>
      </c>
      <c r="K2343" s="10">
        <v>16002</v>
      </c>
      <c r="L2343" s="3" t="str">
        <f t="shared" si="73"/>
        <v>ΕΝΕΡΓΕΙΑΚΕΣ_ΚΑΛΛΙΕΡΓΕΙΕΣ</v>
      </c>
    </row>
    <row r="2344" spans="1:12" s="3" customFormat="1" ht="24" x14ac:dyDescent="0.25">
      <c r="A2344" s="3" t="str">
        <f t="shared" si="72"/>
        <v>ΕΝΕΡΓΕΙΑΚΕΣ ΚΑΛΛΙΕΡΓΕΙΕΣΗΛΙΑΝΘΟΣ P64LE99</v>
      </c>
      <c r="B2344" s="4" t="s">
        <v>4436</v>
      </c>
      <c r="C2344" s="5" t="s">
        <v>4441</v>
      </c>
      <c r="D2344" s="6">
        <v>1006.46</v>
      </c>
      <c r="E2344" s="6">
        <v>1031.58</v>
      </c>
      <c r="F2344" s="7" t="s">
        <v>14</v>
      </c>
      <c r="G2344" s="8" t="s">
        <v>4442</v>
      </c>
      <c r="H2344" s="8" t="s">
        <v>16</v>
      </c>
      <c r="I2344" s="9">
        <v>1268</v>
      </c>
      <c r="J2344" s="10">
        <v>16</v>
      </c>
      <c r="K2344" s="10">
        <v>16003</v>
      </c>
      <c r="L2344" s="3" t="str">
        <f t="shared" si="73"/>
        <v>ΕΝΕΡΓΕΙΑΚΕΣ_ΚΑΛΛΙΕΡΓΕΙΕΣ</v>
      </c>
    </row>
    <row r="2345" spans="1:12" s="3" customFormat="1" ht="24" x14ac:dyDescent="0.25">
      <c r="A2345" s="3" t="str">
        <f t="shared" si="72"/>
        <v>ΕΝΕΡΓΕΙΑΚΕΣ ΚΑΛΛΙΕΡΓΕΙΕΣΗΛΙΑΝΘΟΣ NK ΝΕΟΜΑ</v>
      </c>
      <c r="B2345" s="4" t="s">
        <v>4436</v>
      </c>
      <c r="C2345" s="5" t="s">
        <v>4443</v>
      </c>
      <c r="D2345" s="6">
        <v>1006.46</v>
      </c>
      <c r="E2345" s="6">
        <v>1031.58</v>
      </c>
      <c r="F2345" s="7" t="s">
        <v>14</v>
      </c>
      <c r="G2345" s="8" t="s">
        <v>4444</v>
      </c>
      <c r="H2345" s="8" t="s">
        <v>16</v>
      </c>
      <c r="I2345" s="9">
        <v>1269</v>
      </c>
      <c r="J2345" s="10">
        <v>16</v>
      </c>
      <c r="K2345" s="10">
        <v>16004</v>
      </c>
      <c r="L2345" s="3" t="str">
        <f t="shared" si="73"/>
        <v>ΕΝΕΡΓΕΙΑΚΕΣ_ΚΑΛΛΙΕΡΓΕΙΕΣ</v>
      </c>
    </row>
    <row r="2346" spans="1:12" s="3" customFormat="1" ht="24" x14ac:dyDescent="0.25">
      <c r="A2346" s="3" t="str">
        <f t="shared" si="72"/>
        <v>ΕΝΕΡΓΕΙΑΚΕΣ ΚΑΛΛΙΕΡΓΕΙΕΣΗΛΙΑΝΘΟΣ 64LP130</v>
      </c>
      <c r="B2346" s="4" t="s">
        <v>4436</v>
      </c>
      <c r="C2346" s="5" t="s">
        <v>4445</v>
      </c>
      <c r="D2346" s="6">
        <v>1006.46</v>
      </c>
      <c r="E2346" s="6">
        <v>1031.58</v>
      </c>
      <c r="F2346" s="7" t="s">
        <v>14</v>
      </c>
      <c r="G2346" s="8" t="s">
        <v>4446</v>
      </c>
      <c r="H2346" s="8" t="s">
        <v>16</v>
      </c>
      <c r="I2346" s="9">
        <v>1270</v>
      </c>
      <c r="J2346" s="10">
        <v>16</v>
      </c>
      <c r="K2346" s="10">
        <v>16005</v>
      </c>
      <c r="L2346" s="3" t="str">
        <f t="shared" si="73"/>
        <v>ΕΝΕΡΓΕΙΑΚΕΣ_ΚΑΛΛΙΕΡΓΕΙΕΣ</v>
      </c>
    </row>
    <row r="2347" spans="1:12" s="3" customFormat="1" ht="24" x14ac:dyDescent="0.25">
      <c r="A2347" s="3" t="str">
        <f t="shared" si="72"/>
        <v>ΕΝΕΡΓΕΙΑΚΕΣ ΚΑΛΛΙΕΡΓΕΙΕΣΗΛΙΑΝΘΟΣ ES TERRAMIS CL</v>
      </c>
      <c r="B2347" s="4" t="s">
        <v>4436</v>
      </c>
      <c r="C2347" s="5" t="s">
        <v>4447</v>
      </c>
      <c r="D2347" s="6">
        <v>1006.46</v>
      </c>
      <c r="E2347" s="6">
        <v>1031.58</v>
      </c>
      <c r="F2347" s="7" t="s">
        <v>14</v>
      </c>
      <c r="G2347" s="8" t="s">
        <v>4448</v>
      </c>
      <c r="H2347" s="8" t="s">
        <v>16</v>
      </c>
      <c r="I2347" s="9">
        <v>1272</v>
      </c>
      <c r="J2347" s="10">
        <v>16</v>
      </c>
      <c r="K2347" s="10">
        <v>16006</v>
      </c>
      <c r="L2347" s="3" t="str">
        <f t="shared" si="73"/>
        <v>ΕΝΕΡΓΕΙΑΚΕΣ_ΚΑΛΛΙΕΡΓΕΙΕΣ</v>
      </c>
    </row>
    <row r="2348" spans="1:12" s="3" customFormat="1" ht="24" x14ac:dyDescent="0.25">
      <c r="A2348" s="3" t="str">
        <f t="shared" si="72"/>
        <v>ΕΝΕΡΓΕΙΑΚΕΣ ΚΑΛΛΙΕΡΓΕΙΕΣΗΛΙΑΝΘΟΣ ES NOVAMIS CL</v>
      </c>
      <c r="B2348" s="4" t="s">
        <v>4436</v>
      </c>
      <c r="C2348" s="5" t="s">
        <v>4449</v>
      </c>
      <c r="D2348" s="6">
        <v>1006.46</v>
      </c>
      <c r="E2348" s="6">
        <v>1031.58</v>
      </c>
      <c r="F2348" s="7" t="s">
        <v>14</v>
      </c>
      <c r="G2348" s="8" t="s">
        <v>4450</v>
      </c>
      <c r="H2348" s="8" t="s">
        <v>16</v>
      </c>
      <c r="I2348" s="9">
        <v>1271</v>
      </c>
      <c r="J2348" s="10">
        <v>16</v>
      </c>
      <c r="K2348" s="10">
        <v>16007</v>
      </c>
      <c r="L2348" s="3" t="str">
        <f t="shared" si="73"/>
        <v>ΕΝΕΡΓΕΙΑΚΕΣ_ΚΑΛΛΙΕΡΓΕΙΕΣ</v>
      </c>
    </row>
    <row r="2349" spans="1:12" s="3" customFormat="1" ht="24" x14ac:dyDescent="0.25">
      <c r="A2349" s="3" t="str">
        <f t="shared" si="72"/>
        <v>ΕΝΕΡΓΕΙΑΚΕΣ ΚΑΛΛΙΕΡΓΕΙΕΣΗΛΙΑΝΘΟΣ KLARIKA CL</v>
      </c>
      <c r="B2349" s="21" t="s">
        <v>4436</v>
      </c>
      <c r="C2349" s="22" t="s">
        <v>4451</v>
      </c>
      <c r="D2349" s="6">
        <v>1006.46</v>
      </c>
      <c r="E2349" s="6">
        <v>1031.58</v>
      </c>
      <c r="F2349" s="7" t="s">
        <v>14</v>
      </c>
      <c r="G2349" s="8" t="s">
        <v>4452</v>
      </c>
      <c r="H2349" s="8" t="s">
        <v>16</v>
      </c>
      <c r="I2349" s="9">
        <v>5170</v>
      </c>
      <c r="J2349" s="16">
        <v>16</v>
      </c>
      <c r="K2349" s="16">
        <v>16008</v>
      </c>
      <c r="L2349" s="3" t="str">
        <f t="shared" si="73"/>
        <v>ΕΝΕΡΓΕΙΑΚΕΣ_ΚΑΛΛΙΕΡΓΕΙΕΣ</v>
      </c>
    </row>
    <row r="2350" spans="1:12" s="3" customFormat="1" ht="24" customHeight="1" x14ac:dyDescent="0.25">
      <c r="A2350" s="3" t="str">
        <f t="shared" si="72"/>
        <v>ΕΝΕΡΓΕΙΑΚΕΣ ΚΑΛΛΙΕΡΓΕΙΕΣΗΛΙΑΝΘΟΣ ES AROMATIC SU</v>
      </c>
      <c r="B2350" s="23" t="s">
        <v>4436</v>
      </c>
      <c r="C2350" s="24" t="s">
        <v>3487</v>
      </c>
      <c r="D2350" s="6">
        <v>1006.46</v>
      </c>
      <c r="E2350" s="6">
        <v>1031.58</v>
      </c>
      <c r="F2350" s="29" t="s">
        <v>14</v>
      </c>
      <c r="G2350" s="8" t="s">
        <v>4453</v>
      </c>
      <c r="H2350" s="8" t="s">
        <v>16</v>
      </c>
      <c r="I2350" s="9">
        <v>5382</v>
      </c>
      <c r="J2350" s="26">
        <v>16</v>
      </c>
      <c r="K2350" s="27">
        <v>16009</v>
      </c>
      <c r="L2350" s="3" t="str">
        <f t="shared" si="73"/>
        <v>ΕΝΕΡΓΕΙΑΚΕΣ_ΚΑΛΛΙΕΡΓΕΙΕΣ</v>
      </c>
    </row>
    <row r="2351" spans="1:12" s="3" customFormat="1" ht="24" customHeight="1" x14ac:dyDescent="0.25">
      <c r="A2351" s="3" t="str">
        <f t="shared" si="72"/>
        <v>ΕΝΕΡΓΕΙΑΚΕΣ ΚΑΛΛΙΕΡΓΕΙΕΣΗΛΙΑΝΘΟΣ BILOBA CLP</v>
      </c>
      <c r="B2351" s="23" t="s">
        <v>4436</v>
      </c>
      <c r="C2351" s="24" t="s">
        <v>3489</v>
      </c>
      <c r="D2351" s="6">
        <v>1006.46</v>
      </c>
      <c r="E2351" s="6">
        <v>1031.58</v>
      </c>
      <c r="F2351" s="29" t="s">
        <v>14</v>
      </c>
      <c r="G2351" s="8" t="s">
        <v>4454</v>
      </c>
      <c r="H2351" s="8" t="s">
        <v>16</v>
      </c>
      <c r="I2351" s="9">
        <v>5383</v>
      </c>
      <c r="J2351" s="26">
        <v>16</v>
      </c>
      <c r="K2351" s="27">
        <v>16010</v>
      </c>
      <c r="L2351" s="3" t="str">
        <f t="shared" si="73"/>
        <v>ΕΝΕΡΓΕΙΑΚΕΣ_ΚΑΛΛΙΕΡΓΕΙΕΣ</v>
      </c>
    </row>
    <row r="2352" spans="1:12" s="3" customFormat="1" ht="24" customHeight="1" x14ac:dyDescent="0.25">
      <c r="A2352" s="3" t="str">
        <f t="shared" si="72"/>
        <v>ΕΝΕΡΓΕΙΑΚΕΣ ΚΑΛΛΙΕΡΓΕΙΕΣΗΛΙΑΝΘΟΣ SUOMI (ΠΟΤΙΣΤΙΚΟΣ)</v>
      </c>
      <c r="B2352" s="23" t="s">
        <v>4436</v>
      </c>
      <c r="C2352" s="24" t="s">
        <v>3509</v>
      </c>
      <c r="D2352" s="6">
        <v>1006.46</v>
      </c>
      <c r="E2352" s="6">
        <v>1031.58</v>
      </c>
      <c r="F2352" s="7" t="s">
        <v>14</v>
      </c>
      <c r="G2352" s="30" t="s">
        <v>4455</v>
      </c>
      <c r="H2352" s="31" t="s">
        <v>577</v>
      </c>
      <c r="I2352" s="9">
        <v>5979</v>
      </c>
      <c r="J2352" s="30">
        <v>16</v>
      </c>
      <c r="K2352" s="30">
        <v>16011</v>
      </c>
      <c r="L2352" s="3" t="str">
        <f t="shared" si="73"/>
        <v>ΕΝΕΡΓΕΙΑΚΕΣ_ΚΑΛΛΙΕΡΓΕΙΕΣ</v>
      </c>
    </row>
    <row r="2353" spans="1:12" s="3" customFormat="1" x14ac:dyDescent="0.25">
      <c r="A2353" s="3" t="str">
        <f t="shared" si="72"/>
        <v>ΕΝΕΡΓΕΙΑΚΕΣ ΚΑΛΛΙΕΡΓΕΙΕΣΗΛΙΑΝΘΟΣ SUOMI (ΞΗΡΙΚΟΣ)</v>
      </c>
      <c r="B2353" s="23" t="s">
        <v>4436</v>
      </c>
      <c r="C2353" s="24" t="s">
        <v>3511</v>
      </c>
      <c r="D2353" s="6">
        <v>1006.46</v>
      </c>
      <c r="E2353" s="6">
        <v>1031.58</v>
      </c>
      <c r="F2353" s="7" t="s">
        <v>14</v>
      </c>
      <c r="G2353" s="30" t="s">
        <v>4456</v>
      </c>
      <c r="H2353" s="31" t="s">
        <v>577</v>
      </c>
      <c r="I2353" s="9">
        <v>5977</v>
      </c>
      <c r="J2353" s="30">
        <v>16</v>
      </c>
      <c r="K2353" s="30">
        <v>16012</v>
      </c>
      <c r="L2353" s="3" t="str">
        <f t="shared" si="73"/>
        <v>ΕΝΕΡΓΕΙΑΚΕΣ_ΚΑΛΛΙΕΡΓΕΙΕΣ</v>
      </c>
    </row>
    <row r="2354" spans="1:12" s="3" customFormat="1" x14ac:dyDescent="0.25">
      <c r="A2354" s="3" t="str">
        <f t="shared" si="72"/>
        <v>ΕΝΕΡΓΕΙΑΚΕΣ ΚΑΛΛΙΕΡΓΕΙΕΣΗΛΙΑΝΘΟΣ P64LΕ99 (ΠΟΤΙΣΤΙΚΟΣ)</v>
      </c>
      <c r="B2354" s="23" t="s">
        <v>4436</v>
      </c>
      <c r="C2354" s="24" t="s">
        <v>3513</v>
      </c>
      <c r="D2354" s="6">
        <v>1006.46</v>
      </c>
      <c r="E2354" s="6">
        <v>1031.58</v>
      </c>
      <c r="F2354" s="7" t="s">
        <v>14</v>
      </c>
      <c r="G2354" s="30" t="s">
        <v>4457</v>
      </c>
      <c r="H2354" s="31" t="s">
        <v>577</v>
      </c>
      <c r="I2354" s="9">
        <v>5973</v>
      </c>
      <c r="J2354" s="30">
        <v>16</v>
      </c>
      <c r="K2354" s="30">
        <v>16013</v>
      </c>
      <c r="L2354" s="3" t="str">
        <f t="shared" si="73"/>
        <v>ΕΝΕΡΓΕΙΑΚΕΣ_ΚΑΛΛΙΕΡΓΕΙΕΣ</v>
      </c>
    </row>
    <row r="2355" spans="1:12" s="3" customFormat="1" x14ac:dyDescent="0.25">
      <c r="A2355" s="3" t="str">
        <f t="shared" si="72"/>
        <v>ΕΝΕΡΓΕΙΑΚΕΣ ΚΑΛΛΙΕΡΓΕΙΕΣΗΛΙΑΝΘΟΣ P64LΕ99 (ΞΗΡΙΚΟΣ)</v>
      </c>
      <c r="B2355" s="23" t="s">
        <v>4436</v>
      </c>
      <c r="C2355" s="24" t="s">
        <v>3515</v>
      </c>
      <c r="D2355" s="6">
        <v>1006.46</v>
      </c>
      <c r="E2355" s="6">
        <v>1031.58</v>
      </c>
      <c r="F2355" s="7" t="s">
        <v>14</v>
      </c>
      <c r="G2355" s="30" t="s">
        <v>4458</v>
      </c>
      <c r="H2355" s="31" t="s">
        <v>577</v>
      </c>
      <c r="I2355" s="9">
        <v>5971</v>
      </c>
      <c r="J2355" s="30">
        <v>16</v>
      </c>
      <c r="K2355" s="30">
        <v>16014</v>
      </c>
      <c r="L2355" s="3" t="str">
        <f t="shared" si="73"/>
        <v>ΕΝΕΡΓΕΙΑΚΕΣ_ΚΑΛΛΙΕΡΓΕΙΕΣ</v>
      </c>
    </row>
    <row r="2356" spans="1:12" s="3" customFormat="1" ht="24" x14ac:dyDescent="0.25">
      <c r="A2356" s="3" t="str">
        <f t="shared" si="72"/>
        <v>ΕΝΕΡΓΕΙΑΚΕΣ ΚΑΛΛΙΕΡΓΕΙΕΣΕΛΑΙΟΚΡΑΜΒΗ</v>
      </c>
      <c r="B2356" s="4" t="s">
        <v>4436</v>
      </c>
      <c r="C2356" s="5" t="s">
        <v>3517</v>
      </c>
      <c r="D2356" s="6">
        <v>835.84</v>
      </c>
      <c r="E2356" s="6">
        <v>845.67</v>
      </c>
      <c r="F2356" s="7" t="s">
        <v>14</v>
      </c>
      <c r="G2356" s="8" t="s">
        <v>4459</v>
      </c>
      <c r="H2356" s="8" t="s">
        <v>16</v>
      </c>
      <c r="I2356" s="9">
        <v>1256</v>
      </c>
      <c r="J2356" s="10">
        <v>16</v>
      </c>
      <c r="K2356" s="10">
        <v>6299</v>
      </c>
      <c r="L2356" s="3" t="str">
        <f t="shared" si="73"/>
        <v>ΕΝΕΡΓΕΙΑΚΕΣ_ΚΑΛΛΙΕΡΓΕΙΕΣ</v>
      </c>
    </row>
    <row r="2357" spans="1:12" s="3" customFormat="1" ht="24" x14ac:dyDescent="0.25">
      <c r="A2357" s="3" t="str">
        <f t="shared" si="72"/>
        <v>ΕΝΕΡΓΕΙΑΚΕΣ ΚΑΛΛΙΕΡΓΕΙΕΣΗΛΙΑΝΘΟΣ QUIRO (ΗΠΑ)</v>
      </c>
      <c r="B2357" s="4" t="s">
        <v>4436</v>
      </c>
      <c r="C2357" s="5" t="s">
        <v>3519</v>
      </c>
      <c r="D2357" s="6">
        <v>1006.46</v>
      </c>
      <c r="E2357" s="6">
        <v>1031.58</v>
      </c>
      <c r="F2357" s="7" t="s">
        <v>14</v>
      </c>
      <c r="G2357" s="8" t="s">
        <v>4460</v>
      </c>
      <c r="H2357" s="8" t="s">
        <v>16</v>
      </c>
      <c r="I2357" s="9">
        <v>1263</v>
      </c>
      <c r="J2357" s="10">
        <v>16</v>
      </c>
      <c r="K2357" s="10">
        <v>6301</v>
      </c>
      <c r="L2357" s="3" t="str">
        <f t="shared" si="73"/>
        <v>ΕΝΕΡΓΕΙΑΚΕΣ_ΚΑΛΛΙΕΡΓΕΙΕΣ</v>
      </c>
    </row>
    <row r="2358" spans="1:12" s="3" customFormat="1" ht="24" x14ac:dyDescent="0.25">
      <c r="A2358" s="3" t="str">
        <f t="shared" si="72"/>
        <v>ΕΝΕΡΓΕΙΑΚΕΣ ΚΑΛΛΙΕΡΓΕΙΕΣΗΛΙΑΝΘΟΣ TURBO (ROM)</v>
      </c>
      <c r="B2358" s="4" t="s">
        <v>4436</v>
      </c>
      <c r="C2358" s="5" t="s">
        <v>3521</v>
      </c>
      <c r="D2358" s="6">
        <v>1006.46</v>
      </c>
      <c r="E2358" s="6">
        <v>1031.58</v>
      </c>
      <c r="F2358" s="7" t="s">
        <v>14</v>
      </c>
      <c r="G2358" s="8" t="s">
        <v>4461</v>
      </c>
      <c r="H2358" s="8" t="s">
        <v>16</v>
      </c>
      <c r="I2358" s="9">
        <v>1261</v>
      </c>
      <c r="J2358" s="10">
        <v>16</v>
      </c>
      <c r="K2358" s="10">
        <v>6302</v>
      </c>
      <c r="L2358" s="3" t="str">
        <f t="shared" si="73"/>
        <v>ΕΝΕΡΓΕΙΑΚΕΣ_ΚΑΛΛΙΕΡΓΕΙΕΣ</v>
      </c>
    </row>
    <row r="2359" spans="1:12" s="3" customFormat="1" ht="24" x14ac:dyDescent="0.25">
      <c r="A2359" s="3" t="str">
        <f t="shared" si="72"/>
        <v>ΕΝΕΡΓΕΙΑΚΕΣ ΚΑΛΛΙΕΡΓΕΙΕΣΗΛΙΑΝΘΟΣ PHARAON (ΗΠΑ)</v>
      </c>
      <c r="B2359" s="4" t="s">
        <v>4436</v>
      </c>
      <c r="C2359" s="5" t="s">
        <v>3523</v>
      </c>
      <c r="D2359" s="6">
        <v>1006.46</v>
      </c>
      <c r="E2359" s="6">
        <v>1031.58</v>
      </c>
      <c r="F2359" s="7" t="s">
        <v>14</v>
      </c>
      <c r="G2359" s="8" t="s">
        <v>4462</v>
      </c>
      <c r="H2359" s="8" t="s">
        <v>16</v>
      </c>
      <c r="I2359" s="9">
        <v>1260</v>
      </c>
      <c r="J2359" s="10">
        <v>16</v>
      </c>
      <c r="K2359" s="10">
        <v>6303</v>
      </c>
      <c r="L2359" s="3" t="str">
        <f t="shared" si="73"/>
        <v>ΕΝΕΡΓΕΙΑΚΕΣ_ΚΑΛΛΙΕΡΓΕΙΕΣ</v>
      </c>
    </row>
    <row r="2360" spans="1:12" s="3" customFormat="1" ht="24" x14ac:dyDescent="0.25">
      <c r="A2360" s="3" t="str">
        <f t="shared" si="72"/>
        <v>ΕΝΕΡΓΕΙΑΚΕΣ ΚΑΛΛΙΕΡΓΕΙΕΣΗΛΙΑΝΘΟΣ SUNSTAR (ΗΠΑ)</v>
      </c>
      <c r="B2360" s="4" t="s">
        <v>4436</v>
      </c>
      <c r="C2360" s="5" t="s">
        <v>3525</v>
      </c>
      <c r="D2360" s="6">
        <v>1006.46</v>
      </c>
      <c r="E2360" s="6">
        <v>1031.58</v>
      </c>
      <c r="F2360" s="7" t="s">
        <v>14</v>
      </c>
      <c r="G2360" s="8" t="s">
        <v>4463</v>
      </c>
      <c r="H2360" s="8" t="s">
        <v>16</v>
      </c>
      <c r="I2360" s="9">
        <v>1259</v>
      </c>
      <c r="J2360" s="10">
        <v>16</v>
      </c>
      <c r="K2360" s="10">
        <v>6304</v>
      </c>
      <c r="L2360" s="3" t="str">
        <f t="shared" si="73"/>
        <v>ΕΝΕΡΓΕΙΑΚΕΣ_ΚΑΛΛΙΕΡΓΕΙΕΣ</v>
      </c>
    </row>
    <row r="2361" spans="1:12" s="3" customFormat="1" ht="24" x14ac:dyDescent="0.25">
      <c r="A2361" s="3" t="str">
        <f t="shared" si="72"/>
        <v>ΕΝΕΡΓΕΙΑΚΕΣ ΚΑΛΛΙΕΡΓΕΙΕΣΗΛΙΑΝΘΟΣ ΚΑΒΗΣΟΣ (ΕΛΛΑΣ)</v>
      </c>
      <c r="B2361" s="4" t="s">
        <v>4436</v>
      </c>
      <c r="C2361" s="5" t="s">
        <v>3527</v>
      </c>
      <c r="D2361" s="6">
        <v>1006.46</v>
      </c>
      <c r="E2361" s="6">
        <v>1031.58</v>
      </c>
      <c r="F2361" s="7" t="s">
        <v>14</v>
      </c>
      <c r="G2361" s="8" t="s">
        <v>4464</v>
      </c>
      <c r="H2361" s="8" t="s">
        <v>16</v>
      </c>
      <c r="I2361" s="9">
        <v>1258</v>
      </c>
      <c r="J2361" s="10">
        <v>16</v>
      </c>
      <c r="K2361" s="10">
        <v>6305</v>
      </c>
      <c r="L2361" s="3" t="str">
        <f t="shared" si="73"/>
        <v>ΕΝΕΡΓΕΙΑΚΕΣ_ΚΑΛΛΙΕΡΓΕΙΕΣ</v>
      </c>
    </row>
    <row r="2362" spans="1:12" s="3" customFormat="1" ht="24" x14ac:dyDescent="0.25">
      <c r="A2362" s="3" t="str">
        <f t="shared" si="72"/>
        <v>ΕΝΕΡΓΕΙΑΚΕΣ ΚΑΛΛΙΕΡΓΕΙΕΣΗΛΙΑΝΘΟΣ ΔΙΑΦΟΡΑ</v>
      </c>
      <c r="B2362" s="4" t="s">
        <v>4436</v>
      </c>
      <c r="C2362" s="5" t="s">
        <v>4465</v>
      </c>
      <c r="D2362" s="6">
        <v>1006.46</v>
      </c>
      <c r="E2362" s="6">
        <v>1031.58</v>
      </c>
      <c r="F2362" s="7" t="s">
        <v>14</v>
      </c>
      <c r="G2362" s="8" t="s">
        <v>4466</v>
      </c>
      <c r="H2362" s="8" t="s">
        <v>16</v>
      </c>
      <c r="I2362" s="9">
        <v>1257</v>
      </c>
      <c r="J2362" s="10">
        <v>16</v>
      </c>
      <c r="K2362" s="10">
        <v>6306</v>
      </c>
      <c r="L2362" s="3" t="str">
        <f t="shared" si="73"/>
        <v>ΕΝΕΡΓΕΙΑΚΕΣ_ΚΑΛΛΙΕΡΓΕΙΕΣ</v>
      </c>
    </row>
    <row r="2363" spans="1:12" s="3" customFormat="1" ht="24" x14ac:dyDescent="0.25">
      <c r="A2363" s="3" t="str">
        <f t="shared" si="72"/>
        <v>ΕΝΕΡΓΕΙΑΚΕΣ ΚΑΛΛΙΕΡΓΕΙΕΣΣΟΓΙΑ</v>
      </c>
      <c r="B2363" s="4" t="s">
        <v>4436</v>
      </c>
      <c r="C2363" s="5" t="s">
        <v>4467</v>
      </c>
      <c r="D2363" s="6">
        <v>1336.72</v>
      </c>
      <c r="E2363" s="6">
        <v>1613.72</v>
      </c>
      <c r="F2363" s="7" t="s">
        <v>14</v>
      </c>
      <c r="G2363" s="8" t="s">
        <v>4468</v>
      </c>
      <c r="H2363" s="8" t="s">
        <v>16</v>
      </c>
      <c r="I2363" s="9">
        <v>1264</v>
      </c>
      <c r="J2363" s="10">
        <v>16</v>
      </c>
      <c r="K2363" s="10">
        <v>6499</v>
      </c>
      <c r="L2363" s="3" t="str">
        <f t="shared" si="73"/>
        <v>ΕΝΕΡΓΕΙΑΚΕΣ_ΚΑΛΛΙΕΡΓΕΙΕΣ</v>
      </c>
    </row>
    <row r="2364" spans="1:12" s="3" customFormat="1" ht="24" x14ac:dyDescent="0.25">
      <c r="A2364" s="3" t="str">
        <f t="shared" si="72"/>
        <v>ΕΝΕΡΓΕΙΑΚΕΣ ΚΑΛΛΙΕΡΓΕΙΕΣΑΓΡΙΟΑΓΓΙΝΑΡΑ</v>
      </c>
      <c r="B2364" s="4" t="s">
        <v>4436</v>
      </c>
      <c r="C2364" s="5" t="s">
        <v>4469</v>
      </c>
      <c r="D2364" s="6">
        <v>1829.23</v>
      </c>
      <c r="E2364" s="6">
        <v>3862.55</v>
      </c>
      <c r="F2364" s="7" t="s">
        <v>14</v>
      </c>
      <c r="G2364" s="8" t="s">
        <v>4470</v>
      </c>
      <c r="H2364" s="8" t="s">
        <v>16</v>
      </c>
      <c r="I2364" s="9">
        <v>1265</v>
      </c>
      <c r="J2364" s="10">
        <v>16</v>
      </c>
      <c r="K2364" s="10">
        <v>8702</v>
      </c>
      <c r="L2364" s="3" t="str">
        <f t="shared" si="73"/>
        <v>ΕΝΕΡΓΕΙΑΚΕΣ_ΚΑΛΛΙΕΡΓΕΙΕΣ</v>
      </c>
    </row>
    <row r="2365" spans="1:12" s="3" customFormat="1" ht="24" x14ac:dyDescent="0.25">
      <c r="A2365" s="3" t="str">
        <f t="shared" si="72"/>
        <v>ΕΝΕΡΓΕΙΑΚΕΣ ΚΑΛΛΙΕΡΓΕΙΕΣΑΤΡΑΚΤΥΛΙΔΑ</v>
      </c>
      <c r="B2365" s="4" t="s">
        <v>4436</v>
      </c>
      <c r="C2365" s="5" t="s">
        <v>4471</v>
      </c>
      <c r="D2365" s="6">
        <v>3602.4</v>
      </c>
      <c r="E2365" s="6">
        <v>2521.4499999999998</v>
      </c>
      <c r="F2365" s="7" t="s">
        <v>14</v>
      </c>
      <c r="G2365" s="8" t="s">
        <v>4472</v>
      </c>
      <c r="H2365" s="8" t="s">
        <v>16</v>
      </c>
      <c r="I2365" s="9">
        <v>1267</v>
      </c>
      <c r="J2365" s="10">
        <v>16</v>
      </c>
      <c r="K2365" s="10">
        <v>8705</v>
      </c>
      <c r="L2365" s="3" t="str">
        <f t="shared" si="73"/>
        <v>ΕΝΕΡΓΕΙΑΚΕΣ_ΚΑΛΛΙΕΡΓΕΙΕΣ</v>
      </c>
    </row>
    <row r="2366" spans="1:12" s="3" customFormat="1" x14ac:dyDescent="0.25">
      <c r="A2366" s="3" t="str">
        <f t="shared" si="72"/>
        <v>ΕΞΑΙΡΕΤΙΚΗ ΠΕΡΙΣΤΑΣΗΑΓΩΓΟΣ ΤΑΠ</v>
      </c>
      <c r="B2366" s="4" t="s">
        <v>4473</v>
      </c>
      <c r="C2366" s="5" t="s">
        <v>4474</v>
      </c>
      <c r="D2366" s="6">
        <v>0</v>
      </c>
      <c r="E2366" s="6">
        <v>0</v>
      </c>
      <c r="F2366" s="7" t="s">
        <v>14</v>
      </c>
      <c r="G2366" s="8" t="s">
        <v>4475</v>
      </c>
      <c r="H2366" s="8" t="s">
        <v>27</v>
      </c>
      <c r="I2366" s="9">
        <v>4047</v>
      </c>
      <c r="J2366" s="10">
        <v>97</v>
      </c>
      <c r="K2366" s="10">
        <v>97001</v>
      </c>
      <c r="L2366" s="3" t="str">
        <f t="shared" si="73"/>
        <v>ΕΞΑΙΡΕΤΙΚΗ_ΠΕΡΙΣΤΑΣΗ</v>
      </c>
    </row>
    <row r="2367" spans="1:12" s="3" customFormat="1" ht="24" x14ac:dyDescent="0.25">
      <c r="A2367" s="3" t="str">
        <f t="shared" si="72"/>
        <v>ΕΣΠΕΡΙΔΟΕΙΔΗΠΟΡΤΟΚΑΛΙΕΣ</v>
      </c>
      <c r="B2367" s="4" t="s">
        <v>4476</v>
      </c>
      <c r="C2367" s="5" t="s">
        <v>4477</v>
      </c>
      <c r="D2367" s="6">
        <v>6463.62</v>
      </c>
      <c r="E2367" s="6">
        <v>7222.28</v>
      </c>
      <c r="F2367" s="7" t="s">
        <v>14</v>
      </c>
      <c r="G2367" s="8" t="s">
        <v>4478</v>
      </c>
      <c r="H2367" s="8" t="s">
        <v>16</v>
      </c>
      <c r="I2367" s="9">
        <v>2301</v>
      </c>
      <c r="J2367" s="10">
        <v>37</v>
      </c>
      <c r="K2367" s="10">
        <v>10912</v>
      </c>
      <c r="L2367" s="3" t="str">
        <f t="shared" si="73"/>
        <v>ΕΣΠΕΡΙΔΟΕΙΔΗ</v>
      </c>
    </row>
    <row r="2368" spans="1:12" s="3" customFormat="1" ht="24" x14ac:dyDescent="0.25">
      <c r="A2368" s="3" t="str">
        <f t="shared" si="72"/>
        <v>ΕΣΠΕΡΙΔΟΕΙΔΗΦΡΑΠΕΣ</v>
      </c>
      <c r="B2368" s="4" t="s">
        <v>4476</v>
      </c>
      <c r="C2368" s="5" t="s">
        <v>4479</v>
      </c>
      <c r="D2368" s="6">
        <v>6463.62</v>
      </c>
      <c r="E2368" s="6">
        <v>7222.28</v>
      </c>
      <c r="F2368" s="7" t="s">
        <v>14</v>
      </c>
      <c r="G2368" s="8" t="s">
        <v>4480</v>
      </c>
      <c r="H2368" s="8" t="s">
        <v>16</v>
      </c>
      <c r="I2368" s="9">
        <v>2300</v>
      </c>
      <c r="J2368" s="10">
        <v>37</v>
      </c>
      <c r="K2368" s="10">
        <v>10914</v>
      </c>
      <c r="L2368" s="3" t="str">
        <f t="shared" si="73"/>
        <v>ΕΣΠΕΡΙΔΟΕΙΔΗ</v>
      </c>
    </row>
    <row r="2369" spans="1:12" s="3" customFormat="1" ht="24" x14ac:dyDescent="0.25">
      <c r="A2369" s="3" t="str">
        <f t="shared" si="72"/>
        <v>ΕΣΠΕΡΙΔΟΕΙΔΗΣΑΤΣΟΥΜΕΣ</v>
      </c>
      <c r="B2369" s="4" t="s">
        <v>4476</v>
      </c>
      <c r="C2369" s="5" t="s">
        <v>4481</v>
      </c>
      <c r="D2369" s="6">
        <v>6463.62</v>
      </c>
      <c r="E2369" s="6">
        <v>7222.28</v>
      </c>
      <c r="F2369" s="7" t="s">
        <v>14</v>
      </c>
      <c r="G2369" s="8" t="s">
        <v>4482</v>
      </c>
      <c r="H2369" s="8" t="s">
        <v>16</v>
      </c>
      <c r="I2369" s="9">
        <v>2303</v>
      </c>
      <c r="J2369" s="10">
        <v>37</v>
      </c>
      <c r="K2369" s="10">
        <v>10915</v>
      </c>
      <c r="L2369" s="3" t="str">
        <f t="shared" si="73"/>
        <v>ΕΣΠΕΡΙΔΟΕΙΔΗ</v>
      </c>
    </row>
    <row r="2370" spans="1:12" s="3" customFormat="1" ht="24" x14ac:dyDescent="0.25">
      <c r="A2370" s="3" t="str">
        <f t="shared" si="72"/>
        <v>ΕΣΠΕΡΙΔΟΕΙΔΗΚΛΙΜΕΝΤΙΝΕΣ</v>
      </c>
      <c r="B2370" s="4" t="s">
        <v>4476</v>
      </c>
      <c r="C2370" s="5" t="s">
        <v>4483</v>
      </c>
      <c r="D2370" s="6">
        <v>6463.62</v>
      </c>
      <c r="E2370" s="6">
        <v>7222.28</v>
      </c>
      <c r="F2370" s="7" t="s">
        <v>14</v>
      </c>
      <c r="G2370" s="8" t="s">
        <v>4484</v>
      </c>
      <c r="H2370" s="8" t="s">
        <v>16</v>
      </c>
      <c r="I2370" s="9">
        <v>2305</v>
      </c>
      <c r="J2370" s="10">
        <v>37</v>
      </c>
      <c r="K2370" s="10">
        <v>10916</v>
      </c>
      <c r="L2370" s="3" t="str">
        <f t="shared" si="73"/>
        <v>ΕΣΠΕΡΙΔΟΕΙΔΗ</v>
      </c>
    </row>
    <row r="2371" spans="1:12" s="3" customFormat="1" ht="24" x14ac:dyDescent="0.25">
      <c r="A2371" s="3" t="str">
        <f t="shared" ref="A2371:A2434" si="74">_xlfn.CONCAT(B2371,C2371)</f>
        <v>ΕΣΠΕΡΙΔΟΕΙΔΗΜΑΝΤΑΡΙΝΙΑ ΚΑΛΥΜΝΟΥ</v>
      </c>
      <c r="B2371" s="4" t="s">
        <v>4476</v>
      </c>
      <c r="C2371" s="5" t="s">
        <v>4485</v>
      </c>
      <c r="D2371" s="6">
        <v>6463.62</v>
      </c>
      <c r="E2371" s="6">
        <v>7222.28</v>
      </c>
      <c r="F2371" s="7" t="s">
        <v>14</v>
      </c>
      <c r="G2371" s="8" t="s">
        <v>4486</v>
      </c>
      <c r="H2371" s="8" t="s">
        <v>16</v>
      </c>
      <c r="I2371" s="9">
        <v>2318</v>
      </c>
      <c r="J2371" s="10">
        <v>37</v>
      </c>
      <c r="K2371" s="10">
        <v>10917</v>
      </c>
      <c r="L2371" s="3" t="str">
        <f t="shared" ref="L2371:L2434" si="75">IFERROR(SUBSTITUTE(SUBSTITUTE(SUBSTITUTE(SUBSTITUTE(SUBSTITUTE(B2371, "-", "_"), " ", "_"), ",", ""), "(", ""), ")", ""), B2371)</f>
        <v>ΕΣΠΕΡΙΔΟΕΙΔΗ</v>
      </c>
    </row>
    <row r="2372" spans="1:12" s="3" customFormat="1" ht="24" x14ac:dyDescent="0.25">
      <c r="A2372" s="3" t="str">
        <f t="shared" si="74"/>
        <v>ΕΣΠΕΡΙΔΟΕΙΔΗΚΙΤΡΑ EΤROG (ΙΟΥΔΑΪΚΑ)</v>
      </c>
      <c r="B2372" s="4" t="s">
        <v>4476</v>
      </c>
      <c r="C2372" s="5" t="s">
        <v>4487</v>
      </c>
      <c r="D2372" s="6">
        <v>6463.62</v>
      </c>
      <c r="E2372" s="6">
        <v>7222.28</v>
      </c>
      <c r="F2372" s="7" t="s">
        <v>14</v>
      </c>
      <c r="G2372" s="8" t="s">
        <v>4488</v>
      </c>
      <c r="H2372" s="8" t="s">
        <v>16</v>
      </c>
      <c r="I2372" s="9">
        <v>2304</v>
      </c>
      <c r="J2372" s="10">
        <v>37</v>
      </c>
      <c r="K2372" s="10">
        <v>37002</v>
      </c>
      <c r="L2372" s="3" t="str">
        <f t="shared" si="75"/>
        <v>ΕΣΠΕΡΙΔΟΕΙΔΗ</v>
      </c>
    </row>
    <row r="2373" spans="1:12" s="3" customFormat="1" ht="24" x14ac:dyDescent="0.25">
      <c r="A2373" s="3" t="str">
        <f t="shared" si="74"/>
        <v>ΕΣΠΕΡΙΔΟΕΙΔΗΛΕΜΟΝΙΑ ΚΑΝΟΝ. ΠΑΡΑΓ. (ΚΙΤΡΙΝΑ)</v>
      </c>
      <c r="B2373" s="4" t="s">
        <v>4476</v>
      </c>
      <c r="C2373" s="5" t="s">
        <v>4489</v>
      </c>
      <c r="D2373" s="6">
        <v>6463.62</v>
      </c>
      <c r="E2373" s="6">
        <v>7222.28</v>
      </c>
      <c r="F2373" s="7" t="s">
        <v>14</v>
      </c>
      <c r="G2373" s="8" t="s">
        <v>4490</v>
      </c>
      <c r="H2373" s="8" t="s">
        <v>16</v>
      </c>
      <c r="I2373" s="9">
        <v>2309</v>
      </c>
      <c r="J2373" s="10">
        <v>37</v>
      </c>
      <c r="K2373" s="10">
        <v>37003</v>
      </c>
      <c r="L2373" s="3" t="str">
        <f t="shared" si="75"/>
        <v>ΕΣΠΕΡΙΔΟΕΙΔΗ</v>
      </c>
    </row>
    <row r="2374" spans="1:12" s="3" customFormat="1" ht="24" x14ac:dyDescent="0.25">
      <c r="A2374" s="3" t="str">
        <f t="shared" si="74"/>
        <v>ΕΣΠΕΡΙΔΟΕΙΔΗΛΕΜΟΝΙΑ ΔΙΦΟΡΑ</v>
      </c>
      <c r="B2374" s="4" t="s">
        <v>4476</v>
      </c>
      <c r="C2374" s="5" t="s">
        <v>4491</v>
      </c>
      <c r="D2374" s="6">
        <v>6463.62</v>
      </c>
      <c r="E2374" s="6">
        <v>7222.28</v>
      </c>
      <c r="F2374" s="7" t="s">
        <v>14</v>
      </c>
      <c r="G2374" s="8" t="s">
        <v>4492</v>
      </c>
      <c r="H2374" s="8" t="s">
        <v>16</v>
      </c>
      <c r="I2374" s="9">
        <v>2329</v>
      </c>
      <c r="J2374" s="10">
        <v>37</v>
      </c>
      <c r="K2374" s="10">
        <v>37004</v>
      </c>
      <c r="L2374" s="3" t="str">
        <f t="shared" si="75"/>
        <v>ΕΣΠΕΡΙΔΟΕΙΔΗ</v>
      </c>
    </row>
    <row r="2375" spans="1:12" s="3" customFormat="1" ht="24" x14ac:dyDescent="0.25">
      <c r="A2375" s="3" t="str">
        <f t="shared" si="74"/>
        <v>ΕΣΠΕΡΙΔΟΕΙΔΗΜΑΝΔΑΡΙΝΙΑ ΚΟΙΝΑ</v>
      </c>
      <c r="B2375" s="4" t="s">
        <v>4476</v>
      </c>
      <c r="C2375" s="5" t="s">
        <v>4493</v>
      </c>
      <c r="D2375" s="6">
        <v>6463.62</v>
      </c>
      <c r="E2375" s="6">
        <v>7222.28</v>
      </c>
      <c r="F2375" s="7" t="s">
        <v>14</v>
      </c>
      <c r="G2375" s="8" t="s">
        <v>4494</v>
      </c>
      <c r="H2375" s="8" t="s">
        <v>16</v>
      </c>
      <c r="I2375" s="9">
        <v>2306</v>
      </c>
      <c r="J2375" s="10">
        <v>37</v>
      </c>
      <c r="K2375" s="10">
        <v>37005</v>
      </c>
      <c r="L2375" s="3" t="str">
        <f t="shared" si="75"/>
        <v>ΕΣΠΕΡΙΔΟΕΙΔΗ</v>
      </c>
    </row>
    <row r="2376" spans="1:12" s="3" customFormat="1" ht="24" x14ac:dyDescent="0.25">
      <c r="A2376" s="3" t="str">
        <f t="shared" si="74"/>
        <v>ΕΣΠΕΡΙΔΟΕΙΔΗΜΑΝΔΑΡΙΝΙΑ ΚΛΗΜΕΝΤΙΝΗ</v>
      </c>
      <c r="B2376" s="4" t="s">
        <v>4476</v>
      </c>
      <c r="C2376" s="5" t="s">
        <v>4495</v>
      </c>
      <c r="D2376" s="6">
        <v>6463.62</v>
      </c>
      <c r="E2376" s="6">
        <v>7222.28</v>
      </c>
      <c r="F2376" s="7" t="s">
        <v>14</v>
      </c>
      <c r="G2376" s="8" t="s">
        <v>4496</v>
      </c>
      <c r="H2376" s="8" t="s">
        <v>16</v>
      </c>
      <c r="I2376" s="9">
        <v>2321</v>
      </c>
      <c r="J2376" s="10">
        <v>37</v>
      </c>
      <c r="K2376" s="10">
        <v>37006</v>
      </c>
      <c r="L2376" s="3" t="str">
        <f t="shared" si="75"/>
        <v>ΕΣΠΕΡΙΔΟΕΙΔΗ</v>
      </c>
    </row>
    <row r="2377" spans="1:12" s="3" customFormat="1" ht="24" x14ac:dyDescent="0.25">
      <c r="A2377" s="3" t="str">
        <f t="shared" si="74"/>
        <v>ΕΣΠΕΡΙΔΟΕΙΔΗΜΑΝΔΑΡΙΝΙΑ ΣΑΤΣΟΥΜΑ</v>
      </c>
      <c r="B2377" s="4" t="s">
        <v>4476</v>
      </c>
      <c r="C2377" s="5" t="s">
        <v>4497</v>
      </c>
      <c r="D2377" s="6">
        <v>6463.62</v>
      </c>
      <c r="E2377" s="6">
        <v>7222.28</v>
      </c>
      <c r="F2377" s="7" t="s">
        <v>14</v>
      </c>
      <c r="G2377" s="8" t="s">
        <v>4498</v>
      </c>
      <c r="H2377" s="8" t="s">
        <v>16</v>
      </c>
      <c r="I2377" s="9">
        <v>2308</v>
      </c>
      <c r="J2377" s="10">
        <v>37</v>
      </c>
      <c r="K2377" s="10">
        <v>37007</v>
      </c>
      <c r="L2377" s="3" t="str">
        <f t="shared" si="75"/>
        <v>ΕΣΠΕΡΙΔΟΕΙΔΗ</v>
      </c>
    </row>
    <row r="2378" spans="1:12" s="3" customFormat="1" ht="15" customHeight="1" x14ac:dyDescent="0.25">
      <c r="A2378" s="3" t="str">
        <f t="shared" si="74"/>
        <v>ΕΣΠΕΡΙΔΟΕΙΔΗΜΑΝΔΑΡΙΝΙΑ ΕΝΚΟΡ</v>
      </c>
      <c r="B2378" s="4" t="s">
        <v>4476</v>
      </c>
      <c r="C2378" s="5" t="s">
        <v>4499</v>
      </c>
      <c r="D2378" s="6">
        <v>6463.62</v>
      </c>
      <c r="E2378" s="6">
        <v>7222.28</v>
      </c>
      <c r="F2378" s="7" t="s">
        <v>14</v>
      </c>
      <c r="G2378" s="8" t="s">
        <v>4500</v>
      </c>
      <c r="H2378" s="8" t="s">
        <v>16</v>
      </c>
      <c r="I2378" s="9">
        <v>2323</v>
      </c>
      <c r="J2378" s="10">
        <v>37</v>
      </c>
      <c r="K2378" s="10">
        <v>37008</v>
      </c>
      <c r="L2378" s="3" t="str">
        <f t="shared" si="75"/>
        <v>ΕΣΠΕΡΙΔΟΕΙΔΗ</v>
      </c>
    </row>
    <row r="2379" spans="1:12" s="3" customFormat="1" ht="24" x14ac:dyDescent="0.25">
      <c r="A2379" s="3" t="str">
        <f t="shared" si="74"/>
        <v>ΕΣΠΕΡΙΔΟΕΙΔΗΜΑΝΔΑΡΙΝΙΑ ΟΡΤΑΝΙΚ</v>
      </c>
      <c r="B2379" s="4" t="s">
        <v>4476</v>
      </c>
      <c r="C2379" s="5" t="s">
        <v>4501</v>
      </c>
      <c r="D2379" s="6">
        <v>6463.62</v>
      </c>
      <c r="E2379" s="6">
        <v>7222.28</v>
      </c>
      <c r="F2379" s="7" t="s">
        <v>14</v>
      </c>
      <c r="G2379" s="8" t="s">
        <v>4502</v>
      </c>
      <c r="H2379" s="8" t="s">
        <v>16</v>
      </c>
      <c r="I2379" s="9">
        <v>2327</v>
      </c>
      <c r="J2379" s="10">
        <v>37</v>
      </c>
      <c r="K2379" s="10">
        <v>37009</v>
      </c>
      <c r="L2379" s="3" t="str">
        <f t="shared" si="75"/>
        <v>ΕΣΠΕΡΙΔΟΕΙΔΗ</v>
      </c>
    </row>
    <row r="2380" spans="1:12" s="3" customFormat="1" ht="24" x14ac:dyDescent="0.25">
      <c r="A2380" s="3" t="str">
        <f t="shared" si="74"/>
        <v>ΕΣΠΕΡΙΔΟΕΙΔΗΜΑΝΔΑΡΙΝΙΑ ΚΑΡΑ</v>
      </c>
      <c r="B2380" s="4" t="s">
        <v>4476</v>
      </c>
      <c r="C2380" s="5" t="s">
        <v>4503</v>
      </c>
      <c r="D2380" s="6">
        <v>6463.62</v>
      </c>
      <c r="E2380" s="6">
        <v>7222.28</v>
      </c>
      <c r="F2380" s="7" t="s">
        <v>14</v>
      </c>
      <c r="G2380" s="8" t="s">
        <v>4504</v>
      </c>
      <c r="H2380" s="8" t="s">
        <v>16</v>
      </c>
      <c r="I2380" s="9">
        <v>2347</v>
      </c>
      <c r="J2380" s="10">
        <v>37</v>
      </c>
      <c r="K2380" s="10">
        <v>37010</v>
      </c>
      <c r="L2380" s="3" t="str">
        <f t="shared" si="75"/>
        <v>ΕΣΠΕΡΙΔΟΕΙΔΗ</v>
      </c>
    </row>
    <row r="2381" spans="1:12" s="3" customFormat="1" ht="24" x14ac:dyDescent="0.25">
      <c r="A2381" s="3" t="str">
        <f t="shared" si="74"/>
        <v>ΕΣΠΕΡΙΔΟΕΙΔΗΜΑΝΔΑΡΙΝΙΑ ΜΙΝΕΟΛΑ</v>
      </c>
      <c r="B2381" s="4" t="s">
        <v>4476</v>
      </c>
      <c r="C2381" s="5" t="s">
        <v>4505</v>
      </c>
      <c r="D2381" s="6">
        <v>6463.62</v>
      </c>
      <c r="E2381" s="6">
        <v>7222.28</v>
      </c>
      <c r="F2381" s="7" t="s">
        <v>14</v>
      </c>
      <c r="G2381" s="8" t="s">
        <v>4506</v>
      </c>
      <c r="H2381" s="8" t="s">
        <v>16</v>
      </c>
      <c r="I2381" s="9">
        <v>2348</v>
      </c>
      <c r="J2381" s="10">
        <v>37</v>
      </c>
      <c r="K2381" s="10">
        <v>37011</v>
      </c>
      <c r="L2381" s="3" t="str">
        <f t="shared" si="75"/>
        <v>ΕΣΠΕΡΙΔΟΕΙΔΗ</v>
      </c>
    </row>
    <row r="2382" spans="1:12" s="3" customFormat="1" ht="24" x14ac:dyDescent="0.25">
      <c r="A2382" s="3" t="str">
        <f t="shared" si="74"/>
        <v>ΕΣΠΕΡΙΔΟΕΙΔΗΜΑΝΔΑΡΙΝΙΑ ΦΟΡΤΟΥΝΑ</v>
      </c>
      <c r="B2382" s="4" t="s">
        <v>4476</v>
      </c>
      <c r="C2382" s="5" t="s">
        <v>4507</v>
      </c>
      <c r="D2382" s="6">
        <v>6463.62</v>
      </c>
      <c r="E2382" s="6">
        <v>7222.28</v>
      </c>
      <c r="F2382" s="7" t="s">
        <v>14</v>
      </c>
      <c r="G2382" s="8" t="s">
        <v>4508</v>
      </c>
      <c r="H2382" s="8" t="s">
        <v>16</v>
      </c>
      <c r="I2382" s="9">
        <v>2349</v>
      </c>
      <c r="J2382" s="10">
        <v>37</v>
      </c>
      <c r="K2382" s="10">
        <v>37012</v>
      </c>
      <c r="L2382" s="3" t="str">
        <f t="shared" si="75"/>
        <v>ΕΣΠΕΡΙΔΟΕΙΔΗ</v>
      </c>
    </row>
    <row r="2383" spans="1:12" s="3" customFormat="1" ht="24" x14ac:dyDescent="0.25">
      <c r="A2383" s="3" t="str">
        <f t="shared" si="74"/>
        <v>ΕΣΠΕΡΙΔΟΕΙΔΗΜΑΝΔΑΡΙΝΙΑ ΝΟΒΑ-ΠΕΪΤΖ</v>
      </c>
      <c r="B2383" s="4" t="s">
        <v>4476</v>
      </c>
      <c r="C2383" s="5" t="s">
        <v>4509</v>
      </c>
      <c r="D2383" s="6">
        <v>6463.62</v>
      </c>
      <c r="E2383" s="6">
        <v>7222.28</v>
      </c>
      <c r="F2383" s="7" t="s">
        <v>14</v>
      </c>
      <c r="G2383" s="8" t="s">
        <v>4510</v>
      </c>
      <c r="H2383" s="8" t="s">
        <v>16</v>
      </c>
      <c r="I2383" s="9">
        <v>2350</v>
      </c>
      <c r="J2383" s="10">
        <v>37</v>
      </c>
      <c r="K2383" s="10">
        <v>37013</v>
      </c>
      <c r="L2383" s="3" t="str">
        <f t="shared" si="75"/>
        <v>ΕΣΠΕΡΙΔΟΕΙΔΗ</v>
      </c>
    </row>
    <row r="2384" spans="1:12" s="3" customFormat="1" ht="24" x14ac:dyDescent="0.25">
      <c r="A2384" s="3" t="str">
        <f t="shared" si="74"/>
        <v>ΕΣΠΕΡΙΔΟΕΙΔΗMANTAPINIA MARISOL</v>
      </c>
      <c r="B2384" s="4" t="s">
        <v>4476</v>
      </c>
      <c r="C2384" s="5" t="s">
        <v>4511</v>
      </c>
      <c r="D2384" s="6">
        <v>6463.62</v>
      </c>
      <c r="E2384" s="6">
        <v>7222.28</v>
      </c>
      <c r="F2384" s="7" t="s">
        <v>14</v>
      </c>
      <c r="G2384" s="8" t="s">
        <v>4512</v>
      </c>
      <c r="H2384" s="8" t="s">
        <v>16</v>
      </c>
      <c r="I2384" s="9">
        <v>2351</v>
      </c>
      <c r="J2384" s="10">
        <v>37</v>
      </c>
      <c r="K2384" s="10">
        <v>37014</v>
      </c>
      <c r="L2384" s="3" t="str">
        <f t="shared" si="75"/>
        <v>ΕΣΠΕΡΙΔΟΕΙΔΗ</v>
      </c>
    </row>
    <row r="2385" spans="1:12" s="3" customFormat="1" ht="24" x14ac:dyDescent="0.25">
      <c r="A2385" s="3" t="str">
        <f t="shared" si="74"/>
        <v>ΕΣΠΕΡΙΔΟΕΙΔΗΠΟΡΤΟΚΑΛΙΑ ΚΟΙΝ. ΠΟΙΚΙΛ.</v>
      </c>
      <c r="B2385" s="4" t="s">
        <v>4476</v>
      </c>
      <c r="C2385" s="5" t="s">
        <v>4513</v>
      </c>
      <c r="D2385" s="6">
        <v>6463.62</v>
      </c>
      <c r="E2385" s="6">
        <v>7222.28</v>
      </c>
      <c r="F2385" s="7" t="s">
        <v>14</v>
      </c>
      <c r="G2385" s="8" t="s">
        <v>4514</v>
      </c>
      <c r="H2385" s="8" t="s">
        <v>16</v>
      </c>
      <c r="I2385" s="9">
        <v>2342</v>
      </c>
      <c r="J2385" s="10">
        <v>37</v>
      </c>
      <c r="K2385" s="10">
        <v>37016</v>
      </c>
      <c r="L2385" s="3" t="str">
        <f t="shared" si="75"/>
        <v>ΕΣΠΕΡΙΔΟΕΙΔΗ</v>
      </c>
    </row>
    <row r="2386" spans="1:12" s="3" customFormat="1" ht="24" x14ac:dyDescent="0.25">
      <c r="A2386" s="3" t="str">
        <f t="shared" si="74"/>
        <v>ΕΣΠΕΡΙΔΟΕΙΔΗΠΟΡΤΟΚΑΛΙΑ ΓΙΑΦΦΑ</v>
      </c>
      <c r="B2386" s="4" t="s">
        <v>4476</v>
      </c>
      <c r="C2386" s="5" t="s">
        <v>4515</v>
      </c>
      <c r="D2386" s="6">
        <v>6463.62</v>
      </c>
      <c r="E2386" s="6">
        <v>7222.28</v>
      </c>
      <c r="F2386" s="7" t="s">
        <v>14</v>
      </c>
      <c r="G2386" s="8" t="s">
        <v>4516</v>
      </c>
      <c r="H2386" s="8" t="s">
        <v>16</v>
      </c>
      <c r="I2386" s="9">
        <v>2344</v>
      </c>
      <c r="J2386" s="10">
        <v>37</v>
      </c>
      <c r="K2386" s="10">
        <v>37017</v>
      </c>
      <c r="L2386" s="3" t="str">
        <f t="shared" si="75"/>
        <v>ΕΣΠΕΡΙΔΟΕΙΔΗ</v>
      </c>
    </row>
    <row r="2387" spans="1:12" s="3" customFormat="1" ht="24" x14ac:dyDescent="0.25">
      <c r="A2387" s="3" t="str">
        <f t="shared" si="74"/>
        <v>ΕΣΠΕΡΙΔΟΕΙΔΗΠΟΡΤΟΚΑΛΙΑ ΟΒΑΛ ΚΑΛΑΒΡΙΑΣ</v>
      </c>
      <c r="B2387" s="4" t="s">
        <v>4476</v>
      </c>
      <c r="C2387" s="5" t="s">
        <v>4517</v>
      </c>
      <c r="D2387" s="6">
        <v>6463.62</v>
      </c>
      <c r="E2387" s="6">
        <v>7222.28</v>
      </c>
      <c r="F2387" s="7" t="s">
        <v>14</v>
      </c>
      <c r="G2387" s="8" t="s">
        <v>4518</v>
      </c>
      <c r="H2387" s="8" t="s">
        <v>16</v>
      </c>
      <c r="I2387" s="9">
        <v>2343</v>
      </c>
      <c r="J2387" s="10">
        <v>37</v>
      </c>
      <c r="K2387" s="10">
        <v>37018</v>
      </c>
      <c r="L2387" s="3" t="str">
        <f t="shared" si="75"/>
        <v>ΕΣΠΕΡΙΔΟΕΙΔΗ</v>
      </c>
    </row>
    <row r="2388" spans="1:12" s="3" customFormat="1" ht="24" x14ac:dyDescent="0.25">
      <c r="A2388" s="3" t="str">
        <f t="shared" si="74"/>
        <v>ΕΣΠΕΡΙΔΟΕΙΔΗΠΟΡΤΟΚΑΛΙΑ ΒΑΛΕΝΤΣΙΑ</v>
      </c>
      <c r="B2388" s="4" t="s">
        <v>4476</v>
      </c>
      <c r="C2388" s="5" t="s">
        <v>4519</v>
      </c>
      <c r="D2388" s="6">
        <v>6463.62</v>
      </c>
      <c r="E2388" s="6">
        <v>7222.28</v>
      </c>
      <c r="F2388" s="7" t="s">
        <v>14</v>
      </c>
      <c r="G2388" s="8" t="s">
        <v>4520</v>
      </c>
      <c r="H2388" s="8" t="s">
        <v>16</v>
      </c>
      <c r="I2388" s="9">
        <v>2341</v>
      </c>
      <c r="J2388" s="10">
        <v>37</v>
      </c>
      <c r="K2388" s="10">
        <v>37019</v>
      </c>
      <c r="L2388" s="3" t="str">
        <f t="shared" si="75"/>
        <v>ΕΣΠΕΡΙΔΟΕΙΔΗ</v>
      </c>
    </row>
    <row r="2389" spans="1:12" s="3" customFormat="1" ht="24" x14ac:dyDescent="0.25">
      <c r="A2389" s="3" t="str">
        <f t="shared" si="74"/>
        <v>ΕΣΠΕΡΙΔΟΕΙΔΗΠΟΡΤΟΚΑΛΙΑ ΒΑΛΕΝΤΣΙΑ-ΜΙΚΡΟΚΑΡΠΙΑ</v>
      </c>
      <c r="B2389" s="4" t="s">
        <v>4476</v>
      </c>
      <c r="C2389" s="5" t="s">
        <v>4521</v>
      </c>
      <c r="D2389" s="6">
        <v>6463.62</v>
      </c>
      <c r="E2389" s="6">
        <v>7222.28</v>
      </c>
      <c r="F2389" s="7" t="s">
        <v>14</v>
      </c>
      <c r="G2389" s="8" t="s">
        <v>4522</v>
      </c>
      <c r="H2389" s="8" t="s">
        <v>16</v>
      </c>
      <c r="I2389" s="9">
        <v>2340</v>
      </c>
      <c r="J2389" s="10">
        <v>37</v>
      </c>
      <c r="K2389" s="10">
        <v>37020</v>
      </c>
      <c r="L2389" s="3" t="str">
        <f t="shared" si="75"/>
        <v>ΕΣΠΕΡΙΔΟΕΙΔΗ</v>
      </c>
    </row>
    <row r="2390" spans="1:12" s="3" customFormat="1" ht="24" x14ac:dyDescent="0.25">
      <c r="A2390" s="3" t="str">
        <f t="shared" si="74"/>
        <v>ΕΣΠΕΡΙΔΟΕΙΔΗΠΟΡΤΟΚΑΛΙΑ ΜΠΟΝΑΤΣΑ</v>
      </c>
      <c r="B2390" s="4" t="s">
        <v>4476</v>
      </c>
      <c r="C2390" s="5" t="s">
        <v>4523</v>
      </c>
      <c r="D2390" s="6">
        <v>6463.62</v>
      </c>
      <c r="E2390" s="6">
        <v>7222.28</v>
      </c>
      <c r="F2390" s="7" t="s">
        <v>14</v>
      </c>
      <c r="G2390" s="8" t="s">
        <v>4524</v>
      </c>
      <c r="H2390" s="8" t="s">
        <v>16</v>
      </c>
      <c r="I2390" s="9">
        <v>2339</v>
      </c>
      <c r="J2390" s="10">
        <v>37</v>
      </c>
      <c r="K2390" s="10">
        <v>37021</v>
      </c>
      <c r="L2390" s="3" t="str">
        <f t="shared" si="75"/>
        <v>ΕΣΠΕΡΙΔΟΕΙΔΗ</v>
      </c>
    </row>
    <row r="2391" spans="1:12" s="3" customFormat="1" ht="24" x14ac:dyDescent="0.25">
      <c r="A2391" s="3" t="str">
        <f t="shared" si="74"/>
        <v>ΕΣΠΕΡΙΔΟΕΙΔΗΠΟΡΤΟΚΑΛΙΑ ΝEWHΑLL</v>
      </c>
      <c r="B2391" s="4" t="s">
        <v>4476</v>
      </c>
      <c r="C2391" s="5" t="s">
        <v>4525</v>
      </c>
      <c r="D2391" s="6">
        <v>6463.62</v>
      </c>
      <c r="E2391" s="6">
        <v>7222.28</v>
      </c>
      <c r="F2391" s="7" t="s">
        <v>14</v>
      </c>
      <c r="G2391" s="8" t="s">
        <v>4526</v>
      </c>
      <c r="H2391" s="8" t="s">
        <v>16</v>
      </c>
      <c r="I2391" s="9">
        <v>2338</v>
      </c>
      <c r="J2391" s="10">
        <v>37</v>
      </c>
      <c r="K2391" s="10">
        <v>37022</v>
      </c>
      <c r="L2391" s="3" t="str">
        <f t="shared" si="75"/>
        <v>ΕΣΠΕΡΙΔΟΕΙΔΗ</v>
      </c>
    </row>
    <row r="2392" spans="1:12" s="3" customFormat="1" ht="24" x14ac:dyDescent="0.25">
      <c r="A2392" s="3" t="str">
        <f t="shared" si="74"/>
        <v>ΕΣΠΕΡΙΔΟΕΙΔΗΠΟΡΤΟΚΑΛΙΑ ΝΑΒΕΛΙΝΑ</v>
      </c>
      <c r="B2392" s="4" t="s">
        <v>4476</v>
      </c>
      <c r="C2392" s="5" t="s">
        <v>4527</v>
      </c>
      <c r="D2392" s="6">
        <v>6463.62</v>
      </c>
      <c r="E2392" s="6">
        <v>7222.28</v>
      </c>
      <c r="F2392" s="7" t="s">
        <v>14</v>
      </c>
      <c r="G2392" s="8" t="s">
        <v>4528</v>
      </c>
      <c r="H2392" s="8" t="s">
        <v>16</v>
      </c>
      <c r="I2392" s="9">
        <v>2337</v>
      </c>
      <c r="J2392" s="10">
        <v>37</v>
      </c>
      <c r="K2392" s="10">
        <v>37023</v>
      </c>
      <c r="L2392" s="3" t="str">
        <f t="shared" si="75"/>
        <v>ΕΣΠΕΡΙΔΟΕΙΔΗ</v>
      </c>
    </row>
    <row r="2393" spans="1:12" s="3" customFormat="1" ht="24" x14ac:dyDescent="0.25">
      <c r="A2393" s="3" t="str">
        <f t="shared" si="74"/>
        <v>ΕΣΠΕΡΙΔΟΕΙΔΗΠΟΡΤΟΚΑΛΙΑ ΝΑVELΑΤE</v>
      </c>
      <c r="B2393" s="4" t="s">
        <v>4476</v>
      </c>
      <c r="C2393" s="5" t="s">
        <v>4529</v>
      </c>
      <c r="D2393" s="6">
        <v>6463.62</v>
      </c>
      <c r="E2393" s="6">
        <v>7222.28</v>
      </c>
      <c r="F2393" s="7" t="s">
        <v>14</v>
      </c>
      <c r="G2393" s="8" t="s">
        <v>4530</v>
      </c>
      <c r="H2393" s="8" t="s">
        <v>16</v>
      </c>
      <c r="I2393" s="9">
        <v>2326</v>
      </c>
      <c r="J2393" s="10">
        <v>37</v>
      </c>
      <c r="K2393" s="10">
        <v>37024</v>
      </c>
      <c r="L2393" s="3" t="str">
        <f t="shared" si="75"/>
        <v>ΕΣΠΕΡΙΔΟΕΙΔΗ</v>
      </c>
    </row>
    <row r="2394" spans="1:12" s="3" customFormat="1" ht="24" x14ac:dyDescent="0.25">
      <c r="A2394" s="3" t="str">
        <f t="shared" si="74"/>
        <v>ΕΣΠΕΡΙΔΟΕΙΔΗΠΟΡΤΟΚΑΛΙΑ ΛΟΙΠ. ΟΜΦΑΛ. ΠΟΙΚΙΛ.</v>
      </c>
      <c r="B2394" s="4" t="s">
        <v>4476</v>
      </c>
      <c r="C2394" s="5" t="s">
        <v>4531</v>
      </c>
      <c r="D2394" s="6">
        <v>6463.62</v>
      </c>
      <c r="E2394" s="6">
        <v>7222.28</v>
      </c>
      <c r="F2394" s="7" t="s">
        <v>14</v>
      </c>
      <c r="G2394" s="8" t="s">
        <v>4532</v>
      </c>
      <c r="H2394" s="8" t="s">
        <v>16</v>
      </c>
      <c r="I2394" s="9">
        <v>2335</v>
      </c>
      <c r="J2394" s="10">
        <v>37</v>
      </c>
      <c r="K2394" s="10">
        <v>37025</v>
      </c>
      <c r="L2394" s="3" t="str">
        <f t="shared" si="75"/>
        <v>ΕΣΠΕΡΙΔΟΕΙΔΗ</v>
      </c>
    </row>
    <row r="2395" spans="1:12" s="3" customFormat="1" ht="24" x14ac:dyDescent="0.25">
      <c r="A2395" s="3" t="str">
        <f t="shared" si="74"/>
        <v>ΕΣΠΕΡΙΔΟΕΙΔΗΠΟΡΤΟΚΑΛΙΑ ΜORO</v>
      </c>
      <c r="B2395" s="4" t="s">
        <v>4476</v>
      </c>
      <c r="C2395" s="5" t="s">
        <v>4533</v>
      </c>
      <c r="D2395" s="6">
        <v>6463.62</v>
      </c>
      <c r="E2395" s="6">
        <v>7222.28</v>
      </c>
      <c r="F2395" s="7" t="s">
        <v>14</v>
      </c>
      <c r="G2395" s="8" t="s">
        <v>4534</v>
      </c>
      <c r="H2395" s="8" t="s">
        <v>16</v>
      </c>
      <c r="I2395" s="9">
        <v>2345</v>
      </c>
      <c r="J2395" s="10">
        <v>37</v>
      </c>
      <c r="K2395" s="10">
        <v>37026</v>
      </c>
      <c r="L2395" s="3" t="str">
        <f t="shared" si="75"/>
        <v>ΕΣΠΕΡΙΔΟΕΙΔΗ</v>
      </c>
    </row>
    <row r="2396" spans="1:12" s="3" customFormat="1" ht="24" x14ac:dyDescent="0.25">
      <c r="A2396" s="3" t="str">
        <f t="shared" si="74"/>
        <v>ΕΣΠΕΡΙΔΟΕΙΔΗΠΟΡΤΟΚΑΛΙΑ ΤΑROCCO</v>
      </c>
      <c r="B2396" s="4" t="s">
        <v>4476</v>
      </c>
      <c r="C2396" s="5" t="s">
        <v>4535</v>
      </c>
      <c r="D2396" s="6">
        <v>6463.62</v>
      </c>
      <c r="E2396" s="6">
        <v>7222.28</v>
      </c>
      <c r="F2396" s="7" t="s">
        <v>14</v>
      </c>
      <c r="G2396" s="8" t="s">
        <v>4536</v>
      </c>
      <c r="H2396" s="8" t="s">
        <v>16</v>
      </c>
      <c r="I2396" s="9">
        <v>2333</v>
      </c>
      <c r="J2396" s="10">
        <v>37</v>
      </c>
      <c r="K2396" s="10">
        <v>37027</v>
      </c>
      <c r="L2396" s="3" t="str">
        <f t="shared" si="75"/>
        <v>ΕΣΠΕΡΙΔΟΕΙΔΗ</v>
      </c>
    </row>
    <row r="2397" spans="1:12" s="3" customFormat="1" ht="24" x14ac:dyDescent="0.25">
      <c r="A2397" s="3" t="str">
        <f t="shared" si="74"/>
        <v>ΕΣΠΕΡΙΔΟΕΙΔΗΠΟΡΤΟΚΑΛΙΑ ΛΟΙΠ. ΑΙΜΑΤΟΧΡ. ΠΟΙΚΙΛ.</v>
      </c>
      <c r="B2397" s="4" t="s">
        <v>4476</v>
      </c>
      <c r="C2397" s="5" t="s">
        <v>4537</v>
      </c>
      <c r="D2397" s="6">
        <v>6463.62</v>
      </c>
      <c r="E2397" s="6">
        <v>7222.28</v>
      </c>
      <c r="F2397" s="7" t="s">
        <v>14</v>
      </c>
      <c r="G2397" s="8" t="s">
        <v>4538</v>
      </c>
      <c r="H2397" s="8" t="s">
        <v>16</v>
      </c>
      <c r="I2397" s="9">
        <v>2332</v>
      </c>
      <c r="J2397" s="10">
        <v>37</v>
      </c>
      <c r="K2397" s="10">
        <v>37028</v>
      </c>
      <c r="L2397" s="3" t="str">
        <f t="shared" si="75"/>
        <v>ΕΣΠΕΡΙΔΟΕΙΔΗ</v>
      </c>
    </row>
    <row r="2398" spans="1:12" s="3" customFormat="1" ht="24" x14ac:dyDescent="0.25">
      <c r="A2398" s="3" t="str">
        <f t="shared" si="74"/>
        <v>ΕΣΠΕΡΙΔΟΕΙΔΗΠΟΡΤΟΚΑΛΙΑ ΓΛΥΚΟΧ. ΠΟΙΚΙΛ.</v>
      </c>
      <c r="B2398" s="4" t="s">
        <v>4476</v>
      </c>
      <c r="C2398" s="5" t="s">
        <v>4539</v>
      </c>
      <c r="D2398" s="6">
        <v>6463.62</v>
      </c>
      <c r="E2398" s="6">
        <v>7222.28</v>
      </c>
      <c r="F2398" s="7" t="s">
        <v>14</v>
      </c>
      <c r="G2398" s="8" t="s">
        <v>4540</v>
      </c>
      <c r="H2398" s="8" t="s">
        <v>16</v>
      </c>
      <c r="I2398" s="9">
        <v>2331</v>
      </c>
      <c r="J2398" s="10">
        <v>37</v>
      </c>
      <c r="K2398" s="10">
        <v>37029</v>
      </c>
      <c r="L2398" s="3" t="str">
        <f t="shared" si="75"/>
        <v>ΕΣΠΕΡΙΔΟΕΙΔΗ</v>
      </c>
    </row>
    <row r="2399" spans="1:12" s="3" customFormat="1" ht="24" x14ac:dyDescent="0.25">
      <c r="A2399" s="3" t="str">
        <f t="shared" si="74"/>
        <v>ΕΣΠΕΡΙΔΟΕΙΔΗΠΟΡΤΟΚΑΛΙΑ ΣΑΛΟΥΣΤΙΑΝΑ</v>
      </c>
      <c r="B2399" s="4" t="s">
        <v>4476</v>
      </c>
      <c r="C2399" s="5" t="s">
        <v>4541</v>
      </c>
      <c r="D2399" s="6">
        <v>6463.62</v>
      </c>
      <c r="E2399" s="6">
        <v>7222.28</v>
      </c>
      <c r="F2399" s="7" t="s">
        <v>14</v>
      </c>
      <c r="G2399" s="8" t="s">
        <v>4542</v>
      </c>
      <c r="H2399" s="8" t="s">
        <v>16</v>
      </c>
      <c r="I2399" s="9">
        <v>2330</v>
      </c>
      <c r="J2399" s="10">
        <v>37</v>
      </c>
      <c r="K2399" s="10">
        <v>37030</v>
      </c>
      <c r="L2399" s="3" t="str">
        <f t="shared" si="75"/>
        <v>ΕΣΠΕΡΙΔΟΕΙΔΗ</v>
      </c>
    </row>
    <row r="2400" spans="1:12" s="3" customFormat="1" ht="24" x14ac:dyDescent="0.25">
      <c r="A2400" s="3" t="str">
        <f t="shared" si="74"/>
        <v>ΕΣΠΕΡΙΔΟΕΙΔΗΠΟΡΤΟΚΑΛΙΑ ΤΥΜΠΑΚΙΟΥ</v>
      </c>
      <c r="B2400" s="4" t="s">
        <v>4476</v>
      </c>
      <c r="C2400" s="5" t="s">
        <v>4543</v>
      </c>
      <c r="D2400" s="6">
        <v>6463.62</v>
      </c>
      <c r="E2400" s="6">
        <v>7222.28</v>
      </c>
      <c r="F2400" s="7" t="s">
        <v>14</v>
      </c>
      <c r="G2400" s="8" t="s">
        <v>4544</v>
      </c>
      <c r="H2400" s="8" t="s">
        <v>16</v>
      </c>
      <c r="I2400" s="9">
        <v>2353</v>
      </c>
      <c r="J2400" s="10">
        <v>37</v>
      </c>
      <c r="K2400" s="10">
        <v>37031</v>
      </c>
      <c r="L2400" s="3" t="str">
        <f t="shared" si="75"/>
        <v>ΕΣΠΕΡΙΔΟΕΙΔΗ</v>
      </c>
    </row>
    <row r="2401" spans="1:12" s="3" customFormat="1" ht="24" x14ac:dyDescent="0.25">
      <c r="A2401" s="3" t="str">
        <f t="shared" si="74"/>
        <v>ΕΣΠΕΡΙΔΟΕΙΔΗΠΟΡΤΟΚΑΛΙΑ LANE LATE</v>
      </c>
      <c r="B2401" s="4" t="s">
        <v>4476</v>
      </c>
      <c r="C2401" s="5" t="s">
        <v>4545</v>
      </c>
      <c r="D2401" s="6">
        <v>6463.62</v>
      </c>
      <c r="E2401" s="6">
        <v>7222.28</v>
      </c>
      <c r="F2401" s="7" t="s">
        <v>14</v>
      </c>
      <c r="G2401" s="8" t="s">
        <v>4546</v>
      </c>
      <c r="H2401" s="8" t="s">
        <v>16</v>
      </c>
      <c r="I2401" s="9">
        <v>2328</v>
      </c>
      <c r="J2401" s="10">
        <v>37</v>
      </c>
      <c r="K2401" s="10">
        <v>37032</v>
      </c>
      <c r="L2401" s="3" t="str">
        <f t="shared" si="75"/>
        <v>ΕΣΠΕΡΙΔΟΕΙΔΗ</v>
      </c>
    </row>
    <row r="2402" spans="1:12" s="3" customFormat="1" ht="24" x14ac:dyDescent="0.25">
      <c r="A2402" s="3" t="str">
        <f t="shared" si="74"/>
        <v>ΕΣΠΕΡΙΔΟΕΙΔΗΠΕΡΓΑΜΟΝΤΟ</v>
      </c>
      <c r="B2402" s="4" t="s">
        <v>4476</v>
      </c>
      <c r="C2402" s="5" t="s">
        <v>4547</v>
      </c>
      <c r="D2402" s="6">
        <v>6463.62</v>
      </c>
      <c r="E2402" s="6">
        <v>7222.28</v>
      </c>
      <c r="F2402" s="7" t="s">
        <v>14</v>
      </c>
      <c r="G2402" s="8" t="s">
        <v>4548</v>
      </c>
      <c r="H2402" s="8" t="s">
        <v>16</v>
      </c>
      <c r="I2402" s="9">
        <v>2336</v>
      </c>
      <c r="J2402" s="10">
        <v>37</v>
      </c>
      <c r="K2402" s="10">
        <v>37033</v>
      </c>
      <c r="L2402" s="3" t="str">
        <f t="shared" si="75"/>
        <v>ΕΣΠΕΡΙΔΟΕΙΔΗ</v>
      </c>
    </row>
    <row r="2403" spans="1:12" s="3" customFormat="1" ht="24" x14ac:dyDescent="0.25">
      <c r="A2403" s="3" t="str">
        <f t="shared" si="74"/>
        <v>ΕΣΠΕΡΙΔΟΕΙΔΗΝΕΡΑΤΖΙΕΣ</v>
      </c>
      <c r="B2403" s="4" t="s">
        <v>4476</v>
      </c>
      <c r="C2403" s="5" t="s">
        <v>4549</v>
      </c>
      <c r="D2403" s="6">
        <v>6463.62</v>
      </c>
      <c r="E2403" s="6">
        <v>7222.28</v>
      </c>
      <c r="F2403" s="7" t="s">
        <v>14</v>
      </c>
      <c r="G2403" s="8" t="s">
        <v>4550</v>
      </c>
      <c r="H2403" s="8" t="s">
        <v>16</v>
      </c>
      <c r="I2403" s="9">
        <v>2334</v>
      </c>
      <c r="J2403" s="10">
        <v>37</v>
      </c>
      <c r="K2403" s="10">
        <v>37034</v>
      </c>
      <c r="L2403" s="3" t="str">
        <f t="shared" si="75"/>
        <v>ΕΣΠΕΡΙΔΟΕΙΔΗ</v>
      </c>
    </row>
    <row r="2404" spans="1:12" s="3" customFormat="1" ht="24" x14ac:dyDescent="0.25">
      <c r="A2404" s="3" t="str">
        <f t="shared" si="74"/>
        <v>ΕΣΠΕΡΙΔΟΕΙΔΗΠΟΡΤΟΚΑΛΙΑ WASHINGTON NAVEL (ΜΕΡΛΙΝ)</v>
      </c>
      <c r="B2404" s="4" t="s">
        <v>4476</v>
      </c>
      <c r="C2404" s="5" t="s">
        <v>4551</v>
      </c>
      <c r="D2404" s="6">
        <v>6463.62</v>
      </c>
      <c r="E2404" s="6">
        <v>7222.28</v>
      </c>
      <c r="F2404" s="7" t="s">
        <v>14</v>
      </c>
      <c r="G2404" s="8" t="s">
        <v>4552</v>
      </c>
      <c r="H2404" s="8" t="s">
        <v>16</v>
      </c>
      <c r="I2404" s="9">
        <v>2346</v>
      </c>
      <c r="J2404" s="10">
        <v>37</v>
      </c>
      <c r="K2404" s="10">
        <v>37035</v>
      </c>
      <c r="L2404" s="3" t="str">
        <f t="shared" si="75"/>
        <v>ΕΣΠΕΡΙΔΟΕΙΔΗ</v>
      </c>
    </row>
    <row r="2405" spans="1:12" s="3" customFormat="1" ht="24" x14ac:dyDescent="0.25">
      <c r="A2405" s="3" t="str">
        <f t="shared" si="74"/>
        <v>ΕΣΠΕΡΙΔΟΕΙΔΗΜΟΣΧΟΛΕΜΟΝΟ - ΛΑΪΜ</v>
      </c>
      <c r="B2405" s="4" t="s">
        <v>4476</v>
      </c>
      <c r="C2405" s="5" t="s">
        <v>4553</v>
      </c>
      <c r="D2405" s="6">
        <v>6463.62</v>
      </c>
      <c r="E2405" s="6">
        <v>7222.28</v>
      </c>
      <c r="F2405" s="7" t="s">
        <v>14</v>
      </c>
      <c r="G2405" s="8" t="s">
        <v>4554</v>
      </c>
      <c r="H2405" s="8" t="s">
        <v>16</v>
      </c>
      <c r="I2405" s="9">
        <v>2352</v>
      </c>
      <c r="J2405" s="10">
        <v>37</v>
      </c>
      <c r="K2405" s="10">
        <v>37036</v>
      </c>
      <c r="L2405" s="3" t="str">
        <f t="shared" si="75"/>
        <v>ΕΣΠΕΡΙΔΟΕΙΔΗ</v>
      </c>
    </row>
    <row r="2406" spans="1:12" s="3" customFormat="1" x14ac:dyDescent="0.25">
      <c r="A2406" s="3" t="str">
        <f t="shared" si="74"/>
        <v>ΕΣΠΕΡΙΔΟΕΙΔΗΜΑΝΔΑΡΙΝΙΑ ΝΟΒΑ</v>
      </c>
      <c r="B2406" s="23" t="s">
        <v>4476</v>
      </c>
      <c r="C2406" s="24" t="s">
        <v>4555</v>
      </c>
      <c r="D2406" s="6">
        <v>6463.62</v>
      </c>
      <c r="E2406" s="6">
        <v>7222.28</v>
      </c>
      <c r="F2406" s="7" t="s">
        <v>14</v>
      </c>
      <c r="G2406" s="30" t="s">
        <v>4556</v>
      </c>
      <c r="H2406" s="31" t="s">
        <v>577</v>
      </c>
      <c r="I2406" s="9">
        <v>6065</v>
      </c>
      <c r="J2406" s="30">
        <v>37</v>
      </c>
      <c r="K2406" s="30">
        <v>37038</v>
      </c>
      <c r="L2406" s="3" t="str">
        <f t="shared" si="75"/>
        <v>ΕΣΠΕΡΙΔΟΕΙΔΗ</v>
      </c>
    </row>
    <row r="2407" spans="1:12" s="3" customFormat="1" x14ac:dyDescent="0.25">
      <c r="A2407" s="3" t="str">
        <f t="shared" si="74"/>
        <v>ΕΣΠΕΡΙΔΟΕΙΔΗΜΑΝΔΑΡΙΝΙΑ MURCOTT</v>
      </c>
      <c r="B2407" s="23" t="s">
        <v>4476</v>
      </c>
      <c r="C2407" s="24" t="s">
        <v>4557</v>
      </c>
      <c r="D2407" s="6">
        <v>6463.62</v>
      </c>
      <c r="E2407" s="6">
        <v>7222.28</v>
      </c>
      <c r="F2407" s="7" t="s">
        <v>14</v>
      </c>
      <c r="G2407" s="30" t="s">
        <v>4558</v>
      </c>
      <c r="H2407" s="31" t="s">
        <v>577</v>
      </c>
      <c r="I2407" s="9">
        <v>6064</v>
      </c>
      <c r="J2407" s="30">
        <v>37</v>
      </c>
      <c r="K2407" s="30">
        <v>37039</v>
      </c>
      <c r="L2407" s="3" t="str">
        <f t="shared" si="75"/>
        <v>ΕΣΠΕΡΙΔΟΕΙΔΗ</v>
      </c>
    </row>
    <row r="2408" spans="1:12" s="3" customFormat="1" ht="24" x14ac:dyDescent="0.25">
      <c r="A2408" s="3" t="str">
        <f t="shared" si="74"/>
        <v>ΕΣΠΕΡΙΔΟΕΙΔΗGRAPE FRUIT</v>
      </c>
      <c r="B2408" s="4" t="s">
        <v>4476</v>
      </c>
      <c r="C2408" s="5" t="s">
        <v>4559</v>
      </c>
      <c r="D2408" s="6">
        <v>6463.62</v>
      </c>
      <c r="E2408" s="6">
        <v>7222.28</v>
      </c>
      <c r="F2408" s="7" t="s">
        <v>14</v>
      </c>
      <c r="G2408" s="8" t="s">
        <v>4560</v>
      </c>
      <c r="H2408" s="8" t="s">
        <v>16</v>
      </c>
      <c r="I2408" s="9">
        <v>2312</v>
      </c>
      <c r="J2408" s="10">
        <v>37</v>
      </c>
      <c r="K2408" s="10">
        <v>8166</v>
      </c>
      <c r="L2408" s="3" t="str">
        <f t="shared" si="75"/>
        <v>ΕΣΠΕΡΙΔΟΕΙΔΗ</v>
      </c>
    </row>
    <row r="2409" spans="1:12" s="3" customFormat="1" ht="24" x14ac:dyDescent="0.25">
      <c r="A2409" s="3" t="str">
        <f t="shared" si="74"/>
        <v>ΕΣΠΕΡΙΔΟΕΙΔΗΠΟΡΤΟΚΑΛΙΕΣ ΜΑΛΤΑΣ</v>
      </c>
      <c r="B2409" s="4" t="s">
        <v>4476</v>
      </c>
      <c r="C2409" s="5" t="s">
        <v>4561</v>
      </c>
      <c r="D2409" s="6">
        <v>6463.62</v>
      </c>
      <c r="E2409" s="6">
        <v>7222.28</v>
      </c>
      <c r="F2409" s="7" t="s">
        <v>14</v>
      </c>
      <c r="G2409" s="8" t="s">
        <v>4562</v>
      </c>
      <c r="H2409" s="8" t="s">
        <v>16</v>
      </c>
      <c r="I2409" s="9">
        <v>2319</v>
      </c>
      <c r="J2409" s="10">
        <v>37</v>
      </c>
      <c r="K2409" s="10">
        <v>8167</v>
      </c>
      <c r="L2409" s="3" t="str">
        <f t="shared" si="75"/>
        <v>ΕΣΠΕΡΙΔΟΕΙΔΗ</v>
      </c>
    </row>
    <row r="2410" spans="1:12" s="3" customFormat="1" ht="24" x14ac:dyDescent="0.25">
      <c r="A2410" s="3" t="str">
        <f t="shared" si="74"/>
        <v>ΕΣΠΕΡΙΔΟΕΙΔΗΠΟΡΤΟΚΑΛΙΕΣ - ΣΑΓΚΟΥΙΝΙ ΓΟΥΡΙΤΣΗΣ</v>
      </c>
      <c r="B2410" s="4" t="s">
        <v>4476</v>
      </c>
      <c r="C2410" s="5" t="s">
        <v>4563</v>
      </c>
      <c r="D2410" s="6">
        <v>6463.62</v>
      </c>
      <c r="E2410" s="6">
        <v>7222.28</v>
      </c>
      <c r="F2410" s="7" t="s">
        <v>14</v>
      </c>
      <c r="G2410" s="8" t="s">
        <v>4564</v>
      </c>
      <c r="H2410" s="8" t="s">
        <v>16</v>
      </c>
      <c r="I2410" s="9">
        <v>2310</v>
      </c>
      <c r="J2410" s="10">
        <v>37</v>
      </c>
      <c r="K2410" s="10">
        <v>8168</v>
      </c>
      <c r="L2410" s="3" t="str">
        <f t="shared" si="75"/>
        <v>ΕΣΠΕΡΙΔΟΕΙΔΗ</v>
      </c>
    </row>
    <row r="2411" spans="1:12" s="3" customFormat="1" ht="24" x14ac:dyDescent="0.25">
      <c r="A2411" s="3" t="str">
        <f t="shared" si="74"/>
        <v>ΕΣΠΕΡΙΔΟΕΙΔΗΜΑΝΤΑΡΙΝΙΕΣ - ΧΙΩΤΙΚΟ ΚΟΙΝΟ</v>
      </c>
      <c r="B2411" s="4" t="s">
        <v>4476</v>
      </c>
      <c r="C2411" s="5" t="s">
        <v>4565</v>
      </c>
      <c r="D2411" s="6">
        <v>6463.62</v>
      </c>
      <c r="E2411" s="6">
        <v>7222.28</v>
      </c>
      <c r="F2411" s="7" t="s">
        <v>14</v>
      </c>
      <c r="G2411" s="8" t="s">
        <v>4566</v>
      </c>
      <c r="H2411" s="8" t="s">
        <v>16</v>
      </c>
      <c r="I2411" s="9">
        <v>2317</v>
      </c>
      <c r="J2411" s="10">
        <v>37</v>
      </c>
      <c r="K2411" s="10">
        <v>8169</v>
      </c>
      <c r="L2411" s="3" t="str">
        <f t="shared" si="75"/>
        <v>ΕΣΠΕΡΙΔΟΕΙΔΗ</v>
      </c>
    </row>
    <row r="2412" spans="1:12" s="3" customFormat="1" ht="24" x14ac:dyDescent="0.25">
      <c r="A2412" s="3" t="str">
        <f t="shared" si="74"/>
        <v>ΕΣΠΕΡΙΔΟΕΙΔΗΠΟΡΤΟΚΑΛΙΕΣ - LANE LATE</v>
      </c>
      <c r="B2412" s="4" t="s">
        <v>4476</v>
      </c>
      <c r="C2412" s="5" t="s">
        <v>4567</v>
      </c>
      <c r="D2412" s="6">
        <v>6463.62</v>
      </c>
      <c r="E2412" s="6">
        <v>7222.28</v>
      </c>
      <c r="F2412" s="7" t="s">
        <v>14</v>
      </c>
      <c r="G2412" s="8" t="s">
        <v>4568</v>
      </c>
      <c r="H2412" s="8" t="s">
        <v>16</v>
      </c>
      <c r="I2412" s="9">
        <v>2325</v>
      </c>
      <c r="J2412" s="10">
        <v>37</v>
      </c>
      <c r="K2412" s="10">
        <v>8171</v>
      </c>
      <c r="L2412" s="3" t="str">
        <f t="shared" si="75"/>
        <v>ΕΣΠΕΡΙΔΟΕΙΔΗ</v>
      </c>
    </row>
    <row r="2413" spans="1:12" s="3" customFormat="1" ht="24" x14ac:dyDescent="0.25">
      <c r="A2413" s="3" t="str">
        <f t="shared" si="74"/>
        <v>ΕΣΠΕΡΙΔΟΕΙΔΗΛΕΜΟΝΙΕΣ</v>
      </c>
      <c r="B2413" s="4" t="s">
        <v>4476</v>
      </c>
      <c r="C2413" s="5" t="s">
        <v>4569</v>
      </c>
      <c r="D2413" s="6">
        <v>6463.62</v>
      </c>
      <c r="E2413" s="6">
        <v>7222.28</v>
      </c>
      <c r="F2413" s="7" t="s">
        <v>14</v>
      </c>
      <c r="G2413" s="8" t="s">
        <v>4570</v>
      </c>
      <c r="H2413" s="8" t="s">
        <v>16</v>
      </c>
      <c r="I2413" s="9">
        <v>2315</v>
      </c>
      <c r="J2413" s="10">
        <v>37</v>
      </c>
      <c r="K2413" s="10">
        <v>8172</v>
      </c>
      <c r="L2413" s="3" t="str">
        <f t="shared" si="75"/>
        <v>ΕΣΠΕΡΙΔΟΕΙΔΗ</v>
      </c>
    </row>
    <row r="2414" spans="1:12" s="3" customFormat="1" x14ac:dyDescent="0.25">
      <c r="A2414" s="3" t="str">
        <f t="shared" si="74"/>
        <v>ΕΣΠΕΡΙΔΟΕΙΔΗΠΟΡΤΟΚΑΛΙΕΣ</v>
      </c>
      <c r="B2414" s="18" t="s">
        <v>4476</v>
      </c>
      <c r="C2414" s="19" t="s">
        <v>4477</v>
      </c>
      <c r="D2414" s="6">
        <v>6463.62</v>
      </c>
      <c r="E2414" s="6">
        <v>7222.28</v>
      </c>
      <c r="F2414" s="6" t="s">
        <v>14</v>
      </c>
      <c r="G2414" s="8" t="s">
        <v>4571</v>
      </c>
      <c r="H2414" s="8" t="s">
        <v>27</v>
      </c>
      <c r="I2414" s="9">
        <v>4067</v>
      </c>
      <c r="J2414" s="20">
        <v>37</v>
      </c>
      <c r="K2414" s="20">
        <v>8173</v>
      </c>
      <c r="L2414" s="3" t="str">
        <f t="shared" si="75"/>
        <v>ΕΣΠΕΡΙΔΟΕΙΔΗ</v>
      </c>
    </row>
    <row r="2415" spans="1:12" s="3" customFormat="1" ht="24" x14ac:dyDescent="0.25">
      <c r="A2415" s="3" t="str">
        <f t="shared" si="74"/>
        <v>ΕΣΠΕΡΙΔΟΕΙΔΗΜΑΝΤΑΡΙΝΙΕΣ</v>
      </c>
      <c r="B2415" s="4" t="s">
        <v>4476</v>
      </c>
      <c r="C2415" s="5" t="s">
        <v>4572</v>
      </c>
      <c r="D2415" s="6">
        <v>6463.62</v>
      </c>
      <c r="E2415" s="6">
        <v>7222.28</v>
      </c>
      <c r="F2415" s="7" t="s">
        <v>14</v>
      </c>
      <c r="G2415" s="8" t="s">
        <v>4573</v>
      </c>
      <c r="H2415" s="8" t="s">
        <v>16</v>
      </c>
      <c r="I2415" s="9">
        <v>2314</v>
      </c>
      <c r="J2415" s="10">
        <v>37</v>
      </c>
      <c r="K2415" s="10">
        <v>8174</v>
      </c>
      <c r="L2415" s="3" t="str">
        <f t="shared" si="75"/>
        <v>ΕΣΠΕΡΙΔΟΕΙΔΗ</v>
      </c>
    </row>
    <row r="2416" spans="1:12" s="3" customFormat="1" ht="24" x14ac:dyDescent="0.25">
      <c r="A2416" s="3" t="str">
        <f t="shared" si="74"/>
        <v>ΕΣΠΕΡΙΔΟΕΙΔΗΚΟΥΜ ΚΟΥΑΤ</v>
      </c>
      <c r="B2416" s="4" t="s">
        <v>4476</v>
      </c>
      <c r="C2416" s="5" t="s">
        <v>4574</v>
      </c>
      <c r="D2416" s="6">
        <v>6463.62</v>
      </c>
      <c r="E2416" s="6">
        <v>7222.28</v>
      </c>
      <c r="F2416" s="7" t="s">
        <v>14</v>
      </c>
      <c r="G2416" s="8" t="s">
        <v>4575</v>
      </c>
      <c r="H2416" s="8" t="s">
        <v>16</v>
      </c>
      <c r="I2416" s="9">
        <v>2313</v>
      </c>
      <c r="J2416" s="10">
        <v>37</v>
      </c>
      <c r="K2416" s="10">
        <v>8177</v>
      </c>
      <c r="L2416" s="3" t="str">
        <f t="shared" si="75"/>
        <v>ΕΣΠΕΡΙΔΟΕΙΔΗ</v>
      </c>
    </row>
    <row r="2417" spans="1:12" s="3" customFormat="1" ht="24" x14ac:dyDescent="0.25">
      <c r="A2417" s="3" t="str">
        <f t="shared" si="74"/>
        <v>ΕΣΠΕΡΙΔΟΕΙΔΗΚΙΤΡΑ</v>
      </c>
      <c r="B2417" s="4" t="s">
        <v>4476</v>
      </c>
      <c r="C2417" s="5" t="s">
        <v>4576</v>
      </c>
      <c r="D2417" s="6">
        <v>6463.62</v>
      </c>
      <c r="E2417" s="6">
        <v>7222.28</v>
      </c>
      <c r="F2417" s="7" t="s">
        <v>14</v>
      </c>
      <c r="G2417" s="8" t="s">
        <v>4577</v>
      </c>
      <c r="H2417" s="8" t="s">
        <v>16</v>
      </c>
      <c r="I2417" s="9">
        <v>2311</v>
      </c>
      <c r="J2417" s="10">
        <v>37</v>
      </c>
      <c r="K2417" s="10">
        <v>8178</v>
      </c>
      <c r="L2417" s="3" t="str">
        <f t="shared" si="75"/>
        <v>ΕΣΠΕΡΙΔΟΕΙΔΗ</v>
      </c>
    </row>
    <row r="2418" spans="1:12" s="3" customFormat="1" ht="24" x14ac:dyDescent="0.25">
      <c r="A2418" s="3" t="str">
        <f t="shared" si="74"/>
        <v>ΕΣΠΕΡΙΔΟΕΙΔΗGRAPE FRUIT ΜΕΤΑΠΟΙΗΣΗΣ</v>
      </c>
      <c r="B2418" s="4" t="s">
        <v>4476</v>
      </c>
      <c r="C2418" s="5" t="s">
        <v>4578</v>
      </c>
      <c r="D2418" s="6">
        <v>6463.62</v>
      </c>
      <c r="E2418" s="6">
        <v>7222.28</v>
      </c>
      <c r="F2418" s="7" t="s">
        <v>14</v>
      </c>
      <c r="G2418" s="8" t="s">
        <v>4579</v>
      </c>
      <c r="H2418" s="8" t="s">
        <v>16</v>
      </c>
      <c r="I2418" s="9">
        <v>2320</v>
      </c>
      <c r="J2418" s="10">
        <v>37</v>
      </c>
      <c r="K2418" s="10">
        <v>8212</v>
      </c>
      <c r="L2418" s="3" t="str">
        <f t="shared" si="75"/>
        <v>ΕΣΠΕΡΙΔΟΕΙΔΗ</v>
      </c>
    </row>
    <row r="2419" spans="1:12" s="3" customFormat="1" ht="24" x14ac:dyDescent="0.25">
      <c r="A2419" s="3" t="str">
        <f t="shared" si="74"/>
        <v>ΕΣΠΕΡΙΔΟΕΙΔΗΛΕΜΟΝΙΕΣ ΜΕΤΑΠΟΙΗΣΗΣ</v>
      </c>
      <c r="B2419" s="4" t="s">
        <v>4476</v>
      </c>
      <c r="C2419" s="5" t="s">
        <v>4580</v>
      </c>
      <c r="D2419" s="6">
        <v>6463.62</v>
      </c>
      <c r="E2419" s="6">
        <v>7222.28</v>
      </c>
      <c r="F2419" s="7" t="s">
        <v>14</v>
      </c>
      <c r="G2419" s="8" t="s">
        <v>4581</v>
      </c>
      <c r="H2419" s="8" t="s">
        <v>16</v>
      </c>
      <c r="I2419" s="9">
        <v>2307</v>
      </c>
      <c r="J2419" s="10">
        <v>37</v>
      </c>
      <c r="K2419" s="10">
        <v>8213</v>
      </c>
      <c r="L2419" s="3" t="str">
        <f t="shared" si="75"/>
        <v>ΕΣΠΕΡΙΔΟΕΙΔΗ</v>
      </c>
    </row>
    <row r="2420" spans="1:12" s="3" customFormat="1" ht="24" x14ac:dyDescent="0.25">
      <c r="A2420" s="3" t="str">
        <f t="shared" si="74"/>
        <v>ΕΣΠΕΡΙΔΟΕΙΔΗΜΑΝΤΑΡΙΝΙΕΣ ΜΕΤΑΠΟΙΗΣΗΣ</v>
      </c>
      <c r="B2420" s="4" t="s">
        <v>4476</v>
      </c>
      <c r="C2420" s="5" t="s">
        <v>4582</v>
      </c>
      <c r="D2420" s="6">
        <v>6463.62</v>
      </c>
      <c r="E2420" s="6">
        <v>7222.28</v>
      </c>
      <c r="F2420" s="7" t="s">
        <v>14</v>
      </c>
      <c r="G2420" s="8" t="s">
        <v>4583</v>
      </c>
      <c r="H2420" s="8" t="s">
        <v>16</v>
      </c>
      <c r="I2420" s="9">
        <v>2322</v>
      </c>
      <c r="J2420" s="10">
        <v>37</v>
      </c>
      <c r="K2420" s="10">
        <v>8215</v>
      </c>
      <c r="L2420" s="3" t="str">
        <f t="shared" si="75"/>
        <v>ΕΣΠΕΡΙΔΟΕΙΔΗ</v>
      </c>
    </row>
    <row r="2421" spans="1:12" s="3" customFormat="1" ht="24" x14ac:dyDescent="0.25">
      <c r="A2421" s="3" t="str">
        <f t="shared" si="74"/>
        <v>ΕΣΠΕΡΙΔΟΕΙΔΗΦΡΑΠΕΣ ΜΕΤΑΠΟΙΗΣΗΣ</v>
      </c>
      <c r="B2421" s="4" t="s">
        <v>4476</v>
      </c>
      <c r="C2421" s="5" t="s">
        <v>4584</v>
      </c>
      <c r="D2421" s="6">
        <v>6463.62</v>
      </c>
      <c r="E2421" s="6">
        <v>7222.28</v>
      </c>
      <c r="F2421" s="7" t="s">
        <v>14</v>
      </c>
      <c r="G2421" s="8" t="s">
        <v>4585</v>
      </c>
      <c r="H2421" s="8" t="s">
        <v>16</v>
      </c>
      <c r="I2421" s="9">
        <v>2316</v>
      </c>
      <c r="J2421" s="10">
        <v>37</v>
      </c>
      <c r="K2421" s="10">
        <v>8301</v>
      </c>
      <c r="L2421" s="3" t="str">
        <f t="shared" si="75"/>
        <v>ΕΣΠΕΡΙΔΟΕΙΔΗ</v>
      </c>
    </row>
    <row r="2422" spans="1:12" s="3" customFormat="1" ht="24" x14ac:dyDescent="0.25">
      <c r="A2422" s="3" t="str">
        <f t="shared" si="74"/>
        <v>ΕΣΠΕΡΙΔΟΕΙΔΗΣΑΤΣΟΥΜΕΣ ΜΕΤΑΠΟΙΗΣΗΣ</v>
      </c>
      <c r="B2422" s="4" t="s">
        <v>4476</v>
      </c>
      <c r="C2422" s="5" t="s">
        <v>4586</v>
      </c>
      <c r="D2422" s="6">
        <v>6463.62</v>
      </c>
      <c r="E2422" s="6">
        <v>7222.28</v>
      </c>
      <c r="F2422" s="7" t="s">
        <v>14</v>
      </c>
      <c r="G2422" s="8" t="s">
        <v>4587</v>
      </c>
      <c r="H2422" s="8" t="s">
        <v>16</v>
      </c>
      <c r="I2422" s="9">
        <v>2324</v>
      </c>
      <c r="J2422" s="10">
        <v>37</v>
      </c>
      <c r="K2422" s="10">
        <v>8302</v>
      </c>
      <c r="L2422" s="3" t="str">
        <f t="shared" si="75"/>
        <v>ΕΣΠΕΡΙΔΟΕΙΔΗ</v>
      </c>
    </row>
    <row r="2423" spans="1:12" s="3" customFormat="1" ht="24" x14ac:dyDescent="0.25">
      <c r="A2423" s="3" t="str">
        <f t="shared" si="74"/>
        <v>ΕΣΠΕΡΙΔΟΕΙΔΗΚΛΙΜΕΝΤΙΝΕΣ ΜΕΤΑΠΟΙΗΣΗΣ</v>
      </c>
      <c r="B2423" s="4" t="s">
        <v>4476</v>
      </c>
      <c r="C2423" s="5" t="s">
        <v>4588</v>
      </c>
      <c r="D2423" s="6">
        <v>6463.62</v>
      </c>
      <c r="E2423" s="6">
        <v>7222.28</v>
      </c>
      <c r="F2423" s="7" t="s">
        <v>14</v>
      </c>
      <c r="G2423" s="8" t="s">
        <v>4589</v>
      </c>
      <c r="H2423" s="8" t="s">
        <v>16</v>
      </c>
      <c r="I2423" s="9">
        <v>2302</v>
      </c>
      <c r="J2423" s="10">
        <v>37</v>
      </c>
      <c r="K2423" s="10">
        <v>8303</v>
      </c>
      <c r="L2423" s="3" t="str">
        <f t="shared" si="75"/>
        <v>ΕΣΠΕΡΙΔΟΕΙΔΗ</v>
      </c>
    </row>
    <row r="2424" spans="1:12" s="3" customFormat="1" ht="24" x14ac:dyDescent="0.25">
      <c r="A2424" s="3" t="str">
        <f t="shared" si="74"/>
        <v>ΖΑΧΑΡΟΤΕΥΤΛΑΖΑΧΑΡΟΤΕΥΤΛΑ CRETA</v>
      </c>
      <c r="B2424" s="4" t="s">
        <v>4590</v>
      </c>
      <c r="C2424" s="5" t="s">
        <v>4591</v>
      </c>
      <c r="D2424" s="6">
        <v>2999</v>
      </c>
      <c r="E2424" s="6">
        <v>2680.78</v>
      </c>
      <c r="F2424" s="7" t="s">
        <v>14</v>
      </c>
      <c r="G2424" s="8" t="s">
        <v>4592</v>
      </c>
      <c r="H2424" s="8" t="s">
        <v>16</v>
      </c>
      <c r="I2424" s="9">
        <v>543</v>
      </c>
      <c r="J2424" s="10">
        <v>10</v>
      </c>
      <c r="K2424" s="10">
        <v>10050</v>
      </c>
      <c r="L2424" s="3" t="str">
        <f t="shared" si="75"/>
        <v>ΖΑΧΑΡΟΤΕΥΤΛΑ</v>
      </c>
    </row>
    <row r="2425" spans="1:12" s="3" customFormat="1" ht="24" x14ac:dyDescent="0.25">
      <c r="A2425" s="3" t="str">
        <f t="shared" si="74"/>
        <v>ΖΑΧΑΡΟΤΕΥΤΛΑΖΑΧΑΡΟΤΕΥΤΛΑ PALMA</v>
      </c>
      <c r="B2425" s="4" t="s">
        <v>4590</v>
      </c>
      <c r="C2425" s="5" t="s">
        <v>4593</v>
      </c>
      <c r="D2425" s="6">
        <v>2999</v>
      </c>
      <c r="E2425" s="6">
        <v>2680.78</v>
      </c>
      <c r="F2425" s="7" t="s">
        <v>14</v>
      </c>
      <c r="G2425" s="8" t="s">
        <v>4594</v>
      </c>
      <c r="H2425" s="8" t="s">
        <v>16</v>
      </c>
      <c r="I2425" s="9">
        <v>544</v>
      </c>
      <c r="J2425" s="10">
        <v>10</v>
      </c>
      <c r="K2425" s="10">
        <v>10051</v>
      </c>
      <c r="L2425" s="3" t="str">
        <f t="shared" si="75"/>
        <v>ΖΑΧΑΡΟΤΕΥΤΛΑ</v>
      </c>
    </row>
    <row r="2426" spans="1:12" s="3" customFormat="1" x14ac:dyDescent="0.25">
      <c r="A2426" s="3" t="str">
        <f t="shared" si="74"/>
        <v>ΖΑΧΑΡΟΤΕΥΤΛΑΖΑΧΑΡΟΤΕΥΤΛΑ YASMINE</v>
      </c>
      <c r="B2426" s="18" t="s">
        <v>4590</v>
      </c>
      <c r="C2426" s="19" t="s">
        <v>4595</v>
      </c>
      <c r="D2426" s="6">
        <v>2999</v>
      </c>
      <c r="E2426" s="6">
        <v>2680.78</v>
      </c>
      <c r="F2426" s="6" t="s">
        <v>14</v>
      </c>
      <c r="G2426" s="8" t="s">
        <v>4596</v>
      </c>
      <c r="H2426" s="8" t="s">
        <v>27</v>
      </c>
      <c r="I2426" s="9">
        <v>4293</v>
      </c>
      <c r="J2426" s="20">
        <v>10</v>
      </c>
      <c r="K2426" s="20">
        <v>10052</v>
      </c>
      <c r="L2426" s="3" t="str">
        <f t="shared" si="75"/>
        <v>ΖΑΧΑΡΟΤΕΥΤΛΑ</v>
      </c>
    </row>
    <row r="2427" spans="1:12" s="3" customFormat="1" ht="24" x14ac:dyDescent="0.25">
      <c r="A2427" s="3" t="str">
        <f t="shared" si="74"/>
        <v>ΖΑΧΑΡΟΤΕΥΤΛΑΖΑΧΑΡΟΤΕΥΤΛΑ EFESOS</v>
      </c>
      <c r="B2427" s="4" t="s">
        <v>4590</v>
      </c>
      <c r="C2427" s="5" t="s">
        <v>4597</v>
      </c>
      <c r="D2427" s="6">
        <v>2999</v>
      </c>
      <c r="E2427" s="6">
        <v>2680.78</v>
      </c>
      <c r="F2427" s="7" t="s">
        <v>14</v>
      </c>
      <c r="G2427" s="8" t="s">
        <v>4598</v>
      </c>
      <c r="H2427" s="8" t="s">
        <v>16</v>
      </c>
      <c r="I2427" s="9">
        <v>545</v>
      </c>
      <c r="J2427" s="10">
        <v>10</v>
      </c>
      <c r="K2427" s="10">
        <v>10053</v>
      </c>
      <c r="L2427" s="3" t="str">
        <f t="shared" si="75"/>
        <v>ΖΑΧΑΡΟΤΕΥΤΛΑ</v>
      </c>
    </row>
    <row r="2428" spans="1:12" s="3" customFormat="1" x14ac:dyDescent="0.25">
      <c r="A2428" s="3" t="str">
        <f t="shared" si="74"/>
        <v>ΖΑΧΑΡΟΤΕΥΤΛΑΖΑΧΑΡΟΤΕΥΤΛΑ DIAMANT</v>
      </c>
      <c r="B2428" s="18" t="s">
        <v>4590</v>
      </c>
      <c r="C2428" s="19" t="s">
        <v>4599</v>
      </c>
      <c r="D2428" s="6">
        <v>2999</v>
      </c>
      <c r="E2428" s="6">
        <v>2680.78</v>
      </c>
      <c r="F2428" s="6" t="s">
        <v>14</v>
      </c>
      <c r="G2428" s="8" t="s">
        <v>4600</v>
      </c>
      <c r="H2428" s="8" t="s">
        <v>27</v>
      </c>
      <c r="I2428" s="9">
        <v>4294</v>
      </c>
      <c r="J2428" s="20">
        <v>10</v>
      </c>
      <c r="K2428" s="20">
        <v>10054</v>
      </c>
      <c r="L2428" s="3" t="str">
        <f t="shared" si="75"/>
        <v>ΖΑΧΑΡΟΤΕΥΤΛΑ</v>
      </c>
    </row>
    <row r="2429" spans="1:12" s="3" customFormat="1" ht="24" x14ac:dyDescent="0.25">
      <c r="A2429" s="3" t="str">
        <f t="shared" si="74"/>
        <v>ΖΑΧΑΡΟΤΕΥΤΛΑΖΑΧΑΡΟΤΕΥΤΛΑ MERAK</v>
      </c>
      <c r="B2429" s="4" t="s">
        <v>4590</v>
      </c>
      <c r="C2429" s="5" t="s">
        <v>4601</v>
      </c>
      <c r="D2429" s="6">
        <v>2999</v>
      </c>
      <c r="E2429" s="6">
        <v>2680.78</v>
      </c>
      <c r="F2429" s="7" t="s">
        <v>14</v>
      </c>
      <c r="G2429" s="8" t="s">
        <v>4602</v>
      </c>
      <c r="H2429" s="8" t="s">
        <v>16</v>
      </c>
      <c r="I2429" s="9">
        <v>546</v>
      </c>
      <c r="J2429" s="10">
        <v>10</v>
      </c>
      <c r="K2429" s="10">
        <v>10055</v>
      </c>
      <c r="L2429" s="3" t="str">
        <f t="shared" si="75"/>
        <v>ΖΑΧΑΡΟΤΕΥΤΛΑ</v>
      </c>
    </row>
    <row r="2430" spans="1:12" s="3" customFormat="1" ht="24" x14ac:dyDescent="0.25">
      <c r="A2430" s="3" t="str">
        <f t="shared" si="74"/>
        <v>ΖΑΧΑΡΟΤΕΥΤΛΑΖΑΧΑΡΟΤΕΥΤΛΑ FRED</v>
      </c>
      <c r="B2430" s="4" t="s">
        <v>4590</v>
      </c>
      <c r="C2430" s="5" t="s">
        <v>4603</v>
      </c>
      <c r="D2430" s="6">
        <v>2999</v>
      </c>
      <c r="E2430" s="6">
        <v>2680.78</v>
      </c>
      <c r="F2430" s="7" t="s">
        <v>14</v>
      </c>
      <c r="G2430" s="8" t="s">
        <v>4604</v>
      </c>
      <c r="H2430" s="8" t="s">
        <v>16</v>
      </c>
      <c r="I2430" s="9">
        <v>547</v>
      </c>
      <c r="J2430" s="10">
        <v>10</v>
      </c>
      <c r="K2430" s="10">
        <v>10056</v>
      </c>
      <c r="L2430" s="3" t="str">
        <f t="shared" si="75"/>
        <v>ΖΑΧΑΡΟΤΕΥΤΛΑ</v>
      </c>
    </row>
    <row r="2431" spans="1:12" s="3" customFormat="1" ht="24" x14ac:dyDescent="0.25">
      <c r="A2431" s="3" t="str">
        <f t="shared" si="74"/>
        <v>ΖΑΧΑΡΟΤΕΥΤΛΑΖΑΧΑΡΟΤΕΥΤΛΑ KEVIN</v>
      </c>
      <c r="B2431" s="4" t="s">
        <v>4590</v>
      </c>
      <c r="C2431" s="5" t="s">
        <v>4605</v>
      </c>
      <c r="D2431" s="6">
        <v>2999</v>
      </c>
      <c r="E2431" s="6">
        <v>2680.78</v>
      </c>
      <c r="F2431" s="7" t="s">
        <v>14</v>
      </c>
      <c r="G2431" s="8" t="s">
        <v>4606</v>
      </c>
      <c r="H2431" s="8" t="s">
        <v>16</v>
      </c>
      <c r="I2431" s="9">
        <v>540</v>
      </c>
      <c r="J2431" s="10">
        <v>10</v>
      </c>
      <c r="K2431" s="10">
        <v>10057</v>
      </c>
      <c r="L2431" s="3" t="str">
        <f t="shared" si="75"/>
        <v>ΖΑΧΑΡΟΤΕΥΤΛΑ</v>
      </c>
    </row>
    <row r="2432" spans="1:12" s="3" customFormat="1" x14ac:dyDescent="0.25">
      <c r="A2432" s="3" t="str">
        <f t="shared" si="74"/>
        <v>ΖΑΧΑΡΟΤΕΥΤΛΑΖΑΧΑΡΟΤΕΥΤΛΑ ARIETE</v>
      </c>
      <c r="B2432" s="18" t="s">
        <v>4590</v>
      </c>
      <c r="C2432" s="19" t="s">
        <v>4607</v>
      </c>
      <c r="D2432" s="6">
        <v>2999</v>
      </c>
      <c r="E2432" s="6">
        <v>2680.78</v>
      </c>
      <c r="F2432" s="6" t="s">
        <v>14</v>
      </c>
      <c r="G2432" s="8" t="s">
        <v>4608</v>
      </c>
      <c r="H2432" s="8" t="s">
        <v>27</v>
      </c>
      <c r="I2432" s="9">
        <v>4295</v>
      </c>
      <c r="J2432" s="20">
        <v>10</v>
      </c>
      <c r="K2432" s="20">
        <v>10058</v>
      </c>
      <c r="L2432" s="3" t="str">
        <f t="shared" si="75"/>
        <v>ΖΑΧΑΡΟΤΕΥΤΛΑ</v>
      </c>
    </row>
    <row r="2433" spans="1:12" s="3" customFormat="1" ht="15" customHeight="1" x14ac:dyDescent="0.25">
      <c r="A2433" s="3" t="str">
        <f t="shared" si="74"/>
        <v>ΖΑΧΑΡΟΤΕΥΤΛΑΖΑΧΑΡΟΤΕΥΤΛΑ TAIFUN</v>
      </c>
      <c r="B2433" s="4" t="s">
        <v>4590</v>
      </c>
      <c r="C2433" s="5" t="s">
        <v>4609</v>
      </c>
      <c r="D2433" s="6">
        <v>2999</v>
      </c>
      <c r="E2433" s="6">
        <v>2680.78</v>
      </c>
      <c r="F2433" s="7" t="s">
        <v>14</v>
      </c>
      <c r="G2433" s="8" t="s">
        <v>4610</v>
      </c>
      <c r="H2433" s="8" t="s">
        <v>16</v>
      </c>
      <c r="I2433" s="9">
        <v>548</v>
      </c>
      <c r="J2433" s="10">
        <v>10</v>
      </c>
      <c r="K2433" s="10">
        <v>10059</v>
      </c>
      <c r="L2433" s="3" t="str">
        <f t="shared" si="75"/>
        <v>ΖΑΧΑΡΟΤΕΥΤΛΑ</v>
      </c>
    </row>
    <row r="2434" spans="1:12" s="3" customFormat="1" ht="15" customHeight="1" x14ac:dyDescent="0.25">
      <c r="A2434" s="3" t="str">
        <f t="shared" si="74"/>
        <v>ΖΑΧΑΡΟΤΕΥΤΛΑΖΑΧΑΡΟΤΕΥΤΛΑ NAGANO</v>
      </c>
      <c r="B2434" s="4" t="s">
        <v>4590</v>
      </c>
      <c r="C2434" s="5" t="s">
        <v>4611</v>
      </c>
      <c r="D2434" s="6">
        <v>2999</v>
      </c>
      <c r="E2434" s="6">
        <v>2680.78</v>
      </c>
      <c r="F2434" s="7" t="s">
        <v>14</v>
      </c>
      <c r="G2434" s="8" t="s">
        <v>4612</v>
      </c>
      <c r="H2434" s="8" t="s">
        <v>16</v>
      </c>
      <c r="I2434" s="9">
        <v>549</v>
      </c>
      <c r="J2434" s="10">
        <v>10</v>
      </c>
      <c r="K2434" s="10">
        <v>10060</v>
      </c>
      <c r="L2434" s="3" t="str">
        <f t="shared" si="75"/>
        <v>ΖΑΧΑΡΟΤΕΥΤΛΑ</v>
      </c>
    </row>
    <row r="2435" spans="1:12" s="3" customFormat="1" ht="15" customHeight="1" x14ac:dyDescent="0.25">
      <c r="A2435" s="3" t="str">
        <f t="shared" ref="A2435:A2498" si="76">_xlfn.CONCAT(B2435,C2435)</f>
        <v>ΖΑΧΑΡΟΤΕΥΤΛΑΖΑΧΑΡΟΤΕΥΤΛΑ KONRAD</v>
      </c>
      <c r="B2435" s="4" t="s">
        <v>4590</v>
      </c>
      <c r="C2435" s="5" t="s">
        <v>4613</v>
      </c>
      <c r="D2435" s="6">
        <v>2999</v>
      </c>
      <c r="E2435" s="6">
        <v>2680.78</v>
      </c>
      <c r="F2435" s="7" t="s">
        <v>14</v>
      </c>
      <c r="G2435" s="8" t="s">
        <v>4614</v>
      </c>
      <c r="H2435" s="8" t="s">
        <v>16</v>
      </c>
      <c r="I2435" s="9">
        <v>550</v>
      </c>
      <c r="J2435" s="10">
        <v>10</v>
      </c>
      <c r="K2435" s="10">
        <v>10061</v>
      </c>
      <c r="L2435" s="3" t="str">
        <f t="shared" ref="L2435:L2498" si="77">IFERROR(SUBSTITUTE(SUBSTITUTE(SUBSTITUTE(SUBSTITUTE(SUBSTITUTE(B2435, "-", "_"), " ", "_"), ",", ""), "(", ""), ")", ""), B2435)</f>
        <v>ΖΑΧΑΡΟΤΕΥΤΛΑ</v>
      </c>
    </row>
    <row r="2436" spans="1:12" s="3" customFormat="1" ht="15" customHeight="1" x14ac:dyDescent="0.25">
      <c r="A2436" s="3" t="str">
        <f t="shared" si="76"/>
        <v>ΖΑΧΑΡΟΤΕΥΤΛΑΖΑΧΑΡΟΤΕΥΤΛΑ CONTINENTAL</v>
      </c>
      <c r="B2436" s="4" t="s">
        <v>4590</v>
      </c>
      <c r="C2436" s="5" t="s">
        <v>4615</v>
      </c>
      <c r="D2436" s="6">
        <v>2999</v>
      </c>
      <c r="E2436" s="6">
        <v>2680.78</v>
      </c>
      <c r="F2436" s="7" t="s">
        <v>14</v>
      </c>
      <c r="G2436" s="8" t="s">
        <v>4616</v>
      </c>
      <c r="H2436" s="8" t="s">
        <v>16</v>
      </c>
      <c r="I2436" s="9">
        <v>551</v>
      </c>
      <c r="J2436" s="10">
        <v>10</v>
      </c>
      <c r="K2436" s="10">
        <v>10062</v>
      </c>
      <c r="L2436" s="3" t="str">
        <f t="shared" si="77"/>
        <v>ΖΑΧΑΡΟΤΕΥΤΛΑ</v>
      </c>
    </row>
    <row r="2437" spans="1:12" s="3" customFormat="1" ht="15" customHeight="1" x14ac:dyDescent="0.25">
      <c r="A2437" s="3" t="str">
        <f t="shared" si="76"/>
        <v>ΖΑΧΑΡΟΤΕΥΤΛΑΖΑΧΑΡΟΤΕΥΤΛΑ NESTORIX</v>
      </c>
      <c r="B2437" s="4" t="s">
        <v>4590</v>
      </c>
      <c r="C2437" s="5" t="s">
        <v>4617</v>
      </c>
      <c r="D2437" s="6">
        <v>2999</v>
      </c>
      <c r="E2437" s="6">
        <v>2680.78</v>
      </c>
      <c r="F2437" s="7" t="s">
        <v>14</v>
      </c>
      <c r="G2437" s="8" t="s">
        <v>4618</v>
      </c>
      <c r="H2437" s="8" t="s">
        <v>16</v>
      </c>
      <c r="I2437" s="9">
        <v>541</v>
      </c>
      <c r="J2437" s="10">
        <v>10</v>
      </c>
      <c r="K2437" s="10">
        <v>10063</v>
      </c>
      <c r="L2437" s="3" t="str">
        <f t="shared" si="77"/>
        <v>ΖΑΧΑΡΟΤΕΥΤΛΑ</v>
      </c>
    </row>
    <row r="2438" spans="1:12" s="3" customFormat="1" ht="15" customHeight="1" x14ac:dyDescent="0.25">
      <c r="A2438" s="3" t="str">
        <f t="shared" si="76"/>
        <v>ΖΑΧΑΡΟΤΕΥΤΛΑΖΑΧΑΡΟΤΕΥΤΛΑ TILMAN</v>
      </c>
      <c r="B2438" s="4" t="s">
        <v>4590</v>
      </c>
      <c r="C2438" s="5" t="s">
        <v>4619</v>
      </c>
      <c r="D2438" s="6">
        <v>2999</v>
      </c>
      <c r="E2438" s="6">
        <v>2680.78</v>
      </c>
      <c r="F2438" s="7" t="s">
        <v>14</v>
      </c>
      <c r="G2438" s="8" t="s">
        <v>4620</v>
      </c>
      <c r="H2438" s="8" t="s">
        <v>16</v>
      </c>
      <c r="I2438" s="9">
        <v>542</v>
      </c>
      <c r="J2438" s="10">
        <v>10</v>
      </c>
      <c r="K2438" s="10">
        <v>10064</v>
      </c>
      <c r="L2438" s="3" t="str">
        <f t="shared" si="77"/>
        <v>ΖΑΧΑΡΟΤΕΥΤΛΑ</v>
      </c>
    </row>
    <row r="2439" spans="1:12" s="3" customFormat="1" ht="24" x14ac:dyDescent="0.25">
      <c r="A2439" s="3" t="str">
        <f t="shared" si="76"/>
        <v>ΖΑΧΑΡΟΤΕΥΤΛΑΖΑΧΑΡΟΤΕΥΤΛΑ DOROTEA</v>
      </c>
      <c r="B2439" s="21" t="s">
        <v>4590</v>
      </c>
      <c r="C2439" s="22" t="s">
        <v>4621</v>
      </c>
      <c r="D2439" s="6">
        <v>2999</v>
      </c>
      <c r="E2439" s="6">
        <v>2680.78</v>
      </c>
      <c r="F2439" s="6" t="s">
        <v>14</v>
      </c>
      <c r="G2439" s="8" t="s">
        <v>4622</v>
      </c>
      <c r="H2439" s="8" t="s">
        <v>16</v>
      </c>
      <c r="I2439" s="9">
        <v>4969</v>
      </c>
      <c r="J2439" s="16">
        <v>10</v>
      </c>
      <c r="K2439" s="16">
        <v>10065</v>
      </c>
      <c r="L2439" s="3" t="str">
        <f t="shared" si="77"/>
        <v>ΖΑΧΑΡΟΤΕΥΤΛΑ</v>
      </c>
    </row>
    <row r="2440" spans="1:12" s="3" customFormat="1" ht="24" x14ac:dyDescent="0.25">
      <c r="A2440" s="3" t="str">
        <f t="shared" si="76"/>
        <v>ΖΑΧΑΡΟΤΕΥΤΛΑΖΑΧΑΡΟΤΕΥΤΛΑ FLORES</v>
      </c>
      <c r="B2440" s="21" t="s">
        <v>4590</v>
      </c>
      <c r="C2440" s="22" t="s">
        <v>4623</v>
      </c>
      <c r="D2440" s="6">
        <v>2999</v>
      </c>
      <c r="E2440" s="6">
        <v>2680.78</v>
      </c>
      <c r="F2440" s="6" t="s">
        <v>14</v>
      </c>
      <c r="G2440" s="8" t="s">
        <v>4624</v>
      </c>
      <c r="H2440" s="8" t="s">
        <v>16</v>
      </c>
      <c r="I2440" s="9">
        <v>4964</v>
      </c>
      <c r="J2440" s="16">
        <v>10</v>
      </c>
      <c r="K2440" s="16">
        <v>10066</v>
      </c>
      <c r="L2440" s="3" t="str">
        <f t="shared" si="77"/>
        <v>ΖΑΧΑΡΟΤΕΥΤΛΑ</v>
      </c>
    </row>
    <row r="2441" spans="1:12" s="3" customFormat="1" ht="24" x14ac:dyDescent="0.25">
      <c r="A2441" s="3" t="str">
        <f t="shared" si="76"/>
        <v>ΖΑΧΑΡΟΤΕΥΤΛΑΖΑΧΑΡΟΤΕΥΤΛΑ VARIOS</v>
      </c>
      <c r="B2441" s="21" t="s">
        <v>4590</v>
      </c>
      <c r="C2441" s="22" t="s">
        <v>4625</v>
      </c>
      <c r="D2441" s="6">
        <v>2999</v>
      </c>
      <c r="E2441" s="6">
        <v>2680.78</v>
      </c>
      <c r="F2441" s="6" t="s">
        <v>14</v>
      </c>
      <c r="G2441" s="8" t="s">
        <v>4626</v>
      </c>
      <c r="H2441" s="8" t="s">
        <v>16</v>
      </c>
      <c r="I2441" s="9">
        <v>4965</v>
      </c>
      <c r="J2441" s="16">
        <v>10</v>
      </c>
      <c r="K2441" s="16">
        <v>10067</v>
      </c>
      <c r="L2441" s="3" t="str">
        <f t="shared" si="77"/>
        <v>ΖΑΧΑΡΟΤΕΥΤΛΑ</v>
      </c>
    </row>
    <row r="2442" spans="1:12" s="3" customFormat="1" ht="24" x14ac:dyDescent="0.25">
      <c r="A2442" s="3" t="str">
        <f t="shared" si="76"/>
        <v>ΖΑΧΑΡΟΤΕΥΤΛΑΖΑΧΑΡΟΤΕΥΤΛΑ LIMOUSINE</v>
      </c>
      <c r="B2442" s="21" t="s">
        <v>4590</v>
      </c>
      <c r="C2442" s="22" t="s">
        <v>4627</v>
      </c>
      <c r="D2442" s="6">
        <v>2999</v>
      </c>
      <c r="E2442" s="6">
        <v>2680.78</v>
      </c>
      <c r="F2442" s="6" t="s">
        <v>14</v>
      </c>
      <c r="G2442" s="8" t="s">
        <v>4628</v>
      </c>
      <c r="H2442" s="8" t="s">
        <v>16</v>
      </c>
      <c r="I2442" s="9">
        <v>4966</v>
      </c>
      <c r="J2442" s="16">
        <v>10</v>
      </c>
      <c r="K2442" s="16">
        <v>10068</v>
      </c>
      <c r="L2442" s="3" t="str">
        <f t="shared" si="77"/>
        <v>ΖΑΧΑΡΟΤΕΥΤΛΑ</v>
      </c>
    </row>
    <row r="2443" spans="1:12" s="3" customFormat="1" x14ac:dyDescent="0.25">
      <c r="A2443" s="3" t="str">
        <f t="shared" si="76"/>
        <v>ΖΑΧΑΡΟΤΕΥΤΛΑΖΑΧΑΡΟΤΕΥΤΛΑ IMPACT</v>
      </c>
      <c r="B2443" s="18" t="s">
        <v>4590</v>
      </c>
      <c r="C2443" s="19" t="s">
        <v>4629</v>
      </c>
      <c r="D2443" s="6">
        <v>2999</v>
      </c>
      <c r="E2443" s="6">
        <v>2680.78</v>
      </c>
      <c r="F2443" s="6" t="s">
        <v>14</v>
      </c>
      <c r="G2443" s="8" t="s">
        <v>4630</v>
      </c>
      <c r="H2443" s="8" t="s">
        <v>27</v>
      </c>
      <c r="I2443" s="9">
        <v>4291</v>
      </c>
      <c r="J2443" s="20">
        <v>10</v>
      </c>
      <c r="K2443" s="20">
        <v>1994</v>
      </c>
      <c r="L2443" s="3" t="str">
        <f t="shared" si="77"/>
        <v>ΖΑΧΑΡΟΤΕΥΤΛΑ</v>
      </c>
    </row>
    <row r="2444" spans="1:12" s="3" customFormat="1" x14ac:dyDescent="0.25">
      <c r="A2444" s="3" t="str">
        <f t="shared" si="76"/>
        <v>ΖΑΧΑΡΟΤΕΥΤΛΑΖΑΧΑΡΟΤΕΥΤΛΑ CERVIA</v>
      </c>
      <c r="B2444" s="18" t="s">
        <v>4590</v>
      </c>
      <c r="C2444" s="19" t="s">
        <v>4631</v>
      </c>
      <c r="D2444" s="6">
        <v>2999</v>
      </c>
      <c r="E2444" s="6">
        <v>2680.78</v>
      </c>
      <c r="F2444" s="6" t="s">
        <v>14</v>
      </c>
      <c r="G2444" s="8" t="s">
        <v>4632</v>
      </c>
      <c r="H2444" s="8" t="s">
        <v>27</v>
      </c>
      <c r="I2444" s="9">
        <v>4292</v>
      </c>
      <c r="J2444" s="20">
        <v>10</v>
      </c>
      <c r="K2444" s="20">
        <v>2167</v>
      </c>
      <c r="L2444" s="3" t="str">
        <f t="shared" si="77"/>
        <v>ΖΑΧΑΡΟΤΕΥΤΛΑ</v>
      </c>
    </row>
    <row r="2445" spans="1:12" s="3" customFormat="1" ht="24" x14ac:dyDescent="0.25">
      <c r="A2445" s="3" t="str">
        <f t="shared" si="76"/>
        <v>ΘΗΡΑΜΑΤΑΕΛΑΦΙΑ</v>
      </c>
      <c r="B2445" s="15" t="s">
        <v>4633</v>
      </c>
      <c r="C2445" s="14" t="s">
        <v>4634</v>
      </c>
      <c r="D2445" s="6">
        <v>0</v>
      </c>
      <c r="E2445" s="6">
        <v>0</v>
      </c>
      <c r="F2445" s="11" t="s">
        <v>23</v>
      </c>
      <c r="G2445" s="8" t="s">
        <v>4635</v>
      </c>
      <c r="H2445" s="8" t="s">
        <v>16</v>
      </c>
      <c r="I2445" s="9">
        <v>4838</v>
      </c>
      <c r="J2445" s="16">
        <v>13</v>
      </c>
      <c r="K2445" s="16">
        <v>1310000</v>
      </c>
      <c r="L2445" s="3" t="str">
        <f t="shared" si="77"/>
        <v>ΘΗΡΑΜΑΤΑ</v>
      </c>
    </row>
    <row r="2446" spans="1:12" s="3" customFormat="1" ht="24" x14ac:dyDescent="0.25">
      <c r="A2446" s="3" t="str">
        <f t="shared" si="76"/>
        <v>ΘΗΡΑΜΑΤΑΖΑΡΚΑΔΙΑ</v>
      </c>
      <c r="B2446" s="15" t="s">
        <v>4633</v>
      </c>
      <c r="C2446" s="14" t="s">
        <v>4636</v>
      </c>
      <c r="D2446" s="6">
        <v>0</v>
      </c>
      <c r="E2446" s="6">
        <v>0</v>
      </c>
      <c r="F2446" s="11" t="s">
        <v>23</v>
      </c>
      <c r="G2446" s="8" t="s">
        <v>4637</v>
      </c>
      <c r="H2446" s="8" t="s">
        <v>16</v>
      </c>
      <c r="I2446" s="9">
        <v>4839</v>
      </c>
      <c r="J2446" s="16">
        <v>13</v>
      </c>
      <c r="K2446" s="16">
        <v>1320000</v>
      </c>
      <c r="L2446" s="3" t="str">
        <f t="shared" si="77"/>
        <v>ΘΗΡΑΜΑΤΑ</v>
      </c>
    </row>
    <row r="2447" spans="1:12" s="3" customFormat="1" ht="24" x14ac:dyDescent="0.25">
      <c r="A2447" s="3" t="str">
        <f t="shared" si="76"/>
        <v>ΘΗΡΑΜΑΤΑΑΓΡΙΟΠΡΟΒΑΤΑ</v>
      </c>
      <c r="B2447" s="15" t="s">
        <v>4633</v>
      </c>
      <c r="C2447" s="14" t="s">
        <v>4638</v>
      </c>
      <c r="D2447" s="6">
        <v>0</v>
      </c>
      <c r="E2447" s="6">
        <v>0</v>
      </c>
      <c r="F2447" s="11" t="s">
        <v>23</v>
      </c>
      <c r="G2447" s="8" t="s">
        <v>4639</v>
      </c>
      <c r="H2447" s="8" t="s">
        <v>16</v>
      </c>
      <c r="I2447" s="9">
        <v>4840</v>
      </c>
      <c r="J2447" s="16">
        <v>13</v>
      </c>
      <c r="K2447" s="16">
        <v>1330000</v>
      </c>
      <c r="L2447" s="3" t="str">
        <f t="shared" si="77"/>
        <v>ΘΗΡΑΜΑΤΑ</v>
      </c>
    </row>
    <row r="2448" spans="1:12" s="3" customFormat="1" ht="24" x14ac:dyDescent="0.25">
      <c r="A2448" s="3" t="str">
        <f t="shared" si="76"/>
        <v>ΘΗΡΑΜΑΤΙΚΑ ΠΤΗΝΑΦΑΣΙΑΝΟΙ</v>
      </c>
      <c r="B2448" s="17" t="s">
        <v>4640</v>
      </c>
      <c r="C2448" s="14" t="s">
        <v>4641</v>
      </c>
      <c r="D2448" s="6">
        <v>0</v>
      </c>
      <c r="E2448" s="6">
        <v>0</v>
      </c>
      <c r="F2448" s="11" t="s">
        <v>23</v>
      </c>
      <c r="G2448" s="8" t="s">
        <v>4642</v>
      </c>
      <c r="H2448" s="8" t="s">
        <v>16</v>
      </c>
      <c r="I2448" s="9">
        <v>4832</v>
      </c>
      <c r="J2448" s="13">
        <v>9</v>
      </c>
      <c r="K2448" s="13">
        <v>910000</v>
      </c>
      <c r="L2448" s="3" t="str">
        <f t="shared" si="77"/>
        <v>ΘΗΡΑΜΑΤΙΚΑ_ΠΤΗΝΑ</v>
      </c>
    </row>
    <row r="2449" spans="1:12" s="3" customFormat="1" ht="24" x14ac:dyDescent="0.25">
      <c r="A2449" s="3" t="str">
        <f t="shared" si="76"/>
        <v>ΘΗΡΑΜΑΤΙΚΑ ΠΤΗΝΑΠΕΡΔΙΚΕΣ</v>
      </c>
      <c r="B2449" s="17" t="s">
        <v>4640</v>
      </c>
      <c r="C2449" s="14" t="s">
        <v>4643</v>
      </c>
      <c r="D2449" s="6">
        <v>0</v>
      </c>
      <c r="E2449" s="6">
        <v>0</v>
      </c>
      <c r="F2449" s="11" t="s">
        <v>23</v>
      </c>
      <c r="G2449" s="8" t="s">
        <v>4644</v>
      </c>
      <c r="H2449" s="8" t="s">
        <v>16</v>
      </c>
      <c r="I2449" s="9">
        <v>4833</v>
      </c>
      <c r="J2449" s="13">
        <v>9</v>
      </c>
      <c r="K2449" s="13">
        <v>920000</v>
      </c>
      <c r="L2449" s="3" t="str">
        <f t="shared" si="77"/>
        <v>ΘΗΡΑΜΑΤΙΚΑ_ΠΤΗΝΑ</v>
      </c>
    </row>
    <row r="2450" spans="1:12" s="3" customFormat="1" ht="24" x14ac:dyDescent="0.25">
      <c r="A2450" s="3" t="str">
        <f t="shared" si="76"/>
        <v>ΘΗΡΑΜΑΤΙΚΑ ΠΤΗΝΑΟΡΤΥΚΙΑ</v>
      </c>
      <c r="B2450" s="17" t="s">
        <v>4640</v>
      </c>
      <c r="C2450" s="14" t="s">
        <v>4645</v>
      </c>
      <c r="D2450" s="6">
        <v>0</v>
      </c>
      <c r="E2450" s="6">
        <v>0</v>
      </c>
      <c r="F2450" s="11" t="s">
        <v>23</v>
      </c>
      <c r="G2450" s="8" t="s">
        <v>4646</v>
      </c>
      <c r="H2450" s="8" t="s">
        <v>16</v>
      </c>
      <c r="I2450" s="9">
        <v>4834</v>
      </c>
      <c r="J2450" s="13">
        <v>9</v>
      </c>
      <c r="K2450" s="13">
        <v>930000</v>
      </c>
      <c r="L2450" s="3" t="str">
        <f t="shared" si="77"/>
        <v>ΘΗΡΑΜΑΤΙΚΑ_ΠΤΗΝΑ</v>
      </c>
    </row>
    <row r="2451" spans="1:12" s="3" customFormat="1" ht="24" x14ac:dyDescent="0.25">
      <c r="A2451" s="3" t="str">
        <f t="shared" si="76"/>
        <v>ΙΠΠΟΕΙΔΗΙΠΠΟΙ, &lt; 6 ΜΗΝΩΝ, ΛΟΙΠΗ</v>
      </c>
      <c r="B2451" s="17" t="s">
        <v>4647</v>
      </c>
      <c r="C2451" s="14" t="s">
        <v>4648</v>
      </c>
      <c r="D2451" s="6">
        <v>358</v>
      </c>
      <c r="E2451" s="6">
        <v>358</v>
      </c>
      <c r="F2451" s="11" t="s">
        <v>23</v>
      </c>
      <c r="G2451" s="8" t="s">
        <v>4649</v>
      </c>
      <c r="H2451" s="8" t="s">
        <v>16</v>
      </c>
      <c r="I2451" s="9">
        <v>4802</v>
      </c>
      <c r="J2451" s="13">
        <v>3</v>
      </c>
      <c r="K2451" s="13">
        <v>310304</v>
      </c>
      <c r="L2451" s="3" t="str">
        <f t="shared" si="77"/>
        <v>ΙΠΠΟΕΙΔΗ</v>
      </c>
    </row>
    <row r="2452" spans="1:12" s="3" customFormat="1" ht="24" x14ac:dyDescent="0.25">
      <c r="A2452" s="3" t="str">
        <f t="shared" si="76"/>
        <v>ΙΠΠΟΕΙΔΗΙΠΠΟΙ, ΑΡΣΕΝΙΚΟΙ, &lt; 6 ΜΗΝΩΝ, ΑΥΤΟΧΘΟΝΗ</v>
      </c>
      <c r="B2452" s="17" t="s">
        <v>4647</v>
      </c>
      <c r="C2452" s="14" t="s">
        <v>4650</v>
      </c>
      <c r="D2452" s="6">
        <v>358</v>
      </c>
      <c r="E2452" s="6">
        <v>358</v>
      </c>
      <c r="F2452" s="11" t="s">
        <v>23</v>
      </c>
      <c r="G2452" s="8" t="s">
        <v>4651</v>
      </c>
      <c r="H2452" s="8" t="s">
        <v>16</v>
      </c>
      <c r="I2452" s="9">
        <v>4803</v>
      </c>
      <c r="J2452" s="13">
        <v>3</v>
      </c>
      <c r="K2452" s="13">
        <v>311302</v>
      </c>
      <c r="L2452" s="3" t="str">
        <f t="shared" si="77"/>
        <v>ΙΠΠΟΕΙΔΗ</v>
      </c>
    </row>
    <row r="2453" spans="1:12" s="3" customFormat="1" ht="24" x14ac:dyDescent="0.25">
      <c r="A2453" s="3" t="str">
        <f t="shared" si="76"/>
        <v>ΙΠΠΟΕΙΔΗΙΠΠΟΙ, ΑΡΣΕΝΙΚΟΙ, &lt; 6 ΜΗΝΩΝ, ΗΛΕΙΑΣ</v>
      </c>
      <c r="B2453" s="15" t="s">
        <v>4647</v>
      </c>
      <c r="C2453" s="14" t="s">
        <v>4652</v>
      </c>
      <c r="D2453" s="6">
        <v>358</v>
      </c>
      <c r="E2453" s="6">
        <v>358</v>
      </c>
      <c r="F2453" s="11" t="s">
        <v>23</v>
      </c>
      <c r="G2453" s="8" t="s">
        <v>4653</v>
      </c>
      <c r="H2453" s="8" t="s">
        <v>16</v>
      </c>
      <c r="I2453" s="9">
        <v>4917</v>
      </c>
      <c r="J2453" s="16">
        <v>3</v>
      </c>
      <c r="K2453" s="16">
        <v>31130201</v>
      </c>
      <c r="L2453" s="3" t="str">
        <f t="shared" si="77"/>
        <v>ΙΠΠΟΕΙΔΗ</v>
      </c>
    </row>
    <row r="2454" spans="1:12" s="3" customFormat="1" ht="24" x14ac:dyDescent="0.25">
      <c r="A2454" s="3" t="str">
        <f t="shared" si="76"/>
        <v>ΙΠΠΟΕΙΔΗΙΠΠΟΙ, ΑΡΣΕΝΙΚΟΙ, &lt; 6 ΜΗΝΩΝ, ΠΗΝΕΙΑΣ</v>
      </c>
      <c r="B2454" s="15" t="s">
        <v>4647</v>
      </c>
      <c r="C2454" s="14" t="s">
        <v>4654</v>
      </c>
      <c r="D2454" s="6">
        <v>358</v>
      </c>
      <c r="E2454" s="6">
        <v>358</v>
      </c>
      <c r="F2454" s="11" t="s">
        <v>23</v>
      </c>
      <c r="G2454" s="8" t="s">
        <v>4655</v>
      </c>
      <c r="H2454" s="8" t="s">
        <v>16</v>
      </c>
      <c r="I2454" s="9">
        <v>4918</v>
      </c>
      <c r="J2454" s="16">
        <v>3</v>
      </c>
      <c r="K2454" s="16">
        <v>31130202</v>
      </c>
      <c r="L2454" s="3" t="str">
        <f t="shared" si="77"/>
        <v>ΙΠΠΟΕΙΔΗ</v>
      </c>
    </row>
    <row r="2455" spans="1:12" s="3" customFormat="1" ht="24" x14ac:dyDescent="0.25">
      <c r="A2455" s="3" t="str">
        <f t="shared" si="76"/>
        <v>ΙΠΠΟΕΙΔΗΙΠΠΟΙ, ΑΡΣΕΝΙΚΟΙ, &lt; 6 ΜΗΝΩΝ, ΘΕΣΣΑΛΙΑΣ</v>
      </c>
      <c r="B2455" s="15" t="s">
        <v>4647</v>
      </c>
      <c r="C2455" s="14" t="s">
        <v>4656</v>
      </c>
      <c r="D2455" s="6">
        <v>358</v>
      </c>
      <c r="E2455" s="6">
        <v>358</v>
      </c>
      <c r="F2455" s="11" t="s">
        <v>23</v>
      </c>
      <c r="G2455" s="8" t="s">
        <v>4657</v>
      </c>
      <c r="H2455" s="8" t="s">
        <v>16</v>
      </c>
      <c r="I2455" s="9">
        <v>4919</v>
      </c>
      <c r="J2455" s="16">
        <v>3</v>
      </c>
      <c r="K2455" s="16">
        <v>31130203</v>
      </c>
      <c r="L2455" s="3" t="str">
        <f t="shared" si="77"/>
        <v>ΙΠΠΟΕΙΔΗ</v>
      </c>
    </row>
    <row r="2456" spans="1:12" s="3" customFormat="1" ht="24" x14ac:dyDescent="0.25">
      <c r="A2456" s="3" t="str">
        <f t="shared" si="76"/>
        <v>ΙΠΠΟΕΙΔΗΙΠΠΟΙ, ΑΡΣΕΝΙΚΟΙ, &lt; 6 ΜΗΝΩΝ, ΣΚΥΡΟΥ</v>
      </c>
      <c r="B2456" s="15" t="s">
        <v>4647</v>
      </c>
      <c r="C2456" s="14" t="s">
        <v>4658</v>
      </c>
      <c r="D2456" s="6">
        <v>358</v>
      </c>
      <c r="E2456" s="6">
        <v>358</v>
      </c>
      <c r="F2456" s="11" t="s">
        <v>23</v>
      </c>
      <c r="G2456" s="8" t="s">
        <v>4659</v>
      </c>
      <c r="H2456" s="8" t="s">
        <v>16</v>
      </c>
      <c r="I2456" s="9">
        <v>4920</v>
      </c>
      <c r="J2456" s="16">
        <v>3</v>
      </c>
      <c r="K2456" s="16">
        <v>31130204</v>
      </c>
      <c r="L2456" s="3" t="str">
        <f t="shared" si="77"/>
        <v>ΙΠΠΟΕΙΔΗ</v>
      </c>
    </row>
    <row r="2457" spans="1:12" s="3" customFormat="1" ht="24" x14ac:dyDescent="0.25">
      <c r="A2457" s="3" t="str">
        <f t="shared" si="76"/>
        <v>ΙΠΠΟΕΙΔΗΙΠΠΟΙ, ΑΡΣΕΝΙΚΟΙ, &lt; 6 ΜΗΝΩΝ, ΠΙΝΔΟΥ</v>
      </c>
      <c r="B2457" s="15" t="s">
        <v>4647</v>
      </c>
      <c r="C2457" s="14" t="s">
        <v>4660</v>
      </c>
      <c r="D2457" s="6">
        <v>358</v>
      </c>
      <c r="E2457" s="6">
        <v>358</v>
      </c>
      <c r="F2457" s="11" t="s">
        <v>23</v>
      </c>
      <c r="G2457" s="8" t="s">
        <v>4661</v>
      </c>
      <c r="H2457" s="8" t="s">
        <v>16</v>
      </c>
      <c r="I2457" s="9">
        <v>4921</v>
      </c>
      <c r="J2457" s="16">
        <v>3</v>
      </c>
      <c r="K2457" s="16">
        <v>31130205</v>
      </c>
      <c r="L2457" s="3" t="str">
        <f t="shared" si="77"/>
        <v>ΙΠΠΟΕΙΔΗ</v>
      </c>
    </row>
    <row r="2458" spans="1:12" s="3" customFormat="1" ht="24" x14ac:dyDescent="0.25">
      <c r="A2458" s="3" t="str">
        <f t="shared" si="76"/>
        <v>ΙΠΠΟΕΙΔΗΙΠΠΟΙ, ΑΡΣΕΝΙΚΟΙ, &lt; 6 ΜΗΝΩΝ, ΜΕΣΣΑΡΑ</v>
      </c>
      <c r="B2458" s="15" t="s">
        <v>4647</v>
      </c>
      <c r="C2458" s="14" t="s">
        <v>4662</v>
      </c>
      <c r="D2458" s="6">
        <v>358</v>
      </c>
      <c r="E2458" s="6">
        <v>358</v>
      </c>
      <c r="F2458" s="11" t="s">
        <v>23</v>
      </c>
      <c r="G2458" s="8" t="s">
        <v>4663</v>
      </c>
      <c r="H2458" s="8" t="s">
        <v>16</v>
      </c>
      <c r="I2458" s="9">
        <v>4922</v>
      </c>
      <c r="J2458" s="16">
        <v>3</v>
      </c>
      <c r="K2458" s="16">
        <v>31130206</v>
      </c>
      <c r="L2458" s="3" t="str">
        <f t="shared" si="77"/>
        <v>ΙΠΠΟΕΙΔΗ</v>
      </c>
    </row>
    <row r="2459" spans="1:12" s="3" customFormat="1" ht="24" x14ac:dyDescent="0.25">
      <c r="A2459" s="3" t="str">
        <f t="shared" si="76"/>
        <v>ΙΠΠΟΕΙΔΗΙΠΠΟΙ, ΑΡΣΕΝΙΚΟΙ, &gt; 6 ΜΗΝΩΝ, ΑΥΤΟΧΘΟΝΗ</v>
      </c>
      <c r="B2459" s="17" t="s">
        <v>4647</v>
      </c>
      <c r="C2459" s="14" t="s">
        <v>4664</v>
      </c>
      <c r="D2459" s="6">
        <v>358</v>
      </c>
      <c r="E2459" s="6">
        <v>358</v>
      </c>
      <c r="F2459" s="11" t="s">
        <v>23</v>
      </c>
      <c r="G2459" s="8" t="s">
        <v>4665</v>
      </c>
      <c r="H2459" s="8" t="s">
        <v>16</v>
      </c>
      <c r="I2459" s="9">
        <v>4804</v>
      </c>
      <c r="J2459" s="13">
        <v>3</v>
      </c>
      <c r="K2459" s="13">
        <v>311402</v>
      </c>
      <c r="L2459" s="3" t="str">
        <f t="shared" si="77"/>
        <v>ΙΠΠΟΕΙΔΗ</v>
      </c>
    </row>
    <row r="2460" spans="1:12" s="3" customFormat="1" ht="24" x14ac:dyDescent="0.25">
      <c r="A2460" s="3" t="str">
        <f t="shared" si="76"/>
        <v>ΙΠΠΟΕΙΔΗΙΠΠΟΙ, ΑΡΣΕΝΙΚΟΙ, &gt; 6 ΜΗΝΩΝ, ΗΛΕΙΑΣ</v>
      </c>
      <c r="B2460" s="15" t="s">
        <v>4647</v>
      </c>
      <c r="C2460" s="14" t="s">
        <v>4666</v>
      </c>
      <c r="D2460" s="6">
        <v>358</v>
      </c>
      <c r="E2460" s="6">
        <v>358</v>
      </c>
      <c r="F2460" s="11" t="s">
        <v>23</v>
      </c>
      <c r="G2460" s="8" t="s">
        <v>4667</v>
      </c>
      <c r="H2460" s="8" t="s">
        <v>16</v>
      </c>
      <c r="I2460" s="9">
        <v>4923</v>
      </c>
      <c r="J2460" s="16">
        <v>3</v>
      </c>
      <c r="K2460" s="16">
        <v>31140201</v>
      </c>
      <c r="L2460" s="3" t="str">
        <f t="shared" si="77"/>
        <v>ΙΠΠΟΕΙΔΗ</v>
      </c>
    </row>
    <row r="2461" spans="1:12" s="3" customFormat="1" ht="24" x14ac:dyDescent="0.25">
      <c r="A2461" s="3" t="str">
        <f t="shared" si="76"/>
        <v>ΙΠΠΟΕΙΔΗΙΠΠΟΙ, ΑΡΣΕΝΙΚΟΙ, &gt; 6 ΜΗΝΩΝ, ΠΗΝΕΙΑΣ</v>
      </c>
      <c r="B2461" s="15" t="s">
        <v>4647</v>
      </c>
      <c r="C2461" s="14" t="s">
        <v>4668</v>
      </c>
      <c r="D2461" s="6">
        <v>358</v>
      </c>
      <c r="E2461" s="6">
        <v>358</v>
      </c>
      <c r="F2461" s="11" t="s">
        <v>23</v>
      </c>
      <c r="G2461" s="8" t="s">
        <v>4669</v>
      </c>
      <c r="H2461" s="8" t="s">
        <v>16</v>
      </c>
      <c r="I2461" s="9">
        <v>4924</v>
      </c>
      <c r="J2461" s="16">
        <v>3</v>
      </c>
      <c r="K2461" s="16">
        <v>31140202</v>
      </c>
      <c r="L2461" s="3" t="str">
        <f t="shared" si="77"/>
        <v>ΙΠΠΟΕΙΔΗ</v>
      </c>
    </row>
    <row r="2462" spans="1:12" s="3" customFormat="1" ht="24" x14ac:dyDescent="0.25">
      <c r="A2462" s="3" t="str">
        <f t="shared" si="76"/>
        <v>ΙΠΠΟΕΙΔΗΙΠΠΟΙ, ΑΡΣΕΝΙΚΟΙ, &gt; 6 ΜΗΝΩΝ, ΘΕΣΣΑΛΙΑΣ</v>
      </c>
      <c r="B2462" s="15" t="s">
        <v>4647</v>
      </c>
      <c r="C2462" s="14" t="s">
        <v>4670</v>
      </c>
      <c r="D2462" s="6">
        <v>358</v>
      </c>
      <c r="E2462" s="6">
        <v>358</v>
      </c>
      <c r="F2462" s="11" t="s">
        <v>23</v>
      </c>
      <c r="G2462" s="8" t="s">
        <v>4671</v>
      </c>
      <c r="H2462" s="8" t="s">
        <v>16</v>
      </c>
      <c r="I2462" s="9">
        <v>4925</v>
      </c>
      <c r="J2462" s="16">
        <v>3</v>
      </c>
      <c r="K2462" s="16">
        <v>31140203</v>
      </c>
      <c r="L2462" s="3" t="str">
        <f t="shared" si="77"/>
        <v>ΙΠΠΟΕΙΔΗ</v>
      </c>
    </row>
    <row r="2463" spans="1:12" s="3" customFormat="1" ht="24" x14ac:dyDescent="0.25">
      <c r="A2463" s="3" t="str">
        <f t="shared" si="76"/>
        <v>ΙΠΠΟΕΙΔΗΙΠΠΟΙ, ΑΡΣΕΝΙΚΟΙ, &gt; 6 ΜΗΝΩΝ, ΣΚΥΡΟΥ</v>
      </c>
      <c r="B2463" s="15" t="s">
        <v>4647</v>
      </c>
      <c r="C2463" s="14" t="s">
        <v>4672</v>
      </c>
      <c r="D2463" s="6">
        <v>358</v>
      </c>
      <c r="E2463" s="6">
        <v>358</v>
      </c>
      <c r="F2463" s="11" t="s">
        <v>23</v>
      </c>
      <c r="G2463" s="8" t="s">
        <v>4673</v>
      </c>
      <c r="H2463" s="8" t="s">
        <v>16</v>
      </c>
      <c r="I2463" s="9">
        <v>4926</v>
      </c>
      <c r="J2463" s="16">
        <v>3</v>
      </c>
      <c r="K2463" s="16">
        <v>31140204</v>
      </c>
      <c r="L2463" s="3" t="str">
        <f t="shared" si="77"/>
        <v>ΙΠΠΟΕΙΔΗ</v>
      </c>
    </row>
    <row r="2464" spans="1:12" s="3" customFormat="1" ht="24" x14ac:dyDescent="0.25">
      <c r="A2464" s="3" t="str">
        <f t="shared" si="76"/>
        <v>ΙΠΠΟΕΙΔΗΙΠΠΟΙ, ΑΡΣΕΝΙΚΟΙ, &gt; 6 ΜΗΝΩΝ, ΠΙΝΔΟΥ</v>
      </c>
      <c r="B2464" s="15" t="s">
        <v>4647</v>
      </c>
      <c r="C2464" s="14" t="s">
        <v>4674</v>
      </c>
      <c r="D2464" s="6">
        <v>358</v>
      </c>
      <c r="E2464" s="6">
        <v>358</v>
      </c>
      <c r="F2464" s="11" t="s">
        <v>23</v>
      </c>
      <c r="G2464" s="8" t="s">
        <v>4675</v>
      </c>
      <c r="H2464" s="8" t="s">
        <v>16</v>
      </c>
      <c r="I2464" s="9">
        <v>4927</v>
      </c>
      <c r="J2464" s="16">
        <v>3</v>
      </c>
      <c r="K2464" s="16">
        <v>31140205</v>
      </c>
      <c r="L2464" s="3" t="str">
        <f t="shared" si="77"/>
        <v>ΙΠΠΟΕΙΔΗ</v>
      </c>
    </row>
    <row r="2465" spans="1:12" s="3" customFormat="1" ht="24" x14ac:dyDescent="0.25">
      <c r="A2465" s="3" t="str">
        <f t="shared" si="76"/>
        <v>ΙΠΠΟΕΙΔΗΙΠΠΟΙ, ΑΡΣΕΝΙΚΟΙ, &gt; 6 ΜΗΝΩΝ, ΜΕΣΣΑΡΑ</v>
      </c>
      <c r="B2465" s="15" t="s">
        <v>4647</v>
      </c>
      <c r="C2465" s="14" t="s">
        <v>4676</v>
      </c>
      <c r="D2465" s="6">
        <v>358</v>
      </c>
      <c r="E2465" s="6">
        <v>358</v>
      </c>
      <c r="F2465" s="11" t="s">
        <v>23</v>
      </c>
      <c r="G2465" s="8" t="s">
        <v>4677</v>
      </c>
      <c r="H2465" s="8" t="s">
        <v>16</v>
      </c>
      <c r="I2465" s="9">
        <v>4928</v>
      </c>
      <c r="J2465" s="16">
        <v>3</v>
      </c>
      <c r="K2465" s="16">
        <v>31140206</v>
      </c>
      <c r="L2465" s="3" t="str">
        <f t="shared" si="77"/>
        <v>ΙΠΠΟΕΙΔΗ</v>
      </c>
    </row>
    <row r="2466" spans="1:12" s="3" customFormat="1" ht="24" x14ac:dyDescent="0.25">
      <c r="A2466" s="3" t="str">
        <f t="shared" si="76"/>
        <v>ΙΠΠΟΕΙΔΗΙΠΠΟΙ, ΑΡΣΕΝΙΚΟΙ &gt; 6 ΜΗΝΩΝ, ΛΟΙΠΗ</v>
      </c>
      <c r="B2466" s="15" t="s">
        <v>4647</v>
      </c>
      <c r="C2466" s="14" t="s">
        <v>4678</v>
      </c>
      <c r="D2466" s="6">
        <v>358</v>
      </c>
      <c r="E2466" s="6">
        <v>358</v>
      </c>
      <c r="F2466" s="11" t="s">
        <v>23</v>
      </c>
      <c r="G2466" s="8" t="s">
        <v>4679</v>
      </c>
      <c r="H2466" s="8" t="s">
        <v>16</v>
      </c>
      <c r="I2466" s="9">
        <v>4945</v>
      </c>
      <c r="J2466" s="16">
        <v>3</v>
      </c>
      <c r="K2466" s="16">
        <v>311404</v>
      </c>
      <c r="L2466" s="3" t="str">
        <f t="shared" si="77"/>
        <v>ΙΠΠΟΕΙΔΗ</v>
      </c>
    </row>
    <row r="2467" spans="1:12" s="3" customFormat="1" ht="24" x14ac:dyDescent="0.25">
      <c r="A2467" s="3" t="str">
        <f t="shared" si="76"/>
        <v>ΙΠΠΟΕΙΔΗΙΠΠΟΙ, ΘΗΛΥΚΟΙ, &lt; 6 ΜΗΝΩΝ, ΑΥΤΟΧΘΟΝΗ</v>
      </c>
      <c r="B2467" s="17" t="s">
        <v>4647</v>
      </c>
      <c r="C2467" s="14" t="s">
        <v>4680</v>
      </c>
      <c r="D2467" s="6">
        <v>358</v>
      </c>
      <c r="E2467" s="6">
        <v>358</v>
      </c>
      <c r="F2467" s="11" t="s">
        <v>23</v>
      </c>
      <c r="G2467" s="8" t="s">
        <v>4681</v>
      </c>
      <c r="H2467" s="8" t="s">
        <v>16</v>
      </c>
      <c r="I2467" s="9">
        <v>4805</v>
      </c>
      <c r="J2467" s="13">
        <v>3</v>
      </c>
      <c r="K2467" s="13">
        <v>312302</v>
      </c>
      <c r="L2467" s="3" t="str">
        <f t="shared" si="77"/>
        <v>ΙΠΠΟΕΙΔΗ</v>
      </c>
    </row>
    <row r="2468" spans="1:12" s="3" customFormat="1" ht="24" x14ac:dyDescent="0.25">
      <c r="A2468" s="3" t="str">
        <f t="shared" si="76"/>
        <v>ΙΠΠΟΕΙΔΗΙΠΠΟΙ, ΘΗΛΥΚΟΙ, &lt; 6 ΜΗΝΩΝ, ΗΛΕΙΑΣ</v>
      </c>
      <c r="B2468" s="15" t="s">
        <v>4647</v>
      </c>
      <c r="C2468" s="14" t="s">
        <v>4682</v>
      </c>
      <c r="D2468" s="6">
        <v>358</v>
      </c>
      <c r="E2468" s="6">
        <v>358</v>
      </c>
      <c r="F2468" s="11" t="s">
        <v>23</v>
      </c>
      <c r="G2468" s="8" t="s">
        <v>4683</v>
      </c>
      <c r="H2468" s="8" t="s">
        <v>16</v>
      </c>
      <c r="I2468" s="9">
        <v>4929</v>
      </c>
      <c r="J2468" s="16">
        <v>3</v>
      </c>
      <c r="K2468" s="16">
        <v>31230201</v>
      </c>
      <c r="L2468" s="3" t="str">
        <f t="shared" si="77"/>
        <v>ΙΠΠΟΕΙΔΗ</v>
      </c>
    </row>
    <row r="2469" spans="1:12" s="3" customFormat="1" ht="24" x14ac:dyDescent="0.25">
      <c r="A2469" s="3" t="str">
        <f t="shared" si="76"/>
        <v>ΙΠΠΟΕΙΔΗΙΠΠΟΙ, ΘΗΛΥΚΟΙ, &lt; 6 ΜΗΝΩΝ, ΠΗΝΕΙΑΣ</v>
      </c>
      <c r="B2469" s="15" t="s">
        <v>4647</v>
      </c>
      <c r="C2469" s="14" t="s">
        <v>4684</v>
      </c>
      <c r="D2469" s="6">
        <v>358</v>
      </c>
      <c r="E2469" s="6">
        <v>358</v>
      </c>
      <c r="F2469" s="11" t="s">
        <v>23</v>
      </c>
      <c r="G2469" s="8" t="s">
        <v>4685</v>
      </c>
      <c r="H2469" s="8" t="s">
        <v>16</v>
      </c>
      <c r="I2469" s="9">
        <v>4930</v>
      </c>
      <c r="J2469" s="16">
        <v>3</v>
      </c>
      <c r="K2469" s="16">
        <v>31230202</v>
      </c>
      <c r="L2469" s="3" t="str">
        <f t="shared" si="77"/>
        <v>ΙΠΠΟΕΙΔΗ</v>
      </c>
    </row>
    <row r="2470" spans="1:12" s="3" customFormat="1" ht="24" x14ac:dyDescent="0.25">
      <c r="A2470" s="3" t="str">
        <f t="shared" si="76"/>
        <v>ΙΠΠΟΕΙΔΗΙΠΠΟΙ, ΘΗΛΥΚΟΙ, &lt; 6 ΜΗΝΩΝ, ΘΕΣΣΑΛΙΑΣ</v>
      </c>
      <c r="B2470" s="15" t="s">
        <v>4647</v>
      </c>
      <c r="C2470" s="14" t="s">
        <v>4686</v>
      </c>
      <c r="D2470" s="6">
        <v>358</v>
      </c>
      <c r="E2470" s="6">
        <v>358</v>
      </c>
      <c r="F2470" s="11" t="s">
        <v>23</v>
      </c>
      <c r="G2470" s="8" t="s">
        <v>4687</v>
      </c>
      <c r="H2470" s="8" t="s">
        <v>16</v>
      </c>
      <c r="I2470" s="9">
        <v>4931</v>
      </c>
      <c r="J2470" s="16">
        <v>3</v>
      </c>
      <c r="K2470" s="16">
        <v>31230203</v>
      </c>
      <c r="L2470" s="3" t="str">
        <f t="shared" si="77"/>
        <v>ΙΠΠΟΕΙΔΗ</v>
      </c>
    </row>
    <row r="2471" spans="1:12" s="3" customFormat="1" ht="24" x14ac:dyDescent="0.25">
      <c r="A2471" s="3" t="str">
        <f t="shared" si="76"/>
        <v>ΙΠΠΟΕΙΔΗΙΠΠΟΙ, ΘΗΛΥΚΟΙ, &lt; 6 ΜΗΝΩΝ, ΣΚΥΡΟΥ</v>
      </c>
      <c r="B2471" s="15" t="s">
        <v>4647</v>
      </c>
      <c r="C2471" s="14" t="s">
        <v>4688</v>
      </c>
      <c r="D2471" s="6">
        <v>358</v>
      </c>
      <c r="E2471" s="6">
        <v>358</v>
      </c>
      <c r="F2471" s="11" t="s">
        <v>23</v>
      </c>
      <c r="G2471" s="8" t="s">
        <v>4689</v>
      </c>
      <c r="H2471" s="8" t="s">
        <v>16</v>
      </c>
      <c r="I2471" s="9">
        <v>4932</v>
      </c>
      <c r="J2471" s="16">
        <v>3</v>
      </c>
      <c r="K2471" s="16">
        <v>31230204</v>
      </c>
      <c r="L2471" s="3" t="str">
        <f t="shared" si="77"/>
        <v>ΙΠΠΟΕΙΔΗ</v>
      </c>
    </row>
    <row r="2472" spans="1:12" s="3" customFormat="1" ht="24" x14ac:dyDescent="0.25">
      <c r="A2472" s="3" t="str">
        <f t="shared" si="76"/>
        <v>ΙΠΠΟΕΙΔΗΙΠΠΟΙ, ΘΗΛΥΚΟΙ, &lt; 6 ΜΗΝΩΝ, ΠΙΝΔΟΥ</v>
      </c>
      <c r="B2472" s="15" t="s">
        <v>4647</v>
      </c>
      <c r="C2472" s="14" t="s">
        <v>4690</v>
      </c>
      <c r="D2472" s="6">
        <v>358</v>
      </c>
      <c r="E2472" s="6">
        <v>358</v>
      </c>
      <c r="F2472" s="11" t="s">
        <v>23</v>
      </c>
      <c r="G2472" s="8" t="s">
        <v>4691</v>
      </c>
      <c r="H2472" s="8" t="s">
        <v>16</v>
      </c>
      <c r="I2472" s="9">
        <v>4933</v>
      </c>
      <c r="J2472" s="16">
        <v>3</v>
      </c>
      <c r="K2472" s="16">
        <v>31230205</v>
      </c>
      <c r="L2472" s="3" t="str">
        <f t="shared" si="77"/>
        <v>ΙΠΠΟΕΙΔΗ</v>
      </c>
    </row>
    <row r="2473" spans="1:12" s="3" customFormat="1" ht="24" x14ac:dyDescent="0.25">
      <c r="A2473" s="3" t="str">
        <f t="shared" si="76"/>
        <v>ΙΠΠΟΕΙΔΗΙΠΠΟΙ, ΘΗΛΥΚΟΙ, &lt; 6 ΜΗΝΩΝ, ΜΕΣΣΑΡΑ</v>
      </c>
      <c r="B2473" s="15" t="s">
        <v>4647</v>
      </c>
      <c r="C2473" s="14" t="s">
        <v>4692</v>
      </c>
      <c r="D2473" s="6">
        <v>358</v>
      </c>
      <c r="E2473" s="6">
        <v>358</v>
      </c>
      <c r="F2473" s="11" t="s">
        <v>23</v>
      </c>
      <c r="G2473" s="8" t="s">
        <v>4693</v>
      </c>
      <c r="H2473" s="8" t="s">
        <v>16</v>
      </c>
      <c r="I2473" s="9">
        <v>4934</v>
      </c>
      <c r="J2473" s="16">
        <v>3</v>
      </c>
      <c r="K2473" s="16">
        <v>31230206</v>
      </c>
      <c r="L2473" s="3" t="str">
        <f t="shared" si="77"/>
        <v>ΙΠΠΟΕΙΔΗ</v>
      </c>
    </row>
    <row r="2474" spans="1:12" s="3" customFormat="1" ht="24" x14ac:dyDescent="0.25">
      <c r="A2474" s="3" t="str">
        <f t="shared" si="76"/>
        <v>ΙΠΠΟΕΙΔΗΙΠΠΟΙ, ΘΗΛΥΚΟΙ, &gt; 6 ΜΗΝΩΝ, ΑΥΤΟΧΘΟΝΗ</v>
      </c>
      <c r="B2474" s="17" t="s">
        <v>4647</v>
      </c>
      <c r="C2474" s="14" t="s">
        <v>4694</v>
      </c>
      <c r="D2474" s="6">
        <v>358</v>
      </c>
      <c r="E2474" s="6">
        <v>358</v>
      </c>
      <c r="F2474" s="11" t="s">
        <v>23</v>
      </c>
      <c r="G2474" s="8" t="s">
        <v>4695</v>
      </c>
      <c r="H2474" s="8" t="s">
        <v>16</v>
      </c>
      <c r="I2474" s="9">
        <v>4806</v>
      </c>
      <c r="J2474" s="13">
        <v>3</v>
      </c>
      <c r="K2474" s="13">
        <v>312402</v>
      </c>
      <c r="L2474" s="3" t="str">
        <f t="shared" si="77"/>
        <v>ΙΠΠΟΕΙΔΗ</v>
      </c>
    </row>
    <row r="2475" spans="1:12" s="3" customFormat="1" ht="24" x14ac:dyDescent="0.25">
      <c r="A2475" s="3" t="str">
        <f t="shared" si="76"/>
        <v>ΙΠΠΟΕΙΔΗΙΠΠΟΙ, ΘΗΛΥΚΟΙ, &gt; 6 ΜΗΝΩΝ, ΗΛΕΙΑΣ</v>
      </c>
      <c r="B2475" s="15" t="s">
        <v>4647</v>
      </c>
      <c r="C2475" s="14" t="s">
        <v>4696</v>
      </c>
      <c r="D2475" s="6">
        <v>358</v>
      </c>
      <c r="E2475" s="6">
        <v>358</v>
      </c>
      <c r="F2475" s="11" t="s">
        <v>23</v>
      </c>
      <c r="G2475" s="8" t="s">
        <v>4697</v>
      </c>
      <c r="H2475" s="8" t="s">
        <v>16</v>
      </c>
      <c r="I2475" s="9">
        <v>4935</v>
      </c>
      <c r="J2475" s="16">
        <v>3</v>
      </c>
      <c r="K2475" s="16">
        <v>31240201</v>
      </c>
      <c r="L2475" s="3" t="str">
        <f t="shared" si="77"/>
        <v>ΙΠΠΟΕΙΔΗ</v>
      </c>
    </row>
    <row r="2476" spans="1:12" s="3" customFormat="1" ht="24" x14ac:dyDescent="0.25">
      <c r="A2476" s="3" t="str">
        <f t="shared" si="76"/>
        <v>ΙΠΠΟΕΙΔΗΙΠΠΟΙ, ΘΗΛΥΚΟΙ, &gt; 6 ΜΗΝΩΝ, ΠΗΝΕΙΑΣ</v>
      </c>
      <c r="B2476" s="15" t="s">
        <v>4647</v>
      </c>
      <c r="C2476" s="14" t="s">
        <v>4698</v>
      </c>
      <c r="D2476" s="6">
        <v>358</v>
      </c>
      <c r="E2476" s="6">
        <v>358</v>
      </c>
      <c r="F2476" s="11" t="s">
        <v>23</v>
      </c>
      <c r="G2476" s="8" t="s">
        <v>4699</v>
      </c>
      <c r="H2476" s="8" t="s">
        <v>16</v>
      </c>
      <c r="I2476" s="9">
        <v>4936</v>
      </c>
      <c r="J2476" s="16">
        <v>3</v>
      </c>
      <c r="K2476" s="16">
        <v>31240202</v>
      </c>
      <c r="L2476" s="3" t="str">
        <f t="shared" si="77"/>
        <v>ΙΠΠΟΕΙΔΗ</v>
      </c>
    </row>
    <row r="2477" spans="1:12" s="3" customFormat="1" ht="24" x14ac:dyDescent="0.25">
      <c r="A2477" s="3" t="str">
        <f t="shared" si="76"/>
        <v>ΙΠΠΟΕΙΔΗΙΠΠΟΙ, ΘΗΛΥΚΟΙ, &gt; 6 ΜΗΝΩΝ, ΘΕΣΣΑΛΙΑΣ</v>
      </c>
      <c r="B2477" s="15" t="s">
        <v>4647</v>
      </c>
      <c r="C2477" s="14" t="s">
        <v>4700</v>
      </c>
      <c r="D2477" s="6">
        <v>358</v>
      </c>
      <c r="E2477" s="6">
        <v>358</v>
      </c>
      <c r="F2477" s="11" t="s">
        <v>23</v>
      </c>
      <c r="G2477" s="8" t="s">
        <v>4701</v>
      </c>
      <c r="H2477" s="8" t="s">
        <v>16</v>
      </c>
      <c r="I2477" s="9">
        <v>4937</v>
      </c>
      <c r="J2477" s="16">
        <v>3</v>
      </c>
      <c r="K2477" s="16">
        <v>31240203</v>
      </c>
      <c r="L2477" s="3" t="str">
        <f t="shared" si="77"/>
        <v>ΙΠΠΟΕΙΔΗ</v>
      </c>
    </row>
    <row r="2478" spans="1:12" s="3" customFormat="1" ht="24" x14ac:dyDescent="0.25">
      <c r="A2478" s="3" t="str">
        <f t="shared" si="76"/>
        <v>ΙΠΠΟΕΙΔΗΙΠΠΟΙ, ΘΗΛΥΚΟΙ, &gt; 6 ΜΗΝΩΝ, ΣΚΥΡΟΥ</v>
      </c>
      <c r="B2478" s="15" t="s">
        <v>4647</v>
      </c>
      <c r="C2478" s="14" t="s">
        <v>4702</v>
      </c>
      <c r="D2478" s="6">
        <v>358</v>
      </c>
      <c r="E2478" s="6">
        <v>358</v>
      </c>
      <c r="F2478" s="11" t="s">
        <v>23</v>
      </c>
      <c r="G2478" s="8" t="s">
        <v>4703</v>
      </c>
      <c r="H2478" s="8" t="s">
        <v>16</v>
      </c>
      <c r="I2478" s="9">
        <v>4938</v>
      </c>
      <c r="J2478" s="16">
        <v>3</v>
      </c>
      <c r="K2478" s="16">
        <v>31240204</v>
      </c>
      <c r="L2478" s="3" t="str">
        <f t="shared" si="77"/>
        <v>ΙΠΠΟΕΙΔΗ</v>
      </c>
    </row>
    <row r="2479" spans="1:12" s="3" customFormat="1" ht="24" x14ac:dyDescent="0.25">
      <c r="A2479" s="3" t="str">
        <f t="shared" si="76"/>
        <v>ΙΠΠΟΕΙΔΗΙΠΠΟΙ, ΘΗΛΥΚΟΙ, &gt; 6 ΜΗΝΩΝ, ΠΙΝΔΟΥ</v>
      </c>
      <c r="B2479" s="15" t="s">
        <v>4647</v>
      </c>
      <c r="C2479" s="14" t="s">
        <v>4704</v>
      </c>
      <c r="D2479" s="6">
        <v>358</v>
      </c>
      <c r="E2479" s="6">
        <v>358</v>
      </c>
      <c r="F2479" s="11" t="s">
        <v>23</v>
      </c>
      <c r="G2479" s="8" t="s">
        <v>4705</v>
      </c>
      <c r="H2479" s="8" t="s">
        <v>16</v>
      </c>
      <c r="I2479" s="9">
        <v>4939</v>
      </c>
      <c r="J2479" s="16">
        <v>3</v>
      </c>
      <c r="K2479" s="16">
        <v>31240205</v>
      </c>
      <c r="L2479" s="3" t="str">
        <f t="shared" si="77"/>
        <v>ΙΠΠΟΕΙΔΗ</v>
      </c>
    </row>
    <row r="2480" spans="1:12" s="3" customFormat="1" ht="24" x14ac:dyDescent="0.25">
      <c r="A2480" s="3" t="str">
        <f t="shared" si="76"/>
        <v>ΙΠΠΟΕΙΔΗΙΠΠΟΙ, ΘΗΛΥΚΟΙ, &gt; 6 ΜΗΝΩΝ, ΜΕΣΣΑΡΑ</v>
      </c>
      <c r="B2480" s="15" t="s">
        <v>4647</v>
      </c>
      <c r="C2480" s="14" t="s">
        <v>4706</v>
      </c>
      <c r="D2480" s="6">
        <v>358</v>
      </c>
      <c r="E2480" s="6">
        <v>358</v>
      </c>
      <c r="F2480" s="11" t="s">
        <v>23</v>
      </c>
      <c r="G2480" s="8" t="s">
        <v>4707</v>
      </c>
      <c r="H2480" s="8" t="s">
        <v>16</v>
      </c>
      <c r="I2480" s="9">
        <v>4940</v>
      </c>
      <c r="J2480" s="16">
        <v>3</v>
      </c>
      <c r="K2480" s="16">
        <v>31240206</v>
      </c>
      <c r="L2480" s="3" t="str">
        <f t="shared" si="77"/>
        <v>ΙΠΠΟΕΙΔΗ</v>
      </c>
    </row>
    <row r="2481" spans="1:12" s="3" customFormat="1" ht="24" x14ac:dyDescent="0.25">
      <c r="A2481" s="3" t="str">
        <f t="shared" si="76"/>
        <v>ΙΠΠΟΕΙΔΗΙΠΠΟΙ, ΘΗΛΥΚΟΙ &gt; 6 ΜΗΝΩΝ, ΛΟΙΠΗ</v>
      </c>
      <c r="B2481" s="15" t="s">
        <v>4647</v>
      </c>
      <c r="C2481" s="14" t="s">
        <v>4708</v>
      </c>
      <c r="D2481" s="6">
        <v>358</v>
      </c>
      <c r="E2481" s="6">
        <v>358</v>
      </c>
      <c r="F2481" s="11" t="s">
        <v>23</v>
      </c>
      <c r="G2481" s="8" t="s">
        <v>4709</v>
      </c>
      <c r="H2481" s="8" t="s">
        <v>16</v>
      </c>
      <c r="I2481" s="9">
        <v>4946</v>
      </c>
      <c r="J2481" s="16">
        <v>3</v>
      </c>
      <c r="K2481" s="16">
        <v>312404</v>
      </c>
      <c r="L2481" s="3" t="str">
        <f t="shared" si="77"/>
        <v>ΙΠΠΟΕΙΔΗ</v>
      </c>
    </row>
    <row r="2482" spans="1:12" s="3" customFormat="1" ht="24" x14ac:dyDescent="0.25">
      <c r="A2482" s="3" t="str">
        <f t="shared" si="76"/>
        <v>ΙΠΠΟΕΙΔΗΗΜΙΟΝΟΙ, &lt; 6 ΜΗΝΩΝ</v>
      </c>
      <c r="B2482" s="17" t="s">
        <v>4647</v>
      </c>
      <c r="C2482" s="14" t="s">
        <v>4710</v>
      </c>
      <c r="D2482" s="6">
        <v>358</v>
      </c>
      <c r="E2482" s="6">
        <v>358</v>
      </c>
      <c r="F2482" s="11" t="s">
        <v>23</v>
      </c>
      <c r="G2482" s="8" t="s">
        <v>4711</v>
      </c>
      <c r="H2482" s="8" t="s">
        <v>16</v>
      </c>
      <c r="I2482" s="9">
        <v>4807</v>
      </c>
      <c r="J2482" s="13">
        <v>3</v>
      </c>
      <c r="K2482" s="13">
        <v>320300</v>
      </c>
      <c r="L2482" s="3" t="str">
        <f t="shared" si="77"/>
        <v>ΙΠΠΟΕΙΔΗ</v>
      </c>
    </row>
    <row r="2483" spans="1:12" s="3" customFormat="1" ht="24" x14ac:dyDescent="0.25">
      <c r="A2483" s="3" t="str">
        <f t="shared" si="76"/>
        <v>ΙΠΠΟΕΙΔΗΗΜΙΟΝΟΙ, &gt; 6 ΜΗΝΩΝ</v>
      </c>
      <c r="B2483" s="17" t="s">
        <v>4647</v>
      </c>
      <c r="C2483" s="14" t="s">
        <v>4712</v>
      </c>
      <c r="D2483" s="6">
        <v>358</v>
      </c>
      <c r="E2483" s="6">
        <v>358</v>
      </c>
      <c r="F2483" s="11" t="s">
        <v>23</v>
      </c>
      <c r="G2483" s="8" t="s">
        <v>4713</v>
      </c>
      <c r="H2483" s="8" t="s">
        <v>16</v>
      </c>
      <c r="I2483" s="9">
        <v>4808</v>
      </c>
      <c r="J2483" s="13">
        <v>3</v>
      </c>
      <c r="K2483" s="13">
        <v>320400</v>
      </c>
      <c r="L2483" s="3" t="str">
        <f t="shared" si="77"/>
        <v>ΙΠΠΟΕΙΔΗ</v>
      </c>
    </row>
    <row r="2484" spans="1:12" s="3" customFormat="1" ht="15" customHeight="1" x14ac:dyDescent="0.25">
      <c r="A2484" s="3" t="str">
        <f t="shared" si="76"/>
        <v>ΙΠΠΟΕΙΔΗΟΝΟΙ, &lt; 6 ΜΗΝΩΝ</v>
      </c>
      <c r="B2484" s="17" t="s">
        <v>4647</v>
      </c>
      <c r="C2484" s="14" t="s">
        <v>4714</v>
      </c>
      <c r="D2484" s="6">
        <v>358</v>
      </c>
      <c r="E2484" s="6">
        <v>358</v>
      </c>
      <c r="F2484" s="11" t="s">
        <v>23</v>
      </c>
      <c r="G2484" s="8" t="s">
        <v>4715</v>
      </c>
      <c r="H2484" s="8" t="s">
        <v>16</v>
      </c>
      <c r="I2484" s="9">
        <v>4809</v>
      </c>
      <c r="J2484" s="13">
        <v>3</v>
      </c>
      <c r="K2484" s="13">
        <v>330300</v>
      </c>
      <c r="L2484" s="3" t="str">
        <f t="shared" si="77"/>
        <v>ΙΠΠΟΕΙΔΗ</v>
      </c>
    </row>
    <row r="2485" spans="1:12" s="3" customFormat="1" ht="15" customHeight="1" x14ac:dyDescent="0.25">
      <c r="A2485" s="3" t="str">
        <f t="shared" si="76"/>
        <v>ΙΠΠΟΕΙΔΗΟΝΟΙ, &gt; 6 ΜΗΝΩΝ</v>
      </c>
      <c r="B2485" s="17" t="s">
        <v>4647</v>
      </c>
      <c r="C2485" s="14" t="s">
        <v>4716</v>
      </c>
      <c r="D2485" s="6">
        <v>358</v>
      </c>
      <c r="E2485" s="6">
        <v>358</v>
      </c>
      <c r="F2485" s="11" t="s">
        <v>23</v>
      </c>
      <c r="G2485" s="8" t="s">
        <v>4717</v>
      </c>
      <c r="H2485" s="8" t="s">
        <v>16</v>
      </c>
      <c r="I2485" s="9">
        <v>4810</v>
      </c>
      <c r="J2485" s="13">
        <v>3</v>
      </c>
      <c r="K2485" s="13">
        <v>330400</v>
      </c>
      <c r="L2485" s="3" t="str">
        <f t="shared" si="77"/>
        <v>ΙΠΠΟΕΙΔΗ</v>
      </c>
    </row>
    <row r="2486" spans="1:12" s="3" customFormat="1" ht="15" customHeight="1" x14ac:dyDescent="0.25">
      <c r="A2486" s="3" t="str">
        <f t="shared" si="76"/>
        <v>ΚΑΠΝΟΣΚΑΠΝΟΣ ΜΠΑΣΜΑΣ</v>
      </c>
      <c r="B2486" s="18" t="s">
        <v>4718</v>
      </c>
      <c r="C2486" s="19" t="s">
        <v>4719</v>
      </c>
      <c r="D2486" s="6">
        <v>6029.93</v>
      </c>
      <c r="E2486" s="6">
        <v>5575.15</v>
      </c>
      <c r="F2486" s="6" t="s">
        <v>14</v>
      </c>
      <c r="G2486" s="8" t="s">
        <v>4720</v>
      </c>
      <c r="H2486" s="8" t="s">
        <v>27</v>
      </c>
      <c r="I2486" s="9">
        <v>4062</v>
      </c>
      <c r="J2486" s="20">
        <v>17</v>
      </c>
      <c r="K2486" s="20">
        <v>1700</v>
      </c>
      <c r="L2486" s="3" t="str">
        <f t="shared" si="77"/>
        <v>ΚΑΠΝΟΣ</v>
      </c>
    </row>
    <row r="2487" spans="1:12" s="3" customFormat="1" ht="24" x14ac:dyDescent="0.25">
      <c r="A2487" s="3" t="str">
        <f t="shared" si="76"/>
        <v>ΚΑΠΝΟΣΚΑΠΝΟΣ ΑΡΓΥΡΟΥΔΗΣ 14Α</v>
      </c>
      <c r="B2487" s="4" t="s">
        <v>4718</v>
      </c>
      <c r="C2487" s="5" t="s">
        <v>4721</v>
      </c>
      <c r="D2487" s="6">
        <v>6029.93</v>
      </c>
      <c r="E2487" s="6">
        <v>5575.15</v>
      </c>
      <c r="F2487" s="7" t="s">
        <v>14</v>
      </c>
      <c r="G2487" s="8" t="s">
        <v>4722</v>
      </c>
      <c r="H2487" s="8" t="s">
        <v>16</v>
      </c>
      <c r="I2487" s="9">
        <v>1289</v>
      </c>
      <c r="J2487" s="10">
        <v>17</v>
      </c>
      <c r="K2487" s="10">
        <v>17001</v>
      </c>
      <c r="L2487" s="3" t="str">
        <f t="shared" si="77"/>
        <v>ΚΑΠΝΟΣ</v>
      </c>
    </row>
    <row r="2488" spans="1:12" s="3" customFormat="1" ht="24" x14ac:dyDescent="0.25">
      <c r="A2488" s="3" t="str">
        <f t="shared" si="76"/>
        <v>ΚΑΠΝΟΣΚΑΠΝΟΣ ΔΟΞΑΤΟ</v>
      </c>
      <c r="B2488" s="4" t="s">
        <v>4718</v>
      </c>
      <c r="C2488" s="5" t="s">
        <v>4723</v>
      </c>
      <c r="D2488" s="6">
        <v>6029.93</v>
      </c>
      <c r="E2488" s="6">
        <v>5575.15</v>
      </c>
      <c r="F2488" s="7" t="s">
        <v>14</v>
      </c>
      <c r="G2488" s="8" t="s">
        <v>4724</v>
      </c>
      <c r="H2488" s="8" t="s">
        <v>16</v>
      </c>
      <c r="I2488" s="9">
        <v>1285</v>
      </c>
      <c r="J2488" s="10">
        <v>17</v>
      </c>
      <c r="K2488" s="10">
        <v>17002</v>
      </c>
      <c r="L2488" s="3" t="str">
        <f t="shared" si="77"/>
        <v>ΚΑΠΝΟΣ</v>
      </c>
    </row>
    <row r="2489" spans="1:12" s="3" customFormat="1" ht="24" x14ac:dyDescent="0.25">
      <c r="A2489" s="3" t="str">
        <f t="shared" si="76"/>
        <v>ΚΑΠΝΟΣΚΑΠΝΟΣ ΞΑΝΘΗ 81</v>
      </c>
      <c r="B2489" s="4" t="s">
        <v>4718</v>
      </c>
      <c r="C2489" s="5" t="s">
        <v>4725</v>
      </c>
      <c r="D2489" s="6">
        <v>6029.93</v>
      </c>
      <c r="E2489" s="6">
        <v>5575.15</v>
      </c>
      <c r="F2489" s="7" t="s">
        <v>14</v>
      </c>
      <c r="G2489" s="8" t="s">
        <v>4726</v>
      </c>
      <c r="H2489" s="8" t="s">
        <v>16</v>
      </c>
      <c r="I2489" s="9">
        <v>1286</v>
      </c>
      <c r="J2489" s="10">
        <v>17</v>
      </c>
      <c r="K2489" s="10">
        <v>17003</v>
      </c>
      <c r="L2489" s="3" t="str">
        <f t="shared" si="77"/>
        <v>ΚΑΠΝΟΣ</v>
      </c>
    </row>
    <row r="2490" spans="1:12" s="3" customFormat="1" ht="24" x14ac:dyDescent="0.25">
      <c r="A2490" s="3" t="str">
        <f t="shared" si="76"/>
        <v>ΚΑΠΝΟΣΚΑΠΝΟΣ ΔΡΑΜΑ Ζ7</v>
      </c>
      <c r="B2490" s="4" t="s">
        <v>4718</v>
      </c>
      <c r="C2490" s="5" t="s">
        <v>4727</v>
      </c>
      <c r="D2490" s="6">
        <v>6029.93</v>
      </c>
      <c r="E2490" s="6">
        <v>5575.15</v>
      </c>
      <c r="F2490" s="7" t="s">
        <v>14</v>
      </c>
      <c r="G2490" s="8" t="s">
        <v>4728</v>
      </c>
      <c r="H2490" s="8" t="s">
        <v>16</v>
      </c>
      <c r="I2490" s="9">
        <v>1279</v>
      </c>
      <c r="J2490" s="10">
        <v>17</v>
      </c>
      <c r="K2490" s="10">
        <v>17004</v>
      </c>
      <c r="L2490" s="3" t="str">
        <f t="shared" si="77"/>
        <v>ΚΑΠΝΟΣ</v>
      </c>
    </row>
    <row r="2491" spans="1:12" s="3" customFormat="1" ht="15" customHeight="1" x14ac:dyDescent="0.25">
      <c r="A2491" s="3" t="str">
        <f t="shared" si="76"/>
        <v>ΚΑΠΝΟΣΚΑΠΝΟΣ ΚΑΡΑΤΖΟΒΑ 7</v>
      </c>
      <c r="B2491" s="4" t="s">
        <v>4718</v>
      </c>
      <c r="C2491" s="5" t="s">
        <v>4729</v>
      </c>
      <c r="D2491" s="6">
        <v>6029.93</v>
      </c>
      <c r="E2491" s="6">
        <v>5575.15</v>
      </c>
      <c r="F2491" s="7" t="s">
        <v>14</v>
      </c>
      <c r="G2491" s="8" t="s">
        <v>4730</v>
      </c>
      <c r="H2491" s="8" t="s">
        <v>16</v>
      </c>
      <c r="I2491" s="9">
        <v>1273</v>
      </c>
      <c r="J2491" s="10">
        <v>17</v>
      </c>
      <c r="K2491" s="10">
        <v>17005</v>
      </c>
      <c r="L2491" s="3" t="str">
        <f t="shared" si="77"/>
        <v>ΚΑΠΝΟΣ</v>
      </c>
    </row>
    <row r="2492" spans="1:12" s="3" customFormat="1" ht="15" customHeight="1" x14ac:dyDescent="0.25">
      <c r="A2492" s="3" t="str">
        <f t="shared" si="76"/>
        <v>ΚΑΠΝΟΣΚΑΠΝΟΣ ΜΑΥΡΟΣ ΥΠΑΤΗΣ</v>
      </c>
      <c r="B2492" s="4" t="s">
        <v>4718</v>
      </c>
      <c r="C2492" s="5" t="s">
        <v>4731</v>
      </c>
      <c r="D2492" s="6">
        <v>6029.93</v>
      </c>
      <c r="E2492" s="6">
        <v>5575.15</v>
      </c>
      <c r="F2492" s="7" t="s">
        <v>14</v>
      </c>
      <c r="G2492" s="8" t="s">
        <v>4732</v>
      </c>
      <c r="H2492" s="8" t="s">
        <v>16</v>
      </c>
      <c r="I2492" s="9">
        <v>1283</v>
      </c>
      <c r="J2492" s="10">
        <v>17</v>
      </c>
      <c r="K2492" s="10">
        <v>17006</v>
      </c>
      <c r="L2492" s="3" t="str">
        <f t="shared" si="77"/>
        <v>ΚΑΠΝΟΣ</v>
      </c>
    </row>
    <row r="2493" spans="1:12" s="3" customFormat="1" ht="15" customHeight="1" x14ac:dyDescent="0.25">
      <c r="A2493" s="3" t="str">
        <f t="shared" si="76"/>
        <v>ΚΑΠΝΟΣΚΑΠΝΟΣ ΝΙΓΡΙΤΑ 34</v>
      </c>
      <c r="B2493" s="4" t="s">
        <v>4718</v>
      </c>
      <c r="C2493" s="5" t="s">
        <v>4733</v>
      </c>
      <c r="D2493" s="6">
        <v>6029.93</v>
      </c>
      <c r="E2493" s="6">
        <v>5575.15</v>
      </c>
      <c r="F2493" s="7" t="s">
        <v>14</v>
      </c>
      <c r="G2493" s="8" t="s">
        <v>4734</v>
      </c>
      <c r="H2493" s="8" t="s">
        <v>16</v>
      </c>
      <c r="I2493" s="9">
        <v>1291</v>
      </c>
      <c r="J2493" s="10">
        <v>17</v>
      </c>
      <c r="K2493" s="10">
        <v>17007</v>
      </c>
      <c r="L2493" s="3" t="str">
        <f t="shared" si="77"/>
        <v>ΚΑΠΝΟΣ</v>
      </c>
    </row>
    <row r="2494" spans="1:12" s="3" customFormat="1" ht="15" customHeight="1" x14ac:dyDescent="0.25">
      <c r="A2494" s="3" t="str">
        <f t="shared" si="76"/>
        <v>ΚΑΠΝΟΣΚΑΠΝΟΣ ΝΙΚΗ</v>
      </c>
      <c r="B2494" s="4" t="s">
        <v>4718</v>
      </c>
      <c r="C2494" s="5" t="s">
        <v>4735</v>
      </c>
      <c r="D2494" s="6">
        <v>6029.93</v>
      </c>
      <c r="E2494" s="6">
        <v>5575.15</v>
      </c>
      <c r="F2494" s="7" t="s">
        <v>14</v>
      </c>
      <c r="G2494" s="8" t="s">
        <v>4736</v>
      </c>
      <c r="H2494" s="8" t="s">
        <v>16</v>
      </c>
      <c r="I2494" s="9">
        <v>1293</v>
      </c>
      <c r="J2494" s="10">
        <v>17</v>
      </c>
      <c r="K2494" s="10">
        <v>17008</v>
      </c>
      <c r="L2494" s="3" t="str">
        <f t="shared" si="77"/>
        <v>ΚΑΠΝΟΣ</v>
      </c>
    </row>
    <row r="2495" spans="1:12" s="3" customFormat="1" ht="15" customHeight="1" x14ac:dyDescent="0.25">
      <c r="A2495" s="3" t="str">
        <f t="shared" si="76"/>
        <v>ΚΑΠΝΟΣΚΑΠΝΟΣ ΞΑΝΘΗ 2Α</v>
      </c>
      <c r="B2495" s="4" t="s">
        <v>4718</v>
      </c>
      <c r="C2495" s="5" t="s">
        <v>4737</v>
      </c>
      <c r="D2495" s="6">
        <v>6029.93</v>
      </c>
      <c r="E2495" s="6">
        <v>5575.15</v>
      </c>
      <c r="F2495" s="7" t="s">
        <v>14</v>
      </c>
      <c r="G2495" s="8" t="s">
        <v>4738</v>
      </c>
      <c r="H2495" s="8" t="s">
        <v>16</v>
      </c>
      <c r="I2495" s="9">
        <v>1280</v>
      </c>
      <c r="J2495" s="10">
        <v>17</v>
      </c>
      <c r="K2495" s="10">
        <v>17009</v>
      </c>
      <c r="L2495" s="3" t="str">
        <f t="shared" si="77"/>
        <v>ΚΑΠΝΟΣ</v>
      </c>
    </row>
    <row r="2496" spans="1:12" s="3" customFormat="1" ht="15" customHeight="1" x14ac:dyDescent="0.25">
      <c r="A2496" s="3" t="str">
        <f t="shared" si="76"/>
        <v>ΚΑΠΝΟΣΚΑΠΝΟΣ ΑΡΓΟΥΣ ΠΡΟΣΥΜΝΗ</v>
      </c>
      <c r="B2496" s="4" t="s">
        <v>4718</v>
      </c>
      <c r="C2496" s="5" t="s">
        <v>4739</v>
      </c>
      <c r="D2496" s="6">
        <v>6029.93</v>
      </c>
      <c r="E2496" s="6">
        <v>5575.15</v>
      </c>
      <c r="F2496" s="7" t="s">
        <v>14</v>
      </c>
      <c r="G2496" s="8" t="s">
        <v>4740</v>
      </c>
      <c r="H2496" s="8" t="s">
        <v>16</v>
      </c>
      <c r="I2496" s="9">
        <v>1282</v>
      </c>
      <c r="J2496" s="10">
        <v>17</v>
      </c>
      <c r="K2496" s="10">
        <v>17010</v>
      </c>
      <c r="L2496" s="3" t="str">
        <f t="shared" si="77"/>
        <v>ΚΑΠΝΟΣ</v>
      </c>
    </row>
    <row r="2497" spans="1:12" s="3" customFormat="1" ht="24" x14ac:dyDescent="0.25">
      <c r="A2497" s="3" t="str">
        <f t="shared" si="76"/>
        <v>ΚΑΠΝΟΣΚΑΠΝΟΣ ΖΙΧΝΑ ΠΑΓΓΑΙΟΥ</v>
      </c>
      <c r="B2497" s="4" t="s">
        <v>4718</v>
      </c>
      <c r="C2497" s="5" t="s">
        <v>4741</v>
      </c>
      <c r="D2497" s="6">
        <v>6029.93</v>
      </c>
      <c r="E2497" s="6">
        <v>5575.15</v>
      </c>
      <c r="F2497" s="7" t="s">
        <v>14</v>
      </c>
      <c r="G2497" s="8" t="s">
        <v>4742</v>
      </c>
      <c r="H2497" s="8" t="s">
        <v>16</v>
      </c>
      <c r="I2497" s="9">
        <v>1278</v>
      </c>
      <c r="J2497" s="10">
        <v>17</v>
      </c>
      <c r="K2497" s="10">
        <v>17011</v>
      </c>
      <c r="L2497" s="3" t="str">
        <f t="shared" si="77"/>
        <v>ΚΑΠΝΟΣ</v>
      </c>
    </row>
    <row r="2498" spans="1:12" s="3" customFormat="1" ht="24" x14ac:dyDescent="0.25">
      <c r="A2498" s="3" t="str">
        <f t="shared" si="76"/>
        <v>ΚΑΠΝΟΣΚΑΠΝΟΣ ΠΤΟΛΕΜΑΙΔΑ 63</v>
      </c>
      <c r="B2498" s="4" t="s">
        <v>4718</v>
      </c>
      <c r="C2498" s="5" t="s">
        <v>4743</v>
      </c>
      <c r="D2498" s="6">
        <v>6029.93</v>
      </c>
      <c r="E2498" s="6">
        <v>5575.15</v>
      </c>
      <c r="F2498" s="7" t="s">
        <v>14</v>
      </c>
      <c r="G2498" s="8" t="s">
        <v>4744</v>
      </c>
      <c r="H2498" s="8" t="s">
        <v>16</v>
      </c>
      <c r="I2498" s="9">
        <v>1277</v>
      </c>
      <c r="J2498" s="10">
        <v>17</v>
      </c>
      <c r="K2498" s="10">
        <v>17012</v>
      </c>
      <c r="L2498" s="3" t="str">
        <f t="shared" si="77"/>
        <v>ΚΑΠΝΟΣ</v>
      </c>
    </row>
    <row r="2499" spans="1:12" s="3" customFormat="1" ht="24" x14ac:dyDescent="0.25">
      <c r="A2499" s="3" t="str">
        <f t="shared" ref="A2499:A2562" si="78">_xlfn.CONCAT(B2499,C2499)</f>
        <v>ΚΑΠΝΟΣΚΑΠΝΟΣ ΣΑΜΨΟΥΣ 79</v>
      </c>
      <c r="B2499" s="4" t="s">
        <v>4718</v>
      </c>
      <c r="C2499" s="5" t="s">
        <v>4745</v>
      </c>
      <c r="D2499" s="6">
        <v>6029.93</v>
      </c>
      <c r="E2499" s="6">
        <v>5575.15</v>
      </c>
      <c r="F2499" s="7" t="s">
        <v>14</v>
      </c>
      <c r="G2499" s="8" t="s">
        <v>4746</v>
      </c>
      <c r="H2499" s="8" t="s">
        <v>16</v>
      </c>
      <c r="I2499" s="9">
        <v>1276</v>
      </c>
      <c r="J2499" s="10">
        <v>17</v>
      </c>
      <c r="K2499" s="10">
        <v>17013</v>
      </c>
      <c r="L2499" s="3" t="str">
        <f t="shared" ref="L2499:L2562" si="79">IFERROR(SUBSTITUTE(SUBSTITUTE(SUBSTITUTE(SUBSTITUTE(SUBSTITUTE(B2499, "-", "_"), " ", "_"), ",", ""), "(", ""), ")", ""), B2499)</f>
        <v>ΚΑΠΝΟΣ</v>
      </c>
    </row>
    <row r="2500" spans="1:12" s="3" customFormat="1" ht="24" x14ac:dyDescent="0.25">
      <c r="A2500" s="3" t="str">
        <f t="shared" si="78"/>
        <v>ΚΑΠΝΟΣΚΑΠΝΟΣ ΤΡΑΠΕΖΟΥΣ</v>
      </c>
      <c r="B2500" s="4" t="s">
        <v>4718</v>
      </c>
      <c r="C2500" s="5" t="s">
        <v>4747</v>
      </c>
      <c r="D2500" s="6">
        <v>6029.93</v>
      </c>
      <c r="E2500" s="6">
        <v>5575.15</v>
      </c>
      <c r="F2500" s="7" t="s">
        <v>14</v>
      </c>
      <c r="G2500" s="8" t="s">
        <v>4748</v>
      </c>
      <c r="H2500" s="8" t="s">
        <v>16</v>
      </c>
      <c r="I2500" s="9">
        <v>1275</v>
      </c>
      <c r="J2500" s="10">
        <v>17</v>
      </c>
      <c r="K2500" s="10">
        <v>17014</v>
      </c>
      <c r="L2500" s="3" t="str">
        <f t="shared" si="79"/>
        <v>ΚΑΠΝΟΣ</v>
      </c>
    </row>
    <row r="2501" spans="1:12" s="3" customFormat="1" ht="24" x14ac:dyDescent="0.25">
      <c r="A2501" s="3" t="str">
        <f t="shared" si="78"/>
        <v>ΚΑΠΝΟΣΚΑΠΝΟΣ ΘΕΣΣΑΛΙΑ 26</v>
      </c>
      <c r="B2501" s="4" t="s">
        <v>4718</v>
      </c>
      <c r="C2501" s="5" t="s">
        <v>4749</v>
      </c>
      <c r="D2501" s="6">
        <v>6029.93</v>
      </c>
      <c r="E2501" s="6">
        <v>5575.15</v>
      </c>
      <c r="F2501" s="7" t="s">
        <v>14</v>
      </c>
      <c r="G2501" s="8" t="s">
        <v>4750</v>
      </c>
      <c r="H2501" s="8" t="s">
        <v>16</v>
      </c>
      <c r="I2501" s="9">
        <v>1274</v>
      </c>
      <c r="J2501" s="10">
        <v>17</v>
      </c>
      <c r="K2501" s="10">
        <v>17015</v>
      </c>
      <c r="L2501" s="3" t="str">
        <f t="shared" si="79"/>
        <v>ΚΑΠΝΟΣ</v>
      </c>
    </row>
    <row r="2502" spans="1:12" s="3" customFormat="1" ht="24" x14ac:dyDescent="0.25">
      <c r="A2502" s="3" t="str">
        <f t="shared" si="78"/>
        <v>ΚΑΠΝΟΣΚΑΠΝΟΣ ΚΟΝΤ ΖΑΓΚΛΙΒΕΡ.Ζ</v>
      </c>
      <c r="B2502" s="4" t="s">
        <v>4718</v>
      </c>
      <c r="C2502" s="5" t="s">
        <v>4751</v>
      </c>
      <c r="D2502" s="6">
        <v>6029.93</v>
      </c>
      <c r="E2502" s="6">
        <v>5575.15</v>
      </c>
      <c r="F2502" s="7" t="s">
        <v>14</v>
      </c>
      <c r="G2502" s="8" t="s">
        <v>4752</v>
      </c>
      <c r="H2502" s="8" t="s">
        <v>16</v>
      </c>
      <c r="I2502" s="9">
        <v>1288</v>
      </c>
      <c r="J2502" s="10">
        <v>17</v>
      </c>
      <c r="K2502" s="10">
        <v>17016</v>
      </c>
      <c r="L2502" s="3" t="str">
        <f t="shared" si="79"/>
        <v>ΚΑΠΝΟΣ</v>
      </c>
    </row>
    <row r="2503" spans="1:12" s="3" customFormat="1" ht="24" x14ac:dyDescent="0.25">
      <c r="A2503" s="3" t="str">
        <f t="shared" si="78"/>
        <v>ΚΑΠΝΟΣΚΑΠΝΟΣ ΚΑΤΕΡΙΝΗΣ</v>
      </c>
      <c r="B2503" s="4" t="s">
        <v>4718</v>
      </c>
      <c r="C2503" s="5" t="s">
        <v>4753</v>
      </c>
      <c r="D2503" s="6">
        <v>6029.93</v>
      </c>
      <c r="E2503" s="6">
        <v>5575.15</v>
      </c>
      <c r="F2503" s="7" t="s">
        <v>14</v>
      </c>
      <c r="G2503" s="8" t="s">
        <v>4754</v>
      </c>
      <c r="H2503" s="8" t="s">
        <v>16</v>
      </c>
      <c r="I2503" s="9">
        <v>1292</v>
      </c>
      <c r="J2503" s="10">
        <v>17</v>
      </c>
      <c r="K2503" s="10">
        <v>1810</v>
      </c>
      <c r="L2503" s="3" t="str">
        <f t="shared" si="79"/>
        <v>ΚΑΠΝΟΣ</v>
      </c>
    </row>
    <row r="2504" spans="1:12" s="3" customFormat="1" x14ac:dyDescent="0.25">
      <c r="A2504" s="3" t="str">
        <f t="shared" si="78"/>
        <v>ΚΑΠΝΟΣΚΑΠΝΟΣ Σ-79 (ΚΑΤΕΡΙΝΗ)</v>
      </c>
      <c r="B2504" s="18" t="s">
        <v>4718</v>
      </c>
      <c r="C2504" s="19" t="s">
        <v>4755</v>
      </c>
      <c r="D2504" s="6">
        <v>6029.93</v>
      </c>
      <c r="E2504" s="6">
        <v>5575.15</v>
      </c>
      <c r="F2504" s="6" t="s">
        <v>14</v>
      </c>
      <c r="G2504" s="8" t="s">
        <v>4756</v>
      </c>
      <c r="H2504" s="8" t="s">
        <v>27</v>
      </c>
      <c r="I2504" s="9">
        <v>4066</v>
      </c>
      <c r="J2504" s="20">
        <v>17</v>
      </c>
      <c r="K2504" s="20">
        <v>1830</v>
      </c>
      <c r="L2504" s="3" t="str">
        <f t="shared" si="79"/>
        <v>ΚΑΠΝΟΣ</v>
      </c>
    </row>
    <row r="2505" spans="1:12" s="3" customFormat="1" x14ac:dyDescent="0.25">
      <c r="A2505" s="3" t="str">
        <f t="shared" si="78"/>
        <v>ΚΑΠΝΟΣΚΑΠΝΟΣ Κ. Κ. ΚΛΑΣΣΙΚΑ</v>
      </c>
      <c r="B2505" s="18" t="s">
        <v>4718</v>
      </c>
      <c r="C2505" s="19" t="s">
        <v>4757</v>
      </c>
      <c r="D2505" s="6">
        <v>6029.93</v>
      </c>
      <c r="E2505" s="6">
        <v>5575.15</v>
      </c>
      <c r="F2505" s="6" t="s">
        <v>14</v>
      </c>
      <c r="G2505" s="8" t="s">
        <v>4758</v>
      </c>
      <c r="H2505" s="8" t="s">
        <v>27</v>
      </c>
      <c r="I2505" s="9">
        <v>4063</v>
      </c>
      <c r="J2505" s="20">
        <v>17</v>
      </c>
      <c r="K2505" s="20">
        <v>1910</v>
      </c>
      <c r="L2505" s="3" t="str">
        <f t="shared" si="79"/>
        <v>ΚΑΠΝΟΣ</v>
      </c>
    </row>
    <row r="2506" spans="1:12" s="3" customFormat="1" ht="15" customHeight="1" x14ac:dyDescent="0.25">
      <c r="A2506" s="3" t="str">
        <f t="shared" si="78"/>
        <v>ΚΑΠΝΟΣΚΑΠΝΟΣ ΕΛΑΣΣΟΝΑ</v>
      </c>
      <c r="B2506" s="4" t="s">
        <v>4718</v>
      </c>
      <c r="C2506" s="5" t="s">
        <v>4759</v>
      </c>
      <c r="D2506" s="6">
        <v>6029.93</v>
      </c>
      <c r="E2506" s="6">
        <v>5575.15</v>
      </c>
      <c r="F2506" s="7" t="s">
        <v>14</v>
      </c>
      <c r="G2506" s="8" t="s">
        <v>4760</v>
      </c>
      <c r="H2506" s="8" t="s">
        <v>16</v>
      </c>
      <c r="I2506" s="9">
        <v>1294</v>
      </c>
      <c r="J2506" s="10">
        <v>17</v>
      </c>
      <c r="K2506" s="10">
        <v>1920</v>
      </c>
      <c r="L2506" s="3" t="str">
        <f t="shared" si="79"/>
        <v>ΚΑΠΝΟΣ</v>
      </c>
    </row>
    <row r="2507" spans="1:12" s="3" customFormat="1" ht="24" x14ac:dyDescent="0.25">
      <c r="A2507" s="3" t="str">
        <f t="shared" si="78"/>
        <v>ΚΑΠΝΟΣΚΑΠΝΟΣ ΜΥΡ. ΑΓΡΙΝΙΟΥ</v>
      </c>
      <c r="B2507" s="4" t="s">
        <v>4718</v>
      </c>
      <c r="C2507" s="5" t="s">
        <v>4761</v>
      </c>
      <c r="D2507" s="6">
        <v>6029.93</v>
      </c>
      <c r="E2507" s="6">
        <v>5575.15</v>
      </c>
      <c r="F2507" s="7" t="s">
        <v>14</v>
      </c>
      <c r="G2507" s="8" t="s">
        <v>4762</v>
      </c>
      <c r="H2507" s="8" t="s">
        <v>16</v>
      </c>
      <c r="I2507" s="9">
        <v>1281</v>
      </c>
      <c r="J2507" s="10">
        <v>17</v>
      </c>
      <c r="K2507" s="10">
        <v>2100</v>
      </c>
      <c r="L2507" s="3" t="str">
        <f t="shared" si="79"/>
        <v>ΚΑΠΝΟΣ</v>
      </c>
    </row>
    <row r="2508" spans="1:12" s="3" customFormat="1" ht="24" x14ac:dyDescent="0.25">
      <c r="A2508" s="3" t="str">
        <f t="shared" si="78"/>
        <v>ΚΑΠΝΟΣΚΑΠΝΟΣ ΤΣΕΜΠΕΛΙΑ</v>
      </c>
      <c r="B2508" s="4" t="s">
        <v>4718</v>
      </c>
      <c r="C2508" s="5" t="s">
        <v>4763</v>
      </c>
      <c r="D2508" s="6">
        <v>6029.93</v>
      </c>
      <c r="E2508" s="6">
        <v>5575.15</v>
      </c>
      <c r="F2508" s="7" t="s">
        <v>14</v>
      </c>
      <c r="G2508" s="8" t="s">
        <v>4764</v>
      </c>
      <c r="H2508" s="8" t="s">
        <v>16</v>
      </c>
      <c r="I2508" s="9">
        <v>1287</v>
      </c>
      <c r="J2508" s="10">
        <v>17</v>
      </c>
      <c r="K2508" s="10">
        <v>2300</v>
      </c>
      <c r="L2508" s="3" t="str">
        <f t="shared" si="79"/>
        <v>ΚΑΠΝΟΣ</v>
      </c>
    </row>
    <row r="2509" spans="1:12" s="3" customFormat="1" x14ac:dyDescent="0.25">
      <c r="A2509" s="3" t="str">
        <f t="shared" si="78"/>
        <v>ΚΑΠΝΟΣΚΑΠΝΟΣ ΜΑΥΡΑ</v>
      </c>
      <c r="B2509" s="18" t="s">
        <v>4718</v>
      </c>
      <c r="C2509" s="19" t="s">
        <v>4765</v>
      </c>
      <c r="D2509" s="6">
        <v>6029.93</v>
      </c>
      <c r="E2509" s="6">
        <v>5575.15</v>
      </c>
      <c r="F2509" s="6" t="s">
        <v>14</v>
      </c>
      <c r="G2509" s="8" t="s">
        <v>4766</v>
      </c>
      <c r="H2509" s="8" t="s">
        <v>27</v>
      </c>
      <c r="I2509" s="9">
        <v>4064</v>
      </c>
      <c r="J2509" s="20">
        <v>17</v>
      </c>
      <c r="K2509" s="20">
        <v>2400</v>
      </c>
      <c r="L2509" s="3" t="str">
        <f t="shared" si="79"/>
        <v>ΚΑΠΝΟΣ</v>
      </c>
    </row>
    <row r="2510" spans="1:12" s="3" customFormat="1" ht="24" x14ac:dyDescent="0.25">
      <c r="A2510" s="3" t="str">
        <f t="shared" si="78"/>
        <v>ΚΑΠΝΟΣΚΑΠΝΟΣ ΜΠΕΡΛΕΥ</v>
      </c>
      <c r="B2510" s="4" t="s">
        <v>4718</v>
      </c>
      <c r="C2510" s="5" t="s">
        <v>4767</v>
      </c>
      <c r="D2510" s="6">
        <v>6029.93</v>
      </c>
      <c r="E2510" s="6">
        <v>5575.15</v>
      </c>
      <c r="F2510" s="7" t="s">
        <v>14</v>
      </c>
      <c r="G2510" s="8" t="s">
        <v>4768</v>
      </c>
      <c r="H2510" s="8" t="s">
        <v>16</v>
      </c>
      <c r="I2510" s="9">
        <v>1290</v>
      </c>
      <c r="J2510" s="10">
        <v>17</v>
      </c>
      <c r="K2510" s="10">
        <v>2500</v>
      </c>
      <c r="L2510" s="3" t="str">
        <f t="shared" si="79"/>
        <v>ΚΑΠΝΟΣ</v>
      </c>
    </row>
    <row r="2511" spans="1:12" s="3" customFormat="1" ht="24" x14ac:dyDescent="0.25">
      <c r="A2511" s="3" t="str">
        <f t="shared" si="78"/>
        <v>ΚΑΠΝΟΣΚΑΠΝΟΣ ΒΙΡΤΖΙΝΙΑ</v>
      </c>
      <c r="B2511" s="4" t="s">
        <v>4718</v>
      </c>
      <c r="C2511" s="5" t="s">
        <v>4769</v>
      </c>
      <c r="D2511" s="6">
        <v>6029.93</v>
      </c>
      <c r="E2511" s="6">
        <v>5575.15</v>
      </c>
      <c r="F2511" s="7" t="s">
        <v>14</v>
      </c>
      <c r="G2511" s="8" t="s">
        <v>4770</v>
      </c>
      <c r="H2511" s="8" t="s">
        <v>16</v>
      </c>
      <c r="I2511" s="9">
        <v>1284</v>
      </c>
      <c r="J2511" s="10">
        <v>17</v>
      </c>
      <c r="K2511" s="10">
        <v>2600</v>
      </c>
      <c r="L2511" s="3" t="str">
        <f t="shared" si="79"/>
        <v>ΚΑΠΝΟΣ</v>
      </c>
    </row>
    <row r="2512" spans="1:12" s="3" customFormat="1" ht="24" x14ac:dyDescent="0.25">
      <c r="A2512" s="3" t="str">
        <f t="shared" si="78"/>
        <v>ΚΗΠΕΥΤΙΚΑ ΥΠΟ ΚΑΛΥΨΗΜΑΡΟΥΛΙ - ΜΑΡΟΥΛΙΑ ΣΑΛΑΤΑ ΘΕΡΜΟΚΗΠΙΟΥ</v>
      </c>
      <c r="B2512" s="4" t="s">
        <v>4771</v>
      </c>
      <c r="C2512" s="5" t="s">
        <v>4772</v>
      </c>
      <c r="D2512" s="6">
        <v>53016.51</v>
      </c>
      <c r="E2512" s="6">
        <v>76725.259999999995</v>
      </c>
      <c r="F2512" s="7" t="s">
        <v>14</v>
      </c>
      <c r="G2512" s="8" t="s">
        <v>4773</v>
      </c>
      <c r="H2512" s="8" t="s">
        <v>16</v>
      </c>
      <c r="I2512" s="9">
        <v>2530</v>
      </c>
      <c r="J2512" s="10">
        <v>39</v>
      </c>
      <c r="K2512" s="10">
        <v>10209</v>
      </c>
      <c r="L2512" s="3" t="str">
        <f t="shared" si="79"/>
        <v>ΚΗΠΕΥΤΙΚΑ_ΥΠΟ_ΚΑΛΥΨΗ</v>
      </c>
    </row>
    <row r="2513" spans="1:12" s="3" customFormat="1" ht="24" x14ac:dyDescent="0.25">
      <c r="A2513" s="3" t="str">
        <f t="shared" si="78"/>
        <v>ΚΗΠΕΥΤΙΚΑ ΥΠΟ ΚΑΛΥΨΗΚΑΡΠΟΥΖΙ ΠΡΩΙΜO ΚΑΛΥΨΗ</v>
      </c>
      <c r="B2513" s="4" t="s">
        <v>4771</v>
      </c>
      <c r="C2513" s="5" t="s">
        <v>4774</v>
      </c>
      <c r="D2513" s="6">
        <v>53016.51</v>
      </c>
      <c r="E2513" s="6">
        <v>76725.259999999995</v>
      </c>
      <c r="F2513" s="7" t="s">
        <v>14</v>
      </c>
      <c r="G2513" s="8" t="s">
        <v>4775</v>
      </c>
      <c r="H2513" s="8" t="s">
        <v>16</v>
      </c>
      <c r="I2513" s="9">
        <v>2529</v>
      </c>
      <c r="J2513" s="10">
        <v>39</v>
      </c>
      <c r="K2513" s="10">
        <v>10210</v>
      </c>
      <c r="L2513" s="3" t="str">
        <f t="shared" si="79"/>
        <v>ΚΗΠΕΥΤΙΚΑ_ΥΠΟ_ΚΑΛΥΨΗ</v>
      </c>
    </row>
    <row r="2514" spans="1:12" s="3" customFormat="1" ht="24" x14ac:dyDescent="0.25">
      <c r="A2514" s="3" t="str">
        <f t="shared" si="78"/>
        <v>ΚΗΠΕΥΤΙΚΑ ΥΠΟ ΚΑΛΥΨΗΜΕΛΙΤΖΑΝΑ ΘΕΡΜΟΚΗΠΙΟΥ</v>
      </c>
      <c r="B2514" s="4" t="s">
        <v>4771</v>
      </c>
      <c r="C2514" s="5" t="s">
        <v>4776</v>
      </c>
      <c r="D2514" s="6">
        <v>53016.51</v>
      </c>
      <c r="E2514" s="6">
        <v>76725.259999999995</v>
      </c>
      <c r="F2514" s="7" t="s">
        <v>14</v>
      </c>
      <c r="G2514" s="8" t="s">
        <v>4777</v>
      </c>
      <c r="H2514" s="8" t="s">
        <v>16</v>
      </c>
      <c r="I2514" s="9">
        <v>2528</v>
      </c>
      <c r="J2514" s="10">
        <v>39</v>
      </c>
      <c r="K2514" s="10">
        <v>10212</v>
      </c>
      <c r="L2514" s="3" t="str">
        <f t="shared" si="79"/>
        <v>ΚΗΠΕΥΤΙΚΑ_ΥΠΟ_ΚΑΛΥΨΗ</v>
      </c>
    </row>
    <row r="2515" spans="1:12" s="3" customFormat="1" ht="24" x14ac:dyDescent="0.25">
      <c r="A2515" s="3" t="str">
        <f t="shared" si="78"/>
        <v>ΚΗΠΕΥΤΙΚΑ ΥΠΟ ΚΑΛΥΨΗΚΑΡΠΟΥΖΙ ΘΕΡΜΟΚΗΠΙΟΥ</v>
      </c>
      <c r="B2515" s="4" t="s">
        <v>4771</v>
      </c>
      <c r="C2515" s="5" t="s">
        <v>4778</v>
      </c>
      <c r="D2515" s="6">
        <v>53016.51</v>
      </c>
      <c r="E2515" s="6">
        <v>76725.259999999995</v>
      </c>
      <c r="F2515" s="7" t="s">
        <v>14</v>
      </c>
      <c r="G2515" s="8" t="s">
        <v>4779</v>
      </c>
      <c r="H2515" s="8" t="s">
        <v>16</v>
      </c>
      <c r="I2515" s="9">
        <v>2520</v>
      </c>
      <c r="J2515" s="10">
        <v>39</v>
      </c>
      <c r="K2515" s="10">
        <v>102120</v>
      </c>
      <c r="L2515" s="3" t="str">
        <f t="shared" si="79"/>
        <v>ΚΗΠΕΥΤΙΚΑ_ΥΠΟ_ΚΑΛΥΨΗ</v>
      </c>
    </row>
    <row r="2516" spans="1:12" s="3" customFormat="1" ht="24" x14ac:dyDescent="0.25">
      <c r="A2516" s="3" t="str">
        <f t="shared" si="78"/>
        <v>ΚΗΠΕΥΤΙΚΑ ΥΠΟ ΚΑΛΥΨΗΦΡΑΟΥΛΑ ΘΕΡΜΟΚΗΠΙΟΥ</v>
      </c>
      <c r="B2516" s="4" t="s">
        <v>4771</v>
      </c>
      <c r="C2516" s="5" t="s">
        <v>4780</v>
      </c>
      <c r="D2516" s="6">
        <v>53016.51</v>
      </c>
      <c r="E2516" s="6">
        <v>76725.259999999995</v>
      </c>
      <c r="F2516" s="7" t="s">
        <v>14</v>
      </c>
      <c r="G2516" s="8" t="s">
        <v>4781</v>
      </c>
      <c r="H2516" s="8" t="s">
        <v>16</v>
      </c>
      <c r="I2516" s="9">
        <v>2536</v>
      </c>
      <c r="J2516" s="10">
        <v>39</v>
      </c>
      <c r="K2516" s="10">
        <v>102122</v>
      </c>
      <c r="L2516" s="3" t="str">
        <f t="shared" si="79"/>
        <v>ΚΗΠΕΥΤΙΚΑ_ΥΠΟ_ΚΑΛΥΨΗ</v>
      </c>
    </row>
    <row r="2517" spans="1:12" s="3" customFormat="1" ht="24" x14ac:dyDescent="0.25">
      <c r="A2517" s="3" t="str">
        <f t="shared" si="78"/>
        <v>ΚΗΠΕΥΤΙΚΑ ΥΠΟ ΚΑΛΥΨΗΣΠΑΝΑΚΙ</v>
      </c>
      <c r="B2517" s="4" t="s">
        <v>4771</v>
      </c>
      <c r="C2517" s="5" t="s">
        <v>4782</v>
      </c>
      <c r="D2517" s="6">
        <v>53016.51</v>
      </c>
      <c r="E2517" s="6">
        <v>76725.259999999995</v>
      </c>
      <c r="F2517" s="7" t="s">
        <v>14</v>
      </c>
      <c r="G2517" s="8" t="s">
        <v>4783</v>
      </c>
      <c r="H2517" s="8" t="s">
        <v>16</v>
      </c>
      <c r="I2517" s="9">
        <v>2533</v>
      </c>
      <c r="J2517" s="10">
        <v>39</v>
      </c>
      <c r="K2517" s="10">
        <v>10215</v>
      </c>
      <c r="L2517" s="3" t="str">
        <f t="shared" si="79"/>
        <v>ΚΗΠΕΥΤΙΚΑ_ΥΠΟ_ΚΑΛΥΨΗ</v>
      </c>
    </row>
    <row r="2518" spans="1:12" s="3" customFormat="1" ht="15" customHeight="1" x14ac:dyDescent="0.25">
      <c r="A2518" s="3" t="str">
        <f t="shared" si="78"/>
        <v>ΚΗΠΕΥΤΙΚΑ ΥΠΟ ΚΑΛΥΨΗΣΠΑΝΑΚΙ ΒΙΟΜΗΧΑΝΙΑΣ</v>
      </c>
      <c r="B2518" s="4" t="s">
        <v>4771</v>
      </c>
      <c r="C2518" s="5" t="s">
        <v>4784</v>
      </c>
      <c r="D2518" s="6">
        <v>53016.51</v>
      </c>
      <c r="E2518" s="6">
        <v>76725.259999999995</v>
      </c>
      <c r="F2518" s="7" t="s">
        <v>14</v>
      </c>
      <c r="G2518" s="8" t="s">
        <v>4785</v>
      </c>
      <c r="H2518" s="8" t="s">
        <v>16</v>
      </c>
      <c r="I2518" s="9">
        <v>2537</v>
      </c>
      <c r="J2518" s="10">
        <v>39</v>
      </c>
      <c r="K2518" s="10">
        <v>10216</v>
      </c>
      <c r="L2518" s="3" t="str">
        <f t="shared" si="79"/>
        <v>ΚΗΠΕΥΤΙΚΑ_ΥΠΟ_ΚΑΛΥΨΗ</v>
      </c>
    </row>
    <row r="2519" spans="1:12" s="3" customFormat="1" ht="15" customHeight="1" x14ac:dyDescent="0.25">
      <c r="A2519" s="3" t="str">
        <f t="shared" si="78"/>
        <v>ΚΗΠΕΥΤΙΚΑ ΥΠΟ ΚΑΛΥΨΗΑΝΤΙΔΙ</v>
      </c>
      <c r="B2519" s="4" t="s">
        <v>4771</v>
      </c>
      <c r="C2519" s="5" t="s">
        <v>4786</v>
      </c>
      <c r="D2519" s="6">
        <v>53016.51</v>
      </c>
      <c r="E2519" s="6">
        <v>76725.259999999995</v>
      </c>
      <c r="F2519" s="7" t="s">
        <v>14</v>
      </c>
      <c r="G2519" s="8" t="s">
        <v>4787</v>
      </c>
      <c r="H2519" s="8" t="s">
        <v>16</v>
      </c>
      <c r="I2519" s="9">
        <v>2546</v>
      </c>
      <c r="J2519" s="10">
        <v>39</v>
      </c>
      <c r="K2519" s="10">
        <v>10224</v>
      </c>
      <c r="L2519" s="3" t="str">
        <f t="shared" si="79"/>
        <v>ΚΗΠΕΥΤΙΚΑ_ΥΠΟ_ΚΑΛΥΨΗ</v>
      </c>
    </row>
    <row r="2520" spans="1:12" s="3" customFormat="1" ht="15" customHeight="1" x14ac:dyDescent="0.25">
      <c r="A2520" s="3" t="str">
        <f t="shared" si="78"/>
        <v>ΚΗΠΕΥΤΙΚΑ ΥΠΟ ΚΑΛΥΨΗΣΕΛΙΝΟ</v>
      </c>
      <c r="B2520" s="4" t="s">
        <v>4771</v>
      </c>
      <c r="C2520" s="5" t="s">
        <v>4788</v>
      </c>
      <c r="D2520" s="6">
        <v>53016.51</v>
      </c>
      <c r="E2520" s="6">
        <v>76725.259999999995</v>
      </c>
      <c r="F2520" s="7" t="s">
        <v>14</v>
      </c>
      <c r="G2520" s="8" t="s">
        <v>4789</v>
      </c>
      <c r="H2520" s="8" t="s">
        <v>16</v>
      </c>
      <c r="I2520" s="9">
        <v>2539</v>
      </c>
      <c r="J2520" s="10">
        <v>39</v>
      </c>
      <c r="K2520" s="10">
        <v>10230</v>
      </c>
      <c r="L2520" s="3" t="str">
        <f t="shared" si="79"/>
        <v>ΚΗΠΕΥΤΙΚΑ_ΥΠΟ_ΚΑΛΥΨΗ</v>
      </c>
    </row>
    <row r="2521" spans="1:12" s="3" customFormat="1" ht="15" customHeight="1" x14ac:dyDescent="0.25">
      <c r="A2521" s="3" t="str">
        <f t="shared" si="78"/>
        <v>ΚΗΠΕΥΤΙΚΑ ΥΠΟ ΚΑΛΥΨΗΠΕΠΟΝΙ ΧΑΜΗΛΗΣ ΚΑΛΥΨΗΣ</v>
      </c>
      <c r="B2521" s="4" t="s">
        <v>4771</v>
      </c>
      <c r="C2521" s="5" t="s">
        <v>4790</v>
      </c>
      <c r="D2521" s="6">
        <v>53016.51</v>
      </c>
      <c r="E2521" s="6">
        <v>76725.259999999995</v>
      </c>
      <c r="F2521" s="7" t="s">
        <v>14</v>
      </c>
      <c r="G2521" s="8" t="s">
        <v>4791</v>
      </c>
      <c r="H2521" s="8" t="s">
        <v>16</v>
      </c>
      <c r="I2521" s="9">
        <v>2540</v>
      </c>
      <c r="J2521" s="10">
        <v>39</v>
      </c>
      <c r="K2521" s="10">
        <v>10231</v>
      </c>
      <c r="L2521" s="3" t="str">
        <f t="shared" si="79"/>
        <v>ΚΗΠΕΥΤΙΚΑ_ΥΠΟ_ΚΑΛΥΨΗ</v>
      </c>
    </row>
    <row r="2522" spans="1:12" s="3" customFormat="1" ht="24" x14ac:dyDescent="0.25">
      <c r="A2522" s="3" t="str">
        <f t="shared" si="78"/>
        <v>ΚΗΠΕΥΤΙΚΑ ΥΠΟ ΚΑΛΥΨΗΑΝΗΘΟΣ</v>
      </c>
      <c r="B2522" s="4" t="s">
        <v>4771</v>
      </c>
      <c r="C2522" s="5" t="s">
        <v>4792</v>
      </c>
      <c r="D2522" s="6">
        <v>53016.51</v>
      </c>
      <c r="E2522" s="6">
        <v>76725.259999999995</v>
      </c>
      <c r="F2522" s="7" t="s">
        <v>14</v>
      </c>
      <c r="G2522" s="8" t="s">
        <v>4793</v>
      </c>
      <c r="H2522" s="8" t="s">
        <v>16</v>
      </c>
      <c r="I2522" s="9">
        <v>2531</v>
      </c>
      <c r="J2522" s="10">
        <v>39</v>
      </c>
      <c r="K2522" s="10">
        <v>10232</v>
      </c>
      <c r="L2522" s="3" t="str">
        <f t="shared" si="79"/>
        <v>ΚΗΠΕΥΤΙΚΑ_ΥΠΟ_ΚΑΛΥΨΗ</v>
      </c>
    </row>
    <row r="2523" spans="1:12" s="3" customFormat="1" ht="24" x14ac:dyDescent="0.25">
      <c r="A2523" s="3" t="str">
        <f t="shared" si="78"/>
        <v>ΚΗΠΕΥΤΙΚΑ ΥΠΟ ΚΑΛΥΨΗΜΑΙΝΤΑΝΟΣ</v>
      </c>
      <c r="B2523" s="4" t="s">
        <v>4771</v>
      </c>
      <c r="C2523" s="5" t="s">
        <v>4794</v>
      </c>
      <c r="D2523" s="6">
        <v>53016.51</v>
      </c>
      <c r="E2523" s="6">
        <v>76725.259999999995</v>
      </c>
      <c r="F2523" s="7" t="s">
        <v>14</v>
      </c>
      <c r="G2523" s="8" t="s">
        <v>4795</v>
      </c>
      <c r="H2523" s="8" t="s">
        <v>16</v>
      </c>
      <c r="I2523" s="9">
        <v>2556</v>
      </c>
      <c r="J2523" s="10">
        <v>39</v>
      </c>
      <c r="K2523" s="10">
        <v>10233</v>
      </c>
      <c r="L2523" s="3" t="str">
        <f t="shared" si="79"/>
        <v>ΚΗΠΕΥΤΙΚΑ_ΥΠΟ_ΚΑΛΥΨΗ</v>
      </c>
    </row>
    <row r="2524" spans="1:12" s="3" customFormat="1" ht="24" x14ac:dyDescent="0.25">
      <c r="A2524" s="3" t="str">
        <f t="shared" si="78"/>
        <v>ΚΗΠΕΥΤΙΚΑ ΥΠΟ ΚΑΛΥΨΗΡΟΚΑ</v>
      </c>
      <c r="B2524" s="4" t="s">
        <v>4771</v>
      </c>
      <c r="C2524" s="5" t="s">
        <v>4796</v>
      </c>
      <c r="D2524" s="6">
        <v>53016.51</v>
      </c>
      <c r="E2524" s="6">
        <v>76725.259999999995</v>
      </c>
      <c r="F2524" s="7" t="s">
        <v>14</v>
      </c>
      <c r="G2524" s="8" t="s">
        <v>4797</v>
      </c>
      <c r="H2524" s="8" t="s">
        <v>16</v>
      </c>
      <c r="I2524" s="9">
        <v>2543</v>
      </c>
      <c r="J2524" s="10">
        <v>39</v>
      </c>
      <c r="K2524" s="10">
        <v>10234</v>
      </c>
      <c r="L2524" s="3" t="str">
        <f t="shared" si="79"/>
        <v>ΚΗΠΕΥΤΙΚΑ_ΥΠΟ_ΚΑΛΥΨΗ</v>
      </c>
    </row>
    <row r="2525" spans="1:12" s="3" customFormat="1" ht="24" x14ac:dyDescent="0.25">
      <c r="A2525" s="3" t="str">
        <f t="shared" si="78"/>
        <v>ΚΗΠΕΥΤΙΚΑ ΥΠΟ ΚΑΛΥΨΗΡΟΚΑ - ΚΡΗΤΗΣ</v>
      </c>
      <c r="B2525" s="4" t="s">
        <v>4771</v>
      </c>
      <c r="C2525" s="5" t="s">
        <v>4798</v>
      </c>
      <c r="D2525" s="6">
        <v>53016.51</v>
      </c>
      <c r="E2525" s="6">
        <v>76725.259999999995</v>
      </c>
      <c r="F2525" s="7" t="s">
        <v>14</v>
      </c>
      <c r="G2525" s="8" t="s">
        <v>4799</v>
      </c>
      <c r="H2525" s="8" t="s">
        <v>16</v>
      </c>
      <c r="I2525" s="9">
        <v>2550</v>
      </c>
      <c r="J2525" s="10">
        <v>39</v>
      </c>
      <c r="K2525" s="10">
        <v>10248</v>
      </c>
      <c r="L2525" s="3" t="str">
        <f t="shared" si="79"/>
        <v>ΚΗΠΕΥΤΙΚΑ_ΥΠΟ_ΚΑΛΥΨΗ</v>
      </c>
    </row>
    <row r="2526" spans="1:12" s="3" customFormat="1" ht="24" x14ac:dyDescent="0.25">
      <c r="A2526" s="3" t="str">
        <f t="shared" si="78"/>
        <v>ΚΗΠΕΥΤΙΚΑ ΥΠΟ ΚΑΛΥΨΗΡΟΚΑ - ΙΟΝΙΩΝ</v>
      </c>
      <c r="B2526" s="4" t="s">
        <v>4771</v>
      </c>
      <c r="C2526" s="5" t="s">
        <v>4800</v>
      </c>
      <c r="D2526" s="6">
        <v>53016.51</v>
      </c>
      <c r="E2526" s="6">
        <v>76725.259999999995</v>
      </c>
      <c r="F2526" s="7" t="s">
        <v>14</v>
      </c>
      <c r="G2526" s="8" t="s">
        <v>4801</v>
      </c>
      <c r="H2526" s="8" t="s">
        <v>16</v>
      </c>
      <c r="I2526" s="9">
        <v>2532</v>
      </c>
      <c r="J2526" s="10">
        <v>39</v>
      </c>
      <c r="K2526" s="10">
        <v>10249</v>
      </c>
      <c r="L2526" s="3" t="str">
        <f t="shared" si="79"/>
        <v>ΚΗΠΕΥΤΙΚΑ_ΥΠΟ_ΚΑΛΥΨΗ</v>
      </c>
    </row>
    <row r="2527" spans="1:12" s="3" customFormat="1" ht="24" x14ac:dyDescent="0.25">
      <c r="A2527" s="3" t="str">
        <f t="shared" si="78"/>
        <v>ΚΗΠΕΥΤΙΚΑ ΥΠΟ ΚΑΛΥΨΗΦΡΑΟΥΛΑ ΧΑΜΗΛΗΣ - ΥΨΗΛΗΣ ΚΑΛΥΨΗΣ</v>
      </c>
      <c r="B2527" s="4" t="s">
        <v>4771</v>
      </c>
      <c r="C2527" s="5" t="s">
        <v>4802</v>
      </c>
      <c r="D2527" s="6">
        <v>53016.51</v>
      </c>
      <c r="E2527" s="6">
        <v>76725.259999999995</v>
      </c>
      <c r="F2527" s="7" t="s">
        <v>14</v>
      </c>
      <c r="G2527" s="8" t="s">
        <v>4803</v>
      </c>
      <c r="H2527" s="8" t="s">
        <v>16</v>
      </c>
      <c r="I2527" s="9">
        <v>2545</v>
      </c>
      <c r="J2527" s="10">
        <v>39</v>
      </c>
      <c r="K2527" s="10">
        <v>107001</v>
      </c>
      <c r="L2527" s="3" t="str">
        <f t="shared" si="79"/>
        <v>ΚΗΠΕΥΤΙΚΑ_ΥΠΟ_ΚΑΛΥΨΗ</v>
      </c>
    </row>
    <row r="2528" spans="1:12" s="3" customFormat="1" ht="24" x14ac:dyDescent="0.25">
      <c r="A2528" s="3" t="str">
        <f t="shared" si="78"/>
        <v>ΚΗΠΕΥΤΙΚΑ ΥΠΟ ΚΑΛΥΨΗΠΕΠΙΤΟ</v>
      </c>
      <c r="B2528" s="4" t="s">
        <v>4771</v>
      </c>
      <c r="C2528" s="5" t="s">
        <v>4804</v>
      </c>
      <c r="D2528" s="6">
        <v>53016.51</v>
      </c>
      <c r="E2528" s="6">
        <v>76725.259999999995</v>
      </c>
      <c r="F2528" s="7" t="s">
        <v>14</v>
      </c>
      <c r="G2528" s="8" t="s">
        <v>4805</v>
      </c>
      <c r="H2528" s="8" t="s">
        <v>16</v>
      </c>
      <c r="I2528" s="9">
        <v>2510</v>
      </c>
      <c r="J2528" s="10">
        <v>39</v>
      </c>
      <c r="K2528" s="10">
        <v>10836</v>
      </c>
      <c r="L2528" s="3" t="str">
        <f t="shared" si="79"/>
        <v>ΚΗΠΕΥΤΙΚΑ_ΥΠΟ_ΚΑΛΥΨΗ</v>
      </c>
    </row>
    <row r="2529" spans="1:12" s="3" customFormat="1" ht="24" x14ac:dyDescent="0.25">
      <c r="A2529" s="3" t="str">
        <f t="shared" si="78"/>
        <v>ΚΗΠΕΥΤΙΚΑ ΥΠΟ ΚΑΛΥΨΗΔΥΟΣΜΟΣ</v>
      </c>
      <c r="B2529" s="4" t="s">
        <v>4771</v>
      </c>
      <c r="C2529" s="5" t="s">
        <v>1912</v>
      </c>
      <c r="D2529" s="6">
        <v>53016.51</v>
      </c>
      <c r="E2529" s="6">
        <v>76725.259999999995</v>
      </c>
      <c r="F2529" s="7" t="s">
        <v>14</v>
      </c>
      <c r="G2529" s="8" t="s">
        <v>4806</v>
      </c>
      <c r="H2529" s="8" t="s">
        <v>16</v>
      </c>
      <c r="I2529" s="9">
        <v>2552</v>
      </c>
      <c r="J2529" s="10">
        <v>39</v>
      </c>
      <c r="K2529" s="10">
        <v>18108</v>
      </c>
      <c r="L2529" s="3" t="str">
        <f t="shared" si="79"/>
        <v>ΚΗΠΕΥΤΙΚΑ_ΥΠΟ_ΚΑΛΥΨΗ</v>
      </c>
    </row>
    <row r="2530" spans="1:12" s="3" customFormat="1" ht="24" x14ac:dyDescent="0.25">
      <c r="A2530" s="3" t="str">
        <f t="shared" si="78"/>
        <v>ΚΗΠΕΥΤΙΚΑ ΥΠΟ ΚΑΛΥΨΗΚΑΡΟΤΑ ΘΕΡΜΟΚΗΠΙΟΥ</v>
      </c>
      <c r="B2530" s="4" t="s">
        <v>4771</v>
      </c>
      <c r="C2530" s="5" t="s">
        <v>4807</v>
      </c>
      <c r="D2530" s="6">
        <v>53016.51</v>
      </c>
      <c r="E2530" s="6">
        <v>76725.259999999995</v>
      </c>
      <c r="F2530" s="7" t="s">
        <v>14</v>
      </c>
      <c r="G2530" s="8" t="s">
        <v>4808</v>
      </c>
      <c r="H2530" s="8" t="s">
        <v>16</v>
      </c>
      <c r="I2530" s="9">
        <v>2524</v>
      </c>
      <c r="J2530" s="10">
        <v>39</v>
      </c>
      <c r="K2530" s="10">
        <v>39001</v>
      </c>
      <c r="L2530" s="3" t="str">
        <f t="shared" si="79"/>
        <v>ΚΗΠΕΥΤΙΚΑ_ΥΠΟ_ΚΑΛΥΨΗ</v>
      </c>
    </row>
    <row r="2531" spans="1:12" s="3" customFormat="1" ht="24" x14ac:dyDescent="0.25">
      <c r="A2531" s="3" t="str">
        <f t="shared" si="78"/>
        <v>ΚΗΠΕΥΤΙΚΑ ΥΠΟ ΚΑΛΥΨΗΚΑΡΟΤΑ ΘΕΡΜΟΚΗΠΙΟΥ ΕΞΑΙΡΕΣΗ</v>
      </c>
      <c r="B2531" s="4" t="s">
        <v>4771</v>
      </c>
      <c r="C2531" s="5" t="s">
        <v>4809</v>
      </c>
      <c r="D2531" s="6">
        <v>53016.51</v>
      </c>
      <c r="E2531" s="6">
        <v>76725.259999999995</v>
      </c>
      <c r="F2531" s="7" t="s">
        <v>14</v>
      </c>
      <c r="G2531" s="8" t="s">
        <v>4810</v>
      </c>
      <c r="H2531" s="8" t="s">
        <v>16</v>
      </c>
      <c r="I2531" s="9">
        <v>2523</v>
      </c>
      <c r="J2531" s="10">
        <v>39</v>
      </c>
      <c r="K2531" s="10">
        <v>39002</v>
      </c>
      <c r="L2531" s="3" t="str">
        <f t="shared" si="79"/>
        <v>ΚΗΠΕΥΤΙΚΑ_ΥΠΟ_ΚΑΛΥΨΗ</v>
      </c>
    </row>
    <row r="2532" spans="1:12" s="3" customFormat="1" ht="24" x14ac:dyDescent="0.25">
      <c r="A2532" s="3" t="str">
        <f t="shared" si="78"/>
        <v>ΚΗΠΕΥΤΙΚΑ ΥΠΟ ΚΑΛΥΨΗΤΕΥΤΛΑ - ΠΑΝΤΖΑΡΙΑ</v>
      </c>
      <c r="B2532" s="4" t="s">
        <v>4771</v>
      </c>
      <c r="C2532" s="5" t="s">
        <v>4811</v>
      </c>
      <c r="D2532" s="6">
        <v>53016.51</v>
      </c>
      <c r="E2532" s="6">
        <v>76725.259999999995</v>
      </c>
      <c r="F2532" s="7" t="s">
        <v>14</v>
      </c>
      <c r="G2532" s="8" t="s">
        <v>4812</v>
      </c>
      <c r="H2532" s="8" t="s">
        <v>16</v>
      </c>
      <c r="I2532" s="9">
        <v>2522</v>
      </c>
      <c r="J2532" s="10">
        <v>39</v>
      </c>
      <c r="K2532" s="10">
        <v>39003</v>
      </c>
      <c r="L2532" s="3" t="str">
        <f t="shared" si="79"/>
        <v>ΚΗΠΕΥΤΙΚΑ_ΥΠΟ_ΚΑΛΥΨΗ</v>
      </c>
    </row>
    <row r="2533" spans="1:12" s="3" customFormat="1" ht="24" x14ac:dyDescent="0.25">
      <c r="A2533" s="3" t="str">
        <f t="shared" si="78"/>
        <v>ΚΗΠΕΥΤΙΚΑ ΥΠΟ ΚΑΛΥΨΗΤΟΜΑΤΑΚΙ ΒΕΛΑΝΙΔΙ</v>
      </c>
      <c r="B2533" s="4" t="s">
        <v>4771</v>
      </c>
      <c r="C2533" s="5" t="s">
        <v>4813</v>
      </c>
      <c r="D2533" s="6">
        <v>53016.51</v>
      </c>
      <c r="E2533" s="6">
        <v>76725.259999999995</v>
      </c>
      <c r="F2533" s="7" t="s">
        <v>14</v>
      </c>
      <c r="G2533" s="8" t="s">
        <v>4814</v>
      </c>
      <c r="H2533" s="8" t="s">
        <v>16</v>
      </c>
      <c r="I2533" s="9">
        <v>2519</v>
      </c>
      <c r="J2533" s="10">
        <v>39</v>
      </c>
      <c r="K2533" s="10">
        <v>39004</v>
      </c>
      <c r="L2533" s="3" t="str">
        <f t="shared" si="79"/>
        <v>ΚΗΠΕΥΤΙΚΑ_ΥΠΟ_ΚΑΛΥΨΗ</v>
      </c>
    </row>
    <row r="2534" spans="1:12" s="3" customFormat="1" ht="24" x14ac:dyDescent="0.25">
      <c r="A2534" s="3" t="str">
        <f t="shared" si="78"/>
        <v>ΚΗΠΕΥΤΙΚΑ ΥΠΟ ΚΑΛΥΨΗΤΟΜΑΤΑ MANDOLIN</v>
      </c>
      <c r="B2534" s="4" t="s">
        <v>4771</v>
      </c>
      <c r="C2534" s="5" t="s">
        <v>4815</v>
      </c>
      <c r="D2534" s="6">
        <v>53016.51</v>
      </c>
      <c r="E2534" s="6">
        <v>76725.259999999995</v>
      </c>
      <c r="F2534" s="7" t="s">
        <v>14</v>
      </c>
      <c r="G2534" s="8" t="s">
        <v>4816</v>
      </c>
      <c r="H2534" s="8" t="s">
        <v>16</v>
      </c>
      <c r="I2534" s="9">
        <v>2518</v>
      </c>
      <c r="J2534" s="10">
        <v>39</v>
      </c>
      <c r="K2534" s="10">
        <v>39005</v>
      </c>
      <c r="L2534" s="3" t="str">
        <f t="shared" si="79"/>
        <v>ΚΗΠΕΥΤΙΚΑ_ΥΠΟ_ΚΑΛΥΨΗ</v>
      </c>
    </row>
    <row r="2535" spans="1:12" s="3" customFormat="1" ht="24" x14ac:dyDescent="0.25">
      <c r="A2535" s="3" t="str">
        <f t="shared" si="78"/>
        <v>ΚΗΠΕΥΤΙΚΑ ΥΠΟ ΚΑΛΥΨΗΠΡΑΣΣΟ</v>
      </c>
      <c r="B2535" s="4" t="s">
        <v>4771</v>
      </c>
      <c r="C2535" s="5" t="s">
        <v>4817</v>
      </c>
      <c r="D2535" s="6">
        <v>53016.51</v>
      </c>
      <c r="E2535" s="6">
        <v>76725.259999999995</v>
      </c>
      <c r="F2535" s="7" t="s">
        <v>14</v>
      </c>
      <c r="G2535" s="8" t="s">
        <v>4818</v>
      </c>
      <c r="H2535" s="8" t="s">
        <v>16</v>
      </c>
      <c r="I2535" s="9">
        <v>2517</v>
      </c>
      <c r="J2535" s="10">
        <v>39</v>
      </c>
      <c r="K2535" s="10">
        <v>39006</v>
      </c>
      <c r="L2535" s="3" t="str">
        <f t="shared" si="79"/>
        <v>ΚΗΠΕΥΤΙΚΑ_ΥΠΟ_ΚΑΛΥΨΗ</v>
      </c>
    </row>
    <row r="2536" spans="1:12" s="3" customFormat="1" ht="24" x14ac:dyDescent="0.25">
      <c r="A2536" s="3" t="str">
        <f t="shared" si="78"/>
        <v>ΚΗΠΕΥΤΙΚΑ ΥΠΟ ΚΑΛΥΨΗΜΑΝΙΤΑΡΙΑ ΠΛΕΥΡΩΤΟΥΣ ΚΙΤΡΙΝΑ</v>
      </c>
      <c r="B2536" s="4" t="s">
        <v>4771</v>
      </c>
      <c r="C2536" s="5" t="s">
        <v>4819</v>
      </c>
      <c r="D2536" s="6">
        <f>10814.13*100</f>
        <v>1081413</v>
      </c>
      <c r="E2536" s="6">
        <f>13775.96*100</f>
        <v>1377596</v>
      </c>
      <c r="F2536" s="7" t="s">
        <v>14</v>
      </c>
      <c r="G2536" s="8" t="s">
        <v>4820</v>
      </c>
      <c r="H2536" s="8" t="s">
        <v>16</v>
      </c>
      <c r="I2536" s="9">
        <v>2509</v>
      </c>
      <c r="J2536" s="10">
        <v>39</v>
      </c>
      <c r="K2536" s="10">
        <v>39007</v>
      </c>
      <c r="L2536" s="3" t="str">
        <f t="shared" si="79"/>
        <v>ΚΗΠΕΥΤΙΚΑ_ΥΠΟ_ΚΑΛΥΨΗ</v>
      </c>
    </row>
    <row r="2537" spans="1:12" s="3" customFormat="1" ht="24" x14ac:dyDescent="0.25">
      <c r="A2537" s="3" t="str">
        <f t="shared" si="78"/>
        <v>ΚΗΠΕΥΤΙΚΑ ΥΠΟ ΚΑΛΥΨΗΜΑΝΙΤΑΡΙΑ ΛΕΝΤΙΝΟΥΛΑ</v>
      </c>
      <c r="B2537" s="4" t="s">
        <v>4771</v>
      </c>
      <c r="C2537" s="5" t="s">
        <v>4821</v>
      </c>
      <c r="D2537" s="6">
        <f>10814.13*100</f>
        <v>1081413</v>
      </c>
      <c r="E2537" s="6">
        <f>13775.96*100</f>
        <v>1377596</v>
      </c>
      <c r="F2537" s="7" t="s">
        <v>14</v>
      </c>
      <c r="G2537" s="8" t="s">
        <v>4822</v>
      </c>
      <c r="H2537" s="8" t="s">
        <v>16</v>
      </c>
      <c r="I2537" s="9">
        <v>2516</v>
      </c>
      <c r="J2537" s="10">
        <v>39</v>
      </c>
      <c r="K2537" s="10">
        <v>39008</v>
      </c>
      <c r="L2537" s="3" t="str">
        <f t="shared" si="79"/>
        <v>ΚΗΠΕΥΤΙΚΑ_ΥΠΟ_ΚΑΛΥΨΗ</v>
      </c>
    </row>
    <row r="2538" spans="1:12" s="3" customFormat="1" ht="24" x14ac:dyDescent="0.25">
      <c r="A2538" s="3" t="str">
        <f t="shared" si="78"/>
        <v>ΚΗΠΕΥΤΙΚΑ ΥΠΟ ΚΑΛΥΨΗΜΑΝΙΤΑΡΙΑ PORTOBELLO</v>
      </c>
      <c r="B2538" s="4" t="s">
        <v>4771</v>
      </c>
      <c r="C2538" s="5" t="s">
        <v>4823</v>
      </c>
      <c r="D2538" s="6">
        <f>10814.13*100</f>
        <v>1081413</v>
      </c>
      <c r="E2538" s="6">
        <f>13775.96*100</f>
        <v>1377596</v>
      </c>
      <c r="F2538" s="7" t="s">
        <v>14</v>
      </c>
      <c r="G2538" s="8" t="s">
        <v>4824</v>
      </c>
      <c r="H2538" s="8" t="s">
        <v>16</v>
      </c>
      <c r="I2538" s="9">
        <v>2525</v>
      </c>
      <c r="J2538" s="10">
        <v>39</v>
      </c>
      <c r="K2538" s="10">
        <v>39009</v>
      </c>
      <c r="L2538" s="3" t="str">
        <f t="shared" si="79"/>
        <v>ΚΗΠΕΥΤΙΚΑ_ΥΠΟ_ΚΑΛΥΨΗ</v>
      </c>
    </row>
    <row r="2539" spans="1:12" s="3" customFormat="1" ht="24" x14ac:dyDescent="0.25">
      <c r="A2539" s="3" t="str">
        <f t="shared" si="78"/>
        <v>ΚΗΠΕΥΤΙΚΑ ΥΠΟ ΚΑΛΥΨΗΜΑΝΙΤΑΡΙΑ ΓΑΝΟΔΕΡΜΑ</v>
      </c>
      <c r="B2539" s="4" t="s">
        <v>4771</v>
      </c>
      <c r="C2539" s="5" t="s">
        <v>4825</v>
      </c>
      <c r="D2539" s="6">
        <f>10814.13*100</f>
        <v>1081413</v>
      </c>
      <c r="E2539" s="6">
        <f>13775.96*100</f>
        <v>1377596</v>
      </c>
      <c r="F2539" s="7" t="s">
        <v>14</v>
      </c>
      <c r="G2539" s="8" t="s">
        <v>4826</v>
      </c>
      <c r="H2539" s="8" t="s">
        <v>16</v>
      </c>
      <c r="I2539" s="9">
        <v>2515</v>
      </c>
      <c r="J2539" s="10">
        <v>39</v>
      </c>
      <c r="K2539" s="10">
        <v>39010</v>
      </c>
      <c r="L2539" s="3" t="str">
        <f t="shared" si="79"/>
        <v>ΚΗΠΕΥΤΙΚΑ_ΥΠΟ_ΚΑΛΥΨΗ</v>
      </c>
    </row>
    <row r="2540" spans="1:12" s="3" customFormat="1" ht="24" x14ac:dyDescent="0.25">
      <c r="A2540" s="3" t="str">
        <f t="shared" si="78"/>
        <v>ΚΗΠΕΥΤΙΚΑ ΥΠΟ ΚΑΛΥΨΗΜΑΝΙΤΑΡΙΑ ΣΙΤΑΚΕ (SHIITAKE)</v>
      </c>
      <c r="B2540" s="4" t="s">
        <v>4771</v>
      </c>
      <c r="C2540" s="5" t="s">
        <v>4827</v>
      </c>
      <c r="D2540" s="6">
        <f>10814.13*100</f>
        <v>1081413</v>
      </c>
      <c r="E2540" s="6">
        <f>13775.96*100</f>
        <v>1377596</v>
      </c>
      <c r="F2540" s="7" t="s">
        <v>14</v>
      </c>
      <c r="G2540" s="8" t="s">
        <v>4828</v>
      </c>
      <c r="H2540" s="8" t="s">
        <v>16</v>
      </c>
      <c r="I2540" s="9">
        <v>2514</v>
      </c>
      <c r="J2540" s="10">
        <v>39</v>
      </c>
      <c r="K2540" s="10">
        <v>39011</v>
      </c>
      <c r="L2540" s="3" t="str">
        <f t="shared" si="79"/>
        <v>ΚΗΠΕΥΤΙΚΑ_ΥΠΟ_ΚΑΛΥΨΗ</v>
      </c>
    </row>
    <row r="2541" spans="1:12" s="3" customFormat="1" ht="24" x14ac:dyDescent="0.25">
      <c r="A2541" s="3" t="str">
        <f t="shared" si="78"/>
        <v>ΚΗΠΕΥΤΙΚΑ ΥΠΟ ΚΑΛΥΨΗΚΡΙΤΑΜΟ ή ΑΛΜΥΡΑ</v>
      </c>
      <c r="B2541" s="4" t="s">
        <v>4771</v>
      </c>
      <c r="C2541" s="5" t="s">
        <v>4829</v>
      </c>
      <c r="D2541" s="6">
        <v>53016.51</v>
      </c>
      <c r="E2541" s="6">
        <v>76725.259999999995</v>
      </c>
      <c r="F2541" s="7" t="s">
        <v>14</v>
      </c>
      <c r="G2541" s="8" t="s">
        <v>4830</v>
      </c>
      <c r="H2541" s="8" t="s">
        <v>16</v>
      </c>
      <c r="I2541" s="9">
        <v>2513</v>
      </c>
      <c r="J2541" s="10">
        <v>39</v>
      </c>
      <c r="K2541" s="10">
        <v>39012</v>
      </c>
      <c r="L2541" s="3" t="str">
        <f t="shared" si="79"/>
        <v>ΚΗΠΕΥΤΙΚΑ_ΥΠΟ_ΚΑΛΥΨΗ</v>
      </c>
    </row>
    <row r="2542" spans="1:12" s="3" customFormat="1" ht="24" x14ac:dyDescent="0.25">
      <c r="A2542" s="3" t="str">
        <f t="shared" si="78"/>
        <v>ΚΗΠΕΥΤΙΚΑ ΥΠΟ ΚΑΛΥΨΗΤΟΜΑΤΑΚΙ CHERRY (ΥΠΟ ΚΑΛΥΨΗ)</v>
      </c>
      <c r="B2542" s="21" t="s">
        <v>4771</v>
      </c>
      <c r="C2542" s="22" t="s">
        <v>4831</v>
      </c>
      <c r="D2542" s="6">
        <v>53016.51</v>
      </c>
      <c r="E2542" s="6">
        <v>76725.259999999995</v>
      </c>
      <c r="F2542" s="7" t="s">
        <v>14</v>
      </c>
      <c r="G2542" s="8" t="s">
        <v>4832</v>
      </c>
      <c r="H2542" s="8" t="s">
        <v>16</v>
      </c>
      <c r="I2542" s="9">
        <v>5205</v>
      </c>
      <c r="J2542" s="16">
        <v>39</v>
      </c>
      <c r="K2542" s="16">
        <v>39013</v>
      </c>
      <c r="L2542" s="3" t="str">
        <f t="shared" si="79"/>
        <v>ΚΗΠΕΥΤΙΚΑ_ΥΠΟ_ΚΑΛΥΨΗ</v>
      </c>
    </row>
    <row r="2543" spans="1:12" s="3" customFormat="1" ht="24" x14ac:dyDescent="0.25">
      <c r="A2543" s="3" t="str">
        <f t="shared" si="78"/>
        <v>ΚΗΠΕΥΤΙΚΑ ΥΠΟ ΚΑΛΥΨΗΚΟΛΙΑΝΔΡΟΣ</v>
      </c>
      <c r="B2543" s="21" t="s">
        <v>4771</v>
      </c>
      <c r="C2543" s="22" t="s">
        <v>4833</v>
      </c>
      <c r="D2543" s="6">
        <v>11290.03</v>
      </c>
      <c r="E2543" s="6">
        <v>13610.93</v>
      </c>
      <c r="F2543" s="7" t="s">
        <v>14</v>
      </c>
      <c r="G2543" s="8" t="s">
        <v>4834</v>
      </c>
      <c r="H2543" s="8" t="s">
        <v>16</v>
      </c>
      <c r="I2543" s="9">
        <v>5210</v>
      </c>
      <c r="J2543" s="16">
        <v>39</v>
      </c>
      <c r="K2543" s="16">
        <v>39014</v>
      </c>
      <c r="L2543" s="3" t="str">
        <f t="shared" si="79"/>
        <v>ΚΗΠΕΥΤΙΚΑ_ΥΠΟ_ΚΑΛΥΨΗ</v>
      </c>
    </row>
    <row r="2544" spans="1:12" s="3" customFormat="1" ht="24" x14ac:dyDescent="0.25">
      <c r="A2544" s="3" t="str">
        <f t="shared" si="78"/>
        <v>ΚΗΠΕΥΤΙΚΑ ΥΠΟ ΚΑΛΥΨΗΒΛΗΤΑ ΥΠΟ ΚΑΛΥΨΗ</v>
      </c>
      <c r="B2544" s="21" t="s">
        <v>4771</v>
      </c>
      <c r="C2544" s="22" t="s">
        <v>4835</v>
      </c>
      <c r="D2544" s="6">
        <v>53016.51</v>
      </c>
      <c r="E2544" s="6">
        <v>76725.259999999995</v>
      </c>
      <c r="F2544" s="7" t="s">
        <v>14</v>
      </c>
      <c r="G2544" s="8" t="s">
        <v>4836</v>
      </c>
      <c r="H2544" s="8" t="s">
        <v>16</v>
      </c>
      <c r="I2544" s="9">
        <v>5206</v>
      </c>
      <c r="J2544" s="16">
        <v>39</v>
      </c>
      <c r="K2544" s="16">
        <v>39015</v>
      </c>
      <c r="L2544" s="3" t="str">
        <f t="shared" si="79"/>
        <v>ΚΗΠΕΥΤΙΚΑ_ΥΠΟ_ΚΑΛΥΨΗ</v>
      </c>
    </row>
    <row r="2545" spans="1:12" s="3" customFormat="1" ht="24" x14ac:dyDescent="0.25">
      <c r="A2545" s="3" t="str">
        <f t="shared" si="78"/>
        <v>ΚΗΠΕΥΤΙΚΑ ΥΠΟ ΚΑΛΥΨΗΣΕΣΚΟΥΛΟ ΥΠΟ ΚΑΛΥΨΗ</v>
      </c>
      <c r="B2545" s="21" t="s">
        <v>4771</v>
      </c>
      <c r="C2545" s="22" t="s">
        <v>4837</v>
      </c>
      <c r="D2545" s="6">
        <v>53016.51</v>
      </c>
      <c r="E2545" s="6">
        <v>76725.259999999995</v>
      </c>
      <c r="F2545" s="7" t="s">
        <v>14</v>
      </c>
      <c r="G2545" s="8" t="s">
        <v>4838</v>
      </c>
      <c r="H2545" s="8" t="s">
        <v>16</v>
      </c>
      <c r="I2545" s="9">
        <v>5207</v>
      </c>
      <c r="J2545" s="16">
        <v>39</v>
      </c>
      <c r="K2545" s="16">
        <v>39016</v>
      </c>
      <c r="L2545" s="3" t="str">
        <f t="shared" si="79"/>
        <v>ΚΗΠΕΥΤΙΚΑ_ΥΠΟ_ΚΑΛΥΨΗ</v>
      </c>
    </row>
    <row r="2546" spans="1:12" s="3" customFormat="1" ht="24" x14ac:dyDescent="0.25">
      <c r="A2546" s="3" t="str">
        <f t="shared" si="78"/>
        <v>ΚΗΠΕΥΤΙΚΑ ΥΠΟ ΚΑΛΥΨΗΣΧΟΙΝΟΠΡΑΣΟ ΥΠΟ ΚΑΛΥΨΗ</v>
      </c>
      <c r="B2546" s="21" t="s">
        <v>4771</v>
      </c>
      <c r="C2546" s="22" t="s">
        <v>4839</v>
      </c>
      <c r="D2546" s="6">
        <v>53016.51</v>
      </c>
      <c r="E2546" s="6">
        <v>76725.259999999995</v>
      </c>
      <c r="F2546" s="7" t="s">
        <v>14</v>
      </c>
      <c r="G2546" s="8" t="s">
        <v>4840</v>
      </c>
      <c r="H2546" s="8" t="s">
        <v>16</v>
      </c>
      <c r="I2546" s="9">
        <v>5208</v>
      </c>
      <c r="J2546" s="16">
        <v>39</v>
      </c>
      <c r="K2546" s="16">
        <v>39017</v>
      </c>
      <c r="L2546" s="3" t="str">
        <f t="shared" si="79"/>
        <v>ΚΗΠΕΥΤΙΚΑ_ΥΠΟ_ΚΑΛΥΨΗ</v>
      </c>
    </row>
    <row r="2547" spans="1:12" s="3" customFormat="1" ht="24" x14ac:dyDescent="0.25">
      <c r="A2547" s="3" t="str">
        <f t="shared" si="78"/>
        <v>ΚΗΠΕΥΤΙΚΑ ΥΠΟ ΚΑΛΥΨΗΜΠΡΟΚΟΛΟ ΥΠΟ ΚΑΛΥΨΗ</v>
      </c>
      <c r="B2547" s="21" t="s">
        <v>4771</v>
      </c>
      <c r="C2547" s="22" t="s">
        <v>4841</v>
      </c>
      <c r="D2547" s="6">
        <v>53016.51</v>
      </c>
      <c r="E2547" s="6">
        <v>76725.259999999995</v>
      </c>
      <c r="F2547" s="7" t="s">
        <v>14</v>
      </c>
      <c r="G2547" s="8" t="s">
        <v>4842</v>
      </c>
      <c r="H2547" s="8" t="s">
        <v>16</v>
      </c>
      <c r="I2547" s="9">
        <v>5209</v>
      </c>
      <c r="J2547" s="16">
        <v>39</v>
      </c>
      <c r="K2547" s="16">
        <v>39018</v>
      </c>
      <c r="L2547" s="3" t="str">
        <f t="shared" si="79"/>
        <v>ΚΗΠΕΥΤΙΚΑ_ΥΠΟ_ΚΑΛΥΨΗ</v>
      </c>
    </row>
    <row r="2548" spans="1:12" s="3" customFormat="1" ht="24" x14ac:dyDescent="0.25">
      <c r="A2548" s="3" t="str">
        <f t="shared" si="78"/>
        <v>ΚΗΠΕΥΤΙΚΑ ΥΠΟ ΚΑΛΥΨΗΡΑΠΑΝΑΚΙ ΥΠΟ ΚΑΛΥΨΗ</v>
      </c>
      <c r="B2548" s="23" t="s">
        <v>4771</v>
      </c>
      <c r="C2548" s="24" t="s">
        <v>4843</v>
      </c>
      <c r="D2548" s="6">
        <v>53016.51</v>
      </c>
      <c r="E2548" s="6">
        <v>76725.259999999995</v>
      </c>
      <c r="F2548" s="29" t="s">
        <v>14</v>
      </c>
      <c r="G2548" s="8" t="s">
        <v>4844</v>
      </c>
      <c r="H2548" s="8" t="s">
        <v>16</v>
      </c>
      <c r="I2548" s="9">
        <v>5384</v>
      </c>
      <c r="J2548" s="26">
        <v>39</v>
      </c>
      <c r="K2548" s="27">
        <v>39019</v>
      </c>
      <c r="L2548" s="3" t="str">
        <f t="shared" si="79"/>
        <v>ΚΗΠΕΥΤΙΚΑ_ΥΠΟ_ΚΑΛΥΨΗ</v>
      </c>
    </row>
    <row r="2549" spans="1:12" s="3" customFormat="1" ht="24" x14ac:dyDescent="0.25">
      <c r="A2549" s="3" t="str">
        <f t="shared" si="78"/>
        <v>ΚΗΠΕΥΤΙΚΑ ΥΠΟ ΚΑΛΥΨΗΜΑΝΙΤΑΡΙΑ LION'S MANE / ΕΡΙΚΙΟ ΤΟ ΑΓΚΑΘΩΤΟ Ή ΑΡΝΑΚΙ (Hericium erinaceus)</v>
      </c>
      <c r="B2549" s="23" t="s">
        <v>4771</v>
      </c>
      <c r="C2549" s="24" t="s">
        <v>4845</v>
      </c>
      <c r="D2549" s="6">
        <f t="shared" ref="D2549:D2554" si="80">10814.13*100</f>
        <v>1081413</v>
      </c>
      <c r="E2549" s="6">
        <f t="shared" ref="E2549:E2554" si="81">13775.96*100</f>
        <v>1377596</v>
      </c>
      <c r="F2549" s="29" t="s">
        <v>14</v>
      </c>
      <c r="G2549" s="8" t="s">
        <v>4846</v>
      </c>
      <c r="H2549" s="8" t="s">
        <v>16</v>
      </c>
      <c r="I2549" s="9">
        <v>5385</v>
      </c>
      <c r="J2549" s="26">
        <v>39</v>
      </c>
      <c r="K2549" s="27">
        <v>39020</v>
      </c>
      <c r="L2549" s="3" t="str">
        <f t="shared" si="79"/>
        <v>ΚΗΠΕΥΤΙΚΑ_ΥΠΟ_ΚΑΛΥΨΗ</v>
      </c>
    </row>
    <row r="2550" spans="1:12" s="3" customFormat="1" ht="24" x14ac:dyDescent="0.25">
      <c r="A2550" s="3" t="str">
        <f t="shared" si="78"/>
        <v>ΚΗΠΕΥΤΙΚΑ ΥΠΟ ΚΑΛΥΨΗΜΑΝΙΤΑΡΙΑ BLUE OYSTER (Pleurotus ostreauts v. columbinus)</v>
      </c>
      <c r="B2550" s="23" t="s">
        <v>4771</v>
      </c>
      <c r="C2550" s="24" t="s">
        <v>4847</v>
      </c>
      <c r="D2550" s="6">
        <f t="shared" si="80"/>
        <v>1081413</v>
      </c>
      <c r="E2550" s="6">
        <f t="shared" si="81"/>
        <v>1377596</v>
      </c>
      <c r="F2550" s="29" t="s">
        <v>14</v>
      </c>
      <c r="G2550" s="8" t="s">
        <v>4848</v>
      </c>
      <c r="H2550" s="8" t="s">
        <v>16</v>
      </c>
      <c r="I2550" s="9">
        <v>5386</v>
      </c>
      <c r="J2550" s="26">
        <v>39</v>
      </c>
      <c r="K2550" s="27">
        <v>39021</v>
      </c>
      <c r="L2550" s="3" t="str">
        <f t="shared" si="79"/>
        <v>ΚΗΠΕΥΤΙΚΑ_ΥΠΟ_ΚΑΛΥΨΗ</v>
      </c>
    </row>
    <row r="2551" spans="1:12" s="3" customFormat="1" ht="24" x14ac:dyDescent="0.25">
      <c r="A2551" s="3" t="str">
        <f t="shared" si="78"/>
        <v>ΚΗΠΕΥΤΙΚΑ ΥΠΟ ΚΑΛΥΨΗΜΑΝΙΤΑΡΙΑ BLACK PEARL OYSTER ( Pleurotus ostreatus)</v>
      </c>
      <c r="B2551" s="23" t="s">
        <v>4771</v>
      </c>
      <c r="C2551" s="24" t="s">
        <v>4849</v>
      </c>
      <c r="D2551" s="6">
        <f t="shared" si="80"/>
        <v>1081413</v>
      </c>
      <c r="E2551" s="6">
        <f t="shared" si="81"/>
        <v>1377596</v>
      </c>
      <c r="F2551" s="29" t="s">
        <v>14</v>
      </c>
      <c r="G2551" s="8" t="s">
        <v>4850</v>
      </c>
      <c r="H2551" s="8" t="s">
        <v>16</v>
      </c>
      <c r="I2551" s="9">
        <v>5387</v>
      </c>
      <c r="J2551" s="26">
        <v>39</v>
      </c>
      <c r="K2551" s="27">
        <v>39022</v>
      </c>
      <c r="L2551" s="3" t="str">
        <f t="shared" si="79"/>
        <v>ΚΗΠΕΥΤΙΚΑ_ΥΠΟ_ΚΑΛΥΨΗ</v>
      </c>
    </row>
    <row r="2552" spans="1:12" s="3" customFormat="1" ht="24" x14ac:dyDescent="0.25">
      <c r="A2552" s="3" t="str">
        <f t="shared" si="78"/>
        <v>ΚΗΠΕΥΤΙΚΑ ΥΠΟ ΚΑΛΥΨΗΜΑΝΙΤΑΡΙΑ CORDYCEPS ( Cordyceps militaris)</v>
      </c>
      <c r="B2552" s="23" t="s">
        <v>4771</v>
      </c>
      <c r="C2552" s="24" t="s">
        <v>4851</v>
      </c>
      <c r="D2552" s="6">
        <f t="shared" si="80"/>
        <v>1081413</v>
      </c>
      <c r="E2552" s="6">
        <f t="shared" si="81"/>
        <v>1377596</v>
      </c>
      <c r="F2552" s="29" t="s">
        <v>14</v>
      </c>
      <c r="G2552" s="8" t="s">
        <v>4852</v>
      </c>
      <c r="H2552" s="8" t="s">
        <v>16</v>
      </c>
      <c r="I2552" s="9">
        <v>5388</v>
      </c>
      <c r="J2552" s="26">
        <v>39</v>
      </c>
      <c r="K2552" s="27">
        <v>39023</v>
      </c>
      <c r="L2552" s="3" t="str">
        <f t="shared" si="79"/>
        <v>ΚΗΠΕΥΤΙΚΑ_ΥΠΟ_ΚΑΛΥΨΗ</v>
      </c>
    </row>
    <row r="2553" spans="1:12" s="3" customFormat="1" ht="24" x14ac:dyDescent="0.25">
      <c r="A2553" s="3" t="str">
        <f t="shared" si="78"/>
        <v>ΚΗΠΕΥΤΙΚΑ ΥΠΟ ΚΑΛΥΨΗΜΑΝΙΤΑΡΙΑ KING STROPHARIA (Stropharia rugosoannulata)</v>
      </c>
      <c r="B2553" s="23" t="s">
        <v>4771</v>
      </c>
      <c r="C2553" s="24" t="s">
        <v>4853</v>
      </c>
      <c r="D2553" s="6">
        <f t="shared" si="80"/>
        <v>1081413</v>
      </c>
      <c r="E2553" s="6">
        <f t="shared" si="81"/>
        <v>1377596</v>
      </c>
      <c r="F2553" s="29" t="s">
        <v>14</v>
      </c>
      <c r="G2553" s="8" t="s">
        <v>4854</v>
      </c>
      <c r="H2553" s="8" t="s">
        <v>16</v>
      </c>
      <c r="I2553" s="9">
        <v>5389</v>
      </c>
      <c r="J2553" s="26">
        <v>39</v>
      </c>
      <c r="K2553" s="27">
        <v>39024</v>
      </c>
      <c r="L2553" s="3" t="str">
        <f t="shared" si="79"/>
        <v>ΚΗΠΕΥΤΙΚΑ_ΥΠΟ_ΚΑΛΥΨΗ</v>
      </c>
    </row>
    <row r="2554" spans="1:12" s="3" customFormat="1" ht="24" x14ac:dyDescent="0.25">
      <c r="A2554" s="3" t="str">
        <f t="shared" si="78"/>
        <v>ΚΗΠΕΥΤΙΚΑ ΥΠΟ ΚΑΛΥΨΗΜΑΝΙΤΑΡΙΑ ΒΩΛΙΤΗΣ Ο ΕΔΩΔΙΜΟΣ (Boletus edulis)</v>
      </c>
      <c r="B2554" s="23" t="s">
        <v>4771</v>
      </c>
      <c r="C2554" s="24" t="s">
        <v>4855</v>
      </c>
      <c r="D2554" s="6">
        <f t="shared" si="80"/>
        <v>1081413</v>
      </c>
      <c r="E2554" s="6">
        <f t="shared" si="81"/>
        <v>1377596</v>
      </c>
      <c r="F2554" s="29" t="s">
        <v>14</v>
      </c>
      <c r="G2554" s="8" t="s">
        <v>4856</v>
      </c>
      <c r="H2554" s="8" t="s">
        <v>16</v>
      </c>
      <c r="I2554" s="9">
        <v>5390</v>
      </c>
      <c r="J2554" s="26">
        <v>39</v>
      </c>
      <c r="K2554" s="27">
        <v>39025</v>
      </c>
      <c r="L2554" s="3" t="str">
        <f t="shared" si="79"/>
        <v>ΚΗΠΕΥΤΙΚΑ_ΥΠΟ_ΚΑΛΥΨΗ</v>
      </c>
    </row>
    <row r="2555" spans="1:12" s="3" customFormat="1" ht="24" x14ac:dyDescent="0.25">
      <c r="A2555" s="3" t="str">
        <f t="shared" si="78"/>
        <v>ΚΗΠΕΥΤΙΚΑ ΥΠΟ ΚΑΛΥΨΗΚΟΥΝΟΥΠΙΔΙ ΥΠΟ ΚΑΛΥΨΗ</v>
      </c>
      <c r="B2555" s="23" t="s">
        <v>4771</v>
      </c>
      <c r="C2555" s="24" t="s">
        <v>4857</v>
      </c>
      <c r="D2555" s="6">
        <v>53016.51</v>
      </c>
      <c r="E2555" s="6">
        <v>76725.259999999995</v>
      </c>
      <c r="F2555" s="29" t="s">
        <v>14</v>
      </c>
      <c r="G2555" s="8" t="s">
        <v>4858</v>
      </c>
      <c r="H2555" s="8" t="s">
        <v>16</v>
      </c>
      <c r="I2555" s="9">
        <v>5391</v>
      </c>
      <c r="J2555" s="26">
        <v>39</v>
      </c>
      <c r="K2555" s="27">
        <v>39026</v>
      </c>
      <c r="L2555" s="3" t="str">
        <f t="shared" si="79"/>
        <v>ΚΗΠΕΥΤΙΚΑ_ΥΠΟ_ΚΑΛΥΨΗ</v>
      </c>
    </row>
    <row r="2556" spans="1:12" s="3" customFormat="1" ht="24" x14ac:dyDescent="0.25">
      <c r="A2556" s="3" t="str">
        <f t="shared" si="78"/>
        <v>ΚΗΠΕΥΤΙΚΑ ΥΠΟ ΚΑΛΥΨΗΠΙΠΕΡΙΕΣ ΦΛΩΡΙΝΗΣ ΥΠΟ ΚΑΛΥΨΗ</v>
      </c>
      <c r="B2556" s="23" t="s">
        <v>4771</v>
      </c>
      <c r="C2556" s="24" t="s">
        <v>4859</v>
      </c>
      <c r="D2556" s="6">
        <v>53016.51</v>
      </c>
      <c r="E2556" s="6">
        <v>76725.259999999995</v>
      </c>
      <c r="F2556" s="29" t="s">
        <v>14</v>
      </c>
      <c r="G2556" s="8" t="s">
        <v>4860</v>
      </c>
      <c r="H2556" s="8" t="s">
        <v>16</v>
      </c>
      <c r="I2556" s="9">
        <v>5392</v>
      </c>
      <c r="J2556" s="26">
        <v>39</v>
      </c>
      <c r="K2556" s="27">
        <v>39027</v>
      </c>
      <c r="L2556" s="3" t="str">
        <f t="shared" si="79"/>
        <v>ΚΗΠΕΥΤΙΚΑ_ΥΠΟ_ΚΑΛΥΨΗ</v>
      </c>
    </row>
    <row r="2557" spans="1:12" s="3" customFormat="1" ht="24" x14ac:dyDescent="0.25">
      <c r="A2557" s="3" t="str">
        <f t="shared" si="78"/>
        <v>ΚΗΠΕΥΤΙΚΑ ΥΠΟ ΚΑΛΥΨΗΜΑΝΙΤΑΡΙΑ ΤΡΟΥΦΕΣ</v>
      </c>
      <c r="B2557" s="4" t="s">
        <v>4771</v>
      </c>
      <c r="C2557" s="5" t="s">
        <v>4861</v>
      </c>
      <c r="D2557" s="6">
        <v>0</v>
      </c>
      <c r="E2557" s="6">
        <v>0</v>
      </c>
      <c r="F2557" s="7" t="s">
        <v>14</v>
      </c>
      <c r="G2557" s="8" t="s">
        <v>4862</v>
      </c>
      <c r="H2557" s="8" t="s">
        <v>16</v>
      </c>
      <c r="I2557" s="9">
        <v>2526</v>
      </c>
      <c r="J2557" s="10">
        <v>39</v>
      </c>
      <c r="K2557" s="10">
        <v>8546</v>
      </c>
      <c r="L2557" s="3" t="str">
        <f t="shared" si="79"/>
        <v>ΚΗΠΕΥΤΙΚΑ_ΥΠΟ_ΚΑΛΥΨΗ</v>
      </c>
    </row>
    <row r="2558" spans="1:12" s="3" customFormat="1" ht="24" x14ac:dyDescent="0.25">
      <c r="A2558" s="3" t="str">
        <f t="shared" si="78"/>
        <v>ΚΗΠΕΥΤΙΚΑ ΥΠΟ ΚΑΛΥΨΗΑΓΓΟΥΡΙ ΘΕΡΜΟΚΗΠΙΟΥ</v>
      </c>
      <c r="B2558" s="4" t="s">
        <v>4771</v>
      </c>
      <c r="C2558" s="5" t="s">
        <v>4863</v>
      </c>
      <c r="D2558" s="6">
        <v>53016.51</v>
      </c>
      <c r="E2558" s="6">
        <v>76725.259999999995</v>
      </c>
      <c r="F2558" s="7" t="s">
        <v>14</v>
      </c>
      <c r="G2558" s="8" t="s">
        <v>4864</v>
      </c>
      <c r="H2558" s="8" t="s">
        <v>16</v>
      </c>
      <c r="I2558" s="9">
        <v>2535</v>
      </c>
      <c r="J2558" s="10">
        <v>39</v>
      </c>
      <c r="K2558" s="10">
        <v>8670</v>
      </c>
      <c r="L2558" s="3" t="str">
        <f t="shared" si="79"/>
        <v>ΚΗΠΕΥΤΙΚΑ_ΥΠΟ_ΚΑΛΥΨΗ</v>
      </c>
    </row>
    <row r="2559" spans="1:12" s="3" customFormat="1" ht="24" x14ac:dyDescent="0.25">
      <c r="A2559" s="3" t="str">
        <f t="shared" si="78"/>
        <v>ΚΗΠΕΥΤΙΚΑ ΥΠΟ ΚΑΛΥΨΗΚΟΛΟΚΥΘΑΚΙ ΘΕΡΜΟΚΗΠΙΟΥ</v>
      </c>
      <c r="B2559" s="4" t="s">
        <v>4771</v>
      </c>
      <c r="C2559" s="5" t="s">
        <v>4865</v>
      </c>
      <c r="D2559" s="6">
        <v>53016.51</v>
      </c>
      <c r="E2559" s="6">
        <v>76725.259999999995</v>
      </c>
      <c r="F2559" s="7" t="s">
        <v>14</v>
      </c>
      <c r="G2559" s="8" t="s">
        <v>4866</v>
      </c>
      <c r="H2559" s="8" t="s">
        <v>16</v>
      </c>
      <c r="I2559" s="9">
        <v>2559</v>
      </c>
      <c r="J2559" s="10">
        <v>39</v>
      </c>
      <c r="K2559" s="10">
        <v>8671</v>
      </c>
      <c r="L2559" s="3" t="str">
        <f t="shared" si="79"/>
        <v>ΚΗΠΕΥΤΙΚΑ_ΥΠΟ_ΚΑΛΥΨΗ</v>
      </c>
    </row>
    <row r="2560" spans="1:12" s="3" customFormat="1" ht="24" x14ac:dyDescent="0.25">
      <c r="A2560" s="3" t="str">
        <f t="shared" si="78"/>
        <v>ΚΗΠΕΥΤΙΚΑ ΥΠΟ ΚΑΛΥΨΗΤΟΜΑΤΑ ΘΕΡΜΟΚΗΠΙΟΥ</v>
      </c>
      <c r="B2560" s="4" t="s">
        <v>4771</v>
      </c>
      <c r="C2560" s="5" t="s">
        <v>4867</v>
      </c>
      <c r="D2560" s="6">
        <v>53016.51</v>
      </c>
      <c r="E2560" s="6">
        <v>76725.259999999995</v>
      </c>
      <c r="F2560" s="7" t="s">
        <v>14</v>
      </c>
      <c r="G2560" s="8" t="s">
        <v>4868</v>
      </c>
      <c r="H2560" s="8" t="s">
        <v>16</v>
      </c>
      <c r="I2560" s="9">
        <v>2558</v>
      </c>
      <c r="J2560" s="10">
        <v>39</v>
      </c>
      <c r="K2560" s="10">
        <v>8672</v>
      </c>
      <c r="L2560" s="3" t="str">
        <f t="shared" si="79"/>
        <v>ΚΗΠΕΥΤΙΚΑ_ΥΠΟ_ΚΑΛΥΨΗ</v>
      </c>
    </row>
    <row r="2561" spans="1:12" s="3" customFormat="1" ht="24" x14ac:dyDescent="0.25">
      <c r="A2561" s="3" t="str">
        <f t="shared" si="78"/>
        <v>ΚΗΠΕΥΤΙΚΑ ΥΠΟ ΚΑΛΥΨΗΠΕΠΟΝΙ ΘΕΡΜΟΚΗΠΙΟΥ</v>
      </c>
      <c r="B2561" s="4" t="s">
        <v>4771</v>
      </c>
      <c r="C2561" s="5" t="s">
        <v>4869</v>
      </c>
      <c r="D2561" s="6">
        <v>53016.51</v>
      </c>
      <c r="E2561" s="6">
        <v>76725.259999999995</v>
      </c>
      <c r="F2561" s="7" t="s">
        <v>14</v>
      </c>
      <c r="G2561" s="8" t="s">
        <v>4870</v>
      </c>
      <c r="H2561" s="8" t="s">
        <v>16</v>
      </c>
      <c r="I2561" s="9">
        <v>2557</v>
      </c>
      <c r="J2561" s="10">
        <v>39</v>
      </c>
      <c r="K2561" s="10">
        <v>8673</v>
      </c>
      <c r="L2561" s="3" t="str">
        <f t="shared" si="79"/>
        <v>ΚΗΠΕΥΤΙΚΑ_ΥΠΟ_ΚΑΛΥΨΗ</v>
      </c>
    </row>
    <row r="2562" spans="1:12" s="3" customFormat="1" ht="24" x14ac:dyDescent="0.25">
      <c r="A2562" s="3" t="str">
        <f t="shared" si="78"/>
        <v>ΚΗΠΕΥΤΙΚΑ ΥΠΟ ΚΑΛΥΨΗΠΙΠΕΡΙΑ ΘΕΡΜΟΚΗΠΙΟΥ</v>
      </c>
      <c r="B2562" s="4" t="s">
        <v>4771</v>
      </c>
      <c r="C2562" s="5" t="s">
        <v>4871</v>
      </c>
      <c r="D2562" s="6">
        <v>53016.51</v>
      </c>
      <c r="E2562" s="6">
        <v>76725.259999999995</v>
      </c>
      <c r="F2562" s="7" t="s">
        <v>14</v>
      </c>
      <c r="G2562" s="8" t="s">
        <v>4872</v>
      </c>
      <c r="H2562" s="8" t="s">
        <v>16</v>
      </c>
      <c r="I2562" s="9">
        <v>2555</v>
      </c>
      <c r="J2562" s="10">
        <v>39</v>
      </c>
      <c r="K2562" s="10">
        <v>8674</v>
      </c>
      <c r="L2562" s="3" t="str">
        <f t="shared" si="79"/>
        <v>ΚΗΠΕΥΤΙΚΑ_ΥΠΟ_ΚΑΛΥΨΗ</v>
      </c>
    </row>
    <row r="2563" spans="1:12" s="3" customFormat="1" ht="24" x14ac:dyDescent="0.25">
      <c r="A2563" s="3" t="str">
        <f t="shared" ref="A2563:A2626" si="82">_xlfn.CONCAT(B2563,C2563)</f>
        <v>ΚΗΠΕΥΤΙΚΑ ΥΠΟ ΚΑΛΥΨΗΦΑΣΟΛΑΚΙΑ ΘΕΡΜΟΚΗΠΙΟΥ</v>
      </c>
      <c r="B2563" s="4" t="s">
        <v>4771</v>
      </c>
      <c r="C2563" s="5" t="s">
        <v>4873</v>
      </c>
      <c r="D2563" s="6">
        <v>53016.51</v>
      </c>
      <c r="E2563" s="6">
        <v>76725.259999999995</v>
      </c>
      <c r="F2563" s="7" t="s">
        <v>14</v>
      </c>
      <c r="G2563" s="8" t="s">
        <v>4874</v>
      </c>
      <c r="H2563" s="8" t="s">
        <v>16</v>
      </c>
      <c r="I2563" s="9">
        <v>2554</v>
      </c>
      <c r="J2563" s="10">
        <v>39</v>
      </c>
      <c r="K2563" s="10">
        <v>8675</v>
      </c>
      <c r="L2563" s="3" t="str">
        <f t="shared" ref="L2563:L2626" si="83">IFERROR(SUBSTITUTE(SUBSTITUTE(SUBSTITUTE(SUBSTITUTE(SUBSTITUTE(B2563, "-", "_"), " ", "_"), ",", ""), "(", ""), ")", ""), B2563)</f>
        <v>ΚΗΠΕΥΤΙΚΑ_ΥΠΟ_ΚΑΛΥΨΗ</v>
      </c>
    </row>
    <row r="2564" spans="1:12" s="3" customFormat="1" ht="24" x14ac:dyDescent="0.25">
      <c r="A2564" s="3" t="str">
        <f t="shared" si="82"/>
        <v>ΚΗΠΕΥΤΙΚΑ ΥΠΟ ΚΑΛΥΨΗΚΡΕΜΜΥΔΑΚΙΑ ΣΚΟΡΔΑΚΙΑ ΝΩΠΑ</v>
      </c>
      <c r="B2564" s="4" t="s">
        <v>4771</v>
      </c>
      <c r="C2564" s="5" t="s">
        <v>4875</v>
      </c>
      <c r="D2564" s="6">
        <v>53016.51</v>
      </c>
      <c r="E2564" s="6">
        <v>76725.259999999995</v>
      </c>
      <c r="F2564" s="7" t="s">
        <v>14</v>
      </c>
      <c r="G2564" s="8" t="s">
        <v>4876</v>
      </c>
      <c r="H2564" s="8" t="s">
        <v>16</v>
      </c>
      <c r="I2564" s="9">
        <v>2521</v>
      </c>
      <c r="J2564" s="10">
        <v>39</v>
      </c>
      <c r="K2564" s="10">
        <v>8681</v>
      </c>
      <c r="L2564" s="3" t="str">
        <f t="shared" si="83"/>
        <v>ΚΗΠΕΥΤΙΚΑ_ΥΠΟ_ΚΑΛΥΨΗ</v>
      </c>
    </row>
    <row r="2565" spans="1:12" s="3" customFormat="1" ht="24" x14ac:dyDescent="0.25">
      <c r="A2565" s="3" t="str">
        <f t="shared" si="82"/>
        <v>ΚΗΠΕΥΤΙΚΑ ΥΠΟ ΚΑΛΥΨΗΜΑΝΙΤΑΡΙΑ AGARICUS (εκτάριο, 8 κοπές)</v>
      </c>
      <c r="B2565" s="4" t="s">
        <v>4771</v>
      </c>
      <c r="C2565" s="5" t="s">
        <v>4877</v>
      </c>
      <c r="D2565" s="6">
        <f>10814.13*100</f>
        <v>1081413</v>
      </c>
      <c r="E2565" s="6">
        <f>13775.96*100</f>
        <v>1377596</v>
      </c>
      <c r="F2565" s="7" t="s">
        <v>14</v>
      </c>
      <c r="G2565" s="8" t="s">
        <v>4878</v>
      </c>
      <c r="H2565" s="8" t="s">
        <v>16</v>
      </c>
      <c r="I2565" s="9">
        <v>2512</v>
      </c>
      <c r="J2565" s="10">
        <v>39</v>
      </c>
      <c r="K2565" s="10">
        <v>8710</v>
      </c>
      <c r="L2565" s="3" t="str">
        <f t="shared" si="83"/>
        <v>ΚΗΠΕΥΤΙΚΑ_ΥΠΟ_ΚΑΛΥΨΗ</v>
      </c>
    </row>
    <row r="2566" spans="1:12" s="3" customFormat="1" ht="24" x14ac:dyDescent="0.25">
      <c r="A2566" s="3" t="str">
        <f t="shared" si="82"/>
        <v>ΚΗΠΕΥΤΙΚΑ ΥΠΟ ΚΑΛΥΨΗΜΑΝΙΤΑΡΙΑ PLEUROTUS (εκτάριο, 8 κοπές)</v>
      </c>
      <c r="B2566" s="4" t="s">
        <v>4771</v>
      </c>
      <c r="C2566" s="5" t="s">
        <v>4879</v>
      </c>
      <c r="D2566" s="6">
        <f>10814.13*100</f>
        <v>1081413</v>
      </c>
      <c r="E2566" s="6">
        <f>13775.96*100</f>
        <v>1377596</v>
      </c>
      <c r="F2566" s="7" t="s">
        <v>14</v>
      </c>
      <c r="G2566" s="8" t="s">
        <v>4880</v>
      </c>
      <c r="H2566" s="8" t="s">
        <v>16</v>
      </c>
      <c r="I2566" s="9">
        <v>2511</v>
      </c>
      <c r="J2566" s="10">
        <v>39</v>
      </c>
      <c r="K2566" s="10">
        <v>8712</v>
      </c>
      <c r="L2566" s="3" t="str">
        <f t="shared" si="83"/>
        <v>ΚΗΠΕΥΤΙΚΑ_ΥΠΟ_ΚΑΛΥΨΗ</v>
      </c>
    </row>
    <row r="2567" spans="1:12" s="3" customFormat="1" ht="24" x14ac:dyDescent="0.25">
      <c r="A2567" s="3" t="str">
        <f t="shared" si="82"/>
        <v>ΚΗΠΕΥΤΙΚΑ ΥΠΟ ΚΑΛΥΨΗΛΑΧΑΝΟ ΘΕΡΜΟΚΗΠΙΟΥ Λάχανο Brasicaceae</v>
      </c>
      <c r="B2567" s="4" t="s">
        <v>4771</v>
      </c>
      <c r="C2567" s="5" t="s">
        <v>4881</v>
      </c>
      <c r="D2567" s="6">
        <v>53016.51</v>
      </c>
      <c r="E2567" s="6">
        <v>76725.259999999995</v>
      </c>
      <c r="F2567" s="7" t="s">
        <v>14</v>
      </c>
      <c r="G2567" s="8" t="s">
        <v>4882</v>
      </c>
      <c r="H2567" s="8" t="s">
        <v>16</v>
      </c>
      <c r="I2567" s="9">
        <v>2506</v>
      </c>
      <c r="J2567" s="10">
        <v>39</v>
      </c>
      <c r="K2567" s="10">
        <v>8713</v>
      </c>
      <c r="L2567" s="3" t="str">
        <f t="shared" si="83"/>
        <v>ΚΗΠΕΥΤΙΚΑ_ΥΠΟ_ΚΑΛΥΨΗ</v>
      </c>
    </row>
    <row r="2568" spans="1:12" s="3" customFormat="1" ht="24" x14ac:dyDescent="0.25">
      <c r="A2568" s="3" t="str">
        <f t="shared" si="82"/>
        <v>ΚΗΠΕΥΤΙΚΑ ΥΠΟ ΚΑΛΥΨΗΦΑΣΟΛΑΚΙΑ ΘΕΡΜΟΚΗΠΙΟΥ ΕΞΑΙΡΕΣΗ</v>
      </c>
      <c r="B2568" s="4" t="s">
        <v>4771</v>
      </c>
      <c r="C2568" s="5" t="s">
        <v>4883</v>
      </c>
      <c r="D2568" s="6">
        <v>53016.51</v>
      </c>
      <c r="E2568" s="6">
        <v>76725.259999999995</v>
      </c>
      <c r="F2568" s="7" t="s">
        <v>14</v>
      </c>
      <c r="G2568" s="8" t="s">
        <v>4884</v>
      </c>
      <c r="H2568" s="8" t="s">
        <v>16</v>
      </c>
      <c r="I2568" s="9">
        <v>2538</v>
      </c>
      <c r="J2568" s="10">
        <v>39</v>
      </c>
      <c r="K2568" s="10">
        <v>9107002</v>
      </c>
      <c r="L2568" s="3" t="str">
        <f t="shared" si="83"/>
        <v>ΚΗΠΕΥΤΙΚΑ_ΥΠΟ_ΚΑΛΥΨΗ</v>
      </c>
    </row>
    <row r="2569" spans="1:12" s="3" customFormat="1" ht="24" x14ac:dyDescent="0.25">
      <c r="A2569" s="3" t="str">
        <f t="shared" si="82"/>
        <v>ΚΗΠΕΥΤΙΚΑ ΥΠΟ ΚΑΛΥΨΗΠΙΠΕΡΙΑ ΘΕΡΜΟΚΗΠΙΟΥ ΕΞΑΙΡΕΣΗ</v>
      </c>
      <c r="B2569" s="4" t="s">
        <v>4771</v>
      </c>
      <c r="C2569" s="5" t="s">
        <v>4885</v>
      </c>
      <c r="D2569" s="6">
        <v>53016.51</v>
      </c>
      <c r="E2569" s="6">
        <v>76725.259999999995</v>
      </c>
      <c r="F2569" s="7" t="s">
        <v>14</v>
      </c>
      <c r="G2569" s="8" t="s">
        <v>4886</v>
      </c>
      <c r="H2569" s="8" t="s">
        <v>16</v>
      </c>
      <c r="I2569" s="9">
        <v>2547</v>
      </c>
      <c r="J2569" s="10">
        <v>39</v>
      </c>
      <c r="K2569" s="10">
        <v>9107003</v>
      </c>
      <c r="L2569" s="3" t="str">
        <f t="shared" si="83"/>
        <v>ΚΗΠΕΥΤΙΚΑ_ΥΠΟ_ΚΑΛΥΨΗ</v>
      </c>
    </row>
    <row r="2570" spans="1:12" s="3" customFormat="1" ht="24" x14ac:dyDescent="0.25">
      <c r="A2570" s="3" t="str">
        <f t="shared" si="82"/>
        <v>ΚΗΠΕΥΤΙΚΑ ΥΠΟ ΚΑΛΥΨΗΤΟΜΑΤΑ ΘΕΡΜΟΚΗΠΙΟΥ ΕΞΑΙΡΕΣΗ</v>
      </c>
      <c r="B2570" s="4" t="s">
        <v>4771</v>
      </c>
      <c r="C2570" s="5" t="s">
        <v>4887</v>
      </c>
      <c r="D2570" s="6">
        <v>53016.51</v>
      </c>
      <c r="E2570" s="6">
        <v>76725.259999999995</v>
      </c>
      <c r="F2570" s="7" t="s">
        <v>14</v>
      </c>
      <c r="G2570" s="8" t="s">
        <v>4888</v>
      </c>
      <c r="H2570" s="8" t="s">
        <v>16</v>
      </c>
      <c r="I2570" s="9">
        <v>2548</v>
      </c>
      <c r="J2570" s="10">
        <v>39</v>
      </c>
      <c r="K2570" s="10">
        <v>9107004</v>
      </c>
      <c r="L2570" s="3" t="str">
        <f t="shared" si="83"/>
        <v>ΚΗΠΕΥΤΙΚΑ_ΥΠΟ_ΚΑΛΥΨΗ</v>
      </c>
    </row>
    <row r="2571" spans="1:12" s="3" customFormat="1" ht="24" x14ac:dyDescent="0.25">
      <c r="A2571" s="3" t="str">
        <f t="shared" si="82"/>
        <v>ΚΗΠΕΥΤΙΚΑ ΥΠΟ ΚΑΛΥΨΗΚΟΛΟΚΥΘΑΚΙ ΘΕΡΜΟΚΗΠΙΟΥ ΕΞΑΙΡΕΣΗ</v>
      </c>
      <c r="B2571" s="4" t="s">
        <v>4771</v>
      </c>
      <c r="C2571" s="5" t="s">
        <v>4889</v>
      </c>
      <c r="D2571" s="6">
        <v>53016.51</v>
      </c>
      <c r="E2571" s="6">
        <v>76725.259999999995</v>
      </c>
      <c r="F2571" s="7" t="s">
        <v>14</v>
      </c>
      <c r="G2571" s="8" t="s">
        <v>4890</v>
      </c>
      <c r="H2571" s="8" t="s">
        <v>16</v>
      </c>
      <c r="I2571" s="9">
        <v>2549</v>
      </c>
      <c r="J2571" s="10">
        <v>39</v>
      </c>
      <c r="K2571" s="10">
        <v>9107005</v>
      </c>
      <c r="L2571" s="3" t="str">
        <f t="shared" si="83"/>
        <v>ΚΗΠΕΥΤΙΚΑ_ΥΠΟ_ΚΑΛΥΨΗ</v>
      </c>
    </row>
    <row r="2572" spans="1:12" s="3" customFormat="1" ht="24" x14ac:dyDescent="0.25">
      <c r="A2572" s="3" t="str">
        <f t="shared" si="82"/>
        <v>ΚΗΠΕΥΤΙΚΑ ΥΠΟ ΚΑΛΥΨΗΜΕΛΙΤΖΑΝΑ ΘΕΡΜΟΚΗΠΙΟΥ ΕΞΑΙΡΕΣΗ</v>
      </c>
      <c r="B2572" s="4" t="s">
        <v>4771</v>
      </c>
      <c r="C2572" s="5" t="s">
        <v>4891</v>
      </c>
      <c r="D2572" s="6">
        <v>53016.51</v>
      </c>
      <c r="E2572" s="6">
        <v>76725.259999999995</v>
      </c>
      <c r="F2572" s="7" t="s">
        <v>14</v>
      </c>
      <c r="G2572" s="8" t="s">
        <v>4892</v>
      </c>
      <c r="H2572" s="8" t="s">
        <v>16</v>
      </c>
      <c r="I2572" s="9">
        <v>2551</v>
      </c>
      <c r="J2572" s="10">
        <v>39</v>
      </c>
      <c r="K2572" s="10">
        <v>9107006</v>
      </c>
      <c r="L2572" s="3" t="str">
        <f t="shared" si="83"/>
        <v>ΚΗΠΕΥΤΙΚΑ_ΥΠΟ_ΚΑΛΥΨΗ</v>
      </c>
    </row>
    <row r="2573" spans="1:12" s="3" customFormat="1" ht="31.5" x14ac:dyDescent="0.25">
      <c r="A2573" s="3" t="str">
        <f t="shared" si="82"/>
        <v>ΚΗΠΕΥΤΙΚΑ ΥΠΟ ΚΑΛΥΨΗΜΑΡΟΥΛΙ - ΜΑΡΟΥΛΙΑ ΣΑΛΑΤΑ ΘΕΡΜΟΚΗΠΙΟΥ ΕΞΑΙΡΕΣΗ</v>
      </c>
      <c r="B2573" s="4" t="s">
        <v>4771</v>
      </c>
      <c r="C2573" s="5" t="s">
        <v>4893</v>
      </c>
      <c r="D2573" s="6">
        <v>53016.51</v>
      </c>
      <c r="E2573" s="6">
        <v>76725.259999999995</v>
      </c>
      <c r="F2573" s="7" t="s">
        <v>14</v>
      </c>
      <c r="G2573" s="8" t="s">
        <v>4894</v>
      </c>
      <c r="H2573" s="8" t="s">
        <v>16</v>
      </c>
      <c r="I2573" s="9">
        <v>2560</v>
      </c>
      <c r="J2573" s="10">
        <v>39</v>
      </c>
      <c r="K2573" s="10">
        <v>9107007</v>
      </c>
      <c r="L2573" s="3" t="str">
        <f t="shared" si="83"/>
        <v>ΚΗΠΕΥΤΙΚΑ_ΥΠΟ_ΚΑΛΥΨΗ</v>
      </c>
    </row>
    <row r="2574" spans="1:12" s="3" customFormat="1" ht="24" x14ac:dyDescent="0.25">
      <c r="A2574" s="3" t="str">
        <f t="shared" si="82"/>
        <v>ΚΗΠΕΥΤΙΚΑ ΥΠΟ ΚΑΛΥΨΗΑΓΓΟΥΡΙ ΘΕΡΜΟΚΗΠΙΟΥ ΕΞΑΙΡΕΣΗ</v>
      </c>
      <c r="B2574" s="4" t="s">
        <v>4771</v>
      </c>
      <c r="C2574" s="5" t="s">
        <v>4895</v>
      </c>
      <c r="D2574" s="6">
        <v>53016.51</v>
      </c>
      <c r="E2574" s="6">
        <v>76725.259999999995</v>
      </c>
      <c r="F2574" s="7" t="s">
        <v>14</v>
      </c>
      <c r="G2574" s="8" t="s">
        <v>4896</v>
      </c>
      <c r="H2574" s="8" t="s">
        <v>16</v>
      </c>
      <c r="I2574" s="9">
        <v>2553</v>
      </c>
      <c r="J2574" s="10">
        <v>39</v>
      </c>
      <c r="K2574" s="10">
        <v>9107008</v>
      </c>
      <c r="L2574" s="3" t="str">
        <f t="shared" si="83"/>
        <v>ΚΗΠΕΥΤΙΚΑ_ΥΠΟ_ΚΑΛΥΨΗ</v>
      </c>
    </row>
    <row r="2575" spans="1:12" s="3" customFormat="1" ht="24" x14ac:dyDescent="0.25">
      <c r="A2575" s="3" t="str">
        <f t="shared" si="82"/>
        <v>ΚΗΠΕΥΤΙΚΑ ΥΠΟ ΚΑΛΥΨΗΚΑΡΠΟΥΖΙ ΘΕΡΜΟΚΗΠΙΟΥ ΕΞΑΙΡΕΣΗ</v>
      </c>
      <c r="B2575" s="4" t="s">
        <v>4771</v>
      </c>
      <c r="C2575" s="5" t="s">
        <v>4897</v>
      </c>
      <c r="D2575" s="6">
        <v>53016.51</v>
      </c>
      <c r="E2575" s="6">
        <v>76725.259999999995</v>
      </c>
      <c r="F2575" s="7" t="s">
        <v>14</v>
      </c>
      <c r="G2575" s="8" t="s">
        <v>4898</v>
      </c>
      <c r="H2575" s="8" t="s">
        <v>16</v>
      </c>
      <c r="I2575" s="9">
        <v>2544</v>
      </c>
      <c r="J2575" s="10">
        <v>39</v>
      </c>
      <c r="K2575" s="10">
        <v>9107009</v>
      </c>
      <c r="L2575" s="3" t="str">
        <f t="shared" si="83"/>
        <v>ΚΗΠΕΥΤΙΚΑ_ΥΠΟ_ΚΑΛΥΨΗ</v>
      </c>
    </row>
    <row r="2576" spans="1:12" s="3" customFormat="1" ht="24" x14ac:dyDescent="0.25">
      <c r="A2576" s="3" t="str">
        <f t="shared" si="82"/>
        <v>ΚΗΠΕΥΤΙΚΑ ΥΠΟ ΚΑΛΥΨΗΠΕΠΟΝΙ ΘΕΡΜΟΚΗΠΙΟΥ ΕΞΑΙΡΕΣΗ</v>
      </c>
      <c r="B2576" s="4" t="s">
        <v>4771</v>
      </c>
      <c r="C2576" s="5" t="s">
        <v>4899</v>
      </c>
      <c r="D2576" s="6">
        <v>53016.51</v>
      </c>
      <c r="E2576" s="6">
        <v>76725.259999999995</v>
      </c>
      <c r="F2576" s="7" t="s">
        <v>14</v>
      </c>
      <c r="G2576" s="8" t="s">
        <v>4900</v>
      </c>
      <c r="H2576" s="8" t="s">
        <v>16</v>
      </c>
      <c r="I2576" s="9">
        <v>2541</v>
      </c>
      <c r="J2576" s="10">
        <v>39</v>
      </c>
      <c r="K2576" s="10">
        <v>9107010</v>
      </c>
      <c r="L2576" s="3" t="str">
        <f t="shared" si="83"/>
        <v>ΚΗΠΕΥΤΙΚΑ_ΥΠΟ_ΚΑΛΥΨΗ</v>
      </c>
    </row>
    <row r="2577" spans="1:12" s="3" customFormat="1" ht="24" x14ac:dyDescent="0.25">
      <c r="A2577" s="3" t="str">
        <f t="shared" si="82"/>
        <v>ΚΗΠΕΥΤΙΚΑ ΥΠΟ ΚΑΛΥΨΗΦΡΑΟΥΛΑ ΘΕΡΜΟΚΗΠΙΟΥ ΕΞΑΙΡΕΣΗ</v>
      </c>
      <c r="B2577" s="4" t="s">
        <v>4771</v>
      </c>
      <c r="C2577" s="5" t="s">
        <v>4901</v>
      </c>
      <c r="D2577" s="6">
        <v>53016.51</v>
      </c>
      <c r="E2577" s="6">
        <v>76725.259999999995</v>
      </c>
      <c r="F2577" s="7" t="s">
        <v>14</v>
      </c>
      <c r="G2577" s="8" t="s">
        <v>4902</v>
      </c>
      <c r="H2577" s="8" t="s">
        <v>16</v>
      </c>
      <c r="I2577" s="9">
        <v>2542</v>
      </c>
      <c r="J2577" s="10">
        <v>39</v>
      </c>
      <c r="K2577" s="10">
        <v>9107011</v>
      </c>
      <c r="L2577" s="3" t="str">
        <f t="shared" si="83"/>
        <v>ΚΗΠΕΥΤΙΚΑ_ΥΠΟ_ΚΑΛΥΨΗ</v>
      </c>
    </row>
    <row r="2578" spans="1:12" s="3" customFormat="1" ht="24" x14ac:dyDescent="0.25">
      <c r="A2578" s="3" t="str">
        <f t="shared" si="82"/>
        <v>ΚΗΠΕΥΤΙΚΑ ΥΠΟ ΚΑΛΥΨΗΦΑΣΟΛΑΚΙΑ ΧΑΝΤΡΕΣ</v>
      </c>
      <c r="B2578" s="4" t="s">
        <v>4771</v>
      </c>
      <c r="C2578" s="5" t="s">
        <v>4903</v>
      </c>
      <c r="D2578" s="6">
        <v>53016.51</v>
      </c>
      <c r="E2578" s="6">
        <v>76725.259999999995</v>
      </c>
      <c r="F2578" s="7" t="s">
        <v>14</v>
      </c>
      <c r="G2578" s="8" t="s">
        <v>4904</v>
      </c>
      <c r="H2578" s="8" t="s">
        <v>16</v>
      </c>
      <c r="I2578" s="9">
        <v>2527</v>
      </c>
      <c r="J2578" s="10">
        <v>39</v>
      </c>
      <c r="K2578" s="10">
        <v>9107034</v>
      </c>
      <c r="L2578" s="3" t="str">
        <f t="shared" si="83"/>
        <v>ΚΗΠΕΥΤΙΚΑ_ΥΠΟ_ΚΑΛΥΨΗ</v>
      </c>
    </row>
    <row r="2579" spans="1:12" s="3" customFormat="1" ht="24" x14ac:dyDescent="0.25">
      <c r="A2579" s="3" t="str">
        <f t="shared" si="82"/>
        <v>ΚΗΠΕΥΤΙΚΑ ΥΠΟ ΚΑΛΥΨΗΣΤΑΜΝΑΓΚΑΘΙ</v>
      </c>
      <c r="B2579" s="4" t="s">
        <v>4771</v>
      </c>
      <c r="C2579" s="5" t="s">
        <v>4905</v>
      </c>
      <c r="D2579" s="6">
        <v>53016.51</v>
      </c>
      <c r="E2579" s="6">
        <v>76725.259999999995</v>
      </c>
      <c r="F2579" s="7" t="s">
        <v>14</v>
      </c>
      <c r="G2579" s="8" t="s">
        <v>4906</v>
      </c>
      <c r="H2579" s="8" t="s">
        <v>16</v>
      </c>
      <c r="I2579" s="9">
        <v>2534</v>
      </c>
      <c r="J2579" s="10">
        <v>39</v>
      </c>
      <c r="K2579" s="10">
        <v>9107035</v>
      </c>
      <c r="L2579" s="3" t="str">
        <f t="shared" si="83"/>
        <v>ΚΗΠΕΥΤΙΚΑ_ΥΠΟ_ΚΑΛΥΨΗ</v>
      </c>
    </row>
    <row r="2580" spans="1:12" s="3" customFormat="1" ht="24" x14ac:dyDescent="0.25">
      <c r="A2580" s="3" t="str">
        <f t="shared" si="82"/>
        <v>ΚΗΠΕΥΤΙΚΑ ΥΠΟ ΚΑΛΥΨΗΠΑΤΑΤΑ ΘΕΡΜΟΚΗΠΙΟΥ</v>
      </c>
      <c r="B2580" s="4" t="s">
        <v>4771</v>
      </c>
      <c r="C2580" s="5" t="s">
        <v>4907</v>
      </c>
      <c r="D2580" s="6">
        <v>53016.51</v>
      </c>
      <c r="E2580" s="6">
        <v>76725.259999999995</v>
      </c>
      <c r="F2580" s="7" t="s">
        <v>14</v>
      </c>
      <c r="G2580" s="8" t="s">
        <v>4908</v>
      </c>
      <c r="H2580" s="8" t="s">
        <v>16</v>
      </c>
      <c r="I2580" s="9">
        <v>2508</v>
      </c>
      <c r="J2580" s="10">
        <v>39</v>
      </c>
      <c r="K2580" s="10">
        <v>98200</v>
      </c>
      <c r="L2580" s="3" t="str">
        <f t="shared" si="83"/>
        <v>ΚΗΠΕΥΤΙΚΑ_ΥΠΟ_ΚΑΛΥΨΗ</v>
      </c>
    </row>
    <row r="2581" spans="1:12" s="3" customFormat="1" ht="24" x14ac:dyDescent="0.25">
      <c r="A2581" s="3" t="str">
        <f t="shared" si="82"/>
        <v>ΚΗΠΕΥΤΙΚΑ ΥΠΟ ΚΑΛΥΨΗΠΑΤΑΤΑ ΘΕΡΜΟΚΗΠΙΟΥ ΕΞΑΙΡΕΣΗ</v>
      </c>
      <c r="B2581" s="4" t="s">
        <v>4771</v>
      </c>
      <c r="C2581" s="5" t="s">
        <v>4909</v>
      </c>
      <c r="D2581" s="6">
        <v>53016.51</v>
      </c>
      <c r="E2581" s="6">
        <v>76725.259999999995</v>
      </c>
      <c r="F2581" s="7" t="s">
        <v>14</v>
      </c>
      <c r="G2581" s="8" t="s">
        <v>4910</v>
      </c>
      <c r="H2581" s="8" t="s">
        <v>16</v>
      </c>
      <c r="I2581" s="9">
        <v>2507</v>
      </c>
      <c r="J2581" s="10">
        <v>39</v>
      </c>
      <c r="K2581" s="10">
        <v>98201</v>
      </c>
      <c r="L2581" s="3" t="str">
        <f t="shared" si="83"/>
        <v>ΚΗΠΕΥΤΙΚΑ_ΥΠΟ_ΚΑΛΥΨΗ</v>
      </c>
    </row>
    <row r="2582" spans="1:12" s="3" customFormat="1" ht="24" x14ac:dyDescent="0.25">
      <c r="A2582" s="3" t="str">
        <f t="shared" si="82"/>
        <v>ΚΗΠΕΥΤΙΚΑΜΠΙΖΕΛΙΑ</v>
      </c>
      <c r="B2582" s="4" t="s">
        <v>4911</v>
      </c>
      <c r="C2582" s="5" t="s">
        <v>4912</v>
      </c>
      <c r="D2582" s="6">
        <v>1568.73</v>
      </c>
      <c r="E2582" s="6">
        <v>1689.55</v>
      </c>
      <c r="F2582" s="7" t="s">
        <v>14</v>
      </c>
      <c r="G2582" s="8" t="s">
        <v>4913</v>
      </c>
      <c r="H2582" s="8" t="s">
        <v>16</v>
      </c>
      <c r="I2582" s="9">
        <v>2460</v>
      </c>
      <c r="J2582" s="10">
        <v>38</v>
      </c>
      <c r="K2582" s="10">
        <v>1003</v>
      </c>
      <c r="L2582" s="3" t="str">
        <f t="shared" si="83"/>
        <v>ΚΗΠΕΥΤΙΚΑ</v>
      </c>
    </row>
    <row r="2583" spans="1:12" s="3" customFormat="1" ht="24" x14ac:dyDescent="0.25">
      <c r="A2583" s="3" t="str">
        <f t="shared" si="82"/>
        <v>ΚΗΠΕΥΤΙΚΑΠΕΠΟΝΙ - ΑΡΓΟΥΣ</v>
      </c>
      <c r="B2583" s="4" t="s">
        <v>4911</v>
      </c>
      <c r="C2583" s="5" t="s">
        <v>4914</v>
      </c>
      <c r="D2583" s="6">
        <v>11290.03</v>
      </c>
      <c r="E2583" s="6">
        <v>13610.93</v>
      </c>
      <c r="F2583" s="7" t="s">
        <v>14</v>
      </c>
      <c r="G2583" s="8" t="s">
        <v>4915</v>
      </c>
      <c r="H2583" s="8" t="s">
        <v>16</v>
      </c>
      <c r="I2583" s="9">
        <v>2469</v>
      </c>
      <c r="J2583" s="10">
        <v>38</v>
      </c>
      <c r="K2583" s="10">
        <v>10195</v>
      </c>
      <c r="L2583" s="3" t="str">
        <f t="shared" si="83"/>
        <v>ΚΗΠΕΥΤΙΚΑ</v>
      </c>
    </row>
    <row r="2584" spans="1:12" s="3" customFormat="1" ht="24" x14ac:dyDescent="0.25">
      <c r="A2584" s="3" t="str">
        <f t="shared" si="82"/>
        <v>ΚΗΠΕΥΤΙΚΑΠΕΠΟΝΙ - ΖΑΚΥΝΘΟΥ</v>
      </c>
      <c r="B2584" s="4" t="s">
        <v>4911</v>
      </c>
      <c r="C2584" s="5" t="s">
        <v>4916</v>
      </c>
      <c r="D2584" s="6">
        <v>11290.03</v>
      </c>
      <c r="E2584" s="6">
        <v>13610.93</v>
      </c>
      <c r="F2584" s="7" t="s">
        <v>14</v>
      </c>
      <c r="G2584" s="8" t="s">
        <v>4917</v>
      </c>
      <c r="H2584" s="8" t="s">
        <v>16</v>
      </c>
      <c r="I2584" s="9">
        <v>2468</v>
      </c>
      <c r="J2584" s="10">
        <v>38</v>
      </c>
      <c r="K2584" s="10">
        <v>10196</v>
      </c>
      <c r="L2584" s="3" t="str">
        <f t="shared" si="83"/>
        <v>ΚΗΠΕΥΤΙΚΑ</v>
      </c>
    </row>
    <row r="2585" spans="1:12" s="3" customFormat="1" ht="24" x14ac:dyDescent="0.25">
      <c r="A2585" s="3" t="str">
        <f t="shared" si="82"/>
        <v>ΚΗΠΕΥΤΙΚΑΠΕΠΟΝΙ - ΑΓΓΟΥΡΟΠΕΠΟΝΟ</v>
      </c>
      <c r="B2585" s="4" t="s">
        <v>4911</v>
      </c>
      <c r="C2585" s="5" t="s">
        <v>4918</v>
      </c>
      <c r="D2585" s="6">
        <v>11290.03</v>
      </c>
      <c r="E2585" s="6">
        <v>13610.93</v>
      </c>
      <c r="F2585" s="7" t="s">
        <v>14</v>
      </c>
      <c r="G2585" s="8" t="s">
        <v>4919</v>
      </c>
      <c r="H2585" s="8" t="s">
        <v>16</v>
      </c>
      <c r="I2585" s="9">
        <v>2467</v>
      </c>
      <c r="J2585" s="10">
        <v>38</v>
      </c>
      <c r="K2585" s="10">
        <v>10197</v>
      </c>
      <c r="L2585" s="3" t="str">
        <f t="shared" si="83"/>
        <v>ΚΗΠΕΥΤΙΚΑ</v>
      </c>
    </row>
    <row r="2586" spans="1:12" s="3" customFormat="1" ht="24" x14ac:dyDescent="0.25">
      <c r="A2586" s="3" t="str">
        <f t="shared" si="82"/>
        <v>ΚΗΠΕΥΤΙΚΑΠΕΠΟΝΙ - ΚΑΣΙΔΙΑΡΙΚΟ</v>
      </c>
      <c r="B2586" s="4" t="s">
        <v>4911</v>
      </c>
      <c r="C2586" s="5" t="s">
        <v>4920</v>
      </c>
      <c r="D2586" s="6">
        <v>11290.03</v>
      </c>
      <c r="E2586" s="6">
        <v>13610.93</v>
      </c>
      <c r="F2586" s="7" t="s">
        <v>14</v>
      </c>
      <c r="G2586" s="8" t="s">
        <v>4921</v>
      </c>
      <c r="H2586" s="8" t="s">
        <v>16</v>
      </c>
      <c r="I2586" s="9">
        <v>2466</v>
      </c>
      <c r="J2586" s="10">
        <v>38</v>
      </c>
      <c r="K2586" s="10">
        <v>10198</v>
      </c>
      <c r="L2586" s="3" t="str">
        <f t="shared" si="83"/>
        <v>ΚΗΠΕΥΤΙΚΑ</v>
      </c>
    </row>
    <row r="2587" spans="1:12" s="3" customFormat="1" ht="24" x14ac:dyDescent="0.25">
      <c r="A2587" s="3" t="str">
        <f t="shared" si="82"/>
        <v>ΚΗΠΕΥΤΙΚΑΠΕΠΟΝΙ - ΧΡΥΣΗ ΚΕΦΑΛΗ</v>
      </c>
      <c r="B2587" s="4" t="s">
        <v>4911</v>
      </c>
      <c r="C2587" s="5" t="s">
        <v>4922</v>
      </c>
      <c r="D2587" s="6">
        <v>11290.03</v>
      </c>
      <c r="E2587" s="6">
        <v>13610.93</v>
      </c>
      <c r="F2587" s="7" t="s">
        <v>14</v>
      </c>
      <c r="G2587" s="8" t="s">
        <v>4923</v>
      </c>
      <c r="H2587" s="8" t="s">
        <v>16</v>
      </c>
      <c r="I2587" s="9">
        <v>2486</v>
      </c>
      <c r="J2587" s="10">
        <v>38</v>
      </c>
      <c r="K2587" s="10">
        <v>10199</v>
      </c>
      <c r="L2587" s="3" t="str">
        <f t="shared" si="83"/>
        <v>ΚΗΠΕΥΤΙΚΑ</v>
      </c>
    </row>
    <row r="2588" spans="1:12" s="3" customFormat="1" ht="24" x14ac:dyDescent="0.25">
      <c r="A2588" s="3" t="str">
        <f t="shared" si="82"/>
        <v>ΚΗΠΕΥΤΙΚΑΑΓΓΙΝΑΡΕΣ ΠΡΩΪΜΕΣ &amp; ΜΕΣΟΠΡΩΪΜΕΣ</v>
      </c>
      <c r="B2588" s="4" t="s">
        <v>4911</v>
      </c>
      <c r="C2588" s="5" t="s">
        <v>4924</v>
      </c>
      <c r="D2588" s="6">
        <v>11290.03</v>
      </c>
      <c r="E2588" s="6">
        <v>13610.93</v>
      </c>
      <c r="F2588" s="7" t="s">
        <v>14</v>
      </c>
      <c r="G2588" s="8" t="s">
        <v>4925</v>
      </c>
      <c r="H2588" s="8" t="s">
        <v>16</v>
      </c>
      <c r="I2588" s="9">
        <v>2465</v>
      </c>
      <c r="J2588" s="10">
        <v>38</v>
      </c>
      <c r="K2588" s="10">
        <v>10204</v>
      </c>
      <c r="L2588" s="3" t="str">
        <f t="shared" si="83"/>
        <v>ΚΗΠΕΥΤΙΚΑ</v>
      </c>
    </row>
    <row r="2589" spans="1:12" s="3" customFormat="1" ht="24" x14ac:dyDescent="0.25">
      <c r="A2589" s="3" t="str">
        <f t="shared" si="82"/>
        <v>ΚΗΠΕΥΤΙΚΑΑΓΓΙΝΑΡΕΣ ΟΨΙΜΕΣ</v>
      </c>
      <c r="B2589" s="4" t="s">
        <v>4911</v>
      </c>
      <c r="C2589" s="5" t="s">
        <v>4926</v>
      </c>
      <c r="D2589" s="6">
        <v>11290.03</v>
      </c>
      <c r="E2589" s="6">
        <v>13610.93</v>
      </c>
      <c r="F2589" s="7" t="s">
        <v>14</v>
      </c>
      <c r="G2589" s="8" t="s">
        <v>4927</v>
      </c>
      <c r="H2589" s="8" t="s">
        <v>16</v>
      </c>
      <c r="I2589" s="9">
        <v>2472</v>
      </c>
      <c r="J2589" s="10">
        <v>38</v>
      </c>
      <c r="K2589" s="10">
        <v>10205</v>
      </c>
      <c r="L2589" s="3" t="str">
        <f t="shared" si="83"/>
        <v>ΚΗΠΕΥΤΙΚΑ</v>
      </c>
    </row>
    <row r="2590" spans="1:12" s="3" customFormat="1" ht="24" x14ac:dyDescent="0.25">
      <c r="A2590" s="3" t="str">
        <f t="shared" si="82"/>
        <v>ΚΗΠΕΥΤΙΚΑΠΕΠΟΝΙ ΥΠΑΙΘΡΙΟ &amp; ΘΡΑΚΙΩΤΙΚΟ</v>
      </c>
      <c r="B2590" s="4" t="s">
        <v>4911</v>
      </c>
      <c r="C2590" s="5" t="s">
        <v>4928</v>
      </c>
      <c r="D2590" s="6">
        <v>11290.03</v>
      </c>
      <c r="E2590" s="6">
        <v>13610.93</v>
      </c>
      <c r="F2590" s="7" t="s">
        <v>14</v>
      </c>
      <c r="G2590" s="8" t="s">
        <v>4929</v>
      </c>
      <c r="H2590" s="8" t="s">
        <v>16</v>
      </c>
      <c r="I2590" s="9">
        <v>2464</v>
      </c>
      <c r="J2590" s="10">
        <v>38</v>
      </c>
      <c r="K2590" s="10">
        <v>10206</v>
      </c>
      <c r="L2590" s="3" t="str">
        <f t="shared" si="83"/>
        <v>ΚΗΠΕΥΤΙΚΑ</v>
      </c>
    </row>
    <row r="2591" spans="1:12" s="3" customFormat="1" ht="24" x14ac:dyDescent="0.25">
      <c r="A2591" s="3" t="str">
        <f t="shared" si="82"/>
        <v>ΚΗΠΕΥΤΙΚΑΦΑΣΟΛΑΚΙΑ ΒΙΟΜΗΧΑΝΙΑΣ</v>
      </c>
      <c r="B2591" s="4" t="s">
        <v>4911</v>
      </c>
      <c r="C2591" s="5" t="s">
        <v>4930</v>
      </c>
      <c r="D2591" s="6">
        <v>10593.35</v>
      </c>
      <c r="E2591" s="6">
        <v>13333.560000000001</v>
      </c>
      <c r="F2591" s="7" t="s">
        <v>14</v>
      </c>
      <c r="G2591" s="8" t="s">
        <v>4931</v>
      </c>
      <c r="H2591" s="8" t="s">
        <v>16</v>
      </c>
      <c r="I2591" s="9">
        <v>2462</v>
      </c>
      <c r="J2591" s="10">
        <v>38</v>
      </c>
      <c r="K2591" s="10">
        <v>10207</v>
      </c>
      <c r="L2591" s="3" t="str">
        <f t="shared" si="83"/>
        <v>ΚΗΠΕΥΤΙΚΑ</v>
      </c>
    </row>
    <row r="2592" spans="1:12" s="3" customFormat="1" ht="24" x14ac:dyDescent="0.25">
      <c r="A2592" s="3" t="str">
        <f t="shared" si="82"/>
        <v>ΚΗΠΕΥΤΙΚΑΦΑΣΟΛΑΚΙΑ ΥΠΑΙΘΡΙΑ</v>
      </c>
      <c r="B2592" s="4" t="s">
        <v>4911</v>
      </c>
      <c r="C2592" s="5" t="s">
        <v>4932</v>
      </c>
      <c r="D2592" s="6">
        <v>11290.03</v>
      </c>
      <c r="E2592" s="6">
        <v>13610.93</v>
      </c>
      <c r="F2592" s="7" t="s">
        <v>14</v>
      </c>
      <c r="G2592" s="8" t="s">
        <v>4933</v>
      </c>
      <c r="H2592" s="8" t="s">
        <v>16</v>
      </c>
      <c r="I2592" s="9">
        <v>2461</v>
      </c>
      <c r="J2592" s="10">
        <v>38</v>
      </c>
      <c r="K2592" s="10">
        <v>10208</v>
      </c>
      <c r="L2592" s="3" t="str">
        <f t="shared" si="83"/>
        <v>ΚΗΠΕΥΤΙΚΑ</v>
      </c>
    </row>
    <row r="2593" spans="1:12" s="3" customFormat="1" ht="24" x14ac:dyDescent="0.25">
      <c r="A2593" s="3" t="str">
        <f t="shared" si="82"/>
        <v>ΚΗΠΕΥΤΙΚΑΚΑΡΟΤΑ ΡΙΖΕΣ</v>
      </c>
      <c r="B2593" s="4" t="s">
        <v>4911</v>
      </c>
      <c r="C2593" s="5" t="s">
        <v>4934</v>
      </c>
      <c r="D2593" s="6">
        <v>11290.03</v>
      </c>
      <c r="E2593" s="6">
        <v>13610.93</v>
      </c>
      <c r="F2593" s="7" t="s">
        <v>14</v>
      </c>
      <c r="G2593" s="8" t="s">
        <v>4935</v>
      </c>
      <c r="H2593" s="8" t="s">
        <v>16</v>
      </c>
      <c r="I2593" s="9">
        <v>2488</v>
      </c>
      <c r="J2593" s="10">
        <v>38</v>
      </c>
      <c r="K2593" s="10">
        <v>10211</v>
      </c>
      <c r="L2593" s="3" t="str">
        <f t="shared" si="83"/>
        <v>ΚΗΠΕΥΤΙΚΑ</v>
      </c>
    </row>
    <row r="2594" spans="1:12" s="3" customFormat="1" ht="24" x14ac:dyDescent="0.25">
      <c r="A2594" s="3" t="str">
        <f t="shared" si="82"/>
        <v>ΚΗΠΕΥΤΙΚΑΜΕΛΙΤΖΑΝΑ ΥΠΑΙΘΡΙΑ</v>
      </c>
      <c r="B2594" s="4" t="s">
        <v>4911</v>
      </c>
      <c r="C2594" s="5" t="s">
        <v>4936</v>
      </c>
      <c r="D2594" s="6">
        <v>11290.03</v>
      </c>
      <c r="E2594" s="6">
        <v>13610.93</v>
      </c>
      <c r="F2594" s="7" t="s">
        <v>14</v>
      </c>
      <c r="G2594" s="8" t="s">
        <v>4937</v>
      </c>
      <c r="H2594" s="8" t="s">
        <v>16</v>
      </c>
      <c r="I2594" s="9">
        <v>2500</v>
      </c>
      <c r="J2594" s="10">
        <v>38</v>
      </c>
      <c r="K2594" s="10">
        <v>10213</v>
      </c>
      <c r="L2594" s="3" t="str">
        <f t="shared" si="83"/>
        <v>ΚΗΠΕΥΤΙΚΑ</v>
      </c>
    </row>
    <row r="2595" spans="1:12" s="3" customFormat="1" ht="24" x14ac:dyDescent="0.25">
      <c r="A2595" s="3" t="str">
        <f t="shared" si="82"/>
        <v>ΚΗΠΕΥΤΙΚΑΣΕΣΚΟΥΛΟ</v>
      </c>
      <c r="B2595" s="4" t="s">
        <v>4911</v>
      </c>
      <c r="C2595" s="5" t="s">
        <v>4938</v>
      </c>
      <c r="D2595" s="6">
        <v>11290.03</v>
      </c>
      <c r="E2595" s="6">
        <v>13610.93</v>
      </c>
      <c r="F2595" s="7" t="s">
        <v>14</v>
      </c>
      <c r="G2595" s="8" t="s">
        <v>4939</v>
      </c>
      <c r="H2595" s="8" t="s">
        <v>16</v>
      </c>
      <c r="I2595" s="9">
        <v>2494</v>
      </c>
      <c r="J2595" s="10">
        <v>38</v>
      </c>
      <c r="K2595" s="10">
        <v>10214</v>
      </c>
      <c r="L2595" s="3" t="str">
        <f t="shared" si="83"/>
        <v>ΚΗΠΕΥΤΙΚΑ</v>
      </c>
    </row>
    <row r="2596" spans="1:12" s="3" customFormat="1" ht="24" x14ac:dyDescent="0.25">
      <c r="A2596" s="3" t="str">
        <f t="shared" si="82"/>
        <v>ΚΗΠΕΥΤΙΚΑΣΠΑΝΑΚΙ</v>
      </c>
      <c r="B2596" s="4" t="s">
        <v>4911</v>
      </c>
      <c r="C2596" s="5" t="s">
        <v>4782</v>
      </c>
      <c r="D2596" s="6">
        <v>11290.03</v>
      </c>
      <c r="E2596" s="6">
        <v>13610.93</v>
      </c>
      <c r="F2596" s="7" t="s">
        <v>14</v>
      </c>
      <c r="G2596" s="8" t="s">
        <v>4940</v>
      </c>
      <c r="H2596" s="8" t="s">
        <v>16</v>
      </c>
      <c r="I2596" s="9">
        <v>2493</v>
      </c>
      <c r="J2596" s="10">
        <v>38</v>
      </c>
      <c r="K2596" s="10">
        <v>10215</v>
      </c>
      <c r="L2596" s="3" t="str">
        <f t="shared" si="83"/>
        <v>ΚΗΠΕΥΤΙΚΑ</v>
      </c>
    </row>
    <row r="2597" spans="1:12" s="3" customFormat="1" ht="24" x14ac:dyDescent="0.25">
      <c r="A2597" s="3" t="str">
        <f t="shared" si="82"/>
        <v>ΚΗΠΕΥΤΙΚΑΣΠΑΝΑΚΙ ΒΙΟΜΗΧΑΝΙΑΣ</v>
      </c>
      <c r="B2597" s="4" t="s">
        <v>4911</v>
      </c>
      <c r="C2597" s="5" t="s">
        <v>4784</v>
      </c>
      <c r="D2597" s="6">
        <v>10593.35</v>
      </c>
      <c r="E2597" s="6">
        <v>13333.560000000001</v>
      </c>
      <c r="F2597" s="7" t="s">
        <v>14</v>
      </c>
      <c r="G2597" s="8" t="s">
        <v>4941</v>
      </c>
      <c r="H2597" s="8" t="s">
        <v>16</v>
      </c>
      <c r="I2597" s="9">
        <v>2484</v>
      </c>
      <c r="J2597" s="10">
        <v>38</v>
      </c>
      <c r="K2597" s="10">
        <v>10216</v>
      </c>
      <c r="L2597" s="3" t="str">
        <f t="shared" si="83"/>
        <v>ΚΗΠΕΥΤΙΚΑ</v>
      </c>
    </row>
    <row r="2598" spans="1:12" s="3" customFormat="1" ht="24" x14ac:dyDescent="0.25">
      <c r="A2598" s="3" t="str">
        <f t="shared" si="82"/>
        <v>ΚΗΠΕΥΤΙΚΑΖΩΧΟΣ</v>
      </c>
      <c r="B2598" s="4" t="s">
        <v>4911</v>
      </c>
      <c r="C2598" s="5" t="s">
        <v>4942</v>
      </c>
      <c r="D2598" s="6">
        <v>11290.03</v>
      </c>
      <c r="E2598" s="6">
        <v>13610.93</v>
      </c>
      <c r="F2598" s="7" t="s">
        <v>14</v>
      </c>
      <c r="G2598" s="8" t="s">
        <v>4943</v>
      </c>
      <c r="H2598" s="8" t="s">
        <v>16</v>
      </c>
      <c r="I2598" s="9">
        <v>2492</v>
      </c>
      <c r="J2598" s="10">
        <v>38</v>
      </c>
      <c r="K2598" s="10">
        <v>10217</v>
      </c>
      <c r="L2598" s="3" t="str">
        <f t="shared" si="83"/>
        <v>ΚΗΠΕΥΤΙΚΑ</v>
      </c>
    </row>
    <row r="2599" spans="1:12" s="3" customFormat="1" ht="24" x14ac:dyDescent="0.25">
      <c r="A2599" s="3" t="str">
        <f t="shared" si="82"/>
        <v>ΚΗΠΕΥΤΙΚΑΡΑΠΑΝΑΚΙ</v>
      </c>
      <c r="B2599" s="4" t="s">
        <v>4911</v>
      </c>
      <c r="C2599" s="5" t="s">
        <v>4944</v>
      </c>
      <c r="D2599" s="6">
        <v>11290.03</v>
      </c>
      <c r="E2599" s="6">
        <v>13610.93</v>
      </c>
      <c r="F2599" s="7" t="s">
        <v>14</v>
      </c>
      <c r="G2599" s="8" t="s">
        <v>4945</v>
      </c>
      <c r="H2599" s="8" t="s">
        <v>16</v>
      </c>
      <c r="I2599" s="9">
        <v>2483</v>
      </c>
      <c r="J2599" s="10">
        <v>38</v>
      </c>
      <c r="K2599" s="10">
        <v>10218</v>
      </c>
      <c r="L2599" s="3" t="str">
        <f t="shared" si="83"/>
        <v>ΚΗΠΕΥΤΙΚΑ</v>
      </c>
    </row>
    <row r="2600" spans="1:12" s="3" customFormat="1" ht="24" x14ac:dyDescent="0.25">
      <c r="A2600" s="3" t="str">
        <f t="shared" si="82"/>
        <v>ΚΗΠΕΥΤΙΚΑΡΑΙΒΕΣ</v>
      </c>
      <c r="B2600" s="4" t="s">
        <v>4911</v>
      </c>
      <c r="C2600" s="5" t="s">
        <v>4946</v>
      </c>
      <c r="D2600" s="6">
        <v>11290.03</v>
      </c>
      <c r="E2600" s="6">
        <v>13610.93</v>
      </c>
      <c r="F2600" s="7" t="s">
        <v>14</v>
      </c>
      <c r="G2600" s="8" t="s">
        <v>4947</v>
      </c>
      <c r="H2600" s="8" t="s">
        <v>16</v>
      </c>
      <c r="I2600" s="9">
        <v>2501</v>
      </c>
      <c r="J2600" s="10">
        <v>38</v>
      </c>
      <c r="K2600" s="10">
        <v>10219</v>
      </c>
      <c r="L2600" s="3" t="str">
        <f t="shared" si="83"/>
        <v>ΚΗΠΕΥΤΙΚΑ</v>
      </c>
    </row>
    <row r="2601" spans="1:12" s="3" customFormat="1" ht="24" x14ac:dyDescent="0.25">
      <c r="A2601" s="3" t="str">
        <f t="shared" si="82"/>
        <v>ΚΗΠΕΥΤΙΚΑΤΕΥΤΛΑ - ΠΑΝΤΖΑΡΙΑ</v>
      </c>
      <c r="B2601" s="4" t="s">
        <v>4911</v>
      </c>
      <c r="C2601" s="5" t="s">
        <v>4811</v>
      </c>
      <c r="D2601" s="6">
        <v>11290.03</v>
      </c>
      <c r="E2601" s="6">
        <v>13610.93</v>
      </c>
      <c r="F2601" s="7" t="s">
        <v>14</v>
      </c>
      <c r="G2601" s="8" t="s">
        <v>4948</v>
      </c>
      <c r="H2601" s="8" t="s">
        <v>16</v>
      </c>
      <c r="I2601" s="9">
        <v>2504</v>
      </c>
      <c r="J2601" s="10">
        <v>38</v>
      </c>
      <c r="K2601" s="10">
        <v>10220</v>
      </c>
      <c r="L2601" s="3" t="str">
        <f t="shared" si="83"/>
        <v>ΚΗΠΕΥΤΙΚΑ</v>
      </c>
    </row>
    <row r="2602" spans="1:12" s="3" customFormat="1" ht="24" x14ac:dyDescent="0.25">
      <c r="A2602" s="3" t="str">
        <f t="shared" si="82"/>
        <v>ΚΗΠΕΥΤΙΚΑΚΡΕΜΜΥΔΙ ΣΠΟΡΟΣ</v>
      </c>
      <c r="B2602" s="4" t="s">
        <v>4911</v>
      </c>
      <c r="C2602" s="5" t="s">
        <v>4949</v>
      </c>
      <c r="D2602" s="6">
        <v>11290.03</v>
      </c>
      <c r="E2602" s="6">
        <v>13610.93</v>
      </c>
      <c r="F2602" s="7" t="s">
        <v>14</v>
      </c>
      <c r="G2602" s="8" t="s">
        <v>4950</v>
      </c>
      <c r="H2602" s="8" t="s">
        <v>16</v>
      </c>
      <c r="I2602" s="9">
        <v>2503</v>
      </c>
      <c r="J2602" s="10">
        <v>38</v>
      </c>
      <c r="K2602" s="10">
        <v>10221</v>
      </c>
      <c r="L2602" s="3" t="str">
        <f t="shared" si="83"/>
        <v>ΚΗΠΕΥΤΙΚΑ</v>
      </c>
    </row>
    <row r="2603" spans="1:12" s="3" customFormat="1" ht="24" x14ac:dyDescent="0.25">
      <c r="A2603" s="3" t="str">
        <f t="shared" si="82"/>
        <v>ΚΗΠΕΥΤΙΚΑΚΡΕΜΜΥΔΙ ΚΟΚΚΑΡΙ</v>
      </c>
      <c r="B2603" s="4" t="s">
        <v>4911</v>
      </c>
      <c r="C2603" s="5" t="s">
        <v>4951</v>
      </c>
      <c r="D2603" s="6">
        <v>10768.2</v>
      </c>
      <c r="E2603" s="6">
        <v>13414.8</v>
      </c>
      <c r="F2603" s="7" t="s">
        <v>14</v>
      </c>
      <c r="G2603" s="8" t="s">
        <v>4952</v>
      </c>
      <c r="H2603" s="8" t="s">
        <v>16</v>
      </c>
      <c r="I2603" s="9">
        <v>2496</v>
      </c>
      <c r="J2603" s="10">
        <v>38</v>
      </c>
      <c r="K2603" s="10">
        <v>10222</v>
      </c>
      <c r="L2603" s="3" t="str">
        <f t="shared" si="83"/>
        <v>ΚΗΠΕΥΤΙΚΑ</v>
      </c>
    </row>
    <row r="2604" spans="1:12" s="3" customFormat="1" ht="24" x14ac:dyDescent="0.25">
      <c r="A2604" s="3" t="str">
        <f t="shared" si="82"/>
        <v>ΚΗΠΕΥΤΙΚΑΠΡΑΣΣΟ</v>
      </c>
      <c r="B2604" s="4" t="s">
        <v>4911</v>
      </c>
      <c r="C2604" s="5" t="s">
        <v>4817</v>
      </c>
      <c r="D2604" s="6">
        <v>11290.03</v>
      </c>
      <c r="E2604" s="6">
        <v>13610.93</v>
      </c>
      <c r="F2604" s="7" t="s">
        <v>14</v>
      </c>
      <c r="G2604" s="8" t="s">
        <v>4953</v>
      </c>
      <c r="H2604" s="8" t="s">
        <v>16</v>
      </c>
      <c r="I2604" s="9">
        <v>2479</v>
      </c>
      <c r="J2604" s="10">
        <v>38</v>
      </c>
      <c r="K2604" s="10">
        <v>10223</v>
      </c>
      <c r="L2604" s="3" t="str">
        <f t="shared" si="83"/>
        <v>ΚΗΠΕΥΤΙΚΑ</v>
      </c>
    </row>
    <row r="2605" spans="1:12" s="3" customFormat="1" ht="24" x14ac:dyDescent="0.25">
      <c r="A2605" s="3" t="str">
        <f t="shared" si="82"/>
        <v>ΚΗΠΕΥΤΙΚΑΑΝΤΙΔΙ</v>
      </c>
      <c r="B2605" s="4" t="s">
        <v>4911</v>
      </c>
      <c r="C2605" s="5" t="s">
        <v>4786</v>
      </c>
      <c r="D2605" s="6">
        <v>11290.03</v>
      </c>
      <c r="E2605" s="6">
        <v>13610.93</v>
      </c>
      <c r="F2605" s="7" t="s">
        <v>14</v>
      </c>
      <c r="G2605" s="8" t="s">
        <v>4954</v>
      </c>
      <c r="H2605" s="8" t="s">
        <v>16</v>
      </c>
      <c r="I2605" s="9">
        <v>2392</v>
      </c>
      <c r="J2605" s="10">
        <v>38</v>
      </c>
      <c r="K2605" s="10">
        <v>10224</v>
      </c>
      <c r="L2605" s="3" t="str">
        <f t="shared" si="83"/>
        <v>ΚΗΠΕΥΤΙΚΑ</v>
      </c>
    </row>
    <row r="2606" spans="1:12" s="3" customFormat="1" ht="24" x14ac:dyDescent="0.25">
      <c r="A2606" s="3" t="str">
        <f t="shared" si="82"/>
        <v>ΚΗΠΕΥΤΙΚΑΒΛΗΤΑ</v>
      </c>
      <c r="B2606" s="4" t="s">
        <v>4911</v>
      </c>
      <c r="C2606" s="5" t="s">
        <v>4955</v>
      </c>
      <c r="D2606" s="6">
        <v>11290.03</v>
      </c>
      <c r="E2606" s="6">
        <v>13610.93</v>
      </c>
      <c r="F2606" s="7" t="s">
        <v>14</v>
      </c>
      <c r="G2606" s="8" t="s">
        <v>4956</v>
      </c>
      <c r="H2606" s="8" t="s">
        <v>16</v>
      </c>
      <c r="I2606" s="9">
        <v>2395</v>
      </c>
      <c r="J2606" s="10">
        <v>38</v>
      </c>
      <c r="K2606" s="10">
        <v>10225</v>
      </c>
      <c r="L2606" s="3" t="str">
        <f t="shared" si="83"/>
        <v>ΚΗΠΕΥΤΙΚΑ</v>
      </c>
    </row>
    <row r="2607" spans="1:12" s="3" customFormat="1" ht="24" x14ac:dyDescent="0.25">
      <c r="A2607" s="3" t="str">
        <f t="shared" si="82"/>
        <v>ΚΗΠΕΥΤΙΚΑΜΠΡΟΚΟΛΟ</v>
      </c>
      <c r="B2607" s="4" t="s">
        <v>4911</v>
      </c>
      <c r="C2607" s="5" t="s">
        <v>4957</v>
      </c>
      <c r="D2607" s="6">
        <v>11290.03</v>
      </c>
      <c r="E2607" s="6">
        <v>13610.93</v>
      </c>
      <c r="F2607" s="7" t="s">
        <v>14</v>
      </c>
      <c r="G2607" s="8" t="s">
        <v>4958</v>
      </c>
      <c r="H2607" s="8" t="s">
        <v>16</v>
      </c>
      <c r="I2607" s="9">
        <v>2396</v>
      </c>
      <c r="J2607" s="10">
        <v>38</v>
      </c>
      <c r="K2607" s="10">
        <v>10226</v>
      </c>
      <c r="L2607" s="3" t="str">
        <f t="shared" si="83"/>
        <v>ΚΗΠΕΥΤΙΚΑ</v>
      </c>
    </row>
    <row r="2608" spans="1:12" s="3" customFormat="1" ht="24" x14ac:dyDescent="0.25">
      <c r="A2608" s="3" t="str">
        <f t="shared" si="82"/>
        <v>ΚΗΠΕΥΤΙΚΑΛΑΧΑΝΟ ΒΡΥΞΕΛΛΩΝ</v>
      </c>
      <c r="B2608" s="4" t="s">
        <v>4911</v>
      </c>
      <c r="C2608" s="5" t="s">
        <v>4959</v>
      </c>
      <c r="D2608" s="6">
        <v>11290.03</v>
      </c>
      <c r="E2608" s="6">
        <v>13610.93</v>
      </c>
      <c r="F2608" s="7" t="s">
        <v>14</v>
      </c>
      <c r="G2608" s="8" t="s">
        <v>4960</v>
      </c>
      <c r="H2608" s="8" t="s">
        <v>16</v>
      </c>
      <c r="I2608" s="9">
        <v>2397</v>
      </c>
      <c r="J2608" s="10">
        <v>38</v>
      </c>
      <c r="K2608" s="10">
        <v>10227</v>
      </c>
      <c r="L2608" s="3" t="str">
        <f t="shared" si="83"/>
        <v>ΚΗΠΕΥΤΙΚΑ</v>
      </c>
    </row>
    <row r="2609" spans="1:12" s="3" customFormat="1" ht="24" x14ac:dyDescent="0.25">
      <c r="A2609" s="3" t="str">
        <f t="shared" si="82"/>
        <v>ΚΗΠΕΥΤΙΚΑΡΑΔΙΚΙΑ</v>
      </c>
      <c r="B2609" s="4" t="s">
        <v>4911</v>
      </c>
      <c r="C2609" s="5" t="s">
        <v>4961</v>
      </c>
      <c r="D2609" s="6">
        <v>11290.03</v>
      </c>
      <c r="E2609" s="6">
        <v>13610.93</v>
      </c>
      <c r="F2609" s="7" t="s">
        <v>14</v>
      </c>
      <c r="G2609" s="8" t="s">
        <v>4962</v>
      </c>
      <c r="H2609" s="8" t="s">
        <v>16</v>
      </c>
      <c r="I2609" s="9">
        <v>2398</v>
      </c>
      <c r="J2609" s="10">
        <v>38</v>
      </c>
      <c r="K2609" s="10">
        <v>10228</v>
      </c>
      <c r="L2609" s="3" t="str">
        <f t="shared" si="83"/>
        <v>ΚΗΠΕΥΤΙΚΑ</v>
      </c>
    </row>
    <row r="2610" spans="1:12" s="3" customFormat="1" ht="24" x14ac:dyDescent="0.25">
      <c r="A2610" s="3" t="str">
        <f t="shared" si="82"/>
        <v>ΚΗΠΕΥΤΙΚΑΡΑΔΙΚΙΑ ΑΓΡΙΑ</v>
      </c>
      <c r="B2610" s="4" t="s">
        <v>4911</v>
      </c>
      <c r="C2610" s="5" t="s">
        <v>4963</v>
      </c>
      <c r="D2610" s="6">
        <v>11290.03</v>
      </c>
      <c r="E2610" s="6">
        <v>13610.93</v>
      </c>
      <c r="F2610" s="7" t="s">
        <v>14</v>
      </c>
      <c r="G2610" s="8" t="s">
        <v>4964</v>
      </c>
      <c r="H2610" s="8" t="s">
        <v>16</v>
      </c>
      <c r="I2610" s="9">
        <v>2399</v>
      </c>
      <c r="J2610" s="10">
        <v>38</v>
      </c>
      <c r="K2610" s="10">
        <v>10229</v>
      </c>
      <c r="L2610" s="3" t="str">
        <f t="shared" si="83"/>
        <v>ΚΗΠΕΥΤΙΚΑ</v>
      </c>
    </row>
    <row r="2611" spans="1:12" s="3" customFormat="1" ht="24" x14ac:dyDescent="0.25">
      <c r="A2611" s="3" t="str">
        <f t="shared" si="82"/>
        <v>ΚΗΠΕΥΤΙΚΑΣΕΛΙΝΟ</v>
      </c>
      <c r="B2611" s="4" t="s">
        <v>4911</v>
      </c>
      <c r="C2611" s="5" t="s">
        <v>4788</v>
      </c>
      <c r="D2611" s="6">
        <v>11290.03</v>
      </c>
      <c r="E2611" s="6">
        <v>13610.93</v>
      </c>
      <c r="F2611" s="7" t="s">
        <v>14</v>
      </c>
      <c r="G2611" s="8" t="s">
        <v>4965</v>
      </c>
      <c r="H2611" s="8" t="s">
        <v>16</v>
      </c>
      <c r="I2611" s="9">
        <v>2400</v>
      </c>
      <c r="J2611" s="10">
        <v>38</v>
      </c>
      <c r="K2611" s="10">
        <v>10230</v>
      </c>
      <c r="L2611" s="3" t="str">
        <f t="shared" si="83"/>
        <v>ΚΗΠΕΥΤΙΚΑ</v>
      </c>
    </row>
    <row r="2612" spans="1:12" s="3" customFormat="1" ht="24" x14ac:dyDescent="0.25">
      <c r="A2612" s="3" t="str">
        <f t="shared" si="82"/>
        <v>ΚΗΠΕΥΤΙΚΑΑΝΗΘΟΣ</v>
      </c>
      <c r="B2612" s="4" t="s">
        <v>4911</v>
      </c>
      <c r="C2612" s="5" t="s">
        <v>4792</v>
      </c>
      <c r="D2612" s="6">
        <v>11290.03</v>
      </c>
      <c r="E2612" s="6">
        <v>13610.93</v>
      </c>
      <c r="F2612" s="7" t="s">
        <v>14</v>
      </c>
      <c r="G2612" s="8" t="s">
        <v>4966</v>
      </c>
      <c r="H2612" s="8" t="s">
        <v>16</v>
      </c>
      <c r="I2612" s="9">
        <v>2401</v>
      </c>
      <c r="J2612" s="10">
        <v>38</v>
      </c>
      <c r="K2612" s="10">
        <v>10232</v>
      </c>
      <c r="L2612" s="3" t="str">
        <f t="shared" si="83"/>
        <v>ΚΗΠΕΥΤΙΚΑ</v>
      </c>
    </row>
    <row r="2613" spans="1:12" s="3" customFormat="1" ht="24" x14ac:dyDescent="0.25">
      <c r="A2613" s="3" t="str">
        <f t="shared" si="82"/>
        <v>ΚΗΠΕΥΤΙΚΑΜΑΙΝΤΑΝΟΣ</v>
      </c>
      <c r="B2613" s="4" t="s">
        <v>4911</v>
      </c>
      <c r="C2613" s="5" t="s">
        <v>4794</v>
      </c>
      <c r="D2613" s="6">
        <v>11290.03</v>
      </c>
      <c r="E2613" s="6">
        <v>13610.93</v>
      </c>
      <c r="F2613" s="7" t="s">
        <v>14</v>
      </c>
      <c r="G2613" s="8" t="s">
        <v>4967</v>
      </c>
      <c r="H2613" s="8" t="s">
        <v>16</v>
      </c>
      <c r="I2613" s="9">
        <v>2402</v>
      </c>
      <c r="J2613" s="10">
        <v>38</v>
      </c>
      <c r="K2613" s="10">
        <v>10233</v>
      </c>
      <c r="L2613" s="3" t="str">
        <f t="shared" si="83"/>
        <v>ΚΗΠΕΥΤΙΚΑ</v>
      </c>
    </row>
    <row r="2614" spans="1:12" s="3" customFormat="1" ht="24" x14ac:dyDescent="0.25">
      <c r="A2614" s="3" t="str">
        <f t="shared" si="82"/>
        <v>ΚΗΠΕΥΤΙΚΑΡΟΚΑ</v>
      </c>
      <c r="B2614" s="4" t="s">
        <v>4911</v>
      </c>
      <c r="C2614" s="5" t="s">
        <v>4796</v>
      </c>
      <c r="D2614" s="6">
        <v>11290.03</v>
      </c>
      <c r="E2614" s="6">
        <v>13610.93</v>
      </c>
      <c r="F2614" s="7" t="s">
        <v>14</v>
      </c>
      <c r="G2614" s="8" t="s">
        <v>4968</v>
      </c>
      <c r="H2614" s="8" t="s">
        <v>16</v>
      </c>
      <c r="I2614" s="9">
        <v>2415</v>
      </c>
      <c r="J2614" s="10">
        <v>38</v>
      </c>
      <c r="K2614" s="10">
        <v>10234</v>
      </c>
      <c r="L2614" s="3" t="str">
        <f t="shared" si="83"/>
        <v>ΚΗΠΕΥΤΙΚΑ</v>
      </c>
    </row>
    <row r="2615" spans="1:12" s="3" customFormat="1" ht="24" x14ac:dyDescent="0.25">
      <c r="A2615" s="3" t="str">
        <f t="shared" si="82"/>
        <v>ΚΗΠΕΥΤΙΚΑΣΤΑΜΝΑΓΚΑΘΙ</v>
      </c>
      <c r="B2615" s="4" t="s">
        <v>4911</v>
      </c>
      <c r="C2615" s="5" t="s">
        <v>4905</v>
      </c>
      <c r="D2615" s="6">
        <v>11290.03</v>
      </c>
      <c r="E2615" s="6">
        <v>13610.93</v>
      </c>
      <c r="F2615" s="7" t="s">
        <v>14</v>
      </c>
      <c r="G2615" s="8" t="s">
        <v>4969</v>
      </c>
      <c r="H2615" s="8" t="s">
        <v>16</v>
      </c>
      <c r="I2615" s="9">
        <v>2449</v>
      </c>
      <c r="J2615" s="10">
        <v>38</v>
      </c>
      <c r="K2615" s="10">
        <v>10235</v>
      </c>
      <c r="L2615" s="3" t="str">
        <f t="shared" si="83"/>
        <v>ΚΗΠΕΥΤΙΚΑ</v>
      </c>
    </row>
    <row r="2616" spans="1:12" s="3" customFormat="1" ht="24" x14ac:dyDescent="0.25">
      <c r="A2616" s="3" t="str">
        <f t="shared" si="82"/>
        <v>ΚΗΠΕΥΤΙΚΑΚΑΥΚΑΛΗΘΡΑ</v>
      </c>
      <c r="B2616" s="4" t="s">
        <v>4911</v>
      </c>
      <c r="C2616" s="5" t="s">
        <v>4970</v>
      </c>
      <c r="D2616" s="6">
        <v>11290.03</v>
      </c>
      <c r="E2616" s="6">
        <v>13610.93</v>
      </c>
      <c r="F2616" s="7" t="s">
        <v>14</v>
      </c>
      <c r="G2616" s="8" t="s">
        <v>4971</v>
      </c>
      <c r="H2616" s="8" t="s">
        <v>16</v>
      </c>
      <c r="I2616" s="9">
        <v>2394</v>
      </c>
      <c r="J2616" s="10">
        <v>38</v>
      </c>
      <c r="K2616" s="10">
        <v>10236</v>
      </c>
      <c r="L2616" s="3" t="str">
        <f t="shared" si="83"/>
        <v>ΚΗΠΕΥΤΙΚΑ</v>
      </c>
    </row>
    <row r="2617" spans="1:12" s="3" customFormat="1" ht="24" x14ac:dyDescent="0.25">
      <c r="A2617" s="3" t="str">
        <f t="shared" si="82"/>
        <v>ΚΗΠΕΥΤΙΚΑΚΟΛΟΚΥΘΑΚΙ ΥΠΑΙΘΡΙΟ</v>
      </c>
      <c r="B2617" s="4" t="s">
        <v>4911</v>
      </c>
      <c r="C2617" s="5" t="s">
        <v>4972</v>
      </c>
      <c r="D2617" s="6">
        <v>11290.03</v>
      </c>
      <c r="E2617" s="6">
        <v>13610.93</v>
      </c>
      <c r="F2617" s="7" t="s">
        <v>14</v>
      </c>
      <c r="G2617" s="8" t="s">
        <v>4973</v>
      </c>
      <c r="H2617" s="8" t="s">
        <v>16</v>
      </c>
      <c r="I2617" s="9">
        <v>2481</v>
      </c>
      <c r="J2617" s="10">
        <v>38</v>
      </c>
      <c r="K2617" s="10">
        <v>10237</v>
      </c>
      <c r="L2617" s="3" t="str">
        <f t="shared" si="83"/>
        <v>ΚΗΠΕΥΤΙΚΑ</v>
      </c>
    </row>
    <row r="2618" spans="1:12" s="3" customFormat="1" ht="24" x14ac:dyDescent="0.25">
      <c r="A2618" s="3" t="str">
        <f t="shared" si="82"/>
        <v>ΚΗΠΕΥΤΙΚΑΤΟΜΑΤΑ ΟΜ. COΜODORE ΥΠΑΙΘΡ ΕΜΠΟΡ</v>
      </c>
      <c r="B2618" s="4" t="s">
        <v>4911</v>
      </c>
      <c r="C2618" s="5" t="s">
        <v>4974</v>
      </c>
      <c r="D2618" s="6">
        <v>11290.03</v>
      </c>
      <c r="E2618" s="6">
        <v>13610.93</v>
      </c>
      <c r="F2618" s="7" t="s">
        <v>14</v>
      </c>
      <c r="G2618" s="8" t="s">
        <v>4975</v>
      </c>
      <c r="H2618" s="8" t="s">
        <v>16</v>
      </c>
      <c r="I2618" s="9">
        <v>2406</v>
      </c>
      <c r="J2618" s="10">
        <v>38</v>
      </c>
      <c r="K2618" s="10">
        <v>10239</v>
      </c>
      <c r="L2618" s="3" t="str">
        <f t="shared" si="83"/>
        <v>ΚΗΠΕΥΤΙΚΑ</v>
      </c>
    </row>
    <row r="2619" spans="1:12" s="3" customFormat="1" ht="24" x14ac:dyDescent="0.25">
      <c r="A2619" s="3" t="str">
        <f t="shared" si="82"/>
        <v>ΚΗΠΕΥΤΙΚΑΚΟΥΚΙΑ ΝΩΠΑ</v>
      </c>
      <c r="B2619" s="4" t="s">
        <v>4911</v>
      </c>
      <c r="C2619" s="5" t="s">
        <v>4976</v>
      </c>
      <c r="D2619" s="6">
        <v>11290.03</v>
      </c>
      <c r="E2619" s="6">
        <v>13610.93</v>
      </c>
      <c r="F2619" s="7" t="s">
        <v>14</v>
      </c>
      <c r="G2619" s="8" t="s">
        <v>4977</v>
      </c>
      <c r="H2619" s="8" t="s">
        <v>16</v>
      </c>
      <c r="I2619" s="9">
        <v>2407</v>
      </c>
      <c r="J2619" s="10">
        <v>38</v>
      </c>
      <c r="K2619" s="10">
        <v>10241</v>
      </c>
      <c r="L2619" s="3" t="str">
        <f t="shared" si="83"/>
        <v>ΚΗΠΕΥΤΙΚΑ</v>
      </c>
    </row>
    <row r="2620" spans="1:12" s="3" customFormat="1" ht="24" x14ac:dyDescent="0.25">
      <c r="A2620" s="3" t="str">
        <f t="shared" si="82"/>
        <v>ΚΗΠΕΥΤΙΚΑΜΠΑΜΙΑ ΒΙΟΜΗΧΑΝΙΚΗ</v>
      </c>
      <c r="B2620" s="4" t="s">
        <v>4911</v>
      </c>
      <c r="C2620" s="5" t="s">
        <v>4978</v>
      </c>
      <c r="D2620" s="6">
        <v>10593.35</v>
      </c>
      <c r="E2620" s="6">
        <v>13333.560000000001</v>
      </c>
      <c r="F2620" s="7" t="s">
        <v>14</v>
      </c>
      <c r="G2620" s="8" t="s">
        <v>4979</v>
      </c>
      <c r="H2620" s="8" t="s">
        <v>16</v>
      </c>
      <c r="I2620" s="9">
        <v>2408</v>
      </c>
      <c r="J2620" s="10">
        <v>38</v>
      </c>
      <c r="K2620" s="10">
        <v>10243</v>
      </c>
      <c r="L2620" s="3" t="str">
        <f t="shared" si="83"/>
        <v>ΚΗΠΕΥΤΙΚΑ</v>
      </c>
    </row>
    <row r="2621" spans="1:12" s="3" customFormat="1" ht="24" x14ac:dyDescent="0.25">
      <c r="A2621" s="3" t="str">
        <f t="shared" si="82"/>
        <v>ΚΗΠΕΥΤΙΚΑΑΡΑΚΑΣ ΒΙΟΜΗΧΑΝΙΚΟΣ</v>
      </c>
      <c r="B2621" s="4" t="s">
        <v>4911</v>
      </c>
      <c r="C2621" s="5" t="s">
        <v>4980</v>
      </c>
      <c r="D2621" s="6">
        <v>10593.35</v>
      </c>
      <c r="E2621" s="6">
        <v>13333.560000000001</v>
      </c>
      <c r="F2621" s="7" t="s">
        <v>14</v>
      </c>
      <c r="G2621" s="8" t="s">
        <v>4981</v>
      </c>
      <c r="H2621" s="8" t="s">
        <v>16</v>
      </c>
      <c r="I2621" s="9">
        <v>2409</v>
      </c>
      <c r="J2621" s="10">
        <v>38</v>
      </c>
      <c r="K2621" s="10">
        <v>10244</v>
      </c>
      <c r="L2621" s="3" t="str">
        <f t="shared" si="83"/>
        <v>ΚΗΠΕΥΤΙΚΑ</v>
      </c>
    </row>
    <row r="2622" spans="1:12" s="3" customFormat="1" ht="24" x14ac:dyDescent="0.25">
      <c r="A2622" s="3" t="str">
        <f t="shared" si="82"/>
        <v>ΚΗΠΕΥΤΙΚΑΠΕΠΟΝΙ - ΞΥΛΑΓΓΟΥΡΟ</v>
      </c>
      <c r="B2622" s="4" t="s">
        <v>4911</v>
      </c>
      <c r="C2622" s="5" t="s">
        <v>4982</v>
      </c>
      <c r="D2622" s="6">
        <v>11290.03</v>
      </c>
      <c r="E2622" s="6">
        <v>13610.93</v>
      </c>
      <c r="F2622" s="7" t="s">
        <v>14</v>
      </c>
      <c r="G2622" s="8" t="s">
        <v>4983</v>
      </c>
      <c r="H2622" s="8" t="s">
        <v>16</v>
      </c>
      <c r="I2622" s="9">
        <v>2410</v>
      </c>
      <c r="J2622" s="10">
        <v>38</v>
      </c>
      <c r="K2622" s="10">
        <v>10245</v>
      </c>
      <c r="L2622" s="3" t="str">
        <f t="shared" si="83"/>
        <v>ΚΗΠΕΥΤΙΚΑ</v>
      </c>
    </row>
    <row r="2623" spans="1:12" s="3" customFormat="1" ht="24" x14ac:dyDescent="0.25">
      <c r="A2623" s="3" t="str">
        <f t="shared" si="82"/>
        <v>ΚΗΠΕΥΤΙΚΑΜΕΛΙΤΖΑΝΑ - ΑΣΠΡΗ</v>
      </c>
      <c r="B2623" s="4" t="s">
        <v>4911</v>
      </c>
      <c r="C2623" s="5" t="s">
        <v>4984</v>
      </c>
      <c r="D2623" s="6">
        <v>11290.03</v>
      </c>
      <c r="E2623" s="6">
        <v>13610.93</v>
      </c>
      <c r="F2623" s="7" t="s">
        <v>14</v>
      </c>
      <c r="G2623" s="8" t="s">
        <v>4985</v>
      </c>
      <c r="H2623" s="8" t="s">
        <v>16</v>
      </c>
      <c r="I2623" s="9">
        <v>2411</v>
      </c>
      <c r="J2623" s="10">
        <v>38</v>
      </c>
      <c r="K2623" s="10">
        <v>10246</v>
      </c>
      <c r="L2623" s="3" t="str">
        <f t="shared" si="83"/>
        <v>ΚΗΠΕΥΤΙΚΑ</v>
      </c>
    </row>
    <row r="2624" spans="1:12" s="3" customFormat="1" ht="24" x14ac:dyDescent="0.25">
      <c r="A2624" s="3" t="str">
        <f t="shared" si="82"/>
        <v>ΚΗΠΕΥΤΙΚΑΜΕΛΙΤΖΑΝΑ ΑΡΓΙΤΙΚΗ</v>
      </c>
      <c r="B2624" s="4" t="s">
        <v>4911</v>
      </c>
      <c r="C2624" s="5" t="s">
        <v>4986</v>
      </c>
      <c r="D2624" s="6">
        <v>11290.03</v>
      </c>
      <c r="E2624" s="6">
        <v>13610.93</v>
      </c>
      <c r="F2624" s="7" t="s">
        <v>14</v>
      </c>
      <c r="G2624" s="8" t="s">
        <v>4987</v>
      </c>
      <c r="H2624" s="8" t="s">
        <v>16</v>
      </c>
      <c r="I2624" s="9">
        <v>2412</v>
      </c>
      <c r="J2624" s="10">
        <v>38</v>
      </c>
      <c r="K2624" s="10">
        <v>10247</v>
      </c>
      <c r="L2624" s="3" t="str">
        <f t="shared" si="83"/>
        <v>ΚΗΠΕΥΤΙΚΑ</v>
      </c>
    </row>
    <row r="2625" spans="1:12" s="3" customFormat="1" ht="24" x14ac:dyDescent="0.25">
      <c r="A2625" s="3" t="str">
        <f t="shared" si="82"/>
        <v>ΚΗΠΕΥΤΙΚΑΡΟΚΑ - ΚΡΗΤΗΣ</v>
      </c>
      <c r="B2625" s="4" t="s">
        <v>4911</v>
      </c>
      <c r="C2625" s="5" t="s">
        <v>4798</v>
      </c>
      <c r="D2625" s="6">
        <v>11290.03</v>
      </c>
      <c r="E2625" s="6">
        <v>13610.93</v>
      </c>
      <c r="F2625" s="7" t="s">
        <v>14</v>
      </c>
      <c r="G2625" s="8" t="s">
        <v>4988</v>
      </c>
      <c r="H2625" s="8" t="s">
        <v>16</v>
      </c>
      <c r="I2625" s="9">
        <v>2413</v>
      </c>
      <c r="J2625" s="10">
        <v>38</v>
      </c>
      <c r="K2625" s="10">
        <v>10248</v>
      </c>
      <c r="L2625" s="3" t="str">
        <f t="shared" si="83"/>
        <v>ΚΗΠΕΥΤΙΚΑ</v>
      </c>
    </row>
    <row r="2626" spans="1:12" s="3" customFormat="1" ht="24" x14ac:dyDescent="0.25">
      <c r="A2626" s="3" t="str">
        <f t="shared" si="82"/>
        <v>ΚΗΠΕΥΤΙΚΑΡΟΚΑ - ΙΟΝΙΩΝ</v>
      </c>
      <c r="B2626" s="4" t="s">
        <v>4911</v>
      </c>
      <c r="C2626" s="5" t="s">
        <v>4800</v>
      </c>
      <c r="D2626" s="6">
        <v>11290.03</v>
      </c>
      <c r="E2626" s="6">
        <v>13610.93</v>
      </c>
      <c r="F2626" s="7" t="s">
        <v>14</v>
      </c>
      <c r="G2626" s="8" t="s">
        <v>4989</v>
      </c>
      <c r="H2626" s="8" t="s">
        <v>16</v>
      </c>
      <c r="I2626" s="9">
        <v>2355</v>
      </c>
      <c r="J2626" s="10">
        <v>38</v>
      </c>
      <c r="K2626" s="10">
        <v>10249</v>
      </c>
      <c r="L2626" s="3" t="str">
        <f t="shared" si="83"/>
        <v>ΚΗΠΕΥΤΙΚΑ</v>
      </c>
    </row>
    <row r="2627" spans="1:12" s="3" customFormat="1" ht="24" x14ac:dyDescent="0.25">
      <c r="A2627" s="3" t="str">
        <f t="shared" ref="A2627:A2690" si="84">_xlfn.CONCAT(B2627,C2627)</f>
        <v>ΚΗΠΕΥΤΙΚΑΤΟΜΑΤΑ - ΟΡΜΥΛΙΑΣ</v>
      </c>
      <c r="B2627" s="4" t="s">
        <v>4911</v>
      </c>
      <c r="C2627" s="5" t="s">
        <v>4990</v>
      </c>
      <c r="D2627" s="6">
        <v>11290.03</v>
      </c>
      <c r="E2627" s="6">
        <v>13610.93</v>
      </c>
      <c r="F2627" s="7" t="s">
        <v>14</v>
      </c>
      <c r="G2627" s="8" t="s">
        <v>4991</v>
      </c>
      <c r="H2627" s="8" t="s">
        <v>16</v>
      </c>
      <c r="I2627" s="9">
        <v>2414</v>
      </c>
      <c r="J2627" s="10">
        <v>38</v>
      </c>
      <c r="K2627" s="10">
        <v>10250</v>
      </c>
      <c r="L2627" s="3" t="str">
        <f t="shared" ref="L2627:L2690" si="85">IFERROR(SUBSTITUTE(SUBSTITUTE(SUBSTITUTE(SUBSTITUTE(SUBSTITUTE(B2627, "-", "_"), " ", "_"), ",", ""), "(", ""), ")", ""), B2627)</f>
        <v>ΚΗΠΕΥΤΙΚΑ</v>
      </c>
    </row>
    <row r="2628" spans="1:12" s="3" customFormat="1" ht="24" x14ac:dyDescent="0.25">
      <c r="A2628" s="3" t="str">
        <f t="shared" si="84"/>
        <v>ΚΗΠΕΥΤΙΚΑΤΟΜΑΤΑ - ΜΗΛΟ ΚΕΦΑΛΛΗΝΙΑΣ</v>
      </c>
      <c r="B2628" s="4" t="s">
        <v>4911</v>
      </c>
      <c r="C2628" s="5" t="s">
        <v>4992</v>
      </c>
      <c r="D2628" s="6">
        <v>11290.03</v>
      </c>
      <c r="E2628" s="6">
        <v>13610.93</v>
      </c>
      <c r="F2628" s="7" t="s">
        <v>14</v>
      </c>
      <c r="G2628" s="8" t="s">
        <v>4993</v>
      </c>
      <c r="H2628" s="8" t="s">
        <v>16</v>
      </c>
      <c r="I2628" s="9">
        <v>2383</v>
      </c>
      <c r="J2628" s="10">
        <v>38</v>
      </c>
      <c r="K2628" s="10">
        <v>10251</v>
      </c>
      <c r="L2628" s="3" t="str">
        <f t="shared" si="85"/>
        <v>ΚΗΠΕΥΤΙΚΑ</v>
      </c>
    </row>
    <row r="2629" spans="1:12" s="3" customFormat="1" ht="24" x14ac:dyDescent="0.25">
      <c r="A2629" s="3" t="str">
        <f t="shared" si="84"/>
        <v>ΚΗΠΕΥΤΙΚΑΤΟΜΑΤΑ - ΚΥΚΛΑΔΩΝ</v>
      </c>
      <c r="B2629" s="4" t="s">
        <v>4911</v>
      </c>
      <c r="C2629" s="5" t="s">
        <v>4994</v>
      </c>
      <c r="D2629" s="6">
        <v>11290.03</v>
      </c>
      <c r="E2629" s="6">
        <v>13610.93</v>
      </c>
      <c r="F2629" s="7" t="s">
        <v>14</v>
      </c>
      <c r="G2629" s="8" t="s">
        <v>4995</v>
      </c>
      <c r="H2629" s="8" t="s">
        <v>16</v>
      </c>
      <c r="I2629" s="9">
        <v>2381</v>
      </c>
      <c r="J2629" s="10">
        <v>38</v>
      </c>
      <c r="K2629" s="10">
        <v>10252</v>
      </c>
      <c r="L2629" s="3" t="str">
        <f t="shared" si="85"/>
        <v>ΚΗΠΕΥΤΙΚΑ</v>
      </c>
    </row>
    <row r="2630" spans="1:12" s="3" customFormat="1" ht="24" x14ac:dyDescent="0.25">
      <c r="A2630" s="3" t="str">
        <f t="shared" si="84"/>
        <v>ΚΗΠΕΥΤΙΚΑΤΟΜΑΤΑ - ΚΩΣ</v>
      </c>
      <c r="B2630" s="4" t="s">
        <v>4911</v>
      </c>
      <c r="C2630" s="5" t="s">
        <v>4996</v>
      </c>
      <c r="D2630" s="6">
        <v>11290.03</v>
      </c>
      <c r="E2630" s="6">
        <v>13610.93</v>
      </c>
      <c r="F2630" s="7" t="s">
        <v>14</v>
      </c>
      <c r="G2630" s="8" t="s">
        <v>4997</v>
      </c>
      <c r="H2630" s="8" t="s">
        <v>16</v>
      </c>
      <c r="I2630" s="9">
        <v>2403</v>
      </c>
      <c r="J2630" s="10">
        <v>38</v>
      </c>
      <c r="K2630" s="10">
        <v>10253</v>
      </c>
      <c r="L2630" s="3" t="str">
        <f t="shared" si="85"/>
        <v>ΚΗΠΕΥΤΙΚΑ</v>
      </c>
    </row>
    <row r="2631" spans="1:12" s="3" customFormat="1" ht="24" x14ac:dyDescent="0.25">
      <c r="A2631" s="3" t="str">
        <f t="shared" si="84"/>
        <v>ΚΗΠΕΥΤΙΚΑΤΟΜΑΤΑ - ΚΥΡΗΝΘΟΥ, ΜΑΝΤΟΥΔΙΟΥ</v>
      </c>
      <c r="B2631" s="4" t="s">
        <v>4911</v>
      </c>
      <c r="C2631" s="5" t="s">
        <v>4998</v>
      </c>
      <c r="D2631" s="6">
        <v>11290.03</v>
      </c>
      <c r="E2631" s="6">
        <v>13610.93</v>
      </c>
      <c r="F2631" s="7" t="s">
        <v>14</v>
      </c>
      <c r="G2631" s="8" t="s">
        <v>4999</v>
      </c>
      <c r="H2631" s="8" t="s">
        <v>16</v>
      </c>
      <c r="I2631" s="9">
        <v>2374</v>
      </c>
      <c r="J2631" s="10">
        <v>38</v>
      </c>
      <c r="K2631" s="10">
        <v>10254</v>
      </c>
      <c r="L2631" s="3" t="str">
        <f t="shared" si="85"/>
        <v>ΚΗΠΕΥΤΙΚΑ</v>
      </c>
    </row>
    <row r="2632" spans="1:12" s="3" customFormat="1" ht="24" x14ac:dyDescent="0.25">
      <c r="A2632" s="3" t="str">
        <f t="shared" si="84"/>
        <v>ΚΗΠΕΥΤΙΚΑΤΟΜΑΤΑ - ΙΘΑΚΗ</v>
      </c>
      <c r="B2632" s="4" t="s">
        <v>4911</v>
      </c>
      <c r="C2632" s="5" t="s">
        <v>5000</v>
      </c>
      <c r="D2632" s="6">
        <v>11290.03</v>
      </c>
      <c r="E2632" s="6">
        <v>13610.93</v>
      </c>
      <c r="F2632" s="7" t="s">
        <v>14</v>
      </c>
      <c r="G2632" s="8" t="s">
        <v>5001</v>
      </c>
      <c r="H2632" s="8" t="s">
        <v>16</v>
      </c>
      <c r="I2632" s="9">
        <v>2375</v>
      </c>
      <c r="J2632" s="10">
        <v>38</v>
      </c>
      <c r="K2632" s="10">
        <v>10255</v>
      </c>
      <c r="L2632" s="3" t="str">
        <f t="shared" si="85"/>
        <v>ΚΗΠΕΥΤΙΚΑ</v>
      </c>
    </row>
    <row r="2633" spans="1:12" s="3" customFormat="1" ht="24" x14ac:dyDescent="0.25">
      <c r="A2633" s="3" t="str">
        <f t="shared" si="84"/>
        <v>ΚΗΠΕΥΤΙΚΑΤΟΜΑΤΑ - ΝΤΟΜΑΤΕΛΑ</v>
      </c>
      <c r="B2633" s="4" t="s">
        <v>4911</v>
      </c>
      <c r="C2633" s="5" t="s">
        <v>5002</v>
      </c>
      <c r="D2633" s="6">
        <v>11290.03</v>
      </c>
      <c r="E2633" s="6">
        <v>13610.93</v>
      </c>
      <c r="F2633" s="7" t="s">
        <v>14</v>
      </c>
      <c r="G2633" s="8" t="s">
        <v>5003</v>
      </c>
      <c r="H2633" s="8" t="s">
        <v>16</v>
      </c>
      <c r="I2633" s="9">
        <v>2376</v>
      </c>
      <c r="J2633" s="10">
        <v>38</v>
      </c>
      <c r="K2633" s="10">
        <v>10256</v>
      </c>
      <c r="L2633" s="3" t="str">
        <f t="shared" si="85"/>
        <v>ΚΗΠΕΥΤΙΚΑ</v>
      </c>
    </row>
    <row r="2634" spans="1:12" s="3" customFormat="1" ht="24" x14ac:dyDescent="0.25">
      <c r="A2634" s="3" t="str">
        <f t="shared" si="84"/>
        <v>ΚΗΠΕΥΤΙΚΑΤΟΜΑΤΑ - ΤΡΙΓΩΝΟ ΕΒΡΟΥ</v>
      </c>
      <c r="B2634" s="4" t="s">
        <v>4911</v>
      </c>
      <c r="C2634" s="5" t="s">
        <v>5004</v>
      </c>
      <c r="D2634" s="6">
        <v>11290.03</v>
      </c>
      <c r="E2634" s="6">
        <v>13610.93</v>
      </c>
      <c r="F2634" s="7" t="s">
        <v>14</v>
      </c>
      <c r="G2634" s="8" t="s">
        <v>5005</v>
      </c>
      <c r="H2634" s="8" t="s">
        <v>16</v>
      </c>
      <c r="I2634" s="9">
        <v>2377</v>
      </c>
      <c r="J2634" s="10">
        <v>38</v>
      </c>
      <c r="K2634" s="10">
        <v>10257</v>
      </c>
      <c r="L2634" s="3" t="str">
        <f t="shared" si="85"/>
        <v>ΚΗΠΕΥΤΙΚΑ</v>
      </c>
    </row>
    <row r="2635" spans="1:12" s="3" customFormat="1" ht="24" x14ac:dyDescent="0.25">
      <c r="A2635" s="3" t="str">
        <f t="shared" si="84"/>
        <v>ΚΗΠΕΥΤΙΚΑΤΟΜΑΤΑ - ΚΑΡΑΜΠΟΛΑ</v>
      </c>
      <c r="B2635" s="4" t="s">
        <v>4911</v>
      </c>
      <c r="C2635" s="5" t="s">
        <v>5006</v>
      </c>
      <c r="D2635" s="6">
        <v>11290.03</v>
      </c>
      <c r="E2635" s="6">
        <v>13610.93</v>
      </c>
      <c r="F2635" s="7" t="s">
        <v>14</v>
      </c>
      <c r="G2635" s="8" t="s">
        <v>5007</v>
      </c>
      <c r="H2635" s="8" t="s">
        <v>16</v>
      </c>
      <c r="I2635" s="9">
        <v>2378</v>
      </c>
      <c r="J2635" s="10">
        <v>38</v>
      </c>
      <c r="K2635" s="10">
        <v>10258</v>
      </c>
      <c r="L2635" s="3" t="str">
        <f t="shared" si="85"/>
        <v>ΚΗΠΕΥΤΙΚΑ</v>
      </c>
    </row>
    <row r="2636" spans="1:12" s="3" customFormat="1" ht="24" x14ac:dyDescent="0.25">
      <c r="A2636" s="3" t="str">
        <f t="shared" si="84"/>
        <v>ΚΗΠΕΥΤΙΚΑΤΟΜΑΤΑ - ΥΔΡΟΥΣΑ</v>
      </c>
      <c r="B2636" s="4" t="s">
        <v>4911</v>
      </c>
      <c r="C2636" s="5" t="s">
        <v>5008</v>
      </c>
      <c r="D2636" s="6">
        <v>11290.03</v>
      </c>
      <c r="E2636" s="6">
        <v>13610.93</v>
      </c>
      <c r="F2636" s="7" t="s">
        <v>14</v>
      </c>
      <c r="G2636" s="8" t="s">
        <v>5009</v>
      </c>
      <c r="H2636" s="8" t="s">
        <v>16</v>
      </c>
      <c r="I2636" s="9">
        <v>2379</v>
      </c>
      <c r="J2636" s="10">
        <v>38</v>
      </c>
      <c r="K2636" s="10">
        <v>10259</v>
      </c>
      <c r="L2636" s="3" t="str">
        <f t="shared" si="85"/>
        <v>ΚΗΠΕΥΤΙΚΑ</v>
      </c>
    </row>
    <row r="2637" spans="1:12" s="3" customFormat="1" ht="24" x14ac:dyDescent="0.25">
      <c r="A2637" s="3" t="str">
        <f t="shared" si="84"/>
        <v>ΚΗΠΕΥΤΙΚΑΤΟΜΑΤΑ - ΚΡΑΣΟΥΛΙΑ</v>
      </c>
      <c r="B2637" s="4" t="s">
        <v>4911</v>
      </c>
      <c r="C2637" s="5" t="s">
        <v>5010</v>
      </c>
      <c r="D2637" s="6">
        <v>11290.03</v>
      </c>
      <c r="E2637" s="6">
        <v>13610.93</v>
      </c>
      <c r="F2637" s="7" t="s">
        <v>14</v>
      </c>
      <c r="G2637" s="8" t="s">
        <v>5011</v>
      </c>
      <c r="H2637" s="8" t="s">
        <v>16</v>
      </c>
      <c r="I2637" s="9">
        <v>2380</v>
      </c>
      <c r="J2637" s="10">
        <v>38</v>
      </c>
      <c r="K2637" s="10">
        <v>10260</v>
      </c>
      <c r="L2637" s="3" t="str">
        <f t="shared" si="85"/>
        <v>ΚΗΠΕΥΤΙΚΑ</v>
      </c>
    </row>
    <row r="2638" spans="1:12" s="3" customFormat="1" ht="24" x14ac:dyDescent="0.25">
      <c r="A2638" s="3" t="str">
        <f t="shared" si="84"/>
        <v>ΚΗΠΕΥΤΙΚΑΤΟΜΑΤΑ - ΤΟΜΑΤΑΚΙ ΞΗΡΙΚΟ</v>
      </c>
      <c r="B2638" s="4" t="s">
        <v>4911</v>
      </c>
      <c r="C2638" s="5" t="s">
        <v>5012</v>
      </c>
      <c r="D2638" s="6">
        <v>11290.03</v>
      </c>
      <c r="E2638" s="6">
        <v>13610.93</v>
      </c>
      <c r="F2638" s="7" t="s">
        <v>14</v>
      </c>
      <c r="G2638" s="8" t="s">
        <v>5013</v>
      </c>
      <c r="H2638" s="8" t="s">
        <v>16</v>
      </c>
      <c r="I2638" s="9">
        <v>2393</v>
      </c>
      <c r="J2638" s="10">
        <v>38</v>
      </c>
      <c r="K2638" s="10">
        <v>10261</v>
      </c>
      <c r="L2638" s="3" t="str">
        <f t="shared" si="85"/>
        <v>ΚΗΠΕΥΤΙΚΑ</v>
      </c>
    </row>
    <row r="2639" spans="1:12" s="3" customFormat="1" ht="24" x14ac:dyDescent="0.25">
      <c r="A2639" s="3" t="str">
        <f t="shared" si="84"/>
        <v>ΚΗΠΕΥΤΙΚΑΤΟΜΑΤΑ - ΑΝΔΡΟΥ</v>
      </c>
      <c r="B2639" s="4" t="s">
        <v>4911</v>
      </c>
      <c r="C2639" s="5" t="s">
        <v>5014</v>
      </c>
      <c r="D2639" s="6">
        <v>11290.03</v>
      </c>
      <c r="E2639" s="6">
        <v>13610.93</v>
      </c>
      <c r="F2639" s="7" t="s">
        <v>14</v>
      </c>
      <c r="G2639" s="8" t="s">
        <v>5015</v>
      </c>
      <c r="H2639" s="8" t="s">
        <v>16</v>
      </c>
      <c r="I2639" s="9">
        <v>2382</v>
      </c>
      <c r="J2639" s="10">
        <v>38</v>
      </c>
      <c r="K2639" s="10">
        <v>10262</v>
      </c>
      <c r="L2639" s="3" t="str">
        <f t="shared" si="85"/>
        <v>ΚΗΠΕΥΤΙΚΑ</v>
      </c>
    </row>
    <row r="2640" spans="1:12" s="3" customFormat="1" ht="24" x14ac:dyDescent="0.25">
      <c r="A2640" s="3" t="str">
        <f t="shared" si="84"/>
        <v>ΚΗΠΕΥΤΙΚΑΤΟΜΑΤΑ - ΧΙΟΥ</v>
      </c>
      <c r="B2640" s="4" t="s">
        <v>4911</v>
      </c>
      <c r="C2640" s="5" t="s">
        <v>5016</v>
      </c>
      <c r="D2640" s="6">
        <v>11290.03</v>
      </c>
      <c r="E2640" s="6">
        <v>13610.93</v>
      </c>
      <c r="F2640" s="7" t="s">
        <v>14</v>
      </c>
      <c r="G2640" s="8" t="s">
        <v>5017</v>
      </c>
      <c r="H2640" s="8" t="s">
        <v>16</v>
      </c>
      <c r="I2640" s="9">
        <v>2372</v>
      </c>
      <c r="J2640" s="10">
        <v>38</v>
      </c>
      <c r="K2640" s="10">
        <v>10263</v>
      </c>
      <c r="L2640" s="3" t="str">
        <f t="shared" si="85"/>
        <v>ΚΗΠΕΥΤΙΚΑ</v>
      </c>
    </row>
    <row r="2641" spans="1:12" s="3" customFormat="1" ht="24" x14ac:dyDescent="0.25">
      <c r="A2641" s="3" t="str">
        <f t="shared" si="84"/>
        <v>ΚΗΠΕΥΤΙΚΑΤΟΜΑΤΑ - ΖΑΚΥΝΘΟΥ</v>
      </c>
      <c r="B2641" s="4" t="s">
        <v>4911</v>
      </c>
      <c r="C2641" s="5" t="s">
        <v>5018</v>
      </c>
      <c r="D2641" s="6">
        <v>11290.03</v>
      </c>
      <c r="E2641" s="6">
        <v>13610.93</v>
      </c>
      <c r="F2641" s="7" t="s">
        <v>14</v>
      </c>
      <c r="G2641" s="8" t="s">
        <v>5019</v>
      </c>
      <c r="H2641" s="8" t="s">
        <v>16</v>
      </c>
      <c r="I2641" s="9">
        <v>2384</v>
      </c>
      <c r="J2641" s="10">
        <v>38</v>
      </c>
      <c r="K2641" s="10">
        <v>10264</v>
      </c>
      <c r="L2641" s="3" t="str">
        <f t="shared" si="85"/>
        <v>ΚΗΠΕΥΤΙΚΑ</v>
      </c>
    </row>
    <row r="2642" spans="1:12" s="3" customFormat="1" ht="24" x14ac:dyDescent="0.25">
      <c r="A2642" s="3" t="str">
        <f t="shared" si="84"/>
        <v>ΚΗΠΕΥΤΙΚΑΤΟΜΑΤΑ - ΠΑΞΩΝ</v>
      </c>
      <c r="B2642" s="4" t="s">
        <v>4911</v>
      </c>
      <c r="C2642" s="5" t="s">
        <v>5020</v>
      </c>
      <c r="D2642" s="6">
        <v>11290.03</v>
      </c>
      <c r="E2642" s="6">
        <v>13610.93</v>
      </c>
      <c r="F2642" s="7" t="s">
        <v>14</v>
      </c>
      <c r="G2642" s="8" t="s">
        <v>5021</v>
      </c>
      <c r="H2642" s="8" t="s">
        <v>16</v>
      </c>
      <c r="I2642" s="9">
        <v>2385</v>
      </c>
      <c r="J2642" s="10">
        <v>38</v>
      </c>
      <c r="K2642" s="10">
        <v>10265</v>
      </c>
      <c r="L2642" s="3" t="str">
        <f t="shared" si="85"/>
        <v>ΚΗΠΕΥΤΙΚΑ</v>
      </c>
    </row>
    <row r="2643" spans="1:12" s="3" customFormat="1" ht="24" x14ac:dyDescent="0.25">
      <c r="A2643" s="3" t="str">
        <f t="shared" si="84"/>
        <v>ΚΗΠΕΥΤΙΚΑΦΑΣΟΛΙΑ - ΑΡΙΔΑΙΑ</v>
      </c>
      <c r="B2643" s="4" t="s">
        <v>4911</v>
      </c>
      <c r="C2643" s="5" t="s">
        <v>5022</v>
      </c>
      <c r="D2643" s="6">
        <v>11290.03</v>
      </c>
      <c r="E2643" s="6">
        <v>13610.93</v>
      </c>
      <c r="F2643" s="7" t="s">
        <v>14</v>
      </c>
      <c r="G2643" s="8" t="s">
        <v>5023</v>
      </c>
      <c r="H2643" s="8" t="s">
        <v>16</v>
      </c>
      <c r="I2643" s="9">
        <v>2386</v>
      </c>
      <c r="J2643" s="10">
        <v>38</v>
      </c>
      <c r="K2643" s="10">
        <v>10266</v>
      </c>
      <c r="L2643" s="3" t="str">
        <f t="shared" si="85"/>
        <v>ΚΗΠΕΥΤΙΚΑ</v>
      </c>
    </row>
    <row r="2644" spans="1:12" s="3" customFormat="1" ht="24" x14ac:dyDescent="0.25">
      <c r="A2644" s="3" t="str">
        <f t="shared" si="84"/>
        <v>ΚΗΠΕΥΤΙΚΑΦΑΣΟΛΙΑ - ΚΑΡΙΟΠΟΥΛΑ ΙΣΤΙΑΙΑΣ</v>
      </c>
      <c r="B2644" s="4" t="s">
        <v>4911</v>
      </c>
      <c r="C2644" s="5" t="s">
        <v>5024</v>
      </c>
      <c r="D2644" s="6">
        <v>11290.03</v>
      </c>
      <c r="E2644" s="6">
        <v>13610.93</v>
      </c>
      <c r="F2644" s="7" t="s">
        <v>14</v>
      </c>
      <c r="G2644" s="8" t="s">
        <v>5025</v>
      </c>
      <c r="H2644" s="8" t="s">
        <v>16</v>
      </c>
      <c r="I2644" s="9">
        <v>2387</v>
      </c>
      <c r="J2644" s="10">
        <v>38</v>
      </c>
      <c r="K2644" s="10">
        <v>10267</v>
      </c>
      <c r="L2644" s="3" t="str">
        <f t="shared" si="85"/>
        <v>ΚΗΠΕΥΤΙΚΑ</v>
      </c>
    </row>
    <row r="2645" spans="1:12" s="3" customFormat="1" ht="24" x14ac:dyDescent="0.25">
      <c r="A2645" s="3" t="str">
        <f t="shared" si="84"/>
        <v>ΚΗΠΕΥΤΙΚΑΦΑΣΟΛΙΑ - ΨΑΧΝΩΝ</v>
      </c>
      <c r="B2645" s="4" t="s">
        <v>4911</v>
      </c>
      <c r="C2645" s="5" t="s">
        <v>5026</v>
      </c>
      <c r="D2645" s="6">
        <v>11290.03</v>
      </c>
      <c r="E2645" s="6">
        <v>13610.93</v>
      </c>
      <c r="F2645" s="7" t="s">
        <v>14</v>
      </c>
      <c r="G2645" s="8" t="s">
        <v>5027</v>
      </c>
      <c r="H2645" s="8" t="s">
        <v>16</v>
      </c>
      <c r="I2645" s="9">
        <v>2388</v>
      </c>
      <c r="J2645" s="10">
        <v>38</v>
      </c>
      <c r="K2645" s="10">
        <v>10268</v>
      </c>
      <c r="L2645" s="3" t="str">
        <f t="shared" si="85"/>
        <v>ΚΗΠΕΥΤΙΚΑ</v>
      </c>
    </row>
    <row r="2646" spans="1:12" s="3" customFormat="1" ht="24" x14ac:dyDescent="0.25">
      <c r="A2646" s="3" t="str">
        <f t="shared" si="84"/>
        <v>ΚΗΠΕΥΤΙΚΑΦΑΣΟΛΙΑ - ΜΠΑΜΠΑΚΙΑΣ</v>
      </c>
      <c r="B2646" s="4" t="s">
        <v>4911</v>
      </c>
      <c r="C2646" s="5" t="s">
        <v>5028</v>
      </c>
      <c r="D2646" s="6">
        <v>11290.03</v>
      </c>
      <c r="E2646" s="6">
        <v>13610.93</v>
      </c>
      <c r="F2646" s="7" t="s">
        <v>14</v>
      </c>
      <c r="G2646" s="8" t="s">
        <v>5029</v>
      </c>
      <c r="H2646" s="8" t="s">
        <v>16</v>
      </c>
      <c r="I2646" s="9">
        <v>2389</v>
      </c>
      <c r="J2646" s="10">
        <v>38</v>
      </c>
      <c r="K2646" s="10">
        <v>10269</v>
      </c>
      <c r="L2646" s="3" t="str">
        <f t="shared" si="85"/>
        <v>ΚΗΠΕΥΤΙΚΑ</v>
      </c>
    </row>
    <row r="2647" spans="1:12" s="3" customFormat="1" ht="24" x14ac:dyDescent="0.25">
      <c r="A2647" s="3" t="str">
        <f t="shared" si="84"/>
        <v>ΚΗΠΕΥΤΙΚΑΦΑΣΟΛΙΑ - ΤΗΝΟΥ</v>
      </c>
      <c r="B2647" s="4" t="s">
        <v>4911</v>
      </c>
      <c r="C2647" s="5" t="s">
        <v>5030</v>
      </c>
      <c r="D2647" s="6">
        <v>11290.03</v>
      </c>
      <c r="E2647" s="6">
        <v>13610.93</v>
      </c>
      <c r="F2647" s="7" t="s">
        <v>14</v>
      </c>
      <c r="G2647" s="8" t="s">
        <v>5031</v>
      </c>
      <c r="H2647" s="8" t="s">
        <v>16</v>
      </c>
      <c r="I2647" s="9">
        <v>2390</v>
      </c>
      <c r="J2647" s="10">
        <v>38</v>
      </c>
      <c r="K2647" s="10">
        <v>10270</v>
      </c>
      <c r="L2647" s="3" t="str">
        <f t="shared" si="85"/>
        <v>ΚΗΠΕΥΤΙΚΑ</v>
      </c>
    </row>
    <row r="2648" spans="1:12" s="3" customFormat="1" ht="24" x14ac:dyDescent="0.25">
      <c r="A2648" s="3" t="str">
        <f t="shared" si="84"/>
        <v>ΚΗΠΕΥΤΙΚΑΦΑΣΟΛΙΑ - ΜΕΛΙΤΖΑΝΙ</v>
      </c>
      <c r="B2648" s="4" t="s">
        <v>4911</v>
      </c>
      <c r="C2648" s="5" t="s">
        <v>5032</v>
      </c>
      <c r="D2648" s="6">
        <v>11290.03</v>
      </c>
      <c r="E2648" s="6">
        <v>13610.93</v>
      </c>
      <c r="F2648" s="7" t="s">
        <v>14</v>
      </c>
      <c r="G2648" s="8" t="s">
        <v>5033</v>
      </c>
      <c r="H2648" s="8" t="s">
        <v>16</v>
      </c>
      <c r="I2648" s="9">
        <v>2391</v>
      </c>
      <c r="J2648" s="10">
        <v>38</v>
      </c>
      <c r="K2648" s="10">
        <v>10271</v>
      </c>
      <c r="L2648" s="3" t="str">
        <f t="shared" si="85"/>
        <v>ΚΗΠΕΥΤΙΚΑ</v>
      </c>
    </row>
    <row r="2649" spans="1:12" s="3" customFormat="1" ht="24" x14ac:dyDescent="0.25">
      <c r="A2649" s="3" t="str">
        <f t="shared" si="84"/>
        <v>ΚΗΠΕΥΤΙΚΑΦΑΣΟΛΙΑ - ΠΙΤΣΙΛΩΤΟ</v>
      </c>
      <c r="B2649" s="4" t="s">
        <v>4911</v>
      </c>
      <c r="C2649" s="5" t="s">
        <v>5034</v>
      </c>
      <c r="D2649" s="6">
        <v>11290.03</v>
      </c>
      <c r="E2649" s="6">
        <v>13610.93</v>
      </c>
      <c r="F2649" s="7" t="s">
        <v>14</v>
      </c>
      <c r="G2649" s="8" t="s">
        <v>5035</v>
      </c>
      <c r="H2649" s="8" t="s">
        <v>16</v>
      </c>
      <c r="I2649" s="9">
        <v>2417</v>
      </c>
      <c r="J2649" s="10">
        <v>38</v>
      </c>
      <c r="K2649" s="10">
        <v>10272</v>
      </c>
      <c r="L2649" s="3" t="str">
        <f t="shared" si="85"/>
        <v>ΚΗΠΕΥΤΙΚΑ</v>
      </c>
    </row>
    <row r="2650" spans="1:12" s="3" customFormat="1" ht="24" x14ac:dyDescent="0.25">
      <c r="A2650" s="3" t="str">
        <f t="shared" si="84"/>
        <v>ΚΗΠΕΥΤΙΚΑΦΑΣΟΛΙΑ - ΚΟΥΦΕΤΟ</v>
      </c>
      <c r="B2650" s="4" t="s">
        <v>4911</v>
      </c>
      <c r="C2650" s="5" t="s">
        <v>5036</v>
      </c>
      <c r="D2650" s="6">
        <v>11290.03</v>
      </c>
      <c r="E2650" s="6">
        <v>13610.93</v>
      </c>
      <c r="F2650" s="7" t="s">
        <v>14</v>
      </c>
      <c r="G2650" s="8" t="s">
        <v>5037</v>
      </c>
      <c r="H2650" s="8" t="s">
        <v>16</v>
      </c>
      <c r="I2650" s="9">
        <v>2373</v>
      </c>
      <c r="J2650" s="10">
        <v>38</v>
      </c>
      <c r="K2650" s="10">
        <v>10273</v>
      </c>
      <c r="L2650" s="3" t="str">
        <f t="shared" si="85"/>
        <v>ΚΗΠΕΥΤΙΚΑ</v>
      </c>
    </row>
    <row r="2651" spans="1:12" s="3" customFormat="1" ht="24" x14ac:dyDescent="0.25">
      <c r="A2651" s="3" t="str">
        <f t="shared" si="84"/>
        <v>ΚΗΠΕΥΤΙΚΑΦΑΣΟΛΙΑ - ΠΑΣΤΑΛΙΑ</v>
      </c>
      <c r="B2651" s="4" t="s">
        <v>4911</v>
      </c>
      <c r="C2651" s="5" t="s">
        <v>5038</v>
      </c>
      <c r="D2651" s="6">
        <v>11290.03</v>
      </c>
      <c r="E2651" s="6">
        <v>13610.93</v>
      </c>
      <c r="F2651" s="7" t="s">
        <v>14</v>
      </c>
      <c r="G2651" s="8" t="s">
        <v>5039</v>
      </c>
      <c r="H2651" s="8" t="s">
        <v>16</v>
      </c>
      <c r="I2651" s="9">
        <v>2405</v>
      </c>
      <c r="J2651" s="10">
        <v>38</v>
      </c>
      <c r="K2651" s="10">
        <v>10274</v>
      </c>
      <c r="L2651" s="3" t="str">
        <f t="shared" si="85"/>
        <v>ΚΗΠΕΥΤΙΚΑ</v>
      </c>
    </row>
    <row r="2652" spans="1:12" s="3" customFormat="1" ht="24" x14ac:dyDescent="0.25">
      <c r="A2652" s="3" t="str">
        <f t="shared" si="84"/>
        <v>ΚΗΠΕΥΤΙΚΑΦΑΣΟΛΙΑ - ΤΣΑΟΥΛΙ ΣΤΡΟΠΩΝΩΝ</v>
      </c>
      <c r="B2652" s="4" t="s">
        <v>4911</v>
      </c>
      <c r="C2652" s="5" t="s">
        <v>5040</v>
      </c>
      <c r="D2652" s="6">
        <v>11290.03</v>
      </c>
      <c r="E2652" s="6">
        <v>13610.93</v>
      </c>
      <c r="F2652" s="7" t="s">
        <v>14</v>
      </c>
      <c r="G2652" s="8" t="s">
        <v>5041</v>
      </c>
      <c r="H2652" s="8" t="s">
        <v>16</v>
      </c>
      <c r="I2652" s="9">
        <v>2439</v>
      </c>
      <c r="J2652" s="10">
        <v>38</v>
      </c>
      <c r="K2652" s="10">
        <v>10275</v>
      </c>
      <c r="L2652" s="3" t="str">
        <f t="shared" si="85"/>
        <v>ΚΗΠΕΥΤΙΚΑ</v>
      </c>
    </row>
    <row r="2653" spans="1:12" s="3" customFormat="1" ht="24" x14ac:dyDescent="0.25">
      <c r="A2653" s="3" t="str">
        <f t="shared" si="84"/>
        <v>ΚΗΠΕΥΤΙΚΑΜΠΑΜΙΑ ΠΥΛΑΙΑΣ</v>
      </c>
      <c r="B2653" s="4" t="s">
        <v>4911</v>
      </c>
      <c r="C2653" s="5" t="s">
        <v>5042</v>
      </c>
      <c r="D2653" s="6">
        <v>11290.03</v>
      </c>
      <c r="E2653" s="6">
        <v>13610.93</v>
      </c>
      <c r="F2653" s="7" t="s">
        <v>14</v>
      </c>
      <c r="G2653" s="8" t="s">
        <v>5043</v>
      </c>
      <c r="H2653" s="8" t="s">
        <v>16</v>
      </c>
      <c r="I2653" s="9">
        <v>2440</v>
      </c>
      <c r="J2653" s="10">
        <v>38</v>
      </c>
      <c r="K2653" s="10">
        <v>10276</v>
      </c>
      <c r="L2653" s="3" t="str">
        <f t="shared" si="85"/>
        <v>ΚΗΠΕΥΤΙΚΑ</v>
      </c>
    </row>
    <row r="2654" spans="1:12" s="3" customFormat="1" ht="24" x14ac:dyDescent="0.25">
      <c r="A2654" s="3" t="str">
        <f t="shared" si="84"/>
        <v>ΚΗΠΕΥΤΙΚΑΠΙΠΕΡΙΑ - ΚΑΡΑΤΖΟΒΑΣ</v>
      </c>
      <c r="B2654" s="4" t="s">
        <v>4911</v>
      </c>
      <c r="C2654" s="5" t="s">
        <v>5044</v>
      </c>
      <c r="D2654" s="6">
        <v>11290.03</v>
      </c>
      <c r="E2654" s="6">
        <v>13610.93</v>
      </c>
      <c r="F2654" s="7" t="s">
        <v>14</v>
      </c>
      <c r="G2654" s="8" t="s">
        <v>5045</v>
      </c>
      <c r="H2654" s="8" t="s">
        <v>16</v>
      </c>
      <c r="I2654" s="9">
        <v>2441</v>
      </c>
      <c r="J2654" s="10">
        <v>38</v>
      </c>
      <c r="K2654" s="10">
        <v>10277</v>
      </c>
      <c r="L2654" s="3" t="str">
        <f t="shared" si="85"/>
        <v>ΚΗΠΕΥΤΙΚΑ</v>
      </c>
    </row>
    <row r="2655" spans="1:12" s="3" customFormat="1" ht="24" x14ac:dyDescent="0.25">
      <c r="A2655" s="3" t="str">
        <f t="shared" si="84"/>
        <v>ΚΗΠΕΥΤΙΚΑΠΙΠΕΡΙΑ - ΚΑΥΤΕΡΗ ΙΕΡΑΠΕΤΡΑΣ</v>
      </c>
      <c r="B2655" s="4" t="s">
        <v>4911</v>
      </c>
      <c r="C2655" s="5" t="s">
        <v>5046</v>
      </c>
      <c r="D2655" s="6">
        <v>11290.03</v>
      </c>
      <c r="E2655" s="6">
        <v>13610.93</v>
      </c>
      <c r="F2655" s="7" t="s">
        <v>14</v>
      </c>
      <c r="G2655" s="8" t="s">
        <v>5047</v>
      </c>
      <c r="H2655" s="8" t="s">
        <v>16</v>
      </c>
      <c r="I2655" s="9">
        <v>2442</v>
      </c>
      <c r="J2655" s="10">
        <v>38</v>
      </c>
      <c r="K2655" s="10">
        <v>10278</v>
      </c>
      <c r="L2655" s="3" t="str">
        <f t="shared" si="85"/>
        <v>ΚΗΠΕΥΤΙΚΑ</v>
      </c>
    </row>
    <row r="2656" spans="1:12" s="3" customFormat="1" ht="24" x14ac:dyDescent="0.25">
      <c r="A2656" s="3" t="str">
        <f t="shared" si="84"/>
        <v>ΚΗΠΕΥΤΙΚΑΠΙΠΕΡΙΑ - ΜΥΤΕΡΟ</v>
      </c>
      <c r="B2656" s="4" t="s">
        <v>4911</v>
      </c>
      <c r="C2656" s="5" t="s">
        <v>5048</v>
      </c>
      <c r="D2656" s="6">
        <v>11290.03</v>
      </c>
      <c r="E2656" s="6">
        <v>13610.93</v>
      </c>
      <c r="F2656" s="7" t="s">
        <v>14</v>
      </c>
      <c r="G2656" s="8" t="s">
        <v>5049</v>
      </c>
      <c r="H2656" s="8" t="s">
        <v>16</v>
      </c>
      <c r="I2656" s="9">
        <v>2443</v>
      </c>
      <c r="J2656" s="10">
        <v>38</v>
      </c>
      <c r="K2656" s="10">
        <v>10279</v>
      </c>
      <c r="L2656" s="3" t="str">
        <f t="shared" si="85"/>
        <v>ΚΗΠΕΥΤΙΚΑ</v>
      </c>
    </row>
    <row r="2657" spans="1:12" s="3" customFormat="1" ht="24" x14ac:dyDescent="0.25">
      <c r="A2657" s="3" t="str">
        <f t="shared" si="84"/>
        <v>ΚΗΠΕΥΤΙΚΑΠΙΠΕΡΙΑ - ΣΤΑΥΡΟΣ</v>
      </c>
      <c r="B2657" s="4" t="s">
        <v>4911</v>
      </c>
      <c r="C2657" s="5" t="s">
        <v>5050</v>
      </c>
      <c r="D2657" s="6">
        <v>11290.03</v>
      </c>
      <c r="E2657" s="6">
        <v>13610.93</v>
      </c>
      <c r="F2657" s="7" t="s">
        <v>14</v>
      </c>
      <c r="G2657" s="8" t="s">
        <v>5051</v>
      </c>
      <c r="H2657" s="8" t="s">
        <v>16</v>
      </c>
      <c r="I2657" s="9">
        <v>2444</v>
      </c>
      <c r="J2657" s="10">
        <v>38</v>
      </c>
      <c r="K2657" s="10">
        <v>10280</v>
      </c>
      <c r="L2657" s="3" t="str">
        <f t="shared" si="85"/>
        <v>ΚΗΠΕΥΤΙΚΑ</v>
      </c>
    </row>
    <row r="2658" spans="1:12" s="3" customFormat="1" ht="24" x14ac:dyDescent="0.25">
      <c r="A2658" s="3" t="str">
        <f t="shared" si="84"/>
        <v>ΚΗΠΕΥΤΙΚΑΑΓΚΙΝΑΡΑ - ΑΤΤΙΚΗΣ</v>
      </c>
      <c r="B2658" s="4" t="s">
        <v>4911</v>
      </c>
      <c r="C2658" s="5" t="s">
        <v>5052</v>
      </c>
      <c r="D2658" s="6">
        <v>11290.03</v>
      </c>
      <c r="E2658" s="6">
        <v>13610.93</v>
      </c>
      <c r="F2658" s="7" t="s">
        <v>14</v>
      </c>
      <c r="G2658" s="8" t="s">
        <v>5053</v>
      </c>
      <c r="H2658" s="8" t="s">
        <v>16</v>
      </c>
      <c r="I2658" s="9">
        <v>2445</v>
      </c>
      <c r="J2658" s="10">
        <v>38</v>
      </c>
      <c r="K2658" s="10">
        <v>10281</v>
      </c>
      <c r="L2658" s="3" t="str">
        <f t="shared" si="85"/>
        <v>ΚΗΠΕΥΤΙΚΑ</v>
      </c>
    </row>
    <row r="2659" spans="1:12" s="3" customFormat="1" ht="24" x14ac:dyDescent="0.25">
      <c r="A2659" s="3" t="str">
        <f t="shared" si="84"/>
        <v>ΚΗΠΕΥΤΙΚΑΑΓΚΙΝΑΡΑ - ΚΡΗΤΗΣ</v>
      </c>
      <c r="B2659" s="4" t="s">
        <v>4911</v>
      </c>
      <c r="C2659" s="5" t="s">
        <v>5054</v>
      </c>
      <c r="D2659" s="6">
        <v>11290.03</v>
      </c>
      <c r="E2659" s="6">
        <v>13610.93</v>
      </c>
      <c r="F2659" s="7" t="s">
        <v>14</v>
      </c>
      <c r="G2659" s="8" t="s">
        <v>5055</v>
      </c>
      <c r="H2659" s="8" t="s">
        <v>16</v>
      </c>
      <c r="I2659" s="9">
        <v>2446</v>
      </c>
      <c r="J2659" s="10">
        <v>38</v>
      </c>
      <c r="K2659" s="10">
        <v>10282</v>
      </c>
      <c r="L2659" s="3" t="str">
        <f t="shared" si="85"/>
        <v>ΚΗΠΕΥΤΙΚΑ</v>
      </c>
    </row>
    <row r="2660" spans="1:12" s="3" customFormat="1" ht="24" x14ac:dyDescent="0.25">
      <c r="A2660" s="3" t="str">
        <f t="shared" si="84"/>
        <v>ΚΗΠΕΥΤΙΚΑΑΓΚΙΝΑΡΑ - ΑΓΚΙΝΑΡΑΚΙ</v>
      </c>
      <c r="B2660" s="4" t="s">
        <v>4911</v>
      </c>
      <c r="C2660" s="5" t="s">
        <v>5056</v>
      </c>
      <c r="D2660" s="6">
        <v>11290.03</v>
      </c>
      <c r="E2660" s="6">
        <v>13610.93</v>
      </c>
      <c r="F2660" s="7" t="s">
        <v>14</v>
      </c>
      <c r="G2660" s="8" t="s">
        <v>5057</v>
      </c>
      <c r="H2660" s="8" t="s">
        <v>16</v>
      </c>
      <c r="I2660" s="9">
        <v>2459</v>
      </c>
      <c r="J2660" s="10">
        <v>38</v>
      </c>
      <c r="K2660" s="10">
        <v>10283</v>
      </c>
      <c r="L2660" s="3" t="str">
        <f t="shared" si="85"/>
        <v>ΚΗΠΕΥΤΙΚΑ</v>
      </c>
    </row>
    <row r="2661" spans="1:12" s="3" customFormat="1" ht="24" x14ac:dyDescent="0.25">
      <c r="A2661" s="3" t="str">
        <f t="shared" si="84"/>
        <v>ΚΗΠΕΥΤΙΚΑΑΓΓΟΥΡΙ ΑΝΔΡΟΥ</v>
      </c>
      <c r="B2661" s="4" t="s">
        <v>4911</v>
      </c>
      <c r="C2661" s="5" t="s">
        <v>5058</v>
      </c>
      <c r="D2661" s="6">
        <v>11290.03</v>
      </c>
      <c r="E2661" s="6">
        <v>13610.93</v>
      </c>
      <c r="F2661" s="7" t="s">
        <v>14</v>
      </c>
      <c r="G2661" s="8" t="s">
        <v>5059</v>
      </c>
      <c r="H2661" s="8" t="s">
        <v>16</v>
      </c>
      <c r="I2661" s="9">
        <v>2448</v>
      </c>
      <c r="J2661" s="10">
        <v>38</v>
      </c>
      <c r="K2661" s="10">
        <v>10284</v>
      </c>
      <c r="L2661" s="3" t="str">
        <f t="shared" si="85"/>
        <v>ΚΗΠΕΥΤΙΚΑ</v>
      </c>
    </row>
    <row r="2662" spans="1:12" s="3" customFormat="1" ht="24" x14ac:dyDescent="0.25">
      <c r="A2662" s="3" t="str">
        <f t="shared" si="84"/>
        <v>ΚΗΠΕΥΤΙΚΑΑΓΓΟΥΡΙ - ΠΑΛΙΟΥΡΙΑΣ</v>
      </c>
      <c r="B2662" s="4" t="s">
        <v>4911</v>
      </c>
      <c r="C2662" s="5" t="s">
        <v>5060</v>
      </c>
      <c r="D2662" s="6">
        <v>11290.03</v>
      </c>
      <c r="E2662" s="6">
        <v>13610.93</v>
      </c>
      <c r="F2662" s="7" t="s">
        <v>14</v>
      </c>
      <c r="G2662" s="8" t="s">
        <v>5061</v>
      </c>
      <c r="H2662" s="8" t="s">
        <v>16</v>
      </c>
      <c r="I2662" s="9">
        <v>2438</v>
      </c>
      <c r="J2662" s="10">
        <v>38</v>
      </c>
      <c r="K2662" s="10">
        <v>10285</v>
      </c>
      <c r="L2662" s="3" t="str">
        <f t="shared" si="85"/>
        <v>ΚΗΠΕΥΤΙΚΑ</v>
      </c>
    </row>
    <row r="2663" spans="1:12" s="3" customFormat="1" ht="24" x14ac:dyDescent="0.25">
      <c r="A2663" s="3" t="str">
        <f t="shared" si="84"/>
        <v>ΚΗΠΕΥΤΙΚΑΑΓΓΟΥΡΙ  ΚΝΩΣΣΟΥ</v>
      </c>
      <c r="B2663" s="4" t="s">
        <v>4911</v>
      </c>
      <c r="C2663" s="5" t="s">
        <v>5062</v>
      </c>
      <c r="D2663" s="6">
        <v>11290.03</v>
      </c>
      <c r="E2663" s="6">
        <v>13610.93</v>
      </c>
      <c r="F2663" s="7" t="s">
        <v>14</v>
      </c>
      <c r="G2663" s="8" t="s">
        <v>5063</v>
      </c>
      <c r="H2663" s="8" t="s">
        <v>16</v>
      </c>
      <c r="I2663" s="9">
        <v>2450</v>
      </c>
      <c r="J2663" s="10">
        <v>38</v>
      </c>
      <c r="K2663" s="10">
        <v>10286</v>
      </c>
      <c r="L2663" s="3" t="str">
        <f t="shared" si="85"/>
        <v>ΚΗΠΕΥΤΙΚΑ</v>
      </c>
    </row>
    <row r="2664" spans="1:12" s="3" customFormat="1" ht="24" x14ac:dyDescent="0.25">
      <c r="A2664" s="3" t="str">
        <f t="shared" si="84"/>
        <v>ΚΗΠΕΥΤΙΚΑΦΡΑΟΥΛΑ - ΚΕΡΚΥΡΑΙΚΗ ΜΙΚΡΟΚΑΡΠΗ</v>
      </c>
      <c r="B2664" s="4" t="s">
        <v>4911</v>
      </c>
      <c r="C2664" s="5" t="s">
        <v>5064</v>
      </c>
      <c r="D2664" s="6">
        <v>11290.03</v>
      </c>
      <c r="E2664" s="6">
        <v>13610.93</v>
      </c>
      <c r="F2664" s="7" t="s">
        <v>14</v>
      </c>
      <c r="G2664" s="8" t="s">
        <v>5065</v>
      </c>
      <c r="H2664" s="8" t="s">
        <v>16</v>
      </c>
      <c r="I2664" s="9">
        <v>2451</v>
      </c>
      <c r="J2664" s="10">
        <v>38</v>
      </c>
      <c r="K2664" s="10">
        <v>10287</v>
      </c>
      <c r="L2664" s="3" t="str">
        <f t="shared" si="85"/>
        <v>ΚΗΠΕΥΤΙΚΑ</v>
      </c>
    </row>
    <row r="2665" spans="1:12" s="3" customFormat="1" ht="24" x14ac:dyDescent="0.25">
      <c r="A2665" s="3" t="str">
        <f t="shared" si="84"/>
        <v>ΚΗΠΕΥΤΙΚΑΦΡΑΟΥΛΑ - ΖΑΚΥΝΘΙΝΗ</v>
      </c>
      <c r="B2665" s="4" t="s">
        <v>4911</v>
      </c>
      <c r="C2665" s="5" t="s">
        <v>5066</v>
      </c>
      <c r="D2665" s="6">
        <v>11290.03</v>
      </c>
      <c r="E2665" s="6">
        <v>13610.93</v>
      </c>
      <c r="F2665" s="7" t="s">
        <v>14</v>
      </c>
      <c r="G2665" s="8" t="s">
        <v>5067</v>
      </c>
      <c r="H2665" s="8" t="s">
        <v>16</v>
      </c>
      <c r="I2665" s="9">
        <v>2452</v>
      </c>
      <c r="J2665" s="10">
        <v>38</v>
      </c>
      <c r="K2665" s="10">
        <v>10288</v>
      </c>
      <c r="L2665" s="3" t="str">
        <f t="shared" si="85"/>
        <v>ΚΗΠΕΥΤΙΚΑ</v>
      </c>
    </row>
    <row r="2666" spans="1:12" s="3" customFormat="1" ht="24" x14ac:dyDescent="0.25">
      <c r="A2666" s="3" t="str">
        <f t="shared" si="84"/>
        <v>ΚΗΠΕΥΤΙΚΑΚΟΛΟΚΥΘΙ - ΡΕΤΖΕΛΙΑ</v>
      </c>
      <c r="B2666" s="4" t="s">
        <v>4911</v>
      </c>
      <c r="C2666" s="5" t="s">
        <v>5068</v>
      </c>
      <c r="D2666" s="6">
        <v>11290.03</v>
      </c>
      <c r="E2666" s="6">
        <v>13610.93</v>
      </c>
      <c r="F2666" s="7" t="s">
        <v>14</v>
      </c>
      <c r="G2666" s="8" t="s">
        <v>5069</v>
      </c>
      <c r="H2666" s="8" t="s">
        <v>16</v>
      </c>
      <c r="I2666" s="9">
        <v>2453</v>
      </c>
      <c r="J2666" s="10">
        <v>38</v>
      </c>
      <c r="K2666" s="10">
        <v>10289</v>
      </c>
      <c r="L2666" s="3" t="str">
        <f t="shared" si="85"/>
        <v>ΚΗΠΕΥΤΙΚΑ</v>
      </c>
    </row>
    <row r="2667" spans="1:12" s="3" customFormat="1" ht="24" x14ac:dyDescent="0.25">
      <c r="A2667" s="3" t="str">
        <f t="shared" si="84"/>
        <v>ΚΗΠΕΥΤΙΚΑΚΟΛΟΚΥΘΙ - ΠΑΣΑΤΕΜΠΟ</v>
      </c>
      <c r="B2667" s="4" t="s">
        <v>4911</v>
      </c>
      <c r="C2667" s="5" t="s">
        <v>5070</v>
      </c>
      <c r="D2667" s="6">
        <v>835.84</v>
      </c>
      <c r="E2667" s="6">
        <v>845.67</v>
      </c>
      <c r="F2667" s="7" t="s">
        <v>14</v>
      </c>
      <c r="G2667" s="8" t="s">
        <v>5071</v>
      </c>
      <c r="H2667" s="8" t="s">
        <v>16</v>
      </c>
      <c r="I2667" s="9">
        <v>2454</v>
      </c>
      <c r="J2667" s="10">
        <v>38</v>
      </c>
      <c r="K2667" s="10">
        <v>10290</v>
      </c>
      <c r="L2667" s="3" t="str">
        <f t="shared" si="85"/>
        <v>ΚΗΠΕΥΤΙΚΑ</v>
      </c>
    </row>
    <row r="2668" spans="1:12" s="3" customFormat="1" ht="24" x14ac:dyDescent="0.25">
      <c r="A2668" s="3" t="str">
        <f t="shared" si="84"/>
        <v>ΚΗΠΕΥΤΙΚΑΚΟΛΟΚΥΘΙ - ΓΥΜΝΟΣΠΕΡΜΟ ΘΡΑΚΗΣ</v>
      </c>
      <c r="B2668" s="4" t="s">
        <v>4911</v>
      </c>
      <c r="C2668" s="5" t="s">
        <v>5072</v>
      </c>
      <c r="D2668" s="6">
        <v>11290.03</v>
      </c>
      <c r="E2668" s="6">
        <v>13610.93</v>
      </c>
      <c r="F2668" s="7" t="s">
        <v>14</v>
      </c>
      <c r="G2668" s="8" t="s">
        <v>5073</v>
      </c>
      <c r="H2668" s="8" t="s">
        <v>16</v>
      </c>
      <c r="I2668" s="9">
        <v>2455</v>
      </c>
      <c r="J2668" s="10">
        <v>38</v>
      </c>
      <c r="K2668" s="10">
        <v>10291</v>
      </c>
      <c r="L2668" s="3" t="str">
        <f t="shared" si="85"/>
        <v>ΚΗΠΕΥΤΙΚΑ</v>
      </c>
    </row>
    <row r="2669" spans="1:12" s="3" customFormat="1" ht="24" x14ac:dyDescent="0.25">
      <c r="A2669" s="3" t="str">
        <f t="shared" si="84"/>
        <v>ΚΗΠΕΥΤΙΚΑΚΟΛΟΚΥΘΙ - ΚΑΛΑΜΠΑΚΙ</v>
      </c>
      <c r="B2669" s="4" t="s">
        <v>4911</v>
      </c>
      <c r="C2669" s="5" t="s">
        <v>5074</v>
      </c>
      <c r="D2669" s="6">
        <v>11290.03</v>
      </c>
      <c r="E2669" s="6">
        <v>13610.93</v>
      </c>
      <c r="F2669" s="7" t="s">
        <v>14</v>
      </c>
      <c r="G2669" s="8" t="s">
        <v>5075</v>
      </c>
      <c r="H2669" s="8" t="s">
        <v>16</v>
      </c>
      <c r="I2669" s="9">
        <v>2456</v>
      </c>
      <c r="J2669" s="10">
        <v>38</v>
      </c>
      <c r="K2669" s="10">
        <v>10292</v>
      </c>
      <c r="L2669" s="3" t="str">
        <f t="shared" si="85"/>
        <v>ΚΗΠΕΥΤΙΚΑ</v>
      </c>
    </row>
    <row r="2670" spans="1:12" s="3" customFormat="1" ht="24" x14ac:dyDescent="0.25">
      <c r="A2670" s="3" t="str">
        <f t="shared" si="84"/>
        <v>ΚΗΠΕΥΤΙΚΑΚΟΛΟΚΥΘΙ - ΑΓ. ΠΑΡΑΣΚΕΥΗ</v>
      </c>
      <c r="B2670" s="4" t="s">
        <v>4911</v>
      </c>
      <c r="C2670" s="5" t="s">
        <v>5076</v>
      </c>
      <c r="D2670" s="6">
        <v>11290.03</v>
      </c>
      <c r="E2670" s="6">
        <v>13610.93</v>
      </c>
      <c r="F2670" s="7" t="s">
        <v>14</v>
      </c>
      <c r="G2670" s="8" t="s">
        <v>5077</v>
      </c>
      <c r="H2670" s="8" t="s">
        <v>16</v>
      </c>
      <c r="I2670" s="9">
        <v>2457</v>
      </c>
      <c r="J2670" s="10">
        <v>38</v>
      </c>
      <c r="K2670" s="10">
        <v>10293</v>
      </c>
      <c r="L2670" s="3" t="str">
        <f t="shared" si="85"/>
        <v>ΚΗΠΕΥΤΙΚΑ</v>
      </c>
    </row>
    <row r="2671" spans="1:12" s="3" customFormat="1" ht="24" x14ac:dyDescent="0.25">
      <c r="A2671" s="3" t="str">
        <f t="shared" si="84"/>
        <v>ΚΗΠΕΥΤΙΚΑΚΡΕΜΜΥΔΙ - ΖΑΚΥΝΘΙΝΟ ΝΕΡΟΚΡΟΜΜΥΔΟ</v>
      </c>
      <c r="B2671" s="4" t="s">
        <v>4911</v>
      </c>
      <c r="C2671" s="5" t="s">
        <v>5078</v>
      </c>
      <c r="D2671" s="6">
        <v>11290.03</v>
      </c>
      <c r="E2671" s="6">
        <v>13610.93</v>
      </c>
      <c r="F2671" s="7" t="s">
        <v>14</v>
      </c>
      <c r="G2671" s="8" t="s">
        <v>5079</v>
      </c>
      <c r="H2671" s="8" t="s">
        <v>16</v>
      </c>
      <c r="I2671" s="9">
        <v>2458</v>
      </c>
      <c r="J2671" s="10">
        <v>38</v>
      </c>
      <c r="K2671" s="10">
        <v>10294</v>
      </c>
      <c r="L2671" s="3" t="str">
        <f t="shared" si="85"/>
        <v>ΚΗΠΕΥΤΙΚΑ</v>
      </c>
    </row>
    <row r="2672" spans="1:12" s="3" customFormat="1" ht="24" x14ac:dyDescent="0.25">
      <c r="A2672" s="3" t="str">
        <f t="shared" si="84"/>
        <v>ΚΗΠΕΥΤΙΚΑΚΡΕΜΜΥΔΙ - ΑΝΔΡΟΥ</v>
      </c>
      <c r="B2672" s="4" t="s">
        <v>4911</v>
      </c>
      <c r="C2672" s="5" t="s">
        <v>5080</v>
      </c>
      <c r="D2672" s="6">
        <v>11290.03</v>
      </c>
      <c r="E2672" s="6">
        <v>13610.93</v>
      </c>
      <c r="F2672" s="7" t="s">
        <v>14</v>
      </c>
      <c r="G2672" s="8" t="s">
        <v>5081</v>
      </c>
      <c r="H2672" s="8" t="s">
        <v>16</v>
      </c>
      <c r="I2672" s="9">
        <v>2427</v>
      </c>
      <c r="J2672" s="10">
        <v>38</v>
      </c>
      <c r="K2672" s="10">
        <v>10295</v>
      </c>
      <c r="L2672" s="3" t="str">
        <f t="shared" si="85"/>
        <v>ΚΗΠΕΥΤΙΚΑ</v>
      </c>
    </row>
    <row r="2673" spans="1:12" s="3" customFormat="1" ht="24" x14ac:dyDescent="0.25">
      <c r="A2673" s="3" t="str">
        <f t="shared" si="84"/>
        <v>ΚΗΠΕΥΤΙΚΑΣΚΟΡΔΟ - ΕΡΥΣΣΟΥ</v>
      </c>
      <c r="B2673" s="4" t="s">
        <v>4911</v>
      </c>
      <c r="C2673" s="5" t="s">
        <v>5082</v>
      </c>
      <c r="D2673" s="6">
        <v>11290.03</v>
      </c>
      <c r="E2673" s="6">
        <v>13610.93</v>
      </c>
      <c r="F2673" s="7" t="s">
        <v>14</v>
      </c>
      <c r="G2673" s="8" t="s">
        <v>5083</v>
      </c>
      <c r="H2673" s="8" t="s">
        <v>16</v>
      </c>
      <c r="I2673" s="9">
        <v>2425</v>
      </c>
      <c r="J2673" s="10">
        <v>38</v>
      </c>
      <c r="K2673" s="10">
        <v>10296</v>
      </c>
      <c r="L2673" s="3" t="str">
        <f t="shared" si="85"/>
        <v>ΚΗΠΕΥΤΙΚΑ</v>
      </c>
    </row>
    <row r="2674" spans="1:12" s="3" customFormat="1" ht="24" x14ac:dyDescent="0.25">
      <c r="A2674" s="3" t="str">
        <f t="shared" si="84"/>
        <v>ΚΗΠΕΥΤΙΚΑΣΚΟΡΔΟ - ΒΥΣΣΑΣ</v>
      </c>
      <c r="B2674" s="4" t="s">
        <v>4911</v>
      </c>
      <c r="C2674" s="5" t="s">
        <v>5084</v>
      </c>
      <c r="D2674" s="6">
        <v>11290.03</v>
      </c>
      <c r="E2674" s="6">
        <v>13610.93</v>
      </c>
      <c r="F2674" s="7" t="s">
        <v>14</v>
      </c>
      <c r="G2674" s="8" t="s">
        <v>5085</v>
      </c>
      <c r="H2674" s="8" t="s">
        <v>16</v>
      </c>
      <c r="I2674" s="9">
        <v>2447</v>
      </c>
      <c r="J2674" s="10">
        <v>38</v>
      </c>
      <c r="K2674" s="10">
        <v>10297</v>
      </c>
      <c r="L2674" s="3" t="str">
        <f t="shared" si="85"/>
        <v>ΚΗΠΕΥΤΙΚΑ</v>
      </c>
    </row>
    <row r="2675" spans="1:12" s="3" customFormat="1" ht="24" x14ac:dyDescent="0.25">
      <c r="A2675" s="3" t="str">
        <f t="shared" si="84"/>
        <v>ΚΗΠΕΥΤΙΚΑΣΚΟΡΔΟ - ΞΥΛΑΓΑΝΗΣ</v>
      </c>
      <c r="B2675" s="4" t="s">
        <v>4911</v>
      </c>
      <c r="C2675" s="5" t="s">
        <v>5086</v>
      </c>
      <c r="D2675" s="6">
        <v>11290.03</v>
      </c>
      <c r="E2675" s="6">
        <v>13610.93</v>
      </c>
      <c r="F2675" s="7" t="s">
        <v>14</v>
      </c>
      <c r="G2675" s="8" t="s">
        <v>5087</v>
      </c>
      <c r="H2675" s="8" t="s">
        <v>16</v>
      </c>
      <c r="I2675" s="9">
        <v>2418</v>
      </c>
      <c r="J2675" s="10">
        <v>38</v>
      </c>
      <c r="K2675" s="10">
        <v>10298</v>
      </c>
      <c r="L2675" s="3" t="str">
        <f t="shared" si="85"/>
        <v>ΚΗΠΕΥΤΙΚΑ</v>
      </c>
    </row>
    <row r="2676" spans="1:12" s="3" customFormat="1" ht="24" x14ac:dyDescent="0.25">
      <c r="A2676" s="3" t="str">
        <f t="shared" si="84"/>
        <v>ΚΗΠΕΥΤΙΚΑΣΚΟΡΔΟ - ΤΡΙΠΟΛΕΩΣ</v>
      </c>
      <c r="B2676" s="4" t="s">
        <v>4911</v>
      </c>
      <c r="C2676" s="5" t="s">
        <v>5088</v>
      </c>
      <c r="D2676" s="6">
        <v>11290.03</v>
      </c>
      <c r="E2676" s="6">
        <v>13610.93</v>
      </c>
      <c r="F2676" s="7" t="s">
        <v>14</v>
      </c>
      <c r="G2676" s="8" t="s">
        <v>5089</v>
      </c>
      <c r="H2676" s="8" t="s">
        <v>16</v>
      </c>
      <c r="I2676" s="9">
        <v>2419</v>
      </c>
      <c r="J2676" s="10">
        <v>38</v>
      </c>
      <c r="K2676" s="10">
        <v>10299</v>
      </c>
      <c r="L2676" s="3" t="str">
        <f t="shared" si="85"/>
        <v>ΚΗΠΕΥΤΙΚΑ</v>
      </c>
    </row>
    <row r="2677" spans="1:12" s="3" customFormat="1" ht="24" x14ac:dyDescent="0.25">
      <c r="A2677" s="3" t="str">
        <f t="shared" si="84"/>
        <v>ΚΗΠΕΥΤΙΚΑΜΕΛΙΤΖΑΝΕΣ ΜΕΤΑΠΟΙΗΣΗΣ</v>
      </c>
      <c r="B2677" s="4" t="s">
        <v>4911</v>
      </c>
      <c r="C2677" s="5" t="s">
        <v>5090</v>
      </c>
      <c r="D2677" s="6">
        <v>11290.03</v>
      </c>
      <c r="E2677" s="6">
        <v>13610.93</v>
      </c>
      <c r="F2677" s="7" t="s">
        <v>14</v>
      </c>
      <c r="G2677" s="8" t="s">
        <v>5091</v>
      </c>
      <c r="H2677" s="8" t="s">
        <v>16</v>
      </c>
      <c r="I2677" s="9">
        <v>2471</v>
      </c>
      <c r="J2677" s="10">
        <v>38</v>
      </c>
      <c r="K2677" s="10">
        <v>10813</v>
      </c>
      <c r="L2677" s="3" t="str">
        <f t="shared" si="85"/>
        <v>ΚΗΠΕΥΤΙΚΑ</v>
      </c>
    </row>
    <row r="2678" spans="1:12" s="3" customFormat="1" ht="24" x14ac:dyDescent="0.25">
      <c r="A2678" s="3" t="str">
        <f t="shared" si="84"/>
        <v>ΚΗΠΕΥΤΙΚΑΑΡΑΚΑΣ ΥΠΑΙΘΡΙΟΣ</v>
      </c>
      <c r="B2678" s="4" t="s">
        <v>4911</v>
      </c>
      <c r="C2678" s="5" t="s">
        <v>5092</v>
      </c>
      <c r="D2678" s="6">
        <v>11290.03</v>
      </c>
      <c r="E2678" s="6">
        <v>13610.93</v>
      </c>
      <c r="F2678" s="7" t="s">
        <v>14</v>
      </c>
      <c r="G2678" s="8" t="s">
        <v>5093</v>
      </c>
      <c r="H2678" s="8" t="s">
        <v>16</v>
      </c>
      <c r="I2678" s="9">
        <v>2470</v>
      </c>
      <c r="J2678" s="10">
        <v>38</v>
      </c>
      <c r="K2678" s="10">
        <v>10814</v>
      </c>
      <c r="L2678" s="3" t="str">
        <f t="shared" si="85"/>
        <v>ΚΗΠΕΥΤΙΚΑ</v>
      </c>
    </row>
    <row r="2679" spans="1:12" s="3" customFormat="1" ht="24" x14ac:dyDescent="0.25">
      <c r="A2679" s="3" t="str">
        <f t="shared" si="84"/>
        <v>ΚΗΠΕΥΤΙΚΑΡΑΝΤΙΤΣΙΟ</v>
      </c>
      <c r="B2679" s="4" t="s">
        <v>4911</v>
      </c>
      <c r="C2679" s="5" t="s">
        <v>5094</v>
      </c>
      <c r="D2679" s="6">
        <v>11290.03</v>
      </c>
      <c r="E2679" s="6">
        <v>13610.93</v>
      </c>
      <c r="F2679" s="7" t="s">
        <v>14</v>
      </c>
      <c r="G2679" s="8" t="s">
        <v>5095</v>
      </c>
      <c r="H2679" s="8" t="s">
        <v>16</v>
      </c>
      <c r="I2679" s="9">
        <v>2497</v>
      </c>
      <c r="J2679" s="10">
        <v>38</v>
      </c>
      <c r="K2679" s="10">
        <v>10815</v>
      </c>
      <c r="L2679" s="3" t="str">
        <f t="shared" si="85"/>
        <v>ΚΗΠΕΥΤΙΚΑ</v>
      </c>
    </row>
    <row r="2680" spans="1:12" s="3" customFormat="1" ht="24" x14ac:dyDescent="0.25">
      <c r="A2680" s="3" t="str">
        <f t="shared" si="84"/>
        <v>ΚΗΠΕΥΤΙΚΑΑΙΣΜΠΕΡΓΚ</v>
      </c>
      <c r="B2680" s="4" t="s">
        <v>4911</v>
      </c>
      <c r="C2680" s="5" t="s">
        <v>5096</v>
      </c>
      <c r="D2680" s="6">
        <v>11290.03</v>
      </c>
      <c r="E2680" s="6">
        <v>13610.93</v>
      </c>
      <c r="F2680" s="7" t="s">
        <v>14</v>
      </c>
      <c r="G2680" s="8" t="s">
        <v>5097</v>
      </c>
      <c r="H2680" s="8" t="s">
        <v>16</v>
      </c>
      <c r="I2680" s="9">
        <v>2498</v>
      </c>
      <c r="J2680" s="10">
        <v>38</v>
      </c>
      <c r="K2680" s="10">
        <v>10816</v>
      </c>
      <c r="L2680" s="3" t="str">
        <f t="shared" si="85"/>
        <v>ΚΗΠΕΥΤΙΚΑ</v>
      </c>
    </row>
    <row r="2681" spans="1:12" s="3" customFormat="1" ht="24" x14ac:dyDescent="0.25">
      <c r="A2681" s="3" t="str">
        <f t="shared" si="84"/>
        <v>ΚΗΠΕΥΤΙΚΑΕΠΙΤΡΑΠΕΖΙΑ ΤΟΜΑΤΑ ROYAL</v>
      </c>
      <c r="B2681" s="4" t="s">
        <v>4911</v>
      </c>
      <c r="C2681" s="5" t="s">
        <v>5098</v>
      </c>
      <c r="D2681" s="6">
        <v>11290.03</v>
      </c>
      <c r="E2681" s="6">
        <v>13610.93</v>
      </c>
      <c r="F2681" s="7" t="s">
        <v>14</v>
      </c>
      <c r="G2681" s="8" t="s">
        <v>5099</v>
      </c>
      <c r="H2681" s="8" t="s">
        <v>16</v>
      </c>
      <c r="I2681" s="9">
        <v>2505</v>
      </c>
      <c r="J2681" s="10">
        <v>38</v>
      </c>
      <c r="K2681" s="10">
        <v>10817</v>
      </c>
      <c r="L2681" s="3" t="str">
        <f t="shared" si="85"/>
        <v>ΚΗΠΕΥΤΙΚΑ</v>
      </c>
    </row>
    <row r="2682" spans="1:12" s="3" customFormat="1" ht="24" x14ac:dyDescent="0.25">
      <c r="A2682" s="3" t="str">
        <f t="shared" si="84"/>
        <v>ΚΗΠΕΥΤΙΚΑΚΑΡΠΟΥΖΙ ΜΙΝΙ</v>
      </c>
      <c r="B2682" s="4" t="s">
        <v>4911</v>
      </c>
      <c r="C2682" s="5" t="s">
        <v>5100</v>
      </c>
      <c r="D2682" s="6">
        <v>11290.03</v>
      </c>
      <c r="E2682" s="6">
        <v>13610.93</v>
      </c>
      <c r="F2682" s="7" t="s">
        <v>14</v>
      </c>
      <c r="G2682" s="8" t="s">
        <v>5101</v>
      </c>
      <c r="H2682" s="8" t="s">
        <v>16</v>
      </c>
      <c r="I2682" s="9">
        <v>2499</v>
      </c>
      <c r="J2682" s="10">
        <v>38</v>
      </c>
      <c r="K2682" s="10">
        <v>10818</v>
      </c>
      <c r="L2682" s="3" t="str">
        <f t="shared" si="85"/>
        <v>ΚΗΠΕΥΤΙΚΑ</v>
      </c>
    </row>
    <row r="2683" spans="1:12" s="3" customFormat="1" ht="24" x14ac:dyDescent="0.25">
      <c r="A2683" s="3" t="str">
        <f t="shared" si="84"/>
        <v>ΚΗΠΕΥΤΙΚΑΦΙΝΟΚΙΟ</v>
      </c>
      <c r="B2683" s="4" t="s">
        <v>4911</v>
      </c>
      <c r="C2683" s="5" t="s">
        <v>5102</v>
      </c>
      <c r="D2683" s="6">
        <v>11290.03</v>
      </c>
      <c r="E2683" s="6">
        <v>13610.93</v>
      </c>
      <c r="F2683" s="7" t="s">
        <v>14</v>
      </c>
      <c r="G2683" s="8" t="s">
        <v>5103</v>
      </c>
      <c r="H2683" s="8" t="s">
        <v>16</v>
      </c>
      <c r="I2683" s="9">
        <v>2491</v>
      </c>
      <c r="J2683" s="10">
        <v>38</v>
      </c>
      <c r="K2683" s="10">
        <v>10819</v>
      </c>
      <c r="L2683" s="3" t="str">
        <f t="shared" si="85"/>
        <v>ΚΗΠΕΥΤΙΚΑ</v>
      </c>
    </row>
    <row r="2684" spans="1:12" s="3" customFormat="1" ht="24" x14ac:dyDescent="0.25">
      <c r="A2684" s="3" t="str">
        <f t="shared" si="84"/>
        <v>ΚΗΠΕΥΤΙΚΑΜΥΡΩΝΙΑ</v>
      </c>
      <c r="B2684" s="4" t="s">
        <v>4911</v>
      </c>
      <c r="C2684" s="5" t="s">
        <v>5104</v>
      </c>
      <c r="D2684" s="6">
        <v>11290.03</v>
      </c>
      <c r="E2684" s="6">
        <v>13610.93</v>
      </c>
      <c r="F2684" s="7" t="s">
        <v>14</v>
      </c>
      <c r="G2684" s="8" t="s">
        <v>5105</v>
      </c>
      <c r="H2684" s="8" t="s">
        <v>16</v>
      </c>
      <c r="I2684" s="9">
        <v>2490</v>
      </c>
      <c r="J2684" s="10">
        <v>38</v>
      </c>
      <c r="K2684" s="10">
        <v>10820</v>
      </c>
      <c r="L2684" s="3" t="str">
        <f t="shared" si="85"/>
        <v>ΚΗΠΕΥΤΙΚΑ</v>
      </c>
    </row>
    <row r="2685" spans="1:12" s="3" customFormat="1" ht="24" x14ac:dyDescent="0.25">
      <c r="A2685" s="3" t="str">
        <f t="shared" si="84"/>
        <v>ΚΗΠΕΥΤΙΚΑΣΕΛΕΡΥ</v>
      </c>
      <c r="B2685" s="4" t="s">
        <v>4911</v>
      </c>
      <c r="C2685" s="5" t="s">
        <v>5106</v>
      </c>
      <c r="D2685" s="6">
        <v>11290.03</v>
      </c>
      <c r="E2685" s="6">
        <v>13610.93</v>
      </c>
      <c r="F2685" s="7" t="s">
        <v>14</v>
      </c>
      <c r="G2685" s="8" t="s">
        <v>5107</v>
      </c>
      <c r="H2685" s="8" t="s">
        <v>16</v>
      </c>
      <c r="I2685" s="9">
        <v>2485</v>
      </c>
      <c r="J2685" s="10">
        <v>38</v>
      </c>
      <c r="K2685" s="10">
        <v>10835</v>
      </c>
      <c r="L2685" s="3" t="str">
        <f t="shared" si="85"/>
        <v>ΚΗΠΕΥΤΙΚΑ</v>
      </c>
    </row>
    <row r="2686" spans="1:12" s="3" customFormat="1" ht="24" x14ac:dyDescent="0.25">
      <c r="A2686" s="3" t="str">
        <f t="shared" si="84"/>
        <v>ΚΗΠΕΥΤΙΚΑΠΕΠΙΤΟ</v>
      </c>
      <c r="B2686" s="4" t="s">
        <v>4911</v>
      </c>
      <c r="C2686" s="5" t="s">
        <v>4804</v>
      </c>
      <c r="D2686" s="6">
        <v>11290.03</v>
      </c>
      <c r="E2686" s="6">
        <v>13610.93</v>
      </c>
      <c r="F2686" s="7" t="s">
        <v>14</v>
      </c>
      <c r="G2686" s="8" t="s">
        <v>5108</v>
      </c>
      <c r="H2686" s="8" t="s">
        <v>16</v>
      </c>
      <c r="I2686" s="9">
        <v>2487</v>
      </c>
      <c r="J2686" s="10">
        <v>38</v>
      </c>
      <c r="K2686" s="10">
        <v>10836</v>
      </c>
      <c r="L2686" s="3" t="str">
        <f t="shared" si="85"/>
        <v>ΚΗΠΕΥΤΙΚΑ</v>
      </c>
    </row>
    <row r="2687" spans="1:12" s="3" customFormat="1" ht="24" x14ac:dyDescent="0.25">
      <c r="A2687" s="3" t="str">
        <f t="shared" si="84"/>
        <v>ΚΗΠΕΥΤΙΚΑΤΟΜΑΤΑΚΙ ΣΑΝΤΟΡΙΝΗΣ</v>
      </c>
      <c r="B2687" s="4" t="s">
        <v>4911</v>
      </c>
      <c r="C2687" s="5" t="s">
        <v>5109</v>
      </c>
      <c r="D2687" s="6">
        <v>11290.03</v>
      </c>
      <c r="E2687" s="6">
        <v>13610.93</v>
      </c>
      <c r="F2687" s="7" t="s">
        <v>14</v>
      </c>
      <c r="G2687" s="8" t="s">
        <v>5110</v>
      </c>
      <c r="H2687" s="8" t="s">
        <v>16</v>
      </c>
      <c r="I2687" s="9">
        <v>2502</v>
      </c>
      <c r="J2687" s="10">
        <v>38</v>
      </c>
      <c r="K2687" s="10">
        <v>10904</v>
      </c>
      <c r="L2687" s="3" t="str">
        <f t="shared" si="85"/>
        <v>ΚΗΠΕΥΤΙΚΑ</v>
      </c>
    </row>
    <row r="2688" spans="1:12" s="3" customFormat="1" ht="24" x14ac:dyDescent="0.25">
      <c r="A2688" s="3" t="str">
        <f t="shared" si="84"/>
        <v>ΚΗΠΕΥΤΙΚΑΑΓΚΙΝΑΡΑ ΤΗΝΟΥ</v>
      </c>
      <c r="B2688" s="4" t="s">
        <v>4911</v>
      </c>
      <c r="C2688" s="5" t="s">
        <v>5111</v>
      </c>
      <c r="D2688" s="6">
        <v>11290.03</v>
      </c>
      <c r="E2688" s="6">
        <v>13610.93</v>
      </c>
      <c r="F2688" s="7" t="s">
        <v>14</v>
      </c>
      <c r="G2688" s="8" t="s">
        <v>5112</v>
      </c>
      <c r="H2688" s="8" t="s">
        <v>16</v>
      </c>
      <c r="I2688" s="9">
        <v>2404</v>
      </c>
      <c r="J2688" s="10">
        <v>38</v>
      </c>
      <c r="K2688" s="10">
        <v>10905</v>
      </c>
      <c r="L2688" s="3" t="str">
        <f t="shared" si="85"/>
        <v>ΚΗΠΕΥΤΙΚΑ</v>
      </c>
    </row>
    <row r="2689" spans="1:12" s="3" customFormat="1" ht="24" x14ac:dyDescent="0.25">
      <c r="A2689" s="3" t="str">
        <f t="shared" si="84"/>
        <v>ΚΗΠΕΥΤΙΚΑΚαλαμπόκι POPCORN</v>
      </c>
      <c r="B2689" s="4" t="s">
        <v>4911</v>
      </c>
      <c r="C2689" s="5" t="s">
        <v>5113</v>
      </c>
      <c r="D2689" s="6">
        <v>1831.09</v>
      </c>
      <c r="E2689" s="6">
        <v>1533.82</v>
      </c>
      <c r="F2689" s="7" t="s">
        <v>14</v>
      </c>
      <c r="G2689" s="8" t="s">
        <v>5114</v>
      </c>
      <c r="H2689" s="8" t="s">
        <v>16</v>
      </c>
      <c r="I2689" s="9">
        <v>2463</v>
      </c>
      <c r="J2689" s="10">
        <v>38</v>
      </c>
      <c r="K2689" s="10">
        <v>14100</v>
      </c>
      <c r="L2689" s="3" t="str">
        <f t="shared" si="85"/>
        <v>ΚΗΠΕΥΤΙΚΑ</v>
      </c>
    </row>
    <row r="2690" spans="1:12" s="3" customFormat="1" ht="24" x14ac:dyDescent="0.25">
      <c r="A2690" s="3" t="str">
        <f t="shared" si="84"/>
        <v>ΚΗΠΕΥΤΙΚΑARVIKA</v>
      </c>
      <c r="B2690" s="4" t="s">
        <v>4911</v>
      </c>
      <c r="C2690" s="5" t="s">
        <v>5115</v>
      </c>
      <c r="D2690" s="6">
        <v>11290.03</v>
      </c>
      <c r="E2690" s="6">
        <v>13610.93</v>
      </c>
      <c r="F2690" s="7" t="s">
        <v>14</v>
      </c>
      <c r="G2690" s="8" t="s">
        <v>5116</v>
      </c>
      <c r="H2690" s="8" t="s">
        <v>16</v>
      </c>
      <c r="I2690" s="9">
        <v>2436</v>
      </c>
      <c r="J2690" s="10">
        <v>38</v>
      </c>
      <c r="K2690" s="10">
        <v>38001</v>
      </c>
      <c r="L2690" s="3" t="str">
        <f t="shared" si="85"/>
        <v>ΚΗΠΕΥΤΙΚΑ</v>
      </c>
    </row>
    <row r="2691" spans="1:12" s="3" customFormat="1" ht="24" x14ac:dyDescent="0.25">
      <c r="A2691" s="3" t="str">
        <f t="shared" ref="A2691:A2754" si="86">_xlfn.CONCAT(B2691,C2691)</f>
        <v>ΚΗΠΕΥΤΙΚΑLIVIOLETTA</v>
      </c>
      <c r="B2691" s="4" t="s">
        <v>4911</v>
      </c>
      <c r="C2691" s="5" t="s">
        <v>5117</v>
      </c>
      <c r="D2691" s="6">
        <v>11290.03</v>
      </c>
      <c r="E2691" s="6">
        <v>13610.93</v>
      </c>
      <c r="F2691" s="7" t="s">
        <v>14</v>
      </c>
      <c r="G2691" s="8" t="s">
        <v>5118</v>
      </c>
      <c r="H2691" s="8" t="s">
        <v>16</v>
      </c>
      <c r="I2691" s="9">
        <v>2435</v>
      </c>
      <c r="J2691" s="10">
        <v>38</v>
      </c>
      <c r="K2691" s="10">
        <v>38002</v>
      </c>
      <c r="L2691" s="3" t="str">
        <f t="shared" ref="L2691:L2754" si="87">IFERROR(SUBSTITUTE(SUBSTITUTE(SUBSTITUTE(SUBSTITUTE(SUBSTITUTE(B2691, "-", "_"), " ", "_"), ",", ""), "(", ""), ")", ""), B2691)</f>
        <v>ΚΗΠΕΥΤΙΚΑ</v>
      </c>
    </row>
    <row r="2692" spans="1:12" s="3" customFormat="1" ht="24" x14ac:dyDescent="0.25">
      <c r="A2692" s="3" t="str">
        <f t="shared" si="86"/>
        <v>ΚΗΠΕΥΤΙΚΑΚΑΛΑΜΠΟΚΙ ΓΛΥΚΟ</v>
      </c>
      <c r="B2692" s="4" t="s">
        <v>4911</v>
      </c>
      <c r="C2692" s="5" t="s">
        <v>5119</v>
      </c>
      <c r="D2692" s="6">
        <v>1831.09</v>
      </c>
      <c r="E2692" s="6">
        <v>1533.82</v>
      </c>
      <c r="F2692" s="7" t="s">
        <v>14</v>
      </c>
      <c r="G2692" s="8" t="s">
        <v>5120</v>
      </c>
      <c r="H2692" s="8" t="s">
        <v>16</v>
      </c>
      <c r="I2692" s="9">
        <v>2434</v>
      </c>
      <c r="J2692" s="10">
        <v>38</v>
      </c>
      <c r="K2692" s="10">
        <v>38003</v>
      </c>
      <c r="L2692" s="3" t="str">
        <f t="shared" si="87"/>
        <v>ΚΗΠΕΥΤΙΚΑ</v>
      </c>
    </row>
    <row r="2693" spans="1:12" s="3" customFormat="1" ht="24" x14ac:dyDescent="0.25">
      <c r="A2693" s="3" t="str">
        <f t="shared" si="86"/>
        <v>ΚΗΠΕΥΤΙΚΑΒΡΟΥΒΙΑ (ΒΟΛΒΟΙ)</v>
      </c>
      <c r="B2693" s="4" t="s">
        <v>4911</v>
      </c>
      <c r="C2693" s="5" t="s">
        <v>5121</v>
      </c>
      <c r="D2693" s="6">
        <v>11290.03</v>
      </c>
      <c r="E2693" s="6">
        <v>13610.93</v>
      </c>
      <c r="F2693" s="7" t="s">
        <v>14</v>
      </c>
      <c r="G2693" s="8" t="s">
        <v>5122</v>
      </c>
      <c r="H2693" s="8" t="s">
        <v>16</v>
      </c>
      <c r="I2693" s="9">
        <v>2433</v>
      </c>
      <c r="J2693" s="10">
        <v>38</v>
      </c>
      <c r="K2693" s="10">
        <v>38004</v>
      </c>
      <c r="L2693" s="3" t="str">
        <f t="shared" si="87"/>
        <v>ΚΗΠΕΥΤΙΚΑ</v>
      </c>
    </row>
    <row r="2694" spans="1:12" s="3" customFormat="1" ht="24" x14ac:dyDescent="0.25">
      <c r="A2694" s="3" t="str">
        <f t="shared" si="86"/>
        <v>ΚΗΠΕΥΤΙΚΑΤΟΜΑΤΙΝΙ ΒΕΛΑΝΙΔΙ</v>
      </c>
      <c r="B2694" s="4" t="s">
        <v>4911</v>
      </c>
      <c r="C2694" s="5" t="s">
        <v>5123</v>
      </c>
      <c r="D2694" s="6">
        <v>11290.03</v>
      </c>
      <c r="E2694" s="6">
        <v>13610.93</v>
      </c>
      <c r="F2694" s="7" t="s">
        <v>14</v>
      </c>
      <c r="G2694" s="8" t="s">
        <v>5124</v>
      </c>
      <c r="H2694" s="8" t="s">
        <v>16</v>
      </c>
      <c r="I2694" s="9">
        <v>2432</v>
      </c>
      <c r="J2694" s="10">
        <v>38</v>
      </c>
      <c r="K2694" s="10">
        <v>38005</v>
      </c>
      <c r="L2694" s="3" t="str">
        <f t="shared" si="87"/>
        <v>ΚΗΠΕΥΤΙΚΑ</v>
      </c>
    </row>
    <row r="2695" spans="1:12" s="3" customFormat="1" ht="24" x14ac:dyDescent="0.25">
      <c r="A2695" s="3" t="str">
        <f t="shared" si="86"/>
        <v>ΚΗΠΕΥΤΙΚΑΚΙΝΕΖΙΚΟ ΛΑΧΑΝΟ</v>
      </c>
      <c r="B2695" s="4" t="s">
        <v>4911</v>
      </c>
      <c r="C2695" s="5" t="s">
        <v>5125</v>
      </c>
      <c r="D2695" s="6">
        <v>11290.03</v>
      </c>
      <c r="E2695" s="6">
        <v>13610.93</v>
      </c>
      <c r="F2695" s="7" t="s">
        <v>14</v>
      </c>
      <c r="G2695" s="8" t="s">
        <v>5126</v>
      </c>
      <c r="H2695" s="8" t="s">
        <v>16</v>
      </c>
      <c r="I2695" s="9">
        <v>2431</v>
      </c>
      <c r="J2695" s="10">
        <v>38</v>
      </c>
      <c r="K2695" s="10">
        <v>38006</v>
      </c>
      <c r="L2695" s="3" t="str">
        <f t="shared" si="87"/>
        <v>ΚΗΠΕΥΤΙΚΑ</v>
      </c>
    </row>
    <row r="2696" spans="1:12" s="3" customFormat="1" ht="24" x14ac:dyDescent="0.25">
      <c r="A2696" s="3" t="str">
        <f t="shared" si="86"/>
        <v>ΚΗΠΕΥΤΙΚΑΓΛΥΚΟΚΟΛΟΚΥΘΑ</v>
      </c>
      <c r="B2696" s="4" t="s">
        <v>4911</v>
      </c>
      <c r="C2696" s="5" t="s">
        <v>5127</v>
      </c>
      <c r="D2696" s="6">
        <v>11290.03</v>
      </c>
      <c r="E2696" s="6">
        <v>13610.93</v>
      </c>
      <c r="F2696" s="7" t="s">
        <v>14</v>
      </c>
      <c r="G2696" s="8" t="s">
        <v>5128</v>
      </c>
      <c r="H2696" s="8" t="s">
        <v>16</v>
      </c>
      <c r="I2696" s="9">
        <v>2430</v>
      </c>
      <c r="J2696" s="10">
        <v>38</v>
      </c>
      <c r="K2696" s="10">
        <v>38007</v>
      </c>
      <c r="L2696" s="3" t="str">
        <f t="shared" si="87"/>
        <v>ΚΗΠΕΥΤΙΚΑ</v>
      </c>
    </row>
    <row r="2697" spans="1:12" s="3" customFormat="1" ht="24" x14ac:dyDescent="0.25">
      <c r="A2697" s="3" t="str">
        <f t="shared" si="86"/>
        <v>ΚΗΠΕΥΤΙΚΑΦΑΣΟΛΑΚΙΑ ΠΛΑΚΕ ΜΕ ΥΠΟΣΤΗΛΩΣΗ</v>
      </c>
      <c r="B2697" s="4" t="s">
        <v>4911</v>
      </c>
      <c r="C2697" s="5" t="s">
        <v>5129</v>
      </c>
      <c r="D2697" s="6">
        <v>11290.03</v>
      </c>
      <c r="E2697" s="6">
        <v>13610.93</v>
      </c>
      <c r="F2697" s="7" t="s">
        <v>14</v>
      </c>
      <c r="G2697" s="8" t="s">
        <v>5130</v>
      </c>
      <c r="H2697" s="8" t="s">
        <v>16</v>
      </c>
      <c r="I2697" s="9">
        <v>2429</v>
      </c>
      <c r="J2697" s="10">
        <v>38</v>
      </c>
      <c r="K2697" s="10">
        <v>38008</v>
      </c>
      <c r="L2697" s="3" t="str">
        <f t="shared" si="87"/>
        <v>ΚΗΠΕΥΤΙΚΑ</v>
      </c>
    </row>
    <row r="2698" spans="1:12" s="3" customFormat="1" ht="24" x14ac:dyDescent="0.25">
      <c r="A2698" s="3" t="str">
        <f t="shared" si="86"/>
        <v>ΚΗΠΕΥΤΙΚΑΑΝΤΡΑΚΛΑ/ΓΛΥΣΤΡΙΔΑ</v>
      </c>
      <c r="B2698" s="4" t="s">
        <v>4911</v>
      </c>
      <c r="C2698" s="5" t="s">
        <v>5131</v>
      </c>
      <c r="D2698" s="6">
        <v>11290.03</v>
      </c>
      <c r="E2698" s="6">
        <v>13610.93</v>
      </c>
      <c r="F2698" s="7" t="s">
        <v>14</v>
      </c>
      <c r="G2698" s="8" t="s">
        <v>5132</v>
      </c>
      <c r="H2698" s="8" t="s">
        <v>16</v>
      </c>
      <c r="I2698" s="9">
        <v>2428</v>
      </c>
      <c r="J2698" s="10">
        <v>38</v>
      </c>
      <c r="K2698" s="10">
        <v>38009</v>
      </c>
      <c r="L2698" s="3" t="str">
        <f t="shared" si="87"/>
        <v>ΚΗΠΕΥΤΙΚΑ</v>
      </c>
    </row>
    <row r="2699" spans="1:12" s="3" customFormat="1" ht="24" x14ac:dyDescent="0.25">
      <c r="A2699" s="3" t="str">
        <f t="shared" si="86"/>
        <v>ΚΗΠΕΥΤΙΚΑΑΜΠΕΛΟΦΑΣΟΛΑ</v>
      </c>
      <c r="B2699" s="4" t="s">
        <v>4911</v>
      </c>
      <c r="C2699" s="5" t="s">
        <v>5133</v>
      </c>
      <c r="D2699" s="6">
        <v>11290.03</v>
      </c>
      <c r="E2699" s="6">
        <v>13610.93</v>
      </c>
      <c r="F2699" s="7" t="s">
        <v>14</v>
      </c>
      <c r="G2699" s="8" t="s">
        <v>5134</v>
      </c>
      <c r="H2699" s="8" t="s">
        <v>16</v>
      </c>
      <c r="I2699" s="9">
        <v>2416</v>
      </c>
      <c r="J2699" s="10">
        <v>38</v>
      </c>
      <c r="K2699" s="10">
        <v>38010</v>
      </c>
      <c r="L2699" s="3" t="str">
        <f t="shared" si="87"/>
        <v>ΚΗΠΕΥΤΙΚΑ</v>
      </c>
    </row>
    <row r="2700" spans="1:12" s="3" customFormat="1" ht="24" x14ac:dyDescent="0.25">
      <c r="A2700" s="3" t="str">
        <f t="shared" si="86"/>
        <v>ΚΗΠΕΥΤΙΚΑΚΡΙΤΑΜΟ ή ΑΛΜΥΡΑ</v>
      </c>
      <c r="B2700" s="4" t="s">
        <v>4911</v>
      </c>
      <c r="C2700" s="5" t="s">
        <v>4829</v>
      </c>
      <c r="D2700" s="6">
        <v>11290.03</v>
      </c>
      <c r="E2700" s="6">
        <v>13610.93</v>
      </c>
      <c r="F2700" s="7" t="s">
        <v>14</v>
      </c>
      <c r="G2700" s="8" t="s">
        <v>5135</v>
      </c>
      <c r="H2700" s="8" t="s">
        <v>16</v>
      </c>
      <c r="I2700" s="9">
        <v>2426</v>
      </c>
      <c r="J2700" s="10">
        <v>38</v>
      </c>
      <c r="K2700" s="10">
        <v>38011</v>
      </c>
      <c r="L2700" s="3" t="str">
        <f t="shared" si="87"/>
        <v>ΚΗΠΕΥΤΙΚΑ</v>
      </c>
    </row>
    <row r="2701" spans="1:12" s="3" customFormat="1" ht="24" x14ac:dyDescent="0.25">
      <c r="A2701" s="3" t="str">
        <f t="shared" si="86"/>
        <v>ΚΗΠΕΥΤΙΚΑΠΑΠΟΥΛΕΣ (LATHYRUS OCHRUS)</v>
      </c>
      <c r="B2701" s="4" t="s">
        <v>4911</v>
      </c>
      <c r="C2701" s="5" t="s">
        <v>5136</v>
      </c>
      <c r="D2701" s="6">
        <v>11290.03</v>
      </c>
      <c r="E2701" s="6">
        <v>13610.93</v>
      </c>
      <c r="F2701" s="7" t="s">
        <v>14</v>
      </c>
      <c r="G2701" s="8" t="s">
        <v>5137</v>
      </c>
      <c r="H2701" s="8" t="s">
        <v>16</v>
      </c>
      <c r="I2701" s="9">
        <v>2437</v>
      </c>
      <c r="J2701" s="10">
        <v>38</v>
      </c>
      <c r="K2701" s="10">
        <v>38012</v>
      </c>
      <c r="L2701" s="3" t="str">
        <f t="shared" si="87"/>
        <v>ΚΗΠΕΥΤΙΚΑ</v>
      </c>
    </row>
    <row r="2702" spans="1:12" s="3" customFormat="1" ht="24" x14ac:dyDescent="0.25">
      <c r="A2702" s="3" t="str">
        <f t="shared" si="86"/>
        <v>ΚΗΠΕΥΤΙΚΑΒΙΟΜΗΧΑΝΙΚΟ ΑΓΓΟΥΡΙ</v>
      </c>
      <c r="B2702" s="4" t="s">
        <v>4911</v>
      </c>
      <c r="C2702" s="5" t="s">
        <v>5138</v>
      </c>
      <c r="D2702" s="6">
        <v>11290.03</v>
      </c>
      <c r="E2702" s="6">
        <v>13610.93</v>
      </c>
      <c r="F2702" s="7" t="s">
        <v>14</v>
      </c>
      <c r="G2702" s="8" t="s">
        <v>5139</v>
      </c>
      <c r="H2702" s="8" t="s">
        <v>16</v>
      </c>
      <c r="I2702" s="9">
        <v>2424</v>
      </c>
      <c r="J2702" s="10">
        <v>38</v>
      </c>
      <c r="K2702" s="10">
        <v>38013</v>
      </c>
      <c r="L2702" s="3" t="str">
        <f t="shared" si="87"/>
        <v>ΚΗΠΕΥΤΙΚΑ</v>
      </c>
    </row>
    <row r="2703" spans="1:12" s="3" customFormat="1" ht="24" x14ac:dyDescent="0.25">
      <c r="A2703" s="3" t="str">
        <f t="shared" si="86"/>
        <v>ΚΗΠΕΥΤΙΚΑΛΑΠΑΘΟ</v>
      </c>
      <c r="B2703" s="4" t="s">
        <v>4911</v>
      </c>
      <c r="C2703" s="5" t="s">
        <v>5140</v>
      </c>
      <c r="D2703" s="6">
        <v>11290.03</v>
      </c>
      <c r="E2703" s="6">
        <v>13610.93</v>
      </c>
      <c r="F2703" s="7" t="s">
        <v>14</v>
      </c>
      <c r="G2703" s="8" t="s">
        <v>5141</v>
      </c>
      <c r="H2703" s="8" t="s">
        <v>16</v>
      </c>
      <c r="I2703" s="9">
        <v>2423</v>
      </c>
      <c r="J2703" s="10">
        <v>38</v>
      </c>
      <c r="K2703" s="10">
        <v>38014</v>
      </c>
      <c r="L2703" s="3" t="str">
        <f t="shared" si="87"/>
        <v>ΚΗΠΕΥΤΙΚΑ</v>
      </c>
    </row>
    <row r="2704" spans="1:12" s="3" customFormat="1" ht="24" x14ac:dyDescent="0.25">
      <c r="A2704" s="3" t="str">
        <f t="shared" si="86"/>
        <v>ΚΗΠΕΥΤΙΚΑΤΟΜΑΤΑ EBIA</v>
      </c>
      <c r="B2704" s="4" t="s">
        <v>4911</v>
      </c>
      <c r="C2704" s="5" t="s">
        <v>5142</v>
      </c>
      <c r="D2704" s="6">
        <v>11290.03</v>
      </c>
      <c r="E2704" s="6">
        <v>13610.93</v>
      </c>
      <c r="F2704" s="7" t="s">
        <v>14</v>
      </c>
      <c r="G2704" s="8" t="s">
        <v>5143</v>
      </c>
      <c r="H2704" s="8" t="s">
        <v>16</v>
      </c>
      <c r="I2704" s="9">
        <v>2422</v>
      </c>
      <c r="J2704" s="10">
        <v>38</v>
      </c>
      <c r="K2704" s="10">
        <v>38015</v>
      </c>
      <c r="L2704" s="3" t="str">
        <f t="shared" si="87"/>
        <v>ΚΗΠΕΥΤΙΚΑ</v>
      </c>
    </row>
    <row r="2705" spans="1:12" s="3" customFormat="1" ht="24" x14ac:dyDescent="0.25">
      <c r="A2705" s="3" t="str">
        <f t="shared" si="86"/>
        <v>ΚΗΠΕΥΤΙΚΑΤΟΜΑΤΑ MOUNTAIN FRESH PLUS</v>
      </c>
      <c r="B2705" s="4" t="s">
        <v>4911</v>
      </c>
      <c r="C2705" s="5" t="s">
        <v>5144</v>
      </c>
      <c r="D2705" s="6">
        <v>11290.03</v>
      </c>
      <c r="E2705" s="6">
        <v>13610.93</v>
      </c>
      <c r="F2705" s="7" t="s">
        <v>14</v>
      </c>
      <c r="G2705" s="8" t="s">
        <v>5145</v>
      </c>
      <c r="H2705" s="8" t="s">
        <v>16</v>
      </c>
      <c r="I2705" s="9">
        <v>2421</v>
      </c>
      <c r="J2705" s="10">
        <v>38</v>
      </c>
      <c r="K2705" s="10">
        <v>38016</v>
      </c>
      <c r="L2705" s="3" t="str">
        <f t="shared" si="87"/>
        <v>ΚΗΠΕΥΤΙΚΑ</v>
      </c>
    </row>
    <row r="2706" spans="1:12" s="3" customFormat="1" ht="24" x14ac:dyDescent="0.25">
      <c r="A2706" s="3" t="str">
        <f t="shared" si="86"/>
        <v>ΚΗΠΕΥΤΙΚΑΛΑΧΑΝΟ ΚΟΚΚΙΝΟ</v>
      </c>
      <c r="B2706" s="4" t="s">
        <v>4911</v>
      </c>
      <c r="C2706" s="5" t="s">
        <v>5146</v>
      </c>
      <c r="D2706" s="6">
        <v>11290.03</v>
      </c>
      <c r="E2706" s="6">
        <v>13610.93</v>
      </c>
      <c r="F2706" s="7" t="s">
        <v>14</v>
      </c>
      <c r="G2706" s="8" t="s">
        <v>5147</v>
      </c>
      <c r="H2706" s="8" t="s">
        <v>16</v>
      </c>
      <c r="I2706" s="9">
        <v>2420</v>
      </c>
      <c r="J2706" s="10">
        <v>38</v>
      </c>
      <c r="K2706" s="10">
        <v>38017</v>
      </c>
      <c r="L2706" s="3" t="str">
        <f t="shared" si="87"/>
        <v>ΚΗΠΕΥΤΙΚΑ</v>
      </c>
    </row>
    <row r="2707" spans="1:12" s="3" customFormat="1" ht="24" x14ac:dyDescent="0.25">
      <c r="A2707" s="3" t="str">
        <f t="shared" si="86"/>
        <v>ΚΗΠΕΥΤΙΚΑΑΓΚΙΝΑΡΑ ΙΡΙΩΝ</v>
      </c>
      <c r="B2707" s="21" t="s">
        <v>4911</v>
      </c>
      <c r="C2707" s="22" t="s">
        <v>5148</v>
      </c>
      <c r="D2707" s="6">
        <v>11290.03</v>
      </c>
      <c r="E2707" s="6">
        <v>13610.93</v>
      </c>
      <c r="F2707" s="7" t="s">
        <v>14</v>
      </c>
      <c r="G2707" s="8" t="s">
        <v>5149</v>
      </c>
      <c r="H2707" s="8" t="s">
        <v>16</v>
      </c>
      <c r="I2707" s="9">
        <v>5202</v>
      </c>
      <c r="J2707" s="16">
        <v>38</v>
      </c>
      <c r="K2707" s="16">
        <v>38018</v>
      </c>
      <c r="L2707" s="3" t="str">
        <f t="shared" si="87"/>
        <v>ΚΗΠΕΥΤΙΚΑ</v>
      </c>
    </row>
    <row r="2708" spans="1:12" s="3" customFormat="1" ht="24" x14ac:dyDescent="0.25">
      <c r="A2708" s="3" t="str">
        <f t="shared" si="86"/>
        <v>ΚΗΠΕΥΤΙΚΑΠΕΠΟΝΙ GALIA</v>
      </c>
      <c r="B2708" s="21" t="s">
        <v>4911</v>
      </c>
      <c r="C2708" s="22" t="s">
        <v>5150</v>
      </c>
      <c r="D2708" s="6">
        <v>11290.03</v>
      </c>
      <c r="E2708" s="6">
        <v>13610.93</v>
      </c>
      <c r="F2708" s="7" t="s">
        <v>14</v>
      </c>
      <c r="G2708" s="8" t="s">
        <v>5151</v>
      </c>
      <c r="H2708" s="8" t="s">
        <v>16</v>
      </c>
      <c r="I2708" s="9">
        <v>5203</v>
      </c>
      <c r="J2708" s="16">
        <v>38</v>
      </c>
      <c r="K2708" s="16">
        <v>38019</v>
      </c>
      <c r="L2708" s="3" t="str">
        <f t="shared" si="87"/>
        <v>ΚΗΠΕΥΤΙΚΑ</v>
      </c>
    </row>
    <row r="2709" spans="1:12" s="3" customFormat="1" ht="24" x14ac:dyDescent="0.25">
      <c r="A2709" s="3" t="str">
        <f t="shared" si="86"/>
        <v>ΚΗΠΕΥΤΙΚΑΤΟΜΑΤΑΚΙ CHERRY</v>
      </c>
      <c r="B2709" s="21" t="s">
        <v>4911</v>
      </c>
      <c r="C2709" s="22" t="s">
        <v>5152</v>
      </c>
      <c r="D2709" s="6">
        <v>11290.03</v>
      </c>
      <c r="E2709" s="6">
        <v>13610.93</v>
      </c>
      <c r="F2709" s="7" t="s">
        <v>14</v>
      </c>
      <c r="G2709" s="8" t="s">
        <v>5153</v>
      </c>
      <c r="H2709" s="8" t="s">
        <v>16</v>
      </c>
      <c r="I2709" s="9">
        <v>5204</v>
      </c>
      <c r="J2709" s="16">
        <v>38</v>
      </c>
      <c r="K2709" s="16">
        <v>38020</v>
      </c>
      <c r="L2709" s="3" t="str">
        <f t="shared" si="87"/>
        <v>ΚΗΠΕΥΤΙΚΑ</v>
      </c>
    </row>
    <row r="2710" spans="1:12" s="3" customFormat="1" ht="24" x14ac:dyDescent="0.25">
      <c r="A2710" s="3" t="str">
        <f t="shared" si="86"/>
        <v>ΚΗΠΕΥΤΙΚΑΣΕΛΙΝΟΡΙΖΑ</v>
      </c>
      <c r="B2710" s="23" t="s">
        <v>4911</v>
      </c>
      <c r="C2710" s="24" t="s">
        <v>5154</v>
      </c>
      <c r="D2710" s="6">
        <v>11290.03</v>
      </c>
      <c r="E2710" s="6">
        <v>13610.93</v>
      </c>
      <c r="F2710" s="29" t="s">
        <v>14</v>
      </c>
      <c r="G2710" s="8" t="s">
        <v>5155</v>
      </c>
      <c r="H2710" s="8" t="s">
        <v>16</v>
      </c>
      <c r="I2710" s="9">
        <v>5393</v>
      </c>
      <c r="J2710" s="26">
        <v>38</v>
      </c>
      <c r="K2710" s="27">
        <v>38021</v>
      </c>
      <c r="L2710" s="3" t="str">
        <f t="shared" si="87"/>
        <v>ΚΗΠΕΥΤΙΚΑ</v>
      </c>
    </row>
    <row r="2711" spans="1:12" s="3" customFormat="1" ht="24" x14ac:dyDescent="0.25">
      <c r="A2711" s="3" t="str">
        <f t="shared" si="86"/>
        <v>ΚΗΠΕΥΤΙΚΑΗΛΙΑΝΘΟΣ Ο ΚΟΝΔΥΛΩΔΗΣ (ΑΓΓΙΝΑΡΑ ΙΕΡΟΥΣΑΛΗΜ ή ΤΟΠΙΝΑΜΠΟΥΡ)</v>
      </c>
      <c r="B2711" s="23" t="s">
        <v>4911</v>
      </c>
      <c r="C2711" s="24" t="s">
        <v>5156</v>
      </c>
      <c r="D2711" s="6">
        <v>11290.03</v>
      </c>
      <c r="E2711" s="6">
        <v>13610.93</v>
      </c>
      <c r="F2711" s="29" t="s">
        <v>14</v>
      </c>
      <c r="G2711" s="8" t="s">
        <v>5157</v>
      </c>
      <c r="H2711" s="8" t="s">
        <v>16</v>
      </c>
      <c r="I2711" s="9">
        <v>5394</v>
      </c>
      <c r="J2711" s="26">
        <v>38</v>
      </c>
      <c r="K2711" s="27">
        <v>38022</v>
      </c>
      <c r="L2711" s="3" t="str">
        <f t="shared" si="87"/>
        <v>ΚΗΠΕΥΤΙΚΑ</v>
      </c>
    </row>
    <row r="2712" spans="1:12" s="3" customFormat="1" x14ac:dyDescent="0.25">
      <c r="A2712" s="3" t="str">
        <f t="shared" si="86"/>
        <v>ΚΗΠΕΥΤΙΚΑΚΑΡΠΟΥΖΙ CRIMSON SWEET</v>
      </c>
      <c r="B2712" s="23" t="s">
        <v>4911</v>
      </c>
      <c r="C2712" s="24" t="s">
        <v>5158</v>
      </c>
      <c r="D2712" s="6">
        <v>11290.03</v>
      </c>
      <c r="E2712" s="6">
        <v>13610.93</v>
      </c>
      <c r="F2712" s="7" t="s">
        <v>14</v>
      </c>
      <c r="G2712" s="30" t="s">
        <v>5159</v>
      </c>
      <c r="H2712" s="31" t="s">
        <v>577</v>
      </c>
      <c r="I2712" s="9">
        <v>5983</v>
      </c>
      <c r="J2712" s="30">
        <v>38</v>
      </c>
      <c r="K2712" s="30">
        <v>38023</v>
      </c>
      <c r="L2712" s="3" t="str">
        <f t="shared" si="87"/>
        <v>ΚΗΠΕΥΤΙΚΑ</v>
      </c>
    </row>
    <row r="2713" spans="1:12" s="3" customFormat="1" ht="24" x14ac:dyDescent="0.25">
      <c r="A2713" s="3" t="str">
        <f t="shared" si="86"/>
        <v>ΚΗΠΕΥΤΙΚΑΦΑΣΟΛΙΑ</v>
      </c>
      <c r="B2713" s="4" t="s">
        <v>4911</v>
      </c>
      <c r="C2713" s="5" t="s">
        <v>5160</v>
      </c>
      <c r="D2713" s="6">
        <v>11290.03</v>
      </c>
      <c r="E2713" s="6">
        <v>13610.93</v>
      </c>
      <c r="F2713" s="7" t="s">
        <v>14</v>
      </c>
      <c r="G2713" s="8" t="s">
        <v>5161</v>
      </c>
      <c r="H2713" s="8" t="s">
        <v>16</v>
      </c>
      <c r="I2713" s="9">
        <v>2495</v>
      </c>
      <c r="J2713" s="10">
        <v>38</v>
      </c>
      <c r="K2713" s="10">
        <v>8102</v>
      </c>
      <c r="L2713" s="3" t="str">
        <f t="shared" si="87"/>
        <v>ΚΗΠΕΥΤΙΚΑ</v>
      </c>
    </row>
    <row r="2714" spans="1:12" s="3" customFormat="1" ht="24" x14ac:dyDescent="0.25">
      <c r="A2714" s="3" t="str">
        <f t="shared" si="86"/>
        <v>ΚΗΠΕΥΤΙΚΑΜΑΡΑΘΟΣ</v>
      </c>
      <c r="B2714" s="4" t="s">
        <v>4911</v>
      </c>
      <c r="C2714" s="5" t="s">
        <v>1968</v>
      </c>
      <c r="D2714" s="6">
        <v>11290.03</v>
      </c>
      <c r="E2714" s="6">
        <v>13610.93</v>
      </c>
      <c r="F2714" s="7" t="s">
        <v>14</v>
      </c>
      <c r="G2714" s="8" t="s">
        <v>5162</v>
      </c>
      <c r="H2714" s="8" t="s">
        <v>16</v>
      </c>
      <c r="I2714" s="9">
        <v>2489</v>
      </c>
      <c r="J2714" s="10">
        <v>38</v>
      </c>
      <c r="K2714" s="10">
        <v>8135</v>
      </c>
      <c r="L2714" s="3" t="str">
        <f t="shared" si="87"/>
        <v>ΚΗΠΕΥΤΙΚΑ</v>
      </c>
    </row>
    <row r="2715" spans="1:12" s="3" customFormat="1" ht="24" x14ac:dyDescent="0.25">
      <c r="A2715" s="3" t="str">
        <f t="shared" si="86"/>
        <v>ΚΗΠΕΥΤΙΚΑΤΟΜΑΤΕΣ</v>
      </c>
      <c r="B2715" s="4" t="s">
        <v>4911</v>
      </c>
      <c r="C2715" s="5" t="s">
        <v>5163</v>
      </c>
      <c r="D2715" s="6">
        <v>11290.03</v>
      </c>
      <c r="E2715" s="6">
        <v>13610.93</v>
      </c>
      <c r="F2715" s="7" t="s">
        <v>14</v>
      </c>
      <c r="G2715" s="8" t="s">
        <v>5164</v>
      </c>
      <c r="H2715" s="8" t="s">
        <v>16</v>
      </c>
      <c r="I2715" s="9">
        <v>2356</v>
      </c>
      <c r="J2715" s="10">
        <v>38</v>
      </c>
      <c r="K2715" s="10">
        <v>8181</v>
      </c>
      <c r="L2715" s="3" t="str">
        <f t="shared" si="87"/>
        <v>ΚΗΠΕΥΤΙΚΑ</v>
      </c>
    </row>
    <row r="2716" spans="1:12" s="3" customFormat="1" ht="24" x14ac:dyDescent="0.25">
      <c r="A2716" s="3" t="str">
        <f t="shared" si="86"/>
        <v>ΚΗΠΕΥΤΙΚΑΚΑΡΠΟΥΖΙ ΥΠΑΙΘΡΙΟ</v>
      </c>
      <c r="B2716" s="4" t="s">
        <v>4911</v>
      </c>
      <c r="C2716" s="5" t="s">
        <v>5165</v>
      </c>
      <c r="D2716" s="6">
        <v>11290.03</v>
      </c>
      <c r="E2716" s="6">
        <v>13610.93</v>
      </c>
      <c r="F2716" s="7" t="s">
        <v>14</v>
      </c>
      <c r="G2716" s="8" t="s">
        <v>5166</v>
      </c>
      <c r="H2716" s="8" t="s">
        <v>16</v>
      </c>
      <c r="I2716" s="9">
        <v>2354</v>
      </c>
      <c r="J2716" s="10">
        <v>38</v>
      </c>
      <c r="K2716" s="10">
        <v>8195</v>
      </c>
      <c r="L2716" s="3" t="str">
        <f t="shared" si="87"/>
        <v>ΚΗΠΕΥΤΙΚΑ</v>
      </c>
    </row>
    <row r="2717" spans="1:12" s="3" customFormat="1" ht="24" x14ac:dyDescent="0.25">
      <c r="A2717" s="3" t="str">
        <f t="shared" si="86"/>
        <v>ΚΗΠΕΥΤΙΚΑΠΕΠΟΝΙ</v>
      </c>
      <c r="B2717" s="4" t="s">
        <v>4911</v>
      </c>
      <c r="C2717" s="5" t="s">
        <v>5167</v>
      </c>
      <c r="D2717" s="6">
        <v>11290.03</v>
      </c>
      <c r="E2717" s="6">
        <v>13610.93</v>
      </c>
      <c r="F2717" s="7" t="s">
        <v>14</v>
      </c>
      <c r="G2717" s="8" t="s">
        <v>5168</v>
      </c>
      <c r="H2717" s="8" t="s">
        <v>16</v>
      </c>
      <c r="I2717" s="9">
        <v>2357</v>
      </c>
      <c r="J2717" s="10">
        <v>38</v>
      </c>
      <c r="K2717" s="10">
        <v>8196</v>
      </c>
      <c r="L2717" s="3" t="str">
        <f t="shared" si="87"/>
        <v>ΚΗΠΕΥΤΙΚΑ</v>
      </c>
    </row>
    <row r="2718" spans="1:12" s="3" customFormat="1" ht="24" x14ac:dyDescent="0.25">
      <c r="A2718" s="3" t="str">
        <f t="shared" si="86"/>
        <v>ΚΗΠΕΥΤΙΚΑΓΛΥΚΟΠΑΤΑΤΕΣ</v>
      </c>
      <c r="B2718" s="4" t="s">
        <v>4911</v>
      </c>
      <c r="C2718" s="5" t="s">
        <v>5169</v>
      </c>
      <c r="D2718" s="6">
        <v>10768.2</v>
      </c>
      <c r="E2718" s="6">
        <v>13414.8</v>
      </c>
      <c r="F2718" s="7" t="s">
        <v>14</v>
      </c>
      <c r="G2718" s="8" t="s">
        <v>5170</v>
      </c>
      <c r="H2718" s="8" t="s">
        <v>16</v>
      </c>
      <c r="I2718" s="9">
        <v>2362</v>
      </c>
      <c r="J2718" s="10">
        <v>38</v>
      </c>
      <c r="K2718" s="10">
        <v>8240</v>
      </c>
      <c r="L2718" s="3" t="str">
        <f t="shared" si="87"/>
        <v>ΚΗΠΕΥΤΙΚΑ</v>
      </c>
    </row>
    <row r="2719" spans="1:12" s="3" customFormat="1" ht="24" x14ac:dyDescent="0.25">
      <c r="A2719" s="3" t="str">
        <f t="shared" si="86"/>
        <v>ΚΗΠΕΥΤΙΚΑΜΑΡΟΥΛΙ</v>
      </c>
      <c r="B2719" s="4" t="s">
        <v>4911</v>
      </c>
      <c r="C2719" s="5" t="s">
        <v>5171</v>
      </c>
      <c r="D2719" s="6">
        <v>11290.03</v>
      </c>
      <c r="E2719" s="6">
        <v>13610.93</v>
      </c>
      <c r="F2719" s="7" t="s">
        <v>14</v>
      </c>
      <c r="G2719" s="8" t="s">
        <v>5172</v>
      </c>
      <c r="H2719" s="8" t="s">
        <v>16</v>
      </c>
      <c r="I2719" s="9">
        <v>2359</v>
      </c>
      <c r="J2719" s="10">
        <v>38</v>
      </c>
      <c r="K2719" s="10">
        <v>8676</v>
      </c>
      <c r="L2719" s="3" t="str">
        <f t="shared" si="87"/>
        <v>ΚΗΠΕΥΤΙΚΑ</v>
      </c>
    </row>
    <row r="2720" spans="1:12" s="3" customFormat="1" ht="24" x14ac:dyDescent="0.25">
      <c r="A2720" s="3" t="str">
        <f t="shared" si="86"/>
        <v>ΚΗΠΕΥΤΙΚΑΚΟΥΝΟΥΠΙΔΙ</v>
      </c>
      <c r="B2720" s="4" t="s">
        <v>4911</v>
      </c>
      <c r="C2720" s="5" t="s">
        <v>5173</v>
      </c>
      <c r="D2720" s="6">
        <v>11290.03</v>
      </c>
      <c r="E2720" s="6">
        <v>13610.93</v>
      </c>
      <c r="F2720" s="7" t="s">
        <v>14</v>
      </c>
      <c r="G2720" s="8" t="s">
        <v>5174</v>
      </c>
      <c r="H2720" s="8" t="s">
        <v>16</v>
      </c>
      <c r="I2720" s="9">
        <v>2370</v>
      </c>
      <c r="J2720" s="10">
        <v>38</v>
      </c>
      <c r="K2720" s="10">
        <v>8677</v>
      </c>
      <c r="L2720" s="3" t="str">
        <f t="shared" si="87"/>
        <v>ΚΗΠΕΥΤΙΚΑ</v>
      </c>
    </row>
    <row r="2721" spans="1:12" s="3" customFormat="1" ht="24" x14ac:dyDescent="0.25">
      <c r="A2721" s="3" t="str">
        <f t="shared" si="86"/>
        <v>ΚΗΠΕΥΤΙΚΑΛΑΧΑΝΟ</v>
      </c>
      <c r="B2721" s="4" t="s">
        <v>4911</v>
      </c>
      <c r="C2721" s="5" t="s">
        <v>5175</v>
      </c>
      <c r="D2721" s="6">
        <v>11290.03</v>
      </c>
      <c r="E2721" s="6">
        <v>13610.93</v>
      </c>
      <c r="F2721" s="7" t="s">
        <v>14</v>
      </c>
      <c r="G2721" s="8" t="s">
        <v>5176</v>
      </c>
      <c r="H2721" s="8" t="s">
        <v>16</v>
      </c>
      <c r="I2721" s="9">
        <v>2369</v>
      </c>
      <c r="J2721" s="10">
        <v>38</v>
      </c>
      <c r="K2721" s="10">
        <v>8678</v>
      </c>
      <c r="L2721" s="3" t="str">
        <f t="shared" si="87"/>
        <v>ΚΗΠΕΥΤΙΚΑ</v>
      </c>
    </row>
    <row r="2722" spans="1:12" s="3" customFormat="1" ht="24" x14ac:dyDescent="0.25">
      <c r="A2722" s="3" t="str">
        <f t="shared" si="86"/>
        <v>ΚΗΠΕΥΤΙΚΑΜΠΑΜΙΑ</v>
      </c>
      <c r="B2722" s="4" t="s">
        <v>4911</v>
      </c>
      <c r="C2722" s="5" t="s">
        <v>5177</v>
      </c>
      <c r="D2722" s="6">
        <v>11290.03</v>
      </c>
      <c r="E2722" s="6">
        <v>13610.93</v>
      </c>
      <c r="F2722" s="7" t="s">
        <v>14</v>
      </c>
      <c r="G2722" s="8" t="s">
        <v>5178</v>
      </c>
      <c r="H2722" s="8" t="s">
        <v>16</v>
      </c>
      <c r="I2722" s="9">
        <v>2368</v>
      </c>
      <c r="J2722" s="10">
        <v>38</v>
      </c>
      <c r="K2722" s="10">
        <v>8679</v>
      </c>
      <c r="L2722" s="3" t="str">
        <f t="shared" si="87"/>
        <v>ΚΗΠΕΥΤΙΚΑ</v>
      </c>
    </row>
    <row r="2723" spans="1:12" s="3" customFormat="1" ht="24" x14ac:dyDescent="0.25">
      <c r="A2723" s="3" t="str">
        <f t="shared" si="86"/>
        <v>ΚΗΠΕΥΤΙΚΑΤΟΜΑΤΟΠΙΠΕΡΙΑ</v>
      </c>
      <c r="B2723" s="4" t="s">
        <v>4911</v>
      </c>
      <c r="C2723" s="5" t="s">
        <v>5179</v>
      </c>
      <c r="D2723" s="6">
        <v>11290.03</v>
      </c>
      <c r="E2723" s="6">
        <v>13610.93</v>
      </c>
      <c r="F2723" s="7" t="s">
        <v>14</v>
      </c>
      <c r="G2723" s="8" t="s">
        <v>5180</v>
      </c>
      <c r="H2723" s="8" t="s">
        <v>16</v>
      </c>
      <c r="I2723" s="9">
        <v>2367</v>
      </c>
      <c r="J2723" s="10">
        <v>38</v>
      </c>
      <c r="K2723" s="10">
        <v>8680</v>
      </c>
      <c r="L2723" s="3" t="str">
        <f t="shared" si="87"/>
        <v>ΚΗΠΕΥΤΙΚΑ</v>
      </c>
    </row>
    <row r="2724" spans="1:12" s="3" customFormat="1" ht="24" x14ac:dyDescent="0.25">
      <c r="A2724" s="3" t="str">
        <f t="shared" si="86"/>
        <v>ΚΗΠΕΥΤΙΚΑΚΡΕΜΜΥΔΑΚΙΑ ΣΚΟΡΔΑΚΙΑ ΝΩΠΑ</v>
      </c>
      <c r="B2724" s="4" t="s">
        <v>4911</v>
      </c>
      <c r="C2724" s="5" t="s">
        <v>4875</v>
      </c>
      <c r="D2724" s="6">
        <v>11290.03</v>
      </c>
      <c r="E2724" s="6">
        <v>13610.93</v>
      </c>
      <c r="F2724" s="7" t="s">
        <v>14</v>
      </c>
      <c r="G2724" s="8" t="s">
        <v>5181</v>
      </c>
      <c r="H2724" s="8" t="s">
        <v>16</v>
      </c>
      <c r="I2724" s="9">
        <v>2366</v>
      </c>
      <c r="J2724" s="10">
        <v>38</v>
      </c>
      <c r="K2724" s="10">
        <v>8681</v>
      </c>
      <c r="L2724" s="3" t="str">
        <f t="shared" si="87"/>
        <v>ΚΗΠΕΥΤΙΚΑ</v>
      </c>
    </row>
    <row r="2725" spans="1:12" s="3" customFormat="1" ht="24" x14ac:dyDescent="0.25">
      <c r="A2725" s="3" t="str">
        <f t="shared" si="86"/>
        <v>ΚΗΠΕΥΤΙΚΑΠΙΠΕΡΙΑ ΥΠΑΙΘΡΟΥ</v>
      </c>
      <c r="B2725" s="4" t="s">
        <v>4911</v>
      </c>
      <c r="C2725" s="5" t="s">
        <v>5182</v>
      </c>
      <c r="D2725" s="6">
        <v>11290.03</v>
      </c>
      <c r="E2725" s="6">
        <v>13610.93</v>
      </c>
      <c r="F2725" s="7" t="s">
        <v>14</v>
      </c>
      <c r="G2725" s="8" t="s">
        <v>5183</v>
      </c>
      <c r="H2725" s="8" t="s">
        <v>16</v>
      </c>
      <c r="I2725" s="9">
        <v>2365</v>
      </c>
      <c r="J2725" s="10">
        <v>38</v>
      </c>
      <c r="K2725" s="10">
        <v>8682</v>
      </c>
      <c r="L2725" s="3" t="str">
        <f t="shared" si="87"/>
        <v>ΚΗΠΕΥΤΙΚΑ</v>
      </c>
    </row>
    <row r="2726" spans="1:12" s="3" customFormat="1" ht="24" x14ac:dyDescent="0.25">
      <c r="A2726" s="3" t="str">
        <f t="shared" si="86"/>
        <v>ΚΗΠΕΥΤΙΚΑΣΚΟΡΔΟ ΞΕΡΟ</v>
      </c>
      <c r="B2726" s="4" t="s">
        <v>4911</v>
      </c>
      <c r="C2726" s="5" t="s">
        <v>5184</v>
      </c>
      <c r="D2726" s="6">
        <v>10768.2</v>
      </c>
      <c r="E2726" s="6">
        <v>13414.8</v>
      </c>
      <c r="F2726" s="7" t="s">
        <v>14</v>
      </c>
      <c r="G2726" s="8" t="s">
        <v>5185</v>
      </c>
      <c r="H2726" s="8" t="s">
        <v>16</v>
      </c>
      <c r="I2726" s="9">
        <v>2364</v>
      </c>
      <c r="J2726" s="10">
        <v>38</v>
      </c>
      <c r="K2726" s="10">
        <v>8683</v>
      </c>
      <c r="L2726" s="3" t="str">
        <f t="shared" si="87"/>
        <v>ΚΗΠΕΥΤΙΚΑ</v>
      </c>
    </row>
    <row r="2727" spans="1:12" s="3" customFormat="1" ht="24" x14ac:dyDescent="0.25">
      <c r="A2727" s="3" t="str">
        <f t="shared" si="86"/>
        <v>ΚΗΠΕΥΤΙΚΑΑΓΓΟΥΡΙ ΥΠΑΙΘΡΟΥ</v>
      </c>
      <c r="B2727" s="4" t="s">
        <v>4911</v>
      </c>
      <c r="C2727" s="5" t="s">
        <v>5186</v>
      </c>
      <c r="D2727" s="6">
        <v>11290.03</v>
      </c>
      <c r="E2727" s="6">
        <v>13610.93</v>
      </c>
      <c r="F2727" s="7" t="s">
        <v>14</v>
      </c>
      <c r="G2727" s="8" t="s">
        <v>5187</v>
      </c>
      <c r="H2727" s="8" t="s">
        <v>16</v>
      </c>
      <c r="I2727" s="9">
        <v>2363</v>
      </c>
      <c r="J2727" s="10">
        <v>38</v>
      </c>
      <c r="K2727" s="10">
        <v>8685</v>
      </c>
      <c r="L2727" s="3" t="str">
        <f t="shared" si="87"/>
        <v>ΚΗΠΕΥΤΙΚΑ</v>
      </c>
    </row>
    <row r="2728" spans="1:12" s="3" customFormat="1" ht="24" x14ac:dyDescent="0.25">
      <c r="A2728" s="3" t="str">
        <f t="shared" si="86"/>
        <v>ΚΗΠΕΥΤΙΚΑΦΡΑΟΥΛΑ</v>
      </c>
      <c r="B2728" s="4" t="s">
        <v>4911</v>
      </c>
      <c r="C2728" s="5" t="s">
        <v>501</v>
      </c>
      <c r="D2728" s="6">
        <v>11290.03</v>
      </c>
      <c r="E2728" s="6">
        <v>13610.93</v>
      </c>
      <c r="F2728" s="7" t="s">
        <v>14</v>
      </c>
      <c r="G2728" s="8" t="s">
        <v>5188</v>
      </c>
      <c r="H2728" s="8" t="s">
        <v>16</v>
      </c>
      <c r="I2728" s="9">
        <v>2361</v>
      </c>
      <c r="J2728" s="10">
        <v>38</v>
      </c>
      <c r="K2728" s="10">
        <v>8686</v>
      </c>
      <c r="L2728" s="3" t="str">
        <f t="shared" si="87"/>
        <v>ΚΗΠΕΥΤΙΚΑ</v>
      </c>
    </row>
    <row r="2729" spans="1:12" s="3" customFormat="1" ht="24" x14ac:dyDescent="0.25">
      <c r="A2729" s="3" t="str">
        <f t="shared" si="86"/>
        <v>ΚΗΠΕΥΤΙΚΑΚΡΕΜΜΥΔΙ ΞΕΡΟ</v>
      </c>
      <c r="B2729" s="4" t="s">
        <v>4911</v>
      </c>
      <c r="C2729" s="5" t="s">
        <v>5189</v>
      </c>
      <c r="D2729" s="6">
        <v>10768.2</v>
      </c>
      <c r="E2729" s="6">
        <v>13414.8</v>
      </c>
      <c r="F2729" s="7" t="s">
        <v>14</v>
      </c>
      <c r="G2729" s="8" t="s">
        <v>5190</v>
      </c>
      <c r="H2729" s="8" t="s">
        <v>16</v>
      </c>
      <c r="I2729" s="9">
        <v>2360</v>
      </c>
      <c r="J2729" s="10">
        <v>38</v>
      </c>
      <c r="K2729" s="10">
        <v>8689</v>
      </c>
      <c r="L2729" s="3" t="str">
        <f t="shared" si="87"/>
        <v>ΚΗΠΕΥΤΙΚΑ</v>
      </c>
    </row>
    <row r="2730" spans="1:12" s="3" customFormat="1" ht="24" x14ac:dyDescent="0.25">
      <c r="A2730" s="3" t="str">
        <f t="shared" si="86"/>
        <v>ΚΗΠΕΥΤΙΚΑΚΟΛΟΚΥΘΕΣ</v>
      </c>
      <c r="B2730" s="4" t="s">
        <v>4911</v>
      </c>
      <c r="C2730" s="5" t="s">
        <v>5191</v>
      </c>
      <c r="D2730" s="6">
        <v>11290.03</v>
      </c>
      <c r="E2730" s="6">
        <v>13610.93</v>
      </c>
      <c r="F2730" s="7" t="s">
        <v>14</v>
      </c>
      <c r="G2730" s="8" t="s">
        <v>5192</v>
      </c>
      <c r="H2730" s="8" t="s">
        <v>16</v>
      </c>
      <c r="I2730" s="9">
        <v>2358</v>
      </c>
      <c r="J2730" s="10">
        <v>38</v>
      </c>
      <c r="K2730" s="10">
        <v>8690</v>
      </c>
      <c r="L2730" s="3" t="str">
        <f t="shared" si="87"/>
        <v>ΚΗΠΕΥΤΙΚΑ</v>
      </c>
    </row>
    <row r="2731" spans="1:12" s="3" customFormat="1" ht="24" x14ac:dyDescent="0.25">
      <c r="A2731" s="3" t="str">
        <f t="shared" si="86"/>
        <v>ΚΗΠΕΥΤΙΚΑΠΙΠΕΡΙΑ ΠΡΟΣ ΜΕΤΑΠΟΙΗΣΗ</v>
      </c>
      <c r="B2731" s="4" t="s">
        <v>4911</v>
      </c>
      <c r="C2731" s="5" t="s">
        <v>5193</v>
      </c>
      <c r="D2731" s="6">
        <v>11290.03</v>
      </c>
      <c r="E2731" s="6">
        <v>13610.93</v>
      </c>
      <c r="F2731" s="7" t="s">
        <v>14</v>
      </c>
      <c r="G2731" s="8" t="s">
        <v>5194</v>
      </c>
      <c r="H2731" s="8" t="s">
        <v>16</v>
      </c>
      <c r="I2731" s="9">
        <v>2371</v>
      </c>
      <c r="J2731" s="10">
        <v>38</v>
      </c>
      <c r="K2731" s="10">
        <v>8698</v>
      </c>
      <c r="L2731" s="3" t="str">
        <f t="shared" si="87"/>
        <v>ΚΗΠΕΥΤΙΚΑ</v>
      </c>
    </row>
    <row r="2732" spans="1:12" s="3" customFormat="1" ht="24" x14ac:dyDescent="0.25">
      <c r="A2732" s="3" t="str">
        <f t="shared" si="86"/>
        <v>ΚΗΠΕΥΤΙΚΑΦΑΣΟΛΑΚΙΑ ΧΑΝΤΡΕΣ</v>
      </c>
      <c r="B2732" s="4" t="s">
        <v>4911</v>
      </c>
      <c r="C2732" s="5" t="s">
        <v>4903</v>
      </c>
      <c r="D2732" s="6">
        <v>11290.03</v>
      </c>
      <c r="E2732" s="6">
        <v>13610.93</v>
      </c>
      <c r="F2732" s="7" t="s">
        <v>14</v>
      </c>
      <c r="G2732" s="8" t="s">
        <v>5195</v>
      </c>
      <c r="H2732" s="8" t="s">
        <v>16</v>
      </c>
      <c r="I2732" s="9">
        <v>2482</v>
      </c>
      <c r="J2732" s="10">
        <v>38</v>
      </c>
      <c r="K2732" s="10">
        <v>9107034</v>
      </c>
      <c r="L2732" s="3" t="str">
        <f t="shared" si="87"/>
        <v>ΚΗΠΕΥΤΙΚΑ</v>
      </c>
    </row>
    <row r="2733" spans="1:12" s="3" customFormat="1" ht="24" x14ac:dyDescent="0.25">
      <c r="A2733" s="3" t="str">
        <f t="shared" si="86"/>
        <v>ΚΗΠΕΥΤΙΚΑΚΑΡΠΟΥΖΙ OBLA</v>
      </c>
      <c r="B2733" s="4" t="s">
        <v>4911</v>
      </c>
      <c r="C2733" s="5" t="s">
        <v>5196</v>
      </c>
      <c r="D2733" s="6">
        <v>11290.03</v>
      </c>
      <c r="E2733" s="6">
        <v>13610.93</v>
      </c>
      <c r="F2733" s="7" t="s">
        <v>14</v>
      </c>
      <c r="G2733" s="8" t="s">
        <v>5197</v>
      </c>
      <c r="H2733" s="8" t="s">
        <v>16</v>
      </c>
      <c r="I2733" s="9">
        <v>2473</v>
      </c>
      <c r="J2733" s="10">
        <v>38</v>
      </c>
      <c r="K2733" s="10">
        <v>98202</v>
      </c>
      <c r="L2733" s="3" t="str">
        <f t="shared" si="87"/>
        <v>ΚΗΠΕΥΤΙΚΑ</v>
      </c>
    </row>
    <row r="2734" spans="1:12" s="3" customFormat="1" ht="24" x14ac:dyDescent="0.25">
      <c r="A2734" s="3" t="str">
        <f t="shared" si="86"/>
        <v>ΚΗΠΕΥΤΙΚΑΜΕΛΙΤΖΑΝΕΣ ΦΛΑΣΚΕΣ</v>
      </c>
      <c r="B2734" s="4" t="s">
        <v>4911</v>
      </c>
      <c r="C2734" s="5" t="s">
        <v>5198</v>
      </c>
      <c r="D2734" s="6">
        <v>11290.03</v>
      </c>
      <c r="E2734" s="6">
        <v>13610.93</v>
      </c>
      <c r="F2734" s="7" t="s">
        <v>14</v>
      </c>
      <c r="G2734" s="8" t="s">
        <v>5199</v>
      </c>
      <c r="H2734" s="8" t="s">
        <v>16</v>
      </c>
      <c r="I2734" s="9">
        <v>2474</v>
      </c>
      <c r="J2734" s="10">
        <v>38</v>
      </c>
      <c r="K2734" s="10">
        <v>98203</v>
      </c>
      <c r="L2734" s="3" t="str">
        <f t="shared" si="87"/>
        <v>ΚΗΠΕΥΤΙΚΑ</v>
      </c>
    </row>
    <row r="2735" spans="1:12" s="3" customFormat="1" ht="24" x14ac:dyDescent="0.25">
      <c r="A2735" s="3" t="str">
        <f t="shared" si="86"/>
        <v>ΚΗΠΕΥΤΙΚΑΜΕΛΙΤΖΑΝΕΣ ΤΣΑΚΩΝΙΚΕΣ</v>
      </c>
      <c r="B2735" s="4" t="s">
        <v>4911</v>
      </c>
      <c r="C2735" s="5" t="s">
        <v>5200</v>
      </c>
      <c r="D2735" s="6">
        <v>11290.03</v>
      </c>
      <c r="E2735" s="6">
        <v>13610.93</v>
      </c>
      <c r="F2735" s="7" t="s">
        <v>14</v>
      </c>
      <c r="G2735" s="8" t="s">
        <v>5201</v>
      </c>
      <c r="H2735" s="8" t="s">
        <v>16</v>
      </c>
      <c r="I2735" s="9">
        <v>2475</v>
      </c>
      <c r="J2735" s="10">
        <v>38</v>
      </c>
      <c r="K2735" s="10">
        <v>98204</v>
      </c>
      <c r="L2735" s="3" t="str">
        <f t="shared" si="87"/>
        <v>ΚΗΠΕΥΤΙΚΑ</v>
      </c>
    </row>
    <row r="2736" spans="1:12" s="3" customFormat="1" ht="24" x14ac:dyDescent="0.25">
      <c r="A2736" s="3" t="str">
        <f t="shared" si="86"/>
        <v>ΚΗΠΕΥΤΙΚΑΠΙΠΕΡΙΑ ΚΕΡΑΤΟ</v>
      </c>
      <c r="B2736" s="4" t="s">
        <v>4911</v>
      </c>
      <c r="C2736" s="5" t="s">
        <v>5202</v>
      </c>
      <c r="D2736" s="6">
        <v>11290.03</v>
      </c>
      <c r="E2736" s="6">
        <v>13610.93</v>
      </c>
      <c r="F2736" s="7" t="s">
        <v>14</v>
      </c>
      <c r="G2736" s="8" t="s">
        <v>5203</v>
      </c>
      <c r="H2736" s="8" t="s">
        <v>16</v>
      </c>
      <c r="I2736" s="9">
        <v>2476</v>
      </c>
      <c r="J2736" s="10">
        <v>38</v>
      </c>
      <c r="K2736" s="10">
        <v>98205</v>
      </c>
      <c r="L2736" s="3" t="str">
        <f t="shared" si="87"/>
        <v>ΚΗΠΕΥΤΙΚΑ</v>
      </c>
    </row>
    <row r="2737" spans="1:12" s="3" customFormat="1" ht="24" x14ac:dyDescent="0.25">
      <c r="A2737" s="3" t="str">
        <f t="shared" si="86"/>
        <v>ΚΗΠΕΥΤΙΚΑΠΙΠΕΡΙΕΣ ΦΛΩΡΙΝΗΣ</v>
      </c>
      <c r="B2737" s="4" t="s">
        <v>4911</v>
      </c>
      <c r="C2737" s="5" t="s">
        <v>5204</v>
      </c>
      <c r="D2737" s="6">
        <v>11290.03</v>
      </c>
      <c r="E2737" s="6">
        <v>13610.93</v>
      </c>
      <c r="F2737" s="7" t="s">
        <v>14</v>
      </c>
      <c r="G2737" s="8" t="s">
        <v>5205</v>
      </c>
      <c r="H2737" s="8" t="s">
        <v>16</v>
      </c>
      <c r="I2737" s="9">
        <v>2477</v>
      </c>
      <c r="J2737" s="10">
        <v>38</v>
      </c>
      <c r="K2737" s="10">
        <v>98207</v>
      </c>
      <c r="L2737" s="3" t="str">
        <f t="shared" si="87"/>
        <v>ΚΗΠΕΥΤΙΚΑ</v>
      </c>
    </row>
    <row r="2738" spans="1:12" s="3" customFormat="1" ht="24" x14ac:dyDescent="0.25">
      <c r="A2738" s="3" t="str">
        <f t="shared" si="86"/>
        <v>ΚΗΠΕΥΤΙΚΑΛΑΧΑΝΙΔΑ ΑΣΠΡΗ</v>
      </c>
      <c r="B2738" s="4" t="s">
        <v>4911</v>
      </c>
      <c r="C2738" s="5" t="s">
        <v>5206</v>
      </c>
      <c r="D2738" s="6">
        <v>11290.03</v>
      </c>
      <c r="E2738" s="6">
        <v>13610.93</v>
      </c>
      <c r="F2738" s="7" t="s">
        <v>14</v>
      </c>
      <c r="G2738" s="8" t="s">
        <v>5207</v>
      </c>
      <c r="H2738" s="8" t="s">
        <v>16</v>
      </c>
      <c r="I2738" s="9">
        <v>2478</v>
      </c>
      <c r="J2738" s="10">
        <v>38</v>
      </c>
      <c r="K2738" s="10">
        <v>98208</v>
      </c>
      <c r="L2738" s="3" t="str">
        <f t="shared" si="87"/>
        <v>ΚΗΠΕΥΤΙΚΑ</v>
      </c>
    </row>
    <row r="2739" spans="1:12" s="3" customFormat="1" ht="24" x14ac:dyDescent="0.25">
      <c r="A2739" s="3" t="str">
        <f t="shared" si="86"/>
        <v>ΚΗΠΕΥΤΙΚΑΛΑΧΑΝΙΔΑ ΚΟΚΚΙΝΗ (KALE)</v>
      </c>
      <c r="B2739" s="4" t="s">
        <v>4911</v>
      </c>
      <c r="C2739" s="5" t="s">
        <v>5208</v>
      </c>
      <c r="D2739" s="6">
        <v>11290.03</v>
      </c>
      <c r="E2739" s="6">
        <v>13610.93</v>
      </c>
      <c r="F2739" s="7" t="s">
        <v>14</v>
      </c>
      <c r="G2739" s="8" t="s">
        <v>5209</v>
      </c>
      <c r="H2739" s="8" t="s">
        <v>16</v>
      </c>
      <c r="I2739" s="9">
        <v>2480</v>
      </c>
      <c r="J2739" s="10">
        <v>38</v>
      </c>
      <c r="K2739" s="10">
        <v>98209</v>
      </c>
      <c r="L2739" s="3" t="str">
        <f t="shared" si="87"/>
        <v>ΚΗΠΕΥΤΙΚΑ</v>
      </c>
    </row>
    <row r="2740" spans="1:12" s="3" customFormat="1" ht="24" x14ac:dyDescent="0.25">
      <c r="A2740" s="3" t="str">
        <f t="shared" si="86"/>
        <v>ΚΟΝΙΚΛΟΕΙΔΗΚΟΥΝΕΛΙΑ</v>
      </c>
      <c r="B2740" s="17" t="s">
        <v>5210</v>
      </c>
      <c r="C2740" s="14" t="s">
        <v>5211</v>
      </c>
      <c r="D2740" s="6">
        <v>145</v>
      </c>
      <c r="E2740" s="6">
        <v>145</v>
      </c>
      <c r="F2740" s="11" t="s">
        <v>23</v>
      </c>
      <c r="G2740" s="8" t="s">
        <v>5212</v>
      </c>
      <c r="H2740" s="8" t="s">
        <v>16</v>
      </c>
      <c r="I2740" s="9">
        <v>4830</v>
      </c>
      <c r="J2740" s="13">
        <v>8</v>
      </c>
      <c r="K2740" s="13">
        <v>810000</v>
      </c>
      <c r="L2740" s="3" t="str">
        <f t="shared" si="87"/>
        <v>ΚΟΝΙΚΛΟΕΙΔΗ</v>
      </c>
    </row>
    <row r="2741" spans="1:12" s="3" customFormat="1" ht="24" x14ac:dyDescent="0.25">
      <c r="A2741" s="3" t="str">
        <f t="shared" si="86"/>
        <v>ΚΟΝΙΚΛΟΕΙΔΗΛΑΓΟΙ</v>
      </c>
      <c r="B2741" s="17" t="s">
        <v>5210</v>
      </c>
      <c r="C2741" s="14" t="s">
        <v>5213</v>
      </c>
      <c r="D2741" s="6">
        <v>145</v>
      </c>
      <c r="E2741" s="6">
        <v>145</v>
      </c>
      <c r="F2741" s="11" t="s">
        <v>23</v>
      </c>
      <c r="G2741" s="8" t="s">
        <v>5214</v>
      </c>
      <c r="H2741" s="8" t="s">
        <v>16</v>
      </c>
      <c r="I2741" s="9">
        <v>4831</v>
      </c>
      <c r="J2741" s="13">
        <v>8</v>
      </c>
      <c r="K2741" s="13">
        <v>820000</v>
      </c>
      <c r="L2741" s="3" t="str">
        <f t="shared" si="87"/>
        <v>ΚΟΝΙΚΛΟΕΙΔΗ</v>
      </c>
    </row>
    <row r="2742" spans="1:12" s="3" customFormat="1" ht="24" x14ac:dyDescent="0.25">
      <c r="A2742" s="3" t="str">
        <f t="shared" si="86"/>
        <v>ΚΤΗΝΟΤΡΟΦΙΚΑ ΦΥΤΑ ΓΙΑ ΖΩΟΤΡΟΦΕΣΒΙΚΟΣ ALEXANDROS</v>
      </c>
      <c r="B2742" s="4" t="s">
        <v>5215</v>
      </c>
      <c r="C2742" s="5" t="s">
        <v>5216</v>
      </c>
      <c r="D2742" s="6">
        <v>1402.9</v>
      </c>
      <c r="E2742" s="6">
        <v>1418.93</v>
      </c>
      <c r="F2742" s="7" t="s">
        <v>14</v>
      </c>
      <c r="G2742" s="8" t="s">
        <v>5217</v>
      </c>
      <c r="H2742" s="8" t="s">
        <v>16</v>
      </c>
      <c r="I2742" s="9">
        <v>3801</v>
      </c>
      <c r="J2742" s="10">
        <v>8</v>
      </c>
      <c r="K2742" s="10">
        <v>1131</v>
      </c>
      <c r="L2742" s="3" t="str">
        <f t="shared" si="87"/>
        <v>ΚΤΗΝΟΤΡΟΦΙΚΑ_ΦΥΤΑ_ΓΙΑ_ΖΩΟΤΡΟΦΕΣ</v>
      </c>
    </row>
    <row r="2743" spans="1:12" s="3" customFormat="1" ht="24" x14ac:dyDescent="0.25">
      <c r="A2743" s="3" t="str">
        <f t="shared" si="86"/>
        <v>ΚΤΗΝΟΤΡΟΦΙΚΑ ΦΥΤΑ ΓΙΑ ΖΩΟΤΡΟΦΕΣΒΙΚΟΣ ΑΧΙΛΛΕΑΣ (Β1-90)</v>
      </c>
      <c r="B2743" s="18" t="s">
        <v>5215</v>
      </c>
      <c r="C2743" s="19" t="s">
        <v>5218</v>
      </c>
      <c r="D2743" s="6">
        <v>1402.9</v>
      </c>
      <c r="E2743" s="6">
        <v>1418.93</v>
      </c>
      <c r="F2743" s="7" t="s">
        <v>14</v>
      </c>
      <c r="G2743" s="8" t="s">
        <v>5219</v>
      </c>
      <c r="H2743" s="8" t="s">
        <v>27</v>
      </c>
      <c r="I2743" s="9">
        <v>4612</v>
      </c>
      <c r="J2743" s="20">
        <v>8</v>
      </c>
      <c r="K2743" s="20">
        <v>1132</v>
      </c>
      <c r="L2743" s="3" t="str">
        <f t="shared" si="87"/>
        <v>ΚΤΗΝΟΤΡΟΦΙΚΑ_ΦΥΤΑ_ΓΙΑ_ΖΩΟΤΡΟΦΕΣ</v>
      </c>
    </row>
    <row r="2744" spans="1:12" s="3" customFormat="1" ht="24" x14ac:dyDescent="0.25">
      <c r="A2744" s="3" t="str">
        <f t="shared" si="86"/>
        <v>ΚΤΗΝΟΤΡΟΦΙΚΑ ΦΥΤΑ ΓΙΑ ΖΩΟΤΡΟΦΕΣΒΙΚΟΣ EVINOS</v>
      </c>
      <c r="B2744" s="4" t="s">
        <v>5215</v>
      </c>
      <c r="C2744" s="5" t="s">
        <v>5220</v>
      </c>
      <c r="D2744" s="6">
        <v>1402.9</v>
      </c>
      <c r="E2744" s="6">
        <v>1418.93</v>
      </c>
      <c r="F2744" s="7" t="s">
        <v>14</v>
      </c>
      <c r="G2744" s="8" t="s">
        <v>5221</v>
      </c>
      <c r="H2744" s="8" t="s">
        <v>16</v>
      </c>
      <c r="I2744" s="9">
        <v>3812</v>
      </c>
      <c r="J2744" s="10">
        <v>8</v>
      </c>
      <c r="K2744" s="10">
        <v>1133</v>
      </c>
      <c r="L2744" s="3" t="str">
        <f t="shared" si="87"/>
        <v>ΚΤΗΝΟΤΡΟΦΙΚΑ_ΦΥΤΑ_ΓΙΑ_ΖΩΟΤΡΟΦΕΣ</v>
      </c>
    </row>
    <row r="2745" spans="1:12" s="3" customFormat="1" ht="24" x14ac:dyDescent="0.25">
      <c r="A2745" s="3" t="str">
        <f t="shared" si="86"/>
        <v>ΚΤΗΝΟΤΡΟΦΙΚΑ ΦΥΤΑ ΓΙΑ ΖΩΟΤΡΟΦΕΣΒΙΚΟΣ ZAFYROS</v>
      </c>
      <c r="B2745" s="4" t="s">
        <v>5215</v>
      </c>
      <c r="C2745" s="5" t="s">
        <v>5222</v>
      </c>
      <c r="D2745" s="6">
        <v>1402.9</v>
      </c>
      <c r="E2745" s="6">
        <v>1418.93</v>
      </c>
      <c r="F2745" s="7" t="s">
        <v>14</v>
      </c>
      <c r="G2745" s="8" t="s">
        <v>5223</v>
      </c>
      <c r="H2745" s="8" t="s">
        <v>16</v>
      </c>
      <c r="I2745" s="9">
        <v>3813</v>
      </c>
      <c r="J2745" s="10">
        <v>8</v>
      </c>
      <c r="K2745" s="10">
        <v>1134</v>
      </c>
      <c r="L2745" s="3" t="str">
        <f t="shared" si="87"/>
        <v>ΚΤΗΝΟΤΡΟΦΙΚΑ_ΦΥΤΑ_ΓΙΑ_ΖΩΟΤΡΟΦΕΣ</v>
      </c>
    </row>
    <row r="2746" spans="1:12" s="3" customFormat="1" ht="24" x14ac:dyDescent="0.25">
      <c r="A2746" s="3" t="str">
        <f t="shared" si="86"/>
        <v>ΚΤΗΝΟΤΡΟΦΙΚΑ ΦΥΤΑ ΓΙΑ ΖΩΟΤΡΟΦΕΣΒΙΚΟΣ ΜΙΝΩΣ (Β1-45)</v>
      </c>
      <c r="B2746" s="18" t="s">
        <v>5215</v>
      </c>
      <c r="C2746" s="19" t="s">
        <v>5224</v>
      </c>
      <c r="D2746" s="6">
        <v>1402.9</v>
      </c>
      <c r="E2746" s="6">
        <v>1418.93</v>
      </c>
      <c r="F2746" s="7" t="s">
        <v>14</v>
      </c>
      <c r="G2746" s="8" t="s">
        <v>5225</v>
      </c>
      <c r="H2746" s="8" t="s">
        <v>27</v>
      </c>
      <c r="I2746" s="9">
        <v>4613</v>
      </c>
      <c r="J2746" s="20">
        <v>8</v>
      </c>
      <c r="K2746" s="20">
        <v>1135</v>
      </c>
      <c r="L2746" s="3" t="str">
        <f t="shared" si="87"/>
        <v>ΚΤΗΝΟΤΡΟΦΙΚΑ_ΦΥΤΑ_ΓΙΑ_ΖΩΟΤΡΟΦΕΣ</v>
      </c>
    </row>
    <row r="2747" spans="1:12" s="3" customFormat="1" ht="24" x14ac:dyDescent="0.25">
      <c r="A2747" s="3" t="str">
        <f t="shared" si="86"/>
        <v>ΚΤΗΝΟΤΡΟΦΙΚΑ ΦΥΤΑ ΓΙΑ ΖΩΟΤΡΟΦΕΣΒΙΚΟΣ WARRIOR (M7-392)</v>
      </c>
      <c r="B2747" s="18" t="s">
        <v>5215</v>
      </c>
      <c r="C2747" s="19" t="s">
        <v>5226</v>
      </c>
      <c r="D2747" s="6">
        <v>1402.9</v>
      </c>
      <c r="E2747" s="6">
        <v>1418.93</v>
      </c>
      <c r="F2747" s="7" t="s">
        <v>14</v>
      </c>
      <c r="G2747" s="8" t="s">
        <v>5227</v>
      </c>
      <c r="H2747" s="8" t="s">
        <v>27</v>
      </c>
      <c r="I2747" s="9">
        <v>4614</v>
      </c>
      <c r="J2747" s="20">
        <v>8</v>
      </c>
      <c r="K2747" s="20">
        <v>1136</v>
      </c>
      <c r="L2747" s="3" t="str">
        <f t="shared" si="87"/>
        <v>ΚΤΗΝΟΤΡΟΦΙΚΑ_ΦΥΤΑ_ΓΙΑ_ΖΩΟΤΡΟΦΕΣ</v>
      </c>
    </row>
    <row r="2748" spans="1:12" s="3" customFormat="1" ht="24" x14ac:dyDescent="0.25">
      <c r="A2748" s="3" t="str">
        <f t="shared" si="86"/>
        <v>ΚΤΗΝΟΤΡΟΦΙΚΑ ΦΥΤΑ ΓΙΑ ΖΩΟΤΡΟΦΕΣΒΙΚΟΣ TEMPI</v>
      </c>
      <c r="B2748" s="4" t="s">
        <v>5215</v>
      </c>
      <c r="C2748" s="5" t="s">
        <v>5228</v>
      </c>
      <c r="D2748" s="6">
        <v>1402.9</v>
      </c>
      <c r="E2748" s="6">
        <v>1418.93</v>
      </c>
      <c r="F2748" s="7" t="s">
        <v>14</v>
      </c>
      <c r="G2748" s="8" t="s">
        <v>5229</v>
      </c>
      <c r="H2748" s="8" t="s">
        <v>16</v>
      </c>
      <c r="I2748" s="9">
        <v>3814</v>
      </c>
      <c r="J2748" s="10">
        <v>8</v>
      </c>
      <c r="K2748" s="10">
        <v>1137</v>
      </c>
      <c r="L2748" s="3" t="str">
        <f t="shared" si="87"/>
        <v>ΚΤΗΝΟΤΡΟΦΙΚΑ_ΦΥΤΑ_ΓΙΑ_ΖΩΟΤΡΟΦΕΣ</v>
      </c>
    </row>
    <row r="2749" spans="1:12" s="3" customFormat="1" ht="24" x14ac:dyDescent="0.25">
      <c r="A2749" s="3" t="str">
        <f t="shared" si="86"/>
        <v>ΚΤΗΝΟΤΡΟΦΙΚΑ ΦΥΤΑ ΓΙΑ ΖΩΟΤΡΟΦΕΣΒΙΚΟΣ ΛΟΙΠΕΣ ΠΟΙΚΙΛΙΕΣ</v>
      </c>
      <c r="B2749" s="4" t="s">
        <v>5215</v>
      </c>
      <c r="C2749" s="5" t="s">
        <v>5230</v>
      </c>
      <c r="D2749" s="6">
        <v>1402.9</v>
      </c>
      <c r="E2749" s="6">
        <v>1418.93</v>
      </c>
      <c r="F2749" s="7" t="s">
        <v>14</v>
      </c>
      <c r="G2749" s="8" t="s">
        <v>5231</v>
      </c>
      <c r="H2749" s="8" t="s">
        <v>16</v>
      </c>
      <c r="I2749" s="9">
        <v>3815</v>
      </c>
      <c r="J2749" s="10">
        <v>8</v>
      </c>
      <c r="K2749" s="10">
        <v>1138</v>
      </c>
      <c r="L2749" s="3" t="str">
        <f t="shared" si="87"/>
        <v>ΚΤΗΝΟΤΡΟΦΙΚΑ_ΦΥΤΑ_ΓΙΑ_ΖΩΟΤΡΟΦΕΣ</v>
      </c>
    </row>
    <row r="2750" spans="1:12" s="3" customFormat="1" ht="24" x14ac:dyDescent="0.25">
      <c r="A2750" s="3" t="str">
        <f t="shared" si="86"/>
        <v>ΚΤΗΝΟΤΡΟΦΙΚΑ ΦΥΤΑ ΓΙΑ ΖΩΟΤΡΟΦΕΣΡΟΒΗ ΕΓΧΩΡΙΕΣ ΠΟΙΚΙΛΙΕΣ</v>
      </c>
      <c r="B2750" s="18" t="s">
        <v>5215</v>
      </c>
      <c r="C2750" s="19" t="s">
        <v>5232</v>
      </c>
      <c r="D2750" s="6">
        <v>1402.9</v>
      </c>
      <c r="E2750" s="6">
        <v>1418.93</v>
      </c>
      <c r="F2750" s="7" t="s">
        <v>14</v>
      </c>
      <c r="G2750" s="8" t="s">
        <v>5233</v>
      </c>
      <c r="H2750" s="8" t="s">
        <v>27</v>
      </c>
      <c r="I2750" s="9">
        <v>4615</v>
      </c>
      <c r="J2750" s="20">
        <v>8</v>
      </c>
      <c r="K2750" s="20">
        <v>1141</v>
      </c>
      <c r="L2750" s="3" t="str">
        <f t="shared" si="87"/>
        <v>ΚΤΗΝΟΤΡΟΦΙΚΑ_ΦΥΤΑ_ΓΙΑ_ΖΩΟΤΡΟΦΕΣ</v>
      </c>
    </row>
    <row r="2751" spans="1:12" s="3" customFormat="1" ht="24" x14ac:dyDescent="0.25">
      <c r="A2751" s="3" t="str">
        <f t="shared" si="86"/>
        <v>ΚΤΗΝΟΤΡΟΦΙΚΑ ΦΥΤΑ ΓΙΑ ΖΩΟΤΡΟΦΕΣΡΟΒΗ ΛΟΙΠΕΣ ΠΟΙΚΙΛΙΕΣ</v>
      </c>
      <c r="B2751" s="18" t="s">
        <v>5215</v>
      </c>
      <c r="C2751" s="19" t="s">
        <v>5234</v>
      </c>
      <c r="D2751" s="6">
        <v>1402.9</v>
      </c>
      <c r="E2751" s="6">
        <v>1418.93</v>
      </c>
      <c r="F2751" s="7" t="s">
        <v>14</v>
      </c>
      <c r="G2751" s="8" t="s">
        <v>5235</v>
      </c>
      <c r="H2751" s="8" t="s">
        <v>27</v>
      </c>
      <c r="I2751" s="9">
        <v>4616</v>
      </c>
      <c r="J2751" s="20">
        <v>8</v>
      </c>
      <c r="K2751" s="20">
        <v>1142</v>
      </c>
      <c r="L2751" s="3" t="str">
        <f t="shared" si="87"/>
        <v>ΚΤΗΝΟΤΡΟΦΙΚΑ_ΦΥΤΑ_ΓΙΑ_ΖΩΟΤΡΟΦΕΣ</v>
      </c>
    </row>
    <row r="2752" spans="1:12" s="3" customFormat="1" ht="24" x14ac:dyDescent="0.25">
      <c r="A2752" s="3" t="str">
        <f t="shared" si="86"/>
        <v>ΚΤΗΝΟΤΡΟΦΙΚΑ ΦΥΤΑ ΓΙΑ ΖΩΟΤΡΟΦΕΣΒΙΚΟΣ ΧΛΩΡΗΣ ΛΙΠΑΝΣΗΣ</v>
      </c>
      <c r="B2752" s="4" t="s">
        <v>5215</v>
      </c>
      <c r="C2752" s="5" t="s">
        <v>5236</v>
      </c>
      <c r="D2752" s="6">
        <v>1402.9</v>
      </c>
      <c r="E2752" s="6">
        <v>1418.93</v>
      </c>
      <c r="F2752" s="7" t="s">
        <v>14</v>
      </c>
      <c r="G2752" s="8" t="s">
        <v>5237</v>
      </c>
      <c r="H2752" s="8" t="s">
        <v>16</v>
      </c>
      <c r="I2752" s="9">
        <v>3816</v>
      </c>
      <c r="J2752" s="10">
        <v>8</v>
      </c>
      <c r="K2752" s="10">
        <v>1143</v>
      </c>
      <c r="L2752" s="3" t="str">
        <f t="shared" si="87"/>
        <v>ΚΤΗΝΟΤΡΟΦΙΚΑ_ΦΥΤΑ_ΓΙΑ_ΖΩΟΤΡΟΦΕΣ</v>
      </c>
    </row>
    <row r="2753" spans="1:12" s="3" customFormat="1" ht="24" x14ac:dyDescent="0.25">
      <c r="A2753" s="3" t="str">
        <f t="shared" si="86"/>
        <v>ΚΤΗΝΟΤΡΟΦΙΚΑ ΦΥΤΑ ΓΙΑ ΖΩΟΤΡΟΦΕΣΡΟΒΗ ΚΡΗΤΗΣ</v>
      </c>
      <c r="B2753" s="4" t="s">
        <v>5215</v>
      </c>
      <c r="C2753" s="5" t="s">
        <v>5238</v>
      </c>
      <c r="D2753" s="6">
        <v>1402.9</v>
      </c>
      <c r="E2753" s="6">
        <v>1418.93</v>
      </c>
      <c r="F2753" s="7" t="s">
        <v>14</v>
      </c>
      <c r="G2753" s="8" t="s">
        <v>5239</v>
      </c>
      <c r="H2753" s="8" t="s">
        <v>16</v>
      </c>
      <c r="I2753" s="9">
        <v>3785</v>
      </c>
      <c r="J2753" s="10">
        <v>8</v>
      </c>
      <c r="K2753" s="10">
        <v>1152</v>
      </c>
      <c r="L2753" s="3" t="str">
        <f t="shared" si="87"/>
        <v>ΚΤΗΝΟΤΡΟΦΙΚΑ_ΦΥΤΑ_ΓΙΑ_ΖΩΟΤΡΟΦΕΣ</v>
      </c>
    </row>
    <row r="2754" spans="1:12" s="3" customFormat="1" ht="24" x14ac:dyDescent="0.25">
      <c r="A2754" s="3" t="str">
        <f t="shared" si="86"/>
        <v>ΚΤΗΝΟΤΡΟΦΙΚΑ ΦΥΤΑ ΓΙΑ ΖΩΟΤΡΟΦΕΣΡΟΒΗ ΓΡΕΒΕΝΩΝ</v>
      </c>
      <c r="B2754" s="4" t="s">
        <v>5215</v>
      </c>
      <c r="C2754" s="5" t="s">
        <v>5240</v>
      </c>
      <c r="D2754" s="6">
        <v>1402.9</v>
      </c>
      <c r="E2754" s="6">
        <v>1418.93</v>
      </c>
      <c r="F2754" s="7" t="s">
        <v>14</v>
      </c>
      <c r="G2754" s="8" t="s">
        <v>5241</v>
      </c>
      <c r="H2754" s="8" t="s">
        <v>16</v>
      </c>
      <c r="I2754" s="9">
        <v>3786</v>
      </c>
      <c r="J2754" s="10">
        <v>8</v>
      </c>
      <c r="K2754" s="10">
        <v>1153</v>
      </c>
      <c r="L2754" s="3" t="str">
        <f t="shared" si="87"/>
        <v>ΚΤΗΝΟΤΡΟΦΙΚΑ_ΦΥΤΑ_ΓΙΑ_ΖΩΟΤΡΟΦΕΣ</v>
      </c>
    </row>
    <row r="2755" spans="1:12" s="3" customFormat="1" ht="24" x14ac:dyDescent="0.25">
      <c r="A2755" s="3" t="str">
        <f t="shared" ref="A2755:A2818" si="88">_xlfn.CONCAT(B2755,C2755)</f>
        <v>ΚΤΗΝΟΤΡΟΦΙΚΑ ΦΥΤΑ ΓΙΑ ΖΩΟΤΡΟΦΕΣΡΟΒΗ ΙΟΝΙΩΝ</v>
      </c>
      <c r="B2755" s="4" t="s">
        <v>5215</v>
      </c>
      <c r="C2755" s="5" t="s">
        <v>5242</v>
      </c>
      <c r="D2755" s="6">
        <v>1402.9</v>
      </c>
      <c r="E2755" s="6">
        <v>1418.93</v>
      </c>
      <c r="F2755" s="7" t="s">
        <v>14</v>
      </c>
      <c r="G2755" s="8" t="s">
        <v>5243</v>
      </c>
      <c r="H2755" s="8" t="s">
        <v>16</v>
      </c>
      <c r="I2755" s="9">
        <v>3787</v>
      </c>
      <c r="J2755" s="10">
        <v>8</v>
      </c>
      <c r="K2755" s="10">
        <v>1154</v>
      </c>
      <c r="L2755" s="3" t="str">
        <f t="shared" ref="L2755:L2818" si="89">IFERROR(SUBSTITUTE(SUBSTITUTE(SUBSTITUTE(SUBSTITUTE(SUBSTITUTE(B2755, "-", "_"), " ", "_"), ",", ""), "(", ""), ")", ""), B2755)</f>
        <v>ΚΤΗΝΟΤΡΟΦΙΚΑ_ΦΥΤΑ_ΓΙΑ_ΖΩΟΤΡΟΦΕΣ</v>
      </c>
    </row>
    <row r="2756" spans="1:12" s="3" customFormat="1" ht="24" x14ac:dyDescent="0.25">
      <c r="A2756" s="3" t="str">
        <f t="shared" si="88"/>
        <v>ΚΤΗΝΟΤΡΟΦΙΚΑ ΦΥΤΑ ΓΙΑ ΖΩΟΤΡΟΦΕΣΠΕΡΚΟ</v>
      </c>
      <c r="B2756" s="4" t="s">
        <v>5215</v>
      </c>
      <c r="C2756" s="5" t="s">
        <v>5244</v>
      </c>
      <c r="D2756" s="6">
        <v>1008.29</v>
      </c>
      <c r="E2756" s="6">
        <v>1051.74</v>
      </c>
      <c r="F2756" s="7" t="s">
        <v>14</v>
      </c>
      <c r="G2756" s="8" t="s">
        <v>5245</v>
      </c>
      <c r="H2756" s="8" t="s">
        <v>16</v>
      </c>
      <c r="I2756" s="9">
        <v>3855</v>
      </c>
      <c r="J2756" s="10">
        <v>8</v>
      </c>
      <c r="K2756" s="10">
        <v>13001</v>
      </c>
      <c r="L2756" s="3" t="str">
        <f t="shared" si="89"/>
        <v>ΚΤΗΝΟΤΡΟΦΙΚΑ_ΦΥΤΑ_ΓΙΑ_ΖΩΟΤΡΟΦΕΣ</v>
      </c>
    </row>
    <row r="2757" spans="1:12" s="3" customFormat="1" ht="24" x14ac:dyDescent="0.25">
      <c r="A2757" s="3" t="str">
        <f t="shared" si="88"/>
        <v>ΚΤΗΝΟΤΡΟΦΙΚΑ ΦΥΤΑ ΓΙΑ ΖΩΟΤΡΟΦΕΣΣΜΙΓΟΣ ΚΑΡΠΟΣ</v>
      </c>
      <c r="B2757" s="4" t="s">
        <v>5215</v>
      </c>
      <c r="C2757" s="5" t="s">
        <v>5246</v>
      </c>
      <c r="D2757" s="6">
        <v>363.85</v>
      </c>
      <c r="E2757" s="6">
        <v>331.13</v>
      </c>
      <c r="F2757" s="7" t="s">
        <v>14</v>
      </c>
      <c r="G2757" s="8" t="s">
        <v>5247</v>
      </c>
      <c r="H2757" s="8" t="s">
        <v>16</v>
      </c>
      <c r="I2757" s="9">
        <v>3854</v>
      </c>
      <c r="J2757" s="10">
        <v>8</v>
      </c>
      <c r="K2757" s="10">
        <v>13002</v>
      </c>
      <c r="L2757" s="3" t="str">
        <f t="shared" si="89"/>
        <v>ΚΤΗΝΟΤΡΟΦΙΚΑ_ΦΥΤΑ_ΓΙΑ_ΖΩΟΤΡΟΦΕΣ</v>
      </c>
    </row>
    <row r="2758" spans="1:12" s="3" customFormat="1" ht="24" x14ac:dyDescent="0.25">
      <c r="A2758" s="3" t="str">
        <f t="shared" si="88"/>
        <v>ΚΤΗΝΟΤΡΟΦΙΚΑ ΦΥΤΑ ΓΙΑ ΖΩΟΤΡΟΦΕΣΣΙΚΑΛΗ ΔΙΑΦΟΡΕΣ</v>
      </c>
      <c r="B2758" s="4" t="s">
        <v>5215</v>
      </c>
      <c r="C2758" s="5" t="s">
        <v>5248</v>
      </c>
      <c r="D2758" s="6">
        <v>263.07</v>
      </c>
      <c r="E2758" s="6">
        <v>280.62</v>
      </c>
      <c r="F2758" s="7" t="s">
        <v>14</v>
      </c>
      <c r="G2758" s="8" t="s">
        <v>5249</v>
      </c>
      <c r="H2758" s="8" t="s">
        <v>16</v>
      </c>
      <c r="I2758" s="9">
        <v>4005</v>
      </c>
      <c r="J2758" s="10">
        <v>8</v>
      </c>
      <c r="K2758" s="10">
        <v>2000</v>
      </c>
      <c r="L2758" s="3" t="str">
        <f t="shared" si="89"/>
        <v>ΚΤΗΝΟΤΡΟΦΙΚΑ_ΦΥΤΑ_ΓΙΑ_ΖΩΟΤΡΟΦΕΣ</v>
      </c>
    </row>
    <row r="2759" spans="1:12" s="3" customFormat="1" ht="24" x14ac:dyDescent="0.25">
      <c r="A2759" s="3" t="str">
        <f t="shared" si="88"/>
        <v>ΚΤΗΝΟΤΡΟΦΙΚΑ ΦΥΤΑ ΓΙΑ ΖΩΟΤΡΟΦΕΣΚΡΙΘΑΡΙ MUCHO</v>
      </c>
      <c r="B2759" s="4" t="s">
        <v>5215</v>
      </c>
      <c r="C2759" s="5" t="s">
        <v>5250</v>
      </c>
      <c r="D2759" s="6">
        <v>466.58</v>
      </c>
      <c r="E2759" s="6">
        <v>366.77</v>
      </c>
      <c r="F2759" s="7" t="s">
        <v>14</v>
      </c>
      <c r="G2759" s="8" t="s">
        <v>5251</v>
      </c>
      <c r="H2759" s="8" t="s">
        <v>16</v>
      </c>
      <c r="I2759" s="9">
        <v>3843</v>
      </c>
      <c r="J2759" s="10">
        <v>8</v>
      </c>
      <c r="K2759" s="10">
        <v>20001</v>
      </c>
      <c r="L2759" s="3" t="str">
        <f t="shared" si="89"/>
        <v>ΚΤΗΝΟΤΡΟΦΙΚΑ_ΦΥΤΑ_ΓΙΑ_ΖΩΟΤΡΟΦΕΣ</v>
      </c>
    </row>
    <row r="2760" spans="1:12" s="3" customFormat="1" ht="24" x14ac:dyDescent="0.25">
      <c r="A2760" s="3" t="str">
        <f t="shared" si="88"/>
        <v>ΚΤΗΝΟΤΡΟΦΙΚΑ ΦΥΤΑ ΓΙΑ ΖΩΟΤΡΟΦΕΣΚΡΙΘΑΡΙ CHA CHA</v>
      </c>
      <c r="B2760" s="4" t="s">
        <v>5215</v>
      </c>
      <c r="C2760" s="5" t="s">
        <v>5252</v>
      </c>
      <c r="D2760" s="6">
        <v>466.58</v>
      </c>
      <c r="E2760" s="6">
        <v>366.77</v>
      </c>
      <c r="F2760" s="7" t="s">
        <v>14</v>
      </c>
      <c r="G2760" s="8" t="s">
        <v>5253</v>
      </c>
      <c r="H2760" s="8" t="s">
        <v>16</v>
      </c>
      <c r="I2760" s="9">
        <v>3841</v>
      </c>
      <c r="J2760" s="10">
        <v>8</v>
      </c>
      <c r="K2760" s="10">
        <v>20002</v>
      </c>
      <c r="L2760" s="3" t="str">
        <f t="shared" si="89"/>
        <v>ΚΤΗΝΟΤΡΟΦΙΚΑ_ΦΥΤΑ_ΓΙΑ_ΖΩΟΤΡΟΦΕΣ</v>
      </c>
    </row>
    <row r="2761" spans="1:12" s="3" customFormat="1" ht="24" x14ac:dyDescent="0.25">
      <c r="A2761" s="3" t="str">
        <f t="shared" si="88"/>
        <v>ΚΤΗΝΟΤΡΟΦΙΚΑ ΦΥΤΑ ΓΙΑ ΖΩΟΤΡΟΦΕΣΛΑΘΟΥΡΙ ΚΤΗΝΟΤΡΟΦΙΚΟ ARGOS</v>
      </c>
      <c r="B2761" s="4" t="s">
        <v>5215</v>
      </c>
      <c r="C2761" s="5" t="s">
        <v>5254</v>
      </c>
      <c r="D2761" s="6">
        <v>1402.9</v>
      </c>
      <c r="E2761" s="6">
        <v>1418.93</v>
      </c>
      <c r="F2761" s="7" t="s">
        <v>14</v>
      </c>
      <c r="G2761" s="8" t="s">
        <v>5255</v>
      </c>
      <c r="H2761" s="8" t="s">
        <v>16</v>
      </c>
      <c r="I2761" s="9">
        <v>3983</v>
      </c>
      <c r="J2761" s="10">
        <v>8</v>
      </c>
      <c r="K2761" s="10">
        <v>2203</v>
      </c>
      <c r="L2761" s="3" t="str">
        <f t="shared" si="89"/>
        <v>ΚΤΗΝΟΤΡΟΦΙΚΑ_ΦΥΤΑ_ΓΙΑ_ΖΩΟΤΡΟΦΕΣ</v>
      </c>
    </row>
    <row r="2762" spans="1:12" s="3" customFormat="1" ht="24" x14ac:dyDescent="0.25">
      <c r="A2762" s="3" t="str">
        <f t="shared" si="88"/>
        <v>ΚΤΗΝΟΤΡΟΦΙΚΑ ΦΥΤΑ ΓΙΑ ΖΩΟΤΡΟΦΕΣΚΕΧΡΙ ΔΙΑΦΟΡΕΣ</v>
      </c>
      <c r="B2762" s="4" t="s">
        <v>5215</v>
      </c>
      <c r="C2762" s="5" t="s">
        <v>5256</v>
      </c>
      <c r="D2762" s="6">
        <v>363.85</v>
      </c>
      <c r="E2762" s="6">
        <v>331.13</v>
      </c>
      <c r="F2762" s="7" t="s">
        <v>14</v>
      </c>
      <c r="G2762" s="8" t="s">
        <v>5257</v>
      </c>
      <c r="H2762" s="8" t="s">
        <v>16</v>
      </c>
      <c r="I2762" s="9">
        <v>4015</v>
      </c>
      <c r="J2762" s="10">
        <v>8</v>
      </c>
      <c r="K2762" s="10">
        <v>3000</v>
      </c>
      <c r="L2762" s="3" t="str">
        <f t="shared" si="89"/>
        <v>ΚΤΗΝΟΤΡΟΦΙΚΑ_ΦΥΤΑ_ΓΙΑ_ΖΩΟΤΡΟΦΕΣ</v>
      </c>
    </row>
    <row r="2763" spans="1:12" s="3" customFormat="1" ht="24" x14ac:dyDescent="0.25">
      <c r="A2763" s="3" t="str">
        <f t="shared" si="88"/>
        <v>ΚΤΗΝΟΤΡΟΦΙΚΑ ΦΥΤΑ ΓΙΑ ΖΩΟΤΡΟΦΕΣΚΕΧΡΙ ΔΙΑΦΟΡΕΣ</v>
      </c>
      <c r="B2763" s="4" t="s">
        <v>5215</v>
      </c>
      <c r="C2763" s="5" t="s">
        <v>5256</v>
      </c>
      <c r="D2763" s="6">
        <v>363.85</v>
      </c>
      <c r="E2763" s="6">
        <v>331.13</v>
      </c>
      <c r="F2763" s="7" t="s">
        <v>14</v>
      </c>
      <c r="G2763" s="8" t="s">
        <v>5258</v>
      </c>
      <c r="H2763" s="8" t="s">
        <v>16</v>
      </c>
      <c r="I2763" s="9">
        <v>4017</v>
      </c>
      <c r="J2763" s="10">
        <v>8</v>
      </c>
      <c r="K2763" s="10">
        <v>3099</v>
      </c>
      <c r="L2763" s="3" t="str">
        <f t="shared" si="89"/>
        <v>ΚΤΗΝΟΤΡΟΦΙΚΑ_ΦΥΤΑ_ΓΙΑ_ΖΩΟΤΡΟΦΕΣ</v>
      </c>
    </row>
    <row r="2764" spans="1:12" s="3" customFormat="1" ht="24" x14ac:dyDescent="0.25">
      <c r="A2764" s="3" t="str">
        <f t="shared" si="88"/>
        <v>ΚΤΗΝΟΤΡΟΦΙΚΑ ΦΥΤΑ ΓΙΑ ΖΩΟΤΡΟΦΕΣΦΑΓΟΠΥΡΟ ΔΙΑΦΟΡΕΣ</v>
      </c>
      <c r="B2764" s="4" t="s">
        <v>5215</v>
      </c>
      <c r="C2764" s="5" t="s">
        <v>5259</v>
      </c>
      <c r="D2764" s="6">
        <v>363.85</v>
      </c>
      <c r="E2764" s="6">
        <v>331.13</v>
      </c>
      <c r="F2764" s="7" t="s">
        <v>14</v>
      </c>
      <c r="G2764" s="8" t="s">
        <v>5260</v>
      </c>
      <c r="H2764" s="8" t="s">
        <v>16</v>
      </c>
      <c r="I2764" s="9">
        <v>4021</v>
      </c>
      <c r="J2764" s="10">
        <v>8</v>
      </c>
      <c r="K2764" s="10">
        <v>4000</v>
      </c>
      <c r="L2764" s="3" t="str">
        <f t="shared" si="89"/>
        <v>ΚΤΗΝΟΤΡΟΦΙΚΑ_ΦΥΤΑ_ΓΙΑ_ΖΩΟΤΡΟΦΕΣ</v>
      </c>
    </row>
    <row r="2765" spans="1:12" s="3" customFormat="1" ht="24" x14ac:dyDescent="0.25">
      <c r="A2765" s="3" t="str">
        <f t="shared" si="88"/>
        <v>ΚΤΗΝΟΤΡΟΦΙΚΑ ΦΥΤΑ ΓΙΑ ΖΩΟΤΡΟΦΕΣΦΑΓΟΠΥΡΟ/ΜΑΥΡΟΣΙΤΑΡΟ</v>
      </c>
      <c r="B2765" s="4" t="s">
        <v>5215</v>
      </c>
      <c r="C2765" s="5" t="s">
        <v>5261</v>
      </c>
      <c r="D2765" s="6">
        <v>363.85</v>
      </c>
      <c r="E2765" s="6">
        <v>331.13</v>
      </c>
      <c r="F2765" s="7" t="s">
        <v>14</v>
      </c>
      <c r="G2765" s="8" t="s">
        <v>5262</v>
      </c>
      <c r="H2765" s="8" t="s">
        <v>16</v>
      </c>
      <c r="I2765" s="9">
        <v>4023</v>
      </c>
      <c r="J2765" s="10">
        <v>8</v>
      </c>
      <c r="K2765" s="10">
        <v>4099</v>
      </c>
      <c r="L2765" s="3" t="str">
        <f t="shared" si="89"/>
        <v>ΚΤΗΝΟΤΡΟΦΙΚΑ_ΦΥΤΑ_ΓΙΑ_ΖΩΟΤΡΟΦΕΣ</v>
      </c>
    </row>
    <row r="2766" spans="1:12" s="3" customFormat="1" ht="24" x14ac:dyDescent="0.25">
      <c r="A2766" s="3" t="str">
        <f t="shared" si="88"/>
        <v>ΚΤΗΝΟΤΡΟΦΙΚΑ ΦΥΤΑ ΓΙΑ ΖΩΟΤΡΟΦΕΣΦΟΥΛΙΑ ΠΟΛΥΚΑΡΠΗ (Μ-9643)</v>
      </c>
      <c r="B2766" s="4" t="s">
        <v>5215</v>
      </c>
      <c r="C2766" s="5" t="s">
        <v>5263</v>
      </c>
      <c r="D2766" s="6">
        <v>1402.9</v>
      </c>
      <c r="E2766" s="6">
        <v>1418.93</v>
      </c>
      <c r="F2766" s="7" t="s">
        <v>14</v>
      </c>
      <c r="G2766" s="8" t="s">
        <v>5264</v>
      </c>
      <c r="H2766" s="8" t="s">
        <v>16</v>
      </c>
      <c r="I2766" s="9">
        <v>4038</v>
      </c>
      <c r="J2766" s="10">
        <v>8</v>
      </c>
      <c r="K2766" s="10">
        <v>6101</v>
      </c>
      <c r="L2766" s="3" t="str">
        <f t="shared" si="89"/>
        <v>ΚΤΗΝΟΤΡΟΦΙΚΑ_ΦΥΤΑ_ΓΙΑ_ΖΩΟΤΡΟΦΕΣ</v>
      </c>
    </row>
    <row r="2767" spans="1:12" s="3" customFormat="1" ht="24" x14ac:dyDescent="0.25">
      <c r="A2767" s="3" t="str">
        <f t="shared" si="88"/>
        <v>ΚΤΗΝΟΤΡΟΦΙΚΑ ΦΥΤΑ ΓΙΑ ΖΩΟΤΡΟΦΕΣΕΛΑΙΟΚΡΑΜΒΗ</v>
      </c>
      <c r="B2767" s="4" t="s">
        <v>5215</v>
      </c>
      <c r="C2767" s="5" t="s">
        <v>3517</v>
      </c>
      <c r="D2767" s="6">
        <v>1008.29</v>
      </c>
      <c r="E2767" s="6">
        <v>1051.74</v>
      </c>
      <c r="F2767" s="7" t="s">
        <v>14</v>
      </c>
      <c r="G2767" s="8" t="s">
        <v>5265</v>
      </c>
      <c r="H2767" s="8" t="s">
        <v>16</v>
      </c>
      <c r="I2767" s="9">
        <v>3963</v>
      </c>
      <c r="J2767" s="16">
        <v>8</v>
      </c>
      <c r="K2767" s="10">
        <v>6299</v>
      </c>
      <c r="L2767" s="3" t="str">
        <f t="shared" si="89"/>
        <v>ΚΤΗΝΟΤΡΟΦΙΚΑ_ΦΥΤΑ_ΓΙΑ_ΖΩΟΤΡΟΦΕΣ</v>
      </c>
    </row>
    <row r="2768" spans="1:12" s="3" customFormat="1" ht="24" x14ac:dyDescent="0.25">
      <c r="A2768" s="3" t="str">
        <f t="shared" si="88"/>
        <v>ΚΤΗΝΟΤΡΟΦΙΚΑ ΦΥΤΑ ΓΙΑ ΖΩΟΤΡΟΦΕΣΣΟΓΙΑ - ΚΑΡΠΟΣ ΓΙΑ ΖΩΟΤΡΟΦΕΣ</v>
      </c>
      <c r="B2768" s="4" t="s">
        <v>5215</v>
      </c>
      <c r="C2768" s="5" t="s">
        <v>5266</v>
      </c>
      <c r="D2768" s="6">
        <v>1336.72</v>
      </c>
      <c r="E2768" s="6">
        <v>1613.72</v>
      </c>
      <c r="F2768" s="7" t="s">
        <v>14</v>
      </c>
      <c r="G2768" s="8" t="s">
        <v>5267</v>
      </c>
      <c r="H2768" s="8" t="s">
        <v>16</v>
      </c>
      <c r="I2768" s="9">
        <v>3925</v>
      </c>
      <c r="J2768" s="10">
        <v>8</v>
      </c>
      <c r="K2768" s="10">
        <v>6405</v>
      </c>
      <c r="L2768" s="3" t="str">
        <f t="shared" si="89"/>
        <v>ΚΤΗΝΟΤΡΟΦΙΚΑ_ΦΥΤΑ_ΓΙΑ_ΖΩΟΤΡΟΦΕΣ</v>
      </c>
    </row>
    <row r="2769" spans="1:12" s="3" customFormat="1" ht="24" x14ac:dyDescent="0.25">
      <c r="A2769" s="3" t="str">
        <f t="shared" si="88"/>
        <v>ΚΤΗΝΟΤΡΟΦΙΚΑ ΦΥΤΑ ΓΙΑ ΖΩΟΤΡΟΦΕΣΚΟΥΚΙ ΚΤΗΝΟΤΡΟΦΙΚΟ TANAGRA</v>
      </c>
      <c r="B2769" s="4" t="s">
        <v>5215</v>
      </c>
      <c r="C2769" s="5" t="s">
        <v>5268</v>
      </c>
      <c r="D2769" s="6">
        <v>1402.9</v>
      </c>
      <c r="E2769" s="6">
        <v>1418.93</v>
      </c>
      <c r="F2769" s="7" t="s">
        <v>14</v>
      </c>
      <c r="G2769" s="8" t="s">
        <v>5269</v>
      </c>
      <c r="H2769" s="8" t="s">
        <v>16</v>
      </c>
      <c r="I2769" s="9">
        <v>3903</v>
      </c>
      <c r="J2769" s="10">
        <v>8</v>
      </c>
      <c r="K2769" s="10">
        <v>6602</v>
      </c>
      <c r="L2769" s="3" t="str">
        <f t="shared" si="89"/>
        <v>ΚΤΗΝΟΤΡΟΦΙΚΑ_ΦΥΤΑ_ΓΙΑ_ΖΩΟΤΡΟΦΕΣ</v>
      </c>
    </row>
    <row r="2770" spans="1:12" s="3" customFormat="1" ht="24" x14ac:dyDescent="0.25">
      <c r="A2770" s="3" t="str">
        <f t="shared" si="88"/>
        <v>ΚΤΗΝΟΤΡΟΦΙΚΑ ΦΥΤΑ ΓΙΑ ΖΩΟΤΡΟΦΕΣΜΠΙΖΕΛΙΑ ΞΕΡΑ (ΠΙΣΣΑ) ΒΕΡΜΙΟ (Μ-8772)</v>
      </c>
      <c r="B2770" s="18" t="s">
        <v>5215</v>
      </c>
      <c r="C2770" s="19" t="s">
        <v>5270</v>
      </c>
      <c r="D2770" s="6">
        <v>1402.9</v>
      </c>
      <c r="E2770" s="6">
        <v>1418.93</v>
      </c>
      <c r="F2770" s="7" t="s">
        <v>14</v>
      </c>
      <c r="G2770" s="8" t="s">
        <v>5271</v>
      </c>
      <c r="H2770" s="8" t="s">
        <v>27</v>
      </c>
      <c r="I2770" s="9">
        <v>4617</v>
      </c>
      <c r="J2770" s="20">
        <v>8</v>
      </c>
      <c r="K2770" s="20">
        <v>6701</v>
      </c>
      <c r="L2770" s="3" t="str">
        <f t="shared" si="89"/>
        <v>ΚΤΗΝΟΤΡΟΦΙΚΑ_ΦΥΤΑ_ΓΙΑ_ΖΩΟΤΡΟΦΕΣ</v>
      </c>
    </row>
    <row r="2771" spans="1:12" s="3" customFormat="1" ht="24" x14ac:dyDescent="0.25">
      <c r="A2771" s="3" t="str">
        <f t="shared" si="88"/>
        <v>ΚΤΗΝΟΤΡΟΦΙΚΑ ΦΥΤΑ ΓΙΑ ΖΩΟΤΡΟΦΕΣΜΠΙΖΕΛΙ / ΠΙΣΟ ΚΤΗΝΟΤΡΟΦΙΚΟ DODONI</v>
      </c>
      <c r="B2771" s="4" t="s">
        <v>5215</v>
      </c>
      <c r="C2771" s="5" t="s">
        <v>5272</v>
      </c>
      <c r="D2771" s="6">
        <v>1402.9</v>
      </c>
      <c r="E2771" s="6">
        <v>1418.93</v>
      </c>
      <c r="F2771" s="7" t="s">
        <v>14</v>
      </c>
      <c r="G2771" s="8" t="s">
        <v>5273</v>
      </c>
      <c r="H2771" s="8" t="s">
        <v>16</v>
      </c>
      <c r="I2771" s="9">
        <v>3904</v>
      </c>
      <c r="J2771" s="10">
        <v>8</v>
      </c>
      <c r="K2771" s="10">
        <v>6702</v>
      </c>
      <c r="L2771" s="3" t="str">
        <f t="shared" si="89"/>
        <v>ΚΤΗΝΟΤΡΟΦΙΚΑ_ΦΥΤΑ_ΓΙΑ_ΖΩΟΤΡΟΦΕΣ</v>
      </c>
    </row>
    <row r="2772" spans="1:12" s="3" customFormat="1" ht="24" x14ac:dyDescent="0.25">
      <c r="A2772" s="3" t="str">
        <f t="shared" si="88"/>
        <v>ΚΤΗΝΟΤΡΟΦΙΚΑ ΦΥΤΑ ΓΙΑ ΖΩΟΤΡΟΦΕΣΜΠΙΖΕΛΙΑ ΞΕΡΑ (ΠΙΣΣΑ) ΙΘΩΜΗ (Μ-9771)</v>
      </c>
      <c r="B2772" s="18" t="s">
        <v>5215</v>
      </c>
      <c r="C2772" s="19" t="s">
        <v>5274</v>
      </c>
      <c r="D2772" s="6">
        <v>1402.9</v>
      </c>
      <c r="E2772" s="6">
        <v>1418.93</v>
      </c>
      <c r="F2772" s="7" t="s">
        <v>14</v>
      </c>
      <c r="G2772" s="8" t="s">
        <v>5275</v>
      </c>
      <c r="H2772" s="8" t="s">
        <v>27</v>
      </c>
      <c r="I2772" s="9">
        <v>4618</v>
      </c>
      <c r="J2772" s="20">
        <v>8</v>
      </c>
      <c r="K2772" s="20">
        <v>6703</v>
      </c>
      <c r="L2772" s="3" t="str">
        <f t="shared" si="89"/>
        <v>ΚΤΗΝΟΤΡΟΦΙΚΑ_ΦΥΤΑ_ΓΙΑ_ΖΩΟΤΡΟΦΕΣ</v>
      </c>
    </row>
    <row r="2773" spans="1:12" s="3" customFormat="1" ht="24" x14ac:dyDescent="0.25">
      <c r="A2773" s="3" t="str">
        <f t="shared" si="88"/>
        <v>ΚΤΗΝΟΤΡΟΦΙΚΑ ΦΥΤΑ ΓΙΑ ΖΩΟΤΡΟΦΕΣΜΠΙΖΕΛΙΑ ΞΕΡΑ (ΠΙΣΣΑ) ΚΑΡΠΑΘΟΣ (Κ-251)</v>
      </c>
      <c r="B2773" s="18" t="s">
        <v>5215</v>
      </c>
      <c r="C2773" s="19" t="s">
        <v>5276</v>
      </c>
      <c r="D2773" s="6">
        <v>1402.9</v>
      </c>
      <c r="E2773" s="6">
        <v>1418.93</v>
      </c>
      <c r="F2773" s="7" t="s">
        <v>14</v>
      </c>
      <c r="G2773" s="8" t="s">
        <v>5277</v>
      </c>
      <c r="H2773" s="8" t="s">
        <v>27</v>
      </c>
      <c r="I2773" s="9">
        <v>4619</v>
      </c>
      <c r="J2773" s="20">
        <v>8</v>
      </c>
      <c r="K2773" s="20">
        <v>6704</v>
      </c>
      <c r="L2773" s="3" t="str">
        <f t="shared" si="89"/>
        <v>ΚΤΗΝΟΤΡΟΦΙΚΑ_ΦΥΤΑ_ΓΙΑ_ΖΩΟΤΡΟΦΕΣ</v>
      </c>
    </row>
    <row r="2774" spans="1:12" s="3" customFormat="1" ht="24" x14ac:dyDescent="0.25">
      <c r="A2774" s="3" t="str">
        <f t="shared" si="88"/>
        <v>ΚΤΗΝΟΤΡΟΦΙΚΑ ΦΥΤΑ ΓΙΑ ΖΩΟΤΡΟΦΕΣΜΠΙΖΕΛΙ / ΠΙΣΟ ΚΤΗΝΟΤΡΟΦΙΚΟ OLYMPOS</v>
      </c>
      <c r="B2774" s="4" t="s">
        <v>5215</v>
      </c>
      <c r="C2774" s="5" t="s">
        <v>5278</v>
      </c>
      <c r="D2774" s="6">
        <v>1402.9</v>
      </c>
      <c r="E2774" s="6">
        <v>1418.93</v>
      </c>
      <c r="F2774" s="7" t="s">
        <v>14</v>
      </c>
      <c r="G2774" s="8" t="s">
        <v>5279</v>
      </c>
      <c r="H2774" s="8" t="s">
        <v>16</v>
      </c>
      <c r="I2774" s="9">
        <v>3905</v>
      </c>
      <c r="J2774" s="10">
        <v>8</v>
      </c>
      <c r="K2774" s="10">
        <v>6705</v>
      </c>
      <c r="L2774" s="3" t="str">
        <f t="shared" si="89"/>
        <v>ΚΤΗΝΟΤΡΟΦΙΚΑ_ΦΥΤΑ_ΓΙΑ_ΖΩΟΤΡΟΦΕΣ</v>
      </c>
    </row>
    <row r="2775" spans="1:12" s="3" customFormat="1" ht="24" x14ac:dyDescent="0.25">
      <c r="A2775" s="3" t="str">
        <f t="shared" si="88"/>
        <v>ΚΤΗΝΟΤΡΟΦΙΚΑ ΦΥΤΑ ΓΙΑ ΖΩΟΤΡΟΦΕΣΒΡΩΜΗ ΔΙΑΦΟΡΑ</v>
      </c>
      <c r="B2775" s="4" t="s">
        <v>5215</v>
      </c>
      <c r="C2775" s="5" t="s">
        <v>5280</v>
      </c>
      <c r="D2775" s="6">
        <v>222.49</v>
      </c>
      <c r="E2775" s="6">
        <v>273.27</v>
      </c>
      <c r="F2775" s="7" t="s">
        <v>14</v>
      </c>
      <c r="G2775" s="8" t="s">
        <v>5281</v>
      </c>
      <c r="H2775" s="8" t="s">
        <v>16</v>
      </c>
      <c r="I2775" s="9">
        <v>3917</v>
      </c>
      <c r="J2775" s="10">
        <v>8</v>
      </c>
      <c r="K2775" s="10">
        <v>6800</v>
      </c>
      <c r="L2775" s="3" t="str">
        <f t="shared" si="89"/>
        <v>ΚΤΗΝΟΤΡΟΦΙΚΑ_ΦΥΤΑ_ΓΙΑ_ΖΩΟΤΡΟΦΕΣ</v>
      </c>
    </row>
    <row r="2776" spans="1:12" s="3" customFormat="1" ht="24" x14ac:dyDescent="0.25">
      <c r="A2776" s="3" t="str">
        <f t="shared" si="88"/>
        <v>ΚΤΗΝΟΤΡΟΦΙΚΑ ΦΥΤΑ ΓΙΑ ΖΩΟΤΡΟΦΕΣΒΡΩΜΗ ΒΕΡΜΙΟ</v>
      </c>
      <c r="B2776" s="4" t="s">
        <v>5215</v>
      </c>
      <c r="C2776" s="5" t="s">
        <v>5282</v>
      </c>
      <c r="D2776" s="6">
        <v>222.49</v>
      </c>
      <c r="E2776" s="6">
        <v>273.27</v>
      </c>
      <c r="F2776" s="7" t="s">
        <v>14</v>
      </c>
      <c r="G2776" s="8" t="s">
        <v>5283</v>
      </c>
      <c r="H2776" s="8" t="s">
        <v>16</v>
      </c>
      <c r="I2776" s="9">
        <v>3900</v>
      </c>
      <c r="J2776" s="10">
        <v>8</v>
      </c>
      <c r="K2776" s="10">
        <v>6801</v>
      </c>
      <c r="L2776" s="3" t="str">
        <f t="shared" si="89"/>
        <v>ΚΤΗΝΟΤΡΟΦΙΚΑ_ΦΥΤΑ_ΓΙΑ_ΖΩΟΤΡΟΦΕΣ</v>
      </c>
    </row>
    <row r="2777" spans="1:12" s="3" customFormat="1" ht="24" x14ac:dyDescent="0.25">
      <c r="A2777" s="3" t="str">
        <f t="shared" si="88"/>
        <v>ΚΤΗΝΟΤΡΟΦΙΚΑ ΦΥΤΑ ΓΙΑ ΖΩΟΤΡΟΦΕΣΒΡΩΜΗ ΚΑΣΑΝΔΡΑ</v>
      </c>
      <c r="B2777" s="4" t="s">
        <v>5215</v>
      </c>
      <c r="C2777" s="5" t="s">
        <v>5284</v>
      </c>
      <c r="D2777" s="6">
        <v>222.49</v>
      </c>
      <c r="E2777" s="6">
        <v>273.27</v>
      </c>
      <c r="F2777" s="7" t="s">
        <v>14</v>
      </c>
      <c r="G2777" s="8" t="s">
        <v>5285</v>
      </c>
      <c r="H2777" s="8" t="s">
        <v>16</v>
      </c>
      <c r="I2777" s="9">
        <v>3911</v>
      </c>
      <c r="J2777" s="10">
        <v>8</v>
      </c>
      <c r="K2777" s="10">
        <v>6802</v>
      </c>
      <c r="L2777" s="3" t="str">
        <f t="shared" si="89"/>
        <v>ΚΤΗΝΟΤΡΟΦΙΚΑ_ΦΥΤΑ_ΓΙΑ_ΖΩΟΤΡΟΦΕΣ</v>
      </c>
    </row>
    <row r="2778" spans="1:12" s="3" customFormat="1" ht="24" x14ac:dyDescent="0.25">
      <c r="A2778" s="3" t="str">
        <f t="shared" si="88"/>
        <v>ΚΤΗΝΟΤΡΟΦΙΚΑ ΦΥΤΑ ΓΙΑ ΖΩΟΤΡΟΦΕΣΚΡΙΘΑΡΙ ΔΙΑΦΟΡΑ</v>
      </c>
      <c r="B2778" s="4" t="s">
        <v>5215</v>
      </c>
      <c r="C2778" s="5" t="s">
        <v>5286</v>
      </c>
      <c r="D2778" s="6">
        <v>466.58</v>
      </c>
      <c r="E2778" s="6">
        <v>366.77</v>
      </c>
      <c r="F2778" s="7" t="s">
        <v>14</v>
      </c>
      <c r="G2778" s="8" t="s">
        <v>5287</v>
      </c>
      <c r="H2778" s="8" t="s">
        <v>16</v>
      </c>
      <c r="I2778" s="9">
        <v>3913</v>
      </c>
      <c r="J2778" s="10">
        <v>8</v>
      </c>
      <c r="K2778" s="10">
        <v>6900</v>
      </c>
      <c r="L2778" s="3" t="str">
        <f t="shared" si="89"/>
        <v>ΚΤΗΝΟΤΡΟΦΙΚΑ_ΦΥΤΑ_ΓΙΑ_ΖΩΟΤΡΟΦΕΣ</v>
      </c>
    </row>
    <row r="2779" spans="1:12" s="3" customFormat="1" ht="24" x14ac:dyDescent="0.25">
      <c r="A2779" s="3" t="str">
        <f t="shared" si="88"/>
        <v>ΚΤΗΝΟΤΡΟΦΙΚΑ ΦΥΤΑ ΓΙΑ ΖΩΟΤΡΟΦΕΣΚΡΙΘΑΡΙ AURA</v>
      </c>
      <c r="B2779" s="4" t="s">
        <v>5215</v>
      </c>
      <c r="C2779" s="5" t="s">
        <v>5288</v>
      </c>
      <c r="D2779" s="6">
        <v>466.58</v>
      </c>
      <c r="E2779" s="6">
        <v>366.77</v>
      </c>
      <c r="F2779" s="7" t="s">
        <v>14</v>
      </c>
      <c r="G2779" s="8" t="s">
        <v>5289</v>
      </c>
      <c r="H2779" s="8" t="s">
        <v>16</v>
      </c>
      <c r="I2779" s="9">
        <v>3915</v>
      </c>
      <c r="J2779" s="10">
        <v>8</v>
      </c>
      <c r="K2779" s="10">
        <v>6901</v>
      </c>
      <c r="L2779" s="3" t="str">
        <f t="shared" si="89"/>
        <v>ΚΤΗΝΟΤΡΟΦΙΚΑ_ΦΥΤΑ_ΓΙΑ_ΖΩΟΤΡΟΦΕΣ</v>
      </c>
    </row>
    <row r="2780" spans="1:12" s="3" customFormat="1" ht="24" x14ac:dyDescent="0.25">
      <c r="A2780" s="3" t="str">
        <f t="shared" si="88"/>
        <v>ΚΤΗΝΟΤΡΟΦΙΚΑ ΦΥΤΑ ΓΙΑ ΖΩΟΤΡΟΦΕΣΚΡΙΘΑΡΙ BANDULLA</v>
      </c>
      <c r="B2780" s="4" t="s">
        <v>5215</v>
      </c>
      <c r="C2780" s="5" t="s">
        <v>5290</v>
      </c>
      <c r="D2780" s="6">
        <v>466.58</v>
      </c>
      <c r="E2780" s="6">
        <v>366.77</v>
      </c>
      <c r="F2780" s="7" t="s">
        <v>14</v>
      </c>
      <c r="G2780" s="8" t="s">
        <v>5291</v>
      </c>
      <c r="H2780" s="8" t="s">
        <v>16</v>
      </c>
      <c r="I2780" s="9">
        <v>3901</v>
      </c>
      <c r="J2780" s="10">
        <v>8</v>
      </c>
      <c r="K2780" s="10">
        <v>6902</v>
      </c>
      <c r="L2780" s="3" t="str">
        <f t="shared" si="89"/>
        <v>ΚΤΗΝΟΤΡΟΦΙΚΑ_ΦΥΤΑ_ΓΙΑ_ΖΩΟΤΡΟΦΕΣ</v>
      </c>
    </row>
    <row r="2781" spans="1:12" s="3" customFormat="1" ht="24" x14ac:dyDescent="0.25">
      <c r="A2781" s="3" t="str">
        <f t="shared" si="88"/>
        <v>ΚΤΗΝΟΤΡΟΦΙΚΑ ΦΥΤΑ ΓΙΑ ΖΩΟΤΡΟΦΕΣΚΡΙΘΑΡΙ CARINA</v>
      </c>
      <c r="B2781" s="4" t="s">
        <v>5215</v>
      </c>
      <c r="C2781" s="5" t="s">
        <v>5292</v>
      </c>
      <c r="D2781" s="6">
        <v>466.58</v>
      </c>
      <c r="E2781" s="6">
        <v>366.77</v>
      </c>
      <c r="F2781" s="7" t="s">
        <v>14</v>
      </c>
      <c r="G2781" s="8" t="s">
        <v>5293</v>
      </c>
      <c r="H2781" s="8" t="s">
        <v>16</v>
      </c>
      <c r="I2781" s="9">
        <v>3955</v>
      </c>
      <c r="J2781" s="10">
        <v>8</v>
      </c>
      <c r="K2781" s="10">
        <v>6903</v>
      </c>
      <c r="L2781" s="3" t="str">
        <f t="shared" si="89"/>
        <v>ΚΤΗΝΟΤΡΟΦΙΚΑ_ΦΥΤΑ_ΓΙΑ_ΖΩΟΤΡΟΦΕΣ</v>
      </c>
    </row>
    <row r="2782" spans="1:12" s="3" customFormat="1" ht="24" x14ac:dyDescent="0.25">
      <c r="A2782" s="3" t="str">
        <f t="shared" si="88"/>
        <v>ΚΤΗΝΟΤΡΟΦΙΚΑ ΦΥΤΑ ΓΙΑ ΖΩΟΤΡΟΦΕΣΚΡΙΘΑΡΙ CERISE</v>
      </c>
      <c r="B2782" s="4" t="s">
        <v>5215</v>
      </c>
      <c r="C2782" s="5" t="s">
        <v>5294</v>
      </c>
      <c r="D2782" s="6">
        <v>466.58</v>
      </c>
      <c r="E2782" s="6">
        <v>366.77</v>
      </c>
      <c r="F2782" s="7" t="s">
        <v>14</v>
      </c>
      <c r="G2782" s="8" t="s">
        <v>5295</v>
      </c>
      <c r="H2782" s="8" t="s">
        <v>16</v>
      </c>
      <c r="I2782" s="9">
        <v>3957</v>
      </c>
      <c r="J2782" s="10">
        <v>8</v>
      </c>
      <c r="K2782" s="10">
        <v>6904</v>
      </c>
      <c r="L2782" s="3" t="str">
        <f t="shared" si="89"/>
        <v>ΚΤΗΝΟΤΡΟΦΙΚΑ_ΦΥΤΑ_ΓΙΑ_ΖΩΟΤΡΟΦΕΣ</v>
      </c>
    </row>
    <row r="2783" spans="1:12" s="3" customFormat="1" ht="24" x14ac:dyDescent="0.25">
      <c r="A2783" s="3" t="str">
        <f t="shared" si="88"/>
        <v>ΚΤΗΝΟΤΡΟΦΙΚΑ ΦΥΤΑ ΓΙΑ ΖΩΟΤΡΟΦΕΣΚΡΙΘΑΡΙ CORNEL</v>
      </c>
      <c r="B2783" s="4" t="s">
        <v>5215</v>
      </c>
      <c r="C2783" s="5" t="s">
        <v>5296</v>
      </c>
      <c r="D2783" s="6">
        <v>466.58</v>
      </c>
      <c r="E2783" s="6">
        <v>366.77</v>
      </c>
      <c r="F2783" s="7" t="s">
        <v>14</v>
      </c>
      <c r="G2783" s="8" t="s">
        <v>5297</v>
      </c>
      <c r="H2783" s="8" t="s">
        <v>16</v>
      </c>
      <c r="I2783" s="9">
        <v>3959</v>
      </c>
      <c r="J2783" s="10">
        <v>8</v>
      </c>
      <c r="K2783" s="10">
        <v>6905</v>
      </c>
      <c r="L2783" s="3" t="str">
        <f t="shared" si="89"/>
        <v>ΚΤΗΝΟΤΡΟΦΙΚΑ_ΦΥΤΑ_ΓΙΑ_ΖΩΟΤΡΟΦΕΣ</v>
      </c>
    </row>
    <row r="2784" spans="1:12" s="3" customFormat="1" ht="24" x14ac:dyDescent="0.25">
      <c r="A2784" s="3" t="str">
        <f t="shared" si="88"/>
        <v>ΚΤΗΝΟΤΡΟΦΙΚΑ ΦΥΤΑ ΓΙΑ ΖΩΟΤΡΟΦΕΣΚΡΙΘΑΡΙ ΓΡΑΜΜΟΣ</v>
      </c>
      <c r="B2784" s="4" t="s">
        <v>5215</v>
      </c>
      <c r="C2784" s="5" t="s">
        <v>5298</v>
      </c>
      <c r="D2784" s="6">
        <v>466.58</v>
      </c>
      <c r="E2784" s="6">
        <v>366.77</v>
      </c>
      <c r="F2784" s="7" t="s">
        <v>14</v>
      </c>
      <c r="G2784" s="8" t="s">
        <v>5299</v>
      </c>
      <c r="H2784" s="8" t="s">
        <v>16</v>
      </c>
      <c r="I2784" s="9">
        <v>3971</v>
      </c>
      <c r="J2784" s="10">
        <v>8</v>
      </c>
      <c r="K2784" s="10">
        <v>6906</v>
      </c>
      <c r="L2784" s="3" t="str">
        <f t="shared" si="89"/>
        <v>ΚΤΗΝΟΤΡΟΦΙΚΑ_ΦΥΤΑ_ΓΙΑ_ΖΩΟΤΡΟΦΕΣ</v>
      </c>
    </row>
    <row r="2785" spans="1:12" s="3" customFormat="1" ht="24" x14ac:dyDescent="0.25">
      <c r="A2785" s="3" t="str">
        <f t="shared" si="88"/>
        <v>ΚΤΗΝΟΤΡΟΦΙΚΑ ΦΥΤΑ ΓΙΑ ΖΩΟΤΡΟΦΕΣΚΡΙΘΑΡΙ DELTA</v>
      </c>
      <c r="B2785" s="4" t="s">
        <v>5215</v>
      </c>
      <c r="C2785" s="5" t="s">
        <v>5300</v>
      </c>
      <c r="D2785" s="6">
        <v>466.58</v>
      </c>
      <c r="E2785" s="6">
        <v>366.77</v>
      </c>
      <c r="F2785" s="7" t="s">
        <v>14</v>
      </c>
      <c r="G2785" s="8" t="s">
        <v>5301</v>
      </c>
      <c r="H2785" s="8" t="s">
        <v>16</v>
      </c>
      <c r="I2785" s="9">
        <v>3954</v>
      </c>
      <c r="J2785" s="10">
        <v>8</v>
      </c>
      <c r="K2785" s="10">
        <v>6907</v>
      </c>
      <c r="L2785" s="3" t="str">
        <f t="shared" si="89"/>
        <v>ΚΤΗΝΟΤΡΟΦΙΚΑ_ΦΥΤΑ_ΓΙΑ_ΖΩΟΤΡΟΦΕΣ</v>
      </c>
    </row>
    <row r="2786" spans="1:12" s="3" customFormat="1" ht="24" x14ac:dyDescent="0.25">
      <c r="A2786" s="3" t="str">
        <f t="shared" si="88"/>
        <v>ΚΤΗΝΟΤΡΟΦΙΚΑ ΦΥΤΑ ΓΙΑ ΖΩΟΤΡΟΦΕΣΚΡΙΘΑΡΙ GEORGE</v>
      </c>
      <c r="B2786" s="4" t="s">
        <v>5215</v>
      </c>
      <c r="C2786" s="5" t="s">
        <v>5302</v>
      </c>
      <c r="D2786" s="6">
        <v>466.58</v>
      </c>
      <c r="E2786" s="6">
        <v>366.77</v>
      </c>
      <c r="F2786" s="7" t="s">
        <v>14</v>
      </c>
      <c r="G2786" s="8" t="s">
        <v>5303</v>
      </c>
      <c r="H2786" s="8" t="s">
        <v>16</v>
      </c>
      <c r="I2786" s="9">
        <v>3965</v>
      </c>
      <c r="J2786" s="10">
        <v>8</v>
      </c>
      <c r="K2786" s="10">
        <v>6908</v>
      </c>
      <c r="L2786" s="3" t="str">
        <f t="shared" si="89"/>
        <v>ΚΤΗΝΟΤΡΟΦΙΚΑ_ΦΥΤΑ_ΓΙΑ_ΖΩΟΤΡΟΦΕΣ</v>
      </c>
    </row>
    <row r="2787" spans="1:12" s="3" customFormat="1" ht="24" x14ac:dyDescent="0.25">
      <c r="A2787" s="3" t="str">
        <f t="shared" si="88"/>
        <v>ΚΤΗΝΟΤΡΟΦΙΚΑ ΦΥΤΑ ΓΙΑ ΖΩΟΤΡΟΦΕΣΚΡΙΘΑΡΙ GRIT</v>
      </c>
      <c r="B2787" s="4" t="s">
        <v>5215</v>
      </c>
      <c r="C2787" s="5" t="s">
        <v>5304</v>
      </c>
      <c r="D2787" s="6">
        <v>466.58</v>
      </c>
      <c r="E2787" s="6">
        <v>366.77</v>
      </c>
      <c r="F2787" s="7" t="s">
        <v>14</v>
      </c>
      <c r="G2787" s="8" t="s">
        <v>5305</v>
      </c>
      <c r="H2787" s="8" t="s">
        <v>16</v>
      </c>
      <c r="I2787" s="9">
        <v>3967</v>
      </c>
      <c r="J2787" s="10">
        <v>8</v>
      </c>
      <c r="K2787" s="10">
        <v>6909</v>
      </c>
      <c r="L2787" s="3" t="str">
        <f t="shared" si="89"/>
        <v>ΚΤΗΝΟΤΡΟΦΙΚΑ_ΦΥΤΑ_ΓΙΑ_ΖΩΟΤΡΟΦΕΣ</v>
      </c>
    </row>
    <row r="2788" spans="1:12" s="3" customFormat="1" ht="24" x14ac:dyDescent="0.25">
      <c r="A2788" s="3" t="str">
        <f t="shared" si="88"/>
        <v>ΚΤΗΝΟΤΡΟΦΙΚΑ ΦΥΤΑ ΓΙΑ ΖΩΟΤΡΟΦΕΣΚΡΙΘΑΡΙ HARRY</v>
      </c>
      <c r="B2788" s="4" t="s">
        <v>5215</v>
      </c>
      <c r="C2788" s="5" t="s">
        <v>5306</v>
      </c>
      <c r="D2788" s="6">
        <v>466.58</v>
      </c>
      <c r="E2788" s="6">
        <v>366.77</v>
      </c>
      <c r="F2788" s="7" t="s">
        <v>14</v>
      </c>
      <c r="G2788" s="8" t="s">
        <v>5307</v>
      </c>
      <c r="H2788" s="8" t="s">
        <v>16</v>
      </c>
      <c r="I2788" s="9">
        <v>3969</v>
      </c>
      <c r="J2788" s="10">
        <v>8</v>
      </c>
      <c r="K2788" s="10">
        <v>6910</v>
      </c>
      <c r="L2788" s="3" t="str">
        <f t="shared" si="89"/>
        <v>ΚΤΗΝΟΤΡΟΦΙΚΑ_ΦΥΤΑ_ΓΙΑ_ΖΩΟΤΡΟΦΕΣ</v>
      </c>
    </row>
    <row r="2789" spans="1:12" s="3" customFormat="1" ht="24" x14ac:dyDescent="0.25">
      <c r="A2789" s="3" t="str">
        <f t="shared" si="88"/>
        <v>ΚΤΗΝΟΤΡΟΦΙΚΑ ΦΥΤΑ ΓΙΑ ΖΩΟΤΡΟΦΕΣΚΡΙΘΑΡΙ HELENA</v>
      </c>
      <c r="B2789" s="4" t="s">
        <v>5215</v>
      </c>
      <c r="C2789" s="5" t="s">
        <v>5308</v>
      </c>
      <c r="D2789" s="6">
        <v>466.58</v>
      </c>
      <c r="E2789" s="6">
        <v>366.77</v>
      </c>
      <c r="F2789" s="7" t="s">
        <v>14</v>
      </c>
      <c r="G2789" s="8" t="s">
        <v>5309</v>
      </c>
      <c r="H2789" s="8" t="s">
        <v>16</v>
      </c>
      <c r="I2789" s="9">
        <v>3945</v>
      </c>
      <c r="J2789" s="10">
        <v>8</v>
      </c>
      <c r="K2789" s="10">
        <v>6911</v>
      </c>
      <c r="L2789" s="3" t="str">
        <f t="shared" si="89"/>
        <v>ΚΤΗΝΟΤΡΟΦΙΚΑ_ΦΥΤΑ_ΓΙΑ_ΖΩΟΤΡΟΦΕΣ</v>
      </c>
    </row>
    <row r="2790" spans="1:12" s="3" customFormat="1" ht="24" x14ac:dyDescent="0.25">
      <c r="A2790" s="3" t="str">
        <f t="shared" si="88"/>
        <v>ΚΤΗΝΟΤΡΟΦΙΚΑ ΦΥΤΑ ΓΙΑ ΖΩΟΤΡΟΦΕΣΚΡΙΘΑΡΙ IDA</v>
      </c>
      <c r="B2790" s="4" t="s">
        <v>5215</v>
      </c>
      <c r="C2790" s="5" t="s">
        <v>5310</v>
      </c>
      <c r="D2790" s="6">
        <v>466.58</v>
      </c>
      <c r="E2790" s="6">
        <v>366.77</v>
      </c>
      <c r="F2790" s="7" t="s">
        <v>14</v>
      </c>
      <c r="G2790" s="8" t="s">
        <v>5311</v>
      </c>
      <c r="H2790" s="8" t="s">
        <v>16</v>
      </c>
      <c r="I2790" s="9">
        <v>3961</v>
      </c>
      <c r="J2790" s="10">
        <v>8</v>
      </c>
      <c r="K2790" s="10">
        <v>6912</v>
      </c>
      <c r="L2790" s="3" t="str">
        <f t="shared" si="89"/>
        <v>ΚΤΗΝΟΤΡΟΦΙΚΑ_ΦΥΤΑ_ΓΙΑ_ΖΩΟΤΡΟΦΕΣ</v>
      </c>
    </row>
    <row r="2791" spans="1:12" s="3" customFormat="1" ht="24" x14ac:dyDescent="0.25">
      <c r="A2791" s="3" t="str">
        <f t="shared" si="88"/>
        <v>ΚΤΗΝΟΤΡΟΦΙΚΑ ΦΥΤΑ ΓΙΑ ΖΩΟΤΡΟΦΕΣΚΡΙΘΑΡΙ IGRI</v>
      </c>
      <c r="B2791" s="4" t="s">
        <v>5215</v>
      </c>
      <c r="C2791" s="5" t="s">
        <v>5312</v>
      </c>
      <c r="D2791" s="6">
        <v>466.58</v>
      </c>
      <c r="E2791" s="6">
        <v>366.77</v>
      </c>
      <c r="F2791" s="7" t="s">
        <v>14</v>
      </c>
      <c r="G2791" s="8" t="s">
        <v>5313</v>
      </c>
      <c r="H2791" s="8" t="s">
        <v>16</v>
      </c>
      <c r="I2791" s="9">
        <v>3939</v>
      </c>
      <c r="J2791" s="10">
        <v>8</v>
      </c>
      <c r="K2791" s="10">
        <v>6913</v>
      </c>
      <c r="L2791" s="3" t="str">
        <f t="shared" si="89"/>
        <v>ΚΤΗΝΟΤΡΟΦΙΚΑ_ΦΥΤΑ_ΓΙΑ_ΖΩΟΤΡΟΦΕΣ</v>
      </c>
    </row>
    <row r="2792" spans="1:12" s="3" customFormat="1" ht="24" x14ac:dyDescent="0.25">
      <c r="A2792" s="3" t="str">
        <f t="shared" si="88"/>
        <v>ΚΤΗΝΟΤΡΟΦΙΚΑ ΦΥΤΑ ΓΙΑ ΖΩΟΤΡΟΦΕΣΚΡΙΘΑΡΙ IRANIA</v>
      </c>
      <c r="B2792" s="4" t="s">
        <v>5215</v>
      </c>
      <c r="C2792" s="5" t="s">
        <v>5314</v>
      </c>
      <c r="D2792" s="6">
        <v>466.58</v>
      </c>
      <c r="E2792" s="6">
        <v>366.77</v>
      </c>
      <c r="F2792" s="7" t="s">
        <v>14</v>
      </c>
      <c r="G2792" s="8" t="s">
        <v>5315</v>
      </c>
      <c r="H2792" s="8" t="s">
        <v>16</v>
      </c>
      <c r="I2792" s="9">
        <v>3941</v>
      </c>
      <c r="J2792" s="10">
        <v>8</v>
      </c>
      <c r="K2792" s="10">
        <v>6914</v>
      </c>
      <c r="L2792" s="3" t="str">
        <f t="shared" si="89"/>
        <v>ΚΤΗΝΟΤΡΟΦΙΚΑ_ΦΥΤΑ_ΓΙΑ_ΖΩΟΤΡΟΦΕΣ</v>
      </c>
    </row>
    <row r="2793" spans="1:12" s="3" customFormat="1" ht="24" x14ac:dyDescent="0.25">
      <c r="A2793" s="3" t="str">
        <f t="shared" si="88"/>
        <v>ΚΤΗΝΟΤΡΟΦΙΚΑ ΦΥΤΑ ΓΙΑ ΖΩΟΤΡΟΦΕΣΚΡΙΘΑΡΙ IRLA</v>
      </c>
      <c r="B2793" s="4" t="s">
        <v>5215</v>
      </c>
      <c r="C2793" s="5" t="s">
        <v>5316</v>
      </c>
      <c r="D2793" s="6">
        <v>466.58</v>
      </c>
      <c r="E2793" s="6">
        <v>366.77</v>
      </c>
      <c r="F2793" s="7" t="s">
        <v>14</v>
      </c>
      <c r="G2793" s="8" t="s">
        <v>5317</v>
      </c>
      <c r="H2793" s="8" t="s">
        <v>16</v>
      </c>
      <c r="I2793" s="9">
        <v>3953</v>
      </c>
      <c r="J2793" s="10">
        <v>8</v>
      </c>
      <c r="K2793" s="10">
        <v>6915</v>
      </c>
      <c r="L2793" s="3" t="str">
        <f t="shared" si="89"/>
        <v>ΚΤΗΝΟΤΡΟΦΙΚΑ_ΦΥΤΑ_ΓΙΑ_ΖΩΟΤΡΟΦΕΣ</v>
      </c>
    </row>
    <row r="2794" spans="1:12" s="3" customFormat="1" ht="24" x14ac:dyDescent="0.25">
      <c r="A2794" s="3" t="str">
        <f t="shared" si="88"/>
        <v>ΚΤΗΝΟΤΡΟΦΙΚΑ ΦΥΤΑ ΓΙΑ ΖΩΟΤΡΟΦΕΣΚΡΙΘΑΡΙ ΚΑΔΜΟΣ</v>
      </c>
      <c r="B2794" s="4" t="s">
        <v>5215</v>
      </c>
      <c r="C2794" s="5" t="s">
        <v>5318</v>
      </c>
      <c r="D2794" s="6">
        <v>466.58</v>
      </c>
      <c r="E2794" s="6">
        <v>366.77</v>
      </c>
      <c r="F2794" s="7" t="s">
        <v>14</v>
      </c>
      <c r="G2794" s="8" t="s">
        <v>5319</v>
      </c>
      <c r="H2794" s="8" t="s">
        <v>16</v>
      </c>
      <c r="I2794" s="9">
        <v>3936</v>
      </c>
      <c r="J2794" s="10">
        <v>8</v>
      </c>
      <c r="K2794" s="10">
        <v>6916</v>
      </c>
      <c r="L2794" s="3" t="str">
        <f t="shared" si="89"/>
        <v>ΚΤΗΝΟΤΡΟΦΙΚΑ_ΦΥΤΑ_ΓΙΑ_ΖΩΟΤΡΟΦΕΣ</v>
      </c>
    </row>
    <row r="2795" spans="1:12" s="3" customFormat="1" ht="24" x14ac:dyDescent="0.25">
      <c r="A2795" s="3" t="str">
        <f t="shared" si="88"/>
        <v>ΚΤΗΝΟΤΡΟΦΙΚΑ ΦΥΤΑ ΓΙΑ ΖΩΟΤΡΟΦΕΣΚΡΙΘΑΡΙ ΚΑΛΥΜΝΟΣ</v>
      </c>
      <c r="B2795" s="4" t="s">
        <v>5215</v>
      </c>
      <c r="C2795" s="5" t="s">
        <v>5320</v>
      </c>
      <c r="D2795" s="6">
        <v>466.58</v>
      </c>
      <c r="E2795" s="6">
        <v>366.77</v>
      </c>
      <c r="F2795" s="7" t="s">
        <v>14</v>
      </c>
      <c r="G2795" s="8" t="s">
        <v>5321</v>
      </c>
      <c r="H2795" s="8" t="s">
        <v>16</v>
      </c>
      <c r="I2795" s="9">
        <v>4030</v>
      </c>
      <c r="J2795" s="10">
        <v>8</v>
      </c>
      <c r="K2795" s="10">
        <v>6917</v>
      </c>
      <c r="L2795" s="3" t="str">
        <f t="shared" si="89"/>
        <v>ΚΤΗΝΟΤΡΟΦΙΚΑ_ΦΥΤΑ_ΓΙΑ_ΖΩΟΤΡΟΦΕΣ</v>
      </c>
    </row>
    <row r="2796" spans="1:12" s="3" customFormat="1" ht="24" x14ac:dyDescent="0.25">
      <c r="A2796" s="3" t="str">
        <f t="shared" si="88"/>
        <v>ΚΤΗΝΟΤΡΟΦΙΚΑ ΦΥΤΑ ΓΙΑ ΖΩΟΤΡΟΦΕΣΚΡΙΘΑΡΙ ΚΑΜΕΙΡΟΣ</v>
      </c>
      <c r="B2796" s="4" t="s">
        <v>5215</v>
      </c>
      <c r="C2796" s="5" t="s">
        <v>5322</v>
      </c>
      <c r="D2796" s="6">
        <v>466.58</v>
      </c>
      <c r="E2796" s="6">
        <v>366.77</v>
      </c>
      <c r="F2796" s="7" t="s">
        <v>14</v>
      </c>
      <c r="G2796" s="8" t="s">
        <v>5323</v>
      </c>
      <c r="H2796" s="8" t="s">
        <v>16</v>
      </c>
      <c r="I2796" s="9">
        <v>3949</v>
      </c>
      <c r="J2796" s="10">
        <v>8</v>
      </c>
      <c r="K2796" s="10">
        <v>6918</v>
      </c>
      <c r="L2796" s="3" t="str">
        <f t="shared" si="89"/>
        <v>ΚΤΗΝΟΤΡΟΦΙΚΑ_ΦΥΤΑ_ΓΙΑ_ΖΩΟΤΡΟΦΕΣ</v>
      </c>
    </row>
    <row r="2797" spans="1:12" s="3" customFormat="1" ht="24" x14ac:dyDescent="0.25">
      <c r="A2797" s="3" t="str">
        <f t="shared" si="88"/>
        <v>ΚΤΗΝΟΤΡΟΦΙΚΑ ΦΥΤΑ ΓΙΑ ΖΩΟΤΡΟΦΕΣΚΡΙΘΑΡΙ ΚΑΡΠΑΘΟΣ</v>
      </c>
      <c r="B2797" s="4" t="s">
        <v>5215</v>
      </c>
      <c r="C2797" s="5" t="s">
        <v>5324</v>
      </c>
      <c r="D2797" s="6">
        <v>466.58</v>
      </c>
      <c r="E2797" s="6">
        <v>366.77</v>
      </c>
      <c r="F2797" s="7" t="s">
        <v>14</v>
      </c>
      <c r="G2797" s="8" t="s">
        <v>5325</v>
      </c>
      <c r="H2797" s="8" t="s">
        <v>16</v>
      </c>
      <c r="I2797" s="9">
        <v>3951</v>
      </c>
      <c r="J2797" s="10">
        <v>8</v>
      </c>
      <c r="K2797" s="10">
        <v>6919</v>
      </c>
      <c r="L2797" s="3" t="str">
        <f t="shared" si="89"/>
        <v>ΚΤΗΝΟΤΡΟΦΙΚΑ_ΦΥΤΑ_ΓΙΑ_ΖΩΟΤΡΟΦΕΣ</v>
      </c>
    </row>
    <row r="2798" spans="1:12" s="3" customFormat="1" ht="24" x14ac:dyDescent="0.25">
      <c r="A2798" s="3" t="str">
        <f t="shared" si="88"/>
        <v>ΚΤΗΝΟΤΡΟΦΙΚΑ ΦΥΤΑ ΓΙΑ ΖΩΟΤΡΟΦΕΣΚΡΙΘΑΡΙ ΚΑΣΣΟΣ</v>
      </c>
      <c r="B2798" s="4" t="s">
        <v>5215</v>
      </c>
      <c r="C2798" s="5" t="s">
        <v>5326</v>
      </c>
      <c r="D2798" s="6">
        <v>466.58</v>
      </c>
      <c r="E2798" s="6">
        <v>366.77</v>
      </c>
      <c r="F2798" s="7" t="s">
        <v>14</v>
      </c>
      <c r="G2798" s="8" t="s">
        <v>5327</v>
      </c>
      <c r="H2798" s="8" t="s">
        <v>16</v>
      </c>
      <c r="I2798" s="9">
        <v>3995</v>
      </c>
      <c r="J2798" s="10">
        <v>8</v>
      </c>
      <c r="K2798" s="10">
        <v>6920</v>
      </c>
      <c r="L2798" s="3" t="str">
        <f t="shared" si="89"/>
        <v>ΚΤΗΝΟΤΡΟΦΙΚΑ_ΦΥΤΑ_ΓΙΑ_ΖΩΟΤΡΟΦΕΣ</v>
      </c>
    </row>
    <row r="2799" spans="1:12" s="3" customFormat="1" ht="24" x14ac:dyDescent="0.25">
      <c r="A2799" s="3" t="str">
        <f t="shared" si="88"/>
        <v>ΚΤΗΝΟΤΡΟΦΙΚΑ ΦΥΤΑ ΓΙΑ ΖΩΟΤΡΟΦΕΣΚΡΙΘΑΡΙ KASKADE</v>
      </c>
      <c r="B2799" s="4" t="s">
        <v>5215</v>
      </c>
      <c r="C2799" s="5" t="s">
        <v>5328</v>
      </c>
      <c r="D2799" s="6">
        <v>466.58</v>
      </c>
      <c r="E2799" s="6">
        <v>366.77</v>
      </c>
      <c r="F2799" s="7" t="s">
        <v>14</v>
      </c>
      <c r="G2799" s="8" t="s">
        <v>5329</v>
      </c>
      <c r="H2799" s="8" t="s">
        <v>16</v>
      </c>
      <c r="I2799" s="9">
        <v>3950</v>
      </c>
      <c r="J2799" s="10">
        <v>8</v>
      </c>
      <c r="K2799" s="10">
        <v>6921</v>
      </c>
      <c r="L2799" s="3" t="str">
        <f t="shared" si="89"/>
        <v>ΚΤΗΝΟΤΡΟΦΙΚΑ_ΦΥΤΑ_ΓΙΑ_ΖΩΟΤΡΟΦΕΣ</v>
      </c>
    </row>
    <row r="2800" spans="1:12" s="3" customFormat="1" ht="24" x14ac:dyDescent="0.25">
      <c r="A2800" s="3" t="str">
        <f t="shared" si="88"/>
        <v>ΚΤΗΝΟΤΡΟΦΙΚΑ ΦΥΤΑ ΓΙΑ ΖΩΟΤΡΟΦΕΣΚΡΙΘΑΡΙ ΚΙΡΚΗ</v>
      </c>
      <c r="B2800" s="4" t="s">
        <v>5215</v>
      </c>
      <c r="C2800" s="5" t="s">
        <v>5330</v>
      </c>
      <c r="D2800" s="6">
        <v>466.58</v>
      </c>
      <c r="E2800" s="6">
        <v>366.77</v>
      </c>
      <c r="F2800" s="7" t="s">
        <v>14</v>
      </c>
      <c r="G2800" s="8" t="s">
        <v>5331</v>
      </c>
      <c r="H2800" s="8" t="s">
        <v>16</v>
      </c>
      <c r="I2800" s="9">
        <v>3944</v>
      </c>
      <c r="J2800" s="10">
        <v>8</v>
      </c>
      <c r="K2800" s="10">
        <v>6922</v>
      </c>
      <c r="L2800" s="3" t="str">
        <f t="shared" si="89"/>
        <v>ΚΤΗΝΟΤΡΟΦΙΚΑ_ΦΥΤΑ_ΓΙΑ_ΖΩΟΤΡΟΦΕΣ</v>
      </c>
    </row>
    <row r="2801" spans="1:12" s="3" customFormat="1" ht="24" x14ac:dyDescent="0.25">
      <c r="A2801" s="3" t="str">
        <f t="shared" si="88"/>
        <v>ΚΤΗΝΟΤΡΟΦΙΚΑ ΦΥΤΑ ΓΙΑ ΖΩΟΤΡΟΦΕΣΚΡΙΘΑΡΙ ΚΛΙΠΠΕΡ 71</v>
      </c>
      <c r="B2801" s="4" t="s">
        <v>5215</v>
      </c>
      <c r="C2801" s="5" t="s">
        <v>5332</v>
      </c>
      <c r="D2801" s="6">
        <v>466.58</v>
      </c>
      <c r="E2801" s="6">
        <v>366.77</v>
      </c>
      <c r="F2801" s="7" t="s">
        <v>14</v>
      </c>
      <c r="G2801" s="8" t="s">
        <v>5333</v>
      </c>
      <c r="H2801" s="8" t="s">
        <v>16</v>
      </c>
      <c r="I2801" s="9">
        <v>3940</v>
      </c>
      <c r="J2801" s="10">
        <v>8</v>
      </c>
      <c r="K2801" s="10">
        <v>6923</v>
      </c>
      <c r="L2801" s="3" t="str">
        <f t="shared" si="89"/>
        <v>ΚΤΗΝΟΤΡΟΦΙΚΑ_ΦΥΤΑ_ΓΙΑ_ΖΩΟΤΡΟΦΕΣ</v>
      </c>
    </row>
    <row r="2802" spans="1:12" s="3" customFormat="1" ht="24" x14ac:dyDescent="0.25">
      <c r="A2802" s="3" t="str">
        <f t="shared" si="88"/>
        <v>ΚΤΗΝΟΤΡΟΦΙΚΑ ΦΥΤΑ ΓΙΑ ΖΩΟΤΡΟΦΕΣΚΡΙΘΑΡΙ ΚΡΙΤΩΝ</v>
      </c>
      <c r="B2802" s="4" t="s">
        <v>5215</v>
      </c>
      <c r="C2802" s="5" t="s">
        <v>5334</v>
      </c>
      <c r="D2802" s="6">
        <v>466.58</v>
      </c>
      <c r="E2802" s="6">
        <v>366.77</v>
      </c>
      <c r="F2802" s="7" t="s">
        <v>14</v>
      </c>
      <c r="G2802" s="8" t="s">
        <v>5335</v>
      </c>
      <c r="H2802" s="8" t="s">
        <v>16</v>
      </c>
      <c r="I2802" s="9">
        <v>3968</v>
      </c>
      <c r="J2802" s="10">
        <v>8</v>
      </c>
      <c r="K2802" s="10">
        <v>6925</v>
      </c>
      <c r="L2802" s="3" t="str">
        <f t="shared" si="89"/>
        <v>ΚΤΗΝΟΤΡΟΦΙΚΑ_ΦΥΤΑ_ΓΙΑ_ΖΩΟΤΡΟΦΕΣ</v>
      </c>
    </row>
    <row r="2803" spans="1:12" s="3" customFormat="1" ht="24" x14ac:dyDescent="0.25">
      <c r="A2803" s="3" t="str">
        <f t="shared" si="88"/>
        <v>ΚΤΗΝΟΤΡΟΦΙΚΑ ΦΥΤΑ ΓΙΑ ΖΩΟΤΡΟΦΕΣΚΡΙΘΑΡΙ ΚΡΟΝΟΣ</v>
      </c>
      <c r="B2803" s="4" t="s">
        <v>5215</v>
      </c>
      <c r="C2803" s="5" t="s">
        <v>5336</v>
      </c>
      <c r="D2803" s="6">
        <v>466.58</v>
      </c>
      <c r="E2803" s="6">
        <v>366.77</v>
      </c>
      <c r="F2803" s="7" t="s">
        <v>14</v>
      </c>
      <c r="G2803" s="8" t="s">
        <v>5337</v>
      </c>
      <c r="H2803" s="8" t="s">
        <v>16</v>
      </c>
      <c r="I2803" s="9">
        <v>3964</v>
      </c>
      <c r="J2803" s="10">
        <v>8</v>
      </c>
      <c r="K2803" s="10">
        <v>6926</v>
      </c>
      <c r="L2803" s="3" t="str">
        <f t="shared" si="89"/>
        <v>ΚΤΗΝΟΤΡΟΦΙΚΑ_ΦΥΤΑ_ΓΙΑ_ΖΩΟΤΡΟΦΕΣ</v>
      </c>
    </row>
    <row r="2804" spans="1:12" s="3" customFormat="1" ht="24" x14ac:dyDescent="0.25">
      <c r="A2804" s="3" t="str">
        <f t="shared" si="88"/>
        <v>ΚΤΗΝΟΤΡΟΦΙΚΑ ΦΥΤΑ ΓΙΑ ΖΩΟΤΡΟΦΕΣΚΡΙΘΑΡΙ ΚΥΜ</v>
      </c>
      <c r="B2804" s="4" t="s">
        <v>5215</v>
      </c>
      <c r="C2804" s="5" t="s">
        <v>5338</v>
      </c>
      <c r="D2804" s="6">
        <v>466.58</v>
      </c>
      <c r="E2804" s="6">
        <v>366.77</v>
      </c>
      <c r="F2804" s="7" t="s">
        <v>14</v>
      </c>
      <c r="G2804" s="8" t="s">
        <v>5339</v>
      </c>
      <c r="H2804" s="8" t="s">
        <v>16</v>
      </c>
      <c r="I2804" s="9">
        <v>3956</v>
      </c>
      <c r="J2804" s="10">
        <v>8</v>
      </c>
      <c r="K2804" s="10">
        <v>6927</v>
      </c>
      <c r="L2804" s="3" t="str">
        <f t="shared" si="89"/>
        <v>ΚΤΗΝΟΤΡΟΦΙΚΑ_ΦΥΤΑ_ΓΙΑ_ΖΩΟΤΡΟΦΕΣ</v>
      </c>
    </row>
    <row r="2805" spans="1:12" s="3" customFormat="1" ht="24" x14ac:dyDescent="0.25">
      <c r="A2805" s="3" t="str">
        <f t="shared" si="88"/>
        <v>ΚΤΗΝΟΤΡΟΦΙΚΑ ΦΥΤΑ ΓΙΑ ΖΩΟΤΡΟΦΕΣΚΡΙΘΑΡΙ MENUET</v>
      </c>
      <c r="B2805" s="4" t="s">
        <v>5215</v>
      </c>
      <c r="C2805" s="5" t="s">
        <v>5340</v>
      </c>
      <c r="D2805" s="6">
        <v>466.58</v>
      </c>
      <c r="E2805" s="6">
        <v>366.77</v>
      </c>
      <c r="F2805" s="7" t="s">
        <v>14</v>
      </c>
      <c r="G2805" s="8" t="s">
        <v>5341</v>
      </c>
      <c r="H2805" s="8" t="s">
        <v>16</v>
      </c>
      <c r="I2805" s="9">
        <v>3937</v>
      </c>
      <c r="J2805" s="10">
        <v>8</v>
      </c>
      <c r="K2805" s="10">
        <v>6928</v>
      </c>
      <c r="L2805" s="3" t="str">
        <f t="shared" si="89"/>
        <v>ΚΤΗΝΟΤΡΟΦΙΚΑ_ΦΥΤΑ_ΓΙΑ_ΖΩΟΤΡΟΦΕΣ</v>
      </c>
    </row>
    <row r="2806" spans="1:12" s="3" customFormat="1" ht="24" x14ac:dyDescent="0.25">
      <c r="A2806" s="3" t="str">
        <f t="shared" si="88"/>
        <v>ΚΤΗΝΟΤΡΟΦΙΚΑ ΦΥΤΑ ΓΙΑ ΖΩΟΤΡΟΦΕΣΚΡΙΘΑΡΙ ΝΙΚΗ</v>
      </c>
      <c r="B2806" s="4" t="s">
        <v>5215</v>
      </c>
      <c r="C2806" s="5" t="s">
        <v>5342</v>
      </c>
      <c r="D2806" s="6">
        <v>466.58</v>
      </c>
      <c r="E2806" s="6">
        <v>366.77</v>
      </c>
      <c r="F2806" s="7" t="s">
        <v>14</v>
      </c>
      <c r="G2806" s="8" t="s">
        <v>5343</v>
      </c>
      <c r="H2806" s="8" t="s">
        <v>27</v>
      </c>
      <c r="I2806" s="9">
        <v>3908</v>
      </c>
      <c r="J2806" s="10">
        <v>8</v>
      </c>
      <c r="K2806" s="10">
        <v>6929</v>
      </c>
      <c r="L2806" s="3" t="str">
        <f t="shared" si="89"/>
        <v>ΚΤΗΝΟΤΡΟΦΙΚΑ_ΦΥΤΑ_ΓΙΑ_ΖΩΟΤΡΟΦΕΣ</v>
      </c>
    </row>
    <row r="2807" spans="1:12" s="3" customFormat="1" ht="24" x14ac:dyDescent="0.25">
      <c r="A2807" s="3" t="str">
        <f t="shared" si="88"/>
        <v>ΚΤΗΝΟΤΡΟΦΙΚΑ ΦΥΤΑ ΓΙΑ ΖΩΟΤΡΟΦΕΣΚΡΙΘΑΡΙ PRESTO</v>
      </c>
      <c r="B2807" s="4" t="s">
        <v>5215</v>
      </c>
      <c r="C2807" s="5" t="s">
        <v>5344</v>
      </c>
      <c r="D2807" s="6">
        <v>466.58</v>
      </c>
      <c r="E2807" s="6">
        <v>366.77</v>
      </c>
      <c r="F2807" s="7" t="s">
        <v>14</v>
      </c>
      <c r="G2807" s="8" t="s">
        <v>5345</v>
      </c>
      <c r="H2807" s="8" t="s">
        <v>16</v>
      </c>
      <c r="I2807" s="9">
        <v>3902</v>
      </c>
      <c r="J2807" s="10">
        <v>8</v>
      </c>
      <c r="K2807" s="10">
        <v>6930</v>
      </c>
      <c r="L2807" s="3" t="str">
        <f t="shared" si="89"/>
        <v>ΚΤΗΝΟΤΡΟΦΙΚΑ_ΦΥΤΑ_ΓΙΑ_ΖΩΟΤΡΟΦΕΣ</v>
      </c>
    </row>
    <row r="2808" spans="1:12" s="3" customFormat="1" ht="24" x14ac:dyDescent="0.25">
      <c r="A2808" s="3" t="str">
        <f t="shared" si="88"/>
        <v>ΚΤΗΝΟΤΡΟΦΙΚΑ ΦΥΤΑ ΓΙΑ ΖΩΟΤΡΟΦΕΣΚΡΙΘΑΡΙ SONJA</v>
      </c>
      <c r="B2808" s="4" t="s">
        <v>5215</v>
      </c>
      <c r="C2808" s="5" t="s">
        <v>5346</v>
      </c>
      <c r="D2808" s="6">
        <v>466.58</v>
      </c>
      <c r="E2808" s="6">
        <v>366.77</v>
      </c>
      <c r="F2808" s="7" t="s">
        <v>14</v>
      </c>
      <c r="G2808" s="8" t="s">
        <v>5347</v>
      </c>
      <c r="H2808" s="8" t="s">
        <v>16</v>
      </c>
      <c r="I2808" s="9">
        <v>3931</v>
      </c>
      <c r="J2808" s="10">
        <v>8</v>
      </c>
      <c r="K2808" s="10">
        <v>6931</v>
      </c>
      <c r="L2808" s="3" t="str">
        <f t="shared" si="89"/>
        <v>ΚΤΗΝΟΤΡΟΦΙΚΑ_ΦΥΤΑ_ΓΙΑ_ΖΩΟΤΡΟΦΕΣ</v>
      </c>
    </row>
    <row r="2809" spans="1:12" s="3" customFormat="1" ht="24" x14ac:dyDescent="0.25">
      <c r="A2809" s="3" t="str">
        <f t="shared" si="88"/>
        <v>ΚΤΗΝΟΤΡΟΦΙΚΑ ΦΥΤΑ ΓΙΑ ΖΩΟΤΡΟΦΕΣΚΡΙΘΑΡΙ ΣΟΦΙΑ</v>
      </c>
      <c r="B2809" s="4" t="s">
        <v>5215</v>
      </c>
      <c r="C2809" s="5" t="s">
        <v>5348</v>
      </c>
      <c r="D2809" s="6">
        <v>466.58</v>
      </c>
      <c r="E2809" s="6">
        <v>366.77</v>
      </c>
      <c r="F2809" s="7" t="s">
        <v>14</v>
      </c>
      <c r="G2809" s="8" t="s">
        <v>5349</v>
      </c>
      <c r="H2809" s="8" t="s">
        <v>16</v>
      </c>
      <c r="I2809" s="9">
        <v>3928</v>
      </c>
      <c r="J2809" s="10">
        <v>8</v>
      </c>
      <c r="K2809" s="10">
        <v>6932</v>
      </c>
      <c r="L2809" s="3" t="str">
        <f t="shared" si="89"/>
        <v>ΚΤΗΝΟΤΡΟΦΙΚΑ_ΦΥΤΑ_ΓΙΑ_ΖΩΟΤΡΟΦΕΣ</v>
      </c>
    </row>
    <row r="2810" spans="1:12" s="3" customFormat="1" ht="24" x14ac:dyDescent="0.25">
      <c r="A2810" s="3" t="str">
        <f t="shared" si="88"/>
        <v>ΚΤΗΝΟΤΡΟΦΙΚΑ ΦΥΤΑ ΓΙΑ ΖΩΟΤΡΟΦΕΣΚΡΙΘΑΡΙ ΣΠΙΘΑ</v>
      </c>
      <c r="B2810" s="4" t="s">
        <v>5215</v>
      </c>
      <c r="C2810" s="5" t="s">
        <v>5350</v>
      </c>
      <c r="D2810" s="6">
        <v>466.58</v>
      </c>
      <c r="E2810" s="6">
        <v>366.77</v>
      </c>
      <c r="F2810" s="7" t="s">
        <v>14</v>
      </c>
      <c r="G2810" s="8" t="s">
        <v>5351</v>
      </c>
      <c r="H2810" s="8" t="s">
        <v>16</v>
      </c>
      <c r="I2810" s="9">
        <v>3924</v>
      </c>
      <c r="J2810" s="10">
        <v>8</v>
      </c>
      <c r="K2810" s="10">
        <v>6933</v>
      </c>
      <c r="L2810" s="3" t="str">
        <f t="shared" si="89"/>
        <v>ΚΤΗΝΟΤΡΟΦΙΚΑ_ΦΥΤΑ_ΓΙΑ_ΖΩΟΤΡΟΦΕΣ</v>
      </c>
    </row>
    <row r="2811" spans="1:12" s="3" customFormat="1" ht="24" x14ac:dyDescent="0.25">
      <c r="A2811" s="3" t="str">
        <f t="shared" si="88"/>
        <v>ΚΤΗΝΟΤΡΟΦΙΚΑ ΦΥΤΑ ΓΙΑ ΖΩΟΤΡΟΦΕΣΚΡΙΘΑΡΙ TORKEL</v>
      </c>
      <c r="B2811" s="4" t="s">
        <v>5215</v>
      </c>
      <c r="C2811" s="5" t="s">
        <v>5352</v>
      </c>
      <c r="D2811" s="6">
        <v>466.58</v>
      </c>
      <c r="E2811" s="6">
        <v>366.77</v>
      </c>
      <c r="F2811" s="7" t="s">
        <v>14</v>
      </c>
      <c r="G2811" s="8" t="s">
        <v>5353</v>
      </c>
      <c r="H2811" s="8" t="s">
        <v>16</v>
      </c>
      <c r="I2811" s="9">
        <v>3989</v>
      </c>
      <c r="J2811" s="10">
        <v>8</v>
      </c>
      <c r="K2811" s="10">
        <v>6934</v>
      </c>
      <c r="L2811" s="3" t="str">
        <f t="shared" si="89"/>
        <v>ΚΤΗΝΟΤΡΟΦΙΚΑ_ΦΥΤΑ_ΓΙΑ_ΖΩΟΤΡΟΦΕΣ</v>
      </c>
    </row>
    <row r="2812" spans="1:12" s="3" customFormat="1" ht="24" x14ac:dyDescent="0.25">
      <c r="A2812" s="3" t="str">
        <f t="shared" si="88"/>
        <v>ΚΤΗΝΟΤΡΟΦΙΚΑ ΦΥΤΑ ΓΙΑ ΖΩΟΤΡΟΦΕΣΚΡΙΘΑΡΙ TROUBADOUR</v>
      </c>
      <c r="B2812" s="4" t="s">
        <v>5215</v>
      </c>
      <c r="C2812" s="5" t="s">
        <v>5354</v>
      </c>
      <c r="D2812" s="6">
        <v>466.58</v>
      </c>
      <c r="E2812" s="6">
        <v>366.77</v>
      </c>
      <c r="F2812" s="7" t="s">
        <v>14</v>
      </c>
      <c r="G2812" s="8" t="s">
        <v>5355</v>
      </c>
      <c r="H2812" s="8" t="s">
        <v>16</v>
      </c>
      <c r="I2812" s="9">
        <v>3916</v>
      </c>
      <c r="J2812" s="10">
        <v>8</v>
      </c>
      <c r="K2812" s="10">
        <v>6935</v>
      </c>
      <c r="L2812" s="3" t="str">
        <f t="shared" si="89"/>
        <v>ΚΤΗΝΟΤΡΟΦΙΚΑ_ΦΥΤΑ_ΓΙΑ_ΖΩΟΤΡΟΦΕΣ</v>
      </c>
    </row>
    <row r="2813" spans="1:12" s="3" customFormat="1" ht="24" x14ac:dyDescent="0.25">
      <c r="A2813" s="3" t="str">
        <f t="shared" si="88"/>
        <v>ΚΤΗΝΟΤΡΟΦΙΚΑ ΦΥΤΑ ΓΙΑ ΖΩΟΤΡΟΦΕΣΚΡΙΘΑΡΙ VIOLA</v>
      </c>
      <c r="B2813" s="4" t="s">
        <v>5215</v>
      </c>
      <c r="C2813" s="5" t="s">
        <v>5356</v>
      </c>
      <c r="D2813" s="6">
        <v>466.58</v>
      </c>
      <c r="E2813" s="6">
        <v>366.77</v>
      </c>
      <c r="F2813" s="7" t="s">
        <v>14</v>
      </c>
      <c r="G2813" s="8" t="s">
        <v>5357</v>
      </c>
      <c r="H2813" s="8" t="s">
        <v>16</v>
      </c>
      <c r="I2813" s="9">
        <v>4028</v>
      </c>
      <c r="J2813" s="10">
        <v>8</v>
      </c>
      <c r="K2813" s="10">
        <v>6936</v>
      </c>
      <c r="L2813" s="3" t="str">
        <f t="shared" si="89"/>
        <v>ΚΤΗΝΟΤΡΟΦΙΚΑ_ΦΥΤΑ_ΓΙΑ_ΖΩΟΤΡΟΦΕΣ</v>
      </c>
    </row>
    <row r="2814" spans="1:12" s="3" customFormat="1" ht="24" x14ac:dyDescent="0.25">
      <c r="A2814" s="3" t="str">
        <f t="shared" si="88"/>
        <v>ΚΤΗΝΟΤΡΟΦΙΚΑ ΦΥΤΑ ΓΙΑ ΖΩΟΤΡΟΦΕΣΚΡΙΘΑΡΙ ΑΘΗΝΑΙΔΑ</v>
      </c>
      <c r="B2814" s="4" t="s">
        <v>5215</v>
      </c>
      <c r="C2814" s="5" t="s">
        <v>5358</v>
      </c>
      <c r="D2814" s="6">
        <v>466.58</v>
      </c>
      <c r="E2814" s="6">
        <v>366.77</v>
      </c>
      <c r="F2814" s="7" t="s">
        <v>14</v>
      </c>
      <c r="G2814" s="8" t="s">
        <v>5359</v>
      </c>
      <c r="H2814" s="8" t="s">
        <v>16</v>
      </c>
      <c r="I2814" s="9">
        <v>4026</v>
      </c>
      <c r="J2814" s="10">
        <v>8</v>
      </c>
      <c r="K2814" s="10">
        <v>6937</v>
      </c>
      <c r="L2814" s="3" t="str">
        <f t="shared" si="89"/>
        <v>ΚΤΗΝΟΤΡΟΦΙΚΑ_ΦΥΤΑ_ΓΙΑ_ΖΩΟΤΡΟΦΕΣ</v>
      </c>
    </row>
    <row r="2815" spans="1:12" s="3" customFormat="1" ht="24" x14ac:dyDescent="0.25">
      <c r="A2815" s="3" t="str">
        <f t="shared" si="88"/>
        <v>ΚΤΗΝΟΤΡΟΦΙΚΑ ΦΥΤΑ ΓΙΑ ΖΩΟΤΡΟΦΕΣΚΡΙΘΑΡΙ ΑΤΤΙΚΗ</v>
      </c>
      <c r="B2815" s="4" t="s">
        <v>5215</v>
      </c>
      <c r="C2815" s="5" t="s">
        <v>5360</v>
      </c>
      <c r="D2815" s="6">
        <v>466.58</v>
      </c>
      <c r="E2815" s="6">
        <v>366.77</v>
      </c>
      <c r="F2815" s="7" t="s">
        <v>14</v>
      </c>
      <c r="G2815" s="8" t="s">
        <v>5361</v>
      </c>
      <c r="H2815" s="8" t="s">
        <v>16</v>
      </c>
      <c r="I2815" s="9">
        <v>4025</v>
      </c>
      <c r="J2815" s="10">
        <v>8</v>
      </c>
      <c r="K2815" s="10">
        <v>6938</v>
      </c>
      <c r="L2815" s="3" t="str">
        <f t="shared" si="89"/>
        <v>ΚΤΗΝΟΤΡΟΦΙΚΑ_ΦΥΤΑ_ΓΙΑ_ΖΩΟΤΡΟΦΕΣ</v>
      </c>
    </row>
    <row r="2816" spans="1:12" s="3" customFormat="1" ht="24" x14ac:dyDescent="0.25">
      <c r="A2816" s="3" t="str">
        <f t="shared" si="88"/>
        <v>ΚΤΗΝΟΤΡΟΦΙΚΑ ΦΥΤΑ ΓΙΑ ΖΩΟΤΡΟΦΕΣΚΡΙΘΑΡΙ DIANA</v>
      </c>
      <c r="B2816" s="4" t="s">
        <v>5215</v>
      </c>
      <c r="C2816" s="5" t="s">
        <v>5362</v>
      </c>
      <c r="D2816" s="6">
        <v>466.58</v>
      </c>
      <c r="E2816" s="6">
        <v>366.77</v>
      </c>
      <c r="F2816" s="7" t="s">
        <v>14</v>
      </c>
      <c r="G2816" s="8" t="s">
        <v>5363</v>
      </c>
      <c r="H2816" s="8" t="s">
        <v>16</v>
      </c>
      <c r="I2816" s="9">
        <v>4010</v>
      </c>
      <c r="J2816" s="10">
        <v>8</v>
      </c>
      <c r="K2816" s="10">
        <v>6939</v>
      </c>
      <c r="L2816" s="3" t="str">
        <f t="shared" si="89"/>
        <v>ΚΤΗΝΟΤΡΟΦΙΚΑ_ΦΥΤΑ_ΓΙΑ_ΖΩΟΤΡΟΦΕΣ</v>
      </c>
    </row>
    <row r="2817" spans="1:12" s="3" customFormat="1" ht="24" x14ac:dyDescent="0.25">
      <c r="A2817" s="3" t="str">
        <f t="shared" si="88"/>
        <v>ΚΤΗΝΟΤΡΟΦΙΚΑ ΦΥΤΑ ΓΙΑ ΖΩΟΤΡΟΦΕΣΚΡΙΘΑΡΙ ΕΛΑΣΣΟΝΑ</v>
      </c>
      <c r="B2817" s="4" t="s">
        <v>5215</v>
      </c>
      <c r="C2817" s="5" t="s">
        <v>5364</v>
      </c>
      <c r="D2817" s="6">
        <v>466.58</v>
      </c>
      <c r="E2817" s="6">
        <v>366.77</v>
      </c>
      <c r="F2817" s="7" t="s">
        <v>14</v>
      </c>
      <c r="G2817" s="8" t="s">
        <v>5365</v>
      </c>
      <c r="H2817" s="8" t="s">
        <v>16</v>
      </c>
      <c r="I2817" s="9">
        <v>4019</v>
      </c>
      <c r="J2817" s="10">
        <v>8</v>
      </c>
      <c r="K2817" s="10">
        <v>6940</v>
      </c>
      <c r="L2817" s="3" t="str">
        <f t="shared" si="89"/>
        <v>ΚΤΗΝΟΤΡΟΦΙΚΑ_ΦΥΤΑ_ΓΙΑ_ΖΩΟΤΡΟΦΕΣ</v>
      </c>
    </row>
    <row r="2818" spans="1:12" s="3" customFormat="1" ht="24" x14ac:dyDescent="0.25">
      <c r="A2818" s="3" t="str">
        <f t="shared" si="88"/>
        <v>ΚΤΗΝΟΤΡΟΦΙΚΑ ΦΥΤΑ ΓΙΑ ΖΩΟΤΡΟΦΕΣΚΡΙΘΑΡΙ HEMUS</v>
      </c>
      <c r="B2818" s="4" t="s">
        <v>5215</v>
      </c>
      <c r="C2818" s="5" t="s">
        <v>5366</v>
      </c>
      <c r="D2818" s="6">
        <v>466.58</v>
      </c>
      <c r="E2818" s="6">
        <v>366.77</v>
      </c>
      <c r="F2818" s="7" t="s">
        <v>14</v>
      </c>
      <c r="G2818" s="8" t="s">
        <v>5367</v>
      </c>
      <c r="H2818" s="8" t="s">
        <v>16</v>
      </c>
      <c r="I2818" s="9">
        <v>4014</v>
      </c>
      <c r="J2818" s="10">
        <v>8</v>
      </c>
      <c r="K2818" s="10">
        <v>6941</v>
      </c>
      <c r="L2818" s="3" t="str">
        <f t="shared" si="89"/>
        <v>ΚΤΗΝΟΤΡΟΦΙΚΑ_ΦΥΤΑ_ΓΙΑ_ΖΩΟΤΡΟΦΕΣ</v>
      </c>
    </row>
    <row r="2819" spans="1:12" s="3" customFormat="1" ht="24" x14ac:dyDescent="0.25">
      <c r="A2819" s="3" t="str">
        <f t="shared" ref="A2819:A2882" si="90">_xlfn.CONCAT(B2819,C2819)</f>
        <v>ΚΤΗΝΟΤΡΟΦΙΚΑ ΦΥΤΑ ΓΙΑ ΖΩΟΤΡΟΦΕΣΚΡΙΘΑΡΙ KARNOBAT</v>
      </c>
      <c r="B2819" s="4" t="s">
        <v>5215</v>
      </c>
      <c r="C2819" s="5" t="s">
        <v>5368</v>
      </c>
      <c r="D2819" s="6">
        <v>466.58</v>
      </c>
      <c r="E2819" s="6">
        <v>366.77</v>
      </c>
      <c r="F2819" s="7" t="s">
        <v>14</v>
      </c>
      <c r="G2819" s="8" t="s">
        <v>5369</v>
      </c>
      <c r="H2819" s="8" t="s">
        <v>16</v>
      </c>
      <c r="I2819" s="9">
        <v>4013</v>
      </c>
      <c r="J2819" s="10">
        <v>8</v>
      </c>
      <c r="K2819" s="10">
        <v>6942</v>
      </c>
      <c r="L2819" s="3" t="str">
        <f t="shared" ref="L2819:L2882" si="91">IFERROR(SUBSTITUTE(SUBSTITUTE(SUBSTITUTE(SUBSTITUTE(SUBSTITUTE(B2819, "-", "_"), " ", "_"), ",", ""), "(", ""), ")", ""), B2819)</f>
        <v>ΚΤΗΝΟΤΡΟΦΙΚΑ_ΦΥΤΑ_ΓΙΑ_ΖΩΟΤΡΟΦΕΣ</v>
      </c>
    </row>
    <row r="2820" spans="1:12" s="3" customFormat="1" ht="24" x14ac:dyDescent="0.25">
      <c r="A2820" s="3" t="str">
        <f t="shared" si="90"/>
        <v>ΚΤΗΝΟΤΡΟΦΙΚΑ ΦΥΤΑ ΓΙΑ ΖΩΟΤΡΟΦΕΣΚΡΙΘΑΡΙ KATJA</v>
      </c>
      <c r="B2820" s="4" t="s">
        <v>5215</v>
      </c>
      <c r="C2820" s="5" t="s">
        <v>5370</v>
      </c>
      <c r="D2820" s="6">
        <v>466.58</v>
      </c>
      <c r="E2820" s="6">
        <v>366.77</v>
      </c>
      <c r="F2820" s="7" t="s">
        <v>14</v>
      </c>
      <c r="G2820" s="8" t="s">
        <v>5371</v>
      </c>
      <c r="H2820" s="8" t="s">
        <v>16</v>
      </c>
      <c r="I2820" s="9">
        <v>4040</v>
      </c>
      <c r="J2820" s="10">
        <v>8</v>
      </c>
      <c r="K2820" s="10">
        <v>6943</v>
      </c>
      <c r="L2820" s="3" t="str">
        <f t="shared" si="91"/>
        <v>ΚΤΗΝΟΤΡΟΦΙΚΑ_ΦΥΤΑ_ΓΙΑ_ΖΩΟΤΡΟΦΕΣ</v>
      </c>
    </row>
    <row r="2821" spans="1:12" s="3" customFormat="1" ht="24" x14ac:dyDescent="0.25">
      <c r="A2821" s="3" t="str">
        <f t="shared" si="90"/>
        <v>ΚΤΗΝΟΤΡΟΦΙΚΑ ΦΥΤΑ ΓΙΑ ΖΩΟΤΡΟΦΕΣΚΡΙΘΑΡΙ ΚΡΗΝΗ</v>
      </c>
      <c r="B2821" s="4" t="s">
        <v>5215</v>
      </c>
      <c r="C2821" s="5" t="s">
        <v>5372</v>
      </c>
      <c r="D2821" s="6">
        <v>466.58</v>
      </c>
      <c r="E2821" s="6">
        <v>366.77</v>
      </c>
      <c r="F2821" s="7" t="s">
        <v>14</v>
      </c>
      <c r="G2821" s="8" t="s">
        <v>5373</v>
      </c>
      <c r="H2821" s="8" t="s">
        <v>16</v>
      </c>
      <c r="I2821" s="9">
        <v>4018</v>
      </c>
      <c r="J2821" s="10">
        <v>8</v>
      </c>
      <c r="K2821" s="10">
        <v>6944</v>
      </c>
      <c r="L2821" s="3" t="str">
        <f t="shared" si="91"/>
        <v>ΚΤΗΝΟΤΡΟΦΙΚΑ_ΦΥΤΑ_ΓΙΑ_ΖΩΟΤΡΟΦΕΣ</v>
      </c>
    </row>
    <row r="2822" spans="1:12" s="3" customFormat="1" ht="24" x14ac:dyDescent="0.25">
      <c r="A2822" s="3" t="str">
        <f t="shared" si="90"/>
        <v>ΚΤΗΝΟΤΡΟΦΙΚΑ ΦΥΤΑ ΓΙΑ ΖΩΟΤΡΟΦΕΣΣΟΡΓΟ ΔΙΑΦΟΡΑ</v>
      </c>
      <c r="B2822" s="4" t="s">
        <v>5215</v>
      </c>
      <c r="C2822" s="5" t="s">
        <v>5374</v>
      </c>
      <c r="D2822" s="6">
        <v>363.85</v>
      </c>
      <c r="E2822" s="6">
        <v>331.13</v>
      </c>
      <c r="F2822" s="7" t="s">
        <v>14</v>
      </c>
      <c r="G2822" s="8" t="s">
        <v>5375</v>
      </c>
      <c r="H2822" s="8" t="s">
        <v>16</v>
      </c>
      <c r="I2822" s="9">
        <v>4020</v>
      </c>
      <c r="J2822" s="10">
        <v>8</v>
      </c>
      <c r="K2822" s="10">
        <v>7300</v>
      </c>
      <c r="L2822" s="3" t="str">
        <f t="shared" si="91"/>
        <v>ΚΤΗΝΟΤΡΟΦΙΚΑ_ΦΥΤΑ_ΓΙΑ_ΖΩΟΤΡΟΦΕΣ</v>
      </c>
    </row>
    <row r="2823" spans="1:12" s="3" customFormat="1" ht="24" x14ac:dyDescent="0.25">
      <c r="A2823" s="3" t="str">
        <f t="shared" si="90"/>
        <v>ΚΤΗΝΟΤΡΟΦΙΚΑ ΦΥΤΑ ΓΙΑ ΖΩΟΤΡΟΦΕΣΣΟΡΓΟ ΚΡΟΚΙΟΝ</v>
      </c>
      <c r="B2823" s="4" t="s">
        <v>5215</v>
      </c>
      <c r="C2823" s="5" t="s">
        <v>5376</v>
      </c>
      <c r="D2823" s="6">
        <v>363.85</v>
      </c>
      <c r="E2823" s="6">
        <v>331.13</v>
      </c>
      <c r="F2823" s="7" t="s">
        <v>14</v>
      </c>
      <c r="G2823" s="8" t="s">
        <v>5377</v>
      </c>
      <c r="H2823" s="8" t="s">
        <v>16</v>
      </c>
      <c r="I2823" s="9">
        <v>4031</v>
      </c>
      <c r="J2823" s="10">
        <v>8</v>
      </c>
      <c r="K2823" s="10">
        <v>7301</v>
      </c>
      <c r="L2823" s="3" t="str">
        <f t="shared" si="91"/>
        <v>ΚΤΗΝΟΤΡΟΦΙΚΑ_ΦΥΤΑ_ΓΙΑ_ΖΩΟΤΡΟΦΕΣ</v>
      </c>
    </row>
    <row r="2824" spans="1:12" s="3" customFormat="1" ht="24" x14ac:dyDescent="0.25">
      <c r="A2824" s="3" t="str">
        <f t="shared" si="90"/>
        <v>ΚΤΗΝΟΤΡΟΦΙΚΑ ΦΥΤΑ ΓΙΑ ΖΩΟΤΡΟΦΕΣΤΡΙΤΙΚΑΛΕ ΔΙΑΦΟΡΑ</v>
      </c>
      <c r="B2824" s="4" t="s">
        <v>5215</v>
      </c>
      <c r="C2824" s="5" t="s">
        <v>5378</v>
      </c>
      <c r="D2824" s="6">
        <v>363.85</v>
      </c>
      <c r="E2824" s="6">
        <v>331.13</v>
      </c>
      <c r="F2824" s="7" t="s">
        <v>14</v>
      </c>
      <c r="G2824" s="8" t="s">
        <v>5379</v>
      </c>
      <c r="H2824" s="8" t="s">
        <v>16</v>
      </c>
      <c r="I2824" s="9">
        <v>3861</v>
      </c>
      <c r="J2824" s="10">
        <v>8</v>
      </c>
      <c r="K2824" s="10">
        <v>7600</v>
      </c>
      <c r="L2824" s="3" t="str">
        <f t="shared" si="91"/>
        <v>ΚΤΗΝΟΤΡΟΦΙΚΑ_ΦΥΤΑ_ΓΙΑ_ΖΩΟΤΡΟΦΕΣ</v>
      </c>
    </row>
    <row r="2825" spans="1:12" s="3" customFormat="1" ht="24" x14ac:dyDescent="0.25">
      <c r="A2825" s="3" t="str">
        <f t="shared" si="90"/>
        <v>ΚΤΗΝΟΤΡΟΦΙΚΑ ΦΥΤΑ ΓΙΑ ΖΩΟΤΡΟΦΕΣΤΡΙΤΙΚΑΛΕ ΒΡΟΝΤΗ</v>
      </c>
      <c r="B2825" s="4" t="s">
        <v>5215</v>
      </c>
      <c r="C2825" s="5" t="s">
        <v>5380</v>
      </c>
      <c r="D2825" s="6">
        <v>363.85</v>
      </c>
      <c r="E2825" s="6">
        <v>331.13</v>
      </c>
      <c r="F2825" s="7" t="s">
        <v>14</v>
      </c>
      <c r="G2825" s="8" t="s">
        <v>5381</v>
      </c>
      <c r="H2825" s="8" t="s">
        <v>16</v>
      </c>
      <c r="I2825" s="9">
        <v>3858</v>
      </c>
      <c r="J2825" s="10">
        <v>8</v>
      </c>
      <c r="K2825" s="10">
        <v>7601</v>
      </c>
      <c r="L2825" s="3" t="str">
        <f t="shared" si="91"/>
        <v>ΚΤΗΝΟΤΡΟΦΙΚΑ_ΦΥΤΑ_ΓΙΑ_ΖΩΟΤΡΟΦΕΣ</v>
      </c>
    </row>
    <row r="2826" spans="1:12" s="3" customFormat="1" ht="24" x14ac:dyDescent="0.25">
      <c r="A2826" s="3" t="str">
        <f t="shared" si="90"/>
        <v>ΚΤΗΝΟΤΡΟΦΙΚΑ ΦΥΤΑ ΓΙΑ ΖΩΟΤΡΟΦΕΣΤΡΙΤΙΚΑΛΕ ΒΡΥΤΩ</v>
      </c>
      <c r="B2826" s="4" t="s">
        <v>5215</v>
      </c>
      <c r="C2826" s="5" t="s">
        <v>5382</v>
      </c>
      <c r="D2826" s="6">
        <v>363.85</v>
      </c>
      <c r="E2826" s="6">
        <v>331.13</v>
      </c>
      <c r="F2826" s="7" t="s">
        <v>14</v>
      </c>
      <c r="G2826" s="8" t="s">
        <v>5383</v>
      </c>
      <c r="H2826" s="8" t="s">
        <v>16</v>
      </c>
      <c r="I2826" s="9">
        <v>3803</v>
      </c>
      <c r="J2826" s="10">
        <v>8</v>
      </c>
      <c r="K2826" s="10">
        <v>7602</v>
      </c>
      <c r="L2826" s="3" t="str">
        <f t="shared" si="91"/>
        <v>ΚΤΗΝΟΤΡΟΦΙΚΑ_ΦΥΤΑ_ΓΙΑ_ΖΩΟΤΡΟΦΕΣ</v>
      </c>
    </row>
    <row r="2827" spans="1:12" s="3" customFormat="1" ht="24" x14ac:dyDescent="0.25">
      <c r="A2827" s="3" t="str">
        <f t="shared" si="90"/>
        <v>ΚΤΗΝΟΤΡΟΦΙΚΑ ΦΥΤΑ ΓΙΑ ΖΩΟΤΡΟΦΕΣΤΡΙΤΙΚΑΛΕ ΔΑΔΑ</v>
      </c>
      <c r="B2827" s="4" t="s">
        <v>5215</v>
      </c>
      <c r="C2827" s="5" t="s">
        <v>5384</v>
      </c>
      <c r="D2827" s="6">
        <v>363.85</v>
      </c>
      <c r="E2827" s="6">
        <v>331.13</v>
      </c>
      <c r="F2827" s="7" t="s">
        <v>14</v>
      </c>
      <c r="G2827" s="8" t="s">
        <v>5385</v>
      </c>
      <c r="H2827" s="8" t="s">
        <v>16</v>
      </c>
      <c r="I2827" s="9">
        <v>3987</v>
      </c>
      <c r="J2827" s="10">
        <v>8</v>
      </c>
      <c r="K2827" s="10">
        <v>7603</v>
      </c>
      <c r="L2827" s="3" t="str">
        <f t="shared" si="91"/>
        <v>ΚΤΗΝΟΤΡΟΦΙΚΑ_ΦΥΤΑ_ΓΙΑ_ΖΩΟΤΡΟΦΕΣ</v>
      </c>
    </row>
    <row r="2828" spans="1:12" s="3" customFormat="1" ht="24" x14ac:dyDescent="0.25">
      <c r="A2828" s="3" t="str">
        <f t="shared" si="90"/>
        <v>ΚΤΗΝΟΤΡΟΦΙΚΑ ΦΥΤΑ ΓΙΑ ΖΩΟΤΡΟΦΕΣΤΡΙΤΙΚΑΛΕ ΘΙΣΒΗ</v>
      </c>
      <c r="B2828" s="4" t="s">
        <v>5215</v>
      </c>
      <c r="C2828" s="5" t="s">
        <v>5386</v>
      </c>
      <c r="D2828" s="6">
        <v>363.85</v>
      </c>
      <c r="E2828" s="6">
        <v>331.13</v>
      </c>
      <c r="F2828" s="7" t="s">
        <v>14</v>
      </c>
      <c r="G2828" s="8" t="s">
        <v>5387</v>
      </c>
      <c r="H2828" s="8" t="s">
        <v>16</v>
      </c>
      <c r="I2828" s="9">
        <v>3988</v>
      </c>
      <c r="J2828" s="10">
        <v>8</v>
      </c>
      <c r="K2828" s="10">
        <v>7604</v>
      </c>
      <c r="L2828" s="3" t="str">
        <f t="shared" si="91"/>
        <v>ΚΤΗΝΟΤΡΟΦΙΚΑ_ΦΥΤΑ_ΓΙΑ_ΖΩΟΤΡΟΦΕΣ</v>
      </c>
    </row>
    <row r="2829" spans="1:12" s="3" customFormat="1" ht="24" x14ac:dyDescent="0.25">
      <c r="A2829" s="3" t="str">
        <f t="shared" si="90"/>
        <v>ΚΤΗΝΟΤΡΟΦΙΚΑ ΦΥΤΑ ΓΙΑ ΖΩΟΤΡΟΦΕΣΤΡΙΤΙΚΑΛΕ ΝΙΟΒΗ</v>
      </c>
      <c r="B2829" s="4" t="s">
        <v>5215</v>
      </c>
      <c r="C2829" s="5" t="s">
        <v>5388</v>
      </c>
      <c r="D2829" s="6">
        <v>363.85</v>
      </c>
      <c r="E2829" s="6">
        <v>331.13</v>
      </c>
      <c r="F2829" s="7" t="s">
        <v>14</v>
      </c>
      <c r="G2829" s="8" t="s">
        <v>5389</v>
      </c>
      <c r="H2829" s="8" t="s">
        <v>16</v>
      </c>
      <c r="I2829" s="9">
        <v>4011</v>
      </c>
      <c r="J2829" s="10">
        <v>8</v>
      </c>
      <c r="K2829" s="10">
        <v>7605</v>
      </c>
      <c r="L2829" s="3" t="str">
        <f t="shared" si="91"/>
        <v>ΚΤΗΝΟΤΡΟΦΙΚΑ_ΦΥΤΑ_ΓΙΑ_ΖΩΟΤΡΟΦΕΣ</v>
      </c>
    </row>
    <row r="2830" spans="1:12" s="3" customFormat="1" ht="24" x14ac:dyDescent="0.25">
      <c r="A2830" s="3" t="str">
        <f t="shared" si="90"/>
        <v>ΚΤΗΝΟΤΡΟΦΙΚΑ ΦΥΤΑ ΓΙΑ ΖΩΟΤΡΟΦΕΣΛΟΛΙΟΥΜ</v>
      </c>
      <c r="B2830" s="4" t="s">
        <v>5215</v>
      </c>
      <c r="C2830" s="5" t="s">
        <v>5390</v>
      </c>
      <c r="D2830" s="6">
        <v>1008.29</v>
      </c>
      <c r="E2830" s="6">
        <v>1051.74</v>
      </c>
      <c r="F2830" s="7" t="s">
        <v>14</v>
      </c>
      <c r="G2830" s="8" t="s">
        <v>5391</v>
      </c>
      <c r="H2830" s="8" t="s">
        <v>16</v>
      </c>
      <c r="I2830" s="9">
        <v>3973</v>
      </c>
      <c r="J2830" s="10">
        <v>8</v>
      </c>
      <c r="K2830" s="10">
        <v>7607</v>
      </c>
      <c r="L2830" s="3" t="str">
        <f t="shared" si="91"/>
        <v>ΚΤΗΝΟΤΡΟΦΙΚΑ_ΦΥΤΑ_ΓΙΑ_ΖΩΟΤΡΟΦΕΣ</v>
      </c>
    </row>
    <row r="2831" spans="1:12" s="3" customFormat="1" ht="24" x14ac:dyDescent="0.25">
      <c r="A2831" s="3" t="str">
        <f t="shared" si="90"/>
        <v>ΚΤΗΝΟΤΡΟΦΙΚΑ ΦΥΤΑ ΓΙΑ ΖΩΟΤΡΟΦΕΣΣΙΤΟΣ ΜΑΛΑΚΟΣ ΔΙΑΦΟΡΑ</v>
      </c>
      <c r="B2831" s="4" t="s">
        <v>5215</v>
      </c>
      <c r="C2831" s="5" t="s">
        <v>5392</v>
      </c>
      <c r="D2831" s="6">
        <v>491.53</v>
      </c>
      <c r="E2831" s="6">
        <v>485.9</v>
      </c>
      <c r="F2831" s="7" t="s">
        <v>14</v>
      </c>
      <c r="G2831" s="8" t="s">
        <v>5393</v>
      </c>
      <c r="H2831" s="8" t="s">
        <v>16</v>
      </c>
      <c r="I2831" s="9">
        <v>4001</v>
      </c>
      <c r="J2831" s="10">
        <v>8</v>
      </c>
      <c r="K2831" s="10">
        <v>7700</v>
      </c>
      <c r="L2831" s="3" t="str">
        <f t="shared" si="91"/>
        <v>ΚΤΗΝΟΤΡΟΦΙΚΑ_ΦΥΤΑ_ΓΙΑ_ΖΩΟΤΡΟΦΕΣ</v>
      </c>
    </row>
    <row r="2832" spans="1:12" s="3" customFormat="1" ht="24" x14ac:dyDescent="0.25">
      <c r="A2832" s="3" t="str">
        <f t="shared" si="90"/>
        <v>ΚΤΗΝΟΤΡΟΦΙΚΑ ΦΥΤΑ ΓΙΑ ΖΩΟΤΡΟΦΕΣΣΙΤΟΣ ΜΑΛΑΚΟΣ ΑΙΓΕΣ</v>
      </c>
      <c r="B2832" s="4" t="s">
        <v>5215</v>
      </c>
      <c r="C2832" s="5" t="s">
        <v>5394</v>
      </c>
      <c r="D2832" s="6">
        <v>491.53</v>
      </c>
      <c r="E2832" s="6">
        <v>485.9</v>
      </c>
      <c r="F2832" s="7" t="s">
        <v>14</v>
      </c>
      <c r="G2832" s="8" t="s">
        <v>5395</v>
      </c>
      <c r="H2832" s="8" t="s">
        <v>16</v>
      </c>
      <c r="I2832" s="9">
        <v>4039</v>
      </c>
      <c r="J2832" s="10">
        <v>8</v>
      </c>
      <c r="K2832" s="10">
        <v>7701</v>
      </c>
      <c r="L2832" s="3" t="str">
        <f t="shared" si="91"/>
        <v>ΚΤΗΝΟΤΡΟΦΙΚΑ_ΦΥΤΑ_ΓΙΑ_ΖΩΟΤΡΟΦΕΣ</v>
      </c>
    </row>
    <row r="2833" spans="1:12" s="3" customFormat="1" ht="24" x14ac:dyDescent="0.25">
      <c r="A2833" s="3" t="str">
        <f t="shared" si="90"/>
        <v>ΚΤΗΝΟΤΡΟΦΙΚΑ ΦΥΤΑ ΓΙΑ ΖΩΟΤΡΟΦΕΣΣΙΤΟΣ ΜΑΛΑΚΟΣ ΑΛΦΕΙΟΣ</v>
      </c>
      <c r="B2833" s="4" t="s">
        <v>5215</v>
      </c>
      <c r="C2833" s="5" t="s">
        <v>5396</v>
      </c>
      <c r="D2833" s="6">
        <v>491.53</v>
      </c>
      <c r="E2833" s="6">
        <v>485.9</v>
      </c>
      <c r="F2833" s="7" t="s">
        <v>14</v>
      </c>
      <c r="G2833" s="8" t="s">
        <v>5397</v>
      </c>
      <c r="H2833" s="8" t="s">
        <v>16</v>
      </c>
      <c r="I2833" s="9">
        <v>4042</v>
      </c>
      <c r="J2833" s="10">
        <v>8</v>
      </c>
      <c r="K2833" s="10">
        <v>7702</v>
      </c>
      <c r="L2833" s="3" t="str">
        <f t="shared" si="91"/>
        <v>ΚΤΗΝΟΤΡΟΦΙΚΑ_ΦΥΤΑ_ΓΙΑ_ΖΩΟΤΡΟΦΕΣ</v>
      </c>
    </row>
    <row r="2834" spans="1:12" s="3" customFormat="1" ht="24" x14ac:dyDescent="0.25">
      <c r="A2834" s="3" t="str">
        <f t="shared" si="90"/>
        <v>ΚΤΗΝΟΤΡΟΦΙΚΑ ΦΥΤΑ ΓΙΑ ΖΩΟΤΡΟΦΕΣΣΙΤΟΣ ΜΑΛΑΚΟΣ ΑΜΥΝΤΑΣ</v>
      </c>
      <c r="B2834" s="4" t="s">
        <v>5215</v>
      </c>
      <c r="C2834" s="5" t="s">
        <v>5398</v>
      </c>
      <c r="D2834" s="6">
        <v>491.53</v>
      </c>
      <c r="E2834" s="6">
        <v>485.9</v>
      </c>
      <c r="F2834" s="7" t="s">
        <v>14</v>
      </c>
      <c r="G2834" s="8" t="s">
        <v>5399</v>
      </c>
      <c r="H2834" s="8" t="s">
        <v>16</v>
      </c>
      <c r="I2834" s="9">
        <v>4043</v>
      </c>
      <c r="J2834" s="10">
        <v>8</v>
      </c>
      <c r="K2834" s="10">
        <v>7703</v>
      </c>
      <c r="L2834" s="3" t="str">
        <f t="shared" si="91"/>
        <v>ΚΤΗΝΟΤΡΟΦΙΚΑ_ΦΥΤΑ_ΓΙΑ_ΖΩΟΤΡΟΦΕΣ</v>
      </c>
    </row>
    <row r="2835" spans="1:12" s="3" customFormat="1" ht="24" x14ac:dyDescent="0.25">
      <c r="A2835" s="3" t="str">
        <f t="shared" si="90"/>
        <v>ΚΤΗΝΟΤΡΟΦΙΚΑ ΦΥΤΑ ΓΙΑ ΖΩΟΤΡΟΦΕΣΣΙΤΟΣ ΜΑΛΑΚΟΣ ΑΞΙΟΣ</v>
      </c>
      <c r="B2835" s="4" t="s">
        <v>5215</v>
      </c>
      <c r="C2835" s="5" t="s">
        <v>5400</v>
      </c>
      <c r="D2835" s="6">
        <v>491.53</v>
      </c>
      <c r="E2835" s="6">
        <v>485.9</v>
      </c>
      <c r="F2835" s="7" t="s">
        <v>14</v>
      </c>
      <c r="G2835" s="8" t="s">
        <v>5401</v>
      </c>
      <c r="H2835" s="8" t="s">
        <v>16</v>
      </c>
      <c r="I2835" s="9">
        <v>4041</v>
      </c>
      <c r="J2835" s="10">
        <v>8</v>
      </c>
      <c r="K2835" s="10">
        <v>7704</v>
      </c>
      <c r="L2835" s="3" t="str">
        <f t="shared" si="91"/>
        <v>ΚΤΗΝΟΤΡΟΦΙΚΑ_ΦΥΤΑ_ΓΙΑ_ΖΩΟΤΡΟΦΕΣ</v>
      </c>
    </row>
    <row r="2836" spans="1:12" s="3" customFormat="1" ht="24" x14ac:dyDescent="0.25">
      <c r="A2836" s="3" t="str">
        <f t="shared" si="90"/>
        <v>ΚΤΗΝΟΤΡΟΦΙΚΑ ΦΥΤΑ ΓΙΑ ΖΩΟΤΡΟΦΕΣΣΙΤΟΣ ΜΑΛΑΚΟΣ ΑΡΑΧΘΟΣ</v>
      </c>
      <c r="B2836" s="4" t="s">
        <v>5215</v>
      </c>
      <c r="C2836" s="5" t="s">
        <v>5402</v>
      </c>
      <c r="D2836" s="6">
        <v>491.53</v>
      </c>
      <c r="E2836" s="6">
        <v>485.9</v>
      </c>
      <c r="F2836" s="7" t="s">
        <v>14</v>
      </c>
      <c r="G2836" s="8" t="s">
        <v>5403</v>
      </c>
      <c r="H2836" s="8" t="s">
        <v>16</v>
      </c>
      <c r="I2836" s="9">
        <v>4037</v>
      </c>
      <c r="J2836" s="10">
        <v>8</v>
      </c>
      <c r="K2836" s="10">
        <v>7705</v>
      </c>
      <c r="L2836" s="3" t="str">
        <f t="shared" si="91"/>
        <v>ΚΤΗΝΟΤΡΟΦΙΚΑ_ΦΥΤΑ_ΓΙΑ_ΖΩΟΤΡΟΦΕΣ</v>
      </c>
    </row>
    <row r="2837" spans="1:12" s="3" customFormat="1" ht="24" x14ac:dyDescent="0.25">
      <c r="A2837" s="3" t="str">
        <f t="shared" si="90"/>
        <v>ΚΤΗΝΟΤΡΟΦΙΚΑ ΦΥΤΑ ΓΙΑ ΖΩΟΤΡΟΦΕΣΣΙΤΟΣ ΜΑΛΑΚΟΣ ARTEMIS</v>
      </c>
      <c r="B2837" s="4" t="s">
        <v>5215</v>
      </c>
      <c r="C2837" s="5" t="s">
        <v>5404</v>
      </c>
      <c r="D2837" s="6">
        <v>491.53</v>
      </c>
      <c r="E2837" s="6">
        <v>485.9</v>
      </c>
      <c r="F2837" s="7" t="s">
        <v>14</v>
      </c>
      <c r="G2837" s="8" t="s">
        <v>5405</v>
      </c>
      <c r="H2837" s="8" t="s">
        <v>16</v>
      </c>
      <c r="I2837" s="9">
        <v>4036</v>
      </c>
      <c r="J2837" s="10">
        <v>8</v>
      </c>
      <c r="K2837" s="10">
        <v>7706</v>
      </c>
      <c r="L2837" s="3" t="str">
        <f t="shared" si="91"/>
        <v>ΚΤΗΝΟΤΡΟΦΙΚΑ_ΦΥΤΑ_ΓΙΑ_ΖΩΟΤΡΟΦΕΣ</v>
      </c>
    </row>
    <row r="2838" spans="1:12" s="3" customFormat="1" ht="24" x14ac:dyDescent="0.25">
      <c r="A2838" s="3" t="str">
        <f t="shared" si="90"/>
        <v>ΚΤΗΝΟΤΡΟΦΙΚΑ ΦΥΤΑ ΓΙΑ ΖΩΟΤΡΟΦΕΣΣΙΤΟΣ ΜΑΛΑΚΟΣ ΑΧΕΛΩΟΣ</v>
      </c>
      <c r="B2838" s="4" t="s">
        <v>5215</v>
      </c>
      <c r="C2838" s="5" t="s">
        <v>5406</v>
      </c>
      <c r="D2838" s="6">
        <v>491.53</v>
      </c>
      <c r="E2838" s="6">
        <v>485.9</v>
      </c>
      <c r="F2838" s="7" t="s">
        <v>14</v>
      </c>
      <c r="G2838" s="8" t="s">
        <v>5407</v>
      </c>
      <c r="H2838" s="8" t="s">
        <v>16</v>
      </c>
      <c r="I2838" s="9">
        <v>4035</v>
      </c>
      <c r="J2838" s="10">
        <v>8</v>
      </c>
      <c r="K2838" s="10">
        <v>7707</v>
      </c>
      <c r="L2838" s="3" t="str">
        <f t="shared" si="91"/>
        <v>ΚΤΗΝΟΤΡΟΦΙΚΑ_ΦΥΤΑ_ΓΙΑ_ΖΩΟΤΡΟΦΕΣ</v>
      </c>
    </row>
    <row r="2839" spans="1:12" s="3" customFormat="1" ht="24" x14ac:dyDescent="0.25">
      <c r="A2839" s="3" t="str">
        <f t="shared" si="90"/>
        <v>ΚΤΗΝΟΤΡΟΦΙΚΑ ΦΥΤΑ ΓΙΑ ΖΩΟΤΡΟΦΕΣΣΙΤΟΣ ΜΑΛΑΚΟΣ ΒΕΡΓΙΝΑ</v>
      </c>
      <c r="B2839" s="4" t="s">
        <v>5215</v>
      </c>
      <c r="C2839" s="5" t="s">
        <v>5408</v>
      </c>
      <c r="D2839" s="6">
        <v>491.53</v>
      </c>
      <c r="E2839" s="6">
        <v>485.9</v>
      </c>
      <c r="F2839" s="7" t="s">
        <v>14</v>
      </c>
      <c r="G2839" s="8" t="s">
        <v>5409</v>
      </c>
      <c r="H2839" s="8" t="s">
        <v>16</v>
      </c>
      <c r="I2839" s="9">
        <v>4034</v>
      </c>
      <c r="J2839" s="10">
        <v>8</v>
      </c>
      <c r="K2839" s="10">
        <v>7708</v>
      </c>
      <c r="L2839" s="3" t="str">
        <f t="shared" si="91"/>
        <v>ΚΤΗΝΟΤΡΟΦΙΚΑ_ΦΥΤΑ_ΓΙΑ_ΖΩΟΤΡΟΦΕΣ</v>
      </c>
    </row>
    <row r="2840" spans="1:12" s="3" customFormat="1" ht="24" x14ac:dyDescent="0.25">
      <c r="A2840" s="3" t="str">
        <f t="shared" si="90"/>
        <v>ΚΤΗΝΟΤΡΟΦΙΚΑ ΦΥΤΑ ΓΙΑ ΖΩΟΤΡΟΦΕΣΣΙΤΟΣ ΜΑΛΑΚΟΣ ΒΙΤΣΙ</v>
      </c>
      <c r="B2840" s="4" t="s">
        <v>5215</v>
      </c>
      <c r="C2840" s="5" t="s">
        <v>5410</v>
      </c>
      <c r="D2840" s="6">
        <v>491.53</v>
      </c>
      <c r="E2840" s="6">
        <v>485.9</v>
      </c>
      <c r="F2840" s="7" t="s">
        <v>14</v>
      </c>
      <c r="G2840" s="8" t="s">
        <v>5411</v>
      </c>
      <c r="H2840" s="8" t="s">
        <v>16</v>
      </c>
      <c r="I2840" s="9">
        <v>4033</v>
      </c>
      <c r="J2840" s="10">
        <v>8</v>
      </c>
      <c r="K2840" s="10">
        <v>7709</v>
      </c>
      <c r="L2840" s="3" t="str">
        <f t="shared" si="91"/>
        <v>ΚΤΗΝΟΤΡΟΦΙΚΑ_ΦΥΤΑ_ΓΙΑ_ΖΩΟΤΡΟΦΕΣ</v>
      </c>
    </row>
    <row r="2841" spans="1:12" s="3" customFormat="1" ht="24" x14ac:dyDescent="0.25">
      <c r="A2841" s="3" t="str">
        <f t="shared" si="90"/>
        <v>ΚΤΗΝΟΤΡΟΦΙΚΑ ΦΥΤΑ ΓΙΑ ΖΩΟΤΡΟΦΕΣΣΙΤΟΣ ΜΑΛΑΚΟΣ ΓΑΛΗΝΗ "Ε"</v>
      </c>
      <c r="B2841" s="4" t="s">
        <v>5215</v>
      </c>
      <c r="C2841" s="5" t="s">
        <v>5412</v>
      </c>
      <c r="D2841" s="6">
        <v>491.53</v>
      </c>
      <c r="E2841" s="6">
        <v>485.9</v>
      </c>
      <c r="F2841" s="7" t="s">
        <v>14</v>
      </c>
      <c r="G2841" s="8" t="s">
        <v>5413</v>
      </c>
      <c r="H2841" s="8" t="s">
        <v>16</v>
      </c>
      <c r="I2841" s="9">
        <v>4032</v>
      </c>
      <c r="J2841" s="10">
        <v>8</v>
      </c>
      <c r="K2841" s="10">
        <v>7710</v>
      </c>
      <c r="L2841" s="3" t="str">
        <f t="shared" si="91"/>
        <v>ΚΤΗΝΟΤΡΟΦΙΚΑ_ΦΥΤΑ_ΓΙΑ_ΖΩΟΤΡΟΦΕΣ</v>
      </c>
    </row>
    <row r="2842" spans="1:12" s="3" customFormat="1" ht="24" x14ac:dyDescent="0.25">
      <c r="A2842" s="3" t="str">
        <f t="shared" si="90"/>
        <v>ΚΤΗΝΟΤΡΟΦΙΚΑ ΦΥΤΑ ΓΙΑ ΖΩΟΤΡΟΦΕΣΣΙΤΟΣ ΜΑΛΑΚΟΣ CASTAN</v>
      </c>
      <c r="B2842" s="4" t="s">
        <v>5215</v>
      </c>
      <c r="C2842" s="5" t="s">
        <v>5414</v>
      </c>
      <c r="D2842" s="6">
        <v>491.53</v>
      </c>
      <c r="E2842" s="6">
        <v>485.9</v>
      </c>
      <c r="F2842" s="7" t="s">
        <v>14</v>
      </c>
      <c r="G2842" s="8" t="s">
        <v>5415</v>
      </c>
      <c r="H2842" s="8" t="s">
        <v>16</v>
      </c>
      <c r="I2842" s="9">
        <v>4012</v>
      </c>
      <c r="J2842" s="10">
        <v>8</v>
      </c>
      <c r="K2842" s="10">
        <v>7711</v>
      </c>
      <c r="L2842" s="3" t="str">
        <f t="shared" si="91"/>
        <v>ΚΤΗΝΟΤΡΟΦΙΚΑ_ΦΥΤΑ_ΓΙΑ_ΖΩΟΤΡΟΦΕΣ</v>
      </c>
    </row>
    <row r="2843" spans="1:12" s="3" customFormat="1" ht="24" x14ac:dyDescent="0.25">
      <c r="A2843" s="3" t="str">
        <f t="shared" si="90"/>
        <v>ΚΤΗΝΟΤΡΟΦΙΚΑ ΦΥΤΑ ΓΙΑ ΖΩΟΤΡΟΦΕΣΣΙΤΟΣ ΜΑΛΑΚΟΣ CHECCO</v>
      </c>
      <c r="B2843" s="4" t="s">
        <v>5215</v>
      </c>
      <c r="C2843" s="5" t="s">
        <v>5416</v>
      </c>
      <c r="D2843" s="6">
        <v>491.53</v>
      </c>
      <c r="E2843" s="6">
        <v>485.9</v>
      </c>
      <c r="F2843" s="7" t="s">
        <v>14</v>
      </c>
      <c r="G2843" s="8" t="s">
        <v>5417</v>
      </c>
      <c r="H2843" s="8" t="s">
        <v>16</v>
      </c>
      <c r="I2843" s="9">
        <v>4016</v>
      </c>
      <c r="J2843" s="10">
        <v>8</v>
      </c>
      <c r="K2843" s="10">
        <v>7712</v>
      </c>
      <c r="L2843" s="3" t="str">
        <f t="shared" si="91"/>
        <v>ΚΤΗΝΟΤΡΟΦΙΚΑ_ΦΥΤΑ_ΓΙΑ_ΖΩΟΤΡΟΦΕΣ</v>
      </c>
    </row>
    <row r="2844" spans="1:12" s="3" customFormat="1" ht="24" x14ac:dyDescent="0.25">
      <c r="A2844" s="3" t="str">
        <f t="shared" si="90"/>
        <v>ΚΤΗΝΟΤΡΟΦΙΚΑ ΦΥΤΑ ΓΙΑ ΖΩΟΤΡΟΦΕΣΣΙΤΟΣ ΜΑΛΑΚΟΣ ΓΕΚΟΡΑ "Ε"</v>
      </c>
      <c r="B2844" s="4" t="s">
        <v>5215</v>
      </c>
      <c r="C2844" s="5" t="s">
        <v>5418</v>
      </c>
      <c r="D2844" s="6">
        <v>491.53</v>
      </c>
      <c r="E2844" s="6">
        <v>485.9</v>
      </c>
      <c r="F2844" s="7" t="s">
        <v>14</v>
      </c>
      <c r="G2844" s="8" t="s">
        <v>5419</v>
      </c>
      <c r="H2844" s="8" t="s">
        <v>16</v>
      </c>
      <c r="I2844" s="9">
        <v>4022</v>
      </c>
      <c r="J2844" s="10">
        <v>8</v>
      </c>
      <c r="K2844" s="10">
        <v>7713</v>
      </c>
      <c r="L2844" s="3" t="str">
        <f t="shared" si="91"/>
        <v>ΚΤΗΝΟΤΡΟΦΙΚΑ_ΦΥΤΑ_ΓΙΑ_ΖΩΟΤΡΟΦΕΣ</v>
      </c>
    </row>
    <row r="2845" spans="1:12" s="3" customFormat="1" ht="24" x14ac:dyDescent="0.25">
      <c r="A2845" s="3" t="str">
        <f t="shared" si="90"/>
        <v>ΚΤΗΝΟΤΡΟΦΙΚΑ ΦΥΤΑ ΓΙΑ ΖΩΟΤΡΟΦΕΣΣΙΤΟΣ ΜΑΛΑΚΟΣ ΓΕΝΟΡΟΖΟ "Ε"</v>
      </c>
      <c r="B2845" s="4" t="s">
        <v>5215</v>
      </c>
      <c r="C2845" s="5" t="s">
        <v>5420</v>
      </c>
      <c r="D2845" s="6">
        <v>491.53</v>
      </c>
      <c r="E2845" s="6">
        <v>485.9</v>
      </c>
      <c r="F2845" s="7" t="s">
        <v>14</v>
      </c>
      <c r="G2845" s="8" t="s">
        <v>5421</v>
      </c>
      <c r="H2845" s="8" t="s">
        <v>16</v>
      </c>
      <c r="I2845" s="9">
        <v>4027</v>
      </c>
      <c r="J2845" s="10">
        <v>8</v>
      </c>
      <c r="K2845" s="10">
        <v>7714</v>
      </c>
      <c r="L2845" s="3" t="str">
        <f t="shared" si="91"/>
        <v>ΚΤΗΝΟΤΡΟΦΙΚΑ_ΦΥΤΑ_ΓΙΑ_ΖΩΟΤΡΟΦΕΣ</v>
      </c>
    </row>
    <row r="2846" spans="1:12" s="3" customFormat="1" ht="24" x14ac:dyDescent="0.25">
      <c r="A2846" s="3" t="str">
        <f t="shared" si="90"/>
        <v>ΚΤΗΝΟΤΡΟΦΙΚΑ ΦΥΤΑ ΓΙΑ ΖΩΟΤΡΟΦΕΣΣΙΤΟΣ ΜΑΛΑΚΟΣ GEMINI</v>
      </c>
      <c r="B2846" s="4" t="s">
        <v>5215</v>
      </c>
      <c r="C2846" s="5" t="s">
        <v>5422</v>
      </c>
      <c r="D2846" s="6">
        <v>491.53</v>
      </c>
      <c r="E2846" s="6">
        <v>485.9</v>
      </c>
      <c r="F2846" s="7" t="s">
        <v>14</v>
      </c>
      <c r="G2846" s="8" t="s">
        <v>5423</v>
      </c>
      <c r="H2846" s="8" t="s">
        <v>16</v>
      </c>
      <c r="I2846" s="9">
        <v>3921</v>
      </c>
      <c r="J2846" s="10">
        <v>8</v>
      </c>
      <c r="K2846" s="10">
        <v>7715</v>
      </c>
      <c r="L2846" s="3" t="str">
        <f t="shared" si="91"/>
        <v>ΚΤΗΝΟΤΡΟΦΙΚΑ_ΦΥΤΑ_ΓΙΑ_ΖΩΟΤΡΟΦΕΣ</v>
      </c>
    </row>
    <row r="2847" spans="1:12" s="3" customFormat="1" ht="24" x14ac:dyDescent="0.25">
      <c r="A2847" s="3" t="str">
        <f t="shared" si="90"/>
        <v>ΚΤΗΝΟΤΡΟΦΙΚΑ ΦΥΤΑ ΓΙΑ ΖΩΟΤΡΟΦΕΣΣΙΤΟΣ ΜΑΛΑΚΟΣ GENOROSO</v>
      </c>
      <c r="B2847" s="4" t="s">
        <v>5215</v>
      </c>
      <c r="C2847" s="5" t="s">
        <v>5424</v>
      </c>
      <c r="D2847" s="6">
        <v>491.53</v>
      </c>
      <c r="E2847" s="6">
        <v>485.9</v>
      </c>
      <c r="F2847" s="7" t="s">
        <v>14</v>
      </c>
      <c r="G2847" s="8" t="s">
        <v>5425</v>
      </c>
      <c r="H2847" s="8" t="s">
        <v>16</v>
      </c>
      <c r="I2847" s="9">
        <v>3926</v>
      </c>
      <c r="J2847" s="10">
        <v>8</v>
      </c>
      <c r="K2847" s="10">
        <v>7716</v>
      </c>
      <c r="L2847" s="3" t="str">
        <f t="shared" si="91"/>
        <v>ΚΤΗΝΟΤΡΟΦΙΚΑ_ΦΥΤΑ_ΓΙΑ_ΖΩΟΤΡΟΦΕΣ</v>
      </c>
    </row>
    <row r="2848" spans="1:12" s="3" customFormat="1" ht="24" x14ac:dyDescent="0.25">
      <c r="A2848" s="3" t="str">
        <f t="shared" si="90"/>
        <v>ΚΤΗΝΟΤΡΟΦΙΚΑ ΦΥΤΑ ΓΙΑ ΖΩΟΤΡΟΦΕΣΣΙΤΟΣ ΜΑΛΑΚΟΣ ΓΟΡΓΟΝΑ</v>
      </c>
      <c r="B2848" s="4" t="s">
        <v>5215</v>
      </c>
      <c r="C2848" s="5" t="s">
        <v>5426</v>
      </c>
      <c r="D2848" s="6">
        <v>491.53</v>
      </c>
      <c r="E2848" s="6">
        <v>485.9</v>
      </c>
      <c r="F2848" s="7" t="s">
        <v>14</v>
      </c>
      <c r="G2848" s="8" t="s">
        <v>5427</v>
      </c>
      <c r="H2848" s="8" t="s">
        <v>16</v>
      </c>
      <c r="I2848" s="9">
        <v>3934</v>
      </c>
      <c r="J2848" s="10">
        <v>8</v>
      </c>
      <c r="K2848" s="10">
        <v>7717</v>
      </c>
      <c r="L2848" s="3" t="str">
        <f t="shared" si="91"/>
        <v>ΚΤΗΝΟΤΡΟΦΙΚΑ_ΦΥΤΑ_ΓΙΑ_ΖΩΟΤΡΟΦΕΣ</v>
      </c>
    </row>
    <row r="2849" spans="1:12" s="3" customFormat="1" ht="24" x14ac:dyDescent="0.25">
      <c r="A2849" s="3" t="str">
        <f t="shared" si="90"/>
        <v>ΚΤΗΝΟΤΡΟΦΙΚΑ ΦΥΤΑ ΓΙΑ ΖΩΟΤΡΟΦΕΣΣΙΤΟΣ ΜΑΛΑΚΟΣ ΔΙΟ</v>
      </c>
      <c r="B2849" s="4" t="s">
        <v>5215</v>
      </c>
      <c r="C2849" s="5" t="s">
        <v>5428</v>
      </c>
      <c r="D2849" s="6">
        <v>491.53</v>
      </c>
      <c r="E2849" s="6">
        <v>485.9</v>
      </c>
      <c r="F2849" s="7" t="s">
        <v>14</v>
      </c>
      <c r="G2849" s="8" t="s">
        <v>5429</v>
      </c>
      <c r="H2849" s="8" t="s">
        <v>16</v>
      </c>
      <c r="I2849" s="9">
        <v>3912</v>
      </c>
      <c r="J2849" s="10">
        <v>8</v>
      </c>
      <c r="K2849" s="10">
        <v>7718</v>
      </c>
      <c r="L2849" s="3" t="str">
        <f t="shared" si="91"/>
        <v>ΚΤΗΝΟΤΡΟΦΙΚΑ_ΦΥΤΑ_ΓΙΑ_ΖΩΟΤΡΟΦΕΣ</v>
      </c>
    </row>
    <row r="2850" spans="1:12" s="3" customFormat="1" ht="24" x14ac:dyDescent="0.25">
      <c r="A2850" s="3" t="str">
        <f t="shared" si="90"/>
        <v>ΚΤΗΝΟΤΡΟΦΙΚΑ ΦΥΤΑ ΓΙΑ ΖΩΟΤΡΟΦΕΣΣΙΤΟΣ ΜΑΛΑΚΟΣ ΔΩΔΩΝΗ</v>
      </c>
      <c r="B2850" s="4" t="s">
        <v>5215</v>
      </c>
      <c r="C2850" s="5" t="s">
        <v>5430</v>
      </c>
      <c r="D2850" s="6">
        <v>491.53</v>
      </c>
      <c r="E2850" s="6">
        <v>485.9</v>
      </c>
      <c r="F2850" s="7" t="s">
        <v>14</v>
      </c>
      <c r="G2850" s="8" t="s">
        <v>5431</v>
      </c>
      <c r="H2850" s="8" t="s">
        <v>16</v>
      </c>
      <c r="I2850" s="9">
        <v>3960</v>
      </c>
      <c r="J2850" s="10">
        <v>8</v>
      </c>
      <c r="K2850" s="10">
        <v>7719</v>
      </c>
      <c r="L2850" s="3" t="str">
        <f t="shared" si="91"/>
        <v>ΚΤΗΝΟΤΡΟΦΙΚΑ_ΦΥΤΑ_ΓΙΑ_ΖΩΟΤΡΟΦΕΣ</v>
      </c>
    </row>
    <row r="2851" spans="1:12" s="3" customFormat="1" ht="24" x14ac:dyDescent="0.25">
      <c r="A2851" s="3" t="str">
        <f t="shared" si="90"/>
        <v>ΚΤΗΝΟΤΡΟΦΙΚΑ ΦΥΤΑ ΓΙΑ ΖΩΟΤΡΟΦΕΣΣΙΤΟΣ ΜΑΛΑΚΟΣ ΕΒΡΟΣ</v>
      </c>
      <c r="B2851" s="4" t="s">
        <v>5215</v>
      </c>
      <c r="C2851" s="5" t="s">
        <v>5432</v>
      </c>
      <c r="D2851" s="6">
        <v>491.53</v>
      </c>
      <c r="E2851" s="6">
        <v>485.9</v>
      </c>
      <c r="F2851" s="7" t="s">
        <v>14</v>
      </c>
      <c r="G2851" s="8" t="s">
        <v>5433</v>
      </c>
      <c r="H2851" s="8" t="s">
        <v>16</v>
      </c>
      <c r="I2851" s="9">
        <v>3943</v>
      </c>
      <c r="J2851" s="10">
        <v>8</v>
      </c>
      <c r="K2851" s="10">
        <v>7720</v>
      </c>
      <c r="L2851" s="3" t="str">
        <f t="shared" si="91"/>
        <v>ΚΤΗΝΟΤΡΟΦΙΚΑ_ΦΥΤΑ_ΓΙΑ_ΖΩΟΤΡΟΦΕΣ</v>
      </c>
    </row>
    <row r="2852" spans="1:12" s="3" customFormat="1" ht="24" x14ac:dyDescent="0.25">
      <c r="A2852" s="3" t="str">
        <f t="shared" si="90"/>
        <v>ΚΤΗΝΟΤΡΟΦΙΚΑ ΦΥΤΑ ΓΙΑ ΖΩΟΤΡΟΦΕΣΣΙΤΟΣ ΜΑΛΑΚΟΣ Η-78234</v>
      </c>
      <c r="B2852" s="4" t="s">
        <v>5215</v>
      </c>
      <c r="C2852" s="5" t="s">
        <v>5434</v>
      </c>
      <c r="D2852" s="6">
        <v>491.53</v>
      </c>
      <c r="E2852" s="6">
        <v>485.9</v>
      </c>
      <c r="F2852" s="7" t="s">
        <v>14</v>
      </c>
      <c r="G2852" s="8" t="s">
        <v>5435</v>
      </c>
      <c r="H2852" s="8" t="s">
        <v>16</v>
      </c>
      <c r="I2852" s="9">
        <v>3947</v>
      </c>
      <c r="J2852" s="10">
        <v>8</v>
      </c>
      <c r="K2852" s="10">
        <v>7721</v>
      </c>
      <c r="L2852" s="3" t="str">
        <f t="shared" si="91"/>
        <v>ΚΤΗΝΟΤΡΟΦΙΚΑ_ΦΥΤΑ_ΓΙΑ_ΖΩΟΤΡΟΦΕΣ</v>
      </c>
    </row>
    <row r="2853" spans="1:12" s="3" customFormat="1" ht="24" x14ac:dyDescent="0.25">
      <c r="A2853" s="3" t="str">
        <f t="shared" si="90"/>
        <v>ΚΤΗΝΟΤΡΟΦΙΚΑ ΦΥΤΑ ΓΙΑ ΖΩΟΤΡΟΦΕΣΣΙΤΟΣ ΜΑΛΑΚΟΣ Η-785813</v>
      </c>
      <c r="B2853" s="4" t="s">
        <v>5215</v>
      </c>
      <c r="C2853" s="5" t="s">
        <v>5436</v>
      </c>
      <c r="D2853" s="6">
        <v>491.53</v>
      </c>
      <c r="E2853" s="6">
        <v>485.9</v>
      </c>
      <c r="F2853" s="7" t="s">
        <v>14</v>
      </c>
      <c r="G2853" s="8" t="s">
        <v>5437</v>
      </c>
      <c r="H2853" s="8" t="s">
        <v>16</v>
      </c>
      <c r="I2853" s="9">
        <v>3952</v>
      </c>
      <c r="J2853" s="10">
        <v>8</v>
      </c>
      <c r="K2853" s="10">
        <v>7722</v>
      </c>
      <c r="L2853" s="3" t="str">
        <f t="shared" si="91"/>
        <v>ΚΤΗΝΟΤΡΟΦΙΚΑ_ΦΥΤΑ_ΓΙΑ_ΖΩΟΤΡΟΦΕΣ</v>
      </c>
    </row>
    <row r="2854" spans="1:12" s="3" customFormat="1" ht="24" x14ac:dyDescent="0.25">
      <c r="A2854" s="3" t="str">
        <f t="shared" si="90"/>
        <v>ΚΤΗΝΟΤΡΟΦΙΚΑ ΦΥΤΑ ΓΙΑ ΖΩΟΤΡΟΦΕΣΣΙΤΟΣ ΜΑΛΑΚΟΣ ΘΕΡΜΗ</v>
      </c>
      <c r="B2854" s="4" t="s">
        <v>5215</v>
      </c>
      <c r="C2854" s="5" t="s">
        <v>5438</v>
      </c>
      <c r="D2854" s="6">
        <v>491.53</v>
      </c>
      <c r="E2854" s="6">
        <v>485.9</v>
      </c>
      <c r="F2854" s="7" t="s">
        <v>14</v>
      </c>
      <c r="G2854" s="8" t="s">
        <v>5439</v>
      </c>
      <c r="H2854" s="8" t="s">
        <v>16</v>
      </c>
      <c r="I2854" s="9">
        <v>3948</v>
      </c>
      <c r="J2854" s="10">
        <v>8</v>
      </c>
      <c r="K2854" s="10">
        <v>7723</v>
      </c>
      <c r="L2854" s="3" t="str">
        <f t="shared" si="91"/>
        <v>ΚΤΗΝΟΤΡΟΦΙΚΑ_ΦΥΤΑ_ΓΙΑ_ΖΩΟΤΡΟΦΕΣ</v>
      </c>
    </row>
    <row r="2855" spans="1:12" s="3" customFormat="1" ht="24" x14ac:dyDescent="0.25">
      <c r="A2855" s="3" t="str">
        <f t="shared" si="90"/>
        <v>ΚΤΗΝΟΤΡΟΦΙΚΑ ΦΥΤΑ ΓΙΑ ΖΩΟΤΡΟΦΕΣΣΙΤΟΣ ΜΑΛΑΚΟΣ ΘΥΑΜΙΣ</v>
      </c>
      <c r="B2855" s="4" t="s">
        <v>5215</v>
      </c>
      <c r="C2855" s="5" t="s">
        <v>5440</v>
      </c>
      <c r="D2855" s="6">
        <v>491.53</v>
      </c>
      <c r="E2855" s="6">
        <v>485.9</v>
      </c>
      <c r="F2855" s="7" t="s">
        <v>14</v>
      </c>
      <c r="G2855" s="8" t="s">
        <v>5441</v>
      </c>
      <c r="H2855" s="8" t="s">
        <v>16</v>
      </c>
      <c r="I2855" s="9">
        <v>3946</v>
      </c>
      <c r="J2855" s="10">
        <v>8</v>
      </c>
      <c r="K2855" s="10">
        <v>7724</v>
      </c>
      <c r="L2855" s="3" t="str">
        <f t="shared" si="91"/>
        <v>ΚΤΗΝΟΤΡΟΦΙΚΑ_ΦΥΤΑ_ΓΙΑ_ΖΩΟΤΡΟΦΕΣ</v>
      </c>
    </row>
    <row r="2856" spans="1:12" s="3" customFormat="1" ht="24" x14ac:dyDescent="0.25">
      <c r="A2856" s="3" t="str">
        <f t="shared" si="90"/>
        <v>ΚΤΗΝΟΤΡΟΦΙΚΑ ΦΥΤΑ ΓΙΑ ΖΩΟΤΡΟΦΕΣΣΙΤΟΣ ΜΑΛΑΚΟΣ JANTAR</v>
      </c>
      <c r="B2856" s="4" t="s">
        <v>5215</v>
      </c>
      <c r="C2856" s="5" t="s">
        <v>5442</v>
      </c>
      <c r="D2856" s="6">
        <v>491.53</v>
      </c>
      <c r="E2856" s="6">
        <v>485.9</v>
      </c>
      <c r="F2856" s="7" t="s">
        <v>14</v>
      </c>
      <c r="G2856" s="8" t="s">
        <v>5443</v>
      </c>
      <c r="H2856" s="8" t="s">
        <v>16</v>
      </c>
      <c r="I2856" s="9">
        <v>3942</v>
      </c>
      <c r="J2856" s="10">
        <v>8</v>
      </c>
      <c r="K2856" s="10">
        <v>7725</v>
      </c>
      <c r="L2856" s="3" t="str">
        <f t="shared" si="91"/>
        <v>ΚΤΗΝΟΤΡΟΦΙΚΑ_ΦΥΤΑ_ΓΙΑ_ΖΩΟΤΡΟΦΕΣ</v>
      </c>
    </row>
    <row r="2857" spans="1:12" s="3" customFormat="1" ht="24" x14ac:dyDescent="0.25">
      <c r="A2857" s="3" t="str">
        <f t="shared" si="90"/>
        <v>ΚΤΗΝΟΤΡΟΦΙΚΑ ΦΥΤΑ ΓΙΑ ΖΩΟΤΡΟΦΕΣΣΙΤΟΣ ΜΑΛΑΚΟΣ IRNERIO</v>
      </c>
      <c r="B2857" s="4" t="s">
        <v>5215</v>
      </c>
      <c r="C2857" s="5" t="s">
        <v>5444</v>
      </c>
      <c r="D2857" s="6">
        <v>491.53</v>
      </c>
      <c r="E2857" s="6">
        <v>485.9</v>
      </c>
      <c r="F2857" s="7" t="s">
        <v>14</v>
      </c>
      <c r="G2857" s="8" t="s">
        <v>5445</v>
      </c>
      <c r="H2857" s="8" t="s">
        <v>16</v>
      </c>
      <c r="I2857" s="9">
        <v>3938</v>
      </c>
      <c r="J2857" s="10">
        <v>8</v>
      </c>
      <c r="K2857" s="10">
        <v>7726</v>
      </c>
      <c r="L2857" s="3" t="str">
        <f t="shared" si="91"/>
        <v>ΚΤΗΝΟΤΡΟΦΙΚΑ_ΦΥΤΑ_ΓΙΑ_ΖΩΟΤΡΟΦΕΣ</v>
      </c>
    </row>
    <row r="2858" spans="1:12" s="3" customFormat="1" ht="24" x14ac:dyDescent="0.25">
      <c r="A2858" s="3" t="str">
        <f t="shared" si="90"/>
        <v>ΚΤΗΝΟΤΡΟΦΙΚΑ ΦΥΤΑ ΓΙΑ ΖΩΟΤΡΟΦΕΣΣΙΤΟΣ ΜΑΛΑΚΟΣ KATIA</v>
      </c>
      <c r="B2858" s="4" t="s">
        <v>5215</v>
      </c>
      <c r="C2858" s="5" t="s">
        <v>5446</v>
      </c>
      <c r="D2858" s="6">
        <v>491.53</v>
      </c>
      <c r="E2858" s="6">
        <v>485.9</v>
      </c>
      <c r="F2858" s="7" t="s">
        <v>14</v>
      </c>
      <c r="G2858" s="8" t="s">
        <v>5447</v>
      </c>
      <c r="H2858" s="8" t="s">
        <v>16</v>
      </c>
      <c r="I2858" s="9">
        <v>3970</v>
      </c>
      <c r="J2858" s="10">
        <v>8</v>
      </c>
      <c r="K2858" s="10">
        <v>7727</v>
      </c>
      <c r="L2858" s="3" t="str">
        <f t="shared" si="91"/>
        <v>ΚΤΗΝΟΤΡΟΦΙΚΑ_ΦΥΤΑ_ΓΙΑ_ΖΩΟΤΡΟΦΕΣ</v>
      </c>
    </row>
    <row r="2859" spans="1:12" s="3" customFormat="1" ht="24" x14ac:dyDescent="0.25">
      <c r="A2859" s="3" t="str">
        <f t="shared" si="90"/>
        <v>ΚΤΗΝΟΤΡΟΦΙΚΑ ΦΥΤΑ ΓΙΑ ΖΩΟΤΡΟΦΕΣΣΙΤΟΣ ΜΑΛΑΚΟΣ ΛΟΥΔΙΑΣ</v>
      </c>
      <c r="B2859" s="4" t="s">
        <v>5215</v>
      </c>
      <c r="C2859" s="5" t="s">
        <v>5448</v>
      </c>
      <c r="D2859" s="6">
        <v>491.53</v>
      </c>
      <c r="E2859" s="6">
        <v>485.9</v>
      </c>
      <c r="F2859" s="7" t="s">
        <v>14</v>
      </c>
      <c r="G2859" s="8" t="s">
        <v>5449</v>
      </c>
      <c r="H2859" s="8" t="s">
        <v>16</v>
      </c>
      <c r="I2859" s="9">
        <v>3966</v>
      </c>
      <c r="J2859" s="10">
        <v>8</v>
      </c>
      <c r="K2859" s="10">
        <v>7728</v>
      </c>
      <c r="L2859" s="3" t="str">
        <f t="shared" si="91"/>
        <v>ΚΤΗΝΟΤΡΟΦΙΚΑ_ΦΥΤΑ_ΓΙΑ_ΖΩΟΤΡΟΦΕΣ</v>
      </c>
    </row>
    <row r="2860" spans="1:12" s="3" customFormat="1" ht="24" x14ac:dyDescent="0.25">
      <c r="A2860" s="3" t="str">
        <f t="shared" si="90"/>
        <v>ΚΤΗΝΟΤΡΟΦΙΚΑ ΦΥΤΑ ΓΙΑ ΖΩΟΤΡΟΦΕΣΣΙΤΟΣ ΜΑΛΑΚΟΣ ΛΟΥΡΟΣ</v>
      </c>
      <c r="B2860" s="4" t="s">
        <v>5215</v>
      </c>
      <c r="C2860" s="5" t="s">
        <v>5450</v>
      </c>
      <c r="D2860" s="6">
        <v>491.53</v>
      </c>
      <c r="E2860" s="6">
        <v>485.9</v>
      </c>
      <c r="F2860" s="7" t="s">
        <v>14</v>
      </c>
      <c r="G2860" s="8" t="s">
        <v>5451</v>
      </c>
      <c r="H2860" s="8" t="s">
        <v>16</v>
      </c>
      <c r="I2860" s="9">
        <v>3962</v>
      </c>
      <c r="J2860" s="10">
        <v>8</v>
      </c>
      <c r="K2860" s="10">
        <v>7729</v>
      </c>
      <c r="L2860" s="3" t="str">
        <f t="shared" si="91"/>
        <v>ΚΤΗΝΟΤΡΟΦΙΚΑ_ΦΥΤΑ_ΓΙΑ_ΖΩΟΤΡΟΦΕΣ</v>
      </c>
    </row>
    <row r="2861" spans="1:12" s="3" customFormat="1" ht="24" x14ac:dyDescent="0.25">
      <c r="A2861" s="3" t="str">
        <f t="shared" si="90"/>
        <v>ΚΤΗΝΟΤΡΟΦΙΚΑ ΦΥΤΑ ΓΙΑ ΖΩΟΤΡΟΦΕΣΣΙΤΟΣ ΜΑΛΑΚΟΣ ΛΥΔΙΑ</v>
      </c>
      <c r="B2861" s="4" t="s">
        <v>5215</v>
      </c>
      <c r="C2861" s="5" t="s">
        <v>5452</v>
      </c>
      <c r="D2861" s="6">
        <v>491.53</v>
      </c>
      <c r="E2861" s="6">
        <v>485.9</v>
      </c>
      <c r="F2861" s="7" t="s">
        <v>14</v>
      </c>
      <c r="G2861" s="8" t="s">
        <v>5453</v>
      </c>
      <c r="H2861" s="8" t="s">
        <v>16</v>
      </c>
      <c r="I2861" s="9">
        <v>3958</v>
      </c>
      <c r="J2861" s="10">
        <v>8</v>
      </c>
      <c r="K2861" s="10">
        <v>7730</v>
      </c>
      <c r="L2861" s="3" t="str">
        <f t="shared" si="91"/>
        <v>ΚΤΗΝΟΤΡΟΦΙΚΑ_ΦΥΤΑ_ΓΙΑ_ΖΩΟΤΡΟΦΕΣ</v>
      </c>
    </row>
    <row r="2862" spans="1:12" s="3" customFormat="1" ht="24" x14ac:dyDescent="0.25">
      <c r="A2862" s="3" t="str">
        <f t="shared" si="90"/>
        <v>ΚΤΗΝΟΤΡΟΦΙΚΑ ΦΥΤΑ ΓΙΑ ΖΩΟΤΡΟΦΕΣΣΙΤΟΣ ΜΑΛΑΚΟΣ MEC</v>
      </c>
      <c r="B2862" s="4" t="s">
        <v>5215</v>
      </c>
      <c r="C2862" s="5" t="s">
        <v>5454</v>
      </c>
      <c r="D2862" s="6">
        <v>491.53</v>
      </c>
      <c r="E2862" s="6">
        <v>485.9</v>
      </c>
      <c r="F2862" s="7" t="s">
        <v>14</v>
      </c>
      <c r="G2862" s="8" t="s">
        <v>5455</v>
      </c>
      <c r="H2862" s="8" t="s">
        <v>16</v>
      </c>
      <c r="I2862" s="9">
        <v>3927</v>
      </c>
      <c r="J2862" s="10">
        <v>8</v>
      </c>
      <c r="K2862" s="10">
        <v>7731</v>
      </c>
      <c r="L2862" s="3" t="str">
        <f t="shared" si="91"/>
        <v>ΚΤΗΝΟΤΡΟΦΙΚΑ_ΦΥΤΑ_ΓΙΑ_ΖΩΟΤΡΟΦΕΣ</v>
      </c>
    </row>
    <row r="2863" spans="1:12" s="3" customFormat="1" ht="24" x14ac:dyDescent="0.25">
      <c r="A2863" s="3" t="str">
        <f t="shared" si="90"/>
        <v>ΚΤΗΝΟΤΡΟΦΙΚΑ ΦΥΤΑ ΓΙΑ ΖΩΟΤΡΟΦΕΣΣΙΤΟΣ ΜΑΛΑΚΟΣ ΜΕΛΙΑ</v>
      </c>
      <c r="B2863" s="4" t="s">
        <v>5215</v>
      </c>
      <c r="C2863" s="5" t="s">
        <v>5456</v>
      </c>
      <c r="D2863" s="6">
        <v>491.53</v>
      </c>
      <c r="E2863" s="6">
        <v>485.9</v>
      </c>
      <c r="F2863" s="7" t="s">
        <v>14</v>
      </c>
      <c r="G2863" s="8" t="s">
        <v>5457</v>
      </c>
      <c r="H2863" s="8" t="s">
        <v>16</v>
      </c>
      <c r="I2863" s="9">
        <v>3914</v>
      </c>
      <c r="J2863" s="10">
        <v>8</v>
      </c>
      <c r="K2863" s="10">
        <v>7732</v>
      </c>
      <c r="L2863" s="3" t="str">
        <f t="shared" si="91"/>
        <v>ΚΤΗΝΟΤΡΟΦΙΚΑ_ΦΥΤΑ_ΓΙΑ_ΖΩΟΤΡΟΦΕΣ</v>
      </c>
    </row>
    <row r="2864" spans="1:12" s="3" customFormat="1" ht="24" x14ac:dyDescent="0.25">
      <c r="A2864" s="3" t="str">
        <f t="shared" si="90"/>
        <v>ΚΤΗΝΟΤΡΟΦΙΚΑ ΦΥΤΑ ΓΙΑ ΖΩΟΤΡΟΦΕΣΣΙΤΟΣ ΜΑΛΑΚΟΣ ΜΥΚΟΝΟΣ</v>
      </c>
      <c r="B2864" s="4" t="s">
        <v>5215</v>
      </c>
      <c r="C2864" s="5" t="s">
        <v>5458</v>
      </c>
      <c r="D2864" s="6">
        <v>491.53</v>
      </c>
      <c r="E2864" s="6">
        <v>485.9</v>
      </c>
      <c r="F2864" s="7" t="s">
        <v>14</v>
      </c>
      <c r="G2864" s="8" t="s">
        <v>5459</v>
      </c>
      <c r="H2864" s="8" t="s">
        <v>16</v>
      </c>
      <c r="I2864" s="9">
        <v>3910</v>
      </c>
      <c r="J2864" s="10">
        <v>8</v>
      </c>
      <c r="K2864" s="10">
        <v>7733</v>
      </c>
      <c r="L2864" s="3" t="str">
        <f t="shared" si="91"/>
        <v>ΚΤΗΝΟΤΡΟΦΙΚΑ_ΦΥΤΑ_ΓΙΑ_ΖΩΟΤΡΟΦΕΣ</v>
      </c>
    </row>
    <row r="2865" spans="1:12" s="3" customFormat="1" ht="24" x14ac:dyDescent="0.25">
      <c r="A2865" s="3" t="str">
        <f t="shared" si="90"/>
        <v>ΚΤΗΝΟΤΡΟΦΙΚΑ ΦΥΤΑ ΓΙΑ ΖΩΟΤΡΟΦΕΣΣΙΤΟΣ ΜΑΛΑΚΟΣ ΝΕΣΤΟΣ</v>
      </c>
      <c r="B2865" s="4" t="s">
        <v>5215</v>
      </c>
      <c r="C2865" s="5" t="s">
        <v>5460</v>
      </c>
      <c r="D2865" s="6">
        <v>491.53</v>
      </c>
      <c r="E2865" s="6">
        <v>485.9</v>
      </c>
      <c r="F2865" s="7" t="s">
        <v>14</v>
      </c>
      <c r="G2865" s="8" t="s">
        <v>5461</v>
      </c>
      <c r="H2865" s="8" t="s">
        <v>16</v>
      </c>
      <c r="I2865" s="9">
        <v>3906</v>
      </c>
      <c r="J2865" s="10">
        <v>8</v>
      </c>
      <c r="K2865" s="10">
        <v>7734</v>
      </c>
      <c r="L2865" s="3" t="str">
        <f t="shared" si="91"/>
        <v>ΚΤΗΝΟΤΡΟΦΙΚΑ_ΦΥΤΑ_ΓΙΑ_ΖΩΟΤΡΟΦΕΣ</v>
      </c>
    </row>
    <row r="2866" spans="1:12" s="3" customFormat="1" ht="24" x14ac:dyDescent="0.25">
      <c r="A2866" s="3" t="str">
        <f t="shared" si="90"/>
        <v>ΚΤΗΝΟΤΡΟΦΙΚΑ ΦΥΤΑ ΓΙΑ ΖΩΟΤΡΟΦΕΣΣΙΤΟΣ ΜΑΛΑΚΟΣ ΝΙΚΗ</v>
      </c>
      <c r="B2866" s="4" t="s">
        <v>5215</v>
      </c>
      <c r="C2866" s="5" t="s">
        <v>5462</v>
      </c>
      <c r="D2866" s="6">
        <v>491.53</v>
      </c>
      <c r="E2866" s="6">
        <v>485.9</v>
      </c>
      <c r="F2866" s="7" t="s">
        <v>14</v>
      </c>
      <c r="G2866" s="8" t="s">
        <v>5463</v>
      </c>
      <c r="H2866" s="8" t="s">
        <v>16</v>
      </c>
      <c r="I2866" s="9">
        <v>3909</v>
      </c>
      <c r="J2866" s="10">
        <v>8</v>
      </c>
      <c r="K2866" s="10">
        <v>7735</v>
      </c>
      <c r="L2866" s="3" t="str">
        <f t="shared" si="91"/>
        <v>ΚΤΗΝΟΤΡΟΦΙΚΑ_ΦΥΤΑ_ΓΙΑ_ΖΩΟΤΡΟΦΕΣ</v>
      </c>
    </row>
    <row r="2867" spans="1:12" s="3" customFormat="1" ht="24" x14ac:dyDescent="0.25">
      <c r="A2867" s="3" t="str">
        <f t="shared" si="90"/>
        <v>ΚΤΗΝΟΤΡΟΦΙΚΑ ΦΥΤΑ ΓΙΑ ΖΩΟΤΡΟΦΕΣΣΙΤΟΣ ΜΑΛΑΚΟΣ ΞΕΝΙΑ</v>
      </c>
      <c r="B2867" s="4" t="s">
        <v>5215</v>
      </c>
      <c r="C2867" s="5" t="s">
        <v>5464</v>
      </c>
      <c r="D2867" s="6">
        <v>491.53</v>
      </c>
      <c r="E2867" s="6">
        <v>485.9</v>
      </c>
      <c r="F2867" s="7" t="s">
        <v>14</v>
      </c>
      <c r="G2867" s="8" t="s">
        <v>5465</v>
      </c>
      <c r="H2867" s="8" t="s">
        <v>16</v>
      </c>
      <c r="I2867" s="9">
        <v>3933</v>
      </c>
      <c r="J2867" s="10">
        <v>8</v>
      </c>
      <c r="K2867" s="10">
        <v>7736</v>
      </c>
      <c r="L2867" s="3" t="str">
        <f t="shared" si="91"/>
        <v>ΚΤΗΝΟΤΡΟΦΙΚΑ_ΦΥΤΑ_ΓΙΑ_ΖΩΟΤΡΟΦΕΣ</v>
      </c>
    </row>
    <row r="2868" spans="1:12" s="3" customFormat="1" ht="24" x14ac:dyDescent="0.25">
      <c r="A2868" s="3" t="str">
        <f t="shared" si="90"/>
        <v>ΚΤΗΝΟΤΡΟΦΙΚΑ ΦΥΤΑ ΓΙΑ ΖΩΟΤΡΟΦΕΣΣΙΤΟΣ ΜΑΛΑΚΟΣ ORSO</v>
      </c>
      <c r="B2868" s="4" t="s">
        <v>5215</v>
      </c>
      <c r="C2868" s="5" t="s">
        <v>5466</v>
      </c>
      <c r="D2868" s="6">
        <v>491.53</v>
      </c>
      <c r="E2868" s="6">
        <v>485.9</v>
      </c>
      <c r="F2868" s="7" t="s">
        <v>14</v>
      </c>
      <c r="G2868" s="8" t="s">
        <v>5467</v>
      </c>
      <c r="H2868" s="8" t="s">
        <v>16</v>
      </c>
      <c r="I2868" s="9">
        <v>3929</v>
      </c>
      <c r="J2868" s="10">
        <v>8</v>
      </c>
      <c r="K2868" s="10">
        <v>7737</v>
      </c>
      <c r="L2868" s="3" t="str">
        <f t="shared" si="91"/>
        <v>ΚΤΗΝΟΤΡΟΦΙΚΑ_ΦΥΤΑ_ΓΙΑ_ΖΩΟΤΡΟΦΕΣ</v>
      </c>
    </row>
    <row r="2869" spans="1:12" s="3" customFormat="1" ht="24" x14ac:dyDescent="0.25">
      <c r="A2869" s="3" t="str">
        <f t="shared" si="90"/>
        <v>ΚΤΗΝΟΤΡΟΦΙΚΑ ΦΥΤΑ ΓΙΑ ΖΩΟΤΡΟΦΕΣΣΙΤΟΣ ΜΑΛΑΚΟΣ ΠΕΛΛΑ</v>
      </c>
      <c r="B2869" s="4" t="s">
        <v>5215</v>
      </c>
      <c r="C2869" s="5" t="s">
        <v>5468</v>
      </c>
      <c r="D2869" s="6">
        <v>491.53</v>
      </c>
      <c r="E2869" s="6">
        <v>485.9</v>
      </c>
      <c r="F2869" s="7" t="s">
        <v>14</v>
      </c>
      <c r="G2869" s="8" t="s">
        <v>5469</v>
      </c>
      <c r="H2869" s="8" t="s">
        <v>16</v>
      </c>
      <c r="I2869" s="9">
        <v>3918</v>
      </c>
      <c r="J2869" s="10">
        <v>8</v>
      </c>
      <c r="K2869" s="10">
        <v>7738</v>
      </c>
      <c r="L2869" s="3" t="str">
        <f t="shared" si="91"/>
        <v>ΚΤΗΝΟΤΡΟΦΙΚΑ_ΦΥΤΑ_ΓΙΑ_ΖΩΟΤΡΟΦΕΣ</v>
      </c>
    </row>
    <row r="2870" spans="1:12" s="3" customFormat="1" ht="24" x14ac:dyDescent="0.25">
      <c r="A2870" s="3" t="str">
        <f t="shared" si="90"/>
        <v>ΚΤΗΝΟΤΡΟΦΙΚΑ ΦΥΤΑ ΓΙΑ ΖΩΟΤΡΟΦΕΣΣΙΤΟΣ ΜΑΛΑΚΟΣ ΠΗΝΕΙΟΣ</v>
      </c>
      <c r="B2870" s="4" t="s">
        <v>5215</v>
      </c>
      <c r="C2870" s="5" t="s">
        <v>5470</v>
      </c>
      <c r="D2870" s="6">
        <v>491.53</v>
      </c>
      <c r="E2870" s="6">
        <v>485.9</v>
      </c>
      <c r="F2870" s="7" t="s">
        <v>14</v>
      </c>
      <c r="G2870" s="8" t="s">
        <v>5471</v>
      </c>
      <c r="H2870" s="8" t="s">
        <v>16</v>
      </c>
      <c r="I2870" s="9">
        <v>3935</v>
      </c>
      <c r="J2870" s="10">
        <v>8</v>
      </c>
      <c r="K2870" s="10">
        <v>7739</v>
      </c>
      <c r="L2870" s="3" t="str">
        <f t="shared" si="91"/>
        <v>ΚΤΗΝΟΤΡΟΦΙΚΑ_ΦΥΤΑ_ΓΙΑ_ΖΩΟΤΡΟΦΕΣ</v>
      </c>
    </row>
    <row r="2871" spans="1:12" s="3" customFormat="1" ht="24" x14ac:dyDescent="0.25">
      <c r="A2871" s="3" t="str">
        <f t="shared" si="90"/>
        <v>ΚΤΗΝΟΤΡΟΦΙΚΑ ΦΥΤΑ ΓΙΑ ΖΩΟΤΡΟΦΕΣΣΙΤΟΣ ΜΑΛΑΚΟΣ ΠΤΟΛΕΜΑΙΣ-1001</v>
      </c>
      <c r="B2871" s="4" t="s">
        <v>5215</v>
      </c>
      <c r="C2871" s="5" t="s">
        <v>5472</v>
      </c>
      <c r="D2871" s="6">
        <v>491.53</v>
      </c>
      <c r="E2871" s="6">
        <v>485.9</v>
      </c>
      <c r="F2871" s="7" t="s">
        <v>14</v>
      </c>
      <c r="G2871" s="8" t="s">
        <v>5473</v>
      </c>
      <c r="H2871" s="8" t="s">
        <v>16</v>
      </c>
      <c r="I2871" s="9">
        <v>3923</v>
      </c>
      <c r="J2871" s="10">
        <v>8</v>
      </c>
      <c r="K2871" s="10">
        <v>7740</v>
      </c>
      <c r="L2871" s="3" t="str">
        <f t="shared" si="91"/>
        <v>ΚΤΗΝΟΤΡΟΦΙΚΑ_ΦΥΤΑ_ΓΙΑ_ΖΩΟΤΡΟΦΕΣ</v>
      </c>
    </row>
    <row r="2872" spans="1:12" s="3" customFormat="1" ht="24" x14ac:dyDescent="0.25">
      <c r="A2872" s="3" t="str">
        <f t="shared" si="90"/>
        <v>ΚΤΗΝΟΤΡΟΦΙΚΑ ΦΥΤΑ ΓΙΑ ΖΩΟΤΡΟΦΕΣΣΙΤΟΣ ΜΑΛΑΚΟΣ RINCONADA</v>
      </c>
      <c r="B2872" s="4" t="s">
        <v>5215</v>
      </c>
      <c r="C2872" s="5" t="s">
        <v>5474</v>
      </c>
      <c r="D2872" s="6">
        <v>491.53</v>
      </c>
      <c r="E2872" s="6">
        <v>485.9</v>
      </c>
      <c r="F2872" s="7" t="s">
        <v>14</v>
      </c>
      <c r="G2872" s="8" t="s">
        <v>5475</v>
      </c>
      <c r="H2872" s="8" t="s">
        <v>16</v>
      </c>
      <c r="I2872" s="9">
        <v>3919</v>
      </c>
      <c r="J2872" s="10">
        <v>8</v>
      </c>
      <c r="K2872" s="10">
        <v>7741</v>
      </c>
      <c r="L2872" s="3" t="str">
        <f t="shared" si="91"/>
        <v>ΚΤΗΝΟΤΡΟΦΙΚΑ_ΦΥΤΑ_ΓΙΑ_ΖΩΟΤΡΟΦΕΣ</v>
      </c>
    </row>
    <row r="2873" spans="1:12" s="3" customFormat="1" ht="24" x14ac:dyDescent="0.25">
      <c r="A2873" s="3" t="str">
        <f t="shared" si="90"/>
        <v>ΚΤΗΝΟΤΡΟΦΙΚΑ ΦΥΤΑ ΓΙΑ ΖΩΟΤΡΟΦΕΣΣΙΤΟΣ ΜΑΛΑΚΟΣ ΣΙΕΤΕ ΣΕΡ.</v>
      </c>
      <c r="B2873" s="4" t="s">
        <v>5215</v>
      </c>
      <c r="C2873" s="5" t="s">
        <v>5476</v>
      </c>
      <c r="D2873" s="6">
        <v>491.53</v>
      </c>
      <c r="E2873" s="6">
        <v>485.9</v>
      </c>
      <c r="F2873" s="7" t="s">
        <v>14</v>
      </c>
      <c r="G2873" s="8" t="s">
        <v>5477</v>
      </c>
      <c r="H2873" s="8" t="s">
        <v>16</v>
      </c>
      <c r="I2873" s="9">
        <v>4024</v>
      </c>
      <c r="J2873" s="10">
        <v>8</v>
      </c>
      <c r="K2873" s="10">
        <v>7742</v>
      </c>
      <c r="L2873" s="3" t="str">
        <f t="shared" si="91"/>
        <v>ΚΤΗΝΟΤΡΟΦΙΚΑ_ΦΥΤΑ_ΓΙΑ_ΖΩΟΤΡΟΦΕΣ</v>
      </c>
    </row>
    <row r="2874" spans="1:12" s="3" customFormat="1" ht="24" x14ac:dyDescent="0.25">
      <c r="A2874" s="3" t="str">
        <f t="shared" si="90"/>
        <v>ΚΤΗΝΟΤΡΟΦΙΚΑ ΦΥΤΑ ΓΙΑ ΖΩΟΤΡΟΦΕΣΣΙΤΟΣ ΜΑΛΑΚΟΣ SAVODO I</v>
      </c>
      <c r="B2874" s="4" t="s">
        <v>5215</v>
      </c>
      <c r="C2874" s="5" t="s">
        <v>5478</v>
      </c>
      <c r="D2874" s="6">
        <v>491.53</v>
      </c>
      <c r="E2874" s="6">
        <v>485.9</v>
      </c>
      <c r="F2874" s="7" t="s">
        <v>14</v>
      </c>
      <c r="G2874" s="8" t="s">
        <v>5479</v>
      </c>
      <c r="H2874" s="8" t="s">
        <v>16</v>
      </c>
      <c r="I2874" s="9">
        <v>4029</v>
      </c>
      <c r="J2874" s="10">
        <v>8</v>
      </c>
      <c r="K2874" s="10">
        <v>7743</v>
      </c>
      <c r="L2874" s="3" t="str">
        <f t="shared" si="91"/>
        <v>ΚΤΗΝΟΤΡΟΦΙΚΑ_ΦΥΤΑ_ΓΙΑ_ΖΩΟΤΡΟΦΕΣ</v>
      </c>
    </row>
    <row r="2875" spans="1:12" s="3" customFormat="1" ht="24" x14ac:dyDescent="0.25">
      <c r="A2875" s="3" t="str">
        <f t="shared" si="90"/>
        <v>ΚΤΗΝΟΤΡΟΦΙΚΑ ΦΥΤΑ ΓΙΑ ΖΩΟΤΡΟΦΕΣΣΙΤΟΣ ΜΑΛΑΚΟΣ SK-136</v>
      </c>
      <c r="B2875" s="4" t="s">
        <v>5215</v>
      </c>
      <c r="C2875" s="5" t="s">
        <v>5480</v>
      </c>
      <c r="D2875" s="6">
        <v>491.53</v>
      </c>
      <c r="E2875" s="6">
        <v>485.9</v>
      </c>
      <c r="F2875" s="7" t="s">
        <v>14</v>
      </c>
      <c r="G2875" s="8" t="s">
        <v>5481</v>
      </c>
      <c r="H2875" s="8" t="s">
        <v>16</v>
      </c>
      <c r="I2875" s="9">
        <v>3882</v>
      </c>
      <c r="J2875" s="10">
        <v>8</v>
      </c>
      <c r="K2875" s="10">
        <v>7744</v>
      </c>
      <c r="L2875" s="3" t="str">
        <f t="shared" si="91"/>
        <v>ΚΤΗΝΟΤΡΟΦΙΚΑ_ΦΥΤΑ_ΓΙΑ_ΖΩΟΤΡΟΦΕΣ</v>
      </c>
    </row>
    <row r="2876" spans="1:12" s="3" customFormat="1" ht="24" x14ac:dyDescent="0.25">
      <c r="A2876" s="3" t="str">
        <f t="shared" si="90"/>
        <v>ΚΤΗΝΟΤΡΟΦΙΚΑ ΦΥΤΑ ΓΙΑ ΖΩΟΤΡΟΦΕΣΣΙΤΟΣ ΜΑΛΑΚΟΣ SCORJANKA</v>
      </c>
      <c r="B2876" s="4" t="s">
        <v>5215</v>
      </c>
      <c r="C2876" s="5" t="s">
        <v>5482</v>
      </c>
      <c r="D2876" s="6">
        <v>491.53</v>
      </c>
      <c r="E2876" s="6">
        <v>485.9</v>
      </c>
      <c r="F2876" s="7" t="s">
        <v>14</v>
      </c>
      <c r="G2876" s="8" t="s">
        <v>5483</v>
      </c>
      <c r="H2876" s="8" t="s">
        <v>16</v>
      </c>
      <c r="I2876" s="9">
        <v>3890</v>
      </c>
      <c r="J2876" s="10">
        <v>8</v>
      </c>
      <c r="K2876" s="10">
        <v>7745</v>
      </c>
      <c r="L2876" s="3" t="str">
        <f t="shared" si="91"/>
        <v>ΚΤΗΝΟΤΡΟΦΙΚΑ_ΦΥΤΑ_ΓΙΑ_ΖΩΟΤΡΟΦΕΣ</v>
      </c>
    </row>
    <row r="2877" spans="1:12" s="3" customFormat="1" ht="24" x14ac:dyDescent="0.25">
      <c r="A2877" s="3" t="str">
        <f t="shared" si="90"/>
        <v>ΚΤΗΝΟΤΡΟΦΙΚΑ ΦΥΤΑ ΓΙΑ ΖΩΟΤΡΟΦΕΣΣΙΤΟΣ ΜΑΛΑΚΟΣ SPADA</v>
      </c>
      <c r="B2877" s="4" t="s">
        <v>5215</v>
      </c>
      <c r="C2877" s="5" t="s">
        <v>5484</v>
      </c>
      <c r="D2877" s="6">
        <v>491.53</v>
      </c>
      <c r="E2877" s="6">
        <v>485.9</v>
      </c>
      <c r="F2877" s="7" t="s">
        <v>14</v>
      </c>
      <c r="G2877" s="8" t="s">
        <v>5485</v>
      </c>
      <c r="H2877" s="8" t="s">
        <v>16</v>
      </c>
      <c r="I2877" s="9">
        <v>3838</v>
      </c>
      <c r="J2877" s="10">
        <v>8</v>
      </c>
      <c r="K2877" s="10">
        <v>7746</v>
      </c>
      <c r="L2877" s="3" t="str">
        <f t="shared" si="91"/>
        <v>ΚΤΗΝΟΤΡΟΦΙΚΑ_ΦΥΤΑ_ΓΙΑ_ΖΩΟΤΡΟΦΕΣ</v>
      </c>
    </row>
    <row r="2878" spans="1:12" s="3" customFormat="1" ht="24" x14ac:dyDescent="0.25">
      <c r="A2878" s="3" t="str">
        <f t="shared" si="90"/>
        <v>ΚΤΗΝΟΤΡΟΦΙΚΑ ΦΥΤΑ ΓΙΑ ΖΩΟΤΡΟΦΕΣΣΙΤΟΣ ΜΑΛΑΚΟΣ ΣΤΡΥΜΩΝΑΣ</v>
      </c>
      <c r="B2878" s="4" t="s">
        <v>5215</v>
      </c>
      <c r="C2878" s="5" t="s">
        <v>5486</v>
      </c>
      <c r="D2878" s="6">
        <v>491.53</v>
      </c>
      <c r="E2878" s="6">
        <v>485.9</v>
      </c>
      <c r="F2878" s="7" t="s">
        <v>14</v>
      </c>
      <c r="G2878" s="8" t="s">
        <v>5487</v>
      </c>
      <c r="H2878" s="8" t="s">
        <v>16</v>
      </c>
      <c r="I2878" s="9">
        <v>3836</v>
      </c>
      <c r="J2878" s="10">
        <v>8</v>
      </c>
      <c r="K2878" s="10">
        <v>7747</v>
      </c>
      <c r="L2878" s="3" t="str">
        <f t="shared" si="91"/>
        <v>ΚΤΗΝΟΤΡΟΦΙΚΑ_ΦΥΤΑ_ΓΙΑ_ΖΩΟΤΡΟΦΕΣ</v>
      </c>
    </row>
    <row r="2879" spans="1:12" s="3" customFormat="1" ht="24" x14ac:dyDescent="0.25">
      <c r="A2879" s="3" t="str">
        <f t="shared" si="90"/>
        <v>ΚΤΗΝΟΤΡΟΦΙΚΑ ΦΥΤΑ ΓΙΑ ΖΩΟΤΡΟΦΕΣΣΙΤΟΣ ΜΑΛΑΚΟΣ Τα-399</v>
      </c>
      <c r="B2879" s="4" t="s">
        <v>5215</v>
      </c>
      <c r="C2879" s="5" t="s">
        <v>5488</v>
      </c>
      <c r="D2879" s="6">
        <v>491.53</v>
      </c>
      <c r="E2879" s="6">
        <v>485.9</v>
      </c>
      <c r="F2879" s="7" t="s">
        <v>14</v>
      </c>
      <c r="G2879" s="8" t="s">
        <v>5489</v>
      </c>
      <c r="H2879" s="8" t="s">
        <v>16</v>
      </c>
      <c r="I2879" s="9">
        <v>3835</v>
      </c>
      <c r="J2879" s="10">
        <v>8</v>
      </c>
      <c r="K2879" s="10">
        <v>7748</v>
      </c>
      <c r="L2879" s="3" t="str">
        <f t="shared" si="91"/>
        <v>ΚΤΗΝΟΤΡΟΦΙΚΑ_ΦΥΤΑ_ΓΙΑ_ΖΩΟΤΡΟΦΕΣ</v>
      </c>
    </row>
    <row r="2880" spans="1:12" s="3" customFormat="1" ht="24" x14ac:dyDescent="0.25">
      <c r="A2880" s="3" t="str">
        <f t="shared" si="90"/>
        <v>ΚΤΗΝΟΤΡΟΦΙΚΑ ΦΥΤΑ ΓΙΑ ΖΩΟΤΡΟΦΕΣΣΙΤΟΣ ΜΑΛΑΚΟΣ TRIDA</v>
      </c>
      <c r="B2880" s="4" t="s">
        <v>5215</v>
      </c>
      <c r="C2880" s="5" t="s">
        <v>5490</v>
      </c>
      <c r="D2880" s="6">
        <v>491.53</v>
      </c>
      <c r="E2880" s="6">
        <v>485.9</v>
      </c>
      <c r="F2880" s="7" t="s">
        <v>14</v>
      </c>
      <c r="G2880" s="8" t="s">
        <v>5491</v>
      </c>
      <c r="H2880" s="8" t="s">
        <v>16</v>
      </c>
      <c r="I2880" s="9">
        <v>3833</v>
      </c>
      <c r="J2880" s="10">
        <v>8</v>
      </c>
      <c r="K2880" s="10">
        <v>7749</v>
      </c>
      <c r="L2880" s="3" t="str">
        <f t="shared" si="91"/>
        <v>ΚΤΗΝΟΤΡΟΦΙΚΑ_ΦΥΤΑ_ΓΙΑ_ΖΩΟΤΡΟΦΕΣ</v>
      </c>
    </row>
    <row r="2881" spans="1:12" s="3" customFormat="1" ht="24" x14ac:dyDescent="0.25">
      <c r="A2881" s="3" t="str">
        <f t="shared" si="90"/>
        <v>ΚΤΗΝΟΤΡΟΦΙΚΑ ΦΥΤΑ ΓΙΑ ΖΩΟΤΡΟΦΕΣΣΙΤΟΣ ΜΑΛΑΚΟΣ VRATSA</v>
      </c>
      <c r="B2881" s="4" t="s">
        <v>5215</v>
      </c>
      <c r="C2881" s="5" t="s">
        <v>5492</v>
      </c>
      <c r="D2881" s="6">
        <v>491.53</v>
      </c>
      <c r="E2881" s="6">
        <v>485.9</v>
      </c>
      <c r="F2881" s="7" t="s">
        <v>14</v>
      </c>
      <c r="G2881" s="8" t="s">
        <v>5493</v>
      </c>
      <c r="H2881" s="8" t="s">
        <v>16</v>
      </c>
      <c r="I2881" s="9">
        <v>3821</v>
      </c>
      <c r="J2881" s="10">
        <v>8</v>
      </c>
      <c r="K2881" s="10">
        <v>7750</v>
      </c>
      <c r="L2881" s="3" t="str">
        <f t="shared" si="91"/>
        <v>ΚΤΗΝΟΤΡΟΦΙΚΑ_ΦΥΤΑ_ΓΙΑ_ΖΩΟΤΡΟΦΕΣ</v>
      </c>
    </row>
    <row r="2882" spans="1:12" s="3" customFormat="1" ht="24" x14ac:dyDescent="0.25">
      <c r="A2882" s="3" t="str">
        <f t="shared" si="90"/>
        <v>ΚΤΗΝΟΤΡΟΦΙΚΑ ΦΥΤΑ ΓΙΑ ΖΩΟΤΡΟΦΕΣΣΙΤΟΣ ΜΑΛΑΚΟΣ ΣΚΟΡΔΑΛΙΑΡΗΣ</v>
      </c>
      <c r="B2882" s="4" t="s">
        <v>5215</v>
      </c>
      <c r="C2882" s="5" t="s">
        <v>5494</v>
      </c>
      <c r="D2882" s="6">
        <v>491.53</v>
      </c>
      <c r="E2882" s="6">
        <v>485.9</v>
      </c>
      <c r="F2882" s="7" t="s">
        <v>14</v>
      </c>
      <c r="G2882" s="8" t="s">
        <v>5495</v>
      </c>
      <c r="H2882" s="8" t="s">
        <v>16</v>
      </c>
      <c r="I2882" s="9">
        <v>3828</v>
      </c>
      <c r="J2882" s="10">
        <v>8</v>
      </c>
      <c r="K2882" s="10">
        <v>7777</v>
      </c>
      <c r="L2882" s="3" t="str">
        <f t="shared" si="91"/>
        <v>ΚΤΗΝΟΤΡΟΦΙΚΑ_ΦΥΤΑ_ΓΙΑ_ΖΩΟΤΡΟΦΕΣ</v>
      </c>
    </row>
    <row r="2883" spans="1:12" s="3" customFormat="1" ht="24" x14ac:dyDescent="0.25">
      <c r="A2883" s="3" t="str">
        <f t="shared" ref="A2883:A2946" si="92">_xlfn.CONCAT(B2883,C2883)</f>
        <v>ΚΤΗΝΟΤΡΟΦΙΚΑ ΦΥΤΑ ΓΙΑ ΖΩΟΤΡΟΦΕΣΣΙΤΟΣ ΜΑΛΑΚΟΣ ΣΚΛΗΡΟΠΕΤΡΑ</v>
      </c>
      <c r="B2883" s="4" t="s">
        <v>5215</v>
      </c>
      <c r="C2883" s="5" t="s">
        <v>5496</v>
      </c>
      <c r="D2883" s="6">
        <v>491.53</v>
      </c>
      <c r="E2883" s="6">
        <v>485.9</v>
      </c>
      <c r="F2883" s="7" t="s">
        <v>14</v>
      </c>
      <c r="G2883" s="8" t="s">
        <v>5497</v>
      </c>
      <c r="H2883" s="8" t="s">
        <v>16</v>
      </c>
      <c r="I2883" s="9">
        <v>3827</v>
      </c>
      <c r="J2883" s="10">
        <v>8</v>
      </c>
      <c r="K2883" s="10">
        <v>7778</v>
      </c>
      <c r="L2883" s="3" t="str">
        <f t="shared" ref="L2883:L2946" si="93">IFERROR(SUBSTITUTE(SUBSTITUTE(SUBSTITUTE(SUBSTITUTE(SUBSTITUTE(B2883, "-", "_"), " ", "_"), ",", ""), "(", ""), ")", ""), B2883)</f>
        <v>ΚΤΗΝΟΤΡΟΦΙΚΑ_ΦΥΤΑ_ΓΙΑ_ΖΩΟΤΡΟΦΕΣ</v>
      </c>
    </row>
    <row r="2884" spans="1:12" s="3" customFormat="1" ht="24" x14ac:dyDescent="0.25">
      <c r="A2884" s="3" t="str">
        <f t="shared" si="92"/>
        <v>ΚΤΗΝΟΤΡΟΦΙΚΑ ΦΥΤΑ ΓΙΑ ΖΩΟΤΡΟΦΕΣΣΙΤΟΣ ΜΑΛΑΚΟΣ ΑΡΝΑΟΥΤΙ</v>
      </c>
      <c r="B2884" s="4" t="s">
        <v>5215</v>
      </c>
      <c r="C2884" s="5" t="s">
        <v>5498</v>
      </c>
      <c r="D2884" s="6">
        <v>491.53</v>
      </c>
      <c r="E2884" s="6">
        <v>485.9</v>
      </c>
      <c r="F2884" s="7" t="s">
        <v>14</v>
      </c>
      <c r="G2884" s="8" t="s">
        <v>5499</v>
      </c>
      <c r="H2884" s="8" t="s">
        <v>16</v>
      </c>
      <c r="I2884" s="9">
        <v>3826</v>
      </c>
      <c r="J2884" s="10">
        <v>8</v>
      </c>
      <c r="K2884" s="10">
        <v>7779</v>
      </c>
      <c r="L2884" s="3" t="str">
        <f t="shared" si="93"/>
        <v>ΚΤΗΝΟΤΡΟΦΙΚΑ_ΦΥΤΑ_ΓΙΑ_ΖΩΟΤΡΟΦΕΣ</v>
      </c>
    </row>
    <row r="2885" spans="1:12" s="3" customFormat="1" ht="24" x14ac:dyDescent="0.25">
      <c r="A2885" s="3" t="str">
        <f t="shared" si="92"/>
        <v>ΚΤΗΝΟΤΡΟΦΙΚΑ ΦΥΤΑ ΓΙΑ ΖΩΟΤΡΟΦΕΣΣΙΚΑΛΗ ΒΕΥΗ ΦΛΩΡΙΝΑΣ</v>
      </c>
      <c r="B2885" s="4" t="s">
        <v>5215</v>
      </c>
      <c r="C2885" s="5" t="s">
        <v>5500</v>
      </c>
      <c r="D2885" s="6">
        <v>263.07</v>
      </c>
      <c r="E2885" s="6">
        <v>280.62</v>
      </c>
      <c r="F2885" s="7" t="s">
        <v>14</v>
      </c>
      <c r="G2885" s="8" t="s">
        <v>5501</v>
      </c>
      <c r="H2885" s="8" t="s">
        <v>16</v>
      </c>
      <c r="I2885" s="9">
        <v>3825</v>
      </c>
      <c r="J2885" s="10">
        <v>8</v>
      </c>
      <c r="K2885" s="10">
        <v>7781</v>
      </c>
      <c r="L2885" s="3" t="str">
        <f t="shared" si="93"/>
        <v>ΚΤΗΝΟΤΡΟΦΙΚΑ_ΦΥΤΑ_ΓΙΑ_ΖΩΟΤΡΟΦΕΣ</v>
      </c>
    </row>
    <row r="2886" spans="1:12" s="3" customFormat="1" ht="24" x14ac:dyDescent="0.25">
      <c r="A2886" s="3" t="str">
        <f t="shared" si="92"/>
        <v>ΚΤΗΝΟΤΡΟΦΙΚΑ ΦΥΤΑ ΓΙΑ ΖΩΟΤΡΟΦΕΣΒΡΩΜΗ ΤΡΙΚΑΛΩΝ</v>
      </c>
      <c r="B2886" s="4" t="s">
        <v>5215</v>
      </c>
      <c r="C2886" s="5" t="s">
        <v>5502</v>
      </c>
      <c r="D2886" s="6">
        <v>222.49</v>
      </c>
      <c r="E2886" s="6">
        <v>273.27</v>
      </c>
      <c r="F2886" s="7" t="s">
        <v>14</v>
      </c>
      <c r="G2886" s="8" t="s">
        <v>5503</v>
      </c>
      <c r="H2886" s="8" t="s">
        <v>16</v>
      </c>
      <c r="I2886" s="9">
        <v>3824</v>
      </c>
      <c r="J2886" s="10">
        <v>8</v>
      </c>
      <c r="K2886" s="10">
        <v>7782</v>
      </c>
      <c r="L2886" s="3" t="str">
        <f t="shared" si="93"/>
        <v>ΚΤΗΝΟΤΡΟΦΙΚΑ_ΦΥΤΑ_ΓΙΑ_ΖΩΟΤΡΟΦΕΣ</v>
      </c>
    </row>
    <row r="2887" spans="1:12" s="3" customFormat="1" ht="24" x14ac:dyDescent="0.25">
      <c r="A2887" s="3" t="str">
        <f t="shared" si="92"/>
        <v>ΚΤΗΝΟΤΡΟΦΙΚΑ ΦΥΤΑ ΓΙΑ ΖΩΟΤΡΟΦΕΣΚΡΙΘΑΡΙ ΣΕΡΙΦΟΥ</v>
      </c>
      <c r="B2887" s="4" t="s">
        <v>5215</v>
      </c>
      <c r="C2887" s="5" t="s">
        <v>5504</v>
      </c>
      <c r="D2887" s="6">
        <v>466.58</v>
      </c>
      <c r="E2887" s="6">
        <v>366.77</v>
      </c>
      <c r="F2887" s="7" t="s">
        <v>14</v>
      </c>
      <c r="G2887" s="8" t="s">
        <v>5505</v>
      </c>
      <c r="H2887" s="8" t="s">
        <v>16</v>
      </c>
      <c r="I2887" s="9">
        <v>3823</v>
      </c>
      <c r="J2887" s="10">
        <v>8</v>
      </c>
      <c r="K2887" s="10">
        <v>7783</v>
      </c>
      <c r="L2887" s="3" t="str">
        <f t="shared" si="93"/>
        <v>ΚΤΗΝΟΤΡΟΦΙΚΑ_ΦΥΤΑ_ΓΙΑ_ΖΩΟΤΡΟΦΕΣ</v>
      </c>
    </row>
    <row r="2888" spans="1:12" s="3" customFormat="1" ht="24" x14ac:dyDescent="0.25">
      <c r="A2888" s="3" t="str">
        <f t="shared" si="92"/>
        <v>ΚΤΗΝΟΤΡΟΦΙΚΑ ΦΥΤΑ ΓΙΑ ΖΩΟΤΡΟΦΕΣΚΡΙΘΑΡΙ ΚΥΘΝΟΥ</v>
      </c>
      <c r="B2888" s="4" t="s">
        <v>5215</v>
      </c>
      <c r="C2888" s="5" t="s">
        <v>5506</v>
      </c>
      <c r="D2888" s="6">
        <v>466.58</v>
      </c>
      <c r="E2888" s="6">
        <v>366.77</v>
      </c>
      <c r="F2888" s="7" t="s">
        <v>14</v>
      </c>
      <c r="G2888" s="8" t="s">
        <v>5507</v>
      </c>
      <c r="H2888" s="8" t="s">
        <v>16</v>
      </c>
      <c r="I2888" s="9">
        <v>3822</v>
      </c>
      <c r="J2888" s="10">
        <v>8</v>
      </c>
      <c r="K2888" s="10">
        <v>7784</v>
      </c>
      <c r="L2888" s="3" t="str">
        <f t="shared" si="93"/>
        <v>ΚΤΗΝΟΤΡΟΦΙΚΑ_ΦΥΤΑ_ΓΙΑ_ΖΩΟΤΡΟΦΕΣ</v>
      </c>
    </row>
    <row r="2889" spans="1:12" s="3" customFormat="1" ht="24" x14ac:dyDescent="0.25">
      <c r="A2889" s="3" t="str">
        <f t="shared" si="92"/>
        <v>ΚΤΗΝΟΤΡΟΦΙΚΑ ΦΥΤΑ ΓΙΑ ΖΩΟΤΡΟΦΕΣΚΡΙΘΑΡΙ ΤΡΙΚΑΛΩΝ</v>
      </c>
      <c r="B2889" s="4" t="s">
        <v>5215</v>
      </c>
      <c r="C2889" s="5" t="s">
        <v>5508</v>
      </c>
      <c r="D2889" s="6">
        <v>466.58</v>
      </c>
      <c r="E2889" s="6">
        <v>366.77</v>
      </c>
      <c r="F2889" s="7" t="s">
        <v>14</v>
      </c>
      <c r="G2889" s="8" t="s">
        <v>5509</v>
      </c>
      <c r="H2889" s="8" t="s">
        <v>16</v>
      </c>
      <c r="I2889" s="9">
        <v>3848</v>
      </c>
      <c r="J2889" s="10">
        <v>8</v>
      </c>
      <c r="K2889" s="10">
        <v>7785</v>
      </c>
      <c r="L2889" s="3" t="str">
        <f t="shared" si="93"/>
        <v>ΚΤΗΝΟΤΡΟΦΙΚΑ_ΦΥΤΑ_ΓΙΑ_ΖΩΟΤΡΟΦΕΣ</v>
      </c>
    </row>
    <row r="2890" spans="1:12" s="3" customFormat="1" ht="24" x14ac:dyDescent="0.25">
      <c r="A2890" s="3" t="str">
        <f t="shared" si="92"/>
        <v>ΚΤΗΝΟΤΡΟΦΙΚΑ ΦΥΤΑ ΓΙΑ ΖΩΟΤΡΟΦΕΣΚΡΙΘΑΡΙ ΝΑΞΟΥ</v>
      </c>
      <c r="B2890" s="4" t="s">
        <v>5215</v>
      </c>
      <c r="C2890" s="5" t="s">
        <v>5510</v>
      </c>
      <c r="D2890" s="6">
        <v>466.58</v>
      </c>
      <c r="E2890" s="6">
        <v>366.77</v>
      </c>
      <c r="F2890" s="7" t="s">
        <v>14</v>
      </c>
      <c r="G2890" s="8" t="s">
        <v>5511</v>
      </c>
      <c r="H2890" s="8" t="s">
        <v>16</v>
      </c>
      <c r="I2890" s="9">
        <v>3850</v>
      </c>
      <c r="J2890" s="10">
        <v>8</v>
      </c>
      <c r="K2890" s="10">
        <v>7786</v>
      </c>
      <c r="L2890" s="3" t="str">
        <f t="shared" si="93"/>
        <v>ΚΤΗΝΟΤΡΟΦΙΚΑ_ΦΥΤΑ_ΓΙΑ_ΖΩΟΤΡΟΦΕΣ</v>
      </c>
    </row>
    <row r="2891" spans="1:12" s="3" customFormat="1" ht="24" x14ac:dyDescent="0.25">
      <c r="A2891" s="3" t="str">
        <f t="shared" si="92"/>
        <v>ΚΤΗΝΟΤΡΟΦΙΚΑ ΦΥΤΑ ΓΙΑ ΖΩΟΤΡΟΦΕΣΑΛΟΓΟΚΡΙΘΟ</v>
      </c>
      <c r="B2891" s="4" t="s">
        <v>5215</v>
      </c>
      <c r="C2891" s="5" t="s">
        <v>5512</v>
      </c>
      <c r="D2891" s="6">
        <v>363.85</v>
      </c>
      <c r="E2891" s="6">
        <v>331.13</v>
      </c>
      <c r="F2891" s="7" t="s">
        <v>14</v>
      </c>
      <c r="G2891" s="8" t="s">
        <v>5513</v>
      </c>
      <c r="H2891" s="8" t="s">
        <v>16</v>
      </c>
      <c r="I2891" s="9">
        <v>3831</v>
      </c>
      <c r="J2891" s="10">
        <v>8</v>
      </c>
      <c r="K2891" s="10">
        <v>7787</v>
      </c>
      <c r="L2891" s="3" t="str">
        <f t="shared" si="93"/>
        <v>ΚΤΗΝΟΤΡΟΦΙΚΑ_ΦΥΤΑ_ΓΙΑ_ΖΩΟΤΡΟΦΕΣ</v>
      </c>
    </row>
    <row r="2892" spans="1:12" s="3" customFormat="1" ht="24" x14ac:dyDescent="0.25">
      <c r="A2892" s="3" t="str">
        <f t="shared" si="92"/>
        <v>ΚΤΗΝΟΤΡΟΦΙΚΑ ΦΥΤΑ ΓΙΑ ΖΩΟΤΡΟΦΕΣΓΟΥΜΑΡΟΚΡΙΘΟ</v>
      </c>
      <c r="B2892" s="4" t="s">
        <v>5215</v>
      </c>
      <c r="C2892" s="5" t="s">
        <v>5514</v>
      </c>
      <c r="D2892" s="6">
        <v>363.85</v>
      </c>
      <c r="E2892" s="6">
        <v>331.13</v>
      </c>
      <c r="F2892" s="7" t="s">
        <v>14</v>
      </c>
      <c r="G2892" s="8" t="s">
        <v>5515</v>
      </c>
      <c r="H2892" s="8" t="s">
        <v>16</v>
      </c>
      <c r="I2892" s="9">
        <v>3857</v>
      </c>
      <c r="J2892" s="10">
        <v>8</v>
      </c>
      <c r="K2892" s="10">
        <v>7788</v>
      </c>
      <c r="L2892" s="3" t="str">
        <f t="shared" si="93"/>
        <v>ΚΤΗΝΟΤΡΟΦΙΚΑ_ΦΥΤΑ_ΓΙΑ_ΖΩΟΤΡΟΦΕΣ</v>
      </c>
    </row>
    <row r="2893" spans="1:12" s="3" customFormat="1" ht="24" x14ac:dyDescent="0.25">
      <c r="A2893" s="3" t="str">
        <f t="shared" si="92"/>
        <v>ΚΤΗΝΟΤΡΟΦΙΚΑ ΦΥΤΑ ΓΙΑ ΖΩΟΤΡΟΦΕΣΚΡΙΘΑΡΙ ΕΞΑΣΤΙΧΟ</v>
      </c>
      <c r="B2893" s="4" t="s">
        <v>5215</v>
      </c>
      <c r="C2893" s="5" t="s">
        <v>5516</v>
      </c>
      <c r="D2893" s="6">
        <v>466.58</v>
      </c>
      <c r="E2893" s="6">
        <v>366.77</v>
      </c>
      <c r="F2893" s="7" t="s">
        <v>14</v>
      </c>
      <c r="G2893" s="8" t="s">
        <v>5517</v>
      </c>
      <c r="H2893" s="8" t="s">
        <v>16</v>
      </c>
      <c r="I2893" s="9">
        <v>3856</v>
      </c>
      <c r="J2893" s="10">
        <v>8</v>
      </c>
      <c r="K2893" s="10">
        <v>7789</v>
      </c>
      <c r="L2893" s="3" t="str">
        <f t="shared" si="93"/>
        <v>ΚΤΗΝΟΤΡΟΦΙΚΑ_ΦΥΤΑ_ΓΙΑ_ΖΩΟΤΡΟΦΕΣ</v>
      </c>
    </row>
    <row r="2894" spans="1:12" s="3" customFormat="1" ht="24" x14ac:dyDescent="0.25">
      <c r="A2894" s="3" t="str">
        <f t="shared" si="92"/>
        <v>ΚΤΗΝΟΤΡΟΦΙΚΑ ΦΥΤΑ ΓΙΑ ΖΩΟΤΡΟΦΕΣΣΙΤΟΣ ΜΑΛΑΚΟΣ ΓΚΡΙΝΙΑΣ</v>
      </c>
      <c r="B2894" s="4" t="s">
        <v>5215</v>
      </c>
      <c r="C2894" s="5" t="s">
        <v>5518</v>
      </c>
      <c r="D2894" s="6">
        <v>491.53</v>
      </c>
      <c r="E2894" s="6">
        <v>485.9</v>
      </c>
      <c r="F2894" s="7" t="s">
        <v>14</v>
      </c>
      <c r="G2894" s="8" t="s">
        <v>5519</v>
      </c>
      <c r="H2894" s="8" t="s">
        <v>16</v>
      </c>
      <c r="I2894" s="9">
        <v>3853</v>
      </c>
      <c r="J2894" s="10">
        <v>8</v>
      </c>
      <c r="K2894" s="10">
        <v>7790</v>
      </c>
      <c r="L2894" s="3" t="str">
        <f t="shared" si="93"/>
        <v>ΚΤΗΝΟΤΡΟΦΙΚΑ_ΦΥΤΑ_ΓΙΑ_ΖΩΟΤΡΟΦΕΣ</v>
      </c>
    </row>
    <row r="2895" spans="1:12" s="3" customFormat="1" ht="24" x14ac:dyDescent="0.25">
      <c r="A2895" s="3" t="str">
        <f t="shared" si="92"/>
        <v>ΚΤΗΝΟΤΡΟΦΙΚΑ ΦΥΤΑ ΓΙΑ ΖΩΟΤΡΟΦΕΣΣΙΤΟΣ ΜΑΛΑΚΟΣ ΤΣΟΥΓΚΡΙΑΣ</v>
      </c>
      <c r="B2895" s="4" t="s">
        <v>5215</v>
      </c>
      <c r="C2895" s="5" t="s">
        <v>5520</v>
      </c>
      <c r="D2895" s="6">
        <v>491.53</v>
      </c>
      <c r="E2895" s="6">
        <v>485.9</v>
      </c>
      <c r="F2895" s="7" t="s">
        <v>14</v>
      </c>
      <c r="G2895" s="8" t="s">
        <v>5521</v>
      </c>
      <c r="H2895" s="8" t="s">
        <v>16</v>
      </c>
      <c r="I2895" s="9">
        <v>3852</v>
      </c>
      <c r="J2895" s="10">
        <v>8</v>
      </c>
      <c r="K2895" s="10">
        <v>7791</v>
      </c>
      <c r="L2895" s="3" t="str">
        <f t="shared" si="93"/>
        <v>ΚΤΗΝΟΤΡΟΦΙΚΑ_ΦΥΤΑ_ΓΙΑ_ΖΩΟΤΡΟΦΕΣ</v>
      </c>
    </row>
    <row r="2896" spans="1:12" s="3" customFormat="1" ht="24" x14ac:dyDescent="0.25">
      <c r="A2896" s="3" t="str">
        <f t="shared" si="92"/>
        <v>ΚΤΗΝΟΤΡΟΦΙΚΑ ΦΥΤΑ ΓΙΑ ΖΩΟΤΡΟΦΕΣΣΙΤΟΣ ΜΑΛΑΚΟΣ ΤΣΙΓΚΡΙΠΑ</v>
      </c>
      <c r="B2896" s="4" t="s">
        <v>5215</v>
      </c>
      <c r="C2896" s="5" t="s">
        <v>5522</v>
      </c>
      <c r="D2896" s="6">
        <v>491.53</v>
      </c>
      <c r="E2896" s="6">
        <v>485.9</v>
      </c>
      <c r="F2896" s="7" t="s">
        <v>14</v>
      </c>
      <c r="G2896" s="8" t="s">
        <v>5523</v>
      </c>
      <c r="H2896" s="8" t="s">
        <v>16</v>
      </c>
      <c r="I2896" s="9">
        <v>3851</v>
      </c>
      <c r="J2896" s="10">
        <v>8</v>
      </c>
      <c r="K2896" s="10">
        <v>7792</v>
      </c>
      <c r="L2896" s="3" t="str">
        <f t="shared" si="93"/>
        <v>ΚΤΗΝΟΤΡΟΦΙΚΑ_ΦΥΤΑ_ΓΙΑ_ΖΩΟΤΡΟΦΕΣ</v>
      </c>
    </row>
    <row r="2897" spans="1:12" s="3" customFormat="1" ht="24" x14ac:dyDescent="0.25">
      <c r="A2897" s="3" t="str">
        <f t="shared" si="92"/>
        <v>ΚΤΗΝΟΤΡΟΦΙΚΑ ΦΥΤΑ ΓΙΑ ΖΩΟΤΡΟΦΕΣΣΙΤΟΣ ΜΑΛΑΚΟΣ ΖΟΥΛΙΤΣΑ</v>
      </c>
      <c r="B2897" s="4" t="s">
        <v>5215</v>
      </c>
      <c r="C2897" s="5" t="s">
        <v>5524</v>
      </c>
      <c r="D2897" s="6">
        <v>491.53</v>
      </c>
      <c r="E2897" s="6">
        <v>485.9</v>
      </c>
      <c r="F2897" s="7" t="s">
        <v>14</v>
      </c>
      <c r="G2897" s="8" t="s">
        <v>5525</v>
      </c>
      <c r="H2897" s="8" t="s">
        <v>16</v>
      </c>
      <c r="I2897" s="9">
        <v>3840</v>
      </c>
      <c r="J2897" s="10">
        <v>8</v>
      </c>
      <c r="K2897" s="10">
        <v>7793</v>
      </c>
      <c r="L2897" s="3" t="str">
        <f t="shared" si="93"/>
        <v>ΚΤΗΝΟΤΡΟΦΙΚΑ_ΦΥΤΑ_ΓΙΑ_ΖΩΟΤΡΟΦΕΣ</v>
      </c>
    </row>
    <row r="2898" spans="1:12" s="3" customFormat="1" ht="24" x14ac:dyDescent="0.25">
      <c r="A2898" s="3" t="str">
        <f t="shared" si="92"/>
        <v>ΚΤΗΝΟΤΡΟΦΙΚΑ ΦΥΤΑ ΓΙΑ ΖΩΟΤΡΟΦΕΣΣΙΤΟΣ ΜΑΛΑΚΟΣ ΔΡΙΜΙΝΙΤΣΑ</v>
      </c>
      <c r="B2898" s="4" t="s">
        <v>5215</v>
      </c>
      <c r="C2898" s="5" t="s">
        <v>5526</v>
      </c>
      <c r="D2898" s="6">
        <v>491.53</v>
      </c>
      <c r="E2898" s="6">
        <v>485.9</v>
      </c>
      <c r="F2898" s="7" t="s">
        <v>14</v>
      </c>
      <c r="G2898" s="8" t="s">
        <v>5527</v>
      </c>
      <c r="H2898" s="8" t="s">
        <v>16</v>
      </c>
      <c r="I2898" s="9">
        <v>3849</v>
      </c>
      <c r="J2898" s="10">
        <v>8</v>
      </c>
      <c r="K2898" s="10">
        <v>7794</v>
      </c>
      <c r="L2898" s="3" t="str">
        <f t="shared" si="93"/>
        <v>ΚΤΗΝΟΤΡΟΦΙΚΑ_ΦΥΤΑ_ΓΙΑ_ΖΩΟΤΡΟΦΕΣ</v>
      </c>
    </row>
    <row r="2899" spans="1:12" s="3" customFormat="1" ht="24" x14ac:dyDescent="0.25">
      <c r="A2899" s="3" t="str">
        <f t="shared" si="92"/>
        <v>ΚΤΗΝΟΤΡΟΦΙΚΑ ΦΥΤΑ ΓΙΑ ΖΩΟΤΡΟΦΕΣΣΙΤΟΣ ΜΑΛΑΚΟΣ ΚΑΤΡΑΝΙΤΣΑ</v>
      </c>
      <c r="B2899" s="4" t="s">
        <v>5215</v>
      </c>
      <c r="C2899" s="5" t="s">
        <v>5528</v>
      </c>
      <c r="D2899" s="6">
        <v>491.53</v>
      </c>
      <c r="E2899" s="6">
        <v>485.9</v>
      </c>
      <c r="F2899" s="7" t="s">
        <v>14</v>
      </c>
      <c r="G2899" s="8" t="s">
        <v>5529</v>
      </c>
      <c r="H2899" s="8" t="s">
        <v>16</v>
      </c>
      <c r="I2899" s="9">
        <v>3859</v>
      </c>
      <c r="J2899" s="10">
        <v>8</v>
      </c>
      <c r="K2899" s="10">
        <v>7795</v>
      </c>
      <c r="L2899" s="3" t="str">
        <f t="shared" si="93"/>
        <v>ΚΤΗΝΟΤΡΟΦΙΚΑ_ΦΥΤΑ_ΓΙΑ_ΖΩΟΤΡΟΦΕΣ</v>
      </c>
    </row>
    <row r="2900" spans="1:12" s="3" customFormat="1" ht="24" x14ac:dyDescent="0.25">
      <c r="A2900" s="3" t="str">
        <f t="shared" si="92"/>
        <v>ΚΤΗΝΟΤΡΟΦΙΚΑ ΦΥΤΑ ΓΙΑ ΖΩΟΤΡΟΦΕΣΣΙΤΟΣ ΜΑΛΑΚΟΣ ΑΣΠΡΟΣ ΤΣΙΟΥΛΟΣ</v>
      </c>
      <c r="B2900" s="4" t="s">
        <v>5215</v>
      </c>
      <c r="C2900" s="5" t="s">
        <v>5530</v>
      </c>
      <c r="D2900" s="6">
        <v>491.53</v>
      </c>
      <c r="E2900" s="6">
        <v>485.9</v>
      </c>
      <c r="F2900" s="7" t="s">
        <v>14</v>
      </c>
      <c r="G2900" s="8" t="s">
        <v>5531</v>
      </c>
      <c r="H2900" s="8" t="s">
        <v>16</v>
      </c>
      <c r="I2900" s="9">
        <v>3847</v>
      </c>
      <c r="J2900" s="10">
        <v>8</v>
      </c>
      <c r="K2900" s="10">
        <v>7796</v>
      </c>
      <c r="L2900" s="3" t="str">
        <f t="shared" si="93"/>
        <v>ΚΤΗΝΟΤΡΟΦΙΚΑ_ΦΥΤΑ_ΓΙΑ_ΖΩΟΤΡΟΦΕΣ</v>
      </c>
    </row>
    <row r="2901" spans="1:12" s="3" customFormat="1" ht="24" x14ac:dyDescent="0.25">
      <c r="A2901" s="3" t="str">
        <f t="shared" si="92"/>
        <v>ΚΤΗΝΟΤΡΟΦΙΚΑ ΦΥΤΑ ΓΙΑ ΖΩΟΤΡΟΦΕΣΣΙΤΟΣ ΜΑΛΑΚΟΣ ΚΟΥΤΡΟΥΛΙ</v>
      </c>
      <c r="B2901" s="4" t="s">
        <v>5215</v>
      </c>
      <c r="C2901" s="5" t="s">
        <v>5532</v>
      </c>
      <c r="D2901" s="6">
        <v>491.53</v>
      </c>
      <c r="E2901" s="6">
        <v>485.9</v>
      </c>
      <c r="F2901" s="7" t="s">
        <v>14</v>
      </c>
      <c r="G2901" s="8" t="s">
        <v>5533</v>
      </c>
      <c r="H2901" s="8" t="s">
        <v>16</v>
      </c>
      <c r="I2901" s="9">
        <v>3846</v>
      </c>
      <c r="J2901" s="10">
        <v>8</v>
      </c>
      <c r="K2901" s="10">
        <v>7797</v>
      </c>
      <c r="L2901" s="3" t="str">
        <f t="shared" si="93"/>
        <v>ΚΤΗΝΟΤΡΟΦΙΚΑ_ΦΥΤΑ_ΓΙΑ_ΖΩΟΤΡΟΦΕΣ</v>
      </c>
    </row>
    <row r="2902" spans="1:12" s="3" customFormat="1" ht="24" x14ac:dyDescent="0.25">
      <c r="A2902" s="3" t="str">
        <f t="shared" si="92"/>
        <v>ΚΤΗΝΟΤΡΟΦΙΚΑ ΦΥΤΑ ΓΙΑ ΖΩΟΤΡΟΦΕΣΣΙΤΟΣ ΜΑΛΑΚΟΣ ΞΥΛΟΚΑΣΤΡΟ</v>
      </c>
      <c r="B2902" s="4" t="s">
        <v>5215</v>
      </c>
      <c r="C2902" s="5" t="s">
        <v>5534</v>
      </c>
      <c r="D2902" s="6">
        <v>491.53</v>
      </c>
      <c r="E2902" s="6">
        <v>485.9</v>
      </c>
      <c r="F2902" s="7" t="s">
        <v>14</v>
      </c>
      <c r="G2902" s="8" t="s">
        <v>5535</v>
      </c>
      <c r="H2902" s="8" t="s">
        <v>16</v>
      </c>
      <c r="I2902" s="9">
        <v>3845</v>
      </c>
      <c r="J2902" s="10">
        <v>8</v>
      </c>
      <c r="K2902" s="10">
        <v>7798</v>
      </c>
      <c r="L2902" s="3" t="str">
        <f t="shared" si="93"/>
        <v>ΚΤΗΝΟΤΡΟΦΙΚΑ_ΦΥΤΑ_ΓΙΑ_ΖΩΟΤΡΟΦΕΣ</v>
      </c>
    </row>
    <row r="2903" spans="1:12" s="3" customFormat="1" ht="24" x14ac:dyDescent="0.25">
      <c r="A2903" s="3" t="str">
        <f t="shared" si="92"/>
        <v>ΚΤΗΝΟΤΡΟΦΙΚΑ ΦΥΤΑ ΓΙΑ ΖΩΟΤΡΟΦΕΣΣΙΤΟΣ ΣΚΛΗΡΟΣ ΔΙΑΦΟΡΑ</v>
      </c>
      <c r="B2903" s="4" t="s">
        <v>5215</v>
      </c>
      <c r="C2903" s="5" t="s">
        <v>5536</v>
      </c>
      <c r="D2903" s="6">
        <v>517.94000000000005</v>
      </c>
      <c r="E2903" s="6">
        <v>492.2</v>
      </c>
      <c r="F2903" s="7" t="s">
        <v>14</v>
      </c>
      <c r="G2903" s="8" t="s">
        <v>5537</v>
      </c>
      <c r="H2903" s="8" t="s">
        <v>16</v>
      </c>
      <c r="I2903" s="9">
        <v>3844</v>
      </c>
      <c r="J2903" s="10">
        <v>8</v>
      </c>
      <c r="K2903" s="10">
        <v>7800</v>
      </c>
      <c r="L2903" s="3" t="str">
        <f t="shared" si="93"/>
        <v>ΚΤΗΝΟΤΡΟΦΙΚΑ_ΦΥΤΑ_ΓΙΑ_ΖΩΟΤΡΟΦΕΣ</v>
      </c>
    </row>
    <row r="2904" spans="1:12" s="3" customFormat="1" ht="24" x14ac:dyDescent="0.25">
      <c r="A2904" s="3" t="str">
        <f t="shared" si="92"/>
        <v>ΚΤΗΝΟΤΡΟΦΙΚΑ ΦΥΤΑ ΓΙΑ ΖΩΟΤΡΟΦΕΣΑΡΑΒΟΣΙΤΟΣ ΔΙΑΦΟΡΑ</v>
      </c>
      <c r="B2904" s="4" t="s">
        <v>5215</v>
      </c>
      <c r="C2904" s="5" t="s">
        <v>5538</v>
      </c>
      <c r="D2904" s="6">
        <v>1831.09</v>
      </c>
      <c r="E2904" s="6">
        <v>1533.82</v>
      </c>
      <c r="F2904" s="7" t="s">
        <v>14</v>
      </c>
      <c r="G2904" s="8" t="s">
        <v>5539</v>
      </c>
      <c r="H2904" s="8" t="s">
        <v>16</v>
      </c>
      <c r="I2904" s="9">
        <v>3832</v>
      </c>
      <c r="J2904" s="10">
        <v>8</v>
      </c>
      <c r="K2904" s="10">
        <v>8000</v>
      </c>
      <c r="L2904" s="3" t="str">
        <f t="shared" si="93"/>
        <v>ΚΤΗΝΟΤΡΟΦΙΚΑ_ΦΥΤΑ_ΓΙΑ_ΖΩΟΤΡΟΦΕΣ</v>
      </c>
    </row>
    <row r="2905" spans="1:12" s="3" customFormat="1" ht="24" x14ac:dyDescent="0.25">
      <c r="A2905" s="3" t="str">
        <f t="shared" si="92"/>
        <v>ΚΤΗΝΟΤΡΟΦΙΚΑ ΦΥΤΑ ΓΙΑ ΖΩΟΤΡΟΦΕΣΛΟΥΠΙΝΟ ΛΕΥΚΟ</v>
      </c>
      <c r="B2905" s="4" t="s">
        <v>5215</v>
      </c>
      <c r="C2905" s="5" t="s">
        <v>5540</v>
      </c>
      <c r="D2905" s="6">
        <v>1402.9</v>
      </c>
      <c r="E2905" s="6">
        <v>1418.93</v>
      </c>
      <c r="F2905" s="7" t="s">
        <v>14</v>
      </c>
      <c r="G2905" s="8" t="s">
        <v>5541</v>
      </c>
      <c r="H2905" s="8" t="s">
        <v>16</v>
      </c>
      <c r="I2905" s="9">
        <v>3986</v>
      </c>
      <c r="J2905" s="10">
        <v>8</v>
      </c>
      <c r="K2905" s="10">
        <v>80020</v>
      </c>
      <c r="L2905" s="3" t="str">
        <f t="shared" si="93"/>
        <v>ΚΤΗΝΟΤΡΟΦΙΚΑ_ΦΥΤΑ_ΓΙΑ_ΖΩΟΤΡΟΦΕΣ</v>
      </c>
    </row>
    <row r="2906" spans="1:12" s="3" customFormat="1" ht="24" x14ac:dyDescent="0.25">
      <c r="A2906" s="3" t="str">
        <f t="shared" si="92"/>
        <v>ΚΤΗΝΟΤΡΟΦΙΚΑ ΦΥΤΑ ΓΙΑ ΖΩΟΤΡΟΦΕΣΛΟΥΠΙΝΟ ΚΥΑΝΟ</v>
      </c>
      <c r="B2906" s="4" t="s">
        <v>5215</v>
      </c>
      <c r="C2906" s="5" t="s">
        <v>5542</v>
      </c>
      <c r="D2906" s="6">
        <v>1402.9</v>
      </c>
      <c r="E2906" s="6">
        <v>1418.93</v>
      </c>
      <c r="F2906" s="7" t="s">
        <v>14</v>
      </c>
      <c r="G2906" s="8" t="s">
        <v>5543</v>
      </c>
      <c r="H2906" s="8" t="s">
        <v>16</v>
      </c>
      <c r="I2906" s="9">
        <v>3985</v>
      </c>
      <c r="J2906" s="10">
        <v>8</v>
      </c>
      <c r="K2906" s="10">
        <v>80021</v>
      </c>
      <c r="L2906" s="3" t="str">
        <f t="shared" si="93"/>
        <v>ΚΤΗΝΟΤΡΟΦΙΚΑ_ΦΥΤΑ_ΓΙΑ_ΖΩΟΤΡΟΦΕΣ</v>
      </c>
    </row>
    <row r="2907" spans="1:12" s="3" customFormat="1" ht="24" x14ac:dyDescent="0.25">
      <c r="A2907" s="3" t="str">
        <f t="shared" si="92"/>
        <v>ΚΤΗΝΟΤΡΟΦΙΚΑ ΦΥΤΑ ΓΙΑ ΖΩΟΤΡΟΦΕΣΛΟΥΠΙΝΟ ΚΙΤΡΙΝΟ</v>
      </c>
      <c r="B2907" s="4" t="s">
        <v>5215</v>
      </c>
      <c r="C2907" s="5" t="s">
        <v>5544</v>
      </c>
      <c r="D2907" s="6">
        <v>1402.9</v>
      </c>
      <c r="E2907" s="6">
        <v>1418.93</v>
      </c>
      <c r="F2907" s="7" t="s">
        <v>14</v>
      </c>
      <c r="G2907" s="8" t="s">
        <v>5545</v>
      </c>
      <c r="H2907" s="8" t="s">
        <v>16</v>
      </c>
      <c r="I2907" s="9">
        <v>3984</v>
      </c>
      <c r="J2907" s="10">
        <v>8</v>
      </c>
      <c r="K2907" s="10">
        <v>80022</v>
      </c>
      <c r="L2907" s="3" t="str">
        <f t="shared" si="93"/>
        <v>ΚΤΗΝΟΤΡΟΦΙΚΑ_ΦΥΤΑ_ΓΙΑ_ΖΩΟΤΡΟΦΕΣ</v>
      </c>
    </row>
    <row r="2908" spans="1:12" s="3" customFormat="1" ht="24" x14ac:dyDescent="0.25">
      <c r="A2908" s="3" t="str">
        <f t="shared" si="92"/>
        <v>ΚΤΗΝΟΤΡΟΦΙΚΑ ΦΥΤΑ ΓΙΑ ΖΩΟΤΡΟΦΕΣΡΕΒΥΘΙ ΚΤΗΝΟΤΡΟΦΙΚΟ</v>
      </c>
      <c r="B2908" s="4" t="s">
        <v>5215</v>
      </c>
      <c r="C2908" s="5" t="s">
        <v>5546</v>
      </c>
      <c r="D2908" s="6">
        <v>1402.9</v>
      </c>
      <c r="E2908" s="6">
        <v>1418.93</v>
      </c>
      <c r="F2908" s="7" t="s">
        <v>14</v>
      </c>
      <c r="G2908" s="8" t="s">
        <v>5547</v>
      </c>
      <c r="H2908" s="8" t="s">
        <v>16</v>
      </c>
      <c r="I2908" s="9">
        <v>3972</v>
      </c>
      <c r="J2908" s="10">
        <v>8</v>
      </c>
      <c r="K2908" s="10">
        <v>80023</v>
      </c>
      <c r="L2908" s="3" t="str">
        <f t="shared" si="93"/>
        <v>ΚΤΗΝΟΤΡΟΦΙΚΑ_ΦΥΤΑ_ΓΙΑ_ΖΩΟΤΡΟΦΕΣ</v>
      </c>
    </row>
    <row r="2909" spans="1:12" s="3" customFormat="1" ht="24" x14ac:dyDescent="0.25">
      <c r="A2909" s="3" t="str">
        <f t="shared" si="92"/>
        <v>ΚΤΗΝΟΤΡΟΦΙΚΑ ΦΥΤΑ ΓΙΑ ΖΩΟΤΡΟΦΕΣΒΙΚΟΣ CUMBRE </v>
      </c>
      <c r="B2909" s="4" t="s">
        <v>5215</v>
      </c>
      <c r="C2909" s="5" t="s">
        <v>5548</v>
      </c>
      <c r="D2909" s="6">
        <v>1402.9</v>
      </c>
      <c r="E2909" s="6">
        <v>1418.93</v>
      </c>
      <c r="F2909" s="7" t="s">
        <v>14</v>
      </c>
      <c r="G2909" s="8" t="s">
        <v>5549</v>
      </c>
      <c r="H2909" s="8" t="s">
        <v>16</v>
      </c>
      <c r="I2909" s="9">
        <v>3981</v>
      </c>
      <c r="J2909" s="10">
        <v>8</v>
      </c>
      <c r="K2909" s="10">
        <v>80024</v>
      </c>
      <c r="L2909" s="3" t="str">
        <f t="shared" si="93"/>
        <v>ΚΤΗΝΟΤΡΟΦΙΚΑ_ΦΥΤΑ_ΓΙΑ_ΖΩΟΤΡΟΦΕΣ</v>
      </c>
    </row>
    <row r="2910" spans="1:12" s="3" customFormat="1" ht="24" x14ac:dyDescent="0.25">
      <c r="A2910" s="3" t="str">
        <f t="shared" si="92"/>
        <v>ΚΤΗΝΟΤΡΟΦΙΚΑ ΦΥΤΑ ΓΙΑ ΖΩΟΤΡΟΦΕΣΒΙΚΟΣ SENDA DA-247</v>
      </c>
      <c r="B2910" s="4" t="s">
        <v>5215</v>
      </c>
      <c r="C2910" s="5" t="s">
        <v>5550</v>
      </c>
      <c r="D2910" s="6">
        <v>1402.9</v>
      </c>
      <c r="E2910" s="6">
        <v>1418.93</v>
      </c>
      <c r="F2910" s="7" t="s">
        <v>14</v>
      </c>
      <c r="G2910" s="8" t="s">
        <v>5551</v>
      </c>
      <c r="H2910" s="8" t="s">
        <v>16</v>
      </c>
      <c r="I2910" s="9">
        <v>3990</v>
      </c>
      <c r="J2910" s="10">
        <v>8</v>
      </c>
      <c r="K2910" s="10">
        <v>80025</v>
      </c>
      <c r="L2910" s="3" t="str">
        <f t="shared" si="93"/>
        <v>ΚΤΗΝΟΤΡΟΦΙΚΑ_ΦΥΤΑ_ΓΙΑ_ΖΩΟΤΡΟΦΕΣ</v>
      </c>
    </row>
    <row r="2911" spans="1:12" s="3" customFormat="1" ht="24" x14ac:dyDescent="0.25">
      <c r="A2911" s="3" t="str">
        <f t="shared" si="92"/>
        <v>ΚΤΗΝΟΤΡΟΦΙΚΑ ΦΥΤΑ ΓΙΑ ΖΩΟΤΡΟΦΕΣΒΙΚΟΣ KALLIROI</v>
      </c>
      <c r="B2911" s="4" t="s">
        <v>5215</v>
      </c>
      <c r="C2911" s="5" t="s">
        <v>5552</v>
      </c>
      <c r="D2911" s="6">
        <v>1402.9</v>
      </c>
      <c r="E2911" s="6">
        <v>1418.93</v>
      </c>
      <c r="F2911" s="7" t="s">
        <v>14</v>
      </c>
      <c r="G2911" s="8" t="s">
        <v>5553</v>
      </c>
      <c r="H2911" s="8" t="s">
        <v>16</v>
      </c>
      <c r="I2911" s="9">
        <v>3979</v>
      </c>
      <c r="J2911" s="10">
        <v>8</v>
      </c>
      <c r="K2911" s="10">
        <v>80026</v>
      </c>
      <c r="L2911" s="3" t="str">
        <f t="shared" si="93"/>
        <v>ΚΤΗΝΟΤΡΟΦΙΚΑ_ΦΥΤΑ_ΓΙΑ_ΖΩΟΤΡΟΦΕΣ</v>
      </c>
    </row>
    <row r="2912" spans="1:12" s="3" customFormat="1" ht="24" x14ac:dyDescent="0.25">
      <c r="A2912" s="3" t="str">
        <f t="shared" si="92"/>
        <v>ΚΤΗΝΟΤΡΟΦΙΚΑ ΦΥΤΑ ΓΙΑ ΖΩΟΤΡΟΦΕΣΚΟΥΚΙΑ ΔΙΑΦΟΡΑ</v>
      </c>
      <c r="B2912" s="4" t="s">
        <v>5215</v>
      </c>
      <c r="C2912" s="5" t="s">
        <v>5554</v>
      </c>
      <c r="D2912" s="6">
        <v>1402.9</v>
      </c>
      <c r="E2912" s="6">
        <v>1418.93</v>
      </c>
      <c r="F2912" s="7" t="s">
        <v>14</v>
      </c>
      <c r="G2912" s="8" t="s">
        <v>5555</v>
      </c>
      <c r="H2912" s="8" t="s">
        <v>16</v>
      </c>
      <c r="I2912" s="9">
        <v>3978</v>
      </c>
      <c r="J2912" s="10">
        <v>8</v>
      </c>
      <c r="K2912" s="10">
        <v>80027</v>
      </c>
      <c r="L2912" s="3" t="str">
        <f t="shared" si="93"/>
        <v>ΚΤΗΝΟΤΡΟΦΙΚΑ_ΦΥΤΑ_ΓΙΑ_ΖΩΟΤΡΟΦΕΣ</v>
      </c>
    </row>
    <row r="2913" spans="1:12" s="3" customFormat="1" ht="24" x14ac:dyDescent="0.25">
      <c r="A2913" s="3" t="str">
        <f t="shared" si="92"/>
        <v>ΚΤΗΝΟΤΡΟΦΙΚΑ ΦΥΤΑ ΓΙΑ ΖΩΟΤΡΟΦΕΣΒΙΚΟΣ OMIROS</v>
      </c>
      <c r="B2913" s="4" t="s">
        <v>5215</v>
      </c>
      <c r="C2913" s="5" t="s">
        <v>5556</v>
      </c>
      <c r="D2913" s="6">
        <v>1402.9</v>
      </c>
      <c r="E2913" s="6">
        <v>1418.93</v>
      </c>
      <c r="F2913" s="7" t="s">
        <v>14</v>
      </c>
      <c r="G2913" s="8" t="s">
        <v>5557</v>
      </c>
      <c r="H2913" s="8" t="s">
        <v>16</v>
      </c>
      <c r="I2913" s="9">
        <v>3977</v>
      </c>
      <c r="J2913" s="10">
        <v>8</v>
      </c>
      <c r="K2913" s="10">
        <v>80028</v>
      </c>
      <c r="L2913" s="3" t="str">
        <f t="shared" si="93"/>
        <v>ΚΤΗΝΟΤΡΟΦΙΚΑ_ΦΥΤΑ_ΓΙΑ_ΖΩΟΤΡΟΦΕΣ</v>
      </c>
    </row>
    <row r="2914" spans="1:12" s="3" customFormat="1" ht="24" x14ac:dyDescent="0.25">
      <c r="A2914" s="3" t="str">
        <f t="shared" si="92"/>
        <v>ΚΤΗΝΟΤΡΟΦΙΚΑ ΦΥΤΑ ΓΙΑ ΖΩΟΤΡΟΦΕΣΚΟΥΚΙ ΚΤΗΝΟΤΡΟΦΙΚΟ  SOLON</v>
      </c>
      <c r="B2914" s="4" t="s">
        <v>5215</v>
      </c>
      <c r="C2914" s="5" t="s">
        <v>5558</v>
      </c>
      <c r="D2914" s="6">
        <v>1402.9</v>
      </c>
      <c r="E2914" s="6">
        <v>1418.93</v>
      </c>
      <c r="F2914" s="7" t="s">
        <v>14</v>
      </c>
      <c r="G2914" s="8" t="s">
        <v>5559</v>
      </c>
      <c r="H2914" s="8" t="s">
        <v>16</v>
      </c>
      <c r="I2914" s="9">
        <v>3976</v>
      </c>
      <c r="J2914" s="10">
        <v>8</v>
      </c>
      <c r="K2914" s="10">
        <v>80029</v>
      </c>
      <c r="L2914" s="3" t="str">
        <f t="shared" si="93"/>
        <v>ΚΤΗΝΟΤΡΟΦΙΚΑ_ΦΥΤΑ_ΓΙΑ_ΖΩΟΤΡΟΦΕΣ</v>
      </c>
    </row>
    <row r="2915" spans="1:12" s="3" customFormat="1" ht="24" x14ac:dyDescent="0.25">
      <c r="A2915" s="3" t="str">
        <f t="shared" si="92"/>
        <v>ΚΤΗΝΟΤΡΟΦΙΚΑ ΦΥΤΑ ΓΙΑ ΖΩΟΤΡΟΦΕΣΚΡΙΘΑΡΙ OLYMPIC</v>
      </c>
      <c r="B2915" s="4" t="s">
        <v>5215</v>
      </c>
      <c r="C2915" s="5" t="s">
        <v>5560</v>
      </c>
      <c r="D2915" s="6">
        <v>466.58</v>
      </c>
      <c r="E2915" s="6">
        <v>366.77</v>
      </c>
      <c r="F2915" s="7" t="s">
        <v>14</v>
      </c>
      <c r="G2915" s="8" t="s">
        <v>5561</v>
      </c>
      <c r="H2915" s="8" t="s">
        <v>16</v>
      </c>
      <c r="I2915" s="9">
        <v>3975</v>
      </c>
      <c r="J2915" s="10">
        <v>8</v>
      </c>
      <c r="K2915" s="10">
        <v>80030</v>
      </c>
      <c r="L2915" s="3" t="str">
        <f t="shared" si="93"/>
        <v>ΚΤΗΝΟΤΡΟΦΙΚΑ_ΦΥΤΑ_ΓΙΑ_ΖΩΟΤΡΟΦΕΣ</v>
      </c>
    </row>
    <row r="2916" spans="1:12" s="3" customFormat="1" ht="24" x14ac:dyDescent="0.25">
      <c r="A2916" s="3" t="str">
        <f t="shared" si="92"/>
        <v>ΚΤΗΝΟΤΡΟΦΙΚΑ ΦΥΤΑ ΓΙΑ ΖΩΟΤΡΟΦΕΣΜΠΙΖΕΛΙ / ΠΙΣΟ ΚΤΗΝΟΤΡΟΦΙΚΟ RIF</v>
      </c>
      <c r="B2916" s="4" t="s">
        <v>5215</v>
      </c>
      <c r="C2916" s="5" t="s">
        <v>5562</v>
      </c>
      <c r="D2916" s="6">
        <v>1402.9</v>
      </c>
      <c r="E2916" s="6">
        <v>1418.93</v>
      </c>
      <c r="F2916" s="7" t="s">
        <v>14</v>
      </c>
      <c r="G2916" s="8" t="s">
        <v>5563</v>
      </c>
      <c r="H2916" s="8" t="s">
        <v>16</v>
      </c>
      <c r="I2916" s="9">
        <v>3974</v>
      </c>
      <c r="J2916" s="10">
        <v>8</v>
      </c>
      <c r="K2916" s="10">
        <v>80031</v>
      </c>
      <c r="L2916" s="3" t="str">
        <f t="shared" si="93"/>
        <v>ΚΤΗΝΟΤΡΟΦΙΚΑ_ΦΥΤΑ_ΓΙΑ_ΖΩΟΤΡΟΦΕΣ</v>
      </c>
    </row>
    <row r="2917" spans="1:12" s="3" customFormat="1" ht="24" x14ac:dyDescent="0.25">
      <c r="A2917" s="3" t="str">
        <f t="shared" si="92"/>
        <v>ΚΤΗΝΟΤΡΟΦΙΚΑ ΦΥΤΑ ΓΙΑ ΖΩΟΤΡΟΦΕΣΒΙΚΟΣ PIGASOS</v>
      </c>
      <c r="B2917" s="4" t="s">
        <v>5215</v>
      </c>
      <c r="C2917" s="5" t="s">
        <v>5564</v>
      </c>
      <c r="D2917" s="6">
        <v>1402.9</v>
      </c>
      <c r="E2917" s="6">
        <v>1418.93</v>
      </c>
      <c r="F2917" s="7" t="s">
        <v>14</v>
      </c>
      <c r="G2917" s="8" t="s">
        <v>5565</v>
      </c>
      <c r="H2917" s="8" t="s">
        <v>16</v>
      </c>
      <c r="I2917" s="9">
        <v>3999</v>
      </c>
      <c r="J2917" s="10">
        <v>8</v>
      </c>
      <c r="K2917" s="10">
        <v>80032</v>
      </c>
      <c r="L2917" s="3" t="str">
        <f t="shared" si="93"/>
        <v>ΚΤΗΝΟΤΡΟΦΙΚΑ_ΦΥΤΑ_ΓΙΑ_ΖΩΟΤΡΟΦΕΣ</v>
      </c>
    </row>
    <row r="2918" spans="1:12" s="3" customFormat="1" ht="24" x14ac:dyDescent="0.25">
      <c r="A2918" s="3" t="str">
        <f t="shared" si="92"/>
        <v>ΚΤΗΝΟΤΡΟΦΙΚΑ ΦΥΤΑ ΓΙΑ ΖΩΟΤΡΟΦΕΣΒΙΚΟΣ MARIANNA</v>
      </c>
      <c r="B2918" s="4" t="s">
        <v>5215</v>
      </c>
      <c r="C2918" s="5" t="s">
        <v>5566</v>
      </c>
      <c r="D2918" s="6">
        <v>1402.9</v>
      </c>
      <c r="E2918" s="6">
        <v>1418.93</v>
      </c>
      <c r="F2918" s="7" t="s">
        <v>14</v>
      </c>
      <c r="G2918" s="8" t="s">
        <v>5567</v>
      </c>
      <c r="H2918" s="8" t="s">
        <v>16</v>
      </c>
      <c r="I2918" s="9">
        <v>3980</v>
      </c>
      <c r="J2918" s="10">
        <v>8</v>
      </c>
      <c r="K2918" s="10">
        <v>80033</v>
      </c>
      <c r="L2918" s="3" t="str">
        <f t="shared" si="93"/>
        <v>ΚΤΗΝΟΤΡΟΦΙΚΑ_ΦΥΤΑ_ΓΙΑ_ΖΩΟΤΡΟΦΕΣ</v>
      </c>
    </row>
    <row r="2919" spans="1:12" s="3" customFormat="1" ht="24" x14ac:dyDescent="0.25">
      <c r="A2919" s="3" t="str">
        <f t="shared" si="92"/>
        <v>ΚΤΗΝΟΤΡΟΦΙΚΑ ΦΥΤΑ ΓΙΑ ΖΩΟΤΡΟΦΕΣΒΙΚΟΣ KADMOS</v>
      </c>
      <c r="B2919" s="18" t="s">
        <v>5215</v>
      </c>
      <c r="C2919" s="19" t="s">
        <v>5568</v>
      </c>
      <c r="D2919" s="6">
        <v>1402.9</v>
      </c>
      <c r="E2919" s="6">
        <v>1418.93</v>
      </c>
      <c r="F2919" s="6" t="s">
        <v>14</v>
      </c>
      <c r="G2919" s="8" t="s">
        <v>5569</v>
      </c>
      <c r="H2919" s="8" t="s">
        <v>27</v>
      </c>
      <c r="I2919" s="9">
        <v>4620</v>
      </c>
      <c r="J2919" s="20">
        <v>8</v>
      </c>
      <c r="K2919" s="20">
        <v>80034</v>
      </c>
      <c r="L2919" s="3" t="str">
        <f t="shared" si="93"/>
        <v>ΚΤΗΝΟΤΡΟΦΙΚΑ_ΦΥΤΑ_ΓΙΑ_ΖΩΟΤΡΟΦΕΣ</v>
      </c>
    </row>
    <row r="2920" spans="1:12" s="3" customFormat="1" ht="24" x14ac:dyDescent="0.25">
      <c r="A2920" s="3" t="str">
        <f t="shared" si="92"/>
        <v>ΚΤΗΝΟΤΡΟΦΙΚΑ ΦΥΤΑ ΓΙΑ ΖΩΟΤΡΟΦΕΣΒΙΚΟΣ  MIRABELLA (118/7)</v>
      </c>
      <c r="B2920" s="4" t="s">
        <v>5215</v>
      </c>
      <c r="C2920" s="5" t="s">
        <v>5570</v>
      </c>
      <c r="D2920" s="6">
        <v>1402.9</v>
      </c>
      <c r="E2920" s="6">
        <v>1418.93</v>
      </c>
      <c r="F2920" s="7" t="s">
        <v>14</v>
      </c>
      <c r="G2920" s="8" t="s">
        <v>5571</v>
      </c>
      <c r="H2920" s="8" t="s">
        <v>16</v>
      </c>
      <c r="I2920" s="9">
        <v>3982</v>
      </c>
      <c r="J2920" s="10">
        <v>8</v>
      </c>
      <c r="K2920" s="10">
        <v>80035</v>
      </c>
      <c r="L2920" s="3" t="str">
        <f t="shared" si="93"/>
        <v>ΚΤΗΝΟΤΡΟΦΙΚΑ_ΦΥΤΑ_ΓΙΑ_ΖΩΟΤΡΟΦΕΣ</v>
      </c>
    </row>
    <row r="2921" spans="1:12" s="3" customFormat="1" ht="24" x14ac:dyDescent="0.25">
      <c r="A2921" s="3" t="str">
        <f t="shared" si="92"/>
        <v>ΚΤΗΝΟΤΡΟΦΙΚΑ ΦΥΤΑ ΓΙΑ ΖΩΟΤΡΟΦΕΣΒΙΚΟΣ FILIPPOS</v>
      </c>
      <c r="B2921" s="4" t="s">
        <v>5215</v>
      </c>
      <c r="C2921" s="5" t="s">
        <v>5572</v>
      </c>
      <c r="D2921" s="6">
        <v>1402.9</v>
      </c>
      <c r="E2921" s="6">
        <v>1418.93</v>
      </c>
      <c r="F2921" s="7" t="s">
        <v>14</v>
      </c>
      <c r="G2921" s="8" t="s">
        <v>5573</v>
      </c>
      <c r="H2921" s="8" t="s">
        <v>27</v>
      </c>
      <c r="I2921" s="9">
        <v>4008</v>
      </c>
      <c r="J2921" s="10">
        <v>8</v>
      </c>
      <c r="K2921" s="10">
        <v>80036</v>
      </c>
      <c r="L2921" s="3" t="str">
        <f t="shared" si="93"/>
        <v>ΚΤΗΝΟΤΡΟΦΙΚΑ_ΦΥΤΑ_ΓΙΑ_ΖΩΟΤΡΟΦΕΣ</v>
      </c>
    </row>
    <row r="2922" spans="1:12" s="3" customFormat="1" ht="24" x14ac:dyDescent="0.25">
      <c r="A2922" s="3" t="str">
        <f t="shared" si="92"/>
        <v>ΚΤΗΝΟΤΡΟΦΙΚΑ ΦΥΤΑ ΓΙΑ ΖΩΟΤΡΟΦΕΣΒΙΚΟΣ LEONIDAS</v>
      </c>
      <c r="B2922" s="4" t="s">
        <v>5215</v>
      </c>
      <c r="C2922" s="5" t="s">
        <v>5574</v>
      </c>
      <c r="D2922" s="6">
        <v>1402.9</v>
      </c>
      <c r="E2922" s="6">
        <v>1418.93</v>
      </c>
      <c r="F2922" s="7" t="s">
        <v>14</v>
      </c>
      <c r="G2922" s="8" t="s">
        <v>5575</v>
      </c>
      <c r="H2922" s="8" t="s">
        <v>16</v>
      </c>
      <c r="I2922" s="9">
        <v>4007</v>
      </c>
      <c r="J2922" s="10">
        <v>8</v>
      </c>
      <c r="K2922" s="10">
        <v>80037</v>
      </c>
      <c r="L2922" s="3" t="str">
        <f t="shared" si="93"/>
        <v>ΚΤΗΝΟΤΡΟΦΙΚΑ_ΦΥΤΑ_ΓΙΑ_ΖΩΟΤΡΟΦΕΣ</v>
      </c>
    </row>
    <row r="2923" spans="1:12" s="3" customFormat="1" ht="24" x14ac:dyDescent="0.25">
      <c r="A2923" s="3" t="str">
        <f t="shared" si="92"/>
        <v>ΚΤΗΝΟΤΡΟΦΙΚΑ ΦΥΤΑ ΓΙΑ ΖΩΟΤΡΟΦΕΣΒΙΚΟΣ ROMEO</v>
      </c>
      <c r="B2923" s="4" t="s">
        <v>5215</v>
      </c>
      <c r="C2923" s="5" t="s">
        <v>5576</v>
      </c>
      <c r="D2923" s="6">
        <v>1402.9</v>
      </c>
      <c r="E2923" s="6">
        <v>1418.93</v>
      </c>
      <c r="F2923" s="7" t="s">
        <v>14</v>
      </c>
      <c r="G2923" s="8" t="s">
        <v>5577</v>
      </c>
      <c r="H2923" s="8" t="s">
        <v>16</v>
      </c>
      <c r="I2923" s="9">
        <v>4006</v>
      </c>
      <c r="J2923" s="10">
        <v>8</v>
      </c>
      <c r="K2923" s="10">
        <v>80038</v>
      </c>
      <c r="L2923" s="3" t="str">
        <f t="shared" si="93"/>
        <v>ΚΤΗΝΟΤΡΟΦΙΚΑ_ΦΥΤΑ_ΓΙΑ_ΖΩΟΤΡΟΦΕΣ</v>
      </c>
    </row>
    <row r="2924" spans="1:12" s="3" customFormat="1" ht="24" x14ac:dyDescent="0.25">
      <c r="A2924" s="3" t="str">
        <f t="shared" si="92"/>
        <v>ΚΤΗΝΟΤΡΟΦΙΚΑ ΦΥΤΑ ΓΙΑ ΖΩΟΤΡΟΦΕΣΚΟΥΚΙ ΚΤΗΝΟΤΡΟΦΙΚΟ POLYKARPI</v>
      </c>
      <c r="B2924" s="4" t="s">
        <v>5215</v>
      </c>
      <c r="C2924" s="5" t="s">
        <v>5578</v>
      </c>
      <c r="D2924" s="6">
        <v>1402.9</v>
      </c>
      <c r="E2924" s="6">
        <v>1418.93</v>
      </c>
      <c r="F2924" s="7" t="s">
        <v>14</v>
      </c>
      <c r="G2924" s="8" t="s">
        <v>5579</v>
      </c>
      <c r="H2924" s="8" t="s">
        <v>16</v>
      </c>
      <c r="I2924" s="9">
        <v>4004</v>
      </c>
      <c r="J2924" s="10">
        <v>8</v>
      </c>
      <c r="K2924" s="10">
        <v>80039</v>
      </c>
      <c r="L2924" s="3" t="str">
        <f t="shared" si="93"/>
        <v>ΚΤΗΝΟΤΡΟΦΙΚΑ_ΦΥΤΑ_ΓΙΑ_ΖΩΟΤΡΟΦΕΣ</v>
      </c>
    </row>
    <row r="2925" spans="1:12" s="3" customFormat="1" ht="24" x14ac:dyDescent="0.25">
      <c r="A2925" s="3" t="str">
        <f t="shared" si="92"/>
        <v>ΚΤΗΝΟΤΡΟΦΙΚΑ ΦΥΤΑ ΓΙΑ ΖΩΟΤΡΟΦΕΣΚΟΥΚΙ ΚΤΗΝΟΤΡΟΦΙΚΟ PAVLOS</v>
      </c>
      <c r="B2925" s="4" t="s">
        <v>5215</v>
      </c>
      <c r="C2925" s="5" t="s">
        <v>5580</v>
      </c>
      <c r="D2925" s="6">
        <v>1402.9</v>
      </c>
      <c r="E2925" s="6">
        <v>1418.93</v>
      </c>
      <c r="F2925" s="7" t="s">
        <v>14</v>
      </c>
      <c r="G2925" s="8" t="s">
        <v>5581</v>
      </c>
      <c r="H2925" s="8" t="s">
        <v>16</v>
      </c>
      <c r="I2925" s="9">
        <v>4003</v>
      </c>
      <c r="J2925" s="10">
        <v>8</v>
      </c>
      <c r="K2925" s="10">
        <v>80040</v>
      </c>
      <c r="L2925" s="3" t="str">
        <f t="shared" si="93"/>
        <v>ΚΤΗΝΟΤΡΟΦΙΚΑ_ΦΥΤΑ_ΓΙΑ_ΖΩΟΤΡΟΦΕΣ</v>
      </c>
    </row>
    <row r="2926" spans="1:12" s="3" customFormat="1" ht="24" x14ac:dyDescent="0.25">
      <c r="A2926" s="3" t="str">
        <f t="shared" si="92"/>
        <v>ΚΤΗΝΟΤΡΟΦΙΚΑ ΦΥΤΑ ΓΙΑ ΖΩΟΤΡΟΦΕΣΛΑΘΟΥΡΙ ΚΤΗΝΟΤΡΟΦΙΚΟ CHIOS</v>
      </c>
      <c r="B2926" s="4" t="s">
        <v>5215</v>
      </c>
      <c r="C2926" s="5" t="s">
        <v>5582</v>
      </c>
      <c r="D2926" s="6">
        <v>1402.9</v>
      </c>
      <c r="E2926" s="6">
        <v>1418.93</v>
      </c>
      <c r="F2926" s="7" t="s">
        <v>14</v>
      </c>
      <c r="G2926" s="8" t="s">
        <v>5583</v>
      </c>
      <c r="H2926" s="8" t="s">
        <v>16</v>
      </c>
      <c r="I2926" s="9">
        <v>4002</v>
      </c>
      <c r="J2926" s="10">
        <v>8</v>
      </c>
      <c r="K2926" s="10">
        <v>80041</v>
      </c>
      <c r="L2926" s="3" t="str">
        <f t="shared" si="93"/>
        <v>ΚΤΗΝΟΤΡΟΦΙΚΑ_ΦΥΤΑ_ΓΙΑ_ΖΩΟΤΡΟΦΕΣ</v>
      </c>
    </row>
    <row r="2927" spans="1:12" s="3" customFormat="1" ht="24" x14ac:dyDescent="0.25">
      <c r="A2927" s="3" t="str">
        <f t="shared" si="92"/>
        <v>ΚΤΗΝΟΤΡΟΦΙΚΑ ΦΥΤΑ ΓΙΑ ΖΩΟΤΡΟΦΕΣΛΑΘΟΥΡΙ ΚΤΗΝΟΤΡΟΦΙΚΟ KRITI</v>
      </c>
      <c r="B2927" s="4" t="s">
        <v>5215</v>
      </c>
      <c r="C2927" s="5" t="s">
        <v>5584</v>
      </c>
      <c r="D2927" s="6">
        <v>1402.9</v>
      </c>
      <c r="E2927" s="6">
        <v>1418.93</v>
      </c>
      <c r="F2927" s="7" t="s">
        <v>14</v>
      </c>
      <c r="G2927" s="8" t="s">
        <v>5585</v>
      </c>
      <c r="H2927" s="8" t="s">
        <v>16</v>
      </c>
      <c r="I2927" s="9">
        <v>3991</v>
      </c>
      <c r="J2927" s="10">
        <v>8</v>
      </c>
      <c r="K2927" s="10">
        <v>80042</v>
      </c>
      <c r="L2927" s="3" t="str">
        <f t="shared" si="93"/>
        <v>ΚΤΗΝΟΤΡΟΦΙΚΑ_ΦΥΤΑ_ΓΙΑ_ΖΩΟΤΡΟΦΕΣ</v>
      </c>
    </row>
    <row r="2928" spans="1:12" s="3" customFormat="1" ht="24" x14ac:dyDescent="0.25">
      <c r="A2928" s="3" t="str">
        <f t="shared" si="92"/>
        <v>ΚΤΗΝΟΤΡΟΦΙΚΑ ΦΥΤΑ ΓΙΑ ΖΩΟΤΡΟΦΕΣΛΑΘΟΥΡΙ ΚΤΗΝΟΤΡΟΦΙΚΟ RODOS</v>
      </c>
      <c r="B2928" s="4" t="s">
        <v>5215</v>
      </c>
      <c r="C2928" s="5" t="s">
        <v>5586</v>
      </c>
      <c r="D2928" s="6">
        <v>1402.9</v>
      </c>
      <c r="E2928" s="6">
        <v>1418.93</v>
      </c>
      <c r="F2928" s="7" t="s">
        <v>14</v>
      </c>
      <c r="G2928" s="8" t="s">
        <v>5587</v>
      </c>
      <c r="H2928" s="8" t="s">
        <v>16</v>
      </c>
      <c r="I2928" s="9">
        <v>4000</v>
      </c>
      <c r="J2928" s="10">
        <v>8</v>
      </c>
      <c r="K2928" s="10">
        <v>80043</v>
      </c>
      <c r="L2928" s="3" t="str">
        <f t="shared" si="93"/>
        <v>ΚΤΗΝΟΤΡΟΦΙΚΑ_ΦΥΤΑ_ΓΙΑ_ΖΩΟΤΡΟΦΕΣ</v>
      </c>
    </row>
    <row r="2929" spans="1:12" s="3" customFormat="1" ht="24" x14ac:dyDescent="0.25">
      <c r="A2929" s="3" t="str">
        <f t="shared" si="92"/>
        <v>ΚΤΗΝΟΤΡΟΦΙΚΑ ΦΥΤΑ ΓΙΑ ΖΩΟΤΡΟΦΕΣΜΠΙΖΕΛΙ / ΠΙΣΟ ΚΤΗΝΟΤΡΟΦΙΚΟ ODYSSEAS</v>
      </c>
      <c r="B2929" s="4" t="s">
        <v>5215</v>
      </c>
      <c r="C2929" s="5" t="s">
        <v>5588</v>
      </c>
      <c r="D2929" s="6">
        <v>1402.9</v>
      </c>
      <c r="E2929" s="6">
        <v>1418.93</v>
      </c>
      <c r="F2929" s="7" t="s">
        <v>14</v>
      </c>
      <c r="G2929" s="8" t="s">
        <v>5589</v>
      </c>
      <c r="H2929" s="8" t="s">
        <v>16</v>
      </c>
      <c r="I2929" s="9">
        <v>4009</v>
      </c>
      <c r="J2929" s="10">
        <v>8</v>
      </c>
      <c r="K2929" s="10">
        <v>80044</v>
      </c>
      <c r="L2929" s="3" t="str">
        <f t="shared" si="93"/>
        <v>ΚΤΗΝΟΤΡΟΦΙΚΑ_ΦΥΤΑ_ΓΙΑ_ΖΩΟΤΡΟΦΕΣ</v>
      </c>
    </row>
    <row r="2930" spans="1:12" s="3" customFormat="1" ht="24" x14ac:dyDescent="0.25">
      <c r="A2930" s="3" t="str">
        <f t="shared" si="92"/>
        <v>ΚΤΗΝΟΤΡΟΦΙΚΑ ΦΥΤΑ ΓΙΑ ΖΩΟΤΡΟΦΕΣΜΠΙΖΕΛΙ / ΠΙΣΟ ΚΤΗΝΟΤΡΟΦΙΚΟ PISSO</v>
      </c>
      <c r="B2930" s="4" t="s">
        <v>5215</v>
      </c>
      <c r="C2930" s="5" t="s">
        <v>5590</v>
      </c>
      <c r="D2930" s="6">
        <v>1402.9</v>
      </c>
      <c r="E2930" s="6">
        <v>1418.93</v>
      </c>
      <c r="F2930" s="7" t="s">
        <v>14</v>
      </c>
      <c r="G2930" s="8" t="s">
        <v>5591</v>
      </c>
      <c r="H2930" s="8" t="s">
        <v>16</v>
      </c>
      <c r="I2930" s="9">
        <v>3998</v>
      </c>
      <c r="J2930" s="10">
        <v>8</v>
      </c>
      <c r="K2930" s="10">
        <v>80045</v>
      </c>
      <c r="L2930" s="3" t="str">
        <f t="shared" si="93"/>
        <v>ΚΤΗΝΟΤΡΟΦΙΚΑ_ΦΥΤΑ_ΓΙΑ_ΖΩΟΤΡΟΦΕΣ</v>
      </c>
    </row>
    <row r="2931" spans="1:12" s="3" customFormat="1" ht="24" x14ac:dyDescent="0.25">
      <c r="A2931" s="3" t="str">
        <f t="shared" si="92"/>
        <v>ΚΤΗΝΟΤΡΟΦΙΚΑ ΦΥΤΑ ΓΙΑ ΖΩΟΤΡΟΦΕΣΒΙΚΟΣ ISTROS</v>
      </c>
      <c r="B2931" s="4" t="s">
        <v>5215</v>
      </c>
      <c r="C2931" s="5" t="s">
        <v>5592</v>
      </c>
      <c r="D2931" s="6">
        <v>1402.9</v>
      </c>
      <c r="E2931" s="6">
        <v>1418.93</v>
      </c>
      <c r="F2931" s="7" t="s">
        <v>14</v>
      </c>
      <c r="G2931" s="8" t="s">
        <v>5593</v>
      </c>
      <c r="H2931" s="8" t="s">
        <v>16</v>
      </c>
      <c r="I2931" s="9">
        <v>3997</v>
      </c>
      <c r="J2931" s="10">
        <v>8</v>
      </c>
      <c r="K2931" s="10">
        <v>80046</v>
      </c>
      <c r="L2931" s="3" t="str">
        <f t="shared" si="93"/>
        <v>ΚΤΗΝΟΤΡΟΦΙΚΑ_ΦΥΤΑ_ΓΙΑ_ΖΩΟΤΡΟΦΕΣ</v>
      </c>
    </row>
    <row r="2932" spans="1:12" s="3" customFormat="1" ht="24" x14ac:dyDescent="0.25">
      <c r="A2932" s="3" t="str">
        <f t="shared" si="92"/>
        <v>ΚΤΗΝΟΤΡΟΦΙΚΑ ΦΥΤΑ ΓΙΑ ΖΩΟΤΡΟΦΕΣΒΙΚΟΣ IDICE</v>
      </c>
      <c r="B2932" s="4" t="s">
        <v>5215</v>
      </c>
      <c r="C2932" s="5" t="s">
        <v>5594</v>
      </c>
      <c r="D2932" s="6">
        <v>1402.9</v>
      </c>
      <c r="E2932" s="6">
        <v>1418.93</v>
      </c>
      <c r="F2932" s="7" t="s">
        <v>14</v>
      </c>
      <c r="G2932" s="8" t="s">
        <v>5595</v>
      </c>
      <c r="H2932" s="8" t="s">
        <v>16</v>
      </c>
      <c r="I2932" s="9">
        <v>3996</v>
      </c>
      <c r="J2932" s="10">
        <v>8</v>
      </c>
      <c r="K2932" s="10">
        <v>80047</v>
      </c>
      <c r="L2932" s="3" t="str">
        <f t="shared" si="93"/>
        <v>ΚΤΗΝΟΤΡΟΦΙΚΑ_ΦΥΤΑ_ΓΙΑ_ΖΩΟΤΡΟΦΕΣ</v>
      </c>
    </row>
    <row r="2933" spans="1:12" s="3" customFormat="1" ht="15" customHeight="1" x14ac:dyDescent="0.25">
      <c r="A2933" s="3" t="str">
        <f t="shared" si="92"/>
        <v>ΚΤΗΝΟΤΡΟΦΙΚΑ ΦΥΤΑ ΓΙΑ ΖΩΟΤΡΟΦΕΣΒΙΚΟΣ KIMON</v>
      </c>
      <c r="B2933" s="4" t="s">
        <v>5215</v>
      </c>
      <c r="C2933" s="5" t="s">
        <v>5596</v>
      </c>
      <c r="D2933" s="6">
        <v>1402.9</v>
      </c>
      <c r="E2933" s="6">
        <v>1418.93</v>
      </c>
      <c r="F2933" s="7" t="s">
        <v>14</v>
      </c>
      <c r="G2933" s="8" t="s">
        <v>5597</v>
      </c>
      <c r="H2933" s="8" t="s">
        <v>16</v>
      </c>
      <c r="I2933" s="9">
        <v>3878</v>
      </c>
      <c r="J2933" s="10">
        <v>8</v>
      </c>
      <c r="K2933" s="10">
        <v>80048</v>
      </c>
      <c r="L2933" s="3" t="str">
        <f t="shared" si="93"/>
        <v>ΚΤΗΝΟΤΡΟΦΙΚΑ_ΦΥΤΑ_ΓΙΑ_ΖΩΟΤΡΟΦΕΣ</v>
      </c>
    </row>
    <row r="2934" spans="1:12" s="3" customFormat="1" ht="24" x14ac:dyDescent="0.25">
      <c r="A2934" s="3" t="str">
        <f t="shared" si="92"/>
        <v>ΚΤΗΝΟΤΡΟΦΙΚΑ ΦΥΤΑ ΓΙΑ ΖΩΟΤΡΟΦΕΣΒΙΚΟΣ SENDA DA 247</v>
      </c>
      <c r="B2934" s="18" t="s">
        <v>5215</v>
      </c>
      <c r="C2934" s="19" t="s">
        <v>5598</v>
      </c>
      <c r="D2934" s="6">
        <v>1402.9</v>
      </c>
      <c r="E2934" s="6">
        <v>1418.93</v>
      </c>
      <c r="F2934" s="7" t="s">
        <v>14</v>
      </c>
      <c r="G2934" s="8" t="s">
        <v>5599</v>
      </c>
      <c r="H2934" s="8" t="s">
        <v>27</v>
      </c>
      <c r="I2934" s="9">
        <v>4621</v>
      </c>
      <c r="J2934" s="20">
        <v>8</v>
      </c>
      <c r="K2934" s="20">
        <v>80049</v>
      </c>
      <c r="L2934" s="3" t="str">
        <f t="shared" si="93"/>
        <v>ΚΤΗΝΟΤΡΟΦΙΚΑ_ΦΥΤΑ_ΓΙΑ_ΖΩΟΤΡΟΦΕΣ</v>
      </c>
    </row>
    <row r="2935" spans="1:12" s="3" customFormat="1" ht="24" x14ac:dyDescent="0.25">
      <c r="A2935" s="3" t="str">
        <f t="shared" si="92"/>
        <v>ΚΤΗΝΟΤΡΟΦΙΚΑ ΦΥΤΑ ΓΙΑ ΖΩΟΤΡΟΦΕΣΚΤΗΝΟΤΡΟΦΙΚΟ ΜΠΙΖΕΛΙ RESPECT</v>
      </c>
      <c r="B2935" s="4" t="s">
        <v>5215</v>
      </c>
      <c r="C2935" s="5" t="s">
        <v>5600</v>
      </c>
      <c r="D2935" s="6">
        <v>1568.73</v>
      </c>
      <c r="E2935" s="6">
        <v>1689.55</v>
      </c>
      <c r="F2935" s="7" t="s">
        <v>14</v>
      </c>
      <c r="G2935" s="8" t="s">
        <v>5601</v>
      </c>
      <c r="H2935" s="8" t="s">
        <v>16</v>
      </c>
      <c r="I2935" s="9">
        <v>3994</v>
      </c>
      <c r="J2935" s="10">
        <v>8</v>
      </c>
      <c r="K2935" s="10">
        <v>80050</v>
      </c>
      <c r="L2935" s="3" t="str">
        <f t="shared" si="93"/>
        <v>ΚΤΗΝΟΤΡΟΦΙΚΑ_ΦΥΤΑ_ΓΙΑ_ΖΩΟΤΡΟΦΕΣ</v>
      </c>
    </row>
    <row r="2936" spans="1:12" s="3" customFormat="1" ht="24" x14ac:dyDescent="0.25">
      <c r="A2936" s="3" t="str">
        <f t="shared" si="92"/>
        <v>ΚΤΗΝΟΤΡΟΦΙΚΑ ΦΥΤΑ ΓΙΑ ΖΩΟΤΡΟΦΕΣΚΤΗΝΟΤΡΟΦΙΚΟ ΜΠΙΖΕΛΙ ARVIKA</v>
      </c>
      <c r="B2936" s="4" t="s">
        <v>5215</v>
      </c>
      <c r="C2936" s="5" t="s">
        <v>5602</v>
      </c>
      <c r="D2936" s="6">
        <v>1568.73</v>
      </c>
      <c r="E2936" s="6">
        <v>1689.55</v>
      </c>
      <c r="F2936" s="7" t="s">
        <v>14</v>
      </c>
      <c r="G2936" s="8" t="s">
        <v>5603</v>
      </c>
      <c r="H2936" s="8" t="s">
        <v>16</v>
      </c>
      <c r="I2936" s="9">
        <v>3922</v>
      </c>
      <c r="J2936" s="10">
        <v>8</v>
      </c>
      <c r="K2936" s="10">
        <v>80051</v>
      </c>
      <c r="L2936" s="3" t="str">
        <f t="shared" si="93"/>
        <v>ΚΤΗΝΟΤΡΟΦΙΚΑ_ΦΥΤΑ_ΓΙΑ_ΖΩΟΤΡΟΦΕΣ</v>
      </c>
    </row>
    <row r="2937" spans="1:12" s="3" customFormat="1" ht="24" x14ac:dyDescent="0.25">
      <c r="A2937" s="3" t="str">
        <f t="shared" si="92"/>
        <v>ΚΤΗΝΟΤΡΟΦΙΚΑ ΦΥΤΑ ΓΙΑ ΖΩΟΤΡΟΦΕΣΜΗΔΙΚΗ Η ΗΜΕΡΟΣ AGNM68</v>
      </c>
      <c r="B2937" s="4" t="s">
        <v>5215</v>
      </c>
      <c r="C2937" s="5" t="s">
        <v>5604</v>
      </c>
      <c r="D2937" s="6">
        <v>1402.9</v>
      </c>
      <c r="E2937" s="6">
        <v>1418.93</v>
      </c>
      <c r="F2937" s="7" t="s">
        <v>14</v>
      </c>
      <c r="G2937" s="8" t="s">
        <v>5605</v>
      </c>
      <c r="H2937" s="8" t="s">
        <v>16</v>
      </c>
      <c r="I2937" s="9">
        <v>3993</v>
      </c>
      <c r="J2937" s="10">
        <v>8</v>
      </c>
      <c r="K2937" s="10">
        <v>80052</v>
      </c>
      <c r="L2937" s="3" t="str">
        <f t="shared" si="93"/>
        <v>ΚΤΗΝΟΤΡΟΦΙΚΑ_ΦΥΤΑ_ΓΙΑ_ΖΩΟΤΡΟΦΕΣ</v>
      </c>
    </row>
    <row r="2938" spans="1:12" s="3" customFormat="1" ht="24" x14ac:dyDescent="0.25">
      <c r="A2938" s="3" t="str">
        <f t="shared" si="92"/>
        <v>ΚΤΗΝΟΤΡΟΦΙΚΑ ΦΥΤΑ ΓΙΑ ΖΩΟΤΡΟΦΕΣΜΗΔΙΚΗ Η ΗΜΕΡΟΣ AGNM72</v>
      </c>
      <c r="B2938" s="4" t="s">
        <v>5215</v>
      </c>
      <c r="C2938" s="5" t="s">
        <v>5606</v>
      </c>
      <c r="D2938" s="6">
        <v>1402.9</v>
      </c>
      <c r="E2938" s="6">
        <v>1418.93</v>
      </c>
      <c r="F2938" s="7" t="s">
        <v>14</v>
      </c>
      <c r="G2938" s="8" t="s">
        <v>5607</v>
      </c>
      <c r="H2938" s="8" t="s">
        <v>16</v>
      </c>
      <c r="I2938" s="9">
        <v>3992</v>
      </c>
      <c r="J2938" s="10">
        <v>8</v>
      </c>
      <c r="K2938" s="10">
        <v>80053</v>
      </c>
      <c r="L2938" s="3" t="str">
        <f t="shared" si="93"/>
        <v>ΚΤΗΝΟΤΡΟΦΙΚΑ_ΦΥΤΑ_ΓΙΑ_ΖΩΟΤΡΟΦΕΣ</v>
      </c>
    </row>
    <row r="2939" spans="1:12" s="3" customFormat="1" ht="24" x14ac:dyDescent="0.25">
      <c r="A2939" s="3" t="str">
        <f t="shared" si="92"/>
        <v>ΚΤΗΝΟΤΡΟΦΙΚΑ ΦΥΤΑ ΓΙΑ ΖΩΟΤΡΟΦΕΣΜΗΔΙΚΗ Η ΗΜΕΡΟΣ CHAIRONIA</v>
      </c>
      <c r="B2939" s="4" t="s">
        <v>5215</v>
      </c>
      <c r="C2939" s="5" t="s">
        <v>5608</v>
      </c>
      <c r="D2939" s="6">
        <v>1402.9</v>
      </c>
      <c r="E2939" s="6">
        <v>1418.93</v>
      </c>
      <c r="F2939" s="7" t="s">
        <v>14</v>
      </c>
      <c r="G2939" s="8" t="s">
        <v>5609</v>
      </c>
      <c r="H2939" s="8" t="s">
        <v>16</v>
      </c>
      <c r="I2939" s="9">
        <v>3920</v>
      </c>
      <c r="J2939" s="10">
        <v>8</v>
      </c>
      <c r="K2939" s="10">
        <v>80054</v>
      </c>
      <c r="L2939" s="3" t="str">
        <f t="shared" si="93"/>
        <v>ΚΤΗΝΟΤΡΟΦΙΚΑ_ΦΥΤΑ_ΓΙΑ_ΖΩΟΤΡΟΦΕΣ</v>
      </c>
    </row>
    <row r="2940" spans="1:12" s="3" customFormat="1" ht="24" x14ac:dyDescent="0.25">
      <c r="A2940" s="3" t="str">
        <f t="shared" si="92"/>
        <v>ΚΤΗΝΟΤΡΟΦΙΚΑ ΦΥΤΑ ΓΙΑ ΖΩΟΤΡΟΦΕΣΜΗΔΙΚΗ Η ΗΜΕΡΟΣ CHLOI</v>
      </c>
      <c r="B2940" s="4" t="s">
        <v>5215</v>
      </c>
      <c r="C2940" s="5" t="s">
        <v>5610</v>
      </c>
      <c r="D2940" s="6">
        <v>1402.9</v>
      </c>
      <c r="E2940" s="6">
        <v>1418.93</v>
      </c>
      <c r="F2940" s="7" t="s">
        <v>14</v>
      </c>
      <c r="G2940" s="8" t="s">
        <v>5611</v>
      </c>
      <c r="H2940" s="8" t="s">
        <v>16</v>
      </c>
      <c r="I2940" s="9">
        <v>3773</v>
      </c>
      <c r="J2940" s="10">
        <v>8</v>
      </c>
      <c r="K2940" s="10">
        <v>80055</v>
      </c>
      <c r="L2940" s="3" t="str">
        <f t="shared" si="93"/>
        <v>ΚΤΗΝΟΤΡΟΦΙΚΑ_ΦΥΤΑ_ΓΙΑ_ΖΩΟΤΡΟΦΕΣ</v>
      </c>
    </row>
    <row r="2941" spans="1:12" s="3" customFormat="1" ht="24" x14ac:dyDescent="0.25">
      <c r="A2941" s="3" t="str">
        <f t="shared" si="92"/>
        <v>ΚΤΗΝΟΤΡΟΦΙΚΑ ΦΥΤΑ ΓΙΑ ΖΩΟΤΡΟΦΕΣΜΗΔΙΚΗ Η ΗΜΕΡΟΣ CORSA</v>
      </c>
      <c r="B2941" s="4" t="s">
        <v>5215</v>
      </c>
      <c r="C2941" s="5" t="s">
        <v>5612</v>
      </c>
      <c r="D2941" s="6">
        <v>1402.9</v>
      </c>
      <c r="E2941" s="6">
        <v>1418.93</v>
      </c>
      <c r="F2941" s="7" t="s">
        <v>14</v>
      </c>
      <c r="G2941" s="8" t="s">
        <v>5613</v>
      </c>
      <c r="H2941" s="8" t="s">
        <v>16</v>
      </c>
      <c r="I2941" s="9">
        <v>3799</v>
      </c>
      <c r="J2941" s="10">
        <v>8</v>
      </c>
      <c r="K2941" s="10">
        <v>80056</v>
      </c>
      <c r="L2941" s="3" t="str">
        <f t="shared" si="93"/>
        <v>ΚΤΗΝΟΤΡΟΦΙΚΑ_ΦΥΤΑ_ΓΙΑ_ΖΩΟΤΡΟΦΕΣ</v>
      </c>
    </row>
    <row r="2942" spans="1:12" s="3" customFormat="1" ht="24" x14ac:dyDescent="0.25">
      <c r="A2942" s="3" t="str">
        <f t="shared" si="92"/>
        <v>ΚΤΗΝΟΤΡΟΦΙΚΑ ΦΥΤΑ ΓΙΑ ΖΩΟΤΡΟΦΕΣΜΗΔΙΚΗ Η ΗΜΕΡΟΣ DOLICHI</v>
      </c>
      <c r="B2942" s="4" t="s">
        <v>5215</v>
      </c>
      <c r="C2942" s="5" t="s">
        <v>5614</v>
      </c>
      <c r="D2942" s="6">
        <v>1402.9</v>
      </c>
      <c r="E2942" s="6">
        <v>1418.93</v>
      </c>
      <c r="F2942" s="7" t="s">
        <v>14</v>
      </c>
      <c r="G2942" s="8" t="s">
        <v>5615</v>
      </c>
      <c r="H2942" s="8" t="s">
        <v>16</v>
      </c>
      <c r="I2942" s="9">
        <v>3798</v>
      </c>
      <c r="J2942" s="10">
        <v>8</v>
      </c>
      <c r="K2942" s="10">
        <v>80057</v>
      </c>
      <c r="L2942" s="3" t="str">
        <f t="shared" si="93"/>
        <v>ΚΤΗΝΟΤΡΟΦΙΚΑ_ΦΥΤΑ_ΓΙΑ_ΖΩΟΤΡΟΦΕΣ</v>
      </c>
    </row>
    <row r="2943" spans="1:12" s="3" customFormat="1" ht="24" x14ac:dyDescent="0.25">
      <c r="A2943" s="3" t="str">
        <f t="shared" si="92"/>
        <v>ΚΤΗΝΟΤΡΟΦΙΚΑ ΦΥΤΑ ΓΙΑ ΖΩΟΤΡΟΦΕΣΜΗΔΙΚΗ Η ΗΜΕΡΟΣ EGANH</v>
      </c>
      <c r="B2943" s="4" t="s">
        <v>5215</v>
      </c>
      <c r="C2943" s="5" t="s">
        <v>5616</v>
      </c>
      <c r="D2943" s="6">
        <v>1402.9</v>
      </c>
      <c r="E2943" s="6">
        <v>1418.93</v>
      </c>
      <c r="F2943" s="7" t="s">
        <v>14</v>
      </c>
      <c r="G2943" s="8" t="s">
        <v>5617</v>
      </c>
      <c r="H2943" s="8" t="s">
        <v>16</v>
      </c>
      <c r="I2943" s="9">
        <v>3797</v>
      </c>
      <c r="J2943" s="10">
        <v>8</v>
      </c>
      <c r="K2943" s="10">
        <v>80058</v>
      </c>
      <c r="L2943" s="3" t="str">
        <f t="shared" si="93"/>
        <v>ΚΤΗΝΟΤΡΟΦΙΚΑ_ΦΥΤΑ_ΓΙΑ_ΖΩΟΤΡΟΦΕΣ</v>
      </c>
    </row>
    <row r="2944" spans="1:12" s="3" customFormat="1" ht="24" x14ac:dyDescent="0.25">
      <c r="A2944" s="3" t="str">
        <f t="shared" si="92"/>
        <v>ΚΤΗΝΟΤΡΟΦΙΚΑ ΦΥΤΑ ΓΙΑ ΖΩΟΤΡΟΦΕΣΜΗΔΙΚΗ Η ΗΜΕΡΟΣ ELISAVET</v>
      </c>
      <c r="B2944" s="4" t="s">
        <v>5215</v>
      </c>
      <c r="C2944" s="5" t="s">
        <v>5618</v>
      </c>
      <c r="D2944" s="6">
        <v>1402.9</v>
      </c>
      <c r="E2944" s="6">
        <v>1418.93</v>
      </c>
      <c r="F2944" s="7" t="s">
        <v>14</v>
      </c>
      <c r="G2944" s="8" t="s">
        <v>5619</v>
      </c>
      <c r="H2944" s="8" t="s">
        <v>16</v>
      </c>
      <c r="I2944" s="9">
        <v>3796</v>
      </c>
      <c r="J2944" s="10">
        <v>8</v>
      </c>
      <c r="K2944" s="10">
        <v>80059</v>
      </c>
      <c r="L2944" s="3" t="str">
        <f t="shared" si="93"/>
        <v>ΚΤΗΝΟΤΡΟΦΙΚΑ_ΦΥΤΑ_ΓΙΑ_ΖΩΟΤΡΟΦΕΣ</v>
      </c>
    </row>
    <row r="2945" spans="1:12" s="3" customFormat="1" ht="24" x14ac:dyDescent="0.25">
      <c r="A2945" s="3" t="str">
        <f t="shared" si="92"/>
        <v>ΚΤΗΝΟΤΡΟΦΙΚΑ ΦΥΤΑ ΓΙΑ ΖΩΟΤΡΟΦΕΣΜΗΔΙΚΗ Η ΗΜΕΡΟΣ FLORINA</v>
      </c>
      <c r="B2945" s="4" t="s">
        <v>5215</v>
      </c>
      <c r="C2945" s="5" t="s">
        <v>5620</v>
      </c>
      <c r="D2945" s="6">
        <v>1402.9</v>
      </c>
      <c r="E2945" s="6">
        <v>1418.93</v>
      </c>
      <c r="F2945" s="7" t="s">
        <v>14</v>
      </c>
      <c r="G2945" s="8" t="s">
        <v>5621</v>
      </c>
      <c r="H2945" s="8" t="s">
        <v>16</v>
      </c>
      <c r="I2945" s="9">
        <v>3795</v>
      </c>
      <c r="J2945" s="10">
        <v>8</v>
      </c>
      <c r="K2945" s="10">
        <v>80060</v>
      </c>
      <c r="L2945" s="3" t="str">
        <f t="shared" si="93"/>
        <v>ΚΤΗΝΟΤΡΟΦΙΚΑ_ΦΥΤΑ_ΓΙΑ_ΖΩΟΤΡΟΦΕΣ</v>
      </c>
    </row>
    <row r="2946" spans="1:12" s="3" customFormat="1" ht="24" x14ac:dyDescent="0.25">
      <c r="A2946" s="3" t="str">
        <f t="shared" si="92"/>
        <v>ΚΤΗΝΟΤΡΟΦΙΚΑ ΦΥΤΑ ΓΙΑ ΖΩΟΤΡΟΦΕΣΜΗΔΙΚΗ Η ΗΜΕΡΟΣ IONIAN</v>
      </c>
      <c r="B2946" s="4" t="s">
        <v>5215</v>
      </c>
      <c r="C2946" s="5" t="s">
        <v>5622</v>
      </c>
      <c r="D2946" s="6">
        <v>1402.9</v>
      </c>
      <c r="E2946" s="6">
        <v>1418.93</v>
      </c>
      <c r="F2946" s="7" t="s">
        <v>14</v>
      </c>
      <c r="G2946" s="8" t="s">
        <v>5623</v>
      </c>
      <c r="H2946" s="8" t="s">
        <v>16</v>
      </c>
      <c r="I2946" s="9">
        <v>3794</v>
      </c>
      <c r="J2946" s="10">
        <v>8</v>
      </c>
      <c r="K2946" s="10">
        <v>80061</v>
      </c>
      <c r="L2946" s="3" t="str">
        <f t="shared" si="93"/>
        <v>ΚΤΗΝΟΤΡΟΦΙΚΑ_ΦΥΤΑ_ΓΙΑ_ΖΩΟΤΡΟΦΕΣ</v>
      </c>
    </row>
    <row r="2947" spans="1:12" s="3" customFormat="1" ht="24" x14ac:dyDescent="0.25">
      <c r="A2947" s="3" t="str">
        <f t="shared" ref="A2947:A3010" si="94">_xlfn.CONCAT(B2947,C2947)</f>
        <v>ΚΤΗΝΟΤΡΟΦΙΚΑ ΦΥΤΑ ΓΙΑ ΖΩΟΤΡΟΦΕΣΜΗΔΙΚΗ Η ΗΜΕΡΟΣ LARISSA</v>
      </c>
      <c r="B2947" s="4" t="s">
        <v>5215</v>
      </c>
      <c r="C2947" s="5" t="s">
        <v>5624</v>
      </c>
      <c r="D2947" s="6">
        <v>1402.9</v>
      </c>
      <c r="E2947" s="6">
        <v>1418.93</v>
      </c>
      <c r="F2947" s="7" t="s">
        <v>14</v>
      </c>
      <c r="G2947" s="8" t="s">
        <v>5625</v>
      </c>
      <c r="H2947" s="8" t="s">
        <v>16</v>
      </c>
      <c r="I2947" s="9">
        <v>3793</v>
      </c>
      <c r="J2947" s="10">
        <v>8</v>
      </c>
      <c r="K2947" s="10">
        <v>80062</v>
      </c>
      <c r="L2947" s="3" t="str">
        <f t="shared" ref="L2947:L3010" si="95">IFERROR(SUBSTITUTE(SUBSTITUTE(SUBSTITUTE(SUBSTITUTE(SUBSTITUTE(B2947, "-", "_"), " ", "_"), ",", ""), "(", ""), ")", ""), B2947)</f>
        <v>ΚΤΗΝΟΤΡΟΦΙΚΑ_ΦΥΤΑ_ΓΙΑ_ΖΩΟΤΡΟΦΕΣ</v>
      </c>
    </row>
    <row r="2948" spans="1:12" s="3" customFormat="1" ht="24" x14ac:dyDescent="0.25">
      <c r="A2948" s="3" t="str">
        <f t="shared" si="94"/>
        <v>ΚΤΗΝΟΤΡΟΦΙΚΑ ΦΥΤΑ ΓΙΑ ΖΩΟΤΡΟΦΕΣΜΗΔΙΚΗ Η ΗΜΕΡΟΣ LUXOR</v>
      </c>
      <c r="B2948" s="4" t="s">
        <v>5215</v>
      </c>
      <c r="C2948" s="5" t="s">
        <v>5626</v>
      </c>
      <c r="D2948" s="6">
        <v>1402.9</v>
      </c>
      <c r="E2948" s="6">
        <v>1418.93</v>
      </c>
      <c r="F2948" s="7" t="s">
        <v>14</v>
      </c>
      <c r="G2948" s="8" t="s">
        <v>5627</v>
      </c>
      <c r="H2948" s="8" t="s">
        <v>16</v>
      </c>
      <c r="I2948" s="9">
        <v>3782</v>
      </c>
      <c r="J2948" s="10">
        <v>8</v>
      </c>
      <c r="K2948" s="10">
        <v>80063</v>
      </c>
      <c r="L2948" s="3" t="str">
        <f t="shared" si="95"/>
        <v>ΚΤΗΝΟΤΡΟΦΙΚΑ_ΦΥΤΑ_ΓΙΑ_ΖΩΟΤΡΟΦΕΣ</v>
      </c>
    </row>
    <row r="2949" spans="1:12" s="3" customFormat="1" ht="24" x14ac:dyDescent="0.25">
      <c r="A2949" s="3" t="str">
        <f t="shared" si="94"/>
        <v>ΚΤΗΝΟΤΡΟΦΙΚΑ ΦΥΤΑ ΓΙΑ ΖΩΟΤΡΟΦΕΣΜΗΔΙΚΗ Η ΗΜΕΡΟΣ MAXIMA</v>
      </c>
      <c r="B2949" s="18" t="s">
        <v>5215</v>
      </c>
      <c r="C2949" s="19" t="s">
        <v>5628</v>
      </c>
      <c r="D2949" s="6">
        <v>1402.9</v>
      </c>
      <c r="E2949" s="6">
        <v>1418.93</v>
      </c>
      <c r="F2949" s="6" t="s">
        <v>14</v>
      </c>
      <c r="G2949" s="8" t="s">
        <v>5629</v>
      </c>
      <c r="H2949" s="8" t="s">
        <v>27</v>
      </c>
      <c r="I2949" s="9">
        <v>4331</v>
      </c>
      <c r="J2949" s="20">
        <v>8</v>
      </c>
      <c r="K2949" s="20">
        <v>80064</v>
      </c>
      <c r="L2949" s="3" t="str">
        <f t="shared" si="95"/>
        <v>ΚΤΗΝΟΤΡΟΦΙΚΑ_ΦΥΤΑ_ΓΙΑ_ΖΩΟΤΡΟΦΕΣ</v>
      </c>
    </row>
    <row r="2950" spans="1:12" s="3" customFormat="1" ht="24" x14ac:dyDescent="0.25">
      <c r="A2950" s="3" t="str">
        <f t="shared" si="94"/>
        <v>ΚΤΗΝΟΤΡΟΦΙΚΑ ΦΥΤΑ ΓΙΑ ΖΩΟΤΡΟΦΕΣΜΗΔΙΚΗ Η ΗΜΕΡΟΣ MEDINA</v>
      </c>
      <c r="B2950" s="4" t="s">
        <v>5215</v>
      </c>
      <c r="C2950" s="5" t="s">
        <v>5630</v>
      </c>
      <c r="D2950" s="6">
        <v>1402.9</v>
      </c>
      <c r="E2950" s="6">
        <v>1418.93</v>
      </c>
      <c r="F2950" s="7" t="s">
        <v>14</v>
      </c>
      <c r="G2950" s="8" t="s">
        <v>5631</v>
      </c>
      <c r="H2950" s="8" t="s">
        <v>16</v>
      </c>
      <c r="I2950" s="9">
        <v>3791</v>
      </c>
      <c r="J2950" s="10">
        <v>8</v>
      </c>
      <c r="K2950" s="10">
        <v>80065</v>
      </c>
      <c r="L2950" s="3" t="str">
        <f t="shared" si="95"/>
        <v>ΚΤΗΝΟΤΡΟΦΙΚΑ_ΦΥΤΑ_ΓΙΑ_ΖΩΟΤΡΟΦΕΣ</v>
      </c>
    </row>
    <row r="2951" spans="1:12" s="3" customFormat="1" ht="24" x14ac:dyDescent="0.25">
      <c r="A2951" s="3" t="str">
        <f t="shared" si="94"/>
        <v>ΚΤΗΝΟΤΡΟΦΙΚΑ ΦΥΤΑ ΓΙΑ ΖΩΟΤΡΟΦΕΣΜΗΔΙΚΗ Η ΗΜΕΡΟΣ NIKITA</v>
      </c>
      <c r="B2951" s="4" t="s">
        <v>5215</v>
      </c>
      <c r="C2951" s="5" t="s">
        <v>5632</v>
      </c>
      <c r="D2951" s="6">
        <v>1402.9</v>
      </c>
      <c r="E2951" s="6">
        <v>1418.93</v>
      </c>
      <c r="F2951" s="7" t="s">
        <v>14</v>
      </c>
      <c r="G2951" s="8" t="s">
        <v>5633</v>
      </c>
      <c r="H2951" s="8" t="s">
        <v>16</v>
      </c>
      <c r="I2951" s="9">
        <v>3800</v>
      </c>
      <c r="J2951" s="10">
        <v>8</v>
      </c>
      <c r="K2951" s="10">
        <v>80066</v>
      </c>
      <c r="L2951" s="3" t="str">
        <f t="shared" si="95"/>
        <v>ΚΤΗΝΟΤΡΟΦΙΚΑ_ΦΥΤΑ_ΓΙΑ_ΖΩΟΤΡΟΦΕΣ</v>
      </c>
    </row>
    <row r="2952" spans="1:12" s="3" customFormat="1" ht="24" x14ac:dyDescent="0.25">
      <c r="A2952" s="3" t="str">
        <f t="shared" si="94"/>
        <v>ΚΤΗΝΟΤΡΟΦΙΚΑ ΦΥΤΑ ΓΙΑ ΖΩΟΤΡΟΦΕΣΜΗΔΙΚΗ Η ΗΜΕΡΟΣ NUBIRA</v>
      </c>
      <c r="B2952" s="4" t="s">
        <v>5215</v>
      </c>
      <c r="C2952" s="5" t="s">
        <v>5634</v>
      </c>
      <c r="D2952" s="6">
        <v>1402.9</v>
      </c>
      <c r="E2952" s="6">
        <v>1418.93</v>
      </c>
      <c r="F2952" s="7" t="s">
        <v>14</v>
      </c>
      <c r="G2952" s="8" t="s">
        <v>5635</v>
      </c>
      <c r="H2952" s="8" t="s">
        <v>16</v>
      </c>
      <c r="I2952" s="9">
        <v>3789</v>
      </c>
      <c r="J2952" s="10">
        <v>8</v>
      </c>
      <c r="K2952" s="10">
        <v>80067</v>
      </c>
      <c r="L2952" s="3" t="str">
        <f t="shared" si="95"/>
        <v>ΚΤΗΝΟΤΡΟΦΙΚΑ_ΦΥΤΑ_ΓΙΑ_ΖΩΟΤΡΟΦΕΣ</v>
      </c>
    </row>
    <row r="2953" spans="1:12" s="3" customFormat="1" ht="24" x14ac:dyDescent="0.25">
      <c r="A2953" s="3" t="str">
        <f t="shared" si="94"/>
        <v>ΚΤΗΝΟΤΡΟΦΙΚΑ ΦΥΤΑ ΓΙΑ ΖΩΟΤΡΟΦΕΣΜΗΔΙΚΗ Η ΗΜΕΡΟΣ PELLA</v>
      </c>
      <c r="B2953" s="4" t="s">
        <v>5215</v>
      </c>
      <c r="C2953" s="5" t="s">
        <v>5636</v>
      </c>
      <c r="D2953" s="6">
        <v>1402.9</v>
      </c>
      <c r="E2953" s="6">
        <v>1418.93</v>
      </c>
      <c r="F2953" s="7" t="s">
        <v>14</v>
      </c>
      <c r="G2953" s="8" t="s">
        <v>5637</v>
      </c>
      <c r="H2953" s="8" t="s">
        <v>16</v>
      </c>
      <c r="I2953" s="9">
        <v>3788</v>
      </c>
      <c r="J2953" s="10">
        <v>8</v>
      </c>
      <c r="K2953" s="10">
        <v>80068</v>
      </c>
      <c r="L2953" s="3" t="str">
        <f t="shared" si="95"/>
        <v>ΚΤΗΝΟΤΡΟΦΙΚΑ_ΦΥΤΑ_ΓΙΑ_ΖΩΟΤΡΟΦΕΣ</v>
      </c>
    </row>
    <row r="2954" spans="1:12" s="3" customFormat="1" ht="24" x14ac:dyDescent="0.25">
      <c r="A2954" s="3" t="str">
        <f t="shared" si="94"/>
        <v>ΚΤΗΝΟΤΡΟΦΙΚΑ ΦΥΤΑ ΓΙΑ ΖΩΟΤΡΟΦΕΣΜΗΔΙΚΗ Η ΗΜΕΡΟΣ ULTIMA</v>
      </c>
      <c r="B2954" s="18" t="s">
        <v>5215</v>
      </c>
      <c r="C2954" s="19" t="s">
        <v>5638</v>
      </c>
      <c r="D2954" s="6">
        <v>1402.9</v>
      </c>
      <c r="E2954" s="6">
        <v>1418.93</v>
      </c>
      <c r="F2954" s="6" t="s">
        <v>14</v>
      </c>
      <c r="G2954" s="8" t="s">
        <v>5639</v>
      </c>
      <c r="H2954" s="8" t="s">
        <v>27</v>
      </c>
      <c r="I2954" s="9">
        <v>4332</v>
      </c>
      <c r="J2954" s="20">
        <v>8</v>
      </c>
      <c r="K2954" s="20">
        <v>80069</v>
      </c>
      <c r="L2954" s="3" t="str">
        <f t="shared" si="95"/>
        <v>ΚΤΗΝΟΤΡΟΦΙΚΑ_ΦΥΤΑ_ΓΙΑ_ΖΩΟΤΡΟΦΕΣ</v>
      </c>
    </row>
    <row r="2955" spans="1:12" s="3" customFormat="1" ht="24" x14ac:dyDescent="0.25">
      <c r="A2955" s="3" t="str">
        <f t="shared" si="94"/>
        <v>ΚΤΗΝΟΤΡΟΦΙΚΑ ΦΥΤΑ ΓΙΑ ΖΩΟΤΡΟΦΕΣΜΗΔΙΚΗ Η ΗΜΕΡΟΣ YLIKI</v>
      </c>
      <c r="B2955" s="4" t="s">
        <v>5215</v>
      </c>
      <c r="C2955" s="5" t="s">
        <v>5640</v>
      </c>
      <c r="D2955" s="6">
        <v>1402.9</v>
      </c>
      <c r="E2955" s="6">
        <v>1418.93</v>
      </c>
      <c r="F2955" s="7" t="s">
        <v>14</v>
      </c>
      <c r="G2955" s="8" t="s">
        <v>5641</v>
      </c>
      <c r="H2955" s="8" t="s">
        <v>16</v>
      </c>
      <c r="I2955" s="9">
        <v>3784</v>
      </c>
      <c r="J2955" s="10">
        <v>8</v>
      </c>
      <c r="K2955" s="10">
        <v>80070</v>
      </c>
      <c r="L2955" s="3" t="str">
        <f t="shared" si="95"/>
        <v>ΚΤΗΝΟΤΡΟΦΙΚΑ_ΦΥΤΑ_ΓΙΑ_ΖΩΟΤΡΟΦΕΣ</v>
      </c>
    </row>
    <row r="2956" spans="1:12" s="3" customFormat="1" ht="24" x14ac:dyDescent="0.25">
      <c r="A2956" s="3" t="str">
        <f t="shared" si="94"/>
        <v>ΚΤΗΝΟΤΡΟΦΙΚΑ ΦΥΤΑ ΓΙΑ ΖΩΟΤΡΟΦΕΣΜΗΔΙΚΗ Η ΗΜΕΡΟΣ YPATI 84</v>
      </c>
      <c r="B2956" s="4" t="s">
        <v>5215</v>
      </c>
      <c r="C2956" s="5" t="s">
        <v>5642</v>
      </c>
      <c r="D2956" s="6">
        <v>1402.9</v>
      </c>
      <c r="E2956" s="6">
        <v>1418.93</v>
      </c>
      <c r="F2956" s="7" t="s">
        <v>14</v>
      </c>
      <c r="G2956" s="8" t="s">
        <v>5643</v>
      </c>
      <c r="H2956" s="8" t="s">
        <v>16</v>
      </c>
      <c r="I2956" s="9">
        <v>3783</v>
      </c>
      <c r="J2956" s="10">
        <v>8</v>
      </c>
      <c r="K2956" s="10">
        <v>80071</v>
      </c>
      <c r="L2956" s="3" t="str">
        <f t="shared" si="95"/>
        <v>ΚΤΗΝΟΤΡΟΦΙΚΑ_ΦΥΤΑ_ΓΙΑ_ΖΩΟΤΡΟΦΕΣ</v>
      </c>
    </row>
    <row r="2957" spans="1:12" s="3" customFormat="1" ht="24" x14ac:dyDescent="0.25">
      <c r="A2957" s="3" t="str">
        <f t="shared" si="94"/>
        <v>ΚΤΗΝΟΤΡΟΦΙΚΑ ΦΥΤΑ ΓΙΑ ΖΩΟΤΡΟΦΕΣΜΗΔΙΚΗ Η ΛΥΚΙΣΚΗ Ή ΛΟΥΠΟΥΛΙΝΑ</v>
      </c>
      <c r="B2957" s="4" t="s">
        <v>5215</v>
      </c>
      <c r="C2957" s="5" t="s">
        <v>5644</v>
      </c>
      <c r="D2957" s="6">
        <v>1402.9</v>
      </c>
      <c r="E2957" s="6">
        <v>1418.93</v>
      </c>
      <c r="F2957" s="7" t="s">
        <v>14</v>
      </c>
      <c r="G2957" s="8" t="s">
        <v>5645</v>
      </c>
      <c r="H2957" s="8" t="s">
        <v>16</v>
      </c>
      <c r="I2957" s="9">
        <v>3809</v>
      </c>
      <c r="J2957" s="10">
        <v>8</v>
      </c>
      <c r="K2957" s="10">
        <v>80072</v>
      </c>
      <c r="L2957" s="3" t="str">
        <f t="shared" si="95"/>
        <v>ΚΤΗΝΟΤΡΟΦΙΚΑ_ΦΥΤΑ_ΓΙΑ_ΖΩΟΤΡΟΦΕΣ</v>
      </c>
    </row>
    <row r="2958" spans="1:12" s="3" customFormat="1" ht="24" x14ac:dyDescent="0.25">
      <c r="A2958" s="3" t="str">
        <f t="shared" si="94"/>
        <v>ΚΤΗΝΟΤΡΟΦΙΚΑ ΦΥΤΑ ΓΙΑ ΖΩΟΤΡΟΦΕΣΜΗΔΙΚΗ ΠΟΙΚΙΛΙΑ ΣΤΙΚΤΗ ΥΒΡΙΔΙΟ</v>
      </c>
      <c r="B2958" s="4" t="s">
        <v>5215</v>
      </c>
      <c r="C2958" s="5" t="s">
        <v>5646</v>
      </c>
      <c r="D2958" s="6">
        <v>1402.9</v>
      </c>
      <c r="E2958" s="6">
        <v>1418.93</v>
      </c>
      <c r="F2958" s="7" t="s">
        <v>14</v>
      </c>
      <c r="G2958" s="8" t="s">
        <v>5647</v>
      </c>
      <c r="H2958" s="8" t="s">
        <v>16</v>
      </c>
      <c r="I2958" s="9">
        <v>3811</v>
      </c>
      <c r="J2958" s="10">
        <v>8</v>
      </c>
      <c r="K2958" s="10">
        <v>80073</v>
      </c>
      <c r="L2958" s="3" t="str">
        <f t="shared" si="95"/>
        <v>ΚΤΗΝΟΤΡΟΦΙΚΑ_ΦΥΤΑ_ΓΙΑ_ΖΩΟΤΡΟΦΕΣ</v>
      </c>
    </row>
    <row r="2959" spans="1:12" s="3" customFormat="1" ht="24" x14ac:dyDescent="0.25">
      <c r="A2959" s="3" t="str">
        <f t="shared" si="94"/>
        <v>ΚΤΗΝΟΤΡΟΦΙΚΑ ΦΥΤΑ ΓΙΑ ΖΩΟΤΡΟΦΕΣΜΗΔΙΚΗ ΔΕΔΡΩΔΗΣ NAXOS</v>
      </c>
      <c r="B2959" s="4" t="s">
        <v>5215</v>
      </c>
      <c r="C2959" s="5" t="s">
        <v>5648</v>
      </c>
      <c r="D2959" s="6">
        <v>1402.9</v>
      </c>
      <c r="E2959" s="6">
        <v>1418.93</v>
      </c>
      <c r="F2959" s="7" t="s">
        <v>14</v>
      </c>
      <c r="G2959" s="8" t="s">
        <v>5649</v>
      </c>
      <c r="H2959" s="8" t="s">
        <v>16</v>
      </c>
      <c r="I2959" s="9">
        <v>3792</v>
      </c>
      <c r="J2959" s="10">
        <v>8</v>
      </c>
      <c r="K2959" s="10">
        <v>80074</v>
      </c>
      <c r="L2959" s="3" t="str">
        <f t="shared" si="95"/>
        <v>ΚΤΗΝΟΤΡΟΦΙΚΑ_ΦΥΤΑ_ΓΙΑ_ΖΩΟΤΡΟΦΕΣ</v>
      </c>
    </row>
    <row r="2960" spans="1:12" s="3" customFormat="1" ht="24" x14ac:dyDescent="0.25">
      <c r="A2960" s="3" t="str">
        <f t="shared" si="94"/>
        <v>ΚΤΗΝΟΤΡΟΦΙΚΑ ΦΥΤΑ ΓΙΑ ΖΩΟΤΡΟΦΕΣΑΓΡΙΟΤΡΙΦΥΛΛΟ</v>
      </c>
      <c r="B2960" s="4" t="s">
        <v>5215</v>
      </c>
      <c r="C2960" s="5" t="s">
        <v>5650</v>
      </c>
      <c r="D2960" s="6">
        <v>1402.9</v>
      </c>
      <c r="E2960" s="6">
        <v>1418.93</v>
      </c>
      <c r="F2960" s="7" t="s">
        <v>14</v>
      </c>
      <c r="G2960" s="8" t="s">
        <v>5651</v>
      </c>
      <c r="H2960" s="8" t="s">
        <v>16</v>
      </c>
      <c r="I2960" s="9">
        <v>3818</v>
      </c>
      <c r="J2960" s="10">
        <v>8</v>
      </c>
      <c r="K2960" s="10">
        <v>80075</v>
      </c>
      <c r="L2960" s="3" t="str">
        <f t="shared" si="95"/>
        <v>ΚΤΗΝΟΤΡΟΦΙΚΑ_ΦΥΤΑ_ΓΙΑ_ΖΩΟΤΡΟΦΕΣ</v>
      </c>
    </row>
    <row r="2961" spans="1:12" s="3" customFormat="1" ht="24" x14ac:dyDescent="0.25">
      <c r="A2961" s="3" t="str">
        <f t="shared" si="94"/>
        <v>ΚΤΗΝΟΤΡΟΦΙΚΑ ΦΥΤΑ ΓΙΑ ΖΩΟΤΡΟΦΕΣΤΡΙΦΥΛΛΙ ΤΟ ΑΛΕΞΑΝΔΡΙΝΟ KASTALIA</v>
      </c>
      <c r="B2961" s="4" t="s">
        <v>5215</v>
      </c>
      <c r="C2961" s="5" t="s">
        <v>5652</v>
      </c>
      <c r="D2961" s="6">
        <v>1402.9</v>
      </c>
      <c r="E2961" s="6">
        <v>1418.93</v>
      </c>
      <c r="F2961" s="7" t="s">
        <v>14</v>
      </c>
      <c r="G2961" s="8" t="s">
        <v>5653</v>
      </c>
      <c r="H2961" s="8" t="s">
        <v>16</v>
      </c>
      <c r="I2961" s="9">
        <v>3817</v>
      </c>
      <c r="J2961" s="10">
        <v>8</v>
      </c>
      <c r="K2961" s="10">
        <v>80076</v>
      </c>
      <c r="L2961" s="3" t="str">
        <f t="shared" si="95"/>
        <v>ΚΤΗΝΟΤΡΟΦΙΚΑ_ΦΥΤΑ_ΓΙΑ_ΖΩΟΤΡΟΦΕΣ</v>
      </c>
    </row>
    <row r="2962" spans="1:12" s="3" customFormat="1" ht="24" x14ac:dyDescent="0.25">
      <c r="A2962" s="3" t="str">
        <f t="shared" si="94"/>
        <v>ΚΤΗΝΟΤΡΟΦΙΚΑ ΦΥΤΑ ΓΙΑ ΖΩΟΤΡΟΦΕΣΤΡΙΦΥΛΛΙ ΤΟ ΑΛΕΞΑΝΔΡΙΝΟ PINIAS</v>
      </c>
      <c r="B2962" s="4" t="s">
        <v>5215</v>
      </c>
      <c r="C2962" s="5" t="s">
        <v>5654</v>
      </c>
      <c r="D2962" s="6">
        <v>1402.9</v>
      </c>
      <c r="E2962" s="6">
        <v>1418.93</v>
      </c>
      <c r="F2962" s="7" t="s">
        <v>14</v>
      </c>
      <c r="G2962" s="8" t="s">
        <v>5655</v>
      </c>
      <c r="H2962" s="8" t="s">
        <v>16</v>
      </c>
      <c r="I2962" s="9">
        <v>3810</v>
      </c>
      <c r="J2962" s="10">
        <v>8</v>
      </c>
      <c r="K2962" s="10">
        <v>80077</v>
      </c>
      <c r="L2962" s="3" t="str">
        <f t="shared" si="95"/>
        <v>ΚΤΗΝΟΤΡΟΦΙΚΑ_ΦΥΤΑ_ΓΙΑ_ΖΩΟΤΡΟΦΕΣ</v>
      </c>
    </row>
    <row r="2963" spans="1:12" s="3" customFormat="1" ht="24" x14ac:dyDescent="0.25">
      <c r="A2963" s="3" t="str">
        <f t="shared" si="94"/>
        <v>ΚΤΗΝΟΤΡΟΦΙΚΑ ΦΥΤΑ ΓΙΑ ΖΩΟΤΡΟΦΕΣΤΡΙΦΥΛΛΙ ΤΟ ΝΟΘΟ Ή ΥΒΡΙΔΙΟ</v>
      </c>
      <c r="B2963" s="4" t="s">
        <v>5215</v>
      </c>
      <c r="C2963" s="5" t="s">
        <v>5656</v>
      </c>
      <c r="D2963" s="6">
        <v>1402.9</v>
      </c>
      <c r="E2963" s="6">
        <v>1418.93</v>
      </c>
      <c r="F2963" s="7" t="s">
        <v>14</v>
      </c>
      <c r="G2963" s="8" t="s">
        <v>5657</v>
      </c>
      <c r="H2963" s="8" t="s">
        <v>16</v>
      </c>
      <c r="I2963" s="9">
        <v>3820</v>
      </c>
      <c r="J2963" s="10">
        <v>8</v>
      </c>
      <c r="K2963" s="10">
        <v>80078</v>
      </c>
      <c r="L2963" s="3" t="str">
        <f t="shared" si="95"/>
        <v>ΚΤΗΝΟΤΡΟΦΙΚΑ_ΦΥΤΑ_ΓΙΑ_ΖΩΟΤΡΟΦΕΣ</v>
      </c>
    </row>
    <row r="2964" spans="1:12" s="3" customFormat="1" ht="24" x14ac:dyDescent="0.25">
      <c r="A2964" s="3" t="str">
        <f t="shared" si="94"/>
        <v>ΚΤΗΝΟΤΡΟΦΙΚΑ ΦΥΤΑ ΓΙΑ ΖΩΟΤΡΟΦΕΣΤΡΙΦΥΛΛΙ ΤΟ ΣΑΡΚΟΧΡΟΥΝ</v>
      </c>
      <c r="B2964" s="4" t="s">
        <v>5215</v>
      </c>
      <c r="C2964" s="5" t="s">
        <v>5658</v>
      </c>
      <c r="D2964" s="6">
        <v>1402.9</v>
      </c>
      <c r="E2964" s="6">
        <v>1418.93</v>
      </c>
      <c r="F2964" s="7" t="s">
        <v>14</v>
      </c>
      <c r="G2964" s="8" t="s">
        <v>5659</v>
      </c>
      <c r="H2964" s="8" t="s">
        <v>16</v>
      </c>
      <c r="I2964" s="9">
        <v>3808</v>
      </c>
      <c r="J2964" s="10">
        <v>8</v>
      </c>
      <c r="K2964" s="10">
        <v>80079</v>
      </c>
      <c r="L2964" s="3" t="str">
        <f t="shared" si="95"/>
        <v>ΚΤΗΝΟΤΡΟΦΙΚΑ_ΦΥΤΑ_ΓΙΑ_ΖΩΟΤΡΟΦΕΣ</v>
      </c>
    </row>
    <row r="2965" spans="1:12" s="3" customFormat="1" ht="24" x14ac:dyDescent="0.25">
      <c r="A2965" s="3" t="str">
        <f t="shared" si="94"/>
        <v>ΚΤΗΝΟΤΡΟΦΙΚΑ ΦΥΤΑ ΓΙΑ ΖΩΟΤΡΟΦΕΣΤΡΙΦΥΛΛΙ ΤΟ ΛΕΙΜΩΝΙΟ</v>
      </c>
      <c r="B2965" s="4" t="s">
        <v>5215</v>
      </c>
      <c r="C2965" s="5" t="s">
        <v>5660</v>
      </c>
      <c r="D2965" s="6">
        <v>1402.9</v>
      </c>
      <c r="E2965" s="6">
        <v>1418.93</v>
      </c>
      <c r="F2965" s="7" t="s">
        <v>14</v>
      </c>
      <c r="G2965" s="8" t="s">
        <v>5661</v>
      </c>
      <c r="H2965" s="8" t="s">
        <v>16</v>
      </c>
      <c r="I2965" s="9">
        <v>3807</v>
      </c>
      <c r="J2965" s="10">
        <v>8</v>
      </c>
      <c r="K2965" s="10">
        <v>80080</v>
      </c>
      <c r="L2965" s="3" t="str">
        <f t="shared" si="95"/>
        <v>ΚΤΗΝΟΤΡΟΦΙΚΑ_ΦΥΤΑ_ΓΙΑ_ΖΩΟΤΡΟΦΕΣ</v>
      </c>
    </row>
    <row r="2966" spans="1:12" s="3" customFormat="1" ht="24" x14ac:dyDescent="0.25">
      <c r="A2966" s="3" t="str">
        <f t="shared" si="94"/>
        <v>ΚΤΗΝΟΤΡΟΦΙΚΑ ΦΥΤΑ ΓΙΑ ΖΩΟΤΡΟΦΕΣΤΡΙΦΥΛΛΙ ΤΟ ΕΡΠΟΝ Ή ΛΕΥΚΟ KONITSA</v>
      </c>
      <c r="B2966" s="4" t="s">
        <v>5215</v>
      </c>
      <c r="C2966" s="5" t="s">
        <v>5662</v>
      </c>
      <c r="D2966" s="6">
        <v>1402.9</v>
      </c>
      <c r="E2966" s="6">
        <v>1418.93</v>
      </c>
      <c r="F2966" s="7" t="s">
        <v>14</v>
      </c>
      <c r="G2966" s="8" t="s">
        <v>5663</v>
      </c>
      <c r="H2966" s="8" t="s">
        <v>16</v>
      </c>
      <c r="I2966" s="9">
        <v>3806</v>
      </c>
      <c r="J2966" s="10">
        <v>8</v>
      </c>
      <c r="K2966" s="10">
        <v>80081</v>
      </c>
      <c r="L2966" s="3" t="str">
        <f t="shared" si="95"/>
        <v>ΚΤΗΝΟΤΡΟΦΙΚΑ_ΦΥΤΑ_ΓΙΑ_ΖΩΟΤΡΟΦΕΣ</v>
      </c>
    </row>
    <row r="2967" spans="1:12" s="3" customFormat="1" ht="24" x14ac:dyDescent="0.25">
      <c r="A2967" s="3" t="str">
        <f t="shared" si="94"/>
        <v>ΚΤΗΝΟΤΡΟΦΙΚΑ ΦΥΤΑ ΓΙΑ ΖΩΟΤΡΟΦΕΣΤΡΙΦΥΛΛΙ ΤΟ ΎΠΤΙΟ Ή ΠΕΡΣΙΚΟ ASOPOS</v>
      </c>
      <c r="B2967" s="4" t="s">
        <v>5215</v>
      </c>
      <c r="C2967" s="5" t="s">
        <v>5664</v>
      </c>
      <c r="D2967" s="6">
        <v>1402.9</v>
      </c>
      <c r="E2967" s="6">
        <v>1418.93</v>
      </c>
      <c r="F2967" s="7" t="s">
        <v>14</v>
      </c>
      <c r="G2967" s="8" t="s">
        <v>5665</v>
      </c>
      <c r="H2967" s="8" t="s">
        <v>16</v>
      </c>
      <c r="I2967" s="9">
        <v>3805</v>
      </c>
      <c r="J2967" s="10">
        <v>8</v>
      </c>
      <c r="K2967" s="10">
        <v>80082</v>
      </c>
      <c r="L2967" s="3" t="str">
        <f t="shared" si="95"/>
        <v>ΚΤΗΝΟΤΡΟΦΙΚΑ_ΦΥΤΑ_ΓΙΑ_ΖΩΟΤΡΟΦΕΣ</v>
      </c>
    </row>
    <row r="2968" spans="1:12" s="3" customFormat="1" ht="24" x14ac:dyDescent="0.25">
      <c r="A2968" s="3" t="str">
        <f t="shared" si="94"/>
        <v>ΚΤΗΝΟΤΡΟΦΙΚΑ ΦΥΤΑ ΓΙΑ ΖΩΟΤΡΟΦΕΣΤΡΙΦΥΛΛΙ ΤΟ ΎΠΤΙΟ Ή ΠΕΡΣΙΚΟ MORNOS</v>
      </c>
      <c r="B2968" s="4" t="s">
        <v>5215</v>
      </c>
      <c r="C2968" s="5" t="s">
        <v>5666</v>
      </c>
      <c r="D2968" s="6">
        <v>1402.9</v>
      </c>
      <c r="E2968" s="6">
        <v>1418.93</v>
      </c>
      <c r="F2968" s="7" t="s">
        <v>14</v>
      </c>
      <c r="G2968" s="8" t="s">
        <v>5667</v>
      </c>
      <c r="H2968" s="8" t="s">
        <v>16</v>
      </c>
      <c r="I2968" s="9">
        <v>3819</v>
      </c>
      <c r="J2968" s="10">
        <v>8</v>
      </c>
      <c r="K2968" s="10">
        <v>80083</v>
      </c>
      <c r="L2968" s="3" t="str">
        <f t="shared" si="95"/>
        <v>ΚΤΗΝΟΤΡΟΦΙΚΑ_ΦΥΤΑ_ΓΙΑ_ΖΩΟΤΡΟΦΕΣ</v>
      </c>
    </row>
    <row r="2969" spans="1:12" s="3" customFormat="1" ht="24" x14ac:dyDescent="0.25">
      <c r="A2969" s="3" t="str">
        <f t="shared" si="94"/>
        <v>ΚΤΗΝΟΤΡΟΦΙΚΑ ΦΥΤΑ ΓΙΑ ΖΩΟΤΡΟΦΕΣΤΡΙΦΥΛΛΙ ΤΟ ΎΠΤΙΟ Ή ΠΕΡΣΙΚΟ OSSA II</v>
      </c>
      <c r="B2969" s="4" t="s">
        <v>5215</v>
      </c>
      <c r="C2969" s="5" t="s">
        <v>5668</v>
      </c>
      <c r="D2969" s="6">
        <v>1402.9</v>
      </c>
      <c r="E2969" s="6">
        <v>1418.93</v>
      </c>
      <c r="F2969" s="7" t="s">
        <v>14</v>
      </c>
      <c r="G2969" s="8" t="s">
        <v>5669</v>
      </c>
      <c r="H2969" s="8" t="s">
        <v>16</v>
      </c>
      <c r="I2969" s="9">
        <v>3790</v>
      </c>
      <c r="J2969" s="10">
        <v>8</v>
      </c>
      <c r="K2969" s="10">
        <v>80084</v>
      </c>
      <c r="L2969" s="3" t="str">
        <f t="shared" si="95"/>
        <v>ΚΤΗΝΟΤΡΟΦΙΚΑ_ΦΥΤΑ_ΓΙΑ_ΖΩΟΤΡΟΦΕΣ</v>
      </c>
    </row>
    <row r="2970" spans="1:12" s="3" customFormat="1" ht="24" x14ac:dyDescent="0.25">
      <c r="A2970" s="3" t="str">
        <f t="shared" si="94"/>
        <v>ΚΤΗΝΟΤΡΟΦΙΚΑ ΦΥΤΑ ΓΙΑ ΖΩΟΤΡΟΦΕΣΤΡΙΦΥΛΛΙ ΥΠΟΓΕΙΟ</v>
      </c>
      <c r="B2970" s="4" t="s">
        <v>5215</v>
      </c>
      <c r="C2970" s="5" t="s">
        <v>5670</v>
      </c>
      <c r="D2970" s="6">
        <v>1402.9</v>
      </c>
      <c r="E2970" s="6">
        <v>1418.93</v>
      </c>
      <c r="F2970" s="7" t="s">
        <v>14</v>
      </c>
      <c r="G2970" s="8" t="s">
        <v>5671</v>
      </c>
      <c r="H2970" s="8" t="s">
        <v>16</v>
      </c>
      <c r="I2970" s="9">
        <v>3757</v>
      </c>
      <c r="J2970" s="10">
        <v>8</v>
      </c>
      <c r="K2970" s="10">
        <v>80085</v>
      </c>
      <c r="L2970" s="3" t="str">
        <f t="shared" si="95"/>
        <v>ΚΤΗΝΟΤΡΟΦΙΚΑ_ΦΥΤΑ_ΓΙΑ_ΖΩΟΤΡΟΦΕΣ</v>
      </c>
    </row>
    <row r="2971" spans="1:12" s="3" customFormat="1" ht="24" x14ac:dyDescent="0.25">
      <c r="A2971" s="3" t="str">
        <f t="shared" si="94"/>
        <v>ΚΤΗΝΟΤΡΟΦΙΚΑ ΦΥΤΑ ΓΙΑ ΖΩΟΤΡΟΦΕΣΜΠΙΖΕΛΙ/ΠΙΣΟ ΚΤΗΝΟΤΡΟΦΙΚΟ LIVIOLETTA</v>
      </c>
      <c r="B2971" s="4" t="s">
        <v>5215</v>
      </c>
      <c r="C2971" s="5" t="s">
        <v>5672</v>
      </c>
      <c r="D2971" s="6">
        <v>1402.9</v>
      </c>
      <c r="E2971" s="6">
        <v>1418.93</v>
      </c>
      <c r="F2971" s="7" t="s">
        <v>14</v>
      </c>
      <c r="G2971" s="8" t="s">
        <v>5673</v>
      </c>
      <c r="H2971" s="8" t="s">
        <v>16</v>
      </c>
      <c r="I2971" s="9">
        <v>3758</v>
      </c>
      <c r="J2971" s="10">
        <v>8</v>
      </c>
      <c r="K2971" s="10">
        <v>80086</v>
      </c>
      <c r="L2971" s="3" t="str">
        <f t="shared" si="95"/>
        <v>ΚΤΗΝΟΤΡΟΦΙΚΑ_ΦΥΤΑ_ΓΙΑ_ΖΩΟΤΡΟΦΕΣ</v>
      </c>
    </row>
    <row r="2972" spans="1:12" s="3" customFormat="1" ht="24" x14ac:dyDescent="0.25">
      <c r="A2972" s="3" t="str">
        <f t="shared" si="94"/>
        <v>ΚΤΗΝΟΤΡΟΦΙΚΑ ΦΥΤΑ ΓΙΑ ΖΩΟΤΡΟΦΕΣΜΠΙΖΕΛΙ/ΠΙΣΟ ΚΤΗΝΟΤΡΟΦΙΚΟ ASSAS</v>
      </c>
      <c r="B2972" s="4" t="s">
        <v>5215</v>
      </c>
      <c r="C2972" s="5" t="s">
        <v>5674</v>
      </c>
      <c r="D2972" s="6">
        <v>1402.9</v>
      </c>
      <c r="E2972" s="6">
        <v>1418.93</v>
      </c>
      <c r="F2972" s="7" t="s">
        <v>14</v>
      </c>
      <c r="G2972" s="8" t="s">
        <v>5675</v>
      </c>
      <c r="H2972" s="8" t="s">
        <v>16</v>
      </c>
      <c r="I2972" s="9">
        <v>3759</v>
      </c>
      <c r="J2972" s="10">
        <v>8</v>
      </c>
      <c r="K2972" s="10">
        <v>80087</v>
      </c>
      <c r="L2972" s="3" t="str">
        <f t="shared" si="95"/>
        <v>ΚΤΗΝΟΤΡΟΦΙΚΑ_ΦΥΤΑ_ΓΙΑ_ΖΩΟΤΡΟΦΕΣ</v>
      </c>
    </row>
    <row r="2973" spans="1:12" s="3" customFormat="1" ht="24" x14ac:dyDescent="0.25">
      <c r="A2973" s="3" t="str">
        <f t="shared" si="94"/>
        <v>ΚΤΗΝΟΤΡΟΦΙΚΑ ΦΥΤΑ ΓΙΑ ΖΩΟΤΡΟΦΕΣΚΤΗΝΟΤΡΟΦΙΚΟ ΜΠΙΖΕΛΙ ASCENSION</v>
      </c>
      <c r="B2973" s="4" t="s">
        <v>5215</v>
      </c>
      <c r="C2973" s="5" t="s">
        <v>5676</v>
      </c>
      <c r="D2973" s="6">
        <v>1568.73</v>
      </c>
      <c r="E2973" s="6">
        <v>1689.55</v>
      </c>
      <c r="F2973" s="7" t="s">
        <v>14</v>
      </c>
      <c r="G2973" s="8" t="s">
        <v>5677</v>
      </c>
      <c r="H2973" s="8" t="s">
        <v>16</v>
      </c>
      <c r="I2973" s="9">
        <v>3760</v>
      </c>
      <c r="J2973" s="10">
        <v>8</v>
      </c>
      <c r="K2973" s="10">
        <v>80088</v>
      </c>
      <c r="L2973" s="3" t="str">
        <f t="shared" si="95"/>
        <v>ΚΤΗΝΟΤΡΟΦΙΚΑ_ΦΥΤΑ_ΓΙΑ_ΖΩΟΤΡΟΦΕΣ</v>
      </c>
    </row>
    <row r="2974" spans="1:12" s="3" customFormat="1" ht="24" x14ac:dyDescent="0.25">
      <c r="A2974" s="3" t="str">
        <f t="shared" si="94"/>
        <v>ΚΤΗΝΟΤΡΟΦΙΚΑ ΦΥΤΑ ΓΙΑ ΖΩΟΤΡΟΦΕΣΚΤΗΝΟΤΡΟΦΙΚΟ ΜΠΙΖΕΛΙ AVIRON</v>
      </c>
      <c r="B2974" s="4" t="s">
        <v>5215</v>
      </c>
      <c r="C2974" s="5" t="s">
        <v>5678</v>
      </c>
      <c r="D2974" s="6">
        <v>1568.73</v>
      </c>
      <c r="E2974" s="6">
        <v>1689.55</v>
      </c>
      <c r="F2974" s="7" t="s">
        <v>14</v>
      </c>
      <c r="G2974" s="8" t="s">
        <v>5679</v>
      </c>
      <c r="H2974" s="8" t="s">
        <v>16</v>
      </c>
      <c r="I2974" s="9">
        <v>3761</v>
      </c>
      <c r="J2974" s="10">
        <v>8</v>
      </c>
      <c r="K2974" s="10">
        <v>80089</v>
      </c>
      <c r="L2974" s="3" t="str">
        <f t="shared" si="95"/>
        <v>ΚΤΗΝΟΤΡΟΦΙΚΑ_ΦΥΤΑ_ΓΙΑ_ΖΩΟΤΡΟΦΕΣ</v>
      </c>
    </row>
    <row r="2975" spans="1:12" s="3" customFormat="1" ht="24" x14ac:dyDescent="0.25">
      <c r="A2975" s="3" t="str">
        <f t="shared" si="94"/>
        <v>ΚΤΗΝΟΤΡΟΦΙΚΑ ΦΥΤΑ ΓΙΑ ΖΩΟΤΡΟΦΕΣΒΙΚΟΣ SFINGE</v>
      </c>
      <c r="B2975" s="4" t="s">
        <v>5215</v>
      </c>
      <c r="C2975" s="5" t="s">
        <v>5680</v>
      </c>
      <c r="D2975" s="6">
        <v>1402.9</v>
      </c>
      <c r="E2975" s="6">
        <v>1418.93</v>
      </c>
      <c r="F2975" s="7" t="s">
        <v>14</v>
      </c>
      <c r="G2975" s="8" t="s">
        <v>5681</v>
      </c>
      <c r="H2975" s="8" t="s">
        <v>16</v>
      </c>
      <c r="I2975" s="9">
        <v>3762</v>
      </c>
      <c r="J2975" s="10">
        <v>8</v>
      </c>
      <c r="K2975" s="10">
        <v>80090</v>
      </c>
      <c r="L2975" s="3" t="str">
        <f t="shared" si="95"/>
        <v>ΚΤΗΝΟΤΡΟΦΙΚΑ_ΦΥΤΑ_ΓΙΑ_ΖΩΟΤΡΟΦΕΣ</v>
      </c>
    </row>
    <row r="2976" spans="1:12" s="3" customFormat="1" ht="24" x14ac:dyDescent="0.25">
      <c r="A2976" s="3" t="str">
        <f t="shared" si="94"/>
        <v>ΚΤΗΝΟΤΡΟΦΙΚΑ ΦΥΤΑ ΓΙΑ ΖΩΟΤΡΟΦΕΣΚΤΗΝΟΤΡΟΦΙΚΟ ΚΟΥΚΙ ALBUS</v>
      </c>
      <c r="B2976" s="4" t="s">
        <v>5215</v>
      </c>
      <c r="C2976" s="5" t="s">
        <v>5682</v>
      </c>
      <c r="D2976" s="6">
        <v>1402.9</v>
      </c>
      <c r="E2976" s="6">
        <v>1418.93</v>
      </c>
      <c r="F2976" s="7" t="s">
        <v>14</v>
      </c>
      <c r="G2976" s="8" t="s">
        <v>5683</v>
      </c>
      <c r="H2976" s="8" t="s">
        <v>16</v>
      </c>
      <c r="I2976" s="9">
        <v>3763</v>
      </c>
      <c r="J2976" s="10">
        <v>8</v>
      </c>
      <c r="K2976" s="10">
        <v>80091</v>
      </c>
      <c r="L2976" s="3" t="str">
        <f t="shared" si="95"/>
        <v>ΚΤΗΝΟΤΡΟΦΙΚΑ_ΦΥΤΑ_ΓΙΑ_ΖΩΟΤΡΟΦΕΣ</v>
      </c>
    </row>
    <row r="2977" spans="1:12" s="3" customFormat="1" ht="24" x14ac:dyDescent="0.25">
      <c r="A2977" s="3" t="str">
        <f t="shared" si="94"/>
        <v>ΚΤΗΝΟΤΡΟΦΙΚΑ ΦΥΤΑ ΓΙΑ ΖΩΟΤΡΟΦΕΣΜΗΔΙΚΗ JULIA</v>
      </c>
      <c r="B2977" s="4" t="s">
        <v>5215</v>
      </c>
      <c r="C2977" s="5" t="s">
        <v>5684</v>
      </c>
      <c r="D2977" s="6">
        <v>1402.9</v>
      </c>
      <c r="E2977" s="6">
        <v>1418.93</v>
      </c>
      <c r="F2977" s="7" t="s">
        <v>14</v>
      </c>
      <c r="G2977" s="8" t="s">
        <v>5685</v>
      </c>
      <c r="H2977" s="8" t="s">
        <v>16</v>
      </c>
      <c r="I2977" s="9">
        <v>3764</v>
      </c>
      <c r="J2977" s="10">
        <v>8</v>
      </c>
      <c r="K2977" s="10">
        <v>80092</v>
      </c>
      <c r="L2977" s="3" t="str">
        <f t="shared" si="95"/>
        <v>ΚΤΗΝΟΤΡΟΦΙΚΑ_ΦΥΤΑ_ΓΙΑ_ΖΩΟΤΡΟΦΕΣ</v>
      </c>
    </row>
    <row r="2978" spans="1:12" s="3" customFormat="1" ht="24" x14ac:dyDescent="0.25">
      <c r="A2978" s="3" t="str">
        <f t="shared" si="94"/>
        <v>ΚΤΗΝΟΤΡΟΦΙΚΑ ΦΥΤΑ ΓΙΑ ΖΩΟΤΡΟΦΕΣΜΗΔΙΚΗ EZZELINA</v>
      </c>
      <c r="B2978" s="4" t="s">
        <v>5215</v>
      </c>
      <c r="C2978" s="5" t="s">
        <v>5686</v>
      </c>
      <c r="D2978" s="6">
        <v>1402.9</v>
      </c>
      <c r="E2978" s="6">
        <v>1418.93</v>
      </c>
      <c r="F2978" s="7" t="s">
        <v>14</v>
      </c>
      <c r="G2978" s="8" t="s">
        <v>5687</v>
      </c>
      <c r="H2978" s="8" t="s">
        <v>16</v>
      </c>
      <c r="I2978" s="9">
        <v>3765</v>
      </c>
      <c r="J2978" s="10">
        <v>8</v>
      </c>
      <c r="K2978" s="10">
        <v>80093</v>
      </c>
      <c r="L2978" s="3" t="str">
        <f t="shared" si="95"/>
        <v>ΚΤΗΝΟΤΡΟΦΙΚΑ_ΦΥΤΑ_ΓΙΑ_ΖΩΟΤΡΟΦΕΣ</v>
      </c>
    </row>
    <row r="2979" spans="1:12" s="3" customFormat="1" ht="24" x14ac:dyDescent="0.25">
      <c r="A2979" s="3" t="str">
        <f t="shared" si="94"/>
        <v>ΚΤΗΝΟΤΡΟΦΙΚΑ ΦΥΤΑ ΓΙΑ ΖΩΟΤΡΟΦΕΣΜΗΔΙΚΗ BLUE ACE</v>
      </c>
      <c r="B2979" s="4" t="s">
        <v>5215</v>
      </c>
      <c r="C2979" s="5" t="s">
        <v>5688</v>
      </c>
      <c r="D2979" s="6">
        <v>1402.9</v>
      </c>
      <c r="E2979" s="6">
        <v>1418.93</v>
      </c>
      <c r="F2979" s="7" t="s">
        <v>14</v>
      </c>
      <c r="G2979" s="8" t="s">
        <v>5689</v>
      </c>
      <c r="H2979" s="8" t="s">
        <v>16</v>
      </c>
      <c r="I2979" s="9">
        <v>3766</v>
      </c>
      <c r="J2979" s="10">
        <v>8</v>
      </c>
      <c r="K2979" s="10">
        <v>80094</v>
      </c>
      <c r="L2979" s="3" t="str">
        <f t="shared" si="95"/>
        <v>ΚΤΗΝΟΤΡΟΦΙΚΑ_ΦΥΤΑ_ΓΙΑ_ΖΩΟΤΡΟΦΕΣ</v>
      </c>
    </row>
    <row r="2980" spans="1:12" s="3" customFormat="1" ht="24" x14ac:dyDescent="0.25">
      <c r="A2980" s="3" t="str">
        <f t="shared" si="94"/>
        <v>ΚΤΗΝΟΤΡΟΦΙΚΑ ΦΥΤΑ ΓΙΑ ΖΩΟΤΡΟΦΕΣΜΗΔΙΚΗ VICTORIA</v>
      </c>
      <c r="B2980" s="4" t="s">
        <v>5215</v>
      </c>
      <c r="C2980" s="5" t="s">
        <v>5690</v>
      </c>
      <c r="D2980" s="6">
        <v>1402.9</v>
      </c>
      <c r="E2980" s="6">
        <v>1418.93</v>
      </c>
      <c r="F2980" s="7" t="s">
        <v>14</v>
      </c>
      <c r="G2980" s="8" t="s">
        <v>5691</v>
      </c>
      <c r="H2980" s="8" t="s">
        <v>16</v>
      </c>
      <c r="I2980" s="9">
        <v>3767</v>
      </c>
      <c r="J2980" s="10">
        <v>8</v>
      </c>
      <c r="K2980" s="10">
        <v>80095</v>
      </c>
      <c r="L2980" s="3" t="str">
        <f t="shared" si="95"/>
        <v>ΚΤΗΝΟΤΡΟΦΙΚΑ_ΦΥΤΑ_ΓΙΑ_ΖΩΟΤΡΟΦΕΣ</v>
      </c>
    </row>
    <row r="2981" spans="1:12" s="3" customFormat="1" ht="24" x14ac:dyDescent="0.25">
      <c r="A2981" s="3" t="str">
        <f t="shared" si="94"/>
        <v>ΚΤΗΝΟΤΡΟΦΙΚΑ ΦΥΤΑ ΓΙΑ ΖΩΟΤΡΟΦΕΣΣΟΡΓΟ NUTRI HONEY</v>
      </c>
      <c r="B2981" s="4" t="s">
        <v>5215</v>
      </c>
      <c r="C2981" s="5" t="s">
        <v>5692</v>
      </c>
      <c r="D2981" s="6">
        <v>363.85</v>
      </c>
      <c r="E2981" s="6">
        <v>331.13</v>
      </c>
      <c r="F2981" s="7" t="s">
        <v>14</v>
      </c>
      <c r="G2981" s="8" t="s">
        <v>5693</v>
      </c>
      <c r="H2981" s="8" t="s">
        <v>16</v>
      </c>
      <c r="I2981" s="9">
        <v>3780</v>
      </c>
      <c r="J2981" s="10">
        <v>8</v>
      </c>
      <c r="K2981" s="10">
        <v>80096</v>
      </c>
      <c r="L2981" s="3" t="str">
        <f t="shared" si="95"/>
        <v>ΚΤΗΝΟΤΡΟΦΙΚΑ_ΦΥΤΑ_ΓΙΑ_ΖΩΟΤΡΟΦΕΣ</v>
      </c>
    </row>
    <row r="2982" spans="1:12" s="3" customFormat="1" ht="24" x14ac:dyDescent="0.25">
      <c r="A2982" s="3" t="str">
        <f t="shared" si="94"/>
        <v>ΚΤΗΝΟΤΡΟΦΙΚΑ ΦΥΤΑ ΓΙΑ ΖΩΟΤΡΟΦΕΣΚΤΗΝΟΤΡΟΦΙΚΟ ΚΟΥΚΙ MERKUR</v>
      </c>
      <c r="B2982" s="4" t="s">
        <v>5215</v>
      </c>
      <c r="C2982" s="5" t="s">
        <v>5694</v>
      </c>
      <c r="D2982" s="6">
        <v>1402.9</v>
      </c>
      <c r="E2982" s="6">
        <v>1418.93</v>
      </c>
      <c r="F2982" s="7" t="s">
        <v>14</v>
      </c>
      <c r="G2982" s="8" t="s">
        <v>5695</v>
      </c>
      <c r="H2982" s="8" t="s">
        <v>16</v>
      </c>
      <c r="I2982" s="9">
        <v>3769</v>
      </c>
      <c r="J2982" s="10">
        <v>8</v>
      </c>
      <c r="K2982" s="10">
        <v>80097</v>
      </c>
      <c r="L2982" s="3" t="str">
        <f t="shared" si="95"/>
        <v>ΚΤΗΝΟΤΡΟΦΙΚΑ_ΦΥΤΑ_ΓΙΑ_ΖΩΟΤΡΟΦΕΣ</v>
      </c>
    </row>
    <row r="2983" spans="1:12" s="3" customFormat="1" ht="24" x14ac:dyDescent="0.25">
      <c r="A2983" s="3" t="str">
        <f t="shared" si="94"/>
        <v>ΚΤΗΝΟΤΡΟΦΙΚΑ ΦΥΤΑ ΓΙΑ ΖΩΟΤΡΟΦΕΣΜΗΔΙΚΗ ICON</v>
      </c>
      <c r="B2983" s="4" t="s">
        <v>5215</v>
      </c>
      <c r="C2983" s="5" t="s">
        <v>5696</v>
      </c>
      <c r="D2983" s="6">
        <v>1402.9</v>
      </c>
      <c r="E2983" s="6">
        <v>1418.93</v>
      </c>
      <c r="F2983" s="7" t="s">
        <v>14</v>
      </c>
      <c r="G2983" s="8" t="s">
        <v>5697</v>
      </c>
      <c r="H2983" s="8" t="s">
        <v>16</v>
      </c>
      <c r="I2983" s="9">
        <v>3779</v>
      </c>
      <c r="J2983" s="10">
        <v>8</v>
      </c>
      <c r="K2983" s="10">
        <v>80098</v>
      </c>
      <c r="L2983" s="3" t="str">
        <f t="shared" si="95"/>
        <v>ΚΤΗΝΟΤΡΟΦΙΚΑ_ΦΥΤΑ_ΓΙΑ_ΖΩΟΤΡΟΦΕΣ</v>
      </c>
    </row>
    <row r="2984" spans="1:12" s="3" customFormat="1" ht="24" x14ac:dyDescent="0.25">
      <c r="A2984" s="3" t="str">
        <f t="shared" si="94"/>
        <v>ΚΤΗΝΟΤΡΟΦΙΚΑ ΦΥΤΑ ΓΙΑ ΖΩΟΤΡΟΦΕΣΜΗΔΙΚΗ CANE</v>
      </c>
      <c r="B2984" s="4" t="s">
        <v>5215</v>
      </c>
      <c r="C2984" s="5" t="s">
        <v>5698</v>
      </c>
      <c r="D2984" s="6">
        <v>1402.9</v>
      </c>
      <c r="E2984" s="6">
        <v>1418.93</v>
      </c>
      <c r="F2984" s="7" t="s">
        <v>14</v>
      </c>
      <c r="G2984" s="8" t="s">
        <v>5699</v>
      </c>
      <c r="H2984" s="8" t="s">
        <v>16</v>
      </c>
      <c r="I2984" s="9">
        <v>3778</v>
      </c>
      <c r="J2984" s="10">
        <v>8</v>
      </c>
      <c r="K2984" s="10">
        <v>80099</v>
      </c>
      <c r="L2984" s="3" t="str">
        <f t="shared" si="95"/>
        <v>ΚΤΗΝΟΤΡΟΦΙΚΑ_ΦΥΤΑ_ΓΙΑ_ΖΩΟΤΡΟΦΕΣ</v>
      </c>
    </row>
    <row r="2985" spans="1:12" s="3" customFormat="1" ht="24" x14ac:dyDescent="0.25">
      <c r="A2985" s="3" t="str">
        <f t="shared" si="94"/>
        <v>ΚΤΗΝΟΤΡΟΦΙΚΑ ΦΥΤΑ ΓΙΑ ΖΩΟΤΡΟΦΕΣΜΗΔΙΚΗ GEA</v>
      </c>
      <c r="B2985" s="4" t="s">
        <v>5215</v>
      </c>
      <c r="C2985" s="5" t="s">
        <v>5700</v>
      </c>
      <c r="D2985" s="6">
        <v>1402.9</v>
      </c>
      <c r="E2985" s="6">
        <v>1418.93</v>
      </c>
      <c r="F2985" s="7" t="s">
        <v>14</v>
      </c>
      <c r="G2985" s="8" t="s">
        <v>5701</v>
      </c>
      <c r="H2985" s="8" t="s">
        <v>16</v>
      </c>
      <c r="I2985" s="9">
        <v>3777</v>
      </c>
      <c r="J2985" s="10">
        <v>8</v>
      </c>
      <c r="K2985" s="10">
        <v>80100</v>
      </c>
      <c r="L2985" s="3" t="str">
        <f t="shared" si="95"/>
        <v>ΚΤΗΝΟΤΡΟΦΙΚΑ_ΦΥΤΑ_ΓΙΑ_ΖΩΟΤΡΟΦΕΣ</v>
      </c>
    </row>
    <row r="2986" spans="1:12" s="3" customFormat="1" ht="24" x14ac:dyDescent="0.25">
      <c r="A2986" s="3" t="str">
        <f t="shared" si="94"/>
        <v>ΚΤΗΝΟΤΡΟΦΙΚΑ ΦΥΤΑ ΓΙΑ ΖΩΟΤΡΟΦΕΣΜΗΔΙΚΗ PROSEMENTI BOLOGNA</v>
      </c>
      <c r="B2986" s="4" t="s">
        <v>5215</v>
      </c>
      <c r="C2986" s="5" t="s">
        <v>5702</v>
      </c>
      <c r="D2986" s="6">
        <v>1402.9</v>
      </c>
      <c r="E2986" s="6">
        <v>1418.93</v>
      </c>
      <c r="F2986" s="7" t="s">
        <v>14</v>
      </c>
      <c r="G2986" s="8" t="s">
        <v>5703</v>
      </c>
      <c r="H2986" s="8" t="s">
        <v>16</v>
      </c>
      <c r="I2986" s="9">
        <v>3776</v>
      </c>
      <c r="J2986" s="10">
        <v>8</v>
      </c>
      <c r="K2986" s="10">
        <v>80101</v>
      </c>
      <c r="L2986" s="3" t="str">
        <f t="shared" si="95"/>
        <v>ΚΤΗΝΟΤΡΟΦΙΚΑ_ΦΥΤΑ_ΓΙΑ_ΖΩΟΤΡΟΦΕΣ</v>
      </c>
    </row>
    <row r="2987" spans="1:12" s="3" customFormat="1" ht="24" x14ac:dyDescent="0.25">
      <c r="A2987" s="3" t="str">
        <f t="shared" si="94"/>
        <v>ΚΤΗΝΟΤΡΟΦΙΚΑ ΦΥΤΑ ΓΙΑ ΖΩΟΤΡΟΦΕΣΜΗΔΙΚΗ CLAUDIA</v>
      </c>
      <c r="B2987" s="4" t="s">
        <v>5215</v>
      </c>
      <c r="C2987" s="5" t="s">
        <v>5704</v>
      </c>
      <c r="D2987" s="6">
        <v>1402.9</v>
      </c>
      <c r="E2987" s="6">
        <v>1418.93</v>
      </c>
      <c r="F2987" s="7" t="s">
        <v>14</v>
      </c>
      <c r="G2987" s="8" t="s">
        <v>5705</v>
      </c>
      <c r="H2987" s="8" t="s">
        <v>16</v>
      </c>
      <c r="I2987" s="9">
        <v>3774</v>
      </c>
      <c r="J2987" s="10">
        <v>8</v>
      </c>
      <c r="K2987" s="10">
        <v>80102</v>
      </c>
      <c r="L2987" s="3" t="str">
        <f t="shared" si="95"/>
        <v>ΚΤΗΝΟΤΡΟΦΙΚΑ_ΦΥΤΑ_ΓΙΑ_ΖΩΟΤΡΟΦΕΣ</v>
      </c>
    </row>
    <row r="2988" spans="1:12" s="3" customFormat="1" ht="24" x14ac:dyDescent="0.25">
      <c r="A2988" s="3" t="str">
        <f t="shared" si="94"/>
        <v>ΚΤΗΝΟΤΡΟΦΙΚΑ ΦΥΤΑ ΓΙΑ ΖΩΟΤΡΟΦΕΣΠΕΝΝΙΖΕΤΟ ΤΟ ΓΛΑΥΚΟ BABALA</v>
      </c>
      <c r="B2988" s="4" t="s">
        <v>5215</v>
      </c>
      <c r="C2988" s="5" t="s">
        <v>5706</v>
      </c>
      <c r="D2988" s="6">
        <v>222.49</v>
      </c>
      <c r="E2988" s="6">
        <v>273.27</v>
      </c>
      <c r="F2988" s="7" t="s">
        <v>14</v>
      </c>
      <c r="G2988" s="8" t="s">
        <v>5707</v>
      </c>
      <c r="H2988" s="8" t="s">
        <v>16</v>
      </c>
      <c r="I2988" s="9">
        <v>3772</v>
      </c>
      <c r="J2988" s="10">
        <v>8</v>
      </c>
      <c r="K2988" s="10">
        <v>80103</v>
      </c>
      <c r="L2988" s="3" t="str">
        <f t="shared" si="95"/>
        <v>ΚΤΗΝΟΤΡΟΦΙΚΑ_ΦΥΤΑ_ΓΙΑ_ΖΩΟΤΡΟΦΕΣ</v>
      </c>
    </row>
    <row r="2989" spans="1:12" s="3" customFormat="1" ht="24" x14ac:dyDescent="0.25">
      <c r="A2989" s="3" t="str">
        <f t="shared" si="94"/>
        <v>ΚΤΗΝΟΤΡΟΦΙΚΑ ΦΥΤΑ ΓΙΑ ΖΩΟΤΡΟΦΕΣΚΡΙΘΑΡΙ LEFKA</v>
      </c>
      <c r="B2989" s="4" t="s">
        <v>5215</v>
      </c>
      <c r="C2989" s="5" t="s">
        <v>5708</v>
      </c>
      <c r="D2989" s="6">
        <v>466.58</v>
      </c>
      <c r="E2989" s="6">
        <v>366.77</v>
      </c>
      <c r="F2989" s="7" t="s">
        <v>14</v>
      </c>
      <c r="G2989" s="8" t="s">
        <v>5709</v>
      </c>
      <c r="H2989" s="8" t="s">
        <v>16</v>
      </c>
      <c r="I2989" s="9">
        <v>3771</v>
      </c>
      <c r="J2989" s="10">
        <v>8</v>
      </c>
      <c r="K2989" s="10">
        <v>80104</v>
      </c>
      <c r="L2989" s="3" t="str">
        <f t="shared" si="95"/>
        <v>ΚΤΗΝΟΤΡΟΦΙΚΑ_ΦΥΤΑ_ΓΙΑ_ΖΩΟΤΡΟΦΕΣ</v>
      </c>
    </row>
    <row r="2990" spans="1:12" s="3" customFormat="1" ht="24" x14ac:dyDescent="0.25">
      <c r="A2990" s="3" t="str">
        <f t="shared" si="94"/>
        <v>ΚΤΗΝΟΤΡΟΦΙΚΑ ΦΥΤΑ ΓΙΑ ΖΩΟΤΡΟΦΕΣΚΡΙΘΑΡΙ DIM 601</v>
      </c>
      <c r="B2990" s="4" t="s">
        <v>5215</v>
      </c>
      <c r="C2990" s="5" t="s">
        <v>5710</v>
      </c>
      <c r="D2990" s="6">
        <v>466.58</v>
      </c>
      <c r="E2990" s="6">
        <v>366.77</v>
      </c>
      <c r="F2990" s="7" t="s">
        <v>14</v>
      </c>
      <c r="G2990" s="8" t="s">
        <v>5711</v>
      </c>
      <c r="H2990" s="8" t="s">
        <v>16</v>
      </c>
      <c r="I2990" s="9">
        <v>3770</v>
      </c>
      <c r="J2990" s="10">
        <v>8</v>
      </c>
      <c r="K2990" s="10">
        <v>80105</v>
      </c>
      <c r="L2990" s="3" t="str">
        <f t="shared" si="95"/>
        <v>ΚΤΗΝΟΤΡΟΦΙΚΑ_ΦΥΤΑ_ΓΙΑ_ΖΩΟΤΡΟΦΕΣ</v>
      </c>
    </row>
    <row r="2991" spans="1:12" s="3" customFormat="1" ht="24" x14ac:dyDescent="0.25">
      <c r="A2991" s="3" t="str">
        <f t="shared" si="94"/>
        <v>ΚΤΗΝΟΤΡΟΦΙΚΑ ΦΥΤΑ ΓΙΑ ΖΩΟΤΡΟΦΕΣΤΡΙΦΥΛΛΙ ΤΟ ΑΛΕΞΑΝΔΡΙΝΟ ALEX</v>
      </c>
      <c r="B2991" s="4" t="s">
        <v>5215</v>
      </c>
      <c r="C2991" s="5" t="s">
        <v>5712</v>
      </c>
      <c r="D2991" s="6">
        <v>1402.9</v>
      </c>
      <c r="E2991" s="6">
        <v>1418.93</v>
      </c>
      <c r="F2991" s="7" t="s">
        <v>14</v>
      </c>
      <c r="G2991" s="8" t="s">
        <v>5713</v>
      </c>
      <c r="H2991" s="8" t="s">
        <v>16</v>
      </c>
      <c r="I2991" s="9">
        <v>3768</v>
      </c>
      <c r="J2991" s="10">
        <v>8</v>
      </c>
      <c r="K2991" s="10">
        <v>80106</v>
      </c>
      <c r="L2991" s="3" t="str">
        <f t="shared" si="95"/>
        <v>ΚΤΗΝΟΤΡΟΦΙΚΑ_ΦΥΤΑ_ΓΙΑ_ΖΩΟΤΡΟΦΕΣ</v>
      </c>
    </row>
    <row r="2992" spans="1:12" s="3" customFormat="1" ht="24" x14ac:dyDescent="0.25">
      <c r="A2992" s="3" t="str">
        <f t="shared" si="94"/>
        <v>ΚΤΗΝΟΤΡΟΦΙΚΑ ΦΥΤΑ ΓΙΑ ΖΩΟΤΡΟΦΕΣΤΡΙΦΥΛΛΙ ΤΟ ΑΛΕΞΑΝΔΡΙΝΟ ΤΙΜ</v>
      </c>
      <c r="B2992" s="4" t="s">
        <v>5215</v>
      </c>
      <c r="C2992" s="5" t="s">
        <v>5714</v>
      </c>
      <c r="D2992" s="6">
        <v>1402.9</v>
      </c>
      <c r="E2992" s="6">
        <v>1418.93</v>
      </c>
      <c r="F2992" s="7" t="s">
        <v>14</v>
      </c>
      <c r="G2992" s="8" t="s">
        <v>5715</v>
      </c>
      <c r="H2992" s="8" t="s">
        <v>16</v>
      </c>
      <c r="I2992" s="9">
        <v>3781</v>
      </c>
      <c r="J2992" s="10">
        <v>8</v>
      </c>
      <c r="K2992" s="10">
        <v>80107</v>
      </c>
      <c r="L2992" s="3" t="str">
        <f t="shared" si="95"/>
        <v>ΚΤΗΝΟΤΡΟΦΙΚΑ_ΦΥΤΑ_ΓΙΑ_ΖΩΟΤΡΟΦΕΣ</v>
      </c>
    </row>
    <row r="2993" spans="1:12" s="3" customFormat="1" ht="24" x14ac:dyDescent="0.25">
      <c r="A2993" s="3" t="str">
        <f t="shared" si="94"/>
        <v>ΚΤΗΝΟΤΡΟΦΙΚΑ ΦΥΤΑ ΓΙΑ ΖΩΟΤΡΟΦΕΣΚΡΟΤΑΛΑΡΙΑ (CROTALARIA JUNCEA)</v>
      </c>
      <c r="B2993" s="4" t="s">
        <v>5215</v>
      </c>
      <c r="C2993" s="5" t="s">
        <v>5716</v>
      </c>
      <c r="D2993" s="6">
        <v>1402.9</v>
      </c>
      <c r="E2993" s="6">
        <v>1418.93</v>
      </c>
      <c r="F2993" s="7" t="s">
        <v>14</v>
      </c>
      <c r="G2993" s="8" t="s">
        <v>5717</v>
      </c>
      <c r="H2993" s="8" t="s">
        <v>16</v>
      </c>
      <c r="I2993" s="9">
        <v>3829</v>
      </c>
      <c r="J2993" s="10">
        <v>8</v>
      </c>
      <c r="K2993" s="10">
        <v>80108</v>
      </c>
      <c r="L2993" s="3" t="str">
        <f t="shared" si="95"/>
        <v>ΚΤΗΝΟΤΡΟΦΙΚΑ_ΦΥΤΑ_ΓΙΑ_ΖΩΟΤΡΟΦΕΣ</v>
      </c>
    </row>
    <row r="2994" spans="1:12" s="3" customFormat="1" ht="24" x14ac:dyDescent="0.25">
      <c r="A2994" s="3" t="str">
        <f t="shared" si="94"/>
        <v>ΚΤΗΝΟΤΡΟΦΙΚΑ ΦΥΤΑ ΓΙΑ ΖΩΟΤΡΟΦΕΣΜΗΔΙΚΗ Η ΗΜΕΡΟΣ PR59N59</v>
      </c>
      <c r="B2994" s="4" t="s">
        <v>5215</v>
      </c>
      <c r="C2994" s="5" t="s">
        <v>5718</v>
      </c>
      <c r="D2994" s="6">
        <v>1402.9</v>
      </c>
      <c r="E2994" s="6">
        <v>1418.93</v>
      </c>
      <c r="F2994" s="7" t="s">
        <v>14</v>
      </c>
      <c r="G2994" s="8" t="s">
        <v>5719</v>
      </c>
      <c r="H2994" s="8" t="s">
        <v>16</v>
      </c>
      <c r="I2994" s="9">
        <v>3881</v>
      </c>
      <c r="J2994" s="10">
        <v>8</v>
      </c>
      <c r="K2994" s="10">
        <v>80109</v>
      </c>
      <c r="L2994" s="3" t="str">
        <f t="shared" si="95"/>
        <v>ΚΤΗΝΟΤΡΟΦΙΚΑ_ΦΥΤΑ_ΓΙΑ_ΖΩΟΤΡΟΦΕΣ</v>
      </c>
    </row>
    <row r="2995" spans="1:12" s="3" customFormat="1" ht="24" x14ac:dyDescent="0.25">
      <c r="A2995" s="3" t="str">
        <f t="shared" si="94"/>
        <v>ΚΤΗΝΟΤΡΟΦΙΚΑ ΦΥΤΑ ΓΙΑ ΖΩΟΤΡΟΦΕΣΚΡΙΘΑΡΙ NURE</v>
      </c>
      <c r="B2995" s="4" t="s">
        <v>5215</v>
      </c>
      <c r="C2995" s="5" t="s">
        <v>5720</v>
      </c>
      <c r="D2995" s="6">
        <v>466.58</v>
      </c>
      <c r="E2995" s="6">
        <v>366.77</v>
      </c>
      <c r="F2995" s="7" t="s">
        <v>14</v>
      </c>
      <c r="G2995" s="8" t="s">
        <v>5721</v>
      </c>
      <c r="H2995" s="8" t="s">
        <v>16</v>
      </c>
      <c r="I2995" s="9">
        <v>3802</v>
      </c>
      <c r="J2995" s="10">
        <v>8</v>
      </c>
      <c r="K2995" s="10">
        <v>80110</v>
      </c>
      <c r="L2995" s="3" t="str">
        <f t="shared" si="95"/>
        <v>ΚΤΗΝΟΤΡΟΦΙΚΑ_ΦΥΤΑ_ΓΙΑ_ΖΩΟΤΡΟΦΕΣ</v>
      </c>
    </row>
    <row r="2996" spans="1:12" s="3" customFormat="1" ht="24" x14ac:dyDescent="0.25">
      <c r="A2996" s="3" t="str">
        <f t="shared" si="94"/>
        <v>ΚΤΗΝΟΤΡΟΦΙΚΑ ΦΥΤΑ ΓΙΑ ΖΩΟΤΡΟΦΕΣΚΟΥΚΙ ΚΤΗΝΟΤΡΟΦΙΚΟ SCURO DI TORRE LAMA</v>
      </c>
      <c r="B2996" s="4" t="s">
        <v>5215</v>
      </c>
      <c r="C2996" s="5" t="s">
        <v>5722</v>
      </c>
      <c r="D2996" s="6">
        <v>1402.9</v>
      </c>
      <c r="E2996" s="6">
        <v>1418.93</v>
      </c>
      <c r="F2996" s="7" t="s">
        <v>14</v>
      </c>
      <c r="G2996" s="8" t="s">
        <v>5723</v>
      </c>
      <c r="H2996" s="8" t="s">
        <v>16</v>
      </c>
      <c r="I2996" s="9">
        <v>3877</v>
      </c>
      <c r="J2996" s="10">
        <v>8</v>
      </c>
      <c r="K2996" s="10">
        <v>80111</v>
      </c>
      <c r="L2996" s="3" t="str">
        <f t="shared" si="95"/>
        <v>ΚΤΗΝΟΤΡΟΦΙΚΑ_ΦΥΤΑ_ΓΙΑ_ΖΩΟΤΡΟΦΕΣ</v>
      </c>
    </row>
    <row r="2997" spans="1:12" s="3" customFormat="1" ht="24" x14ac:dyDescent="0.25">
      <c r="A2997" s="3" t="str">
        <f t="shared" si="94"/>
        <v>ΚΤΗΝΟΤΡΟΦΙΚΑ ΦΥΤΑ ΓΙΑ ΖΩΟΤΡΟΦΕΣΚΟΥΚΙ ΚΤΗΝΟΤΡΟΦΙΚΟ CHIARO DI TORRE LAMA</v>
      </c>
      <c r="B2997" s="4" t="s">
        <v>5215</v>
      </c>
      <c r="C2997" s="5" t="s">
        <v>5724</v>
      </c>
      <c r="D2997" s="6">
        <v>1402.9</v>
      </c>
      <c r="E2997" s="6">
        <v>1418.93</v>
      </c>
      <c r="F2997" s="7" t="s">
        <v>14</v>
      </c>
      <c r="G2997" s="8" t="s">
        <v>5725</v>
      </c>
      <c r="H2997" s="8" t="s">
        <v>16</v>
      </c>
      <c r="I2997" s="9">
        <v>3876</v>
      </c>
      <c r="J2997" s="10">
        <v>8</v>
      </c>
      <c r="K2997" s="10">
        <v>80112</v>
      </c>
      <c r="L2997" s="3" t="str">
        <f t="shared" si="95"/>
        <v>ΚΤΗΝΟΤΡΟΦΙΚΑ_ΦΥΤΑ_ΓΙΑ_ΖΩΟΤΡΟΦΕΣ</v>
      </c>
    </row>
    <row r="2998" spans="1:12" s="3" customFormat="1" ht="24" x14ac:dyDescent="0.25">
      <c r="A2998" s="3" t="str">
        <f t="shared" si="94"/>
        <v>ΚΤΗΝΟΤΡΟΦΙΚΑ ΦΥΤΑ ΓΙΑ ΖΩΟΤΡΟΦΕΣΜΠΙΖΕΛΙ/ΠΙΣΟ ΚΤΗΝΟΤΡΟΦΙΚΟ FORRIMAX</v>
      </c>
      <c r="B2998" s="4" t="s">
        <v>5215</v>
      </c>
      <c r="C2998" s="5" t="s">
        <v>5726</v>
      </c>
      <c r="D2998" s="6">
        <v>1402.9</v>
      </c>
      <c r="E2998" s="6">
        <v>1418.93</v>
      </c>
      <c r="F2998" s="7" t="s">
        <v>14</v>
      </c>
      <c r="G2998" s="8" t="s">
        <v>5727</v>
      </c>
      <c r="H2998" s="8" t="s">
        <v>16</v>
      </c>
      <c r="I2998" s="9">
        <v>3875</v>
      </c>
      <c r="J2998" s="10">
        <v>8</v>
      </c>
      <c r="K2998" s="10">
        <v>80113</v>
      </c>
      <c r="L2998" s="3" t="str">
        <f t="shared" si="95"/>
        <v>ΚΤΗΝΟΤΡΟΦΙΚΑ_ΦΥΤΑ_ΓΙΑ_ΖΩΟΤΡΟΦΕΣ</v>
      </c>
    </row>
    <row r="2999" spans="1:12" s="3" customFormat="1" ht="24" x14ac:dyDescent="0.25">
      <c r="A2999" s="3" t="str">
        <f t="shared" si="94"/>
        <v>ΚΤΗΝΟΤΡΟΦΙΚΑ ΦΥΤΑ ΓΙΑ ΖΩΟΤΡΟΦΕΣΛΟΥΠΙΝΟ ΛΕΥΚΟ  TENNIS</v>
      </c>
      <c r="B2999" s="4" t="s">
        <v>5215</v>
      </c>
      <c r="C2999" s="5" t="s">
        <v>5728</v>
      </c>
      <c r="D2999" s="6">
        <v>1402.9</v>
      </c>
      <c r="E2999" s="6">
        <v>1418.93</v>
      </c>
      <c r="F2999" s="7" t="s">
        <v>14</v>
      </c>
      <c r="G2999" s="8" t="s">
        <v>5729</v>
      </c>
      <c r="H2999" s="8" t="s">
        <v>16</v>
      </c>
      <c r="I2999" s="9">
        <v>3874</v>
      </c>
      <c r="J2999" s="10">
        <v>8</v>
      </c>
      <c r="K2999" s="10">
        <v>80114</v>
      </c>
      <c r="L2999" s="3" t="str">
        <f t="shared" si="95"/>
        <v>ΚΤΗΝΟΤΡΟΦΙΚΑ_ΦΥΤΑ_ΓΙΑ_ΖΩΟΤΡΟΦΕΣ</v>
      </c>
    </row>
    <row r="3000" spans="1:12" s="3" customFormat="1" ht="24" x14ac:dyDescent="0.25">
      <c r="A3000" s="3" t="str">
        <f t="shared" si="94"/>
        <v>ΚΤΗΝΟΤΡΟΦΙΚΑ ΦΥΤΑ ΓΙΑ ΖΩΟΤΡΟΦΕΣΜΠΙΖΕΛΙ/ΠΙΣΟ ΚΤΗΝΟΤΡΟΦΙΚΟ ENDURO</v>
      </c>
      <c r="B3000" s="4" t="s">
        <v>5215</v>
      </c>
      <c r="C3000" s="5" t="s">
        <v>5730</v>
      </c>
      <c r="D3000" s="6">
        <v>1402.9</v>
      </c>
      <c r="E3000" s="6">
        <v>1418.93</v>
      </c>
      <c r="F3000" s="7" t="s">
        <v>14</v>
      </c>
      <c r="G3000" s="8" t="s">
        <v>5731</v>
      </c>
      <c r="H3000" s="8" t="s">
        <v>16</v>
      </c>
      <c r="I3000" s="9">
        <v>3873</v>
      </c>
      <c r="J3000" s="10">
        <v>8</v>
      </c>
      <c r="K3000" s="10">
        <v>80115</v>
      </c>
      <c r="L3000" s="3" t="str">
        <f t="shared" si="95"/>
        <v>ΚΤΗΝΟΤΡΟΦΙΚΑ_ΦΥΤΑ_ΓΙΑ_ΖΩΟΤΡΟΦΕΣ</v>
      </c>
    </row>
    <row r="3001" spans="1:12" s="3" customFormat="1" ht="24" x14ac:dyDescent="0.25">
      <c r="A3001" s="3" t="str">
        <f t="shared" si="94"/>
        <v>ΚΤΗΝΟΤΡΟΦΙΚΑ ΦΥΤΑ ΓΙΑ ΖΩΟΤΡΟΦΕΣΜΗΔΙΚΗ Η ΗΜΕΡΟΣ NEFELI</v>
      </c>
      <c r="B3001" s="4" t="s">
        <v>5215</v>
      </c>
      <c r="C3001" s="5" t="s">
        <v>5732</v>
      </c>
      <c r="D3001" s="6">
        <v>1402.9</v>
      </c>
      <c r="E3001" s="6">
        <v>1418.93</v>
      </c>
      <c r="F3001" s="7" t="s">
        <v>14</v>
      </c>
      <c r="G3001" s="8" t="s">
        <v>5733</v>
      </c>
      <c r="H3001" s="8" t="s">
        <v>16</v>
      </c>
      <c r="I3001" s="9">
        <v>3872</v>
      </c>
      <c r="J3001" s="10">
        <v>8</v>
      </c>
      <c r="K3001" s="10">
        <v>80116</v>
      </c>
      <c r="L3001" s="3" t="str">
        <f t="shared" si="95"/>
        <v>ΚΤΗΝΟΤΡΟΦΙΚΑ_ΦΥΤΑ_ΓΙΑ_ΖΩΟΤΡΟΦΕΣ</v>
      </c>
    </row>
    <row r="3002" spans="1:12" s="3" customFormat="1" ht="24" x14ac:dyDescent="0.25">
      <c r="A3002" s="3" t="str">
        <f t="shared" si="94"/>
        <v>ΚΤΗΝΟΤΡΟΦΙΚΑ ΦΥΤΑ ΓΙΑ ΖΩΟΤΡΟΦΕΣΛΟΛΙΟΥΜ NIVAL</v>
      </c>
      <c r="B3002" s="4" t="s">
        <v>5215</v>
      </c>
      <c r="C3002" s="5" t="s">
        <v>5734</v>
      </c>
      <c r="D3002" s="6">
        <v>1008.29</v>
      </c>
      <c r="E3002" s="6">
        <v>1051.74</v>
      </c>
      <c r="F3002" s="7" t="s">
        <v>14</v>
      </c>
      <c r="G3002" s="8" t="s">
        <v>5735</v>
      </c>
      <c r="H3002" s="8" t="s">
        <v>16</v>
      </c>
      <c r="I3002" s="9">
        <v>3871</v>
      </c>
      <c r="J3002" s="10">
        <v>8</v>
      </c>
      <c r="K3002" s="10">
        <v>80117</v>
      </c>
      <c r="L3002" s="3" t="str">
        <f t="shared" si="95"/>
        <v>ΚΤΗΝΟΤΡΟΦΙΚΑ_ΦΥΤΑ_ΓΙΑ_ΖΩΟΤΡΟΦΕΣ</v>
      </c>
    </row>
    <row r="3003" spans="1:12" s="3" customFormat="1" ht="24" x14ac:dyDescent="0.25">
      <c r="A3003" s="3" t="str">
        <f t="shared" si="94"/>
        <v>ΚΤΗΝΟΤΡΟΦΙΚΑ ΦΥΤΑ ΓΙΑ ΖΩΟΤΡΟΦΕΣΣΟΡΓΟ ΤΟΥ ΣΟΥΔΑΝ BOVITAL</v>
      </c>
      <c r="B3003" s="4" t="s">
        <v>5215</v>
      </c>
      <c r="C3003" s="5" t="s">
        <v>5736</v>
      </c>
      <c r="D3003" s="6">
        <v>363.85</v>
      </c>
      <c r="E3003" s="6">
        <v>331.13</v>
      </c>
      <c r="F3003" s="7" t="s">
        <v>14</v>
      </c>
      <c r="G3003" s="8" t="s">
        <v>5737</v>
      </c>
      <c r="H3003" s="8" t="s">
        <v>16</v>
      </c>
      <c r="I3003" s="9">
        <v>3860</v>
      </c>
      <c r="J3003" s="10">
        <v>8</v>
      </c>
      <c r="K3003" s="10">
        <v>80118</v>
      </c>
      <c r="L3003" s="3" t="str">
        <f t="shared" si="95"/>
        <v>ΚΤΗΝΟΤΡΟΦΙΚΑ_ΦΥΤΑ_ΓΙΑ_ΖΩΟΤΡΟΦΕΣ</v>
      </c>
    </row>
    <row r="3004" spans="1:12" s="3" customFormat="1" ht="24" x14ac:dyDescent="0.25">
      <c r="A3004" s="3" t="str">
        <f t="shared" si="94"/>
        <v>ΚΤΗΝΟΤΡΟΦΙΚΑ ΦΥΤΑ ΓΙΑ ΖΩΟΤΡΟΦΕΣΜΗΔΙΚΗ Η ΗΜΕΡΟΣ ARISTI</v>
      </c>
      <c r="B3004" s="4" t="s">
        <v>5215</v>
      </c>
      <c r="C3004" s="5" t="s">
        <v>5738</v>
      </c>
      <c r="D3004" s="6">
        <v>1402.9</v>
      </c>
      <c r="E3004" s="6">
        <v>1418.93</v>
      </c>
      <c r="F3004" s="7" t="s">
        <v>14</v>
      </c>
      <c r="G3004" s="8" t="s">
        <v>5739</v>
      </c>
      <c r="H3004" s="8" t="s">
        <v>16</v>
      </c>
      <c r="I3004" s="9">
        <v>3869</v>
      </c>
      <c r="J3004" s="10">
        <v>8</v>
      </c>
      <c r="K3004" s="10">
        <v>80119</v>
      </c>
      <c r="L3004" s="3" t="str">
        <f t="shared" si="95"/>
        <v>ΚΤΗΝΟΤΡΟΦΙΚΑ_ΦΥΤΑ_ΓΙΑ_ΖΩΟΤΡΟΦΕΣ</v>
      </c>
    </row>
    <row r="3005" spans="1:12" s="3" customFormat="1" ht="24" x14ac:dyDescent="0.25">
      <c r="A3005" s="3" t="str">
        <f t="shared" si="94"/>
        <v>ΚΤΗΝΟΤΡΟΦΙΚΑ ΦΥΤΑ ΓΙΑ ΖΩΟΤΡΟΦΕΣΜΗΔΙΚΗ Η ΗΜΕΡΟΣ BABYLON</v>
      </c>
      <c r="B3005" s="4" t="s">
        <v>5215</v>
      </c>
      <c r="C3005" s="5" t="s">
        <v>5740</v>
      </c>
      <c r="D3005" s="6">
        <v>1402.9</v>
      </c>
      <c r="E3005" s="6">
        <v>1418.93</v>
      </c>
      <c r="F3005" s="7" t="s">
        <v>14</v>
      </c>
      <c r="G3005" s="8" t="s">
        <v>5741</v>
      </c>
      <c r="H3005" s="8" t="s">
        <v>16</v>
      </c>
      <c r="I3005" s="9">
        <v>3879</v>
      </c>
      <c r="J3005" s="10">
        <v>8</v>
      </c>
      <c r="K3005" s="10">
        <v>80120</v>
      </c>
      <c r="L3005" s="3" t="str">
        <f t="shared" si="95"/>
        <v>ΚΤΗΝΟΤΡΟΦΙΚΑ_ΦΥΤΑ_ΓΙΑ_ΖΩΟΤΡΟΦΕΣ</v>
      </c>
    </row>
    <row r="3006" spans="1:12" s="3" customFormat="1" ht="24" x14ac:dyDescent="0.25">
      <c r="A3006" s="3" t="str">
        <f t="shared" si="94"/>
        <v>ΚΤΗΝΟΤΡΟΦΙΚΑ ΦΥΤΑ ΓΙΑ ΖΩΟΤΡΟΦΕΣΜΗΔΙΚΗ Η ΗΜΕΡΟΣ BONITA</v>
      </c>
      <c r="B3006" s="4" t="s">
        <v>5215</v>
      </c>
      <c r="C3006" s="5" t="s">
        <v>5742</v>
      </c>
      <c r="D3006" s="6">
        <v>1402.9</v>
      </c>
      <c r="E3006" s="6">
        <v>1418.93</v>
      </c>
      <c r="F3006" s="7" t="s">
        <v>14</v>
      </c>
      <c r="G3006" s="8" t="s">
        <v>5743</v>
      </c>
      <c r="H3006" s="8" t="s">
        <v>16</v>
      </c>
      <c r="I3006" s="9">
        <v>3867</v>
      </c>
      <c r="J3006" s="10">
        <v>8</v>
      </c>
      <c r="K3006" s="10">
        <v>80121</v>
      </c>
      <c r="L3006" s="3" t="str">
        <f t="shared" si="95"/>
        <v>ΚΤΗΝΟΤΡΟΦΙΚΑ_ΦΥΤΑ_ΓΙΑ_ΖΩΟΤΡΟΦΕΣ</v>
      </c>
    </row>
    <row r="3007" spans="1:12" s="3" customFormat="1" ht="24" x14ac:dyDescent="0.25">
      <c r="A3007" s="3" t="str">
        <f t="shared" si="94"/>
        <v>ΚΤΗΝΟΤΡΟΦΙΚΑ ΦΥΤΑ ΓΙΑ ΖΩΟΤΡΟΦΕΣΜΗΔΙΚΗ Η ΗΜΕΡΟΣ CHRISTIN</v>
      </c>
      <c r="B3007" s="4" t="s">
        <v>5215</v>
      </c>
      <c r="C3007" s="5" t="s">
        <v>5744</v>
      </c>
      <c r="D3007" s="6">
        <v>1402.9</v>
      </c>
      <c r="E3007" s="6">
        <v>1418.93</v>
      </c>
      <c r="F3007" s="7" t="s">
        <v>14</v>
      </c>
      <c r="G3007" s="8" t="s">
        <v>5745</v>
      </c>
      <c r="H3007" s="8" t="s">
        <v>16</v>
      </c>
      <c r="I3007" s="9">
        <v>3866</v>
      </c>
      <c r="J3007" s="10">
        <v>8</v>
      </c>
      <c r="K3007" s="10">
        <v>80122</v>
      </c>
      <c r="L3007" s="3" t="str">
        <f t="shared" si="95"/>
        <v>ΚΤΗΝΟΤΡΟΦΙΚΑ_ΦΥΤΑ_ΓΙΑ_ΖΩΟΤΡΟΦΕΣ</v>
      </c>
    </row>
    <row r="3008" spans="1:12" s="3" customFormat="1" ht="24" x14ac:dyDescent="0.25">
      <c r="A3008" s="3" t="str">
        <f t="shared" si="94"/>
        <v>ΚΤΗΝΟΤΡΟΦΙΚΑ ΦΥΤΑ ΓΙΑ ΖΩΟΤΡΟΦΕΣΜΗΔΙΚΗ Η ΗΜΕΡΟΣ KALLIOPI</v>
      </c>
      <c r="B3008" s="4" t="s">
        <v>5215</v>
      </c>
      <c r="C3008" s="5" t="s">
        <v>5746</v>
      </c>
      <c r="D3008" s="6">
        <v>1402.9</v>
      </c>
      <c r="E3008" s="6">
        <v>1418.93</v>
      </c>
      <c r="F3008" s="7" t="s">
        <v>14</v>
      </c>
      <c r="G3008" s="8" t="s">
        <v>5747</v>
      </c>
      <c r="H3008" s="8" t="s">
        <v>16</v>
      </c>
      <c r="I3008" s="9">
        <v>3865</v>
      </c>
      <c r="J3008" s="10">
        <v>8</v>
      </c>
      <c r="K3008" s="10">
        <v>80123</v>
      </c>
      <c r="L3008" s="3" t="str">
        <f t="shared" si="95"/>
        <v>ΚΤΗΝΟΤΡΟΦΙΚΑ_ΦΥΤΑ_ΓΙΑ_ΖΩΟΤΡΟΦΕΣ</v>
      </c>
    </row>
    <row r="3009" spans="1:12" s="3" customFormat="1" ht="24" x14ac:dyDescent="0.25">
      <c r="A3009" s="3" t="str">
        <f t="shared" si="94"/>
        <v>ΚΤΗΝΟΤΡΟΦΙΚΑ ΦΥΤΑ ΓΙΑ ΖΩΟΤΡΟΦΕΣΜΗΔΙΚΗ Η ΗΜΕΡΟΣ LIDER</v>
      </c>
      <c r="B3009" s="4" t="s">
        <v>5215</v>
      </c>
      <c r="C3009" s="5" t="s">
        <v>5748</v>
      </c>
      <c r="D3009" s="6">
        <v>1402.9</v>
      </c>
      <c r="E3009" s="6">
        <v>1418.93</v>
      </c>
      <c r="F3009" s="7" t="s">
        <v>14</v>
      </c>
      <c r="G3009" s="8" t="s">
        <v>5749</v>
      </c>
      <c r="H3009" s="8" t="s">
        <v>16</v>
      </c>
      <c r="I3009" s="9">
        <v>3864</v>
      </c>
      <c r="J3009" s="10">
        <v>8</v>
      </c>
      <c r="K3009" s="10">
        <v>80124</v>
      </c>
      <c r="L3009" s="3" t="str">
        <f t="shared" si="95"/>
        <v>ΚΤΗΝΟΤΡΟΦΙΚΑ_ΦΥΤΑ_ΓΙΑ_ΖΩΟΤΡΟΦΕΣ</v>
      </c>
    </row>
    <row r="3010" spans="1:12" s="3" customFormat="1" ht="24" x14ac:dyDescent="0.25">
      <c r="A3010" s="3" t="str">
        <f t="shared" si="94"/>
        <v>ΚΤΗΝΟΤΡΟΦΙΚΑ ΦΥΤΑ ΓΙΑ ΖΩΟΤΡΟΦΕΣΜΗΔΙΚΗ Η ΗΜΕΡΟΣ NG610</v>
      </c>
      <c r="B3010" s="4" t="s">
        <v>5215</v>
      </c>
      <c r="C3010" s="5" t="s">
        <v>5750</v>
      </c>
      <c r="D3010" s="6">
        <v>1402.9</v>
      </c>
      <c r="E3010" s="6">
        <v>1418.93</v>
      </c>
      <c r="F3010" s="7" t="s">
        <v>14</v>
      </c>
      <c r="G3010" s="8" t="s">
        <v>5751</v>
      </c>
      <c r="H3010" s="8" t="s">
        <v>16</v>
      </c>
      <c r="I3010" s="9">
        <v>3863</v>
      </c>
      <c r="J3010" s="10">
        <v>8</v>
      </c>
      <c r="K3010" s="10">
        <v>80125</v>
      </c>
      <c r="L3010" s="3" t="str">
        <f t="shared" si="95"/>
        <v>ΚΤΗΝΟΤΡΟΦΙΚΑ_ΦΥΤΑ_ΓΙΑ_ΖΩΟΤΡΟΦΕΣ</v>
      </c>
    </row>
    <row r="3011" spans="1:12" s="3" customFormat="1" ht="24" x14ac:dyDescent="0.25">
      <c r="A3011" s="3" t="str">
        <f t="shared" ref="A3011:A3074" si="96">_xlfn.CONCAT(B3011,C3011)</f>
        <v>ΚΤΗΝΟΤΡΟΦΙΚΑ ΦΥΤΑ ΓΙΑ ΖΩΟΤΡΟΦΕΣΜΗΔΙΚΗ Η ΗΜΕΡΟΣ NG900</v>
      </c>
      <c r="B3011" s="4" t="s">
        <v>5215</v>
      </c>
      <c r="C3011" s="5" t="s">
        <v>5752</v>
      </c>
      <c r="D3011" s="6">
        <v>1402.9</v>
      </c>
      <c r="E3011" s="6">
        <v>1418.93</v>
      </c>
      <c r="F3011" s="7" t="s">
        <v>14</v>
      </c>
      <c r="G3011" s="8" t="s">
        <v>5753</v>
      </c>
      <c r="H3011" s="8" t="s">
        <v>16</v>
      </c>
      <c r="I3011" s="9">
        <v>3862</v>
      </c>
      <c r="J3011" s="10">
        <v>8</v>
      </c>
      <c r="K3011" s="10">
        <v>80126</v>
      </c>
      <c r="L3011" s="3" t="str">
        <f t="shared" ref="L3011:L3074" si="97">IFERROR(SUBSTITUTE(SUBSTITUTE(SUBSTITUTE(SUBSTITUTE(SUBSTITUTE(B3011, "-", "_"), " ", "_"), ",", ""), "(", ""), ")", ""), B3011)</f>
        <v>ΚΤΗΝΟΤΡΟΦΙΚΑ_ΦΥΤΑ_ΓΙΑ_ΖΩΟΤΡΟΦΕΣ</v>
      </c>
    </row>
    <row r="3012" spans="1:12" s="3" customFormat="1" ht="24" x14ac:dyDescent="0.25">
      <c r="A3012" s="3" t="str">
        <f t="shared" si="96"/>
        <v>ΚΤΗΝΟΤΡΟΦΙΚΑ ΦΥΤΑ ΓΙΑ ΖΩΟΤΡΟΦΕΣΜΗΔΙΚΗ Η ΗΜΕΡΟΣ NG999</v>
      </c>
      <c r="B3012" s="4" t="s">
        <v>5215</v>
      </c>
      <c r="C3012" s="5" t="s">
        <v>5754</v>
      </c>
      <c r="D3012" s="6">
        <v>1402.9</v>
      </c>
      <c r="E3012" s="6">
        <v>1418.93</v>
      </c>
      <c r="F3012" s="7" t="s">
        <v>14</v>
      </c>
      <c r="G3012" s="8" t="s">
        <v>5755</v>
      </c>
      <c r="H3012" s="8" t="s">
        <v>16</v>
      </c>
      <c r="I3012" s="9">
        <v>3888</v>
      </c>
      <c r="J3012" s="10">
        <v>8</v>
      </c>
      <c r="K3012" s="10">
        <v>80127</v>
      </c>
      <c r="L3012" s="3" t="str">
        <f t="shared" si="97"/>
        <v>ΚΤΗΝΟΤΡΟΦΙΚΑ_ΦΥΤΑ_ΓΙΑ_ΖΩΟΤΡΟΦΕΣ</v>
      </c>
    </row>
    <row r="3013" spans="1:12" s="3" customFormat="1" ht="24" x14ac:dyDescent="0.25">
      <c r="A3013" s="3" t="str">
        <f t="shared" si="96"/>
        <v>ΚΤΗΝΟΤΡΟΦΙΚΑ ΦΥΤΑ ΓΙΑ ΖΩΟΤΡΟΦΕΣΜΗΔΙΚΗ Η ΗΜΕΡΟΣ PRINCE</v>
      </c>
      <c r="B3013" s="4" t="s">
        <v>5215</v>
      </c>
      <c r="C3013" s="5" t="s">
        <v>5756</v>
      </c>
      <c r="D3013" s="6">
        <v>1402.9</v>
      </c>
      <c r="E3013" s="6">
        <v>1418.93</v>
      </c>
      <c r="F3013" s="7" t="s">
        <v>14</v>
      </c>
      <c r="G3013" s="8" t="s">
        <v>5757</v>
      </c>
      <c r="H3013" s="8" t="s">
        <v>16</v>
      </c>
      <c r="I3013" s="9">
        <v>3868</v>
      </c>
      <c r="J3013" s="10">
        <v>8</v>
      </c>
      <c r="K3013" s="10">
        <v>80128</v>
      </c>
      <c r="L3013" s="3" t="str">
        <f t="shared" si="97"/>
        <v>ΚΤΗΝΟΤΡΟΦΙΚΑ_ΦΥΤΑ_ΓΙΑ_ΖΩΟΤΡΟΦΕΣ</v>
      </c>
    </row>
    <row r="3014" spans="1:12" s="3" customFormat="1" ht="24" x14ac:dyDescent="0.25">
      <c r="A3014" s="3" t="str">
        <f t="shared" si="96"/>
        <v>ΚΤΗΝΟΤΡΟΦΙΚΑ ΦΥΤΑ ΓΙΑ ΖΩΟΤΡΟΦΕΣΜΗΔΙΚΗ Η ΗΜΕΡΟΣ ROMANZA</v>
      </c>
      <c r="B3014" s="4" t="s">
        <v>5215</v>
      </c>
      <c r="C3014" s="5" t="s">
        <v>5758</v>
      </c>
      <c r="D3014" s="6">
        <v>1402.9</v>
      </c>
      <c r="E3014" s="6">
        <v>1418.93</v>
      </c>
      <c r="F3014" s="7" t="s">
        <v>14</v>
      </c>
      <c r="G3014" s="8" t="s">
        <v>5759</v>
      </c>
      <c r="H3014" s="8" t="s">
        <v>16</v>
      </c>
      <c r="I3014" s="9">
        <v>3870</v>
      </c>
      <c r="J3014" s="10">
        <v>8</v>
      </c>
      <c r="K3014" s="10">
        <v>80129</v>
      </c>
      <c r="L3014" s="3" t="str">
        <f t="shared" si="97"/>
        <v>ΚΤΗΝΟΤΡΟΦΙΚΑ_ΦΥΤΑ_ΓΙΑ_ΖΩΟΤΡΟΦΕΣ</v>
      </c>
    </row>
    <row r="3015" spans="1:12" s="3" customFormat="1" ht="24" x14ac:dyDescent="0.25">
      <c r="A3015" s="3" t="str">
        <f t="shared" si="96"/>
        <v>ΚΤΗΝΟΤΡΟΦΙΚΑ ΦΥΤΑ ΓΙΑ ΖΩΟΤΡΟΦΕΣΜΗΔΙΚΗ Η ΗΜΕΡΟΣ VASILIKI</v>
      </c>
      <c r="B3015" s="4" t="s">
        <v>5215</v>
      </c>
      <c r="C3015" s="5" t="s">
        <v>5760</v>
      </c>
      <c r="D3015" s="6">
        <v>1402.9</v>
      </c>
      <c r="E3015" s="6">
        <v>1418.93</v>
      </c>
      <c r="F3015" s="7" t="s">
        <v>14</v>
      </c>
      <c r="G3015" s="8" t="s">
        <v>5761</v>
      </c>
      <c r="H3015" s="8" t="s">
        <v>16</v>
      </c>
      <c r="I3015" s="9">
        <v>3898</v>
      </c>
      <c r="J3015" s="10">
        <v>8</v>
      </c>
      <c r="K3015" s="10">
        <v>80130</v>
      </c>
      <c r="L3015" s="3" t="str">
        <f t="shared" si="97"/>
        <v>ΚΤΗΝΟΤΡΟΦΙΚΑ_ΦΥΤΑ_ΓΙΑ_ΖΩΟΤΡΟΦΕΣ</v>
      </c>
    </row>
    <row r="3016" spans="1:12" s="3" customFormat="1" ht="31.5" x14ac:dyDescent="0.25">
      <c r="A3016" s="3" t="str">
        <f t="shared" si="96"/>
        <v>ΚΤΗΝΟΤΡΟΦΙΚΑ ΦΥΤΑ ΓΙΑ ΖΩΟΤΡΟΦΕΣΜΠΙΖΕΛΙ / ΠΙΣΟ ΚΤΗΝΟΤΡΟΦΙΚΟ ΔΙΑΤΗΡΗΣΗΣ KURAKATSI</v>
      </c>
      <c r="B3016" s="4" t="s">
        <v>5215</v>
      </c>
      <c r="C3016" s="5" t="s">
        <v>5762</v>
      </c>
      <c r="D3016" s="6">
        <v>1402.9</v>
      </c>
      <c r="E3016" s="6">
        <v>1418.93</v>
      </c>
      <c r="F3016" s="7" t="s">
        <v>14</v>
      </c>
      <c r="G3016" s="8" t="s">
        <v>5763</v>
      </c>
      <c r="H3016" s="8" t="s">
        <v>16</v>
      </c>
      <c r="I3016" s="9">
        <v>3897</v>
      </c>
      <c r="J3016" s="10">
        <v>8</v>
      </c>
      <c r="K3016" s="10">
        <v>80131</v>
      </c>
      <c r="L3016" s="3" t="str">
        <f t="shared" si="97"/>
        <v>ΚΤΗΝΟΤΡΟΦΙΚΑ_ΦΥΤΑ_ΓΙΑ_ΖΩΟΤΡΟΦΕΣ</v>
      </c>
    </row>
    <row r="3017" spans="1:12" s="3" customFormat="1" ht="24" x14ac:dyDescent="0.25">
      <c r="A3017" s="3" t="str">
        <f t="shared" si="96"/>
        <v>ΚΤΗΝΟΤΡΟΦΙΚΑ ΦΥΤΑ ΓΙΑ ΖΩΟΤΡΟΦΕΣΜΗΔΙΚΗ Η ΗΜΕΡΟΣ MINERVA</v>
      </c>
      <c r="B3017" s="4" t="s">
        <v>5215</v>
      </c>
      <c r="C3017" s="5" t="s">
        <v>5764</v>
      </c>
      <c r="D3017" s="6">
        <v>1402.9</v>
      </c>
      <c r="E3017" s="6">
        <v>1418.93</v>
      </c>
      <c r="F3017" s="7" t="s">
        <v>14</v>
      </c>
      <c r="G3017" s="8" t="s">
        <v>5765</v>
      </c>
      <c r="H3017" s="8" t="s">
        <v>16</v>
      </c>
      <c r="I3017" s="9">
        <v>3896</v>
      </c>
      <c r="J3017" s="10">
        <v>8</v>
      </c>
      <c r="K3017" s="10">
        <v>80132</v>
      </c>
      <c r="L3017" s="3" t="str">
        <f t="shared" si="97"/>
        <v>ΚΤΗΝΟΤΡΟΦΙΚΑ_ΦΥΤΑ_ΓΙΑ_ΖΩΟΤΡΟΦΕΣ</v>
      </c>
    </row>
    <row r="3018" spans="1:12" s="3" customFormat="1" ht="24" x14ac:dyDescent="0.25">
      <c r="A3018" s="3" t="str">
        <f t="shared" si="96"/>
        <v>ΚΤΗΝΟΤΡΟΦΙΚΑ ΦΥΤΑ ΓΙΑ ΖΩΟΤΡΟΦΕΣΒΙΚΟΣ PERSEAS</v>
      </c>
      <c r="B3018" s="4" t="s">
        <v>5215</v>
      </c>
      <c r="C3018" s="5" t="s">
        <v>5766</v>
      </c>
      <c r="D3018" s="6">
        <v>1402.9</v>
      </c>
      <c r="E3018" s="6">
        <v>1418.93</v>
      </c>
      <c r="F3018" s="7" t="s">
        <v>14</v>
      </c>
      <c r="G3018" s="8" t="s">
        <v>5767</v>
      </c>
      <c r="H3018" s="8" t="s">
        <v>16</v>
      </c>
      <c r="I3018" s="9">
        <v>3895</v>
      </c>
      <c r="J3018" s="10">
        <v>8</v>
      </c>
      <c r="K3018" s="10">
        <v>80133</v>
      </c>
      <c r="L3018" s="3" t="str">
        <f t="shared" si="97"/>
        <v>ΚΤΗΝΟΤΡΟΦΙΚΑ_ΦΥΤΑ_ΓΙΑ_ΖΩΟΤΡΟΦΕΣ</v>
      </c>
    </row>
    <row r="3019" spans="1:12" s="3" customFormat="1" ht="15" customHeight="1" x14ac:dyDescent="0.25">
      <c r="A3019" s="3" t="str">
        <f t="shared" si="96"/>
        <v>ΚΤΗΝΟΤΡΟΦΙΚΑ ΦΥΤΑ ΓΙΑ ΖΩΟΤΡΟΦΕΣΜΠΙΖΕΛΙ/ΠΙΣΟ ΚΤΗΝΟΤΡΟΦΙΚΟ ANDREA</v>
      </c>
      <c r="B3019" s="4" t="s">
        <v>5215</v>
      </c>
      <c r="C3019" s="5" t="s">
        <v>5768</v>
      </c>
      <c r="D3019" s="6">
        <v>1402.9</v>
      </c>
      <c r="E3019" s="6">
        <v>1418.93</v>
      </c>
      <c r="F3019" s="7" t="s">
        <v>14</v>
      </c>
      <c r="G3019" s="8" t="s">
        <v>5769</v>
      </c>
      <c r="H3019" s="8" t="s">
        <v>16</v>
      </c>
      <c r="I3019" s="9">
        <v>3894</v>
      </c>
      <c r="J3019" s="10">
        <v>8</v>
      </c>
      <c r="K3019" s="10">
        <v>80134</v>
      </c>
      <c r="L3019" s="3" t="str">
        <f t="shared" si="97"/>
        <v>ΚΤΗΝΟΤΡΟΦΙΚΑ_ΦΥΤΑ_ΓΙΑ_ΖΩΟΤΡΟΦΕΣ</v>
      </c>
    </row>
    <row r="3020" spans="1:12" s="3" customFormat="1" ht="15" customHeight="1" x14ac:dyDescent="0.25">
      <c r="A3020" s="3" t="str">
        <f t="shared" si="96"/>
        <v>ΚΤΗΝΟΤΡΟΦΙΚΑ ΦΥΤΑ ΓΙΑ ΖΩΟΤΡΟΦΕΣΜΠΙΖΕΛΙ/ΠΙΣΟ ΚΤΗΝΟΤΡΟΦΙΚΟ ASTRONAUTE</v>
      </c>
      <c r="B3020" s="4" t="s">
        <v>5215</v>
      </c>
      <c r="C3020" s="5" t="s">
        <v>5770</v>
      </c>
      <c r="D3020" s="6">
        <v>1402.9</v>
      </c>
      <c r="E3020" s="6">
        <v>1418.93</v>
      </c>
      <c r="F3020" s="7" t="s">
        <v>14</v>
      </c>
      <c r="G3020" s="8" t="s">
        <v>5771</v>
      </c>
      <c r="H3020" s="8" t="s">
        <v>16</v>
      </c>
      <c r="I3020" s="9">
        <v>3893</v>
      </c>
      <c r="J3020" s="10">
        <v>8</v>
      </c>
      <c r="K3020" s="10">
        <v>80135</v>
      </c>
      <c r="L3020" s="3" t="str">
        <f t="shared" si="97"/>
        <v>ΚΤΗΝΟΤΡΟΦΙΚΑ_ΦΥΤΑ_ΓΙΑ_ΖΩΟΤΡΟΦΕΣ</v>
      </c>
    </row>
    <row r="3021" spans="1:12" s="3" customFormat="1" ht="15" customHeight="1" x14ac:dyDescent="0.25">
      <c r="A3021" s="3" t="str">
        <f t="shared" si="96"/>
        <v>ΚΤΗΝΟΤΡΟΦΙΚΑ ΦΥΤΑ ΓΙΑ ΖΩΟΤΡΟΦΕΣΚΡΙΘΑΡΙ GRACE</v>
      </c>
      <c r="B3021" s="4" t="s">
        <v>5215</v>
      </c>
      <c r="C3021" s="5" t="s">
        <v>5772</v>
      </c>
      <c r="D3021" s="6">
        <v>466.58</v>
      </c>
      <c r="E3021" s="6">
        <v>366.77</v>
      </c>
      <c r="F3021" s="7" t="s">
        <v>14</v>
      </c>
      <c r="G3021" s="8" t="s">
        <v>5773</v>
      </c>
      <c r="H3021" s="8" t="s">
        <v>16</v>
      </c>
      <c r="I3021" s="9">
        <v>3892</v>
      </c>
      <c r="J3021" s="10">
        <v>8</v>
      </c>
      <c r="K3021" s="10">
        <v>80136</v>
      </c>
      <c r="L3021" s="3" t="str">
        <f t="shared" si="97"/>
        <v>ΚΤΗΝΟΤΡΟΦΙΚΑ_ΦΥΤΑ_ΓΙΑ_ΖΩΟΤΡΟΦΕΣ</v>
      </c>
    </row>
    <row r="3022" spans="1:12" s="3" customFormat="1" ht="15" customHeight="1" x14ac:dyDescent="0.25">
      <c r="A3022" s="3" t="str">
        <f t="shared" si="96"/>
        <v>ΚΤΗΝΟΤΡΟΦΙΚΑ ΦΥΤΑ ΓΙΑ ΖΩΟΤΡΟΦΕΣΜΗΔΙΚΗ Η ΗΜΕΡΟΣ BLUE MOON</v>
      </c>
      <c r="B3022" s="4" t="s">
        <v>5215</v>
      </c>
      <c r="C3022" s="5" t="s">
        <v>5774</v>
      </c>
      <c r="D3022" s="6">
        <v>1402.9</v>
      </c>
      <c r="E3022" s="6">
        <v>1418.93</v>
      </c>
      <c r="F3022" s="7" t="s">
        <v>14</v>
      </c>
      <c r="G3022" s="8" t="s">
        <v>5775</v>
      </c>
      <c r="H3022" s="8" t="s">
        <v>16</v>
      </c>
      <c r="I3022" s="9">
        <v>3891</v>
      </c>
      <c r="J3022" s="10">
        <v>8</v>
      </c>
      <c r="K3022" s="10">
        <v>80137</v>
      </c>
      <c r="L3022" s="3" t="str">
        <f t="shared" si="97"/>
        <v>ΚΤΗΝΟΤΡΟΦΙΚΑ_ΦΥΤΑ_ΓΙΑ_ΖΩΟΤΡΟΦΕΣ</v>
      </c>
    </row>
    <row r="3023" spans="1:12" s="3" customFormat="1" ht="15" customHeight="1" x14ac:dyDescent="0.25">
      <c r="A3023" s="3" t="str">
        <f t="shared" si="96"/>
        <v>ΚΤΗΝΟΤΡΟΦΙΚΑ ΦΥΤΑ ΓΙΑ ΖΩΟΤΡΟΦΕΣΜΠΙΖΕΛΙ / ΠΙΣΟ ΚΤΗΝΟΤΡΟΦΙΚΟ THISEAS</v>
      </c>
      <c r="B3023" s="4" t="s">
        <v>5215</v>
      </c>
      <c r="C3023" s="5" t="s">
        <v>5776</v>
      </c>
      <c r="D3023" s="6">
        <v>1402.9</v>
      </c>
      <c r="E3023" s="6">
        <v>1418.93</v>
      </c>
      <c r="F3023" s="7" t="s">
        <v>14</v>
      </c>
      <c r="G3023" s="8" t="s">
        <v>5777</v>
      </c>
      <c r="H3023" s="8" t="s">
        <v>16</v>
      </c>
      <c r="I3023" s="9">
        <v>3880</v>
      </c>
      <c r="J3023" s="10">
        <v>8</v>
      </c>
      <c r="K3023" s="10">
        <v>80138</v>
      </c>
      <c r="L3023" s="3" t="str">
        <f t="shared" si="97"/>
        <v>ΚΤΗΝΟΤΡΟΦΙΚΑ_ΦΥΤΑ_ΓΙΑ_ΖΩΟΤΡΟΦΕΣ</v>
      </c>
    </row>
    <row r="3024" spans="1:12" s="3" customFormat="1" ht="15" customHeight="1" x14ac:dyDescent="0.25">
      <c r="A3024" s="3" t="str">
        <f t="shared" si="96"/>
        <v>ΚΤΗΝΟΤΡΟΦΙΚΑ ΦΥΤΑ ΓΙΑ ΖΩΟΤΡΟΦΕΣΜΗΔΙΚΗ RIVIERA VICENTINA</v>
      </c>
      <c r="B3024" s="4" t="s">
        <v>5215</v>
      </c>
      <c r="C3024" s="5" t="s">
        <v>5778</v>
      </c>
      <c r="D3024" s="6">
        <v>1402.9</v>
      </c>
      <c r="E3024" s="6">
        <v>1418.93</v>
      </c>
      <c r="F3024" s="7" t="s">
        <v>14</v>
      </c>
      <c r="G3024" s="8" t="s">
        <v>5779</v>
      </c>
      <c r="H3024" s="8" t="s">
        <v>16</v>
      </c>
      <c r="I3024" s="9">
        <v>3889</v>
      </c>
      <c r="J3024" s="10">
        <v>8</v>
      </c>
      <c r="K3024" s="10">
        <v>80139</v>
      </c>
      <c r="L3024" s="3" t="str">
        <f t="shared" si="97"/>
        <v>ΚΤΗΝΟΤΡΟΦΙΚΑ_ΦΥΤΑ_ΓΙΑ_ΖΩΟΤΡΟΦΕΣ</v>
      </c>
    </row>
    <row r="3025" spans="1:12" s="3" customFormat="1" ht="15" customHeight="1" x14ac:dyDescent="0.25">
      <c r="A3025" s="3" t="str">
        <f t="shared" si="96"/>
        <v>ΚΤΗΝΟΤΡΟΦΙΚΑ ΦΥΤΑ ΓΙΑ ΖΩΟΤΡΟΦΕΣΒΙΚΟΣ JOSE</v>
      </c>
      <c r="B3025" s="4" t="s">
        <v>5215</v>
      </c>
      <c r="C3025" s="5" t="s">
        <v>5780</v>
      </c>
      <c r="D3025" s="6">
        <v>1402.9</v>
      </c>
      <c r="E3025" s="6">
        <v>1418.93</v>
      </c>
      <c r="F3025" s="7" t="s">
        <v>14</v>
      </c>
      <c r="G3025" s="8" t="s">
        <v>5781</v>
      </c>
      <c r="H3025" s="8" t="s">
        <v>16</v>
      </c>
      <c r="I3025" s="9">
        <v>3899</v>
      </c>
      <c r="J3025" s="10">
        <v>8</v>
      </c>
      <c r="K3025" s="10">
        <v>80140</v>
      </c>
      <c r="L3025" s="3" t="str">
        <f t="shared" si="97"/>
        <v>ΚΤΗΝΟΤΡΟΦΙΚΑ_ΦΥΤΑ_ΓΙΑ_ΖΩΟΤΡΟΦΕΣ</v>
      </c>
    </row>
    <row r="3026" spans="1:12" s="3" customFormat="1" ht="15" customHeight="1" x14ac:dyDescent="0.25">
      <c r="A3026" s="3" t="str">
        <f t="shared" si="96"/>
        <v>ΚΤΗΝΟΤΡΟΦΙΚΑ ΦΥΤΑ ΓΙΑ ΖΩΟΤΡΟΦΕΣΚΤΗΝΟΤΡΟΦΙΚΟ ΜΠΙΖΕΛΙ NAVARRO</v>
      </c>
      <c r="B3026" s="4" t="s">
        <v>5215</v>
      </c>
      <c r="C3026" s="5" t="s">
        <v>5782</v>
      </c>
      <c r="D3026" s="6">
        <v>1402.9</v>
      </c>
      <c r="E3026" s="6">
        <v>1418.93</v>
      </c>
      <c r="F3026" s="7" t="s">
        <v>14</v>
      </c>
      <c r="G3026" s="8" t="s">
        <v>5783</v>
      </c>
      <c r="H3026" s="8" t="s">
        <v>16</v>
      </c>
      <c r="I3026" s="9">
        <v>3887</v>
      </c>
      <c r="J3026" s="10">
        <v>8</v>
      </c>
      <c r="K3026" s="10">
        <v>80141</v>
      </c>
      <c r="L3026" s="3" t="str">
        <f t="shared" si="97"/>
        <v>ΚΤΗΝΟΤΡΟΦΙΚΑ_ΦΥΤΑ_ΓΙΑ_ΖΩΟΤΡΟΦΕΣ</v>
      </c>
    </row>
    <row r="3027" spans="1:12" s="3" customFormat="1" ht="15" customHeight="1" x14ac:dyDescent="0.25">
      <c r="A3027" s="3" t="str">
        <f t="shared" si="96"/>
        <v>ΚΤΗΝΟΤΡΟΦΙΚΑ ΦΥΤΑ ΓΙΑ ΖΩΟΤΡΟΦΕΣΚΤΗΝΟΤΡΟΦΙΚΟ ΜΠΙΖΕΛΙ GUIFREDO</v>
      </c>
      <c r="B3027" s="4" t="s">
        <v>5215</v>
      </c>
      <c r="C3027" s="5" t="s">
        <v>5784</v>
      </c>
      <c r="D3027" s="6">
        <v>1402.9</v>
      </c>
      <c r="E3027" s="6">
        <v>1418.93</v>
      </c>
      <c r="F3027" s="7" t="s">
        <v>14</v>
      </c>
      <c r="G3027" s="8" t="s">
        <v>5785</v>
      </c>
      <c r="H3027" s="8" t="s">
        <v>16</v>
      </c>
      <c r="I3027" s="9">
        <v>3886</v>
      </c>
      <c r="J3027" s="10">
        <v>8</v>
      </c>
      <c r="K3027" s="10">
        <v>80142</v>
      </c>
      <c r="L3027" s="3" t="str">
        <f t="shared" si="97"/>
        <v>ΚΤΗΝΟΤΡΟΦΙΚΑ_ΦΥΤΑ_ΓΙΑ_ΖΩΟΤΡΟΦΕΣ</v>
      </c>
    </row>
    <row r="3028" spans="1:12" s="3" customFormat="1" ht="15" customHeight="1" x14ac:dyDescent="0.25">
      <c r="A3028" s="3" t="str">
        <f t="shared" si="96"/>
        <v>ΚΤΗΝΟΤΡΟΦΙΚΑ ΦΥΤΑ ΓΙΑ ΖΩΟΤΡΟΦΕΣΚΡΙΘΑΡΙ RGT PLANET</v>
      </c>
      <c r="B3028" s="4" t="s">
        <v>5215</v>
      </c>
      <c r="C3028" s="5" t="s">
        <v>5786</v>
      </c>
      <c r="D3028" s="6">
        <v>466.58</v>
      </c>
      <c r="E3028" s="6">
        <v>366.77</v>
      </c>
      <c r="F3028" s="7" t="s">
        <v>14</v>
      </c>
      <c r="G3028" s="8" t="s">
        <v>5787</v>
      </c>
      <c r="H3028" s="8" t="s">
        <v>16</v>
      </c>
      <c r="I3028" s="9">
        <v>3885</v>
      </c>
      <c r="J3028" s="10">
        <v>8</v>
      </c>
      <c r="K3028" s="10">
        <v>80143</v>
      </c>
      <c r="L3028" s="3" t="str">
        <f t="shared" si="97"/>
        <v>ΚΤΗΝΟΤΡΟΦΙΚΑ_ΦΥΤΑ_ΓΙΑ_ΖΩΟΤΡΟΦΕΣ</v>
      </c>
    </row>
    <row r="3029" spans="1:12" s="3" customFormat="1" ht="15" customHeight="1" x14ac:dyDescent="0.25">
      <c r="A3029" s="3" t="str">
        <f t="shared" si="96"/>
        <v>ΚΤΗΝΟΤΡΟΦΙΚΑ ΦΥΤΑ ΓΙΑ ΖΩΟΤΡΟΦΕΣΜΗΔΙΚΗ Η ΗΜΕΡΟΣ LA BELLA CAMPAGNOLA</v>
      </c>
      <c r="B3029" s="4" t="s">
        <v>5215</v>
      </c>
      <c r="C3029" s="5" t="s">
        <v>5788</v>
      </c>
      <c r="D3029" s="6">
        <v>1402.9</v>
      </c>
      <c r="E3029" s="6">
        <v>1418.93</v>
      </c>
      <c r="F3029" s="7" t="s">
        <v>14</v>
      </c>
      <c r="G3029" s="8" t="s">
        <v>5789</v>
      </c>
      <c r="H3029" s="8" t="s">
        <v>16</v>
      </c>
      <c r="I3029" s="9">
        <v>3884</v>
      </c>
      <c r="J3029" s="10">
        <v>8</v>
      </c>
      <c r="K3029" s="10">
        <v>80144</v>
      </c>
      <c r="L3029" s="3" t="str">
        <f t="shared" si="97"/>
        <v>ΚΤΗΝΟΤΡΟΦΙΚΑ_ΦΥΤΑ_ΓΙΑ_ΖΩΟΤΡΟΦΕΣ</v>
      </c>
    </row>
    <row r="3030" spans="1:12" s="3" customFormat="1" ht="15" customHeight="1" x14ac:dyDescent="0.25">
      <c r="A3030" s="3" t="str">
        <f t="shared" si="96"/>
        <v>ΚΤΗΝΟΤΡΟΦΙΚΑ ΦΥΤΑ ΓΙΑ ΖΩΟΤΡΟΦΕΣΚΡΙΘΑΡΙ FELIX</v>
      </c>
      <c r="B3030" s="21" t="s">
        <v>5215</v>
      </c>
      <c r="C3030" s="22" t="s">
        <v>5790</v>
      </c>
      <c r="D3030" s="6">
        <v>466.58</v>
      </c>
      <c r="E3030" s="6">
        <v>366.77</v>
      </c>
      <c r="F3030" s="7" t="s">
        <v>14</v>
      </c>
      <c r="G3030" s="8" t="s">
        <v>5791</v>
      </c>
      <c r="H3030" s="8" t="s">
        <v>16</v>
      </c>
      <c r="I3030" s="9">
        <v>5318</v>
      </c>
      <c r="J3030" s="16">
        <v>8</v>
      </c>
      <c r="K3030" s="16">
        <v>80145</v>
      </c>
      <c r="L3030" s="3" t="str">
        <f t="shared" si="97"/>
        <v>ΚΤΗΝΟΤΡΟΦΙΚΑ_ΦΥΤΑ_ΓΙΑ_ΖΩΟΤΡΟΦΕΣ</v>
      </c>
    </row>
    <row r="3031" spans="1:12" s="3" customFormat="1" ht="15" customHeight="1" x14ac:dyDescent="0.25">
      <c r="A3031" s="3" t="str">
        <f t="shared" si="96"/>
        <v>ΚΤΗΝΟΤΡΟΦΙΚΑ ΦΥΤΑ ΓΙΑ ΖΩΟΤΡΟΦΕΣΣΙΤΟΣ ΜΑΛΑΚΟΣ OREINO</v>
      </c>
      <c r="B3031" s="21" t="s">
        <v>5215</v>
      </c>
      <c r="C3031" s="22" t="s">
        <v>5792</v>
      </c>
      <c r="D3031" s="6">
        <v>491.53</v>
      </c>
      <c r="E3031" s="6">
        <v>485.9</v>
      </c>
      <c r="F3031" s="7" t="s">
        <v>14</v>
      </c>
      <c r="G3031" s="8" t="s">
        <v>5793</v>
      </c>
      <c r="H3031" s="8" t="s">
        <v>16</v>
      </c>
      <c r="I3031" s="9">
        <v>5319</v>
      </c>
      <c r="J3031" s="16">
        <v>8</v>
      </c>
      <c r="K3031" s="16">
        <v>80146</v>
      </c>
      <c r="L3031" s="3" t="str">
        <f t="shared" si="97"/>
        <v>ΚΤΗΝΟΤΡΟΦΙΚΑ_ΦΥΤΑ_ΓΙΑ_ΖΩΟΤΡΟΦΕΣ</v>
      </c>
    </row>
    <row r="3032" spans="1:12" s="3" customFormat="1" ht="15" customHeight="1" x14ac:dyDescent="0.25">
      <c r="A3032" s="3" t="str">
        <f t="shared" si="96"/>
        <v>ΚΤΗΝΟΤΡΟΦΙΚΑ ΦΥΤΑ ΓΙΑ ΖΩΟΤΡΟΦΕΣΚΡΙΘΑΡΙ SABER</v>
      </c>
      <c r="B3032" s="21" t="s">
        <v>5215</v>
      </c>
      <c r="C3032" s="22" t="s">
        <v>5794</v>
      </c>
      <c r="D3032" s="6">
        <v>466.58</v>
      </c>
      <c r="E3032" s="6">
        <v>366.77</v>
      </c>
      <c r="F3032" s="7" t="s">
        <v>14</v>
      </c>
      <c r="G3032" s="8" t="s">
        <v>5795</v>
      </c>
      <c r="H3032" s="8" t="s">
        <v>16</v>
      </c>
      <c r="I3032" s="9">
        <v>5320</v>
      </c>
      <c r="J3032" s="16">
        <v>8</v>
      </c>
      <c r="K3032" s="16">
        <v>80147</v>
      </c>
      <c r="L3032" s="3" t="str">
        <f t="shared" si="97"/>
        <v>ΚΤΗΝΟΤΡΟΦΙΚΑ_ΦΥΤΑ_ΓΙΑ_ΖΩΟΤΡΟΦΕΣ</v>
      </c>
    </row>
    <row r="3033" spans="1:12" s="3" customFormat="1" ht="15" customHeight="1" x14ac:dyDescent="0.25">
      <c r="A3033" s="3" t="str">
        <f t="shared" si="96"/>
        <v>ΚΤΗΝΟΤΡΟΦΙΚΑ ΦΥΤΑ ΓΙΑ ΖΩΟΤΡΟΦΕΣΚΤΗΝΟΤΡΟΦΙΚΟ ΜΠΙΖΕΛΙ OSSA</v>
      </c>
      <c r="B3033" s="21" t="s">
        <v>5215</v>
      </c>
      <c r="C3033" s="22" t="s">
        <v>5796</v>
      </c>
      <c r="D3033" s="6">
        <v>1402.9</v>
      </c>
      <c r="E3033" s="6">
        <v>1418.93</v>
      </c>
      <c r="F3033" s="7" t="s">
        <v>14</v>
      </c>
      <c r="G3033" s="8" t="s">
        <v>5797</v>
      </c>
      <c r="H3033" s="8" t="s">
        <v>16</v>
      </c>
      <c r="I3033" s="9">
        <v>5321</v>
      </c>
      <c r="J3033" s="16">
        <v>8</v>
      </c>
      <c r="K3033" s="16">
        <v>80148</v>
      </c>
      <c r="L3033" s="3" t="str">
        <f t="shared" si="97"/>
        <v>ΚΤΗΝΟΤΡΟΦΙΚΑ_ΦΥΤΑ_ΓΙΑ_ΖΩΟΤΡΟΦΕΣ</v>
      </c>
    </row>
    <row r="3034" spans="1:12" s="3" customFormat="1" ht="15" customHeight="1" x14ac:dyDescent="0.25">
      <c r="A3034" s="3" t="str">
        <f t="shared" si="96"/>
        <v>ΚΤΗΝΟΤΡΟΦΙΚΑ ΦΥΤΑ ΓΙΑ ΖΩΟΤΡΟΦΕΣΚΤΗΝΟΤΡΟΦΙΚΟ ΜΠΙΖΕΛΙ SAOS</v>
      </c>
      <c r="B3034" s="21" t="s">
        <v>5215</v>
      </c>
      <c r="C3034" s="22" t="s">
        <v>5798</v>
      </c>
      <c r="D3034" s="6">
        <v>1402.9</v>
      </c>
      <c r="E3034" s="6">
        <v>1418.93</v>
      </c>
      <c r="F3034" s="7" t="s">
        <v>14</v>
      </c>
      <c r="G3034" s="8" t="s">
        <v>5799</v>
      </c>
      <c r="H3034" s="8" t="s">
        <v>16</v>
      </c>
      <c r="I3034" s="9">
        <v>5322</v>
      </c>
      <c r="J3034" s="16">
        <v>8</v>
      </c>
      <c r="K3034" s="16">
        <v>80149</v>
      </c>
      <c r="L3034" s="3" t="str">
        <f t="shared" si="97"/>
        <v>ΚΤΗΝΟΤΡΟΦΙΚΑ_ΦΥΤΑ_ΓΙΑ_ΖΩΟΤΡΟΦΕΣ</v>
      </c>
    </row>
    <row r="3035" spans="1:12" s="3" customFormat="1" ht="15" customHeight="1" x14ac:dyDescent="0.25">
      <c r="A3035" s="3" t="str">
        <f t="shared" si="96"/>
        <v>ΚΤΗΝΟΤΡΟΦΙΚΑ ΦΥΤΑ ΓΙΑ ΖΩΟΤΡΟΦΕΣΚΤΗΝΟΤΡΟΦΙΚΟ ΜΠΙΖΕΛΙ GUINDA</v>
      </c>
      <c r="B3035" s="21" t="s">
        <v>5215</v>
      </c>
      <c r="C3035" s="22" t="s">
        <v>5800</v>
      </c>
      <c r="D3035" s="6">
        <v>1402.9</v>
      </c>
      <c r="E3035" s="6">
        <v>1418.93</v>
      </c>
      <c r="F3035" s="7" t="s">
        <v>14</v>
      </c>
      <c r="G3035" s="8" t="s">
        <v>5801</v>
      </c>
      <c r="H3035" s="8" t="s">
        <v>16</v>
      </c>
      <c r="I3035" s="9">
        <v>5323</v>
      </c>
      <c r="J3035" s="16">
        <v>8</v>
      </c>
      <c r="K3035" s="16">
        <v>80150</v>
      </c>
      <c r="L3035" s="3" t="str">
        <f t="shared" si="97"/>
        <v>ΚΤΗΝΟΤΡΟΦΙΚΑ_ΦΥΤΑ_ΓΙΑ_ΖΩΟΤΡΟΦΕΣ</v>
      </c>
    </row>
    <row r="3036" spans="1:12" s="3" customFormat="1" ht="15" customHeight="1" x14ac:dyDescent="0.25">
      <c r="A3036" s="3" t="str">
        <f t="shared" si="96"/>
        <v>ΚΤΗΝΟΤΡΟΦΙΚΑ ΦΥΤΑ ΓΙΑ ΖΩΟΤΡΟΦΕΣΣΙΤΟΣ ΜΑΛΑΚΟΣ PROFESORE</v>
      </c>
      <c r="B3036" s="21" t="s">
        <v>5215</v>
      </c>
      <c r="C3036" s="22" t="s">
        <v>5802</v>
      </c>
      <c r="D3036" s="6">
        <v>491.53</v>
      </c>
      <c r="E3036" s="6">
        <v>485.9</v>
      </c>
      <c r="F3036" s="7" t="s">
        <v>14</v>
      </c>
      <c r="G3036" s="8" t="s">
        <v>5803</v>
      </c>
      <c r="H3036" s="8" t="s">
        <v>16</v>
      </c>
      <c r="I3036" s="9">
        <v>5324</v>
      </c>
      <c r="J3036" s="16">
        <v>8</v>
      </c>
      <c r="K3036" s="16">
        <v>80151</v>
      </c>
      <c r="L3036" s="3" t="str">
        <f t="shared" si="97"/>
        <v>ΚΤΗΝΟΤΡΟΦΙΚΑ_ΦΥΤΑ_ΓΙΑ_ΖΩΟΤΡΟΦΕΣ</v>
      </c>
    </row>
    <row r="3037" spans="1:12" s="3" customFormat="1" ht="15" customHeight="1" x14ac:dyDescent="0.25">
      <c r="A3037" s="3" t="str">
        <f t="shared" si="96"/>
        <v>ΚΤΗΝΟΤΡΟΦΙΚΑ ΦΥΤΑ ΓΙΑ ΖΩΟΤΡΟΦΕΣΣΙΤΟΣ ΜΑΛΑΚΟΣ ALFARRAS</v>
      </c>
      <c r="B3037" s="21" t="s">
        <v>5215</v>
      </c>
      <c r="C3037" s="22" t="s">
        <v>5804</v>
      </c>
      <c r="D3037" s="6">
        <v>491.53</v>
      </c>
      <c r="E3037" s="6">
        <v>485.9</v>
      </c>
      <c r="F3037" s="7" t="s">
        <v>14</v>
      </c>
      <c r="G3037" s="8" t="s">
        <v>5805</v>
      </c>
      <c r="H3037" s="8" t="s">
        <v>16</v>
      </c>
      <c r="I3037" s="9">
        <v>5325</v>
      </c>
      <c r="J3037" s="16">
        <v>8</v>
      </c>
      <c r="K3037" s="16">
        <v>80152</v>
      </c>
      <c r="L3037" s="3" t="str">
        <f t="shared" si="97"/>
        <v>ΚΤΗΝΟΤΡΟΦΙΚΑ_ΦΥΤΑ_ΓΙΑ_ΖΩΟΤΡΟΦΕΣ</v>
      </c>
    </row>
    <row r="3038" spans="1:12" s="3" customFormat="1" ht="15" customHeight="1" x14ac:dyDescent="0.25">
      <c r="A3038" s="3" t="str">
        <f t="shared" si="96"/>
        <v>ΚΤΗΝΟΤΡΟΦΙΚΑ ΦΥΤΑ ΓΙΑ ΖΩΟΤΡΟΦΕΣΣΙΤΟΣ ΜΑΛΑΚΟΣ RUMARIO</v>
      </c>
      <c r="B3038" s="21" t="s">
        <v>5215</v>
      </c>
      <c r="C3038" s="22" t="s">
        <v>5806</v>
      </c>
      <c r="D3038" s="6">
        <v>491.53</v>
      </c>
      <c r="E3038" s="6">
        <v>485.9</v>
      </c>
      <c r="F3038" s="7" t="s">
        <v>14</v>
      </c>
      <c r="G3038" s="8" t="s">
        <v>5807</v>
      </c>
      <c r="H3038" s="8" t="s">
        <v>16</v>
      </c>
      <c r="I3038" s="9">
        <v>5326</v>
      </c>
      <c r="J3038" s="16">
        <v>8</v>
      </c>
      <c r="K3038" s="16">
        <v>80153</v>
      </c>
      <c r="L3038" s="3" t="str">
        <f t="shared" si="97"/>
        <v>ΚΤΗΝΟΤΡΟΦΙΚΑ_ΦΥΤΑ_ΓΙΑ_ΖΩΟΤΡΟΦΕΣ</v>
      </c>
    </row>
    <row r="3039" spans="1:12" s="3" customFormat="1" ht="15" customHeight="1" x14ac:dyDescent="0.25">
      <c r="A3039" s="3" t="str">
        <f t="shared" si="96"/>
        <v>ΚΤΗΝΟΤΡΟΦΙΚΑ ΦΥΤΑ ΓΙΑ ΖΩΟΤΡΟΦΕΣΣΙΤΟΣ ΜΑΛΑΚΟΣ JABALCON</v>
      </c>
      <c r="B3039" s="21" t="s">
        <v>5215</v>
      </c>
      <c r="C3039" s="22" t="s">
        <v>5808</v>
      </c>
      <c r="D3039" s="6">
        <v>491.53</v>
      </c>
      <c r="E3039" s="6">
        <v>485.9</v>
      </c>
      <c r="F3039" s="7" t="s">
        <v>14</v>
      </c>
      <c r="G3039" s="8" t="s">
        <v>5809</v>
      </c>
      <c r="H3039" s="8" t="s">
        <v>16</v>
      </c>
      <c r="I3039" s="9">
        <v>5327</v>
      </c>
      <c r="J3039" s="16">
        <v>8</v>
      </c>
      <c r="K3039" s="16">
        <v>80154</v>
      </c>
      <c r="L3039" s="3" t="str">
        <f t="shared" si="97"/>
        <v>ΚΤΗΝΟΤΡΟΦΙΚΑ_ΦΥΤΑ_ΓΙΑ_ΖΩΟΤΡΟΦΕΣ</v>
      </c>
    </row>
    <row r="3040" spans="1:12" s="3" customFormat="1" ht="15" customHeight="1" x14ac:dyDescent="0.25">
      <c r="A3040" s="3" t="str">
        <f t="shared" si="96"/>
        <v>ΚΤΗΝΟΤΡΟΦΙΚΑ ΦΥΤΑ ΓΙΑ ΖΩΟΤΡΟΦΕΣΤΡΙΤΙΚΑΛΕ ALKMINI</v>
      </c>
      <c r="B3040" s="21" t="s">
        <v>5215</v>
      </c>
      <c r="C3040" s="5" t="s">
        <v>5810</v>
      </c>
      <c r="D3040" s="6">
        <v>363.85</v>
      </c>
      <c r="E3040" s="6">
        <v>331.13</v>
      </c>
      <c r="F3040" s="7" t="s">
        <v>14</v>
      </c>
      <c r="G3040" s="8" t="s">
        <v>5811</v>
      </c>
      <c r="H3040" s="8" t="s">
        <v>16</v>
      </c>
      <c r="I3040" s="9">
        <v>5328</v>
      </c>
      <c r="J3040" s="16">
        <v>8</v>
      </c>
      <c r="K3040" s="16">
        <v>80155</v>
      </c>
      <c r="L3040" s="3" t="str">
        <f t="shared" si="97"/>
        <v>ΚΤΗΝΟΤΡΟΦΙΚΑ_ΦΥΤΑ_ΓΙΑ_ΖΩΟΤΡΟΦΕΣ</v>
      </c>
    </row>
    <row r="3041" spans="1:12" s="3" customFormat="1" ht="15" customHeight="1" x14ac:dyDescent="0.25">
      <c r="A3041" s="3" t="str">
        <f t="shared" si="96"/>
        <v>ΚΤΗΝΟΤΡΟΦΙΚΑ ΦΥΤΑ ΓΙΑ ΖΩΟΤΡΟΦΕΣΤΡΙΤΙΚΑΛΕ ARETI</v>
      </c>
      <c r="B3041" s="21" t="s">
        <v>5215</v>
      </c>
      <c r="C3041" s="5" t="s">
        <v>5812</v>
      </c>
      <c r="D3041" s="6">
        <v>363.85</v>
      </c>
      <c r="E3041" s="6">
        <v>331.13</v>
      </c>
      <c r="F3041" s="7" t="s">
        <v>14</v>
      </c>
      <c r="G3041" s="8" t="s">
        <v>5813</v>
      </c>
      <c r="H3041" s="8" t="s">
        <v>16</v>
      </c>
      <c r="I3041" s="9">
        <v>5329</v>
      </c>
      <c r="J3041" s="16">
        <v>8</v>
      </c>
      <c r="K3041" s="16">
        <v>80156</v>
      </c>
      <c r="L3041" s="3" t="str">
        <f t="shared" si="97"/>
        <v>ΚΤΗΝΟΤΡΟΦΙΚΑ_ΦΥΤΑ_ΓΙΑ_ΖΩΟΤΡΟΦΕΣ</v>
      </c>
    </row>
    <row r="3042" spans="1:12" s="3" customFormat="1" ht="15" customHeight="1" x14ac:dyDescent="0.25">
      <c r="A3042" s="3" t="str">
        <f t="shared" si="96"/>
        <v>ΚΤΗΝΟΤΡΟΦΙΚΑ ΦΥΤΑ ΓΙΑ ΖΩΟΤΡΟΦΕΣΤΡΙΤΙΚΑΛΕ ATHIENOU</v>
      </c>
      <c r="B3042" s="21" t="s">
        <v>5215</v>
      </c>
      <c r="C3042" s="5" t="s">
        <v>5814</v>
      </c>
      <c r="D3042" s="6">
        <v>363.85</v>
      </c>
      <c r="E3042" s="6">
        <v>331.13</v>
      </c>
      <c r="F3042" s="7" t="s">
        <v>14</v>
      </c>
      <c r="G3042" s="8" t="s">
        <v>5815</v>
      </c>
      <c r="H3042" s="8" t="s">
        <v>16</v>
      </c>
      <c r="I3042" s="9">
        <v>5330</v>
      </c>
      <c r="J3042" s="16">
        <v>8</v>
      </c>
      <c r="K3042" s="16">
        <v>80157</v>
      </c>
      <c r="L3042" s="3" t="str">
        <f t="shared" si="97"/>
        <v>ΚΤΗΝΟΤΡΟΦΙΚΑ_ΦΥΤΑ_ΓΙΑ_ΖΩΟΤΡΟΦΕΣ</v>
      </c>
    </row>
    <row r="3043" spans="1:12" s="3" customFormat="1" ht="15" customHeight="1" x14ac:dyDescent="0.25">
      <c r="A3043" s="3" t="str">
        <f t="shared" si="96"/>
        <v>ΚΤΗΝΟΤΡΟΦΙΚΑ ΦΥΤΑ ΓΙΑ ΖΩΟΤΡΟΦΕΣΤΡΙΤΙΚΑΛΕ IRAKLIS</v>
      </c>
      <c r="B3043" s="21" t="s">
        <v>5215</v>
      </c>
      <c r="C3043" s="5" t="s">
        <v>5816</v>
      </c>
      <c r="D3043" s="6">
        <v>363.85</v>
      </c>
      <c r="E3043" s="6">
        <v>331.13</v>
      </c>
      <c r="F3043" s="7" t="s">
        <v>14</v>
      </c>
      <c r="G3043" s="8" t="s">
        <v>5817</v>
      </c>
      <c r="H3043" s="8" t="s">
        <v>16</v>
      </c>
      <c r="I3043" s="9">
        <v>5331</v>
      </c>
      <c r="J3043" s="16">
        <v>8</v>
      </c>
      <c r="K3043" s="16">
        <v>80158</v>
      </c>
      <c r="L3043" s="3" t="str">
        <f t="shared" si="97"/>
        <v>ΚΤΗΝΟΤΡΟΦΙΚΑ_ΦΥΤΑ_ΓΙΑ_ΖΩΟΤΡΟΦΕΣ</v>
      </c>
    </row>
    <row r="3044" spans="1:12" s="3" customFormat="1" ht="15" customHeight="1" x14ac:dyDescent="0.25">
      <c r="A3044" s="3" t="str">
        <f t="shared" si="96"/>
        <v>ΚΤΗΝΟΤΡΟΦΙΚΑ ΦΥΤΑ ΓΙΑ ΖΩΟΤΡΟΦΕΣΤΡΙΤΙΚΑΛΕ TALAVERA</v>
      </c>
      <c r="B3044" s="21" t="s">
        <v>5215</v>
      </c>
      <c r="C3044" s="5" t="s">
        <v>5818</v>
      </c>
      <c r="D3044" s="6">
        <v>363.85</v>
      </c>
      <c r="E3044" s="6">
        <v>331.13</v>
      </c>
      <c r="F3044" s="7" t="s">
        <v>14</v>
      </c>
      <c r="G3044" s="8" t="s">
        <v>5819</v>
      </c>
      <c r="H3044" s="8" t="s">
        <v>16</v>
      </c>
      <c r="I3044" s="9">
        <v>5332</v>
      </c>
      <c r="J3044" s="16">
        <v>8</v>
      </c>
      <c r="K3044" s="16">
        <v>80159</v>
      </c>
      <c r="L3044" s="3" t="str">
        <f t="shared" si="97"/>
        <v>ΚΤΗΝΟΤΡΟΦΙΚΑ_ΦΥΤΑ_ΓΙΑ_ΖΩΟΤΡΟΦΕΣ</v>
      </c>
    </row>
    <row r="3045" spans="1:12" s="3" customFormat="1" ht="15" customHeight="1" x14ac:dyDescent="0.25">
      <c r="A3045" s="3" t="str">
        <f t="shared" si="96"/>
        <v>ΚΤΗΝΟΤΡΟΦΙΚΑ ΦΥΤΑ ΓΙΑ ΖΩΟΤΡΟΦΕΣΤΡΙΤΙΚΑΛΕ ZUHAT</v>
      </c>
      <c r="B3045" s="21" t="s">
        <v>5215</v>
      </c>
      <c r="C3045" s="5" t="s">
        <v>5820</v>
      </c>
      <c r="D3045" s="6">
        <v>363.85</v>
      </c>
      <c r="E3045" s="6">
        <v>331.13</v>
      </c>
      <c r="F3045" s="7" t="s">
        <v>14</v>
      </c>
      <c r="G3045" s="8" t="s">
        <v>5821</v>
      </c>
      <c r="H3045" s="8" t="s">
        <v>16</v>
      </c>
      <c r="I3045" s="9">
        <v>5333</v>
      </c>
      <c r="J3045" s="16">
        <v>8</v>
      </c>
      <c r="K3045" s="16">
        <v>80160</v>
      </c>
      <c r="L3045" s="3" t="str">
        <f t="shared" si="97"/>
        <v>ΚΤΗΝΟΤΡΟΦΙΚΑ_ΦΥΤΑ_ΓΙΑ_ΖΩΟΤΡΟΦΕΣ</v>
      </c>
    </row>
    <row r="3046" spans="1:12" s="3" customFormat="1" ht="15" customHeight="1" x14ac:dyDescent="0.25">
      <c r="A3046" s="3" t="str">
        <f t="shared" si="96"/>
        <v>ΚΤΗΝΟΤΡΟΦΙΚΑ ΦΥΤΑ ΓΙΑ ΖΩΟΤΡΟΦΕΣΚΡΙΘΑΡΙ ANDROMEDA</v>
      </c>
      <c r="B3046" s="21" t="s">
        <v>5215</v>
      </c>
      <c r="C3046" s="22" t="s">
        <v>5822</v>
      </c>
      <c r="D3046" s="6">
        <v>466.58</v>
      </c>
      <c r="E3046" s="6">
        <v>366.77</v>
      </c>
      <c r="F3046" s="7" t="s">
        <v>14</v>
      </c>
      <c r="G3046" s="8" t="s">
        <v>5823</v>
      </c>
      <c r="H3046" s="8" t="s">
        <v>16</v>
      </c>
      <c r="I3046" s="9">
        <v>5334</v>
      </c>
      <c r="J3046" s="16">
        <v>8</v>
      </c>
      <c r="K3046" s="16">
        <v>80161</v>
      </c>
      <c r="L3046" s="3" t="str">
        <f t="shared" si="97"/>
        <v>ΚΤΗΝΟΤΡΟΦΙΚΑ_ΦΥΤΑ_ΓΙΑ_ΖΩΟΤΡΟΦΕΣ</v>
      </c>
    </row>
    <row r="3047" spans="1:12" s="3" customFormat="1" ht="15" customHeight="1" x14ac:dyDescent="0.25">
      <c r="A3047" s="3" t="str">
        <f t="shared" si="96"/>
        <v>ΚΤΗΝΟΤΡΟΦΙΚΑ ΦΥΤΑ ΓΙΑ ΖΩΟΤΡΟΦΕΣΒΙΚΟΣ MILUKA</v>
      </c>
      <c r="B3047" s="21" t="s">
        <v>5215</v>
      </c>
      <c r="C3047" s="22" t="s">
        <v>5824</v>
      </c>
      <c r="D3047" s="6">
        <v>1402.9</v>
      </c>
      <c r="E3047" s="6">
        <v>1418.93</v>
      </c>
      <c r="F3047" s="7" t="s">
        <v>14</v>
      </c>
      <c r="G3047" s="8" t="s">
        <v>5825</v>
      </c>
      <c r="H3047" s="8" t="s">
        <v>16</v>
      </c>
      <c r="I3047" s="9">
        <v>5335</v>
      </c>
      <c r="J3047" s="16">
        <v>8</v>
      </c>
      <c r="K3047" s="16">
        <v>80162</v>
      </c>
      <c r="L3047" s="3" t="str">
        <f t="shared" si="97"/>
        <v>ΚΤΗΝΟΤΡΟΦΙΚΑ_ΦΥΤΑ_ΓΙΑ_ΖΩΟΤΡΟΦΕΣ</v>
      </c>
    </row>
    <row r="3048" spans="1:12" s="3" customFormat="1" ht="15" customHeight="1" x14ac:dyDescent="0.25">
      <c r="A3048" s="3" t="str">
        <f t="shared" si="96"/>
        <v>ΚΤΗΝΟΤΡΟΦΙΚΑ ΦΥΤΑ ΓΙΑ ΖΩΟΤΡΟΦΕΣΜΗΔΙΚΗ Η ΗΜΕΡΟΣ SILVERADO</v>
      </c>
      <c r="B3048" s="21" t="s">
        <v>5215</v>
      </c>
      <c r="C3048" s="22" t="s">
        <v>5826</v>
      </c>
      <c r="D3048" s="6">
        <v>1402.9</v>
      </c>
      <c r="E3048" s="6">
        <v>1418.93</v>
      </c>
      <c r="F3048" s="7" t="s">
        <v>14</v>
      </c>
      <c r="G3048" s="8" t="s">
        <v>5827</v>
      </c>
      <c r="H3048" s="8" t="s">
        <v>16</v>
      </c>
      <c r="I3048" s="9">
        <v>5336</v>
      </c>
      <c r="J3048" s="16">
        <v>8</v>
      </c>
      <c r="K3048" s="16">
        <v>80163</v>
      </c>
      <c r="L3048" s="3" t="str">
        <f t="shared" si="97"/>
        <v>ΚΤΗΝΟΤΡΟΦΙΚΑ_ΦΥΤΑ_ΓΙΑ_ΖΩΟΤΡΟΦΕΣ</v>
      </c>
    </row>
    <row r="3049" spans="1:12" s="3" customFormat="1" ht="15" customHeight="1" x14ac:dyDescent="0.25">
      <c r="A3049" s="3" t="str">
        <f t="shared" si="96"/>
        <v>ΚΤΗΝΟΤΡΟΦΙΚΑ ΦΥΤΑ ΓΙΑ ΖΩΟΤΡΟΦΕΣΚΟΥΚΙ ΚΤΗΝΟΤΡΟΦΙΚΟ VESUVIO</v>
      </c>
      <c r="B3049" s="23" t="s">
        <v>5215</v>
      </c>
      <c r="C3049" s="24" t="s">
        <v>5828</v>
      </c>
      <c r="D3049" s="6">
        <v>1402.9</v>
      </c>
      <c r="E3049" s="6">
        <v>1418.93</v>
      </c>
      <c r="F3049" s="29" t="s">
        <v>14</v>
      </c>
      <c r="G3049" s="8" t="s">
        <v>5829</v>
      </c>
      <c r="H3049" s="8" t="s">
        <v>16</v>
      </c>
      <c r="I3049" s="9">
        <v>5395</v>
      </c>
      <c r="J3049" s="26">
        <v>8</v>
      </c>
      <c r="K3049" s="27">
        <v>80164</v>
      </c>
      <c r="L3049" s="3" t="str">
        <f t="shared" si="97"/>
        <v>ΚΤΗΝΟΤΡΟΦΙΚΑ_ΦΥΤΑ_ΓΙΑ_ΖΩΟΤΡΟΦΕΣ</v>
      </c>
    </row>
    <row r="3050" spans="1:12" s="3" customFormat="1" ht="15" customHeight="1" x14ac:dyDescent="0.25">
      <c r="A3050" s="3" t="str">
        <f t="shared" si="96"/>
        <v>ΚΤΗΝΟΤΡΟΦΙΚΑ ΦΥΤΑ ΓΙΑ ΖΩΟΤΡΟΦΕΣΤΡΙΦΥΛΛΙ ΤΟ ΑΛΕΞΑΝΔΡΙΝΟ MARMILLA</v>
      </c>
      <c r="B3050" s="23" t="s">
        <v>5215</v>
      </c>
      <c r="C3050" s="24" t="s">
        <v>5830</v>
      </c>
      <c r="D3050" s="6">
        <v>1402.9</v>
      </c>
      <c r="E3050" s="6">
        <v>1418.93</v>
      </c>
      <c r="F3050" s="29" t="s">
        <v>14</v>
      </c>
      <c r="G3050" s="8" t="s">
        <v>5831</v>
      </c>
      <c r="H3050" s="8" t="s">
        <v>16</v>
      </c>
      <c r="I3050" s="9">
        <v>5396</v>
      </c>
      <c r="J3050" s="26">
        <v>8</v>
      </c>
      <c r="K3050" s="27">
        <v>80165</v>
      </c>
      <c r="L3050" s="3" t="str">
        <f t="shared" si="97"/>
        <v>ΚΤΗΝΟΤΡΟΦΙΚΑ_ΦΥΤΑ_ΓΙΑ_ΖΩΟΤΡΟΦΕΣ</v>
      </c>
    </row>
    <row r="3051" spans="1:12" s="3" customFormat="1" ht="15" customHeight="1" x14ac:dyDescent="0.25">
      <c r="A3051" s="3" t="str">
        <f t="shared" si="96"/>
        <v>ΚΤΗΝΟΤΡΟΦΙΚΑ ΦΥΤΑ ΓΙΑ ΖΩΟΤΡΟΦΕΣΚΤΗΝΟΤΡΟΦΙΚΟ ΜΠΙΖΕΛΙ LISA</v>
      </c>
      <c r="B3051" s="23" t="s">
        <v>5215</v>
      </c>
      <c r="C3051" s="24" t="s">
        <v>5832</v>
      </c>
      <c r="D3051" s="6">
        <v>1402.9</v>
      </c>
      <c r="E3051" s="6">
        <v>1418.93</v>
      </c>
      <c r="F3051" s="29" t="s">
        <v>14</v>
      </c>
      <c r="G3051" s="8" t="s">
        <v>5833</v>
      </c>
      <c r="H3051" s="8" t="s">
        <v>16</v>
      </c>
      <c r="I3051" s="9">
        <v>5397</v>
      </c>
      <c r="J3051" s="26">
        <v>8</v>
      </c>
      <c r="K3051" s="27">
        <v>80166</v>
      </c>
      <c r="L3051" s="3" t="str">
        <f t="shared" si="97"/>
        <v>ΚΤΗΝΟΤΡΟΦΙΚΑ_ΦΥΤΑ_ΓΙΑ_ΖΩΟΤΡΟΦΕΣ</v>
      </c>
    </row>
    <row r="3052" spans="1:12" s="3" customFormat="1" ht="15" customHeight="1" x14ac:dyDescent="0.25">
      <c r="A3052" s="3" t="str">
        <f t="shared" si="96"/>
        <v>ΚΤΗΝΟΤΡΟΦΙΚΑ ΦΥΤΑ ΓΙΑ ΖΩΟΤΡΟΦΕΣΚΡΙΘΑΡΙ HIMALAYA</v>
      </c>
      <c r="B3052" s="23" t="s">
        <v>5215</v>
      </c>
      <c r="C3052" s="24" t="s">
        <v>5834</v>
      </c>
      <c r="D3052" s="6">
        <v>466.58</v>
      </c>
      <c r="E3052" s="6">
        <v>366.77</v>
      </c>
      <c r="F3052" s="29" t="s">
        <v>14</v>
      </c>
      <c r="G3052" s="8" t="s">
        <v>5835</v>
      </c>
      <c r="H3052" s="8" t="s">
        <v>16</v>
      </c>
      <c r="I3052" s="9">
        <v>5398</v>
      </c>
      <c r="J3052" s="26">
        <v>8</v>
      </c>
      <c r="K3052" s="27">
        <v>80167</v>
      </c>
      <c r="L3052" s="3" t="str">
        <f t="shared" si="97"/>
        <v>ΚΤΗΝΟΤΡΟΦΙΚΑ_ΦΥΤΑ_ΓΙΑ_ΖΩΟΤΡΟΦΕΣ</v>
      </c>
    </row>
    <row r="3053" spans="1:12" s="3" customFormat="1" ht="15" customHeight="1" x14ac:dyDescent="0.25">
      <c r="A3053" s="3" t="str">
        <f t="shared" si="96"/>
        <v>ΚΤΗΝΟΤΡΟΦΙΚΑ ΦΥΤΑ ΓΙΑ ΖΩΟΤΡΟΦΕΣΚΡΙΘΑΡΙ REA</v>
      </c>
      <c r="B3053" s="23" t="s">
        <v>5215</v>
      </c>
      <c r="C3053" s="24" t="s">
        <v>5836</v>
      </c>
      <c r="D3053" s="6">
        <v>466.58</v>
      </c>
      <c r="E3053" s="6">
        <v>366.77</v>
      </c>
      <c r="F3053" s="29" t="s">
        <v>14</v>
      </c>
      <c r="G3053" s="8" t="s">
        <v>5837</v>
      </c>
      <c r="H3053" s="8" t="s">
        <v>16</v>
      </c>
      <c r="I3053" s="9">
        <v>5399</v>
      </c>
      <c r="J3053" s="26">
        <v>8</v>
      </c>
      <c r="K3053" s="27">
        <v>80168</v>
      </c>
      <c r="L3053" s="3" t="str">
        <f t="shared" si="97"/>
        <v>ΚΤΗΝΟΤΡΟΦΙΚΑ_ΦΥΤΑ_ΓΙΑ_ΖΩΟΤΡΟΦΕΣ</v>
      </c>
    </row>
    <row r="3054" spans="1:12" s="3" customFormat="1" ht="15" customHeight="1" x14ac:dyDescent="0.25">
      <c r="A3054" s="3" t="str">
        <f t="shared" si="96"/>
        <v>ΚΤΗΝΟΤΡΟΦΙΚΑ ΦΥΤΑ ΓΙΑ ΖΩΟΤΡΟΦΕΣΚΤΗΝΟΤΡΟΦΙΚΟ ΜΠΙΖΕΛΙ GUIMAS</v>
      </c>
      <c r="B3054" s="23" t="s">
        <v>5215</v>
      </c>
      <c r="C3054" s="24" t="s">
        <v>5838</v>
      </c>
      <c r="D3054" s="6">
        <v>1402.9</v>
      </c>
      <c r="E3054" s="6">
        <v>1418.93</v>
      </c>
      <c r="F3054" s="29" t="s">
        <v>14</v>
      </c>
      <c r="G3054" s="8" t="s">
        <v>5839</v>
      </c>
      <c r="H3054" s="8" t="s">
        <v>16</v>
      </c>
      <c r="I3054" s="9">
        <v>5400</v>
      </c>
      <c r="J3054" s="26">
        <v>8</v>
      </c>
      <c r="K3054" s="27">
        <v>80169</v>
      </c>
      <c r="L3054" s="3" t="str">
        <f t="shared" si="97"/>
        <v>ΚΤΗΝΟΤΡΟΦΙΚΑ_ΦΥΤΑ_ΓΙΑ_ΖΩΟΤΡΟΦΕΣ</v>
      </c>
    </row>
    <row r="3055" spans="1:12" s="3" customFormat="1" ht="15" customHeight="1" x14ac:dyDescent="0.25">
      <c r="A3055" s="3" t="str">
        <f t="shared" si="96"/>
        <v>ΚΤΗΝΟΤΡΟΦΙΚΑ ΦΥΤΑ ΓΙΑ ΖΩΟΤΡΟΦΕΣΚΤΗΝΟΤΡΟΦΙΚΟ ΜΠΙΖΕΛΙ GUIVERT</v>
      </c>
      <c r="B3055" s="23" t="s">
        <v>5215</v>
      </c>
      <c r="C3055" s="24" t="s">
        <v>5840</v>
      </c>
      <c r="D3055" s="6">
        <v>1402.9</v>
      </c>
      <c r="E3055" s="6">
        <v>1418.93</v>
      </c>
      <c r="F3055" s="29" t="s">
        <v>14</v>
      </c>
      <c r="G3055" s="8" t="s">
        <v>5841</v>
      </c>
      <c r="H3055" s="8" t="s">
        <v>16</v>
      </c>
      <c r="I3055" s="9">
        <v>5401</v>
      </c>
      <c r="J3055" s="26">
        <v>8</v>
      </c>
      <c r="K3055" s="27">
        <v>80170</v>
      </c>
      <c r="L3055" s="3" t="str">
        <f t="shared" si="97"/>
        <v>ΚΤΗΝΟΤΡΟΦΙΚΑ_ΦΥΤΑ_ΓΙΑ_ΖΩΟΤΡΟΦΕΣ</v>
      </c>
    </row>
    <row r="3056" spans="1:12" s="3" customFormat="1" ht="15" customHeight="1" x14ac:dyDescent="0.25">
      <c r="A3056" s="3" t="str">
        <f t="shared" si="96"/>
        <v>ΚΤΗΝΟΤΡΟΦΙΚΑ ΦΥΤΑ ΓΙΑ ΖΩΟΤΡΟΦΕΣΜΠΙΖΕΛΙ / ΠΙΣΟ ΚΤΗΝΟΤΡΟΦΙΚΟ GUINDA</v>
      </c>
      <c r="B3056" s="23" t="s">
        <v>5215</v>
      </c>
      <c r="C3056" s="24" t="s">
        <v>5842</v>
      </c>
      <c r="D3056" s="6">
        <v>1402.9</v>
      </c>
      <c r="E3056" s="6">
        <v>1418.93</v>
      </c>
      <c r="F3056" s="29" t="s">
        <v>14</v>
      </c>
      <c r="G3056" s="8" t="s">
        <v>5843</v>
      </c>
      <c r="H3056" s="8" t="s">
        <v>16</v>
      </c>
      <c r="I3056" s="9">
        <v>5402</v>
      </c>
      <c r="J3056" s="26">
        <v>8</v>
      </c>
      <c r="K3056" s="27">
        <v>80171</v>
      </c>
      <c r="L3056" s="3" t="str">
        <f t="shared" si="97"/>
        <v>ΚΤΗΝΟΤΡΟΦΙΚΑ_ΦΥΤΑ_ΓΙΑ_ΖΩΟΤΡΟΦΕΣ</v>
      </c>
    </row>
    <row r="3057" spans="1:12" s="3" customFormat="1" ht="15" customHeight="1" x14ac:dyDescent="0.25">
      <c r="A3057" s="3" t="str">
        <f t="shared" si="96"/>
        <v>ΚΤΗΝΟΤΡΟΦΙΚΑ ΦΥΤΑ ΓΙΑ ΖΩΟΤΡΟΦΕΣΜΠΙΖΕΛΙ / ΠΙΣΟ ΚΤΗΝΟΤΡΟΦΙΚΟ OSSA</v>
      </c>
      <c r="B3057" s="23" t="s">
        <v>5215</v>
      </c>
      <c r="C3057" s="24" t="s">
        <v>5844</v>
      </c>
      <c r="D3057" s="6">
        <v>1402.9</v>
      </c>
      <c r="E3057" s="6">
        <v>1418.93</v>
      </c>
      <c r="F3057" s="29" t="s">
        <v>14</v>
      </c>
      <c r="G3057" s="8" t="s">
        <v>5845</v>
      </c>
      <c r="H3057" s="8" t="s">
        <v>16</v>
      </c>
      <c r="I3057" s="9">
        <v>5403</v>
      </c>
      <c r="J3057" s="26">
        <v>8</v>
      </c>
      <c r="K3057" s="27">
        <v>80172</v>
      </c>
      <c r="L3057" s="3" t="str">
        <f t="shared" si="97"/>
        <v>ΚΤΗΝΟΤΡΟΦΙΚΑ_ΦΥΤΑ_ΓΙΑ_ΖΩΟΤΡΟΦΕΣ</v>
      </c>
    </row>
    <row r="3058" spans="1:12" s="3" customFormat="1" ht="15" customHeight="1" x14ac:dyDescent="0.25">
      <c r="A3058" s="3" t="str">
        <f t="shared" si="96"/>
        <v>ΚΤΗΝΟΤΡΟΦΙΚΑ ΦΥΤΑ ΓΙΑ ΖΩΟΤΡΟΦΕΣΜΠΙΖΕΛΙ / ΠΙΣΟ ΚΤΗΝΟΤΡΟΦΙΚΟ SAOS</v>
      </c>
      <c r="B3058" s="23" t="s">
        <v>5215</v>
      </c>
      <c r="C3058" s="24" t="s">
        <v>5846</v>
      </c>
      <c r="D3058" s="6">
        <v>1402.9</v>
      </c>
      <c r="E3058" s="6">
        <v>1418.93</v>
      </c>
      <c r="F3058" s="29" t="s">
        <v>14</v>
      </c>
      <c r="G3058" s="8" t="s">
        <v>5847</v>
      </c>
      <c r="H3058" s="8" t="s">
        <v>16</v>
      </c>
      <c r="I3058" s="9">
        <v>5404</v>
      </c>
      <c r="J3058" s="26">
        <v>8</v>
      </c>
      <c r="K3058" s="27">
        <v>80173</v>
      </c>
      <c r="L3058" s="3" t="str">
        <f t="shared" si="97"/>
        <v>ΚΤΗΝΟΤΡΟΦΙΚΑ_ΦΥΤΑ_ΓΙΑ_ΖΩΟΤΡΟΦΕΣ</v>
      </c>
    </row>
    <row r="3059" spans="1:12" s="3" customFormat="1" ht="15" customHeight="1" x14ac:dyDescent="0.25">
      <c r="A3059" s="3" t="str">
        <f t="shared" si="96"/>
        <v>ΚΤΗΝΟΤΡΟΦΙΚΑ ΦΥΤΑ ΓΙΑ ΖΩΟΤΡΟΦΕΣΜΠΙΖΕΛΙ / ΠΙΣΟ ΚΤΗΝΟΤΡΟΦΙΚΟ THISEAS</v>
      </c>
      <c r="B3059" s="23" t="s">
        <v>5215</v>
      </c>
      <c r="C3059" s="24" t="s">
        <v>5776</v>
      </c>
      <c r="D3059" s="6">
        <v>1402.9</v>
      </c>
      <c r="E3059" s="6">
        <v>1418.93</v>
      </c>
      <c r="F3059" s="29" t="s">
        <v>14</v>
      </c>
      <c r="G3059" s="8" t="s">
        <v>5848</v>
      </c>
      <c r="H3059" s="8" t="s">
        <v>16</v>
      </c>
      <c r="I3059" s="9">
        <v>5405</v>
      </c>
      <c r="J3059" s="26">
        <v>8</v>
      </c>
      <c r="K3059" s="27">
        <v>80174</v>
      </c>
      <c r="L3059" s="3" t="str">
        <f t="shared" si="97"/>
        <v>ΚΤΗΝΟΤΡΟΦΙΚΑ_ΦΥΤΑ_ΓΙΑ_ΖΩΟΤΡΟΦΕΣ</v>
      </c>
    </row>
    <row r="3060" spans="1:12" s="3" customFormat="1" ht="15" customHeight="1" x14ac:dyDescent="0.25">
      <c r="A3060" s="3" t="str">
        <f t="shared" si="96"/>
        <v>ΚΤΗΝΟΤΡΟΦΙΚΑ ΦΥΤΑ ΓΙΑ ΖΩΟΤΡΟΦΕΣΚΡΙΘΑΡΙ FATIMA</v>
      </c>
      <c r="B3060" s="23" t="s">
        <v>5215</v>
      </c>
      <c r="C3060" s="24" t="s">
        <v>5849</v>
      </c>
      <c r="D3060" s="6">
        <v>466.58</v>
      </c>
      <c r="E3060" s="6">
        <v>366.77</v>
      </c>
      <c r="F3060" s="29" t="s">
        <v>14</v>
      </c>
      <c r="G3060" s="8" t="s">
        <v>5850</v>
      </c>
      <c r="H3060" s="8" t="s">
        <v>16</v>
      </c>
      <c r="I3060" s="9">
        <v>5406</v>
      </c>
      <c r="J3060" s="26">
        <v>8</v>
      </c>
      <c r="K3060" s="27">
        <v>80175</v>
      </c>
      <c r="L3060" s="3" t="str">
        <f t="shared" si="97"/>
        <v>ΚΤΗΝΟΤΡΟΦΙΚΑ_ΦΥΤΑ_ΓΙΑ_ΖΩΟΤΡΟΦΕΣ</v>
      </c>
    </row>
    <row r="3061" spans="1:12" s="3" customFormat="1" ht="15" customHeight="1" x14ac:dyDescent="0.25">
      <c r="A3061" s="3" t="str">
        <f t="shared" si="96"/>
        <v>ΚΤΗΝΟΤΡΟΦΙΚΑ ΦΥΤΑ ΓΙΑ ΖΩΟΤΡΟΦΕΣΚΡΙΘΑΡΙ CANNON</v>
      </c>
      <c r="B3061" s="23" t="s">
        <v>5215</v>
      </c>
      <c r="C3061" s="24" t="s">
        <v>5851</v>
      </c>
      <c r="D3061" s="6">
        <v>466.58</v>
      </c>
      <c r="E3061" s="6">
        <v>366.77</v>
      </c>
      <c r="F3061" s="29" t="s">
        <v>14</v>
      </c>
      <c r="G3061" s="8" t="s">
        <v>5852</v>
      </c>
      <c r="H3061" s="8" t="s">
        <v>16</v>
      </c>
      <c r="I3061" s="9">
        <v>5407</v>
      </c>
      <c r="J3061" s="26">
        <v>8</v>
      </c>
      <c r="K3061" s="27">
        <v>80176</v>
      </c>
      <c r="L3061" s="3" t="str">
        <f t="shared" si="97"/>
        <v>ΚΤΗΝΟΤΡΟΦΙΚΑ_ΦΥΤΑ_ΓΙΑ_ΖΩΟΤΡΟΦΕΣ</v>
      </c>
    </row>
    <row r="3062" spans="1:12" s="3" customFormat="1" ht="15" customHeight="1" x14ac:dyDescent="0.25">
      <c r="A3062" s="3" t="str">
        <f t="shared" si="96"/>
        <v>ΚΤΗΝΟΤΡΟΦΙΚΑ ΦΥΤΑ ΓΙΑ ΖΩΟΤΡΟΦΕΣΒΙΚΟΣ PANDORA</v>
      </c>
      <c r="B3062" s="23" t="s">
        <v>5215</v>
      </c>
      <c r="C3062" s="24" t="s">
        <v>5853</v>
      </c>
      <c r="D3062" s="6">
        <v>1402.9</v>
      </c>
      <c r="E3062" s="6">
        <v>1418.93</v>
      </c>
      <c r="F3062" s="29" t="s">
        <v>14</v>
      </c>
      <c r="G3062" s="8" t="s">
        <v>5854</v>
      </c>
      <c r="H3062" s="8" t="s">
        <v>16</v>
      </c>
      <c r="I3062" s="9">
        <v>5408</v>
      </c>
      <c r="J3062" s="26">
        <v>8</v>
      </c>
      <c r="K3062" s="27">
        <v>80177</v>
      </c>
      <c r="L3062" s="3" t="str">
        <f t="shared" si="97"/>
        <v>ΚΤΗΝΟΤΡΟΦΙΚΑ_ΦΥΤΑ_ΓΙΑ_ΖΩΟΤΡΟΦΕΣ</v>
      </c>
    </row>
    <row r="3063" spans="1:12" s="3" customFormat="1" ht="15" customHeight="1" x14ac:dyDescent="0.25">
      <c r="A3063" s="3" t="str">
        <f t="shared" si="96"/>
        <v>ΚΤΗΝΟΤΡΟΦΙΚΑ ΦΥΤΑ ΓΙΑ ΖΩΟΤΡΟΦΕΣΚΤΗΝΟΤΡΟΦΙΚΟ ΚΟΥΚΙ ENRICO</v>
      </c>
      <c r="B3063" s="23" t="s">
        <v>5215</v>
      </c>
      <c r="C3063" s="24" t="s">
        <v>5855</v>
      </c>
      <c r="D3063" s="6">
        <v>1402.9</v>
      </c>
      <c r="E3063" s="6">
        <v>1418.93</v>
      </c>
      <c r="F3063" s="29" t="s">
        <v>14</v>
      </c>
      <c r="G3063" s="8" t="s">
        <v>5856</v>
      </c>
      <c r="H3063" s="8" t="s">
        <v>16</v>
      </c>
      <c r="I3063" s="9">
        <v>5409</v>
      </c>
      <c r="J3063" s="26">
        <v>8</v>
      </c>
      <c r="K3063" s="27">
        <v>80178</v>
      </c>
      <c r="L3063" s="3" t="str">
        <f t="shared" si="97"/>
        <v>ΚΤΗΝΟΤΡΟΦΙΚΑ_ΦΥΤΑ_ΓΙΑ_ΖΩΟΤΡΟΦΕΣ</v>
      </c>
    </row>
    <row r="3064" spans="1:12" s="3" customFormat="1" ht="15" customHeight="1" x14ac:dyDescent="0.25">
      <c r="A3064" s="3" t="str">
        <f t="shared" si="96"/>
        <v>ΚΤΗΝΟΤΡΟΦΙΚΑ ΦΥΤΑ ΓΙΑ ΖΩΟΤΡΟΦΕΣΚΤΗΝΟΤΡΟΦΙΚΟ ΚΟΥΚΙ KASOS</v>
      </c>
      <c r="B3064" s="23" t="s">
        <v>5215</v>
      </c>
      <c r="C3064" s="24" t="s">
        <v>5857</v>
      </c>
      <c r="D3064" s="6">
        <v>1402.9</v>
      </c>
      <c r="E3064" s="6">
        <v>1418.93</v>
      </c>
      <c r="F3064" s="29" t="s">
        <v>14</v>
      </c>
      <c r="G3064" s="8" t="s">
        <v>5858</v>
      </c>
      <c r="H3064" s="8" t="s">
        <v>16</v>
      </c>
      <c r="I3064" s="9">
        <v>5410</v>
      </c>
      <c r="J3064" s="26">
        <v>8</v>
      </c>
      <c r="K3064" s="27">
        <v>80179</v>
      </c>
      <c r="L3064" s="3" t="str">
        <f t="shared" si="97"/>
        <v>ΚΤΗΝΟΤΡΟΦΙΚΑ_ΦΥΤΑ_ΓΙΑ_ΖΩΟΤΡΟΦΕΣ</v>
      </c>
    </row>
    <row r="3065" spans="1:12" s="3" customFormat="1" ht="15" customHeight="1" x14ac:dyDescent="0.25">
      <c r="A3065" s="3" t="str">
        <f t="shared" si="96"/>
        <v>ΚΤΗΝΟΤΡΟΦΙΚΑ ΦΥΤΑ ΓΙΑ ΖΩΟΤΡΟΦΕΣΤΡΙΦΥΛΛΙ TO ΑΛΕΞΑΝΔΡΙΝΟ MIRIAM</v>
      </c>
      <c r="B3065" s="23" t="s">
        <v>5215</v>
      </c>
      <c r="C3065" s="24" t="s">
        <v>5859</v>
      </c>
      <c r="D3065" s="6">
        <v>1402.9</v>
      </c>
      <c r="E3065" s="6">
        <v>1418.93</v>
      </c>
      <c r="F3065" s="29" t="s">
        <v>14</v>
      </c>
      <c r="G3065" s="8" t="s">
        <v>5860</v>
      </c>
      <c r="H3065" s="8" t="s">
        <v>16</v>
      </c>
      <c r="I3065" s="9">
        <v>5411</v>
      </c>
      <c r="J3065" s="26">
        <v>8</v>
      </c>
      <c r="K3065" s="27">
        <v>80180</v>
      </c>
      <c r="L3065" s="3" t="str">
        <f t="shared" si="97"/>
        <v>ΚΤΗΝΟΤΡΟΦΙΚΑ_ΦΥΤΑ_ΓΙΑ_ΖΩΟΤΡΟΦΕΣ</v>
      </c>
    </row>
    <row r="3066" spans="1:12" s="3" customFormat="1" ht="15" customHeight="1" x14ac:dyDescent="0.25">
      <c r="A3066" s="3" t="str">
        <f t="shared" si="96"/>
        <v>ΚΤΗΝΟΤΡΟΦΙΚΑ ΦΥΤΑ ΓΙΑ ΖΩΟΤΡΟΦΕΣΤΡΙΦΥΛΛΙ TO ΑΛΕΞΑΝΔΡΙΝΟ OTTO</v>
      </c>
      <c r="B3066" s="23" t="s">
        <v>5215</v>
      </c>
      <c r="C3066" s="24" t="s">
        <v>5861</v>
      </c>
      <c r="D3066" s="6">
        <v>1402.9</v>
      </c>
      <c r="E3066" s="6">
        <v>1418.93</v>
      </c>
      <c r="F3066" s="29" t="s">
        <v>14</v>
      </c>
      <c r="G3066" s="8" t="s">
        <v>5862</v>
      </c>
      <c r="H3066" s="8" t="s">
        <v>16</v>
      </c>
      <c r="I3066" s="9">
        <v>5412</v>
      </c>
      <c r="J3066" s="26">
        <v>8</v>
      </c>
      <c r="K3066" s="27">
        <v>80181</v>
      </c>
      <c r="L3066" s="3" t="str">
        <f t="shared" si="97"/>
        <v>ΚΤΗΝΟΤΡΟΦΙΚΑ_ΦΥΤΑ_ΓΙΑ_ΖΩΟΤΡΟΦΕΣ</v>
      </c>
    </row>
    <row r="3067" spans="1:12" s="3" customFormat="1" ht="15" customHeight="1" x14ac:dyDescent="0.25">
      <c r="A3067" s="3" t="str">
        <f t="shared" si="96"/>
        <v>ΚΤΗΝΟΤΡΟΦΙΚΑ ΦΥΤΑ ΓΙΑ ΖΩΟΤΡΟΦΕΣΣΟΡΓΟ ΤΟΥ ΣΟΥΔΑΝ ADVANCEGRAZER</v>
      </c>
      <c r="B3067" s="23" t="s">
        <v>5215</v>
      </c>
      <c r="C3067" s="24" t="s">
        <v>5863</v>
      </c>
      <c r="D3067" s="6">
        <v>363.85</v>
      </c>
      <c r="E3067" s="6">
        <v>331.13</v>
      </c>
      <c r="F3067" s="29" t="s">
        <v>14</v>
      </c>
      <c r="G3067" s="8" t="s">
        <v>5864</v>
      </c>
      <c r="H3067" s="8" t="s">
        <v>16</v>
      </c>
      <c r="I3067" s="9">
        <v>5413</v>
      </c>
      <c r="J3067" s="26">
        <v>8</v>
      </c>
      <c r="K3067" s="27">
        <v>80182</v>
      </c>
      <c r="L3067" s="3" t="str">
        <f t="shared" si="97"/>
        <v>ΚΤΗΝΟΤΡΟΦΙΚΑ_ΦΥΤΑ_ΓΙΑ_ΖΩΟΤΡΟΦΕΣ</v>
      </c>
    </row>
    <row r="3068" spans="1:12" s="3" customFormat="1" ht="15" customHeight="1" x14ac:dyDescent="0.25">
      <c r="A3068" s="3" t="str">
        <f t="shared" si="96"/>
        <v>ΚΤΗΝΟΤΡΟΦΙΚΑ ΦΥΤΑ ΓΙΑ ΖΩΟΤΡΟΦΕΣΜΠΙΖΕΛΙ / ΠΙΣΟ ΚΤΗΝΟΤΡΟΦΙΚΟ ARKTA</v>
      </c>
      <c r="B3068" s="23" t="s">
        <v>5215</v>
      </c>
      <c r="C3068" s="24" t="s">
        <v>5865</v>
      </c>
      <c r="D3068" s="6">
        <v>1402.9</v>
      </c>
      <c r="E3068" s="6">
        <v>1418.93</v>
      </c>
      <c r="F3068" s="7" t="s">
        <v>14</v>
      </c>
      <c r="G3068" s="30" t="s">
        <v>5866</v>
      </c>
      <c r="H3068" s="31" t="s">
        <v>577</v>
      </c>
      <c r="I3068" s="9">
        <v>6094</v>
      </c>
      <c r="J3068" s="30">
        <v>8</v>
      </c>
      <c r="K3068" s="30">
        <v>80183</v>
      </c>
      <c r="L3068" s="3" t="str">
        <f t="shared" si="97"/>
        <v>ΚΤΗΝΟΤΡΟΦΙΚΑ_ΦΥΤΑ_ΓΙΑ_ΖΩΟΤΡΟΦΕΣ</v>
      </c>
    </row>
    <row r="3069" spans="1:12" s="3" customFormat="1" ht="15" customHeight="1" x14ac:dyDescent="0.25">
      <c r="A3069" s="3" t="str">
        <f t="shared" si="96"/>
        <v>ΚΤΗΝΟΤΡΟΦΙΚΑ ΦΥΤΑ ΓΙΑ ΖΩΟΤΡΟΦΕΣΒΙΚΟΣ OTHELLOS</v>
      </c>
      <c r="B3069" s="23" t="s">
        <v>5215</v>
      </c>
      <c r="C3069" s="24" t="s">
        <v>5867</v>
      </c>
      <c r="D3069" s="6">
        <v>1402.9</v>
      </c>
      <c r="E3069" s="6">
        <v>1418.93</v>
      </c>
      <c r="F3069" s="7" t="s">
        <v>14</v>
      </c>
      <c r="G3069" s="30" t="s">
        <v>5868</v>
      </c>
      <c r="H3069" s="31" t="s">
        <v>577</v>
      </c>
      <c r="I3069" s="9">
        <v>5956</v>
      </c>
      <c r="J3069" s="30">
        <v>8</v>
      </c>
      <c r="K3069" s="30">
        <v>80184</v>
      </c>
      <c r="L3069" s="3" t="str">
        <f t="shared" si="97"/>
        <v>ΚΤΗΝΟΤΡΟΦΙΚΑ_ΦΥΤΑ_ΓΙΑ_ΖΩΟΤΡΟΦΕΣ</v>
      </c>
    </row>
    <row r="3070" spans="1:12" s="3" customFormat="1" ht="15" customHeight="1" x14ac:dyDescent="0.25">
      <c r="A3070" s="3" t="str">
        <f t="shared" si="96"/>
        <v>ΚΤΗΝΟΤΡΟΦΙΚΑ ΦΥΤΑ ΓΙΑ ΖΩΟΤΡΟΦΕΣΚΡΙΘΑΡΙ IS MALTIGO</v>
      </c>
      <c r="B3070" s="23" t="s">
        <v>5215</v>
      </c>
      <c r="C3070" s="24" t="s">
        <v>5869</v>
      </c>
      <c r="D3070" s="6">
        <v>466.58</v>
      </c>
      <c r="E3070" s="6">
        <v>366.77</v>
      </c>
      <c r="F3070" s="7" t="s">
        <v>14</v>
      </c>
      <c r="G3070" s="30" t="s">
        <v>5870</v>
      </c>
      <c r="H3070" s="31" t="s">
        <v>577</v>
      </c>
      <c r="I3070" s="9">
        <v>6019</v>
      </c>
      <c r="J3070" s="30">
        <v>8</v>
      </c>
      <c r="K3070" s="30">
        <v>80185</v>
      </c>
      <c r="L3070" s="3" t="str">
        <f t="shared" si="97"/>
        <v>ΚΤΗΝΟΤΡΟΦΙΚΑ_ΦΥΤΑ_ΓΙΑ_ΖΩΟΤΡΟΦΕΣ</v>
      </c>
    </row>
    <row r="3071" spans="1:12" s="3" customFormat="1" ht="15" customHeight="1" x14ac:dyDescent="0.25">
      <c r="A3071" s="3" t="str">
        <f t="shared" si="96"/>
        <v>ΚΤΗΝΟΤΡΟΦΙΚΑ ΦΥΤΑ ΓΙΑ ΖΩΟΤΡΟΦΕΣΚΡΙΘΑΡΙ THEODORA</v>
      </c>
      <c r="B3071" s="23" t="s">
        <v>5215</v>
      </c>
      <c r="C3071" s="24" t="s">
        <v>5871</v>
      </c>
      <c r="D3071" s="6">
        <v>466.58</v>
      </c>
      <c r="E3071" s="6">
        <v>366.77</v>
      </c>
      <c r="F3071" s="7" t="s">
        <v>14</v>
      </c>
      <c r="G3071" s="30" t="s">
        <v>5872</v>
      </c>
      <c r="H3071" s="31" t="s">
        <v>577</v>
      </c>
      <c r="I3071" s="9">
        <v>6050</v>
      </c>
      <c r="J3071" s="30">
        <v>8</v>
      </c>
      <c r="K3071" s="30">
        <v>80186</v>
      </c>
      <c r="L3071" s="3" t="str">
        <f t="shared" si="97"/>
        <v>ΚΤΗΝΟΤΡΟΦΙΚΑ_ΦΥΤΑ_ΓΙΑ_ΖΩΟΤΡΟΦΕΣ</v>
      </c>
    </row>
    <row r="3072" spans="1:12" s="3" customFormat="1" ht="15" customHeight="1" x14ac:dyDescent="0.25">
      <c r="A3072" s="3" t="str">
        <f t="shared" si="96"/>
        <v>ΚΤΗΝΟΤΡΟΦΙΚΑ ΦΥΤΑ ΓΙΑ ΖΩΟΤΡΟΦΕΣΚΡΙΘΑΡΙ ZOO</v>
      </c>
      <c r="B3072" s="23" t="s">
        <v>5215</v>
      </c>
      <c r="C3072" s="24" t="s">
        <v>5873</v>
      </c>
      <c r="D3072" s="6">
        <v>466.58</v>
      </c>
      <c r="E3072" s="6">
        <v>366.77</v>
      </c>
      <c r="F3072" s="7" t="s">
        <v>14</v>
      </c>
      <c r="G3072" s="30" t="s">
        <v>5874</v>
      </c>
      <c r="H3072" s="31" t="s">
        <v>577</v>
      </c>
      <c r="I3072" s="9">
        <v>6058</v>
      </c>
      <c r="J3072" s="30">
        <v>8</v>
      </c>
      <c r="K3072" s="30">
        <v>80187</v>
      </c>
      <c r="L3072" s="3" t="str">
        <f t="shared" si="97"/>
        <v>ΚΤΗΝΟΤΡΟΦΙΚΑ_ΦΥΤΑ_ΓΙΑ_ΖΩΟΤΡΟΦΕΣ</v>
      </c>
    </row>
    <row r="3073" spans="1:12" s="3" customFormat="1" ht="15" customHeight="1" x14ac:dyDescent="0.25">
      <c r="A3073" s="3" t="str">
        <f t="shared" si="96"/>
        <v>ΚΤΗΝΟΤΡΟΦΙΚΑ ΦΥΤΑ ΓΙΑ ΖΩΟΤΡΟΦΕΣΚΡΙΘΑΡΙ AVUS</v>
      </c>
      <c r="B3073" s="23" t="s">
        <v>5215</v>
      </c>
      <c r="C3073" s="24" t="s">
        <v>5875</v>
      </c>
      <c r="D3073" s="6">
        <v>466.58</v>
      </c>
      <c r="E3073" s="6">
        <v>366.77</v>
      </c>
      <c r="F3073" s="7" t="s">
        <v>14</v>
      </c>
      <c r="G3073" s="30" t="s">
        <v>5876</v>
      </c>
      <c r="H3073" s="31" t="s">
        <v>577</v>
      </c>
      <c r="I3073" s="9">
        <v>5998</v>
      </c>
      <c r="J3073" s="30">
        <v>8</v>
      </c>
      <c r="K3073" s="30">
        <v>80188</v>
      </c>
      <c r="L3073" s="3" t="str">
        <f t="shared" si="97"/>
        <v>ΚΤΗΝΟΤΡΟΦΙΚΑ_ΦΥΤΑ_ΓΙΑ_ΖΩΟΤΡΟΦΕΣ</v>
      </c>
    </row>
    <row r="3074" spans="1:12" s="3" customFormat="1" ht="15" customHeight="1" x14ac:dyDescent="0.25">
      <c r="A3074" s="3" t="str">
        <f t="shared" si="96"/>
        <v>ΚΤΗΝΟΤΡΟΦΙΚΑ ΦΥΤΑ ΓΙΑ ΖΩΟΤΡΟΦΕΣΚΡΙΘΑΡΙ AVALON</v>
      </c>
      <c r="B3074" s="23" t="s">
        <v>5215</v>
      </c>
      <c r="C3074" s="24" t="s">
        <v>5877</v>
      </c>
      <c r="D3074" s="6">
        <v>466.58</v>
      </c>
      <c r="E3074" s="6">
        <v>366.77</v>
      </c>
      <c r="F3074" s="7" t="s">
        <v>14</v>
      </c>
      <c r="G3074" s="30" t="s">
        <v>5878</v>
      </c>
      <c r="H3074" s="31" t="s">
        <v>577</v>
      </c>
      <c r="I3074" s="9">
        <v>5996</v>
      </c>
      <c r="J3074" s="30">
        <v>8</v>
      </c>
      <c r="K3074" s="30">
        <v>80189</v>
      </c>
      <c r="L3074" s="3" t="str">
        <f t="shared" si="97"/>
        <v>ΚΤΗΝΟΤΡΟΦΙΚΑ_ΦΥΤΑ_ΓΙΑ_ΖΩΟΤΡΟΦΕΣ</v>
      </c>
    </row>
    <row r="3075" spans="1:12" s="3" customFormat="1" ht="15" customHeight="1" x14ac:dyDescent="0.25">
      <c r="A3075" s="3" t="str">
        <f t="shared" ref="A3075:A3138" si="98">_xlfn.CONCAT(B3075,C3075)</f>
        <v>ΚΤΗΝΟΤΡΟΦΙΚΑ ΦΥΤΑ ΓΙΑ ΖΩΟΤΡΟΦΕΣΚΡΙΘΑΡΙ LAVANDA</v>
      </c>
      <c r="B3075" s="23" t="s">
        <v>5215</v>
      </c>
      <c r="C3075" s="24" t="s">
        <v>5879</v>
      </c>
      <c r="D3075" s="6">
        <v>466.58</v>
      </c>
      <c r="E3075" s="6">
        <v>366.77</v>
      </c>
      <c r="F3075" s="7" t="s">
        <v>14</v>
      </c>
      <c r="G3075" s="30" t="s">
        <v>5880</v>
      </c>
      <c r="H3075" s="31" t="s">
        <v>577</v>
      </c>
      <c r="I3075" s="9">
        <v>6026</v>
      </c>
      <c r="J3075" s="30">
        <v>8</v>
      </c>
      <c r="K3075" s="30">
        <v>80190</v>
      </c>
      <c r="L3075" s="3" t="str">
        <f t="shared" ref="L3075:L3138" si="99">IFERROR(SUBSTITUTE(SUBSTITUTE(SUBSTITUTE(SUBSTITUTE(SUBSTITUTE(B3075, "-", "_"), " ", "_"), ",", ""), "(", ""), ")", ""), B3075)</f>
        <v>ΚΤΗΝΟΤΡΟΦΙΚΑ_ΦΥΤΑ_ΓΙΑ_ΖΩΟΤΡΟΦΕΣ</v>
      </c>
    </row>
    <row r="3076" spans="1:12" s="3" customFormat="1" ht="15" customHeight="1" x14ac:dyDescent="0.25">
      <c r="A3076" s="3" t="str">
        <f t="shared" si="98"/>
        <v>ΚΤΗΝΟΤΡΟΦΙΚΑ ΦΥΤΑ ΓΙΑ ΖΩΟΤΡΟΦΕΣΚΡΙΘΑΡΙ CLEMENTINE</v>
      </c>
      <c r="B3076" s="23" t="s">
        <v>5215</v>
      </c>
      <c r="C3076" s="24" t="s">
        <v>5881</v>
      </c>
      <c r="D3076" s="6">
        <v>466.58</v>
      </c>
      <c r="E3076" s="6">
        <v>366.77</v>
      </c>
      <c r="F3076" s="7" t="s">
        <v>14</v>
      </c>
      <c r="G3076" s="30" t="s">
        <v>5882</v>
      </c>
      <c r="H3076" s="31" t="s">
        <v>577</v>
      </c>
      <c r="I3076" s="9">
        <v>6004</v>
      </c>
      <c r="J3076" s="30">
        <v>8</v>
      </c>
      <c r="K3076" s="30">
        <v>80191</v>
      </c>
      <c r="L3076" s="3" t="str">
        <f t="shared" si="99"/>
        <v>ΚΤΗΝΟΤΡΟΦΙΚΑ_ΦΥΤΑ_ΓΙΑ_ΖΩΟΤΡΟΦΕΣ</v>
      </c>
    </row>
    <row r="3077" spans="1:12" s="3" customFormat="1" ht="15" customHeight="1" x14ac:dyDescent="0.25">
      <c r="A3077" s="3" t="str">
        <f t="shared" si="98"/>
        <v>ΚΤΗΝΟΤΡΟΦΙΚΑ ΦΥΤΑ ΓΙΑ ΖΩΟΤΡΟΦΕΣΚΡΙΘΑΡΙ MALTESSE</v>
      </c>
      <c r="B3077" s="23" t="s">
        <v>5215</v>
      </c>
      <c r="C3077" s="24" t="s">
        <v>5883</v>
      </c>
      <c r="D3077" s="6">
        <v>466.58</v>
      </c>
      <c r="E3077" s="6">
        <v>366.77</v>
      </c>
      <c r="F3077" s="7" t="s">
        <v>14</v>
      </c>
      <c r="G3077" s="30" t="s">
        <v>5884</v>
      </c>
      <c r="H3077" s="31" t="s">
        <v>577</v>
      </c>
      <c r="I3077" s="9">
        <v>6031</v>
      </c>
      <c r="J3077" s="30">
        <v>8</v>
      </c>
      <c r="K3077" s="30">
        <v>80192</v>
      </c>
      <c r="L3077" s="3" t="str">
        <f t="shared" si="99"/>
        <v>ΚΤΗΝΟΤΡΟΦΙΚΑ_ΦΥΤΑ_ΓΙΑ_ΖΩΟΤΡΟΦΕΣ</v>
      </c>
    </row>
    <row r="3078" spans="1:12" s="3" customFormat="1" ht="15" customHeight="1" x14ac:dyDescent="0.25">
      <c r="A3078" s="3" t="str">
        <f t="shared" si="98"/>
        <v>ΚΤΗΝΟΤΡΟΦΙΚΑ ΦΥΤΑ ΓΙΑ ΖΩΟΤΡΟΦΕΣΚΡΙΘΑΡΙ JUVENTA</v>
      </c>
      <c r="B3078" s="23" t="s">
        <v>5215</v>
      </c>
      <c r="C3078" s="24" t="s">
        <v>5885</v>
      </c>
      <c r="D3078" s="6">
        <v>466.58</v>
      </c>
      <c r="E3078" s="6">
        <v>366.77</v>
      </c>
      <c r="F3078" s="7" t="s">
        <v>14</v>
      </c>
      <c r="G3078" s="30" t="s">
        <v>5886</v>
      </c>
      <c r="H3078" s="31" t="s">
        <v>577</v>
      </c>
      <c r="I3078" s="9">
        <v>6022</v>
      </c>
      <c r="J3078" s="30">
        <v>8</v>
      </c>
      <c r="K3078" s="30">
        <v>80193</v>
      </c>
      <c r="L3078" s="3" t="str">
        <f t="shared" si="99"/>
        <v>ΚΤΗΝΟΤΡΟΦΙΚΑ_ΦΥΤΑ_ΓΙΑ_ΖΩΟΤΡΟΦΕΣ</v>
      </c>
    </row>
    <row r="3079" spans="1:12" s="3" customFormat="1" ht="15" customHeight="1" x14ac:dyDescent="0.25">
      <c r="A3079" s="3" t="str">
        <f t="shared" si="98"/>
        <v>ΚΤΗΝΟΤΡΟΦΙΚΑ ΦΥΤΑ ΓΙΑ ΖΩΟΤΡΟΦΕΣΚΡΙΘΑΡΙ PANAGIAS</v>
      </c>
      <c r="B3079" s="23" t="s">
        <v>5215</v>
      </c>
      <c r="C3079" s="24" t="s">
        <v>5887</v>
      </c>
      <c r="D3079" s="6">
        <v>466.58</v>
      </c>
      <c r="E3079" s="6">
        <v>366.77</v>
      </c>
      <c r="F3079" s="7" t="s">
        <v>14</v>
      </c>
      <c r="G3079" s="30" t="s">
        <v>5888</v>
      </c>
      <c r="H3079" s="31" t="s">
        <v>577</v>
      </c>
      <c r="I3079" s="9">
        <v>6040</v>
      </c>
      <c r="J3079" s="30">
        <v>8</v>
      </c>
      <c r="K3079" s="30">
        <v>80194</v>
      </c>
      <c r="L3079" s="3" t="str">
        <f t="shared" si="99"/>
        <v>ΚΤΗΝΟΤΡΟΦΙΚΑ_ΦΥΤΑ_ΓΙΑ_ΖΩΟΤΡΟΦΕΣ</v>
      </c>
    </row>
    <row r="3080" spans="1:12" s="3" customFormat="1" ht="15" customHeight="1" x14ac:dyDescent="0.25">
      <c r="A3080" s="3" t="str">
        <f t="shared" si="98"/>
        <v>ΚΤΗΝΟΤΡΟΦΙΚΑ ΦΥΤΑ ΓΙΑ ΖΩΟΤΡΟΦΕΣΚΡΙΘΑΡΙ EXPLORA</v>
      </c>
      <c r="B3080" s="23" t="s">
        <v>5215</v>
      </c>
      <c r="C3080" s="24" t="s">
        <v>5889</v>
      </c>
      <c r="D3080" s="6">
        <v>466.58</v>
      </c>
      <c r="E3080" s="6">
        <v>366.77</v>
      </c>
      <c r="F3080" s="7" t="s">
        <v>14</v>
      </c>
      <c r="G3080" s="30" t="s">
        <v>5890</v>
      </c>
      <c r="H3080" s="31" t="s">
        <v>577</v>
      </c>
      <c r="I3080" s="9">
        <v>6010</v>
      </c>
      <c r="J3080" s="30">
        <v>8</v>
      </c>
      <c r="K3080" s="30">
        <v>80195</v>
      </c>
      <c r="L3080" s="3" t="str">
        <f t="shared" si="99"/>
        <v>ΚΤΗΝΟΤΡΟΦΙΚΑ_ΦΥΤΑ_ΓΙΑ_ΖΩΟΤΡΟΦΕΣ</v>
      </c>
    </row>
    <row r="3081" spans="1:12" s="3" customFormat="1" ht="15" customHeight="1" x14ac:dyDescent="0.25">
      <c r="A3081" s="3" t="str">
        <f t="shared" si="98"/>
        <v>ΚΤΗΝΟΤΡΟΦΙΚΑ ΦΥΤΑ ΓΙΑ ΖΩΟΤΡΟΦΕΣΚΡΙΘΑΡΙ GUZEL</v>
      </c>
      <c r="B3081" s="23" t="s">
        <v>5215</v>
      </c>
      <c r="C3081" s="24" t="s">
        <v>5891</v>
      </c>
      <c r="D3081" s="6">
        <v>466.58</v>
      </c>
      <c r="E3081" s="6">
        <v>366.77</v>
      </c>
      <c r="F3081" s="7" t="s">
        <v>14</v>
      </c>
      <c r="G3081" s="30" t="s">
        <v>5892</v>
      </c>
      <c r="H3081" s="31" t="s">
        <v>577</v>
      </c>
      <c r="I3081" s="9">
        <v>6017</v>
      </c>
      <c r="J3081" s="30">
        <v>8</v>
      </c>
      <c r="K3081" s="30">
        <v>80196</v>
      </c>
      <c r="L3081" s="3" t="str">
        <f t="shared" si="99"/>
        <v>ΚΤΗΝΟΤΡΟΦΙΚΑ_ΦΥΤΑ_ΓΙΑ_ΖΩΟΤΡΟΦΕΣ</v>
      </c>
    </row>
    <row r="3082" spans="1:12" s="3" customFormat="1" ht="15" customHeight="1" x14ac:dyDescent="0.25">
      <c r="A3082" s="3" t="str">
        <f t="shared" si="98"/>
        <v>ΚΤΗΝΟΤΡΟΦΙΚΑ ΦΥΤΑ ΓΙΑ ΖΩΟΤΡΟΦΕΣΣΙΤΟΣ ΜΑΛΑΚΟΣ ARGONE</v>
      </c>
      <c r="B3082" s="23" t="s">
        <v>5215</v>
      </c>
      <c r="C3082" s="24" t="s">
        <v>5893</v>
      </c>
      <c r="D3082" s="6">
        <v>491.53</v>
      </c>
      <c r="E3082" s="6">
        <v>485.9</v>
      </c>
      <c r="F3082" s="7" t="s">
        <v>14</v>
      </c>
      <c r="G3082" s="30" t="s">
        <v>5894</v>
      </c>
      <c r="H3082" s="31" t="s">
        <v>577</v>
      </c>
      <c r="I3082" s="9">
        <v>6166</v>
      </c>
      <c r="J3082" s="30">
        <v>8</v>
      </c>
      <c r="K3082" s="30">
        <v>80197</v>
      </c>
      <c r="L3082" s="3" t="str">
        <f t="shared" si="99"/>
        <v>ΚΤΗΝΟΤΡΟΦΙΚΑ_ΦΥΤΑ_ΓΙΑ_ΖΩΟΤΡΟΦΕΣ</v>
      </c>
    </row>
    <row r="3083" spans="1:12" s="3" customFormat="1" ht="15" customHeight="1" x14ac:dyDescent="0.25">
      <c r="A3083" s="3" t="str">
        <f t="shared" si="98"/>
        <v>ΚΤΗΝΟΤΡΟΦΙΚΑ ΦΥΤΑ ΓΙΑ ΖΩΟΤΡΟΦΕΣΣΙΤΟΣ ΜΑΛΑΚΟΣ SALVIA</v>
      </c>
      <c r="B3083" s="23" t="s">
        <v>5215</v>
      </c>
      <c r="C3083" s="24" t="s">
        <v>5895</v>
      </c>
      <c r="D3083" s="6">
        <v>491.53</v>
      </c>
      <c r="E3083" s="6">
        <v>485.9</v>
      </c>
      <c r="F3083" s="7" t="s">
        <v>14</v>
      </c>
      <c r="G3083" s="30" t="s">
        <v>5896</v>
      </c>
      <c r="H3083" s="31" t="s">
        <v>577</v>
      </c>
      <c r="I3083" s="9">
        <v>6213</v>
      </c>
      <c r="J3083" s="30">
        <v>8</v>
      </c>
      <c r="K3083" s="30">
        <v>80198</v>
      </c>
      <c r="L3083" s="3" t="str">
        <f t="shared" si="99"/>
        <v>ΚΤΗΝΟΤΡΟΦΙΚΑ_ΦΥΤΑ_ΓΙΑ_ΖΩΟΤΡΟΦΕΣ</v>
      </c>
    </row>
    <row r="3084" spans="1:12" s="3" customFormat="1" ht="15" customHeight="1" x14ac:dyDescent="0.25">
      <c r="A3084" s="3" t="str">
        <f t="shared" si="98"/>
        <v>ΚΤΗΝΟΤΡΟΦΙΚΑ ΦΥΤΑ ΓΙΑ ΖΩΟΤΡΟΦΕΣΣΙΤΟΣ ΜΑΛΑΚΟΣ BELLINI</v>
      </c>
      <c r="B3084" s="23" t="s">
        <v>5215</v>
      </c>
      <c r="C3084" s="24" t="s">
        <v>5897</v>
      </c>
      <c r="D3084" s="6">
        <v>491.53</v>
      </c>
      <c r="E3084" s="6">
        <v>485.9</v>
      </c>
      <c r="F3084" s="7" t="s">
        <v>14</v>
      </c>
      <c r="G3084" s="30" t="s">
        <v>5898</v>
      </c>
      <c r="H3084" s="31" t="s">
        <v>577</v>
      </c>
      <c r="I3084" s="9">
        <v>6172</v>
      </c>
      <c r="J3084" s="30">
        <v>8</v>
      </c>
      <c r="K3084" s="30">
        <v>80199</v>
      </c>
      <c r="L3084" s="3" t="str">
        <f t="shared" si="99"/>
        <v>ΚΤΗΝΟΤΡΟΦΙΚΑ_ΦΥΤΑ_ΓΙΑ_ΖΩΟΤΡΟΦΕΣ</v>
      </c>
    </row>
    <row r="3085" spans="1:12" s="3" customFormat="1" ht="15" customHeight="1" x14ac:dyDescent="0.25">
      <c r="A3085" s="3" t="str">
        <f t="shared" si="98"/>
        <v>ΚΤΗΝΟΤΡΟΦΙΚΑ ΦΥΤΑ ΓΙΑ ΖΩΟΤΡΟΦΕΣΣΙΤΟΣ ΜΑΛΑΚΟΣ TIEPOLO</v>
      </c>
      <c r="B3085" s="23" t="s">
        <v>5215</v>
      </c>
      <c r="C3085" s="24" t="s">
        <v>5899</v>
      </c>
      <c r="D3085" s="6">
        <v>491.53</v>
      </c>
      <c r="E3085" s="6">
        <v>485.9</v>
      </c>
      <c r="F3085" s="7" t="s">
        <v>14</v>
      </c>
      <c r="G3085" s="30" t="s">
        <v>5900</v>
      </c>
      <c r="H3085" s="31" t="s">
        <v>577</v>
      </c>
      <c r="I3085" s="9">
        <v>6221</v>
      </c>
      <c r="J3085" s="30">
        <v>8</v>
      </c>
      <c r="K3085" s="30">
        <v>80200</v>
      </c>
      <c r="L3085" s="3" t="str">
        <f t="shared" si="99"/>
        <v>ΚΤΗΝΟΤΡΟΦΙΚΑ_ΦΥΤΑ_ΓΙΑ_ΖΩΟΤΡΟΦΕΣ</v>
      </c>
    </row>
    <row r="3086" spans="1:12" s="3" customFormat="1" ht="15" customHeight="1" x14ac:dyDescent="0.25">
      <c r="A3086" s="3" t="str">
        <f t="shared" si="98"/>
        <v>ΚΤΗΝΟΤΡΟΦΙΚΑ ΦΥΤΑ ΓΙΑ ΖΩΟΤΡΟΦΕΣΣΙΤΟΣ ΜΑΛΑΚΟΣ ABT219</v>
      </c>
      <c r="B3086" s="23" t="s">
        <v>5215</v>
      </c>
      <c r="C3086" s="24" t="s">
        <v>5901</v>
      </c>
      <c r="D3086" s="6">
        <v>491.53</v>
      </c>
      <c r="E3086" s="6">
        <v>485.9</v>
      </c>
      <c r="F3086" s="7" t="s">
        <v>14</v>
      </c>
      <c r="G3086" s="30" t="s">
        <v>5902</v>
      </c>
      <c r="H3086" s="31" t="s">
        <v>577</v>
      </c>
      <c r="I3086" s="9">
        <v>6150</v>
      </c>
      <c r="J3086" s="30">
        <v>8</v>
      </c>
      <c r="K3086" s="30">
        <v>80201</v>
      </c>
      <c r="L3086" s="3" t="str">
        <f t="shared" si="99"/>
        <v>ΚΤΗΝΟΤΡΟΦΙΚΑ_ΦΥΤΑ_ΓΙΑ_ΖΩΟΤΡΟΦΕΣ</v>
      </c>
    </row>
    <row r="3087" spans="1:12" s="3" customFormat="1" ht="15" customHeight="1" x14ac:dyDescent="0.25">
      <c r="A3087" s="3" t="str">
        <f t="shared" si="98"/>
        <v>ΚΤΗΝΟΤΡΟΦΙΚΑ ΦΥΤΑ ΓΙΑ ΖΩΟΤΡΟΦΕΣΣΙΤΟΣ ΜΑΛΑΚΟΣ AMBURGO</v>
      </c>
      <c r="B3087" s="23" t="s">
        <v>5215</v>
      </c>
      <c r="C3087" s="24" t="s">
        <v>5903</v>
      </c>
      <c r="D3087" s="6">
        <v>491.53</v>
      </c>
      <c r="E3087" s="6">
        <v>485.9</v>
      </c>
      <c r="F3087" s="7" t="s">
        <v>14</v>
      </c>
      <c r="G3087" s="30" t="s">
        <v>5904</v>
      </c>
      <c r="H3087" s="31" t="s">
        <v>577</v>
      </c>
      <c r="I3087" s="9">
        <v>6160</v>
      </c>
      <c r="J3087" s="30">
        <v>8</v>
      </c>
      <c r="K3087" s="30">
        <v>80202</v>
      </c>
      <c r="L3087" s="3" t="str">
        <f t="shared" si="99"/>
        <v>ΚΤΗΝΟΤΡΟΦΙΚΑ_ΦΥΤΑ_ΓΙΑ_ΖΩΟΤΡΟΦΕΣ</v>
      </c>
    </row>
    <row r="3088" spans="1:12" s="3" customFormat="1" ht="15" customHeight="1" x14ac:dyDescent="0.25">
      <c r="A3088" s="3" t="str">
        <f t="shared" si="98"/>
        <v>ΚΤΗΝΟΤΡΟΦΙΚΑ ΦΥΤΑ ΓΙΑ ΖΩΟΤΡΟΦΕΣΣΙΤΟΣ ΜΑΛΑΚΟΣ TEJADA</v>
      </c>
      <c r="B3088" s="23" t="s">
        <v>5215</v>
      </c>
      <c r="C3088" s="24" t="s">
        <v>5905</v>
      </c>
      <c r="D3088" s="6">
        <v>491.53</v>
      </c>
      <c r="E3088" s="6">
        <v>485.9</v>
      </c>
      <c r="F3088" s="7" t="s">
        <v>14</v>
      </c>
      <c r="G3088" s="30" t="s">
        <v>5906</v>
      </c>
      <c r="H3088" s="31" t="s">
        <v>577</v>
      </c>
      <c r="I3088" s="9">
        <v>6219</v>
      </c>
      <c r="J3088" s="30">
        <v>8</v>
      </c>
      <c r="K3088" s="30">
        <v>80203</v>
      </c>
      <c r="L3088" s="3" t="str">
        <f t="shared" si="99"/>
        <v>ΚΤΗΝΟΤΡΟΦΙΚΑ_ΦΥΤΑ_ΓΙΑ_ΖΩΟΤΡΟΦΕΣ</v>
      </c>
    </row>
    <row r="3089" spans="1:12" s="3" customFormat="1" ht="15" customHeight="1" x14ac:dyDescent="0.25">
      <c r="A3089" s="3" t="str">
        <f t="shared" si="98"/>
        <v>ΚΤΗΝΟΤΡΟΦΙΚΑ ΦΥΤΑ ΓΙΑ ΖΩΟΤΡΟΦΕΣΣΙΤΟΣ ΜΑΛΑΚΟΣ RGT COSACO</v>
      </c>
      <c r="B3089" s="23" t="s">
        <v>5215</v>
      </c>
      <c r="C3089" s="24" t="s">
        <v>5907</v>
      </c>
      <c r="D3089" s="6">
        <v>491.53</v>
      </c>
      <c r="E3089" s="6">
        <v>485.9</v>
      </c>
      <c r="F3089" s="7" t="s">
        <v>14</v>
      </c>
      <c r="G3089" s="30" t="s">
        <v>5908</v>
      </c>
      <c r="H3089" s="31" t="s">
        <v>577</v>
      </c>
      <c r="I3089" s="9">
        <v>6209</v>
      </c>
      <c r="J3089" s="30">
        <v>8</v>
      </c>
      <c r="K3089" s="30">
        <v>80204</v>
      </c>
      <c r="L3089" s="3" t="str">
        <f t="shared" si="99"/>
        <v>ΚΤΗΝΟΤΡΟΦΙΚΑ_ΦΥΤΑ_ΓΙΑ_ΖΩΟΤΡΟΦΕΣ</v>
      </c>
    </row>
    <row r="3090" spans="1:12" s="3" customFormat="1" ht="15" customHeight="1" x14ac:dyDescent="0.25">
      <c r="A3090" s="3" t="str">
        <f t="shared" si="98"/>
        <v>ΚΤΗΝΟΤΡΟΦΙΚΑ ΦΥΤΑ ΓΙΑ ΖΩΟΤΡΟΦΕΣΣΙΤΟΣ ΜΑΛΑΚΟΣ FALADO</v>
      </c>
      <c r="B3090" s="23" t="s">
        <v>5215</v>
      </c>
      <c r="C3090" s="24" t="s">
        <v>5909</v>
      </c>
      <c r="D3090" s="6">
        <v>491.53</v>
      </c>
      <c r="E3090" s="6">
        <v>485.9</v>
      </c>
      <c r="F3090" s="7" t="s">
        <v>14</v>
      </c>
      <c r="G3090" s="30" t="s">
        <v>5910</v>
      </c>
      <c r="H3090" s="31" t="s">
        <v>577</v>
      </c>
      <c r="I3090" s="9">
        <v>6186</v>
      </c>
      <c r="J3090" s="30">
        <v>8</v>
      </c>
      <c r="K3090" s="30">
        <v>80205</v>
      </c>
      <c r="L3090" s="3" t="str">
        <f t="shared" si="99"/>
        <v>ΚΤΗΝΟΤΡΟΦΙΚΑ_ΦΥΤΑ_ΓΙΑ_ΖΩΟΤΡΟΦΕΣ</v>
      </c>
    </row>
    <row r="3091" spans="1:12" s="3" customFormat="1" ht="15" customHeight="1" x14ac:dyDescent="0.25">
      <c r="A3091" s="3" t="str">
        <f t="shared" si="98"/>
        <v>ΚΤΗΝΟΤΡΟΦΙΚΑ ΦΥΤΑ ΓΙΑ ΖΩΟΤΡΟΦΕΣΣΙΤΟΣ ΜΑΛΑΚΟΣ DELFOS</v>
      </c>
      <c r="B3091" s="23" t="s">
        <v>5215</v>
      </c>
      <c r="C3091" s="24" t="s">
        <v>5911</v>
      </c>
      <c r="D3091" s="6">
        <v>491.53</v>
      </c>
      <c r="E3091" s="6">
        <v>485.9</v>
      </c>
      <c r="F3091" s="7" t="s">
        <v>14</v>
      </c>
      <c r="G3091" s="30" t="s">
        <v>5912</v>
      </c>
      <c r="H3091" s="31" t="s">
        <v>577</v>
      </c>
      <c r="I3091" s="9">
        <v>6181</v>
      </c>
      <c r="J3091" s="30">
        <v>8</v>
      </c>
      <c r="K3091" s="30">
        <v>80206</v>
      </c>
      <c r="L3091" s="3" t="str">
        <f t="shared" si="99"/>
        <v>ΚΤΗΝΟΤΡΟΦΙΚΑ_ΦΥΤΑ_ΓΙΑ_ΖΩΟΤΡΟΦΕΣ</v>
      </c>
    </row>
    <row r="3092" spans="1:12" s="3" customFormat="1" ht="15" customHeight="1" x14ac:dyDescent="0.25">
      <c r="A3092" s="3" t="str">
        <f t="shared" si="98"/>
        <v>ΚΤΗΝΟΤΡΟΦΙΚΑ ΦΥΤΑ ΓΙΑ ΖΩΟΤΡΟΦΕΣΣΙΤΟΣ ΜΑΛΑΚΟΣ KWS ULTIM</v>
      </c>
      <c r="B3092" s="23" t="s">
        <v>5215</v>
      </c>
      <c r="C3092" s="24" t="s">
        <v>5913</v>
      </c>
      <c r="D3092" s="6">
        <v>491.53</v>
      </c>
      <c r="E3092" s="6">
        <v>485.9</v>
      </c>
      <c r="F3092" s="7" t="s">
        <v>14</v>
      </c>
      <c r="G3092" s="30" t="s">
        <v>5914</v>
      </c>
      <c r="H3092" s="31" t="s">
        <v>577</v>
      </c>
      <c r="I3092" s="9">
        <v>6203</v>
      </c>
      <c r="J3092" s="30">
        <v>8</v>
      </c>
      <c r="K3092" s="30">
        <v>80207</v>
      </c>
      <c r="L3092" s="3" t="str">
        <f t="shared" si="99"/>
        <v>ΚΤΗΝΟΤΡΟΦΙΚΑ_ΦΥΤΑ_ΓΙΑ_ΖΩΟΤΡΟΦΕΣ</v>
      </c>
    </row>
    <row r="3093" spans="1:12" s="3" customFormat="1" ht="15" customHeight="1" x14ac:dyDescent="0.25">
      <c r="A3093" s="3" t="str">
        <f t="shared" si="98"/>
        <v>ΚΤΗΝΟΤΡΟΦΙΚΑ ΦΥΤΑ ΓΙΑ ΖΩΟΤΡΟΦΕΣΜΗΔΙΚΗ PREMARIACCO</v>
      </c>
      <c r="B3093" s="23" t="s">
        <v>5215</v>
      </c>
      <c r="C3093" s="24" t="s">
        <v>5915</v>
      </c>
      <c r="D3093" s="6">
        <v>1402.9</v>
      </c>
      <c r="E3093" s="6">
        <v>1418.93</v>
      </c>
      <c r="F3093" s="7" t="s">
        <v>14</v>
      </c>
      <c r="G3093" s="30" t="s">
        <v>5916</v>
      </c>
      <c r="H3093" s="31" t="s">
        <v>577</v>
      </c>
      <c r="I3093" s="9">
        <v>6078</v>
      </c>
      <c r="J3093" s="30">
        <v>8</v>
      </c>
      <c r="K3093" s="30">
        <v>80208</v>
      </c>
      <c r="L3093" s="3" t="str">
        <f t="shared" si="99"/>
        <v>ΚΤΗΝΟΤΡΟΦΙΚΑ_ΦΥΤΑ_ΓΙΑ_ΖΩΟΤΡΟΦΕΣ</v>
      </c>
    </row>
    <row r="3094" spans="1:12" s="3" customFormat="1" ht="15" customHeight="1" x14ac:dyDescent="0.25">
      <c r="A3094" s="3" t="str">
        <f t="shared" si="98"/>
        <v>ΚΤΗΝΟΤΡΟΦΙΚΑ ΦΥΤΑ ΓΙΑ ΖΩΟΤΡΟΦΕΣΜΗΔΙΚΗ EMILIANA</v>
      </c>
      <c r="B3094" s="23" t="s">
        <v>5215</v>
      </c>
      <c r="C3094" s="24" t="s">
        <v>5917</v>
      </c>
      <c r="D3094" s="6">
        <v>1402.9</v>
      </c>
      <c r="E3094" s="6">
        <v>1418.93</v>
      </c>
      <c r="F3094" s="7" t="s">
        <v>14</v>
      </c>
      <c r="G3094" s="30" t="s">
        <v>5918</v>
      </c>
      <c r="H3094" s="31" t="s">
        <v>577</v>
      </c>
      <c r="I3094" s="9">
        <v>6068</v>
      </c>
      <c r="J3094" s="30">
        <v>8</v>
      </c>
      <c r="K3094" s="30">
        <v>80209</v>
      </c>
      <c r="L3094" s="3" t="str">
        <f t="shared" si="99"/>
        <v>ΚΤΗΝΟΤΡΟΦΙΚΑ_ΦΥΤΑ_ΓΙΑ_ΖΩΟΤΡΟΦΕΣ</v>
      </c>
    </row>
    <row r="3095" spans="1:12" s="3" customFormat="1" ht="15" customHeight="1" x14ac:dyDescent="0.25">
      <c r="A3095" s="3" t="str">
        <f t="shared" si="98"/>
        <v>ΚΤΗΝΟΤΡΟΦΙΚΑ ΦΥΤΑ ΓΙΑ ΖΩΟΤΡΟΦΕΣΜΗΔΙΚΗ NARDIAN</v>
      </c>
      <c r="B3095" s="23" t="s">
        <v>5215</v>
      </c>
      <c r="C3095" s="24" t="s">
        <v>5919</v>
      </c>
      <c r="D3095" s="6">
        <v>1402.9</v>
      </c>
      <c r="E3095" s="6">
        <v>1418.93</v>
      </c>
      <c r="F3095" s="7" t="s">
        <v>14</v>
      </c>
      <c r="G3095" s="30" t="s">
        <v>5920</v>
      </c>
      <c r="H3095" s="31" t="s">
        <v>577</v>
      </c>
      <c r="I3095" s="9">
        <v>6077</v>
      </c>
      <c r="J3095" s="30">
        <v>8</v>
      </c>
      <c r="K3095" s="30">
        <v>80210</v>
      </c>
      <c r="L3095" s="3" t="str">
        <f t="shared" si="99"/>
        <v>ΚΤΗΝΟΤΡΟΦΙΚΑ_ΦΥΤΑ_ΓΙΑ_ΖΩΟΤΡΟΦΕΣ</v>
      </c>
    </row>
    <row r="3096" spans="1:12" s="3" customFormat="1" ht="15" customHeight="1" x14ac:dyDescent="0.25">
      <c r="A3096" s="3" t="str">
        <f t="shared" si="98"/>
        <v>ΚΤΗΝΟΤΡΟΦΙΚΑ ΦΥΤΑ ΓΙΑ ΖΩΟΤΡΟΦΕΣΜΗΔΙΚΗ LODI</v>
      </c>
      <c r="B3096" s="23" t="s">
        <v>5215</v>
      </c>
      <c r="C3096" s="24" t="s">
        <v>5921</v>
      </c>
      <c r="D3096" s="6">
        <v>1402.9</v>
      </c>
      <c r="E3096" s="6">
        <v>1418.93</v>
      </c>
      <c r="F3096" s="7" t="s">
        <v>14</v>
      </c>
      <c r="G3096" s="30" t="s">
        <v>5922</v>
      </c>
      <c r="H3096" s="31" t="s">
        <v>577</v>
      </c>
      <c r="I3096" s="9">
        <v>6075</v>
      </c>
      <c r="J3096" s="30">
        <v>8</v>
      </c>
      <c r="K3096" s="30">
        <v>80211</v>
      </c>
      <c r="L3096" s="3" t="str">
        <f t="shared" si="99"/>
        <v>ΚΤΗΝΟΤΡΟΦΙΚΑ_ΦΥΤΑ_ΓΙΑ_ΖΩΟΤΡΟΦΕΣ</v>
      </c>
    </row>
    <row r="3097" spans="1:12" s="3" customFormat="1" ht="15" customHeight="1" x14ac:dyDescent="0.25">
      <c r="A3097" s="3" t="str">
        <f t="shared" si="98"/>
        <v>ΚΤΗΝΟΤΡΟΦΙΚΑ ΦΥΤΑ ΓΙΑ ΖΩΟΤΡΟΦΕΣΜΗΔΙΚΗ LA TORRE</v>
      </c>
      <c r="B3097" s="23" t="s">
        <v>5215</v>
      </c>
      <c r="C3097" s="24" t="s">
        <v>5923</v>
      </c>
      <c r="D3097" s="6">
        <v>1402.9</v>
      </c>
      <c r="E3097" s="6">
        <v>1418.93</v>
      </c>
      <c r="F3097" s="7" t="s">
        <v>14</v>
      </c>
      <c r="G3097" s="30" t="s">
        <v>5924</v>
      </c>
      <c r="H3097" s="31" t="s">
        <v>577</v>
      </c>
      <c r="I3097" s="9">
        <v>6073</v>
      </c>
      <c r="J3097" s="30">
        <v>8</v>
      </c>
      <c r="K3097" s="30">
        <v>80212</v>
      </c>
      <c r="L3097" s="3" t="str">
        <f t="shared" si="99"/>
        <v>ΚΤΗΝΟΤΡΟΦΙΚΑ_ΦΥΤΑ_ΓΙΑ_ΖΩΟΤΡΟΦΕΣ</v>
      </c>
    </row>
    <row r="3098" spans="1:12" s="3" customFormat="1" ht="15" customHeight="1" x14ac:dyDescent="0.25">
      <c r="A3098" s="3" t="str">
        <f t="shared" si="98"/>
        <v>ΚΤΗΝΟΤΡΟΦΙΚΑ ΦΥΤΑ ΓΙΑ ΖΩΟΤΡΟΦΕΣΜΗΔΙΚΗ MARINA</v>
      </c>
      <c r="B3098" s="23" t="s">
        <v>5215</v>
      </c>
      <c r="C3098" s="24" t="s">
        <v>5925</v>
      </c>
      <c r="D3098" s="6">
        <v>1402.9</v>
      </c>
      <c r="E3098" s="6">
        <v>1418.93</v>
      </c>
      <c r="F3098" s="7" t="s">
        <v>14</v>
      </c>
      <c r="G3098" s="30" t="s">
        <v>5926</v>
      </c>
      <c r="H3098" s="31" t="s">
        <v>577</v>
      </c>
      <c r="I3098" s="9">
        <v>6076</v>
      </c>
      <c r="J3098" s="30">
        <v>8</v>
      </c>
      <c r="K3098" s="30">
        <v>80213</v>
      </c>
      <c r="L3098" s="3" t="str">
        <f t="shared" si="99"/>
        <v>ΚΤΗΝΟΤΡΟΦΙΚΑ_ΦΥΤΑ_ΓΙΑ_ΖΩΟΤΡΟΦΕΣ</v>
      </c>
    </row>
    <row r="3099" spans="1:12" s="3" customFormat="1" ht="15" customHeight="1" x14ac:dyDescent="0.25">
      <c r="A3099" s="3" t="str">
        <f t="shared" si="98"/>
        <v>ΚΤΗΝΟΤΡΟΦΙΚΑ ΦΥΤΑ ΓΙΑ ΖΩΟΤΡΟΦΕΣΤΡΙΦΥΛΛΙ MARMILLA</v>
      </c>
      <c r="B3099" s="23" t="s">
        <v>5215</v>
      </c>
      <c r="C3099" s="24" t="s">
        <v>5927</v>
      </c>
      <c r="D3099" s="6">
        <v>1402.9</v>
      </c>
      <c r="E3099" s="6">
        <v>1418.93</v>
      </c>
      <c r="F3099" s="29" t="s">
        <v>14</v>
      </c>
      <c r="G3099" s="30" t="s">
        <v>5928</v>
      </c>
      <c r="H3099" s="31" t="s">
        <v>577</v>
      </c>
      <c r="I3099" s="9">
        <v>6238</v>
      </c>
      <c r="J3099" s="30">
        <v>8</v>
      </c>
      <c r="K3099" s="30">
        <v>80214</v>
      </c>
      <c r="L3099" s="3" t="str">
        <f t="shared" si="99"/>
        <v>ΚΤΗΝΟΤΡΟΦΙΚΑ_ΦΥΤΑ_ΓΙΑ_ΖΩΟΤΡΟΦΕΣ</v>
      </c>
    </row>
    <row r="3100" spans="1:12" s="3" customFormat="1" ht="15" customHeight="1" x14ac:dyDescent="0.25">
      <c r="A3100" s="3" t="str">
        <f t="shared" si="98"/>
        <v>ΚΤΗΝΟΤΡΟΦΙΚΑ ΦΥΤΑ ΓΙΑ ΖΩΟΤΡΟΦΕΣΚΡΙΘΑΡΙ AQUIRONE</v>
      </c>
      <c r="B3100" s="23" t="s">
        <v>5215</v>
      </c>
      <c r="C3100" s="24" t="s">
        <v>5929</v>
      </c>
      <c r="D3100" s="6">
        <v>466.58</v>
      </c>
      <c r="E3100" s="6">
        <v>366.77</v>
      </c>
      <c r="F3100" s="7" t="s">
        <v>14</v>
      </c>
      <c r="G3100" s="30" t="s">
        <v>5930</v>
      </c>
      <c r="H3100" s="31" t="s">
        <v>577</v>
      </c>
      <c r="I3100" s="9">
        <v>5995</v>
      </c>
      <c r="J3100" s="30">
        <v>8</v>
      </c>
      <c r="K3100" s="30">
        <v>80215</v>
      </c>
      <c r="L3100" s="3" t="str">
        <f t="shared" si="99"/>
        <v>ΚΤΗΝΟΤΡΟΦΙΚΑ_ΦΥΤΑ_ΓΙΑ_ΖΩΟΤΡΟΦΕΣ</v>
      </c>
    </row>
    <row r="3101" spans="1:12" s="3" customFormat="1" ht="15" customHeight="1" x14ac:dyDescent="0.25">
      <c r="A3101" s="3" t="str">
        <f t="shared" si="98"/>
        <v>ΚΤΗΝΟΤΡΟΦΙΚΑ ΦΥΤΑ ΓΙΑ ΖΩΟΤΡΟΦΕΣΚΡΙΘΑΡΙ COLORADO</v>
      </c>
      <c r="B3101" s="23" t="s">
        <v>5215</v>
      </c>
      <c r="C3101" s="24" t="s">
        <v>5931</v>
      </c>
      <c r="D3101" s="6">
        <v>466.58</v>
      </c>
      <c r="E3101" s="6">
        <v>366.77</v>
      </c>
      <c r="F3101" s="7" t="s">
        <v>14</v>
      </c>
      <c r="G3101" s="30" t="s">
        <v>5932</v>
      </c>
      <c r="H3101" s="31" t="s">
        <v>577</v>
      </c>
      <c r="I3101" s="9">
        <v>6006</v>
      </c>
      <c r="J3101" s="30">
        <v>8</v>
      </c>
      <c r="K3101" s="30">
        <v>80216</v>
      </c>
      <c r="L3101" s="3" t="str">
        <f t="shared" si="99"/>
        <v>ΚΤΗΝΟΤΡΟΦΙΚΑ_ΦΥΤΑ_ΓΙΑ_ΖΩΟΤΡΟΦΕΣ</v>
      </c>
    </row>
    <row r="3102" spans="1:12" s="3" customFormat="1" ht="15" customHeight="1" x14ac:dyDescent="0.25">
      <c r="A3102" s="3" t="str">
        <f t="shared" si="98"/>
        <v>ΚΤΗΝΟΤΡΟΦΙΚΑ ΦΥΤΑ ΓΙΑ ΖΩΟΤΡΟΦΕΣΚΡΙΘΑΡΙ MOCHINA 5</v>
      </c>
      <c r="B3102" s="23" t="s">
        <v>5215</v>
      </c>
      <c r="C3102" s="24" t="s">
        <v>5933</v>
      </c>
      <c r="D3102" s="6">
        <v>466.58</v>
      </c>
      <c r="E3102" s="6">
        <v>366.77</v>
      </c>
      <c r="F3102" s="7" t="s">
        <v>14</v>
      </c>
      <c r="G3102" s="30" t="s">
        <v>5934</v>
      </c>
      <c r="H3102" s="31" t="s">
        <v>577</v>
      </c>
      <c r="I3102" s="9">
        <v>6035</v>
      </c>
      <c r="J3102" s="30">
        <v>8</v>
      </c>
      <c r="K3102" s="30">
        <v>80217</v>
      </c>
      <c r="L3102" s="3" t="str">
        <f t="shared" si="99"/>
        <v>ΚΤΗΝΟΤΡΟΦΙΚΑ_ΦΥΤΑ_ΓΙΑ_ΖΩΟΤΡΟΦΕΣ</v>
      </c>
    </row>
    <row r="3103" spans="1:12" s="3" customFormat="1" ht="15" customHeight="1" x14ac:dyDescent="0.25">
      <c r="A3103" s="3" t="str">
        <f t="shared" si="98"/>
        <v>ΚΤΗΝΟΤΡΟΦΙΚΑ ΦΥΤΑ ΓΙΑ ΖΩΟΤΡΟΦΕΣΚΡΙΘΑΡΙ BELCANTO</v>
      </c>
      <c r="B3103" s="23" t="s">
        <v>5215</v>
      </c>
      <c r="C3103" s="24" t="s">
        <v>5935</v>
      </c>
      <c r="D3103" s="6">
        <v>466.58</v>
      </c>
      <c r="E3103" s="6">
        <v>366.77</v>
      </c>
      <c r="F3103" s="7" t="s">
        <v>14</v>
      </c>
      <c r="G3103" s="30" t="s">
        <v>5936</v>
      </c>
      <c r="H3103" s="31" t="s">
        <v>577</v>
      </c>
      <c r="I3103" s="9">
        <v>6000</v>
      </c>
      <c r="J3103" s="30">
        <v>8</v>
      </c>
      <c r="K3103" s="30">
        <v>80218</v>
      </c>
      <c r="L3103" s="3" t="str">
        <f t="shared" si="99"/>
        <v>ΚΤΗΝΟΤΡΟΦΙΚΑ_ΦΥΤΑ_ΓΙΑ_ΖΩΟΤΡΟΦΕΣ</v>
      </c>
    </row>
    <row r="3104" spans="1:12" s="3" customFormat="1" ht="15" customHeight="1" x14ac:dyDescent="0.25">
      <c r="A3104" s="3" t="str">
        <f t="shared" si="98"/>
        <v>ΚΤΗΝΟΤΡΟΦΙΚΑ ΦΥΤΑ ΓΙΑ ΖΩΟΤΡΟΦΕΣΚΡΙΘΑΡΙ PERSEFONI</v>
      </c>
      <c r="B3104" s="23" t="s">
        <v>5215</v>
      </c>
      <c r="C3104" s="24" t="s">
        <v>5937</v>
      </c>
      <c r="D3104" s="6">
        <v>466.58</v>
      </c>
      <c r="E3104" s="6">
        <v>366.77</v>
      </c>
      <c r="F3104" s="7" t="s">
        <v>14</v>
      </c>
      <c r="G3104" s="30" t="s">
        <v>5938</v>
      </c>
      <c r="H3104" s="31" t="s">
        <v>577</v>
      </c>
      <c r="I3104" s="9">
        <v>6042</v>
      </c>
      <c r="J3104" s="30">
        <v>8</v>
      </c>
      <c r="K3104" s="30">
        <v>80219</v>
      </c>
      <c r="L3104" s="3" t="str">
        <f t="shared" si="99"/>
        <v>ΚΤΗΝΟΤΡΟΦΙΚΑ_ΦΥΤΑ_ΓΙΑ_ΖΩΟΤΡΟΦΕΣ</v>
      </c>
    </row>
    <row r="3105" spans="1:12" s="3" customFormat="1" ht="15" customHeight="1" x14ac:dyDescent="0.25">
      <c r="A3105" s="3" t="str">
        <f t="shared" si="98"/>
        <v>ΚΤΗΝΟΤΡΟΦΙΚΑ ΦΥΤΑ ΓΙΑ ΖΩΟΤΡΟΦΕΣΚΡΙΘΑΡΙ FENICE</v>
      </c>
      <c r="B3105" s="23" t="s">
        <v>5215</v>
      </c>
      <c r="C3105" s="24" t="s">
        <v>5939</v>
      </c>
      <c r="D3105" s="6">
        <v>466.58</v>
      </c>
      <c r="E3105" s="6">
        <v>366.77</v>
      </c>
      <c r="F3105" s="7" t="s">
        <v>14</v>
      </c>
      <c r="G3105" s="30" t="s">
        <v>5940</v>
      </c>
      <c r="H3105" s="31" t="s">
        <v>577</v>
      </c>
      <c r="I3105" s="9">
        <v>6012</v>
      </c>
      <c r="J3105" s="30">
        <v>8</v>
      </c>
      <c r="K3105" s="30">
        <v>80220</v>
      </c>
      <c r="L3105" s="3" t="str">
        <f t="shared" si="99"/>
        <v>ΚΤΗΝΟΤΡΟΦΙΚΑ_ΦΥΤΑ_ΓΙΑ_ΖΩΟΤΡΟΦΕΣ</v>
      </c>
    </row>
    <row r="3106" spans="1:12" s="3" customFormat="1" ht="15" customHeight="1" x14ac:dyDescent="0.25">
      <c r="A3106" s="3" t="str">
        <f t="shared" si="98"/>
        <v>ΚΤΗΝΟΤΡΟΦΙΚΑ ΦΥΤΑ ΓΙΑ ΖΩΟΤΡΟΦΕΣΚΡΙΘΑΡΙ ZERBO</v>
      </c>
      <c r="B3106" s="23" t="s">
        <v>5215</v>
      </c>
      <c r="C3106" s="24" t="s">
        <v>5941</v>
      </c>
      <c r="D3106" s="6">
        <v>466.58</v>
      </c>
      <c r="E3106" s="6">
        <v>366.77</v>
      </c>
      <c r="F3106" s="7" t="s">
        <v>14</v>
      </c>
      <c r="G3106" s="30" t="s">
        <v>5942</v>
      </c>
      <c r="H3106" s="31" t="s">
        <v>577</v>
      </c>
      <c r="I3106" s="9">
        <v>6057</v>
      </c>
      <c r="J3106" s="30">
        <v>8</v>
      </c>
      <c r="K3106" s="30">
        <v>80221</v>
      </c>
      <c r="L3106" s="3" t="str">
        <f t="shared" si="99"/>
        <v>ΚΤΗΝΟΤΡΟΦΙΚΑ_ΦΥΤΑ_ΓΙΑ_ΖΩΟΤΡΟΦΕΣ</v>
      </c>
    </row>
    <row r="3107" spans="1:12" s="3" customFormat="1" ht="15" customHeight="1" x14ac:dyDescent="0.25">
      <c r="A3107" s="3" t="str">
        <f t="shared" si="98"/>
        <v>ΚΤΗΝΟΤΡΟΦΙΚΑ ΦΥΤΑ ΓΙΑ ΖΩΟΤΡΟΦΕΣΚΡΙΘΑΡΙ OKIROI</v>
      </c>
      <c r="B3107" s="23" t="s">
        <v>5215</v>
      </c>
      <c r="C3107" s="24" t="s">
        <v>5943</v>
      </c>
      <c r="D3107" s="6">
        <v>466.58</v>
      </c>
      <c r="E3107" s="6">
        <v>366.77</v>
      </c>
      <c r="F3107" s="7" t="s">
        <v>14</v>
      </c>
      <c r="G3107" s="30" t="s">
        <v>5944</v>
      </c>
      <c r="H3107" s="31" t="s">
        <v>577</v>
      </c>
      <c r="I3107" s="9">
        <v>6038</v>
      </c>
      <c r="J3107" s="30">
        <v>8</v>
      </c>
      <c r="K3107" s="30">
        <v>80222</v>
      </c>
      <c r="L3107" s="3" t="str">
        <f t="shared" si="99"/>
        <v>ΚΤΗΝΟΤΡΟΦΙΚΑ_ΦΥΤΑ_ΓΙΑ_ΖΩΟΤΡΟΦΕΣ</v>
      </c>
    </row>
    <row r="3108" spans="1:12" s="3" customFormat="1" ht="15" customHeight="1" x14ac:dyDescent="0.25">
      <c r="A3108" s="3" t="str">
        <f t="shared" si="98"/>
        <v>ΚΤΗΝΟΤΡΟΦΙΚΑ ΦΥΤΑ ΓΙΑ ΖΩΟΤΡΟΦΕΣΣΙΤΟΣ ΜΑΛΑΚΟΣ BOLERO</v>
      </c>
      <c r="B3108" s="23" t="s">
        <v>5215</v>
      </c>
      <c r="C3108" s="24" t="s">
        <v>5945</v>
      </c>
      <c r="D3108" s="6">
        <v>491.53</v>
      </c>
      <c r="E3108" s="6">
        <v>485.9</v>
      </c>
      <c r="F3108" s="7" t="s">
        <v>14</v>
      </c>
      <c r="G3108" s="30" t="s">
        <v>5946</v>
      </c>
      <c r="H3108" s="31" t="s">
        <v>577</v>
      </c>
      <c r="I3108" s="9">
        <v>6175</v>
      </c>
      <c r="J3108" s="30">
        <v>8</v>
      </c>
      <c r="K3108" s="30">
        <v>80223</v>
      </c>
      <c r="L3108" s="3" t="str">
        <f t="shared" si="99"/>
        <v>ΚΤΗΝΟΤΡΟΦΙΚΑ_ΦΥΤΑ_ΓΙΑ_ΖΩΟΤΡΟΦΕΣ</v>
      </c>
    </row>
    <row r="3109" spans="1:12" s="3" customFormat="1" ht="15" customHeight="1" x14ac:dyDescent="0.25">
      <c r="A3109" s="3" t="str">
        <f t="shared" si="98"/>
        <v>ΚΤΗΝΟΤΡΟΦΙΚΑ ΦΥΤΑ ΓΙΑ ΖΩΟΤΡΟΦΕΣΣΙΤΟΣ ΜΑΛΑΚΟΣ ANTILLE</v>
      </c>
      <c r="B3109" s="23" t="s">
        <v>5215</v>
      </c>
      <c r="C3109" s="24" t="s">
        <v>5947</v>
      </c>
      <c r="D3109" s="6">
        <v>491.53</v>
      </c>
      <c r="E3109" s="6">
        <v>485.9</v>
      </c>
      <c r="F3109" s="7" t="s">
        <v>14</v>
      </c>
      <c r="G3109" s="30" t="s">
        <v>5948</v>
      </c>
      <c r="H3109" s="31" t="s">
        <v>577</v>
      </c>
      <c r="I3109" s="9">
        <v>6164</v>
      </c>
      <c r="J3109" s="30">
        <v>8</v>
      </c>
      <c r="K3109" s="30">
        <v>80224</v>
      </c>
      <c r="L3109" s="3" t="str">
        <f t="shared" si="99"/>
        <v>ΚΤΗΝΟΤΡΟΦΙΚΑ_ΦΥΤΑ_ΓΙΑ_ΖΩΟΤΡΟΦΕΣ</v>
      </c>
    </row>
    <row r="3110" spans="1:12" s="3" customFormat="1" ht="15" customHeight="1" x14ac:dyDescent="0.25">
      <c r="A3110" s="3" t="str">
        <f t="shared" si="98"/>
        <v>ΚΤΗΝΟΤΡΟΦΙΚΑ ΦΥΤΑ ΓΙΑ ΖΩΟΤΡΟΦΕΣΣΙΤΟΣ ΜΑΛΑΚΟΣ GAIA</v>
      </c>
      <c r="B3110" s="23" t="s">
        <v>5215</v>
      </c>
      <c r="C3110" s="24" t="s">
        <v>5949</v>
      </c>
      <c r="D3110" s="6">
        <v>491.53</v>
      </c>
      <c r="E3110" s="6">
        <v>485.9</v>
      </c>
      <c r="F3110" s="7" t="s">
        <v>14</v>
      </c>
      <c r="G3110" s="30" t="s">
        <v>5950</v>
      </c>
      <c r="H3110" s="31" t="s">
        <v>577</v>
      </c>
      <c r="I3110" s="9">
        <v>6191</v>
      </c>
      <c r="J3110" s="30">
        <v>8</v>
      </c>
      <c r="K3110" s="30">
        <v>80225</v>
      </c>
      <c r="L3110" s="3" t="str">
        <f t="shared" si="99"/>
        <v>ΚΤΗΝΟΤΡΟΦΙΚΑ_ΦΥΤΑ_ΓΙΑ_ΖΩΟΤΡΟΦΕΣ</v>
      </c>
    </row>
    <row r="3111" spans="1:12" s="3" customFormat="1" ht="15" customHeight="1" x14ac:dyDescent="0.25">
      <c r="A3111" s="3" t="str">
        <f t="shared" si="98"/>
        <v>ΚΤΗΝΟΤΡΟΦΙΚΑ ΦΥΤΑ ΓΙΑ ΖΩΟΤΡΟΦΕΣΣΙΤΟΣ ΜΑΛΑΚΟΣ ARTUR NICK</v>
      </c>
      <c r="B3111" s="23" t="s">
        <v>5215</v>
      </c>
      <c r="C3111" s="24" t="s">
        <v>5951</v>
      </c>
      <c r="D3111" s="6">
        <v>491.53</v>
      </c>
      <c r="E3111" s="6">
        <v>485.9</v>
      </c>
      <c r="F3111" s="7" t="s">
        <v>14</v>
      </c>
      <c r="G3111" s="30" t="s">
        <v>5952</v>
      </c>
      <c r="H3111" s="31" t="s">
        <v>577</v>
      </c>
      <c r="I3111" s="9">
        <v>6168</v>
      </c>
      <c r="J3111" s="30">
        <v>8</v>
      </c>
      <c r="K3111" s="30">
        <v>80226</v>
      </c>
      <c r="L3111" s="3" t="str">
        <f t="shared" si="99"/>
        <v>ΚΤΗΝΟΤΡΟΦΙΚΑ_ΦΥΤΑ_ΓΙΑ_ΖΩΟΤΡΟΦΕΣ</v>
      </c>
    </row>
    <row r="3112" spans="1:12" s="3" customFormat="1" ht="15" customHeight="1" x14ac:dyDescent="0.25">
      <c r="A3112" s="3" t="str">
        <f t="shared" si="98"/>
        <v>ΚΤΗΝΟΤΡΟΦΙΚΑ ΦΥΤΑ ΓΙΑ ΖΩΟΤΡΟΦΕΣΣΙΤΟΣ ΜΑΛΑΚΟΣ FRENETIC</v>
      </c>
      <c r="B3112" s="23" t="s">
        <v>5215</v>
      </c>
      <c r="C3112" s="24" t="s">
        <v>5953</v>
      </c>
      <c r="D3112" s="6">
        <v>491.53</v>
      </c>
      <c r="E3112" s="6">
        <v>485.9</v>
      </c>
      <c r="F3112" s="7" t="s">
        <v>14</v>
      </c>
      <c r="G3112" s="30" t="s">
        <v>5954</v>
      </c>
      <c r="H3112" s="31" t="s">
        <v>577</v>
      </c>
      <c r="I3112" s="9">
        <v>6189</v>
      </c>
      <c r="J3112" s="30">
        <v>8</v>
      </c>
      <c r="K3112" s="30">
        <v>80227</v>
      </c>
      <c r="L3112" s="3" t="str">
        <f t="shared" si="99"/>
        <v>ΚΤΗΝΟΤΡΟΦΙΚΑ_ΦΥΤΑ_ΓΙΑ_ΖΩΟΤΡΟΦΕΣ</v>
      </c>
    </row>
    <row r="3113" spans="1:12" s="3" customFormat="1" ht="15" customHeight="1" x14ac:dyDescent="0.25">
      <c r="A3113" s="3" t="str">
        <f t="shared" si="98"/>
        <v>ΚΤΗΝΟΤΡΟΦΙΚΑ ΦΥΤΑ ΓΙΑ ΖΩΟΤΡΟΦΕΣΣΙΤΟΣ ΜΑΛΑΚΟΣ YECORA "E"</v>
      </c>
      <c r="B3113" s="23" t="s">
        <v>5215</v>
      </c>
      <c r="C3113" s="24" t="s">
        <v>5955</v>
      </c>
      <c r="D3113" s="6">
        <v>491.53</v>
      </c>
      <c r="E3113" s="6">
        <v>485.9</v>
      </c>
      <c r="F3113" s="7" t="s">
        <v>14</v>
      </c>
      <c r="G3113" s="30" t="s">
        <v>5956</v>
      </c>
      <c r="H3113" s="31" t="s">
        <v>577</v>
      </c>
      <c r="I3113" s="9">
        <v>6225</v>
      </c>
      <c r="J3113" s="30">
        <v>8</v>
      </c>
      <c r="K3113" s="30">
        <v>80228</v>
      </c>
      <c r="L3113" s="3" t="str">
        <f t="shared" si="99"/>
        <v>ΚΤΗΝΟΤΡΟΦΙΚΑ_ΦΥΤΑ_ΓΙΑ_ΖΩΟΤΡΟΦΕΣ</v>
      </c>
    </row>
    <row r="3114" spans="1:12" s="3" customFormat="1" ht="15" customHeight="1" x14ac:dyDescent="0.25">
      <c r="A3114" s="3" t="str">
        <f t="shared" si="98"/>
        <v>ΚΤΗΝΟΤΡΟΦΙΚΑ ΦΥΤΑ ΓΙΑ ΖΩΟΤΡΟΦΕΣΣΙΤΟΣ ΜΑΛΑΚΟΣ DONATELLO</v>
      </c>
      <c r="B3114" s="23" t="s">
        <v>5215</v>
      </c>
      <c r="C3114" s="24" t="s">
        <v>5957</v>
      </c>
      <c r="D3114" s="6">
        <v>491.53</v>
      </c>
      <c r="E3114" s="6">
        <v>485.9</v>
      </c>
      <c r="F3114" s="7" t="s">
        <v>14</v>
      </c>
      <c r="G3114" s="30" t="s">
        <v>5958</v>
      </c>
      <c r="H3114" s="31" t="s">
        <v>577</v>
      </c>
      <c r="I3114" s="9">
        <v>6184</v>
      </c>
      <c r="J3114" s="30">
        <v>8</v>
      </c>
      <c r="K3114" s="30">
        <v>80229</v>
      </c>
      <c r="L3114" s="3" t="str">
        <f t="shared" si="99"/>
        <v>ΚΤΗΝΟΤΡΟΦΙΚΑ_ΦΥΤΑ_ΓΙΑ_ΖΩΟΤΡΟΦΕΣ</v>
      </c>
    </row>
    <row r="3115" spans="1:12" s="3" customFormat="1" ht="15" customHeight="1" x14ac:dyDescent="0.25">
      <c r="A3115" s="3" t="str">
        <f t="shared" si="98"/>
        <v>ΚΤΗΝΟΤΡΟΦΙΚΑ ΦΥΤΑ ΓΙΑ ΖΩΟΤΡΟΦΕΣΣΙΤΟΣ ΜΑΛΑΚΟΣ ALAGIR</v>
      </c>
      <c r="B3115" s="23" t="s">
        <v>5215</v>
      </c>
      <c r="C3115" s="24" t="s">
        <v>5959</v>
      </c>
      <c r="D3115" s="6">
        <v>491.53</v>
      </c>
      <c r="E3115" s="6">
        <v>485.9</v>
      </c>
      <c r="F3115" s="7" t="s">
        <v>14</v>
      </c>
      <c r="G3115" s="30" t="s">
        <v>5960</v>
      </c>
      <c r="H3115" s="31" t="s">
        <v>577</v>
      </c>
      <c r="I3115" s="9">
        <v>6155</v>
      </c>
      <c r="J3115" s="30">
        <v>8</v>
      </c>
      <c r="K3115" s="30">
        <v>80230</v>
      </c>
      <c r="L3115" s="3" t="str">
        <f t="shared" si="99"/>
        <v>ΚΤΗΝΟΤΡΟΦΙΚΑ_ΦΥΤΑ_ΓΙΑ_ΖΩΟΤΡΟΦΕΣ</v>
      </c>
    </row>
    <row r="3116" spans="1:12" s="3" customFormat="1" ht="15" customHeight="1" x14ac:dyDescent="0.25">
      <c r="A3116" s="3" t="str">
        <f t="shared" si="98"/>
        <v>ΚΤΗΝΟΤΡΟΦΙΚΑ ΦΥΤΑ ΓΙΑ ΖΩΟΤΡΟΦΕΣΤΡΙΤΙΚΑΛΕ SILENO</v>
      </c>
      <c r="B3116" s="23" t="s">
        <v>5215</v>
      </c>
      <c r="C3116" s="24" t="s">
        <v>5961</v>
      </c>
      <c r="D3116" s="6">
        <v>363.85</v>
      </c>
      <c r="E3116" s="6">
        <v>331.13</v>
      </c>
      <c r="F3116" s="7" t="s">
        <v>14</v>
      </c>
      <c r="G3116" s="30" t="s">
        <v>5962</v>
      </c>
      <c r="H3116" s="31" t="s">
        <v>577</v>
      </c>
      <c r="I3116" s="9">
        <v>6235</v>
      </c>
      <c r="J3116" s="30">
        <v>8</v>
      </c>
      <c r="K3116" s="30">
        <v>80231</v>
      </c>
      <c r="L3116" s="3" t="str">
        <f t="shared" si="99"/>
        <v>ΚΤΗΝΟΤΡΟΦΙΚΑ_ΦΥΤΑ_ΓΙΑ_ΖΩΟΤΡΟΦΕΣ</v>
      </c>
    </row>
    <row r="3117" spans="1:12" s="3" customFormat="1" ht="15" customHeight="1" x14ac:dyDescent="0.25">
      <c r="A3117" s="3" t="str">
        <f t="shared" si="98"/>
        <v>ΚΤΗΝΟΤΡΟΦΙΚΑ ΦΥΤΑ ΓΙΑ ΖΩΟΤΡΟΦΕΣΤΡΙΤΙΚΑΛΕ DUBLET</v>
      </c>
      <c r="B3117" s="23" t="s">
        <v>5215</v>
      </c>
      <c r="C3117" s="24" t="s">
        <v>5963</v>
      </c>
      <c r="D3117" s="6">
        <v>363.85</v>
      </c>
      <c r="E3117" s="6">
        <v>331.13</v>
      </c>
      <c r="F3117" s="7" t="s">
        <v>14</v>
      </c>
      <c r="G3117" s="30" t="s">
        <v>5964</v>
      </c>
      <c r="H3117" s="31" t="s">
        <v>577</v>
      </c>
      <c r="I3117" s="9">
        <v>6232</v>
      </c>
      <c r="J3117" s="30">
        <v>8</v>
      </c>
      <c r="K3117" s="30">
        <v>80232</v>
      </c>
      <c r="L3117" s="3" t="str">
        <f t="shared" si="99"/>
        <v>ΚΤΗΝΟΤΡΟΦΙΚΑ_ΦΥΤΑ_ΓΙΑ_ΖΩΟΤΡΟΦΕΣ</v>
      </c>
    </row>
    <row r="3118" spans="1:12" s="3" customFormat="1" ht="15" customHeight="1" x14ac:dyDescent="0.25">
      <c r="A3118" s="3" t="str">
        <f t="shared" si="98"/>
        <v>ΚΤΗΝΟΤΡΟΦΙΚΑ ΦΥΤΑ ΓΙΑ ΖΩΟΤΡΟΦΕΣΒΡΩΜΗ PIGASOS</v>
      </c>
      <c r="B3118" s="23" t="s">
        <v>5215</v>
      </c>
      <c r="C3118" s="24" t="s">
        <v>5965</v>
      </c>
      <c r="D3118" s="6">
        <v>222.49</v>
      </c>
      <c r="E3118" s="6">
        <v>273.27</v>
      </c>
      <c r="F3118" s="7" t="s">
        <v>14</v>
      </c>
      <c r="G3118" s="30" t="s">
        <v>5966</v>
      </c>
      <c r="H3118" s="31" t="s">
        <v>577</v>
      </c>
      <c r="I3118" s="9">
        <v>5961</v>
      </c>
      <c r="J3118" s="30">
        <v>8</v>
      </c>
      <c r="K3118" s="30">
        <v>80233</v>
      </c>
      <c r="L3118" s="3" t="str">
        <f t="shared" si="99"/>
        <v>ΚΤΗΝΟΤΡΟΦΙΚΑ_ΦΥΤΑ_ΓΙΑ_ΖΩΟΤΡΟΦΕΣ</v>
      </c>
    </row>
    <row r="3119" spans="1:12" s="3" customFormat="1" ht="15" customHeight="1" x14ac:dyDescent="0.25">
      <c r="A3119" s="3" t="str">
        <f t="shared" si="98"/>
        <v>ΚΤΗΝΟΤΡΟΦΙΚΑ ΦΥΤΑ ΓΙΑ ΖΩΟΤΡΟΦΕΣΒΡΩΜΗ FLEGA</v>
      </c>
      <c r="B3119" s="23" t="s">
        <v>5215</v>
      </c>
      <c r="C3119" s="24" t="s">
        <v>5967</v>
      </c>
      <c r="D3119" s="6">
        <v>222.49</v>
      </c>
      <c r="E3119" s="6">
        <v>273.27</v>
      </c>
      <c r="F3119" s="7" t="s">
        <v>14</v>
      </c>
      <c r="G3119" s="30" t="s">
        <v>5968</v>
      </c>
      <c r="H3119" s="31" t="s">
        <v>577</v>
      </c>
      <c r="I3119" s="9">
        <v>5959</v>
      </c>
      <c r="J3119" s="30">
        <v>8</v>
      </c>
      <c r="K3119" s="30">
        <v>80234</v>
      </c>
      <c r="L3119" s="3" t="str">
        <f t="shared" si="99"/>
        <v>ΚΤΗΝΟΤΡΟΦΙΚΑ_ΦΥΤΑ_ΓΙΑ_ΖΩΟΤΡΟΦΕΣ</v>
      </c>
    </row>
    <row r="3120" spans="1:12" s="3" customFormat="1" ht="15" customHeight="1" x14ac:dyDescent="0.25">
      <c r="A3120" s="3" t="str">
        <f t="shared" si="98"/>
        <v>ΚΤΗΝΟΤΡΟΦΙΚΑ ΦΥΤΑ ΓΙΑ ΖΩΟΤΡΟΦΕΣΣΙΚΑΛΗ DANKOWSKIE GRANAT</v>
      </c>
      <c r="B3120" s="23" t="s">
        <v>5215</v>
      </c>
      <c r="C3120" s="24" t="s">
        <v>5969</v>
      </c>
      <c r="D3120" s="6">
        <v>263.07</v>
      </c>
      <c r="E3120" s="6">
        <v>280.62</v>
      </c>
      <c r="F3120" s="7" t="s">
        <v>14</v>
      </c>
      <c r="G3120" s="30" t="s">
        <v>5970</v>
      </c>
      <c r="H3120" s="31" t="s">
        <v>577</v>
      </c>
      <c r="I3120" s="9">
        <v>6146</v>
      </c>
      <c r="J3120" s="30">
        <v>8</v>
      </c>
      <c r="K3120" s="30">
        <v>80235</v>
      </c>
      <c r="L3120" s="3" t="str">
        <f t="shared" si="99"/>
        <v>ΚΤΗΝΟΤΡΟΦΙΚΑ_ΦΥΤΑ_ΓΙΑ_ΖΩΟΤΡΟΦΕΣ</v>
      </c>
    </row>
    <row r="3121" spans="1:12" s="3" customFormat="1" ht="15" customHeight="1" x14ac:dyDescent="0.25">
      <c r="A3121" s="3" t="str">
        <f t="shared" si="98"/>
        <v>ΚΤΗΝΟΤΡΟΦΙΚΑ ΦΥΤΑ ΓΙΑ ΖΩΟΤΡΟΦΕΣΜΗΔΙΚΗ SCALIGERA</v>
      </c>
      <c r="B3121" s="23" t="s">
        <v>5215</v>
      </c>
      <c r="C3121" s="24" t="s">
        <v>5971</v>
      </c>
      <c r="D3121" s="6">
        <v>1402.9</v>
      </c>
      <c r="E3121" s="6">
        <v>1418.93</v>
      </c>
      <c r="F3121" s="7" t="s">
        <v>14</v>
      </c>
      <c r="G3121" s="30" t="s">
        <v>5972</v>
      </c>
      <c r="H3121" s="31" t="s">
        <v>577</v>
      </c>
      <c r="I3121" s="9">
        <v>6079</v>
      </c>
      <c r="J3121" s="30">
        <v>8</v>
      </c>
      <c r="K3121" s="30">
        <v>80236</v>
      </c>
      <c r="L3121" s="3" t="str">
        <f t="shared" si="99"/>
        <v>ΚΤΗΝΟΤΡΟΦΙΚΑ_ΦΥΤΑ_ΓΙΑ_ΖΩΟΤΡΟΦΕΣ</v>
      </c>
    </row>
    <row r="3122" spans="1:12" s="3" customFormat="1" ht="15" customHeight="1" x14ac:dyDescent="0.25">
      <c r="A3122" s="3" t="str">
        <f t="shared" si="98"/>
        <v>ΚΤΗΝΟΤΡΟΦΙΚΑ ΦΥΤΑ ΓΙΑ ΖΩΟΤΡΟΦΕΣΜΗΔΙΚΗ LETIZIA</v>
      </c>
      <c r="B3122" s="23" t="s">
        <v>5215</v>
      </c>
      <c r="C3122" s="24" t="s">
        <v>5973</v>
      </c>
      <c r="D3122" s="6">
        <v>1402.9</v>
      </c>
      <c r="E3122" s="6">
        <v>1418.93</v>
      </c>
      <c r="F3122" s="7" t="s">
        <v>14</v>
      </c>
      <c r="G3122" s="30" t="s">
        <v>5974</v>
      </c>
      <c r="H3122" s="31" t="s">
        <v>577</v>
      </c>
      <c r="I3122" s="9">
        <v>6074</v>
      </c>
      <c r="J3122" s="30">
        <v>8</v>
      </c>
      <c r="K3122" s="30">
        <v>80237</v>
      </c>
      <c r="L3122" s="3" t="str">
        <f t="shared" si="99"/>
        <v>ΚΤΗΝΟΤΡΟΦΙΚΑ_ΦΥΤΑ_ΓΙΑ_ΖΩΟΤΡΟΦΕΣ</v>
      </c>
    </row>
    <row r="3123" spans="1:12" s="3" customFormat="1" ht="15" customHeight="1" x14ac:dyDescent="0.25">
      <c r="A3123" s="3" t="str">
        <f t="shared" si="98"/>
        <v>ΚΤΗΝΟΤΡΟΦΙΚΑ ΦΥΤΑ ΓΙΑ ΖΩΟΤΡΟΦΕΣΜΗΔΙΚΗ AGN M72</v>
      </c>
      <c r="B3123" s="23" t="s">
        <v>5215</v>
      </c>
      <c r="C3123" s="24" t="s">
        <v>5975</v>
      </c>
      <c r="D3123" s="6">
        <v>1402.9</v>
      </c>
      <c r="E3123" s="6">
        <v>1418.93</v>
      </c>
      <c r="F3123" s="7" t="s">
        <v>14</v>
      </c>
      <c r="G3123" s="30" t="s">
        <v>5976</v>
      </c>
      <c r="H3123" s="31" t="s">
        <v>577</v>
      </c>
      <c r="I3123" s="9">
        <v>6067</v>
      </c>
      <c r="J3123" s="30">
        <v>8</v>
      </c>
      <c r="K3123" s="30">
        <v>80238</v>
      </c>
      <c r="L3123" s="3" t="str">
        <f t="shared" si="99"/>
        <v>ΚΤΗΝΟΤΡΟΦΙΚΑ_ΦΥΤΑ_ΓΙΑ_ΖΩΟΤΡΟΦΕΣ</v>
      </c>
    </row>
    <row r="3124" spans="1:12" s="3" customFormat="1" ht="15" customHeight="1" x14ac:dyDescent="0.25">
      <c r="A3124" s="3" t="str">
        <f t="shared" si="98"/>
        <v>ΚΤΗΝΟΤΡΟΦΙΚΑ ΦΥΤΑ ΓΙΑ ΖΩΟΤΡΟΦΕΣΚΡΙΘΑΡΙ SEBASTIAN</v>
      </c>
      <c r="B3124" s="23" t="s">
        <v>5215</v>
      </c>
      <c r="C3124" s="24" t="s">
        <v>5977</v>
      </c>
      <c r="D3124" s="6">
        <v>466.58</v>
      </c>
      <c r="E3124" s="6">
        <v>366.77</v>
      </c>
      <c r="F3124" s="7" t="s">
        <v>14</v>
      </c>
      <c r="G3124" s="30" t="s">
        <v>5978</v>
      </c>
      <c r="H3124" s="31" t="s">
        <v>577</v>
      </c>
      <c r="I3124" s="9">
        <v>6046</v>
      </c>
      <c r="J3124" s="30">
        <v>8</v>
      </c>
      <c r="K3124" s="30">
        <v>80239</v>
      </c>
      <c r="L3124" s="3" t="str">
        <f t="shared" si="99"/>
        <v>ΚΤΗΝΟΤΡΟΦΙΚΑ_ΦΥΤΑ_ΓΙΑ_ΖΩΟΤΡΟΦΕΣ</v>
      </c>
    </row>
    <row r="3125" spans="1:12" s="3" customFormat="1" ht="15" customHeight="1" x14ac:dyDescent="0.25">
      <c r="A3125" s="3" t="str">
        <f t="shared" si="98"/>
        <v>ΚΤΗΝΟΤΡΟΦΙΚΑ ΦΥΤΑ ΓΙΑ ΖΩΟΤΡΟΦΕΣΒΙΚΟΣ GRAVESA 81</v>
      </c>
      <c r="B3125" s="23" t="s">
        <v>5215</v>
      </c>
      <c r="C3125" s="24" t="s">
        <v>5979</v>
      </c>
      <c r="D3125" s="6">
        <v>1402.9</v>
      </c>
      <c r="E3125" s="6">
        <v>1418.93</v>
      </c>
      <c r="F3125" s="7" t="s">
        <v>14</v>
      </c>
      <c r="G3125" s="30" t="s">
        <v>5980</v>
      </c>
      <c r="H3125" s="31" t="s">
        <v>577</v>
      </c>
      <c r="I3125" s="9">
        <v>5954</v>
      </c>
      <c r="J3125" s="30">
        <v>8</v>
      </c>
      <c r="K3125" s="30">
        <v>80240</v>
      </c>
      <c r="L3125" s="3" t="str">
        <f t="shared" si="99"/>
        <v>ΚΤΗΝΟΤΡΟΦΙΚΑ_ΦΥΤΑ_ΓΙΑ_ΖΩΟΤΡΟΦΕΣ</v>
      </c>
    </row>
    <row r="3126" spans="1:12" s="3" customFormat="1" ht="15" customHeight="1" x14ac:dyDescent="0.25">
      <c r="A3126" s="3" t="str">
        <f t="shared" si="98"/>
        <v>ΚΤΗΝΟΤΡΟΦΙΚΑ ΦΥΤΑ ΓΙΑ ΖΩΟΤΡΟΦΕΣΣΙΤΟΣ ΜΑΛΑΚΟΣ GIUNONE</v>
      </c>
      <c r="B3126" s="23" t="s">
        <v>5215</v>
      </c>
      <c r="C3126" s="24" t="s">
        <v>5981</v>
      </c>
      <c r="D3126" s="6">
        <v>491.53</v>
      </c>
      <c r="E3126" s="6">
        <v>485.9</v>
      </c>
      <c r="F3126" s="7" t="s">
        <v>14</v>
      </c>
      <c r="G3126" s="30" t="s">
        <v>5982</v>
      </c>
      <c r="H3126" s="31" t="s">
        <v>577</v>
      </c>
      <c r="I3126" s="9">
        <v>6196</v>
      </c>
      <c r="J3126" s="30">
        <v>8</v>
      </c>
      <c r="K3126" s="30">
        <v>80241</v>
      </c>
      <c r="L3126" s="3" t="str">
        <f t="shared" si="99"/>
        <v>ΚΤΗΝΟΤΡΟΦΙΚΑ_ΦΥΤΑ_ΓΙΑ_ΖΩΟΤΡΟΦΕΣ</v>
      </c>
    </row>
    <row r="3127" spans="1:12" s="3" customFormat="1" ht="15" customHeight="1" x14ac:dyDescent="0.25">
      <c r="A3127" s="3" t="str">
        <f t="shared" si="98"/>
        <v>ΚΤΗΝΟΤΡΟΦΙΚΑ ΦΥΤΑ ΓΙΑ ΖΩΟΤΡΟΦΕΣΣΙΤΟΣ ΜΑΛΑΚΟΣ GEMMA</v>
      </c>
      <c r="B3127" s="23" t="s">
        <v>5215</v>
      </c>
      <c r="C3127" s="24" t="s">
        <v>5983</v>
      </c>
      <c r="D3127" s="6">
        <v>491.53</v>
      </c>
      <c r="E3127" s="6">
        <v>485.9</v>
      </c>
      <c r="F3127" s="7" t="s">
        <v>14</v>
      </c>
      <c r="G3127" s="30" t="s">
        <v>5984</v>
      </c>
      <c r="H3127" s="31" t="s">
        <v>577</v>
      </c>
      <c r="I3127" s="9">
        <v>6193</v>
      </c>
      <c r="J3127" s="30">
        <v>8</v>
      </c>
      <c r="K3127" s="30">
        <v>80242</v>
      </c>
      <c r="L3127" s="3" t="str">
        <f t="shared" si="99"/>
        <v>ΚΤΗΝΟΤΡΟΦΙΚΑ_ΦΥΤΑ_ΓΙΑ_ΖΩΟΤΡΟΦΕΣ</v>
      </c>
    </row>
    <row r="3128" spans="1:12" s="3" customFormat="1" ht="15" customHeight="1" x14ac:dyDescent="0.25">
      <c r="A3128" s="3" t="str">
        <f t="shared" si="98"/>
        <v>ΚΤΗΝΟΤΡΟΦΙΚΑ ΦΥΤΑ ΓΙΑ ΖΩΟΤΡΟΦΕΣΣΙΤΟΣ ΜΑΛΑΚΟΣ ALHAMBRA</v>
      </c>
      <c r="B3128" s="23" t="s">
        <v>5215</v>
      </c>
      <c r="C3128" s="24" t="s">
        <v>5985</v>
      </c>
      <c r="D3128" s="6">
        <v>491.53</v>
      </c>
      <c r="E3128" s="6">
        <v>485.9</v>
      </c>
      <c r="F3128" s="7" t="s">
        <v>14</v>
      </c>
      <c r="G3128" s="30" t="s">
        <v>5986</v>
      </c>
      <c r="H3128" s="31" t="s">
        <v>577</v>
      </c>
      <c r="I3128" s="9">
        <v>6158</v>
      </c>
      <c r="J3128" s="30">
        <v>8</v>
      </c>
      <c r="K3128" s="30">
        <v>80243</v>
      </c>
      <c r="L3128" s="3" t="str">
        <f t="shared" si="99"/>
        <v>ΚΤΗΝΟΤΡΟΦΙΚΑ_ΦΥΤΑ_ΓΙΑ_ΖΩΟΤΡΟΦΕΣ</v>
      </c>
    </row>
    <row r="3129" spans="1:12" s="3" customFormat="1" ht="15" customHeight="1" x14ac:dyDescent="0.25">
      <c r="A3129" s="3" t="str">
        <f t="shared" si="98"/>
        <v>ΚΤΗΝΟΤΡΟΦΙΚΑ ΦΥΤΑ ΓΙΑ ΖΩΟΤΡΟΦΕΣΚΡΙΘΑΡΙ TRAVELER</v>
      </c>
      <c r="B3129" s="23" t="s">
        <v>5215</v>
      </c>
      <c r="C3129" s="24" t="s">
        <v>5987</v>
      </c>
      <c r="D3129" s="6">
        <v>466.58</v>
      </c>
      <c r="E3129" s="6">
        <v>366.77</v>
      </c>
      <c r="F3129" s="7" t="s">
        <v>14</v>
      </c>
      <c r="G3129" s="30" t="s">
        <v>5988</v>
      </c>
      <c r="H3129" s="31" t="s">
        <v>577</v>
      </c>
      <c r="I3129" s="9">
        <v>6053</v>
      </c>
      <c r="J3129" s="30">
        <v>8</v>
      </c>
      <c r="K3129" s="30">
        <v>80244</v>
      </c>
      <c r="L3129" s="3" t="str">
        <f t="shared" si="99"/>
        <v>ΚΤΗΝΟΤΡΟΦΙΚΑ_ΦΥΤΑ_ΓΙΑ_ΖΩΟΤΡΟΦΕΣ</v>
      </c>
    </row>
    <row r="3130" spans="1:12" s="3" customFormat="1" ht="15" customHeight="1" x14ac:dyDescent="0.25">
      <c r="A3130" s="3" t="str">
        <f t="shared" si="98"/>
        <v>ΚΤΗΝΟΤΡΟΦΙΚΑ ΦΥΤΑ ΓΙΑ ΖΩΟΤΡΟΦΕΣΜΗΔΙΚΗ EUGENIA</v>
      </c>
      <c r="B3130" s="23" t="s">
        <v>5215</v>
      </c>
      <c r="C3130" s="24" t="s">
        <v>5989</v>
      </c>
      <c r="D3130" s="6">
        <v>1402.9</v>
      </c>
      <c r="E3130" s="6">
        <v>1418.93</v>
      </c>
      <c r="F3130" s="7" t="s">
        <v>14</v>
      </c>
      <c r="G3130" s="30" t="s">
        <v>5990</v>
      </c>
      <c r="H3130" s="31" t="s">
        <v>577</v>
      </c>
      <c r="I3130" s="9">
        <v>6069</v>
      </c>
      <c r="J3130" s="30">
        <v>8</v>
      </c>
      <c r="K3130" s="30">
        <v>80245</v>
      </c>
      <c r="L3130" s="3" t="str">
        <f t="shared" si="99"/>
        <v>ΚΤΗΝΟΤΡΟΦΙΚΑ_ΦΥΤΑ_ΓΙΑ_ΖΩΟΤΡΟΦΕΣ</v>
      </c>
    </row>
    <row r="3131" spans="1:12" s="3" customFormat="1" ht="15" customHeight="1" x14ac:dyDescent="0.25">
      <c r="A3131" s="3" t="str">
        <f t="shared" si="98"/>
        <v>ΚΤΗΝΟΤΡΟΦΙΚΑ ΦΥΤΑ ΓΙΑ ΖΩΟΤΡΟΦΕΣΜΗΔΙΚΗ GUILIA</v>
      </c>
      <c r="B3131" s="23" t="s">
        <v>5215</v>
      </c>
      <c r="C3131" s="24" t="s">
        <v>5991</v>
      </c>
      <c r="D3131" s="6">
        <v>1402.9</v>
      </c>
      <c r="E3131" s="6">
        <v>1418.93</v>
      </c>
      <c r="F3131" s="7" t="s">
        <v>14</v>
      </c>
      <c r="G3131" s="30" t="s">
        <v>5992</v>
      </c>
      <c r="H3131" s="31" t="s">
        <v>577</v>
      </c>
      <c r="I3131" s="9">
        <v>6071</v>
      </c>
      <c r="J3131" s="30">
        <v>8</v>
      </c>
      <c r="K3131" s="30">
        <v>80246</v>
      </c>
      <c r="L3131" s="3" t="str">
        <f t="shared" si="99"/>
        <v>ΚΤΗΝΟΤΡΟΦΙΚΑ_ΦΥΤΑ_ΓΙΑ_ΖΩΟΤΡΟΦΕΣ</v>
      </c>
    </row>
    <row r="3132" spans="1:12" s="3" customFormat="1" ht="15" customHeight="1" x14ac:dyDescent="0.25">
      <c r="A3132" s="3" t="str">
        <f t="shared" si="98"/>
        <v>ΚΤΗΝΟΤΡΟΦΙΚΑ ΦΥΤΑ ΓΙΑ ΖΩΟΤΡΟΦΕΣΒΙΚΟΣ NIKIAN</v>
      </c>
      <c r="B3132" s="23" t="s">
        <v>5215</v>
      </c>
      <c r="C3132" s="24" t="s">
        <v>5993</v>
      </c>
      <c r="D3132" s="6">
        <v>1402.9</v>
      </c>
      <c r="E3132" s="6">
        <v>1418.93</v>
      </c>
      <c r="F3132" s="7" t="s">
        <v>14</v>
      </c>
      <c r="G3132" s="30" t="s">
        <v>5994</v>
      </c>
      <c r="H3132" s="31" t="s">
        <v>577</v>
      </c>
      <c r="I3132" s="9">
        <v>5955</v>
      </c>
      <c r="J3132" s="30">
        <v>8</v>
      </c>
      <c r="K3132" s="30">
        <v>80247</v>
      </c>
      <c r="L3132" s="3" t="str">
        <f t="shared" si="99"/>
        <v>ΚΤΗΝΟΤΡΟΦΙΚΑ_ΦΥΤΑ_ΓΙΑ_ΖΩΟΤΡΟΦΕΣ</v>
      </c>
    </row>
    <row r="3133" spans="1:12" s="3" customFormat="1" ht="15" customHeight="1" x14ac:dyDescent="0.25">
      <c r="A3133" s="3" t="str">
        <f t="shared" si="98"/>
        <v>ΚΤΗΝΟΤΡΟΦΙΚΑ ΦΥΤΑ ΓΙΑ ΖΩΟΤΡΟΦΕΣΣΑΝΟΣ ΜΗΔΙΚΗΣ-ΖΩΟΤΡΟΦΕΣ</v>
      </c>
      <c r="B3133" s="4" t="s">
        <v>5215</v>
      </c>
      <c r="C3133" s="5" t="s">
        <v>5995</v>
      </c>
      <c r="D3133" s="6">
        <v>1402.9</v>
      </c>
      <c r="E3133" s="6">
        <v>1418.93</v>
      </c>
      <c r="F3133" s="7" t="s">
        <v>14</v>
      </c>
      <c r="G3133" s="8" t="s">
        <v>5996</v>
      </c>
      <c r="H3133" s="8" t="s">
        <v>16</v>
      </c>
      <c r="I3133" s="9">
        <v>3834</v>
      </c>
      <c r="J3133" s="10">
        <v>8</v>
      </c>
      <c r="K3133" s="10">
        <v>8109</v>
      </c>
      <c r="L3133" s="3" t="str">
        <f t="shared" si="99"/>
        <v>ΚΤΗΝΟΤΡΟΦΙΚΑ_ΦΥΤΑ_ΓΙΑ_ΖΩΟΤΡΟΦΕΣ</v>
      </c>
    </row>
    <row r="3134" spans="1:12" s="3" customFormat="1" ht="15" customHeight="1" x14ac:dyDescent="0.25">
      <c r="A3134" s="3" t="str">
        <f t="shared" si="98"/>
        <v>ΚΤΗΝΟΤΡΟΦΙΚΑ ΦΥΤΑ ΓΙΑ ΖΩΟΤΡΟΦΕΣΣΑΝΟΣ ΚΡΙΘΑΡΙΟΥ, ΒΡΩΜΗΣ, ΒΙΚΟΥ, ΑΛΛΟΙ ΣΑΝΟΙ</v>
      </c>
      <c r="B3134" s="4" t="s">
        <v>5215</v>
      </c>
      <c r="C3134" s="5" t="s">
        <v>5997</v>
      </c>
      <c r="D3134" s="6">
        <v>466.58</v>
      </c>
      <c r="E3134" s="6">
        <v>366.77</v>
      </c>
      <c r="F3134" s="7" t="s">
        <v>14</v>
      </c>
      <c r="G3134" s="8" t="s">
        <v>5998</v>
      </c>
      <c r="H3134" s="8" t="s">
        <v>16</v>
      </c>
      <c r="I3134" s="9">
        <v>3837</v>
      </c>
      <c r="J3134" s="10">
        <v>8</v>
      </c>
      <c r="K3134" s="10">
        <v>8110</v>
      </c>
      <c r="L3134" s="3" t="str">
        <f t="shared" si="99"/>
        <v>ΚΤΗΝΟΤΡΟΦΙΚΑ_ΦΥΤΑ_ΓΙΑ_ΖΩΟΤΡΟΦΕΣ</v>
      </c>
    </row>
    <row r="3135" spans="1:12" s="3" customFormat="1" ht="15" customHeight="1" x14ac:dyDescent="0.25">
      <c r="A3135" s="3" t="str">
        <f t="shared" si="98"/>
        <v>ΚΤΗΝΟΤΡΟΦΙΚΑ ΦΥΤΑ ΓΙΑ ΖΩΟΤΡΟΦΕΣΤΡΙΦΥΛΛΙ-ΖΩΟΤΡΟΦΕΣ</v>
      </c>
      <c r="B3135" s="4" t="s">
        <v>5215</v>
      </c>
      <c r="C3135" s="5" t="s">
        <v>5999</v>
      </c>
      <c r="D3135" s="6">
        <v>1402.9</v>
      </c>
      <c r="E3135" s="6">
        <v>1418.93</v>
      </c>
      <c r="F3135" s="7" t="s">
        <v>14</v>
      </c>
      <c r="G3135" s="8" t="s">
        <v>6000</v>
      </c>
      <c r="H3135" s="8" t="s">
        <v>16</v>
      </c>
      <c r="I3135" s="9">
        <v>3907</v>
      </c>
      <c r="J3135" s="10">
        <v>8</v>
      </c>
      <c r="K3135" s="10">
        <v>8114</v>
      </c>
      <c r="L3135" s="3" t="str">
        <f t="shared" si="99"/>
        <v>ΚΤΗΝΟΤΡΟΦΙΚΑ_ΦΥΤΑ_ΓΙΑ_ΖΩΟΤΡΟΦΕΣ</v>
      </c>
    </row>
    <row r="3136" spans="1:12" s="3" customFormat="1" ht="15" customHeight="1" x14ac:dyDescent="0.25">
      <c r="A3136" s="3" t="str">
        <f t="shared" si="98"/>
        <v>ΚΤΗΝΟΤΡΟΦΙΚΑ ΦΥΤΑ ΓΙΑ ΖΩΟΤΡΟΦΕΣΤΡΙΦΥΛΛΙ ΓΙΑ ΑΠΟΞΗΡΑΝΣΗ - ΑΦΥΔΑΤΩΣΗ</v>
      </c>
      <c r="B3136" s="4" t="s">
        <v>5215</v>
      </c>
      <c r="C3136" s="5" t="s">
        <v>6001</v>
      </c>
      <c r="D3136" s="6">
        <v>1402.9</v>
      </c>
      <c r="E3136" s="6">
        <v>1418.93</v>
      </c>
      <c r="F3136" s="7" t="s">
        <v>14</v>
      </c>
      <c r="G3136" s="8" t="s">
        <v>6002</v>
      </c>
      <c r="H3136" s="8" t="s">
        <v>16</v>
      </c>
      <c r="I3136" s="9">
        <v>3932</v>
      </c>
      <c r="J3136" s="10">
        <v>8</v>
      </c>
      <c r="K3136" s="10">
        <v>8121</v>
      </c>
      <c r="L3136" s="3" t="str">
        <f t="shared" si="99"/>
        <v>ΚΤΗΝΟΤΡΟΦΙΚΑ_ΦΥΤΑ_ΓΙΑ_ΖΩΟΤΡΟΦΕΣ</v>
      </c>
    </row>
    <row r="3137" spans="1:12" s="3" customFormat="1" ht="15" customHeight="1" x14ac:dyDescent="0.25">
      <c r="A3137" s="3" t="str">
        <f t="shared" si="98"/>
        <v>ΚΤΗΝΟΤΡΟΦΙΚΑ ΦΥΤΑ ΓΙΑ ΖΩΟΤΡΟΦΕΣΜΗΔΙΚΗ ΓΙΑ ΑΠΟΞΗΡΑΝΣΗ - ΑΦΥΔΑΤΩΣΗ</v>
      </c>
      <c r="B3137" s="4" t="s">
        <v>5215</v>
      </c>
      <c r="C3137" s="5" t="s">
        <v>6003</v>
      </c>
      <c r="D3137" s="6">
        <v>1402.9</v>
      </c>
      <c r="E3137" s="6">
        <v>1418.93</v>
      </c>
      <c r="F3137" s="7" t="s">
        <v>14</v>
      </c>
      <c r="G3137" s="8" t="s">
        <v>6004</v>
      </c>
      <c r="H3137" s="8" t="s">
        <v>16</v>
      </c>
      <c r="I3137" s="9">
        <v>3930</v>
      </c>
      <c r="J3137" s="10">
        <v>8</v>
      </c>
      <c r="K3137" s="10">
        <v>8122</v>
      </c>
      <c r="L3137" s="3" t="str">
        <f t="shared" si="99"/>
        <v>ΚΤΗΝΟΤΡΟΦΙΚΑ_ΦΥΤΑ_ΓΙΑ_ΖΩΟΤΡΟΦΕΣ</v>
      </c>
    </row>
    <row r="3138" spans="1:12" s="3" customFormat="1" ht="15" customHeight="1" x14ac:dyDescent="0.25">
      <c r="A3138" s="3" t="str">
        <f t="shared" si="98"/>
        <v>ΚΤΗΝΟΤΡΟΦΙΚΑ ΦΥΤΑ ΓΙΑ ΖΩΟΤΡΟΦΕΣΚΟΦΤΟΛΙΒΑΔΑ</v>
      </c>
      <c r="B3138" s="4" t="s">
        <v>5215</v>
      </c>
      <c r="C3138" s="5" t="s">
        <v>6005</v>
      </c>
      <c r="D3138" s="6">
        <v>363.85</v>
      </c>
      <c r="E3138" s="6">
        <v>331.13</v>
      </c>
      <c r="F3138" s="7" t="s">
        <v>14</v>
      </c>
      <c r="G3138" s="8" t="s">
        <v>6006</v>
      </c>
      <c r="H3138" s="8" t="s">
        <v>16</v>
      </c>
      <c r="I3138" s="9">
        <v>3804</v>
      </c>
      <c r="J3138" s="10">
        <v>8</v>
      </c>
      <c r="K3138" s="10">
        <v>8688</v>
      </c>
      <c r="L3138" s="3" t="str">
        <f t="shared" si="99"/>
        <v>ΚΤΗΝΟΤΡΟΦΙΚΑ_ΦΥΤΑ_ΓΙΑ_ΖΩΟΤΡΟΦΕΣ</v>
      </c>
    </row>
    <row r="3139" spans="1:12" s="3" customFormat="1" ht="15" customHeight="1" x14ac:dyDescent="0.25">
      <c r="A3139" s="3" t="str">
        <f t="shared" ref="A3139:A3202" si="100">_xlfn.CONCAT(B3139,C3139)</f>
        <v>ΚΤΗΝΟΤΡΟΦΙΚΑ ΦΥΤΑ ΓΙΑ ΖΩΟΤΡΟΦΕΣΑΓΡΙΟΑΓΓΙΝΑΡΑ</v>
      </c>
      <c r="B3139" s="4" t="s">
        <v>5215</v>
      </c>
      <c r="C3139" s="5" t="s">
        <v>4469</v>
      </c>
      <c r="D3139" s="6">
        <v>1829.23</v>
      </c>
      <c r="E3139" s="6">
        <v>3862.55</v>
      </c>
      <c r="F3139" s="7" t="s">
        <v>14</v>
      </c>
      <c r="G3139" s="8" t="s">
        <v>6007</v>
      </c>
      <c r="H3139" s="8" t="s">
        <v>16</v>
      </c>
      <c r="I3139" s="9">
        <v>3775</v>
      </c>
      <c r="J3139" s="10">
        <v>8</v>
      </c>
      <c r="K3139" s="10">
        <v>8702</v>
      </c>
      <c r="L3139" s="3" t="str">
        <f t="shared" ref="L3139:L3202" si="101">IFERROR(SUBSTITUTE(SUBSTITUTE(SUBSTITUTE(SUBSTITUTE(SUBSTITUTE(B3139, "-", "_"), " ", "_"), ",", ""), "(", ""), ")", ""), B3139)</f>
        <v>ΚΤΗΝΟΤΡΟΦΙΚΑ_ΦΥΤΑ_ΓΙΑ_ΖΩΟΤΡΟΦΕΣ</v>
      </c>
    </row>
    <row r="3140" spans="1:12" s="3" customFormat="1" ht="15" customHeight="1" x14ac:dyDescent="0.25">
      <c r="A3140" s="3" t="str">
        <f t="shared" si="100"/>
        <v>ΚΤΗΝΟΤΡΟΦΙΚΑ ΦΥΤΑ ΓΙΑ ΖΩΟΤΡΟΦΕΣΚΡΙΘΑΡΙ ΛΗΜΝΟΥ</v>
      </c>
      <c r="B3140" s="4" t="s">
        <v>5215</v>
      </c>
      <c r="C3140" s="5" t="s">
        <v>6008</v>
      </c>
      <c r="D3140" s="6">
        <v>466.58</v>
      </c>
      <c r="E3140" s="6">
        <v>366.77</v>
      </c>
      <c r="F3140" s="7" t="s">
        <v>14</v>
      </c>
      <c r="G3140" s="8" t="s">
        <v>6009</v>
      </c>
      <c r="H3140" s="8" t="s">
        <v>16</v>
      </c>
      <c r="I3140" s="9">
        <v>3842</v>
      </c>
      <c r="J3140" s="10">
        <v>8</v>
      </c>
      <c r="K3140" s="10">
        <v>9109066</v>
      </c>
      <c r="L3140" s="3" t="str">
        <f t="shared" si="101"/>
        <v>ΚΤΗΝΟΤΡΟΦΙΚΑ_ΦΥΤΑ_ΓΙΑ_ΖΩΟΤΡΟΦΕΣ</v>
      </c>
    </row>
    <row r="3141" spans="1:12" s="3" customFormat="1" ht="15" customHeight="1" x14ac:dyDescent="0.25">
      <c r="A3141" s="3" t="str">
        <f t="shared" si="100"/>
        <v>ΚΤΗΝΟΤΡΟΦΙΚΑ ΦΥΤΑ ΓΙΑ ΖΩΟΤΡΟΦΕΣΞΗΡΙΚΗ ΜΗΔΙΚΗ ΓΙΑ ΖΩΟΤΡΟΦΗ ΚΑΙ ΧΛΩΡΑ ΝΟΜΗ</v>
      </c>
      <c r="B3141" s="4" t="s">
        <v>5215</v>
      </c>
      <c r="C3141" s="5" t="s">
        <v>6010</v>
      </c>
      <c r="D3141" s="6">
        <v>1402.9</v>
      </c>
      <c r="E3141" s="6">
        <v>1418.93</v>
      </c>
      <c r="F3141" s="7" t="s">
        <v>14</v>
      </c>
      <c r="G3141" s="8" t="s">
        <v>6011</v>
      </c>
      <c r="H3141" s="8" t="s">
        <v>16</v>
      </c>
      <c r="I3141" s="9">
        <v>3883</v>
      </c>
      <c r="J3141" s="10">
        <v>8</v>
      </c>
      <c r="K3141" s="10">
        <v>96000</v>
      </c>
      <c r="L3141" s="3" t="str">
        <f t="shared" si="101"/>
        <v>ΚΤΗΝΟΤΡΟΦΙΚΑ_ΦΥΤΑ_ΓΙΑ_ΖΩΟΤΡΟΦΕΣ</v>
      </c>
    </row>
    <row r="3142" spans="1:12" s="3" customFormat="1" ht="15" customHeight="1" x14ac:dyDescent="0.25">
      <c r="A3142" s="3" t="str">
        <f t="shared" si="100"/>
        <v>ΚΤΗΝΟΤΡΟΦΙΚΑ ΦΥΤΑ ΓΙΑ ΖΩΟΤΡΟΦΕΣΣΙΤΟΣ ΜΑΛΑΚΟΣ TRITICUM AESTIVUM</v>
      </c>
      <c r="B3142" s="4" t="s">
        <v>5215</v>
      </c>
      <c r="C3142" s="5" t="s">
        <v>6012</v>
      </c>
      <c r="D3142" s="6">
        <v>491.53</v>
      </c>
      <c r="E3142" s="6">
        <v>485.9</v>
      </c>
      <c r="F3142" s="7" t="s">
        <v>14</v>
      </c>
      <c r="G3142" s="8" t="s">
        <v>6013</v>
      </c>
      <c r="H3142" s="8" t="s">
        <v>16</v>
      </c>
      <c r="I3142" s="9">
        <v>3830</v>
      </c>
      <c r="J3142" s="10">
        <v>8</v>
      </c>
      <c r="K3142" s="10">
        <v>99179</v>
      </c>
      <c r="L3142" s="3" t="str">
        <f t="shared" si="101"/>
        <v>ΚΤΗΝΟΤΡΟΦΙΚΑ_ΦΥΤΑ_ΓΙΑ_ΖΩΟΤΡΟΦΕΣ</v>
      </c>
    </row>
    <row r="3143" spans="1:12" s="3" customFormat="1" ht="15" customHeight="1" x14ac:dyDescent="0.25">
      <c r="A3143" s="3" t="str">
        <f t="shared" si="100"/>
        <v>ΚΤΗΝΟΤΡΟΦΙΚΑ ΦΥΤΑ ΓΙΑ ΖΩΟΤΡΟΦΕΣΣΙΤΟΣ ΔΙΚΚΟΚΟΣ TRITICUM DICOCCUM</v>
      </c>
      <c r="B3143" s="4" t="s">
        <v>5215</v>
      </c>
      <c r="C3143" s="5" t="s">
        <v>6014</v>
      </c>
      <c r="D3143" s="6">
        <v>491.53</v>
      </c>
      <c r="E3143" s="6">
        <v>485.9</v>
      </c>
      <c r="F3143" s="7" t="s">
        <v>14</v>
      </c>
      <c r="G3143" s="8" t="s">
        <v>6015</v>
      </c>
      <c r="H3143" s="8" t="s">
        <v>16</v>
      </c>
      <c r="I3143" s="9">
        <v>3839</v>
      </c>
      <c r="J3143" s="10">
        <v>8</v>
      </c>
      <c r="K3143" s="10">
        <v>99283</v>
      </c>
      <c r="L3143" s="3" t="str">
        <f t="shared" si="101"/>
        <v>ΚΤΗΝΟΤΡΟΦΙΚΑ_ΦΥΤΑ_ΓΙΑ_ΖΩΟΤΡΟΦΕΣ</v>
      </c>
    </row>
    <row r="3144" spans="1:12" s="3" customFormat="1" ht="15" customHeight="1" x14ac:dyDescent="0.25">
      <c r="A3144" s="3" t="str">
        <f t="shared" si="100"/>
        <v>ΚΥΨΕΛΕΣ ΜΕΛΙΣΣΩΝ - ΜΕΛΛΙΣΟΣΜΗΝΗΚΥΨΕΛΕΣ ΜΕΛΙΣΣΩΝ - ΜΕΛΛΙΣΟΣΜΗΝΗ</v>
      </c>
      <c r="B3144" s="17" t="s">
        <v>6016</v>
      </c>
      <c r="C3144" s="14" t="s">
        <v>6016</v>
      </c>
      <c r="D3144" s="6">
        <v>78</v>
      </c>
      <c r="E3144" s="6">
        <v>73</v>
      </c>
      <c r="F3144" s="11" t="s">
        <v>6017</v>
      </c>
      <c r="G3144" s="8" t="s">
        <v>6018</v>
      </c>
      <c r="H3144" s="8" t="s">
        <v>16</v>
      </c>
      <c r="I3144" s="9">
        <v>4835</v>
      </c>
      <c r="J3144" s="13">
        <v>10</v>
      </c>
      <c r="K3144" s="13">
        <v>1010000</v>
      </c>
      <c r="L3144" s="3" t="str">
        <f t="shared" si="101"/>
        <v>ΚΥΨΕΛΕΣ_ΜΕΛΙΣΣΩΝ___ΜΕΛΛΙΣΟΣΜΗΝΗ</v>
      </c>
    </row>
    <row r="3145" spans="1:12" s="3" customFormat="1" ht="15" customHeight="1" x14ac:dyDescent="0.25">
      <c r="A3145" s="3" t="str">
        <f t="shared" si="100"/>
        <v>ΛΙΝΟΣ ΚΛΩΣΤΙΚΟΣΛΙΝΟΣ ΚΛΩΣΤΙΚΟΣ</v>
      </c>
      <c r="B3145" s="4" t="s">
        <v>6019</v>
      </c>
      <c r="C3145" s="5" t="s">
        <v>6019</v>
      </c>
      <c r="D3145" s="6">
        <v>835.84</v>
      </c>
      <c r="E3145" s="6">
        <v>845.67</v>
      </c>
      <c r="F3145" s="7" t="s">
        <v>14</v>
      </c>
      <c r="G3145" s="8" t="s">
        <v>6020</v>
      </c>
      <c r="H3145" s="8" t="s">
        <v>16</v>
      </c>
      <c r="I3145" s="9">
        <v>810</v>
      </c>
      <c r="J3145" s="10">
        <v>14</v>
      </c>
      <c r="K3145" s="10">
        <v>1401</v>
      </c>
      <c r="L3145" s="3" t="str">
        <f t="shared" si="101"/>
        <v>ΛΙΝΟΣ_ΚΛΩΣΤΙΚΟΣ</v>
      </c>
    </row>
    <row r="3146" spans="1:12" s="3" customFormat="1" ht="15" customHeight="1" x14ac:dyDescent="0.25">
      <c r="A3146" s="3" t="str">
        <f t="shared" si="100"/>
        <v>ΛΙΝΟΣ ΜΗ ΚΛΩΣΤΙΚΟΣΛΙΝΟΣ ΜΗ ΚΛΩΣΤΙΚΟΣ</v>
      </c>
      <c r="B3146" s="4" t="s">
        <v>6021</v>
      </c>
      <c r="C3146" s="5" t="s">
        <v>6021</v>
      </c>
      <c r="D3146" s="6">
        <v>835.84</v>
      </c>
      <c r="E3146" s="6">
        <v>845.67</v>
      </c>
      <c r="F3146" s="7" t="s">
        <v>14</v>
      </c>
      <c r="G3146" s="8" t="s">
        <v>6022</v>
      </c>
      <c r="H3146" s="8" t="s">
        <v>16</v>
      </c>
      <c r="I3146" s="9">
        <v>809</v>
      </c>
      <c r="J3146" s="10">
        <v>13</v>
      </c>
      <c r="K3146" s="10">
        <v>1301</v>
      </c>
      <c r="L3146" s="3" t="str">
        <f t="shared" si="101"/>
        <v>ΛΙΝΟΣ_ΜΗ_ΚΛΩΣΤΙΚΟΣ</v>
      </c>
    </row>
    <row r="3147" spans="1:12" s="3" customFormat="1" ht="15" customHeight="1" x14ac:dyDescent="0.25">
      <c r="A3147" s="3" t="str">
        <f t="shared" si="100"/>
        <v>ΛΙΝΟΣ ΜΗ ΚΛΩΣΤΙΚΟΣΛΙΝΑΡΟΣΠΟΡΟΣ</v>
      </c>
      <c r="B3147" s="4" t="s">
        <v>6021</v>
      </c>
      <c r="C3147" s="5" t="s">
        <v>6023</v>
      </c>
      <c r="D3147" s="6">
        <v>3602.4</v>
      </c>
      <c r="E3147" s="6">
        <v>2521.4499999999998</v>
      </c>
      <c r="F3147" s="7" t="s">
        <v>14</v>
      </c>
      <c r="G3147" s="8" t="s">
        <v>6024</v>
      </c>
      <c r="H3147" s="8" t="s">
        <v>16</v>
      </c>
      <c r="I3147" s="9">
        <v>808</v>
      </c>
      <c r="J3147" s="10">
        <v>13</v>
      </c>
      <c r="K3147" s="10">
        <v>1302</v>
      </c>
      <c r="L3147" s="3" t="str">
        <f t="shared" si="101"/>
        <v>ΛΙΝΟΣ_ΜΗ_ΚΛΩΣΤΙΚΟΣ</v>
      </c>
    </row>
    <row r="3148" spans="1:12" s="3" customFormat="1" ht="15" customHeight="1" x14ac:dyDescent="0.25">
      <c r="A3148" s="3" t="str">
        <f t="shared" si="100"/>
        <v>ΛΟΙΠΑ ΣΙΤΗΡΑΣΙΚΑΛΗ ΔΙΑΦΟΡΕΣ</v>
      </c>
      <c r="B3148" s="4" t="s">
        <v>6025</v>
      </c>
      <c r="C3148" s="5" t="s">
        <v>5248</v>
      </c>
      <c r="D3148" s="6">
        <v>263.07</v>
      </c>
      <c r="E3148" s="6">
        <v>280.62</v>
      </c>
      <c r="F3148" s="7" t="s">
        <v>14</v>
      </c>
      <c r="G3148" s="8" t="s">
        <v>6026</v>
      </c>
      <c r="H3148" s="8" t="s">
        <v>16</v>
      </c>
      <c r="I3148" s="9">
        <v>1364</v>
      </c>
      <c r="J3148" s="10">
        <v>2</v>
      </c>
      <c r="K3148" s="10">
        <v>2000</v>
      </c>
      <c r="L3148" s="3" t="str">
        <f t="shared" si="101"/>
        <v>ΛΟΙΠΑ_ΣΙΤΗΡΑ</v>
      </c>
    </row>
    <row r="3149" spans="1:12" s="3" customFormat="1" ht="15" customHeight="1" x14ac:dyDescent="0.25">
      <c r="A3149" s="3" t="str">
        <f t="shared" si="100"/>
        <v>ΛΟΙΠΑ ΣΙΤΗΡΑΚΡΙΘΑΡΙ MUCHO</v>
      </c>
      <c r="B3149" s="4" t="s">
        <v>6025</v>
      </c>
      <c r="C3149" s="5" t="s">
        <v>5250</v>
      </c>
      <c r="D3149" s="6">
        <v>466.58</v>
      </c>
      <c r="E3149" s="6">
        <v>366.77</v>
      </c>
      <c r="F3149" s="7" t="s">
        <v>14</v>
      </c>
      <c r="G3149" s="8" t="s">
        <v>6027</v>
      </c>
      <c r="H3149" s="8" t="s">
        <v>16</v>
      </c>
      <c r="I3149" s="9">
        <v>1377</v>
      </c>
      <c r="J3149" s="10">
        <v>2</v>
      </c>
      <c r="K3149" s="10">
        <v>20001</v>
      </c>
      <c r="L3149" s="3" t="str">
        <f t="shared" si="101"/>
        <v>ΛΟΙΠΑ_ΣΙΤΗΡΑ</v>
      </c>
    </row>
    <row r="3150" spans="1:12" s="3" customFormat="1" ht="15" customHeight="1" x14ac:dyDescent="0.25">
      <c r="A3150" s="3" t="str">
        <f t="shared" si="100"/>
        <v>ΛΟΙΠΑ ΣΙΤΗΡΑΚΡΙΘΑΡΙ CHA CHA</v>
      </c>
      <c r="B3150" s="4" t="s">
        <v>6025</v>
      </c>
      <c r="C3150" s="5" t="s">
        <v>5252</v>
      </c>
      <c r="D3150" s="6">
        <v>466.58</v>
      </c>
      <c r="E3150" s="6">
        <v>366.77</v>
      </c>
      <c r="F3150" s="7" t="s">
        <v>14</v>
      </c>
      <c r="G3150" s="8" t="s">
        <v>6028</v>
      </c>
      <c r="H3150" s="8" t="s">
        <v>16</v>
      </c>
      <c r="I3150" s="9">
        <v>1378</v>
      </c>
      <c r="J3150" s="10">
        <v>2</v>
      </c>
      <c r="K3150" s="10">
        <v>20002</v>
      </c>
      <c r="L3150" s="3" t="str">
        <f t="shared" si="101"/>
        <v>ΛΟΙΠΑ_ΣΙΤΗΡΑ</v>
      </c>
    </row>
    <row r="3151" spans="1:12" s="3" customFormat="1" ht="15" customHeight="1" x14ac:dyDescent="0.25">
      <c r="A3151" s="3" t="str">
        <f t="shared" si="100"/>
        <v>ΛΟΙΠΑ ΣΙΤΗΡΑΚΡΙΘΑΡΙ MESETA</v>
      </c>
      <c r="B3151" s="4" t="s">
        <v>6025</v>
      </c>
      <c r="C3151" s="5" t="s">
        <v>6029</v>
      </c>
      <c r="D3151" s="6">
        <v>466.58</v>
      </c>
      <c r="E3151" s="6">
        <v>366.77</v>
      </c>
      <c r="F3151" s="7" t="s">
        <v>14</v>
      </c>
      <c r="G3151" s="8" t="s">
        <v>6030</v>
      </c>
      <c r="H3151" s="8" t="s">
        <v>16</v>
      </c>
      <c r="I3151" s="9">
        <v>1350</v>
      </c>
      <c r="J3151" s="10">
        <v>2</v>
      </c>
      <c r="K3151" s="10">
        <v>20003</v>
      </c>
      <c r="L3151" s="3" t="str">
        <f t="shared" si="101"/>
        <v>ΛΟΙΠΑ_ΣΙΤΗΡΑ</v>
      </c>
    </row>
    <row r="3152" spans="1:12" s="3" customFormat="1" ht="15" customHeight="1" x14ac:dyDescent="0.25">
      <c r="A3152" s="3" t="str">
        <f t="shared" si="100"/>
        <v>ΛΟΙΠΑ ΣΙΤΗΡΑΚΡΙΘΑΡΙ GRACE</v>
      </c>
      <c r="B3152" s="4" t="s">
        <v>6025</v>
      </c>
      <c r="C3152" s="5" t="s">
        <v>5772</v>
      </c>
      <c r="D3152" s="6">
        <v>466.58</v>
      </c>
      <c r="E3152" s="6">
        <v>366.77</v>
      </c>
      <c r="F3152" s="7" t="s">
        <v>14</v>
      </c>
      <c r="G3152" s="8" t="s">
        <v>6031</v>
      </c>
      <c r="H3152" s="8" t="s">
        <v>16</v>
      </c>
      <c r="I3152" s="9">
        <v>1351</v>
      </c>
      <c r="J3152" s="10">
        <v>2</v>
      </c>
      <c r="K3152" s="10">
        <v>20004</v>
      </c>
      <c r="L3152" s="3" t="str">
        <f t="shared" si="101"/>
        <v>ΛΟΙΠΑ_ΣΙΤΗΡΑ</v>
      </c>
    </row>
    <row r="3153" spans="1:12" s="3" customFormat="1" ht="15" customHeight="1" x14ac:dyDescent="0.25">
      <c r="A3153" s="3" t="str">
        <f t="shared" si="100"/>
        <v>ΛΟΙΠΑ ΣΙΤΗΡΑΜΟΝΟΚΟΚΚΟ ΣΙΤΑΡΙ ΚΑΠΛΟΥΤΖΑΣ</v>
      </c>
      <c r="B3153" s="4" t="s">
        <v>6025</v>
      </c>
      <c r="C3153" s="5" t="s">
        <v>6032</v>
      </c>
      <c r="D3153" s="6">
        <v>491.53</v>
      </c>
      <c r="E3153" s="6">
        <v>485.9</v>
      </c>
      <c r="F3153" s="7" t="s">
        <v>14</v>
      </c>
      <c r="G3153" s="33" t="s">
        <v>6033</v>
      </c>
      <c r="H3153" s="33" t="s">
        <v>16</v>
      </c>
      <c r="I3153" s="34">
        <v>1352</v>
      </c>
      <c r="J3153" s="10">
        <v>2</v>
      </c>
      <c r="K3153" s="10">
        <v>20005</v>
      </c>
      <c r="L3153" s="3" t="str">
        <f t="shared" si="101"/>
        <v>ΛΟΙΠΑ_ΣΙΤΗΡΑ</v>
      </c>
    </row>
    <row r="3154" spans="1:12" s="3" customFormat="1" ht="15" customHeight="1" x14ac:dyDescent="0.25">
      <c r="A3154" s="3" t="str">
        <f t="shared" si="100"/>
        <v>ΛΟΙΠΑ ΣΙΤΗΡΑΜΑΛΑΚΟΣ ΣΙΤΟΣ ZANZIBAR</v>
      </c>
      <c r="B3154" s="4" t="s">
        <v>6025</v>
      </c>
      <c r="C3154" s="5" t="s">
        <v>6034</v>
      </c>
      <c r="D3154" s="6">
        <v>491.53</v>
      </c>
      <c r="E3154" s="6">
        <v>485.9</v>
      </c>
      <c r="F3154" s="7" t="s">
        <v>14</v>
      </c>
      <c r="G3154" s="8" t="s">
        <v>6035</v>
      </c>
      <c r="H3154" s="8" t="s">
        <v>16</v>
      </c>
      <c r="I3154" s="9">
        <v>1354</v>
      </c>
      <c r="J3154" s="10">
        <v>2</v>
      </c>
      <c r="K3154" s="10">
        <v>20006</v>
      </c>
      <c r="L3154" s="3" t="str">
        <f t="shared" si="101"/>
        <v>ΛΟΙΠΑ_ΣΙΤΗΡΑ</v>
      </c>
    </row>
    <row r="3155" spans="1:12" s="3" customFormat="1" ht="15" customHeight="1" x14ac:dyDescent="0.25">
      <c r="A3155" s="3" t="str">
        <f t="shared" si="100"/>
        <v>ΛΟΙΠΑ ΣΙΤΗΡΑΚΡΙΘΑΡΙ IS MALTEA</v>
      </c>
      <c r="B3155" s="4" t="s">
        <v>6025</v>
      </c>
      <c r="C3155" s="5" t="s">
        <v>6036</v>
      </c>
      <c r="D3155" s="6">
        <v>466.58</v>
      </c>
      <c r="E3155" s="6">
        <v>366.77</v>
      </c>
      <c r="F3155" s="7" t="s">
        <v>14</v>
      </c>
      <c r="G3155" s="8" t="s">
        <v>6037</v>
      </c>
      <c r="H3155" s="8" t="s">
        <v>16</v>
      </c>
      <c r="I3155" s="9">
        <v>1356</v>
      </c>
      <c r="J3155" s="10">
        <v>2</v>
      </c>
      <c r="K3155" s="10">
        <v>20007</v>
      </c>
      <c r="L3155" s="3" t="str">
        <f t="shared" si="101"/>
        <v>ΛΟΙΠΑ_ΣΙΤΗΡΑ</v>
      </c>
    </row>
    <row r="3156" spans="1:12" s="3" customFormat="1" ht="15" customHeight="1" x14ac:dyDescent="0.25">
      <c r="A3156" s="3" t="str">
        <f t="shared" si="100"/>
        <v>ΛΟΙΠΑ ΣΙΤΗΡΑΚΡΙΘΑΡΙ ZHANA</v>
      </c>
      <c r="B3156" s="4" t="s">
        <v>6025</v>
      </c>
      <c r="C3156" s="5" t="s">
        <v>6038</v>
      </c>
      <c r="D3156" s="6">
        <v>466.58</v>
      </c>
      <c r="E3156" s="6">
        <v>366.77</v>
      </c>
      <c r="F3156" s="7" t="s">
        <v>14</v>
      </c>
      <c r="G3156" s="8" t="s">
        <v>6039</v>
      </c>
      <c r="H3156" s="8" t="s">
        <v>16</v>
      </c>
      <c r="I3156" s="9">
        <v>1349</v>
      </c>
      <c r="J3156" s="10">
        <v>2</v>
      </c>
      <c r="K3156" s="10">
        <v>20008</v>
      </c>
      <c r="L3156" s="3" t="str">
        <f t="shared" si="101"/>
        <v>ΛΟΙΠΑ_ΣΙΤΗΡΑ</v>
      </c>
    </row>
    <row r="3157" spans="1:12" s="3" customFormat="1" ht="15" customHeight="1" x14ac:dyDescent="0.25">
      <c r="A3157" s="3" t="str">
        <f t="shared" si="100"/>
        <v>ΛΟΙΠΑ ΣΙΤΗΡΑΣΙΤΟΣ ΜΑΛΑΚΟΣ TIGRE</v>
      </c>
      <c r="B3157" s="4" t="s">
        <v>6025</v>
      </c>
      <c r="C3157" s="5" t="s">
        <v>6040</v>
      </c>
      <c r="D3157" s="6">
        <v>491.53</v>
      </c>
      <c r="E3157" s="6">
        <v>485.9</v>
      </c>
      <c r="F3157" s="7" t="s">
        <v>14</v>
      </c>
      <c r="G3157" s="8" t="s">
        <v>6041</v>
      </c>
      <c r="H3157" s="8" t="s">
        <v>16</v>
      </c>
      <c r="I3157" s="9">
        <v>1358</v>
      </c>
      <c r="J3157" s="10">
        <v>2</v>
      </c>
      <c r="K3157" s="10">
        <v>20009</v>
      </c>
      <c r="L3157" s="3" t="str">
        <f t="shared" si="101"/>
        <v>ΛΟΙΠΑ_ΣΙΤΗΡΑ</v>
      </c>
    </row>
    <row r="3158" spans="1:12" s="3" customFormat="1" ht="15" customHeight="1" x14ac:dyDescent="0.25">
      <c r="A3158" s="3" t="str">
        <f t="shared" si="100"/>
        <v>ΛΟΙΠΑ ΣΙΤΗΡΑΚΡΙΘΑΡΙ NURE</v>
      </c>
      <c r="B3158" s="4" t="s">
        <v>6025</v>
      </c>
      <c r="C3158" s="5" t="s">
        <v>5720</v>
      </c>
      <c r="D3158" s="6">
        <v>466.58</v>
      </c>
      <c r="E3158" s="6">
        <v>366.77</v>
      </c>
      <c r="F3158" s="7" t="s">
        <v>14</v>
      </c>
      <c r="G3158" s="8" t="s">
        <v>6042</v>
      </c>
      <c r="H3158" s="8" t="s">
        <v>16</v>
      </c>
      <c r="I3158" s="9">
        <v>1359</v>
      </c>
      <c r="J3158" s="10">
        <v>2</v>
      </c>
      <c r="K3158" s="10">
        <v>20010</v>
      </c>
      <c r="L3158" s="3" t="str">
        <f t="shared" si="101"/>
        <v>ΛΟΙΠΑ_ΣΙΤΗΡΑ</v>
      </c>
    </row>
    <row r="3159" spans="1:12" s="3" customFormat="1" ht="15" customHeight="1" x14ac:dyDescent="0.25">
      <c r="A3159" s="3" t="str">
        <f t="shared" si="100"/>
        <v>ΛΟΙΠΑ ΣΙΤΗΡΑΣΙΤΟΣ ΜΑΛΑΚΟΣ ELISSAVET</v>
      </c>
      <c r="B3159" s="4" t="s">
        <v>6025</v>
      </c>
      <c r="C3159" s="5" t="s">
        <v>6043</v>
      </c>
      <c r="D3159" s="6">
        <v>491.53</v>
      </c>
      <c r="E3159" s="6">
        <v>485.9</v>
      </c>
      <c r="F3159" s="7" t="s">
        <v>14</v>
      </c>
      <c r="G3159" s="8" t="s">
        <v>6044</v>
      </c>
      <c r="H3159" s="8" t="s">
        <v>16</v>
      </c>
      <c r="I3159" s="9">
        <v>1360</v>
      </c>
      <c r="J3159" s="10">
        <v>2</v>
      </c>
      <c r="K3159" s="10">
        <v>20011</v>
      </c>
      <c r="L3159" s="3" t="str">
        <f t="shared" si="101"/>
        <v>ΛΟΙΠΑ_ΣΙΤΗΡΑ</v>
      </c>
    </row>
    <row r="3160" spans="1:12" s="3" customFormat="1" ht="15" customHeight="1" x14ac:dyDescent="0.25">
      <c r="A3160" s="3" t="str">
        <f t="shared" si="100"/>
        <v>ΛΟΙΠΑ ΣΙΤΗΡΑTRITORDEUM BULEL</v>
      </c>
      <c r="B3160" s="4" t="s">
        <v>6025</v>
      </c>
      <c r="C3160" s="5" t="s">
        <v>6045</v>
      </c>
      <c r="D3160" s="6">
        <v>363.85</v>
      </c>
      <c r="E3160" s="6">
        <v>331.13</v>
      </c>
      <c r="F3160" s="7" t="s">
        <v>14</v>
      </c>
      <c r="G3160" s="8" t="s">
        <v>6046</v>
      </c>
      <c r="H3160" s="8" t="s">
        <v>16</v>
      </c>
      <c r="I3160" s="9">
        <v>1361</v>
      </c>
      <c r="J3160" s="10">
        <v>2</v>
      </c>
      <c r="K3160" s="10">
        <v>20012</v>
      </c>
      <c r="L3160" s="3" t="str">
        <f t="shared" si="101"/>
        <v>ΛΟΙΠΑ_ΣΙΤΗΡΑ</v>
      </c>
    </row>
    <row r="3161" spans="1:12" s="3" customFormat="1" ht="15" customHeight="1" x14ac:dyDescent="0.25">
      <c r="A3161" s="3" t="str">
        <f t="shared" si="100"/>
        <v>ΛΟΙΠΑ ΣΙΤΗΡΑΒΡΩΜΗ FULVIA</v>
      </c>
      <c r="B3161" s="4" t="s">
        <v>6025</v>
      </c>
      <c r="C3161" s="5" t="s">
        <v>6047</v>
      </c>
      <c r="D3161" s="6">
        <v>222.49</v>
      </c>
      <c r="E3161" s="6">
        <v>273.27</v>
      </c>
      <c r="F3161" s="7" t="s">
        <v>14</v>
      </c>
      <c r="G3161" s="8" t="s">
        <v>6048</v>
      </c>
      <c r="H3161" s="8" t="s">
        <v>16</v>
      </c>
      <c r="I3161" s="9">
        <v>1362</v>
      </c>
      <c r="J3161" s="10">
        <v>2</v>
      </c>
      <c r="K3161" s="10">
        <v>20013</v>
      </c>
      <c r="L3161" s="3" t="str">
        <f t="shared" si="101"/>
        <v>ΛΟΙΠΑ_ΣΙΤΗΡΑ</v>
      </c>
    </row>
    <row r="3162" spans="1:12" s="3" customFormat="1" ht="15" customHeight="1" x14ac:dyDescent="0.25">
      <c r="A3162" s="3" t="str">
        <f t="shared" si="100"/>
        <v>ΛΟΙΠΑ ΣΙΤΗΡΑΚΡΙΘΑΡΙ RGT PLANET</v>
      </c>
      <c r="B3162" s="4" t="s">
        <v>6025</v>
      </c>
      <c r="C3162" s="5" t="s">
        <v>5786</v>
      </c>
      <c r="D3162" s="6">
        <v>466.58</v>
      </c>
      <c r="E3162" s="6">
        <v>366.77</v>
      </c>
      <c r="F3162" s="7" t="s">
        <v>14</v>
      </c>
      <c r="G3162" s="8" t="s">
        <v>6049</v>
      </c>
      <c r="H3162" s="8" t="s">
        <v>16</v>
      </c>
      <c r="I3162" s="9">
        <v>1363</v>
      </c>
      <c r="J3162" s="10">
        <v>2</v>
      </c>
      <c r="K3162" s="10">
        <v>20014</v>
      </c>
      <c r="L3162" s="3" t="str">
        <f t="shared" si="101"/>
        <v>ΛΟΙΠΑ_ΣΙΤΗΡΑ</v>
      </c>
    </row>
    <row r="3163" spans="1:12" s="3" customFormat="1" ht="15" customHeight="1" x14ac:dyDescent="0.25">
      <c r="A3163" s="3" t="str">
        <f t="shared" si="100"/>
        <v>ΛΟΙΠΑ ΣΙΤΗΡΑΚΡΙΘΑΡΙ FELIX</v>
      </c>
      <c r="B3163" s="21" t="s">
        <v>6025</v>
      </c>
      <c r="C3163" s="22" t="s">
        <v>5790</v>
      </c>
      <c r="D3163" s="6">
        <v>466.58</v>
      </c>
      <c r="E3163" s="6">
        <v>366.77</v>
      </c>
      <c r="F3163" s="7" t="s">
        <v>14</v>
      </c>
      <c r="G3163" s="8" t="s">
        <v>6050</v>
      </c>
      <c r="H3163" s="8" t="s">
        <v>16</v>
      </c>
      <c r="I3163" s="9">
        <v>5171</v>
      </c>
      <c r="J3163" s="16">
        <v>2</v>
      </c>
      <c r="K3163" s="16">
        <v>20015</v>
      </c>
      <c r="L3163" s="3" t="str">
        <f t="shared" si="101"/>
        <v>ΛΟΙΠΑ_ΣΙΤΗΡΑ</v>
      </c>
    </row>
    <row r="3164" spans="1:12" s="3" customFormat="1" ht="15" customHeight="1" x14ac:dyDescent="0.25">
      <c r="A3164" s="3" t="str">
        <f t="shared" si="100"/>
        <v>ΛΟΙΠΑ ΣΙΤΗΡΑΚΡΙΘΑΡΙ SABER</v>
      </c>
      <c r="B3164" s="21" t="s">
        <v>6025</v>
      </c>
      <c r="C3164" s="22" t="s">
        <v>5794</v>
      </c>
      <c r="D3164" s="6">
        <v>466.58</v>
      </c>
      <c r="E3164" s="6">
        <v>366.77</v>
      </c>
      <c r="F3164" s="7" t="s">
        <v>14</v>
      </c>
      <c r="G3164" s="8" t="s">
        <v>6051</v>
      </c>
      <c r="H3164" s="8" t="s">
        <v>16</v>
      </c>
      <c r="I3164" s="9">
        <v>5172</v>
      </c>
      <c r="J3164" s="16">
        <v>2</v>
      </c>
      <c r="K3164" s="16">
        <v>20017</v>
      </c>
      <c r="L3164" s="3" t="str">
        <f t="shared" si="101"/>
        <v>ΛΟΙΠΑ_ΣΙΤΗΡΑ</v>
      </c>
    </row>
    <row r="3165" spans="1:12" s="3" customFormat="1" ht="15" customHeight="1" x14ac:dyDescent="0.25">
      <c r="A3165" s="3" t="str">
        <f t="shared" si="100"/>
        <v>ΛΟΙΠΑ ΣΙΤΗΡΑΣΙΤΟΣ ΜΑΛΑΚΟΣ PROFESORE</v>
      </c>
      <c r="B3165" s="21" t="s">
        <v>6025</v>
      </c>
      <c r="C3165" s="22" t="s">
        <v>5802</v>
      </c>
      <c r="D3165" s="6">
        <v>491.53</v>
      </c>
      <c r="E3165" s="6">
        <v>485.9</v>
      </c>
      <c r="F3165" s="7" t="s">
        <v>14</v>
      </c>
      <c r="G3165" s="8" t="s">
        <v>6052</v>
      </c>
      <c r="H3165" s="8" t="s">
        <v>16</v>
      </c>
      <c r="I3165" s="9">
        <v>5173</v>
      </c>
      <c r="J3165" s="16">
        <v>2</v>
      </c>
      <c r="K3165" s="16">
        <v>20018</v>
      </c>
      <c r="L3165" s="3" t="str">
        <f t="shared" si="101"/>
        <v>ΛΟΙΠΑ_ΣΙΤΗΡΑ</v>
      </c>
    </row>
    <row r="3166" spans="1:12" s="3" customFormat="1" ht="15" customHeight="1" x14ac:dyDescent="0.25">
      <c r="A3166" s="3" t="str">
        <f t="shared" si="100"/>
        <v>ΛΟΙΠΑ ΣΙΤΗΡΑΣΙΤΟΣ ΜΑΛΑΚΟΣ ALFARRAS</v>
      </c>
      <c r="B3166" s="21" t="s">
        <v>6025</v>
      </c>
      <c r="C3166" s="22" t="s">
        <v>5804</v>
      </c>
      <c r="D3166" s="6">
        <v>491.53</v>
      </c>
      <c r="E3166" s="6">
        <v>485.9</v>
      </c>
      <c r="F3166" s="7" t="s">
        <v>14</v>
      </c>
      <c r="G3166" s="8" t="s">
        <v>6053</v>
      </c>
      <c r="H3166" s="8" t="s">
        <v>16</v>
      </c>
      <c r="I3166" s="9">
        <v>5174</v>
      </c>
      <c r="J3166" s="16">
        <v>2</v>
      </c>
      <c r="K3166" s="16">
        <v>20019</v>
      </c>
      <c r="L3166" s="3" t="str">
        <f t="shared" si="101"/>
        <v>ΛΟΙΠΑ_ΣΙΤΗΡΑ</v>
      </c>
    </row>
    <row r="3167" spans="1:12" s="3" customFormat="1" ht="15" customHeight="1" x14ac:dyDescent="0.25">
      <c r="A3167" s="3" t="str">
        <f t="shared" si="100"/>
        <v>ΛΟΙΠΑ ΣΙΤΗΡΑΣΙΤΟΣ ΜΑΛΑΚΟΣ RUMARIO</v>
      </c>
      <c r="B3167" s="21" t="s">
        <v>6025</v>
      </c>
      <c r="C3167" s="22" t="s">
        <v>5806</v>
      </c>
      <c r="D3167" s="6">
        <v>491.53</v>
      </c>
      <c r="E3167" s="6">
        <v>485.9</v>
      </c>
      <c r="F3167" s="7" t="s">
        <v>14</v>
      </c>
      <c r="G3167" s="8" t="s">
        <v>6054</v>
      </c>
      <c r="H3167" s="8" t="s">
        <v>16</v>
      </c>
      <c r="I3167" s="9">
        <v>5175</v>
      </c>
      <c r="J3167" s="16">
        <v>2</v>
      </c>
      <c r="K3167" s="16">
        <v>20020</v>
      </c>
      <c r="L3167" s="3" t="str">
        <f t="shared" si="101"/>
        <v>ΛΟΙΠΑ_ΣΙΤΗΡΑ</v>
      </c>
    </row>
    <row r="3168" spans="1:12" s="3" customFormat="1" ht="15" customHeight="1" x14ac:dyDescent="0.25">
      <c r="A3168" s="3" t="str">
        <f t="shared" si="100"/>
        <v>ΛΟΙΠΑ ΣΙΤΗΡΑΣΙΤΟΣ ΜΑΛΑΚΟΣ JABALCON</v>
      </c>
      <c r="B3168" s="21" t="s">
        <v>6025</v>
      </c>
      <c r="C3168" s="22" t="s">
        <v>5808</v>
      </c>
      <c r="D3168" s="6">
        <v>491.53</v>
      </c>
      <c r="E3168" s="6">
        <v>485.9</v>
      </c>
      <c r="F3168" s="7" t="s">
        <v>14</v>
      </c>
      <c r="G3168" s="8" t="s">
        <v>6055</v>
      </c>
      <c r="H3168" s="8" t="s">
        <v>16</v>
      </c>
      <c r="I3168" s="9">
        <v>5176</v>
      </c>
      <c r="J3168" s="16">
        <v>2</v>
      </c>
      <c r="K3168" s="16">
        <v>20021</v>
      </c>
      <c r="L3168" s="3" t="str">
        <f t="shared" si="101"/>
        <v>ΛΟΙΠΑ_ΣΙΤΗΡΑ</v>
      </c>
    </row>
    <row r="3169" spans="1:12" s="3" customFormat="1" ht="15" customHeight="1" x14ac:dyDescent="0.25">
      <c r="A3169" s="3" t="str">
        <f t="shared" si="100"/>
        <v>ΛΟΙΠΑ ΣΙΤΗΡΑΣΙΤΟΣ ΜΑΛΑΚΟΣ OREINO</v>
      </c>
      <c r="B3169" s="21" t="s">
        <v>6025</v>
      </c>
      <c r="C3169" s="22" t="s">
        <v>5792</v>
      </c>
      <c r="D3169" s="6">
        <v>491.53</v>
      </c>
      <c r="E3169" s="6">
        <v>485.9</v>
      </c>
      <c r="F3169" s="7" t="s">
        <v>14</v>
      </c>
      <c r="G3169" s="8" t="s">
        <v>6056</v>
      </c>
      <c r="H3169" s="8" t="s">
        <v>16</v>
      </c>
      <c r="I3169" s="9">
        <v>5177</v>
      </c>
      <c r="J3169" s="16">
        <v>2</v>
      </c>
      <c r="K3169" s="16">
        <v>20022</v>
      </c>
      <c r="L3169" s="3" t="str">
        <f t="shared" si="101"/>
        <v>ΛΟΙΠΑ_ΣΙΤΗΡΑ</v>
      </c>
    </row>
    <row r="3170" spans="1:12" s="3" customFormat="1" ht="15" customHeight="1" x14ac:dyDescent="0.25">
      <c r="A3170" s="3" t="str">
        <f t="shared" si="100"/>
        <v>ΛΟΙΠΑ ΣΙΤΗΡΑΤΡΙΤΙΚΑΛΕ TALAVERA</v>
      </c>
      <c r="B3170" s="21" t="s">
        <v>6025</v>
      </c>
      <c r="C3170" s="5" t="s">
        <v>5818</v>
      </c>
      <c r="D3170" s="6">
        <v>363.85</v>
      </c>
      <c r="E3170" s="6">
        <v>331.13</v>
      </c>
      <c r="F3170" s="7" t="s">
        <v>14</v>
      </c>
      <c r="G3170" s="8" t="s">
        <v>6057</v>
      </c>
      <c r="H3170" s="8" t="s">
        <v>16</v>
      </c>
      <c r="I3170" s="9">
        <v>5178</v>
      </c>
      <c r="J3170" s="16">
        <v>2</v>
      </c>
      <c r="K3170" s="16">
        <v>20023</v>
      </c>
      <c r="L3170" s="3" t="str">
        <f t="shared" si="101"/>
        <v>ΛΟΙΠΑ_ΣΙΤΗΡΑ</v>
      </c>
    </row>
    <row r="3171" spans="1:12" s="3" customFormat="1" ht="15" customHeight="1" x14ac:dyDescent="0.25">
      <c r="A3171" s="3" t="str">
        <f t="shared" si="100"/>
        <v>ΛΟΙΠΑ ΣΙΤΗΡΑΤΡΙΤΙΚΑΛΕ ZUHAT</v>
      </c>
      <c r="B3171" s="21" t="s">
        <v>6025</v>
      </c>
      <c r="C3171" s="5" t="s">
        <v>5820</v>
      </c>
      <c r="D3171" s="6">
        <v>363.85</v>
      </c>
      <c r="E3171" s="6">
        <v>331.13</v>
      </c>
      <c r="F3171" s="7" t="s">
        <v>14</v>
      </c>
      <c r="G3171" s="8" t="s">
        <v>6058</v>
      </c>
      <c r="H3171" s="8" t="s">
        <v>16</v>
      </c>
      <c r="I3171" s="9">
        <v>5179</v>
      </c>
      <c r="J3171" s="16">
        <v>2</v>
      </c>
      <c r="K3171" s="16">
        <v>20024</v>
      </c>
      <c r="L3171" s="3" t="str">
        <f t="shared" si="101"/>
        <v>ΛΟΙΠΑ_ΣΙΤΗΡΑ</v>
      </c>
    </row>
    <row r="3172" spans="1:12" s="3" customFormat="1" ht="15" customHeight="1" x14ac:dyDescent="0.25">
      <c r="A3172" s="3" t="str">
        <f t="shared" si="100"/>
        <v>ΛΟΙΠΑ ΣΙΤΗΡΑΤΡΙΤΙΚΑΛΕ ALKMINI</v>
      </c>
      <c r="B3172" s="21" t="s">
        <v>6025</v>
      </c>
      <c r="C3172" s="5" t="s">
        <v>5810</v>
      </c>
      <c r="D3172" s="6">
        <v>363.85</v>
      </c>
      <c r="E3172" s="6">
        <v>331.13</v>
      </c>
      <c r="F3172" s="7" t="s">
        <v>14</v>
      </c>
      <c r="G3172" s="8" t="s">
        <v>6059</v>
      </c>
      <c r="H3172" s="8" t="s">
        <v>16</v>
      </c>
      <c r="I3172" s="9">
        <v>5180</v>
      </c>
      <c r="J3172" s="16">
        <v>2</v>
      </c>
      <c r="K3172" s="16">
        <v>20025</v>
      </c>
      <c r="L3172" s="3" t="str">
        <f t="shared" si="101"/>
        <v>ΛΟΙΠΑ_ΣΙΤΗΡΑ</v>
      </c>
    </row>
    <row r="3173" spans="1:12" s="3" customFormat="1" ht="15" customHeight="1" x14ac:dyDescent="0.25">
      <c r="A3173" s="3" t="str">
        <f t="shared" si="100"/>
        <v>ΛΟΙΠΑ ΣΙΤΗΡΑΤΡΙΤΙΚΑΛΕ ARETI</v>
      </c>
      <c r="B3173" s="21" t="s">
        <v>6025</v>
      </c>
      <c r="C3173" s="5" t="s">
        <v>5812</v>
      </c>
      <c r="D3173" s="6">
        <v>363.85</v>
      </c>
      <c r="E3173" s="6">
        <v>331.13</v>
      </c>
      <c r="F3173" s="7" t="s">
        <v>14</v>
      </c>
      <c r="G3173" s="8" t="s">
        <v>6060</v>
      </c>
      <c r="H3173" s="8" t="s">
        <v>16</v>
      </c>
      <c r="I3173" s="9">
        <v>5181</v>
      </c>
      <c r="J3173" s="16">
        <v>2</v>
      </c>
      <c r="K3173" s="16">
        <v>20026</v>
      </c>
      <c r="L3173" s="3" t="str">
        <f t="shared" si="101"/>
        <v>ΛΟΙΠΑ_ΣΙΤΗΡΑ</v>
      </c>
    </row>
    <row r="3174" spans="1:12" s="3" customFormat="1" ht="15" customHeight="1" x14ac:dyDescent="0.25">
      <c r="A3174" s="3" t="str">
        <f t="shared" si="100"/>
        <v>ΛΟΙΠΑ ΣΙΤΗΡΑΤΡΙΤΙΚΑΛΕ ATHIENOU</v>
      </c>
      <c r="B3174" s="21" t="s">
        <v>6025</v>
      </c>
      <c r="C3174" s="5" t="s">
        <v>5814</v>
      </c>
      <c r="D3174" s="6">
        <v>363.85</v>
      </c>
      <c r="E3174" s="6">
        <v>331.13</v>
      </c>
      <c r="F3174" s="7" t="s">
        <v>14</v>
      </c>
      <c r="G3174" s="8" t="s">
        <v>6061</v>
      </c>
      <c r="H3174" s="8" t="s">
        <v>16</v>
      </c>
      <c r="I3174" s="9">
        <v>5182</v>
      </c>
      <c r="J3174" s="16">
        <v>2</v>
      </c>
      <c r="K3174" s="16">
        <v>20027</v>
      </c>
      <c r="L3174" s="3" t="str">
        <f t="shared" si="101"/>
        <v>ΛΟΙΠΑ_ΣΙΤΗΡΑ</v>
      </c>
    </row>
    <row r="3175" spans="1:12" s="3" customFormat="1" ht="15" customHeight="1" x14ac:dyDescent="0.25">
      <c r="A3175" s="3" t="str">
        <f t="shared" si="100"/>
        <v>ΛΟΙΠΑ ΣΙΤΗΡΑΤΡΙΤΙΚΑΛΕ IRAKLIS</v>
      </c>
      <c r="B3175" s="21" t="s">
        <v>6025</v>
      </c>
      <c r="C3175" s="5" t="s">
        <v>5816</v>
      </c>
      <c r="D3175" s="6">
        <v>363.85</v>
      </c>
      <c r="E3175" s="6">
        <v>331.13</v>
      </c>
      <c r="F3175" s="7" t="s">
        <v>14</v>
      </c>
      <c r="G3175" s="8" t="s">
        <v>6062</v>
      </c>
      <c r="H3175" s="8" t="s">
        <v>16</v>
      </c>
      <c r="I3175" s="9">
        <v>5183</v>
      </c>
      <c r="J3175" s="16">
        <v>2</v>
      </c>
      <c r="K3175" s="16">
        <v>20028</v>
      </c>
      <c r="L3175" s="3" t="str">
        <f t="shared" si="101"/>
        <v>ΛΟΙΠΑ_ΣΙΤΗΡΑ</v>
      </c>
    </row>
    <row r="3176" spans="1:12" s="3" customFormat="1" ht="15" customHeight="1" x14ac:dyDescent="0.25">
      <c r="A3176" s="3" t="str">
        <f t="shared" si="100"/>
        <v>ΛΟΙΠΑ ΣΙΤΗΡΑΚΡΙΘΑΡΙ ANDROMEDA</v>
      </c>
      <c r="B3176" s="21" t="s">
        <v>6025</v>
      </c>
      <c r="C3176" s="22" t="s">
        <v>5822</v>
      </c>
      <c r="D3176" s="6">
        <v>466.58</v>
      </c>
      <c r="E3176" s="6">
        <v>366.77</v>
      </c>
      <c r="F3176" s="7" t="s">
        <v>14</v>
      </c>
      <c r="G3176" s="8" t="s">
        <v>6063</v>
      </c>
      <c r="H3176" s="8" t="s">
        <v>16</v>
      </c>
      <c r="I3176" s="9">
        <v>5184</v>
      </c>
      <c r="J3176" s="16">
        <v>2</v>
      </c>
      <c r="K3176" s="16">
        <v>20029</v>
      </c>
      <c r="L3176" s="3" t="str">
        <f t="shared" si="101"/>
        <v>ΛΟΙΠΑ_ΣΙΤΗΡΑ</v>
      </c>
    </row>
    <row r="3177" spans="1:12" s="3" customFormat="1" ht="15" customHeight="1" x14ac:dyDescent="0.25">
      <c r="A3177" s="3" t="str">
        <f t="shared" si="100"/>
        <v>ΛΟΙΠΑ ΣΙΤΗΡΑΚΡΙΘΑΡΙ FATIMA</v>
      </c>
      <c r="B3177" s="23" t="s">
        <v>6025</v>
      </c>
      <c r="C3177" s="24" t="s">
        <v>5849</v>
      </c>
      <c r="D3177" s="6">
        <v>466.58</v>
      </c>
      <c r="E3177" s="6">
        <v>366.77</v>
      </c>
      <c r="F3177" s="29" t="s">
        <v>14</v>
      </c>
      <c r="G3177" s="8" t="s">
        <v>6064</v>
      </c>
      <c r="H3177" s="8" t="s">
        <v>16</v>
      </c>
      <c r="I3177" s="9">
        <v>5414</v>
      </c>
      <c r="J3177" s="26">
        <v>2</v>
      </c>
      <c r="K3177" s="27">
        <v>20030</v>
      </c>
      <c r="L3177" s="3" t="str">
        <f t="shared" si="101"/>
        <v>ΛΟΙΠΑ_ΣΙΤΗΡΑ</v>
      </c>
    </row>
    <row r="3178" spans="1:12" s="3" customFormat="1" ht="15" customHeight="1" x14ac:dyDescent="0.25">
      <c r="A3178" s="3" t="str">
        <f t="shared" si="100"/>
        <v>ΛΟΙΠΑ ΣΙΤΗΡΑΚΡΙΘΑΡΙ CANNON</v>
      </c>
      <c r="B3178" s="23" t="s">
        <v>6025</v>
      </c>
      <c r="C3178" s="24" t="s">
        <v>5851</v>
      </c>
      <c r="D3178" s="6">
        <v>466.58</v>
      </c>
      <c r="E3178" s="6">
        <v>366.77</v>
      </c>
      <c r="F3178" s="29" t="s">
        <v>14</v>
      </c>
      <c r="G3178" s="8" t="s">
        <v>6065</v>
      </c>
      <c r="H3178" s="8" t="s">
        <v>16</v>
      </c>
      <c r="I3178" s="9">
        <v>5415</v>
      </c>
      <c r="J3178" s="26">
        <v>2</v>
      </c>
      <c r="K3178" s="27">
        <v>20031</v>
      </c>
      <c r="L3178" s="3" t="str">
        <f t="shared" si="101"/>
        <v>ΛΟΙΠΑ_ΣΙΤΗΡΑ</v>
      </c>
    </row>
    <row r="3179" spans="1:12" s="3" customFormat="1" ht="24" x14ac:dyDescent="0.25">
      <c r="A3179" s="3" t="str">
        <f t="shared" si="100"/>
        <v>ΛΟΙΠΑ ΣΙΤΗΡΑΣΙΤΟΣ Η ΣΠΕΛΤΑ (ΟΛΥΡΑ ή ΑΓΡΙΟΣΙΤΑΡΟ ή ΝΤΙΝΚΕΛ) (TRITICUM SPELTA)</v>
      </c>
      <c r="B3179" s="23" t="s">
        <v>6025</v>
      </c>
      <c r="C3179" s="24" t="s">
        <v>6066</v>
      </c>
      <c r="D3179" s="6">
        <v>491.53</v>
      </c>
      <c r="E3179" s="6">
        <v>485.9</v>
      </c>
      <c r="F3179" s="29" t="s">
        <v>14</v>
      </c>
      <c r="G3179" s="8" t="s">
        <v>6067</v>
      </c>
      <c r="H3179" s="8" t="s">
        <v>16</v>
      </c>
      <c r="I3179" s="9">
        <v>5416</v>
      </c>
      <c r="J3179" s="26">
        <v>2</v>
      </c>
      <c r="K3179" s="27">
        <v>20032</v>
      </c>
      <c r="L3179" s="3" t="str">
        <f t="shared" si="101"/>
        <v>ΛΟΙΠΑ_ΣΙΤΗΡΑ</v>
      </c>
    </row>
    <row r="3180" spans="1:12" s="3" customFormat="1" x14ac:dyDescent="0.25">
      <c r="A3180" s="3" t="str">
        <f t="shared" si="100"/>
        <v>ΛΟΙΠΑ ΣΙΤΗΡΑΣΙΤΟΣ ΜΑΛΑΚΟΣ FALADO</v>
      </c>
      <c r="B3180" s="23" t="s">
        <v>6025</v>
      </c>
      <c r="C3180" s="24" t="s">
        <v>5909</v>
      </c>
      <c r="D3180" s="6">
        <v>491.53</v>
      </c>
      <c r="E3180" s="6">
        <v>485.9</v>
      </c>
      <c r="F3180" s="7" t="s">
        <v>14</v>
      </c>
      <c r="G3180" s="30" t="s">
        <v>6068</v>
      </c>
      <c r="H3180" s="31" t="s">
        <v>577</v>
      </c>
      <c r="I3180" s="9">
        <v>6187</v>
      </c>
      <c r="J3180" s="30">
        <v>2</v>
      </c>
      <c r="K3180" s="30">
        <v>20036</v>
      </c>
      <c r="L3180" s="3" t="str">
        <f t="shared" si="101"/>
        <v>ΛΟΙΠΑ_ΣΙΤΗΡΑ</v>
      </c>
    </row>
    <row r="3181" spans="1:12" s="3" customFormat="1" x14ac:dyDescent="0.25">
      <c r="A3181" s="3" t="str">
        <f t="shared" si="100"/>
        <v>ΛΟΙΠΑ ΣΙΤΗΡΑΤΕΦ</v>
      </c>
      <c r="B3181" s="23" t="s">
        <v>6025</v>
      </c>
      <c r="C3181" s="24" t="s">
        <v>6069</v>
      </c>
      <c r="D3181" s="6">
        <v>491.53</v>
      </c>
      <c r="E3181" s="6">
        <v>485.9</v>
      </c>
      <c r="F3181" s="7" t="s">
        <v>14</v>
      </c>
      <c r="G3181" s="30" t="s">
        <v>6070</v>
      </c>
      <c r="H3181" s="31" t="s">
        <v>577</v>
      </c>
      <c r="I3181" s="9">
        <v>6231</v>
      </c>
      <c r="J3181" s="30">
        <v>2</v>
      </c>
      <c r="K3181" s="30">
        <v>20037</v>
      </c>
      <c r="L3181" s="3" t="str">
        <f t="shared" si="101"/>
        <v>ΛΟΙΠΑ_ΣΙΤΗΡΑ</v>
      </c>
    </row>
    <row r="3182" spans="1:12" s="3" customFormat="1" x14ac:dyDescent="0.25">
      <c r="A3182" s="3" t="str">
        <f t="shared" si="100"/>
        <v>ΛΟΙΠΑ ΣΙΤΗΡΑΣΙΤΑΡΟΚΡΙΘΑΡΟ</v>
      </c>
      <c r="B3182" s="23" t="s">
        <v>6025</v>
      </c>
      <c r="C3182" s="24" t="s">
        <v>6071</v>
      </c>
      <c r="D3182" s="6">
        <v>491.53</v>
      </c>
      <c r="E3182" s="6">
        <v>485.9</v>
      </c>
      <c r="F3182" s="7" t="s">
        <v>14</v>
      </c>
      <c r="G3182" s="30" t="s">
        <v>6072</v>
      </c>
      <c r="H3182" s="31" t="s">
        <v>577</v>
      </c>
      <c r="I3182" s="9">
        <v>6148</v>
      </c>
      <c r="J3182" s="30">
        <v>2</v>
      </c>
      <c r="K3182" s="30">
        <v>20038</v>
      </c>
      <c r="L3182" s="3" t="str">
        <f t="shared" si="101"/>
        <v>ΛΟΙΠΑ_ΣΙΤΗΡΑ</v>
      </c>
    </row>
    <row r="3183" spans="1:12" s="3" customFormat="1" x14ac:dyDescent="0.25">
      <c r="A3183" s="3" t="str">
        <f t="shared" si="100"/>
        <v>ΛΟΙΠΑ ΣΙΤΗΡΑΣΙΤΟΣ ΜΑΛΑΚΟΣ ANFORETA</v>
      </c>
      <c r="B3183" s="23" t="s">
        <v>6025</v>
      </c>
      <c r="C3183" s="24" t="s">
        <v>6073</v>
      </c>
      <c r="D3183" s="6">
        <v>491.53</v>
      </c>
      <c r="E3183" s="6">
        <v>485.9</v>
      </c>
      <c r="F3183" s="7" t="s">
        <v>14</v>
      </c>
      <c r="G3183" s="30" t="s">
        <v>6074</v>
      </c>
      <c r="H3183" s="31" t="s">
        <v>577</v>
      </c>
      <c r="I3183" s="9">
        <v>6163</v>
      </c>
      <c r="J3183" s="30">
        <v>2</v>
      </c>
      <c r="K3183" s="30">
        <v>20039</v>
      </c>
      <c r="L3183" s="3" t="str">
        <f t="shared" si="101"/>
        <v>ΛΟΙΠΑ_ΣΙΤΗΡΑ</v>
      </c>
    </row>
    <row r="3184" spans="1:12" s="3" customFormat="1" x14ac:dyDescent="0.25">
      <c r="A3184" s="3" t="str">
        <f t="shared" si="100"/>
        <v>ΛΟΙΠΑ ΣΙΤΗΡΑΣΙΤΟΣ ΜΑΛΑΚΟΣ REBELDE</v>
      </c>
      <c r="B3184" s="23" t="s">
        <v>6025</v>
      </c>
      <c r="C3184" s="24" t="s">
        <v>6075</v>
      </c>
      <c r="D3184" s="6">
        <v>491.53</v>
      </c>
      <c r="E3184" s="6">
        <v>485.9</v>
      </c>
      <c r="F3184" s="7" t="s">
        <v>14</v>
      </c>
      <c r="G3184" s="30" t="s">
        <v>6076</v>
      </c>
      <c r="H3184" s="31" t="s">
        <v>577</v>
      </c>
      <c r="I3184" s="9">
        <v>6208</v>
      </c>
      <c r="J3184" s="30">
        <v>2</v>
      </c>
      <c r="K3184" s="30">
        <v>20041</v>
      </c>
      <c r="L3184" s="3" t="str">
        <f t="shared" si="101"/>
        <v>ΛΟΙΠΑ_ΣΙΤΗΡΑ</v>
      </c>
    </row>
    <row r="3185" spans="1:12" s="3" customFormat="1" x14ac:dyDescent="0.25">
      <c r="A3185" s="3" t="str">
        <f t="shared" si="100"/>
        <v>ΛΟΙΠΑ ΣΙΤΗΡΑΣΙΤΟΣ ΜΑΛΑΚΟΣ SICARIO</v>
      </c>
      <c r="B3185" s="23" t="s">
        <v>6025</v>
      </c>
      <c r="C3185" s="24" t="s">
        <v>6077</v>
      </c>
      <c r="D3185" s="6">
        <v>491.53</v>
      </c>
      <c r="E3185" s="6">
        <v>485.9</v>
      </c>
      <c r="F3185" s="7" t="s">
        <v>14</v>
      </c>
      <c r="G3185" s="30" t="s">
        <v>6078</v>
      </c>
      <c r="H3185" s="31" t="s">
        <v>577</v>
      </c>
      <c r="I3185" s="9">
        <v>6215</v>
      </c>
      <c r="J3185" s="30">
        <v>2</v>
      </c>
      <c r="K3185" s="30">
        <v>20043</v>
      </c>
      <c r="L3185" s="3" t="str">
        <f t="shared" si="101"/>
        <v>ΛΟΙΠΑ_ΣΙΤΗΡΑ</v>
      </c>
    </row>
    <row r="3186" spans="1:12" s="3" customFormat="1" x14ac:dyDescent="0.25">
      <c r="A3186" s="3" t="str">
        <f t="shared" si="100"/>
        <v>ΛΟΙΠΑ ΣΙΤΗΡΑΣΙΤΟΣ ΜΑΛΑΚΟΣ CALIFA SUR</v>
      </c>
      <c r="B3186" s="23" t="s">
        <v>6025</v>
      </c>
      <c r="C3186" s="24" t="s">
        <v>6079</v>
      </c>
      <c r="D3186" s="6">
        <v>491.53</v>
      </c>
      <c r="E3186" s="6">
        <v>485.9</v>
      </c>
      <c r="F3186" s="7" t="s">
        <v>14</v>
      </c>
      <c r="G3186" s="30" t="s">
        <v>6080</v>
      </c>
      <c r="H3186" s="31" t="s">
        <v>577</v>
      </c>
      <c r="I3186" s="9">
        <v>6179</v>
      </c>
      <c r="J3186" s="30">
        <v>2</v>
      </c>
      <c r="K3186" s="30">
        <v>20044</v>
      </c>
      <c r="L3186" s="3" t="str">
        <f t="shared" si="101"/>
        <v>ΛΟΙΠΑ_ΣΙΤΗΡΑ</v>
      </c>
    </row>
    <row r="3187" spans="1:12" s="3" customFormat="1" x14ac:dyDescent="0.25">
      <c r="A3187" s="3" t="str">
        <f t="shared" si="100"/>
        <v>ΛΟΙΠΑ ΣΙΤΗΡΑΣΙΤΟΣ ΜΑΛΑΚΟΣ AFRICA</v>
      </c>
      <c r="B3187" s="23" t="s">
        <v>6025</v>
      </c>
      <c r="C3187" s="24" t="s">
        <v>6081</v>
      </c>
      <c r="D3187" s="6">
        <v>491.53</v>
      </c>
      <c r="E3187" s="6">
        <v>485.9</v>
      </c>
      <c r="F3187" s="7" t="s">
        <v>14</v>
      </c>
      <c r="G3187" s="30" t="s">
        <v>6082</v>
      </c>
      <c r="H3187" s="31" t="s">
        <v>577</v>
      </c>
      <c r="I3187" s="9">
        <v>6153</v>
      </c>
      <c r="J3187" s="30">
        <v>2</v>
      </c>
      <c r="K3187" s="30">
        <v>20045</v>
      </c>
      <c r="L3187" s="3" t="str">
        <f t="shared" si="101"/>
        <v>ΛΟΙΠΑ_ΣΙΤΗΡΑ</v>
      </c>
    </row>
    <row r="3188" spans="1:12" s="3" customFormat="1" x14ac:dyDescent="0.25">
      <c r="A3188" s="3" t="str">
        <f t="shared" si="100"/>
        <v>ΛΟΙΠΑ ΣΙΤΗΡΑΣΙΤΟΣ ΜΑΛΑΚΟΣ SKERZZO</v>
      </c>
      <c r="B3188" s="23" t="s">
        <v>6025</v>
      </c>
      <c r="C3188" s="24" t="s">
        <v>6083</v>
      </c>
      <c r="D3188" s="6">
        <v>491.53</v>
      </c>
      <c r="E3188" s="6">
        <v>485.9</v>
      </c>
      <c r="F3188" s="7" t="s">
        <v>14</v>
      </c>
      <c r="G3188" s="30" t="s">
        <v>6084</v>
      </c>
      <c r="H3188" s="31" t="s">
        <v>577</v>
      </c>
      <c r="I3188" s="9">
        <v>6216</v>
      </c>
      <c r="J3188" s="30">
        <v>2</v>
      </c>
      <c r="K3188" s="30">
        <v>20046</v>
      </c>
      <c r="L3188" s="3" t="str">
        <f t="shared" si="101"/>
        <v>ΛΟΙΠΑ_ΣΙΤΗΡΑ</v>
      </c>
    </row>
    <row r="3189" spans="1:12" s="3" customFormat="1" x14ac:dyDescent="0.25">
      <c r="A3189" s="3" t="str">
        <f t="shared" si="100"/>
        <v>ΛΟΙΠΑ ΣΙΤΗΡΑΣΙΤΟΣ ΜΑΛΑΚΟΣ BOLOGNA</v>
      </c>
      <c r="B3189" s="23" t="s">
        <v>6025</v>
      </c>
      <c r="C3189" s="24" t="s">
        <v>6085</v>
      </c>
      <c r="D3189" s="6">
        <v>491.53</v>
      </c>
      <c r="E3189" s="6">
        <v>485.9</v>
      </c>
      <c r="F3189" s="7" t="s">
        <v>14</v>
      </c>
      <c r="G3189" s="30" t="s">
        <v>6086</v>
      </c>
      <c r="H3189" s="31" t="s">
        <v>577</v>
      </c>
      <c r="I3189" s="9">
        <v>6177</v>
      </c>
      <c r="J3189" s="30">
        <v>2</v>
      </c>
      <c r="K3189" s="30">
        <v>20047</v>
      </c>
      <c r="L3189" s="3" t="str">
        <f t="shared" si="101"/>
        <v>ΛΟΙΠΑ_ΣΙΤΗΡΑ</v>
      </c>
    </row>
    <row r="3190" spans="1:12" s="3" customFormat="1" x14ac:dyDescent="0.25">
      <c r="A3190" s="3" t="str">
        <f t="shared" si="100"/>
        <v>ΛΟΙΠΑ ΣΙΤΗΡΑΣΙΤΟΣ ΜΑΛΑΚΟΣ GKOGKAS2</v>
      </c>
      <c r="B3190" s="23" t="s">
        <v>6025</v>
      </c>
      <c r="C3190" s="24" t="s">
        <v>6087</v>
      </c>
      <c r="D3190" s="6">
        <v>491.53</v>
      </c>
      <c r="E3190" s="6">
        <v>485.9</v>
      </c>
      <c r="F3190" s="7" t="s">
        <v>14</v>
      </c>
      <c r="G3190" s="30" t="s">
        <v>6088</v>
      </c>
      <c r="H3190" s="31" t="s">
        <v>577</v>
      </c>
      <c r="I3190" s="9">
        <v>6198</v>
      </c>
      <c r="J3190" s="30">
        <v>2</v>
      </c>
      <c r="K3190" s="30">
        <v>20048</v>
      </c>
      <c r="L3190" s="3" t="str">
        <f t="shared" si="101"/>
        <v>ΛΟΙΠΑ_ΣΙΤΗΡΑ</v>
      </c>
    </row>
    <row r="3191" spans="1:12" s="3" customFormat="1" x14ac:dyDescent="0.25">
      <c r="A3191" s="3" t="str">
        <f t="shared" si="100"/>
        <v>ΛΟΙΠΑ ΣΙΤΗΡΑΣΙΤΟΣ ΜΑΛΑΚΟΣ ANAPO</v>
      </c>
      <c r="B3191" s="23" t="s">
        <v>6025</v>
      </c>
      <c r="C3191" s="24" t="s">
        <v>6089</v>
      </c>
      <c r="D3191" s="6">
        <v>491.53</v>
      </c>
      <c r="E3191" s="6">
        <v>485.9</v>
      </c>
      <c r="F3191" s="7" t="s">
        <v>14</v>
      </c>
      <c r="G3191" s="30" t="s">
        <v>6090</v>
      </c>
      <c r="H3191" s="31" t="s">
        <v>577</v>
      </c>
      <c r="I3191" s="9">
        <v>6162</v>
      </c>
      <c r="J3191" s="30">
        <v>2</v>
      </c>
      <c r="K3191" s="30">
        <v>20049</v>
      </c>
      <c r="L3191" s="3" t="str">
        <f t="shared" si="101"/>
        <v>ΛΟΙΠΑ_ΣΙΤΗΡΑ</v>
      </c>
    </row>
    <row r="3192" spans="1:12" s="3" customFormat="1" x14ac:dyDescent="0.25">
      <c r="A3192" s="3" t="str">
        <f t="shared" si="100"/>
        <v>ΛΟΙΠΑ ΣΙΤΗΡΑΣΙΤΟΣ ΜΑΛΑΚΟΣ RGT COSACO</v>
      </c>
      <c r="B3192" s="23" t="s">
        <v>6025</v>
      </c>
      <c r="C3192" s="24" t="s">
        <v>5907</v>
      </c>
      <c r="D3192" s="6">
        <v>491.53</v>
      </c>
      <c r="E3192" s="6">
        <v>485.9</v>
      </c>
      <c r="F3192" s="7" t="s">
        <v>14</v>
      </c>
      <c r="G3192" s="30" t="s">
        <v>6091</v>
      </c>
      <c r="H3192" s="31" t="s">
        <v>577</v>
      </c>
      <c r="I3192" s="9">
        <v>6210</v>
      </c>
      <c r="J3192" s="30">
        <v>2</v>
      </c>
      <c r="K3192" s="30">
        <v>20050</v>
      </c>
      <c r="L3192" s="3" t="str">
        <f t="shared" si="101"/>
        <v>ΛΟΙΠΑ_ΣΙΤΗΡΑ</v>
      </c>
    </row>
    <row r="3193" spans="1:12" s="3" customFormat="1" x14ac:dyDescent="0.25">
      <c r="A3193" s="3" t="str">
        <f t="shared" si="100"/>
        <v>ΛΟΙΠΑ ΣΙΤΗΡΑΣΙΤΟΣ ΜΑΛΑΚΟΣ COSMIC</v>
      </c>
      <c r="B3193" s="23" t="s">
        <v>6025</v>
      </c>
      <c r="C3193" s="24" t="s">
        <v>6092</v>
      </c>
      <c r="D3193" s="6">
        <v>491.53</v>
      </c>
      <c r="E3193" s="6">
        <v>485.9</v>
      </c>
      <c r="F3193" s="7" t="s">
        <v>14</v>
      </c>
      <c r="G3193" s="30" t="s">
        <v>6093</v>
      </c>
      <c r="H3193" s="31" t="s">
        <v>577</v>
      </c>
      <c r="I3193" s="9">
        <v>6180</v>
      </c>
      <c r="J3193" s="30">
        <v>2</v>
      </c>
      <c r="K3193" s="30">
        <v>20051</v>
      </c>
      <c r="L3193" s="3" t="str">
        <f t="shared" si="101"/>
        <v>ΛΟΙΠΑ_ΣΙΤΗΡΑ</v>
      </c>
    </row>
    <row r="3194" spans="1:12" s="3" customFormat="1" x14ac:dyDescent="0.25">
      <c r="A3194" s="3" t="str">
        <f t="shared" si="100"/>
        <v>ΛΟΙΠΑ ΣΙΤΗΡΑΣΙΤΟΣ ΜΑΛΑΚΟΣ AXUM</v>
      </c>
      <c r="B3194" s="23" t="s">
        <v>6025</v>
      </c>
      <c r="C3194" s="24" t="s">
        <v>6094</v>
      </c>
      <c r="D3194" s="6">
        <v>491.53</v>
      </c>
      <c r="E3194" s="6">
        <v>485.9</v>
      </c>
      <c r="F3194" s="7" t="s">
        <v>14</v>
      </c>
      <c r="G3194" s="30" t="s">
        <v>6095</v>
      </c>
      <c r="H3194" s="31" t="s">
        <v>577</v>
      </c>
      <c r="I3194" s="9">
        <v>6170</v>
      </c>
      <c r="J3194" s="30">
        <v>2</v>
      </c>
      <c r="K3194" s="30">
        <v>20052</v>
      </c>
      <c r="L3194" s="3" t="str">
        <f t="shared" si="101"/>
        <v>ΛΟΙΠΑ_ΣΙΤΗΡΑ</v>
      </c>
    </row>
    <row r="3195" spans="1:12" s="3" customFormat="1" x14ac:dyDescent="0.25">
      <c r="A3195" s="3" t="str">
        <f t="shared" si="100"/>
        <v>ΛΟΙΠΑ ΣΙΤΗΡΑΣΙΤΟΣ ΜΑΛΑΚΟΣ STAVENTO</v>
      </c>
      <c r="B3195" s="23" t="s">
        <v>6025</v>
      </c>
      <c r="C3195" s="24" t="s">
        <v>6096</v>
      </c>
      <c r="D3195" s="6">
        <v>491.53</v>
      </c>
      <c r="E3195" s="6">
        <v>485.9</v>
      </c>
      <c r="F3195" s="7" t="s">
        <v>14</v>
      </c>
      <c r="G3195" s="30" t="s">
        <v>6097</v>
      </c>
      <c r="H3195" s="31" t="s">
        <v>577</v>
      </c>
      <c r="I3195" s="9">
        <v>6217</v>
      </c>
      <c r="J3195" s="30">
        <v>2</v>
      </c>
      <c r="K3195" s="30">
        <v>20054</v>
      </c>
      <c r="L3195" s="3" t="str">
        <f t="shared" si="101"/>
        <v>ΛΟΙΠΑ_ΣΙΤΗΡΑ</v>
      </c>
    </row>
    <row r="3196" spans="1:12" s="3" customFormat="1" x14ac:dyDescent="0.25">
      <c r="A3196" s="3" t="str">
        <f t="shared" si="100"/>
        <v>ΛΟΙΠΑ ΣΙΤΗΡΑΣΙΤΟΣ ΜΑΛΑΚΟΣ  SOLEHIO</v>
      </c>
      <c r="B3196" s="23" t="s">
        <v>6025</v>
      </c>
      <c r="C3196" s="24" t="s">
        <v>6098</v>
      </c>
      <c r="D3196" s="6">
        <v>491.53</v>
      </c>
      <c r="E3196" s="6">
        <v>485.9</v>
      </c>
      <c r="F3196" s="7" t="s">
        <v>14</v>
      </c>
      <c r="G3196" s="30" t="s">
        <v>6099</v>
      </c>
      <c r="H3196" s="31" t="s">
        <v>577</v>
      </c>
      <c r="I3196" s="9">
        <v>6149</v>
      </c>
      <c r="J3196" s="30">
        <v>2</v>
      </c>
      <c r="K3196" s="30">
        <v>20055</v>
      </c>
      <c r="L3196" s="3" t="str">
        <f t="shared" si="101"/>
        <v>ΛΟΙΠΑ_ΣΙΤΗΡΑ</v>
      </c>
    </row>
    <row r="3197" spans="1:12" s="3" customFormat="1" x14ac:dyDescent="0.25">
      <c r="A3197" s="3" t="str">
        <f t="shared" si="100"/>
        <v>ΛΟΙΠΑ ΣΙΤΗΡΑΣΙΤΟΣ ΜΑΛΑΚΟΣ LANCILLOTTO</v>
      </c>
      <c r="B3197" s="23" t="s">
        <v>6025</v>
      </c>
      <c r="C3197" s="24" t="s">
        <v>6100</v>
      </c>
      <c r="D3197" s="6">
        <v>491.53</v>
      </c>
      <c r="E3197" s="6">
        <v>485.9</v>
      </c>
      <c r="F3197" s="7" t="s">
        <v>14</v>
      </c>
      <c r="G3197" s="30" t="s">
        <v>6101</v>
      </c>
      <c r="H3197" s="31" t="s">
        <v>577</v>
      </c>
      <c r="I3197" s="9">
        <v>6205</v>
      </c>
      <c r="J3197" s="30">
        <v>2</v>
      </c>
      <c r="K3197" s="30">
        <v>20056</v>
      </c>
      <c r="L3197" s="3" t="str">
        <f t="shared" si="101"/>
        <v>ΛΟΙΠΑ_ΣΙΤΗΡΑ</v>
      </c>
    </row>
    <row r="3198" spans="1:12" s="3" customFormat="1" x14ac:dyDescent="0.25">
      <c r="A3198" s="3" t="str">
        <f t="shared" si="100"/>
        <v>ΛΟΙΠΑ ΣΙΤΗΡΑΣΙΤΟΣ ΜΑΛΑΚΟΣ DIM 401</v>
      </c>
      <c r="B3198" s="23" t="s">
        <v>6025</v>
      </c>
      <c r="C3198" s="24" t="s">
        <v>6102</v>
      </c>
      <c r="D3198" s="6">
        <v>491.53</v>
      </c>
      <c r="E3198" s="6">
        <v>485.9</v>
      </c>
      <c r="F3198" s="7" t="s">
        <v>14</v>
      </c>
      <c r="G3198" s="30" t="s">
        <v>6103</v>
      </c>
      <c r="H3198" s="31" t="s">
        <v>577</v>
      </c>
      <c r="I3198" s="9">
        <v>6183</v>
      </c>
      <c r="J3198" s="30">
        <v>2</v>
      </c>
      <c r="K3198" s="30">
        <v>20057</v>
      </c>
      <c r="L3198" s="3" t="str">
        <f t="shared" si="101"/>
        <v>ΛΟΙΠΑ_ΣΙΤΗΡΑ</v>
      </c>
    </row>
    <row r="3199" spans="1:12" s="3" customFormat="1" x14ac:dyDescent="0.25">
      <c r="A3199" s="3" t="str">
        <f t="shared" si="100"/>
        <v>ΛΟΙΠΑ ΣΙΤΗΡΑΣΙΤΟΣ ΜΑΛΑΚΟΣ BELLINI</v>
      </c>
      <c r="B3199" s="23" t="s">
        <v>6025</v>
      </c>
      <c r="C3199" s="24" t="s">
        <v>5897</v>
      </c>
      <c r="D3199" s="6">
        <v>491.53</v>
      </c>
      <c r="E3199" s="6">
        <v>485.9</v>
      </c>
      <c r="F3199" s="7" t="s">
        <v>14</v>
      </c>
      <c r="G3199" s="30" t="s">
        <v>6104</v>
      </c>
      <c r="H3199" s="31" t="s">
        <v>577</v>
      </c>
      <c r="I3199" s="9">
        <v>6173</v>
      </c>
      <c r="J3199" s="30">
        <v>2</v>
      </c>
      <c r="K3199" s="30">
        <v>20058</v>
      </c>
      <c r="L3199" s="3" t="str">
        <f t="shared" si="101"/>
        <v>ΛΟΙΠΑ_ΣΙΤΗΡΑ</v>
      </c>
    </row>
    <row r="3200" spans="1:12" s="3" customFormat="1" x14ac:dyDescent="0.25">
      <c r="A3200" s="3" t="str">
        <f t="shared" si="100"/>
        <v>ΛΟΙΠΑ ΣΙΤΗΡΑΣΙΤΟΣ ΜΑΛΑΚΟΣ BASMATI</v>
      </c>
      <c r="B3200" s="23" t="s">
        <v>6025</v>
      </c>
      <c r="C3200" s="24" t="s">
        <v>6105</v>
      </c>
      <c r="D3200" s="6">
        <v>491.53</v>
      </c>
      <c r="E3200" s="6">
        <v>485.9</v>
      </c>
      <c r="F3200" s="7" t="s">
        <v>14</v>
      </c>
      <c r="G3200" s="30" t="s">
        <v>6106</v>
      </c>
      <c r="H3200" s="31" t="s">
        <v>577</v>
      </c>
      <c r="I3200" s="9">
        <v>6171</v>
      </c>
      <c r="J3200" s="30">
        <v>2</v>
      </c>
      <c r="K3200" s="30">
        <v>20059</v>
      </c>
      <c r="L3200" s="3" t="str">
        <f t="shared" si="101"/>
        <v>ΛΟΙΠΑ_ΣΙΤΗΡΑ</v>
      </c>
    </row>
    <row r="3201" spans="1:12" s="3" customFormat="1" x14ac:dyDescent="0.25">
      <c r="A3201" s="3" t="str">
        <f t="shared" si="100"/>
        <v>ΛΟΙΠΑ ΣΙΤΗΡΑΣΙΤΟΣ ΜΑΛΑΚΟΣ GIORGIONE</v>
      </c>
      <c r="B3201" s="23" t="s">
        <v>6025</v>
      </c>
      <c r="C3201" s="24" t="s">
        <v>6107</v>
      </c>
      <c r="D3201" s="6">
        <v>491.53</v>
      </c>
      <c r="E3201" s="6">
        <v>485.9</v>
      </c>
      <c r="F3201" s="7" t="s">
        <v>14</v>
      </c>
      <c r="G3201" s="30" t="s">
        <v>6108</v>
      </c>
      <c r="H3201" s="31" t="s">
        <v>577</v>
      </c>
      <c r="I3201" s="9">
        <v>6195</v>
      </c>
      <c r="J3201" s="30">
        <v>2</v>
      </c>
      <c r="K3201" s="30">
        <v>20060</v>
      </c>
      <c r="L3201" s="3" t="str">
        <f t="shared" si="101"/>
        <v>ΛΟΙΠΑ_ΣΙΤΗΡΑ</v>
      </c>
    </row>
    <row r="3202" spans="1:12" s="3" customFormat="1" x14ac:dyDescent="0.25">
      <c r="A3202" s="3" t="str">
        <f t="shared" si="100"/>
        <v>ΛΟΙΠΑ ΣΙΤΗΡΑΣΙΤΟΣ ΜΑΛΑΚΟΣ ARGONE</v>
      </c>
      <c r="B3202" s="23" t="s">
        <v>6025</v>
      </c>
      <c r="C3202" s="24" t="s">
        <v>5893</v>
      </c>
      <c r="D3202" s="6">
        <v>491.53</v>
      </c>
      <c r="E3202" s="6">
        <v>485.9</v>
      </c>
      <c r="F3202" s="7" t="s">
        <v>14</v>
      </c>
      <c r="G3202" s="30" t="s">
        <v>6109</v>
      </c>
      <c r="H3202" s="31" t="s">
        <v>577</v>
      </c>
      <c r="I3202" s="9">
        <v>6167</v>
      </c>
      <c r="J3202" s="30">
        <v>2</v>
      </c>
      <c r="K3202" s="30">
        <v>20061</v>
      </c>
      <c r="L3202" s="3" t="str">
        <f t="shared" si="101"/>
        <v>ΛΟΙΠΑ_ΣΙΤΗΡΑ</v>
      </c>
    </row>
    <row r="3203" spans="1:12" s="3" customFormat="1" x14ac:dyDescent="0.25">
      <c r="A3203" s="3" t="str">
        <f t="shared" ref="A3203:A3266" si="102">_xlfn.CONCAT(B3203,C3203)</f>
        <v>ΛΟΙΠΑ ΣΙΤΗΡΑΣΙΤΟΣ ΜΑΛΑΚΟΣ TIEPOLO</v>
      </c>
      <c r="B3203" s="23" t="s">
        <v>6025</v>
      </c>
      <c r="C3203" s="24" t="s">
        <v>5899</v>
      </c>
      <c r="D3203" s="6">
        <v>491.53</v>
      </c>
      <c r="E3203" s="6">
        <v>485.9</v>
      </c>
      <c r="F3203" s="7" t="s">
        <v>14</v>
      </c>
      <c r="G3203" s="30" t="s">
        <v>6110</v>
      </c>
      <c r="H3203" s="31" t="s">
        <v>577</v>
      </c>
      <c r="I3203" s="9">
        <v>6222</v>
      </c>
      <c r="J3203" s="30">
        <v>2</v>
      </c>
      <c r="K3203" s="30">
        <v>20062</v>
      </c>
      <c r="L3203" s="3" t="str">
        <f t="shared" ref="L3203:L3266" si="103">IFERROR(SUBSTITUTE(SUBSTITUTE(SUBSTITUTE(SUBSTITUTE(SUBSTITUTE(B3203, "-", "_"), " ", "_"), ",", ""), "(", ""), ")", ""), B3203)</f>
        <v>ΛΟΙΠΑ_ΣΙΤΗΡΑ</v>
      </c>
    </row>
    <row r="3204" spans="1:12" s="3" customFormat="1" x14ac:dyDescent="0.25">
      <c r="A3204" s="3" t="str">
        <f t="shared" si="102"/>
        <v>ΛΟΙΠΑ ΣΙΤΗΡΑΣΙΤΟΣ ΜΑΛΑΚΟΣ BRAMANTE</v>
      </c>
      <c r="B3204" s="23" t="s">
        <v>6025</v>
      </c>
      <c r="C3204" s="24" t="s">
        <v>6111</v>
      </c>
      <c r="D3204" s="6">
        <v>491.53</v>
      </c>
      <c r="E3204" s="6">
        <v>485.9</v>
      </c>
      <c r="F3204" s="7" t="s">
        <v>14</v>
      </c>
      <c r="G3204" s="30" t="s">
        <v>6112</v>
      </c>
      <c r="H3204" s="31" t="s">
        <v>577</v>
      </c>
      <c r="I3204" s="9">
        <v>6178</v>
      </c>
      <c r="J3204" s="30">
        <v>2</v>
      </c>
      <c r="K3204" s="30">
        <v>20063</v>
      </c>
      <c r="L3204" s="3" t="str">
        <f t="shared" si="103"/>
        <v>ΛΟΙΠΑ_ΣΙΤΗΡΑ</v>
      </c>
    </row>
    <row r="3205" spans="1:12" s="3" customFormat="1" x14ac:dyDescent="0.25">
      <c r="A3205" s="3" t="str">
        <f t="shared" si="102"/>
        <v>ΛΟΙΠΑ ΣΙΤΗΡΑΣΙΤΟΣ ΜΑΛΑΚΟΣ PALESIO</v>
      </c>
      <c r="B3205" s="23" t="s">
        <v>6025</v>
      </c>
      <c r="C3205" s="24" t="s">
        <v>6113</v>
      </c>
      <c r="D3205" s="6">
        <v>491.53</v>
      </c>
      <c r="E3205" s="6">
        <v>485.9</v>
      </c>
      <c r="F3205" s="7" t="s">
        <v>14</v>
      </c>
      <c r="G3205" s="30" t="s">
        <v>6114</v>
      </c>
      <c r="H3205" s="31" t="s">
        <v>577</v>
      </c>
      <c r="I3205" s="9">
        <v>6207</v>
      </c>
      <c r="J3205" s="30">
        <v>2</v>
      </c>
      <c r="K3205" s="30">
        <v>20064</v>
      </c>
      <c r="L3205" s="3" t="str">
        <f t="shared" si="103"/>
        <v>ΛΟΙΠΑ_ΣΙΤΗΡΑ</v>
      </c>
    </row>
    <row r="3206" spans="1:12" s="3" customFormat="1" x14ac:dyDescent="0.25">
      <c r="A3206" s="3" t="str">
        <f t="shared" si="102"/>
        <v>ΛΟΙΠΑ ΣΙΤΗΡΑΣΙΤΟΣ ΜΑΛΑΚΟΣ ALEPPO</v>
      </c>
      <c r="B3206" s="23" t="s">
        <v>6025</v>
      </c>
      <c r="C3206" s="24" t="s">
        <v>6115</v>
      </c>
      <c r="D3206" s="6">
        <v>491.53</v>
      </c>
      <c r="E3206" s="6">
        <v>485.9</v>
      </c>
      <c r="F3206" s="7" t="s">
        <v>14</v>
      </c>
      <c r="G3206" s="30" t="s">
        <v>6116</v>
      </c>
      <c r="H3206" s="31" t="s">
        <v>577</v>
      </c>
      <c r="I3206" s="9">
        <v>6157</v>
      </c>
      <c r="J3206" s="30">
        <v>2</v>
      </c>
      <c r="K3206" s="30">
        <v>20065</v>
      </c>
      <c r="L3206" s="3" t="str">
        <f t="shared" si="103"/>
        <v>ΛΟΙΠΑ_ΣΙΤΗΡΑ</v>
      </c>
    </row>
    <row r="3207" spans="1:12" s="3" customFormat="1" x14ac:dyDescent="0.25">
      <c r="A3207" s="3" t="str">
        <f t="shared" si="102"/>
        <v>ΛΟΙΠΑ ΣΙΤΗΡΑΣΙΤΟΣ ΜΑΛΑΚΟΣ FORCALI</v>
      </c>
      <c r="B3207" s="23" t="s">
        <v>6025</v>
      </c>
      <c r="C3207" s="24" t="s">
        <v>6117</v>
      </c>
      <c r="D3207" s="6">
        <v>491.53</v>
      </c>
      <c r="E3207" s="6">
        <v>485.9</v>
      </c>
      <c r="F3207" s="7" t="s">
        <v>14</v>
      </c>
      <c r="G3207" s="30" t="s">
        <v>6118</v>
      </c>
      <c r="H3207" s="31" t="s">
        <v>577</v>
      </c>
      <c r="I3207" s="9">
        <v>6188</v>
      </c>
      <c r="J3207" s="30">
        <v>2</v>
      </c>
      <c r="K3207" s="30">
        <v>20066</v>
      </c>
      <c r="L3207" s="3" t="str">
        <f t="shared" si="103"/>
        <v>ΛΟΙΠΑ_ΣΙΤΗΡΑ</v>
      </c>
    </row>
    <row r="3208" spans="1:12" s="3" customFormat="1" x14ac:dyDescent="0.25">
      <c r="A3208" s="3" t="str">
        <f t="shared" si="102"/>
        <v>ΛΟΙΠΑ ΣΙΤΗΡΑΚΡΙΘΑΡΙ JALLON</v>
      </c>
      <c r="B3208" s="23" t="s">
        <v>6025</v>
      </c>
      <c r="C3208" s="24" t="s">
        <v>6119</v>
      </c>
      <c r="D3208" s="6">
        <v>466.58</v>
      </c>
      <c r="E3208" s="6">
        <v>366.77</v>
      </c>
      <c r="F3208" s="29" t="s">
        <v>14</v>
      </c>
      <c r="G3208" s="30" t="s">
        <v>6120</v>
      </c>
      <c r="H3208" s="31" t="s">
        <v>577</v>
      </c>
      <c r="I3208" s="9">
        <v>6021</v>
      </c>
      <c r="J3208" s="30">
        <v>2</v>
      </c>
      <c r="K3208" s="30">
        <v>20067</v>
      </c>
      <c r="L3208" s="3" t="str">
        <f t="shared" si="103"/>
        <v>ΛΟΙΠΑ_ΣΙΤΗΡΑ</v>
      </c>
    </row>
    <row r="3209" spans="1:12" s="3" customFormat="1" x14ac:dyDescent="0.25">
      <c r="A3209" s="3" t="str">
        <f t="shared" si="102"/>
        <v>ΛΟΙΠΑ ΣΙΤΗΡΑΚΡΙΘΑΡΙ MILFORD</v>
      </c>
      <c r="B3209" s="23" t="s">
        <v>6025</v>
      </c>
      <c r="C3209" s="24" t="s">
        <v>6121</v>
      </c>
      <c r="D3209" s="6">
        <v>466.58</v>
      </c>
      <c r="E3209" s="6">
        <v>366.77</v>
      </c>
      <c r="F3209" s="29" t="s">
        <v>14</v>
      </c>
      <c r="G3209" s="30" t="s">
        <v>6122</v>
      </c>
      <c r="H3209" s="31" t="s">
        <v>577</v>
      </c>
      <c r="I3209" s="9">
        <v>6034</v>
      </c>
      <c r="J3209" s="30">
        <v>2</v>
      </c>
      <c r="K3209" s="30">
        <v>20068</v>
      </c>
      <c r="L3209" s="3" t="str">
        <f t="shared" si="103"/>
        <v>ΛΟΙΠΑ_ΣΙΤΗΡΑ</v>
      </c>
    </row>
    <row r="3210" spans="1:12" s="3" customFormat="1" x14ac:dyDescent="0.25">
      <c r="A3210" s="3" t="str">
        <f t="shared" si="102"/>
        <v>ΛΟΙΠΑ ΣΙΤΗΡΑΚΡΙΘΑΡΙ COLORADO</v>
      </c>
      <c r="B3210" s="23" t="s">
        <v>6025</v>
      </c>
      <c r="C3210" s="24" t="s">
        <v>5931</v>
      </c>
      <c r="D3210" s="6">
        <v>466.58</v>
      </c>
      <c r="E3210" s="6">
        <v>366.77</v>
      </c>
      <c r="F3210" s="29" t="s">
        <v>14</v>
      </c>
      <c r="G3210" s="30" t="s">
        <v>6123</v>
      </c>
      <c r="H3210" s="31" t="s">
        <v>577</v>
      </c>
      <c r="I3210" s="9">
        <v>6007</v>
      </c>
      <c r="J3210" s="30">
        <v>2</v>
      </c>
      <c r="K3210" s="30">
        <v>20069</v>
      </c>
      <c r="L3210" s="3" t="str">
        <f t="shared" si="103"/>
        <v>ΛΟΙΠΑ_ΣΙΤΗΡΑ</v>
      </c>
    </row>
    <row r="3211" spans="1:12" s="3" customFormat="1" x14ac:dyDescent="0.25">
      <c r="A3211" s="3" t="str">
        <f t="shared" si="102"/>
        <v>ΛΟΙΠΑ ΣΙΤΗΡΑΚΡΙΘΑΡΙ BRUNILDA</v>
      </c>
      <c r="B3211" s="23" t="s">
        <v>6025</v>
      </c>
      <c r="C3211" s="24" t="s">
        <v>6124</v>
      </c>
      <c r="D3211" s="6">
        <v>466.58</v>
      </c>
      <c r="E3211" s="6">
        <v>366.77</v>
      </c>
      <c r="F3211" s="29" t="s">
        <v>14</v>
      </c>
      <c r="G3211" s="30" t="s">
        <v>6125</v>
      </c>
      <c r="H3211" s="31" t="s">
        <v>577</v>
      </c>
      <c r="I3211" s="9">
        <v>6003</v>
      </c>
      <c r="J3211" s="30">
        <v>2</v>
      </c>
      <c r="K3211" s="30">
        <v>20070</v>
      </c>
      <c r="L3211" s="3" t="str">
        <f t="shared" si="103"/>
        <v>ΛΟΙΠΑ_ΣΙΤΗΡΑ</v>
      </c>
    </row>
    <row r="3212" spans="1:12" s="3" customFormat="1" x14ac:dyDescent="0.25">
      <c r="A3212" s="3" t="str">
        <f t="shared" si="102"/>
        <v>ΛΟΙΠΑ ΣΙΤΗΡΑΚΡΙΘΑΡΙ FORTUNA</v>
      </c>
      <c r="B3212" s="23" t="s">
        <v>6025</v>
      </c>
      <c r="C3212" s="24" t="s">
        <v>6126</v>
      </c>
      <c r="D3212" s="6">
        <v>466.58</v>
      </c>
      <c r="E3212" s="6">
        <v>366.77</v>
      </c>
      <c r="F3212" s="29" t="s">
        <v>14</v>
      </c>
      <c r="G3212" s="30" t="s">
        <v>6127</v>
      </c>
      <c r="H3212" s="31" t="s">
        <v>577</v>
      </c>
      <c r="I3212" s="9">
        <v>6015</v>
      </c>
      <c r="J3212" s="30">
        <v>2</v>
      </c>
      <c r="K3212" s="30">
        <v>20071</v>
      </c>
      <c r="L3212" s="3" t="str">
        <f t="shared" si="103"/>
        <v>ΛΟΙΠΑ_ΣΙΤΗΡΑ</v>
      </c>
    </row>
    <row r="3213" spans="1:12" s="3" customFormat="1" x14ac:dyDescent="0.25">
      <c r="A3213" s="3" t="str">
        <f t="shared" si="102"/>
        <v>ΛΟΙΠΑ ΣΙΤΗΡΑΚΡΙΘΑΡΙ TRIPTOLEMOS</v>
      </c>
      <c r="B3213" s="23" t="s">
        <v>6025</v>
      </c>
      <c r="C3213" s="24" t="s">
        <v>6128</v>
      </c>
      <c r="D3213" s="6">
        <v>466.58</v>
      </c>
      <c r="E3213" s="6">
        <v>366.77</v>
      </c>
      <c r="F3213" s="29" t="s">
        <v>14</v>
      </c>
      <c r="G3213" s="30" t="s">
        <v>6129</v>
      </c>
      <c r="H3213" s="31" t="s">
        <v>577</v>
      </c>
      <c r="I3213" s="9">
        <v>6056</v>
      </c>
      <c r="J3213" s="30">
        <v>2</v>
      </c>
      <c r="K3213" s="30">
        <v>20072</v>
      </c>
      <c r="L3213" s="3" t="str">
        <f t="shared" si="103"/>
        <v>ΛΟΙΠΑ_ΣΙΤΗΡΑ</v>
      </c>
    </row>
    <row r="3214" spans="1:12" s="3" customFormat="1" x14ac:dyDescent="0.25">
      <c r="A3214" s="3" t="str">
        <f t="shared" si="102"/>
        <v>ΛΟΙΠΑ ΣΙΤΗΡΑΚΡΙΘΑΡΙ ALASTRO</v>
      </c>
      <c r="B3214" s="23" t="s">
        <v>6025</v>
      </c>
      <c r="C3214" s="24" t="s">
        <v>6130</v>
      </c>
      <c r="D3214" s="6">
        <v>466.58</v>
      </c>
      <c r="E3214" s="6">
        <v>366.77</v>
      </c>
      <c r="F3214" s="29" t="s">
        <v>14</v>
      </c>
      <c r="G3214" s="30" t="s">
        <v>6131</v>
      </c>
      <c r="H3214" s="31" t="s">
        <v>577</v>
      </c>
      <c r="I3214" s="9">
        <v>5994</v>
      </c>
      <c r="J3214" s="30">
        <v>2</v>
      </c>
      <c r="K3214" s="30">
        <v>20073</v>
      </c>
      <c r="L3214" s="3" t="str">
        <f t="shared" si="103"/>
        <v>ΛΟΙΠΑ_ΣΙΤΗΡΑ</v>
      </c>
    </row>
    <row r="3215" spans="1:12" s="3" customFormat="1" x14ac:dyDescent="0.25">
      <c r="A3215" s="3" t="str">
        <f t="shared" si="102"/>
        <v>ΛΟΙΠΑ ΣΙΤΗΡΑΚΡΙΘΑΡΙ OKIROI</v>
      </c>
      <c r="B3215" s="23" t="s">
        <v>6025</v>
      </c>
      <c r="C3215" s="24" t="s">
        <v>5943</v>
      </c>
      <c r="D3215" s="6">
        <v>466.58</v>
      </c>
      <c r="E3215" s="6">
        <v>366.77</v>
      </c>
      <c r="F3215" s="29" t="s">
        <v>14</v>
      </c>
      <c r="G3215" s="30" t="s">
        <v>6132</v>
      </c>
      <c r="H3215" s="31" t="s">
        <v>577</v>
      </c>
      <c r="I3215" s="9">
        <v>6039</v>
      </c>
      <c r="J3215" s="30">
        <v>2</v>
      </c>
      <c r="K3215" s="30">
        <v>20074</v>
      </c>
      <c r="L3215" s="3" t="str">
        <f t="shared" si="103"/>
        <v>ΛΟΙΠΑ_ΣΙΤΗΡΑ</v>
      </c>
    </row>
    <row r="3216" spans="1:12" s="3" customFormat="1" x14ac:dyDescent="0.25">
      <c r="A3216" s="3" t="str">
        <f t="shared" si="102"/>
        <v>ΛΟΙΠΑ ΣΙΤΗΡΑΚΡΙΘΑΡΙ RGT ASTEROID</v>
      </c>
      <c r="B3216" s="23" t="s">
        <v>6025</v>
      </c>
      <c r="C3216" s="24" t="s">
        <v>6133</v>
      </c>
      <c r="D3216" s="6">
        <v>466.58</v>
      </c>
      <c r="E3216" s="6">
        <v>366.77</v>
      </c>
      <c r="F3216" s="29" t="s">
        <v>14</v>
      </c>
      <c r="G3216" s="30" t="s">
        <v>6134</v>
      </c>
      <c r="H3216" s="31" t="s">
        <v>577</v>
      </c>
      <c r="I3216" s="9">
        <v>6045</v>
      </c>
      <c r="J3216" s="30">
        <v>2</v>
      </c>
      <c r="K3216" s="30">
        <v>20075</v>
      </c>
      <c r="L3216" s="3" t="str">
        <f t="shared" si="103"/>
        <v>ΛΟΙΠΑ_ΣΙΤΗΡΑ</v>
      </c>
    </row>
    <row r="3217" spans="1:12" s="3" customFormat="1" x14ac:dyDescent="0.25">
      <c r="A3217" s="3" t="str">
        <f t="shared" si="102"/>
        <v>ΛΟΙΠΑ ΣΙΤΗΡΑΚΡΙΘΑΡΙ LEANDRA</v>
      </c>
      <c r="B3217" s="23" t="s">
        <v>6025</v>
      </c>
      <c r="C3217" s="24" t="s">
        <v>6135</v>
      </c>
      <c r="D3217" s="6">
        <v>466.58</v>
      </c>
      <c r="E3217" s="6">
        <v>366.77</v>
      </c>
      <c r="F3217" s="29" t="s">
        <v>14</v>
      </c>
      <c r="G3217" s="30" t="s">
        <v>6136</v>
      </c>
      <c r="H3217" s="31" t="s">
        <v>577</v>
      </c>
      <c r="I3217" s="9">
        <v>6028</v>
      </c>
      <c r="J3217" s="30">
        <v>2</v>
      </c>
      <c r="K3217" s="30">
        <v>20076</v>
      </c>
      <c r="L3217" s="3" t="str">
        <f t="shared" si="103"/>
        <v>ΛΟΙΠΑ_ΣΙΤΗΡΑ</v>
      </c>
    </row>
    <row r="3218" spans="1:12" s="3" customFormat="1" x14ac:dyDescent="0.25">
      <c r="A3218" s="3" t="str">
        <f t="shared" si="102"/>
        <v>ΛΟΙΠΑ ΣΙΤΗΡΑΚΡΙΘΑΡΙ DIMITRA</v>
      </c>
      <c r="B3218" s="23" t="s">
        <v>6025</v>
      </c>
      <c r="C3218" s="24" t="s">
        <v>6137</v>
      </c>
      <c r="D3218" s="6">
        <v>466.58</v>
      </c>
      <c r="E3218" s="6">
        <v>366.77</v>
      </c>
      <c r="F3218" s="29" t="s">
        <v>14</v>
      </c>
      <c r="G3218" s="30" t="s">
        <v>6138</v>
      </c>
      <c r="H3218" s="31" t="s">
        <v>577</v>
      </c>
      <c r="I3218" s="9">
        <v>6009</v>
      </c>
      <c r="J3218" s="30">
        <v>2</v>
      </c>
      <c r="K3218" s="30">
        <v>20077</v>
      </c>
      <c r="L3218" s="3" t="str">
        <f t="shared" si="103"/>
        <v>ΛΟΙΠΑ_ΣΙΤΗΡΑ</v>
      </c>
    </row>
    <row r="3219" spans="1:12" s="3" customFormat="1" x14ac:dyDescent="0.25">
      <c r="A3219" s="3" t="str">
        <f t="shared" si="102"/>
        <v>ΛΟΙΠΑ ΣΙΤΗΡΑΚΡΙΘΑΡΙ TRIKOMO</v>
      </c>
      <c r="B3219" s="23" t="s">
        <v>6025</v>
      </c>
      <c r="C3219" s="24" t="s">
        <v>6139</v>
      </c>
      <c r="D3219" s="6">
        <v>466.58</v>
      </c>
      <c r="E3219" s="6">
        <v>366.77</v>
      </c>
      <c r="F3219" s="29" t="s">
        <v>14</v>
      </c>
      <c r="G3219" s="30" t="s">
        <v>6140</v>
      </c>
      <c r="H3219" s="31" t="s">
        <v>577</v>
      </c>
      <c r="I3219" s="9">
        <v>6055</v>
      </c>
      <c r="J3219" s="30">
        <v>2</v>
      </c>
      <c r="K3219" s="30">
        <v>20078</v>
      </c>
      <c r="L3219" s="3" t="str">
        <f t="shared" si="103"/>
        <v>ΛΟΙΠΑ_ΣΙΤΗΡΑ</v>
      </c>
    </row>
    <row r="3220" spans="1:12" s="3" customFormat="1" x14ac:dyDescent="0.25">
      <c r="A3220" s="3" t="str">
        <f t="shared" si="102"/>
        <v>ΛΟΙΠΑ ΣΙΤΗΡΑΚΡΙΘΑΡΙ MARTINO</v>
      </c>
      <c r="B3220" s="23" t="s">
        <v>6025</v>
      </c>
      <c r="C3220" s="24" t="s">
        <v>6141</v>
      </c>
      <c r="D3220" s="6">
        <v>466.58</v>
      </c>
      <c r="E3220" s="6">
        <v>366.77</v>
      </c>
      <c r="F3220" s="29" t="s">
        <v>14</v>
      </c>
      <c r="G3220" s="30" t="s">
        <v>6142</v>
      </c>
      <c r="H3220" s="31" t="s">
        <v>577</v>
      </c>
      <c r="I3220" s="9">
        <v>6033</v>
      </c>
      <c r="J3220" s="30">
        <v>2</v>
      </c>
      <c r="K3220" s="30">
        <v>20079</v>
      </c>
      <c r="L3220" s="3" t="str">
        <f t="shared" si="103"/>
        <v>ΛΟΙΠΑ_ΣΙΤΗΡΑ</v>
      </c>
    </row>
    <row r="3221" spans="1:12" s="3" customFormat="1" x14ac:dyDescent="0.25">
      <c r="A3221" s="3" t="str">
        <f t="shared" si="102"/>
        <v>ΛΟΙΠΑ ΣΙΤΗΡΑΚΡΙΘΑΡΙ LEXI</v>
      </c>
      <c r="B3221" s="23" t="s">
        <v>6025</v>
      </c>
      <c r="C3221" s="24" t="s">
        <v>6143</v>
      </c>
      <c r="D3221" s="6">
        <v>466.58</v>
      </c>
      <c r="E3221" s="6">
        <v>366.77</v>
      </c>
      <c r="F3221" s="29" t="s">
        <v>14</v>
      </c>
      <c r="G3221" s="30" t="s">
        <v>6144</v>
      </c>
      <c r="H3221" s="31" t="s">
        <v>577</v>
      </c>
      <c r="I3221" s="9">
        <v>6029</v>
      </c>
      <c r="J3221" s="30">
        <v>2</v>
      </c>
      <c r="K3221" s="30">
        <v>20080</v>
      </c>
      <c r="L3221" s="3" t="str">
        <f t="shared" si="103"/>
        <v>ΛΟΙΠΑ_ΣΙΤΗΡΑ</v>
      </c>
    </row>
    <row r="3222" spans="1:12" s="3" customFormat="1" x14ac:dyDescent="0.25">
      <c r="A3222" s="3" t="str">
        <f t="shared" si="102"/>
        <v>ΛΟΙΠΑ ΣΙΤΗΡΑΚΡΙΘΑΡΙ  AQUIRONE</v>
      </c>
      <c r="B3222" s="23" t="s">
        <v>6025</v>
      </c>
      <c r="C3222" s="24" t="s">
        <v>6145</v>
      </c>
      <c r="D3222" s="6">
        <v>466.58</v>
      </c>
      <c r="E3222" s="6">
        <v>366.77</v>
      </c>
      <c r="F3222" s="29" t="s">
        <v>14</v>
      </c>
      <c r="G3222" s="30" t="s">
        <v>6146</v>
      </c>
      <c r="H3222" s="31" t="s">
        <v>577</v>
      </c>
      <c r="I3222" s="9">
        <v>5992</v>
      </c>
      <c r="J3222" s="30">
        <v>2</v>
      </c>
      <c r="K3222" s="30">
        <v>20081</v>
      </c>
      <c r="L3222" s="3" t="str">
        <f t="shared" si="103"/>
        <v>ΛΟΙΠΑ_ΣΙΤΗΡΑ</v>
      </c>
    </row>
    <row r="3223" spans="1:12" s="3" customFormat="1" x14ac:dyDescent="0.25">
      <c r="A3223" s="3" t="str">
        <f t="shared" si="102"/>
        <v>ΛΟΙΠΑ ΣΙΤΗΡΑΚΡΙΘΑΡΙ  IS MALTIGO</v>
      </c>
      <c r="B3223" s="23" t="s">
        <v>6025</v>
      </c>
      <c r="C3223" s="24" t="s">
        <v>6147</v>
      </c>
      <c r="D3223" s="6">
        <v>466.58</v>
      </c>
      <c r="E3223" s="6">
        <v>366.77</v>
      </c>
      <c r="F3223" s="29" t="s">
        <v>14</v>
      </c>
      <c r="G3223" s="30" t="s">
        <v>6148</v>
      </c>
      <c r="H3223" s="31" t="s">
        <v>577</v>
      </c>
      <c r="I3223" s="9">
        <v>5993</v>
      </c>
      <c r="J3223" s="30">
        <v>2</v>
      </c>
      <c r="K3223" s="30">
        <v>20082</v>
      </c>
      <c r="L3223" s="3" t="str">
        <f t="shared" si="103"/>
        <v>ΛΟΙΠΑ_ΣΙΤΗΡΑ</v>
      </c>
    </row>
    <row r="3224" spans="1:12" s="3" customFormat="1" x14ac:dyDescent="0.25">
      <c r="A3224" s="3" t="str">
        <f t="shared" si="102"/>
        <v>ΛΟΙΠΑ ΣΙΤΗΡΑΤΡΙΤΙΚΑΛΕ QUIRINALE</v>
      </c>
      <c r="B3224" s="23" t="s">
        <v>6025</v>
      </c>
      <c r="C3224" s="24" t="s">
        <v>6149</v>
      </c>
      <c r="D3224" s="6">
        <v>363.85</v>
      </c>
      <c r="E3224" s="6">
        <v>331.13</v>
      </c>
      <c r="F3224" s="7" t="s">
        <v>14</v>
      </c>
      <c r="G3224" s="30" t="s">
        <v>6150</v>
      </c>
      <c r="H3224" s="31" t="s">
        <v>577</v>
      </c>
      <c r="I3224" s="9">
        <v>6234</v>
      </c>
      <c r="J3224" s="30">
        <v>2</v>
      </c>
      <c r="K3224" s="30">
        <v>20083</v>
      </c>
      <c r="L3224" s="3" t="str">
        <f t="shared" si="103"/>
        <v>ΛΟΙΠΑ_ΣΙΤΗΡΑ</v>
      </c>
    </row>
    <row r="3225" spans="1:12" s="3" customFormat="1" x14ac:dyDescent="0.25">
      <c r="A3225" s="3" t="str">
        <f t="shared" si="102"/>
        <v>ΛΟΙΠΑ ΣΙΤΗΡΑΣΙΤΟΣ ΜΑΛΑΚΟΣ ABT219</v>
      </c>
      <c r="B3225" s="23" t="s">
        <v>6025</v>
      </c>
      <c r="C3225" s="24" t="s">
        <v>5901</v>
      </c>
      <c r="D3225" s="6">
        <v>491.53</v>
      </c>
      <c r="E3225" s="6">
        <v>485.9</v>
      </c>
      <c r="F3225" s="7" t="s">
        <v>14</v>
      </c>
      <c r="G3225" s="30" t="s">
        <v>6151</v>
      </c>
      <c r="H3225" s="31" t="s">
        <v>577</v>
      </c>
      <c r="I3225" s="9">
        <v>6151</v>
      </c>
      <c r="J3225" s="30">
        <v>2</v>
      </c>
      <c r="K3225" s="30">
        <v>20084</v>
      </c>
      <c r="L3225" s="3" t="str">
        <f t="shared" si="103"/>
        <v>ΛΟΙΠΑ_ΣΙΤΗΡΑ</v>
      </c>
    </row>
    <row r="3226" spans="1:12" s="3" customFormat="1" x14ac:dyDescent="0.25">
      <c r="A3226" s="3" t="str">
        <f t="shared" si="102"/>
        <v>ΛΟΙΠΑ ΣΙΤΗΡΑΣΙΤΟΣ ΜΑΛΑΚΟΣ TINTORETTO</v>
      </c>
      <c r="B3226" s="23" t="s">
        <v>6025</v>
      </c>
      <c r="C3226" s="24" t="s">
        <v>6152</v>
      </c>
      <c r="D3226" s="6">
        <v>491.53</v>
      </c>
      <c r="E3226" s="6">
        <v>485.9</v>
      </c>
      <c r="F3226" s="7" t="s">
        <v>14</v>
      </c>
      <c r="G3226" s="30" t="s">
        <v>6153</v>
      </c>
      <c r="H3226" s="31" t="s">
        <v>577</v>
      </c>
      <c r="I3226" s="9">
        <v>6223</v>
      </c>
      <c r="J3226" s="30">
        <v>2</v>
      </c>
      <c r="K3226" s="30">
        <v>20085</v>
      </c>
      <c r="L3226" s="3" t="str">
        <f t="shared" si="103"/>
        <v>ΛΟΙΠΑ_ΣΙΤΗΡΑ</v>
      </c>
    </row>
    <row r="3227" spans="1:12" s="3" customFormat="1" x14ac:dyDescent="0.25">
      <c r="A3227" s="3" t="str">
        <f t="shared" si="102"/>
        <v>ΛΟΙΠΑ ΣΙΤΗΡΑΣΙΤΟΣ ΜΑΛΑΚΟΣ AFRODITE</v>
      </c>
      <c r="B3227" s="23" t="s">
        <v>6025</v>
      </c>
      <c r="C3227" s="24" t="s">
        <v>6154</v>
      </c>
      <c r="D3227" s="6">
        <v>491.53</v>
      </c>
      <c r="E3227" s="6">
        <v>485.9</v>
      </c>
      <c r="F3227" s="7" t="s">
        <v>14</v>
      </c>
      <c r="G3227" s="30" t="s">
        <v>6155</v>
      </c>
      <c r="H3227" s="31" t="s">
        <v>577</v>
      </c>
      <c r="I3227" s="9">
        <v>6154</v>
      </c>
      <c r="J3227" s="30">
        <v>2</v>
      </c>
      <c r="K3227" s="30">
        <v>20086</v>
      </c>
      <c r="L3227" s="3" t="str">
        <f t="shared" si="103"/>
        <v>ΛΟΙΠΑ_ΣΙΤΗΡΑ</v>
      </c>
    </row>
    <row r="3228" spans="1:12" s="3" customFormat="1" x14ac:dyDescent="0.25">
      <c r="A3228" s="3" t="str">
        <f t="shared" si="102"/>
        <v>ΛΟΙΠΑ ΣΙΤΗΡΑΣΙΤΟΣ ΜΑΛΑΚΟΣ YECORA</v>
      </c>
      <c r="B3228" s="23" t="s">
        <v>6025</v>
      </c>
      <c r="C3228" s="24" t="s">
        <v>6156</v>
      </c>
      <c r="D3228" s="6">
        <v>491.53</v>
      </c>
      <c r="E3228" s="6">
        <v>485.9</v>
      </c>
      <c r="F3228" s="7" t="s">
        <v>14</v>
      </c>
      <c r="G3228" s="30" t="s">
        <v>6157</v>
      </c>
      <c r="H3228" s="31" t="s">
        <v>577</v>
      </c>
      <c r="I3228" s="9">
        <v>6224</v>
      </c>
      <c r="J3228" s="30">
        <v>2</v>
      </c>
      <c r="K3228" s="30">
        <v>20087</v>
      </c>
      <c r="L3228" s="3" t="str">
        <f t="shared" si="103"/>
        <v>ΛΟΙΠΑ_ΣΙΤΗΡΑ</v>
      </c>
    </row>
    <row r="3229" spans="1:12" s="3" customFormat="1" x14ac:dyDescent="0.25">
      <c r="A3229" s="3" t="str">
        <f t="shared" si="102"/>
        <v>ΛΟΙΠΑ ΣΙΤΗΡΑΣΙΤΟΣ ΜΑΛΑΚΟΣ BISANZIO</v>
      </c>
      <c r="B3229" s="23" t="s">
        <v>6025</v>
      </c>
      <c r="C3229" s="24" t="s">
        <v>6158</v>
      </c>
      <c r="D3229" s="6">
        <v>491.53</v>
      </c>
      <c r="E3229" s="6">
        <v>485.9</v>
      </c>
      <c r="F3229" s="7" t="s">
        <v>14</v>
      </c>
      <c r="G3229" s="30" t="s">
        <v>6159</v>
      </c>
      <c r="H3229" s="31" t="s">
        <v>577</v>
      </c>
      <c r="I3229" s="9">
        <v>6174</v>
      </c>
      <c r="J3229" s="30">
        <v>2</v>
      </c>
      <c r="K3229" s="30">
        <v>20088</v>
      </c>
      <c r="L3229" s="3" t="str">
        <f t="shared" si="103"/>
        <v>ΛΟΙΠΑ_ΣΙΤΗΡΑ</v>
      </c>
    </row>
    <row r="3230" spans="1:12" s="3" customFormat="1" x14ac:dyDescent="0.25">
      <c r="A3230" s="3" t="str">
        <f t="shared" si="102"/>
        <v>ΛΟΙΠΑ ΣΙΤΗΡΑΣΙΤΟΣ ΜΑΛΑΚΟΣ KWS ULTIM</v>
      </c>
      <c r="B3230" s="23" t="s">
        <v>6025</v>
      </c>
      <c r="C3230" s="24" t="s">
        <v>5913</v>
      </c>
      <c r="D3230" s="6">
        <v>491.53</v>
      </c>
      <c r="E3230" s="6">
        <v>485.9</v>
      </c>
      <c r="F3230" s="7" t="s">
        <v>14</v>
      </c>
      <c r="G3230" s="30" t="s">
        <v>6160</v>
      </c>
      <c r="H3230" s="31" t="s">
        <v>577</v>
      </c>
      <c r="I3230" s="9">
        <v>6204</v>
      </c>
      <c r="J3230" s="30">
        <v>2</v>
      </c>
      <c r="K3230" s="30">
        <v>20089</v>
      </c>
      <c r="L3230" s="3" t="str">
        <f t="shared" si="103"/>
        <v>ΛΟΙΠΑ_ΣΙΤΗΡΑ</v>
      </c>
    </row>
    <row r="3231" spans="1:12" s="3" customFormat="1" x14ac:dyDescent="0.25">
      <c r="A3231" s="3" t="str">
        <f t="shared" si="102"/>
        <v>ΛΟΙΠΑ ΣΙΤΗΡΑΣΙΤΟΣ ΜΑΛΑΚΟΣ DELFOS</v>
      </c>
      <c r="B3231" s="23" t="s">
        <v>6025</v>
      </c>
      <c r="C3231" s="24" t="s">
        <v>5911</v>
      </c>
      <c r="D3231" s="6">
        <v>491.53</v>
      </c>
      <c r="E3231" s="6">
        <v>485.9</v>
      </c>
      <c r="F3231" s="7" t="s">
        <v>14</v>
      </c>
      <c r="G3231" s="30" t="s">
        <v>6161</v>
      </c>
      <c r="H3231" s="31" t="s">
        <v>577</v>
      </c>
      <c r="I3231" s="9">
        <v>6182</v>
      </c>
      <c r="J3231" s="30">
        <v>2</v>
      </c>
      <c r="K3231" s="30">
        <v>20090</v>
      </c>
      <c r="L3231" s="3" t="str">
        <f t="shared" si="103"/>
        <v>ΛΟΙΠΑ_ΣΙΤΗΡΑ</v>
      </c>
    </row>
    <row r="3232" spans="1:12" s="3" customFormat="1" x14ac:dyDescent="0.25">
      <c r="A3232" s="3" t="str">
        <f t="shared" si="102"/>
        <v>ΛΟΙΠΑ ΣΙΤΗΡΑΣΙΤΟΣ ΜΑΛΑΚΟΣ RGT TOCAYO</v>
      </c>
      <c r="B3232" s="23" t="s">
        <v>6025</v>
      </c>
      <c r="C3232" s="24" t="s">
        <v>6162</v>
      </c>
      <c r="D3232" s="6">
        <v>491.53</v>
      </c>
      <c r="E3232" s="6">
        <v>485.9</v>
      </c>
      <c r="F3232" s="7" t="s">
        <v>14</v>
      </c>
      <c r="G3232" s="30" t="s">
        <v>6163</v>
      </c>
      <c r="H3232" s="31" t="s">
        <v>577</v>
      </c>
      <c r="I3232" s="9">
        <v>6212</v>
      </c>
      <c r="J3232" s="30">
        <v>2</v>
      </c>
      <c r="K3232" s="30">
        <v>20091</v>
      </c>
      <c r="L3232" s="3" t="str">
        <f t="shared" si="103"/>
        <v>ΛΟΙΠΑ_ΣΙΤΗΡΑ</v>
      </c>
    </row>
    <row r="3233" spans="1:12" s="3" customFormat="1" x14ac:dyDescent="0.25">
      <c r="A3233" s="3" t="str">
        <f t="shared" si="102"/>
        <v>ΛΟΙΠΑ ΣΙΤΗΡΑΣΙΤΟΣ ΜΑΛΑΚΟΣ RGT PANIGALE</v>
      </c>
      <c r="B3233" s="23" t="s">
        <v>6025</v>
      </c>
      <c r="C3233" s="24" t="s">
        <v>6164</v>
      </c>
      <c r="D3233" s="6">
        <v>491.53</v>
      </c>
      <c r="E3233" s="6">
        <v>485.9</v>
      </c>
      <c r="F3233" s="7" t="s">
        <v>14</v>
      </c>
      <c r="G3233" s="30" t="s">
        <v>6165</v>
      </c>
      <c r="H3233" s="31" t="s">
        <v>577</v>
      </c>
      <c r="I3233" s="9">
        <v>6211</v>
      </c>
      <c r="J3233" s="30">
        <v>2</v>
      </c>
      <c r="K3233" s="30">
        <v>20092</v>
      </c>
      <c r="L3233" s="3" t="str">
        <f t="shared" si="103"/>
        <v>ΛΟΙΠΑ_ΣΙΤΗΡΑ</v>
      </c>
    </row>
    <row r="3234" spans="1:12" s="3" customFormat="1" x14ac:dyDescent="0.25">
      <c r="A3234" s="3" t="str">
        <f t="shared" si="102"/>
        <v>ΛΟΙΠΑ ΣΙΤΗΡΑΣΙΤΟΣ ΜΑΛΑΚΟΣ ACUNA</v>
      </c>
      <c r="B3234" s="23" t="s">
        <v>6025</v>
      </c>
      <c r="C3234" s="24" t="s">
        <v>6166</v>
      </c>
      <c r="D3234" s="6">
        <v>491.53</v>
      </c>
      <c r="E3234" s="6">
        <v>485.9</v>
      </c>
      <c r="F3234" s="7" t="s">
        <v>14</v>
      </c>
      <c r="G3234" s="30" t="s">
        <v>6167</v>
      </c>
      <c r="H3234" s="31" t="s">
        <v>577</v>
      </c>
      <c r="I3234" s="9">
        <v>6152</v>
      </c>
      <c r="J3234" s="30">
        <v>2</v>
      </c>
      <c r="K3234" s="30">
        <v>20093</v>
      </c>
      <c r="L3234" s="3" t="str">
        <f t="shared" si="103"/>
        <v>ΛΟΙΠΑ_ΣΙΤΗΡΑ</v>
      </c>
    </row>
    <row r="3235" spans="1:12" s="3" customFormat="1" ht="15" customHeight="1" x14ac:dyDescent="0.25">
      <c r="A3235" s="3" t="str">
        <f t="shared" si="102"/>
        <v>ΛΟΙΠΑ ΣΙΤΗΡΑΣΙΤΟΣ ΜΑΛΑΚΟΣ GUERCINO</v>
      </c>
      <c r="B3235" s="23" t="s">
        <v>6025</v>
      </c>
      <c r="C3235" s="24" t="s">
        <v>6168</v>
      </c>
      <c r="D3235" s="6">
        <v>491.53</v>
      </c>
      <c r="E3235" s="6">
        <v>485.9</v>
      </c>
      <c r="F3235" s="7" t="s">
        <v>14</v>
      </c>
      <c r="G3235" s="30" t="s">
        <v>6169</v>
      </c>
      <c r="H3235" s="31" t="s">
        <v>577</v>
      </c>
      <c r="I3235" s="9">
        <v>6200</v>
      </c>
      <c r="J3235" s="30">
        <v>2</v>
      </c>
      <c r="K3235" s="30">
        <v>20094</v>
      </c>
      <c r="L3235" s="3" t="str">
        <f t="shared" si="103"/>
        <v>ΛΟΙΠΑ_ΣΙΤΗΡΑ</v>
      </c>
    </row>
    <row r="3236" spans="1:12" s="3" customFormat="1" x14ac:dyDescent="0.25">
      <c r="A3236" s="3" t="str">
        <f t="shared" si="102"/>
        <v>ΛΟΙΠΑ ΣΙΤΗΡΑΣΙΤΟΣ ΜΑΛΑΚΟΣ IZALCO CS</v>
      </c>
      <c r="B3236" s="23" t="s">
        <v>6025</v>
      </c>
      <c r="C3236" s="24" t="s">
        <v>6170</v>
      </c>
      <c r="D3236" s="6">
        <v>491.53</v>
      </c>
      <c r="E3236" s="6">
        <v>485.9</v>
      </c>
      <c r="F3236" s="7" t="s">
        <v>14</v>
      </c>
      <c r="G3236" s="30" t="s">
        <v>6171</v>
      </c>
      <c r="H3236" s="31" t="s">
        <v>577</v>
      </c>
      <c r="I3236" s="9">
        <v>6201</v>
      </c>
      <c r="J3236" s="30">
        <v>2</v>
      </c>
      <c r="K3236" s="30">
        <v>20095</v>
      </c>
      <c r="L3236" s="3" t="str">
        <f t="shared" si="103"/>
        <v>ΛΟΙΠΑ_ΣΙΤΗΡΑ</v>
      </c>
    </row>
    <row r="3237" spans="1:12" s="3" customFormat="1" x14ac:dyDescent="0.25">
      <c r="A3237" s="3" t="str">
        <f t="shared" si="102"/>
        <v>ΛΟΙΠΑ ΣΙΤΗΡΑΣΙΤΟΣ ΜΑΛΑΚΟΣ GREKAU</v>
      </c>
      <c r="B3237" s="23" t="s">
        <v>6025</v>
      </c>
      <c r="C3237" s="24" t="s">
        <v>6172</v>
      </c>
      <c r="D3237" s="6">
        <v>491.53</v>
      </c>
      <c r="E3237" s="6">
        <v>485.9</v>
      </c>
      <c r="F3237" s="7" t="s">
        <v>14</v>
      </c>
      <c r="G3237" s="30" t="s">
        <v>6173</v>
      </c>
      <c r="H3237" s="31" t="s">
        <v>577</v>
      </c>
      <c r="I3237" s="9">
        <v>6199</v>
      </c>
      <c r="J3237" s="30">
        <v>2</v>
      </c>
      <c r="K3237" s="30">
        <v>20097</v>
      </c>
      <c r="L3237" s="3" t="str">
        <f t="shared" si="103"/>
        <v>ΛΟΙΠΑ_ΣΙΤΗΡΑ</v>
      </c>
    </row>
    <row r="3238" spans="1:12" s="3" customFormat="1" x14ac:dyDescent="0.25">
      <c r="A3238" s="3" t="str">
        <f t="shared" si="102"/>
        <v>ΛΟΙΠΑ ΣΙΤΗΡΑΣΙΤΟΣ ΜΑΛΑΚΟΣ STENDAL</v>
      </c>
      <c r="B3238" s="23" t="s">
        <v>6025</v>
      </c>
      <c r="C3238" s="24" t="s">
        <v>6174</v>
      </c>
      <c r="D3238" s="6">
        <v>491.53</v>
      </c>
      <c r="E3238" s="6">
        <v>485.9</v>
      </c>
      <c r="F3238" s="7" t="s">
        <v>14</v>
      </c>
      <c r="G3238" s="30" t="s">
        <v>6175</v>
      </c>
      <c r="H3238" s="31" t="s">
        <v>577</v>
      </c>
      <c r="I3238" s="9">
        <v>6218</v>
      </c>
      <c r="J3238" s="30">
        <v>2</v>
      </c>
      <c r="K3238" s="30">
        <v>20099</v>
      </c>
      <c r="L3238" s="3" t="str">
        <f t="shared" si="103"/>
        <v>ΛΟΙΠΑ_ΣΙΤΗΡΑ</v>
      </c>
    </row>
    <row r="3239" spans="1:12" s="3" customFormat="1" x14ac:dyDescent="0.25">
      <c r="A3239" s="3" t="str">
        <f t="shared" si="102"/>
        <v>ΛΟΙΠΑ ΣΙΤΗΡΑΣΙΤΟΣ ΜΑΛΑΚΟΣ MANDARIN</v>
      </c>
      <c r="B3239" s="23" t="s">
        <v>6025</v>
      </c>
      <c r="C3239" s="24" t="s">
        <v>6176</v>
      </c>
      <c r="D3239" s="6">
        <v>491.53</v>
      </c>
      <c r="E3239" s="6">
        <v>485.9</v>
      </c>
      <c r="F3239" s="7" t="s">
        <v>14</v>
      </c>
      <c r="G3239" s="30" t="s">
        <v>6177</v>
      </c>
      <c r="H3239" s="31" t="s">
        <v>577</v>
      </c>
      <c r="I3239" s="9">
        <v>6206</v>
      </c>
      <c r="J3239" s="30">
        <v>2</v>
      </c>
      <c r="K3239" s="30">
        <v>20100</v>
      </c>
      <c r="L3239" s="3" t="str">
        <f t="shared" si="103"/>
        <v>ΛΟΙΠΑ_ΣΙΤΗΡΑ</v>
      </c>
    </row>
    <row r="3240" spans="1:12" s="3" customFormat="1" x14ac:dyDescent="0.25">
      <c r="A3240" s="3" t="str">
        <f t="shared" si="102"/>
        <v>ΛΟΙΠΑ ΣΙΤΗΡΑΚΡΙΘΑΡΙ KWS JOYAU</v>
      </c>
      <c r="B3240" s="23" t="s">
        <v>6025</v>
      </c>
      <c r="C3240" s="24" t="s">
        <v>6178</v>
      </c>
      <c r="D3240" s="6">
        <v>466.58</v>
      </c>
      <c r="E3240" s="6">
        <v>366.77</v>
      </c>
      <c r="F3240" s="29" t="s">
        <v>14</v>
      </c>
      <c r="G3240" s="30" t="s">
        <v>6179</v>
      </c>
      <c r="H3240" s="31" t="s">
        <v>577</v>
      </c>
      <c r="I3240" s="9">
        <v>6025</v>
      </c>
      <c r="J3240" s="30">
        <v>2</v>
      </c>
      <c r="K3240" s="30">
        <v>20101</v>
      </c>
      <c r="L3240" s="3" t="str">
        <f t="shared" si="103"/>
        <v>ΛΟΙΠΑ_ΣΙΤΗΡΑ</v>
      </c>
    </row>
    <row r="3241" spans="1:12" s="3" customFormat="1" x14ac:dyDescent="0.25">
      <c r="A3241" s="3" t="str">
        <f t="shared" si="102"/>
        <v>ΛΟΙΠΑ ΣΙΤΗΡΑΚΡΙΘΑΡΙ MONROE</v>
      </c>
      <c r="B3241" s="23" t="s">
        <v>6025</v>
      </c>
      <c r="C3241" s="24" t="s">
        <v>6180</v>
      </c>
      <c r="D3241" s="6">
        <v>466.58</v>
      </c>
      <c r="E3241" s="6">
        <v>366.77</v>
      </c>
      <c r="F3241" s="29" t="s">
        <v>14</v>
      </c>
      <c r="G3241" s="30" t="s">
        <v>6181</v>
      </c>
      <c r="H3241" s="31" t="s">
        <v>577</v>
      </c>
      <c r="I3241" s="9">
        <v>6037</v>
      </c>
      <c r="J3241" s="30">
        <v>2</v>
      </c>
      <c r="K3241" s="30">
        <v>20102</v>
      </c>
      <c r="L3241" s="3" t="str">
        <f t="shared" si="103"/>
        <v>ΛΟΙΠΑ_ΣΙΤΗΡΑ</v>
      </c>
    </row>
    <row r="3242" spans="1:12" s="3" customFormat="1" x14ac:dyDescent="0.25">
      <c r="A3242" s="3" t="str">
        <f t="shared" si="102"/>
        <v>ΛΟΙΠΑ ΣΙΤΗΡΑΚΡΙΘΑΡΙ FINOLA</v>
      </c>
      <c r="B3242" s="23" t="s">
        <v>6025</v>
      </c>
      <c r="C3242" s="24" t="s">
        <v>6182</v>
      </c>
      <c r="D3242" s="6">
        <v>466.58</v>
      </c>
      <c r="E3242" s="6">
        <v>366.77</v>
      </c>
      <c r="F3242" s="29" t="s">
        <v>14</v>
      </c>
      <c r="G3242" s="30" t="s">
        <v>6183</v>
      </c>
      <c r="H3242" s="31" t="s">
        <v>577</v>
      </c>
      <c r="I3242" s="9">
        <v>6014</v>
      </c>
      <c r="J3242" s="30">
        <v>2</v>
      </c>
      <c r="K3242" s="30">
        <v>20103</v>
      </c>
      <c r="L3242" s="3" t="str">
        <f t="shared" si="103"/>
        <v>ΛΟΙΠΑ_ΣΙΤΗΡΑ</v>
      </c>
    </row>
    <row r="3243" spans="1:12" s="3" customFormat="1" x14ac:dyDescent="0.25">
      <c r="A3243" s="3" t="str">
        <f t="shared" si="102"/>
        <v>ΛΟΙΠΑ ΣΙΤΗΡΑΚΡΙΘΑΡΙ KWS AMADORA</v>
      </c>
      <c r="B3243" s="23" t="s">
        <v>6025</v>
      </c>
      <c r="C3243" s="24" t="s">
        <v>6184</v>
      </c>
      <c r="D3243" s="6">
        <v>466.58</v>
      </c>
      <c r="E3243" s="6">
        <v>366.77</v>
      </c>
      <c r="F3243" s="29" t="s">
        <v>14</v>
      </c>
      <c r="G3243" s="30" t="s">
        <v>6185</v>
      </c>
      <c r="H3243" s="31" t="s">
        <v>577</v>
      </c>
      <c r="I3243" s="9">
        <v>6024</v>
      </c>
      <c r="J3243" s="30">
        <v>2</v>
      </c>
      <c r="K3243" s="30">
        <v>20104</v>
      </c>
      <c r="L3243" s="3" t="str">
        <f t="shared" si="103"/>
        <v>ΛΟΙΠΑ_ΣΙΤΗΡΑ</v>
      </c>
    </row>
    <row r="3244" spans="1:12" s="3" customFormat="1" ht="15" customHeight="1" x14ac:dyDescent="0.25">
      <c r="A3244" s="3" t="str">
        <f t="shared" si="102"/>
        <v>ΛΟΙΠΑ ΣΙΤΗΡΑΚΡΙΘΑΡΙ GREKAU</v>
      </c>
      <c r="B3244" s="23" t="s">
        <v>6025</v>
      </c>
      <c r="C3244" s="24" t="s">
        <v>6186</v>
      </c>
      <c r="D3244" s="6">
        <v>466.58</v>
      </c>
      <c r="E3244" s="6">
        <v>366.77</v>
      </c>
      <c r="F3244" s="29" t="s">
        <v>14</v>
      </c>
      <c r="G3244" s="30" t="s">
        <v>6187</v>
      </c>
      <c r="H3244" s="31" t="s">
        <v>577</v>
      </c>
      <c r="I3244" s="9">
        <v>6016</v>
      </c>
      <c r="J3244" s="30">
        <v>2</v>
      </c>
      <c r="K3244" s="30">
        <v>20105</v>
      </c>
      <c r="L3244" s="3" t="str">
        <f t="shared" si="103"/>
        <v>ΛΟΙΠΑ_ΣΙΤΗΡΑ</v>
      </c>
    </row>
    <row r="3245" spans="1:12" s="3" customFormat="1" x14ac:dyDescent="0.25">
      <c r="A3245" s="3" t="str">
        <f t="shared" si="102"/>
        <v>ΛΟΙΠΑ ΣΙΤΗΡΑΚΡΙΘΑΡΙ THESSALONIKI</v>
      </c>
      <c r="B3245" s="23" t="s">
        <v>6025</v>
      </c>
      <c r="C3245" s="24" t="s">
        <v>6188</v>
      </c>
      <c r="D3245" s="6">
        <v>466.58</v>
      </c>
      <c r="E3245" s="6">
        <v>366.77</v>
      </c>
      <c r="F3245" s="29" t="s">
        <v>14</v>
      </c>
      <c r="G3245" s="30" t="s">
        <v>6189</v>
      </c>
      <c r="H3245" s="31" t="s">
        <v>577</v>
      </c>
      <c r="I3245" s="9">
        <v>6052</v>
      </c>
      <c r="J3245" s="30">
        <v>2</v>
      </c>
      <c r="K3245" s="30">
        <v>20106</v>
      </c>
      <c r="L3245" s="3" t="str">
        <f t="shared" si="103"/>
        <v>ΛΟΙΠΑ_ΣΙΤΗΡΑ</v>
      </c>
    </row>
    <row r="3246" spans="1:12" s="3" customFormat="1" x14ac:dyDescent="0.25">
      <c r="A3246" s="3" t="str">
        <f t="shared" si="102"/>
        <v>ΛΟΙΠΑ ΣΙΤΗΡΑΚΡΙΘΑΡΙ THEODORA</v>
      </c>
      <c r="B3246" s="23" t="s">
        <v>6025</v>
      </c>
      <c r="C3246" s="24" t="s">
        <v>5871</v>
      </c>
      <c r="D3246" s="6">
        <v>466.58</v>
      </c>
      <c r="E3246" s="6">
        <v>366.77</v>
      </c>
      <c r="F3246" s="29" t="s">
        <v>14</v>
      </c>
      <c r="G3246" s="30" t="s">
        <v>6190</v>
      </c>
      <c r="H3246" s="31" t="s">
        <v>577</v>
      </c>
      <c r="I3246" s="9">
        <v>6051</v>
      </c>
      <c r="J3246" s="30">
        <v>2</v>
      </c>
      <c r="K3246" s="30">
        <v>20107</v>
      </c>
      <c r="L3246" s="3" t="str">
        <f t="shared" si="103"/>
        <v>ΛΟΙΠΑ_ΣΙΤΗΡΑ</v>
      </c>
    </row>
    <row r="3247" spans="1:12" s="3" customFormat="1" x14ac:dyDescent="0.25">
      <c r="A3247" s="3" t="str">
        <f t="shared" si="102"/>
        <v>ΛΟΙΠΑ ΣΙΤΗΡΑΚΡΙΘΑΡΙ SYDNEY</v>
      </c>
      <c r="B3247" s="23" t="s">
        <v>6025</v>
      </c>
      <c r="C3247" s="24" t="s">
        <v>6191</v>
      </c>
      <c r="D3247" s="6">
        <v>466.58</v>
      </c>
      <c r="E3247" s="6">
        <v>366.77</v>
      </c>
      <c r="F3247" s="29" t="s">
        <v>14</v>
      </c>
      <c r="G3247" s="30" t="s">
        <v>6192</v>
      </c>
      <c r="H3247" s="31" t="s">
        <v>577</v>
      </c>
      <c r="I3247" s="9">
        <v>6049</v>
      </c>
      <c r="J3247" s="30">
        <v>2</v>
      </c>
      <c r="K3247" s="30">
        <v>20108</v>
      </c>
      <c r="L3247" s="3" t="str">
        <f t="shared" si="103"/>
        <v>ΛΟΙΠΑ_ΣΙΤΗΡΑ</v>
      </c>
    </row>
    <row r="3248" spans="1:12" s="3" customFormat="1" x14ac:dyDescent="0.25">
      <c r="A3248" s="3" t="str">
        <f t="shared" si="102"/>
        <v>ΛΟΙΠΑ ΣΙΤΗΡΑΚΡΙΘΑΡΙ COMETA</v>
      </c>
      <c r="B3248" s="23" t="s">
        <v>6025</v>
      </c>
      <c r="C3248" s="24" t="s">
        <v>6193</v>
      </c>
      <c r="D3248" s="6">
        <v>466.58</v>
      </c>
      <c r="E3248" s="6">
        <v>366.77</v>
      </c>
      <c r="F3248" s="29" t="s">
        <v>14</v>
      </c>
      <c r="G3248" s="30" t="s">
        <v>6194</v>
      </c>
      <c r="H3248" s="31" t="s">
        <v>577</v>
      </c>
      <c r="I3248" s="9">
        <v>6008</v>
      </c>
      <c r="J3248" s="30">
        <v>2</v>
      </c>
      <c r="K3248" s="30">
        <v>20109</v>
      </c>
      <c r="L3248" s="3" t="str">
        <f t="shared" si="103"/>
        <v>ΛΟΙΠΑ_ΣΙΤΗΡΑ</v>
      </c>
    </row>
    <row r="3249" spans="1:12" s="3" customFormat="1" x14ac:dyDescent="0.25">
      <c r="A3249" s="3" t="str">
        <f t="shared" si="102"/>
        <v>ΛΟΙΠΑ ΣΙΤΗΡΑΚΡΙΘΑΡΙ LUTECE</v>
      </c>
      <c r="B3249" s="23" t="s">
        <v>6025</v>
      </c>
      <c r="C3249" s="24" t="s">
        <v>6195</v>
      </c>
      <c r="D3249" s="6">
        <v>466.58</v>
      </c>
      <c r="E3249" s="6">
        <v>366.77</v>
      </c>
      <c r="F3249" s="29" t="s">
        <v>14</v>
      </c>
      <c r="G3249" s="30" t="s">
        <v>6196</v>
      </c>
      <c r="H3249" s="31" t="s">
        <v>577</v>
      </c>
      <c r="I3249" s="9">
        <v>6030</v>
      </c>
      <c r="J3249" s="30">
        <v>2</v>
      </c>
      <c r="K3249" s="30">
        <v>20110</v>
      </c>
      <c r="L3249" s="3" t="str">
        <f t="shared" si="103"/>
        <v>ΛΟΙΠΑ_ΣΙΤΗΡΑ</v>
      </c>
    </row>
    <row r="3250" spans="1:12" s="3" customFormat="1" x14ac:dyDescent="0.25">
      <c r="A3250" s="3" t="str">
        <f t="shared" si="102"/>
        <v>ΛΟΙΠΑ ΣΙΤΗΡΑΚΡΙΘΑΡΙ BOLERO</v>
      </c>
      <c r="B3250" s="23" t="s">
        <v>6025</v>
      </c>
      <c r="C3250" s="24" t="s">
        <v>6197</v>
      </c>
      <c r="D3250" s="6">
        <v>466.58</v>
      </c>
      <c r="E3250" s="6">
        <v>366.77</v>
      </c>
      <c r="F3250" s="29" t="s">
        <v>14</v>
      </c>
      <c r="G3250" s="30" t="s">
        <v>6198</v>
      </c>
      <c r="H3250" s="31" t="s">
        <v>577</v>
      </c>
      <c r="I3250" s="9">
        <v>6002</v>
      </c>
      <c r="J3250" s="30">
        <v>2</v>
      </c>
      <c r="K3250" s="30">
        <v>20111</v>
      </c>
      <c r="L3250" s="3" t="str">
        <f t="shared" si="103"/>
        <v>ΛΟΙΠΑ_ΣΙΤΗΡΑ</v>
      </c>
    </row>
    <row r="3251" spans="1:12" s="3" customFormat="1" x14ac:dyDescent="0.25">
      <c r="A3251" s="3" t="str">
        <f t="shared" si="102"/>
        <v>ΛΟΙΠΑ ΣΙΤΗΡΑΒΡΩΜΗ ARGENTINA</v>
      </c>
      <c r="B3251" s="23" t="s">
        <v>6025</v>
      </c>
      <c r="C3251" s="24" t="s">
        <v>6199</v>
      </c>
      <c r="D3251" s="6">
        <v>222.49</v>
      </c>
      <c r="E3251" s="6">
        <v>273.27</v>
      </c>
      <c r="F3251" s="7" t="s">
        <v>14</v>
      </c>
      <c r="G3251" s="30" t="s">
        <v>6200</v>
      </c>
      <c r="H3251" s="31" t="s">
        <v>577</v>
      </c>
      <c r="I3251" s="9">
        <v>5958</v>
      </c>
      <c r="J3251" s="30">
        <v>2</v>
      </c>
      <c r="K3251" s="30">
        <v>20112</v>
      </c>
      <c r="L3251" s="3" t="str">
        <f t="shared" si="103"/>
        <v>ΛΟΙΠΑ_ΣΙΤΗΡΑ</v>
      </c>
    </row>
    <row r="3252" spans="1:12" s="3" customFormat="1" x14ac:dyDescent="0.25">
      <c r="A3252" s="3" t="str">
        <f t="shared" si="102"/>
        <v>ΛΟΙΠΑ ΣΙΤΗΡΑΣΙΤΟΣ ΜΑΛΑΚΟΣ KWS CRITERIUM</v>
      </c>
      <c r="B3252" s="23" t="s">
        <v>6025</v>
      </c>
      <c r="C3252" s="24" t="s">
        <v>6201</v>
      </c>
      <c r="D3252" s="6">
        <v>491.53</v>
      </c>
      <c r="E3252" s="6">
        <v>485.9</v>
      </c>
      <c r="F3252" s="7" t="s">
        <v>14</v>
      </c>
      <c r="G3252" s="30" t="s">
        <v>6202</v>
      </c>
      <c r="H3252" s="31" t="s">
        <v>577</v>
      </c>
      <c r="I3252" s="9">
        <v>6202</v>
      </c>
      <c r="J3252" s="30">
        <v>2</v>
      </c>
      <c r="K3252" s="30">
        <v>20113</v>
      </c>
      <c r="L3252" s="3" t="str">
        <f t="shared" si="103"/>
        <v>ΛΟΙΠΑ_ΣΙΤΗΡΑ</v>
      </c>
    </row>
    <row r="3253" spans="1:12" s="3" customFormat="1" x14ac:dyDescent="0.25">
      <c r="A3253" s="3" t="str">
        <f t="shared" si="102"/>
        <v>ΛΟΙΠΑ ΣΙΤΗΡΑΚΡΙΘΑΡΙ PILASTRO</v>
      </c>
      <c r="B3253" s="23" t="s">
        <v>6025</v>
      </c>
      <c r="C3253" s="24" t="s">
        <v>6203</v>
      </c>
      <c r="D3253" s="6">
        <v>466.58</v>
      </c>
      <c r="E3253" s="6">
        <v>366.77</v>
      </c>
      <c r="F3253" s="29" t="s">
        <v>14</v>
      </c>
      <c r="G3253" s="30" t="s">
        <v>6204</v>
      </c>
      <c r="H3253" s="31" t="s">
        <v>577</v>
      </c>
      <c r="I3253" s="9">
        <v>6044</v>
      </c>
      <c r="J3253" s="30">
        <v>2</v>
      </c>
      <c r="K3253" s="30">
        <v>20114</v>
      </c>
      <c r="L3253" s="3" t="str">
        <f t="shared" si="103"/>
        <v>ΛΟΙΠΑ_ΣΙΤΗΡΑ</v>
      </c>
    </row>
    <row r="3254" spans="1:12" s="3" customFormat="1" x14ac:dyDescent="0.25">
      <c r="A3254" s="3" t="str">
        <f t="shared" si="102"/>
        <v>ΛΟΙΠΑ ΣΙΤΗΡΑΚΡΙΘΑΡΙ STRIKER</v>
      </c>
      <c r="B3254" s="23" t="s">
        <v>6025</v>
      </c>
      <c r="C3254" s="24" t="s">
        <v>6205</v>
      </c>
      <c r="D3254" s="6">
        <v>466.58</v>
      </c>
      <c r="E3254" s="6">
        <v>366.77</v>
      </c>
      <c r="F3254" s="29" t="s">
        <v>14</v>
      </c>
      <c r="G3254" s="30" t="s">
        <v>6206</v>
      </c>
      <c r="H3254" s="31" t="s">
        <v>577</v>
      </c>
      <c r="I3254" s="9">
        <v>6048</v>
      </c>
      <c r="J3254" s="30">
        <v>2</v>
      </c>
      <c r="K3254" s="30">
        <v>20115</v>
      </c>
      <c r="L3254" s="3" t="str">
        <f t="shared" si="103"/>
        <v>ΛΟΙΠΑ_ΣΙΤΗΡΑ</v>
      </c>
    </row>
    <row r="3255" spans="1:12" s="3" customFormat="1" ht="15" customHeight="1" x14ac:dyDescent="0.25">
      <c r="A3255" s="3" t="str">
        <f t="shared" si="102"/>
        <v>ΛΟΙΠΑ ΣΙΤΗΡΑΚΡΙΘΑΡΙ IS MALTIGO</v>
      </c>
      <c r="B3255" s="23" t="s">
        <v>6025</v>
      </c>
      <c r="C3255" s="24" t="s">
        <v>5869</v>
      </c>
      <c r="D3255" s="6">
        <v>466.58</v>
      </c>
      <c r="E3255" s="6">
        <v>366.77</v>
      </c>
      <c r="F3255" s="29" t="s">
        <v>14</v>
      </c>
      <c r="G3255" s="30" t="s">
        <v>6207</v>
      </c>
      <c r="H3255" s="31" t="s">
        <v>577</v>
      </c>
      <c r="I3255" s="9">
        <v>6020</v>
      </c>
      <c r="J3255" s="30">
        <v>2</v>
      </c>
      <c r="K3255" s="30">
        <v>20116</v>
      </c>
      <c r="L3255" s="3" t="str">
        <f t="shared" si="103"/>
        <v>ΛΟΙΠΑ_ΣΙΤΗΡΑ</v>
      </c>
    </row>
    <row r="3256" spans="1:12" s="3" customFormat="1" ht="15" customHeight="1" x14ac:dyDescent="0.25">
      <c r="A3256" s="3" t="str">
        <f t="shared" si="102"/>
        <v>ΛΟΙΠΑ ΣΙΤΗΡΑΚΡΙΘΑΡΙ ZOO</v>
      </c>
      <c r="B3256" s="23" t="s">
        <v>6025</v>
      </c>
      <c r="C3256" s="24" t="s">
        <v>5873</v>
      </c>
      <c r="D3256" s="6">
        <v>466.58</v>
      </c>
      <c r="E3256" s="6">
        <v>366.77</v>
      </c>
      <c r="F3256" s="29" t="s">
        <v>14</v>
      </c>
      <c r="G3256" s="30" t="s">
        <v>6208</v>
      </c>
      <c r="H3256" s="31" t="s">
        <v>577</v>
      </c>
      <c r="I3256" s="9">
        <v>6059</v>
      </c>
      <c r="J3256" s="30">
        <v>2</v>
      </c>
      <c r="K3256" s="30">
        <v>20117</v>
      </c>
      <c r="L3256" s="3" t="str">
        <f t="shared" si="103"/>
        <v>ΛΟΙΠΑ_ΣΙΤΗΡΑ</v>
      </c>
    </row>
    <row r="3257" spans="1:12" s="3" customFormat="1" ht="15" customHeight="1" x14ac:dyDescent="0.25">
      <c r="A3257" s="3" t="str">
        <f t="shared" si="102"/>
        <v>ΛΟΙΠΑ ΣΙΤΗΡΑΚΡΙΘΑΡΙ AVUS</v>
      </c>
      <c r="B3257" s="23" t="s">
        <v>6025</v>
      </c>
      <c r="C3257" s="24" t="s">
        <v>5875</v>
      </c>
      <c r="D3257" s="6">
        <v>466.58</v>
      </c>
      <c r="E3257" s="6">
        <v>366.77</v>
      </c>
      <c r="F3257" s="29" t="s">
        <v>14</v>
      </c>
      <c r="G3257" s="30" t="s">
        <v>6209</v>
      </c>
      <c r="H3257" s="31" t="s">
        <v>577</v>
      </c>
      <c r="I3257" s="9">
        <v>5999</v>
      </c>
      <c r="J3257" s="30">
        <v>2</v>
      </c>
      <c r="K3257" s="30">
        <v>20118</v>
      </c>
      <c r="L3257" s="3" t="str">
        <f t="shared" si="103"/>
        <v>ΛΟΙΠΑ_ΣΙΤΗΡΑ</v>
      </c>
    </row>
    <row r="3258" spans="1:12" s="3" customFormat="1" ht="15" customHeight="1" x14ac:dyDescent="0.25">
      <c r="A3258" s="3" t="str">
        <f t="shared" si="102"/>
        <v>ΛΟΙΠΑ ΣΙΤΗΡΑΚΡΙΘΑΡΙ AVALON</v>
      </c>
      <c r="B3258" s="23" t="s">
        <v>6025</v>
      </c>
      <c r="C3258" s="24" t="s">
        <v>5877</v>
      </c>
      <c r="D3258" s="6">
        <v>466.58</v>
      </c>
      <c r="E3258" s="6">
        <v>366.77</v>
      </c>
      <c r="F3258" s="29" t="s">
        <v>14</v>
      </c>
      <c r="G3258" s="30" t="s">
        <v>6210</v>
      </c>
      <c r="H3258" s="31" t="s">
        <v>577</v>
      </c>
      <c r="I3258" s="9">
        <v>5997</v>
      </c>
      <c r="J3258" s="30">
        <v>2</v>
      </c>
      <c r="K3258" s="30">
        <v>20119</v>
      </c>
      <c r="L3258" s="3" t="str">
        <f t="shared" si="103"/>
        <v>ΛΟΙΠΑ_ΣΙΤΗΡΑ</v>
      </c>
    </row>
    <row r="3259" spans="1:12" s="3" customFormat="1" ht="15" customHeight="1" x14ac:dyDescent="0.25">
      <c r="A3259" s="3" t="str">
        <f t="shared" si="102"/>
        <v>ΛΟΙΠΑ ΣΙΤΗΡΑΚΡΙΘΑΡΙ LAVANDA</v>
      </c>
      <c r="B3259" s="23" t="s">
        <v>6025</v>
      </c>
      <c r="C3259" s="24" t="s">
        <v>5879</v>
      </c>
      <c r="D3259" s="6">
        <v>466.58</v>
      </c>
      <c r="E3259" s="6">
        <v>366.77</v>
      </c>
      <c r="F3259" s="29" t="s">
        <v>14</v>
      </c>
      <c r="G3259" s="30" t="s">
        <v>6211</v>
      </c>
      <c r="H3259" s="31" t="s">
        <v>577</v>
      </c>
      <c r="I3259" s="9">
        <v>6027</v>
      </c>
      <c r="J3259" s="30">
        <v>2</v>
      </c>
      <c r="K3259" s="30">
        <v>20120</v>
      </c>
      <c r="L3259" s="3" t="str">
        <f t="shared" si="103"/>
        <v>ΛΟΙΠΑ_ΣΙΤΗΡΑ</v>
      </c>
    </row>
    <row r="3260" spans="1:12" s="3" customFormat="1" ht="15" customHeight="1" x14ac:dyDescent="0.25">
      <c r="A3260" s="3" t="str">
        <f t="shared" si="102"/>
        <v>ΛΟΙΠΑ ΣΙΤΗΡΑΚΡΙΘΑΡΙ CLEMENTINE</v>
      </c>
      <c r="B3260" s="23" t="s">
        <v>6025</v>
      </c>
      <c r="C3260" s="24" t="s">
        <v>5881</v>
      </c>
      <c r="D3260" s="6">
        <v>466.58</v>
      </c>
      <c r="E3260" s="6">
        <v>366.77</v>
      </c>
      <c r="F3260" s="29" t="s">
        <v>14</v>
      </c>
      <c r="G3260" s="30" t="s">
        <v>6212</v>
      </c>
      <c r="H3260" s="31" t="s">
        <v>577</v>
      </c>
      <c r="I3260" s="9">
        <v>6005</v>
      </c>
      <c r="J3260" s="30">
        <v>2</v>
      </c>
      <c r="K3260" s="30">
        <v>20121</v>
      </c>
      <c r="L3260" s="3" t="str">
        <f t="shared" si="103"/>
        <v>ΛΟΙΠΑ_ΣΙΤΗΡΑ</v>
      </c>
    </row>
    <row r="3261" spans="1:12" s="3" customFormat="1" ht="15" customHeight="1" x14ac:dyDescent="0.25">
      <c r="A3261" s="3" t="str">
        <f t="shared" si="102"/>
        <v>ΛΟΙΠΑ ΣΙΤΗΡΑΚΡΙΘΑΡΙ MALTESSE</v>
      </c>
      <c r="B3261" s="23" t="s">
        <v>6025</v>
      </c>
      <c r="C3261" s="24" t="s">
        <v>5883</v>
      </c>
      <c r="D3261" s="6">
        <v>466.58</v>
      </c>
      <c r="E3261" s="6">
        <v>366.77</v>
      </c>
      <c r="F3261" s="29" t="s">
        <v>14</v>
      </c>
      <c r="G3261" s="30" t="s">
        <v>6213</v>
      </c>
      <c r="H3261" s="31" t="s">
        <v>577</v>
      </c>
      <c r="I3261" s="9">
        <v>6032</v>
      </c>
      <c r="J3261" s="30">
        <v>2</v>
      </c>
      <c r="K3261" s="30">
        <v>20122</v>
      </c>
      <c r="L3261" s="3" t="str">
        <f t="shared" si="103"/>
        <v>ΛΟΙΠΑ_ΣΙΤΗΡΑ</v>
      </c>
    </row>
    <row r="3262" spans="1:12" s="3" customFormat="1" ht="15" customHeight="1" x14ac:dyDescent="0.25">
      <c r="A3262" s="3" t="str">
        <f t="shared" si="102"/>
        <v>ΛΟΙΠΑ ΣΙΤΗΡΑΚΡΙΘΑΡΙ JUVENTA</v>
      </c>
      <c r="B3262" s="23" t="s">
        <v>6025</v>
      </c>
      <c r="C3262" s="24" t="s">
        <v>5885</v>
      </c>
      <c r="D3262" s="6">
        <v>466.58</v>
      </c>
      <c r="E3262" s="6">
        <v>366.77</v>
      </c>
      <c r="F3262" s="29" t="s">
        <v>14</v>
      </c>
      <c r="G3262" s="30" t="s">
        <v>6214</v>
      </c>
      <c r="H3262" s="31" t="s">
        <v>577</v>
      </c>
      <c r="I3262" s="9">
        <v>6023</v>
      </c>
      <c r="J3262" s="30">
        <v>2</v>
      </c>
      <c r="K3262" s="30">
        <v>20123</v>
      </c>
      <c r="L3262" s="3" t="str">
        <f t="shared" si="103"/>
        <v>ΛΟΙΠΑ_ΣΙΤΗΡΑ</v>
      </c>
    </row>
    <row r="3263" spans="1:12" s="3" customFormat="1" ht="15" customHeight="1" x14ac:dyDescent="0.25">
      <c r="A3263" s="3" t="str">
        <f t="shared" si="102"/>
        <v>ΛΟΙΠΑ ΣΙΤΗΡΑΚΡΙΘΑΡΙ PANAGIAS</v>
      </c>
      <c r="B3263" s="23" t="s">
        <v>6025</v>
      </c>
      <c r="C3263" s="24" t="s">
        <v>5887</v>
      </c>
      <c r="D3263" s="6">
        <v>466.58</v>
      </c>
      <c r="E3263" s="6">
        <v>366.77</v>
      </c>
      <c r="F3263" s="29" t="s">
        <v>14</v>
      </c>
      <c r="G3263" s="30" t="s">
        <v>6215</v>
      </c>
      <c r="H3263" s="31" t="s">
        <v>577</v>
      </c>
      <c r="I3263" s="9">
        <v>6041</v>
      </c>
      <c r="J3263" s="30">
        <v>2</v>
      </c>
      <c r="K3263" s="30">
        <v>20124</v>
      </c>
      <c r="L3263" s="3" t="str">
        <f t="shared" si="103"/>
        <v>ΛΟΙΠΑ_ΣΙΤΗΡΑ</v>
      </c>
    </row>
    <row r="3264" spans="1:12" s="3" customFormat="1" ht="15" customHeight="1" x14ac:dyDescent="0.25">
      <c r="A3264" s="3" t="str">
        <f t="shared" si="102"/>
        <v>ΛΟΙΠΑ ΣΙΤΗΡΑΚΡΙΘΑΡΙ EXPLORA</v>
      </c>
      <c r="B3264" s="23" t="s">
        <v>6025</v>
      </c>
      <c r="C3264" s="24" t="s">
        <v>5889</v>
      </c>
      <c r="D3264" s="6">
        <v>466.58</v>
      </c>
      <c r="E3264" s="6">
        <v>366.77</v>
      </c>
      <c r="F3264" s="29" t="s">
        <v>14</v>
      </c>
      <c r="G3264" s="30" t="s">
        <v>6216</v>
      </c>
      <c r="H3264" s="31" t="s">
        <v>577</v>
      </c>
      <c r="I3264" s="9">
        <v>6011</v>
      </c>
      <c r="J3264" s="30">
        <v>2</v>
      </c>
      <c r="K3264" s="30">
        <v>20125</v>
      </c>
      <c r="L3264" s="3" t="str">
        <f t="shared" si="103"/>
        <v>ΛΟΙΠΑ_ΣΙΤΗΡΑ</v>
      </c>
    </row>
    <row r="3265" spans="1:12" s="3" customFormat="1" ht="15" customHeight="1" x14ac:dyDescent="0.25">
      <c r="A3265" s="3" t="str">
        <f t="shared" si="102"/>
        <v>ΛΟΙΠΑ ΣΙΤΗΡΑΚΡΙΘΑΡΙ GUZEL</v>
      </c>
      <c r="B3265" s="23" t="s">
        <v>6025</v>
      </c>
      <c r="C3265" s="24" t="s">
        <v>5891</v>
      </c>
      <c r="D3265" s="6">
        <v>466.58</v>
      </c>
      <c r="E3265" s="6">
        <v>366.77</v>
      </c>
      <c r="F3265" s="29" t="s">
        <v>14</v>
      </c>
      <c r="G3265" s="30" t="s">
        <v>6217</v>
      </c>
      <c r="H3265" s="31" t="s">
        <v>577</v>
      </c>
      <c r="I3265" s="9">
        <v>6018</v>
      </c>
      <c r="J3265" s="30">
        <v>2</v>
      </c>
      <c r="K3265" s="30">
        <v>20126</v>
      </c>
      <c r="L3265" s="3" t="str">
        <f t="shared" si="103"/>
        <v>ΛΟΙΠΑ_ΣΙΤΗΡΑ</v>
      </c>
    </row>
    <row r="3266" spans="1:12" s="3" customFormat="1" ht="15" customHeight="1" x14ac:dyDescent="0.25">
      <c r="A3266" s="3" t="str">
        <f t="shared" si="102"/>
        <v>ΛΟΙΠΑ ΣΙΤΗΡΑΣΙΤΟΣ ΜΑΛΑΚΟΣ SALVIA</v>
      </c>
      <c r="B3266" s="23" t="s">
        <v>6025</v>
      </c>
      <c r="C3266" s="24" t="s">
        <v>5895</v>
      </c>
      <c r="D3266" s="6">
        <v>491.53</v>
      </c>
      <c r="E3266" s="6">
        <v>485.9</v>
      </c>
      <c r="F3266" s="7" t="s">
        <v>14</v>
      </c>
      <c r="G3266" s="30" t="s">
        <v>6218</v>
      </c>
      <c r="H3266" s="31" t="s">
        <v>577</v>
      </c>
      <c r="I3266" s="9">
        <v>6214</v>
      </c>
      <c r="J3266" s="30">
        <v>2</v>
      </c>
      <c r="K3266" s="30">
        <v>20127</v>
      </c>
      <c r="L3266" s="3" t="str">
        <f t="shared" si="103"/>
        <v>ΛΟΙΠΑ_ΣΙΤΗΡΑ</v>
      </c>
    </row>
    <row r="3267" spans="1:12" s="3" customFormat="1" ht="15" customHeight="1" x14ac:dyDescent="0.25">
      <c r="A3267" s="3" t="str">
        <f t="shared" ref="A3267:A3330" si="104">_xlfn.CONCAT(B3267,C3267)</f>
        <v>ΛΟΙΠΑ ΣΙΤΗΡΑΣΙΤΟΣ ΜΑΛΑΚΟΣ AMBURGO</v>
      </c>
      <c r="B3267" s="23" t="s">
        <v>6025</v>
      </c>
      <c r="C3267" s="24" t="s">
        <v>5903</v>
      </c>
      <c r="D3267" s="6">
        <v>491.53</v>
      </c>
      <c r="E3267" s="6">
        <v>485.9</v>
      </c>
      <c r="F3267" s="7" t="s">
        <v>14</v>
      </c>
      <c r="G3267" s="30" t="s">
        <v>6219</v>
      </c>
      <c r="H3267" s="31" t="s">
        <v>577</v>
      </c>
      <c r="I3267" s="9">
        <v>6161</v>
      </c>
      <c r="J3267" s="30">
        <v>2</v>
      </c>
      <c r="K3267" s="30">
        <v>20128</v>
      </c>
      <c r="L3267" s="3" t="str">
        <f t="shared" ref="L3267:L3330" si="105">IFERROR(SUBSTITUTE(SUBSTITUTE(SUBSTITUTE(SUBSTITUTE(SUBSTITUTE(B3267, "-", "_"), " ", "_"), ",", ""), "(", ""), ")", ""), B3267)</f>
        <v>ΛΟΙΠΑ_ΣΙΤΗΡΑ</v>
      </c>
    </row>
    <row r="3268" spans="1:12" s="3" customFormat="1" ht="15" customHeight="1" x14ac:dyDescent="0.25">
      <c r="A3268" s="3" t="str">
        <f t="shared" si="104"/>
        <v>ΛΟΙΠΑ ΣΙΤΗΡΑΣΙΤΟΣ ΜΑΛΑΚΟΣ TEJADA</v>
      </c>
      <c r="B3268" s="23" t="s">
        <v>6025</v>
      </c>
      <c r="C3268" s="24" t="s">
        <v>5905</v>
      </c>
      <c r="D3268" s="6">
        <v>491.53</v>
      </c>
      <c r="E3268" s="6">
        <v>485.9</v>
      </c>
      <c r="F3268" s="7" t="s">
        <v>14</v>
      </c>
      <c r="G3268" s="30" t="s">
        <v>6220</v>
      </c>
      <c r="H3268" s="31" t="s">
        <v>577</v>
      </c>
      <c r="I3268" s="9">
        <v>6220</v>
      </c>
      <c r="J3268" s="30">
        <v>2</v>
      </c>
      <c r="K3268" s="30">
        <v>20129</v>
      </c>
      <c r="L3268" s="3" t="str">
        <f t="shared" si="105"/>
        <v>ΛΟΙΠΑ_ΣΙΤΗΡΑ</v>
      </c>
    </row>
    <row r="3269" spans="1:12" s="3" customFormat="1" ht="15" customHeight="1" x14ac:dyDescent="0.25">
      <c r="A3269" s="3" t="str">
        <f t="shared" si="104"/>
        <v>ΛΟΙΠΑ ΣΙΤΗΡΑΚΡΙΘΑΡΙ MOCHINA 5</v>
      </c>
      <c r="B3269" s="23" t="s">
        <v>6025</v>
      </c>
      <c r="C3269" s="24" t="s">
        <v>5933</v>
      </c>
      <c r="D3269" s="6">
        <v>466.58</v>
      </c>
      <c r="E3269" s="6">
        <v>366.77</v>
      </c>
      <c r="F3269" s="29" t="s">
        <v>14</v>
      </c>
      <c r="G3269" s="30" t="s">
        <v>6221</v>
      </c>
      <c r="H3269" s="31" t="s">
        <v>577</v>
      </c>
      <c r="I3269" s="9">
        <v>6036</v>
      </c>
      <c r="J3269" s="30">
        <v>2</v>
      </c>
      <c r="K3269" s="30">
        <v>20130</v>
      </c>
      <c r="L3269" s="3" t="str">
        <f t="shared" si="105"/>
        <v>ΛΟΙΠΑ_ΣΙΤΗΡΑ</v>
      </c>
    </row>
    <row r="3270" spans="1:12" s="3" customFormat="1" ht="15" customHeight="1" x14ac:dyDescent="0.25">
      <c r="A3270" s="3" t="str">
        <f t="shared" si="104"/>
        <v>ΛΟΙΠΑ ΣΙΤΗΡΑΚΡΙΘΑΡΙ BELCANTO</v>
      </c>
      <c r="B3270" s="23" t="s">
        <v>6025</v>
      </c>
      <c r="C3270" s="24" t="s">
        <v>5935</v>
      </c>
      <c r="D3270" s="6">
        <v>466.58</v>
      </c>
      <c r="E3270" s="6">
        <v>366.77</v>
      </c>
      <c r="F3270" s="29" t="s">
        <v>14</v>
      </c>
      <c r="G3270" s="30" t="s">
        <v>6222</v>
      </c>
      <c r="H3270" s="31" t="s">
        <v>577</v>
      </c>
      <c r="I3270" s="9">
        <v>6001</v>
      </c>
      <c r="J3270" s="30">
        <v>2</v>
      </c>
      <c r="K3270" s="30">
        <v>20131</v>
      </c>
      <c r="L3270" s="3" t="str">
        <f t="shared" si="105"/>
        <v>ΛΟΙΠΑ_ΣΙΤΗΡΑ</v>
      </c>
    </row>
    <row r="3271" spans="1:12" s="3" customFormat="1" ht="15" customHeight="1" x14ac:dyDescent="0.25">
      <c r="A3271" s="3" t="str">
        <f t="shared" si="104"/>
        <v>ΛΟΙΠΑ ΣΙΤΗΡΑΚΡΙΘΑΡΙ PERSEFONI</v>
      </c>
      <c r="B3271" s="23" t="s">
        <v>6025</v>
      </c>
      <c r="C3271" s="24" t="s">
        <v>5937</v>
      </c>
      <c r="D3271" s="6">
        <v>466.58</v>
      </c>
      <c r="E3271" s="6">
        <v>366.77</v>
      </c>
      <c r="F3271" s="29" t="s">
        <v>14</v>
      </c>
      <c r="G3271" s="30" t="s">
        <v>6223</v>
      </c>
      <c r="H3271" s="31" t="s">
        <v>577</v>
      </c>
      <c r="I3271" s="9">
        <v>6043</v>
      </c>
      <c r="J3271" s="30">
        <v>2</v>
      </c>
      <c r="K3271" s="30">
        <v>20132</v>
      </c>
      <c r="L3271" s="3" t="str">
        <f t="shared" si="105"/>
        <v>ΛΟΙΠΑ_ΣΙΤΗΡΑ</v>
      </c>
    </row>
    <row r="3272" spans="1:12" s="3" customFormat="1" ht="15" customHeight="1" x14ac:dyDescent="0.25">
      <c r="A3272" s="3" t="str">
        <f t="shared" si="104"/>
        <v>ΛΟΙΠΑ ΣΙΤΗΡΑΚΡΙΘΑΡΙ FENICE</v>
      </c>
      <c r="B3272" s="23" t="s">
        <v>6025</v>
      </c>
      <c r="C3272" s="24" t="s">
        <v>5939</v>
      </c>
      <c r="D3272" s="6">
        <v>466.58</v>
      </c>
      <c r="E3272" s="6">
        <v>366.77</v>
      </c>
      <c r="F3272" s="29" t="s">
        <v>14</v>
      </c>
      <c r="G3272" s="30" t="s">
        <v>6224</v>
      </c>
      <c r="H3272" s="31" t="s">
        <v>577</v>
      </c>
      <c r="I3272" s="9">
        <v>6013</v>
      </c>
      <c r="J3272" s="30">
        <v>2</v>
      </c>
      <c r="K3272" s="30">
        <v>20133</v>
      </c>
      <c r="L3272" s="3" t="str">
        <f t="shared" si="105"/>
        <v>ΛΟΙΠΑ_ΣΙΤΗΡΑ</v>
      </c>
    </row>
    <row r="3273" spans="1:12" s="3" customFormat="1" ht="15" customHeight="1" x14ac:dyDescent="0.25">
      <c r="A3273" s="3" t="str">
        <f t="shared" si="104"/>
        <v>ΛΟΙΠΑ ΣΙΤΗΡΑΣΙΤΟΣ ΜΑΛΑΚΟΣ BOLERO</v>
      </c>
      <c r="B3273" s="23" t="s">
        <v>6025</v>
      </c>
      <c r="C3273" s="24" t="s">
        <v>5945</v>
      </c>
      <c r="D3273" s="6">
        <v>491.53</v>
      </c>
      <c r="E3273" s="6">
        <v>485.9</v>
      </c>
      <c r="F3273" s="7" t="s">
        <v>14</v>
      </c>
      <c r="G3273" s="30" t="s">
        <v>6225</v>
      </c>
      <c r="H3273" s="31" t="s">
        <v>577</v>
      </c>
      <c r="I3273" s="9">
        <v>6176</v>
      </c>
      <c r="J3273" s="30">
        <v>2</v>
      </c>
      <c r="K3273" s="30">
        <v>20134</v>
      </c>
      <c r="L3273" s="3" t="str">
        <f t="shared" si="105"/>
        <v>ΛΟΙΠΑ_ΣΙΤΗΡΑ</v>
      </c>
    </row>
    <row r="3274" spans="1:12" s="3" customFormat="1" ht="15" customHeight="1" x14ac:dyDescent="0.25">
      <c r="A3274" s="3" t="str">
        <f t="shared" si="104"/>
        <v>ΛΟΙΠΑ ΣΙΤΗΡΑΣΙΤΟΣ ΜΑΛΑΚΟΣ ANTILLE</v>
      </c>
      <c r="B3274" s="23" t="s">
        <v>6025</v>
      </c>
      <c r="C3274" s="24" t="s">
        <v>5947</v>
      </c>
      <c r="D3274" s="6">
        <v>491.53</v>
      </c>
      <c r="E3274" s="6">
        <v>485.9</v>
      </c>
      <c r="F3274" s="7" t="s">
        <v>14</v>
      </c>
      <c r="G3274" s="30" t="s">
        <v>6226</v>
      </c>
      <c r="H3274" s="31" t="s">
        <v>577</v>
      </c>
      <c r="I3274" s="9">
        <v>6165</v>
      </c>
      <c r="J3274" s="30">
        <v>2</v>
      </c>
      <c r="K3274" s="30">
        <v>20135</v>
      </c>
      <c r="L3274" s="3" t="str">
        <f t="shared" si="105"/>
        <v>ΛΟΙΠΑ_ΣΙΤΗΡΑ</v>
      </c>
    </row>
    <row r="3275" spans="1:12" s="3" customFormat="1" ht="15" customHeight="1" x14ac:dyDescent="0.25">
      <c r="A3275" s="3" t="str">
        <f t="shared" si="104"/>
        <v>ΛΟΙΠΑ ΣΙΤΗΡΑΣΙΤΟΣ ΜΑΛΑΚΟΣ GAIA</v>
      </c>
      <c r="B3275" s="23" t="s">
        <v>6025</v>
      </c>
      <c r="C3275" s="24" t="s">
        <v>5949</v>
      </c>
      <c r="D3275" s="6">
        <v>491.53</v>
      </c>
      <c r="E3275" s="6">
        <v>485.9</v>
      </c>
      <c r="F3275" s="7" t="s">
        <v>14</v>
      </c>
      <c r="G3275" s="30" t="s">
        <v>6227</v>
      </c>
      <c r="H3275" s="31" t="s">
        <v>577</v>
      </c>
      <c r="I3275" s="9">
        <v>6192</v>
      </c>
      <c r="J3275" s="30">
        <v>2</v>
      </c>
      <c r="K3275" s="30">
        <v>20136</v>
      </c>
      <c r="L3275" s="3" t="str">
        <f t="shared" si="105"/>
        <v>ΛΟΙΠΑ_ΣΙΤΗΡΑ</v>
      </c>
    </row>
    <row r="3276" spans="1:12" s="3" customFormat="1" ht="15" customHeight="1" x14ac:dyDescent="0.25">
      <c r="A3276" s="3" t="str">
        <f t="shared" si="104"/>
        <v>ΛΟΙΠΑ ΣΙΤΗΡΑΣΙΤΟΣ ΜΑΛΑΚΟΣ ARTUR NICK</v>
      </c>
      <c r="B3276" s="23" t="s">
        <v>6025</v>
      </c>
      <c r="C3276" s="24" t="s">
        <v>5951</v>
      </c>
      <c r="D3276" s="6">
        <v>491.53</v>
      </c>
      <c r="E3276" s="6">
        <v>485.9</v>
      </c>
      <c r="F3276" s="7" t="s">
        <v>14</v>
      </c>
      <c r="G3276" s="30" t="s">
        <v>6228</v>
      </c>
      <c r="H3276" s="31" t="s">
        <v>577</v>
      </c>
      <c r="I3276" s="9">
        <v>6169</v>
      </c>
      <c r="J3276" s="30">
        <v>2</v>
      </c>
      <c r="K3276" s="30">
        <v>20137</v>
      </c>
      <c r="L3276" s="3" t="str">
        <f t="shared" si="105"/>
        <v>ΛΟΙΠΑ_ΣΙΤΗΡΑ</v>
      </c>
    </row>
    <row r="3277" spans="1:12" s="3" customFormat="1" ht="15" customHeight="1" x14ac:dyDescent="0.25">
      <c r="A3277" s="3" t="str">
        <f t="shared" si="104"/>
        <v>ΛΟΙΠΑ ΣΙΤΗΡΑΣΙΤΟΣ ΜΑΛΑΚΟΣ FRENETIC</v>
      </c>
      <c r="B3277" s="23" t="s">
        <v>6025</v>
      </c>
      <c r="C3277" s="24" t="s">
        <v>5953</v>
      </c>
      <c r="D3277" s="6">
        <v>491.53</v>
      </c>
      <c r="E3277" s="6">
        <v>485.9</v>
      </c>
      <c r="F3277" s="7" t="s">
        <v>14</v>
      </c>
      <c r="G3277" s="30" t="s">
        <v>6229</v>
      </c>
      <c r="H3277" s="31" t="s">
        <v>577</v>
      </c>
      <c r="I3277" s="9">
        <v>6190</v>
      </c>
      <c r="J3277" s="30">
        <v>2</v>
      </c>
      <c r="K3277" s="30">
        <v>20138</v>
      </c>
      <c r="L3277" s="3" t="str">
        <f t="shared" si="105"/>
        <v>ΛΟΙΠΑ_ΣΙΤΗΡΑ</v>
      </c>
    </row>
    <row r="3278" spans="1:12" s="3" customFormat="1" ht="15" customHeight="1" x14ac:dyDescent="0.25">
      <c r="A3278" s="3" t="str">
        <f t="shared" si="104"/>
        <v>ΛΟΙΠΑ ΣΙΤΗΡΑΣΙΤΟΣ ΜΑΛΑΚΟΣ YECORA "E"</v>
      </c>
      <c r="B3278" s="23" t="s">
        <v>6025</v>
      </c>
      <c r="C3278" s="24" t="s">
        <v>5955</v>
      </c>
      <c r="D3278" s="6">
        <v>491.53</v>
      </c>
      <c r="E3278" s="6">
        <v>485.9</v>
      </c>
      <c r="F3278" s="7" t="s">
        <v>14</v>
      </c>
      <c r="G3278" s="30" t="s">
        <v>6230</v>
      </c>
      <c r="H3278" s="31" t="s">
        <v>577</v>
      </c>
      <c r="I3278" s="9">
        <v>6226</v>
      </c>
      <c r="J3278" s="30">
        <v>2</v>
      </c>
      <c r="K3278" s="30">
        <v>20139</v>
      </c>
      <c r="L3278" s="3" t="str">
        <f t="shared" si="105"/>
        <v>ΛΟΙΠΑ_ΣΙΤΗΡΑ</v>
      </c>
    </row>
    <row r="3279" spans="1:12" s="3" customFormat="1" ht="15" customHeight="1" x14ac:dyDescent="0.25">
      <c r="A3279" s="3" t="str">
        <f t="shared" si="104"/>
        <v>ΛΟΙΠΑ ΣΙΤΗΡΑΣΙΤΟΣ ΜΑΛΑΚΟΣ DONATELLO</v>
      </c>
      <c r="B3279" s="23" t="s">
        <v>6025</v>
      </c>
      <c r="C3279" s="24" t="s">
        <v>5957</v>
      </c>
      <c r="D3279" s="6">
        <v>491.53</v>
      </c>
      <c r="E3279" s="6">
        <v>485.9</v>
      </c>
      <c r="F3279" s="7" t="s">
        <v>14</v>
      </c>
      <c r="G3279" s="30" t="s">
        <v>6231</v>
      </c>
      <c r="H3279" s="31" t="s">
        <v>577</v>
      </c>
      <c r="I3279" s="9">
        <v>6185</v>
      </c>
      <c r="J3279" s="30">
        <v>2</v>
      </c>
      <c r="K3279" s="30">
        <v>20140</v>
      </c>
      <c r="L3279" s="3" t="str">
        <f t="shared" si="105"/>
        <v>ΛΟΙΠΑ_ΣΙΤΗΡΑ</v>
      </c>
    </row>
    <row r="3280" spans="1:12" s="3" customFormat="1" ht="15" customHeight="1" x14ac:dyDescent="0.25">
      <c r="A3280" s="3" t="str">
        <f t="shared" si="104"/>
        <v>ΛΟΙΠΑ ΣΙΤΗΡΑΣΙΤΟΣ ΜΑΛΑΚΟΣ ALAGIR</v>
      </c>
      <c r="B3280" s="23" t="s">
        <v>6025</v>
      </c>
      <c r="C3280" s="24" t="s">
        <v>5959</v>
      </c>
      <c r="D3280" s="6">
        <v>491.53</v>
      </c>
      <c r="E3280" s="6">
        <v>485.9</v>
      </c>
      <c r="F3280" s="7" t="s">
        <v>14</v>
      </c>
      <c r="G3280" s="30" t="s">
        <v>6232</v>
      </c>
      <c r="H3280" s="31" t="s">
        <v>577</v>
      </c>
      <c r="I3280" s="9">
        <v>6156</v>
      </c>
      <c r="J3280" s="30">
        <v>2</v>
      </c>
      <c r="K3280" s="30">
        <v>20141</v>
      </c>
      <c r="L3280" s="3" t="str">
        <f t="shared" si="105"/>
        <v>ΛΟΙΠΑ_ΣΙΤΗΡΑ</v>
      </c>
    </row>
    <row r="3281" spans="1:12" s="3" customFormat="1" ht="15" customHeight="1" x14ac:dyDescent="0.25">
      <c r="A3281" s="3" t="str">
        <f t="shared" si="104"/>
        <v>ΛΟΙΠΑ ΣΙΤΗΡΑΤΡΙΤΙΚΑΛΕ SILENO</v>
      </c>
      <c r="B3281" s="23" t="s">
        <v>6025</v>
      </c>
      <c r="C3281" s="24" t="s">
        <v>5961</v>
      </c>
      <c r="D3281" s="6">
        <v>363.85</v>
      </c>
      <c r="E3281" s="6">
        <v>331.13</v>
      </c>
      <c r="F3281" s="7" t="s">
        <v>14</v>
      </c>
      <c r="G3281" s="30" t="s">
        <v>6233</v>
      </c>
      <c r="H3281" s="31" t="s">
        <v>577</v>
      </c>
      <c r="I3281" s="9">
        <v>6236</v>
      </c>
      <c r="J3281" s="30">
        <v>2</v>
      </c>
      <c r="K3281" s="30">
        <v>20142</v>
      </c>
      <c r="L3281" s="3" t="str">
        <f t="shared" si="105"/>
        <v>ΛΟΙΠΑ_ΣΙΤΗΡΑ</v>
      </c>
    </row>
    <row r="3282" spans="1:12" s="3" customFormat="1" ht="15" customHeight="1" x14ac:dyDescent="0.25">
      <c r="A3282" s="3" t="str">
        <f t="shared" si="104"/>
        <v>ΛΟΙΠΑ ΣΙΤΗΡΑΤΡΙΤΙΚΑΛΕ DUBLET</v>
      </c>
      <c r="B3282" s="23" t="s">
        <v>6025</v>
      </c>
      <c r="C3282" s="24" t="s">
        <v>5963</v>
      </c>
      <c r="D3282" s="6">
        <v>363.85</v>
      </c>
      <c r="E3282" s="6">
        <v>331.13</v>
      </c>
      <c r="F3282" s="7" t="s">
        <v>14</v>
      </c>
      <c r="G3282" s="30" t="s">
        <v>6234</v>
      </c>
      <c r="H3282" s="31" t="s">
        <v>577</v>
      </c>
      <c r="I3282" s="9">
        <v>6233</v>
      </c>
      <c r="J3282" s="30">
        <v>2</v>
      </c>
      <c r="K3282" s="30">
        <v>20143</v>
      </c>
      <c r="L3282" s="3" t="str">
        <f t="shared" si="105"/>
        <v>ΛΟΙΠΑ_ΣΙΤΗΡΑ</v>
      </c>
    </row>
    <row r="3283" spans="1:12" s="3" customFormat="1" ht="15" customHeight="1" x14ac:dyDescent="0.25">
      <c r="A3283" s="3" t="str">
        <f t="shared" si="104"/>
        <v>ΛΟΙΠΑ ΣΙΤΗΡΑΒΡΩΜΗ PIGASOS</v>
      </c>
      <c r="B3283" s="23" t="s">
        <v>6025</v>
      </c>
      <c r="C3283" s="24" t="s">
        <v>5965</v>
      </c>
      <c r="D3283" s="6">
        <v>222.49</v>
      </c>
      <c r="E3283" s="6">
        <v>273.27</v>
      </c>
      <c r="F3283" s="7" t="s">
        <v>14</v>
      </c>
      <c r="G3283" s="30" t="s">
        <v>6235</v>
      </c>
      <c r="H3283" s="31" t="s">
        <v>577</v>
      </c>
      <c r="I3283" s="9">
        <v>5962</v>
      </c>
      <c r="J3283" s="30">
        <v>2</v>
      </c>
      <c r="K3283" s="30">
        <v>20144</v>
      </c>
      <c r="L3283" s="3" t="str">
        <f t="shared" si="105"/>
        <v>ΛΟΙΠΑ_ΣΙΤΗΡΑ</v>
      </c>
    </row>
    <row r="3284" spans="1:12" s="3" customFormat="1" ht="15" customHeight="1" x14ac:dyDescent="0.25">
      <c r="A3284" s="3" t="str">
        <f t="shared" si="104"/>
        <v>ΛΟΙΠΑ ΣΙΤΗΡΑΒΡΩΜΗ FLEGA</v>
      </c>
      <c r="B3284" s="23" t="s">
        <v>6025</v>
      </c>
      <c r="C3284" s="24" t="s">
        <v>5967</v>
      </c>
      <c r="D3284" s="6">
        <v>222.49</v>
      </c>
      <c r="E3284" s="6">
        <v>273.27</v>
      </c>
      <c r="F3284" s="7" t="s">
        <v>14</v>
      </c>
      <c r="G3284" s="30" t="s">
        <v>6236</v>
      </c>
      <c r="H3284" s="31" t="s">
        <v>577</v>
      </c>
      <c r="I3284" s="9">
        <v>5960</v>
      </c>
      <c r="J3284" s="30">
        <v>2</v>
      </c>
      <c r="K3284" s="30">
        <v>20145</v>
      </c>
      <c r="L3284" s="3" t="str">
        <f t="shared" si="105"/>
        <v>ΛΟΙΠΑ_ΣΙΤΗΡΑ</v>
      </c>
    </row>
    <row r="3285" spans="1:12" s="3" customFormat="1" ht="15" customHeight="1" x14ac:dyDescent="0.25">
      <c r="A3285" s="3" t="str">
        <f t="shared" si="104"/>
        <v>ΛΟΙΠΑ ΣΙΤΗΡΑΣΙΚΑΛΗ DANKOWSKIE GRANAT</v>
      </c>
      <c r="B3285" s="23" t="s">
        <v>6025</v>
      </c>
      <c r="C3285" s="24" t="s">
        <v>5969</v>
      </c>
      <c r="D3285" s="6">
        <v>263.07</v>
      </c>
      <c r="E3285" s="6">
        <v>280.62</v>
      </c>
      <c r="F3285" s="7" t="s">
        <v>14</v>
      </c>
      <c r="G3285" s="30" t="s">
        <v>6237</v>
      </c>
      <c r="H3285" s="31" t="s">
        <v>577</v>
      </c>
      <c r="I3285" s="9">
        <v>6147</v>
      </c>
      <c r="J3285" s="30">
        <v>2</v>
      </c>
      <c r="K3285" s="30">
        <v>20146</v>
      </c>
      <c r="L3285" s="3" t="str">
        <f t="shared" si="105"/>
        <v>ΛΟΙΠΑ_ΣΙΤΗΡΑ</v>
      </c>
    </row>
    <row r="3286" spans="1:12" s="3" customFormat="1" ht="15" customHeight="1" x14ac:dyDescent="0.25">
      <c r="A3286" s="3" t="str">
        <f t="shared" si="104"/>
        <v>ΛΟΙΠΑ ΣΙΤΗΡΑΚΡΙΘΑΡΙ SEBASTIAN</v>
      </c>
      <c r="B3286" s="23" t="s">
        <v>6025</v>
      </c>
      <c r="C3286" s="24" t="s">
        <v>5977</v>
      </c>
      <c r="D3286" s="6">
        <v>466.58</v>
      </c>
      <c r="E3286" s="6">
        <v>366.77</v>
      </c>
      <c r="F3286" s="29" t="s">
        <v>14</v>
      </c>
      <c r="G3286" s="30" t="s">
        <v>6238</v>
      </c>
      <c r="H3286" s="31" t="s">
        <v>577</v>
      </c>
      <c r="I3286" s="9">
        <v>6047</v>
      </c>
      <c r="J3286" s="30">
        <v>2</v>
      </c>
      <c r="K3286" s="30">
        <v>20147</v>
      </c>
      <c r="L3286" s="3" t="str">
        <f t="shared" si="105"/>
        <v>ΛΟΙΠΑ_ΣΙΤΗΡΑ</v>
      </c>
    </row>
    <row r="3287" spans="1:12" s="3" customFormat="1" x14ac:dyDescent="0.25">
      <c r="A3287" s="3" t="str">
        <f t="shared" si="104"/>
        <v>ΛΟΙΠΑ ΣΙΤΗΡΑΣΙΤΟΣ ΜΑΛΑΚΟΣ GIUNONE</v>
      </c>
      <c r="B3287" s="23" t="s">
        <v>6025</v>
      </c>
      <c r="C3287" s="24" t="s">
        <v>5981</v>
      </c>
      <c r="D3287" s="6">
        <v>491.53</v>
      </c>
      <c r="E3287" s="6">
        <v>485.9</v>
      </c>
      <c r="F3287" s="7" t="s">
        <v>14</v>
      </c>
      <c r="G3287" s="30" t="s">
        <v>6239</v>
      </c>
      <c r="H3287" s="31" t="s">
        <v>577</v>
      </c>
      <c r="I3287" s="9">
        <v>6197</v>
      </c>
      <c r="J3287" s="30">
        <v>2</v>
      </c>
      <c r="K3287" s="30">
        <v>20148</v>
      </c>
      <c r="L3287" s="3" t="str">
        <f t="shared" si="105"/>
        <v>ΛΟΙΠΑ_ΣΙΤΗΡΑ</v>
      </c>
    </row>
    <row r="3288" spans="1:12" s="3" customFormat="1" x14ac:dyDescent="0.25">
      <c r="A3288" s="3" t="str">
        <f t="shared" si="104"/>
        <v>ΛΟΙΠΑ ΣΙΤΗΡΑΣΙΤΟΣ ΜΑΛΑΚΟΣ GEMMA</v>
      </c>
      <c r="B3288" s="23" t="s">
        <v>6025</v>
      </c>
      <c r="C3288" s="24" t="s">
        <v>5983</v>
      </c>
      <c r="D3288" s="6">
        <v>491.53</v>
      </c>
      <c r="E3288" s="6">
        <v>485.9</v>
      </c>
      <c r="F3288" s="7" t="s">
        <v>14</v>
      </c>
      <c r="G3288" s="30" t="s">
        <v>6240</v>
      </c>
      <c r="H3288" s="31" t="s">
        <v>577</v>
      </c>
      <c r="I3288" s="9">
        <v>6194</v>
      </c>
      <c r="J3288" s="30">
        <v>2</v>
      </c>
      <c r="K3288" s="30">
        <v>20149</v>
      </c>
      <c r="L3288" s="3" t="str">
        <f t="shared" si="105"/>
        <v>ΛΟΙΠΑ_ΣΙΤΗΡΑ</v>
      </c>
    </row>
    <row r="3289" spans="1:12" s="3" customFormat="1" x14ac:dyDescent="0.25">
      <c r="A3289" s="3" t="str">
        <f t="shared" si="104"/>
        <v>ΛΟΙΠΑ ΣΙΤΗΡΑΣΙΤΟΣ ΜΑΛΑΚΟΣ ALHAMBRA</v>
      </c>
      <c r="B3289" s="23" t="s">
        <v>6025</v>
      </c>
      <c r="C3289" s="24" t="s">
        <v>5985</v>
      </c>
      <c r="D3289" s="6">
        <v>491.53</v>
      </c>
      <c r="E3289" s="6">
        <v>485.9</v>
      </c>
      <c r="F3289" s="7" t="s">
        <v>14</v>
      </c>
      <c r="G3289" s="30" t="s">
        <v>6241</v>
      </c>
      <c r="H3289" s="31" t="s">
        <v>577</v>
      </c>
      <c r="I3289" s="9">
        <v>6159</v>
      </c>
      <c r="J3289" s="30">
        <v>2</v>
      </c>
      <c r="K3289" s="30">
        <v>20150</v>
      </c>
      <c r="L3289" s="3" t="str">
        <f t="shared" si="105"/>
        <v>ΛΟΙΠΑ_ΣΙΤΗΡΑ</v>
      </c>
    </row>
    <row r="3290" spans="1:12" s="3" customFormat="1" x14ac:dyDescent="0.25">
      <c r="A3290" s="3" t="str">
        <f t="shared" si="104"/>
        <v>ΛΟΙΠΑ ΣΙΤΗΡΑΚΡΙΘΑΡΙ TRAVELER</v>
      </c>
      <c r="B3290" s="23" t="s">
        <v>6025</v>
      </c>
      <c r="C3290" s="24" t="s">
        <v>5987</v>
      </c>
      <c r="D3290" s="6">
        <v>466.58</v>
      </c>
      <c r="E3290" s="6">
        <v>366.77</v>
      </c>
      <c r="F3290" s="29" t="s">
        <v>14</v>
      </c>
      <c r="G3290" s="30" t="s">
        <v>6242</v>
      </c>
      <c r="H3290" s="31" t="s">
        <v>577</v>
      </c>
      <c r="I3290" s="9">
        <v>6054</v>
      </c>
      <c r="J3290" s="30">
        <v>2</v>
      </c>
      <c r="K3290" s="30">
        <v>20151</v>
      </c>
      <c r="L3290" s="3" t="str">
        <f t="shared" si="105"/>
        <v>ΛΟΙΠΑ_ΣΙΤΗΡΑ</v>
      </c>
    </row>
    <row r="3291" spans="1:12" s="3" customFormat="1" ht="24" x14ac:dyDescent="0.25">
      <c r="A3291" s="3" t="str">
        <f t="shared" si="104"/>
        <v>ΛΟΙΠΑ ΣΙΤΗΡΑΚΕΧΡΙ ΔΙΑΦΟΡΕΣ</v>
      </c>
      <c r="B3291" s="4" t="s">
        <v>6025</v>
      </c>
      <c r="C3291" s="5" t="s">
        <v>5256</v>
      </c>
      <c r="D3291" s="6">
        <v>363.85</v>
      </c>
      <c r="E3291" s="6">
        <v>331.13</v>
      </c>
      <c r="F3291" s="7" t="s">
        <v>14</v>
      </c>
      <c r="G3291" s="8" t="s">
        <v>6243</v>
      </c>
      <c r="H3291" s="8" t="s">
        <v>16</v>
      </c>
      <c r="I3291" s="9">
        <v>1372</v>
      </c>
      <c r="J3291" s="10">
        <v>2</v>
      </c>
      <c r="K3291" s="10">
        <v>3000</v>
      </c>
      <c r="L3291" s="3" t="str">
        <f t="shared" si="105"/>
        <v>ΛΟΙΠΑ_ΣΙΤΗΡΑ</v>
      </c>
    </row>
    <row r="3292" spans="1:12" s="3" customFormat="1" ht="24" x14ac:dyDescent="0.25">
      <c r="A3292" s="3" t="str">
        <f t="shared" si="104"/>
        <v>ΛΟΙΠΑ ΣΙΤΗΡΑΚΕΧΡΙ ΔΙΑΦΟΡΕΣ</v>
      </c>
      <c r="B3292" s="4" t="s">
        <v>6025</v>
      </c>
      <c r="C3292" s="5" t="s">
        <v>5256</v>
      </c>
      <c r="D3292" s="6">
        <v>363.85</v>
      </c>
      <c r="E3292" s="6">
        <v>331.13</v>
      </c>
      <c r="F3292" s="7" t="s">
        <v>14</v>
      </c>
      <c r="G3292" s="8" t="s">
        <v>6244</v>
      </c>
      <c r="H3292" s="8" t="s">
        <v>16</v>
      </c>
      <c r="I3292" s="9">
        <v>1374</v>
      </c>
      <c r="J3292" s="10">
        <v>2</v>
      </c>
      <c r="K3292" s="10">
        <v>3099</v>
      </c>
      <c r="L3292" s="3" t="str">
        <f t="shared" si="105"/>
        <v>ΛΟΙΠΑ_ΣΙΤΗΡΑ</v>
      </c>
    </row>
    <row r="3293" spans="1:12" s="3" customFormat="1" ht="24" x14ac:dyDescent="0.25">
      <c r="A3293" s="3" t="str">
        <f t="shared" si="104"/>
        <v>ΛΟΙΠΑ ΣΙΤΗΡΑΦΑΓΟΠΥΡΟ ΔΙΑΦΟΡΕΣ</v>
      </c>
      <c r="B3293" s="4" t="s">
        <v>6025</v>
      </c>
      <c r="C3293" s="5" t="s">
        <v>5259</v>
      </c>
      <c r="D3293" s="6">
        <v>363.85</v>
      </c>
      <c r="E3293" s="6">
        <v>331.13</v>
      </c>
      <c r="F3293" s="7" t="s">
        <v>14</v>
      </c>
      <c r="G3293" s="8" t="s">
        <v>6245</v>
      </c>
      <c r="H3293" s="8" t="s">
        <v>16</v>
      </c>
      <c r="I3293" s="9">
        <v>1357</v>
      </c>
      <c r="J3293" s="10">
        <v>2</v>
      </c>
      <c r="K3293" s="10">
        <v>4000</v>
      </c>
      <c r="L3293" s="3" t="str">
        <f t="shared" si="105"/>
        <v>ΛΟΙΠΑ_ΣΙΤΗΡΑ</v>
      </c>
    </row>
    <row r="3294" spans="1:12" s="3" customFormat="1" ht="24" x14ac:dyDescent="0.25">
      <c r="A3294" s="3" t="str">
        <f t="shared" si="104"/>
        <v>ΛΟΙΠΑ ΣΙΤΗΡΑΦΑΓΟΠΥΡΟ/ΜΑΥΡΟΣΙΤΑΡΟ</v>
      </c>
      <c r="B3294" s="4" t="s">
        <v>6025</v>
      </c>
      <c r="C3294" s="5" t="s">
        <v>5261</v>
      </c>
      <c r="D3294" s="6">
        <v>363.85</v>
      </c>
      <c r="E3294" s="6">
        <v>331.13</v>
      </c>
      <c r="F3294" s="7" t="s">
        <v>14</v>
      </c>
      <c r="G3294" s="8" t="s">
        <v>6246</v>
      </c>
      <c r="H3294" s="8" t="s">
        <v>16</v>
      </c>
      <c r="I3294" s="9">
        <v>1379</v>
      </c>
      <c r="J3294" s="10">
        <v>2</v>
      </c>
      <c r="K3294" s="10">
        <v>4099</v>
      </c>
      <c r="L3294" s="3" t="str">
        <f t="shared" si="105"/>
        <v>ΛΟΙΠΑ_ΣΙΤΗΡΑ</v>
      </c>
    </row>
    <row r="3295" spans="1:12" s="3" customFormat="1" ht="24" x14ac:dyDescent="0.25">
      <c r="A3295" s="3" t="str">
        <f t="shared" si="104"/>
        <v>ΛΟΙΠΑ ΣΙΤΗΡΑΒΡΩΜΗ ΔΙΑΦΟΡΑ</v>
      </c>
      <c r="B3295" s="4" t="s">
        <v>6025</v>
      </c>
      <c r="C3295" s="5" t="s">
        <v>5280</v>
      </c>
      <c r="D3295" s="6">
        <v>222.49</v>
      </c>
      <c r="E3295" s="6">
        <v>273.27</v>
      </c>
      <c r="F3295" s="7" t="s">
        <v>14</v>
      </c>
      <c r="G3295" s="8" t="s">
        <v>6247</v>
      </c>
      <c r="H3295" s="8" t="s">
        <v>16</v>
      </c>
      <c r="I3295" s="9">
        <v>1376</v>
      </c>
      <c r="J3295" s="10">
        <v>2</v>
      </c>
      <c r="K3295" s="10">
        <v>6800</v>
      </c>
      <c r="L3295" s="3" t="str">
        <f t="shared" si="105"/>
        <v>ΛΟΙΠΑ_ΣΙΤΗΡΑ</v>
      </c>
    </row>
    <row r="3296" spans="1:12" s="3" customFormat="1" ht="24" x14ac:dyDescent="0.25">
      <c r="A3296" s="3" t="str">
        <f t="shared" si="104"/>
        <v>ΛΟΙΠΑ ΣΙΤΗΡΑΒΡΩΜΗ ΒΕΡΜΙΟ</v>
      </c>
      <c r="B3296" s="4" t="s">
        <v>6025</v>
      </c>
      <c r="C3296" s="5" t="s">
        <v>5282</v>
      </c>
      <c r="D3296" s="6">
        <v>222.49</v>
      </c>
      <c r="E3296" s="6">
        <v>273.27</v>
      </c>
      <c r="F3296" s="7" t="s">
        <v>14</v>
      </c>
      <c r="G3296" s="8" t="s">
        <v>6248</v>
      </c>
      <c r="H3296" s="8" t="s">
        <v>16</v>
      </c>
      <c r="I3296" s="9">
        <v>1328</v>
      </c>
      <c r="J3296" s="10">
        <v>2</v>
      </c>
      <c r="K3296" s="10">
        <v>6801</v>
      </c>
      <c r="L3296" s="3" t="str">
        <f t="shared" si="105"/>
        <v>ΛΟΙΠΑ_ΣΙΤΗΡΑ</v>
      </c>
    </row>
    <row r="3297" spans="1:12" s="3" customFormat="1" ht="24" x14ac:dyDescent="0.25">
      <c r="A3297" s="3" t="str">
        <f t="shared" si="104"/>
        <v>ΛΟΙΠΑ ΣΙΤΗΡΑΒΡΩΜΗ ΚΑΣΑΝΔΡΑ</v>
      </c>
      <c r="B3297" s="4" t="s">
        <v>6025</v>
      </c>
      <c r="C3297" s="5" t="s">
        <v>5284</v>
      </c>
      <c r="D3297" s="6">
        <v>222.49</v>
      </c>
      <c r="E3297" s="6">
        <v>273.27</v>
      </c>
      <c r="F3297" s="7" t="s">
        <v>14</v>
      </c>
      <c r="G3297" s="8" t="s">
        <v>6249</v>
      </c>
      <c r="H3297" s="8" t="s">
        <v>16</v>
      </c>
      <c r="I3297" s="9">
        <v>1375</v>
      </c>
      <c r="J3297" s="10">
        <v>2</v>
      </c>
      <c r="K3297" s="10">
        <v>6802</v>
      </c>
      <c r="L3297" s="3" t="str">
        <f t="shared" si="105"/>
        <v>ΛΟΙΠΑ_ΣΙΤΗΡΑ</v>
      </c>
    </row>
    <row r="3298" spans="1:12" s="3" customFormat="1" ht="24" x14ac:dyDescent="0.25">
      <c r="A3298" s="3" t="str">
        <f t="shared" si="104"/>
        <v>ΛΟΙΠΑ ΣΙΤΗΡΑΚΡΙΘΑΡΙ ΔΙΑΦΟΡΑ</v>
      </c>
      <c r="B3298" s="4" t="s">
        <v>6025</v>
      </c>
      <c r="C3298" s="5" t="s">
        <v>5286</v>
      </c>
      <c r="D3298" s="6">
        <v>466.58</v>
      </c>
      <c r="E3298" s="6">
        <v>366.77</v>
      </c>
      <c r="F3298" s="7" t="s">
        <v>14</v>
      </c>
      <c r="G3298" s="8" t="s">
        <v>6250</v>
      </c>
      <c r="H3298" s="8" t="s">
        <v>16</v>
      </c>
      <c r="I3298" s="9">
        <v>1355</v>
      </c>
      <c r="J3298" s="10">
        <v>2</v>
      </c>
      <c r="K3298" s="10">
        <v>6900</v>
      </c>
      <c r="L3298" s="3" t="str">
        <f t="shared" si="105"/>
        <v>ΛΟΙΠΑ_ΣΙΤΗΡΑ</v>
      </c>
    </row>
    <row r="3299" spans="1:12" s="3" customFormat="1" ht="24" x14ac:dyDescent="0.25">
      <c r="A3299" s="3" t="str">
        <f t="shared" si="104"/>
        <v>ΛΟΙΠΑ ΣΙΤΗΡΑΚΡΙΘΑΡΙ AURA</v>
      </c>
      <c r="B3299" s="4" t="s">
        <v>6025</v>
      </c>
      <c r="C3299" s="5" t="s">
        <v>5288</v>
      </c>
      <c r="D3299" s="6">
        <v>466.58</v>
      </c>
      <c r="E3299" s="6">
        <v>366.77</v>
      </c>
      <c r="F3299" s="7" t="s">
        <v>14</v>
      </c>
      <c r="G3299" s="8" t="s">
        <v>6251</v>
      </c>
      <c r="H3299" s="8" t="s">
        <v>16</v>
      </c>
      <c r="I3299" s="9">
        <v>1442</v>
      </c>
      <c r="J3299" s="10">
        <v>2</v>
      </c>
      <c r="K3299" s="10">
        <v>6901</v>
      </c>
      <c r="L3299" s="3" t="str">
        <f t="shared" si="105"/>
        <v>ΛΟΙΠΑ_ΣΙΤΗΡΑ</v>
      </c>
    </row>
    <row r="3300" spans="1:12" s="3" customFormat="1" ht="24" x14ac:dyDescent="0.25">
      <c r="A3300" s="3" t="str">
        <f t="shared" si="104"/>
        <v>ΛΟΙΠΑ ΣΙΤΗΡΑΚΡΙΘΑΡΙ BANDULLA</v>
      </c>
      <c r="B3300" s="4" t="s">
        <v>6025</v>
      </c>
      <c r="C3300" s="5" t="s">
        <v>5290</v>
      </c>
      <c r="D3300" s="6">
        <v>466.58</v>
      </c>
      <c r="E3300" s="6">
        <v>366.77</v>
      </c>
      <c r="F3300" s="7" t="s">
        <v>14</v>
      </c>
      <c r="G3300" s="8" t="s">
        <v>6252</v>
      </c>
      <c r="H3300" s="8" t="s">
        <v>16</v>
      </c>
      <c r="I3300" s="9">
        <v>1373</v>
      </c>
      <c r="J3300" s="10">
        <v>2</v>
      </c>
      <c r="K3300" s="10">
        <v>6902</v>
      </c>
      <c r="L3300" s="3" t="str">
        <f t="shared" si="105"/>
        <v>ΛΟΙΠΑ_ΣΙΤΗΡΑ</v>
      </c>
    </row>
    <row r="3301" spans="1:12" s="3" customFormat="1" ht="24" x14ac:dyDescent="0.25">
      <c r="A3301" s="3" t="str">
        <f t="shared" si="104"/>
        <v>ΛΟΙΠΑ ΣΙΤΗΡΑΚΡΙΘΑΡΙ CARINA</v>
      </c>
      <c r="B3301" s="4" t="s">
        <v>6025</v>
      </c>
      <c r="C3301" s="5" t="s">
        <v>5292</v>
      </c>
      <c r="D3301" s="6">
        <v>466.58</v>
      </c>
      <c r="E3301" s="6">
        <v>366.77</v>
      </c>
      <c r="F3301" s="7" t="s">
        <v>14</v>
      </c>
      <c r="G3301" s="8" t="s">
        <v>6253</v>
      </c>
      <c r="H3301" s="8" t="s">
        <v>16</v>
      </c>
      <c r="I3301" s="9">
        <v>1381</v>
      </c>
      <c r="J3301" s="10">
        <v>2</v>
      </c>
      <c r="K3301" s="10">
        <v>6903</v>
      </c>
      <c r="L3301" s="3" t="str">
        <f t="shared" si="105"/>
        <v>ΛΟΙΠΑ_ΣΙΤΗΡΑ</v>
      </c>
    </row>
    <row r="3302" spans="1:12" s="3" customFormat="1" ht="24" x14ac:dyDescent="0.25">
      <c r="A3302" s="3" t="str">
        <f t="shared" si="104"/>
        <v>ΛΟΙΠΑ ΣΙΤΗΡΑΚΡΙΘΑΡΙ CERISE</v>
      </c>
      <c r="B3302" s="4" t="s">
        <v>6025</v>
      </c>
      <c r="C3302" s="5" t="s">
        <v>5294</v>
      </c>
      <c r="D3302" s="6">
        <v>466.58</v>
      </c>
      <c r="E3302" s="6">
        <v>366.77</v>
      </c>
      <c r="F3302" s="7" t="s">
        <v>14</v>
      </c>
      <c r="G3302" s="8" t="s">
        <v>6254</v>
      </c>
      <c r="H3302" s="8" t="s">
        <v>16</v>
      </c>
      <c r="I3302" s="9">
        <v>1371</v>
      </c>
      <c r="J3302" s="10">
        <v>2</v>
      </c>
      <c r="K3302" s="10">
        <v>6904</v>
      </c>
      <c r="L3302" s="3" t="str">
        <f t="shared" si="105"/>
        <v>ΛΟΙΠΑ_ΣΙΤΗΡΑ</v>
      </c>
    </row>
    <row r="3303" spans="1:12" s="3" customFormat="1" ht="24" x14ac:dyDescent="0.25">
      <c r="A3303" s="3" t="str">
        <f t="shared" si="104"/>
        <v>ΛΟΙΠΑ ΣΙΤΗΡΑΚΡΙΘΑΡΙ CORNEL</v>
      </c>
      <c r="B3303" s="4" t="s">
        <v>6025</v>
      </c>
      <c r="C3303" s="5" t="s">
        <v>5296</v>
      </c>
      <c r="D3303" s="6">
        <v>466.58</v>
      </c>
      <c r="E3303" s="6">
        <v>366.77</v>
      </c>
      <c r="F3303" s="7" t="s">
        <v>14</v>
      </c>
      <c r="G3303" s="8" t="s">
        <v>6255</v>
      </c>
      <c r="H3303" s="8" t="s">
        <v>16</v>
      </c>
      <c r="I3303" s="9">
        <v>1370</v>
      </c>
      <c r="J3303" s="10">
        <v>2</v>
      </c>
      <c r="K3303" s="10">
        <v>6905</v>
      </c>
      <c r="L3303" s="3" t="str">
        <f t="shared" si="105"/>
        <v>ΛΟΙΠΑ_ΣΙΤΗΡΑ</v>
      </c>
    </row>
    <row r="3304" spans="1:12" s="3" customFormat="1" ht="24" x14ac:dyDescent="0.25">
      <c r="A3304" s="3" t="str">
        <f t="shared" si="104"/>
        <v>ΛΟΙΠΑ ΣΙΤΗΡΑΚΡΙΘΑΡΙ ΓΡΑΜΜΟΣ</v>
      </c>
      <c r="B3304" s="4" t="s">
        <v>6025</v>
      </c>
      <c r="C3304" s="5" t="s">
        <v>5298</v>
      </c>
      <c r="D3304" s="6">
        <v>466.58</v>
      </c>
      <c r="E3304" s="6">
        <v>366.77</v>
      </c>
      <c r="F3304" s="7" t="s">
        <v>14</v>
      </c>
      <c r="G3304" s="8" t="s">
        <v>6256</v>
      </c>
      <c r="H3304" s="8" t="s">
        <v>16</v>
      </c>
      <c r="I3304" s="9">
        <v>1369</v>
      </c>
      <c r="J3304" s="10">
        <v>2</v>
      </c>
      <c r="K3304" s="10">
        <v>6906</v>
      </c>
      <c r="L3304" s="3" t="str">
        <f t="shared" si="105"/>
        <v>ΛΟΙΠΑ_ΣΙΤΗΡΑ</v>
      </c>
    </row>
    <row r="3305" spans="1:12" s="3" customFormat="1" ht="15" customHeight="1" x14ac:dyDescent="0.25">
      <c r="A3305" s="3" t="str">
        <f t="shared" si="104"/>
        <v>ΛΟΙΠΑ ΣΙΤΗΡΑΚΡΙΘΑΡΙ DELTA</v>
      </c>
      <c r="B3305" s="4" t="s">
        <v>6025</v>
      </c>
      <c r="C3305" s="5" t="s">
        <v>5300</v>
      </c>
      <c r="D3305" s="6">
        <v>466.58</v>
      </c>
      <c r="E3305" s="6">
        <v>366.77</v>
      </c>
      <c r="F3305" s="7" t="s">
        <v>14</v>
      </c>
      <c r="G3305" s="8" t="s">
        <v>6257</v>
      </c>
      <c r="H3305" s="8" t="s">
        <v>16</v>
      </c>
      <c r="I3305" s="9">
        <v>1368</v>
      </c>
      <c r="J3305" s="10">
        <v>2</v>
      </c>
      <c r="K3305" s="10">
        <v>6907</v>
      </c>
      <c r="L3305" s="3" t="str">
        <f t="shared" si="105"/>
        <v>ΛΟΙΠΑ_ΣΙΤΗΡΑ</v>
      </c>
    </row>
    <row r="3306" spans="1:12" s="3" customFormat="1" ht="24" x14ac:dyDescent="0.25">
      <c r="A3306" s="3" t="str">
        <f t="shared" si="104"/>
        <v>ΛΟΙΠΑ ΣΙΤΗΡΑΚΡΙΘΑΡΙ GEORGE</v>
      </c>
      <c r="B3306" s="4" t="s">
        <v>6025</v>
      </c>
      <c r="C3306" s="5" t="s">
        <v>5302</v>
      </c>
      <c r="D3306" s="6">
        <v>466.58</v>
      </c>
      <c r="E3306" s="6">
        <v>366.77</v>
      </c>
      <c r="F3306" s="7" t="s">
        <v>14</v>
      </c>
      <c r="G3306" s="8" t="s">
        <v>6258</v>
      </c>
      <c r="H3306" s="8" t="s">
        <v>16</v>
      </c>
      <c r="I3306" s="9">
        <v>1367</v>
      </c>
      <c r="J3306" s="10">
        <v>2</v>
      </c>
      <c r="K3306" s="10">
        <v>6908</v>
      </c>
      <c r="L3306" s="3" t="str">
        <f t="shared" si="105"/>
        <v>ΛΟΙΠΑ_ΣΙΤΗΡΑ</v>
      </c>
    </row>
    <row r="3307" spans="1:12" s="3" customFormat="1" ht="24" x14ac:dyDescent="0.25">
      <c r="A3307" s="3" t="str">
        <f t="shared" si="104"/>
        <v>ΛΟΙΠΑ ΣΙΤΗΡΑΚΡΙΘΑΡΙ GRIT</v>
      </c>
      <c r="B3307" s="4" t="s">
        <v>6025</v>
      </c>
      <c r="C3307" s="5" t="s">
        <v>5304</v>
      </c>
      <c r="D3307" s="6">
        <v>466.58</v>
      </c>
      <c r="E3307" s="6">
        <v>366.77</v>
      </c>
      <c r="F3307" s="7" t="s">
        <v>14</v>
      </c>
      <c r="G3307" s="8" t="s">
        <v>6259</v>
      </c>
      <c r="H3307" s="8" t="s">
        <v>16</v>
      </c>
      <c r="I3307" s="9">
        <v>1366</v>
      </c>
      <c r="J3307" s="10">
        <v>2</v>
      </c>
      <c r="K3307" s="10">
        <v>6909</v>
      </c>
      <c r="L3307" s="3" t="str">
        <f t="shared" si="105"/>
        <v>ΛΟΙΠΑ_ΣΙΤΗΡΑ</v>
      </c>
    </row>
    <row r="3308" spans="1:12" s="3" customFormat="1" ht="24" x14ac:dyDescent="0.25">
      <c r="A3308" s="3" t="str">
        <f t="shared" si="104"/>
        <v>ΛΟΙΠΑ ΣΙΤΗΡΑΚΡΙΘΑΡΙ HARRY</v>
      </c>
      <c r="B3308" s="4" t="s">
        <v>6025</v>
      </c>
      <c r="C3308" s="5" t="s">
        <v>5306</v>
      </c>
      <c r="D3308" s="6">
        <v>466.58</v>
      </c>
      <c r="E3308" s="6">
        <v>366.77</v>
      </c>
      <c r="F3308" s="7" t="s">
        <v>14</v>
      </c>
      <c r="G3308" s="8" t="s">
        <v>6260</v>
      </c>
      <c r="H3308" s="8" t="s">
        <v>16</v>
      </c>
      <c r="I3308" s="9">
        <v>1380</v>
      </c>
      <c r="J3308" s="10">
        <v>2</v>
      </c>
      <c r="K3308" s="10">
        <v>6910</v>
      </c>
      <c r="L3308" s="3" t="str">
        <f t="shared" si="105"/>
        <v>ΛΟΙΠΑ_ΣΙΤΗΡΑ</v>
      </c>
    </row>
    <row r="3309" spans="1:12" s="3" customFormat="1" ht="24" x14ac:dyDescent="0.25">
      <c r="A3309" s="3" t="str">
        <f t="shared" si="104"/>
        <v>ΛΟΙΠΑ ΣΙΤΗΡΑΚΡΙΘΑΡΙ HELENA</v>
      </c>
      <c r="B3309" s="4" t="s">
        <v>6025</v>
      </c>
      <c r="C3309" s="5" t="s">
        <v>5308</v>
      </c>
      <c r="D3309" s="6">
        <v>466.58</v>
      </c>
      <c r="E3309" s="6">
        <v>366.77</v>
      </c>
      <c r="F3309" s="7" t="s">
        <v>14</v>
      </c>
      <c r="G3309" s="8" t="s">
        <v>6261</v>
      </c>
      <c r="H3309" s="8" t="s">
        <v>16</v>
      </c>
      <c r="I3309" s="9">
        <v>1341</v>
      </c>
      <c r="J3309" s="10">
        <v>2</v>
      </c>
      <c r="K3309" s="10">
        <v>6911</v>
      </c>
      <c r="L3309" s="3" t="str">
        <f t="shared" si="105"/>
        <v>ΛΟΙΠΑ_ΣΙΤΗΡΑ</v>
      </c>
    </row>
    <row r="3310" spans="1:12" s="3" customFormat="1" ht="24" x14ac:dyDescent="0.25">
      <c r="A3310" s="3" t="str">
        <f t="shared" si="104"/>
        <v>ΛΟΙΠΑ ΣΙΤΗΡΑΚΡΙΘΑΡΙ IDA</v>
      </c>
      <c r="B3310" s="4" t="s">
        <v>6025</v>
      </c>
      <c r="C3310" s="5" t="s">
        <v>5310</v>
      </c>
      <c r="D3310" s="6">
        <v>466.58</v>
      </c>
      <c r="E3310" s="6">
        <v>366.77</v>
      </c>
      <c r="F3310" s="7" t="s">
        <v>14</v>
      </c>
      <c r="G3310" s="8" t="s">
        <v>6262</v>
      </c>
      <c r="H3310" s="8" t="s">
        <v>16</v>
      </c>
      <c r="I3310" s="9">
        <v>1326</v>
      </c>
      <c r="J3310" s="10">
        <v>2</v>
      </c>
      <c r="K3310" s="10">
        <v>6912</v>
      </c>
      <c r="L3310" s="3" t="str">
        <f t="shared" si="105"/>
        <v>ΛΟΙΠΑ_ΣΙΤΗΡΑ</v>
      </c>
    </row>
    <row r="3311" spans="1:12" s="3" customFormat="1" ht="24" x14ac:dyDescent="0.25">
      <c r="A3311" s="3" t="str">
        <f t="shared" si="104"/>
        <v>ΛΟΙΠΑ ΣΙΤΗΡΑΚΡΙΘΑΡΙ IGRI</v>
      </c>
      <c r="B3311" s="4" t="s">
        <v>6025</v>
      </c>
      <c r="C3311" s="5" t="s">
        <v>5312</v>
      </c>
      <c r="D3311" s="6">
        <v>466.58</v>
      </c>
      <c r="E3311" s="6">
        <v>366.77</v>
      </c>
      <c r="F3311" s="7" t="s">
        <v>14</v>
      </c>
      <c r="G3311" s="8" t="s">
        <v>6263</v>
      </c>
      <c r="H3311" s="8" t="s">
        <v>16</v>
      </c>
      <c r="I3311" s="9">
        <v>1325</v>
      </c>
      <c r="J3311" s="10">
        <v>2</v>
      </c>
      <c r="K3311" s="10">
        <v>6913</v>
      </c>
      <c r="L3311" s="3" t="str">
        <f t="shared" si="105"/>
        <v>ΛΟΙΠΑ_ΣΙΤΗΡΑ</v>
      </c>
    </row>
    <row r="3312" spans="1:12" s="3" customFormat="1" ht="24" x14ac:dyDescent="0.25">
      <c r="A3312" s="3" t="str">
        <f t="shared" si="104"/>
        <v>ΛΟΙΠΑ ΣΙΤΗΡΑΚΡΙΘΑΡΙ IRANIA</v>
      </c>
      <c r="B3312" s="4" t="s">
        <v>6025</v>
      </c>
      <c r="C3312" s="5" t="s">
        <v>5314</v>
      </c>
      <c r="D3312" s="6">
        <v>466.58</v>
      </c>
      <c r="E3312" s="6">
        <v>366.77</v>
      </c>
      <c r="F3312" s="7" t="s">
        <v>14</v>
      </c>
      <c r="G3312" s="8" t="s">
        <v>6264</v>
      </c>
      <c r="H3312" s="8" t="s">
        <v>16</v>
      </c>
      <c r="I3312" s="9">
        <v>1324</v>
      </c>
      <c r="J3312" s="10">
        <v>2</v>
      </c>
      <c r="K3312" s="10">
        <v>6914</v>
      </c>
      <c r="L3312" s="3" t="str">
        <f t="shared" si="105"/>
        <v>ΛΟΙΠΑ_ΣΙΤΗΡΑ</v>
      </c>
    </row>
    <row r="3313" spans="1:12" s="3" customFormat="1" ht="24" x14ac:dyDescent="0.25">
      <c r="A3313" s="3" t="str">
        <f t="shared" si="104"/>
        <v>ΛΟΙΠΑ ΣΙΤΗΡΑΚΡΙΘΑΡΙ IRLA</v>
      </c>
      <c r="B3313" s="4" t="s">
        <v>6025</v>
      </c>
      <c r="C3313" s="5" t="s">
        <v>5316</v>
      </c>
      <c r="D3313" s="6">
        <v>466.58</v>
      </c>
      <c r="E3313" s="6">
        <v>366.77</v>
      </c>
      <c r="F3313" s="7" t="s">
        <v>14</v>
      </c>
      <c r="G3313" s="8" t="s">
        <v>6265</v>
      </c>
      <c r="H3313" s="8" t="s">
        <v>16</v>
      </c>
      <c r="I3313" s="9">
        <v>1322</v>
      </c>
      <c r="J3313" s="10">
        <v>2</v>
      </c>
      <c r="K3313" s="10">
        <v>6915</v>
      </c>
      <c r="L3313" s="3" t="str">
        <f t="shared" si="105"/>
        <v>ΛΟΙΠΑ_ΣΙΤΗΡΑ</v>
      </c>
    </row>
    <row r="3314" spans="1:12" s="3" customFormat="1" ht="24" x14ac:dyDescent="0.25">
      <c r="A3314" s="3" t="str">
        <f t="shared" si="104"/>
        <v>ΛΟΙΠΑ ΣΙΤΗΡΑΚΡΙΘΑΡΙ ΚΑΔΜΟΣ</v>
      </c>
      <c r="B3314" s="4" t="s">
        <v>6025</v>
      </c>
      <c r="C3314" s="5" t="s">
        <v>5318</v>
      </c>
      <c r="D3314" s="6">
        <v>466.58</v>
      </c>
      <c r="E3314" s="6">
        <v>366.77</v>
      </c>
      <c r="F3314" s="7" t="s">
        <v>14</v>
      </c>
      <c r="G3314" s="8" t="s">
        <v>6266</v>
      </c>
      <c r="H3314" s="8" t="s">
        <v>16</v>
      </c>
      <c r="I3314" s="9">
        <v>1327</v>
      </c>
      <c r="J3314" s="10">
        <v>2</v>
      </c>
      <c r="K3314" s="10">
        <v>6916</v>
      </c>
      <c r="L3314" s="3" t="str">
        <f t="shared" si="105"/>
        <v>ΛΟΙΠΑ_ΣΙΤΗΡΑ</v>
      </c>
    </row>
    <row r="3315" spans="1:12" s="3" customFormat="1" ht="24" x14ac:dyDescent="0.25">
      <c r="A3315" s="3" t="str">
        <f t="shared" si="104"/>
        <v>ΛΟΙΠΑ ΣΙΤΗΡΑΚΡΙΘΑΡΙ ΚΑΛΥΜΝΟΣ</v>
      </c>
      <c r="B3315" s="4" t="s">
        <v>6025</v>
      </c>
      <c r="C3315" s="5" t="s">
        <v>5320</v>
      </c>
      <c r="D3315" s="6">
        <v>466.58</v>
      </c>
      <c r="E3315" s="6">
        <v>366.77</v>
      </c>
      <c r="F3315" s="7" t="s">
        <v>14</v>
      </c>
      <c r="G3315" s="8" t="s">
        <v>6267</v>
      </c>
      <c r="H3315" s="8" t="s">
        <v>16</v>
      </c>
      <c r="I3315" s="9">
        <v>1321</v>
      </c>
      <c r="J3315" s="10">
        <v>2</v>
      </c>
      <c r="K3315" s="10">
        <v>6917</v>
      </c>
      <c r="L3315" s="3" t="str">
        <f t="shared" si="105"/>
        <v>ΛΟΙΠΑ_ΣΙΤΗΡΑ</v>
      </c>
    </row>
    <row r="3316" spans="1:12" s="3" customFormat="1" ht="24" x14ac:dyDescent="0.25">
      <c r="A3316" s="3" t="str">
        <f t="shared" si="104"/>
        <v>ΛΟΙΠΑ ΣΙΤΗΡΑΚΡΙΘΑΡΙ ΚΑΜΕΙΡΟΣ</v>
      </c>
      <c r="B3316" s="4" t="s">
        <v>6025</v>
      </c>
      <c r="C3316" s="5" t="s">
        <v>5322</v>
      </c>
      <c r="D3316" s="6">
        <v>466.58</v>
      </c>
      <c r="E3316" s="6">
        <v>366.77</v>
      </c>
      <c r="F3316" s="7" t="s">
        <v>14</v>
      </c>
      <c r="G3316" s="8" t="s">
        <v>6268</v>
      </c>
      <c r="H3316" s="8" t="s">
        <v>16</v>
      </c>
      <c r="I3316" s="9">
        <v>1320</v>
      </c>
      <c r="J3316" s="10">
        <v>2</v>
      </c>
      <c r="K3316" s="10">
        <v>6918</v>
      </c>
      <c r="L3316" s="3" t="str">
        <f t="shared" si="105"/>
        <v>ΛΟΙΠΑ_ΣΙΤΗΡΑ</v>
      </c>
    </row>
    <row r="3317" spans="1:12" s="3" customFormat="1" ht="15" customHeight="1" x14ac:dyDescent="0.25">
      <c r="A3317" s="3" t="str">
        <f t="shared" si="104"/>
        <v>ΛΟΙΠΑ ΣΙΤΗΡΑΚΡΙΘΑΡΙ ΚΑΡΠΑΘΟΣ</v>
      </c>
      <c r="B3317" s="4" t="s">
        <v>6025</v>
      </c>
      <c r="C3317" s="5" t="s">
        <v>5324</v>
      </c>
      <c r="D3317" s="6">
        <v>466.58</v>
      </c>
      <c r="E3317" s="6">
        <v>366.77</v>
      </c>
      <c r="F3317" s="7" t="s">
        <v>14</v>
      </c>
      <c r="G3317" s="8" t="s">
        <v>6269</v>
      </c>
      <c r="H3317" s="8" t="s">
        <v>16</v>
      </c>
      <c r="I3317" s="9">
        <v>1319</v>
      </c>
      <c r="J3317" s="10">
        <v>2</v>
      </c>
      <c r="K3317" s="10">
        <v>6919</v>
      </c>
      <c r="L3317" s="3" t="str">
        <f t="shared" si="105"/>
        <v>ΛΟΙΠΑ_ΣΙΤΗΡΑ</v>
      </c>
    </row>
    <row r="3318" spans="1:12" s="3" customFormat="1" ht="24" x14ac:dyDescent="0.25">
      <c r="A3318" s="3" t="str">
        <f t="shared" si="104"/>
        <v>ΛΟΙΠΑ ΣΙΤΗΡΑΚΡΙΘΑΡΙ ΚΑΣΣΟΣ</v>
      </c>
      <c r="B3318" s="4" t="s">
        <v>6025</v>
      </c>
      <c r="C3318" s="5" t="s">
        <v>5326</v>
      </c>
      <c r="D3318" s="6">
        <v>466.58</v>
      </c>
      <c r="E3318" s="6">
        <v>366.77</v>
      </c>
      <c r="F3318" s="7" t="s">
        <v>14</v>
      </c>
      <c r="G3318" s="8" t="s">
        <v>6270</v>
      </c>
      <c r="H3318" s="8" t="s">
        <v>16</v>
      </c>
      <c r="I3318" s="9">
        <v>1318</v>
      </c>
      <c r="J3318" s="10">
        <v>2</v>
      </c>
      <c r="K3318" s="10">
        <v>6920</v>
      </c>
      <c r="L3318" s="3" t="str">
        <f t="shared" si="105"/>
        <v>ΛΟΙΠΑ_ΣΙΤΗΡΑ</v>
      </c>
    </row>
    <row r="3319" spans="1:12" s="3" customFormat="1" ht="24" x14ac:dyDescent="0.25">
      <c r="A3319" s="3" t="str">
        <f t="shared" si="104"/>
        <v>ΛΟΙΠΑ ΣΙΤΗΡΑΚΡΙΘΑΡΙ KASKADE</v>
      </c>
      <c r="B3319" s="4" t="s">
        <v>6025</v>
      </c>
      <c r="C3319" s="5" t="s">
        <v>5328</v>
      </c>
      <c r="D3319" s="6">
        <v>466.58</v>
      </c>
      <c r="E3319" s="6">
        <v>366.77</v>
      </c>
      <c r="F3319" s="7" t="s">
        <v>14</v>
      </c>
      <c r="G3319" s="8" t="s">
        <v>6271</v>
      </c>
      <c r="H3319" s="8" t="s">
        <v>16</v>
      </c>
      <c r="I3319" s="9">
        <v>1317</v>
      </c>
      <c r="J3319" s="10">
        <v>2</v>
      </c>
      <c r="K3319" s="10">
        <v>6921</v>
      </c>
      <c r="L3319" s="3" t="str">
        <f t="shared" si="105"/>
        <v>ΛΟΙΠΑ_ΣΙΤΗΡΑ</v>
      </c>
    </row>
    <row r="3320" spans="1:12" s="3" customFormat="1" ht="24" x14ac:dyDescent="0.25">
      <c r="A3320" s="3" t="str">
        <f t="shared" si="104"/>
        <v>ΛΟΙΠΑ ΣΙΤΗΡΑΚΡΙΘΑΡΙ ΚΙΡΚΗ</v>
      </c>
      <c r="B3320" s="4" t="s">
        <v>6025</v>
      </c>
      <c r="C3320" s="5" t="s">
        <v>5330</v>
      </c>
      <c r="D3320" s="6">
        <v>466.58</v>
      </c>
      <c r="E3320" s="6">
        <v>366.77</v>
      </c>
      <c r="F3320" s="7" t="s">
        <v>14</v>
      </c>
      <c r="G3320" s="8" t="s">
        <v>6272</v>
      </c>
      <c r="H3320" s="8" t="s">
        <v>16</v>
      </c>
      <c r="I3320" s="9">
        <v>1316</v>
      </c>
      <c r="J3320" s="10">
        <v>2</v>
      </c>
      <c r="K3320" s="10">
        <v>6922</v>
      </c>
      <c r="L3320" s="3" t="str">
        <f t="shared" si="105"/>
        <v>ΛΟΙΠΑ_ΣΙΤΗΡΑ</v>
      </c>
    </row>
    <row r="3321" spans="1:12" s="3" customFormat="1" ht="24" x14ac:dyDescent="0.25">
      <c r="A3321" s="3" t="str">
        <f t="shared" si="104"/>
        <v>ΛΟΙΠΑ ΣΙΤΗΡΑΚΡΙΘΑΡΙ ΚΛΙΠΠΕΡ 71</v>
      </c>
      <c r="B3321" s="4" t="s">
        <v>6025</v>
      </c>
      <c r="C3321" s="5" t="s">
        <v>5332</v>
      </c>
      <c r="D3321" s="6">
        <v>466.58</v>
      </c>
      <c r="E3321" s="6">
        <v>366.77</v>
      </c>
      <c r="F3321" s="7" t="s">
        <v>14</v>
      </c>
      <c r="G3321" s="8" t="s">
        <v>6273</v>
      </c>
      <c r="H3321" s="8" t="s">
        <v>16</v>
      </c>
      <c r="I3321" s="9">
        <v>1339</v>
      </c>
      <c r="J3321" s="10">
        <v>2</v>
      </c>
      <c r="K3321" s="10">
        <v>6923</v>
      </c>
      <c r="L3321" s="3" t="str">
        <f t="shared" si="105"/>
        <v>ΛΟΙΠΑ_ΣΙΤΗΡΑ</v>
      </c>
    </row>
    <row r="3322" spans="1:12" s="3" customFormat="1" ht="24" x14ac:dyDescent="0.25">
      <c r="A3322" s="3" t="str">
        <f t="shared" si="104"/>
        <v>ΛΟΙΠΑ ΣΙΤΗΡΑΚΡΙΘΑΡΙ ΚΡΙΤΩΝ</v>
      </c>
      <c r="B3322" s="4" t="s">
        <v>6025</v>
      </c>
      <c r="C3322" s="5" t="s">
        <v>5334</v>
      </c>
      <c r="D3322" s="6">
        <v>466.58</v>
      </c>
      <c r="E3322" s="6">
        <v>366.77</v>
      </c>
      <c r="F3322" s="7" t="s">
        <v>14</v>
      </c>
      <c r="G3322" s="8" t="s">
        <v>6274</v>
      </c>
      <c r="H3322" s="8" t="s">
        <v>16</v>
      </c>
      <c r="I3322" s="9">
        <v>1347</v>
      </c>
      <c r="J3322" s="10">
        <v>2</v>
      </c>
      <c r="K3322" s="10">
        <v>6925</v>
      </c>
      <c r="L3322" s="3" t="str">
        <f t="shared" si="105"/>
        <v>ΛΟΙΠΑ_ΣΙΤΗΡΑ</v>
      </c>
    </row>
    <row r="3323" spans="1:12" s="3" customFormat="1" ht="24" x14ac:dyDescent="0.25">
      <c r="A3323" s="3" t="str">
        <f t="shared" si="104"/>
        <v>ΛΟΙΠΑ ΣΙΤΗΡΑΚΡΙΘΑΡΙ ΚΡΟΝΟΣ</v>
      </c>
      <c r="B3323" s="4" t="s">
        <v>6025</v>
      </c>
      <c r="C3323" s="5" t="s">
        <v>5336</v>
      </c>
      <c r="D3323" s="6">
        <v>466.58</v>
      </c>
      <c r="E3323" s="6">
        <v>366.77</v>
      </c>
      <c r="F3323" s="7" t="s">
        <v>14</v>
      </c>
      <c r="G3323" s="8" t="s">
        <v>6275</v>
      </c>
      <c r="H3323" s="8" t="s">
        <v>16</v>
      </c>
      <c r="I3323" s="9">
        <v>1346</v>
      </c>
      <c r="J3323" s="10">
        <v>2</v>
      </c>
      <c r="K3323" s="10">
        <v>6926</v>
      </c>
      <c r="L3323" s="3" t="str">
        <f t="shared" si="105"/>
        <v>ΛΟΙΠΑ_ΣΙΤΗΡΑ</v>
      </c>
    </row>
    <row r="3324" spans="1:12" s="3" customFormat="1" ht="24" x14ac:dyDescent="0.25">
      <c r="A3324" s="3" t="str">
        <f t="shared" si="104"/>
        <v>ΛΟΙΠΑ ΣΙΤΗΡΑΚΡΙΘΑΡΙ ΚΥΜ</v>
      </c>
      <c r="B3324" s="4" t="s">
        <v>6025</v>
      </c>
      <c r="C3324" s="5" t="s">
        <v>5338</v>
      </c>
      <c r="D3324" s="6">
        <v>466.58</v>
      </c>
      <c r="E3324" s="6">
        <v>366.77</v>
      </c>
      <c r="F3324" s="7" t="s">
        <v>14</v>
      </c>
      <c r="G3324" s="8" t="s">
        <v>6276</v>
      </c>
      <c r="H3324" s="8" t="s">
        <v>16</v>
      </c>
      <c r="I3324" s="9">
        <v>1345</v>
      </c>
      <c r="J3324" s="10">
        <v>2</v>
      </c>
      <c r="K3324" s="10">
        <v>6927</v>
      </c>
      <c r="L3324" s="3" t="str">
        <f t="shared" si="105"/>
        <v>ΛΟΙΠΑ_ΣΙΤΗΡΑ</v>
      </c>
    </row>
    <row r="3325" spans="1:12" s="3" customFormat="1" ht="24" x14ac:dyDescent="0.25">
      <c r="A3325" s="3" t="str">
        <f t="shared" si="104"/>
        <v>ΛΟΙΠΑ ΣΙΤΗΡΑΚΡΙΘΑΡΙ MENUET</v>
      </c>
      <c r="B3325" s="4" t="s">
        <v>6025</v>
      </c>
      <c r="C3325" s="5" t="s">
        <v>5340</v>
      </c>
      <c r="D3325" s="6">
        <v>466.58</v>
      </c>
      <c r="E3325" s="6">
        <v>366.77</v>
      </c>
      <c r="F3325" s="7" t="s">
        <v>14</v>
      </c>
      <c r="G3325" s="8" t="s">
        <v>6277</v>
      </c>
      <c r="H3325" s="8" t="s">
        <v>16</v>
      </c>
      <c r="I3325" s="9">
        <v>1344</v>
      </c>
      <c r="J3325" s="10">
        <v>2</v>
      </c>
      <c r="K3325" s="10">
        <v>6928</v>
      </c>
      <c r="L3325" s="3" t="str">
        <f t="shared" si="105"/>
        <v>ΛΟΙΠΑ_ΣΙΤΗΡΑ</v>
      </c>
    </row>
    <row r="3326" spans="1:12" s="3" customFormat="1" x14ac:dyDescent="0.25">
      <c r="A3326" s="3" t="str">
        <f t="shared" si="104"/>
        <v>ΛΟΙΠΑ ΣΙΤΗΡΑΚΡΙΘΑΡΙ ΝΙΚΗ</v>
      </c>
      <c r="B3326" s="4" t="s">
        <v>6025</v>
      </c>
      <c r="C3326" s="5" t="s">
        <v>5342</v>
      </c>
      <c r="D3326" s="6">
        <v>466.58</v>
      </c>
      <c r="E3326" s="6">
        <v>366.77</v>
      </c>
      <c r="F3326" s="7" t="s">
        <v>14</v>
      </c>
      <c r="G3326" s="8" t="s">
        <v>6278</v>
      </c>
      <c r="H3326" s="8" t="s">
        <v>27</v>
      </c>
      <c r="I3326" s="9">
        <v>1343</v>
      </c>
      <c r="J3326" s="10">
        <v>2</v>
      </c>
      <c r="K3326" s="10">
        <v>6929</v>
      </c>
      <c r="L3326" s="3" t="str">
        <f t="shared" si="105"/>
        <v>ΛΟΙΠΑ_ΣΙΤΗΡΑ</v>
      </c>
    </row>
    <row r="3327" spans="1:12" s="3" customFormat="1" ht="24" x14ac:dyDescent="0.25">
      <c r="A3327" s="3" t="str">
        <f t="shared" si="104"/>
        <v>ΛΟΙΠΑ ΣΙΤΗΡΑΚΡΙΘΑΡΙ PRESTO</v>
      </c>
      <c r="B3327" s="4" t="s">
        <v>6025</v>
      </c>
      <c r="C3327" s="5" t="s">
        <v>5344</v>
      </c>
      <c r="D3327" s="6">
        <v>466.58</v>
      </c>
      <c r="E3327" s="6">
        <v>366.77</v>
      </c>
      <c r="F3327" s="7" t="s">
        <v>14</v>
      </c>
      <c r="G3327" s="8" t="s">
        <v>6279</v>
      </c>
      <c r="H3327" s="8" t="s">
        <v>16</v>
      </c>
      <c r="I3327" s="9">
        <v>1342</v>
      </c>
      <c r="J3327" s="10">
        <v>2</v>
      </c>
      <c r="K3327" s="10">
        <v>6930</v>
      </c>
      <c r="L3327" s="3" t="str">
        <f t="shared" si="105"/>
        <v>ΛΟΙΠΑ_ΣΙΤΗΡΑ</v>
      </c>
    </row>
    <row r="3328" spans="1:12" s="3" customFormat="1" ht="24" x14ac:dyDescent="0.25">
      <c r="A3328" s="3" t="str">
        <f t="shared" si="104"/>
        <v>ΛΟΙΠΑ ΣΙΤΗΡΑΚΡΙΘΑΡΙ SONJA</v>
      </c>
      <c r="B3328" s="4" t="s">
        <v>6025</v>
      </c>
      <c r="C3328" s="5" t="s">
        <v>5346</v>
      </c>
      <c r="D3328" s="6">
        <v>466.58</v>
      </c>
      <c r="E3328" s="6">
        <v>366.77</v>
      </c>
      <c r="F3328" s="7" t="s">
        <v>14</v>
      </c>
      <c r="G3328" s="8" t="s">
        <v>6280</v>
      </c>
      <c r="H3328" s="8" t="s">
        <v>16</v>
      </c>
      <c r="I3328" s="9">
        <v>1337</v>
      </c>
      <c r="J3328" s="10">
        <v>2</v>
      </c>
      <c r="K3328" s="10">
        <v>6931</v>
      </c>
      <c r="L3328" s="3" t="str">
        <f t="shared" si="105"/>
        <v>ΛΟΙΠΑ_ΣΙΤΗΡΑ</v>
      </c>
    </row>
    <row r="3329" spans="1:12" s="3" customFormat="1" ht="24" x14ac:dyDescent="0.25">
      <c r="A3329" s="3" t="str">
        <f t="shared" si="104"/>
        <v>ΛΟΙΠΑ ΣΙΤΗΡΑΚΡΙΘΑΡΙ ΣΟΦΙΑ</v>
      </c>
      <c r="B3329" s="4" t="s">
        <v>6025</v>
      </c>
      <c r="C3329" s="5" t="s">
        <v>5348</v>
      </c>
      <c r="D3329" s="6">
        <v>466.58</v>
      </c>
      <c r="E3329" s="6">
        <v>366.77</v>
      </c>
      <c r="F3329" s="7" t="s">
        <v>14</v>
      </c>
      <c r="G3329" s="8" t="s">
        <v>6281</v>
      </c>
      <c r="H3329" s="8" t="s">
        <v>16</v>
      </c>
      <c r="I3329" s="9">
        <v>1340</v>
      </c>
      <c r="J3329" s="10">
        <v>2</v>
      </c>
      <c r="K3329" s="10">
        <v>6932</v>
      </c>
      <c r="L3329" s="3" t="str">
        <f t="shared" si="105"/>
        <v>ΛΟΙΠΑ_ΣΙΤΗΡΑ</v>
      </c>
    </row>
    <row r="3330" spans="1:12" s="3" customFormat="1" ht="24" x14ac:dyDescent="0.25">
      <c r="A3330" s="3" t="str">
        <f t="shared" si="104"/>
        <v>ΛΟΙΠΑ ΣΙΤΗΡΑΚΡΙΘΑΡΙ ΣΠΙΘΑ</v>
      </c>
      <c r="B3330" s="4" t="s">
        <v>6025</v>
      </c>
      <c r="C3330" s="5" t="s">
        <v>5350</v>
      </c>
      <c r="D3330" s="6">
        <v>466.58</v>
      </c>
      <c r="E3330" s="6">
        <v>366.77</v>
      </c>
      <c r="F3330" s="7" t="s">
        <v>14</v>
      </c>
      <c r="G3330" s="8" t="s">
        <v>6282</v>
      </c>
      <c r="H3330" s="8" t="s">
        <v>16</v>
      </c>
      <c r="I3330" s="9">
        <v>1323</v>
      </c>
      <c r="J3330" s="10">
        <v>2</v>
      </c>
      <c r="K3330" s="10">
        <v>6933</v>
      </c>
      <c r="L3330" s="3" t="str">
        <f t="shared" si="105"/>
        <v>ΛΟΙΠΑ_ΣΙΤΗΡΑ</v>
      </c>
    </row>
    <row r="3331" spans="1:12" s="3" customFormat="1" ht="24" x14ac:dyDescent="0.25">
      <c r="A3331" s="3" t="str">
        <f t="shared" ref="A3331:A3394" si="106">_xlfn.CONCAT(B3331,C3331)</f>
        <v>ΛΟΙΠΑ ΣΙΤΗΡΑΚΡΙΘΑΡΙ TORKEL</v>
      </c>
      <c r="B3331" s="4" t="s">
        <v>6025</v>
      </c>
      <c r="C3331" s="5" t="s">
        <v>5352</v>
      </c>
      <c r="D3331" s="6">
        <v>466.58</v>
      </c>
      <c r="E3331" s="6">
        <v>366.77</v>
      </c>
      <c r="F3331" s="7" t="s">
        <v>14</v>
      </c>
      <c r="G3331" s="8" t="s">
        <v>6283</v>
      </c>
      <c r="H3331" s="8" t="s">
        <v>16</v>
      </c>
      <c r="I3331" s="9">
        <v>1338</v>
      </c>
      <c r="J3331" s="10">
        <v>2</v>
      </c>
      <c r="K3331" s="10">
        <v>6934</v>
      </c>
      <c r="L3331" s="3" t="str">
        <f t="shared" ref="L3331:L3394" si="107">IFERROR(SUBSTITUTE(SUBSTITUTE(SUBSTITUTE(SUBSTITUTE(SUBSTITUTE(B3331, "-", "_"), " ", "_"), ",", ""), "(", ""), ")", ""), B3331)</f>
        <v>ΛΟΙΠΑ_ΣΙΤΗΡΑ</v>
      </c>
    </row>
    <row r="3332" spans="1:12" s="3" customFormat="1" ht="24" x14ac:dyDescent="0.25">
      <c r="A3332" s="3" t="str">
        <f t="shared" si="106"/>
        <v>ΛΟΙΠΑ ΣΙΤΗΡΑΚΡΙΘΑΡΙ TROUBADOUR</v>
      </c>
      <c r="B3332" s="4" t="s">
        <v>6025</v>
      </c>
      <c r="C3332" s="5" t="s">
        <v>5354</v>
      </c>
      <c r="D3332" s="6">
        <v>466.58</v>
      </c>
      <c r="E3332" s="6">
        <v>366.77</v>
      </c>
      <c r="F3332" s="7" t="s">
        <v>14</v>
      </c>
      <c r="G3332" s="8" t="s">
        <v>6284</v>
      </c>
      <c r="H3332" s="8" t="s">
        <v>16</v>
      </c>
      <c r="I3332" s="9">
        <v>1348</v>
      </c>
      <c r="J3332" s="10">
        <v>2</v>
      </c>
      <c r="K3332" s="10">
        <v>6935</v>
      </c>
      <c r="L3332" s="3" t="str">
        <f t="shared" si="107"/>
        <v>ΛΟΙΠΑ_ΣΙΤΗΡΑ</v>
      </c>
    </row>
    <row r="3333" spans="1:12" s="3" customFormat="1" ht="24" x14ac:dyDescent="0.25">
      <c r="A3333" s="3" t="str">
        <f t="shared" si="106"/>
        <v>ΛΟΙΠΑ ΣΙΤΗΡΑΚΡΙΘΑΡΙ VIOLA</v>
      </c>
      <c r="B3333" s="4" t="s">
        <v>6025</v>
      </c>
      <c r="C3333" s="5" t="s">
        <v>5356</v>
      </c>
      <c r="D3333" s="6">
        <v>466.58</v>
      </c>
      <c r="E3333" s="6">
        <v>366.77</v>
      </c>
      <c r="F3333" s="7" t="s">
        <v>14</v>
      </c>
      <c r="G3333" s="8" t="s">
        <v>6285</v>
      </c>
      <c r="H3333" s="8" t="s">
        <v>16</v>
      </c>
      <c r="I3333" s="9">
        <v>1336</v>
      </c>
      <c r="J3333" s="10">
        <v>2</v>
      </c>
      <c r="K3333" s="10">
        <v>6936</v>
      </c>
      <c r="L3333" s="3" t="str">
        <f t="shared" si="107"/>
        <v>ΛΟΙΠΑ_ΣΙΤΗΡΑ</v>
      </c>
    </row>
    <row r="3334" spans="1:12" s="3" customFormat="1" ht="24" x14ac:dyDescent="0.25">
      <c r="A3334" s="3" t="str">
        <f t="shared" si="106"/>
        <v>ΛΟΙΠΑ ΣΙΤΗΡΑΚΡΙΘΑΡΙ ΑΘΗΝΑΙΔΑ</v>
      </c>
      <c r="B3334" s="4" t="s">
        <v>6025</v>
      </c>
      <c r="C3334" s="5" t="s">
        <v>5358</v>
      </c>
      <c r="D3334" s="6">
        <v>466.58</v>
      </c>
      <c r="E3334" s="6">
        <v>366.77</v>
      </c>
      <c r="F3334" s="7" t="s">
        <v>14</v>
      </c>
      <c r="G3334" s="8" t="s">
        <v>6286</v>
      </c>
      <c r="H3334" s="8" t="s">
        <v>16</v>
      </c>
      <c r="I3334" s="9">
        <v>1335</v>
      </c>
      <c r="J3334" s="10">
        <v>2</v>
      </c>
      <c r="K3334" s="10">
        <v>6937</v>
      </c>
      <c r="L3334" s="3" t="str">
        <f t="shared" si="107"/>
        <v>ΛΟΙΠΑ_ΣΙΤΗΡΑ</v>
      </c>
    </row>
    <row r="3335" spans="1:12" s="3" customFormat="1" ht="24" x14ac:dyDescent="0.25">
      <c r="A3335" s="3" t="str">
        <f t="shared" si="106"/>
        <v>ΛΟΙΠΑ ΣΙΤΗΡΑΚΡΙΘΑΡΙ ΑΤΤΙΚΗ</v>
      </c>
      <c r="B3335" s="4" t="s">
        <v>6025</v>
      </c>
      <c r="C3335" s="5" t="s">
        <v>5360</v>
      </c>
      <c r="D3335" s="6">
        <v>466.58</v>
      </c>
      <c r="E3335" s="6">
        <v>366.77</v>
      </c>
      <c r="F3335" s="7" t="s">
        <v>14</v>
      </c>
      <c r="G3335" s="8" t="s">
        <v>6287</v>
      </c>
      <c r="H3335" s="8" t="s">
        <v>16</v>
      </c>
      <c r="I3335" s="9">
        <v>1334</v>
      </c>
      <c r="J3335" s="10">
        <v>2</v>
      </c>
      <c r="K3335" s="10">
        <v>6938</v>
      </c>
      <c r="L3335" s="3" t="str">
        <f t="shared" si="107"/>
        <v>ΛΟΙΠΑ_ΣΙΤΗΡΑ</v>
      </c>
    </row>
    <row r="3336" spans="1:12" s="3" customFormat="1" ht="24" x14ac:dyDescent="0.25">
      <c r="A3336" s="3" t="str">
        <f t="shared" si="106"/>
        <v>ΛΟΙΠΑ ΣΙΤΗΡΑΚΡΙΘΑΡΙ DIANA</v>
      </c>
      <c r="B3336" s="4" t="s">
        <v>6025</v>
      </c>
      <c r="C3336" s="5" t="s">
        <v>5362</v>
      </c>
      <c r="D3336" s="6">
        <v>466.58</v>
      </c>
      <c r="E3336" s="6">
        <v>366.77</v>
      </c>
      <c r="F3336" s="7" t="s">
        <v>14</v>
      </c>
      <c r="G3336" s="8" t="s">
        <v>6288</v>
      </c>
      <c r="H3336" s="8" t="s">
        <v>16</v>
      </c>
      <c r="I3336" s="9">
        <v>1333</v>
      </c>
      <c r="J3336" s="10">
        <v>2</v>
      </c>
      <c r="K3336" s="10">
        <v>6939</v>
      </c>
      <c r="L3336" s="3" t="str">
        <f t="shared" si="107"/>
        <v>ΛΟΙΠΑ_ΣΙΤΗΡΑ</v>
      </c>
    </row>
    <row r="3337" spans="1:12" s="3" customFormat="1" ht="24" x14ac:dyDescent="0.25">
      <c r="A3337" s="3" t="str">
        <f t="shared" si="106"/>
        <v>ΛΟΙΠΑ ΣΙΤΗΡΑΚΡΙΘΑΡΙ ΕΛΑΣΣΟΝΑ</v>
      </c>
      <c r="B3337" s="4" t="s">
        <v>6025</v>
      </c>
      <c r="C3337" s="5" t="s">
        <v>5364</v>
      </c>
      <c r="D3337" s="6">
        <v>466.58</v>
      </c>
      <c r="E3337" s="6">
        <v>366.77</v>
      </c>
      <c r="F3337" s="7" t="s">
        <v>14</v>
      </c>
      <c r="G3337" s="8" t="s">
        <v>6289</v>
      </c>
      <c r="H3337" s="8" t="s">
        <v>16</v>
      </c>
      <c r="I3337" s="9">
        <v>1332</v>
      </c>
      <c r="J3337" s="10">
        <v>2</v>
      </c>
      <c r="K3337" s="10">
        <v>6940</v>
      </c>
      <c r="L3337" s="3" t="str">
        <f t="shared" si="107"/>
        <v>ΛΟΙΠΑ_ΣΙΤΗΡΑ</v>
      </c>
    </row>
    <row r="3338" spans="1:12" s="3" customFormat="1" ht="24" x14ac:dyDescent="0.25">
      <c r="A3338" s="3" t="str">
        <f t="shared" si="106"/>
        <v>ΛΟΙΠΑ ΣΙΤΗΡΑΚΡΙΘΑΡΙ HEMUS</v>
      </c>
      <c r="B3338" s="4" t="s">
        <v>6025</v>
      </c>
      <c r="C3338" s="5" t="s">
        <v>5366</v>
      </c>
      <c r="D3338" s="6">
        <v>466.58</v>
      </c>
      <c r="E3338" s="6">
        <v>366.77</v>
      </c>
      <c r="F3338" s="7" t="s">
        <v>14</v>
      </c>
      <c r="G3338" s="8" t="s">
        <v>6290</v>
      </c>
      <c r="H3338" s="8" t="s">
        <v>16</v>
      </c>
      <c r="I3338" s="9">
        <v>1331</v>
      </c>
      <c r="J3338" s="10">
        <v>2</v>
      </c>
      <c r="K3338" s="10">
        <v>6941</v>
      </c>
      <c r="L3338" s="3" t="str">
        <f t="shared" si="107"/>
        <v>ΛΟΙΠΑ_ΣΙΤΗΡΑ</v>
      </c>
    </row>
    <row r="3339" spans="1:12" s="3" customFormat="1" ht="24" x14ac:dyDescent="0.25">
      <c r="A3339" s="3" t="str">
        <f t="shared" si="106"/>
        <v>ΛΟΙΠΑ ΣΙΤΗΡΑΚΡΙΘΑΡΙ KARNOBAT</v>
      </c>
      <c r="B3339" s="4" t="s">
        <v>6025</v>
      </c>
      <c r="C3339" s="5" t="s">
        <v>5368</v>
      </c>
      <c r="D3339" s="6">
        <v>466.58</v>
      </c>
      <c r="E3339" s="6">
        <v>366.77</v>
      </c>
      <c r="F3339" s="7" t="s">
        <v>14</v>
      </c>
      <c r="G3339" s="8" t="s">
        <v>6291</v>
      </c>
      <c r="H3339" s="8" t="s">
        <v>16</v>
      </c>
      <c r="I3339" s="9">
        <v>1330</v>
      </c>
      <c r="J3339" s="10">
        <v>2</v>
      </c>
      <c r="K3339" s="10">
        <v>6942</v>
      </c>
      <c r="L3339" s="3" t="str">
        <f t="shared" si="107"/>
        <v>ΛΟΙΠΑ_ΣΙΤΗΡΑ</v>
      </c>
    </row>
    <row r="3340" spans="1:12" s="3" customFormat="1" ht="24" x14ac:dyDescent="0.25">
      <c r="A3340" s="3" t="str">
        <f t="shared" si="106"/>
        <v>ΛΟΙΠΑ ΣΙΤΗΡΑΚΡΙΘΑΡΙ KATJA</v>
      </c>
      <c r="B3340" s="4" t="s">
        <v>6025</v>
      </c>
      <c r="C3340" s="5" t="s">
        <v>5370</v>
      </c>
      <c r="D3340" s="6">
        <v>466.58</v>
      </c>
      <c r="E3340" s="6">
        <v>366.77</v>
      </c>
      <c r="F3340" s="7" t="s">
        <v>14</v>
      </c>
      <c r="G3340" s="8" t="s">
        <v>6292</v>
      </c>
      <c r="H3340" s="8" t="s">
        <v>16</v>
      </c>
      <c r="I3340" s="9">
        <v>1329</v>
      </c>
      <c r="J3340" s="10">
        <v>2</v>
      </c>
      <c r="K3340" s="10">
        <v>6943</v>
      </c>
      <c r="L3340" s="3" t="str">
        <f t="shared" si="107"/>
        <v>ΛΟΙΠΑ_ΣΙΤΗΡΑ</v>
      </c>
    </row>
    <row r="3341" spans="1:12" s="3" customFormat="1" ht="24" x14ac:dyDescent="0.25">
      <c r="A3341" s="3" t="str">
        <f t="shared" si="106"/>
        <v>ΛΟΙΠΑ ΣΙΤΗΡΑΚΡΙΘΑΡΙ ΚΡΗΝΗ</v>
      </c>
      <c r="B3341" s="4" t="s">
        <v>6025</v>
      </c>
      <c r="C3341" s="5" t="s">
        <v>5372</v>
      </c>
      <c r="D3341" s="6">
        <v>466.58</v>
      </c>
      <c r="E3341" s="6">
        <v>366.77</v>
      </c>
      <c r="F3341" s="7" t="s">
        <v>14</v>
      </c>
      <c r="G3341" s="8" t="s">
        <v>6293</v>
      </c>
      <c r="H3341" s="8" t="s">
        <v>16</v>
      </c>
      <c r="I3341" s="9">
        <v>1365</v>
      </c>
      <c r="J3341" s="10">
        <v>2</v>
      </c>
      <c r="K3341" s="10">
        <v>6944</v>
      </c>
      <c r="L3341" s="3" t="str">
        <f t="shared" si="107"/>
        <v>ΛΟΙΠΑ_ΣΙΤΗΡΑ</v>
      </c>
    </row>
    <row r="3342" spans="1:12" s="3" customFormat="1" ht="24" x14ac:dyDescent="0.25">
      <c r="A3342" s="3" t="str">
        <f t="shared" si="106"/>
        <v>ΛΟΙΠΑ ΣΙΤΗΡΑΤΡΙΤΙΚΑΛΕ ΔΙΑΦΟΡΑ</v>
      </c>
      <c r="B3342" s="4" t="s">
        <v>6025</v>
      </c>
      <c r="C3342" s="5" t="s">
        <v>5378</v>
      </c>
      <c r="D3342" s="6">
        <v>363.85</v>
      </c>
      <c r="E3342" s="6">
        <v>331.13</v>
      </c>
      <c r="F3342" s="7" t="s">
        <v>14</v>
      </c>
      <c r="G3342" s="8" t="s">
        <v>6294</v>
      </c>
      <c r="H3342" s="8" t="s">
        <v>16</v>
      </c>
      <c r="I3342" s="9">
        <v>1446</v>
      </c>
      <c r="J3342" s="10">
        <v>2</v>
      </c>
      <c r="K3342" s="10">
        <v>7600</v>
      </c>
      <c r="L3342" s="3" t="str">
        <f t="shared" si="107"/>
        <v>ΛΟΙΠΑ_ΣΙΤΗΡΑ</v>
      </c>
    </row>
    <row r="3343" spans="1:12" s="3" customFormat="1" ht="24" x14ac:dyDescent="0.25">
      <c r="A3343" s="3" t="str">
        <f t="shared" si="106"/>
        <v>ΛΟΙΠΑ ΣΙΤΗΡΑΤΡΙΤΙΚΑΛΕ ΒΡΟΝΤΗ</v>
      </c>
      <c r="B3343" s="4" t="s">
        <v>6025</v>
      </c>
      <c r="C3343" s="5" t="s">
        <v>5380</v>
      </c>
      <c r="D3343" s="6">
        <v>363.85</v>
      </c>
      <c r="E3343" s="6">
        <v>331.13</v>
      </c>
      <c r="F3343" s="7" t="s">
        <v>14</v>
      </c>
      <c r="G3343" s="8" t="s">
        <v>6295</v>
      </c>
      <c r="H3343" s="8" t="s">
        <v>16</v>
      </c>
      <c r="I3343" s="9">
        <v>1447</v>
      </c>
      <c r="J3343" s="10">
        <v>2</v>
      </c>
      <c r="K3343" s="10">
        <v>7601</v>
      </c>
      <c r="L3343" s="3" t="str">
        <f t="shared" si="107"/>
        <v>ΛΟΙΠΑ_ΣΙΤΗΡΑ</v>
      </c>
    </row>
    <row r="3344" spans="1:12" s="3" customFormat="1" ht="24" x14ac:dyDescent="0.25">
      <c r="A3344" s="3" t="str">
        <f t="shared" si="106"/>
        <v>ΛΟΙΠΑ ΣΙΤΗΡΑΤΡΙΤΙΚΑΛΕ ΒΡΥΤΩ</v>
      </c>
      <c r="B3344" s="4" t="s">
        <v>6025</v>
      </c>
      <c r="C3344" s="5" t="s">
        <v>5382</v>
      </c>
      <c r="D3344" s="6">
        <v>363.85</v>
      </c>
      <c r="E3344" s="6">
        <v>331.13</v>
      </c>
      <c r="F3344" s="7" t="s">
        <v>14</v>
      </c>
      <c r="G3344" s="8" t="s">
        <v>6296</v>
      </c>
      <c r="H3344" s="8" t="s">
        <v>16</v>
      </c>
      <c r="I3344" s="9">
        <v>1458</v>
      </c>
      <c r="J3344" s="10">
        <v>2</v>
      </c>
      <c r="K3344" s="10">
        <v>7602</v>
      </c>
      <c r="L3344" s="3" t="str">
        <f t="shared" si="107"/>
        <v>ΛΟΙΠΑ_ΣΙΤΗΡΑ</v>
      </c>
    </row>
    <row r="3345" spans="1:12" s="3" customFormat="1" ht="24" x14ac:dyDescent="0.25">
      <c r="A3345" s="3" t="str">
        <f t="shared" si="106"/>
        <v>ΛΟΙΠΑ ΣΙΤΗΡΑΤΡΙΤΙΚΑΛΕ ΔΑΔΑ</v>
      </c>
      <c r="B3345" s="4" t="s">
        <v>6025</v>
      </c>
      <c r="C3345" s="5" t="s">
        <v>5384</v>
      </c>
      <c r="D3345" s="6">
        <v>363.85</v>
      </c>
      <c r="E3345" s="6">
        <v>331.13</v>
      </c>
      <c r="F3345" s="7" t="s">
        <v>14</v>
      </c>
      <c r="G3345" s="8" t="s">
        <v>6297</v>
      </c>
      <c r="H3345" s="8" t="s">
        <v>16</v>
      </c>
      <c r="I3345" s="9">
        <v>1448</v>
      </c>
      <c r="J3345" s="10">
        <v>2</v>
      </c>
      <c r="K3345" s="10">
        <v>7603</v>
      </c>
      <c r="L3345" s="3" t="str">
        <f t="shared" si="107"/>
        <v>ΛΟΙΠΑ_ΣΙΤΗΡΑ</v>
      </c>
    </row>
    <row r="3346" spans="1:12" s="3" customFormat="1" ht="24" x14ac:dyDescent="0.25">
      <c r="A3346" s="3" t="str">
        <f t="shared" si="106"/>
        <v>ΛΟΙΠΑ ΣΙΤΗΡΑΤΡΙΤΙΚΑΛΕ ΘΙΣΒΗ</v>
      </c>
      <c r="B3346" s="4" t="s">
        <v>6025</v>
      </c>
      <c r="C3346" s="5" t="s">
        <v>5386</v>
      </c>
      <c r="D3346" s="6">
        <v>363.85</v>
      </c>
      <c r="E3346" s="6">
        <v>331.13</v>
      </c>
      <c r="F3346" s="7" t="s">
        <v>14</v>
      </c>
      <c r="G3346" s="8" t="s">
        <v>6298</v>
      </c>
      <c r="H3346" s="8" t="s">
        <v>16</v>
      </c>
      <c r="I3346" s="9">
        <v>1441</v>
      </c>
      <c r="J3346" s="10">
        <v>2</v>
      </c>
      <c r="K3346" s="10">
        <v>7604</v>
      </c>
      <c r="L3346" s="3" t="str">
        <f t="shared" si="107"/>
        <v>ΛΟΙΠΑ_ΣΙΤΗΡΑ</v>
      </c>
    </row>
    <row r="3347" spans="1:12" s="3" customFormat="1" ht="24" x14ac:dyDescent="0.25">
      <c r="A3347" s="3" t="str">
        <f t="shared" si="106"/>
        <v>ΛΟΙΠΑ ΣΙΤΗΡΑΤΡΙΤΙΚΑΛΕ ΝΙΟΒΗ</v>
      </c>
      <c r="B3347" s="4" t="s">
        <v>6025</v>
      </c>
      <c r="C3347" s="5" t="s">
        <v>5388</v>
      </c>
      <c r="D3347" s="6">
        <v>363.85</v>
      </c>
      <c r="E3347" s="6">
        <v>331.13</v>
      </c>
      <c r="F3347" s="7" t="s">
        <v>14</v>
      </c>
      <c r="G3347" s="8" t="s">
        <v>6299</v>
      </c>
      <c r="H3347" s="8" t="s">
        <v>16</v>
      </c>
      <c r="I3347" s="9">
        <v>1449</v>
      </c>
      <c r="J3347" s="10">
        <v>2</v>
      </c>
      <c r="K3347" s="10">
        <v>7605</v>
      </c>
      <c r="L3347" s="3" t="str">
        <f t="shared" si="107"/>
        <v>ΛΟΙΠΑ_ΣΙΤΗΡΑ</v>
      </c>
    </row>
    <row r="3348" spans="1:12" s="3" customFormat="1" ht="15" customHeight="1" x14ac:dyDescent="0.25">
      <c r="A3348" s="3" t="str">
        <f t="shared" si="106"/>
        <v>ΛΟΙΠΑ ΣΙΤΗΡΑΣΙΤΟΣ ΜΑΛΑΚΟΣ ΔΙΑΦΟΡΑ</v>
      </c>
      <c r="B3348" s="4" t="s">
        <v>6025</v>
      </c>
      <c r="C3348" s="5" t="s">
        <v>5392</v>
      </c>
      <c r="D3348" s="6">
        <v>491.53</v>
      </c>
      <c r="E3348" s="6">
        <v>485.9</v>
      </c>
      <c r="F3348" s="7" t="s">
        <v>14</v>
      </c>
      <c r="G3348" s="8" t="s">
        <v>6300</v>
      </c>
      <c r="H3348" s="8" t="s">
        <v>16</v>
      </c>
      <c r="I3348" s="9">
        <v>1450</v>
      </c>
      <c r="J3348" s="10">
        <v>2</v>
      </c>
      <c r="K3348" s="10">
        <v>7700</v>
      </c>
      <c r="L3348" s="3" t="str">
        <f t="shared" si="107"/>
        <v>ΛΟΙΠΑ_ΣΙΤΗΡΑ</v>
      </c>
    </row>
    <row r="3349" spans="1:12" s="3" customFormat="1" ht="15" customHeight="1" x14ac:dyDescent="0.25">
      <c r="A3349" s="3" t="str">
        <f t="shared" si="106"/>
        <v>ΛΟΙΠΑ ΣΙΤΗΡΑΣΙΤΟΣ ΜΑΛΑΚΟΣ ΑΙΓΕΣ</v>
      </c>
      <c r="B3349" s="4" t="s">
        <v>6025</v>
      </c>
      <c r="C3349" s="5" t="s">
        <v>5394</v>
      </c>
      <c r="D3349" s="6">
        <v>491.53</v>
      </c>
      <c r="E3349" s="6">
        <v>485.9</v>
      </c>
      <c r="F3349" s="7" t="s">
        <v>14</v>
      </c>
      <c r="G3349" s="8" t="s">
        <v>6301</v>
      </c>
      <c r="H3349" s="8" t="s">
        <v>16</v>
      </c>
      <c r="I3349" s="9">
        <v>1451</v>
      </c>
      <c r="J3349" s="10">
        <v>2</v>
      </c>
      <c r="K3349" s="10">
        <v>7701</v>
      </c>
      <c r="L3349" s="3" t="str">
        <f t="shared" si="107"/>
        <v>ΛΟΙΠΑ_ΣΙΤΗΡΑ</v>
      </c>
    </row>
    <row r="3350" spans="1:12" s="3" customFormat="1" ht="15" customHeight="1" x14ac:dyDescent="0.25">
      <c r="A3350" s="3" t="str">
        <f t="shared" si="106"/>
        <v>ΛΟΙΠΑ ΣΙΤΗΡΑΣΙΤΟΣ ΜΑΛΑΚΟΣ ΑΛΦΕΙΟΣ</v>
      </c>
      <c r="B3350" s="4" t="s">
        <v>6025</v>
      </c>
      <c r="C3350" s="5" t="s">
        <v>5396</v>
      </c>
      <c r="D3350" s="6">
        <v>491.53</v>
      </c>
      <c r="E3350" s="6">
        <v>485.9</v>
      </c>
      <c r="F3350" s="7" t="s">
        <v>14</v>
      </c>
      <c r="G3350" s="8" t="s">
        <v>6302</v>
      </c>
      <c r="H3350" s="8" t="s">
        <v>16</v>
      </c>
      <c r="I3350" s="9">
        <v>1452</v>
      </c>
      <c r="J3350" s="10">
        <v>2</v>
      </c>
      <c r="K3350" s="10">
        <v>7702</v>
      </c>
      <c r="L3350" s="3" t="str">
        <f t="shared" si="107"/>
        <v>ΛΟΙΠΑ_ΣΙΤΗΡΑ</v>
      </c>
    </row>
    <row r="3351" spans="1:12" s="3" customFormat="1" ht="15" customHeight="1" x14ac:dyDescent="0.25">
      <c r="A3351" s="3" t="str">
        <f t="shared" si="106"/>
        <v>ΛΟΙΠΑ ΣΙΤΗΡΑΣΙΤΟΣ ΜΑΛΑΚΟΣ ΑΜΥΝΤΑΣ</v>
      </c>
      <c r="B3351" s="4" t="s">
        <v>6025</v>
      </c>
      <c r="C3351" s="5" t="s">
        <v>5398</v>
      </c>
      <c r="D3351" s="6">
        <v>491.53</v>
      </c>
      <c r="E3351" s="6">
        <v>485.9</v>
      </c>
      <c r="F3351" s="7" t="s">
        <v>14</v>
      </c>
      <c r="G3351" s="8" t="s">
        <v>6303</v>
      </c>
      <c r="H3351" s="8" t="s">
        <v>16</v>
      </c>
      <c r="I3351" s="9">
        <v>1453</v>
      </c>
      <c r="J3351" s="10">
        <v>2</v>
      </c>
      <c r="K3351" s="10">
        <v>7703</v>
      </c>
      <c r="L3351" s="3" t="str">
        <f t="shared" si="107"/>
        <v>ΛΟΙΠΑ_ΣΙΤΗΡΑ</v>
      </c>
    </row>
    <row r="3352" spans="1:12" s="3" customFormat="1" ht="15" customHeight="1" x14ac:dyDescent="0.25">
      <c r="A3352" s="3" t="str">
        <f t="shared" si="106"/>
        <v>ΛΟΙΠΑ ΣΙΤΗΡΑΣΙΤΟΣ ΜΑΛΑΚΟΣ ΑΞΙΟΣ</v>
      </c>
      <c r="B3352" s="4" t="s">
        <v>6025</v>
      </c>
      <c r="C3352" s="5" t="s">
        <v>5400</v>
      </c>
      <c r="D3352" s="6">
        <v>491.53</v>
      </c>
      <c r="E3352" s="6">
        <v>485.9</v>
      </c>
      <c r="F3352" s="7" t="s">
        <v>14</v>
      </c>
      <c r="G3352" s="8" t="s">
        <v>6304</v>
      </c>
      <c r="H3352" s="8" t="s">
        <v>16</v>
      </c>
      <c r="I3352" s="9">
        <v>1454</v>
      </c>
      <c r="J3352" s="10">
        <v>2</v>
      </c>
      <c r="K3352" s="10">
        <v>7704</v>
      </c>
      <c r="L3352" s="3" t="str">
        <f t="shared" si="107"/>
        <v>ΛΟΙΠΑ_ΣΙΤΗΡΑ</v>
      </c>
    </row>
    <row r="3353" spans="1:12" s="3" customFormat="1" ht="15" customHeight="1" x14ac:dyDescent="0.25">
      <c r="A3353" s="3" t="str">
        <f t="shared" si="106"/>
        <v>ΛΟΙΠΑ ΣΙΤΗΡΑΣΙΤΟΣ ΜΑΛΑΚΟΣ ΑΡΑΧΘΟΣ</v>
      </c>
      <c r="B3353" s="4" t="s">
        <v>6025</v>
      </c>
      <c r="C3353" s="5" t="s">
        <v>5402</v>
      </c>
      <c r="D3353" s="6">
        <v>491.53</v>
      </c>
      <c r="E3353" s="6">
        <v>485.9</v>
      </c>
      <c r="F3353" s="7" t="s">
        <v>14</v>
      </c>
      <c r="G3353" s="8" t="s">
        <v>6305</v>
      </c>
      <c r="H3353" s="8" t="s">
        <v>16</v>
      </c>
      <c r="I3353" s="9">
        <v>1462</v>
      </c>
      <c r="J3353" s="10">
        <v>2</v>
      </c>
      <c r="K3353" s="10">
        <v>7705</v>
      </c>
      <c r="L3353" s="3" t="str">
        <f t="shared" si="107"/>
        <v>ΛΟΙΠΑ_ΣΙΤΗΡΑ</v>
      </c>
    </row>
    <row r="3354" spans="1:12" s="3" customFormat="1" ht="15" customHeight="1" x14ac:dyDescent="0.25">
      <c r="A3354" s="3" t="str">
        <f t="shared" si="106"/>
        <v>ΛΟΙΠΑ ΣΙΤΗΡΑΣΙΤΟΣ ΜΑΛΑΚΟΣ ARTEMIS</v>
      </c>
      <c r="B3354" s="4" t="s">
        <v>6025</v>
      </c>
      <c r="C3354" s="5" t="s">
        <v>5404</v>
      </c>
      <c r="D3354" s="6">
        <v>491.53</v>
      </c>
      <c r="E3354" s="6">
        <v>485.9</v>
      </c>
      <c r="F3354" s="7" t="s">
        <v>14</v>
      </c>
      <c r="G3354" s="8" t="s">
        <v>6306</v>
      </c>
      <c r="H3354" s="8" t="s">
        <v>16</v>
      </c>
      <c r="I3354" s="9">
        <v>1466</v>
      </c>
      <c r="J3354" s="10">
        <v>2</v>
      </c>
      <c r="K3354" s="10">
        <v>7706</v>
      </c>
      <c r="L3354" s="3" t="str">
        <f t="shared" si="107"/>
        <v>ΛΟΙΠΑ_ΣΙΤΗΡΑ</v>
      </c>
    </row>
    <row r="3355" spans="1:12" s="3" customFormat="1" ht="15" customHeight="1" x14ac:dyDescent="0.25">
      <c r="A3355" s="3" t="str">
        <f t="shared" si="106"/>
        <v>ΛΟΙΠΑ ΣΙΤΗΡΑΣΙΤΟΣ ΜΑΛΑΚΟΣ ΑΧΕΛΩΟΣ</v>
      </c>
      <c r="B3355" s="4" t="s">
        <v>6025</v>
      </c>
      <c r="C3355" s="5" t="s">
        <v>5406</v>
      </c>
      <c r="D3355" s="6">
        <v>491.53</v>
      </c>
      <c r="E3355" s="6">
        <v>485.9</v>
      </c>
      <c r="F3355" s="7" t="s">
        <v>14</v>
      </c>
      <c r="G3355" s="8" t="s">
        <v>6307</v>
      </c>
      <c r="H3355" s="8" t="s">
        <v>16</v>
      </c>
      <c r="I3355" s="9">
        <v>1465</v>
      </c>
      <c r="J3355" s="10">
        <v>2</v>
      </c>
      <c r="K3355" s="10">
        <v>7707</v>
      </c>
      <c r="L3355" s="3" t="str">
        <f t="shared" si="107"/>
        <v>ΛΟΙΠΑ_ΣΙΤΗΡΑ</v>
      </c>
    </row>
    <row r="3356" spans="1:12" s="3" customFormat="1" ht="15" customHeight="1" x14ac:dyDescent="0.25">
      <c r="A3356" s="3" t="str">
        <f t="shared" si="106"/>
        <v>ΛΟΙΠΑ ΣΙΤΗΡΑΣΙΤΟΣ ΜΑΛΑΚΟΣ ΒΕΡΓΙΝΑ</v>
      </c>
      <c r="B3356" s="4" t="s">
        <v>6025</v>
      </c>
      <c r="C3356" s="5" t="s">
        <v>5408</v>
      </c>
      <c r="D3356" s="6">
        <v>491.53</v>
      </c>
      <c r="E3356" s="6">
        <v>485.9</v>
      </c>
      <c r="F3356" s="7" t="s">
        <v>14</v>
      </c>
      <c r="G3356" s="8" t="s">
        <v>6308</v>
      </c>
      <c r="H3356" s="8" t="s">
        <v>16</v>
      </c>
      <c r="I3356" s="9">
        <v>1464</v>
      </c>
      <c r="J3356" s="10">
        <v>2</v>
      </c>
      <c r="K3356" s="10">
        <v>7708</v>
      </c>
      <c r="L3356" s="3" t="str">
        <f t="shared" si="107"/>
        <v>ΛΟΙΠΑ_ΣΙΤΗΡΑ</v>
      </c>
    </row>
    <row r="3357" spans="1:12" s="3" customFormat="1" ht="15" customHeight="1" x14ac:dyDescent="0.25">
      <c r="A3357" s="3" t="str">
        <f t="shared" si="106"/>
        <v>ΛΟΙΠΑ ΣΙΤΗΡΑΣΙΤΟΣ ΜΑΛΑΚΟΣ ΒΙΤΣΙ</v>
      </c>
      <c r="B3357" s="4" t="s">
        <v>6025</v>
      </c>
      <c r="C3357" s="5" t="s">
        <v>5410</v>
      </c>
      <c r="D3357" s="6">
        <v>491.53</v>
      </c>
      <c r="E3357" s="6">
        <v>485.9</v>
      </c>
      <c r="F3357" s="7" t="s">
        <v>14</v>
      </c>
      <c r="G3357" s="8" t="s">
        <v>6309</v>
      </c>
      <c r="H3357" s="8" t="s">
        <v>16</v>
      </c>
      <c r="I3357" s="9">
        <v>1463</v>
      </c>
      <c r="J3357" s="10">
        <v>2</v>
      </c>
      <c r="K3357" s="10">
        <v>7709</v>
      </c>
      <c r="L3357" s="3" t="str">
        <f t="shared" si="107"/>
        <v>ΛΟΙΠΑ_ΣΙΤΗΡΑ</v>
      </c>
    </row>
    <row r="3358" spans="1:12" s="3" customFormat="1" ht="15" customHeight="1" x14ac:dyDescent="0.25">
      <c r="A3358" s="3" t="str">
        <f t="shared" si="106"/>
        <v>ΛΟΙΠΑ ΣΙΤΗΡΑΣΙΤΟΣ ΜΑΛΑΚΟΣ ΓΑΛΗΝΗ "Ε"</v>
      </c>
      <c r="B3358" s="4" t="s">
        <v>6025</v>
      </c>
      <c r="C3358" s="5" t="s">
        <v>5412</v>
      </c>
      <c r="D3358" s="6">
        <v>491.53</v>
      </c>
      <c r="E3358" s="6">
        <v>485.9</v>
      </c>
      <c r="F3358" s="7" t="s">
        <v>14</v>
      </c>
      <c r="G3358" s="8" t="s">
        <v>6310</v>
      </c>
      <c r="H3358" s="8" t="s">
        <v>16</v>
      </c>
      <c r="I3358" s="9">
        <v>1467</v>
      </c>
      <c r="J3358" s="10">
        <v>2</v>
      </c>
      <c r="K3358" s="10">
        <v>7710</v>
      </c>
      <c r="L3358" s="3" t="str">
        <f t="shared" si="107"/>
        <v>ΛΟΙΠΑ_ΣΙΤΗΡΑ</v>
      </c>
    </row>
    <row r="3359" spans="1:12" s="3" customFormat="1" ht="15" customHeight="1" x14ac:dyDescent="0.25">
      <c r="A3359" s="3" t="str">
        <f t="shared" si="106"/>
        <v>ΛΟΙΠΑ ΣΙΤΗΡΑΣΙΤΟΣ ΜΑΛΑΚΟΣ CASTAN</v>
      </c>
      <c r="B3359" s="4" t="s">
        <v>6025</v>
      </c>
      <c r="C3359" s="5" t="s">
        <v>5414</v>
      </c>
      <c r="D3359" s="6">
        <v>491.53</v>
      </c>
      <c r="E3359" s="6">
        <v>485.9</v>
      </c>
      <c r="F3359" s="7" t="s">
        <v>14</v>
      </c>
      <c r="G3359" s="8" t="s">
        <v>6311</v>
      </c>
      <c r="H3359" s="8" t="s">
        <v>16</v>
      </c>
      <c r="I3359" s="9">
        <v>1461</v>
      </c>
      <c r="J3359" s="10">
        <v>2</v>
      </c>
      <c r="K3359" s="10">
        <v>7711</v>
      </c>
      <c r="L3359" s="3" t="str">
        <f t="shared" si="107"/>
        <v>ΛΟΙΠΑ_ΣΙΤΗΡΑ</v>
      </c>
    </row>
    <row r="3360" spans="1:12" s="3" customFormat="1" ht="15" customHeight="1" x14ac:dyDescent="0.25">
      <c r="A3360" s="3" t="str">
        <f t="shared" si="106"/>
        <v>ΛΟΙΠΑ ΣΙΤΗΡΑΣΙΤΟΣ ΜΑΛΑΚΟΣ CHECCO</v>
      </c>
      <c r="B3360" s="4" t="s">
        <v>6025</v>
      </c>
      <c r="C3360" s="5" t="s">
        <v>5416</v>
      </c>
      <c r="D3360" s="6">
        <v>491.53</v>
      </c>
      <c r="E3360" s="6">
        <v>485.9</v>
      </c>
      <c r="F3360" s="7" t="s">
        <v>14</v>
      </c>
      <c r="G3360" s="8" t="s">
        <v>6312</v>
      </c>
      <c r="H3360" s="8" t="s">
        <v>16</v>
      </c>
      <c r="I3360" s="9">
        <v>1460</v>
      </c>
      <c r="J3360" s="10">
        <v>2</v>
      </c>
      <c r="K3360" s="10">
        <v>7712</v>
      </c>
      <c r="L3360" s="3" t="str">
        <f t="shared" si="107"/>
        <v>ΛΟΙΠΑ_ΣΙΤΗΡΑ</v>
      </c>
    </row>
    <row r="3361" spans="1:12" s="3" customFormat="1" ht="24" x14ac:dyDescent="0.25">
      <c r="A3361" s="3" t="str">
        <f t="shared" si="106"/>
        <v>ΛΟΙΠΑ ΣΙΤΗΡΑΣΙΤΟΣ ΜΑΛΑΚΟΣ ΓΕΚΟΡΑ "Ε"</v>
      </c>
      <c r="B3361" s="4" t="s">
        <v>6025</v>
      </c>
      <c r="C3361" s="5" t="s">
        <v>5418</v>
      </c>
      <c r="D3361" s="6">
        <v>491.53</v>
      </c>
      <c r="E3361" s="6">
        <v>485.9</v>
      </c>
      <c r="F3361" s="7" t="s">
        <v>14</v>
      </c>
      <c r="G3361" s="8" t="s">
        <v>6313</v>
      </c>
      <c r="H3361" s="8" t="s">
        <v>16</v>
      </c>
      <c r="I3361" s="9">
        <v>1455</v>
      </c>
      <c r="J3361" s="10">
        <v>2</v>
      </c>
      <c r="K3361" s="10">
        <v>7713</v>
      </c>
      <c r="L3361" s="3" t="str">
        <f t="shared" si="107"/>
        <v>ΛΟΙΠΑ_ΣΙΤΗΡΑ</v>
      </c>
    </row>
    <row r="3362" spans="1:12" s="3" customFormat="1" ht="15" customHeight="1" x14ac:dyDescent="0.25">
      <c r="A3362" s="3" t="str">
        <f t="shared" si="106"/>
        <v>ΛΟΙΠΑ ΣΙΤΗΡΑΣΙΤΟΣ ΜΑΛΑΚΟΣ ΓΕΝΟΡΟΖΟ "Ε"</v>
      </c>
      <c r="B3362" s="4" t="s">
        <v>6025</v>
      </c>
      <c r="C3362" s="5" t="s">
        <v>5420</v>
      </c>
      <c r="D3362" s="6">
        <v>491.53</v>
      </c>
      <c r="E3362" s="6">
        <v>485.9</v>
      </c>
      <c r="F3362" s="7" t="s">
        <v>14</v>
      </c>
      <c r="G3362" s="8" t="s">
        <v>6314</v>
      </c>
      <c r="H3362" s="8" t="s">
        <v>16</v>
      </c>
      <c r="I3362" s="9">
        <v>1459</v>
      </c>
      <c r="J3362" s="10">
        <v>2</v>
      </c>
      <c r="K3362" s="10">
        <v>7714</v>
      </c>
      <c r="L3362" s="3" t="str">
        <f t="shared" si="107"/>
        <v>ΛΟΙΠΑ_ΣΙΤΗΡΑ</v>
      </c>
    </row>
    <row r="3363" spans="1:12" s="3" customFormat="1" ht="15" customHeight="1" x14ac:dyDescent="0.25">
      <c r="A3363" s="3" t="str">
        <f t="shared" si="106"/>
        <v>ΛΟΙΠΑ ΣΙΤΗΡΑΣΙΤΟΣ ΜΑΛΑΚΟΣ GEMINI</v>
      </c>
      <c r="B3363" s="4" t="s">
        <v>6025</v>
      </c>
      <c r="C3363" s="5" t="s">
        <v>5422</v>
      </c>
      <c r="D3363" s="6">
        <v>491.53</v>
      </c>
      <c r="E3363" s="6">
        <v>485.9</v>
      </c>
      <c r="F3363" s="7" t="s">
        <v>14</v>
      </c>
      <c r="G3363" s="8" t="s">
        <v>6315</v>
      </c>
      <c r="H3363" s="8" t="s">
        <v>16</v>
      </c>
      <c r="I3363" s="9">
        <v>1457</v>
      </c>
      <c r="J3363" s="10">
        <v>2</v>
      </c>
      <c r="K3363" s="10">
        <v>7715</v>
      </c>
      <c r="L3363" s="3" t="str">
        <f t="shared" si="107"/>
        <v>ΛΟΙΠΑ_ΣΙΤΗΡΑ</v>
      </c>
    </row>
    <row r="3364" spans="1:12" s="3" customFormat="1" ht="15" customHeight="1" x14ac:dyDescent="0.25">
      <c r="A3364" s="3" t="str">
        <f t="shared" si="106"/>
        <v>ΛΟΙΠΑ ΣΙΤΗΡΑΣΙΤΟΣ ΜΑΛΑΚΟΣ GENOROSO</v>
      </c>
      <c r="B3364" s="4" t="s">
        <v>6025</v>
      </c>
      <c r="C3364" s="5" t="s">
        <v>5424</v>
      </c>
      <c r="D3364" s="6">
        <v>491.53</v>
      </c>
      <c r="E3364" s="6">
        <v>485.9</v>
      </c>
      <c r="F3364" s="7" t="s">
        <v>14</v>
      </c>
      <c r="G3364" s="8" t="s">
        <v>6316</v>
      </c>
      <c r="H3364" s="8" t="s">
        <v>16</v>
      </c>
      <c r="I3364" s="9">
        <v>1456</v>
      </c>
      <c r="J3364" s="10">
        <v>2</v>
      </c>
      <c r="K3364" s="10">
        <v>7716</v>
      </c>
      <c r="L3364" s="3" t="str">
        <f t="shared" si="107"/>
        <v>ΛΟΙΠΑ_ΣΙΤΗΡΑ</v>
      </c>
    </row>
    <row r="3365" spans="1:12" s="3" customFormat="1" ht="15" customHeight="1" x14ac:dyDescent="0.25">
      <c r="A3365" s="3" t="str">
        <f t="shared" si="106"/>
        <v>ΛΟΙΠΑ ΣΙΤΗΡΑΣΙΤΟΣ ΜΑΛΑΚΟΣ ΓΟΡΓΟΝΑ</v>
      </c>
      <c r="B3365" s="4" t="s">
        <v>6025</v>
      </c>
      <c r="C3365" s="5" t="s">
        <v>5426</v>
      </c>
      <c r="D3365" s="6">
        <v>491.53</v>
      </c>
      <c r="E3365" s="6">
        <v>485.9</v>
      </c>
      <c r="F3365" s="7" t="s">
        <v>14</v>
      </c>
      <c r="G3365" s="8" t="s">
        <v>6317</v>
      </c>
      <c r="H3365" s="8" t="s">
        <v>16</v>
      </c>
      <c r="I3365" s="9">
        <v>1444</v>
      </c>
      <c r="J3365" s="10">
        <v>2</v>
      </c>
      <c r="K3365" s="10">
        <v>7717</v>
      </c>
      <c r="L3365" s="3" t="str">
        <f t="shared" si="107"/>
        <v>ΛΟΙΠΑ_ΣΙΤΗΡΑ</v>
      </c>
    </row>
    <row r="3366" spans="1:12" s="3" customFormat="1" ht="15" customHeight="1" x14ac:dyDescent="0.25">
      <c r="A3366" s="3" t="str">
        <f t="shared" si="106"/>
        <v>ΛΟΙΠΑ ΣΙΤΗΡΑΣΙΤΟΣ ΜΑΛΑΚΟΣ ΔΙΟ</v>
      </c>
      <c r="B3366" s="4" t="s">
        <v>6025</v>
      </c>
      <c r="C3366" s="5" t="s">
        <v>5428</v>
      </c>
      <c r="D3366" s="6">
        <v>491.53</v>
      </c>
      <c r="E3366" s="6">
        <v>485.9</v>
      </c>
      <c r="F3366" s="7" t="s">
        <v>14</v>
      </c>
      <c r="G3366" s="8" t="s">
        <v>6318</v>
      </c>
      <c r="H3366" s="8" t="s">
        <v>16</v>
      </c>
      <c r="I3366" s="9">
        <v>1395</v>
      </c>
      <c r="J3366" s="10">
        <v>2</v>
      </c>
      <c r="K3366" s="10">
        <v>7718</v>
      </c>
      <c r="L3366" s="3" t="str">
        <f t="shared" si="107"/>
        <v>ΛΟΙΠΑ_ΣΙΤΗΡΑ</v>
      </c>
    </row>
    <row r="3367" spans="1:12" s="3" customFormat="1" ht="15" customHeight="1" x14ac:dyDescent="0.25">
      <c r="A3367" s="3" t="str">
        <f t="shared" si="106"/>
        <v>ΛΟΙΠΑ ΣΙΤΗΡΑΣΙΤΟΣ ΜΑΛΑΚΟΣ ΔΩΔΩΝΗ</v>
      </c>
      <c r="B3367" s="4" t="s">
        <v>6025</v>
      </c>
      <c r="C3367" s="5" t="s">
        <v>5430</v>
      </c>
      <c r="D3367" s="6">
        <v>491.53</v>
      </c>
      <c r="E3367" s="6">
        <v>485.9</v>
      </c>
      <c r="F3367" s="7" t="s">
        <v>14</v>
      </c>
      <c r="G3367" s="8" t="s">
        <v>6319</v>
      </c>
      <c r="H3367" s="8" t="s">
        <v>16</v>
      </c>
      <c r="I3367" s="9">
        <v>1439</v>
      </c>
      <c r="J3367" s="10">
        <v>2</v>
      </c>
      <c r="K3367" s="10">
        <v>7719</v>
      </c>
      <c r="L3367" s="3" t="str">
        <f t="shared" si="107"/>
        <v>ΛΟΙΠΑ_ΣΙΤΗΡΑ</v>
      </c>
    </row>
    <row r="3368" spans="1:12" s="3" customFormat="1" ht="15" customHeight="1" x14ac:dyDescent="0.25">
      <c r="A3368" s="3" t="str">
        <f t="shared" si="106"/>
        <v>ΛΟΙΠΑ ΣΙΤΗΡΑΣΙΤΟΣ ΜΑΛΑΚΟΣ ΕΒΡΟΣ</v>
      </c>
      <c r="B3368" s="4" t="s">
        <v>6025</v>
      </c>
      <c r="C3368" s="5" t="s">
        <v>5432</v>
      </c>
      <c r="D3368" s="6">
        <v>491.53</v>
      </c>
      <c r="E3368" s="6">
        <v>485.9</v>
      </c>
      <c r="F3368" s="7" t="s">
        <v>14</v>
      </c>
      <c r="G3368" s="8" t="s">
        <v>6320</v>
      </c>
      <c r="H3368" s="8" t="s">
        <v>16</v>
      </c>
      <c r="I3368" s="9">
        <v>1409</v>
      </c>
      <c r="J3368" s="10">
        <v>2</v>
      </c>
      <c r="K3368" s="10">
        <v>7720</v>
      </c>
      <c r="L3368" s="3" t="str">
        <f t="shared" si="107"/>
        <v>ΛΟΙΠΑ_ΣΙΤΗΡΑ</v>
      </c>
    </row>
    <row r="3369" spans="1:12" s="3" customFormat="1" ht="15" customHeight="1" x14ac:dyDescent="0.25">
      <c r="A3369" s="3" t="str">
        <f t="shared" si="106"/>
        <v>ΛΟΙΠΑ ΣΙΤΗΡΑΣΙΤΟΣ ΜΑΛΑΚΟΣ Η-78234</v>
      </c>
      <c r="B3369" s="4" t="s">
        <v>6025</v>
      </c>
      <c r="C3369" s="5" t="s">
        <v>5434</v>
      </c>
      <c r="D3369" s="6">
        <v>491.53</v>
      </c>
      <c r="E3369" s="6">
        <v>485.9</v>
      </c>
      <c r="F3369" s="7" t="s">
        <v>14</v>
      </c>
      <c r="G3369" s="8" t="s">
        <v>6321</v>
      </c>
      <c r="H3369" s="8" t="s">
        <v>16</v>
      </c>
      <c r="I3369" s="9">
        <v>1443</v>
      </c>
      <c r="J3369" s="10">
        <v>2</v>
      </c>
      <c r="K3369" s="10">
        <v>7721</v>
      </c>
      <c r="L3369" s="3" t="str">
        <f t="shared" si="107"/>
        <v>ΛΟΙΠΑ_ΣΙΤΗΡΑ</v>
      </c>
    </row>
    <row r="3370" spans="1:12" s="3" customFormat="1" ht="15" customHeight="1" x14ac:dyDescent="0.25">
      <c r="A3370" s="3" t="str">
        <f t="shared" si="106"/>
        <v>ΛΟΙΠΑ ΣΙΤΗΡΑΣΙΤΟΣ ΜΑΛΑΚΟΣ Η-785813</v>
      </c>
      <c r="B3370" s="4" t="s">
        <v>6025</v>
      </c>
      <c r="C3370" s="5" t="s">
        <v>5436</v>
      </c>
      <c r="D3370" s="6">
        <v>491.53</v>
      </c>
      <c r="E3370" s="6">
        <v>485.9</v>
      </c>
      <c r="F3370" s="7" t="s">
        <v>14</v>
      </c>
      <c r="G3370" s="8" t="s">
        <v>6322</v>
      </c>
      <c r="H3370" s="8" t="s">
        <v>16</v>
      </c>
      <c r="I3370" s="9">
        <v>1407</v>
      </c>
      <c r="J3370" s="10">
        <v>2</v>
      </c>
      <c r="K3370" s="10">
        <v>7722</v>
      </c>
      <c r="L3370" s="3" t="str">
        <f t="shared" si="107"/>
        <v>ΛΟΙΠΑ_ΣΙΤΗΡΑ</v>
      </c>
    </row>
    <row r="3371" spans="1:12" s="3" customFormat="1" ht="15" customHeight="1" x14ac:dyDescent="0.25">
      <c r="A3371" s="3" t="str">
        <f t="shared" si="106"/>
        <v>ΛΟΙΠΑ ΣΙΤΗΡΑΣΙΤΟΣ ΜΑΛΑΚΟΣ ΘΕΡΜΗ</v>
      </c>
      <c r="B3371" s="4" t="s">
        <v>6025</v>
      </c>
      <c r="C3371" s="5" t="s">
        <v>5438</v>
      </c>
      <c r="D3371" s="6">
        <v>491.53</v>
      </c>
      <c r="E3371" s="6">
        <v>485.9</v>
      </c>
      <c r="F3371" s="7" t="s">
        <v>14</v>
      </c>
      <c r="G3371" s="8" t="s">
        <v>6323</v>
      </c>
      <c r="H3371" s="8" t="s">
        <v>16</v>
      </c>
      <c r="I3371" s="9">
        <v>1406</v>
      </c>
      <c r="J3371" s="10">
        <v>2</v>
      </c>
      <c r="K3371" s="10">
        <v>7723</v>
      </c>
      <c r="L3371" s="3" t="str">
        <f t="shared" si="107"/>
        <v>ΛΟΙΠΑ_ΣΙΤΗΡΑ</v>
      </c>
    </row>
    <row r="3372" spans="1:12" s="3" customFormat="1" ht="15" customHeight="1" x14ac:dyDescent="0.25">
      <c r="A3372" s="3" t="str">
        <f t="shared" si="106"/>
        <v>ΛΟΙΠΑ ΣΙΤΗΡΑΣΙΤΟΣ ΜΑΛΑΚΟΣ ΘΥΑΜΙΣ</v>
      </c>
      <c r="B3372" s="4" t="s">
        <v>6025</v>
      </c>
      <c r="C3372" s="5" t="s">
        <v>5440</v>
      </c>
      <c r="D3372" s="6">
        <v>491.53</v>
      </c>
      <c r="E3372" s="6">
        <v>485.9</v>
      </c>
      <c r="F3372" s="7" t="s">
        <v>14</v>
      </c>
      <c r="G3372" s="8" t="s">
        <v>6324</v>
      </c>
      <c r="H3372" s="8" t="s">
        <v>16</v>
      </c>
      <c r="I3372" s="9">
        <v>1405</v>
      </c>
      <c r="J3372" s="10">
        <v>2</v>
      </c>
      <c r="K3372" s="10">
        <v>7724</v>
      </c>
      <c r="L3372" s="3" t="str">
        <f t="shared" si="107"/>
        <v>ΛΟΙΠΑ_ΣΙΤΗΡΑ</v>
      </c>
    </row>
    <row r="3373" spans="1:12" s="3" customFormat="1" ht="15" customHeight="1" x14ac:dyDescent="0.25">
      <c r="A3373" s="3" t="str">
        <f t="shared" si="106"/>
        <v>ΛΟΙΠΑ ΣΙΤΗΡΑΣΙΤΟΣ ΜΑΛΑΚΟΣ JANTAR</v>
      </c>
      <c r="B3373" s="4" t="s">
        <v>6025</v>
      </c>
      <c r="C3373" s="5" t="s">
        <v>5442</v>
      </c>
      <c r="D3373" s="6">
        <v>491.53</v>
      </c>
      <c r="E3373" s="6">
        <v>485.9</v>
      </c>
      <c r="F3373" s="7" t="s">
        <v>14</v>
      </c>
      <c r="G3373" s="8" t="s">
        <v>6325</v>
      </c>
      <c r="H3373" s="8" t="s">
        <v>16</v>
      </c>
      <c r="I3373" s="9">
        <v>1404</v>
      </c>
      <c r="J3373" s="10">
        <v>2</v>
      </c>
      <c r="K3373" s="10">
        <v>7725</v>
      </c>
      <c r="L3373" s="3" t="str">
        <f t="shared" si="107"/>
        <v>ΛΟΙΠΑ_ΣΙΤΗΡΑ</v>
      </c>
    </row>
    <row r="3374" spans="1:12" s="3" customFormat="1" ht="15" customHeight="1" x14ac:dyDescent="0.25">
      <c r="A3374" s="3" t="str">
        <f t="shared" si="106"/>
        <v>ΛΟΙΠΑ ΣΙΤΗΡΑΣΙΤΟΣ ΜΑΛΑΚΟΣ IRNERIO</v>
      </c>
      <c r="B3374" s="4" t="s">
        <v>6025</v>
      </c>
      <c r="C3374" s="5" t="s">
        <v>5444</v>
      </c>
      <c r="D3374" s="6">
        <v>491.53</v>
      </c>
      <c r="E3374" s="6">
        <v>485.9</v>
      </c>
      <c r="F3374" s="7" t="s">
        <v>14</v>
      </c>
      <c r="G3374" s="8" t="s">
        <v>6326</v>
      </c>
      <c r="H3374" s="8" t="s">
        <v>16</v>
      </c>
      <c r="I3374" s="9">
        <v>1403</v>
      </c>
      <c r="J3374" s="10">
        <v>2</v>
      </c>
      <c r="K3374" s="10">
        <v>7726</v>
      </c>
      <c r="L3374" s="3" t="str">
        <f t="shared" si="107"/>
        <v>ΛΟΙΠΑ_ΣΙΤΗΡΑ</v>
      </c>
    </row>
    <row r="3375" spans="1:12" s="3" customFormat="1" ht="15" customHeight="1" x14ac:dyDescent="0.25">
      <c r="A3375" s="3" t="str">
        <f t="shared" si="106"/>
        <v>ΛΟΙΠΑ ΣΙΤΗΡΑΣΙΤΟΣ ΜΑΛΑΚΟΣ KATIA</v>
      </c>
      <c r="B3375" s="4" t="s">
        <v>6025</v>
      </c>
      <c r="C3375" s="5" t="s">
        <v>5446</v>
      </c>
      <c r="D3375" s="6">
        <v>491.53</v>
      </c>
      <c r="E3375" s="6">
        <v>485.9</v>
      </c>
      <c r="F3375" s="7" t="s">
        <v>14</v>
      </c>
      <c r="G3375" s="8" t="s">
        <v>6327</v>
      </c>
      <c r="H3375" s="8" t="s">
        <v>16</v>
      </c>
      <c r="I3375" s="9">
        <v>1402</v>
      </c>
      <c r="J3375" s="10">
        <v>2</v>
      </c>
      <c r="K3375" s="10">
        <v>7727</v>
      </c>
      <c r="L3375" s="3" t="str">
        <f t="shared" si="107"/>
        <v>ΛΟΙΠΑ_ΣΙΤΗΡΑ</v>
      </c>
    </row>
    <row r="3376" spans="1:12" s="3" customFormat="1" ht="15" customHeight="1" x14ac:dyDescent="0.25">
      <c r="A3376" s="3" t="str">
        <f t="shared" si="106"/>
        <v>ΛΟΙΠΑ ΣΙΤΗΡΑΣΙΤΟΣ ΜΑΛΑΚΟΣ ΛΟΥΔΙΑΣ</v>
      </c>
      <c r="B3376" s="4" t="s">
        <v>6025</v>
      </c>
      <c r="C3376" s="5" t="s">
        <v>5448</v>
      </c>
      <c r="D3376" s="6">
        <v>491.53</v>
      </c>
      <c r="E3376" s="6">
        <v>485.9</v>
      </c>
      <c r="F3376" s="7" t="s">
        <v>14</v>
      </c>
      <c r="G3376" s="8" t="s">
        <v>6328</v>
      </c>
      <c r="H3376" s="8" t="s">
        <v>16</v>
      </c>
      <c r="I3376" s="9">
        <v>1401</v>
      </c>
      <c r="J3376" s="10">
        <v>2</v>
      </c>
      <c r="K3376" s="10">
        <v>7728</v>
      </c>
      <c r="L3376" s="3" t="str">
        <f t="shared" si="107"/>
        <v>ΛΟΙΠΑ_ΣΙΤΗΡΑ</v>
      </c>
    </row>
    <row r="3377" spans="1:12" s="3" customFormat="1" ht="15" customHeight="1" x14ac:dyDescent="0.25">
      <c r="A3377" s="3" t="str">
        <f t="shared" si="106"/>
        <v>ΛΟΙΠΑ ΣΙΤΗΡΑΣΙΤΟΣ ΜΑΛΑΚΟΣ ΛΟΥΡΟΣ</v>
      </c>
      <c r="B3377" s="4" t="s">
        <v>6025</v>
      </c>
      <c r="C3377" s="5" t="s">
        <v>5450</v>
      </c>
      <c r="D3377" s="6">
        <v>491.53</v>
      </c>
      <c r="E3377" s="6">
        <v>485.9</v>
      </c>
      <c r="F3377" s="7" t="s">
        <v>14</v>
      </c>
      <c r="G3377" s="8" t="s">
        <v>6329</v>
      </c>
      <c r="H3377" s="8" t="s">
        <v>16</v>
      </c>
      <c r="I3377" s="9">
        <v>1400</v>
      </c>
      <c r="J3377" s="10">
        <v>2</v>
      </c>
      <c r="K3377" s="10">
        <v>7729</v>
      </c>
      <c r="L3377" s="3" t="str">
        <f t="shared" si="107"/>
        <v>ΛΟΙΠΑ_ΣΙΤΗΡΑ</v>
      </c>
    </row>
    <row r="3378" spans="1:12" s="3" customFormat="1" ht="15" customHeight="1" x14ac:dyDescent="0.25">
      <c r="A3378" s="3" t="str">
        <f t="shared" si="106"/>
        <v>ΛΟΙΠΑ ΣΙΤΗΡΑΣΙΤΟΣ ΜΑΛΑΚΟΣ ΛΥΔΙΑ</v>
      </c>
      <c r="B3378" s="4" t="s">
        <v>6025</v>
      </c>
      <c r="C3378" s="5" t="s">
        <v>5452</v>
      </c>
      <c r="D3378" s="6">
        <v>491.53</v>
      </c>
      <c r="E3378" s="6">
        <v>485.9</v>
      </c>
      <c r="F3378" s="7" t="s">
        <v>14</v>
      </c>
      <c r="G3378" s="8" t="s">
        <v>6330</v>
      </c>
      <c r="H3378" s="8" t="s">
        <v>16</v>
      </c>
      <c r="I3378" s="9">
        <v>1398</v>
      </c>
      <c r="J3378" s="10">
        <v>2</v>
      </c>
      <c r="K3378" s="10">
        <v>7730</v>
      </c>
      <c r="L3378" s="3" t="str">
        <f t="shared" si="107"/>
        <v>ΛΟΙΠΑ_ΣΙΤΗΡΑ</v>
      </c>
    </row>
    <row r="3379" spans="1:12" s="3" customFormat="1" ht="15" customHeight="1" x14ac:dyDescent="0.25">
      <c r="A3379" s="3" t="str">
        <f t="shared" si="106"/>
        <v>ΛΟΙΠΑ ΣΙΤΗΡΑΣΙΤΟΣ ΜΑΛΑΚΟΣ MEC</v>
      </c>
      <c r="B3379" s="4" t="s">
        <v>6025</v>
      </c>
      <c r="C3379" s="5" t="s">
        <v>5454</v>
      </c>
      <c r="D3379" s="6">
        <v>491.53</v>
      </c>
      <c r="E3379" s="6">
        <v>485.9</v>
      </c>
      <c r="F3379" s="7" t="s">
        <v>14</v>
      </c>
      <c r="G3379" s="8" t="s">
        <v>6331</v>
      </c>
      <c r="H3379" s="8" t="s">
        <v>16</v>
      </c>
      <c r="I3379" s="9">
        <v>1382</v>
      </c>
      <c r="J3379" s="10">
        <v>2</v>
      </c>
      <c r="K3379" s="10">
        <v>7731</v>
      </c>
      <c r="L3379" s="3" t="str">
        <f t="shared" si="107"/>
        <v>ΛΟΙΠΑ_ΣΙΤΗΡΑ</v>
      </c>
    </row>
    <row r="3380" spans="1:12" s="3" customFormat="1" ht="15" customHeight="1" x14ac:dyDescent="0.25">
      <c r="A3380" s="3" t="str">
        <f t="shared" si="106"/>
        <v>ΛΟΙΠΑ ΣΙΤΗΡΑΣΙΤΟΣ ΜΑΛΑΚΟΣ ΜΕΛΙΑ</v>
      </c>
      <c r="B3380" s="4" t="s">
        <v>6025</v>
      </c>
      <c r="C3380" s="5" t="s">
        <v>5456</v>
      </c>
      <c r="D3380" s="6">
        <v>491.53</v>
      </c>
      <c r="E3380" s="6">
        <v>485.9</v>
      </c>
      <c r="F3380" s="7" t="s">
        <v>14</v>
      </c>
      <c r="G3380" s="8" t="s">
        <v>6332</v>
      </c>
      <c r="H3380" s="8" t="s">
        <v>16</v>
      </c>
      <c r="I3380" s="9">
        <v>1396</v>
      </c>
      <c r="J3380" s="10">
        <v>2</v>
      </c>
      <c r="K3380" s="10">
        <v>7732</v>
      </c>
      <c r="L3380" s="3" t="str">
        <f t="shared" si="107"/>
        <v>ΛΟΙΠΑ_ΣΙΤΗΡΑ</v>
      </c>
    </row>
    <row r="3381" spans="1:12" s="3" customFormat="1" ht="15" customHeight="1" x14ac:dyDescent="0.25">
      <c r="A3381" s="3" t="str">
        <f t="shared" si="106"/>
        <v>ΛΟΙΠΑ ΣΙΤΗΡΑΣΙΤΟΣ ΜΑΛΑΚΟΣ ΜΥΚΟΝΟΣ</v>
      </c>
      <c r="B3381" s="4" t="s">
        <v>6025</v>
      </c>
      <c r="C3381" s="5" t="s">
        <v>5458</v>
      </c>
      <c r="D3381" s="6">
        <v>491.53</v>
      </c>
      <c r="E3381" s="6">
        <v>485.9</v>
      </c>
      <c r="F3381" s="7" t="s">
        <v>14</v>
      </c>
      <c r="G3381" s="8" t="s">
        <v>6333</v>
      </c>
      <c r="H3381" s="8" t="s">
        <v>16</v>
      </c>
      <c r="I3381" s="9">
        <v>1410</v>
      </c>
      <c r="J3381" s="10">
        <v>2</v>
      </c>
      <c r="K3381" s="10">
        <v>7733</v>
      </c>
      <c r="L3381" s="3" t="str">
        <f t="shared" si="107"/>
        <v>ΛΟΙΠΑ_ΣΙΤΗΡΑ</v>
      </c>
    </row>
    <row r="3382" spans="1:12" s="3" customFormat="1" ht="15" customHeight="1" x14ac:dyDescent="0.25">
      <c r="A3382" s="3" t="str">
        <f t="shared" si="106"/>
        <v>ΛΟΙΠΑ ΣΙΤΗΡΑΣΙΤΟΣ ΜΑΛΑΚΟΣ ΝΕΣΤΟΣ</v>
      </c>
      <c r="B3382" s="4" t="s">
        <v>6025</v>
      </c>
      <c r="C3382" s="5" t="s">
        <v>5460</v>
      </c>
      <c r="D3382" s="6">
        <v>491.53</v>
      </c>
      <c r="E3382" s="6">
        <v>485.9</v>
      </c>
      <c r="F3382" s="7" t="s">
        <v>14</v>
      </c>
      <c r="G3382" s="8" t="s">
        <v>6334</v>
      </c>
      <c r="H3382" s="8" t="s">
        <v>16</v>
      </c>
      <c r="I3382" s="9">
        <v>1394</v>
      </c>
      <c r="J3382" s="10">
        <v>2</v>
      </c>
      <c r="K3382" s="10">
        <v>7734</v>
      </c>
      <c r="L3382" s="3" t="str">
        <f t="shared" si="107"/>
        <v>ΛΟΙΠΑ_ΣΙΤΗΡΑ</v>
      </c>
    </row>
    <row r="3383" spans="1:12" s="3" customFormat="1" ht="15" customHeight="1" x14ac:dyDescent="0.25">
      <c r="A3383" s="3" t="str">
        <f t="shared" si="106"/>
        <v>ΛΟΙΠΑ ΣΙΤΗΡΑΣΙΤΟΣ ΜΑΛΑΚΟΣ ΝΙΚΗ</v>
      </c>
      <c r="B3383" s="4" t="s">
        <v>6025</v>
      </c>
      <c r="C3383" s="5" t="s">
        <v>5462</v>
      </c>
      <c r="D3383" s="6">
        <v>491.53</v>
      </c>
      <c r="E3383" s="6">
        <v>485.9</v>
      </c>
      <c r="F3383" s="7" t="s">
        <v>14</v>
      </c>
      <c r="G3383" s="8" t="s">
        <v>6335</v>
      </c>
      <c r="H3383" s="8" t="s">
        <v>16</v>
      </c>
      <c r="I3383" s="9">
        <v>1393</v>
      </c>
      <c r="J3383" s="10">
        <v>2</v>
      </c>
      <c r="K3383" s="10">
        <v>7735</v>
      </c>
      <c r="L3383" s="3" t="str">
        <f t="shared" si="107"/>
        <v>ΛΟΙΠΑ_ΣΙΤΗΡΑ</v>
      </c>
    </row>
    <row r="3384" spans="1:12" s="3" customFormat="1" ht="15" customHeight="1" x14ac:dyDescent="0.25">
      <c r="A3384" s="3" t="str">
        <f t="shared" si="106"/>
        <v>ΛΟΙΠΑ ΣΙΤΗΡΑΣΙΤΟΣ ΜΑΛΑΚΟΣ ΞΕΝΙΑ</v>
      </c>
      <c r="B3384" s="4" t="s">
        <v>6025</v>
      </c>
      <c r="C3384" s="5" t="s">
        <v>5464</v>
      </c>
      <c r="D3384" s="6">
        <v>491.53</v>
      </c>
      <c r="E3384" s="6">
        <v>485.9</v>
      </c>
      <c r="F3384" s="7" t="s">
        <v>14</v>
      </c>
      <c r="G3384" s="8" t="s">
        <v>6336</v>
      </c>
      <c r="H3384" s="8" t="s">
        <v>16</v>
      </c>
      <c r="I3384" s="9">
        <v>1392</v>
      </c>
      <c r="J3384" s="10">
        <v>2</v>
      </c>
      <c r="K3384" s="10">
        <v>7736</v>
      </c>
      <c r="L3384" s="3" t="str">
        <f t="shared" si="107"/>
        <v>ΛΟΙΠΑ_ΣΙΤΗΡΑ</v>
      </c>
    </row>
    <row r="3385" spans="1:12" s="3" customFormat="1" ht="15" customHeight="1" x14ac:dyDescent="0.25">
      <c r="A3385" s="3" t="str">
        <f t="shared" si="106"/>
        <v>ΛΟΙΠΑ ΣΙΤΗΡΑΣΙΤΟΣ ΜΑΛΑΚΟΣ ORSO</v>
      </c>
      <c r="B3385" s="4" t="s">
        <v>6025</v>
      </c>
      <c r="C3385" s="5" t="s">
        <v>5466</v>
      </c>
      <c r="D3385" s="6">
        <v>491.53</v>
      </c>
      <c r="E3385" s="6">
        <v>485.9</v>
      </c>
      <c r="F3385" s="7" t="s">
        <v>14</v>
      </c>
      <c r="G3385" s="8" t="s">
        <v>6337</v>
      </c>
      <c r="H3385" s="8" t="s">
        <v>16</v>
      </c>
      <c r="I3385" s="9">
        <v>1391</v>
      </c>
      <c r="J3385" s="10">
        <v>2</v>
      </c>
      <c r="K3385" s="10">
        <v>7737</v>
      </c>
      <c r="L3385" s="3" t="str">
        <f t="shared" si="107"/>
        <v>ΛΟΙΠΑ_ΣΙΤΗΡΑ</v>
      </c>
    </row>
    <row r="3386" spans="1:12" s="3" customFormat="1" ht="15" customHeight="1" x14ac:dyDescent="0.25">
      <c r="A3386" s="3" t="str">
        <f t="shared" si="106"/>
        <v>ΛΟΙΠΑ ΣΙΤΗΡΑΣΙΤΟΣ ΜΑΛΑΚΟΣ ΠΕΛΛΑ</v>
      </c>
      <c r="B3386" s="4" t="s">
        <v>6025</v>
      </c>
      <c r="C3386" s="5" t="s">
        <v>5468</v>
      </c>
      <c r="D3386" s="6">
        <v>491.53</v>
      </c>
      <c r="E3386" s="6">
        <v>485.9</v>
      </c>
      <c r="F3386" s="7" t="s">
        <v>14</v>
      </c>
      <c r="G3386" s="8" t="s">
        <v>6338</v>
      </c>
      <c r="H3386" s="8" t="s">
        <v>16</v>
      </c>
      <c r="I3386" s="9">
        <v>1390</v>
      </c>
      <c r="J3386" s="10">
        <v>2</v>
      </c>
      <c r="K3386" s="10">
        <v>7738</v>
      </c>
      <c r="L3386" s="3" t="str">
        <f t="shared" si="107"/>
        <v>ΛΟΙΠΑ_ΣΙΤΗΡΑ</v>
      </c>
    </row>
    <row r="3387" spans="1:12" s="3" customFormat="1" ht="15" customHeight="1" x14ac:dyDescent="0.25">
      <c r="A3387" s="3" t="str">
        <f t="shared" si="106"/>
        <v>ΛΟΙΠΑ ΣΙΤΗΡΑΣΙΤΟΣ ΜΑΛΑΚΟΣ ΠΗΝΕΙΟΣ</v>
      </c>
      <c r="B3387" s="4" t="s">
        <v>6025</v>
      </c>
      <c r="C3387" s="5" t="s">
        <v>5470</v>
      </c>
      <c r="D3387" s="6">
        <v>491.53</v>
      </c>
      <c r="E3387" s="6">
        <v>485.9</v>
      </c>
      <c r="F3387" s="7" t="s">
        <v>14</v>
      </c>
      <c r="G3387" s="8" t="s">
        <v>6339</v>
      </c>
      <c r="H3387" s="8" t="s">
        <v>16</v>
      </c>
      <c r="I3387" s="9">
        <v>1389</v>
      </c>
      <c r="J3387" s="10">
        <v>2</v>
      </c>
      <c r="K3387" s="10">
        <v>7739</v>
      </c>
      <c r="L3387" s="3" t="str">
        <f t="shared" si="107"/>
        <v>ΛΟΙΠΑ_ΣΙΤΗΡΑ</v>
      </c>
    </row>
    <row r="3388" spans="1:12" s="3" customFormat="1" ht="15" customHeight="1" x14ac:dyDescent="0.25">
      <c r="A3388" s="3" t="str">
        <f t="shared" si="106"/>
        <v>ΛΟΙΠΑ ΣΙΤΗΡΑΣΙΤΟΣ ΜΑΛΑΚΟΣ ΠΤΟΛΕΜΑΙΣ-1001</v>
      </c>
      <c r="B3388" s="4" t="s">
        <v>6025</v>
      </c>
      <c r="C3388" s="5" t="s">
        <v>5472</v>
      </c>
      <c r="D3388" s="6">
        <v>491.53</v>
      </c>
      <c r="E3388" s="6">
        <v>485.9</v>
      </c>
      <c r="F3388" s="7" t="s">
        <v>14</v>
      </c>
      <c r="G3388" s="8" t="s">
        <v>6340</v>
      </c>
      <c r="H3388" s="8" t="s">
        <v>16</v>
      </c>
      <c r="I3388" s="9">
        <v>1437</v>
      </c>
      <c r="J3388" s="10">
        <v>2</v>
      </c>
      <c r="K3388" s="10">
        <v>7740</v>
      </c>
      <c r="L3388" s="3" t="str">
        <f t="shared" si="107"/>
        <v>ΛΟΙΠΑ_ΣΙΤΗΡΑ</v>
      </c>
    </row>
    <row r="3389" spans="1:12" s="3" customFormat="1" ht="15" customHeight="1" x14ac:dyDescent="0.25">
      <c r="A3389" s="3" t="str">
        <f t="shared" si="106"/>
        <v>ΛΟΙΠΑ ΣΙΤΗΡΑΣΙΤΟΣ ΜΑΛΑΚΟΣ RINCONADA</v>
      </c>
      <c r="B3389" s="4" t="s">
        <v>6025</v>
      </c>
      <c r="C3389" s="5" t="s">
        <v>5474</v>
      </c>
      <c r="D3389" s="6">
        <v>491.53</v>
      </c>
      <c r="E3389" s="6">
        <v>485.9</v>
      </c>
      <c r="F3389" s="7" t="s">
        <v>14</v>
      </c>
      <c r="G3389" s="8" t="s">
        <v>6341</v>
      </c>
      <c r="H3389" s="8" t="s">
        <v>16</v>
      </c>
      <c r="I3389" s="9">
        <v>1436</v>
      </c>
      <c r="J3389" s="10">
        <v>2</v>
      </c>
      <c r="K3389" s="10">
        <v>7741</v>
      </c>
      <c r="L3389" s="3" t="str">
        <f t="shared" si="107"/>
        <v>ΛΟΙΠΑ_ΣΙΤΗΡΑ</v>
      </c>
    </row>
    <row r="3390" spans="1:12" s="3" customFormat="1" ht="15" customHeight="1" x14ac:dyDescent="0.25">
      <c r="A3390" s="3" t="str">
        <f t="shared" si="106"/>
        <v>ΛΟΙΠΑ ΣΙΤΗΡΑΣΙΤΟΣ ΜΑΛΑΚΟΣ ΣΙΕΤΕ ΣΕΡ.</v>
      </c>
      <c r="B3390" s="4" t="s">
        <v>6025</v>
      </c>
      <c r="C3390" s="5" t="s">
        <v>5476</v>
      </c>
      <c r="D3390" s="6">
        <v>491.53</v>
      </c>
      <c r="E3390" s="6">
        <v>485.9</v>
      </c>
      <c r="F3390" s="7" t="s">
        <v>14</v>
      </c>
      <c r="G3390" s="8" t="s">
        <v>6342</v>
      </c>
      <c r="H3390" s="8" t="s">
        <v>16</v>
      </c>
      <c r="I3390" s="9">
        <v>1435</v>
      </c>
      <c r="J3390" s="10">
        <v>2</v>
      </c>
      <c r="K3390" s="10">
        <v>7742</v>
      </c>
      <c r="L3390" s="3" t="str">
        <f t="shared" si="107"/>
        <v>ΛΟΙΠΑ_ΣΙΤΗΡΑ</v>
      </c>
    </row>
    <row r="3391" spans="1:12" s="3" customFormat="1" ht="15" customHeight="1" x14ac:dyDescent="0.25">
      <c r="A3391" s="3" t="str">
        <f t="shared" si="106"/>
        <v>ΛΟΙΠΑ ΣΙΤΗΡΑΣΙΤΟΣ ΜΑΛΑΚΟΣ SAVODO I</v>
      </c>
      <c r="B3391" s="4" t="s">
        <v>6025</v>
      </c>
      <c r="C3391" s="5" t="s">
        <v>5478</v>
      </c>
      <c r="D3391" s="6">
        <v>491.53</v>
      </c>
      <c r="E3391" s="6">
        <v>485.9</v>
      </c>
      <c r="F3391" s="7" t="s">
        <v>14</v>
      </c>
      <c r="G3391" s="8" t="s">
        <v>6343</v>
      </c>
      <c r="H3391" s="8" t="s">
        <v>16</v>
      </c>
      <c r="I3391" s="9">
        <v>1434</v>
      </c>
      <c r="J3391" s="10">
        <v>2</v>
      </c>
      <c r="K3391" s="10">
        <v>7743</v>
      </c>
      <c r="L3391" s="3" t="str">
        <f t="shared" si="107"/>
        <v>ΛΟΙΠΑ_ΣΙΤΗΡΑ</v>
      </c>
    </row>
    <row r="3392" spans="1:12" s="3" customFormat="1" ht="15" customHeight="1" x14ac:dyDescent="0.25">
      <c r="A3392" s="3" t="str">
        <f t="shared" si="106"/>
        <v>ΛΟΙΠΑ ΣΙΤΗΡΑΣΙΤΟΣ ΜΑΛΑΚΟΣ SK-136</v>
      </c>
      <c r="B3392" s="4" t="s">
        <v>6025</v>
      </c>
      <c r="C3392" s="5" t="s">
        <v>5480</v>
      </c>
      <c r="D3392" s="6">
        <v>491.53</v>
      </c>
      <c r="E3392" s="6">
        <v>485.9</v>
      </c>
      <c r="F3392" s="7" t="s">
        <v>14</v>
      </c>
      <c r="G3392" s="8" t="s">
        <v>6344</v>
      </c>
      <c r="H3392" s="8" t="s">
        <v>16</v>
      </c>
      <c r="I3392" s="9">
        <v>1433</v>
      </c>
      <c r="J3392" s="10">
        <v>2</v>
      </c>
      <c r="K3392" s="10">
        <v>7744</v>
      </c>
      <c r="L3392" s="3" t="str">
        <f t="shared" si="107"/>
        <v>ΛΟΙΠΑ_ΣΙΤΗΡΑ</v>
      </c>
    </row>
    <row r="3393" spans="1:12" s="3" customFormat="1" ht="15" customHeight="1" x14ac:dyDescent="0.25">
      <c r="A3393" s="3" t="str">
        <f t="shared" si="106"/>
        <v>ΛΟΙΠΑ ΣΙΤΗΡΑΣΙΤΟΣ ΜΑΛΑΚΟΣ SCORJANKA</v>
      </c>
      <c r="B3393" s="4" t="s">
        <v>6025</v>
      </c>
      <c r="C3393" s="5" t="s">
        <v>5482</v>
      </c>
      <c r="D3393" s="6">
        <v>491.53</v>
      </c>
      <c r="E3393" s="6">
        <v>485.9</v>
      </c>
      <c r="F3393" s="7" t="s">
        <v>14</v>
      </c>
      <c r="G3393" s="8" t="s">
        <v>6345</v>
      </c>
      <c r="H3393" s="8" t="s">
        <v>16</v>
      </c>
      <c r="I3393" s="9">
        <v>1432</v>
      </c>
      <c r="J3393" s="10">
        <v>2</v>
      </c>
      <c r="K3393" s="10">
        <v>7745</v>
      </c>
      <c r="L3393" s="3" t="str">
        <f t="shared" si="107"/>
        <v>ΛΟΙΠΑ_ΣΙΤΗΡΑ</v>
      </c>
    </row>
    <row r="3394" spans="1:12" s="3" customFormat="1" ht="15" customHeight="1" x14ac:dyDescent="0.25">
      <c r="A3394" s="3" t="str">
        <f t="shared" si="106"/>
        <v>ΛΟΙΠΑ ΣΙΤΗΡΑΣΙΤΟΣ ΜΑΛΑΚΟΣ SPADA</v>
      </c>
      <c r="B3394" s="4" t="s">
        <v>6025</v>
      </c>
      <c r="C3394" s="5" t="s">
        <v>5484</v>
      </c>
      <c r="D3394" s="6">
        <v>491.53</v>
      </c>
      <c r="E3394" s="6">
        <v>485.9</v>
      </c>
      <c r="F3394" s="7" t="s">
        <v>14</v>
      </c>
      <c r="G3394" s="8" t="s">
        <v>6346</v>
      </c>
      <c r="H3394" s="8" t="s">
        <v>16</v>
      </c>
      <c r="I3394" s="9">
        <v>1431</v>
      </c>
      <c r="J3394" s="10">
        <v>2</v>
      </c>
      <c r="K3394" s="10">
        <v>7746</v>
      </c>
      <c r="L3394" s="3" t="str">
        <f t="shared" si="107"/>
        <v>ΛΟΙΠΑ_ΣΙΤΗΡΑ</v>
      </c>
    </row>
    <row r="3395" spans="1:12" s="3" customFormat="1" ht="15" customHeight="1" x14ac:dyDescent="0.25">
      <c r="A3395" s="3" t="str">
        <f t="shared" ref="A3395:A3458" si="108">_xlfn.CONCAT(B3395,C3395)</f>
        <v>ΛΟΙΠΑ ΣΙΤΗΡΑΣΙΤΟΣ ΜΑΛΑΚΟΣ ΣΤΡΥΜΩΝΑΣ</v>
      </c>
      <c r="B3395" s="4" t="s">
        <v>6025</v>
      </c>
      <c r="C3395" s="5" t="s">
        <v>5486</v>
      </c>
      <c r="D3395" s="6">
        <v>491.53</v>
      </c>
      <c r="E3395" s="6">
        <v>485.9</v>
      </c>
      <c r="F3395" s="7" t="s">
        <v>14</v>
      </c>
      <c r="G3395" s="8" t="s">
        <v>6347</v>
      </c>
      <c r="H3395" s="8" t="s">
        <v>16</v>
      </c>
      <c r="I3395" s="9">
        <v>1429</v>
      </c>
      <c r="J3395" s="10">
        <v>2</v>
      </c>
      <c r="K3395" s="10">
        <v>7747</v>
      </c>
      <c r="L3395" s="3" t="str">
        <f t="shared" ref="L3395:L3458" si="109">IFERROR(SUBSTITUTE(SUBSTITUTE(SUBSTITUTE(SUBSTITUTE(SUBSTITUTE(B3395, "-", "_"), " ", "_"), ",", ""), "(", ""), ")", ""), B3395)</f>
        <v>ΛΟΙΠΑ_ΣΙΤΗΡΑ</v>
      </c>
    </row>
    <row r="3396" spans="1:12" s="3" customFormat="1" ht="15" customHeight="1" x14ac:dyDescent="0.25">
      <c r="A3396" s="3" t="str">
        <f t="shared" si="108"/>
        <v>ΛΟΙΠΑ ΣΙΤΗΡΑΣΙΤΟΣ ΜΑΛΑΚΟΣ Τα-399</v>
      </c>
      <c r="B3396" s="4" t="s">
        <v>6025</v>
      </c>
      <c r="C3396" s="5" t="s">
        <v>5488</v>
      </c>
      <c r="D3396" s="6">
        <v>491.53</v>
      </c>
      <c r="E3396" s="6">
        <v>485.9</v>
      </c>
      <c r="F3396" s="7" t="s">
        <v>14</v>
      </c>
      <c r="G3396" s="8" t="s">
        <v>6348</v>
      </c>
      <c r="H3396" s="8" t="s">
        <v>16</v>
      </c>
      <c r="I3396" s="9">
        <v>1428</v>
      </c>
      <c r="J3396" s="10">
        <v>2</v>
      </c>
      <c r="K3396" s="10">
        <v>7748</v>
      </c>
      <c r="L3396" s="3" t="str">
        <f t="shared" si="109"/>
        <v>ΛΟΙΠΑ_ΣΙΤΗΡΑ</v>
      </c>
    </row>
    <row r="3397" spans="1:12" s="3" customFormat="1" ht="15" customHeight="1" x14ac:dyDescent="0.25">
      <c r="A3397" s="3" t="str">
        <f t="shared" si="108"/>
        <v>ΛΟΙΠΑ ΣΙΤΗΡΑΣΙΤΟΣ ΜΑΛΑΚΟΣ TRIDA</v>
      </c>
      <c r="B3397" s="4" t="s">
        <v>6025</v>
      </c>
      <c r="C3397" s="5" t="s">
        <v>5490</v>
      </c>
      <c r="D3397" s="6">
        <v>491.53</v>
      </c>
      <c r="E3397" s="6">
        <v>485.9</v>
      </c>
      <c r="F3397" s="7" t="s">
        <v>14</v>
      </c>
      <c r="G3397" s="8" t="s">
        <v>6349</v>
      </c>
      <c r="H3397" s="8" t="s">
        <v>16</v>
      </c>
      <c r="I3397" s="9">
        <v>1427</v>
      </c>
      <c r="J3397" s="10">
        <v>2</v>
      </c>
      <c r="K3397" s="10">
        <v>7749</v>
      </c>
      <c r="L3397" s="3" t="str">
        <f t="shared" si="109"/>
        <v>ΛΟΙΠΑ_ΣΙΤΗΡΑ</v>
      </c>
    </row>
    <row r="3398" spans="1:12" s="3" customFormat="1" ht="15" customHeight="1" x14ac:dyDescent="0.25">
      <c r="A3398" s="3" t="str">
        <f t="shared" si="108"/>
        <v>ΛΟΙΠΑ ΣΙΤΗΡΑΣΙΤΟΣ ΜΑΛΑΚΟΣ VRATSA</v>
      </c>
      <c r="B3398" s="4" t="s">
        <v>6025</v>
      </c>
      <c r="C3398" s="5" t="s">
        <v>5492</v>
      </c>
      <c r="D3398" s="6">
        <v>491.53</v>
      </c>
      <c r="E3398" s="6">
        <v>485.9</v>
      </c>
      <c r="F3398" s="7" t="s">
        <v>14</v>
      </c>
      <c r="G3398" s="8" t="s">
        <v>6350</v>
      </c>
      <c r="H3398" s="8" t="s">
        <v>16</v>
      </c>
      <c r="I3398" s="9">
        <v>1411</v>
      </c>
      <c r="J3398" s="10">
        <v>2</v>
      </c>
      <c r="K3398" s="10">
        <v>7750</v>
      </c>
      <c r="L3398" s="3" t="str">
        <f t="shared" si="109"/>
        <v>ΛΟΙΠΑ_ΣΙΤΗΡΑ</v>
      </c>
    </row>
    <row r="3399" spans="1:12" s="3" customFormat="1" ht="15" customHeight="1" x14ac:dyDescent="0.25">
      <c r="A3399" s="3" t="str">
        <f t="shared" si="108"/>
        <v>ΛΟΙΠΑ ΣΙΤΗΡΑΣΙΤΟΣ ΜΑΛΑΚΟΣ ΣΚΟΡΔΑΛΙΑΡΗΣ</v>
      </c>
      <c r="B3399" s="4" t="s">
        <v>6025</v>
      </c>
      <c r="C3399" s="5" t="s">
        <v>5494</v>
      </c>
      <c r="D3399" s="6">
        <v>491.53</v>
      </c>
      <c r="E3399" s="6">
        <v>485.9</v>
      </c>
      <c r="F3399" s="7" t="s">
        <v>14</v>
      </c>
      <c r="G3399" s="8" t="s">
        <v>6351</v>
      </c>
      <c r="H3399" s="8" t="s">
        <v>16</v>
      </c>
      <c r="I3399" s="9">
        <v>1425</v>
      </c>
      <c r="J3399" s="10">
        <v>2</v>
      </c>
      <c r="K3399" s="10">
        <v>7777</v>
      </c>
      <c r="L3399" s="3" t="str">
        <f t="shared" si="109"/>
        <v>ΛΟΙΠΑ_ΣΙΤΗΡΑ</v>
      </c>
    </row>
    <row r="3400" spans="1:12" s="3" customFormat="1" ht="15" customHeight="1" x14ac:dyDescent="0.25">
      <c r="A3400" s="3" t="str">
        <f t="shared" si="108"/>
        <v>ΛΟΙΠΑ ΣΙΤΗΡΑΣΙΤΟΣ ΜΑΛΑΚΟΣ ΣΚΛΗΡΟΠΕΤΡΑ</v>
      </c>
      <c r="B3400" s="4" t="s">
        <v>6025</v>
      </c>
      <c r="C3400" s="5" t="s">
        <v>5496</v>
      </c>
      <c r="D3400" s="6">
        <v>491.53</v>
      </c>
      <c r="E3400" s="6">
        <v>485.9</v>
      </c>
      <c r="F3400" s="7" t="s">
        <v>14</v>
      </c>
      <c r="G3400" s="8" t="s">
        <v>6352</v>
      </c>
      <c r="H3400" s="8" t="s">
        <v>16</v>
      </c>
      <c r="I3400" s="9">
        <v>1440</v>
      </c>
      <c r="J3400" s="10">
        <v>2</v>
      </c>
      <c r="K3400" s="10">
        <v>7778</v>
      </c>
      <c r="L3400" s="3" t="str">
        <f t="shared" si="109"/>
        <v>ΛΟΙΠΑ_ΣΙΤΗΡΑ</v>
      </c>
    </row>
    <row r="3401" spans="1:12" s="3" customFormat="1" ht="15" customHeight="1" x14ac:dyDescent="0.25">
      <c r="A3401" s="3" t="str">
        <f t="shared" si="108"/>
        <v>ΛΟΙΠΑ ΣΙΤΗΡΑΣΙΤΟΣ ΜΑΛΑΚΟΣ ΑΡΝΑΟΥΤΙ</v>
      </c>
      <c r="B3401" s="4" t="s">
        <v>6025</v>
      </c>
      <c r="C3401" s="5" t="s">
        <v>5498</v>
      </c>
      <c r="D3401" s="6">
        <v>491.53</v>
      </c>
      <c r="E3401" s="6">
        <v>485.9</v>
      </c>
      <c r="F3401" s="7" t="s">
        <v>14</v>
      </c>
      <c r="G3401" s="8" t="s">
        <v>6353</v>
      </c>
      <c r="H3401" s="8" t="s">
        <v>16</v>
      </c>
      <c r="I3401" s="9">
        <v>1423</v>
      </c>
      <c r="J3401" s="10">
        <v>2</v>
      </c>
      <c r="K3401" s="10">
        <v>7779</v>
      </c>
      <c r="L3401" s="3" t="str">
        <f t="shared" si="109"/>
        <v>ΛΟΙΠΑ_ΣΙΤΗΡΑ</v>
      </c>
    </row>
    <row r="3402" spans="1:12" s="3" customFormat="1" ht="15" customHeight="1" x14ac:dyDescent="0.25">
      <c r="A3402" s="3" t="str">
        <f t="shared" si="108"/>
        <v>ΛΟΙΠΑ ΣΙΤΗΡΑΣΙΚΑΛΗ ΒΕΥΗ ΦΛΩΡΙΝΑΣ</v>
      </c>
      <c r="B3402" s="4" t="s">
        <v>6025</v>
      </c>
      <c r="C3402" s="5" t="s">
        <v>5500</v>
      </c>
      <c r="D3402" s="6">
        <v>263.07</v>
      </c>
      <c r="E3402" s="6">
        <v>280.62</v>
      </c>
      <c r="F3402" s="7" t="s">
        <v>14</v>
      </c>
      <c r="G3402" s="8" t="s">
        <v>6354</v>
      </c>
      <c r="H3402" s="8" t="s">
        <v>16</v>
      </c>
      <c r="I3402" s="9">
        <v>1421</v>
      </c>
      <c r="J3402" s="10">
        <v>2</v>
      </c>
      <c r="K3402" s="10">
        <v>7781</v>
      </c>
      <c r="L3402" s="3" t="str">
        <f t="shared" si="109"/>
        <v>ΛΟΙΠΑ_ΣΙΤΗΡΑ</v>
      </c>
    </row>
    <row r="3403" spans="1:12" s="3" customFormat="1" ht="15" customHeight="1" x14ac:dyDescent="0.25">
      <c r="A3403" s="3" t="str">
        <f t="shared" si="108"/>
        <v>ΛΟΙΠΑ ΣΙΤΗΡΑΒΡΩΜΗ ΤΡΙΚΑΛΩΝ</v>
      </c>
      <c r="B3403" s="4" t="s">
        <v>6025</v>
      </c>
      <c r="C3403" s="5" t="s">
        <v>5502</v>
      </c>
      <c r="D3403" s="6">
        <v>222.49</v>
      </c>
      <c r="E3403" s="6">
        <v>273.27</v>
      </c>
      <c r="F3403" s="7" t="s">
        <v>14</v>
      </c>
      <c r="G3403" s="8" t="s">
        <v>6355</v>
      </c>
      <c r="H3403" s="8" t="s">
        <v>16</v>
      </c>
      <c r="I3403" s="9">
        <v>1420</v>
      </c>
      <c r="J3403" s="10">
        <v>2</v>
      </c>
      <c r="K3403" s="10">
        <v>7782</v>
      </c>
      <c r="L3403" s="3" t="str">
        <f t="shared" si="109"/>
        <v>ΛΟΙΠΑ_ΣΙΤΗΡΑ</v>
      </c>
    </row>
    <row r="3404" spans="1:12" s="3" customFormat="1" ht="15" customHeight="1" x14ac:dyDescent="0.25">
      <c r="A3404" s="3" t="str">
        <f t="shared" si="108"/>
        <v>ΛΟΙΠΑ ΣΙΤΗΡΑΚΡΙΘΑΡΙ ΣΕΡΙΦΟΥ</v>
      </c>
      <c r="B3404" s="4" t="s">
        <v>6025</v>
      </c>
      <c r="C3404" s="5" t="s">
        <v>5504</v>
      </c>
      <c r="D3404" s="6">
        <v>466.58</v>
      </c>
      <c r="E3404" s="6">
        <v>366.77</v>
      </c>
      <c r="F3404" s="7" t="s">
        <v>14</v>
      </c>
      <c r="G3404" s="8" t="s">
        <v>6356</v>
      </c>
      <c r="H3404" s="8" t="s">
        <v>16</v>
      </c>
      <c r="I3404" s="9">
        <v>1419</v>
      </c>
      <c r="J3404" s="10">
        <v>2</v>
      </c>
      <c r="K3404" s="10">
        <v>7783</v>
      </c>
      <c r="L3404" s="3" t="str">
        <f t="shared" si="109"/>
        <v>ΛΟΙΠΑ_ΣΙΤΗΡΑ</v>
      </c>
    </row>
    <row r="3405" spans="1:12" s="3" customFormat="1" ht="15" customHeight="1" x14ac:dyDescent="0.25">
      <c r="A3405" s="3" t="str">
        <f t="shared" si="108"/>
        <v>ΛΟΙΠΑ ΣΙΤΗΡΑΚΡΙΘΑΡΙ ΚΥΘΝΟΥ</v>
      </c>
      <c r="B3405" s="4" t="s">
        <v>6025</v>
      </c>
      <c r="C3405" s="5" t="s">
        <v>5506</v>
      </c>
      <c r="D3405" s="6">
        <v>466.58</v>
      </c>
      <c r="E3405" s="6">
        <v>366.77</v>
      </c>
      <c r="F3405" s="7" t="s">
        <v>14</v>
      </c>
      <c r="G3405" s="8" t="s">
        <v>6357</v>
      </c>
      <c r="H3405" s="8" t="s">
        <v>16</v>
      </c>
      <c r="I3405" s="9">
        <v>1418</v>
      </c>
      <c r="J3405" s="10">
        <v>2</v>
      </c>
      <c r="K3405" s="10">
        <v>7784</v>
      </c>
      <c r="L3405" s="3" t="str">
        <f t="shared" si="109"/>
        <v>ΛΟΙΠΑ_ΣΙΤΗΡΑ</v>
      </c>
    </row>
    <row r="3406" spans="1:12" s="3" customFormat="1" ht="15" customHeight="1" x14ac:dyDescent="0.25">
      <c r="A3406" s="3" t="str">
        <f t="shared" si="108"/>
        <v>ΛΟΙΠΑ ΣΙΤΗΡΑΚΡΙΘΑΡΙ ΤΡΙΚΑΛΩΝ</v>
      </c>
      <c r="B3406" s="4" t="s">
        <v>6025</v>
      </c>
      <c r="C3406" s="5" t="s">
        <v>5508</v>
      </c>
      <c r="D3406" s="6">
        <v>466.58</v>
      </c>
      <c r="E3406" s="6">
        <v>366.77</v>
      </c>
      <c r="F3406" s="7" t="s">
        <v>14</v>
      </c>
      <c r="G3406" s="8" t="s">
        <v>6358</v>
      </c>
      <c r="H3406" s="8" t="s">
        <v>16</v>
      </c>
      <c r="I3406" s="9">
        <v>1417</v>
      </c>
      <c r="J3406" s="10">
        <v>2</v>
      </c>
      <c r="K3406" s="10">
        <v>7785</v>
      </c>
      <c r="L3406" s="3" t="str">
        <f t="shared" si="109"/>
        <v>ΛΟΙΠΑ_ΣΙΤΗΡΑ</v>
      </c>
    </row>
    <row r="3407" spans="1:12" s="3" customFormat="1" ht="15" customHeight="1" x14ac:dyDescent="0.25">
      <c r="A3407" s="3" t="str">
        <f t="shared" si="108"/>
        <v>ΛΟΙΠΑ ΣΙΤΗΡΑΚΡΙΘΑΡΙ ΝΑΞΟΥ</v>
      </c>
      <c r="B3407" s="4" t="s">
        <v>6025</v>
      </c>
      <c r="C3407" s="5" t="s">
        <v>5510</v>
      </c>
      <c r="D3407" s="6">
        <v>466.58</v>
      </c>
      <c r="E3407" s="6">
        <v>366.77</v>
      </c>
      <c r="F3407" s="7" t="s">
        <v>14</v>
      </c>
      <c r="G3407" s="8" t="s">
        <v>6359</v>
      </c>
      <c r="H3407" s="8" t="s">
        <v>16</v>
      </c>
      <c r="I3407" s="9">
        <v>1416</v>
      </c>
      <c r="J3407" s="10">
        <v>2</v>
      </c>
      <c r="K3407" s="10">
        <v>7786</v>
      </c>
      <c r="L3407" s="3" t="str">
        <f t="shared" si="109"/>
        <v>ΛΟΙΠΑ_ΣΙΤΗΡΑ</v>
      </c>
    </row>
    <row r="3408" spans="1:12" s="3" customFormat="1" ht="15" customHeight="1" x14ac:dyDescent="0.25">
      <c r="A3408" s="3" t="str">
        <f t="shared" si="108"/>
        <v>ΛΟΙΠΑ ΣΙΤΗΡΑΑΛΟΓΟΚΡΙΘΟ</v>
      </c>
      <c r="B3408" s="4" t="s">
        <v>6025</v>
      </c>
      <c r="C3408" s="5" t="s">
        <v>5512</v>
      </c>
      <c r="D3408" s="6">
        <v>466.58</v>
      </c>
      <c r="E3408" s="6">
        <v>366.77</v>
      </c>
      <c r="F3408" s="7" t="s">
        <v>14</v>
      </c>
      <c r="G3408" s="8" t="s">
        <v>6360</v>
      </c>
      <c r="H3408" s="8" t="s">
        <v>16</v>
      </c>
      <c r="I3408" s="9">
        <v>1415</v>
      </c>
      <c r="J3408" s="10">
        <v>2</v>
      </c>
      <c r="K3408" s="10">
        <v>7787</v>
      </c>
      <c r="L3408" s="3" t="str">
        <f t="shared" si="109"/>
        <v>ΛΟΙΠΑ_ΣΙΤΗΡΑ</v>
      </c>
    </row>
    <row r="3409" spans="1:12" s="3" customFormat="1" ht="15" customHeight="1" x14ac:dyDescent="0.25">
      <c r="A3409" s="3" t="str">
        <f t="shared" si="108"/>
        <v>ΛΟΙΠΑ ΣΙΤΗΡΑΓΟΥΜΑΡΟΚΡΙΘΟ</v>
      </c>
      <c r="B3409" s="4" t="s">
        <v>6025</v>
      </c>
      <c r="C3409" s="5" t="s">
        <v>5514</v>
      </c>
      <c r="D3409" s="6">
        <v>466.58</v>
      </c>
      <c r="E3409" s="6">
        <v>366.77</v>
      </c>
      <c r="F3409" s="7" t="s">
        <v>14</v>
      </c>
      <c r="G3409" s="8" t="s">
        <v>6361</v>
      </c>
      <c r="H3409" s="8" t="s">
        <v>16</v>
      </c>
      <c r="I3409" s="9">
        <v>1414</v>
      </c>
      <c r="J3409" s="10">
        <v>2</v>
      </c>
      <c r="K3409" s="10">
        <v>7788</v>
      </c>
      <c r="L3409" s="3" t="str">
        <f t="shared" si="109"/>
        <v>ΛΟΙΠΑ_ΣΙΤΗΡΑ</v>
      </c>
    </row>
    <row r="3410" spans="1:12" s="3" customFormat="1" ht="15" customHeight="1" x14ac:dyDescent="0.25">
      <c r="A3410" s="3" t="str">
        <f t="shared" si="108"/>
        <v>ΛΟΙΠΑ ΣΙΤΗΡΑΚΡΙΘΑΡΙ ΕΞΑΣΤΙΧΟ</v>
      </c>
      <c r="B3410" s="4" t="s">
        <v>6025</v>
      </c>
      <c r="C3410" s="5" t="s">
        <v>5516</v>
      </c>
      <c r="D3410" s="6">
        <v>466.58</v>
      </c>
      <c r="E3410" s="6">
        <v>366.77</v>
      </c>
      <c r="F3410" s="7" t="s">
        <v>14</v>
      </c>
      <c r="G3410" s="8" t="s">
        <v>6362</v>
      </c>
      <c r="H3410" s="8" t="s">
        <v>16</v>
      </c>
      <c r="I3410" s="9">
        <v>1413</v>
      </c>
      <c r="J3410" s="10">
        <v>2</v>
      </c>
      <c r="K3410" s="10">
        <v>7789</v>
      </c>
      <c r="L3410" s="3" t="str">
        <f t="shared" si="109"/>
        <v>ΛΟΙΠΑ_ΣΙΤΗΡΑ</v>
      </c>
    </row>
    <row r="3411" spans="1:12" s="3" customFormat="1" ht="15" customHeight="1" x14ac:dyDescent="0.25">
      <c r="A3411" s="3" t="str">
        <f t="shared" si="108"/>
        <v>ΛΟΙΠΑ ΣΙΤΗΡΑΣΙΤΟΣ ΜΑΛΑΚΟΣ ΓΚΡΙΝΙΑΣ</v>
      </c>
      <c r="B3411" s="4" t="s">
        <v>6025</v>
      </c>
      <c r="C3411" s="5" t="s">
        <v>5518</v>
      </c>
      <c r="D3411" s="6">
        <v>491.53</v>
      </c>
      <c r="E3411" s="6">
        <v>485.9</v>
      </c>
      <c r="F3411" s="7" t="s">
        <v>14</v>
      </c>
      <c r="G3411" s="8" t="s">
        <v>6363</v>
      </c>
      <c r="H3411" s="8" t="s">
        <v>16</v>
      </c>
      <c r="I3411" s="9">
        <v>1412</v>
      </c>
      <c r="J3411" s="10">
        <v>2</v>
      </c>
      <c r="K3411" s="10">
        <v>7790</v>
      </c>
      <c r="L3411" s="3" t="str">
        <f t="shared" si="109"/>
        <v>ΛΟΙΠΑ_ΣΙΤΗΡΑ</v>
      </c>
    </row>
    <row r="3412" spans="1:12" s="3" customFormat="1" ht="15" customHeight="1" x14ac:dyDescent="0.25">
      <c r="A3412" s="3" t="str">
        <f t="shared" si="108"/>
        <v>ΛΟΙΠΑ ΣΙΤΗΡΑΣΙΤΟΣ ΜΑΛΑΚΟΣ ΤΣΟΥΓΚΡΙΑΣ</v>
      </c>
      <c r="B3412" s="4" t="s">
        <v>6025</v>
      </c>
      <c r="C3412" s="5" t="s">
        <v>5520</v>
      </c>
      <c r="D3412" s="6">
        <v>491.53</v>
      </c>
      <c r="E3412" s="6">
        <v>485.9</v>
      </c>
      <c r="F3412" s="7" t="s">
        <v>14</v>
      </c>
      <c r="G3412" s="8" t="s">
        <v>6364</v>
      </c>
      <c r="H3412" s="8" t="s">
        <v>16</v>
      </c>
      <c r="I3412" s="9">
        <v>1408</v>
      </c>
      <c r="J3412" s="10">
        <v>2</v>
      </c>
      <c r="K3412" s="10">
        <v>7791</v>
      </c>
      <c r="L3412" s="3" t="str">
        <f t="shared" si="109"/>
        <v>ΛΟΙΠΑ_ΣΙΤΗΡΑ</v>
      </c>
    </row>
    <row r="3413" spans="1:12" s="3" customFormat="1" ht="15" customHeight="1" x14ac:dyDescent="0.25">
      <c r="A3413" s="3" t="str">
        <f t="shared" si="108"/>
        <v>ΛΟΙΠΑ ΣΙΤΗΡΑΣΙΤΟΣ ΜΑΛΑΚΟΣ ΤΣΙΓΚΡΙΠΑ</v>
      </c>
      <c r="B3413" s="4" t="s">
        <v>6025</v>
      </c>
      <c r="C3413" s="5" t="s">
        <v>5522</v>
      </c>
      <c r="D3413" s="6">
        <v>491.53</v>
      </c>
      <c r="E3413" s="6">
        <v>485.9</v>
      </c>
      <c r="F3413" s="7" t="s">
        <v>14</v>
      </c>
      <c r="G3413" s="8" t="s">
        <v>6365</v>
      </c>
      <c r="H3413" s="8" t="s">
        <v>16</v>
      </c>
      <c r="I3413" s="9">
        <v>1422</v>
      </c>
      <c r="J3413" s="10">
        <v>2</v>
      </c>
      <c r="K3413" s="10">
        <v>7792</v>
      </c>
      <c r="L3413" s="3" t="str">
        <f t="shared" si="109"/>
        <v>ΛΟΙΠΑ_ΣΙΤΗΡΑ</v>
      </c>
    </row>
    <row r="3414" spans="1:12" s="3" customFormat="1" ht="15" customHeight="1" x14ac:dyDescent="0.25">
      <c r="A3414" s="3" t="str">
        <f t="shared" si="108"/>
        <v>ΛΟΙΠΑ ΣΙΤΗΡΑΣΙΤΟΣ ΜΑΛΑΚΟΣ ΖΟΥΛΙΤΣΑ</v>
      </c>
      <c r="B3414" s="4" t="s">
        <v>6025</v>
      </c>
      <c r="C3414" s="5" t="s">
        <v>5524</v>
      </c>
      <c r="D3414" s="6">
        <v>491.53</v>
      </c>
      <c r="E3414" s="6">
        <v>485.9</v>
      </c>
      <c r="F3414" s="7" t="s">
        <v>14</v>
      </c>
      <c r="G3414" s="8" t="s">
        <v>6366</v>
      </c>
      <c r="H3414" s="8" t="s">
        <v>16</v>
      </c>
      <c r="I3414" s="9">
        <v>1438</v>
      </c>
      <c r="J3414" s="10">
        <v>2</v>
      </c>
      <c r="K3414" s="10">
        <v>7793</v>
      </c>
      <c r="L3414" s="3" t="str">
        <f t="shared" si="109"/>
        <v>ΛΟΙΠΑ_ΣΙΤΗΡΑ</v>
      </c>
    </row>
    <row r="3415" spans="1:12" s="3" customFormat="1" ht="15" customHeight="1" x14ac:dyDescent="0.25">
      <c r="A3415" s="3" t="str">
        <f t="shared" si="108"/>
        <v>ΛΟΙΠΑ ΣΙΤΗΡΑΣΙΤΟΣ ΜΑΛΑΚΟΣ ΔΡΙΜΙΝΙΤΣΑ</v>
      </c>
      <c r="B3415" s="4" t="s">
        <v>6025</v>
      </c>
      <c r="C3415" s="5" t="s">
        <v>5526</v>
      </c>
      <c r="D3415" s="6">
        <v>491.53</v>
      </c>
      <c r="E3415" s="6">
        <v>485.9</v>
      </c>
      <c r="F3415" s="7" t="s">
        <v>14</v>
      </c>
      <c r="G3415" s="8" t="s">
        <v>6367</v>
      </c>
      <c r="H3415" s="8" t="s">
        <v>16</v>
      </c>
      <c r="I3415" s="9">
        <v>1397</v>
      </c>
      <c r="J3415" s="10">
        <v>2</v>
      </c>
      <c r="K3415" s="10">
        <v>7794</v>
      </c>
      <c r="L3415" s="3" t="str">
        <f t="shared" si="109"/>
        <v>ΛΟΙΠΑ_ΣΙΤΗΡΑ</v>
      </c>
    </row>
    <row r="3416" spans="1:12" s="3" customFormat="1" ht="15" customHeight="1" x14ac:dyDescent="0.25">
      <c r="A3416" s="3" t="str">
        <f t="shared" si="108"/>
        <v>ΛΟΙΠΑ ΣΙΤΗΡΑΣΙΤΟΣ ΜΑΛΑΚΟΣ ΚΑΤΡΑΝΙΤΣΑ</v>
      </c>
      <c r="B3416" s="4" t="s">
        <v>6025</v>
      </c>
      <c r="C3416" s="5" t="s">
        <v>5528</v>
      </c>
      <c r="D3416" s="6">
        <v>491.53</v>
      </c>
      <c r="E3416" s="6">
        <v>485.9</v>
      </c>
      <c r="F3416" s="7" t="s">
        <v>14</v>
      </c>
      <c r="G3416" s="8" t="s">
        <v>6368</v>
      </c>
      <c r="H3416" s="8" t="s">
        <v>16</v>
      </c>
      <c r="I3416" s="9">
        <v>1426</v>
      </c>
      <c r="J3416" s="10">
        <v>2</v>
      </c>
      <c r="K3416" s="10">
        <v>7795</v>
      </c>
      <c r="L3416" s="3" t="str">
        <f t="shared" si="109"/>
        <v>ΛΟΙΠΑ_ΣΙΤΗΡΑ</v>
      </c>
    </row>
    <row r="3417" spans="1:12" s="3" customFormat="1" ht="15" customHeight="1" x14ac:dyDescent="0.25">
      <c r="A3417" s="3" t="str">
        <f t="shared" si="108"/>
        <v>ΛΟΙΠΑ ΣΙΤΗΡΑΣΙΤΟΣ ΜΑΛΑΚΟΣ ΑΣΠΡΟΣ ΤΣΙΟΥΛΟΣ</v>
      </c>
      <c r="B3417" s="4" t="s">
        <v>6025</v>
      </c>
      <c r="C3417" s="5" t="s">
        <v>5530</v>
      </c>
      <c r="D3417" s="6">
        <v>491.53</v>
      </c>
      <c r="E3417" s="6">
        <v>485.9</v>
      </c>
      <c r="F3417" s="7" t="s">
        <v>14</v>
      </c>
      <c r="G3417" s="8" t="s">
        <v>6369</v>
      </c>
      <c r="H3417" s="8" t="s">
        <v>16</v>
      </c>
      <c r="I3417" s="9">
        <v>1424</v>
      </c>
      <c r="J3417" s="10">
        <v>2</v>
      </c>
      <c r="K3417" s="10">
        <v>7796</v>
      </c>
      <c r="L3417" s="3" t="str">
        <f t="shared" si="109"/>
        <v>ΛΟΙΠΑ_ΣΙΤΗΡΑ</v>
      </c>
    </row>
    <row r="3418" spans="1:12" s="3" customFormat="1" ht="15" customHeight="1" x14ac:dyDescent="0.25">
      <c r="A3418" s="3" t="str">
        <f t="shared" si="108"/>
        <v>ΛΟΙΠΑ ΣΙΤΗΡΑΣΙΤΟΣ ΜΑΛΑΚΟΣ ΚΟΥΤΡΟΥΛΙ</v>
      </c>
      <c r="B3418" s="4" t="s">
        <v>6025</v>
      </c>
      <c r="C3418" s="5" t="s">
        <v>5532</v>
      </c>
      <c r="D3418" s="6">
        <v>491.53</v>
      </c>
      <c r="E3418" s="6">
        <v>485.9</v>
      </c>
      <c r="F3418" s="7" t="s">
        <v>14</v>
      </c>
      <c r="G3418" s="8" t="s">
        <v>6370</v>
      </c>
      <c r="H3418" s="8" t="s">
        <v>16</v>
      </c>
      <c r="I3418" s="9">
        <v>1383</v>
      </c>
      <c r="J3418" s="10">
        <v>2</v>
      </c>
      <c r="K3418" s="10">
        <v>7797</v>
      </c>
      <c r="L3418" s="3" t="str">
        <f t="shared" si="109"/>
        <v>ΛΟΙΠΑ_ΣΙΤΗΡΑ</v>
      </c>
    </row>
    <row r="3419" spans="1:12" s="3" customFormat="1" ht="15" customHeight="1" x14ac:dyDescent="0.25">
      <c r="A3419" s="3" t="str">
        <f t="shared" si="108"/>
        <v>ΛΟΙΠΑ ΣΙΤΗΡΑΣΙΤΟΣ ΜΑΛΑΚΟΣ ΞΥΛΟΚΑΣΤΡΟ</v>
      </c>
      <c r="B3419" s="4" t="s">
        <v>6025</v>
      </c>
      <c r="C3419" s="5" t="s">
        <v>5534</v>
      </c>
      <c r="D3419" s="6">
        <v>491.53</v>
      </c>
      <c r="E3419" s="6">
        <v>485.9</v>
      </c>
      <c r="F3419" s="7" t="s">
        <v>14</v>
      </c>
      <c r="G3419" s="8" t="s">
        <v>6371</v>
      </c>
      <c r="H3419" s="8" t="s">
        <v>16</v>
      </c>
      <c r="I3419" s="9">
        <v>1384</v>
      </c>
      <c r="J3419" s="10">
        <v>2</v>
      </c>
      <c r="K3419" s="10">
        <v>7798</v>
      </c>
      <c r="L3419" s="3" t="str">
        <f t="shared" si="109"/>
        <v>ΛΟΙΠΑ_ΣΙΤΗΡΑ</v>
      </c>
    </row>
    <row r="3420" spans="1:12" s="3" customFormat="1" ht="15" customHeight="1" x14ac:dyDescent="0.25">
      <c r="A3420" s="3" t="str">
        <f t="shared" si="108"/>
        <v>ΛΟΙΠΑ ΣΙΤΗΡΑΣΙΤΟΣ ΣΚΛΗΡΟΣ ΔΙΑΦΟΡΑ</v>
      </c>
      <c r="B3420" s="4" t="s">
        <v>6025</v>
      </c>
      <c r="C3420" s="5" t="s">
        <v>5536</v>
      </c>
      <c r="D3420" s="6">
        <v>517.94000000000005</v>
      </c>
      <c r="E3420" s="6">
        <v>492.2</v>
      </c>
      <c r="F3420" s="7" t="s">
        <v>14</v>
      </c>
      <c r="G3420" s="8" t="s">
        <v>6372</v>
      </c>
      <c r="H3420" s="8" t="s">
        <v>16</v>
      </c>
      <c r="I3420" s="9">
        <v>1385</v>
      </c>
      <c r="J3420" s="10">
        <v>2</v>
      </c>
      <c r="K3420" s="10">
        <v>7800</v>
      </c>
      <c r="L3420" s="3" t="str">
        <f t="shared" si="109"/>
        <v>ΛΟΙΠΑ_ΣΙΤΗΡΑ</v>
      </c>
    </row>
    <row r="3421" spans="1:12" s="3" customFormat="1" ht="15" customHeight="1" x14ac:dyDescent="0.25">
      <c r="A3421" s="3" t="str">
        <f t="shared" si="108"/>
        <v>ΛΟΙΠΑ ΣΙΤΗΡΑΚΡΙΘΑΡΙ OLYMPIC</v>
      </c>
      <c r="B3421" s="4" t="s">
        <v>6025</v>
      </c>
      <c r="C3421" s="5" t="s">
        <v>5560</v>
      </c>
      <c r="D3421" s="6">
        <v>466.58</v>
      </c>
      <c r="E3421" s="6">
        <v>366.77</v>
      </c>
      <c r="F3421" s="7" t="s">
        <v>14</v>
      </c>
      <c r="G3421" s="8" t="s">
        <v>6373</v>
      </c>
      <c r="H3421" s="8" t="s">
        <v>16</v>
      </c>
      <c r="I3421" s="9">
        <v>1353</v>
      </c>
      <c r="J3421" s="10">
        <v>2</v>
      </c>
      <c r="K3421" s="10">
        <v>80030</v>
      </c>
      <c r="L3421" s="3" t="str">
        <f t="shared" si="109"/>
        <v>ΛΟΙΠΑ_ΣΙΤΗΡΑ</v>
      </c>
    </row>
    <row r="3422" spans="1:12" s="3" customFormat="1" ht="15" customHeight="1" x14ac:dyDescent="0.25">
      <c r="A3422" s="3" t="str">
        <f t="shared" si="108"/>
        <v>ΛΟΙΠΑ ΣΙΤΗΡΑΚΡΙΘΑΡΙ LEFKA</v>
      </c>
      <c r="B3422" s="4" t="s">
        <v>6025</v>
      </c>
      <c r="C3422" s="5" t="s">
        <v>5708</v>
      </c>
      <c r="D3422" s="6">
        <v>466.58</v>
      </c>
      <c r="E3422" s="6">
        <v>366.77</v>
      </c>
      <c r="F3422" s="7" t="s">
        <v>14</v>
      </c>
      <c r="G3422" s="8" t="s">
        <v>6374</v>
      </c>
      <c r="H3422" s="8" t="s">
        <v>16</v>
      </c>
      <c r="I3422" s="9">
        <v>1386</v>
      </c>
      <c r="J3422" s="10">
        <v>2</v>
      </c>
      <c r="K3422" s="10">
        <v>80104</v>
      </c>
      <c r="L3422" s="3" t="str">
        <f t="shared" si="109"/>
        <v>ΛΟΙΠΑ_ΣΙΤΗΡΑ</v>
      </c>
    </row>
    <row r="3423" spans="1:12" s="3" customFormat="1" ht="15" customHeight="1" x14ac:dyDescent="0.25">
      <c r="A3423" s="3" t="str">
        <f t="shared" si="108"/>
        <v>ΛΟΙΠΑ ΣΙΤΗΡΑΚΡΙΘΑΡΙ DIM 601</v>
      </c>
      <c r="B3423" s="4" t="s">
        <v>6025</v>
      </c>
      <c r="C3423" s="5" t="s">
        <v>5710</v>
      </c>
      <c r="D3423" s="6">
        <v>466.58</v>
      </c>
      <c r="E3423" s="6">
        <v>366.77</v>
      </c>
      <c r="F3423" s="7" t="s">
        <v>14</v>
      </c>
      <c r="G3423" s="8" t="s">
        <v>6375</v>
      </c>
      <c r="H3423" s="8" t="s">
        <v>16</v>
      </c>
      <c r="I3423" s="9">
        <v>1387</v>
      </c>
      <c r="J3423" s="10">
        <v>2</v>
      </c>
      <c r="K3423" s="10">
        <v>80105</v>
      </c>
      <c r="L3423" s="3" t="str">
        <f t="shared" si="109"/>
        <v>ΛΟΙΠΑ_ΣΙΤΗΡΑ</v>
      </c>
    </row>
    <row r="3424" spans="1:12" s="3" customFormat="1" ht="15" customHeight="1" x14ac:dyDescent="0.25">
      <c r="A3424" s="3" t="str">
        <f t="shared" si="108"/>
        <v>ΛΟΙΠΑ ΣΙΤΗΡΑΣΑΝΟΣ ΚΡΙΘΑΡΙΟΥ, ΒΡΩΜΗΣ, ΒΙΚΟΥ, ΑΛΛΟΙ ΣΑΝΟΙ</v>
      </c>
      <c r="B3424" s="4" t="s">
        <v>6025</v>
      </c>
      <c r="C3424" s="5" t="s">
        <v>5997</v>
      </c>
      <c r="D3424" s="6">
        <v>466.58</v>
      </c>
      <c r="E3424" s="6">
        <v>366.77</v>
      </c>
      <c r="F3424" s="7" t="s">
        <v>14</v>
      </c>
      <c r="G3424" s="8" t="s">
        <v>6376</v>
      </c>
      <c r="H3424" s="8" t="s">
        <v>16</v>
      </c>
      <c r="I3424" s="9">
        <v>1388</v>
      </c>
      <c r="J3424" s="10">
        <v>2</v>
      </c>
      <c r="K3424" s="10">
        <v>8110</v>
      </c>
      <c r="L3424" s="3" t="str">
        <f t="shared" si="109"/>
        <v>ΛΟΙΠΑ_ΣΙΤΗΡΑ</v>
      </c>
    </row>
    <row r="3425" spans="1:12" s="3" customFormat="1" ht="15" customHeight="1" x14ac:dyDescent="0.25">
      <c r="A3425" s="3" t="str">
        <f t="shared" si="108"/>
        <v>ΛΟΙΠΑ ΣΙΤΗΡΑΚΡΙΘΑΡΙ ΛΗΜΝΟΥ</v>
      </c>
      <c r="B3425" s="4" t="s">
        <v>6025</v>
      </c>
      <c r="C3425" s="5" t="s">
        <v>6008</v>
      </c>
      <c r="D3425" s="6">
        <v>466.58</v>
      </c>
      <c r="E3425" s="6">
        <v>366.77</v>
      </c>
      <c r="F3425" s="7" t="s">
        <v>14</v>
      </c>
      <c r="G3425" s="8" t="s">
        <v>6377</v>
      </c>
      <c r="H3425" s="8" t="s">
        <v>16</v>
      </c>
      <c r="I3425" s="9">
        <v>1430</v>
      </c>
      <c r="J3425" s="10">
        <v>2</v>
      </c>
      <c r="K3425" s="10">
        <v>9109066</v>
      </c>
      <c r="L3425" s="3" t="str">
        <f t="shared" si="109"/>
        <v>ΛΟΙΠΑ_ΣΙΤΗΡΑ</v>
      </c>
    </row>
    <row r="3426" spans="1:12" s="3" customFormat="1" ht="15" customHeight="1" x14ac:dyDescent="0.25">
      <c r="A3426" s="3" t="str">
        <f t="shared" si="108"/>
        <v>ΛΟΙΠΑ ΣΙΤΗΡΑΣΙΤΟΣ ΜΑΛΑΚΟΣ TRITICUM AESTIVUM</v>
      </c>
      <c r="B3426" s="4" t="s">
        <v>6025</v>
      </c>
      <c r="C3426" s="5" t="s">
        <v>6012</v>
      </c>
      <c r="D3426" s="6">
        <v>491.53</v>
      </c>
      <c r="E3426" s="6">
        <v>485.9</v>
      </c>
      <c r="F3426" s="7" t="s">
        <v>14</v>
      </c>
      <c r="G3426" s="8" t="s">
        <v>6378</v>
      </c>
      <c r="H3426" s="8" t="s">
        <v>16</v>
      </c>
      <c r="I3426" s="9">
        <v>1399</v>
      </c>
      <c r="J3426" s="10">
        <v>2</v>
      </c>
      <c r="K3426" s="10">
        <v>99179</v>
      </c>
      <c r="L3426" s="3" t="str">
        <f t="shared" si="109"/>
        <v>ΛΟΙΠΑ_ΣΙΤΗΡΑ</v>
      </c>
    </row>
    <row r="3427" spans="1:12" s="3" customFormat="1" ht="15" customHeight="1" x14ac:dyDescent="0.25">
      <c r="A3427" s="3" t="str">
        <f t="shared" si="108"/>
        <v>ΛΟΙΠΑ ΣΙΤΗΡΑΣΙΤΟΣ ΔΙΚΚΟΚΟΣ TRITICUM DICOCCUM</v>
      </c>
      <c r="B3427" s="4" t="s">
        <v>6025</v>
      </c>
      <c r="C3427" s="5" t="s">
        <v>6014</v>
      </c>
      <c r="D3427" s="6">
        <v>491.53</v>
      </c>
      <c r="E3427" s="6">
        <v>485.9</v>
      </c>
      <c r="F3427" s="7" t="s">
        <v>14</v>
      </c>
      <c r="G3427" s="33" t="s">
        <v>6379</v>
      </c>
      <c r="H3427" s="33" t="s">
        <v>16</v>
      </c>
      <c r="I3427" s="34">
        <v>1445</v>
      </c>
      <c r="J3427" s="10">
        <v>2</v>
      </c>
      <c r="K3427" s="10">
        <v>99283</v>
      </c>
      <c r="L3427" s="3" t="str">
        <f t="shared" si="109"/>
        <v>ΛΟΙΠΑ_ΣΙΤΗΡΑ</v>
      </c>
    </row>
    <row r="3428" spans="1:12" s="3" customFormat="1" ht="15" customHeight="1" x14ac:dyDescent="0.25">
      <c r="A3428" s="3" t="str">
        <f t="shared" si="108"/>
        <v>ΛΟΙΠΕΣ ΔΕΝΔΡΩΔΕΙΣ ΚΑΛΛΙΕΡΓΕΙΕΣΞΗΡΑ ΜΗ ΜΕΤΑΠΟΙΗΜΕΝΑ ΣΥΚΑ ΤΑΞΙΑΡΧΗ</v>
      </c>
      <c r="B3428" s="4" t="s">
        <v>6380</v>
      </c>
      <c r="C3428" s="5" t="s">
        <v>6381</v>
      </c>
      <c r="D3428" s="6">
        <v>11224.92</v>
      </c>
      <c r="E3428" s="6">
        <v>9346.09</v>
      </c>
      <c r="F3428" s="7" t="s">
        <v>14</v>
      </c>
      <c r="G3428" s="8" t="s">
        <v>6382</v>
      </c>
      <c r="H3428" s="8" t="s">
        <v>16</v>
      </c>
      <c r="I3428" s="9">
        <v>2709</v>
      </c>
      <c r="J3428" s="10" t="s">
        <v>6383</v>
      </c>
      <c r="K3428" s="10">
        <v>10851</v>
      </c>
      <c r="L3428" s="3" t="str">
        <f t="shared" si="109"/>
        <v>ΛΟΙΠΕΣ_ΔΕΝΔΡΩΔΕΙΣ_ΚΑΛΛΙΕΡΓΕΙΕΣ</v>
      </c>
    </row>
    <row r="3429" spans="1:12" s="3" customFormat="1" ht="15" customHeight="1" x14ac:dyDescent="0.25">
      <c r="A3429" s="3" t="str">
        <f t="shared" si="108"/>
        <v>ΛΟΙΠΕΣ ΔΕΝΔΡΩΔΕΙΣ ΚΑΛΛΙΕΡΓΕΙΕΣΜΑΣΤΙΧΟΔΕΝΔΡΑ</v>
      </c>
      <c r="B3429" s="4" t="s">
        <v>6380</v>
      </c>
      <c r="C3429" s="5" t="s">
        <v>6384</v>
      </c>
      <c r="D3429" s="6">
        <v>9000</v>
      </c>
      <c r="E3429" s="6">
        <v>9000</v>
      </c>
      <c r="F3429" s="7" t="s">
        <v>14</v>
      </c>
      <c r="G3429" s="8" t="s">
        <v>6385</v>
      </c>
      <c r="H3429" s="8" t="s">
        <v>16</v>
      </c>
      <c r="I3429" s="9">
        <v>2733</v>
      </c>
      <c r="J3429" s="10" t="s">
        <v>6383</v>
      </c>
      <c r="K3429" s="10">
        <v>10907</v>
      </c>
      <c r="L3429" s="3" t="str">
        <f t="shared" si="109"/>
        <v>ΛΟΙΠΕΣ_ΔΕΝΔΡΩΔΕΙΣ_ΚΑΛΛΙΕΡΓΕΙΕΣ</v>
      </c>
    </row>
    <row r="3430" spans="1:12" s="3" customFormat="1" ht="15" customHeight="1" x14ac:dyDescent="0.25">
      <c r="A3430" s="3" t="str">
        <f t="shared" si="108"/>
        <v>ΛΟΙΠΕΣ ΔΕΝΔΡΩΔΕΙΣ ΚΑΛΛΙΕΡΓΕΙΕΣΜΑΣΤΙΧΟΔΕΝΔΡΑ ΕΞΑΙΡΕΣΗ</v>
      </c>
      <c r="B3430" s="4" t="s">
        <v>6380</v>
      </c>
      <c r="C3430" s="5" t="s">
        <v>6386</v>
      </c>
      <c r="D3430" s="6">
        <v>9000</v>
      </c>
      <c r="E3430" s="6">
        <v>9000</v>
      </c>
      <c r="F3430" s="7" t="s">
        <v>14</v>
      </c>
      <c r="G3430" s="8" t="s">
        <v>6387</v>
      </c>
      <c r="H3430" s="8" t="s">
        <v>16</v>
      </c>
      <c r="I3430" s="9">
        <v>2726</v>
      </c>
      <c r="J3430" s="10" t="s">
        <v>6383</v>
      </c>
      <c r="K3430" s="10">
        <v>10908</v>
      </c>
      <c r="L3430" s="3" t="str">
        <f t="shared" si="109"/>
        <v>ΛΟΙΠΕΣ_ΔΕΝΔΡΩΔΕΙΣ_ΚΑΛΛΙΕΡΓΕΙΕΣ</v>
      </c>
    </row>
    <row r="3431" spans="1:12" s="3" customFormat="1" ht="15" customHeight="1" x14ac:dyDescent="0.25">
      <c r="A3431" s="3" t="str">
        <f t="shared" si="108"/>
        <v>ΛΟΙΠΕΣ ΔΕΝΔΡΩΔΕΙΣ ΚΑΛΛΙΕΡΓΕΙΕΣΜΟΥΡΙΕΣ</v>
      </c>
      <c r="B3431" s="4" t="s">
        <v>6380</v>
      </c>
      <c r="C3431" s="5" t="s">
        <v>6388</v>
      </c>
      <c r="D3431" s="6">
        <v>6584.59</v>
      </c>
      <c r="E3431" s="6">
        <v>8017.42</v>
      </c>
      <c r="F3431" s="7" t="s">
        <v>14</v>
      </c>
      <c r="G3431" s="8" t="s">
        <v>6389</v>
      </c>
      <c r="H3431" s="8" t="s">
        <v>16</v>
      </c>
      <c r="I3431" s="9">
        <v>2725</v>
      </c>
      <c r="J3431" s="10" t="s">
        <v>6383</v>
      </c>
      <c r="K3431" s="10">
        <v>14034</v>
      </c>
      <c r="L3431" s="3" t="str">
        <f t="shared" si="109"/>
        <v>ΛΟΙΠΕΣ_ΔΕΝΔΡΩΔΕΙΣ_ΚΑΛΛΙΕΡΓΕΙΕΣ</v>
      </c>
    </row>
    <row r="3432" spans="1:12" s="3" customFormat="1" ht="15" customHeight="1" x14ac:dyDescent="0.25">
      <c r="A3432" s="3" t="str">
        <f t="shared" si="108"/>
        <v>ΛΟΙΠΕΣ ΔΕΝΔΡΩΔΕΙΣ ΚΑΛΛΙΕΡΓΕΙΕΣΜΟΥΡΙΕΣ - ΕΞΑΙΡΕΣΗ</v>
      </c>
      <c r="B3432" s="4" t="s">
        <v>6380</v>
      </c>
      <c r="C3432" s="5" t="s">
        <v>3454</v>
      </c>
      <c r="D3432" s="6">
        <v>6584.59</v>
      </c>
      <c r="E3432" s="6">
        <v>8017.42</v>
      </c>
      <c r="F3432" s="7" t="s">
        <v>14</v>
      </c>
      <c r="G3432" s="8" t="s">
        <v>6390</v>
      </c>
      <c r="H3432" s="8" t="s">
        <v>16</v>
      </c>
      <c r="I3432" s="9">
        <v>2714</v>
      </c>
      <c r="J3432" s="10" t="s">
        <v>6383</v>
      </c>
      <c r="K3432" s="10">
        <v>14035</v>
      </c>
      <c r="L3432" s="3" t="str">
        <f t="shared" si="109"/>
        <v>ΛΟΙΠΕΣ_ΔΕΝΔΡΩΔΕΙΣ_ΚΑΛΛΙΕΡΓΕΙΕΣ</v>
      </c>
    </row>
    <row r="3433" spans="1:12" s="3" customFormat="1" ht="15" customHeight="1" x14ac:dyDescent="0.25">
      <c r="A3433" s="3" t="str">
        <f t="shared" si="108"/>
        <v>ΛΟΙΠΕΣ ΔΕΝΔΡΩΔΕΙΣ ΚΑΛΛΙΕΡΓΕΙΕΣΕΥΚΑΛΥΠΤΟΣ</v>
      </c>
      <c r="B3433" s="4" t="s">
        <v>6380</v>
      </c>
      <c r="C3433" s="5" t="s">
        <v>6391</v>
      </c>
      <c r="D3433" s="6">
        <v>1829.23</v>
      </c>
      <c r="E3433" s="6">
        <v>3862.55</v>
      </c>
      <c r="F3433" s="7" t="s">
        <v>14</v>
      </c>
      <c r="G3433" s="8" t="s">
        <v>6392</v>
      </c>
      <c r="H3433" s="8" t="s">
        <v>16</v>
      </c>
      <c r="I3433" s="9">
        <v>2729</v>
      </c>
      <c r="J3433" s="10" t="s">
        <v>6383</v>
      </c>
      <c r="K3433" s="10">
        <v>14052</v>
      </c>
      <c r="L3433" s="3" t="str">
        <f t="shared" si="109"/>
        <v>ΛΟΙΠΕΣ_ΔΕΝΔΡΩΔΕΙΣ_ΚΑΛΛΙΕΡΓΕΙΕΣ</v>
      </c>
    </row>
    <row r="3434" spans="1:12" s="3" customFormat="1" ht="15" customHeight="1" x14ac:dyDescent="0.25">
      <c r="A3434" s="3" t="str">
        <f t="shared" si="108"/>
        <v>ΛΟΙΠΕΣ ΔΕΝΔΡΩΔΕΙΣ ΚΑΛΛΙΕΡΓΕΙΕΣΠΑΥΛΩΝΙΑ Ή ΠΑΟΥΛΟΒΝΙΑ</v>
      </c>
      <c r="B3434" s="4" t="s">
        <v>6380</v>
      </c>
      <c r="C3434" s="5" t="s">
        <v>6393</v>
      </c>
      <c r="D3434" s="6">
        <v>1829.23</v>
      </c>
      <c r="E3434" s="6">
        <v>3862.55</v>
      </c>
      <c r="F3434" s="7" t="s">
        <v>14</v>
      </c>
      <c r="G3434" s="8" t="s">
        <v>6394</v>
      </c>
      <c r="H3434" s="8" t="s">
        <v>16</v>
      </c>
      <c r="I3434" s="9">
        <v>2730</v>
      </c>
      <c r="J3434" s="10" t="s">
        <v>6383</v>
      </c>
      <c r="K3434" s="10">
        <v>14053</v>
      </c>
      <c r="L3434" s="3" t="str">
        <f t="shared" si="109"/>
        <v>ΛΟΙΠΕΣ_ΔΕΝΔΡΩΔΕΙΣ_ΚΑΛΛΙΕΡΓΕΙΕΣ</v>
      </c>
    </row>
    <row r="3435" spans="1:12" s="3" customFormat="1" ht="15" customHeight="1" x14ac:dyDescent="0.25">
      <c r="A3435" s="3" t="str">
        <f t="shared" si="108"/>
        <v>ΛΟΙΠΕΣ ΔΕΝΔΡΩΔΕΙΣ ΚΑΛΛΙΕΡΓΕΙΕΣΑΚΤΙΝΙΔΙΑ ΑΜΠΟΤ</v>
      </c>
      <c r="B3435" s="4" t="s">
        <v>6380</v>
      </c>
      <c r="C3435" s="5" t="s">
        <v>6395</v>
      </c>
      <c r="D3435" s="6">
        <v>11224.92</v>
      </c>
      <c r="E3435" s="6">
        <v>9346.09</v>
      </c>
      <c r="F3435" s="7" t="s">
        <v>14</v>
      </c>
      <c r="G3435" s="8" t="s">
        <v>6396</v>
      </c>
      <c r="H3435" s="8" t="s">
        <v>16</v>
      </c>
      <c r="I3435" s="9">
        <v>2718</v>
      </c>
      <c r="J3435" s="10" t="s">
        <v>6383</v>
      </c>
      <c r="K3435" s="10">
        <v>45201</v>
      </c>
      <c r="L3435" s="3" t="str">
        <f t="shared" si="109"/>
        <v>ΛΟΙΠΕΣ_ΔΕΝΔΡΩΔΕΙΣ_ΚΑΛΛΙΕΡΓΕΙΕΣ</v>
      </c>
    </row>
    <row r="3436" spans="1:12" s="3" customFormat="1" ht="15" customHeight="1" x14ac:dyDescent="0.25">
      <c r="A3436" s="3" t="str">
        <f t="shared" si="108"/>
        <v>ΛΟΙΠΕΣ ΔΕΝΔΡΩΔΕΙΣ ΚΑΛΛΙΕΡΓΕΙΕΣΑΚΤΙΝΙΔΙΑ ΑΛΛΙΣΟΝ</v>
      </c>
      <c r="B3436" s="4" t="s">
        <v>6380</v>
      </c>
      <c r="C3436" s="5" t="s">
        <v>6397</v>
      </c>
      <c r="D3436" s="6">
        <v>11224.92</v>
      </c>
      <c r="E3436" s="6">
        <v>9346.09</v>
      </c>
      <c r="F3436" s="7" t="s">
        <v>14</v>
      </c>
      <c r="G3436" s="8" t="s">
        <v>6398</v>
      </c>
      <c r="H3436" s="8" t="s">
        <v>16</v>
      </c>
      <c r="I3436" s="9">
        <v>2717</v>
      </c>
      <c r="J3436" s="10" t="s">
        <v>6383</v>
      </c>
      <c r="K3436" s="10">
        <v>45202</v>
      </c>
      <c r="L3436" s="3" t="str">
        <f t="shared" si="109"/>
        <v>ΛΟΙΠΕΣ_ΔΕΝΔΡΩΔΕΙΣ_ΚΑΛΛΙΕΡΓΕΙΕΣ</v>
      </c>
    </row>
    <row r="3437" spans="1:12" s="3" customFormat="1" ht="15" customHeight="1" x14ac:dyDescent="0.25">
      <c r="A3437" s="3" t="str">
        <f t="shared" si="108"/>
        <v>ΛΟΙΠΕΣ ΔΕΝΔΡΩΔΕΙΣ ΚΑΛΛΙΕΡΓΕΙΕΣΑΚΤΙΝΙΔΙΑ ΜΠΡΟΥΝΟ</v>
      </c>
      <c r="B3437" s="4" t="s">
        <v>6380</v>
      </c>
      <c r="C3437" s="5" t="s">
        <v>6399</v>
      </c>
      <c r="D3437" s="6">
        <v>11224.92</v>
      </c>
      <c r="E3437" s="6">
        <v>9346.09</v>
      </c>
      <c r="F3437" s="7" t="s">
        <v>14</v>
      </c>
      <c r="G3437" s="8" t="s">
        <v>6400</v>
      </c>
      <c r="H3437" s="8" t="s">
        <v>16</v>
      </c>
      <c r="I3437" s="9">
        <v>2703</v>
      </c>
      <c r="J3437" s="10" t="s">
        <v>6383</v>
      </c>
      <c r="K3437" s="10">
        <v>45203</v>
      </c>
      <c r="L3437" s="3" t="str">
        <f t="shared" si="109"/>
        <v>ΛΟΙΠΕΣ_ΔΕΝΔΡΩΔΕΙΣ_ΚΑΛΛΙΕΡΓΕΙΕΣ</v>
      </c>
    </row>
    <row r="3438" spans="1:12" s="3" customFormat="1" ht="15" customHeight="1" x14ac:dyDescent="0.25">
      <c r="A3438" s="3" t="str">
        <f t="shared" si="108"/>
        <v>ΛΟΙΠΕΣ ΔΕΝΔΡΩΔΕΙΣ ΚΑΛΛΙΕΡΓΕΙΕΣΑΚΤΙΝΙΔΙΑ ΧΕΫΓΟΥΟΡΝΤ</v>
      </c>
      <c r="B3438" s="4" t="s">
        <v>6380</v>
      </c>
      <c r="C3438" s="5" t="s">
        <v>6401</v>
      </c>
      <c r="D3438" s="6">
        <v>11224.92</v>
      </c>
      <c r="E3438" s="6">
        <v>9346.09</v>
      </c>
      <c r="F3438" s="7" t="s">
        <v>14</v>
      </c>
      <c r="G3438" s="8" t="s">
        <v>6402</v>
      </c>
      <c r="H3438" s="8" t="s">
        <v>16</v>
      </c>
      <c r="I3438" s="9">
        <v>2715</v>
      </c>
      <c r="J3438" s="10" t="s">
        <v>6383</v>
      </c>
      <c r="K3438" s="10">
        <v>45204</v>
      </c>
      <c r="L3438" s="3" t="str">
        <f t="shared" si="109"/>
        <v>ΛΟΙΠΕΣ_ΔΕΝΔΡΩΔΕΙΣ_ΚΑΛΛΙΕΡΓΕΙΕΣ</v>
      </c>
    </row>
    <row r="3439" spans="1:12" s="3" customFormat="1" ht="15" customHeight="1" x14ac:dyDescent="0.25">
      <c r="A3439" s="3" t="str">
        <f t="shared" si="108"/>
        <v>ΛΟΙΠΕΣ ΔΕΝΔΡΩΔΕΙΣ ΚΑΛΛΙΕΡΓΕΙΕΣΑΚΤΙΝΙΔΙΑ ΜΟΝΤΥ</v>
      </c>
      <c r="B3439" s="4" t="s">
        <v>6380</v>
      </c>
      <c r="C3439" s="5" t="s">
        <v>6403</v>
      </c>
      <c r="D3439" s="6">
        <v>11224.92</v>
      </c>
      <c r="E3439" s="6">
        <v>9346.09</v>
      </c>
      <c r="F3439" s="7" t="s">
        <v>14</v>
      </c>
      <c r="G3439" s="8" t="s">
        <v>6404</v>
      </c>
      <c r="H3439" s="8" t="s">
        <v>16</v>
      </c>
      <c r="I3439" s="9">
        <v>2727</v>
      </c>
      <c r="J3439" s="10" t="s">
        <v>6383</v>
      </c>
      <c r="K3439" s="10">
        <v>45205</v>
      </c>
      <c r="L3439" s="3" t="str">
        <f t="shared" si="109"/>
        <v>ΛΟΙΠΕΣ_ΔΕΝΔΡΩΔΕΙΣ_ΚΑΛΛΙΕΡΓΕΙΕΣ</v>
      </c>
    </row>
    <row r="3440" spans="1:12" s="3" customFormat="1" ht="15" customHeight="1" x14ac:dyDescent="0.25">
      <c r="A3440" s="3" t="str">
        <f t="shared" si="108"/>
        <v>ΛΟΙΠΕΣ ΔΕΝΔΡΩΔΕΙΣ ΚΑΛΛΙΕΡΓΕΙΕΣΜΟΥΣΜΟΥΛΑ ΚΟΙΝΑ ΙΑΠΩΝΙΚΑ</v>
      </c>
      <c r="B3440" s="4" t="s">
        <v>6380</v>
      </c>
      <c r="C3440" s="5" t="s">
        <v>6405</v>
      </c>
      <c r="D3440" s="6">
        <v>5895.69</v>
      </c>
      <c r="E3440" s="6">
        <v>5815.34</v>
      </c>
      <c r="F3440" s="7" t="s">
        <v>14</v>
      </c>
      <c r="G3440" s="8" t="s">
        <v>6406</v>
      </c>
      <c r="H3440" s="8" t="s">
        <v>16</v>
      </c>
      <c r="I3440" s="9">
        <v>2713</v>
      </c>
      <c r="J3440" s="10" t="s">
        <v>6383</v>
      </c>
      <c r="K3440" s="10">
        <v>45206</v>
      </c>
      <c r="L3440" s="3" t="str">
        <f t="shared" si="109"/>
        <v>ΛΟΙΠΕΣ_ΔΕΝΔΡΩΔΕΙΣ_ΚΑΛΛΙΕΡΓΕΙΕΣ</v>
      </c>
    </row>
    <row r="3441" spans="1:12" s="3" customFormat="1" ht="15" customHeight="1" x14ac:dyDescent="0.25">
      <c r="A3441" s="3" t="str">
        <f t="shared" si="108"/>
        <v>ΛΟΙΠΕΣ ΔΕΝΔΡΩΔΕΙΣ ΚΑΛΛΙΕΡΓΕΙΕΣΜΟΥΣΜΟΥΛΑ ΓΕΡΜΑΝΙΚΑ</v>
      </c>
      <c r="B3441" s="4" t="s">
        <v>6380</v>
      </c>
      <c r="C3441" s="5" t="s">
        <v>6407</v>
      </c>
      <c r="D3441" s="6">
        <v>9716.51</v>
      </c>
      <c r="E3441" s="6">
        <v>9529.25</v>
      </c>
      <c r="F3441" s="7" t="s">
        <v>14</v>
      </c>
      <c r="G3441" s="8" t="s">
        <v>6408</v>
      </c>
      <c r="H3441" s="8" t="s">
        <v>16</v>
      </c>
      <c r="I3441" s="9">
        <v>2712</v>
      </c>
      <c r="J3441" s="10" t="s">
        <v>6383</v>
      </c>
      <c r="K3441" s="10">
        <v>45207</v>
      </c>
      <c r="L3441" s="3" t="str">
        <f t="shared" si="109"/>
        <v>ΛΟΙΠΕΣ_ΔΕΝΔΡΩΔΕΙΣ_ΚΑΛΛΙΕΡΓΕΙΕΣ</v>
      </c>
    </row>
    <row r="3442" spans="1:12" s="3" customFormat="1" ht="15" customHeight="1" x14ac:dyDescent="0.25">
      <c r="A3442" s="3" t="str">
        <f t="shared" si="108"/>
        <v>ΛΟΙΠΕΣ ΔΕΝΔΡΩΔΕΙΣ ΚΑΛΛΙΕΡΓΕΙΕΣΤΖΙΤΖΙΦΙΑ</v>
      </c>
      <c r="B3442" s="4" t="s">
        <v>6380</v>
      </c>
      <c r="C3442" s="5" t="s">
        <v>6409</v>
      </c>
      <c r="D3442" s="6">
        <v>11224.92</v>
      </c>
      <c r="E3442" s="6">
        <v>9346.09</v>
      </c>
      <c r="F3442" s="7" t="s">
        <v>14</v>
      </c>
      <c r="G3442" s="8" t="s">
        <v>6410</v>
      </c>
      <c r="H3442" s="8" t="s">
        <v>16</v>
      </c>
      <c r="I3442" s="9">
        <v>2711</v>
      </c>
      <c r="J3442" s="10" t="s">
        <v>6383</v>
      </c>
      <c r="K3442" s="10">
        <v>45208</v>
      </c>
      <c r="L3442" s="3" t="str">
        <f t="shared" si="109"/>
        <v>ΛΟΙΠΕΣ_ΔΕΝΔΡΩΔΕΙΣ_ΚΑΛΛΙΕΡΓΕΙΕΣ</v>
      </c>
    </row>
    <row r="3443" spans="1:12" s="3" customFormat="1" ht="15" customHeight="1" x14ac:dyDescent="0.25">
      <c r="A3443" s="3" t="str">
        <f t="shared" si="108"/>
        <v>ΛΟΙΠΕΣ ΔΕΝΔΡΩΔΕΙΣ ΚΑΛΛΙΕΡΓΕΙΕΣΚΡΑΙΤΑΓΟΣ</v>
      </c>
      <c r="B3443" s="4" t="s">
        <v>6380</v>
      </c>
      <c r="C3443" s="5" t="s">
        <v>6411</v>
      </c>
      <c r="D3443" s="6">
        <v>5895.69</v>
      </c>
      <c r="E3443" s="6">
        <v>5815.34</v>
      </c>
      <c r="F3443" s="7" t="s">
        <v>14</v>
      </c>
      <c r="G3443" s="8" t="s">
        <v>6412</v>
      </c>
      <c r="H3443" s="8" t="s">
        <v>16</v>
      </c>
      <c r="I3443" s="9">
        <v>2741</v>
      </c>
      <c r="J3443" s="10" t="s">
        <v>6383</v>
      </c>
      <c r="K3443" s="10">
        <v>45209</v>
      </c>
      <c r="L3443" s="3" t="str">
        <f t="shared" si="109"/>
        <v>ΛΟΙΠΕΣ_ΔΕΝΔΡΩΔΕΙΣ_ΚΑΛΛΙΕΡΓΕΙΕΣ</v>
      </c>
    </row>
    <row r="3444" spans="1:12" s="3" customFormat="1" ht="15" customHeight="1" x14ac:dyDescent="0.25">
      <c r="A3444" s="3" t="str">
        <f t="shared" si="108"/>
        <v>ΛΟΙΠΕΣ ΔΕΝΔΡΩΔΕΙΣ ΚΑΛΛΙΕΡΓΕΙΕΣDRAGON FRUIT</v>
      </c>
      <c r="B3444" s="4" t="s">
        <v>6380</v>
      </c>
      <c r="C3444" s="5" t="s">
        <v>6413</v>
      </c>
      <c r="D3444" s="6">
        <v>11224.92</v>
      </c>
      <c r="E3444" s="6">
        <v>9346.09</v>
      </c>
      <c r="F3444" s="7" t="s">
        <v>14</v>
      </c>
      <c r="G3444" s="8" t="s">
        <v>6414</v>
      </c>
      <c r="H3444" s="8" t="s">
        <v>16</v>
      </c>
      <c r="I3444" s="9">
        <v>2716</v>
      </c>
      <c r="J3444" s="10" t="s">
        <v>6383</v>
      </c>
      <c r="K3444" s="10">
        <v>45210</v>
      </c>
      <c r="L3444" s="3" t="str">
        <f t="shared" si="109"/>
        <v>ΛΟΙΠΕΣ_ΔΕΝΔΡΩΔΕΙΣ_ΚΑΛΛΙΕΡΓΕΙΕΣ</v>
      </c>
    </row>
    <row r="3445" spans="1:12" s="3" customFormat="1" ht="15" customHeight="1" x14ac:dyDescent="0.25">
      <c r="A3445" s="3" t="str">
        <f t="shared" si="108"/>
        <v>ΛΟΙΠΕΣ ΔΕΝΔΡΩΔΕΙΣ ΚΑΛΛΙΕΡΓΕΙΕΣΠΑΣΙΦΛΩΡΑ (PASSION FRUIT)</v>
      </c>
      <c r="B3445" s="4" t="s">
        <v>6380</v>
      </c>
      <c r="C3445" s="5" t="s">
        <v>6415</v>
      </c>
      <c r="D3445" s="6">
        <v>11224.92</v>
      </c>
      <c r="E3445" s="6">
        <v>9346.09</v>
      </c>
      <c r="F3445" s="7" t="s">
        <v>14</v>
      </c>
      <c r="G3445" s="8" t="s">
        <v>6416</v>
      </c>
      <c r="H3445" s="8" t="s">
        <v>16</v>
      </c>
      <c r="I3445" s="9">
        <v>2751</v>
      </c>
      <c r="J3445" s="10" t="s">
        <v>6383</v>
      </c>
      <c r="K3445" s="10">
        <v>45211</v>
      </c>
      <c r="L3445" s="3" t="str">
        <f t="shared" si="109"/>
        <v>ΛΟΙΠΕΣ_ΔΕΝΔΡΩΔΕΙΣ_ΚΑΛΛΙΕΡΓΕΙΕΣ</v>
      </c>
    </row>
    <row r="3446" spans="1:12" s="3" customFormat="1" ht="15" customHeight="1" x14ac:dyDescent="0.25">
      <c r="A3446" s="3" t="str">
        <f t="shared" si="108"/>
        <v>ΛΟΙΠΕΣ ΔΕΝΔΡΩΔΕΙΣ ΚΑΛΛΙΕΡΓΕΙΕΣΓΚΟΥΑΒΑ</v>
      </c>
      <c r="B3446" s="4" t="s">
        <v>6380</v>
      </c>
      <c r="C3446" s="5" t="s">
        <v>6417</v>
      </c>
      <c r="D3446" s="6">
        <v>11224.92</v>
      </c>
      <c r="E3446" s="6">
        <v>9346.09</v>
      </c>
      <c r="F3446" s="7" t="s">
        <v>14</v>
      </c>
      <c r="G3446" s="8" t="s">
        <v>6418</v>
      </c>
      <c r="H3446" s="8" t="s">
        <v>16</v>
      </c>
      <c r="I3446" s="9">
        <v>2750</v>
      </c>
      <c r="J3446" s="10" t="s">
        <v>6383</v>
      </c>
      <c r="K3446" s="10">
        <v>45212</v>
      </c>
      <c r="L3446" s="3" t="str">
        <f t="shared" si="109"/>
        <v>ΛΟΙΠΕΣ_ΔΕΝΔΡΩΔΕΙΣ_ΚΑΛΛΙΕΡΓΕΙΕΣ</v>
      </c>
    </row>
    <row r="3447" spans="1:12" s="3" customFormat="1" ht="15" customHeight="1" x14ac:dyDescent="0.25">
      <c r="A3447" s="3" t="str">
        <f t="shared" si="108"/>
        <v>ΛΟΙΠΕΣ ΔΕΝΔΡΩΔΕΙΣ ΚΑΛΛΙΕΡΓΕΙΕΣΜΑΝΓΚΟ</v>
      </c>
      <c r="B3447" s="4" t="s">
        <v>6380</v>
      </c>
      <c r="C3447" s="5" t="s">
        <v>6419</v>
      </c>
      <c r="D3447" s="6">
        <v>11224.92</v>
      </c>
      <c r="E3447" s="6">
        <v>9346.09</v>
      </c>
      <c r="F3447" s="7" t="s">
        <v>14</v>
      </c>
      <c r="G3447" s="8" t="s">
        <v>6420</v>
      </c>
      <c r="H3447" s="8" t="s">
        <v>16</v>
      </c>
      <c r="I3447" s="9">
        <v>2749</v>
      </c>
      <c r="J3447" s="10" t="s">
        <v>6383</v>
      </c>
      <c r="K3447" s="10">
        <v>45213</v>
      </c>
      <c r="L3447" s="3" t="str">
        <f t="shared" si="109"/>
        <v>ΛΟΙΠΕΣ_ΔΕΝΔΡΩΔΕΙΣ_ΚΑΛΛΙΕΡΓΕΙΕΣ</v>
      </c>
    </row>
    <row r="3448" spans="1:12" s="3" customFormat="1" ht="15" customHeight="1" x14ac:dyDescent="0.25">
      <c r="A3448" s="3" t="str">
        <f t="shared" si="108"/>
        <v>ΛΟΙΠΕΣ ΔΕΝΔΡΩΔΕΙΣ ΚΑΛΛΙΕΡΓΕΙΕΣΠΑΠΑΓΙΑ</v>
      </c>
      <c r="B3448" s="4" t="s">
        <v>6380</v>
      </c>
      <c r="C3448" s="5" t="s">
        <v>6421</v>
      </c>
      <c r="D3448" s="6">
        <v>11224.92</v>
      </c>
      <c r="E3448" s="6">
        <v>9346.09</v>
      </c>
      <c r="F3448" s="7" t="s">
        <v>14</v>
      </c>
      <c r="G3448" s="8" t="s">
        <v>6422</v>
      </c>
      <c r="H3448" s="8" t="s">
        <v>16</v>
      </c>
      <c r="I3448" s="9">
        <v>2748</v>
      </c>
      <c r="J3448" s="10" t="s">
        <v>6383</v>
      </c>
      <c r="K3448" s="10">
        <v>45214</v>
      </c>
      <c r="L3448" s="3" t="str">
        <f t="shared" si="109"/>
        <v>ΛΟΙΠΕΣ_ΔΕΝΔΡΩΔΕΙΣ_ΚΑΛΛΙΕΡΓΕΙΕΣ</v>
      </c>
    </row>
    <row r="3449" spans="1:12" s="3" customFormat="1" ht="15" customHeight="1" x14ac:dyDescent="0.25">
      <c r="A3449" s="3" t="str">
        <f t="shared" si="108"/>
        <v>ΛΟΙΠΕΣ ΔΕΝΔΡΩΔΕΙΣ ΚΑΛΛΙΕΡΓΕΙΕΣΑΡΚΕΥΘΟΣ</v>
      </c>
      <c r="B3449" s="4" t="s">
        <v>6380</v>
      </c>
      <c r="C3449" s="5" t="s">
        <v>6423</v>
      </c>
      <c r="D3449" s="6">
        <v>1829.23</v>
      </c>
      <c r="E3449" s="6">
        <v>3862.55</v>
      </c>
      <c r="F3449" s="7" t="s">
        <v>14</v>
      </c>
      <c r="G3449" s="8" t="s">
        <v>6424</v>
      </c>
      <c r="H3449" s="8" t="s">
        <v>16</v>
      </c>
      <c r="I3449" s="9">
        <v>2747</v>
      </c>
      <c r="J3449" s="10" t="s">
        <v>6383</v>
      </c>
      <c r="K3449" s="10">
        <v>45215</v>
      </c>
      <c r="L3449" s="3" t="str">
        <f t="shared" si="109"/>
        <v>ΛΟΙΠΕΣ_ΔΕΝΔΡΩΔΕΙΣ_ΚΑΛΛΙΕΡΓΕΙΕΣ</v>
      </c>
    </row>
    <row r="3450" spans="1:12" s="3" customFormat="1" ht="15" customHeight="1" x14ac:dyDescent="0.25">
      <c r="A3450" s="3" t="str">
        <f t="shared" si="108"/>
        <v>ΛΟΙΠΕΣ ΔΕΝΔΡΩΔΕΙΣ ΚΑΛΛΙΕΡΓΕΙΕΣΛΕΥΚΗ ΙΤΙΑ</v>
      </c>
      <c r="B3450" s="4" t="s">
        <v>6380</v>
      </c>
      <c r="C3450" s="5" t="s">
        <v>6425</v>
      </c>
      <c r="D3450" s="6">
        <v>1829.23</v>
      </c>
      <c r="E3450" s="6">
        <v>3862.55</v>
      </c>
      <c r="F3450" s="7" t="s">
        <v>14</v>
      </c>
      <c r="G3450" s="8" t="s">
        <v>6426</v>
      </c>
      <c r="H3450" s="8" t="s">
        <v>16</v>
      </c>
      <c r="I3450" s="9">
        <v>2746</v>
      </c>
      <c r="J3450" s="10" t="s">
        <v>6383</v>
      </c>
      <c r="K3450" s="10">
        <v>45216</v>
      </c>
      <c r="L3450" s="3" t="str">
        <f t="shared" si="109"/>
        <v>ΛΟΙΠΕΣ_ΔΕΝΔΡΩΔΕΙΣ_ΚΑΛΛΙΕΡΓΕΙΕΣ</v>
      </c>
    </row>
    <row r="3451" spans="1:12" s="3" customFormat="1" ht="15" customHeight="1" x14ac:dyDescent="0.25">
      <c r="A3451" s="3" t="str">
        <f t="shared" si="108"/>
        <v>ΛΟΙΠΕΣ ΔΕΝΔΡΩΔΕΙΣ ΚΑΛΛΙΕΡΓΕΙΕΣΦΛΑΜΟΥΡΙΑ</v>
      </c>
      <c r="B3451" s="4" t="s">
        <v>6380</v>
      </c>
      <c r="C3451" s="5" t="s">
        <v>6427</v>
      </c>
      <c r="D3451" s="6">
        <v>1829.23</v>
      </c>
      <c r="E3451" s="6">
        <v>3862.55</v>
      </c>
      <c r="F3451" s="7" t="s">
        <v>14</v>
      </c>
      <c r="G3451" s="8" t="s">
        <v>6428</v>
      </c>
      <c r="H3451" s="8" t="s">
        <v>16</v>
      </c>
      <c r="I3451" s="9">
        <v>2745</v>
      </c>
      <c r="J3451" s="10" t="s">
        <v>6383</v>
      </c>
      <c r="K3451" s="10">
        <v>45217</v>
      </c>
      <c r="L3451" s="3" t="str">
        <f t="shared" si="109"/>
        <v>ΛΟΙΠΕΣ_ΔΕΝΔΡΩΔΕΙΣ_ΚΑΛΛΙΕΡΓΕΙΕΣ</v>
      </c>
    </row>
    <row r="3452" spans="1:12" s="3" customFormat="1" ht="15" customHeight="1" x14ac:dyDescent="0.25">
      <c r="A3452" s="3" t="str">
        <f t="shared" si="108"/>
        <v>ΛΟΙΠΕΣ ΔΕΝΔΡΩΔΕΙΣ ΚΑΛΛΙΕΡΓΕΙΕΣΦΕΪΖΟΑ (Feijoa sellowiana)</v>
      </c>
      <c r="B3452" s="4" t="s">
        <v>6380</v>
      </c>
      <c r="C3452" s="5" t="s">
        <v>6429</v>
      </c>
      <c r="D3452" s="6">
        <v>1829.23</v>
      </c>
      <c r="E3452" s="6">
        <v>3862.55</v>
      </c>
      <c r="F3452" s="7" t="s">
        <v>14</v>
      </c>
      <c r="G3452" s="8" t="s">
        <v>6430</v>
      </c>
      <c r="H3452" s="8" t="s">
        <v>16</v>
      </c>
      <c r="I3452" s="9">
        <v>2744</v>
      </c>
      <c r="J3452" s="10" t="s">
        <v>6383</v>
      </c>
      <c r="K3452" s="10">
        <v>45218</v>
      </c>
      <c r="L3452" s="3" t="str">
        <f t="shared" si="109"/>
        <v>ΛΟΙΠΕΣ_ΔΕΝΔΡΩΔΕΙΣ_ΚΑΛΛΙΕΡΓΕΙΕΣ</v>
      </c>
    </row>
    <row r="3453" spans="1:12" s="3" customFormat="1" ht="15" customHeight="1" x14ac:dyDescent="0.25">
      <c r="A3453" s="3" t="str">
        <f t="shared" si="108"/>
        <v>ΛΟΙΠΕΣ ΔΕΝΔΡΩΔΕΙΣ ΚΑΛΛΙΕΡΓΕΙΕΣΑΚΤΙΝΙΔΙΑ TSECHELIDIS</v>
      </c>
      <c r="B3453" s="4" t="s">
        <v>6380</v>
      </c>
      <c r="C3453" s="5" t="s">
        <v>6431</v>
      </c>
      <c r="D3453" s="6">
        <v>11224.92</v>
      </c>
      <c r="E3453" s="6">
        <v>9346.09</v>
      </c>
      <c r="F3453" s="7" t="s">
        <v>14</v>
      </c>
      <c r="G3453" s="8" t="s">
        <v>6432</v>
      </c>
      <c r="H3453" s="8" t="s">
        <v>16</v>
      </c>
      <c r="I3453" s="9">
        <v>2743</v>
      </c>
      <c r="J3453" s="10" t="s">
        <v>6383</v>
      </c>
      <c r="K3453" s="10">
        <v>45219</v>
      </c>
      <c r="L3453" s="3" t="str">
        <f t="shared" si="109"/>
        <v>ΛΟΙΠΕΣ_ΔΕΝΔΡΩΔΕΙΣ_ΚΑΛΛΙΕΡΓΕΙΕΣ</v>
      </c>
    </row>
    <row r="3454" spans="1:12" s="3" customFormat="1" ht="15" customHeight="1" x14ac:dyDescent="0.25">
      <c r="A3454" s="3" t="str">
        <f t="shared" si="108"/>
        <v>ΛΟΙΠΕΣ ΔΕΝΔΡΩΔΕΙΣ ΚΑΛΛΙΕΡΓΕΙΕΣΛΟΙΠΕΣ ΔΕΝΔΡΩΔΕΙΣ ΚΑΛΛΙΕΡΓΕΙΕΣ</v>
      </c>
      <c r="B3454" s="4" t="s">
        <v>6380</v>
      </c>
      <c r="C3454" s="5" t="s">
        <v>6380</v>
      </c>
      <c r="D3454" s="6">
        <v>6584.59</v>
      </c>
      <c r="E3454" s="6">
        <v>8017.42</v>
      </c>
      <c r="F3454" s="7" t="s">
        <v>14</v>
      </c>
      <c r="G3454" s="8" t="s">
        <v>6433</v>
      </c>
      <c r="H3454" s="8" t="s">
        <v>16</v>
      </c>
      <c r="I3454" s="9">
        <v>2742</v>
      </c>
      <c r="J3454" s="10" t="s">
        <v>6383</v>
      </c>
      <c r="K3454" s="10">
        <v>45220</v>
      </c>
      <c r="L3454" s="3" t="str">
        <f t="shared" si="109"/>
        <v>ΛΟΙΠΕΣ_ΔΕΝΔΡΩΔΕΙΣ_ΚΑΛΛΙΕΡΓΕΙΕΣ</v>
      </c>
    </row>
    <row r="3455" spans="1:12" s="3" customFormat="1" ht="15" customHeight="1" x14ac:dyDescent="0.25">
      <c r="A3455" s="3" t="str">
        <f t="shared" si="108"/>
        <v>ΛΟΙΠΕΣ ΔΕΝΔΡΩΔΕΙΣ ΚΑΛΛΙΕΡΓΕΙΕΣΤΕΡΕΒΙΝΘΟΣ (ΤΣΙΤΣΙΡΑΒΛΙΑ)</v>
      </c>
      <c r="B3455" s="4" t="s">
        <v>6380</v>
      </c>
      <c r="C3455" s="5" t="s">
        <v>6434</v>
      </c>
      <c r="D3455" s="6">
        <v>1829.23</v>
      </c>
      <c r="E3455" s="6">
        <v>3862.55</v>
      </c>
      <c r="F3455" s="7" t="s">
        <v>14</v>
      </c>
      <c r="G3455" s="8" t="s">
        <v>6435</v>
      </c>
      <c r="H3455" s="8" t="s">
        <v>16</v>
      </c>
      <c r="I3455" s="9">
        <v>2728</v>
      </c>
      <c r="J3455" s="10" t="s">
        <v>6383</v>
      </c>
      <c r="K3455" s="10">
        <v>45221</v>
      </c>
      <c r="L3455" s="3" t="str">
        <f t="shared" si="109"/>
        <v>ΛΟΙΠΕΣ_ΔΕΝΔΡΩΔΕΙΣ_ΚΑΛΛΙΕΡΓΕΙΕΣ</v>
      </c>
    </row>
    <row r="3456" spans="1:12" s="3" customFormat="1" ht="15" customHeight="1" x14ac:dyDescent="0.25">
      <c r="A3456" s="3" t="str">
        <f t="shared" si="108"/>
        <v>ΛΟΙΠΕΣ ΔΕΝΔΡΩΔΕΙΣ ΚΑΛΛΙΕΡΓΕΙΕΣΡΟΔΙΕΣ ΕΡΜΙΟΝΗΣ</v>
      </c>
      <c r="B3456" s="4" t="s">
        <v>6380</v>
      </c>
      <c r="C3456" s="5" t="s">
        <v>6436</v>
      </c>
      <c r="D3456" s="6">
        <v>11224.92</v>
      </c>
      <c r="E3456" s="6">
        <v>9346.09</v>
      </c>
      <c r="F3456" s="7" t="s">
        <v>14</v>
      </c>
      <c r="G3456" s="8" t="s">
        <v>6437</v>
      </c>
      <c r="H3456" s="8" t="s">
        <v>16</v>
      </c>
      <c r="I3456" s="9">
        <v>2740</v>
      </c>
      <c r="J3456" s="10" t="s">
        <v>6383</v>
      </c>
      <c r="K3456" s="10">
        <v>45222</v>
      </c>
      <c r="L3456" s="3" t="str">
        <f t="shared" si="109"/>
        <v>ΛΟΙΠΕΣ_ΔΕΝΔΡΩΔΕΙΣ_ΚΑΛΛΙΕΡΓΕΙΕΣ</v>
      </c>
    </row>
    <row r="3457" spans="1:12" s="3" customFormat="1" ht="15" customHeight="1" x14ac:dyDescent="0.25">
      <c r="A3457" s="3" t="str">
        <f t="shared" si="108"/>
        <v>ΛΟΙΠΕΣ ΔΕΝΔΡΩΔΕΙΣ ΚΑΛΛΙΕΡΓΕΙΕΣΣΥΚΙΕΣ MISSION</v>
      </c>
      <c r="B3457" s="4" t="s">
        <v>6380</v>
      </c>
      <c r="C3457" s="5" t="s">
        <v>6438</v>
      </c>
      <c r="D3457" s="6">
        <v>11224.92</v>
      </c>
      <c r="E3457" s="6">
        <v>9346.09</v>
      </c>
      <c r="F3457" s="7" t="s">
        <v>14</v>
      </c>
      <c r="G3457" s="8" t="s">
        <v>6439</v>
      </c>
      <c r="H3457" s="8" t="s">
        <v>16</v>
      </c>
      <c r="I3457" s="9">
        <v>2752</v>
      </c>
      <c r="J3457" s="10" t="s">
        <v>6383</v>
      </c>
      <c r="K3457" s="10">
        <v>45223</v>
      </c>
      <c r="L3457" s="3" t="str">
        <f t="shared" si="109"/>
        <v>ΛΟΙΠΕΣ_ΔΕΝΔΡΩΔΕΙΣ_ΚΑΛΛΙΕΡΓΕΙΕΣ</v>
      </c>
    </row>
    <row r="3458" spans="1:12" s="3" customFormat="1" ht="15" customHeight="1" x14ac:dyDescent="0.25">
      <c r="A3458" s="3" t="str">
        <f t="shared" si="108"/>
        <v>ΛΟΙΠΕΣ ΔΕΝΔΡΩΔΕΙΣ ΚΑΛΛΙΕΡΓΕΙΕΣΣΥΚΙΕΣ SMYRNAIKI</v>
      </c>
      <c r="B3458" s="4" t="s">
        <v>6380</v>
      </c>
      <c r="C3458" s="5" t="s">
        <v>6440</v>
      </c>
      <c r="D3458" s="6">
        <v>11224.92</v>
      </c>
      <c r="E3458" s="6">
        <v>9346.09</v>
      </c>
      <c r="F3458" s="7" t="s">
        <v>14</v>
      </c>
      <c r="G3458" s="8" t="s">
        <v>6441</v>
      </c>
      <c r="H3458" s="8" t="s">
        <v>16</v>
      </c>
      <c r="I3458" s="9">
        <v>2738</v>
      </c>
      <c r="J3458" s="10" t="s">
        <v>6383</v>
      </c>
      <c r="K3458" s="10">
        <v>45224</v>
      </c>
      <c r="L3458" s="3" t="str">
        <f t="shared" si="109"/>
        <v>ΛΟΙΠΕΣ_ΔΕΝΔΡΩΔΕΙΣ_ΚΑΛΛΙΕΡΓΕΙΕΣ</v>
      </c>
    </row>
    <row r="3459" spans="1:12" s="3" customFormat="1" ht="15" customHeight="1" x14ac:dyDescent="0.25">
      <c r="A3459" s="3" t="str">
        <f t="shared" ref="A3459:A3522" si="110">_xlfn.CONCAT(B3459,C3459)</f>
        <v>ΛΟΙΠΕΣ ΔΕΝΔΡΩΔΕΙΣ ΚΑΛΛΙΕΡΓΕΙΕΣΚΑΡΥΔΙΑ PECAN</v>
      </c>
      <c r="B3459" s="4" t="s">
        <v>6380</v>
      </c>
      <c r="C3459" s="5" t="s">
        <v>6442</v>
      </c>
      <c r="D3459" s="6">
        <v>6628.52</v>
      </c>
      <c r="E3459" s="6">
        <v>7978.51</v>
      </c>
      <c r="F3459" s="7" t="s">
        <v>14</v>
      </c>
      <c r="G3459" s="8" t="s">
        <v>6443</v>
      </c>
      <c r="H3459" s="8" t="s">
        <v>16</v>
      </c>
      <c r="I3459" s="9">
        <v>2737</v>
      </c>
      <c r="J3459" s="10" t="s">
        <v>6383</v>
      </c>
      <c r="K3459" s="10">
        <v>45225</v>
      </c>
      <c r="L3459" s="3" t="str">
        <f t="shared" ref="L3459:L3522" si="111">IFERROR(SUBSTITUTE(SUBSTITUTE(SUBSTITUTE(SUBSTITUTE(SUBSTITUTE(B3459, "-", "_"), " ", "_"), ",", ""), "(", ""), ")", ""), B3459)</f>
        <v>ΛΟΙΠΕΣ_ΔΕΝΔΡΩΔΕΙΣ_ΚΑΛΛΙΕΡΓΕΙΕΣ</v>
      </c>
    </row>
    <row r="3460" spans="1:12" s="3" customFormat="1" ht="15" customHeight="1" x14ac:dyDescent="0.25">
      <c r="A3460" s="3" t="str">
        <f t="shared" si="110"/>
        <v>ΛΟΙΠΕΣ ΔΕΝΔΡΩΔΕΙΣ ΚΑΛΛΙΕΡΓΕΙΕΣΑΚΤΙΝΙΔΙΑ GREENLIGHT</v>
      </c>
      <c r="B3460" s="4" t="s">
        <v>6380</v>
      </c>
      <c r="C3460" s="5" t="s">
        <v>6444</v>
      </c>
      <c r="D3460" s="6">
        <v>11224.92</v>
      </c>
      <c r="E3460" s="6">
        <v>9346.09</v>
      </c>
      <c r="F3460" s="7" t="s">
        <v>14</v>
      </c>
      <c r="G3460" s="8" t="s">
        <v>6445</v>
      </c>
      <c r="H3460" s="8" t="s">
        <v>16</v>
      </c>
      <c r="I3460" s="9">
        <v>2736</v>
      </c>
      <c r="J3460" s="10" t="s">
        <v>6383</v>
      </c>
      <c r="K3460" s="10">
        <v>45226</v>
      </c>
      <c r="L3460" s="3" t="str">
        <f t="shared" si="111"/>
        <v>ΛΟΙΠΕΣ_ΔΕΝΔΡΩΔΕΙΣ_ΚΑΛΛΙΕΡΓΕΙΕΣ</v>
      </c>
    </row>
    <row r="3461" spans="1:12" s="3" customFormat="1" ht="24" x14ac:dyDescent="0.25">
      <c r="A3461" s="3" t="str">
        <f t="shared" si="110"/>
        <v>ΛΟΙΠΕΣ ΔΕΝΔΡΩΔΕΙΣ ΚΑΛΛΙΕΡΓΕΙΕΣΦΤΕΛΙΑ</v>
      </c>
      <c r="B3461" s="21" t="s">
        <v>6380</v>
      </c>
      <c r="C3461" s="22" t="s">
        <v>6446</v>
      </c>
      <c r="D3461" s="6">
        <v>1829.23</v>
      </c>
      <c r="E3461" s="6">
        <v>3862.55</v>
      </c>
      <c r="F3461" s="7" t="s">
        <v>14</v>
      </c>
      <c r="G3461" s="8" t="s">
        <v>6447</v>
      </c>
      <c r="H3461" s="8" t="s">
        <v>16</v>
      </c>
      <c r="I3461" s="9">
        <v>5214</v>
      </c>
      <c r="J3461" s="16" t="s">
        <v>6383</v>
      </c>
      <c r="K3461" s="16">
        <v>45227</v>
      </c>
      <c r="L3461" s="3" t="str">
        <f t="shared" si="111"/>
        <v>ΛΟΙΠΕΣ_ΔΕΝΔΡΩΔΕΙΣ_ΚΑΛΛΙΕΡΓΕΙΕΣ</v>
      </c>
    </row>
    <row r="3462" spans="1:12" s="3" customFormat="1" ht="24" x14ac:dyDescent="0.25">
      <c r="A3462" s="3" t="str">
        <f t="shared" si="110"/>
        <v>ΛΟΙΠΕΣ ΔΕΝΔΡΩΔΕΙΣ ΚΑΛΛΙΕΡΓΕΙΕΣΜΟΡΙΝΓΚΑ (MORINGA OLEIFERA)</v>
      </c>
      <c r="B3462" s="21" t="s">
        <v>6380</v>
      </c>
      <c r="C3462" s="22" t="s">
        <v>6448</v>
      </c>
      <c r="D3462" s="6">
        <v>1829.23</v>
      </c>
      <c r="E3462" s="6">
        <v>3862.55</v>
      </c>
      <c r="F3462" s="7" t="s">
        <v>14</v>
      </c>
      <c r="G3462" s="8" t="s">
        <v>6449</v>
      </c>
      <c r="H3462" s="8" t="s">
        <v>16</v>
      </c>
      <c r="I3462" s="9">
        <v>5215</v>
      </c>
      <c r="J3462" s="16" t="s">
        <v>6383</v>
      </c>
      <c r="K3462" s="16">
        <v>45228</v>
      </c>
      <c r="L3462" s="3" t="str">
        <f t="shared" si="111"/>
        <v>ΛΟΙΠΕΣ_ΔΕΝΔΡΩΔΕΙΣ_ΚΑΛΛΙΕΡΓΕΙΕΣ</v>
      </c>
    </row>
    <row r="3463" spans="1:12" s="3" customFormat="1" ht="24" x14ac:dyDescent="0.25">
      <c r="A3463" s="3" t="str">
        <f t="shared" si="110"/>
        <v>ΛΟΙΠΕΣ ΔΕΝΔΡΩΔΕΙΣ ΚΑΛΛΙΕΡΓΕΙΕΣΑΚΤΙΝΙΔΙΑ BOERICA</v>
      </c>
      <c r="B3463" s="21" t="s">
        <v>6380</v>
      </c>
      <c r="C3463" s="22" t="s">
        <v>6450</v>
      </c>
      <c r="D3463" s="6">
        <v>11224.92</v>
      </c>
      <c r="E3463" s="6">
        <v>9346.09</v>
      </c>
      <c r="F3463" s="7" t="s">
        <v>14</v>
      </c>
      <c r="G3463" s="8" t="s">
        <v>6451</v>
      </c>
      <c r="H3463" s="8" t="s">
        <v>16</v>
      </c>
      <c r="I3463" s="9">
        <v>5216</v>
      </c>
      <c r="J3463" s="16" t="s">
        <v>6383</v>
      </c>
      <c r="K3463" s="16">
        <v>45229</v>
      </c>
      <c r="L3463" s="3" t="str">
        <f t="shared" si="111"/>
        <v>ΛΟΙΠΕΣ_ΔΕΝΔΡΩΔΕΙΣ_ΚΑΛΛΙΕΡΓΕΙΕΣ</v>
      </c>
    </row>
    <row r="3464" spans="1:12" s="3" customFormat="1" ht="24" x14ac:dyDescent="0.25">
      <c r="A3464" s="3" t="str">
        <f t="shared" si="110"/>
        <v>ΛΟΙΠΕΣ ΔΕΝΔΡΩΔΕΙΣ ΚΑΛΛΙΕΡΓΕΙΕΣΡΟΔΙΕΣ ACCO</v>
      </c>
      <c r="B3464" s="21" t="s">
        <v>6380</v>
      </c>
      <c r="C3464" s="5" t="s">
        <v>6452</v>
      </c>
      <c r="D3464" s="6">
        <v>11224.92</v>
      </c>
      <c r="E3464" s="6">
        <v>9346.09</v>
      </c>
      <c r="F3464" s="7" t="s">
        <v>14</v>
      </c>
      <c r="G3464" s="8" t="s">
        <v>6453</v>
      </c>
      <c r="H3464" s="8" t="s">
        <v>16</v>
      </c>
      <c r="I3464" s="9">
        <v>5217</v>
      </c>
      <c r="J3464" s="16" t="s">
        <v>6383</v>
      </c>
      <c r="K3464" s="16">
        <v>45230</v>
      </c>
      <c r="L3464" s="3" t="str">
        <f t="shared" si="111"/>
        <v>ΛΟΙΠΕΣ_ΔΕΝΔΡΩΔΕΙΣ_ΚΑΛΛΙΕΡΓΕΙΕΣ</v>
      </c>
    </row>
    <row r="3465" spans="1:12" s="3" customFormat="1" ht="24" x14ac:dyDescent="0.25">
      <c r="A3465" s="3" t="str">
        <f t="shared" si="110"/>
        <v>ΛΟΙΠΕΣ ΔΕΝΔΡΩΔΕΙΣ ΚΑΛΛΙΕΡΓΕΙΕΣΡΟΔΙΕΣ WONDERFUL</v>
      </c>
      <c r="B3465" s="21" t="s">
        <v>6380</v>
      </c>
      <c r="C3465" s="5" t="s">
        <v>6454</v>
      </c>
      <c r="D3465" s="6">
        <v>11224.92</v>
      </c>
      <c r="E3465" s="6">
        <v>9346.09</v>
      </c>
      <c r="F3465" s="7" t="s">
        <v>14</v>
      </c>
      <c r="G3465" s="8" t="s">
        <v>6455</v>
      </c>
      <c r="H3465" s="8" t="s">
        <v>16</v>
      </c>
      <c r="I3465" s="9">
        <v>5218</v>
      </c>
      <c r="J3465" s="16" t="s">
        <v>6383</v>
      </c>
      <c r="K3465" s="16">
        <v>45231</v>
      </c>
      <c r="L3465" s="3" t="str">
        <f t="shared" si="111"/>
        <v>ΛΟΙΠΕΣ_ΔΕΝΔΡΩΔΕΙΣ_ΚΑΛΛΙΕΡΓΕΙΕΣ</v>
      </c>
    </row>
    <row r="3466" spans="1:12" s="3" customFormat="1" ht="24" x14ac:dyDescent="0.25">
      <c r="A3466" s="3" t="str">
        <f t="shared" si="110"/>
        <v>ΛΟΙΠΕΣ ΔΕΝΔΡΩΔΕΙΣ ΚΑΛΛΙΕΡΓΕΙΕΣΑΚΤΙΝΙΔΙΑ   AC 497 076</v>
      </c>
      <c r="B3466" s="21" t="s">
        <v>6380</v>
      </c>
      <c r="C3466" s="22" t="s">
        <v>6456</v>
      </c>
      <c r="D3466" s="6">
        <v>11224.92</v>
      </c>
      <c r="E3466" s="6">
        <v>9346.09</v>
      </c>
      <c r="F3466" s="7" t="s">
        <v>14</v>
      </c>
      <c r="G3466" s="8" t="s">
        <v>6457</v>
      </c>
      <c r="H3466" s="8" t="s">
        <v>16</v>
      </c>
      <c r="I3466" s="9">
        <v>5219</v>
      </c>
      <c r="J3466" s="16" t="s">
        <v>6383</v>
      </c>
      <c r="K3466" s="16">
        <v>45232</v>
      </c>
      <c r="L3466" s="3" t="str">
        <f t="shared" si="111"/>
        <v>ΛΟΙΠΕΣ_ΔΕΝΔΡΩΔΕΙΣ_ΚΑΛΛΙΕΡΓΕΙΕΣ</v>
      </c>
    </row>
    <row r="3467" spans="1:12" s="3" customFormat="1" ht="24" x14ac:dyDescent="0.25">
      <c r="A3467" s="3" t="str">
        <f t="shared" si="110"/>
        <v>ΛΟΙΠΕΣ ΔΕΝΔΡΩΔΕΙΣ ΚΑΛΛΙΕΡΓΕΙΕΣΑΚΤΙΝΙΔΙΑ   AC 501 022</v>
      </c>
      <c r="B3467" s="21" t="s">
        <v>6380</v>
      </c>
      <c r="C3467" s="22" t="s">
        <v>6458</v>
      </c>
      <c r="D3467" s="6">
        <v>11224.92</v>
      </c>
      <c r="E3467" s="6">
        <v>9346.09</v>
      </c>
      <c r="F3467" s="7" t="s">
        <v>14</v>
      </c>
      <c r="G3467" s="8" t="s">
        <v>6459</v>
      </c>
      <c r="H3467" s="8" t="s">
        <v>16</v>
      </c>
      <c r="I3467" s="9">
        <v>5220</v>
      </c>
      <c r="J3467" s="16" t="s">
        <v>6383</v>
      </c>
      <c r="K3467" s="16">
        <v>45233</v>
      </c>
      <c r="L3467" s="3" t="str">
        <f t="shared" si="111"/>
        <v>ΛΟΙΠΕΣ_ΔΕΝΔΡΩΔΕΙΣ_ΚΑΛΛΙΕΡΓΕΙΕΣ</v>
      </c>
    </row>
    <row r="3468" spans="1:12" s="3" customFormat="1" ht="24" x14ac:dyDescent="0.25">
      <c r="A3468" s="3" t="str">
        <f t="shared" si="110"/>
        <v>ΛΟΙΠΕΣ ΔΕΝΔΡΩΔΕΙΣ ΚΑΛΛΙΕΡΓΕΙΕΣΓΚΙΝΓΚΟ ΜΠΙΛΟΜΠΑ (GINKGO BILOBA)</v>
      </c>
      <c r="B3468" s="23" t="s">
        <v>6380</v>
      </c>
      <c r="C3468" s="24" t="s">
        <v>6460</v>
      </c>
      <c r="D3468" s="6">
        <v>1829.23</v>
      </c>
      <c r="E3468" s="6">
        <v>3862.55</v>
      </c>
      <c r="F3468" s="29" t="s">
        <v>14</v>
      </c>
      <c r="G3468" s="8" t="s">
        <v>6461</v>
      </c>
      <c r="H3468" s="8" t="s">
        <v>16</v>
      </c>
      <c r="I3468" s="9">
        <v>5417</v>
      </c>
      <c r="J3468" s="26">
        <v>45.2</v>
      </c>
      <c r="K3468" s="27">
        <v>45234</v>
      </c>
      <c r="L3468" s="3" t="str">
        <f t="shared" si="111"/>
        <v>ΛΟΙΠΕΣ_ΔΕΝΔΡΩΔΕΙΣ_ΚΑΛΛΙΕΡΓΕΙΕΣ</v>
      </c>
    </row>
    <row r="3469" spans="1:12" s="3" customFormat="1" ht="24" x14ac:dyDescent="0.25">
      <c r="A3469" s="3" t="str">
        <f t="shared" si="110"/>
        <v>ΛΟΙΠΕΣ ΔΕΝΔΡΩΔΕΙΣ ΚΑΛΛΙΕΡΓΕΙΕΣΛΩΤΟΙ JIRO</v>
      </c>
      <c r="B3469" s="23" t="s">
        <v>6380</v>
      </c>
      <c r="C3469" s="24" t="s">
        <v>6462</v>
      </c>
      <c r="D3469" s="6">
        <v>11224.92</v>
      </c>
      <c r="E3469" s="6">
        <v>9346.09</v>
      </c>
      <c r="F3469" s="29" t="s">
        <v>14</v>
      </c>
      <c r="G3469" s="8" t="s">
        <v>6463</v>
      </c>
      <c r="H3469" s="8" t="s">
        <v>16</v>
      </c>
      <c r="I3469" s="9">
        <v>5418</v>
      </c>
      <c r="J3469" s="26">
        <v>45.2</v>
      </c>
      <c r="K3469" s="27">
        <v>45235</v>
      </c>
      <c r="L3469" s="3" t="str">
        <f t="shared" si="111"/>
        <v>ΛΟΙΠΕΣ_ΔΕΝΔΡΩΔΕΙΣ_ΚΑΛΛΙΕΡΓΕΙΕΣ</v>
      </c>
    </row>
    <row r="3470" spans="1:12" s="3" customFormat="1" ht="24" x14ac:dyDescent="0.25">
      <c r="A3470" s="3" t="str">
        <f t="shared" si="110"/>
        <v>ΛΟΙΠΕΣ ΔΕΝΔΡΩΔΕΙΣ ΚΑΛΛΙΕΡΓΕΙΕΣΚΑΣΤΑΝΙΕΣ ΓΙΑ ΚΑΡΠΟ</v>
      </c>
      <c r="B3470" s="4" t="s">
        <v>6380</v>
      </c>
      <c r="C3470" s="5" t="s">
        <v>6464</v>
      </c>
      <c r="D3470" s="6">
        <v>6628.52</v>
      </c>
      <c r="E3470" s="6">
        <v>7978.51</v>
      </c>
      <c r="F3470" s="7" t="s">
        <v>14</v>
      </c>
      <c r="G3470" s="8" t="s">
        <v>6465</v>
      </c>
      <c r="H3470" s="8" t="s">
        <v>16</v>
      </c>
      <c r="I3470" s="9">
        <v>2719</v>
      </c>
      <c r="J3470" s="10" t="s">
        <v>6383</v>
      </c>
      <c r="K3470" s="10">
        <v>8126</v>
      </c>
      <c r="L3470" s="3" t="str">
        <f t="shared" si="111"/>
        <v>ΛΟΙΠΕΣ_ΔΕΝΔΡΩΔΕΙΣ_ΚΑΛΛΙΕΡΓΕΙΕΣ</v>
      </c>
    </row>
    <row r="3471" spans="1:12" s="3" customFormat="1" ht="24" x14ac:dyDescent="0.25">
      <c r="A3471" s="3" t="str">
        <f t="shared" si="110"/>
        <v>ΛΟΙΠΕΣ ΔΕΝΔΡΩΔΕΙΣ ΚΑΛΛΙΕΡΓΕΙΕΣΑΚΤΙΝΙΔΙΟ</v>
      </c>
      <c r="B3471" s="4" t="s">
        <v>6380</v>
      </c>
      <c r="C3471" s="5" t="s">
        <v>6466</v>
      </c>
      <c r="D3471" s="6">
        <v>11224.92</v>
      </c>
      <c r="E3471" s="6">
        <v>9346.09</v>
      </c>
      <c r="F3471" s="7" t="s">
        <v>14</v>
      </c>
      <c r="G3471" s="8" t="s">
        <v>6467</v>
      </c>
      <c r="H3471" s="8" t="s">
        <v>16</v>
      </c>
      <c r="I3471" s="9">
        <v>2739</v>
      </c>
      <c r="J3471" s="10" t="s">
        <v>6383</v>
      </c>
      <c r="K3471" s="10">
        <v>8194</v>
      </c>
      <c r="L3471" s="3" t="str">
        <f t="shared" si="111"/>
        <v>ΛΟΙΠΕΣ_ΔΕΝΔΡΩΔΕΙΣ_ΚΑΛΛΙΕΡΓΕΙΕΣ</v>
      </c>
    </row>
    <row r="3472" spans="1:12" s="3" customFormat="1" ht="24" x14ac:dyDescent="0.25">
      <c r="A3472" s="3" t="str">
        <f t="shared" si="110"/>
        <v>ΛΟΙΠΕΣ ΔΕΝΔΡΩΔΕΙΣ ΚΑΛΛΙΕΡΓΕΙΕΣΡΟΔΙΕΣ</v>
      </c>
      <c r="B3472" s="4" t="s">
        <v>6380</v>
      </c>
      <c r="C3472" s="5" t="s">
        <v>6468</v>
      </c>
      <c r="D3472" s="6">
        <v>11224.92</v>
      </c>
      <c r="E3472" s="6">
        <v>9346.09</v>
      </c>
      <c r="F3472" s="7" t="s">
        <v>14</v>
      </c>
      <c r="G3472" s="8" t="s">
        <v>6469</v>
      </c>
      <c r="H3472" s="8" t="s">
        <v>16</v>
      </c>
      <c r="I3472" s="9">
        <v>2704</v>
      </c>
      <c r="J3472" s="10" t="s">
        <v>6383</v>
      </c>
      <c r="K3472" s="10">
        <v>8197</v>
      </c>
      <c r="L3472" s="3" t="str">
        <f t="shared" si="111"/>
        <v>ΛΟΙΠΕΣ_ΔΕΝΔΡΩΔΕΙΣ_ΚΑΛΛΙΕΡΓΕΙΕΣ</v>
      </c>
    </row>
    <row r="3473" spans="1:12" s="3" customFormat="1" ht="24" x14ac:dyDescent="0.25">
      <c r="A3473" s="3" t="str">
        <f t="shared" si="110"/>
        <v>ΛΟΙΠΕΣ ΔΕΝΔΡΩΔΕΙΣ ΚΑΛΛΙΕΡΓΕΙΕΣΣΥΚΙΕΣ ΝΩΠΕΣ Β</v>
      </c>
      <c r="B3473" s="4" t="s">
        <v>6380</v>
      </c>
      <c r="C3473" s="5" t="s">
        <v>6470</v>
      </c>
      <c r="D3473" s="6">
        <v>11224.92</v>
      </c>
      <c r="E3473" s="6">
        <v>9346.09</v>
      </c>
      <c r="F3473" s="7" t="s">
        <v>14</v>
      </c>
      <c r="G3473" s="8" t="s">
        <v>6471</v>
      </c>
      <c r="H3473" s="8" t="s">
        <v>16</v>
      </c>
      <c r="I3473" s="9">
        <v>2705</v>
      </c>
      <c r="J3473" s="10" t="s">
        <v>6383</v>
      </c>
      <c r="K3473" s="10">
        <v>8198</v>
      </c>
      <c r="L3473" s="3" t="str">
        <f t="shared" si="111"/>
        <v>ΛΟΙΠΕΣ_ΔΕΝΔΡΩΔΕΙΣ_ΚΑΛΛΙΕΡΓΕΙΕΣ</v>
      </c>
    </row>
    <row r="3474" spans="1:12" s="3" customFormat="1" ht="24" x14ac:dyDescent="0.25">
      <c r="A3474" s="3" t="str">
        <f t="shared" si="110"/>
        <v>ΛΟΙΠΕΣ ΔΕΝΔΡΩΔΕΙΣ ΚΑΛΛΙΕΡΓΕΙΕΣΑΒΟΚΑΝΤΟ</v>
      </c>
      <c r="B3474" s="4" t="s">
        <v>6380</v>
      </c>
      <c r="C3474" s="5" t="s">
        <v>6472</v>
      </c>
      <c r="D3474" s="6">
        <v>11224.92</v>
      </c>
      <c r="E3474" s="6">
        <v>9346.09</v>
      </c>
      <c r="F3474" s="7" t="s">
        <v>14</v>
      </c>
      <c r="G3474" s="8" t="s">
        <v>6473</v>
      </c>
      <c r="H3474" s="8" t="s">
        <v>16</v>
      </c>
      <c r="I3474" s="9">
        <v>2706</v>
      </c>
      <c r="J3474" s="10" t="s">
        <v>6383</v>
      </c>
      <c r="K3474" s="10">
        <v>8199</v>
      </c>
      <c r="L3474" s="3" t="str">
        <f t="shared" si="111"/>
        <v>ΛΟΙΠΕΣ_ΔΕΝΔΡΩΔΕΙΣ_ΚΑΛΛΙΕΡΓΕΙΕΣ</v>
      </c>
    </row>
    <row r="3475" spans="1:12" s="3" customFormat="1" ht="24" x14ac:dyDescent="0.25">
      <c r="A3475" s="3" t="str">
        <f t="shared" si="110"/>
        <v>ΛΟΙΠΕΣ ΔΕΝΔΡΩΔΕΙΣ ΚΑΛΛΙΕΡΓΕΙΕΣΣΥΚΙΕΣ ΝΩΠΕΣ Α</v>
      </c>
      <c r="B3475" s="4" t="s">
        <v>6380</v>
      </c>
      <c r="C3475" s="5" t="s">
        <v>6474</v>
      </c>
      <c r="D3475" s="6">
        <v>11224.92</v>
      </c>
      <c r="E3475" s="6">
        <v>9346.09</v>
      </c>
      <c r="F3475" s="7" t="s">
        <v>14</v>
      </c>
      <c r="G3475" s="8" t="s">
        <v>6475</v>
      </c>
      <c r="H3475" s="8" t="s">
        <v>16</v>
      </c>
      <c r="I3475" s="9">
        <v>2707</v>
      </c>
      <c r="J3475" s="10" t="s">
        <v>6383</v>
      </c>
      <c r="K3475" s="10">
        <v>8204</v>
      </c>
      <c r="L3475" s="3" t="str">
        <f t="shared" si="111"/>
        <v>ΛΟΙΠΕΣ_ΔΕΝΔΡΩΔΕΙΣ_ΚΑΛΛΙΕΡΓΕΙΕΣ</v>
      </c>
    </row>
    <row r="3476" spans="1:12" s="3" customFormat="1" ht="24" x14ac:dyDescent="0.25">
      <c r="A3476" s="3" t="str">
        <f t="shared" si="110"/>
        <v>ΛΟΙΠΕΣ ΔΕΝΔΡΩΔΕΙΣ ΚΑΛΛΙΕΡΓΕΙΕΣΞΗΡΑ ΜΗ ΜΕΤΑΠΟΙΗΜΕΝΑ ΣΥΚΑ</v>
      </c>
      <c r="B3476" s="4" t="s">
        <v>6380</v>
      </c>
      <c r="C3476" s="5" t="s">
        <v>6476</v>
      </c>
      <c r="D3476" s="6">
        <v>11224.92</v>
      </c>
      <c r="E3476" s="6">
        <v>9346.09</v>
      </c>
      <c r="F3476" s="7" t="s">
        <v>14</v>
      </c>
      <c r="G3476" s="8" t="s">
        <v>6477</v>
      </c>
      <c r="H3476" s="8" t="s">
        <v>16</v>
      </c>
      <c r="I3476" s="9">
        <v>2710</v>
      </c>
      <c r="J3476" s="10" t="s">
        <v>6383</v>
      </c>
      <c r="K3476" s="10">
        <v>8501</v>
      </c>
      <c r="L3476" s="3" t="str">
        <f t="shared" si="111"/>
        <v>ΛΟΙΠΕΣ_ΔΕΝΔΡΩΔΕΙΣ_ΚΑΛΛΙΕΡΓΕΙΕΣ</v>
      </c>
    </row>
    <row r="3477" spans="1:12" s="3" customFormat="1" ht="24" x14ac:dyDescent="0.25">
      <c r="A3477" s="3" t="str">
        <f t="shared" si="110"/>
        <v>ΛΟΙΠΕΣ ΔΕΝΔΡΩΔΕΙΣ ΚΑΛΛΙΕΡΓΕΙΕΣΛΩΤΟΙ</v>
      </c>
      <c r="B3477" s="4" t="s">
        <v>6380</v>
      </c>
      <c r="C3477" s="5" t="s">
        <v>6478</v>
      </c>
      <c r="D3477" s="6">
        <v>11224.92</v>
      </c>
      <c r="E3477" s="6">
        <v>9346.09</v>
      </c>
      <c r="F3477" s="7" t="s">
        <v>14</v>
      </c>
      <c r="G3477" s="8" t="s">
        <v>6479</v>
      </c>
      <c r="H3477" s="8" t="s">
        <v>16</v>
      </c>
      <c r="I3477" s="9">
        <v>2732</v>
      </c>
      <c r="J3477" s="10" t="s">
        <v>6383</v>
      </c>
      <c r="K3477" s="10">
        <v>8609</v>
      </c>
      <c r="L3477" s="3" t="str">
        <f t="shared" si="111"/>
        <v>ΛΟΙΠΕΣ_ΔΕΝΔΡΩΔΕΙΣ_ΚΑΛΛΙΕΡΓΕΙΕΣ</v>
      </c>
    </row>
    <row r="3478" spans="1:12" s="3" customFormat="1" ht="24" x14ac:dyDescent="0.25">
      <c r="A3478" s="3" t="str">
        <f t="shared" si="110"/>
        <v>ΛΟΙΠΕΣ ΔΕΝΔΡΩΔΕΙΣ ΚΑΛΛΙΕΡΓΕΙΕΣΜΕΣΠΙΛΙΕΣ (ΜΟΥΣΜΟΥΛΙΕΣ)</v>
      </c>
      <c r="B3478" s="4" t="s">
        <v>6380</v>
      </c>
      <c r="C3478" s="5" t="s">
        <v>6480</v>
      </c>
      <c r="D3478" s="6">
        <v>5895.69</v>
      </c>
      <c r="E3478" s="6">
        <v>5815.34</v>
      </c>
      <c r="F3478" s="7" t="s">
        <v>14</v>
      </c>
      <c r="G3478" s="8" t="s">
        <v>6481</v>
      </c>
      <c r="H3478" s="8" t="s">
        <v>16</v>
      </c>
      <c r="I3478" s="9">
        <v>2731</v>
      </c>
      <c r="J3478" s="10" t="s">
        <v>6383</v>
      </c>
      <c r="K3478" s="10">
        <v>8610</v>
      </c>
      <c r="L3478" s="3" t="str">
        <f t="shared" si="111"/>
        <v>ΛΟΙΠΕΣ_ΔΕΝΔΡΩΔΕΙΣ_ΚΑΛΛΙΕΡΓΕΙΕΣ</v>
      </c>
    </row>
    <row r="3479" spans="1:12" s="3" customFormat="1" ht="24" x14ac:dyDescent="0.25">
      <c r="A3479" s="3" t="str">
        <f t="shared" si="110"/>
        <v>ΛΟΙΠΕΣ ΔΕΝΔΡΩΔΕΙΣ ΚΑΛΛΙΕΡΓΕΙΕΣΣΥΚΑ - ΑΙΔΙΝΙΟΥ ΛΕΣΒΟΥ</v>
      </c>
      <c r="B3479" s="4" t="s">
        <v>6380</v>
      </c>
      <c r="C3479" s="5" t="s">
        <v>6482</v>
      </c>
      <c r="D3479" s="6">
        <v>11224.92</v>
      </c>
      <c r="E3479" s="6">
        <v>9346.09</v>
      </c>
      <c r="F3479" s="7" t="s">
        <v>14</v>
      </c>
      <c r="G3479" s="8" t="s">
        <v>6483</v>
      </c>
      <c r="H3479" s="8" t="s">
        <v>16</v>
      </c>
      <c r="I3479" s="9">
        <v>2724</v>
      </c>
      <c r="J3479" s="10" t="s">
        <v>6383</v>
      </c>
      <c r="K3479" s="10">
        <v>8774</v>
      </c>
      <c r="L3479" s="3" t="str">
        <f t="shared" si="111"/>
        <v>ΛΟΙΠΕΣ_ΔΕΝΔΡΩΔΕΙΣ_ΚΑΛΛΙΕΡΓΕΙΕΣ</v>
      </c>
    </row>
    <row r="3480" spans="1:12" s="3" customFormat="1" ht="24" x14ac:dyDescent="0.25">
      <c r="A3480" s="3" t="str">
        <f t="shared" si="110"/>
        <v>ΛΟΙΠΕΣ ΔΕΝΔΡΩΔΕΙΣ ΚΑΛΛΙΕΡΓΕΙΕΣΣΥΚΑ - ΜΠΟΥΚΝΕΣ ΣΑΜΟΥ</v>
      </c>
      <c r="B3480" s="4" t="s">
        <v>6380</v>
      </c>
      <c r="C3480" s="5" t="s">
        <v>6484</v>
      </c>
      <c r="D3480" s="6">
        <v>11224.92</v>
      </c>
      <c r="E3480" s="6">
        <v>9346.09</v>
      </c>
      <c r="F3480" s="7" t="s">
        <v>14</v>
      </c>
      <c r="G3480" s="8" t="s">
        <v>6485</v>
      </c>
      <c r="H3480" s="8" t="s">
        <v>16</v>
      </c>
      <c r="I3480" s="9">
        <v>2723</v>
      </c>
      <c r="J3480" s="10" t="s">
        <v>6383</v>
      </c>
      <c r="K3480" s="10">
        <v>8775</v>
      </c>
      <c r="L3480" s="3" t="str">
        <f t="shared" si="111"/>
        <v>ΛΟΙΠΕΣ_ΔΕΝΔΡΩΔΕΙΣ_ΚΑΛΛΙΕΡΓΕΙΕΣ</v>
      </c>
    </row>
    <row r="3481" spans="1:12" s="3" customFormat="1" ht="24" x14ac:dyDescent="0.25">
      <c r="A3481" s="3" t="str">
        <f t="shared" si="110"/>
        <v>ΛΟΙΠΕΣ ΔΕΝΔΡΩΔΕΙΣ ΚΑΛΛΙΕΡΓΕΙΕΣΣΥΚΑ ΤΗΝΟΥ</v>
      </c>
      <c r="B3481" s="4" t="s">
        <v>6380</v>
      </c>
      <c r="C3481" s="5" t="s">
        <v>6486</v>
      </c>
      <c r="D3481" s="6">
        <v>11224.92</v>
      </c>
      <c r="E3481" s="6">
        <v>9346.09</v>
      </c>
      <c r="F3481" s="7" t="s">
        <v>14</v>
      </c>
      <c r="G3481" s="8" t="s">
        <v>6487</v>
      </c>
      <c r="H3481" s="8" t="s">
        <v>16</v>
      </c>
      <c r="I3481" s="9">
        <v>2722</v>
      </c>
      <c r="J3481" s="10" t="s">
        <v>6383</v>
      </c>
      <c r="K3481" s="10">
        <v>8776</v>
      </c>
      <c r="L3481" s="3" t="str">
        <f t="shared" si="111"/>
        <v>ΛΟΙΠΕΣ_ΔΕΝΔΡΩΔΕΙΣ_ΚΑΛΛΙΕΡΓΕΙΕΣ</v>
      </c>
    </row>
    <row r="3482" spans="1:12" s="3" customFormat="1" ht="24" x14ac:dyDescent="0.25">
      <c r="A3482" s="3" t="str">
        <f t="shared" si="110"/>
        <v>ΛΟΙΠΕΣ ΔΕΝΔΡΩΔΕΙΣ ΚΑΛΛΙΕΡΓΕΙΕΣΤΣΙΚΟΥΔΙΑ (ΣΧΟΙΝΟΣ)</v>
      </c>
      <c r="B3482" s="4" t="s">
        <v>6380</v>
      </c>
      <c r="C3482" s="5" t="s">
        <v>6488</v>
      </c>
      <c r="D3482" s="6">
        <v>1829.23</v>
      </c>
      <c r="E3482" s="6">
        <v>3862.55</v>
      </c>
      <c r="F3482" s="7" t="s">
        <v>14</v>
      </c>
      <c r="G3482" s="8" t="s">
        <v>6489</v>
      </c>
      <c r="H3482" s="8" t="s">
        <v>16</v>
      </c>
      <c r="I3482" s="9">
        <v>2721</v>
      </c>
      <c r="J3482" s="10" t="s">
        <v>6383</v>
      </c>
      <c r="K3482" s="10">
        <v>8777</v>
      </c>
      <c r="L3482" s="3" t="str">
        <f t="shared" si="111"/>
        <v>ΛΟΙΠΕΣ_ΔΕΝΔΡΩΔΕΙΣ_ΚΑΛΛΙΕΡΓΕΙΕΣ</v>
      </c>
    </row>
    <row r="3483" spans="1:12" s="3" customFormat="1" ht="24" x14ac:dyDescent="0.25">
      <c r="A3483" s="3" t="str">
        <f t="shared" si="110"/>
        <v>ΛΟΙΠΕΣ ΔΕΝΔΡΩΔΕΙΣ ΚΑΛΛΙΕΡΓΕΙΕΣΒΕΛΑΝΙΔΙΕΣ</v>
      </c>
      <c r="B3483" s="4" t="s">
        <v>6380</v>
      </c>
      <c r="C3483" s="5" t="s">
        <v>6490</v>
      </c>
      <c r="D3483" s="6">
        <v>1829.23</v>
      </c>
      <c r="E3483" s="6">
        <v>3862.55</v>
      </c>
      <c r="F3483" s="7" t="s">
        <v>14</v>
      </c>
      <c r="G3483" s="8" t="s">
        <v>6491</v>
      </c>
      <c r="H3483" s="8" t="s">
        <v>16</v>
      </c>
      <c r="I3483" s="9">
        <v>2708</v>
      </c>
      <c r="J3483" s="10" t="s">
        <v>6383</v>
      </c>
      <c r="K3483" s="10">
        <v>8778</v>
      </c>
      <c r="L3483" s="3" t="str">
        <f t="shared" si="111"/>
        <v>ΛΟΙΠΕΣ_ΔΕΝΔΡΩΔΕΙΣ_ΚΑΛΛΙΕΡΓΕΙΕΣ</v>
      </c>
    </row>
    <row r="3484" spans="1:12" s="3" customFormat="1" ht="24" x14ac:dyDescent="0.25">
      <c r="A3484" s="3" t="str">
        <f t="shared" si="110"/>
        <v>ΛΟΙΠΕΣ ΔΕΝΔΡΩΔΕΙΣ ΚΑΛΛΙΕΡΓΕΙΕΣΚΑΣΤΑΝΙΕΣ ΕΞΑΙΡΕΣΗ</v>
      </c>
      <c r="B3484" s="4" t="s">
        <v>6380</v>
      </c>
      <c r="C3484" s="5" t="s">
        <v>6492</v>
      </c>
      <c r="D3484" s="6">
        <v>6628.52</v>
      </c>
      <c r="E3484" s="6">
        <v>7978.51</v>
      </c>
      <c r="F3484" s="7" t="s">
        <v>14</v>
      </c>
      <c r="G3484" s="8" t="s">
        <v>6493</v>
      </c>
      <c r="H3484" s="8" t="s">
        <v>16</v>
      </c>
      <c r="I3484" s="9">
        <v>2735</v>
      </c>
      <c r="J3484" s="10" t="s">
        <v>6383</v>
      </c>
      <c r="K3484" s="10">
        <v>8779</v>
      </c>
      <c r="L3484" s="3" t="str">
        <f t="shared" si="111"/>
        <v>ΛΟΙΠΕΣ_ΔΕΝΔΡΩΔΕΙΣ_ΚΑΛΛΙΕΡΓΕΙΕΣ</v>
      </c>
    </row>
    <row r="3485" spans="1:12" s="3" customFormat="1" ht="15" customHeight="1" x14ac:dyDescent="0.25">
      <c r="A3485" s="3" t="str">
        <f t="shared" si="110"/>
        <v>ΛΟΙΠΕΣ ΔΕΝΔΡΩΔΕΙΣ ΚΑΛΛΙΕΡΓΕΙΕΣΚΡΑΝΑ</v>
      </c>
      <c r="B3485" s="4" t="s">
        <v>6380</v>
      </c>
      <c r="C3485" s="5" t="s">
        <v>6494</v>
      </c>
      <c r="D3485" s="6">
        <v>6584.59</v>
      </c>
      <c r="E3485" s="6">
        <v>8017.42</v>
      </c>
      <c r="F3485" s="7" t="s">
        <v>14</v>
      </c>
      <c r="G3485" s="8" t="s">
        <v>6495</v>
      </c>
      <c r="H3485" s="8" t="s">
        <v>16</v>
      </c>
      <c r="I3485" s="9">
        <v>2734</v>
      </c>
      <c r="J3485" s="10" t="s">
        <v>6383</v>
      </c>
      <c r="K3485" s="10">
        <v>8783</v>
      </c>
      <c r="L3485" s="3" t="str">
        <f t="shared" si="111"/>
        <v>ΛΟΙΠΕΣ_ΔΕΝΔΡΩΔΕΙΣ_ΚΑΛΛΙΕΡΓΕΙΕΣ</v>
      </c>
    </row>
    <row r="3486" spans="1:12" s="3" customFormat="1" ht="15" customHeight="1" x14ac:dyDescent="0.25">
      <c r="A3486" s="3" t="str">
        <f t="shared" si="110"/>
        <v>ΛΟΙΠΕΣ ΔΕΝΔΡΩΔΕΙΣ ΚΑΛΛΙΕΡΓΕΙΕΣΞΗΡΑ ΜΗ ΜΕΤΑΠΟΙΗΜΕΝΑ ΣΥΚΑ ΚΥΜΗΣ</v>
      </c>
      <c r="B3486" s="4" t="s">
        <v>6380</v>
      </c>
      <c r="C3486" s="5" t="s">
        <v>6496</v>
      </c>
      <c r="D3486" s="6">
        <v>11224.92</v>
      </c>
      <c r="E3486" s="6">
        <v>9346.09</v>
      </c>
      <c r="F3486" s="7" t="s">
        <v>14</v>
      </c>
      <c r="G3486" s="8" t="s">
        <v>6497</v>
      </c>
      <c r="H3486" s="8" t="s">
        <v>16</v>
      </c>
      <c r="I3486" s="9">
        <v>2720</v>
      </c>
      <c r="J3486" s="10" t="s">
        <v>6383</v>
      </c>
      <c r="K3486" s="10">
        <v>98503</v>
      </c>
      <c r="L3486" s="3" t="str">
        <f t="shared" si="111"/>
        <v>ΛΟΙΠΕΣ_ΔΕΝΔΡΩΔΕΙΣ_ΚΑΛΛΙΕΡΓΕΙΕΣ</v>
      </c>
    </row>
    <row r="3487" spans="1:12" s="3" customFormat="1" ht="15" customHeight="1" x14ac:dyDescent="0.25">
      <c r="A3487" s="3" t="str">
        <f t="shared" si="110"/>
        <v>ΛΟΙΠΕΣ ΚΑΛΛΙΕΡΓΕΙΕΣΣΜΕΟΥΡΑ - RUSPBERRY</v>
      </c>
      <c r="B3487" s="4" t="s">
        <v>6498</v>
      </c>
      <c r="C3487" s="5" t="s">
        <v>6499</v>
      </c>
      <c r="D3487" s="6">
        <v>6584.59</v>
      </c>
      <c r="E3487" s="6">
        <v>8017.42</v>
      </c>
      <c r="F3487" s="7" t="s">
        <v>14</v>
      </c>
      <c r="G3487" s="8" t="s">
        <v>6500</v>
      </c>
      <c r="H3487" s="8" t="s">
        <v>16</v>
      </c>
      <c r="I3487" s="9">
        <v>2684</v>
      </c>
      <c r="J3487" s="10" t="s">
        <v>6501</v>
      </c>
      <c r="K3487" s="10">
        <v>45101</v>
      </c>
      <c r="L3487" s="3" t="str">
        <f t="shared" si="111"/>
        <v>ΛΟΙΠΕΣ_ΚΑΛΛΙΕΡΓΕΙΕΣ</v>
      </c>
    </row>
    <row r="3488" spans="1:12" s="3" customFormat="1" ht="15" customHeight="1" x14ac:dyDescent="0.25">
      <c r="A3488" s="3" t="str">
        <f t="shared" si="110"/>
        <v>ΛΟΙΠΕΣ ΚΑΛΛΙΕΡΓΕΙΕΣΚΙΝΟΑ</v>
      </c>
      <c r="B3488" s="4" t="s">
        <v>6498</v>
      </c>
      <c r="C3488" s="5" t="s">
        <v>6502</v>
      </c>
      <c r="D3488" s="6">
        <v>4500</v>
      </c>
      <c r="E3488" s="6">
        <v>4500</v>
      </c>
      <c r="F3488" s="7" t="s">
        <v>14</v>
      </c>
      <c r="G3488" s="8" t="s">
        <v>6503</v>
      </c>
      <c r="H3488" s="8" t="s">
        <v>16</v>
      </c>
      <c r="I3488" s="9">
        <v>2683</v>
      </c>
      <c r="J3488" s="10" t="s">
        <v>6501</v>
      </c>
      <c r="K3488" s="10">
        <v>45102</v>
      </c>
      <c r="L3488" s="3" t="str">
        <f t="shared" si="111"/>
        <v>ΛΟΙΠΕΣ_ΚΑΛΛΙΕΡΓΕΙΕΣ</v>
      </c>
    </row>
    <row r="3489" spans="1:12" s="3" customFormat="1" ht="15" customHeight="1" x14ac:dyDescent="0.25">
      <c r="A3489" s="3" t="str">
        <f t="shared" si="110"/>
        <v>ΛΟΙΠΕΣ ΚΑΛΛΙΕΡΓΕΙΕΣΤΖΙΝΤΖΕΡ</v>
      </c>
      <c r="B3489" s="4" t="s">
        <v>6498</v>
      </c>
      <c r="C3489" s="5" t="s">
        <v>6504</v>
      </c>
      <c r="D3489" s="6">
        <v>11041.07</v>
      </c>
      <c r="E3489" s="6">
        <v>11535.86</v>
      </c>
      <c r="F3489" s="7" t="s">
        <v>14</v>
      </c>
      <c r="G3489" s="8" t="s">
        <v>6505</v>
      </c>
      <c r="H3489" s="8" t="s">
        <v>16</v>
      </c>
      <c r="I3489" s="9">
        <v>2682</v>
      </c>
      <c r="J3489" s="10" t="s">
        <v>6501</v>
      </c>
      <c r="K3489" s="10">
        <v>45103</v>
      </c>
      <c r="L3489" s="3" t="str">
        <f t="shared" si="111"/>
        <v>ΛΟΙΠΕΣ_ΚΑΛΛΙΕΡΓΕΙΕΣ</v>
      </c>
    </row>
    <row r="3490" spans="1:12" s="3" customFormat="1" ht="15" customHeight="1" x14ac:dyDescent="0.25">
      <c r="A3490" s="3" t="str">
        <f t="shared" si="110"/>
        <v>ΛΟΙΠΕΣ ΚΑΛΛΙΕΡΓΕΙΕΣΖΑΧΑΡΟΚΑΛΑΜΟ (SACCHARUM OFFINARUM)</v>
      </c>
      <c r="B3490" s="4" t="s">
        <v>6498</v>
      </c>
      <c r="C3490" s="5" t="s">
        <v>6506</v>
      </c>
      <c r="D3490" s="6">
        <v>835.84</v>
      </c>
      <c r="E3490" s="6">
        <v>845.67</v>
      </c>
      <c r="F3490" s="7" t="s">
        <v>14</v>
      </c>
      <c r="G3490" s="8" t="s">
        <v>6507</v>
      </c>
      <c r="H3490" s="8" t="s">
        <v>16</v>
      </c>
      <c r="I3490" s="9">
        <v>2681</v>
      </c>
      <c r="J3490" s="10" t="s">
        <v>6501</v>
      </c>
      <c r="K3490" s="10">
        <v>45104</v>
      </c>
      <c r="L3490" s="3" t="str">
        <f t="shared" si="111"/>
        <v>ΛΟΙΠΕΣ_ΚΑΛΛΙΕΡΓΕΙΕΣ</v>
      </c>
    </row>
    <row r="3491" spans="1:12" s="3" customFormat="1" ht="15" customHeight="1" x14ac:dyDescent="0.25">
      <c r="A3491" s="3" t="str">
        <f t="shared" si="110"/>
        <v>ΛΟΙΠΕΣ ΚΑΛΛΙΕΡΓΕΙΕΣΕΛΑΙΑΓΝΟΣ UMBELLATA</v>
      </c>
      <c r="B3491" s="4" t="s">
        <v>6498</v>
      </c>
      <c r="C3491" s="5" t="s">
        <v>6508</v>
      </c>
      <c r="D3491" s="6">
        <v>1829.23</v>
      </c>
      <c r="E3491" s="6">
        <v>3862.55</v>
      </c>
      <c r="F3491" s="7" t="s">
        <v>14</v>
      </c>
      <c r="G3491" s="8" t="s">
        <v>6509</v>
      </c>
      <c r="H3491" s="8" t="s">
        <v>16</v>
      </c>
      <c r="I3491" s="9">
        <v>2680</v>
      </c>
      <c r="J3491" s="10" t="s">
        <v>6501</v>
      </c>
      <c r="K3491" s="10">
        <v>45105</v>
      </c>
      <c r="L3491" s="3" t="str">
        <f t="shared" si="111"/>
        <v>ΛΟΙΠΕΣ_ΚΑΛΛΙΕΡΓΕΙΕΣ</v>
      </c>
    </row>
    <row r="3492" spans="1:12" s="3" customFormat="1" ht="15" customHeight="1" x14ac:dyDescent="0.25">
      <c r="A3492" s="3" t="str">
        <f t="shared" si="110"/>
        <v>ΛΟΙΠΕΣ ΚΑΛΛΙΕΡΓΕΙΕΣΦΡΑΓΚΟΣΤΑΦΥΛΛΟ</v>
      </c>
      <c r="B3492" s="4" t="s">
        <v>6498</v>
      </c>
      <c r="C3492" s="5" t="s">
        <v>6510</v>
      </c>
      <c r="D3492" s="6">
        <v>6584.59</v>
      </c>
      <c r="E3492" s="6">
        <v>8017.42</v>
      </c>
      <c r="F3492" s="7" t="s">
        <v>14</v>
      </c>
      <c r="G3492" s="8" t="s">
        <v>6511</v>
      </c>
      <c r="H3492" s="8" t="s">
        <v>16</v>
      </c>
      <c r="I3492" s="9">
        <v>2671</v>
      </c>
      <c r="J3492" s="10" t="s">
        <v>6501</v>
      </c>
      <c r="K3492" s="10">
        <v>45106</v>
      </c>
      <c r="L3492" s="3" t="str">
        <f t="shared" si="111"/>
        <v>ΛΟΙΠΕΣ_ΚΑΛΛΙΕΡΓΕΙΕΣ</v>
      </c>
    </row>
    <row r="3493" spans="1:12" s="3" customFormat="1" ht="15" customHeight="1" x14ac:dyDescent="0.25">
      <c r="A3493" s="3" t="str">
        <f t="shared" si="110"/>
        <v>ΛΟΙΠΕΣ ΚΑΛΛΙΕΡΓΕΙΕΣΠΑΛΙΟΥΡΙ</v>
      </c>
      <c r="B3493" s="4" t="s">
        <v>6498</v>
      </c>
      <c r="C3493" s="5" t="s">
        <v>6512</v>
      </c>
      <c r="D3493" s="6">
        <v>11041.07</v>
      </c>
      <c r="E3493" s="6">
        <v>11535.86</v>
      </c>
      <c r="F3493" s="7" t="s">
        <v>14</v>
      </c>
      <c r="G3493" s="8" t="s">
        <v>6513</v>
      </c>
      <c r="H3493" s="8" t="s">
        <v>16</v>
      </c>
      <c r="I3493" s="9">
        <v>2679</v>
      </c>
      <c r="J3493" s="10" t="s">
        <v>6501</v>
      </c>
      <c r="K3493" s="10">
        <v>45107</v>
      </c>
      <c r="L3493" s="3" t="str">
        <f t="shared" si="111"/>
        <v>ΛΟΙΠΕΣ_ΚΑΛΛΙΕΡΓΕΙΕΣ</v>
      </c>
    </row>
    <row r="3494" spans="1:12" s="3" customFormat="1" ht="15" customHeight="1" x14ac:dyDescent="0.25">
      <c r="A3494" s="3" t="str">
        <f t="shared" si="110"/>
        <v>ΛΟΙΠΕΣ ΚΑΛΛΙΕΡΓΕΙΕΣΓΑΪΔΟΥΡΑΓΚΑΘΟ</v>
      </c>
      <c r="B3494" s="4" t="s">
        <v>6498</v>
      </c>
      <c r="C3494" s="5" t="s">
        <v>6514</v>
      </c>
      <c r="D3494" s="6">
        <v>11041.07</v>
      </c>
      <c r="E3494" s="6">
        <v>11535.86</v>
      </c>
      <c r="F3494" s="7" t="s">
        <v>14</v>
      </c>
      <c r="G3494" s="8" t="s">
        <v>6515</v>
      </c>
      <c r="H3494" s="8" t="s">
        <v>16</v>
      </c>
      <c r="I3494" s="9">
        <v>2678</v>
      </c>
      <c r="J3494" s="10" t="s">
        <v>6501</v>
      </c>
      <c r="K3494" s="10">
        <v>45108</v>
      </c>
      <c r="L3494" s="3" t="str">
        <f t="shared" si="111"/>
        <v>ΛΟΙΠΕΣ_ΚΑΛΛΙΕΡΓΕΙΕΣ</v>
      </c>
    </row>
    <row r="3495" spans="1:12" s="3" customFormat="1" ht="15" customHeight="1" x14ac:dyDescent="0.25">
      <c r="A3495" s="3" t="str">
        <f t="shared" si="110"/>
        <v>ΛΟΙΠΕΣ ΚΑΛΛΙΕΡΓΕΙΕΣΛΥΓΑΡΙΑ (VITEX AGNUS CASTUS)</v>
      </c>
      <c r="B3495" s="4" t="s">
        <v>6498</v>
      </c>
      <c r="C3495" s="5" t="s">
        <v>6516</v>
      </c>
      <c r="D3495" s="6">
        <v>11041.07</v>
      </c>
      <c r="E3495" s="6">
        <v>11535.86</v>
      </c>
      <c r="F3495" s="7" t="s">
        <v>14</v>
      </c>
      <c r="G3495" s="8" t="s">
        <v>6517</v>
      </c>
      <c r="H3495" s="8" t="s">
        <v>16</v>
      </c>
      <c r="I3495" s="9">
        <v>2690</v>
      </c>
      <c r="J3495" s="10" t="s">
        <v>6501</v>
      </c>
      <c r="K3495" s="10">
        <v>45109</v>
      </c>
      <c r="L3495" s="3" t="str">
        <f t="shared" si="111"/>
        <v>ΛΟΙΠΕΣ_ΚΑΛΛΙΕΡΓΕΙΕΣ</v>
      </c>
    </row>
    <row r="3496" spans="1:12" s="3" customFormat="1" ht="15" customHeight="1" x14ac:dyDescent="0.25">
      <c r="A3496" s="3" t="str">
        <f t="shared" si="110"/>
        <v>ΛΟΙΠΕΣ ΚΑΛΛΙΕΡΓΕΙΕΣΠΕΠΙΝΟ (Solanum muricatum)</v>
      </c>
      <c r="B3496" s="4" t="s">
        <v>6498</v>
      </c>
      <c r="C3496" s="5" t="s">
        <v>6518</v>
      </c>
      <c r="D3496" s="6">
        <v>11290.03</v>
      </c>
      <c r="E3496" s="6">
        <v>13610.93</v>
      </c>
      <c r="F3496" s="7" t="s">
        <v>14</v>
      </c>
      <c r="G3496" s="8" t="s">
        <v>6519</v>
      </c>
      <c r="H3496" s="8" t="s">
        <v>16</v>
      </c>
      <c r="I3496" s="9">
        <v>2676</v>
      </c>
      <c r="J3496" s="10" t="s">
        <v>6501</v>
      </c>
      <c r="K3496" s="10">
        <v>45110</v>
      </c>
      <c r="L3496" s="3" t="str">
        <f t="shared" si="111"/>
        <v>ΛΟΙΠΕΣ_ΚΑΛΛΙΕΡΓΕΙΕΣ</v>
      </c>
    </row>
    <row r="3497" spans="1:12" s="3" customFormat="1" ht="15" customHeight="1" x14ac:dyDescent="0.25">
      <c r="A3497" s="3" t="str">
        <f t="shared" si="110"/>
        <v>ΛΟΙΠΕΣ ΚΑΛΛΙΕΡΓΕΙΕΣGOLDEN BERRY</v>
      </c>
      <c r="B3497" s="4" t="s">
        <v>6498</v>
      </c>
      <c r="C3497" s="5" t="s">
        <v>6520</v>
      </c>
      <c r="D3497" s="6">
        <v>6584.59</v>
      </c>
      <c r="E3497" s="6">
        <v>8017.42</v>
      </c>
      <c r="F3497" s="7" t="s">
        <v>14</v>
      </c>
      <c r="G3497" s="8" t="s">
        <v>6521</v>
      </c>
      <c r="H3497" s="8" t="s">
        <v>16</v>
      </c>
      <c r="I3497" s="9">
        <v>2687</v>
      </c>
      <c r="J3497" s="10" t="s">
        <v>6501</v>
      </c>
      <c r="K3497" s="10">
        <v>45111</v>
      </c>
      <c r="L3497" s="3" t="str">
        <f t="shared" si="111"/>
        <v>ΛΟΙΠΕΣ_ΚΑΛΛΙΕΡΓΕΙΕΣ</v>
      </c>
    </row>
    <row r="3498" spans="1:12" s="3" customFormat="1" ht="15" customHeight="1" x14ac:dyDescent="0.25">
      <c r="A3498" s="3" t="str">
        <f t="shared" si="110"/>
        <v>ΛΟΙΠΕΣ ΚΑΛΛΙΕΡΓΕΙΕΣCRANBERRY</v>
      </c>
      <c r="B3498" s="4" t="s">
        <v>6498</v>
      </c>
      <c r="C3498" s="5" t="s">
        <v>6522</v>
      </c>
      <c r="D3498" s="6">
        <v>6584.59</v>
      </c>
      <c r="E3498" s="6">
        <v>8017.42</v>
      </c>
      <c r="F3498" s="7" t="s">
        <v>14</v>
      </c>
      <c r="G3498" s="8" t="s">
        <v>6523</v>
      </c>
      <c r="H3498" s="8" t="s">
        <v>16</v>
      </c>
      <c r="I3498" s="9">
        <v>2675</v>
      </c>
      <c r="J3498" s="10" t="s">
        <v>6501</v>
      </c>
      <c r="K3498" s="10">
        <v>45112</v>
      </c>
      <c r="L3498" s="3" t="str">
        <f t="shared" si="111"/>
        <v>ΛΟΙΠΕΣ_ΚΑΛΛΙΕΡΓΕΙΕΣ</v>
      </c>
    </row>
    <row r="3499" spans="1:12" s="3" customFormat="1" ht="15" customHeight="1" x14ac:dyDescent="0.25">
      <c r="A3499" s="3" t="str">
        <f t="shared" si="110"/>
        <v>ΛΟΙΠΕΣ ΚΑΛΛΙΕΡΓΕΙΕΣΜελισσοκομική Καλλιέργεια Νίγηρας - NIGER</v>
      </c>
      <c r="B3499" s="4" t="s">
        <v>6498</v>
      </c>
      <c r="C3499" s="5" t="s">
        <v>6524</v>
      </c>
      <c r="D3499" s="6">
        <v>0</v>
      </c>
      <c r="E3499" s="6">
        <v>0</v>
      </c>
      <c r="F3499" s="7" t="s">
        <v>14</v>
      </c>
      <c r="G3499" s="8" t="s">
        <v>6525</v>
      </c>
      <c r="H3499" s="8" t="s">
        <v>16</v>
      </c>
      <c r="I3499" s="9">
        <v>2669</v>
      </c>
      <c r="J3499" s="10" t="s">
        <v>6501</v>
      </c>
      <c r="K3499" s="10">
        <v>45113</v>
      </c>
      <c r="L3499" s="3" t="str">
        <f t="shared" si="111"/>
        <v>ΛΟΙΠΕΣ_ΚΑΛΛΙΕΡΓΕΙΕΣ</v>
      </c>
    </row>
    <row r="3500" spans="1:12" s="3" customFormat="1" ht="15" customHeight="1" x14ac:dyDescent="0.25">
      <c r="A3500" s="3" t="str">
        <f t="shared" si="110"/>
        <v>ΛΟΙΠΕΣ ΚΑΛΛΙΕΡΓΕΙΕΣΤΕΡΕΒΙΝΘΟΣ/ΤΣΙΤΣΙΡΑΒΛΑ</v>
      </c>
      <c r="B3500" s="4" t="s">
        <v>6498</v>
      </c>
      <c r="C3500" s="5" t="s">
        <v>6526</v>
      </c>
      <c r="D3500" s="6">
        <v>1829.23</v>
      </c>
      <c r="E3500" s="6">
        <v>3862.55</v>
      </c>
      <c r="F3500" s="7" t="s">
        <v>14</v>
      </c>
      <c r="G3500" s="8" t="s">
        <v>6527</v>
      </c>
      <c r="H3500" s="8" t="s">
        <v>16</v>
      </c>
      <c r="I3500" s="9">
        <v>2661</v>
      </c>
      <c r="J3500" s="10" t="s">
        <v>6501</v>
      </c>
      <c r="K3500" s="10">
        <v>45114</v>
      </c>
      <c r="L3500" s="3" t="str">
        <f t="shared" si="111"/>
        <v>ΛΟΙΠΕΣ_ΚΑΛΛΙΕΡΓΕΙΕΣ</v>
      </c>
    </row>
    <row r="3501" spans="1:12" s="3" customFormat="1" ht="15" customHeight="1" x14ac:dyDescent="0.25">
      <c r="A3501" s="3" t="str">
        <f t="shared" si="110"/>
        <v>ΛΟΙΠΕΣ ΚΑΛΛΙΕΡΓΕΙΕΣΜΑΝΙΤΑΡΙΑ ΠΛΕΥΡΩΤΟΥΣ ΚΙΤΡΙΝΑ</v>
      </c>
      <c r="B3501" s="4" t="s">
        <v>6498</v>
      </c>
      <c r="C3501" s="5" t="s">
        <v>4819</v>
      </c>
      <c r="D3501" s="6">
        <f>10814.13*100</f>
        <v>1081413</v>
      </c>
      <c r="E3501" s="6">
        <f>13775.96*100</f>
        <v>1377596</v>
      </c>
      <c r="F3501" s="7" t="s">
        <v>14</v>
      </c>
      <c r="G3501" s="8" t="s">
        <v>6528</v>
      </c>
      <c r="H3501" s="8" t="s">
        <v>16</v>
      </c>
      <c r="I3501" s="9">
        <v>2665</v>
      </c>
      <c r="J3501" s="10" t="s">
        <v>6501</v>
      </c>
      <c r="K3501" s="10">
        <v>45115</v>
      </c>
      <c r="L3501" s="3" t="str">
        <f t="shared" si="111"/>
        <v>ΛΟΙΠΕΣ_ΚΑΛΛΙΕΡΓΕΙΕΣ</v>
      </c>
    </row>
    <row r="3502" spans="1:12" s="3" customFormat="1" ht="15" customHeight="1" x14ac:dyDescent="0.25">
      <c r="A3502" s="3" t="str">
        <f t="shared" si="110"/>
        <v>ΛΟΙΠΕΣ ΚΑΛΛΙΕΡΓΕΙΕΣΜΑΝΙΤΑΡΙΑ ΛΕΝΤΙΝΟΥΛΑ</v>
      </c>
      <c r="B3502" s="4" t="s">
        <v>6498</v>
      </c>
      <c r="C3502" s="5" t="s">
        <v>4821</v>
      </c>
      <c r="D3502" s="6">
        <f>10814.13*100</f>
        <v>1081413</v>
      </c>
      <c r="E3502" s="6">
        <f>13775.96*100</f>
        <v>1377596</v>
      </c>
      <c r="F3502" s="7" t="s">
        <v>14</v>
      </c>
      <c r="G3502" s="8" t="s">
        <v>6529</v>
      </c>
      <c r="H3502" s="8" t="s">
        <v>16</v>
      </c>
      <c r="I3502" s="9">
        <v>2663</v>
      </c>
      <c r="J3502" s="10" t="s">
        <v>6501</v>
      </c>
      <c r="K3502" s="10">
        <v>45116</v>
      </c>
      <c r="L3502" s="3" t="str">
        <f t="shared" si="111"/>
        <v>ΛΟΙΠΕΣ_ΚΑΛΛΙΕΡΓΕΙΕΣ</v>
      </c>
    </row>
    <row r="3503" spans="1:12" s="3" customFormat="1" ht="15" customHeight="1" x14ac:dyDescent="0.25">
      <c r="A3503" s="3" t="str">
        <f t="shared" si="110"/>
        <v>ΛΟΙΠΕΣ ΚΑΛΛΙΕΡΓΕΙΕΣΜΑΝΙΤΑΡΙΑ PORTOBELLO</v>
      </c>
      <c r="B3503" s="4" t="s">
        <v>6498</v>
      </c>
      <c r="C3503" s="5" t="s">
        <v>4823</v>
      </c>
      <c r="D3503" s="6">
        <f>10814.13*100</f>
        <v>1081413</v>
      </c>
      <c r="E3503" s="6">
        <f>13775.96*100</f>
        <v>1377596</v>
      </c>
      <c r="F3503" s="7" t="s">
        <v>14</v>
      </c>
      <c r="G3503" s="8" t="s">
        <v>6530</v>
      </c>
      <c r="H3503" s="8" t="s">
        <v>16</v>
      </c>
      <c r="I3503" s="9">
        <v>2664</v>
      </c>
      <c r="J3503" s="10" t="s">
        <v>6501</v>
      </c>
      <c r="K3503" s="10">
        <v>45117</v>
      </c>
      <c r="L3503" s="3" t="str">
        <f t="shared" si="111"/>
        <v>ΛΟΙΠΕΣ_ΚΑΛΛΙΕΡΓΕΙΕΣ</v>
      </c>
    </row>
    <row r="3504" spans="1:12" s="3" customFormat="1" ht="15" customHeight="1" x14ac:dyDescent="0.25">
      <c r="A3504" s="3" t="str">
        <f t="shared" si="110"/>
        <v>ΛΟΙΠΕΣ ΚΑΛΛΙΕΡΓΕΙΕΣΜΑΝΙΤΑΡΙΑ ΓΑΝΟΔΕΡΜΑ</v>
      </c>
      <c r="B3504" s="4" t="s">
        <v>6498</v>
      </c>
      <c r="C3504" s="5" t="s">
        <v>4825</v>
      </c>
      <c r="D3504" s="6">
        <f>10814.13*100</f>
        <v>1081413</v>
      </c>
      <c r="E3504" s="6">
        <f>13775.96*100</f>
        <v>1377596</v>
      </c>
      <c r="F3504" s="7" t="s">
        <v>14</v>
      </c>
      <c r="G3504" s="8" t="s">
        <v>6531</v>
      </c>
      <c r="H3504" s="8" t="s">
        <v>16</v>
      </c>
      <c r="I3504" s="9">
        <v>2662</v>
      </c>
      <c r="J3504" s="10" t="s">
        <v>6501</v>
      </c>
      <c r="K3504" s="10">
        <v>45118</v>
      </c>
      <c r="L3504" s="3" t="str">
        <f t="shared" si="111"/>
        <v>ΛΟΙΠΕΣ_ΚΑΛΛΙΕΡΓΕΙΕΣ</v>
      </c>
    </row>
    <row r="3505" spans="1:12" s="3" customFormat="1" ht="15" customHeight="1" x14ac:dyDescent="0.25">
      <c r="A3505" s="3" t="str">
        <f t="shared" si="110"/>
        <v>ΛΟΙΠΕΣ ΚΑΛΛΙΕΡΓΕΙΕΣΜΑΝΙΤΑΡΙΑ ΣΙΤΑΚΕ (SHIITAKE)</v>
      </c>
      <c r="B3505" s="4" t="s">
        <v>6498</v>
      </c>
      <c r="C3505" s="5" t="s">
        <v>4827</v>
      </c>
      <c r="D3505" s="6">
        <f>10814.13*100</f>
        <v>1081413</v>
      </c>
      <c r="E3505" s="6">
        <f>13775.96*100</f>
        <v>1377596</v>
      </c>
      <c r="F3505" s="7" t="s">
        <v>14</v>
      </c>
      <c r="G3505" s="8" t="s">
        <v>6532</v>
      </c>
      <c r="H3505" s="8" t="s">
        <v>16</v>
      </c>
      <c r="I3505" s="9">
        <v>2666</v>
      </c>
      <c r="J3505" s="10" t="s">
        <v>6501</v>
      </c>
      <c r="K3505" s="10">
        <v>45119</v>
      </c>
      <c r="L3505" s="3" t="str">
        <f t="shared" si="111"/>
        <v>ΛΟΙΠΕΣ_ΚΑΛΛΙΕΡΓΕΙΕΣ</v>
      </c>
    </row>
    <row r="3506" spans="1:12" s="3" customFormat="1" ht="15" customHeight="1" x14ac:dyDescent="0.25">
      <c r="A3506" s="3" t="str">
        <f t="shared" si="110"/>
        <v>ΛΟΙΠΕΣ ΚΑΛΛΙΕΡΓΕΙΕΣUVA CRISPA (ΛΑΓΟΚΕΡΑΣΟ)</v>
      </c>
      <c r="B3506" s="23" t="s">
        <v>6498</v>
      </c>
      <c r="C3506" s="24" t="s">
        <v>6533</v>
      </c>
      <c r="D3506" s="6">
        <v>6584.59</v>
      </c>
      <c r="E3506" s="6">
        <v>8017.42</v>
      </c>
      <c r="F3506" s="29" t="s">
        <v>14</v>
      </c>
      <c r="G3506" s="8" t="s">
        <v>6534</v>
      </c>
      <c r="H3506" s="8" t="s">
        <v>16</v>
      </c>
      <c r="I3506" s="9">
        <v>5419</v>
      </c>
      <c r="J3506" s="26">
        <v>45.1</v>
      </c>
      <c r="K3506" s="27">
        <v>45120</v>
      </c>
      <c r="L3506" s="3" t="str">
        <f t="shared" si="111"/>
        <v>ΛΟΙΠΕΣ_ΚΑΛΛΙΕΡΓΕΙΕΣ</v>
      </c>
    </row>
    <row r="3507" spans="1:12" s="3" customFormat="1" ht="15" customHeight="1" x14ac:dyDescent="0.25">
      <c r="A3507" s="3" t="str">
        <f t="shared" si="110"/>
        <v>ΛΟΙΠΕΣ ΚΑΛΛΙΕΡΓΕΙΕΣΜΑΝΙΤΑΡΙΑ LION'S MANE / ΕΡΙΚΙΟ ΤΟ ΑΓΚΑΘΩΤΟ Ή ΑΡΝΑΚΙ (Hericium erinaceus)</v>
      </c>
      <c r="B3507" s="23" t="s">
        <v>6498</v>
      </c>
      <c r="C3507" s="24" t="s">
        <v>4845</v>
      </c>
      <c r="D3507" s="6">
        <f>10814.13*100</f>
        <v>1081413</v>
      </c>
      <c r="E3507" s="6">
        <f t="shared" ref="E3507:E3512" si="112">13775.96*100</f>
        <v>1377596</v>
      </c>
      <c r="F3507" s="29" t="s">
        <v>14</v>
      </c>
      <c r="G3507" s="8" t="s">
        <v>6535</v>
      </c>
      <c r="H3507" s="8" t="s">
        <v>16</v>
      </c>
      <c r="I3507" s="9">
        <v>5420</v>
      </c>
      <c r="J3507" s="26">
        <v>45.1</v>
      </c>
      <c r="K3507" s="27">
        <v>45121</v>
      </c>
      <c r="L3507" s="3" t="str">
        <f t="shared" si="111"/>
        <v>ΛΟΙΠΕΣ_ΚΑΛΛΙΕΡΓΕΙΕΣ</v>
      </c>
    </row>
    <row r="3508" spans="1:12" s="3" customFormat="1" ht="15" customHeight="1" x14ac:dyDescent="0.25">
      <c r="A3508" s="3" t="str">
        <f t="shared" si="110"/>
        <v>ΛΟΙΠΕΣ ΚΑΛΛΙΕΡΓΕΙΕΣΜΑΝΙΤΑΡΙΑ BLUE OYSTER (Pleurotus ostreauts v. columbinus)</v>
      </c>
      <c r="B3508" s="23" t="s">
        <v>6498</v>
      </c>
      <c r="C3508" s="24" t="s">
        <v>4847</v>
      </c>
      <c r="D3508" s="6">
        <f t="shared" ref="D3508:D3512" si="113">10814.13*100</f>
        <v>1081413</v>
      </c>
      <c r="E3508" s="6">
        <f t="shared" si="112"/>
        <v>1377596</v>
      </c>
      <c r="F3508" s="29" t="s">
        <v>14</v>
      </c>
      <c r="G3508" s="8" t="s">
        <v>6536</v>
      </c>
      <c r="H3508" s="8" t="s">
        <v>16</v>
      </c>
      <c r="I3508" s="9">
        <v>5421</v>
      </c>
      <c r="J3508" s="26">
        <v>45.1</v>
      </c>
      <c r="K3508" s="27">
        <v>45122</v>
      </c>
      <c r="L3508" s="3" t="str">
        <f t="shared" si="111"/>
        <v>ΛΟΙΠΕΣ_ΚΑΛΛΙΕΡΓΕΙΕΣ</v>
      </c>
    </row>
    <row r="3509" spans="1:12" s="3" customFormat="1" ht="15" customHeight="1" x14ac:dyDescent="0.25">
      <c r="A3509" s="3" t="str">
        <f t="shared" si="110"/>
        <v>ΛΟΙΠΕΣ ΚΑΛΛΙΕΡΓΕΙΕΣΜΑΝΙΤΑΡΙΑ BLACK PEARL OYSTER ( Pleurotus ostreatus)</v>
      </c>
      <c r="B3509" s="23" t="s">
        <v>6498</v>
      </c>
      <c r="C3509" s="24" t="s">
        <v>4849</v>
      </c>
      <c r="D3509" s="6">
        <f t="shared" si="113"/>
        <v>1081413</v>
      </c>
      <c r="E3509" s="6">
        <f t="shared" si="112"/>
        <v>1377596</v>
      </c>
      <c r="F3509" s="29" t="s">
        <v>14</v>
      </c>
      <c r="G3509" s="8" t="s">
        <v>6537</v>
      </c>
      <c r="H3509" s="8" t="s">
        <v>16</v>
      </c>
      <c r="I3509" s="9">
        <v>5422</v>
      </c>
      <c r="J3509" s="26">
        <v>45.1</v>
      </c>
      <c r="K3509" s="27">
        <v>45123</v>
      </c>
      <c r="L3509" s="3" t="str">
        <f t="shared" si="111"/>
        <v>ΛΟΙΠΕΣ_ΚΑΛΛΙΕΡΓΕΙΕΣ</v>
      </c>
    </row>
    <row r="3510" spans="1:12" s="3" customFormat="1" ht="15" customHeight="1" x14ac:dyDescent="0.25">
      <c r="A3510" s="3" t="str">
        <f t="shared" si="110"/>
        <v>ΛΟΙΠΕΣ ΚΑΛΛΙΕΡΓΕΙΕΣΜΑΝΙΤΑΡΙΑ CORDYCEPS ( Cordyceps militaris)</v>
      </c>
      <c r="B3510" s="23" t="s">
        <v>6498</v>
      </c>
      <c r="C3510" s="24" t="s">
        <v>4851</v>
      </c>
      <c r="D3510" s="6">
        <f t="shared" si="113"/>
        <v>1081413</v>
      </c>
      <c r="E3510" s="6">
        <f t="shared" si="112"/>
        <v>1377596</v>
      </c>
      <c r="F3510" s="29" t="s">
        <v>14</v>
      </c>
      <c r="G3510" s="8" t="s">
        <v>6538</v>
      </c>
      <c r="H3510" s="8" t="s">
        <v>16</v>
      </c>
      <c r="I3510" s="9">
        <v>5423</v>
      </c>
      <c r="J3510" s="26">
        <v>45.1</v>
      </c>
      <c r="K3510" s="27">
        <v>45124</v>
      </c>
      <c r="L3510" s="3" t="str">
        <f t="shared" si="111"/>
        <v>ΛΟΙΠΕΣ_ΚΑΛΛΙΕΡΓΕΙΕΣ</v>
      </c>
    </row>
    <row r="3511" spans="1:12" s="3" customFormat="1" ht="15" customHeight="1" x14ac:dyDescent="0.25">
      <c r="A3511" s="3" t="str">
        <f t="shared" si="110"/>
        <v>ΛΟΙΠΕΣ ΚΑΛΛΙΕΡΓΕΙΕΣΜΑΝΙΤΑΡΙΑ KING STROPHARIA (Stropharia rugosoannulata)</v>
      </c>
      <c r="B3511" s="23" t="s">
        <v>6498</v>
      </c>
      <c r="C3511" s="24" t="s">
        <v>4853</v>
      </c>
      <c r="D3511" s="6">
        <f t="shared" si="113"/>
        <v>1081413</v>
      </c>
      <c r="E3511" s="6">
        <f t="shared" si="112"/>
        <v>1377596</v>
      </c>
      <c r="F3511" s="29" t="s">
        <v>14</v>
      </c>
      <c r="G3511" s="8" t="s">
        <v>6539</v>
      </c>
      <c r="H3511" s="8" t="s">
        <v>16</v>
      </c>
      <c r="I3511" s="9">
        <v>5424</v>
      </c>
      <c r="J3511" s="26">
        <v>45.1</v>
      </c>
      <c r="K3511" s="27">
        <v>45125</v>
      </c>
      <c r="L3511" s="3" t="str">
        <f t="shared" si="111"/>
        <v>ΛΟΙΠΕΣ_ΚΑΛΛΙΕΡΓΕΙΕΣ</v>
      </c>
    </row>
    <row r="3512" spans="1:12" s="3" customFormat="1" ht="15" customHeight="1" x14ac:dyDescent="0.25">
      <c r="A3512" s="3" t="str">
        <f t="shared" si="110"/>
        <v>ΛΟΙΠΕΣ ΚΑΛΛΙΕΡΓΕΙΕΣΜΑΝΙΤΑΡΙΑ ΒΩΛΙΤΗΣ Ο ΕΔΩΔΙΜΟΣ (Boletus edulis)</v>
      </c>
      <c r="B3512" s="23" t="s">
        <v>6498</v>
      </c>
      <c r="C3512" s="24" t="s">
        <v>4855</v>
      </c>
      <c r="D3512" s="6">
        <f t="shared" si="113"/>
        <v>1081413</v>
      </c>
      <c r="E3512" s="6">
        <f t="shared" si="112"/>
        <v>1377596</v>
      </c>
      <c r="F3512" s="29" t="s">
        <v>14</v>
      </c>
      <c r="G3512" s="8" t="s">
        <v>6540</v>
      </c>
      <c r="H3512" s="8" t="s">
        <v>16</v>
      </c>
      <c r="I3512" s="9">
        <v>5425</v>
      </c>
      <c r="J3512" s="26">
        <v>45.1</v>
      </c>
      <c r="K3512" s="27">
        <v>45126</v>
      </c>
      <c r="L3512" s="3" t="str">
        <f t="shared" si="111"/>
        <v>ΛΟΙΠΕΣ_ΚΑΛΛΙΕΡΓΕΙΕΣ</v>
      </c>
    </row>
    <row r="3513" spans="1:12" s="3" customFormat="1" ht="15" customHeight="1" x14ac:dyDescent="0.25">
      <c r="A3513" s="3" t="str">
        <f t="shared" si="110"/>
        <v>ΛΟΙΠΕΣ ΚΑΛΛΙΕΡΓΕΙΕΣΑΡΑΧΙΔΑ ΓΕΩΡΓΙΟΥΠΟΛΗΣ</v>
      </c>
      <c r="B3513" s="4" t="s">
        <v>6498</v>
      </c>
      <c r="C3513" s="5" t="s">
        <v>6541</v>
      </c>
      <c r="D3513" s="6">
        <v>3602.4</v>
      </c>
      <c r="E3513" s="6">
        <v>2521.4499999999998</v>
      </c>
      <c r="F3513" s="7" t="s">
        <v>14</v>
      </c>
      <c r="G3513" s="8" t="s">
        <v>6542</v>
      </c>
      <c r="H3513" s="8" t="s">
        <v>16</v>
      </c>
      <c r="I3513" s="9">
        <v>2694</v>
      </c>
      <c r="J3513" s="10" t="s">
        <v>6501</v>
      </c>
      <c r="K3513" s="10">
        <v>8100</v>
      </c>
      <c r="L3513" s="3" t="str">
        <f t="shared" si="111"/>
        <v>ΛΟΙΠΕΣ_ΚΑΛΛΙΕΡΓΕΙΕΣ</v>
      </c>
    </row>
    <row r="3514" spans="1:12" s="3" customFormat="1" ht="15" customHeight="1" x14ac:dyDescent="0.25">
      <c r="A3514" s="3" t="str">
        <f t="shared" si="110"/>
        <v>ΛΟΙΠΕΣ ΚΑΛΛΙΕΡΓΕΙΕΣΛΥΚΙΣΚΟΣ</v>
      </c>
      <c r="B3514" s="4" t="s">
        <v>6498</v>
      </c>
      <c r="C3514" s="5" t="s">
        <v>6543</v>
      </c>
      <c r="D3514" s="6">
        <v>835.84</v>
      </c>
      <c r="E3514" s="6">
        <v>845.67</v>
      </c>
      <c r="F3514" s="7" t="s">
        <v>14</v>
      </c>
      <c r="G3514" s="8" t="s">
        <v>6544</v>
      </c>
      <c r="H3514" s="8" t="s">
        <v>16</v>
      </c>
      <c r="I3514" s="9">
        <v>2693</v>
      </c>
      <c r="J3514" s="10" t="s">
        <v>6501</v>
      </c>
      <c r="K3514" s="10">
        <v>8124</v>
      </c>
      <c r="L3514" s="3" t="str">
        <f t="shared" si="111"/>
        <v>ΛΟΙΠΕΣ_ΚΑΛΛΙΕΡΓΕΙΕΣ</v>
      </c>
    </row>
    <row r="3515" spans="1:12" s="3" customFormat="1" ht="15" customHeight="1" x14ac:dyDescent="0.25">
      <c r="A3515" s="3" t="str">
        <f t="shared" si="110"/>
        <v>ΛΟΙΠΕΣ ΚΑΛΛΙΕΡΓΕΙΕΣΒΑΤΟΜΟΥΡΑ</v>
      </c>
      <c r="B3515" s="4" t="s">
        <v>6498</v>
      </c>
      <c r="C3515" s="5" t="s">
        <v>6545</v>
      </c>
      <c r="D3515" s="6">
        <v>6584.59</v>
      </c>
      <c r="E3515" s="6">
        <v>8017.42</v>
      </c>
      <c r="F3515" s="7" t="s">
        <v>14</v>
      </c>
      <c r="G3515" s="8" t="s">
        <v>6546</v>
      </c>
      <c r="H3515" s="8" t="s">
        <v>16</v>
      </c>
      <c r="I3515" s="9">
        <v>2685</v>
      </c>
      <c r="J3515" s="10" t="s">
        <v>6501</v>
      </c>
      <c r="K3515" s="10">
        <v>8687</v>
      </c>
      <c r="L3515" s="3" t="str">
        <f t="shared" si="111"/>
        <v>ΛΟΙΠΕΣ_ΚΑΛΛΙΕΡΓΕΙΕΣ</v>
      </c>
    </row>
    <row r="3516" spans="1:12" s="3" customFormat="1" ht="15" customHeight="1" x14ac:dyDescent="0.25">
      <c r="A3516" s="3" t="str">
        <f t="shared" si="110"/>
        <v>ΛΟΙΠΕΣ ΚΑΛΛΙΕΡΓΕΙΕΣΜΑΝΙΤΑΡΙΑ PLEUROTUS (εκτάριο, 8 κοπές)</v>
      </c>
      <c r="B3516" s="4" t="s">
        <v>6498</v>
      </c>
      <c r="C3516" s="5" t="s">
        <v>4879</v>
      </c>
      <c r="D3516" s="6">
        <f>10814.13*100</f>
        <v>1081413</v>
      </c>
      <c r="E3516" s="6">
        <f>13775.96*100</f>
        <v>1377596</v>
      </c>
      <c r="F3516" s="7" t="s">
        <v>14</v>
      </c>
      <c r="G3516" s="8" t="s">
        <v>6547</v>
      </c>
      <c r="H3516" s="8" t="s">
        <v>16</v>
      </c>
      <c r="I3516" s="9">
        <v>2702</v>
      </c>
      <c r="J3516" s="10" t="s">
        <v>6501</v>
      </c>
      <c r="K3516" s="10">
        <v>8700</v>
      </c>
      <c r="L3516" s="3" t="str">
        <f t="shared" si="111"/>
        <v>ΛΟΙΠΕΣ_ΚΑΛΛΙΕΡΓΕΙΕΣ</v>
      </c>
    </row>
    <row r="3517" spans="1:12" s="3" customFormat="1" ht="41.25" customHeight="1" x14ac:dyDescent="0.25">
      <c r="A3517" s="3" t="str">
        <f t="shared" si="110"/>
        <v>ΛΟΙΠΕΣ ΚΑΛΛΙΕΡΓΕΙΕΣΜΑΝΙΤΑΡΙΑ ΤΡΟΥΦΑ</v>
      </c>
      <c r="B3517" s="4" t="s">
        <v>6498</v>
      </c>
      <c r="C3517" s="5" t="s">
        <v>6548</v>
      </c>
      <c r="D3517" s="6">
        <v>0</v>
      </c>
      <c r="E3517" s="6">
        <v>0</v>
      </c>
      <c r="F3517" s="7" t="s">
        <v>14</v>
      </c>
      <c r="G3517" s="8" t="s">
        <v>6549</v>
      </c>
      <c r="H3517" s="8" t="s">
        <v>16</v>
      </c>
      <c r="I3517" s="9">
        <v>2691</v>
      </c>
      <c r="J3517" s="10" t="s">
        <v>6501</v>
      </c>
      <c r="K3517" s="10">
        <v>8701</v>
      </c>
      <c r="L3517" s="3" t="str">
        <f t="shared" si="111"/>
        <v>ΛΟΙΠΕΣ_ΚΑΛΛΙΕΡΓΕΙΕΣ</v>
      </c>
    </row>
    <row r="3518" spans="1:12" s="3" customFormat="1" ht="15" customHeight="1" x14ac:dyDescent="0.25">
      <c r="A3518" s="3" t="str">
        <f t="shared" si="110"/>
        <v>ΛΟΙΠΕΣ ΚΑΛΛΙΕΡΓΕΙΕΣΙΠΠΟΦΑΕΣ</v>
      </c>
      <c r="B3518" s="4" t="s">
        <v>6498</v>
      </c>
      <c r="C3518" s="5" t="s">
        <v>6550</v>
      </c>
      <c r="D3518" s="6">
        <v>11041.07</v>
      </c>
      <c r="E3518" s="6">
        <v>11535.86</v>
      </c>
      <c r="F3518" s="7" t="s">
        <v>14</v>
      </c>
      <c r="G3518" s="8" t="s">
        <v>6551</v>
      </c>
      <c r="H3518" s="8" t="s">
        <v>16</v>
      </c>
      <c r="I3518" s="9">
        <v>2689</v>
      </c>
      <c r="J3518" s="10" t="s">
        <v>6501</v>
      </c>
      <c r="K3518" s="10">
        <v>8706</v>
      </c>
      <c r="L3518" s="3" t="str">
        <f t="shared" si="111"/>
        <v>ΛΟΙΠΕΣ_ΚΑΛΛΙΕΡΓΕΙΕΣ</v>
      </c>
    </row>
    <row r="3519" spans="1:12" s="3" customFormat="1" ht="15" customHeight="1" x14ac:dyDescent="0.25">
      <c r="A3519" s="3" t="str">
        <f t="shared" si="110"/>
        <v>ΛΟΙΠΕΣ ΚΑΛΛΙΕΡΓΕΙΕΣΜΑΝΙΤΑΡΙΑ AGARICUS (εκτάριο, 8 κοπές)</v>
      </c>
      <c r="B3519" s="4" t="s">
        <v>6498</v>
      </c>
      <c r="C3519" s="5" t="s">
        <v>4877</v>
      </c>
      <c r="D3519" s="6">
        <f>10814.13*100</f>
        <v>1081413</v>
      </c>
      <c r="E3519" s="6">
        <f>13775.96*100</f>
        <v>1377596</v>
      </c>
      <c r="F3519" s="7" t="s">
        <v>14</v>
      </c>
      <c r="G3519" s="8" t="s">
        <v>6552</v>
      </c>
      <c r="H3519" s="8" t="s">
        <v>16</v>
      </c>
      <c r="I3519" s="9">
        <v>2695</v>
      </c>
      <c r="J3519" s="10" t="s">
        <v>6501</v>
      </c>
      <c r="K3519" s="10">
        <v>8709</v>
      </c>
      <c r="L3519" s="3" t="str">
        <f t="shared" si="111"/>
        <v>ΛΟΙΠΕΣ_ΚΑΛΛΙΕΡΓΕΙΕΣ</v>
      </c>
    </row>
    <row r="3520" spans="1:12" s="3" customFormat="1" ht="15" customHeight="1" x14ac:dyDescent="0.25">
      <c r="A3520" s="3" t="str">
        <f t="shared" si="110"/>
        <v>ΛΟΙΠΕΣ ΚΑΛΛΙΕΡΓΕΙΕΣΣΟΡΓΟ - ΣΚΟΥΠΟΧΟΡΤΟ ΕΒΡΟΥ</v>
      </c>
      <c r="B3520" s="4" t="s">
        <v>6498</v>
      </c>
      <c r="C3520" s="5" t="s">
        <v>6553</v>
      </c>
      <c r="D3520" s="6">
        <v>363.85</v>
      </c>
      <c r="E3520" s="6">
        <v>331.13</v>
      </c>
      <c r="F3520" s="7" t="s">
        <v>14</v>
      </c>
      <c r="G3520" s="8" t="s">
        <v>6554</v>
      </c>
      <c r="H3520" s="8" t="s">
        <v>16</v>
      </c>
      <c r="I3520" s="9">
        <v>2696</v>
      </c>
      <c r="J3520" s="10" t="s">
        <v>6501</v>
      </c>
      <c r="K3520" s="10">
        <v>8744</v>
      </c>
      <c r="L3520" s="3" t="str">
        <f t="shared" si="111"/>
        <v>ΛΟΙΠΕΣ_ΚΑΛΛΙΕΡΓΕΙΕΣ</v>
      </c>
    </row>
    <row r="3521" spans="1:12" s="3" customFormat="1" ht="15" customHeight="1" x14ac:dyDescent="0.25">
      <c r="A3521" s="3" t="str">
        <f t="shared" si="110"/>
        <v>ΛΟΙΠΕΣ ΚΑΛΛΙΕΡΓΕΙΕΣΑΣΚΟΛΥΜΠΡΟΣ</v>
      </c>
      <c r="B3521" s="4" t="s">
        <v>6498</v>
      </c>
      <c r="C3521" s="5" t="s">
        <v>6555</v>
      </c>
      <c r="D3521" s="6">
        <v>11290.03</v>
      </c>
      <c r="E3521" s="6">
        <v>13610.93</v>
      </c>
      <c r="F3521" s="7" t="s">
        <v>14</v>
      </c>
      <c r="G3521" s="8" t="s">
        <v>6556</v>
      </c>
      <c r="H3521" s="8" t="s">
        <v>16</v>
      </c>
      <c r="I3521" s="9">
        <v>2697</v>
      </c>
      <c r="J3521" s="10" t="s">
        <v>6501</v>
      </c>
      <c r="K3521" s="10">
        <v>8745</v>
      </c>
      <c r="L3521" s="3" t="str">
        <f t="shared" si="111"/>
        <v>ΛΟΙΠΕΣ_ΚΑΛΛΙΕΡΓΕΙΕΣ</v>
      </c>
    </row>
    <row r="3522" spans="1:12" s="3" customFormat="1" ht="15" customHeight="1" x14ac:dyDescent="0.25">
      <c r="A3522" s="3" t="str">
        <f t="shared" si="110"/>
        <v>ΛΟΙΠΕΣ ΚΑΛΛΙΕΡΓΕΙΕΣΚΑΠΠΑΡΗ - ΤΟΠΙΚΟΙ ΠΛΗΘΥΣΜΟΙ</v>
      </c>
      <c r="B3522" s="4" t="s">
        <v>6498</v>
      </c>
      <c r="C3522" s="5" t="s">
        <v>6557</v>
      </c>
      <c r="D3522" s="6">
        <v>11041.07</v>
      </c>
      <c r="E3522" s="6">
        <v>11535.86</v>
      </c>
      <c r="F3522" s="7" t="s">
        <v>14</v>
      </c>
      <c r="G3522" s="8" t="s">
        <v>6558</v>
      </c>
      <c r="H3522" s="8" t="s">
        <v>16</v>
      </c>
      <c r="I3522" s="9">
        <v>2699</v>
      </c>
      <c r="J3522" s="10" t="s">
        <v>6501</v>
      </c>
      <c r="K3522" s="10">
        <v>8748</v>
      </c>
      <c r="L3522" s="3" t="str">
        <f t="shared" si="111"/>
        <v>ΛΟΙΠΕΣ_ΚΑΛΛΙΕΡΓΕΙΕΣ</v>
      </c>
    </row>
    <row r="3523" spans="1:12" s="3" customFormat="1" ht="15" customHeight="1" x14ac:dyDescent="0.25">
      <c r="A3523" s="3" t="str">
        <f t="shared" ref="A3523:A3586" si="114">_xlfn.CONCAT(B3523,C3523)</f>
        <v>ΛΟΙΠΕΣ ΚΑΛΛΙΕΡΓΕΙΕΣΛΙΦΗ Ή ΛΟΥΦΑ ΚΑΤΕΡΙΝΗΣ</v>
      </c>
      <c r="B3523" s="4" t="s">
        <v>6498</v>
      </c>
      <c r="C3523" s="5" t="s">
        <v>6559</v>
      </c>
      <c r="D3523" s="6">
        <v>835.84</v>
      </c>
      <c r="E3523" s="6">
        <v>845.67</v>
      </c>
      <c r="F3523" s="7" t="s">
        <v>14</v>
      </c>
      <c r="G3523" s="8" t="s">
        <v>6560</v>
      </c>
      <c r="H3523" s="8" t="s">
        <v>16</v>
      </c>
      <c r="I3523" s="9">
        <v>2700</v>
      </c>
      <c r="J3523" s="10" t="s">
        <v>6501</v>
      </c>
      <c r="K3523" s="10">
        <v>8749</v>
      </c>
      <c r="L3523" s="3" t="str">
        <f t="shared" ref="L3523:L3586" si="115">IFERROR(SUBSTITUTE(SUBSTITUTE(SUBSTITUTE(SUBSTITUTE(SUBSTITUTE(B3523, "-", "_"), " ", "_"), ",", ""), "(", ""), ")", ""), B3523)</f>
        <v>ΛΟΙΠΕΣ_ΚΑΛΛΙΕΡΓΕΙΕΣ</v>
      </c>
    </row>
    <row r="3524" spans="1:12" s="3" customFormat="1" ht="15" customHeight="1" x14ac:dyDescent="0.25">
      <c r="A3524" s="3" t="str">
        <f t="shared" si="114"/>
        <v>ΛΟΙΠΕΣ ΚΑΛΛΙΕΡΓΕΙΕΣΦΑΚΕΛΩΤΗ</v>
      </c>
      <c r="B3524" s="4" t="s">
        <v>6498</v>
      </c>
      <c r="C3524" s="5" t="s">
        <v>2014</v>
      </c>
      <c r="D3524" s="6">
        <v>11041.07</v>
      </c>
      <c r="E3524" s="6">
        <v>11535.86</v>
      </c>
      <c r="F3524" s="7" t="s">
        <v>14</v>
      </c>
      <c r="G3524" s="8" t="s">
        <v>6561</v>
      </c>
      <c r="H3524" s="8" t="s">
        <v>16</v>
      </c>
      <c r="I3524" s="9">
        <v>2701</v>
      </c>
      <c r="J3524" s="10" t="s">
        <v>6501</v>
      </c>
      <c r="K3524" s="10">
        <v>8760</v>
      </c>
      <c r="L3524" s="3" t="str">
        <f t="shared" si="115"/>
        <v>ΛΟΙΠΕΣ_ΚΑΛΛΙΕΡΓΕΙΕΣ</v>
      </c>
    </row>
    <row r="3525" spans="1:12" s="3" customFormat="1" ht="15" customHeight="1" x14ac:dyDescent="0.25">
      <c r="A3525" s="3" t="str">
        <f t="shared" si="114"/>
        <v>ΛΟΙΠΕΣ ΚΑΛΛΙΕΡΓΕΙΕΣΑΛΟΗ</v>
      </c>
      <c r="B3525" s="4" t="s">
        <v>6498</v>
      </c>
      <c r="C3525" s="5" t="s">
        <v>6562</v>
      </c>
      <c r="D3525" s="6">
        <v>11041.07</v>
      </c>
      <c r="E3525" s="6">
        <v>11535.86</v>
      </c>
      <c r="F3525" s="7" t="s">
        <v>14</v>
      </c>
      <c r="G3525" s="8" t="s">
        <v>6563</v>
      </c>
      <c r="H3525" s="8" t="s">
        <v>16</v>
      </c>
      <c r="I3525" s="9">
        <v>2692</v>
      </c>
      <c r="J3525" s="10" t="s">
        <v>6501</v>
      </c>
      <c r="K3525" s="10">
        <v>8781</v>
      </c>
      <c r="L3525" s="3" t="str">
        <f t="shared" si="115"/>
        <v>ΛΟΙΠΕΣ_ΚΑΛΛΙΕΡΓΕΙΕΣ</v>
      </c>
    </row>
    <row r="3526" spans="1:12" s="3" customFormat="1" ht="15" customHeight="1" x14ac:dyDescent="0.25">
      <c r="A3526" s="3" t="str">
        <f t="shared" si="114"/>
        <v>ΛΟΙΠΕΣ ΚΑΛΛΙΕΡΓΕΙΕΣΠΡΩΤΕΑΣ</v>
      </c>
      <c r="B3526" s="4" t="s">
        <v>6498</v>
      </c>
      <c r="C3526" s="5" t="s">
        <v>6564</v>
      </c>
      <c r="D3526" s="6">
        <v>48272</v>
      </c>
      <c r="E3526" s="6">
        <v>55220</v>
      </c>
      <c r="F3526" s="7" t="s">
        <v>14</v>
      </c>
      <c r="G3526" s="8" t="s">
        <v>6565</v>
      </c>
      <c r="H3526" s="8" t="s">
        <v>16</v>
      </c>
      <c r="I3526" s="9">
        <v>2686</v>
      </c>
      <c r="J3526" s="10" t="s">
        <v>6501</v>
      </c>
      <c r="K3526" s="10">
        <v>8782</v>
      </c>
      <c r="L3526" s="3" t="str">
        <f t="shared" si="115"/>
        <v>ΛΟΙΠΕΣ_ΚΑΛΛΙΕΡΓΕΙΕΣ</v>
      </c>
    </row>
    <row r="3527" spans="1:12" s="3" customFormat="1" ht="15" customHeight="1" x14ac:dyDescent="0.25">
      <c r="A3527" s="3" t="str">
        <f t="shared" si="114"/>
        <v>ΛΟΙΠΕΣ ΚΑΛΛΙΕΡΓΕΙΕΣΑΡΩΝΙΑ</v>
      </c>
      <c r="B3527" s="4" t="s">
        <v>6498</v>
      </c>
      <c r="C3527" s="5" t="s">
        <v>6566</v>
      </c>
      <c r="D3527" s="6">
        <v>6584.59</v>
      </c>
      <c r="E3527" s="6">
        <v>8017.42</v>
      </c>
      <c r="F3527" s="7" t="s">
        <v>14</v>
      </c>
      <c r="G3527" s="8" t="s">
        <v>6567</v>
      </c>
      <c r="H3527" s="8" t="s">
        <v>16</v>
      </c>
      <c r="I3527" s="9">
        <v>2673</v>
      </c>
      <c r="J3527" s="10" t="s">
        <v>6501</v>
      </c>
      <c r="K3527" s="10">
        <v>8784</v>
      </c>
      <c r="L3527" s="3" t="str">
        <f t="shared" si="115"/>
        <v>ΛΟΙΠΕΣ_ΚΑΛΛΙΕΡΓΕΙΕΣ</v>
      </c>
    </row>
    <row r="3528" spans="1:12" s="3" customFormat="1" ht="15" customHeight="1" x14ac:dyDescent="0.25">
      <c r="A3528" s="3" t="str">
        <f t="shared" si="114"/>
        <v>ΛΟΙΠΕΣ ΚΑΛΛΙΕΡΓΕΙΕΣΛΗΜΟΝΙΟ</v>
      </c>
      <c r="B3528" s="4" t="s">
        <v>6498</v>
      </c>
      <c r="C3528" s="5" t="s">
        <v>6568</v>
      </c>
      <c r="D3528" s="6">
        <v>1402.9</v>
      </c>
      <c r="E3528" s="6">
        <v>1418.93</v>
      </c>
      <c r="F3528" s="7" t="s">
        <v>14</v>
      </c>
      <c r="G3528" s="8" t="s">
        <v>6569</v>
      </c>
      <c r="H3528" s="8" t="s">
        <v>16</v>
      </c>
      <c r="I3528" s="9">
        <v>2672</v>
      </c>
      <c r="J3528" s="10" t="s">
        <v>6501</v>
      </c>
      <c r="K3528" s="10">
        <v>8785</v>
      </c>
      <c r="L3528" s="3" t="str">
        <f t="shared" si="115"/>
        <v>ΛΟΙΠΕΣ_ΚΑΛΛΙΕΡΓΕΙΕΣ</v>
      </c>
    </row>
    <row r="3529" spans="1:12" s="3" customFormat="1" ht="15" customHeight="1" x14ac:dyDescent="0.25">
      <c r="A3529" s="3" t="str">
        <f t="shared" si="114"/>
        <v>ΛΟΙΠΕΣ ΚΑΛΛΙΕΡΓΕΙΕΣΜΥΡΤΙΛΛΟ (BLUEBERRY)</v>
      </c>
      <c r="B3529" s="4" t="s">
        <v>6498</v>
      </c>
      <c r="C3529" s="5" t="s">
        <v>6570</v>
      </c>
      <c r="D3529" s="6">
        <v>6584.59</v>
      </c>
      <c r="E3529" s="6">
        <v>8017.42</v>
      </c>
      <c r="F3529" s="7" t="s">
        <v>14</v>
      </c>
      <c r="G3529" s="8" t="s">
        <v>6571</v>
      </c>
      <c r="H3529" s="8" t="s">
        <v>16</v>
      </c>
      <c r="I3529" s="9">
        <v>2670</v>
      </c>
      <c r="J3529" s="10" t="s">
        <v>6501</v>
      </c>
      <c r="K3529" s="10">
        <v>8786</v>
      </c>
      <c r="L3529" s="3" t="str">
        <f t="shared" si="115"/>
        <v>ΛΟΙΠΕΣ_ΚΑΛΛΙΕΡΓΕΙΕΣ</v>
      </c>
    </row>
    <row r="3530" spans="1:12" s="3" customFormat="1" ht="15" customHeight="1" x14ac:dyDescent="0.25">
      <c r="A3530" s="3" t="str">
        <f t="shared" si="114"/>
        <v>ΛΟΙΠΕΣ ΚΑΛΛΙΕΡΓΕΙΕΣΓΚΟΤΖΙ ΜΠΕΡΙ</v>
      </c>
      <c r="B3530" s="4" t="s">
        <v>6498</v>
      </c>
      <c r="C3530" s="5" t="s">
        <v>6572</v>
      </c>
      <c r="D3530" s="6">
        <v>6584.59</v>
      </c>
      <c r="E3530" s="6">
        <v>8017.42</v>
      </c>
      <c r="F3530" s="7" t="s">
        <v>14</v>
      </c>
      <c r="G3530" s="8" t="s">
        <v>6573</v>
      </c>
      <c r="H3530" s="8" t="s">
        <v>16</v>
      </c>
      <c r="I3530" s="9">
        <v>2674</v>
      </c>
      <c r="J3530" s="10" t="s">
        <v>6501</v>
      </c>
      <c r="K3530" s="10">
        <v>8787</v>
      </c>
      <c r="L3530" s="3" t="str">
        <f t="shared" si="115"/>
        <v>ΛΟΙΠΕΣ_ΚΑΛΛΙΕΡΓΕΙΕΣ</v>
      </c>
    </row>
    <row r="3531" spans="1:12" s="3" customFormat="1" ht="15" customHeight="1" x14ac:dyDescent="0.25">
      <c r="A3531" s="3" t="str">
        <f t="shared" si="114"/>
        <v>ΛΟΙΠΕΣ ΚΑΛΛΙΕΡΓΕΙΕΣΛΟΥΦΑ</v>
      </c>
      <c r="B3531" s="4" t="s">
        <v>6498</v>
      </c>
      <c r="C3531" s="5" t="s">
        <v>6574</v>
      </c>
      <c r="D3531" s="6">
        <v>835.84</v>
      </c>
      <c r="E3531" s="6">
        <v>845.67</v>
      </c>
      <c r="F3531" s="7" t="s">
        <v>14</v>
      </c>
      <c r="G3531" s="8" t="s">
        <v>6575</v>
      </c>
      <c r="H3531" s="8" t="s">
        <v>16</v>
      </c>
      <c r="I3531" s="9">
        <v>2668</v>
      </c>
      <c r="J3531" s="10" t="s">
        <v>6501</v>
      </c>
      <c r="K3531" s="10">
        <v>8788</v>
      </c>
      <c r="L3531" s="3" t="str">
        <f t="shared" si="115"/>
        <v>ΛΟΙΠΕΣ_ΚΑΛΛΙΕΡΓΕΙΕΣ</v>
      </c>
    </row>
    <row r="3532" spans="1:12" s="3" customFormat="1" ht="15" customHeight="1" x14ac:dyDescent="0.25">
      <c r="A3532" s="3" t="str">
        <f t="shared" si="114"/>
        <v>ΛΟΙΠΕΣ ΚΑΛΛΙΕΡΓΕΙΕΣΦΥΣΑΛΙΔΑ</v>
      </c>
      <c r="B3532" s="4" t="s">
        <v>6498</v>
      </c>
      <c r="C3532" s="5" t="s">
        <v>6576</v>
      </c>
      <c r="D3532" s="6">
        <v>6584.59</v>
      </c>
      <c r="E3532" s="6">
        <v>8017.42</v>
      </c>
      <c r="F3532" s="7" t="s">
        <v>14</v>
      </c>
      <c r="G3532" s="8" t="s">
        <v>6577</v>
      </c>
      <c r="H3532" s="8" t="s">
        <v>16</v>
      </c>
      <c r="I3532" s="9">
        <v>2667</v>
      </c>
      <c r="J3532" s="10" t="s">
        <v>6501</v>
      </c>
      <c r="K3532" s="10">
        <v>8789</v>
      </c>
      <c r="L3532" s="3" t="str">
        <f t="shared" si="115"/>
        <v>ΛΟΙΠΕΣ_ΚΑΛΛΙΕΡΓΕΙΕΣ</v>
      </c>
    </row>
    <row r="3533" spans="1:12" s="3" customFormat="1" ht="15" customHeight="1" x14ac:dyDescent="0.25">
      <c r="A3533" s="3" t="str">
        <f t="shared" si="114"/>
        <v>ΛΟΙΠΕΣ ΚΑΛΛΙΕΡΓΕΙΕΣΦΡΑΓΚΟΣΥΚΙΕΣ</v>
      </c>
      <c r="B3533" s="4" t="s">
        <v>6498</v>
      </c>
      <c r="C3533" s="5" t="s">
        <v>6578</v>
      </c>
      <c r="D3533" s="6">
        <v>11224.92</v>
      </c>
      <c r="E3533" s="6">
        <v>9346.09</v>
      </c>
      <c r="F3533" s="7" t="s">
        <v>14</v>
      </c>
      <c r="G3533" s="8" t="s">
        <v>6579</v>
      </c>
      <c r="H3533" s="8" t="s">
        <v>16</v>
      </c>
      <c r="I3533" s="9">
        <v>2688</v>
      </c>
      <c r="J3533" s="10" t="s">
        <v>6501</v>
      </c>
      <c r="K3533" s="10">
        <v>95771700</v>
      </c>
      <c r="L3533" s="3" t="str">
        <f t="shared" si="115"/>
        <v>ΛΟΙΠΕΣ_ΚΑΛΛΙΕΡΓΕΙΕΣ</v>
      </c>
    </row>
    <row r="3534" spans="1:12" s="3" customFormat="1" ht="15" customHeight="1" x14ac:dyDescent="0.25">
      <c r="A3534" s="3" t="str">
        <f t="shared" si="114"/>
        <v>ΛΟΙΠΕΣ ΚΑΛΛΙΕΡΓΕΙΕΣSTEVIA (ΥΠΟΚΑΤΑΣΤΑΤΟ ΖΑΧΑΡΗΣ ΣΕ ΠΕΙΡΑΜΑΤΙΚΟ ΣΤΑΔΙΟ)</v>
      </c>
      <c r="B3534" s="4" t="s">
        <v>6498</v>
      </c>
      <c r="C3534" s="5" t="s">
        <v>6580</v>
      </c>
      <c r="D3534" s="6">
        <v>835.84</v>
      </c>
      <c r="E3534" s="6">
        <v>845.67</v>
      </c>
      <c r="F3534" s="7" t="s">
        <v>14</v>
      </c>
      <c r="G3534" s="8" t="s">
        <v>6581</v>
      </c>
      <c r="H3534" s="8" t="s">
        <v>16</v>
      </c>
      <c r="I3534" s="9">
        <v>2677</v>
      </c>
      <c r="J3534" s="10" t="s">
        <v>6501</v>
      </c>
      <c r="K3534" s="10">
        <v>95771701</v>
      </c>
      <c r="L3534" s="3" t="str">
        <f t="shared" si="115"/>
        <v>ΛΟΙΠΕΣ_ΚΑΛΛΙΕΡΓΕΙΕΣ</v>
      </c>
    </row>
    <row r="3535" spans="1:12" s="3" customFormat="1" ht="15" customHeight="1" x14ac:dyDescent="0.25">
      <c r="A3535" s="3" t="str">
        <f t="shared" si="114"/>
        <v>ΛΟΙΠΕΣ ΚΑΛΛΙΕΡΓΕΙΕΣΚΟΛΟΚΑΣΙ</v>
      </c>
      <c r="B3535" s="4" t="s">
        <v>6498</v>
      </c>
      <c r="C3535" s="5" t="s">
        <v>6582</v>
      </c>
      <c r="D3535" s="6">
        <v>106</v>
      </c>
      <c r="E3535" s="6">
        <v>106</v>
      </c>
      <c r="F3535" s="7" t="s">
        <v>14</v>
      </c>
      <c r="G3535" s="8" t="s">
        <v>6583</v>
      </c>
      <c r="H3535" s="8" t="s">
        <v>16</v>
      </c>
      <c r="I3535" s="9">
        <v>2698</v>
      </c>
      <c r="J3535" s="10" t="s">
        <v>6501</v>
      </c>
      <c r="K3535" s="10">
        <v>98206</v>
      </c>
      <c r="L3535" s="3" t="str">
        <f t="shared" si="115"/>
        <v>ΛΟΙΠΕΣ_ΚΑΛΛΙΕΡΓΕΙΕΣ</v>
      </c>
    </row>
    <row r="3536" spans="1:12" s="3" customFormat="1" ht="15" customHeight="1" x14ac:dyDescent="0.25">
      <c r="A3536" s="3" t="str">
        <f t="shared" si="114"/>
        <v>ΜΕΤΑΞΟΣΚΩΛΗΚΕΣΜΕΤΑΞΟΣΚΩΛΗΚΕΣ, ΚΟΥΤΙΑ</v>
      </c>
      <c r="B3536" s="17" t="s">
        <v>6584</v>
      </c>
      <c r="C3536" s="14" t="s">
        <v>6585</v>
      </c>
      <c r="D3536" s="6">
        <v>42</v>
      </c>
      <c r="E3536" s="6">
        <v>42</v>
      </c>
      <c r="F3536" s="11" t="s">
        <v>6586</v>
      </c>
      <c r="G3536" s="8" t="s">
        <v>6587</v>
      </c>
      <c r="H3536" s="8" t="s">
        <v>16</v>
      </c>
      <c r="I3536" s="9">
        <v>4836</v>
      </c>
      <c r="J3536" s="13">
        <v>11</v>
      </c>
      <c r="K3536" s="13">
        <v>1110000</v>
      </c>
      <c r="L3536" s="3" t="str">
        <f t="shared" si="115"/>
        <v>ΜΕΤΑΞΟΣΚΩΛΗΚΕΣ</v>
      </c>
    </row>
    <row r="3537" spans="1:12" s="3" customFormat="1" ht="15" customHeight="1" x14ac:dyDescent="0.25">
      <c r="A3537" s="3" t="str">
        <f t="shared" si="114"/>
        <v>ΜΗ ΕΠΙΛΕΞΙΜΕΣ ΕΚΤΑΣΕΙΣ ΑΠΟ ΑΝΑΔΑΣΩΤΕΕΣ ΕΚΤΑΣΕΙΣ ΚΥΡΩΜΕΝΩΝΜΗ ΕΠΙΛΕΞΙΜΕΣ ΕΚΤΑΣΕΙΣ ΑΠΟ ΑΝΑΔΑΣΩΤΕΕΣ ΕΚΤΑΣΕΙΣ ΚΥΡΩΜΕΝΩΝ</v>
      </c>
      <c r="B3537" s="4" t="s">
        <v>6588</v>
      </c>
      <c r="C3537" s="5" t="s">
        <v>6588</v>
      </c>
      <c r="D3537" s="6">
        <v>0</v>
      </c>
      <c r="E3537" s="6">
        <v>0</v>
      </c>
      <c r="F3537" s="7" t="s">
        <v>14</v>
      </c>
      <c r="G3537" s="8" t="s">
        <v>6589</v>
      </c>
      <c r="H3537" s="8" t="s">
        <v>27</v>
      </c>
      <c r="I3537" s="9">
        <v>4046</v>
      </c>
      <c r="J3537" s="10">
        <v>96</v>
      </c>
      <c r="K3537" s="10">
        <v>96001</v>
      </c>
      <c r="L3537" s="3" t="str">
        <f t="shared" si="115"/>
        <v>ΜΗ_ΕΠΙΛΕΞΙΜΕΣ_ΕΚΤΑΣΕΙΣ_ΑΠΟ_ΑΝΑΔΑΣΩΤΕΕΣ_ΕΚΤΑΣΕΙΣ_ΚΥΡΩΜΕΝΩΝ</v>
      </c>
    </row>
    <row r="3538" spans="1:12" s="3" customFormat="1" ht="15" customHeight="1" x14ac:dyDescent="0.25">
      <c r="A3538" s="3" t="str">
        <f t="shared" si="114"/>
        <v>ΜΗ ΕΠΙΛΕΞΙΜΕΣ ΕΚΤΑΣΕΙΣ ΑΠΟ ΚΥΡΩΜΕΝΟΥΣ ΔΑΣΙΚΟΥΣΜΗ ΕΠΙΛΕΞΙΜΕΣ ΕΚΤΑΣΕΙΣ ΑΠΟ ΚΥΡΩΜΕΝΟΥΣ ΔΑΣΙΚΟΥΣ</v>
      </c>
      <c r="B3538" s="4" t="s">
        <v>6590</v>
      </c>
      <c r="C3538" s="5" t="s">
        <v>6590</v>
      </c>
      <c r="D3538" s="6">
        <v>0</v>
      </c>
      <c r="E3538" s="6">
        <v>0</v>
      </c>
      <c r="F3538" s="7" t="s">
        <v>14</v>
      </c>
      <c r="G3538" s="8" t="s">
        <v>6591</v>
      </c>
      <c r="H3538" s="8" t="s">
        <v>27</v>
      </c>
      <c r="I3538" s="9">
        <v>4048</v>
      </c>
      <c r="J3538" s="10">
        <v>98</v>
      </c>
      <c r="K3538" s="10">
        <v>98001</v>
      </c>
      <c r="L3538" s="3" t="str">
        <f t="shared" si="115"/>
        <v>ΜΗ_ΕΠΙΛΕΞΙΜΕΣ_ΕΚΤΑΣΕΙΣ_ΑΠΟ_ΚΥΡΩΜΕΝΟΥΣ_ΔΑΣΙΚΟΥΣ</v>
      </c>
    </row>
    <row r="3539" spans="1:12" s="3" customFormat="1" ht="15" customHeight="1" x14ac:dyDescent="0.25">
      <c r="A3539" s="3" t="str">
        <f t="shared" si="114"/>
        <v>ΜΗ ΕΠΙΛΕΞΙΜΕΣ ΕΚΤΑΣΕΙΣΜΗ ΕΠΙΛΕΞΙΜΕΣ ΕΚΤΑΣΕΙΣ</v>
      </c>
      <c r="B3539" s="4" t="s">
        <v>6592</v>
      </c>
      <c r="C3539" s="5" t="s">
        <v>6592</v>
      </c>
      <c r="D3539" s="6">
        <v>0</v>
      </c>
      <c r="E3539" s="6">
        <v>0</v>
      </c>
      <c r="F3539" s="7" t="s">
        <v>14</v>
      </c>
      <c r="G3539" s="8" t="s">
        <v>6593</v>
      </c>
      <c r="H3539" s="8" t="s">
        <v>16</v>
      </c>
      <c r="I3539" s="9">
        <v>4049</v>
      </c>
      <c r="J3539" s="10">
        <v>99</v>
      </c>
      <c r="K3539" s="10">
        <v>99001</v>
      </c>
      <c r="L3539" s="3" t="str">
        <f t="shared" si="115"/>
        <v>ΜΗ_ΕΠΙΛΕΞΙΜΕΣ_ΕΚΤΑΣΕΙΣ</v>
      </c>
    </row>
    <row r="3540" spans="1:12" s="3" customFormat="1" ht="15" customHeight="1" x14ac:dyDescent="0.25">
      <c r="A3540" s="3" t="str">
        <f t="shared" si="114"/>
        <v>ΜΗΛΟΕΙΔΗΑΧΛΑΔΙΕΣ Α</v>
      </c>
      <c r="B3540" s="4" t="s">
        <v>6594</v>
      </c>
      <c r="C3540" s="5" t="s">
        <v>6595</v>
      </c>
      <c r="D3540" s="6">
        <v>9716.51</v>
      </c>
      <c r="E3540" s="6">
        <v>9529.25</v>
      </c>
      <c r="F3540" s="7" t="s">
        <v>14</v>
      </c>
      <c r="G3540" s="8" t="s">
        <v>6596</v>
      </c>
      <c r="H3540" s="8" t="s">
        <v>16</v>
      </c>
      <c r="I3540" s="9">
        <v>3307</v>
      </c>
      <c r="J3540" s="10">
        <v>67</v>
      </c>
      <c r="K3540" s="10">
        <v>14004</v>
      </c>
      <c r="L3540" s="3" t="str">
        <f t="shared" si="115"/>
        <v>ΜΗΛΟΕΙΔΗ</v>
      </c>
    </row>
    <row r="3541" spans="1:12" s="3" customFormat="1" ht="15" customHeight="1" x14ac:dyDescent="0.25">
      <c r="A3541" s="3" t="str">
        <f t="shared" si="114"/>
        <v>ΜΗΛΟΕΙΔΗΜΗΛΙΕΣ Α</v>
      </c>
      <c r="B3541" s="18" t="s">
        <v>6594</v>
      </c>
      <c r="C3541" s="19" t="s">
        <v>6597</v>
      </c>
      <c r="D3541" s="6">
        <v>9716.51</v>
      </c>
      <c r="E3541" s="6">
        <v>9529.25</v>
      </c>
      <c r="F3541" s="6" t="s">
        <v>14</v>
      </c>
      <c r="G3541" s="8" t="s">
        <v>6598</v>
      </c>
      <c r="H3541" s="8" t="s">
        <v>27</v>
      </c>
      <c r="I3541" s="9">
        <v>4068</v>
      </c>
      <c r="J3541" s="20">
        <v>67</v>
      </c>
      <c r="K3541" s="20">
        <v>14005</v>
      </c>
      <c r="L3541" s="3" t="str">
        <f t="shared" si="115"/>
        <v>ΜΗΛΟΕΙΔΗ</v>
      </c>
    </row>
    <row r="3542" spans="1:12" s="3" customFormat="1" ht="15" customHeight="1" x14ac:dyDescent="0.25">
      <c r="A3542" s="3" t="str">
        <f t="shared" si="114"/>
        <v>ΜΗΛΟΕΙΔΗΑΧΛΑΔΙΑ ΚΟΝΤΟΥΛΕΣ - ABATE FETEL</v>
      </c>
      <c r="B3542" s="4" t="s">
        <v>6594</v>
      </c>
      <c r="C3542" s="5" t="s">
        <v>6599</v>
      </c>
      <c r="D3542" s="6">
        <v>9716.51</v>
      </c>
      <c r="E3542" s="6">
        <v>9529.25</v>
      </c>
      <c r="F3542" s="7" t="s">
        <v>14</v>
      </c>
      <c r="G3542" s="8" t="s">
        <v>6600</v>
      </c>
      <c r="H3542" s="8" t="s">
        <v>16</v>
      </c>
      <c r="I3542" s="9">
        <v>3348</v>
      </c>
      <c r="J3542" s="10">
        <v>67</v>
      </c>
      <c r="K3542" s="10">
        <v>14032</v>
      </c>
      <c r="L3542" s="3" t="str">
        <f t="shared" si="115"/>
        <v>ΜΗΛΟΕΙΔΗ</v>
      </c>
    </row>
    <row r="3543" spans="1:12" s="3" customFormat="1" ht="15" customHeight="1" x14ac:dyDescent="0.25">
      <c r="A3543" s="3" t="str">
        <f t="shared" si="114"/>
        <v>ΜΗΛΟΕΙΔΗΑΧΛΑΔΙΑ ΣΙΣΥ</v>
      </c>
      <c r="B3543" s="4" t="s">
        <v>6594</v>
      </c>
      <c r="C3543" s="5" t="s">
        <v>6601</v>
      </c>
      <c r="D3543" s="6">
        <v>9716.51</v>
      </c>
      <c r="E3543" s="6">
        <v>9529.25</v>
      </c>
      <c r="F3543" s="7" t="s">
        <v>14</v>
      </c>
      <c r="G3543" s="8" t="s">
        <v>6602</v>
      </c>
      <c r="H3543" s="8" t="s">
        <v>16</v>
      </c>
      <c r="I3543" s="9">
        <v>3313</v>
      </c>
      <c r="J3543" s="10">
        <v>67</v>
      </c>
      <c r="K3543" s="10">
        <v>66314</v>
      </c>
      <c r="L3543" s="3" t="str">
        <f t="shared" si="115"/>
        <v>ΜΗΛΟΕΙΔΗ</v>
      </c>
    </row>
    <row r="3544" spans="1:12" s="3" customFormat="1" ht="15" customHeight="1" x14ac:dyDescent="0.25">
      <c r="A3544" s="3" t="str">
        <f t="shared" si="114"/>
        <v>ΜΗΛΟΕΙΔΗΑΧΛΑΔΙΑ ΑΠΟΣΤΟΛΙΑΤΙΚΑ</v>
      </c>
      <c r="B3544" s="4" t="s">
        <v>6594</v>
      </c>
      <c r="C3544" s="5" t="s">
        <v>6603</v>
      </c>
      <c r="D3544" s="6">
        <v>9716.51</v>
      </c>
      <c r="E3544" s="6">
        <v>9529.25</v>
      </c>
      <c r="F3544" s="7" t="s">
        <v>14</v>
      </c>
      <c r="G3544" s="8" t="s">
        <v>6604</v>
      </c>
      <c r="H3544" s="8" t="s">
        <v>16</v>
      </c>
      <c r="I3544" s="9">
        <v>3290</v>
      </c>
      <c r="J3544" s="10">
        <v>67</v>
      </c>
      <c r="K3544" s="10">
        <v>67001</v>
      </c>
      <c r="L3544" s="3" t="str">
        <f t="shared" si="115"/>
        <v>ΜΗΛΟΕΙΔΗ</v>
      </c>
    </row>
    <row r="3545" spans="1:12" s="3" customFormat="1" ht="15" customHeight="1" x14ac:dyDescent="0.25">
      <c r="A3545" s="3" t="str">
        <f t="shared" si="114"/>
        <v>ΜΗΛΟΕΙΔΗΑΧΛΑΔΙΑ ΜΟΣΧΑΠΙΔΟ</v>
      </c>
      <c r="B3545" s="4" t="s">
        <v>6594</v>
      </c>
      <c r="C3545" s="5" t="s">
        <v>6605</v>
      </c>
      <c r="D3545" s="6">
        <v>9716.51</v>
      </c>
      <c r="E3545" s="6">
        <v>9529.25</v>
      </c>
      <c r="F3545" s="7" t="s">
        <v>14</v>
      </c>
      <c r="G3545" s="8" t="s">
        <v>6606</v>
      </c>
      <c r="H3545" s="8" t="s">
        <v>16</v>
      </c>
      <c r="I3545" s="9">
        <v>3291</v>
      </c>
      <c r="J3545" s="10">
        <v>67</v>
      </c>
      <c r="K3545" s="10">
        <v>67002</v>
      </c>
      <c r="L3545" s="3" t="str">
        <f t="shared" si="115"/>
        <v>ΜΗΛΟΕΙΔΗ</v>
      </c>
    </row>
    <row r="3546" spans="1:12" s="3" customFormat="1" ht="15" customHeight="1" x14ac:dyDescent="0.25">
      <c r="A3546" s="3" t="str">
        <f t="shared" si="114"/>
        <v>ΜΗΛΟΕΙΔΗΑΧΛΑΔΙΑ ΜΟΣΧΑΡΔΙΝΙ</v>
      </c>
      <c r="B3546" s="4" t="s">
        <v>6594</v>
      </c>
      <c r="C3546" s="5" t="s">
        <v>6607</v>
      </c>
      <c r="D3546" s="6">
        <v>9716.51</v>
      </c>
      <c r="E3546" s="6">
        <v>9529.25</v>
      </c>
      <c r="F3546" s="7" t="s">
        <v>14</v>
      </c>
      <c r="G3546" s="8" t="s">
        <v>6608</v>
      </c>
      <c r="H3546" s="8" t="s">
        <v>16</v>
      </c>
      <c r="I3546" s="9">
        <v>3292</v>
      </c>
      <c r="J3546" s="10">
        <v>67</v>
      </c>
      <c r="K3546" s="10">
        <v>67003</v>
      </c>
      <c r="L3546" s="3" t="str">
        <f t="shared" si="115"/>
        <v>ΜΗΛΟΕΙΔΗ</v>
      </c>
    </row>
    <row r="3547" spans="1:12" s="3" customFormat="1" ht="15" customHeight="1" x14ac:dyDescent="0.25">
      <c r="A3547" s="3" t="str">
        <f t="shared" si="114"/>
        <v>ΜΗΛΟΕΙΔΗΑΧΛΑΔΙΑ ΑΧΤΣΕΣ, ΜΥΤΙΛΗΝ.</v>
      </c>
      <c r="B3547" s="4" t="s">
        <v>6594</v>
      </c>
      <c r="C3547" s="5" t="s">
        <v>6609</v>
      </c>
      <c r="D3547" s="6">
        <v>9716.51</v>
      </c>
      <c r="E3547" s="6">
        <v>9529.25</v>
      </c>
      <c r="F3547" s="7" t="s">
        <v>14</v>
      </c>
      <c r="G3547" s="8" t="s">
        <v>6610</v>
      </c>
      <c r="H3547" s="8" t="s">
        <v>16</v>
      </c>
      <c r="I3547" s="9">
        <v>3293</v>
      </c>
      <c r="J3547" s="10">
        <v>67</v>
      </c>
      <c r="K3547" s="10">
        <v>67004</v>
      </c>
      <c r="L3547" s="3" t="str">
        <f t="shared" si="115"/>
        <v>ΜΗΛΟΕΙΔΗ</v>
      </c>
    </row>
    <row r="3548" spans="1:12" s="3" customFormat="1" ht="15" customHeight="1" x14ac:dyDescent="0.25">
      <c r="A3548" s="3" t="str">
        <f t="shared" si="114"/>
        <v>ΜΗΛΟΕΙΔΗΑΧΛΑΔΙΑ ΖΕΝΤΙΛΕ</v>
      </c>
      <c r="B3548" s="4" t="s">
        <v>6594</v>
      </c>
      <c r="C3548" s="5" t="s">
        <v>6611</v>
      </c>
      <c r="D3548" s="6">
        <v>9716.51</v>
      </c>
      <c r="E3548" s="6">
        <v>9529.25</v>
      </c>
      <c r="F3548" s="7" t="s">
        <v>14</v>
      </c>
      <c r="G3548" s="8" t="s">
        <v>6612</v>
      </c>
      <c r="H3548" s="8" t="s">
        <v>16</v>
      </c>
      <c r="I3548" s="9">
        <v>3294</v>
      </c>
      <c r="J3548" s="10">
        <v>67</v>
      </c>
      <c r="K3548" s="10">
        <v>67005</v>
      </c>
      <c r="L3548" s="3" t="str">
        <f t="shared" si="115"/>
        <v>ΜΗΛΟΕΙΔΗ</v>
      </c>
    </row>
    <row r="3549" spans="1:12" s="3" customFormat="1" ht="15" customHeight="1" x14ac:dyDescent="0.25">
      <c r="A3549" s="3" t="str">
        <f t="shared" si="114"/>
        <v>ΜΗΛΟΕΙΔΗΑΧΛΑΔΙΑ ΚΟΣΣΙΑ</v>
      </c>
      <c r="B3549" s="4" t="s">
        <v>6594</v>
      </c>
      <c r="C3549" s="5" t="s">
        <v>6613</v>
      </c>
      <c r="D3549" s="6">
        <v>9716.51</v>
      </c>
      <c r="E3549" s="6">
        <v>9529.25</v>
      </c>
      <c r="F3549" s="7" t="s">
        <v>14</v>
      </c>
      <c r="G3549" s="8" t="s">
        <v>6614</v>
      </c>
      <c r="H3549" s="8" t="s">
        <v>16</v>
      </c>
      <c r="I3549" s="9">
        <v>3295</v>
      </c>
      <c r="J3549" s="10">
        <v>67</v>
      </c>
      <c r="K3549" s="10">
        <v>67006</v>
      </c>
      <c r="L3549" s="3" t="str">
        <f t="shared" si="115"/>
        <v>ΜΗΛΟΕΙΔΗ</v>
      </c>
    </row>
    <row r="3550" spans="1:12" s="3" customFormat="1" ht="15" customHeight="1" x14ac:dyDescent="0.25">
      <c r="A3550" s="3" t="str">
        <f t="shared" si="114"/>
        <v>ΜΗΛΟΕΙΔΗΑΧΛΑΔΙΑ ΝΤ. ΓΚΙΓΙΟ</v>
      </c>
      <c r="B3550" s="4" t="s">
        <v>6594</v>
      </c>
      <c r="C3550" s="5" t="s">
        <v>6615</v>
      </c>
      <c r="D3550" s="6">
        <v>9716.51</v>
      </c>
      <c r="E3550" s="6">
        <v>9529.25</v>
      </c>
      <c r="F3550" s="7" t="s">
        <v>14</v>
      </c>
      <c r="G3550" s="8" t="s">
        <v>6616</v>
      </c>
      <c r="H3550" s="8" t="s">
        <v>16</v>
      </c>
      <c r="I3550" s="9">
        <v>3288</v>
      </c>
      <c r="J3550" s="10">
        <v>67</v>
      </c>
      <c r="K3550" s="10">
        <v>67007</v>
      </c>
      <c r="L3550" s="3" t="str">
        <f t="shared" si="115"/>
        <v>ΜΗΛΟΕΙΔΗ</v>
      </c>
    </row>
    <row r="3551" spans="1:12" s="3" customFormat="1" ht="15" customHeight="1" x14ac:dyDescent="0.25">
      <c r="A3551" s="3" t="str">
        <f t="shared" si="114"/>
        <v>ΜΗΛΟΕΙΔΗΑΧΛΑΔΙΑ ΚΟΝΤΟΥΛΕΣ</v>
      </c>
      <c r="B3551" s="4" t="s">
        <v>6594</v>
      </c>
      <c r="C3551" s="5" t="s">
        <v>6617</v>
      </c>
      <c r="D3551" s="6">
        <v>9716.51</v>
      </c>
      <c r="E3551" s="6">
        <v>9529.25</v>
      </c>
      <c r="F3551" s="7" t="s">
        <v>14</v>
      </c>
      <c r="G3551" s="8" t="s">
        <v>6618</v>
      </c>
      <c r="H3551" s="8" t="s">
        <v>16</v>
      </c>
      <c r="I3551" s="9">
        <v>3332</v>
      </c>
      <c r="J3551" s="10">
        <v>67</v>
      </c>
      <c r="K3551" s="10">
        <v>67008</v>
      </c>
      <c r="L3551" s="3" t="str">
        <f t="shared" si="115"/>
        <v>ΜΗΛΟΕΙΔΗ</v>
      </c>
    </row>
    <row r="3552" spans="1:12" s="3" customFormat="1" ht="15" customHeight="1" x14ac:dyDescent="0.25">
      <c r="A3552" s="3" t="str">
        <f t="shared" si="114"/>
        <v>ΜΗΛΟΕΙΔΗΑΧΛΑΔΙΑ ΜΟΡΕΤΤΙΝΙ</v>
      </c>
      <c r="B3552" s="4" t="s">
        <v>6594</v>
      </c>
      <c r="C3552" s="5" t="s">
        <v>6619</v>
      </c>
      <c r="D3552" s="6">
        <v>9716.51</v>
      </c>
      <c r="E3552" s="6">
        <v>9529.25</v>
      </c>
      <c r="F3552" s="7" t="s">
        <v>14</v>
      </c>
      <c r="G3552" s="8" t="s">
        <v>6620</v>
      </c>
      <c r="H3552" s="8" t="s">
        <v>16</v>
      </c>
      <c r="I3552" s="9">
        <v>3360</v>
      </c>
      <c r="J3552" s="10">
        <v>67</v>
      </c>
      <c r="K3552" s="10">
        <v>67009</v>
      </c>
      <c r="L3552" s="3" t="str">
        <f t="shared" si="115"/>
        <v>ΜΗΛΟΕΙΔΗ</v>
      </c>
    </row>
    <row r="3553" spans="1:12" s="3" customFormat="1" ht="15" customHeight="1" x14ac:dyDescent="0.25">
      <c r="A3553" s="3" t="str">
        <f t="shared" si="114"/>
        <v>ΜΗΛΟΕΙΔΗΑΧΛΑΔΙΑ ΔΟΥΚΕΣΣΑ</v>
      </c>
      <c r="B3553" s="4" t="s">
        <v>6594</v>
      </c>
      <c r="C3553" s="5" t="s">
        <v>6621</v>
      </c>
      <c r="D3553" s="6">
        <v>9716.51</v>
      </c>
      <c r="E3553" s="6">
        <v>9529.25</v>
      </c>
      <c r="F3553" s="7" t="s">
        <v>14</v>
      </c>
      <c r="G3553" s="8" t="s">
        <v>6622</v>
      </c>
      <c r="H3553" s="8" t="s">
        <v>16</v>
      </c>
      <c r="I3553" s="9">
        <v>3361</v>
      </c>
      <c r="J3553" s="10">
        <v>67</v>
      </c>
      <c r="K3553" s="10">
        <v>67010</v>
      </c>
      <c r="L3553" s="3" t="str">
        <f t="shared" si="115"/>
        <v>ΜΗΛΟΕΙΔΗ</v>
      </c>
    </row>
    <row r="3554" spans="1:12" s="3" customFormat="1" ht="15" customHeight="1" x14ac:dyDescent="0.25">
      <c r="A3554" s="3" t="str">
        <f t="shared" si="114"/>
        <v>ΜΗΛΟΕΙΔΗΑΧΛΑΔΙΑ ΣΑΝΤΑ ΜΑΡΙΑ</v>
      </c>
      <c r="B3554" s="4" t="s">
        <v>6594</v>
      </c>
      <c r="C3554" s="5" t="s">
        <v>6623</v>
      </c>
      <c r="D3554" s="6">
        <v>9716.51</v>
      </c>
      <c r="E3554" s="6">
        <v>9529.25</v>
      </c>
      <c r="F3554" s="7" t="s">
        <v>14</v>
      </c>
      <c r="G3554" s="8" t="s">
        <v>6624</v>
      </c>
      <c r="H3554" s="8" t="s">
        <v>16</v>
      </c>
      <c r="I3554" s="9">
        <v>3356</v>
      </c>
      <c r="J3554" s="10">
        <v>67</v>
      </c>
      <c r="K3554" s="10">
        <v>67011</v>
      </c>
      <c r="L3554" s="3" t="str">
        <f t="shared" si="115"/>
        <v>ΜΗΛΟΕΙΔΗ</v>
      </c>
    </row>
    <row r="3555" spans="1:12" s="3" customFormat="1" ht="15" customHeight="1" x14ac:dyDescent="0.25">
      <c r="A3555" s="3" t="str">
        <f t="shared" si="114"/>
        <v>ΜΗΛΟΕΙΔΗΑΧΛΑΔΙΑ ΟΥΪΛΛΙΑΜΣ</v>
      </c>
      <c r="B3555" s="4" t="s">
        <v>6594</v>
      </c>
      <c r="C3555" s="5" t="s">
        <v>6625</v>
      </c>
      <c r="D3555" s="6">
        <v>9716.51</v>
      </c>
      <c r="E3555" s="6">
        <v>9529.25</v>
      </c>
      <c r="F3555" s="7" t="s">
        <v>14</v>
      </c>
      <c r="G3555" s="8" t="s">
        <v>6626</v>
      </c>
      <c r="H3555" s="8" t="s">
        <v>16</v>
      </c>
      <c r="I3555" s="9">
        <v>3355</v>
      </c>
      <c r="J3555" s="10">
        <v>67</v>
      </c>
      <c r="K3555" s="10">
        <v>67012</v>
      </c>
      <c r="L3555" s="3" t="str">
        <f t="shared" si="115"/>
        <v>ΜΗΛΟΕΙΔΗ</v>
      </c>
    </row>
    <row r="3556" spans="1:12" s="3" customFormat="1" ht="15" customHeight="1" x14ac:dyDescent="0.25">
      <c r="A3556" s="3" t="str">
        <f t="shared" si="114"/>
        <v>ΜΗΛΟΕΙΔΗΑΧΛΑΔΙΑ ΚΟΚΚΙΝ. ΟΥΪΛΛΙΑΜΣ</v>
      </c>
      <c r="B3556" s="4" t="s">
        <v>6594</v>
      </c>
      <c r="C3556" s="5" t="s">
        <v>6627</v>
      </c>
      <c r="D3556" s="6">
        <v>9716.51</v>
      </c>
      <c r="E3556" s="6">
        <v>9529.25</v>
      </c>
      <c r="F3556" s="7" t="s">
        <v>14</v>
      </c>
      <c r="G3556" s="8" t="s">
        <v>6628</v>
      </c>
      <c r="H3556" s="8" t="s">
        <v>16</v>
      </c>
      <c r="I3556" s="9">
        <v>3354</v>
      </c>
      <c r="J3556" s="10">
        <v>67</v>
      </c>
      <c r="K3556" s="10">
        <v>67013</v>
      </c>
      <c r="L3556" s="3" t="str">
        <f t="shared" si="115"/>
        <v>ΜΗΛΟΕΙΔΗ</v>
      </c>
    </row>
    <row r="3557" spans="1:12" s="3" customFormat="1" ht="15" customHeight="1" x14ac:dyDescent="0.25">
      <c r="A3557" s="3" t="str">
        <f t="shared" si="114"/>
        <v>ΜΗΛΟΕΙΔΗΑΧΛΑΔΙΑ ΚΡΥΣΤΑΛΛΙ</v>
      </c>
      <c r="B3557" s="4" t="s">
        <v>6594</v>
      </c>
      <c r="C3557" s="5" t="s">
        <v>6629</v>
      </c>
      <c r="D3557" s="6">
        <v>9716.51</v>
      </c>
      <c r="E3557" s="6">
        <v>9529.25</v>
      </c>
      <c r="F3557" s="7" t="s">
        <v>14</v>
      </c>
      <c r="G3557" s="8" t="s">
        <v>6630</v>
      </c>
      <c r="H3557" s="8" t="s">
        <v>16</v>
      </c>
      <c r="I3557" s="9">
        <v>3368</v>
      </c>
      <c r="J3557" s="10">
        <v>67</v>
      </c>
      <c r="K3557" s="10">
        <v>67014</v>
      </c>
      <c r="L3557" s="3" t="str">
        <f t="shared" si="115"/>
        <v>ΜΗΛΟΕΙΔΗ</v>
      </c>
    </row>
    <row r="3558" spans="1:12" s="3" customFormat="1" ht="15" customHeight="1" x14ac:dyDescent="0.25">
      <c r="A3558" s="3" t="str">
        <f t="shared" si="114"/>
        <v>ΜΗΛΟΕΙΔΗΑΧΛΑΔΙΑ ΜΠΕΡ ΑΡΝΤΥ</v>
      </c>
      <c r="B3558" s="4" t="s">
        <v>6594</v>
      </c>
      <c r="C3558" s="5" t="s">
        <v>6631</v>
      </c>
      <c r="D3558" s="6">
        <v>9716.51</v>
      </c>
      <c r="E3558" s="6">
        <v>9529.25</v>
      </c>
      <c r="F3558" s="7" t="s">
        <v>14</v>
      </c>
      <c r="G3558" s="8" t="s">
        <v>6632</v>
      </c>
      <c r="H3558" s="8" t="s">
        <v>16</v>
      </c>
      <c r="I3558" s="9">
        <v>3353</v>
      </c>
      <c r="J3558" s="10">
        <v>67</v>
      </c>
      <c r="K3558" s="10">
        <v>67015</v>
      </c>
      <c r="L3558" s="3" t="str">
        <f t="shared" si="115"/>
        <v>ΜΗΛΟΕΙΔΗ</v>
      </c>
    </row>
    <row r="3559" spans="1:12" s="3" customFormat="1" ht="15" customHeight="1" x14ac:dyDescent="0.25">
      <c r="A3559" s="3" t="str">
        <f t="shared" si="114"/>
        <v>ΜΗΛΟΕΙΔΗΑΧΛΑΔΙΑ ΚΑΪΖΕΡ</v>
      </c>
      <c r="B3559" s="4" t="s">
        <v>6594</v>
      </c>
      <c r="C3559" s="5" t="s">
        <v>6633</v>
      </c>
      <c r="D3559" s="6">
        <v>9716.51</v>
      </c>
      <c r="E3559" s="6">
        <v>9529.25</v>
      </c>
      <c r="F3559" s="7" t="s">
        <v>14</v>
      </c>
      <c r="G3559" s="8" t="s">
        <v>6634</v>
      </c>
      <c r="H3559" s="8" t="s">
        <v>16</v>
      </c>
      <c r="I3559" s="9">
        <v>3352</v>
      </c>
      <c r="J3559" s="10">
        <v>67</v>
      </c>
      <c r="K3559" s="10">
        <v>67016</v>
      </c>
      <c r="L3559" s="3" t="str">
        <f t="shared" si="115"/>
        <v>ΜΗΛΟΕΙΔΗ</v>
      </c>
    </row>
    <row r="3560" spans="1:12" s="3" customFormat="1" ht="15" customHeight="1" x14ac:dyDescent="0.25">
      <c r="A3560" s="3" t="str">
        <f t="shared" si="114"/>
        <v>ΜΗΛΟΕΙΔΗΑΧΛΑΔΙΑ ΚΙΟΥΡΕ, ΚΑΜΠΑΝΕΣ</v>
      </c>
      <c r="B3560" s="4" t="s">
        <v>6594</v>
      </c>
      <c r="C3560" s="5" t="s">
        <v>6635</v>
      </c>
      <c r="D3560" s="6">
        <v>9716.51</v>
      </c>
      <c r="E3560" s="6">
        <v>9529.25</v>
      </c>
      <c r="F3560" s="7" t="s">
        <v>14</v>
      </c>
      <c r="G3560" s="8" t="s">
        <v>6636</v>
      </c>
      <c r="H3560" s="8" t="s">
        <v>16</v>
      </c>
      <c r="I3560" s="9">
        <v>3340</v>
      </c>
      <c r="J3560" s="10">
        <v>67</v>
      </c>
      <c r="K3560" s="10">
        <v>67017</v>
      </c>
      <c r="L3560" s="3" t="str">
        <f t="shared" si="115"/>
        <v>ΜΗΛΟΕΙΔΗ</v>
      </c>
    </row>
    <row r="3561" spans="1:12" s="3" customFormat="1" ht="15" customHeight="1" x14ac:dyDescent="0.25">
      <c r="A3561" s="3" t="str">
        <f t="shared" si="114"/>
        <v>ΜΗΛΟΕΙΔΗΑΧΛΑΔΙΑ ΑΜΠΑΤ ΦΕΤΕΛ</v>
      </c>
      <c r="B3561" s="4" t="s">
        <v>6594</v>
      </c>
      <c r="C3561" s="5" t="s">
        <v>6637</v>
      </c>
      <c r="D3561" s="6">
        <v>9716.51</v>
      </c>
      <c r="E3561" s="6">
        <v>9529.25</v>
      </c>
      <c r="F3561" s="7" t="s">
        <v>14</v>
      </c>
      <c r="G3561" s="8" t="s">
        <v>6638</v>
      </c>
      <c r="H3561" s="8" t="s">
        <v>16</v>
      </c>
      <c r="I3561" s="9">
        <v>3351</v>
      </c>
      <c r="J3561" s="10">
        <v>67</v>
      </c>
      <c r="K3561" s="10">
        <v>67018</v>
      </c>
      <c r="L3561" s="3" t="str">
        <f t="shared" si="115"/>
        <v>ΜΗΛΟΕΙΔΗ</v>
      </c>
    </row>
    <row r="3562" spans="1:12" s="3" customFormat="1" ht="15" customHeight="1" x14ac:dyDescent="0.25">
      <c r="A3562" s="3" t="str">
        <f t="shared" si="114"/>
        <v>ΜΗΛΟΕΙΔΗΑΧΛΑΔΙΑ ΝΤΕΚΑΝΑ ΝΤΕ ΚΟΜΙΣΙΟ</v>
      </c>
      <c r="B3562" s="4" t="s">
        <v>6594</v>
      </c>
      <c r="C3562" s="5" t="s">
        <v>6639</v>
      </c>
      <c r="D3562" s="6">
        <v>9716.51</v>
      </c>
      <c r="E3562" s="6">
        <v>9529.25</v>
      </c>
      <c r="F3562" s="7" t="s">
        <v>14</v>
      </c>
      <c r="G3562" s="8" t="s">
        <v>6640</v>
      </c>
      <c r="H3562" s="8" t="s">
        <v>16</v>
      </c>
      <c r="I3562" s="9">
        <v>3362</v>
      </c>
      <c r="J3562" s="10">
        <v>67</v>
      </c>
      <c r="K3562" s="10">
        <v>67019</v>
      </c>
      <c r="L3562" s="3" t="str">
        <f t="shared" si="115"/>
        <v>ΜΗΛΟΕΙΔΗ</v>
      </c>
    </row>
    <row r="3563" spans="1:12" s="3" customFormat="1" ht="15" customHeight="1" x14ac:dyDescent="0.25">
      <c r="A3563" s="3" t="str">
        <f t="shared" si="114"/>
        <v>ΜΗΛΟΕΙΔΗΑΧΛΑΔΙΑ ΠΑΣΣΑ ΚΡΑΣΣΑΝΑ</v>
      </c>
      <c r="B3563" s="4" t="s">
        <v>6594</v>
      </c>
      <c r="C3563" s="5" t="s">
        <v>6641</v>
      </c>
      <c r="D3563" s="6">
        <v>9716.51</v>
      </c>
      <c r="E3563" s="6">
        <v>9529.25</v>
      </c>
      <c r="F3563" s="7" t="s">
        <v>14</v>
      </c>
      <c r="G3563" s="8" t="s">
        <v>6642</v>
      </c>
      <c r="H3563" s="8" t="s">
        <v>16</v>
      </c>
      <c r="I3563" s="9">
        <v>3349</v>
      </c>
      <c r="J3563" s="10">
        <v>67</v>
      </c>
      <c r="K3563" s="10">
        <v>67020</v>
      </c>
      <c r="L3563" s="3" t="str">
        <f t="shared" si="115"/>
        <v>ΜΗΛΟΕΙΔΗ</v>
      </c>
    </row>
    <row r="3564" spans="1:12" s="3" customFormat="1" ht="15" customHeight="1" x14ac:dyDescent="0.25">
      <c r="A3564" s="3" t="str">
        <f t="shared" si="114"/>
        <v>ΜΗΛΟΕΙΔΗΑΧΛΑΔΙΑ ΓΚΡΑΝΤ ΤΣΑΜΠΙΟΝ</v>
      </c>
      <c r="B3564" s="4" t="s">
        <v>6594</v>
      </c>
      <c r="C3564" s="5" t="s">
        <v>6643</v>
      </c>
      <c r="D3564" s="6">
        <v>9716.51</v>
      </c>
      <c r="E3564" s="6">
        <v>9529.25</v>
      </c>
      <c r="F3564" s="7" t="s">
        <v>14</v>
      </c>
      <c r="G3564" s="8" t="s">
        <v>6644</v>
      </c>
      <c r="H3564" s="8" t="s">
        <v>16</v>
      </c>
      <c r="I3564" s="9">
        <v>3330</v>
      </c>
      <c r="J3564" s="10">
        <v>67</v>
      </c>
      <c r="K3564" s="10">
        <v>67021</v>
      </c>
      <c r="L3564" s="3" t="str">
        <f t="shared" si="115"/>
        <v>ΜΗΛΟΕΙΔΗ</v>
      </c>
    </row>
    <row r="3565" spans="1:12" s="3" customFormat="1" ht="15" customHeight="1" x14ac:dyDescent="0.25">
      <c r="A3565" s="3" t="str">
        <f t="shared" si="114"/>
        <v>ΜΗΛΟΕΙΔΗΑΧΛΑΔΙΑ ΚΟΝΦΕΡΕΝΣ</v>
      </c>
      <c r="B3565" s="4" t="s">
        <v>6594</v>
      </c>
      <c r="C3565" s="5" t="s">
        <v>6645</v>
      </c>
      <c r="D3565" s="6">
        <v>9716.51</v>
      </c>
      <c r="E3565" s="6">
        <v>9529.25</v>
      </c>
      <c r="F3565" s="7" t="s">
        <v>14</v>
      </c>
      <c r="G3565" s="8" t="s">
        <v>6646</v>
      </c>
      <c r="H3565" s="8" t="s">
        <v>16</v>
      </c>
      <c r="I3565" s="9">
        <v>3347</v>
      </c>
      <c r="J3565" s="10">
        <v>67</v>
      </c>
      <c r="K3565" s="10">
        <v>67022</v>
      </c>
      <c r="L3565" s="3" t="str">
        <f t="shared" si="115"/>
        <v>ΜΗΛΟΕΙΔΗ</v>
      </c>
    </row>
    <row r="3566" spans="1:12" s="3" customFormat="1" ht="15" customHeight="1" x14ac:dyDescent="0.25">
      <c r="A3566" s="3" t="str">
        <f t="shared" si="114"/>
        <v>ΜΗΛΟΕΙΔΗΑΧΛΑΔΙΑ ΧΑΪΛΑΝΤ</v>
      </c>
      <c r="B3566" s="4" t="s">
        <v>6594</v>
      </c>
      <c r="C3566" s="5" t="s">
        <v>6647</v>
      </c>
      <c r="D3566" s="6">
        <v>9716.51</v>
      </c>
      <c r="E3566" s="6">
        <v>9529.25</v>
      </c>
      <c r="F3566" s="7" t="s">
        <v>14</v>
      </c>
      <c r="G3566" s="8" t="s">
        <v>6648</v>
      </c>
      <c r="H3566" s="8" t="s">
        <v>16</v>
      </c>
      <c r="I3566" s="9">
        <v>3296</v>
      </c>
      <c r="J3566" s="10">
        <v>67</v>
      </c>
      <c r="K3566" s="10">
        <v>67023</v>
      </c>
      <c r="L3566" s="3" t="str">
        <f t="shared" si="115"/>
        <v>ΜΗΛΟΕΙΔΗ</v>
      </c>
    </row>
    <row r="3567" spans="1:12" s="3" customFormat="1" ht="15" customHeight="1" x14ac:dyDescent="0.25">
      <c r="A3567" s="3" t="str">
        <f t="shared" si="114"/>
        <v>ΜΗΛΟΕΙΔΗΑΧΛΑΔΙΑ ΤΖΕΝΕΡΑΛ ΛΕΚΛΕΡΚ</v>
      </c>
      <c r="B3567" s="4" t="s">
        <v>6594</v>
      </c>
      <c r="C3567" s="5" t="s">
        <v>6649</v>
      </c>
      <c r="D3567" s="6">
        <v>9716.51</v>
      </c>
      <c r="E3567" s="6">
        <v>9529.25</v>
      </c>
      <c r="F3567" s="7" t="s">
        <v>14</v>
      </c>
      <c r="G3567" s="8" t="s">
        <v>6650</v>
      </c>
      <c r="H3567" s="8" t="s">
        <v>16</v>
      </c>
      <c r="I3567" s="9">
        <v>3346</v>
      </c>
      <c r="J3567" s="10">
        <v>67</v>
      </c>
      <c r="K3567" s="10">
        <v>67024</v>
      </c>
      <c r="L3567" s="3" t="str">
        <f t="shared" si="115"/>
        <v>ΜΗΛΟΕΙΔΗ</v>
      </c>
    </row>
    <row r="3568" spans="1:12" s="3" customFormat="1" ht="15" customHeight="1" x14ac:dyDescent="0.25">
      <c r="A3568" s="3" t="str">
        <f t="shared" si="114"/>
        <v>ΜΗΛΟΕΙΔΗΑΧΛΑΔΙΑ ΣΕΡΠΟΥ</v>
      </c>
      <c r="B3568" s="4" t="s">
        <v>6594</v>
      </c>
      <c r="C3568" s="5" t="s">
        <v>6651</v>
      </c>
      <c r="D3568" s="6">
        <v>9716.51</v>
      </c>
      <c r="E3568" s="6">
        <v>9529.25</v>
      </c>
      <c r="F3568" s="7" t="s">
        <v>14</v>
      </c>
      <c r="G3568" s="8" t="s">
        <v>6652</v>
      </c>
      <c r="H3568" s="8" t="s">
        <v>16</v>
      </c>
      <c r="I3568" s="9">
        <v>3345</v>
      </c>
      <c r="J3568" s="10">
        <v>67</v>
      </c>
      <c r="K3568" s="10">
        <v>67025</v>
      </c>
      <c r="L3568" s="3" t="str">
        <f t="shared" si="115"/>
        <v>ΜΗΛΟΕΙΔΗ</v>
      </c>
    </row>
    <row r="3569" spans="1:12" s="3" customFormat="1" ht="15" customHeight="1" x14ac:dyDescent="0.25">
      <c r="A3569" s="3" t="str">
        <f t="shared" si="114"/>
        <v>ΜΗΛΟΕΙΔΗΑΧΛΑΔΙΑ ΔΙΑΦ. ΕΓΧΩΡ. ΛΟΙΠ. ΠΟΙΚΙΛ.</v>
      </c>
      <c r="B3569" s="4" t="s">
        <v>6594</v>
      </c>
      <c r="C3569" s="5" t="s">
        <v>6653</v>
      </c>
      <c r="D3569" s="6">
        <v>9716.51</v>
      </c>
      <c r="E3569" s="6">
        <v>9529.25</v>
      </c>
      <c r="F3569" s="7" t="s">
        <v>14</v>
      </c>
      <c r="G3569" s="8" t="s">
        <v>6654</v>
      </c>
      <c r="H3569" s="8" t="s">
        <v>16</v>
      </c>
      <c r="I3569" s="9">
        <v>3344</v>
      </c>
      <c r="J3569" s="10">
        <v>67</v>
      </c>
      <c r="K3569" s="10">
        <v>67026</v>
      </c>
      <c r="L3569" s="3" t="str">
        <f t="shared" si="115"/>
        <v>ΜΗΛΟΕΙΔΗ</v>
      </c>
    </row>
    <row r="3570" spans="1:12" s="3" customFormat="1" ht="15" customHeight="1" x14ac:dyDescent="0.25">
      <c r="A3570" s="3" t="str">
        <f t="shared" si="114"/>
        <v>ΜΗΛΟΕΙΔΗΑΧΛΑΔΙΑ ΔΙΑΣΤΑΥΡ. ΚΟΝΤΟΥΛΑΣ</v>
      </c>
      <c r="B3570" s="4" t="s">
        <v>6594</v>
      </c>
      <c r="C3570" s="5" t="s">
        <v>6655</v>
      </c>
      <c r="D3570" s="6">
        <v>9716.51</v>
      </c>
      <c r="E3570" s="6">
        <v>9529.25</v>
      </c>
      <c r="F3570" s="7" t="s">
        <v>14</v>
      </c>
      <c r="G3570" s="8" t="s">
        <v>6656</v>
      </c>
      <c r="H3570" s="8" t="s">
        <v>16</v>
      </c>
      <c r="I3570" s="9">
        <v>3343</v>
      </c>
      <c r="J3570" s="10">
        <v>67</v>
      </c>
      <c r="K3570" s="10">
        <v>67027</v>
      </c>
      <c r="L3570" s="3" t="str">
        <f t="shared" si="115"/>
        <v>ΜΗΛΟΕΙΔΗ</v>
      </c>
    </row>
    <row r="3571" spans="1:12" s="3" customFormat="1" ht="15" customHeight="1" x14ac:dyDescent="0.25">
      <c r="A3571" s="3" t="str">
        <f t="shared" si="114"/>
        <v>ΜΗΛΟΕΙΔΗΑΧΛΑΔΙΑ ΝΤΕΒΟΪ</v>
      </c>
      <c r="B3571" s="4" t="s">
        <v>6594</v>
      </c>
      <c r="C3571" s="5" t="s">
        <v>6657</v>
      </c>
      <c r="D3571" s="6">
        <v>9716.51</v>
      </c>
      <c r="E3571" s="6">
        <v>9529.25</v>
      </c>
      <c r="F3571" s="7" t="s">
        <v>14</v>
      </c>
      <c r="G3571" s="8" t="s">
        <v>6658</v>
      </c>
      <c r="H3571" s="8" t="s">
        <v>16</v>
      </c>
      <c r="I3571" s="9">
        <v>3342</v>
      </c>
      <c r="J3571" s="10">
        <v>67</v>
      </c>
      <c r="K3571" s="10">
        <v>67028</v>
      </c>
      <c r="L3571" s="3" t="str">
        <f t="shared" si="115"/>
        <v>ΜΗΛΟΕΙΔΗ</v>
      </c>
    </row>
    <row r="3572" spans="1:12" s="3" customFormat="1" ht="15" customHeight="1" x14ac:dyDescent="0.25">
      <c r="A3572" s="3" t="str">
        <f t="shared" si="114"/>
        <v>ΜΗΛΟΕΙΔΗΑΧΛΑΔΙΑ ΝΑΣΙ</v>
      </c>
      <c r="B3572" s="4" t="s">
        <v>6594</v>
      </c>
      <c r="C3572" s="5" t="s">
        <v>6659</v>
      </c>
      <c r="D3572" s="6">
        <v>9716.51</v>
      </c>
      <c r="E3572" s="6">
        <v>9529.25</v>
      </c>
      <c r="F3572" s="7" t="s">
        <v>14</v>
      </c>
      <c r="G3572" s="8" t="s">
        <v>6660</v>
      </c>
      <c r="H3572" s="8" t="s">
        <v>16</v>
      </c>
      <c r="I3572" s="9">
        <v>3341</v>
      </c>
      <c r="J3572" s="10">
        <v>67</v>
      </c>
      <c r="K3572" s="10">
        <v>67029</v>
      </c>
      <c r="L3572" s="3" t="str">
        <f t="shared" si="115"/>
        <v>ΜΗΛΟΕΙΔΗ</v>
      </c>
    </row>
    <row r="3573" spans="1:12" s="3" customFormat="1" ht="15" customHeight="1" x14ac:dyDescent="0.25">
      <c r="A3573" s="3" t="str">
        <f t="shared" si="114"/>
        <v>ΜΗΛΟΕΙΔΗΑΧΛΑΔΙΑ ΚΙΦΙΡ</v>
      </c>
      <c r="B3573" s="4" t="s">
        <v>6594</v>
      </c>
      <c r="C3573" s="5" t="s">
        <v>6661</v>
      </c>
      <c r="D3573" s="6">
        <v>9716.51</v>
      </c>
      <c r="E3573" s="6">
        <v>9529.25</v>
      </c>
      <c r="F3573" s="7" t="s">
        <v>14</v>
      </c>
      <c r="G3573" s="8" t="s">
        <v>6662</v>
      </c>
      <c r="H3573" s="8" t="s">
        <v>16</v>
      </c>
      <c r="I3573" s="9">
        <v>3350</v>
      </c>
      <c r="J3573" s="10">
        <v>67</v>
      </c>
      <c r="K3573" s="10">
        <v>67030</v>
      </c>
      <c r="L3573" s="3" t="str">
        <f t="shared" si="115"/>
        <v>ΜΗΛΟΕΙΔΗ</v>
      </c>
    </row>
    <row r="3574" spans="1:12" s="3" customFormat="1" ht="15" customHeight="1" x14ac:dyDescent="0.25">
      <c r="A3574" s="3" t="str">
        <f t="shared" si="114"/>
        <v>ΜΗΛΟΕΙΔΗΑΧΛΑΔΙΑ ΕΤΡΟΥΣΚΑ</v>
      </c>
      <c r="B3574" s="4" t="s">
        <v>6594</v>
      </c>
      <c r="C3574" s="5" t="s">
        <v>6663</v>
      </c>
      <c r="D3574" s="6">
        <v>9716.51</v>
      </c>
      <c r="E3574" s="6">
        <v>9529.25</v>
      </c>
      <c r="F3574" s="7" t="s">
        <v>14</v>
      </c>
      <c r="G3574" s="8" t="s">
        <v>6664</v>
      </c>
      <c r="H3574" s="8" t="s">
        <v>16</v>
      </c>
      <c r="I3574" s="9">
        <v>3372</v>
      </c>
      <c r="J3574" s="10">
        <v>67</v>
      </c>
      <c r="K3574" s="10">
        <v>67031</v>
      </c>
      <c r="L3574" s="3" t="str">
        <f t="shared" si="115"/>
        <v>ΜΗΛΟΕΙΔΗ</v>
      </c>
    </row>
    <row r="3575" spans="1:12" s="3" customFormat="1" ht="15" customHeight="1" x14ac:dyDescent="0.25">
      <c r="A3575" s="3" t="str">
        <f t="shared" si="114"/>
        <v>ΜΗΛΟΕΙΔΗΑΧΛΑΔ. ΧΑΡΟΛΝΤ ΣΟΥΪΦΤ</v>
      </c>
      <c r="B3575" s="4" t="s">
        <v>6594</v>
      </c>
      <c r="C3575" s="5" t="s">
        <v>6665</v>
      </c>
      <c r="D3575" s="6">
        <v>9716.51</v>
      </c>
      <c r="E3575" s="6">
        <v>9529.25</v>
      </c>
      <c r="F3575" s="7" t="s">
        <v>14</v>
      </c>
      <c r="G3575" s="8" t="s">
        <v>6666</v>
      </c>
      <c r="H3575" s="8" t="s">
        <v>16</v>
      </c>
      <c r="I3575" s="9">
        <v>3383</v>
      </c>
      <c r="J3575" s="10">
        <v>67</v>
      </c>
      <c r="K3575" s="10">
        <v>67032</v>
      </c>
      <c r="L3575" s="3" t="str">
        <f t="shared" si="115"/>
        <v>ΜΗΛΟΕΙΔΗ</v>
      </c>
    </row>
    <row r="3576" spans="1:12" s="3" customFormat="1" ht="15" customHeight="1" x14ac:dyDescent="0.25">
      <c r="A3576" s="3" t="str">
        <f t="shared" si="114"/>
        <v>ΜΗΛΟΕΙΔΗΑΧΛΑΔΙΑ ΤΟΣΚΑ</v>
      </c>
      <c r="B3576" s="4" t="s">
        <v>6594</v>
      </c>
      <c r="C3576" s="5" t="s">
        <v>6667</v>
      </c>
      <c r="D3576" s="6">
        <v>9716.51</v>
      </c>
      <c r="E3576" s="6">
        <v>9529.25</v>
      </c>
      <c r="F3576" s="7" t="s">
        <v>14</v>
      </c>
      <c r="G3576" s="8" t="s">
        <v>6668</v>
      </c>
      <c r="H3576" s="8" t="s">
        <v>16</v>
      </c>
      <c r="I3576" s="9">
        <v>3382</v>
      </c>
      <c r="J3576" s="10">
        <v>67</v>
      </c>
      <c r="K3576" s="10">
        <v>67033</v>
      </c>
      <c r="L3576" s="3" t="str">
        <f t="shared" si="115"/>
        <v>ΜΗΛΟΕΙΔΗ</v>
      </c>
    </row>
    <row r="3577" spans="1:12" s="3" customFormat="1" ht="15" customHeight="1" x14ac:dyDescent="0.25">
      <c r="A3577" s="3" t="str">
        <f t="shared" si="114"/>
        <v>ΜΗΛΟΕΙΔΗΑΧΛΑΔΙΑ ΠΑΚΑΜΣ</v>
      </c>
      <c r="B3577" s="4" t="s">
        <v>6594</v>
      </c>
      <c r="C3577" s="5" t="s">
        <v>6669</v>
      </c>
      <c r="D3577" s="6">
        <v>9716.51</v>
      </c>
      <c r="E3577" s="6">
        <v>9529.25</v>
      </c>
      <c r="F3577" s="7" t="s">
        <v>14</v>
      </c>
      <c r="G3577" s="8" t="s">
        <v>6670</v>
      </c>
      <c r="H3577" s="8" t="s">
        <v>16</v>
      </c>
      <c r="I3577" s="9">
        <v>3381</v>
      </c>
      <c r="J3577" s="10">
        <v>67</v>
      </c>
      <c r="K3577" s="10">
        <v>67034</v>
      </c>
      <c r="L3577" s="3" t="str">
        <f t="shared" si="115"/>
        <v>ΜΗΛΟΕΙΔΗ</v>
      </c>
    </row>
    <row r="3578" spans="1:12" s="3" customFormat="1" ht="15" customHeight="1" x14ac:dyDescent="0.25">
      <c r="A3578" s="3" t="str">
        <f t="shared" si="114"/>
        <v>ΜΗΛΟΕΙΔΗΑΧΛΑΔΙΑ ΝΤΕΒΕΣΙ (DEVECI)</v>
      </c>
      <c r="B3578" s="4" t="s">
        <v>6594</v>
      </c>
      <c r="C3578" s="5" t="s">
        <v>6671</v>
      </c>
      <c r="D3578" s="6">
        <v>9716.51</v>
      </c>
      <c r="E3578" s="6">
        <v>9529.25</v>
      </c>
      <c r="F3578" s="7" t="s">
        <v>14</v>
      </c>
      <c r="G3578" s="8" t="s">
        <v>6672</v>
      </c>
      <c r="H3578" s="8" t="s">
        <v>16</v>
      </c>
      <c r="I3578" s="9">
        <v>3380</v>
      </c>
      <c r="J3578" s="10">
        <v>67</v>
      </c>
      <c r="K3578" s="10">
        <v>67035</v>
      </c>
      <c r="L3578" s="3" t="str">
        <f t="shared" si="115"/>
        <v>ΜΗΛΟΕΙΔΗ</v>
      </c>
    </row>
    <row r="3579" spans="1:12" s="3" customFormat="1" ht="15" customHeight="1" x14ac:dyDescent="0.25">
      <c r="A3579" s="3" t="str">
        <f t="shared" si="114"/>
        <v>ΜΗΛΟΕΙΔΗΜΗΛΑ ΣΑΜΕΡ ΡΕΝΤ</v>
      </c>
      <c r="B3579" s="4" t="s">
        <v>6594</v>
      </c>
      <c r="C3579" s="5" t="s">
        <v>6673</v>
      </c>
      <c r="D3579" s="6">
        <v>9716.51</v>
      </c>
      <c r="E3579" s="6">
        <v>9529.25</v>
      </c>
      <c r="F3579" s="7" t="s">
        <v>14</v>
      </c>
      <c r="G3579" s="8" t="s">
        <v>6674</v>
      </c>
      <c r="H3579" s="8" t="s">
        <v>16</v>
      </c>
      <c r="I3579" s="9">
        <v>3379</v>
      </c>
      <c r="J3579" s="10">
        <v>67</v>
      </c>
      <c r="K3579" s="10">
        <v>67036</v>
      </c>
      <c r="L3579" s="3" t="str">
        <f t="shared" si="115"/>
        <v>ΜΗΛΟΕΙΔΗ</v>
      </c>
    </row>
    <row r="3580" spans="1:12" s="3" customFormat="1" ht="15" customHeight="1" x14ac:dyDescent="0.25">
      <c r="A3580" s="3" t="str">
        <f t="shared" si="114"/>
        <v>ΜΗΛΟΕΙΔΗΜΗΛΑ ΤΖΕΡΣΕΫ ΜΑΚ</v>
      </c>
      <c r="B3580" s="4" t="s">
        <v>6594</v>
      </c>
      <c r="C3580" s="5" t="s">
        <v>6675</v>
      </c>
      <c r="D3580" s="6">
        <v>9716.51</v>
      </c>
      <c r="E3580" s="6">
        <v>9529.25</v>
      </c>
      <c r="F3580" s="7" t="s">
        <v>14</v>
      </c>
      <c r="G3580" s="8" t="s">
        <v>6676</v>
      </c>
      <c r="H3580" s="8" t="s">
        <v>16</v>
      </c>
      <c r="I3580" s="9">
        <v>3378</v>
      </c>
      <c r="J3580" s="10">
        <v>67</v>
      </c>
      <c r="K3580" s="10">
        <v>67037</v>
      </c>
      <c r="L3580" s="3" t="str">
        <f t="shared" si="115"/>
        <v>ΜΗΛΟΕΙΔΗ</v>
      </c>
    </row>
    <row r="3581" spans="1:12" s="3" customFormat="1" ht="15" customHeight="1" x14ac:dyDescent="0.25">
      <c r="A3581" s="3" t="str">
        <f t="shared" si="114"/>
        <v>ΜΗΛΟΕΙΔΗΜΗΛΑ ΝΤΕΛΙΣΙΟΥΣ</v>
      </c>
      <c r="B3581" s="18" t="s">
        <v>6594</v>
      </c>
      <c r="C3581" s="19" t="s">
        <v>6677</v>
      </c>
      <c r="D3581" s="6">
        <v>9716.51</v>
      </c>
      <c r="E3581" s="6">
        <v>9529.25</v>
      </c>
      <c r="F3581" s="6" t="s">
        <v>14</v>
      </c>
      <c r="G3581" s="8" t="s">
        <v>6678</v>
      </c>
      <c r="H3581" s="8" t="s">
        <v>27</v>
      </c>
      <c r="I3581" s="9">
        <v>4069</v>
      </c>
      <c r="J3581" s="20">
        <v>67</v>
      </c>
      <c r="K3581" s="20">
        <v>67038</v>
      </c>
      <c r="L3581" s="3" t="str">
        <f t="shared" si="115"/>
        <v>ΜΗΛΟΕΙΔΗ</v>
      </c>
    </row>
    <row r="3582" spans="1:12" s="3" customFormat="1" ht="15" customHeight="1" x14ac:dyDescent="0.25">
      <c r="A3582" s="3" t="str">
        <f t="shared" si="114"/>
        <v>ΜΗΛΟΕΙΔΗΜΗΛΑ ΣΤΑΡΚΙΝΓΚ ΝΤΕΛΙΣΙΟΥΣ</v>
      </c>
      <c r="B3582" s="4" t="s">
        <v>6594</v>
      </c>
      <c r="C3582" s="5" t="s">
        <v>6679</v>
      </c>
      <c r="D3582" s="6">
        <v>9716.51</v>
      </c>
      <c r="E3582" s="6">
        <v>9529.25</v>
      </c>
      <c r="F3582" s="7" t="s">
        <v>14</v>
      </c>
      <c r="G3582" s="8" t="s">
        <v>6680</v>
      </c>
      <c r="H3582" s="8" t="s">
        <v>16</v>
      </c>
      <c r="I3582" s="9">
        <v>3377</v>
      </c>
      <c r="J3582" s="10">
        <v>67</v>
      </c>
      <c r="K3582" s="10">
        <v>67039</v>
      </c>
      <c r="L3582" s="3" t="str">
        <f t="shared" si="115"/>
        <v>ΜΗΛΟΕΙΔΗ</v>
      </c>
    </row>
    <row r="3583" spans="1:12" s="3" customFormat="1" ht="15" customHeight="1" x14ac:dyDescent="0.25">
      <c r="A3583" s="3" t="str">
        <f t="shared" si="114"/>
        <v>ΜΗΛΟΕΙΔΗΜΗΛΑ ΙΜΠΕΡΙΑΛ</v>
      </c>
      <c r="B3583" s="18" t="s">
        <v>6594</v>
      </c>
      <c r="C3583" s="19" t="s">
        <v>6681</v>
      </c>
      <c r="D3583" s="6">
        <v>9716.51</v>
      </c>
      <c r="E3583" s="6">
        <v>9529.25</v>
      </c>
      <c r="F3583" s="6" t="s">
        <v>14</v>
      </c>
      <c r="G3583" s="8" t="s">
        <v>6682</v>
      </c>
      <c r="H3583" s="8" t="s">
        <v>27</v>
      </c>
      <c r="I3583" s="9">
        <v>4070</v>
      </c>
      <c r="J3583" s="20">
        <v>67</v>
      </c>
      <c r="K3583" s="20">
        <v>67040</v>
      </c>
      <c r="L3583" s="3" t="str">
        <f t="shared" si="115"/>
        <v>ΜΗΛΟΕΙΔΗ</v>
      </c>
    </row>
    <row r="3584" spans="1:12" s="3" customFormat="1" ht="15" customHeight="1" x14ac:dyDescent="0.25">
      <c r="A3584" s="3" t="str">
        <f t="shared" si="114"/>
        <v>ΜΗΛΟΕΙΔΗΜΗΛΑ ΡΟΥΑΓΙΑΛ ΝΤΕΛΙΣΙΟΥΣ</v>
      </c>
      <c r="B3584" s="18" t="s">
        <v>6594</v>
      </c>
      <c r="C3584" s="19" t="s">
        <v>6683</v>
      </c>
      <c r="D3584" s="6">
        <v>9716.51</v>
      </c>
      <c r="E3584" s="6">
        <v>9529.25</v>
      </c>
      <c r="F3584" s="6" t="s">
        <v>14</v>
      </c>
      <c r="G3584" s="8" t="s">
        <v>6684</v>
      </c>
      <c r="H3584" s="8" t="s">
        <v>27</v>
      </c>
      <c r="I3584" s="9">
        <v>4071</v>
      </c>
      <c r="J3584" s="20">
        <v>67</v>
      </c>
      <c r="K3584" s="20">
        <v>67041</v>
      </c>
      <c r="L3584" s="3" t="str">
        <f t="shared" si="115"/>
        <v>ΜΗΛΟΕΙΔΗ</v>
      </c>
    </row>
    <row r="3585" spans="1:12" s="3" customFormat="1" ht="15" customHeight="1" x14ac:dyDescent="0.25">
      <c r="A3585" s="3" t="str">
        <f t="shared" si="114"/>
        <v>ΜΗΛΟΕΙΔΗΜΗΛΑ ΧΑΪ ΕΡΛΥ</v>
      </c>
      <c r="B3585" s="18" t="s">
        <v>6594</v>
      </c>
      <c r="C3585" s="19" t="s">
        <v>6685</v>
      </c>
      <c r="D3585" s="6">
        <v>9716.51</v>
      </c>
      <c r="E3585" s="6">
        <v>9529.25</v>
      </c>
      <c r="F3585" s="6" t="s">
        <v>14</v>
      </c>
      <c r="G3585" s="8" t="s">
        <v>6686</v>
      </c>
      <c r="H3585" s="8" t="s">
        <v>27</v>
      </c>
      <c r="I3585" s="9">
        <v>4072</v>
      </c>
      <c r="J3585" s="20">
        <v>67</v>
      </c>
      <c r="K3585" s="20">
        <v>67042</v>
      </c>
      <c r="L3585" s="3" t="str">
        <f t="shared" si="115"/>
        <v>ΜΗΛΟΕΙΔΗ</v>
      </c>
    </row>
    <row r="3586" spans="1:12" s="3" customFormat="1" ht="15" customHeight="1" x14ac:dyDescent="0.25">
      <c r="A3586" s="3" t="str">
        <f t="shared" si="114"/>
        <v>ΜΗΛΟΕΙΔΗΜΗΛΑ ΡΕΝΤ ΤΣΙΦ</v>
      </c>
      <c r="B3586" s="4" t="s">
        <v>6594</v>
      </c>
      <c r="C3586" s="5" t="s">
        <v>6687</v>
      </c>
      <c r="D3586" s="6">
        <v>9716.51</v>
      </c>
      <c r="E3586" s="6">
        <v>9529.25</v>
      </c>
      <c r="F3586" s="7" t="s">
        <v>14</v>
      </c>
      <c r="G3586" s="8" t="s">
        <v>6688</v>
      </c>
      <c r="H3586" s="8" t="s">
        <v>16</v>
      </c>
      <c r="I3586" s="9">
        <v>3376</v>
      </c>
      <c r="J3586" s="10">
        <v>67</v>
      </c>
      <c r="K3586" s="10">
        <v>67043</v>
      </c>
      <c r="L3586" s="3" t="str">
        <f t="shared" si="115"/>
        <v>ΜΗΛΟΕΙΔΗ</v>
      </c>
    </row>
    <row r="3587" spans="1:12" s="3" customFormat="1" ht="15" customHeight="1" x14ac:dyDescent="0.25">
      <c r="A3587" s="3" t="str">
        <f t="shared" ref="A3587:A3650" si="116">_xlfn.CONCAT(B3587,C3587)</f>
        <v>ΜΗΛΟΕΙΔΗΜΗΛΑ ΣΤΑΡΚΡΙΜΣΟΝ</v>
      </c>
      <c r="B3587" s="4" t="s">
        <v>6594</v>
      </c>
      <c r="C3587" s="5" t="s">
        <v>6689</v>
      </c>
      <c r="D3587" s="6">
        <v>9716.51</v>
      </c>
      <c r="E3587" s="6">
        <v>9529.25</v>
      </c>
      <c r="F3587" s="7" t="s">
        <v>14</v>
      </c>
      <c r="G3587" s="8" t="s">
        <v>6690</v>
      </c>
      <c r="H3587" s="8" t="s">
        <v>16</v>
      </c>
      <c r="I3587" s="9">
        <v>3363</v>
      </c>
      <c r="J3587" s="10">
        <v>67</v>
      </c>
      <c r="K3587" s="10">
        <v>67044</v>
      </c>
      <c r="L3587" s="3" t="str">
        <f t="shared" ref="L3587:L3650" si="117">IFERROR(SUBSTITUTE(SUBSTITUTE(SUBSTITUTE(SUBSTITUTE(SUBSTITUTE(B3587, "-", "_"), " ", "_"), ",", ""), "(", ""), ")", ""), B3587)</f>
        <v>ΜΗΛΟΕΙΔΗ</v>
      </c>
    </row>
    <row r="3588" spans="1:12" s="3" customFormat="1" ht="15" customHeight="1" x14ac:dyDescent="0.25">
      <c r="A3588" s="3" t="str">
        <f t="shared" si="116"/>
        <v>ΜΗΛΟΕΙΔΗΜΗΛΑ ΠΙΛΑΦΑ ΤΡΙΠΟΛΕΩΣ</v>
      </c>
      <c r="B3588" s="18" t="s">
        <v>6594</v>
      </c>
      <c r="C3588" s="19" t="s">
        <v>6691</v>
      </c>
      <c r="D3588" s="6">
        <v>9716.51</v>
      </c>
      <c r="E3588" s="6">
        <v>9529.25</v>
      </c>
      <c r="F3588" s="6" t="s">
        <v>14</v>
      </c>
      <c r="G3588" s="8" t="s">
        <v>6692</v>
      </c>
      <c r="H3588" s="8" t="s">
        <v>27</v>
      </c>
      <c r="I3588" s="9">
        <v>4073</v>
      </c>
      <c r="J3588" s="20">
        <v>67</v>
      </c>
      <c r="K3588" s="20">
        <v>67045</v>
      </c>
      <c r="L3588" s="3" t="str">
        <f t="shared" si="117"/>
        <v>ΜΗΛΟΕΙΔΗ</v>
      </c>
    </row>
    <row r="3589" spans="1:12" s="3" customFormat="1" ht="15" customHeight="1" x14ac:dyDescent="0.25">
      <c r="A3589" s="3" t="str">
        <f t="shared" si="116"/>
        <v>ΜΗΛΟΕΙΔΗΜΗΛΑ ΤΖΟΝΑΓΚΟΛΝΤ</v>
      </c>
      <c r="B3589" s="4" t="s">
        <v>6594</v>
      </c>
      <c r="C3589" s="5" t="s">
        <v>6693</v>
      </c>
      <c r="D3589" s="6">
        <v>9716.51</v>
      </c>
      <c r="E3589" s="6">
        <v>9529.25</v>
      </c>
      <c r="F3589" s="7" t="s">
        <v>14</v>
      </c>
      <c r="G3589" s="8" t="s">
        <v>6694</v>
      </c>
      <c r="H3589" s="8" t="s">
        <v>16</v>
      </c>
      <c r="I3589" s="9">
        <v>3373</v>
      </c>
      <c r="J3589" s="10">
        <v>67</v>
      </c>
      <c r="K3589" s="10">
        <v>67046</v>
      </c>
      <c r="L3589" s="3" t="str">
        <f t="shared" si="117"/>
        <v>ΜΗΛΟΕΙΔΗ</v>
      </c>
    </row>
    <row r="3590" spans="1:12" s="3" customFormat="1" ht="15" customHeight="1" x14ac:dyDescent="0.25">
      <c r="A3590" s="3" t="str">
        <f t="shared" si="116"/>
        <v>ΜΗΛΟΕΙΔΗΜΗΛΑ ΓΚΡΑΝΥ ΣΜΙΘ</v>
      </c>
      <c r="B3590" s="4" t="s">
        <v>6594</v>
      </c>
      <c r="C3590" s="5" t="s">
        <v>6695</v>
      </c>
      <c r="D3590" s="6">
        <v>9716.51</v>
      </c>
      <c r="E3590" s="6">
        <v>9529.25</v>
      </c>
      <c r="F3590" s="7" t="s">
        <v>14</v>
      </c>
      <c r="G3590" s="8" t="s">
        <v>6696</v>
      </c>
      <c r="H3590" s="8" t="s">
        <v>16</v>
      </c>
      <c r="I3590" s="9">
        <v>3371</v>
      </c>
      <c r="J3590" s="10">
        <v>67</v>
      </c>
      <c r="K3590" s="10">
        <v>67047</v>
      </c>
      <c r="L3590" s="3" t="str">
        <f t="shared" si="117"/>
        <v>ΜΗΛΟΕΙΔΗ</v>
      </c>
    </row>
    <row r="3591" spans="1:12" s="3" customFormat="1" ht="15" customHeight="1" x14ac:dyDescent="0.25">
      <c r="A3591" s="3" t="str">
        <f t="shared" si="116"/>
        <v>ΜΗΛΟΕΙΔΗΜΗΛΑ ΓΚΟΛΝΤΕΝ</v>
      </c>
      <c r="B3591" s="18" t="s">
        <v>6594</v>
      </c>
      <c r="C3591" s="19" t="s">
        <v>6697</v>
      </c>
      <c r="D3591" s="6">
        <v>9716.51</v>
      </c>
      <c r="E3591" s="6">
        <v>9529.25</v>
      </c>
      <c r="F3591" s="6" t="s">
        <v>14</v>
      </c>
      <c r="G3591" s="8" t="s">
        <v>6698</v>
      </c>
      <c r="H3591" s="8" t="s">
        <v>27</v>
      </c>
      <c r="I3591" s="9">
        <v>4074</v>
      </c>
      <c r="J3591" s="20">
        <v>67</v>
      </c>
      <c r="K3591" s="20">
        <v>67048</v>
      </c>
      <c r="L3591" s="3" t="str">
        <f t="shared" si="117"/>
        <v>ΜΗΛΟΕΙΔΗ</v>
      </c>
    </row>
    <row r="3592" spans="1:12" s="3" customFormat="1" ht="15" customHeight="1" x14ac:dyDescent="0.25">
      <c r="A3592" s="3" t="str">
        <f t="shared" si="116"/>
        <v>ΜΗΛΟΕΙΔΗΜΗΛΑ ΜΟΥΤΣΟΥ</v>
      </c>
      <c r="B3592" s="4" t="s">
        <v>6594</v>
      </c>
      <c r="C3592" s="5" t="s">
        <v>6699</v>
      </c>
      <c r="D3592" s="6">
        <v>9716.51</v>
      </c>
      <c r="E3592" s="6">
        <v>9529.25</v>
      </c>
      <c r="F3592" s="7" t="s">
        <v>14</v>
      </c>
      <c r="G3592" s="8" t="s">
        <v>6700</v>
      </c>
      <c r="H3592" s="8" t="s">
        <v>16</v>
      </c>
      <c r="I3592" s="9">
        <v>3367</v>
      </c>
      <c r="J3592" s="10">
        <v>67</v>
      </c>
      <c r="K3592" s="10">
        <v>67049</v>
      </c>
      <c r="L3592" s="3" t="str">
        <f t="shared" si="117"/>
        <v>ΜΗΛΟΕΙΔΗ</v>
      </c>
    </row>
    <row r="3593" spans="1:12" s="3" customFormat="1" ht="15" customHeight="1" x14ac:dyDescent="0.25">
      <c r="A3593" s="3" t="str">
        <f t="shared" si="116"/>
        <v>ΜΗΛΟΕΙΔΗΜΗΛΑ ΡΕΝΕΤΤΕΣ</v>
      </c>
      <c r="B3593" s="18" t="s">
        <v>6594</v>
      </c>
      <c r="C3593" s="19" t="s">
        <v>6701</v>
      </c>
      <c r="D3593" s="6">
        <v>9716.51</v>
      </c>
      <c r="E3593" s="6">
        <v>9529.25</v>
      </c>
      <c r="F3593" s="6" t="s">
        <v>14</v>
      </c>
      <c r="G3593" s="8" t="s">
        <v>6702</v>
      </c>
      <c r="H3593" s="8" t="s">
        <v>27</v>
      </c>
      <c r="I3593" s="9">
        <v>4075</v>
      </c>
      <c r="J3593" s="20">
        <v>67</v>
      </c>
      <c r="K3593" s="20">
        <v>67050</v>
      </c>
      <c r="L3593" s="3" t="str">
        <f t="shared" si="117"/>
        <v>ΜΗΛΟΕΙΔΗ</v>
      </c>
    </row>
    <row r="3594" spans="1:12" s="3" customFormat="1" ht="15" customHeight="1" x14ac:dyDescent="0.25">
      <c r="A3594" s="3" t="str">
        <f t="shared" si="116"/>
        <v>ΜΗΛΟΕΙΔΗΜΗΛΑ ΜΠΕΛΦΟΡ</v>
      </c>
      <c r="B3594" s="18" t="s">
        <v>6594</v>
      </c>
      <c r="C3594" s="19" t="s">
        <v>6703</v>
      </c>
      <c r="D3594" s="6">
        <v>9716.51</v>
      </c>
      <c r="E3594" s="6">
        <v>9529.25</v>
      </c>
      <c r="F3594" s="6" t="s">
        <v>14</v>
      </c>
      <c r="G3594" s="8" t="s">
        <v>6704</v>
      </c>
      <c r="H3594" s="8" t="s">
        <v>27</v>
      </c>
      <c r="I3594" s="9">
        <v>4076</v>
      </c>
      <c r="J3594" s="20">
        <v>67</v>
      </c>
      <c r="K3594" s="20">
        <v>67051</v>
      </c>
      <c r="L3594" s="3" t="str">
        <f t="shared" si="117"/>
        <v>ΜΗΛΟΕΙΔΗ</v>
      </c>
    </row>
    <row r="3595" spans="1:12" s="3" customFormat="1" ht="15" customHeight="1" x14ac:dyDescent="0.25">
      <c r="A3595" s="3" t="str">
        <f t="shared" si="116"/>
        <v>ΜΗΛΟΕΙΔΗΜΗΛΑ ΤΖΟΝΑΘΑΝ,  ΑΜΕΡΙΚ.</v>
      </c>
      <c r="B3595" s="4" t="s">
        <v>6594</v>
      </c>
      <c r="C3595" s="5" t="s">
        <v>6705</v>
      </c>
      <c r="D3595" s="6">
        <v>9716.51</v>
      </c>
      <c r="E3595" s="6">
        <v>9529.25</v>
      </c>
      <c r="F3595" s="7" t="s">
        <v>14</v>
      </c>
      <c r="G3595" s="8" t="s">
        <v>6706</v>
      </c>
      <c r="H3595" s="8" t="s">
        <v>16</v>
      </c>
      <c r="I3595" s="9">
        <v>3366</v>
      </c>
      <c r="J3595" s="10">
        <v>67</v>
      </c>
      <c r="K3595" s="10">
        <v>67052</v>
      </c>
      <c r="L3595" s="3" t="str">
        <f t="shared" si="117"/>
        <v>ΜΗΛΟΕΙΔΗ</v>
      </c>
    </row>
    <row r="3596" spans="1:12" s="3" customFormat="1" ht="15" customHeight="1" x14ac:dyDescent="0.25">
      <c r="A3596" s="3" t="str">
        <f t="shared" si="116"/>
        <v>ΜΗΛΟΕΙΔΗΜΗΛΑ ΚΑΡΛΑΤ</v>
      </c>
      <c r="B3596" s="18" t="s">
        <v>6594</v>
      </c>
      <c r="C3596" s="19" t="s">
        <v>6707</v>
      </c>
      <c r="D3596" s="6">
        <v>9716.51</v>
      </c>
      <c r="E3596" s="6">
        <v>9529.25</v>
      </c>
      <c r="F3596" s="6" t="s">
        <v>14</v>
      </c>
      <c r="G3596" s="8" t="s">
        <v>6708</v>
      </c>
      <c r="H3596" s="8" t="s">
        <v>27</v>
      </c>
      <c r="I3596" s="9">
        <v>4077</v>
      </c>
      <c r="J3596" s="20">
        <v>67</v>
      </c>
      <c r="K3596" s="20">
        <v>67053</v>
      </c>
      <c r="L3596" s="3" t="str">
        <f t="shared" si="117"/>
        <v>ΜΗΛΟΕΙΔΗ</v>
      </c>
    </row>
    <row r="3597" spans="1:12" s="3" customFormat="1" ht="15" customHeight="1" x14ac:dyDescent="0.25">
      <c r="A3597" s="3" t="str">
        <f t="shared" si="116"/>
        <v>ΜΗΛΟΕΙΔΗΜΗΛΑ ΜΕΓΑΣ ΑΛΕΞΑΝΔΡΟΣ</v>
      </c>
      <c r="B3597" s="18" t="s">
        <v>6594</v>
      </c>
      <c r="C3597" s="19" t="s">
        <v>6709</v>
      </c>
      <c r="D3597" s="6">
        <v>9716.51</v>
      </c>
      <c r="E3597" s="6">
        <v>9529.25</v>
      </c>
      <c r="F3597" s="6" t="s">
        <v>14</v>
      </c>
      <c r="G3597" s="8" t="s">
        <v>6710</v>
      </c>
      <c r="H3597" s="8" t="s">
        <v>27</v>
      </c>
      <c r="I3597" s="9">
        <v>4078</v>
      </c>
      <c r="J3597" s="20">
        <v>67</v>
      </c>
      <c r="K3597" s="20">
        <v>67054</v>
      </c>
      <c r="L3597" s="3" t="str">
        <f t="shared" si="117"/>
        <v>ΜΗΛΟΕΙΔΗ</v>
      </c>
    </row>
    <row r="3598" spans="1:12" s="3" customFormat="1" ht="15" customHeight="1" x14ac:dyDescent="0.25">
      <c r="A3598" s="3" t="str">
        <f t="shared" si="116"/>
        <v>ΜΗΛΟΕΙΔΗΜΗΛΑ ΜΠΛΑΚ ΜΠΕΝ ΝΤΕΪΒΙΣ</v>
      </c>
      <c r="B3598" s="18" t="s">
        <v>6594</v>
      </c>
      <c r="C3598" s="19" t="s">
        <v>6711</v>
      </c>
      <c r="D3598" s="6">
        <v>9716.51</v>
      </c>
      <c r="E3598" s="6">
        <v>9529.25</v>
      </c>
      <c r="F3598" s="6" t="s">
        <v>14</v>
      </c>
      <c r="G3598" s="8" t="s">
        <v>6712</v>
      </c>
      <c r="H3598" s="8" t="s">
        <v>27</v>
      </c>
      <c r="I3598" s="9">
        <v>4079</v>
      </c>
      <c r="J3598" s="20">
        <v>67</v>
      </c>
      <c r="K3598" s="20">
        <v>67055</v>
      </c>
      <c r="L3598" s="3" t="str">
        <f t="shared" si="117"/>
        <v>ΜΗΛΟΕΙΔΗ</v>
      </c>
    </row>
    <row r="3599" spans="1:12" s="3" customFormat="1" ht="15" customHeight="1" x14ac:dyDescent="0.25">
      <c r="A3599" s="3" t="str">
        <f t="shared" si="116"/>
        <v>ΜΗΛΟΕΙΔΗΜΗΛΑ ΚΙΝΓΚ ΝΤΕΪΒΙΝΤ</v>
      </c>
      <c r="B3599" s="18" t="s">
        <v>6594</v>
      </c>
      <c r="C3599" s="19" t="s">
        <v>6713</v>
      </c>
      <c r="D3599" s="6">
        <v>9716.51</v>
      </c>
      <c r="E3599" s="6">
        <v>9529.25</v>
      </c>
      <c r="F3599" s="6" t="s">
        <v>14</v>
      </c>
      <c r="G3599" s="8" t="s">
        <v>6714</v>
      </c>
      <c r="H3599" s="8" t="s">
        <v>27</v>
      </c>
      <c r="I3599" s="9">
        <v>4080</v>
      </c>
      <c r="J3599" s="20">
        <v>67</v>
      </c>
      <c r="K3599" s="20">
        <v>67056</v>
      </c>
      <c r="L3599" s="3" t="str">
        <f t="shared" si="117"/>
        <v>ΜΗΛΟΕΙΔΗ</v>
      </c>
    </row>
    <row r="3600" spans="1:12" s="3" customFormat="1" ht="15" customHeight="1" x14ac:dyDescent="0.25">
      <c r="A3600" s="3" t="str">
        <f t="shared" si="116"/>
        <v>ΜΗΛΟΕΙΔΗΜΗΛΑ ΠΡΩΙΜΟ ΦΙΡΙΚΙ</v>
      </c>
      <c r="B3600" s="18" t="s">
        <v>6594</v>
      </c>
      <c r="C3600" s="19" t="s">
        <v>6715</v>
      </c>
      <c r="D3600" s="6">
        <v>9716.51</v>
      </c>
      <c r="E3600" s="6">
        <v>9529.25</v>
      </c>
      <c r="F3600" s="6" t="s">
        <v>14</v>
      </c>
      <c r="G3600" s="8" t="s">
        <v>6716</v>
      </c>
      <c r="H3600" s="8" t="s">
        <v>27</v>
      </c>
      <c r="I3600" s="9">
        <v>4081</v>
      </c>
      <c r="J3600" s="20">
        <v>67</v>
      </c>
      <c r="K3600" s="20">
        <v>67057</v>
      </c>
      <c r="L3600" s="3" t="str">
        <f t="shared" si="117"/>
        <v>ΜΗΛΟΕΙΔΗ</v>
      </c>
    </row>
    <row r="3601" spans="1:12" s="3" customFormat="1" ht="15" customHeight="1" x14ac:dyDescent="0.25">
      <c r="A3601" s="3" t="str">
        <f t="shared" si="116"/>
        <v>ΜΗΛΟΕΙΔΗΜΗΛΑ ΟΨΙΜΟ ΦΙΡΙΚΙ</v>
      </c>
      <c r="B3601" s="18" t="s">
        <v>6594</v>
      </c>
      <c r="C3601" s="19" t="s">
        <v>6717</v>
      </c>
      <c r="D3601" s="6">
        <v>9716.51</v>
      </c>
      <c r="E3601" s="6">
        <v>9529.25</v>
      </c>
      <c r="F3601" s="6" t="s">
        <v>14</v>
      </c>
      <c r="G3601" s="8" t="s">
        <v>6718</v>
      </c>
      <c r="H3601" s="8" t="s">
        <v>27</v>
      </c>
      <c r="I3601" s="9">
        <v>4082</v>
      </c>
      <c r="J3601" s="20">
        <v>67</v>
      </c>
      <c r="K3601" s="20">
        <v>67058</v>
      </c>
      <c r="L3601" s="3" t="str">
        <f t="shared" si="117"/>
        <v>ΜΗΛΟΕΙΔΗ</v>
      </c>
    </row>
    <row r="3602" spans="1:12" s="3" customFormat="1" ht="15" customHeight="1" x14ac:dyDescent="0.25">
      <c r="A3602" s="3" t="str">
        <f t="shared" si="116"/>
        <v>ΜΗΛΟΕΙΔΗΜΗΛΑ ΚΥΔΩΝΟΜΗΛΑ</v>
      </c>
      <c r="B3602" s="18" t="s">
        <v>6594</v>
      </c>
      <c r="C3602" s="19" t="s">
        <v>6719</v>
      </c>
      <c r="D3602" s="6">
        <v>9716.51</v>
      </c>
      <c r="E3602" s="6">
        <v>9529.25</v>
      </c>
      <c r="F3602" s="6" t="s">
        <v>14</v>
      </c>
      <c r="G3602" s="8" t="s">
        <v>6720</v>
      </c>
      <c r="H3602" s="8" t="s">
        <v>27</v>
      </c>
      <c r="I3602" s="9">
        <v>4083</v>
      </c>
      <c r="J3602" s="20">
        <v>67</v>
      </c>
      <c r="K3602" s="20">
        <v>67059</v>
      </c>
      <c r="L3602" s="3" t="str">
        <f t="shared" si="117"/>
        <v>ΜΗΛΟΕΙΔΗ</v>
      </c>
    </row>
    <row r="3603" spans="1:12" s="3" customFormat="1" ht="15" customHeight="1" x14ac:dyDescent="0.25">
      <c r="A3603" s="3" t="str">
        <f t="shared" si="116"/>
        <v>ΜΗΛΟΕΙΔΗΜΗΛΑ ΝΤΙ ΚΟΜΕΡΣ</v>
      </c>
      <c r="B3603" s="18" t="s">
        <v>6594</v>
      </c>
      <c r="C3603" s="19" t="s">
        <v>6721</v>
      </c>
      <c r="D3603" s="6">
        <v>9716.51</v>
      </c>
      <c r="E3603" s="6">
        <v>9529.25</v>
      </c>
      <c r="F3603" s="6" t="s">
        <v>14</v>
      </c>
      <c r="G3603" s="8" t="s">
        <v>6722</v>
      </c>
      <c r="H3603" s="8" t="s">
        <v>27</v>
      </c>
      <c r="I3603" s="9">
        <v>4084</v>
      </c>
      <c r="J3603" s="20">
        <v>67</v>
      </c>
      <c r="K3603" s="20">
        <v>67060</v>
      </c>
      <c r="L3603" s="3" t="str">
        <f t="shared" si="117"/>
        <v>ΜΗΛΟΕΙΔΗ</v>
      </c>
    </row>
    <row r="3604" spans="1:12" s="3" customFormat="1" ht="15" customHeight="1" x14ac:dyDescent="0.25">
      <c r="A3604" s="3" t="str">
        <f t="shared" si="116"/>
        <v>ΜΗΛΟΕΙΔΗΜΗΛΑ ΣΚΙΟΥΠΙΑ</v>
      </c>
      <c r="B3604" s="18" t="s">
        <v>6594</v>
      </c>
      <c r="C3604" s="19" t="s">
        <v>6723</v>
      </c>
      <c r="D3604" s="6">
        <v>9716.51</v>
      </c>
      <c r="E3604" s="6">
        <v>9529.25</v>
      </c>
      <c r="F3604" s="6" t="s">
        <v>14</v>
      </c>
      <c r="G3604" s="8" t="s">
        <v>6724</v>
      </c>
      <c r="H3604" s="8" t="s">
        <v>27</v>
      </c>
      <c r="I3604" s="9">
        <v>4085</v>
      </c>
      <c r="J3604" s="20">
        <v>67</v>
      </c>
      <c r="K3604" s="20">
        <v>67061</v>
      </c>
      <c r="L3604" s="3" t="str">
        <f t="shared" si="117"/>
        <v>ΜΗΛΟΕΙΔΗ</v>
      </c>
    </row>
    <row r="3605" spans="1:12" s="3" customFormat="1" ht="15" customHeight="1" x14ac:dyDescent="0.25">
      <c r="A3605" s="3" t="str">
        <f t="shared" si="116"/>
        <v>ΜΗΛΟΕΙΔΗΜΗΛΑ ΛΟΙΠ. ΠΟΙΚΙΛΙΩΝ</v>
      </c>
      <c r="B3605" s="18" t="s">
        <v>6594</v>
      </c>
      <c r="C3605" s="19" t="s">
        <v>6725</v>
      </c>
      <c r="D3605" s="6">
        <v>9716.51</v>
      </c>
      <c r="E3605" s="6">
        <v>9529.25</v>
      </c>
      <c r="F3605" s="6" t="s">
        <v>14</v>
      </c>
      <c r="G3605" s="8" t="s">
        <v>6726</v>
      </c>
      <c r="H3605" s="8" t="s">
        <v>27</v>
      </c>
      <c r="I3605" s="9">
        <v>4086</v>
      </c>
      <c r="J3605" s="20">
        <v>67</v>
      </c>
      <c r="K3605" s="20">
        <v>67062</v>
      </c>
      <c r="L3605" s="3" t="str">
        <f t="shared" si="117"/>
        <v>ΜΗΛΟΕΙΔΗ</v>
      </c>
    </row>
    <row r="3606" spans="1:12" s="3" customFormat="1" ht="15" customHeight="1" x14ac:dyDescent="0.25">
      <c r="A3606" s="3" t="str">
        <f t="shared" si="116"/>
        <v>ΜΗΛΟΕΙΔΗΜΗΛΑ ΕΓΧΩΡ. ΔΙΑΦΟΡ. ΠΕΡΙΟΧ.</v>
      </c>
      <c r="B3606" s="18" t="s">
        <v>6594</v>
      </c>
      <c r="C3606" s="19" t="s">
        <v>6727</v>
      </c>
      <c r="D3606" s="6">
        <v>9716.51</v>
      </c>
      <c r="E3606" s="6">
        <v>9529.25</v>
      </c>
      <c r="F3606" s="6" t="s">
        <v>14</v>
      </c>
      <c r="G3606" s="8" t="s">
        <v>6728</v>
      </c>
      <c r="H3606" s="8" t="s">
        <v>27</v>
      </c>
      <c r="I3606" s="9">
        <v>4087</v>
      </c>
      <c r="J3606" s="20">
        <v>67</v>
      </c>
      <c r="K3606" s="20">
        <v>67063</v>
      </c>
      <c r="L3606" s="3" t="str">
        <f t="shared" si="117"/>
        <v>ΜΗΛΟΕΙΔΗ</v>
      </c>
    </row>
    <row r="3607" spans="1:12" s="3" customFormat="1" ht="15" customHeight="1" x14ac:dyDescent="0.25">
      <c r="A3607" s="3" t="str">
        <f t="shared" si="116"/>
        <v>ΜΗΛΟΕΙΔΗΜΗΛΑ ΑΚΑΝΕ</v>
      </c>
      <c r="B3607" s="18" t="s">
        <v>6594</v>
      </c>
      <c r="C3607" s="19" t="s">
        <v>6729</v>
      </c>
      <c r="D3607" s="6">
        <v>9716.51</v>
      </c>
      <c r="E3607" s="6">
        <v>9529.25</v>
      </c>
      <c r="F3607" s="6" t="s">
        <v>14</v>
      </c>
      <c r="G3607" s="8" t="s">
        <v>6730</v>
      </c>
      <c r="H3607" s="8" t="s">
        <v>27</v>
      </c>
      <c r="I3607" s="9">
        <v>4088</v>
      </c>
      <c r="J3607" s="20">
        <v>67</v>
      </c>
      <c r="K3607" s="20">
        <v>67064</v>
      </c>
      <c r="L3607" s="3" t="str">
        <f t="shared" si="117"/>
        <v>ΜΗΛΟΕΙΔΗ</v>
      </c>
    </row>
    <row r="3608" spans="1:12" s="3" customFormat="1" ht="15" customHeight="1" x14ac:dyDescent="0.25">
      <c r="A3608" s="3" t="str">
        <f t="shared" si="116"/>
        <v>ΜΗΛΟΕΙΔΗΜΗΛΑ ΝΤΑΜΠΛΡΕΝΤ</v>
      </c>
      <c r="B3608" s="18" t="s">
        <v>6594</v>
      </c>
      <c r="C3608" s="19" t="s">
        <v>6731</v>
      </c>
      <c r="D3608" s="6">
        <v>9716.51</v>
      </c>
      <c r="E3608" s="6">
        <v>9529.25</v>
      </c>
      <c r="F3608" s="6" t="s">
        <v>14</v>
      </c>
      <c r="G3608" s="8" t="s">
        <v>6732</v>
      </c>
      <c r="H3608" s="8" t="s">
        <v>27</v>
      </c>
      <c r="I3608" s="9">
        <v>4089</v>
      </c>
      <c r="J3608" s="20">
        <v>67</v>
      </c>
      <c r="K3608" s="20">
        <v>67065</v>
      </c>
      <c r="L3608" s="3" t="str">
        <f t="shared" si="117"/>
        <v>ΜΗΛΟΕΙΔΗ</v>
      </c>
    </row>
    <row r="3609" spans="1:12" s="3" customFormat="1" ht="15" customHeight="1" x14ac:dyDescent="0.25">
      <c r="A3609" s="3" t="str">
        <f t="shared" si="116"/>
        <v>ΜΗΛΟΕΙΔΗΜΗΛΑ ΤΟΠ ΡΕΝΤ</v>
      </c>
      <c r="B3609" s="4" t="s">
        <v>6594</v>
      </c>
      <c r="C3609" s="5" t="s">
        <v>6733</v>
      </c>
      <c r="D3609" s="6">
        <v>9716.51</v>
      </c>
      <c r="E3609" s="6">
        <v>9529.25</v>
      </c>
      <c r="F3609" s="7" t="s">
        <v>14</v>
      </c>
      <c r="G3609" s="8" t="s">
        <v>6734</v>
      </c>
      <c r="H3609" s="8" t="s">
        <v>16</v>
      </c>
      <c r="I3609" s="9">
        <v>3365</v>
      </c>
      <c r="J3609" s="10">
        <v>67</v>
      </c>
      <c r="K3609" s="10">
        <v>67066</v>
      </c>
      <c r="L3609" s="3" t="str">
        <f t="shared" si="117"/>
        <v>ΜΗΛΟΕΙΔΗ</v>
      </c>
    </row>
    <row r="3610" spans="1:12" s="3" customFormat="1" ht="15" customHeight="1" x14ac:dyDescent="0.25">
      <c r="A3610" s="3" t="str">
        <f t="shared" si="116"/>
        <v>ΜΗΛΟΕΙΔΗΜΗΛΑ ΜΕΛΡΟΟΥΖ</v>
      </c>
      <c r="B3610" s="4" t="s">
        <v>6594</v>
      </c>
      <c r="C3610" s="5" t="s">
        <v>6735</v>
      </c>
      <c r="D3610" s="6">
        <v>9716.51</v>
      </c>
      <c r="E3610" s="6">
        <v>9529.25</v>
      </c>
      <c r="F3610" s="7" t="s">
        <v>14</v>
      </c>
      <c r="G3610" s="8" t="s">
        <v>6736</v>
      </c>
      <c r="H3610" s="8" t="s">
        <v>16</v>
      </c>
      <c r="I3610" s="9">
        <v>3364</v>
      </c>
      <c r="J3610" s="10">
        <v>67</v>
      </c>
      <c r="K3610" s="10">
        <v>67067</v>
      </c>
      <c r="L3610" s="3" t="str">
        <f t="shared" si="117"/>
        <v>ΜΗΛΟΕΙΔΗ</v>
      </c>
    </row>
    <row r="3611" spans="1:12" s="3" customFormat="1" ht="15" customHeight="1" x14ac:dyDescent="0.25">
      <c r="A3611" s="3" t="str">
        <f t="shared" si="116"/>
        <v>ΜΗΛΟΕΙΔΗΜΗΛΑ ΚΟΥΠΕΡ</v>
      </c>
      <c r="B3611" s="18" t="s">
        <v>6594</v>
      </c>
      <c r="C3611" s="19" t="s">
        <v>6737</v>
      </c>
      <c r="D3611" s="6">
        <v>9716.51</v>
      </c>
      <c r="E3611" s="6">
        <v>9529.25</v>
      </c>
      <c r="F3611" s="6" t="s">
        <v>14</v>
      </c>
      <c r="G3611" s="8" t="s">
        <v>6738</v>
      </c>
      <c r="H3611" s="8" t="s">
        <v>27</v>
      </c>
      <c r="I3611" s="9">
        <v>4090</v>
      </c>
      <c r="J3611" s="20">
        <v>67</v>
      </c>
      <c r="K3611" s="20">
        <v>67068</v>
      </c>
      <c r="L3611" s="3" t="str">
        <f t="shared" si="117"/>
        <v>ΜΗΛΟΕΙΔΗ</v>
      </c>
    </row>
    <row r="3612" spans="1:12" s="3" customFormat="1" ht="15" customHeight="1" x14ac:dyDescent="0.25">
      <c r="A3612" s="3" t="str">
        <f t="shared" si="116"/>
        <v>ΜΗΛΟΕΙΔΗΜΗΛΑ ΟΖΑΡΚ ΓΚΟΛΝΤ</v>
      </c>
      <c r="B3612" s="4" t="s">
        <v>6594</v>
      </c>
      <c r="C3612" s="5" t="s">
        <v>6739</v>
      </c>
      <c r="D3612" s="6">
        <v>9716.51</v>
      </c>
      <c r="E3612" s="6">
        <v>9529.25</v>
      </c>
      <c r="F3612" s="7" t="s">
        <v>14</v>
      </c>
      <c r="G3612" s="8" t="s">
        <v>6740</v>
      </c>
      <c r="H3612" s="8" t="s">
        <v>16</v>
      </c>
      <c r="I3612" s="9">
        <v>3370</v>
      </c>
      <c r="J3612" s="10">
        <v>67</v>
      </c>
      <c r="K3612" s="10">
        <v>67069</v>
      </c>
      <c r="L3612" s="3" t="str">
        <f t="shared" si="117"/>
        <v>ΜΗΛΟΕΙΔΗ</v>
      </c>
    </row>
    <row r="3613" spans="1:12" s="3" customFormat="1" ht="15" customHeight="1" x14ac:dyDescent="0.25">
      <c r="A3613" s="3" t="str">
        <f t="shared" si="116"/>
        <v>ΜΗΛΟΕΙΔΗΜΗΛΑ ΝΕΡΟ ΡΕΝΤ ΡΟΟΥΜ</v>
      </c>
      <c r="B3613" s="18" t="s">
        <v>6594</v>
      </c>
      <c r="C3613" s="19" t="s">
        <v>6741</v>
      </c>
      <c r="D3613" s="6">
        <v>9716.51</v>
      </c>
      <c r="E3613" s="6">
        <v>9529.25</v>
      </c>
      <c r="F3613" s="6" t="s">
        <v>14</v>
      </c>
      <c r="G3613" s="8" t="s">
        <v>6742</v>
      </c>
      <c r="H3613" s="8" t="s">
        <v>27</v>
      </c>
      <c r="I3613" s="9">
        <v>4091</v>
      </c>
      <c r="J3613" s="20">
        <v>67</v>
      </c>
      <c r="K3613" s="20">
        <v>67070</v>
      </c>
      <c r="L3613" s="3" t="str">
        <f t="shared" si="117"/>
        <v>ΜΗΛΟΕΙΔΗ</v>
      </c>
    </row>
    <row r="3614" spans="1:12" s="3" customFormat="1" ht="15" customHeight="1" x14ac:dyDescent="0.25">
      <c r="A3614" s="3" t="str">
        <f t="shared" si="116"/>
        <v>ΜΗΛΟΕΙΔΗΜΗΛΑ ΟΡΕΓΚΟΝ</v>
      </c>
      <c r="B3614" s="4" t="s">
        <v>6594</v>
      </c>
      <c r="C3614" s="5" t="s">
        <v>6743</v>
      </c>
      <c r="D3614" s="6">
        <v>9716.51</v>
      </c>
      <c r="E3614" s="6">
        <v>9529.25</v>
      </c>
      <c r="F3614" s="7" t="s">
        <v>14</v>
      </c>
      <c r="G3614" s="8" t="s">
        <v>6744</v>
      </c>
      <c r="H3614" s="8" t="s">
        <v>16</v>
      </c>
      <c r="I3614" s="9">
        <v>3374</v>
      </c>
      <c r="J3614" s="10">
        <v>67</v>
      </c>
      <c r="K3614" s="10">
        <v>67071</v>
      </c>
      <c r="L3614" s="3" t="str">
        <f t="shared" si="117"/>
        <v>ΜΗΛΟΕΙΔΗ</v>
      </c>
    </row>
    <row r="3615" spans="1:12" s="3" customFormat="1" ht="15" customHeight="1" x14ac:dyDescent="0.25">
      <c r="A3615" s="3" t="str">
        <f t="shared" si="116"/>
        <v>ΜΗΛΟΕΙΔΗΜΗΛΑ ΧΑΪΕΝ</v>
      </c>
      <c r="B3615" s="18" t="s">
        <v>6594</v>
      </c>
      <c r="C3615" s="19" t="s">
        <v>6745</v>
      </c>
      <c r="D3615" s="6">
        <v>9716.51</v>
      </c>
      <c r="E3615" s="6">
        <v>9529.25</v>
      </c>
      <c r="F3615" s="6" t="s">
        <v>14</v>
      </c>
      <c r="G3615" s="8" t="s">
        <v>6746</v>
      </c>
      <c r="H3615" s="8" t="s">
        <v>27</v>
      </c>
      <c r="I3615" s="9">
        <v>4092</v>
      </c>
      <c r="J3615" s="20">
        <v>67</v>
      </c>
      <c r="K3615" s="20">
        <v>67072</v>
      </c>
      <c r="L3615" s="3" t="str">
        <f t="shared" si="117"/>
        <v>ΜΗΛΟΕΙΔΗ</v>
      </c>
    </row>
    <row r="3616" spans="1:12" s="3" customFormat="1" ht="15" customHeight="1" x14ac:dyDescent="0.25">
      <c r="A3616" s="3" t="str">
        <f t="shared" si="116"/>
        <v>ΜΗΛΟΕΙΔΗΜΗΛΑ ΓΚΟΛΝΤΕΝ Β</v>
      </c>
      <c r="B3616" s="18" t="s">
        <v>6594</v>
      </c>
      <c r="C3616" s="19" t="s">
        <v>6747</v>
      </c>
      <c r="D3616" s="6">
        <v>9716.51</v>
      </c>
      <c r="E3616" s="6">
        <v>9529.25</v>
      </c>
      <c r="F3616" s="6" t="s">
        <v>14</v>
      </c>
      <c r="G3616" s="8" t="s">
        <v>6748</v>
      </c>
      <c r="H3616" s="8" t="s">
        <v>27</v>
      </c>
      <c r="I3616" s="9">
        <v>4093</v>
      </c>
      <c r="J3616" s="20">
        <v>67</v>
      </c>
      <c r="K3616" s="20">
        <v>67073</v>
      </c>
      <c r="L3616" s="3" t="str">
        <f t="shared" si="117"/>
        <v>ΜΗΛΟΕΙΔΗ</v>
      </c>
    </row>
    <row r="3617" spans="1:12" s="3" customFormat="1" ht="15" customHeight="1" x14ac:dyDescent="0.25">
      <c r="A3617" s="3" t="str">
        <f t="shared" si="116"/>
        <v>ΜΗΛΟΕΙΔΗΜΗΛΑ ΤΖΟ ΚΑΡΕΝΤ</v>
      </c>
      <c r="B3617" s="4" t="s">
        <v>6594</v>
      </c>
      <c r="C3617" s="5" t="s">
        <v>6749</v>
      </c>
      <c r="D3617" s="6">
        <v>9716.51</v>
      </c>
      <c r="E3617" s="6">
        <v>9529.25</v>
      </c>
      <c r="F3617" s="7" t="s">
        <v>14</v>
      </c>
      <c r="G3617" s="8" t="s">
        <v>6750</v>
      </c>
      <c r="H3617" s="8" t="s">
        <v>16</v>
      </c>
      <c r="I3617" s="9">
        <v>3375</v>
      </c>
      <c r="J3617" s="10">
        <v>67</v>
      </c>
      <c r="K3617" s="10">
        <v>67074</v>
      </c>
      <c r="L3617" s="3" t="str">
        <f t="shared" si="117"/>
        <v>ΜΗΛΟΕΙΔΗ</v>
      </c>
    </row>
    <row r="3618" spans="1:12" s="3" customFormat="1" ht="15" customHeight="1" x14ac:dyDescent="0.25">
      <c r="A3618" s="3" t="str">
        <f t="shared" si="116"/>
        <v>ΜΗΛΟΕΙΔΗΜΗΛΑ ΜΟΝΤΙΑΛ ΓΚΑΛΑ</v>
      </c>
      <c r="B3618" s="18" t="s">
        <v>6594</v>
      </c>
      <c r="C3618" s="19" t="s">
        <v>6751</v>
      </c>
      <c r="D3618" s="6">
        <v>9716.51</v>
      </c>
      <c r="E3618" s="6">
        <v>9529.25</v>
      </c>
      <c r="F3618" s="6" t="s">
        <v>14</v>
      </c>
      <c r="G3618" s="8" t="s">
        <v>6752</v>
      </c>
      <c r="H3618" s="8" t="s">
        <v>27</v>
      </c>
      <c r="I3618" s="9">
        <v>4094</v>
      </c>
      <c r="J3618" s="20">
        <v>67</v>
      </c>
      <c r="K3618" s="20">
        <v>67075</v>
      </c>
      <c r="L3618" s="3" t="str">
        <f t="shared" si="117"/>
        <v>ΜΗΛΟΕΙΔΗ</v>
      </c>
    </row>
    <row r="3619" spans="1:12" s="3" customFormat="1" ht="15" customHeight="1" x14ac:dyDescent="0.25">
      <c r="A3619" s="3" t="str">
        <f t="shared" si="116"/>
        <v>ΜΗΛΟΕΙΔΗΜΗΛΑ ΓΟΥΕΛΣΠΟΥΡ</v>
      </c>
      <c r="B3619" s="4" t="s">
        <v>6594</v>
      </c>
      <c r="C3619" s="5" t="s">
        <v>6753</v>
      </c>
      <c r="D3619" s="6">
        <v>9716.51</v>
      </c>
      <c r="E3619" s="6">
        <v>9529.25</v>
      </c>
      <c r="F3619" s="7" t="s">
        <v>14</v>
      </c>
      <c r="G3619" s="8" t="s">
        <v>6754</v>
      </c>
      <c r="H3619" s="8" t="s">
        <v>16</v>
      </c>
      <c r="I3619" s="9">
        <v>3369</v>
      </c>
      <c r="J3619" s="10">
        <v>67</v>
      </c>
      <c r="K3619" s="10">
        <v>67076</v>
      </c>
      <c r="L3619" s="3" t="str">
        <f t="shared" si="117"/>
        <v>ΜΗΛΟΕΙΔΗ</v>
      </c>
    </row>
    <row r="3620" spans="1:12" s="3" customFormat="1" ht="15" customHeight="1" x14ac:dyDescent="0.25">
      <c r="A3620" s="3" t="str">
        <f t="shared" si="116"/>
        <v>ΜΗΛΟΕΙΔΗΜΗΛΑ ΦΟΥΤΖΙ</v>
      </c>
      <c r="B3620" s="4" t="s">
        <v>6594</v>
      </c>
      <c r="C3620" s="5" t="s">
        <v>6755</v>
      </c>
      <c r="D3620" s="6">
        <v>9716.51</v>
      </c>
      <c r="E3620" s="6">
        <v>9529.25</v>
      </c>
      <c r="F3620" s="7" t="s">
        <v>14</v>
      </c>
      <c r="G3620" s="8" t="s">
        <v>6756</v>
      </c>
      <c r="H3620" s="8" t="s">
        <v>16</v>
      </c>
      <c r="I3620" s="9">
        <v>3358</v>
      </c>
      <c r="J3620" s="10">
        <v>67</v>
      </c>
      <c r="K3620" s="10">
        <v>67077</v>
      </c>
      <c r="L3620" s="3" t="str">
        <f t="shared" si="117"/>
        <v>ΜΗΛΟΕΙΔΗ</v>
      </c>
    </row>
    <row r="3621" spans="1:12" s="3" customFormat="1" ht="15" customHeight="1" x14ac:dyDescent="0.25">
      <c r="A3621" s="3" t="str">
        <f t="shared" si="116"/>
        <v>ΜΗΛΟΕΙΔΗΜΗΛΑ ΜΟΛΙΟ ΝΤΕΛΙΣΙΟΥΣ</v>
      </c>
      <c r="B3621" s="18" t="s">
        <v>6594</v>
      </c>
      <c r="C3621" s="19" t="s">
        <v>6757</v>
      </c>
      <c r="D3621" s="6">
        <v>9716.51</v>
      </c>
      <c r="E3621" s="6">
        <v>9529.25</v>
      </c>
      <c r="F3621" s="6" t="s">
        <v>14</v>
      </c>
      <c r="G3621" s="8" t="s">
        <v>6758</v>
      </c>
      <c r="H3621" s="8" t="s">
        <v>27</v>
      </c>
      <c r="I3621" s="9">
        <v>4095</v>
      </c>
      <c r="J3621" s="20">
        <v>67</v>
      </c>
      <c r="K3621" s="20">
        <v>67078</v>
      </c>
      <c r="L3621" s="3" t="str">
        <f t="shared" si="117"/>
        <v>ΜΗΛΟΕΙΔΗ</v>
      </c>
    </row>
    <row r="3622" spans="1:12" s="3" customFormat="1" ht="15" customHeight="1" x14ac:dyDescent="0.25">
      <c r="A3622" s="3" t="str">
        <f t="shared" si="116"/>
        <v>ΜΗΛΟΕΙΔΗΜΗΛΑ ΡΟΥΑΓΙΑΛ ΓΚΑΛΑ</v>
      </c>
      <c r="B3622" s="4" t="s">
        <v>6594</v>
      </c>
      <c r="C3622" s="5" t="s">
        <v>6759</v>
      </c>
      <c r="D3622" s="6">
        <v>9716.51</v>
      </c>
      <c r="E3622" s="6">
        <v>9529.25</v>
      </c>
      <c r="F3622" s="7" t="s">
        <v>14</v>
      </c>
      <c r="G3622" s="8" t="s">
        <v>6760</v>
      </c>
      <c r="H3622" s="8" t="s">
        <v>16</v>
      </c>
      <c r="I3622" s="9">
        <v>3306</v>
      </c>
      <c r="J3622" s="10">
        <v>67</v>
      </c>
      <c r="K3622" s="10">
        <v>67079</v>
      </c>
      <c r="L3622" s="3" t="str">
        <f t="shared" si="117"/>
        <v>ΜΗΛΟΕΙΔΗ</v>
      </c>
    </row>
    <row r="3623" spans="1:12" s="3" customFormat="1" ht="15" customHeight="1" x14ac:dyDescent="0.25">
      <c r="A3623" s="3" t="str">
        <f t="shared" si="116"/>
        <v>ΜΗΛΟΕΙΔΗΜΗΛΑ ΡΟΥΑΓ.ΓΚΑΛΑ ΠΕΔ</v>
      </c>
      <c r="B3623" s="18" t="s">
        <v>6594</v>
      </c>
      <c r="C3623" s="19" t="s">
        <v>6761</v>
      </c>
      <c r="D3623" s="6">
        <v>9716.51</v>
      </c>
      <c r="E3623" s="6">
        <v>9529.25</v>
      </c>
      <c r="F3623" s="6" t="s">
        <v>14</v>
      </c>
      <c r="G3623" s="8" t="s">
        <v>6762</v>
      </c>
      <c r="H3623" s="8" t="s">
        <v>27</v>
      </c>
      <c r="I3623" s="9">
        <v>4096</v>
      </c>
      <c r="J3623" s="20">
        <v>67</v>
      </c>
      <c r="K3623" s="20">
        <v>67080</v>
      </c>
      <c r="L3623" s="3" t="str">
        <f t="shared" si="117"/>
        <v>ΜΗΛΟΕΙΔΗ</v>
      </c>
    </row>
    <row r="3624" spans="1:12" s="3" customFormat="1" ht="15" customHeight="1" x14ac:dyDescent="0.25">
      <c r="A3624" s="3" t="str">
        <f t="shared" si="116"/>
        <v>ΜΗΛΟΕΙΔΗΜΗΛΑ ΣΚΑΪ ΛΑΪΝ</v>
      </c>
      <c r="B3624" s="18" t="s">
        <v>6594</v>
      </c>
      <c r="C3624" s="19" t="s">
        <v>6763</v>
      </c>
      <c r="D3624" s="6">
        <v>9716.51</v>
      </c>
      <c r="E3624" s="6">
        <v>9529.25</v>
      </c>
      <c r="F3624" s="6" t="s">
        <v>14</v>
      </c>
      <c r="G3624" s="8" t="s">
        <v>6764</v>
      </c>
      <c r="H3624" s="8" t="s">
        <v>27</v>
      </c>
      <c r="I3624" s="9">
        <v>4097</v>
      </c>
      <c r="J3624" s="20">
        <v>67</v>
      </c>
      <c r="K3624" s="20">
        <v>67081</v>
      </c>
      <c r="L3624" s="3" t="str">
        <f t="shared" si="117"/>
        <v>ΜΗΛΟΕΙΔΗ</v>
      </c>
    </row>
    <row r="3625" spans="1:12" s="3" customFormat="1" ht="15" customHeight="1" x14ac:dyDescent="0.25">
      <c r="A3625" s="3" t="str">
        <f t="shared" si="116"/>
        <v>ΜΗΛΟΕΙΔΗΜΗΛΑ ΠΡΙΜΑ</v>
      </c>
      <c r="B3625" s="4" t="s">
        <v>6594</v>
      </c>
      <c r="C3625" s="5" t="s">
        <v>6765</v>
      </c>
      <c r="D3625" s="6">
        <v>9716.51</v>
      </c>
      <c r="E3625" s="6">
        <v>9529.25</v>
      </c>
      <c r="F3625" s="7" t="s">
        <v>14</v>
      </c>
      <c r="G3625" s="8" t="s">
        <v>6766</v>
      </c>
      <c r="H3625" s="8" t="s">
        <v>16</v>
      </c>
      <c r="I3625" s="9">
        <v>3316</v>
      </c>
      <c r="J3625" s="10">
        <v>67</v>
      </c>
      <c r="K3625" s="10">
        <v>67082</v>
      </c>
      <c r="L3625" s="3" t="str">
        <f t="shared" si="117"/>
        <v>ΜΗΛΟΕΙΔΗ</v>
      </c>
    </row>
    <row r="3626" spans="1:12" s="3" customFormat="1" ht="15" customHeight="1" x14ac:dyDescent="0.25">
      <c r="A3626" s="3" t="str">
        <f t="shared" si="116"/>
        <v>ΜΗΛΟΕΙΔΗΜΗΛΑ ΣΜΟΥΘΙ ΓΚΟΛΝΤΕΝ</v>
      </c>
      <c r="B3626" s="18" t="s">
        <v>6594</v>
      </c>
      <c r="C3626" s="19" t="s">
        <v>6767</v>
      </c>
      <c r="D3626" s="6">
        <v>9716.51</v>
      </c>
      <c r="E3626" s="6">
        <v>9529.25</v>
      </c>
      <c r="F3626" s="6" t="s">
        <v>14</v>
      </c>
      <c r="G3626" s="8" t="s">
        <v>6768</v>
      </c>
      <c r="H3626" s="8" t="s">
        <v>27</v>
      </c>
      <c r="I3626" s="9">
        <v>4098</v>
      </c>
      <c r="J3626" s="20">
        <v>67</v>
      </c>
      <c r="K3626" s="20">
        <v>67083</v>
      </c>
      <c r="L3626" s="3" t="str">
        <f t="shared" si="117"/>
        <v>ΜΗΛΟΕΙΔΗ</v>
      </c>
    </row>
    <row r="3627" spans="1:12" s="3" customFormat="1" ht="15" customHeight="1" x14ac:dyDescent="0.25">
      <c r="A3627" s="3" t="str">
        <f t="shared" si="116"/>
        <v>ΜΗΛΟΕΙΔΗΜΗΛΑ ΝΤΕ ΡΟΜΑ</v>
      </c>
      <c r="B3627" s="4" t="s">
        <v>6594</v>
      </c>
      <c r="C3627" s="5" t="s">
        <v>6769</v>
      </c>
      <c r="D3627" s="6">
        <v>9716.51</v>
      </c>
      <c r="E3627" s="6">
        <v>9529.25</v>
      </c>
      <c r="F3627" s="7" t="s">
        <v>14</v>
      </c>
      <c r="G3627" s="8" t="s">
        <v>6770</v>
      </c>
      <c r="H3627" s="8" t="s">
        <v>16</v>
      </c>
      <c r="I3627" s="9">
        <v>3315</v>
      </c>
      <c r="J3627" s="10">
        <v>67</v>
      </c>
      <c r="K3627" s="10">
        <v>67084</v>
      </c>
      <c r="L3627" s="3" t="str">
        <f t="shared" si="117"/>
        <v>ΜΗΛΟΕΙΔΗ</v>
      </c>
    </row>
    <row r="3628" spans="1:12" s="3" customFormat="1" ht="15" customHeight="1" x14ac:dyDescent="0.25">
      <c r="A3628" s="3" t="str">
        <f t="shared" si="116"/>
        <v>ΜΗΛΟΕΙΔΗΜΗΛΑ ΣΚΑΡΛΕΤ</v>
      </c>
      <c r="B3628" s="4" t="s">
        <v>6594</v>
      </c>
      <c r="C3628" s="5" t="s">
        <v>6771</v>
      </c>
      <c r="D3628" s="6">
        <v>9716.51</v>
      </c>
      <c r="E3628" s="6">
        <v>9529.25</v>
      </c>
      <c r="F3628" s="7" t="s">
        <v>14</v>
      </c>
      <c r="G3628" s="8" t="s">
        <v>6772</v>
      </c>
      <c r="H3628" s="8" t="s">
        <v>16</v>
      </c>
      <c r="I3628" s="9">
        <v>3314</v>
      </c>
      <c r="J3628" s="10">
        <v>67</v>
      </c>
      <c r="K3628" s="10">
        <v>67085</v>
      </c>
      <c r="L3628" s="3" t="str">
        <f t="shared" si="117"/>
        <v>ΜΗΛΟΕΙΔΗ</v>
      </c>
    </row>
    <row r="3629" spans="1:12" s="3" customFormat="1" ht="15" customHeight="1" x14ac:dyDescent="0.25">
      <c r="A3629" s="3" t="str">
        <f t="shared" si="116"/>
        <v>ΜΗΛΟΕΙΔΗΜΗΛΑ ΓΚΑΛΑ</v>
      </c>
      <c r="B3629" s="4" t="s">
        <v>6594</v>
      </c>
      <c r="C3629" s="5" t="s">
        <v>6773</v>
      </c>
      <c r="D3629" s="6">
        <v>9716.51</v>
      </c>
      <c r="E3629" s="6">
        <v>9529.25</v>
      </c>
      <c r="F3629" s="7" t="s">
        <v>14</v>
      </c>
      <c r="G3629" s="8" t="s">
        <v>6774</v>
      </c>
      <c r="H3629" s="8" t="s">
        <v>16</v>
      </c>
      <c r="I3629" s="9">
        <v>3309</v>
      </c>
      <c r="J3629" s="10">
        <v>67</v>
      </c>
      <c r="K3629" s="10">
        <v>67086</v>
      </c>
      <c r="L3629" s="3" t="str">
        <f t="shared" si="117"/>
        <v>ΜΗΛΟΕΙΔΗ</v>
      </c>
    </row>
    <row r="3630" spans="1:12" s="3" customFormat="1" ht="15" customHeight="1" x14ac:dyDescent="0.25">
      <c r="A3630" s="3" t="str">
        <f t="shared" si="116"/>
        <v>ΜΗΛΟΕΙΔΗΜΗΛΑ PINK LADY</v>
      </c>
      <c r="B3630" s="18" t="s">
        <v>6594</v>
      </c>
      <c r="C3630" s="19" t="s">
        <v>6775</v>
      </c>
      <c r="D3630" s="6">
        <v>9716.51</v>
      </c>
      <c r="E3630" s="6">
        <v>9529.25</v>
      </c>
      <c r="F3630" s="6" t="s">
        <v>14</v>
      </c>
      <c r="G3630" s="8" t="s">
        <v>6776</v>
      </c>
      <c r="H3630" s="8" t="s">
        <v>27</v>
      </c>
      <c r="I3630" s="9">
        <v>4099</v>
      </c>
      <c r="J3630" s="20">
        <v>67</v>
      </c>
      <c r="K3630" s="20">
        <v>67087</v>
      </c>
      <c r="L3630" s="3" t="str">
        <f t="shared" si="117"/>
        <v>ΜΗΛΟΕΙΔΗ</v>
      </c>
    </row>
    <row r="3631" spans="1:12" s="3" customFormat="1" ht="15" customHeight="1" x14ac:dyDescent="0.25">
      <c r="A3631" s="3" t="str">
        <f t="shared" si="116"/>
        <v>ΜΗΛΟΕΙΔΗΜΗΛΑ GALAXY</v>
      </c>
      <c r="B3631" s="4" t="s">
        <v>6594</v>
      </c>
      <c r="C3631" s="5" t="s">
        <v>6777</v>
      </c>
      <c r="D3631" s="6">
        <v>9716.51</v>
      </c>
      <c r="E3631" s="6">
        <v>9529.25</v>
      </c>
      <c r="F3631" s="7" t="s">
        <v>14</v>
      </c>
      <c r="G3631" s="8" t="s">
        <v>6778</v>
      </c>
      <c r="H3631" s="8" t="s">
        <v>16</v>
      </c>
      <c r="I3631" s="9">
        <v>3297</v>
      </c>
      <c r="J3631" s="10">
        <v>67</v>
      </c>
      <c r="K3631" s="10">
        <v>67088</v>
      </c>
      <c r="L3631" s="3" t="str">
        <f t="shared" si="117"/>
        <v>ΜΗΛΟΕΙΔΗ</v>
      </c>
    </row>
    <row r="3632" spans="1:12" s="3" customFormat="1" ht="15" customHeight="1" x14ac:dyDescent="0.25">
      <c r="A3632" s="3" t="str">
        <f t="shared" si="116"/>
        <v>ΜΗΛΟΕΙΔΗΜΗΛΑ ΦΛΩΡΙΝΑ</v>
      </c>
      <c r="B3632" s="4" t="s">
        <v>6594</v>
      </c>
      <c r="C3632" s="5" t="s">
        <v>6779</v>
      </c>
      <c r="D3632" s="6">
        <v>9716.51</v>
      </c>
      <c r="E3632" s="6">
        <v>9529.25</v>
      </c>
      <c r="F3632" s="7" t="s">
        <v>14</v>
      </c>
      <c r="G3632" s="8" t="s">
        <v>6780</v>
      </c>
      <c r="H3632" s="8" t="s">
        <v>16</v>
      </c>
      <c r="I3632" s="9">
        <v>3319</v>
      </c>
      <c r="J3632" s="10">
        <v>67</v>
      </c>
      <c r="K3632" s="10">
        <v>67089</v>
      </c>
      <c r="L3632" s="3" t="str">
        <f t="shared" si="117"/>
        <v>ΜΗΛΟΕΙΔΗ</v>
      </c>
    </row>
    <row r="3633" spans="1:12" s="3" customFormat="1" ht="15" customHeight="1" x14ac:dyDescent="0.25">
      <c r="A3633" s="3" t="str">
        <f t="shared" si="116"/>
        <v>ΜΗΛΟΕΙΔΗΜΗΛΑ ΡΕΝΤ ΓΚΑΛΑ</v>
      </c>
      <c r="B3633" s="18" t="s">
        <v>6594</v>
      </c>
      <c r="C3633" s="19" t="s">
        <v>6781</v>
      </c>
      <c r="D3633" s="6">
        <v>9716.51</v>
      </c>
      <c r="E3633" s="6">
        <v>9529.25</v>
      </c>
      <c r="F3633" s="6" t="s">
        <v>14</v>
      </c>
      <c r="G3633" s="8" t="s">
        <v>6782</v>
      </c>
      <c r="H3633" s="8" t="s">
        <v>27</v>
      </c>
      <c r="I3633" s="9">
        <v>4100</v>
      </c>
      <c r="J3633" s="20">
        <v>67</v>
      </c>
      <c r="K3633" s="20">
        <v>67090</v>
      </c>
      <c r="L3633" s="3" t="str">
        <f t="shared" si="117"/>
        <v>ΜΗΛΟΕΙΔΗ</v>
      </c>
    </row>
    <row r="3634" spans="1:12" s="3" customFormat="1" ht="15" customHeight="1" x14ac:dyDescent="0.25">
      <c r="A3634" s="3" t="str">
        <f t="shared" si="116"/>
        <v>ΜΗΛΟΕΙΔΗΜΗΛΑ ΣΝΙΓΚΑ ΓΚΑΛΑ</v>
      </c>
      <c r="B3634" s="18" t="s">
        <v>6594</v>
      </c>
      <c r="C3634" s="19" t="s">
        <v>6783</v>
      </c>
      <c r="D3634" s="6">
        <v>9716.51</v>
      </c>
      <c r="E3634" s="6">
        <v>9529.25</v>
      </c>
      <c r="F3634" s="6" t="s">
        <v>14</v>
      </c>
      <c r="G3634" s="8" t="s">
        <v>6784</v>
      </c>
      <c r="H3634" s="8" t="s">
        <v>27</v>
      </c>
      <c r="I3634" s="9">
        <v>4101</v>
      </c>
      <c r="J3634" s="20">
        <v>67</v>
      </c>
      <c r="K3634" s="20">
        <v>67091</v>
      </c>
      <c r="L3634" s="3" t="str">
        <f t="shared" si="117"/>
        <v>ΜΗΛΟΕΙΔΗ</v>
      </c>
    </row>
    <row r="3635" spans="1:12" s="3" customFormat="1" ht="15" customHeight="1" x14ac:dyDescent="0.25">
      <c r="A3635" s="3" t="str">
        <f t="shared" si="116"/>
        <v>ΜΗΛΟΕΙΔΗΜΗΛΑ JEROMINE</v>
      </c>
      <c r="B3635" s="4" t="s">
        <v>6594</v>
      </c>
      <c r="C3635" s="5" t="s">
        <v>6785</v>
      </c>
      <c r="D3635" s="6">
        <v>9716.51</v>
      </c>
      <c r="E3635" s="6">
        <v>9529.25</v>
      </c>
      <c r="F3635" s="7" t="s">
        <v>14</v>
      </c>
      <c r="G3635" s="8" t="s">
        <v>6786</v>
      </c>
      <c r="H3635" s="8" t="s">
        <v>16</v>
      </c>
      <c r="I3635" s="9">
        <v>3320</v>
      </c>
      <c r="J3635" s="10">
        <v>67</v>
      </c>
      <c r="K3635" s="10">
        <v>67092</v>
      </c>
      <c r="L3635" s="3" t="str">
        <f t="shared" si="117"/>
        <v>ΜΗΛΟΕΙΔΗ</v>
      </c>
    </row>
    <row r="3636" spans="1:12" s="3" customFormat="1" ht="15" customHeight="1" x14ac:dyDescent="0.25">
      <c r="A3636" s="3" t="str">
        <f t="shared" si="116"/>
        <v>ΜΗΛΟΕΙΔΗΜΗΛΑ DOUBLE RED ROME BEAUTY</v>
      </c>
      <c r="B3636" s="4" t="s">
        <v>6594</v>
      </c>
      <c r="C3636" s="5" t="s">
        <v>6787</v>
      </c>
      <c r="D3636" s="6">
        <v>9716.51</v>
      </c>
      <c r="E3636" s="6">
        <v>9529.25</v>
      </c>
      <c r="F3636" s="7" t="s">
        <v>14</v>
      </c>
      <c r="G3636" s="8" t="s">
        <v>6788</v>
      </c>
      <c r="H3636" s="8" t="s">
        <v>16</v>
      </c>
      <c r="I3636" s="9">
        <v>3321</v>
      </c>
      <c r="J3636" s="10">
        <v>67</v>
      </c>
      <c r="K3636" s="10">
        <v>67093</v>
      </c>
      <c r="L3636" s="3" t="str">
        <f t="shared" si="117"/>
        <v>ΜΗΛΟΕΙΔΗ</v>
      </c>
    </row>
    <row r="3637" spans="1:12" s="3" customFormat="1" ht="15" customHeight="1" x14ac:dyDescent="0.25">
      <c r="A3637" s="3" t="str">
        <f t="shared" si="116"/>
        <v>ΜΗΛΟΕΙΔΗΜΗΛΑ ELSTAR</v>
      </c>
      <c r="B3637" s="4" t="s">
        <v>6594</v>
      </c>
      <c r="C3637" s="5" t="s">
        <v>6789</v>
      </c>
      <c r="D3637" s="6">
        <v>9716.51</v>
      </c>
      <c r="E3637" s="6">
        <v>9529.25</v>
      </c>
      <c r="F3637" s="7" t="s">
        <v>14</v>
      </c>
      <c r="G3637" s="8" t="s">
        <v>6790</v>
      </c>
      <c r="H3637" s="8" t="s">
        <v>16</v>
      </c>
      <c r="I3637" s="9">
        <v>3322</v>
      </c>
      <c r="J3637" s="10">
        <v>67</v>
      </c>
      <c r="K3637" s="10">
        <v>67094</v>
      </c>
      <c r="L3637" s="3" t="str">
        <f t="shared" si="117"/>
        <v>ΜΗΛΟΕΙΔΗ</v>
      </c>
    </row>
    <row r="3638" spans="1:12" s="3" customFormat="1" ht="15" customHeight="1" x14ac:dyDescent="0.25">
      <c r="A3638" s="3" t="str">
        <f t="shared" si="116"/>
        <v>ΜΗΛΟΕΙΔΗΜΗΛΑ FYRIKI</v>
      </c>
      <c r="B3638" s="4" t="s">
        <v>6594</v>
      </c>
      <c r="C3638" s="5" t="s">
        <v>6791</v>
      </c>
      <c r="D3638" s="6">
        <v>9716.51</v>
      </c>
      <c r="E3638" s="6">
        <v>9529.25</v>
      </c>
      <c r="F3638" s="7" t="s">
        <v>14</v>
      </c>
      <c r="G3638" s="8" t="s">
        <v>6792</v>
      </c>
      <c r="H3638" s="8" t="s">
        <v>16</v>
      </c>
      <c r="I3638" s="9">
        <v>3323</v>
      </c>
      <c r="J3638" s="10">
        <v>67</v>
      </c>
      <c r="K3638" s="10">
        <v>67095</v>
      </c>
      <c r="L3638" s="3" t="str">
        <f t="shared" si="117"/>
        <v>ΜΗΛΟΕΙΔΗ</v>
      </c>
    </row>
    <row r="3639" spans="1:12" s="3" customFormat="1" ht="15" customHeight="1" x14ac:dyDescent="0.25">
      <c r="A3639" s="3" t="str">
        <f t="shared" si="116"/>
        <v>ΜΗΛΟΕΙΔΗΜΗΛΑ FYRIKI ASPERMO</v>
      </c>
      <c r="B3639" s="4" t="s">
        <v>6594</v>
      </c>
      <c r="C3639" s="5" t="s">
        <v>6793</v>
      </c>
      <c r="D3639" s="6">
        <v>9716.51</v>
      </c>
      <c r="E3639" s="6">
        <v>9529.25</v>
      </c>
      <c r="F3639" s="7" t="s">
        <v>14</v>
      </c>
      <c r="G3639" s="8" t="s">
        <v>6794</v>
      </c>
      <c r="H3639" s="8" t="s">
        <v>16</v>
      </c>
      <c r="I3639" s="9">
        <v>3324</v>
      </c>
      <c r="J3639" s="10">
        <v>67</v>
      </c>
      <c r="K3639" s="10">
        <v>67096</v>
      </c>
      <c r="L3639" s="3" t="str">
        <f t="shared" si="117"/>
        <v>ΜΗΛΟΕΙΔΗ</v>
      </c>
    </row>
    <row r="3640" spans="1:12" s="3" customFormat="1" ht="15" customHeight="1" x14ac:dyDescent="0.25">
      <c r="A3640" s="3" t="str">
        <f t="shared" si="116"/>
        <v>ΜΗΛΟΕΙΔΗΜΗΛΑ FYRIKI TZOUMAGKA</v>
      </c>
      <c r="B3640" s="4" t="s">
        <v>6594</v>
      </c>
      <c r="C3640" s="5" t="s">
        <v>6795</v>
      </c>
      <c r="D3640" s="6">
        <v>9716.51</v>
      </c>
      <c r="E3640" s="6">
        <v>9529.25</v>
      </c>
      <c r="F3640" s="7" t="s">
        <v>14</v>
      </c>
      <c r="G3640" s="8" t="s">
        <v>6796</v>
      </c>
      <c r="H3640" s="8" t="s">
        <v>16</v>
      </c>
      <c r="I3640" s="9">
        <v>3325</v>
      </c>
      <c r="J3640" s="10">
        <v>67</v>
      </c>
      <c r="K3640" s="10">
        <v>67097</v>
      </c>
      <c r="L3640" s="3" t="str">
        <f t="shared" si="117"/>
        <v>ΜΗΛΟΕΙΔΗ</v>
      </c>
    </row>
    <row r="3641" spans="1:12" s="3" customFormat="1" ht="15" customHeight="1" x14ac:dyDescent="0.25">
      <c r="A3641" s="3" t="str">
        <f t="shared" si="116"/>
        <v>ΜΗΛΟΕΙΔΗΜΗΛΑ GIOURA SPUR</v>
      </c>
      <c r="B3641" s="4" t="s">
        <v>6594</v>
      </c>
      <c r="C3641" s="5" t="s">
        <v>6797</v>
      </c>
      <c r="D3641" s="6">
        <v>9716.51</v>
      </c>
      <c r="E3641" s="6">
        <v>9529.25</v>
      </c>
      <c r="F3641" s="7" t="s">
        <v>14</v>
      </c>
      <c r="G3641" s="8" t="s">
        <v>6798</v>
      </c>
      <c r="H3641" s="8" t="s">
        <v>16</v>
      </c>
      <c r="I3641" s="9">
        <v>3326</v>
      </c>
      <c r="J3641" s="10">
        <v>67</v>
      </c>
      <c r="K3641" s="10">
        <v>67098</v>
      </c>
      <c r="L3641" s="3" t="str">
        <f t="shared" si="117"/>
        <v>ΜΗΛΟΕΙΔΗ</v>
      </c>
    </row>
    <row r="3642" spans="1:12" s="3" customFormat="1" ht="15" customHeight="1" x14ac:dyDescent="0.25">
      <c r="A3642" s="3" t="str">
        <f t="shared" si="116"/>
        <v>ΜΗΛΟΕΙΔΗΜΗΛΑ GOLDEN DELICIOUS</v>
      </c>
      <c r="B3642" s="4" t="s">
        <v>6594</v>
      </c>
      <c r="C3642" s="5" t="s">
        <v>6799</v>
      </c>
      <c r="D3642" s="6">
        <v>9716.51</v>
      </c>
      <c r="E3642" s="6">
        <v>9529.25</v>
      </c>
      <c r="F3642" s="7" t="s">
        <v>14</v>
      </c>
      <c r="G3642" s="8" t="s">
        <v>6800</v>
      </c>
      <c r="H3642" s="8" t="s">
        <v>16</v>
      </c>
      <c r="I3642" s="9">
        <v>3339</v>
      </c>
      <c r="J3642" s="10">
        <v>67</v>
      </c>
      <c r="K3642" s="10">
        <v>67099</v>
      </c>
      <c r="L3642" s="3" t="str">
        <f t="shared" si="117"/>
        <v>ΜΗΛΟΕΙΔΗ</v>
      </c>
    </row>
    <row r="3643" spans="1:12" s="3" customFormat="1" ht="15" customHeight="1" x14ac:dyDescent="0.25">
      <c r="A3643" s="3" t="str">
        <f t="shared" si="116"/>
        <v>ΜΗΛΟΕΙΔΗΜΗΛΑ GRANNY SMITH SPUR</v>
      </c>
      <c r="B3643" s="4" t="s">
        <v>6594</v>
      </c>
      <c r="C3643" s="5" t="s">
        <v>6801</v>
      </c>
      <c r="D3643" s="6">
        <v>9716.51</v>
      </c>
      <c r="E3643" s="6">
        <v>9529.25</v>
      </c>
      <c r="F3643" s="7" t="s">
        <v>14</v>
      </c>
      <c r="G3643" s="8" t="s">
        <v>6802</v>
      </c>
      <c r="H3643" s="8" t="s">
        <v>16</v>
      </c>
      <c r="I3643" s="9">
        <v>3328</v>
      </c>
      <c r="J3643" s="10">
        <v>67</v>
      </c>
      <c r="K3643" s="10">
        <v>67100</v>
      </c>
      <c r="L3643" s="3" t="str">
        <f t="shared" si="117"/>
        <v>ΜΗΛΟΕΙΔΗ</v>
      </c>
    </row>
    <row r="3644" spans="1:12" s="3" customFormat="1" ht="15" customHeight="1" x14ac:dyDescent="0.25">
      <c r="A3644" s="3" t="str">
        <f t="shared" si="116"/>
        <v>ΜΗΛΟΕΙΔΗΜΗΛΑ IDARED</v>
      </c>
      <c r="B3644" s="4" t="s">
        <v>6594</v>
      </c>
      <c r="C3644" s="5" t="s">
        <v>6803</v>
      </c>
      <c r="D3644" s="6">
        <v>9716.51</v>
      </c>
      <c r="E3644" s="6">
        <v>9529.25</v>
      </c>
      <c r="F3644" s="7" t="s">
        <v>14</v>
      </c>
      <c r="G3644" s="8" t="s">
        <v>6804</v>
      </c>
      <c r="H3644" s="8" t="s">
        <v>16</v>
      </c>
      <c r="I3644" s="9">
        <v>3318</v>
      </c>
      <c r="J3644" s="10">
        <v>67</v>
      </c>
      <c r="K3644" s="10">
        <v>67101</v>
      </c>
      <c r="L3644" s="3" t="str">
        <f t="shared" si="117"/>
        <v>ΜΗΛΟΕΙΔΗ</v>
      </c>
    </row>
    <row r="3645" spans="1:12" s="3" customFormat="1" ht="15" customHeight="1" x14ac:dyDescent="0.25">
      <c r="A3645" s="3" t="str">
        <f t="shared" si="116"/>
        <v>ΜΗΛΟΕΙΔΗΜΗΛΑ IMPERIAL DOUBLE RED DELICIOUS</v>
      </c>
      <c r="B3645" s="4" t="s">
        <v>6594</v>
      </c>
      <c r="C3645" s="5" t="s">
        <v>6805</v>
      </c>
      <c r="D3645" s="6">
        <v>9716.51</v>
      </c>
      <c r="E3645" s="6">
        <v>9529.25</v>
      </c>
      <c r="F3645" s="7" t="s">
        <v>14</v>
      </c>
      <c r="G3645" s="8" t="s">
        <v>6806</v>
      </c>
      <c r="H3645" s="8" t="s">
        <v>16</v>
      </c>
      <c r="I3645" s="9">
        <v>3359</v>
      </c>
      <c r="J3645" s="10">
        <v>67</v>
      </c>
      <c r="K3645" s="10">
        <v>67102</v>
      </c>
      <c r="L3645" s="3" t="str">
        <f t="shared" si="117"/>
        <v>ΜΗΛΟΕΙΔΗ</v>
      </c>
    </row>
    <row r="3646" spans="1:12" s="3" customFormat="1" ht="15" customHeight="1" x14ac:dyDescent="0.25">
      <c r="A3646" s="3" t="str">
        <f t="shared" si="116"/>
        <v>ΜΗΛΟΕΙΔΗΜΗΛΑ KALLIGA</v>
      </c>
      <c r="B3646" s="4" t="s">
        <v>6594</v>
      </c>
      <c r="C3646" s="5" t="s">
        <v>6807</v>
      </c>
      <c r="D3646" s="6">
        <v>9716.51</v>
      </c>
      <c r="E3646" s="6">
        <v>9529.25</v>
      </c>
      <c r="F3646" s="7" t="s">
        <v>14</v>
      </c>
      <c r="G3646" s="8" t="s">
        <v>6808</v>
      </c>
      <c r="H3646" s="8" t="s">
        <v>16</v>
      </c>
      <c r="I3646" s="9">
        <v>3331</v>
      </c>
      <c r="J3646" s="10">
        <v>67</v>
      </c>
      <c r="K3646" s="10">
        <v>67103</v>
      </c>
      <c r="L3646" s="3" t="str">
        <f t="shared" si="117"/>
        <v>ΜΗΛΟΕΙΔΗ</v>
      </c>
    </row>
    <row r="3647" spans="1:12" s="3" customFormat="1" ht="15" customHeight="1" x14ac:dyDescent="0.25">
      <c r="A3647" s="3" t="str">
        <f t="shared" si="116"/>
        <v>ΜΗΛΟΕΙΔΗΜΗΛΑ LUSGOLDEN</v>
      </c>
      <c r="B3647" s="4" t="s">
        <v>6594</v>
      </c>
      <c r="C3647" s="5" t="s">
        <v>6809</v>
      </c>
      <c r="D3647" s="6">
        <v>9716.51</v>
      </c>
      <c r="E3647" s="6">
        <v>9529.25</v>
      </c>
      <c r="F3647" s="7" t="s">
        <v>14</v>
      </c>
      <c r="G3647" s="8" t="s">
        <v>6810</v>
      </c>
      <c r="H3647" s="8" t="s">
        <v>16</v>
      </c>
      <c r="I3647" s="9">
        <v>3338</v>
      </c>
      <c r="J3647" s="10">
        <v>67</v>
      </c>
      <c r="K3647" s="10">
        <v>67104</v>
      </c>
      <c r="L3647" s="3" t="str">
        <f t="shared" si="117"/>
        <v>ΜΗΛΟΕΙΔΗ</v>
      </c>
    </row>
    <row r="3648" spans="1:12" s="3" customFormat="1" ht="15" customHeight="1" x14ac:dyDescent="0.25">
      <c r="A3648" s="3" t="str">
        <f t="shared" si="116"/>
        <v>ΜΗΛΟΕΙΔΗΜΗΛΑ RED DELICIOUS</v>
      </c>
      <c r="B3648" s="4" t="s">
        <v>6594</v>
      </c>
      <c r="C3648" s="5" t="s">
        <v>6811</v>
      </c>
      <c r="D3648" s="6">
        <v>9716.51</v>
      </c>
      <c r="E3648" s="6">
        <v>9529.25</v>
      </c>
      <c r="F3648" s="7" t="s">
        <v>14</v>
      </c>
      <c r="G3648" s="8" t="s">
        <v>6812</v>
      </c>
      <c r="H3648" s="8" t="s">
        <v>16</v>
      </c>
      <c r="I3648" s="9">
        <v>3333</v>
      </c>
      <c r="J3648" s="10">
        <v>67</v>
      </c>
      <c r="K3648" s="10">
        <v>67105</v>
      </c>
      <c r="L3648" s="3" t="str">
        <f t="shared" si="117"/>
        <v>ΜΗΛΟΕΙΔΗ</v>
      </c>
    </row>
    <row r="3649" spans="1:12" s="3" customFormat="1" ht="15" customHeight="1" x14ac:dyDescent="0.25">
      <c r="A3649" s="3" t="str">
        <f t="shared" si="116"/>
        <v>ΜΗΛΟΕΙΔΗΜΗΛΑ PILAFA (NTELITSIOUS PILAFA)</v>
      </c>
      <c r="B3649" s="4" t="s">
        <v>6594</v>
      </c>
      <c r="C3649" s="5" t="s">
        <v>6813</v>
      </c>
      <c r="D3649" s="6">
        <v>9716.51</v>
      </c>
      <c r="E3649" s="6">
        <v>9529.25</v>
      </c>
      <c r="F3649" s="7" t="s">
        <v>14</v>
      </c>
      <c r="G3649" s="8" t="s">
        <v>6814</v>
      </c>
      <c r="H3649" s="8" t="s">
        <v>16</v>
      </c>
      <c r="I3649" s="9">
        <v>3334</v>
      </c>
      <c r="J3649" s="10">
        <v>67</v>
      </c>
      <c r="K3649" s="10">
        <v>67106</v>
      </c>
      <c r="L3649" s="3" t="str">
        <f t="shared" si="117"/>
        <v>ΜΗΛΟΕΙΔΗ</v>
      </c>
    </row>
    <row r="3650" spans="1:12" s="3" customFormat="1" ht="15" customHeight="1" x14ac:dyDescent="0.25">
      <c r="A3650" s="3" t="str">
        <f t="shared" si="116"/>
        <v>ΜΗΛΟΕΙΔΗΜΗΛΑ PRIAM</v>
      </c>
      <c r="B3650" s="4" t="s">
        <v>6594</v>
      </c>
      <c r="C3650" s="5" t="s">
        <v>6815</v>
      </c>
      <c r="D3650" s="6">
        <v>9716.51</v>
      </c>
      <c r="E3650" s="6">
        <v>9529.25</v>
      </c>
      <c r="F3650" s="7" t="s">
        <v>14</v>
      </c>
      <c r="G3650" s="8" t="s">
        <v>6816</v>
      </c>
      <c r="H3650" s="8" t="s">
        <v>16</v>
      </c>
      <c r="I3650" s="9">
        <v>3335</v>
      </c>
      <c r="J3650" s="10">
        <v>67</v>
      </c>
      <c r="K3650" s="10">
        <v>67107</v>
      </c>
      <c r="L3650" s="3" t="str">
        <f t="shared" si="117"/>
        <v>ΜΗΛΟΕΙΔΗ</v>
      </c>
    </row>
    <row r="3651" spans="1:12" s="3" customFormat="1" ht="15" customHeight="1" x14ac:dyDescent="0.25">
      <c r="A3651" s="3" t="str">
        <f t="shared" ref="A3651:A3714" si="118">_xlfn.CONCAT(B3651,C3651)</f>
        <v>ΜΗΛΟΕΙΔΗΜΗΛΑ REINES DE REINETTES</v>
      </c>
      <c r="B3651" s="4" t="s">
        <v>6594</v>
      </c>
      <c r="C3651" s="5" t="s">
        <v>6817</v>
      </c>
      <c r="D3651" s="6">
        <v>9716.51</v>
      </c>
      <c r="E3651" s="6">
        <v>9529.25</v>
      </c>
      <c r="F3651" s="7" t="s">
        <v>14</v>
      </c>
      <c r="G3651" s="8" t="s">
        <v>6818</v>
      </c>
      <c r="H3651" s="8" t="s">
        <v>16</v>
      </c>
      <c r="I3651" s="9">
        <v>3336</v>
      </c>
      <c r="J3651" s="10">
        <v>67</v>
      </c>
      <c r="K3651" s="10">
        <v>67108</v>
      </c>
      <c r="L3651" s="3" t="str">
        <f t="shared" ref="L3651:L3714" si="119">IFERROR(SUBSTITUTE(SUBSTITUTE(SUBSTITUTE(SUBSTITUTE(SUBSTITUTE(B3651, "-", "_"), " ", "_"), ",", ""), "(", ""), ")", ""), B3651)</f>
        <v>ΜΗΛΟΕΙΔΗ</v>
      </c>
    </row>
    <row r="3652" spans="1:12" s="3" customFormat="1" ht="15" customHeight="1" x14ac:dyDescent="0.25">
      <c r="A3652" s="3" t="str">
        <f t="shared" si="118"/>
        <v>ΜΗΛΟΕΙΔΗΜΗΛΑ SMOOTHEE</v>
      </c>
      <c r="B3652" s="4" t="s">
        <v>6594</v>
      </c>
      <c r="C3652" s="5" t="s">
        <v>6819</v>
      </c>
      <c r="D3652" s="6">
        <v>9716.51</v>
      </c>
      <c r="E3652" s="6">
        <v>9529.25</v>
      </c>
      <c r="F3652" s="7" t="s">
        <v>14</v>
      </c>
      <c r="G3652" s="8" t="s">
        <v>6820</v>
      </c>
      <c r="H3652" s="8" t="s">
        <v>16</v>
      </c>
      <c r="I3652" s="9">
        <v>3337</v>
      </c>
      <c r="J3652" s="10">
        <v>67</v>
      </c>
      <c r="K3652" s="10">
        <v>67109</v>
      </c>
      <c r="L3652" s="3" t="str">
        <f t="shared" si="119"/>
        <v>ΜΗΛΟΕΙΔΗ</v>
      </c>
    </row>
    <row r="3653" spans="1:12" s="3" customFormat="1" ht="15" customHeight="1" x14ac:dyDescent="0.25">
      <c r="A3653" s="3" t="str">
        <f t="shared" si="118"/>
        <v>ΜΗΛΟΕΙΔΗΜΗΛΑ YELLOW SPUR</v>
      </c>
      <c r="B3653" s="4" t="s">
        <v>6594</v>
      </c>
      <c r="C3653" s="5" t="s">
        <v>6821</v>
      </c>
      <c r="D3653" s="6">
        <v>9716.51</v>
      </c>
      <c r="E3653" s="6">
        <v>9529.25</v>
      </c>
      <c r="F3653" s="7" t="s">
        <v>14</v>
      </c>
      <c r="G3653" s="8" t="s">
        <v>6822</v>
      </c>
      <c r="H3653" s="8" t="s">
        <v>16</v>
      </c>
      <c r="I3653" s="9">
        <v>3308</v>
      </c>
      <c r="J3653" s="10">
        <v>67</v>
      </c>
      <c r="K3653" s="10">
        <v>67110</v>
      </c>
      <c r="L3653" s="3" t="str">
        <f t="shared" si="119"/>
        <v>ΜΗΛΟΕΙΔΗ</v>
      </c>
    </row>
    <row r="3654" spans="1:12" s="3" customFormat="1" ht="15" customHeight="1" x14ac:dyDescent="0.25">
      <c r="A3654" s="3" t="str">
        <f t="shared" si="118"/>
        <v>ΜΗΛΟΕΙΔΗΜΗΛΑ SUPER CHIEF</v>
      </c>
      <c r="B3654" s="4" t="s">
        <v>6594</v>
      </c>
      <c r="C3654" s="5" t="s">
        <v>6823</v>
      </c>
      <c r="D3654" s="6">
        <v>9716.51</v>
      </c>
      <c r="E3654" s="6">
        <v>9529.25</v>
      </c>
      <c r="F3654" s="7" t="s">
        <v>14</v>
      </c>
      <c r="G3654" s="8" t="s">
        <v>6824</v>
      </c>
      <c r="H3654" s="8" t="s">
        <v>16</v>
      </c>
      <c r="I3654" s="9">
        <v>3329</v>
      </c>
      <c r="J3654" s="10">
        <v>67</v>
      </c>
      <c r="K3654" s="10">
        <v>67111</v>
      </c>
      <c r="L3654" s="3" t="str">
        <f t="shared" si="119"/>
        <v>ΜΗΛΟΕΙΔΗ</v>
      </c>
    </row>
    <row r="3655" spans="1:12" s="3" customFormat="1" ht="15" customHeight="1" x14ac:dyDescent="0.25">
      <c r="A3655" s="3" t="str">
        <f t="shared" si="118"/>
        <v>ΜΗΛΟΕΙΔΗΜΗΛΑ STARK GUGGER (RED VELOX)</v>
      </c>
      <c r="B3655" s="4" t="s">
        <v>6594</v>
      </c>
      <c r="C3655" s="5" t="s">
        <v>6825</v>
      </c>
      <c r="D3655" s="6">
        <v>9716.51</v>
      </c>
      <c r="E3655" s="6">
        <v>9529.25</v>
      </c>
      <c r="F3655" s="7" t="s">
        <v>14</v>
      </c>
      <c r="G3655" s="8" t="s">
        <v>6826</v>
      </c>
      <c r="H3655" s="8" t="s">
        <v>16</v>
      </c>
      <c r="I3655" s="9">
        <v>3327</v>
      </c>
      <c r="J3655" s="10">
        <v>67</v>
      </c>
      <c r="K3655" s="10">
        <v>67112</v>
      </c>
      <c r="L3655" s="3" t="str">
        <f t="shared" si="119"/>
        <v>ΜΗΛΟΕΙΔΗ</v>
      </c>
    </row>
    <row r="3656" spans="1:12" s="3" customFormat="1" ht="15" customHeight="1" x14ac:dyDescent="0.25">
      <c r="A3656" s="3" t="str">
        <f t="shared" si="118"/>
        <v>ΜΗΛΟΕΙΔΗΜΗΛΑ FORLADY</v>
      </c>
      <c r="B3656" s="4" t="s">
        <v>6594</v>
      </c>
      <c r="C3656" s="5" t="s">
        <v>6827</v>
      </c>
      <c r="D3656" s="6">
        <v>9716.51</v>
      </c>
      <c r="E3656" s="6">
        <v>9529.25</v>
      </c>
      <c r="F3656" s="7" t="s">
        <v>14</v>
      </c>
      <c r="G3656" s="8" t="s">
        <v>6828</v>
      </c>
      <c r="H3656" s="8" t="s">
        <v>16</v>
      </c>
      <c r="I3656" s="9">
        <v>3298</v>
      </c>
      <c r="J3656" s="10">
        <v>67</v>
      </c>
      <c r="K3656" s="10">
        <v>67113</v>
      </c>
      <c r="L3656" s="3" t="str">
        <f t="shared" si="119"/>
        <v>ΜΗΛΟΕΙΔΗ</v>
      </c>
    </row>
    <row r="3657" spans="1:12" s="3" customFormat="1" ht="15" customHeight="1" x14ac:dyDescent="0.25">
      <c r="A3657" s="3" t="str">
        <f t="shared" si="118"/>
        <v>ΜΗΛΟΕΙΔΗΜΗΛΑ CRIPPS PINK (PINK LADY)</v>
      </c>
      <c r="B3657" s="4" t="s">
        <v>6594</v>
      </c>
      <c r="C3657" s="5" t="s">
        <v>6829</v>
      </c>
      <c r="D3657" s="6">
        <v>9716.51</v>
      </c>
      <c r="E3657" s="6">
        <v>9529.25</v>
      </c>
      <c r="F3657" s="7" t="s">
        <v>14</v>
      </c>
      <c r="G3657" s="8" t="s">
        <v>6830</v>
      </c>
      <c r="H3657" s="8" t="s">
        <v>16</v>
      </c>
      <c r="I3657" s="9">
        <v>3299</v>
      </c>
      <c r="J3657" s="10">
        <v>67</v>
      </c>
      <c r="K3657" s="10">
        <v>67114</v>
      </c>
      <c r="L3657" s="3" t="str">
        <f t="shared" si="119"/>
        <v>ΜΗΛΟΕΙΔΗ</v>
      </c>
    </row>
    <row r="3658" spans="1:12" s="3" customFormat="1" ht="15" customHeight="1" x14ac:dyDescent="0.25">
      <c r="A3658" s="3" t="str">
        <f t="shared" si="118"/>
        <v>ΜΗΛΟΕΙΔΗΜΗΛΑ SUMMER RICH</v>
      </c>
      <c r="B3658" s="4" t="s">
        <v>6594</v>
      </c>
      <c r="C3658" s="5" t="s">
        <v>6831</v>
      </c>
      <c r="D3658" s="6">
        <v>9716.51</v>
      </c>
      <c r="E3658" s="6">
        <v>9529.25</v>
      </c>
      <c r="F3658" s="7" t="s">
        <v>14</v>
      </c>
      <c r="G3658" s="8" t="s">
        <v>6832</v>
      </c>
      <c r="H3658" s="8" t="s">
        <v>16</v>
      </c>
      <c r="I3658" s="9">
        <v>3300</v>
      </c>
      <c r="J3658" s="10">
        <v>67</v>
      </c>
      <c r="K3658" s="10">
        <v>67115</v>
      </c>
      <c r="L3658" s="3" t="str">
        <f t="shared" si="119"/>
        <v>ΜΗΛΟΕΙΔΗ</v>
      </c>
    </row>
    <row r="3659" spans="1:12" s="3" customFormat="1" ht="15" customHeight="1" x14ac:dyDescent="0.25">
      <c r="A3659" s="3" t="str">
        <f t="shared" si="118"/>
        <v>ΜΗΛΟΕΙΔΗΜΗΛΑ ROAT (KING ROAT)</v>
      </c>
      <c r="B3659" s="4" t="s">
        <v>6594</v>
      </c>
      <c r="C3659" s="5" t="s">
        <v>6833</v>
      </c>
      <c r="D3659" s="6">
        <v>9716.51</v>
      </c>
      <c r="E3659" s="6">
        <v>9529.25</v>
      </c>
      <c r="F3659" s="7" t="s">
        <v>14</v>
      </c>
      <c r="G3659" s="8" t="s">
        <v>6834</v>
      </c>
      <c r="H3659" s="8" t="s">
        <v>16</v>
      </c>
      <c r="I3659" s="9">
        <v>3301</v>
      </c>
      <c r="J3659" s="10">
        <v>67</v>
      </c>
      <c r="K3659" s="10">
        <v>67116</v>
      </c>
      <c r="L3659" s="3" t="str">
        <f t="shared" si="119"/>
        <v>ΜΗΛΟΕΙΔΗ</v>
      </c>
    </row>
    <row r="3660" spans="1:12" s="3" customFormat="1" ht="15" customHeight="1" x14ac:dyDescent="0.25">
      <c r="A3660" s="3" t="str">
        <f t="shared" si="118"/>
        <v>ΜΗΛΟΕΙΔΗΜΗΛΑ FUJIVW (KING FUJI)</v>
      </c>
      <c r="B3660" s="4" t="s">
        <v>6594</v>
      </c>
      <c r="C3660" s="5" t="s">
        <v>6835</v>
      </c>
      <c r="D3660" s="6">
        <v>9716.51</v>
      </c>
      <c r="E3660" s="6">
        <v>9529.25</v>
      </c>
      <c r="F3660" s="7" t="s">
        <v>14</v>
      </c>
      <c r="G3660" s="8" t="s">
        <v>6836</v>
      </c>
      <c r="H3660" s="8" t="s">
        <v>16</v>
      </c>
      <c r="I3660" s="9">
        <v>3302</v>
      </c>
      <c r="J3660" s="10">
        <v>67</v>
      </c>
      <c r="K3660" s="10">
        <v>67117</v>
      </c>
      <c r="L3660" s="3" t="str">
        <f t="shared" si="119"/>
        <v>ΜΗΛΟΕΙΔΗ</v>
      </c>
    </row>
    <row r="3661" spans="1:12" s="3" customFormat="1" ht="15" customHeight="1" x14ac:dyDescent="0.25">
      <c r="A3661" s="3" t="str">
        <f t="shared" si="118"/>
        <v>ΜΗΛΟΕΙΔΗΜΗΛΑ GALA 2013 (DARK BARON)</v>
      </c>
      <c r="B3661" s="4" t="s">
        <v>6594</v>
      </c>
      <c r="C3661" s="5" t="s">
        <v>6837</v>
      </c>
      <c r="D3661" s="6">
        <v>9716.51</v>
      </c>
      <c r="E3661" s="6">
        <v>9529.25</v>
      </c>
      <c r="F3661" s="7" t="s">
        <v>14</v>
      </c>
      <c r="G3661" s="8" t="s">
        <v>6838</v>
      </c>
      <c r="H3661" s="8" t="s">
        <v>16</v>
      </c>
      <c r="I3661" s="9">
        <v>3303</v>
      </c>
      <c r="J3661" s="10">
        <v>67</v>
      </c>
      <c r="K3661" s="10">
        <v>67118</v>
      </c>
      <c r="L3661" s="3" t="str">
        <f t="shared" si="119"/>
        <v>ΜΗΛΟΕΙΔΗ</v>
      </c>
    </row>
    <row r="3662" spans="1:12" s="3" customFormat="1" ht="15" customHeight="1" x14ac:dyDescent="0.25">
      <c r="A3662" s="3" t="str">
        <f t="shared" si="118"/>
        <v>ΜΗΛΟΕΙΔΗΜΗΛΑ GALA SCHNICO RED</v>
      </c>
      <c r="B3662" s="4" t="s">
        <v>6594</v>
      </c>
      <c r="C3662" s="5" t="s">
        <v>6839</v>
      </c>
      <c r="D3662" s="6">
        <v>9716.51</v>
      </c>
      <c r="E3662" s="6">
        <v>9529.25</v>
      </c>
      <c r="F3662" s="7" t="s">
        <v>14</v>
      </c>
      <c r="G3662" s="8" t="s">
        <v>6840</v>
      </c>
      <c r="H3662" s="8" t="s">
        <v>16</v>
      </c>
      <c r="I3662" s="9">
        <v>3304</v>
      </c>
      <c r="J3662" s="10">
        <v>67</v>
      </c>
      <c r="K3662" s="10">
        <v>67119</v>
      </c>
      <c r="L3662" s="3" t="str">
        <f t="shared" si="119"/>
        <v>ΜΗΛΟΕΙΔΗ</v>
      </c>
    </row>
    <row r="3663" spans="1:12" s="3" customFormat="1" ht="15" customHeight="1" x14ac:dyDescent="0.25">
      <c r="A3663" s="3" t="str">
        <f t="shared" si="118"/>
        <v>ΜΗΛΟΕΙΔΗΜΗΛΑ BLACK BEN (BLACK BEN DAVIS)</v>
      </c>
      <c r="B3663" s="4" t="s">
        <v>6594</v>
      </c>
      <c r="C3663" s="5" t="s">
        <v>6841</v>
      </c>
      <c r="D3663" s="6">
        <v>9716.51</v>
      </c>
      <c r="E3663" s="6">
        <v>9529.25</v>
      </c>
      <c r="F3663" s="7" t="s">
        <v>14</v>
      </c>
      <c r="G3663" s="8" t="s">
        <v>6842</v>
      </c>
      <c r="H3663" s="8" t="s">
        <v>16</v>
      </c>
      <c r="I3663" s="9">
        <v>3305</v>
      </c>
      <c r="J3663" s="10">
        <v>67</v>
      </c>
      <c r="K3663" s="10">
        <v>67120</v>
      </c>
      <c r="L3663" s="3" t="str">
        <f t="shared" si="119"/>
        <v>ΜΗΛΟΕΙΔΗ</v>
      </c>
    </row>
    <row r="3664" spans="1:12" s="3" customFormat="1" ht="15" customHeight="1" x14ac:dyDescent="0.25">
      <c r="A3664" s="3" t="str">
        <f t="shared" si="118"/>
        <v>ΜΗΛΟΕΙΔΗΜΗΛΑ RED BARON</v>
      </c>
      <c r="B3664" s="4" t="s">
        <v>6594</v>
      </c>
      <c r="C3664" s="5" t="s">
        <v>6843</v>
      </c>
      <c r="D3664" s="6">
        <v>9716.51</v>
      </c>
      <c r="E3664" s="6">
        <v>9529.25</v>
      </c>
      <c r="F3664" s="7" t="s">
        <v>14</v>
      </c>
      <c r="G3664" s="8" t="s">
        <v>6844</v>
      </c>
      <c r="H3664" s="8" t="s">
        <v>16</v>
      </c>
      <c r="I3664" s="9">
        <v>3317</v>
      </c>
      <c r="J3664" s="10">
        <v>67</v>
      </c>
      <c r="K3664" s="10">
        <v>67121</v>
      </c>
      <c r="L3664" s="3" t="str">
        <f t="shared" si="119"/>
        <v>ΜΗΛΟΕΙΔΗ</v>
      </c>
    </row>
    <row r="3665" spans="1:12" s="3" customFormat="1" ht="15" customHeight="1" x14ac:dyDescent="0.25">
      <c r="A3665" s="3" t="str">
        <f t="shared" si="118"/>
        <v>ΜΗΛΟΕΙΔΗΜΗΛΑ DEVIL GALA</v>
      </c>
      <c r="B3665" s="21" t="s">
        <v>6594</v>
      </c>
      <c r="C3665" s="22" t="s">
        <v>6845</v>
      </c>
      <c r="D3665" s="6">
        <v>9716.51</v>
      </c>
      <c r="E3665" s="6">
        <v>9529.25</v>
      </c>
      <c r="F3665" s="6" t="s">
        <v>14</v>
      </c>
      <c r="G3665" s="8" t="s">
        <v>6846</v>
      </c>
      <c r="H3665" s="8" t="s">
        <v>16</v>
      </c>
      <c r="I3665" s="9">
        <v>5282</v>
      </c>
      <c r="J3665" s="16">
        <v>67</v>
      </c>
      <c r="K3665" s="16">
        <v>67122</v>
      </c>
      <c r="L3665" s="3" t="str">
        <f t="shared" si="119"/>
        <v>ΜΗΛΟΕΙΔΗ</v>
      </c>
    </row>
    <row r="3666" spans="1:12" s="3" customFormat="1" ht="15" customHeight="1" x14ac:dyDescent="0.25">
      <c r="A3666" s="3" t="str">
        <f t="shared" si="118"/>
        <v>ΜΗΛΟΕΙΔΗΜΗΛΑ ATZEK</v>
      </c>
      <c r="B3666" s="21" t="s">
        <v>6594</v>
      </c>
      <c r="C3666" s="22" t="s">
        <v>6847</v>
      </c>
      <c r="D3666" s="6">
        <v>9716.51</v>
      </c>
      <c r="E3666" s="6">
        <v>9529.25</v>
      </c>
      <c r="F3666" s="6" t="s">
        <v>14</v>
      </c>
      <c r="G3666" s="8" t="s">
        <v>6848</v>
      </c>
      <c r="H3666" s="8" t="s">
        <v>16</v>
      </c>
      <c r="I3666" s="9">
        <v>5283</v>
      </c>
      <c r="J3666" s="16">
        <v>67</v>
      </c>
      <c r="K3666" s="16">
        <v>67123</v>
      </c>
      <c r="L3666" s="3" t="str">
        <f t="shared" si="119"/>
        <v>ΜΗΛΟΕΙΔΗ</v>
      </c>
    </row>
    <row r="3667" spans="1:12" s="3" customFormat="1" ht="15" customHeight="1" x14ac:dyDescent="0.25">
      <c r="A3667" s="3" t="str">
        <f t="shared" si="118"/>
        <v>ΜΗΛΟΕΙΔΗΜΗΛΑ COOP 39 (CRIMSON CRISP)</v>
      </c>
      <c r="B3667" s="21" t="s">
        <v>6594</v>
      </c>
      <c r="C3667" s="22" t="s">
        <v>6849</v>
      </c>
      <c r="D3667" s="6">
        <v>9716.51</v>
      </c>
      <c r="E3667" s="6">
        <v>9529.25</v>
      </c>
      <c r="F3667" s="6" t="s">
        <v>14</v>
      </c>
      <c r="G3667" s="8" t="s">
        <v>6850</v>
      </c>
      <c r="H3667" s="8" t="s">
        <v>16</v>
      </c>
      <c r="I3667" s="9">
        <v>5284</v>
      </c>
      <c r="J3667" s="16">
        <v>67</v>
      </c>
      <c r="K3667" s="16">
        <v>67124</v>
      </c>
      <c r="L3667" s="3" t="str">
        <f t="shared" si="119"/>
        <v>ΜΗΛΟΕΙΔΗ</v>
      </c>
    </row>
    <row r="3668" spans="1:12" s="3" customFormat="1" ht="15" customHeight="1" x14ac:dyDescent="0.25">
      <c r="A3668" s="3" t="str">
        <f t="shared" si="118"/>
        <v>ΜΗΛΟΕΙΔΗΜΗΛΑ GOLDEN REINDERS</v>
      </c>
      <c r="B3668" s="23" t="s">
        <v>6594</v>
      </c>
      <c r="C3668" s="24" t="s">
        <v>6851</v>
      </c>
      <c r="D3668" s="6">
        <v>9716.51</v>
      </c>
      <c r="E3668" s="6">
        <v>9529.25</v>
      </c>
      <c r="F3668" s="29" t="s">
        <v>14</v>
      </c>
      <c r="G3668" s="8" t="s">
        <v>6852</v>
      </c>
      <c r="H3668" s="8" t="s">
        <v>16</v>
      </c>
      <c r="I3668" s="9">
        <v>5426</v>
      </c>
      <c r="J3668" s="26">
        <v>67</v>
      </c>
      <c r="K3668" s="27">
        <v>67125</v>
      </c>
      <c r="L3668" s="3" t="str">
        <f t="shared" si="119"/>
        <v>ΜΗΛΟΕΙΔΗ</v>
      </c>
    </row>
    <row r="3669" spans="1:12" s="3" customFormat="1" ht="15" customHeight="1" x14ac:dyDescent="0.25">
      <c r="A3669" s="3" t="str">
        <f t="shared" si="118"/>
        <v>ΜΗΛΟΕΙΔΗΜΗΛΑ KF 576 (GALA DARK ANN)</v>
      </c>
      <c r="B3669" s="23" t="s">
        <v>6594</v>
      </c>
      <c r="C3669" s="24" t="s">
        <v>6853</v>
      </c>
      <c r="D3669" s="6">
        <v>9716.51</v>
      </c>
      <c r="E3669" s="6">
        <v>9529.25</v>
      </c>
      <c r="F3669" s="7" t="s">
        <v>14</v>
      </c>
      <c r="G3669" s="30" t="s">
        <v>6854</v>
      </c>
      <c r="H3669" s="31" t="s">
        <v>577</v>
      </c>
      <c r="I3669" s="9">
        <v>6090</v>
      </c>
      <c r="J3669" s="30">
        <v>67</v>
      </c>
      <c r="K3669" s="30">
        <v>67126</v>
      </c>
      <c r="L3669" s="3" t="str">
        <f t="shared" si="119"/>
        <v>ΜΗΛΟΕΙΔΗ</v>
      </c>
    </row>
    <row r="3670" spans="1:12" s="3" customFormat="1" ht="15" customHeight="1" x14ac:dyDescent="0.25">
      <c r="A3670" s="3" t="str">
        <f t="shared" si="118"/>
        <v>ΜΗΛΟΕΙΔΗΜΗΛΑ GALA PERATHONER (GALA RED LUM)</v>
      </c>
      <c r="B3670" s="23" t="s">
        <v>6594</v>
      </c>
      <c r="C3670" s="24" t="s">
        <v>6855</v>
      </c>
      <c r="D3670" s="6">
        <v>9716.51</v>
      </c>
      <c r="E3670" s="6">
        <v>9529.25</v>
      </c>
      <c r="F3670" s="7" t="s">
        <v>14</v>
      </c>
      <c r="G3670" s="30" t="s">
        <v>6856</v>
      </c>
      <c r="H3670" s="31" t="s">
        <v>577</v>
      </c>
      <c r="I3670" s="9">
        <v>6087</v>
      </c>
      <c r="J3670" s="30">
        <v>67</v>
      </c>
      <c r="K3670" s="30">
        <v>67127</v>
      </c>
      <c r="L3670" s="3" t="str">
        <f t="shared" si="119"/>
        <v>ΜΗΛΟΕΙΔΗ</v>
      </c>
    </row>
    <row r="3671" spans="1:12" s="3" customFormat="1" ht="15" customHeight="1" x14ac:dyDescent="0.25">
      <c r="A3671" s="3" t="str">
        <f t="shared" si="118"/>
        <v>ΜΗΛΟΕΙΔΗΑΜΥΓΔΑΛΑ BURALMONDTWO (SHASTA)</v>
      </c>
      <c r="B3671" s="23" t="s">
        <v>6594</v>
      </c>
      <c r="C3671" s="24" t="s">
        <v>6857</v>
      </c>
      <c r="D3671" s="6">
        <v>6628.52</v>
      </c>
      <c r="E3671" s="6">
        <v>7978.51</v>
      </c>
      <c r="F3671" s="7" t="s">
        <v>14</v>
      </c>
      <c r="G3671" s="30" t="s">
        <v>6858</v>
      </c>
      <c r="H3671" s="31" t="s">
        <v>577</v>
      </c>
      <c r="I3671" s="9">
        <v>5620</v>
      </c>
      <c r="J3671" s="30">
        <v>67</v>
      </c>
      <c r="K3671" s="30">
        <v>67128</v>
      </c>
      <c r="L3671" s="3" t="str">
        <f t="shared" si="119"/>
        <v>ΜΗΛΟΕΙΔΗ</v>
      </c>
    </row>
    <row r="3672" spans="1:12" s="3" customFormat="1" ht="15" customHeight="1" x14ac:dyDescent="0.25">
      <c r="A3672" s="3" t="str">
        <f t="shared" si="118"/>
        <v>ΜΗΛΟΕΙΔΗΑΜΎΓΔΑΛΑ ALM 21</v>
      </c>
      <c r="B3672" s="23" t="s">
        <v>6594</v>
      </c>
      <c r="C3672" s="24" t="s">
        <v>6859</v>
      </c>
      <c r="D3672" s="6">
        <v>6628.52</v>
      </c>
      <c r="E3672" s="6">
        <v>7978.51</v>
      </c>
      <c r="F3672" s="7" t="s">
        <v>14</v>
      </c>
      <c r="G3672" s="30" t="s">
        <v>6860</v>
      </c>
      <c r="H3672" s="31" t="s">
        <v>577</v>
      </c>
      <c r="I3672" s="9">
        <v>5619</v>
      </c>
      <c r="J3672" s="30">
        <v>67</v>
      </c>
      <c r="K3672" s="30">
        <v>67129</v>
      </c>
      <c r="L3672" s="3" t="str">
        <f t="shared" si="119"/>
        <v>ΜΗΛΟΕΙΔΗ</v>
      </c>
    </row>
    <row r="3673" spans="1:12" s="3" customFormat="1" ht="15" customHeight="1" x14ac:dyDescent="0.25">
      <c r="A3673" s="3" t="str">
        <f t="shared" si="118"/>
        <v>ΜΗΛΟΕΙΔΗΜΉΛΑ DEVIL GALA</v>
      </c>
      <c r="B3673" s="23" t="s">
        <v>6594</v>
      </c>
      <c r="C3673" s="24" t="s">
        <v>6861</v>
      </c>
      <c r="D3673" s="6">
        <v>9716.51</v>
      </c>
      <c r="E3673" s="6">
        <v>9529.25</v>
      </c>
      <c r="F3673" s="7" t="s">
        <v>14</v>
      </c>
      <c r="G3673" s="30" t="s">
        <v>6862</v>
      </c>
      <c r="H3673" s="31" t="s">
        <v>577</v>
      </c>
      <c r="I3673" s="9">
        <v>6084</v>
      </c>
      <c r="J3673" s="30">
        <v>67</v>
      </c>
      <c r="K3673" s="30">
        <v>67130</v>
      </c>
      <c r="L3673" s="3" t="str">
        <f t="shared" si="119"/>
        <v>ΜΗΛΟΕΙΔΗ</v>
      </c>
    </row>
    <row r="3674" spans="1:12" s="3" customFormat="1" ht="15" customHeight="1" x14ac:dyDescent="0.25">
      <c r="A3674" s="3" t="str">
        <f t="shared" si="118"/>
        <v>ΜΗΛΟΕΙΔΗΜΉΛΑ FENZEM1</v>
      </c>
      <c r="B3674" s="23" t="s">
        <v>6594</v>
      </c>
      <c r="C3674" s="24" t="s">
        <v>6863</v>
      </c>
      <c r="D3674" s="6">
        <v>9716.51</v>
      </c>
      <c r="E3674" s="6">
        <v>9529.25</v>
      </c>
      <c r="F3674" s="7" t="s">
        <v>14</v>
      </c>
      <c r="G3674" s="30" t="s">
        <v>6864</v>
      </c>
      <c r="H3674" s="31" t="s">
        <v>577</v>
      </c>
      <c r="I3674" s="9">
        <v>6086</v>
      </c>
      <c r="J3674" s="30">
        <v>67</v>
      </c>
      <c r="K3674" s="30">
        <v>67131</v>
      </c>
      <c r="L3674" s="3" t="str">
        <f t="shared" si="119"/>
        <v>ΜΗΛΟΕΙΔΗ</v>
      </c>
    </row>
    <row r="3675" spans="1:12" s="3" customFormat="1" ht="15" customHeight="1" x14ac:dyDescent="0.25">
      <c r="A3675" s="3" t="str">
        <f t="shared" si="118"/>
        <v>ΜΗΛΟΕΙΔΗΜΉΛΑ FENPLUS</v>
      </c>
      <c r="B3675" s="23" t="s">
        <v>6594</v>
      </c>
      <c r="C3675" s="24" t="s">
        <v>6865</v>
      </c>
      <c r="D3675" s="6">
        <v>9716.51</v>
      </c>
      <c r="E3675" s="6">
        <v>9529.25</v>
      </c>
      <c r="F3675" s="7" t="s">
        <v>14</v>
      </c>
      <c r="G3675" s="30" t="s">
        <v>6866</v>
      </c>
      <c r="H3675" s="31" t="s">
        <v>577</v>
      </c>
      <c r="I3675" s="9">
        <v>6085</v>
      </c>
      <c r="J3675" s="30">
        <v>67</v>
      </c>
      <c r="K3675" s="30">
        <v>67132</v>
      </c>
      <c r="L3675" s="3" t="str">
        <f t="shared" si="119"/>
        <v>ΜΗΛΟΕΙΔΗ</v>
      </c>
    </row>
    <row r="3676" spans="1:12" s="3" customFormat="1" ht="15" customHeight="1" x14ac:dyDescent="0.25">
      <c r="A3676" s="3" t="str">
        <f t="shared" si="118"/>
        <v>ΜΗΛΟΕΙΔΗΜΉΛΑ SIMMONS</v>
      </c>
      <c r="B3676" s="23" t="s">
        <v>6594</v>
      </c>
      <c r="C3676" s="24" t="s">
        <v>6867</v>
      </c>
      <c r="D3676" s="6">
        <v>9716.51</v>
      </c>
      <c r="E3676" s="6">
        <v>9529.25</v>
      </c>
      <c r="F3676" s="7" t="s">
        <v>14</v>
      </c>
      <c r="G3676" s="30" t="s">
        <v>6868</v>
      </c>
      <c r="H3676" s="31" t="s">
        <v>577</v>
      </c>
      <c r="I3676" s="9">
        <v>6092</v>
      </c>
      <c r="J3676" s="30">
        <v>67</v>
      </c>
      <c r="K3676" s="30">
        <v>67133</v>
      </c>
      <c r="L3676" s="3" t="str">
        <f t="shared" si="119"/>
        <v>ΜΗΛΟΕΙΔΗ</v>
      </c>
    </row>
    <row r="3677" spans="1:12" s="3" customFormat="1" ht="15" customHeight="1" x14ac:dyDescent="0.25">
      <c r="A3677" s="3" t="str">
        <f t="shared" si="118"/>
        <v>ΜΗΛΟΕΙΔΗΜΉΛΑ JEROMINE</v>
      </c>
      <c r="B3677" s="23" t="s">
        <v>6594</v>
      </c>
      <c r="C3677" s="24" t="s">
        <v>6869</v>
      </c>
      <c r="D3677" s="6">
        <v>9716.51</v>
      </c>
      <c r="E3677" s="6">
        <v>9529.25</v>
      </c>
      <c r="F3677" s="7" t="s">
        <v>14</v>
      </c>
      <c r="G3677" s="30" t="s">
        <v>6870</v>
      </c>
      <c r="H3677" s="31" t="s">
        <v>577</v>
      </c>
      <c r="I3677" s="9">
        <v>6088</v>
      </c>
      <c r="J3677" s="30">
        <v>67</v>
      </c>
      <c r="K3677" s="30">
        <v>67134</v>
      </c>
      <c r="L3677" s="3" t="str">
        <f t="shared" si="119"/>
        <v>ΜΗΛΟΕΙΔΗ</v>
      </c>
    </row>
    <row r="3678" spans="1:12" s="3" customFormat="1" ht="15" customHeight="1" x14ac:dyDescent="0.25">
      <c r="A3678" s="3" t="str">
        <f t="shared" si="118"/>
        <v>ΜΗΛΟΕΙΔΗΜΉΛΑ AZTEC</v>
      </c>
      <c r="B3678" s="23" t="s">
        <v>6594</v>
      </c>
      <c r="C3678" s="24" t="s">
        <v>6871</v>
      </c>
      <c r="D3678" s="6">
        <v>9716.51</v>
      </c>
      <c r="E3678" s="6">
        <v>9529.25</v>
      </c>
      <c r="F3678" s="7" t="s">
        <v>14</v>
      </c>
      <c r="G3678" s="30" t="s">
        <v>6872</v>
      </c>
      <c r="H3678" s="31" t="s">
        <v>577</v>
      </c>
      <c r="I3678" s="9">
        <v>6083</v>
      </c>
      <c r="J3678" s="30">
        <v>67</v>
      </c>
      <c r="K3678" s="30">
        <v>67135</v>
      </c>
      <c r="L3678" s="3" t="str">
        <f t="shared" si="119"/>
        <v>ΜΗΛΟΕΙΔΗ</v>
      </c>
    </row>
    <row r="3679" spans="1:12" s="3" customFormat="1" ht="15" customHeight="1" x14ac:dyDescent="0.25">
      <c r="A3679" s="3" t="str">
        <f t="shared" si="118"/>
        <v>ΜΗΛΟΕΙΔΗΜΉΛΑ APISTAR</v>
      </c>
      <c r="B3679" s="23" t="s">
        <v>6594</v>
      </c>
      <c r="C3679" s="24" t="s">
        <v>6873</v>
      </c>
      <c r="D3679" s="6">
        <v>9716.51</v>
      </c>
      <c r="E3679" s="6">
        <v>9529.25</v>
      </c>
      <c r="F3679" s="7" t="s">
        <v>14</v>
      </c>
      <c r="G3679" s="30" t="s">
        <v>6874</v>
      </c>
      <c r="H3679" s="31" t="s">
        <v>577</v>
      </c>
      <c r="I3679" s="9">
        <v>6082</v>
      </c>
      <c r="J3679" s="30">
        <v>67</v>
      </c>
      <c r="K3679" s="30">
        <v>67136</v>
      </c>
      <c r="L3679" s="3" t="str">
        <f t="shared" si="119"/>
        <v>ΜΗΛΟΕΙΔΗ</v>
      </c>
    </row>
    <row r="3680" spans="1:12" s="3" customFormat="1" ht="15" customHeight="1" x14ac:dyDescent="0.25">
      <c r="A3680" s="3" t="str">
        <f t="shared" si="118"/>
        <v>ΜΗΛΟΕΙΔΗΜΉΛΑ KARNEVAL</v>
      </c>
      <c r="B3680" s="23" t="s">
        <v>6594</v>
      </c>
      <c r="C3680" s="24" t="s">
        <v>6875</v>
      </c>
      <c r="D3680" s="6">
        <v>9716.51</v>
      </c>
      <c r="E3680" s="6">
        <v>9529.25</v>
      </c>
      <c r="F3680" s="7" t="s">
        <v>14</v>
      </c>
      <c r="G3680" s="30" t="s">
        <v>6876</v>
      </c>
      <c r="H3680" s="31" t="s">
        <v>577</v>
      </c>
      <c r="I3680" s="9">
        <v>6089</v>
      </c>
      <c r="J3680" s="30">
        <v>67</v>
      </c>
      <c r="K3680" s="30">
        <v>67137</v>
      </c>
      <c r="L3680" s="3" t="str">
        <f t="shared" si="119"/>
        <v>ΜΗΛΟΕΙΔΗ</v>
      </c>
    </row>
    <row r="3681" spans="1:12" s="3" customFormat="1" ht="15" customHeight="1" x14ac:dyDescent="0.25">
      <c r="A3681" s="3" t="str">
        <f t="shared" si="118"/>
        <v>ΜΗΛΟΕΙΔΗΜΉΛΑ MARS (UEB 2602)</v>
      </c>
      <c r="B3681" s="23" t="s">
        <v>6594</v>
      </c>
      <c r="C3681" s="24" t="s">
        <v>6877</v>
      </c>
      <c r="D3681" s="6">
        <v>9716.51</v>
      </c>
      <c r="E3681" s="6">
        <v>9529.25</v>
      </c>
      <c r="F3681" s="7" t="s">
        <v>14</v>
      </c>
      <c r="G3681" s="30" t="s">
        <v>6878</v>
      </c>
      <c r="H3681" s="31" t="s">
        <v>577</v>
      </c>
      <c r="I3681" s="9">
        <v>6091</v>
      </c>
      <c r="J3681" s="30">
        <v>67</v>
      </c>
      <c r="K3681" s="30">
        <v>67138</v>
      </c>
      <c r="L3681" s="3" t="str">
        <f t="shared" si="119"/>
        <v>ΜΗΛΟΕΙΔΗ</v>
      </c>
    </row>
    <row r="3682" spans="1:12" s="3" customFormat="1" ht="15" customHeight="1" x14ac:dyDescent="0.25">
      <c r="A3682" s="3" t="str">
        <f t="shared" si="118"/>
        <v>ΜΗΛΟΕΙΔΗΑΧΛΑΔΙΕΣ Β</v>
      </c>
      <c r="B3682" s="4" t="s">
        <v>6594</v>
      </c>
      <c r="C3682" s="5" t="s">
        <v>6879</v>
      </c>
      <c r="D3682" s="6">
        <v>9716.51</v>
      </c>
      <c r="E3682" s="6">
        <v>9529.25</v>
      </c>
      <c r="F3682" s="7" t="s">
        <v>14</v>
      </c>
      <c r="G3682" s="8" t="s">
        <v>6880</v>
      </c>
      <c r="H3682" s="8" t="s">
        <v>16</v>
      </c>
      <c r="I3682" s="9">
        <v>3289</v>
      </c>
      <c r="J3682" s="10">
        <v>67</v>
      </c>
      <c r="K3682" s="10">
        <v>8131</v>
      </c>
      <c r="L3682" s="3" t="str">
        <f t="shared" si="119"/>
        <v>ΜΗΛΟΕΙΔΗ</v>
      </c>
    </row>
    <row r="3683" spans="1:12" s="3" customFormat="1" ht="15" customHeight="1" x14ac:dyDescent="0.25">
      <c r="A3683" s="3" t="str">
        <f t="shared" si="118"/>
        <v>ΜΗΛΟΕΙΔΗΜΗΛΙΕΣ Β</v>
      </c>
      <c r="B3683" s="18" t="s">
        <v>6594</v>
      </c>
      <c r="C3683" s="19" t="s">
        <v>6881</v>
      </c>
      <c r="D3683" s="6">
        <v>9716.51</v>
      </c>
      <c r="E3683" s="6">
        <v>9529.25</v>
      </c>
      <c r="F3683" s="6" t="s">
        <v>14</v>
      </c>
      <c r="G3683" s="8" t="s">
        <v>6882</v>
      </c>
      <c r="H3683" s="8" t="s">
        <v>27</v>
      </c>
      <c r="I3683" s="9">
        <v>4102</v>
      </c>
      <c r="J3683" s="20">
        <v>67</v>
      </c>
      <c r="K3683" s="20">
        <v>8132</v>
      </c>
      <c r="L3683" s="3" t="str">
        <f t="shared" si="119"/>
        <v>ΜΗΛΟΕΙΔΗ</v>
      </c>
    </row>
    <row r="3684" spans="1:12" s="3" customFormat="1" ht="15" customHeight="1" x14ac:dyDescent="0.25">
      <c r="A3684" s="3" t="str">
        <f t="shared" si="118"/>
        <v>ΜΗΛΟΕΙΔΗΚΥΔΩΝΙΕΣ</v>
      </c>
      <c r="B3684" s="4" t="s">
        <v>6594</v>
      </c>
      <c r="C3684" s="5" t="s">
        <v>6883</v>
      </c>
      <c r="D3684" s="6">
        <v>9716.51</v>
      </c>
      <c r="E3684" s="6">
        <v>9529.25</v>
      </c>
      <c r="F3684" s="7" t="s">
        <v>14</v>
      </c>
      <c r="G3684" s="8" t="s">
        <v>6884</v>
      </c>
      <c r="H3684" s="8" t="s">
        <v>16</v>
      </c>
      <c r="I3684" s="9">
        <v>3357</v>
      </c>
      <c r="J3684" s="10">
        <v>67</v>
      </c>
      <c r="K3684" s="10">
        <v>8606</v>
      </c>
      <c r="L3684" s="3" t="str">
        <f t="shared" si="119"/>
        <v>ΜΗΛΟΕΙΔΗ</v>
      </c>
    </row>
    <row r="3685" spans="1:12" s="3" customFormat="1" ht="15" customHeight="1" x14ac:dyDescent="0.25">
      <c r="A3685" s="3" t="str">
        <f t="shared" si="118"/>
        <v>ΜΗΛΟΕΙΔΗΑΧΛΑΔΙΑ - ΑΧΤΣΕΔΕΣ ΛΕΣΒΟΥ</v>
      </c>
      <c r="B3685" s="4" t="s">
        <v>6594</v>
      </c>
      <c r="C3685" s="5" t="s">
        <v>6885</v>
      </c>
      <c r="D3685" s="6">
        <v>9716.51</v>
      </c>
      <c r="E3685" s="6">
        <v>9529.25</v>
      </c>
      <c r="F3685" s="7" t="s">
        <v>14</v>
      </c>
      <c r="G3685" s="8" t="s">
        <v>6886</v>
      </c>
      <c r="H3685" s="8" t="s">
        <v>16</v>
      </c>
      <c r="I3685" s="9">
        <v>3312</v>
      </c>
      <c r="J3685" s="10">
        <v>67</v>
      </c>
      <c r="K3685" s="10">
        <v>8757</v>
      </c>
      <c r="L3685" s="3" t="str">
        <f t="shared" si="119"/>
        <v>ΜΗΛΟΕΙΔΗ</v>
      </c>
    </row>
    <row r="3686" spans="1:12" s="3" customFormat="1" ht="15" customHeight="1" x14ac:dyDescent="0.25">
      <c r="A3686" s="3" t="str">
        <f t="shared" si="118"/>
        <v>ΜΗΛΟΕΙΔΗΑΧΛΑΔΙΑ - ΜΠΟΥΣΔΟΥΒΑΝΤΙΚΟ</v>
      </c>
      <c r="B3686" s="4" t="s">
        <v>6594</v>
      </c>
      <c r="C3686" s="5" t="s">
        <v>6887</v>
      </c>
      <c r="D3686" s="6">
        <v>9716.51</v>
      </c>
      <c r="E3686" s="6">
        <v>9529.25</v>
      </c>
      <c r="F3686" s="7" t="s">
        <v>14</v>
      </c>
      <c r="G3686" s="8" t="s">
        <v>6888</v>
      </c>
      <c r="H3686" s="8" t="s">
        <v>16</v>
      </c>
      <c r="I3686" s="9">
        <v>3311</v>
      </c>
      <c r="J3686" s="10">
        <v>67</v>
      </c>
      <c r="K3686" s="10">
        <v>8758</v>
      </c>
      <c r="L3686" s="3" t="str">
        <f t="shared" si="119"/>
        <v>ΜΗΛΟΕΙΔΗ</v>
      </c>
    </row>
    <row r="3687" spans="1:12" s="3" customFormat="1" ht="15" customHeight="1" x14ac:dyDescent="0.25">
      <c r="A3687" s="3" t="str">
        <f t="shared" si="118"/>
        <v>ΜΗΛΟΕΙΔΗΑΧΛΑΔΙΑ - ΑΥΓΟΥΣΤΙΑΤΙΚΟ</v>
      </c>
      <c r="B3687" s="4" t="s">
        <v>6594</v>
      </c>
      <c r="C3687" s="5" t="s">
        <v>6889</v>
      </c>
      <c r="D3687" s="6">
        <v>9716.51</v>
      </c>
      <c r="E3687" s="6">
        <v>9529.25</v>
      </c>
      <c r="F3687" s="7" t="s">
        <v>14</v>
      </c>
      <c r="G3687" s="8" t="s">
        <v>6890</v>
      </c>
      <c r="H3687" s="8" t="s">
        <v>16</v>
      </c>
      <c r="I3687" s="9">
        <v>3310</v>
      </c>
      <c r="J3687" s="10">
        <v>67</v>
      </c>
      <c r="K3687" s="10">
        <v>8759</v>
      </c>
      <c r="L3687" s="3" t="str">
        <f t="shared" si="119"/>
        <v>ΜΗΛΟΕΙΔΗ</v>
      </c>
    </row>
    <row r="3688" spans="1:12" s="3" customFormat="1" ht="15" customHeight="1" x14ac:dyDescent="0.25">
      <c r="A3688" s="3" t="str">
        <f t="shared" si="118"/>
        <v>ΜΗΛΟΕΙΔΗΜΗΛΑ - ΞΥΝΟΜΗΛΑ ΑΓΙΑΣΟΥ</v>
      </c>
      <c r="B3688" s="18" t="s">
        <v>6594</v>
      </c>
      <c r="C3688" s="19" t="s">
        <v>6891</v>
      </c>
      <c r="D3688" s="6">
        <v>9716.51</v>
      </c>
      <c r="E3688" s="6">
        <v>9529.25</v>
      </c>
      <c r="F3688" s="6" t="s">
        <v>14</v>
      </c>
      <c r="G3688" s="8" t="s">
        <v>6892</v>
      </c>
      <c r="H3688" s="8" t="s">
        <v>27</v>
      </c>
      <c r="I3688" s="9">
        <v>4103</v>
      </c>
      <c r="J3688" s="20">
        <v>67</v>
      </c>
      <c r="K3688" s="20">
        <v>8768</v>
      </c>
      <c r="L3688" s="3" t="str">
        <f t="shared" si="119"/>
        <v>ΜΗΛΟΕΙΔΗ</v>
      </c>
    </row>
    <row r="3689" spans="1:12" s="3" customFormat="1" ht="15" customHeight="1" x14ac:dyDescent="0.25">
      <c r="A3689" s="3" t="str">
        <f t="shared" si="118"/>
        <v>ΜΗΛΟΕΙΔΗΜΗΛΑ - ΚΥΔΩΝΟΜΗΛΟ ΝΑΟΥΣΑΣ</v>
      </c>
      <c r="B3689" s="18" t="s">
        <v>6594</v>
      </c>
      <c r="C3689" s="19" t="s">
        <v>6893</v>
      </c>
      <c r="D3689" s="6">
        <v>9716.51</v>
      </c>
      <c r="E3689" s="6">
        <v>9529.25</v>
      </c>
      <c r="F3689" s="6" t="s">
        <v>14</v>
      </c>
      <c r="G3689" s="8" t="s">
        <v>6894</v>
      </c>
      <c r="H3689" s="8" t="s">
        <v>27</v>
      </c>
      <c r="I3689" s="9">
        <v>4104</v>
      </c>
      <c r="J3689" s="20">
        <v>67</v>
      </c>
      <c r="K3689" s="20">
        <v>8769</v>
      </c>
      <c r="L3689" s="3" t="str">
        <f t="shared" si="119"/>
        <v>ΜΗΛΟΕΙΔΗ</v>
      </c>
    </row>
    <row r="3690" spans="1:12" s="3" customFormat="1" ht="15" customHeight="1" x14ac:dyDescent="0.25">
      <c r="A3690" s="3" t="str">
        <f t="shared" si="118"/>
        <v>ΜΗΛΟΕΙΔΗΜΗΛΑ - ΚΑΛΛΙΓΑ ΑΙΓΙΝΙΟΥ</v>
      </c>
      <c r="B3690" s="18" t="s">
        <v>6594</v>
      </c>
      <c r="C3690" s="19" t="s">
        <v>6895</v>
      </c>
      <c r="D3690" s="6">
        <v>9716.51</v>
      </c>
      <c r="E3690" s="6">
        <v>9529.25</v>
      </c>
      <c r="F3690" s="6" t="s">
        <v>14</v>
      </c>
      <c r="G3690" s="8" t="s">
        <v>6896</v>
      </c>
      <c r="H3690" s="8" t="s">
        <v>27</v>
      </c>
      <c r="I3690" s="9">
        <v>4105</v>
      </c>
      <c r="J3690" s="20">
        <v>67</v>
      </c>
      <c r="K3690" s="20">
        <v>8771</v>
      </c>
      <c r="L3690" s="3" t="str">
        <f t="shared" si="119"/>
        <v>ΜΗΛΟΕΙΔΗ</v>
      </c>
    </row>
    <row r="3691" spans="1:12" s="3" customFormat="1" ht="15" customHeight="1" x14ac:dyDescent="0.25">
      <c r="A3691" s="3" t="str">
        <f t="shared" si="118"/>
        <v>ΜΗΛΟΕΙΔΗΜΗΛΑ - ΝΤΟΠΙΟ ΚΑΡΠΑΘΙ</v>
      </c>
      <c r="B3691" s="18" t="s">
        <v>6594</v>
      </c>
      <c r="C3691" s="19" t="s">
        <v>6897</v>
      </c>
      <c r="D3691" s="6">
        <v>9716.51</v>
      </c>
      <c r="E3691" s="6">
        <v>9529.25</v>
      </c>
      <c r="F3691" s="6" t="s">
        <v>14</v>
      </c>
      <c r="G3691" s="8" t="s">
        <v>6898</v>
      </c>
      <c r="H3691" s="8" t="s">
        <v>27</v>
      </c>
      <c r="I3691" s="9">
        <v>4106</v>
      </c>
      <c r="J3691" s="20">
        <v>67</v>
      </c>
      <c r="K3691" s="20">
        <v>8772</v>
      </c>
      <c r="L3691" s="3" t="str">
        <f t="shared" si="119"/>
        <v>ΜΗΛΟΕΙΔΗ</v>
      </c>
    </row>
    <row r="3692" spans="1:12" s="3" customFormat="1" ht="15" customHeight="1" x14ac:dyDescent="0.25">
      <c r="A3692" s="3" t="str">
        <f t="shared" si="118"/>
        <v>ΜΗΛΟΕΙΔΗΜΗΛΑ - ΡΕΝΕΤΕΣ ΑΓΙΑΣΟΥ</v>
      </c>
      <c r="B3692" s="18" t="s">
        <v>6594</v>
      </c>
      <c r="C3692" s="19" t="s">
        <v>6899</v>
      </c>
      <c r="D3692" s="6">
        <v>9716.51</v>
      </c>
      <c r="E3692" s="6">
        <v>9529.25</v>
      </c>
      <c r="F3692" s="6" t="s">
        <v>14</v>
      </c>
      <c r="G3692" s="8" t="s">
        <v>6900</v>
      </c>
      <c r="H3692" s="8" t="s">
        <v>27</v>
      </c>
      <c r="I3692" s="9">
        <v>4107</v>
      </c>
      <c r="J3692" s="20">
        <v>67</v>
      </c>
      <c r="K3692" s="20">
        <v>8773</v>
      </c>
      <c r="L3692" s="3" t="str">
        <f t="shared" si="119"/>
        <v>ΜΗΛΟΕΙΔΗ</v>
      </c>
    </row>
    <row r="3693" spans="1:12" s="3" customFormat="1" ht="15" customHeight="1" x14ac:dyDescent="0.25">
      <c r="A3693" s="3" t="str">
        <f t="shared" si="118"/>
        <v>ΜΠΑΝΑΝΕΣΜΠΑΝΑΝΕΣ</v>
      </c>
      <c r="B3693" s="4" t="s">
        <v>6901</v>
      </c>
      <c r="C3693" s="5" t="s">
        <v>6901</v>
      </c>
      <c r="D3693" s="6">
        <v>11224.92</v>
      </c>
      <c r="E3693" s="6">
        <v>9346.09</v>
      </c>
      <c r="F3693" s="7" t="s">
        <v>14</v>
      </c>
      <c r="G3693" s="8" t="s">
        <v>6902</v>
      </c>
      <c r="H3693" s="8" t="s">
        <v>16</v>
      </c>
      <c r="I3693" s="9">
        <v>1824</v>
      </c>
      <c r="J3693" s="10">
        <v>29</v>
      </c>
      <c r="K3693" s="10">
        <v>8602</v>
      </c>
      <c r="L3693" s="3" t="str">
        <f t="shared" si="119"/>
        <v>ΜΠΑΝΑΝΕΣ</v>
      </c>
    </row>
    <row r="3694" spans="1:12" s="3" customFormat="1" ht="15" customHeight="1" x14ac:dyDescent="0.25">
      <c r="A3694" s="3" t="str">
        <f t="shared" si="118"/>
        <v>ΜΠΑΝΑΝΕΣΜΠΑΝΑΝΕΣ ΥΠΟ ΚΑΛΥΨΗ</v>
      </c>
      <c r="B3694" s="4" t="s">
        <v>6901</v>
      </c>
      <c r="C3694" s="5" t="s">
        <v>6903</v>
      </c>
      <c r="D3694" s="6">
        <v>31242.650000000005</v>
      </c>
      <c r="E3694" s="6">
        <v>31506.3</v>
      </c>
      <c r="F3694" s="7" t="s">
        <v>14</v>
      </c>
      <c r="G3694" s="8" t="s">
        <v>6904</v>
      </c>
      <c r="H3694" s="8" t="s">
        <v>16</v>
      </c>
      <c r="I3694" s="9">
        <v>1823</v>
      </c>
      <c r="J3694" s="10">
        <v>29</v>
      </c>
      <c r="K3694" s="10">
        <v>9107013</v>
      </c>
      <c r="L3694" s="3" t="str">
        <f t="shared" si="119"/>
        <v>ΜΠΑΝΑΝΕΣ</v>
      </c>
    </row>
    <row r="3695" spans="1:12" s="3" customFormat="1" ht="15" customHeight="1" x14ac:dyDescent="0.25">
      <c r="A3695" s="3" t="str">
        <f t="shared" si="118"/>
        <v>ΟΡΝΙΘΟΕΙΔΗΟΡΝΙΘΕΣ ΚΡΕΟΠΑΡΑΓΩΓΗΣ</v>
      </c>
      <c r="B3695" s="17" t="s">
        <v>6905</v>
      </c>
      <c r="C3695" s="14" t="s">
        <v>6906</v>
      </c>
      <c r="D3695" s="35">
        <f>1908/100/6</f>
        <v>3.1799999999999997</v>
      </c>
      <c r="E3695" s="35">
        <f>2.79</f>
        <v>2.79</v>
      </c>
      <c r="F3695" s="11" t="s">
        <v>23</v>
      </c>
      <c r="G3695" s="8" t="s">
        <v>6907</v>
      </c>
      <c r="H3695" s="8" t="s">
        <v>16</v>
      </c>
      <c r="I3695" s="9">
        <v>4819</v>
      </c>
      <c r="J3695" s="13">
        <v>6</v>
      </c>
      <c r="K3695" s="13">
        <v>610020</v>
      </c>
      <c r="L3695" s="3" t="str">
        <f t="shared" si="119"/>
        <v>ΟΡΝΙΘΟΕΙΔΗ</v>
      </c>
    </row>
    <row r="3696" spans="1:12" s="3" customFormat="1" ht="15" customHeight="1" x14ac:dyDescent="0.25">
      <c r="A3696" s="3" t="str">
        <f t="shared" si="118"/>
        <v>ΟΡΝΙΘΟΕΙΔΗΟΡΝΙΘΕΣ ΑΝΑΠΑΡΑΓΩΓΗΣ</v>
      </c>
      <c r="B3696" s="17" t="s">
        <v>6905</v>
      </c>
      <c r="C3696" s="14" t="s">
        <v>6908</v>
      </c>
      <c r="D3696" s="6">
        <f>2145/100</f>
        <v>21.45</v>
      </c>
      <c r="E3696" s="6">
        <f>2120/100</f>
        <v>21.2</v>
      </c>
      <c r="F3696" s="11" t="s">
        <v>23</v>
      </c>
      <c r="G3696" s="8" t="s">
        <v>6909</v>
      </c>
      <c r="H3696" s="8" t="s">
        <v>16</v>
      </c>
      <c r="I3696" s="9">
        <v>4820</v>
      </c>
      <c r="J3696" s="13">
        <v>6</v>
      </c>
      <c r="K3696" s="13">
        <v>610040</v>
      </c>
      <c r="L3696" s="3" t="str">
        <f t="shared" si="119"/>
        <v>ΟΡΝΙΘΟΕΙΔΗ</v>
      </c>
    </row>
    <row r="3697" spans="1:12" s="3" customFormat="1" ht="15" customHeight="1" x14ac:dyDescent="0.25">
      <c r="A3697" s="3" t="str">
        <f t="shared" si="118"/>
        <v>ΟΡΝΙΘΟΕΙΔΗΟΡΝΙΘΕΣ ΩΟΠΑΡΑΓΩΓΗΣ</v>
      </c>
      <c r="B3697" s="17" t="s">
        <v>6905</v>
      </c>
      <c r="C3697" s="14" t="s">
        <v>6910</v>
      </c>
      <c r="D3697" s="6">
        <f>2145/100</f>
        <v>21.45</v>
      </c>
      <c r="E3697" s="6">
        <f>2120/100</f>
        <v>21.2</v>
      </c>
      <c r="F3697" s="11" t="s">
        <v>23</v>
      </c>
      <c r="G3697" s="8" t="s">
        <v>6911</v>
      </c>
      <c r="H3697" s="8" t="s">
        <v>16</v>
      </c>
      <c r="I3697" s="9">
        <v>4821</v>
      </c>
      <c r="J3697" s="13">
        <v>6</v>
      </c>
      <c r="K3697" s="13">
        <v>610050</v>
      </c>
      <c r="L3697" s="3" t="str">
        <f t="shared" si="119"/>
        <v>ΟΡΝΙΘΟΕΙΔΗ</v>
      </c>
    </row>
    <row r="3698" spans="1:12" s="3" customFormat="1" ht="15" customHeight="1" x14ac:dyDescent="0.25">
      <c r="A3698" s="3" t="str">
        <f t="shared" si="118"/>
        <v>ΟΡΝΙΘΟΕΙΔΗΧΗΝΕΣ ΚΡΕΟΠΑΡΑΓΩΓΗΣ</v>
      </c>
      <c r="B3698" s="17" t="s">
        <v>6905</v>
      </c>
      <c r="C3698" s="14" t="s">
        <v>6912</v>
      </c>
      <c r="D3698" s="6">
        <f>1470/100</f>
        <v>14.7</v>
      </c>
      <c r="E3698" s="6">
        <f>1496/100</f>
        <v>14.96</v>
      </c>
      <c r="F3698" s="11" t="s">
        <v>23</v>
      </c>
      <c r="G3698" s="8" t="s">
        <v>6913</v>
      </c>
      <c r="H3698" s="8" t="s">
        <v>16</v>
      </c>
      <c r="I3698" s="9">
        <v>4822</v>
      </c>
      <c r="J3698" s="13">
        <v>6</v>
      </c>
      <c r="K3698" s="13">
        <v>620020</v>
      </c>
      <c r="L3698" s="3" t="str">
        <f t="shared" si="119"/>
        <v>ΟΡΝΙΘΟΕΙΔΗ</v>
      </c>
    </row>
    <row r="3699" spans="1:12" s="3" customFormat="1" ht="15" customHeight="1" x14ac:dyDescent="0.25">
      <c r="A3699" s="3" t="str">
        <f t="shared" si="118"/>
        <v>ΟΡΝΙΘΟΕΙΔΗΧΗΝΕΣ ΑΝΑΠΑΡΑΓΩΓΗΣ</v>
      </c>
      <c r="B3699" s="17" t="s">
        <v>6905</v>
      </c>
      <c r="C3699" s="14" t="s">
        <v>6914</v>
      </c>
      <c r="D3699" s="6">
        <f t="shared" ref="D3699:D3705" si="120">1470/100</f>
        <v>14.7</v>
      </c>
      <c r="E3699" s="6">
        <f t="shared" ref="E3699:E3705" si="121">1496/100</f>
        <v>14.96</v>
      </c>
      <c r="F3699" s="11" t="s">
        <v>23</v>
      </c>
      <c r="G3699" s="8" t="s">
        <v>6915</v>
      </c>
      <c r="H3699" s="8" t="s">
        <v>16</v>
      </c>
      <c r="I3699" s="9">
        <v>4823</v>
      </c>
      <c r="J3699" s="13">
        <v>6</v>
      </c>
      <c r="K3699" s="13">
        <v>620040</v>
      </c>
      <c r="L3699" s="3" t="str">
        <f t="shared" si="119"/>
        <v>ΟΡΝΙΘΟΕΙΔΗ</v>
      </c>
    </row>
    <row r="3700" spans="1:12" s="3" customFormat="1" ht="15" customHeight="1" x14ac:dyDescent="0.25">
      <c r="A3700" s="3" t="str">
        <f t="shared" si="118"/>
        <v>ΟΡΝΙΘΟΕΙΔΗΠΑΠΙΕΣ ΚΡΕΟΠΑΡΑΓΩΓΗΣ</v>
      </c>
      <c r="B3700" s="17" t="s">
        <v>6905</v>
      </c>
      <c r="C3700" s="14" t="s">
        <v>6916</v>
      </c>
      <c r="D3700" s="6">
        <f t="shared" si="120"/>
        <v>14.7</v>
      </c>
      <c r="E3700" s="6">
        <f t="shared" si="121"/>
        <v>14.96</v>
      </c>
      <c r="F3700" s="11" t="s">
        <v>23</v>
      </c>
      <c r="G3700" s="8" t="s">
        <v>6917</v>
      </c>
      <c r="H3700" s="8" t="s">
        <v>16</v>
      </c>
      <c r="I3700" s="9">
        <v>4824</v>
      </c>
      <c r="J3700" s="13">
        <v>6</v>
      </c>
      <c r="K3700" s="13">
        <v>630020</v>
      </c>
      <c r="L3700" s="3" t="str">
        <f t="shared" si="119"/>
        <v>ΟΡΝΙΘΟΕΙΔΗ</v>
      </c>
    </row>
    <row r="3701" spans="1:12" s="3" customFormat="1" ht="15" customHeight="1" x14ac:dyDescent="0.25">
      <c r="A3701" s="3" t="str">
        <f t="shared" si="118"/>
        <v>ΟΡΝΙΘΟΕΙΔΗΠΑΠΙΕΣ ΑΝΑΠΑΡΑΓΩΓΗΣ</v>
      </c>
      <c r="B3701" s="17" t="s">
        <v>6905</v>
      </c>
      <c r="C3701" s="14" t="s">
        <v>6918</v>
      </c>
      <c r="D3701" s="6">
        <f t="shared" si="120"/>
        <v>14.7</v>
      </c>
      <c r="E3701" s="6">
        <f t="shared" si="121"/>
        <v>14.96</v>
      </c>
      <c r="F3701" s="11" t="s">
        <v>23</v>
      </c>
      <c r="G3701" s="8" t="s">
        <v>6919</v>
      </c>
      <c r="H3701" s="8" t="s">
        <v>16</v>
      </c>
      <c r="I3701" s="9">
        <v>4825</v>
      </c>
      <c r="J3701" s="13">
        <v>6</v>
      </c>
      <c r="K3701" s="13">
        <v>630040</v>
      </c>
      <c r="L3701" s="3" t="str">
        <f t="shared" si="119"/>
        <v>ΟΡΝΙΘΟΕΙΔΗ</v>
      </c>
    </row>
    <row r="3702" spans="1:12" s="3" customFormat="1" ht="15" customHeight="1" x14ac:dyDescent="0.25">
      <c r="A3702" s="3" t="str">
        <f t="shared" si="118"/>
        <v>ΟΡΝΙΘΟΕΙΔΗΓΑΛΟΠΟΥΛΕΣ ΚΡΕΟΠΑΡΑΓΩΓΗΣ</v>
      </c>
      <c r="B3702" s="17" t="s">
        <v>6905</v>
      </c>
      <c r="C3702" s="14" t="s">
        <v>6920</v>
      </c>
      <c r="D3702" s="6">
        <f t="shared" si="120"/>
        <v>14.7</v>
      </c>
      <c r="E3702" s="6">
        <f t="shared" si="121"/>
        <v>14.96</v>
      </c>
      <c r="F3702" s="11" t="s">
        <v>23</v>
      </c>
      <c r="G3702" s="8" t="s">
        <v>6921</v>
      </c>
      <c r="H3702" s="8" t="s">
        <v>16</v>
      </c>
      <c r="I3702" s="9">
        <v>4826</v>
      </c>
      <c r="J3702" s="13">
        <v>6</v>
      </c>
      <c r="K3702" s="13">
        <v>640020</v>
      </c>
      <c r="L3702" s="3" t="str">
        <f t="shared" si="119"/>
        <v>ΟΡΝΙΘΟΕΙΔΗ</v>
      </c>
    </row>
    <row r="3703" spans="1:12" s="3" customFormat="1" ht="15" customHeight="1" x14ac:dyDescent="0.25">
      <c r="A3703" s="3" t="str">
        <f t="shared" si="118"/>
        <v>ΟΡΝΙΘΟΕΙΔΗΓΑΛΟΠΟΥΛΕΣ ΑΝΑΠΑΡΑΓΩΓΗΣ</v>
      </c>
      <c r="B3703" s="17" t="s">
        <v>6905</v>
      </c>
      <c r="C3703" s="14" t="s">
        <v>6922</v>
      </c>
      <c r="D3703" s="6">
        <f t="shared" si="120"/>
        <v>14.7</v>
      </c>
      <c r="E3703" s="6">
        <f t="shared" si="121"/>
        <v>14.96</v>
      </c>
      <c r="F3703" s="11" t="s">
        <v>23</v>
      </c>
      <c r="G3703" s="8" t="s">
        <v>6923</v>
      </c>
      <c r="H3703" s="8" t="s">
        <v>16</v>
      </c>
      <c r="I3703" s="9">
        <v>4827</v>
      </c>
      <c r="J3703" s="13">
        <v>6</v>
      </c>
      <c r="K3703" s="13">
        <v>640040</v>
      </c>
      <c r="L3703" s="3" t="str">
        <f t="shared" si="119"/>
        <v>ΟΡΝΙΘΟΕΙΔΗ</v>
      </c>
    </row>
    <row r="3704" spans="1:12" s="3" customFormat="1" ht="15" customHeight="1" x14ac:dyDescent="0.25">
      <c r="A3704" s="3" t="str">
        <f t="shared" si="118"/>
        <v>ΟΡΝΙΘΟΕΙΔΗΣΤΡΟΥΘΟΚΑΜΗΛΟΙ ΚΡΕΟΠΑΡΑΓΩΓΗΣ</v>
      </c>
      <c r="B3704" s="17" t="s">
        <v>6905</v>
      </c>
      <c r="C3704" s="14" t="s">
        <v>6924</v>
      </c>
      <c r="D3704" s="6">
        <f t="shared" si="120"/>
        <v>14.7</v>
      </c>
      <c r="E3704" s="6">
        <f t="shared" si="121"/>
        <v>14.96</v>
      </c>
      <c r="F3704" s="11" t="s">
        <v>23</v>
      </c>
      <c r="G3704" s="8" t="s">
        <v>6925</v>
      </c>
      <c r="H3704" s="8" t="s">
        <v>16</v>
      </c>
      <c r="I3704" s="9">
        <v>4828</v>
      </c>
      <c r="J3704" s="13">
        <v>6</v>
      </c>
      <c r="K3704" s="13">
        <v>650020</v>
      </c>
      <c r="L3704" s="3" t="str">
        <f t="shared" si="119"/>
        <v>ΟΡΝΙΘΟΕΙΔΗ</v>
      </c>
    </row>
    <row r="3705" spans="1:12" s="3" customFormat="1" ht="15" customHeight="1" x14ac:dyDescent="0.25">
      <c r="A3705" s="3" t="str">
        <f t="shared" si="118"/>
        <v>ΟΡΝΙΘΟΕΙΔΗΣΤΡΟΥΘΟΚΑΜΗΛΟΙ ΑΝΑΠΑΡΑΓΩΓΗΣ</v>
      </c>
      <c r="B3705" s="17" t="s">
        <v>6905</v>
      </c>
      <c r="C3705" s="14" t="s">
        <v>6926</v>
      </c>
      <c r="D3705" s="6">
        <f t="shared" si="120"/>
        <v>14.7</v>
      </c>
      <c r="E3705" s="6">
        <f t="shared" si="121"/>
        <v>14.96</v>
      </c>
      <c r="F3705" s="11" t="s">
        <v>23</v>
      </c>
      <c r="G3705" s="8" t="s">
        <v>6927</v>
      </c>
      <c r="H3705" s="8" t="s">
        <v>16</v>
      </c>
      <c r="I3705" s="9">
        <v>4829</v>
      </c>
      <c r="J3705" s="13">
        <v>6</v>
      </c>
      <c r="K3705" s="13">
        <v>650040</v>
      </c>
      <c r="L3705" s="3" t="str">
        <f t="shared" si="119"/>
        <v>ΟΡΝΙΘΟΕΙΔΗ</v>
      </c>
    </row>
    <row r="3706" spans="1:12" s="3" customFormat="1" ht="15" customHeight="1" x14ac:dyDescent="0.25">
      <c r="A3706" s="3" t="str">
        <f t="shared" si="118"/>
        <v>ΟΣΠΡΙΑ ΒΡΩΣΙΜΑΦΑΣΟΛΙΑ ΠΛΑΚΕ - ΓΙΓΑΝΤΕΣ</v>
      </c>
      <c r="B3706" s="4" t="s">
        <v>6928</v>
      </c>
      <c r="C3706" s="5" t="s">
        <v>6929</v>
      </c>
      <c r="D3706" s="6">
        <v>11290.03</v>
      </c>
      <c r="E3706" s="6">
        <v>13610.93</v>
      </c>
      <c r="F3706" s="7" t="s">
        <v>14</v>
      </c>
      <c r="G3706" s="8" t="s">
        <v>6930</v>
      </c>
      <c r="H3706" s="8" t="s">
        <v>16</v>
      </c>
      <c r="I3706" s="9">
        <v>613</v>
      </c>
      <c r="J3706" s="10">
        <v>11</v>
      </c>
      <c r="K3706" s="10">
        <v>1043</v>
      </c>
      <c r="L3706" s="3" t="str">
        <f t="shared" si="119"/>
        <v>ΟΣΠΡΙΑ_ΒΡΩΣΙΜΑ</v>
      </c>
    </row>
    <row r="3707" spans="1:12" s="3" customFormat="1" ht="15" customHeight="1" x14ac:dyDescent="0.25">
      <c r="A3707" s="3" t="str">
        <f t="shared" si="118"/>
        <v>ΟΣΠΡΙΑ ΒΡΩΣΙΜΑΚΟΥΚΙ ΒΡΩΣΙΜΟ</v>
      </c>
      <c r="B3707" s="4" t="s">
        <v>6928</v>
      </c>
      <c r="C3707" s="5" t="s">
        <v>6931</v>
      </c>
      <c r="D3707" s="6">
        <v>1568.73</v>
      </c>
      <c r="E3707" s="6">
        <v>1689.55</v>
      </c>
      <c r="F3707" s="7" t="s">
        <v>14</v>
      </c>
      <c r="G3707" s="8" t="s">
        <v>6932</v>
      </c>
      <c r="H3707" s="8" t="s">
        <v>16</v>
      </c>
      <c r="I3707" s="9">
        <v>584</v>
      </c>
      <c r="J3707" s="10">
        <v>11</v>
      </c>
      <c r="K3707" s="10">
        <v>1044</v>
      </c>
      <c r="L3707" s="3" t="str">
        <f t="shared" si="119"/>
        <v>ΟΣΠΡΙΑ_ΒΡΩΣΙΜΑ</v>
      </c>
    </row>
    <row r="3708" spans="1:12" s="3" customFormat="1" ht="15" customHeight="1" x14ac:dyDescent="0.25">
      <c r="A3708" s="3" t="str">
        <f t="shared" si="118"/>
        <v>ΟΣΠΡΙΑ ΒΡΩΣΙΜΑΦΑΣΟΛΙΑ ΜΙΚΡΟΣΠΕΡΜΑ</v>
      </c>
      <c r="B3708" s="4" t="s">
        <v>6928</v>
      </c>
      <c r="C3708" s="5" t="s">
        <v>6933</v>
      </c>
      <c r="D3708" s="6">
        <v>1568.73</v>
      </c>
      <c r="E3708" s="6">
        <v>1689.55</v>
      </c>
      <c r="F3708" s="7" t="s">
        <v>14</v>
      </c>
      <c r="G3708" s="8" t="s">
        <v>6934</v>
      </c>
      <c r="H3708" s="8" t="s">
        <v>16</v>
      </c>
      <c r="I3708" s="9">
        <v>595</v>
      </c>
      <c r="J3708" s="10">
        <v>11</v>
      </c>
      <c r="K3708" s="10">
        <v>1045</v>
      </c>
      <c r="L3708" s="3" t="str">
        <f t="shared" si="119"/>
        <v>ΟΣΠΡΙΑ_ΒΡΩΣΙΜΑ</v>
      </c>
    </row>
    <row r="3709" spans="1:12" s="3" customFormat="1" ht="15" customHeight="1" x14ac:dyDescent="0.25">
      <c r="A3709" s="3" t="str">
        <f t="shared" si="118"/>
        <v>ΟΣΠΡΙΑ ΒΡΩΣΙΜΑΦΑΣΟΛΙΑ ΜΕΣΟΣΠΕΡΜΑ</v>
      </c>
      <c r="B3709" s="4" t="s">
        <v>6928</v>
      </c>
      <c r="C3709" s="5" t="s">
        <v>6935</v>
      </c>
      <c r="D3709" s="6">
        <v>1568.73</v>
      </c>
      <c r="E3709" s="6">
        <v>1689.55</v>
      </c>
      <c r="F3709" s="7" t="s">
        <v>14</v>
      </c>
      <c r="G3709" s="8" t="s">
        <v>6936</v>
      </c>
      <c r="H3709" s="8" t="s">
        <v>16</v>
      </c>
      <c r="I3709" s="9">
        <v>585</v>
      </c>
      <c r="J3709" s="10">
        <v>11</v>
      </c>
      <c r="K3709" s="10">
        <v>1046</v>
      </c>
      <c r="L3709" s="3" t="str">
        <f t="shared" si="119"/>
        <v>ΟΣΠΡΙΑ_ΒΡΩΣΙΜΑ</v>
      </c>
    </row>
    <row r="3710" spans="1:12" s="3" customFormat="1" ht="15" customHeight="1" x14ac:dyDescent="0.25">
      <c r="A3710" s="3" t="str">
        <f t="shared" si="118"/>
        <v>ΟΣΠΡΙΑ ΒΡΩΣΙΜΑΦΑΣΟΛΙΑ ΞΕΡΑ ΔΙΑΦΟΡΑ</v>
      </c>
      <c r="B3710" s="4" t="s">
        <v>6928</v>
      </c>
      <c r="C3710" s="5" t="s">
        <v>6937</v>
      </c>
      <c r="D3710" s="6">
        <v>1568.73</v>
      </c>
      <c r="E3710" s="6">
        <v>1689.55</v>
      </c>
      <c r="F3710" s="7" t="s">
        <v>14</v>
      </c>
      <c r="G3710" s="8" t="s">
        <v>6938</v>
      </c>
      <c r="H3710" s="8" t="s">
        <v>16</v>
      </c>
      <c r="I3710" s="9">
        <v>583</v>
      </c>
      <c r="J3710" s="10">
        <v>11</v>
      </c>
      <c r="K3710" s="10">
        <v>10601</v>
      </c>
      <c r="L3710" s="3" t="str">
        <f t="shared" si="119"/>
        <v>ΟΣΠΡΙΑ_ΒΡΩΣΙΜΑ</v>
      </c>
    </row>
    <row r="3711" spans="1:12" s="3" customFormat="1" ht="15" customHeight="1" x14ac:dyDescent="0.25">
      <c r="A3711" s="3" t="str">
        <f t="shared" si="118"/>
        <v>ΟΣΠΡΙΑ ΒΡΩΣΙΜΑΦΑΣΟΛΙΑ</v>
      </c>
      <c r="B3711" s="4" t="s">
        <v>6928</v>
      </c>
      <c r="C3711" s="5" t="s">
        <v>5160</v>
      </c>
      <c r="D3711" s="6">
        <v>1568.73</v>
      </c>
      <c r="E3711" s="6">
        <v>1689.55</v>
      </c>
      <c r="F3711" s="7" t="s">
        <v>14</v>
      </c>
      <c r="G3711" s="8" t="s">
        <v>6939</v>
      </c>
      <c r="H3711" s="8" t="s">
        <v>16</v>
      </c>
      <c r="I3711" s="9">
        <v>582</v>
      </c>
      <c r="J3711" s="10">
        <v>11</v>
      </c>
      <c r="K3711" s="10">
        <v>10902</v>
      </c>
      <c r="L3711" s="3" t="str">
        <f t="shared" si="119"/>
        <v>ΟΣΠΡΙΑ_ΒΡΩΣΙΜΑ</v>
      </c>
    </row>
    <row r="3712" spans="1:12" s="3" customFormat="1" ht="15" customHeight="1" x14ac:dyDescent="0.25">
      <c r="A3712" s="3" t="str">
        <f t="shared" si="118"/>
        <v>ΟΣΠΡΙΑ ΒΡΩΣΙΜΑΛΑΘΟΥΡΙ ΒΡΩΣΙΜΟ / ΦΑΒΑ ΣΑΝΤΟΡΙΝΗΣ</v>
      </c>
      <c r="B3712" s="4" t="s">
        <v>6928</v>
      </c>
      <c r="C3712" s="5" t="s">
        <v>6940</v>
      </c>
      <c r="D3712" s="6">
        <v>1515.84</v>
      </c>
      <c r="E3712" s="6">
        <v>3106.63</v>
      </c>
      <c r="F3712" s="7" t="s">
        <v>14</v>
      </c>
      <c r="G3712" s="8" t="s">
        <v>6941</v>
      </c>
      <c r="H3712" s="8" t="s">
        <v>16</v>
      </c>
      <c r="I3712" s="9">
        <v>610</v>
      </c>
      <c r="J3712" s="10">
        <v>11</v>
      </c>
      <c r="K3712" s="10">
        <v>10903</v>
      </c>
      <c r="L3712" s="3" t="str">
        <f t="shared" si="119"/>
        <v>ΟΣΠΡΙΑ_ΒΡΩΣΙΜΑ</v>
      </c>
    </row>
    <row r="3713" spans="1:12" s="3" customFormat="1" ht="15" customHeight="1" x14ac:dyDescent="0.25">
      <c r="A3713" s="3" t="str">
        <f t="shared" si="118"/>
        <v>ΟΣΠΡΙΑ ΒΡΩΣΙΜΑΛΑΘΟΥΡΙ ΑΦΚΟΣ</v>
      </c>
      <c r="B3713" s="4" t="s">
        <v>6928</v>
      </c>
      <c r="C3713" s="5" t="s">
        <v>6942</v>
      </c>
      <c r="D3713" s="6">
        <v>1515.84</v>
      </c>
      <c r="E3713" s="6">
        <v>3106.63</v>
      </c>
      <c r="F3713" s="7" t="s">
        <v>14</v>
      </c>
      <c r="G3713" s="8" t="s">
        <v>6943</v>
      </c>
      <c r="H3713" s="8" t="s">
        <v>16</v>
      </c>
      <c r="I3713" s="9">
        <v>609</v>
      </c>
      <c r="J3713" s="10">
        <v>11</v>
      </c>
      <c r="K3713" s="10">
        <v>11087</v>
      </c>
      <c r="L3713" s="3" t="str">
        <f t="shared" si="119"/>
        <v>ΟΣΠΡΙΑ_ΒΡΩΣΙΜΑ</v>
      </c>
    </row>
    <row r="3714" spans="1:12" s="3" customFormat="1" ht="15" customHeight="1" x14ac:dyDescent="0.25">
      <c r="A3714" s="3" t="str">
        <f t="shared" si="118"/>
        <v>ΟΣΠΡΙΑ ΒΡΩΣΙΜΑΛΑΘΟΥΡΙ ΚΛΥΜΕΝΟ</v>
      </c>
      <c r="B3714" s="4" t="s">
        <v>6928</v>
      </c>
      <c r="C3714" s="5" t="s">
        <v>6944</v>
      </c>
      <c r="D3714" s="6">
        <v>1515.84</v>
      </c>
      <c r="E3714" s="6">
        <v>3106.63</v>
      </c>
      <c r="F3714" s="7" t="s">
        <v>14</v>
      </c>
      <c r="G3714" s="8" t="s">
        <v>6945</v>
      </c>
      <c r="H3714" s="8" t="s">
        <v>16</v>
      </c>
      <c r="I3714" s="9">
        <v>608</v>
      </c>
      <c r="J3714" s="10">
        <v>11</v>
      </c>
      <c r="K3714" s="10">
        <v>11088</v>
      </c>
      <c r="L3714" s="3" t="str">
        <f t="shared" si="119"/>
        <v>ΟΣΠΡΙΑ_ΒΡΩΣΙΜΑ</v>
      </c>
    </row>
    <row r="3715" spans="1:12" s="3" customFormat="1" ht="15" customHeight="1" x14ac:dyDescent="0.25">
      <c r="A3715" s="3" t="str">
        <f t="shared" ref="A3715:A3778" si="122">_xlfn.CONCAT(B3715,C3715)</f>
        <v>ΟΣΠΡΙΑ ΒΡΩΣΙΜΑΡΕΒΥΘΙΑ AMORGOS</v>
      </c>
      <c r="B3715" s="4" t="s">
        <v>6928</v>
      </c>
      <c r="C3715" s="5" t="s">
        <v>6946</v>
      </c>
      <c r="D3715" s="6">
        <v>1515.84</v>
      </c>
      <c r="E3715" s="6">
        <v>3106.63</v>
      </c>
      <c r="F3715" s="7" t="s">
        <v>14</v>
      </c>
      <c r="G3715" s="8" t="s">
        <v>6947</v>
      </c>
      <c r="H3715" s="8" t="s">
        <v>16</v>
      </c>
      <c r="I3715" s="9">
        <v>607</v>
      </c>
      <c r="J3715" s="10">
        <v>11</v>
      </c>
      <c r="K3715" s="10">
        <v>11089</v>
      </c>
      <c r="L3715" s="3" t="str">
        <f t="shared" ref="L3715:L3778" si="123">IFERROR(SUBSTITUTE(SUBSTITUTE(SUBSTITUTE(SUBSTITUTE(SUBSTITUTE(B3715, "-", "_"), " ", "_"), ",", ""), "(", ""), ")", ""), B3715)</f>
        <v>ΟΣΠΡΙΑ_ΒΡΩΣΙΜΑ</v>
      </c>
    </row>
    <row r="3716" spans="1:12" s="3" customFormat="1" ht="15" customHeight="1" x14ac:dyDescent="0.25">
      <c r="A3716" s="3" t="str">
        <f t="shared" si="122"/>
        <v>ΟΣΠΡΙΑ ΒΡΩΣΙΜΑΡΕΒΥΘΙΑ ANDROS</v>
      </c>
      <c r="B3716" s="18" t="s">
        <v>6928</v>
      </c>
      <c r="C3716" s="19" t="s">
        <v>6948</v>
      </c>
      <c r="D3716" s="6">
        <v>1515.84</v>
      </c>
      <c r="E3716" s="6">
        <v>3106.63</v>
      </c>
      <c r="F3716" s="6" t="s">
        <v>14</v>
      </c>
      <c r="G3716" s="8" t="s">
        <v>6949</v>
      </c>
      <c r="H3716" s="8" t="s">
        <v>27</v>
      </c>
      <c r="I3716" s="9">
        <v>4273</v>
      </c>
      <c r="J3716" s="20">
        <v>11</v>
      </c>
      <c r="K3716" s="20">
        <v>11090</v>
      </c>
      <c r="L3716" s="3" t="str">
        <f t="shared" si="123"/>
        <v>ΟΣΠΡΙΑ_ΒΡΩΣΙΜΑ</v>
      </c>
    </row>
    <row r="3717" spans="1:12" s="3" customFormat="1" ht="15" customHeight="1" x14ac:dyDescent="0.25">
      <c r="A3717" s="3" t="str">
        <f t="shared" si="122"/>
        <v>ΟΣΠΡΙΑ ΒΡΩΣΙΜΑΡΕΒΥΘΙΑ GAVDOS</v>
      </c>
      <c r="B3717" s="4" t="s">
        <v>6928</v>
      </c>
      <c r="C3717" s="5" t="s">
        <v>6950</v>
      </c>
      <c r="D3717" s="6">
        <v>1515.84</v>
      </c>
      <c r="E3717" s="6">
        <v>3106.63</v>
      </c>
      <c r="F3717" s="7" t="s">
        <v>14</v>
      </c>
      <c r="G3717" s="8" t="s">
        <v>6951</v>
      </c>
      <c r="H3717" s="8" t="s">
        <v>16</v>
      </c>
      <c r="I3717" s="9">
        <v>606</v>
      </c>
      <c r="J3717" s="10">
        <v>11</v>
      </c>
      <c r="K3717" s="10">
        <v>11091</v>
      </c>
      <c r="L3717" s="3" t="str">
        <f t="shared" si="123"/>
        <v>ΟΣΠΡΙΑ_ΒΡΩΣΙΜΑ</v>
      </c>
    </row>
    <row r="3718" spans="1:12" s="3" customFormat="1" ht="15" customHeight="1" x14ac:dyDescent="0.25">
      <c r="A3718" s="3" t="str">
        <f t="shared" si="122"/>
        <v>ΟΣΠΡΙΑ ΒΡΩΣΙΜΑΡΕΒΥΘΙΑ KERYNEIA</v>
      </c>
      <c r="B3718" s="18" t="s">
        <v>6928</v>
      </c>
      <c r="C3718" s="19" t="s">
        <v>6952</v>
      </c>
      <c r="D3718" s="6">
        <v>1515.84</v>
      </c>
      <c r="E3718" s="6">
        <v>3106.63</v>
      </c>
      <c r="F3718" s="6" t="s">
        <v>14</v>
      </c>
      <c r="G3718" s="8" t="s">
        <v>6953</v>
      </c>
      <c r="H3718" s="8" t="s">
        <v>27</v>
      </c>
      <c r="I3718" s="9">
        <v>4274</v>
      </c>
      <c r="J3718" s="20">
        <v>11</v>
      </c>
      <c r="K3718" s="20">
        <v>11092</v>
      </c>
      <c r="L3718" s="3" t="str">
        <f t="shared" si="123"/>
        <v>ΟΣΠΡΙΑ_ΒΡΩΣΙΜΑ</v>
      </c>
    </row>
    <row r="3719" spans="1:12" s="3" customFormat="1" ht="15" customHeight="1" x14ac:dyDescent="0.25">
      <c r="A3719" s="3" t="str">
        <f t="shared" si="122"/>
        <v>ΟΣΠΡΙΑ ΒΡΩΣΙΜΑΡΕΒΥΘΙΑ SERIFOS</v>
      </c>
      <c r="B3719" s="4" t="s">
        <v>6928</v>
      </c>
      <c r="C3719" s="5" t="s">
        <v>6954</v>
      </c>
      <c r="D3719" s="6">
        <v>1515.84</v>
      </c>
      <c r="E3719" s="6">
        <v>3106.63</v>
      </c>
      <c r="F3719" s="7" t="s">
        <v>14</v>
      </c>
      <c r="G3719" s="8" t="s">
        <v>6955</v>
      </c>
      <c r="H3719" s="8" t="s">
        <v>16</v>
      </c>
      <c r="I3719" s="9">
        <v>597</v>
      </c>
      <c r="J3719" s="10">
        <v>11</v>
      </c>
      <c r="K3719" s="10">
        <v>11093</v>
      </c>
      <c r="L3719" s="3" t="str">
        <f t="shared" si="123"/>
        <v>ΟΣΠΡΙΑ_ΒΡΩΣΙΜΑ</v>
      </c>
    </row>
    <row r="3720" spans="1:12" s="3" customFormat="1" ht="15" customHeight="1" x14ac:dyDescent="0.25">
      <c r="A3720" s="3" t="str">
        <f t="shared" si="122"/>
        <v>ΟΣΠΡΙΑ ΒΡΩΣΙΜΑΡΕΒΥΘΙΑ YARDEN</v>
      </c>
      <c r="B3720" s="4" t="s">
        <v>6928</v>
      </c>
      <c r="C3720" s="5" t="s">
        <v>6956</v>
      </c>
      <c r="D3720" s="6">
        <v>1515.84</v>
      </c>
      <c r="E3720" s="6">
        <v>3106.63</v>
      </c>
      <c r="F3720" s="7" t="s">
        <v>14</v>
      </c>
      <c r="G3720" s="8" t="s">
        <v>6957</v>
      </c>
      <c r="H3720" s="8" t="s">
        <v>16</v>
      </c>
      <c r="I3720" s="9">
        <v>604</v>
      </c>
      <c r="J3720" s="10">
        <v>11</v>
      </c>
      <c r="K3720" s="10">
        <v>11094</v>
      </c>
      <c r="L3720" s="3" t="str">
        <f t="shared" si="123"/>
        <v>ΟΣΠΡΙΑ_ΒΡΩΣΙΜΑ</v>
      </c>
    </row>
    <row r="3721" spans="1:12" s="3" customFormat="1" ht="15" customHeight="1" x14ac:dyDescent="0.25">
      <c r="A3721" s="3" t="str">
        <f t="shared" si="122"/>
        <v>ΟΣΠΡΙΑ ΒΡΩΣΙΜΑΦΑΚΕΣ ATHINA</v>
      </c>
      <c r="B3721" s="4" t="s">
        <v>6928</v>
      </c>
      <c r="C3721" s="5" t="s">
        <v>6958</v>
      </c>
      <c r="D3721" s="6">
        <v>1515.84</v>
      </c>
      <c r="E3721" s="6">
        <v>3106.63</v>
      </c>
      <c r="F3721" s="7" t="s">
        <v>14</v>
      </c>
      <c r="G3721" s="8" t="s">
        <v>6959</v>
      </c>
      <c r="H3721" s="8" t="s">
        <v>16</v>
      </c>
      <c r="I3721" s="9">
        <v>612</v>
      </c>
      <c r="J3721" s="10">
        <v>11</v>
      </c>
      <c r="K3721" s="10">
        <v>11095</v>
      </c>
      <c r="L3721" s="3" t="str">
        <f t="shared" si="123"/>
        <v>ΟΣΠΡΙΑ_ΒΡΩΣΙΜΑ</v>
      </c>
    </row>
    <row r="3722" spans="1:12" s="3" customFormat="1" ht="15" customHeight="1" x14ac:dyDescent="0.25">
      <c r="A3722" s="3" t="str">
        <f t="shared" si="122"/>
        <v>ΟΣΠΡΙΑ ΒΡΩΣΙΜΑΦΑΚΕΣ ELPIDA</v>
      </c>
      <c r="B3722" s="4" t="s">
        <v>6928</v>
      </c>
      <c r="C3722" s="5" t="s">
        <v>6960</v>
      </c>
      <c r="D3722" s="6">
        <v>1515.84</v>
      </c>
      <c r="E3722" s="6">
        <v>3106.63</v>
      </c>
      <c r="F3722" s="7" t="s">
        <v>14</v>
      </c>
      <c r="G3722" s="8" t="s">
        <v>6961</v>
      </c>
      <c r="H3722" s="8" t="s">
        <v>16</v>
      </c>
      <c r="I3722" s="9">
        <v>602</v>
      </c>
      <c r="J3722" s="10">
        <v>11</v>
      </c>
      <c r="K3722" s="10">
        <v>11097</v>
      </c>
      <c r="L3722" s="3" t="str">
        <f t="shared" si="123"/>
        <v>ΟΣΠΡΙΑ_ΒΡΩΣΙΜΑ</v>
      </c>
    </row>
    <row r="3723" spans="1:12" s="3" customFormat="1" ht="15" customHeight="1" x14ac:dyDescent="0.25">
      <c r="A3723" s="3" t="str">
        <f t="shared" si="122"/>
        <v>ΟΣΠΡΙΑ ΒΡΩΣΙΜΑΦΑΚΕΣ IKARIA</v>
      </c>
      <c r="B3723" s="4" t="s">
        <v>6928</v>
      </c>
      <c r="C3723" s="5" t="s">
        <v>6962</v>
      </c>
      <c r="D3723" s="6">
        <v>1515.84</v>
      </c>
      <c r="E3723" s="6">
        <v>3106.63</v>
      </c>
      <c r="F3723" s="7" t="s">
        <v>14</v>
      </c>
      <c r="G3723" s="8" t="s">
        <v>6963</v>
      </c>
      <c r="H3723" s="8" t="s">
        <v>16</v>
      </c>
      <c r="I3723" s="9">
        <v>601</v>
      </c>
      <c r="J3723" s="10">
        <v>11</v>
      </c>
      <c r="K3723" s="10">
        <v>11098</v>
      </c>
      <c r="L3723" s="3" t="str">
        <f t="shared" si="123"/>
        <v>ΟΣΠΡΙΑ_ΒΡΩΣΙΜΑ</v>
      </c>
    </row>
    <row r="3724" spans="1:12" s="3" customFormat="1" ht="15" customHeight="1" x14ac:dyDescent="0.25">
      <c r="A3724" s="3" t="str">
        <f t="shared" si="122"/>
        <v>ΟΣΠΡΙΑ ΒΡΩΣΙΜΑΦΑΣΟΛΙΑ ARIDEA</v>
      </c>
      <c r="B3724" s="4" t="s">
        <v>6928</v>
      </c>
      <c r="C3724" s="5" t="s">
        <v>6964</v>
      </c>
      <c r="D3724" s="6">
        <v>1568.73</v>
      </c>
      <c r="E3724" s="6">
        <v>1689.55</v>
      </c>
      <c r="F3724" s="7" t="s">
        <v>14</v>
      </c>
      <c r="G3724" s="8" t="s">
        <v>6965</v>
      </c>
      <c r="H3724" s="8" t="s">
        <v>16</v>
      </c>
      <c r="I3724" s="9">
        <v>600</v>
      </c>
      <c r="J3724" s="10">
        <v>11</v>
      </c>
      <c r="K3724" s="10">
        <v>11099</v>
      </c>
      <c r="L3724" s="3" t="str">
        <f t="shared" si="123"/>
        <v>ΟΣΠΡΙΑ_ΒΡΩΣΙΜΑ</v>
      </c>
    </row>
    <row r="3725" spans="1:12" s="3" customFormat="1" ht="15" customHeight="1" x14ac:dyDescent="0.25">
      <c r="A3725" s="3" t="str">
        <f t="shared" si="122"/>
        <v>ΟΣΠΡΙΑ ΒΡΩΣΙΜΑΦΑΣΟΛΙΑ IRO</v>
      </c>
      <c r="B3725" s="4" t="s">
        <v>6928</v>
      </c>
      <c r="C3725" s="5" t="s">
        <v>6966</v>
      </c>
      <c r="D3725" s="6">
        <v>1568.73</v>
      </c>
      <c r="E3725" s="6">
        <v>1689.55</v>
      </c>
      <c r="F3725" s="7" t="s">
        <v>14</v>
      </c>
      <c r="G3725" s="8" t="s">
        <v>6967</v>
      </c>
      <c r="H3725" s="8" t="s">
        <v>16</v>
      </c>
      <c r="I3725" s="9">
        <v>599</v>
      </c>
      <c r="J3725" s="10">
        <v>11</v>
      </c>
      <c r="K3725" s="10">
        <v>11100</v>
      </c>
      <c r="L3725" s="3" t="str">
        <f t="shared" si="123"/>
        <v>ΟΣΠΡΙΑ_ΒΡΩΣΙΜΑ</v>
      </c>
    </row>
    <row r="3726" spans="1:12" s="3" customFormat="1" ht="15" customHeight="1" x14ac:dyDescent="0.25">
      <c r="A3726" s="3" t="str">
        <f t="shared" si="122"/>
        <v>ΟΣΠΡΙΑ ΒΡΩΣΙΜΑΦΑΣΟΛΙΑ LIDA</v>
      </c>
      <c r="B3726" s="4" t="s">
        <v>6928</v>
      </c>
      <c r="C3726" s="5" t="s">
        <v>6968</v>
      </c>
      <c r="D3726" s="6">
        <v>1568.73</v>
      </c>
      <c r="E3726" s="6">
        <v>1689.55</v>
      </c>
      <c r="F3726" s="7" t="s">
        <v>14</v>
      </c>
      <c r="G3726" s="8" t="s">
        <v>6969</v>
      </c>
      <c r="H3726" s="8" t="s">
        <v>16</v>
      </c>
      <c r="I3726" s="9">
        <v>598</v>
      </c>
      <c r="J3726" s="10">
        <v>11</v>
      </c>
      <c r="K3726" s="10">
        <v>11101</v>
      </c>
      <c r="L3726" s="3" t="str">
        <f t="shared" si="123"/>
        <v>ΟΣΠΡΙΑ_ΒΡΩΣΙΜΑ</v>
      </c>
    </row>
    <row r="3727" spans="1:12" s="3" customFormat="1" ht="15" customHeight="1" x14ac:dyDescent="0.25">
      <c r="A3727" s="3" t="str">
        <f t="shared" si="122"/>
        <v>ΟΣΠΡΙΑ ΒΡΩΣΙΜΑΦΑΣΟΛΙΑ MIRSINI</v>
      </c>
      <c r="B3727" s="4" t="s">
        <v>6928</v>
      </c>
      <c r="C3727" s="5" t="s">
        <v>6970</v>
      </c>
      <c r="D3727" s="6">
        <v>1568.73</v>
      </c>
      <c r="E3727" s="6">
        <v>1689.55</v>
      </c>
      <c r="F3727" s="7" t="s">
        <v>14</v>
      </c>
      <c r="G3727" s="8" t="s">
        <v>6971</v>
      </c>
      <c r="H3727" s="8" t="s">
        <v>16</v>
      </c>
      <c r="I3727" s="9">
        <v>611</v>
      </c>
      <c r="J3727" s="10">
        <v>11</v>
      </c>
      <c r="K3727" s="10">
        <v>11102</v>
      </c>
      <c r="L3727" s="3" t="str">
        <f t="shared" si="123"/>
        <v>ΟΣΠΡΙΑ_ΒΡΩΣΙΜΑ</v>
      </c>
    </row>
    <row r="3728" spans="1:12" s="3" customFormat="1" ht="15" customHeight="1" x14ac:dyDescent="0.25">
      <c r="A3728" s="3" t="str">
        <f t="shared" si="122"/>
        <v>ΟΣΠΡΙΑ ΒΡΩΣΙΜΑΦΑΣΟΛΙΑ PIRGETOS</v>
      </c>
      <c r="B3728" s="4" t="s">
        <v>6928</v>
      </c>
      <c r="C3728" s="5" t="s">
        <v>6972</v>
      </c>
      <c r="D3728" s="6">
        <v>1568.73</v>
      </c>
      <c r="E3728" s="6">
        <v>1689.55</v>
      </c>
      <c r="F3728" s="7" t="s">
        <v>14</v>
      </c>
      <c r="G3728" s="8" t="s">
        <v>6973</v>
      </c>
      <c r="H3728" s="8" t="s">
        <v>16</v>
      </c>
      <c r="I3728" s="9">
        <v>579</v>
      </c>
      <c r="J3728" s="10">
        <v>11</v>
      </c>
      <c r="K3728" s="10">
        <v>11103</v>
      </c>
      <c r="L3728" s="3" t="str">
        <f t="shared" si="123"/>
        <v>ΟΣΠΡΙΑ_ΒΡΩΣΙΜΑ</v>
      </c>
    </row>
    <row r="3729" spans="1:12" s="3" customFormat="1" ht="15" customHeight="1" x14ac:dyDescent="0.25">
      <c r="A3729" s="3" t="str">
        <f t="shared" si="122"/>
        <v>ΟΣΠΡΙΑ ΒΡΩΣΙΜΑΦΑΣΟΛΙΑ RAPSANI</v>
      </c>
      <c r="B3729" s="4" t="s">
        <v>6928</v>
      </c>
      <c r="C3729" s="5" t="s">
        <v>6974</v>
      </c>
      <c r="D3729" s="6">
        <v>1568.73</v>
      </c>
      <c r="E3729" s="6">
        <v>1689.55</v>
      </c>
      <c r="F3729" s="7" t="s">
        <v>14</v>
      </c>
      <c r="G3729" s="8" t="s">
        <v>6975</v>
      </c>
      <c r="H3729" s="8" t="s">
        <v>16</v>
      </c>
      <c r="I3729" s="9">
        <v>561</v>
      </c>
      <c r="J3729" s="10">
        <v>11</v>
      </c>
      <c r="K3729" s="10">
        <v>11104</v>
      </c>
      <c r="L3729" s="3" t="str">
        <f t="shared" si="123"/>
        <v>ΟΣΠΡΙΑ_ΒΡΩΣΙΜΑ</v>
      </c>
    </row>
    <row r="3730" spans="1:12" s="3" customFormat="1" ht="15" customHeight="1" x14ac:dyDescent="0.25">
      <c r="A3730" s="3" t="str">
        <f t="shared" si="122"/>
        <v>ΟΣΠΡΙΑ ΒΡΩΣΙΜΑΦΑΣΟΛΙΑ SEMELI</v>
      </c>
      <c r="B3730" s="4" t="s">
        <v>6928</v>
      </c>
      <c r="C3730" s="5" t="s">
        <v>6976</v>
      </c>
      <c r="D3730" s="6">
        <v>1568.73</v>
      </c>
      <c r="E3730" s="6">
        <v>1689.55</v>
      </c>
      <c r="F3730" s="7" t="s">
        <v>14</v>
      </c>
      <c r="G3730" s="8" t="s">
        <v>6977</v>
      </c>
      <c r="H3730" s="8" t="s">
        <v>16</v>
      </c>
      <c r="I3730" s="9">
        <v>563</v>
      </c>
      <c r="J3730" s="10">
        <v>11</v>
      </c>
      <c r="K3730" s="10">
        <v>11105</v>
      </c>
      <c r="L3730" s="3" t="str">
        <f t="shared" si="123"/>
        <v>ΟΣΠΡΙΑ_ΒΡΩΣΙΜΑ</v>
      </c>
    </row>
    <row r="3731" spans="1:12" s="3" customFormat="1" ht="15" customHeight="1" x14ac:dyDescent="0.25">
      <c r="A3731" s="3" t="str">
        <f t="shared" si="122"/>
        <v>ΟΣΠΡΙΑ ΒΡΩΣΙΜΑΦΑΣΟΛΙΑ AISES</v>
      </c>
      <c r="B3731" s="4" t="s">
        <v>6928</v>
      </c>
      <c r="C3731" s="5" t="s">
        <v>6978</v>
      </c>
      <c r="D3731" s="6">
        <v>1568.73</v>
      </c>
      <c r="E3731" s="6">
        <v>1689.55</v>
      </c>
      <c r="F3731" s="7" t="s">
        <v>14</v>
      </c>
      <c r="G3731" s="8" t="s">
        <v>6979</v>
      </c>
      <c r="H3731" s="8" t="s">
        <v>16</v>
      </c>
      <c r="I3731" s="9">
        <v>562</v>
      </c>
      <c r="J3731" s="10">
        <v>11</v>
      </c>
      <c r="K3731" s="10">
        <v>11106</v>
      </c>
      <c r="L3731" s="3" t="str">
        <f t="shared" si="123"/>
        <v>ΟΣΠΡΙΑ_ΒΡΩΣΙΜΑ</v>
      </c>
    </row>
    <row r="3732" spans="1:12" s="3" customFormat="1" ht="15" customHeight="1" x14ac:dyDescent="0.25">
      <c r="A3732" s="3" t="str">
        <f t="shared" si="122"/>
        <v>ΟΣΠΡΙΑ ΒΡΩΣΙΜΑΦΑΣΟΛΙΑ MIRTO</v>
      </c>
      <c r="B3732" s="4" t="s">
        <v>6928</v>
      </c>
      <c r="C3732" s="5" t="s">
        <v>6980</v>
      </c>
      <c r="D3732" s="6">
        <v>1568.73</v>
      </c>
      <c r="E3732" s="6">
        <v>1689.55</v>
      </c>
      <c r="F3732" s="7" t="s">
        <v>14</v>
      </c>
      <c r="G3732" s="8" t="s">
        <v>6981</v>
      </c>
      <c r="H3732" s="8" t="s">
        <v>16</v>
      </c>
      <c r="I3732" s="9">
        <v>566</v>
      </c>
      <c r="J3732" s="10">
        <v>11</v>
      </c>
      <c r="K3732" s="10">
        <v>11107</v>
      </c>
      <c r="L3732" s="3" t="str">
        <f t="shared" si="123"/>
        <v>ΟΣΠΡΙΑ_ΒΡΩΣΙΜΑ</v>
      </c>
    </row>
    <row r="3733" spans="1:12" s="3" customFormat="1" ht="24" x14ac:dyDescent="0.25">
      <c r="A3733" s="3" t="str">
        <f t="shared" si="122"/>
        <v>ΟΣΠΡΙΑ ΒΡΩΣΙΜΑΦΑΣΟΛΙΑ STARAZAGROSKI "E"</v>
      </c>
      <c r="B3733" s="4" t="s">
        <v>6928</v>
      </c>
      <c r="C3733" s="5" t="s">
        <v>6982</v>
      </c>
      <c r="D3733" s="6">
        <v>11290.03</v>
      </c>
      <c r="E3733" s="6">
        <v>13610.93</v>
      </c>
      <c r="F3733" s="7" t="s">
        <v>14</v>
      </c>
      <c r="G3733" s="8" t="s">
        <v>6983</v>
      </c>
      <c r="H3733" s="8" t="s">
        <v>16</v>
      </c>
      <c r="I3733" s="9">
        <v>560</v>
      </c>
      <c r="J3733" s="10">
        <v>11</v>
      </c>
      <c r="K3733" s="10">
        <v>11108</v>
      </c>
      <c r="L3733" s="3" t="str">
        <f t="shared" si="123"/>
        <v>ΟΣΠΡΙΑ_ΒΡΩΣΙΜΑ</v>
      </c>
    </row>
    <row r="3734" spans="1:12" s="3" customFormat="1" ht="24" x14ac:dyDescent="0.25">
      <c r="A3734" s="3" t="str">
        <f t="shared" si="122"/>
        <v>ΟΣΠΡΙΑ ΒΡΩΣΙΜΑΦΑΣΟΛΙΑ ZARGANA KAVALAS</v>
      </c>
      <c r="B3734" s="4" t="s">
        <v>6928</v>
      </c>
      <c r="C3734" s="5" t="s">
        <v>6984</v>
      </c>
      <c r="D3734" s="6">
        <v>11290.03</v>
      </c>
      <c r="E3734" s="6">
        <v>13610.93</v>
      </c>
      <c r="F3734" s="7" t="s">
        <v>14</v>
      </c>
      <c r="G3734" s="8" t="s">
        <v>6985</v>
      </c>
      <c r="H3734" s="8" t="s">
        <v>16</v>
      </c>
      <c r="I3734" s="9">
        <v>559</v>
      </c>
      <c r="J3734" s="10">
        <v>11</v>
      </c>
      <c r="K3734" s="10">
        <v>11109</v>
      </c>
      <c r="L3734" s="3" t="str">
        <f t="shared" si="123"/>
        <v>ΟΣΠΡΙΑ_ΒΡΩΣΙΜΑ</v>
      </c>
    </row>
    <row r="3735" spans="1:12" s="3" customFormat="1" ht="15" customHeight="1" x14ac:dyDescent="0.25">
      <c r="A3735" s="3" t="str">
        <f t="shared" si="122"/>
        <v>ΟΣΠΡΙΑ ΒΡΩΣΙΜΑΦΑΣΟΛΙΑ ALEXANDROS</v>
      </c>
      <c r="B3735" s="4" t="s">
        <v>6928</v>
      </c>
      <c r="C3735" s="5" t="s">
        <v>6986</v>
      </c>
      <c r="D3735" s="6">
        <v>1568.73</v>
      </c>
      <c r="E3735" s="6">
        <v>1689.55</v>
      </c>
      <c r="F3735" s="7" t="s">
        <v>14</v>
      </c>
      <c r="G3735" s="8" t="s">
        <v>6987</v>
      </c>
      <c r="H3735" s="8" t="s">
        <v>16</v>
      </c>
      <c r="I3735" s="9">
        <v>556</v>
      </c>
      <c r="J3735" s="10">
        <v>11</v>
      </c>
      <c r="K3735" s="10">
        <v>11110</v>
      </c>
      <c r="L3735" s="3" t="str">
        <f t="shared" si="123"/>
        <v>ΟΣΠΡΙΑ_ΒΡΩΣΙΜΑ</v>
      </c>
    </row>
    <row r="3736" spans="1:12" s="3" customFormat="1" ht="15" customHeight="1" x14ac:dyDescent="0.25">
      <c r="A3736" s="3" t="str">
        <f t="shared" si="122"/>
        <v>ΟΣΠΡΙΑ ΒΡΩΣΙΜΑΦΑΣΟΛΙΑ BARBOUNI ANARICHOMENO</v>
      </c>
      <c r="B3736" s="4" t="s">
        <v>6928</v>
      </c>
      <c r="C3736" s="5" t="s">
        <v>6988</v>
      </c>
      <c r="D3736" s="6">
        <v>11290.03</v>
      </c>
      <c r="E3736" s="6">
        <v>13610.93</v>
      </c>
      <c r="F3736" s="7" t="s">
        <v>14</v>
      </c>
      <c r="G3736" s="8" t="s">
        <v>6989</v>
      </c>
      <c r="H3736" s="8" t="s">
        <v>16</v>
      </c>
      <c r="I3736" s="9">
        <v>552</v>
      </c>
      <c r="J3736" s="10">
        <v>11</v>
      </c>
      <c r="K3736" s="10">
        <v>11111</v>
      </c>
      <c r="L3736" s="3" t="str">
        <f t="shared" si="123"/>
        <v>ΟΣΠΡΙΑ_ΒΡΩΣΙΜΑ</v>
      </c>
    </row>
    <row r="3737" spans="1:12" s="3" customFormat="1" ht="15" customHeight="1" x14ac:dyDescent="0.25">
      <c r="A3737" s="3" t="str">
        <f t="shared" si="122"/>
        <v>ΟΣΠΡΙΑ ΒΡΩΣΙΜΑΦΑΣΟΛΙΑ BARBOUNI PLATI</v>
      </c>
      <c r="B3737" s="4" t="s">
        <v>6928</v>
      </c>
      <c r="C3737" s="5" t="s">
        <v>6990</v>
      </c>
      <c r="D3737" s="6">
        <v>11290.03</v>
      </c>
      <c r="E3737" s="6">
        <v>13610.93</v>
      </c>
      <c r="F3737" s="7" t="s">
        <v>14</v>
      </c>
      <c r="G3737" s="8" t="s">
        <v>6991</v>
      </c>
      <c r="H3737" s="8" t="s">
        <v>16</v>
      </c>
      <c r="I3737" s="9">
        <v>553</v>
      </c>
      <c r="J3737" s="10">
        <v>11</v>
      </c>
      <c r="K3737" s="10">
        <v>11112</v>
      </c>
      <c r="L3737" s="3" t="str">
        <f t="shared" si="123"/>
        <v>ΟΣΠΡΙΑ_ΒΡΩΣΙΜΑ</v>
      </c>
    </row>
    <row r="3738" spans="1:12" s="3" customFormat="1" ht="15" customHeight="1" x14ac:dyDescent="0.25">
      <c r="A3738" s="3" t="str">
        <f t="shared" si="122"/>
        <v>ΟΣΠΡΙΑ ΒΡΩΣΙΜΑΦΑΣΟΛΙΑ DANAI</v>
      </c>
      <c r="B3738" s="4" t="s">
        <v>6928</v>
      </c>
      <c r="C3738" s="5" t="s">
        <v>6992</v>
      </c>
      <c r="D3738" s="6">
        <v>1568.73</v>
      </c>
      <c r="E3738" s="6">
        <v>1689.55</v>
      </c>
      <c r="F3738" s="7" t="s">
        <v>14</v>
      </c>
      <c r="G3738" s="8" t="s">
        <v>6993</v>
      </c>
      <c r="H3738" s="8" t="s">
        <v>16</v>
      </c>
      <c r="I3738" s="9">
        <v>554</v>
      </c>
      <c r="J3738" s="10">
        <v>11</v>
      </c>
      <c r="K3738" s="10">
        <v>11113</v>
      </c>
      <c r="L3738" s="3" t="str">
        <f t="shared" si="123"/>
        <v>ΟΣΠΡΙΑ_ΒΡΩΣΙΜΑ</v>
      </c>
    </row>
    <row r="3739" spans="1:12" s="3" customFormat="1" ht="15" customHeight="1" x14ac:dyDescent="0.25">
      <c r="A3739" s="3" t="str">
        <f t="shared" si="122"/>
        <v>ΟΣΠΡΙΑ ΒΡΩΣΙΜΑΦΑΣΟΛΙΑ HANDRELIA</v>
      </c>
      <c r="B3739" s="4" t="s">
        <v>6928</v>
      </c>
      <c r="C3739" s="5" t="s">
        <v>6994</v>
      </c>
      <c r="D3739" s="6">
        <v>11290.03</v>
      </c>
      <c r="E3739" s="6">
        <v>13610.93</v>
      </c>
      <c r="F3739" s="7" t="s">
        <v>14</v>
      </c>
      <c r="G3739" s="8" t="s">
        <v>6995</v>
      </c>
      <c r="H3739" s="8" t="s">
        <v>16</v>
      </c>
      <c r="I3739" s="9">
        <v>555</v>
      </c>
      <c r="J3739" s="10">
        <v>11</v>
      </c>
      <c r="K3739" s="10">
        <v>11114</v>
      </c>
      <c r="L3739" s="3" t="str">
        <f t="shared" si="123"/>
        <v>ΟΣΠΡΙΑ_ΒΡΩΣΙΜΑ</v>
      </c>
    </row>
    <row r="3740" spans="1:12" s="3" customFormat="1" ht="15" customHeight="1" x14ac:dyDescent="0.25">
      <c r="A3740" s="3" t="str">
        <f t="shared" si="122"/>
        <v>ΟΣΠΡΙΑ ΒΡΩΣΙΜΑΦΑΣΟΛΙΑ HANDRES</v>
      </c>
      <c r="B3740" s="4" t="s">
        <v>6928</v>
      </c>
      <c r="C3740" s="5" t="s">
        <v>6996</v>
      </c>
      <c r="D3740" s="6">
        <v>11290.03</v>
      </c>
      <c r="E3740" s="6">
        <v>13610.93</v>
      </c>
      <c r="F3740" s="7" t="s">
        <v>14</v>
      </c>
      <c r="G3740" s="8" t="s">
        <v>6997</v>
      </c>
      <c r="H3740" s="8" t="s">
        <v>16</v>
      </c>
      <c r="I3740" s="9">
        <v>558</v>
      </c>
      <c r="J3740" s="10">
        <v>11</v>
      </c>
      <c r="K3740" s="10">
        <v>11115</v>
      </c>
      <c r="L3740" s="3" t="str">
        <f t="shared" si="123"/>
        <v>ΟΣΠΡΙΑ_ΒΡΩΣΙΜΑ</v>
      </c>
    </row>
    <row r="3741" spans="1:12" s="3" customFormat="1" ht="15" customHeight="1" x14ac:dyDescent="0.25">
      <c r="A3741" s="3" t="str">
        <f t="shared" si="122"/>
        <v>ΟΣΠΡΙΑ ΒΡΩΣΙΜΑΦΑΣΟΛΙΑ JUSTY</v>
      </c>
      <c r="B3741" s="4" t="s">
        <v>6928</v>
      </c>
      <c r="C3741" s="5" t="s">
        <v>6998</v>
      </c>
      <c r="D3741" s="6">
        <v>1568.73</v>
      </c>
      <c r="E3741" s="6">
        <v>1689.55</v>
      </c>
      <c r="F3741" s="7" t="s">
        <v>14</v>
      </c>
      <c r="G3741" s="8" t="s">
        <v>6999</v>
      </c>
      <c r="H3741" s="8" t="s">
        <v>27</v>
      </c>
      <c r="I3741" s="9">
        <v>557</v>
      </c>
      <c r="J3741" s="10">
        <v>11</v>
      </c>
      <c r="K3741" s="10">
        <v>11116</v>
      </c>
      <c r="L3741" s="3" t="str">
        <f t="shared" si="123"/>
        <v>ΟΣΠΡΙΑ_ΒΡΩΣΙΜΑ</v>
      </c>
    </row>
    <row r="3742" spans="1:12" s="3" customFormat="1" ht="15" customHeight="1" x14ac:dyDescent="0.25">
      <c r="A3742" s="3" t="str">
        <f t="shared" si="122"/>
        <v>ΟΣΠΡΙΑ ΒΡΩΣΙΜΑΦΑΣΟΛΙΑ KANARINIA</v>
      </c>
      <c r="B3742" s="4" t="s">
        <v>6928</v>
      </c>
      <c r="C3742" s="5" t="s">
        <v>7000</v>
      </c>
      <c r="D3742" s="6">
        <v>11290.03</v>
      </c>
      <c r="E3742" s="6">
        <v>13610.93</v>
      </c>
      <c r="F3742" s="7" t="s">
        <v>14</v>
      </c>
      <c r="G3742" s="8" t="s">
        <v>7001</v>
      </c>
      <c r="H3742" s="8" t="s">
        <v>16</v>
      </c>
      <c r="I3742" s="9">
        <v>564</v>
      </c>
      <c r="J3742" s="10">
        <v>11</v>
      </c>
      <c r="K3742" s="10">
        <v>11117</v>
      </c>
      <c r="L3742" s="3" t="str">
        <f t="shared" si="123"/>
        <v>ΟΣΠΡΙΑ_ΒΡΩΣΙΜΑ</v>
      </c>
    </row>
    <row r="3743" spans="1:12" s="3" customFormat="1" ht="15" customHeight="1" x14ac:dyDescent="0.25">
      <c r="A3743" s="3" t="str">
        <f t="shared" si="122"/>
        <v>ΟΣΠΡΙΑ ΒΡΩΣΙΜΑΦΑΣΟΛΙΑ KRINI</v>
      </c>
      <c r="B3743" s="4" t="s">
        <v>6928</v>
      </c>
      <c r="C3743" s="5" t="s">
        <v>7002</v>
      </c>
      <c r="D3743" s="6">
        <v>1568.73</v>
      </c>
      <c r="E3743" s="6">
        <v>1689.55</v>
      </c>
      <c r="F3743" s="7" t="s">
        <v>14</v>
      </c>
      <c r="G3743" s="8" t="s">
        <v>7003</v>
      </c>
      <c r="H3743" s="8" t="s">
        <v>16</v>
      </c>
      <c r="I3743" s="9">
        <v>567</v>
      </c>
      <c r="J3743" s="10">
        <v>11</v>
      </c>
      <c r="K3743" s="10">
        <v>11118</v>
      </c>
      <c r="L3743" s="3" t="str">
        <f t="shared" si="123"/>
        <v>ΟΣΠΡΙΑ_ΒΡΩΣΙΜΑ</v>
      </c>
    </row>
    <row r="3744" spans="1:12" s="3" customFormat="1" ht="15" customHeight="1" x14ac:dyDescent="0.25">
      <c r="A3744" s="3" t="str">
        <f t="shared" si="122"/>
        <v>ΟΣΠΡΙΑ ΒΡΩΣΙΜΑΦΑΣΟΛΙΑ LASITHIOU</v>
      </c>
      <c r="B3744" s="4" t="s">
        <v>6928</v>
      </c>
      <c r="C3744" s="5" t="s">
        <v>7004</v>
      </c>
      <c r="D3744" s="6">
        <v>1568.73</v>
      </c>
      <c r="E3744" s="6">
        <v>1689.55</v>
      </c>
      <c r="F3744" s="7" t="s">
        <v>14</v>
      </c>
      <c r="G3744" s="8" t="s">
        <v>7005</v>
      </c>
      <c r="H3744" s="8" t="s">
        <v>16</v>
      </c>
      <c r="I3744" s="9">
        <v>568</v>
      </c>
      <c r="J3744" s="10">
        <v>11</v>
      </c>
      <c r="K3744" s="10">
        <v>11119</v>
      </c>
      <c r="L3744" s="3" t="str">
        <f t="shared" si="123"/>
        <v>ΟΣΠΡΙΑ_ΒΡΩΣΙΜΑ</v>
      </c>
    </row>
    <row r="3745" spans="1:12" s="3" customFormat="1" ht="15" customHeight="1" x14ac:dyDescent="0.25">
      <c r="A3745" s="3" t="str">
        <f t="shared" si="122"/>
        <v>ΟΣΠΡΙΑ ΒΡΩΣΙΜΑΦΑΣΟΛΙΑ LYDIA</v>
      </c>
      <c r="B3745" s="18" t="s">
        <v>6928</v>
      </c>
      <c r="C3745" s="19" t="s">
        <v>7006</v>
      </c>
      <c r="D3745" s="6">
        <v>1568.73</v>
      </c>
      <c r="E3745" s="6">
        <v>1689.55</v>
      </c>
      <c r="F3745" s="6" t="s">
        <v>14</v>
      </c>
      <c r="G3745" s="8" t="s">
        <v>7007</v>
      </c>
      <c r="H3745" s="8" t="s">
        <v>27</v>
      </c>
      <c r="I3745" s="9">
        <v>4109</v>
      </c>
      <c r="J3745" s="20">
        <v>11</v>
      </c>
      <c r="K3745" s="20">
        <v>11120</v>
      </c>
      <c r="L3745" s="3" t="str">
        <f t="shared" si="123"/>
        <v>ΟΣΠΡΙΑ_ΒΡΩΣΙΜΑ</v>
      </c>
    </row>
    <row r="3746" spans="1:12" s="3" customFormat="1" ht="24" x14ac:dyDescent="0.25">
      <c r="A3746" s="3" t="str">
        <f t="shared" si="122"/>
        <v>ΟΣΠΡΙΑ ΒΡΩΣΙΜΑΦΑΣΟΛΙΑ PRESPA</v>
      </c>
      <c r="B3746" s="4" t="s">
        <v>6928</v>
      </c>
      <c r="C3746" s="5" t="s">
        <v>7008</v>
      </c>
      <c r="D3746" s="6">
        <v>1568.73</v>
      </c>
      <c r="E3746" s="6">
        <v>1689.55</v>
      </c>
      <c r="F3746" s="7" t="s">
        <v>14</v>
      </c>
      <c r="G3746" s="8" t="s">
        <v>7009</v>
      </c>
      <c r="H3746" s="8" t="s">
        <v>16</v>
      </c>
      <c r="I3746" s="9">
        <v>569</v>
      </c>
      <c r="J3746" s="10">
        <v>11</v>
      </c>
      <c r="K3746" s="10">
        <v>11121</v>
      </c>
      <c r="L3746" s="3" t="str">
        <f t="shared" si="123"/>
        <v>ΟΣΠΡΙΑ_ΒΡΩΣΙΜΑ</v>
      </c>
    </row>
    <row r="3747" spans="1:12" s="3" customFormat="1" ht="24" x14ac:dyDescent="0.25">
      <c r="A3747" s="3" t="str">
        <f t="shared" si="122"/>
        <v>ΟΣΠΡΙΑ ΒΡΩΣΙΜΑΦΑΣΟΛΙΑ THELMA</v>
      </c>
      <c r="B3747" s="4" t="s">
        <v>6928</v>
      </c>
      <c r="C3747" s="5" t="s">
        <v>7010</v>
      </c>
      <c r="D3747" s="6">
        <v>1568.73</v>
      </c>
      <c r="E3747" s="6">
        <v>1689.55</v>
      </c>
      <c r="F3747" s="7" t="s">
        <v>14</v>
      </c>
      <c r="G3747" s="8" t="s">
        <v>7011</v>
      </c>
      <c r="H3747" s="8" t="s">
        <v>16</v>
      </c>
      <c r="I3747" s="9">
        <v>570</v>
      </c>
      <c r="J3747" s="10">
        <v>11</v>
      </c>
      <c r="K3747" s="10">
        <v>11122</v>
      </c>
      <c r="L3747" s="3" t="str">
        <f t="shared" si="123"/>
        <v>ΟΣΠΡΙΑ_ΒΡΩΣΙΜΑ</v>
      </c>
    </row>
    <row r="3748" spans="1:12" s="3" customFormat="1" ht="24" x14ac:dyDescent="0.25">
      <c r="A3748" s="3" t="str">
        <f t="shared" si="122"/>
        <v>ΟΣΠΡΙΑ ΒΡΩΣΙΜΑΦΑΣΟΛΙΑ TSAOULIA</v>
      </c>
      <c r="B3748" s="4" t="s">
        <v>6928</v>
      </c>
      <c r="C3748" s="5" t="s">
        <v>7012</v>
      </c>
      <c r="D3748" s="6">
        <v>11290.03</v>
      </c>
      <c r="E3748" s="6">
        <v>13610.93</v>
      </c>
      <c r="F3748" s="7" t="s">
        <v>14</v>
      </c>
      <c r="G3748" s="8" t="s">
        <v>7013</v>
      </c>
      <c r="H3748" s="8" t="s">
        <v>16</v>
      </c>
      <c r="I3748" s="9">
        <v>571</v>
      </c>
      <c r="J3748" s="10">
        <v>11</v>
      </c>
      <c r="K3748" s="10">
        <v>11123</v>
      </c>
      <c r="L3748" s="3" t="str">
        <f t="shared" si="123"/>
        <v>ΟΣΠΡΙΑ_ΒΡΩΣΙΜΑ</v>
      </c>
    </row>
    <row r="3749" spans="1:12" s="3" customFormat="1" ht="24" x14ac:dyDescent="0.25">
      <c r="A3749" s="3" t="str">
        <f t="shared" si="122"/>
        <v>ΟΣΠΡΙΑ ΒΡΩΣΙΜΑΦΑΣΟΛΙΑ VITSI</v>
      </c>
      <c r="B3749" s="4" t="s">
        <v>6928</v>
      </c>
      <c r="C3749" s="5" t="s">
        <v>7014</v>
      </c>
      <c r="D3749" s="6">
        <v>1568.73</v>
      </c>
      <c r="E3749" s="6">
        <v>1689.55</v>
      </c>
      <c r="F3749" s="7" t="s">
        <v>14</v>
      </c>
      <c r="G3749" s="8" t="s">
        <v>7015</v>
      </c>
      <c r="H3749" s="8" t="s">
        <v>16</v>
      </c>
      <c r="I3749" s="9">
        <v>572</v>
      </c>
      <c r="J3749" s="10">
        <v>11</v>
      </c>
      <c r="K3749" s="10">
        <v>11124</v>
      </c>
      <c r="L3749" s="3" t="str">
        <f t="shared" si="123"/>
        <v>ΟΣΠΡΙΑ_ΒΡΩΣΙΜΑ</v>
      </c>
    </row>
    <row r="3750" spans="1:12" s="3" customFormat="1" ht="24" x14ac:dyDescent="0.25">
      <c r="A3750" s="3" t="str">
        <f t="shared" si="122"/>
        <v>ΟΣΠΡΙΑ ΒΡΩΣΙΜΑΦΑΣΟΛΙΑ ZARGANA CHRISOUPOLIS</v>
      </c>
      <c r="B3750" s="4" t="s">
        <v>6928</v>
      </c>
      <c r="C3750" s="5" t="s">
        <v>7016</v>
      </c>
      <c r="D3750" s="6">
        <v>11290.03</v>
      </c>
      <c r="E3750" s="6">
        <v>13610.93</v>
      </c>
      <c r="F3750" s="7" t="s">
        <v>14</v>
      </c>
      <c r="G3750" s="8" t="s">
        <v>7017</v>
      </c>
      <c r="H3750" s="8" t="s">
        <v>16</v>
      </c>
      <c r="I3750" s="9">
        <v>573</v>
      </c>
      <c r="J3750" s="10">
        <v>11</v>
      </c>
      <c r="K3750" s="10">
        <v>11125</v>
      </c>
      <c r="L3750" s="3" t="str">
        <f t="shared" si="123"/>
        <v>ΟΣΠΡΙΑ_ΒΡΩΣΙΜΑ</v>
      </c>
    </row>
    <row r="3751" spans="1:12" s="3" customFormat="1" ht="24" x14ac:dyDescent="0.25">
      <c r="A3751" s="3" t="str">
        <f t="shared" si="122"/>
        <v>ΟΣΠΡΙΑ ΒΡΩΣΙΜΑΦΑΚΕΣ LITO</v>
      </c>
      <c r="B3751" s="4" t="s">
        <v>6928</v>
      </c>
      <c r="C3751" s="5" t="s">
        <v>7018</v>
      </c>
      <c r="D3751" s="6">
        <v>1515.84</v>
      </c>
      <c r="E3751" s="6">
        <v>3106.63</v>
      </c>
      <c r="F3751" s="7" t="s">
        <v>14</v>
      </c>
      <c r="G3751" s="8" t="s">
        <v>7019</v>
      </c>
      <c r="H3751" s="8" t="s">
        <v>16</v>
      </c>
      <c r="I3751" s="9">
        <v>574</v>
      </c>
      <c r="J3751" s="10">
        <v>11</v>
      </c>
      <c r="K3751" s="10">
        <v>11126</v>
      </c>
      <c r="L3751" s="3" t="str">
        <f t="shared" si="123"/>
        <v>ΟΣΠΡΙΑ_ΒΡΩΣΙΜΑ</v>
      </c>
    </row>
    <row r="3752" spans="1:12" s="3" customFormat="1" ht="24" x14ac:dyDescent="0.25">
      <c r="A3752" s="3" t="str">
        <f t="shared" si="122"/>
        <v>ΟΣΠΡΙΑ ΒΡΩΣΙΜΑΦΑΣΟΛΙΑ KARMEN</v>
      </c>
      <c r="B3752" s="4" t="s">
        <v>6928</v>
      </c>
      <c r="C3752" s="5" t="s">
        <v>7020</v>
      </c>
      <c r="D3752" s="6">
        <v>11290.03</v>
      </c>
      <c r="E3752" s="6">
        <v>13610.93</v>
      </c>
      <c r="F3752" s="7" t="s">
        <v>14</v>
      </c>
      <c r="G3752" s="8" t="s">
        <v>7021</v>
      </c>
      <c r="H3752" s="8" t="s">
        <v>16</v>
      </c>
      <c r="I3752" s="9">
        <v>575</v>
      </c>
      <c r="J3752" s="10">
        <v>11</v>
      </c>
      <c r="K3752" s="10">
        <v>11127</v>
      </c>
      <c r="L3752" s="3" t="str">
        <f t="shared" si="123"/>
        <v>ΟΣΠΡΙΑ_ΒΡΩΣΙΜΑ</v>
      </c>
    </row>
    <row r="3753" spans="1:12" s="3" customFormat="1" ht="24" x14ac:dyDescent="0.25">
      <c r="A3753" s="3" t="str">
        <f t="shared" si="122"/>
        <v>ΟΣΠΡΙΑ ΒΡΩΣΙΜΑΦΑΚΕΣ DEMOCRITOS</v>
      </c>
      <c r="B3753" s="4" t="s">
        <v>6928</v>
      </c>
      <c r="C3753" s="5" t="s">
        <v>7022</v>
      </c>
      <c r="D3753" s="6">
        <v>1515.84</v>
      </c>
      <c r="E3753" s="6">
        <v>3106.63</v>
      </c>
      <c r="F3753" s="7" t="s">
        <v>14</v>
      </c>
      <c r="G3753" s="8" t="s">
        <v>7023</v>
      </c>
      <c r="H3753" s="8" t="s">
        <v>16</v>
      </c>
      <c r="I3753" s="9">
        <v>581</v>
      </c>
      <c r="J3753" s="10">
        <v>11</v>
      </c>
      <c r="K3753" s="10">
        <v>11128</v>
      </c>
      <c r="L3753" s="3" t="str">
        <f t="shared" si="123"/>
        <v>ΟΣΠΡΙΑ_ΒΡΩΣΙΜΑ</v>
      </c>
    </row>
    <row r="3754" spans="1:12" s="3" customFormat="1" ht="24" x14ac:dyDescent="0.25">
      <c r="A3754" s="3" t="str">
        <f t="shared" si="122"/>
        <v>ΟΣΠΡΙΑ ΒΡΩΣΙΜΑΦΑΣΟΛΙΑ LINGOT</v>
      </c>
      <c r="B3754" s="4" t="s">
        <v>6928</v>
      </c>
      <c r="C3754" s="5" t="s">
        <v>7024</v>
      </c>
      <c r="D3754" s="6">
        <v>11290.03</v>
      </c>
      <c r="E3754" s="6">
        <v>13610.93</v>
      </c>
      <c r="F3754" s="7" t="s">
        <v>14</v>
      </c>
      <c r="G3754" s="8" t="s">
        <v>7025</v>
      </c>
      <c r="H3754" s="8" t="s">
        <v>16</v>
      </c>
      <c r="I3754" s="9">
        <v>576</v>
      </c>
      <c r="J3754" s="10">
        <v>11</v>
      </c>
      <c r="K3754" s="10">
        <v>11129</v>
      </c>
      <c r="L3754" s="3" t="str">
        <f t="shared" si="123"/>
        <v>ΟΣΠΡΙΑ_ΒΡΩΣΙΜΑ</v>
      </c>
    </row>
    <row r="3755" spans="1:12" s="3" customFormat="1" ht="24" x14ac:dyDescent="0.25">
      <c r="A3755" s="3" t="str">
        <f t="shared" si="122"/>
        <v>ΟΣΠΡΙΑ ΒΡΩΣΙΜΑΦΑΣΟΛΙΑ MAGIRUS</v>
      </c>
      <c r="B3755" s="4" t="s">
        <v>6928</v>
      </c>
      <c r="C3755" s="5" t="s">
        <v>7026</v>
      </c>
      <c r="D3755" s="6">
        <v>11290.03</v>
      </c>
      <c r="E3755" s="6">
        <v>13610.93</v>
      </c>
      <c r="F3755" s="7" t="s">
        <v>14</v>
      </c>
      <c r="G3755" s="8" t="s">
        <v>7027</v>
      </c>
      <c r="H3755" s="8" t="s">
        <v>16</v>
      </c>
      <c r="I3755" s="9">
        <v>565</v>
      </c>
      <c r="J3755" s="10">
        <v>11</v>
      </c>
      <c r="K3755" s="10">
        <v>11130</v>
      </c>
      <c r="L3755" s="3" t="str">
        <f t="shared" si="123"/>
        <v>ΟΣΠΡΙΑ_ΒΡΩΣΙΜΑ</v>
      </c>
    </row>
    <row r="3756" spans="1:12" s="3" customFormat="1" ht="24" x14ac:dyDescent="0.25">
      <c r="A3756" s="3" t="str">
        <f t="shared" si="122"/>
        <v>ΟΣΠΡΙΑ ΒΡΩΣΙΜΑΦΑΣΟΛΙΑ CANNELLINO</v>
      </c>
      <c r="B3756" s="4" t="s">
        <v>6928</v>
      </c>
      <c r="C3756" s="5" t="s">
        <v>7028</v>
      </c>
      <c r="D3756" s="6">
        <v>11290.03</v>
      </c>
      <c r="E3756" s="6">
        <v>13610.93</v>
      </c>
      <c r="F3756" s="7" t="s">
        <v>14</v>
      </c>
      <c r="G3756" s="8" t="s">
        <v>7029</v>
      </c>
      <c r="H3756" s="8" t="s">
        <v>16</v>
      </c>
      <c r="I3756" s="9">
        <v>577</v>
      </c>
      <c r="J3756" s="10">
        <v>11</v>
      </c>
      <c r="K3756" s="10">
        <v>11131</v>
      </c>
      <c r="L3756" s="3" t="str">
        <f t="shared" si="123"/>
        <v>ΟΣΠΡΙΑ_ΒΡΩΣΙΜΑ</v>
      </c>
    </row>
    <row r="3757" spans="1:12" s="3" customFormat="1" ht="24" x14ac:dyDescent="0.25">
      <c r="A3757" s="3" t="str">
        <f t="shared" si="122"/>
        <v>ΟΣΠΡΙΑ ΒΡΩΣΙΜΑΛΑΘΟΥΡΙ ΒΡΩΣΙΜΟ MALEME 107</v>
      </c>
      <c r="B3757" s="4" t="s">
        <v>6928</v>
      </c>
      <c r="C3757" s="5" t="s">
        <v>7030</v>
      </c>
      <c r="D3757" s="6">
        <v>1515.84</v>
      </c>
      <c r="E3757" s="6">
        <v>3106.63</v>
      </c>
      <c r="F3757" s="7" t="s">
        <v>14</v>
      </c>
      <c r="G3757" s="8" t="s">
        <v>7031</v>
      </c>
      <c r="H3757" s="8" t="s">
        <v>16</v>
      </c>
      <c r="I3757" s="9">
        <v>578</v>
      </c>
      <c r="J3757" s="10">
        <v>11</v>
      </c>
      <c r="K3757" s="10">
        <v>11132</v>
      </c>
      <c r="L3757" s="3" t="str">
        <f t="shared" si="123"/>
        <v>ΟΣΠΡΙΑ_ΒΡΩΣΙΜΑ</v>
      </c>
    </row>
    <row r="3758" spans="1:12" s="3" customFormat="1" ht="24" x14ac:dyDescent="0.25">
      <c r="A3758" s="3" t="str">
        <f t="shared" si="122"/>
        <v>ΟΣΠΡΙΑ ΒΡΩΣΙΜΑΛΑΘΟΥΡΙ ΒΡΩΣΙΜΟ PERLA</v>
      </c>
      <c r="B3758" s="4" t="s">
        <v>6928</v>
      </c>
      <c r="C3758" s="5" t="s">
        <v>7032</v>
      </c>
      <c r="D3758" s="6">
        <v>1515.84</v>
      </c>
      <c r="E3758" s="6">
        <v>3106.63</v>
      </c>
      <c r="F3758" s="7" t="s">
        <v>14</v>
      </c>
      <c r="G3758" s="8" t="s">
        <v>7033</v>
      </c>
      <c r="H3758" s="8" t="s">
        <v>16</v>
      </c>
      <c r="I3758" s="9">
        <v>605</v>
      </c>
      <c r="J3758" s="10">
        <v>11</v>
      </c>
      <c r="K3758" s="10">
        <v>11133</v>
      </c>
      <c r="L3758" s="3" t="str">
        <f t="shared" si="123"/>
        <v>ΟΣΠΡΙΑ_ΒΡΩΣΙΜΑ</v>
      </c>
    </row>
    <row r="3759" spans="1:12" s="3" customFormat="1" ht="24" x14ac:dyDescent="0.25">
      <c r="A3759" s="3" t="str">
        <f t="shared" si="122"/>
        <v>ΟΣΠΡΙΑ ΒΡΩΣΙΜΑΦΑΚΕΣ CHARA</v>
      </c>
      <c r="B3759" s="23" t="s">
        <v>6928</v>
      </c>
      <c r="C3759" s="24" t="s">
        <v>7034</v>
      </c>
      <c r="D3759" s="6">
        <v>1515.84</v>
      </c>
      <c r="E3759" s="6">
        <v>3106.63</v>
      </c>
      <c r="F3759" s="29" t="s">
        <v>14</v>
      </c>
      <c r="G3759" s="8" t="s">
        <v>7035</v>
      </c>
      <c r="H3759" s="8" t="s">
        <v>16</v>
      </c>
      <c r="I3759" s="9">
        <v>5427</v>
      </c>
      <c r="J3759" s="26">
        <v>11</v>
      </c>
      <c r="K3759" s="27">
        <v>11134</v>
      </c>
      <c r="L3759" s="3" t="str">
        <f t="shared" si="123"/>
        <v>ΟΣΠΡΙΑ_ΒΡΩΣΙΜΑ</v>
      </c>
    </row>
    <row r="3760" spans="1:12" s="3" customFormat="1" ht="24" x14ac:dyDescent="0.25">
      <c r="A3760" s="3" t="str">
        <f t="shared" si="122"/>
        <v>ΟΣΠΡΙΑ ΒΡΩΣΙΜΑΦΑΣΟΛΙΑ LUMINOSA</v>
      </c>
      <c r="B3760" s="23" t="s">
        <v>6928</v>
      </c>
      <c r="C3760" s="24" t="s">
        <v>7036</v>
      </c>
      <c r="D3760" s="6">
        <v>1568.73</v>
      </c>
      <c r="E3760" s="6">
        <v>1689.55</v>
      </c>
      <c r="F3760" s="36" t="s">
        <v>14</v>
      </c>
      <c r="G3760" s="8" t="s">
        <v>7037</v>
      </c>
      <c r="H3760" s="8" t="s">
        <v>16</v>
      </c>
      <c r="I3760" s="9">
        <v>5428</v>
      </c>
      <c r="J3760" s="26">
        <v>11</v>
      </c>
      <c r="K3760" s="27">
        <v>11135</v>
      </c>
      <c r="L3760" s="3" t="str">
        <f t="shared" si="123"/>
        <v>ΟΣΠΡΙΑ_ΒΡΩΣΙΜΑ</v>
      </c>
    </row>
    <row r="3761" spans="1:12" s="3" customFormat="1" x14ac:dyDescent="0.25">
      <c r="A3761" s="3" t="str">
        <f t="shared" si="122"/>
        <v>ΟΣΠΡΙΑ ΒΡΩΣΙΜΑΦΑΣΟΛΙ ΑΣΠΡΟΜΥΤΙΚΟ ΑΤΣΙΚΗΣ ΛΗΜΝΟΥ</v>
      </c>
      <c r="B3761" s="23" t="s">
        <v>6928</v>
      </c>
      <c r="C3761" s="24" t="s">
        <v>7038</v>
      </c>
      <c r="D3761" s="6">
        <v>1515.84</v>
      </c>
      <c r="E3761" s="6">
        <v>3106.63</v>
      </c>
      <c r="F3761" s="7" t="s">
        <v>14</v>
      </c>
      <c r="G3761" s="30" t="s">
        <v>7039</v>
      </c>
      <c r="H3761" s="31" t="s">
        <v>577</v>
      </c>
      <c r="I3761" s="9">
        <v>6239</v>
      </c>
      <c r="J3761" s="30">
        <v>11</v>
      </c>
      <c r="K3761" s="30">
        <v>11136</v>
      </c>
      <c r="L3761" s="3" t="str">
        <f t="shared" si="123"/>
        <v>ΟΣΠΡΙΑ_ΒΡΩΣΙΜΑ</v>
      </c>
    </row>
    <row r="3762" spans="1:12" s="3" customFormat="1" x14ac:dyDescent="0.25">
      <c r="A3762" s="3" t="str">
        <f t="shared" si="122"/>
        <v>ΟΣΠΡΙΑ ΒΡΩΣΙΜΑΛΑΘΟΥΡΙ ΒΡΩΣΙΜΟ</v>
      </c>
      <c r="B3762" s="23" t="s">
        <v>6928</v>
      </c>
      <c r="C3762" s="24" t="s">
        <v>7040</v>
      </c>
      <c r="D3762" s="6">
        <v>1515.84</v>
      </c>
      <c r="E3762" s="6">
        <v>3106.63</v>
      </c>
      <c r="F3762" s="7" t="s">
        <v>14</v>
      </c>
      <c r="G3762" s="30" t="s">
        <v>7041</v>
      </c>
      <c r="H3762" s="31" t="s">
        <v>577</v>
      </c>
      <c r="I3762" s="9">
        <v>6061</v>
      </c>
      <c r="J3762" s="30">
        <v>11</v>
      </c>
      <c r="K3762" s="30">
        <v>11137</v>
      </c>
      <c r="L3762" s="3" t="str">
        <f t="shared" si="123"/>
        <v>ΟΣΠΡΙΑ_ΒΡΩΣΙΜΑ</v>
      </c>
    </row>
    <row r="3763" spans="1:12" s="3" customFormat="1" x14ac:dyDescent="0.25">
      <c r="A3763" s="3" t="str">
        <f t="shared" si="122"/>
        <v>ΟΣΠΡΙΑ ΒΡΩΣΙΜΑΡΕΒΥΘΙΑ ΜΕΓΑΛΟΣΠΕΡΜΑ ΘΗΒΑΣ Τ. ΜΑΡΟΚΟΥ</v>
      </c>
      <c r="B3763" s="18" t="s">
        <v>6928</v>
      </c>
      <c r="C3763" s="19" t="s">
        <v>7042</v>
      </c>
      <c r="D3763" s="6">
        <v>1515.84</v>
      </c>
      <c r="E3763" s="6">
        <v>3106.63</v>
      </c>
      <c r="F3763" s="6" t="s">
        <v>14</v>
      </c>
      <c r="G3763" s="8" t="s">
        <v>7043</v>
      </c>
      <c r="H3763" s="8" t="s">
        <v>27</v>
      </c>
      <c r="I3763" s="9">
        <v>4275</v>
      </c>
      <c r="J3763" s="20">
        <v>11</v>
      </c>
      <c r="K3763" s="20">
        <v>1114</v>
      </c>
      <c r="L3763" s="3" t="str">
        <f t="shared" si="123"/>
        <v>ΟΣΠΡΙΑ_ΒΡΩΣΙΜΑ</v>
      </c>
    </row>
    <row r="3764" spans="1:12" s="3" customFormat="1" ht="24" x14ac:dyDescent="0.25">
      <c r="A3764" s="3" t="str">
        <f t="shared" si="122"/>
        <v>ΟΣΠΡΙΑ ΒΡΩΣΙΜΑΡΕΒΥΘΙΑ THIVA</v>
      </c>
      <c r="B3764" s="4" t="s">
        <v>6928</v>
      </c>
      <c r="C3764" s="5" t="s">
        <v>7044</v>
      </c>
      <c r="D3764" s="6">
        <v>1515.84</v>
      </c>
      <c r="E3764" s="6">
        <v>3106.63</v>
      </c>
      <c r="F3764" s="7" t="s">
        <v>14</v>
      </c>
      <c r="G3764" s="8" t="s">
        <v>7045</v>
      </c>
      <c r="H3764" s="8" t="s">
        <v>16</v>
      </c>
      <c r="I3764" s="9">
        <v>586</v>
      </c>
      <c r="J3764" s="10">
        <v>11</v>
      </c>
      <c r="K3764" s="10">
        <v>1115</v>
      </c>
      <c r="L3764" s="3" t="str">
        <f t="shared" si="123"/>
        <v>ΟΣΠΡΙΑ_ΒΡΩΣΙΜΑ</v>
      </c>
    </row>
    <row r="3765" spans="1:12" s="3" customFormat="1" x14ac:dyDescent="0.25">
      <c r="A3765" s="3" t="str">
        <f t="shared" si="122"/>
        <v>ΟΣΠΡΙΑ ΒΡΩΣΙΜΑΡΕΒΥΘΙΑ ΜΕΓΑΛΟΣΠΕΡΜΑ ΛΟΙΠΕΣ ΠΟΙΚΙΛΙΕΣ</v>
      </c>
      <c r="B3765" s="18" t="s">
        <v>6928</v>
      </c>
      <c r="C3765" s="19" t="s">
        <v>7046</v>
      </c>
      <c r="D3765" s="6">
        <v>1515.84</v>
      </c>
      <c r="E3765" s="6">
        <v>3106.63</v>
      </c>
      <c r="F3765" s="6" t="s">
        <v>14</v>
      </c>
      <c r="G3765" s="8" t="s">
        <v>7047</v>
      </c>
      <c r="H3765" s="8" t="s">
        <v>27</v>
      </c>
      <c r="I3765" s="9">
        <v>4276</v>
      </c>
      <c r="J3765" s="20">
        <v>11</v>
      </c>
      <c r="K3765" s="20">
        <v>1116</v>
      </c>
      <c r="L3765" s="3" t="str">
        <f t="shared" si="123"/>
        <v>ΟΣΠΡΙΑ_ΒΡΩΣΙΜΑ</v>
      </c>
    </row>
    <row r="3766" spans="1:12" s="3" customFormat="1" x14ac:dyDescent="0.25">
      <c r="A3766" s="3" t="str">
        <f t="shared" si="122"/>
        <v>ΟΣΠΡΙΑ ΒΡΩΣΙΜΑΡΕΒΥΘΙΑ ΜΙΚΡΟΣΠΕΡΜΑ ΛΟΙΠΕΣ ΠΟΙΚΙΛΙΕΣ</v>
      </c>
      <c r="B3766" s="18" t="s">
        <v>6928</v>
      </c>
      <c r="C3766" s="19" t="s">
        <v>7048</v>
      </c>
      <c r="D3766" s="6">
        <v>1515.84</v>
      </c>
      <c r="E3766" s="6">
        <v>3106.63</v>
      </c>
      <c r="F3766" s="6" t="s">
        <v>14</v>
      </c>
      <c r="G3766" s="8" t="s">
        <v>7049</v>
      </c>
      <c r="H3766" s="8" t="s">
        <v>27</v>
      </c>
      <c r="I3766" s="9">
        <v>4277</v>
      </c>
      <c r="J3766" s="20">
        <v>11</v>
      </c>
      <c r="K3766" s="20">
        <v>1117</v>
      </c>
      <c r="L3766" s="3" t="str">
        <f t="shared" si="123"/>
        <v>ΟΣΠΡΙΑ_ΒΡΩΣΙΜΑ</v>
      </c>
    </row>
    <row r="3767" spans="1:12" s="3" customFormat="1" x14ac:dyDescent="0.25">
      <c r="A3767" s="3" t="str">
        <f t="shared" si="122"/>
        <v>ΟΣΠΡΙΑ ΒΡΩΣΙΜΑΡΕΒΥΘΙΑ ΜΕΣΟΣΠΕΡΜΑ ΛΟΙΠΕΣ ΠΟΙΚΙΛΙΕΣ</v>
      </c>
      <c r="B3767" s="18" t="s">
        <v>6928</v>
      </c>
      <c r="C3767" s="19" t="s">
        <v>7050</v>
      </c>
      <c r="D3767" s="6">
        <v>1515.84</v>
      </c>
      <c r="E3767" s="6">
        <v>3106.63</v>
      </c>
      <c r="F3767" s="6" t="s">
        <v>14</v>
      </c>
      <c r="G3767" s="8" t="s">
        <v>7051</v>
      </c>
      <c r="H3767" s="8" t="s">
        <v>27</v>
      </c>
      <c r="I3767" s="9">
        <v>4278</v>
      </c>
      <c r="J3767" s="20">
        <v>11</v>
      </c>
      <c r="K3767" s="20">
        <v>1118</v>
      </c>
      <c r="L3767" s="3" t="str">
        <f t="shared" si="123"/>
        <v>ΟΣΠΡΙΑ_ΒΡΩΣΙΜΑ</v>
      </c>
    </row>
    <row r="3768" spans="1:12" s="3" customFormat="1" x14ac:dyDescent="0.25">
      <c r="A3768" s="3" t="str">
        <f t="shared" si="122"/>
        <v>ΟΣΠΡΙΑ ΒΡΩΣΙΜΑΦΑΚΕΣ ΛΕΠΤΟΣΠΕΡΜΕΣ ΠΕΛΑΣΓΙΑ (Φ-1)</v>
      </c>
      <c r="B3768" s="18" t="s">
        <v>6928</v>
      </c>
      <c r="C3768" s="19" t="s">
        <v>7052</v>
      </c>
      <c r="D3768" s="6">
        <v>1515.84</v>
      </c>
      <c r="E3768" s="6">
        <v>3106.63</v>
      </c>
      <c r="F3768" s="6" t="s">
        <v>14</v>
      </c>
      <c r="G3768" s="8" t="s">
        <v>7053</v>
      </c>
      <c r="H3768" s="8" t="s">
        <v>27</v>
      </c>
      <c r="I3768" s="9">
        <v>4279</v>
      </c>
      <c r="J3768" s="20">
        <v>11</v>
      </c>
      <c r="K3768" s="20">
        <v>1121</v>
      </c>
      <c r="L3768" s="3" t="str">
        <f t="shared" si="123"/>
        <v>ΟΣΠΡΙΑ_ΒΡΩΣΙΜΑ</v>
      </c>
    </row>
    <row r="3769" spans="1:12" s="3" customFormat="1" x14ac:dyDescent="0.25">
      <c r="A3769" s="3" t="str">
        <f t="shared" si="122"/>
        <v>ΟΣΠΡΙΑ ΒΡΩΣΙΜΑΦΑΚΕΣ ΛΕΠΤΟΣΠΕΡΜΕΣ ΑΡΑΧΩΒΑΣ (Φ-30)</v>
      </c>
      <c r="B3769" s="18" t="s">
        <v>6928</v>
      </c>
      <c r="C3769" s="19" t="s">
        <v>7054</v>
      </c>
      <c r="D3769" s="6">
        <v>1515.84</v>
      </c>
      <c r="E3769" s="6">
        <v>3106.63</v>
      </c>
      <c r="F3769" s="6" t="s">
        <v>14</v>
      </c>
      <c r="G3769" s="8" t="s">
        <v>7055</v>
      </c>
      <c r="H3769" s="8" t="s">
        <v>27</v>
      </c>
      <c r="I3769" s="9">
        <v>4280</v>
      </c>
      <c r="J3769" s="20">
        <v>11</v>
      </c>
      <c r="K3769" s="20">
        <v>1122</v>
      </c>
      <c r="L3769" s="3" t="str">
        <f t="shared" si="123"/>
        <v>ΟΣΠΡΙΑ_ΒΡΩΣΙΜΑ</v>
      </c>
    </row>
    <row r="3770" spans="1:12" s="3" customFormat="1" x14ac:dyDescent="0.25">
      <c r="A3770" s="3" t="str">
        <f t="shared" si="122"/>
        <v>ΟΣΠΡΙΑ ΒΡΩΣΙΜΑΦΑΚΕΣ ΛΕΠΤΟΣΠΕΡΜΕΣ ΑΡΚΑΔΙΑΣ (Μ-12463)</v>
      </c>
      <c r="B3770" s="18" t="s">
        <v>6928</v>
      </c>
      <c r="C3770" s="19" t="s">
        <v>7056</v>
      </c>
      <c r="D3770" s="6">
        <v>1515.84</v>
      </c>
      <c r="E3770" s="6">
        <v>3106.63</v>
      </c>
      <c r="F3770" s="6" t="s">
        <v>14</v>
      </c>
      <c r="G3770" s="8" t="s">
        <v>7057</v>
      </c>
      <c r="H3770" s="8" t="s">
        <v>27</v>
      </c>
      <c r="I3770" s="9">
        <v>4281</v>
      </c>
      <c r="J3770" s="20">
        <v>11</v>
      </c>
      <c r="K3770" s="20">
        <v>1123</v>
      </c>
      <c r="L3770" s="3" t="str">
        <f t="shared" si="123"/>
        <v>ΟΣΠΡΙΑ_ΒΡΩΣΙΜΑ</v>
      </c>
    </row>
    <row r="3771" spans="1:12" s="3" customFormat="1" ht="24" x14ac:dyDescent="0.25">
      <c r="A3771" s="3" t="str">
        <f t="shared" si="122"/>
        <v>ΟΣΠΡΙΑ ΒΡΩΣΙΜΑΦΑΚΕΣ DIMITRA</v>
      </c>
      <c r="B3771" s="4" t="s">
        <v>6928</v>
      </c>
      <c r="C3771" s="5" t="s">
        <v>7058</v>
      </c>
      <c r="D3771" s="6">
        <v>1515.84</v>
      </c>
      <c r="E3771" s="6">
        <v>3106.63</v>
      </c>
      <c r="F3771" s="7" t="s">
        <v>14</v>
      </c>
      <c r="G3771" s="8" t="s">
        <v>7059</v>
      </c>
      <c r="H3771" s="8" t="s">
        <v>16</v>
      </c>
      <c r="I3771" s="9">
        <v>587</v>
      </c>
      <c r="J3771" s="10">
        <v>11</v>
      </c>
      <c r="K3771" s="10">
        <v>1124</v>
      </c>
      <c r="L3771" s="3" t="str">
        <f t="shared" si="123"/>
        <v>ΟΣΠΡΙΑ_ΒΡΩΣΙΜΑ</v>
      </c>
    </row>
    <row r="3772" spans="1:12" s="3" customFormat="1" x14ac:dyDescent="0.25">
      <c r="A3772" s="3" t="str">
        <f t="shared" si="122"/>
        <v>ΟΣΠΡΙΑ ΒΡΩΣΙΜΑΦΑΚΕΣ ΠΛΑΤΥΣΠΕΡΜΕΣ ΘΕΣΣΑΛΙΑΣ (Μ-1956)</v>
      </c>
      <c r="B3772" s="18" t="s">
        <v>6928</v>
      </c>
      <c r="C3772" s="19" t="s">
        <v>7060</v>
      </c>
      <c r="D3772" s="6">
        <v>1515.84</v>
      </c>
      <c r="E3772" s="6">
        <v>3106.63</v>
      </c>
      <c r="F3772" s="6" t="s">
        <v>14</v>
      </c>
      <c r="G3772" s="8" t="s">
        <v>7061</v>
      </c>
      <c r="H3772" s="8" t="s">
        <v>27</v>
      </c>
      <c r="I3772" s="9">
        <v>4282</v>
      </c>
      <c r="J3772" s="20">
        <v>11</v>
      </c>
      <c r="K3772" s="20">
        <v>1125</v>
      </c>
      <c r="L3772" s="3" t="str">
        <f t="shared" si="123"/>
        <v>ΟΣΠΡΙΑ_ΒΡΩΣΙΜΑ</v>
      </c>
    </row>
    <row r="3773" spans="1:12" s="3" customFormat="1" x14ac:dyDescent="0.25">
      <c r="A3773" s="3" t="str">
        <f t="shared" si="122"/>
        <v>ΟΣΠΡΙΑ ΒΡΩΣΙΜΑΦΑΚΕΣ ΠΛΑΤΥΣΠΕΡΜΕΣ ΛΟΙΠΕΣ ΠΟΙΚΙΛΙΕΣ</v>
      </c>
      <c r="B3773" s="18" t="s">
        <v>6928</v>
      </c>
      <c r="C3773" s="19" t="s">
        <v>7062</v>
      </c>
      <c r="D3773" s="6">
        <v>1515.84</v>
      </c>
      <c r="E3773" s="6">
        <v>3106.63</v>
      </c>
      <c r="F3773" s="6" t="s">
        <v>14</v>
      </c>
      <c r="G3773" s="8" t="s">
        <v>7063</v>
      </c>
      <c r="H3773" s="8" t="s">
        <v>27</v>
      </c>
      <c r="I3773" s="9">
        <v>4283</v>
      </c>
      <c r="J3773" s="20">
        <v>11</v>
      </c>
      <c r="K3773" s="20">
        <v>1126</v>
      </c>
      <c r="L3773" s="3" t="str">
        <f t="shared" si="123"/>
        <v>ΟΣΠΡΙΑ_ΒΡΩΣΙΜΑ</v>
      </c>
    </row>
    <row r="3774" spans="1:12" s="3" customFormat="1" x14ac:dyDescent="0.25">
      <c r="A3774" s="3" t="str">
        <f t="shared" si="122"/>
        <v>ΟΣΠΡΙΑ ΒΡΩΣΙΜΑΦΑΚΕΣ ΜΕΣΟΣΠΕΡΜΕΣ ΛΟΙΠΕΣ ΠΟΙΚΙΛΙΕΣ</v>
      </c>
      <c r="B3774" s="18" t="s">
        <v>6928</v>
      </c>
      <c r="C3774" s="19" t="s">
        <v>7064</v>
      </c>
      <c r="D3774" s="6">
        <v>1515.84</v>
      </c>
      <c r="E3774" s="6">
        <v>3106.63</v>
      </c>
      <c r="F3774" s="6" t="s">
        <v>14</v>
      </c>
      <c r="G3774" s="8" t="s">
        <v>7065</v>
      </c>
      <c r="H3774" s="8" t="s">
        <v>27</v>
      </c>
      <c r="I3774" s="9">
        <v>4284</v>
      </c>
      <c r="J3774" s="20">
        <v>11</v>
      </c>
      <c r="K3774" s="20">
        <v>1127</v>
      </c>
      <c r="L3774" s="3" t="str">
        <f t="shared" si="123"/>
        <v>ΟΣΠΡΙΑ_ΒΡΩΣΙΜΑ</v>
      </c>
    </row>
    <row r="3775" spans="1:12" s="3" customFormat="1" x14ac:dyDescent="0.25">
      <c r="A3775" s="3" t="str">
        <f t="shared" si="122"/>
        <v>ΟΣΠΡΙΑ ΒΡΩΣΙΜΑΦΑΚΕΣ ΛΕΠΤΟΣΠΕΡΜΕΣ ΛΟΙΠΕΣ ΠΟΙΚΙΛΙΕΣ</v>
      </c>
      <c r="B3775" s="18" t="s">
        <v>6928</v>
      </c>
      <c r="C3775" s="19" t="s">
        <v>7066</v>
      </c>
      <c r="D3775" s="6">
        <v>1515.84</v>
      </c>
      <c r="E3775" s="6">
        <v>3106.63</v>
      </c>
      <c r="F3775" s="6" t="s">
        <v>14</v>
      </c>
      <c r="G3775" s="8" t="s">
        <v>7067</v>
      </c>
      <c r="H3775" s="8" t="s">
        <v>27</v>
      </c>
      <c r="I3775" s="9">
        <v>4285</v>
      </c>
      <c r="J3775" s="20">
        <v>11</v>
      </c>
      <c r="K3775" s="20">
        <v>1128</v>
      </c>
      <c r="L3775" s="3" t="str">
        <f t="shared" si="123"/>
        <v>ΟΣΠΡΙΑ_ΒΡΩΣΙΜΑ</v>
      </c>
    </row>
    <row r="3776" spans="1:12" s="3" customFormat="1" x14ac:dyDescent="0.25">
      <c r="A3776" s="3" t="str">
        <f t="shared" si="122"/>
        <v>ΟΣΠΡΙΑ ΒΡΩΣΙΜΑΦΑΚΕΣ ΜΕΣΟΣΠΕΡΜΕΣ ΕΓΧΩΡΙΕΣ ΠΟΙΚΙΛΙΕΣ</v>
      </c>
      <c r="B3776" s="18" t="s">
        <v>6928</v>
      </c>
      <c r="C3776" s="19" t="s">
        <v>7068</v>
      </c>
      <c r="D3776" s="6">
        <v>1515.84</v>
      </c>
      <c r="E3776" s="6">
        <v>3106.63</v>
      </c>
      <c r="F3776" s="6" t="s">
        <v>14</v>
      </c>
      <c r="G3776" s="8" t="s">
        <v>7069</v>
      </c>
      <c r="H3776" s="8" t="s">
        <v>27</v>
      </c>
      <c r="I3776" s="9">
        <v>4286</v>
      </c>
      <c r="J3776" s="20">
        <v>11</v>
      </c>
      <c r="K3776" s="20">
        <v>1129</v>
      </c>
      <c r="L3776" s="3" t="str">
        <f t="shared" si="123"/>
        <v>ΟΣΠΡΙΑ_ΒΡΩΣΙΜΑ</v>
      </c>
    </row>
    <row r="3777" spans="1:12" s="3" customFormat="1" ht="24" x14ac:dyDescent="0.25">
      <c r="A3777" s="3" t="str">
        <f t="shared" si="122"/>
        <v>ΟΣΠΡΙΑ ΒΡΩΣΙΜΑΦΑΣΟΛΙΑ - ΓΙΓΑΝΤΕΣ ΕΛΕΦΑΝΤΕΣ</v>
      </c>
      <c r="B3777" s="4" t="s">
        <v>6928</v>
      </c>
      <c r="C3777" s="5" t="s">
        <v>7070</v>
      </c>
      <c r="D3777" s="6">
        <v>11290.03</v>
      </c>
      <c r="E3777" s="6">
        <v>13610.93</v>
      </c>
      <c r="F3777" s="7" t="s">
        <v>14</v>
      </c>
      <c r="G3777" s="8" t="s">
        <v>7071</v>
      </c>
      <c r="H3777" s="8" t="s">
        <v>16</v>
      </c>
      <c r="I3777" s="9">
        <v>588</v>
      </c>
      <c r="J3777" s="10">
        <v>11</v>
      </c>
      <c r="K3777" s="10">
        <v>1144</v>
      </c>
      <c r="L3777" s="3" t="str">
        <f t="shared" si="123"/>
        <v>ΟΣΠΡΙΑ_ΒΡΩΣΙΜΑ</v>
      </c>
    </row>
    <row r="3778" spans="1:12" s="3" customFormat="1" x14ac:dyDescent="0.25">
      <c r="A3778" s="3" t="str">
        <f t="shared" si="122"/>
        <v>ΟΣΠΡΙΑ ΒΡΩΣΙΜΑΦΑΚΕΣ ΜΟΛΟΥ</v>
      </c>
      <c r="B3778" s="18" t="s">
        <v>6928</v>
      </c>
      <c r="C3778" s="19" t="s">
        <v>7072</v>
      </c>
      <c r="D3778" s="6">
        <v>1515.84</v>
      </c>
      <c r="E3778" s="6">
        <v>3106.63</v>
      </c>
      <c r="F3778" s="6" t="s">
        <v>14</v>
      </c>
      <c r="G3778" s="8" t="s">
        <v>7073</v>
      </c>
      <c r="H3778" s="8" t="s">
        <v>27</v>
      </c>
      <c r="I3778" s="9">
        <v>4287</v>
      </c>
      <c r="J3778" s="20">
        <v>11</v>
      </c>
      <c r="K3778" s="20">
        <v>1145</v>
      </c>
      <c r="L3778" s="3" t="str">
        <f t="shared" si="123"/>
        <v>ΟΣΠΡΙΑ_ΒΡΩΣΙΜΑ</v>
      </c>
    </row>
    <row r="3779" spans="1:12" s="3" customFormat="1" ht="24" x14ac:dyDescent="0.25">
      <c r="A3779" s="3" t="str">
        <f t="shared" ref="A3779:A3842" si="124">_xlfn.CONCAT(B3779,C3779)</f>
        <v>ΟΣΠΡΙΑ ΒΡΩΣΙΜΑΦΑΚΕΣ ΕΓΚΛΟΥΒΗΣ</v>
      </c>
      <c r="B3779" s="4" t="s">
        <v>6928</v>
      </c>
      <c r="C3779" s="5" t="s">
        <v>7074</v>
      </c>
      <c r="D3779" s="6">
        <v>1515.84</v>
      </c>
      <c r="E3779" s="6">
        <v>3106.63</v>
      </c>
      <c r="F3779" s="7" t="s">
        <v>14</v>
      </c>
      <c r="G3779" s="8" t="s">
        <v>7075</v>
      </c>
      <c r="H3779" s="8" t="s">
        <v>16</v>
      </c>
      <c r="I3779" s="9">
        <v>589</v>
      </c>
      <c r="J3779" s="10">
        <v>11</v>
      </c>
      <c r="K3779" s="10">
        <v>1146</v>
      </c>
      <c r="L3779" s="3" t="str">
        <f t="shared" ref="L3779:L3842" si="125">IFERROR(SUBSTITUTE(SUBSTITUTE(SUBSTITUTE(SUBSTITUTE(SUBSTITUTE(B3779, "-", "_"), " ", "_"), ",", ""), "(", ""), ")", ""), B3779)</f>
        <v>ΟΣΠΡΙΑ_ΒΡΩΣΙΜΑ</v>
      </c>
    </row>
    <row r="3780" spans="1:12" s="3" customFormat="1" ht="24" x14ac:dyDescent="0.25">
      <c r="A3780" s="3" t="str">
        <f t="shared" si="124"/>
        <v>ΟΣΠΡΙΑ ΒΡΩΣΙΜΑΦΑΚΕΣ THESSALIA</v>
      </c>
      <c r="B3780" s="4" t="s">
        <v>6928</v>
      </c>
      <c r="C3780" s="5" t="s">
        <v>7076</v>
      </c>
      <c r="D3780" s="6">
        <v>1515.84</v>
      </c>
      <c r="E3780" s="6">
        <v>3106.63</v>
      </c>
      <c r="F3780" s="7" t="s">
        <v>14</v>
      </c>
      <c r="G3780" s="8" t="s">
        <v>7077</v>
      </c>
      <c r="H3780" s="8" t="s">
        <v>16</v>
      </c>
      <c r="I3780" s="9">
        <v>590</v>
      </c>
      <c r="J3780" s="10">
        <v>11</v>
      </c>
      <c r="K3780" s="10">
        <v>1147</v>
      </c>
      <c r="L3780" s="3" t="str">
        <f t="shared" si="125"/>
        <v>ΟΣΠΡΙΑ_ΒΡΩΣΙΜΑ</v>
      </c>
    </row>
    <row r="3781" spans="1:12" s="3" customFormat="1" ht="24" x14ac:dyDescent="0.25">
      <c r="A3781" s="3" t="str">
        <f t="shared" si="124"/>
        <v>ΟΣΠΡΙΑ ΒΡΩΣΙΜΑΦΑΚΕΣ  SAMOS</v>
      </c>
      <c r="B3781" s="4" t="s">
        <v>6928</v>
      </c>
      <c r="C3781" s="5" t="s">
        <v>7078</v>
      </c>
      <c r="D3781" s="6">
        <v>1515.84</v>
      </c>
      <c r="E3781" s="6">
        <v>3106.63</v>
      </c>
      <c r="F3781" s="7" t="s">
        <v>14</v>
      </c>
      <c r="G3781" s="8" t="s">
        <v>7079</v>
      </c>
      <c r="H3781" s="8" t="s">
        <v>16</v>
      </c>
      <c r="I3781" s="9">
        <v>591</v>
      </c>
      <c r="J3781" s="10">
        <v>11</v>
      </c>
      <c r="K3781" s="10">
        <v>1148</v>
      </c>
      <c r="L3781" s="3" t="str">
        <f t="shared" si="125"/>
        <v>ΟΣΠΡΙΑ_ΒΡΩΣΙΜΑ</v>
      </c>
    </row>
    <row r="3782" spans="1:12" s="3" customFormat="1" ht="24" x14ac:dyDescent="0.25">
      <c r="A3782" s="3" t="str">
        <f t="shared" si="124"/>
        <v>ΟΣΠΡΙΑ ΒΡΩΣΙΜΑΛΑΘΟΥΡΙ ΒΡΩΣΙΜΟ / ΦΑΒΑ ΠΑΡΟΥ</v>
      </c>
      <c r="B3782" s="4" t="s">
        <v>6928</v>
      </c>
      <c r="C3782" s="5" t="s">
        <v>7080</v>
      </c>
      <c r="D3782" s="6">
        <v>1515.84</v>
      </c>
      <c r="E3782" s="6">
        <v>3106.63</v>
      </c>
      <c r="F3782" s="7" t="s">
        <v>14</v>
      </c>
      <c r="G3782" s="8" t="s">
        <v>7081</v>
      </c>
      <c r="H3782" s="8" t="s">
        <v>16</v>
      </c>
      <c r="I3782" s="9">
        <v>592</v>
      </c>
      <c r="J3782" s="10">
        <v>11</v>
      </c>
      <c r="K3782" s="10">
        <v>1149</v>
      </c>
      <c r="L3782" s="3" t="str">
        <f t="shared" si="125"/>
        <v>ΟΣΠΡΙΑ_ΒΡΩΣΙΜΑ</v>
      </c>
    </row>
    <row r="3783" spans="1:12" s="3" customFormat="1" ht="24" x14ac:dyDescent="0.25">
      <c r="A3783" s="3" t="str">
        <f t="shared" si="124"/>
        <v>ΟΣΠΡΙΑ ΒΡΩΣΙΜΑΛΑΘΟΥΡΙ ΒΡΩΣΙΜΟ / ΦΑΒΑ ΚΑΡΥΑΣ</v>
      </c>
      <c r="B3783" s="4" t="s">
        <v>6928</v>
      </c>
      <c r="C3783" s="5" t="s">
        <v>7082</v>
      </c>
      <c r="D3783" s="6">
        <v>1515.84</v>
      </c>
      <c r="E3783" s="6">
        <v>3106.63</v>
      </c>
      <c r="F3783" s="7" t="s">
        <v>14</v>
      </c>
      <c r="G3783" s="8" t="s">
        <v>7083</v>
      </c>
      <c r="H3783" s="8" t="s">
        <v>16</v>
      </c>
      <c r="I3783" s="9">
        <v>593</v>
      </c>
      <c r="J3783" s="10">
        <v>11</v>
      </c>
      <c r="K3783" s="10">
        <v>1150</v>
      </c>
      <c r="L3783" s="3" t="str">
        <f t="shared" si="125"/>
        <v>ΟΣΠΡΙΑ_ΒΡΩΣΙΜΑ</v>
      </c>
    </row>
    <row r="3784" spans="1:12" s="3" customFormat="1" ht="24" x14ac:dyDescent="0.25">
      <c r="A3784" s="3" t="str">
        <f t="shared" si="124"/>
        <v>ΟΣΠΡΙΑ ΒΡΩΣΙΜΑΛΑΘΟΥΡΙ ΒΡΩΣΙΜΟ / ΦΑΒΑ ΠΑΠΟΥΛΑ</v>
      </c>
      <c r="B3784" s="4" t="s">
        <v>6928</v>
      </c>
      <c r="C3784" s="5" t="s">
        <v>7084</v>
      </c>
      <c r="D3784" s="6">
        <v>1515.84</v>
      </c>
      <c r="E3784" s="6">
        <v>3106.63</v>
      </c>
      <c r="F3784" s="7" t="s">
        <v>14</v>
      </c>
      <c r="G3784" s="8" t="s">
        <v>7085</v>
      </c>
      <c r="H3784" s="8" t="s">
        <v>16</v>
      </c>
      <c r="I3784" s="9">
        <v>594</v>
      </c>
      <c r="J3784" s="10">
        <v>11</v>
      </c>
      <c r="K3784" s="10">
        <v>1151</v>
      </c>
      <c r="L3784" s="3" t="str">
        <f t="shared" si="125"/>
        <v>ΟΣΠΡΙΑ_ΒΡΩΣΙΜΑ</v>
      </c>
    </row>
    <row r="3785" spans="1:12" s="3" customFormat="1" ht="24" x14ac:dyDescent="0.25">
      <c r="A3785" s="3" t="str">
        <f t="shared" si="124"/>
        <v>ΟΣΠΡΙΑ ΒΡΩΣΙΜΑΦΑΣΟΛΙΑ - ΒΑΝΙΛΙΕΣ ΦΕΝΕΟΥ</v>
      </c>
      <c r="B3785" s="4" t="s">
        <v>6928</v>
      </c>
      <c r="C3785" s="5" t="s">
        <v>7086</v>
      </c>
      <c r="D3785" s="6">
        <v>1568.73</v>
      </c>
      <c r="E3785" s="6">
        <v>1689.55</v>
      </c>
      <c r="F3785" s="7" t="s">
        <v>14</v>
      </c>
      <c r="G3785" s="8" t="s">
        <v>7087</v>
      </c>
      <c r="H3785" s="8" t="s">
        <v>16</v>
      </c>
      <c r="I3785" s="9">
        <v>580</v>
      </c>
      <c r="J3785" s="10">
        <v>11</v>
      </c>
      <c r="K3785" s="10">
        <v>1155</v>
      </c>
      <c r="L3785" s="3" t="str">
        <f t="shared" si="125"/>
        <v>ΟΣΠΡΙΑ_ΒΡΩΣΙΜΑ</v>
      </c>
    </row>
    <row r="3786" spans="1:12" s="3" customFormat="1" ht="24" x14ac:dyDescent="0.25">
      <c r="A3786" s="3" t="str">
        <f t="shared" si="124"/>
        <v>ΟΣΠΡΙΑ ΒΡΩΣΙΜΑΛΑΘΟΥΡΙ ΒΡΩΣΙΜΟ / ΦΑΒΑ ΦΕΝΕΟΥ</v>
      </c>
      <c r="B3786" s="4" t="s">
        <v>6928</v>
      </c>
      <c r="C3786" s="5" t="s">
        <v>7088</v>
      </c>
      <c r="D3786" s="6">
        <v>1515.84</v>
      </c>
      <c r="E3786" s="6">
        <v>3106.63</v>
      </c>
      <c r="F3786" s="7" t="s">
        <v>14</v>
      </c>
      <c r="G3786" s="8" t="s">
        <v>7089</v>
      </c>
      <c r="H3786" s="8" t="s">
        <v>16</v>
      </c>
      <c r="I3786" s="9">
        <v>603</v>
      </c>
      <c r="J3786" s="10">
        <v>11</v>
      </c>
      <c r="K3786" s="10">
        <v>1156</v>
      </c>
      <c r="L3786" s="3" t="str">
        <f t="shared" si="125"/>
        <v>ΟΣΠΡΙΑ_ΒΡΩΣΙΜΑ</v>
      </c>
    </row>
    <row r="3787" spans="1:12" s="3" customFormat="1" ht="24" x14ac:dyDescent="0.25">
      <c r="A3787" s="3" t="str">
        <f t="shared" si="124"/>
        <v>ΟΣΠΡΙΑ ΒΡΩΣΙΜΑΦΑΣΟΛΙΑ ΞΕΡΑ ΜΑΥΡΟΜΑΤΙΚΑ (ΓΥΦΤΙΚΑ)</v>
      </c>
      <c r="B3787" s="4" t="s">
        <v>6928</v>
      </c>
      <c r="C3787" s="5" t="s">
        <v>7090</v>
      </c>
      <c r="D3787" s="6">
        <v>1568.73</v>
      </c>
      <c r="E3787" s="6">
        <v>1689.55</v>
      </c>
      <c r="F3787" s="7" t="s">
        <v>14</v>
      </c>
      <c r="G3787" s="8" t="s">
        <v>7091</v>
      </c>
      <c r="H3787" s="8" t="s">
        <v>16</v>
      </c>
      <c r="I3787" s="9">
        <v>596</v>
      </c>
      <c r="J3787" s="10">
        <v>11</v>
      </c>
      <c r="K3787" s="10">
        <v>1157</v>
      </c>
      <c r="L3787" s="3" t="str">
        <f t="shared" si="125"/>
        <v>ΟΣΠΡΙΑ_ΒΡΩΣΙΜΑ</v>
      </c>
    </row>
    <row r="3788" spans="1:12" s="3" customFormat="1" x14ac:dyDescent="0.25">
      <c r="A3788" s="3" t="str">
        <f t="shared" si="124"/>
        <v>ΟΣΠΡΙΑ ΒΡΩΣΙΜΑΦΑΣΟΛΙΑ ΑΜΠΕΛΟΦΑΣΟΥΛΑ</v>
      </c>
      <c r="B3788" s="18" t="s">
        <v>6928</v>
      </c>
      <c r="C3788" s="19" t="s">
        <v>7092</v>
      </c>
      <c r="D3788" s="6">
        <v>11290.03</v>
      </c>
      <c r="E3788" s="6">
        <v>13610.93</v>
      </c>
      <c r="F3788" s="6" t="s">
        <v>14</v>
      </c>
      <c r="G3788" s="8" t="s">
        <v>7093</v>
      </c>
      <c r="H3788" s="8" t="s">
        <v>27</v>
      </c>
      <c r="I3788" s="9">
        <v>4632</v>
      </c>
      <c r="J3788" s="20">
        <v>11</v>
      </c>
      <c r="K3788" s="20">
        <v>1158</v>
      </c>
      <c r="L3788" s="3" t="str">
        <f t="shared" si="125"/>
        <v>ΟΣΠΡΙΑ_ΒΡΩΣΙΜΑ</v>
      </c>
    </row>
    <row r="3789" spans="1:12" s="3" customFormat="1" ht="24" x14ac:dyDescent="0.25">
      <c r="A3789" s="3" t="str">
        <f t="shared" si="124"/>
        <v>ΠΑΡΕΚΚΛΙΣΗ ΑΓΡΑΝΑΠΑΥΣΗΣΑΓΡΑΝΑΠΑΥΣΗ ΠΑΡΕΚΚΛΙΣΗ - ΑΓΓΟΥΡΙ</v>
      </c>
      <c r="B3789" s="23" t="s">
        <v>7094</v>
      </c>
      <c r="C3789" s="24" t="s">
        <v>7095</v>
      </c>
      <c r="D3789" s="6">
        <v>11290.03</v>
      </c>
      <c r="E3789" s="6">
        <v>13610.93</v>
      </c>
      <c r="F3789" s="29" t="s">
        <v>14</v>
      </c>
      <c r="G3789" s="8" t="s">
        <v>7096</v>
      </c>
      <c r="H3789" s="8" t="s">
        <v>16</v>
      </c>
      <c r="I3789" s="9">
        <v>5429</v>
      </c>
      <c r="J3789" s="26">
        <v>6.1</v>
      </c>
      <c r="K3789" s="27">
        <v>610001</v>
      </c>
      <c r="L3789" s="3" t="str">
        <f t="shared" si="125"/>
        <v>ΠΑΡΕΚΚΛΙΣΗ_ΑΓΡΑΝΑΠΑΥΣΗΣ</v>
      </c>
    </row>
    <row r="3790" spans="1:12" s="3" customFormat="1" ht="24" x14ac:dyDescent="0.25">
      <c r="A3790" s="3" t="str">
        <f t="shared" si="124"/>
        <v>ΠΑΡΕΚΚΛΙΣΗ ΑΓΡΑΝΑΠΑΥΣΗΣΑΓΡΑΝΑΠΑΥΣΗ ΠΑΡΕΚΚΛΙΣΗ - ΑΓΡΙΟΑΓΓΙΝΑΡΑ</v>
      </c>
      <c r="B3790" s="23" t="s">
        <v>7094</v>
      </c>
      <c r="C3790" s="24" t="s">
        <v>7097</v>
      </c>
      <c r="D3790" s="6">
        <v>1829.23</v>
      </c>
      <c r="E3790" s="6">
        <v>3862.55</v>
      </c>
      <c r="F3790" s="29" t="s">
        <v>14</v>
      </c>
      <c r="G3790" s="8" t="s">
        <v>7098</v>
      </c>
      <c r="H3790" s="8" t="s">
        <v>16</v>
      </c>
      <c r="I3790" s="9">
        <v>5430</v>
      </c>
      <c r="J3790" s="26">
        <v>6.1</v>
      </c>
      <c r="K3790" s="27">
        <v>610002</v>
      </c>
      <c r="L3790" s="3" t="str">
        <f t="shared" si="125"/>
        <v>ΠΑΡΕΚΚΛΙΣΗ_ΑΓΡΑΝΑΠΑΥΣΗΣ</v>
      </c>
    </row>
    <row r="3791" spans="1:12" s="3" customFormat="1" ht="24" x14ac:dyDescent="0.25">
      <c r="A3791" s="3" t="str">
        <f t="shared" si="124"/>
        <v>ΠΑΡΕΚΚΛΙΣΗ ΑΓΡΑΝΑΠΑΥΣΗΣΑΓΡΑΝΑΠΑΥΣΗ ΠΑΡΕΚΚΛΙΣΗ - ΑΝΗΘΟΣ</v>
      </c>
      <c r="B3791" s="23" t="s">
        <v>7094</v>
      </c>
      <c r="C3791" s="24" t="s">
        <v>7099</v>
      </c>
      <c r="D3791" s="6">
        <v>11290.03</v>
      </c>
      <c r="E3791" s="6">
        <v>13610.93</v>
      </c>
      <c r="F3791" s="29" t="s">
        <v>14</v>
      </c>
      <c r="G3791" s="8" t="s">
        <v>7100</v>
      </c>
      <c r="H3791" s="8" t="s">
        <v>16</v>
      </c>
      <c r="I3791" s="9">
        <v>5431</v>
      </c>
      <c r="J3791" s="26">
        <v>6.1</v>
      </c>
      <c r="K3791" s="27">
        <v>610003</v>
      </c>
      <c r="L3791" s="3" t="str">
        <f t="shared" si="125"/>
        <v>ΠΑΡΕΚΚΛΙΣΗ_ΑΓΡΑΝΑΠΑΥΣΗΣ</v>
      </c>
    </row>
    <row r="3792" spans="1:12" s="3" customFormat="1" ht="24" x14ac:dyDescent="0.25">
      <c r="A3792" s="3" t="str">
        <f t="shared" si="124"/>
        <v xml:space="preserve">ΠΑΡΕΚΚΛΙΣΗ ΑΓΡΑΝΑΠΑΥΣΗΣΑΓΡΑΝΑΠΑΥΣΗ ΠΑΡΕΚΚΛΙΣΗ - ΑΝΤΙΔΙ - ΣΤΑΜΝΑΓΚΑΘΙ -ΡΑΔΙΚΙΑ - ΡΑΝΤΙΤΣΙΟ </v>
      </c>
      <c r="B3792" s="23" t="s">
        <v>7094</v>
      </c>
      <c r="C3792" s="24" t="s">
        <v>7101</v>
      </c>
      <c r="D3792" s="6">
        <v>11290.03</v>
      </c>
      <c r="E3792" s="6">
        <v>13610.93</v>
      </c>
      <c r="F3792" s="29" t="s">
        <v>14</v>
      </c>
      <c r="G3792" s="8" t="s">
        <v>7102</v>
      </c>
      <c r="H3792" s="8" t="s">
        <v>16</v>
      </c>
      <c r="I3792" s="9">
        <v>5432</v>
      </c>
      <c r="J3792" s="26">
        <v>6.1</v>
      </c>
      <c r="K3792" s="27">
        <v>610004</v>
      </c>
      <c r="L3792" s="3" t="str">
        <f t="shared" si="125"/>
        <v>ΠΑΡΕΚΚΛΙΣΗ_ΑΓΡΑΝΑΠΑΥΣΗΣ</v>
      </c>
    </row>
    <row r="3793" spans="1:12" s="3" customFormat="1" ht="24" x14ac:dyDescent="0.25">
      <c r="A3793" s="3" t="str">
        <f t="shared" si="124"/>
        <v>ΠΑΡΕΚΚΛΙΣΗ ΑΓΡΑΝΑΠΑΥΣΗΣΑΓΡΑΝΑΠΑΥΣΗ ΠΑΡΕΚΚΛΙΣΗ - ΑΝΤΡΑΚΛΑ/ΓΛΥΣΤΡΙΔΑ</v>
      </c>
      <c r="B3793" s="23" t="s">
        <v>7094</v>
      </c>
      <c r="C3793" s="24" t="s">
        <v>7103</v>
      </c>
      <c r="D3793" s="6">
        <v>11290.03</v>
      </c>
      <c r="E3793" s="6">
        <v>13610.93</v>
      </c>
      <c r="F3793" s="29" t="s">
        <v>14</v>
      </c>
      <c r="G3793" s="8" t="s">
        <v>7104</v>
      </c>
      <c r="H3793" s="8" t="s">
        <v>16</v>
      </c>
      <c r="I3793" s="9">
        <v>5433</v>
      </c>
      <c r="J3793" s="26">
        <v>6.1</v>
      </c>
      <c r="K3793" s="27">
        <v>610005</v>
      </c>
      <c r="L3793" s="3" t="str">
        <f t="shared" si="125"/>
        <v>ΠΑΡΕΚΚΛΙΣΗ_ΑΓΡΑΝΑΠΑΥΣΗΣ</v>
      </c>
    </row>
    <row r="3794" spans="1:12" s="3" customFormat="1" ht="24" x14ac:dyDescent="0.25">
      <c r="A3794" s="3" t="str">
        <f t="shared" si="124"/>
        <v>ΠΑΡΕΚΚΛΙΣΗ ΑΓΡΑΝΑΠΑΥΣΗΣΑΓΡΑΝΑΠΑΥΣΗ ΠΑΡΕΚΚΛΙΣΗ - ΑΡΑΒΟΣΙΤΟΣ</v>
      </c>
      <c r="B3794" s="23" t="s">
        <v>7094</v>
      </c>
      <c r="C3794" s="24" t="s">
        <v>7105</v>
      </c>
      <c r="D3794" s="6">
        <v>1831.09</v>
      </c>
      <c r="E3794" s="6">
        <v>1533.82</v>
      </c>
      <c r="F3794" s="29" t="s">
        <v>14</v>
      </c>
      <c r="G3794" s="8" t="s">
        <v>7106</v>
      </c>
      <c r="H3794" s="8" t="s">
        <v>27</v>
      </c>
      <c r="I3794" s="9">
        <v>5434</v>
      </c>
      <c r="J3794" s="26">
        <v>6.1</v>
      </c>
      <c r="K3794" s="27">
        <v>610006</v>
      </c>
      <c r="L3794" s="3" t="str">
        <f t="shared" si="125"/>
        <v>ΠΑΡΕΚΚΛΙΣΗ_ΑΓΡΑΝΑΠΑΥΣΗΣ</v>
      </c>
    </row>
    <row r="3795" spans="1:12" s="3" customFormat="1" ht="24" x14ac:dyDescent="0.25">
      <c r="A3795" s="3" t="str">
        <f t="shared" si="124"/>
        <v>ΠΑΡΕΚΚΛΙΣΗ ΑΓΡΑΝΑΠΑΥΣΗΣΑΓΡΑΝΑΠΑΥΣΗ ΠΑΡΕΚΚΛΙΣΗ - ΑΡΑΧΙΔΑ</v>
      </c>
      <c r="B3795" s="23" t="s">
        <v>7094</v>
      </c>
      <c r="C3795" s="24" t="s">
        <v>7107</v>
      </c>
      <c r="D3795" s="6">
        <v>3602.4</v>
      </c>
      <c r="E3795" s="6">
        <v>2521.4499999999998</v>
      </c>
      <c r="F3795" s="29" t="s">
        <v>14</v>
      </c>
      <c r="G3795" s="8" t="s">
        <v>7108</v>
      </c>
      <c r="H3795" s="8" t="s">
        <v>16</v>
      </c>
      <c r="I3795" s="9">
        <v>5435</v>
      </c>
      <c r="J3795" s="26">
        <v>6.1</v>
      </c>
      <c r="K3795" s="27">
        <v>610007</v>
      </c>
      <c r="L3795" s="3" t="str">
        <f t="shared" si="125"/>
        <v>ΠΑΡΕΚΚΛΙΣΗ_ΑΓΡΑΝΑΠΑΥΣΗΣ</v>
      </c>
    </row>
    <row r="3796" spans="1:12" s="3" customFormat="1" ht="24" x14ac:dyDescent="0.25">
      <c r="A3796" s="3" t="str">
        <f t="shared" si="124"/>
        <v>ΠΑΡΕΚΚΛΙΣΗ ΑΓΡΑΝΑΠΑΥΣΗΣΑΓΡΑΝΑΠΑΥΣΗ ΠΑΡΕΚΚΛΙΣΗ - ΑΤΡΑΚΤΥΛΙΔΑ</v>
      </c>
      <c r="B3796" s="23" t="s">
        <v>7094</v>
      </c>
      <c r="C3796" s="24" t="s">
        <v>7109</v>
      </c>
      <c r="D3796" s="6">
        <v>3602.4</v>
      </c>
      <c r="E3796" s="6">
        <v>2521.4499999999998</v>
      </c>
      <c r="F3796" s="29" t="s">
        <v>14</v>
      </c>
      <c r="G3796" s="8" t="s">
        <v>7110</v>
      </c>
      <c r="H3796" s="8" t="s">
        <v>16</v>
      </c>
      <c r="I3796" s="9">
        <v>5436</v>
      </c>
      <c r="J3796" s="26">
        <v>6.1</v>
      </c>
      <c r="K3796" s="27">
        <v>610008</v>
      </c>
      <c r="L3796" s="3" t="str">
        <f t="shared" si="125"/>
        <v>ΠΑΡΕΚΚΛΙΣΗ_ΑΓΡΑΝΑΠΑΥΣΗΣ</v>
      </c>
    </row>
    <row r="3797" spans="1:12" s="3" customFormat="1" ht="24" x14ac:dyDescent="0.25">
      <c r="A3797" s="3" t="str">
        <f t="shared" si="124"/>
        <v>ΠΑΡΕΚΚΛΙΣΗ ΑΓΡΑΝΑΠΑΥΣΗΣΑΓΡΑΝΑΠΑΥΣΗ ΠΑΡΕΚΚΛΙΣΗ - ΒΛΗΤΑ</v>
      </c>
      <c r="B3797" s="23" t="s">
        <v>7094</v>
      </c>
      <c r="C3797" s="24" t="s">
        <v>7111</v>
      </c>
      <c r="D3797" s="6">
        <v>11290.03</v>
      </c>
      <c r="E3797" s="6">
        <v>13610.93</v>
      </c>
      <c r="F3797" s="29" t="s">
        <v>14</v>
      </c>
      <c r="G3797" s="8" t="s">
        <v>7112</v>
      </c>
      <c r="H3797" s="8" t="s">
        <v>16</v>
      </c>
      <c r="I3797" s="9">
        <v>5437</v>
      </c>
      <c r="J3797" s="26">
        <v>6.1</v>
      </c>
      <c r="K3797" s="27">
        <v>610009</v>
      </c>
      <c r="L3797" s="3" t="str">
        <f t="shared" si="125"/>
        <v>ΠΑΡΕΚΚΛΙΣΗ_ΑΓΡΑΝΑΠΑΥΣΗΣ</v>
      </c>
    </row>
    <row r="3798" spans="1:12" s="3" customFormat="1" ht="24" x14ac:dyDescent="0.25">
      <c r="A3798" s="3" t="str">
        <f t="shared" si="124"/>
        <v>ΠΑΡΕΚΚΛΙΣΗ ΑΓΡΑΝΑΠΑΥΣΗΣΑΓΡΑΝΑΠΑΥΣΗ ΠΑΡΕΚΚΛΙΣΗ - ΒΡΟΥΒΑ</v>
      </c>
      <c r="B3798" s="23" t="s">
        <v>7094</v>
      </c>
      <c r="C3798" s="24" t="s">
        <v>7113</v>
      </c>
      <c r="D3798" s="6">
        <v>3602.4</v>
      </c>
      <c r="E3798" s="6">
        <v>2521.4499999999998</v>
      </c>
      <c r="F3798" s="29" t="s">
        <v>14</v>
      </c>
      <c r="G3798" s="8" t="s">
        <v>7114</v>
      </c>
      <c r="H3798" s="8" t="s">
        <v>16</v>
      </c>
      <c r="I3798" s="9">
        <v>5438</v>
      </c>
      <c r="J3798" s="26">
        <v>6.1</v>
      </c>
      <c r="K3798" s="27">
        <v>610010</v>
      </c>
      <c r="L3798" s="3" t="str">
        <f t="shared" si="125"/>
        <v>ΠΑΡΕΚΚΛΙΣΗ_ΑΓΡΑΝΑΠΑΥΣΗΣ</v>
      </c>
    </row>
    <row r="3799" spans="1:12" s="3" customFormat="1" ht="24" x14ac:dyDescent="0.25">
      <c r="A3799" s="3" t="str">
        <f t="shared" si="124"/>
        <v>ΠΑΡΕΚΚΛΙΣΗ ΑΓΡΑΝΑΠΑΥΣΗΣΑΓΡΑΝΑΠΑΥΣΗ ΠΑΡΕΚΚΛΙΣΗ - ΓΕΩΜHΛΑ</v>
      </c>
      <c r="B3799" s="23" t="s">
        <v>7094</v>
      </c>
      <c r="C3799" s="24" t="s">
        <v>7115</v>
      </c>
      <c r="D3799" s="6">
        <v>9307.3700000000008</v>
      </c>
      <c r="E3799" s="6">
        <v>11609.49</v>
      </c>
      <c r="F3799" s="29" t="s">
        <v>14</v>
      </c>
      <c r="G3799" s="8" t="s">
        <v>7116</v>
      </c>
      <c r="H3799" s="8" t="s">
        <v>16</v>
      </c>
      <c r="I3799" s="9">
        <v>5439</v>
      </c>
      <c r="J3799" s="26">
        <v>6.1</v>
      </c>
      <c r="K3799" s="27">
        <v>610011</v>
      </c>
      <c r="L3799" s="3" t="str">
        <f t="shared" si="125"/>
        <v>ΠΑΡΕΚΚΛΙΣΗ_ΑΓΡΑΝΑΠΑΥΣΗΣ</v>
      </c>
    </row>
    <row r="3800" spans="1:12" s="3" customFormat="1" ht="24" x14ac:dyDescent="0.25">
      <c r="A3800" s="3" t="str">
        <f t="shared" si="124"/>
        <v>ΠΑΡΕΚΚΛΙΣΗ ΑΓΡΑΝΑΠΑΥΣΗΣΑΓΡΑΝΑΠΑΥΣΗ ΠΑΡΕΚΚΛΙΣΗ - ΓΛΥΚΟΠΑΤΑΤΕΣ</v>
      </c>
      <c r="B3800" s="23" t="s">
        <v>7094</v>
      </c>
      <c r="C3800" s="24" t="s">
        <v>7117</v>
      </c>
      <c r="D3800" s="6">
        <v>10768.2</v>
      </c>
      <c r="E3800" s="6">
        <v>13414.8</v>
      </c>
      <c r="F3800" s="29" t="s">
        <v>14</v>
      </c>
      <c r="G3800" s="8" t="s">
        <v>7118</v>
      </c>
      <c r="H3800" s="8" t="s">
        <v>16</v>
      </c>
      <c r="I3800" s="9">
        <v>5440</v>
      </c>
      <c r="J3800" s="26">
        <v>6.1</v>
      </c>
      <c r="K3800" s="27">
        <v>610012</v>
      </c>
      <c r="L3800" s="3" t="str">
        <f t="shared" si="125"/>
        <v>ΠΑΡΕΚΚΛΙΣΗ_ΑΓΡΑΝΑΠΑΥΣΗΣ</v>
      </c>
    </row>
    <row r="3801" spans="1:12" s="3" customFormat="1" ht="24" x14ac:dyDescent="0.25">
      <c r="A3801" s="3" t="str">
        <f t="shared" si="124"/>
        <v>ΠΑΡΕΚΚΛΙΣΗ ΑΓΡΑΝΑΠΑΥΣΗΣΑΓΡΑΝΑΠΑΥΣΗ ΠΑΡΕΚΚΛΙΣΗ - ΕΛΑΙΟΚΡΑΜΒΗ</v>
      </c>
      <c r="B3801" s="23" t="s">
        <v>7094</v>
      </c>
      <c r="C3801" s="24" t="s">
        <v>7119</v>
      </c>
      <c r="D3801" s="6">
        <v>1008.29</v>
      </c>
      <c r="E3801" s="6">
        <v>1051.74</v>
      </c>
      <c r="F3801" s="29" t="s">
        <v>14</v>
      </c>
      <c r="G3801" s="8" t="s">
        <v>7120</v>
      </c>
      <c r="H3801" s="8" t="s">
        <v>16</v>
      </c>
      <c r="I3801" s="9">
        <v>5441</v>
      </c>
      <c r="J3801" s="26">
        <v>6.1</v>
      </c>
      <c r="K3801" s="27">
        <v>610013</v>
      </c>
      <c r="L3801" s="3" t="str">
        <f t="shared" si="125"/>
        <v>ΠΑΡΕΚΚΛΙΣΗ_ΑΓΡΑΝΑΠΑΥΣΗΣ</v>
      </c>
    </row>
    <row r="3802" spans="1:12" s="3" customFormat="1" ht="24" x14ac:dyDescent="0.25">
      <c r="A3802" s="3" t="str">
        <f t="shared" si="124"/>
        <v>ΠΑΡΕΚΚΛΙΣΗ ΑΓΡΑΝΑΠΑΥΣΗΣΑΓΡΑΝΑΠΑΥΣΗ ΠΑΡΕΚΚΛΙΣΗ - ΖΩΧΟΣ</v>
      </c>
      <c r="B3802" s="23" t="s">
        <v>7094</v>
      </c>
      <c r="C3802" s="24" t="s">
        <v>7121</v>
      </c>
      <c r="D3802" s="6">
        <v>11290.03</v>
      </c>
      <c r="E3802" s="6">
        <v>13610.93</v>
      </c>
      <c r="F3802" s="29" t="s">
        <v>14</v>
      </c>
      <c r="G3802" s="8" t="s">
        <v>7122</v>
      </c>
      <c r="H3802" s="8" t="s">
        <v>16</v>
      </c>
      <c r="I3802" s="9">
        <v>5442</v>
      </c>
      <c r="J3802" s="26">
        <v>6.1</v>
      </c>
      <c r="K3802" s="27">
        <v>610014</v>
      </c>
      <c r="L3802" s="3" t="str">
        <f t="shared" si="125"/>
        <v>ΠΑΡΕΚΚΛΙΣΗ_ΑΓΡΑΝΑΠΑΥΣΗΣ</v>
      </c>
    </row>
    <row r="3803" spans="1:12" s="3" customFormat="1" ht="24" x14ac:dyDescent="0.25">
      <c r="A3803" s="3" t="str">
        <f t="shared" si="124"/>
        <v>ΠΑΡΕΚΚΛΙΣΗ ΑΓΡΑΝΑΠΑΥΣΗΣΑΓΡΑΝΑΠΑΥΣΗ ΠΑΡΕΚΚΛΙΣΗ - ΗΛΙΑΝΘΟΣ</v>
      </c>
      <c r="B3803" s="23" t="s">
        <v>7094</v>
      </c>
      <c r="C3803" s="24" t="s">
        <v>7123</v>
      </c>
      <c r="D3803" s="6">
        <v>1006.46</v>
      </c>
      <c r="E3803" s="6">
        <v>1031.58</v>
      </c>
      <c r="F3803" s="29" t="s">
        <v>14</v>
      </c>
      <c r="G3803" s="8" t="s">
        <v>7124</v>
      </c>
      <c r="H3803" s="8" t="s">
        <v>16</v>
      </c>
      <c r="I3803" s="9">
        <v>5443</v>
      </c>
      <c r="J3803" s="26">
        <v>6.1</v>
      </c>
      <c r="K3803" s="27">
        <v>610015</v>
      </c>
      <c r="L3803" s="3" t="str">
        <f t="shared" si="125"/>
        <v>ΠΑΡΕΚΚΛΙΣΗ_ΑΓΡΑΝΑΠΑΥΣΗΣ</v>
      </c>
    </row>
    <row r="3804" spans="1:12" s="3" customFormat="1" ht="24" x14ac:dyDescent="0.25">
      <c r="A3804" s="3" t="str">
        <f t="shared" si="124"/>
        <v>ΠΑΡΕΚΚΛΙΣΗ ΑΓΡΑΝΑΠΑΥΣΗΣΑΓΡΑΝΑΠΑΥΣΗ ΠΑΡΕΚΚΛΙΣΗ - ΚΑΡΟΤΑ</v>
      </c>
      <c r="B3804" s="23" t="s">
        <v>7094</v>
      </c>
      <c r="C3804" s="24" t="s">
        <v>7125</v>
      </c>
      <c r="D3804" s="6">
        <v>11290.03</v>
      </c>
      <c r="E3804" s="6">
        <v>13610.93</v>
      </c>
      <c r="F3804" s="29" t="s">
        <v>14</v>
      </c>
      <c r="G3804" s="8" t="s">
        <v>7126</v>
      </c>
      <c r="H3804" s="8" t="s">
        <v>16</v>
      </c>
      <c r="I3804" s="9">
        <v>5444</v>
      </c>
      <c r="J3804" s="26">
        <v>6.1</v>
      </c>
      <c r="K3804" s="27">
        <v>610016</v>
      </c>
      <c r="L3804" s="3" t="str">
        <f t="shared" si="125"/>
        <v>ΠΑΡΕΚΚΛΙΣΗ_ΑΓΡΑΝΑΠΑΥΣΗΣ</v>
      </c>
    </row>
    <row r="3805" spans="1:12" s="3" customFormat="1" ht="24" x14ac:dyDescent="0.25">
      <c r="A3805" s="3" t="str">
        <f t="shared" si="124"/>
        <v>ΠΑΡΕΚΚΛΙΣΗ ΑΓΡΑΝΑΠΑΥΣΗΣΑΓΡΑΝΑΠΑΥΣΗ ΠΑΡΕΚΚΛΙΣΗ - ΚΑΡΠΟΥΖΙ</v>
      </c>
      <c r="B3805" s="23" t="s">
        <v>7094</v>
      </c>
      <c r="C3805" s="24" t="s">
        <v>7127</v>
      </c>
      <c r="D3805" s="6">
        <v>11290.03</v>
      </c>
      <c r="E3805" s="6">
        <v>13610.93</v>
      </c>
      <c r="F3805" s="29" t="s">
        <v>14</v>
      </c>
      <c r="G3805" s="8" t="s">
        <v>7128</v>
      </c>
      <c r="H3805" s="8" t="s">
        <v>16</v>
      </c>
      <c r="I3805" s="9">
        <v>5445</v>
      </c>
      <c r="J3805" s="26">
        <v>6.1</v>
      </c>
      <c r="K3805" s="27">
        <v>610017</v>
      </c>
      <c r="L3805" s="3" t="str">
        <f t="shared" si="125"/>
        <v>ΠΑΡΕΚΚΛΙΣΗ_ΑΓΡΑΝΑΠΑΥΣΗΣ</v>
      </c>
    </row>
    <row r="3806" spans="1:12" s="3" customFormat="1" ht="24" x14ac:dyDescent="0.25">
      <c r="A3806" s="3" t="str">
        <f t="shared" si="124"/>
        <v>ΠΑΡΕΚΚΛΙΣΗ ΑΓΡΑΝΑΠΑΥΣΗΣΑΓΡΑΝΑΠΑΥΣΗ ΠΑΡΕΚΚΛΙΣΗ - ΚΑΥΚΑΛΗΘΡΑ</v>
      </c>
      <c r="B3806" s="23" t="s">
        <v>7094</v>
      </c>
      <c r="C3806" s="24" t="s">
        <v>7129</v>
      </c>
      <c r="D3806" s="6">
        <v>11290.03</v>
      </c>
      <c r="E3806" s="6">
        <v>13610.93</v>
      </c>
      <c r="F3806" s="29" t="s">
        <v>14</v>
      </c>
      <c r="G3806" s="8" t="s">
        <v>7130</v>
      </c>
      <c r="H3806" s="8" t="s">
        <v>16</v>
      </c>
      <c r="I3806" s="9">
        <v>5446</v>
      </c>
      <c r="J3806" s="26">
        <v>6.1</v>
      </c>
      <c r="K3806" s="27">
        <v>610018</v>
      </c>
      <c r="L3806" s="3" t="str">
        <f t="shared" si="125"/>
        <v>ΠΑΡΕΚΚΛΙΣΗ_ΑΓΡΑΝΑΠΑΥΣΗΣ</v>
      </c>
    </row>
    <row r="3807" spans="1:12" s="3" customFormat="1" ht="24" x14ac:dyDescent="0.25">
      <c r="A3807" s="3" t="str">
        <f t="shared" si="124"/>
        <v>ΠΑΡΕΚΚΛΙΣΗ ΑΓΡΑΝΑΠΑΥΣΗΣΑΓΡΑΝΑΠΑΥΣΗ ΠΑΡΕΚΚΛΙΣΗ - ΚΕΧΡΙ</v>
      </c>
      <c r="B3807" s="23" t="s">
        <v>7094</v>
      </c>
      <c r="C3807" s="24" t="s">
        <v>7131</v>
      </c>
      <c r="D3807" s="6">
        <v>363.85</v>
      </c>
      <c r="E3807" s="6">
        <v>331.13</v>
      </c>
      <c r="F3807" s="29" t="s">
        <v>14</v>
      </c>
      <c r="G3807" s="8" t="s">
        <v>7132</v>
      </c>
      <c r="H3807" s="8" t="s">
        <v>27</v>
      </c>
      <c r="I3807" s="9">
        <v>5447</v>
      </c>
      <c r="J3807" s="26">
        <v>6.1</v>
      </c>
      <c r="K3807" s="27">
        <v>610019</v>
      </c>
      <c r="L3807" s="3" t="str">
        <f t="shared" si="125"/>
        <v>ΠΑΡΕΚΚΛΙΣΗ_ΑΓΡΑΝΑΠΑΥΣΗΣ</v>
      </c>
    </row>
    <row r="3808" spans="1:12" s="3" customFormat="1" ht="24" x14ac:dyDescent="0.25">
      <c r="A3808" s="3" t="str">
        <f t="shared" si="124"/>
        <v>ΠΑΡΕΚΚΛΙΣΗ ΑΓΡΑΝΑΠΑΥΣΗΣΑΓΡΑΝΑΠΑΥΣΗ ΠΑΡΕΚΚΛΙΣΗ - ΚΕΧΡΙ</v>
      </c>
      <c r="B3808" s="23" t="s">
        <v>7094</v>
      </c>
      <c r="C3808" s="24" t="s">
        <v>7131</v>
      </c>
      <c r="D3808" s="6">
        <v>363.85</v>
      </c>
      <c r="E3808" s="6">
        <v>331.13</v>
      </c>
      <c r="F3808" s="29" t="s">
        <v>14</v>
      </c>
      <c r="G3808" s="8" t="s">
        <v>7133</v>
      </c>
      <c r="H3808" s="8" t="s">
        <v>16</v>
      </c>
      <c r="I3808" s="9">
        <v>5448</v>
      </c>
      <c r="J3808" s="26">
        <v>6.1</v>
      </c>
      <c r="K3808" s="27">
        <v>610020</v>
      </c>
      <c r="L3808" s="3" t="str">
        <f t="shared" si="125"/>
        <v>ΠΑΡΕΚΚΛΙΣΗ_ΑΓΡΑΝΑΠΑΥΣΗΣ</v>
      </c>
    </row>
    <row r="3809" spans="1:12" s="3" customFormat="1" ht="24" x14ac:dyDescent="0.25">
      <c r="A3809" s="3" t="str">
        <f t="shared" si="124"/>
        <v>ΠΑΡΕΚΚΛΙΣΗ ΑΓΡΑΝΑΠΑΥΣΗΣΑΓΡΑΝΑΠΑΥΣΗ ΠΑΡΕΚΚΛΙΣΗ - ΚΙΝΕΖΙΚΟ ΛΑΧΑΝΟ</v>
      </c>
      <c r="B3809" s="23" t="s">
        <v>7094</v>
      </c>
      <c r="C3809" s="24" t="s">
        <v>7134</v>
      </c>
      <c r="D3809" s="6">
        <v>11290.03</v>
      </c>
      <c r="E3809" s="6">
        <v>13610.93</v>
      </c>
      <c r="F3809" s="29" t="s">
        <v>14</v>
      </c>
      <c r="G3809" s="8" t="s">
        <v>7135</v>
      </c>
      <c r="H3809" s="8" t="s">
        <v>16</v>
      </c>
      <c r="I3809" s="9">
        <v>5449</v>
      </c>
      <c r="J3809" s="26">
        <v>6.1</v>
      </c>
      <c r="K3809" s="27">
        <v>610021</v>
      </c>
      <c r="L3809" s="3" t="str">
        <f t="shared" si="125"/>
        <v>ΠΑΡΕΚΚΛΙΣΗ_ΑΓΡΑΝΑΠΑΥΣΗΣ</v>
      </c>
    </row>
    <row r="3810" spans="1:12" s="3" customFormat="1" ht="24" x14ac:dyDescent="0.25">
      <c r="A3810" s="3" t="str">
        <f t="shared" si="124"/>
        <v>ΠΑΡΕΚΚΛΙΣΗ ΑΓΡΑΝΑΠΑΥΣΗΣΑΓΡΑΝΑΠΑΥΣΗ ΠΑΡΕΚΚΛΙΣΗ - ΚΟΛΟΚΑΣΙ</v>
      </c>
      <c r="B3810" s="23" t="s">
        <v>7094</v>
      </c>
      <c r="C3810" s="24" t="s">
        <v>7136</v>
      </c>
      <c r="D3810" s="6">
        <v>106</v>
      </c>
      <c r="E3810" s="6">
        <v>106</v>
      </c>
      <c r="F3810" s="29" t="s">
        <v>14</v>
      </c>
      <c r="G3810" s="8" t="s">
        <v>7137</v>
      </c>
      <c r="H3810" s="8" t="s">
        <v>16</v>
      </c>
      <c r="I3810" s="9">
        <v>5450</v>
      </c>
      <c r="J3810" s="26">
        <v>6.1</v>
      </c>
      <c r="K3810" s="27">
        <v>610022</v>
      </c>
      <c r="L3810" s="3" t="str">
        <f t="shared" si="125"/>
        <v>ΠΑΡΕΚΚΛΙΣΗ_ΑΓΡΑΝΑΠΑΥΣΗΣ</v>
      </c>
    </row>
    <row r="3811" spans="1:12" s="3" customFormat="1" ht="24" x14ac:dyDescent="0.25">
      <c r="A3811" s="3" t="str">
        <f t="shared" si="124"/>
        <v>ΠΑΡΕΚΚΛΙΣΗ ΑΓΡΑΝΑΠΑΥΣΗΣΑΓΡΑΝΑΠΑΥΣΗ ΠΑΡΕΚΚΛΙΣΗ - ΚΟΛΟΚΥΘΕΣ</v>
      </c>
      <c r="B3811" s="23" t="s">
        <v>7094</v>
      </c>
      <c r="C3811" s="24" t="s">
        <v>7138</v>
      </c>
      <c r="D3811" s="6">
        <v>11290.03</v>
      </c>
      <c r="E3811" s="6">
        <v>13610.93</v>
      </c>
      <c r="F3811" s="29" t="s">
        <v>14</v>
      </c>
      <c r="G3811" s="8" t="s">
        <v>7139</v>
      </c>
      <c r="H3811" s="8" t="s">
        <v>16</v>
      </c>
      <c r="I3811" s="9">
        <v>5451</v>
      </c>
      <c r="J3811" s="26">
        <v>6.1</v>
      </c>
      <c r="K3811" s="27">
        <v>610023</v>
      </c>
      <c r="L3811" s="3" t="str">
        <f t="shared" si="125"/>
        <v>ΠΑΡΕΚΚΛΙΣΗ_ΑΓΡΑΝΑΠΑΥΣΗΣ</v>
      </c>
    </row>
    <row r="3812" spans="1:12" s="3" customFormat="1" ht="24" x14ac:dyDescent="0.25">
      <c r="A3812" s="3" t="str">
        <f t="shared" si="124"/>
        <v>ΠΑΡΕΚΚΛΙΣΗ ΑΓΡΑΝΑΠΑΥΣΗΣΑΓΡΑΝΑΠΑΥΣΗ ΠΑΡΕΚΚΛΙΣΗ - ΚΟΥΚΙ</v>
      </c>
      <c r="B3812" s="23" t="s">
        <v>7094</v>
      </c>
      <c r="C3812" s="24" t="s">
        <v>7140</v>
      </c>
      <c r="D3812" s="6">
        <v>1568.73</v>
      </c>
      <c r="E3812" s="6">
        <v>1689.55</v>
      </c>
      <c r="F3812" s="29" t="s">
        <v>14</v>
      </c>
      <c r="G3812" s="8" t="s">
        <v>7141</v>
      </c>
      <c r="H3812" s="8" t="s">
        <v>16</v>
      </c>
      <c r="I3812" s="9">
        <v>5452</v>
      </c>
      <c r="J3812" s="26">
        <v>6.1</v>
      </c>
      <c r="K3812" s="27">
        <v>610024</v>
      </c>
      <c r="L3812" s="3" t="str">
        <f t="shared" si="125"/>
        <v>ΠΑΡΕΚΚΛΙΣΗ_ΑΓΡΑΝΑΠΑΥΣΗΣ</v>
      </c>
    </row>
    <row r="3813" spans="1:12" s="3" customFormat="1" ht="24" x14ac:dyDescent="0.25">
      <c r="A3813" s="3" t="str">
        <f t="shared" si="124"/>
        <v>ΠΑΡΕΚΚΛΙΣΗ ΑΓΡΑΝΑΠΑΥΣΗΣΑΓΡΑΝΑΠΑΥΣΗ ΠΑΡΕΚΚΛΙΣΗ - ΚΟΥΚΙΑ</v>
      </c>
      <c r="B3813" s="23" t="s">
        <v>7094</v>
      </c>
      <c r="C3813" s="24" t="s">
        <v>7142</v>
      </c>
      <c r="D3813" s="6">
        <v>1568.73</v>
      </c>
      <c r="E3813" s="6">
        <v>1689.55</v>
      </c>
      <c r="F3813" s="29" t="s">
        <v>14</v>
      </c>
      <c r="G3813" s="8" t="s">
        <v>7143</v>
      </c>
      <c r="H3813" s="8" t="s">
        <v>16</v>
      </c>
      <c r="I3813" s="9">
        <v>5453</v>
      </c>
      <c r="J3813" s="26">
        <v>6.1</v>
      </c>
      <c r="K3813" s="27">
        <v>610025</v>
      </c>
      <c r="L3813" s="3" t="str">
        <f t="shared" si="125"/>
        <v>ΠΑΡΕΚΚΛΙΣΗ_ΑΓΡΑΝΑΠΑΥΣΗΣ</v>
      </c>
    </row>
    <row r="3814" spans="1:12" s="3" customFormat="1" ht="24" x14ac:dyDescent="0.25">
      <c r="A3814" s="3" t="str">
        <f t="shared" si="124"/>
        <v>ΠΑΡΕΚΚΛΙΣΗ ΑΓΡΑΝΑΠΑΥΣΗΣΑΓΡΑΝΑΠΑΥΣΗ ΠΑΡΕΚΚΛΙΣΗ - ΚΟΥΝΟΥΠΙΔΙ</v>
      </c>
      <c r="B3814" s="23" t="s">
        <v>7094</v>
      </c>
      <c r="C3814" s="24" t="s">
        <v>7144</v>
      </c>
      <c r="D3814" s="6">
        <v>11290.03</v>
      </c>
      <c r="E3814" s="6">
        <v>13610.93</v>
      </c>
      <c r="F3814" s="29" t="s">
        <v>14</v>
      </c>
      <c r="G3814" s="8" t="s">
        <v>7145</v>
      </c>
      <c r="H3814" s="8" t="s">
        <v>16</v>
      </c>
      <c r="I3814" s="9">
        <v>5454</v>
      </c>
      <c r="J3814" s="26">
        <v>6.1</v>
      </c>
      <c r="K3814" s="27">
        <v>610026</v>
      </c>
      <c r="L3814" s="3" t="str">
        <f t="shared" si="125"/>
        <v>ΠΑΡΕΚΚΛΙΣΗ_ΑΓΡΑΝΑΠΑΥΣΗΣ</v>
      </c>
    </row>
    <row r="3815" spans="1:12" s="3" customFormat="1" ht="24" x14ac:dyDescent="0.25">
      <c r="A3815" s="3" t="str">
        <f t="shared" si="124"/>
        <v>ΠΑΡΕΚΚΛΙΣΗ ΑΓΡΑΝΑΠΑΥΣΗΣΑΓΡΑΝΑΠΑΥΣΗ ΠΑΡΕΚΚΛΙΣΗ - ΚΟΦΤΟΛΙΒΑΔΑ</v>
      </c>
      <c r="B3815" s="23" t="s">
        <v>7094</v>
      </c>
      <c r="C3815" s="24" t="s">
        <v>7146</v>
      </c>
      <c r="D3815" s="6">
        <v>363.85</v>
      </c>
      <c r="E3815" s="6">
        <v>331.13</v>
      </c>
      <c r="F3815" s="29" t="s">
        <v>14</v>
      </c>
      <c r="G3815" s="8" t="s">
        <v>7147</v>
      </c>
      <c r="H3815" s="8" t="s">
        <v>27</v>
      </c>
      <c r="I3815" s="9">
        <v>5455</v>
      </c>
      <c r="J3815" s="26">
        <v>6.1</v>
      </c>
      <c r="K3815" s="27">
        <v>610027</v>
      </c>
      <c r="L3815" s="3" t="str">
        <f t="shared" si="125"/>
        <v>ΠΑΡΕΚΚΛΙΣΗ_ΑΓΡΑΝΑΠΑΥΣΗΣ</v>
      </c>
    </row>
    <row r="3816" spans="1:12" s="3" customFormat="1" ht="24" x14ac:dyDescent="0.25">
      <c r="A3816" s="3" t="str">
        <f t="shared" si="124"/>
        <v>ΠΑΡΕΚΚΛΙΣΗ ΑΓΡΑΝΑΠΑΥΣΗΣΑΓΡΑΝΑΠΑΥΣΗ ΠΑΡΕΚΚΛΙΣΗ - ΚΡΕΜΜΥΔΑΚΙΑ</v>
      </c>
      <c r="B3816" s="23" t="s">
        <v>7094</v>
      </c>
      <c r="C3816" s="24" t="s">
        <v>7148</v>
      </c>
      <c r="D3816" s="6">
        <v>11290.03</v>
      </c>
      <c r="E3816" s="6">
        <v>13610.93</v>
      </c>
      <c r="F3816" s="29" t="s">
        <v>14</v>
      </c>
      <c r="G3816" s="8" t="s">
        <v>7149</v>
      </c>
      <c r="H3816" s="8" t="s">
        <v>16</v>
      </c>
      <c r="I3816" s="9">
        <v>5456</v>
      </c>
      <c r="J3816" s="26">
        <v>6.1</v>
      </c>
      <c r="K3816" s="27">
        <v>610028</v>
      </c>
      <c r="L3816" s="3" t="str">
        <f t="shared" si="125"/>
        <v>ΠΑΡΕΚΚΛΙΣΗ_ΑΓΡΑΝΑΠΑΥΣΗΣ</v>
      </c>
    </row>
    <row r="3817" spans="1:12" s="3" customFormat="1" ht="24" x14ac:dyDescent="0.25">
      <c r="A3817" s="3" t="str">
        <f t="shared" si="124"/>
        <v>ΠΑΡΕΚΚΛΙΣΗ ΑΓΡΑΝΑΠΑΥΣΗΣΑΓΡΑΝΑΠΑΥΣΗ ΠΑΡΕΚΚΛΙΣΗ - ΚΡΕΜΜΥΔΙ</v>
      </c>
      <c r="B3817" s="23" t="s">
        <v>7094</v>
      </c>
      <c r="C3817" s="24" t="s">
        <v>7150</v>
      </c>
      <c r="D3817" s="6">
        <v>10768.2</v>
      </c>
      <c r="E3817" s="6">
        <v>13414.8</v>
      </c>
      <c r="F3817" s="29" t="s">
        <v>14</v>
      </c>
      <c r="G3817" s="8" t="s">
        <v>7151</v>
      </c>
      <c r="H3817" s="8" t="s">
        <v>16</v>
      </c>
      <c r="I3817" s="9">
        <v>5457</v>
      </c>
      <c r="J3817" s="26">
        <v>6.1</v>
      </c>
      <c r="K3817" s="27">
        <v>610029</v>
      </c>
      <c r="L3817" s="3" t="str">
        <f t="shared" si="125"/>
        <v>ΠΑΡΕΚΚΛΙΣΗ_ΑΓΡΑΝΑΠΑΥΣΗΣ</v>
      </c>
    </row>
    <row r="3818" spans="1:12" s="3" customFormat="1" ht="24" x14ac:dyDescent="0.25">
      <c r="A3818" s="3" t="str">
        <f t="shared" si="124"/>
        <v>ΠΑΡΕΚΚΛΙΣΗ ΑΓΡΑΝΑΠΑΥΣΗΣΑΓΡΑΝΑΠΑΥΣΗ ΠΑΡΕΚΚΛΙΣΗ - ΚΡΙΤΑΜΟ/ΑΛΜΥΡΑ</v>
      </c>
      <c r="B3818" s="23" t="s">
        <v>7094</v>
      </c>
      <c r="C3818" s="24" t="s">
        <v>7152</v>
      </c>
      <c r="D3818" s="6">
        <v>11290.03</v>
      </c>
      <c r="E3818" s="6">
        <v>13610.93</v>
      </c>
      <c r="F3818" s="29" t="s">
        <v>14</v>
      </c>
      <c r="G3818" s="8" t="s">
        <v>7153</v>
      </c>
      <c r="H3818" s="8" t="s">
        <v>16</v>
      </c>
      <c r="I3818" s="9">
        <v>5458</v>
      </c>
      <c r="J3818" s="26">
        <v>6.1</v>
      </c>
      <c r="K3818" s="27">
        <v>610030</v>
      </c>
      <c r="L3818" s="3" t="str">
        <f t="shared" si="125"/>
        <v>ΠΑΡΕΚΚΛΙΣΗ_ΑΓΡΑΝΑΠΑΥΣΗΣ</v>
      </c>
    </row>
    <row r="3819" spans="1:12" s="3" customFormat="1" ht="24" x14ac:dyDescent="0.25">
      <c r="A3819" s="3" t="str">
        <f t="shared" si="124"/>
        <v>ΠΑΡΕΚΚΛΙΣΗ ΑΓΡΑΝΑΠΑΥΣΗΣΑΓΡΑΝΑΠΑΥΣΗ ΠΑΡΕΚΚΛΙΣΗ - ΛΑΘΟΥΡΙ</v>
      </c>
      <c r="B3819" s="23" t="s">
        <v>7094</v>
      </c>
      <c r="C3819" s="24" t="s">
        <v>7154</v>
      </c>
      <c r="D3819" s="6">
        <v>1515.84</v>
      </c>
      <c r="E3819" s="6">
        <v>3106.63</v>
      </c>
      <c r="F3819" s="29" t="s">
        <v>14</v>
      </c>
      <c r="G3819" s="8" t="s">
        <v>7155</v>
      </c>
      <c r="H3819" s="8" t="s">
        <v>16</v>
      </c>
      <c r="I3819" s="9">
        <v>5459</v>
      </c>
      <c r="J3819" s="26">
        <v>6.1</v>
      </c>
      <c r="K3819" s="27">
        <v>610031</v>
      </c>
      <c r="L3819" s="3" t="str">
        <f t="shared" si="125"/>
        <v>ΠΑΡΕΚΚΛΙΣΗ_ΑΓΡΑΝΑΠΑΥΣΗΣ</v>
      </c>
    </row>
    <row r="3820" spans="1:12" s="3" customFormat="1" ht="24" x14ac:dyDescent="0.25">
      <c r="A3820" s="3" t="str">
        <f t="shared" si="124"/>
        <v>ΠΑΡΕΚΚΛΙΣΗ ΑΓΡΑΝΑΠΑΥΣΗΣΑΓΡΑΝΑΠΑΥΣΗ ΠΑΡΕΚΚΛΙΣΗ - ΛΑΠΑΘΟ</v>
      </c>
      <c r="B3820" s="23" t="s">
        <v>7094</v>
      </c>
      <c r="C3820" s="24" t="s">
        <v>7156</v>
      </c>
      <c r="D3820" s="6">
        <v>11290.03</v>
      </c>
      <c r="E3820" s="6">
        <v>13610.93</v>
      </c>
      <c r="F3820" s="29" t="s">
        <v>14</v>
      </c>
      <c r="G3820" s="8" t="s">
        <v>7157</v>
      </c>
      <c r="H3820" s="8" t="s">
        <v>27</v>
      </c>
      <c r="I3820" s="9">
        <v>5460</v>
      </c>
      <c r="J3820" s="26">
        <v>6.1</v>
      </c>
      <c r="K3820" s="27">
        <v>610032</v>
      </c>
      <c r="L3820" s="3" t="str">
        <f t="shared" si="125"/>
        <v>ΠΑΡΕΚΚΛΙΣΗ_ΑΓΡΑΝΑΠΑΥΣΗΣ</v>
      </c>
    </row>
    <row r="3821" spans="1:12" s="3" customFormat="1" ht="24" x14ac:dyDescent="0.25">
      <c r="A3821" s="3" t="str">
        <f t="shared" si="124"/>
        <v>ΠΑΡΕΚΚΛΙΣΗ ΑΓΡΑΝΑΠΑΥΣΗΣΑΓΡΑΝΑΠΑΥΣΗ ΠΑΡΕΚΚΛΙΣΗ - ΛΑΧΑΝΑ</v>
      </c>
      <c r="B3821" s="23" t="s">
        <v>7094</v>
      </c>
      <c r="C3821" s="24" t="s">
        <v>7158</v>
      </c>
      <c r="D3821" s="6">
        <v>11290.03</v>
      </c>
      <c r="E3821" s="6">
        <v>13610.93</v>
      </c>
      <c r="F3821" s="29" t="s">
        <v>14</v>
      </c>
      <c r="G3821" s="8" t="s">
        <v>7159</v>
      </c>
      <c r="H3821" s="8" t="s">
        <v>16</v>
      </c>
      <c r="I3821" s="9">
        <v>5461</v>
      </c>
      <c r="J3821" s="26">
        <v>6.1</v>
      </c>
      <c r="K3821" s="27">
        <v>610033</v>
      </c>
      <c r="L3821" s="3" t="str">
        <f t="shared" si="125"/>
        <v>ΠΑΡΕΚΚΛΙΣΗ_ΑΓΡΑΝΑΠΑΥΣΗΣ</v>
      </c>
    </row>
    <row r="3822" spans="1:12" s="3" customFormat="1" ht="24" x14ac:dyDescent="0.25">
      <c r="A3822" s="3" t="str">
        <f t="shared" si="124"/>
        <v>ΠΑΡΕΚΚΛΙΣΗ ΑΓΡΑΝΑΠΑΥΣΗΣΑΓΡΑΝΑΠΑΥΣΗ ΠΑΡΕΚΚΛΙΣΗ - ΛΑΧΑΝΟ ΒΡΥΞΕΛΛΩΝ</v>
      </c>
      <c r="B3822" s="23" t="s">
        <v>7094</v>
      </c>
      <c r="C3822" s="24" t="s">
        <v>7160</v>
      </c>
      <c r="D3822" s="6">
        <v>11290.03</v>
      </c>
      <c r="E3822" s="6">
        <v>13610.93</v>
      </c>
      <c r="F3822" s="29" t="s">
        <v>14</v>
      </c>
      <c r="G3822" s="8" t="s">
        <v>7161</v>
      </c>
      <c r="H3822" s="8" t="s">
        <v>16</v>
      </c>
      <c r="I3822" s="9">
        <v>5462</v>
      </c>
      <c r="J3822" s="26">
        <v>6.1</v>
      </c>
      <c r="K3822" s="27">
        <v>610034</v>
      </c>
      <c r="L3822" s="3" t="str">
        <f t="shared" si="125"/>
        <v>ΠΑΡΕΚΚΛΙΣΗ_ΑΓΡΑΝΑΠΑΥΣΗΣ</v>
      </c>
    </row>
    <row r="3823" spans="1:12" s="3" customFormat="1" ht="24" x14ac:dyDescent="0.25">
      <c r="A3823" s="3" t="str">
        <f t="shared" si="124"/>
        <v>ΠΑΡΕΚΚΛΙΣΗ ΑΓΡΑΝΑΠΑΥΣΗΣΑΓΡΑΝΑΠΑΥΣΗ ΠΑΡΕΚΚΛΙΣΗ - ΛΟΛΙΟΥΜ</v>
      </c>
      <c r="B3823" s="23" t="s">
        <v>7094</v>
      </c>
      <c r="C3823" s="24" t="s">
        <v>7162</v>
      </c>
      <c r="D3823" s="6">
        <v>1008.29</v>
      </c>
      <c r="E3823" s="6">
        <v>1051.74</v>
      </c>
      <c r="F3823" s="29" t="s">
        <v>14</v>
      </c>
      <c r="G3823" s="8" t="s">
        <v>7163</v>
      </c>
      <c r="H3823" s="8" t="s">
        <v>27</v>
      </c>
      <c r="I3823" s="9">
        <v>5463</v>
      </c>
      <c r="J3823" s="26">
        <v>6.1</v>
      </c>
      <c r="K3823" s="27">
        <v>610035</v>
      </c>
      <c r="L3823" s="3" t="str">
        <f t="shared" si="125"/>
        <v>ΠΑΡΕΚΚΛΙΣΗ_ΑΓΡΑΝΑΠΑΥΣΗΣ</v>
      </c>
    </row>
    <row r="3824" spans="1:12" s="3" customFormat="1" ht="24" x14ac:dyDescent="0.25">
      <c r="A3824" s="3" t="str">
        <f t="shared" si="124"/>
        <v>ΠΑΡΕΚΚΛΙΣΗ ΑΓΡΑΝΑΠΑΥΣΗΣΑΓΡΑΝΑΠΑΥΣΗ ΠΑΡΕΚΚΛΙΣΗ - ΛΟΥΠΙΝΟ</v>
      </c>
      <c r="B3824" s="23" t="s">
        <v>7094</v>
      </c>
      <c r="C3824" s="24" t="s">
        <v>7164</v>
      </c>
      <c r="D3824" s="6">
        <v>1402.9</v>
      </c>
      <c r="E3824" s="6">
        <v>1418.93</v>
      </c>
      <c r="F3824" s="29" t="s">
        <v>14</v>
      </c>
      <c r="G3824" s="8" t="s">
        <v>7165</v>
      </c>
      <c r="H3824" s="8" t="s">
        <v>27</v>
      </c>
      <c r="I3824" s="9">
        <v>5464</v>
      </c>
      <c r="J3824" s="26">
        <v>6.1</v>
      </c>
      <c r="K3824" s="27">
        <v>610036</v>
      </c>
      <c r="L3824" s="3" t="str">
        <f t="shared" si="125"/>
        <v>ΠΑΡΕΚΚΛΙΣΗ_ΑΓΡΑΝΑΠΑΥΣΗΣ</v>
      </c>
    </row>
    <row r="3825" spans="1:12" s="3" customFormat="1" ht="24" x14ac:dyDescent="0.25">
      <c r="A3825" s="3" t="str">
        <f t="shared" si="124"/>
        <v>ΠΑΡΕΚΚΛΙΣΗ ΑΓΡΑΝΑΠΑΥΣΗΣΑΓΡΑΝΑΠΑΥΣΗ ΠΑΡΕΚΚΛΙΣΗ - ΜΑΙΝΤΑΝΟΣ</v>
      </c>
      <c r="B3825" s="23" t="s">
        <v>7094</v>
      </c>
      <c r="C3825" s="24" t="s">
        <v>7166</v>
      </c>
      <c r="D3825" s="6">
        <v>11290.03</v>
      </c>
      <c r="E3825" s="6">
        <v>13610.93</v>
      </c>
      <c r="F3825" s="29" t="s">
        <v>14</v>
      </c>
      <c r="G3825" s="8" t="s">
        <v>7167</v>
      </c>
      <c r="H3825" s="8" t="s">
        <v>16</v>
      </c>
      <c r="I3825" s="9">
        <v>5465</v>
      </c>
      <c r="J3825" s="26">
        <v>6.1</v>
      </c>
      <c r="K3825" s="27">
        <v>610037</v>
      </c>
      <c r="L3825" s="3" t="str">
        <f t="shared" si="125"/>
        <v>ΠΑΡΕΚΚΛΙΣΗ_ΑΓΡΑΝΑΠΑΥΣΗΣ</v>
      </c>
    </row>
    <row r="3826" spans="1:12" s="3" customFormat="1" ht="24" x14ac:dyDescent="0.25">
      <c r="A3826" s="3" t="str">
        <f t="shared" si="124"/>
        <v>ΠΑΡΕΚΚΛΙΣΗ ΑΓΡΑΝΑΠΑΥΣΗΣΑΓΡΑΝΑΠΑΥΣΗ ΠΑΡΕΚΚΛΙΣΗ - ΜΑΡΑΘΟΣ</v>
      </c>
      <c r="B3826" s="23" t="s">
        <v>7094</v>
      </c>
      <c r="C3826" s="24" t="s">
        <v>7168</v>
      </c>
      <c r="D3826" s="6">
        <v>11290.03</v>
      </c>
      <c r="E3826" s="6">
        <v>13610.93</v>
      </c>
      <c r="F3826" s="29" t="s">
        <v>14</v>
      </c>
      <c r="G3826" s="8" t="s">
        <v>7169</v>
      </c>
      <c r="H3826" s="8" t="s">
        <v>16</v>
      </c>
      <c r="I3826" s="9">
        <v>5466</v>
      </c>
      <c r="J3826" s="26">
        <v>6.1</v>
      </c>
      <c r="K3826" s="27">
        <v>610038</v>
      </c>
      <c r="L3826" s="3" t="str">
        <f t="shared" si="125"/>
        <v>ΠΑΡΕΚΚΛΙΣΗ_ΑΓΡΑΝΑΠΑΥΣΗΣ</v>
      </c>
    </row>
    <row r="3827" spans="1:12" s="3" customFormat="1" ht="24" x14ac:dyDescent="0.25">
      <c r="A3827" s="3" t="str">
        <f t="shared" si="124"/>
        <v>ΠΑΡΕΚΚΛΙΣΗ ΑΓΡΑΝΑΠΑΥΣΗΣΑΓΡΑΝΑΠΑΥΣΗ ΠΑΡΕΚΚΛΙΣΗ - ΜΑΡΟΥΛΙ</v>
      </c>
      <c r="B3827" s="23" t="s">
        <v>7094</v>
      </c>
      <c r="C3827" s="24" t="s">
        <v>7170</v>
      </c>
      <c r="D3827" s="6">
        <v>11290.03</v>
      </c>
      <c r="E3827" s="6">
        <v>13610.93</v>
      </c>
      <c r="F3827" s="29" t="s">
        <v>14</v>
      </c>
      <c r="G3827" s="8" t="s">
        <v>7171</v>
      </c>
      <c r="H3827" s="8" t="s">
        <v>16</v>
      </c>
      <c r="I3827" s="9">
        <v>5467</v>
      </c>
      <c r="J3827" s="26">
        <v>6.1</v>
      </c>
      <c r="K3827" s="27">
        <v>610039</v>
      </c>
      <c r="L3827" s="3" t="str">
        <f t="shared" si="125"/>
        <v>ΠΑΡΕΚΚΛΙΣΗ_ΑΓΡΑΝΑΠΑΥΣΗΣ</v>
      </c>
    </row>
    <row r="3828" spans="1:12" s="3" customFormat="1" ht="24" x14ac:dyDescent="0.25">
      <c r="A3828" s="3" t="str">
        <f t="shared" si="124"/>
        <v>ΠΑΡΕΚΚΛΙΣΗ ΑΓΡΑΝΑΠΑΥΣΗΣΑΓΡΑΝΑΠΑΥΣΗ ΠΑΡΕΚΚΛΙΣΗ - ΜΕΛΙΤΖΑΝΑ</v>
      </c>
      <c r="B3828" s="23" t="s">
        <v>7094</v>
      </c>
      <c r="C3828" s="24" t="s">
        <v>7172</v>
      </c>
      <c r="D3828" s="6">
        <v>11290.03</v>
      </c>
      <c r="E3828" s="6">
        <v>13610.93</v>
      </c>
      <c r="F3828" s="29" t="s">
        <v>14</v>
      </c>
      <c r="G3828" s="8" t="s">
        <v>7173</v>
      </c>
      <c r="H3828" s="8" t="s">
        <v>16</v>
      </c>
      <c r="I3828" s="9">
        <v>5468</v>
      </c>
      <c r="J3828" s="26">
        <v>6.1</v>
      </c>
      <c r="K3828" s="27">
        <v>610040</v>
      </c>
      <c r="L3828" s="3" t="str">
        <f t="shared" si="125"/>
        <v>ΠΑΡΕΚΚΛΙΣΗ_ΑΓΡΑΝΑΠΑΥΣΗΣ</v>
      </c>
    </row>
    <row r="3829" spans="1:12" s="3" customFormat="1" ht="24" x14ac:dyDescent="0.25">
      <c r="A3829" s="3" t="str">
        <f t="shared" si="124"/>
        <v>ΠΑΡΕΚΚΛΙΣΗ ΑΓΡΑΝΑΠΑΥΣΗΣΑΓΡΑΝΑΠΑΥΣΗ ΠΑΡΕΚΚΛΙΣΗ - ΜΠΑΜΙΑ</v>
      </c>
      <c r="B3829" s="23" t="s">
        <v>7094</v>
      </c>
      <c r="C3829" s="24" t="s">
        <v>7174</v>
      </c>
      <c r="D3829" s="6">
        <v>11290.03</v>
      </c>
      <c r="E3829" s="6">
        <v>13610.93</v>
      </c>
      <c r="F3829" s="29" t="s">
        <v>14</v>
      </c>
      <c r="G3829" s="8" t="s">
        <v>7175</v>
      </c>
      <c r="H3829" s="8" t="s">
        <v>16</v>
      </c>
      <c r="I3829" s="9">
        <v>5469</v>
      </c>
      <c r="J3829" s="26">
        <v>6.1</v>
      </c>
      <c r="K3829" s="27">
        <v>610041</v>
      </c>
      <c r="L3829" s="3" t="str">
        <f t="shared" si="125"/>
        <v>ΠΑΡΕΚΚΛΙΣΗ_ΑΓΡΑΝΑΠΑΥΣΗΣ</v>
      </c>
    </row>
    <row r="3830" spans="1:12" s="3" customFormat="1" ht="24" x14ac:dyDescent="0.25">
      <c r="A3830" s="3" t="str">
        <f t="shared" si="124"/>
        <v>ΠΑΡΕΚΚΛΙΣΗ ΑΓΡΑΝΑΠΑΥΣΗΣΑΓΡΑΝΑΠΑΥΣΗ ΠΑΡΕΚΚΛΙΣΗ - ΜΠΙΖΕΛΙ</v>
      </c>
      <c r="B3830" s="23" t="s">
        <v>7094</v>
      </c>
      <c r="C3830" s="24" t="s">
        <v>7176</v>
      </c>
      <c r="D3830" s="6">
        <v>1568.73</v>
      </c>
      <c r="E3830" s="6">
        <v>1689.55</v>
      </c>
      <c r="F3830" s="29" t="s">
        <v>14</v>
      </c>
      <c r="G3830" s="8" t="s">
        <v>7177</v>
      </c>
      <c r="H3830" s="8" t="s">
        <v>16</v>
      </c>
      <c r="I3830" s="9">
        <v>5470</v>
      </c>
      <c r="J3830" s="26">
        <v>6.1</v>
      </c>
      <c r="K3830" s="27">
        <v>610042</v>
      </c>
      <c r="L3830" s="3" t="str">
        <f t="shared" si="125"/>
        <v>ΠΑΡΕΚΚΛΙΣΗ_ΑΓΡΑΝΑΠΑΥΣΗΣ</v>
      </c>
    </row>
    <row r="3831" spans="1:12" s="3" customFormat="1" ht="24" x14ac:dyDescent="0.25">
      <c r="A3831" s="3" t="str">
        <f t="shared" si="124"/>
        <v>ΠΑΡΕΚΚΛΙΣΗ ΑΓΡΑΝΑΠΑΥΣΗΣΑΓΡΑΝΑΠΑΥΣΗ ΠΑΡΕΚΚΛΙΣΗ - ΜΠΡΟΚΟΛΟ</v>
      </c>
      <c r="B3831" s="23" t="s">
        <v>7094</v>
      </c>
      <c r="C3831" s="24" t="s">
        <v>7178</v>
      </c>
      <c r="D3831" s="6">
        <v>11290.03</v>
      </c>
      <c r="E3831" s="6">
        <v>13610.93</v>
      </c>
      <c r="F3831" s="29" t="s">
        <v>14</v>
      </c>
      <c r="G3831" s="8" t="s">
        <v>7179</v>
      </c>
      <c r="H3831" s="8" t="s">
        <v>16</v>
      </c>
      <c r="I3831" s="9">
        <v>5471</v>
      </c>
      <c r="J3831" s="26">
        <v>6.1</v>
      </c>
      <c r="K3831" s="27">
        <v>610043</v>
      </c>
      <c r="L3831" s="3" t="str">
        <f t="shared" si="125"/>
        <v>ΠΑΡΕΚΚΛΙΣΗ_ΑΓΡΑΝΑΠΑΥΣΗΣ</v>
      </c>
    </row>
    <row r="3832" spans="1:12" s="3" customFormat="1" ht="24" x14ac:dyDescent="0.25">
      <c r="A3832" s="3" t="str">
        <f t="shared" si="124"/>
        <v>ΠΑΡΕΚΚΛΙΣΗ ΑΓΡΑΝΑΠΑΥΣΗΣΑΓΡΑΝΑΠΑΥΣΗ ΠΑΡΕΚΚΛΙΣΗ - ΜΥΡΩΝΙΑ</v>
      </c>
      <c r="B3832" s="23" t="s">
        <v>7094</v>
      </c>
      <c r="C3832" s="24" t="s">
        <v>7180</v>
      </c>
      <c r="D3832" s="6">
        <v>11290.03</v>
      </c>
      <c r="E3832" s="6">
        <v>13610.93</v>
      </c>
      <c r="F3832" s="29" t="s">
        <v>14</v>
      </c>
      <c r="G3832" s="8" t="s">
        <v>7181</v>
      </c>
      <c r="H3832" s="8" t="s">
        <v>16</v>
      </c>
      <c r="I3832" s="9">
        <v>5472</v>
      </c>
      <c r="J3832" s="26">
        <v>6.1</v>
      </c>
      <c r="K3832" s="27">
        <v>610044</v>
      </c>
      <c r="L3832" s="3" t="str">
        <f t="shared" si="125"/>
        <v>ΠΑΡΕΚΚΛΙΣΗ_ΑΓΡΑΝΑΠΑΥΣΗΣ</v>
      </c>
    </row>
    <row r="3833" spans="1:12" s="3" customFormat="1" ht="24" x14ac:dyDescent="0.25">
      <c r="A3833" s="3" t="str">
        <f t="shared" si="124"/>
        <v>ΠΑΡΕΚΚΛΙΣΗ ΑΓΡΑΝΑΠΑΥΣΗΣΑΓΡΑΝΑΠΑΥΣΗ ΠΑΡΕΚΚΛΙΣΗ - ΠΑΠΟΥΛΕΣ</v>
      </c>
      <c r="B3833" s="23" t="s">
        <v>7094</v>
      </c>
      <c r="C3833" s="24" t="s">
        <v>7182</v>
      </c>
      <c r="D3833" s="6">
        <v>11290.03</v>
      </c>
      <c r="E3833" s="6">
        <v>13610.93</v>
      </c>
      <c r="F3833" s="29" t="s">
        <v>14</v>
      </c>
      <c r="G3833" s="8" t="s">
        <v>7183</v>
      </c>
      <c r="H3833" s="8" t="s">
        <v>16</v>
      </c>
      <c r="I3833" s="9">
        <v>5473</v>
      </c>
      <c r="J3833" s="26">
        <v>6.1</v>
      </c>
      <c r="K3833" s="27">
        <v>610045</v>
      </c>
      <c r="L3833" s="3" t="str">
        <f t="shared" si="125"/>
        <v>ΠΑΡΕΚΚΛΙΣΗ_ΑΓΡΑΝΑΠΑΥΣΗΣ</v>
      </c>
    </row>
    <row r="3834" spans="1:12" s="3" customFormat="1" ht="24" x14ac:dyDescent="0.25">
      <c r="A3834" s="3" t="str">
        <f t="shared" si="124"/>
        <v>ΠΑΡΕΚΚΛΙΣΗ ΑΓΡΑΝΑΠΑΥΣΗΣΑΓΡΑΝΑΠΑΥΣΗ ΠΑΡΕΚΚΛΙΣΗ - ΠΑΤΖΑΡΙΑ</v>
      </c>
      <c r="B3834" s="23" t="s">
        <v>7094</v>
      </c>
      <c r="C3834" s="24" t="s">
        <v>7184</v>
      </c>
      <c r="D3834" s="6">
        <v>11290.03</v>
      </c>
      <c r="E3834" s="6">
        <v>13610.93</v>
      </c>
      <c r="F3834" s="29" t="s">
        <v>14</v>
      </c>
      <c r="G3834" s="8" t="s">
        <v>7185</v>
      </c>
      <c r="H3834" s="8" t="s">
        <v>16</v>
      </c>
      <c r="I3834" s="9">
        <v>5474</v>
      </c>
      <c r="J3834" s="26">
        <v>6.1</v>
      </c>
      <c r="K3834" s="27">
        <v>610046</v>
      </c>
      <c r="L3834" s="3" t="str">
        <f t="shared" si="125"/>
        <v>ΠΑΡΕΚΚΛΙΣΗ_ΑΓΡΑΝΑΠΑΥΣΗΣ</v>
      </c>
    </row>
    <row r="3835" spans="1:12" s="3" customFormat="1" ht="24" x14ac:dyDescent="0.25">
      <c r="A3835" s="3" t="str">
        <f t="shared" si="124"/>
        <v>ΠΑΡΕΚΚΛΙΣΗ ΑΓΡΑΝΑΠΑΥΣΗΣΑΓΡΑΝΑΠΑΥΣΗ ΠΑΡΕΚΚΛΙΣΗ - ΠΕΠΙΤΟ</v>
      </c>
      <c r="B3835" s="23" t="s">
        <v>7094</v>
      </c>
      <c r="C3835" s="24" t="s">
        <v>7186</v>
      </c>
      <c r="D3835" s="6">
        <v>11290.03</v>
      </c>
      <c r="E3835" s="6">
        <v>13610.93</v>
      </c>
      <c r="F3835" s="29" t="s">
        <v>14</v>
      </c>
      <c r="G3835" s="8" t="s">
        <v>7187</v>
      </c>
      <c r="H3835" s="8" t="s">
        <v>16</v>
      </c>
      <c r="I3835" s="9">
        <v>5475</v>
      </c>
      <c r="J3835" s="26">
        <v>6.1</v>
      </c>
      <c r="K3835" s="27">
        <v>610047</v>
      </c>
      <c r="L3835" s="3" t="str">
        <f t="shared" si="125"/>
        <v>ΠΑΡΕΚΚΛΙΣΗ_ΑΓΡΑΝΑΠΑΥΣΗΣ</v>
      </c>
    </row>
    <row r="3836" spans="1:12" s="3" customFormat="1" ht="24" x14ac:dyDescent="0.25">
      <c r="A3836" s="3" t="str">
        <f t="shared" si="124"/>
        <v>ΠΑΡΕΚΚΛΙΣΗ ΑΓΡΑΝΑΠΑΥΣΗΣΑΓΡΑΝΑΠΑΥΣΗ ΠΑΡΕΚΚΛΙΣΗ - ΠΕΠΟΝΙ</v>
      </c>
      <c r="B3836" s="23" t="s">
        <v>7094</v>
      </c>
      <c r="C3836" s="24" t="s">
        <v>7188</v>
      </c>
      <c r="D3836" s="6">
        <v>11290.03</v>
      </c>
      <c r="E3836" s="6">
        <v>13610.93</v>
      </c>
      <c r="F3836" s="29" t="s">
        <v>14</v>
      </c>
      <c r="G3836" s="8" t="s">
        <v>7189</v>
      </c>
      <c r="H3836" s="8" t="s">
        <v>16</v>
      </c>
      <c r="I3836" s="9">
        <v>5476</v>
      </c>
      <c r="J3836" s="26">
        <v>6.1</v>
      </c>
      <c r="K3836" s="27">
        <v>610048</v>
      </c>
      <c r="L3836" s="3" t="str">
        <f t="shared" si="125"/>
        <v>ΠΑΡΕΚΚΛΙΣΗ_ΑΓΡΑΝΑΠΑΥΣΗΣ</v>
      </c>
    </row>
    <row r="3837" spans="1:12" s="3" customFormat="1" ht="24" x14ac:dyDescent="0.25">
      <c r="A3837" s="3" t="str">
        <f t="shared" si="124"/>
        <v>ΠΑΡΕΚΚΛΙΣΗ ΑΓΡΑΝΑΠΑΥΣΗΣΑΓΡΑΝΑΠΑΥΣΗ ΠΑΡΕΚΚΛΙΣΗ - ΠΙΠΕΡΙΑ</v>
      </c>
      <c r="B3837" s="23" t="s">
        <v>7094</v>
      </c>
      <c r="C3837" s="24" t="s">
        <v>7190</v>
      </c>
      <c r="D3837" s="6">
        <v>11290.03</v>
      </c>
      <c r="E3837" s="6">
        <v>13610.93</v>
      </c>
      <c r="F3837" s="29" t="s">
        <v>14</v>
      </c>
      <c r="G3837" s="8" t="s">
        <v>7191</v>
      </c>
      <c r="H3837" s="8" t="s">
        <v>16</v>
      </c>
      <c r="I3837" s="9">
        <v>5477</v>
      </c>
      <c r="J3837" s="26">
        <v>6.1</v>
      </c>
      <c r="K3837" s="27">
        <v>610049</v>
      </c>
      <c r="L3837" s="3" t="str">
        <f t="shared" si="125"/>
        <v>ΠΑΡΕΚΚΛΙΣΗ_ΑΓΡΑΝΑΠΑΥΣΗΣ</v>
      </c>
    </row>
    <row r="3838" spans="1:12" s="3" customFormat="1" ht="24" x14ac:dyDescent="0.25">
      <c r="A3838" s="3" t="str">
        <f t="shared" si="124"/>
        <v>ΠΑΡΕΚΚΛΙΣΗ ΑΓΡΑΝΑΠΑΥΣΗΣΑΓΡΑΝΑΠΑΥΣΗ ΠΑΡΕΚΚΛΙΣΗ - ΠΡΑΣΣΟ</v>
      </c>
      <c r="B3838" s="23" t="s">
        <v>7094</v>
      </c>
      <c r="C3838" s="24" t="s">
        <v>7192</v>
      </c>
      <c r="D3838" s="6">
        <v>11290.03</v>
      </c>
      <c r="E3838" s="6">
        <v>13610.93</v>
      </c>
      <c r="F3838" s="29" t="s">
        <v>14</v>
      </c>
      <c r="G3838" s="8" t="s">
        <v>7193</v>
      </c>
      <c r="H3838" s="8" t="s">
        <v>16</v>
      </c>
      <c r="I3838" s="9">
        <v>5478</v>
      </c>
      <c r="J3838" s="26">
        <v>6.1</v>
      </c>
      <c r="K3838" s="27">
        <v>610050</v>
      </c>
      <c r="L3838" s="3" t="str">
        <f t="shared" si="125"/>
        <v>ΠΑΡΕΚΚΛΙΣΗ_ΑΓΡΑΝΑΠΑΥΣΗΣ</v>
      </c>
    </row>
    <row r="3839" spans="1:12" s="3" customFormat="1" ht="24" x14ac:dyDescent="0.25">
      <c r="A3839" s="3" t="str">
        <f t="shared" si="124"/>
        <v>ΠΑΡΕΚΚΛΙΣΗ ΑΓΡΑΝΑΠΑΥΣΗΣΑΓΡΑΝΑΠΑΥΣΗ ΠΑΡΕΚΚΛΙΣΗ - ΡΑΙΒΑ</v>
      </c>
      <c r="B3839" s="23" t="s">
        <v>7094</v>
      </c>
      <c r="C3839" s="24" t="s">
        <v>7194</v>
      </c>
      <c r="D3839" s="6">
        <v>3602.4</v>
      </c>
      <c r="E3839" s="6">
        <v>2521.4499999999998</v>
      </c>
      <c r="F3839" s="29" t="s">
        <v>14</v>
      </c>
      <c r="G3839" s="8" t="s">
        <v>7195</v>
      </c>
      <c r="H3839" s="8" t="s">
        <v>16</v>
      </c>
      <c r="I3839" s="9">
        <v>5479</v>
      </c>
      <c r="J3839" s="26">
        <v>6.1</v>
      </c>
      <c r="K3839" s="27">
        <v>610051</v>
      </c>
      <c r="L3839" s="3" t="str">
        <f t="shared" si="125"/>
        <v>ΠΑΡΕΚΚΛΙΣΗ_ΑΓΡΑΝΑΠΑΥΣΗΣ</v>
      </c>
    </row>
    <row r="3840" spans="1:12" s="3" customFormat="1" ht="24" x14ac:dyDescent="0.25">
      <c r="A3840" s="3" t="str">
        <f t="shared" si="124"/>
        <v>ΠΑΡΕΚΚΛΙΣΗ ΑΓΡΑΝΑΠΑΥΣΗΣΑΓΡΑΝΑΠΑΥΣΗ ΠΑΡΕΚΚΛΙΣΗ - ΡΑΠΑΝΑΚΙ</v>
      </c>
      <c r="B3840" s="23" t="s">
        <v>7094</v>
      </c>
      <c r="C3840" s="24" t="s">
        <v>7196</v>
      </c>
      <c r="D3840" s="6">
        <v>11290.03</v>
      </c>
      <c r="E3840" s="6">
        <v>13610.93</v>
      </c>
      <c r="F3840" s="29" t="s">
        <v>14</v>
      </c>
      <c r="G3840" s="8" t="s">
        <v>7197</v>
      </c>
      <c r="H3840" s="8" t="s">
        <v>16</v>
      </c>
      <c r="I3840" s="9">
        <v>5480</v>
      </c>
      <c r="J3840" s="26">
        <v>6.1</v>
      </c>
      <c r="K3840" s="27">
        <v>610052</v>
      </c>
      <c r="L3840" s="3" t="str">
        <f t="shared" si="125"/>
        <v>ΠΑΡΕΚΚΛΙΣΗ_ΑΓΡΑΝΑΠΑΥΣΗΣ</v>
      </c>
    </row>
    <row r="3841" spans="1:12" s="3" customFormat="1" ht="24" x14ac:dyDescent="0.25">
      <c r="A3841" s="3" t="str">
        <f t="shared" si="124"/>
        <v>ΠΑΡΕΚΚΛΙΣΗ ΑΓΡΑΝΑΠΑΥΣΗΣΑΓΡΑΝΑΠΑΥΣΗ ΠΑΡΕΚΚΛΙΣΗ - ΡΕΒΥΘΙ</v>
      </c>
      <c r="B3841" s="23" t="s">
        <v>7094</v>
      </c>
      <c r="C3841" s="24" t="s">
        <v>7198</v>
      </c>
      <c r="D3841" s="6">
        <v>1515.84</v>
      </c>
      <c r="E3841" s="6">
        <v>3106.63</v>
      </c>
      <c r="F3841" s="29" t="s">
        <v>14</v>
      </c>
      <c r="G3841" s="8" t="s">
        <v>7199</v>
      </c>
      <c r="H3841" s="8" t="s">
        <v>16</v>
      </c>
      <c r="I3841" s="9">
        <v>5481</v>
      </c>
      <c r="J3841" s="26">
        <v>6.1</v>
      </c>
      <c r="K3841" s="27">
        <v>610053</v>
      </c>
      <c r="L3841" s="3" t="str">
        <f t="shared" si="125"/>
        <v>ΠΑΡΕΚΚΛΙΣΗ_ΑΓΡΑΝΑΠΑΥΣΗΣ</v>
      </c>
    </row>
    <row r="3842" spans="1:12" s="3" customFormat="1" ht="24" x14ac:dyDescent="0.25">
      <c r="A3842" s="3" t="str">
        <f t="shared" si="124"/>
        <v>ΠΑΡΕΚΚΛΙΣΗ ΑΓΡΑΝΑΠΑΥΣΗΣΑΓΡΑΝΑΠΑΥΣΗ ΠΑΡΕΚΚΛΙΣΗ - ΡΕΒΥΘΙΑ</v>
      </c>
      <c r="B3842" s="23" t="s">
        <v>7094</v>
      </c>
      <c r="C3842" s="24" t="s">
        <v>7200</v>
      </c>
      <c r="D3842" s="6">
        <v>1515.84</v>
      </c>
      <c r="E3842" s="6">
        <v>3106.63</v>
      </c>
      <c r="F3842" s="29" t="s">
        <v>14</v>
      </c>
      <c r="G3842" s="8" t="s">
        <v>7201</v>
      </c>
      <c r="H3842" s="8" t="s">
        <v>16</v>
      </c>
      <c r="I3842" s="9">
        <v>5482</v>
      </c>
      <c r="J3842" s="26">
        <v>6.1</v>
      </c>
      <c r="K3842" s="27">
        <v>610054</v>
      </c>
      <c r="L3842" s="3" t="str">
        <f t="shared" si="125"/>
        <v>ΠΑΡΕΚΚΛΙΣΗ_ΑΓΡΑΝΑΠΑΥΣΗΣ</v>
      </c>
    </row>
    <row r="3843" spans="1:12" s="3" customFormat="1" ht="24" x14ac:dyDescent="0.25">
      <c r="A3843" s="3" t="str">
        <f t="shared" ref="A3843:A3906" si="126">_xlfn.CONCAT(B3843,C3843)</f>
        <v>ΠΑΡΕΚΚΛΙΣΗ ΑΓΡΑΝΑΠΑΥΣΗΣΑΓΡΑΝΑΠΑΥΣΗ ΠΑΡΕΚΚΛΙΣΗ - ΡΟΒΗ</v>
      </c>
      <c r="B3843" s="23" t="s">
        <v>7094</v>
      </c>
      <c r="C3843" s="24" t="s">
        <v>7202</v>
      </c>
      <c r="D3843" s="6">
        <v>1402.9</v>
      </c>
      <c r="E3843" s="6">
        <v>1418.93</v>
      </c>
      <c r="F3843" s="29" t="s">
        <v>14</v>
      </c>
      <c r="G3843" s="8" t="s">
        <v>7203</v>
      </c>
      <c r="H3843" s="8" t="s">
        <v>16</v>
      </c>
      <c r="I3843" s="9">
        <v>5483</v>
      </c>
      <c r="J3843" s="26">
        <v>6.1</v>
      </c>
      <c r="K3843" s="27">
        <v>610055</v>
      </c>
      <c r="L3843" s="3" t="str">
        <f t="shared" ref="L3843:L3906" si="127">IFERROR(SUBSTITUTE(SUBSTITUTE(SUBSTITUTE(SUBSTITUTE(SUBSTITUTE(B3843, "-", "_"), " ", "_"), ",", ""), "(", ""), ")", ""), B3843)</f>
        <v>ΠΑΡΕΚΚΛΙΣΗ_ΑΓΡΑΝΑΠΑΥΣΗΣ</v>
      </c>
    </row>
    <row r="3844" spans="1:12" s="3" customFormat="1" ht="24" x14ac:dyDescent="0.25">
      <c r="A3844" s="3" t="str">
        <f t="shared" si="126"/>
        <v>ΠΑΡΕΚΚΛΙΣΗ ΑΓΡΑΝΑΠΑΥΣΗΣΑΓΡΑΝΑΠΑΥΣΗ ΠΑΡΕΚΚΛΙΣΗ - ΡΟΚΑ</v>
      </c>
      <c r="B3844" s="23" t="s">
        <v>7094</v>
      </c>
      <c r="C3844" s="24" t="s">
        <v>7204</v>
      </c>
      <c r="D3844" s="6">
        <v>11290.03</v>
      </c>
      <c r="E3844" s="6">
        <v>13610.93</v>
      </c>
      <c r="F3844" s="29" t="s">
        <v>14</v>
      </c>
      <c r="G3844" s="8" t="s">
        <v>7205</v>
      </c>
      <c r="H3844" s="8" t="s">
        <v>16</v>
      </c>
      <c r="I3844" s="9">
        <v>5484</v>
      </c>
      <c r="J3844" s="26">
        <v>6.1</v>
      </c>
      <c r="K3844" s="27">
        <v>610056</v>
      </c>
      <c r="L3844" s="3" t="str">
        <f t="shared" si="127"/>
        <v>ΠΑΡΕΚΚΛΙΣΗ_ΑΓΡΑΝΑΠΑΥΣΗΣ</v>
      </c>
    </row>
    <row r="3845" spans="1:12" s="3" customFormat="1" ht="24" x14ac:dyDescent="0.25">
      <c r="A3845" s="3" t="str">
        <f t="shared" si="126"/>
        <v>ΠΑΡΕΚΚΛΙΣΗ ΑΓΡΑΝΑΠΑΥΣΗΣΑΓΡΑΝΑΠΑΥΣΗ ΠΑΡΕΚΚΛΙΣΗ - ΣΑΝΟΣ</v>
      </c>
      <c r="B3845" s="23" t="s">
        <v>7094</v>
      </c>
      <c r="C3845" s="24" t="s">
        <v>7206</v>
      </c>
      <c r="D3845" s="6">
        <v>466.58</v>
      </c>
      <c r="E3845" s="6">
        <v>366.77</v>
      </c>
      <c r="F3845" s="29" t="s">
        <v>14</v>
      </c>
      <c r="G3845" s="8" t="s">
        <v>7207</v>
      </c>
      <c r="H3845" s="8" t="s">
        <v>27</v>
      </c>
      <c r="I3845" s="9">
        <v>5485</v>
      </c>
      <c r="J3845" s="26">
        <v>6.1</v>
      </c>
      <c r="K3845" s="27">
        <v>610057</v>
      </c>
      <c r="L3845" s="3" t="str">
        <f t="shared" si="127"/>
        <v>ΠΑΡΕΚΚΛΙΣΗ_ΑΓΡΑΝΑΠΑΥΣΗΣ</v>
      </c>
    </row>
    <row r="3846" spans="1:12" s="3" customFormat="1" ht="24" x14ac:dyDescent="0.25">
      <c r="A3846" s="3" t="str">
        <f t="shared" si="126"/>
        <v>ΠΑΡΕΚΚΛΙΣΗ ΑΓΡΑΝΑΠΑΥΣΗΣΑΓΡΑΝΑΠΑΥΣΗ ΠΑΡΕΚΚΛΙΣΗ - ΣΕΛΙΝΟ</v>
      </c>
      <c r="B3846" s="23" t="s">
        <v>7094</v>
      </c>
      <c r="C3846" s="24" t="s">
        <v>7208</v>
      </c>
      <c r="D3846" s="6">
        <v>11290.03</v>
      </c>
      <c r="E3846" s="6">
        <v>13610.93</v>
      </c>
      <c r="F3846" s="29" t="s">
        <v>14</v>
      </c>
      <c r="G3846" s="8" t="s">
        <v>7209</v>
      </c>
      <c r="H3846" s="8" t="s">
        <v>16</v>
      </c>
      <c r="I3846" s="9">
        <v>5486</v>
      </c>
      <c r="J3846" s="26">
        <v>6.1</v>
      </c>
      <c r="K3846" s="27">
        <v>610058</v>
      </c>
      <c r="L3846" s="3" t="str">
        <f t="shared" si="127"/>
        <v>ΠΑΡΕΚΚΛΙΣΗ_ΑΓΡΑΝΑΠΑΥΣΗΣ</v>
      </c>
    </row>
    <row r="3847" spans="1:12" s="3" customFormat="1" ht="24" x14ac:dyDescent="0.25">
      <c r="A3847" s="3" t="str">
        <f t="shared" si="126"/>
        <v>ΠΑΡΕΚΚΛΙΣΗ ΑΓΡΑΝΑΠΑΥΣΗΣΑΓΡΑΝΑΠΑΥΣΗ ΠΑΡΕΚΚΛΙΣΗ - ΣΕΣΚΟΥΛΟ</v>
      </c>
      <c r="B3847" s="23" t="s">
        <v>7094</v>
      </c>
      <c r="C3847" s="24" t="s">
        <v>7210</v>
      </c>
      <c r="D3847" s="6">
        <v>11290.03</v>
      </c>
      <c r="E3847" s="6">
        <v>13610.93</v>
      </c>
      <c r="F3847" s="29" t="s">
        <v>14</v>
      </c>
      <c r="G3847" s="8" t="s">
        <v>7211</v>
      </c>
      <c r="H3847" s="8" t="s">
        <v>16</v>
      </c>
      <c r="I3847" s="9">
        <v>5487</v>
      </c>
      <c r="J3847" s="26">
        <v>6.1</v>
      </c>
      <c r="K3847" s="27">
        <v>610059</v>
      </c>
      <c r="L3847" s="3" t="str">
        <f t="shared" si="127"/>
        <v>ΠΑΡΕΚΚΛΙΣΗ_ΑΓΡΑΝΑΠΑΥΣΗΣ</v>
      </c>
    </row>
    <row r="3848" spans="1:12" s="3" customFormat="1" ht="24" x14ac:dyDescent="0.25">
      <c r="A3848" s="3" t="str">
        <f t="shared" si="126"/>
        <v>ΠΑΡΕΚΚΛΙΣΗ ΑΓΡΑΝΑΠΑΥΣΗΣΑΓΡΑΝΑΠΑΥΣΗ ΠΑΡΕΚΚΛΙΣΗ - ΣΚΟΡΔΟ</v>
      </c>
      <c r="B3848" s="23" t="s">
        <v>7094</v>
      </c>
      <c r="C3848" s="24" t="s">
        <v>7212</v>
      </c>
      <c r="D3848" s="6">
        <v>11290.03</v>
      </c>
      <c r="E3848" s="6">
        <v>13610.93</v>
      </c>
      <c r="F3848" s="29" t="s">
        <v>14</v>
      </c>
      <c r="G3848" s="8" t="s">
        <v>7213</v>
      </c>
      <c r="H3848" s="8" t="s">
        <v>16</v>
      </c>
      <c r="I3848" s="9">
        <v>5488</v>
      </c>
      <c r="J3848" s="26">
        <v>6.1</v>
      </c>
      <c r="K3848" s="27">
        <v>610060</v>
      </c>
      <c r="L3848" s="3" t="str">
        <f t="shared" si="127"/>
        <v>ΠΑΡΕΚΚΛΙΣΗ_ΑΓΡΑΝΑΠΑΥΣΗΣ</v>
      </c>
    </row>
    <row r="3849" spans="1:12" s="3" customFormat="1" ht="24" x14ac:dyDescent="0.25">
      <c r="A3849" s="3" t="str">
        <f t="shared" si="126"/>
        <v>ΠΑΡΕΚΚΛΙΣΗ ΑΓΡΑΝΑΠΑΥΣΗΣΑΓΡΑΝΑΠΑΥΣΗ ΠΑΡΕΚΚΛΙΣΗ - ΣΟΓΙΑ</v>
      </c>
      <c r="B3849" s="23" t="s">
        <v>7094</v>
      </c>
      <c r="C3849" s="24" t="s">
        <v>7214</v>
      </c>
      <c r="D3849" s="6">
        <v>1336.72</v>
      </c>
      <c r="E3849" s="6">
        <v>1613.72</v>
      </c>
      <c r="F3849" s="29" t="s">
        <v>14</v>
      </c>
      <c r="G3849" s="8" t="s">
        <v>7215</v>
      </c>
      <c r="H3849" s="8" t="s">
        <v>27</v>
      </c>
      <c r="I3849" s="9">
        <v>5489</v>
      </c>
      <c r="J3849" s="26">
        <v>6.1</v>
      </c>
      <c r="K3849" s="27">
        <v>610061</v>
      </c>
      <c r="L3849" s="3" t="str">
        <f t="shared" si="127"/>
        <v>ΠΑΡΕΚΚΛΙΣΗ_ΑΓΡΑΝΑΠΑΥΣΗΣ</v>
      </c>
    </row>
    <row r="3850" spans="1:12" s="3" customFormat="1" ht="24" x14ac:dyDescent="0.25">
      <c r="A3850" s="3" t="str">
        <f t="shared" si="126"/>
        <v>ΠΑΡΕΚΚΛΙΣΗ ΑΓΡΑΝΑΠΑΥΣΗΣΑΓΡΑΝΑΠΑΥΣΗ ΠΑΡΕΚΚΛΙΣΗ - ΣΟΡΓΟ</v>
      </c>
      <c r="B3850" s="23" t="s">
        <v>7094</v>
      </c>
      <c r="C3850" s="24" t="s">
        <v>7216</v>
      </c>
      <c r="D3850" s="6">
        <v>363.85</v>
      </c>
      <c r="E3850" s="6">
        <v>331.13</v>
      </c>
      <c r="F3850" s="29" t="s">
        <v>14</v>
      </c>
      <c r="G3850" s="8" t="s">
        <v>7217</v>
      </c>
      <c r="H3850" s="8" t="s">
        <v>27</v>
      </c>
      <c r="I3850" s="9">
        <v>5490</v>
      </c>
      <c r="J3850" s="26">
        <v>6.1</v>
      </c>
      <c r="K3850" s="27">
        <v>610062</v>
      </c>
      <c r="L3850" s="3" t="str">
        <f t="shared" si="127"/>
        <v>ΠΑΡΕΚΚΛΙΣΗ_ΑΓΡΑΝΑΠΑΥΣΗΣ</v>
      </c>
    </row>
    <row r="3851" spans="1:12" s="3" customFormat="1" ht="24" x14ac:dyDescent="0.25">
      <c r="A3851" s="3" t="str">
        <f t="shared" si="126"/>
        <v>ΠΑΡΕΚΚΛΙΣΗ ΑΓΡΑΝΑΠΑΥΣΗΣΑΓΡΑΝΑΠΑΥΣΗ ΠΑΡΕΚΚΛΙΣΗ - ΣΟΥΣΑΜΙ</v>
      </c>
      <c r="B3851" s="23" t="s">
        <v>7094</v>
      </c>
      <c r="C3851" s="24" t="s">
        <v>7218</v>
      </c>
      <c r="D3851" s="6">
        <v>3602.4</v>
      </c>
      <c r="E3851" s="6">
        <v>2521.4499999999998</v>
      </c>
      <c r="F3851" s="29" t="s">
        <v>14</v>
      </c>
      <c r="G3851" s="8" t="s">
        <v>7219</v>
      </c>
      <c r="H3851" s="8" t="s">
        <v>16</v>
      </c>
      <c r="I3851" s="9">
        <v>5491</v>
      </c>
      <c r="J3851" s="26">
        <v>6.1</v>
      </c>
      <c r="K3851" s="27">
        <v>610063</v>
      </c>
      <c r="L3851" s="3" t="str">
        <f t="shared" si="127"/>
        <v>ΠΑΡΕΚΚΛΙΣΗ_ΑΓΡΑΝΑΠΑΥΣΗΣ</v>
      </c>
    </row>
    <row r="3852" spans="1:12" s="3" customFormat="1" ht="24" x14ac:dyDescent="0.25">
      <c r="A3852" s="3" t="str">
        <f t="shared" si="126"/>
        <v>ΠΑΡΕΚΚΛΙΣΗ ΑΓΡΑΝΑΠΑΥΣΗΣΑΓΡΑΝΑΠΑΥΣΗ ΠΑΡΕΚΚΛΙΣΗ - ΣΠΑΝΑΚΙ</v>
      </c>
      <c r="B3852" s="23" t="s">
        <v>7094</v>
      </c>
      <c r="C3852" s="24" t="s">
        <v>7220</v>
      </c>
      <c r="D3852" s="6">
        <v>11290.03</v>
      </c>
      <c r="E3852" s="6">
        <v>13610.93</v>
      </c>
      <c r="F3852" s="29" t="s">
        <v>14</v>
      </c>
      <c r="G3852" s="8" t="s">
        <v>7221</v>
      </c>
      <c r="H3852" s="8" t="s">
        <v>16</v>
      </c>
      <c r="I3852" s="9">
        <v>5492</v>
      </c>
      <c r="J3852" s="26">
        <v>6.1</v>
      </c>
      <c r="K3852" s="27">
        <v>610064</v>
      </c>
      <c r="L3852" s="3" t="str">
        <f t="shared" si="127"/>
        <v>ΠΑΡΕΚΚΛΙΣΗ_ΑΓΡΑΝΑΠΑΥΣΗΣ</v>
      </c>
    </row>
    <row r="3853" spans="1:12" s="3" customFormat="1" ht="24" x14ac:dyDescent="0.25">
      <c r="A3853" s="3" t="str">
        <f t="shared" si="126"/>
        <v>ΠΑΡΕΚΚΛΙΣΗ ΑΓΡΑΝΑΠΑΥΣΗΣΑΓΡΑΝΑΠΑΥΣΗ ΠΑΡΕΚΚΛΙΣΗ - ΣΠΑΡΑΓΓΙΑ</v>
      </c>
      <c r="B3853" s="23" t="s">
        <v>7094</v>
      </c>
      <c r="C3853" s="24" t="s">
        <v>7222</v>
      </c>
      <c r="D3853" s="6">
        <v>11290.03</v>
      </c>
      <c r="E3853" s="6">
        <v>13610.93</v>
      </c>
      <c r="F3853" s="29" t="s">
        <v>14</v>
      </c>
      <c r="G3853" s="8" t="s">
        <v>7223</v>
      </c>
      <c r="H3853" s="8" t="s">
        <v>16</v>
      </c>
      <c r="I3853" s="9">
        <v>5493</v>
      </c>
      <c r="J3853" s="26">
        <v>6.1</v>
      </c>
      <c r="K3853" s="27">
        <v>610065</v>
      </c>
      <c r="L3853" s="3" t="str">
        <f t="shared" si="127"/>
        <v>ΠΑΡΕΚΚΛΙΣΗ_ΑΓΡΑΝΑΠΑΥΣΗΣ</v>
      </c>
    </row>
    <row r="3854" spans="1:12" s="3" customFormat="1" ht="24" x14ac:dyDescent="0.25">
      <c r="A3854" s="3" t="str">
        <f t="shared" si="126"/>
        <v>ΠΑΡΕΚΚΛΙΣΗ ΑΓΡΑΝΑΠΑΥΣΗΣΑΓΡΑΝΑΠΑΥΣΗ ΠΑΡΕΚΚΛΙΣΗ - ΣΤΕΒΙΑ</v>
      </c>
      <c r="B3854" s="23" t="s">
        <v>7094</v>
      </c>
      <c r="C3854" s="24" t="s">
        <v>7224</v>
      </c>
      <c r="D3854" s="6">
        <v>835.84</v>
      </c>
      <c r="E3854" s="6">
        <v>845.67</v>
      </c>
      <c r="F3854" s="29" t="s">
        <v>14</v>
      </c>
      <c r="G3854" s="8" t="s">
        <v>7225</v>
      </c>
      <c r="H3854" s="8" t="s">
        <v>16</v>
      </c>
      <c r="I3854" s="9">
        <v>5494</v>
      </c>
      <c r="J3854" s="26">
        <v>6.1</v>
      </c>
      <c r="K3854" s="27">
        <v>610066</v>
      </c>
      <c r="L3854" s="3" t="str">
        <f t="shared" si="127"/>
        <v>ΠΑΡΕΚΚΛΙΣΗ_ΑΓΡΑΝΑΠΑΥΣΗΣ</v>
      </c>
    </row>
    <row r="3855" spans="1:12" s="3" customFormat="1" ht="24" x14ac:dyDescent="0.25">
      <c r="A3855" s="3" t="str">
        <f t="shared" si="126"/>
        <v>ΠΑΡΕΚΚΛΙΣΗ ΑΓΡΑΝΑΠΑΥΣΗΣΑΓΡΑΝΑΠΑΥΣΗ ΠΑΡΕΚΚΛΙΣΗ - ΤΟΜΑΤΑ</v>
      </c>
      <c r="B3855" s="23" t="s">
        <v>7094</v>
      </c>
      <c r="C3855" s="24" t="s">
        <v>7226</v>
      </c>
      <c r="D3855" s="6">
        <v>11290.03</v>
      </c>
      <c r="E3855" s="6">
        <v>13610.93</v>
      </c>
      <c r="F3855" s="29" t="s">
        <v>14</v>
      </c>
      <c r="G3855" s="8" t="s">
        <v>7227</v>
      </c>
      <c r="H3855" s="8" t="s">
        <v>16</v>
      </c>
      <c r="I3855" s="9">
        <v>5495</v>
      </c>
      <c r="J3855" s="26">
        <v>6.1</v>
      </c>
      <c r="K3855" s="27">
        <v>610067</v>
      </c>
      <c r="L3855" s="3" t="str">
        <f t="shared" si="127"/>
        <v>ΠΑΡΕΚΚΛΙΣΗ_ΑΓΡΑΝΑΠΑΥΣΗΣ</v>
      </c>
    </row>
    <row r="3856" spans="1:12" s="3" customFormat="1" ht="24" x14ac:dyDescent="0.25">
      <c r="A3856" s="3" t="str">
        <f t="shared" si="126"/>
        <v>ΠΑΡΕΚΚΛΙΣΗ ΑΓΡΑΝΑΠΑΥΣΗΣΑΓΡΑΝΑΠΑΥΣΗ ΠΑΡΕΚΚΛΙΣΗ - ΤΟΜΑΤΑ ΒΙΟΜΗΧΑΝΙΚΗ</v>
      </c>
      <c r="B3856" s="23" t="s">
        <v>7094</v>
      </c>
      <c r="C3856" s="24" t="s">
        <v>7228</v>
      </c>
      <c r="D3856" s="6">
        <v>10593.35</v>
      </c>
      <c r="E3856" s="6">
        <v>13333.560000000001</v>
      </c>
      <c r="F3856" s="29" t="s">
        <v>14</v>
      </c>
      <c r="G3856" s="8" t="s">
        <v>7229</v>
      </c>
      <c r="H3856" s="8" t="s">
        <v>16</v>
      </c>
      <c r="I3856" s="9">
        <v>5496</v>
      </c>
      <c r="J3856" s="26">
        <v>6.1</v>
      </c>
      <c r="K3856" s="27">
        <v>610068</v>
      </c>
      <c r="L3856" s="3" t="str">
        <f t="shared" si="127"/>
        <v>ΠΑΡΕΚΚΛΙΣΗ_ΑΓΡΑΝΑΠΑΥΣΗΣ</v>
      </c>
    </row>
    <row r="3857" spans="1:12" s="3" customFormat="1" ht="24" x14ac:dyDescent="0.25">
      <c r="A3857" s="3" t="str">
        <f t="shared" si="126"/>
        <v>ΠΑΡΕΚΚΛΙΣΗ ΑΓΡΑΝΑΠΑΥΣΗΣΑΓΡΑΝΑΠΑΥΣΗ ΠΑΡΕΚΚΛΙΣΗ - ΤΟΠΙΝΑΜΠΟΥΡ</v>
      </c>
      <c r="B3857" s="23" t="s">
        <v>7094</v>
      </c>
      <c r="C3857" s="24" t="s">
        <v>7230</v>
      </c>
      <c r="D3857" s="6">
        <v>11290.03</v>
      </c>
      <c r="E3857" s="6">
        <v>13610.93</v>
      </c>
      <c r="F3857" s="29" t="s">
        <v>14</v>
      </c>
      <c r="G3857" s="8" t="s">
        <v>7231</v>
      </c>
      <c r="H3857" s="8" t="s">
        <v>16</v>
      </c>
      <c r="I3857" s="9">
        <v>5497</v>
      </c>
      <c r="J3857" s="26">
        <v>6.1</v>
      </c>
      <c r="K3857" s="27">
        <v>610069</v>
      </c>
      <c r="L3857" s="3" t="str">
        <f t="shared" si="127"/>
        <v>ΠΑΡΕΚΚΛΙΣΗ_ΑΓΡΑΝΑΠΑΥΣΗΣ</v>
      </c>
    </row>
    <row r="3858" spans="1:12" s="3" customFormat="1" ht="24" x14ac:dyDescent="0.25">
      <c r="A3858" s="3" t="str">
        <f t="shared" si="126"/>
        <v>ΠΑΡΕΚΚΛΙΣΗ ΑΓΡΑΝΑΠΑΥΣΗΣΑΓΡΑΝΑΠΑΥΣΗ ΠΑΡΕΚΚΛΙΣΗ - ΤΡΙΦΥΛΛΙ</v>
      </c>
      <c r="B3858" s="23" t="s">
        <v>7094</v>
      </c>
      <c r="C3858" s="24" t="s">
        <v>7232</v>
      </c>
      <c r="D3858" s="6">
        <v>1402.9</v>
      </c>
      <c r="E3858" s="6">
        <v>1418.93</v>
      </c>
      <c r="F3858" s="29" t="s">
        <v>14</v>
      </c>
      <c r="G3858" s="8" t="s">
        <v>7233</v>
      </c>
      <c r="H3858" s="8" t="s">
        <v>16</v>
      </c>
      <c r="I3858" s="9">
        <v>5498</v>
      </c>
      <c r="J3858" s="26">
        <v>6.1</v>
      </c>
      <c r="K3858" s="27">
        <v>610070</v>
      </c>
      <c r="L3858" s="3" t="str">
        <f t="shared" si="127"/>
        <v>ΠΑΡΕΚΚΛΙΣΗ_ΑΓΡΑΝΑΠΑΥΣΗΣ</v>
      </c>
    </row>
    <row r="3859" spans="1:12" s="3" customFormat="1" ht="24" x14ac:dyDescent="0.25">
      <c r="A3859" s="3" t="str">
        <f t="shared" si="126"/>
        <v>ΠΑΡΕΚΚΛΙΣΗ ΑΓΡΑΝΑΠΑΥΣΗΣΑΓΡΑΝΑΠΑΥΣΗ ΠΑΡΕΚΚΛΙΣΗ - ΦΑΓΟΠΥΡΟ</v>
      </c>
      <c r="B3859" s="23" t="s">
        <v>7094</v>
      </c>
      <c r="C3859" s="24" t="s">
        <v>7234</v>
      </c>
      <c r="D3859" s="6">
        <v>363.85</v>
      </c>
      <c r="E3859" s="6">
        <v>331.13</v>
      </c>
      <c r="F3859" s="29" t="s">
        <v>14</v>
      </c>
      <c r="G3859" s="8" t="s">
        <v>7235</v>
      </c>
      <c r="H3859" s="8" t="s">
        <v>16</v>
      </c>
      <c r="I3859" s="9">
        <v>5499</v>
      </c>
      <c r="J3859" s="26">
        <v>6.1</v>
      </c>
      <c r="K3859" s="27">
        <v>610071</v>
      </c>
      <c r="L3859" s="3" t="str">
        <f t="shared" si="127"/>
        <v>ΠΑΡΕΚΚΛΙΣΗ_ΑΓΡΑΝΑΠΑΥΣΗΣ</v>
      </c>
    </row>
    <row r="3860" spans="1:12" s="3" customFormat="1" ht="24" x14ac:dyDescent="0.25">
      <c r="A3860" s="3" t="str">
        <f t="shared" si="126"/>
        <v>ΠΑΡΕΚΚΛΙΣΗ ΑΓΡΑΝΑΠΑΥΣΗΣΑΓΡΑΝΑΠΑΥΣΗ ΠΑΡΕΚΚΛΙΣΗ - ΦΑΚΕΛΩΤΗ</v>
      </c>
      <c r="B3860" s="23" t="s">
        <v>7094</v>
      </c>
      <c r="C3860" s="24" t="s">
        <v>7236</v>
      </c>
      <c r="D3860" s="6">
        <v>11041.07</v>
      </c>
      <c r="E3860" s="6">
        <v>11535.86</v>
      </c>
      <c r="F3860" s="29" t="s">
        <v>14</v>
      </c>
      <c r="G3860" s="8" t="s">
        <v>7237</v>
      </c>
      <c r="H3860" s="8" t="s">
        <v>16</v>
      </c>
      <c r="I3860" s="9">
        <v>5500</v>
      </c>
      <c r="J3860" s="26">
        <v>6.1</v>
      </c>
      <c r="K3860" s="27">
        <v>610072</v>
      </c>
      <c r="L3860" s="3" t="str">
        <f t="shared" si="127"/>
        <v>ΠΑΡΕΚΚΛΙΣΗ_ΑΓΡΑΝΑΠΑΥΣΗΣ</v>
      </c>
    </row>
    <row r="3861" spans="1:12" s="3" customFormat="1" ht="24" x14ac:dyDescent="0.25">
      <c r="A3861" s="3" t="str">
        <f t="shared" si="126"/>
        <v>ΠΑΡΕΚΚΛΙΣΗ ΑΓΡΑΝΑΠΑΥΣΗΣΑΓΡΑΝΑΠΑΥΣΗ ΠΑΡΕΚΚΛΙΣΗ - ΦΑΚΕΣ</v>
      </c>
      <c r="B3861" s="23" t="s">
        <v>7094</v>
      </c>
      <c r="C3861" s="24" t="s">
        <v>7238</v>
      </c>
      <c r="D3861" s="6">
        <v>1515.84</v>
      </c>
      <c r="E3861" s="6">
        <v>3106.63</v>
      </c>
      <c r="F3861" s="29" t="s">
        <v>14</v>
      </c>
      <c r="G3861" s="8" t="s">
        <v>7239</v>
      </c>
      <c r="H3861" s="8" t="s">
        <v>16</v>
      </c>
      <c r="I3861" s="9">
        <v>5501</v>
      </c>
      <c r="J3861" s="26">
        <v>6.1</v>
      </c>
      <c r="K3861" s="27">
        <v>610073</v>
      </c>
      <c r="L3861" s="3" t="str">
        <f t="shared" si="127"/>
        <v>ΠΑΡΕΚΚΛΙΣΗ_ΑΓΡΑΝΑΠΑΥΣΗΣ</v>
      </c>
    </row>
    <row r="3862" spans="1:12" s="3" customFormat="1" ht="24" x14ac:dyDescent="0.25">
      <c r="A3862" s="3" t="str">
        <f t="shared" si="126"/>
        <v>ΠΑΡΕΚΚΛΙΣΗ ΑΓΡΑΝΑΠΑΥΣΗΣΑΓΡΑΝΑΠΑΥΣΗ ΠΑΡΕΚΚΛΙΣΗ - ΦΑΣΟΛΑΚΙΑ</v>
      </c>
      <c r="B3862" s="23" t="s">
        <v>7094</v>
      </c>
      <c r="C3862" s="24" t="s">
        <v>7240</v>
      </c>
      <c r="D3862" s="6">
        <v>11290.03</v>
      </c>
      <c r="E3862" s="6">
        <v>13610.93</v>
      </c>
      <c r="F3862" s="29" t="s">
        <v>14</v>
      </c>
      <c r="G3862" s="8" t="s">
        <v>7241</v>
      </c>
      <c r="H3862" s="8" t="s">
        <v>16</v>
      </c>
      <c r="I3862" s="9">
        <v>5502</v>
      </c>
      <c r="J3862" s="26">
        <v>6.1</v>
      </c>
      <c r="K3862" s="27">
        <v>610074</v>
      </c>
      <c r="L3862" s="3" t="str">
        <f t="shared" si="127"/>
        <v>ΠΑΡΕΚΚΛΙΣΗ_ΑΓΡΑΝΑΠΑΥΣΗΣ</v>
      </c>
    </row>
    <row r="3863" spans="1:12" s="3" customFormat="1" ht="24" x14ac:dyDescent="0.25">
      <c r="A3863" s="3" t="str">
        <f t="shared" si="126"/>
        <v>ΠΑΡΕΚΚΛΙΣΗ ΑΓΡΑΝΑΠΑΥΣΗΣΑΓΡΑΝΑΠΑΥΣΗ ΠΑΡΕΚΚΛΙΣΗ - ΦΑΣΟΛΙΑ</v>
      </c>
      <c r="B3863" s="23" t="s">
        <v>7094</v>
      </c>
      <c r="C3863" s="24" t="s">
        <v>7242</v>
      </c>
      <c r="D3863" s="6">
        <v>1568.73</v>
      </c>
      <c r="E3863" s="6">
        <v>1689.55</v>
      </c>
      <c r="F3863" s="29" t="s">
        <v>14</v>
      </c>
      <c r="G3863" s="8" t="s">
        <v>7243</v>
      </c>
      <c r="H3863" s="8" t="s">
        <v>27</v>
      </c>
      <c r="I3863" s="9">
        <v>5503</v>
      </c>
      <c r="J3863" s="26">
        <v>6.1</v>
      </c>
      <c r="K3863" s="27">
        <v>610075</v>
      </c>
      <c r="L3863" s="3" t="str">
        <f t="shared" si="127"/>
        <v>ΠΑΡΕΚΚΛΙΣΗ_ΑΓΡΑΝΑΠΑΥΣΗΣ</v>
      </c>
    </row>
    <row r="3864" spans="1:12" s="3" customFormat="1" ht="24" x14ac:dyDescent="0.25">
      <c r="A3864" s="3" t="str">
        <f t="shared" si="126"/>
        <v xml:space="preserve">ΠΑΡΕΚΚΛΙΣΗ ΑΓΡΑΝΑΠΑΥΣΗΣΑΓΡΑΝΑΠΑΥΣΗ ΠΑΡΕΚΚΛΙΣΗ - ΦΑΣΟΛΙΑ </v>
      </c>
      <c r="B3864" s="23" t="s">
        <v>7094</v>
      </c>
      <c r="C3864" s="24" t="s">
        <v>7244</v>
      </c>
      <c r="D3864" s="6">
        <v>1568.73</v>
      </c>
      <c r="E3864" s="6">
        <v>1689.55</v>
      </c>
      <c r="F3864" s="29" t="s">
        <v>14</v>
      </c>
      <c r="G3864" s="8" t="s">
        <v>7245</v>
      </c>
      <c r="H3864" s="8" t="s">
        <v>16</v>
      </c>
      <c r="I3864" s="9">
        <v>5504</v>
      </c>
      <c r="J3864" s="26">
        <v>6.1</v>
      </c>
      <c r="K3864" s="27">
        <v>610076</v>
      </c>
      <c r="L3864" s="3" t="str">
        <f t="shared" si="127"/>
        <v>ΠΑΡΕΚΚΛΙΣΗ_ΑΓΡΑΝΑΠΑΥΣΗΣ</v>
      </c>
    </row>
    <row r="3865" spans="1:12" s="3" customFormat="1" ht="15" customHeight="1" x14ac:dyDescent="0.25">
      <c r="A3865" s="3" t="str">
        <f t="shared" si="126"/>
        <v>ΠΑΡΕΚΚΛΙΣΗ ΑΓΡΑΝΑΠΑΥΣΗΣΑΓΡΑΝΑΠΑΥΣΗ ΠΑΡΕΚΚΛΙΣΗ - ΦΟΙΝΟΚΙΟ</v>
      </c>
      <c r="B3865" s="23" t="s">
        <v>7094</v>
      </c>
      <c r="C3865" s="24" t="s">
        <v>7246</v>
      </c>
      <c r="D3865" s="6">
        <v>11290.03</v>
      </c>
      <c r="E3865" s="6">
        <v>13610.93</v>
      </c>
      <c r="F3865" s="29" t="s">
        <v>14</v>
      </c>
      <c r="G3865" s="8" t="s">
        <v>7247</v>
      </c>
      <c r="H3865" s="8" t="s">
        <v>16</v>
      </c>
      <c r="I3865" s="9">
        <v>5505</v>
      </c>
      <c r="J3865" s="26">
        <v>6.1</v>
      </c>
      <c r="K3865" s="27">
        <v>610077</v>
      </c>
      <c r="L3865" s="3" t="str">
        <f t="shared" si="127"/>
        <v>ΠΑΡΕΚΚΛΙΣΗ_ΑΓΡΑΝΑΠΑΥΣΗΣ</v>
      </c>
    </row>
    <row r="3866" spans="1:12" s="3" customFormat="1" ht="15" customHeight="1" x14ac:dyDescent="0.25">
      <c r="A3866" s="3" t="str">
        <f t="shared" si="126"/>
        <v>ΠΑΡΕΚΚΛΙΣΗ ΑΓΡΑΝΑΠΑΥΣΗΣΑΓΡΑΝΑΠΑΥΣΗ ΠΑΡΕΚΚΛΙΣΗ - ΦΟΥΛΙΑ</v>
      </c>
      <c r="B3866" s="23" t="s">
        <v>7094</v>
      </c>
      <c r="C3866" s="24" t="s">
        <v>7248</v>
      </c>
      <c r="D3866" s="6">
        <v>1402.9</v>
      </c>
      <c r="E3866" s="6">
        <v>1418.93</v>
      </c>
      <c r="F3866" s="29" t="s">
        <v>14</v>
      </c>
      <c r="G3866" s="8" t="s">
        <v>7249</v>
      </c>
      <c r="H3866" s="8" t="s">
        <v>16</v>
      </c>
      <c r="I3866" s="9">
        <v>5506</v>
      </c>
      <c r="J3866" s="26">
        <v>6.1</v>
      </c>
      <c r="K3866" s="27">
        <v>610078</v>
      </c>
      <c r="L3866" s="3" t="str">
        <f t="shared" si="127"/>
        <v>ΠΑΡΕΚΚΛΙΣΗ_ΑΓΡΑΝΑΠΑΥΣΗΣ</v>
      </c>
    </row>
    <row r="3867" spans="1:12" s="3" customFormat="1" ht="15" customHeight="1" x14ac:dyDescent="0.25">
      <c r="A3867" s="3" t="str">
        <f t="shared" si="126"/>
        <v>ΠΑΡΕΚΚΛΙΣΗ ΑΓΡΑΝΑΠΑΥΣΗΣΑΓΡΑΝΑΠΑΥΣΗ ΠΑΡΕΚΚΛΙΣΗ - ΦΡΑΟΥΛΑ</v>
      </c>
      <c r="B3867" s="23" t="s">
        <v>7094</v>
      </c>
      <c r="C3867" s="24" t="s">
        <v>7250</v>
      </c>
      <c r="D3867" s="6">
        <v>11290.03</v>
      </c>
      <c r="E3867" s="6">
        <v>13610.93</v>
      </c>
      <c r="F3867" s="29" t="s">
        <v>14</v>
      </c>
      <c r="G3867" s="8" t="s">
        <v>7251</v>
      </c>
      <c r="H3867" s="8" t="s">
        <v>16</v>
      </c>
      <c r="I3867" s="9">
        <v>5507</v>
      </c>
      <c r="J3867" s="26">
        <v>6.1</v>
      </c>
      <c r="K3867" s="27">
        <v>610079</v>
      </c>
      <c r="L3867" s="3" t="str">
        <f t="shared" si="127"/>
        <v>ΠΑΡΕΚΚΛΙΣΗ_ΑΓΡΑΝΑΠΑΥΣΗΣ</v>
      </c>
    </row>
    <row r="3868" spans="1:12" s="3" customFormat="1" ht="15" customHeight="1" x14ac:dyDescent="0.25">
      <c r="A3868" s="3" t="str">
        <f t="shared" si="126"/>
        <v>ΠΑΡΕΚΚΛΙΣΗ ΑΓΡΑΝΑΠΑΥΣΗΣΑΓΡΑΝΑΠΑΥΣΗ ΠΑΡΕΚΚΛΙΣΗ - ΡΥΖΙ</v>
      </c>
      <c r="B3868" s="23" t="s">
        <v>7094</v>
      </c>
      <c r="C3868" s="24" t="s">
        <v>7252</v>
      </c>
      <c r="D3868" s="6">
        <v>1929.32</v>
      </c>
      <c r="E3868" s="6">
        <v>1033</v>
      </c>
      <c r="F3868" s="29" t="s">
        <v>14</v>
      </c>
      <c r="G3868" s="8" t="s">
        <v>7253</v>
      </c>
      <c r="H3868" s="8" t="s">
        <v>16</v>
      </c>
      <c r="I3868" s="9">
        <v>5508</v>
      </c>
      <c r="J3868" s="26">
        <v>6.1</v>
      </c>
      <c r="K3868" s="27">
        <v>610080</v>
      </c>
      <c r="L3868" s="3" t="str">
        <f t="shared" si="127"/>
        <v>ΠΑΡΕΚΚΛΙΣΗ_ΑΓΡΑΝΑΠΑΥΣΗΣ</v>
      </c>
    </row>
    <row r="3869" spans="1:12" s="3" customFormat="1" ht="15" customHeight="1" x14ac:dyDescent="0.25">
      <c r="A3869" s="3" t="str">
        <f t="shared" si="126"/>
        <v>ΠΑΡΕΚΚΛΙΣΗ ΑΓΡΑΝΑΠΑΥΣΗΣΑΓΡΑΝΑΠΑΥΣΗ ΠΑΡΕΚΚΛΙΣΗ - ΚΡΙΘΑΡΙ</v>
      </c>
      <c r="B3869" s="23" t="s">
        <v>7094</v>
      </c>
      <c r="C3869" s="24" t="s">
        <v>7254</v>
      </c>
      <c r="D3869" s="6">
        <v>466.58</v>
      </c>
      <c r="E3869" s="6">
        <v>366.77</v>
      </c>
      <c r="F3869" s="29" t="s">
        <v>14</v>
      </c>
      <c r="G3869" s="30" t="s">
        <v>7255</v>
      </c>
      <c r="H3869" s="31" t="s">
        <v>577</v>
      </c>
      <c r="I3869" s="9">
        <v>5616</v>
      </c>
      <c r="J3869" s="30" t="s">
        <v>7256</v>
      </c>
      <c r="K3869" s="30">
        <v>610081</v>
      </c>
      <c r="L3869" s="3" t="str">
        <f t="shared" si="127"/>
        <v>ΠΑΡΕΚΚΛΙΣΗ_ΑΓΡΑΝΑΠΑΥΣΗΣ</v>
      </c>
    </row>
    <row r="3870" spans="1:12" s="3" customFormat="1" ht="15" customHeight="1" x14ac:dyDescent="0.25">
      <c r="A3870" s="3" t="str">
        <f t="shared" si="126"/>
        <v>ΠΑΡΕΚΚΛΙΣΗ ΑΓΡΑΝΑΠΑΥΣΗΣΑΓΡΑΝΑΠΑΥΣΗ ΠΑΡΕΚΚΛΙΣΗ - ΣΚΛΗΡΟ ΣΙΤΑΡΙ</v>
      </c>
      <c r="B3870" s="23" t="s">
        <v>7094</v>
      </c>
      <c r="C3870" s="24" t="s">
        <v>7257</v>
      </c>
      <c r="D3870" s="6">
        <v>517.94000000000005</v>
      </c>
      <c r="E3870" s="6">
        <v>492.2</v>
      </c>
      <c r="F3870" s="6" t="s">
        <v>14</v>
      </c>
      <c r="G3870" s="30" t="s">
        <v>7258</v>
      </c>
      <c r="H3870" s="31" t="s">
        <v>577</v>
      </c>
      <c r="I3870" s="9">
        <v>5618</v>
      </c>
      <c r="J3870" s="30" t="s">
        <v>7256</v>
      </c>
      <c r="K3870" s="30">
        <v>610082</v>
      </c>
      <c r="L3870" s="3" t="str">
        <f t="shared" si="127"/>
        <v>ΠΑΡΕΚΚΛΙΣΗ_ΑΓΡΑΝΑΠΑΥΣΗΣ</v>
      </c>
    </row>
    <row r="3871" spans="1:12" s="3" customFormat="1" ht="15" customHeight="1" x14ac:dyDescent="0.25">
      <c r="A3871" s="3" t="str">
        <f t="shared" si="126"/>
        <v>ΠΑΡΕΚΚΛΙΣΗ ΑΓΡΑΝΑΠΑΥΣΗΣΑΓΡΑΝΑΠΑΥΣΗ ΠΑΡΕΚΚΛΙΣΗ - ΜΑΛΑΚΟ ΣΙΤΑΡΙ</v>
      </c>
      <c r="B3871" s="23" t="s">
        <v>7094</v>
      </c>
      <c r="C3871" s="24" t="s">
        <v>7259</v>
      </c>
      <c r="D3871" s="6">
        <v>491.53</v>
      </c>
      <c r="E3871" s="6">
        <v>485.9</v>
      </c>
      <c r="F3871" s="7" t="s">
        <v>14</v>
      </c>
      <c r="G3871" s="30" t="s">
        <v>7260</v>
      </c>
      <c r="H3871" s="31" t="s">
        <v>577</v>
      </c>
      <c r="I3871" s="9">
        <v>5617</v>
      </c>
      <c r="J3871" s="30" t="s">
        <v>7256</v>
      </c>
      <c r="K3871" s="30">
        <v>610083</v>
      </c>
      <c r="L3871" s="3" t="str">
        <f t="shared" si="127"/>
        <v>ΠΑΡΕΚΚΛΙΣΗ_ΑΓΡΑΝΑΠΑΥΣΗΣ</v>
      </c>
    </row>
    <row r="3872" spans="1:12" s="3" customFormat="1" ht="15" customHeight="1" x14ac:dyDescent="0.25">
      <c r="A3872" s="3" t="str">
        <f t="shared" si="126"/>
        <v>ΠΟΡΤΟΚΑΛΙΑ ΠΡΟΣ ΧΥΜΟΠΟΙΗΣΗΠΟΡΤΟΚΑΛΙΑ ΚΟΙΝ. ΠΟΙΚΙΛ.</v>
      </c>
      <c r="B3872" s="4" t="s">
        <v>7261</v>
      </c>
      <c r="C3872" s="5" t="s">
        <v>4513</v>
      </c>
      <c r="D3872" s="6">
        <v>6463.62</v>
      </c>
      <c r="E3872" s="6">
        <v>7222.28</v>
      </c>
      <c r="F3872" s="7" t="s">
        <v>14</v>
      </c>
      <c r="G3872" s="8" t="s">
        <v>7262</v>
      </c>
      <c r="H3872" s="8" t="s">
        <v>16</v>
      </c>
      <c r="I3872" s="9">
        <v>1304</v>
      </c>
      <c r="J3872" s="10">
        <v>19</v>
      </c>
      <c r="K3872" s="10">
        <v>19001</v>
      </c>
      <c r="L3872" s="3" t="str">
        <f t="shared" si="127"/>
        <v>ΠΟΡΤΟΚΑΛΙΑ_ΠΡΟΣ_ΧΥΜΟΠΟΙΗΣΗ</v>
      </c>
    </row>
    <row r="3873" spans="1:12" s="3" customFormat="1" ht="15" customHeight="1" x14ac:dyDescent="0.25">
      <c r="A3873" s="3" t="str">
        <f t="shared" si="126"/>
        <v>ΠΟΡΤΟΚΑΛΙΑ ΠΡΟΣ ΧΥΜΟΠΟΙΗΣΗΠΟΡΤΟΚΑΛΙΑ ΓΙΑΦΦΑ</v>
      </c>
      <c r="B3873" s="4" t="s">
        <v>7261</v>
      </c>
      <c r="C3873" s="5" t="s">
        <v>4515</v>
      </c>
      <c r="D3873" s="6">
        <v>6463.62</v>
      </c>
      <c r="E3873" s="6">
        <v>7222.28</v>
      </c>
      <c r="F3873" s="7" t="s">
        <v>14</v>
      </c>
      <c r="G3873" s="8" t="s">
        <v>7263</v>
      </c>
      <c r="H3873" s="8" t="s">
        <v>16</v>
      </c>
      <c r="I3873" s="9">
        <v>1298</v>
      </c>
      <c r="J3873" s="10">
        <v>19</v>
      </c>
      <c r="K3873" s="10">
        <v>19002</v>
      </c>
      <c r="L3873" s="3" t="str">
        <f t="shared" si="127"/>
        <v>ΠΟΡΤΟΚΑΛΙΑ_ΠΡΟΣ_ΧΥΜΟΠΟΙΗΣΗ</v>
      </c>
    </row>
    <row r="3874" spans="1:12" s="3" customFormat="1" ht="15" customHeight="1" x14ac:dyDescent="0.25">
      <c r="A3874" s="3" t="str">
        <f t="shared" si="126"/>
        <v>ΠΟΡΤΟΚΑΛΙΑ ΠΡΟΣ ΧΥΜΟΠΟΙΗΣΗΠΟΡΤΟΚΑΛΙΑ ΟΒΑΛ ΚΑΛΑΒΡΙΑΣ</v>
      </c>
      <c r="B3874" s="4" t="s">
        <v>7261</v>
      </c>
      <c r="C3874" s="5" t="s">
        <v>4517</v>
      </c>
      <c r="D3874" s="6">
        <v>6463.62</v>
      </c>
      <c r="E3874" s="6">
        <v>7222.28</v>
      </c>
      <c r="F3874" s="7" t="s">
        <v>14</v>
      </c>
      <c r="G3874" s="8" t="s">
        <v>7264</v>
      </c>
      <c r="H3874" s="8" t="s">
        <v>16</v>
      </c>
      <c r="I3874" s="9">
        <v>1305</v>
      </c>
      <c r="J3874" s="10">
        <v>19</v>
      </c>
      <c r="K3874" s="10">
        <v>19003</v>
      </c>
      <c r="L3874" s="3" t="str">
        <f t="shared" si="127"/>
        <v>ΠΟΡΤΟΚΑΛΙΑ_ΠΡΟΣ_ΧΥΜΟΠΟΙΗΣΗ</v>
      </c>
    </row>
    <row r="3875" spans="1:12" s="3" customFormat="1" ht="15" customHeight="1" x14ac:dyDescent="0.25">
      <c r="A3875" s="3" t="str">
        <f t="shared" si="126"/>
        <v>ΠΟΡΤΟΚΑΛΙΑ ΠΡΟΣ ΧΥΜΟΠΟΙΗΣΗΠΟΡΤΟΚΑΛΙΑ ΒΑΛΕΝΤΣΙΑ</v>
      </c>
      <c r="B3875" s="4" t="s">
        <v>7261</v>
      </c>
      <c r="C3875" s="5" t="s">
        <v>4519</v>
      </c>
      <c r="D3875" s="6">
        <v>6463.62</v>
      </c>
      <c r="E3875" s="6">
        <v>7222.28</v>
      </c>
      <c r="F3875" s="7" t="s">
        <v>14</v>
      </c>
      <c r="G3875" s="8" t="s">
        <v>7265</v>
      </c>
      <c r="H3875" s="8" t="s">
        <v>16</v>
      </c>
      <c r="I3875" s="9">
        <v>1314</v>
      </c>
      <c r="J3875" s="10">
        <v>19</v>
      </c>
      <c r="K3875" s="10">
        <v>19004</v>
      </c>
      <c r="L3875" s="3" t="str">
        <f t="shared" si="127"/>
        <v>ΠΟΡΤΟΚΑΛΙΑ_ΠΡΟΣ_ΧΥΜΟΠΟΙΗΣΗ</v>
      </c>
    </row>
    <row r="3876" spans="1:12" s="3" customFormat="1" ht="15" customHeight="1" x14ac:dyDescent="0.25">
      <c r="A3876" s="3" t="str">
        <f t="shared" si="126"/>
        <v>ΠΟΡΤΟΚΑΛΙΑ ΠΡΟΣ ΧΥΜΟΠΟΙΗΣΗΠΟΡΤΟΚΑΛΙΑ ΒΑΛΕΝΤΣΙΑ-ΜΙΚΡΟΚΑΡΠΙΑ</v>
      </c>
      <c r="B3876" s="4" t="s">
        <v>7261</v>
      </c>
      <c r="C3876" s="5" t="s">
        <v>4521</v>
      </c>
      <c r="D3876" s="6">
        <v>6463.62</v>
      </c>
      <c r="E3876" s="6">
        <v>7222.28</v>
      </c>
      <c r="F3876" s="7" t="s">
        <v>14</v>
      </c>
      <c r="G3876" s="8" t="s">
        <v>7266</v>
      </c>
      <c r="H3876" s="8" t="s">
        <v>16</v>
      </c>
      <c r="I3876" s="9">
        <v>1313</v>
      </c>
      <c r="J3876" s="10">
        <v>19</v>
      </c>
      <c r="K3876" s="10">
        <v>19005</v>
      </c>
      <c r="L3876" s="3" t="str">
        <f t="shared" si="127"/>
        <v>ΠΟΡΤΟΚΑΛΙΑ_ΠΡΟΣ_ΧΥΜΟΠΟΙΗΣΗ</v>
      </c>
    </row>
    <row r="3877" spans="1:12" s="3" customFormat="1" ht="15" customHeight="1" x14ac:dyDescent="0.25">
      <c r="A3877" s="3" t="str">
        <f t="shared" si="126"/>
        <v>ΠΟΡΤΟΚΑΛΙΑ ΠΡΟΣ ΧΥΜΟΠΟΙΗΣΗΠΟΡΤΟΚΑΛΙΑ ΜΠΟΝΑΤΣΑ</v>
      </c>
      <c r="B3877" s="4" t="s">
        <v>7261</v>
      </c>
      <c r="C3877" s="5" t="s">
        <v>4523</v>
      </c>
      <c r="D3877" s="6">
        <v>6463.62</v>
      </c>
      <c r="E3877" s="6">
        <v>7222.28</v>
      </c>
      <c r="F3877" s="7" t="s">
        <v>14</v>
      </c>
      <c r="G3877" s="8" t="s">
        <v>7267</v>
      </c>
      <c r="H3877" s="8" t="s">
        <v>16</v>
      </c>
      <c r="I3877" s="9">
        <v>1312</v>
      </c>
      <c r="J3877" s="10">
        <v>19</v>
      </c>
      <c r="K3877" s="10">
        <v>19006</v>
      </c>
      <c r="L3877" s="3" t="str">
        <f t="shared" si="127"/>
        <v>ΠΟΡΤΟΚΑΛΙΑ_ΠΡΟΣ_ΧΥΜΟΠΟΙΗΣΗ</v>
      </c>
    </row>
    <row r="3878" spans="1:12" s="3" customFormat="1" ht="15" customHeight="1" x14ac:dyDescent="0.25">
      <c r="A3878" s="3" t="str">
        <f t="shared" si="126"/>
        <v>ΠΟΡΤΟΚΑΛΙΑ ΠΡΟΣ ΧΥΜΟΠΟΙΗΣΗΠΟΡΤΟΚΑΛΙΑ ΝEWHΑLL</v>
      </c>
      <c r="B3878" s="4" t="s">
        <v>7261</v>
      </c>
      <c r="C3878" s="5" t="s">
        <v>4525</v>
      </c>
      <c r="D3878" s="6">
        <v>6463.62</v>
      </c>
      <c r="E3878" s="6">
        <v>7222.28</v>
      </c>
      <c r="F3878" s="7" t="s">
        <v>14</v>
      </c>
      <c r="G3878" s="8" t="s">
        <v>7268</v>
      </c>
      <c r="H3878" s="8" t="s">
        <v>16</v>
      </c>
      <c r="I3878" s="9">
        <v>1311</v>
      </c>
      <c r="J3878" s="10">
        <v>19</v>
      </c>
      <c r="K3878" s="10">
        <v>19007</v>
      </c>
      <c r="L3878" s="3" t="str">
        <f t="shared" si="127"/>
        <v>ΠΟΡΤΟΚΑΛΙΑ_ΠΡΟΣ_ΧΥΜΟΠΟΙΗΣΗ</v>
      </c>
    </row>
    <row r="3879" spans="1:12" s="3" customFormat="1" ht="15" customHeight="1" x14ac:dyDescent="0.25">
      <c r="A3879" s="3" t="str">
        <f t="shared" si="126"/>
        <v>ΠΟΡΤΟΚΑΛΙΑ ΠΡΟΣ ΧΥΜΟΠΟΙΗΣΗΠΟΡΤΟΚΑΛΙΑ ΝΑΒΕΛΙΝΑ</v>
      </c>
      <c r="B3879" s="4" t="s">
        <v>7261</v>
      </c>
      <c r="C3879" s="5" t="s">
        <v>4527</v>
      </c>
      <c r="D3879" s="6">
        <v>6463.62</v>
      </c>
      <c r="E3879" s="6">
        <v>7222.28</v>
      </c>
      <c r="F3879" s="7" t="s">
        <v>14</v>
      </c>
      <c r="G3879" s="8" t="s">
        <v>7269</v>
      </c>
      <c r="H3879" s="8" t="s">
        <v>16</v>
      </c>
      <c r="I3879" s="9">
        <v>1310</v>
      </c>
      <c r="J3879" s="10">
        <v>19</v>
      </c>
      <c r="K3879" s="10">
        <v>19008</v>
      </c>
      <c r="L3879" s="3" t="str">
        <f t="shared" si="127"/>
        <v>ΠΟΡΤΟΚΑΛΙΑ_ΠΡΟΣ_ΧΥΜΟΠΟΙΗΣΗ</v>
      </c>
    </row>
    <row r="3880" spans="1:12" s="3" customFormat="1" ht="15" customHeight="1" x14ac:dyDescent="0.25">
      <c r="A3880" s="3" t="str">
        <f t="shared" si="126"/>
        <v>ΠΟΡΤΟΚΑΛΙΑ ΠΡΟΣ ΧΥΜΟΠΟΙΗΣΗΠΟΡΤΟΚΑΛΙΑ ΝΑVELΑΤE</v>
      </c>
      <c r="B3880" s="4" t="s">
        <v>7261</v>
      </c>
      <c r="C3880" s="5" t="s">
        <v>4529</v>
      </c>
      <c r="D3880" s="6">
        <v>6463.62</v>
      </c>
      <c r="E3880" s="6">
        <v>7222.28</v>
      </c>
      <c r="F3880" s="7" t="s">
        <v>14</v>
      </c>
      <c r="G3880" s="8" t="s">
        <v>7270</v>
      </c>
      <c r="H3880" s="8" t="s">
        <v>16</v>
      </c>
      <c r="I3880" s="9">
        <v>1309</v>
      </c>
      <c r="J3880" s="10">
        <v>19</v>
      </c>
      <c r="K3880" s="10">
        <v>19009</v>
      </c>
      <c r="L3880" s="3" t="str">
        <f t="shared" si="127"/>
        <v>ΠΟΡΤΟΚΑΛΙΑ_ΠΡΟΣ_ΧΥΜΟΠΟΙΗΣΗ</v>
      </c>
    </row>
    <row r="3881" spans="1:12" s="3" customFormat="1" ht="15" customHeight="1" x14ac:dyDescent="0.25">
      <c r="A3881" s="3" t="str">
        <f t="shared" si="126"/>
        <v>ΠΟΡΤΟΚΑΛΙΑ ΠΡΟΣ ΧΥΜΟΠΟΙΗΣΗΠΟΡΤΟΚΑΛΙΑ ΛΟΙΠ. ΟΜΦΑΛ. ΠΟΙΚΙΛ.</v>
      </c>
      <c r="B3881" s="4" t="s">
        <v>7261</v>
      </c>
      <c r="C3881" s="5" t="s">
        <v>4531</v>
      </c>
      <c r="D3881" s="6">
        <v>6463.62</v>
      </c>
      <c r="E3881" s="6">
        <v>7222.28</v>
      </c>
      <c r="F3881" s="7" t="s">
        <v>14</v>
      </c>
      <c r="G3881" s="8" t="s">
        <v>7271</v>
      </c>
      <c r="H3881" s="8" t="s">
        <v>16</v>
      </c>
      <c r="I3881" s="9">
        <v>1308</v>
      </c>
      <c r="J3881" s="10">
        <v>19</v>
      </c>
      <c r="K3881" s="10">
        <v>19010</v>
      </c>
      <c r="L3881" s="3" t="str">
        <f t="shared" si="127"/>
        <v>ΠΟΡΤΟΚΑΛΙΑ_ΠΡΟΣ_ΧΥΜΟΠΟΙΗΣΗ</v>
      </c>
    </row>
    <row r="3882" spans="1:12" s="3" customFormat="1" ht="15" customHeight="1" x14ac:dyDescent="0.25">
      <c r="A3882" s="3" t="str">
        <f t="shared" si="126"/>
        <v>ΠΟΡΤΟΚΑΛΙΑ ΠΡΟΣ ΧΥΜΟΠΟΙΗΣΗΠΟΡΤΟΚΑΛΙΑ ΜORO</v>
      </c>
      <c r="B3882" s="4" t="s">
        <v>7261</v>
      </c>
      <c r="C3882" s="5" t="s">
        <v>4533</v>
      </c>
      <c r="D3882" s="6">
        <v>6463.62</v>
      </c>
      <c r="E3882" s="6">
        <v>7222.28</v>
      </c>
      <c r="F3882" s="7" t="s">
        <v>14</v>
      </c>
      <c r="G3882" s="8" t="s">
        <v>7272</v>
      </c>
      <c r="H3882" s="8" t="s">
        <v>16</v>
      </c>
      <c r="I3882" s="9">
        <v>1307</v>
      </c>
      <c r="J3882" s="10">
        <v>19</v>
      </c>
      <c r="K3882" s="10">
        <v>19011</v>
      </c>
      <c r="L3882" s="3" t="str">
        <f t="shared" si="127"/>
        <v>ΠΟΡΤΟΚΑΛΙΑ_ΠΡΟΣ_ΧΥΜΟΠΟΙΗΣΗ</v>
      </c>
    </row>
    <row r="3883" spans="1:12" s="3" customFormat="1" ht="15" customHeight="1" x14ac:dyDescent="0.25">
      <c r="A3883" s="3" t="str">
        <f t="shared" si="126"/>
        <v>ΠΟΡΤΟΚΑΛΙΑ ΠΡΟΣ ΧΥΜΟΠΟΙΗΣΗΠΟΡΤΟΚΑΛΙΑ ΤΑROCCO</v>
      </c>
      <c r="B3883" s="4" t="s">
        <v>7261</v>
      </c>
      <c r="C3883" s="5" t="s">
        <v>4535</v>
      </c>
      <c r="D3883" s="6">
        <v>6463.62</v>
      </c>
      <c r="E3883" s="6">
        <v>7222.28</v>
      </c>
      <c r="F3883" s="7" t="s">
        <v>14</v>
      </c>
      <c r="G3883" s="8" t="s">
        <v>7273</v>
      </c>
      <c r="H3883" s="8" t="s">
        <v>16</v>
      </c>
      <c r="I3883" s="9">
        <v>1306</v>
      </c>
      <c r="J3883" s="10">
        <v>19</v>
      </c>
      <c r="K3883" s="10">
        <v>19012</v>
      </c>
      <c r="L3883" s="3" t="str">
        <f t="shared" si="127"/>
        <v>ΠΟΡΤΟΚΑΛΙΑ_ΠΡΟΣ_ΧΥΜΟΠΟΙΗΣΗ</v>
      </c>
    </row>
    <row r="3884" spans="1:12" s="3" customFormat="1" ht="15" customHeight="1" x14ac:dyDescent="0.25">
      <c r="A3884" s="3" t="str">
        <f t="shared" si="126"/>
        <v>ΠΟΡΤΟΚΑΛΙΑ ΠΡΟΣ ΧΥΜΟΠΟΙΗΣΗΠΟΡΤΟΚΑΛΙΑ ΛΟΙΠ. ΑΙΜΑΤΟΧΡ. ΠΟΙΚΙΛ.</v>
      </c>
      <c r="B3884" s="4" t="s">
        <v>7261</v>
      </c>
      <c r="C3884" s="5" t="s">
        <v>4537</v>
      </c>
      <c r="D3884" s="6">
        <v>6463.62</v>
      </c>
      <c r="E3884" s="6">
        <v>7222.28</v>
      </c>
      <c r="F3884" s="7" t="s">
        <v>14</v>
      </c>
      <c r="G3884" s="8" t="s">
        <v>7274</v>
      </c>
      <c r="H3884" s="8" t="s">
        <v>16</v>
      </c>
      <c r="I3884" s="9">
        <v>1299</v>
      </c>
      <c r="J3884" s="10">
        <v>19</v>
      </c>
      <c r="K3884" s="10">
        <v>19013</v>
      </c>
      <c r="L3884" s="3" t="str">
        <f t="shared" si="127"/>
        <v>ΠΟΡΤΟΚΑΛΙΑ_ΠΡΟΣ_ΧΥΜΟΠΟΙΗΣΗ</v>
      </c>
    </row>
    <row r="3885" spans="1:12" s="3" customFormat="1" ht="15" customHeight="1" x14ac:dyDescent="0.25">
      <c r="A3885" s="3" t="str">
        <f t="shared" si="126"/>
        <v>ΠΟΡΤΟΚΑΛΙΑ ΠΡΟΣ ΧΥΜΟΠΟΙΗΣΗΠΟΡΤΟΚΑΛΙΑ ΓΛΥΚΟΧ. ΠΟΙΚΙΛ.</v>
      </c>
      <c r="B3885" s="4" t="s">
        <v>7261</v>
      </c>
      <c r="C3885" s="5" t="s">
        <v>4539</v>
      </c>
      <c r="D3885" s="6">
        <v>6463.62</v>
      </c>
      <c r="E3885" s="6">
        <v>7222.28</v>
      </c>
      <c r="F3885" s="7" t="s">
        <v>14</v>
      </c>
      <c r="G3885" s="8" t="s">
        <v>7275</v>
      </c>
      <c r="H3885" s="8" t="s">
        <v>16</v>
      </c>
      <c r="I3885" s="9">
        <v>1300</v>
      </c>
      <c r="J3885" s="10">
        <v>19</v>
      </c>
      <c r="K3885" s="10">
        <v>19014</v>
      </c>
      <c r="L3885" s="3" t="str">
        <f t="shared" si="127"/>
        <v>ΠΟΡΤΟΚΑΛΙΑ_ΠΡΟΣ_ΧΥΜΟΠΟΙΗΣΗ</v>
      </c>
    </row>
    <row r="3886" spans="1:12" s="3" customFormat="1" ht="15" customHeight="1" x14ac:dyDescent="0.25">
      <c r="A3886" s="3" t="str">
        <f t="shared" si="126"/>
        <v>ΠΟΡΤΟΚΑΛΙΑ ΠΡΟΣ ΧΥΜΟΠΟΙΗΣΗΠΟΡΤΟΚΑΛΙΑ ΣΑΛΟΥΣΤΙΑΝΑ</v>
      </c>
      <c r="B3886" s="4" t="s">
        <v>7261</v>
      </c>
      <c r="C3886" s="5" t="s">
        <v>4541</v>
      </c>
      <c r="D3886" s="6">
        <v>6463.62</v>
      </c>
      <c r="E3886" s="6">
        <v>7222.28</v>
      </c>
      <c r="F3886" s="7" t="s">
        <v>14</v>
      </c>
      <c r="G3886" s="8" t="s">
        <v>7276</v>
      </c>
      <c r="H3886" s="8" t="s">
        <v>16</v>
      </c>
      <c r="I3886" s="9">
        <v>1301</v>
      </c>
      <c r="J3886" s="10">
        <v>19</v>
      </c>
      <c r="K3886" s="10">
        <v>19015</v>
      </c>
      <c r="L3886" s="3" t="str">
        <f t="shared" si="127"/>
        <v>ΠΟΡΤΟΚΑΛΙΑ_ΠΡΟΣ_ΧΥΜΟΠΟΙΗΣΗ</v>
      </c>
    </row>
    <row r="3887" spans="1:12" s="3" customFormat="1" ht="15" customHeight="1" x14ac:dyDescent="0.25">
      <c r="A3887" s="3" t="str">
        <f t="shared" si="126"/>
        <v>ΠΟΡΤΟΚΑΛΙΑ ΠΡΟΣ ΧΥΜΟΠΟΙΗΣΗΠΟΡΤΟΚΑΛΙΑ ΤΥΜΠΑΚΙΟΥ</v>
      </c>
      <c r="B3887" s="4" t="s">
        <v>7261</v>
      </c>
      <c r="C3887" s="5" t="s">
        <v>4543</v>
      </c>
      <c r="D3887" s="6">
        <v>6463.62</v>
      </c>
      <c r="E3887" s="6">
        <v>7222.28</v>
      </c>
      <c r="F3887" s="7" t="s">
        <v>14</v>
      </c>
      <c r="G3887" s="8" t="s">
        <v>7277</v>
      </c>
      <c r="H3887" s="8" t="s">
        <v>16</v>
      </c>
      <c r="I3887" s="9">
        <v>1302</v>
      </c>
      <c r="J3887" s="10">
        <v>19</v>
      </c>
      <c r="K3887" s="10">
        <v>19016</v>
      </c>
      <c r="L3887" s="3" t="str">
        <f t="shared" si="127"/>
        <v>ΠΟΡΤΟΚΑΛΙΑ_ΠΡΟΣ_ΧΥΜΟΠΟΙΗΣΗ</v>
      </c>
    </row>
    <row r="3888" spans="1:12" s="3" customFormat="1" ht="15" customHeight="1" x14ac:dyDescent="0.25">
      <c r="A3888" s="3" t="str">
        <f t="shared" si="126"/>
        <v>ΠΟΡΤΟΚΑΛΙΑ ΠΡΟΣ ΧΥΜΟΠΟΙΗΣΗΠΟΡΤΟΚΑΛΙΑ LANE LATE</v>
      </c>
      <c r="B3888" s="4" t="s">
        <v>7261</v>
      </c>
      <c r="C3888" s="5" t="s">
        <v>4545</v>
      </c>
      <c r="D3888" s="6">
        <v>6463.62</v>
      </c>
      <c r="E3888" s="6">
        <v>7222.28</v>
      </c>
      <c r="F3888" s="7" t="s">
        <v>14</v>
      </c>
      <c r="G3888" s="8" t="s">
        <v>7278</v>
      </c>
      <c r="H3888" s="8" t="s">
        <v>16</v>
      </c>
      <c r="I3888" s="9">
        <v>1315</v>
      </c>
      <c r="J3888" s="10">
        <v>19</v>
      </c>
      <c r="K3888" s="10">
        <v>19017</v>
      </c>
      <c r="L3888" s="3" t="str">
        <f t="shared" si="127"/>
        <v>ΠΟΡΤΟΚΑΛΙΑ_ΠΡΟΣ_ΧΥΜΟΠΟΙΗΣΗ</v>
      </c>
    </row>
    <row r="3889" spans="1:12" s="3" customFormat="1" ht="15" customHeight="1" x14ac:dyDescent="0.25">
      <c r="A3889" s="3" t="str">
        <f t="shared" si="126"/>
        <v>ΠΟΡΤΟΚΑΛΙΑ ΠΡΟΣ ΧΥΜΟΠΟΙΗΣΗΠΟΡΤΟΚΑΛΙΑ WASHINGTON NAVEL (ΜΕΡΛΙΝ)</v>
      </c>
      <c r="B3889" s="4" t="s">
        <v>7261</v>
      </c>
      <c r="C3889" s="5" t="s">
        <v>4551</v>
      </c>
      <c r="D3889" s="6">
        <v>6463.62</v>
      </c>
      <c r="E3889" s="6">
        <v>7222.28</v>
      </c>
      <c r="F3889" s="7" t="s">
        <v>14</v>
      </c>
      <c r="G3889" s="8" t="s">
        <v>7279</v>
      </c>
      <c r="H3889" s="8" t="s">
        <v>16</v>
      </c>
      <c r="I3889" s="9">
        <v>1303</v>
      </c>
      <c r="J3889" s="10">
        <v>19</v>
      </c>
      <c r="K3889" s="10">
        <v>19018</v>
      </c>
      <c r="L3889" s="3" t="str">
        <f t="shared" si="127"/>
        <v>ΠΟΡΤΟΚΑΛΙΑ_ΠΡΟΣ_ΧΥΜΟΠΟΙΗΣΗ</v>
      </c>
    </row>
    <row r="3890" spans="1:12" s="3" customFormat="1" ht="15" customHeight="1" x14ac:dyDescent="0.25">
      <c r="A3890" s="3" t="str">
        <f t="shared" si="126"/>
        <v>ΠΥΡΗΝΟΚΑΡΠΑΔΑΜΑΣΚΗΝΑ ΣΚΟΠΕΛΟΥ</v>
      </c>
      <c r="B3890" s="4" t="s">
        <v>7280</v>
      </c>
      <c r="C3890" s="5" t="s">
        <v>7281</v>
      </c>
      <c r="D3890" s="6">
        <v>5895.69</v>
      </c>
      <c r="E3890" s="6">
        <v>5815.34</v>
      </c>
      <c r="F3890" s="7" t="s">
        <v>14</v>
      </c>
      <c r="G3890" s="8" t="s">
        <v>7282</v>
      </c>
      <c r="H3890" s="8" t="s">
        <v>16</v>
      </c>
      <c r="I3890" s="9">
        <v>2933</v>
      </c>
      <c r="J3890" s="10">
        <v>66</v>
      </c>
      <c r="K3890" s="10">
        <v>10901</v>
      </c>
      <c r="L3890" s="3" t="str">
        <f t="shared" si="127"/>
        <v>ΠΥΡΗΝΟΚΑΡΠΑ</v>
      </c>
    </row>
    <row r="3891" spans="1:12" s="3" customFormat="1" ht="15" customHeight="1" x14ac:dyDescent="0.25">
      <c r="A3891" s="3" t="str">
        <f t="shared" si="126"/>
        <v>ΠΥΡΗΝΟΚΑΡΠΑΚΕΡΑΣΙΕΣ Α</v>
      </c>
      <c r="B3891" s="4" t="s">
        <v>7280</v>
      </c>
      <c r="C3891" s="5" t="s">
        <v>7283</v>
      </c>
      <c r="D3891" s="6">
        <v>5895.69</v>
      </c>
      <c r="E3891" s="6">
        <v>5815.34</v>
      </c>
      <c r="F3891" s="7" t="s">
        <v>14</v>
      </c>
      <c r="G3891" s="8" t="s">
        <v>7284</v>
      </c>
      <c r="H3891" s="8" t="s">
        <v>16</v>
      </c>
      <c r="I3891" s="9">
        <v>2949</v>
      </c>
      <c r="J3891" s="10">
        <v>66</v>
      </c>
      <c r="K3891" s="10">
        <v>14003</v>
      </c>
      <c r="L3891" s="3" t="str">
        <f t="shared" si="127"/>
        <v>ΠΥΡΗΝΟΚΑΡΠΑ</v>
      </c>
    </row>
    <row r="3892" spans="1:12" s="3" customFormat="1" ht="15" customHeight="1" x14ac:dyDescent="0.25">
      <c r="A3892" s="3" t="str">
        <f t="shared" si="126"/>
        <v>ΠΥΡΗΝΟΚΑΡΠΑΚΕΡΑΣΙΕΣ Γ</v>
      </c>
      <c r="B3892" s="4" t="s">
        <v>7280</v>
      </c>
      <c r="C3892" s="5" t="s">
        <v>7285</v>
      </c>
      <c r="D3892" s="6">
        <v>5895.69</v>
      </c>
      <c r="E3892" s="6">
        <v>5815.34</v>
      </c>
      <c r="F3892" s="7" t="s">
        <v>14</v>
      </c>
      <c r="G3892" s="8" t="s">
        <v>7286</v>
      </c>
      <c r="H3892" s="8" t="s">
        <v>16</v>
      </c>
      <c r="I3892" s="9">
        <v>2950</v>
      </c>
      <c r="J3892" s="10">
        <v>66</v>
      </c>
      <c r="K3892" s="10">
        <v>14006</v>
      </c>
      <c r="L3892" s="3" t="str">
        <f t="shared" si="127"/>
        <v>ΠΥΡΗΝΟΚΑΡΠΑ</v>
      </c>
    </row>
    <row r="3893" spans="1:12" s="3" customFormat="1" ht="15" customHeight="1" x14ac:dyDescent="0.25">
      <c r="A3893" s="3" t="str">
        <f t="shared" si="126"/>
        <v>ΠΥΡΗΝΟΚΑΡΠΑΡΟΔΑΚΙΝΙΕΣ Β</v>
      </c>
      <c r="B3893" s="4" t="s">
        <v>7280</v>
      </c>
      <c r="C3893" s="5" t="s">
        <v>7287</v>
      </c>
      <c r="D3893" s="6">
        <v>5895.69</v>
      </c>
      <c r="E3893" s="6">
        <v>5815.34</v>
      </c>
      <c r="F3893" s="7" t="s">
        <v>14</v>
      </c>
      <c r="G3893" s="8" t="s">
        <v>7288</v>
      </c>
      <c r="H3893" s="8" t="s">
        <v>27</v>
      </c>
      <c r="I3893" s="9">
        <v>2951</v>
      </c>
      <c r="J3893" s="10">
        <v>66</v>
      </c>
      <c r="K3893" s="10">
        <v>14007</v>
      </c>
      <c r="L3893" s="3" t="str">
        <f t="shared" si="127"/>
        <v>ΠΥΡΗΝΟΚΑΡΠΑ</v>
      </c>
    </row>
    <row r="3894" spans="1:12" s="3" customFormat="1" ht="15" customHeight="1" x14ac:dyDescent="0.25">
      <c r="A3894" s="3" t="str">
        <f t="shared" si="126"/>
        <v>ΠΥΡΗΝΟΚΑΡΠΑΝΕΚΤΑΡΙΝΙΕΣ Β</v>
      </c>
      <c r="B3894" s="4" t="s">
        <v>7280</v>
      </c>
      <c r="C3894" s="5" t="s">
        <v>7289</v>
      </c>
      <c r="D3894" s="6">
        <v>5895.69</v>
      </c>
      <c r="E3894" s="6">
        <v>5815.34</v>
      </c>
      <c r="F3894" s="7" t="s">
        <v>14</v>
      </c>
      <c r="G3894" s="8" t="s">
        <v>7290</v>
      </c>
      <c r="H3894" s="8" t="s">
        <v>27</v>
      </c>
      <c r="I3894" s="9">
        <v>2952</v>
      </c>
      <c r="J3894" s="10">
        <v>66</v>
      </c>
      <c r="K3894" s="10">
        <v>14008</v>
      </c>
      <c r="L3894" s="3" t="str">
        <f t="shared" si="127"/>
        <v>ΠΥΡΗΝΟΚΑΡΠΑ</v>
      </c>
    </row>
    <row r="3895" spans="1:12" s="3" customFormat="1" ht="15" customHeight="1" x14ac:dyDescent="0.25">
      <c r="A3895" s="3" t="str">
        <f t="shared" si="126"/>
        <v>ΠΥΡΗΝΟΚΑΡΠΑΒΕΡΙΚΟΚΑ ΧΥΜΟΠΟΙΙΑΣ</v>
      </c>
      <c r="B3895" s="4" t="s">
        <v>7280</v>
      </c>
      <c r="C3895" s="5" t="s">
        <v>7291</v>
      </c>
      <c r="D3895" s="6">
        <v>5895.69</v>
      </c>
      <c r="E3895" s="6">
        <v>5815.34</v>
      </c>
      <c r="F3895" s="7" t="s">
        <v>14</v>
      </c>
      <c r="G3895" s="8" t="s">
        <v>7292</v>
      </c>
      <c r="H3895" s="8" t="s">
        <v>16</v>
      </c>
      <c r="I3895" s="9">
        <v>3085</v>
      </c>
      <c r="J3895" s="10">
        <v>66</v>
      </c>
      <c r="K3895" s="10">
        <v>14036</v>
      </c>
      <c r="L3895" s="3" t="str">
        <f t="shared" si="127"/>
        <v>ΠΥΡΗΝΟΚΑΡΠΑ</v>
      </c>
    </row>
    <row r="3896" spans="1:12" s="3" customFormat="1" ht="15" customHeight="1" x14ac:dyDescent="0.25">
      <c r="A3896" s="3" t="str">
        <f t="shared" si="126"/>
        <v>ΠΥΡΗΝΟΚΑΡΠΑΡΟΔΑΚΙΝΑ ΕΠΙΤΡΑΠΕΖΙΑ ΥΠΕΡΠΡΩΙΜΑ</v>
      </c>
      <c r="B3896" s="4" t="s">
        <v>7280</v>
      </c>
      <c r="C3896" s="5" t="s">
        <v>7293</v>
      </c>
      <c r="D3896" s="6">
        <v>5895.69</v>
      </c>
      <c r="E3896" s="6">
        <v>5815.34</v>
      </c>
      <c r="F3896" s="7" t="s">
        <v>14</v>
      </c>
      <c r="G3896" s="8" t="s">
        <v>7294</v>
      </c>
      <c r="H3896" s="8" t="s">
        <v>16</v>
      </c>
      <c r="I3896" s="9">
        <v>2953</v>
      </c>
      <c r="J3896" s="10">
        <v>66</v>
      </c>
      <c r="K3896" s="10">
        <v>14037</v>
      </c>
      <c r="L3896" s="3" t="str">
        <f t="shared" si="127"/>
        <v>ΠΥΡΗΝΟΚΑΡΠΑ</v>
      </c>
    </row>
    <row r="3897" spans="1:12" s="3" customFormat="1" ht="15" customHeight="1" x14ac:dyDescent="0.25">
      <c r="A3897" s="3" t="str">
        <f t="shared" si="126"/>
        <v>ΠΥΡΗΝΟΚΑΡΠΑΝΕΚΤΑΡΙΝΙΑ ΕΠΙΤΡΑΠΕΖΙΑ ΥΠΕΡΠΡΩΙΜΑ</v>
      </c>
      <c r="B3897" s="4" t="s">
        <v>7280</v>
      </c>
      <c r="C3897" s="5" t="s">
        <v>7295</v>
      </c>
      <c r="D3897" s="6">
        <v>5895.69</v>
      </c>
      <c r="E3897" s="6">
        <v>5815.34</v>
      </c>
      <c r="F3897" s="7" t="s">
        <v>14</v>
      </c>
      <c r="G3897" s="8" t="s">
        <v>7296</v>
      </c>
      <c r="H3897" s="8" t="s">
        <v>16</v>
      </c>
      <c r="I3897" s="9">
        <v>2954</v>
      </c>
      <c r="J3897" s="10">
        <v>66</v>
      </c>
      <c r="K3897" s="10">
        <v>14038</v>
      </c>
      <c r="L3897" s="3" t="str">
        <f t="shared" si="127"/>
        <v>ΠΥΡΗΝΟΚΑΡΠΑ</v>
      </c>
    </row>
    <row r="3898" spans="1:12" s="3" customFormat="1" ht="15" customHeight="1" x14ac:dyDescent="0.25">
      <c r="A3898" s="3" t="str">
        <f t="shared" si="126"/>
        <v>ΠΥΡΗΝΟΚΑΡΠΑΠΥΡΗΝΟΚΑΡΠΑ</v>
      </c>
      <c r="B3898" s="4" t="s">
        <v>7280</v>
      </c>
      <c r="C3898" s="5" t="s">
        <v>7280</v>
      </c>
      <c r="D3898" s="6">
        <v>5895.69</v>
      </c>
      <c r="E3898" s="6">
        <v>5815.34</v>
      </c>
      <c r="F3898" s="7" t="s">
        <v>14</v>
      </c>
      <c r="G3898" s="8" t="s">
        <v>7297</v>
      </c>
      <c r="H3898" s="8" t="s">
        <v>27</v>
      </c>
      <c r="I3898" s="9">
        <v>2853</v>
      </c>
      <c r="J3898" s="10">
        <v>66</v>
      </c>
      <c r="K3898" s="10">
        <v>66</v>
      </c>
      <c r="L3898" s="3" t="str">
        <f t="shared" si="127"/>
        <v>ΠΥΡΗΝΟΚΑΡΠΑ</v>
      </c>
    </row>
    <row r="3899" spans="1:12" s="3" customFormat="1" ht="15" customHeight="1" x14ac:dyDescent="0.25">
      <c r="A3899" s="3" t="str">
        <f t="shared" si="126"/>
        <v>ΠΥΡΗΝΟΚΑΡΠΑΒΕΡΙΚΚΟΚΑ ΠΡΩΙΜ. ΠΟΡΟΥ</v>
      </c>
      <c r="B3899" s="4" t="s">
        <v>7280</v>
      </c>
      <c r="C3899" s="5" t="s">
        <v>7298</v>
      </c>
      <c r="D3899" s="6">
        <v>5895.69</v>
      </c>
      <c r="E3899" s="6">
        <v>5815.34</v>
      </c>
      <c r="F3899" s="7" t="s">
        <v>14</v>
      </c>
      <c r="G3899" s="8" t="s">
        <v>7299</v>
      </c>
      <c r="H3899" s="8" t="s">
        <v>16</v>
      </c>
      <c r="I3899" s="9">
        <v>2970</v>
      </c>
      <c r="J3899" s="10">
        <v>66</v>
      </c>
      <c r="K3899" s="10">
        <v>66001</v>
      </c>
      <c r="L3899" s="3" t="str">
        <f t="shared" si="127"/>
        <v>ΠΥΡΗΝΟΚΑΡΠΑ</v>
      </c>
    </row>
    <row r="3900" spans="1:12" s="3" customFormat="1" ht="15" customHeight="1" x14ac:dyDescent="0.25">
      <c r="A3900" s="3" t="str">
        <f t="shared" si="126"/>
        <v>ΠΥΡΗΝΟΚΑΡΠΑΒΕΡΙΚΚΟΚΑ ΤΣΑΟΥΛΙΑ</v>
      </c>
      <c r="B3900" s="4" t="s">
        <v>7280</v>
      </c>
      <c r="C3900" s="5" t="s">
        <v>7300</v>
      </c>
      <c r="D3900" s="6">
        <v>5895.69</v>
      </c>
      <c r="E3900" s="6">
        <v>5815.34</v>
      </c>
      <c r="F3900" s="7" t="s">
        <v>14</v>
      </c>
      <c r="G3900" s="8" t="s">
        <v>7301</v>
      </c>
      <c r="H3900" s="8" t="s">
        <v>16</v>
      </c>
      <c r="I3900" s="9">
        <v>2948</v>
      </c>
      <c r="J3900" s="10">
        <v>66</v>
      </c>
      <c r="K3900" s="10">
        <v>66002</v>
      </c>
      <c r="L3900" s="3" t="str">
        <f t="shared" si="127"/>
        <v>ΠΥΡΗΝΟΚΑΡΠΑ</v>
      </c>
    </row>
    <row r="3901" spans="1:12" s="3" customFormat="1" ht="15" customHeight="1" x14ac:dyDescent="0.25">
      <c r="A3901" s="3" t="str">
        <f t="shared" si="126"/>
        <v>ΠΥΡΗΝΟΚΑΡΠΑΒΕΡΙΚΚΟΚΑ ΠΑΥΛΗ ΡΟΔΟΥ</v>
      </c>
      <c r="B3901" s="4" t="s">
        <v>7280</v>
      </c>
      <c r="C3901" s="5" t="s">
        <v>7302</v>
      </c>
      <c r="D3901" s="6">
        <v>5895.69</v>
      </c>
      <c r="E3901" s="6">
        <v>5815.34</v>
      </c>
      <c r="F3901" s="7" t="s">
        <v>14</v>
      </c>
      <c r="G3901" s="8" t="s">
        <v>7303</v>
      </c>
      <c r="H3901" s="8" t="s">
        <v>16</v>
      </c>
      <c r="I3901" s="9">
        <v>2947</v>
      </c>
      <c r="J3901" s="10">
        <v>66</v>
      </c>
      <c r="K3901" s="10">
        <v>66003</v>
      </c>
      <c r="L3901" s="3" t="str">
        <f t="shared" si="127"/>
        <v>ΠΥΡΗΝΟΚΑΡΠΑ</v>
      </c>
    </row>
    <row r="3902" spans="1:12" s="3" customFormat="1" ht="15" customHeight="1" x14ac:dyDescent="0.25">
      <c r="A3902" s="3" t="str">
        <f t="shared" si="126"/>
        <v>ΠΥΡΗΝΟΚΑΡΠΑΒΕΡΙΚΚΟΚΑ ΠΡΩΪΜΑ ΤΙΡΥΝΘΑΣ</v>
      </c>
      <c r="B3902" s="4" t="s">
        <v>7280</v>
      </c>
      <c r="C3902" s="5" t="s">
        <v>7304</v>
      </c>
      <c r="D3902" s="6">
        <v>5895.69</v>
      </c>
      <c r="E3902" s="6">
        <v>5815.34</v>
      </c>
      <c r="F3902" s="7" t="s">
        <v>14</v>
      </c>
      <c r="G3902" s="8" t="s">
        <v>7305</v>
      </c>
      <c r="H3902" s="8" t="s">
        <v>16</v>
      </c>
      <c r="I3902" s="9">
        <v>2946</v>
      </c>
      <c r="J3902" s="10">
        <v>66</v>
      </c>
      <c r="K3902" s="10">
        <v>66004</v>
      </c>
      <c r="L3902" s="3" t="str">
        <f t="shared" si="127"/>
        <v>ΠΥΡΗΝΟΚΑΡΠΑ</v>
      </c>
    </row>
    <row r="3903" spans="1:12" s="3" customFormat="1" ht="15" customHeight="1" x14ac:dyDescent="0.25">
      <c r="A3903" s="3" t="str">
        <f t="shared" si="126"/>
        <v>ΠΥΡΗΝΟΚΑΡΠΑΒΕΡΙΚΚΟΚΑ ΓΛΥΚΟΚΥΡ. (ΚΑΪΣΙΑ)</v>
      </c>
      <c r="B3903" s="4" t="s">
        <v>7280</v>
      </c>
      <c r="C3903" s="5" t="s">
        <v>7306</v>
      </c>
      <c r="D3903" s="6">
        <v>5895.69</v>
      </c>
      <c r="E3903" s="6">
        <v>5815.34</v>
      </c>
      <c r="F3903" s="7" t="s">
        <v>14</v>
      </c>
      <c r="G3903" s="8" t="s">
        <v>7307</v>
      </c>
      <c r="H3903" s="8" t="s">
        <v>16</v>
      </c>
      <c r="I3903" s="9">
        <v>2945</v>
      </c>
      <c r="J3903" s="10">
        <v>66</v>
      </c>
      <c r="K3903" s="10">
        <v>66005</v>
      </c>
      <c r="L3903" s="3" t="str">
        <f t="shared" si="127"/>
        <v>ΠΥΡΗΝΟΚΑΡΠΑ</v>
      </c>
    </row>
    <row r="3904" spans="1:12" s="3" customFormat="1" ht="15" customHeight="1" x14ac:dyDescent="0.25">
      <c r="A3904" s="3" t="str">
        <f t="shared" si="126"/>
        <v>ΠΥΡΗΝΟΚΑΡΠΑΒΕΡΙΚΚΟΚΑ ΠΛΑΚΑ</v>
      </c>
      <c r="B3904" s="4" t="s">
        <v>7280</v>
      </c>
      <c r="C3904" s="5" t="s">
        <v>7308</v>
      </c>
      <c r="D3904" s="6">
        <v>5895.69</v>
      </c>
      <c r="E3904" s="6">
        <v>5815.34</v>
      </c>
      <c r="F3904" s="7" t="s">
        <v>14</v>
      </c>
      <c r="G3904" s="8" t="s">
        <v>7309</v>
      </c>
      <c r="H3904" s="8" t="s">
        <v>16</v>
      </c>
      <c r="I3904" s="9">
        <v>2944</v>
      </c>
      <c r="J3904" s="10">
        <v>66</v>
      </c>
      <c r="K3904" s="10">
        <v>66006</v>
      </c>
      <c r="L3904" s="3" t="str">
        <f t="shared" si="127"/>
        <v>ΠΥΡΗΝΟΚΑΡΠΑ</v>
      </c>
    </row>
    <row r="3905" spans="1:12" s="3" customFormat="1" ht="15" customHeight="1" x14ac:dyDescent="0.25">
      <c r="A3905" s="3" t="str">
        <f t="shared" si="126"/>
        <v>ΠΥΡΗΝΟΚΑΡΠΑΒΕΡΙΚΚΟΚΑ ΜΠΕΜΠΕΚΟΥ</v>
      </c>
      <c r="B3905" s="4" t="s">
        <v>7280</v>
      </c>
      <c r="C3905" s="5" t="s">
        <v>7310</v>
      </c>
      <c r="D3905" s="6">
        <v>5895.69</v>
      </c>
      <c r="E3905" s="6">
        <v>5815.34</v>
      </c>
      <c r="F3905" s="7" t="s">
        <v>14</v>
      </c>
      <c r="G3905" s="8" t="s">
        <v>7311</v>
      </c>
      <c r="H3905" s="8" t="s">
        <v>16</v>
      </c>
      <c r="I3905" s="9">
        <v>2984</v>
      </c>
      <c r="J3905" s="10">
        <v>66</v>
      </c>
      <c r="K3905" s="10">
        <v>66007</v>
      </c>
      <c r="L3905" s="3" t="str">
        <f t="shared" si="127"/>
        <v>ΠΥΡΗΝΟΚΑΡΠΑ</v>
      </c>
    </row>
    <row r="3906" spans="1:12" s="3" customFormat="1" ht="15" customHeight="1" x14ac:dyDescent="0.25">
      <c r="A3906" s="3" t="str">
        <f t="shared" si="126"/>
        <v>ΠΥΡΗΝΟΚΑΡΠΑΒΕΡΙΚΚΟΚΑ ΔΙΑΜΑΝΤΟΠΟΥΛΟΥ</v>
      </c>
      <c r="B3906" s="4" t="s">
        <v>7280</v>
      </c>
      <c r="C3906" s="5" t="s">
        <v>7312</v>
      </c>
      <c r="D3906" s="6">
        <v>5895.69</v>
      </c>
      <c r="E3906" s="6">
        <v>5815.34</v>
      </c>
      <c r="F3906" s="7" t="s">
        <v>14</v>
      </c>
      <c r="G3906" s="8" t="s">
        <v>7313</v>
      </c>
      <c r="H3906" s="8" t="s">
        <v>16</v>
      </c>
      <c r="I3906" s="9">
        <v>2955</v>
      </c>
      <c r="J3906" s="10">
        <v>66</v>
      </c>
      <c r="K3906" s="10">
        <v>66008</v>
      </c>
      <c r="L3906" s="3" t="str">
        <f t="shared" si="127"/>
        <v>ΠΥΡΗΝΟΚΑΡΠΑ</v>
      </c>
    </row>
    <row r="3907" spans="1:12" s="3" customFormat="1" ht="15" customHeight="1" x14ac:dyDescent="0.25">
      <c r="A3907" s="3" t="str">
        <f t="shared" ref="A3907:A3970" si="128">_xlfn.CONCAT(B3907,C3907)</f>
        <v>ΠΥΡΗΝΟΚΑΡΠΑΒΕΡΙΚΚΟΚΑ ΧΑΣΙΩΤΙΚΑ</v>
      </c>
      <c r="B3907" s="4" t="s">
        <v>7280</v>
      </c>
      <c r="C3907" s="5" t="s">
        <v>7314</v>
      </c>
      <c r="D3907" s="6">
        <v>5895.69</v>
      </c>
      <c r="E3907" s="6">
        <v>5815.34</v>
      </c>
      <c r="F3907" s="7" t="s">
        <v>14</v>
      </c>
      <c r="G3907" s="8" t="s">
        <v>7315</v>
      </c>
      <c r="H3907" s="8" t="s">
        <v>16</v>
      </c>
      <c r="I3907" s="9">
        <v>2957</v>
      </c>
      <c r="J3907" s="10">
        <v>66</v>
      </c>
      <c r="K3907" s="10">
        <v>66009</v>
      </c>
      <c r="L3907" s="3" t="str">
        <f t="shared" ref="L3907:L3970" si="129">IFERROR(SUBSTITUTE(SUBSTITUTE(SUBSTITUTE(SUBSTITUTE(SUBSTITUTE(B3907, "-", "_"), " ", "_"), ",", ""), "(", ""), ")", ""), B3907)</f>
        <v>ΠΥΡΗΝΟΚΑΡΠΑ</v>
      </c>
    </row>
    <row r="3908" spans="1:12" s="3" customFormat="1" ht="15" customHeight="1" x14ac:dyDescent="0.25">
      <c r="A3908" s="3" t="str">
        <f t="shared" si="128"/>
        <v>ΠΥΡΗΝΟΚΑΡΠΑΒΕΡΙΚΚΟΚΑ LUΙΖEΤ</v>
      </c>
      <c r="B3908" s="4" t="s">
        <v>7280</v>
      </c>
      <c r="C3908" s="5" t="s">
        <v>7316</v>
      </c>
      <c r="D3908" s="6">
        <v>5895.69</v>
      </c>
      <c r="E3908" s="6">
        <v>5815.34</v>
      </c>
      <c r="F3908" s="7" t="s">
        <v>14</v>
      </c>
      <c r="G3908" s="8" t="s">
        <v>7317</v>
      </c>
      <c r="H3908" s="8" t="s">
        <v>16</v>
      </c>
      <c r="I3908" s="9">
        <v>2998</v>
      </c>
      <c r="J3908" s="10">
        <v>66</v>
      </c>
      <c r="K3908" s="10">
        <v>66010</v>
      </c>
      <c r="L3908" s="3" t="str">
        <f t="shared" si="129"/>
        <v>ΠΥΡΗΝΟΚΑΡΠΑ</v>
      </c>
    </row>
    <row r="3909" spans="1:12" s="3" customFormat="1" ht="15" customHeight="1" x14ac:dyDescent="0.25">
      <c r="A3909" s="3" t="str">
        <f t="shared" si="128"/>
        <v>ΠΥΡΗΝΟΚΑΡΠΑΒΕΡΙΚΚΟΚΑ PΑVΙOΤ</v>
      </c>
      <c r="B3909" s="4" t="s">
        <v>7280</v>
      </c>
      <c r="C3909" s="5" t="s">
        <v>7318</v>
      </c>
      <c r="D3909" s="6">
        <v>5895.69</v>
      </c>
      <c r="E3909" s="6">
        <v>5815.34</v>
      </c>
      <c r="F3909" s="7" t="s">
        <v>14</v>
      </c>
      <c r="G3909" s="8" t="s">
        <v>7319</v>
      </c>
      <c r="H3909" s="8" t="s">
        <v>16</v>
      </c>
      <c r="I3909" s="9">
        <v>2997</v>
      </c>
      <c r="J3909" s="10">
        <v>66</v>
      </c>
      <c r="K3909" s="10">
        <v>66011</v>
      </c>
      <c r="L3909" s="3" t="str">
        <f t="shared" si="129"/>
        <v>ΠΥΡΗΝΟΚΑΡΠΑ</v>
      </c>
    </row>
    <row r="3910" spans="1:12" s="3" customFormat="1" ht="15" customHeight="1" x14ac:dyDescent="0.25">
      <c r="A3910" s="3" t="str">
        <f t="shared" si="128"/>
        <v>ΠΥΡΗΝΟΚΑΡΠΑΒΕΡΙΚΚΟΚΑ ROΥΑL</v>
      </c>
      <c r="B3910" s="4" t="s">
        <v>7280</v>
      </c>
      <c r="C3910" s="5" t="s">
        <v>7320</v>
      </c>
      <c r="D3910" s="6">
        <v>5895.69</v>
      </c>
      <c r="E3910" s="6">
        <v>5815.34</v>
      </c>
      <c r="F3910" s="7" t="s">
        <v>14</v>
      </c>
      <c r="G3910" s="8" t="s">
        <v>7321</v>
      </c>
      <c r="H3910" s="8" t="s">
        <v>16</v>
      </c>
      <c r="I3910" s="9">
        <v>2996</v>
      </c>
      <c r="J3910" s="10">
        <v>66</v>
      </c>
      <c r="K3910" s="10">
        <v>66012</v>
      </c>
      <c r="L3910" s="3" t="str">
        <f t="shared" si="129"/>
        <v>ΠΥΡΗΝΟΚΑΡΠΑ</v>
      </c>
    </row>
    <row r="3911" spans="1:12" s="3" customFormat="1" ht="15" customHeight="1" x14ac:dyDescent="0.25">
      <c r="A3911" s="3" t="str">
        <f t="shared" si="128"/>
        <v>ΠΥΡΗΝΟΚΑΡΠΑΒΕΡΙΚΚΟΚΑ ΜΑΛΑΤΙΑ ΑΠΟΞΗΡΑΝΣ.</v>
      </c>
      <c r="B3911" s="4" t="s">
        <v>7280</v>
      </c>
      <c r="C3911" s="5" t="s">
        <v>7322</v>
      </c>
      <c r="D3911" s="6">
        <v>5895.69</v>
      </c>
      <c r="E3911" s="6">
        <v>5815.34</v>
      </c>
      <c r="F3911" s="7" t="s">
        <v>14</v>
      </c>
      <c r="G3911" s="8" t="s">
        <v>7323</v>
      </c>
      <c r="H3911" s="8" t="s">
        <v>16</v>
      </c>
      <c r="I3911" s="9">
        <v>2995</v>
      </c>
      <c r="J3911" s="10">
        <v>66</v>
      </c>
      <c r="K3911" s="10">
        <v>66013</v>
      </c>
      <c r="L3911" s="3" t="str">
        <f t="shared" si="129"/>
        <v>ΠΥΡΗΝΟΚΑΡΠΑ</v>
      </c>
    </row>
    <row r="3912" spans="1:12" s="3" customFormat="1" ht="15" customHeight="1" x14ac:dyDescent="0.25">
      <c r="A3912" s="3" t="str">
        <f t="shared" si="128"/>
        <v>ΠΥΡΗΝΟΚΑΡΠΑΒΕΡΙΚΚΟΚΑ ΛΟΙΠ. ΠΟΙΚΙΛ.</v>
      </c>
      <c r="B3912" s="4" t="s">
        <v>7280</v>
      </c>
      <c r="C3912" s="5" t="s">
        <v>7324</v>
      </c>
      <c r="D3912" s="6">
        <v>5895.69</v>
      </c>
      <c r="E3912" s="6">
        <v>5815.34</v>
      </c>
      <c r="F3912" s="7" t="s">
        <v>14</v>
      </c>
      <c r="G3912" s="8" t="s">
        <v>7325</v>
      </c>
      <c r="H3912" s="8" t="s">
        <v>16</v>
      </c>
      <c r="I3912" s="9">
        <v>2994</v>
      </c>
      <c r="J3912" s="10">
        <v>66</v>
      </c>
      <c r="K3912" s="10">
        <v>66014</v>
      </c>
      <c r="L3912" s="3" t="str">
        <f t="shared" si="129"/>
        <v>ΠΥΡΗΝΟΚΑΡΠΑ</v>
      </c>
    </row>
    <row r="3913" spans="1:12" s="3" customFormat="1" ht="15" customHeight="1" x14ac:dyDescent="0.25">
      <c r="A3913" s="3" t="str">
        <f t="shared" si="128"/>
        <v>ΠΥΡΗΝΟΚΑΡΠΑΒΕΡΙΚΚΟΚΑ ΧΑΡΚΟ</v>
      </c>
      <c r="B3913" s="4" t="s">
        <v>7280</v>
      </c>
      <c r="C3913" s="5" t="s">
        <v>7326</v>
      </c>
      <c r="D3913" s="6">
        <v>5895.69</v>
      </c>
      <c r="E3913" s="6">
        <v>5815.34</v>
      </c>
      <c r="F3913" s="7" t="s">
        <v>14</v>
      </c>
      <c r="G3913" s="8" t="s">
        <v>7327</v>
      </c>
      <c r="H3913" s="8" t="s">
        <v>16</v>
      </c>
      <c r="I3913" s="9">
        <v>2993</v>
      </c>
      <c r="J3913" s="10">
        <v>66</v>
      </c>
      <c r="K3913" s="10">
        <v>66015</v>
      </c>
      <c r="L3913" s="3" t="str">
        <f t="shared" si="129"/>
        <v>ΠΥΡΗΝΟΚΑΡΠΑ</v>
      </c>
    </row>
    <row r="3914" spans="1:12" s="3" customFormat="1" ht="15" customHeight="1" x14ac:dyDescent="0.25">
      <c r="A3914" s="3" t="str">
        <f t="shared" si="128"/>
        <v>ΠΥΡΗΝΟΚΑΡΠΑΒΕΡΙΚΚΟΚΑ ΠΕΛΛΑΣ</v>
      </c>
      <c r="B3914" s="4" t="s">
        <v>7280</v>
      </c>
      <c r="C3914" s="5" t="s">
        <v>7328</v>
      </c>
      <c r="D3914" s="6">
        <v>5895.69</v>
      </c>
      <c r="E3914" s="6">
        <v>5815.34</v>
      </c>
      <c r="F3914" s="7" t="s">
        <v>14</v>
      </c>
      <c r="G3914" s="8" t="s">
        <v>7329</v>
      </c>
      <c r="H3914" s="8" t="s">
        <v>16</v>
      </c>
      <c r="I3914" s="9">
        <v>2992</v>
      </c>
      <c r="J3914" s="10">
        <v>66</v>
      </c>
      <c r="K3914" s="10">
        <v>66016</v>
      </c>
      <c r="L3914" s="3" t="str">
        <f t="shared" si="129"/>
        <v>ΠΥΡΗΝΟΚΑΡΠΑ</v>
      </c>
    </row>
    <row r="3915" spans="1:12" s="3" customFormat="1" ht="15" customHeight="1" x14ac:dyDescent="0.25">
      <c r="A3915" s="3" t="str">
        <f t="shared" si="128"/>
        <v>ΠΥΡΗΝΟΚΑΡΠΑΒΕΡΙΚΚΟΚΑ ΑΟΥΡΟΡΑ</v>
      </c>
      <c r="B3915" s="4" t="s">
        <v>7280</v>
      </c>
      <c r="C3915" s="5" t="s">
        <v>7330</v>
      </c>
      <c r="D3915" s="6">
        <v>5895.69</v>
      </c>
      <c r="E3915" s="6">
        <v>5815.34</v>
      </c>
      <c r="F3915" s="7" t="s">
        <v>14</v>
      </c>
      <c r="G3915" s="8" t="s">
        <v>7331</v>
      </c>
      <c r="H3915" s="8" t="s">
        <v>16</v>
      </c>
      <c r="I3915" s="9">
        <v>2991</v>
      </c>
      <c r="J3915" s="10">
        <v>66</v>
      </c>
      <c r="K3915" s="10">
        <v>66017</v>
      </c>
      <c r="L3915" s="3" t="str">
        <f t="shared" si="129"/>
        <v>ΠΥΡΗΝΟΚΑΡΠΑ</v>
      </c>
    </row>
    <row r="3916" spans="1:12" s="3" customFormat="1" ht="15" customHeight="1" x14ac:dyDescent="0.25">
      <c r="A3916" s="3" t="str">
        <f t="shared" si="128"/>
        <v>ΠΥΡΗΝΟΚΑΡΠΑΒΕΡΙΚΚΟΚΑ ΝΤΟΛΤΣΙΝΕΑ</v>
      </c>
      <c r="B3916" s="4" t="s">
        <v>7280</v>
      </c>
      <c r="C3916" s="5" t="s">
        <v>7332</v>
      </c>
      <c r="D3916" s="6">
        <v>5895.69</v>
      </c>
      <c r="E3916" s="6">
        <v>5815.34</v>
      </c>
      <c r="F3916" s="7" t="s">
        <v>14</v>
      </c>
      <c r="G3916" s="8" t="s">
        <v>7333</v>
      </c>
      <c r="H3916" s="8" t="s">
        <v>16</v>
      </c>
      <c r="I3916" s="9">
        <v>2990</v>
      </c>
      <c r="J3916" s="10">
        <v>66</v>
      </c>
      <c r="K3916" s="10">
        <v>66018</v>
      </c>
      <c r="L3916" s="3" t="str">
        <f t="shared" si="129"/>
        <v>ΠΥΡΗΝΟΚΑΡΠΑ</v>
      </c>
    </row>
    <row r="3917" spans="1:12" s="3" customFormat="1" ht="15" customHeight="1" x14ac:dyDescent="0.25">
      <c r="A3917" s="3" t="str">
        <f t="shared" si="128"/>
        <v>ΠΥΡΗΝΟΚΑΡΠΑΒΕΡΙΚΚΟΚΑ ΠΟΡΤΙΤΣΙ</v>
      </c>
      <c r="B3917" s="4" t="s">
        <v>7280</v>
      </c>
      <c r="C3917" s="5" t="s">
        <v>7334</v>
      </c>
      <c r="D3917" s="6">
        <v>5895.69</v>
      </c>
      <c r="E3917" s="6">
        <v>5815.34</v>
      </c>
      <c r="F3917" s="7" t="s">
        <v>14</v>
      </c>
      <c r="G3917" s="8" t="s">
        <v>7335</v>
      </c>
      <c r="H3917" s="8" t="s">
        <v>16</v>
      </c>
      <c r="I3917" s="9">
        <v>2989</v>
      </c>
      <c r="J3917" s="10">
        <v>66</v>
      </c>
      <c r="K3917" s="10">
        <v>66019</v>
      </c>
      <c r="L3917" s="3" t="str">
        <f t="shared" si="129"/>
        <v>ΠΥΡΗΝΟΚΑΡΠΑ</v>
      </c>
    </row>
    <row r="3918" spans="1:12" s="3" customFormat="1" ht="15" customHeight="1" x14ac:dyDescent="0.25">
      <c r="A3918" s="3" t="str">
        <f t="shared" si="128"/>
        <v>ΠΥΡΗΝΟΚΑΡΠΑΒΕΡΙΚΚΟΚΑ ΝΙΝΦΑ</v>
      </c>
      <c r="B3918" s="4" t="s">
        <v>7280</v>
      </c>
      <c r="C3918" s="5" t="s">
        <v>7336</v>
      </c>
      <c r="D3918" s="6">
        <v>5895.69</v>
      </c>
      <c r="E3918" s="6">
        <v>5815.34</v>
      </c>
      <c r="F3918" s="7" t="s">
        <v>14</v>
      </c>
      <c r="G3918" s="8" t="s">
        <v>7337</v>
      </c>
      <c r="H3918" s="8" t="s">
        <v>16</v>
      </c>
      <c r="I3918" s="9">
        <v>2988</v>
      </c>
      <c r="J3918" s="10">
        <v>66</v>
      </c>
      <c r="K3918" s="10">
        <v>66020</v>
      </c>
      <c r="L3918" s="3" t="str">
        <f t="shared" si="129"/>
        <v>ΠΥΡΗΝΟΚΑΡΠΑ</v>
      </c>
    </row>
    <row r="3919" spans="1:12" s="3" customFormat="1" ht="15" customHeight="1" x14ac:dyDescent="0.25">
      <c r="A3919" s="3" t="str">
        <f t="shared" si="128"/>
        <v>ΠΥΡΗΝΟΚΑΡΠΑΒΕΡΙΚΚΟΚΑ ΟΡΑΝΤΖ ΡΕΝΤ</v>
      </c>
      <c r="B3919" s="4" t="s">
        <v>7280</v>
      </c>
      <c r="C3919" s="5" t="s">
        <v>7338</v>
      </c>
      <c r="D3919" s="6">
        <v>5895.69</v>
      </c>
      <c r="E3919" s="6">
        <v>5815.34</v>
      </c>
      <c r="F3919" s="7" t="s">
        <v>14</v>
      </c>
      <c r="G3919" s="8" t="s">
        <v>7339</v>
      </c>
      <c r="H3919" s="8" t="s">
        <v>16</v>
      </c>
      <c r="I3919" s="9">
        <v>2987</v>
      </c>
      <c r="J3919" s="10">
        <v>66</v>
      </c>
      <c r="K3919" s="10">
        <v>66021</v>
      </c>
      <c r="L3919" s="3" t="str">
        <f t="shared" si="129"/>
        <v>ΠΥΡΗΝΟΚΑΡΠΑ</v>
      </c>
    </row>
    <row r="3920" spans="1:12" s="3" customFormat="1" ht="15" customHeight="1" x14ac:dyDescent="0.25">
      <c r="A3920" s="3" t="str">
        <f t="shared" si="128"/>
        <v>ΠΥΡΗΝΟΚΑΡΠΑΒΕΡΙΚΚΟΚΑ ΣΑΝ ΤΖΑΪΑΝΤ</v>
      </c>
      <c r="B3920" s="4" t="s">
        <v>7280</v>
      </c>
      <c r="C3920" s="5" t="s">
        <v>7340</v>
      </c>
      <c r="D3920" s="6">
        <v>5895.69</v>
      </c>
      <c r="E3920" s="6">
        <v>5815.34</v>
      </c>
      <c r="F3920" s="7" t="s">
        <v>14</v>
      </c>
      <c r="G3920" s="8" t="s">
        <v>7341</v>
      </c>
      <c r="H3920" s="8" t="s">
        <v>16</v>
      </c>
      <c r="I3920" s="9">
        <v>2971</v>
      </c>
      <c r="J3920" s="10">
        <v>66</v>
      </c>
      <c r="K3920" s="10">
        <v>66022</v>
      </c>
      <c r="L3920" s="3" t="str">
        <f t="shared" si="129"/>
        <v>ΠΥΡΗΝΟΚΑΡΠΑ</v>
      </c>
    </row>
    <row r="3921" spans="1:12" s="3" customFormat="1" ht="15" customHeight="1" x14ac:dyDescent="0.25">
      <c r="A3921" s="3" t="str">
        <f t="shared" si="128"/>
        <v>ΠΥΡΗΝΟΚΑΡΠΑΒΕΡΙΚΚΟΚΑ ΠΙΝΚ ΚΟΤ</v>
      </c>
      <c r="B3921" s="4" t="s">
        <v>7280</v>
      </c>
      <c r="C3921" s="5" t="s">
        <v>7342</v>
      </c>
      <c r="D3921" s="6">
        <v>5895.69</v>
      </c>
      <c r="E3921" s="6">
        <v>5815.34</v>
      </c>
      <c r="F3921" s="7" t="s">
        <v>14</v>
      </c>
      <c r="G3921" s="8" t="s">
        <v>7343</v>
      </c>
      <c r="H3921" s="8" t="s">
        <v>16</v>
      </c>
      <c r="I3921" s="9">
        <v>2943</v>
      </c>
      <c r="J3921" s="10">
        <v>66</v>
      </c>
      <c r="K3921" s="10">
        <v>66023</v>
      </c>
      <c r="L3921" s="3" t="str">
        <f t="shared" si="129"/>
        <v>ΠΥΡΗΝΟΚΑΡΠΑ</v>
      </c>
    </row>
    <row r="3922" spans="1:12" s="3" customFormat="1" ht="15" customHeight="1" x14ac:dyDescent="0.25">
      <c r="A3922" s="3" t="str">
        <f t="shared" si="128"/>
        <v>ΠΥΡΗΝΟΚΑΡΠΑΒΕΡΙΚΟΚΑ ΒΙΤΙΛΛΟ</v>
      </c>
      <c r="B3922" s="4" t="s">
        <v>7280</v>
      </c>
      <c r="C3922" s="5" t="s">
        <v>7344</v>
      </c>
      <c r="D3922" s="6">
        <v>5895.69</v>
      </c>
      <c r="E3922" s="6">
        <v>5815.34</v>
      </c>
      <c r="F3922" s="7" t="s">
        <v>14</v>
      </c>
      <c r="G3922" s="8" t="s">
        <v>7345</v>
      </c>
      <c r="H3922" s="8" t="s">
        <v>16</v>
      </c>
      <c r="I3922" s="9">
        <v>2911</v>
      </c>
      <c r="J3922" s="10">
        <v>66</v>
      </c>
      <c r="K3922" s="10">
        <v>66024</v>
      </c>
      <c r="L3922" s="3" t="str">
        <f t="shared" si="129"/>
        <v>ΠΥΡΗΝΟΚΑΡΠΑ</v>
      </c>
    </row>
    <row r="3923" spans="1:12" s="3" customFormat="1" ht="15" customHeight="1" x14ac:dyDescent="0.25">
      <c r="A3923" s="3" t="str">
        <f t="shared" si="128"/>
        <v>ΠΥΡΗΝΟΚΑΡΠΑΒΕΡΙΚΚΟΚΑ ΜΠΕΡΖΕΡΟΝ</v>
      </c>
      <c r="B3923" s="4" t="s">
        <v>7280</v>
      </c>
      <c r="C3923" s="5" t="s">
        <v>7346</v>
      </c>
      <c r="D3923" s="6">
        <v>5895.69</v>
      </c>
      <c r="E3923" s="6">
        <v>5815.34</v>
      </c>
      <c r="F3923" s="7" t="s">
        <v>14</v>
      </c>
      <c r="G3923" s="8" t="s">
        <v>7347</v>
      </c>
      <c r="H3923" s="8" t="s">
        <v>16</v>
      </c>
      <c r="I3923" s="9">
        <v>2932</v>
      </c>
      <c r="J3923" s="10">
        <v>66</v>
      </c>
      <c r="K3923" s="10">
        <v>66025</v>
      </c>
      <c r="L3923" s="3" t="str">
        <f t="shared" si="129"/>
        <v>ΠΥΡΗΝΟΚΑΡΠΑ</v>
      </c>
    </row>
    <row r="3924" spans="1:12" s="3" customFormat="1" ht="15" customHeight="1" x14ac:dyDescent="0.25">
      <c r="A3924" s="3" t="str">
        <f t="shared" si="128"/>
        <v>ΠΥΡΗΝΟΚΑΡΠΑΒΕΡΙΚΟΚΑ ΣΑΜΠΑΤΙΝΑ</v>
      </c>
      <c r="B3924" s="4" t="s">
        <v>7280</v>
      </c>
      <c r="C3924" s="5" t="s">
        <v>7348</v>
      </c>
      <c r="D3924" s="6">
        <v>5895.69</v>
      </c>
      <c r="E3924" s="6">
        <v>5815.34</v>
      </c>
      <c r="F3924" s="7" t="s">
        <v>14</v>
      </c>
      <c r="G3924" s="8" t="s">
        <v>7349</v>
      </c>
      <c r="H3924" s="8" t="s">
        <v>16</v>
      </c>
      <c r="I3924" s="9">
        <v>2930</v>
      </c>
      <c r="J3924" s="10">
        <v>66</v>
      </c>
      <c r="K3924" s="10">
        <v>66026</v>
      </c>
      <c r="L3924" s="3" t="str">
        <f t="shared" si="129"/>
        <v>ΠΥΡΗΝΟΚΑΡΠΑ</v>
      </c>
    </row>
    <row r="3925" spans="1:12" s="3" customFormat="1" ht="15" customHeight="1" x14ac:dyDescent="0.25">
      <c r="A3925" s="3" t="str">
        <f t="shared" si="128"/>
        <v>ΠΥΡΗΝΟΚΑΡΠΑΒΕΡΙΚΟΚΑ ΚΑΡΜΕΝ</v>
      </c>
      <c r="B3925" s="4" t="s">
        <v>7280</v>
      </c>
      <c r="C3925" s="5" t="s">
        <v>7350</v>
      </c>
      <c r="D3925" s="6">
        <v>5895.69</v>
      </c>
      <c r="E3925" s="6">
        <v>5815.34</v>
      </c>
      <c r="F3925" s="7" t="s">
        <v>14</v>
      </c>
      <c r="G3925" s="8" t="s">
        <v>7351</v>
      </c>
      <c r="H3925" s="8" t="s">
        <v>16</v>
      </c>
      <c r="I3925" s="9">
        <v>2929</v>
      </c>
      <c r="J3925" s="10">
        <v>66</v>
      </c>
      <c r="K3925" s="10">
        <v>66027</v>
      </c>
      <c r="L3925" s="3" t="str">
        <f t="shared" si="129"/>
        <v>ΠΥΡΗΝΟΚΑΡΠΑ</v>
      </c>
    </row>
    <row r="3926" spans="1:12" s="3" customFormat="1" ht="15" customHeight="1" x14ac:dyDescent="0.25">
      <c r="A3926" s="3" t="str">
        <f t="shared" si="128"/>
        <v>ΠΥΡΗΝΟΚΑΡΠΑΒΕΡΙΚΟΚΑ ΝΗΡΗΙΣ</v>
      </c>
      <c r="B3926" s="4" t="s">
        <v>7280</v>
      </c>
      <c r="C3926" s="5" t="s">
        <v>7352</v>
      </c>
      <c r="D3926" s="6">
        <v>5895.69</v>
      </c>
      <c r="E3926" s="6">
        <v>5815.34</v>
      </c>
      <c r="F3926" s="7" t="s">
        <v>14</v>
      </c>
      <c r="G3926" s="8" t="s">
        <v>7353</v>
      </c>
      <c r="H3926" s="8" t="s">
        <v>16</v>
      </c>
      <c r="I3926" s="9">
        <v>2916</v>
      </c>
      <c r="J3926" s="10">
        <v>66</v>
      </c>
      <c r="K3926" s="10">
        <v>66028</v>
      </c>
      <c r="L3926" s="3" t="str">
        <f t="shared" si="129"/>
        <v>ΠΥΡΗΝΟΚΑΡΠΑ</v>
      </c>
    </row>
    <row r="3927" spans="1:12" s="3" customFormat="1" ht="15" customHeight="1" x14ac:dyDescent="0.25">
      <c r="A3927" s="3" t="str">
        <f t="shared" si="128"/>
        <v>ΠΥΡΗΝΟΚΑΡΠΑΒΕΡΙΚΟΚΑ ΝΙΟΒΗ</v>
      </c>
      <c r="B3927" s="4" t="s">
        <v>7280</v>
      </c>
      <c r="C3927" s="5" t="s">
        <v>7354</v>
      </c>
      <c r="D3927" s="6">
        <v>5895.69</v>
      </c>
      <c r="E3927" s="6">
        <v>5815.34</v>
      </c>
      <c r="F3927" s="7" t="s">
        <v>14</v>
      </c>
      <c r="G3927" s="8" t="s">
        <v>7355</v>
      </c>
      <c r="H3927" s="8" t="s">
        <v>16</v>
      </c>
      <c r="I3927" s="9">
        <v>3086</v>
      </c>
      <c r="J3927" s="10">
        <v>66</v>
      </c>
      <c r="K3927" s="10">
        <v>66029</v>
      </c>
      <c r="L3927" s="3" t="str">
        <f t="shared" si="129"/>
        <v>ΠΥΡΗΝΟΚΑΡΠΑ</v>
      </c>
    </row>
    <row r="3928" spans="1:12" s="3" customFormat="1" ht="15" customHeight="1" x14ac:dyDescent="0.25">
      <c r="A3928" s="3" t="str">
        <f t="shared" si="128"/>
        <v>ΠΥΡΗΝΟΚΑΡΠΑΒΕΡΙΚΟΚΑ ΝΟΣΤΟΣ</v>
      </c>
      <c r="B3928" s="4" t="s">
        <v>7280</v>
      </c>
      <c r="C3928" s="5" t="s">
        <v>7356</v>
      </c>
      <c r="D3928" s="6">
        <v>5895.69</v>
      </c>
      <c r="E3928" s="6">
        <v>5815.34</v>
      </c>
      <c r="F3928" s="7" t="s">
        <v>14</v>
      </c>
      <c r="G3928" s="8" t="s">
        <v>7357</v>
      </c>
      <c r="H3928" s="8" t="s">
        <v>16</v>
      </c>
      <c r="I3928" s="9">
        <v>3070</v>
      </c>
      <c r="J3928" s="10">
        <v>66</v>
      </c>
      <c r="K3928" s="10">
        <v>66030</v>
      </c>
      <c r="L3928" s="3" t="str">
        <f t="shared" si="129"/>
        <v>ΠΥΡΗΝΟΚΑΡΠΑ</v>
      </c>
    </row>
    <row r="3929" spans="1:12" s="3" customFormat="1" ht="15" customHeight="1" x14ac:dyDescent="0.25">
      <c r="A3929" s="3" t="str">
        <f t="shared" si="128"/>
        <v>ΠΥΡΗΝΟΚΑΡΠΑΒΕΡΙΚΟΚΑ ΚΟΛΙΟΠΟΥΛΟΥ</v>
      </c>
      <c r="B3929" s="4" t="s">
        <v>7280</v>
      </c>
      <c r="C3929" s="5" t="s">
        <v>7358</v>
      </c>
      <c r="D3929" s="6">
        <v>5895.69</v>
      </c>
      <c r="E3929" s="6">
        <v>5815.34</v>
      </c>
      <c r="F3929" s="7" t="s">
        <v>14</v>
      </c>
      <c r="G3929" s="8" t="s">
        <v>7359</v>
      </c>
      <c r="H3929" s="8" t="s">
        <v>16</v>
      </c>
      <c r="I3929" s="9">
        <v>3110</v>
      </c>
      <c r="J3929" s="10">
        <v>66</v>
      </c>
      <c r="K3929" s="10">
        <v>66031</v>
      </c>
      <c r="L3929" s="3" t="str">
        <f t="shared" si="129"/>
        <v>ΠΥΡΗΝΟΚΑΡΠΑ</v>
      </c>
    </row>
    <row r="3930" spans="1:12" s="3" customFormat="1" ht="15" customHeight="1" x14ac:dyDescent="0.25">
      <c r="A3930" s="3" t="str">
        <f t="shared" si="128"/>
        <v>ΠΥΡΗΝΟΚΑΡΠΑΔΑΜΑΣΚΗΝΑ ΝΩΠΑ</v>
      </c>
      <c r="B3930" s="4" t="s">
        <v>7280</v>
      </c>
      <c r="C3930" s="5" t="s">
        <v>7360</v>
      </c>
      <c r="D3930" s="6">
        <v>5895.69</v>
      </c>
      <c r="E3930" s="6">
        <v>5815.34</v>
      </c>
      <c r="F3930" s="7" t="s">
        <v>14</v>
      </c>
      <c r="G3930" s="8" t="s">
        <v>7361</v>
      </c>
      <c r="H3930" s="8" t="s">
        <v>16</v>
      </c>
      <c r="I3930" s="9">
        <v>3109</v>
      </c>
      <c r="J3930" s="10">
        <v>66</v>
      </c>
      <c r="K3930" s="10">
        <v>66032</v>
      </c>
      <c r="L3930" s="3" t="str">
        <f t="shared" si="129"/>
        <v>ΠΥΡΗΝΟΚΑΡΠΑ</v>
      </c>
    </row>
    <row r="3931" spans="1:12" s="3" customFormat="1" ht="15" customHeight="1" x14ac:dyDescent="0.25">
      <c r="A3931" s="3" t="str">
        <f t="shared" si="128"/>
        <v>ΠΥΡΗΝΟΚΑΡΠΑΚΟΡΟΜΗΛΑ</v>
      </c>
      <c r="B3931" s="4" t="s">
        <v>7280</v>
      </c>
      <c r="C3931" s="5" t="s">
        <v>7362</v>
      </c>
      <c r="D3931" s="6">
        <v>5895.69</v>
      </c>
      <c r="E3931" s="6">
        <v>5815.34</v>
      </c>
      <c r="F3931" s="7" t="s">
        <v>14</v>
      </c>
      <c r="G3931" s="8" t="s">
        <v>7363</v>
      </c>
      <c r="H3931" s="8" t="s">
        <v>16</v>
      </c>
      <c r="I3931" s="9">
        <v>3108</v>
      </c>
      <c r="J3931" s="10">
        <v>66</v>
      </c>
      <c r="K3931" s="10">
        <v>66033</v>
      </c>
      <c r="L3931" s="3" t="str">
        <f t="shared" si="129"/>
        <v>ΠΥΡΗΝΟΚΑΡΠΑ</v>
      </c>
    </row>
    <row r="3932" spans="1:12" s="3" customFormat="1" ht="15" customHeight="1" x14ac:dyDescent="0.25">
      <c r="A3932" s="3" t="str">
        <f t="shared" si="128"/>
        <v>ΠΥΡΗΝΟΚΑΡΠΑΔΑΜΑΣΚΗΝΑ ΣΑΝΤΑ ΡΟΖΑ</v>
      </c>
      <c r="B3932" s="4" t="s">
        <v>7280</v>
      </c>
      <c r="C3932" s="5" t="s">
        <v>7364</v>
      </c>
      <c r="D3932" s="6">
        <v>5895.69</v>
      </c>
      <c r="E3932" s="6">
        <v>5815.34</v>
      </c>
      <c r="F3932" s="7" t="s">
        <v>14</v>
      </c>
      <c r="G3932" s="8" t="s">
        <v>7365</v>
      </c>
      <c r="H3932" s="8" t="s">
        <v>16</v>
      </c>
      <c r="I3932" s="9">
        <v>3107</v>
      </c>
      <c r="J3932" s="10">
        <v>66</v>
      </c>
      <c r="K3932" s="10">
        <v>66034</v>
      </c>
      <c r="L3932" s="3" t="str">
        <f t="shared" si="129"/>
        <v>ΠΥΡΗΝΟΚΑΡΠΑ</v>
      </c>
    </row>
    <row r="3933" spans="1:12" s="3" customFormat="1" ht="15" customHeight="1" x14ac:dyDescent="0.25">
      <c r="A3933" s="3" t="str">
        <f t="shared" si="128"/>
        <v>ΠΥΡΗΝΟΚΑΡΠΑΔΑΜΑΣΚΗΝΑ ΜΠΛΑΚ ΜΠΙΟΥΤΥ</v>
      </c>
      <c r="B3933" s="4" t="s">
        <v>7280</v>
      </c>
      <c r="C3933" s="5" t="s">
        <v>7366</v>
      </c>
      <c r="D3933" s="6">
        <v>5895.69</v>
      </c>
      <c r="E3933" s="6">
        <v>5815.34</v>
      </c>
      <c r="F3933" s="7" t="s">
        <v>14</v>
      </c>
      <c r="G3933" s="8" t="s">
        <v>7367</v>
      </c>
      <c r="H3933" s="8" t="s">
        <v>16</v>
      </c>
      <c r="I3933" s="9">
        <v>3106</v>
      </c>
      <c r="J3933" s="10">
        <v>66</v>
      </c>
      <c r="K3933" s="10">
        <v>66035</v>
      </c>
      <c r="L3933" s="3" t="str">
        <f t="shared" si="129"/>
        <v>ΠΥΡΗΝΟΚΑΡΠΑ</v>
      </c>
    </row>
    <row r="3934" spans="1:12" s="3" customFormat="1" ht="15" customHeight="1" x14ac:dyDescent="0.25">
      <c r="A3934" s="3" t="str">
        <f t="shared" si="128"/>
        <v>ΠΥΡΗΝΟΚΑΡΠΑΔΑΜΑΣΚΗΝΑ ΜΠΛΑΚ ΣΤΑΡ</v>
      </c>
      <c r="B3934" s="4" t="s">
        <v>7280</v>
      </c>
      <c r="C3934" s="5" t="s">
        <v>7368</v>
      </c>
      <c r="D3934" s="6">
        <v>5895.69</v>
      </c>
      <c r="E3934" s="6">
        <v>5815.34</v>
      </c>
      <c r="F3934" s="7" t="s">
        <v>14</v>
      </c>
      <c r="G3934" s="8" t="s">
        <v>7369</v>
      </c>
      <c r="H3934" s="8" t="s">
        <v>16</v>
      </c>
      <c r="I3934" s="9">
        <v>3098</v>
      </c>
      <c r="J3934" s="10">
        <v>66</v>
      </c>
      <c r="K3934" s="10">
        <v>66036</v>
      </c>
      <c r="L3934" s="3" t="str">
        <f t="shared" si="129"/>
        <v>ΠΥΡΗΝΟΚΑΡΠΑ</v>
      </c>
    </row>
    <row r="3935" spans="1:12" s="3" customFormat="1" ht="15" customHeight="1" x14ac:dyDescent="0.25">
      <c r="A3935" s="3" t="str">
        <f t="shared" si="128"/>
        <v>ΠΥΡΗΝΟΚΑΡΠΑΔΑΜΑΣΚΗΝΑ ΚΑΛΙΤΑ</v>
      </c>
      <c r="B3935" s="4" t="s">
        <v>7280</v>
      </c>
      <c r="C3935" s="5" t="s">
        <v>7370</v>
      </c>
      <c r="D3935" s="6">
        <v>5895.69</v>
      </c>
      <c r="E3935" s="6">
        <v>5815.34</v>
      </c>
      <c r="F3935" s="7" t="s">
        <v>14</v>
      </c>
      <c r="G3935" s="8" t="s">
        <v>7371</v>
      </c>
      <c r="H3935" s="8" t="s">
        <v>16</v>
      </c>
      <c r="I3935" s="9">
        <v>3045</v>
      </c>
      <c r="J3935" s="10">
        <v>66</v>
      </c>
      <c r="K3935" s="10">
        <v>66037</v>
      </c>
      <c r="L3935" s="3" t="str">
        <f t="shared" si="129"/>
        <v>ΠΥΡΗΝΟΚΑΡΠΑ</v>
      </c>
    </row>
    <row r="3936" spans="1:12" s="3" customFormat="1" ht="15" customHeight="1" x14ac:dyDescent="0.25">
      <c r="A3936" s="3" t="str">
        <f t="shared" si="128"/>
        <v>ΠΥΡΗΝΟΚΑΡΠΑΔΑΜΑΣΚΗΝΑ ΜΠΛΑΚ ΓΚΟΛΝΤ</v>
      </c>
      <c r="B3936" s="4" t="s">
        <v>7280</v>
      </c>
      <c r="C3936" s="5" t="s">
        <v>7372</v>
      </c>
      <c r="D3936" s="6">
        <v>5895.69</v>
      </c>
      <c r="E3936" s="6">
        <v>5815.34</v>
      </c>
      <c r="F3936" s="7" t="s">
        <v>14</v>
      </c>
      <c r="G3936" s="8" t="s">
        <v>7373</v>
      </c>
      <c r="H3936" s="8" t="s">
        <v>16</v>
      </c>
      <c r="I3936" s="9">
        <v>3043</v>
      </c>
      <c r="J3936" s="10">
        <v>66</v>
      </c>
      <c r="K3936" s="10">
        <v>66038</v>
      </c>
      <c r="L3936" s="3" t="str">
        <f t="shared" si="129"/>
        <v>ΠΥΡΗΝΟΚΑΡΠΑ</v>
      </c>
    </row>
    <row r="3937" spans="1:12" s="3" customFormat="1" ht="15" customHeight="1" x14ac:dyDescent="0.25">
      <c r="A3937" s="3" t="str">
        <f t="shared" si="128"/>
        <v>ΠΥΡΗΝΟΚΑΡΠΑΔΑΜΑΣΚΗΝΑ ΜΠΛΑΚ ΝΤΑΪΜΟΝΤ</v>
      </c>
      <c r="B3937" s="4" t="s">
        <v>7280</v>
      </c>
      <c r="C3937" s="5" t="s">
        <v>7374</v>
      </c>
      <c r="D3937" s="6">
        <v>5895.69</v>
      </c>
      <c r="E3937" s="6">
        <v>5815.34</v>
      </c>
      <c r="F3937" s="7" t="s">
        <v>14</v>
      </c>
      <c r="G3937" s="8" t="s">
        <v>7375</v>
      </c>
      <c r="H3937" s="8" t="s">
        <v>16</v>
      </c>
      <c r="I3937" s="9">
        <v>3057</v>
      </c>
      <c r="J3937" s="10">
        <v>66</v>
      </c>
      <c r="K3937" s="10">
        <v>66039</v>
      </c>
      <c r="L3937" s="3" t="str">
        <f t="shared" si="129"/>
        <v>ΠΥΡΗΝΟΚΑΡΠΑ</v>
      </c>
    </row>
    <row r="3938" spans="1:12" s="3" customFormat="1" ht="15" customHeight="1" x14ac:dyDescent="0.25">
      <c r="A3938" s="3" t="str">
        <f t="shared" si="128"/>
        <v>ΠΥΡΗΝΟΚΑΡΠΑΔΑΜΑΣΚΗΝΑ ΛΑΡΟΝΤΑ</v>
      </c>
      <c r="B3938" s="4" t="s">
        <v>7280</v>
      </c>
      <c r="C3938" s="5" t="s">
        <v>7376</v>
      </c>
      <c r="D3938" s="6">
        <v>5895.69</v>
      </c>
      <c r="E3938" s="6">
        <v>5815.34</v>
      </c>
      <c r="F3938" s="7" t="s">
        <v>14</v>
      </c>
      <c r="G3938" s="8" t="s">
        <v>7377</v>
      </c>
      <c r="H3938" s="8" t="s">
        <v>16</v>
      </c>
      <c r="I3938" s="9">
        <v>3040</v>
      </c>
      <c r="J3938" s="10">
        <v>66</v>
      </c>
      <c r="K3938" s="10">
        <v>66040</v>
      </c>
      <c r="L3938" s="3" t="str">
        <f t="shared" si="129"/>
        <v>ΠΥΡΗΝΟΚΑΡΠΑ</v>
      </c>
    </row>
    <row r="3939" spans="1:12" s="3" customFormat="1" ht="15" customHeight="1" x14ac:dyDescent="0.25">
      <c r="A3939" s="3" t="str">
        <f t="shared" si="128"/>
        <v>ΠΥΡΗΝΟΚΑΡΠΑΔΑΜΑΣΚΗΝΑ ΑΖΕΝ</v>
      </c>
      <c r="B3939" s="4" t="s">
        <v>7280</v>
      </c>
      <c r="C3939" s="5" t="s">
        <v>7378</v>
      </c>
      <c r="D3939" s="6">
        <v>5895.69</v>
      </c>
      <c r="E3939" s="6">
        <v>5815.34</v>
      </c>
      <c r="F3939" s="7" t="s">
        <v>14</v>
      </c>
      <c r="G3939" s="8" t="s">
        <v>7379</v>
      </c>
      <c r="H3939" s="8" t="s">
        <v>16</v>
      </c>
      <c r="I3939" s="9">
        <v>3039</v>
      </c>
      <c r="J3939" s="10">
        <v>66</v>
      </c>
      <c r="K3939" s="10">
        <v>66041</v>
      </c>
      <c r="L3939" s="3" t="str">
        <f t="shared" si="129"/>
        <v>ΠΥΡΗΝΟΚΑΡΠΑ</v>
      </c>
    </row>
    <row r="3940" spans="1:12" s="3" customFormat="1" ht="15" customHeight="1" x14ac:dyDescent="0.25">
      <c r="A3940" s="3" t="str">
        <f t="shared" si="128"/>
        <v>ΠΥΡΗΝΟΚΑΡΠΑΔΑΜΑΣΚΗΝΑ ΦΡΙΑΡ</v>
      </c>
      <c r="B3940" s="4" t="s">
        <v>7280</v>
      </c>
      <c r="C3940" s="5" t="s">
        <v>7380</v>
      </c>
      <c r="D3940" s="6">
        <v>5895.69</v>
      </c>
      <c r="E3940" s="6">
        <v>5815.34</v>
      </c>
      <c r="F3940" s="7" t="s">
        <v>14</v>
      </c>
      <c r="G3940" s="8" t="s">
        <v>7381</v>
      </c>
      <c r="H3940" s="8" t="s">
        <v>16</v>
      </c>
      <c r="I3940" s="9">
        <v>3038</v>
      </c>
      <c r="J3940" s="10">
        <v>66</v>
      </c>
      <c r="K3940" s="10">
        <v>66042</v>
      </c>
      <c r="L3940" s="3" t="str">
        <f t="shared" si="129"/>
        <v>ΠΥΡΗΝΟΚΑΡΠΑ</v>
      </c>
    </row>
    <row r="3941" spans="1:12" s="3" customFormat="1" ht="15" customHeight="1" x14ac:dyDescent="0.25">
      <c r="A3941" s="3" t="str">
        <f t="shared" si="128"/>
        <v>ΠΥΡΗΝΟΚΑΡΠΑΔΑΜΑΣΚΗΝΑ ΣΤΑΝΛΕΫ</v>
      </c>
      <c r="B3941" s="4" t="s">
        <v>7280</v>
      </c>
      <c r="C3941" s="5" t="s">
        <v>7382</v>
      </c>
      <c r="D3941" s="6">
        <v>5895.69</v>
      </c>
      <c r="E3941" s="6">
        <v>5815.34</v>
      </c>
      <c r="F3941" s="7" t="s">
        <v>14</v>
      </c>
      <c r="G3941" s="8" t="s">
        <v>7383</v>
      </c>
      <c r="H3941" s="8" t="s">
        <v>16</v>
      </c>
      <c r="I3941" s="9">
        <v>3037</v>
      </c>
      <c r="J3941" s="10">
        <v>66</v>
      </c>
      <c r="K3941" s="10">
        <v>66043</v>
      </c>
      <c r="L3941" s="3" t="str">
        <f t="shared" si="129"/>
        <v>ΠΥΡΗΝΟΚΑΡΠΑ</v>
      </c>
    </row>
    <row r="3942" spans="1:12" s="3" customFormat="1" ht="15" customHeight="1" x14ac:dyDescent="0.25">
      <c r="A3942" s="3" t="str">
        <f t="shared" si="128"/>
        <v>ΠΥΡΗΝΟΚΑΡΠΑΔΑΜΑΣΚΗΝΑ ΠΡΕΖΙΝΤΕΝΤ</v>
      </c>
      <c r="B3942" s="4" t="s">
        <v>7280</v>
      </c>
      <c r="C3942" s="5" t="s">
        <v>7384</v>
      </c>
      <c r="D3942" s="6">
        <v>5895.69</v>
      </c>
      <c r="E3942" s="6">
        <v>5815.34</v>
      </c>
      <c r="F3942" s="7" t="s">
        <v>14</v>
      </c>
      <c r="G3942" s="8" t="s">
        <v>7385</v>
      </c>
      <c r="H3942" s="8" t="s">
        <v>16</v>
      </c>
      <c r="I3942" s="9">
        <v>3032</v>
      </c>
      <c r="J3942" s="10">
        <v>66</v>
      </c>
      <c r="K3942" s="10">
        <v>66044</v>
      </c>
      <c r="L3942" s="3" t="str">
        <f t="shared" si="129"/>
        <v>ΠΥΡΗΝΟΚΑΡΠΑ</v>
      </c>
    </row>
    <row r="3943" spans="1:12" s="3" customFormat="1" ht="15" customHeight="1" x14ac:dyDescent="0.25">
      <c r="A3943" s="3" t="str">
        <f t="shared" si="128"/>
        <v>ΠΥΡΗΝΟΚΑΡΠΑΔΑΜΑΣΚΗΝΑ ΑΝΤΖΕΛΙΝΟ</v>
      </c>
      <c r="B3943" s="4" t="s">
        <v>7280</v>
      </c>
      <c r="C3943" s="5" t="s">
        <v>7386</v>
      </c>
      <c r="D3943" s="6">
        <v>5895.69</v>
      </c>
      <c r="E3943" s="6">
        <v>5815.34</v>
      </c>
      <c r="F3943" s="7" t="s">
        <v>14</v>
      </c>
      <c r="G3943" s="8" t="s">
        <v>7387</v>
      </c>
      <c r="H3943" s="8" t="s">
        <v>16</v>
      </c>
      <c r="I3943" s="9">
        <v>3033</v>
      </c>
      <c r="J3943" s="10">
        <v>66</v>
      </c>
      <c r="K3943" s="10">
        <v>66045</v>
      </c>
      <c r="L3943" s="3" t="str">
        <f t="shared" si="129"/>
        <v>ΠΥΡΗΝΟΚΑΡΠΑ</v>
      </c>
    </row>
    <row r="3944" spans="1:12" s="3" customFormat="1" ht="15" customHeight="1" x14ac:dyDescent="0.25">
      <c r="A3944" s="3" t="str">
        <f t="shared" si="128"/>
        <v>ΠΥΡΗΝΟΚΑΡΠΑΔΑΜΑΣΚΗΝΑ ΜΠΛΑΚ ΓΟΥΛΦ</v>
      </c>
      <c r="B3944" s="4" t="s">
        <v>7280</v>
      </c>
      <c r="C3944" s="5" t="s">
        <v>7388</v>
      </c>
      <c r="D3944" s="6">
        <v>5895.69</v>
      </c>
      <c r="E3944" s="6">
        <v>5815.34</v>
      </c>
      <c r="F3944" s="7" t="s">
        <v>14</v>
      </c>
      <c r="G3944" s="8" t="s">
        <v>7389</v>
      </c>
      <c r="H3944" s="8" t="s">
        <v>16</v>
      </c>
      <c r="I3944" s="9">
        <v>3034</v>
      </c>
      <c r="J3944" s="10">
        <v>66</v>
      </c>
      <c r="K3944" s="10">
        <v>66046</v>
      </c>
      <c r="L3944" s="3" t="str">
        <f t="shared" si="129"/>
        <v>ΠΥΡΗΝΟΚΑΡΠΑ</v>
      </c>
    </row>
    <row r="3945" spans="1:12" s="3" customFormat="1" ht="15" customHeight="1" x14ac:dyDescent="0.25">
      <c r="A3945" s="3" t="str">
        <f t="shared" si="128"/>
        <v>ΠΥΡΗΝΟΚΑΡΠΑΔΑΜΑΣΚ.ΡΕΝΤΚΛ.,ΒΑΙΟΛ</v>
      </c>
      <c r="B3945" s="4" t="s">
        <v>7280</v>
      </c>
      <c r="C3945" s="5" t="s">
        <v>7390</v>
      </c>
      <c r="D3945" s="6">
        <v>5895.69</v>
      </c>
      <c r="E3945" s="6">
        <v>5815.34</v>
      </c>
      <c r="F3945" s="7" t="s">
        <v>14</v>
      </c>
      <c r="G3945" s="8" t="s">
        <v>7391</v>
      </c>
      <c r="H3945" s="8" t="s">
        <v>16</v>
      </c>
      <c r="I3945" s="9">
        <v>3035</v>
      </c>
      <c r="J3945" s="10">
        <v>66</v>
      </c>
      <c r="K3945" s="10">
        <v>66047</v>
      </c>
      <c r="L3945" s="3" t="str">
        <f t="shared" si="129"/>
        <v>ΠΥΡΗΝΟΚΑΡΠΑ</v>
      </c>
    </row>
    <row r="3946" spans="1:12" s="3" customFormat="1" ht="15" customHeight="1" x14ac:dyDescent="0.25">
      <c r="A3946" s="3" t="str">
        <f t="shared" si="128"/>
        <v>ΠΥΡΗΝΟΚΑΡΠΑΔΑΜΑΣΚ. ΜΙΝΤΝΑΪΤΣΑΝ</v>
      </c>
      <c r="B3946" s="4" t="s">
        <v>7280</v>
      </c>
      <c r="C3946" s="5" t="s">
        <v>7392</v>
      </c>
      <c r="D3946" s="6">
        <v>5895.69</v>
      </c>
      <c r="E3946" s="6">
        <v>5815.34</v>
      </c>
      <c r="F3946" s="7" t="s">
        <v>14</v>
      </c>
      <c r="G3946" s="8" t="s">
        <v>7393</v>
      </c>
      <c r="H3946" s="8" t="s">
        <v>16</v>
      </c>
      <c r="I3946" s="9">
        <v>3036</v>
      </c>
      <c r="J3946" s="10">
        <v>66</v>
      </c>
      <c r="K3946" s="10">
        <v>66048</v>
      </c>
      <c r="L3946" s="3" t="str">
        <f t="shared" si="129"/>
        <v>ΠΥΡΗΝΟΚΑΡΠΑ</v>
      </c>
    </row>
    <row r="3947" spans="1:12" s="3" customFormat="1" ht="15" customHeight="1" x14ac:dyDescent="0.25">
      <c r="A3947" s="3" t="str">
        <f t="shared" si="128"/>
        <v>ΠΥΡΗΝΟΚΑΡΠΑΔΑΜΑΣΚ. ΜΠΕΛΛΑ ΝΤΙ ΜΠΑΡΜΠΙΝΑ</v>
      </c>
      <c r="B3947" s="4" t="s">
        <v>7280</v>
      </c>
      <c r="C3947" s="5" t="s">
        <v>7394</v>
      </c>
      <c r="D3947" s="6">
        <v>5895.69</v>
      </c>
      <c r="E3947" s="6">
        <v>5815.34</v>
      </c>
      <c r="F3947" s="7" t="s">
        <v>14</v>
      </c>
      <c r="G3947" s="8" t="s">
        <v>7395</v>
      </c>
      <c r="H3947" s="8" t="s">
        <v>16</v>
      </c>
      <c r="I3947" s="9">
        <v>3041</v>
      </c>
      <c r="J3947" s="10">
        <v>66</v>
      </c>
      <c r="K3947" s="10">
        <v>66049</v>
      </c>
      <c r="L3947" s="3" t="str">
        <f t="shared" si="129"/>
        <v>ΠΥΡΗΝΟΚΑΡΠΑ</v>
      </c>
    </row>
    <row r="3948" spans="1:12" s="3" customFormat="1" ht="15" customHeight="1" x14ac:dyDescent="0.25">
      <c r="A3948" s="3" t="str">
        <f t="shared" si="128"/>
        <v>ΠΥΡΗΝΟΚΑΡΠΑΔΑΜΑΣΚ. ΡΟΖΑ ΝΤΕ ΦΕΛΙΣΙΟΥΣ</v>
      </c>
      <c r="B3948" s="4" t="s">
        <v>7280</v>
      </c>
      <c r="C3948" s="5" t="s">
        <v>7396</v>
      </c>
      <c r="D3948" s="6">
        <v>5895.69</v>
      </c>
      <c r="E3948" s="6">
        <v>5815.34</v>
      </c>
      <c r="F3948" s="7" t="s">
        <v>14</v>
      </c>
      <c r="G3948" s="8" t="s">
        <v>7397</v>
      </c>
      <c r="H3948" s="8" t="s">
        <v>16</v>
      </c>
      <c r="I3948" s="9">
        <v>3029</v>
      </c>
      <c r="J3948" s="10">
        <v>66</v>
      </c>
      <c r="K3948" s="10">
        <v>66050</v>
      </c>
      <c r="L3948" s="3" t="str">
        <f t="shared" si="129"/>
        <v>ΠΥΡΗΝΟΚΑΡΠΑ</v>
      </c>
    </row>
    <row r="3949" spans="1:12" s="3" customFormat="1" ht="15" customHeight="1" x14ac:dyDescent="0.25">
      <c r="A3949" s="3" t="str">
        <f t="shared" si="128"/>
        <v>ΠΥΡΗΝΟΚΑΡΠΑΔΑΜΑΣΚ. ΦΟΡΤΣΟΥΝ</v>
      </c>
      <c r="B3949" s="4" t="s">
        <v>7280</v>
      </c>
      <c r="C3949" s="5" t="s">
        <v>7398</v>
      </c>
      <c r="D3949" s="6">
        <v>5895.69</v>
      </c>
      <c r="E3949" s="6">
        <v>5815.34</v>
      </c>
      <c r="F3949" s="7" t="s">
        <v>14</v>
      </c>
      <c r="G3949" s="8" t="s">
        <v>7399</v>
      </c>
      <c r="H3949" s="8" t="s">
        <v>16</v>
      </c>
      <c r="I3949" s="9">
        <v>3046</v>
      </c>
      <c r="J3949" s="10">
        <v>66</v>
      </c>
      <c r="K3949" s="10">
        <v>66051</v>
      </c>
      <c r="L3949" s="3" t="str">
        <f t="shared" si="129"/>
        <v>ΠΥΡΗΝΟΚΑΡΠΑ</v>
      </c>
    </row>
    <row r="3950" spans="1:12" s="3" customFormat="1" ht="15" customHeight="1" x14ac:dyDescent="0.25">
      <c r="A3950" s="3" t="str">
        <f t="shared" si="128"/>
        <v>ΠΥΡΗΝΟΚΑΡΠΑΔΑΜΑΣΚ. T.C. sun</v>
      </c>
      <c r="B3950" s="4" t="s">
        <v>7280</v>
      </c>
      <c r="C3950" s="5" t="s">
        <v>7400</v>
      </c>
      <c r="D3950" s="6">
        <v>5895.69</v>
      </c>
      <c r="E3950" s="6">
        <v>5815.34</v>
      </c>
      <c r="F3950" s="7" t="s">
        <v>14</v>
      </c>
      <c r="G3950" s="8" t="s">
        <v>7401</v>
      </c>
      <c r="H3950" s="8" t="s">
        <v>16</v>
      </c>
      <c r="I3950" s="9">
        <v>3047</v>
      </c>
      <c r="J3950" s="10">
        <v>66</v>
      </c>
      <c r="K3950" s="10">
        <v>66052</v>
      </c>
      <c r="L3950" s="3" t="str">
        <f t="shared" si="129"/>
        <v>ΠΥΡΗΝΟΚΑΡΠΑ</v>
      </c>
    </row>
    <row r="3951" spans="1:12" s="3" customFormat="1" ht="15" customHeight="1" x14ac:dyDescent="0.25">
      <c r="A3951" s="3" t="str">
        <f t="shared" si="128"/>
        <v>ΠΥΡΗΝΟΚΑΡΠΑΔΑΜΑΣΚΗΝΑ ΡΕΝΤ ΜΠΙΟΥΤΥ</v>
      </c>
      <c r="B3951" s="4" t="s">
        <v>7280</v>
      </c>
      <c r="C3951" s="5" t="s">
        <v>7402</v>
      </c>
      <c r="D3951" s="6">
        <v>5895.69</v>
      </c>
      <c r="E3951" s="6">
        <v>5815.34</v>
      </c>
      <c r="F3951" s="7" t="s">
        <v>14</v>
      </c>
      <c r="G3951" s="8" t="s">
        <v>7403</v>
      </c>
      <c r="H3951" s="8" t="s">
        <v>16</v>
      </c>
      <c r="I3951" s="9">
        <v>3048</v>
      </c>
      <c r="J3951" s="10">
        <v>66</v>
      </c>
      <c r="K3951" s="10">
        <v>66053</v>
      </c>
      <c r="L3951" s="3" t="str">
        <f t="shared" si="129"/>
        <v>ΠΥΡΗΝΟΚΑΡΠΑ</v>
      </c>
    </row>
    <row r="3952" spans="1:12" s="3" customFormat="1" ht="15" customHeight="1" x14ac:dyDescent="0.25">
      <c r="A3952" s="3" t="str">
        <f t="shared" si="128"/>
        <v>ΠΥΡΗΝΟΚΑΡΠΑΔΑΜΑΣΚΗΝΑ ΜΠΛΑΚ ΑΜΠΕΡ</v>
      </c>
      <c r="B3952" s="4" t="s">
        <v>7280</v>
      </c>
      <c r="C3952" s="5" t="s">
        <v>7404</v>
      </c>
      <c r="D3952" s="6">
        <v>5895.69</v>
      </c>
      <c r="E3952" s="6">
        <v>5815.34</v>
      </c>
      <c r="F3952" s="7" t="s">
        <v>14</v>
      </c>
      <c r="G3952" s="8" t="s">
        <v>7405</v>
      </c>
      <c r="H3952" s="8" t="s">
        <v>16</v>
      </c>
      <c r="I3952" s="9">
        <v>3049</v>
      </c>
      <c r="J3952" s="10">
        <v>66</v>
      </c>
      <c r="K3952" s="10">
        <v>66054</v>
      </c>
      <c r="L3952" s="3" t="str">
        <f t="shared" si="129"/>
        <v>ΠΥΡΗΝΟΚΑΡΠΑ</v>
      </c>
    </row>
    <row r="3953" spans="1:12" s="3" customFormat="1" ht="15" customHeight="1" x14ac:dyDescent="0.25">
      <c r="A3953" s="3" t="str">
        <f t="shared" si="128"/>
        <v>ΠΥΡΗΝΟΚΑΡΠΑΔΑΜΑΣΚΗΝΑ ΟΤΟΜ ΤΖΑΪΑΝΤ</v>
      </c>
      <c r="B3953" s="4" t="s">
        <v>7280</v>
      </c>
      <c r="C3953" s="5" t="s">
        <v>7406</v>
      </c>
      <c r="D3953" s="6">
        <v>5895.69</v>
      </c>
      <c r="E3953" s="6">
        <v>5815.34</v>
      </c>
      <c r="F3953" s="7" t="s">
        <v>14</v>
      </c>
      <c r="G3953" s="8" t="s">
        <v>7407</v>
      </c>
      <c r="H3953" s="8" t="s">
        <v>16</v>
      </c>
      <c r="I3953" s="9">
        <v>3050</v>
      </c>
      <c r="J3953" s="10">
        <v>66</v>
      </c>
      <c r="K3953" s="10">
        <v>66055</v>
      </c>
      <c r="L3953" s="3" t="str">
        <f t="shared" si="129"/>
        <v>ΠΥΡΗΝΟΚΑΡΠΑ</v>
      </c>
    </row>
    <row r="3954" spans="1:12" s="3" customFormat="1" ht="15" customHeight="1" x14ac:dyDescent="0.25">
      <c r="A3954" s="3" t="str">
        <f t="shared" si="128"/>
        <v>ΠΥΡΗΝΟΚΑΡΠΑΔΑΜΑΣΚΗΝΑ OCTOBER SUN</v>
      </c>
      <c r="B3954" s="4" t="s">
        <v>7280</v>
      </c>
      <c r="C3954" s="5" t="s">
        <v>7408</v>
      </c>
      <c r="D3954" s="6">
        <v>5895.69</v>
      </c>
      <c r="E3954" s="6">
        <v>5815.34</v>
      </c>
      <c r="F3954" s="7" t="s">
        <v>14</v>
      </c>
      <c r="G3954" s="8" t="s">
        <v>7409</v>
      </c>
      <c r="H3954" s="8" t="s">
        <v>16</v>
      </c>
      <c r="I3954" s="9">
        <v>3051</v>
      </c>
      <c r="J3954" s="10">
        <v>66</v>
      </c>
      <c r="K3954" s="10">
        <v>66056</v>
      </c>
      <c r="L3954" s="3" t="str">
        <f t="shared" si="129"/>
        <v>ΠΥΡΗΝΟΚΑΡΠΑ</v>
      </c>
    </row>
    <row r="3955" spans="1:12" s="3" customFormat="1" ht="15" customHeight="1" x14ac:dyDescent="0.25">
      <c r="A3955" s="3" t="str">
        <f t="shared" si="128"/>
        <v>ΠΥΡΗΝΟΚΑΡΠΑΔΑΜΑΣΚΗΝΑ ΣΑΝΤΑ ΡΟΖΑ ΟΨΙΜΑ</v>
      </c>
      <c r="B3955" s="4" t="s">
        <v>7280</v>
      </c>
      <c r="C3955" s="5" t="s">
        <v>7410</v>
      </c>
      <c r="D3955" s="6">
        <v>5895.69</v>
      </c>
      <c r="E3955" s="6">
        <v>5815.34</v>
      </c>
      <c r="F3955" s="7" t="s">
        <v>14</v>
      </c>
      <c r="G3955" s="8" t="s">
        <v>7411</v>
      </c>
      <c r="H3955" s="8" t="s">
        <v>16</v>
      </c>
      <c r="I3955" s="9">
        <v>3052</v>
      </c>
      <c r="J3955" s="10">
        <v>66</v>
      </c>
      <c r="K3955" s="10">
        <v>66057</v>
      </c>
      <c r="L3955" s="3" t="str">
        <f t="shared" si="129"/>
        <v>ΠΥΡΗΝΟΚΑΡΠΑ</v>
      </c>
    </row>
    <row r="3956" spans="1:12" s="3" customFormat="1" ht="15" customHeight="1" x14ac:dyDescent="0.25">
      <c r="A3956" s="3" t="str">
        <f t="shared" si="128"/>
        <v>ΠΥΡΗΝΟΚΑΡΠΑΚΕΡΑΣΙΑ ΠΡΩΙΜΑ</v>
      </c>
      <c r="B3956" s="4" t="s">
        <v>7280</v>
      </c>
      <c r="C3956" s="5" t="s">
        <v>7412</v>
      </c>
      <c r="D3956" s="6">
        <v>5895.69</v>
      </c>
      <c r="E3956" s="6">
        <v>5815.34</v>
      </c>
      <c r="F3956" s="7" t="s">
        <v>14</v>
      </c>
      <c r="G3956" s="8" t="s">
        <v>7413</v>
      </c>
      <c r="H3956" s="8" t="s">
        <v>16</v>
      </c>
      <c r="I3956" s="9">
        <v>3053</v>
      </c>
      <c r="J3956" s="10">
        <v>66</v>
      </c>
      <c r="K3956" s="10">
        <v>66058</v>
      </c>
      <c r="L3956" s="3" t="str">
        <f t="shared" si="129"/>
        <v>ΠΥΡΗΝΟΚΑΡΠΑ</v>
      </c>
    </row>
    <row r="3957" spans="1:12" s="3" customFormat="1" ht="15" customHeight="1" x14ac:dyDescent="0.25">
      <c r="A3957" s="3" t="str">
        <f t="shared" si="128"/>
        <v>ΠΥΡΗΝΟΚΑΡΠΑΚΕΡΑΣΙΑ ΠΙΚΑΡΩ ΜΠΟΥΡΛΑ</v>
      </c>
      <c r="B3957" s="4" t="s">
        <v>7280</v>
      </c>
      <c r="C3957" s="5" t="s">
        <v>7414</v>
      </c>
      <c r="D3957" s="6">
        <v>5895.69</v>
      </c>
      <c r="E3957" s="6">
        <v>5815.34</v>
      </c>
      <c r="F3957" s="7" t="s">
        <v>14</v>
      </c>
      <c r="G3957" s="8" t="s">
        <v>7415</v>
      </c>
      <c r="H3957" s="8" t="s">
        <v>16</v>
      </c>
      <c r="I3957" s="9">
        <v>3054</v>
      </c>
      <c r="J3957" s="10">
        <v>66</v>
      </c>
      <c r="K3957" s="10">
        <v>66059</v>
      </c>
      <c r="L3957" s="3" t="str">
        <f t="shared" si="129"/>
        <v>ΠΥΡΗΝΟΚΑΡΠΑ</v>
      </c>
    </row>
    <row r="3958" spans="1:12" s="3" customFormat="1" ht="15" customHeight="1" x14ac:dyDescent="0.25">
      <c r="A3958" s="3" t="str">
        <f t="shared" si="128"/>
        <v>ΠΥΡΗΝΟΚΑΡΠΑΚΕΡΑΣΙΑ ΠΙΚΑΡΩ ΜΠΟΥΡΛΑ ΥΠΕΡΠΡΩΙΜΑ</v>
      </c>
      <c r="B3958" s="4" t="s">
        <v>7280</v>
      </c>
      <c r="C3958" s="5" t="s">
        <v>7416</v>
      </c>
      <c r="D3958" s="6">
        <v>5895.69</v>
      </c>
      <c r="E3958" s="6">
        <v>5815.34</v>
      </c>
      <c r="F3958" s="7" t="s">
        <v>14</v>
      </c>
      <c r="G3958" s="8" t="s">
        <v>7417</v>
      </c>
      <c r="H3958" s="8" t="s">
        <v>16</v>
      </c>
      <c r="I3958" s="9">
        <v>3055</v>
      </c>
      <c r="J3958" s="10">
        <v>66</v>
      </c>
      <c r="K3958" s="10">
        <v>66060</v>
      </c>
      <c r="L3958" s="3" t="str">
        <f t="shared" si="129"/>
        <v>ΠΥΡΗΝΟΚΑΡΠΑ</v>
      </c>
    </row>
    <row r="3959" spans="1:12" s="3" customFormat="1" ht="15" customHeight="1" x14ac:dyDescent="0.25">
      <c r="A3959" s="3" t="str">
        <f t="shared" si="128"/>
        <v>ΠΥΡΗΝΟΚΑΡΠΑΚΕΡΑΣΙΑ ΜΑΥΡΟ ΕΔΕΣΣΗΣ</v>
      </c>
      <c r="B3959" s="4" t="s">
        <v>7280</v>
      </c>
      <c r="C3959" s="5" t="s">
        <v>7418</v>
      </c>
      <c r="D3959" s="6">
        <v>5895.69</v>
      </c>
      <c r="E3959" s="6">
        <v>5815.34</v>
      </c>
      <c r="F3959" s="7" t="s">
        <v>14</v>
      </c>
      <c r="G3959" s="8" t="s">
        <v>7419</v>
      </c>
      <c r="H3959" s="8" t="s">
        <v>16</v>
      </c>
      <c r="I3959" s="9">
        <v>3056</v>
      </c>
      <c r="J3959" s="10">
        <v>66</v>
      </c>
      <c r="K3959" s="10">
        <v>66061</v>
      </c>
      <c r="L3959" s="3" t="str">
        <f t="shared" si="129"/>
        <v>ΠΥΡΗΝΟΚΑΡΠΑ</v>
      </c>
    </row>
    <row r="3960" spans="1:12" s="3" customFormat="1" ht="15" customHeight="1" x14ac:dyDescent="0.25">
      <c r="A3960" s="3" t="str">
        <f t="shared" si="128"/>
        <v>ΠΥΡΗΝΟΚΑΡΠΑΚΕΡΑΣΙΑ ΤΡΑΓΑΝΑ ΒΟΛΟΥ</v>
      </c>
      <c r="B3960" s="4" t="s">
        <v>7280</v>
      </c>
      <c r="C3960" s="5" t="s">
        <v>7420</v>
      </c>
      <c r="D3960" s="6">
        <v>5895.69</v>
      </c>
      <c r="E3960" s="6">
        <v>5815.34</v>
      </c>
      <c r="F3960" s="7" t="s">
        <v>14</v>
      </c>
      <c r="G3960" s="8" t="s">
        <v>7421</v>
      </c>
      <c r="H3960" s="8" t="s">
        <v>16</v>
      </c>
      <c r="I3960" s="9">
        <v>3015</v>
      </c>
      <c r="J3960" s="10">
        <v>66</v>
      </c>
      <c r="K3960" s="10">
        <v>66062</v>
      </c>
      <c r="L3960" s="3" t="str">
        <f t="shared" si="129"/>
        <v>ΠΥΡΗΝΟΚΑΡΠΑ</v>
      </c>
    </row>
    <row r="3961" spans="1:12" s="3" customFormat="1" ht="15" customHeight="1" x14ac:dyDescent="0.25">
      <c r="A3961" s="3" t="str">
        <f t="shared" si="128"/>
        <v>ΠΥΡΗΝΟΚΑΡΠΑΚΕΡΑΣΙΑ ΓΑΛΑΝΑ - ΝΑΠΟΛΕΩΝ</v>
      </c>
      <c r="B3961" s="4" t="s">
        <v>7280</v>
      </c>
      <c r="C3961" s="5" t="s">
        <v>7422</v>
      </c>
      <c r="D3961" s="6">
        <v>5895.69</v>
      </c>
      <c r="E3961" s="6">
        <v>5815.34</v>
      </c>
      <c r="F3961" s="7" t="s">
        <v>14</v>
      </c>
      <c r="G3961" s="8" t="s">
        <v>7423</v>
      </c>
      <c r="H3961" s="8" t="s">
        <v>16</v>
      </c>
      <c r="I3961" s="9">
        <v>3013</v>
      </c>
      <c r="J3961" s="10">
        <v>66</v>
      </c>
      <c r="K3961" s="10">
        <v>66063</v>
      </c>
      <c r="L3961" s="3" t="str">
        <f t="shared" si="129"/>
        <v>ΠΥΡΗΝΟΚΑΡΠΑ</v>
      </c>
    </row>
    <row r="3962" spans="1:12" s="3" customFormat="1" ht="15" customHeight="1" x14ac:dyDescent="0.25">
      <c r="A3962" s="3" t="str">
        <f t="shared" si="128"/>
        <v>ΠΥΡΗΝΟΚΑΡΠΑΚΕΡΑΣΙΑ ΦΡΑΟΥΛΑ ΒΟΛΟΥ</v>
      </c>
      <c r="B3962" s="4" t="s">
        <v>7280</v>
      </c>
      <c r="C3962" s="5" t="s">
        <v>7424</v>
      </c>
      <c r="D3962" s="6">
        <v>5895.69</v>
      </c>
      <c r="E3962" s="6">
        <v>5815.34</v>
      </c>
      <c r="F3962" s="7" t="s">
        <v>14</v>
      </c>
      <c r="G3962" s="8" t="s">
        <v>7425</v>
      </c>
      <c r="H3962" s="8" t="s">
        <v>16</v>
      </c>
      <c r="I3962" s="9">
        <v>3042</v>
      </c>
      <c r="J3962" s="10">
        <v>66</v>
      </c>
      <c r="K3962" s="10">
        <v>66064</v>
      </c>
      <c r="L3962" s="3" t="str">
        <f t="shared" si="129"/>
        <v>ΠΥΡΗΝΟΚΑΡΠΑ</v>
      </c>
    </row>
    <row r="3963" spans="1:12" s="3" customFormat="1" ht="15" customHeight="1" x14ac:dyDescent="0.25">
      <c r="A3963" s="3" t="str">
        <f t="shared" si="128"/>
        <v>ΠΥΡΗΝΟΚΑΡΠΑΚΕΡΑΣΙΑ ΛΟΙΠ. ΠΟΙΚΙΛ.</v>
      </c>
      <c r="B3963" s="4" t="s">
        <v>7280</v>
      </c>
      <c r="C3963" s="5" t="s">
        <v>7426</v>
      </c>
      <c r="D3963" s="6">
        <v>5895.69</v>
      </c>
      <c r="E3963" s="6">
        <v>5815.34</v>
      </c>
      <c r="F3963" s="7" t="s">
        <v>14</v>
      </c>
      <c r="G3963" s="8" t="s">
        <v>7427</v>
      </c>
      <c r="H3963" s="8" t="s">
        <v>16</v>
      </c>
      <c r="I3963" s="9">
        <v>3002</v>
      </c>
      <c r="J3963" s="10">
        <v>66</v>
      </c>
      <c r="K3963" s="10">
        <v>66065</v>
      </c>
      <c r="L3963" s="3" t="str">
        <f t="shared" si="129"/>
        <v>ΠΥΡΗΝΟΚΑΡΠΑ</v>
      </c>
    </row>
    <row r="3964" spans="1:12" s="3" customFormat="1" ht="15" customHeight="1" x14ac:dyDescent="0.25">
      <c r="A3964" s="3" t="str">
        <f t="shared" si="128"/>
        <v>ΠΥΡΗΝΟΚΑΡΠΑΚΕΡΑΣΙΑ ΒΑΝ</v>
      </c>
      <c r="B3964" s="4" t="s">
        <v>7280</v>
      </c>
      <c r="C3964" s="5" t="s">
        <v>7428</v>
      </c>
      <c r="D3964" s="6">
        <v>5895.69</v>
      </c>
      <c r="E3964" s="6">
        <v>5815.34</v>
      </c>
      <c r="F3964" s="7" t="s">
        <v>14</v>
      </c>
      <c r="G3964" s="8" t="s">
        <v>7429</v>
      </c>
      <c r="H3964" s="8" t="s">
        <v>16</v>
      </c>
      <c r="I3964" s="9">
        <v>3003</v>
      </c>
      <c r="J3964" s="10">
        <v>66</v>
      </c>
      <c r="K3964" s="10">
        <v>66066</v>
      </c>
      <c r="L3964" s="3" t="str">
        <f t="shared" si="129"/>
        <v>ΠΥΡΗΝΟΚΑΡΠΑ</v>
      </c>
    </row>
    <row r="3965" spans="1:12" s="3" customFormat="1" ht="15" customHeight="1" x14ac:dyDescent="0.25">
      <c r="A3965" s="3" t="str">
        <f t="shared" si="128"/>
        <v>ΠΥΡΗΝΟΚΑΡΠΑΚΕΡΑΣΙΑ ΧΑΡΝΤΙΖΑΝΤ</v>
      </c>
      <c r="B3965" s="4" t="s">
        <v>7280</v>
      </c>
      <c r="C3965" s="5" t="s">
        <v>7430</v>
      </c>
      <c r="D3965" s="6">
        <v>5895.69</v>
      </c>
      <c r="E3965" s="6">
        <v>5815.34</v>
      </c>
      <c r="F3965" s="7" t="s">
        <v>14</v>
      </c>
      <c r="G3965" s="8" t="s">
        <v>7431</v>
      </c>
      <c r="H3965" s="8" t="s">
        <v>16</v>
      </c>
      <c r="I3965" s="9">
        <v>3004</v>
      </c>
      <c r="J3965" s="10">
        <v>66</v>
      </c>
      <c r="K3965" s="10">
        <v>66067</v>
      </c>
      <c r="L3965" s="3" t="str">
        <f t="shared" si="129"/>
        <v>ΠΥΡΗΝΟΚΑΡΠΑ</v>
      </c>
    </row>
    <row r="3966" spans="1:12" s="3" customFormat="1" ht="15" customHeight="1" x14ac:dyDescent="0.25">
      <c r="A3966" s="3" t="str">
        <f t="shared" si="128"/>
        <v>ΠΥΡΗΝΟΚΑΡΠΑΚΕΡΑΣΙΑ ΜΑΡΜΟΝΤ</v>
      </c>
      <c r="B3966" s="4" t="s">
        <v>7280</v>
      </c>
      <c r="C3966" s="5" t="s">
        <v>7432</v>
      </c>
      <c r="D3966" s="6">
        <v>5895.69</v>
      </c>
      <c r="E3966" s="6">
        <v>5815.34</v>
      </c>
      <c r="F3966" s="7" t="s">
        <v>14</v>
      </c>
      <c r="G3966" s="8" t="s">
        <v>7433</v>
      </c>
      <c r="H3966" s="8" t="s">
        <v>16</v>
      </c>
      <c r="I3966" s="9">
        <v>3005</v>
      </c>
      <c r="J3966" s="10">
        <v>66</v>
      </c>
      <c r="K3966" s="10">
        <v>66068</v>
      </c>
      <c r="L3966" s="3" t="str">
        <f t="shared" si="129"/>
        <v>ΠΥΡΗΝΟΚΑΡΠΑ</v>
      </c>
    </row>
    <row r="3967" spans="1:12" s="3" customFormat="1" ht="15" customHeight="1" x14ac:dyDescent="0.25">
      <c r="A3967" s="3" t="str">
        <f t="shared" si="128"/>
        <v>ΠΥΡΗΝΟΚΑΡΠΑΚΕΡΑΣΙΑ ΠΙΣΤΟΓΙΑ</v>
      </c>
      <c r="B3967" s="4" t="s">
        <v>7280</v>
      </c>
      <c r="C3967" s="5" t="s">
        <v>7434</v>
      </c>
      <c r="D3967" s="6">
        <v>5895.69</v>
      </c>
      <c r="E3967" s="6">
        <v>5815.34</v>
      </c>
      <c r="F3967" s="7" t="s">
        <v>14</v>
      </c>
      <c r="G3967" s="8" t="s">
        <v>7435</v>
      </c>
      <c r="H3967" s="8" t="s">
        <v>16</v>
      </c>
      <c r="I3967" s="9">
        <v>3006</v>
      </c>
      <c r="J3967" s="10">
        <v>66</v>
      </c>
      <c r="K3967" s="10">
        <v>66069</v>
      </c>
      <c r="L3967" s="3" t="str">
        <f t="shared" si="129"/>
        <v>ΠΥΡΗΝΟΚΑΡΠΑ</v>
      </c>
    </row>
    <row r="3968" spans="1:12" s="3" customFormat="1" ht="15" customHeight="1" x14ac:dyDescent="0.25">
      <c r="A3968" s="3" t="str">
        <f t="shared" si="128"/>
        <v>ΠΥΡΗΝΟΚΑΡΠΑΚΕΡΑΣΙΑ ΜΠΙΓΚ</v>
      </c>
      <c r="B3968" s="4" t="s">
        <v>7280</v>
      </c>
      <c r="C3968" s="5" t="s">
        <v>7436</v>
      </c>
      <c r="D3968" s="6">
        <v>5895.69</v>
      </c>
      <c r="E3968" s="6">
        <v>5815.34</v>
      </c>
      <c r="F3968" s="7" t="s">
        <v>14</v>
      </c>
      <c r="G3968" s="8" t="s">
        <v>7437</v>
      </c>
      <c r="H3968" s="8" t="s">
        <v>16</v>
      </c>
      <c r="I3968" s="9">
        <v>3007</v>
      </c>
      <c r="J3968" s="10">
        <v>66</v>
      </c>
      <c r="K3968" s="10">
        <v>66070</v>
      </c>
      <c r="L3968" s="3" t="str">
        <f t="shared" si="129"/>
        <v>ΠΥΡΗΝΟΚΑΡΠΑ</v>
      </c>
    </row>
    <row r="3969" spans="1:12" s="3" customFormat="1" ht="15" customHeight="1" x14ac:dyDescent="0.25">
      <c r="A3969" s="3" t="str">
        <f t="shared" si="128"/>
        <v>ΠΥΡΗΝΟΚΑΡΠΑΚΕΡΑΣΙΑ ΣΤΕΛΛΑ</v>
      </c>
      <c r="B3969" s="4" t="s">
        <v>7280</v>
      </c>
      <c r="C3969" s="5" t="s">
        <v>7438</v>
      </c>
      <c r="D3969" s="6">
        <v>5895.69</v>
      </c>
      <c r="E3969" s="6">
        <v>5815.34</v>
      </c>
      <c r="F3969" s="7" t="s">
        <v>14</v>
      </c>
      <c r="G3969" s="8" t="s">
        <v>7439</v>
      </c>
      <c r="H3969" s="8" t="s">
        <v>16</v>
      </c>
      <c r="I3969" s="9">
        <v>3008</v>
      </c>
      <c r="J3969" s="10">
        <v>66</v>
      </c>
      <c r="K3969" s="10">
        <v>66071</v>
      </c>
      <c r="L3969" s="3" t="str">
        <f t="shared" si="129"/>
        <v>ΠΥΡΗΝΟΚΑΡΠΑ</v>
      </c>
    </row>
    <row r="3970" spans="1:12" s="3" customFormat="1" ht="15" customHeight="1" x14ac:dyDescent="0.25">
      <c r="A3970" s="3" t="str">
        <f t="shared" si="128"/>
        <v>ΠΥΡΗΝΟΚΑΡΠΑΚΕΡΑΣΙΑ ΔΕΛΜΑΡ</v>
      </c>
      <c r="B3970" s="4" t="s">
        <v>7280</v>
      </c>
      <c r="C3970" s="5" t="s">
        <v>7440</v>
      </c>
      <c r="D3970" s="6">
        <v>5895.69</v>
      </c>
      <c r="E3970" s="6">
        <v>5815.34</v>
      </c>
      <c r="F3970" s="7" t="s">
        <v>14</v>
      </c>
      <c r="G3970" s="8" t="s">
        <v>7441</v>
      </c>
      <c r="H3970" s="8" t="s">
        <v>16</v>
      </c>
      <c r="I3970" s="9">
        <v>3009</v>
      </c>
      <c r="J3970" s="10">
        <v>66</v>
      </c>
      <c r="K3970" s="10">
        <v>66072</v>
      </c>
      <c r="L3970" s="3" t="str">
        <f t="shared" si="129"/>
        <v>ΠΥΡΗΝΟΚΑΡΠΑ</v>
      </c>
    </row>
    <row r="3971" spans="1:12" s="3" customFormat="1" ht="15" customHeight="1" x14ac:dyDescent="0.25">
      <c r="A3971" s="3" t="str">
        <f t="shared" ref="A3971:A4034" si="130">_xlfn.CONCAT(B3971,C3971)</f>
        <v>ΠΥΡΗΝΟΚΑΡΠΑΚΕΡΑΣΙΑ ΠΡΙΜΑΒΕΡΑ</v>
      </c>
      <c r="B3971" s="4" t="s">
        <v>7280</v>
      </c>
      <c r="C3971" s="5" t="s">
        <v>7442</v>
      </c>
      <c r="D3971" s="6">
        <v>5895.69</v>
      </c>
      <c r="E3971" s="6">
        <v>5815.34</v>
      </c>
      <c r="F3971" s="7" t="s">
        <v>14</v>
      </c>
      <c r="G3971" s="8" t="s">
        <v>7443</v>
      </c>
      <c r="H3971" s="8" t="s">
        <v>16</v>
      </c>
      <c r="I3971" s="9">
        <v>3010</v>
      </c>
      <c r="J3971" s="10">
        <v>66</v>
      </c>
      <c r="K3971" s="10">
        <v>66073</v>
      </c>
      <c r="L3971" s="3" t="str">
        <f t="shared" ref="L3971:L4034" si="131">IFERROR(SUBSTITUTE(SUBSTITUTE(SUBSTITUTE(SUBSTITUTE(SUBSTITUTE(B3971, "-", "_"), " ", "_"), ",", ""), "(", ""), ")", ""), B3971)</f>
        <v>ΠΥΡΗΝΟΚΑΡΠΑ</v>
      </c>
    </row>
    <row r="3972" spans="1:12" s="3" customFormat="1" ht="15" customHeight="1" x14ac:dyDescent="0.25">
      <c r="A3972" s="3" t="str">
        <f t="shared" si="130"/>
        <v>ΠΥΡΗΝΟΚΑΡΠΑΚΕΡΑΣΙΑ ΒΕΡΟΝΑ</v>
      </c>
      <c r="B3972" s="4" t="s">
        <v>7280</v>
      </c>
      <c r="C3972" s="5" t="s">
        <v>7444</v>
      </c>
      <c r="D3972" s="6">
        <v>5895.69</v>
      </c>
      <c r="E3972" s="6">
        <v>5815.34</v>
      </c>
      <c r="F3972" s="7" t="s">
        <v>14</v>
      </c>
      <c r="G3972" s="8" t="s">
        <v>7445</v>
      </c>
      <c r="H3972" s="8" t="s">
        <v>16</v>
      </c>
      <c r="I3972" s="9">
        <v>3011</v>
      </c>
      <c r="J3972" s="10">
        <v>66</v>
      </c>
      <c r="K3972" s="10">
        <v>66074</v>
      </c>
      <c r="L3972" s="3" t="str">
        <f t="shared" si="131"/>
        <v>ΠΥΡΗΝΟΚΑΡΠΑ</v>
      </c>
    </row>
    <row r="3973" spans="1:12" s="3" customFormat="1" ht="15" customHeight="1" x14ac:dyDescent="0.25">
      <c r="A3973" s="3" t="str">
        <f t="shared" si="130"/>
        <v>ΠΥΡΗΝΟΚΑΡΠΑΚΕΡΑΣΙΑ ΛΑΜΠΕ</v>
      </c>
      <c r="B3973" s="4" t="s">
        <v>7280</v>
      </c>
      <c r="C3973" s="5" t="s">
        <v>7446</v>
      </c>
      <c r="D3973" s="6">
        <v>5895.69</v>
      </c>
      <c r="E3973" s="6">
        <v>5815.34</v>
      </c>
      <c r="F3973" s="7" t="s">
        <v>14</v>
      </c>
      <c r="G3973" s="8" t="s">
        <v>7447</v>
      </c>
      <c r="H3973" s="8" t="s">
        <v>16</v>
      </c>
      <c r="I3973" s="9">
        <v>3012</v>
      </c>
      <c r="J3973" s="10">
        <v>66</v>
      </c>
      <c r="K3973" s="10">
        <v>66075</v>
      </c>
      <c r="L3973" s="3" t="str">
        <f t="shared" si="131"/>
        <v>ΠΥΡΗΝΟΚΑΡΠΑ</v>
      </c>
    </row>
    <row r="3974" spans="1:12" s="3" customFormat="1" ht="15" customHeight="1" x14ac:dyDescent="0.25">
      <c r="A3974" s="3" t="str">
        <f t="shared" si="130"/>
        <v>ΠΥΡΗΝΟΚΑΡΠΑΚΕΡΑΣΙΑ ΒΑΛΕΡΑ</v>
      </c>
      <c r="B3974" s="4" t="s">
        <v>7280</v>
      </c>
      <c r="C3974" s="5" t="s">
        <v>7448</v>
      </c>
      <c r="D3974" s="6">
        <v>5895.69</v>
      </c>
      <c r="E3974" s="6">
        <v>5815.34</v>
      </c>
      <c r="F3974" s="7" t="s">
        <v>14</v>
      </c>
      <c r="G3974" s="8" t="s">
        <v>7449</v>
      </c>
      <c r="H3974" s="8" t="s">
        <v>16</v>
      </c>
      <c r="I3974" s="9">
        <v>3028</v>
      </c>
      <c r="J3974" s="10">
        <v>66</v>
      </c>
      <c r="K3974" s="10">
        <v>66076</v>
      </c>
      <c r="L3974" s="3" t="str">
        <f t="shared" si="131"/>
        <v>ΠΥΡΗΝΟΚΑΡΠΑ</v>
      </c>
    </row>
    <row r="3975" spans="1:12" s="3" customFormat="1" ht="15" customHeight="1" x14ac:dyDescent="0.25">
      <c r="A3975" s="3" t="str">
        <f t="shared" si="130"/>
        <v>ΠΥΡΗΝΟΚΑΡΠΑΚΕΡΑΣΙΑ ΦΕΡΟΒΙΑ</v>
      </c>
      <c r="B3975" s="4" t="s">
        <v>7280</v>
      </c>
      <c r="C3975" s="5" t="s">
        <v>7450</v>
      </c>
      <c r="D3975" s="6">
        <v>5895.69</v>
      </c>
      <c r="E3975" s="6">
        <v>5815.34</v>
      </c>
      <c r="F3975" s="7" t="s">
        <v>14</v>
      </c>
      <c r="G3975" s="8" t="s">
        <v>7451</v>
      </c>
      <c r="H3975" s="8" t="s">
        <v>16</v>
      </c>
      <c r="I3975" s="9">
        <v>3014</v>
      </c>
      <c r="J3975" s="10">
        <v>66</v>
      </c>
      <c r="K3975" s="10">
        <v>66077</v>
      </c>
      <c r="L3975" s="3" t="str">
        <f t="shared" si="131"/>
        <v>ΠΥΡΗΝΟΚΑΡΠΑ</v>
      </c>
    </row>
    <row r="3976" spans="1:12" s="3" customFormat="1" ht="15" customHeight="1" x14ac:dyDescent="0.25">
      <c r="A3976" s="3" t="str">
        <f t="shared" si="130"/>
        <v>ΠΥΡΗΝΟΚΑΡΠΑΚΕΡΑΣΙΑ ΝΤΟΥΙΛ</v>
      </c>
      <c r="B3976" s="4" t="s">
        <v>7280</v>
      </c>
      <c r="C3976" s="5" t="s">
        <v>7452</v>
      </c>
      <c r="D3976" s="6">
        <v>5895.69</v>
      </c>
      <c r="E3976" s="6">
        <v>5815.34</v>
      </c>
      <c r="F3976" s="7" t="s">
        <v>14</v>
      </c>
      <c r="G3976" s="8" t="s">
        <v>7453</v>
      </c>
      <c r="H3976" s="8" t="s">
        <v>16</v>
      </c>
      <c r="I3976" s="9">
        <v>3000</v>
      </c>
      <c r="J3976" s="10">
        <v>66</v>
      </c>
      <c r="K3976" s="10">
        <v>66078</v>
      </c>
      <c r="L3976" s="3" t="str">
        <f t="shared" si="131"/>
        <v>ΠΥΡΗΝΟΚΑΡΠΑ</v>
      </c>
    </row>
    <row r="3977" spans="1:12" s="3" customFormat="1" ht="15" customHeight="1" x14ac:dyDescent="0.25">
      <c r="A3977" s="3" t="str">
        <f t="shared" si="130"/>
        <v>ΠΥΡΗΝΟΚΑΡΠΑΚΕΡΑΣΙΑ ΒΟΓΚ</v>
      </c>
      <c r="B3977" s="4" t="s">
        <v>7280</v>
      </c>
      <c r="C3977" s="5" t="s">
        <v>7454</v>
      </c>
      <c r="D3977" s="6">
        <v>5895.69</v>
      </c>
      <c r="E3977" s="6">
        <v>5815.34</v>
      </c>
      <c r="F3977" s="7" t="s">
        <v>14</v>
      </c>
      <c r="G3977" s="8" t="s">
        <v>7455</v>
      </c>
      <c r="H3977" s="8" t="s">
        <v>16</v>
      </c>
      <c r="I3977" s="9">
        <v>3016</v>
      </c>
      <c r="J3977" s="10">
        <v>66</v>
      </c>
      <c r="K3977" s="10">
        <v>66079</v>
      </c>
      <c r="L3977" s="3" t="str">
        <f t="shared" si="131"/>
        <v>ΠΥΡΗΝΟΚΑΡΠΑ</v>
      </c>
    </row>
    <row r="3978" spans="1:12" s="3" customFormat="1" ht="15" customHeight="1" x14ac:dyDescent="0.25">
      <c r="A3978" s="3" t="str">
        <f t="shared" si="130"/>
        <v>ΠΥΡΗΝΟΚΑΡΠΑΚΕΡΑΣΙΑ ΛΑΡΙΕΝ</v>
      </c>
      <c r="B3978" s="4" t="s">
        <v>7280</v>
      </c>
      <c r="C3978" s="5" t="s">
        <v>7456</v>
      </c>
      <c r="D3978" s="6">
        <v>5895.69</v>
      </c>
      <c r="E3978" s="6">
        <v>5815.34</v>
      </c>
      <c r="F3978" s="7" t="s">
        <v>14</v>
      </c>
      <c r="G3978" s="8" t="s">
        <v>7457</v>
      </c>
      <c r="H3978" s="8" t="s">
        <v>16</v>
      </c>
      <c r="I3978" s="9">
        <v>3017</v>
      </c>
      <c r="J3978" s="10">
        <v>66</v>
      </c>
      <c r="K3978" s="10">
        <v>66080</v>
      </c>
      <c r="L3978" s="3" t="str">
        <f t="shared" si="131"/>
        <v>ΠΥΡΗΝΟΚΑΡΠΑ</v>
      </c>
    </row>
    <row r="3979" spans="1:12" s="3" customFormat="1" ht="15" customHeight="1" x14ac:dyDescent="0.25">
      <c r="A3979" s="3" t="str">
        <f t="shared" si="130"/>
        <v>ΠΥΡΗΝΟΚΑΡΠΑΚΕΡΑΣΙΑ ΣΑΜΠΑΡΜΠΣ</v>
      </c>
      <c r="B3979" s="4" t="s">
        <v>7280</v>
      </c>
      <c r="C3979" s="5" t="s">
        <v>7458</v>
      </c>
      <c r="D3979" s="6">
        <v>5895.69</v>
      </c>
      <c r="E3979" s="6">
        <v>5815.34</v>
      </c>
      <c r="F3979" s="7" t="s">
        <v>14</v>
      </c>
      <c r="G3979" s="8" t="s">
        <v>7459</v>
      </c>
      <c r="H3979" s="8" t="s">
        <v>16</v>
      </c>
      <c r="I3979" s="9">
        <v>3018</v>
      </c>
      <c r="J3979" s="10">
        <v>66</v>
      </c>
      <c r="K3979" s="10">
        <v>66081</v>
      </c>
      <c r="L3979" s="3" t="str">
        <f t="shared" si="131"/>
        <v>ΠΥΡΗΝΟΚΑΡΠΑ</v>
      </c>
    </row>
    <row r="3980" spans="1:12" s="3" customFormat="1" ht="15" customHeight="1" x14ac:dyDescent="0.25">
      <c r="A3980" s="3" t="str">
        <f t="shared" si="130"/>
        <v>ΠΥΡΗΝΟΚΑΡΠΑΚΕΡΑΣΙΑ ΚΟΚΚΙΝΟ ΑΝΑΣΤΑΣΙΑΣ</v>
      </c>
      <c r="B3980" s="4" t="s">
        <v>7280</v>
      </c>
      <c r="C3980" s="5" t="s">
        <v>7460</v>
      </c>
      <c r="D3980" s="6">
        <v>5895.69</v>
      </c>
      <c r="E3980" s="6">
        <v>5815.34</v>
      </c>
      <c r="F3980" s="7" t="s">
        <v>14</v>
      </c>
      <c r="G3980" s="8" t="s">
        <v>7461</v>
      </c>
      <c r="H3980" s="8" t="s">
        <v>16</v>
      </c>
      <c r="I3980" s="9">
        <v>3019</v>
      </c>
      <c r="J3980" s="10">
        <v>66</v>
      </c>
      <c r="K3980" s="10">
        <v>66082</v>
      </c>
      <c r="L3980" s="3" t="str">
        <f t="shared" si="131"/>
        <v>ΠΥΡΗΝΟΚΑΡΠΑ</v>
      </c>
    </row>
    <row r="3981" spans="1:12" s="3" customFormat="1" ht="15" customHeight="1" x14ac:dyDescent="0.25">
      <c r="A3981" s="3" t="str">
        <f t="shared" si="130"/>
        <v>ΠΥΡΗΝΟΚΑΡΠΑΚΕΡΑΣΙΑ ΧΕΝΤΕΛΦΙΓΚ</v>
      </c>
      <c r="B3981" s="4" t="s">
        <v>7280</v>
      </c>
      <c r="C3981" s="5" t="s">
        <v>7462</v>
      </c>
      <c r="D3981" s="6">
        <v>5895.69</v>
      </c>
      <c r="E3981" s="6">
        <v>5815.34</v>
      </c>
      <c r="F3981" s="7" t="s">
        <v>14</v>
      </c>
      <c r="G3981" s="8" t="s">
        <v>7463</v>
      </c>
      <c r="H3981" s="8" t="s">
        <v>16</v>
      </c>
      <c r="I3981" s="9">
        <v>3020</v>
      </c>
      <c r="J3981" s="10">
        <v>66</v>
      </c>
      <c r="K3981" s="10">
        <v>66083</v>
      </c>
      <c r="L3981" s="3" t="str">
        <f t="shared" si="131"/>
        <v>ΠΥΡΗΝΟΚΑΡΠΑ</v>
      </c>
    </row>
    <row r="3982" spans="1:12" s="3" customFormat="1" ht="15" customHeight="1" x14ac:dyDescent="0.25">
      <c r="A3982" s="3" t="str">
        <f t="shared" si="130"/>
        <v>ΠΥΡΗΝΟΚΑΡΠΑΚΕΡΑΣΙΑ ΤΣΙΝΟΥΚ</v>
      </c>
      <c r="B3982" s="4" t="s">
        <v>7280</v>
      </c>
      <c r="C3982" s="5" t="s">
        <v>7464</v>
      </c>
      <c r="D3982" s="6">
        <v>5895.69</v>
      </c>
      <c r="E3982" s="6">
        <v>5815.34</v>
      </c>
      <c r="F3982" s="7" t="s">
        <v>14</v>
      </c>
      <c r="G3982" s="8" t="s">
        <v>7465</v>
      </c>
      <c r="H3982" s="8" t="s">
        <v>16</v>
      </c>
      <c r="I3982" s="9">
        <v>3021</v>
      </c>
      <c r="J3982" s="10">
        <v>66</v>
      </c>
      <c r="K3982" s="10">
        <v>66084</v>
      </c>
      <c r="L3982" s="3" t="str">
        <f t="shared" si="131"/>
        <v>ΠΥΡΗΝΟΚΑΡΠΑ</v>
      </c>
    </row>
    <row r="3983" spans="1:12" s="3" customFormat="1" ht="15" customHeight="1" x14ac:dyDescent="0.25">
      <c r="A3983" s="3" t="str">
        <f t="shared" si="130"/>
        <v>ΠΥΡΗΝΟΚΑΡΠΑΚΕΡΑΣΙΑ ΓΚΙΓΙΩΜ</v>
      </c>
      <c r="B3983" s="4" t="s">
        <v>7280</v>
      </c>
      <c r="C3983" s="5" t="s">
        <v>7466</v>
      </c>
      <c r="D3983" s="6">
        <v>5895.69</v>
      </c>
      <c r="E3983" s="6">
        <v>5815.34</v>
      </c>
      <c r="F3983" s="7" t="s">
        <v>14</v>
      </c>
      <c r="G3983" s="8" t="s">
        <v>7467</v>
      </c>
      <c r="H3983" s="8" t="s">
        <v>16</v>
      </c>
      <c r="I3983" s="9">
        <v>3022</v>
      </c>
      <c r="J3983" s="10">
        <v>66</v>
      </c>
      <c r="K3983" s="10">
        <v>66085</v>
      </c>
      <c r="L3983" s="3" t="str">
        <f t="shared" si="131"/>
        <v>ΠΥΡΗΝΟΚΑΡΠΑ</v>
      </c>
    </row>
    <row r="3984" spans="1:12" s="3" customFormat="1" ht="15" customHeight="1" x14ac:dyDescent="0.25">
      <c r="A3984" s="3" t="str">
        <f t="shared" si="130"/>
        <v>ΠΥΡΗΝΟΚΑΡΠΑΚΕΡΑΣΙΑ ΚΡ21</v>
      </c>
      <c r="B3984" s="4" t="s">
        <v>7280</v>
      </c>
      <c r="C3984" s="5" t="s">
        <v>7468</v>
      </c>
      <c r="D3984" s="6">
        <v>5895.69</v>
      </c>
      <c r="E3984" s="6">
        <v>5815.34</v>
      </c>
      <c r="F3984" s="7" t="s">
        <v>14</v>
      </c>
      <c r="G3984" s="8" t="s">
        <v>7469</v>
      </c>
      <c r="H3984" s="8" t="s">
        <v>16</v>
      </c>
      <c r="I3984" s="9">
        <v>3023</v>
      </c>
      <c r="J3984" s="10">
        <v>66</v>
      </c>
      <c r="K3984" s="10">
        <v>66086</v>
      </c>
      <c r="L3984" s="3" t="str">
        <f t="shared" si="131"/>
        <v>ΠΥΡΗΝΟΚΑΡΠΑ</v>
      </c>
    </row>
    <row r="3985" spans="1:12" s="3" customFormat="1" ht="15" customHeight="1" x14ac:dyDescent="0.25">
      <c r="A3985" s="3" t="str">
        <f t="shared" si="130"/>
        <v>ΠΥΡΗΝΟΚΑΡΠΑΚΕΡΑΣΙΑ ΝΤΟΡΑΝΑ</v>
      </c>
      <c r="B3985" s="4" t="s">
        <v>7280</v>
      </c>
      <c r="C3985" s="5" t="s">
        <v>7470</v>
      </c>
      <c r="D3985" s="6">
        <v>5895.69</v>
      </c>
      <c r="E3985" s="6">
        <v>5815.34</v>
      </c>
      <c r="F3985" s="7" t="s">
        <v>14</v>
      </c>
      <c r="G3985" s="8" t="s">
        <v>7471</v>
      </c>
      <c r="H3985" s="8" t="s">
        <v>16</v>
      </c>
      <c r="I3985" s="9">
        <v>3024</v>
      </c>
      <c r="J3985" s="10">
        <v>66</v>
      </c>
      <c r="K3985" s="10">
        <v>66087</v>
      </c>
      <c r="L3985" s="3" t="str">
        <f t="shared" si="131"/>
        <v>ΠΥΡΗΝΟΚΑΡΠΑ</v>
      </c>
    </row>
    <row r="3986" spans="1:12" s="3" customFormat="1" ht="15" customHeight="1" x14ac:dyDescent="0.25">
      <c r="A3986" s="3" t="str">
        <f t="shared" si="130"/>
        <v>ΠΥΡΗΝΟΚΑΡΠΑΚΕΡΑΣΙΑ ΑΝΤΡΙΑΝΑ</v>
      </c>
      <c r="B3986" s="4" t="s">
        <v>7280</v>
      </c>
      <c r="C3986" s="5" t="s">
        <v>7472</v>
      </c>
      <c r="D3986" s="6">
        <v>5895.69</v>
      </c>
      <c r="E3986" s="6">
        <v>5815.34</v>
      </c>
      <c r="F3986" s="7" t="s">
        <v>14</v>
      </c>
      <c r="G3986" s="8" t="s">
        <v>7473</v>
      </c>
      <c r="H3986" s="8" t="s">
        <v>16</v>
      </c>
      <c r="I3986" s="9">
        <v>3025</v>
      </c>
      <c r="J3986" s="10">
        <v>66</v>
      </c>
      <c r="K3986" s="10">
        <v>66088</v>
      </c>
      <c r="L3986" s="3" t="str">
        <f t="shared" si="131"/>
        <v>ΠΥΡΗΝΟΚΑΡΠΑ</v>
      </c>
    </row>
    <row r="3987" spans="1:12" s="3" customFormat="1" ht="15" customHeight="1" x14ac:dyDescent="0.25">
      <c r="A3987" s="3" t="str">
        <f t="shared" si="130"/>
        <v>ΠΥΡΗΝΟΚΑΡΠΑΚΕΡΑΣΙΑ ΛΕΜΟΝΙΔΗ</v>
      </c>
      <c r="B3987" s="4" t="s">
        <v>7280</v>
      </c>
      <c r="C3987" s="5" t="s">
        <v>7474</v>
      </c>
      <c r="D3987" s="6">
        <v>5895.69</v>
      </c>
      <c r="E3987" s="6">
        <v>5815.34</v>
      </c>
      <c r="F3987" s="7" t="s">
        <v>14</v>
      </c>
      <c r="G3987" s="8" t="s">
        <v>7475</v>
      </c>
      <c r="H3987" s="8" t="s">
        <v>16</v>
      </c>
      <c r="I3987" s="9">
        <v>3026</v>
      </c>
      <c r="J3987" s="10">
        <v>66</v>
      </c>
      <c r="K3987" s="10">
        <v>66089</v>
      </c>
      <c r="L3987" s="3" t="str">
        <f t="shared" si="131"/>
        <v>ΠΥΡΗΝΟΚΑΡΠΑ</v>
      </c>
    </row>
    <row r="3988" spans="1:12" s="3" customFormat="1" ht="15" customHeight="1" x14ac:dyDescent="0.25">
      <c r="A3988" s="3" t="str">
        <f t="shared" si="130"/>
        <v>ΠΥΡΗΝΟΚΑΡΠΑΚΕΡΑΣΙΑ ΣΤΑΡΚΡΙΜΣΟΝ</v>
      </c>
      <c r="B3988" s="4" t="s">
        <v>7280</v>
      </c>
      <c r="C3988" s="5" t="s">
        <v>7476</v>
      </c>
      <c r="D3988" s="6">
        <v>5895.69</v>
      </c>
      <c r="E3988" s="6">
        <v>5815.34</v>
      </c>
      <c r="F3988" s="7" t="s">
        <v>14</v>
      </c>
      <c r="G3988" s="8" t="s">
        <v>7477</v>
      </c>
      <c r="H3988" s="8" t="s">
        <v>16</v>
      </c>
      <c r="I3988" s="9">
        <v>3059</v>
      </c>
      <c r="J3988" s="10">
        <v>66</v>
      </c>
      <c r="K3988" s="10">
        <v>66090</v>
      </c>
      <c r="L3988" s="3" t="str">
        <f t="shared" si="131"/>
        <v>ΠΥΡΗΝΟΚΑΡΠΑ</v>
      </c>
    </row>
    <row r="3989" spans="1:12" s="3" customFormat="1" ht="15" customHeight="1" x14ac:dyDescent="0.25">
      <c r="A3989" s="3" t="str">
        <f t="shared" si="130"/>
        <v>ΠΥΡΗΝΟΚΑΡΠΑΚΕΡΑΣΙΑ ΠΡΕΚΟΣ ΜΠΕΡΝΑΡ</v>
      </c>
      <c r="B3989" s="4" t="s">
        <v>7280</v>
      </c>
      <c r="C3989" s="5" t="s">
        <v>7478</v>
      </c>
      <c r="D3989" s="6">
        <v>5895.69</v>
      </c>
      <c r="E3989" s="6">
        <v>5815.34</v>
      </c>
      <c r="F3989" s="7" t="s">
        <v>14</v>
      </c>
      <c r="G3989" s="8" t="s">
        <v>7479</v>
      </c>
      <c r="H3989" s="8" t="s">
        <v>16</v>
      </c>
      <c r="I3989" s="9">
        <v>3001</v>
      </c>
      <c r="J3989" s="10">
        <v>66</v>
      </c>
      <c r="K3989" s="10">
        <v>66091</v>
      </c>
      <c r="L3989" s="3" t="str">
        <f t="shared" si="131"/>
        <v>ΠΥΡΗΝΟΚΑΡΠΑ</v>
      </c>
    </row>
    <row r="3990" spans="1:12" s="3" customFormat="1" ht="15" customHeight="1" x14ac:dyDescent="0.25">
      <c r="A3990" s="3" t="str">
        <f t="shared" si="130"/>
        <v>ΠΥΡΗΝΟΚΑΡΠΑΚΕΡΑΣΙΑ GERMERSDORFER</v>
      </c>
      <c r="B3990" s="4" t="s">
        <v>7280</v>
      </c>
      <c r="C3990" s="5" t="s">
        <v>7480</v>
      </c>
      <c r="D3990" s="6">
        <v>5895.69</v>
      </c>
      <c r="E3990" s="6">
        <v>5815.34</v>
      </c>
      <c r="F3990" s="7" t="s">
        <v>14</v>
      </c>
      <c r="G3990" s="8" t="s">
        <v>7481</v>
      </c>
      <c r="H3990" s="8" t="s">
        <v>16</v>
      </c>
      <c r="I3990" s="9">
        <v>3044</v>
      </c>
      <c r="J3990" s="10">
        <v>66</v>
      </c>
      <c r="K3990" s="10">
        <v>66092</v>
      </c>
      <c r="L3990" s="3" t="str">
        <f t="shared" si="131"/>
        <v>ΠΥΡΗΝΟΚΑΡΠΑ</v>
      </c>
    </row>
    <row r="3991" spans="1:12" s="3" customFormat="1" ht="15" customHeight="1" x14ac:dyDescent="0.25">
      <c r="A3991" s="3" t="str">
        <f t="shared" si="130"/>
        <v>ΠΥΡΗΝΟΚΑΡΠΑΚΕΡΑΣΙΑ ΜΙΣΕΛ ΝΟΥΑΡ</v>
      </c>
      <c r="B3991" s="4" t="s">
        <v>7280</v>
      </c>
      <c r="C3991" s="5" t="s">
        <v>7482</v>
      </c>
      <c r="D3991" s="6">
        <v>5895.69</v>
      </c>
      <c r="E3991" s="6">
        <v>5815.34</v>
      </c>
      <c r="F3991" s="7" t="s">
        <v>14</v>
      </c>
      <c r="G3991" s="8" t="s">
        <v>7483</v>
      </c>
      <c r="H3991" s="8" t="s">
        <v>16</v>
      </c>
      <c r="I3991" s="9">
        <v>3088</v>
      </c>
      <c r="J3991" s="10">
        <v>66</v>
      </c>
      <c r="K3991" s="10">
        <v>66093</v>
      </c>
      <c r="L3991" s="3" t="str">
        <f t="shared" si="131"/>
        <v>ΠΥΡΗΝΟΚΑΡΠΑ</v>
      </c>
    </row>
    <row r="3992" spans="1:12" s="3" customFormat="1" ht="15" customHeight="1" x14ac:dyDescent="0.25">
      <c r="A3992" s="3" t="str">
        <f t="shared" si="130"/>
        <v>ΠΥΡΗΝΟΚΑΡΠΑΚΕΡΑΣΙΑ ΒΑΣΙΛΕΙΑΔΗ</v>
      </c>
      <c r="B3992" s="4" t="s">
        <v>7280</v>
      </c>
      <c r="C3992" s="5" t="s">
        <v>7484</v>
      </c>
      <c r="D3992" s="6">
        <v>5895.69</v>
      </c>
      <c r="E3992" s="6">
        <v>5815.34</v>
      </c>
      <c r="F3992" s="7" t="s">
        <v>14</v>
      </c>
      <c r="G3992" s="8" t="s">
        <v>7485</v>
      </c>
      <c r="H3992" s="8" t="s">
        <v>16</v>
      </c>
      <c r="I3992" s="9">
        <v>3089</v>
      </c>
      <c r="J3992" s="10">
        <v>66</v>
      </c>
      <c r="K3992" s="10">
        <v>66094</v>
      </c>
      <c r="L3992" s="3" t="str">
        <f t="shared" si="131"/>
        <v>ΠΥΡΗΝΟΚΑΡΠΑ</v>
      </c>
    </row>
    <row r="3993" spans="1:12" s="3" customFormat="1" ht="15" customHeight="1" x14ac:dyDescent="0.25">
      <c r="A3993" s="3" t="str">
        <f t="shared" si="130"/>
        <v>ΠΥΡΗΝΟΚΑΡΠΑΚΕΡΑΣΙΑ ΤΖΩΡΤΖΙΑ</v>
      </c>
      <c r="B3993" s="4" t="s">
        <v>7280</v>
      </c>
      <c r="C3993" s="5" t="s">
        <v>7486</v>
      </c>
      <c r="D3993" s="6">
        <v>5895.69</v>
      </c>
      <c r="E3993" s="6">
        <v>5815.34</v>
      </c>
      <c r="F3993" s="7" t="s">
        <v>14</v>
      </c>
      <c r="G3993" s="8" t="s">
        <v>7487</v>
      </c>
      <c r="H3993" s="8" t="s">
        <v>16</v>
      </c>
      <c r="I3993" s="9">
        <v>3090</v>
      </c>
      <c r="J3993" s="10">
        <v>66</v>
      </c>
      <c r="K3993" s="10">
        <v>66095</v>
      </c>
      <c r="L3993" s="3" t="str">
        <f t="shared" si="131"/>
        <v>ΠΥΡΗΝΟΚΑΡΠΑ</v>
      </c>
    </row>
    <row r="3994" spans="1:12" s="3" customFormat="1" ht="15" customHeight="1" x14ac:dyDescent="0.25">
      <c r="A3994" s="3" t="str">
        <f t="shared" si="130"/>
        <v>ΠΥΡΗΝΟΚΑΡΠΑΚΕΡΑΣΙΑ ΚΑΝΑΝΤΙΑΝ ΤΖΑΪΑΝΤ</v>
      </c>
      <c r="B3994" s="4" t="s">
        <v>7280</v>
      </c>
      <c r="C3994" s="5" t="s">
        <v>7488</v>
      </c>
      <c r="D3994" s="6">
        <v>5895.69</v>
      </c>
      <c r="E3994" s="6">
        <v>5815.34</v>
      </c>
      <c r="F3994" s="7" t="s">
        <v>14</v>
      </c>
      <c r="G3994" s="8" t="s">
        <v>7489</v>
      </c>
      <c r="H3994" s="8" t="s">
        <v>16</v>
      </c>
      <c r="I3994" s="9">
        <v>3091</v>
      </c>
      <c r="J3994" s="10">
        <v>66</v>
      </c>
      <c r="K3994" s="10">
        <v>66096</v>
      </c>
      <c r="L3994" s="3" t="str">
        <f t="shared" si="131"/>
        <v>ΠΥΡΗΝΟΚΑΡΠΑ</v>
      </c>
    </row>
    <row r="3995" spans="1:12" s="3" customFormat="1" ht="15" customHeight="1" x14ac:dyDescent="0.25">
      <c r="A3995" s="3" t="str">
        <f t="shared" si="130"/>
        <v>ΠΥΡΗΝΟΚΑΡΠΑΚΕΡΑΣΙΑ ΣΕΝΤΑΚ</v>
      </c>
      <c r="B3995" s="4" t="s">
        <v>7280</v>
      </c>
      <c r="C3995" s="5" t="s">
        <v>7490</v>
      </c>
      <c r="D3995" s="6">
        <v>5895.69</v>
      </c>
      <c r="E3995" s="6">
        <v>5815.34</v>
      </c>
      <c r="F3995" s="7" t="s">
        <v>14</v>
      </c>
      <c r="G3995" s="8" t="s">
        <v>7491</v>
      </c>
      <c r="H3995" s="8" t="s">
        <v>16</v>
      </c>
      <c r="I3995" s="9">
        <v>3092</v>
      </c>
      <c r="J3995" s="10">
        <v>66</v>
      </c>
      <c r="K3995" s="10">
        <v>66097</v>
      </c>
      <c r="L3995" s="3" t="str">
        <f t="shared" si="131"/>
        <v>ΠΥΡΗΝΟΚΑΡΠΑ</v>
      </c>
    </row>
    <row r="3996" spans="1:12" s="3" customFormat="1" ht="15" customHeight="1" x14ac:dyDescent="0.25">
      <c r="A3996" s="3" t="str">
        <f t="shared" si="130"/>
        <v>ΠΥΡΗΝΟΚΑΡΠΑΚΕΡΑΣΙΑ ΣΟΥΪΤ ΧΑΡΤ</v>
      </c>
      <c r="B3996" s="4" t="s">
        <v>7280</v>
      </c>
      <c r="C3996" s="5" t="s">
        <v>7492</v>
      </c>
      <c r="D3996" s="6">
        <v>5895.69</v>
      </c>
      <c r="E3996" s="6">
        <v>5815.34</v>
      </c>
      <c r="F3996" s="7" t="s">
        <v>14</v>
      </c>
      <c r="G3996" s="8" t="s">
        <v>7493</v>
      </c>
      <c r="H3996" s="8" t="s">
        <v>16</v>
      </c>
      <c r="I3996" s="9">
        <v>3093</v>
      </c>
      <c r="J3996" s="10">
        <v>66</v>
      </c>
      <c r="K3996" s="10">
        <v>66098</v>
      </c>
      <c r="L3996" s="3" t="str">
        <f t="shared" si="131"/>
        <v>ΠΥΡΗΝΟΚΑΡΠΑ</v>
      </c>
    </row>
    <row r="3997" spans="1:12" s="3" customFormat="1" ht="15" customHeight="1" x14ac:dyDescent="0.25">
      <c r="A3997" s="3" t="str">
        <f t="shared" si="130"/>
        <v>ΠΥΡΗΝΟΚΑΡΠΑΚΕΡΑΣΙΑ ΜΠΑΚΙΡΤΖΕΙΚΑ</v>
      </c>
      <c r="B3997" s="4" t="s">
        <v>7280</v>
      </c>
      <c r="C3997" s="5" t="s">
        <v>7494</v>
      </c>
      <c r="D3997" s="6">
        <v>5895.69</v>
      </c>
      <c r="E3997" s="6">
        <v>5815.34</v>
      </c>
      <c r="F3997" s="7" t="s">
        <v>14</v>
      </c>
      <c r="G3997" s="8" t="s">
        <v>7495</v>
      </c>
      <c r="H3997" s="8" t="s">
        <v>16</v>
      </c>
      <c r="I3997" s="9">
        <v>3094</v>
      </c>
      <c r="J3997" s="10">
        <v>66</v>
      </c>
      <c r="K3997" s="10">
        <v>66099</v>
      </c>
      <c r="L3997" s="3" t="str">
        <f t="shared" si="131"/>
        <v>ΠΥΡΗΝΟΚΑΡΠΑ</v>
      </c>
    </row>
    <row r="3998" spans="1:12" s="3" customFormat="1" ht="15" customHeight="1" x14ac:dyDescent="0.25">
      <c r="A3998" s="3" t="str">
        <f t="shared" si="130"/>
        <v>ΠΥΡΗΝΟΚΑΡΠΑΚΕΡΑΣΙΑ ΦΑΝ ΛΕΙΤ</v>
      </c>
      <c r="B3998" s="4" t="s">
        <v>7280</v>
      </c>
      <c r="C3998" s="5" t="s">
        <v>7496</v>
      </c>
      <c r="D3998" s="6">
        <v>5895.69</v>
      </c>
      <c r="E3998" s="6">
        <v>5815.34</v>
      </c>
      <c r="F3998" s="7" t="s">
        <v>14</v>
      </c>
      <c r="G3998" s="8" t="s">
        <v>7497</v>
      </c>
      <c r="H3998" s="8" t="s">
        <v>16</v>
      </c>
      <c r="I3998" s="9">
        <v>3095</v>
      </c>
      <c r="J3998" s="10">
        <v>66</v>
      </c>
      <c r="K3998" s="10">
        <v>66100</v>
      </c>
      <c r="L3998" s="3" t="str">
        <f t="shared" si="131"/>
        <v>ΠΥΡΗΝΟΚΑΡΠΑ</v>
      </c>
    </row>
    <row r="3999" spans="1:12" s="3" customFormat="1" ht="15" customHeight="1" x14ac:dyDescent="0.25">
      <c r="A3999" s="3" t="str">
        <f t="shared" si="130"/>
        <v>ΠΥΡΗΝΟΚΑΡΠΑΚΕΡΑΣΙΑ ΓΚΡΕΙ ΣΤΑΡ</v>
      </c>
      <c r="B3999" s="4" t="s">
        <v>7280</v>
      </c>
      <c r="C3999" s="5" t="s">
        <v>7498</v>
      </c>
      <c r="D3999" s="6">
        <v>5895.69</v>
      </c>
      <c r="E3999" s="6">
        <v>5815.34</v>
      </c>
      <c r="F3999" s="7" t="s">
        <v>14</v>
      </c>
      <c r="G3999" s="8" t="s">
        <v>7499</v>
      </c>
      <c r="H3999" s="8" t="s">
        <v>16</v>
      </c>
      <c r="I3999" s="9">
        <v>3096</v>
      </c>
      <c r="J3999" s="10">
        <v>66</v>
      </c>
      <c r="K3999" s="10">
        <v>66101</v>
      </c>
      <c r="L3999" s="3" t="str">
        <f t="shared" si="131"/>
        <v>ΠΥΡΗΝΟΚΑΡΠΑ</v>
      </c>
    </row>
    <row r="4000" spans="1:12" s="3" customFormat="1" ht="15" customHeight="1" x14ac:dyDescent="0.25">
      <c r="A4000" s="3" t="str">
        <f t="shared" si="130"/>
        <v>ΠΥΡΗΝΟΚΑΡΠΑΚΕΡΑΣΙΑ ΕΡΛΥ ΣΤΑΡ</v>
      </c>
      <c r="B4000" s="4" t="s">
        <v>7280</v>
      </c>
      <c r="C4000" s="5" t="s">
        <v>7500</v>
      </c>
      <c r="D4000" s="6">
        <v>5895.69</v>
      </c>
      <c r="E4000" s="6">
        <v>5815.34</v>
      </c>
      <c r="F4000" s="7" t="s">
        <v>14</v>
      </c>
      <c r="G4000" s="8" t="s">
        <v>7501</v>
      </c>
      <c r="H4000" s="8" t="s">
        <v>16</v>
      </c>
      <c r="I4000" s="9">
        <v>3097</v>
      </c>
      <c r="J4000" s="10">
        <v>66</v>
      </c>
      <c r="K4000" s="10">
        <v>66102</v>
      </c>
      <c r="L4000" s="3" t="str">
        <f t="shared" si="131"/>
        <v>ΠΥΡΗΝΟΚΑΡΠΑ</v>
      </c>
    </row>
    <row r="4001" spans="1:12" s="3" customFormat="1" ht="15" customHeight="1" x14ac:dyDescent="0.25">
      <c r="A4001" s="3" t="str">
        <f t="shared" si="130"/>
        <v>ΠΥΡΗΝΟΚΑΡΠΑΚΕΡΑΣΙΑ ΣΝΑΙΝΤΕΡ (SCHNEIDER)</v>
      </c>
      <c r="B4001" s="4" t="s">
        <v>7280</v>
      </c>
      <c r="C4001" s="5" t="s">
        <v>7502</v>
      </c>
      <c r="D4001" s="6">
        <v>5895.69</v>
      </c>
      <c r="E4001" s="6">
        <v>5815.34</v>
      </c>
      <c r="F4001" s="7" t="s">
        <v>14</v>
      </c>
      <c r="G4001" s="8" t="s">
        <v>7503</v>
      </c>
      <c r="H4001" s="8" t="s">
        <v>16</v>
      </c>
      <c r="I4001" s="9">
        <v>3099</v>
      </c>
      <c r="J4001" s="10">
        <v>66</v>
      </c>
      <c r="K4001" s="10">
        <v>66103</v>
      </c>
      <c r="L4001" s="3" t="str">
        <f t="shared" si="131"/>
        <v>ΠΥΡΗΝΟΚΑΡΠΑ</v>
      </c>
    </row>
    <row r="4002" spans="1:12" s="3" customFormat="1" ht="15" customHeight="1" x14ac:dyDescent="0.25">
      <c r="A4002" s="3" t="str">
        <f t="shared" si="130"/>
        <v>ΠΥΡΗΝΟΚΑΡΠΑΚΕΡΑΣΙΑ ΡΕΓΓΙΝΑ</v>
      </c>
      <c r="B4002" s="4" t="s">
        <v>7280</v>
      </c>
      <c r="C4002" s="5" t="s">
        <v>7504</v>
      </c>
      <c r="D4002" s="6">
        <v>5895.69</v>
      </c>
      <c r="E4002" s="6">
        <v>5815.34</v>
      </c>
      <c r="F4002" s="7" t="s">
        <v>14</v>
      </c>
      <c r="G4002" s="8" t="s">
        <v>7505</v>
      </c>
      <c r="H4002" s="8" t="s">
        <v>16</v>
      </c>
      <c r="I4002" s="9">
        <v>3115</v>
      </c>
      <c r="J4002" s="10">
        <v>66</v>
      </c>
      <c r="K4002" s="10">
        <v>66104</v>
      </c>
      <c r="L4002" s="3" t="str">
        <f t="shared" si="131"/>
        <v>ΠΥΡΗΝΟΚΑΡΠΑ</v>
      </c>
    </row>
    <row r="4003" spans="1:12" s="3" customFormat="1" ht="15" customHeight="1" x14ac:dyDescent="0.25">
      <c r="A4003" s="3" t="str">
        <f t="shared" si="130"/>
        <v>ΠΥΡΗΝΟΚΑΡΠΑΚΕΡΑΣΙΑ SKEENA</v>
      </c>
      <c r="B4003" s="4" t="s">
        <v>7280</v>
      </c>
      <c r="C4003" s="5" t="s">
        <v>7506</v>
      </c>
      <c r="D4003" s="6">
        <v>5895.69</v>
      </c>
      <c r="E4003" s="6">
        <v>5815.34</v>
      </c>
      <c r="F4003" s="7" t="s">
        <v>14</v>
      </c>
      <c r="G4003" s="8" t="s">
        <v>7507</v>
      </c>
      <c r="H4003" s="8" t="s">
        <v>16</v>
      </c>
      <c r="I4003" s="9">
        <v>3101</v>
      </c>
      <c r="J4003" s="10">
        <v>66</v>
      </c>
      <c r="K4003" s="10">
        <v>66105</v>
      </c>
      <c r="L4003" s="3" t="str">
        <f t="shared" si="131"/>
        <v>ΠΥΡΗΝΟΚΑΡΠΑ</v>
      </c>
    </row>
    <row r="4004" spans="1:12" s="3" customFormat="1" ht="15" customHeight="1" x14ac:dyDescent="0.25">
      <c r="A4004" s="3" t="str">
        <f t="shared" si="130"/>
        <v>ΠΥΡΗΝΟΚΑΡΠΑΚΕΡΑΣΙΑ KORDIA</v>
      </c>
      <c r="B4004" s="4" t="s">
        <v>7280</v>
      </c>
      <c r="C4004" s="5" t="s">
        <v>7508</v>
      </c>
      <c r="D4004" s="6">
        <v>5895.69</v>
      </c>
      <c r="E4004" s="6">
        <v>5815.34</v>
      </c>
      <c r="F4004" s="7" t="s">
        <v>14</v>
      </c>
      <c r="G4004" s="8" t="s">
        <v>7509</v>
      </c>
      <c r="H4004" s="8" t="s">
        <v>16</v>
      </c>
      <c r="I4004" s="9">
        <v>3087</v>
      </c>
      <c r="J4004" s="10">
        <v>66</v>
      </c>
      <c r="K4004" s="10">
        <v>66106</v>
      </c>
      <c r="L4004" s="3" t="str">
        <f t="shared" si="131"/>
        <v>ΠΥΡΗΝΟΚΑΡΠΑ</v>
      </c>
    </row>
    <row r="4005" spans="1:12" s="3" customFormat="1" ht="15" customHeight="1" x14ac:dyDescent="0.25">
      <c r="A4005" s="3" t="str">
        <f t="shared" si="130"/>
        <v>ΠΥΡΗΝΟΚΑΡΠΑΚΕΡΑΣΙΑ ΛΑΠΕΝ</v>
      </c>
      <c r="B4005" s="4" t="s">
        <v>7280</v>
      </c>
      <c r="C4005" s="5" t="s">
        <v>7510</v>
      </c>
      <c r="D4005" s="6">
        <v>5895.69</v>
      </c>
      <c r="E4005" s="6">
        <v>5815.34</v>
      </c>
      <c r="F4005" s="7" t="s">
        <v>14</v>
      </c>
      <c r="G4005" s="8" t="s">
        <v>7511</v>
      </c>
      <c r="H4005" s="8" t="s">
        <v>16</v>
      </c>
      <c r="I4005" s="9">
        <v>3103</v>
      </c>
      <c r="J4005" s="10">
        <v>66</v>
      </c>
      <c r="K4005" s="10">
        <v>66107</v>
      </c>
      <c r="L4005" s="3" t="str">
        <f t="shared" si="131"/>
        <v>ΠΥΡΗΝΟΚΑΡΠΑ</v>
      </c>
    </row>
    <row r="4006" spans="1:12" s="3" customFormat="1" ht="15" customHeight="1" x14ac:dyDescent="0.25">
      <c r="A4006" s="3" t="str">
        <f t="shared" si="130"/>
        <v>ΠΥΡΗΝΟΚΑΡΠΑΝΕΚΤΑΡΙΝ ΜΕΪΜΠΕΛ</v>
      </c>
      <c r="B4006" s="4" t="s">
        <v>7280</v>
      </c>
      <c r="C4006" s="5" t="s">
        <v>7512</v>
      </c>
      <c r="D4006" s="6">
        <v>5895.69</v>
      </c>
      <c r="E4006" s="6">
        <v>5815.34</v>
      </c>
      <c r="F4006" s="7" t="s">
        <v>14</v>
      </c>
      <c r="G4006" s="8" t="s">
        <v>7513</v>
      </c>
      <c r="H4006" s="8" t="s">
        <v>16</v>
      </c>
      <c r="I4006" s="9">
        <v>3104</v>
      </c>
      <c r="J4006" s="10">
        <v>66</v>
      </c>
      <c r="K4006" s="10">
        <v>66108</v>
      </c>
      <c r="L4006" s="3" t="str">
        <f t="shared" si="131"/>
        <v>ΠΥΡΗΝΟΚΑΡΠΑ</v>
      </c>
    </row>
    <row r="4007" spans="1:12" s="3" customFormat="1" ht="15" customHeight="1" x14ac:dyDescent="0.25">
      <c r="A4007" s="3" t="str">
        <f t="shared" si="130"/>
        <v>ΠΥΡΗΝΟΚΑΡΠΑΝΕΚΤΑΡΙΝ ΜΕΪΡΕΝΤ</v>
      </c>
      <c r="B4007" s="4" t="s">
        <v>7280</v>
      </c>
      <c r="C4007" s="5" t="s">
        <v>7514</v>
      </c>
      <c r="D4007" s="6">
        <v>5895.69</v>
      </c>
      <c r="E4007" s="6">
        <v>5815.34</v>
      </c>
      <c r="F4007" s="7" t="s">
        <v>14</v>
      </c>
      <c r="G4007" s="8" t="s">
        <v>7515</v>
      </c>
      <c r="H4007" s="8" t="s">
        <v>16</v>
      </c>
      <c r="I4007" s="9">
        <v>3105</v>
      </c>
      <c r="J4007" s="10">
        <v>66</v>
      </c>
      <c r="K4007" s="10">
        <v>66109</v>
      </c>
      <c r="L4007" s="3" t="str">
        <f t="shared" si="131"/>
        <v>ΠΥΡΗΝΟΚΑΡΠΑ</v>
      </c>
    </row>
    <row r="4008" spans="1:12" s="3" customFormat="1" ht="15" customHeight="1" x14ac:dyDescent="0.25">
      <c r="A4008" s="3" t="str">
        <f t="shared" si="130"/>
        <v>ΠΥΡΗΝΟΚΑΡΠΑΝΕΚΤΑΡΙΝ ΑΡΜΚΙΝΓΚ</v>
      </c>
      <c r="B4008" s="4" t="s">
        <v>7280</v>
      </c>
      <c r="C4008" s="5" t="s">
        <v>7516</v>
      </c>
      <c r="D4008" s="6">
        <v>5895.69</v>
      </c>
      <c r="E4008" s="6">
        <v>5815.34</v>
      </c>
      <c r="F4008" s="7" t="s">
        <v>14</v>
      </c>
      <c r="G4008" s="8" t="s">
        <v>7517</v>
      </c>
      <c r="H4008" s="8" t="s">
        <v>16</v>
      </c>
      <c r="I4008" s="9">
        <v>3111</v>
      </c>
      <c r="J4008" s="10">
        <v>66</v>
      </c>
      <c r="K4008" s="10">
        <v>66110</v>
      </c>
      <c r="L4008" s="3" t="str">
        <f t="shared" si="131"/>
        <v>ΠΥΡΗΝΟΚΑΡΠΑ</v>
      </c>
    </row>
    <row r="4009" spans="1:12" s="3" customFormat="1" ht="15" customHeight="1" x14ac:dyDescent="0.25">
      <c r="A4009" s="3" t="str">
        <f t="shared" si="130"/>
        <v>ΠΥΡΗΝΟΚΑΡΠΑΝΕΚΤΑΡΙΝ ΕΡΛΥΤΖΕΜ</v>
      </c>
      <c r="B4009" s="4" t="s">
        <v>7280</v>
      </c>
      <c r="C4009" s="5" t="s">
        <v>7518</v>
      </c>
      <c r="D4009" s="6">
        <v>5895.69</v>
      </c>
      <c r="E4009" s="6">
        <v>5815.34</v>
      </c>
      <c r="F4009" s="7" t="s">
        <v>14</v>
      </c>
      <c r="G4009" s="8" t="s">
        <v>7519</v>
      </c>
      <c r="H4009" s="8" t="s">
        <v>16</v>
      </c>
      <c r="I4009" s="9">
        <v>3112</v>
      </c>
      <c r="J4009" s="10">
        <v>66</v>
      </c>
      <c r="K4009" s="10">
        <v>66111</v>
      </c>
      <c r="L4009" s="3" t="str">
        <f t="shared" si="131"/>
        <v>ΠΥΡΗΝΟΚΑΡΠΑ</v>
      </c>
    </row>
    <row r="4010" spans="1:12" s="3" customFormat="1" ht="15" customHeight="1" x14ac:dyDescent="0.25">
      <c r="A4010" s="3" t="str">
        <f t="shared" si="130"/>
        <v>ΠΥΡΗΝΟΚΑΡΠΑΝΕΚΤΑΡΙΝ ΚΡΙΜΣΟΝ ΓΚΟΛΝΤ</v>
      </c>
      <c r="B4010" s="4" t="s">
        <v>7280</v>
      </c>
      <c r="C4010" s="5" t="s">
        <v>7520</v>
      </c>
      <c r="D4010" s="6">
        <v>5895.69</v>
      </c>
      <c r="E4010" s="6">
        <v>5815.34</v>
      </c>
      <c r="F4010" s="7" t="s">
        <v>14</v>
      </c>
      <c r="G4010" s="8" t="s">
        <v>7521</v>
      </c>
      <c r="H4010" s="8" t="s">
        <v>16</v>
      </c>
      <c r="I4010" s="9">
        <v>3113</v>
      </c>
      <c r="J4010" s="10">
        <v>66</v>
      </c>
      <c r="K4010" s="10">
        <v>66112</v>
      </c>
      <c r="L4010" s="3" t="str">
        <f t="shared" si="131"/>
        <v>ΠΥΡΗΝΟΚΑΡΠΑ</v>
      </c>
    </row>
    <row r="4011" spans="1:12" s="3" customFormat="1" ht="15" customHeight="1" x14ac:dyDescent="0.25">
      <c r="A4011" s="3" t="str">
        <f t="shared" si="130"/>
        <v>ΠΥΡΗΝΟΚΑΡΠΑΝΕΚΤΑΡΙΝ ΡΕΝΤ ΤΖΙΟΥΝ</v>
      </c>
      <c r="B4011" s="4" t="s">
        <v>7280</v>
      </c>
      <c r="C4011" s="5" t="s">
        <v>7522</v>
      </c>
      <c r="D4011" s="6">
        <v>5895.69</v>
      </c>
      <c r="E4011" s="6">
        <v>5815.34</v>
      </c>
      <c r="F4011" s="7" t="s">
        <v>14</v>
      </c>
      <c r="G4011" s="8" t="s">
        <v>7523</v>
      </c>
      <c r="H4011" s="8" t="s">
        <v>16</v>
      </c>
      <c r="I4011" s="9">
        <v>3114</v>
      </c>
      <c r="J4011" s="10">
        <v>66</v>
      </c>
      <c r="K4011" s="10">
        <v>66113</v>
      </c>
      <c r="L4011" s="3" t="str">
        <f t="shared" si="131"/>
        <v>ΠΥΡΗΝΟΚΑΡΠΑ</v>
      </c>
    </row>
    <row r="4012" spans="1:12" s="3" customFormat="1" ht="15" customHeight="1" x14ac:dyDescent="0.25">
      <c r="A4012" s="3" t="str">
        <f t="shared" si="130"/>
        <v>ΠΥΡΗΝΟΚΑΡΠΑΝΕΚΤΑΡΙΝ ΜΕΪΓΚΡΑΝΤ</v>
      </c>
      <c r="B4012" s="4" t="s">
        <v>7280</v>
      </c>
      <c r="C4012" s="5" t="s">
        <v>7524</v>
      </c>
      <c r="D4012" s="6">
        <v>5895.69</v>
      </c>
      <c r="E4012" s="6">
        <v>5815.34</v>
      </c>
      <c r="F4012" s="7" t="s">
        <v>14</v>
      </c>
      <c r="G4012" s="8" t="s">
        <v>7525</v>
      </c>
      <c r="H4012" s="8" t="s">
        <v>16</v>
      </c>
      <c r="I4012" s="9">
        <v>3073</v>
      </c>
      <c r="J4012" s="10">
        <v>66</v>
      </c>
      <c r="K4012" s="10">
        <v>66114</v>
      </c>
      <c r="L4012" s="3" t="str">
        <f t="shared" si="131"/>
        <v>ΠΥΡΗΝΟΚΑΡΠΑ</v>
      </c>
    </row>
    <row r="4013" spans="1:12" s="3" customFormat="1" ht="15" customHeight="1" x14ac:dyDescent="0.25">
      <c r="A4013" s="3" t="str">
        <f t="shared" si="130"/>
        <v>ΠΥΡΗΝΟΚΑΡΠΑΝΕΚΤΑΡΙΝ ΣΤΑΡΚ ΕΡΛΥΜΠΛΕΪΖ</v>
      </c>
      <c r="B4013" s="4" t="s">
        <v>7280</v>
      </c>
      <c r="C4013" s="5" t="s">
        <v>7526</v>
      </c>
      <c r="D4013" s="6">
        <v>5895.69</v>
      </c>
      <c r="E4013" s="6">
        <v>5815.34</v>
      </c>
      <c r="F4013" s="7" t="s">
        <v>14</v>
      </c>
      <c r="G4013" s="8" t="s">
        <v>7527</v>
      </c>
      <c r="H4013" s="8" t="s">
        <v>16</v>
      </c>
      <c r="I4013" s="9">
        <v>3071</v>
      </c>
      <c r="J4013" s="10">
        <v>66</v>
      </c>
      <c r="K4013" s="10">
        <v>66115</v>
      </c>
      <c r="L4013" s="3" t="str">
        <f t="shared" si="131"/>
        <v>ΠΥΡΗΝΟΚΑΡΠΑ</v>
      </c>
    </row>
    <row r="4014" spans="1:12" s="3" customFormat="1" ht="15" customHeight="1" x14ac:dyDescent="0.25">
      <c r="A4014" s="3" t="str">
        <f t="shared" si="130"/>
        <v>ΠΥΡΗΝΟΚΑΡΠΑΝΕΚΤΑΡΙΝ. ΕΡΛΥ ΣΑΝΓΚΡΑΝΤ</v>
      </c>
      <c r="B4014" s="4" t="s">
        <v>7280</v>
      </c>
      <c r="C4014" s="5" t="s">
        <v>7528</v>
      </c>
      <c r="D4014" s="6">
        <v>5895.69</v>
      </c>
      <c r="E4014" s="6">
        <v>5815.34</v>
      </c>
      <c r="F4014" s="7" t="s">
        <v>14</v>
      </c>
      <c r="G4014" s="8" t="s">
        <v>7529</v>
      </c>
      <c r="H4014" s="8" t="s">
        <v>16</v>
      </c>
      <c r="I4014" s="9">
        <v>3100</v>
      </c>
      <c r="J4014" s="10">
        <v>66</v>
      </c>
      <c r="K4014" s="10">
        <v>66116</v>
      </c>
      <c r="L4014" s="3" t="str">
        <f t="shared" si="131"/>
        <v>ΠΥΡΗΝΟΚΑΡΠΑ</v>
      </c>
    </row>
    <row r="4015" spans="1:12" s="3" customFormat="1" ht="15" customHeight="1" x14ac:dyDescent="0.25">
      <c r="A4015" s="3" t="str">
        <f t="shared" si="130"/>
        <v>ΠΥΡΗΝΟΚΑΡΠΑΝΕΚΤΑΡΙΝ. ΙΝΤΙΠΕΝΤΕΝΣ</v>
      </c>
      <c r="B4015" s="4" t="s">
        <v>7280</v>
      </c>
      <c r="C4015" s="5" t="s">
        <v>7530</v>
      </c>
      <c r="D4015" s="6">
        <v>5895.69</v>
      </c>
      <c r="E4015" s="6">
        <v>5815.34</v>
      </c>
      <c r="F4015" s="7" t="s">
        <v>14</v>
      </c>
      <c r="G4015" s="8" t="s">
        <v>7531</v>
      </c>
      <c r="H4015" s="8" t="s">
        <v>16</v>
      </c>
      <c r="I4015" s="9">
        <v>3060</v>
      </c>
      <c r="J4015" s="10">
        <v>66</v>
      </c>
      <c r="K4015" s="10">
        <v>66117</v>
      </c>
      <c r="L4015" s="3" t="str">
        <f t="shared" si="131"/>
        <v>ΠΥΡΗΝΟΚΑΡΠΑ</v>
      </c>
    </row>
    <row r="4016" spans="1:12" s="3" customFormat="1" ht="15" customHeight="1" x14ac:dyDescent="0.25">
      <c r="A4016" s="3" t="str">
        <f t="shared" si="130"/>
        <v>ΠΥΡΗΝΟΚΑΡΠΑΝΕΚΤΑΡΙΝ. ΦΑΙΡΜΠΡΑΪΤ</v>
      </c>
      <c r="B4016" s="4" t="s">
        <v>7280</v>
      </c>
      <c r="C4016" s="5" t="s">
        <v>7532</v>
      </c>
      <c r="D4016" s="6">
        <v>5895.69</v>
      </c>
      <c r="E4016" s="6">
        <v>5815.34</v>
      </c>
      <c r="F4016" s="7" t="s">
        <v>14</v>
      </c>
      <c r="G4016" s="8" t="s">
        <v>7533</v>
      </c>
      <c r="H4016" s="8" t="s">
        <v>16</v>
      </c>
      <c r="I4016" s="9">
        <v>3061</v>
      </c>
      <c r="J4016" s="10">
        <v>66</v>
      </c>
      <c r="K4016" s="10">
        <v>66118</v>
      </c>
      <c r="L4016" s="3" t="str">
        <f t="shared" si="131"/>
        <v>ΠΥΡΗΝΟΚΑΡΠΑ</v>
      </c>
    </row>
    <row r="4017" spans="1:12" s="3" customFormat="1" ht="15" customHeight="1" x14ac:dyDescent="0.25">
      <c r="A4017" s="3" t="str">
        <f t="shared" si="130"/>
        <v>ΠΥΡΗΝΟΚΑΡΠΑΝΕΚΤΑΡΙΝ. ΡΑΜΠΕΤΓΚΟΛΝΤ</v>
      </c>
      <c r="B4017" s="4" t="s">
        <v>7280</v>
      </c>
      <c r="C4017" s="5" t="s">
        <v>7534</v>
      </c>
      <c r="D4017" s="6">
        <v>5895.69</v>
      </c>
      <c r="E4017" s="6">
        <v>5815.34</v>
      </c>
      <c r="F4017" s="7" t="s">
        <v>14</v>
      </c>
      <c r="G4017" s="8" t="s">
        <v>7535</v>
      </c>
      <c r="H4017" s="8" t="s">
        <v>16</v>
      </c>
      <c r="I4017" s="9">
        <v>3062</v>
      </c>
      <c r="J4017" s="10">
        <v>66</v>
      </c>
      <c r="K4017" s="10">
        <v>66119</v>
      </c>
      <c r="L4017" s="3" t="str">
        <f t="shared" si="131"/>
        <v>ΠΥΡΗΝΟΚΑΡΠΑ</v>
      </c>
    </row>
    <row r="4018" spans="1:12" s="3" customFormat="1" ht="15" customHeight="1" x14ac:dyDescent="0.25">
      <c r="A4018" s="3" t="str">
        <f t="shared" si="130"/>
        <v>ΠΥΡΗΝΟΚΑΡΠΑΝΕΚΤΑΡΙΝΙΑ Νο 4</v>
      </c>
      <c r="B4018" s="4" t="s">
        <v>7280</v>
      </c>
      <c r="C4018" s="5" t="s">
        <v>7536</v>
      </c>
      <c r="D4018" s="6">
        <v>5895.69</v>
      </c>
      <c r="E4018" s="6">
        <v>5815.34</v>
      </c>
      <c r="F4018" s="7" t="s">
        <v>14</v>
      </c>
      <c r="G4018" s="8" t="s">
        <v>7537</v>
      </c>
      <c r="H4018" s="8" t="s">
        <v>16</v>
      </c>
      <c r="I4018" s="9">
        <v>3063</v>
      </c>
      <c r="J4018" s="10">
        <v>66</v>
      </c>
      <c r="K4018" s="10">
        <v>66120</v>
      </c>
      <c r="L4018" s="3" t="str">
        <f t="shared" si="131"/>
        <v>ΠΥΡΗΝΟΚΑΡΠΑ</v>
      </c>
    </row>
    <row r="4019" spans="1:12" s="3" customFormat="1" ht="15" customHeight="1" x14ac:dyDescent="0.25">
      <c r="A4019" s="3" t="str">
        <f t="shared" si="130"/>
        <v>ΠΥΡΗΝΟΚΑΡΠΑΝΕΚΤΑΡΙΝΙΑ Νο 5</v>
      </c>
      <c r="B4019" s="4" t="s">
        <v>7280</v>
      </c>
      <c r="C4019" s="5" t="s">
        <v>7538</v>
      </c>
      <c r="D4019" s="6">
        <v>5895.69</v>
      </c>
      <c r="E4019" s="6">
        <v>5815.34</v>
      </c>
      <c r="F4019" s="7" t="s">
        <v>14</v>
      </c>
      <c r="G4019" s="8" t="s">
        <v>7539</v>
      </c>
      <c r="H4019" s="8" t="s">
        <v>16</v>
      </c>
      <c r="I4019" s="9">
        <v>3064</v>
      </c>
      <c r="J4019" s="10">
        <v>66</v>
      </c>
      <c r="K4019" s="10">
        <v>66121</v>
      </c>
      <c r="L4019" s="3" t="str">
        <f t="shared" si="131"/>
        <v>ΠΥΡΗΝΟΚΑΡΠΑ</v>
      </c>
    </row>
    <row r="4020" spans="1:12" s="3" customFormat="1" ht="15" customHeight="1" x14ac:dyDescent="0.25">
      <c r="A4020" s="3" t="str">
        <f t="shared" si="130"/>
        <v>ΠΥΡΗΝΟΚΑΡΠΑΝΕΚΤΑΡΙΝΙΑ Νο 6</v>
      </c>
      <c r="B4020" s="4" t="s">
        <v>7280</v>
      </c>
      <c r="C4020" s="5" t="s">
        <v>7540</v>
      </c>
      <c r="D4020" s="6">
        <v>5895.69</v>
      </c>
      <c r="E4020" s="6">
        <v>5815.34</v>
      </c>
      <c r="F4020" s="7" t="s">
        <v>14</v>
      </c>
      <c r="G4020" s="8" t="s">
        <v>7541</v>
      </c>
      <c r="H4020" s="8" t="s">
        <v>16</v>
      </c>
      <c r="I4020" s="9">
        <v>3065</v>
      </c>
      <c r="J4020" s="10">
        <v>66</v>
      </c>
      <c r="K4020" s="10">
        <v>66122</v>
      </c>
      <c r="L4020" s="3" t="str">
        <f t="shared" si="131"/>
        <v>ΠΥΡΗΝΟΚΑΡΠΑ</v>
      </c>
    </row>
    <row r="4021" spans="1:12" s="3" customFormat="1" ht="15" customHeight="1" x14ac:dyDescent="0.25">
      <c r="A4021" s="3" t="str">
        <f t="shared" si="130"/>
        <v>ΠΥΡΗΝΟΚΑΡΠΑΝΕΚΤΑΡΙΝ. ΣΤΑΡΚ ΣΑΝ ΓΚΛΟ</v>
      </c>
      <c r="B4021" s="4" t="s">
        <v>7280</v>
      </c>
      <c r="C4021" s="5" t="s">
        <v>7542</v>
      </c>
      <c r="D4021" s="6">
        <v>5895.69</v>
      </c>
      <c r="E4021" s="6">
        <v>5815.34</v>
      </c>
      <c r="F4021" s="7" t="s">
        <v>14</v>
      </c>
      <c r="G4021" s="8" t="s">
        <v>7543</v>
      </c>
      <c r="H4021" s="8" t="s">
        <v>16</v>
      </c>
      <c r="I4021" s="9">
        <v>3066</v>
      </c>
      <c r="J4021" s="10">
        <v>66</v>
      </c>
      <c r="K4021" s="10">
        <v>66123</v>
      </c>
      <c r="L4021" s="3" t="str">
        <f t="shared" si="131"/>
        <v>ΠΥΡΗΝΟΚΑΡΠΑ</v>
      </c>
    </row>
    <row r="4022" spans="1:12" s="3" customFormat="1" ht="15" customHeight="1" x14ac:dyDescent="0.25">
      <c r="A4022" s="3" t="str">
        <f t="shared" si="130"/>
        <v>ΠΥΡΗΝΟΚΑΡΠΑΝΕΚΤΑΡΙΝ. ΦΛΕΪΒΟΡ ΤΟΠ</v>
      </c>
      <c r="B4022" s="4" t="s">
        <v>7280</v>
      </c>
      <c r="C4022" s="5" t="s">
        <v>7544</v>
      </c>
      <c r="D4022" s="6">
        <v>5895.69</v>
      </c>
      <c r="E4022" s="6">
        <v>5815.34</v>
      </c>
      <c r="F4022" s="7" t="s">
        <v>14</v>
      </c>
      <c r="G4022" s="8" t="s">
        <v>7545</v>
      </c>
      <c r="H4022" s="8" t="s">
        <v>16</v>
      </c>
      <c r="I4022" s="9">
        <v>3067</v>
      </c>
      <c r="J4022" s="10">
        <v>66</v>
      </c>
      <c r="K4022" s="10">
        <v>66124</v>
      </c>
      <c r="L4022" s="3" t="str">
        <f t="shared" si="131"/>
        <v>ΠΥΡΗΝΟΚΑΡΠΑ</v>
      </c>
    </row>
    <row r="4023" spans="1:12" s="3" customFormat="1" ht="15" customHeight="1" x14ac:dyDescent="0.25">
      <c r="A4023" s="3" t="str">
        <f t="shared" si="130"/>
        <v>ΠΥΡΗΝΟΚΑΡΠΑΝΕΚΤΑΡΙΝ. ΣΤΑΡΚ ΡΕΝΤ ΓΚΟΛΝΤ</v>
      </c>
      <c r="B4023" s="4" t="s">
        <v>7280</v>
      </c>
      <c r="C4023" s="5" t="s">
        <v>7546</v>
      </c>
      <c r="D4023" s="6">
        <v>5895.69</v>
      </c>
      <c r="E4023" s="6">
        <v>5815.34</v>
      </c>
      <c r="F4023" s="7" t="s">
        <v>14</v>
      </c>
      <c r="G4023" s="8" t="s">
        <v>7547</v>
      </c>
      <c r="H4023" s="8" t="s">
        <v>16</v>
      </c>
      <c r="I4023" s="9">
        <v>3068</v>
      </c>
      <c r="J4023" s="10">
        <v>66</v>
      </c>
      <c r="K4023" s="10">
        <v>66125</v>
      </c>
      <c r="L4023" s="3" t="str">
        <f t="shared" si="131"/>
        <v>ΠΥΡΗΝΟΚΑΡΠΑ</v>
      </c>
    </row>
    <row r="4024" spans="1:12" s="3" customFormat="1" ht="15" customHeight="1" x14ac:dyDescent="0.25">
      <c r="A4024" s="3" t="str">
        <f t="shared" si="130"/>
        <v>ΠΥΡΗΝΟΚΑΡΠΑΝΕΚΤΑΡΙΝ. ΦΑΝΤΑΣΙΑ</v>
      </c>
      <c r="B4024" s="4" t="s">
        <v>7280</v>
      </c>
      <c r="C4024" s="5" t="s">
        <v>7548</v>
      </c>
      <c r="D4024" s="6">
        <v>5895.69</v>
      </c>
      <c r="E4024" s="6">
        <v>5815.34</v>
      </c>
      <c r="F4024" s="7" t="s">
        <v>14</v>
      </c>
      <c r="G4024" s="8" t="s">
        <v>7549</v>
      </c>
      <c r="H4024" s="8" t="s">
        <v>16</v>
      </c>
      <c r="I4024" s="9">
        <v>3069</v>
      </c>
      <c r="J4024" s="10">
        <v>66</v>
      </c>
      <c r="K4024" s="10">
        <v>66126</v>
      </c>
      <c r="L4024" s="3" t="str">
        <f t="shared" si="131"/>
        <v>ΠΥΡΗΝΟΚΑΡΠΑ</v>
      </c>
    </row>
    <row r="4025" spans="1:12" s="3" customFormat="1" ht="15" customHeight="1" x14ac:dyDescent="0.25">
      <c r="A4025" s="3" t="str">
        <f t="shared" si="130"/>
        <v>ΠΥΡΗΝΟΚΑΡΠΑΝΕΚΤΑΡΙΝΙΑ Νο 8</v>
      </c>
      <c r="B4025" s="4" t="s">
        <v>7280</v>
      </c>
      <c r="C4025" s="5" t="s">
        <v>7550</v>
      </c>
      <c r="D4025" s="6">
        <v>5895.69</v>
      </c>
      <c r="E4025" s="6">
        <v>5815.34</v>
      </c>
      <c r="F4025" s="7" t="s">
        <v>14</v>
      </c>
      <c r="G4025" s="8" t="s">
        <v>7551</v>
      </c>
      <c r="H4025" s="8" t="s">
        <v>16</v>
      </c>
      <c r="I4025" s="9">
        <v>3072</v>
      </c>
      <c r="J4025" s="10">
        <v>66</v>
      </c>
      <c r="K4025" s="10">
        <v>66127</v>
      </c>
      <c r="L4025" s="3" t="str">
        <f t="shared" si="131"/>
        <v>ΠΥΡΗΝΟΚΑΡΠΑ</v>
      </c>
    </row>
    <row r="4026" spans="1:12" s="3" customFormat="1" ht="15" customHeight="1" x14ac:dyDescent="0.25">
      <c r="A4026" s="3" t="str">
        <f t="shared" si="130"/>
        <v>ΠΥΡΗΝΟΚΑΡΠΑΝΕΚΤΑΡΙΝΙΑ Νο 9</v>
      </c>
      <c r="B4026" s="4" t="s">
        <v>7280</v>
      </c>
      <c r="C4026" s="5" t="s">
        <v>7552</v>
      </c>
      <c r="D4026" s="6">
        <v>5895.69</v>
      </c>
      <c r="E4026" s="6">
        <v>5815.34</v>
      </c>
      <c r="F4026" s="7" t="s">
        <v>14</v>
      </c>
      <c r="G4026" s="8" t="s">
        <v>7553</v>
      </c>
      <c r="H4026" s="8" t="s">
        <v>16</v>
      </c>
      <c r="I4026" s="9">
        <v>3058</v>
      </c>
      <c r="J4026" s="10">
        <v>66</v>
      </c>
      <c r="K4026" s="10">
        <v>66128</v>
      </c>
      <c r="L4026" s="3" t="str">
        <f t="shared" si="131"/>
        <v>ΠΥΡΗΝΟΚΑΡΠΑ</v>
      </c>
    </row>
    <row r="4027" spans="1:12" s="3" customFormat="1" ht="15" customHeight="1" x14ac:dyDescent="0.25">
      <c r="A4027" s="3" t="str">
        <f t="shared" si="130"/>
        <v>ΠΥΡΗΝΟΚΑΡΠΑΝΕΚΤΑΡΙΝ. ΦΛΕΪΜ ΚΙΣ</v>
      </c>
      <c r="B4027" s="4" t="s">
        <v>7280</v>
      </c>
      <c r="C4027" s="5" t="s">
        <v>7554</v>
      </c>
      <c r="D4027" s="6">
        <v>5895.69</v>
      </c>
      <c r="E4027" s="6">
        <v>5815.34</v>
      </c>
      <c r="F4027" s="7" t="s">
        <v>14</v>
      </c>
      <c r="G4027" s="8" t="s">
        <v>7555</v>
      </c>
      <c r="H4027" s="8" t="s">
        <v>16</v>
      </c>
      <c r="I4027" s="9">
        <v>3074</v>
      </c>
      <c r="J4027" s="10">
        <v>66</v>
      </c>
      <c r="K4027" s="10">
        <v>66129</v>
      </c>
      <c r="L4027" s="3" t="str">
        <f t="shared" si="131"/>
        <v>ΠΥΡΗΝΟΚΑΡΠΑ</v>
      </c>
    </row>
    <row r="4028" spans="1:12" s="3" customFormat="1" ht="15" customHeight="1" x14ac:dyDescent="0.25">
      <c r="A4028" s="3" t="str">
        <f t="shared" si="130"/>
        <v>ΠΥΡΗΝΟΚΑΡΠΑΝΕΚΤΑΡΙΝ. ΦΕΑΡΛΕΪΝ</v>
      </c>
      <c r="B4028" s="4" t="s">
        <v>7280</v>
      </c>
      <c r="C4028" s="5" t="s">
        <v>7556</v>
      </c>
      <c r="D4028" s="6">
        <v>5895.69</v>
      </c>
      <c r="E4028" s="6">
        <v>5815.34</v>
      </c>
      <c r="F4028" s="7" t="s">
        <v>14</v>
      </c>
      <c r="G4028" s="8" t="s">
        <v>7557</v>
      </c>
      <c r="H4028" s="8" t="s">
        <v>16</v>
      </c>
      <c r="I4028" s="9">
        <v>3075</v>
      </c>
      <c r="J4028" s="10">
        <v>66</v>
      </c>
      <c r="K4028" s="10">
        <v>66130</v>
      </c>
      <c r="L4028" s="3" t="str">
        <f t="shared" si="131"/>
        <v>ΠΥΡΗΝΟΚΑΡΠΑ</v>
      </c>
    </row>
    <row r="4029" spans="1:12" s="3" customFormat="1" ht="15" customHeight="1" x14ac:dyDescent="0.25">
      <c r="A4029" s="3" t="str">
        <f t="shared" si="130"/>
        <v>ΠΥΡΗΝΟΚΑΡΠΑΝΕΚΤΑΡΙΝ. Φ100 ΜΕΣΟΠΡ.</v>
      </c>
      <c r="B4029" s="4" t="s">
        <v>7280</v>
      </c>
      <c r="C4029" s="5" t="s">
        <v>7558</v>
      </c>
      <c r="D4029" s="6">
        <v>5895.69</v>
      </c>
      <c r="E4029" s="6">
        <v>5815.34</v>
      </c>
      <c r="F4029" s="7" t="s">
        <v>14</v>
      </c>
      <c r="G4029" s="8" t="s">
        <v>7559</v>
      </c>
      <c r="H4029" s="8" t="s">
        <v>16</v>
      </c>
      <c r="I4029" s="9">
        <v>3076</v>
      </c>
      <c r="J4029" s="10">
        <v>66</v>
      </c>
      <c r="K4029" s="10">
        <v>66131</v>
      </c>
      <c r="L4029" s="3" t="str">
        <f t="shared" si="131"/>
        <v>ΠΥΡΗΝΟΚΑΡΠΑ</v>
      </c>
    </row>
    <row r="4030" spans="1:12" s="3" customFormat="1" ht="15" customHeight="1" x14ac:dyDescent="0.25">
      <c r="A4030" s="3" t="str">
        <f t="shared" si="130"/>
        <v>ΠΥΡΗΝΟΚΑΡΠΑΝΕΚΤΑΡΙΝ. Κ. ΜΕΛΙΚΗ</v>
      </c>
      <c r="B4030" s="4" t="s">
        <v>7280</v>
      </c>
      <c r="C4030" s="5" t="s">
        <v>7560</v>
      </c>
      <c r="D4030" s="6">
        <v>5895.69</v>
      </c>
      <c r="E4030" s="6">
        <v>5815.34</v>
      </c>
      <c r="F4030" s="7" t="s">
        <v>14</v>
      </c>
      <c r="G4030" s="8" t="s">
        <v>7561</v>
      </c>
      <c r="H4030" s="8" t="s">
        <v>16</v>
      </c>
      <c r="I4030" s="9">
        <v>3077</v>
      </c>
      <c r="J4030" s="10">
        <v>66</v>
      </c>
      <c r="K4030" s="10">
        <v>66132</v>
      </c>
      <c r="L4030" s="3" t="str">
        <f t="shared" si="131"/>
        <v>ΠΥΡΗΝΟΚΑΡΠΑ</v>
      </c>
    </row>
    <row r="4031" spans="1:12" s="3" customFormat="1" ht="15" customHeight="1" x14ac:dyDescent="0.25">
      <c r="A4031" s="3" t="str">
        <f t="shared" si="130"/>
        <v>ΠΥΡΗΝΟΚΑΡΠΑΝΕΚΤΑΡΙΝ. ΑΟΥΡΕΛΙΑ ΓΚΡΑΝΤ</v>
      </c>
      <c r="B4031" s="4" t="s">
        <v>7280</v>
      </c>
      <c r="C4031" s="5" t="s">
        <v>7562</v>
      </c>
      <c r="D4031" s="6">
        <v>5895.69</v>
      </c>
      <c r="E4031" s="6">
        <v>5815.34</v>
      </c>
      <c r="F4031" s="7" t="s">
        <v>14</v>
      </c>
      <c r="G4031" s="8" t="s">
        <v>7563</v>
      </c>
      <c r="H4031" s="8" t="s">
        <v>16</v>
      </c>
      <c r="I4031" s="9">
        <v>3078</v>
      </c>
      <c r="J4031" s="10">
        <v>66</v>
      </c>
      <c r="K4031" s="10">
        <v>66133</v>
      </c>
      <c r="L4031" s="3" t="str">
        <f t="shared" si="131"/>
        <v>ΠΥΡΗΝΟΚΑΡΠΑ</v>
      </c>
    </row>
    <row r="4032" spans="1:12" s="3" customFormat="1" ht="15" customHeight="1" x14ac:dyDescent="0.25">
      <c r="A4032" s="3" t="str">
        <f t="shared" si="130"/>
        <v>ΠΥΡΗΝΟΚΑΡΠΑΝΕΚΤΑΡΙΝ. ΜΑΡΙΑ ΑΙΜΙΛΙΑ</v>
      </c>
      <c r="B4032" s="4" t="s">
        <v>7280</v>
      </c>
      <c r="C4032" s="5" t="s">
        <v>7564</v>
      </c>
      <c r="D4032" s="6">
        <v>5895.69</v>
      </c>
      <c r="E4032" s="6">
        <v>5815.34</v>
      </c>
      <c r="F4032" s="7" t="s">
        <v>14</v>
      </c>
      <c r="G4032" s="8" t="s">
        <v>7565</v>
      </c>
      <c r="H4032" s="8" t="s">
        <v>16</v>
      </c>
      <c r="I4032" s="9">
        <v>3079</v>
      </c>
      <c r="J4032" s="10">
        <v>66</v>
      </c>
      <c r="K4032" s="10">
        <v>66134</v>
      </c>
      <c r="L4032" s="3" t="str">
        <f t="shared" si="131"/>
        <v>ΠΥΡΗΝΟΚΑΡΠΑ</v>
      </c>
    </row>
    <row r="4033" spans="1:12" s="3" customFormat="1" ht="15" customHeight="1" x14ac:dyDescent="0.25">
      <c r="A4033" s="3" t="str">
        <f t="shared" si="130"/>
        <v>ΠΥΡΗΝΟΚΑΡΠΑΝΕΚΤΑΡΙΝ. ΣΝΟΟΥ ΚΟΥΪΝ</v>
      </c>
      <c r="B4033" s="4" t="s">
        <v>7280</v>
      </c>
      <c r="C4033" s="5" t="s">
        <v>7566</v>
      </c>
      <c r="D4033" s="6">
        <v>5895.69</v>
      </c>
      <c r="E4033" s="6">
        <v>5815.34</v>
      </c>
      <c r="F4033" s="7" t="s">
        <v>14</v>
      </c>
      <c r="G4033" s="8" t="s">
        <v>7567</v>
      </c>
      <c r="H4033" s="8" t="s">
        <v>16</v>
      </c>
      <c r="I4033" s="9">
        <v>3080</v>
      </c>
      <c r="J4033" s="10">
        <v>66</v>
      </c>
      <c r="K4033" s="10">
        <v>66135</v>
      </c>
      <c r="L4033" s="3" t="str">
        <f t="shared" si="131"/>
        <v>ΠΥΡΗΝΟΚΑΡΠΑ</v>
      </c>
    </row>
    <row r="4034" spans="1:12" s="3" customFormat="1" ht="15" customHeight="1" x14ac:dyDescent="0.25">
      <c r="A4034" s="3" t="str">
        <f t="shared" si="130"/>
        <v>ΠΥΡΗΝΟΚΑΡΠΑΝΕΚΤΑΡΙΝ. ΣΠΡΙΝΓΚ ΡΕΝΤ</v>
      </c>
      <c r="B4034" s="4" t="s">
        <v>7280</v>
      </c>
      <c r="C4034" s="5" t="s">
        <v>7568</v>
      </c>
      <c r="D4034" s="6">
        <v>5895.69</v>
      </c>
      <c r="E4034" s="6">
        <v>5815.34</v>
      </c>
      <c r="F4034" s="7" t="s">
        <v>14</v>
      </c>
      <c r="G4034" s="8" t="s">
        <v>7569</v>
      </c>
      <c r="H4034" s="8" t="s">
        <v>16</v>
      </c>
      <c r="I4034" s="9">
        <v>3081</v>
      </c>
      <c r="J4034" s="10">
        <v>66</v>
      </c>
      <c r="K4034" s="10">
        <v>66136</v>
      </c>
      <c r="L4034" s="3" t="str">
        <f t="shared" si="131"/>
        <v>ΠΥΡΗΝΟΚΑΡΠΑ</v>
      </c>
    </row>
    <row r="4035" spans="1:12" s="3" customFormat="1" ht="24" customHeight="1" x14ac:dyDescent="0.25">
      <c r="A4035" s="3" t="str">
        <f t="shared" ref="A4035:A4098" si="132">_xlfn.CONCAT(B4035,C4035)</f>
        <v>ΠΥΡΗΝΟΚΑΡΠΑΝΕΚΤΑΡΙΝ. ΣΑΜΕΡ ΓΚΟΛΝΤ</v>
      </c>
      <c r="B4035" s="4" t="s">
        <v>7280</v>
      </c>
      <c r="C4035" s="5" t="s">
        <v>7570</v>
      </c>
      <c r="D4035" s="6">
        <v>5895.69</v>
      </c>
      <c r="E4035" s="6">
        <v>5815.34</v>
      </c>
      <c r="F4035" s="7" t="s">
        <v>14</v>
      </c>
      <c r="G4035" s="8" t="s">
        <v>7571</v>
      </c>
      <c r="H4035" s="8" t="s">
        <v>16</v>
      </c>
      <c r="I4035" s="9">
        <v>3082</v>
      </c>
      <c r="J4035" s="10">
        <v>66</v>
      </c>
      <c r="K4035" s="10">
        <v>66137</v>
      </c>
      <c r="L4035" s="3" t="str">
        <f t="shared" ref="L4035:L4098" si="133">IFERROR(SUBSTITUTE(SUBSTITUTE(SUBSTITUTE(SUBSTITUTE(SUBSTITUTE(B4035, "-", "_"), " ", "_"), ",", ""), "(", ""), ")", ""), B4035)</f>
        <v>ΠΥΡΗΝΟΚΑΡΠΑ</v>
      </c>
    </row>
    <row r="4036" spans="1:12" s="3" customFormat="1" ht="24" x14ac:dyDescent="0.25">
      <c r="A4036" s="3" t="str">
        <f t="shared" si="132"/>
        <v>ΠΥΡΗΝΟΚΑΡΠΑΝΕΚΤΑΡΙΝ. ΣΟΥΠΕΡ ΡΕΝΤ</v>
      </c>
      <c r="B4036" s="4" t="s">
        <v>7280</v>
      </c>
      <c r="C4036" s="5" t="s">
        <v>7572</v>
      </c>
      <c r="D4036" s="6">
        <v>5895.69</v>
      </c>
      <c r="E4036" s="6">
        <v>5815.34</v>
      </c>
      <c r="F4036" s="7" t="s">
        <v>14</v>
      </c>
      <c r="G4036" s="8" t="s">
        <v>7573</v>
      </c>
      <c r="H4036" s="8" t="s">
        <v>16</v>
      </c>
      <c r="I4036" s="9">
        <v>3083</v>
      </c>
      <c r="J4036" s="10">
        <v>66</v>
      </c>
      <c r="K4036" s="10">
        <v>66138</v>
      </c>
      <c r="L4036" s="3" t="str">
        <f t="shared" si="133"/>
        <v>ΠΥΡΗΝΟΚΑΡΠΑ</v>
      </c>
    </row>
    <row r="4037" spans="1:12" s="3" customFormat="1" ht="24" customHeight="1" x14ac:dyDescent="0.25">
      <c r="A4037" s="3" t="str">
        <f t="shared" si="132"/>
        <v>ΠΥΡΗΝΟΚΑΡΠΑΝΕΚΤΑΡΙΝ. ΜΑΤΣΟΥΚΕΛΑ</v>
      </c>
      <c r="B4037" s="4" t="s">
        <v>7280</v>
      </c>
      <c r="C4037" s="5" t="s">
        <v>7574</v>
      </c>
      <c r="D4037" s="6">
        <v>5895.69</v>
      </c>
      <c r="E4037" s="6">
        <v>5815.34</v>
      </c>
      <c r="F4037" s="7" t="s">
        <v>14</v>
      </c>
      <c r="G4037" s="8" t="s">
        <v>7575</v>
      </c>
      <c r="H4037" s="8" t="s">
        <v>16</v>
      </c>
      <c r="I4037" s="9">
        <v>3084</v>
      </c>
      <c r="J4037" s="10">
        <v>66</v>
      </c>
      <c r="K4037" s="10">
        <v>66139</v>
      </c>
      <c r="L4037" s="3" t="str">
        <f t="shared" si="133"/>
        <v>ΠΥΡΗΝΟΚΑΡΠΑ</v>
      </c>
    </row>
    <row r="4038" spans="1:12" s="3" customFormat="1" ht="24" x14ac:dyDescent="0.25">
      <c r="A4038" s="3" t="str">
        <f t="shared" si="132"/>
        <v>ΠΥΡΗΝΟΚΑΡΠΑΝΕΚΤΑΡΙΝ. ΓΟΥΑΪΝΜΠΕΡΓΚΕΡ</v>
      </c>
      <c r="B4038" s="4" t="s">
        <v>7280</v>
      </c>
      <c r="C4038" s="5" t="s">
        <v>7576</v>
      </c>
      <c r="D4038" s="6">
        <v>5895.69</v>
      </c>
      <c r="E4038" s="6">
        <v>5815.34</v>
      </c>
      <c r="F4038" s="7" t="s">
        <v>14</v>
      </c>
      <c r="G4038" s="8" t="s">
        <v>7577</v>
      </c>
      <c r="H4038" s="8" t="s">
        <v>16</v>
      </c>
      <c r="I4038" s="9">
        <v>2972</v>
      </c>
      <c r="J4038" s="10">
        <v>66</v>
      </c>
      <c r="K4038" s="10">
        <v>66140</v>
      </c>
      <c r="L4038" s="3" t="str">
        <f t="shared" si="133"/>
        <v>ΠΥΡΗΝΟΚΑΡΠΑ</v>
      </c>
    </row>
    <row r="4039" spans="1:12" s="3" customFormat="1" ht="24" customHeight="1" x14ac:dyDescent="0.25">
      <c r="A4039" s="3" t="str">
        <f t="shared" si="132"/>
        <v>ΠΥΡΗΝΟΚΑΡΠΑΝΕΚΤΑΡΙΝ. ΤΕΪΣΤΙΦΡΙ</v>
      </c>
      <c r="B4039" s="4" t="s">
        <v>7280</v>
      </c>
      <c r="C4039" s="5" t="s">
        <v>7578</v>
      </c>
      <c r="D4039" s="6">
        <v>5895.69</v>
      </c>
      <c r="E4039" s="6">
        <v>5815.34</v>
      </c>
      <c r="F4039" s="7" t="s">
        <v>14</v>
      </c>
      <c r="G4039" s="8" t="s">
        <v>7579</v>
      </c>
      <c r="H4039" s="8" t="s">
        <v>16</v>
      </c>
      <c r="I4039" s="9">
        <v>3102</v>
      </c>
      <c r="J4039" s="10">
        <v>66</v>
      </c>
      <c r="K4039" s="10">
        <v>66141</v>
      </c>
      <c r="L4039" s="3" t="str">
        <f t="shared" si="133"/>
        <v>ΠΥΡΗΝΟΚΑΡΠΑ</v>
      </c>
    </row>
    <row r="4040" spans="1:12" s="3" customFormat="1" ht="24" x14ac:dyDescent="0.25">
      <c r="A4040" s="3" t="str">
        <f t="shared" si="132"/>
        <v>ΠΥΡΗΝΟΚΑΡΠΑΝΕΚΤΑΡΙΝ. ΟΤΟΜΝΦΡΙ</v>
      </c>
      <c r="B4040" s="4" t="s">
        <v>7280</v>
      </c>
      <c r="C4040" s="5" t="s">
        <v>7580</v>
      </c>
      <c r="D4040" s="6">
        <v>5895.69</v>
      </c>
      <c r="E4040" s="6">
        <v>5815.34</v>
      </c>
      <c r="F4040" s="7" t="s">
        <v>14</v>
      </c>
      <c r="G4040" s="8" t="s">
        <v>7581</v>
      </c>
      <c r="H4040" s="8" t="s">
        <v>16</v>
      </c>
      <c r="I4040" s="9">
        <v>3027</v>
      </c>
      <c r="J4040" s="10">
        <v>66</v>
      </c>
      <c r="K4040" s="10">
        <v>66142</v>
      </c>
      <c r="L4040" s="3" t="str">
        <f t="shared" si="133"/>
        <v>ΠΥΡΗΝΟΚΑΡΠΑ</v>
      </c>
    </row>
    <row r="4041" spans="1:12" s="3" customFormat="1" ht="24" customHeight="1" x14ac:dyDescent="0.25">
      <c r="A4041" s="3" t="str">
        <f t="shared" si="132"/>
        <v>ΠΥΡΗΝΟΚΑΡΠΑΝΕΚΤΑΡΙΝ. ΣΟΥΠΕΡ ΚΡΙΜΣΟΝ</v>
      </c>
      <c r="B4041" s="4" t="s">
        <v>7280</v>
      </c>
      <c r="C4041" s="5" t="s">
        <v>7582</v>
      </c>
      <c r="D4041" s="6">
        <v>5895.69</v>
      </c>
      <c r="E4041" s="6">
        <v>5815.34</v>
      </c>
      <c r="F4041" s="7" t="s">
        <v>14</v>
      </c>
      <c r="G4041" s="8" t="s">
        <v>7583</v>
      </c>
      <c r="H4041" s="8" t="s">
        <v>16</v>
      </c>
      <c r="I4041" s="9">
        <v>2914</v>
      </c>
      <c r="J4041" s="10">
        <v>66</v>
      </c>
      <c r="K4041" s="10">
        <v>66143</v>
      </c>
      <c r="L4041" s="3" t="str">
        <f t="shared" si="133"/>
        <v>ΠΥΡΗΝΟΚΑΡΠΑ</v>
      </c>
    </row>
    <row r="4042" spans="1:12" s="3" customFormat="1" ht="24" x14ac:dyDescent="0.25">
      <c r="A4042" s="3" t="str">
        <f t="shared" si="132"/>
        <v>ΠΥΡΗΝΟΚΑΡΠΑΝΕΚΤΑΡΙΝ. ΚΑΛ-84</v>
      </c>
      <c r="B4042" s="4" t="s">
        <v>7280</v>
      </c>
      <c r="C4042" s="5" t="s">
        <v>7584</v>
      </c>
      <c r="D4042" s="6">
        <v>5895.69</v>
      </c>
      <c r="E4042" s="6">
        <v>5815.34</v>
      </c>
      <c r="F4042" s="7" t="s">
        <v>14</v>
      </c>
      <c r="G4042" s="8" t="s">
        <v>7585</v>
      </c>
      <c r="H4042" s="8" t="s">
        <v>16</v>
      </c>
      <c r="I4042" s="9">
        <v>2915</v>
      </c>
      <c r="J4042" s="10">
        <v>66</v>
      </c>
      <c r="K4042" s="10">
        <v>66144</v>
      </c>
      <c r="L4042" s="3" t="str">
        <f t="shared" si="133"/>
        <v>ΠΥΡΗΝΟΚΑΡΠΑ</v>
      </c>
    </row>
    <row r="4043" spans="1:12" s="3" customFormat="1" ht="24" customHeight="1" x14ac:dyDescent="0.25">
      <c r="A4043" s="3" t="str">
        <f t="shared" si="132"/>
        <v>ΠΥΡΗΝΟΚΑΡΠΑΝΕΚΤΑΡΙΝΙΑ Νο 2</v>
      </c>
      <c r="B4043" s="4" t="s">
        <v>7280</v>
      </c>
      <c r="C4043" s="5" t="s">
        <v>7586</v>
      </c>
      <c r="D4043" s="6">
        <v>5895.69</v>
      </c>
      <c r="E4043" s="6">
        <v>5815.34</v>
      </c>
      <c r="F4043" s="7" t="s">
        <v>14</v>
      </c>
      <c r="G4043" s="8" t="s">
        <v>7587</v>
      </c>
      <c r="H4043" s="8" t="s">
        <v>16</v>
      </c>
      <c r="I4043" s="9">
        <v>2917</v>
      </c>
      <c r="J4043" s="10">
        <v>66</v>
      </c>
      <c r="K4043" s="10">
        <v>66145</v>
      </c>
      <c r="L4043" s="3" t="str">
        <f t="shared" si="133"/>
        <v>ΠΥΡΗΝΟΚΑΡΠΑ</v>
      </c>
    </row>
    <row r="4044" spans="1:12" s="3" customFormat="1" ht="24" x14ac:dyDescent="0.25">
      <c r="A4044" s="3" t="str">
        <f t="shared" si="132"/>
        <v>ΠΥΡΗΝΟΚΑΡΠΑΝΕΚΤΑΡΙΝΙΑ Νο 3</v>
      </c>
      <c r="B4044" s="4" t="s">
        <v>7280</v>
      </c>
      <c r="C4044" s="5" t="s">
        <v>7588</v>
      </c>
      <c r="D4044" s="6">
        <v>5895.69</v>
      </c>
      <c r="E4044" s="6">
        <v>5815.34</v>
      </c>
      <c r="F4044" s="7" t="s">
        <v>14</v>
      </c>
      <c r="G4044" s="8" t="s">
        <v>7589</v>
      </c>
      <c r="H4044" s="8" t="s">
        <v>16</v>
      </c>
      <c r="I4044" s="9">
        <v>2918</v>
      </c>
      <c r="J4044" s="10">
        <v>66</v>
      </c>
      <c r="K4044" s="10">
        <v>66146</v>
      </c>
      <c r="L4044" s="3" t="str">
        <f t="shared" si="133"/>
        <v>ΠΥΡΗΝΟΚΑΡΠΑ</v>
      </c>
    </row>
    <row r="4045" spans="1:12" s="3" customFormat="1" ht="24" customHeight="1" x14ac:dyDescent="0.25">
      <c r="A4045" s="3" t="str">
        <f t="shared" si="132"/>
        <v>ΠΥΡΗΝΟΚΑΡΠΑΝΕΚΤΑΡΙΝΙΑ ΒΕΝΟΥΣ</v>
      </c>
      <c r="B4045" s="4" t="s">
        <v>7280</v>
      </c>
      <c r="C4045" s="5" t="s">
        <v>7590</v>
      </c>
      <c r="D4045" s="6">
        <v>5895.69</v>
      </c>
      <c r="E4045" s="6">
        <v>5815.34</v>
      </c>
      <c r="F4045" s="7" t="s">
        <v>14</v>
      </c>
      <c r="G4045" s="8" t="s">
        <v>7591</v>
      </c>
      <c r="H4045" s="8" t="s">
        <v>16</v>
      </c>
      <c r="I4045" s="9">
        <v>2919</v>
      </c>
      <c r="J4045" s="10">
        <v>66</v>
      </c>
      <c r="K4045" s="10">
        <v>66147</v>
      </c>
      <c r="L4045" s="3" t="str">
        <f t="shared" si="133"/>
        <v>ΠΥΡΗΝΟΚΑΡΠΑ</v>
      </c>
    </row>
    <row r="4046" spans="1:12" s="3" customFormat="1" ht="24" x14ac:dyDescent="0.25">
      <c r="A4046" s="3" t="str">
        <f t="shared" si="132"/>
        <v>ΠΥΡΗΝΟΚΑΡΠΑΝΕΚΤΑΡΙΝ. ΚΑΛΤΕΖΙ 2000</v>
      </c>
      <c r="B4046" s="4" t="s">
        <v>7280</v>
      </c>
      <c r="C4046" s="5" t="s">
        <v>7592</v>
      </c>
      <c r="D4046" s="6">
        <v>5895.69</v>
      </c>
      <c r="E4046" s="6">
        <v>5815.34</v>
      </c>
      <c r="F4046" s="7" t="s">
        <v>14</v>
      </c>
      <c r="G4046" s="8" t="s">
        <v>7593</v>
      </c>
      <c r="H4046" s="8" t="s">
        <v>16</v>
      </c>
      <c r="I4046" s="9">
        <v>2920</v>
      </c>
      <c r="J4046" s="10">
        <v>66</v>
      </c>
      <c r="K4046" s="10">
        <v>66148</v>
      </c>
      <c r="L4046" s="3" t="str">
        <f t="shared" si="133"/>
        <v>ΠΥΡΗΝΟΚΑΡΠΑ</v>
      </c>
    </row>
    <row r="4047" spans="1:12" s="3" customFormat="1" ht="24" customHeight="1" x14ac:dyDescent="0.25">
      <c r="A4047" s="3" t="str">
        <f t="shared" si="132"/>
        <v>ΠΥΡΗΝΟΚΑΡΠΑΝΕΚΤΑΡΙΝ. ΚΑΛΤΕΖΙ 2010</v>
      </c>
      <c r="B4047" s="4" t="s">
        <v>7280</v>
      </c>
      <c r="C4047" s="5" t="s">
        <v>7594</v>
      </c>
      <c r="D4047" s="6">
        <v>5895.69</v>
      </c>
      <c r="E4047" s="6">
        <v>5815.34</v>
      </c>
      <c r="F4047" s="7" t="s">
        <v>14</v>
      </c>
      <c r="G4047" s="8" t="s">
        <v>7595</v>
      </c>
      <c r="H4047" s="8" t="s">
        <v>16</v>
      </c>
      <c r="I4047" s="9">
        <v>2921</v>
      </c>
      <c r="J4047" s="10">
        <v>66</v>
      </c>
      <c r="K4047" s="10">
        <v>66149</v>
      </c>
      <c r="L4047" s="3" t="str">
        <f t="shared" si="133"/>
        <v>ΠΥΡΗΝΟΚΑΡΠΑ</v>
      </c>
    </row>
    <row r="4048" spans="1:12" s="3" customFormat="1" ht="24" x14ac:dyDescent="0.25">
      <c r="A4048" s="3" t="str">
        <f t="shared" si="132"/>
        <v>ΠΥΡΗΝΟΚΑΡΠΑΝΕΚΤΑΡΙΝ. ΚΑΛΤΕΖΙ 2020</v>
      </c>
      <c r="B4048" s="4" t="s">
        <v>7280</v>
      </c>
      <c r="C4048" s="5" t="s">
        <v>7596</v>
      </c>
      <c r="D4048" s="6">
        <v>5895.69</v>
      </c>
      <c r="E4048" s="6">
        <v>5815.34</v>
      </c>
      <c r="F4048" s="7" t="s">
        <v>14</v>
      </c>
      <c r="G4048" s="8" t="s">
        <v>7597</v>
      </c>
      <c r="H4048" s="8" t="s">
        <v>16</v>
      </c>
      <c r="I4048" s="9">
        <v>2922</v>
      </c>
      <c r="J4048" s="10">
        <v>66</v>
      </c>
      <c r="K4048" s="10">
        <v>66150</v>
      </c>
      <c r="L4048" s="3" t="str">
        <f t="shared" si="133"/>
        <v>ΠΥΡΗΝΟΚΑΡΠΑ</v>
      </c>
    </row>
    <row r="4049" spans="1:12" s="3" customFormat="1" ht="24" customHeight="1" x14ac:dyDescent="0.25">
      <c r="A4049" s="3" t="str">
        <f t="shared" si="132"/>
        <v>ΠΥΡΗΝΟΚΑΡΠΑΝΕΚΤΑΡΙΝ. ΚΑΣΣΙΟΠΗ</v>
      </c>
      <c r="B4049" s="4" t="s">
        <v>7280</v>
      </c>
      <c r="C4049" s="5" t="s">
        <v>7598</v>
      </c>
      <c r="D4049" s="6">
        <v>5895.69</v>
      </c>
      <c r="E4049" s="6">
        <v>5815.34</v>
      </c>
      <c r="F4049" s="7" t="s">
        <v>14</v>
      </c>
      <c r="G4049" s="8" t="s">
        <v>7599</v>
      </c>
      <c r="H4049" s="8" t="s">
        <v>16</v>
      </c>
      <c r="I4049" s="9">
        <v>2923</v>
      </c>
      <c r="J4049" s="10">
        <v>66</v>
      </c>
      <c r="K4049" s="10">
        <v>66151</v>
      </c>
      <c r="L4049" s="3" t="str">
        <f t="shared" si="133"/>
        <v>ΠΥΡΗΝΟΚΑΡΠΑ</v>
      </c>
    </row>
    <row r="4050" spans="1:12" s="3" customFormat="1" ht="24" x14ac:dyDescent="0.25">
      <c r="A4050" s="3" t="str">
        <f t="shared" si="132"/>
        <v>ΠΥΡΗΝΟΚΑΡΠΑΝΕΚΤΑΡΙΝ. ΛΕΓΚΡΑΝΤ</v>
      </c>
      <c r="B4050" s="4" t="s">
        <v>7280</v>
      </c>
      <c r="C4050" s="5" t="s">
        <v>7600</v>
      </c>
      <c r="D4050" s="6">
        <v>5895.69</v>
      </c>
      <c r="E4050" s="6">
        <v>5815.34</v>
      </c>
      <c r="F4050" s="7" t="s">
        <v>14</v>
      </c>
      <c r="G4050" s="8" t="s">
        <v>7601</v>
      </c>
      <c r="H4050" s="8" t="s">
        <v>16</v>
      </c>
      <c r="I4050" s="9">
        <v>2924</v>
      </c>
      <c r="J4050" s="10">
        <v>66</v>
      </c>
      <c r="K4050" s="10">
        <v>66152</v>
      </c>
      <c r="L4050" s="3" t="str">
        <f t="shared" si="133"/>
        <v>ΠΥΡΗΝΟΚΑΡΠΑ</v>
      </c>
    </row>
    <row r="4051" spans="1:12" s="3" customFormat="1" ht="24" customHeight="1" x14ac:dyDescent="0.25">
      <c r="A4051" s="3" t="str">
        <f t="shared" si="132"/>
        <v>ΠΥΡΗΝΟΚΑΡΠΑΝΕΚΤΑΡΙΝ. ΒΕΓΚΑΣ</v>
      </c>
      <c r="B4051" s="4" t="s">
        <v>7280</v>
      </c>
      <c r="C4051" s="5" t="s">
        <v>7602</v>
      </c>
      <c r="D4051" s="6">
        <v>5895.69</v>
      </c>
      <c r="E4051" s="6">
        <v>5815.34</v>
      </c>
      <c r="F4051" s="7" t="s">
        <v>14</v>
      </c>
      <c r="G4051" s="8" t="s">
        <v>7603</v>
      </c>
      <c r="H4051" s="8" t="s">
        <v>16</v>
      </c>
      <c r="I4051" s="9">
        <v>2925</v>
      </c>
      <c r="J4051" s="10">
        <v>66</v>
      </c>
      <c r="K4051" s="10">
        <v>66153</v>
      </c>
      <c r="L4051" s="3" t="str">
        <f t="shared" si="133"/>
        <v>ΠΥΡΗΝΟΚΑΡΠΑ</v>
      </c>
    </row>
    <row r="4052" spans="1:12" s="3" customFormat="1" ht="24" x14ac:dyDescent="0.25">
      <c r="A4052" s="3" t="str">
        <f t="shared" si="132"/>
        <v>ΠΥΡΗΝΟΚΑΡΠΑΝΕΚΤΑΡΙΝΙΑ Νο7</v>
      </c>
      <c r="B4052" s="4" t="s">
        <v>7280</v>
      </c>
      <c r="C4052" s="5" t="s">
        <v>7604</v>
      </c>
      <c r="D4052" s="6">
        <v>5895.69</v>
      </c>
      <c r="E4052" s="6">
        <v>5815.34</v>
      </c>
      <c r="F4052" s="7" t="s">
        <v>14</v>
      </c>
      <c r="G4052" s="8" t="s">
        <v>7605</v>
      </c>
      <c r="H4052" s="8" t="s">
        <v>16</v>
      </c>
      <c r="I4052" s="9">
        <v>2941</v>
      </c>
      <c r="J4052" s="10">
        <v>66</v>
      </c>
      <c r="K4052" s="10">
        <v>66154</v>
      </c>
      <c r="L4052" s="3" t="str">
        <f t="shared" si="133"/>
        <v>ΠΥΡΗΝΟΚΑΡΠΑ</v>
      </c>
    </row>
    <row r="4053" spans="1:12" s="3" customFormat="1" ht="24" customHeight="1" x14ac:dyDescent="0.25">
      <c r="A4053" s="3" t="str">
        <f t="shared" si="132"/>
        <v>ΠΥΡΗΝΟΚΑΡΠΑΝΕΚΤΑΡΙΝ. ΠΕΚΑΣΟ</v>
      </c>
      <c r="B4053" s="4" t="s">
        <v>7280</v>
      </c>
      <c r="C4053" s="5" t="s">
        <v>7606</v>
      </c>
      <c r="D4053" s="6">
        <v>5895.69</v>
      </c>
      <c r="E4053" s="6">
        <v>5815.34</v>
      </c>
      <c r="F4053" s="7" t="s">
        <v>14</v>
      </c>
      <c r="G4053" s="8" t="s">
        <v>7607</v>
      </c>
      <c r="H4053" s="8" t="s">
        <v>16</v>
      </c>
      <c r="I4053" s="9">
        <v>2927</v>
      </c>
      <c r="J4053" s="10">
        <v>66</v>
      </c>
      <c r="K4053" s="10">
        <v>66155</v>
      </c>
      <c r="L4053" s="3" t="str">
        <f t="shared" si="133"/>
        <v>ΠΥΡΗΝΟΚΑΡΠΑ</v>
      </c>
    </row>
    <row r="4054" spans="1:12" s="3" customFormat="1" ht="24" x14ac:dyDescent="0.25">
      <c r="A4054" s="3" t="str">
        <f t="shared" si="132"/>
        <v>ΠΥΡΗΝΟΚΑΡΠΑΝΕΚΤΑΡΙΝ. ΙΝΤΕΡ ΜΠΙΑΝΚΑ</v>
      </c>
      <c r="B4054" s="4" t="s">
        <v>7280</v>
      </c>
      <c r="C4054" s="5" t="s">
        <v>7608</v>
      </c>
      <c r="D4054" s="6">
        <v>5895.69</v>
      </c>
      <c r="E4054" s="6">
        <v>5815.34</v>
      </c>
      <c r="F4054" s="7" t="s">
        <v>14</v>
      </c>
      <c r="G4054" s="8" t="s">
        <v>7609</v>
      </c>
      <c r="H4054" s="8" t="s">
        <v>16</v>
      </c>
      <c r="I4054" s="9">
        <v>2913</v>
      </c>
      <c r="J4054" s="10">
        <v>66</v>
      </c>
      <c r="K4054" s="10">
        <v>66156</v>
      </c>
      <c r="L4054" s="3" t="str">
        <f t="shared" si="133"/>
        <v>ΠΥΡΗΝΟΚΑΡΠΑ</v>
      </c>
    </row>
    <row r="4055" spans="1:12" s="3" customFormat="1" ht="24" customHeight="1" x14ac:dyDescent="0.25">
      <c r="A4055" s="3" t="str">
        <f t="shared" si="132"/>
        <v>ΠΥΡΗΝΟΚΑΡΠΑΝΕΚΤΑΡΙΝ. ΣΑΝ ΦΡΙ</v>
      </c>
      <c r="B4055" s="4" t="s">
        <v>7280</v>
      </c>
      <c r="C4055" s="5" t="s">
        <v>7610</v>
      </c>
      <c r="D4055" s="6">
        <v>5895.69</v>
      </c>
      <c r="E4055" s="6">
        <v>5815.34</v>
      </c>
      <c r="F4055" s="7" t="s">
        <v>14</v>
      </c>
      <c r="G4055" s="8" t="s">
        <v>7611</v>
      </c>
      <c r="H4055" s="8" t="s">
        <v>16</v>
      </c>
      <c r="I4055" s="9">
        <v>2931</v>
      </c>
      <c r="J4055" s="10">
        <v>66</v>
      </c>
      <c r="K4055" s="10">
        <v>66157</v>
      </c>
      <c r="L4055" s="3" t="str">
        <f t="shared" si="133"/>
        <v>ΠΥΡΗΝΟΚΑΡΠΑ</v>
      </c>
    </row>
    <row r="4056" spans="1:12" s="3" customFormat="1" ht="24" x14ac:dyDescent="0.25">
      <c r="A4056" s="3" t="str">
        <f t="shared" si="132"/>
        <v>ΠΥΡΗΝΟΚΑΡΠΑΝΕΚΤΑΡΙΝ. ΚΑΛΙΦΟΡΝΙΑ</v>
      </c>
      <c r="B4056" s="4" t="s">
        <v>7280</v>
      </c>
      <c r="C4056" s="5" t="s">
        <v>7612</v>
      </c>
      <c r="D4056" s="6">
        <v>5895.69</v>
      </c>
      <c r="E4056" s="6">
        <v>5815.34</v>
      </c>
      <c r="F4056" s="7" t="s">
        <v>14</v>
      </c>
      <c r="G4056" s="8" t="s">
        <v>7613</v>
      </c>
      <c r="H4056" s="8" t="s">
        <v>16</v>
      </c>
      <c r="I4056" s="9">
        <v>2934</v>
      </c>
      <c r="J4056" s="10">
        <v>66</v>
      </c>
      <c r="K4056" s="10">
        <v>66158</v>
      </c>
      <c r="L4056" s="3" t="str">
        <f t="shared" si="133"/>
        <v>ΠΥΡΗΝΟΚΑΡΠΑ</v>
      </c>
    </row>
    <row r="4057" spans="1:12" s="3" customFormat="1" ht="24" x14ac:dyDescent="0.25">
      <c r="A4057" s="3" t="str">
        <f t="shared" si="132"/>
        <v>ΠΥΡΗΝΟΚΑΡΠΑΝΕΚΤΑΡΙΝ. ΤΖΟΥΛΙΕΤ</v>
      </c>
      <c r="B4057" s="4" t="s">
        <v>7280</v>
      </c>
      <c r="C4057" s="5" t="s">
        <v>7614</v>
      </c>
      <c r="D4057" s="6">
        <v>5895.69</v>
      </c>
      <c r="E4057" s="6">
        <v>5815.34</v>
      </c>
      <c r="F4057" s="7" t="s">
        <v>14</v>
      </c>
      <c r="G4057" s="8" t="s">
        <v>7615</v>
      </c>
      <c r="H4057" s="8" t="s">
        <v>16</v>
      </c>
      <c r="I4057" s="9">
        <v>2935</v>
      </c>
      <c r="J4057" s="10">
        <v>66</v>
      </c>
      <c r="K4057" s="10">
        <v>66159</v>
      </c>
      <c r="L4057" s="3" t="str">
        <f t="shared" si="133"/>
        <v>ΠΥΡΗΝΟΚΑΡΠΑ</v>
      </c>
    </row>
    <row r="4058" spans="1:12" s="3" customFormat="1" ht="15" customHeight="1" x14ac:dyDescent="0.25">
      <c r="A4058" s="3" t="str">
        <f t="shared" si="132"/>
        <v>ΠΥΡΗΝΟΚΑΡΠΑΝΕΚΤΑΡΙΝΙΑ Φ14</v>
      </c>
      <c r="B4058" s="4" t="s">
        <v>7280</v>
      </c>
      <c r="C4058" s="5" t="s">
        <v>7616</v>
      </c>
      <c r="D4058" s="6">
        <v>5895.69</v>
      </c>
      <c r="E4058" s="6">
        <v>5815.34</v>
      </c>
      <c r="F4058" s="7" t="s">
        <v>14</v>
      </c>
      <c r="G4058" s="8" t="s">
        <v>7617</v>
      </c>
      <c r="H4058" s="8" t="s">
        <v>16</v>
      </c>
      <c r="I4058" s="9">
        <v>2936</v>
      </c>
      <c r="J4058" s="10">
        <v>66</v>
      </c>
      <c r="K4058" s="10">
        <v>66160</v>
      </c>
      <c r="L4058" s="3" t="str">
        <f t="shared" si="133"/>
        <v>ΠΥΡΗΝΟΚΑΡΠΑ</v>
      </c>
    </row>
    <row r="4059" spans="1:12" s="3" customFormat="1" ht="15" customHeight="1" x14ac:dyDescent="0.25">
      <c r="A4059" s="3" t="str">
        <f t="shared" si="132"/>
        <v>ΠΥΡΗΝΟΚΑΡΠΑΝΕΚΤΑΡΙΝ. ΣΑΜΕΡ ΓΚΡΑΝΤ</v>
      </c>
      <c r="B4059" s="4" t="s">
        <v>7280</v>
      </c>
      <c r="C4059" s="5" t="s">
        <v>7618</v>
      </c>
      <c r="D4059" s="6">
        <v>5895.69</v>
      </c>
      <c r="E4059" s="6">
        <v>5815.34</v>
      </c>
      <c r="F4059" s="7" t="s">
        <v>14</v>
      </c>
      <c r="G4059" s="8" t="s">
        <v>7619</v>
      </c>
      <c r="H4059" s="8" t="s">
        <v>16</v>
      </c>
      <c r="I4059" s="9">
        <v>2937</v>
      </c>
      <c r="J4059" s="10">
        <v>66</v>
      </c>
      <c r="K4059" s="10">
        <v>66161</v>
      </c>
      <c r="L4059" s="3" t="str">
        <f t="shared" si="133"/>
        <v>ΠΥΡΗΝΟΚΑΡΠΑ</v>
      </c>
    </row>
    <row r="4060" spans="1:12" s="3" customFormat="1" ht="15" customHeight="1" x14ac:dyDescent="0.25">
      <c r="A4060" s="3" t="str">
        <f t="shared" si="132"/>
        <v>ΠΥΡΗΝΟΚΑΡΠΑΝΕΚΤΑΡΙΝ. ΦΡΙΝΤΙ</v>
      </c>
      <c r="B4060" s="4" t="s">
        <v>7280</v>
      </c>
      <c r="C4060" s="5" t="s">
        <v>7620</v>
      </c>
      <c r="D4060" s="6">
        <v>5895.69</v>
      </c>
      <c r="E4060" s="6">
        <v>5815.34</v>
      </c>
      <c r="F4060" s="7" t="s">
        <v>14</v>
      </c>
      <c r="G4060" s="8" t="s">
        <v>7621</v>
      </c>
      <c r="H4060" s="8" t="s">
        <v>16</v>
      </c>
      <c r="I4060" s="9">
        <v>2938</v>
      </c>
      <c r="J4060" s="10">
        <v>66</v>
      </c>
      <c r="K4060" s="10">
        <v>66162</v>
      </c>
      <c r="L4060" s="3" t="str">
        <f t="shared" si="133"/>
        <v>ΠΥΡΗΝΟΚΑΡΠΑ</v>
      </c>
    </row>
    <row r="4061" spans="1:12" s="3" customFormat="1" ht="15" customHeight="1" x14ac:dyDescent="0.25">
      <c r="A4061" s="3" t="str">
        <f t="shared" si="132"/>
        <v>ΠΥΡΗΝΟΚΑΡΠΑΝΕΚΤΑΡΙΝ. ΝΕΚΤΑΡΟΣ</v>
      </c>
      <c r="B4061" s="4" t="s">
        <v>7280</v>
      </c>
      <c r="C4061" s="5" t="s">
        <v>7622</v>
      </c>
      <c r="D4061" s="6">
        <v>5895.69</v>
      </c>
      <c r="E4061" s="6">
        <v>5815.34</v>
      </c>
      <c r="F4061" s="7" t="s">
        <v>14</v>
      </c>
      <c r="G4061" s="8" t="s">
        <v>7623</v>
      </c>
      <c r="H4061" s="8" t="s">
        <v>16</v>
      </c>
      <c r="I4061" s="9">
        <v>2939</v>
      </c>
      <c r="J4061" s="10">
        <v>66</v>
      </c>
      <c r="K4061" s="10">
        <v>66163</v>
      </c>
      <c r="L4061" s="3" t="str">
        <f t="shared" si="133"/>
        <v>ΠΥΡΗΝΟΚΑΡΠΑ</v>
      </c>
    </row>
    <row r="4062" spans="1:12" s="3" customFormat="1" ht="15" customHeight="1" x14ac:dyDescent="0.25">
      <c r="A4062" s="3" t="str">
        <f t="shared" si="132"/>
        <v>ΠΥΡΗΝΟΚΑΡΠΑΝΕΚΤΑΡΙΝ. ΦΕΝΤΑΛΕΪΤ</v>
      </c>
      <c r="B4062" s="4" t="s">
        <v>7280</v>
      </c>
      <c r="C4062" s="5" t="s">
        <v>7624</v>
      </c>
      <c r="D4062" s="6">
        <v>5895.69</v>
      </c>
      <c r="E4062" s="6">
        <v>5815.34</v>
      </c>
      <c r="F4062" s="7" t="s">
        <v>14</v>
      </c>
      <c r="G4062" s="8" t="s">
        <v>7625</v>
      </c>
      <c r="H4062" s="8" t="s">
        <v>16</v>
      </c>
      <c r="I4062" s="9">
        <v>2899</v>
      </c>
      <c r="J4062" s="10">
        <v>66</v>
      </c>
      <c r="K4062" s="10">
        <v>66164</v>
      </c>
      <c r="L4062" s="3" t="str">
        <f t="shared" si="133"/>
        <v>ΠΥΡΗΝΟΚΑΡΠΑ</v>
      </c>
    </row>
    <row r="4063" spans="1:12" s="3" customFormat="1" ht="15" customHeight="1" x14ac:dyDescent="0.25">
      <c r="A4063" s="3" t="str">
        <f t="shared" si="132"/>
        <v>ΠΥΡΗΝΟΚΑΡΠΑΝΕΚΤΑΡΙΝ. ΚΑΛΤΕΖΙ 85</v>
      </c>
      <c r="B4063" s="4" t="s">
        <v>7280</v>
      </c>
      <c r="C4063" s="5" t="s">
        <v>7626</v>
      </c>
      <c r="D4063" s="6">
        <v>5895.69</v>
      </c>
      <c r="E4063" s="6">
        <v>5815.34</v>
      </c>
      <c r="F4063" s="7" t="s">
        <v>14</v>
      </c>
      <c r="G4063" s="8" t="s">
        <v>7627</v>
      </c>
      <c r="H4063" s="8" t="s">
        <v>16</v>
      </c>
      <c r="I4063" s="9">
        <v>2928</v>
      </c>
      <c r="J4063" s="10">
        <v>66</v>
      </c>
      <c r="K4063" s="10">
        <v>66165</v>
      </c>
      <c r="L4063" s="3" t="str">
        <f t="shared" si="133"/>
        <v>ΠΥΡΗΝΟΚΑΡΠΑ</v>
      </c>
    </row>
    <row r="4064" spans="1:12" s="3" customFormat="1" ht="15" customHeight="1" x14ac:dyDescent="0.25">
      <c r="A4064" s="3" t="str">
        <f t="shared" si="132"/>
        <v>ΠΥΡΗΝΟΚΑΡΠΑΝΕΚΤΑΡΙΝ. ΡΕΝΤΦΕΑΡ</v>
      </c>
      <c r="B4064" s="4" t="s">
        <v>7280</v>
      </c>
      <c r="C4064" s="5" t="s">
        <v>7628</v>
      </c>
      <c r="D4064" s="6">
        <v>5895.69</v>
      </c>
      <c r="E4064" s="6">
        <v>5815.34</v>
      </c>
      <c r="F4064" s="7" t="s">
        <v>14</v>
      </c>
      <c r="G4064" s="8" t="s">
        <v>7629</v>
      </c>
      <c r="H4064" s="8" t="s">
        <v>16</v>
      </c>
      <c r="I4064" s="9">
        <v>2926</v>
      </c>
      <c r="J4064" s="10">
        <v>66</v>
      </c>
      <c r="K4064" s="10">
        <v>66166</v>
      </c>
      <c r="L4064" s="3" t="str">
        <f t="shared" si="133"/>
        <v>ΠΥΡΗΝΟΚΑΡΠΑ</v>
      </c>
    </row>
    <row r="4065" spans="1:12" s="3" customFormat="1" ht="15" customHeight="1" x14ac:dyDescent="0.25">
      <c r="A4065" s="3" t="str">
        <f t="shared" si="132"/>
        <v>ΠΥΡΗΝΟΚΑΡΠΑΝΕΚΤΑΡΙΝ. ΣΤΑΡ ΓΚΡΑΝΤ</v>
      </c>
      <c r="B4065" s="4" t="s">
        <v>7280</v>
      </c>
      <c r="C4065" s="5" t="s">
        <v>7630</v>
      </c>
      <c r="D4065" s="6">
        <v>5895.69</v>
      </c>
      <c r="E4065" s="6">
        <v>5815.34</v>
      </c>
      <c r="F4065" s="7" t="s">
        <v>14</v>
      </c>
      <c r="G4065" s="8" t="s">
        <v>7631</v>
      </c>
      <c r="H4065" s="8" t="s">
        <v>16</v>
      </c>
      <c r="I4065" s="9">
        <v>2886</v>
      </c>
      <c r="J4065" s="10">
        <v>66</v>
      </c>
      <c r="K4065" s="10">
        <v>66167</v>
      </c>
      <c r="L4065" s="3" t="str">
        <f t="shared" si="133"/>
        <v>ΠΥΡΗΝΟΚΑΡΠΑ</v>
      </c>
    </row>
    <row r="4066" spans="1:12" s="3" customFormat="1" ht="15" customHeight="1" x14ac:dyDescent="0.25">
      <c r="A4066" s="3" t="str">
        <f t="shared" si="132"/>
        <v>ΠΥΡΗΝΟΚΑΡΠΑΝΕΚΤΑΡΙΝ. ΟΥΪΛΣΟΝ</v>
      </c>
      <c r="B4066" s="4" t="s">
        <v>7280</v>
      </c>
      <c r="C4066" s="5" t="s">
        <v>7632</v>
      </c>
      <c r="D4066" s="6">
        <v>5895.69</v>
      </c>
      <c r="E4066" s="6">
        <v>5815.34</v>
      </c>
      <c r="F4066" s="7" t="s">
        <v>14</v>
      </c>
      <c r="G4066" s="8" t="s">
        <v>7633</v>
      </c>
      <c r="H4066" s="8" t="s">
        <v>16</v>
      </c>
      <c r="I4066" s="9">
        <v>2887</v>
      </c>
      <c r="J4066" s="10">
        <v>66</v>
      </c>
      <c r="K4066" s="10">
        <v>66168</v>
      </c>
      <c r="L4066" s="3" t="str">
        <f t="shared" si="133"/>
        <v>ΠΥΡΗΝΟΚΑΡΠΑ</v>
      </c>
    </row>
    <row r="4067" spans="1:12" s="3" customFormat="1" ht="15" customHeight="1" x14ac:dyDescent="0.25">
      <c r="A4067" s="3" t="str">
        <f t="shared" si="132"/>
        <v>ΠΥΡΗΝΟΚΑΡΠΑΝΕΚΤΑΡΙΝ. ΣΙΛΒΕΡ ΚΙΝΓΚ</v>
      </c>
      <c r="B4067" s="4" t="s">
        <v>7280</v>
      </c>
      <c r="C4067" s="5" t="s">
        <v>7634</v>
      </c>
      <c r="D4067" s="6">
        <v>5895.69</v>
      </c>
      <c r="E4067" s="6">
        <v>5815.34</v>
      </c>
      <c r="F4067" s="7" t="s">
        <v>14</v>
      </c>
      <c r="G4067" s="8" t="s">
        <v>7635</v>
      </c>
      <c r="H4067" s="8" t="s">
        <v>16</v>
      </c>
      <c r="I4067" s="9">
        <v>2888</v>
      </c>
      <c r="J4067" s="10">
        <v>66</v>
      </c>
      <c r="K4067" s="10">
        <v>66169</v>
      </c>
      <c r="L4067" s="3" t="str">
        <f t="shared" si="133"/>
        <v>ΠΥΡΗΝΟΚΑΡΠΑ</v>
      </c>
    </row>
    <row r="4068" spans="1:12" s="3" customFormat="1" ht="15" customHeight="1" x14ac:dyDescent="0.25">
      <c r="A4068" s="3" t="str">
        <f t="shared" si="132"/>
        <v>ΠΥΡΗΝΟΚΑΡΠΑΝΕΚΤΑΡΙΝ. ΡΙΤΑ ΣΤΑΡ</v>
      </c>
      <c r="B4068" s="4" t="s">
        <v>7280</v>
      </c>
      <c r="C4068" s="5" t="s">
        <v>7636</v>
      </c>
      <c r="D4068" s="6">
        <v>5895.69</v>
      </c>
      <c r="E4068" s="6">
        <v>5815.34</v>
      </c>
      <c r="F4068" s="7" t="s">
        <v>14</v>
      </c>
      <c r="G4068" s="8" t="s">
        <v>7637</v>
      </c>
      <c r="H4068" s="8" t="s">
        <v>16</v>
      </c>
      <c r="I4068" s="9">
        <v>2889</v>
      </c>
      <c r="J4068" s="10">
        <v>66</v>
      </c>
      <c r="K4068" s="10">
        <v>66170</v>
      </c>
      <c r="L4068" s="3" t="str">
        <f t="shared" si="133"/>
        <v>ΠΥΡΗΝΟΚΑΡΠΑ</v>
      </c>
    </row>
    <row r="4069" spans="1:12" s="3" customFormat="1" ht="15" customHeight="1" x14ac:dyDescent="0.25">
      <c r="A4069" s="3" t="str">
        <f t="shared" si="132"/>
        <v>ΠΥΡΗΝΟΚΑΡΠΑΝΕΚΤΑΡΙΝ. ΡΕΝΤ ΝΤΙΛΑΪΤ</v>
      </c>
      <c r="B4069" s="4" t="s">
        <v>7280</v>
      </c>
      <c r="C4069" s="5" t="s">
        <v>7638</v>
      </c>
      <c r="D4069" s="6">
        <v>5895.69</v>
      </c>
      <c r="E4069" s="6">
        <v>5815.34</v>
      </c>
      <c r="F4069" s="7" t="s">
        <v>14</v>
      </c>
      <c r="G4069" s="8" t="s">
        <v>7639</v>
      </c>
      <c r="H4069" s="8" t="s">
        <v>16</v>
      </c>
      <c r="I4069" s="9">
        <v>2890</v>
      </c>
      <c r="J4069" s="10">
        <v>66</v>
      </c>
      <c r="K4069" s="10">
        <v>66171</v>
      </c>
      <c r="L4069" s="3" t="str">
        <f t="shared" si="133"/>
        <v>ΠΥΡΗΝΟΚΑΡΠΑ</v>
      </c>
    </row>
    <row r="4070" spans="1:12" s="3" customFormat="1" ht="15" customHeight="1" x14ac:dyDescent="0.25">
      <c r="A4070" s="3" t="str">
        <f t="shared" si="132"/>
        <v>ΠΥΡΗΝΟΚΑΡΠΑΝΕΚΤΑΡΙΝ. ΜΟΡΣΙΑΝΙ</v>
      </c>
      <c r="B4070" s="4" t="s">
        <v>7280</v>
      </c>
      <c r="C4070" s="5" t="s">
        <v>7640</v>
      </c>
      <c r="D4070" s="6">
        <v>5895.69</v>
      </c>
      <c r="E4070" s="6">
        <v>5815.34</v>
      </c>
      <c r="F4070" s="7" t="s">
        <v>14</v>
      </c>
      <c r="G4070" s="8" t="s">
        <v>7641</v>
      </c>
      <c r="H4070" s="8" t="s">
        <v>16</v>
      </c>
      <c r="I4070" s="9">
        <v>2891</v>
      </c>
      <c r="J4070" s="10">
        <v>66</v>
      </c>
      <c r="K4070" s="10">
        <v>66172</v>
      </c>
      <c r="L4070" s="3" t="str">
        <f t="shared" si="133"/>
        <v>ΠΥΡΗΝΟΚΑΡΠΑ</v>
      </c>
    </row>
    <row r="4071" spans="1:12" s="3" customFormat="1" ht="15" customHeight="1" x14ac:dyDescent="0.25">
      <c r="A4071" s="3" t="str">
        <f t="shared" si="132"/>
        <v>ΠΥΡΗΝΟΚΑΡΠΑΝΕΚΤΑΡΙΝ. ΝΙΚΗ</v>
      </c>
      <c r="B4071" s="4" t="s">
        <v>7280</v>
      </c>
      <c r="C4071" s="5" t="s">
        <v>7642</v>
      </c>
      <c r="D4071" s="6">
        <v>5895.69</v>
      </c>
      <c r="E4071" s="6">
        <v>5815.34</v>
      </c>
      <c r="F4071" s="7" t="s">
        <v>14</v>
      </c>
      <c r="G4071" s="8" t="s">
        <v>7643</v>
      </c>
      <c r="H4071" s="8" t="s">
        <v>16</v>
      </c>
      <c r="I4071" s="9">
        <v>2892</v>
      </c>
      <c r="J4071" s="10">
        <v>66</v>
      </c>
      <c r="K4071" s="10">
        <v>66173</v>
      </c>
      <c r="L4071" s="3" t="str">
        <f t="shared" si="133"/>
        <v>ΠΥΡΗΝΟΚΑΡΠΑ</v>
      </c>
    </row>
    <row r="4072" spans="1:12" s="3" customFormat="1" ht="15" customHeight="1" x14ac:dyDescent="0.25">
      <c r="A4072" s="3" t="str">
        <f t="shared" si="132"/>
        <v>ΠΥΡΗΝΟΚΑΡΠΑΝΕΚΤΑΡΙΝ. ΑΡΜΟΝΙΑ</v>
      </c>
      <c r="B4072" s="4" t="s">
        <v>7280</v>
      </c>
      <c r="C4072" s="5" t="s">
        <v>7644</v>
      </c>
      <c r="D4072" s="6">
        <v>5895.69</v>
      </c>
      <c r="E4072" s="6">
        <v>5815.34</v>
      </c>
      <c r="F4072" s="7" t="s">
        <v>14</v>
      </c>
      <c r="G4072" s="8" t="s">
        <v>7645</v>
      </c>
      <c r="H4072" s="8" t="s">
        <v>16</v>
      </c>
      <c r="I4072" s="9">
        <v>2893</v>
      </c>
      <c r="J4072" s="10">
        <v>66</v>
      </c>
      <c r="K4072" s="10">
        <v>66174</v>
      </c>
      <c r="L4072" s="3" t="str">
        <f t="shared" si="133"/>
        <v>ΠΥΡΗΝΟΚΑΡΠΑ</v>
      </c>
    </row>
    <row r="4073" spans="1:12" s="3" customFormat="1" ht="15" customHeight="1" x14ac:dyDescent="0.25">
      <c r="A4073" s="3" t="str">
        <f t="shared" si="132"/>
        <v>ΠΥΡΗΝΟΚΑΡΠΑΝΕΚΤΑΡΙΝ. ΦΛΕΪΒΟΡ ΓΚΟΛΝΤ</v>
      </c>
      <c r="B4073" s="4" t="s">
        <v>7280</v>
      </c>
      <c r="C4073" s="5" t="s">
        <v>7646</v>
      </c>
      <c r="D4073" s="6">
        <v>5895.69</v>
      </c>
      <c r="E4073" s="6">
        <v>5815.34</v>
      </c>
      <c r="F4073" s="7" t="s">
        <v>14</v>
      </c>
      <c r="G4073" s="8" t="s">
        <v>7647</v>
      </c>
      <c r="H4073" s="8" t="s">
        <v>16</v>
      </c>
      <c r="I4073" s="9">
        <v>2894</v>
      </c>
      <c r="J4073" s="10">
        <v>66</v>
      </c>
      <c r="K4073" s="10">
        <v>66175</v>
      </c>
      <c r="L4073" s="3" t="str">
        <f t="shared" si="133"/>
        <v>ΠΥΡΗΝΟΚΑΡΠΑ</v>
      </c>
    </row>
    <row r="4074" spans="1:12" s="3" customFormat="1" ht="15" customHeight="1" x14ac:dyDescent="0.25">
      <c r="A4074" s="3" t="str">
        <f t="shared" si="132"/>
        <v>ΠΥΡΗΝΟΚΑΡΠΑΝΕΚΤΑΡΙΝ. ΝΤΕΛΙΣΙΟΥΣ ΣΟΥΪΤ</v>
      </c>
      <c r="B4074" s="4" t="s">
        <v>7280</v>
      </c>
      <c r="C4074" s="5" t="s">
        <v>7648</v>
      </c>
      <c r="D4074" s="6">
        <v>5895.69</v>
      </c>
      <c r="E4074" s="6">
        <v>5815.34</v>
      </c>
      <c r="F4074" s="7" t="s">
        <v>14</v>
      </c>
      <c r="G4074" s="8" t="s">
        <v>7649</v>
      </c>
      <c r="H4074" s="8" t="s">
        <v>16</v>
      </c>
      <c r="I4074" s="9">
        <v>2895</v>
      </c>
      <c r="J4074" s="10">
        <v>66</v>
      </c>
      <c r="K4074" s="10">
        <v>66176</v>
      </c>
      <c r="L4074" s="3" t="str">
        <f t="shared" si="133"/>
        <v>ΠΥΡΗΝΟΚΑΡΠΑ</v>
      </c>
    </row>
    <row r="4075" spans="1:12" s="3" customFormat="1" ht="15" customHeight="1" x14ac:dyDescent="0.25">
      <c r="A4075" s="3" t="str">
        <f t="shared" si="132"/>
        <v>ΠΥΡΗΝΟΚΑΡΠΑΝΕΚΤΑΡΙΝ. ΜΙΡΕΝΤΣΙ</v>
      </c>
      <c r="B4075" s="4" t="s">
        <v>7280</v>
      </c>
      <c r="C4075" s="5" t="s">
        <v>7650</v>
      </c>
      <c r="D4075" s="6">
        <v>5895.69</v>
      </c>
      <c r="E4075" s="6">
        <v>5815.34</v>
      </c>
      <c r="F4075" s="7" t="s">
        <v>14</v>
      </c>
      <c r="G4075" s="8" t="s">
        <v>7651</v>
      </c>
      <c r="H4075" s="8" t="s">
        <v>16</v>
      </c>
      <c r="I4075" s="9">
        <v>2896</v>
      </c>
      <c r="J4075" s="10">
        <v>66</v>
      </c>
      <c r="K4075" s="10">
        <v>66177</v>
      </c>
      <c r="L4075" s="3" t="str">
        <f t="shared" si="133"/>
        <v>ΠΥΡΗΝΟΚΑΡΠΑ</v>
      </c>
    </row>
    <row r="4076" spans="1:12" s="3" customFormat="1" ht="15" customHeight="1" x14ac:dyDescent="0.25">
      <c r="A4076" s="3" t="str">
        <f t="shared" si="132"/>
        <v>ΠΥΡΗΝΟΚΑΡΠΑΝΕΚΤΑΡΙΝ. ΜΠΙΓΚ ΤΟΠ</v>
      </c>
      <c r="B4076" s="4" t="s">
        <v>7280</v>
      </c>
      <c r="C4076" s="5" t="s">
        <v>7652</v>
      </c>
      <c r="D4076" s="6">
        <v>5895.69</v>
      </c>
      <c r="E4076" s="6">
        <v>5815.34</v>
      </c>
      <c r="F4076" s="7" t="s">
        <v>14</v>
      </c>
      <c r="G4076" s="8" t="s">
        <v>7653</v>
      </c>
      <c r="H4076" s="8" t="s">
        <v>16</v>
      </c>
      <c r="I4076" s="9">
        <v>2912</v>
      </c>
      <c r="J4076" s="10">
        <v>66</v>
      </c>
      <c r="K4076" s="10">
        <v>66178</v>
      </c>
      <c r="L4076" s="3" t="str">
        <f t="shared" si="133"/>
        <v>ΠΥΡΗΝΟΚΑΡΠΑ</v>
      </c>
    </row>
    <row r="4077" spans="1:12" s="3" customFormat="1" ht="15" customHeight="1" x14ac:dyDescent="0.25">
      <c r="A4077" s="3" t="str">
        <f t="shared" si="132"/>
        <v>ΠΥΡΗΝΟΚΑΡΠΑΝΕΚΤΑΡ. ΜΕΙ ΣΤΑΡ</v>
      </c>
      <c r="B4077" s="4" t="s">
        <v>7280</v>
      </c>
      <c r="C4077" s="5" t="s">
        <v>7654</v>
      </c>
      <c r="D4077" s="6">
        <v>5895.69</v>
      </c>
      <c r="E4077" s="6">
        <v>5815.34</v>
      </c>
      <c r="F4077" s="7" t="s">
        <v>14</v>
      </c>
      <c r="G4077" s="8" t="s">
        <v>7655</v>
      </c>
      <c r="H4077" s="8" t="s">
        <v>16</v>
      </c>
      <c r="I4077" s="9">
        <v>2898</v>
      </c>
      <c r="J4077" s="10">
        <v>66</v>
      </c>
      <c r="K4077" s="10">
        <v>66179</v>
      </c>
      <c r="L4077" s="3" t="str">
        <f t="shared" si="133"/>
        <v>ΠΥΡΗΝΟΚΑΡΠΑ</v>
      </c>
    </row>
    <row r="4078" spans="1:12" s="3" customFormat="1" ht="15" customHeight="1" x14ac:dyDescent="0.25">
      <c r="A4078" s="3" t="str">
        <f t="shared" si="132"/>
        <v>ΠΥΡΗΝΟΚΑΡΠΑΝΕΚΤΑΡ. ΑΝΤΡΙΑΝΑ</v>
      </c>
      <c r="B4078" s="4" t="s">
        <v>7280</v>
      </c>
      <c r="C4078" s="5" t="s">
        <v>7656</v>
      </c>
      <c r="D4078" s="6">
        <v>5895.69</v>
      </c>
      <c r="E4078" s="6">
        <v>5815.34</v>
      </c>
      <c r="F4078" s="7" t="s">
        <v>14</v>
      </c>
      <c r="G4078" s="8" t="s">
        <v>7657</v>
      </c>
      <c r="H4078" s="8" t="s">
        <v>16</v>
      </c>
      <c r="I4078" s="9">
        <v>2885</v>
      </c>
      <c r="J4078" s="10">
        <v>66</v>
      </c>
      <c r="K4078" s="10">
        <v>66180</v>
      </c>
      <c r="L4078" s="3" t="str">
        <f t="shared" si="133"/>
        <v>ΠΥΡΗΝΟΚΑΡΠΑ</v>
      </c>
    </row>
    <row r="4079" spans="1:12" s="3" customFormat="1" ht="15" customHeight="1" x14ac:dyDescent="0.25">
      <c r="A4079" s="3" t="str">
        <f t="shared" si="132"/>
        <v>ΠΥΡΗΝΟΚΑΡΠΑΝΕΚΤΑΡΙΝΙΑ ΔΙΑΦΟΡΩΝ ΠΟΙΚΙΛΙΩΝ ΠΡΩΙΜΑ</v>
      </c>
      <c r="B4079" s="4" t="s">
        <v>7280</v>
      </c>
      <c r="C4079" s="5" t="s">
        <v>7658</v>
      </c>
      <c r="D4079" s="6">
        <v>5895.69</v>
      </c>
      <c r="E4079" s="6">
        <v>5815.34</v>
      </c>
      <c r="F4079" s="7" t="s">
        <v>14</v>
      </c>
      <c r="G4079" s="8" t="s">
        <v>7659</v>
      </c>
      <c r="H4079" s="8" t="s">
        <v>16</v>
      </c>
      <c r="I4079" s="9">
        <v>2900</v>
      </c>
      <c r="J4079" s="10">
        <v>66</v>
      </c>
      <c r="K4079" s="10">
        <v>66181</v>
      </c>
      <c r="L4079" s="3" t="str">
        <f t="shared" si="133"/>
        <v>ΠΥΡΗΝΟΚΑΡΠΑ</v>
      </c>
    </row>
    <row r="4080" spans="1:12" s="3" customFormat="1" ht="15" customHeight="1" x14ac:dyDescent="0.25">
      <c r="A4080" s="3" t="str">
        <f t="shared" si="132"/>
        <v>ΠΥΡΗΝΟΚΑΡΠΑΝΕΚΤΑΡΙΝΙΑ ΔΙΑΦΟΡΩΝ ΠΟΙΚΙΛΙΩΝ ΜΕΣΟΠΡΩΙΜΑ</v>
      </c>
      <c r="B4080" s="4" t="s">
        <v>7280</v>
      </c>
      <c r="C4080" s="5" t="s">
        <v>7660</v>
      </c>
      <c r="D4080" s="6">
        <v>5895.69</v>
      </c>
      <c r="E4080" s="6">
        <v>5815.34</v>
      </c>
      <c r="F4080" s="7" t="s">
        <v>14</v>
      </c>
      <c r="G4080" s="8" t="s">
        <v>7661</v>
      </c>
      <c r="H4080" s="8" t="s">
        <v>16</v>
      </c>
      <c r="I4080" s="9">
        <v>2901</v>
      </c>
      <c r="J4080" s="10">
        <v>66</v>
      </c>
      <c r="K4080" s="10">
        <v>66182</v>
      </c>
      <c r="L4080" s="3" t="str">
        <f t="shared" si="133"/>
        <v>ΠΥΡΗΝΟΚΑΡΠΑ</v>
      </c>
    </row>
    <row r="4081" spans="1:12" s="3" customFormat="1" ht="15" customHeight="1" x14ac:dyDescent="0.25">
      <c r="A4081" s="3" t="str">
        <f t="shared" si="132"/>
        <v>ΠΥΡΗΝΟΚΑΡΠΑΝΕΚΤΑΡΙΝΙΑ ΔΙΑΦΟΡΩΝ ΠΟΙΚΙΛΙΩΝ ΟΨΙΜΑ</v>
      </c>
      <c r="B4081" s="4" t="s">
        <v>7280</v>
      </c>
      <c r="C4081" s="5" t="s">
        <v>7662</v>
      </c>
      <c r="D4081" s="6">
        <v>5895.69</v>
      </c>
      <c r="E4081" s="6">
        <v>5815.34</v>
      </c>
      <c r="F4081" s="7" t="s">
        <v>14</v>
      </c>
      <c r="G4081" s="8" t="s">
        <v>7663</v>
      </c>
      <c r="H4081" s="8" t="s">
        <v>16</v>
      </c>
      <c r="I4081" s="9">
        <v>2902</v>
      </c>
      <c r="J4081" s="10">
        <v>66</v>
      </c>
      <c r="K4081" s="10">
        <v>66183</v>
      </c>
      <c r="L4081" s="3" t="str">
        <f t="shared" si="133"/>
        <v>ΠΥΡΗΝΟΚΑΡΠΑ</v>
      </c>
    </row>
    <row r="4082" spans="1:12" s="3" customFormat="1" ht="15" customHeight="1" x14ac:dyDescent="0.25">
      <c r="A4082" s="3" t="str">
        <f t="shared" si="132"/>
        <v>ΠΥΡΗΝΟΚΑΡΠΑΝΕΚΤΑΡΙΝΙΑ ΡΟΖ ΝΤΑΪΜΟΝΤ</v>
      </c>
      <c r="B4082" s="4" t="s">
        <v>7280</v>
      </c>
      <c r="C4082" s="5" t="s">
        <v>7664</v>
      </c>
      <c r="D4082" s="6">
        <v>5895.69</v>
      </c>
      <c r="E4082" s="6">
        <v>5815.34</v>
      </c>
      <c r="F4082" s="7" t="s">
        <v>14</v>
      </c>
      <c r="G4082" s="8" t="s">
        <v>7665</v>
      </c>
      <c r="H4082" s="8" t="s">
        <v>16</v>
      </c>
      <c r="I4082" s="9">
        <v>2903</v>
      </c>
      <c r="J4082" s="10">
        <v>66</v>
      </c>
      <c r="K4082" s="10">
        <v>66184</v>
      </c>
      <c r="L4082" s="3" t="str">
        <f t="shared" si="133"/>
        <v>ΠΥΡΗΝΟΚΑΡΠΑ</v>
      </c>
    </row>
    <row r="4083" spans="1:12" s="3" customFormat="1" ht="15" customHeight="1" x14ac:dyDescent="0.25">
      <c r="A4083" s="3" t="str">
        <f t="shared" si="132"/>
        <v>ΠΥΡΗΝΟΚΑΡΠΑΝΕΚΤΑΡΙΝΙΑ ΛΑΟΥΡΑ</v>
      </c>
      <c r="B4083" s="4" t="s">
        <v>7280</v>
      </c>
      <c r="C4083" s="5" t="s">
        <v>7666</v>
      </c>
      <c r="D4083" s="6">
        <v>5895.69</v>
      </c>
      <c r="E4083" s="6">
        <v>5815.34</v>
      </c>
      <c r="F4083" s="7" t="s">
        <v>14</v>
      </c>
      <c r="G4083" s="8" t="s">
        <v>7667</v>
      </c>
      <c r="H4083" s="8" t="s">
        <v>16</v>
      </c>
      <c r="I4083" s="9">
        <v>2904</v>
      </c>
      <c r="J4083" s="10">
        <v>66</v>
      </c>
      <c r="K4083" s="10">
        <v>66185</v>
      </c>
      <c r="L4083" s="3" t="str">
        <f t="shared" si="133"/>
        <v>ΠΥΡΗΝΟΚΑΡΠΑ</v>
      </c>
    </row>
    <row r="4084" spans="1:12" s="3" customFormat="1" ht="15" customHeight="1" x14ac:dyDescent="0.25">
      <c r="A4084" s="3" t="str">
        <f t="shared" si="132"/>
        <v>ΠΥΡΗΝΟΚΑΡΠΑΝΕΚΤΑΡΙΝΙΑ ΑΜΠΡΑ</v>
      </c>
      <c r="B4084" s="4" t="s">
        <v>7280</v>
      </c>
      <c r="C4084" s="5" t="s">
        <v>7668</v>
      </c>
      <c r="D4084" s="6">
        <v>5895.69</v>
      </c>
      <c r="E4084" s="6">
        <v>5815.34</v>
      </c>
      <c r="F4084" s="7" t="s">
        <v>14</v>
      </c>
      <c r="G4084" s="8" t="s">
        <v>7669</v>
      </c>
      <c r="H4084" s="8" t="s">
        <v>16</v>
      </c>
      <c r="I4084" s="9">
        <v>2905</v>
      </c>
      <c r="J4084" s="10">
        <v>66</v>
      </c>
      <c r="K4084" s="10">
        <v>66186</v>
      </c>
      <c r="L4084" s="3" t="str">
        <f t="shared" si="133"/>
        <v>ΠΥΡΗΝΟΚΑΡΠΑ</v>
      </c>
    </row>
    <row r="4085" spans="1:12" s="3" customFormat="1" ht="15" customHeight="1" x14ac:dyDescent="0.25">
      <c r="A4085" s="3" t="str">
        <f t="shared" si="132"/>
        <v>ΠΥΡΗΝΟΚΑΡΠΑΝΕΚΤΑΡΙΝΙΑ ΩΡΙΩΝ</v>
      </c>
      <c r="B4085" s="4" t="s">
        <v>7280</v>
      </c>
      <c r="C4085" s="5" t="s">
        <v>7670</v>
      </c>
      <c r="D4085" s="6">
        <v>5895.69</v>
      </c>
      <c r="E4085" s="6">
        <v>5815.34</v>
      </c>
      <c r="F4085" s="7" t="s">
        <v>14</v>
      </c>
      <c r="G4085" s="8" t="s">
        <v>7671</v>
      </c>
      <c r="H4085" s="8" t="s">
        <v>16</v>
      </c>
      <c r="I4085" s="9">
        <v>2906</v>
      </c>
      <c r="J4085" s="10">
        <v>66</v>
      </c>
      <c r="K4085" s="10">
        <v>66187</v>
      </c>
      <c r="L4085" s="3" t="str">
        <f t="shared" si="133"/>
        <v>ΠΥΡΗΝΟΚΑΡΠΑ</v>
      </c>
    </row>
    <row r="4086" spans="1:12" s="3" customFormat="1" ht="15" customHeight="1" x14ac:dyDescent="0.25">
      <c r="A4086" s="3" t="str">
        <f t="shared" si="132"/>
        <v>ΠΥΡΗΝΟΚΑΡΠΑΝΕΚΤΑΡΙΝΙΑ ΣΠΡΙΝΓΚ ΜΠΡΑΪΤ</v>
      </c>
      <c r="B4086" s="4" t="s">
        <v>7280</v>
      </c>
      <c r="C4086" s="5" t="s">
        <v>7672</v>
      </c>
      <c r="D4086" s="6">
        <v>5895.69</v>
      </c>
      <c r="E4086" s="6">
        <v>5815.34</v>
      </c>
      <c r="F4086" s="7" t="s">
        <v>14</v>
      </c>
      <c r="G4086" s="8" t="s">
        <v>7673</v>
      </c>
      <c r="H4086" s="8" t="s">
        <v>16</v>
      </c>
      <c r="I4086" s="9">
        <v>2907</v>
      </c>
      <c r="J4086" s="10">
        <v>66</v>
      </c>
      <c r="K4086" s="10">
        <v>66188</v>
      </c>
      <c r="L4086" s="3" t="str">
        <f t="shared" si="133"/>
        <v>ΠΥΡΗΝΟΚΑΡΠΑ</v>
      </c>
    </row>
    <row r="4087" spans="1:12" s="3" customFormat="1" ht="15" customHeight="1" x14ac:dyDescent="0.25">
      <c r="A4087" s="3" t="str">
        <f t="shared" si="132"/>
        <v>ΠΥΡΗΝΟΚΑΡΠΑΝΕΚΤΑΡΙΝΙΑ ΣΙΝΘΙΑ</v>
      </c>
      <c r="B4087" s="4" t="s">
        <v>7280</v>
      </c>
      <c r="C4087" s="5" t="s">
        <v>7674</v>
      </c>
      <c r="D4087" s="6">
        <v>5895.69</v>
      </c>
      <c r="E4087" s="6">
        <v>5815.34</v>
      </c>
      <c r="F4087" s="7" t="s">
        <v>14</v>
      </c>
      <c r="G4087" s="8" t="s">
        <v>7675</v>
      </c>
      <c r="H4087" s="8" t="s">
        <v>16</v>
      </c>
      <c r="I4087" s="9">
        <v>2908</v>
      </c>
      <c r="J4087" s="10">
        <v>66</v>
      </c>
      <c r="K4087" s="10">
        <v>66189</v>
      </c>
      <c r="L4087" s="3" t="str">
        <f t="shared" si="133"/>
        <v>ΠΥΡΗΝΟΚΑΡΠΑ</v>
      </c>
    </row>
    <row r="4088" spans="1:12" s="3" customFormat="1" ht="15" customHeight="1" x14ac:dyDescent="0.25">
      <c r="A4088" s="3" t="str">
        <f t="shared" si="132"/>
        <v>ΠΥΡΗΝΟΚΑΡΠΑΝΕΚΤΑΡΙΝΙΑ ΕΡΛΥ ΝΤΡΙΜ</v>
      </c>
      <c r="B4088" s="4" t="s">
        <v>7280</v>
      </c>
      <c r="C4088" s="5" t="s">
        <v>7676</v>
      </c>
      <c r="D4088" s="6">
        <v>5895.69</v>
      </c>
      <c r="E4088" s="6">
        <v>5815.34</v>
      </c>
      <c r="F4088" s="7" t="s">
        <v>14</v>
      </c>
      <c r="G4088" s="8" t="s">
        <v>7677</v>
      </c>
      <c r="H4088" s="8" t="s">
        <v>16</v>
      </c>
      <c r="I4088" s="9">
        <v>2909</v>
      </c>
      <c r="J4088" s="10">
        <v>66</v>
      </c>
      <c r="K4088" s="10">
        <v>66190</v>
      </c>
      <c r="L4088" s="3" t="str">
        <f t="shared" si="133"/>
        <v>ΠΥΡΗΝΟΚΑΡΠΑ</v>
      </c>
    </row>
    <row r="4089" spans="1:12" s="3" customFormat="1" ht="15" customHeight="1" x14ac:dyDescent="0.25">
      <c r="A4089" s="3" t="str">
        <f t="shared" si="132"/>
        <v>ΠΥΡΗΝΟΚΑΡΠΑΡΟΔΑΚΙΝΑ ΡΟΥΑΓΙΑΛ ΕΪΠΡΙΛ</v>
      </c>
      <c r="B4089" s="4" t="s">
        <v>7280</v>
      </c>
      <c r="C4089" s="5" t="s">
        <v>7678</v>
      </c>
      <c r="D4089" s="6">
        <v>5895.69</v>
      </c>
      <c r="E4089" s="6">
        <v>5815.34</v>
      </c>
      <c r="F4089" s="7" t="s">
        <v>14</v>
      </c>
      <c r="G4089" s="8" t="s">
        <v>7679</v>
      </c>
      <c r="H4089" s="8" t="s">
        <v>16</v>
      </c>
      <c r="I4089" s="9">
        <v>2910</v>
      </c>
      <c r="J4089" s="10">
        <v>66</v>
      </c>
      <c r="K4089" s="10">
        <v>66191</v>
      </c>
      <c r="L4089" s="3" t="str">
        <f t="shared" si="133"/>
        <v>ΠΥΡΗΝΟΚΑΡΠΑ</v>
      </c>
    </row>
    <row r="4090" spans="1:12" s="3" customFormat="1" ht="15" customHeight="1" x14ac:dyDescent="0.25">
      <c r="A4090" s="3" t="str">
        <f t="shared" si="132"/>
        <v>ΠΥΡΗΝΟΚΑΡΠΑΡΟΔΑΚΙΝΑ ΕΡΛΥΚΡΕΣΤ</v>
      </c>
      <c r="B4090" s="4" t="s">
        <v>7280</v>
      </c>
      <c r="C4090" s="5" t="s">
        <v>7680</v>
      </c>
      <c r="D4090" s="6">
        <v>5895.69</v>
      </c>
      <c r="E4090" s="6">
        <v>5815.34</v>
      </c>
      <c r="F4090" s="7" t="s">
        <v>14</v>
      </c>
      <c r="G4090" s="8" t="s">
        <v>7681</v>
      </c>
      <c r="H4090" s="8" t="s">
        <v>16</v>
      </c>
      <c r="I4090" s="9">
        <v>2986</v>
      </c>
      <c r="J4090" s="10">
        <v>66</v>
      </c>
      <c r="K4090" s="10">
        <v>66192</v>
      </c>
      <c r="L4090" s="3" t="str">
        <f t="shared" si="133"/>
        <v>ΠΥΡΗΝΟΚΑΡΠΑ</v>
      </c>
    </row>
    <row r="4091" spans="1:12" s="3" customFormat="1" ht="15" customHeight="1" x14ac:dyDescent="0.25">
      <c r="A4091" s="3" t="str">
        <f t="shared" si="132"/>
        <v>ΠΥΡΗΝΟΚΑΡΠΑΡΟΔΑΚΙΝΑ ΣΠΡΙΝΓΚΤΑΪΜ ΥΠΕΡΠΡΩΙΜΗ</v>
      </c>
      <c r="B4091" s="4" t="s">
        <v>7280</v>
      </c>
      <c r="C4091" s="5" t="s">
        <v>7682</v>
      </c>
      <c r="D4091" s="6">
        <v>5895.69</v>
      </c>
      <c r="E4091" s="6">
        <v>5815.34</v>
      </c>
      <c r="F4091" s="7" t="s">
        <v>14</v>
      </c>
      <c r="G4091" s="8" t="s">
        <v>7683</v>
      </c>
      <c r="H4091" s="8" t="s">
        <v>16</v>
      </c>
      <c r="I4091" s="9">
        <v>2940</v>
      </c>
      <c r="J4091" s="10">
        <v>66</v>
      </c>
      <c r="K4091" s="10">
        <v>66193</v>
      </c>
      <c r="L4091" s="3" t="str">
        <f t="shared" si="133"/>
        <v>ΠΥΡΗΝΟΚΑΡΠΑ</v>
      </c>
    </row>
    <row r="4092" spans="1:12" s="3" customFormat="1" ht="15" customHeight="1" x14ac:dyDescent="0.25">
      <c r="A4092" s="3" t="str">
        <f t="shared" si="132"/>
        <v>ΠΥΡΗΝΟΚΑΡΠΑΡΟΔΑΚΙΝΑ ΣΠΡΙΝΓΚΤΑΪΜ</v>
      </c>
      <c r="B4092" s="4" t="s">
        <v>7280</v>
      </c>
      <c r="C4092" s="5" t="s">
        <v>7684</v>
      </c>
      <c r="D4092" s="6">
        <v>5895.69</v>
      </c>
      <c r="E4092" s="6">
        <v>5815.34</v>
      </c>
      <c r="F4092" s="7" t="s">
        <v>14</v>
      </c>
      <c r="G4092" s="8" t="s">
        <v>7685</v>
      </c>
      <c r="H4092" s="8" t="s">
        <v>16</v>
      </c>
      <c r="I4092" s="9">
        <v>2973</v>
      </c>
      <c r="J4092" s="10">
        <v>66</v>
      </c>
      <c r="K4092" s="10">
        <v>66194</v>
      </c>
      <c r="L4092" s="3" t="str">
        <f t="shared" si="133"/>
        <v>ΠΥΡΗΝΟΚΑΡΠΑ</v>
      </c>
    </row>
    <row r="4093" spans="1:12" s="3" customFormat="1" ht="15" customHeight="1" x14ac:dyDescent="0.25">
      <c r="A4093" s="3" t="str">
        <f t="shared" si="132"/>
        <v>ΠΥΡΗΝΟΚΑΡΠΑΡΟΔΑΚΙΝΑ ΡΟΥΑΓΙΑΛ ΓΚΟΛΝΤ</v>
      </c>
      <c r="B4093" s="4" t="s">
        <v>7280</v>
      </c>
      <c r="C4093" s="5" t="s">
        <v>7686</v>
      </c>
      <c r="D4093" s="6">
        <v>5895.69</v>
      </c>
      <c r="E4093" s="6">
        <v>5815.34</v>
      </c>
      <c r="F4093" s="7" t="s">
        <v>14</v>
      </c>
      <c r="G4093" s="8" t="s">
        <v>7687</v>
      </c>
      <c r="H4093" s="8" t="s">
        <v>16</v>
      </c>
      <c r="I4093" s="9">
        <v>2974</v>
      </c>
      <c r="J4093" s="10">
        <v>66</v>
      </c>
      <c r="K4093" s="10">
        <v>66195</v>
      </c>
      <c r="L4093" s="3" t="str">
        <f t="shared" si="133"/>
        <v>ΠΥΡΗΝΟΚΑΡΠΑ</v>
      </c>
    </row>
    <row r="4094" spans="1:12" s="3" customFormat="1" ht="15" customHeight="1" x14ac:dyDescent="0.25">
      <c r="A4094" s="3" t="str">
        <f t="shared" si="132"/>
        <v>ΠΥΡΗΝΟΚΑΡΠΑΡΟΔΑΚΙΝΑ ΑΡΜ ΓΚΟΛΝΤ</v>
      </c>
      <c r="B4094" s="4" t="s">
        <v>7280</v>
      </c>
      <c r="C4094" s="5" t="s">
        <v>7688</v>
      </c>
      <c r="D4094" s="6">
        <v>5895.69</v>
      </c>
      <c r="E4094" s="6">
        <v>5815.34</v>
      </c>
      <c r="F4094" s="7" t="s">
        <v>14</v>
      </c>
      <c r="G4094" s="8" t="s">
        <v>7689</v>
      </c>
      <c r="H4094" s="8" t="s">
        <v>16</v>
      </c>
      <c r="I4094" s="9">
        <v>2975</v>
      </c>
      <c r="J4094" s="10">
        <v>66</v>
      </c>
      <c r="K4094" s="10">
        <v>66196</v>
      </c>
      <c r="L4094" s="3" t="str">
        <f t="shared" si="133"/>
        <v>ΠΥΡΗΝΟΚΑΡΠΑ</v>
      </c>
    </row>
    <row r="4095" spans="1:12" s="3" customFormat="1" ht="15" customHeight="1" x14ac:dyDescent="0.25">
      <c r="A4095" s="3" t="str">
        <f t="shared" si="132"/>
        <v>ΠΥΡΗΝΟΚΑΡΠΑΡΟΔΑΚΙΝΑ ΜΕΪΚΡΕΣΤ</v>
      </c>
      <c r="B4095" s="4" t="s">
        <v>7280</v>
      </c>
      <c r="C4095" s="5" t="s">
        <v>7690</v>
      </c>
      <c r="D4095" s="6">
        <v>5895.69</v>
      </c>
      <c r="E4095" s="6">
        <v>5815.34</v>
      </c>
      <c r="F4095" s="7" t="s">
        <v>14</v>
      </c>
      <c r="G4095" s="8" t="s">
        <v>7691</v>
      </c>
      <c r="H4095" s="8" t="s">
        <v>16</v>
      </c>
      <c r="I4095" s="9">
        <v>2976</v>
      </c>
      <c r="J4095" s="10">
        <v>66</v>
      </c>
      <c r="K4095" s="10">
        <v>66197</v>
      </c>
      <c r="L4095" s="3" t="str">
        <f t="shared" si="133"/>
        <v>ΠΥΡΗΝΟΚΑΡΠΑ</v>
      </c>
    </row>
    <row r="4096" spans="1:12" s="3" customFormat="1" ht="15" customHeight="1" x14ac:dyDescent="0.25">
      <c r="A4096" s="3" t="str">
        <f t="shared" si="132"/>
        <v>ΠΥΡΗΝΟΚΑΡΠΑΡΟΔΑΚΙΝΑ ΣΠΡΙΝΓΚ ΚΡΕΣΤ</v>
      </c>
      <c r="B4096" s="4" t="s">
        <v>7280</v>
      </c>
      <c r="C4096" s="5" t="s">
        <v>7692</v>
      </c>
      <c r="D4096" s="6">
        <v>5895.69</v>
      </c>
      <c r="E4096" s="6">
        <v>5815.34</v>
      </c>
      <c r="F4096" s="7" t="s">
        <v>14</v>
      </c>
      <c r="G4096" s="8" t="s">
        <v>7693</v>
      </c>
      <c r="H4096" s="8" t="s">
        <v>16</v>
      </c>
      <c r="I4096" s="9">
        <v>2977</v>
      </c>
      <c r="J4096" s="10">
        <v>66</v>
      </c>
      <c r="K4096" s="10">
        <v>66198</v>
      </c>
      <c r="L4096" s="3" t="str">
        <f t="shared" si="133"/>
        <v>ΠΥΡΗΝΟΚΑΡΠΑ</v>
      </c>
    </row>
    <row r="4097" spans="1:12" s="3" customFormat="1" ht="15" customHeight="1" x14ac:dyDescent="0.25">
      <c r="A4097" s="3" t="str">
        <f t="shared" si="132"/>
        <v>ΠΥΡΗΝΟΚΑΡΠΑΡΟΔΑΚΙΝΑ ΕΡΛΥΡΕΝΤ</v>
      </c>
      <c r="B4097" s="4" t="s">
        <v>7280</v>
      </c>
      <c r="C4097" s="5" t="s">
        <v>7694</v>
      </c>
      <c r="D4097" s="6">
        <v>5895.69</v>
      </c>
      <c r="E4097" s="6">
        <v>5815.34</v>
      </c>
      <c r="F4097" s="7" t="s">
        <v>14</v>
      </c>
      <c r="G4097" s="8" t="s">
        <v>7695</v>
      </c>
      <c r="H4097" s="8" t="s">
        <v>16</v>
      </c>
      <c r="I4097" s="9">
        <v>2978</v>
      </c>
      <c r="J4097" s="10">
        <v>66</v>
      </c>
      <c r="K4097" s="10">
        <v>66199</v>
      </c>
      <c r="L4097" s="3" t="str">
        <f t="shared" si="133"/>
        <v>ΠΥΡΗΝΟΚΑΡΠΑ</v>
      </c>
    </row>
    <row r="4098" spans="1:12" s="3" customFormat="1" ht="15" customHeight="1" x14ac:dyDescent="0.25">
      <c r="A4098" s="3" t="str">
        <f t="shared" si="132"/>
        <v>ΠΥΡΗΝΟΚΑΡΠΑΡΟΔΑΚΙΝΑ ΕΡΛΥ ΚΟΡΟΝΕΤ</v>
      </c>
      <c r="B4098" s="4" t="s">
        <v>7280</v>
      </c>
      <c r="C4098" s="5" t="s">
        <v>7696</v>
      </c>
      <c r="D4098" s="6">
        <v>5895.69</v>
      </c>
      <c r="E4098" s="6">
        <v>5815.34</v>
      </c>
      <c r="F4098" s="7" t="s">
        <v>14</v>
      </c>
      <c r="G4098" s="8" t="s">
        <v>7697</v>
      </c>
      <c r="H4098" s="8" t="s">
        <v>16</v>
      </c>
      <c r="I4098" s="9">
        <v>2979</v>
      </c>
      <c r="J4098" s="10">
        <v>66</v>
      </c>
      <c r="K4098" s="10">
        <v>66200</v>
      </c>
      <c r="L4098" s="3" t="str">
        <f t="shared" si="133"/>
        <v>ΠΥΡΗΝΟΚΑΡΠΑ</v>
      </c>
    </row>
    <row r="4099" spans="1:12" s="3" customFormat="1" ht="15" customHeight="1" x14ac:dyDescent="0.25">
      <c r="A4099" s="3" t="str">
        <f t="shared" ref="A4099:A4162" si="134">_xlfn.CONCAT(B4099,C4099)</f>
        <v>ΠΥΡΗΝΟΚΑΡΠΑΡΟΔΑΚΙΝΑ ΤΖΟΥΝΓΚΟΛΝΤ</v>
      </c>
      <c r="B4099" s="4" t="s">
        <v>7280</v>
      </c>
      <c r="C4099" s="5" t="s">
        <v>7698</v>
      </c>
      <c r="D4099" s="6">
        <v>5895.69</v>
      </c>
      <c r="E4099" s="6">
        <v>5815.34</v>
      </c>
      <c r="F4099" s="7" t="s">
        <v>14</v>
      </c>
      <c r="G4099" s="8" t="s">
        <v>7699</v>
      </c>
      <c r="H4099" s="8" t="s">
        <v>16</v>
      </c>
      <c r="I4099" s="9">
        <v>2980</v>
      </c>
      <c r="J4099" s="10">
        <v>66</v>
      </c>
      <c r="K4099" s="10">
        <v>66201</v>
      </c>
      <c r="L4099" s="3" t="str">
        <f t="shared" ref="L4099:L4162" si="135">IFERROR(SUBSTITUTE(SUBSTITUTE(SUBSTITUTE(SUBSTITUTE(SUBSTITUTE(B4099, "-", "_"), " ", "_"), ",", ""), "(", ""), ")", ""), B4099)</f>
        <v>ΠΥΡΗΝΟΚΑΡΠΑ</v>
      </c>
    </row>
    <row r="4100" spans="1:12" s="3" customFormat="1" ht="15" customHeight="1" x14ac:dyDescent="0.25">
      <c r="A4100" s="3" t="str">
        <f t="shared" si="134"/>
        <v>ΠΥΡΗΝΟΚΑΡΠΑΡΟΔΑΚΙΝΑ ΡΟΥΑΓΙΑΛ ΜΕΪ</v>
      </c>
      <c r="B4100" s="4" t="s">
        <v>7280</v>
      </c>
      <c r="C4100" s="5" t="s">
        <v>7700</v>
      </c>
      <c r="D4100" s="6">
        <v>5895.69</v>
      </c>
      <c r="E4100" s="6">
        <v>5815.34</v>
      </c>
      <c r="F4100" s="7" t="s">
        <v>14</v>
      </c>
      <c r="G4100" s="8" t="s">
        <v>7701</v>
      </c>
      <c r="H4100" s="8" t="s">
        <v>16</v>
      </c>
      <c r="I4100" s="9">
        <v>2981</v>
      </c>
      <c r="J4100" s="10">
        <v>66</v>
      </c>
      <c r="K4100" s="10">
        <v>66202</v>
      </c>
      <c r="L4100" s="3" t="str">
        <f t="shared" si="135"/>
        <v>ΠΥΡΗΝΟΚΑΡΠΑ</v>
      </c>
    </row>
    <row r="4101" spans="1:12" s="3" customFormat="1" ht="15" customHeight="1" x14ac:dyDescent="0.25">
      <c r="A4101" s="3" t="str">
        <f t="shared" si="134"/>
        <v>ΠΥΡΗΝΟΚΑΡΠΑΡΟΔΑΚΙΝΑ ΜΕΡΙΛ ΤΖΕΜ ΦΡΙ</v>
      </c>
      <c r="B4101" s="4" t="s">
        <v>7280</v>
      </c>
      <c r="C4101" s="5" t="s">
        <v>7702</v>
      </c>
      <c r="D4101" s="6">
        <v>5895.69</v>
      </c>
      <c r="E4101" s="6">
        <v>5815.34</v>
      </c>
      <c r="F4101" s="7" t="s">
        <v>14</v>
      </c>
      <c r="G4101" s="8" t="s">
        <v>7703</v>
      </c>
      <c r="H4101" s="8" t="s">
        <v>16</v>
      </c>
      <c r="I4101" s="9">
        <v>2982</v>
      </c>
      <c r="J4101" s="10">
        <v>66</v>
      </c>
      <c r="K4101" s="10">
        <v>66203</v>
      </c>
      <c r="L4101" s="3" t="str">
        <f t="shared" si="135"/>
        <v>ΠΥΡΗΝΟΚΑΡΠΑ</v>
      </c>
    </row>
    <row r="4102" spans="1:12" s="3" customFormat="1" ht="15" customHeight="1" x14ac:dyDescent="0.25">
      <c r="A4102" s="3" t="str">
        <f t="shared" si="134"/>
        <v>ΠΥΡΗΝΟΚΑΡΠΑΡΟΔΑΚΙΝΑ ΚΑΡΝΤΙΝΑΛ</v>
      </c>
      <c r="B4102" s="4" t="s">
        <v>7280</v>
      </c>
      <c r="C4102" s="5" t="s">
        <v>7704</v>
      </c>
      <c r="D4102" s="6">
        <v>5895.69</v>
      </c>
      <c r="E4102" s="6">
        <v>5815.34</v>
      </c>
      <c r="F4102" s="7" t="s">
        <v>14</v>
      </c>
      <c r="G4102" s="8" t="s">
        <v>7705</v>
      </c>
      <c r="H4102" s="8" t="s">
        <v>16</v>
      </c>
      <c r="I4102" s="9">
        <v>2983</v>
      </c>
      <c r="J4102" s="10">
        <v>66</v>
      </c>
      <c r="K4102" s="10">
        <v>66204</v>
      </c>
      <c r="L4102" s="3" t="str">
        <f t="shared" si="135"/>
        <v>ΠΥΡΗΝΟΚΑΡΠΑ</v>
      </c>
    </row>
    <row r="4103" spans="1:12" s="3" customFormat="1" ht="15" customHeight="1" x14ac:dyDescent="0.25">
      <c r="A4103" s="3" t="str">
        <f t="shared" si="134"/>
        <v>ΠΥΡΗΝΟΚΑΡΠΑΡΟΔΑΚΙΝΑ ΝΤΙΞΙΡΕΝΤ</v>
      </c>
      <c r="B4103" s="4" t="s">
        <v>7280</v>
      </c>
      <c r="C4103" s="5" t="s">
        <v>7706</v>
      </c>
      <c r="D4103" s="6">
        <v>5895.69</v>
      </c>
      <c r="E4103" s="6">
        <v>5815.34</v>
      </c>
      <c r="F4103" s="7" t="s">
        <v>14</v>
      </c>
      <c r="G4103" s="8" t="s">
        <v>7707</v>
      </c>
      <c r="H4103" s="8" t="s">
        <v>16</v>
      </c>
      <c r="I4103" s="9">
        <v>2999</v>
      </c>
      <c r="J4103" s="10">
        <v>66</v>
      </c>
      <c r="K4103" s="10">
        <v>66205</v>
      </c>
      <c r="L4103" s="3" t="str">
        <f t="shared" si="135"/>
        <v>ΠΥΡΗΝΟΚΑΡΠΑ</v>
      </c>
    </row>
    <row r="4104" spans="1:12" s="3" customFormat="1" ht="15" customHeight="1" x14ac:dyDescent="0.25">
      <c r="A4104" s="3" t="str">
        <f t="shared" si="134"/>
        <v>ΠΥΡΗΝΟΚΑΡΠΑΡΟΔΑΚΙΝΑ ΡΕΝΤ ΚΑΠ</v>
      </c>
      <c r="B4104" s="4" t="s">
        <v>7280</v>
      </c>
      <c r="C4104" s="5" t="s">
        <v>7708</v>
      </c>
      <c r="D4104" s="6">
        <v>5895.69</v>
      </c>
      <c r="E4104" s="6">
        <v>5815.34</v>
      </c>
      <c r="F4104" s="7" t="s">
        <v>14</v>
      </c>
      <c r="G4104" s="8" t="s">
        <v>7709</v>
      </c>
      <c r="H4104" s="8" t="s">
        <v>16</v>
      </c>
      <c r="I4104" s="9">
        <v>2985</v>
      </c>
      <c r="J4104" s="10">
        <v>66</v>
      </c>
      <c r="K4104" s="10">
        <v>66206</v>
      </c>
      <c r="L4104" s="3" t="str">
        <f t="shared" si="135"/>
        <v>ΠΥΡΗΝΟΚΑΡΠΑ</v>
      </c>
    </row>
    <row r="4105" spans="1:12" s="3" customFormat="1" ht="15" customHeight="1" x14ac:dyDescent="0.25">
      <c r="A4105" s="3" t="str">
        <f t="shared" si="134"/>
        <v>ΠΥΡΗΝΟΚΑΡΠΑΡΟΔΑΚΙΝΑ ΣΑΝ ΧΑΒΕΝ</v>
      </c>
      <c r="B4105" s="4" t="s">
        <v>7280</v>
      </c>
      <c r="C4105" s="5" t="s">
        <v>7710</v>
      </c>
      <c r="D4105" s="6">
        <v>5895.69</v>
      </c>
      <c r="E4105" s="6">
        <v>5815.34</v>
      </c>
      <c r="F4105" s="7" t="s">
        <v>14</v>
      </c>
      <c r="G4105" s="8" t="s">
        <v>7711</v>
      </c>
      <c r="H4105" s="8" t="s">
        <v>16</v>
      </c>
      <c r="I4105" s="9">
        <v>2956</v>
      </c>
      <c r="J4105" s="10">
        <v>66</v>
      </c>
      <c r="K4105" s="10">
        <v>66207</v>
      </c>
      <c r="L4105" s="3" t="str">
        <f t="shared" si="135"/>
        <v>ΠΥΡΗΝΟΚΑΡΠΑ</v>
      </c>
    </row>
    <row r="4106" spans="1:12" s="3" customFormat="1" ht="15" customHeight="1" x14ac:dyDescent="0.25">
      <c r="A4106" s="3" t="str">
        <f t="shared" si="134"/>
        <v>ΠΥΡΗΝΟΚΑΡΠΑΡΟΔΑΚΙΝΑ ΜΕΡΙΛΤΖΕΜ</v>
      </c>
      <c r="B4106" s="4" t="s">
        <v>7280</v>
      </c>
      <c r="C4106" s="5" t="s">
        <v>7712</v>
      </c>
      <c r="D4106" s="6">
        <v>5895.69</v>
      </c>
      <c r="E4106" s="6">
        <v>5815.34</v>
      </c>
      <c r="F4106" s="7" t="s">
        <v>14</v>
      </c>
      <c r="G4106" s="8" t="s">
        <v>7713</v>
      </c>
      <c r="H4106" s="8" t="s">
        <v>16</v>
      </c>
      <c r="I4106" s="9">
        <v>2942</v>
      </c>
      <c r="J4106" s="10">
        <v>66</v>
      </c>
      <c r="K4106" s="10">
        <v>66208</v>
      </c>
      <c r="L4106" s="3" t="str">
        <f t="shared" si="135"/>
        <v>ΠΥΡΗΝΟΚΑΡΠΑ</v>
      </c>
    </row>
    <row r="4107" spans="1:12" s="3" customFormat="1" ht="15" customHeight="1" x14ac:dyDescent="0.25">
      <c r="A4107" s="3" t="str">
        <f t="shared" si="134"/>
        <v>ΠΥΡΗΝΟΚΑΡΠΑΡΟΔΑΚ. ΡΕΝΤΜΠΕΡΝΤ ΚΛΙΝΚ,  ΑΜΕΡΙΚΑΝ</v>
      </c>
      <c r="B4107" s="4" t="s">
        <v>7280</v>
      </c>
      <c r="C4107" s="5" t="s">
        <v>7714</v>
      </c>
      <c r="D4107" s="6">
        <v>5895.69</v>
      </c>
      <c r="E4107" s="6">
        <v>5815.34</v>
      </c>
      <c r="F4107" s="7" t="s">
        <v>14</v>
      </c>
      <c r="G4107" s="8" t="s">
        <v>7715</v>
      </c>
      <c r="H4107" s="8" t="s">
        <v>16</v>
      </c>
      <c r="I4107" s="9">
        <v>2958</v>
      </c>
      <c r="J4107" s="10">
        <v>66</v>
      </c>
      <c r="K4107" s="10">
        <v>66209</v>
      </c>
      <c r="L4107" s="3" t="str">
        <f t="shared" si="135"/>
        <v>ΠΥΡΗΝΟΚΑΡΠΑ</v>
      </c>
    </row>
    <row r="4108" spans="1:12" s="3" customFormat="1" ht="15" customHeight="1" x14ac:dyDescent="0.25">
      <c r="A4108" s="3" t="str">
        <f t="shared" si="134"/>
        <v>ΠΥΡΗΝΟΚΑΡΠΑΡΟΔΑΚΙΝΑ ΤΖΕΡΣΕΫΛΑΝΤ</v>
      </c>
      <c r="B4108" s="4" t="s">
        <v>7280</v>
      </c>
      <c r="C4108" s="5" t="s">
        <v>7716</v>
      </c>
      <c r="D4108" s="6">
        <v>5895.69</v>
      </c>
      <c r="E4108" s="6">
        <v>5815.34</v>
      </c>
      <c r="F4108" s="7" t="s">
        <v>14</v>
      </c>
      <c r="G4108" s="8" t="s">
        <v>7717</v>
      </c>
      <c r="H4108" s="8" t="s">
        <v>16</v>
      </c>
      <c r="I4108" s="9">
        <v>2959</v>
      </c>
      <c r="J4108" s="10">
        <v>66</v>
      </c>
      <c r="K4108" s="10">
        <v>66210</v>
      </c>
      <c r="L4108" s="3" t="str">
        <f t="shared" si="135"/>
        <v>ΠΥΡΗΝΟΚΑΡΠΑ</v>
      </c>
    </row>
    <row r="4109" spans="1:12" s="3" customFormat="1" ht="15" customHeight="1" x14ac:dyDescent="0.25">
      <c r="A4109" s="3" t="str">
        <f t="shared" si="134"/>
        <v>ΠΥΡΗΝΟΚΑΡΠΑΡΟΔΑΚΙΝΑ ΡΕΓΚΙΝΑ</v>
      </c>
      <c r="B4109" s="4" t="s">
        <v>7280</v>
      </c>
      <c r="C4109" s="5" t="s">
        <v>7718</v>
      </c>
      <c r="D4109" s="6">
        <v>5895.69</v>
      </c>
      <c r="E4109" s="6">
        <v>5815.34</v>
      </c>
      <c r="F4109" s="7" t="s">
        <v>14</v>
      </c>
      <c r="G4109" s="8" t="s">
        <v>7719</v>
      </c>
      <c r="H4109" s="8" t="s">
        <v>16</v>
      </c>
      <c r="I4109" s="9">
        <v>2960</v>
      </c>
      <c r="J4109" s="10">
        <v>66</v>
      </c>
      <c r="K4109" s="10">
        <v>66211</v>
      </c>
      <c r="L4109" s="3" t="str">
        <f t="shared" si="135"/>
        <v>ΠΥΡΗΝΟΚΑΡΠΑ</v>
      </c>
    </row>
    <row r="4110" spans="1:12" s="3" customFormat="1" ht="15" customHeight="1" x14ac:dyDescent="0.25">
      <c r="A4110" s="3" t="str">
        <f t="shared" si="134"/>
        <v>ΠΥΡΗΝΟΚΑΡΠΑΡΟΔΑΚΙΝΑ ΕΡΛΥ ΡΕΝΤ ΧΑΒΕΝ</v>
      </c>
      <c r="B4110" s="4" t="s">
        <v>7280</v>
      </c>
      <c r="C4110" s="5" t="s">
        <v>7720</v>
      </c>
      <c r="D4110" s="6">
        <v>5895.69</v>
      </c>
      <c r="E4110" s="6">
        <v>5815.34</v>
      </c>
      <c r="F4110" s="7" t="s">
        <v>14</v>
      </c>
      <c r="G4110" s="8" t="s">
        <v>7721</v>
      </c>
      <c r="H4110" s="8" t="s">
        <v>16</v>
      </c>
      <c r="I4110" s="9">
        <v>2961</v>
      </c>
      <c r="J4110" s="10">
        <v>66</v>
      </c>
      <c r="K4110" s="10">
        <v>66212</v>
      </c>
      <c r="L4110" s="3" t="str">
        <f t="shared" si="135"/>
        <v>ΠΥΡΗΝΟΚΑΡΠΑ</v>
      </c>
    </row>
    <row r="4111" spans="1:12" s="3" customFormat="1" ht="15" customHeight="1" x14ac:dyDescent="0.25">
      <c r="A4111" s="3" t="str">
        <f t="shared" si="134"/>
        <v>ΠΥΡΗΝΟΚΑΡΠΑΡΟΔΑΚΙΝΑ ΚΟΡΟΝΕΤ</v>
      </c>
      <c r="B4111" s="4" t="s">
        <v>7280</v>
      </c>
      <c r="C4111" s="5" t="s">
        <v>7722</v>
      </c>
      <c r="D4111" s="6">
        <v>5895.69</v>
      </c>
      <c r="E4111" s="6">
        <v>5815.34</v>
      </c>
      <c r="F4111" s="7" t="s">
        <v>14</v>
      </c>
      <c r="G4111" s="8" t="s">
        <v>7723</v>
      </c>
      <c r="H4111" s="8" t="s">
        <v>16</v>
      </c>
      <c r="I4111" s="9">
        <v>2962</v>
      </c>
      <c r="J4111" s="10">
        <v>66</v>
      </c>
      <c r="K4111" s="10">
        <v>66213</v>
      </c>
      <c r="L4111" s="3" t="str">
        <f t="shared" si="135"/>
        <v>ΠΥΡΗΝΟΚΑΡΠΑ</v>
      </c>
    </row>
    <row r="4112" spans="1:12" s="3" customFormat="1" ht="15" customHeight="1" x14ac:dyDescent="0.25">
      <c r="A4112" s="3" t="str">
        <f t="shared" si="134"/>
        <v>ΠΥΡΗΝΟΚΑΡΠΑΡΟΔΑΚΙΝΑ ΑΜΣΝΤΕΝ</v>
      </c>
      <c r="B4112" s="4" t="s">
        <v>7280</v>
      </c>
      <c r="C4112" s="5" t="s">
        <v>7724</v>
      </c>
      <c r="D4112" s="6">
        <v>5895.69</v>
      </c>
      <c r="E4112" s="6">
        <v>5815.34</v>
      </c>
      <c r="F4112" s="7" t="s">
        <v>14</v>
      </c>
      <c r="G4112" s="8" t="s">
        <v>7725</v>
      </c>
      <c r="H4112" s="8" t="s">
        <v>16</v>
      </c>
      <c r="I4112" s="9">
        <v>2963</v>
      </c>
      <c r="J4112" s="10">
        <v>66</v>
      </c>
      <c r="K4112" s="10">
        <v>66214</v>
      </c>
      <c r="L4112" s="3" t="str">
        <f t="shared" si="135"/>
        <v>ΠΥΡΗΝΟΚΑΡΠΑ</v>
      </c>
    </row>
    <row r="4113" spans="1:12" s="3" customFormat="1" ht="15" customHeight="1" x14ac:dyDescent="0.25">
      <c r="A4113" s="3" t="str">
        <f t="shared" si="134"/>
        <v>ΠΥΡΗΝΟΚΑΡΠΑΡΟΔΑΚΙΝΑ ΡΕΝΤ ΧΑΒΕΝ</v>
      </c>
      <c r="B4113" s="4" t="s">
        <v>7280</v>
      </c>
      <c r="C4113" s="5" t="s">
        <v>7726</v>
      </c>
      <c r="D4113" s="6">
        <v>5895.69</v>
      </c>
      <c r="E4113" s="6">
        <v>5815.34</v>
      </c>
      <c r="F4113" s="7" t="s">
        <v>14</v>
      </c>
      <c r="G4113" s="8" t="s">
        <v>7727</v>
      </c>
      <c r="H4113" s="8" t="s">
        <v>16</v>
      </c>
      <c r="I4113" s="9">
        <v>2964</v>
      </c>
      <c r="J4113" s="10">
        <v>66</v>
      </c>
      <c r="K4113" s="10">
        <v>66215</v>
      </c>
      <c r="L4113" s="3" t="str">
        <f t="shared" si="135"/>
        <v>ΠΥΡΗΝΟΚΑΡΠΑ</v>
      </c>
    </row>
    <row r="4114" spans="1:12" s="3" customFormat="1" ht="15" customHeight="1" x14ac:dyDescent="0.25">
      <c r="A4114" s="3" t="str">
        <f t="shared" si="134"/>
        <v>ΠΥΡΗΝΟΚΑΡΠΑΡΟΔΑΚΙΝΑ ΣΑΝΚΛΑΟΥΝΤ</v>
      </c>
      <c r="B4114" s="4" t="s">
        <v>7280</v>
      </c>
      <c r="C4114" s="5" t="s">
        <v>7728</v>
      </c>
      <c r="D4114" s="6">
        <v>5895.69</v>
      </c>
      <c r="E4114" s="6">
        <v>5815.34</v>
      </c>
      <c r="F4114" s="7" t="s">
        <v>14</v>
      </c>
      <c r="G4114" s="8" t="s">
        <v>7729</v>
      </c>
      <c r="H4114" s="8" t="s">
        <v>16</v>
      </c>
      <c r="I4114" s="9">
        <v>2965</v>
      </c>
      <c r="J4114" s="10">
        <v>66</v>
      </c>
      <c r="K4114" s="10">
        <v>66216</v>
      </c>
      <c r="L4114" s="3" t="str">
        <f t="shared" si="135"/>
        <v>ΠΥΡΗΝΟΚΑΡΠΑ</v>
      </c>
    </row>
    <row r="4115" spans="1:12" s="3" customFormat="1" ht="15" customHeight="1" x14ac:dyDescent="0.25">
      <c r="A4115" s="3" t="str">
        <f t="shared" si="134"/>
        <v>ΠΥΡΗΝΟΚΑΡΠΑΡΟΔΑΚΙΝΑ ΣΑΟΥΘΛΑΝΤ</v>
      </c>
      <c r="B4115" s="4" t="s">
        <v>7280</v>
      </c>
      <c r="C4115" s="5" t="s">
        <v>7730</v>
      </c>
      <c r="D4115" s="6">
        <v>5895.69</v>
      </c>
      <c r="E4115" s="6">
        <v>5815.34</v>
      </c>
      <c r="F4115" s="7" t="s">
        <v>14</v>
      </c>
      <c r="G4115" s="8" t="s">
        <v>7731</v>
      </c>
      <c r="H4115" s="8" t="s">
        <v>16</v>
      </c>
      <c r="I4115" s="9">
        <v>2966</v>
      </c>
      <c r="J4115" s="10">
        <v>66</v>
      </c>
      <c r="K4115" s="10">
        <v>66217</v>
      </c>
      <c r="L4115" s="3" t="str">
        <f t="shared" si="135"/>
        <v>ΠΥΡΗΝΟΚΑΡΠΑ</v>
      </c>
    </row>
    <row r="4116" spans="1:12" s="3" customFormat="1" ht="15" customHeight="1" x14ac:dyDescent="0.25">
      <c r="A4116" s="3" t="str">
        <f t="shared" si="134"/>
        <v>ΠΥΡΗΝΟΚΑΡΠΑΡΟΔΑΚΙΝΑ ΦΕΡ ΧΑΒΕΝ</v>
      </c>
      <c r="B4116" s="4" t="s">
        <v>7280</v>
      </c>
      <c r="C4116" s="5" t="s">
        <v>7732</v>
      </c>
      <c r="D4116" s="6">
        <v>5895.69</v>
      </c>
      <c r="E4116" s="6">
        <v>5815.34</v>
      </c>
      <c r="F4116" s="7" t="s">
        <v>14</v>
      </c>
      <c r="G4116" s="8" t="s">
        <v>7733</v>
      </c>
      <c r="H4116" s="8" t="s">
        <v>16</v>
      </c>
      <c r="I4116" s="9">
        <v>2967</v>
      </c>
      <c r="J4116" s="10">
        <v>66</v>
      </c>
      <c r="K4116" s="10">
        <v>66218</v>
      </c>
      <c r="L4116" s="3" t="str">
        <f t="shared" si="135"/>
        <v>ΠΥΡΗΝΟΚΑΡΠΑ</v>
      </c>
    </row>
    <row r="4117" spans="1:12" s="3" customFormat="1" ht="15" customHeight="1" x14ac:dyDescent="0.25">
      <c r="A4117" s="3" t="str">
        <f t="shared" si="134"/>
        <v>ΠΥΡΗΝΟΚΑΡΠΑΡΟΔΑΚΙΝΑ ΡΕΝΤ ΓΚΛΟΟΥΜΠ</v>
      </c>
      <c r="B4117" s="4" t="s">
        <v>7280</v>
      </c>
      <c r="C4117" s="5" t="s">
        <v>7734</v>
      </c>
      <c r="D4117" s="6">
        <v>5895.69</v>
      </c>
      <c r="E4117" s="6">
        <v>5815.34</v>
      </c>
      <c r="F4117" s="7" t="s">
        <v>14</v>
      </c>
      <c r="G4117" s="8" t="s">
        <v>7735</v>
      </c>
      <c r="H4117" s="8" t="s">
        <v>16</v>
      </c>
      <c r="I4117" s="9">
        <v>2968</v>
      </c>
      <c r="J4117" s="10">
        <v>66</v>
      </c>
      <c r="K4117" s="10">
        <v>66219</v>
      </c>
      <c r="L4117" s="3" t="str">
        <f t="shared" si="135"/>
        <v>ΠΥΡΗΝΟΚΑΡΠΑ</v>
      </c>
    </row>
    <row r="4118" spans="1:12" s="3" customFormat="1" ht="15" customHeight="1" x14ac:dyDescent="0.25">
      <c r="A4118" s="3" t="str">
        <f t="shared" si="134"/>
        <v>ΠΥΡΗΝΟΚΑΡΠΑΡΟΔΑΚΙΝΑ ΛΙΠΟΧΩΡΙΟΥ</v>
      </c>
      <c r="B4118" s="4" t="s">
        <v>7280</v>
      </c>
      <c r="C4118" s="5" t="s">
        <v>7736</v>
      </c>
      <c r="D4118" s="6">
        <v>5895.69</v>
      </c>
      <c r="E4118" s="6">
        <v>5815.34</v>
      </c>
      <c r="F4118" s="7" t="s">
        <v>14</v>
      </c>
      <c r="G4118" s="8" t="s">
        <v>7737</v>
      </c>
      <c r="H4118" s="8" t="s">
        <v>16</v>
      </c>
      <c r="I4118" s="9">
        <v>2969</v>
      </c>
      <c r="J4118" s="10">
        <v>66</v>
      </c>
      <c r="K4118" s="10">
        <v>66220</v>
      </c>
      <c r="L4118" s="3" t="str">
        <f t="shared" si="135"/>
        <v>ΠΥΡΗΝΟΚΑΡΠΑ</v>
      </c>
    </row>
    <row r="4119" spans="1:12" s="3" customFormat="1" ht="15" customHeight="1" x14ac:dyDescent="0.25">
      <c r="A4119" s="3" t="str">
        <f t="shared" si="134"/>
        <v>ΠΥΡΗΝΟΚΑΡΠΑΡΟΔΑΚΙΝΑ ΛΟΡΙΝΓΚ</v>
      </c>
      <c r="B4119" s="4" t="s">
        <v>7280</v>
      </c>
      <c r="C4119" s="5" t="s">
        <v>7738</v>
      </c>
      <c r="D4119" s="6">
        <v>5895.69</v>
      </c>
      <c r="E4119" s="6">
        <v>5815.34</v>
      </c>
      <c r="F4119" s="7" t="s">
        <v>14</v>
      </c>
      <c r="G4119" s="8" t="s">
        <v>7739</v>
      </c>
      <c r="H4119" s="8" t="s">
        <v>16</v>
      </c>
      <c r="I4119" s="9">
        <v>2897</v>
      </c>
      <c r="J4119" s="10">
        <v>66</v>
      </c>
      <c r="K4119" s="10">
        <v>66221</v>
      </c>
      <c r="L4119" s="3" t="str">
        <f t="shared" si="135"/>
        <v>ΠΥΡΗΝΟΚΑΡΠΑ</v>
      </c>
    </row>
    <row r="4120" spans="1:12" s="3" customFormat="1" ht="15" customHeight="1" x14ac:dyDescent="0.25">
      <c r="A4120" s="3" t="str">
        <f t="shared" si="134"/>
        <v>ΠΥΡΗΝΟΚΑΡΠΑΡΟΔΑΚΙΝΑ ΣΑΝ ΚΡΕΣΤ</v>
      </c>
      <c r="B4120" s="4" t="s">
        <v>7280</v>
      </c>
      <c r="C4120" s="5" t="s">
        <v>7740</v>
      </c>
      <c r="D4120" s="6">
        <v>5895.69</v>
      </c>
      <c r="E4120" s="6">
        <v>5815.34</v>
      </c>
      <c r="F4120" s="7" t="s">
        <v>14</v>
      </c>
      <c r="G4120" s="8" t="s">
        <v>7741</v>
      </c>
      <c r="H4120" s="8" t="s">
        <v>16</v>
      </c>
      <c r="I4120" s="9">
        <v>3159</v>
      </c>
      <c r="J4120" s="10">
        <v>66</v>
      </c>
      <c r="K4120" s="10">
        <v>66222</v>
      </c>
      <c r="L4120" s="3" t="str">
        <f t="shared" si="135"/>
        <v>ΠΥΡΗΝΟΚΑΡΠΑ</v>
      </c>
    </row>
    <row r="4121" spans="1:12" s="3" customFormat="1" ht="15" customHeight="1" x14ac:dyDescent="0.25">
      <c r="A4121" s="3" t="str">
        <f t="shared" si="134"/>
        <v>ΠΥΡΗΝΟΚΑΡΠΑΡΟΔΑΚ. ΜΠΛΕΪΚ, ΡΕΝΤΣΚΙΝ</v>
      </c>
      <c r="B4121" s="4" t="s">
        <v>7280</v>
      </c>
      <c r="C4121" s="5" t="s">
        <v>7742</v>
      </c>
      <c r="D4121" s="6">
        <v>5895.69</v>
      </c>
      <c r="E4121" s="6">
        <v>5815.34</v>
      </c>
      <c r="F4121" s="7" t="s">
        <v>14</v>
      </c>
      <c r="G4121" s="8" t="s">
        <v>7743</v>
      </c>
      <c r="H4121" s="8" t="s">
        <v>16</v>
      </c>
      <c r="I4121" s="9">
        <v>3225</v>
      </c>
      <c r="J4121" s="10">
        <v>66</v>
      </c>
      <c r="K4121" s="10">
        <v>66223</v>
      </c>
      <c r="L4121" s="3" t="str">
        <f t="shared" si="135"/>
        <v>ΠΥΡΗΝΟΚΑΡΠΑ</v>
      </c>
    </row>
    <row r="4122" spans="1:12" s="3" customFormat="1" ht="15" customHeight="1" x14ac:dyDescent="0.25">
      <c r="A4122" s="3" t="str">
        <f t="shared" si="134"/>
        <v>ΠΥΡΗΝΟΚΑΡΠΑΡΟΔΑΚΙΝΑ ΠΗΛΙΟΥ</v>
      </c>
      <c r="B4122" s="4" t="s">
        <v>7280</v>
      </c>
      <c r="C4122" s="5" t="s">
        <v>7744</v>
      </c>
      <c r="D4122" s="6">
        <v>5895.69</v>
      </c>
      <c r="E4122" s="6">
        <v>5815.34</v>
      </c>
      <c r="F4122" s="7" t="s">
        <v>14</v>
      </c>
      <c r="G4122" s="8" t="s">
        <v>7745</v>
      </c>
      <c r="H4122" s="8" t="s">
        <v>16</v>
      </c>
      <c r="I4122" s="9">
        <v>3226</v>
      </c>
      <c r="J4122" s="10">
        <v>66</v>
      </c>
      <c r="K4122" s="10">
        <v>66224</v>
      </c>
      <c r="L4122" s="3" t="str">
        <f t="shared" si="135"/>
        <v>ΠΥΡΗΝΟΚΑΡΠΑ</v>
      </c>
    </row>
    <row r="4123" spans="1:12" s="3" customFormat="1" ht="15" customHeight="1" x14ac:dyDescent="0.25">
      <c r="A4123" s="3" t="str">
        <f t="shared" si="134"/>
        <v>ΠΥΡΗΝΟΚΑΡΠΑΡΟΔΑΚΙΝΑ ΜΙΣΕΛΕΝ</v>
      </c>
      <c r="B4123" s="4" t="s">
        <v>7280</v>
      </c>
      <c r="C4123" s="5" t="s">
        <v>7746</v>
      </c>
      <c r="D4123" s="6">
        <v>5895.69</v>
      </c>
      <c r="E4123" s="6">
        <v>5815.34</v>
      </c>
      <c r="F4123" s="7" t="s">
        <v>14</v>
      </c>
      <c r="G4123" s="8" t="s">
        <v>7747</v>
      </c>
      <c r="H4123" s="8" t="s">
        <v>16</v>
      </c>
      <c r="I4123" s="9">
        <v>3227</v>
      </c>
      <c r="J4123" s="10">
        <v>66</v>
      </c>
      <c r="K4123" s="10">
        <v>66225</v>
      </c>
      <c r="L4123" s="3" t="str">
        <f t="shared" si="135"/>
        <v>ΠΥΡΗΝΟΚΑΡΠΑ</v>
      </c>
    </row>
    <row r="4124" spans="1:12" s="3" customFormat="1" ht="15" customHeight="1" x14ac:dyDescent="0.25">
      <c r="A4124" s="3" t="str">
        <f t="shared" si="134"/>
        <v>ΠΥΡΗΝΟΚΑΡΠΑΡΟΔΑΚΙΝΑ ΕΛΜΠΕΡΤΑ ΠΡΩΪΜΗ</v>
      </c>
      <c r="B4124" s="4" t="s">
        <v>7280</v>
      </c>
      <c r="C4124" s="5" t="s">
        <v>7748</v>
      </c>
      <c r="D4124" s="6">
        <v>5895.69</v>
      </c>
      <c r="E4124" s="6">
        <v>5815.34</v>
      </c>
      <c r="F4124" s="7" t="s">
        <v>14</v>
      </c>
      <c r="G4124" s="8" t="s">
        <v>7749</v>
      </c>
      <c r="H4124" s="8" t="s">
        <v>16</v>
      </c>
      <c r="I4124" s="9">
        <v>3228</v>
      </c>
      <c r="J4124" s="10">
        <v>66</v>
      </c>
      <c r="K4124" s="10">
        <v>66226</v>
      </c>
      <c r="L4124" s="3" t="str">
        <f t="shared" si="135"/>
        <v>ΠΥΡΗΝΟΚΑΡΠΑ</v>
      </c>
    </row>
    <row r="4125" spans="1:12" s="3" customFormat="1" ht="15" customHeight="1" x14ac:dyDescent="0.25">
      <c r="A4125" s="3" t="str">
        <f t="shared" si="134"/>
        <v>ΠΥΡΗΝΟΚΑΡΠΑΡΟΔΑΚΙΝΑ ΕΛΜΠΕΡΤΑ ΜΕΣΟΠΡΩΪΜΗ</v>
      </c>
      <c r="B4125" s="4" t="s">
        <v>7280</v>
      </c>
      <c r="C4125" s="5" t="s">
        <v>7750</v>
      </c>
      <c r="D4125" s="6">
        <v>5895.69</v>
      </c>
      <c r="E4125" s="6">
        <v>5815.34</v>
      </c>
      <c r="F4125" s="7" t="s">
        <v>14</v>
      </c>
      <c r="G4125" s="8" t="s">
        <v>7751</v>
      </c>
      <c r="H4125" s="8" t="s">
        <v>16</v>
      </c>
      <c r="I4125" s="9">
        <v>3229</v>
      </c>
      <c r="J4125" s="10">
        <v>66</v>
      </c>
      <c r="K4125" s="10">
        <v>66227</v>
      </c>
      <c r="L4125" s="3" t="str">
        <f t="shared" si="135"/>
        <v>ΠΥΡΗΝΟΚΑΡΠΑ</v>
      </c>
    </row>
    <row r="4126" spans="1:12" s="3" customFormat="1" ht="15" customHeight="1" x14ac:dyDescent="0.25">
      <c r="A4126" s="3" t="str">
        <f t="shared" si="134"/>
        <v>ΠΥΡΗΝΟΚΑΡΠΑΡΟΔΑΚΙΝΑ ΕΛΜΠΕΡΤΑ ΟΨΙΜΗ</v>
      </c>
      <c r="B4126" s="4" t="s">
        <v>7280</v>
      </c>
      <c r="C4126" s="5" t="s">
        <v>7752</v>
      </c>
      <c r="D4126" s="6">
        <v>5895.69</v>
      </c>
      <c r="E4126" s="6">
        <v>5815.34</v>
      </c>
      <c r="F4126" s="7" t="s">
        <v>14</v>
      </c>
      <c r="G4126" s="8" t="s">
        <v>7753</v>
      </c>
      <c r="H4126" s="8" t="s">
        <v>16</v>
      </c>
      <c r="I4126" s="9">
        <v>3230</v>
      </c>
      <c r="J4126" s="10">
        <v>66</v>
      </c>
      <c r="K4126" s="10">
        <v>66228</v>
      </c>
      <c r="L4126" s="3" t="str">
        <f t="shared" si="135"/>
        <v>ΠΥΡΗΝΟΚΑΡΠΑ</v>
      </c>
    </row>
    <row r="4127" spans="1:12" s="3" customFormat="1" ht="15" customHeight="1" x14ac:dyDescent="0.25">
      <c r="A4127" s="3" t="str">
        <f t="shared" si="134"/>
        <v>ΠΥΡΗΝΟΚΑΡΠΑΡΟΔΑΚΙΝΑ ΧΑΛ</v>
      </c>
      <c r="B4127" s="4" t="s">
        <v>7280</v>
      </c>
      <c r="C4127" s="5" t="s">
        <v>7754</v>
      </c>
      <c r="D4127" s="6">
        <v>5895.69</v>
      </c>
      <c r="E4127" s="6">
        <v>5815.34</v>
      </c>
      <c r="F4127" s="7" t="s">
        <v>14</v>
      </c>
      <c r="G4127" s="8" t="s">
        <v>7755</v>
      </c>
      <c r="H4127" s="8" t="s">
        <v>16</v>
      </c>
      <c r="I4127" s="9">
        <v>3231</v>
      </c>
      <c r="J4127" s="10">
        <v>66</v>
      </c>
      <c r="K4127" s="10">
        <v>66229</v>
      </c>
      <c r="L4127" s="3" t="str">
        <f t="shared" si="135"/>
        <v>ΠΥΡΗΝΟΚΑΡΠΑ</v>
      </c>
    </row>
    <row r="4128" spans="1:12" s="3" customFormat="1" ht="15" customHeight="1" x14ac:dyDescent="0.25">
      <c r="A4128" s="3" t="str">
        <f t="shared" si="134"/>
        <v>ΠΥΡΗΝΟΚΑΡΠΑΡΟΔΑΚΙΝΑ ΧΑΛ ΚΟΣΜΑ</v>
      </c>
      <c r="B4128" s="4" t="s">
        <v>7280</v>
      </c>
      <c r="C4128" s="5" t="s">
        <v>7756</v>
      </c>
      <c r="D4128" s="6">
        <v>5895.69</v>
      </c>
      <c r="E4128" s="6">
        <v>5815.34</v>
      </c>
      <c r="F4128" s="7" t="s">
        <v>14</v>
      </c>
      <c r="G4128" s="8" t="s">
        <v>7757</v>
      </c>
      <c r="H4128" s="8" t="s">
        <v>16</v>
      </c>
      <c r="I4128" s="9">
        <v>3232</v>
      </c>
      <c r="J4128" s="10">
        <v>66</v>
      </c>
      <c r="K4128" s="10">
        <v>66230</v>
      </c>
      <c r="L4128" s="3" t="str">
        <f t="shared" si="135"/>
        <v>ΠΥΡΗΝΟΚΑΡΠΑ</v>
      </c>
    </row>
    <row r="4129" spans="1:12" s="3" customFormat="1" ht="15" customHeight="1" x14ac:dyDescent="0.25">
      <c r="A4129" s="3" t="str">
        <f t="shared" si="134"/>
        <v>ΠΥΡΗΝΟΚΑΡΠΑΡΟΔΑΚΙΝΑ ΧΑΝΕΪ ΝΤΙΟΥ ΧΕΪΛ</v>
      </c>
      <c r="B4129" s="4" t="s">
        <v>7280</v>
      </c>
      <c r="C4129" s="5" t="s">
        <v>7758</v>
      </c>
      <c r="D4129" s="6">
        <v>5895.69</v>
      </c>
      <c r="E4129" s="6">
        <v>5815.34</v>
      </c>
      <c r="F4129" s="7" t="s">
        <v>14</v>
      </c>
      <c r="G4129" s="8" t="s">
        <v>7759</v>
      </c>
      <c r="H4129" s="8" t="s">
        <v>16</v>
      </c>
      <c r="I4129" s="9">
        <v>3245</v>
      </c>
      <c r="J4129" s="10">
        <v>66</v>
      </c>
      <c r="K4129" s="10">
        <v>66231</v>
      </c>
      <c r="L4129" s="3" t="str">
        <f t="shared" si="135"/>
        <v>ΠΥΡΗΝΟΚΑΡΠΑ</v>
      </c>
    </row>
    <row r="4130" spans="1:12" s="3" customFormat="1" ht="15" customHeight="1" x14ac:dyDescent="0.25">
      <c r="A4130" s="3" t="str">
        <f t="shared" si="134"/>
        <v>ΠΥΡΗΝΟΚΑΡΠΑΡΟΔΑΚΙΝΑ ΦΕΑΡ ΤΑΪΜ</v>
      </c>
      <c r="B4130" s="4" t="s">
        <v>7280</v>
      </c>
      <c r="C4130" s="5" t="s">
        <v>7760</v>
      </c>
      <c r="D4130" s="6">
        <v>5895.69</v>
      </c>
      <c r="E4130" s="6">
        <v>5815.34</v>
      </c>
      <c r="F4130" s="7" t="s">
        <v>14</v>
      </c>
      <c r="G4130" s="8" t="s">
        <v>7761</v>
      </c>
      <c r="H4130" s="8" t="s">
        <v>16</v>
      </c>
      <c r="I4130" s="9">
        <v>3238</v>
      </c>
      <c r="J4130" s="10">
        <v>66</v>
      </c>
      <c r="K4130" s="10">
        <v>66232</v>
      </c>
      <c r="L4130" s="3" t="str">
        <f t="shared" si="135"/>
        <v>ΠΥΡΗΝΟΚΑΡΠΑ</v>
      </c>
    </row>
    <row r="4131" spans="1:12" s="3" customFormat="1" ht="15" customHeight="1" x14ac:dyDescent="0.25">
      <c r="A4131" s="3" t="str">
        <f t="shared" si="134"/>
        <v>ΠΥΡΗΝΟΚΑΡΠΑΡΟΔΑΚΙΝΑ ΚΟΤΟΝΙΑ ΜΑΣΙΜΑ</v>
      </c>
      <c r="B4131" s="4" t="s">
        <v>7280</v>
      </c>
      <c r="C4131" s="5" t="s">
        <v>7762</v>
      </c>
      <c r="D4131" s="6">
        <v>5895.69</v>
      </c>
      <c r="E4131" s="6">
        <v>5815.34</v>
      </c>
      <c r="F4131" s="7" t="s">
        <v>14</v>
      </c>
      <c r="G4131" s="8" t="s">
        <v>7763</v>
      </c>
      <c r="H4131" s="8" t="s">
        <v>16</v>
      </c>
      <c r="I4131" s="9">
        <v>3239</v>
      </c>
      <c r="J4131" s="10">
        <v>66</v>
      </c>
      <c r="K4131" s="10">
        <v>66233</v>
      </c>
      <c r="L4131" s="3" t="str">
        <f t="shared" si="135"/>
        <v>ΠΥΡΗΝΟΚΑΡΠΑ</v>
      </c>
    </row>
    <row r="4132" spans="1:12" s="3" customFormat="1" ht="15" customHeight="1" x14ac:dyDescent="0.25">
      <c r="A4132" s="3" t="str">
        <f t="shared" si="134"/>
        <v>ΠΥΡΗΝΟΚΑΡΠΑΡΟΔΑΚΙΝΑ ΔΙΑΦ. ΥΠΕΡΠΡΩΪΜΑ</v>
      </c>
      <c r="B4132" s="4" t="s">
        <v>7280</v>
      </c>
      <c r="C4132" s="5" t="s">
        <v>7764</v>
      </c>
      <c r="D4132" s="6">
        <v>5895.69</v>
      </c>
      <c r="E4132" s="6">
        <v>5815.34</v>
      </c>
      <c r="F4132" s="7" t="s">
        <v>14</v>
      </c>
      <c r="G4132" s="8" t="s">
        <v>7765</v>
      </c>
      <c r="H4132" s="8" t="s">
        <v>16</v>
      </c>
      <c r="I4132" s="9">
        <v>3240</v>
      </c>
      <c r="J4132" s="10">
        <v>66</v>
      </c>
      <c r="K4132" s="10">
        <v>66234</v>
      </c>
      <c r="L4132" s="3" t="str">
        <f t="shared" si="135"/>
        <v>ΠΥΡΗΝΟΚΑΡΠΑ</v>
      </c>
    </row>
    <row r="4133" spans="1:12" s="3" customFormat="1" ht="15" customHeight="1" x14ac:dyDescent="0.25">
      <c r="A4133" s="3" t="str">
        <f t="shared" si="134"/>
        <v>ΠΥΡΗΝΟΚΑΡΠΑΡΟΔΑΚΙΝΑ ΔΙΑΦ. ΠΡΩΪΜΑ</v>
      </c>
      <c r="B4133" s="4" t="s">
        <v>7280</v>
      </c>
      <c r="C4133" s="5" t="s">
        <v>7766</v>
      </c>
      <c r="D4133" s="6">
        <v>5895.69</v>
      </c>
      <c r="E4133" s="6">
        <v>5815.34</v>
      </c>
      <c r="F4133" s="7" t="s">
        <v>14</v>
      </c>
      <c r="G4133" s="8" t="s">
        <v>7767</v>
      </c>
      <c r="H4133" s="8" t="s">
        <v>16</v>
      </c>
      <c r="I4133" s="9">
        <v>3241</v>
      </c>
      <c r="J4133" s="10">
        <v>66</v>
      </c>
      <c r="K4133" s="10">
        <v>66235</v>
      </c>
      <c r="L4133" s="3" t="str">
        <f t="shared" si="135"/>
        <v>ΠΥΡΗΝΟΚΑΡΠΑ</v>
      </c>
    </row>
    <row r="4134" spans="1:12" s="3" customFormat="1" ht="15" customHeight="1" x14ac:dyDescent="0.25">
      <c r="A4134" s="3" t="str">
        <f t="shared" si="134"/>
        <v>ΠΥΡΗΝΟΚΑΡΠΑΡΟΔΑΚΙΝΑ ΔΙΑΦ. ΜΕΣΟΠΡΩΪΜΑ</v>
      </c>
      <c r="B4134" s="4" t="s">
        <v>7280</v>
      </c>
      <c r="C4134" s="5" t="s">
        <v>7768</v>
      </c>
      <c r="D4134" s="6">
        <v>5895.69</v>
      </c>
      <c r="E4134" s="6">
        <v>5815.34</v>
      </c>
      <c r="F4134" s="7" t="s">
        <v>14</v>
      </c>
      <c r="G4134" s="8" t="s">
        <v>7769</v>
      </c>
      <c r="H4134" s="8" t="s">
        <v>16</v>
      </c>
      <c r="I4134" s="9">
        <v>3242</v>
      </c>
      <c r="J4134" s="10">
        <v>66</v>
      </c>
      <c r="K4134" s="10">
        <v>66236</v>
      </c>
      <c r="L4134" s="3" t="str">
        <f t="shared" si="135"/>
        <v>ΠΥΡΗΝΟΚΑΡΠΑ</v>
      </c>
    </row>
    <row r="4135" spans="1:12" s="3" customFormat="1" ht="15" customHeight="1" x14ac:dyDescent="0.25">
      <c r="A4135" s="3" t="str">
        <f t="shared" si="134"/>
        <v>ΠΥΡΗΝΟΚΑΡΠΑΡΟΔΑΚΙΝΑ ΔΙΑΦ. ΟΨΙΜΑ</v>
      </c>
      <c r="B4135" s="4" t="s">
        <v>7280</v>
      </c>
      <c r="C4135" s="5" t="s">
        <v>7770</v>
      </c>
      <c r="D4135" s="6">
        <v>5895.69</v>
      </c>
      <c r="E4135" s="6">
        <v>5815.34</v>
      </c>
      <c r="F4135" s="7" t="s">
        <v>14</v>
      </c>
      <c r="G4135" s="8" t="s">
        <v>7771</v>
      </c>
      <c r="H4135" s="8" t="s">
        <v>16</v>
      </c>
      <c r="I4135" s="9">
        <v>3268</v>
      </c>
      <c r="J4135" s="10">
        <v>66</v>
      </c>
      <c r="K4135" s="10">
        <v>66237</v>
      </c>
      <c r="L4135" s="3" t="str">
        <f t="shared" si="135"/>
        <v>ΠΥΡΗΝΟΚΑΡΠΑ</v>
      </c>
    </row>
    <row r="4136" spans="1:12" s="3" customFormat="1" ht="15" customHeight="1" x14ac:dyDescent="0.25">
      <c r="A4136" s="3" t="str">
        <f t="shared" si="134"/>
        <v>ΠΥΡΗΝΟΚΑΡΠΑΡΟΔΑΚΙΝΑ ΡΟΥΜΠΙΝΤΟΥ</v>
      </c>
      <c r="B4136" s="4" t="s">
        <v>7280</v>
      </c>
      <c r="C4136" s="5" t="s">
        <v>7772</v>
      </c>
      <c r="D4136" s="6">
        <v>5895.69</v>
      </c>
      <c r="E4136" s="6">
        <v>5815.34</v>
      </c>
      <c r="F4136" s="7" t="s">
        <v>14</v>
      </c>
      <c r="G4136" s="8" t="s">
        <v>7773</v>
      </c>
      <c r="H4136" s="8" t="s">
        <v>16</v>
      </c>
      <c r="I4136" s="9">
        <v>3269</v>
      </c>
      <c r="J4136" s="10">
        <v>66</v>
      </c>
      <c r="K4136" s="10">
        <v>66238</v>
      </c>
      <c r="L4136" s="3" t="str">
        <f t="shared" si="135"/>
        <v>ΠΥΡΗΝΟΚΑΡΠΑ</v>
      </c>
    </row>
    <row r="4137" spans="1:12" s="3" customFormat="1" ht="15" customHeight="1" x14ac:dyDescent="0.25">
      <c r="A4137" s="3" t="str">
        <f t="shared" si="134"/>
        <v>ΠΥΡΗΝΟΚΑΡΠΑΡΟΔΑΚΙΝΑ ΔΟΥΚΙΣΣΑ</v>
      </c>
      <c r="B4137" s="4" t="s">
        <v>7280</v>
      </c>
      <c r="C4137" s="5" t="s">
        <v>7774</v>
      </c>
      <c r="D4137" s="6">
        <v>5895.69</v>
      </c>
      <c r="E4137" s="6">
        <v>5815.34</v>
      </c>
      <c r="F4137" s="7" t="s">
        <v>14</v>
      </c>
      <c r="G4137" s="8" t="s">
        <v>7775</v>
      </c>
      <c r="H4137" s="8" t="s">
        <v>16</v>
      </c>
      <c r="I4137" s="9">
        <v>3270</v>
      </c>
      <c r="J4137" s="10">
        <v>66</v>
      </c>
      <c r="K4137" s="10">
        <v>66239</v>
      </c>
      <c r="L4137" s="3" t="str">
        <f t="shared" si="135"/>
        <v>ΠΥΡΗΝΟΚΑΡΠΑ</v>
      </c>
    </row>
    <row r="4138" spans="1:12" s="3" customFormat="1" ht="15" customHeight="1" x14ac:dyDescent="0.25">
      <c r="A4138" s="3" t="str">
        <f t="shared" si="134"/>
        <v>ΠΥΡΗΝΟΚΑΡΠΑΡΟΔΑΚΙΝΑ ΜΕΡΙΛ ΦΙΕΣΤΑ</v>
      </c>
      <c r="B4138" s="4" t="s">
        <v>7280</v>
      </c>
      <c r="C4138" s="5" t="s">
        <v>7776</v>
      </c>
      <c r="D4138" s="6">
        <v>5895.69</v>
      </c>
      <c r="E4138" s="6">
        <v>5815.34</v>
      </c>
      <c r="F4138" s="7" t="s">
        <v>14</v>
      </c>
      <c r="G4138" s="8" t="s">
        <v>7777</v>
      </c>
      <c r="H4138" s="8" t="s">
        <v>16</v>
      </c>
      <c r="I4138" s="9">
        <v>3279</v>
      </c>
      <c r="J4138" s="10">
        <v>66</v>
      </c>
      <c r="K4138" s="10">
        <v>66240</v>
      </c>
      <c r="L4138" s="3" t="str">
        <f t="shared" si="135"/>
        <v>ΠΥΡΗΝΟΚΑΡΠΑ</v>
      </c>
    </row>
    <row r="4139" spans="1:12" s="3" customFormat="1" ht="15" customHeight="1" x14ac:dyDescent="0.25">
      <c r="A4139" s="3" t="str">
        <f t="shared" si="134"/>
        <v>ΠΥΡΗΝΟΚΑΡΠΑΡΟΔΑΚΙΝΑ ΒΙΚΤΩΡΙΑ</v>
      </c>
      <c r="B4139" s="4" t="s">
        <v>7280</v>
      </c>
      <c r="C4139" s="5" t="s">
        <v>7778</v>
      </c>
      <c r="D4139" s="6">
        <v>5895.69</v>
      </c>
      <c r="E4139" s="6">
        <v>5815.34</v>
      </c>
      <c r="F4139" s="7" t="s">
        <v>14</v>
      </c>
      <c r="G4139" s="8" t="s">
        <v>7779</v>
      </c>
      <c r="H4139" s="8" t="s">
        <v>16</v>
      </c>
      <c r="I4139" s="9">
        <v>3267</v>
      </c>
      <c r="J4139" s="10">
        <v>66</v>
      </c>
      <c r="K4139" s="10">
        <v>66241</v>
      </c>
      <c r="L4139" s="3" t="str">
        <f t="shared" si="135"/>
        <v>ΠΥΡΗΝΟΚΑΡΠΑ</v>
      </c>
    </row>
    <row r="4140" spans="1:12" s="3" customFormat="1" ht="15" customHeight="1" x14ac:dyDescent="0.25">
      <c r="A4140" s="3" t="str">
        <f t="shared" si="134"/>
        <v>ΠΥΡΗΝΟΚΑΡΠΑΡΟΔΑΚΙΝΑ ΜΑΡΙΑ ΜΠΙΑΝΚΑ</v>
      </c>
      <c r="B4140" s="4" t="s">
        <v>7280</v>
      </c>
      <c r="C4140" s="5" t="s">
        <v>7780</v>
      </c>
      <c r="D4140" s="6">
        <v>5895.69</v>
      </c>
      <c r="E4140" s="6">
        <v>5815.34</v>
      </c>
      <c r="F4140" s="7" t="s">
        <v>14</v>
      </c>
      <c r="G4140" s="8" t="s">
        <v>7781</v>
      </c>
      <c r="H4140" s="8" t="s">
        <v>16</v>
      </c>
      <c r="I4140" s="9">
        <v>3275</v>
      </c>
      <c r="J4140" s="10">
        <v>66</v>
      </c>
      <c r="K4140" s="10">
        <v>66242</v>
      </c>
      <c r="L4140" s="3" t="str">
        <f t="shared" si="135"/>
        <v>ΠΥΡΗΝΟΚΑΡΠΑ</v>
      </c>
    </row>
    <row r="4141" spans="1:12" s="3" customFormat="1" ht="15" customHeight="1" x14ac:dyDescent="0.25">
      <c r="A4141" s="3" t="str">
        <f t="shared" si="134"/>
        <v>ΠΥΡΗΝΟΚΑΡΠΑΡΟΔΑΚΙΝΑ ΚΑΡΛ ΡΕΝΤ</v>
      </c>
      <c r="B4141" s="4" t="s">
        <v>7280</v>
      </c>
      <c r="C4141" s="5" t="s">
        <v>7782</v>
      </c>
      <c r="D4141" s="6">
        <v>5895.69</v>
      </c>
      <c r="E4141" s="6">
        <v>5815.34</v>
      </c>
      <c r="F4141" s="7" t="s">
        <v>14</v>
      </c>
      <c r="G4141" s="8" t="s">
        <v>7783</v>
      </c>
      <c r="H4141" s="8" t="s">
        <v>16</v>
      </c>
      <c r="I4141" s="9">
        <v>3281</v>
      </c>
      <c r="J4141" s="10">
        <v>66</v>
      </c>
      <c r="K4141" s="10">
        <v>66243</v>
      </c>
      <c r="L4141" s="3" t="str">
        <f t="shared" si="135"/>
        <v>ΠΥΡΗΝΟΚΑΡΠΑ</v>
      </c>
    </row>
    <row r="4142" spans="1:12" s="3" customFormat="1" ht="15" customHeight="1" x14ac:dyDescent="0.25">
      <c r="A4142" s="3" t="str">
        <f t="shared" si="134"/>
        <v>ΠΥΡΗΝΟΚΑΡΠΑΡΟΔΑΚΙΝΑ ΣΠΡΙΝΓΚ ΛΕΪΝΤΥ</v>
      </c>
      <c r="B4142" s="4" t="s">
        <v>7280</v>
      </c>
      <c r="C4142" s="5" t="s">
        <v>7784</v>
      </c>
      <c r="D4142" s="6">
        <v>5895.69</v>
      </c>
      <c r="E4142" s="6">
        <v>5815.34</v>
      </c>
      <c r="F4142" s="7" t="s">
        <v>14</v>
      </c>
      <c r="G4142" s="8" t="s">
        <v>7785</v>
      </c>
      <c r="H4142" s="8" t="s">
        <v>16</v>
      </c>
      <c r="I4142" s="9">
        <v>3287</v>
      </c>
      <c r="J4142" s="10">
        <v>66</v>
      </c>
      <c r="K4142" s="10">
        <v>66244</v>
      </c>
      <c r="L4142" s="3" t="str">
        <f t="shared" si="135"/>
        <v>ΠΥΡΗΝΟΚΑΡΠΑ</v>
      </c>
    </row>
    <row r="4143" spans="1:12" s="3" customFormat="1" ht="15" customHeight="1" x14ac:dyDescent="0.25">
      <c r="A4143" s="3" t="str">
        <f t="shared" si="134"/>
        <v>ΠΥΡΗΝΟΚΑΡΠΑΡΟΔΑΚΙΝΑ ΡΕΝΤ ΚΑΛ</v>
      </c>
      <c r="B4143" s="4" t="s">
        <v>7280</v>
      </c>
      <c r="C4143" s="5" t="s">
        <v>7786</v>
      </c>
      <c r="D4143" s="6">
        <v>5895.69</v>
      </c>
      <c r="E4143" s="6">
        <v>5815.34</v>
      </c>
      <c r="F4143" s="7" t="s">
        <v>14</v>
      </c>
      <c r="G4143" s="8" t="s">
        <v>7787</v>
      </c>
      <c r="H4143" s="8" t="s">
        <v>16</v>
      </c>
      <c r="I4143" s="9">
        <v>3286</v>
      </c>
      <c r="J4143" s="10">
        <v>66</v>
      </c>
      <c r="K4143" s="10">
        <v>66245</v>
      </c>
      <c r="L4143" s="3" t="str">
        <f t="shared" si="135"/>
        <v>ΠΥΡΗΝΟΚΑΡΠΑ</v>
      </c>
    </row>
    <row r="4144" spans="1:12" s="3" customFormat="1" ht="15" customHeight="1" x14ac:dyDescent="0.25">
      <c r="A4144" s="3" t="str">
        <f t="shared" si="134"/>
        <v>ΠΥΡΗΝΟΚΑΡΠΑΡΟΔΑΚΙΝΑ ΔΕΛΗΣΑΒΒΑ</v>
      </c>
      <c r="B4144" s="4" t="s">
        <v>7280</v>
      </c>
      <c r="C4144" s="5" t="s">
        <v>7788</v>
      </c>
      <c r="D4144" s="6">
        <v>5895.69</v>
      </c>
      <c r="E4144" s="6">
        <v>5815.34</v>
      </c>
      <c r="F4144" s="7" t="s">
        <v>14</v>
      </c>
      <c r="G4144" s="8" t="s">
        <v>7789</v>
      </c>
      <c r="H4144" s="8" t="s">
        <v>16</v>
      </c>
      <c r="I4144" s="9">
        <v>3285</v>
      </c>
      <c r="J4144" s="10">
        <v>66</v>
      </c>
      <c r="K4144" s="10">
        <v>66246</v>
      </c>
      <c r="L4144" s="3" t="str">
        <f t="shared" si="135"/>
        <v>ΠΥΡΗΝΟΚΑΡΠΑ</v>
      </c>
    </row>
    <row r="4145" spans="1:12" s="3" customFormat="1" ht="15" customHeight="1" x14ac:dyDescent="0.25">
      <c r="A4145" s="3" t="str">
        <f t="shared" si="134"/>
        <v>ΠΥΡΗΝΟΚΑΡΠΑΡΟΔΑΚΙΝΑ ΦΑΓΙΕΤ</v>
      </c>
      <c r="B4145" s="4" t="s">
        <v>7280</v>
      </c>
      <c r="C4145" s="5" t="s">
        <v>7790</v>
      </c>
      <c r="D4145" s="6">
        <v>5895.69</v>
      </c>
      <c r="E4145" s="6">
        <v>5815.34</v>
      </c>
      <c r="F4145" s="7" t="s">
        <v>14</v>
      </c>
      <c r="G4145" s="8" t="s">
        <v>7791</v>
      </c>
      <c r="H4145" s="8" t="s">
        <v>16</v>
      </c>
      <c r="I4145" s="9">
        <v>3284</v>
      </c>
      <c r="J4145" s="10">
        <v>66</v>
      </c>
      <c r="K4145" s="10">
        <v>66247</v>
      </c>
      <c r="L4145" s="3" t="str">
        <f t="shared" si="135"/>
        <v>ΠΥΡΗΝΟΚΑΡΠΑ</v>
      </c>
    </row>
    <row r="4146" spans="1:12" s="3" customFormat="1" ht="15" customHeight="1" x14ac:dyDescent="0.25">
      <c r="A4146" s="3" t="str">
        <f t="shared" si="134"/>
        <v>ΠΥΡΗΝΟΚΑΡΠΑΡΟΔΑΚ. ΜΕΡΙΛ ΦΡΑΝΤΖΕΣΚΑΪΝ</v>
      </c>
      <c r="B4146" s="4" t="s">
        <v>7280</v>
      </c>
      <c r="C4146" s="5" t="s">
        <v>7792</v>
      </c>
      <c r="D4146" s="6">
        <v>5895.69</v>
      </c>
      <c r="E4146" s="6">
        <v>5815.34</v>
      </c>
      <c r="F4146" s="7" t="s">
        <v>14</v>
      </c>
      <c r="G4146" s="8" t="s">
        <v>7793</v>
      </c>
      <c r="H4146" s="8" t="s">
        <v>16</v>
      </c>
      <c r="I4146" s="9">
        <v>3283</v>
      </c>
      <c r="J4146" s="10">
        <v>66</v>
      </c>
      <c r="K4146" s="10">
        <v>66248</v>
      </c>
      <c r="L4146" s="3" t="str">
        <f t="shared" si="135"/>
        <v>ΠΥΡΗΝΟΚΑΡΠΑ</v>
      </c>
    </row>
    <row r="4147" spans="1:12" s="3" customFormat="1" ht="15" customHeight="1" x14ac:dyDescent="0.25">
      <c r="A4147" s="3" t="str">
        <f t="shared" si="134"/>
        <v>ΠΥΡΗΝΟΚΑΡΠΑΡΟΔΑΚΙΝΑ ΤΟΣΚΙΝΑ</v>
      </c>
      <c r="B4147" s="4" t="s">
        <v>7280</v>
      </c>
      <c r="C4147" s="5" t="s">
        <v>7794</v>
      </c>
      <c r="D4147" s="6">
        <v>5895.69</v>
      </c>
      <c r="E4147" s="6">
        <v>5815.34</v>
      </c>
      <c r="F4147" s="7" t="s">
        <v>14</v>
      </c>
      <c r="G4147" s="8" t="s">
        <v>7795</v>
      </c>
      <c r="H4147" s="8" t="s">
        <v>16</v>
      </c>
      <c r="I4147" s="9">
        <v>3282</v>
      </c>
      <c r="J4147" s="10">
        <v>66</v>
      </c>
      <c r="K4147" s="10">
        <v>66249</v>
      </c>
      <c r="L4147" s="3" t="str">
        <f t="shared" si="135"/>
        <v>ΠΥΡΗΝΟΚΑΡΠΑ</v>
      </c>
    </row>
    <row r="4148" spans="1:12" s="3" customFormat="1" ht="15" customHeight="1" x14ac:dyDescent="0.25">
      <c r="A4148" s="3" t="str">
        <f t="shared" si="134"/>
        <v>ΠΥΡΗΝΟΚΑΡΠΑΡΟΔΑΚΙΝΑ ΡΕΝΤ ΤΟΠ</v>
      </c>
      <c r="B4148" s="4" t="s">
        <v>7280</v>
      </c>
      <c r="C4148" s="5" t="s">
        <v>7796</v>
      </c>
      <c r="D4148" s="6">
        <v>5895.69</v>
      </c>
      <c r="E4148" s="6">
        <v>5815.34</v>
      </c>
      <c r="F4148" s="7" t="s">
        <v>14</v>
      </c>
      <c r="G4148" s="8" t="s">
        <v>7797</v>
      </c>
      <c r="H4148" s="8" t="s">
        <v>16</v>
      </c>
      <c r="I4148" s="9">
        <v>3277</v>
      </c>
      <c r="J4148" s="10">
        <v>66</v>
      </c>
      <c r="K4148" s="10">
        <v>66250</v>
      </c>
      <c r="L4148" s="3" t="str">
        <f t="shared" si="135"/>
        <v>ΠΥΡΗΝΟΚΑΡΠΑ</v>
      </c>
    </row>
    <row r="4149" spans="1:12" s="3" customFormat="1" ht="15" customHeight="1" x14ac:dyDescent="0.25">
      <c r="A4149" s="3" t="str">
        <f t="shared" si="134"/>
        <v>ΠΥΡΗΝΟΚΑΡΠΑΡΟΔΑΚΙΝΑ ΣΑΝ ΚΛΑΟΥΣ</v>
      </c>
      <c r="B4149" s="4" t="s">
        <v>7280</v>
      </c>
      <c r="C4149" s="5" t="s">
        <v>7798</v>
      </c>
      <c r="D4149" s="6">
        <v>5895.69</v>
      </c>
      <c r="E4149" s="6">
        <v>5815.34</v>
      </c>
      <c r="F4149" s="7" t="s">
        <v>14</v>
      </c>
      <c r="G4149" s="8" t="s">
        <v>7799</v>
      </c>
      <c r="H4149" s="8" t="s">
        <v>16</v>
      </c>
      <c r="I4149" s="9">
        <v>3280</v>
      </c>
      <c r="J4149" s="10">
        <v>66</v>
      </c>
      <c r="K4149" s="10">
        <v>66251</v>
      </c>
      <c r="L4149" s="3" t="str">
        <f t="shared" si="135"/>
        <v>ΠΥΡΗΝΟΚΑΡΠΑ</v>
      </c>
    </row>
    <row r="4150" spans="1:12" s="3" customFormat="1" ht="15" customHeight="1" x14ac:dyDescent="0.25">
      <c r="A4150" s="3" t="str">
        <f t="shared" si="134"/>
        <v>ΠΥΡΗΝΟΚΑΡΠΑΡΟΔΑΚΙΝΑ ΜΕΪ ΓΚΟΛΝΤ</v>
      </c>
      <c r="B4150" s="4" t="s">
        <v>7280</v>
      </c>
      <c r="C4150" s="5" t="s">
        <v>7800</v>
      </c>
      <c r="D4150" s="6">
        <v>5895.69</v>
      </c>
      <c r="E4150" s="6">
        <v>5815.34</v>
      </c>
      <c r="F4150" s="7" t="s">
        <v>14</v>
      </c>
      <c r="G4150" s="8" t="s">
        <v>7801</v>
      </c>
      <c r="H4150" s="8" t="s">
        <v>16</v>
      </c>
      <c r="I4150" s="9">
        <v>3278</v>
      </c>
      <c r="J4150" s="10">
        <v>66</v>
      </c>
      <c r="K4150" s="10">
        <v>66252</v>
      </c>
      <c r="L4150" s="3" t="str">
        <f t="shared" si="135"/>
        <v>ΠΥΡΗΝΟΚΑΡΠΑ</v>
      </c>
    </row>
    <row r="4151" spans="1:12" s="3" customFormat="1" ht="15" customHeight="1" x14ac:dyDescent="0.25">
      <c r="A4151" s="3" t="str">
        <f t="shared" si="134"/>
        <v>ΠΥΡΗΝΟΚΑΡΠΑΡΟΔΑΚΙΝΑ ΚΑΠΤΕΝ</v>
      </c>
      <c r="B4151" s="4" t="s">
        <v>7280</v>
      </c>
      <c r="C4151" s="5" t="s">
        <v>7802</v>
      </c>
      <c r="D4151" s="6">
        <v>5895.69</v>
      </c>
      <c r="E4151" s="6">
        <v>5815.34</v>
      </c>
      <c r="F4151" s="7" t="s">
        <v>14</v>
      </c>
      <c r="G4151" s="8" t="s">
        <v>7803</v>
      </c>
      <c r="H4151" s="8" t="s">
        <v>16</v>
      </c>
      <c r="I4151" s="9">
        <v>3274</v>
      </c>
      <c r="J4151" s="10">
        <v>66</v>
      </c>
      <c r="K4151" s="10">
        <v>66253</v>
      </c>
      <c r="L4151" s="3" t="str">
        <f t="shared" si="135"/>
        <v>ΠΥΡΗΝΟΚΑΡΠΑ</v>
      </c>
    </row>
    <row r="4152" spans="1:12" s="3" customFormat="1" ht="15" customHeight="1" x14ac:dyDescent="0.25">
      <c r="A4152" s="3" t="str">
        <f t="shared" si="134"/>
        <v>ΠΥΡΗΝΟΚΑΡΠΑΡΟΔΑΚΙΝΑ ΠΑΠΑΓΙΑΝΝΗ</v>
      </c>
      <c r="B4152" s="4" t="s">
        <v>7280</v>
      </c>
      <c r="C4152" s="5" t="s">
        <v>7804</v>
      </c>
      <c r="D4152" s="6">
        <v>5895.69</v>
      </c>
      <c r="E4152" s="6">
        <v>5815.34</v>
      </c>
      <c r="F4152" s="7" t="s">
        <v>14</v>
      </c>
      <c r="G4152" s="8" t="s">
        <v>7805</v>
      </c>
      <c r="H4152" s="8" t="s">
        <v>16</v>
      </c>
      <c r="I4152" s="9">
        <v>3255</v>
      </c>
      <c r="J4152" s="10">
        <v>66</v>
      </c>
      <c r="K4152" s="10">
        <v>66254</v>
      </c>
      <c r="L4152" s="3" t="str">
        <f t="shared" si="135"/>
        <v>ΠΥΡΗΝΟΚΑΡΠΑ</v>
      </c>
    </row>
    <row r="4153" spans="1:12" s="3" customFormat="1" ht="15" customHeight="1" x14ac:dyDescent="0.25">
      <c r="A4153" s="3" t="str">
        <f t="shared" si="134"/>
        <v>ΠΥΡΗΝΟΚΑΡΠΑΡΟΔΑΚΙΝΑ ΜΟΡΕΤΤΙΝΙ</v>
      </c>
      <c r="B4153" s="4" t="s">
        <v>7280</v>
      </c>
      <c r="C4153" s="5" t="s">
        <v>7806</v>
      </c>
      <c r="D4153" s="6">
        <v>5895.69</v>
      </c>
      <c r="E4153" s="6">
        <v>5815.34</v>
      </c>
      <c r="F4153" s="7" t="s">
        <v>14</v>
      </c>
      <c r="G4153" s="8" t="s">
        <v>7807</v>
      </c>
      <c r="H4153" s="8" t="s">
        <v>16</v>
      </c>
      <c r="I4153" s="9">
        <v>3257</v>
      </c>
      <c r="J4153" s="10">
        <v>66</v>
      </c>
      <c r="K4153" s="10">
        <v>66255</v>
      </c>
      <c r="L4153" s="3" t="str">
        <f t="shared" si="135"/>
        <v>ΠΥΡΗΝΟΚΑΡΠΑ</v>
      </c>
    </row>
    <row r="4154" spans="1:12" s="3" customFormat="1" ht="15" customHeight="1" x14ac:dyDescent="0.25">
      <c r="A4154" s="3" t="str">
        <f t="shared" si="134"/>
        <v>ΠΥΡΗΝΟΚΑΡΠΑΡΟΔΑΚΙΝΑ ΠΡΙΓΚΗΠΙΣΣΑ ΑΝΝΑ</v>
      </c>
      <c r="B4154" s="4" t="s">
        <v>7280</v>
      </c>
      <c r="C4154" s="5" t="s">
        <v>7808</v>
      </c>
      <c r="D4154" s="6">
        <v>5895.69</v>
      </c>
      <c r="E4154" s="6">
        <v>5815.34</v>
      </c>
      <c r="F4154" s="7" t="s">
        <v>14</v>
      </c>
      <c r="G4154" s="8" t="s">
        <v>7809</v>
      </c>
      <c r="H4154" s="8" t="s">
        <v>16</v>
      </c>
      <c r="I4154" s="9">
        <v>3272</v>
      </c>
      <c r="J4154" s="10">
        <v>66</v>
      </c>
      <c r="K4154" s="10">
        <v>66256</v>
      </c>
      <c r="L4154" s="3" t="str">
        <f t="shared" si="135"/>
        <v>ΠΥΡΗΝΟΚΑΡΠΑ</v>
      </c>
    </row>
    <row r="4155" spans="1:12" s="3" customFormat="1" ht="15" customHeight="1" x14ac:dyDescent="0.25">
      <c r="A4155" s="3" t="str">
        <f t="shared" si="134"/>
        <v>ΠΥΡΗΝΟΚΑΡΠΑΡΟΔΑΚΙΝΑ ΓΚΡΕΖΑΝΟ</v>
      </c>
      <c r="B4155" s="4" t="s">
        <v>7280</v>
      </c>
      <c r="C4155" s="5" t="s">
        <v>7810</v>
      </c>
      <c r="D4155" s="6">
        <v>5895.69</v>
      </c>
      <c r="E4155" s="6">
        <v>5815.34</v>
      </c>
      <c r="F4155" s="7" t="s">
        <v>14</v>
      </c>
      <c r="G4155" s="8" t="s">
        <v>7811</v>
      </c>
      <c r="H4155" s="8" t="s">
        <v>16</v>
      </c>
      <c r="I4155" s="9">
        <v>3251</v>
      </c>
      <c r="J4155" s="10">
        <v>66</v>
      </c>
      <c r="K4155" s="10">
        <v>66257</v>
      </c>
      <c r="L4155" s="3" t="str">
        <f t="shared" si="135"/>
        <v>ΠΥΡΗΝΟΚΑΡΠΑ</v>
      </c>
    </row>
    <row r="4156" spans="1:12" s="3" customFormat="1" ht="15" customHeight="1" x14ac:dyDescent="0.25">
      <c r="A4156" s="3" t="str">
        <f t="shared" si="134"/>
        <v>ΠΥΡΗΝΟΚΑΡΠΑΡΟΔΑΚΙΝΑ ΦΛΕΪΒΟΡ ΚΡΕΣΤ</v>
      </c>
      <c r="B4156" s="4" t="s">
        <v>7280</v>
      </c>
      <c r="C4156" s="5" t="s">
        <v>7812</v>
      </c>
      <c r="D4156" s="6">
        <v>5895.69</v>
      </c>
      <c r="E4156" s="6">
        <v>5815.34</v>
      </c>
      <c r="F4156" s="7" t="s">
        <v>14</v>
      </c>
      <c r="G4156" s="8" t="s">
        <v>7813</v>
      </c>
      <c r="H4156" s="8" t="s">
        <v>16</v>
      </c>
      <c r="I4156" s="9">
        <v>3252</v>
      </c>
      <c r="J4156" s="10">
        <v>66</v>
      </c>
      <c r="K4156" s="10">
        <v>66258</v>
      </c>
      <c r="L4156" s="3" t="str">
        <f t="shared" si="135"/>
        <v>ΠΥΡΗΝΟΚΑΡΠΑ</v>
      </c>
    </row>
    <row r="4157" spans="1:12" s="3" customFormat="1" ht="15" customHeight="1" x14ac:dyDescent="0.25">
      <c r="A4157" s="3" t="str">
        <f t="shared" si="134"/>
        <v>ΠΥΡΗΝΟΚΑΡΠΑΡΟΔΑΚΙΝΑ ΟΨΙΜΟ ΝΑΟΥΣΣΑΣ</v>
      </c>
      <c r="B4157" s="4" t="s">
        <v>7280</v>
      </c>
      <c r="C4157" s="5" t="s">
        <v>7814</v>
      </c>
      <c r="D4157" s="6">
        <v>5895.69</v>
      </c>
      <c r="E4157" s="6">
        <v>5815.34</v>
      </c>
      <c r="F4157" s="7" t="s">
        <v>14</v>
      </c>
      <c r="G4157" s="8" t="s">
        <v>7815</v>
      </c>
      <c r="H4157" s="8" t="s">
        <v>16</v>
      </c>
      <c r="I4157" s="9">
        <v>3253</v>
      </c>
      <c r="J4157" s="10">
        <v>66</v>
      </c>
      <c r="K4157" s="10">
        <v>66259</v>
      </c>
      <c r="L4157" s="3" t="str">
        <f t="shared" si="135"/>
        <v>ΠΥΡΗΝΟΚΑΡΠΑ</v>
      </c>
    </row>
    <row r="4158" spans="1:12" s="3" customFormat="1" ht="15" customHeight="1" x14ac:dyDescent="0.25">
      <c r="A4158" s="3" t="str">
        <f t="shared" si="134"/>
        <v>ΠΥΡΗΝΟΚΑΡΠΑΡΟΔΑΚΙΝΑ ΒΙΛΙ ΜΠΡΑΟΥΝ</v>
      </c>
      <c r="B4158" s="4" t="s">
        <v>7280</v>
      </c>
      <c r="C4158" s="5" t="s">
        <v>7816</v>
      </c>
      <c r="D4158" s="6">
        <v>5895.69</v>
      </c>
      <c r="E4158" s="6">
        <v>5815.34</v>
      </c>
      <c r="F4158" s="7" t="s">
        <v>14</v>
      </c>
      <c r="G4158" s="8" t="s">
        <v>7817</v>
      </c>
      <c r="H4158" s="8" t="s">
        <v>16</v>
      </c>
      <c r="I4158" s="9">
        <v>3254</v>
      </c>
      <c r="J4158" s="10">
        <v>66</v>
      </c>
      <c r="K4158" s="10">
        <v>66260</v>
      </c>
      <c r="L4158" s="3" t="str">
        <f t="shared" si="135"/>
        <v>ΠΥΡΗΝΟΚΑΡΠΑ</v>
      </c>
    </row>
    <row r="4159" spans="1:12" s="3" customFormat="1" ht="15" customHeight="1" x14ac:dyDescent="0.25">
      <c r="A4159" s="3" t="str">
        <f t="shared" si="134"/>
        <v>ΠΥΡΗΝΟΚΑΡΠΑΡΟΔΑΚΙΝΑ Κ. ΗΜΑΘΙΑΣ</v>
      </c>
      <c r="B4159" s="4" t="s">
        <v>7280</v>
      </c>
      <c r="C4159" s="5" t="s">
        <v>7818</v>
      </c>
      <c r="D4159" s="6">
        <v>5895.69</v>
      </c>
      <c r="E4159" s="6">
        <v>5815.34</v>
      </c>
      <c r="F4159" s="7" t="s">
        <v>14</v>
      </c>
      <c r="G4159" s="8" t="s">
        <v>7819</v>
      </c>
      <c r="H4159" s="8" t="s">
        <v>16</v>
      </c>
      <c r="I4159" s="9">
        <v>3266</v>
      </c>
      <c r="J4159" s="10">
        <v>66</v>
      </c>
      <c r="K4159" s="10">
        <v>66261</v>
      </c>
      <c r="L4159" s="3" t="str">
        <f t="shared" si="135"/>
        <v>ΠΥΡΗΝΟΚΑΡΠΑ</v>
      </c>
    </row>
    <row r="4160" spans="1:12" s="3" customFormat="1" ht="15" customHeight="1" x14ac:dyDescent="0.25">
      <c r="A4160" s="3" t="str">
        <f t="shared" si="134"/>
        <v>ΠΥΡΗΝΟΚΑΡΠΑΡΟΔΑΚΙΝΑ ΠΑΟΛΑ ΚΑΒΙΚΙ</v>
      </c>
      <c r="B4160" s="4" t="s">
        <v>7280</v>
      </c>
      <c r="C4160" s="5" t="s">
        <v>7820</v>
      </c>
      <c r="D4160" s="6">
        <v>5895.69</v>
      </c>
      <c r="E4160" s="6">
        <v>5815.34</v>
      </c>
      <c r="F4160" s="7" t="s">
        <v>14</v>
      </c>
      <c r="G4160" s="8" t="s">
        <v>7821</v>
      </c>
      <c r="H4160" s="8" t="s">
        <v>16</v>
      </c>
      <c r="I4160" s="9">
        <v>3256</v>
      </c>
      <c r="J4160" s="10">
        <v>66</v>
      </c>
      <c r="K4160" s="10">
        <v>66262</v>
      </c>
      <c r="L4160" s="3" t="str">
        <f t="shared" si="135"/>
        <v>ΠΥΡΗΝΟΚΑΡΠΑ</v>
      </c>
    </row>
    <row r="4161" spans="1:12" s="3" customFormat="1" ht="15" customHeight="1" x14ac:dyDescent="0.25">
      <c r="A4161" s="3" t="str">
        <f t="shared" si="134"/>
        <v>ΠΥΡΗΝΟΚΑΡΠΑΡΟΔΑΚΙΝΑ ΑΪΡΙΣ ΡΟΣΟ</v>
      </c>
      <c r="B4161" s="4" t="s">
        <v>7280</v>
      </c>
      <c r="C4161" s="5" t="s">
        <v>7822</v>
      </c>
      <c r="D4161" s="6">
        <v>5895.69</v>
      </c>
      <c r="E4161" s="6">
        <v>5815.34</v>
      </c>
      <c r="F4161" s="7" t="s">
        <v>14</v>
      </c>
      <c r="G4161" s="8" t="s">
        <v>7823</v>
      </c>
      <c r="H4161" s="8" t="s">
        <v>16</v>
      </c>
      <c r="I4161" s="9">
        <v>3246</v>
      </c>
      <c r="J4161" s="10">
        <v>66</v>
      </c>
      <c r="K4161" s="10">
        <v>66263</v>
      </c>
      <c r="L4161" s="3" t="str">
        <f t="shared" si="135"/>
        <v>ΠΥΡΗΝΟΚΑΡΠΑ</v>
      </c>
    </row>
    <row r="4162" spans="1:12" s="3" customFormat="1" ht="15" customHeight="1" x14ac:dyDescent="0.25">
      <c r="A4162" s="3" t="str">
        <f t="shared" si="134"/>
        <v>ΠΥΡΗΝΟΚΑΡΠΑΡΟΔΑΚΙΝΑ ΤΖΟΥΛΑΪ ΛΕΪΝΤΥ</v>
      </c>
      <c r="B4162" s="4" t="s">
        <v>7280</v>
      </c>
      <c r="C4162" s="5" t="s">
        <v>7824</v>
      </c>
      <c r="D4162" s="6">
        <v>5895.69</v>
      </c>
      <c r="E4162" s="6">
        <v>5815.34</v>
      </c>
      <c r="F4162" s="7" t="s">
        <v>14</v>
      </c>
      <c r="G4162" s="8" t="s">
        <v>7825</v>
      </c>
      <c r="H4162" s="8" t="s">
        <v>16</v>
      </c>
      <c r="I4162" s="9">
        <v>3258</v>
      </c>
      <c r="J4162" s="10">
        <v>66</v>
      </c>
      <c r="K4162" s="10">
        <v>66264</v>
      </c>
      <c r="L4162" s="3" t="str">
        <f t="shared" si="135"/>
        <v>ΠΥΡΗΝΟΚΑΡΠΑ</v>
      </c>
    </row>
    <row r="4163" spans="1:12" s="3" customFormat="1" ht="15" customHeight="1" x14ac:dyDescent="0.25">
      <c r="A4163" s="3" t="str">
        <f t="shared" ref="A4163:A4226" si="136">_xlfn.CONCAT(B4163,C4163)</f>
        <v>ΠΥΡΗΝΟΚΑΡΠΑΡΟΔΑΚΙΝΑ ΦΛΑΜΙΝΙΑ</v>
      </c>
      <c r="B4163" s="4" t="s">
        <v>7280</v>
      </c>
      <c r="C4163" s="5" t="s">
        <v>7826</v>
      </c>
      <c r="D4163" s="6">
        <v>5895.69</v>
      </c>
      <c r="E4163" s="6">
        <v>5815.34</v>
      </c>
      <c r="F4163" s="7" t="s">
        <v>14</v>
      </c>
      <c r="G4163" s="8" t="s">
        <v>7827</v>
      </c>
      <c r="H4163" s="8" t="s">
        <v>16</v>
      </c>
      <c r="I4163" s="9">
        <v>3259</v>
      </c>
      <c r="J4163" s="10">
        <v>66</v>
      </c>
      <c r="K4163" s="10">
        <v>66265</v>
      </c>
      <c r="L4163" s="3" t="str">
        <f t="shared" ref="L4163:L4226" si="137">IFERROR(SUBSTITUTE(SUBSTITUTE(SUBSTITUTE(SUBSTITUTE(SUBSTITUTE(B4163, "-", "_"), " ", "_"), ",", ""), "(", ""), ")", ""), B4163)</f>
        <v>ΠΥΡΗΝΟΚΑΡΠΑ</v>
      </c>
    </row>
    <row r="4164" spans="1:12" s="3" customFormat="1" ht="15" customHeight="1" x14ac:dyDescent="0.25">
      <c r="A4164" s="3" t="str">
        <f t="shared" si="136"/>
        <v>ΠΥΡΗΝΟΚΑΡΠΑΡΟΔΑΚΙΝΑ ΣΠΡΙΝΓΚ ΓΚΟΛΝΤ</v>
      </c>
      <c r="B4164" s="4" t="s">
        <v>7280</v>
      </c>
      <c r="C4164" s="5" t="s">
        <v>7828</v>
      </c>
      <c r="D4164" s="6">
        <v>5895.69</v>
      </c>
      <c r="E4164" s="6">
        <v>5815.34</v>
      </c>
      <c r="F4164" s="7" t="s">
        <v>14</v>
      </c>
      <c r="G4164" s="8" t="s">
        <v>7829</v>
      </c>
      <c r="H4164" s="8" t="s">
        <v>16</v>
      </c>
      <c r="I4164" s="9">
        <v>3260</v>
      </c>
      <c r="J4164" s="10">
        <v>66</v>
      </c>
      <c r="K4164" s="10">
        <v>66266</v>
      </c>
      <c r="L4164" s="3" t="str">
        <f t="shared" si="137"/>
        <v>ΠΥΡΗΝΟΚΑΡΠΑ</v>
      </c>
    </row>
    <row r="4165" spans="1:12" s="3" customFormat="1" ht="15" customHeight="1" x14ac:dyDescent="0.25">
      <c r="A4165" s="3" t="str">
        <f t="shared" si="136"/>
        <v>ΠΥΡΗΝΟΚΑΡΠΑΡΟΔΑΚΙΝΑ ΕΛΕΓΚΑΝΤ ΛΕΪΝΤΥ</v>
      </c>
      <c r="B4165" s="4" t="s">
        <v>7280</v>
      </c>
      <c r="C4165" s="5" t="s">
        <v>7830</v>
      </c>
      <c r="D4165" s="6">
        <v>5895.69</v>
      </c>
      <c r="E4165" s="6">
        <v>5815.34</v>
      </c>
      <c r="F4165" s="7" t="s">
        <v>14</v>
      </c>
      <c r="G4165" s="8" t="s">
        <v>7831</v>
      </c>
      <c r="H4165" s="8" t="s">
        <v>16</v>
      </c>
      <c r="I4165" s="9">
        <v>3261</v>
      </c>
      <c r="J4165" s="10">
        <v>66</v>
      </c>
      <c r="K4165" s="10">
        <v>66267</v>
      </c>
      <c r="L4165" s="3" t="str">
        <f t="shared" si="137"/>
        <v>ΠΥΡΗΝΟΚΑΡΠΑ</v>
      </c>
    </row>
    <row r="4166" spans="1:12" s="3" customFormat="1" ht="15" customHeight="1" x14ac:dyDescent="0.25">
      <c r="A4166" s="3" t="str">
        <f t="shared" si="136"/>
        <v>ΠΥΡΗΝΟΚΑΡΠΑΡΟΔΑΚΙΝΑ ΛΟΥΙΖΑ ΜΑΡΙΑ</v>
      </c>
      <c r="B4166" s="4" t="s">
        <v>7280</v>
      </c>
      <c r="C4166" s="5" t="s">
        <v>7832</v>
      </c>
      <c r="D4166" s="6">
        <v>5895.69</v>
      </c>
      <c r="E4166" s="6">
        <v>5815.34</v>
      </c>
      <c r="F4166" s="7" t="s">
        <v>14</v>
      </c>
      <c r="G4166" s="8" t="s">
        <v>7833</v>
      </c>
      <c r="H4166" s="8" t="s">
        <v>16</v>
      </c>
      <c r="I4166" s="9">
        <v>3262</v>
      </c>
      <c r="J4166" s="10">
        <v>66</v>
      </c>
      <c r="K4166" s="10">
        <v>66268</v>
      </c>
      <c r="L4166" s="3" t="str">
        <f t="shared" si="137"/>
        <v>ΠΥΡΗΝΟΚΑΡΠΑ</v>
      </c>
    </row>
    <row r="4167" spans="1:12" s="3" customFormat="1" ht="15" customHeight="1" x14ac:dyDescent="0.25">
      <c r="A4167" s="3" t="str">
        <f t="shared" si="136"/>
        <v>ΠΥΡΗΝΟΚΑΡΠΑΡΟΔΑΚΙΝΑ W2</v>
      </c>
      <c r="B4167" s="4" t="s">
        <v>7280</v>
      </c>
      <c r="C4167" s="5" t="s">
        <v>7834</v>
      </c>
      <c r="D4167" s="6">
        <v>5895.69</v>
      </c>
      <c r="E4167" s="6">
        <v>5815.34</v>
      </c>
      <c r="F4167" s="7" t="s">
        <v>14</v>
      </c>
      <c r="G4167" s="8" t="s">
        <v>7835</v>
      </c>
      <c r="H4167" s="8" t="s">
        <v>16</v>
      </c>
      <c r="I4167" s="9">
        <v>3263</v>
      </c>
      <c r="J4167" s="10">
        <v>66</v>
      </c>
      <c r="K4167" s="10">
        <v>66269</v>
      </c>
      <c r="L4167" s="3" t="str">
        <f t="shared" si="137"/>
        <v>ΠΥΡΗΝΟΚΑΡΠΑ</v>
      </c>
    </row>
    <row r="4168" spans="1:12" s="3" customFormat="1" ht="15" customHeight="1" x14ac:dyDescent="0.25">
      <c r="A4168" s="3" t="str">
        <f t="shared" si="136"/>
        <v>ΠΥΡΗΝΟΚΑΡΠΑΡΟΔΑΚΙΝΑ ΣΠΡΙΝΓΚ ΜΠΕΛ</v>
      </c>
      <c r="B4168" s="4" t="s">
        <v>7280</v>
      </c>
      <c r="C4168" s="5" t="s">
        <v>7836</v>
      </c>
      <c r="D4168" s="6">
        <v>5895.69</v>
      </c>
      <c r="E4168" s="6">
        <v>5815.34</v>
      </c>
      <c r="F4168" s="7" t="s">
        <v>14</v>
      </c>
      <c r="G4168" s="8" t="s">
        <v>7837</v>
      </c>
      <c r="H4168" s="8" t="s">
        <v>16</v>
      </c>
      <c r="I4168" s="9">
        <v>3264</v>
      </c>
      <c r="J4168" s="10">
        <v>66</v>
      </c>
      <c r="K4168" s="10">
        <v>66270</v>
      </c>
      <c r="L4168" s="3" t="str">
        <f t="shared" si="137"/>
        <v>ΠΥΡΗΝΟΚΑΡΠΑ</v>
      </c>
    </row>
    <row r="4169" spans="1:12" s="3" customFormat="1" ht="15" customHeight="1" x14ac:dyDescent="0.25">
      <c r="A4169" s="3" t="str">
        <f t="shared" si="136"/>
        <v>ΠΥΡΗΝΟΚΑΡΠΑΡΟΔΑΚΙΝ. ΛΕΥΚΟΣΑΡΚ. ΝΑΟΥΣ.</v>
      </c>
      <c r="B4169" s="4" t="s">
        <v>7280</v>
      </c>
      <c r="C4169" s="5" t="s">
        <v>7838</v>
      </c>
      <c r="D4169" s="6">
        <v>5895.69</v>
      </c>
      <c r="E4169" s="6">
        <v>5815.34</v>
      </c>
      <c r="F4169" s="7" t="s">
        <v>14</v>
      </c>
      <c r="G4169" s="8" t="s">
        <v>7839</v>
      </c>
      <c r="H4169" s="8" t="s">
        <v>16</v>
      </c>
      <c r="I4169" s="9">
        <v>3265</v>
      </c>
      <c r="J4169" s="10">
        <v>66</v>
      </c>
      <c r="K4169" s="10">
        <v>66271</v>
      </c>
      <c r="L4169" s="3" t="str">
        <f t="shared" si="137"/>
        <v>ΠΥΡΗΝΟΚΑΡΠΑ</v>
      </c>
    </row>
    <row r="4170" spans="1:12" s="3" customFormat="1" ht="15" customHeight="1" x14ac:dyDescent="0.25">
      <c r="A4170" s="3" t="str">
        <f t="shared" si="136"/>
        <v>ΠΥΡΗΝΟΚΑΡΠΑΡΟΔΑΚΙΝΑ ΦΑΙΡ ΤΖΙΜ</v>
      </c>
      <c r="B4170" s="4" t="s">
        <v>7280</v>
      </c>
      <c r="C4170" s="5" t="s">
        <v>7840</v>
      </c>
      <c r="D4170" s="6">
        <v>5895.69</v>
      </c>
      <c r="E4170" s="6">
        <v>5815.34</v>
      </c>
      <c r="F4170" s="7" t="s">
        <v>14</v>
      </c>
      <c r="G4170" s="8" t="s">
        <v>7841</v>
      </c>
      <c r="H4170" s="8" t="s">
        <v>16</v>
      </c>
      <c r="I4170" s="9">
        <v>3221</v>
      </c>
      <c r="J4170" s="10">
        <v>66</v>
      </c>
      <c r="K4170" s="10">
        <v>66272</v>
      </c>
      <c r="L4170" s="3" t="str">
        <f t="shared" si="137"/>
        <v>ΠΥΡΗΝΟΚΑΡΠΑ</v>
      </c>
    </row>
    <row r="4171" spans="1:12" s="3" customFormat="1" ht="15" customHeight="1" x14ac:dyDescent="0.25">
      <c r="A4171" s="3" t="str">
        <f t="shared" si="136"/>
        <v>ΠΥΡΗΝΟΚΑΡΠΑΡΟΔΑΚΙΝΑ ΑΟΥΡΕΛΙΑ</v>
      </c>
      <c r="B4171" s="4" t="s">
        <v>7280</v>
      </c>
      <c r="C4171" s="5" t="s">
        <v>7842</v>
      </c>
      <c r="D4171" s="6">
        <v>5895.69</v>
      </c>
      <c r="E4171" s="6">
        <v>5815.34</v>
      </c>
      <c r="F4171" s="7" t="s">
        <v>14</v>
      </c>
      <c r="G4171" s="8" t="s">
        <v>7843</v>
      </c>
      <c r="H4171" s="8" t="s">
        <v>16</v>
      </c>
      <c r="I4171" s="9">
        <v>3135</v>
      </c>
      <c r="J4171" s="10">
        <v>66</v>
      </c>
      <c r="K4171" s="10">
        <v>66273</v>
      </c>
      <c r="L4171" s="3" t="str">
        <f t="shared" si="137"/>
        <v>ΠΥΡΗΝΟΚΑΡΠΑ</v>
      </c>
    </row>
    <row r="4172" spans="1:12" s="3" customFormat="1" ht="15" customHeight="1" x14ac:dyDescent="0.25">
      <c r="A4172" s="3" t="str">
        <f t="shared" si="136"/>
        <v>ΠΥΡΗΝΟΚΑΡΠΑΡΟΔΑΚΙΝΑ ΓΚΛΟΟΥ ΧΕΒΕΝ</v>
      </c>
      <c r="B4172" s="4" t="s">
        <v>7280</v>
      </c>
      <c r="C4172" s="5" t="s">
        <v>7844</v>
      </c>
      <c r="D4172" s="6">
        <v>5895.69</v>
      </c>
      <c r="E4172" s="6">
        <v>5815.34</v>
      </c>
      <c r="F4172" s="7" t="s">
        <v>14</v>
      </c>
      <c r="G4172" s="8" t="s">
        <v>7845</v>
      </c>
      <c r="H4172" s="8" t="s">
        <v>16</v>
      </c>
      <c r="I4172" s="9">
        <v>3138</v>
      </c>
      <c r="J4172" s="10">
        <v>66</v>
      </c>
      <c r="K4172" s="10">
        <v>66274</v>
      </c>
      <c r="L4172" s="3" t="str">
        <f t="shared" si="137"/>
        <v>ΠΥΡΗΝΟΚΑΡΠΑ</v>
      </c>
    </row>
    <row r="4173" spans="1:12" s="3" customFormat="1" ht="15" customHeight="1" x14ac:dyDescent="0.25">
      <c r="A4173" s="3" t="str">
        <f t="shared" si="136"/>
        <v>ΠΥΡΗΝΟΚΑΡΠΑΡΟΔΑΚΙΝΑ ΣΠΙΝ ΚΡΕΜ</v>
      </c>
      <c r="B4173" s="4" t="s">
        <v>7280</v>
      </c>
      <c r="C4173" s="5" t="s">
        <v>7846</v>
      </c>
      <c r="D4173" s="6">
        <v>5895.69</v>
      </c>
      <c r="E4173" s="6">
        <v>5815.34</v>
      </c>
      <c r="F4173" s="7" t="s">
        <v>14</v>
      </c>
      <c r="G4173" s="8" t="s">
        <v>7847</v>
      </c>
      <c r="H4173" s="8" t="s">
        <v>16</v>
      </c>
      <c r="I4173" s="9">
        <v>3200</v>
      </c>
      <c r="J4173" s="10">
        <v>66</v>
      </c>
      <c r="K4173" s="10">
        <v>66275</v>
      </c>
      <c r="L4173" s="3" t="str">
        <f t="shared" si="137"/>
        <v>ΠΥΡΗΝΟΚΑΡΠΑ</v>
      </c>
    </row>
    <row r="4174" spans="1:12" s="3" customFormat="1" ht="15" customHeight="1" x14ac:dyDescent="0.25">
      <c r="A4174" s="3" t="str">
        <f t="shared" si="136"/>
        <v>ΠΥΡΗΝΟΚΑΡΠΑΡΟΔΑΚΙΝΑ ΩΓΚΟΣΤ ΣΑΝΙ</v>
      </c>
      <c r="B4174" s="4" t="s">
        <v>7280</v>
      </c>
      <c r="C4174" s="5" t="s">
        <v>7848</v>
      </c>
      <c r="D4174" s="6">
        <v>5895.69</v>
      </c>
      <c r="E4174" s="6">
        <v>5815.34</v>
      </c>
      <c r="F4174" s="7" t="s">
        <v>14</v>
      </c>
      <c r="G4174" s="8" t="s">
        <v>7849</v>
      </c>
      <c r="H4174" s="8" t="s">
        <v>16</v>
      </c>
      <c r="I4174" s="9">
        <v>3139</v>
      </c>
      <c r="J4174" s="10">
        <v>66</v>
      </c>
      <c r="K4174" s="10">
        <v>66276</v>
      </c>
      <c r="L4174" s="3" t="str">
        <f t="shared" si="137"/>
        <v>ΠΥΡΗΝΟΚΑΡΠΑ</v>
      </c>
    </row>
    <row r="4175" spans="1:12" s="3" customFormat="1" ht="15" customHeight="1" x14ac:dyDescent="0.25">
      <c r="A4175" s="3" t="str">
        <f t="shared" si="136"/>
        <v>ΠΥΡΗΝΟΚΑΡΠΑΡΟΔΑΚΙΝΑ ΣΑΝ ΡΕΝΤ</v>
      </c>
      <c r="B4175" s="4" t="s">
        <v>7280</v>
      </c>
      <c r="C4175" s="5" t="s">
        <v>7850</v>
      </c>
      <c r="D4175" s="6">
        <v>5895.69</v>
      </c>
      <c r="E4175" s="6">
        <v>5815.34</v>
      </c>
      <c r="F4175" s="7" t="s">
        <v>14</v>
      </c>
      <c r="G4175" s="8" t="s">
        <v>7851</v>
      </c>
      <c r="H4175" s="8" t="s">
        <v>16</v>
      </c>
      <c r="I4175" s="9">
        <v>3219</v>
      </c>
      <c r="J4175" s="10">
        <v>66</v>
      </c>
      <c r="K4175" s="10">
        <v>66277</v>
      </c>
      <c r="L4175" s="3" t="str">
        <f t="shared" si="137"/>
        <v>ΠΥΡΗΝΟΚΑΡΠΑ</v>
      </c>
    </row>
    <row r="4176" spans="1:12" s="3" customFormat="1" ht="15" customHeight="1" x14ac:dyDescent="0.25">
      <c r="A4176" s="3" t="str">
        <f t="shared" si="136"/>
        <v>ΠΥΡΗΝΟΚΑΡΠΑΡΟΔΑΚΙΝΑ Ο ΧΕΝΡΙ</v>
      </c>
      <c r="B4176" s="4" t="s">
        <v>7280</v>
      </c>
      <c r="C4176" s="5" t="s">
        <v>7852</v>
      </c>
      <c r="D4176" s="6">
        <v>5895.69</v>
      </c>
      <c r="E4176" s="6">
        <v>5815.34</v>
      </c>
      <c r="F4176" s="7" t="s">
        <v>14</v>
      </c>
      <c r="G4176" s="8" t="s">
        <v>7853</v>
      </c>
      <c r="H4176" s="8" t="s">
        <v>16</v>
      </c>
      <c r="I4176" s="9">
        <v>3140</v>
      </c>
      <c r="J4176" s="10">
        <v>66</v>
      </c>
      <c r="K4176" s="10">
        <v>66278</v>
      </c>
      <c r="L4176" s="3" t="str">
        <f t="shared" si="137"/>
        <v>ΠΥΡΗΝΟΚΑΡΠΑ</v>
      </c>
    </row>
    <row r="4177" spans="1:12" s="3" customFormat="1" ht="15" customHeight="1" x14ac:dyDescent="0.25">
      <c r="A4177" s="3" t="str">
        <f t="shared" si="136"/>
        <v>ΠΥΡΗΝΟΚΑΡΠΑΡΟΔΑΚΙΝΑ ΠΡΟΦΗΤΗΣ ΗΛΙΑΣ</v>
      </c>
      <c r="B4177" s="4" t="s">
        <v>7280</v>
      </c>
      <c r="C4177" s="5" t="s">
        <v>7854</v>
      </c>
      <c r="D4177" s="6">
        <v>5895.69</v>
      </c>
      <c r="E4177" s="6">
        <v>5815.34</v>
      </c>
      <c r="F4177" s="7" t="s">
        <v>14</v>
      </c>
      <c r="G4177" s="8" t="s">
        <v>7855</v>
      </c>
      <c r="H4177" s="8" t="s">
        <v>16</v>
      </c>
      <c r="I4177" s="9">
        <v>3141</v>
      </c>
      <c r="J4177" s="10">
        <v>66</v>
      </c>
      <c r="K4177" s="10">
        <v>66279</v>
      </c>
      <c r="L4177" s="3" t="str">
        <f t="shared" si="137"/>
        <v>ΠΥΡΗΝΟΚΑΡΠΑ</v>
      </c>
    </row>
    <row r="4178" spans="1:12" s="3" customFormat="1" ht="15" customHeight="1" x14ac:dyDescent="0.25">
      <c r="A4178" s="3" t="str">
        <f t="shared" si="136"/>
        <v>ΠΥΡΗΝΟΚΑΡΠΑΡΟΔΑΚΙΝΑ ΡΟΥΑΓΙΑΛ ΓΚΛΟΡΙ</v>
      </c>
      <c r="B4178" s="4" t="s">
        <v>7280</v>
      </c>
      <c r="C4178" s="5" t="s">
        <v>7856</v>
      </c>
      <c r="D4178" s="6">
        <v>5895.69</v>
      </c>
      <c r="E4178" s="6">
        <v>5815.34</v>
      </c>
      <c r="F4178" s="7" t="s">
        <v>14</v>
      </c>
      <c r="G4178" s="8" t="s">
        <v>7857</v>
      </c>
      <c r="H4178" s="8" t="s">
        <v>16</v>
      </c>
      <c r="I4178" s="9">
        <v>3142</v>
      </c>
      <c r="J4178" s="10">
        <v>66</v>
      </c>
      <c r="K4178" s="10">
        <v>66280</v>
      </c>
      <c r="L4178" s="3" t="str">
        <f t="shared" si="137"/>
        <v>ΠΥΡΗΝΟΚΑΡΠΑ</v>
      </c>
    </row>
    <row r="4179" spans="1:12" s="3" customFormat="1" ht="15" customHeight="1" x14ac:dyDescent="0.25">
      <c r="A4179" s="3" t="str">
        <f t="shared" si="136"/>
        <v>ΠΥΡΗΝΟΚΑΡΠΑΡΟΔΑΚΙΝ. ΣΟΥΠΕΡ ΓΚΟΛΝΤΕΝ ΚΡΕΣΤ</v>
      </c>
      <c r="B4179" s="4" t="s">
        <v>7280</v>
      </c>
      <c r="C4179" s="5" t="s">
        <v>7858</v>
      </c>
      <c r="D4179" s="6">
        <v>5895.69</v>
      </c>
      <c r="E4179" s="6">
        <v>5815.34</v>
      </c>
      <c r="F4179" s="7" t="s">
        <v>14</v>
      </c>
      <c r="G4179" s="8" t="s">
        <v>7859</v>
      </c>
      <c r="H4179" s="8" t="s">
        <v>16</v>
      </c>
      <c r="I4179" s="9">
        <v>3143</v>
      </c>
      <c r="J4179" s="10">
        <v>66</v>
      </c>
      <c r="K4179" s="10">
        <v>66281</v>
      </c>
      <c r="L4179" s="3" t="str">
        <f t="shared" si="137"/>
        <v>ΠΥΡΗΝΟΚΑΡΠΑ</v>
      </c>
    </row>
    <row r="4180" spans="1:12" s="3" customFormat="1" ht="15" customHeight="1" x14ac:dyDescent="0.25">
      <c r="A4180" s="3" t="str">
        <f t="shared" si="136"/>
        <v>ΠΥΡΗΝΟΚΑΡΠΑΡΟΔΑΚΙΝΑ ΛΕΥΚΟ ΒΕΡΜΙΟΥ</v>
      </c>
      <c r="B4180" s="4" t="s">
        <v>7280</v>
      </c>
      <c r="C4180" s="5" t="s">
        <v>7860</v>
      </c>
      <c r="D4180" s="6">
        <v>5895.69</v>
      </c>
      <c r="E4180" s="6">
        <v>5815.34</v>
      </c>
      <c r="F4180" s="7" t="s">
        <v>14</v>
      </c>
      <c r="G4180" s="8" t="s">
        <v>7861</v>
      </c>
      <c r="H4180" s="8" t="s">
        <v>16</v>
      </c>
      <c r="I4180" s="9">
        <v>3147</v>
      </c>
      <c r="J4180" s="10">
        <v>66</v>
      </c>
      <c r="K4180" s="10">
        <v>66282</v>
      </c>
      <c r="L4180" s="3" t="str">
        <f t="shared" si="137"/>
        <v>ΠΥΡΗΝΟΚΑΡΠΑ</v>
      </c>
    </row>
    <row r="4181" spans="1:12" s="3" customFormat="1" ht="15" customHeight="1" x14ac:dyDescent="0.25">
      <c r="A4181" s="3" t="str">
        <f t="shared" si="136"/>
        <v>ΠΥΡΗΝΟΚΑΡΠΑΡΟΔΑΚΙΝΑ ΤΟΠΑΪΤ</v>
      </c>
      <c r="B4181" s="4" t="s">
        <v>7280</v>
      </c>
      <c r="C4181" s="5" t="s">
        <v>7862</v>
      </c>
      <c r="D4181" s="6">
        <v>5895.69</v>
      </c>
      <c r="E4181" s="6">
        <v>5815.34</v>
      </c>
      <c r="F4181" s="7" t="s">
        <v>14</v>
      </c>
      <c r="G4181" s="8" t="s">
        <v>7863</v>
      </c>
      <c r="H4181" s="8" t="s">
        <v>16</v>
      </c>
      <c r="I4181" s="9">
        <v>3137</v>
      </c>
      <c r="J4181" s="10">
        <v>66</v>
      </c>
      <c r="K4181" s="10">
        <v>66283</v>
      </c>
      <c r="L4181" s="3" t="str">
        <f t="shared" si="137"/>
        <v>ΠΥΡΗΝΟΚΑΡΠΑ</v>
      </c>
    </row>
    <row r="4182" spans="1:12" s="3" customFormat="1" ht="15" customHeight="1" x14ac:dyDescent="0.25">
      <c r="A4182" s="3" t="str">
        <f t="shared" si="136"/>
        <v>ΠΥΡΗΝΟΚΑΡΠΑΡΟΔΑΚΙΝΑ ΣΠΡΙΝΓΚ ΦΛΑΟΥΕΡ</v>
      </c>
      <c r="B4182" s="4" t="s">
        <v>7280</v>
      </c>
      <c r="C4182" s="5" t="s">
        <v>7864</v>
      </c>
      <c r="D4182" s="6">
        <v>5895.69</v>
      </c>
      <c r="E4182" s="6">
        <v>5815.34</v>
      </c>
      <c r="F4182" s="7" t="s">
        <v>14</v>
      </c>
      <c r="G4182" s="8" t="s">
        <v>7865</v>
      </c>
      <c r="H4182" s="8" t="s">
        <v>16</v>
      </c>
      <c r="I4182" s="9">
        <v>3149</v>
      </c>
      <c r="J4182" s="10">
        <v>66</v>
      </c>
      <c r="K4182" s="10">
        <v>66284</v>
      </c>
      <c r="L4182" s="3" t="str">
        <f t="shared" si="137"/>
        <v>ΠΥΡΗΝΟΚΑΡΠΑ</v>
      </c>
    </row>
    <row r="4183" spans="1:12" s="3" customFormat="1" ht="15" customHeight="1" x14ac:dyDescent="0.25">
      <c r="A4183" s="3" t="str">
        <f t="shared" si="136"/>
        <v>ΠΥΡΗΝΟΚΑΡΠΑΡΟΔΑΚΙΝΑ ΕΪΠΡΙΛ ΜΕΪ</v>
      </c>
      <c r="B4183" s="4" t="s">
        <v>7280</v>
      </c>
      <c r="C4183" s="5" t="s">
        <v>7866</v>
      </c>
      <c r="D4183" s="6">
        <v>5895.69</v>
      </c>
      <c r="E4183" s="6">
        <v>5815.34</v>
      </c>
      <c r="F4183" s="7" t="s">
        <v>14</v>
      </c>
      <c r="G4183" s="8" t="s">
        <v>7867</v>
      </c>
      <c r="H4183" s="8" t="s">
        <v>16</v>
      </c>
      <c r="I4183" s="9">
        <v>3150</v>
      </c>
      <c r="J4183" s="10">
        <v>66</v>
      </c>
      <c r="K4183" s="10">
        <v>66285</v>
      </c>
      <c r="L4183" s="3" t="str">
        <f t="shared" si="137"/>
        <v>ΠΥΡΗΝΟΚΑΡΠΑ</v>
      </c>
    </row>
    <row r="4184" spans="1:12" s="3" customFormat="1" ht="15" customHeight="1" x14ac:dyDescent="0.25">
      <c r="A4184" s="3" t="str">
        <f t="shared" si="136"/>
        <v>ΠΥΡΗΝΟΚΑΡΠΑΡΟΔΑΚΙΝΑ ΕΡΛΥ ΡΕΝΤ ΦΡΙ</v>
      </c>
      <c r="B4184" s="4" t="s">
        <v>7280</v>
      </c>
      <c r="C4184" s="5" t="s">
        <v>7868</v>
      </c>
      <c r="D4184" s="6">
        <v>5895.69</v>
      </c>
      <c r="E4184" s="6">
        <v>5815.34</v>
      </c>
      <c r="F4184" s="7" t="s">
        <v>14</v>
      </c>
      <c r="G4184" s="8" t="s">
        <v>7869</v>
      </c>
      <c r="H4184" s="8" t="s">
        <v>16</v>
      </c>
      <c r="I4184" s="9">
        <v>3151</v>
      </c>
      <c r="J4184" s="10">
        <v>66</v>
      </c>
      <c r="K4184" s="10">
        <v>66286</v>
      </c>
      <c r="L4184" s="3" t="str">
        <f t="shared" si="137"/>
        <v>ΠΥΡΗΝΟΚΑΡΠΑ</v>
      </c>
    </row>
    <row r="4185" spans="1:12" s="3" customFormat="1" ht="15" customHeight="1" x14ac:dyDescent="0.25">
      <c r="A4185" s="3" t="str">
        <f t="shared" si="136"/>
        <v>ΠΥΡΗΝΟΚΑΡΠΑΡΟΔΑΚΙΝΑ ΚΡΕΣΤ ΧΕΪ</v>
      </c>
      <c r="B4185" s="4" t="s">
        <v>7280</v>
      </c>
      <c r="C4185" s="5" t="s">
        <v>7870</v>
      </c>
      <c r="D4185" s="6">
        <v>5895.69</v>
      </c>
      <c r="E4185" s="6">
        <v>5815.34</v>
      </c>
      <c r="F4185" s="7" t="s">
        <v>14</v>
      </c>
      <c r="G4185" s="8" t="s">
        <v>7871</v>
      </c>
      <c r="H4185" s="8" t="s">
        <v>16</v>
      </c>
      <c r="I4185" s="9">
        <v>3152</v>
      </c>
      <c r="J4185" s="10">
        <v>66</v>
      </c>
      <c r="K4185" s="10">
        <v>66287</v>
      </c>
      <c r="L4185" s="3" t="str">
        <f t="shared" si="137"/>
        <v>ΠΥΡΗΝΟΚΑΡΠΑ</v>
      </c>
    </row>
    <row r="4186" spans="1:12" s="3" customFormat="1" ht="15" customHeight="1" x14ac:dyDescent="0.25">
      <c r="A4186" s="3" t="str">
        <f t="shared" si="136"/>
        <v>ΠΥΡΗΝΟΚΑΡΠΑΡΟΔΑΚΙΝΑ ΑΡΜ ΚΡΕΣΤ</v>
      </c>
      <c r="B4186" s="4" t="s">
        <v>7280</v>
      </c>
      <c r="C4186" s="5" t="s">
        <v>7872</v>
      </c>
      <c r="D4186" s="6">
        <v>5895.69</v>
      </c>
      <c r="E4186" s="6">
        <v>5815.34</v>
      </c>
      <c r="F4186" s="7" t="s">
        <v>14</v>
      </c>
      <c r="G4186" s="8" t="s">
        <v>7873</v>
      </c>
      <c r="H4186" s="8" t="s">
        <v>16</v>
      </c>
      <c r="I4186" s="9">
        <v>3153</v>
      </c>
      <c r="J4186" s="10">
        <v>66</v>
      </c>
      <c r="K4186" s="10">
        <v>66288</v>
      </c>
      <c r="L4186" s="3" t="str">
        <f t="shared" si="137"/>
        <v>ΠΥΡΗΝΟΚΑΡΠΑ</v>
      </c>
    </row>
    <row r="4187" spans="1:12" s="3" customFormat="1" ht="15" customHeight="1" x14ac:dyDescent="0.25">
      <c r="A4187" s="3" t="str">
        <f t="shared" si="136"/>
        <v>ΠΥΡΗΝΟΚΑΡΠΑΡΟΔΑΚΙΝΑ ΛΕΥΚΟ ΡΕΝΤ ΧΑΒΕΝ</v>
      </c>
      <c r="B4187" s="4" t="s">
        <v>7280</v>
      </c>
      <c r="C4187" s="5" t="s">
        <v>7874</v>
      </c>
      <c r="D4187" s="6">
        <v>5895.69</v>
      </c>
      <c r="E4187" s="6">
        <v>5815.34</v>
      </c>
      <c r="F4187" s="7" t="s">
        <v>14</v>
      </c>
      <c r="G4187" s="8" t="s">
        <v>7875</v>
      </c>
      <c r="H4187" s="8" t="s">
        <v>16</v>
      </c>
      <c r="I4187" s="9">
        <v>3154</v>
      </c>
      <c r="J4187" s="10">
        <v>66</v>
      </c>
      <c r="K4187" s="10">
        <v>66289</v>
      </c>
      <c r="L4187" s="3" t="str">
        <f t="shared" si="137"/>
        <v>ΠΥΡΗΝΟΚΑΡΠΑ</v>
      </c>
    </row>
    <row r="4188" spans="1:12" s="3" customFormat="1" ht="15" customHeight="1" x14ac:dyDescent="0.25">
      <c r="A4188" s="3" t="str">
        <f t="shared" si="136"/>
        <v>ΠΥΡΗΝΟΚΑΡΠΑΡΟΔΑΚΙΝΑ ΝΙΡΙΝΙΑ</v>
      </c>
      <c r="B4188" s="4" t="s">
        <v>7280</v>
      </c>
      <c r="C4188" s="5" t="s">
        <v>7876</v>
      </c>
      <c r="D4188" s="6">
        <v>5895.69</v>
      </c>
      <c r="E4188" s="6">
        <v>5815.34</v>
      </c>
      <c r="F4188" s="7" t="s">
        <v>14</v>
      </c>
      <c r="G4188" s="8" t="s">
        <v>7877</v>
      </c>
      <c r="H4188" s="8" t="s">
        <v>16</v>
      </c>
      <c r="I4188" s="9">
        <v>3155</v>
      </c>
      <c r="J4188" s="10">
        <v>66</v>
      </c>
      <c r="K4188" s="10">
        <v>66290</v>
      </c>
      <c r="L4188" s="3" t="str">
        <f t="shared" si="137"/>
        <v>ΠΥΡΗΝΟΚΑΡΠΑ</v>
      </c>
    </row>
    <row r="4189" spans="1:12" s="3" customFormat="1" ht="15" customHeight="1" x14ac:dyDescent="0.25">
      <c r="A4189" s="3" t="str">
        <f t="shared" si="136"/>
        <v>ΠΥΡΗΝΟΚΑΡΠΑΡΟΔΑΚΙΝΑ ΣΑΜΕΡΙΝΓΚ</v>
      </c>
      <c r="B4189" s="4" t="s">
        <v>7280</v>
      </c>
      <c r="C4189" s="5" t="s">
        <v>7878</v>
      </c>
      <c r="D4189" s="6">
        <v>5895.69</v>
      </c>
      <c r="E4189" s="6">
        <v>5815.34</v>
      </c>
      <c r="F4189" s="7" t="s">
        <v>14</v>
      </c>
      <c r="G4189" s="8" t="s">
        <v>7879</v>
      </c>
      <c r="H4189" s="8" t="s">
        <v>16</v>
      </c>
      <c r="I4189" s="9">
        <v>3156</v>
      </c>
      <c r="J4189" s="10">
        <v>66</v>
      </c>
      <c r="K4189" s="10">
        <v>66291</v>
      </c>
      <c r="L4189" s="3" t="str">
        <f t="shared" si="137"/>
        <v>ΠΥΡΗΝΟΚΑΡΠΑ</v>
      </c>
    </row>
    <row r="4190" spans="1:12" s="3" customFormat="1" ht="15" customHeight="1" x14ac:dyDescent="0.25">
      <c r="A4190" s="3" t="str">
        <f t="shared" si="136"/>
        <v>ΠΥΡΗΝΟΚΑΡΠΑΡΟΔΑΚΙΝΑ ΑΛΙΓΚΕΝ</v>
      </c>
      <c r="B4190" s="4" t="s">
        <v>7280</v>
      </c>
      <c r="C4190" s="5" t="s">
        <v>7880</v>
      </c>
      <c r="D4190" s="6">
        <v>5895.69</v>
      </c>
      <c r="E4190" s="6">
        <v>5815.34</v>
      </c>
      <c r="F4190" s="7" t="s">
        <v>14</v>
      </c>
      <c r="G4190" s="8" t="s">
        <v>7881</v>
      </c>
      <c r="H4190" s="8" t="s">
        <v>16</v>
      </c>
      <c r="I4190" s="9">
        <v>3127</v>
      </c>
      <c r="J4190" s="10">
        <v>66</v>
      </c>
      <c r="K4190" s="10">
        <v>66292</v>
      </c>
      <c r="L4190" s="3" t="str">
        <f t="shared" si="137"/>
        <v>ΠΥΡΗΝΟΚΑΡΠΑ</v>
      </c>
    </row>
    <row r="4191" spans="1:12" s="3" customFormat="1" ht="15" customHeight="1" x14ac:dyDescent="0.25">
      <c r="A4191" s="3" t="str">
        <f t="shared" si="136"/>
        <v>ΠΥΡΗΝΟΚΑΡΠΑΡΟΔΑΚΙΝΑ ΣΤΑΡ ΛΑΪΤ</v>
      </c>
      <c r="B4191" s="4" t="s">
        <v>7280</v>
      </c>
      <c r="C4191" s="5" t="s">
        <v>7882</v>
      </c>
      <c r="D4191" s="6">
        <v>5895.69</v>
      </c>
      <c r="E4191" s="6">
        <v>5815.34</v>
      </c>
      <c r="F4191" s="7" t="s">
        <v>14</v>
      </c>
      <c r="G4191" s="8" t="s">
        <v>7883</v>
      </c>
      <c r="H4191" s="8" t="s">
        <v>16</v>
      </c>
      <c r="I4191" s="9">
        <v>3148</v>
      </c>
      <c r="J4191" s="10">
        <v>66</v>
      </c>
      <c r="K4191" s="10">
        <v>66293</v>
      </c>
      <c r="L4191" s="3" t="str">
        <f t="shared" si="137"/>
        <v>ΠΥΡΗΝΟΚΑΡΠΑ</v>
      </c>
    </row>
    <row r="4192" spans="1:12" s="3" customFormat="1" ht="15" customHeight="1" x14ac:dyDescent="0.25">
      <c r="A4192" s="3" t="str">
        <f t="shared" si="136"/>
        <v>ΠΥΡΗΝΟΚΑΡΠΑΡΟΔΑΚΙΝΑ ΧΑΛΕΒΑ</v>
      </c>
      <c r="B4192" s="4" t="s">
        <v>7280</v>
      </c>
      <c r="C4192" s="5" t="s">
        <v>7884</v>
      </c>
      <c r="D4192" s="6">
        <v>5895.69</v>
      </c>
      <c r="E4192" s="6">
        <v>5815.34</v>
      </c>
      <c r="F4192" s="7" t="s">
        <v>14</v>
      </c>
      <c r="G4192" s="8" t="s">
        <v>7885</v>
      </c>
      <c r="H4192" s="8" t="s">
        <v>16</v>
      </c>
      <c r="I4192" s="9">
        <v>3146</v>
      </c>
      <c r="J4192" s="10">
        <v>66</v>
      </c>
      <c r="K4192" s="10">
        <v>66294</v>
      </c>
      <c r="L4192" s="3" t="str">
        <f t="shared" si="137"/>
        <v>ΠΥΡΗΝΟΚΑΡΠΑ</v>
      </c>
    </row>
    <row r="4193" spans="1:12" s="3" customFormat="1" ht="15" customHeight="1" x14ac:dyDescent="0.25">
      <c r="A4193" s="3" t="str">
        <f t="shared" si="136"/>
        <v>ΠΥΡΗΝΟΚΑΡΠΑΡΟΔΑΚΙΝΑ ΚΙΝ-ΚΑΡ</v>
      </c>
      <c r="B4193" s="4" t="s">
        <v>7280</v>
      </c>
      <c r="C4193" s="5" t="s">
        <v>7886</v>
      </c>
      <c r="D4193" s="6">
        <v>5895.69</v>
      </c>
      <c r="E4193" s="6">
        <v>5815.34</v>
      </c>
      <c r="F4193" s="7" t="s">
        <v>14</v>
      </c>
      <c r="G4193" s="8" t="s">
        <v>7887</v>
      </c>
      <c r="H4193" s="8" t="s">
        <v>16</v>
      </c>
      <c r="I4193" s="9">
        <v>3117</v>
      </c>
      <c r="J4193" s="10">
        <v>66</v>
      </c>
      <c r="K4193" s="10">
        <v>66295</v>
      </c>
      <c r="L4193" s="3" t="str">
        <f t="shared" si="137"/>
        <v>ΠΥΡΗΝΟΚΑΡΠΑ</v>
      </c>
    </row>
    <row r="4194" spans="1:12" s="3" customFormat="1" ht="15" customHeight="1" x14ac:dyDescent="0.25">
      <c r="A4194" s="3" t="str">
        <f t="shared" si="136"/>
        <v>ΠΥΡΗΝΟΚΑΡΠΑΡΟΔΑΚΙΝΑ ΦΛΕΪΜ ΚΡΕΣΤ</v>
      </c>
      <c r="B4194" s="4" t="s">
        <v>7280</v>
      </c>
      <c r="C4194" s="5" t="s">
        <v>7888</v>
      </c>
      <c r="D4194" s="6">
        <v>5895.69</v>
      </c>
      <c r="E4194" s="6">
        <v>5815.34</v>
      </c>
      <c r="F4194" s="7" t="s">
        <v>14</v>
      </c>
      <c r="G4194" s="8" t="s">
        <v>7889</v>
      </c>
      <c r="H4194" s="8" t="s">
        <v>16</v>
      </c>
      <c r="I4194" s="9">
        <v>3118</v>
      </c>
      <c r="J4194" s="10">
        <v>66</v>
      </c>
      <c r="K4194" s="10">
        <v>66296</v>
      </c>
      <c r="L4194" s="3" t="str">
        <f t="shared" si="137"/>
        <v>ΠΥΡΗΝΟΚΑΡΠΑ</v>
      </c>
    </row>
    <row r="4195" spans="1:12" s="3" customFormat="1" ht="15" customHeight="1" x14ac:dyDescent="0.25">
      <c r="A4195" s="3" t="str">
        <f t="shared" si="136"/>
        <v>ΠΥΡΗΝΟΚΑΡΠΑΡΟΔΑΚΙΝΑ ΡΟΥΑΓΙΑΛ ΤΖΙΜ</v>
      </c>
      <c r="B4195" s="4" t="s">
        <v>7280</v>
      </c>
      <c r="C4195" s="5" t="s">
        <v>7890</v>
      </c>
      <c r="D4195" s="6">
        <v>5895.69</v>
      </c>
      <c r="E4195" s="6">
        <v>5815.34</v>
      </c>
      <c r="F4195" s="7" t="s">
        <v>14</v>
      </c>
      <c r="G4195" s="8" t="s">
        <v>7891</v>
      </c>
      <c r="H4195" s="8" t="s">
        <v>16</v>
      </c>
      <c r="I4195" s="9">
        <v>3119</v>
      </c>
      <c r="J4195" s="10">
        <v>66</v>
      </c>
      <c r="K4195" s="10">
        <v>66297</v>
      </c>
      <c r="L4195" s="3" t="str">
        <f t="shared" si="137"/>
        <v>ΠΥΡΗΝΟΚΑΡΠΑ</v>
      </c>
    </row>
    <row r="4196" spans="1:12" s="3" customFormat="1" ht="15" customHeight="1" x14ac:dyDescent="0.25">
      <c r="A4196" s="3" t="str">
        <f t="shared" si="136"/>
        <v>ΠΥΡΗΝΟΚΑΡΠΑΡΟΔΑΚΙΝΑ ΣΥΜΦΩΝΙΑ</v>
      </c>
      <c r="B4196" s="4" t="s">
        <v>7280</v>
      </c>
      <c r="C4196" s="5" t="s">
        <v>7892</v>
      </c>
      <c r="D4196" s="6">
        <v>5895.69</v>
      </c>
      <c r="E4196" s="6">
        <v>5815.34</v>
      </c>
      <c r="F4196" s="7" t="s">
        <v>14</v>
      </c>
      <c r="G4196" s="8" t="s">
        <v>7893</v>
      </c>
      <c r="H4196" s="8" t="s">
        <v>16</v>
      </c>
      <c r="I4196" s="9">
        <v>3120</v>
      </c>
      <c r="J4196" s="10">
        <v>66</v>
      </c>
      <c r="K4196" s="10">
        <v>66298</v>
      </c>
      <c r="L4196" s="3" t="str">
        <f t="shared" si="137"/>
        <v>ΠΥΡΗΝΟΚΑΡΠΑ</v>
      </c>
    </row>
    <row r="4197" spans="1:12" s="3" customFormat="1" ht="15" customHeight="1" x14ac:dyDescent="0.25">
      <c r="A4197" s="3" t="str">
        <f t="shared" si="136"/>
        <v>ΠΥΡΗΝΟΚΑΡΠΑΡΟΔΑΚΙΝΑ ΜΑΡΙΑ ΓΚΛΟΡΙΑ</v>
      </c>
      <c r="B4197" s="4" t="s">
        <v>7280</v>
      </c>
      <c r="C4197" s="5" t="s">
        <v>7894</v>
      </c>
      <c r="D4197" s="6">
        <v>5895.69</v>
      </c>
      <c r="E4197" s="6">
        <v>5815.34</v>
      </c>
      <c r="F4197" s="7" t="s">
        <v>14</v>
      </c>
      <c r="G4197" s="8" t="s">
        <v>7895</v>
      </c>
      <c r="H4197" s="8" t="s">
        <v>16</v>
      </c>
      <c r="I4197" s="9">
        <v>3121</v>
      </c>
      <c r="J4197" s="10">
        <v>66</v>
      </c>
      <c r="K4197" s="10">
        <v>66299</v>
      </c>
      <c r="L4197" s="3" t="str">
        <f t="shared" si="137"/>
        <v>ΠΥΡΗΝΟΚΑΡΠΑ</v>
      </c>
    </row>
    <row r="4198" spans="1:12" s="3" customFormat="1" ht="15" customHeight="1" x14ac:dyDescent="0.25">
      <c r="A4198" s="3" t="str">
        <f t="shared" si="136"/>
        <v>ΠΥΡΗΝΟΚΑΡΠΑΡΟΔΑΚΙΝΑ ΕΡΛ ΓΚΡΑΝΤ ΛΕΪΝΤΥ</v>
      </c>
      <c r="B4198" s="4" t="s">
        <v>7280</v>
      </c>
      <c r="C4198" s="5" t="s">
        <v>7896</v>
      </c>
      <c r="D4198" s="6">
        <v>5895.69</v>
      </c>
      <c r="E4198" s="6">
        <v>5815.34</v>
      </c>
      <c r="F4198" s="7" t="s">
        <v>14</v>
      </c>
      <c r="G4198" s="8" t="s">
        <v>7897</v>
      </c>
      <c r="H4198" s="8" t="s">
        <v>16</v>
      </c>
      <c r="I4198" s="9">
        <v>3122</v>
      </c>
      <c r="J4198" s="10">
        <v>66</v>
      </c>
      <c r="K4198" s="10">
        <v>66300</v>
      </c>
      <c r="L4198" s="3" t="str">
        <f t="shared" si="137"/>
        <v>ΠΥΡΗΝΟΚΑΡΠΑ</v>
      </c>
    </row>
    <row r="4199" spans="1:12" s="3" customFormat="1" ht="15" customHeight="1" x14ac:dyDescent="0.25">
      <c r="A4199" s="3" t="str">
        <f t="shared" si="136"/>
        <v>ΠΥΡΗΝΟΚΑΡΠΑΡΟΔΑΚΙΝΑ ΓΟΥΑΪΤ ΛΕΪΝΤΥ</v>
      </c>
      <c r="B4199" s="4" t="s">
        <v>7280</v>
      </c>
      <c r="C4199" s="5" t="s">
        <v>7898</v>
      </c>
      <c r="D4199" s="6">
        <v>5895.69</v>
      </c>
      <c r="E4199" s="6">
        <v>5815.34</v>
      </c>
      <c r="F4199" s="7" t="s">
        <v>14</v>
      </c>
      <c r="G4199" s="8" t="s">
        <v>7899</v>
      </c>
      <c r="H4199" s="8" t="s">
        <v>16</v>
      </c>
      <c r="I4199" s="9">
        <v>3123</v>
      </c>
      <c r="J4199" s="10">
        <v>66</v>
      </c>
      <c r="K4199" s="10">
        <v>66301</v>
      </c>
      <c r="L4199" s="3" t="str">
        <f t="shared" si="137"/>
        <v>ΠΥΡΗΝΟΚΑΡΠΑ</v>
      </c>
    </row>
    <row r="4200" spans="1:12" s="3" customFormat="1" ht="15" customHeight="1" x14ac:dyDescent="0.25">
      <c r="A4200" s="3" t="str">
        <f t="shared" si="136"/>
        <v>ΠΥΡΗΝΟΚΑΡΠΑΡΟΔΑΚΙΝΑ ΣΑΝ ΛΑΪΦ</v>
      </c>
      <c r="B4200" s="4" t="s">
        <v>7280</v>
      </c>
      <c r="C4200" s="5" t="s">
        <v>7900</v>
      </c>
      <c r="D4200" s="6">
        <v>5895.69</v>
      </c>
      <c r="E4200" s="6">
        <v>5815.34</v>
      </c>
      <c r="F4200" s="7" t="s">
        <v>14</v>
      </c>
      <c r="G4200" s="8" t="s">
        <v>7901</v>
      </c>
      <c r="H4200" s="8" t="s">
        <v>16</v>
      </c>
      <c r="I4200" s="9">
        <v>3124</v>
      </c>
      <c r="J4200" s="10">
        <v>66</v>
      </c>
      <c r="K4200" s="10">
        <v>66302</v>
      </c>
      <c r="L4200" s="3" t="str">
        <f t="shared" si="137"/>
        <v>ΠΥΡΗΝΟΚΑΡΠΑ</v>
      </c>
    </row>
    <row r="4201" spans="1:12" s="3" customFormat="1" ht="15" customHeight="1" x14ac:dyDescent="0.25">
      <c r="A4201" s="3" t="str">
        <f t="shared" si="136"/>
        <v>ΠΥΡΗΝΟΚΑΡΠΑΡΟΔΑΚΙΝΑ ΕΤΟΥΑΛ</v>
      </c>
      <c r="B4201" s="4" t="s">
        <v>7280</v>
      </c>
      <c r="C4201" s="5" t="s">
        <v>7902</v>
      </c>
      <c r="D4201" s="6">
        <v>5895.69</v>
      </c>
      <c r="E4201" s="6">
        <v>5815.34</v>
      </c>
      <c r="F4201" s="7" t="s">
        <v>14</v>
      </c>
      <c r="G4201" s="8" t="s">
        <v>7903</v>
      </c>
      <c r="H4201" s="8" t="s">
        <v>16</v>
      </c>
      <c r="I4201" s="9">
        <v>3136</v>
      </c>
      <c r="J4201" s="10">
        <v>66</v>
      </c>
      <c r="K4201" s="10">
        <v>66303</v>
      </c>
      <c r="L4201" s="3" t="str">
        <f t="shared" si="137"/>
        <v>ΠΥΡΗΝΟΚΑΡΠΑ</v>
      </c>
    </row>
    <row r="4202" spans="1:12" s="3" customFormat="1" ht="15" customHeight="1" x14ac:dyDescent="0.25">
      <c r="A4202" s="3" t="str">
        <f t="shared" si="136"/>
        <v>ΠΥΡΗΝΟΚΑΡΠΑΡΟΔΑΚΙΝΑ ΡΕΝΤ ΛΕΪΝΤΥ</v>
      </c>
      <c r="B4202" s="4" t="s">
        <v>7280</v>
      </c>
      <c r="C4202" s="5" t="s">
        <v>7904</v>
      </c>
      <c r="D4202" s="6">
        <v>5895.69</v>
      </c>
      <c r="E4202" s="6">
        <v>5815.34</v>
      </c>
      <c r="F4202" s="7" t="s">
        <v>14</v>
      </c>
      <c r="G4202" s="8" t="s">
        <v>7905</v>
      </c>
      <c r="H4202" s="8" t="s">
        <v>16</v>
      </c>
      <c r="I4202" s="9">
        <v>3126</v>
      </c>
      <c r="J4202" s="10">
        <v>66</v>
      </c>
      <c r="K4202" s="10">
        <v>66304</v>
      </c>
      <c r="L4202" s="3" t="str">
        <f t="shared" si="137"/>
        <v>ΠΥΡΗΝΟΚΑΡΠΑ</v>
      </c>
    </row>
    <row r="4203" spans="1:12" s="3" customFormat="1" ht="15" customHeight="1" x14ac:dyDescent="0.25">
      <c r="A4203" s="3" t="str">
        <f t="shared" si="136"/>
        <v>ΠΥΡΗΝΟΚΑΡΠΑΡΟΔΑΚΙΝΑ ΦΡΑΝΣΟΥΑ</v>
      </c>
      <c r="B4203" s="4" t="s">
        <v>7280</v>
      </c>
      <c r="C4203" s="5" t="s">
        <v>7906</v>
      </c>
      <c r="D4203" s="6">
        <v>5895.69</v>
      </c>
      <c r="E4203" s="6">
        <v>5815.34</v>
      </c>
      <c r="F4203" s="7" t="s">
        <v>14</v>
      </c>
      <c r="G4203" s="8" t="s">
        <v>7907</v>
      </c>
      <c r="H4203" s="8" t="s">
        <v>16</v>
      </c>
      <c r="I4203" s="9">
        <v>3116</v>
      </c>
      <c r="J4203" s="10">
        <v>66</v>
      </c>
      <c r="K4203" s="10">
        <v>66305</v>
      </c>
      <c r="L4203" s="3" t="str">
        <f t="shared" si="137"/>
        <v>ΠΥΡΗΝΟΚΑΡΠΑ</v>
      </c>
    </row>
    <row r="4204" spans="1:12" s="3" customFormat="1" ht="15" customHeight="1" x14ac:dyDescent="0.25">
      <c r="A4204" s="3" t="str">
        <f t="shared" si="136"/>
        <v>ΠΥΡΗΝΟΚΑΡΠΑΡΟΔΑΚΙΝΑ ΡΕΝΤ ΜΠΟΥΛΕΤ</v>
      </c>
      <c r="B4204" s="4" t="s">
        <v>7280</v>
      </c>
      <c r="C4204" s="5" t="s">
        <v>7908</v>
      </c>
      <c r="D4204" s="6">
        <v>5895.69</v>
      </c>
      <c r="E4204" s="6">
        <v>5815.34</v>
      </c>
      <c r="F4204" s="7" t="s">
        <v>14</v>
      </c>
      <c r="G4204" s="8" t="s">
        <v>7909</v>
      </c>
      <c r="H4204" s="8" t="s">
        <v>16</v>
      </c>
      <c r="I4204" s="9">
        <v>3128</v>
      </c>
      <c r="J4204" s="10">
        <v>66</v>
      </c>
      <c r="K4204" s="10">
        <v>66306</v>
      </c>
      <c r="L4204" s="3" t="str">
        <f t="shared" si="137"/>
        <v>ΠΥΡΗΝΟΚΑΡΠΑ</v>
      </c>
    </row>
    <row r="4205" spans="1:12" s="3" customFormat="1" ht="15" customHeight="1" x14ac:dyDescent="0.25">
      <c r="A4205" s="3" t="str">
        <f t="shared" si="136"/>
        <v>ΠΥΡΗΝΟΚΑΡΠΑΡΟΔΑΚΙΝΑ ΡΙΤΣΙ ΜΕΪ</v>
      </c>
      <c r="B4205" s="4" t="s">
        <v>7280</v>
      </c>
      <c r="C4205" s="5" t="s">
        <v>7910</v>
      </c>
      <c r="D4205" s="6">
        <v>5895.69</v>
      </c>
      <c r="E4205" s="6">
        <v>5815.34</v>
      </c>
      <c r="F4205" s="7" t="s">
        <v>14</v>
      </c>
      <c r="G4205" s="8" t="s">
        <v>7911</v>
      </c>
      <c r="H4205" s="8" t="s">
        <v>16</v>
      </c>
      <c r="I4205" s="9">
        <v>3129</v>
      </c>
      <c r="J4205" s="10">
        <v>66</v>
      </c>
      <c r="K4205" s="10">
        <v>66307</v>
      </c>
      <c r="L4205" s="3" t="str">
        <f t="shared" si="137"/>
        <v>ΠΥΡΗΝΟΚΑΡΠΑ</v>
      </c>
    </row>
    <row r="4206" spans="1:12" s="3" customFormat="1" ht="15" customHeight="1" x14ac:dyDescent="0.25">
      <c r="A4206" s="3" t="str">
        <f t="shared" si="136"/>
        <v>ΠΥΡΗΝΟΚΑΡΠΑΡΟΔΑΚΙΝΑ ΚΟΥΪΝ ΚΡΕΣΤ</v>
      </c>
      <c r="B4206" s="4" t="s">
        <v>7280</v>
      </c>
      <c r="C4206" s="5" t="s">
        <v>7912</v>
      </c>
      <c r="D4206" s="6">
        <v>5895.69</v>
      </c>
      <c r="E4206" s="6">
        <v>5815.34</v>
      </c>
      <c r="F4206" s="7" t="s">
        <v>14</v>
      </c>
      <c r="G4206" s="8" t="s">
        <v>7913</v>
      </c>
      <c r="H4206" s="8" t="s">
        <v>16</v>
      </c>
      <c r="I4206" s="9">
        <v>3130</v>
      </c>
      <c r="J4206" s="10">
        <v>66</v>
      </c>
      <c r="K4206" s="10">
        <v>66308</v>
      </c>
      <c r="L4206" s="3" t="str">
        <f t="shared" si="137"/>
        <v>ΠΥΡΗΝΟΚΑΡΠΑ</v>
      </c>
    </row>
    <row r="4207" spans="1:12" s="3" customFormat="1" ht="15" customHeight="1" x14ac:dyDescent="0.25">
      <c r="A4207" s="3" t="str">
        <f t="shared" si="136"/>
        <v>ΠΥΡΗΝΟΚΑΡΠΑΡΟΔΑΚΙΝΑ ΡΟΥΜΠΙΡΙΤΣ</v>
      </c>
      <c r="B4207" s="4" t="s">
        <v>7280</v>
      </c>
      <c r="C4207" s="5" t="s">
        <v>7914</v>
      </c>
      <c r="D4207" s="6">
        <v>5895.69</v>
      </c>
      <c r="E4207" s="6">
        <v>5815.34</v>
      </c>
      <c r="F4207" s="7" t="s">
        <v>14</v>
      </c>
      <c r="G4207" s="8" t="s">
        <v>7915</v>
      </c>
      <c r="H4207" s="8" t="s">
        <v>16</v>
      </c>
      <c r="I4207" s="9">
        <v>3131</v>
      </c>
      <c r="J4207" s="10">
        <v>66</v>
      </c>
      <c r="K4207" s="10">
        <v>66309</v>
      </c>
      <c r="L4207" s="3" t="str">
        <f t="shared" si="137"/>
        <v>ΠΥΡΗΝΟΚΑΡΠΑ</v>
      </c>
    </row>
    <row r="4208" spans="1:12" s="3" customFormat="1" ht="15" customHeight="1" x14ac:dyDescent="0.25">
      <c r="A4208" s="3" t="str">
        <f t="shared" si="136"/>
        <v>ΠΥΡΗΝΟΚΑΡΠΑΡΟΔΑΚΙΝΑ ΚΙΝΕΖΙΚΑ</v>
      </c>
      <c r="B4208" s="4" t="s">
        <v>7280</v>
      </c>
      <c r="C4208" s="5" t="s">
        <v>7916</v>
      </c>
      <c r="D4208" s="6">
        <v>5895.69</v>
      </c>
      <c r="E4208" s="6">
        <v>5815.34</v>
      </c>
      <c r="F4208" s="7" t="s">
        <v>14</v>
      </c>
      <c r="G4208" s="8" t="s">
        <v>7917</v>
      </c>
      <c r="H4208" s="8" t="s">
        <v>16</v>
      </c>
      <c r="I4208" s="9">
        <v>3132</v>
      </c>
      <c r="J4208" s="10">
        <v>66</v>
      </c>
      <c r="K4208" s="10">
        <v>66310</v>
      </c>
      <c r="L4208" s="3" t="str">
        <f t="shared" si="137"/>
        <v>ΠΥΡΗΝΟΚΑΡΠΑ</v>
      </c>
    </row>
    <row r="4209" spans="1:12" s="3" customFormat="1" ht="15" customHeight="1" x14ac:dyDescent="0.25">
      <c r="A4209" s="3" t="str">
        <f t="shared" si="136"/>
        <v>ΠΥΡΗΝΟΚΑΡΠΑΡΟΔΑΚΙΝΑ RICH LADY</v>
      </c>
      <c r="B4209" s="4" t="s">
        <v>7280</v>
      </c>
      <c r="C4209" s="5" t="s">
        <v>7918</v>
      </c>
      <c r="D4209" s="6">
        <v>5895.69</v>
      </c>
      <c r="E4209" s="6">
        <v>5815.34</v>
      </c>
      <c r="F4209" s="7" t="s">
        <v>14</v>
      </c>
      <c r="G4209" s="8" t="s">
        <v>7919</v>
      </c>
      <c r="H4209" s="8" t="s">
        <v>16</v>
      </c>
      <c r="I4209" s="9">
        <v>3133</v>
      </c>
      <c r="J4209" s="10">
        <v>66</v>
      </c>
      <c r="K4209" s="10">
        <v>66311</v>
      </c>
      <c r="L4209" s="3" t="str">
        <f t="shared" si="137"/>
        <v>ΠΥΡΗΝΟΚΑΡΠΑ</v>
      </c>
    </row>
    <row r="4210" spans="1:12" s="3" customFormat="1" ht="15" customHeight="1" x14ac:dyDescent="0.25">
      <c r="A4210" s="3" t="str">
        <f t="shared" si="136"/>
        <v>ΠΥΡΗΝΟΚΑΡΠΑΡΟΔΑΚΙΝΑ ΛΕΜΟΝΑΤΑ</v>
      </c>
      <c r="B4210" s="4" t="s">
        <v>7280</v>
      </c>
      <c r="C4210" s="5" t="s">
        <v>7920</v>
      </c>
      <c r="D4210" s="6">
        <v>5895.69</v>
      </c>
      <c r="E4210" s="6">
        <v>5815.34</v>
      </c>
      <c r="F4210" s="7" t="s">
        <v>14</v>
      </c>
      <c r="G4210" s="8" t="s">
        <v>7921</v>
      </c>
      <c r="H4210" s="8" t="s">
        <v>16</v>
      </c>
      <c r="I4210" s="9">
        <v>3134</v>
      </c>
      <c r="J4210" s="10">
        <v>66</v>
      </c>
      <c r="K4210" s="10">
        <v>66312</v>
      </c>
      <c r="L4210" s="3" t="str">
        <f t="shared" si="137"/>
        <v>ΠΥΡΗΝΟΚΑΡΠΑ</v>
      </c>
    </row>
    <row r="4211" spans="1:12" s="3" customFormat="1" ht="15" customHeight="1" x14ac:dyDescent="0.25">
      <c r="A4211" s="3" t="str">
        <f t="shared" si="136"/>
        <v>ΠΥΡΗΝΟΚΑΡΠΑΡΟΔΑΚΙΝΑ ΓΚΛΑΝΤΙΣ</v>
      </c>
      <c r="B4211" s="4" t="s">
        <v>7280</v>
      </c>
      <c r="C4211" s="5" t="s">
        <v>7922</v>
      </c>
      <c r="D4211" s="6">
        <v>5895.69</v>
      </c>
      <c r="E4211" s="6">
        <v>5815.34</v>
      </c>
      <c r="F4211" s="7" t="s">
        <v>14</v>
      </c>
      <c r="G4211" s="8" t="s">
        <v>7923</v>
      </c>
      <c r="H4211" s="8" t="s">
        <v>16</v>
      </c>
      <c r="I4211" s="9">
        <v>3168</v>
      </c>
      <c r="J4211" s="10">
        <v>66</v>
      </c>
      <c r="K4211" s="10">
        <v>66313</v>
      </c>
      <c r="L4211" s="3" t="str">
        <f t="shared" si="137"/>
        <v>ΠΥΡΗΝΟΚΑΡΠΑ</v>
      </c>
    </row>
    <row r="4212" spans="1:12" s="3" customFormat="1" ht="15" customHeight="1" x14ac:dyDescent="0.25">
      <c r="A4212" s="3" t="str">
        <f t="shared" si="136"/>
        <v>ΠΥΡΗΝΟΚΑΡΠΑΡΟΔΑΚΙΝΑ TSUNAMI</v>
      </c>
      <c r="B4212" s="4" t="s">
        <v>7280</v>
      </c>
      <c r="C4212" s="5" t="s">
        <v>7924</v>
      </c>
      <c r="D4212" s="6">
        <v>5895.69</v>
      </c>
      <c r="E4212" s="6">
        <v>5815.34</v>
      </c>
      <c r="F4212" s="7" t="s">
        <v>14</v>
      </c>
      <c r="G4212" s="8" t="s">
        <v>7925</v>
      </c>
      <c r="H4212" s="8" t="s">
        <v>16</v>
      </c>
      <c r="I4212" s="9">
        <v>3157</v>
      </c>
      <c r="J4212" s="10">
        <v>66</v>
      </c>
      <c r="K4212" s="10">
        <v>66315</v>
      </c>
      <c r="L4212" s="3" t="str">
        <f t="shared" si="137"/>
        <v>ΠΥΡΗΝΟΚΑΡΠΑ</v>
      </c>
    </row>
    <row r="4213" spans="1:12" s="3" customFormat="1" ht="15" customHeight="1" x14ac:dyDescent="0.25">
      <c r="A4213" s="3" t="str">
        <f t="shared" si="136"/>
        <v>ΠΥΡΗΝΟΚΑΡΠΑΡΟΔΑΚΙΝΑ RUBISTA</v>
      </c>
      <c r="B4213" s="4" t="s">
        <v>7280</v>
      </c>
      <c r="C4213" s="5" t="s">
        <v>7926</v>
      </c>
      <c r="D4213" s="6">
        <v>5895.69</v>
      </c>
      <c r="E4213" s="6">
        <v>5815.34</v>
      </c>
      <c r="F4213" s="7" t="s">
        <v>14</v>
      </c>
      <c r="G4213" s="8" t="s">
        <v>7927</v>
      </c>
      <c r="H4213" s="8" t="s">
        <v>16</v>
      </c>
      <c r="I4213" s="9">
        <v>3178</v>
      </c>
      <c r="J4213" s="10">
        <v>66</v>
      </c>
      <c r="K4213" s="10">
        <v>66316</v>
      </c>
      <c r="L4213" s="3" t="str">
        <f t="shared" si="137"/>
        <v>ΠΥΡΗΝΟΚΑΡΠΑ</v>
      </c>
    </row>
    <row r="4214" spans="1:12" s="3" customFormat="1" ht="15" customHeight="1" x14ac:dyDescent="0.25">
      <c r="A4214" s="3" t="str">
        <f t="shared" si="136"/>
        <v>ΠΥΡΗΝΟΚΑΡΠΑΚΕΡΑΣΙΑ BLACK STAR</v>
      </c>
      <c r="B4214" s="4" t="s">
        <v>7280</v>
      </c>
      <c r="C4214" s="5" t="s">
        <v>7928</v>
      </c>
      <c r="D4214" s="6">
        <v>5895.69</v>
      </c>
      <c r="E4214" s="6">
        <v>5815.34</v>
      </c>
      <c r="F4214" s="7" t="s">
        <v>14</v>
      </c>
      <c r="G4214" s="8" t="s">
        <v>7929</v>
      </c>
      <c r="H4214" s="8" t="s">
        <v>16</v>
      </c>
      <c r="I4214" s="9">
        <v>3177</v>
      </c>
      <c r="J4214" s="10">
        <v>66</v>
      </c>
      <c r="K4214" s="10">
        <v>66317</v>
      </c>
      <c r="L4214" s="3" t="str">
        <f t="shared" si="137"/>
        <v>ΠΥΡΗΝΟΚΑΡΠΑ</v>
      </c>
    </row>
    <row r="4215" spans="1:12" s="3" customFormat="1" ht="15" customHeight="1" x14ac:dyDescent="0.25">
      <c r="A4215" s="3" t="str">
        <f t="shared" si="136"/>
        <v>ΠΥΡΗΝΟΚΑΡΠΑΑΓΡΙΕΣ ΒΥΣΣΙΝΙΕΣ</v>
      </c>
      <c r="B4215" s="4" t="s">
        <v>7280</v>
      </c>
      <c r="C4215" s="5" t="s">
        <v>7930</v>
      </c>
      <c r="D4215" s="6">
        <v>5895.69</v>
      </c>
      <c r="E4215" s="6">
        <v>5815.34</v>
      </c>
      <c r="F4215" s="7" t="s">
        <v>14</v>
      </c>
      <c r="G4215" s="8" t="s">
        <v>7931</v>
      </c>
      <c r="H4215" s="8" t="s">
        <v>16</v>
      </c>
      <c r="I4215" s="9">
        <v>3176</v>
      </c>
      <c r="J4215" s="10">
        <v>66</v>
      </c>
      <c r="K4215" s="10">
        <v>66318</v>
      </c>
      <c r="L4215" s="3" t="str">
        <f t="shared" si="137"/>
        <v>ΠΥΡΗΝΟΚΑΡΠΑ</v>
      </c>
    </row>
    <row r="4216" spans="1:12" s="3" customFormat="1" ht="15" customHeight="1" x14ac:dyDescent="0.25">
      <c r="A4216" s="3" t="str">
        <f t="shared" si="136"/>
        <v>ΠΥΡΗΝΟΚΑΡΠΑΒΕΡΙΚΟΚΑ PRIMAYA</v>
      </c>
      <c r="B4216" s="4" t="s">
        <v>7280</v>
      </c>
      <c r="C4216" s="5" t="s">
        <v>7932</v>
      </c>
      <c r="D4216" s="6">
        <v>5895.69</v>
      </c>
      <c r="E4216" s="6">
        <v>5815.34</v>
      </c>
      <c r="F4216" s="7" t="s">
        <v>14</v>
      </c>
      <c r="G4216" s="8" t="s">
        <v>7933</v>
      </c>
      <c r="H4216" s="8" t="s">
        <v>16</v>
      </c>
      <c r="I4216" s="9">
        <v>3175</v>
      </c>
      <c r="J4216" s="10">
        <v>66</v>
      </c>
      <c r="K4216" s="10">
        <v>66319</v>
      </c>
      <c r="L4216" s="3" t="str">
        <f t="shared" si="137"/>
        <v>ΠΥΡΗΝΟΚΑΡΠΑ</v>
      </c>
    </row>
    <row r="4217" spans="1:12" s="3" customFormat="1" ht="15" customHeight="1" x14ac:dyDescent="0.25">
      <c r="A4217" s="3" t="str">
        <f t="shared" si="136"/>
        <v>ΠΥΡΗΝΟΚΑΡΠΑΒΕΡΙΚΟΚΑ PRIMARIS</v>
      </c>
      <c r="B4217" s="4" t="s">
        <v>7280</v>
      </c>
      <c r="C4217" s="5" t="s">
        <v>7934</v>
      </c>
      <c r="D4217" s="6">
        <v>5895.69</v>
      </c>
      <c r="E4217" s="6">
        <v>5815.34</v>
      </c>
      <c r="F4217" s="7" t="s">
        <v>14</v>
      </c>
      <c r="G4217" s="8" t="s">
        <v>7935</v>
      </c>
      <c r="H4217" s="8" t="s">
        <v>16</v>
      </c>
      <c r="I4217" s="9">
        <v>3174</v>
      </c>
      <c r="J4217" s="10">
        <v>66</v>
      </c>
      <c r="K4217" s="10">
        <v>66320</v>
      </c>
      <c r="L4217" s="3" t="str">
        <f t="shared" si="137"/>
        <v>ΠΥΡΗΝΟΚΑΡΠΑ</v>
      </c>
    </row>
    <row r="4218" spans="1:12" s="3" customFormat="1" ht="15" customHeight="1" x14ac:dyDescent="0.25">
      <c r="A4218" s="3" t="str">
        <f t="shared" si="136"/>
        <v>ΠΥΡΗΝΟΚΑΡΠΑΒΕΡΙΚΟΚΑ TSUNAMI</v>
      </c>
      <c r="B4218" s="4" t="s">
        <v>7280</v>
      </c>
      <c r="C4218" s="5" t="s">
        <v>7936</v>
      </c>
      <c r="D4218" s="6">
        <v>5895.69</v>
      </c>
      <c r="E4218" s="6">
        <v>5815.34</v>
      </c>
      <c r="F4218" s="7" t="s">
        <v>14</v>
      </c>
      <c r="G4218" s="8" t="s">
        <v>7937</v>
      </c>
      <c r="H4218" s="8" t="s">
        <v>16</v>
      </c>
      <c r="I4218" s="9">
        <v>3173</v>
      </c>
      <c r="J4218" s="10">
        <v>66</v>
      </c>
      <c r="K4218" s="10">
        <v>66321</v>
      </c>
      <c r="L4218" s="3" t="str">
        <f t="shared" si="137"/>
        <v>ΠΥΡΗΝΟΚΑΡΠΑ</v>
      </c>
    </row>
    <row r="4219" spans="1:12" s="3" customFormat="1" ht="15" customHeight="1" x14ac:dyDescent="0.25">
      <c r="A4219" s="3" t="str">
        <f t="shared" si="136"/>
        <v>ΠΥΡΗΝΟΚΑΡΠΑΒΕΡΙΚΟΚΑ ΦΑΡΜΠΑΛΥ</v>
      </c>
      <c r="B4219" s="4" t="s">
        <v>7280</v>
      </c>
      <c r="C4219" s="5" t="s">
        <v>7938</v>
      </c>
      <c r="D4219" s="6">
        <v>5895.69</v>
      </c>
      <c r="E4219" s="6">
        <v>5815.34</v>
      </c>
      <c r="F4219" s="7" t="s">
        <v>14</v>
      </c>
      <c r="G4219" s="8" t="s">
        <v>7939</v>
      </c>
      <c r="H4219" s="8" t="s">
        <v>16</v>
      </c>
      <c r="I4219" s="9">
        <v>3172</v>
      </c>
      <c r="J4219" s="10">
        <v>66</v>
      </c>
      <c r="K4219" s="10">
        <v>66322</v>
      </c>
      <c r="L4219" s="3" t="str">
        <f t="shared" si="137"/>
        <v>ΠΥΡΗΝΟΚΑΡΠΑ</v>
      </c>
    </row>
    <row r="4220" spans="1:12" s="3" customFormat="1" ht="15" customHeight="1" x14ac:dyDescent="0.25">
      <c r="A4220" s="3" t="str">
        <f t="shared" si="136"/>
        <v>ΠΥΡΗΝΟΚΑΡΠΑΝΕΚΤΑΡΙΝΙΑ ΛΕΥΚΟΣΑΡΚΑ MAGIC</v>
      </c>
      <c r="B4220" s="4" t="s">
        <v>7280</v>
      </c>
      <c r="C4220" s="5" t="s">
        <v>7940</v>
      </c>
      <c r="D4220" s="6">
        <v>5895.69</v>
      </c>
      <c r="E4220" s="6">
        <v>5815.34</v>
      </c>
      <c r="F4220" s="7" t="s">
        <v>14</v>
      </c>
      <c r="G4220" s="8" t="s">
        <v>7941</v>
      </c>
      <c r="H4220" s="8" t="s">
        <v>16</v>
      </c>
      <c r="I4220" s="9">
        <v>3171</v>
      </c>
      <c r="J4220" s="10">
        <v>66</v>
      </c>
      <c r="K4220" s="10">
        <v>66323</v>
      </c>
      <c r="L4220" s="3" t="str">
        <f t="shared" si="137"/>
        <v>ΠΥΡΗΝΟΚΑΡΠΑ</v>
      </c>
    </row>
    <row r="4221" spans="1:12" s="3" customFormat="1" ht="15" customHeight="1" x14ac:dyDescent="0.25">
      <c r="A4221" s="3" t="str">
        <f t="shared" si="136"/>
        <v>ΠΥΡΗΝΟΚΑΡΠΑΡΟΔΑΚΙΝΑ ΛΕΥΚΟΣΑΡΚΑ UFO</v>
      </c>
      <c r="B4221" s="4" t="s">
        <v>7280</v>
      </c>
      <c r="C4221" s="5" t="s">
        <v>7942</v>
      </c>
      <c r="D4221" s="6">
        <v>5895.69</v>
      </c>
      <c r="E4221" s="6">
        <v>5815.34</v>
      </c>
      <c r="F4221" s="7" t="s">
        <v>14</v>
      </c>
      <c r="G4221" s="8" t="s">
        <v>7943</v>
      </c>
      <c r="H4221" s="8" t="s">
        <v>27</v>
      </c>
      <c r="I4221" s="9">
        <v>3169</v>
      </c>
      <c r="J4221" s="10">
        <v>66</v>
      </c>
      <c r="K4221" s="10">
        <v>66324</v>
      </c>
      <c r="L4221" s="3" t="str">
        <f t="shared" si="137"/>
        <v>ΠΥΡΗΝΟΚΑΡΠΑ</v>
      </c>
    </row>
    <row r="4222" spans="1:12" s="3" customFormat="1" ht="15" customHeight="1" x14ac:dyDescent="0.25">
      <c r="A4222" s="3" t="str">
        <f t="shared" si="136"/>
        <v>ΠΥΡΗΝΟΚΑΡΠΑΝΕΚΤΑΡΙΝΙΑ ΑΛΙ ΤΟΠ</v>
      </c>
      <c r="B4222" s="4" t="s">
        <v>7280</v>
      </c>
      <c r="C4222" s="5" t="s">
        <v>7944</v>
      </c>
      <c r="D4222" s="6">
        <v>5895.69</v>
      </c>
      <c r="E4222" s="6">
        <v>5815.34</v>
      </c>
      <c r="F4222" s="7" t="s">
        <v>14</v>
      </c>
      <c r="G4222" s="8" t="s">
        <v>7945</v>
      </c>
      <c r="H4222" s="8" t="s">
        <v>16</v>
      </c>
      <c r="I4222" s="9">
        <v>3179</v>
      </c>
      <c r="J4222" s="10">
        <v>66</v>
      </c>
      <c r="K4222" s="10">
        <v>66325</v>
      </c>
      <c r="L4222" s="3" t="str">
        <f t="shared" si="137"/>
        <v>ΠΥΡΗΝΟΚΑΡΠΑ</v>
      </c>
    </row>
    <row r="4223" spans="1:12" s="3" customFormat="1" ht="15" customHeight="1" x14ac:dyDescent="0.25">
      <c r="A4223" s="3" t="str">
        <f t="shared" si="136"/>
        <v>ΠΥΡΗΝΟΚΑΡΠΑΝΕΚΤΑΡΙΝΙΑ ΑΛΙΤΣΙΑ</v>
      </c>
      <c r="B4223" s="4" t="s">
        <v>7280</v>
      </c>
      <c r="C4223" s="5" t="s">
        <v>7946</v>
      </c>
      <c r="D4223" s="6">
        <v>5895.69</v>
      </c>
      <c r="E4223" s="6">
        <v>5815.34</v>
      </c>
      <c r="F4223" s="7" t="s">
        <v>14</v>
      </c>
      <c r="G4223" s="8" t="s">
        <v>7947</v>
      </c>
      <c r="H4223" s="8" t="s">
        <v>16</v>
      </c>
      <c r="I4223" s="9">
        <v>3167</v>
      </c>
      <c r="J4223" s="10">
        <v>66</v>
      </c>
      <c r="K4223" s="10">
        <v>66326</v>
      </c>
      <c r="L4223" s="3" t="str">
        <f t="shared" si="137"/>
        <v>ΠΥΡΗΝΟΚΑΡΠΑ</v>
      </c>
    </row>
    <row r="4224" spans="1:12" s="3" customFormat="1" ht="15" customHeight="1" x14ac:dyDescent="0.25">
      <c r="A4224" s="3" t="str">
        <f t="shared" si="136"/>
        <v>ΠΥΡΗΝΟΚΑΡΠΑΝΕΚΤΑΡΙΝΙΑ ΕΡΛΙ ΜΠΟΜΠΑ</v>
      </c>
      <c r="B4224" s="4" t="s">
        <v>7280</v>
      </c>
      <c r="C4224" s="5" t="s">
        <v>7948</v>
      </c>
      <c r="D4224" s="6">
        <v>5895.69</v>
      </c>
      <c r="E4224" s="6">
        <v>5815.34</v>
      </c>
      <c r="F4224" s="7" t="s">
        <v>14</v>
      </c>
      <c r="G4224" s="8" t="s">
        <v>7949</v>
      </c>
      <c r="H4224" s="8" t="s">
        <v>16</v>
      </c>
      <c r="I4224" s="9">
        <v>3166</v>
      </c>
      <c r="J4224" s="10">
        <v>66</v>
      </c>
      <c r="K4224" s="10">
        <v>66327</v>
      </c>
      <c r="L4224" s="3" t="str">
        <f t="shared" si="137"/>
        <v>ΠΥΡΗΝΟΚΑΡΠΑ</v>
      </c>
    </row>
    <row r="4225" spans="1:12" s="3" customFormat="1" ht="15" customHeight="1" x14ac:dyDescent="0.25">
      <c r="A4225" s="3" t="str">
        <f t="shared" si="136"/>
        <v>ΠΥΡΗΝΟΚΑΡΠΑΝΕΚΤΑΡΙΝΙΑ ΚΕΙ ΣΟΥΙΤ</v>
      </c>
      <c r="B4225" s="4" t="s">
        <v>7280</v>
      </c>
      <c r="C4225" s="5" t="s">
        <v>7950</v>
      </c>
      <c r="D4225" s="6">
        <v>5895.69</v>
      </c>
      <c r="E4225" s="6">
        <v>5815.34</v>
      </c>
      <c r="F4225" s="7" t="s">
        <v>14</v>
      </c>
      <c r="G4225" s="8" t="s">
        <v>7951</v>
      </c>
      <c r="H4225" s="8" t="s">
        <v>16</v>
      </c>
      <c r="I4225" s="9">
        <v>3165</v>
      </c>
      <c r="J4225" s="10">
        <v>66</v>
      </c>
      <c r="K4225" s="10">
        <v>66328</v>
      </c>
      <c r="L4225" s="3" t="str">
        <f t="shared" si="137"/>
        <v>ΠΥΡΗΝΟΚΑΡΠΑ</v>
      </c>
    </row>
    <row r="4226" spans="1:12" s="3" customFormat="1" ht="15" customHeight="1" x14ac:dyDescent="0.25">
      <c r="A4226" s="3" t="str">
        <f t="shared" si="136"/>
        <v>ΠΥΡΗΝΟΚΑΡΠΑΝΕΚΤΑΡΙΝΙΑ ΛΟΥΤΣΙΑΝΑ</v>
      </c>
      <c r="B4226" s="4" t="s">
        <v>7280</v>
      </c>
      <c r="C4226" s="5" t="s">
        <v>7952</v>
      </c>
      <c r="D4226" s="6">
        <v>5895.69</v>
      </c>
      <c r="E4226" s="6">
        <v>5815.34</v>
      </c>
      <c r="F4226" s="7" t="s">
        <v>14</v>
      </c>
      <c r="G4226" s="8" t="s">
        <v>7953</v>
      </c>
      <c r="H4226" s="8" t="s">
        <v>16</v>
      </c>
      <c r="I4226" s="9">
        <v>3164</v>
      </c>
      <c r="J4226" s="10">
        <v>66</v>
      </c>
      <c r="K4226" s="10">
        <v>66329</v>
      </c>
      <c r="L4226" s="3" t="str">
        <f t="shared" si="137"/>
        <v>ΠΥΡΗΝΟΚΑΡΠΑ</v>
      </c>
    </row>
    <row r="4227" spans="1:12" s="3" customFormat="1" ht="15" customHeight="1" x14ac:dyDescent="0.25">
      <c r="A4227" s="3" t="str">
        <f t="shared" ref="A4227:A4290" si="138">_xlfn.CONCAT(B4227,C4227)</f>
        <v>ΠΥΡΗΝΟΚΑΡΠΑΝΕΚΤΑΡΙΝΙΑ ΜΑΤΖΙΚ</v>
      </c>
      <c r="B4227" s="4" t="s">
        <v>7280</v>
      </c>
      <c r="C4227" s="5" t="s">
        <v>7954</v>
      </c>
      <c r="D4227" s="6">
        <v>5895.69</v>
      </c>
      <c r="E4227" s="6">
        <v>5815.34</v>
      </c>
      <c r="F4227" s="7" t="s">
        <v>14</v>
      </c>
      <c r="G4227" s="8" t="s">
        <v>7955</v>
      </c>
      <c r="H4227" s="8" t="s">
        <v>16</v>
      </c>
      <c r="I4227" s="9">
        <v>3163</v>
      </c>
      <c r="J4227" s="10">
        <v>66</v>
      </c>
      <c r="K4227" s="10">
        <v>66330</v>
      </c>
      <c r="L4227" s="3" t="str">
        <f t="shared" ref="L4227:L4290" si="139">IFERROR(SUBSTITUTE(SUBSTITUTE(SUBSTITUTE(SUBSTITUTE(SUBSTITUTE(B4227, "-", "_"), " ", "_"), ",", ""), "(", ""), ")", ""), B4227)</f>
        <v>ΠΥΡΗΝΟΚΑΡΠΑ</v>
      </c>
    </row>
    <row r="4228" spans="1:12" s="3" customFormat="1" ht="15" customHeight="1" x14ac:dyDescent="0.25">
      <c r="A4228" s="3" t="str">
        <f t="shared" si="138"/>
        <v>ΠΥΡΗΝΟΚΑΡΠΑΝΕΚΤΑΡΙΝΙΑ ΜΠΙΓΚ ΜΠΑΝΚ</v>
      </c>
      <c r="B4228" s="4" t="s">
        <v>7280</v>
      </c>
      <c r="C4228" s="5" t="s">
        <v>7956</v>
      </c>
      <c r="D4228" s="6">
        <v>5895.69</v>
      </c>
      <c r="E4228" s="6">
        <v>5815.34</v>
      </c>
      <c r="F4228" s="7" t="s">
        <v>14</v>
      </c>
      <c r="G4228" s="8" t="s">
        <v>7957</v>
      </c>
      <c r="H4228" s="8" t="s">
        <v>16</v>
      </c>
      <c r="I4228" s="9">
        <v>3162</v>
      </c>
      <c r="J4228" s="10">
        <v>66</v>
      </c>
      <c r="K4228" s="10">
        <v>66331</v>
      </c>
      <c r="L4228" s="3" t="str">
        <f t="shared" si="139"/>
        <v>ΠΥΡΗΝΟΚΑΡΠΑ</v>
      </c>
    </row>
    <row r="4229" spans="1:12" s="3" customFormat="1" ht="15" customHeight="1" x14ac:dyDescent="0.25">
      <c r="A4229" s="3" t="str">
        <f t="shared" si="138"/>
        <v>ΠΥΡΗΝΟΚΑΡΠΑΝΕΚΤΑΡΙΝΙΑ ΜΠΙΓΚ ΧΕΒΕΝ</v>
      </c>
      <c r="B4229" s="4" t="s">
        <v>7280</v>
      </c>
      <c r="C4229" s="5" t="s">
        <v>7958</v>
      </c>
      <c r="D4229" s="6">
        <v>5895.69</v>
      </c>
      <c r="E4229" s="6">
        <v>5815.34</v>
      </c>
      <c r="F4229" s="7" t="s">
        <v>14</v>
      </c>
      <c r="G4229" s="8" t="s">
        <v>7959</v>
      </c>
      <c r="H4229" s="8" t="s">
        <v>16</v>
      </c>
      <c r="I4229" s="9">
        <v>3161</v>
      </c>
      <c r="J4229" s="10">
        <v>66</v>
      </c>
      <c r="K4229" s="10">
        <v>66332</v>
      </c>
      <c r="L4229" s="3" t="str">
        <f t="shared" si="139"/>
        <v>ΠΥΡΗΝΟΚΑΡΠΑ</v>
      </c>
    </row>
    <row r="4230" spans="1:12" s="3" customFormat="1" ht="15" customHeight="1" x14ac:dyDescent="0.25">
      <c r="A4230" s="3" t="str">
        <f t="shared" si="138"/>
        <v>ΠΥΡΗΝΟΚΑΡΠΑΝΕΚΤΑΡΙΝΙΑ ΝΤΑΙΜΟΝΤ ΡΕΙ</v>
      </c>
      <c r="B4230" s="4" t="s">
        <v>7280</v>
      </c>
      <c r="C4230" s="5" t="s">
        <v>7960</v>
      </c>
      <c r="D4230" s="6">
        <v>5895.69</v>
      </c>
      <c r="E4230" s="6">
        <v>5815.34</v>
      </c>
      <c r="F4230" s="7" t="s">
        <v>14</v>
      </c>
      <c r="G4230" s="8" t="s">
        <v>7961</v>
      </c>
      <c r="H4230" s="8" t="s">
        <v>16</v>
      </c>
      <c r="I4230" s="9">
        <v>3160</v>
      </c>
      <c r="J4230" s="10">
        <v>66</v>
      </c>
      <c r="K4230" s="10">
        <v>66333</v>
      </c>
      <c r="L4230" s="3" t="str">
        <f t="shared" si="139"/>
        <v>ΠΥΡΗΝΟΚΑΡΠΑ</v>
      </c>
    </row>
    <row r="4231" spans="1:12" s="3" customFormat="1" ht="15" customHeight="1" x14ac:dyDescent="0.25">
      <c r="A4231" s="3" t="str">
        <f t="shared" si="138"/>
        <v>ΠΥΡΗΝΟΚΑΡΠΑΝΕΚΤΑΡΙΝΙΑ ΡΕΤ ΓΚΟΛΤ</v>
      </c>
      <c r="B4231" s="4" t="s">
        <v>7280</v>
      </c>
      <c r="C4231" s="5" t="s">
        <v>7962</v>
      </c>
      <c r="D4231" s="6">
        <v>5895.69</v>
      </c>
      <c r="E4231" s="6">
        <v>5815.34</v>
      </c>
      <c r="F4231" s="7" t="s">
        <v>14</v>
      </c>
      <c r="G4231" s="8" t="s">
        <v>7963</v>
      </c>
      <c r="H4231" s="8" t="s">
        <v>16</v>
      </c>
      <c r="I4231" s="9">
        <v>3189</v>
      </c>
      <c r="J4231" s="10">
        <v>66</v>
      </c>
      <c r="K4231" s="10">
        <v>66334</v>
      </c>
      <c r="L4231" s="3" t="str">
        <f t="shared" si="139"/>
        <v>ΠΥΡΗΝΟΚΑΡΠΑ</v>
      </c>
    </row>
    <row r="4232" spans="1:12" s="3" customFormat="1" ht="15" customHeight="1" x14ac:dyDescent="0.25">
      <c r="A4232" s="3" t="str">
        <f t="shared" si="138"/>
        <v>ΠΥΡΗΝΟΚΑΡΠΑΝΕΚΤΑΡΙΝΙΑ ΣΟΥΙΤ ΛΕΙΝΤΙ</v>
      </c>
      <c r="B4232" s="4" t="s">
        <v>7280</v>
      </c>
      <c r="C4232" s="5" t="s">
        <v>7964</v>
      </c>
      <c r="D4232" s="6">
        <v>5895.69</v>
      </c>
      <c r="E4232" s="6">
        <v>5815.34</v>
      </c>
      <c r="F4232" s="7" t="s">
        <v>14</v>
      </c>
      <c r="G4232" s="8" t="s">
        <v>7965</v>
      </c>
      <c r="H4232" s="8" t="s">
        <v>16</v>
      </c>
      <c r="I4232" s="9">
        <v>3191</v>
      </c>
      <c r="J4232" s="10">
        <v>66</v>
      </c>
      <c r="K4232" s="10">
        <v>66335</v>
      </c>
      <c r="L4232" s="3" t="str">
        <f t="shared" si="139"/>
        <v>ΠΥΡΗΝΟΚΑΡΠΑ</v>
      </c>
    </row>
    <row r="4233" spans="1:12" s="3" customFormat="1" ht="15" customHeight="1" x14ac:dyDescent="0.25">
      <c r="A4233" s="3" t="str">
        <f t="shared" si="138"/>
        <v>ΠΥΡΗΝΟΚΑΡΠΑΝΕΚΤΑΡΙΝΙΑ ΦΑΙΡ ΤΟΠ</v>
      </c>
      <c r="B4233" s="4" t="s">
        <v>7280</v>
      </c>
      <c r="C4233" s="5" t="s">
        <v>7966</v>
      </c>
      <c r="D4233" s="6">
        <v>5895.69</v>
      </c>
      <c r="E4233" s="6">
        <v>5815.34</v>
      </c>
      <c r="F4233" s="7" t="s">
        <v>14</v>
      </c>
      <c r="G4233" s="8" t="s">
        <v>7967</v>
      </c>
      <c r="H4233" s="8" t="s">
        <v>16</v>
      </c>
      <c r="I4233" s="9">
        <v>3170</v>
      </c>
      <c r="J4233" s="10">
        <v>66</v>
      </c>
      <c r="K4233" s="10">
        <v>66336</v>
      </c>
      <c r="L4233" s="3" t="str">
        <f t="shared" si="139"/>
        <v>ΠΥΡΗΝΟΚΑΡΠΑ</v>
      </c>
    </row>
    <row r="4234" spans="1:12" s="3" customFormat="1" ht="15" customHeight="1" x14ac:dyDescent="0.25">
      <c r="A4234" s="3" t="str">
        <f t="shared" si="138"/>
        <v>ΠΥΡΗΝΟΚΑΡΠΑΝΕΚΤΑΡΙΝΙΑ ΧΟΝΕΥ ΡΟΥΑΓΙΑΛ</v>
      </c>
      <c r="B4234" s="4" t="s">
        <v>7280</v>
      </c>
      <c r="C4234" s="5" t="s">
        <v>7968</v>
      </c>
      <c r="D4234" s="6">
        <v>5895.69</v>
      </c>
      <c r="E4234" s="6">
        <v>5815.34</v>
      </c>
      <c r="F4234" s="7" t="s">
        <v>14</v>
      </c>
      <c r="G4234" s="8" t="s">
        <v>7969</v>
      </c>
      <c r="H4234" s="8" t="s">
        <v>16</v>
      </c>
      <c r="I4234" s="9">
        <v>3199</v>
      </c>
      <c r="J4234" s="10">
        <v>66</v>
      </c>
      <c r="K4234" s="10">
        <v>66337</v>
      </c>
      <c r="L4234" s="3" t="str">
        <f t="shared" si="139"/>
        <v>ΠΥΡΗΝΟΚΑΡΠΑ</v>
      </c>
    </row>
    <row r="4235" spans="1:12" s="3" customFormat="1" ht="15" customHeight="1" x14ac:dyDescent="0.25">
      <c r="A4235" s="3" t="str">
        <f t="shared" si="138"/>
        <v>ΠΥΡΗΝΟΚΑΡΠΑΡΟΔΑΚΙΝΑ ΒΙΣΤΑ ΡΙΤΣ</v>
      </c>
      <c r="B4235" s="4" t="s">
        <v>7280</v>
      </c>
      <c r="C4235" s="5" t="s">
        <v>7970</v>
      </c>
      <c r="D4235" s="6">
        <v>5895.69</v>
      </c>
      <c r="E4235" s="6">
        <v>5815.34</v>
      </c>
      <c r="F4235" s="7" t="s">
        <v>14</v>
      </c>
      <c r="G4235" s="8" t="s">
        <v>7971</v>
      </c>
      <c r="H4235" s="8" t="s">
        <v>16</v>
      </c>
      <c r="I4235" s="9">
        <v>3198</v>
      </c>
      <c r="J4235" s="10">
        <v>66</v>
      </c>
      <c r="K4235" s="10">
        <v>66338</v>
      </c>
      <c r="L4235" s="3" t="str">
        <f t="shared" si="139"/>
        <v>ΠΥΡΗΝΟΚΑΡΠΑ</v>
      </c>
    </row>
    <row r="4236" spans="1:12" s="3" customFormat="1" ht="15" customHeight="1" x14ac:dyDescent="0.25">
      <c r="A4236" s="3" t="str">
        <f t="shared" si="138"/>
        <v>ΠΥΡΗΝΟΚΑΡΠΑΡΟΔΑΚΙΝΑ ΓΚΡΙΣΠΣΟΝ ΛΕΙΝΤΗ</v>
      </c>
      <c r="B4236" s="4" t="s">
        <v>7280</v>
      </c>
      <c r="C4236" s="5" t="s">
        <v>7972</v>
      </c>
      <c r="D4236" s="6">
        <v>5895.69</v>
      </c>
      <c r="E4236" s="6">
        <v>5815.34</v>
      </c>
      <c r="F4236" s="7" t="s">
        <v>14</v>
      </c>
      <c r="G4236" s="8" t="s">
        <v>7973</v>
      </c>
      <c r="H4236" s="8" t="s">
        <v>16</v>
      </c>
      <c r="I4236" s="9">
        <v>3197</v>
      </c>
      <c r="J4236" s="10">
        <v>66</v>
      </c>
      <c r="K4236" s="10">
        <v>66339</v>
      </c>
      <c r="L4236" s="3" t="str">
        <f t="shared" si="139"/>
        <v>ΠΥΡΗΝΟΚΑΡΠΑ</v>
      </c>
    </row>
    <row r="4237" spans="1:12" s="3" customFormat="1" ht="15" customHeight="1" x14ac:dyDescent="0.25">
      <c r="A4237" s="3" t="str">
        <f t="shared" si="138"/>
        <v>ΠΥΡΗΝΟΚΑΡΠΑΡΟΔΑΚΙΝΑ ΕΡΛΙ ΜΕΙ</v>
      </c>
      <c r="B4237" s="4" t="s">
        <v>7280</v>
      </c>
      <c r="C4237" s="5" t="s">
        <v>7974</v>
      </c>
      <c r="D4237" s="6">
        <v>5895.69</v>
      </c>
      <c r="E4237" s="6">
        <v>5815.34</v>
      </c>
      <c r="F4237" s="7" t="s">
        <v>14</v>
      </c>
      <c r="G4237" s="8" t="s">
        <v>7975</v>
      </c>
      <c r="H4237" s="8" t="s">
        <v>16</v>
      </c>
      <c r="I4237" s="9">
        <v>3196</v>
      </c>
      <c r="J4237" s="10">
        <v>66</v>
      </c>
      <c r="K4237" s="10">
        <v>66340</v>
      </c>
      <c r="L4237" s="3" t="str">
        <f t="shared" si="139"/>
        <v>ΠΥΡΗΝΟΚΑΡΠΑ</v>
      </c>
    </row>
    <row r="4238" spans="1:12" s="3" customFormat="1" ht="15" customHeight="1" x14ac:dyDescent="0.25">
      <c r="A4238" s="3" t="str">
        <f t="shared" si="138"/>
        <v>ΠΥΡΗΝΟΚΑΡΠΑΡΟΔΑΚΙΝΑ ΕΡΛΙ ΡΙΤΣ</v>
      </c>
      <c r="B4238" s="4" t="s">
        <v>7280</v>
      </c>
      <c r="C4238" s="5" t="s">
        <v>7976</v>
      </c>
      <c r="D4238" s="6">
        <v>5895.69</v>
      </c>
      <c r="E4238" s="6">
        <v>5815.34</v>
      </c>
      <c r="F4238" s="7" t="s">
        <v>14</v>
      </c>
      <c r="G4238" s="8" t="s">
        <v>7977</v>
      </c>
      <c r="H4238" s="8" t="s">
        <v>16</v>
      </c>
      <c r="I4238" s="9">
        <v>3195</v>
      </c>
      <c r="J4238" s="10">
        <v>66</v>
      </c>
      <c r="K4238" s="10">
        <v>66341</v>
      </c>
      <c r="L4238" s="3" t="str">
        <f t="shared" si="139"/>
        <v>ΠΥΡΗΝΟΚΑΡΠΑ</v>
      </c>
    </row>
    <row r="4239" spans="1:12" s="3" customFormat="1" ht="15" customHeight="1" x14ac:dyDescent="0.25">
      <c r="A4239" s="3" t="str">
        <f t="shared" si="138"/>
        <v>ΠΥΡΗΝΟΚΑΡΠΑΡΟΔΑΚΙΝΑ ΗΡΑΚΛΗΣ</v>
      </c>
      <c r="B4239" s="4" t="s">
        <v>7280</v>
      </c>
      <c r="C4239" s="5" t="s">
        <v>7978</v>
      </c>
      <c r="D4239" s="6">
        <v>5895.69</v>
      </c>
      <c r="E4239" s="6">
        <v>5815.34</v>
      </c>
      <c r="F4239" s="7" t="s">
        <v>14</v>
      </c>
      <c r="G4239" s="8" t="s">
        <v>7979</v>
      </c>
      <c r="H4239" s="8" t="s">
        <v>16</v>
      </c>
      <c r="I4239" s="9">
        <v>3194</v>
      </c>
      <c r="J4239" s="10">
        <v>66</v>
      </c>
      <c r="K4239" s="10">
        <v>66342</v>
      </c>
      <c r="L4239" s="3" t="str">
        <f t="shared" si="139"/>
        <v>ΠΥΡΗΝΟΚΑΡΠΑ</v>
      </c>
    </row>
    <row r="4240" spans="1:12" s="3" customFormat="1" ht="15" customHeight="1" x14ac:dyDescent="0.25">
      <c r="A4240" s="3" t="str">
        <f t="shared" si="138"/>
        <v>ΠΥΡΗΝΟΚΑΡΠΑΡΟΔΑΚΙΝΑ ΚΕΒΙΝΑ</v>
      </c>
      <c r="B4240" s="4" t="s">
        <v>7280</v>
      </c>
      <c r="C4240" s="5" t="s">
        <v>7980</v>
      </c>
      <c r="D4240" s="6">
        <v>5895.69</v>
      </c>
      <c r="E4240" s="6">
        <v>5815.34</v>
      </c>
      <c r="F4240" s="7" t="s">
        <v>14</v>
      </c>
      <c r="G4240" s="8" t="s">
        <v>7981</v>
      </c>
      <c r="H4240" s="8" t="s">
        <v>16</v>
      </c>
      <c r="I4240" s="9">
        <v>3193</v>
      </c>
      <c r="J4240" s="10">
        <v>66</v>
      </c>
      <c r="K4240" s="10">
        <v>66343</v>
      </c>
      <c r="L4240" s="3" t="str">
        <f t="shared" si="139"/>
        <v>ΠΥΡΗΝΟΚΑΡΠΑ</v>
      </c>
    </row>
    <row r="4241" spans="1:12" s="3" customFormat="1" ht="15" customHeight="1" x14ac:dyDescent="0.25">
      <c r="A4241" s="3" t="str">
        <f t="shared" si="138"/>
        <v>ΠΥΡΗΝΟΚΑΡΠΑΡΟΔΑΚΙΝΑ ΛΟΛΙΤΑ</v>
      </c>
      <c r="B4241" s="4" t="s">
        <v>7280</v>
      </c>
      <c r="C4241" s="5" t="s">
        <v>7982</v>
      </c>
      <c r="D4241" s="6">
        <v>5895.69</v>
      </c>
      <c r="E4241" s="6">
        <v>5815.34</v>
      </c>
      <c r="F4241" s="7" t="s">
        <v>14</v>
      </c>
      <c r="G4241" s="8" t="s">
        <v>7983</v>
      </c>
      <c r="H4241" s="8" t="s">
        <v>16</v>
      </c>
      <c r="I4241" s="9">
        <v>3192</v>
      </c>
      <c r="J4241" s="10">
        <v>66</v>
      </c>
      <c r="K4241" s="10">
        <v>66344</v>
      </c>
      <c r="L4241" s="3" t="str">
        <f t="shared" si="139"/>
        <v>ΠΥΡΗΝΟΚΑΡΠΑ</v>
      </c>
    </row>
    <row r="4242" spans="1:12" s="3" customFormat="1" ht="15" customHeight="1" x14ac:dyDescent="0.25">
      <c r="A4242" s="3" t="str">
        <f t="shared" si="138"/>
        <v>ΠΥΡΗΝΟΚΑΡΠΑΡΟΔΑΚΙΝΑ ΜΑΟΥΡΑ</v>
      </c>
      <c r="B4242" s="4" t="s">
        <v>7280</v>
      </c>
      <c r="C4242" s="5" t="s">
        <v>7984</v>
      </c>
      <c r="D4242" s="6">
        <v>5895.69</v>
      </c>
      <c r="E4242" s="6">
        <v>5815.34</v>
      </c>
      <c r="F4242" s="7" t="s">
        <v>14</v>
      </c>
      <c r="G4242" s="8" t="s">
        <v>7985</v>
      </c>
      <c r="H4242" s="8" t="s">
        <v>16</v>
      </c>
      <c r="I4242" s="9">
        <v>3180</v>
      </c>
      <c r="J4242" s="10">
        <v>66</v>
      </c>
      <c r="K4242" s="10">
        <v>66345</v>
      </c>
      <c r="L4242" s="3" t="str">
        <f t="shared" si="139"/>
        <v>ΠΥΡΗΝΟΚΑΡΠΑ</v>
      </c>
    </row>
    <row r="4243" spans="1:12" s="3" customFormat="1" ht="15" customHeight="1" x14ac:dyDescent="0.25">
      <c r="A4243" s="3" t="str">
        <f t="shared" si="138"/>
        <v>ΠΥΡΗΝΟΚΑΡΠΑΡΟΔΑΚΙΝΑ ΜΑΡΑΘΟΝ</v>
      </c>
      <c r="B4243" s="4" t="s">
        <v>7280</v>
      </c>
      <c r="C4243" s="5" t="s">
        <v>7986</v>
      </c>
      <c r="D4243" s="6">
        <v>5895.69</v>
      </c>
      <c r="E4243" s="6">
        <v>5815.34</v>
      </c>
      <c r="F4243" s="7" t="s">
        <v>14</v>
      </c>
      <c r="G4243" s="8" t="s">
        <v>7987</v>
      </c>
      <c r="H4243" s="8" t="s">
        <v>16</v>
      </c>
      <c r="I4243" s="9">
        <v>3190</v>
      </c>
      <c r="J4243" s="10">
        <v>66</v>
      </c>
      <c r="K4243" s="10">
        <v>66346</v>
      </c>
      <c r="L4243" s="3" t="str">
        <f t="shared" si="139"/>
        <v>ΠΥΡΗΝΟΚΑΡΠΑ</v>
      </c>
    </row>
    <row r="4244" spans="1:12" s="3" customFormat="1" ht="15" customHeight="1" x14ac:dyDescent="0.25">
      <c r="A4244" s="3" t="str">
        <f t="shared" si="138"/>
        <v>ΠΥΡΗΝΟΚΑΡΠΑΡΟΔΑΚΙΝΑ ΜΑΡΙΑ ΜΑΡΘΑ</v>
      </c>
      <c r="B4244" s="4" t="s">
        <v>7280</v>
      </c>
      <c r="C4244" s="5" t="s">
        <v>7988</v>
      </c>
      <c r="D4244" s="6">
        <v>5895.69</v>
      </c>
      <c r="E4244" s="6">
        <v>5815.34</v>
      </c>
      <c r="F4244" s="7" t="s">
        <v>14</v>
      </c>
      <c r="G4244" s="8" t="s">
        <v>7989</v>
      </c>
      <c r="H4244" s="8" t="s">
        <v>16</v>
      </c>
      <c r="I4244" s="9">
        <v>3201</v>
      </c>
      <c r="J4244" s="10">
        <v>66</v>
      </c>
      <c r="K4244" s="10">
        <v>66347</v>
      </c>
      <c r="L4244" s="3" t="str">
        <f t="shared" si="139"/>
        <v>ΠΥΡΗΝΟΚΑΡΠΑ</v>
      </c>
    </row>
    <row r="4245" spans="1:12" s="3" customFormat="1" ht="15" customHeight="1" x14ac:dyDescent="0.25">
      <c r="A4245" s="3" t="str">
        <f t="shared" si="138"/>
        <v>ΠΥΡΗΝΟΚΑΡΠΑΡΟΔΑΚΙΝΑ ΜΠΟΡΝΤΟ</v>
      </c>
      <c r="B4245" s="4" t="s">
        <v>7280</v>
      </c>
      <c r="C4245" s="5" t="s">
        <v>7990</v>
      </c>
      <c r="D4245" s="6">
        <v>5895.69</v>
      </c>
      <c r="E4245" s="6">
        <v>5815.34</v>
      </c>
      <c r="F4245" s="7" t="s">
        <v>14</v>
      </c>
      <c r="G4245" s="8" t="s">
        <v>7991</v>
      </c>
      <c r="H4245" s="8" t="s">
        <v>16</v>
      </c>
      <c r="I4245" s="9">
        <v>3188</v>
      </c>
      <c r="J4245" s="10">
        <v>66</v>
      </c>
      <c r="K4245" s="10">
        <v>66348</v>
      </c>
      <c r="L4245" s="3" t="str">
        <f t="shared" si="139"/>
        <v>ΠΥΡΗΝΟΚΑΡΠΑ</v>
      </c>
    </row>
    <row r="4246" spans="1:12" s="3" customFormat="1" ht="15" customHeight="1" x14ac:dyDescent="0.25">
      <c r="A4246" s="3" t="str">
        <f t="shared" si="138"/>
        <v>ΠΥΡΗΝΟΚΑΡΠΑΡΟΔΑΚΙΝΑ ΜΠΡΙΤΝΕΙ ΛΕΙΝ</v>
      </c>
      <c r="B4246" s="4" t="s">
        <v>7280</v>
      </c>
      <c r="C4246" s="5" t="s">
        <v>7992</v>
      </c>
      <c r="D4246" s="6">
        <v>5895.69</v>
      </c>
      <c r="E4246" s="6">
        <v>5815.34</v>
      </c>
      <c r="F4246" s="7" t="s">
        <v>14</v>
      </c>
      <c r="G4246" s="8" t="s">
        <v>7993</v>
      </c>
      <c r="H4246" s="8" t="s">
        <v>16</v>
      </c>
      <c r="I4246" s="9">
        <v>3187</v>
      </c>
      <c r="J4246" s="10">
        <v>66</v>
      </c>
      <c r="K4246" s="10">
        <v>66349</v>
      </c>
      <c r="L4246" s="3" t="str">
        <f t="shared" si="139"/>
        <v>ΠΥΡΗΝΟΚΑΡΠΑ</v>
      </c>
    </row>
    <row r="4247" spans="1:12" s="3" customFormat="1" ht="15" customHeight="1" x14ac:dyDescent="0.25">
      <c r="A4247" s="3" t="str">
        <f t="shared" si="138"/>
        <v>ΠΥΡΗΝΟΚΑΡΠΑΡΟΔΑΚΙΝΑ ΟΚΤΑΒΙΑ</v>
      </c>
      <c r="B4247" s="4" t="s">
        <v>7280</v>
      </c>
      <c r="C4247" s="5" t="s">
        <v>7994</v>
      </c>
      <c r="D4247" s="6">
        <v>5895.69</v>
      </c>
      <c r="E4247" s="6">
        <v>5815.34</v>
      </c>
      <c r="F4247" s="7" t="s">
        <v>14</v>
      </c>
      <c r="G4247" s="8" t="s">
        <v>7995</v>
      </c>
      <c r="H4247" s="8" t="s">
        <v>16</v>
      </c>
      <c r="I4247" s="9">
        <v>3186</v>
      </c>
      <c r="J4247" s="10">
        <v>66</v>
      </c>
      <c r="K4247" s="10">
        <v>66350</v>
      </c>
      <c r="L4247" s="3" t="str">
        <f t="shared" si="139"/>
        <v>ΠΥΡΗΝΟΚΑΡΠΑ</v>
      </c>
    </row>
    <row r="4248" spans="1:12" s="3" customFormat="1" ht="15" customHeight="1" x14ac:dyDescent="0.25">
      <c r="A4248" s="3" t="str">
        <f t="shared" si="138"/>
        <v>ΠΥΡΗΝΟΚΑΡΠΑΡΟΔΑΚΙΝΑ ΟΥΦΟ</v>
      </c>
      <c r="B4248" s="4" t="s">
        <v>7280</v>
      </c>
      <c r="C4248" s="5" t="s">
        <v>7996</v>
      </c>
      <c r="D4248" s="6">
        <v>5895.69</v>
      </c>
      <c r="E4248" s="6">
        <v>5815.34</v>
      </c>
      <c r="F4248" s="7" t="s">
        <v>14</v>
      </c>
      <c r="G4248" s="8" t="s">
        <v>7997</v>
      </c>
      <c r="H4248" s="8" t="s">
        <v>27</v>
      </c>
      <c r="I4248" s="9">
        <v>3185</v>
      </c>
      <c r="J4248" s="10">
        <v>66</v>
      </c>
      <c r="K4248" s="10">
        <v>66351</v>
      </c>
      <c r="L4248" s="3" t="str">
        <f t="shared" si="139"/>
        <v>ΠΥΡΗΝΟΚΑΡΠΑ</v>
      </c>
    </row>
    <row r="4249" spans="1:12" s="3" customFormat="1" ht="15" customHeight="1" x14ac:dyDescent="0.25">
      <c r="A4249" s="3" t="str">
        <f t="shared" si="138"/>
        <v>ΠΥΡΗΝΟΚΑΡΠΑΡΟΔΑΚΙΝΑ ΠΑΤΤΥ</v>
      </c>
      <c r="B4249" s="4" t="s">
        <v>7280</v>
      </c>
      <c r="C4249" s="5" t="s">
        <v>7998</v>
      </c>
      <c r="D4249" s="6">
        <v>5895.69</v>
      </c>
      <c r="E4249" s="6">
        <v>5815.34</v>
      </c>
      <c r="F4249" s="7" t="s">
        <v>14</v>
      </c>
      <c r="G4249" s="8" t="s">
        <v>7999</v>
      </c>
      <c r="H4249" s="8" t="s">
        <v>16</v>
      </c>
      <c r="I4249" s="9">
        <v>3184</v>
      </c>
      <c r="J4249" s="10">
        <v>66</v>
      </c>
      <c r="K4249" s="10">
        <v>66352</v>
      </c>
      <c r="L4249" s="3" t="str">
        <f t="shared" si="139"/>
        <v>ΠΥΡΗΝΟΚΑΡΠΑ</v>
      </c>
    </row>
    <row r="4250" spans="1:12" s="3" customFormat="1" ht="15" customHeight="1" x14ac:dyDescent="0.25">
      <c r="A4250" s="3" t="str">
        <f t="shared" si="138"/>
        <v>ΠΥΡΗΝΟΚΑΡΠΑΡΟΔΑΚΙΝΑ ΡΕΤ ΒΑΙΛΕΡ</v>
      </c>
      <c r="B4250" s="4" t="s">
        <v>7280</v>
      </c>
      <c r="C4250" s="5" t="s">
        <v>8000</v>
      </c>
      <c r="D4250" s="6">
        <v>5895.69</v>
      </c>
      <c r="E4250" s="6">
        <v>5815.34</v>
      </c>
      <c r="F4250" s="7" t="s">
        <v>14</v>
      </c>
      <c r="G4250" s="8" t="s">
        <v>8001</v>
      </c>
      <c r="H4250" s="8" t="s">
        <v>16</v>
      </c>
      <c r="I4250" s="9">
        <v>3183</v>
      </c>
      <c r="J4250" s="10">
        <v>66</v>
      </c>
      <c r="K4250" s="10">
        <v>66353</v>
      </c>
      <c r="L4250" s="3" t="str">
        <f t="shared" si="139"/>
        <v>ΠΥΡΗΝΟΚΑΡΠΑ</v>
      </c>
    </row>
    <row r="4251" spans="1:12" s="3" customFormat="1" ht="15" customHeight="1" x14ac:dyDescent="0.25">
      <c r="A4251" s="3" t="str">
        <f t="shared" si="138"/>
        <v>ΠΥΡΗΝΟΚΑΡΠΑΡΟΔΑΚΙΝΑ ΡΟΥΑΓΙΑΛ ΛΙ</v>
      </c>
      <c r="B4251" s="4" t="s">
        <v>7280</v>
      </c>
      <c r="C4251" s="5" t="s">
        <v>8002</v>
      </c>
      <c r="D4251" s="6">
        <v>5895.69</v>
      </c>
      <c r="E4251" s="6">
        <v>5815.34</v>
      </c>
      <c r="F4251" s="7" t="s">
        <v>14</v>
      </c>
      <c r="G4251" s="8" t="s">
        <v>8003</v>
      </c>
      <c r="H4251" s="8" t="s">
        <v>16</v>
      </c>
      <c r="I4251" s="9">
        <v>3182</v>
      </c>
      <c r="J4251" s="10">
        <v>66</v>
      </c>
      <c r="K4251" s="10">
        <v>66354</v>
      </c>
      <c r="L4251" s="3" t="str">
        <f t="shared" si="139"/>
        <v>ΠΥΡΗΝΟΚΑΡΠΑ</v>
      </c>
    </row>
    <row r="4252" spans="1:12" s="3" customFormat="1" ht="15" customHeight="1" x14ac:dyDescent="0.25">
      <c r="A4252" s="3" t="str">
        <f t="shared" si="138"/>
        <v>ΠΥΡΗΝΟΚΑΡΠΑΡΟΔΑΚΙΝΑ ΡΟΥΑΓΙΑΛ ΜΑΝΤΖΕΣΤΙΚ</v>
      </c>
      <c r="B4252" s="4" t="s">
        <v>7280</v>
      </c>
      <c r="C4252" s="5" t="s">
        <v>8004</v>
      </c>
      <c r="D4252" s="6">
        <v>5895.69</v>
      </c>
      <c r="E4252" s="6">
        <v>5815.34</v>
      </c>
      <c r="F4252" s="7" t="s">
        <v>14</v>
      </c>
      <c r="G4252" s="8" t="s">
        <v>8005</v>
      </c>
      <c r="H4252" s="8" t="s">
        <v>16</v>
      </c>
      <c r="I4252" s="9">
        <v>3181</v>
      </c>
      <c r="J4252" s="10">
        <v>66</v>
      </c>
      <c r="K4252" s="10">
        <v>66355</v>
      </c>
      <c r="L4252" s="3" t="str">
        <f t="shared" si="139"/>
        <v>ΠΥΡΗΝΟΚΑΡΠΑ</v>
      </c>
    </row>
    <row r="4253" spans="1:12" s="3" customFormat="1" ht="15" customHeight="1" x14ac:dyDescent="0.25">
      <c r="A4253" s="3" t="str">
        <f t="shared" si="138"/>
        <v>ΠΥΡΗΝΟΚΑΡΠΑΡΟΔΑΚΙΝΑ ΡΟΥΑΓΙΑΛ ΣΑΜΕΡ</v>
      </c>
      <c r="B4253" s="4" t="s">
        <v>7280</v>
      </c>
      <c r="C4253" s="5" t="s">
        <v>8006</v>
      </c>
      <c r="D4253" s="6">
        <v>5895.69</v>
      </c>
      <c r="E4253" s="6">
        <v>5815.34</v>
      </c>
      <c r="F4253" s="7" t="s">
        <v>14</v>
      </c>
      <c r="G4253" s="8" t="s">
        <v>8007</v>
      </c>
      <c r="H4253" s="8" t="s">
        <v>16</v>
      </c>
      <c r="I4253" s="9">
        <v>3125</v>
      </c>
      <c r="J4253" s="10">
        <v>66</v>
      </c>
      <c r="K4253" s="10">
        <v>66356</v>
      </c>
      <c r="L4253" s="3" t="str">
        <f t="shared" si="139"/>
        <v>ΠΥΡΗΝΟΚΑΡΠΑ</v>
      </c>
    </row>
    <row r="4254" spans="1:12" s="3" customFormat="1" ht="15" customHeight="1" x14ac:dyDescent="0.25">
      <c r="A4254" s="3" t="str">
        <f t="shared" si="138"/>
        <v>ΠΥΡΗΝΟΚΑΡΠΑΡΟΔΑΚΙΝΑ ΡΟΥΑΓΙΑΛ ΤΑΙΜ</v>
      </c>
      <c r="B4254" s="4" t="s">
        <v>7280</v>
      </c>
      <c r="C4254" s="5" t="s">
        <v>8008</v>
      </c>
      <c r="D4254" s="6">
        <v>5895.69</v>
      </c>
      <c r="E4254" s="6">
        <v>5815.34</v>
      </c>
      <c r="F4254" s="7" t="s">
        <v>14</v>
      </c>
      <c r="G4254" s="8" t="s">
        <v>8009</v>
      </c>
      <c r="H4254" s="8" t="s">
        <v>16</v>
      </c>
      <c r="I4254" s="9">
        <v>3158</v>
      </c>
      <c r="J4254" s="10">
        <v>66</v>
      </c>
      <c r="K4254" s="10">
        <v>66357</v>
      </c>
      <c r="L4254" s="3" t="str">
        <f t="shared" si="139"/>
        <v>ΠΥΡΗΝΟΚΑΡΠΑ</v>
      </c>
    </row>
    <row r="4255" spans="1:12" s="3" customFormat="1" ht="15" customHeight="1" x14ac:dyDescent="0.25">
      <c r="A4255" s="3" t="str">
        <f t="shared" si="138"/>
        <v>ΠΥΡΗΝΟΚΑΡΠΑΡΟΔΑΚΙΝΑ ΡΟΥΑΓΙΑΛ ΤΖΕΜ</v>
      </c>
      <c r="B4255" s="4" t="s">
        <v>7280</v>
      </c>
      <c r="C4255" s="5" t="s">
        <v>8010</v>
      </c>
      <c r="D4255" s="6">
        <v>5895.69</v>
      </c>
      <c r="E4255" s="6">
        <v>5815.34</v>
      </c>
      <c r="F4255" s="7" t="s">
        <v>14</v>
      </c>
      <c r="G4255" s="8" t="s">
        <v>8011</v>
      </c>
      <c r="H4255" s="8" t="s">
        <v>16</v>
      </c>
      <c r="I4255" s="9">
        <v>3145</v>
      </c>
      <c r="J4255" s="10">
        <v>66</v>
      </c>
      <c r="K4255" s="10">
        <v>66358</v>
      </c>
      <c r="L4255" s="3" t="str">
        <f t="shared" si="139"/>
        <v>ΠΥΡΗΝΟΚΑΡΠΑ</v>
      </c>
    </row>
    <row r="4256" spans="1:12" s="3" customFormat="1" ht="15" customHeight="1" x14ac:dyDescent="0.25">
      <c r="A4256" s="3" t="str">
        <f t="shared" si="138"/>
        <v>ΠΥΡΗΝΟΚΑΡΠΑΡΟΔΑΚΙΝΑ ΣΟΥΙΤ ΝΤΡΙΜ</v>
      </c>
      <c r="B4256" s="4" t="s">
        <v>7280</v>
      </c>
      <c r="C4256" s="5" t="s">
        <v>8012</v>
      </c>
      <c r="D4256" s="6">
        <v>5895.69</v>
      </c>
      <c r="E4256" s="6">
        <v>5815.34</v>
      </c>
      <c r="F4256" s="7" t="s">
        <v>14</v>
      </c>
      <c r="G4256" s="8" t="s">
        <v>8013</v>
      </c>
      <c r="H4256" s="8" t="s">
        <v>16</v>
      </c>
      <c r="I4256" s="9">
        <v>3144</v>
      </c>
      <c r="J4256" s="10">
        <v>66</v>
      </c>
      <c r="K4256" s="10">
        <v>66359</v>
      </c>
      <c r="L4256" s="3" t="str">
        <f t="shared" si="139"/>
        <v>ΠΥΡΗΝΟΚΑΡΠΑ</v>
      </c>
    </row>
    <row r="4257" spans="1:12" s="3" customFormat="1" ht="15" customHeight="1" x14ac:dyDescent="0.25">
      <c r="A4257" s="3" t="str">
        <f t="shared" si="138"/>
        <v>ΠΥΡΗΝΟΚΑΡΠΑΡΟΔΑΚΙΝΑ ΣΟΥΙΤ ΣΚΑΡΛΕΤ</v>
      </c>
      <c r="B4257" s="4" t="s">
        <v>7280</v>
      </c>
      <c r="C4257" s="5" t="s">
        <v>8014</v>
      </c>
      <c r="D4257" s="6">
        <v>5895.69</v>
      </c>
      <c r="E4257" s="6">
        <v>5815.34</v>
      </c>
      <c r="F4257" s="7" t="s">
        <v>14</v>
      </c>
      <c r="G4257" s="8" t="s">
        <v>8015</v>
      </c>
      <c r="H4257" s="8" t="s">
        <v>16</v>
      </c>
      <c r="I4257" s="9">
        <v>3249</v>
      </c>
      <c r="J4257" s="10">
        <v>66</v>
      </c>
      <c r="K4257" s="10">
        <v>66360</v>
      </c>
      <c r="L4257" s="3" t="str">
        <f t="shared" si="139"/>
        <v>ΠΥΡΗΝΟΚΑΡΠΑ</v>
      </c>
    </row>
    <row r="4258" spans="1:12" s="3" customFormat="1" ht="15" customHeight="1" x14ac:dyDescent="0.25">
      <c r="A4258" s="3" t="str">
        <f t="shared" si="138"/>
        <v>ΠΥΡΗΝΟΚΑΡΠΑΡΟΔΑΚΙΝΑ ΤΑΡΝΤΥ ΜΠΕΛ</v>
      </c>
      <c r="B4258" s="4" t="s">
        <v>7280</v>
      </c>
      <c r="C4258" s="5" t="s">
        <v>8016</v>
      </c>
      <c r="D4258" s="6">
        <v>5895.69</v>
      </c>
      <c r="E4258" s="6">
        <v>5815.34</v>
      </c>
      <c r="F4258" s="7" t="s">
        <v>14</v>
      </c>
      <c r="G4258" s="8" t="s">
        <v>8017</v>
      </c>
      <c r="H4258" s="8" t="s">
        <v>16</v>
      </c>
      <c r="I4258" s="9">
        <v>3247</v>
      </c>
      <c r="J4258" s="10">
        <v>66</v>
      </c>
      <c r="K4258" s="10">
        <v>66361</v>
      </c>
      <c r="L4258" s="3" t="str">
        <f t="shared" si="139"/>
        <v>ΠΥΡΗΝΟΚΑΡΠΑ</v>
      </c>
    </row>
    <row r="4259" spans="1:12" s="3" customFormat="1" ht="15" customHeight="1" x14ac:dyDescent="0.25">
      <c r="A4259" s="3" t="str">
        <f t="shared" si="138"/>
        <v>ΠΥΡΗΝΟΚΑΡΠΑΡΟΔΑΚΙΝΑ ΤΕΙΣΤΥ ΡΕΝΤ</v>
      </c>
      <c r="B4259" s="4" t="s">
        <v>7280</v>
      </c>
      <c r="C4259" s="5" t="s">
        <v>8018</v>
      </c>
      <c r="D4259" s="6">
        <v>5895.69</v>
      </c>
      <c r="E4259" s="6">
        <v>5815.34</v>
      </c>
      <c r="F4259" s="7" t="s">
        <v>14</v>
      </c>
      <c r="G4259" s="8" t="s">
        <v>8019</v>
      </c>
      <c r="H4259" s="8" t="s">
        <v>16</v>
      </c>
      <c r="I4259" s="9">
        <v>3276</v>
      </c>
      <c r="J4259" s="10">
        <v>66</v>
      </c>
      <c r="K4259" s="10">
        <v>66362</v>
      </c>
      <c r="L4259" s="3" t="str">
        <f t="shared" si="139"/>
        <v>ΠΥΡΗΝΟΚΑΡΠΑ</v>
      </c>
    </row>
    <row r="4260" spans="1:12" s="3" customFormat="1" ht="15" customHeight="1" x14ac:dyDescent="0.25">
      <c r="A4260" s="3" t="str">
        <f t="shared" si="138"/>
        <v>ΠΥΡΗΝΟΚΑΡΠΑΡΟΔΑΚΙΝΑ ΤΖΑΙΑΝΤ</v>
      </c>
      <c r="B4260" s="4" t="s">
        <v>7280</v>
      </c>
      <c r="C4260" s="5" t="s">
        <v>8020</v>
      </c>
      <c r="D4260" s="6">
        <v>5895.69</v>
      </c>
      <c r="E4260" s="6">
        <v>5815.34</v>
      </c>
      <c r="F4260" s="7" t="s">
        <v>14</v>
      </c>
      <c r="G4260" s="8" t="s">
        <v>8021</v>
      </c>
      <c r="H4260" s="8" t="s">
        <v>16</v>
      </c>
      <c r="I4260" s="9">
        <v>3273</v>
      </c>
      <c r="J4260" s="10">
        <v>66</v>
      </c>
      <c r="K4260" s="10">
        <v>66363</v>
      </c>
      <c r="L4260" s="3" t="str">
        <f t="shared" si="139"/>
        <v>ΠΥΡΗΝΟΚΑΡΠΑ</v>
      </c>
    </row>
    <row r="4261" spans="1:12" s="3" customFormat="1" ht="15" customHeight="1" x14ac:dyDescent="0.25">
      <c r="A4261" s="3" t="str">
        <f t="shared" si="138"/>
        <v>ΠΥΡΗΝΟΚΑΡΠΑΒΕΡΙΚΚΟΚΑ TOYACO (TOMCOT)</v>
      </c>
      <c r="B4261" s="4" t="s">
        <v>7280</v>
      </c>
      <c r="C4261" s="5" t="s">
        <v>8022</v>
      </c>
      <c r="D4261" s="6">
        <v>5895.69</v>
      </c>
      <c r="E4261" s="6">
        <v>5815.34</v>
      </c>
      <c r="F4261" s="7" t="s">
        <v>14</v>
      </c>
      <c r="G4261" s="8" t="s">
        <v>8023</v>
      </c>
      <c r="H4261" s="8" t="s">
        <v>16</v>
      </c>
      <c r="I4261" s="9">
        <v>3271</v>
      </c>
      <c r="J4261" s="10">
        <v>66</v>
      </c>
      <c r="K4261" s="10">
        <v>66364</v>
      </c>
      <c r="L4261" s="3" t="str">
        <f t="shared" si="139"/>
        <v>ΠΥΡΗΝΟΚΑΡΠΑ</v>
      </c>
    </row>
    <row r="4262" spans="1:12" s="3" customFormat="1" ht="15" customHeight="1" x14ac:dyDescent="0.25">
      <c r="A4262" s="3" t="str">
        <f t="shared" si="138"/>
        <v>ΠΥΡΗΝΟΚΑΡΠΑΒΕΡΙΚΚΟΚΑ KIOTO</v>
      </c>
      <c r="B4262" s="4" t="s">
        <v>7280</v>
      </c>
      <c r="C4262" s="5" t="s">
        <v>8024</v>
      </c>
      <c r="D4262" s="6">
        <v>5895.69</v>
      </c>
      <c r="E4262" s="6">
        <v>5815.34</v>
      </c>
      <c r="F4262" s="7" t="s">
        <v>14</v>
      </c>
      <c r="G4262" s="8" t="s">
        <v>8025</v>
      </c>
      <c r="H4262" s="8" t="s">
        <v>16</v>
      </c>
      <c r="I4262" s="9">
        <v>3248</v>
      </c>
      <c r="J4262" s="10">
        <v>66</v>
      </c>
      <c r="K4262" s="10">
        <v>66365</v>
      </c>
      <c r="L4262" s="3" t="str">
        <f t="shared" si="139"/>
        <v>ΠΥΡΗΝΟΚΑΡΠΑ</v>
      </c>
    </row>
    <row r="4263" spans="1:12" s="3" customFormat="1" ht="15" customHeight="1" x14ac:dyDescent="0.25">
      <c r="A4263" s="3" t="str">
        <f t="shared" si="138"/>
        <v>ΠΥΡΗΝΟΚΑΡΠΑΒΕΡΙΚΚΟΚΑ BO 90.610.010 (BORA)</v>
      </c>
      <c r="B4263" s="4" t="s">
        <v>7280</v>
      </c>
      <c r="C4263" s="5" t="s">
        <v>8026</v>
      </c>
      <c r="D4263" s="6">
        <v>5895.69</v>
      </c>
      <c r="E4263" s="6">
        <v>5815.34</v>
      </c>
      <c r="F4263" s="7" t="s">
        <v>14</v>
      </c>
      <c r="G4263" s="8" t="s">
        <v>8027</v>
      </c>
      <c r="H4263" s="8" t="s">
        <v>16</v>
      </c>
      <c r="I4263" s="9">
        <v>3203</v>
      </c>
      <c r="J4263" s="10">
        <v>66</v>
      </c>
      <c r="K4263" s="10">
        <v>66366</v>
      </c>
      <c r="L4263" s="3" t="str">
        <f t="shared" si="139"/>
        <v>ΠΥΡΗΝΟΚΑΡΠΑ</v>
      </c>
    </row>
    <row r="4264" spans="1:12" s="3" customFormat="1" ht="15" customHeight="1" x14ac:dyDescent="0.25">
      <c r="A4264" s="3" t="str">
        <f t="shared" si="138"/>
        <v>ΠΥΡΗΝΟΚΑΡΠΑΒΕΡΙΚΚΟΚΑ FARALIA</v>
      </c>
      <c r="B4264" s="4" t="s">
        <v>7280</v>
      </c>
      <c r="C4264" s="5" t="s">
        <v>8028</v>
      </c>
      <c r="D4264" s="6">
        <v>5895.69</v>
      </c>
      <c r="E4264" s="6">
        <v>5815.34</v>
      </c>
      <c r="F4264" s="7" t="s">
        <v>14</v>
      </c>
      <c r="G4264" s="8" t="s">
        <v>8029</v>
      </c>
      <c r="H4264" s="8" t="s">
        <v>16</v>
      </c>
      <c r="I4264" s="9">
        <v>3222</v>
      </c>
      <c r="J4264" s="10">
        <v>66</v>
      </c>
      <c r="K4264" s="10">
        <v>66367</v>
      </c>
      <c r="L4264" s="3" t="str">
        <f t="shared" si="139"/>
        <v>ΠΥΡΗΝΟΚΑΡΠΑ</v>
      </c>
    </row>
    <row r="4265" spans="1:12" s="3" customFormat="1" ht="15" customHeight="1" x14ac:dyDescent="0.25">
      <c r="A4265" s="3" t="str">
        <f t="shared" si="138"/>
        <v>ΠΥΡΗΝΟΚΑΡΠΑΒΕΡΙΚΚΟΚΑ LADY COT</v>
      </c>
      <c r="B4265" s="4" t="s">
        <v>7280</v>
      </c>
      <c r="C4265" s="5" t="s">
        <v>8030</v>
      </c>
      <c r="D4265" s="6">
        <v>5895.69</v>
      </c>
      <c r="E4265" s="6">
        <v>5815.34</v>
      </c>
      <c r="F4265" s="7" t="s">
        <v>14</v>
      </c>
      <c r="G4265" s="8" t="s">
        <v>8031</v>
      </c>
      <c r="H4265" s="8" t="s">
        <v>16</v>
      </c>
      <c r="I4265" s="9">
        <v>3235</v>
      </c>
      <c r="J4265" s="10">
        <v>66</v>
      </c>
      <c r="K4265" s="10">
        <v>66368</v>
      </c>
      <c r="L4265" s="3" t="str">
        <f t="shared" si="139"/>
        <v>ΠΥΡΗΝΟΚΑΡΠΑ</v>
      </c>
    </row>
    <row r="4266" spans="1:12" s="3" customFormat="1" ht="15" customHeight="1" x14ac:dyDescent="0.25">
      <c r="A4266" s="3" t="str">
        <f t="shared" si="138"/>
        <v>ΠΥΡΗΝΟΚΑΡΠΑΒΕΡΙΚΚΟΚΑ FARDAO</v>
      </c>
      <c r="B4266" s="4" t="s">
        <v>7280</v>
      </c>
      <c r="C4266" s="5" t="s">
        <v>8032</v>
      </c>
      <c r="D4266" s="6">
        <v>5895.69</v>
      </c>
      <c r="E4266" s="6">
        <v>5815.34</v>
      </c>
      <c r="F4266" s="7" t="s">
        <v>14</v>
      </c>
      <c r="G4266" s="8" t="s">
        <v>8033</v>
      </c>
      <c r="H4266" s="8" t="s">
        <v>16</v>
      </c>
      <c r="I4266" s="9">
        <v>3220</v>
      </c>
      <c r="J4266" s="10">
        <v>66</v>
      </c>
      <c r="K4266" s="10">
        <v>66369</v>
      </c>
      <c r="L4266" s="3" t="str">
        <f t="shared" si="139"/>
        <v>ΠΥΡΗΝΟΚΑΡΠΑ</v>
      </c>
    </row>
    <row r="4267" spans="1:12" s="3" customFormat="1" ht="15" customHeight="1" x14ac:dyDescent="0.25">
      <c r="A4267" s="3" t="str">
        <f t="shared" si="138"/>
        <v>ΠΥΡΗΝΟΚΑΡΠΑΚΕΡΑΣΙΑ SUMMIT</v>
      </c>
      <c r="B4267" s="4" t="s">
        <v>7280</v>
      </c>
      <c r="C4267" s="5" t="s">
        <v>8034</v>
      </c>
      <c r="D4267" s="6">
        <v>5895.69</v>
      </c>
      <c r="E4267" s="6">
        <v>5815.34</v>
      </c>
      <c r="F4267" s="7" t="s">
        <v>14</v>
      </c>
      <c r="G4267" s="8" t="s">
        <v>8035</v>
      </c>
      <c r="H4267" s="8" t="s">
        <v>16</v>
      </c>
      <c r="I4267" s="9">
        <v>3250</v>
      </c>
      <c r="J4267" s="10">
        <v>66</v>
      </c>
      <c r="K4267" s="10">
        <v>66370</v>
      </c>
      <c r="L4267" s="3" t="str">
        <f t="shared" si="139"/>
        <v>ΠΥΡΗΝΟΚΑΡΠΑ</v>
      </c>
    </row>
    <row r="4268" spans="1:12" s="3" customFormat="1" ht="15" customHeight="1" x14ac:dyDescent="0.25">
      <c r="A4268" s="3" t="str">
        <f t="shared" si="138"/>
        <v>ΠΥΡΗΝΟΚΑΡΠΑΚΕΡΑΣΙΑ SUMSTE (SAMBA)</v>
      </c>
      <c r="B4268" s="4" t="s">
        <v>7280</v>
      </c>
      <c r="C4268" s="5" t="s">
        <v>8036</v>
      </c>
      <c r="D4268" s="6">
        <v>5895.69</v>
      </c>
      <c r="E4268" s="6">
        <v>5815.34</v>
      </c>
      <c r="F4268" s="7" t="s">
        <v>14</v>
      </c>
      <c r="G4268" s="8" t="s">
        <v>8037</v>
      </c>
      <c r="H4268" s="8" t="s">
        <v>16</v>
      </c>
      <c r="I4268" s="9">
        <v>3218</v>
      </c>
      <c r="J4268" s="10">
        <v>66</v>
      </c>
      <c r="K4268" s="10">
        <v>66371</v>
      </c>
      <c r="L4268" s="3" t="str">
        <f t="shared" si="139"/>
        <v>ΠΥΡΗΝΟΚΑΡΠΑ</v>
      </c>
    </row>
    <row r="4269" spans="1:12" s="3" customFormat="1" ht="15" customHeight="1" x14ac:dyDescent="0.25">
      <c r="A4269" s="3" t="str">
        <f t="shared" si="138"/>
        <v>ΠΥΡΗΝΟΚΑΡΠΑΚΕΡΑΣΙΑ EARLY LORY</v>
      </c>
      <c r="B4269" s="4" t="s">
        <v>7280</v>
      </c>
      <c r="C4269" s="5" t="s">
        <v>8038</v>
      </c>
      <c r="D4269" s="6">
        <v>5895.69</v>
      </c>
      <c r="E4269" s="6">
        <v>5815.34</v>
      </c>
      <c r="F4269" s="7" t="s">
        <v>14</v>
      </c>
      <c r="G4269" s="8" t="s">
        <v>8039</v>
      </c>
      <c r="H4269" s="8" t="s">
        <v>16</v>
      </c>
      <c r="I4269" s="9">
        <v>3217</v>
      </c>
      <c r="J4269" s="10">
        <v>66</v>
      </c>
      <c r="K4269" s="10">
        <v>66372</v>
      </c>
      <c r="L4269" s="3" t="str">
        <f t="shared" si="139"/>
        <v>ΠΥΡΗΝΟΚΑΡΠΑ</v>
      </c>
    </row>
    <row r="4270" spans="1:12" s="3" customFormat="1" ht="15" customHeight="1" x14ac:dyDescent="0.25">
      <c r="A4270" s="3" t="str">
        <f t="shared" si="138"/>
        <v>ΠΥΡΗΝΟΚΑΡΠΑΝΕΚΤΑΡΙΝΙΑ ZAITRETA (RED FALL)</v>
      </c>
      <c r="B4270" s="4" t="s">
        <v>7280</v>
      </c>
      <c r="C4270" s="5" t="s">
        <v>8040</v>
      </c>
      <c r="D4270" s="6">
        <v>5895.69</v>
      </c>
      <c r="E4270" s="6">
        <v>5815.34</v>
      </c>
      <c r="F4270" s="7" t="s">
        <v>14</v>
      </c>
      <c r="G4270" s="8" t="s">
        <v>8041</v>
      </c>
      <c r="H4270" s="8" t="s">
        <v>16</v>
      </c>
      <c r="I4270" s="9">
        <v>3216</v>
      </c>
      <c r="J4270" s="10">
        <v>66</v>
      </c>
      <c r="K4270" s="10">
        <v>66373</v>
      </c>
      <c r="L4270" s="3" t="str">
        <f t="shared" si="139"/>
        <v>ΠΥΡΗΝΟΚΑΡΠΑ</v>
      </c>
    </row>
    <row r="4271" spans="1:12" s="3" customFormat="1" ht="15" customHeight="1" x14ac:dyDescent="0.25">
      <c r="A4271" s="3" t="str">
        <f t="shared" si="138"/>
        <v>ΠΥΡΗΝΟΚΑΡΠΑΡΟΔΑΚΙΝΑ SWEET SCARLET</v>
      </c>
      <c r="B4271" s="4" t="s">
        <v>7280</v>
      </c>
      <c r="C4271" s="5" t="s">
        <v>8042</v>
      </c>
      <c r="D4271" s="6">
        <v>5895.69</v>
      </c>
      <c r="E4271" s="6">
        <v>5815.34</v>
      </c>
      <c r="F4271" s="7" t="s">
        <v>14</v>
      </c>
      <c r="G4271" s="8" t="s">
        <v>8043</v>
      </c>
      <c r="H4271" s="8" t="s">
        <v>16</v>
      </c>
      <c r="I4271" s="9">
        <v>3215</v>
      </c>
      <c r="J4271" s="10">
        <v>66</v>
      </c>
      <c r="K4271" s="10">
        <v>66374</v>
      </c>
      <c r="L4271" s="3" t="str">
        <f t="shared" si="139"/>
        <v>ΠΥΡΗΝΟΚΑΡΠΑ</v>
      </c>
    </row>
    <row r="4272" spans="1:12" s="3" customFormat="1" ht="15" customHeight="1" x14ac:dyDescent="0.25">
      <c r="A4272" s="3" t="str">
        <f t="shared" si="138"/>
        <v>ΠΥΡΗΝΟΚΑΡΠΑΝΕΚΤΑΡΙΝΙΑ BIG BANG</v>
      </c>
      <c r="B4272" s="4" t="s">
        <v>7280</v>
      </c>
      <c r="C4272" s="5" t="s">
        <v>8044</v>
      </c>
      <c r="D4272" s="6">
        <v>5895.69</v>
      </c>
      <c r="E4272" s="6">
        <v>5815.34</v>
      </c>
      <c r="F4272" s="7" t="s">
        <v>14</v>
      </c>
      <c r="G4272" s="8" t="s">
        <v>8045</v>
      </c>
      <c r="H4272" s="8" t="s">
        <v>16</v>
      </c>
      <c r="I4272" s="9">
        <v>3214</v>
      </c>
      <c r="J4272" s="10">
        <v>66</v>
      </c>
      <c r="K4272" s="10">
        <v>66375</v>
      </c>
      <c r="L4272" s="3" t="str">
        <f t="shared" si="139"/>
        <v>ΠΥΡΗΝΟΚΑΡΠΑ</v>
      </c>
    </row>
    <row r="4273" spans="1:12" s="3" customFormat="1" ht="15" customHeight="1" x14ac:dyDescent="0.25">
      <c r="A4273" s="3" t="str">
        <f t="shared" si="138"/>
        <v>ΠΥΡΗΝΟΚΑΡΠΑΒΕΡΙΚΟΚΑ COULOUMINE (ORANGE RUBIS)</v>
      </c>
      <c r="B4273" s="4" t="s">
        <v>7280</v>
      </c>
      <c r="C4273" s="5" t="s">
        <v>8046</v>
      </c>
      <c r="D4273" s="6">
        <v>5895.69</v>
      </c>
      <c r="E4273" s="6">
        <v>5815.34</v>
      </c>
      <c r="F4273" s="7" t="s">
        <v>14</v>
      </c>
      <c r="G4273" s="8" t="s">
        <v>8047</v>
      </c>
      <c r="H4273" s="8" t="s">
        <v>16</v>
      </c>
      <c r="I4273" s="9">
        <v>3202</v>
      </c>
      <c r="J4273" s="10">
        <v>66</v>
      </c>
      <c r="K4273" s="10">
        <v>66376</v>
      </c>
      <c r="L4273" s="3" t="str">
        <f t="shared" si="139"/>
        <v>ΠΥΡΗΝΟΚΑΡΠΑ</v>
      </c>
    </row>
    <row r="4274" spans="1:12" s="3" customFormat="1" ht="15" customHeight="1" x14ac:dyDescent="0.25">
      <c r="A4274" s="3" t="str">
        <f t="shared" si="138"/>
        <v>ΠΥΡΗΝΟΚΑΡΠΑΒΕΡΙΚΟΚΚΑ WONDER COT</v>
      </c>
      <c r="B4274" s="4" t="s">
        <v>7280</v>
      </c>
      <c r="C4274" s="5" t="s">
        <v>8048</v>
      </c>
      <c r="D4274" s="6">
        <v>5895.69</v>
      </c>
      <c r="E4274" s="6">
        <v>5815.34</v>
      </c>
      <c r="F4274" s="7" t="s">
        <v>14</v>
      </c>
      <c r="G4274" s="8" t="s">
        <v>8049</v>
      </c>
      <c r="H4274" s="8" t="s">
        <v>16</v>
      </c>
      <c r="I4274" s="9">
        <v>3212</v>
      </c>
      <c r="J4274" s="10">
        <v>66</v>
      </c>
      <c r="K4274" s="10">
        <v>66377</v>
      </c>
      <c r="L4274" s="3" t="str">
        <f t="shared" si="139"/>
        <v>ΠΥΡΗΝΟΚΑΡΠΑ</v>
      </c>
    </row>
    <row r="4275" spans="1:12" s="3" customFormat="1" ht="15" customHeight="1" x14ac:dyDescent="0.25">
      <c r="A4275" s="3" t="str">
        <f t="shared" si="138"/>
        <v>ΠΥΡΗΝΟΚΑΡΠΑΒΕΡΙΚΚΟΚΑ PRICIA</v>
      </c>
      <c r="B4275" s="4" t="s">
        <v>7280</v>
      </c>
      <c r="C4275" s="5" t="s">
        <v>8050</v>
      </c>
      <c r="D4275" s="6">
        <v>5895.69</v>
      </c>
      <c r="E4275" s="6">
        <v>5815.34</v>
      </c>
      <c r="F4275" s="7" t="s">
        <v>14</v>
      </c>
      <c r="G4275" s="8" t="s">
        <v>8051</v>
      </c>
      <c r="H4275" s="8" t="s">
        <v>16</v>
      </c>
      <c r="I4275" s="9">
        <v>3223</v>
      </c>
      <c r="J4275" s="10">
        <v>66</v>
      </c>
      <c r="K4275" s="10">
        <v>66378</v>
      </c>
      <c r="L4275" s="3" t="str">
        <f t="shared" si="139"/>
        <v>ΠΥΡΗΝΟΚΑΡΠΑ</v>
      </c>
    </row>
    <row r="4276" spans="1:12" s="3" customFormat="1" ht="15" customHeight="1" x14ac:dyDescent="0.25">
      <c r="A4276" s="3" t="str">
        <f t="shared" si="138"/>
        <v>ΠΥΡΗΝΟΚΑΡΠΑΔΑΜΑΣΚΗΝΑ OWEN-T</v>
      </c>
      <c r="B4276" s="4" t="s">
        <v>7280</v>
      </c>
      <c r="C4276" s="5" t="s">
        <v>8052</v>
      </c>
      <c r="D4276" s="6">
        <v>5895.69</v>
      </c>
      <c r="E4276" s="6">
        <v>5815.34</v>
      </c>
      <c r="F4276" s="7" t="s">
        <v>14</v>
      </c>
      <c r="G4276" s="8" t="s">
        <v>8053</v>
      </c>
      <c r="H4276" s="8" t="s">
        <v>16</v>
      </c>
      <c r="I4276" s="9">
        <v>3210</v>
      </c>
      <c r="J4276" s="10">
        <v>66</v>
      </c>
      <c r="K4276" s="10">
        <v>66379</v>
      </c>
      <c r="L4276" s="3" t="str">
        <f t="shared" si="139"/>
        <v>ΠΥΡΗΝΟΚΑΡΠΑ</v>
      </c>
    </row>
    <row r="4277" spans="1:12" s="3" customFormat="1" ht="15" customHeight="1" x14ac:dyDescent="0.25">
      <c r="A4277" s="3" t="str">
        <f t="shared" si="138"/>
        <v>ΠΥΡΗΝΟΚΑΡΠΑΒΕΡΙΚΚΟΚΑ MAGIC COT</v>
      </c>
      <c r="B4277" s="4" t="s">
        <v>7280</v>
      </c>
      <c r="C4277" s="5" t="s">
        <v>8054</v>
      </c>
      <c r="D4277" s="6">
        <v>5895.69</v>
      </c>
      <c r="E4277" s="6">
        <v>5815.34</v>
      </c>
      <c r="F4277" s="7" t="s">
        <v>14</v>
      </c>
      <c r="G4277" s="8" t="s">
        <v>8055</v>
      </c>
      <c r="H4277" s="8" t="s">
        <v>16</v>
      </c>
      <c r="I4277" s="9">
        <v>3209</v>
      </c>
      <c r="J4277" s="10">
        <v>66</v>
      </c>
      <c r="K4277" s="10">
        <v>66380</v>
      </c>
      <c r="L4277" s="3" t="str">
        <f t="shared" si="139"/>
        <v>ΠΥΡΗΝΟΚΑΡΠΑ</v>
      </c>
    </row>
    <row r="4278" spans="1:12" s="3" customFormat="1" ht="15" customHeight="1" x14ac:dyDescent="0.25">
      <c r="A4278" s="3" t="str">
        <f t="shared" si="138"/>
        <v>ΠΥΡΗΝΟΚΑΡΠΑΒΕΡΙΚΚΟΚΑ LILLY COT</v>
      </c>
      <c r="B4278" s="4" t="s">
        <v>7280</v>
      </c>
      <c r="C4278" s="5" t="s">
        <v>8056</v>
      </c>
      <c r="D4278" s="6">
        <v>5895.69</v>
      </c>
      <c r="E4278" s="6">
        <v>5815.34</v>
      </c>
      <c r="F4278" s="7" t="s">
        <v>14</v>
      </c>
      <c r="G4278" s="8" t="s">
        <v>8057</v>
      </c>
      <c r="H4278" s="8" t="s">
        <v>16</v>
      </c>
      <c r="I4278" s="9">
        <v>3208</v>
      </c>
      <c r="J4278" s="10">
        <v>66</v>
      </c>
      <c r="K4278" s="10">
        <v>66381</v>
      </c>
      <c r="L4278" s="3" t="str">
        <f t="shared" si="139"/>
        <v>ΠΥΡΗΝΟΚΑΡΠΑ</v>
      </c>
    </row>
    <row r="4279" spans="1:12" s="3" customFormat="1" ht="15" customHeight="1" x14ac:dyDescent="0.25">
      <c r="A4279" s="3" t="str">
        <f t="shared" si="138"/>
        <v>ΠΥΡΗΝΟΚΑΡΠΑΡΟΔΑΚΙΝΑ RED STAR</v>
      </c>
      <c r="B4279" s="4" t="s">
        <v>7280</v>
      </c>
      <c r="C4279" s="5" t="s">
        <v>8058</v>
      </c>
      <c r="D4279" s="6">
        <v>5895.69</v>
      </c>
      <c r="E4279" s="6">
        <v>5815.34</v>
      </c>
      <c r="F4279" s="7" t="s">
        <v>14</v>
      </c>
      <c r="G4279" s="8" t="s">
        <v>8059</v>
      </c>
      <c r="H4279" s="8" t="s">
        <v>16</v>
      </c>
      <c r="I4279" s="9">
        <v>3207</v>
      </c>
      <c r="J4279" s="10">
        <v>66</v>
      </c>
      <c r="K4279" s="10">
        <v>66382</v>
      </c>
      <c r="L4279" s="3" t="str">
        <f t="shared" si="139"/>
        <v>ΠΥΡΗΝΟΚΑΡΠΑ</v>
      </c>
    </row>
    <row r="4280" spans="1:12" s="3" customFormat="1" ht="15" customHeight="1" x14ac:dyDescent="0.25">
      <c r="A4280" s="3" t="str">
        <f t="shared" si="138"/>
        <v>ΠΥΡΗΝΟΚΑΡΠΑΡΟΔΑΚΙΝΑ SUMMER LADY</v>
      </c>
      <c r="B4280" s="4" t="s">
        <v>7280</v>
      </c>
      <c r="C4280" s="5" t="s">
        <v>8060</v>
      </c>
      <c r="D4280" s="6">
        <v>5895.69</v>
      </c>
      <c r="E4280" s="6">
        <v>5815.34</v>
      </c>
      <c r="F4280" s="7" t="s">
        <v>14</v>
      </c>
      <c r="G4280" s="8" t="s">
        <v>8061</v>
      </c>
      <c r="H4280" s="8" t="s">
        <v>16</v>
      </c>
      <c r="I4280" s="9">
        <v>3206</v>
      </c>
      <c r="J4280" s="10">
        <v>66</v>
      </c>
      <c r="K4280" s="10">
        <v>66383</v>
      </c>
      <c r="L4280" s="3" t="str">
        <f t="shared" si="139"/>
        <v>ΠΥΡΗΝΟΚΑΡΠΑ</v>
      </c>
    </row>
    <row r="4281" spans="1:12" s="3" customFormat="1" ht="15" customHeight="1" x14ac:dyDescent="0.25">
      <c r="A4281" s="3" t="str">
        <f t="shared" si="138"/>
        <v>ΠΥΡΗΝΟΚΑΡΠΑΝΕΚΤΑΡΙΝΙΑ GEA</v>
      </c>
      <c r="B4281" s="4" t="s">
        <v>7280</v>
      </c>
      <c r="C4281" s="5" t="s">
        <v>8062</v>
      </c>
      <c r="D4281" s="6">
        <v>5895.69</v>
      </c>
      <c r="E4281" s="6">
        <v>5815.34</v>
      </c>
      <c r="F4281" s="7" t="s">
        <v>14</v>
      </c>
      <c r="G4281" s="8" t="s">
        <v>8063</v>
      </c>
      <c r="H4281" s="8" t="s">
        <v>16</v>
      </c>
      <c r="I4281" s="9">
        <v>3205</v>
      </c>
      <c r="J4281" s="10">
        <v>66</v>
      </c>
      <c r="K4281" s="10">
        <v>66384</v>
      </c>
      <c r="L4281" s="3" t="str">
        <f t="shared" si="139"/>
        <v>ΠΥΡΗΝΟΚΑΡΠΑ</v>
      </c>
    </row>
    <row r="4282" spans="1:12" s="3" customFormat="1" ht="15" customHeight="1" x14ac:dyDescent="0.25">
      <c r="A4282" s="3" t="str">
        <f t="shared" si="138"/>
        <v>ΠΥΡΗΝΟΚΑΡΠΑΝΕΚΤΑΡΙΝΙΑ AMIGA</v>
      </c>
      <c r="B4282" s="4" t="s">
        <v>7280</v>
      </c>
      <c r="C4282" s="5" t="s">
        <v>8064</v>
      </c>
      <c r="D4282" s="6">
        <v>5895.69</v>
      </c>
      <c r="E4282" s="6">
        <v>5815.34</v>
      </c>
      <c r="F4282" s="7" t="s">
        <v>14</v>
      </c>
      <c r="G4282" s="8" t="s">
        <v>8065</v>
      </c>
      <c r="H4282" s="8" t="s">
        <v>16</v>
      </c>
      <c r="I4282" s="9">
        <v>3204</v>
      </c>
      <c r="J4282" s="10">
        <v>66</v>
      </c>
      <c r="K4282" s="10">
        <v>66385</v>
      </c>
      <c r="L4282" s="3" t="str">
        <f t="shared" si="139"/>
        <v>ΠΥΡΗΝΟΚΑΡΠΑ</v>
      </c>
    </row>
    <row r="4283" spans="1:12" s="3" customFormat="1" ht="15" customHeight="1" x14ac:dyDescent="0.25">
      <c r="A4283" s="3" t="str">
        <f t="shared" si="138"/>
        <v>ΠΥΡΗΝΟΚΑΡΠΑΝΕΚΤΑΡΙΝΙΑ BLACKRED VI (BLACK RUBY)</v>
      </c>
      <c r="B4283" s="4" t="s">
        <v>7280</v>
      </c>
      <c r="C4283" s="5" t="s">
        <v>8066</v>
      </c>
      <c r="D4283" s="6">
        <v>5895.69</v>
      </c>
      <c r="E4283" s="6">
        <v>5815.34</v>
      </c>
      <c r="F4283" s="7" t="s">
        <v>14</v>
      </c>
      <c r="G4283" s="8" t="s">
        <v>8067</v>
      </c>
      <c r="H4283" s="8" t="s">
        <v>16</v>
      </c>
      <c r="I4283" s="9">
        <v>3233</v>
      </c>
      <c r="J4283" s="10">
        <v>66</v>
      </c>
      <c r="K4283" s="10">
        <v>66386</v>
      </c>
      <c r="L4283" s="3" t="str">
        <f t="shared" si="139"/>
        <v>ΠΥΡΗΝΟΚΑΡΠΑ</v>
      </c>
    </row>
    <row r="4284" spans="1:12" s="3" customFormat="1" ht="15" customHeight="1" x14ac:dyDescent="0.25">
      <c r="A4284" s="3" t="str">
        <f t="shared" si="138"/>
        <v>ΠΥΡΗΝΟΚΑΡΠΑΚΕΡΑΣΙΑ SUMNUE (CRISTALINA)</v>
      </c>
      <c r="B4284" s="4" t="s">
        <v>7280</v>
      </c>
      <c r="C4284" s="5" t="s">
        <v>8068</v>
      </c>
      <c r="D4284" s="6">
        <v>5895.69</v>
      </c>
      <c r="E4284" s="6">
        <v>5815.34</v>
      </c>
      <c r="F4284" s="7" t="s">
        <v>14</v>
      </c>
      <c r="G4284" s="8" t="s">
        <v>8069</v>
      </c>
      <c r="H4284" s="8" t="s">
        <v>16</v>
      </c>
      <c r="I4284" s="9">
        <v>3211</v>
      </c>
      <c r="J4284" s="10">
        <v>66</v>
      </c>
      <c r="K4284" s="10">
        <v>66387</v>
      </c>
      <c r="L4284" s="3" t="str">
        <f t="shared" si="139"/>
        <v>ΠΥΡΗΝΟΚΑΡΠΑ</v>
      </c>
    </row>
    <row r="4285" spans="1:12" s="3" customFormat="1" ht="15" customHeight="1" x14ac:dyDescent="0.25">
      <c r="A4285" s="3" t="str">
        <f t="shared" si="138"/>
        <v>ΠΥΡΗΝΟΚΑΡΠΑΚΕΡΑΣΙΑ MARIANT (GIANT RED)</v>
      </c>
      <c r="B4285" s="4" t="s">
        <v>7280</v>
      </c>
      <c r="C4285" s="5" t="s">
        <v>8070</v>
      </c>
      <c r="D4285" s="6">
        <v>5895.69</v>
      </c>
      <c r="E4285" s="6">
        <v>5815.34</v>
      </c>
      <c r="F4285" s="7" t="s">
        <v>14</v>
      </c>
      <c r="G4285" s="8" t="s">
        <v>8071</v>
      </c>
      <c r="H4285" s="8" t="s">
        <v>16</v>
      </c>
      <c r="I4285" s="9">
        <v>3213</v>
      </c>
      <c r="J4285" s="10">
        <v>66</v>
      </c>
      <c r="K4285" s="10">
        <v>66388</v>
      </c>
      <c r="L4285" s="3" t="str">
        <f t="shared" si="139"/>
        <v>ΠΥΡΗΝΟΚΑΡΠΑ</v>
      </c>
    </row>
    <row r="4286" spans="1:12" s="3" customFormat="1" ht="15" customHeight="1" x14ac:dyDescent="0.25">
      <c r="A4286" s="3" t="str">
        <f t="shared" si="138"/>
        <v>ΠΥΡΗΝΟΚΑΡΠΑΒΕΡΙΚΟΚΑ FARBALY</v>
      </c>
      <c r="B4286" s="4" t="s">
        <v>7280</v>
      </c>
      <c r="C4286" s="5" t="s">
        <v>8072</v>
      </c>
      <c r="D4286" s="6">
        <v>5895.69</v>
      </c>
      <c r="E4286" s="6">
        <v>5815.34</v>
      </c>
      <c r="F4286" s="7" t="s">
        <v>14</v>
      </c>
      <c r="G4286" s="8" t="s">
        <v>8073</v>
      </c>
      <c r="H4286" s="8" t="s">
        <v>16</v>
      </c>
      <c r="I4286" s="9">
        <v>3244</v>
      </c>
      <c r="J4286" s="10">
        <v>66</v>
      </c>
      <c r="K4286" s="10">
        <v>66389</v>
      </c>
      <c r="L4286" s="3" t="str">
        <f t="shared" si="139"/>
        <v>ΠΥΡΗΝΟΚΑΡΠΑ</v>
      </c>
    </row>
    <row r="4287" spans="1:12" s="3" customFormat="1" ht="15" customHeight="1" x14ac:dyDescent="0.25">
      <c r="A4287" s="3" t="str">
        <f t="shared" si="138"/>
        <v>ΠΥΡΗΝΟΚΑΡΠΑΒΕΡΙΚΟΚΑ IPSE140 (RUBISTA)</v>
      </c>
      <c r="B4287" s="4" t="s">
        <v>7280</v>
      </c>
      <c r="C4287" s="5" t="s">
        <v>8074</v>
      </c>
      <c r="D4287" s="6">
        <v>5895.69</v>
      </c>
      <c r="E4287" s="6">
        <v>5815.34</v>
      </c>
      <c r="F4287" s="7" t="s">
        <v>14</v>
      </c>
      <c r="G4287" s="8" t="s">
        <v>8075</v>
      </c>
      <c r="H4287" s="8" t="s">
        <v>16</v>
      </c>
      <c r="I4287" s="9">
        <v>3243</v>
      </c>
      <c r="J4287" s="10">
        <v>66</v>
      </c>
      <c r="K4287" s="10">
        <v>66390</v>
      </c>
      <c r="L4287" s="3" t="str">
        <f t="shared" si="139"/>
        <v>ΠΥΡΗΝΟΚΑΡΠΑ</v>
      </c>
    </row>
    <row r="4288" spans="1:12" s="3" customFormat="1" ht="15" customHeight="1" x14ac:dyDescent="0.25">
      <c r="A4288" s="3" t="str">
        <f t="shared" si="138"/>
        <v>ΠΥΡΗΝΟΚΑΡΠΑΒΕΡΙΚΟΚΑ MOGADOR</v>
      </c>
      <c r="B4288" s="4" t="s">
        <v>7280</v>
      </c>
      <c r="C4288" s="5" t="s">
        <v>8076</v>
      </c>
      <c r="D4288" s="6">
        <v>5895.69</v>
      </c>
      <c r="E4288" s="6">
        <v>5815.34</v>
      </c>
      <c r="F4288" s="7" t="s">
        <v>14</v>
      </c>
      <c r="G4288" s="8" t="s">
        <v>8077</v>
      </c>
      <c r="H4288" s="8" t="s">
        <v>16</v>
      </c>
      <c r="I4288" s="9">
        <v>3237</v>
      </c>
      <c r="J4288" s="10">
        <v>66</v>
      </c>
      <c r="K4288" s="10">
        <v>66391</v>
      </c>
      <c r="L4288" s="3" t="str">
        <f t="shared" si="139"/>
        <v>ΠΥΡΗΝΟΚΑΡΠΑ</v>
      </c>
    </row>
    <row r="4289" spans="1:12" s="3" customFormat="1" ht="15" customHeight="1" x14ac:dyDescent="0.25">
      <c r="A4289" s="3" t="str">
        <f t="shared" si="138"/>
        <v>ΠΥΡΗΝΟΚΑΡΠΑΡΟΔΑΚΙΝΑ ROSA DEL WEST</v>
      </c>
      <c r="B4289" s="4" t="s">
        <v>7280</v>
      </c>
      <c r="C4289" s="5" t="s">
        <v>8078</v>
      </c>
      <c r="D4289" s="6">
        <v>5895.69</v>
      </c>
      <c r="E4289" s="6">
        <v>5815.34</v>
      </c>
      <c r="F4289" s="7" t="s">
        <v>14</v>
      </c>
      <c r="G4289" s="8" t="s">
        <v>8079</v>
      </c>
      <c r="H4289" s="8" t="s">
        <v>16</v>
      </c>
      <c r="I4289" s="9">
        <v>3236</v>
      </c>
      <c r="J4289" s="10">
        <v>66</v>
      </c>
      <c r="K4289" s="10">
        <v>66392</v>
      </c>
      <c r="L4289" s="3" t="str">
        <f t="shared" si="139"/>
        <v>ΠΥΡΗΝΟΚΑΡΠΑ</v>
      </c>
    </row>
    <row r="4290" spans="1:12" s="3" customFormat="1" ht="15" customHeight="1" x14ac:dyDescent="0.25">
      <c r="A4290" s="3" t="str">
        <f t="shared" si="138"/>
        <v>ΠΥΡΗΝΟΚΑΡΠΑΡΟΔΑΚΙΝΑ SAGITTARIA</v>
      </c>
      <c r="B4290" s="4" t="s">
        <v>7280</v>
      </c>
      <c r="C4290" s="5" t="s">
        <v>8080</v>
      </c>
      <c r="D4290" s="6">
        <v>5895.69</v>
      </c>
      <c r="E4290" s="6">
        <v>5815.34</v>
      </c>
      <c r="F4290" s="7" t="s">
        <v>14</v>
      </c>
      <c r="G4290" s="8" t="s">
        <v>8081</v>
      </c>
      <c r="H4290" s="8" t="s">
        <v>16</v>
      </c>
      <c r="I4290" s="9">
        <v>3224</v>
      </c>
      <c r="J4290" s="10">
        <v>66</v>
      </c>
      <c r="K4290" s="10">
        <v>66393</v>
      </c>
      <c r="L4290" s="3" t="str">
        <f t="shared" si="139"/>
        <v>ΠΥΡΗΝΟΚΑΡΠΑ</v>
      </c>
    </row>
    <row r="4291" spans="1:12" s="3" customFormat="1" ht="15" customHeight="1" x14ac:dyDescent="0.25">
      <c r="A4291" s="3" t="str">
        <f t="shared" ref="A4291:A4354" si="140">_xlfn.CONCAT(B4291,C4291)</f>
        <v>ΠΥΡΗΝΟΚΑΡΠΑΡΟΔΑΚΙΝΑ PRO511 (VICO)</v>
      </c>
      <c r="B4291" s="4" t="s">
        <v>7280</v>
      </c>
      <c r="C4291" s="5" t="s">
        <v>8082</v>
      </c>
      <c r="D4291" s="6">
        <v>5895.69</v>
      </c>
      <c r="E4291" s="6">
        <v>5815.34</v>
      </c>
      <c r="F4291" s="7" t="s">
        <v>14</v>
      </c>
      <c r="G4291" s="8" t="s">
        <v>8083</v>
      </c>
      <c r="H4291" s="8" t="s">
        <v>16</v>
      </c>
      <c r="I4291" s="9">
        <v>3234</v>
      </c>
      <c r="J4291" s="10">
        <v>66</v>
      </c>
      <c r="K4291" s="10">
        <v>66394</v>
      </c>
      <c r="L4291" s="3" t="str">
        <f t="shared" ref="L4291:L4354" si="141">IFERROR(SUBSTITUTE(SUBSTITUTE(SUBSTITUTE(SUBSTITUTE(SUBSTITUTE(B4291, "-", "_"), " ", "_"), ",", ""), "(", ""), ")", ""), B4291)</f>
        <v>ΠΥΡΗΝΟΚΑΡΠΑ</v>
      </c>
    </row>
    <row r="4292" spans="1:12" s="3" customFormat="1" ht="15" customHeight="1" x14ac:dyDescent="0.25">
      <c r="A4292" s="3" t="str">
        <f t="shared" si="140"/>
        <v>ΠΥΡΗΝΟΚΑΡΠΑΡΟΔΑΚΙΝΑ PRO_513 (SEGRE)</v>
      </c>
      <c r="B4292" s="4" t="s">
        <v>7280</v>
      </c>
      <c r="C4292" s="5" t="s">
        <v>8084</v>
      </c>
      <c r="D4292" s="6">
        <v>5895.69</v>
      </c>
      <c r="E4292" s="6">
        <v>5815.34</v>
      </c>
      <c r="F4292" s="7" t="s">
        <v>14</v>
      </c>
      <c r="G4292" s="8" t="s">
        <v>8085</v>
      </c>
      <c r="H4292" s="8" t="s">
        <v>16</v>
      </c>
      <c r="I4292" s="9">
        <v>3030</v>
      </c>
      <c r="J4292" s="10">
        <v>66</v>
      </c>
      <c r="K4292" s="10">
        <v>66395</v>
      </c>
      <c r="L4292" s="3" t="str">
        <f t="shared" si="141"/>
        <v>ΠΥΡΗΝΟΚΑΡΠΑ</v>
      </c>
    </row>
    <row r="4293" spans="1:12" s="3" customFormat="1" ht="15" customHeight="1" x14ac:dyDescent="0.25">
      <c r="A4293" s="3" t="str">
        <f t="shared" si="140"/>
        <v>ΠΥΡΗΝΟΚΑΡΠΑΡΟΔΑΚΙΝΑ PRO_C_17 (SILOS)</v>
      </c>
      <c r="B4293" s="4" t="s">
        <v>7280</v>
      </c>
      <c r="C4293" s="5" t="s">
        <v>8086</v>
      </c>
      <c r="D4293" s="6">
        <v>5895.69</v>
      </c>
      <c r="E4293" s="6">
        <v>5815.34</v>
      </c>
      <c r="F4293" s="7" t="s">
        <v>14</v>
      </c>
      <c r="G4293" s="8" t="s">
        <v>8087</v>
      </c>
      <c r="H4293" s="8" t="s">
        <v>16</v>
      </c>
      <c r="I4293" s="9">
        <v>2783</v>
      </c>
      <c r="J4293" s="10">
        <v>66</v>
      </c>
      <c r="K4293" s="10">
        <v>66396</v>
      </c>
      <c r="L4293" s="3" t="str">
        <f t="shared" si="141"/>
        <v>ΠΥΡΗΝΟΚΑΡΠΑ</v>
      </c>
    </row>
    <row r="4294" spans="1:12" s="3" customFormat="1" ht="15" customHeight="1" x14ac:dyDescent="0.25">
      <c r="A4294" s="3" t="str">
        <f t="shared" si="140"/>
        <v>ΠΥΡΗΝΟΚΑΡΠΑΡΟΔΑΚΙΝΑ PRO_520 (CINCA)</v>
      </c>
      <c r="B4294" s="4" t="s">
        <v>7280</v>
      </c>
      <c r="C4294" s="5" t="s">
        <v>8088</v>
      </c>
      <c r="D4294" s="6">
        <v>5895.69</v>
      </c>
      <c r="E4294" s="6">
        <v>5815.34</v>
      </c>
      <c r="F4294" s="7" t="s">
        <v>14</v>
      </c>
      <c r="G4294" s="8" t="s">
        <v>8089</v>
      </c>
      <c r="H4294" s="8" t="s">
        <v>16</v>
      </c>
      <c r="I4294" s="9">
        <v>2801</v>
      </c>
      <c r="J4294" s="10">
        <v>66</v>
      </c>
      <c r="K4294" s="10">
        <v>66397</v>
      </c>
      <c r="L4294" s="3" t="str">
        <f t="shared" si="141"/>
        <v>ΠΥΡΗΝΟΚΑΡΠΑ</v>
      </c>
    </row>
    <row r="4295" spans="1:12" s="3" customFormat="1" ht="15" customHeight="1" x14ac:dyDescent="0.25">
      <c r="A4295" s="3" t="str">
        <f t="shared" si="140"/>
        <v>ΠΥΡΗΝΟΚΑΡΠΑΡΟΔΑΚΙΝΑ PRO_C_67 (YUSO)</v>
      </c>
      <c r="B4295" s="4" t="s">
        <v>7280</v>
      </c>
      <c r="C4295" s="5" t="s">
        <v>8090</v>
      </c>
      <c r="D4295" s="6">
        <v>5895.69</v>
      </c>
      <c r="E4295" s="6">
        <v>5815.34</v>
      </c>
      <c r="F4295" s="7" t="s">
        <v>14</v>
      </c>
      <c r="G4295" s="8" t="s">
        <v>8091</v>
      </c>
      <c r="H4295" s="8" t="s">
        <v>16</v>
      </c>
      <c r="I4295" s="9">
        <v>2802</v>
      </c>
      <c r="J4295" s="10">
        <v>66</v>
      </c>
      <c r="K4295" s="10">
        <v>66398</v>
      </c>
      <c r="L4295" s="3" t="str">
        <f t="shared" si="141"/>
        <v>ΠΥΡΗΝΟΚΑΡΠΑ</v>
      </c>
    </row>
    <row r="4296" spans="1:12" s="3" customFormat="1" ht="15" customHeight="1" x14ac:dyDescent="0.25">
      <c r="A4296" s="3" t="str">
        <f t="shared" si="140"/>
        <v>ΠΥΡΗΝΟΚΑΡΠΑΡΟΔΑΚΙΝΑ PRO 545 (JERTE)</v>
      </c>
      <c r="B4296" s="4" t="s">
        <v>7280</v>
      </c>
      <c r="C4296" s="5" t="s">
        <v>8092</v>
      </c>
      <c r="D4296" s="6">
        <v>5895.69</v>
      </c>
      <c r="E4296" s="6">
        <v>5815.34</v>
      </c>
      <c r="F4296" s="7" t="s">
        <v>14</v>
      </c>
      <c r="G4296" s="8" t="s">
        <v>8093</v>
      </c>
      <c r="H4296" s="8" t="s">
        <v>16</v>
      </c>
      <c r="I4296" s="9">
        <v>2803</v>
      </c>
      <c r="J4296" s="10">
        <v>66</v>
      </c>
      <c r="K4296" s="10">
        <v>66399</v>
      </c>
      <c r="L4296" s="3" t="str">
        <f t="shared" si="141"/>
        <v>ΠΥΡΗΝΟΚΑΡΠΑ</v>
      </c>
    </row>
    <row r="4297" spans="1:12" s="3" customFormat="1" ht="15" customHeight="1" x14ac:dyDescent="0.25">
      <c r="A4297" s="3" t="str">
        <f t="shared" si="140"/>
        <v>ΠΥΡΗΝΟΚΑΡΠΑΡΟΔΑΚΙΝΑ PRO 561 (EBRO)</v>
      </c>
      <c r="B4297" s="4" t="s">
        <v>7280</v>
      </c>
      <c r="C4297" s="5" t="s">
        <v>8094</v>
      </c>
      <c r="D4297" s="6">
        <v>5895.69</v>
      </c>
      <c r="E4297" s="6">
        <v>5815.34</v>
      </c>
      <c r="F4297" s="7" t="s">
        <v>14</v>
      </c>
      <c r="G4297" s="8" t="s">
        <v>8095</v>
      </c>
      <c r="H4297" s="8" t="s">
        <v>16</v>
      </c>
      <c r="I4297" s="9">
        <v>2804</v>
      </c>
      <c r="J4297" s="10">
        <v>66</v>
      </c>
      <c r="K4297" s="10">
        <v>66400</v>
      </c>
      <c r="L4297" s="3" t="str">
        <f t="shared" si="141"/>
        <v>ΠΥΡΗΝΟΚΑΡΠΑ</v>
      </c>
    </row>
    <row r="4298" spans="1:12" s="3" customFormat="1" ht="15" customHeight="1" x14ac:dyDescent="0.25">
      <c r="A4298" s="3" t="str">
        <f t="shared" si="140"/>
        <v>ΠΥΡΗΝΟΚΑΡΠΑΡΟΔΑΚΙΝΑ PRO 796 (DUERO)</v>
      </c>
      <c r="B4298" s="4" t="s">
        <v>7280</v>
      </c>
      <c r="C4298" s="5" t="s">
        <v>8096</v>
      </c>
      <c r="D4298" s="6">
        <v>5895.69</v>
      </c>
      <c r="E4298" s="6">
        <v>5815.34</v>
      </c>
      <c r="F4298" s="7" t="s">
        <v>14</v>
      </c>
      <c r="G4298" s="8" t="s">
        <v>8097</v>
      </c>
      <c r="H4298" s="8" t="s">
        <v>16</v>
      </c>
      <c r="I4298" s="9">
        <v>2805</v>
      </c>
      <c r="J4298" s="10">
        <v>66</v>
      </c>
      <c r="K4298" s="10">
        <v>66401</v>
      </c>
      <c r="L4298" s="3" t="str">
        <f t="shared" si="141"/>
        <v>ΠΥΡΗΝΟΚΑΡΠΑ</v>
      </c>
    </row>
    <row r="4299" spans="1:12" s="3" customFormat="1" ht="15" customHeight="1" x14ac:dyDescent="0.25">
      <c r="A4299" s="3" t="str">
        <f t="shared" si="140"/>
        <v>ΠΥΡΗΝΟΚΑΡΠΑΡΟΔΑΚΙΝΑ PRO 798 (TIETAR)</v>
      </c>
      <c r="B4299" s="4" t="s">
        <v>7280</v>
      </c>
      <c r="C4299" s="5" t="s">
        <v>8098</v>
      </c>
      <c r="D4299" s="6">
        <v>5895.69</v>
      </c>
      <c r="E4299" s="6">
        <v>5815.34</v>
      </c>
      <c r="F4299" s="7" t="s">
        <v>14</v>
      </c>
      <c r="G4299" s="8" t="s">
        <v>8099</v>
      </c>
      <c r="H4299" s="8" t="s">
        <v>16</v>
      </c>
      <c r="I4299" s="9">
        <v>2806</v>
      </c>
      <c r="J4299" s="10">
        <v>66</v>
      </c>
      <c r="K4299" s="10">
        <v>66402</v>
      </c>
      <c r="L4299" s="3" t="str">
        <f t="shared" si="141"/>
        <v>ΠΥΡΗΝΟΚΑΡΠΑ</v>
      </c>
    </row>
    <row r="4300" spans="1:12" s="3" customFormat="1" ht="15" customHeight="1" x14ac:dyDescent="0.25">
      <c r="A4300" s="3" t="str">
        <f t="shared" si="140"/>
        <v>ΠΥΡΗΝΟΚΑΡΠΑΝΕΚΤΑΡΙΝΙΑ HONEY BLAZE</v>
      </c>
      <c r="B4300" s="4" t="s">
        <v>7280</v>
      </c>
      <c r="C4300" s="5" t="s">
        <v>8100</v>
      </c>
      <c r="D4300" s="6">
        <v>5895.69</v>
      </c>
      <c r="E4300" s="6">
        <v>5815.34</v>
      </c>
      <c r="F4300" s="7" t="s">
        <v>14</v>
      </c>
      <c r="G4300" s="8" t="s">
        <v>8101</v>
      </c>
      <c r="H4300" s="8" t="s">
        <v>16</v>
      </c>
      <c r="I4300" s="9">
        <v>2807</v>
      </c>
      <c r="J4300" s="10">
        <v>66</v>
      </c>
      <c r="K4300" s="10">
        <v>66403</v>
      </c>
      <c r="L4300" s="3" t="str">
        <f t="shared" si="141"/>
        <v>ΠΥΡΗΝΟΚΑΡΠΑ</v>
      </c>
    </row>
    <row r="4301" spans="1:12" s="3" customFormat="1" ht="15" customHeight="1" x14ac:dyDescent="0.25">
      <c r="A4301" s="3" t="str">
        <f t="shared" si="140"/>
        <v>ΠΥΡΗΝΟΚΑΡΠΑΔΑΜΑΣΚΗΝΑ BLACK_SPLENDOR</v>
      </c>
      <c r="B4301" s="4" t="s">
        <v>7280</v>
      </c>
      <c r="C4301" s="5" t="s">
        <v>8102</v>
      </c>
      <c r="D4301" s="6">
        <v>5895.69</v>
      </c>
      <c r="E4301" s="6">
        <v>5815.34</v>
      </c>
      <c r="F4301" s="7" t="s">
        <v>14</v>
      </c>
      <c r="G4301" s="8" t="s">
        <v>8103</v>
      </c>
      <c r="H4301" s="8" t="s">
        <v>16</v>
      </c>
      <c r="I4301" s="9">
        <v>2777</v>
      </c>
      <c r="J4301" s="10">
        <v>66</v>
      </c>
      <c r="K4301" s="10">
        <v>66404</v>
      </c>
      <c r="L4301" s="3" t="str">
        <f t="shared" si="141"/>
        <v>ΠΥΡΗΝΟΚΑΡΠΑ</v>
      </c>
    </row>
    <row r="4302" spans="1:12" s="3" customFormat="1" ht="15" customHeight="1" x14ac:dyDescent="0.25">
      <c r="A4302" s="3" t="str">
        <f t="shared" si="140"/>
        <v>ΠΥΡΗΝΟΚΑΡΠΑΝΕΚΤΑΡΙΝΙΑ ZAISIRLY (ROYAL QUEEN)</v>
      </c>
      <c r="B4302" s="4" t="s">
        <v>7280</v>
      </c>
      <c r="C4302" s="5" t="s">
        <v>8104</v>
      </c>
      <c r="D4302" s="6">
        <v>5895.69</v>
      </c>
      <c r="E4302" s="6">
        <v>5815.34</v>
      </c>
      <c r="F4302" s="7" t="s">
        <v>14</v>
      </c>
      <c r="G4302" s="8" t="s">
        <v>8105</v>
      </c>
      <c r="H4302" s="8" t="s">
        <v>16</v>
      </c>
      <c r="I4302" s="9">
        <v>2809</v>
      </c>
      <c r="J4302" s="10">
        <v>66</v>
      </c>
      <c r="K4302" s="10">
        <v>66405</v>
      </c>
      <c r="L4302" s="3" t="str">
        <f t="shared" si="141"/>
        <v>ΠΥΡΗΝΟΚΑΡΠΑ</v>
      </c>
    </row>
    <row r="4303" spans="1:12" s="3" customFormat="1" ht="15" customHeight="1" x14ac:dyDescent="0.25">
      <c r="A4303" s="3" t="str">
        <f t="shared" si="140"/>
        <v>ΠΥΡΗΝΟΚΑΡΠΑΒΕΡΙΚΟΚΑ FARLIS</v>
      </c>
      <c r="B4303" s="4" t="s">
        <v>7280</v>
      </c>
      <c r="C4303" s="5" t="s">
        <v>8106</v>
      </c>
      <c r="D4303" s="6">
        <v>5895.69</v>
      </c>
      <c r="E4303" s="6">
        <v>5815.34</v>
      </c>
      <c r="F4303" s="7" t="s">
        <v>14</v>
      </c>
      <c r="G4303" s="8" t="s">
        <v>8107</v>
      </c>
      <c r="H4303" s="8" t="s">
        <v>16</v>
      </c>
      <c r="I4303" s="9">
        <v>2813</v>
      </c>
      <c r="J4303" s="10">
        <v>66</v>
      </c>
      <c r="K4303" s="10">
        <v>66406</v>
      </c>
      <c r="L4303" s="3" t="str">
        <f t="shared" si="141"/>
        <v>ΠΥΡΗΝΟΚΑΡΠΑ</v>
      </c>
    </row>
    <row r="4304" spans="1:12" s="3" customFormat="1" ht="15" customHeight="1" x14ac:dyDescent="0.25">
      <c r="A4304" s="3" t="str">
        <f t="shared" si="140"/>
        <v>ΠΥΡΗΝΟΚΑΡΠΑΒΕΡΙΚΟΚΑ FARIUS</v>
      </c>
      <c r="B4304" s="4" t="s">
        <v>7280</v>
      </c>
      <c r="C4304" s="5" t="s">
        <v>8108</v>
      </c>
      <c r="D4304" s="6">
        <v>5895.69</v>
      </c>
      <c r="E4304" s="6">
        <v>5815.34</v>
      </c>
      <c r="F4304" s="7" t="s">
        <v>14</v>
      </c>
      <c r="G4304" s="8" t="s">
        <v>8109</v>
      </c>
      <c r="H4304" s="8" t="s">
        <v>16</v>
      </c>
      <c r="I4304" s="9">
        <v>2811</v>
      </c>
      <c r="J4304" s="10">
        <v>66</v>
      </c>
      <c r="K4304" s="10">
        <v>66407</v>
      </c>
      <c r="L4304" s="3" t="str">
        <f t="shared" si="141"/>
        <v>ΠΥΡΗΝΟΚΑΡΠΑ</v>
      </c>
    </row>
    <row r="4305" spans="1:12" s="3" customFormat="1" ht="15" customHeight="1" x14ac:dyDescent="0.25">
      <c r="A4305" s="3" t="str">
        <f t="shared" si="140"/>
        <v>ΠΥΡΗΝΟΚΑΡΠΑΒΕΡΙΚΟΚΑ FARHIAL</v>
      </c>
      <c r="B4305" s="4" t="s">
        <v>7280</v>
      </c>
      <c r="C4305" s="5" t="s">
        <v>8110</v>
      </c>
      <c r="D4305" s="6">
        <v>5895.69</v>
      </c>
      <c r="E4305" s="6">
        <v>5815.34</v>
      </c>
      <c r="F4305" s="7" t="s">
        <v>14</v>
      </c>
      <c r="G4305" s="8" t="s">
        <v>8111</v>
      </c>
      <c r="H4305" s="8" t="s">
        <v>16</v>
      </c>
      <c r="I4305" s="9">
        <v>2812</v>
      </c>
      <c r="J4305" s="10">
        <v>66</v>
      </c>
      <c r="K4305" s="10">
        <v>66408</v>
      </c>
      <c r="L4305" s="3" t="str">
        <f t="shared" si="141"/>
        <v>ΠΥΡΗΝΟΚΑΡΠΑ</v>
      </c>
    </row>
    <row r="4306" spans="1:12" s="3" customFormat="1" ht="15" customHeight="1" x14ac:dyDescent="0.25">
      <c r="A4306" s="3" t="str">
        <f t="shared" si="140"/>
        <v>ΠΥΡΗΝΟΚΑΡΠΑΒΕΡΙΚΟΚΑ LIDO</v>
      </c>
      <c r="B4306" s="4" t="s">
        <v>7280</v>
      </c>
      <c r="C4306" s="5" t="s">
        <v>8112</v>
      </c>
      <c r="D4306" s="6">
        <v>5895.69</v>
      </c>
      <c r="E4306" s="6">
        <v>5815.34</v>
      </c>
      <c r="F4306" s="7" t="s">
        <v>14</v>
      </c>
      <c r="G4306" s="8" t="s">
        <v>8113</v>
      </c>
      <c r="H4306" s="8" t="s">
        <v>16</v>
      </c>
      <c r="I4306" s="9">
        <v>2828</v>
      </c>
      <c r="J4306" s="10">
        <v>66</v>
      </c>
      <c r="K4306" s="10">
        <v>66409</v>
      </c>
      <c r="L4306" s="3" t="str">
        <f t="shared" si="141"/>
        <v>ΠΥΡΗΝΟΚΑΡΠΑ</v>
      </c>
    </row>
    <row r="4307" spans="1:12" s="3" customFormat="1" ht="15" customHeight="1" x14ac:dyDescent="0.25">
      <c r="A4307" s="3" t="str">
        <f t="shared" si="140"/>
        <v>ΠΥΡΗΝΟΚΑΡΠΑΒΕΡΙΚΟΚΑ MILORD</v>
      </c>
      <c r="B4307" s="4" t="s">
        <v>7280</v>
      </c>
      <c r="C4307" s="5" t="s">
        <v>8114</v>
      </c>
      <c r="D4307" s="6">
        <v>5895.69</v>
      </c>
      <c r="E4307" s="6">
        <v>5815.34</v>
      </c>
      <c r="F4307" s="7" t="s">
        <v>14</v>
      </c>
      <c r="G4307" s="8" t="s">
        <v>8115</v>
      </c>
      <c r="H4307" s="8" t="s">
        <v>16</v>
      </c>
      <c r="I4307" s="9">
        <v>2814</v>
      </c>
      <c r="J4307" s="10">
        <v>66</v>
      </c>
      <c r="K4307" s="10">
        <v>66410</v>
      </c>
      <c r="L4307" s="3" t="str">
        <f t="shared" si="141"/>
        <v>ΠΥΡΗΝΟΚΑΡΠΑ</v>
      </c>
    </row>
    <row r="4308" spans="1:12" s="3" customFormat="1" ht="15" customHeight="1" x14ac:dyDescent="0.25">
      <c r="A4308" s="3" t="str">
        <f t="shared" si="140"/>
        <v>ΠΥΡΗΝΟΚΑΡΠΑΡΟΔΑΚΙΝΑ SUGAR TIME</v>
      </c>
      <c r="B4308" s="4" t="s">
        <v>7280</v>
      </c>
      <c r="C4308" s="5" t="s">
        <v>8116</v>
      </c>
      <c r="D4308" s="6">
        <v>5895.69</v>
      </c>
      <c r="E4308" s="6">
        <v>5815.34</v>
      </c>
      <c r="F4308" s="7" t="s">
        <v>14</v>
      </c>
      <c r="G4308" s="8" t="s">
        <v>8117</v>
      </c>
      <c r="H4308" s="8" t="s">
        <v>16</v>
      </c>
      <c r="I4308" s="9">
        <v>2800</v>
      </c>
      <c r="J4308" s="10">
        <v>66</v>
      </c>
      <c r="K4308" s="10">
        <v>66411</v>
      </c>
      <c r="L4308" s="3" t="str">
        <f t="shared" si="141"/>
        <v>ΠΥΡΗΝΟΚΑΡΠΑ</v>
      </c>
    </row>
    <row r="4309" spans="1:12" s="3" customFormat="1" ht="15" customHeight="1" x14ac:dyDescent="0.25">
      <c r="A4309" s="3" t="str">
        <f t="shared" si="140"/>
        <v>ΠΥΡΗΝΟΚΑΡΠΑΚΕΡΑΣΙΑ SUMELE (SATIN)</v>
      </c>
      <c r="B4309" s="4" t="s">
        <v>7280</v>
      </c>
      <c r="C4309" s="5" t="s">
        <v>8118</v>
      </c>
      <c r="D4309" s="6">
        <v>5895.69</v>
      </c>
      <c r="E4309" s="6">
        <v>5815.34</v>
      </c>
      <c r="F4309" s="7" t="s">
        <v>14</v>
      </c>
      <c r="G4309" s="8" t="s">
        <v>8119</v>
      </c>
      <c r="H4309" s="8" t="s">
        <v>16</v>
      </c>
      <c r="I4309" s="9">
        <v>2816</v>
      </c>
      <c r="J4309" s="10">
        <v>66</v>
      </c>
      <c r="K4309" s="10">
        <v>66412</v>
      </c>
      <c r="L4309" s="3" t="str">
        <f t="shared" si="141"/>
        <v>ΠΥΡΗΝΟΚΑΡΠΑ</v>
      </c>
    </row>
    <row r="4310" spans="1:12" s="3" customFormat="1" ht="15" customHeight="1" x14ac:dyDescent="0.25">
      <c r="A4310" s="3" t="str">
        <f t="shared" si="140"/>
        <v>ΠΥΡΗΝΟΚΑΡΠΑΒΕΡΙΚΟΚΑ MIKADO</v>
      </c>
      <c r="B4310" s="4" t="s">
        <v>7280</v>
      </c>
      <c r="C4310" s="5" t="s">
        <v>8120</v>
      </c>
      <c r="D4310" s="6">
        <v>5895.69</v>
      </c>
      <c r="E4310" s="6">
        <v>5815.34</v>
      </c>
      <c r="F4310" s="7" t="s">
        <v>14</v>
      </c>
      <c r="G4310" s="8" t="s">
        <v>8121</v>
      </c>
      <c r="H4310" s="8" t="s">
        <v>16</v>
      </c>
      <c r="I4310" s="9">
        <v>2817</v>
      </c>
      <c r="J4310" s="10">
        <v>66</v>
      </c>
      <c r="K4310" s="10">
        <v>66413</v>
      </c>
      <c r="L4310" s="3" t="str">
        <f t="shared" si="141"/>
        <v>ΠΥΡΗΝΟΚΑΡΠΑ</v>
      </c>
    </row>
    <row r="4311" spans="1:12" s="3" customFormat="1" ht="15" customHeight="1" x14ac:dyDescent="0.25">
      <c r="A4311" s="3" t="str">
        <f t="shared" si="140"/>
        <v>ΠΥΡΗΝΟΚΑΡΠΑΚΕΡΑΣΙΑ ROCKET</v>
      </c>
      <c r="B4311" s="4" t="s">
        <v>7280</v>
      </c>
      <c r="C4311" s="5" t="s">
        <v>8122</v>
      </c>
      <c r="D4311" s="6">
        <v>5895.69</v>
      </c>
      <c r="E4311" s="6">
        <v>5815.34</v>
      </c>
      <c r="F4311" s="7" t="s">
        <v>14</v>
      </c>
      <c r="G4311" s="8" t="s">
        <v>8123</v>
      </c>
      <c r="H4311" s="8" t="s">
        <v>16</v>
      </c>
      <c r="I4311" s="9">
        <v>2818</v>
      </c>
      <c r="J4311" s="10">
        <v>66</v>
      </c>
      <c r="K4311" s="10">
        <v>66414</v>
      </c>
      <c r="L4311" s="3" t="str">
        <f t="shared" si="141"/>
        <v>ΠΥΡΗΝΟΚΑΡΠΑ</v>
      </c>
    </row>
    <row r="4312" spans="1:12" s="3" customFormat="1" ht="15" customHeight="1" x14ac:dyDescent="0.25">
      <c r="A4312" s="3" t="str">
        <f t="shared" si="140"/>
        <v>ΠΥΡΗΝΟΚΑΡΠΑΡΟΔΑΚΙΝΑ SUMMER RICH</v>
      </c>
      <c r="B4312" s="4" t="s">
        <v>7280</v>
      </c>
      <c r="C4312" s="5" t="s">
        <v>8124</v>
      </c>
      <c r="D4312" s="6">
        <v>5895.69</v>
      </c>
      <c r="E4312" s="6">
        <v>5815.34</v>
      </c>
      <c r="F4312" s="7" t="s">
        <v>14</v>
      </c>
      <c r="G4312" s="8" t="s">
        <v>8125</v>
      </c>
      <c r="H4312" s="8" t="s">
        <v>16</v>
      </c>
      <c r="I4312" s="9">
        <v>2819</v>
      </c>
      <c r="J4312" s="10">
        <v>66</v>
      </c>
      <c r="K4312" s="10">
        <v>66415</v>
      </c>
      <c r="L4312" s="3" t="str">
        <f t="shared" si="141"/>
        <v>ΠΥΡΗΝΟΚΑΡΠΑ</v>
      </c>
    </row>
    <row r="4313" spans="1:12" s="3" customFormat="1" ht="15" customHeight="1" x14ac:dyDescent="0.25">
      <c r="A4313" s="3" t="str">
        <f t="shared" si="140"/>
        <v>ΠΥΡΗΝΟΚΑΡΠΑΡΟΔΑΚΙΝΑ KAWEAH</v>
      </c>
      <c r="B4313" s="4" t="s">
        <v>7280</v>
      </c>
      <c r="C4313" s="5" t="s">
        <v>8126</v>
      </c>
      <c r="D4313" s="6">
        <v>5895.69</v>
      </c>
      <c r="E4313" s="6">
        <v>5815.34</v>
      </c>
      <c r="F4313" s="7" t="s">
        <v>14</v>
      </c>
      <c r="G4313" s="8" t="s">
        <v>8127</v>
      </c>
      <c r="H4313" s="8" t="s">
        <v>16</v>
      </c>
      <c r="I4313" s="9">
        <v>2820</v>
      </c>
      <c r="J4313" s="10">
        <v>66</v>
      </c>
      <c r="K4313" s="10">
        <v>66416</v>
      </c>
      <c r="L4313" s="3" t="str">
        <f t="shared" si="141"/>
        <v>ΠΥΡΗΝΟΚΑΡΠΑ</v>
      </c>
    </row>
    <row r="4314" spans="1:12" s="3" customFormat="1" ht="15" customHeight="1" x14ac:dyDescent="0.25">
      <c r="A4314" s="3" t="str">
        <f t="shared" si="140"/>
        <v>ΠΥΡΗΝΟΚΑΡΠΑΡΟΔΑΚΙΝΑ PLATIBELL</v>
      </c>
      <c r="B4314" s="4" t="s">
        <v>7280</v>
      </c>
      <c r="C4314" s="5" t="s">
        <v>8128</v>
      </c>
      <c r="D4314" s="6">
        <v>5895.69</v>
      </c>
      <c r="E4314" s="6">
        <v>5815.34</v>
      </c>
      <c r="F4314" s="7" t="s">
        <v>14</v>
      </c>
      <c r="G4314" s="8" t="s">
        <v>8129</v>
      </c>
      <c r="H4314" s="8" t="s">
        <v>16</v>
      </c>
      <c r="I4314" s="9">
        <v>2821</v>
      </c>
      <c r="J4314" s="10">
        <v>66</v>
      </c>
      <c r="K4314" s="10">
        <v>66417</v>
      </c>
      <c r="L4314" s="3" t="str">
        <f t="shared" si="141"/>
        <v>ΠΥΡΗΝΟΚΑΡΠΑ</v>
      </c>
    </row>
    <row r="4315" spans="1:12" s="3" customFormat="1" ht="15" customHeight="1" x14ac:dyDescent="0.25">
      <c r="A4315" s="3" t="str">
        <f t="shared" si="140"/>
        <v>ΠΥΡΗΝΟΚΑΡΠΑΡΟΔΑΚΙΝΑ PLATIMOON</v>
      </c>
      <c r="B4315" s="4" t="s">
        <v>7280</v>
      </c>
      <c r="C4315" s="5" t="s">
        <v>8130</v>
      </c>
      <c r="D4315" s="6">
        <v>5895.69</v>
      </c>
      <c r="E4315" s="6">
        <v>5815.34</v>
      </c>
      <c r="F4315" s="7" t="s">
        <v>14</v>
      </c>
      <c r="G4315" s="8" t="s">
        <v>8131</v>
      </c>
      <c r="H4315" s="8" t="s">
        <v>16</v>
      </c>
      <c r="I4315" s="9">
        <v>2822</v>
      </c>
      <c r="J4315" s="10">
        <v>66</v>
      </c>
      <c r="K4315" s="10">
        <v>66418</v>
      </c>
      <c r="L4315" s="3" t="str">
        <f t="shared" si="141"/>
        <v>ΠΥΡΗΝΟΚΑΡΠΑ</v>
      </c>
    </row>
    <row r="4316" spans="1:12" s="3" customFormat="1" ht="15" customHeight="1" x14ac:dyDescent="0.25">
      <c r="A4316" s="3" t="str">
        <f t="shared" si="140"/>
        <v>ΠΥΡΗΝΟΚΑΡΠΑΡΟΔΑΚΙΝΑ PLATIFUN</v>
      </c>
      <c r="B4316" s="4" t="s">
        <v>7280</v>
      </c>
      <c r="C4316" s="5" t="s">
        <v>8132</v>
      </c>
      <c r="D4316" s="6">
        <v>5895.69</v>
      </c>
      <c r="E4316" s="6">
        <v>5815.34</v>
      </c>
      <c r="F4316" s="7" t="s">
        <v>14</v>
      </c>
      <c r="G4316" s="8" t="s">
        <v>8133</v>
      </c>
      <c r="H4316" s="8" t="s">
        <v>16</v>
      </c>
      <c r="I4316" s="9">
        <v>2823</v>
      </c>
      <c r="J4316" s="10">
        <v>66</v>
      </c>
      <c r="K4316" s="10">
        <v>66419</v>
      </c>
      <c r="L4316" s="3" t="str">
        <f t="shared" si="141"/>
        <v>ΠΥΡΗΝΟΚΑΡΠΑ</v>
      </c>
    </row>
    <row r="4317" spans="1:12" s="3" customFormat="1" ht="15" customHeight="1" x14ac:dyDescent="0.25">
      <c r="A4317" s="3" t="str">
        <f t="shared" si="140"/>
        <v>ΠΥΡΗΝΟΚΑΡΠΑΡΟΔΑΚΙΝΑ PLATIFIRST</v>
      </c>
      <c r="B4317" s="4" t="s">
        <v>7280</v>
      </c>
      <c r="C4317" s="5" t="s">
        <v>8134</v>
      </c>
      <c r="D4317" s="6">
        <v>5895.69</v>
      </c>
      <c r="E4317" s="6">
        <v>5815.34</v>
      </c>
      <c r="F4317" s="7" t="s">
        <v>14</v>
      </c>
      <c r="G4317" s="8" t="s">
        <v>8135</v>
      </c>
      <c r="H4317" s="8" t="s">
        <v>16</v>
      </c>
      <c r="I4317" s="9">
        <v>2824</v>
      </c>
      <c r="J4317" s="10">
        <v>66</v>
      </c>
      <c r="K4317" s="10">
        <v>66420</v>
      </c>
      <c r="L4317" s="3" t="str">
        <f t="shared" si="141"/>
        <v>ΠΥΡΗΝΟΚΑΡΠΑ</v>
      </c>
    </row>
    <row r="4318" spans="1:12" s="3" customFormat="1" ht="15" customHeight="1" x14ac:dyDescent="0.25">
      <c r="A4318" s="3" t="str">
        <f t="shared" si="140"/>
        <v>ΠΥΡΗΝΟΚΑΡΠΑΡΟΔΑΚΙΝΑ CARIOCA</v>
      </c>
      <c r="B4318" s="4" t="s">
        <v>7280</v>
      </c>
      <c r="C4318" s="5" t="s">
        <v>8136</v>
      </c>
      <c r="D4318" s="6">
        <v>5895.69</v>
      </c>
      <c r="E4318" s="6">
        <v>5815.34</v>
      </c>
      <c r="F4318" s="7" t="s">
        <v>14</v>
      </c>
      <c r="G4318" s="8" t="s">
        <v>8137</v>
      </c>
      <c r="H4318" s="8" t="s">
        <v>16</v>
      </c>
      <c r="I4318" s="9">
        <v>2825</v>
      </c>
      <c r="J4318" s="10">
        <v>66</v>
      </c>
      <c r="K4318" s="10">
        <v>66421</v>
      </c>
      <c r="L4318" s="3" t="str">
        <f t="shared" si="141"/>
        <v>ΠΥΡΗΝΟΚΑΡΠΑ</v>
      </c>
    </row>
    <row r="4319" spans="1:12" s="3" customFormat="1" ht="15" customHeight="1" x14ac:dyDescent="0.25">
      <c r="A4319" s="3" t="str">
        <f t="shared" si="140"/>
        <v>ΠΥΡΗΝΟΚΑΡΠΑΝΕΚΤΑΡΙΝΙΑ HONEY KIST</v>
      </c>
      <c r="B4319" s="4" t="s">
        <v>7280</v>
      </c>
      <c r="C4319" s="5" t="s">
        <v>8138</v>
      </c>
      <c r="D4319" s="6">
        <v>5895.69</v>
      </c>
      <c r="E4319" s="6">
        <v>5815.34</v>
      </c>
      <c r="F4319" s="7" t="s">
        <v>14</v>
      </c>
      <c r="G4319" s="8" t="s">
        <v>8139</v>
      </c>
      <c r="H4319" s="8" t="s">
        <v>16</v>
      </c>
      <c r="I4319" s="9">
        <v>2826</v>
      </c>
      <c r="J4319" s="10">
        <v>66</v>
      </c>
      <c r="K4319" s="10">
        <v>66422</v>
      </c>
      <c r="L4319" s="3" t="str">
        <f t="shared" si="141"/>
        <v>ΠΥΡΗΝΟΚΑΡΠΑ</v>
      </c>
    </row>
    <row r="4320" spans="1:12" s="3" customFormat="1" ht="15" customHeight="1" x14ac:dyDescent="0.25">
      <c r="A4320" s="3" t="str">
        <f t="shared" si="140"/>
        <v>ΠΥΡΗΝΟΚΑΡΠΑΚΕΡΑΣΙΑ PACIFIC RED</v>
      </c>
      <c r="B4320" s="4" t="s">
        <v>7280</v>
      </c>
      <c r="C4320" s="5" t="s">
        <v>8140</v>
      </c>
      <c r="D4320" s="6">
        <v>5895.69</v>
      </c>
      <c r="E4320" s="6">
        <v>5815.34</v>
      </c>
      <c r="F4320" s="7" t="s">
        <v>14</v>
      </c>
      <c r="G4320" s="8" t="s">
        <v>8141</v>
      </c>
      <c r="H4320" s="8" t="s">
        <v>16</v>
      </c>
      <c r="I4320" s="9">
        <v>2827</v>
      </c>
      <c r="J4320" s="10">
        <v>66</v>
      </c>
      <c r="K4320" s="10">
        <v>66423</v>
      </c>
      <c r="L4320" s="3" t="str">
        <f t="shared" si="141"/>
        <v>ΠΥΡΗΝΟΚΑΡΠΑ</v>
      </c>
    </row>
    <row r="4321" spans="1:12" s="3" customFormat="1" ht="15" customHeight="1" x14ac:dyDescent="0.25">
      <c r="A4321" s="3" t="str">
        <f t="shared" si="140"/>
        <v>ΠΥΡΗΝΟΚΑΡΠΑΡΟΔΑΚΙΝΑ ZAISULA (ROYAL PRIDE)</v>
      </c>
      <c r="B4321" s="4" t="s">
        <v>7280</v>
      </c>
      <c r="C4321" s="5" t="s">
        <v>8142</v>
      </c>
      <c r="D4321" s="6">
        <v>5895.69</v>
      </c>
      <c r="E4321" s="6">
        <v>5815.34</v>
      </c>
      <c r="F4321" s="7" t="s">
        <v>14</v>
      </c>
      <c r="G4321" s="8" t="s">
        <v>8143</v>
      </c>
      <c r="H4321" s="8" t="s">
        <v>16</v>
      </c>
      <c r="I4321" s="9">
        <v>2815</v>
      </c>
      <c r="J4321" s="10">
        <v>66</v>
      </c>
      <c r="K4321" s="10">
        <v>66424</v>
      </c>
      <c r="L4321" s="3" t="str">
        <f t="shared" si="141"/>
        <v>ΠΥΡΗΝΟΚΑΡΠΑ</v>
      </c>
    </row>
    <row r="4322" spans="1:12" s="3" customFormat="1" ht="15" customHeight="1" x14ac:dyDescent="0.25">
      <c r="A4322" s="3" t="str">
        <f t="shared" si="140"/>
        <v>ΠΥΡΗΝΟΚΑΡΠΑΡΟΔΑΚΙΝΑ ISFROPLAT 4 (UFO 4)</v>
      </c>
      <c r="B4322" s="4" t="s">
        <v>7280</v>
      </c>
      <c r="C4322" s="5" t="s">
        <v>8144</v>
      </c>
      <c r="D4322" s="6">
        <v>5895.69</v>
      </c>
      <c r="E4322" s="6">
        <v>5815.34</v>
      </c>
      <c r="F4322" s="7" t="s">
        <v>14</v>
      </c>
      <c r="G4322" s="8" t="s">
        <v>8145</v>
      </c>
      <c r="H4322" s="8" t="s">
        <v>16</v>
      </c>
      <c r="I4322" s="9">
        <v>2775</v>
      </c>
      <c r="J4322" s="10">
        <v>66</v>
      </c>
      <c r="K4322" s="10">
        <v>66425</v>
      </c>
      <c r="L4322" s="3" t="str">
        <f t="shared" si="141"/>
        <v>ΠΥΡΗΝΟΚΑΡΠΑ</v>
      </c>
    </row>
    <row r="4323" spans="1:12" s="3" customFormat="1" ht="15" customHeight="1" x14ac:dyDescent="0.25">
      <c r="A4323" s="3" t="str">
        <f t="shared" si="140"/>
        <v>ΠΥΡΗΝΟΚΑΡΠΑΡΟΔΑΚΙΝΑ ISFROPLAT 5 (UFO 5)</v>
      </c>
      <c r="B4323" s="4" t="s">
        <v>7280</v>
      </c>
      <c r="C4323" s="5" t="s">
        <v>8146</v>
      </c>
      <c r="D4323" s="6">
        <v>5895.69</v>
      </c>
      <c r="E4323" s="6">
        <v>5815.34</v>
      </c>
      <c r="F4323" s="7" t="s">
        <v>14</v>
      </c>
      <c r="G4323" s="8" t="s">
        <v>8147</v>
      </c>
      <c r="H4323" s="8" t="s">
        <v>16</v>
      </c>
      <c r="I4323" s="9">
        <v>2776</v>
      </c>
      <c r="J4323" s="10">
        <v>66</v>
      </c>
      <c r="K4323" s="10">
        <v>66426</v>
      </c>
      <c r="L4323" s="3" t="str">
        <f t="shared" si="141"/>
        <v>ΠΥΡΗΝΟΚΑΡΠΑ</v>
      </c>
    </row>
    <row r="4324" spans="1:12" s="3" customFormat="1" ht="15" customHeight="1" x14ac:dyDescent="0.25">
      <c r="A4324" s="3" t="str">
        <f t="shared" si="140"/>
        <v>ΠΥΡΗΝΟΚΑΡΠΑΡΟΔΑΚΙΝΑ ISFROPLAT 8 (UFO 8)</v>
      </c>
      <c r="B4324" s="4" t="s">
        <v>7280</v>
      </c>
      <c r="C4324" s="5" t="s">
        <v>8148</v>
      </c>
      <c r="D4324" s="6">
        <v>5895.69</v>
      </c>
      <c r="E4324" s="6">
        <v>5815.34</v>
      </c>
      <c r="F4324" s="7" t="s">
        <v>14</v>
      </c>
      <c r="G4324" s="8" t="s">
        <v>8149</v>
      </c>
      <c r="H4324" s="8" t="s">
        <v>16</v>
      </c>
      <c r="I4324" s="9">
        <v>2778</v>
      </c>
      <c r="J4324" s="10">
        <v>66</v>
      </c>
      <c r="K4324" s="10">
        <v>66427</v>
      </c>
      <c r="L4324" s="3" t="str">
        <f t="shared" si="141"/>
        <v>ΠΥΡΗΝΟΚΑΡΠΑ</v>
      </c>
    </row>
    <row r="4325" spans="1:12" s="3" customFormat="1" ht="15" customHeight="1" x14ac:dyDescent="0.25">
      <c r="A4325" s="3" t="str">
        <f t="shared" si="140"/>
        <v>ΠΥΡΗΝΟΚΑΡΠΑΡΟΔΑΚΙΝΑ ZAIBIJI (ROYAL SWEET)</v>
      </c>
      <c r="B4325" s="4" t="s">
        <v>7280</v>
      </c>
      <c r="C4325" s="5" t="s">
        <v>8150</v>
      </c>
      <c r="D4325" s="6">
        <v>5895.69</v>
      </c>
      <c r="E4325" s="6">
        <v>5815.34</v>
      </c>
      <c r="F4325" s="7" t="s">
        <v>14</v>
      </c>
      <c r="G4325" s="8" t="s">
        <v>8151</v>
      </c>
      <c r="H4325" s="8" t="s">
        <v>16</v>
      </c>
      <c r="I4325" s="9">
        <v>2780</v>
      </c>
      <c r="J4325" s="10">
        <v>66</v>
      </c>
      <c r="K4325" s="10">
        <v>66428</v>
      </c>
      <c r="L4325" s="3" t="str">
        <f t="shared" si="141"/>
        <v>ΠΥΡΗΝΟΚΑΡΠΑ</v>
      </c>
    </row>
    <row r="4326" spans="1:12" s="3" customFormat="1" ht="15" customHeight="1" x14ac:dyDescent="0.25">
      <c r="A4326" s="3" t="str">
        <f t="shared" si="140"/>
        <v>ΠΥΡΗΝΟΚΑΡΠΑΡΟΔΑΚΙΝΑ RED VALLEY</v>
      </c>
      <c r="B4326" s="4" t="s">
        <v>7280</v>
      </c>
      <c r="C4326" s="5" t="s">
        <v>8152</v>
      </c>
      <c r="D4326" s="6">
        <v>5895.69</v>
      </c>
      <c r="E4326" s="6">
        <v>5815.34</v>
      </c>
      <c r="F4326" s="7" t="s">
        <v>14</v>
      </c>
      <c r="G4326" s="8" t="s">
        <v>8153</v>
      </c>
      <c r="H4326" s="8" t="s">
        <v>16</v>
      </c>
      <c r="I4326" s="9">
        <v>2787</v>
      </c>
      <c r="J4326" s="10">
        <v>66</v>
      </c>
      <c r="K4326" s="10">
        <v>66429</v>
      </c>
      <c r="L4326" s="3" t="str">
        <f t="shared" si="141"/>
        <v>ΠΥΡΗΝΟΚΑΡΠΑ</v>
      </c>
    </row>
    <row r="4327" spans="1:12" s="3" customFormat="1" ht="15" customHeight="1" x14ac:dyDescent="0.25">
      <c r="A4327" s="3" t="str">
        <f t="shared" si="140"/>
        <v>ΠΥΡΗΝΟΚΑΡΠΑΒΕΡΙΚΚΟΚΑ MEDIABEL</v>
      </c>
      <c r="B4327" s="4" t="s">
        <v>7280</v>
      </c>
      <c r="C4327" s="5" t="s">
        <v>8154</v>
      </c>
      <c r="D4327" s="6">
        <v>5895.69</v>
      </c>
      <c r="E4327" s="6">
        <v>5815.34</v>
      </c>
      <c r="F4327" s="7" t="s">
        <v>14</v>
      </c>
      <c r="G4327" s="8" t="s">
        <v>8155</v>
      </c>
      <c r="H4327" s="8" t="s">
        <v>16</v>
      </c>
      <c r="I4327" s="9">
        <v>2788</v>
      </c>
      <c r="J4327" s="10">
        <v>66</v>
      </c>
      <c r="K4327" s="10">
        <v>66430</v>
      </c>
      <c r="L4327" s="3" t="str">
        <f t="shared" si="141"/>
        <v>ΠΥΡΗΝΟΚΑΡΠΑ</v>
      </c>
    </row>
    <row r="4328" spans="1:12" s="3" customFormat="1" ht="15" customHeight="1" x14ac:dyDescent="0.25">
      <c r="A4328" s="3" t="str">
        <f t="shared" si="140"/>
        <v>ΠΥΡΗΝΟΚΑΡΠΑΚΕΡΑΣΙΑ SUMN314CH (SABRINA)</v>
      </c>
      <c r="B4328" s="4" t="s">
        <v>7280</v>
      </c>
      <c r="C4328" s="5" t="s">
        <v>8156</v>
      </c>
      <c r="D4328" s="6">
        <v>5895.69</v>
      </c>
      <c r="E4328" s="6">
        <v>5815.34</v>
      </c>
      <c r="F4328" s="7" t="s">
        <v>14</v>
      </c>
      <c r="G4328" s="8" t="s">
        <v>8157</v>
      </c>
      <c r="H4328" s="8" t="s">
        <v>16</v>
      </c>
      <c r="I4328" s="9">
        <v>2792</v>
      </c>
      <c r="J4328" s="10">
        <v>66</v>
      </c>
      <c r="K4328" s="10">
        <v>66431</v>
      </c>
      <c r="L4328" s="3" t="str">
        <f t="shared" si="141"/>
        <v>ΠΥΡΗΝΟΚΑΡΠΑ</v>
      </c>
    </row>
    <row r="4329" spans="1:12" s="3" customFormat="1" ht="15" customHeight="1" x14ac:dyDescent="0.25">
      <c r="A4329" s="3" t="str">
        <f t="shared" si="140"/>
        <v>ΠΥΡΗΝΟΚΑΡΠΑΚΕΡΑΣΙΑ BIGI SOL (EARLY BG)</v>
      </c>
      <c r="B4329" s="4" t="s">
        <v>7280</v>
      </c>
      <c r="C4329" s="5" t="s">
        <v>8158</v>
      </c>
      <c r="D4329" s="6">
        <v>5895.69</v>
      </c>
      <c r="E4329" s="6">
        <v>5815.34</v>
      </c>
      <c r="F4329" s="7" t="s">
        <v>14</v>
      </c>
      <c r="G4329" s="8" t="s">
        <v>8159</v>
      </c>
      <c r="H4329" s="8" t="s">
        <v>16</v>
      </c>
      <c r="I4329" s="9">
        <v>2784</v>
      </c>
      <c r="J4329" s="10">
        <v>66</v>
      </c>
      <c r="K4329" s="10">
        <v>66432</v>
      </c>
      <c r="L4329" s="3" t="str">
        <f t="shared" si="141"/>
        <v>ΠΥΡΗΝΟΚΑΡΠΑ</v>
      </c>
    </row>
    <row r="4330" spans="1:12" s="3" customFormat="1" ht="15" customHeight="1" x14ac:dyDescent="0.25">
      <c r="A4330" s="3" t="str">
        <f t="shared" si="140"/>
        <v>ΠΥΡΗΝΟΚΑΡΠΑΚΕΡΑΣΙΑ PANARO 1 (SWEET EARLY)</v>
      </c>
      <c r="B4330" s="4" t="s">
        <v>7280</v>
      </c>
      <c r="C4330" s="5" t="s">
        <v>8160</v>
      </c>
      <c r="D4330" s="6">
        <v>5895.69</v>
      </c>
      <c r="E4330" s="6">
        <v>5815.34</v>
      </c>
      <c r="F4330" s="7" t="s">
        <v>14</v>
      </c>
      <c r="G4330" s="8" t="s">
        <v>8161</v>
      </c>
      <c r="H4330" s="8" t="s">
        <v>16</v>
      </c>
      <c r="I4330" s="9">
        <v>2797</v>
      </c>
      <c r="J4330" s="10">
        <v>66</v>
      </c>
      <c r="K4330" s="10">
        <v>66433</v>
      </c>
      <c r="L4330" s="3" t="str">
        <f t="shared" si="141"/>
        <v>ΠΥΡΗΝΟΚΑΡΠΑ</v>
      </c>
    </row>
    <row r="4331" spans="1:12" s="3" customFormat="1" ht="15" customHeight="1" x14ac:dyDescent="0.25">
      <c r="A4331" s="3" t="str">
        <f t="shared" si="140"/>
        <v>ΠΥΡΗΝΟΚΑΡΠΑΚΕΡΑΣΙΑ NIMBA</v>
      </c>
      <c r="B4331" s="4" t="s">
        <v>7280</v>
      </c>
      <c r="C4331" s="5" t="s">
        <v>8162</v>
      </c>
      <c r="D4331" s="6">
        <v>5895.69</v>
      </c>
      <c r="E4331" s="6">
        <v>5815.34</v>
      </c>
      <c r="F4331" s="7" t="s">
        <v>14</v>
      </c>
      <c r="G4331" s="8" t="s">
        <v>8163</v>
      </c>
      <c r="H4331" s="8" t="s">
        <v>16</v>
      </c>
      <c r="I4331" s="9">
        <v>2798</v>
      </c>
      <c r="J4331" s="10">
        <v>66</v>
      </c>
      <c r="K4331" s="10">
        <v>66434</v>
      </c>
      <c r="L4331" s="3" t="str">
        <f t="shared" si="141"/>
        <v>ΠΥΡΗΝΟΚΑΡΠΑ</v>
      </c>
    </row>
    <row r="4332" spans="1:12" s="3" customFormat="1" ht="15" customHeight="1" x14ac:dyDescent="0.25">
      <c r="A4332" s="3" t="str">
        <f t="shared" si="140"/>
        <v>ΠΥΡΗΝΟΚΑΡΠΑΡΟΔΑΚΙΝΑ MAY CREST</v>
      </c>
      <c r="B4332" s="4" t="s">
        <v>7280</v>
      </c>
      <c r="C4332" s="5" t="s">
        <v>8164</v>
      </c>
      <c r="D4332" s="6">
        <v>5895.69</v>
      </c>
      <c r="E4332" s="6">
        <v>5815.34</v>
      </c>
      <c r="F4332" s="7" t="s">
        <v>14</v>
      </c>
      <c r="G4332" s="8" t="s">
        <v>8165</v>
      </c>
      <c r="H4332" s="8" t="s">
        <v>16</v>
      </c>
      <c r="I4332" s="9">
        <v>2786</v>
      </c>
      <c r="J4332" s="10">
        <v>66</v>
      </c>
      <c r="K4332" s="10">
        <v>66435</v>
      </c>
      <c r="L4332" s="3" t="str">
        <f t="shared" si="141"/>
        <v>ΠΥΡΗΝΟΚΑΡΠΑ</v>
      </c>
    </row>
    <row r="4333" spans="1:12" s="3" customFormat="1" ht="15" customHeight="1" x14ac:dyDescent="0.25">
      <c r="A4333" s="3" t="str">
        <f t="shared" si="140"/>
        <v>ΠΥΡΗΝΟΚΑΡΠΑΡΟΔΑΚΙΝΑ ZAILATI (GLADYS)</v>
      </c>
      <c r="B4333" s="4" t="s">
        <v>7280</v>
      </c>
      <c r="C4333" s="5" t="s">
        <v>8166</v>
      </c>
      <c r="D4333" s="6">
        <v>5895.69</v>
      </c>
      <c r="E4333" s="6">
        <v>5815.34</v>
      </c>
      <c r="F4333" s="7" t="s">
        <v>14</v>
      </c>
      <c r="G4333" s="8" t="s">
        <v>8167</v>
      </c>
      <c r="H4333" s="8" t="s">
        <v>16</v>
      </c>
      <c r="I4333" s="9">
        <v>2796</v>
      </c>
      <c r="J4333" s="10">
        <v>66</v>
      </c>
      <c r="K4333" s="10">
        <v>66436</v>
      </c>
      <c r="L4333" s="3" t="str">
        <f t="shared" si="141"/>
        <v>ΠΥΡΗΝΟΚΑΡΠΑ</v>
      </c>
    </row>
    <row r="4334" spans="1:12" s="3" customFormat="1" ht="15" customHeight="1" x14ac:dyDescent="0.25">
      <c r="A4334" s="3" t="str">
        <f t="shared" si="140"/>
        <v>ΠΥΡΗΝΟΚΑΡΠΑΝΕΚΤΑΡΙΝΙΑ ORION</v>
      </c>
      <c r="B4334" s="4" t="s">
        <v>7280</v>
      </c>
      <c r="C4334" s="5" t="s">
        <v>8168</v>
      </c>
      <c r="D4334" s="6">
        <v>5895.69</v>
      </c>
      <c r="E4334" s="6">
        <v>5815.34</v>
      </c>
      <c r="F4334" s="7" t="s">
        <v>14</v>
      </c>
      <c r="G4334" s="8" t="s">
        <v>8169</v>
      </c>
      <c r="H4334" s="8" t="s">
        <v>16</v>
      </c>
      <c r="I4334" s="9">
        <v>2795</v>
      </c>
      <c r="J4334" s="10">
        <v>66</v>
      </c>
      <c r="K4334" s="10">
        <v>66437</v>
      </c>
      <c r="L4334" s="3" t="str">
        <f t="shared" si="141"/>
        <v>ΠΥΡΗΝΟΚΑΡΠΑ</v>
      </c>
    </row>
    <row r="4335" spans="1:12" s="3" customFormat="1" ht="15" customHeight="1" x14ac:dyDescent="0.25">
      <c r="A4335" s="3" t="str">
        <f t="shared" si="140"/>
        <v>ΠΥΡΗΝΟΚΑΡΠΑΚΕΡΑΣΙΑ BIG STAR</v>
      </c>
      <c r="B4335" s="4" t="s">
        <v>7280</v>
      </c>
      <c r="C4335" s="5" t="s">
        <v>8170</v>
      </c>
      <c r="D4335" s="6">
        <v>5895.69</v>
      </c>
      <c r="E4335" s="6">
        <v>5815.34</v>
      </c>
      <c r="F4335" s="7" t="s">
        <v>14</v>
      </c>
      <c r="G4335" s="8" t="s">
        <v>8171</v>
      </c>
      <c r="H4335" s="8" t="s">
        <v>16</v>
      </c>
      <c r="I4335" s="9">
        <v>2794</v>
      </c>
      <c r="J4335" s="10">
        <v>66</v>
      </c>
      <c r="K4335" s="10">
        <v>66438</v>
      </c>
      <c r="L4335" s="3" t="str">
        <f t="shared" si="141"/>
        <v>ΠΥΡΗΝΟΚΑΡΠΑ</v>
      </c>
    </row>
    <row r="4336" spans="1:12" s="3" customFormat="1" ht="15" customHeight="1" x14ac:dyDescent="0.25">
      <c r="A4336" s="3" t="str">
        <f t="shared" si="140"/>
        <v>ΠΥΡΗΝΟΚΑΡΠΑΒΕΡΙΚΟΚΑ FLOPRIA</v>
      </c>
      <c r="B4336" s="4" t="s">
        <v>7280</v>
      </c>
      <c r="C4336" s="5" t="s">
        <v>8172</v>
      </c>
      <c r="D4336" s="6">
        <v>5895.69</v>
      </c>
      <c r="E4336" s="6">
        <v>5815.34</v>
      </c>
      <c r="F4336" s="7" t="s">
        <v>14</v>
      </c>
      <c r="G4336" s="8" t="s">
        <v>8173</v>
      </c>
      <c r="H4336" s="8" t="s">
        <v>16</v>
      </c>
      <c r="I4336" s="9">
        <v>2793</v>
      </c>
      <c r="J4336" s="10">
        <v>66</v>
      </c>
      <c r="K4336" s="10">
        <v>66439</v>
      </c>
      <c r="L4336" s="3" t="str">
        <f t="shared" si="141"/>
        <v>ΠΥΡΗΝΟΚΑΡΠΑ</v>
      </c>
    </row>
    <row r="4337" spans="1:12" s="3" customFormat="1" ht="15" customHeight="1" x14ac:dyDescent="0.25">
      <c r="A4337" s="3" t="str">
        <f t="shared" si="140"/>
        <v>ΠΥΡΗΝΟΚΑΡΠΑΡΟΔΑΚΙΝΑ FLATREINE (ASF 0796)</v>
      </c>
      <c r="B4337" s="4" t="s">
        <v>7280</v>
      </c>
      <c r="C4337" s="5" t="s">
        <v>8174</v>
      </c>
      <c r="D4337" s="6">
        <v>5895.69</v>
      </c>
      <c r="E4337" s="6">
        <v>5815.34</v>
      </c>
      <c r="F4337" s="7" t="s">
        <v>14</v>
      </c>
      <c r="G4337" s="8" t="s">
        <v>8175</v>
      </c>
      <c r="H4337" s="8" t="s">
        <v>16</v>
      </c>
      <c r="I4337" s="9">
        <v>2791</v>
      </c>
      <c r="J4337" s="10">
        <v>66</v>
      </c>
      <c r="K4337" s="10">
        <v>66440</v>
      </c>
      <c r="L4337" s="3" t="str">
        <f t="shared" si="141"/>
        <v>ΠΥΡΗΝΟΚΑΡΠΑ</v>
      </c>
    </row>
    <row r="4338" spans="1:12" s="3" customFormat="1" ht="15" customHeight="1" x14ac:dyDescent="0.25">
      <c r="A4338" s="3" t="str">
        <f t="shared" si="140"/>
        <v>ΠΥΡΗΝΟΚΑΡΠΑΡΟΔΑΚΙΝΑ FLATSTAR (ASF 0798)</v>
      </c>
      <c r="B4338" s="4" t="s">
        <v>7280</v>
      </c>
      <c r="C4338" s="5" t="s">
        <v>8176</v>
      </c>
      <c r="D4338" s="6">
        <v>5895.69</v>
      </c>
      <c r="E4338" s="6">
        <v>5815.34</v>
      </c>
      <c r="F4338" s="7" t="s">
        <v>14</v>
      </c>
      <c r="G4338" s="8" t="s">
        <v>8177</v>
      </c>
      <c r="H4338" s="8" t="s">
        <v>16</v>
      </c>
      <c r="I4338" s="9">
        <v>2790</v>
      </c>
      <c r="J4338" s="10">
        <v>66</v>
      </c>
      <c r="K4338" s="10">
        <v>66441</v>
      </c>
      <c r="L4338" s="3" t="str">
        <f t="shared" si="141"/>
        <v>ΠΥΡΗΝΟΚΑΡΠΑ</v>
      </c>
    </row>
    <row r="4339" spans="1:12" s="3" customFormat="1" ht="15" customHeight="1" x14ac:dyDescent="0.25">
      <c r="A4339" s="3" t="str">
        <f t="shared" si="140"/>
        <v>ΠΥΡΗΝΟΚΑΡΠΑΡΟΔΑΚΙΝΑ MAILLARFLAΤ (SWEET CUP)</v>
      </c>
      <c r="B4339" s="4" t="s">
        <v>7280</v>
      </c>
      <c r="C4339" s="5" t="s">
        <v>8178</v>
      </c>
      <c r="D4339" s="6">
        <v>5895.69</v>
      </c>
      <c r="E4339" s="6">
        <v>5815.34</v>
      </c>
      <c r="F4339" s="7" t="s">
        <v>14</v>
      </c>
      <c r="G4339" s="8" t="s">
        <v>8179</v>
      </c>
      <c r="H4339" s="8" t="s">
        <v>16</v>
      </c>
      <c r="I4339" s="9">
        <v>2789</v>
      </c>
      <c r="J4339" s="10">
        <v>66</v>
      </c>
      <c r="K4339" s="10">
        <v>66442</v>
      </c>
      <c r="L4339" s="3" t="str">
        <f t="shared" si="141"/>
        <v>ΠΥΡΗΝΟΚΑΡΠΑ</v>
      </c>
    </row>
    <row r="4340" spans="1:12" s="3" customFormat="1" ht="15" customHeight="1" x14ac:dyDescent="0.25">
      <c r="A4340" s="3" t="str">
        <f t="shared" si="140"/>
        <v>ΠΥΡΗΝΟΚΑΡΠΑΡΟΔΑΚΙΝΑ PRO 514 (EXTREME 514)</v>
      </c>
      <c r="B4340" s="4" t="s">
        <v>7280</v>
      </c>
      <c r="C4340" s="5" t="s">
        <v>8180</v>
      </c>
      <c r="D4340" s="6">
        <v>5895.69</v>
      </c>
      <c r="E4340" s="6">
        <v>5815.34</v>
      </c>
      <c r="F4340" s="7" t="s">
        <v>14</v>
      </c>
      <c r="G4340" s="8" t="s">
        <v>8181</v>
      </c>
      <c r="H4340" s="8" t="s">
        <v>16</v>
      </c>
      <c r="I4340" s="9">
        <v>2799</v>
      </c>
      <c r="J4340" s="10">
        <v>66</v>
      </c>
      <c r="K4340" s="10">
        <v>66443</v>
      </c>
      <c r="L4340" s="3" t="str">
        <f t="shared" si="141"/>
        <v>ΠΥΡΗΝΟΚΑΡΠΑ</v>
      </c>
    </row>
    <row r="4341" spans="1:12" s="3" customFormat="1" ht="15" customHeight="1" x14ac:dyDescent="0.25">
      <c r="A4341" s="3" t="str">
        <f t="shared" si="140"/>
        <v>ΠΥΡΗΝΟΚΑΡΠΑΡΟΔΑΚΙΝΑ PRO 725 (EXTREME 725)</v>
      </c>
      <c r="B4341" s="4" t="s">
        <v>7280</v>
      </c>
      <c r="C4341" s="5" t="s">
        <v>8182</v>
      </c>
      <c r="D4341" s="6">
        <v>5895.69</v>
      </c>
      <c r="E4341" s="6">
        <v>5815.34</v>
      </c>
      <c r="F4341" s="7" t="s">
        <v>14</v>
      </c>
      <c r="G4341" s="8" t="s">
        <v>8183</v>
      </c>
      <c r="H4341" s="8" t="s">
        <v>16</v>
      </c>
      <c r="I4341" s="9">
        <v>4947</v>
      </c>
      <c r="J4341" s="10">
        <v>66</v>
      </c>
      <c r="K4341" s="10">
        <v>66444</v>
      </c>
      <c r="L4341" s="3" t="str">
        <f t="shared" si="141"/>
        <v>ΠΥΡΗΝΟΚΑΡΠΑ</v>
      </c>
    </row>
    <row r="4342" spans="1:12" s="3" customFormat="1" ht="15" customHeight="1" x14ac:dyDescent="0.25">
      <c r="A4342" s="3" t="str">
        <f t="shared" si="140"/>
        <v>ΠΥΡΗΝΟΚΑΡΠΑΡΟΔΑΚΙΝΑ PRO 436 (EXTREME 436)</v>
      </c>
      <c r="B4342" s="4" t="s">
        <v>7280</v>
      </c>
      <c r="C4342" s="5" t="s">
        <v>8184</v>
      </c>
      <c r="D4342" s="6">
        <v>5895.69</v>
      </c>
      <c r="E4342" s="6">
        <v>5815.34</v>
      </c>
      <c r="F4342" s="7" t="s">
        <v>14</v>
      </c>
      <c r="G4342" s="8" t="s">
        <v>8185</v>
      </c>
      <c r="H4342" s="8" t="s">
        <v>16</v>
      </c>
      <c r="I4342" s="9">
        <v>2782</v>
      </c>
      <c r="J4342" s="10">
        <v>66</v>
      </c>
      <c r="K4342" s="10">
        <v>66445</v>
      </c>
      <c r="L4342" s="3" t="str">
        <f t="shared" si="141"/>
        <v>ΠΥΡΗΝΟΚΑΡΠΑ</v>
      </c>
    </row>
    <row r="4343" spans="1:12" s="3" customFormat="1" ht="15" customHeight="1" x14ac:dyDescent="0.25">
      <c r="A4343" s="3" t="str">
        <f t="shared" si="140"/>
        <v>ΠΥΡΗΝΟΚΑΡΠΑΡΟΔΑΚΙΝΑ PRO 460 (EXTREME 460)</v>
      </c>
      <c r="B4343" s="4" t="s">
        <v>7280</v>
      </c>
      <c r="C4343" s="5" t="s">
        <v>8186</v>
      </c>
      <c r="D4343" s="6">
        <v>5895.69</v>
      </c>
      <c r="E4343" s="6">
        <v>5815.34</v>
      </c>
      <c r="F4343" s="7" t="s">
        <v>14</v>
      </c>
      <c r="G4343" s="8" t="s">
        <v>8187</v>
      </c>
      <c r="H4343" s="8" t="s">
        <v>16</v>
      </c>
      <c r="I4343" s="9">
        <v>3031</v>
      </c>
      <c r="J4343" s="10">
        <v>66</v>
      </c>
      <c r="K4343" s="10">
        <v>66446</v>
      </c>
      <c r="L4343" s="3" t="str">
        <f t="shared" si="141"/>
        <v>ΠΥΡΗΝΟΚΑΡΠΑ</v>
      </c>
    </row>
    <row r="4344" spans="1:12" s="3" customFormat="1" ht="15" customHeight="1" x14ac:dyDescent="0.25">
      <c r="A4344" s="3" t="str">
        <f t="shared" si="140"/>
        <v>ΠΥΡΗΝΟΚΑΡΠΑΡΟΔΑΚΙΝΑ PRO 568 (EXTREME 568)</v>
      </c>
      <c r="B4344" s="4" t="s">
        <v>7280</v>
      </c>
      <c r="C4344" s="5" t="s">
        <v>8188</v>
      </c>
      <c r="D4344" s="6">
        <v>5895.69</v>
      </c>
      <c r="E4344" s="6">
        <v>5815.34</v>
      </c>
      <c r="F4344" s="7" t="s">
        <v>14</v>
      </c>
      <c r="G4344" s="8" t="s">
        <v>8189</v>
      </c>
      <c r="H4344" s="8" t="s">
        <v>16</v>
      </c>
      <c r="I4344" s="9">
        <v>2779</v>
      </c>
      <c r="J4344" s="10">
        <v>66</v>
      </c>
      <c r="K4344" s="10">
        <v>66447</v>
      </c>
      <c r="L4344" s="3" t="str">
        <f t="shared" si="141"/>
        <v>ΠΥΡΗΝΟΚΑΡΠΑ</v>
      </c>
    </row>
    <row r="4345" spans="1:12" s="3" customFormat="1" ht="15" customHeight="1" x14ac:dyDescent="0.25">
      <c r="A4345" s="3" t="str">
        <f t="shared" si="140"/>
        <v>ΠΥΡΗΝΟΚΑΡΠΑΝΕΚΤΑΡΙΝΙΑ PLATIMOON</v>
      </c>
      <c r="B4345" s="4" t="s">
        <v>7280</v>
      </c>
      <c r="C4345" s="5" t="s">
        <v>8190</v>
      </c>
      <c r="D4345" s="6">
        <v>5895.69</v>
      </c>
      <c r="E4345" s="6">
        <v>5815.34</v>
      </c>
      <c r="F4345" s="7" t="s">
        <v>14</v>
      </c>
      <c r="G4345" s="8" t="s">
        <v>8191</v>
      </c>
      <c r="H4345" s="8" t="s">
        <v>16</v>
      </c>
      <c r="I4345" s="9">
        <v>2774</v>
      </c>
      <c r="J4345" s="10">
        <v>66</v>
      </c>
      <c r="K4345" s="10">
        <v>66448</v>
      </c>
      <c r="L4345" s="3" t="str">
        <f t="shared" si="141"/>
        <v>ΠΥΡΗΝΟΚΑΡΠΑ</v>
      </c>
    </row>
    <row r="4346" spans="1:12" s="3" customFormat="1" ht="15" customHeight="1" x14ac:dyDescent="0.25">
      <c r="A4346" s="3" t="str">
        <f t="shared" si="140"/>
        <v>ΠΥΡΗΝΟΚΑΡΠΑΝΕΚΤΑΡΙΝΙΑ MESEMBRINE (MESEBRIN)</v>
      </c>
      <c r="B4346" s="4" t="s">
        <v>7280</v>
      </c>
      <c r="C4346" s="5" t="s">
        <v>8192</v>
      </c>
      <c r="D4346" s="6">
        <v>5895.69</v>
      </c>
      <c r="E4346" s="6">
        <v>5815.34</v>
      </c>
      <c r="F4346" s="7" t="s">
        <v>14</v>
      </c>
      <c r="G4346" s="8" t="s">
        <v>8193</v>
      </c>
      <c r="H4346" s="8" t="s">
        <v>16</v>
      </c>
      <c r="I4346" s="9">
        <v>2773</v>
      </c>
      <c r="J4346" s="10">
        <v>66</v>
      </c>
      <c r="K4346" s="10">
        <v>66449</v>
      </c>
      <c r="L4346" s="3" t="str">
        <f t="shared" si="141"/>
        <v>ΠΥΡΗΝΟΚΑΡΠΑ</v>
      </c>
    </row>
    <row r="4347" spans="1:12" s="3" customFormat="1" ht="15" customHeight="1" x14ac:dyDescent="0.25">
      <c r="A4347" s="3" t="str">
        <f t="shared" si="140"/>
        <v>ΠΥΡΗΝΟΚΑΡΠΑΝΕΚΤΑΡΙΝΙΑ ZAI809NB (QUEEN GLOBE)</v>
      </c>
      <c r="B4347" s="4" t="s">
        <v>7280</v>
      </c>
      <c r="C4347" s="5" t="s">
        <v>8194</v>
      </c>
      <c r="D4347" s="6">
        <v>5895.69</v>
      </c>
      <c r="E4347" s="6">
        <v>5815.34</v>
      </c>
      <c r="F4347" s="7" t="s">
        <v>14</v>
      </c>
      <c r="G4347" s="8" t="s">
        <v>8195</v>
      </c>
      <c r="H4347" s="8" t="s">
        <v>16</v>
      </c>
      <c r="I4347" s="9">
        <v>2785</v>
      </c>
      <c r="J4347" s="10">
        <v>66</v>
      </c>
      <c r="K4347" s="10">
        <v>66450</v>
      </c>
      <c r="L4347" s="3" t="str">
        <f t="shared" si="141"/>
        <v>ΠΥΡΗΝΟΚΑΡΠΑ</v>
      </c>
    </row>
    <row r="4348" spans="1:12" s="3" customFormat="1" ht="15" customHeight="1" x14ac:dyDescent="0.25">
      <c r="A4348" s="3" t="str">
        <f t="shared" si="140"/>
        <v>ΠΥΡΗΝΟΚΑΡΠΑΝΕΚΤΑΡΙΝΙΑ MAX</v>
      </c>
      <c r="B4348" s="4" t="s">
        <v>7280</v>
      </c>
      <c r="C4348" s="5" t="s">
        <v>8196</v>
      </c>
      <c r="D4348" s="6">
        <v>5895.69</v>
      </c>
      <c r="E4348" s="6">
        <v>5815.34</v>
      </c>
      <c r="F4348" s="7" t="s">
        <v>14</v>
      </c>
      <c r="G4348" s="8" t="s">
        <v>8197</v>
      </c>
      <c r="H4348" s="8" t="s">
        <v>16</v>
      </c>
      <c r="I4348" s="9">
        <v>2810</v>
      </c>
      <c r="J4348" s="10">
        <v>66</v>
      </c>
      <c r="K4348" s="10">
        <v>66451</v>
      </c>
      <c r="L4348" s="3" t="str">
        <f t="shared" si="141"/>
        <v>ΠΥΡΗΝΟΚΑΡΠΑ</v>
      </c>
    </row>
    <row r="4349" spans="1:12" s="3" customFormat="1" ht="15" customHeight="1" x14ac:dyDescent="0.25">
      <c r="A4349" s="3" t="str">
        <f t="shared" si="140"/>
        <v>ΠΥΡΗΝΟΚΑΡΠΑΝΕΚΤΑΡΙΝΙΑ GARCICA</v>
      </c>
      <c r="B4349" s="4" t="s">
        <v>7280</v>
      </c>
      <c r="C4349" s="5" t="s">
        <v>8198</v>
      </c>
      <c r="D4349" s="6">
        <v>5895.69</v>
      </c>
      <c r="E4349" s="6">
        <v>5815.34</v>
      </c>
      <c r="F4349" s="7" t="s">
        <v>14</v>
      </c>
      <c r="G4349" s="8" t="s">
        <v>8199</v>
      </c>
      <c r="H4349" s="8" t="s">
        <v>16</v>
      </c>
      <c r="I4349" s="9">
        <v>2871</v>
      </c>
      <c r="J4349" s="10">
        <v>66</v>
      </c>
      <c r="K4349" s="10">
        <v>66452</v>
      </c>
      <c r="L4349" s="3" t="str">
        <f t="shared" si="141"/>
        <v>ΠΥΡΗΝΟΚΑΡΠΑ</v>
      </c>
    </row>
    <row r="4350" spans="1:12" s="3" customFormat="1" ht="15" customHeight="1" x14ac:dyDescent="0.25">
      <c r="A4350" s="3" t="str">
        <f t="shared" si="140"/>
        <v>ΠΥΡΗΝΟΚΑΡΠΑΝΕΚΤΑΡΙΝΙΑ PRO 761 (EXTREME 761)</v>
      </c>
      <c r="B4350" s="4" t="s">
        <v>7280</v>
      </c>
      <c r="C4350" s="5" t="s">
        <v>8200</v>
      </c>
      <c r="D4350" s="6">
        <v>5895.69</v>
      </c>
      <c r="E4350" s="6">
        <v>5815.34</v>
      </c>
      <c r="F4350" s="7" t="s">
        <v>14</v>
      </c>
      <c r="G4350" s="8" t="s">
        <v>8201</v>
      </c>
      <c r="H4350" s="8" t="s">
        <v>16</v>
      </c>
      <c r="I4350" s="9">
        <v>2858</v>
      </c>
      <c r="J4350" s="10">
        <v>66</v>
      </c>
      <c r="K4350" s="10">
        <v>66453</v>
      </c>
      <c r="L4350" s="3" t="str">
        <f t="shared" si="141"/>
        <v>ΠΥΡΗΝΟΚΑΡΠΑ</v>
      </c>
    </row>
    <row r="4351" spans="1:12" s="3" customFormat="1" ht="15" customHeight="1" x14ac:dyDescent="0.25">
      <c r="A4351" s="3" t="str">
        <f t="shared" si="140"/>
        <v>ΠΥΡΗΝΟΚΑΡΠΑΝΕΚΤΑΡΙΝΙΑ PRO 710 (EXTREME 710)</v>
      </c>
      <c r="B4351" s="4" t="s">
        <v>7280</v>
      </c>
      <c r="C4351" s="5" t="s">
        <v>8202</v>
      </c>
      <c r="D4351" s="6">
        <v>5895.69</v>
      </c>
      <c r="E4351" s="6">
        <v>5815.34</v>
      </c>
      <c r="F4351" s="7" t="s">
        <v>14</v>
      </c>
      <c r="G4351" s="8" t="s">
        <v>8203</v>
      </c>
      <c r="H4351" s="8" t="s">
        <v>16</v>
      </c>
      <c r="I4351" s="9">
        <v>2859</v>
      </c>
      <c r="J4351" s="10">
        <v>66</v>
      </c>
      <c r="K4351" s="10">
        <v>66454</v>
      </c>
      <c r="L4351" s="3" t="str">
        <f t="shared" si="141"/>
        <v>ΠΥΡΗΝΟΚΑΡΠΑ</v>
      </c>
    </row>
    <row r="4352" spans="1:12" s="3" customFormat="1" ht="15" customHeight="1" x14ac:dyDescent="0.25">
      <c r="A4352" s="3" t="str">
        <f t="shared" si="140"/>
        <v>ΠΥΡΗΝΟΚΑΡΠΑΝΕΚΤΑΡΙΝΙΑ PRO C 165 (EXTREME 165 - EXTREME RED)</v>
      </c>
      <c r="B4352" s="4" t="s">
        <v>7280</v>
      </c>
      <c r="C4352" s="5" t="s">
        <v>8204</v>
      </c>
      <c r="D4352" s="6">
        <v>5895.69</v>
      </c>
      <c r="E4352" s="6">
        <v>5815.34</v>
      </c>
      <c r="F4352" s="7" t="s">
        <v>14</v>
      </c>
      <c r="G4352" s="8" t="s">
        <v>8205</v>
      </c>
      <c r="H4352" s="8" t="s">
        <v>16</v>
      </c>
      <c r="I4352" s="9">
        <v>2860</v>
      </c>
      <c r="J4352" s="10">
        <v>66</v>
      </c>
      <c r="K4352" s="10">
        <v>66455</v>
      </c>
      <c r="L4352" s="3" t="str">
        <f t="shared" si="141"/>
        <v>ΠΥΡΗΝΟΚΑΡΠΑ</v>
      </c>
    </row>
    <row r="4353" spans="1:12" s="3" customFormat="1" ht="15" customHeight="1" x14ac:dyDescent="0.25">
      <c r="A4353" s="3" t="str">
        <f t="shared" si="140"/>
        <v>ΠΥΡΗΝΟΚΑΡΠΑΝΕΚΤΑΡΙΝΙΑ PRO C 140 (EXTREME 140 - EXTREME SHINE)</v>
      </c>
      <c r="B4353" s="4" t="s">
        <v>7280</v>
      </c>
      <c r="C4353" s="5" t="s">
        <v>8206</v>
      </c>
      <c r="D4353" s="6">
        <v>5895.69</v>
      </c>
      <c r="E4353" s="6">
        <v>5815.34</v>
      </c>
      <c r="F4353" s="7" t="s">
        <v>14</v>
      </c>
      <c r="G4353" s="8" t="s">
        <v>8207</v>
      </c>
      <c r="H4353" s="8" t="s">
        <v>16</v>
      </c>
      <c r="I4353" s="9">
        <v>2861</v>
      </c>
      <c r="J4353" s="10">
        <v>66</v>
      </c>
      <c r="K4353" s="10">
        <v>66456</v>
      </c>
      <c r="L4353" s="3" t="str">
        <f t="shared" si="141"/>
        <v>ΠΥΡΗΝΟΚΑΡΠΑ</v>
      </c>
    </row>
    <row r="4354" spans="1:12" s="3" customFormat="1" ht="15" customHeight="1" x14ac:dyDescent="0.25">
      <c r="A4354" s="3" t="str">
        <f t="shared" si="140"/>
        <v>ΠΥΡΗΝΟΚΑΡΠΑΝΕΚΤΑΡΙΝΙΑ PRO 733 (EXTREME 733)</v>
      </c>
      <c r="B4354" s="4" t="s">
        <v>7280</v>
      </c>
      <c r="C4354" s="5" t="s">
        <v>8208</v>
      </c>
      <c r="D4354" s="6">
        <v>5895.69</v>
      </c>
      <c r="E4354" s="6">
        <v>5815.34</v>
      </c>
      <c r="F4354" s="7" t="s">
        <v>14</v>
      </c>
      <c r="G4354" s="8" t="s">
        <v>8209</v>
      </c>
      <c r="H4354" s="8" t="s">
        <v>16</v>
      </c>
      <c r="I4354" s="9">
        <v>2862</v>
      </c>
      <c r="J4354" s="10">
        <v>66</v>
      </c>
      <c r="K4354" s="10">
        <v>66457</v>
      </c>
      <c r="L4354" s="3" t="str">
        <f t="shared" si="141"/>
        <v>ΠΥΡΗΝΟΚΑΡΠΑ</v>
      </c>
    </row>
    <row r="4355" spans="1:12" s="3" customFormat="1" ht="15" customHeight="1" x14ac:dyDescent="0.25">
      <c r="A4355" s="3" t="str">
        <f t="shared" ref="A4355:A4418" si="142">_xlfn.CONCAT(B4355,C4355)</f>
        <v>ΠΥΡΗΝΟΚΑΡΠΑΝΕΚΤΑΡΙΝΙΑ PRO 614 (EXTREME 614 - EXTREME CANDY )</v>
      </c>
      <c r="B4355" s="4" t="s">
        <v>7280</v>
      </c>
      <c r="C4355" s="5" t="s">
        <v>8210</v>
      </c>
      <c r="D4355" s="6">
        <v>5895.69</v>
      </c>
      <c r="E4355" s="6">
        <v>5815.34</v>
      </c>
      <c r="F4355" s="7" t="s">
        <v>14</v>
      </c>
      <c r="G4355" s="8" t="s">
        <v>8211</v>
      </c>
      <c r="H4355" s="8" t="s">
        <v>16</v>
      </c>
      <c r="I4355" s="9">
        <v>2863</v>
      </c>
      <c r="J4355" s="10">
        <v>66</v>
      </c>
      <c r="K4355" s="10">
        <v>66458</v>
      </c>
      <c r="L4355" s="3" t="str">
        <f t="shared" ref="L4355:L4418" si="143">IFERROR(SUBSTITUTE(SUBSTITUTE(SUBSTITUTE(SUBSTITUTE(SUBSTITUTE(B4355, "-", "_"), " ", "_"), ",", ""), "(", ""), ")", ""), B4355)</f>
        <v>ΠΥΡΗΝΟΚΑΡΠΑ</v>
      </c>
    </row>
    <row r="4356" spans="1:12" s="3" customFormat="1" ht="15" customHeight="1" x14ac:dyDescent="0.25">
      <c r="A4356" s="3" t="str">
        <f t="shared" si="142"/>
        <v>ΠΥΡΗΝΟΚΑΡΠΑΝΕΚΤΑΡΙΝΙΑ LADY ERICA</v>
      </c>
      <c r="B4356" s="4" t="s">
        <v>7280</v>
      </c>
      <c r="C4356" s="5" t="s">
        <v>8212</v>
      </c>
      <c r="D4356" s="6">
        <v>5895.69</v>
      </c>
      <c r="E4356" s="6">
        <v>5815.34</v>
      </c>
      <c r="F4356" s="7" t="s">
        <v>14</v>
      </c>
      <c r="G4356" s="8" t="s">
        <v>8213</v>
      </c>
      <c r="H4356" s="8" t="s">
        <v>16</v>
      </c>
      <c r="I4356" s="9">
        <v>2864</v>
      </c>
      <c r="J4356" s="10">
        <v>66</v>
      </c>
      <c r="K4356" s="10">
        <v>66459</v>
      </c>
      <c r="L4356" s="3" t="str">
        <f t="shared" si="143"/>
        <v>ΠΥΡΗΝΟΚΑΡΠΑ</v>
      </c>
    </row>
    <row r="4357" spans="1:12" s="3" customFormat="1" ht="15" customHeight="1" x14ac:dyDescent="0.25">
      <c r="A4357" s="3" t="str">
        <f t="shared" si="142"/>
        <v>ΠΥΡΗΝΟΚΑΡΠΑΚΕΡΑΣΙΑ NORTHSTAR</v>
      </c>
      <c r="B4357" s="4" t="s">
        <v>7280</v>
      </c>
      <c r="C4357" s="5" t="s">
        <v>8214</v>
      </c>
      <c r="D4357" s="6">
        <v>5895.69</v>
      </c>
      <c r="E4357" s="6">
        <v>5815.34</v>
      </c>
      <c r="F4357" s="7" t="s">
        <v>14</v>
      </c>
      <c r="G4357" s="8" t="s">
        <v>8215</v>
      </c>
      <c r="H4357" s="8" t="s">
        <v>16</v>
      </c>
      <c r="I4357" s="9">
        <v>2865</v>
      </c>
      <c r="J4357" s="10">
        <v>66</v>
      </c>
      <c r="K4357" s="10">
        <v>66460</v>
      </c>
      <c r="L4357" s="3" t="str">
        <f t="shared" si="143"/>
        <v>ΠΥΡΗΝΟΚΑΡΠΑ</v>
      </c>
    </row>
    <row r="4358" spans="1:12" s="3" customFormat="1" ht="15" customHeight="1" x14ac:dyDescent="0.25">
      <c r="A4358" s="3" t="str">
        <f t="shared" si="142"/>
        <v>ΠΥΡΗΝΟΚΑΡΠΑΚΕΡΑΣΙΑ PA1UNIBO (SWEET ARYANA)</v>
      </c>
      <c r="B4358" s="4" t="s">
        <v>7280</v>
      </c>
      <c r="C4358" s="5" t="s">
        <v>8216</v>
      </c>
      <c r="D4358" s="6">
        <v>5895.69</v>
      </c>
      <c r="E4358" s="6">
        <v>5815.34</v>
      </c>
      <c r="F4358" s="7" t="s">
        <v>14</v>
      </c>
      <c r="G4358" s="8" t="s">
        <v>8217</v>
      </c>
      <c r="H4358" s="8" t="s">
        <v>16</v>
      </c>
      <c r="I4358" s="9">
        <v>2866</v>
      </c>
      <c r="J4358" s="10">
        <v>66</v>
      </c>
      <c r="K4358" s="10">
        <v>66461</v>
      </c>
      <c r="L4358" s="3" t="str">
        <f t="shared" si="143"/>
        <v>ΠΥΡΗΝΟΚΑΡΠΑ</v>
      </c>
    </row>
    <row r="4359" spans="1:12" s="3" customFormat="1" ht="15" customHeight="1" x14ac:dyDescent="0.25">
      <c r="A4359" s="3" t="str">
        <f t="shared" si="142"/>
        <v>ΠΥΡΗΝΟΚΑΡΠΑΚΕΡΑΣΙΑ PRIME GIANT</v>
      </c>
      <c r="B4359" s="4" t="s">
        <v>7280</v>
      </c>
      <c r="C4359" s="5" t="s">
        <v>8218</v>
      </c>
      <c r="D4359" s="6">
        <v>5895.69</v>
      </c>
      <c r="E4359" s="6">
        <v>5815.34</v>
      </c>
      <c r="F4359" s="7" t="s">
        <v>14</v>
      </c>
      <c r="G4359" s="8" t="s">
        <v>8219</v>
      </c>
      <c r="H4359" s="8" t="s">
        <v>16</v>
      </c>
      <c r="I4359" s="9">
        <v>2867</v>
      </c>
      <c r="J4359" s="10">
        <v>66</v>
      </c>
      <c r="K4359" s="10">
        <v>66462</v>
      </c>
      <c r="L4359" s="3" t="str">
        <f t="shared" si="143"/>
        <v>ΠΥΡΗΝΟΚΑΡΠΑ</v>
      </c>
    </row>
    <row r="4360" spans="1:12" s="3" customFormat="1" ht="15" customHeight="1" x14ac:dyDescent="0.25">
      <c r="A4360" s="3" t="str">
        <f t="shared" si="142"/>
        <v>ΠΥΡΗΝΟΚΑΡΠΑΚΕΡΑΣΙΑ CARMEN</v>
      </c>
      <c r="B4360" s="4" t="s">
        <v>7280</v>
      </c>
      <c r="C4360" s="5" t="s">
        <v>8220</v>
      </c>
      <c r="D4360" s="6">
        <v>5895.69</v>
      </c>
      <c r="E4360" s="6">
        <v>5815.34</v>
      </c>
      <c r="F4360" s="7" t="s">
        <v>14</v>
      </c>
      <c r="G4360" s="8" t="s">
        <v>8221</v>
      </c>
      <c r="H4360" s="8" t="s">
        <v>16</v>
      </c>
      <c r="I4360" s="9">
        <v>2868</v>
      </c>
      <c r="J4360" s="10">
        <v>66</v>
      </c>
      <c r="K4360" s="10">
        <v>66463</v>
      </c>
      <c r="L4360" s="3" t="str">
        <f t="shared" si="143"/>
        <v>ΠΥΡΗΝΟΚΑΡΠΑ</v>
      </c>
    </row>
    <row r="4361" spans="1:12" s="3" customFormat="1" ht="15" customHeight="1" x14ac:dyDescent="0.25">
      <c r="A4361" s="3" t="str">
        <f t="shared" si="142"/>
        <v>ΠΥΡΗΝΟΚΑΡΠΑΚΕΡΑΣΙΑ 0900 ZIRAAT</v>
      </c>
      <c r="B4361" s="4" t="s">
        <v>7280</v>
      </c>
      <c r="C4361" s="5" t="s">
        <v>8222</v>
      </c>
      <c r="D4361" s="6">
        <v>5895.69</v>
      </c>
      <c r="E4361" s="6">
        <v>5815.34</v>
      </c>
      <c r="F4361" s="7" t="s">
        <v>14</v>
      </c>
      <c r="G4361" s="8" t="s">
        <v>8223</v>
      </c>
      <c r="H4361" s="8" t="s">
        <v>16</v>
      </c>
      <c r="I4361" s="9">
        <v>2884</v>
      </c>
      <c r="J4361" s="10">
        <v>66</v>
      </c>
      <c r="K4361" s="10">
        <v>66464</v>
      </c>
      <c r="L4361" s="3" t="str">
        <f t="shared" si="143"/>
        <v>ΠΥΡΗΝΟΚΑΡΠΑ</v>
      </c>
    </row>
    <row r="4362" spans="1:12" s="3" customFormat="1" ht="15" customHeight="1" x14ac:dyDescent="0.25">
      <c r="A4362" s="3" t="str">
        <f t="shared" si="142"/>
        <v>ΠΥΡΗΝΟΚΑΡΠΑΡΟΔΑΚΙΝΑ ZEE DIAMOND</v>
      </c>
      <c r="B4362" s="4" t="s">
        <v>7280</v>
      </c>
      <c r="C4362" s="5" t="s">
        <v>8224</v>
      </c>
      <c r="D4362" s="6">
        <v>5895.69</v>
      </c>
      <c r="E4362" s="6">
        <v>5815.34</v>
      </c>
      <c r="F4362" s="7" t="s">
        <v>14</v>
      </c>
      <c r="G4362" s="8" t="s">
        <v>8225</v>
      </c>
      <c r="H4362" s="8" t="s">
        <v>16</v>
      </c>
      <c r="I4362" s="9">
        <v>2870</v>
      </c>
      <c r="J4362" s="10">
        <v>66</v>
      </c>
      <c r="K4362" s="10">
        <v>66465</v>
      </c>
      <c r="L4362" s="3" t="str">
        <f t="shared" si="143"/>
        <v>ΠΥΡΗΝΟΚΑΡΠΑ</v>
      </c>
    </row>
    <row r="4363" spans="1:12" s="3" customFormat="1" ht="15" customHeight="1" x14ac:dyDescent="0.25">
      <c r="A4363" s="3" t="str">
        <f t="shared" si="142"/>
        <v>ΠΥΡΗΝΟΚΑΡΠΑΚΕΡΑΣΙΑ DURONE</v>
      </c>
      <c r="B4363" s="4" t="s">
        <v>7280</v>
      </c>
      <c r="C4363" s="5" t="s">
        <v>8226</v>
      </c>
      <c r="D4363" s="6">
        <v>5895.69</v>
      </c>
      <c r="E4363" s="6">
        <v>5815.34</v>
      </c>
      <c r="F4363" s="7" t="s">
        <v>14</v>
      </c>
      <c r="G4363" s="8" t="s">
        <v>8227</v>
      </c>
      <c r="H4363" s="8" t="s">
        <v>16</v>
      </c>
      <c r="I4363" s="9">
        <v>2857</v>
      </c>
      <c r="J4363" s="10">
        <v>66</v>
      </c>
      <c r="K4363" s="10">
        <v>66466</v>
      </c>
      <c r="L4363" s="3" t="str">
        <f t="shared" si="143"/>
        <v>ΠΥΡΗΝΟΚΑΡΠΑ</v>
      </c>
    </row>
    <row r="4364" spans="1:12" s="3" customFormat="1" ht="15" customHeight="1" x14ac:dyDescent="0.25">
      <c r="A4364" s="3" t="str">
        <f t="shared" si="142"/>
        <v>ΠΥΡΗΝΟΚΑΡΠΑΒΕΡΙΚΟΚΑ MAYACOT</v>
      </c>
      <c r="B4364" s="4" t="s">
        <v>7280</v>
      </c>
      <c r="C4364" s="5" t="s">
        <v>8228</v>
      </c>
      <c r="D4364" s="6">
        <v>5895.69</v>
      </c>
      <c r="E4364" s="6">
        <v>5815.34</v>
      </c>
      <c r="F4364" s="7" t="s">
        <v>14</v>
      </c>
      <c r="G4364" s="8" t="s">
        <v>8229</v>
      </c>
      <c r="H4364" s="8" t="s">
        <v>16</v>
      </c>
      <c r="I4364" s="9">
        <v>2872</v>
      </c>
      <c r="J4364" s="10">
        <v>66</v>
      </c>
      <c r="K4364" s="10">
        <v>66467</v>
      </c>
      <c r="L4364" s="3" t="str">
        <f t="shared" si="143"/>
        <v>ΠΥΡΗΝΟΚΑΡΠΑ</v>
      </c>
    </row>
    <row r="4365" spans="1:12" s="3" customFormat="1" ht="15" customHeight="1" x14ac:dyDescent="0.25">
      <c r="A4365" s="3" t="str">
        <f t="shared" si="142"/>
        <v>ΠΥΡΗΝΟΚΑΡΠΑΒΕΡΙΚΟΚΑ LUNAFULL</v>
      </c>
      <c r="B4365" s="4" t="s">
        <v>7280</v>
      </c>
      <c r="C4365" s="5" t="s">
        <v>8230</v>
      </c>
      <c r="D4365" s="6">
        <v>5895.69</v>
      </c>
      <c r="E4365" s="6">
        <v>5815.34</v>
      </c>
      <c r="F4365" s="7" t="s">
        <v>14</v>
      </c>
      <c r="G4365" s="8" t="s">
        <v>8231</v>
      </c>
      <c r="H4365" s="8" t="s">
        <v>16</v>
      </c>
      <c r="I4365" s="9">
        <v>2873</v>
      </c>
      <c r="J4365" s="10">
        <v>66</v>
      </c>
      <c r="K4365" s="10">
        <v>66468</v>
      </c>
      <c r="L4365" s="3" t="str">
        <f t="shared" si="143"/>
        <v>ΠΥΡΗΝΟΚΑΡΠΑ</v>
      </c>
    </row>
    <row r="4366" spans="1:12" s="3" customFormat="1" ht="15" customHeight="1" x14ac:dyDescent="0.25">
      <c r="A4366" s="3" t="str">
        <f t="shared" si="142"/>
        <v>ΠΥΡΗΝΟΚΑΡΠΑΒΕΡΙΚΟΝΑ EA 4006 (BIG RED)</v>
      </c>
      <c r="B4366" s="4" t="s">
        <v>7280</v>
      </c>
      <c r="C4366" s="5" t="s">
        <v>8232</v>
      </c>
      <c r="D4366" s="6">
        <v>5895.69</v>
      </c>
      <c r="E4366" s="6">
        <v>5815.34</v>
      </c>
      <c r="F4366" s="7" t="s">
        <v>14</v>
      </c>
      <c r="G4366" s="8" t="s">
        <v>8233</v>
      </c>
      <c r="H4366" s="8" t="s">
        <v>16</v>
      </c>
      <c r="I4366" s="9">
        <v>2874</v>
      </c>
      <c r="J4366" s="10">
        <v>66</v>
      </c>
      <c r="K4366" s="10">
        <v>66469</v>
      </c>
      <c r="L4366" s="3" t="str">
        <f t="shared" si="143"/>
        <v>ΠΥΡΗΝΟΚΑΡΠΑ</v>
      </c>
    </row>
    <row r="4367" spans="1:12" s="3" customFormat="1" ht="15" customHeight="1" x14ac:dyDescent="0.25">
      <c r="A4367" s="3" t="str">
        <f t="shared" si="142"/>
        <v>ΠΥΡΗΝΟΚΑΡΠΑΡΟΔΑΚΙΝΑ ZAITRETA (RED FALL)</v>
      </c>
      <c r="B4367" s="4" t="s">
        <v>7280</v>
      </c>
      <c r="C4367" s="5" t="s">
        <v>8234</v>
      </c>
      <c r="D4367" s="6">
        <v>5895.69</v>
      </c>
      <c r="E4367" s="6">
        <v>5815.34</v>
      </c>
      <c r="F4367" s="7" t="s">
        <v>14</v>
      </c>
      <c r="G4367" s="8" t="s">
        <v>8235</v>
      </c>
      <c r="H4367" s="8" t="s">
        <v>16</v>
      </c>
      <c r="I4367" s="9">
        <v>2875</v>
      </c>
      <c r="J4367" s="10">
        <v>66</v>
      </c>
      <c r="K4367" s="10">
        <v>66470</v>
      </c>
      <c r="L4367" s="3" t="str">
        <f t="shared" si="143"/>
        <v>ΠΥΡΗΝΟΚΑΡΠΑ</v>
      </c>
    </row>
    <row r="4368" spans="1:12" s="3" customFormat="1" ht="15" customHeight="1" x14ac:dyDescent="0.25">
      <c r="A4368" s="3" t="str">
        <f t="shared" si="142"/>
        <v>ΠΥΡΗΝΟΚΑΡΠΑΒΕΡΙΚΟΚΑ FARBELA</v>
      </c>
      <c r="B4368" s="4" t="s">
        <v>7280</v>
      </c>
      <c r="C4368" s="5" t="s">
        <v>8236</v>
      </c>
      <c r="D4368" s="6">
        <v>5895.69</v>
      </c>
      <c r="E4368" s="6">
        <v>5815.34</v>
      </c>
      <c r="F4368" s="7" t="s">
        <v>14</v>
      </c>
      <c r="G4368" s="8" t="s">
        <v>8237</v>
      </c>
      <c r="H4368" s="8" t="s">
        <v>16</v>
      </c>
      <c r="I4368" s="9">
        <v>2876</v>
      </c>
      <c r="J4368" s="10">
        <v>66</v>
      </c>
      <c r="K4368" s="10">
        <v>66471</v>
      </c>
      <c r="L4368" s="3" t="str">
        <f t="shared" si="143"/>
        <v>ΠΥΡΗΝΟΚΑΡΠΑ</v>
      </c>
    </row>
    <row r="4369" spans="1:12" s="3" customFormat="1" ht="15" customHeight="1" x14ac:dyDescent="0.25">
      <c r="A4369" s="3" t="str">
        <f t="shared" si="142"/>
        <v>ΠΥΡΗΝΟΚΑΡΠΑΝΕΚΤΑΡΙΝΙΑ HONEY GLO</v>
      </c>
      <c r="B4369" s="4" t="s">
        <v>7280</v>
      </c>
      <c r="C4369" s="5" t="s">
        <v>8238</v>
      </c>
      <c r="D4369" s="6">
        <v>5895.69</v>
      </c>
      <c r="E4369" s="6">
        <v>5815.34</v>
      </c>
      <c r="F4369" s="7" t="s">
        <v>14</v>
      </c>
      <c r="G4369" s="8" t="s">
        <v>8239</v>
      </c>
      <c r="H4369" s="8" t="s">
        <v>16</v>
      </c>
      <c r="I4369" s="9">
        <v>2877</v>
      </c>
      <c r="J4369" s="10">
        <v>66</v>
      </c>
      <c r="K4369" s="10">
        <v>66472</v>
      </c>
      <c r="L4369" s="3" t="str">
        <f t="shared" si="143"/>
        <v>ΠΥΡΗΝΟΚΑΡΠΑ</v>
      </c>
    </row>
    <row r="4370" spans="1:12" s="3" customFormat="1" ht="15" customHeight="1" x14ac:dyDescent="0.25">
      <c r="A4370" s="3" t="str">
        <f t="shared" si="142"/>
        <v>ΠΥΡΗΝΟΚΑΡΠΑΡΟΔΑΚΙΝΑ ZEE LADY</v>
      </c>
      <c r="B4370" s="4" t="s">
        <v>7280</v>
      </c>
      <c r="C4370" s="5" t="s">
        <v>8240</v>
      </c>
      <c r="D4370" s="6">
        <v>5895.69</v>
      </c>
      <c r="E4370" s="6">
        <v>5815.34</v>
      </c>
      <c r="F4370" s="7" t="s">
        <v>14</v>
      </c>
      <c r="G4370" s="8" t="s">
        <v>8241</v>
      </c>
      <c r="H4370" s="8" t="s">
        <v>16</v>
      </c>
      <c r="I4370" s="9">
        <v>2878</v>
      </c>
      <c r="J4370" s="10">
        <v>66</v>
      </c>
      <c r="K4370" s="10">
        <v>66473</v>
      </c>
      <c r="L4370" s="3" t="str">
        <f t="shared" si="143"/>
        <v>ΠΥΡΗΝΟΚΑΡΠΑ</v>
      </c>
    </row>
    <row r="4371" spans="1:12" s="3" customFormat="1" ht="15" customHeight="1" x14ac:dyDescent="0.25">
      <c r="A4371" s="3" t="str">
        <f t="shared" si="142"/>
        <v>ΠΥΡΗΝΟΚΑΡΠΑΒΕΡΙΚΟΚΑ ANEGAT</v>
      </c>
      <c r="B4371" s="4" t="s">
        <v>7280</v>
      </c>
      <c r="C4371" s="5" t="s">
        <v>8242</v>
      </c>
      <c r="D4371" s="6">
        <v>5895.69</v>
      </c>
      <c r="E4371" s="6">
        <v>5815.34</v>
      </c>
      <c r="F4371" s="7" t="s">
        <v>14</v>
      </c>
      <c r="G4371" s="8" t="s">
        <v>8243</v>
      </c>
      <c r="H4371" s="8" t="s">
        <v>16</v>
      </c>
      <c r="I4371" s="9">
        <v>2879</v>
      </c>
      <c r="J4371" s="10">
        <v>66</v>
      </c>
      <c r="K4371" s="10">
        <v>66474</v>
      </c>
      <c r="L4371" s="3" t="str">
        <f t="shared" si="143"/>
        <v>ΠΥΡΗΝΟΚΑΡΠΑ</v>
      </c>
    </row>
    <row r="4372" spans="1:12" s="3" customFormat="1" ht="15" customHeight="1" x14ac:dyDescent="0.25">
      <c r="A4372" s="3" t="str">
        <f t="shared" si="142"/>
        <v>ΠΥΡΗΝΟΚΑΡΠΑΝΕΚΤΑΡΙΝΙΑ CRIMSON BABY</v>
      </c>
      <c r="B4372" s="21" t="s">
        <v>7280</v>
      </c>
      <c r="C4372" s="22" t="s">
        <v>8244</v>
      </c>
      <c r="D4372" s="6">
        <v>5895.69</v>
      </c>
      <c r="E4372" s="6">
        <v>5815.34</v>
      </c>
      <c r="F4372" s="7" t="s">
        <v>14</v>
      </c>
      <c r="G4372" s="8" t="s">
        <v>8245</v>
      </c>
      <c r="H4372" s="8" t="s">
        <v>16</v>
      </c>
      <c r="I4372" s="9">
        <v>5271</v>
      </c>
      <c r="J4372" s="16">
        <v>66</v>
      </c>
      <c r="K4372" s="16">
        <v>66475</v>
      </c>
      <c r="L4372" s="3" t="str">
        <f t="shared" si="143"/>
        <v>ΠΥΡΗΝΟΚΑΡΠΑ</v>
      </c>
    </row>
    <row r="4373" spans="1:12" s="3" customFormat="1" ht="15" customHeight="1" x14ac:dyDescent="0.25">
      <c r="A4373" s="3" t="str">
        <f t="shared" si="142"/>
        <v>ΠΥΡΗΝΟΚΑΡΠΑΝΕΚΤΑΡΙΝΙΑ DIANA</v>
      </c>
      <c r="B4373" s="21" t="s">
        <v>7280</v>
      </c>
      <c r="C4373" s="22" t="s">
        <v>8246</v>
      </c>
      <c r="D4373" s="6">
        <v>5895.69</v>
      </c>
      <c r="E4373" s="6">
        <v>5815.34</v>
      </c>
      <c r="F4373" s="7" t="s">
        <v>14</v>
      </c>
      <c r="G4373" s="8" t="s">
        <v>8247</v>
      </c>
      <c r="H4373" s="8" t="s">
        <v>16</v>
      </c>
      <c r="I4373" s="9">
        <v>5272</v>
      </c>
      <c r="J4373" s="16">
        <v>66</v>
      </c>
      <c r="K4373" s="16">
        <v>66476</v>
      </c>
      <c r="L4373" s="3" t="str">
        <f t="shared" si="143"/>
        <v>ΠΥΡΗΝΟΚΑΡΠΑ</v>
      </c>
    </row>
    <row r="4374" spans="1:12" s="3" customFormat="1" ht="15" customHeight="1" x14ac:dyDescent="0.25">
      <c r="A4374" s="3" t="str">
        <f t="shared" si="142"/>
        <v>ΠΥΡΗΝΟΚΑΡΠΑΝΕΚΤΑΡΙΝΙΑ EARLY MAY</v>
      </c>
      <c r="B4374" s="21" t="s">
        <v>7280</v>
      </c>
      <c r="C4374" s="22" t="s">
        <v>8248</v>
      </c>
      <c r="D4374" s="6">
        <v>5895.69</v>
      </c>
      <c r="E4374" s="6">
        <v>5815.34</v>
      </c>
      <c r="F4374" s="7" t="s">
        <v>14</v>
      </c>
      <c r="G4374" s="8" t="s">
        <v>8249</v>
      </c>
      <c r="H4374" s="8" t="s">
        <v>16</v>
      </c>
      <c r="I4374" s="9">
        <v>5273</v>
      </c>
      <c r="J4374" s="16">
        <v>66</v>
      </c>
      <c r="K4374" s="16">
        <v>66477</v>
      </c>
      <c r="L4374" s="3" t="str">
        <f t="shared" si="143"/>
        <v>ΠΥΡΗΝΟΚΑΡΠΑ</v>
      </c>
    </row>
    <row r="4375" spans="1:12" s="3" customFormat="1" ht="15" customHeight="1" x14ac:dyDescent="0.25">
      <c r="A4375" s="3" t="str">
        <f t="shared" si="142"/>
        <v>ΠΥΡΗΝΟΚΑΡΠΑΝΕΚΤΑΡΙΝΙΑ GRANSUN</v>
      </c>
      <c r="B4375" s="21" t="s">
        <v>7280</v>
      </c>
      <c r="C4375" s="22" t="s">
        <v>8250</v>
      </c>
      <c r="D4375" s="6">
        <v>5895.69</v>
      </c>
      <c r="E4375" s="6">
        <v>5815.34</v>
      </c>
      <c r="F4375" s="7" t="s">
        <v>14</v>
      </c>
      <c r="G4375" s="8" t="s">
        <v>8251</v>
      </c>
      <c r="H4375" s="8" t="s">
        <v>16</v>
      </c>
      <c r="I4375" s="9">
        <v>5274</v>
      </c>
      <c r="J4375" s="16">
        <v>66</v>
      </c>
      <c r="K4375" s="16">
        <v>66478</v>
      </c>
      <c r="L4375" s="3" t="str">
        <f t="shared" si="143"/>
        <v>ΠΥΡΗΝΟΚΑΡΠΑ</v>
      </c>
    </row>
    <row r="4376" spans="1:12" s="3" customFormat="1" ht="15" customHeight="1" x14ac:dyDescent="0.25">
      <c r="A4376" s="3" t="str">
        <f t="shared" si="142"/>
        <v>ΠΥΡΗΝΟΚΑΡΠΑΝΕΚΤΑΡΙΝΙΑ MAY FIRE</v>
      </c>
      <c r="B4376" s="21" t="s">
        <v>7280</v>
      </c>
      <c r="C4376" s="22" t="s">
        <v>8252</v>
      </c>
      <c r="D4376" s="6">
        <v>5895.69</v>
      </c>
      <c r="E4376" s="6">
        <v>5815.34</v>
      </c>
      <c r="F4376" s="7" t="s">
        <v>14</v>
      </c>
      <c r="G4376" s="8" t="s">
        <v>8253</v>
      </c>
      <c r="H4376" s="8" t="s">
        <v>16</v>
      </c>
      <c r="I4376" s="9">
        <v>5275</v>
      </c>
      <c r="J4376" s="16">
        <v>66</v>
      </c>
      <c r="K4376" s="16">
        <v>66479</v>
      </c>
      <c r="L4376" s="3" t="str">
        <f t="shared" si="143"/>
        <v>ΠΥΡΗΝΟΚΑΡΠΑ</v>
      </c>
    </row>
    <row r="4377" spans="1:12" s="3" customFormat="1" ht="15" customHeight="1" x14ac:dyDescent="0.25">
      <c r="A4377" s="3" t="str">
        <f t="shared" si="142"/>
        <v>ΠΥΡΗΝΟΚΑΡΠΑΝΕΚΤΑΡΙΝΙΑ MORSIANI 51</v>
      </c>
      <c r="B4377" s="21" t="s">
        <v>7280</v>
      </c>
      <c r="C4377" s="22" t="s">
        <v>8254</v>
      </c>
      <c r="D4377" s="6">
        <v>5895.69</v>
      </c>
      <c r="E4377" s="6">
        <v>5815.34</v>
      </c>
      <c r="F4377" s="7" t="s">
        <v>14</v>
      </c>
      <c r="G4377" s="8" t="s">
        <v>8255</v>
      </c>
      <c r="H4377" s="8" t="s">
        <v>16</v>
      </c>
      <c r="I4377" s="9">
        <v>5276</v>
      </c>
      <c r="J4377" s="16">
        <v>66</v>
      </c>
      <c r="K4377" s="16">
        <v>66480</v>
      </c>
      <c r="L4377" s="3" t="str">
        <f t="shared" si="143"/>
        <v>ΠΥΡΗΝΟΚΑΡΠΑ</v>
      </c>
    </row>
    <row r="4378" spans="1:12" s="3" customFormat="1" ht="15" customHeight="1" x14ac:dyDescent="0.25">
      <c r="A4378" s="3" t="str">
        <f t="shared" si="142"/>
        <v>ΠΥΡΗΝΟΚΑΡΠΑΝΕΚΤΑΡΙΝΙΑ MORSIANI 90</v>
      </c>
      <c r="B4378" s="21" t="s">
        <v>7280</v>
      </c>
      <c r="C4378" s="22" t="s">
        <v>8256</v>
      </c>
      <c r="D4378" s="6">
        <v>5895.69</v>
      </c>
      <c r="E4378" s="6">
        <v>5815.34</v>
      </c>
      <c r="F4378" s="7" t="s">
        <v>14</v>
      </c>
      <c r="G4378" s="8" t="s">
        <v>8257</v>
      </c>
      <c r="H4378" s="8" t="s">
        <v>16</v>
      </c>
      <c r="I4378" s="9">
        <v>5277</v>
      </c>
      <c r="J4378" s="16">
        <v>66</v>
      </c>
      <c r="K4378" s="16">
        <v>66481</v>
      </c>
      <c r="L4378" s="3" t="str">
        <f t="shared" si="143"/>
        <v>ΠΥΡΗΝΟΚΑΡΠΑ</v>
      </c>
    </row>
    <row r="4379" spans="1:12" s="3" customFormat="1" ht="15" customHeight="1" x14ac:dyDescent="0.25">
      <c r="A4379" s="3" t="str">
        <f t="shared" si="142"/>
        <v>ΠΥΡΗΝΟΚΑΡΠΑΝΕΚΤΑΡΙΝΙΑ REDQUEEN</v>
      </c>
      <c r="B4379" s="21" t="s">
        <v>7280</v>
      </c>
      <c r="C4379" s="22" t="s">
        <v>8258</v>
      </c>
      <c r="D4379" s="6">
        <v>5895.69</v>
      </c>
      <c r="E4379" s="6">
        <v>5815.34</v>
      </c>
      <c r="F4379" s="7" t="s">
        <v>14</v>
      </c>
      <c r="G4379" s="8" t="s">
        <v>8259</v>
      </c>
      <c r="H4379" s="8" t="s">
        <v>16</v>
      </c>
      <c r="I4379" s="9">
        <v>5278</v>
      </c>
      <c r="J4379" s="16">
        <v>66</v>
      </c>
      <c r="K4379" s="16">
        <v>66482</v>
      </c>
      <c r="L4379" s="3" t="str">
        <f t="shared" si="143"/>
        <v>ΠΥΡΗΝΟΚΑΡΠΑ</v>
      </c>
    </row>
    <row r="4380" spans="1:12" s="3" customFormat="1" ht="15" customHeight="1" x14ac:dyDescent="0.25">
      <c r="A4380" s="3" t="str">
        <f t="shared" si="142"/>
        <v>ΠΥΡΗΝΟΚΑΡΠΑΡΟΔΑΚΙΝΑ EARLY MAYCREST</v>
      </c>
      <c r="B4380" s="21" t="s">
        <v>7280</v>
      </c>
      <c r="C4380" s="22" t="s">
        <v>8260</v>
      </c>
      <c r="D4380" s="6">
        <v>5895.69</v>
      </c>
      <c r="E4380" s="6">
        <v>5815.34</v>
      </c>
      <c r="F4380" s="7" t="s">
        <v>14</v>
      </c>
      <c r="G4380" s="8" t="s">
        <v>8261</v>
      </c>
      <c r="H4380" s="8" t="s">
        <v>16</v>
      </c>
      <c r="I4380" s="9">
        <v>5279</v>
      </c>
      <c r="J4380" s="16">
        <v>66</v>
      </c>
      <c r="K4380" s="16">
        <v>66483</v>
      </c>
      <c r="L4380" s="3" t="str">
        <f t="shared" si="143"/>
        <v>ΠΥΡΗΝΟΚΑΡΠΑ</v>
      </c>
    </row>
    <row r="4381" spans="1:12" s="3" customFormat="1" ht="15" customHeight="1" x14ac:dyDescent="0.25">
      <c r="A4381" s="3" t="str">
        <f t="shared" si="142"/>
        <v>ΠΥΡΗΝΟΚΑΡΠΑΡΟΔΑΚΙΝΑ PULCHRA</v>
      </c>
      <c r="B4381" s="21" t="s">
        <v>7280</v>
      </c>
      <c r="C4381" s="22" t="s">
        <v>8262</v>
      </c>
      <c r="D4381" s="6">
        <v>5895.69</v>
      </c>
      <c r="E4381" s="6">
        <v>5815.34</v>
      </c>
      <c r="F4381" s="7" t="s">
        <v>14</v>
      </c>
      <c r="G4381" s="8" t="s">
        <v>8263</v>
      </c>
      <c r="H4381" s="8" t="s">
        <v>16</v>
      </c>
      <c r="I4381" s="9">
        <v>5280</v>
      </c>
      <c r="J4381" s="16">
        <v>66</v>
      </c>
      <c r="K4381" s="16">
        <v>66484</v>
      </c>
      <c r="L4381" s="3" t="str">
        <f t="shared" si="143"/>
        <v>ΠΥΡΗΝΟΚΑΡΠΑ</v>
      </c>
    </row>
    <row r="4382" spans="1:12" s="3" customFormat="1" ht="15" customHeight="1" x14ac:dyDescent="0.25">
      <c r="A4382" s="3" t="str">
        <f t="shared" si="142"/>
        <v>ΠΥΡΗΝΟΚΑΡΠΑΡΟΔΑΚΙΝΑ STARCREST</v>
      </c>
      <c r="B4382" s="21" t="s">
        <v>7280</v>
      </c>
      <c r="C4382" s="22" t="s">
        <v>8264</v>
      </c>
      <c r="D4382" s="6">
        <v>5895.69</v>
      </c>
      <c r="E4382" s="6">
        <v>5815.34</v>
      </c>
      <c r="F4382" s="7" t="s">
        <v>14</v>
      </c>
      <c r="G4382" s="8" t="s">
        <v>8265</v>
      </c>
      <c r="H4382" s="8" t="s">
        <v>16</v>
      </c>
      <c r="I4382" s="9">
        <v>5281</v>
      </c>
      <c r="J4382" s="16">
        <v>66</v>
      </c>
      <c r="K4382" s="16">
        <v>66485</v>
      </c>
      <c r="L4382" s="3" t="str">
        <f t="shared" si="143"/>
        <v>ΠΥΡΗΝΟΚΑΡΠΑ</v>
      </c>
    </row>
    <row r="4383" spans="1:12" s="3" customFormat="1" ht="15" customHeight="1" x14ac:dyDescent="0.25">
      <c r="A4383" s="3" t="str">
        <f t="shared" si="142"/>
        <v>ΠΥΡΗΝΟΚΑΡΠΑΡΟΔΑΚΙΝΑ PRO C 1 (EARLY FRESH)</v>
      </c>
      <c r="B4383" s="21" t="s">
        <v>7280</v>
      </c>
      <c r="C4383" s="22" t="s">
        <v>8266</v>
      </c>
      <c r="D4383" s="6">
        <v>5895.69</v>
      </c>
      <c r="E4383" s="6">
        <v>5815.34</v>
      </c>
      <c r="F4383" s="7" t="s">
        <v>14</v>
      </c>
      <c r="G4383" s="8" t="s">
        <v>8267</v>
      </c>
      <c r="H4383" s="8" t="s">
        <v>16</v>
      </c>
      <c r="I4383" s="9">
        <v>5228</v>
      </c>
      <c r="J4383" s="16">
        <v>66</v>
      </c>
      <c r="K4383" s="16">
        <v>66486</v>
      </c>
      <c r="L4383" s="3" t="str">
        <f t="shared" si="143"/>
        <v>ΠΥΡΗΝΟΚΑΡΠΑ</v>
      </c>
    </row>
    <row r="4384" spans="1:12" s="3" customFormat="1" ht="15" customHeight="1" x14ac:dyDescent="0.25">
      <c r="A4384" s="3" t="str">
        <f t="shared" si="142"/>
        <v>ΠΥΡΗΝΟΚΑΡΠΑΡΟΔΑΚΙΝΑ BOLERO</v>
      </c>
      <c r="B4384" s="21" t="s">
        <v>7280</v>
      </c>
      <c r="C4384" s="22" t="s">
        <v>8268</v>
      </c>
      <c r="D4384" s="6">
        <v>5895.69</v>
      </c>
      <c r="E4384" s="6">
        <v>5815.34</v>
      </c>
      <c r="F4384" s="7" t="s">
        <v>14</v>
      </c>
      <c r="G4384" s="8" t="s">
        <v>8269</v>
      </c>
      <c r="H4384" s="8" t="s">
        <v>16</v>
      </c>
      <c r="I4384" s="9">
        <v>5229</v>
      </c>
      <c r="J4384" s="16">
        <v>66</v>
      </c>
      <c r="K4384" s="16">
        <v>66487</v>
      </c>
      <c r="L4384" s="3" t="str">
        <f t="shared" si="143"/>
        <v>ΠΥΡΗΝΟΚΑΡΠΑ</v>
      </c>
    </row>
    <row r="4385" spans="1:12" s="3" customFormat="1" ht="15" customHeight="1" x14ac:dyDescent="0.25">
      <c r="A4385" s="3" t="str">
        <f t="shared" si="142"/>
        <v>ΠΥΡΗΝΟΚΑΡΠΑΡΟΔΑΚΙΝΑ FERGOLD</v>
      </c>
      <c r="B4385" s="21" t="s">
        <v>7280</v>
      </c>
      <c r="C4385" s="22" t="s">
        <v>8270</v>
      </c>
      <c r="D4385" s="6">
        <v>5895.69</v>
      </c>
      <c r="E4385" s="6">
        <v>5815.34</v>
      </c>
      <c r="F4385" s="7" t="s">
        <v>14</v>
      </c>
      <c r="G4385" s="8" t="s">
        <v>8271</v>
      </c>
      <c r="H4385" s="8" t="s">
        <v>16</v>
      </c>
      <c r="I4385" s="9">
        <v>5230</v>
      </c>
      <c r="J4385" s="16">
        <v>66</v>
      </c>
      <c r="K4385" s="16">
        <v>66488</v>
      </c>
      <c r="L4385" s="3" t="str">
        <f t="shared" si="143"/>
        <v>ΠΥΡΗΝΟΚΑΡΠΑ</v>
      </c>
    </row>
    <row r="4386" spans="1:12" s="3" customFormat="1" ht="15" customHeight="1" x14ac:dyDescent="0.25">
      <c r="A4386" s="3" t="str">
        <f t="shared" si="142"/>
        <v>ΠΥΡΗΝΟΚΑΡΠΑΡΟΔΑΚΙΝΑ BABYLONE</v>
      </c>
      <c r="B4386" s="21" t="s">
        <v>7280</v>
      </c>
      <c r="C4386" s="22" t="s">
        <v>8272</v>
      </c>
      <c r="D4386" s="6">
        <v>5895.69</v>
      </c>
      <c r="E4386" s="6">
        <v>5815.34</v>
      </c>
      <c r="F4386" s="7" t="s">
        <v>14</v>
      </c>
      <c r="G4386" s="8" t="s">
        <v>8273</v>
      </c>
      <c r="H4386" s="8" t="s">
        <v>16</v>
      </c>
      <c r="I4386" s="9">
        <v>5231</v>
      </c>
      <c r="J4386" s="16">
        <v>66</v>
      </c>
      <c r="K4386" s="16">
        <v>66489</v>
      </c>
      <c r="L4386" s="3" t="str">
        <f t="shared" si="143"/>
        <v>ΠΥΡΗΝΟΚΑΡΠΑ</v>
      </c>
    </row>
    <row r="4387" spans="1:12" s="3" customFormat="1" ht="15" customHeight="1" x14ac:dyDescent="0.25">
      <c r="A4387" s="3" t="str">
        <f t="shared" si="142"/>
        <v>ΠΥΡΗΝΟΚΑΡΠΑΡΟΔΑΚΙΝΑ ISFROPLAT 3 (UFO 3)</v>
      </c>
      <c r="B4387" s="21" t="s">
        <v>7280</v>
      </c>
      <c r="C4387" s="22" t="s">
        <v>8274</v>
      </c>
      <c r="D4387" s="6">
        <v>5895.69</v>
      </c>
      <c r="E4387" s="6">
        <v>5815.34</v>
      </c>
      <c r="F4387" s="7" t="s">
        <v>14</v>
      </c>
      <c r="G4387" s="8" t="s">
        <v>8275</v>
      </c>
      <c r="H4387" s="8" t="s">
        <v>16</v>
      </c>
      <c r="I4387" s="9">
        <v>5232</v>
      </c>
      <c r="J4387" s="16">
        <v>66</v>
      </c>
      <c r="K4387" s="16">
        <v>66490</v>
      </c>
      <c r="L4387" s="3" t="str">
        <f t="shared" si="143"/>
        <v>ΠΥΡΗΝΟΚΑΡΠΑ</v>
      </c>
    </row>
    <row r="4388" spans="1:12" s="3" customFormat="1" ht="15" customHeight="1" x14ac:dyDescent="0.25">
      <c r="A4388" s="3" t="str">
        <f t="shared" si="142"/>
        <v>ΠΥΡΗΝΟΚΑΡΠΑΡΟΔΑΚΙΝΑ OSIRIS</v>
      </c>
      <c r="B4388" s="21" t="s">
        <v>7280</v>
      </c>
      <c r="C4388" s="22" t="s">
        <v>8276</v>
      </c>
      <c r="D4388" s="6">
        <v>5895.69</v>
      </c>
      <c r="E4388" s="6">
        <v>5815.34</v>
      </c>
      <c r="F4388" s="7" t="s">
        <v>14</v>
      </c>
      <c r="G4388" s="8" t="s">
        <v>8277</v>
      </c>
      <c r="H4388" s="8" t="s">
        <v>16</v>
      </c>
      <c r="I4388" s="9">
        <v>5233</v>
      </c>
      <c r="J4388" s="16">
        <v>66</v>
      </c>
      <c r="K4388" s="16">
        <v>66491</v>
      </c>
      <c r="L4388" s="3" t="str">
        <f t="shared" si="143"/>
        <v>ΠΥΡΗΝΟΚΑΡΠΑ</v>
      </c>
    </row>
    <row r="4389" spans="1:12" s="3" customFormat="1" ht="15" customHeight="1" x14ac:dyDescent="0.25">
      <c r="A4389" s="3" t="str">
        <f t="shared" si="142"/>
        <v>ΠΥΡΗΝΟΚΑΡΠΑΡΟΔΑΚΙΝΑ FILOE</v>
      </c>
      <c r="B4389" s="21" t="s">
        <v>7280</v>
      </c>
      <c r="C4389" s="22" t="s">
        <v>8278</v>
      </c>
      <c r="D4389" s="6">
        <v>5895.69</v>
      </c>
      <c r="E4389" s="6">
        <v>5815.34</v>
      </c>
      <c r="F4389" s="7" t="s">
        <v>14</v>
      </c>
      <c r="G4389" s="8" t="s">
        <v>8279</v>
      </c>
      <c r="H4389" s="8" t="s">
        <v>16</v>
      </c>
      <c r="I4389" s="9">
        <v>5234</v>
      </c>
      <c r="J4389" s="16">
        <v>66</v>
      </c>
      <c r="K4389" s="16">
        <v>66492</v>
      </c>
      <c r="L4389" s="3" t="str">
        <f t="shared" si="143"/>
        <v>ΠΥΡΗΝΟΚΑΡΠΑ</v>
      </c>
    </row>
    <row r="4390" spans="1:12" s="3" customFormat="1" ht="15" customHeight="1" x14ac:dyDescent="0.25">
      <c r="A4390" s="3" t="str">
        <f t="shared" si="142"/>
        <v>ΠΥΡΗΝΟΚΑΡΠΑΡΟΔΑΚΙΝΑ SAMANTHA</v>
      </c>
      <c r="B4390" s="21" t="s">
        <v>7280</v>
      </c>
      <c r="C4390" s="22" t="s">
        <v>8280</v>
      </c>
      <c r="D4390" s="6">
        <v>5895.69</v>
      </c>
      <c r="E4390" s="6">
        <v>5815.34</v>
      </c>
      <c r="F4390" s="7" t="s">
        <v>14</v>
      </c>
      <c r="G4390" s="8" t="s">
        <v>8281</v>
      </c>
      <c r="H4390" s="8" t="s">
        <v>16</v>
      </c>
      <c r="I4390" s="9">
        <v>5235</v>
      </c>
      <c r="J4390" s="16">
        <v>66</v>
      </c>
      <c r="K4390" s="16">
        <v>66493</v>
      </c>
      <c r="L4390" s="3" t="str">
        <f t="shared" si="143"/>
        <v>ΠΥΡΗΝΟΚΑΡΠΑ</v>
      </c>
    </row>
    <row r="4391" spans="1:12" s="3" customFormat="1" ht="15" customHeight="1" x14ac:dyDescent="0.25">
      <c r="A4391" s="3" t="str">
        <f t="shared" si="142"/>
        <v>ΠΥΡΗΝΟΚΑΡΠΑΝΕΚΤΑΡΙΝΙΑ ISFRONET 2 (PLATINET 2)</v>
      </c>
      <c r="B4391" s="21" t="s">
        <v>7280</v>
      </c>
      <c r="C4391" s="22" t="s">
        <v>8282</v>
      </c>
      <c r="D4391" s="6">
        <v>5895.69</v>
      </c>
      <c r="E4391" s="6">
        <v>5815.34</v>
      </c>
      <c r="F4391" s="7" t="s">
        <v>14</v>
      </c>
      <c r="G4391" s="8" t="s">
        <v>8283</v>
      </c>
      <c r="H4391" s="8" t="s">
        <v>16</v>
      </c>
      <c r="I4391" s="9">
        <v>5236</v>
      </c>
      <c r="J4391" s="16">
        <v>66</v>
      </c>
      <c r="K4391" s="16">
        <v>66494</v>
      </c>
      <c r="L4391" s="3" t="str">
        <f t="shared" si="143"/>
        <v>ΠΥΡΗΝΟΚΑΡΠΑ</v>
      </c>
    </row>
    <row r="4392" spans="1:12" s="3" customFormat="1" ht="15" customHeight="1" x14ac:dyDescent="0.25">
      <c r="A4392" s="3" t="str">
        <f t="shared" si="142"/>
        <v>ΠΥΡΗΝΟΚΑΡΠΑΝΕΚΤΑΡΙΝΙΑ ISFRONET 3 (PLATINET 3)</v>
      </c>
      <c r="B4392" s="21" t="s">
        <v>7280</v>
      </c>
      <c r="C4392" s="22" t="s">
        <v>8284</v>
      </c>
      <c r="D4392" s="6">
        <v>5895.69</v>
      </c>
      <c r="E4392" s="6">
        <v>5815.34</v>
      </c>
      <c r="F4392" s="7" t="s">
        <v>14</v>
      </c>
      <c r="G4392" s="8" t="s">
        <v>8285</v>
      </c>
      <c r="H4392" s="8" t="s">
        <v>16</v>
      </c>
      <c r="I4392" s="9">
        <v>5237</v>
      </c>
      <c r="J4392" s="16">
        <v>66</v>
      </c>
      <c r="K4392" s="16">
        <v>66495</v>
      </c>
      <c r="L4392" s="3" t="str">
        <f t="shared" si="143"/>
        <v>ΠΥΡΗΝΟΚΑΡΠΑ</v>
      </c>
    </row>
    <row r="4393" spans="1:12" s="3" customFormat="1" ht="15" customHeight="1" x14ac:dyDescent="0.25">
      <c r="A4393" s="3" t="str">
        <f t="shared" si="142"/>
        <v>ΠΥΡΗΝΟΚΑΡΠΑΝΕΚΤΑΡΙΝΙΑ ZAITREME (LATE FIRE)</v>
      </c>
      <c r="B4393" s="21" t="s">
        <v>7280</v>
      </c>
      <c r="C4393" s="22" t="s">
        <v>8286</v>
      </c>
      <c r="D4393" s="6">
        <v>5895.69</v>
      </c>
      <c r="E4393" s="6">
        <v>5815.34</v>
      </c>
      <c r="F4393" s="7" t="s">
        <v>14</v>
      </c>
      <c r="G4393" s="8" t="s">
        <v>8287</v>
      </c>
      <c r="H4393" s="8" t="s">
        <v>16</v>
      </c>
      <c r="I4393" s="9">
        <v>5238</v>
      </c>
      <c r="J4393" s="16">
        <v>66</v>
      </c>
      <c r="K4393" s="16">
        <v>66496</v>
      </c>
      <c r="L4393" s="3" t="str">
        <f t="shared" si="143"/>
        <v>ΠΥΡΗΝΟΚΑΡΠΑ</v>
      </c>
    </row>
    <row r="4394" spans="1:12" s="3" customFormat="1" ht="15" customHeight="1" x14ac:dyDescent="0.25">
      <c r="A4394" s="3" t="str">
        <f t="shared" si="142"/>
        <v>ΠΥΡΗΝΟΚΑΡΠΑΝΕΚΤΑΡΙΝΙΑ MONPHIR (ZEPHYR)</v>
      </c>
      <c r="B4394" s="21" t="s">
        <v>7280</v>
      </c>
      <c r="C4394" s="22" t="s">
        <v>8288</v>
      </c>
      <c r="D4394" s="6">
        <v>5895.69</v>
      </c>
      <c r="E4394" s="6">
        <v>5815.34</v>
      </c>
      <c r="F4394" s="7" t="s">
        <v>14</v>
      </c>
      <c r="G4394" s="8" t="s">
        <v>8289</v>
      </c>
      <c r="H4394" s="8" t="s">
        <v>16</v>
      </c>
      <c r="I4394" s="9">
        <v>5239</v>
      </c>
      <c r="J4394" s="16">
        <v>66</v>
      </c>
      <c r="K4394" s="16">
        <v>66497</v>
      </c>
      <c r="L4394" s="3" t="str">
        <f t="shared" si="143"/>
        <v>ΠΥΡΗΝΟΚΑΡΠΑ</v>
      </c>
    </row>
    <row r="4395" spans="1:12" s="3" customFormat="1" ht="15" customHeight="1" x14ac:dyDescent="0.25">
      <c r="A4395" s="3" t="str">
        <f t="shared" si="142"/>
        <v>ΠΥΡΗΝΟΚΑΡΠΑΝΕΚΤΑΡΙΝΙΑ  KINOLEA</v>
      </c>
      <c r="B4395" s="21" t="s">
        <v>7280</v>
      </c>
      <c r="C4395" s="22" t="s">
        <v>8290</v>
      </c>
      <c r="D4395" s="6">
        <v>5895.69</v>
      </c>
      <c r="E4395" s="6">
        <v>5815.34</v>
      </c>
      <c r="F4395" s="7" t="s">
        <v>14</v>
      </c>
      <c r="G4395" s="8" t="s">
        <v>8291</v>
      </c>
      <c r="H4395" s="8" t="s">
        <v>16</v>
      </c>
      <c r="I4395" s="9">
        <v>5240</v>
      </c>
      <c r="J4395" s="16">
        <v>66</v>
      </c>
      <c r="K4395" s="16">
        <v>66498</v>
      </c>
      <c r="L4395" s="3" t="str">
        <f t="shared" si="143"/>
        <v>ΠΥΡΗΝΟΚΑΡΠΑ</v>
      </c>
    </row>
    <row r="4396" spans="1:12" s="3" customFormat="1" ht="15" customHeight="1" x14ac:dyDescent="0.25">
      <c r="A4396" s="3" t="str">
        <f t="shared" si="142"/>
        <v>ΠΥΡΗΝΟΚΑΡΠΑΔΑΜΑΣΚΗΝΑ CRIMSON GLO</v>
      </c>
      <c r="B4396" s="21" t="s">
        <v>7280</v>
      </c>
      <c r="C4396" s="22" t="s">
        <v>8292</v>
      </c>
      <c r="D4396" s="6">
        <v>5895.69</v>
      </c>
      <c r="E4396" s="6">
        <v>5815.34</v>
      </c>
      <c r="F4396" s="7" t="s">
        <v>14</v>
      </c>
      <c r="G4396" s="8" t="s">
        <v>8293</v>
      </c>
      <c r="H4396" s="8" t="s">
        <v>16</v>
      </c>
      <c r="I4396" s="9">
        <v>5241</v>
      </c>
      <c r="J4396" s="16">
        <v>66</v>
      </c>
      <c r="K4396" s="16">
        <v>66499</v>
      </c>
      <c r="L4396" s="3" t="str">
        <f t="shared" si="143"/>
        <v>ΠΥΡΗΝΟΚΑΡΠΑ</v>
      </c>
    </row>
    <row r="4397" spans="1:12" s="3" customFormat="1" ht="15" customHeight="1" x14ac:dyDescent="0.25">
      <c r="A4397" s="3" t="str">
        <f t="shared" si="142"/>
        <v>ΠΥΡΗΝΟΚΑΡΠΑΔΑΜΑΣΚΗΝΑ PRO1C (EBONY 51)</v>
      </c>
      <c r="B4397" s="21" t="s">
        <v>7280</v>
      </c>
      <c r="C4397" s="22" t="s">
        <v>8294</v>
      </c>
      <c r="D4397" s="6">
        <v>5895.69</v>
      </c>
      <c r="E4397" s="6">
        <v>5815.34</v>
      </c>
      <c r="F4397" s="7" t="s">
        <v>14</v>
      </c>
      <c r="G4397" s="8" t="s">
        <v>8295</v>
      </c>
      <c r="H4397" s="8" t="s">
        <v>16</v>
      </c>
      <c r="I4397" s="9">
        <v>5242</v>
      </c>
      <c r="J4397" s="16">
        <v>66</v>
      </c>
      <c r="K4397" s="16">
        <v>66500</v>
      </c>
      <c r="L4397" s="3" t="str">
        <f t="shared" si="143"/>
        <v>ΠΥΡΗΝΟΚΑΡΠΑ</v>
      </c>
    </row>
    <row r="4398" spans="1:12" s="3" customFormat="1" ht="15" customHeight="1" x14ac:dyDescent="0.25">
      <c r="A4398" s="3" t="str">
        <f t="shared" si="142"/>
        <v>ΠΥΡΗΝΟΚΑΡΠΑΔΑΜΑΣΚΗΝΑ PRO55C (EBONY 55)</v>
      </c>
      <c r="B4398" s="21" t="s">
        <v>7280</v>
      </c>
      <c r="C4398" s="22" t="s">
        <v>8296</v>
      </c>
      <c r="D4398" s="6">
        <v>5895.69</v>
      </c>
      <c r="E4398" s="6">
        <v>5815.34</v>
      </c>
      <c r="F4398" s="7" t="s">
        <v>14</v>
      </c>
      <c r="G4398" s="8" t="s">
        <v>8297</v>
      </c>
      <c r="H4398" s="8" t="s">
        <v>16</v>
      </c>
      <c r="I4398" s="9">
        <v>5243</v>
      </c>
      <c r="J4398" s="16">
        <v>66</v>
      </c>
      <c r="K4398" s="16">
        <v>66501</v>
      </c>
      <c r="L4398" s="3" t="str">
        <f t="shared" si="143"/>
        <v>ΠΥΡΗΝΟΚΑΡΠΑ</v>
      </c>
    </row>
    <row r="4399" spans="1:12" s="3" customFormat="1" ht="15" customHeight="1" x14ac:dyDescent="0.25">
      <c r="A4399" s="3" t="str">
        <f t="shared" si="142"/>
        <v>ΠΥΡΗΝΟΚΑΡΠΑΝΕΚΤΑΡΙΝΙΑ ISFRONET 1 (PLATINET 1)</v>
      </c>
      <c r="B4399" s="21" t="s">
        <v>7280</v>
      </c>
      <c r="C4399" s="22" t="s">
        <v>8298</v>
      </c>
      <c r="D4399" s="6">
        <v>5895.69</v>
      </c>
      <c r="E4399" s="6">
        <v>5815.34</v>
      </c>
      <c r="F4399" s="7" t="s">
        <v>14</v>
      </c>
      <c r="G4399" s="8" t="s">
        <v>8299</v>
      </c>
      <c r="H4399" s="8" t="s">
        <v>16</v>
      </c>
      <c r="I4399" s="9">
        <v>5244</v>
      </c>
      <c r="J4399" s="16">
        <v>66</v>
      </c>
      <c r="K4399" s="16">
        <v>66502</v>
      </c>
      <c r="L4399" s="3" t="str">
        <f t="shared" si="143"/>
        <v>ΠΥΡΗΝΟΚΑΡΠΑ</v>
      </c>
    </row>
    <row r="4400" spans="1:12" s="3" customFormat="1" ht="15" customHeight="1" x14ac:dyDescent="0.25">
      <c r="A4400" s="3" t="str">
        <f t="shared" si="142"/>
        <v>ΠΥΡΗΝΟΚΑΡΠΑΝΕΚΤΑΡΙΝΙΑ PRO 618 (EXTREME 618)</v>
      </c>
      <c r="B4400" s="21" t="s">
        <v>7280</v>
      </c>
      <c r="C4400" s="22" t="s">
        <v>8300</v>
      </c>
      <c r="D4400" s="6">
        <v>5895.69</v>
      </c>
      <c r="E4400" s="6">
        <v>5815.34</v>
      </c>
      <c r="F4400" s="7" t="s">
        <v>14</v>
      </c>
      <c r="G4400" s="8" t="s">
        <v>8301</v>
      </c>
      <c r="H4400" s="8" t="s">
        <v>16</v>
      </c>
      <c r="I4400" s="9">
        <v>5245</v>
      </c>
      <c r="J4400" s="16">
        <v>66</v>
      </c>
      <c r="K4400" s="16">
        <v>66503</v>
      </c>
      <c r="L4400" s="3" t="str">
        <f t="shared" si="143"/>
        <v>ΠΥΡΗΝΟΚΑΡΠΑ</v>
      </c>
    </row>
    <row r="4401" spans="1:12" s="3" customFormat="1" ht="15" customHeight="1" x14ac:dyDescent="0.25">
      <c r="A4401" s="3" t="str">
        <f t="shared" si="142"/>
        <v>ΠΥΡΗΝΟΚΑΡΠΑΒΕΡΙΚΟΚΑ NESTOR</v>
      </c>
      <c r="B4401" s="21" t="s">
        <v>7280</v>
      </c>
      <c r="C4401" s="22" t="s">
        <v>8302</v>
      </c>
      <c r="D4401" s="6">
        <v>5895.69</v>
      </c>
      <c r="E4401" s="6">
        <v>5815.34</v>
      </c>
      <c r="F4401" s="7" t="s">
        <v>14</v>
      </c>
      <c r="G4401" s="8" t="s">
        <v>8303</v>
      </c>
      <c r="H4401" s="8" t="s">
        <v>16</v>
      </c>
      <c r="I4401" s="9">
        <v>5246</v>
      </c>
      <c r="J4401" s="16">
        <v>66</v>
      </c>
      <c r="K4401" s="16">
        <v>66504</v>
      </c>
      <c r="L4401" s="3" t="str">
        <f t="shared" si="143"/>
        <v>ΠΥΡΗΝΟΚΑΡΠΑ</v>
      </c>
    </row>
    <row r="4402" spans="1:12" s="3" customFormat="1" ht="15" customHeight="1" x14ac:dyDescent="0.25">
      <c r="A4402" s="3" t="str">
        <f t="shared" si="142"/>
        <v>ΠΥΡΗΝΟΚΑΡΠΑΒΕΡΙΚΟΚΑ ROBADA</v>
      </c>
      <c r="B4402" s="21" t="s">
        <v>7280</v>
      </c>
      <c r="C4402" s="22" t="s">
        <v>8304</v>
      </c>
      <c r="D4402" s="6">
        <v>5895.69</v>
      </c>
      <c r="E4402" s="6">
        <v>5815.34</v>
      </c>
      <c r="F4402" s="7" t="s">
        <v>14</v>
      </c>
      <c r="G4402" s="8" t="s">
        <v>8305</v>
      </c>
      <c r="H4402" s="8" t="s">
        <v>16</v>
      </c>
      <c r="I4402" s="9">
        <v>5247</v>
      </c>
      <c r="J4402" s="16">
        <v>66</v>
      </c>
      <c r="K4402" s="16">
        <v>66505</v>
      </c>
      <c r="L4402" s="3" t="str">
        <f t="shared" si="143"/>
        <v>ΠΥΡΗΝΟΚΑΡΠΑ</v>
      </c>
    </row>
    <row r="4403" spans="1:12" s="3" customFormat="1" ht="15" customHeight="1" x14ac:dyDescent="0.25">
      <c r="A4403" s="3" t="str">
        <f t="shared" si="142"/>
        <v>ΠΥΡΗΝΟΚΑΡΠΑΚΕΡΑΣΙΑ PA2UNIBO (SWEET LORENZ)</v>
      </c>
      <c r="B4403" s="21" t="s">
        <v>7280</v>
      </c>
      <c r="C4403" s="22" t="s">
        <v>8306</v>
      </c>
      <c r="D4403" s="6">
        <v>5895.69</v>
      </c>
      <c r="E4403" s="6">
        <v>5815.34</v>
      </c>
      <c r="F4403" s="7" t="s">
        <v>14</v>
      </c>
      <c r="G4403" s="8" t="s">
        <v>8307</v>
      </c>
      <c r="H4403" s="8" t="s">
        <v>16</v>
      </c>
      <c r="I4403" s="9">
        <v>5248</v>
      </c>
      <c r="J4403" s="16">
        <v>66</v>
      </c>
      <c r="K4403" s="16">
        <v>66506</v>
      </c>
      <c r="L4403" s="3" t="str">
        <f t="shared" si="143"/>
        <v>ΠΥΡΗΝΟΚΑΡΠΑ</v>
      </c>
    </row>
    <row r="4404" spans="1:12" s="3" customFormat="1" ht="15" customHeight="1" x14ac:dyDescent="0.25">
      <c r="A4404" s="3" t="str">
        <f t="shared" si="142"/>
        <v>ΠΥΡΗΝΟΚΑΡΠΑΚΕΡΑΣΙΑ PA3UNIBO (SWEET GABRIEL)</v>
      </c>
      <c r="B4404" s="21" t="s">
        <v>7280</v>
      </c>
      <c r="C4404" s="22" t="s">
        <v>8308</v>
      </c>
      <c r="D4404" s="6">
        <v>5895.69</v>
      </c>
      <c r="E4404" s="6">
        <v>5815.34</v>
      </c>
      <c r="F4404" s="7" t="s">
        <v>14</v>
      </c>
      <c r="G4404" s="8" t="s">
        <v>8309</v>
      </c>
      <c r="H4404" s="8" t="s">
        <v>16</v>
      </c>
      <c r="I4404" s="9">
        <v>5249</v>
      </c>
      <c r="J4404" s="16">
        <v>66</v>
      </c>
      <c r="K4404" s="16">
        <v>66507</v>
      </c>
      <c r="L4404" s="3" t="str">
        <f t="shared" si="143"/>
        <v>ΠΥΡΗΝΟΚΑΡΠΑ</v>
      </c>
    </row>
    <row r="4405" spans="1:12" s="3" customFormat="1" ht="15" customHeight="1" x14ac:dyDescent="0.25">
      <c r="A4405" s="3" t="str">
        <f t="shared" si="142"/>
        <v>ΠΥΡΗΝΟΚΑΡΠΑΚΕΡΑΣΙΑ SUMLETA</v>
      </c>
      <c r="B4405" s="21" t="s">
        <v>7280</v>
      </c>
      <c r="C4405" s="22" t="s">
        <v>8310</v>
      </c>
      <c r="D4405" s="6">
        <v>5895.69</v>
      </c>
      <c r="E4405" s="6">
        <v>5815.34</v>
      </c>
      <c r="F4405" s="7" t="s">
        <v>14</v>
      </c>
      <c r="G4405" s="8" t="s">
        <v>8311</v>
      </c>
      <c r="H4405" s="8" t="s">
        <v>16</v>
      </c>
      <c r="I4405" s="9">
        <v>5250</v>
      </c>
      <c r="J4405" s="16">
        <v>66</v>
      </c>
      <c r="K4405" s="16">
        <v>66508</v>
      </c>
      <c r="L4405" s="3" t="str">
        <f t="shared" si="143"/>
        <v>ΠΥΡΗΝΟΚΑΡΠΑ</v>
      </c>
    </row>
    <row r="4406" spans="1:12" s="3" customFormat="1" ht="15" customHeight="1" x14ac:dyDescent="0.25">
      <c r="A4406" s="3" t="str">
        <f t="shared" si="142"/>
        <v>ΠΥΡΗΝΟΚΑΡΠΑΚΕΡΑΣΙΑ VALERY TSCHKALOV</v>
      </c>
      <c r="B4406" s="21" t="s">
        <v>7280</v>
      </c>
      <c r="C4406" s="22" t="s">
        <v>8312</v>
      </c>
      <c r="D4406" s="6">
        <v>5895.69</v>
      </c>
      <c r="E4406" s="6">
        <v>5815.34</v>
      </c>
      <c r="F4406" s="7" t="s">
        <v>14</v>
      </c>
      <c r="G4406" s="8" t="s">
        <v>8313</v>
      </c>
      <c r="H4406" s="8" t="s">
        <v>16</v>
      </c>
      <c r="I4406" s="9">
        <v>5251</v>
      </c>
      <c r="J4406" s="16">
        <v>66</v>
      </c>
      <c r="K4406" s="16">
        <v>66510</v>
      </c>
      <c r="L4406" s="3" t="str">
        <f t="shared" si="143"/>
        <v>ΠΥΡΗΝΟΚΑΡΠΑ</v>
      </c>
    </row>
    <row r="4407" spans="1:12" s="3" customFormat="1" ht="15" customHeight="1" x14ac:dyDescent="0.25">
      <c r="A4407" s="3" t="str">
        <f t="shared" si="142"/>
        <v>ΠΥΡΗΝΟΚΑΡΠΑΝΕΚΤΑΡΙΝΙΑ PRO C 329 (EXTREME BEAUTY)</v>
      </c>
      <c r="B4407" s="21" t="s">
        <v>7280</v>
      </c>
      <c r="C4407" s="22" t="s">
        <v>8314</v>
      </c>
      <c r="D4407" s="6">
        <v>5895.69</v>
      </c>
      <c r="E4407" s="6">
        <v>5815.34</v>
      </c>
      <c r="F4407" s="7" t="s">
        <v>14</v>
      </c>
      <c r="G4407" s="8" t="s">
        <v>8315</v>
      </c>
      <c r="H4407" s="8" t="s">
        <v>16</v>
      </c>
      <c r="I4407" s="9">
        <v>5252</v>
      </c>
      <c r="J4407" s="16">
        <v>66</v>
      </c>
      <c r="K4407" s="16">
        <v>66511</v>
      </c>
      <c r="L4407" s="3" t="str">
        <f t="shared" si="143"/>
        <v>ΠΥΡΗΝΟΚΑΡΠΑ</v>
      </c>
    </row>
    <row r="4408" spans="1:12" s="3" customFormat="1" ht="15" customHeight="1" x14ac:dyDescent="0.25">
      <c r="A4408" s="3" t="str">
        <f t="shared" si="142"/>
        <v>ΠΥΡΗΝΟΚΑΡΠΑΝΕΚΤΑΡΙΝΙΑ NECTADIVA</v>
      </c>
      <c r="B4408" s="21" t="s">
        <v>7280</v>
      </c>
      <c r="C4408" s="22" t="s">
        <v>8316</v>
      </c>
      <c r="D4408" s="6">
        <v>5895.69</v>
      </c>
      <c r="E4408" s="6">
        <v>5815.34</v>
      </c>
      <c r="F4408" s="7" t="s">
        <v>14</v>
      </c>
      <c r="G4408" s="8" t="s">
        <v>8317</v>
      </c>
      <c r="H4408" s="8" t="s">
        <v>16</v>
      </c>
      <c r="I4408" s="9">
        <v>5253</v>
      </c>
      <c r="J4408" s="16">
        <v>66</v>
      </c>
      <c r="K4408" s="16">
        <v>66512</v>
      </c>
      <c r="L4408" s="3" t="str">
        <f t="shared" si="143"/>
        <v>ΠΥΡΗΝΟΚΑΡΠΑ</v>
      </c>
    </row>
    <row r="4409" spans="1:12" s="3" customFormat="1" ht="15" customHeight="1" x14ac:dyDescent="0.25">
      <c r="A4409" s="3" t="str">
        <f t="shared" si="142"/>
        <v>ΠΥΡΗΝΟΚΑΡΠΑΚΕΡΑΣΙΑ PANARO 1 (SWEET EARLY) - ΘΕΡΜΟΚΗΠΙΑΚΗ ΚΑΛΛΙΕΡΓΕΙΑ</v>
      </c>
      <c r="B4409" s="21" t="s">
        <v>7280</v>
      </c>
      <c r="C4409" s="22" t="s">
        <v>8318</v>
      </c>
      <c r="D4409" s="6">
        <v>31242.65</v>
      </c>
      <c r="E4409" s="6">
        <v>31506.3</v>
      </c>
      <c r="F4409" s="7" t="s">
        <v>14</v>
      </c>
      <c r="G4409" s="8" t="s">
        <v>8319</v>
      </c>
      <c r="H4409" s="8" t="s">
        <v>16</v>
      </c>
      <c r="I4409" s="9">
        <v>5254</v>
      </c>
      <c r="J4409" s="16">
        <v>66</v>
      </c>
      <c r="K4409" s="16">
        <v>66513</v>
      </c>
      <c r="L4409" s="3" t="str">
        <f t="shared" si="143"/>
        <v>ΠΥΡΗΝΟΚΑΡΠΑ</v>
      </c>
    </row>
    <row r="4410" spans="1:12" s="3" customFormat="1" ht="15" customHeight="1" x14ac:dyDescent="0.25">
      <c r="A4410" s="3" t="str">
        <f t="shared" si="142"/>
        <v>ΠΥΡΗΝΟΚΑΡΠΑΚΕΡΑΣΙΑ BIGI SOL (EARLY BG) - ΘΕΡΜΟΚΗΠΙΑΚΗ ΚΑΛΛΙΕΡΓΕΙΑ</v>
      </c>
      <c r="B4410" s="21" t="s">
        <v>7280</v>
      </c>
      <c r="C4410" s="22" t="s">
        <v>8320</v>
      </c>
      <c r="D4410" s="6">
        <v>31242.65</v>
      </c>
      <c r="E4410" s="6">
        <v>31506.3</v>
      </c>
      <c r="F4410" s="7" t="s">
        <v>14</v>
      </c>
      <c r="G4410" s="8" t="s">
        <v>8321</v>
      </c>
      <c r="H4410" s="8" t="s">
        <v>16</v>
      </c>
      <c r="I4410" s="9">
        <v>5255</v>
      </c>
      <c r="J4410" s="16">
        <v>66</v>
      </c>
      <c r="K4410" s="16">
        <v>66514</v>
      </c>
      <c r="L4410" s="3" t="str">
        <f t="shared" si="143"/>
        <v>ΠΥΡΗΝΟΚΑΡΠΑ</v>
      </c>
    </row>
    <row r="4411" spans="1:12" s="3" customFormat="1" ht="15" customHeight="1" x14ac:dyDescent="0.25">
      <c r="A4411" s="3" t="str">
        <f t="shared" si="142"/>
        <v>ΠΥΡΗΝΟΚΑΡΠΑΝΕΚΤΑΡΙΝΙΑ ΕΡΛΙ ΜΠΟΜΠΑ - ΘΕΡΜΟΚΗΠΙΑΚΗ ΚΑΛΛΙΕΡΓΕΙΑ</v>
      </c>
      <c r="B4411" s="21" t="s">
        <v>7280</v>
      </c>
      <c r="C4411" s="22" t="s">
        <v>8322</v>
      </c>
      <c r="D4411" s="6">
        <v>31242.65</v>
      </c>
      <c r="E4411" s="6">
        <v>31506.3</v>
      </c>
      <c r="F4411" s="7" t="s">
        <v>14</v>
      </c>
      <c r="G4411" s="8" t="s">
        <v>8323</v>
      </c>
      <c r="H4411" s="8" t="s">
        <v>16</v>
      </c>
      <c r="I4411" s="9">
        <v>5256</v>
      </c>
      <c r="J4411" s="16">
        <v>66</v>
      </c>
      <c r="K4411" s="16">
        <v>66515</v>
      </c>
      <c r="L4411" s="3" t="str">
        <f t="shared" si="143"/>
        <v>ΠΥΡΗΝΟΚΑΡΠΑ</v>
      </c>
    </row>
    <row r="4412" spans="1:12" s="3" customFormat="1" ht="15" customHeight="1" x14ac:dyDescent="0.25">
      <c r="A4412" s="3" t="str">
        <f t="shared" si="142"/>
        <v>ΠΥΡΗΝΟΚΑΡΠΑΒΕΡΙΚΟΚΑ FARCLO</v>
      </c>
      <c r="B4412" s="21" t="s">
        <v>7280</v>
      </c>
      <c r="C4412" s="22" t="s">
        <v>8324</v>
      </c>
      <c r="D4412" s="6">
        <v>5895.69</v>
      </c>
      <c r="E4412" s="6">
        <v>5815.34</v>
      </c>
      <c r="F4412" s="7" t="s">
        <v>14</v>
      </c>
      <c r="G4412" s="8" t="s">
        <v>8325</v>
      </c>
      <c r="H4412" s="8" t="s">
        <v>16</v>
      </c>
      <c r="I4412" s="9">
        <v>5257</v>
      </c>
      <c r="J4412" s="16">
        <v>66</v>
      </c>
      <c r="K4412" s="16">
        <v>66516</v>
      </c>
      <c r="L4412" s="3" t="str">
        <f t="shared" si="143"/>
        <v>ΠΥΡΗΝΟΚΑΡΠΑ</v>
      </c>
    </row>
    <row r="4413" spans="1:12" s="3" customFormat="1" ht="15" customHeight="1" x14ac:dyDescent="0.25">
      <c r="A4413" s="3" t="str">
        <f t="shared" si="142"/>
        <v>ΠΥΡΗΝΟΚΑΡΠΑΒΕΡΙΚΟΚΑ COLORADO</v>
      </c>
      <c r="B4413" s="21" t="s">
        <v>7280</v>
      </c>
      <c r="C4413" s="22" t="s">
        <v>8326</v>
      </c>
      <c r="D4413" s="6">
        <v>5895.69</v>
      </c>
      <c r="E4413" s="6">
        <v>5815.34</v>
      </c>
      <c r="F4413" s="7" t="s">
        <v>14</v>
      </c>
      <c r="G4413" s="8" t="s">
        <v>8327</v>
      </c>
      <c r="H4413" s="8" t="s">
        <v>16</v>
      </c>
      <c r="I4413" s="9">
        <v>5258</v>
      </c>
      <c r="J4413" s="16">
        <v>66</v>
      </c>
      <c r="K4413" s="16">
        <v>66517</v>
      </c>
      <c r="L4413" s="3" t="str">
        <f t="shared" si="143"/>
        <v>ΠΥΡΗΝΟΚΑΡΠΑ</v>
      </c>
    </row>
    <row r="4414" spans="1:12" s="3" customFormat="1" ht="15" customHeight="1" x14ac:dyDescent="0.25">
      <c r="A4414" s="3" t="str">
        <f t="shared" si="142"/>
        <v>ΠΥΡΗΝΟΚΑΡΠΑΒΕΡΙΚΟΚΑ SHAMADE</v>
      </c>
      <c r="B4414" s="21" t="s">
        <v>7280</v>
      </c>
      <c r="C4414" s="22" t="s">
        <v>8328</v>
      </c>
      <c r="D4414" s="6">
        <v>5895.69</v>
      </c>
      <c r="E4414" s="6">
        <v>5815.34</v>
      </c>
      <c r="F4414" s="7" t="s">
        <v>14</v>
      </c>
      <c r="G4414" s="8" t="s">
        <v>8329</v>
      </c>
      <c r="H4414" s="8" t="s">
        <v>16</v>
      </c>
      <c r="I4414" s="9">
        <v>5259</v>
      </c>
      <c r="J4414" s="16">
        <v>66</v>
      </c>
      <c r="K4414" s="16">
        <v>66518</v>
      </c>
      <c r="L4414" s="3" t="str">
        <f t="shared" si="143"/>
        <v>ΠΥΡΗΝΟΚΑΡΠΑ</v>
      </c>
    </row>
    <row r="4415" spans="1:12" s="3" customFormat="1" ht="15" customHeight="1" x14ac:dyDescent="0.25">
      <c r="A4415" s="3" t="str">
        <f t="shared" si="142"/>
        <v>ΠΥΡΗΝΟΚΑΡΠΑΒΕΡΙΚΟΚΑ MADRIGAL</v>
      </c>
      <c r="B4415" s="21" t="s">
        <v>7280</v>
      </c>
      <c r="C4415" s="22" t="s">
        <v>8330</v>
      </c>
      <c r="D4415" s="6">
        <v>5895.69</v>
      </c>
      <c r="E4415" s="6">
        <v>5815.34</v>
      </c>
      <c r="F4415" s="7" t="s">
        <v>14</v>
      </c>
      <c r="G4415" s="8" t="s">
        <v>8331</v>
      </c>
      <c r="H4415" s="8" t="s">
        <v>16</v>
      </c>
      <c r="I4415" s="9">
        <v>5260</v>
      </c>
      <c r="J4415" s="16">
        <v>66</v>
      </c>
      <c r="K4415" s="16">
        <v>66519</v>
      </c>
      <c r="L4415" s="3" t="str">
        <f t="shared" si="143"/>
        <v>ΠΥΡΗΝΟΚΑΡΠΑ</v>
      </c>
    </row>
    <row r="4416" spans="1:12" s="3" customFormat="1" ht="15" customHeight="1" x14ac:dyDescent="0.25">
      <c r="A4416" s="3" t="str">
        <f t="shared" si="142"/>
        <v>ΠΥΡΗΝΟΚΑΡΠΑΒΕΡΙΚΟΚΑ SHERPA</v>
      </c>
      <c r="B4416" s="21" t="s">
        <v>7280</v>
      </c>
      <c r="C4416" s="22" t="s">
        <v>8332</v>
      </c>
      <c r="D4416" s="6">
        <v>5895.69</v>
      </c>
      <c r="E4416" s="6">
        <v>5815.34</v>
      </c>
      <c r="F4416" s="7" t="s">
        <v>14</v>
      </c>
      <c r="G4416" s="8" t="s">
        <v>8333</v>
      </c>
      <c r="H4416" s="8" t="s">
        <v>16</v>
      </c>
      <c r="I4416" s="9">
        <v>5261</v>
      </c>
      <c r="J4416" s="16">
        <v>66</v>
      </c>
      <c r="K4416" s="16">
        <v>66520</v>
      </c>
      <c r="L4416" s="3" t="str">
        <f t="shared" si="143"/>
        <v>ΠΥΡΗΝΟΚΑΡΠΑ</v>
      </c>
    </row>
    <row r="4417" spans="1:12" s="3" customFormat="1" ht="15" customHeight="1" x14ac:dyDescent="0.25">
      <c r="A4417" s="3" t="str">
        <f t="shared" si="142"/>
        <v>ΠΥΡΗΝΟΚΑΡΠΑΚΕΡΑΣΙΑ PA4UNIBO (SWEET VALINA)</v>
      </c>
      <c r="B4417" s="21" t="s">
        <v>7280</v>
      </c>
      <c r="C4417" s="22" t="s">
        <v>8334</v>
      </c>
      <c r="D4417" s="6">
        <v>5895.69</v>
      </c>
      <c r="E4417" s="6">
        <v>5815.34</v>
      </c>
      <c r="F4417" s="7" t="s">
        <v>14</v>
      </c>
      <c r="G4417" s="8" t="s">
        <v>8335</v>
      </c>
      <c r="H4417" s="8" t="s">
        <v>16</v>
      </c>
      <c r="I4417" s="9">
        <v>5262</v>
      </c>
      <c r="J4417" s="16">
        <v>66</v>
      </c>
      <c r="K4417" s="16">
        <v>66521</v>
      </c>
      <c r="L4417" s="3" t="str">
        <f t="shared" si="143"/>
        <v>ΠΥΡΗΝΟΚΑΡΠΑ</v>
      </c>
    </row>
    <row r="4418" spans="1:12" s="3" customFormat="1" ht="15" customHeight="1" x14ac:dyDescent="0.25">
      <c r="A4418" s="3" t="str">
        <f t="shared" si="142"/>
        <v>ΠΥΡΗΝΟΚΑΡΠΑΝΕΚΤΑΡΙΝΙΑ GARNET</v>
      </c>
      <c r="B4418" s="21" t="s">
        <v>7280</v>
      </c>
      <c r="C4418" s="22" t="s">
        <v>8336</v>
      </c>
      <c r="D4418" s="6">
        <v>5895.69</v>
      </c>
      <c r="E4418" s="6">
        <v>5815.34</v>
      </c>
      <c r="F4418" s="7" t="s">
        <v>14</v>
      </c>
      <c r="G4418" s="8" t="s">
        <v>8337</v>
      </c>
      <c r="H4418" s="8" t="s">
        <v>16</v>
      </c>
      <c r="I4418" s="9">
        <v>5263</v>
      </c>
      <c r="J4418" s="16">
        <v>66</v>
      </c>
      <c r="K4418" s="16">
        <v>66522</v>
      </c>
      <c r="L4418" s="3" t="str">
        <f t="shared" si="143"/>
        <v>ΠΥΡΗΝΟΚΑΡΠΑ</v>
      </c>
    </row>
    <row r="4419" spans="1:12" s="3" customFormat="1" ht="15" customHeight="1" x14ac:dyDescent="0.25">
      <c r="A4419" s="3" t="str">
        <f t="shared" ref="A4419:A4482" si="144">_xlfn.CONCAT(B4419,C4419)</f>
        <v>ΠΥΡΗΝΟΚΑΡΠΑΝΕΚΤΑΡΙΝΙΑ NERID 02985 (ROMAGNA MIA)</v>
      </c>
      <c r="B4419" s="21" t="s">
        <v>7280</v>
      </c>
      <c r="C4419" s="22" t="s">
        <v>8338</v>
      </c>
      <c r="D4419" s="6">
        <v>5895.69</v>
      </c>
      <c r="E4419" s="6">
        <v>5815.34</v>
      </c>
      <c r="F4419" s="7" t="s">
        <v>14</v>
      </c>
      <c r="G4419" s="8" t="s">
        <v>8339</v>
      </c>
      <c r="H4419" s="8" t="s">
        <v>16</v>
      </c>
      <c r="I4419" s="9">
        <v>5264</v>
      </c>
      <c r="J4419" s="16">
        <v>66</v>
      </c>
      <c r="K4419" s="16">
        <v>66523</v>
      </c>
      <c r="L4419" s="3" t="str">
        <f t="shared" ref="L4419:L4482" si="145">IFERROR(SUBSTITUTE(SUBSTITUTE(SUBSTITUTE(SUBSTITUTE(SUBSTITUTE(B4419, "-", "_"), " ", "_"), ",", ""), "(", ""), ")", ""), B4419)</f>
        <v>ΠΥΡΗΝΟΚΑΡΠΑ</v>
      </c>
    </row>
    <row r="4420" spans="1:12" s="3" customFormat="1" ht="15" customHeight="1" x14ac:dyDescent="0.25">
      <c r="A4420" s="3" t="str">
        <f t="shared" si="144"/>
        <v>ΠΥΡΗΝΟΚΑΡΠΑΝΕΚΤΑΡΙΝΙΑ NERID 00397 (ROMAGNA TOP)</v>
      </c>
      <c r="B4420" s="21" t="s">
        <v>7280</v>
      </c>
      <c r="C4420" s="22" t="s">
        <v>8340</v>
      </c>
      <c r="D4420" s="6">
        <v>5895.69</v>
      </c>
      <c r="E4420" s="6">
        <v>5815.34</v>
      </c>
      <c r="F4420" s="7" t="s">
        <v>14</v>
      </c>
      <c r="G4420" s="8" t="s">
        <v>8341</v>
      </c>
      <c r="H4420" s="8" t="s">
        <v>16</v>
      </c>
      <c r="I4420" s="9">
        <v>5265</v>
      </c>
      <c r="J4420" s="16">
        <v>66</v>
      </c>
      <c r="K4420" s="16">
        <v>66524</v>
      </c>
      <c r="L4420" s="3" t="str">
        <f t="shared" si="145"/>
        <v>ΠΥΡΗΝΟΚΑΡΠΑ</v>
      </c>
    </row>
    <row r="4421" spans="1:12" s="3" customFormat="1" ht="15" customHeight="1" x14ac:dyDescent="0.25">
      <c r="A4421" s="3" t="str">
        <f t="shared" si="144"/>
        <v>ΠΥΡΗΝΟΚΑΡΠΑΝΕΚΤΑΡΙΝΙΑ NERID 00522 (ROMAGNA QUEEN)</v>
      </c>
      <c r="B4421" s="21" t="s">
        <v>7280</v>
      </c>
      <c r="C4421" s="22" t="s">
        <v>8342</v>
      </c>
      <c r="D4421" s="6">
        <v>5895.69</v>
      </c>
      <c r="E4421" s="6">
        <v>5815.34</v>
      </c>
      <c r="F4421" s="7" t="s">
        <v>14</v>
      </c>
      <c r="G4421" s="8" t="s">
        <v>8343</v>
      </c>
      <c r="H4421" s="8" t="s">
        <v>16</v>
      </c>
      <c r="I4421" s="9">
        <v>5266</v>
      </c>
      <c r="J4421" s="16">
        <v>66</v>
      </c>
      <c r="K4421" s="16">
        <v>66525</v>
      </c>
      <c r="L4421" s="3" t="str">
        <f t="shared" si="145"/>
        <v>ΠΥΡΗΝΟΚΑΡΠΑ</v>
      </c>
    </row>
    <row r="4422" spans="1:12" s="3" customFormat="1" ht="15" customHeight="1" x14ac:dyDescent="0.25">
      <c r="A4422" s="3" t="str">
        <f t="shared" si="144"/>
        <v>ΠΥΡΗΝΟΚΑΡΠΑΝΕΚΤΑΡΙΝΙΑ NERID 01348 (ROMAGNA RED)</v>
      </c>
      <c r="B4422" s="21" t="s">
        <v>7280</v>
      </c>
      <c r="C4422" s="22" t="s">
        <v>8344</v>
      </c>
      <c r="D4422" s="6">
        <v>5895.69</v>
      </c>
      <c r="E4422" s="6">
        <v>5815.34</v>
      </c>
      <c r="F4422" s="7" t="s">
        <v>14</v>
      </c>
      <c r="G4422" s="8" t="s">
        <v>8345</v>
      </c>
      <c r="H4422" s="8" t="s">
        <v>16</v>
      </c>
      <c r="I4422" s="9">
        <v>5267</v>
      </c>
      <c r="J4422" s="16">
        <v>66</v>
      </c>
      <c r="K4422" s="16">
        <v>66526</v>
      </c>
      <c r="L4422" s="3" t="str">
        <f t="shared" si="145"/>
        <v>ΠΥΡΗΝΟΚΑΡΠΑ</v>
      </c>
    </row>
    <row r="4423" spans="1:12" s="3" customFormat="1" ht="15" customHeight="1" x14ac:dyDescent="0.25">
      <c r="A4423" s="3" t="str">
        <f t="shared" si="144"/>
        <v>ΠΥΡΗΝΟΚΑΡΠΑΝΕΚΤΑΡΙΝΙΑ NERID 99790 (ROMAGNA LATE)</v>
      </c>
      <c r="B4423" s="21" t="s">
        <v>7280</v>
      </c>
      <c r="C4423" s="22" t="s">
        <v>8346</v>
      </c>
      <c r="D4423" s="6">
        <v>5895.69</v>
      </c>
      <c r="E4423" s="6">
        <v>5815.34</v>
      </c>
      <c r="F4423" s="7" t="s">
        <v>14</v>
      </c>
      <c r="G4423" s="8" t="s">
        <v>8347</v>
      </c>
      <c r="H4423" s="8" t="s">
        <v>16</v>
      </c>
      <c r="I4423" s="9">
        <v>5268</v>
      </c>
      <c r="J4423" s="16">
        <v>66</v>
      </c>
      <c r="K4423" s="16">
        <v>66527</v>
      </c>
      <c r="L4423" s="3" t="str">
        <f t="shared" si="145"/>
        <v>ΠΥΡΗΝΟΚΑΡΠΑ</v>
      </c>
    </row>
    <row r="4424" spans="1:12" s="3" customFormat="1" ht="15" customHeight="1" x14ac:dyDescent="0.25">
      <c r="A4424" s="3" t="str">
        <f t="shared" si="144"/>
        <v>ΠΥΡΗΝΟΚΑΡΠΑΝΕΚΤΑΡΙΝΙΑ NERID 07577 (ROMAGNA LADY)</v>
      </c>
      <c r="B4424" s="21" t="s">
        <v>7280</v>
      </c>
      <c r="C4424" s="22" t="s">
        <v>8348</v>
      </c>
      <c r="D4424" s="6">
        <v>5895.69</v>
      </c>
      <c r="E4424" s="6">
        <v>5815.34</v>
      </c>
      <c r="F4424" s="7" t="s">
        <v>14</v>
      </c>
      <c r="G4424" s="8" t="s">
        <v>8349</v>
      </c>
      <c r="H4424" s="8" t="s">
        <v>16</v>
      </c>
      <c r="I4424" s="9">
        <v>5269</v>
      </c>
      <c r="J4424" s="16">
        <v>66</v>
      </c>
      <c r="K4424" s="16">
        <v>66528</v>
      </c>
      <c r="L4424" s="3" t="str">
        <f t="shared" si="145"/>
        <v>ΠΥΡΗΝΟΚΑΡΠΑ</v>
      </c>
    </row>
    <row r="4425" spans="1:12" s="3" customFormat="1" ht="15" customHeight="1" x14ac:dyDescent="0.25">
      <c r="A4425" s="3" t="str">
        <f t="shared" si="144"/>
        <v>ΠΥΡΗΝΟΚΑΡΠΑΝΕΚΤΑΡΙΝΙΑ NERID 65165 (ROMAGNA SUMMER)</v>
      </c>
      <c r="B4425" s="21" t="s">
        <v>7280</v>
      </c>
      <c r="C4425" s="22" t="s">
        <v>8350</v>
      </c>
      <c r="D4425" s="6">
        <v>5895.69</v>
      </c>
      <c r="E4425" s="6">
        <v>5815.34</v>
      </c>
      <c r="F4425" s="7" t="s">
        <v>14</v>
      </c>
      <c r="G4425" s="8" t="s">
        <v>8351</v>
      </c>
      <c r="H4425" s="8" t="s">
        <v>16</v>
      </c>
      <c r="I4425" s="9">
        <v>5270</v>
      </c>
      <c r="J4425" s="16">
        <v>66</v>
      </c>
      <c r="K4425" s="16">
        <v>66529</v>
      </c>
      <c r="L4425" s="3" t="str">
        <f t="shared" si="145"/>
        <v>ΠΥΡΗΝΟΚΑΡΠΑ</v>
      </c>
    </row>
    <row r="4426" spans="1:12" s="3" customFormat="1" ht="15" customHeight="1" x14ac:dyDescent="0.25">
      <c r="A4426" s="3" t="str">
        <f t="shared" si="144"/>
        <v>ΠΥΡΗΝΟΚΑΡΠΑΒΑΝΙΛΙΑ</v>
      </c>
      <c r="B4426" s="23" t="s">
        <v>7280</v>
      </c>
      <c r="C4426" s="24" t="s">
        <v>8352</v>
      </c>
      <c r="D4426" s="6">
        <v>5895.69</v>
      </c>
      <c r="E4426" s="6">
        <v>5815.34</v>
      </c>
      <c r="F4426" s="29" t="s">
        <v>14</v>
      </c>
      <c r="G4426" s="8" t="s">
        <v>8353</v>
      </c>
      <c r="H4426" s="8" t="s">
        <v>16</v>
      </c>
      <c r="I4426" s="9">
        <v>5520</v>
      </c>
      <c r="J4426" s="26">
        <v>66</v>
      </c>
      <c r="K4426" s="27">
        <v>66530</v>
      </c>
      <c r="L4426" s="3" t="str">
        <f t="shared" si="145"/>
        <v>ΠΥΡΗΝΟΚΑΡΠΑ</v>
      </c>
    </row>
    <row r="4427" spans="1:12" s="3" customFormat="1" ht="15" customHeight="1" x14ac:dyDescent="0.25">
      <c r="A4427" s="3" t="str">
        <f t="shared" si="144"/>
        <v>ΠΥΡΗΝΟΚΑΡΠΑΡΟΔΑΚΙΝΑ ISFROPLAT 7 (UFO 7)</v>
      </c>
      <c r="B4427" s="23" t="s">
        <v>7280</v>
      </c>
      <c r="C4427" s="24" t="s">
        <v>8354</v>
      </c>
      <c r="D4427" s="6">
        <v>5895.69</v>
      </c>
      <c r="E4427" s="6">
        <v>5815.34</v>
      </c>
      <c r="F4427" s="7" t="s">
        <v>14</v>
      </c>
      <c r="G4427" s="8" t="s">
        <v>8355</v>
      </c>
      <c r="H4427" s="8" t="s">
        <v>16</v>
      </c>
      <c r="I4427" s="9">
        <v>5521</v>
      </c>
      <c r="J4427" s="26">
        <v>66</v>
      </c>
      <c r="K4427" s="27">
        <v>66531</v>
      </c>
      <c r="L4427" s="3" t="str">
        <f t="shared" si="145"/>
        <v>ΠΥΡΗΝΟΚΑΡΠΑ</v>
      </c>
    </row>
    <row r="4428" spans="1:12" s="3" customFormat="1" ht="15" customHeight="1" x14ac:dyDescent="0.25">
      <c r="A4428" s="3" t="str">
        <f t="shared" si="144"/>
        <v>ΠΥΡΗΝΟΚΑΡΠΑΡΟΔΑΚΙΝΑ ISFROPLAT 9 (UFO 9)</v>
      </c>
      <c r="B4428" s="23" t="s">
        <v>7280</v>
      </c>
      <c r="C4428" s="24" t="s">
        <v>8356</v>
      </c>
      <c r="D4428" s="6">
        <v>5895.69</v>
      </c>
      <c r="E4428" s="6">
        <v>5815.34</v>
      </c>
      <c r="F4428" s="7" t="s">
        <v>14</v>
      </c>
      <c r="G4428" s="8" t="s">
        <v>8357</v>
      </c>
      <c r="H4428" s="8" t="s">
        <v>16</v>
      </c>
      <c r="I4428" s="9">
        <v>5522</v>
      </c>
      <c r="J4428" s="26">
        <v>66</v>
      </c>
      <c r="K4428" s="27">
        <v>66532</v>
      </c>
      <c r="L4428" s="3" t="str">
        <f t="shared" si="145"/>
        <v>ΠΥΡΗΝΟΚΑΡΠΑ</v>
      </c>
    </row>
    <row r="4429" spans="1:12" s="3" customFormat="1" ht="15" customHeight="1" x14ac:dyDescent="0.25">
      <c r="A4429" s="3" t="str">
        <f t="shared" si="144"/>
        <v>ΠΥΡΗΝΟΚΑΡΠΑΝΕΚΤΑΡΙΝΙΑ PIT STOP</v>
      </c>
      <c r="B4429" s="23" t="s">
        <v>7280</v>
      </c>
      <c r="C4429" s="24" t="s">
        <v>8358</v>
      </c>
      <c r="D4429" s="6">
        <v>5895.69</v>
      </c>
      <c r="E4429" s="6">
        <v>5815.34</v>
      </c>
      <c r="F4429" s="29" t="s">
        <v>14</v>
      </c>
      <c r="G4429" s="8" t="s">
        <v>8359</v>
      </c>
      <c r="H4429" s="8" t="s">
        <v>16</v>
      </c>
      <c r="I4429" s="9">
        <v>5523</v>
      </c>
      <c r="J4429" s="26">
        <v>66</v>
      </c>
      <c r="K4429" s="27">
        <v>66533</v>
      </c>
      <c r="L4429" s="3" t="str">
        <f t="shared" si="145"/>
        <v>ΠΥΡΗΝΟΚΑΡΠΑ</v>
      </c>
    </row>
    <row r="4430" spans="1:12" s="3" customFormat="1" ht="15" customHeight="1" x14ac:dyDescent="0.25">
      <c r="A4430" s="3" t="str">
        <f t="shared" si="144"/>
        <v>ΠΥΡΗΝΟΚΑΡΠΑΝΕΚΤΑΡΙΝΙΑ PRO 606 (FRESH GARNET)</v>
      </c>
      <c r="B4430" s="23" t="s">
        <v>7280</v>
      </c>
      <c r="C4430" s="24" t="s">
        <v>8360</v>
      </c>
      <c r="D4430" s="6">
        <v>5895.69</v>
      </c>
      <c r="E4430" s="6">
        <v>5815.34</v>
      </c>
      <c r="F4430" s="29" t="s">
        <v>14</v>
      </c>
      <c r="G4430" s="8" t="s">
        <v>8361</v>
      </c>
      <c r="H4430" s="8" t="s">
        <v>16</v>
      </c>
      <c r="I4430" s="9">
        <v>5524</v>
      </c>
      <c r="J4430" s="26">
        <v>66</v>
      </c>
      <c r="K4430" s="27">
        <v>66534</v>
      </c>
      <c r="L4430" s="3" t="str">
        <f t="shared" si="145"/>
        <v>ΠΥΡΗΝΟΚΑΡΠΑ</v>
      </c>
    </row>
    <row r="4431" spans="1:12" s="3" customFormat="1" ht="15" customHeight="1" x14ac:dyDescent="0.25">
      <c r="A4431" s="3" t="str">
        <f t="shared" si="144"/>
        <v>ΠΥΡΗΝΟΚΑΡΠΑΝΕΚΤΑΡΙΝΙΑ ZAI845NJ (BIG GLORY)</v>
      </c>
      <c r="B4431" s="23" t="s">
        <v>7280</v>
      </c>
      <c r="C4431" s="24" t="s">
        <v>8362</v>
      </c>
      <c r="D4431" s="6">
        <v>5895.69</v>
      </c>
      <c r="E4431" s="6">
        <v>5815.34</v>
      </c>
      <c r="F4431" s="29" t="s">
        <v>14</v>
      </c>
      <c r="G4431" s="8" t="s">
        <v>8363</v>
      </c>
      <c r="H4431" s="8" t="s">
        <v>16</v>
      </c>
      <c r="I4431" s="9">
        <v>5525</v>
      </c>
      <c r="J4431" s="26">
        <v>66</v>
      </c>
      <c r="K4431" s="27">
        <v>66535</v>
      </c>
      <c r="L4431" s="3" t="str">
        <f t="shared" si="145"/>
        <v>ΠΥΡΗΝΟΚΑΡΠΑ</v>
      </c>
    </row>
    <row r="4432" spans="1:12" s="3" customFormat="1" ht="15" customHeight="1" x14ac:dyDescent="0.25">
      <c r="A4432" s="3" t="str">
        <f t="shared" si="144"/>
        <v>ΠΥΡΗΝΟΚΑΡΠΑΝΕΚΤΑΡΙΝΙΑ PRO 28 (EXTREME 28)</v>
      </c>
      <c r="B4432" s="23" t="s">
        <v>7280</v>
      </c>
      <c r="C4432" s="24" t="s">
        <v>8364</v>
      </c>
      <c r="D4432" s="6">
        <v>5895.69</v>
      </c>
      <c r="E4432" s="6">
        <v>5815.34</v>
      </c>
      <c r="F4432" s="29" t="s">
        <v>14</v>
      </c>
      <c r="G4432" s="8" t="s">
        <v>8365</v>
      </c>
      <c r="H4432" s="8" t="s">
        <v>16</v>
      </c>
      <c r="I4432" s="9">
        <v>5526</v>
      </c>
      <c r="J4432" s="26">
        <v>66</v>
      </c>
      <c r="K4432" s="27">
        <v>66536</v>
      </c>
      <c r="L4432" s="3" t="str">
        <f t="shared" si="145"/>
        <v>ΠΥΡΗΝΟΚΑΡΠΑ</v>
      </c>
    </row>
    <row r="4433" spans="1:12" s="3" customFormat="1" ht="15" customHeight="1" x14ac:dyDescent="0.25">
      <c r="A4433" s="3" t="str">
        <f t="shared" si="144"/>
        <v>ΠΥΡΗΝΟΚΑΡΠΑΡΟΔΑΚΙNΑ ROME STAR</v>
      </c>
      <c r="B4433" s="23" t="s">
        <v>7280</v>
      </c>
      <c r="C4433" s="24" t="s">
        <v>8366</v>
      </c>
      <c r="D4433" s="6">
        <v>5895.69</v>
      </c>
      <c r="E4433" s="6">
        <v>5815.34</v>
      </c>
      <c r="F4433" s="29" t="s">
        <v>14</v>
      </c>
      <c r="G4433" s="8" t="s">
        <v>8367</v>
      </c>
      <c r="H4433" s="8" t="s">
        <v>16</v>
      </c>
      <c r="I4433" s="9">
        <v>5527</v>
      </c>
      <c r="J4433" s="26">
        <v>66</v>
      </c>
      <c r="K4433" s="27">
        <v>66537</v>
      </c>
      <c r="L4433" s="3" t="str">
        <f t="shared" si="145"/>
        <v>ΠΥΡΗΝΟΚΑΡΠΑ</v>
      </c>
    </row>
    <row r="4434" spans="1:12" s="3" customFormat="1" ht="15" customHeight="1" x14ac:dyDescent="0.25">
      <c r="A4434" s="3" t="str">
        <f t="shared" si="144"/>
        <v>ΠΥΡΗΝΟΚΑΡΠΑΒΕΡΙΚΟΚΑ RUBY</v>
      </c>
      <c r="B4434" s="23" t="s">
        <v>7280</v>
      </c>
      <c r="C4434" s="24" t="s">
        <v>8368</v>
      </c>
      <c r="D4434" s="6">
        <v>5895.69</v>
      </c>
      <c r="E4434" s="6">
        <v>5815.34</v>
      </c>
      <c r="F4434" s="29" t="s">
        <v>14</v>
      </c>
      <c r="G4434" s="8" t="s">
        <v>8369</v>
      </c>
      <c r="H4434" s="8" t="s">
        <v>16</v>
      </c>
      <c r="I4434" s="9">
        <v>5528</v>
      </c>
      <c r="J4434" s="26">
        <v>66</v>
      </c>
      <c r="K4434" s="27">
        <v>66538</v>
      </c>
      <c r="L4434" s="3" t="str">
        <f t="shared" si="145"/>
        <v>ΠΥΡΗΝΟΚΑΡΠΑ</v>
      </c>
    </row>
    <row r="4435" spans="1:12" s="3" customFormat="1" ht="15" customHeight="1" x14ac:dyDescent="0.25">
      <c r="A4435" s="3" t="str">
        <f t="shared" si="144"/>
        <v>ΠΥΡΗΝΟΚΑΡΠΑΚΕΡΑΣΙΑ FRISCO</v>
      </c>
      <c r="B4435" s="23" t="s">
        <v>7280</v>
      </c>
      <c r="C4435" s="24" t="s">
        <v>8370</v>
      </c>
      <c r="D4435" s="6">
        <v>5895.69</v>
      </c>
      <c r="E4435" s="6">
        <v>5815.34</v>
      </c>
      <c r="F4435" s="29" t="s">
        <v>14</v>
      </c>
      <c r="G4435" s="8" t="s">
        <v>8371</v>
      </c>
      <c r="H4435" s="8" t="s">
        <v>16</v>
      </c>
      <c r="I4435" s="9">
        <v>5529</v>
      </c>
      <c r="J4435" s="26">
        <v>66</v>
      </c>
      <c r="K4435" s="27">
        <v>66539</v>
      </c>
      <c r="L4435" s="3" t="str">
        <f t="shared" si="145"/>
        <v>ΠΥΡΗΝΟΚΑΡΠΑ</v>
      </c>
    </row>
    <row r="4436" spans="1:12" s="3" customFormat="1" ht="15" customHeight="1" x14ac:dyDescent="0.25">
      <c r="A4436" s="3" t="str">
        <f t="shared" si="144"/>
        <v>ΠΥΡΗΝΟΚΑΡΠΑΚΕΡΑΣΙΑ LALA STAR</v>
      </c>
      <c r="B4436" s="23" t="s">
        <v>7280</v>
      </c>
      <c r="C4436" s="24" t="s">
        <v>8372</v>
      </c>
      <c r="D4436" s="6">
        <v>5895.69</v>
      </c>
      <c r="E4436" s="6">
        <v>5815.34</v>
      </c>
      <c r="F4436" s="29" t="s">
        <v>14</v>
      </c>
      <c r="G4436" s="8" t="s">
        <v>8373</v>
      </c>
      <c r="H4436" s="8" t="s">
        <v>16</v>
      </c>
      <c r="I4436" s="9">
        <v>5530</v>
      </c>
      <c r="J4436" s="26">
        <v>66</v>
      </c>
      <c r="K4436" s="27">
        <v>66540</v>
      </c>
      <c r="L4436" s="3" t="str">
        <f t="shared" si="145"/>
        <v>ΠΥΡΗΝΟΚΑΡΠΑ</v>
      </c>
    </row>
    <row r="4437" spans="1:12" s="3" customFormat="1" ht="15" customHeight="1" x14ac:dyDescent="0.25">
      <c r="A4437" s="3" t="str">
        <f t="shared" si="144"/>
        <v>ΠΥΡΗΝΟΚΑΡΠΑΚΕΡΑΣΙΑ TRAGANA EDESSAS</v>
      </c>
      <c r="B4437" s="23" t="s">
        <v>7280</v>
      </c>
      <c r="C4437" s="24" t="s">
        <v>8374</v>
      </c>
      <c r="D4437" s="6">
        <v>5895.69</v>
      </c>
      <c r="E4437" s="6">
        <v>5815.34</v>
      </c>
      <c r="F4437" s="7" t="s">
        <v>14</v>
      </c>
      <c r="G4437" s="8" t="s">
        <v>8375</v>
      </c>
      <c r="H4437" s="8" t="s">
        <v>16</v>
      </c>
      <c r="I4437" s="9">
        <v>5531</v>
      </c>
      <c r="J4437" s="26">
        <v>66</v>
      </c>
      <c r="K4437" s="27">
        <v>66541</v>
      </c>
      <c r="L4437" s="3" t="str">
        <f t="shared" si="145"/>
        <v>ΠΥΡΗΝΟΚΑΡΠΑ</v>
      </c>
    </row>
    <row r="4438" spans="1:12" s="3" customFormat="1" ht="15" customHeight="1" x14ac:dyDescent="0.25">
      <c r="A4438" s="3" t="str">
        <f t="shared" si="144"/>
        <v>ΠΥΡΗΝΟΚΑΡΠΑΝΕΚΤΑΡΙΝΙΑ PRO_563 (EXTREME GLOBE)</v>
      </c>
      <c r="B4438" s="23" t="s">
        <v>7280</v>
      </c>
      <c r="C4438" s="24" t="s">
        <v>8376</v>
      </c>
      <c r="D4438" s="6">
        <v>5895.69</v>
      </c>
      <c r="E4438" s="6">
        <v>5815.34</v>
      </c>
      <c r="F4438" s="29" t="s">
        <v>14</v>
      </c>
      <c r="G4438" s="8" t="s">
        <v>8377</v>
      </c>
      <c r="H4438" s="8" t="s">
        <v>16</v>
      </c>
      <c r="I4438" s="9">
        <v>5532</v>
      </c>
      <c r="J4438" s="26">
        <v>66</v>
      </c>
      <c r="K4438" s="27">
        <v>66542</v>
      </c>
      <c r="L4438" s="3" t="str">
        <f t="shared" si="145"/>
        <v>ΠΥΡΗΝΟΚΑΡΠΑ</v>
      </c>
    </row>
    <row r="4439" spans="1:12" s="3" customFormat="1" ht="15" customHeight="1" x14ac:dyDescent="0.25">
      <c r="A4439" s="3" t="str">
        <f t="shared" si="144"/>
        <v>ΠΥΡΗΝΟΚΑΡΠΑΝΕΚΤΑΡΙΝΙΑ PRO_606 (GREEN GARNET)</v>
      </c>
      <c r="B4439" s="23" t="s">
        <v>7280</v>
      </c>
      <c r="C4439" s="24" t="s">
        <v>8378</v>
      </c>
      <c r="D4439" s="6">
        <v>5895.69</v>
      </c>
      <c r="E4439" s="6">
        <v>5815.34</v>
      </c>
      <c r="F4439" s="29" t="s">
        <v>14</v>
      </c>
      <c r="G4439" s="8" t="s">
        <v>8379</v>
      </c>
      <c r="H4439" s="8" t="s">
        <v>16</v>
      </c>
      <c r="I4439" s="9">
        <v>5533</v>
      </c>
      <c r="J4439" s="26">
        <v>66</v>
      </c>
      <c r="K4439" s="27">
        <v>66543</v>
      </c>
      <c r="L4439" s="3" t="str">
        <f t="shared" si="145"/>
        <v>ΠΥΡΗΝΟΚΑΡΠΑ</v>
      </c>
    </row>
    <row r="4440" spans="1:12" s="3" customFormat="1" ht="15" customHeight="1" x14ac:dyDescent="0.25">
      <c r="A4440" s="3" t="str">
        <f t="shared" si="144"/>
        <v>ΠΥΡΗΝΟΚΑΡΠΑΡΟΔΑΚΙΝΑ PESCO (ROYAL ESTATE)</v>
      </c>
      <c r="B4440" s="23" t="s">
        <v>7280</v>
      </c>
      <c r="C4440" s="24" t="s">
        <v>8380</v>
      </c>
      <c r="D4440" s="6">
        <v>5895.69</v>
      </c>
      <c r="E4440" s="6">
        <v>5815.34</v>
      </c>
      <c r="F4440" s="7" t="s">
        <v>14</v>
      </c>
      <c r="G4440" s="8" t="s">
        <v>8381</v>
      </c>
      <c r="H4440" s="8" t="s">
        <v>16</v>
      </c>
      <c r="I4440" s="9">
        <v>5534</v>
      </c>
      <c r="J4440" s="26">
        <v>66</v>
      </c>
      <c r="K4440" s="27">
        <v>66544</v>
      </c>
      <c r="L4440" s="3" t="str">
        <f t="shared" si="145"/>
        <v>ΠΥΡΗΝΟΚΑΡΠΑ</v>
      </c>
    </row>
    <row r="4441" spans="1:12" s="3" customFormat="1" ht="15" customHeight="1" x14ac:dyDescent="0.25">
      <c r="A4441" s="3" t="str">
        <f t="shared" si="144"/>
        <v>ΠΥΡΗΝΟΚΑΡΠΑΡΟΔΑΚΙΝΑ ANDROSS</v>
      </c>
      <c r="B4441" s="23" t="s">
        <v>7280</v>
      </c>
      <c r="C4441" s="24" t="s">
        <v>8382</v>
      </c>
      <c r="D4441" s="6">
        <v>5895.69</v>
      </c>
      <c r="E4441" s="6">
        <v>5815.34</v>
      </c>
      <c r="F4441" s="29" t="s">
        <v>14</v>
      </c>
      <c r="G4441" s="8" t="s">
        <v>8383</v>
      </c>
      <c r="H4441" s="8" t="s">
        <v>16</v>
      </c>
      <c r="I4441" s="9">
        <v>5535</v>
      </c>
      <c r="J4441" s="26">
        <v>66</v>
      </c>
      <c r="K4441" s="27">
        <v>66545</v>
      </c>
      <c r="L4441" s="3" t="str">
        <f t="shared" si="145"/>
        <v>ΠΥΡΗΝΟΚΑΡΠΑ</v>
      </c>
    </row>
    <row r="4442" spans="1:12" s="3" customFormat="1" ht="15" customHeight="1" x14ac:dyDescent="0.25">
      <c r="A4442" s="3" t="str">
        <f t="shared" si="144"/>
        <v>ΠΥΡΗΝΟΚΑΡΠΑΚΕΡΑΣΙΑ FOLFER</v>
      </c>
      <c r="B4442" s="23" t="s">
        <v>7280</v>
      </c>
      <c r="C4442" s="24" t="s">
        <v>8384</v>
      </c>
      <c r="D4442" s="6">
        <v>5895.69</v>
      </c>
      <c r="E4442" s="6">
        <v>5815.34</v>
      </c>
      <c r="F4442" s="29" t="s">
        <v>14</v>
      </c>
      <c r="G4442" s="8" t="s">
        <v>8385</v>
      </c>
      <c r="H4442" s="8" t="s">
        <v>16</v>
      </c>
      <c r="I4442" s="9">
        <v>5536</v>
      </c>
      <c r="J4442" s="26">
        <v>66</v>
      </c>
      <c r="K4442" s="27">
        <v>66546</v>
      </c>
      <c r="L4442" s="3" t="str">
        <f t="shared" si="145"/>
        <v>ΠΥΡΗΝΟΚΑΡΠΑ</v>
      </c>
    </row>
    <row r="4443" spans="1:12" s="3" customFormat="1" ht="15" customHeight="1" x14ac:dyDescent="0.25">
      <c r="A4443" s="3" t="str">
        <f t="shared" si="144"/>
        <v>ΠΥΡΗΝΟΚΑΡΠΑΝΕΚΤΑΡΙΝΙΑ PIT LANE</v>
      </c>
      <c r="B4443" s="23" t="s">
        <v>7280</v>
      </c>
      <c r="C4443" s="24" t="s">
        <v>8386</v>
      </c>
      <c r="D4443" s="6">
        <v>5895.69</v>
      </c>
      <c r="E4443" s="6">
        <v>5815.34</v>
      </c>
      <c r="F4443" s="7" t="s">
        <v>14</v>
      </c>
      <c r="G4443" s="30" t="s">
        <v>8387</v>
      </c>
      <c r="H4443" s="31" t="s">
        <v>577</v>
      </c>
      <c r="I4443" s="9">
        <v>6098</v>
      </c>
      <c r="J4443" s="30">
        <v>66</v>
      </c>
      <c r="K4443" s="30">
        <v>66547</v>
      </c>
      <c r="L4443" s="3" t="str">
        <f t="shared" si="145"/>
        <v>ΠΥΡΗΝΟΚΑΡΠΑ</v>
      </c>
    </row>
    <row r="4444" spans="1:12" s="3" customFormat="1" ht="15" customHeight="1" x14ac:dyDescent="0.25">
      <c r="A4444" s="3" t="str">
        <f t="shared" si="144"/>
        <v>ΠΥΡΗΝΟΚΑΡΠΑΝΕΚΤΑΡΙΝΙΑ LAMI NECTAR</v>
      </c>
      <c r="B4444" s="23" t="s">
        <v>7280</v>
      </c>
      <c r="C4444" s="24" t="s">
        <v>8388</v>
      </c>
      <c r="D4444" s="6">
        <v>5895.69</v>
      </c>
      <c r="E4444" s="6">
        <v>5815.34</v>
      </c>
      <c r="F4444" s="7" t="s">
        <v>14</v>
      </c>
      <c r="G4444" s="30" t="s">
        <v>8389</v>
      </c>
      <c r="H4444" s="31" t="s">
        <v>577</v>
      </c>
      <c r="I4444" s="9">
        <v>6097</v>
      </c>
      <c r="J4444" s="30">
        <v>66</v>
      </c>
      <c r="K4444" s="30">
        <v>66548</v>
      </c>
      <c r="L4444" s="3" t="str">
        <f t="shared" si="145"/>
        <v>ΠΥΡΗΝΟΚΑΡΠΑ</v>
      </c>
    </row>
    <row r="4445" spans="1:12" s="3" customFormat="1" ht="15" customHeight="1" x14ac:dyDescent="0.25">
      <c r="A4445" s="3" t="str">
        <f t="shared" si="144"/>
        <v>ΠΥΡΗΝΟΚΑΡΠΑΝΕΚΤΑΡΙΝΙΑ DOLZA 2</v>
      </c>
      <c r="B4445" s="23" t="s">
        <v>7280</v>
      </c>
      <c r="C4445" s="24" t="s">
        <v>8390</v>
      </c>
      <c r="D4445" s="6">
        <v>5895.69</v>
      </c>
      <c r="E4445" s="6">
        <v>5815.34</v>
      </c>
      <c r="F4445" s="7" t="s">
        <v>14</v>
      </c>
      <c r="G4445" s="30" t="s">
        <v>8391</v>
      </c>
      <c r="H4445" s="31" t="s">
        <v>577</v>
      </c>
      <c r="I4445" s="9">
        <v>6095</v>
      </c>
      <c r="J4445" s="30">
        <v>66</v>
      </c>
      <c r="K4445" s="30">
        <v>66549</v>
      </c>
      <c r="L4445" s="3" t="str">
        <f t="shared" si="145"/>
        <v>ΠΥΡΗΝΟΚΑΡΠΑ</v>
      </c>
    </row>
    <row r="4446" spans="1:12" s="3" customFormat="1" ht="15" customHeight="1" x14ac:dyDescent="0.25">
      <c r="A4446" s="3" t="str">
        <f t="shared" si="144"/>
        <v>ΠΥΡΗΝΟΚΑΡΠΑΝΕΚΤΑΡΙΝΙΑ DOLZA 3</v>
      </c>
      <c r="B4446" s="23" t="s">
        <v>7280</v>
      </c>
      <c r="C4446" s="24" t="s">
        <v>8392</v>
      </c>
      <c r="D4446" s="6">
        <v>5895.69</v>
      </c>
      <c r="E4446" s="6">
        <v>5815.34</v>
      </c>
      <c r="F4446" s="7" t="s">
        <v>14</v>
      </c>
      <c r="G4446" s="30" t="s">
        <v>8393</v>
      </c>
      <c r="H4446" s="31" t="s">
        <v>577</v>
      </c>
      <c r="I4446" s="9">
        <v>6096</v>
      </c>
      <c r="J4446" s="30">
        <v>66</v>
      </c>
      <c r="K4446" s="30">
        <v>66550</v>
      </c>
      <c r="L4446" s="3" t="str">
        <f t="shared" si="145"/>
        <v>ΠΥΡΗΝΟΚΑΡΠΑ</v>
      </c>
    </row>
    <row r="4447" spans="1:12" s="3" customFormat="1" ht="15" customHeight="1" x14ac:dyDescent="0.25">
      <c r="A4447" s="3" t="str">
        <f t="shared" si="144"/>
        <v>ΠΥΡΗΝΟΚΑΡΠΑΚΕΡΑΣΙΑ RITA</v>
      </c>
      <c r="B4447" s="23" t="s">
        <v>7280</v>
      </c>
      <c r="C4447" s="24" t="s">
        <v>8394</v>
      </c>
      <c r="D4447" s="6">
        <v>5895.69</v>
      </c>
      <c r="E4447" s="6">
        <v>5815.34</v>
      </c>
      <c r="F4447" s="7" t="s">
        <v>14</v>
      </c>
      <c r="G4447" s="30" t="s">
        <v>8395</v>
      </c>
      <c r="H4447" s="31" t="s">
        <v>577</v>
      </c>
      <c r="I4447" s="9">
        <v>5986</v>
      </c>
      <c r="J4447" s="30">
        <v>66</v>
      </c>
      <c r="K4447" s="30">
        <v>66551</v>
      </c>
      <c r="L4447" s="3" t="str">
        <f t="shared" si="145"/>
        <v>ΠΥΡΗΝΟΚΑΡΠΑ</v>
      </c>
    </row>
    <row r="4448" spans="1:12" s="3" customFormat="1" ht="15" customHeight="1" x14ac:dyDescent="0.25">
      <c r="A4448" s="3" t="str">
        <f t="shared" si="144"/>
        <v>ΠΥΡΗΝΟΚΑΡΠΑΒΕΡΊΚΟΚΑ BOLERO</v>
      </c>
      <c r="B4448" s="23" t="s">
        <v>7280</v>
      </c>
      <c r="C4448" s="24" t="s">
        <v>8396</v>
      </c>
      <c r="D4448" s="6">
        <v>5895.69</v>
      </c>
      <c r="E4448" s="6">
        <v>5815.34</v>
      </c>
      <c r="F4448" s="7" t="s">
        <v>14</v>
      </c>
      <c r="G4448" s="30" t="s">
        <v>8397</v>
      </c>
      <c r="H4448" s="31" t="s">
        <v>577</v>
      </c>
      <c r="I4448" s="9">
        <v>5946</v>
      </c>
      <c r="J4448" s="30">
        <v>66</v>
      </c>
      <c r="K4448" s="30">
        <v>66552</v>
      </c>
      <c r="L4448" s="3" t="str">
        <f t="shared" si="145"/>
        <v>ΠΥΡΗΝΟΚΑΡΠΑ</v>
      </c>
    </row>
    <row r="4449" spans="1:12" s="3" customFormat="1" ht="15" customHeight="1" x14ac:dyDescent="0.25">
      <c r="A4449" s="3" t="str">
        <f t="shared" si="144"/>
        <v>ΠΥΡΗΝΟΚΑΡΠΑΒΕΡΊΚΟΚΑ BORSALINO</v>
      </c>
      <c r="B4449" s="23" t="s">
        <v>7280</v>
      </c>
      <c r="C4449" s="24" t="s">
        <v>8398</v>
      </c>
      <c r="D4449" s="6">
        <v>5895.69</v>
      </c>
      <c r="E4449" s="6">
        <v>5815.34</v>
      </c>
      <c r="F4449" s="7" t="s">
        <v>14</v>
      </c>
      <c r="G4449" s="30" t="s">
        <v>8399</v>
      </c>
      <c r="H4449" s="31" t="s">
        <v>577</v>
      </c>
      <c r="I4449" s="9">
        <v>5947</v>
      </c>
      <c r="J4449" s="30">
        <v>66</v>
      </c>
      <c r="K4449" s="30">
        <v>66553</v>
      </c>
      <c r="L4449" s="3" t="str">
        <f t="shared" si="145"/>
        <v>ΠΥΡΗΝΟΚΑΡΠΑ</v>
      </c>
    </row>
    <row r="4450" spans="1:12" s="3" customFormat="1" ht="15" customHeight="1" x14ac:dyDescent="0.25">
      <c r="A4450" s="3" t="str">
        <f t="shared" si="144"/>
        <v>ΠΥΡΗΝΟΚΑΡΠΑΒΕΡΊΚΟΚΑ DOMINO</v>
      </c>
      <c r="B4450" s="23" t="s">
        <v>7280</v>
      </c>
      <c r="C4450" s="24" t="s">
        <v>8400</v>
      </c>
      <c r="D4450" s="6">
        <v>5895.69</v>
      </c>
      <c r="E4450" s="6">
        <v>5815.34</v>
      </c>
      <c r="F4450" s="7" t="s">
        <v>14</v>
      </c>
      <c r="G4450" s="30" t="s">
        <v>8401</v>
      </c>
      <c r="H4450" s="31" t="s">
        <v>577</v>
      </c>
      <c r="I4450" s="9">
        <v>5949</v>
      </c>
      <c r="J4450" s="30">
        <v>66</v>
      </c>
      <c r="K4450" s="30">
        <v>66554</v>
      </c>
      <c r="L4450" s="3" t="str">
        <f t="shared" si="145"/>
        <v>ΠΥΡΗΝΟΚΑΡΠΑ</v>
      </c>
    </row>
    <row r="4451" spans="1:12" s="3" customFormat="1" ht="15" customHeight="1" x14ac:dyDescent="0.25">
      <c r="A4451" s="3" t="str">
        <f t="shared" si="144"/>
        <v>ΠΥΡΗΝΟΚΑΡΠΑΒΕΡΊΚΟΚΑ NELSON</v>
      </c>
      <c r="B4451" s="23" t="s">
        <v>7280</v>
      </c>
      <c r="C4451" s="24" t="s">
        <v>8402</v>
      </c>
      <c r="D4451" s="6">
        <v>5895.69</v>
      </c>
      <c r="E4451" s="6">
        <v>5815.34</v>
      </c>
      <c r="F4451" s="7" t="s">
        <v>14</v>
      </c>
      <c r="G4451" s="30" t="s">
        <v>8403</v>
      </c>
      <c r="H4451" s="31" t="s">
        <v>577</v>
      </c>
      <c r="I4451" s="9">
        <v>5951</v>
      </c>
      <c r="J4451" s="30">
        <v>66</v>
      </c>
      <c r="K4451" s="30">
        <v>66555</v>
      </c>
      <c r="L4451" s="3" t="str">
        <f t="shared" si="145"/>
        <v>ΠΥΡΗΝΟΚΑΡΠΑ</v>
      </c>
    </row>
    <row r="4452" spans="1:12" s="3" customFormat="1" ht="15" customHeight="1" x14ac:dyDescent="0.25">
      <c r="A4452" s="3" t="str">
        <f t="shared" si="144"/>
        <v>ΠΥΡΗΝΟΚΑΡΠΑΒΕΡΊΚΟΚΑ PRIMASSI</v>
      </c>
      <c r="B4452" s="23" t="s">
        <v>7280</v>
      </c>
      <c r="C4452" s="24" t="s">
        <v>8404</v>
      </c>
      <c r="D4452" s="6">
        <v>5895.69</v>
      </c>
      <c r="E4452" s="6">
        <v>5815.34</v>
      </c>
      <c r="F4452" s="7" t="s">
        <v>14</v>
      </c>
      <c r="G4452" s="30" t="s">
        <v>8405</v>
      </c>
      <c r="H4452" s="31" t="s">
        <v>577</v>
      </c>
      <c r="I4452" s="9">
        <v>5952</v>
      </c>
      <c r="J4452" s="30">
        <v>66</v>
      </c>
      <c r="K4452" s="30">
        <v>66556</v>
      </c>
      <c r="L4452" s="3" t="str">
        <f t="shared" si="145"/>
        <v>ΠΥΡΗΝΟΚΑΡΠΑ</v>
      </c>
    </row>
    <row r="4453" spans="1:12" s="3" customFormat="1" ht="15" customHeight="1" x14ac:dyDescent="0.25">
      <c r="A4453" s="3" t="str">
        <f t="shared" si="144"/>
        <v>ΠΥΡΗΝΟΚΑΡΠΑΒΕΡΊΚΟΚΑ PRIMIDI</v>
      </c>
      <c r="B4453" s="23" t="s">
        <v>7280</v>
      </c>
      <c r="C4453" s="24" t="s">
        <v>8406</v>
      </c>
      <c r="D4453" s="6">
        <v>5895.69</v>
      </c>
      <c r="E4453" s="6">
        <v>5815.34</v>
      </c>
      <c r="F4453" s="7" t="s">
        <v>14</v>
      </c>
      <c r="G4453" s="30" t="s">
        <v>8407</v>
      </c>
      <c r="H4453" s="31" t="s">
        <v>577</v>
      </c>
      <c r="I4453" s="9">
        <v>5953</v>
      </c>
      <c r="J4453" s="30">
        <v>66</v>
      </c>
      <c r="K4453" s="30">
        <v>66557</v>
      </c>
      <c r="L4453" s="3" t="str">
        <f t="shared" si="145"/>
        <v>ΠΥΡΗΝΟΚΑΡΠΑ</v>
      </c>
    </row>
    <row r="4454" spans="1:12" s="3" customFormat="1" ht="15" customHeight="1" x14ac:dyDescent="0.25">
      <c r="A4454" s="3" t="str">
        <f t="shared" si="144"/>
        <v>ΠΥΡΗΝΟΚΑΡΠΑΒΕΡΊΚΟΚΑ MEDFLO</v>
      </c>
      <c r="B4454" s="23" t="s">
        <v>7280</v>
      </c>
      <c r="C4454" s="24" t="s">
        <v>8408</v>
      </c>
      <c r="D4454" s="6">
        <v>5895.69</v>
      </c>
      <c r="E4454" s="6">
        <v>5815.34</v>
      </c>
      <c r="F4454" s="7" t="s">
        <v>14</v>
      </c>
      <c r="G4454" s="30" t="s">
        <v>8409</v>
      </c>
      <c r="H4454" s="31" t="s">
        <v>577</v>
      </c>
      <c r="I4454" s="9">
        <v>5950</v>
      </c>
      <c r="J4454" s="30">
        <v>66</v>
      </c>
      <c r="K4454" s="30">
        <v>66558</v>
      </c>
      <c r="L4454" s="3" t="str">
        <f t="shared" si="145"/>
        <v>ΠΥΡΗΝΟΚΑΡΠΑ</v>
      </c>
    </row>
    <row r="4455" spans="1:12" s="3" customFormat="1" ht="15" customHeight="1" x14ac:dyDescent="0.25">
      <c r="A4455" s="3" t="str">
        <f t="shared" si="144"/>
        <v>ΠΥΡΗΝΟΚΑΡΠΑΡΟΔΆΚΙΝΑ ΠΛΑΤΎΚΑΡΠΑ KIWANI</v>
      </c>
      <c r="B4455" s="23" t="s">
        <v>7280</v>
      </c>
      <c r="C4455" s="24" t="s">
        <v>8410</v>
      </c>
      <c r="D4455" s="6">
        <v>5895.69</v>
      </c>
      <c r="E4455" s="6">
        <v>5815.34</v>
      </c>
      <c r="F4455" s="7" t="s">
        <v>14</v>
      </c>
      <c r="G4455" s="30" t="s">
        <v>8411</v>
      </c>
      <c r="H4455" s="31" t="s">
        <v>577</v>
      </c>
      <c r="I4455" s="9">
        <v>6143</v>
      </c>
      <c r="J4455" s="30">
        <v>66</v>
      </c>
      <c r="K4455" s="30">
        <v>66559</v>
      </c>
      <c r="L4455" s="3" t="str">
        <f t="shared" si="145"/>
        <v>ΠΥΡΗΝΟΚΑΡΠΑ</v>
      </c>
    </row>
    <row r="4456" spans="1:12" s="3" customFormat="1" ht="15" customHeight="1" x14ac:dyDescent="0.25">
      <c r="A4456" s="3" t="str">
        <f t="shared" si="144"/>
        <v>ΠΥΡΗΝΟΚΑΡΠΑΡΟΔΆΚΙΝΑ ΠΛΑΤΎΚΑΡΠΑ ZODIAC</v>
      </c>
      <c r="B4456" s="23" t="s">
        <v>7280</v>
      </c>
      <c r="C4456" s="24" t="s">
        <v>8412</v>
      </c>
      <c r="D4456" s="6">
        <v>5895.69</v>
      </c>
      <c r="E4456" s="6">
        <v>5815.34</v>
      </c>
      <c r="F4456" s="7" t="s">
        <v>14</v>
      </c>
      <c r="G4456" s="30" t="s">
        <v>8413</v>
      </c>
      <c r="H4456" s="31" t="s">
        <v>577</v>
      </c>
      <c r="I4456" s="9">
        <v>6144</v>
      </c>
      <c r="J4456" s="30">
        <v>66</v>
      </c>
      <c r="K4456" s="30">
        <v>66560</v>
      </c>
      <c r="L4456" s="3" t="str">
        <f t="shared" si="145"/>
        <v>ΠΥΡΗΝΟΚΑΡΠΑ</v>
      </c>
    </row>
    <row r="4457" spans="1:12" s="3" customFormat="1" ht="15" customHeight="1" x14ac:dyDescent="0.25">
      <c r="A4457" s="3" t="str">
        <f t="shared" si="144"/>
        <v>ΠΥΡΗΝΟΚΑΡΠΑΡΟΔΆΚΙΝΑ ΠΛΑΤΎΚΑΡΠΑ CONTESSA</v>
      </c>
      <c r="B4457" s="23" t="s">
        <v>7280</v>
      </c>
      <c r="C4457" s="24" t="s">
        <v>8414</v>
      </c>
      <c r="D4457" s="6">
        <v>5895.69</v>
      </c>
      <c r="E4457" s="6">
        <v>5815.34</v>
      </c>
      <c r="F4457" s="7" t="s">
        <v>14</v>
      </c>
      <c r="G4457" s="30" t="s">
        <v>8415</v>
      </c>
      <c r="H4457" s="31" t="s">
        <v>577</v>
      </c>
      <c r="I4457" s="9">
        <v>6141</v>
      </c>
      <c r="J4457" s="30">
        <v>66</v>
      </c>
      <c r="K4457" s="30">
        <v>66561</v>
      </c>
      <c r="L4457" s="3" t="str">
        <f t="shared" si="145"/>
        <v>ΠΥΡΗΝΟΚΑΡΠΑ</v>
      </c>
    </row>
    <row r="4458" spans="1:12" s="3" customFormat="1" ht="15" customHeight="1" x14ac:dyDescent="0.25">
      <c r="A4458" s="3" t="str">
        <f t="shared" si="144"/>
        <v>ΠΥΡΗΝΟΚΑΡΠΑΡΟΔΆΚΙΝΑ ΠΛΑΤΎΚΑΡΠΑ CYCLADE</v>
      </c>
      <c r="B4458" s="23" t="s">
        <v>7280</v>
      </c>
      <c r="C4458" s="24" t="s">
        <v>8416</v>
      </c>
      <c r="D4458" s="6">
        <v>5895.69</v>
      </c>
      <c r="E4458" s="6">
        <v>5815.34</v>
      </c>
      <c r="F4458" s="7" t="s">
        <v>14</v>
      </c>
      <c r="G4458" s="30" t="s">
        <v>8417</v>
      </c>
      <c r="H4458" s="31" t="s">
        <v>577</v>
      </c>
      <c r="I4458" s="9">
        <v>6142</v>
      </c>
      <c r="J4458" s="30">
        <v>66</v>
      </c>
      <c r="K4458" s="30">
        <v>66562</v>
      </c>
      <c r="L4458" s="3" t="str">
        <f t="shared" si="145"/>
        <v>ΠΥΡΗΝΟΚΑΡΠΑ</v>
      </c>
    </row>
    <row r="4459" spans="1:12" s="3" customFormat="1" ht="15" customHeight="1" x14ac:dyDescent="0.25">
      <c r="A4459" s="3" t="str">
        <f t="shared" si="144"/>
        <v>ΠΥΡΗΝΟΚΑΡΠΑΝΕΚΤΑΡΊΝΙΑ ΠΛΑΤΎΚΑΡΠΑ LUISELLA</v>
      </c>
      <c r="B4459" s="23" t="s">
        <v>7280</v>
      </c>
      <c r="C4459" s="24" t="s">
        <v>8418</v>
      </c>
      <c r="D4459" s="6">
        <v>5895.69</v>
      </c>
      <c r="E4459" s="6">
        <v>5815.34</v>
      </c>
      <c r="F4459" s="7" t="s">
        <v>14</v>
      </c>
      <c r="G4459" s="30" t="s">
        <v>8419</v>
      </c>
      <c r="H4459" s="31" t="s">
        <v>577</v>
      </c>
      <c r="I4459" s="9">
        <v>6116</v>
      </c>
      <c r="J4459" s="30">
        <v>66</v>
      </c>
      <c r="K4459" s="30">
        <v>66563</v>
      </c>
      <c r="L4459" s="3" t="str">
        <f t="shared" si="145"/>
        <v>ΠΥΡΗΝΟΚΑΡΠΑ</v>
      </c>
    </row>
    <row r="4460" spans="1:12" s="3" customFormat="1" ht="15" customHeight="1" x14ac:dyDescent="0.25">
      <c r="A4460" s="3" t="str">
        <f t="shared" si="144"/>
        <v>ΠΥΡΗΝΟΚΑΡΠΑΝΕΚΤΑΡΊΝΙΑ ΚΙΤΡΙΝΌΣΑΡΚΑ PATAGONIA</v>
      </c>
      <c r="B4460" s="23" t="s">
        <v>7280</v>
      </c>
      <c r="C4460" s="24" t="s">
        <v>8420</v>
      </c>
      <c r="D4460" s="6">
        <v>5895.69</v>
      </c>
      <c r="E4460" s="6">
        <v>5815.34</v>
      </c>
      <c r="F4460" s="7" t="s">
        <v>14</v>
      </c>
      <c r="G4460" s="30" t="s">
        <v>8421</v>
      </c>
      <c r="H4460" s="31" t="s">
        <v>577</v>
      </c>
      <c r="I4460" s="9">
        <v>6108</v>
      </c>
      <c r="J4460" s="30">
        <v>66</v>
      </c>
      <c r="K4460" s="30">
        <v>66564</v>
      </c>
      <c r="L4460" s="3" t="str">
        <f t="shared" si="145"/>
        <v>ΠΥΡΗΝΟΚΑΡΠΑ</v>
      </c>
    </row>
    <row r="4461" spans="1:12" s="3" customFormat="1" ht="15" customHeight="1" x14ac:dyDescent="0.25">
      <c r="A4461" s="3" t="str">
        <f t="shared" si="144"/>
        <v>ΠΥΡΗΝΟΚΑΡΠΑΝΕΚΤΑΡΊΝΙΑ ΚΙΤΡΙΝΌΣΑΡΚΑ COPACABANA</v>
      </c>
      <c r="B4461" s="23" t="s">
        <v>7280</v>
      </c>
      <c r="C4461" s="24" t="s">
        <v>8422</v>
      </c>
      <c r="D4461" s="6">
        <v>5895.69</v>
      </c>
      <c r="E4461" s="6">
        <v>5815.34</v>
      </c>
      <c r="F4461" s="7" t="s">
        <v>14</v>
      </c>
      <c r="G4461" s="30" t="s">
        <v>8423</v>
      </c>
      <c r="H4461" s="31" t="s">
        <v>577</v>
      </c>
      <c r="I4461" s="9">
        <v>6103</v>
      </c>
      <c r="J4461" s="30">
        <v>66</v>
      </c>
      <c r="K4461" s="30">
        <v>66565</v>
      </c>
      <c r="L4461" s="3" t="str">
        <f t="shared" si="145"/>
        <v>ΠΥΡΗΝΟΚΑΡΠΑ</v>
      </c>
    </row>
    <row r="4462" spans="1:12" s="3" customFormat="1" ht="15" customHeight="1" x14ac:dyDescent="0.25">
      <c r="A4462" s="3" t="str">
        <f t="shared" si="144"/>
        <v>ΠΥΡΗΝΟΚΑΡΠΑΝΕΚΤΑΡΊΝΙΑ ΚΙΤΡΙΝΌΣΑΡΚΑ CARACAS</v>
      </c>
      <c r="B4462" s="23" t="s">
        <v>7280</v>
      </c>
      <c r="C4462" s="24" t="s">
        <v>8424</v>
      </c>
      <c r="D4462" s="6">
        <v>5895.69</v>
      </c>
      <c r="E4462" s="6">
        <v>5815.34</v>
      </c>
      <c r="F4462" s="7" t="s">
        <v>14</v>
      </c>
      <c r="G4462" s="30" t="s">
        <v>8425</v>
      </c>
      <c r="H4462" s="31" t="s">
        <v>577</v>
      </c>
      <c r="I4462" s="9">
        <v>6101</v>
      </c>
      <c r="J4462" s="30">
        <v>66</v>
      </c>
      <c r="K4462" s="30">
        <v>66566</v>
      </c>
      <c r="L4462" s="3" t="str">
        <f t="shared" si="145"/>
        <v>ΠΥΡΗΝΟΚΑΡΠΑ</v>
      </c>
    </row>
    <row r="4463" spans="1:12" s="3" customFormat="1" ht="15" customHeight="1" x14ac:dyDescent="0.25">
      <c r="A4463" s="3" t="str">
        <f t="shared" si="144"/>
        <v>ΠΥΡΗΝΟΚΑΡΠΑΝΕΚΤΑΡΊΝΙΑ ΚΙΤΡΙΝΌΣΑΡΚΑ MOMBASA</v>
      </c>
      <c r="B4463" s="23" t="s">
        <v>7280</v>
      </c>
      <c r="C4463" s="24" t="s">
        <v>8426</v>
      </c>
      <c r="D4463" s="6">
        <v>5895.69</v>
      </c>
      <c r="E4463" s="6">
        <v>5815.34</v>
      </c>
      <c r="F4463" s="7" t="s">
        <v>14</v>
      </c>
      <c r="G4463" s="30" t="s">
        <v>8427</v>
      </c>
      <c r="H4463" s="31" t="s">
        <v>577</v>
      </c>
      <c r="I4463" s="9">
        <v>6107</v>
      </c>
      <c r="J4463" s="30">
        <v>66</v>
      </c>
      <c r="K4463" s="30">
        <v>66567</v>
      </c>
      <c r="L4463" s="3" t="str">
        <f t="shared" si="145"/>
        <v>ΠΥΡΗΝΟΚΑΡΠΑ</v>
      </c>
    </row>
    <row r="4464" spans="1:12" s="3" customFormat="1" ht="15" customHeight="1" x14ac:dyDescent="0.25">
      <c r="A4464" s="3" t="str">
        <f t="shared" si="144"/>
        <v>ΠΥΡΗΝΟΚΑΡΠΑΝΕΚΤΑΡΊΝΙΑ ΚΙΤΡΙΝΌΣΑΡΚΑ ATANAIS</v>
      </c>
      <c r="B4464" s="23" t="s">
        <v>7280</v>
      </c>
      <c r="C4464" s="24" t="s">
        <v>8428</v>
      </c>
      <c r="D4464" s="6">
        <v>5895.69</v>
      </c>
      <c r="E4464" s="6">
        <v>5815.34</v>
      </c>
      <c r="F4464" s="7" t="s">
        <v>14</v>
      </c>
      <c r="G4464" s="30" t="s">
        <v>8429</v>
      </c>
      <c r="H4464" s="31" t="s">
        <v>577</v>
      </c>
      <c r="I4464" s="9">
        <v>6100</v>
      </c>
      <c r="J4464" s="30">
        <v>66</v>
      </c>
      <c r="K4464" s="30">
        <v>66568</v>
      </c>
      <c r="L4464" s="3" t="str">
        <f t="shared" si="145"/>
        <v>ΠΥΡΗΝΟΚΑΡΠΑ</v>
      </c>
    </row>
    <row r="4465" spans="1:12" s="3" customFormat="1" ht="15" customHeight="1" x14ac:dyDescent="0.25">
      <c r="A4465" s="3" t="str">
        <f t="shared" si="144"/>
        <v>ΠΥΡΗΝΟΚΑΡΠΑΝΕΚΤΑΡΊΝΙΑ ΚΙΤΡΙΝΌΣΑΡΚΑ MATISS</v>
      </c>
      <c r="B4465" s="23" t="s">
        <v>7280</v>
      </c>
      <c r="C4465" s="24" t="s">
        <v>8430</v>
      </c>
      <c r="D4465" s="6">
        <v>5895.69</v>
      </c>
      <c r="E4465" s="6">
        <v>5815.34</v>
      </c>
      <c r="F4465" s="7" t="s">
        <v>14</v>
      </c>
      <c r="G4465" s="30" t="s">
        <v>8431</v>
      </c>
      <c r="H4465" s="31" t="s">
        <v>577</v>
      </c>
      <c r="I4465" s="9">
        <v>6106</v>
      </c>
      <c r="J4465" s="30">
        <v>66</v>
      </c>
      <c r="K4465" s="30">
        <v>66569</v>
      </c>
      <c r="L4465" s="3" t="str">
        <f t="shared" si="145"/>
        <v>ΠΥΡΗΝΟΚΑΡΠΑ</v>
      </c>
    </row>
    <row r="4466" spans="1:12" s="3" customFormat="1" ht="15" customHeight="1" x14ac:dyDescent="0.25">
      <c r="A4466" s="3" t="str">
        <f t="shared" si="144"/>
        <v>ΠΥΡΗΝΟΚΑΡΠΑΝΕΚΤΑΡΊΝΙΑ ΚΙΤΡΙΝΌΣΑΡΚΑ LUCIANA</v>
      </c>
      <c r="B4466" s="23" t="s">
        <v>7280</v>
      </c>
      <c r="C4466" s="24" t="s">
        <v>8432</v>
      </c>
      <c r="D4466" s="6">
        <v>5895.69</v>
      </c>
      <c r="E4466" s="6">
        <v>5815.34</v>
      </c>
      <c r="F4466" s="7" t="s">
        <v>14</v>
      </c>
      <c r="G4466" s="30" t="s">
        <v>8433</v>
      </c>
      <c r="H4466" s="31" t="s">
        <v>577</v>
      </c>
      <c r="I4466" s="9">
        <v>6105</v>
      </c>
      <c r="J4466" s="30">
        <v>66</v>
      </c>
      <c r="K4466" s="30">
        <v>66570</v>
      </c>
      <c r="L4466" s="3" t="str">
        <f t="shared" si="145"/>
        <v>ΠΥΡΗΝΟΚΑΡΠΑ</v>
      </c>
    </row>
    <row r="4467" spans="1:12" s="3" customFormat="1" ht="15" customHeight="1" x14ac:dyDescent="0.25">
      <c r="A4467" s="3" t="str">
        <f t="shared" si="144"/>
        <v>ΠΥΡΗΝΟΚΑΡΠΑΝΕΚΤΑΡΊΝΙΑ ΚΙΤΡΙΝΌΣΑΡΚΑ CLARISS</v>
      </c>
      <c r="B4467" s="23" t="s">
        <v>7280</v>
      </c>
      <c r="C4467" s="24" t="s">
        <v>8434</v>
      </c>
      <c r="D4467" s="6">
        <v>5895.69</v>
      </c>
      <c r="E4467" s="6">
        <v>5815.34</v>
      </c>
      <c r="F4467" s="7" t="s">
        <v>14</v>
      </c>
      <c r="G4467" s="30" t="s">
        <v>8435</v>
      </c>
      <c r="H4467" s="31" t="s">
        <v>577</v>
      </c>
      <c r="I4467" s="9">
        <v>6102</v>
      </c>
      <c r="J4467" s="30">
        <v>66</v>
      </c>
      <c r="K4467" s="30">
        <v>66571</v>
      </c>
      <c r="L4467" s="3" t="str">
        <f t="shared" si="145"/>
        <v>ΠΥΡΗΝΟΚΑΡΠΑ</v>
      </c>
    </row>
    <row r="4468" spans="1:12" s="3" customFormat="1" ht="15" customHeight="1" x14ac:dyDescent="0.25">
      <c r="A4468" s="3" t="str">
        <f t="shared" si="144"/>
        <v>ΠΥΡΗΝΟΚΑΡΠΑΝΕΚΤΑΡΊΝΙΑ ΚΙΤΡΙΝΌΣΑΡΚΑ ESMERALDA</v>
      </c>
      <c r="B4468" s="23" t="s">
        <v>7280</v>
      </c>
      <c r="C4468" s="24" t="s">
        <v>8436</v>
      </c>
      <c r="D4468" s="6">
        <v>5895.69</v>
      </c>
      <c r="E4468" s="6">
        <v>5815.34</v>
      </c>
      <c r="F4468" s="7" t="s">
        <v>14</v>
      </c>
      <c r="G4468" s="30" t="s">
        <v>8437</v>
      </c>
      <c r="H4468" s="31" t="s">
        <v>577</v>
      </c>
      <c r="I4468" s="9">
        <v>6104</v>
      </c>
      <c r="J4468" s="30">
        <v>66</v>
      </c>
      <c r="K4468" s="30">
        <v>66572</v>
      </c>
      <c r="L4468" s="3" t="str">
        <f t="shared" si="145"/>
        <v>ΠΥΡΗΝΟΚΑΡΠΑ</v>
      </c>
    </row>
    <row r="4469" spans="1:12" s="3" customFormat="1" ht="15" customHeight="1" x14ac:dyDescent="0.25">
      <c r="A4469" s="3" t="str">
        <f t="shared" si="144"/>
        <v>ΠΥΡΗΝΟΚΑΡΠΑΝΕΚΤΑΡΊΝΙΑ ΚΙΤΡΙΝΌΣΑΡΚΑ ZAITROBO</v>
      </c>
      <c r="B4469" s="23" t="s">
        <v>7280</v>
      </c>
      <c r="C4469" s="24" t="s">
        <v>8438</v>
      </c>
      <c r="D4469" s="6">
        <v>5895.69</v>
      </c>
      <c r="E4469" s="6">
        <v>5815.34</v>
      </c>
      <c r="F4469" s="7" t="s">
        <v>14</v>
      </c>
      <c r="G4469" s="30" t="s">
        <v>8439</v>
      </c>
      <c r="H4469" s="31" t="s">
        <v>577</v>
      </c>
      <c r="I4469" s="9">
        <v>6112</v>
      </c>
      <c r="J4469" s="30">
        <v>66</v>
      </c>
      <c r="K4469" s="30">
        <v>66573</v>
      </c>
      <c r="L4469" s="3" t="str">
        <f t="shared" si="145"/>
        <v>ΠΥΡΗΝΟΚΑΡΠΑ</v>
      </c>
    </row>
    <row r="4470" spans="1:12" s="3" customFormat="1" ht="15" customHeight="1" x14ac:dyDescent="0.25">
      <c r="A4470" s="3" t="str">
        <f t="shared" si="144"/>
        <v>ΠΥΡΗΝΟΚΑΡΠΑΝΕΚΤΑΡΊΝΙΑ ΚΙΤΡΙΝΌΣΑΡΚΑ ZAI845NJ</v>
      </c>
      <c r="B4470" s="23" t="s">
        <v>7280</v>
      </c>
      <c r="C4470" s="24" t="s">
        <v>8440</v>
      </c>
      <c r="D4470" s="6">
        <v>5895.69</v>
      </c>
      <c r="E4470" s="6">
        <v>5815.34</v>
      </c>
      <c r="F4470" s="7" t="s">
        <v>14</v>
      </c>
      <c r="G4470" s="30" t="s">
        <v>8441</v>
      </c>
      <c r="H4470" s="31" t="s">
        <v>577</v>
      </c>
      <c r="I4470" s="9">
        <v>6111</v>
      </c>
      <c r="J4470" s="30">
        <v>66</v>
      </c>
      <c r="K4470" s="30">
        <v>66574</v>
      </c>
      <c r="L4470" s="3" t="str">
        <f t="shared" si="145"/>
        <v>ΠΥΡΗΝΟΚΑΡΠΑ</v>
      </c>
    </row>
    <row r="4471" spans="1:12" s="3" customFormat="1" ht="15" customHeight="1" x14ac:dyDescent="0.25">
      <c r="A4471" s="3" t="str">
        <f t="shared" si="144"/>
        <v>ΠΥΡΗΝΟΚΑΡΠΑΝΕΚΤΑΡΊΝΙΑ ΚΙΤΡΙΝΌΣΑΡΚΑ ZAI843NJ</v>
      </c>
      <c r="B4471" s="23" t="s">
        <v>7280</v>
      </c>
      <c r="C4471" s="24" t="s">
        <v>8442</v>
      </c>
      <c r="D4471" s="6">
        <v>5895.69</v>
      </c>
      <c r="E4471" s="6">
        <v>5815.34</v>
      </c>
      <c r="F4471" s="7" t="s">
        <v>14</v>
      </c>
      <c r="G4471" s="30" t="s">
        <v>8443</v>
      </c>
      <c r="H4471" s="31" t="s">
        <v>577</v>
      </c>
      <c r="I4471" s="9">
        <v>6110</v>
      </c>
      <c r="J4471" s="30">
        <v>66</v>
      </c>
      <c r="K4471" s="30">
        <v>66575</v>
      </c>
      <c r="L4471" s="3" t="str">
        <f t="shared" si="145"/>
        <v>ΠΥΡΗΝΟΚΑΡΠΑ</v>
      </c>
    </row>
    <row r="4472" spans="1:12" s="3" customFormat="1" ht="15" customHeight="1" x14ac:dyDescent="0.25">
      <c r="A4472" s="3" t="str">
        <f t="shared" si="144"/>
        <v>ΠΥΡΗΝΟΚΑΡΠΑΝΕΚΤΑΡΊΝΙΑ ΚΙΤΡΙΝΌΣΑΡΚΑ ZAI827NJ</v>
      </c>
      <c r="B4472" s="23" t="s">
        <v>7280</v>
      </c>
      <c r="C4472" s="24" t="s">
        <v>8444</v>
      </c>
      <c r="D4472" s="6">
        <v>5895.69</v>
      </c>
      <c r="E4472" s="6">
        <v>5815.34</v>
      </c>
      <c r="F4472" s="7" t="s">
        <v>14</v>
      </c>
      <c r="G4472" s="30" t="s">
        <v>8445</v>
      </c>
      <c r="H4472" s="31" t="s">
        <v>577</v>
      </c>
      <c r="I4472" s="9">
        <v>6109</v>
      </c>
      <c r="J4472" s="30">
        <v>66</v>
      </c>
      <c r="K4472" s="30">
        <v>66576</v>
      </c>
      <c r="L4472" s="3" t="str">
        <f t="shared" si="145"/>
        <v>ΠΥΡΗΝΟΚΑΡΠΑ</v>
      </c>
    </row>
    <row r="4473" spans="1:12" s="3" customFormat="1" ht="15" customHeight="1" x14ac:dyDescent="0.25">
      <c r="A4473" s="3" t="str">
        <f t="shared" si="144"/>
        <v>ΠΥΡΗΝΟΚΑΡΠΑΝΕΚΤΑΡΊΝΙΑ ΛΕΥΚΌΣΑΡΚΑ BOREAL</v>
      </c>
      <c r="B4473" s="23" t="s">
        <v>7280</v>
      </c>
      <c r="C4473" s="24" t="s">
        <v>8446</v>
      </c>
      <c r="D4473" s="6">
        <v>5895.69</v>
      </c>
      <c r="E4473" s="6">
        <v>5815.34</v>
      </c>
      <c r="F4473" s="7" t="s">
        <v>14</v>
      </c>
      <c r="G4473" s="30" t="s">
        <v>8447</v>
      </c>
      <c r="H4473" s="31" t="s">
        <v>577</v>
      </c>
      <c r="I4473" s="9">
        <v>6113</v>
      </c>
      <c r="J4473" s="30">
        <v>66</v>
      </c>
      <c r="K4473" s="30">
        <v>66577</v>
      </c>
      <c r="L4473" s="3" t="str">
        <f t="shared" si="145"/>
        <v>ΠΥΡΗΝΟΚΑΡΠΑ</v>
      </c>
    </row>
    <row r="4474" spans="1:12" s="3" customFormat="1" ht="15" customHeight="1" x14ac:dyDescent="0.25">
      <c r="A4474" s="3" t="str">
        <f t="shared" si="144"/>
        <v>ΠΥΡΗΝΟΚΑΡΠΑΝΕΚΤΑΡΊΝΙΑ ΛΕΥΚΌΣΑΡΚΑ VAHINE</v>
      </c>
      <c r="B4474" s="23" t="s">
        <v>7280</v>
      </c>
      <c r="C4474" s="24" t="s">
        <v>8448</v>
      </c>
      <c r="D4474" s="6">
        <v>5895.69</v>
      </c>
      <c r="E4474" s="6">
        <v>5815.34</v>
      </c>
      <c r="F4474" s="7" t="s">
        <v>14</v>
      </c>
      <c r="G4474" s="30" t="s">
        <v>8449</v>
      </c>
      <c r="H4474" s="31" t="s">
        <v>577</v>
      </c>
      <c r="I4474" s="9">
        <v>6115</v>
      </c>
      <c r="J4474" s="30">
        <v>66</v>
      </c>
      <c r="K4474" s="30">
        <v>66578</v>
      </c>
      <c r="L4474" s="3" t="str">
        <f t="shared" si="145"/>
        <v>ΠΥΡΗΝΟΚΑΡΠΑ</v>
      </c>
    </row>
    <row r="4475" spans="1:12" s="3" customFormat="1" ht="15" customHeight="1" x14ac:dyDescent="0.25">
      <c r="A4475" s="3" t="str">
        <f t="shared" si="144"/>
        <v>ΠΥΡΗΝΟΚΑΡΠΑΝΕΚΤΑΡΊΝΙΑ ΛΕΥΚΌΣΑΡΚΑ TIFANY</v>
      </c>
      <c r="B4475" s="23" t="s">
        <v>7280</v>
      </c>
      <c r="C4475" s="24" t="s">
        <v>8450</v>
      </c>
      <c r="D4475" s="6">
        <v>5895.69</v>
      </c>
      <c r="E4475" s="6">
        <v>5815.34</v>
      </c>
      <c r="F4475" s="7" t="s">
        <v>14</v>
      </c>
      <c r="G4475" s="30" t="s">
        <v>8451</v>
      </c>
      <c r="H4475" s="31" t="s">
        <v>577</v>
      </c>
      <c r="I4475" s="9">
        <v>6114</v>
      </c>
      <c r="J4475" s="30">
        <v>66</v>
      </c>
      <c r="K4475" s="30">
        <v>66579</v>
      </c>
      <c r="L4475" s="3" t="str">
        <f t="shared" si="145"/>
        <v>ΠΥΡΗΝΟΚΑΡΠΑ</v>
      </c>
    </row>
    <row r="4476" spans="1:12" s="3" customFormat="1" ht="15" customHeight="1" x14ac:dyDescent="0.25">
      <c r="A4476" s="3" t="str">
        <f t="shared" si="144"/>
        <v>ΠΥΡΗΝΟΚΑΡΠΑΡΟΔΆΚΙΝΑ ASTORIA</v>
      </c>
      <c r="B4476" s="23" t="s">
        <v>7280</v>
      </c>
      <c r="C4476" s="24" t="s">
        <v>8452</v>
      </c>
      <c r="D4476" s="6">
        <v>5895.69</v>
      </c>
      <c r="E4476" s="6">
        <v>5815.34</v>
      </c>
      <c r="F4476" s="7" t="s">
        <v>14</v>
      </c>
      <c r="G4476" s="30" t="s">
        <v>8453</v>
      </c>
      <c r="H4476" s="31" t="s">
        <v>577</v>
      </c>
      <c r="I4476" s="9">
        <v>6120</v>
      </c>
      <c r="J4476" s="30">
        <v>66</v>
      </c>
      <c r="K4476" s="30">
        <v>66580</v>
      </c>
      <c r="L4476" s="3" t="str">
        <f t="shared" si="145"/>
        <v>ΠΥΡΗΝΟΚΑΡΠΑ</v>
      </c>
    </row>
    <row r="4477" spans="1:12" s="3" customFormat="1" ht="15" customHeight="1" x14ac:dyDescent="0.25">
      <c r="A4477" s="3" t="str">
        <f t="shared" si="144"/>
        <v>ΠΥΡΗΝΟΚΑΡΠΑΡΟΔΆΚΙΝΑ POMPADOUR</v>
      </c>
      <c r="B4477" s="23" t="s">
        <v>7280</v>
      </c>
      <c r="C4477" s="24" t="s">
        <v>8454</v>
      </c>
      <c r="D4477" s="6">
        <v>5895.69</v>
      </c>
      <c r="E4477" s="6">
        <v>5815.34</v>
      </c>
      <c r="F4477" s="7" t="s">
        <v>14</v>
      </c>
      <c r="G4477" s="30" t="s">
        <v>8455</v>
      </c>
      <c r="H4477" s="31" t="s">
        <v>577</v>
      </c>
      <c r="I4477" s="9">
        <v>6131</v>
      </c>
      <c r="J4477" s="30">
        <v>66</v>
      </c>
      <c r="K4477" s="30">
        <v>66581</v>
      </c>
      <c r="L4477" s="3" t="str">
        <f t="shared" si="145"/>
        <v>ΠΥΡΗΝΟΚΑΡΠΑ</v>
      </c>
    </row>
    <row r="4478" spans="1:12" s="3" customFormat="1" ht="15" customHeight="1" x14ac:dyDescent="0.25">
      <c r="A4478" s="3" t="str">
        <f t="shared" si="144"/>
        <v>ΠΥΡΗΝΟΚΑΡΠΑΡΟΔΆΚΙΝΑ LOLA</v>
      </c>
      <c r="B4478" s="23" t="s">
        <v>7280</v>
      </c>
      <c r="C4478" s="24" t="s">
        <v>8456</v>
      </c>
      <c r="D4478" s="6">
        <v>5895.69</v>
      </c>
      <c r="E4478" s="6">
        <v>5815.34</v>
      </c>
      <c r="F4478" s="7" t="s">
        <v>14</v>
      </c>
      <c r="G4478" s="30" t="s">
        <v>8457</v>
      </c>
      <c r="H4478" s="31" t="s">
        <v>577</v>
      </c>
      <c r="I4478" s="9">
        <v>6129</v>
      </c>
      <c r="J4478" s="30">
        <v>66</v>
      </c>
      <c r="K4478" s="30">
        <v>66582</v>
      </c>
      <c r="L4478" s="3" t="str">
        <f t="shared" si="145"/>
        <v>ΠΥΡΗΝΟΚΑΡΠΑ</v>
      </c>
    </row>
    <row r="4479" spans="1:12" s="3" customFormat="1" ht="15" customHeight="1" x14ac:dyDescent="0.25">
      <c r="A4479" s="3" t="str">
        <f t="shared" si="144"/>
        <v>ΠΥΡΗΝΟΚΑΡΠΑΡΟΔΆΚΙΝΑ ARTEMIS</v>
      </c>
      <c r="B4479" s="23" t="s">
        <v>7280</v>
      </c>
      <c r="C4479" s="24" t="s">
        <v>8458</v>
      </c>
      <c r="D4479" s="6">
        <v>5895.69</v>
      </c>
      <c r="E4479" s="6">
        <v>5815.34</v>
      </c>
      <c r="F4479" s="7" t="s">
        <v>14</v>
      </c>
      <c r="G4479" s="30" t="s">
        <v>8459</v>
      </c>
      <c r="H4479" s="31" t="s">
        <v>577</v>
      </c>
      <c r="I4479" s="9">
        <v>6119</v>
      </c>
      <c r="J4479" s="30">
        <v>66</v>
      </c>
      <c r="K4479" s="30">
        <v>66583</v>
      </c>
      <c r="L4479" s="3" t="str">
        <f t="shared" si="145"/>
        <v>ΠΥΡΗΝΟΚΑΡΠΑ</v>
      </c>
    </row>
    <row r="4480" spans="1:12" s="3" customFormat="1" ht="15" customHeight="1" x14ac:dyDescent="0.25">
      <c r="A4480" s="3" t="str">
        <f t="shared" si="144"/>
        <v>ΠΥΡΗΝΟΚΑΡΠΑΡΟΔΆΚΙΝΑ CARLA</v>
      </c>
      <c r="B4480" s="23" t="s">
        <v>7280</v>
      </c>
      <c r="C4480" s="24" t="s">
        <v>8460</v>
      </c>
      <c r="D4480" s="6">
        <v>5895.69</v>
      </c>
      <c r="E4480" s="6">
        <v>5815.34</v>
      </c>
      <c r="F4480" s="7" t="s">
        <v>14</v>
      </c>
      <c r="G4480" s="30" t="s">
        <v>8461</v>
      </c>
      <c r="H4480" s="31" t="s">
        <v>577</v>
      </c>
      <c r="I4480" s="9">
        <v>6122</v>
      </c>
      <c r="J4480" s="30">
        <v>66</v>
      </c>
      <c r="K4480" s="30">
        <v>66584</v>
      </c>
      <c r="L4480" s="3" t="str">
        <f t="shared" si="145"/>
        <v>ΠΥΡΗΝΟΚΑΡΠΑ</v>
      </c>
    </row>
    <row r="4481" spans="1:12" s="3" customFormat="1" ht="15" customHeight="1" x14ac:dyDescent="0.25">
      <c r="A4481" s="3" t="str">
        <f t="shared" si="144"/>
        <v>ΠΥΡΗΝΟΚΑΡΠΑΡΟΔΆΚΙΝΑ PAMPANA</v>
      </c>
      <c r="B4481" s="23" t="s">
        <v>7280</v>
      </c>
      <c r="C4481" s="24" t="s">
        <v>8462</v>
      </c>
      <c r="D4481" s="6">
        <v>5895.69</v>
      </c>
      <c r="E4481" s="6">
        <v>5815.34</v>
      </c>
      <c r="F4481" s="7" t="s">
        <v>14</v>
      </c>
      <c r="G4481" s="30" t="s">
        <v>8463</v>
      </c>
      <c r="H4481" s="31" t="s">
        <v>577</v>
      </c>
      <c r="I4481" s="9">
        <v>6130</v>
      </c>
      <c r="J4481" s="30">
        <v>66</v>
      </c>
      <c r="K4481" s="30">
        <v>66585</v>
      </c>
      <c r="L4481" s="3" t="str">
        <f t="shared" si="145"/>
        <v>ΠΥΡΗΝΟΚΑΡΠΑ</v>
      </c>
    </row>
    <row r="4482" spans="1:12" s="3" customFormat="1" ht="15" customHeight="1" x14ac:dyDescent="0.25">
      <c r="A4482" s="3" t="str">
        <f t="shared" si="144"/>
        <v>ΠΥΡΗΝΟΚΑΡΠΑΡΟΔΆΚΙΝΑ ARIZONA</v>
      </c>
      <c r="B4482" s="23" t="s">
        <v>7280</v>
      </c>
      <c r="C4482" s="24" t="s">
        <v>8464</v>
      </c>
      <c r="D4482" s="6">
        <v>5895.69</v>
      </c>
      <c r="E4482" s="6">
        <v>5815.34</v>
      </c>
      <c r="F4482" s="7" t="s">
        <v>14</v>
      </c>
      <c r="G4482" s="30" t="s">
        <v>8465</v>
      </c>
      <c r="H4482" s="31" t="s">
        <v>577</v>
      </c>
      <c r="I4482" s="9">
        <v>6118</v>
      </c>
      <c r="J4482" s="30">
        <v>66</v>
      </c>
      <c r="K4482" s="30">
        <v>66586</v>
      </c>
      <c r="L4482" s="3" t="str">
        <f t="shared" si="145"/>
        <v>ΠΥΡΗΝΟΚΑΡΠΑ</v>
      </c>
    </row>
    <row r="4483" spans="1:12" s="3" customFormat="1" ht="15" customHeight="1" x14ac:dyDescent="0.25">
      <c r="A4483" s="3" t="str">
        <f t="shared" ref="A4483:A4546" si="146">_xlfn.CONCAT(B4483,C4483)</f>
        <v>ΠΥΡΗΝΟΚΑΡΠΑΡΟΔΆΚΙΝΑ SOLEDORA</v>
      </c>
      <c r="B4483" s="23" t="s">
        <v>7280</v>
      </c>
      <c r="C4483" s="24" t="s">
        <v>8466</v>
      </c>
      <c r="D4483" s="6">
        <v>5895.69</v>
      </c>
      <c r="E4483" s="6">
        <v>5815.34</v>
      </c>
      <c r="F4483" s="7" t="s">
        <v>14</v>
      </c>
      <c r="G4483" s="30" t="s">
        <v>8467</v>
      </c>
      <c r="H4483" s="31" t="s">
        <v>577</v>
      </c>
      <c r="I4483" s="9">
        <v>6134</v>
      </c>
      <c r="J4483" s="30">
        <v>66</v>
      </c>
      <c r="K4483" s="30">
        <v>66587</v>
      </c>
      <c r="L4483" s="3" t="str">
        <f t="shared" ref="L4483:L4546" si="147">IFERROR(SUBSTITUTE(SUBSTITUTE(SUBSTITUTE(SUBSTITUTE(SUBSTITUTE(B4483, "-", "_"), " ", "_"), ",", ""), "(", ""), ")", ""), B4483)</f>
        <v>ΠΥΡΗΝΟΚΑΡΠΑ</v>
      </c>
    </row>
    <row r="4484" spans="1:12" s="3" customFormat="1" ht="15" customHeight="1" x14ac:dyDescent="0.25">
      <c r="A4484" s="3" t="str">
        <f t="shared" si="146"/>
        <v>ΠΥΡΗΝΟΚΑΡΠΑΡΟΔΆΚΙΝΑ FOTON RED</v>
      </c>
      <c r="B4484" s="23" t="s">
        <v>7280</v>
      </c>
      <c r="C4484" s="24" t="s">
        <v>8468</v>
      </c>
      <c r="D4484" s="6">
        <v>5895.69</v>
      </c>
      <c r="E4484" s="6">
        <v>5815.34</v>
      </c>
      <c r="F4484" s="7" t="s">
        <v>14</v>
      </c>
      <c r="G4484" s="30" t="s">
        <v>8469</v>
      </c>
      <c r="H4484" s="31" t="s">
        <v>577</v>
      </c>
      <c r="I4484" s="9">
        <v>6124</v>
      </c>
      <c r="J4484" s="30">
        <v>66</v>
      </c>
      <c r="K4484" s="30">
        <v>66588</v>
      </c>
      <c r="L4484" s="3" t="str">
        <f t="shared" si="147"/>
        <v>ΠΥΡΗΝΟΚΑΡΠΑ</v>
      </c>
    </row>
    <row r="4485" spans="1:12" s="3" customFormat="1" ht="15" customHeight="1" x14ac:dyDescent="0.25">
      <c r="A4485" s="3" t="str">
        <f t="shared" si="146"/>
        <v>ΠΥΡΗΝΟΚΑΡΠΑΡΟΔΆΚΙΝΑ ZAIRISUP</v>
      </c>
      <c r="B4485" s="23" t="s">
        <v>7280</v>
      </c>
      <c r="C4485" s="24" t="s">
        <v>8470</v>
      </c>
      <c r="D4485" s="6">
        <v>5895.69</v>
      </c>
      <c r="E4485" s="6">
        <v>5815.34</v>
      </c>
      <c r="F4485" s="7" t="s">
        <v>14</v>
      </c>
      <c r="G4485" s="30" t="s">
        <v>8471</v>
      </c>
      <c r="H4485" s="31" t="s">
        <v>577</v>
      </c>
      <c r="I4485" s="9">
        <v>6140</v>
      </c>
      <c r="J4485" s="30">
        <v>66</v>
      </c>
      <c r="K4485" s="30">
        <v>66589</v>
      </c>
      <c r="L4485" s="3" t="str">
        <f t="shared" si="147"/>
        <v>ΠΥΡΗΝΟΚΑΡΠΑ</v>
      </c>
    </row>
    <row r="4486" spans="1:12" s="3" customFormat="1" ht="15" customHeight="1" x14ac:dyDescent="0.25">
      <c r="A4486" s="3" t="str">
        <f t="shared" si="146"/>
        <v>ΠΥΡΗΝΟΚΑΡΠΑΡΟΔΆΚΙΝΑ BRITTNEY LANE</v>
      </c>
      <c r="B4486" s="23" t="s">
        <v>7280</v>
      </c>
      <c r="C4486" s="24" t="s">
        <v>8472</v>
      </c>
      <c r="D4486" s="6">
        <v>5895.69</v>
      </c>
      <c r="E4486" s="6">
        <v>5815.34</v>
      </c>
      <c r="F4486" s="7" t="s">
        <v>14</v>
      </c>
      <c r="G4486" s="30" t="s">
        <v>8473</v>
      </c>
      <c r="H4486" s="31" t="s">
        <v>577</v>
      </c>
      <c r="I4486" s="9">
        <v>6121</v>
      </c>
      <c r="J4486" s="30">
        <v>66</v>
      </c>
      <c r="K4486" s="30">
        <v>66590</v>
      </c>
      <c r="L4486" s="3" t="str">
        <f t="shared" si="147"/>
        <v>ΠΥΡΗΝΟΚΑΡΠΑ</v>
      </c>
    </row>
    <row r="4487" spans="1:12" s="3" customFormat="1" ht="15" customHeight="1" x14ac:dyDescent="0.25">
      <c r="A4487" s="3" t="str">
        <f t="shared" si="146"/>
        <v>ΠΥΡΗΝΟΚΑΡΠΑΡΟΔΆΚΙΝΑ ZAIMAJAL</v>
      </c>
      <c r="B4487" s="23" t="s">
        <v>7280</v>
      </c>
      <c r="C4487" s="24" t="s">
        <v>8474</v>
      </c>
      <c r="D4487" s="6">
        <v>5895.69</v>
      </c>
      <c r="E4487" s="6">
        <v>5815.34</v>
      </c>
      <c r="F4487" s="7" t="s">
        <v>14</v>
      </c>
      <c r="G4487" s="30" t="s">
        <v>8475</v>
      </c>
      <c r="H4487" s="31" t="s">
        <v>577</v>
      </c>
      <c r="I4487" s="9">
        <v>6139</v>
      </c>
      <c r="J4487" s="30">
        <v>66</v>
      </c>
      <c r="K4487" s="30">
        <v>66591</v>
      </c>
      <c r="L4487" s="3" t="str">
        <f t="shared" si="147"/>
        <v>ΠΥΡΗΝΟΚΑΡΠΑ</v>
      </c>
    </row>
    <row r="4488" spans="1:12" s="3" customFormat="1" ht="15" customHeight="1" x14ac:dyDescent="0.25">
      <c r="A4488" s="3" t="str">
        <f t="shared" si="146"/>
        <v>ΠΥΡΗΝΟΚΑΡΠΑΡΟΔΆΚΙΝΑ ZAI719PJ</v>
      </c>
      <c r="B4488" s="23" t="s">
        <v>7280</v>
      </c>
      <c r="C4488" s="24" t="s">
        <v>8476</v>
      </c>
      <c r="D4488" s="6">
        <v>5895.69</v>
      </c>
      <c r="E4488" s="6">
        <v>5815.34</v>
      </c>
      <c r="F4488" s="7" t="s">
        <v>14</v>
      </c>
      <c r="G4488" s="30" t="s">
        <v>8477</v>
      </c>
      <c r="H4488" s="31" t="s">
        <v>577</v>
      </c>
      <c r="I4488" s="9">
        <v>6137</v>
      </c>
      <c r="J4488" s="30">
        <v>66</v>
      </c>
      <c r="K4488" s="30">
        <v>66592</v>
      </c>
      <c r="L4488" s="3" t="str">
        <f t="shared" si="147"/>
        <v>ΠΥΡΗΝΟΚΑΡΠΑ</v>
      </c>
    </row>
    <row r="4489" spans="1:12" s="3" customFormat="1" ht="15" customHeight="1" x14ac:dyDescent="0.25">
      <c r="A4489" s="3" t="str">
        <f t="shared" si="146"/>
        <v>ΠΥΡΗΝΟΚΑΡΠΑΡΟΔΆΚΙΝΑ SWEET DREAM</v>
      </c>
      <c r="B4489" s="23" t="s">
        <v>7280</v>
      </c>
      <c r="C4489" s="24" t="s">
        <v>8478</v>
      </c>
      <c r="D4489" s="6">
        <v>5895.69</v>
      </c>
      <c r="E4489" s="6">
        <v>5815.34</v>
      </c>
      <c r="F4489" s="7" t="s">
        <v>14</v>
      </c>
      <c r="G4489" s="30" t="s">
        <v>8479</v>
      </c>
      <c r="H4489" s="31" t="s">
        <v>577</v>
      </c>
      <c r="I4489" s="9">
        <v>6135</v>
      </c>
      <c r="J4489" s="30">
        <v>66</v>
      </c>
      <c r="K4489" s="30">
        <v>66593</v>
      </c>
      <c r="L4489" s="3" t="str">
        <f t="shared" si="147"/>
        <v>ΠΥΡΗΝΟΚΑΡΠΑ</v>
      </c>
    </row>
    <row r="4490" spans="1:12" s="3" customFormat="1" ht="15" customHeight="1" x14ac:dyDescent="0.25">
      <c r="A4490" s="3" t="str">
        <f t="shared" si="146"/>
        <v>ΠΥΡΗΝΟΚΑΡΠΑΡΟΔΆΚΙΝΑ ZAIGADI</v>
      </c>
      <c r="B4490" s="23" t="s">
        <v>7280</v>
      </c>
      <c r="C4490" s="24" t="s">
        <v>8480</v>
      </c>
      <c r="D4490" s="6">
        <v>5895.69</v>
      </c>
      <c r="E4490" s="6">
        <v>5815.34</v>
      </c>
      <c r="F4490" s="7" t="s">
        <v>14</v>
      </c>
      <c r="G4490" s="30" t="s">
        <v>8481</v>
      </c>
      <c r="H4490" s="31" t="s">
        <v>577</v>
      </c>
      <c r="I4490" s="9">
        <v>6138</v>
      </c>
      <c r="J4490" s="30">
        <v>66</v>
      </c>
      <c r="K4490" s="30">
        <v>66594</v>
      </c>
      <c r="L4490" s="3" t="str">
        <f t="shared" si="147"/>
        <v>ΠΥΡΗΝΟΚΑΡΠΑ</v>
      </c>
    </row>
    <row r="4491" spans="1:12" s="3" customFormat="1" ht="15" customHeight="1" x14ac:dyDescent="0.25">
      <c r="A4491" s="3" t="str">
        <f t="shared" si="146"/>
        <v>ΠΥΡΗΝΟΚΑΡΠΑΡΟΔΆΚΙΝΑ SWEET HENRY</v>
      </c>
      <c r="B4491" s="23" t="s">
        <v>7280</v>
      </c>
      <c r="C4491" s="24" t="s">
        <v>8482</v>
      </c>
      <c r="D4491" s="6">
        <v>5895.69</v>
      </c>
      <c r="E4491" s="6">
        <v>5815.34</v>
      </c>
      <c r="F4491" s="7" t="s">
        <v>14</v>
      </c>
      <c r="G4491" s="30" t="s">
        <v>8483</v>
      </c>
      <c r="H4491" s="31" t="s">
        <v>577</v>
      </c>
      <c r="I4491" s="9">
        <v>6136</v>
      </c>
      <c r="J4491" s="30">
        <v>66</v>
      </c>
      <c r="K4491" s="30">
        <v>66595</v>
      </c>
      <c r="L4491" s="3" t="str">
        <f t="shared" si="147"/>
        <v>ΠΥΡΗΝΟΚΑΡΠΑ</v>
      </c>
    </row>
    <row r="4492" spans="1:12" s="3" customFormat="1" ht="15" customHeight="1" x14ac:dyDescent="0.25">
      <c r="A4492" s="3" t="str">
        <f t="shared" si="146"/>
        <v>ΠΥΡΗΝΟΚΑΡΠΑΡΟΔΆΚΙΝΑ LAMBADA</v>
      </c>
      <c r="B4492" s="23" t="s">
        <v>7280</v>
      </c>
      <c r="C4492" s="24" t="s">
        <v>8484</v>
      </c>
      <c r="D4492" s="6">
        <v>5895.69</v>
      </c>
      <c r="E4492" s="6">
        <v>5815.34</v>
      </c>
      <c r="F4492" s="7" t="s">
        <v>14</v>
      </c>
      <c r="G4492" s="30" t="s">
        <v>8485</v>
      </c>
      <c r="H4492" s="31" t="s">
        <v>577</v>
      </c>
      <c r="I4492" s="9">
        <v>6128</v>
      </c>
      <c r="J4492" s="30">
        <v>66</v>
      </c>
      <c r="K4492" s="30">
        <v>66596</v>
      </c>
      <c r="L4492" s="3" t="str">
        <f t="shared" si="147"/>
        <v>ΠΥΡΗΝΟΚΑΡΠΑ</v>
      </c>
    </row>
    <row r="4493" spans="1:12" s="3" customFormat="1" ht="15" customHeight="1" x14ac:dyDescent="0.25">
      <c r="A4493" s="3" t="str">
        <f t="shared" si="146"/>
        <v>ΠΥΡΗΝΟΚΑΡΠΑΔΑΜΆΣΚΗΝΑ APOLINA</v>
      </c>
      <c r="B4493" s="23" t="s">
        <v>7280</v>
      </c>
      <c r="C4493" s="24" t="s">
        <v>8486</v>
      </c>
      <c r="D4493" s="6">
        <v>5895.69</v>
      </c>
      <c r="E4493" s="6">
        <v>5815.34</v>
      </c>
      <c r="F4493" s="7" t="s">
        <v>14</v>
      </c>
      <c r="G4493" s="30" t="s">
        <v>8487</v>
      </c>
      <c r="H4493" s="31" t="s">
        <v>577</v>
      </c>
      <c r="I4493" s="9">
        <v>5964</v>
      </c>
      <c r="J4493" s="30">
        <v>66</v>
      </c>
      <c r="K4493" s="30">
        <v>66597</v>
      </c>
      <c r="L4493" s="3" t="str">
        <f t="shared" si="147"/>
        <v>ΠΥΡΗΝΟΚΑΡΠΑ</v>
      </c>
    </row>
    <row r="4494" spans="1:12" s="3" customFormat="1" ht="15" customHeight="1" x14ac:dyDescent="0.25">
      <c r="A4494" s="3" t="str">
        <f t="shared" si="146"/>
        <v>ΠΥΡΗΝΟΚΑΡΠΑΔΑΜΆΣΚΗΝΑ CRIMSON GLO</v>
      </c>
      <c r="B4494" s="23" t="s">
        <v>7280</v>
      </c>
      <c r="C4494" s="24" t="s">
        <v>8488</v>
      </c>
      <c r="D4494" s="6">
        <v>5895.69</v>
      </c>
      <c r="E4494" s="6">
        <v>5815.34</v>
      </c>
      <c r="F4494" s="7" t="s">
        <v>14</v>
      </c>
      <c r="G4494" s="30" t="s">
        <v>8489</v>
      </c>
      <c r="H4494" s="31" t="s">
        <v>577</v>
      </c>
      <c r="I4494" s="9">
        <v>5965</v>
      </c>
      <c r="J4494" s="30">
        <v>66</v>
      </c>
      <c r="K4494" s="30">
        <v>66598</v>
      </c>
      <c r="L4494" s="3" t="str">
        <f t="shared" si="147"/>
        <v>ΠΥΡΗΝΟΚΑΡΠΑ</v>
      </c>
    </row>
    <row r="4495" spans="1:12" s="3" customFormat="1" ht="15" customHeight="1" x14ac:dyDescent="0.25">
      <c r="A4495" s="3" t="str">
        <f t="shared" si="146"/>
        <v>ΠΥΡΗΝΟΚΑΡΠΑΔΑΜΆΣΚΗΝΑ SWEET CHRISTINE</v>
      </c>
      <c r="B4495" s="23" t="s">
        <v>7280</v>
      </c>
      <c r="C4495" s="24" t="s">
        <v>8490</v>
      </c>
      <c r="D4495" s="6">
        <v>5895.69</v>
      </c>
      <c r="E4495" s="6">
        <v>5815.34</v>
      </c>
      <c r="F4495" s="7" t="s">
        <v>14</v>
      </c>
      <c r="G4495" s="30" t="s">
        <v>8491</v>
      </c>
      <c r="H4495" s="31" t="s">
        <v>577</v>
      </c>
      <c r="I4495" s="9">
        <v>5967</v>
      </c>
      <c r="J4495" s="30">
        <v>66</v>
      </c>
      <c r="K4495" s="30">
        <v>66599</v>
      </c>
      <c r="L4495" s="3" t="str">
        <f t="shared" si="147"/>
        <v>ΠΥΡΗΝΟΚΑΡΠΑ</v>
      </c>
    </row>
    <row r="4496" spans="1:12" s="3" customFormat="1" ht="15" customHeight="1" x14ac:dyDescent="0.25">
      <c r="A4496" s="3" t="str">
        <f t="shared" si="146"/>
        <v>ΠΥΡΗΝΟΚΑΡΠΑΚΕΡΆΣΙΑ NARANA</v>
      </c>
      <c r="B4496" s="23" t="s">
        <v>7280</v>
      </c>
      <c r="C4496" s="24" t="s">
        <v>8492</v>
      </c>
      <c r="D4496" s="6">
        <v>5895.69</v>
      </c>
      <c r="E4496" s="6">
        <v>5815.34</v>
      </c>
      <c r="F4496" s="7" t="s">
        <v>14</v>
      </c>
      <c r="G4496" s="30" t="s">
        <v>8493</v>
      </c>
      <c r="H4496" s="31" t="s">
        <v>577</v>
      </c>
      <c r="I4496" s="9">
        <v>5984</v>
      </c>
      <c r="J4496" s="30">
        <v>66</v>
      </c>
      <c r="K4496" s="30">
        <v>66600</v>
      </c>
      <c r="L4496" s="3" t="str">
        <f t="shared" si="147"/>
        <v>ΠΥΡΗΝΟΚΑΡΠΑ</v>
      </c>
    </row>
    <row r="4497" spans="1:12" s="3" customFormat="1" ht="15" customHeight="1" x14ac:dyDescent="0.25">
      <c r="A4497" s="3" t="str">
        <f t="shared" si="146"/>
        <v>ΠΥΡΗΝΟΚΑΡΠΑΚΕΡΆΣΙΑ PISUE 192 (SWING)</v>
      </c>
      <c r="B4497" s="23" t="s">
        <v>7280</v>
      </c>
      <c r="C4497" s="24" t="s">
        <v>8494</v>
      </c>
      <c r="D4497" s="6">
        <v>5895.69</v>
      </c>
      <c r="E4497" s="6">
        <v>5815.34</v>
      </c>
      <c r="F4497" s="7" t="s">
        <v>14</v>
      </c>
      <c r="G4497" s="30" t="s">
        <v>8495</v>
      </c>
      <c r="H4497" s="31" t="s">
        <v>577</v>
      </c>
      <c r="I4497" s="9">
        <v>5985</v>
      </c>
      <c r="J4497" s="30">
        <v>66</v>
      </c>
      <c r="K4497" s="30">
        <v>66601</v>
      </c>
      <c r="L4497" s="3" t="str">
        <f t="shared" si="147"/>
        <v>ΠΥΡΗΝΟΚΑΡΠΑ</v>
      </c>
    </row>
    <row r="4498" spans="1:12" s="3" customFormat="1" ht="15" customHeight="1" x14ac:dyDescent="0.25">
      <c r="A4498" s="3" t="str">
        <f t="shared" si="146"/>
        <v>ΠΥΡΗΝΟΚΑΡΠΑΚΕΡΆΣΙΑ ZAI107CZ</v>
      </c>
      <c r="B4498" s="23" t="s">
        <v>7280</v>
      </c>
      <c r="C4498" s="24" t="s">
        <v>8496</v>
      </c>
      <c r="D4498" s="6">
        <v>5895.69</v>
      </c>
      <c r="E4498" s="6">
        <v>5815.34</v>
      </c>
      <c r="F4498" s="7" t="s">
        <v>14</v>
      </c>
      <c r="G4498" s="30" t="s">
        <v>8497</v>
      </c>
      <c r="H4498" s="31" t="s">
        <v>577</v>
      </c>
      <c r="I4498" s="9">
        <v>5990</v>
      </c>
      <c r="J4498" s="30">
        <v>66</v>
      </c>
      <c r="K4498" s="30">
        <v>66602</v>
      </c>
      <c r="L4498" s="3" t="str">
        <f t="shared" si="147"/>
        <v>ΠΥΡΗΝΟΚΑΡΠΑ</v>
      </c>
    </row>
    <row r="4499" spans="1:12" s="3" customFormat="1" ht="15" customHeight="1" x14ac:dyDescent="0.25">
      <c r="A4499" s="3" t="str">
        <f t="shared" si="146"/>
        <v>ΠΥΡΗΝΟΚΑΡΠΑΚΕΡΆΣΙΑ SPC106</v>
      </c>
      <c r="B4499" s="23" t="s">
        <v>7280</v>
      </c>
      <c r="C4499" s="24" t="s">
        <v>8498</v>
      </c>
      <c r="D4499" s="6">
        <v>5895.69</v>
      </c>
      <c r="E4499" s="6">
        <v>5815.34</v>
      </c>
      <c r="F4499" s="7" t="s">
        <v>14</v>
      </c>
      <c r="G4499" s="30" t="s">
        <v>8499</v>
      </c>
      <c r="H4499" s="31" t="s">
        <v>577</v>
      </c>
      <c r="I4499" s="9">
        <v>5989</v>
      </c>
      <c r="J4499" s="30">
        <v>66</v>
      </c>
      <c r="K4499" s="30">
        <v>66603</v>
      </c>
      <c r="L4499" s="3" t="str">
        <f t="shared" si="147"/>
        <v>ΠΥΡΗΝΟΚΑΡΠΑ</v>
      </c>
    </row>
    <row r="4500" spans="1:12" s="3" customFormat="1" ht="15" customHeight="1" x14ac:dyDescent="0.25">
      <c r="A4500" s="3" t="str">
        <f t="shared" si="146"/>
        <v>ΠΥΡΗΝΟΚΑΡΠΑΚΕΡΆΣΙΑ ROYAL EDIE</v>
      </c>
      <c r="B4500" s="23" t="s">
        <v>7280</v>
      </c>
      <c r="C4500" s="24" t="s">
        <v>8500</v>
      </c>
      <c r="D4500" s="6">
        <v>5895.69</v>
      </c>
      <c r="E4500" s="6">
        <v>5815.34</v>
      </c>
      <c r="F4500" s="7" t="s">
        <v>14</v>
      </c>
      <c r="G4500" s="30" t="s">
        <v>8501</v>
      </c>
      <c r="H4500" s="31" t="s">
        <v>577</v>
      </c>
      <c r="I4500" s="9">
        <v>5987</v>
      </c>
      <c r="J4500" s="30">
        <v>66</v>
      </c>
      <c r="K4500" s="30">
        <v>66604</v>
      </c>
      <c r="L4500" s="3" t="str">
        <f t="shared" si="147"/>
        <v>ΠΥΡΗΝΟΚΑΡΠΑ</v>
      </c>
    </row>
    <row r="4501" spans="1:12" s="3" customFormat="1" ht="15" customHeight="1" x14ac:dyDescent="0.25">
      <c r="A4501" s="3" t="str">
        <f t="shared" si="146"/>
        <v>ΠΥΡΗΝΟΚΑΡΠΑΚΕΡΆΣΙΑ ROYAL HELEN</v>
      </c>
      <c r="B4501" s="23" t="s">
        <v>7280</v>
      </c>
      <c r="C4501" s="24" t="s">
        <v>8502</v>
      </c>
      <c r="D4501" s="6">
        <v>5895.69</v>
      </c>
      <c r="E4501" s="6">
        <v>5815.34</v>
      </c>
      <c r="F4501" s="7" t="s">
        <v>14</v>
      </c>
      <c r="G4501" s="30" t="s">
        <v>8503</v>
      </c>
      <c r="H4501" s="31" t="s">
        <v>577</v>
      </c>
      <c r="I4501" s="9">
        <v>5988</v>
      </c>
      <c r="J4501" s="30">
        <v>66</v>
      </c>
      <c r="K4501" s="30">
        <v>66605</v>
      </c>
      <c r="L4501" s="3" t="str">
        <f t="shared" si="147"/>
        <v>ΠΥΡΗΝΟΚΑΡΠΑ</v>
      </c>
    </row>
    <row r="4502" spans="1:12" s="3" customFormat="1" ht="15" customHeight="1" x14ac:dyDescent="0.25">
      <c r="A4502" s="3" t="str">
        <f t="shared" si="146"/>
        <v>ΠΥΡΗΝΟΚΑΡΠΑΒΎΣΣΙΝΑ ACHAT</v>
      </c>
      <c r="B4502" s="23" t="s">
        <v>7280</v>
      </c>
      <c r="C4502" s="24" t="s">
        <v>8504</v>
      </c>
      <c r="D4502" s="6">
        <v>5895.69</v>
      </c>
      <c r="E4502" s="6">
        <v>5815.34</v>
      </c>
      <c r="F4502" s="7" t="s">
        <v>14</v>
      </c>
      <c r="G4502" s="30" t="s">
        <v>8505</v>
      </c>
      <c r="H4502" s="31" t="s">
        <v>577</v>
      </c>
      <c r="I4502" s="9">
        <v>5963</v>
      </c>
      <c r="J4502" s="30">
        <v>66</v>
      </c>
      <c r="K4502" s="30">
        <v>66606</v>
      </c>
      <c r="L4502" s="3" t="str">
        <f t="shared" si="147"/>
        <v>ΠΥΡΗΝΟΚΑΡΠΑ</v>
      </c>
    </row>
    <row r="4503" spans="1:12" s="3" customFormat="1" ht="15" customHeight="1" x14ac:dyDescent="0.25">
      <c r="A4503" s="3" t="str">
        <f t="shared" si="146"/>
        <v>ΠΥΡΗΝΟΚΑΡΠΑΒΕΡΊΚΟΚΑ AVILCO (BERGEVAL)</v>
      </c>
      <c r="B4503" s="23" t="s">
        <v>7280</v>
      </c>
      <c r="C4503" s="24" t="s">
        <v>8506</v>
      </c>
      <c r="D4503" s="6">
        <v>5895.69</v>
      </c>
      <c r="E4503" s="6">
        <v>5815.34</v>
      </c>
      <c r="F4503" s="7" t="s">
        <v>14</v>
      </c>
      <c r="G4503" s="30" t="s">
        <v>8507</v>
      </c>
      <c r="H4503" s="31" t="s">
        <v>577</v>
      </c>
      <c r="I4503" s="9">
        <v>5945</v>
      </c>
      <c r="J4503" s="30">
        <v>66</v>
      </c>
      <c r="K4503" s="30">
        <v>66607</v>
      </c>
      <c r="L4503" s="3" t="str">
        <f t="shared" si="147"/>
        <v>ΠΥΡΗΝΟΚΑΡΠΑ</v>
      </c>
    </row>
    <row r="4504" spans="1:12" s="3" customFormat="1" ht="15" customHeight="1" x14ac:dyDescent="0.25">
      <c r="A4504" s="3" t="str">
        <f t="shared" si="146"/>
        <v>ΠΥΡΗΝΟΚΑΡΠΑΒΕΡΊΚΟΚΑ CEBASRED</v>
      </c>
      <c r="B4504" s="23" t="s">
        <v>7280</v>
      </c>
      <c r="C4504" s="24" t="s">
        <v>8508</v>
      </c>
      <c r="D4504" s="6">
        <v>5895.69</v>
      </c>
      <c r="E4504" s="6">
        <v>5815.34</v>
      </c>
      <c r="F4504" s="7" t="s">
        <v>14</v>
      </c>
      <c r="G4504" s="30" t="s">
        <v>8509</v>
      </c>
      <c r="H4504" s="31" t="s">
        <v>577</v>
      </c>
      <c r="I4504" s="9">
        <v>5948</v>
      </c>
      <c r="J4504" s="30">
        <v>66</v>
      </c>
      <c r="K4504" s="30">
        <v>66608</v>
      </c>
      <c r="L4504" s="3" t="str">
        <f t="shared" si="147"/>
        <v>ΠΥΡΗΝΟΚΑΡΠΑ</v>
      </c>
    </row>
    <row r="4505" spans="1:12" s="3" customFormat="1" ht="15" customHeight="1" x14ac:dyDescent="0.25">
      <c r="A4505" s="3" t="str">
        <f t="shared" si="146"/>
        <v>ΠΥΡΗΝΟΚΑΡΠΑΔΑΜΆΣΚΗΝΑ EARLIQUEEN</v>
      </c>
      <c r="B4505" s="23" t="s">
        <v>7280</v>
      </c>
      <c r="C4505" s="24" t="s">
        <v>8510</v>
      </c>
      <c r="D4505" s="6">
        <v>5895.69</v>
      </c>
      <c r="E4505" s="6">
        <v>5815.34</v>
      </c>
      <c r="F4505" s="7" t="s">
        <v>14</v>
      </c>
      <c r="G4505" s="30" t="s">
        <v>8511</v>
      </c>
      <c r="H4505" s="31" t="s">
        <v>577</v>
      </c>
      <c r="I4505" s="9">
        <v>5966</v>
      </c>
      <c r="J4505" s="30">
        <v>66</v>
      </c>
      <c r="K4505" s="30">
        <v>66609</v>
      </c>
      <c r="L4505" s="3" t="str">
        <f t="shared" si="147"/>
        <v>ΠΥΡΗΝΟΚΑΡΠΑ</v>
      </c>
    </row>
    <row r="4506" spans="1:12" s="3" customFormat="1" ht="15" customHeight="1" x14ac:dyDescent="0.25">
      <c r="A4506" s="3" t="str">
        <f t="shared" si="146"/>
        <v>ΠΥΡΗΝΟΚΑΡΠΑΝΕΚΤΑΡΙΝΙΑ REBUS 028</v>
      </c>
      <c r="B4506" s="23" t="s">
        <v>7280</v>
      </c>
      <c r="C4506" s="24" t="s">
        <v>8512</v>
      </c>
      <c r="D4506" s="6">
        <v>5895.69</v>
      </c>
      <c r="E4506" s="6">
        <v>5815.34</v>
      </c>
      <c r="F4506" s="7" t="s">
        <v>14</v>
      </c>
      <c r="G4506" s="30" t="s">
        <v>8513</v>
      </c>
      <c r="H4506" s="31" t="s">
        <v>577</v>
      </c>
      <c r="I4506" s="9">
        <v>6099</v>
      </c>
      <c r="J4506" s="30">
        <v>66</v>
      </c>
      <c r="K4506" s="30">
        <v>66610</v>
      </c>
      <c r="L4506" s="3" t="str">
        <f t="shared" si="147"/>
        <v>ΠΥΡΗΝΟΚΑΡΠΑ</v>
      </c>
    </row>
    <row r="4507" spans="1:12" s="3" customFormat="1" ht="15" customHeight="1" x14ac:dyDescent="0.25">
      <c r="A4507" s="3" t="str">
        <f t="shared" si="146"/>
        <v>ΠΥΡΗΝΟΚΑΡΠΑΚΕΡΑΣΙΕΣ Β</v>
      </c>
      <c r="B4507" s="4" t="s">
        <v>7280</v>
      </c>
      <c r="C4507" s="5" t="s">
        <v>8514</v>
      </c>
      <c r="D4507" s="6">
        <v>5895.69</v>
      </c>
      <c r="E4507" s="6">
        <v>5815.34</v>
      </c>
      <c r="F4507" s="7" t="s">
        <v>14</v>
      </c>
      <c r="G4507" s="8" t="s">
        <v>8515</v>
      </c>
      <c r="H4507" s="8" t="s">
        <v>16</v>
      </c>
      <c r="I4507" s="9">
        <v>2835</v>
      </c>
      <c r="J4507" s="10">
        <v>66</v>
      </c>
      <c r="K4507" s="10">
        <v>8127</v>
      </c>
      <c r="L4507" s="3" t="str">
        <f t="shared" si="147"/>
        <v>ΠΥΡΗΝΟΚΑΡΠΑ</v>
      </c>
    </row>
    <row r="4508" spans="1:12" s="3" customFormat="1" ht="15" customHeight="1" x14ac:dyDescent="0.25">
      <c r="A4508" s="3" t="str">
        <f t="shared" si="146"/>
        <v>ΠΥΡΗΝΟΚΑΡΠΑΡΟΔΑΚΙΝΙΕΣ Α</v>
      </c>
      <c r="B4508" s="4" t="s">
        <v>7280</v>
      </c>
      <c r="C4508" s="5" t="s">
        <v>8516</v>
      </c>
      <c r="D4508" s="6">
        <v>5895.69</v>
      </c>
      <c r="E4508" s="6">
        <v>5815.34</v>
      </c>
      <c r="F4508" s="7" t="s">
        <v>14</v>
      </c>
      <c r="G4508" s="8" t="s">
        <v>8517</v>
      </c>
      <c r="H4508" s="8" t="s">
        <v>27</v>
      </c>
      <c r="I4508" s="9">
        <v>2834</v>
      </c>
      <c r="J4508" s="10">
        <v>66</v>
      </c>
      <c r="K4508" s="10">
        <v>8129</v>
      </c>
      <c r="L4508" s="3" t="str">
        <f t="shared" si="147"/>
        <v>ΠΥΡΗΝΟΚΑΡΠΑ</v>
      </c>
    </row>
    <row r="4509" spans="1:12" s="3" customFormat="1" ht="15" customHeight="1" x14ac:dyDescent="0.25">
      <c r="A4509" s="3" t="str">
        <f t="shared" si="146"/>
        <v>ΠΥΡΗΝΟΚΑΡΠΑΒΕΡΙΚΟΚΙΕΣ ΜΕΤΑΠΟΙΗΣΗΣ</v>
      </c>
      <c r="B4509" s="4" t="s">
        <v>7280</v>
      </c>
      <c r="C4509" s="5" t="s">
        <v>8518</v>
      </c>
      <c r="D4509" s="6">
        <v>5895.69</v>
      </c>
      <c r="E4509" s="6">
        <v>5815.34</v>
      </c>
      <c r="F4509" s="7" t="s">
        <v>14</v>
      </c>
      <c r="G4509" s="8" t="s">
        <v>8519</v>
      </c>
      <c r="H4509" s="8" t="s">
        <v>16</v>
      </c>
      <c r="I4509" s="9">
        <v>2854</v>
      </c>
      <c r="J4509" s="10">
        <v>66</v>
      </c>
      <c r="K4509" s="10">
        <v>8221</v>
      </c>
      <c r="L4509" s="3" t="str">
        <f t="shared" si="147"/>
        <v>ΠΥΡΗΝΟΚΑΡΠΑ</v>
      </c>
    </row>
    <row r="4510" spans="1:12" s="3" customFormat="1" ht="15" customHeight="1" x14ac:dyDescent="0.25">
      <c r="A4510" s="3" t="str">
        <f t="shared" si="146"/>
        <v>ΠΥΡΗΝΟΚΑΡΠΑΞΗΡΑ ΜΗ ΜΕΤΑΠΟΙΗΜΕΝΑ ΔΑΜΑΣΚΗΝΑ</v>
      </c>
      <c r="B4510" s="4" t="s">
        <v>7280</v>
      </c>
      <c r="C4510" s="5" t="s">
        <v>8520</v>
      </c>
      <c r="D4510" s="6">
        <v>5895.69</v>
      </c>
      <c r="E4510" s="6">
        <v>5815.34</v>
      </c>
      <c r="F4510" s="7" t="s">
        <v>14</v>
      </c>
      <c r="G4510" s="8" t="s">
        <v>8521</v>
      </c>
      <c r="H4510" s="8" t="s">
        <v>16</v>
      </c>
      <c r="I4510" s="9">
        <v>2833</v>
      </c>
      <c r="J4510" s="10">
        <v>66</v>
      </c>
      <c r="K4510" s="10">
        <v>8502</v>
      </c>
      <c r="L4510" s="3" t="str">
        <f t="shared" si="147"/>
        <v>ΠΥΡΗΝΟΚΑΡΠΑ</v>
      </c>
    </row>
    <row r="4511" spans="1:12" s="3" customFormat="1" ht="15" customHeight="1" x14ac:dyDescent="0.25">
      <c r="A4511" s="3" t="str">
        <f t="shared" si="146"/>
        <v>ΠΥΡΗΝΟΚΑΡΠΑΡΟΔΑΚΙΝΑ - ΛΕΥΚΟΣΑΡΚΟ ΑΓΡΙΟ</v>
      </c>
      <c r="B4511" s="4" t="s">
        <v>7280</v>
      </c>
      <c r="C4511" s="5" t="s">
        <v>8522</v>
      </c>
      <c r="D4511" s="6">
        <v>5895.69</v>
      </c>
      <c r="E4511" s="6">
        <v>5815.34</v>
      </c>
      <c r="F4511" s="7" t="s">
        <v>14</v>
      </c>
      <c r="G4511" s="8" t="s">
        <v>8523</v>
      </c>
      <c r="H4511" s="8" t="s">
        <v>16</v>
      </c>
      <c r="I4511" s="9">
        <v>2832</v>
      </c>
      <c r="J4511" s="10">
        <v>66</v>
      </c>
      <c r="K4511" s="10">
        <v>8544</v>
      </c>
      <c r="L4511" s="3" t="str">
        <f t="shared" si="147"/>
        <v>ΠΥΡΗΝΟΚΑΡΠΑ</v>
      </c>
    </row>
    <row r="4512" spans="1:12" s="3" customFormat="1" ht="15" customHeight="1" x14ac:dyDescent="0.25">
      <c r="A4512" s="3" t="str">
        <f t="shared" si="146"/>
        <v>ΠΥΡΗΝΟΚΑΡΠΑΡΟΔΑΚΙΝΑ - ΚΟΝΤΟΝΙ ΝΑΟΥΣΑΣ</v>
      </c>
      <c r="B4512" s="4" t="s">
        <v>7280</v>
      </c>
      <c r="C4512" s="5" t="s">
        <v>8524</v>
      </c>
      <c r="D4512" s="6">
        <v>5895.69</v>
      </c>
      <c r="E4512" s="6">
        <v>5815.34</v>
      </c>
      <c r="F4512" s="7" t="s">
        <v>14</v>
      </c>
      <c r="G4512" s="8" t="s">
        <v>8525</v>
      </c>
      <c r="H4512" s="8" t="s">
        <v>16</v>
      </c>
      <c r="I4512" s="9">
        <v>2808</v>
      </c>
      <c r="J4512" s="10">
        <v>66</v>
      </c>
      <c r="K4512" s="10">
        <v>8545</v>
      </c>
      <c r="L4512" s="3" t="str">
        <f t="shared" si="147"/>
        <v>ΠΥΡΗΝΟΚΑΡΠΑ</v>
      </c>
    </row>
    <row r="4513" spans="1:12" s="3" customFormat="1" ht="15" customHeight="1" x14ac:dyDescent="0.25">
      <c r="A4513" s="3" t="str">
        <f t="shared" si="146"/>
        <v>ΠΥΡΗΝΟΚΑΡΠΑΝΕΚΤΑΡΙΝΙΕΣ Α</v>
      </c>
      <c r="B4513" s="4" t="s">
        <v>7280</v>
      </c>
      <c r="C4513" s="5" t="s">
        <v>8526</v>
      </c>
      <c r="D4513" s="6">
        <v>5895.69</v>
      </c>
      <c r="E4513" s="6">
        <v>5815.34</v>
      </c>
      <c r="F4513" s="7" t="s">
        <v>14</v>
      </c>
      <c r="G4513" s="8" t="s">
        <v>8527</v>
      </c>
      <c r="H4513" s="8" t="s">
        <v>27</v>
      </c>
      <c r="I4513" s="9">
        <v>2831</v>
      </c>
      <c r="J4513" s="10">
        <v>66</v>
      </c>
      <c r="K4513" s="10">
        <v>8603</v>
      </c>
      <c r="L4513" s="3" t="str">
        <f t="shared" si="147"/>
        <v>ΠΥΡΗΝΟΚΑΡΠΑ</v>
      </c>
    </row>
    <row r="4514" spans="1:12" s="3" customFormat="1" ht="15" customHeight="1" x14ac:dyDescent="0.25">
      <c r="A4514" s="3" t="str">
        <f t="shared" si="146"/>
        <v>ΠΥΡΗΝΟΚΑΡΠΑΒΕΡΥΚΟΚΙΕΣ ΜΕΤΑΠΟΙΗΣΗΣ</v>
      </c>
      <c r="B4514" s="4" t="s">
        <v>7280</v>
      </c>
      <c r="C4514" s="5" t="s">
        <v>8528</v>
      </c>
      <c r="D4514" s="6">
        <v>5895.69</v>
      </c>
      <c r="E4514" s="6">
        <v>5815.34</v>
      </c>
      <c r="F4514" s="7" t="s">
        <v>14</v>
      </c>
      <c r="G4514" s="8" t="s">
        <v>8529</v>
      </c>
      <c r="H4514" s="8" t="s">
        <v>16</v>
      </c>
      <c r="I4514" s="9">
        <v>2830</v>
      </c>
      <c r="J4514" s="10">
        <v>66</v>
      </c>
      <c r="K4514" s="10">
        <v>8605</v>
      </c>
      <c r="L4514" s="3" t="str">
        <f t="shared" si="147"/>
        <v>ΠΥΡΗΝΟΚΑΡΠΑ</v>
      </c>
    </row>
    <row r="4515" spans="1:12" s="3" customFormat="1" ht="15" customHeight="1" x14ac:dyDescent="0.25">
      <c r="A4515" s="3" t="str">
        <f t="shared" si="146"/>
        <v>ΠΥΡΗΝΟΚΑΡΠΑΚΟΡΟΜΗΛΙΕΣ-ΤΖΑΝΕΡΙΕΣ</v>
      </c>
      <c r="B4515" s="4" t="s">
        <v>7280</v>
      </c>
      <c r="C4515" s="5" t="s">
        <v>8530</v>
      </c>
      <c r="D4515" s="6">
        <v>5895.69</v>
      </c>
      <c r="E4515" s="6">
        <v>5815.34</v>
      </c>
      <c r="F4515" s="7" t="s">
        <v>14</v>
      </c>
      <c r="G4515" s="8" t="s">
        <v>8531</v>
      </c>
      <c r="H4515" s="8" t="s">
        <v>16</v>
      </c>
      <c r="I4515" s="9">
        <v>2869</v>
      </c>
      <c r="J4515" s="10">
        <v>66</v>
      </c>
      <c r="K4515" s="10">
        <v>8607</v>
      </c>
      <c r="L4515" s="3" t="str">
        <f t="shared" si="147"/>
        <v>ΠΥΡΗΝΟΚΑΡΠΑ</v>
      </c>
    </row>
    <row r="4516" spans="1:12" s="3" customFormat="1" ht="15" customHeight="1" x14ac:dyDescent="0.25">
      <c r="A4516" s="3" t="str">
        <f t="shared" si="146"/>
        <v>ΠΥΡΗΝΟΚΑΡΠΑΒΥΣΣΙΝΙΕΣ</v>
      </c>
      <c r="B4516" s="4" t="s">
        <v>7280</v>
      </c>
      <c r="C4516" s="5" t="s">
        <v>8532</v>
      </c>
      <c r="D4516" s="6">
        <v>5895.69</v>
      </c>
      <c r="E4516" s="6">
        <v>5815.34</v>
      </c>
      <c r="F4516" s="7" t="s">
        <v>14</v>
      </c>
      <c r="G4516" s="8" t="s">
        <v>8533</v>
      </c>
      <c r="H4516" s="8" t="s">
        <v>16</v>
      </c>
      <c r="I4516" s="9">
        <v>2841</v>
      </c>
      <c r="J4516" s="10">
        <v>66</v>
      </c>
      <c r="K4516" s="10">
        <v>8608</v>
      </c>
      <c r="L4516" s="3" t="str">
        <f t="shared" si="147"/>
        <v>ΠΥΡΗΝΟΚΑΡΠΑ</v>
      </c>
    </row>
    <row r="4517" spans="1:12" s="3" customFormat="1" ht="15" customHeight="1" x14ac:dyDescent="0.25">
      <c r="A4517" s="3" t="str">
        <f t="shared" si="146"/>
        <v>ΠΥΡΗΝΟΚΑΡΠΑΒΕΡΥΚΟΚΙΕΣ - ΙΚΑΡΙΑΣ</v>
      </c>
      <c r="B4517" s="4" t="s">
        <v>7280</v>
      </c>
      <c r="C4517" s="5" t="s">
        <v>8534</v>
      </c>
      <c r="D4517" s="6">
        <v>5895.69</v>
      </c>
      <c r="E4517" s="6">
        <v>5815.34</v>
      </c>
      <c r="F4517" s="7" t="s">
        <v>14</v>
      </c>
      <c r="G4517" s="8" t="s">
        <v>8535</v>
      </c>
      <c r="H4517" s="8" t="s">
        <v>16</v>
      </c>
      <c r="I4517" s="9">
        <v>2843</v>
      </c>
      <c r="J4517" s="10">
        <v>66</v>
      </c>
      <c r="K4517" s="10">
        <v>8691</v>
      </c>
      <c r="L4517" s="3" t="str">
        <f t="shared" si="147"/>
        <v>ΠΥΡΗΝΟΚΑΡΠΑ</v>
      </c>
    </row>
    <row r="4518" spans="1:12" s="3" customFormat="1" ht="15" customHeight="1" x14ac:dyDescent="0.25">
      <c r="A4518" s="3" t="str">
        <f t="shared" si="146"/>
        <v>ΠΥΡΗΝΟΚΑΡΠΑΒΕΡΥΚΟΚΙΕΣ - ΠΛΑΚΕΣ ΠΗΛΙΟΥ</v>
      </c>
      <c r="B4518" s="4" t="s">
        <v>7280</v>
      </c>
      <c r="C4518" s="5" t="s">
        <v>8536</v>
      </c>
      <c r="D4518" s="6">
        <v>5895.69</v>
      </c>
      <c r="E4518" s="6">
        <v>5815.34</v>
      </c>
      <c r="F4518" s="7" t="s">
        <v>14</v>
      </c>
      <c r="G4518" s="8" t="s">
        <v>8537</v>
      </c>
      <c r="H4518" s="8" t="s">
        <v>16</v>
      </c>
      <c r="I4518" s="9">
        <v>2883</v>
      </c>
      <c r="J4518" s="10">
        <v>66</v>
      </c>
      <c r="K4518" s="10">
        <v>8692</v>
      </c>
      <c r="L4518" s="3" t="str">
        <f t="shared" si="147"/>
        <v>ΠΥΡΗΝΟΚΑΡΠΑ</v>
      </c>
    </row>
    <row r="4519" spans="1:12" s="3" customFormat="1" ht="15" customHeight="1" x14ac:dyDescent="0.25">
      <c r="A4519" s="3" t="str">
        <f t="shared" si="146"/>
        <v>ΠΥΡΗΝΟΚΑΡΠΑΒΕΡΥΚΟΚΙΕΣ - ΠΛΑΚΕΣ ΣΕΡΡΩΝ</v>
      </c>
      <c r="B4519" s="4" t="s">
        <v>7280</v>
      </c>
      <c r="C4519" s="5" t="s">
        <v>8538</v>
      </c>
      <c r="D4519" s="6">
        <v>5895.69</v>
      </c>
      <c r="E4519" s="6">
        <v>5815.34</v>
      </c>
      <c r="F4519" s="7" t="s">
        <v>14</v>
      </c>
      <c r="G4519" s="8" t="s">
        <v>8539</v>
      </c>
      <c r="H4519" s="8" t="s">
        <v>16</v>
      </c>
      <c r="I4519" s="9">
        <v>2882</v>
      </c>
      <c r="J4519" s="10">
        <v>66</v>
      </c>
      <c r="K4519" s="10">
        <v>8693</v>
      </c>
      <c r="L4519" s="3" t="str">
        <f t="shared" si="147"/>
        <v>ΠΥΡΗΝΟΚΑΡΠΑ</v>
      </c>
    </row>
    <row r="4520" spans="1:12" s="3" customFormat="1" ht="15" customHeight="1" x14ac:dyDescent="0.25">
      <c r="A4520" s="3" t="str">
        <f t="shared" si="146"/>
        <v>ΠΥΡΗΝΟΚΑΡΠΑΒΕΡΥΚΟΚΙΕΣ - ΧΑΤΖΗΠΑΥΛΗ</v>
      </c>
      <c r="B4520" s="4" t="s">
        <v>7280</v>
      </c>
      <c r="C4520" s="5" t="s">
        <v>8540</v>
      </c>
      <c r="D4520" s="6">
        <v>5895.69</v>
      </c>
      <c r="E4520" s="6">
        <v>5815.34</v>
      </c>
      <c r="F4520" s="7" t="s">
        <v>14</v>
      </c>
      <c r="G4520" s="8" t="s">
        <v>8541</v>
      </c>
      <c r="H4520" s="8" t="s">
        <v>16</v>
      </c>
      <c r="I4520" s="9">
        <v>2881</v>
      </c>
      <c r="J4520" s="10">
        <v>66</v>
      </c>
      <c r="K4520" s="10">
        <v>8694</v>
      </c>
      <c r="L4520" s="3" t="str">
        <f t="shared" si="147"/>
        <v>ΠΥΡΗΝΟΚΑΡΠΑ</v>
      </c>
    </row>
    <row r="4521" spans="1:12" s="3" customFormat="1" ht="15" customHeight="1" x14ac:dyDescent="0.25">
      <c r="A4521" s="3" t="str">
        <f t="shared" si="146"/>
        <v>ΠΥΡΗΝΟΚΑΡΠΑΒΕΡΥΚΟΚΙΕΣ - ΤΖΕΡΤΖΕΛΑ ΠΗΛΙΟΥ</v>
      </c>
      <c r="B4521" s="4" t="s">
        <v>7280</v>
      </c>
      <c r="C4521" s="5" t="s">
        <v>8542</v>
      </c>
      <c r="D4521" s="6">
        <v>5895.69</v>
      </c>
      <c r="E4521" s="6">
        <v>5815.34</v>
      </c>
      <c r="F4521" s="7" t="s">
        <v>14</v>
      </c>
      <c r="G4521" s="8" t="s">
        <v>8543</v>
      </c>
      <c r="H4521" s="8" t="s">
        <v>16</v>
      </c>
      <c r="I4521" s="9">
        <v>2880</v>
      </c>
      <c r="J4521" s="10">
        <v>66</v>
      </c>
      <c r="K4521" s="10">
        <v>8695</v>
      </c>
      <c r="L4521" s="3" t="str">
        <f t="shared" si="147"/>
        <v>ΠΥΡΗΝΟΚΑΡΠΑ</v>
      </c>
    </row>
    <row r="4522" spans="1:12" s="3" customFormat="1" ht="15" customHeight="1" x14ac:dyDescent="0.25">
      <c r="A4522" s="3" t="str">
        <f t="shared" si="146"/>
        <v>ΠΥΡΗΝΟΚΑΡΠΑΒΕΡΥΚΟΚΙΕΣ- ΙΚΑΡΙΑΣ</v>
      </c>
      <c r="B4522" s="4" t="s">
        <v>7280</v>
      </c>
      <c r="C4522" s="5" t="s">
        <v>8544</v>
      </c>
      <c r="D4522" s="6">
        <v>5895.69</v>
      </c>
      <c r="E4522" s="6">
        <v>5815.34</v>
      </c>
      <c r="F4522" s="7" t="s">
        <v>14</v>
      </c>
      <c r="G4522" s="8" t="s">
        <v>8545</v>
      </c>
      <c r="H4522" s="8" t="s">
        <v>16</v>
      </c>
      <c r="I4522" s="9">
        <v>2781</v>
      </c>
      <c r="J4522" s="10">
        <v>66</v>
      </c>
      <c r="K4522" s="10">
        <v>8696</v>
      </c>
      <c r="L4522" s="3" t="str">
        <f t="shared" si="147"/>
        <v>ΠΥΡΗΝΟΚΑΡΠΑ</v>
      </c>
    </row>
    <row r="4523" spans="1:12" s="3" customFormat="1" ht="15" customHeight="1" x14ac:dyDescent="0.25">
      <c r="A4523" s="3" t="str">
        <f t="shared" si="146"/>
        <v>ΠΥΡΗΝΟΚΑΡΠΑΒΕΡΥΚΟΚΙΕΣ - ΠΛΑΚΕΣ ΠΗΛΙΟΥ</v>
      </c>
      <c r="B4523" s="4" t="s">
        <v>7280</v>
      </c>
      <c r="C4523" s="5" t="s">
        <v>8536</v>
      </c>
      <c r="D4523" s="6">
        <v>5895.69</v>
      </c>
      <c r="E4523" s="6">
        <v>5815.34</v>
      </c>
      <c r="F4523" s="7" t="s">
        <v>14</v>
      </c>
      <c r="G4523" s="8" t="s">
        <v>8546</v>
      </c>
      <c r="H4523" s="8" t="s">
        <v>16</v>
      </c>
      <c r="I4523" s="9">
        <v>2855</v>
      </c>
      <c r="J4523" s="10">
        <v>66</v>
      </c>
      <c r="K4523" s="10">
        <v>8697</v>
      </c>
      <c r="L4523" s="3" t="str">
        <f t="shared" si="147"/>
        <v>ΠΥΡΗΝΟΚΑΡΠΑ</v>
      </c>
    </row>
    <row r="4524" spans="1:12" s="3" customFormat="1" ht="15" customHeight="1" x14ac:dyDescent="0.25">
      <c r="A4524" s="3" t="str">
        <f t="shared" si="146"/>
        <v>ΠΥΡΗΝΟΚΑΡΠΑΒΕΡΥΚΟΚΙΕΣ - ΧΑΤΖΗΠΑΥΛΗ</v>
      </c>
      <c r="B4524" s="4" t="s">
        <v>7280</v>
      </c>
      <c r="C4524" s="5" t="s">
        <v>8540</v>
      </c>
      <c r="D4524" s="6">
        <v>5895.69</v>
      </c>
      <c r="E4524" s="6">
        <v>5815.34</v>
      </c>
      <c r="F4524" s="7" t="s">
        <v>14</v>
      </c>
      <c r="G4524" s="8" t="s">
        <v>8547</v>
      </c>
      <c r="H4524" s="8" t="s">
        <v>16</v>
      </c>
      <c r="I4524" s="9">
        <v>2836</v>
      </c>
      <c r="J4524" s="10">
        <v>66</v>
      </c>
      <c r="K4524" s="10">
        <v>8707</v>
      </c>
      <c r="L4524" s="3" t="str">
        <f t="shared" si="147"/>
        <v>ΠΥΡΗΝΟΚΑΡΠΑ</v>
      </c>
    </row>
    <row r="4525" spans="1:12" s="3" customFormat="1" ht="15" customHeight="1" x14ac:dyDescent="0.25">
      <c r="A4525" s="3" t="str">
        <f t="shared" si="146"/>
        <v>ΠΥΡΗΝΟΚΑΡΠΑΒΕΡΥΚΟΚΙΕΣ - ΤΖΕΡΤΖΕΛΑ ΠΗΛΙΟΥ</v>
      </c>
      <c r="B4525" s="4" t="s">
        <v>7280</v>
      </c>
      <c r="C4525" s="5" t="s">
        <v>8542</v>
      </c>
      <c r="D4525" s="6">
        <v>5895.69</v>
      </c>
      <c r="E4525" s="6">
        <v>5815.34</v>
      </c>
      <c r="F4525" s="7" t="s">
        <v>14</v>
      </c>
      <c r="G4525" s="8" t="s">
        <v>8548</v>
      </c>
      <c r="H4525" s="8" t="s">
        <v>16</v>
      </c>
      <c r="I4525" s="9">
        <v>2837</v>
      </c>
      <c r="J4525" s="10">
        <v>66</v>
      </c>
      <c r="K4525" s="10">
        <v>8708</v>
      </c>
      <c r="L4525" s="3" t="str">
        <f t="shared" si="147"/>
        <v>ΠΥΡΗΝΟΚΑΡΠΑ</v>
      </c>
    </row>
    <row r="4526" spans="1:12" s="3" customFormat="1" ht="15" customHeight="1" x14ac:dyDescent="0.25">
      <c r="A4526" s="3" t="str">
        <f t="shared" si="146"/>
        <v>ΠΥΡΗΝΟΚΑΡΠΑΒΥΣΣΙΝΙΕΣ - ΠΗΛΙΟΥ</v>
      </c>
      <c r="B4526" s="4" t="s">
        <v>7280</v>
      </c>
      <c r="C4526" s="5" t="s">
        <v>8549</v>
      </c>
      <c r="D4526" s="6">
        <v>5895.69</v>
      </c>
      <c r="E4526" s="6">
        <v>5815.34</v>
      </c>
      <c r="F4526" s="7" t="s">
        <v>14</v>
      </c>
      <c r="G4526" s="8" t="s">
        <v>8550</v>
      </c>
      <c r="H4526" s="8" t="s">
        <v>16</v>
      </c>
      <c r="I4526" s="9">
        <v>2838</v>
      </c>
      <c r="J4526" s="10">
        <v>66</v>
      </c>
      <c r="K4526" s="10">
        <v>8714</v>
      </c>
      <c r="L4526" s="3" t="str">
        <f t="shared" si="147"/>
        <v>ΠΥΡΗΝΟΚΑΡΠΑ</v>
      </c>
    </row>
    <row r="4527" spans="1:12" s="3" customFormat="1" ht="15" customHeight="1" x14ac:dyDescent="0.25">
      <c r="A4527" s="3" t="str">
        <f t="shared" si="146"/>
        <v>ΠΥΡΗΝΟΚΑΡΠΑΔΑΜΑΣΚΗΝΙΕΣ - ΜΠΕΡΕΚΕΤΙΑ</v>
      </c>
      <c r="B4527" s="4" t="s">
        <v>7280</v>
      </c>
      <c r="C4527" s="5" t="s">
        <v>8551</v>
      </c>
      <c r="D4527" s="6">
        <v>5895.69</v>
      </c>
      <c r="E4527" s="6">
        <v>5815.34</v>
      </c>
      <c r="F4527" s="7" t="s">
        <v>14</v>
      </c>
      <c r="G4527" s="8" t="s">
        <v>8552</v>
      </c>
      <c r="H4527" s="8" t="s">
        <v>16</v>
      </c>
      <c r="I4527" s="9">
        <v>2839</v>
      </c>
      <c r="J4527" s="10">
        <v>66</v>
      </c>
      <c r="K4527" s="10">
        <v>8715</v>
      </c>
      <c r="L4527" s="3" t="str">
        <f t="shared" si="147"/>
        <v>ΠΥΡΗΝΟΚΑΡΠΑ</v>
      </c>
    </row>
    <row r="4528" spans="1:12" s="3" customFormat="1" ht="15" customHeight="1" x14ac:dyDescent="0.25">
      <c r="A4528" s="3" t="str">
        <f t="shared" si="146"/>
        <v>ΠΥΡΗΝΟΚΑΡΠΑΔΑΜΑΣΚΗΝΙΕΣ - ΓΑΙΔΟΥΡΟΔΑΜΑΣΚΗΝΟ</v>
      </c>
      <c r="B4528" s="4" t="s">
        <v>7280</v>
      </c>
      <c r="C4528" s="5" t="s">
        <v>8553</v>
      </c>
      <c r="D4528" s="6">
        <v>5895.69</v>
      </c>
      <c r="E4528" s="6">
        <v>5815.34</v>
      </c>
      <c r="F4528" s="7" t="s">
        <v>14</v>
      </c>
      <c r="G4528" s="8" t="s">
        <v>8554</v>
      </c>
      <c r="H4528" s="8" t="s">
        <v>16</v>
      </c>
      <c r="I4528" s="9">
        <v>2840</v>
      </c>
      <c r="J4528" s="10">
        <v>66</v>
      </c>
      <c r="K4528" s="10">
        <v>8716</v>
      </c>
      <c r="L4528" s="3" t="str">
        <f t="shared" si="147"/>
        <v>ΠΥΡΗΝΟΚΑΡΠΑ</v>
      </c>
    </row>
    <row r="4529" spans="1:12" s="3" customFormat="1" ht="15" customHeight="1" x14ac:dyDescent="0.25">
      <c r="A4529" s="3" t="str">
        <f t="shared" si="146"/>
        <v>ΠΥΡΗΝΟΚΑΡΠΑΔΑΜΑΣΚΗΝΙΕΣ - ΚΟΙΛΑ</v>
      </c>
      <c r="B4529" s="4" t="s">
        <v>7280</v>
      </c>
      <c r="C4529" s="5" t="s">
        <v>8555</v>
      </c>
      <c r="D4529" s="6">
        <v>5895.69</v>
      </c>
      <c r="E4529" s="6">
        <v>5815.34</v>
      </c>
      <c r="F4529" s="7" t="s">
        <v>14</v>
      </c>
      <c r="G4529" s="8" t="s">
        <v>8556</v>
      </c>
      <c r="H4529" s="8" t="s">
        <v>16</v>
      </c>
      <c r="I4529" s="9">
        <v>2856</v>
      </c>
      <c r="J4529" s="10">
        <v>66</v>
      </c>
      <c r="K4529" s="10">
        <v>8717</v>
      </c>
      <c r="L4529" s="3" t="str">
        <f t="shared" si="147"/>
        <v>ΠΥΡΗΝΟΚΑΡΠΑ</v>
      </c>
    </row>
    <row r="4530" spans="1:12" s="3" customFormat="1" ht="15" customHeight="1" x14ac:dyDescent="0.25">
      <c r="A4530" s="3" t="str">
        <f t="shared" si="146"/>
        <v>ΠΥΡΗΝΟΚΑΡΠΑΔΑΜΑΣΚΗΝΙΕΣ - ΚΟΡΟΜΗΛΟΔΑΜΑΣΚΗΝΟ</v>
      </c>
      <c r="B4530" s="4" t="s">
        <v>7280</v>
      </c>
      <c r="C4530" s="5" t="s">
        <v>8557</v>
      </c>
      <c r="D4530" s="6">
        <v>5895.69</v>
      </c>
      <c r="E4530" s="6">
        <v>5815.34</v>
      </c>
      <c r="F4530" s="7" t="s">
        <v>14</v>
      </c>
      <c r="G4530" s="8" t="s">
        <v>8558</v>
      </c>
      <c r="H4530" s="8" t="s">
        <v>16</v>
      </c>
      <c r="I4530" s="9">
        <v>2842</v>
      </c>
      <c r="J4530" s="10">
        <v>66</v>
      </c>
      <c r="K4530" s="10">
        <v>8718</v>
      </c>
      <c r="L4530" s="3" t="str">
        <f t="shared" si="147"/>
        <v>ΠΥΡΗΝΟΚΑΡΠΑ</v>
      </c>
    </row>
    <row r="4531" spans="1:12" s="3" customFormat="1" ht="15" customHeight="1" x14ac:dyDescent="0.25">
      <c r="A4531" s="3" t="str">
        <f t="shared" si="146"/>
        <v>ΠΥΡΗΝΟΚΑΡΠΑΔΑΜΑΣΚΗΝΙΕΣ ΛΗΜΝΟΥ</v>
      </c>
      <c r="B4531" s="4" t="s">
        <v>7280</v>
      </c>
      <c r="C4531" s="5" t="s">
        <v>8559</v>
      </c>
      <c r="D4531" s="6">
        <v>5895.69</v>
      </c>
      <c r="E4531" s="6">
        <v>5815.34</v>
      </c>
      <c r="F4531" s="7" t="s">
        <v>14</v>
      </c>
      <c r="G4531" s="8" t="s">
        <v>8560</v>
      </c>
      <c r="H4531" s="8" t="s">
        <v>16</v>
      </c>
      <c r="I4531" s="9">
        <v>2829</v>
      </c>
      <c r="J4531" s="10">
        <v>66</v>
      </c>
      <c r="K4531" s="10">
        <v>8719</v>
      </c>
      <c r="L4531" s="3" t="str">
        <f t="shared" si="147"/>
        <v>ΠΥΡΗΝΟΚΑΡΠΑ</v>
      </c>
    </row>
    <row r="4532" spans="1:12" s="3" customFormat="1" ht="15" customHeight="1" x14ac:dyDescent="0.25">
      <c r="A4532" s="3" t="str">
        <f t="shared" si="146"/>
        <v>ΠΥΡΗΝΟΚΑΡΠΑΒΕΡΥΚΟΚΙΕΣ - ΠΛΑΚΕΣ ΣΕΡΡΩΝ</v>
      </c>
      <c r="B4532" s="4" t="s">
        <v>7280</v>
      </c>
      <c r="C4532" s="5" t="s">
        <v>8538</v>
      </c>
      <c r="D4532" s="6">
        <v>5895.69</v>
      </c>
      <c r="E4532" s="6">
        <v>5815.34</v>
      </c>
      <c r="F4532" s="7" t="s">
        <v>14</v>
      </c>
      <c r="G4532" s="8" t="s">
        <v>8561</v>
      </c>
      <c r="H4532" s="8" t="s">
        <v>16</v>
      </c>
      <c r="I4532" s="9">
        <v>2844</v>
      </c>
      <c r="J4532" s="10">
        <v>66</v>
      </c>
      <c r="K4532" s="10">
        <v>8720</v>
      </c>
      <c r="L4532" s="3" t="str">
        <f t="shared" si="147"/>
        <v>ΠΥΡΗΝΟΚΑΡΠΑ</v>
      </c>
    </row>
    <row r="4533" spans="1:12" s="3" customFormat="1" ht="15" customHeight="1" x14ac:dyDescent="0.25">
      <c r="A4533" s="3" t="str">
        <f t="shared" si="146"/>
        <v>ΠΥΡΗΝΟΚΑΡΠΑΚΕΡΑΣΙΑ - ΣΕΡΡΩΝ (ΜΑΥΡΟ)</v>
      </c>
      <c r="B4533" s="4" t="s">
        <v>7280</v>
      </c>
      <c r="C4533" s="5" t="s">
        <v>8562</v>
      </c>
      <c r="D4533" s="6">
        <v>5895.69</v>
      </c>
      <c r="E4533" s="6">
        <v>5815.34</v>
      </c>
      <c r="F4533" s="7" t="s">
        <v>14</v>
      </c>
      <c r="G4533" s="8" t="s">
        <v>8563</v>
      </c>
      <c r="H4533" s="8" t="s">
        <v>16</v>
      </c>
      <c r="I4533" s="9">
        <v>2845</v>
      </c>
      <c r="J4533" s="10">
        <v>66</v>
      </c>
      <c r="K4533" s="10">
        <v>8728</v>
      </c>
      <c r="L4533" s="3" t="str">
        <f t="shared" si="147"/>
        <v>ΠΥΡΗΝΟΚΑΡΠΑ</v>
      </c>
    </row>
    <row r="4534" spans="1:12" s="3" customFormat="1" ht="15" customHeight="1" x14ac:dyDescent="0.25">
      <c r="A4534" s="3" t="str">
        <f t="shared" si="146"/>
        <v>ΠΥΡΗΝΟΚΑΡΠΑΚΕΡΑΣΙΑ - ΛΕΥΚΟ ΙΩΑΝΝΙΝΩΝ</v>
      </c>
      <c r="B4534" s="4" t="s">
        <v>7280</v>
      </c>
      <c r="C4534" s="5" t="s">
        <v>8564</v>
      </c>
      <c r="D4534" s="6">
        <v>5895.69</v>
      </c>
      <c r="E4534" s="6">
        <v>5815.34</v>
      </c>
      <c r="F4534" s="7" t="s">
        <v>14</v>
      </c>
      <c r="G4534" s="8" t="s">
        <v>8565</v>
      </c>
      <c r="H4534" s="8" t="s">
        <v>16</v>
      </c>
      <c r="I4534" s="9">
        <v>2846</v>
      </c>
      <c r="J4534" s="10">
        <v>66</v>
      </c>
      <c r="K4534" s="10">
        <v>8729</v>
      </c>
      <c r="L4534" s="3" t="str">
        <f t="shared" si="147"/>
        <v>ΠΥΡΗΝΟΚΑΡΠΑ</v>
      </c>
    </row>
    <row r="4535" spans="1:12" s="3" customFormat="1" ht="15" customHeight="1" x14ac:dyDescent="0.25">
      <c r="A4535" s="3" t="str">
        <f t="shared" si="146"/>
        <v>ΠΥΡΗΝΟΚΑΡΠΑΚΕΡΑΣΙΑ - ΦΡΑΟΥΛΑ ΒΟΛΟΥ</v>
      </c>
      <c r="B4535" s="4" t="s">
        <v>7280</v>
      </c>
      <c r="C4535" s="5" t="s">
        <v>8566</v>
      </c>
      <c r="D4535" s="6">
        <v>5895.69</v>
      </c>
      <c r="E4535" s="6">
        <v>5815.34</v>
      </c>
      <c r="F4535" s="7" t="s">
        <v>14</v>
      </c>
      <c r="G4535" s="8" t="s">
        <v>8567</v>
      </c>
      <c r="H4535" s="8" t="s">
        <v>16</v>
      </c>
      <c r="I4535" s="9">
        <v>2847</v>
      </c>
      <c r="J4535" s="10">
        <v>66</v>
      </c>
      <c r="K4535" s="10">
        <v>8730</v>
      </c>
      <c r="L4535" s="3" t="str">
        <f t="shared" si="147"/>
        <v>ΠΥΡΗΝΟΚΑΡΠΑ</v>
      </c>
    </row>
    <row r="4536" spans="1:12" s="3" customFormat="1" ht="15" customHeight="1" x14ac:dyDescent="0.25">
      <c r="A4536" s="3" t="str">
        <f t="shared" si="146"/>
        <v>ΠΥΡΗΝΟΚΑΡΠΑΚΕΡΑΣΙΑ - ΤΡΑΓΑΝΑ ΑΓΙΑΣΟΥ</v>
      </c>
      <c r="B4536" s="4" t="s">
        <v>7280</v>
      </c>
      <c r="C4536" s="5" t="s">
        <v>8568</v>
      </c>
      <c r="D4536" s="6">
        <v>5895.69</v>
      </c>
      <c r="E4536" s="6">
        <v>5815.34</v>
      </c>
      <c r="F4536" s="7" t="s">
        <v>14</v>
      </c>
      <c r="G4536" s="8" t="s">
        <v>8569</v>
      </c>
      <c r="H4536" s="8" t="s">
        <v>16</v>
      </c>
      <c r="I4536" s="9">
        <v>2848</v>
      </c>
      <c r="J4536" s="10">
        <v>66</v>
      </c>
      <c r="K4536" s="10">
        <v>8731</v>
      </c>
      <c r="L4536" s="3" t="str">
        <f t="shared" si="147"/>
        <v>ΠΥΡΗΝΟΚΑΡΠΑ</v>
      </c>
    </row>
    <row r="4537" spans="1:12" s="3" customFormat="1" ht="15" customHeight="1" x14ac:dyDescent="0.25">
      <c r="A4537" s="3" t="str">
        <f t="shared" si="146"/>
        <v>ΠΥΡΗΝΟΚΑΡΠΑΚΕΡΑΣΙΑ - ΒΙΤΑΛΟΥ</v>
      </c>
      <c r="B4537" s="4" t="s">
        <v>7280</v>
      </c>
      <c r="C4537" s="5" t="s">
        <v>8570</v>
      </c>
      <c r="D4537" s="6">
        <v>5895.69</v>
      </c>
      <c r="E4537" s="6">
        <v>5815.34</v>
      </c>
      <c r="F4537" s="7" t="s">
        <v>14</v>
      </c>
      <c r="G4537" s="8" t="s">
        <v>8571</v>
      </c>
      <c r="H4537" s="8" t="s">
        <v>16</v>
      </c>
      <c r="I4537" s="9">
        <v>2849</v>
      </c>
      <c r="J4537" s="10">
        <v>66</v>
      </c>
      <c r="K4537" s="10">
        <v>8732</v>
      </c>
      <c r="L4537" s="3" t="str">
        <f t="shared" si="147"/>
        <v>ΠΥΡΗΝΟΚΑΡΠΑ</v>
      </c>
    </row>
    <row r="4538" spans="1:12" s="3" customFormat="1" ht="15" customHeight="1" x14ac:dyDescent="0.25">
      <c r="A4538" s="3" t="str">
        <f t="shared" si="146"/>
        <v>ΠΥΡΗΝΟΚΑΡΠΑΚΕΡΑΣΙΑ - ΠΡΩΙΜΟ ΚΗΦΙΣΙΑΣ</v>
      </c>
      <c r="B4538" s="4" t="s">
        <v>7280</v>
      </c>
      <c r="C4538" s="5" t="s">
        <v>8572</v>
      </c>
      <c r="D4538" s="6">
        <v>5895.69</v>
      </c>
      <c r="E4538" s="6">
        <v>5815.34</v>
      </c>
      <c r="F4538" s="7" t="s">
        <v>14</v>
      </c>
      <c r="G4538" s="8" t="s">
        <v>8573</v>
      </c>
      <c r="H4538" s="8" t="s">
        <v>16</v>
      </c>
      <c r="I4538" s="9">
        <v>2850</v>
      </c>
      <c r="J4538" s="10">
        <v>66</v>
      </c>
      <c r="K4538" s="10">
        <v>8733</v>
      </c>
      <c r="L4538" s="3" t="str">
        <f t="shared" si="147"/>
        <v>ΠΥΡΗΝΟΚΑΡΠΑ</v>
      </c>
    </row>
    <row r="4539" spans="1:12" s="3" customFormat="1" ht="15" customHeight="1" x14ac:dyDescent="0.25">
      <c r="A4539" s="3" t="str">
        <f t="shared" si="146"/>
        <v>ΠΥΡΗΝΟΚΑΡΠΑΚΕΡΑΣΙΑ - ΜΕΤΟΧΙΟΥ ΣΤΡΟΠΩΝΩΝ</v>
      </c>
      <c r="B4539" s="4" t="s">
        <v>7280</v>
      </c>
      <c r="C4539" s="5" t="s">
        <v>8574</v>
      </c>
      <c r="D4539" s="6">
        <v>5895.69</v>
      </c>
      <c r="E4539" s="6">
        <v>5815.34</v>
      </c>
      <c r="F4539" s="7" t="s">
        <v>14</v>
      </c>
      <c r="G4539" s="8" t="s">
        <v>8575</v>
      </c>
      <c r="H4539" s="8" t="s">
        <v>16</v>
      </c>
      <c r="I4539" s="9">
        <v>2851</v>
      </c>
      <c r="J4539" s="10">
        <v>66</v>
      </c>
      <c r="K4539" s="10">
        <v>8734</v>
      </c>
      <c r="L4539" s="3" t="str">
        <f t="shared" si="147"/>
        <v>ΠΥΡΗΝΟΚΑΡΠΑ</v>
      </c>
    </row>
    <row r="4540" spans="1:12" s="3" customFormat="1" ht="15" customHeight="1" x14ac:dyDescent="0.25">
      <c r="A4540" s="3" t="str">
        <f t="shared" si="146"/>
        <v>ΠΥΡΗΝΟΚΑΡΠΑΚΕΡΑΣΙΑ - ΓΕΡΟΠΛΑΤΑΝΟΥ</v>
      </c>
      <c r="B4540" s="4" t="s">
        <v>7280</v>
      </c>
      <c r="C4540" s="5" t="s">
        <v>8576</v>
      </c>
      <c r="D4540" s="6">
        <v>5895.69</v>
      </c>
      <c r="E4540" s="6">
        <v>5815.34</v>
      </c>
      <c r="F4540" s="7" t="s">
        <v>14</v>
      </c>
      <c r="G4540" s="8" t="s">
        <v>8577</v>
      </c>
      <c r="H4540" s="8" t="s">
        <v>16</v>
      </c>
      <c r="I4540" s="9">
        <v>2852</v>
      </c>
      <c r="J4540" s="10">
        <v>66</v>
      </c>
      <c r="K4540" s="10">
        <v>8735</v>
      </c>
      <c r="L4540" s="3" t="str">
        <f t="shared" si="147"/>
        <v>ΠΥΡΗΝΟΚΑΡΠΑ</v>
      </c>
    </row>
    <row r="4541" spans="1:12" s="3" customFormat="1" ht="15" customHeight="1" x14ac:dyDescent="0.25">
      <c r="A4541" s="3" t="str">
        <f t="shared" si="146"/>
        <v>ΡΟΔΑΚΙΝΙΕΣ ΜΕΤΑΠΟΙΗΣΗΣΡΟΔΑΚΙΝΑ ROMEA</v>
      </c>
      <c r="B4541" s="4" t="s">
        <v>8578</v>
      </c>
      <c r="C4541" s="5" t="s">
        <v>8579</v>
      </c>
      <c r="D4541" s="6">
        <v>5895.69</v>
      </c>
      <c r="E4541" s="6">
        <v>5815.34</v>
      </c>
      <c r="F4541" s="7" t="s">
        <v>14</v>
      </c>
      <c r="G4541" s="8" t="s">
        <v>8580</v>
      </c>
      <c r="H4541" s="8" t="s">
        <v>16</v>
      </c>
      <c r="I4541" s="9">
        <v>1513</v>
      </c>
      <c r="J4541" s="10" t="s">
        <v>8581</v>
      </c>
      <c r="K4541" s="10">
        <v>14039</v>
      </c>
      <c r="L4541" s="3" t="str">
        <f t="shared" si="147"/>
        <v>ΡΟΔΑΚΙΝΙΕΣ_ΜΕΤΑΠΟΙΗΣΗΣ</v>
      </c>
    </row>
    <row r="4542" spans="1:12" s="3" customFormat="1" ht="15" customHeight="1" x14ac:dyDescent="0.25">
      <c r="A4542" s="3" t="str">
        <f t="shared" si="146"/>
        <v>ΡΟΔΑΚΙΝΙΕΣ ΜΕΤΑΠΟΙΗΣΗΣΡΟΔΑΚΙΝΑ CATHERINA</v>
      </c>
      <c r="B4542" s="4" t="s">
        <v>8578</v>
      </c>
      <c r="C4542" s="5" t="s">
        <v>8582</v>
      </c>
      <c r="D4542" s="6">
        <v>5895.69</v>
      </c>
      <c r="E4542" s="6">
        <v>5815.34</v>
      </c>
      <c r="F4542" s="7" t="s">
        <v>14</v>
      </c>
      <c r="G4542" s="8" t="s">
        <v>8583</v>
      </c>
      <c r="H4542" s="8" t="s">
        <v>16</v>
      </c>
      <c r="I4542" s="9">
        <v>1510</v>
      </c>
      <c r="J4542" s="10" t="s">
        <v>8581</v>
      </c>
      <c r="K4542" s="10">
        <v>14040</v>
      </c>
      <c r="L4542" s="3" t="str">
        <f t="shared" si="147"/>
        <v>ΡΟΔΑΚΙΝΙΕΣ_ΜΕΤΑΠΟΙΗΣΗΣ</v>
      </c>
    </row>
    <row r="4543" spans="1:12" s="3" customFormat="1" ht="15" customHeight="1" x14ac:dyDescent="0.25">
      <c r="A4543" s="3" t="str">
        <f t="shared" si="146"/>
        <v>ΡΟΔΑΚΙΝΙΕΣ ΜΕΤΑΠΟΙΗΣΗΣΡΟΔΑΚΙΝΑ FORTUNA</v>
      </c>
      <c r="B4543" s="4" t="s">
        <v>8578</v>
      </c>
      <c r="C4543" s="5" t="s">
        <v>8584</v>
      </c>
      <c r="D4543" s="6">
        <v>5895.69</v>
      </c>
      <c r="E4543" s="6">
        <v>5815.34</v>
      </c>
      <c r="F4543" s="7" t="s">
        <v>14</v>
      </c>
      <c r="G4543" s="8" t="s">
        <v>8585</v>
      </c>
      <c r="H4543" s="8" t="s">
        <v>16</v>
      </c>
      <c r="I4543" s="9">
        <v>1509</v>
      </c>
      <c r="J4543" s="10" t="s">
        <v>8581</v>
      </c>
      <c r="K4543" s="10">
        <v>14041</v>
      </c>
      <c r="L4543" s="3" t="str">
        <f t="shared" si="147"/>
        <v>ΡΟΔΑΚΙΝΙΕΣ_ΜΕΤΑΠΟΙΗΣΗΣ</v>
      </c>
    </row>
    <row r="4544" spans="1:12" s="3" customFormat="1" ht="15" customHeight="1" x14ac:dyDescent="0.25">
      <c r="A4544" s="3" t="str">
        <f t="shared" si="146"/>
        <v>ΡΟΔΑΚΙΝΙΕΣ ΜΕΤΑΠΟΙΗΣΗΣΡΟΔΑΚΙΝΑ LOADEL</v>
      </c>
      <c r="B4544" s="4" t="s">
        <v>8578</v>
      </c>
      <c r="C4544" s="5" t="s">
        <v>8586</v>
      </c>
      <c r="D4544" s="6">
        <v>5895.69</v>
      </c>
      <c r="E4544" s="6">
        <v>5815.34</v>
      </c>
      <c r="F4544" s="7" t="s">
        <v>14</v>
      </c>
      <c r="G4544" s="8" t="s">
        <v>8587</v>
      </c>
      <c r="H4544" s="8" t="s">
        <v>16</v>
      </c>
      <c r="I4544" s="9">
        <v>1511</v>
      </c>
      <c r="J4544" s="10" t="s">
        <v>8581</v>
      </c>
      <c r="K4544" s="10">
        <v>14042</v>
      </c>
      <c r="L4544" s="3" t="str">
        <f t="shared" si="147"/>
        <v>ΡΟΔΑΚΙΝΙΕΣ_ΜΕΤΑΠΟΙΗΣΗΣ</v>
      </c>
    </row>
    <row r="4545" spans="1:12" s="3" customFormat="1" ht="15" customHeight="1" x14ac:dyDescent="0.25">
      <c r="A4545" s="3" t="str">
        <f t="shared" si="146"/>
        <v>ΡΟΔΑΚΙΝΙΕΣ ΜΕΤΑΠΟΙΗΣΗΣΡΟΔΑΚΙΝΑ Ι.Φ.Δ.-Α37</v>
      </c>
      <c r="B4545" s="4" t="s">
        <v>8578</v>
      </c>
      <c r="C4545" s="5" t="s">
        <v>8588</v>
      </c>
      <c r="D4545" s="6">
        <v>5895.69</v>
      </c>
      <c r="E4545" s="6">
        <v>5815.34</v>
      </c>
      <c r="F4545" s="7" t="s">
        <v>14</v>
      </c>
      <c r="G4545" s="8" t="s">
        <v>8589</v>
      </c>
      <c r="H4545" s="8" t="s">
        <v>16</v>
      </c>
      <c r="I4545" s="9">
        <v>1519</v>
      </c>
      <c r="J4545" s="10" t="s">
        <v>8581</v>
      </c>
      <c r="K4545" s="10">
        <v>14043</v>
      </c>
      <c r="L4545" s="3" t="str">
        <f t="shared" si="147"/>
        <v>ΡΟΔΑΚΙΝΙΕΣ_ΜΕΤΑΠΟΙΗΣΗΣ</v>
      </c>
    </row>
    <row r="4546" spans="1:12" s="3" customFormat="1" ht="15" customHeight="1" x14ac:dyDescent="0.25">
      <c r="A4546" s="3" t="str">
        <f t="shared" si="146"/>
        <v>ΡΟΔΑΚΙΝΙΕΣ ΜΕΤΑΠΟΙΗΣΗΣΡΟΔΑΚΙΝΑ Ι.Φ.Δ.-ΙΒ42</v>
      </c>
      <c r="B4546" s="4" t="s">
        <v>8578</v>
      </c>
      <c r="C4546" s="5" t="s">
        <v>8590</v>
      </c>
      <c r="D4546" s="6">
        <v>5895.69</v>
      </c>
      <c r="E4546" s="6">
        <v>5815.34</v>
      </c>
      <c r="F4546" s="7" t="s">
        <v>14</v>
      </c>
      <c r="G4546" s="8" t="s">
        <v>8591</v>
      </c>
      <c r="H4546" s="8" t="s">
        <v>16</v>
      </c>
      <c r="I4546" s="9">
        <v>1512</v>
      </c>
      <c r="J4546" s="10" t="s">
        <v>8581</v>
      </c>
      <c r="K4546" s="10">
        <v>14044</v>
      </c>
      <c r="L4546" s="3" t="str">
        <f t="shared" si="147"/>
        <v>ΡΟΔΑΚΙΝΙΕΣ_ΜΕΤΑΠΟΙΗΣΗΣ</v>
      </c>
    </row>
    <row r="4547" spans="1:12" s="3" customFormat="1" ht="15" customHeight="1" x14ac:dyDescent="0.25">
      <c r="A4547" s="3" t="str">
        <f t="shared" ref="A4547:A4610" si="148">_xlfn.CONCAT(B4547,C4547)</f>
        <v>ΡΟΔΑΚΙΝΙΕΣ ΜΕΤΑΠΟΙΗΣΗΣΡΟΔΑΚΙΝΑ EVERTS</v>
      </c>
      <c r="B4547" s="4" t="s">
        <v>8578</v>
      </c>
      <c r="C4547" s="5" t="s">
        <v>8592</v>
      </c>
      <c r="D4547" s="6">
        <v>5895.69</v>
      </c>
      <c r="E4547" s="6">
        <v>5815.34</v>
      </c>
      <c r="F4547" s="7" t="s">
        <v>14</v>
      </c>
      <c r="G4547" s="8" t="s">
        <v>8593</v>
      </c>
      <c r="H4547" s="8" t="s">
        <v>16</v>
      </c>
      <c r="I4547" s="9">
        <v>1507</v>
      </c>
      <c r="J4547" s="10" t="s">
        <v>8581</v>
      </c>
      <c r="K4547" s="10">
        <v>14045</v>
      </c>
      <c r="L4547" s="3" t="str">
        <f t="shared" ref="L4547:L4610" si="149">IFERROR(SUBSTITUTE(SUBSTITUTE(SUBSTITUTE(SUBSTITUTE(SUBSTITUTE(B4547, "-", "_"), " ", "_"), ",", ""), "(", ""), ")", ""), B4547)</f>
        <v>ΡΟΔΑΚΙΝΙΕΣ_ΜΕΤΑΠΟΙΗΣΗΣ</v>
      </c>
    </row>
    <row r="4548" spans="1:12" s="3" customFormat="1" ht="15" customHeight="1" x14ac:dyDescent="0.25">
      <c r="A4548" s="3" t="str">
        <f t="shared" si="148"/>
        <v>ΡΟΔΑΚΙΝΙΕΣ ΜΕΤΑΠΟΙΗΣΗΣΡΟΔΑΚΙΝΑ Ι.Φ.Δ.-Ε45</v>
      </c>
      <c r="B4548" s="4" t="s">
        <v>8578</v>
      </c>
      <c r="C4548" s="5" t="s">
        <v>8594</v>
      </c>
      <c r="D4548" s="6">
        <v>5895.69</v>
      </c>
      <c r="E4548" s="6">
        <v>5815.34</v>
      </c>
      <c r="F4548" s="7" t="s">
        <v>14</v>
      </c>
      <c r="G4548" s="8" t="s">
        <v>8595</v>
      </c>
      <c r="H4548" s="8" t="s">
        <v>16</v>
      </c>
      <c r="I4548" s="9">
        <v>1488</v>
      </c>
      <c r="J4548" s="10" t="s">
        <v>8581</v>
      </c>
      <c r="K4548" s="10">
        <v>14046</v>
      </c>
      <c r="L4548" s="3" t="str">
        <f t="shared" si="149"/>
        <v>ΡΟΔΑΚΙΝΙΕΣ_ΜΕΤΑΠΟΙΗΣΗΣ</v>
      </c>
    </row>
    <row r="4549" spans="1:12" s="3" customFormat="1" ht="15" customHeight="1" x14ac:dyDescent="0.25">
      <c r="A4549" s="3" t="str">
        <f t="shared" si="148"/>
        <v>ΡΟΔΑΚΙΝΙΕΣ ΜΕΤΑΠΟΙΗΣΗΣΡΟΔΑΚΙΝΑ ANDROSS</v>
      </c>
      <c r="B4549" s="4" t="s">
        <v>8578</v>
      </c>
      <c r="C4549" s="5" t="s">
        <v>8382</v>
      </c>
      <c r="D4549" s="6">
        <v>5895.69</v>
      </c>
      <c r="E4549" s="6">
        <v>5815.34</v>
      </c>
      <c r="F4549" s="7" t="s">
        <v>14</v>
      </c>
      <c r="G4549" s="8" t="s">
        <v>8596</v>
      </c>
      <c r="H4549" s="8" t="s">
        <v>16</v>
      </c>
      <c r="I4549" s="9">
        <v>1514</v>
      </c>
      <c r="J4549" s="10" t="s">
        <v>8581</v>
      </c>
      <c r="K4549" s="10">
        <v>14047</v>
      </c>
      <c r="L4549" s="3" t="str">
        <f t="shared" si="149"/>
        <v>ΡΟΔΑΚΙΝΙΕΣ_ΜΕΤΑΠΟΙΗΣΗΣ</v>
      </c>
    </row>
    <row r="4550" spans="1:12" s="3" customFormat="1" ht="15" customHeight="1" x14ac:dyDescent="0.25">
      <c r="A4550" s="3" t="str">
        <f t="shared" si="148"/>
        <v>ΡΟΔΑΚΙΝΙΕΣ ΜΕΤΑΠΟΙΗΣΗΣΡΟΔΑΚΙΝΑ BOWEN</v>
      </c>
      <c r="B4550" s="4" t="s">
        <v>8578</v>
      </c>
      <c r="C4550" s="5" t="s">
        <v>8597</v>
      </c>
      <c r="D4550" s="6">
        <v>5895.69</v>
      </c>
      <c r="E4550" s="6">
        <v>5815.34</v>
      </c>
      <c r="F4550" s="7" t="s">
        <v>14</v>
      </c>
      <c r="G4550" s="8" t="s">
        <v>8598</v>
      </c>
      <c r="H4550" s="8" t="s">
        <v>16</v>
      </c>
      <c r="I4550" s="9">
        <v>1508</v>
      </c>
      <c r="J4550" s="10" t="s">
        <v>8581</v>
      </c>
      <c r="K4550" s="10">
        <v>14048</v>
      </c>
      <c r="L4550" s="3" t="str">
        <f t="shared" si="149"/>
        <v>ΡΟΔΑΚΙΝΙΕΣ_ΜΕΤΑΠΟΙΗΣΗΣ</v>
      </c>
    </row>
    <row r="4551" spans="1:12" s="3" customFormat="1" ht="15" customHeight="1" x14ac:dyDescent="0.25">
      <c r="A4551" s="3" t="str">
        <f t="shared" si="148"/>
        <v>ΡΟΔΑΚΙΝΙΕΣ ΜΕΤΑΠΟΙΗΣΗΣΡΟΔΑΚΙΝΑ MERRIAM</v>
      </c>
      <c r="B4551" s="4" t="s">
        <v>8578</v>
      </c>
      <c r="C4551" s="5" t="s">
        <v>8599</v>
      </c>
      <c r="D4551" s="6">
        <v>5895.69</v>
      </c>
      <c r="E4551" s="6">
        <v>5815.34</v>
      </c>
      <c r="F4551" s="7" t="s">
        <v>14</v>
      </c>
      <c r="G4551" s="8" t="s">
        <v>8600</v>
      </c>
      <c r="H4551" s="8" t="s">
        <v>16</v>
      </c>
      <c r="I4551" s="9">
        <v>1516</v>
      </c>
      <c r="J4551" s="10" t="s">
        <v>8581</v>
      </c>
      <c r="K4551" s="10">
        <v>14049</v>
      </c>
      <c r="L4551" s="3" t="str">
        <f t="shared" si="149"/>
        <v>ΡΟΔΑΚΙΝΙΕΣ_ΜΕΤΑΠΟΙΗΣΗΣ</v>
      </c>
    </row>
    <row r="4552" spans="1:12" s="3" customFormat="1" ht="15" customHeight="1" x14ac:dyDescent="0.25">
      <c r="A4552" s="3" t="str">
        <f t="shared" si="148"/>
        <v>ΡΟΔΑΚΙΝΙΕΣ ΜΕΤΑΠΟΙΗΣΗΣΡΟΔΑΚΙΝΑ VIVIAN</v>
      </c>
      <c r="B4552" s="4" t="s">
        <v>8578</v>
      </c>
      <c r="C4552" s="5" t="s">
        <v>8601</v>
      </c>
      <c r="D4552" s="6">
        <v>5895.69</v>
      </c>
      <c r="E4552" s="6">
        <v>5815.34</v>
      </c>
      <c r="F4552" s="7" t="s">
        <v>14</v>
      </c>
      <c r="G4552" s="8" t="s">
        <v>8602</v>
      </c>
      <c r="H4552" s="8" t="s">
        <v>16</v>
      </c>
      <c r="I4552" s="9">
        <v>1517</v>
      </c>
      <c r="J4552" s="10" t="s">
        <v>8581</v>
      </c>
      <c r="K4552" s="10">
        <v>14050</v>
      </c>
      <c r="L4552" s="3" t="str">
        <f t="shared" si="149"/>
        <v>ΡΟΔΑΚΙΝΙΕΣ_ΜΕΤΑΠΟΙΗΣΗΣ</v>
      </c>
    </row>
    <row r="4553" spans="1:12" s="3" customFormat="1" ht="15" customHeight="1" x14ac:dyDescent="0.25">
      <c r="A4553" s="3" t="str">
        <f t="shared" si="148"/>
        <v>ΡΟΔΑΚΙΝΙΕΣ ΜΕΤΑΠΟΙΗΣΗΣΡΟΔΑΚΙΝΑ VIVIAN ΜΕΤΑΛΛΑΓΗ</v>
      </c>
      <c r="B4553" s="4" t="s">
        <v>8578</v>
      </c>
      <c r="C4553" s="5" t="s">
        <v>8603</v>
      </c>
      <c r="D4553" s="6">
        <v>5895.69</v>
      </c>
      <c r="E4553" s="6">
        <v>5815.34</v>
      </c>
      <c r="F4553" s="7" t="s">
        <v>14</v>
      </c>
      <c r="G4553" s="8" t="s">
        <v>8604</v>
      </c>
      <c r="H4553" s="8" t="s">
        <v>16</v>
      </c>
      <c r="I4553" s="9">
        <v>1518</v>
      </c>
      <c r="J4553" s="10" t="s">
        <v>8581</v>
      </c>
      <c r="K4553" s="10">
        <v>14051</v>
      </c>
      <c r="L4553" s="3" t="str">
        <f t="shared" si="149"/>
        <v>ΡΟΔΑΚΙΝΙΕΣ_ΜΕΤΑΠΟΙΗΣΗΣ</v>
      </c>
    </row>
    <row r="4554" spans="1:12" s="3" customFormat="1" ht="15" customHeight="1" x14ac:dyDescent="0.25">
      <c r="A4554" s="3" t="str">
        <f t="shared" si="148"/>
        <v>ΡΟΔΑΚΙΝΙΕΣ ΜΕΤΑΠΟΙΗΣΗΣΡΟΔΑΚΙΝΑ ΚΑΤΕΡΙΝΑ</v>
      </c>
      <c r="B4554" s="4" t="s">
        <v>8578</v>
      </c>
      <c r="C4554" s="5" t="s">
        <v>8605</v>
      </c>
      <c r="D4554" s="6">
        <v>5895.69</v>
      </c>
      <c r="E4554" s="6">
        <v>5815.34</v>
      </c>
      <c r="F4554" s="7" t="s">
        <v>14</v>
      </c>
      <c r="G4554" s="8" t="s">
        <v>8606</v>
      </c>
      <c r="H4554" s="8" t="s">
        <v>16</v>
      </c>
      <c r="I4554" s="9">
        <v>1506</v>
      </c>
      <c r="J4554" s="10" t="s">
        <v>8581</v>
      </c>
      <c r="K4554" s="10">
        <v>20201</v>
      </c>
      <c r="L4554" s="3" t="str">
        <f t="shared" si="149"/>
        <v>ΡΟΔΑΚΙΝΙΕΣ_ΜΕΤΑΠΟΙΗΣΗΣ</v>
      </c>
    </row>
    <row r="4555" spans="1:12" s="3" customFormat="1" ht="15" customHeight="1" x14ac:dyDescent="0.25">
      <c r="A4555" s="3" t="str">
        <f t="shared" si="148"/>
        <v>ΡΟΔΑΚΙΝΙΕΣ ΜΕΤΑΠΟΙΗΣΗΣΡΟΔΑΚΙΝΑ ΦΟΡΤΟΥΝΑ</v>
      </c>
      <c r="B4555" s="4" t="s">
        <v>8578</v>
      </c>
      <c r="C4555" s="5" t="s">
        <v>8607</v>
      </c>
      <c r="D4555" s="6">
        <v>5895.69</v>
      </c>
      <c r="E4555" s="6">
        <v>5815.34</v>
      </c>
      <c r="F4555" s="7" t="s">
        <v>14</v>
      </c>
      <c r="G4555" s="8" t="s">
        <v>8608</v>
      </c>
      <c r="H4555" s="8" t="s">
        <v>16</v>
      </c>
      <c r="I4555" s="9">
        <v>1495</v>
      </c>
      <c r="J4555" s="10" t="s">
        <v>8581</v>
      </c>
      <c r="K4555" s="10">
        <v>20202</v>
      </c>
      <c r="L4555" s="3" t="str">
        <f t="shared" si="149"/>
        <v>ΡΟΔΑΚΙΝΙΕΣ_ΜΕΤΑΠΟΙΗΣΗΣ</v>
      </c>
    </row>
    <row r="4556" spans="1:12" s="3" customFormat="1" ht="15" customHeight="1" x14ac:dyDescent="0.25">
      <c r="A4556" s="3" t="str">
        <f t="shared" si="148"/>
        <v>ΡΟΔΑΚΙΝΙΕΣ ΜΕΤΑΠΟΙΗΣΗΣΡΟΔΑΚΙΝΑ ΛΟΑΝΤΕΛ</v>
      </c>
      <c r="B4556" s="4" t="s">
        <v>8578</v>
      </c>
      <c r="C4556" s="5" t="s">
        <v>8609</v>
      </c>
      <c r="D4556" s="6">
        <v>5895.69</v>
      </c>
      <c r="E4556" s="6">
        <v>5815.34</v>
      </c>
      <c r="F4556" s="7" t="s">
        <v>14</v>
      </c>
      <c r="G4556" s="8" t="s">
        <v>8610</v>
      </c>
      <c r="H4556" s="8" t="s">
        <v>16</v>
      </c>
      <c r="I4556" s="9">
        <v>1496</v>
      </c>
      <c r="J4556" s="10" t="s">
        <v>8581</v>
      </c>
      <c r="K4556" s="10">
        <v>20203</v>
      </c>
      <c r="L4556" s="3" t="str">
        <f t="shared" si="149"/>
        <v>ΡΟΔΑΚΙΝΙΕΣ_ΜΕΤΑΠΟΙΗΣΗΣ</v>
      </c>
    </row>
    <row r="4557" spans="1:12" s="3" customFormat="1" ht="15" customHeight="1" x14ac:dyDescent="0.25">
      <c r="A4557" s="3" t="str">
        <f t="shared" si="148"/>
        <v>ΡΟΔΑΚΙΝΙΕΣ ΜΕΤΑΠΟΙΗΣΗΣΡΟΔΑΚΙΝΑ ΜΠΕΙΜΠΙ ΓΚΟΛΝΤ Νο5</v>
      </c>
      <c r="B4557" s="4" t="s">
        <v>8578</v>
      </c>
      <c r="C4557" s="5" t="s">
        <v>8611</v>
      </c>
      <c r="D4557" s="6">
        <v>5895.69</v>
      </c>
      <c r="E4557" s="6">
        <v>5815.34</v>
      </c>
      <c r="F4557" s="7" t="s">
        <v>14</v>
      </c>
      <c r="G4557" s="8" t="s">
        <v>8612</v>
      </c>
      <c r="H4557" s="8" t="s">
        <v>16</v>
      </c>
      <c r="I4557" s="9">
        <v>1487</v>
      </c>
      <c r="J4557" s="10" t="s">
        <v>8581</v>
      </c>
      <c r="K4557" s="10">
        <v>20204</v>
      </c>
      <c r="L4557" s="3" t="str">
        <f t="shared" si="149"/>
        <v>ΡΟΔΑΚΙΝΙΕΣ_ΜΕΤΑΠΟΙΗΣΗΣ</v>
      </c>
    </row>
    <row r="4558" spans="1:12" s="3" customFormat="1" ht="15" customHeight="1" x14ac:dyDescent="0.25">
      <c r="A4558" s="3" t="str">
        <f t="shared" si="148"/>
        <v>ΡΟΔΑΚΙΝΙΕΣ ΜΕΤΑΠΟΙΗΣΗΣΡΟΔΑΚΙΝΑ ΜΠΕΙΜΠΙ ΓΚΟΛΝΤ Νο6</v>
      </c>
      <c r="B4558" s="4" t="s">
        <v>8578</v>
      </c>
      <c r="C4558" s="5" t="s">
        <v>8613</v>
      </c>
      <c r="D4558" s="6">
        <v>5895.69</v>
      </c>
      <c r="E4558" s="6">
        <v>5815.34</v>
      </c>
      <c r="F4558" s="7" t="s">
        <v>14</v>
      </c>
      <c r="G4558" s="8" t="s">
        <v>8614</v>
      </c>
      <c r="H4558" s="8" t="s">
        <v>16</v>
      </c>
      <c r="I4558" s="9">
        <v>1498</v>
      </c>
      <c r="J4558" s="10" t="s">
        <v>8581</v>
      </c>
      <c r="K4558" s="10">
        <v>20205</v>
      </c>
      <c r="L4558" s="3" t="str">
        <f t="shared" si="149"/>
        <v>ΡΟΔΑΚΙΝΙΕΣ_ΜΕΤΑΠΟΙΗΣΗΣ</v>
      </c>
    </row>
    <row r="4559" spans="1:12" s="3" customFormat="1" ht="15" customHeight="1" x14ac:dyDescent="0.25">
      <c r="A4559" s="3" t="str">
        <f t="shared" si="148"/>
        <v>ΡΟΔΑΚΙΝΙΕΣ ΜΕΤΑΠΟΙΗΣΗΣΡΟΔΑΚΙΝΑ ΒΙΒΙΑΝ</v>
      </c>
      <c r="B4559" s="4" t="s">
        <v>8578</v>
      </c>
      <c r="C4559" s="5" t="s">
        <v>8615</v>
      </c>
      <c r="D4559" s="6">
        <v>5895.69</v>
      </c>
      <c r="E4559" s="6">
        <v>5815.34</v>
      </c>
      <c r="F4559" s="7" t="s">
        <v>14</v>
      </c>
      <c r="G4559" s="8" t="s">
        <v>8616</v>
      </c>
      <c r="H4559" s="8" t="s">
        <v>16</v>
      </c>
      <c r="I4559" s="9">
        <v>1499</v>
      </c>
      <c r="J4559" s="10" t="s">
        <v>8581</v>
      </c>
      <c r="K4559" s="10">
        <v>20206</v>
      </c>
      <c r="L4559" s="3" t="str">
        <f t="shared" si="149"/>
        <v>ΡΟΔΑΚΙΝΙΕΣ_ΜΕΤΑΠΟΙΗΣΗΣ</v>
      </c>
    </row>
    <row r="4560" spans="1:12" s="3" customFormat="1" ht="15" customHeight="1" x14ac:dyDescent="0.25">
      <c r="A4560" s="3" t="str">
        <f t="shared" si="148"/>
        <v>ΡΟΔΑΚΙΝΙΕΣ ΜΕΤΑΠΟΙΗΣΗΣΡΟΔΑΚΙΝΑ ΝΤΙΞΟΝ</v>
      </c>
      <c r="B4560" s="4" t="s">
        <v>8578</v>
      </c>
      <c r="C4560" s="5" t="s">
        <v>8617</v>
      </c>
      <c r="D4560" s="6">
        <v>5895.69</v>
      </c>
      <c r="E4560" s="6">
        <v>5815.34</v>
      </c>
      <c r="F4560" s="7" t="s">
        <v>14</v>
      </c>
      <c r="G4560" s="8" t="s">
        <v>8618</v>
      </c>
      <c r="H4560" s="8" t="s">
        <v>16</v>
      </c>
      <c r="I4560" s="9">
        <v>1500</v>
      </c>
      <c r="J4560" s="10" t="s">
        <v>8581</v>
      </c>
      <c r="K4560" s="10">
        <v>20207</v>
      </c>
      <c r="L4560" s="3" t="str">
        <f t="shared" si="149"/>
        <v>ΡΟΔΑΚΙΝΙΕΣ_ΜΕΤΑΠΟΙΗΣΗΣ</v>
      </c>
    </row>
    <row r="4561" spans="1:12" s="3" customFormat="1" ht="15" customHeight="1" x14ac:dyDescent="0.25">
      <c r="A4561" s="3" t="str">
        <f t="shared" si="148"/>
        <v>ΡΟΔΑΚΙΝΙΕΣ ΜΕΤΑΠΟΙΗΣΗΣΡΟΔΑΚΙΝΑ ΜΠΟΟΝΕΝ</v>
      </c>
      <c r="B4561" s="4" t="s">
        <v>8578</v>
      </c>
      <c r="C4561" s="5" t="s">
        <v>8619</v>
      </c>
      <c r="D4561" s="6">
        <v>5895.69</v>
      </c>
      <c r="E4561" s="6">
        <v>5815.34</v>
      </c>
      <c r="F4561" s="7" t="s">
        <v>14</v>
      </c>
      <c r="G4561" s="8" t="s">
        <v>8620</v>
      </c>
      <c r="H4561" s="8" t="s">
        <v>16</v>
      </c>
      <c r="I4561" s="9">
        <v>1501</v>
      </c>
      <c r="J4561" s="10" t="s">
        <v>8581</v>
      </c>
      <c r="K4561" s="10">
        <v>20208</v>
      </c>
      <c r="L4561" s="3" t="str">
        <f t="shared" si="149"/>
        <v>ΡΟΔΑΚΙΝΙΕΣ_ΜΕΤΑΠΟΙΗΣΗΣ</v>
      </c>
    </row>
    <row r="4562" spans="1:12" s="3" customFormat="1" ht="15" customHeight="1" x14ac:dyDescent="0.25">
      <c r="A4562" s="3" t="str">
        <f t="shared" si="148"/>
        <v>ΡΟΔΑΚΙΝΙΕΣ ΜΕΤΑΠΟΙΗΣΗΣΡΟΔΑΚΙΝΑ ΑΝΤΡΟΣ</v>
      </c>
      <c r="B4562" s="4" t="s">
        <v>8578</v>
      </c>
      <c r="C4562" s="5" t="s">
        <v>8621</v>
      </c>
      <c r="D4562" s="6">
        <v>5895.69</v>
      </c>
      <c r="E4562" s="6">
        <v>5815.34</v>
      </c>
      <c r="F4562" s="7" t="s">
        <v>14</v>
      </c>
      <c r="G4562" s="8" t="s">
        <v>8622</v>
      </c>
      <c r="H4562" s="8" t="s">
        <v>16</v>
      </c>
      <c r="I4562" s="9">
        <v>1502</v>
      </c>
      <c r="J4562" s="10" t="s">
        <v>8581</v>
      </c>
      <c r="K4562" s="10">
        <v>20209</v>
      </c>
      <c r="L4562" s="3" t="str">
        <f t="shared" si="149"/>
        <v>ΡΟΔΑΚΙΝΙΕΣ_ΜΕΤΑΠΟΙΗΣΗΣ</v>
      </c>
    </row>
    <row r="4563" spans="1:12" s="3" customFormat="1" ht="15" customHeight="1" x14ac:dyDescent="0.25">
      <c r="A4563" s="3" t="str">
        <f t="shared" si="148"/>
        <v>ΡΟΔΑΚΙΝΙΕΣ ΜΕΤΑΠΟΙΗΣΗΣΡΟΔΑΚΙΝΑ ΓΙΟΥΓΚΕΡΜΑΝ</v>
      </c>
      <c r="B4563" s="4" t="s">
        <v>8578</v>
      </c>
      <c r="C4563" s="5" t="s">
        <v>8623</v>
      </c>
      <c r="D4563" s="6">
        <v>5895.69</v>
      </c>
      <c r="E4563" s="6">
        <v>5815.34</v>
      </c>
      <c r="F4563" s="7" t="s">
        <v>14</v>
      </c>
      <c r="G4563" s="8" t="s">
        <v>8624</v>
      </c>
      <c r="H4563" s="8" t="s">
        <v>16</v>
      </c>
      <c r="I4563" s="9">
        <v>1503</v>
      </c>
      <c r="J4563" s="10" t="s">
        <v>8581</v>
      </c>
      <c r="K4563" s="10">
        <v>20210</v>
      </c>
      <c r="L4563" s="3" t="str">
        <f t="shared" si="149"/>
        <v>ΡΟΔΑΚΙΝΙΕΣ_ΜΕΤΑΠΟΙΗΣΗΣ</v>
      </c>
    </row>
    <row r="4564" spans="1:12" s="3" customFormat="1" ht="15" customHeight="1" x14ac:dyDescent="0.25">
      <c r="A4564" s="3" t="str">
        <f t="shared" si="148"/>
        <v>ΡΟΔΑΚΙΝΙΕΣ ΜΕΤΑΠΟΙΗΣΗΣΡΟΔΑΚΙΝΑ ΚΑΡΟΛΙΝΑ</v>
      </c>
      <c r="B4564" s="4" t="s">
        <v>8578</v>
      </c>
      <c r="C4564" s="5" t="s">
        <v>8625</v>
      </c>
      <c r="D4564" s="6">
        <v>5895.69</v>
      </c>
      <c r="E4564" s="6">
        <v>5815.34</v>
      </c>
      <c r="F4564" s="7" t="s">
        <v>14</v>
      </c>
      <c r="G4564" s="8" t="s">
        <v>8626</v>
      </c>
      <c r="H4564" s="8" t="s">
        <v>16</v>
      </c>
      <c r="I4564" s="9">
        <v>1504</v>
      </c>
      <c r="J4564" s="10" t="s">
        <v>8581</v>
      </c>
      <c r="K4564" s="10">
        <v>20211</v>
      </c>
      <c r="L4564" s="3" t="str">
        <f t="shared" si="149"/>
        <v>ΡΟΔΑΚΙΝΙΕΣ_ΜΕΤΑΠΟΙΗΣΗΣ</v>
      </c>
    </row>
    <row r="4565" spans="1:12" s="3" customFormat="1" ht="15" customHeight="1" x14ac:dyDescent="0.25">
      <c r="A4565" s="3" t="str">
        <f t="shared" si="148"/>
        <v>ΡΟΔΑΚΙΝΙΕΣ ΜΕΤΑΠΟΙΗΣΗΣΡΟΔΑΚΙΝΑ ΚΛΑΜΠ</v>
      </c>
      <c r="B4565" s="4" t="s">
        <v>8578</v>
      </c>
      <c r="C4565" s="5" t="s">
        <v>8627</v>
      </c>
      <c r="D4565" s="6">
        <v>5895.69</v>
      </c>
      <c r="E4565" s="6">
        <v>5815.34</v>
      </c>
      <c r="F4565" s="7" t="s">
        <v>14</v>
      </c>
      <c r="G4565" s="8" t="s">
        <v>8628</v>
      </c>
      <c r="H4565" s="8" t="s">
        <v>16</v>
      </c>
      <c r="I4565" s="9">
        <v>1505</v>
      </c>
      <c r="J4565" s="10" t="s">
        <v>8581</v>
      </c>
      <c r="K4565" s="10">
        <v>20212</v>
      </c>
      <c r="L4565" s="3" t="str">
        <f t="shared" si="149"/>
        <v>ΡΟΔΑΚΙΝΙΕΣ_ΜΕΤΑΠΟΙΗΣΗΣ</v>
      </c>
    </row>
    <row r="4566" spans="1:12" s="3" customFormat="1" ht="15" customHeight="1" x14ac:dyDescent="0.25">
      <c r="A4566" s="3" t="str">
        <f t="shared" si="148"/>
        <v>ΡΟΔΑΚΙΝΙΕΣ ΜΕΤΑΠΟΙΗΣΗΣΡΟΔΑΚΙΝΑ ΧΑΛΦΟΡΝΤ</v>
      </c>
      <c r="B4566" s="4" t="s">
        <v>8578</v>
      </c>
      <c r="C4566" s="5" t="s">
        <v>8629</v>
      </c>
      <c r="D4566" s="6">
        <v>5895.69</v>
      </c>
      <c r="E4566" s="6">
        <v>5815.34</v>
      </c>
      <c r="F4566" s="7" t="s">
        <v>14</v>
      </c>
      <c r="G4566" s="8" t="s">
        <v>8630</v>
      </c>
      <c r="H4566" s="8" t="s">
        <v>16</v>
      </c>
      <c r="I4566" s="9">
        <v>1497</v>
      </c>
      <c r="J4566" s="10" t="s">
        <v>8581</v>
      </c>
      <c r="K4566" s="10">
        <v>20213</v>
      </c>
      <c r="L4566" s="3" t="str">
        <f t="shared" si="149"/>
        <v>ΡΟΔΑΚΙΝΙΕΣ_ΜΕΤΑΠΟΙΗΣΗΣ</v>
      </c>
    </row>
    <row r="4567" spans="1:12" s="3" customFormat="1" ht="15" customHeight="1" x14ac:dyDescent="0.25">
      <c r="A4567" s="3" t="str">
        <f t="shared" si="148"/>
        <v>ΡΟΔΑΚΙΝΙΕΣ ΜΕΤΑΠΟΙΗΣΗΣΡΟΔΑΚΙΝΑ ΕΒΕΡΤΣ</v>
      </c>
      <c r="B4567" s="4" t="s">
        <v>8578</v>
      </c>
      <c r="C4567" s="5" t="s">
        <v>8631</v>
      </c>
      <c r="D4567" s="6">
        <v>5895.69</v>
      </c>
      <c r="E4567" s="6">
        <v>5815.34</v>
      </c>
      <c r="F4567" s="7" t="s">
        <v>14</v>
      </c>
      <c r="G4567" s="8" t="s">
        <v>8632</v>
      </c>
      <c r="H4567" s="8" t="s">
        <v>16</v>
      </c>
      <c r="I4567" s="9">
        <v>1484</v>
      </c>
      <c r="J4567" s="10" t="s">
        <v>8581</v>
      </c>
      <c r="K4567" s="10">
        <v>20214</v>
      </c>
      <c r="L4567" s="3" t="str">
        <f t="shared" si="149"/>
        <v>ΡΟΔΑΚΙΝΙΕΣ_ΜΕΤΑΠΟΙΗΣΗΣ</v>
      </c>
    </row>
    <row r="4568" spans="1:12" s="3" customFormat="1" ht="15" customHeight="1" x14ac:dyDescent="0.25">
      <c r="A4568" s="3" t="str">
        <f t="shared" si="148"/>
        <v>ΡΟΔΑΚΙΝΙΕΣ ΜΕΤΑΠΟΙΗΣΗΣΡΟΔΑΚΙΝΑ ΣΤΑΡΝ</v>
      </c>
      <c r="B4568" s="4" t="s">
        <v>8578</v>
      </c>
      <c r="C4568" s="5" t="s">
        <v>8633</v>
      </c>
      <c r="D4568" s="6">
        <v>5895.69</v>
      </c>
      <c r="E4568" s="6">
        <v>5815.34</v>
      </c>
      <c r="F4568" s="7" t="s">
        <v>14</v>
      </c>
      <c r="G4568" s="8" t="s">
        <v>8634</v>
      </c>
      <c r="H4568" s="8" t="s">
        <v>16</v>
      </c>
      <c r="I4568" s="9">
        <v>1468</v>
      </c>
      <c r="J4568" s="10" t="s">
        <v>8581</v>
      </c>
      <c r="K4568" s="10">
        <v>20215</v>
      </c>
      <c r="L4568" s="3" t="str">
        <f t="shared" si="149"/>
        <v>ΡΟΔΑΚΙΝΙΕΣ_ΜΕΤΑΠΟΙΗΣΗΣ</v>
      </c>
    </row>
    <row r="4569" spans="1:12" s="3" customFormat="1" ht="15" customHeight="1" x14ac:dyDescent="0.25">
      <c r="A4569" s="3" t="str">
        <f t="shared" si="148"/>
        <v>ΡΟΔΑΚΙΝΙΕΣ ΜΕΤΑΠΟΙΗΣΗΣΡΟΔΑΚΙΝΑ ΣΙΕΣΤΑ</v>
      </c>
      <c r="B4569" s="4" t="s">
        <v>8578</v>
      </c>
      <c r="C4569" s="5" t="s">
        <v>8635</v>
      </c>
      <c r="D4569" s="6">
        <v>5895.69</v>
      </c>
      <c r="E4569" s="6">
        <v>5815.34</v>
      </c>
      <c r="F4569" s="7" t="s">
        <v>14</v>
      </c>
      <c r="G4569" s="8" t="s">
        <v>8636</v>
      </c>
      <c r="H4569" s="8" t="s">
        <v>16</v>
      </c>
      <c r="I4569" s="9">
        <v>1470</v>
      </c>
      <c r="J4569" s="10" t="s">
        <v>8581</v>
      </c>
      <c r="K4569" s="10">
        <v>20216</v>
      </c>
      <c r="L4569" s="3" t="str">
        <f t="shared" si="149"/>
        <v>ΡΟΔΑΚΙΝΙΕΣ_ΜΕΤΑΠΟΙΗΣΗΣ</v>
      </c>
    </row>
    <row r="4570" spans="1:12" s="3" customFormat="1" ht="15" customHeight="1" x14ac:dyDescent="0.25">
      <c r="A4570" s="3" t="str">
        <f t="shared" si="148"/>
        <v>ΡΟΔΑΚΙΝΙΕΣ ΜΕΤΑΠΟΙΗΣΗΣΡΟΔΑΚΙΝΑ ΚΑΡΣΟΝ</v>
      </c>
      <c r="B4570" s="4" t="s">
        <v>8578</v>
      </c>
      <c r="C4570" s="5" t="s">
        <v>8637</v>
      </c>
      <c r="D4570" s="6">
        <v>5895.69</v>
      </c>
      <c r="E4570" s="6">
        <v>5815.34</v>
      </c>
      <c r="F4570" s="7" t="s">
        <v>14</v>
      </c>
      <c r="G4570" s="8" t="s">
        <v>8638</v>
      </c>
      <c r="H4570" s="8" t="s">
        <v>16</v>
      </c>
      <c r="I4570" s="9">
        <v>1471</v>
      </c>
      <c r="J4570" s="10" t="s">
        <v>8581</v>
      </c>
      <c r="K4570" s="10">
        <v>20218</v>
      </c>
      <c r="L4570" s="3" t="str">
        <f t="shared" si="149"/>
        <v>ΡΟΔΑΚΙΝΙΕΣ_ΜΕΤΑΠΟΙΗΣΗΣ</v>
      </c>
    </row>
    <row r="4571" spans="1:12" s="3" customFormat="1" ht="15" customHeight="1" x14ac:dyDescent="0.25">
      <c r="A4571" s="3" t="str">
        <f t="shared" si="148"/>
        <v>ΡΟΔΑΚΙΝΙΕΣ ΜΕΤΑΠΟΙΗΣΗΣΡΟΔΑΚΙΝΑ ΓΚΟΛΝΤΕΝ ΚΟΥΙΝ</v>
      </c>
      <c r="B4571" s="4" t="s">
        <v>8578</v>
      </c>
      <c r="C4571" s="5" t="s">
        <v>8639</v>
      </c>
      <c r="D4571" s="6">
        <v>5895.69</v>
      </c>
      <c r="E4571" s="6">
        <v>5815.34</v>
      </c>
      <c r="F4571" s="7" t="s">
        <v>14</v>
      </c>
      <c r="G4571" s="8" t="s">
        <v>8640</v>
      </c>
      <c r="H4571" s="8" t="s">
        <v>16</v>
      </c>
      <c r="I4571" s="9">
        <v>1472</v>
      </c>
      <c r="J4571" s="10" t="s">
        <v>8581</v>
      </c>
      <c r="K4571" s="10">
        <v>20219</v>
      </c>
      <c r="L4571" s="3" t="str">
        <f t="shared" si="149"/>
        <v>ΡΟΔΑΚΙΝΙΕΣ_ΜΕΤΑΠΟΙΗΣΗΣ</v>
      </c>
    </row>
    <row r="4572" spans="1:12" s="3" customFormat="1" ht="15" customHeight="1" x14ac:dyDescent="0.25">
      <c r="A4572" s="3" t="str">
        <f t="shared" si="148"/>
        <v>ΡΟΔΑΚΙΝΙΕΣ ΜΕΤΑΠΟΙΗΣΗΣΡΟΔΑΚΙΝΑ ΧΕΡΙΝΓΚΤΟΝ</v>
      </c>
      <c r="B4572" s="4" t="s">
        <v>8578</v>
      </c>
      <c r="C4572" s="5" t="s">
        <v>8641</v>
      </c>
      <c r="D4572" s="6">
        <v>5895.69</v>
      </c>
      <c r="E4572" s="6">
        <v>5815.34</v>
      </c>
      <c r="F4572" s="7" t="s">
        <v>14</v>
      </c>
      <c r="G4572" s="8" t="s">
        <v>8642</v>
      </c>
      <c r="H4572" s="8" t="s">
        <v>16</v>
      </c>
      <c r="I4572" s="9">
        <v>1473</v>
      </c>
      <c r="J4572" s="10" t="s">
        <v>8581</v>
      </c>
      <c r="K4572" s="10">
        <v>20220</v>
      </c>
      <c r="L4572" s="3" t="str">
        <f t="shared" si="149"/>
        <v>ΡΟΔΑΚΙΝΙΕΣ_ΜΕΤΑΠΟΙΗΣΗΣ</v>
      </c>
    </row>
    <row r="4573" spans="1:12" s="3" customFormat="1" ht="15" customHeight="1" x14ac:dyDescent="0.25">
      <c r="A4573" s="3" t="str">
        <f t="shared" si="148"/>
        <v>ΡΟΔΑΚΙΝΙΕΣ ΜΕΤΑΠΟΙΗΣΗΣΡΟΔΑΚΙΝΑ ΣΑΝ ΛΟΡΕΝΖΟ</v>
      </c>
      <c r="B4573" s="4" t="s">
        <v>8578</v>
      </c>
      <c r="C4573" s="5" t="s">
        <v>8643</v>
      </c>
      <c r="D4573" s="6">
        <v>5895.69</v>
      </c>
      <c r="E4573" s="6">
        <v>5815.34</v>
      </c>
      <c r="F4573" s="7" t="s">
        <v>14</v>
      </c>
      <c r="G4573" s="8" t="s">
        <v>8644</v>
      </c>
      <c r="H4573" s="8" t="s">
        <v>16</v>
      </c>
      <c r="I4573" s="9">
        <v>1474</v>
      </c>
      <c r="J4573" s="10" t="s">
        <v>8581</v>
      </c>
      <c r="K4573" s="10">
        <v>20221</v>
      </c>
      <c r="L4573" s="3" t="str">
        <f t="shared" si="149"/>
        <v>ΡΟΔΑΚΙΝΙΕΣ_ΜΕΤΑΠΟΙΗΣΗΣ</v>
      </c>
    </row>
    <row r="4574" spans="1:12" s="3" customFormat="1" ht="15" customHeight="1" x14ac:dyDescent="0.25">
      <c r="A4574" s="3" t="str">
        <f t="shared" si="148"/>
        <v>ΡΟΔΑΚΙΝΙΕΣ ΜΕΤΑΠΟΙΗΣΗΣΡΟΔΑΚΙΝΑ ΜΥΡΙΑΜ</v>
      </c>
      <c r="B4574" s="4" t="s">
        <v>8578</v>
      </c>
      <c r="C4574" s="5" t="s">
        <v>8645</v>
      </c>
      <c r="D4574" s="6">
        <v>5895.69</v>
      </c>
      <c r="E4574" s="6">
        <v>5815.34</v>
      </c>
      <c r="F4574" s="7" t="s">
        <v>14</v>
      </c>
      <c r="G4574" s="8" t="s">
        <v>8646</v>
      </c>
      <c r="H4574" s="8" t="s">
        <v>16</v>
      </c>
      <c r="I4574" s="9">
        <v>1475</v>
      </c>
      <c r="J4574" s="10" t="s">
        <v>8581</v>
      </c>
      <c r="K4574" s="10">
        <v>20222</v>
      </c>
      <c r="L4574" s="3" t="str">
        <f t="shared" si="149"/>
        <v>ΡΟΔΑΚΙΝΙΕΣ_ΜΕΤΑΠΟΙΗΣΗΣ</v>
      </c>
    </row>
    <row r="4575" spans="1:12" s="3" customFormat="1" ht="15" customHeight="1" x14ac:dyDescent="0.25">
      <c r="A4575" s="3" t="str">
        <f t="shared" si="148"/>
        <v>ΡΟΔΑΚΙΝΙΕΣ ΜΕΤΑΠΟΙΗΣΗΣΡΟΔΑΚΙΝΑ ΣΟΝΟΡΑ</v>
      </c>
      <c r="B4575" s="4" t="s">
        <v>8578</v>
      </c>
      <c r="C4575" s="5" t="s">
        <v>8647</v>
      </c>
      <c r="D4575" s="6">
        <v>5895.69</v>
      </c>
      <c r="E4575" s="6">
        <v>5815.34</v>
      </c>
      <c r="F4575" s="7" t="s">
        <v>14</v>
      </c>
      <c r="G4575" s="8" t="s">
        <v>8648</v>
      </c>
      <c r="H4575" s="8" t="s">
        <v>16</v>
      </c>
      <c r="I4575" s="9">
        <v>1476</v>
      </c>
      <c r="J4575" s="10" t="s">
        <v>8581</v>
      </c>
      <c r="K4575" s="10">
        <v>20223</v>
      </c>
      <c r="L4575" s="3" t="str">
        <f t="shared" si="149"/>
        <v>ΡΟΔΑΚΙΝΙΕΣ_ΜΕΤΑΠΟΙΗΣΗΣ</v>
      </c>
    </row>
    <row r="4576" spans="1:12" s="3" customFormat="1" ht="15" customHeight="1" x14ac:dyDescent="0.25">
      <c r="A4576" s="3" t="str">
        <f t="shared" si="148"/>
        <v>ΡΟΔΑΚΙΝΙΕΣ ΜΕΤΑΠΟΙΗΣΗΣΡΟΔΑΚ. ΟΚΟΥΜΠΟ</v>
      </c>
      <c r="B4576" s="4" t="s">
        <v>8578</v>
      </c>
      <c r="C4576" s="5" t="s">
        <v>8649</v>
      </c>
      <c r="D4576" s="6">
        <v>5895.69</v>
      </c>
      <c r="E4576" s="6">
        <v>5815.34</v>
      </c>
      <c r="F4576" s="7" t="s">
        <v>14</v>
      </c>
      <c r="G4576" s="8" t="s">
        <v>8650</v>
      </c>
      <c r="H4576" s="8" t="s">
        <v>16</v>
      </c>
      <c r="I4576" s="9">
        <v>1477</v>
      </c>
      <c r="J4576" s="10" t="s">
        <v>8581</v>
      </c>
      <c r="K4576" s="10">
        <v>20224</v>
      </c>
      <c r="L4576" s="3" t="str">
        <f t="shared" si="149"/>
        <v>ΡΟΔΑΚΙΝΙΕΣ_ΜΕΤΑΠΟΙΗΣΗΣ</v>
      </c>
    </row>
    <row r="4577" spans="1:12" s="3" customFormat="1" ht="15" customHeight="1" x14ac:dyDescent="0.25">
      <c r="A4577" s="3" t="str">
        <f t="shared" si="148"/>
        <v>ΡΟΔΑΚΙΝΙΕΣ ΜΕΤΑΠΟΙΗΣΗΣΡΟΔΑΚΙΝΑ Α37</v>
      </c>
      <c r="B4577" s="4" t="s">
        <v>8578</v>
      </c>
      <c r="C4577" s="5" t="s">
        <v>8651</v>
      </c>
      <c r="D4577" s="6">
        <v>5895.69</v>
      </c>
      <c r="E4577" s="6">
        <v>5815.34</v>
      </c>
      <c r="F4577" s="7" t="s">
        <v>14</v>
      </c>
      <c r="G4577" s="8" t="s">
        <v>8652</v>
      </c>
      <c r="H4577" s="8" t="s">
        <v>16</v>
      </c>
      <c r="I4577" s="9">
        <v>1479</v>
      </c>
      <c r="J4577" s="10" t="s">
        <v>8581</v>
      </c>
      <c r="K4577" s="10">
        <v>20225</v>
      </c>
      <c r="L4577" s="3" t="str">
        <f t="shared" si="149"/>
        <v>ΡΟΔΑΚΙΝΙΕΣ_ΜΕΤΑΠΟΙΗΣΗΣ</v>
      </c>
    </row>
    <row r="4578" spans="1:12" s="3" customFormat="1" ht="15" customHeight="1" x14ac:dyDescent="0.25">
      <c r="A4578" s="3" t="str">
        <f t="shared" si="148"/>
        <v>ΡΟΔΑΚΙΝΙΕΣ ΜΕΤΑΠΟΙΗΣΗΣΡΟΔΑΚΙΝΑ ΚΑΛΙΦΟΡΝΙΑ</v>
      </c>
      <c r="B4578" s="4" t="s">
        <v>8578</v>
      </c>
      <c r="C4578" s="5" t="s">
        <v>8653</v>
      </c>
      <c r="D4578" s="6">
        <v>5895.69</v>
      </c>
      <c r="E4578" s="6">
        <v>5815.34</v>
      </c>
      <c r="F4578" s="7" t="s">
        <v>14</v>
      </c>
      <c r="G4578" s="8" t="s">
        <v>8654</v>
      </c>
      <c r="H4578" s="8" t="s">
        <v>16</v>
      </c>
      <c r="I4578" s="9">
        <v>1478</v>
      </c>
      <c r="J4578" s="10" t="s">
        <v>8581</v>
      </c>
      <c r="K4578" s="10">
        <v>20226</v>
      </c>
      <c r="L4578" s="3" t="str">
        <f t="shared" si="149"/>
        <v>ΡΟΔΑΚΙΝΙΕΣ_ΜΕΤΑΠΟΙΗΣΗΣ</v>
      </c>
    </row>
    <row r="4579" spans="1:12" s="3" customFormat="1" ht="15" customHeight="1" x14ac:dyDescent="0.25">
      <c r="A4579" s="3" t="str">
        <f t="shared" si="148"/>
        <v>ΡΟΔΑΚΙΝΙΕΣ ΜΕΤΑΠΟΙΗΣΗΣΡΟΔΑΚΙΝΑ FERCLUSE</v>
      </c>
      <c r="B4579" s="4" t="s">
        <v>8578</v>
      </c>
      <c r="C4579" s="5" t="s">
        <v>8655</v>
      </c>
      <c r="D4579" s="6">
        <v>5895.69</v>
      </c>
      <c r="E4579" s="6">
        <v>5815.34</v>
      </c>
      <c r="F4579" s="7" t="s">
        <v>14</v>
      </c>
      <c r="G4579" s="8" t="s">
        <v>8656</v>
      </c>
      <c r="H4579" s="8" t="s">
        <v>16</v>
      </c>
      <c r="I4579" s="9">
        <v>1481</v>
      </c>
      <c r="J4579" s="10" t="s">
        <v>8581</v>
      </c>
      <c r="K4579" s="10">
        <v>20227</v>
      </c>
      <c r="L4579" s="3" t="str">
        <f t="shared" si="149"/>
        <v>ΡΟΔΑΚΙΝΙΕΣ_ΜΕΤΑΠΟΙΗΣΗΣ</v>
      </c>
    </row>
    <row r="4580" spans="1:12" s="3" customFormat="1" ht="15" customHeight="1" x14ac:dyDescent="0.25">
      <c r="A4580" s="3" t="str">
        <f t="shared" si="148"/>
        <v>ΡΟΔΑΚΙΝΙΕΣ ΜΕΤΑΠΟΙΗΣΗΣΡΟΔΑΚΙΝΑ FERLOT</v>
      </c>
      <c r="B4580" s="4" t="s">
        <v>8578</v>
      </c>
      <c r="C4580" s="5" t="s">
        <v>8657</v>
      </c>
      <c r="D4580" s="6">
        <v>5895.69</v>
      </c>
      <c r="E4580" s="6">
        <v>5815.34</v>
      </c>
      <c r="F4580" s="7" t="s">
        <v>14</v>
      </c>
      <c r="G4580" s="8" t="s">
        <v>8658</v>
      </c>
      <c r="H4580" s="8" t="s">
        <v>16</v>
      </c>
      <c r="I4580" s="9">
        <v>1482</v>
      </c>
      <c r="J4580" s="10" t="s">
        <v>8581</v>
      </c>
      <c r="K4580" s="10">
        <v>20228</v>
      </c>
      <c r="L4580" s="3" t="str">
        <f t="shared" si="149"/>
        <v>ΡΟΔΑΚΙΝΙΕΣ_ΜΕΤΑΠΟΙΗΣΗΣ</v>
      </c>
    </row>
    <row r="4581" spans="1:12" s="3" customFormat="1" ht="15" customHeight="1" x14ac:dyDescent="0.25">
      <c r="A4581" s="3" t="str">
        <f t="shared" si="148"/>
        <v>ΡΟΔΑΚΙΝΙΕΣ ΜΕΤΑΠΟΙΗΣΗΣΡΟΔΑΚΙΝΑ FERLATE</v>
      </c>
      <c r="B4581" s="4" t="s">
        <v>8578</v>
      </c>
      <c r="C4581" s="5" t="s">
        <v>8659</v>
      </c>
      <c r="D4581" s="6">
        <v>5895.69</v>
      </c>
      <c r="E4581" s="6">
        <v>5815.34</v>
      </c>
      <c r="F4581" s="7" t="s">
        <v>14</v>
      </c>
      <c r="G4581" s="8" t="s">
        <v>8660</v>
      </c>
      <c r="H4581" s="8" t="s">
        <v>16</v>
      </c>
      <c r="I4581" s="9">
        <v>1483</v>
      </c>
      <c r="J4581" s="10" t="s">
        <v>8581</v>
      </c>
      <c r="K4581" s="10">
        <v>20229</v>
      </c>
      <c r="L4581" s="3" t="str">
        <f t="shared" si="149"/>
        <v>ΡΟΔΑΚΙΝΙΕΣ_ΜΕΤΑΠΟΙΗΣΗΣ</v>
      </c>
    </row>
    <row r="4582" spans="1:12" s="3" customFormat="1" ht="15" customHeight="1" x14ac:dyDescent="0.25">
      <c r="A4582" s="3" t="str">
        <f t="shared" si="148"/>
        <v>ΡΟΔΑΚΙΝΙΕΣ ΜΕΤΑΠΟΙΗΣΗΣΡΟΔΑΚΙΝΑ PRO C 236 (VERUELA)</v>
      </c>
      <c r="B4582" s="4" t="s">
        <v>8578</v>
      </c>
      <c r="C4582" s="5" t="s">
        <v>8661</v>
      </c>
      <c r="D4582" s="6">
        <v>5895.69</v>
      </c>
      <c r="E4582" s="6">
        <v>5815.34</v>
      </c>
      <c r="F4582" s="7" t="s">
        <v>14</v>
      </c>
      <c r="G4582" s="8" t="s">
        <v>8662</v>
      </c>
      <c r="H4582" s="8" t="s">
        <v>16</v>
      </c>
      <c r="I4582" s="9">
        <v>1469</v>
      </c>
      <c r="J4582" s="10" t="s">
        <v>8581</v>
      </c>
      <c r="K4582" s="10">
        <v>20230</v>
      </c>
      <c r="L4582" s="3" t="str">
        <f t="shared" si="149"/>
        <v>ΡΟΔΑΚΙΝΙΕΣ_ΜΕΤΑΠΟΙΗΣΗΣ</v>
      </c>
    </row>
    <row r="4583" spans="1:12" s="3" customFormat="1" ht="15" customHeight="1" x14ac:dyDescent="0.25">
      <c r="A4583" s="3" t="str">
        <f t="shared" si="148"/>
        <v>ΡΟΔΑΚΙΝΙΕΣ ΜΕΤΑΠΟΙΗΣΗΣΡΟΔΑΚΙΝΑ PRO C 84 (GUADALUPE)</v>
      </c>
      <c r="B4583" s="4" t="s">
        <v>8578</v>
      </c>
      <c r="C4583" s="5" t="s">
        <v>8663</v>
      </c>
      <c r="D4583" s="6">
        <v>5895.69</v>
      </c>
      <c r="E4583" s="6">
        <v>5815.34</v>
      </c>
      <c r="F4583" s="7" t="s">
        <v>14</v>
      </c>
      <c r="G4583" s="8" t="s">
        <v>8664</v>
      </c>
      <c r="H4583" s="8" t="s">
        <v>16</v>
      </c>
      <c r="I4583" s="9">
        <v>1480</v>
      </c>
      <c r="J4583" s="10" t="s">
        <v>8581</v>
      </c>
      <c r="K4583" s="10">
        <v>20231</v>
      </c>
      <c r="L4583" s="3" t="str">
        <f t="shared" si="149"/>
        <v>ΡΟΔΑΚΙΝΙΕΣ_ΜΕΤΑΠΟΙΗΣΗΣ</v>
      </c>
    </row>
    <row r="4584" spans="1:12" s="3" customFormat="1" ht="15" customHeight="1" x14ac:dyDescent="0.25">
      <c r="A4584" s="3" t="str">
        <f t="shared" si="148"/>
        <v>ΡΟΔΑΚΙΝΙΕΣ ΜΕΤΑΠΟΙΗΣΗΣΡΟΔΑΚΙΝΑ PRO C 105 (YUSTE)</v>
      </c>
      <c r="B4584" s="4" t="s">
        <v>8578</v>
      </c>
      <c r="C4584" s="5" t="s">
        <v>8665</v>
      </c>
      <c r="D4584" s="6">
        <v>5895.69</v>
      </c>
      <c r="E4584" s="6">
        <v>5815.34</v>
      </c>
      <c r="F4584" s="7" t="s">
        <v>14</v>
      </c>
      <c r="G4584" s="8" t="s">
        <v>8666</v>
      </c>
      <c r="H4584" s="8" t="s">
        <v>16</v>
      </c>
      <c r="I4584" s="9">
        <v>1486</v>
      </c>
      <c r="J4584" s="10" t="s">
        <v>8581</v>
      </c>
      <c r="K4584" s="10">
        <v>20232</v>
      </c>
      <c r="L4584" s="3" t="str">
        <f t="shared" si="149"/>
        <v>ΡΟΔΑΚΙΝΙΕΣ_ΜΕΤΑΠΟΙΗΣΗΣ</v>
      </c>
    </row>
    <row r="4585" spans="1:12" s="3" customFormat="1" ht="15" customHeight="1" x14ac:dyDescent="0.25">
      <c r="A4585" s="3" t="str">
        <f t="shared" si="148"/>
        <v>ΡΟΔΑΚΙΝΙΕΣ ΜΕΤΑΠΟΙΗΣΗΣΡΟΔΑΚΙΝΑ PRO 443 (JALON)</v>
      </c>
      <c r="B4585" s="4" t="s">
        <v>8578</v>
      </c>
      <c r="C4585" s="5" t="s">
        <v>8667</v>
      </c>
      <c r="D4585" s="6">
        <v>5895.69</v>
      </c>
      <c r="E4585" s="6">
        <v>5815.34</v>
      </c>
      <c r="F4585" s="7" t="s">
        <v>14</v>
      </c>
      <c r="G4585" s="8" t="s">
        <v>8668</v>
      </c>
      <c r="H4585" s="8" t="s">
        <v>16</v>
      </c>
      <c r="I4585" s="9">
        <v>1515</v>
      </c>
      <c r="J4585" s="10" t="s">
        <v>8581</v>
      </c>
      <c r="K4585" s="10">
        <v>20233</v>
      </c>
      <c r="L4585" s="3" t="str">
        <f t="shared" si="149"/>
        <v>ΡΟΔΑΚΙΝΙΕΣ_ΜΕΤΑΠΟΙΗΣΗΣ</v>
      </c>
    </row>
    <row r="4586" spans="1:12" s="3" customFormat="1" ht="15" customHeight="1" x14ac:dyDescent="0.25">
      <c r="A4586" s="3" t="str">
        <f t="shared" si="148"/>
        <v>ΡΟΔΑΚΙΝΙΕΣ ΜΕΤΑΠΟΙΗΣΗΣΡΟΔΑΚΙΝΑ PRO C 182 (LEYRE)</v>
      </c>
      <c r="B4586" s="4" t="s">
        <v>8578</v>
      </c>
      <c r="C4586" s="5" t="s">
        <v>8669</v>
      </c>
      <c r="D4586" s="6">
        <v>5895.69</v>
      </c>
      <c r="E4586" s="6">
        <v>5815.34</v>
      </c>
      <c r="F4586" s="7" t="s">
        <v>14</v>
      </c>
      <c r="G4586" s="8" t="s">
        <v>8670</v>
      </c>
      <c r="H4586" s="8" t="s">
        <v>16</v>
      </c>
      <c r="I4586" s="9">
        <v>1485</v>
      </c>
      <c r="J4586" s="10" t="s">
        <v>8581</v>
      </c>
      <c r="K4586" s="10">
        <v>20234</v>
      </c>
      <c r="L4586" s="3" t="str">
        <f t="shared" si="149"/>
        <v>ΡΟΔΑΚΙΝΙΕΣ_ΜΕΤΑΠΟΙΗΣΗΣ</v>
      </c>
    </row>
    <row r="4587" spans="1:12" s="3" customFormat="1" ht="15" customHeight="1" x14ac:dyDescent="0.25">
      <c r="A4587" s="3" t="str">
        <f t="shared" si="148"/>
        <v>ΡΟΔΑΚΙΝΙΕΣ ΜΕΤΑΠΟΙΗΣΗΣΡΟΔΑΚΙΝΑ PRO C 220 (POBLET)</v>
      </c>
      <c r="B4587" s="4" t="s">
        <v>8578</v>
      </c>
      <c r="C4587" s="5" t="s">
        <v>8671</v>
      </c>
      <c r="D4587" s="6">
        <v>5895.69</v>
      </c>
      <c r="E4587" s="6">
        <v>5815.34</v>
      </c>
      <c r="F4587" s="7" t="s">
        <v>14</v>
      </c>
      <c r="G4587" s="8" t="s">
        <v>8672</v>
      </c>
      <c r="H4587" s="8" t="s">
        <v>16</v>
      </c>
      <c r="I4587" s="9">
        <v>1494</v>
      </c>
      <c r="J4587" s="10" t="s">
        <v>8581</v>
      </c>
      <c r="K4587" s="10">
        <v>20235</v>
      </c>
      <c r="L4587" s="3" t="str">
        <f t="shared" si="149"/>
        <v>ΡΟΔΑΚΙΝΙΕΣ_ΜΕΤΑΠΟΙΗΣΗΣ</v>
      </c>
    </row>
    <row r="4588" spans="1:12" s="3" customFormat="1" ht="15" customHeight="1" x14ac:dyDescent="0.25">
      <c r="A4588" s="3" t="str">
        <f t="shared" si="148"/>
        <v>ΡΟΔΑΚΙΝΙΕΣ ΜΕΤΑΠΟΙΗΣΗΣΡΟΔΑΚΙΝΑ PRO 570</v>
      </c>
      <c r="B4588" s="4" t="s">
        <v>8578</v>
      </c>
      <c r="C4588" s="5" t="s">
        <v>8673</v>
      </c>
      <c r="D4588" s="6">
        <v>5895.69</v>
      </c>
      <c r="E4588" s="6">
        <v>5815.34</v>
      </c>
      <c r="F4588" s="7" t="s">
        <v>14</v>
      </c>
      <c r="G4588" s="8" t="s">
        <v>8674</v>
      </c>
      <c r="H4588" s="8" t="s">
        <v>16</v>
      </c>
      <c r="I4588" s="9">
        <v>1489</v>
      </c>
      <c r="J4588" s="10" t="s">
        <v>8581</v>
      </c>
      <c r="K4588" s="10">
        <v>20236</v>
      </c>
      <c r="L4588" s="3" t="str">
        <f t="shared" si="149"/>
        <v>ΡΟΔΑΚΙΝΙΕΣ_ΜΕΤΑΠΟΙΗΣΗΣ</v>
      </c>
    </row>
    <row r="4589" spans="1:12" s="3" customFormat="1" ht="15" customHeight="1" x14ac:dyDescent="0.25">
      <c r="A4589" s="3" t="str">
        <f t="shared" si="148"/>
        <v>ΡΟΔΑΚΙΝΙΕΣ ΜΕΤΑΠΟΙΗΣΗΣΡΟΔΑΚΙΝΑ MIREILLE MEYSTAR</v>
      </c>
      <c r="B4589" s="4" t="s">
        <v>8578</v>
      </c>
      <c r="C4589" s="5" t="s">
        <v>8675</v>
      </c>
      <c r="D4589" s="6">
        <v>5895.69</v>
      </c>
      <c r="E4589" s="6">
        <v>5815.34</v>
      </c>
      <c r="F4589" s="7" t="s">
        <v>14</v>
      </c>
      <c r="G4589" s="8" t="s">
        <v>8676</v>
      </c>
      <c r="H4589" s="8" t="s">
        <v>16</v>
      </c>
      <c r="I4589" s="9">
        <v>1490</v>
      </c>
      <c r="J4589" s="10" t="s">
        <v>8581</v>
      </c>
      <c r="K4589" s="10">
        <v>20237</v>
      </c>
      <c r="L4589" s="3" t="str">
        <f t="shared" si="149"/>
        <v>ΡΟΔΑΚΙΝΙΕΣ_ΜΕΤΑΠΟΙΗΣΗΣ</v>
      </c>
    </row>
    <row r="4590" spans="1:12" s="3" customFormat="1" ht="15" customHeight="1" x14ac:dyDescent="0.25">
      <c r="A4590" s="3" t="str">
        <f t="shared" si="148"/>
        <v>ΡΟΔΑΚΙΝΙΕΣ ΜΕΤΑΠΟΙΗΣΗΣΡΟΔΑΚΙΝΑ PUNTO IT</v>
      </c>
      <c r="B4590" s="4" t="s">
        <v>8578</v>
      </c>
      <c r="C4590" s="5" t="s">
        <v>8677</v>
      </c>
      <c r="D4590" s="6">
        <v>5895.69</v>
      </c>
      <c r="E4590" s="6">
        <v>5815.34</v>
      </c>
      <c r="F4590" s="7" t="s">
        <v>14</v>
      </c>
      <c r="G4590" s="8" t="s">
        <v>8678</v>
      </c>
      <c r="H4590" s="8" t="s">
        <v>16</v>
      </c>
      <c r="I4590" s="9">
        <v>1491</v>
      </c>
      <c r="J4590" s="10" t="s">
        <v>8581</v>
      </c>
      <c r="K4590" s="10">
        <v>20238</v>
      </c>
      <c r="L4590" s="3" t="str">
        <f t="shared" si="149"/>
        <v>ΡΟΔΑΚΙΝΙΕΣ_ΜΕΤΑΠΟΙΗΣΗΣ</v>
      </c>
    </row>
    <row r="4591" spans="1:12" s="3" customFormat="1" ht="15" customHeight="1" x14ac:dyDescent="0.25">
      <c r="A4591" s="3" t="str">
        <f t="shared" si="148"/>
        <v>ΡΟΔΑΚΙΝΙΕΣ ΜΕΤΑΠΟΙΗΣΗΣΡΟΔΑΚΙΝΑ ZAI27PAV (MARLEN)</v>
      </c>
      <c r="B4591" s="4" t="s">
        <v>8578</v>
      </c>
      <c r="C4591" s="5" t="s">
        <v>8679</v>
      </c>
      <c r="D4591" s="6">
        <v>5895.69</v>
      </c>
      <c r="E4591" s="6">
        <v>5815.34</v>
      </c>
      <c r="F4591" s="7" t="s">
        <v>14</v>
      </c>
      <c r="G4591" s="8" t="s">
        <v>8680</v>
      </c>
      <c r="H4591" s="8" t="s">
        <v>16</v>
      </c>
      <c r="I4591" s="9">
        <v>1492</v>
      </c>
      <c r="J4591" s="10" t="s">
        <v>8581</v>
      </c>
      <c r="K4591" s="10">
        <v>20239</v>
      </c>
      <c r="L4591" s="3" t="str">
        <f t="shared" si="149"/>
        <v>ΡΟΔΑΚΙΝΙΕΣ_ΜΕΤΑΠΟΙΗΣΗΣ</v>
      </c>
    </row>
    <row r="4592" spans="1:12" s="3" customFormat="1" ht="15" customHeight="1" x14ac:dyDescent="0.25">
      <c r="A4592" s="3" t="str">
        <f t="shared" si="148"/>
        <v>ΡΟΔΑΚΙΝΙΕΣ ΜΕΤΑΠΟΙΗΣΗΣΡΟΔΑΚΙΝΑ ZAI17PAV (MIREL)</v>
      </c>
      <c r="B4592" s="4" t="s">
        <v>8578</v>
      </c>
      <c r="C4592" s="5" t="s">
        <v>8681</v>
      </c>
      <c r="D4592" s="6">
        <v>5895.69</v>
      </c>
      <c r="E4592" s="6">
        <v>5815.34</v>
      </c>
      <c r="F4592" s="7" t="s">
        <v>14</v>
      </c>
      <c r="G4592" s="8" t="s">
        <v>8682</v>
      </c>
      <c r="H4592" s="8" t="s">
        <v>16</v>
      </c>
      <c r="I4592" s="9">
        <v>1493</v>
      </c>
      <c r="J4592" s="10" t="s">
        <v>8581</v>
      </c>
      <c r="K4592" s="10">
        <v>20240</v>
      </c>
      <c r="L4592" s="3" t="str">
        <f t="shared" si="149"/>
        <v>ΡΟΔΑΚΙΝΙΕΣ_ΜΕΤΑΠΟΙΗΣΗΣ</v>
      </c>
    </row>
    <row r="4593" spans="1:12" s="3" customFormat="1" ht="15" customHeight="1" x14ac:dyDescent="0.25">
      <c r="A4593" s="3" t="str">
        <f t="shared" si="148"/>
        <v>ΡΟΔΑΚΙΝΙΕΣ ΜΕΤΑΠΟΙΗΣΗΣΡΟΔΑΚΙΝΑ ZAI21PAV (HARBEL)</v>
      </c>
      <c r="B4593" s="23" t="s">
        <v>8578</v>
      </c>
      <c r="C4593" s="24" t="s">
        <v>8683</v>
      </c>
      <c r="D4593" s="6">
        <v>5895.69</v>
      </c>
      <c r="E4593" s="6">
        <v>5815.34</v>
      </c>
      <c r="F4593" s="7" t="s">
        <v>14</v>
      </c>
      <c r="G4593" s="8" t="s">
        <v>8684</v>
      </c>
      <c r="H4593" s="8" t="s">
        <v>16</v>
      </c>
      <c r="I4593" s="9">
        <v>5537</v>
      </c>
      <c r="J4593" s="26">
        <v>20.2</v>
      </c>
      <c r="K4593" s="27">
        <v>20241</v>
      </c>
      <c r="L4593" s="3" t="str">
        <f t="shared" si="149"/>
        <v>ΡΟΔΑΚΙΝΙΕΣ_ΜΕΤΑΠΟΙΗΣΗΣ</v>
      </c>
    </row>
    <row r="4594" spans="1:12" s="3" customFormat="1" ht="15" customHeight="1" x14ac:dyDescent="0.25">
      <c r="A4594" s="3" t="str">
        <f t="shared" si="148"/>
        <v>ΡΟΔΑΚΙΝΙΕΣ ΜΕΤΑΠΟΙΗΣΗΣΡΟΔΑΚΙΝΑ PUNTOIT</v>
      </c>
      <c r="B4594" s="23" t="s">
        <v>8578</v>
      </c>
      <c r="C4594" s="24" t="s">
        <v>8685</v>
      </c>
      <c r="D4594" s="6">
        <v>5895.69</v>
      </c>
      <c r="E4594" s="6">
        <v>5815.34</v>
      </c>
      <c r="F4594" s="7" t="s">
        <v>14</v>
      </c>
      <c r="G4594" s="30" t="s">
        <v>8686</v>
      </c>
      <c r="H4594" s="31" t="s">
        <v>577</v>
      </c>
      <c r="I4594" s="9">
        <v>6133</v>
      </c>
      <c r="J4594" s="30" t="s">
        <v>8581</v>
      </c>
      <c r="K4594" s="30">
        <v>20242</v>
      </c>
      <c r="L4594" s="3" t="str">
        <f t="shared" si="149"/>
        <v>ΡΟΔΑΚΙΝΙΕΣ_ΜΕΤΑΠΟΙΗΣΗΣ</v>
      </c>
    </row>
    <row r="4595" spans="1:12" s="3" customFormat="1" ht="15" customHeight="1" x14ac:dyDescent="0.25">
      <c r="A4595" s="3" t="str">
        <f t="shared" si="148"/>
        <v>ΡΟΔΑΚΙΝΙΕΣ ΜΕΤΑΠΟΙΗΣΗΣΡΟΔΑΚΙΝΑ PUNTOCOM</v>
      </c>
      <c r="B4595" s="23" t="s">
        <v>8578</v>
      </c>
      <c r="C4595" s="24" t="s">
        <v>8687</v>
      </c>
      <c r="D4595" s="6">
        <v>5895.69</v>
      </c>
      <c r="E4595" s="6">
        <v>5815.34</v>
      </c>
      <c r="F4595" s="7" t="s">
        <v>14</v>
      </c>
      <c r="G4595" s="30" t="s">
        <v>8688</v>
      </c>
      <c r="H4595" s="31" t="s">
        <v>577</v>
      </c>
      <c r="I4595" s="9">
        <v>6132</v>
      </c>
      <c r="J4595" s="30" t="s">
        <v>8581</v>
      </c>
      <c r="K4595" s="30">
        <v>20243</v>
      </c>
      <c r="L4595" s="3" t="str">
        <f t="shared" si="149"/>
        <v>ΡΟΔΑΚΙΝΙΕΣ_ΜΕΤΑΠΟΙΗΣΗΣ</v>
      </c>
    </row>
    <row r="4596" spans="1:12" s="3" customFormat="1" ht="15" customHeight="1" x14ac:dyDescent="0.25">
      <c r="A4596" s="3" t="str">
        <f t="shared" si="148"/>
        <v>ΡΟΔΑΚΙΝΙΕΣ ΜΕΤΑΠΟΙΗΣΗΣΡΟΔΑΚΙΝΑ GELO 1 (ICEPEACH)</v>
      </c>
      <c r="B4596" s="23" t="s">
        <v>8578</v>
      </c>
      <c r="C4596" s="24" t="s">
        <v>8689</v>
      </c>
      <c r="D4596" s="6">
        <v>5895.69</v>
      </c>
      <c r="E4596" s="6">
        <v>5815.34</v>
      </c>
      <c r="F4596" s="7" t="s">
        <v>14</v>
      </c>
      <c r="G4596" s="30" t="s">
        <v>8690</v>
      </c>
      <c r="H4596" s="31" t="s">
        <v>577</v>
      </c>
      <c r="I4596" s="9">
        <v>6125</v>
      </c>
      <c r="J4596" s="30" t="s">
        <v>8581</v>
      </c>
      <c r="K4596" s="30">
        <v>20244</v>
      </c>
      <c r="L4596" s="3" t="str">
        <f t="shared" si="149"/>
        <v>ΡΟΔΑΚΙΝΙΕΣ_ΜΕΤΑΠΟΙΗΣΗΣ</v>
      </c>
    </row>
    <row r="4597" spans="1:12" s="3" customFormat="1" ht="15" customHeight="1" x14ac:dyDescent="0.25">
      <c r="A4597" s="3" t="str">
        <f t="shared" si="148"/>
        <v>ΡΟΔΑΚΙΝΙΕΣ ΜΕΤΑΠΟΙΗΣΗΣΡΟΔΑΚΙΝΑ GELO 2 (ICEPEACH)</v>
      </c>
      <c r="B4597" s="23" t="s">
        <v>8578</v>
      </c>
      <c r="C4597" s="24" t="s">
        <v>8691</v>
      </c>
      <c r="D4597" s="6">
        <v>5895.69</v>
      </c>
      <c r="E4597" s="6">
        <v>5815.34</v>
      </c>
      <c r="F4597" s="7" t="s">
        <v>14</v>
      </c>
      <c r="G4597" s="30" t="s">
        <v>8692</v>
      </c>
      <c r="H4597" s="31" t="s">
        <v>577</v>
      </c>
      <c r="I4597" s="9">
        <v>6126</v>
      </c>
      <c r="J4597" s="30" t="s">
        <v>8581</v>
      </c>
      <c r="K4597" s="30">
        <v>20245</v>
      </c>
      <c r="L4597" s="3" t="str">
        <f t="shared" si="149"/>
        <v>ΡΟΔΑΚΙΝΙΕΣ_ΜΕΤΑΠΟΙΗΣΗΣ</v>
      </c>
    </row>
    <row r="4598" spans="1:12" s="3" customFormat="1" ht="15" customHeight="1" x14ac:dyDescent="0.25">
      <c r="A4598" s="3" t="str">
        <f t="shared" si="148"/>
        <v>ΡΟΔΑΚΙΝΙΕΣ ΜΕΤΑΠΟΙΗΣΗΣΡΟΔΑΚΙΝΑ GELO 3 (ICEPEACH)</v>
      </c>
      <c r="B4598" s="23" t="s">
        <v>8578</v>
      </c>
      <c r="C4598" s="24" t="s">
        <v>8693</v>
      </c>
      <c r="D4598" s="6">
        <v>5895.69</v>
      </c>
      <c r="E4598" s="6">
        <v>5815.34</v>
      </c>
      <c r="F4598" s="7" t="s">
        <v>14</v>
      </c>
      <c r="G4598" s="30" t="s">
        <v>8694</v>
      </c>
      <c r="H4598" s="31" t="s">
        <v>577</v>
      </c>
      <c r="I4598" s="9">
        <v>6127</v>
      </c>
      <c r="J4598" s="30" t="s">
        <v>8581</v>
      </c>
      <c r="K4598" s="30">
        <v>20246</v>
      </c>
      <c r="L4598" s="3" t="str">
        <f t="shared" si="149"/>
        <v>ΡΟΔΑΚΙΝΙΕΣ_ΜΕΤΑΠΟΙΗΣΗΣ</v>
      </c>
    </row>
    <row r="4599" spans="1:12" s="3" customFormat="1" ht="15" customHeight="1" x14ac:dyDescent="0.25">
      <c r="A4599" s="3" t="str">
        <f t="shared" si="148"/>
        <v>ΡΟΔΑΚΙΝΙΕΣ ΜΕΤΑΠΟΙΗΣΗΣΡΟΔΆΚΙΝΑ EVERTS ΕΠΙΛΟΓΗ VLG</v>
      </c>
      <c r="B4599" s="23" t="s">
        <v>8578</v>
      </c>
      <c r="C4599" s="24" t="s">
        <v>8695</v>
      </c>
      <c r="D4599" s="6">
        <v>5895.69</v>
      </c>
      <c r="E4599" s="6">
        <v>5815.34</v>
      </c>
      <c r="F4599" s="7" t="s">
        <v>14</v>
      </c>
      <c r="G4599" s="30" t="s">
        <v>8696</v>
      </c>
      <c r="H4599" s="31" t="s">
        <v>577</v>
      </c>
      <c r="I4599" s="9">
        <v>6123</v>
      </c>
      <c r="J4599" s="30" t="s">
        <v>8581</v>
      </c>
      <c r="K4599" s="30">
        <v>20247</v>
      </c>
      <c r="L4599" s="3" t="str">
        <f t="shared" si="149"/>
        <v>ΡΟΔΑΚΙΝΙΕΣ_ΜΕΤΑΠΟΙΗΣΗΣ</v>
      </c>
    </row>
    <row r="4600" spans="1:12" s="3" customFormat="1" ht="15" customHeight="1" x14ac:dyDescent="0.25">
      <c r="A4600" s="3" t="str">
        <f t="shared" si="148"/>
        <v>ΡΥΖΙΡΥΖΙ RONALDO</v>
      </c>
      <c r="B4600" s="4" t="s">
        <v>8697</v>
      </c>
      <c r="C4600" s="5" t="s">
        <v>8698</v>
      </c>
      <c r="D4600" s="6">
        <v>1929.32</v>
      </c>
      <c r="E4600" s="6">
        <v>1033</v>
      </c>
      <c r="F4600" s="7" t="s">
        <v>14</v>
      </c>
      <c r="G4600" s="8" t="s">
        <v>8699</v>
      </c>
      <c r="H4600" s="8" t="s">
        <v>16</v>
      </c>
      <c r="I4600" s="9">
        <v>3701</v>
      </c>
      <c r="J4600" s="10">
        <v>7</v>
      </c>
      <c r="K4600" s="10">
        <v>70001</v>
      </c>
      <c r="L4600" s="3" t="str">
        <f t="shared" si="149"/>
        <v>ΡΥΖΙ</v>
      </c>
    </row>
    <row r="4601" spans="1:12" s="3" customFormat="1" ht="15" customHeight="1" x14ac:dyDescent="0.25">
      <c r="A4601" s="3" t="str">
        <f t="shared" si="148"/>
        <v>ΡΥΖΙΡΥΖΙ LUNA CL</v>
      </c>
      <c r="B4601" s="4" t="s">
        <v>8697</v>
      </c>
      <c r="C4601" s="5" t="s">
        <v>8700</v>
      </c>
      <c r="D4601" s="6">
        <v>1929.32</v>
      </c>
      <c r="E4601" s="6">
        <v>1033</v>
      </c>
      <c r="F4601" s="7" t="s">
        <v>14</v>
      </c>
      <c r="G4601" s="8" t="s">
        <v>8701</v>
      </c>
      <c r="H4601" s="8" t="s">
        <v>16</v>
      </c>
      <c r="I4601" s="9">
        <v>3700</v>
      </c>
      <c r="J4601" s="10">
        <v>7</v>
      </c>
      <c r="K4601" s="10">
        <v>70002</v>
      </c>
      <c r="L4601" s="3" t="str">
        <f t="shared" si="149"/>
        <v>ΡΥΖΙ</v>
      </c>
    </row>
    <row r="4602" spans="1:12" s="3" customFormat="1" ht="15" customHeight="1" x14ac:dyDescent="0.25">
      <c r="A4602" s="3" t="str">
        <f t="shared" si="148"/>
        <v>ΡΥΖΙΡΥΖΙ SAMBA</v>
      </c>
      <c r="B4602" s="4" t="s">
        <v>8697</v>
      </c>
      <c r="C4602" s="5" t="s">
        <v>8702</v>
      </c>
      <c r="D4602" s="6">
        <v>1929.32</v>
      </c>
      <c r="E4602" s="6">
        <v>1033</v>
      </c>
      <c r="F4602" s="7" t="s">
        <v>14</v>
      </c>
      <c r="G4602" s="8" t="s">
        <v>8703</v>
      </c>
      <c r="H4602" s="8" t="s">
        <v>16</v>
      </c>
      <c r="I4602" s="9">
        <v>3702</v>
      </c>
      <c r="J4602" s="10">
        <v>7</v>
      </c>
      <c r="K4602" s="10">
        <v>70003</v>
      </c>
      <c r="L4602" s="3" t="str">
        <f t="shared" si="149"/>
        <v>ΡΥΖΙ</v>
      </c>
    </row>
    <row r="4603" spans="1:12" s="3" customFormat="1" ht="15" customHeight="1" x14ac:dyDescent="0.25">
      <c r="A4603" s="3" t="str">
        <f t="shared" si="148"/>
        <v>ΡΥΖΙΡΥΖΙ GLORIA</v>
      </c>
      <c r="B4603" s="4" t="s">
        <v>8697</v>
      </c>
      <c r="C4603" s="5" t="s">
        <v>8704</v>
      </c>
      <c r="D4603" s="6">
        <v>1929.32</v>
      </c>
      <c r="E4603" s="6">
        <v>1033</v>
      </c>
      <c r="F4603" s="7" t="s">
        <v>14</v>
      </c>
      <c r="G4603" s="8" t="s">
        <v>8705</v>
      </c>
      <c r="H4603" s="8" t="s">
        <v>16</v>
      </c>
      <c r="I4603" s="9">
        <v>3703</v>
      </c>
      <c r="J4603" s="10">
        <v>7</v>
      </c>
      <c r="K4603" s="10">
        <v>70004</v>
      </c>
      <c r="L4603" s="3" t="str">
        <f t="shared" si="149"/>
        <v>ΡΥΖΙ</v>
      </c>
    </row>
    <row r="4604" spans="1:12" s="3" customFormat="1" ht="15" customHeight="1" x14ac:dyDescent="0.25">
      <c r="A4604" s="3" t="str">
        <f t="shared" si="148"/>
        <v>ΡΥΖΙΡΥΖΙ DUCATO</v>
      </c>
      <c r="B4604" s="4" t="s">
        <v>8697</v>
      </c>
      <c r="C4604" s="5" t="s">
        <v>8706</v>
      </c>
      <c r="D4604" s="6">
        <v>1929.32</v>
      </c>
      <c r="E4604" s="6">
        <v>1033</v>
      </c>
      <c r="F4604" s="7" t="s">
        <v>14</v>
      </c>
      <c r="G4604" s="8" t="s">
        <v>8707</v>
      </c>
      <c r="H4604" s="8" t="s">
        <v>16</v>
      </c>
      <c r="I4604" s="9">
        <v>3705</v>
      </c>
      <c r="J4604" s="10">
        <v>7</v>
      </c>
      <c r="K4604" s="10">
        <v>70005</v>
      </c>
      <c r="L4604" s="3" t="str">
        <f t="shared" si="149"/>
        <v>ΡΥΖΙ</v>
      </c>
    </row>
    <row r="4605" spans="1:12" s="3" customFormat="1" ht="15" customHeight="1" x14ac:dyDescent="0.25">
      <c r="A4605" s="3" t="str">
        <f t="shared" si="148"/>
        <v>ΡΥΖΙΡΥΖΙ ERIDANO</v>
      </c>
      <c r="B4605" s="18" t="s">
        <v>8697</v>
      </c>
      <c r="C4605" s="19" t="s">
        <v>8708</v>
      </c>
      <c r="D4605" s="6">
        <v>1929.32</v>
      </c>
      <c r="E4605" s="6">
        <v>1033</v>
      </c>
      <c r="F4605" s="6" t="s">
        <v>14</v>
      </c>
      <c r="G4605" s="8" t="s">
        <v>8709</v>
      </c>
      <c r="H4605" s="8" t="s">
        <v>27</v>
      </c>
      <c r="I4605" s="9">
        <v>4348</v>
      </c>
      <c r="J4605" s="20">
        <v>7</v>
      </c>
      <c r="K4605" s="20">
        <v>70006</v>
      </c>
      <c r="L4605" s="3" t="str">
        <f t="shared" si="149"/>
        <v>ΡΥΖΙ</v>
      </c>
    </row>
    <row r="4606" spans="1:12" s="3" customFormat="1" ht="15" customHeight="1" x14ac:dyDescent="0.25">
      <c r="A4606" s="3" t="str">
        <f t="shared" si="148"/>
        <v>ΡΥΖΙΡΥΖΙ FENICE</v>
      </c>
      <c r="B4606" s="4" t="s">
        <v>8697</v>
      </c>
      <c r="C4606" s="5" t="s">
        <v>8710</v>
      </c>
      <c r="D4606" s="6">
        <v>1929.32</v>
      </c>
      <c r="E4606" s="6">
        <v>1033</v>
      </c>
      <c r="F4606" s="7" t="s">
        <v>14</v>
      </c>
      <c r="G4606" s="8" t="s">
        <v>8711</v>
      </c>
      <c r="H4606" s="8" t="s">
        <v>16</v>
      </c>
      <c r="I4606" s="9">
        <v>3706</v>
      </c>
      <c r="J4606" s="10">
        <v>7</v>
      </c>
      <c r="K4606" s="10">
        <v>70007</v>
      </c>
      <c r="L4606" s="3" t="str">
        <f t="shared" si="149"/>
        <v>ΡΥΖΙ</v>
      </c>
    </row>
    <row r="4607" spans="1:12" s="3" customFormat="1" ht="15" customHeight="1" x14ac:dyDescent="0.25">
      <c r="A4607" s="3" t="str">
        <f t="shared" si="148"/>
        <v>ΡΥΖΙΡΥΖΙ SAGITTARIO</v>
      </c>
      <c r="B4607" s="4" t="s">
        <v>8697</v>
      </c>
      <c r="C4607" s="5" t="s">
        <v>8712</v>
      </c>
      <c r="D4607" s="6">
        <v>1929.32</v>
      </c>
      <c r="E4607" s="6">
        <v>1033</v>
      </c>
      <c r="F4607" s="7" t="s">
        <v>14</v>
      </c>
      <c r="G4607" s="8" t="s">
        <v>8713</v>
      </c>
      <c r="H4607" s="8" t="s">
        <v>16</v>
      </c>
      <c r="I4607" s="9">
        <v>3734</v>
      </c>
      <c r="J4607" s="10">
        <v>7</v>
      </c>
      <c r="K4607" s="10">
        <v>70008</v>
      </c>
      <c r="L4607" s="3" t="str">
        <f t="shared" si="149"/>
        <v>ΡΥΖΙ</v>
      </c>
    </row>
    <row r="4608" spans="1:12" s="3" customFormat="1" ht="15" customHeight="1" x14ac:dyDescent="0.25">
      <c r="A4608" s="3" t="str">
        <f t="shared" si="148"/>
        <v>ΡΥΖΙΡΥΖΙ VOLANO</v>
      </c>
      <c r="B4608" s="4" t="s">
        <v>8697</v>
      </c>
      <c r="C4608" s="5" t="s">
        <v>8714</v>
      </c>
      <c r="D4608" s="6">
        <v>1929.32</v>
      </c>
      <c r="E4608" s="6">
        <v>1033</v>
      </c>
      <c r="F4608" s="7" t="s">
        <v>14</v>
      </c>
      <c r="G4608" s="8" t="s">
        <v>8715</v>
      </c>
      <c r="H4608" s="8" t="s">
        <v>16</v>
      </c>
      <c r="I4608" s="9">
        <v>3726</v>
      </c>
      <c r="J4608" s="10">
        <v>7</v>
      </c>
      <c r="K4608" s="10">
        <v>70009</v>
      </c>
      <c r="L4608" s="3" t="str">
        <f t="shared" si="149"/>
        <v>ΡΥΖΙ</v>
      </c>
    </row>
    <row r="4609" spans="1:12" s="3" customFormat="1" ht="15" customHeight="1" x14ac:dyDescent="0.25">
      <c r="A4609" s="3" t="str">
        <f t="shared" si="148"/>
        <v>ΡΥΖΙΡΥΖΙ BALDO</v>
      </c>
      <c r="B4609" s="4" t="s">
        <v>8697</v>
      </c>
      <c r="C4609" s="5" t="s">
        <v>8716</v>
      </c>
      <c r="D4609" s="6">
        <v>1929.32</v>
      </c>
      <c r="E4609" s="6">
        <v>1033</v>
      </c>
      <c r="F4609" s="7" t="s">
        <v>14</v>
      </c>
      <c r="G4609" s="8" t="s">
        <v>8717</v>
      </c>
      <c r="H4609" s="8" t="s">
        <v>16</v>
      </c>
      <c r="I4609" s="9">
        <v>3727</v>
      </c>
      <c r="J4609" s="10">
        <v>7</v>
      </c>
      <c r="K4609" s="10">
        <v>70010</v>
      </c>
      <c r="L4609" s="3" t="str">
        <f t="shared" si="149"/>
        <v>ΡΥΖΙ</v>
      </c>
    </row>
    <row r="4610" spans="1:12" s="3" customFormat="1" ht="15" customHeight="1" x14ac:dyDescent="0.25">
      <c r="A4610" s="3" t="str">
        <f t="shared" si="148"/>
        <v>ΡΥΖΙΡΥΖΙ GLADIO</v>
      </c>
      <c r="B4610" s="4" t="s">
        <v>8697</v>
      </c>
      <c r="C4610" s="5" t="s">
        <v>8718</v>
      </c>
      <c r="D4610" s="6">
        <v>1929.32</v>
      </c>
      <c r="E4610" s="6">
        <v>1033</v>
      </c>
      <c r="F4610" s="7" t="s">
        <v>14</v>
      </c>
      <c r="G4610" s="8" t="s">
        <v>8719</v>
      </c>
      <c r="H4610" s="8" t="s">
        <v>16</v>
      </c>
      <c r="I4610" s="9">
        <v>3728</v>
      </c>
      <c r="J4610" s="10">
        <v>7</v>
      </c>
      <c r="K4610" s="10">
        <v>70011</v>
      </c>
      <c r="L4610" s="3" t="str">
        <f t="shared" si="149"/>
        <v>ΡΥΖΙ</v>
      </c>
    </row>
    <row r="4611" spans="1:12" s="3" customFormat="1" ht="15" customHeight="1" x14ac:dyDescent="0.25">
      <c r="A4611" s="3" t="str">
        <f t="shared" ref="A4611:A4674" si="150">_xlfn.CONCAT(B4611,C4611)</f>
        <v>ΡΥΖΙΡΥΖΙ SELENIO</v>
      </c>
      <c r="B4611" s="4" t="s">
        <v>8697</v>
      </c>
      <c r="C4611" s="5" t="s">
        <v>8720</v>
      </c>
      <c r="D4611" s="6">
        <v>1929.32</v>
      </c>
      <c r="E4611" s="6">
        <v>1033</v>
      </c>
      <c r="F4611" s="7" t="s">
        <v>14</v>
      </c>
      <c r="G4611" s="8" t="s">
        <v>8721</v>
      </c>
      <c r="H4611" s="8" t="s">
        <v>16</v>
      </c>
      <c r="I4611" s="9">
        <v>3729</v>
      </c>
      <c r="J4611" s="10">
        <v>7</v>
      </c>
      <c r="K4611" s="10">
        <v>70012</v>
      </c>
      <c r="L4611" s="3" t="str">
        <f t="shared" ref="L4611:L4674" si="151">IFERROR(SUBSTITUTE(SUBSTITUTE(SUBSTITUTE(SUBSTITUTE(SUBSTITUTE(B4611, "-", "_"), " ", "_"), ",", ""), "(", ""), ")", ""), B4611)</f>
        <v>ΡΥΖΙ</v>
      </c>
    </row>
    <row r="4612" spans="1:12" s="3" customFormat="1" ht="15" customHeight="1" x14ac:dyDescent="0.25">
      <c r="A4612" s="3" t="str">
        <f t="shared" si="150"/>
        <v>ΡΥΖΙΡΥΖΙ ADONE</v>
      </c>
      <c r="B4612" s="4" t="s">
        <v>8697</v>
      </c>
      <c r="C4612" s="5" t="s">
        <v>8722</v>
      </c>
      <c r="D4612" s="6">
        <v>1929.32</v>
      </c>
      <c r="E4612" s="6">
        <v>1033</v>
      </c>
      <c r="F4612" s="7" t="s">
        <v>14</v>
      </c>
      <c r="G4612" s="8" t="s">
        <v>8723</v>
      </c>
      <c r="H4612" s="8" t="s">
        <v>16</v>
      </c>
      <c r="I4612" s="9">
        <v>3730</v>
      </c>
      <c r="J4612" s="10">
        <v>7</v>
      </c>
      <c r="K4612" s="10">
        <v>70013</v>
      </c>
      <c r="L4612" s="3" t="str">
        <f t="shared" si="151"/>
        <v>ΡΥΖΙ</v>
      </c>
    </row>
    <row r="4613" spans="1:12" s="3" customFormat="1" ht="15" customHeight="1" x14ac:dyDescent="0.25">
      <c r="A4613" s="3" t="str">
        <f t="shared" si="150"/>
        <v>ΡΥΖΙΡΥΖΙ AGANE</v>
      </c>
      <c r="B4613" s="4" t="s">
        <v>8697</v>
      </c>
      <c r="C4613" s="5" t="s">
        <v>8724</v>
      </c>
      <c r="D4613" s="6">
        <v>1929.32</v>
      </c>
      <c r="E4613" s="6">
        <v>1033</v>
      </c>
      <c r="F4613" s="7" t="s">
        <v>14</v>
      </c>
      <c r="G4613" s="8" t="s">
        <v>8725</v>
      </c>
      <c r="H4613" s="8" t="s">
        <v>16</v>
      </c>
      <c r="I4613" s="9">
        <v>3731</v>
      </c>
      <c r="J4613" s="10">
        <v>7</v>
      </c>
      <c r="K4613" s="10">
        <v>70014</v>
      </c>
      <c r="L4613" s="3" t="str">
        <f t="shared" si="151"/>
        <v>ΡΥΖΙ</v>
      </c>
    </row>
    <row r="4614" spans="1:12" s="3" customFormat="1" ht="15" customHeight="1" x14ac:dyDescent="0.25">
      <c r="A4614" s="3" t="str">
        <f t="shared" si="150"/>
        <v>ΡΥΖΙΡΥΖΙ ARCHIMEDE</v>
      </c>
      <c r="B4614" s="4" t="s">
        <v>8697</v>
      </c>
      <c r="C4614" s="5" t="s">
        <v>8726</v>
      </c>
      <c r="D4614" s="6">
        <v>1929.32</v>
      </c>
      <c r="E4614" s="6">
        <v>1033</v>
      </c>
      <c r="F4614" s="7" t="s">
        <v>14</v>
      </c>
      <c r="G4614" s="8" t="s">
        <v>8727</v>
      </c>
      <c r="H4614" s="8" t="s">
        <v>16</v>
      </c>
      <c r="I4614" s="9">
        <v>3742</v>
      </c>
      <c r="J4614" s="10">
        <v>7</v>
      </c>
      <c r="K4614" s="10">
        <v>70015</v>
      </c>
      <c r="L4614" s="3" t="str">
        <f t="shared" si="151"/>
        <v>ΡΥΖΙ</v>
      </c>
    </row>
    <row r="4615" spans="1:12" s="3" customFormat="1" ht="15" customHeight="1" x14ac:dyDescent="0.25">
      <c r="A4615" s="3" t="str">
        <f t="shared" si="150"/>
        <v>ΡΥΖΙΡΥΖΙ ARIANNA CL</v>
      </c>
      <c r="B4615" s="4" t="s">
        <v>8697</v>
      </c>
      <c r="C4615" s="5" t="s">
        <v>8728</v>
      </c>
      <c r="D4615" s="6">
        <v>1929.32</v>
      </c>
      <c r="E4615" s="6">
        <v>1033</v>
      </c>
      <c r="F4615" s="7" t="s">
        <v>14</v>
      </c>
      <c r="G4615" s="8" t="s">
        <v>8729</v>
      </c>
      <c r="H4615" s="8" t="s">
        <v>16</v>
      </c>
      <c r="I4615" s="9">
        <v>3708</v>
      </c>
      <c r="J4615" s="10">
        <v>7</v>
      </c>
      <c r="K4615" s="10">
        <v>70016</v>
      </c>
      <c r="L4615" s="3" t="str">
        <f t="shared" si="151"/>
        <v>ΡΥΖΙ</v>
      </c>
    </row>
    <row r="4616" spans="1:12" s="3" customFormat="1" ht="15" customHeight="1" x14ac:dyDescent="0.25">
      <c r="A4616" s="3" t="str">
        <f t="shared" si="150"/>
        <v>ΡΥΖΙΡΥΖΙ DAVID CL</v>
      </c>
      <c r="B4616" s="4" t="s">
        <v>8697</v>
      </c>
      <c r="C4616" s="5" t="s">
        <v>8730</v>
      </c>
      <c r="D4616" s="6">
        <v>1929.32</v>
      </c>
      <c r="E4616" s="6">
        <v>1033</v>
      </c>
      <c r="F4616" s="7" t="s">
        <v>14</v>
      </c>
      <c r="G4616" s="8" t="s">
        <v>8731</v>
      </c>
      <c r="H4616" s="8" t="s">
        <v>16</v>
      </c>
      <c r="I4616" s="9">
        <v>3733</v>
      </c>
      <c r="J4616" s="10">
        <v>7</v>
      </c>
      <c r="K4616" s="10">
        <v>70017</v>
      </c>
      <c r="L4616" s="3" t="str">
        <f t="shared" si="151"/>
        <v>ΡΥΖΙ</v>
      </c>
    </row>
    <row r="4617" spans="1:12" s="3" customFormat="1" ht="15" customHeight="1" x14ac:dyDescent="0.25">
      <c r="A4617" s="3" t="str">
        <f t="shared" si="150"/>
        <v>ΡΥΖΙΡΥΖΙ EGEO CL</v>
      </c>
      <c r="B4617" s="4" t="s">
        <v>8697</v>
      </c>
      <c r="C4617" s="5" t="s">
        <v>8732</v>
      </c>
      <c r="D4617" s="6">
        <v>1929.32</v>
      </c>
      <c r="E4617" s="6">
        <v>1033</v>
      </c>
      <c r="F4617" s="7" t="s">
        <v>14</v>
      </c>
      <c r="G4617" s="8" t="s">
        <v>8733</v>
      </c>
      <c r="H4617" s="8" t="s">
        <v>16</v>
      </c>
      <c r="I4617" s="9">
        <v>3704</v>
      </c>
      <c r="J4617" s="10">
        <v>7</v>
      </c>
      <c r="K4617" s="10">
        <v>70018</v>
      </c>
      <c r="L4617" s="3" t="str">
        <f t="shared" si="151"/>
        <v>ΡΥΖΙ</v>
      </c>
    </row>
    <row r="4618" spans="1:12" s="3" customFormat="1" ht="15" customHeight="1" x14ac:dyDescent="0.25">
      <c r="A4618" s="3" t="str">
        <f t="shared" si="150"/>
        <v>ΡΥΖΙΡΥΖΙ FILIPPO</v>
      </c>
      <c r="B4618" s="4" t="s">
        <v>8697</v>
      </c>
      <c r="C4618" s="5" t="s">
        <v>8734</v>
      </c>
      <c r="D4618" s="6">
        <v>1929.32</v>
      </c>
      <c r="E4618" s="6">
        <v>1033</v>
      </c>
      <c r="F4618" s="7" t="s">
        <v>14</v>
      </c>
      <c r="G4618" s="8" t="s">
        <v>8735</v>
      </c>
      <c r="H4618" s="8" t="s">
        <v>16</v>
      </c>
      <c r="I4618" s="9">
        <v>3735</v>
      </c>
      <c r="J4618" s="10">
        <v>7</v>
      </c>
      <c r="K4618" s="10">
        <v>70019</v>
      </c>
      <c r="L4618" s="3" t="str">
        <f t="shared" si="151"/>
        <v>ΡΥΖΙ</v>
      </c>
    </row>
    <row r="4619" spans="1:12" s="3" customFormat="1" ht="15" customHeight="1" x14ac:dyDescent="0.25">
      <c r="A4619" s="3" t="str">
        <f t="shared" si="150"/>
        <v>ΡΥΖΙΡΥΖΙ GOLDEN BON</v>
      </c>
      <c r="B4619" s="4" t="s">
        <v>8697</v>
      </c>
      <c r="C4619" s="5" t="s">
        <v>8736</v>
      </c>
      <c r="D4619" s="6">
        <v>1929.32</v>
      </c>
      <c r="E4619" s="6">
        <v>1033</v>
      </c>
      <c r="F4619" s="7" t="s">
        <v>14</v>
      </c>
      <c r="G4619" s="8" t="s">
        <v>8737</v>
      </c>
      <c r="H4619" s="8" t="s">
        <v>16</v>
      </c>
      <c r="I4619" s="9">
        <v>3736</v>
      </c>
      <c r="J4619" s="10">
        <v>7</v>
      </c>
      <c r="K4619" s="10">
        <v>70020</v>
      </c>
      <c r="L4619" s="3" t="str">
        <f t="shared" si="151"/>
        <v>ΡΥΖΙ</v>
      </c>
    </row>
    <row r="4620" spans="1:12" s="3" customFormat="1" ht="15" customHeight="1" x14ac:dyDescent="0.25">
      <c r="A4620" s="3" t="str">
        <f t="shared" si="150"/>
        <v>ΡΥΖΙΡΥΖΙ IRIDE CL</v>
      </c>
      <c r="B4620" s="4" t="s">
        <v>8697</v>
      </c>
      <c r="C4620" s="5" t="s">
        <v>8738</v>
      </c>
      <c r="D4620" s="6">
        <v>1929.32</v>
      </c>
      <c r="E4620" s="6">
        <v>1033</v>
      </c>
      <c r="F4620" s="7" t="s">
        <v>14</v>
      </c>
      <c r="G4620" s="8" t="s">
        <v>8739</v>
      </c>
      <c r="H4620" s="8" t="s">
        <v>16</v>
      </c>
      <c r="I4620" s="9">
        <v>3737</v>
      </c>
      <c r="J4620" s="10">
        <v>7</v>
      </c>
      <c r="K4620" s="10">
        <v>70021</v>
      </c>
      <c r="L4620" s="3" t="str">
        <f t="shared" si="151"/>
        <v>ΡΥΖΙ</v>
      </c>
    </row>
    <row r="4621" spans="1:12" s="3" customFormat="1" ht="15" customHeight="1" x14ac:dyDescent="0.25">
      <c r="A4621" s="3" t="str">
        <f t="shared" si="150"/>
        <v>ΡΥΖΙΡΥΖΙ KRYSTALLINO</v>
      </c>
      <c r="B4621" s="4" t="s">
        <v>8697</v>
      </c>
      <c r="C4621" s="5" t="s">
        <v>8740</v>
      </c>
      <c r="D4621" s="6">
        <v>1929.32</v>
      </c>
      <c r="E4621" s="6">
        <v>1033</v>
      </c>
      <c r="F4621" s="7" t="s">
        <v>14</v>
      </c>
      <c r="G4621" s="8" t="s">
        <v>8741</v>
      </c>
      <c r="H4621" s="8" t="s">
        <v>16</v>
      </c>
      <c r="I4621" s="9">
        <v>3738</v>
      </c>
      <c r="J4621" s="10">
        <v>7</v>
      </c>
      <c r="K4621" s="10">
        <v>70022</v>
      </c>
      <c r="L4621" s="3" t="str">
        <f t="shared" si="151"/>
        <v>ΡΥΖΙ</v>
      </c>
    </row>
    <row r="4622" spans="1:12" s="3" customFormat="1" ht="15" customHeight="1" x14ac:dyDescent="0.25">
      <c r="A4622" s="3" t="str">
        <f t="shared" si="150"/>
        <v>ΡΥΖΙΡΥΖΙ NEMESI CL</v>
      </c>
      <c r="B4622" s="4" t="s">
        <v>8697</v>
      </c>
      <c r="C4622" s="5" t="s">
        <v>8742</v>
      </c>
      <c r="D4622" s="6">
        <v>1929.32</v>
      </c>
      <c r="E4622" s="6">
        <v>1033</v>
      </c>
      <c r="F4622" s="7" t="s">
        <v>14</v>
      </c>
      <c r="G4622" s="8" t="s">
        <v>8743</v>
      </c>
      <c r="H4622" s="8" t="s">
        <v>16</v>
      </c>
      <c r="I4622" s="9">
        <v>3739</v>
      </c>
      <c r="J4622" s="10">
        <v>7</v>
      </c>
      <c r="K4622" s="10">
        <v>70023</v>
      </c>
      <c r="L4622" s="3" t="str">
        <f t="shared" si="151"/>
        <v>ΡΥΖΙ</v>
      </c>
    </row>
    <row r="4623" spans="1:12" s="3" customFormat="1" ht="15" customHeight="1" x14ac:dyDescent="0.25">
      <c r="A4623" s="3" t="str">
        <f t="shared" si="150"/>
        <v>ΡΥΖΙΡΥΖΙ POLLUCE CL</v>
      </c>
      <c r="B4623" s="4" t="s">
        <v>8697</v>
      </c>
      <c r="C4623" s="5" t="s">
        <v>8744</v>
      </c>
      <c r="D4623" s="6">
        <v>1929.32</v>
      </c>
      <c r="E4623" s="6">
        <v>1033</v>
      </c>
      <c r="F4623" s="7" t="s">
        <v>14</v>
      </c>
      <c r="G4623" s="8" t="s">
        <v>8745</v>
      </c>
      <c r="H4623" s="8" t="s">
        <v>16</v>
      </c>
      <c r="I4623" s="9">
        <v>3740</v>
      </c>
      <c r="J4623" s="10">
        <v>7</v>
      </c>
      <c r="K4623" s="10">
        <v>70024</v>
      </c>
      <c r="L4623" s="3" t="str">
        <f t="shared" si="151"/>
        <v>ΡΥΖΙ</v>
      </c>
    </row>
    <row r="4624" spans="1:12" s="3" customFormat="1" ht="15" customHeight="1" x14ac:dyDescent="0.25">
      <c r="A4624" s="3" t="str">
        <f t="shared" si="150"/>
        <v>ΡΥΖΙΡΥΖΙ ZORBA</v>
      </c>
      <c r="B4624" s="4" t="s">
        <v>8697</v>
      </c>
      <c r="C4624" s="5" t="s">
        <v>8746</v>
      </c>
      <c r="D4624" s="6">
        <v>1929.32</v>
      </c>
      <c r="E4624" s="6">
        <v>1033</v>
      </c>
      <c r="F4624" s="7" t="s">
        <v>14</v>
      </c>
      <c r="G4624" s="8" t="s">
        <v>8747</v>
      </c>
      <c r="H4624" s="8" t="s">
        <v>16</v>
      </c>
      <c r="I4624" s="9">
        <v>3741</v>
      </c>
      <c r="J4624" s="10">
        <v>7</v>
      </c>
      <c r="K4624" s="10">
        <v>70025</v>
      </c>
      <c r="L4624" s="3" t="str">
        <f t="shared" si="151"/>
        <v>ΡΥΖΙ</v>
      </c>
    </row>
    <row r="4625" spans="1:12" s="3" customFormat="1" ht="15" customHeight="1" x14ac:dyDescent="0.25">
      <c r="A4625" s="3" t="str">
        <f t="shared" si="150"/>
        <v>ΡΥΖΙΡΥΖΙ LEONIDAS CL</v>
      </c>
      <c r="B4625" s="4" t="s">
        <v>8697</v>
      </c>
      <c r="C4625" s="5" t="s">
        <v>8748</v>
      </c>
      <c r="D4625" s="6">
        <v>1929.32</v>
      </c>
      <c r="E4625" s="6">
        <v>1033</v>
      </c>
      <c r="F4625" s="7" t="s">
        <v>14</v>
      </c>
      <c r="G4625" s="8" t="s">
        <v>8749</v>
      </c>
      <c r="H4625" s="8" t="s">
        <v>16</v>
      </c>
      <c r="I4625" s="9">
        <v>3716</v>
      </c>
      <c r="J4625" s="10">
        <v>7</v>
      </c>
      <c r="K4625" s="10">
        <v>70026</v>
      </c>
      <c r="L4625" s="3" t="str">
        <f t="shared" si="151"/>
        <v>ΡΥΖΙ</v>
      </c>
    </row>
    <row r="4626" spans="1:12" s="3" customFormat="1" ht="15" customHeight="1" x14ac:dyDescent="0.25">
      <c r="A4626" s="3" t="str">
        <f t="shared" si="150"/>
        <v>ΡΥΖΙΡΥΖΙ HISPAMAR</v>
      </c>
      <c r="B4626" s="4" t="s">
        <v>8697</v>
      </c>
      <c r="C4626" s="5" t="s">
        <v>8750</v>
      </c>
      <c r="D4626" s="6">
        <v>1929.32</v>
      </c>
      <c r="E4626" s="6">
        <v>1033</v>
      </c>
      <c r="F4626" s="7" t="s">
        <v>14</v>
      </c>
      <c r="G4626" s="8" t="s">
        <v>8751</v>
      </c>
      <c r="H4626" s="8" t="s">
        <v>16</v>
      </c>
      <c r="I4626" s="9">
        <v>3725</v>
      </c>
      <c r="J4626" s="10">
        <v>7</v>
      </c>
      <c r="K4626" s="10">
        <v>70027</v>
      </c>
      <c r="L4626" s="3" t="str">
        <f t="shared" si="151"/>
        <v>ΡΥΖΙ</v>
      </c>
    </row>
    <row r="4627" spans="1:12" s="3" customFormat="1" ht="15" customHeight="1" x14ac:dyDescent="0.25">
      <c r="A4627" s="3" t="str">
        <f t="shared" si="150"/>
        <v>ΡΥΖΙΡΥΖΙ SIRIO CL</v>
      </c>
      <c r="B4627" s="4" t="s">
        <v>8697</v>
      </c>
      <c r="C4627" s="5" t="s">
        <v>8752</v>
      </c>
      <c r="D4627" s="6">
        <v>1929.32</v>
      </c>
      <c r="E4627" s="6">
        <v>1033</v>
      </c>
      <c r="F4627" s="7" t="s">
        <v>14</v>
      </c>
      <c r="G4627" s="8" t="s">
        <v>8753</v>
      </c>
      <c r="H4627" s="8" t="s">
        <v>27</v>
      </c>
      <c r="I4627" s="9">
        <v>3714</v>
      </c>
      <c r="J4627" s="10">
        <v>7</v>
      </c>
      <c r="K4627" s="10">
        <v>70028</v>
      </c>
      <c r="L4627" s="3" t="str">
        <f t="shared" si="151"/>
        <v>ΡΥΖΙ</v>
      </c>
    </row>
    <row r="4628" spans="1:12" s="3" customFormat="1" ht="15" customHeight="1" x14ac:dyDescent="0.25">
      <c r="A4628" s="3" t="str">
        <f t="shared" si="150"/>
        <v>ΡΥΖΙΡΥΖΙ VASCO</v>
      </c>
      <c r="B4628" s="4" t="s">
        <v>8697</v>
      </c>
      <c r="C4628" s="5" t="s">
        <v>8754</v>
      </c>
      <c r="D4628" s="6">
        <v>1929.32</v>
      </c>
      <c r="E4628" s="6">
        <v>1033</v>
      </c>
      <c r="F4628" s="7" t="s">
        <v>14</v>
      </c>
      <c r="G4628" s="8" t="s">
        <v>8755</v>
      </c>
      <c r="H4628" s="8" t="s">
        <v>16</v>
      </c>
      <c r="I4628" s="9">
        <v>3755</v>
      </c>
      <c r="J4628" s="10">
        <v>7</v>
      </c>
      <c r="K4628" s="10">
        <v>70029</v>
      </c>
      <c r="L4628" s="3" t="str">
        <f t="shared" si="151"/>
        <v>ΡΥΖΙ</v>
      </c>
    </row>
    <row r="4629" spans="1:12" s="3" customFormat="1" ht="15" customHeight="1" x14ac:dyDescent="0.25">
      <c r="A4629" s="3" t="str">
        <f t="shared" si="150"/>
        <v>ΡΥΖΙΡΥΖΙ MARE CL</v>
      </c>
      <c r="B4629" s="4" t="s">
        <v>8697</v>
      </c>
      <c r="C4629" s="5" t="s">
        <v>8756</v>
      </c>
      <c r="D4629" s="6">
        <v>1929.32</v>
      </c>
      <c r="E4629" s="6">
        <v>1033</v>
      </c>
      <c r="F4629" s="7" t="s">
        <v>14</v>
      </c>
      <c r="G4629" s="8" t="s">
        <v>8757</v>
      </c>
      <c r="H4629" s="8" t="s">
        <v>16</v>
      </c>
      <c r="I4629" s="9">
        <v>3732</v>
      </c>
      <c r="J4629" s="10">
        <v>7</v>
      </c>
      <c r="K4629" s="10">
        <v>70030</v>
      </c>
      <c r="L4629" s="3" t="str">
        <f t="shared" si="151"/>
        <v>ΡΥΖΙ</v>
      </c>
    </row>
    <row r="4630" spans="1:12" s="3" customFormat="1" ht="15" customHeight="1" x14ac:dyDescent="0.25">
      <c r="A4630" s="3" t="str">
        <f t="shared" si="150"/>
        <v>ΡΥΖΙΡΥΖΙ BARONE CL</v>
      </c>
      <c r="B4630" s="4" t="s">
        <v>8697</v>
      </c>
      <c r="C4630" s="5" t="s">
        <v>8758</v>
      </c>
      <c r="D4630" s="6">
        <v>1929.32</v>
      </c>
      <c r="E4630" s="6">
        <v>1033</v>
      </c>
      <c r="F4630" s="7" t="s">
        <v>14</v>
      </c>
      <c r="G4630" s="8" t="s">
        <v>8759</v>
      </c>
      <c r="H4630" s="8" t="s">
        <v>16</v>
      </c>
      <c r="I4630" s="9">
        <v>3709</v>
      </c>
      <c r="J4630" s="10">
        <v>7</v>
      </c>
      <c r="K4630" s="10">
        <v>70031</v>
      </c>
      <c r="L4630" s="3" t="str">
        <f t="shared" si="151"/>
        <v>ΡΥΖΙ</v>
      </c>
    </row>
    <row r="4631" spans="1:12" s="3" customFormat="1" ht="15" customHeight="1" x14ac:dyDescent="0.25">
      <c r="A4631" s="3" t="str">
        <f t="shared" si="150"/>
        <v>ΡΥΖΙΡΥΖΙ MECO</v>
      </c>
      <c r="B4631" s="4" t="s">
        <v>8697</v>
      </c>
      <c r="C4631" s="5" t="s">
        <v>8760</v>
      </c>
      <c r="D4631" s="6">
        <v>1929.32</v>
      </c>
      <c r="E4631" s="6">
        <v>1033</v>
      </c>
      <c r="F4631" s="7" t="s">
        <v>14</v>
      </c>
      <c r="G4631" s="8" t="s">
        <v>8761</v>
      </c>
      <c r="H4631" s="8" t="s">
        <v>16</v>
      </c>
      <c r="I4631" s="9">
        <v>3710</v>
      </c>
      <c r="J4631" s="10">
        <v>7</v>
      </c>
      <c r="K4631" s="10">
        <v>70032</v>
      </c>
      <c r="L4631" s="3" t="str">
        <f t="shared" si="151"/>
        <v>ΡΥΖΙ</v>
      </c>
    </row>
    <row r="4632" spans="1:12" s="3" customFormat="1" ht="15" customHeight="1" x14ac:dyDescent="0.25">
      <c r="A4632" s="3" t="str">
        <f t="shared" si="150"/>
        <v>ΡΥΖΙΡΥΖΙ S. ANDREA</v>
      </c>
      <c r="B4632" s="4" t="s">
        <v>8697</v>
      </c>
      <c r="C4632" s="5" t="s">
        <v>8762</v>
      </c>
      <c r="D4632" s="6">
        <v>1929.32</v>
      </c>
      <c r="E4632" s="6">
        <v>1033</v>
      </c>
      <c r="F4632" s="7" t="s">
        <v>14</v>
      </c>
      <c r="G4632" s="8" t="s">
        <v>8763</v>
      </c>
      <c r="H4632" s="8" t="s">
        <v>16</v>
      </c>
      <c r="I4632" s="9">
        <v>3711</v>
      </c>
      <c r="J4632" s="10">
        <v>7</v>
      </c>
      <c r="K4632" s="10">
        <v>70033</v>
      </c>
      <c r="L4632" s="3" t="str">
        <f t="shared" si="151"/>
        <v>ΡΥΖΙ</v>
      </c>
    </row>
    <row r="4633" spans="1:12" s="3" customFormat="1" ht="15" customHeight="1" x14ac:dyDescent="0.25">
      <c r="A4633" s="3" t="str">
        <f t="shared" si="150"/>
        <v>ΡΥΖΙΡΥΖΙ VENERE</v>
      </c>
      <c r="B4633" s="4" t="s">
        <v>8697</v>
      </c>
      <c r="C4633" s="5" t="s">
        <v>8764</v>
      </c>
      <c r="D4633" s="6">
        <v>1929.32</v>
      </c>
      <c r="E4633" s="6">
        <v>1033</v>
      </c>
      <c r="F4633" s="7" t="s">
        <v>14</v>
      </c>
      <c r="G4633" s="8" t="s">
        <v>8765</v>
      </c>
      <c r="H4633" s="8" t="s">
        <v>16</v>
      </c>
      <c r="I4633" s="9">
        <v>3712</v>
      </c>
      <c r="J4633" s="10">
        <v>7</v>
      </c>
      <c r="K4633" s="10">
        <v>70034</v>
      </c>
      <c r="L4633" s="3" t="str">
        <f t="shared" si="151"/>
        <v>ΡΥΖΙ</v>
      </c>
    </row>
    <row r="4634" spans="1:12" s="3" customFormat="1" ht="15" customHeight="1" x14ac:dyDescent="0.25">
      <c r="A4634" s="3" t="str">
        <f t="shared" si="150"/>
        <v>ΡΥΖΙΡΥΖΙ CL26</v>
      </c>
      <c r="B4634" s="4" t="s">
        <v>8697</v>
      </c>
      <c r="C4634" s="5" t="s">
        <v>8766</v>
      </c>
      <c r="D4634" s="6">
        <v>1929.32</v>
      </c>
      <c r="E4634" s="6">
        <v>1033</v>
      </c>
      <c r="F4634" s="7" t="s">
        <v>14</v>
      </c>
      <c r="G4634" s="8" t="s">
        <v>8767</v>
      </c>
      <c r="H4634" s="8" t="s">
        <v>16</v>
      </c>
      <c r="I4634" s="9">
        <v>3713</v>
      </c>
      <c r="J4634" s="10">
        <v>7</v>
      </c>
      <c r="K4634" s="10">
        <v>70035</v>
      </c>
      <c r="L4634" s="3" t="str">
        <f t="shared" si="151"/>
        <v>ΡΥΖΙ</v>
      </c>
    </row>
    <row r="4635" spans="1:12" s="3" customFormat="1" ht="15" customHeight="1" x14ac:dyDescent="0.25">
      <c r="A4635" s="3" t="str">
        <f t="shared" si="150"/>
        <v>ΡΥΖΙΡΥΖΙ CL28</v>
      </c>
      <c r="B4635" s="4" t="s">
        <v>8697</v>
      </c>
      <c r="C4635" s="5" t="s">
        <v>8768</v>
      </c>
      <c r="D4635" s="6">
        <v>1929.32</v>
      </c>
      <c r="E4635" s="6">
        <v>1033</v>
      </c>
      <c r="F4635" s="7" t="s">
        <v>14</v>
      </c>
      <c r="G4635" s="8" t="s">
        <v>8769</v>
      </c>
      <c r="H4635" s="8" t="s">
        <v>16</v>
      </c>
      <c r="I4635" s="9">
        <v>3724</v>
      </c>
      <c r="J4635" s="10">
        <v>7</v>
      </c>
      <c r="K4635" s="10">
        <v>70036</v>
      </c>
      <c r="L4635" s="3" t="str">
        <f t="shared" si="151"/>
        <v>ΡΥΖΙ</v>
      </c>
    </row>
    <row r="4636" spans="1:12" s="3" customFormat="1" ht="15" customHeight="1" x14ac:dyDescent="0.25">
      <c r="A4636" s="3" t="str">
        <f t="shared" si="150"/>
        <v>ΡΥΖΙΡΥΖΙ CL33</v>
      </c>
      <c r="B4636" s="4" t="s">
        <v>8697</v>
      </c>
      <c r="C4636" s="5" t="s">
        <v>8770</v>
      </c>
      <c r="D4636" s="6">
        <v>1929.32</v>
      </c>
      <c r="E4636" s="6">
        <v>1033</v>
      </c>
      <c r="F4636" s="7" t="s">
        <v>14</v>
      </c>
      <c r="G4636" s="8" t="s">
        <v>8771</v>
      </c>
      <c r="H4636" s="8" t="s">
        <v>16</v>
      </c>
      <c r="I4636" s="9">
        <v>3715</v>
      </c>
      <c r="J4636" s="10">
        <v>7</v>
      </c>
      <c r="K4636" s="10">
        <v>70037</v>
      </c>
      <c r="L4636" s="3" t="str">
        <f t="shared" si="151"/>
        <v>ΡΥΖΙ</v>
      </c>
    </row>
    <row r="4637" spans="1:12" s="3" customFormat="1" ht="15" customHeight="1" x14ac:dyDescent="0.25">
      <c r="A4637" s="3" t="str">
        <f t="shared" si="150"/>
        <v>ΡΥΖΙΡΥΖΙ RIBE</v>
      </c>
      <c r="B4637" s="4" t="s">
        <v>8697</v>
      </c>
      <c r="C4637" s="5" t="s">
        <v>8772</v>
      </c>
      <c r="D4637" s="6">
        <v>1929.32</v>
      </c>
      <c r="E4637" s="6">
        <v>1033</v>
      </c>
      <c r="F4637" s="7" t="s">
        <v>14</v>
      </c>
      <c r="G4637" s="8" t="s">
        <v>8773</v>
      </c>
      <c r="H4637" s="8" t="s">
        <v>16</v>
      </c>
      <c r="I4637" s="9">
        <v>3707</v>
      </c>
      <c r="J4637" s="10">
        <v>7</v>
      </c>
      <c r="K4637" s="10">
        <v>70038</v>
      </c>
      <c r="L4637" s="3" t="str">
        <f t="shared" si="151"/>
        <v>ΡΥΖΙ</v>
      </c>
    </row>
    <row r="4638" spans="1:12" s="3" customFormat="1" ht="15" customHeight="1" x14ac:dyDescent="0.25">
      <c r="A4638" s="3" t="str">
        <f t="shared" si="150"/>
        <v>ΡΥΖΙΡΥΖΙ KIKKO</v>
      </c>
      <c r="B4638" s="4" t="s">
        <v>8697</v>
      </c>
      <c r="C4638" s="5" t="s">
        <v>8774</v>
      </c>
      <c r="D4638" s="6">
        <v>1929.32</v>
      </c>
      <c r="E4638" s="6">
        <v>1033</v>
      </c>
      <c r="F4638" s="7" t="s">
        <v>14</v>
      </c>
      <c r="G4638" s="8" t="s">
        <v>8775</v>
      </c>
      <c r="H4638" s="8" t="s">
        <v>16</v>
      </c>
      <c r="I4638" s="9">
        <v>3717</v>
      </c>
      <c r="J4638" s="10">
        <v>7</v>
      </c>
      <c r="K4638" s="10">
        <v>70039</v>
      </c>
      <c r="L4638" s="3" t="str">
        <f t="shared" si="151"/>
        <v>ΡΥΖΙ</v>
      </c>
    </row>
    <row r="4639" spans="1:12" s="3" customFormat="1" ht="15" customHeight="1" x14ac:dyDescent="0.25">
      <c r="A4639" s="3" t="str">
        <f t="shared" si="150"/>
        <v>ΡΥΖΙΡΥΖΙ CL 111</v>
      </c>
      <c r="B4639" s="4" t="s">
        <v>8697</v>
      </c>
      <c r="C4639" s="5" t="s">
        <v>8776</v>
      </c>
      <c r="D4639" s="6">
        <v>1929.32</v>
      </c>
      <c r="E4639" s="6">
        <v>1033</v>
      </c>
      <c r="F4639" s="7" t="s">
        <v>14</v>
      </c>
      <c r="G4639" s="8" t="s">
        <v>8777</v>
      </c>
      <c r="H4639" s="8" t="s">
        <v>16</v>
      </c>
      <c r="I4639" s="9">
        <v>3718</v>
      </c>
      <c r="J4639" s="10">
        <v>7</v>
      </c>
      <c r="K4639" s="10">
        <v>70040</v>
      </c>
      <c r="L4639" s="3" t="str">
        <f t="shared" si="151"/>
        <v>ΡΥΖΙ</v>
      </c>
    </row>
    <row r="4640" spans="1:12" s="3" customFormat="1" ht="15" customHeight="1" x14ac:dyDescent="0.25">
      <c r="A4640" s="3" t="str">
        <f t="shared" si="150"/>
        <v>ΡΥΖΙΡΥΖΙ LIMPERATORE</v>
      </c>
      <c r="B4640" s="4" t="s">
        <v>8697</v>
      </c>
      <c r="C4640" s="5" t="s">
        <v>8778</v>
      </c>
      <c r="D4640" s="6">
        <v>1929.32</v>
      </c>
      <c r="E4640" s="6">
        <v>1033</v>
      </c>
      <c r="F4640" s="7" t="s">
        <v>14</v>
      </c>
      <c r="G4640" s="8" t="s">
        <v>8779</v>
      </c>
      <c r="H4640" s="8" t="s">
        <v>16</v>
      </c>
      <c r="I4640" s="9">
        <v>3719</v>
      </c>
      <c r="J4640" s="10">
        <v>7</v>
      </c>
      <c r="K4640" s="10">
        <v>70041</v>
      </c>
      <c r="L4640" s="3" t="str">
        <f t="shared" si="151"/>
        <v>ΡΥΖΙ</v>
      </c>
    </row>
    <row r="4641" spans="1:12" s="3" customFormat="1" ht="15" customHeight="1" x14ac:dyDescent="0.25">
      <c r="A4641" s="3" t="str">
        <f t="shared" si="150"/>
        <v>ΡΥΖΙΡΥΖΙ LEONARDO</v>
      </c>
      <c r="B4641" s="4" t="s">
        <v>8697</v>
      </c>
      <c r="C4641" s="5" t="s">
        <v>8780</v>
      </c>
      <c r="D4641" s="6">
        <v>1929.32</v>
      </c>
      <c r="E4641" s="6">
        <v>1033</v>
      </c>
      <c r="F4641" s="7" t="s">
        <v>14</v>
      </c>
      <c r="G4641" s="8" t="s">
        <v>8781</v>
      </c>
      <c r="H4641" s="8" t="s">
        <v>16</v>
      </c>
      <c r="I4641" s="9">
        <v>3720</v>
      </c>
      <c r="J4641" s="10">
        <v>7</v>
      </c>
      <c r="K4641" s="10">
        <v>70042</v>
      </c>
      <c r="L4641" s="3" t="str">
        <f t="shared" si="151"/>
        <v>ΡΥΖΙ</v>
      </c>
    </row>
    <row r="4642" spans="1:12" s="3" customFormat="1" ht="15" customHeight="1" x14ac:dyDescent="0.25">
      <c r="A4642" s="3" t="str">
        <f t="shared" si="150"/>
        <v>ΡΥΖΙΡΥΖΙ ALLEGRO</v>
      </c>
      <c r="B4642" s="4" t="s">
        <v>8697</v>
      </c>
      <c r="C4642" s="5" t="s">
        <v>8782</v>
      </c>
      <c r="D4642" s="6">
        <v>1929.32</v>
      </c>
      <c r="E4642" s="6">
        <v>1033</v>
      </c>
      <c r="F4642" s="7" t="s">
        <v>14</v>
      </c>
      <c r="G4642" s="8" t="s">
        <v>8783</v>
      </c>
      <c r="H4642" s="8" t="s">
        <v>16</v>
      </c>
      <c r="I4642" s="9">
        <v>3721</v>
      </c>
      <c r="J4642" s="10">
        <v>7</v>
      </c>
      <c r="K4642" s="10">
        <v>70043</v>
      </c>
      <c r="L4642" s="3" t="str">
        <f t="shared" si="151"/>
        <v>ΡΥΖΙ</v>
      </c>
    </row>
    <row r="4643" spans="1:12" s="3" customFormat="1" ht="15" customHeight="1" x14ac:dyDescent="0.25">
      <c r="A4643" s="3" t="str">
        <f t="shared" si="150"/>
        <v>ΡΥΖΙΡΥΖΙ CERERE</v>
      </c>
      <c r="B4643" s="4" t="s">
        <v>8697</v>
      </c>
      <c r="C4643" s="5" t="s">
        <v>8784</v>
      </c>
      <c r="D4643" s="6">
        <v>1929.32</v>
      </c>
      <c r="E4643" s="6">
        <v>1033</v>
      </c>
      <c r="F4643" s="7" t="s">
        <v>14</v>
      </c>
      <c r="G4643" s="8" t="s">
        <v>8785</v>
      </c>
      <c r="H4643" s="8" t="s">
        <v>27</v>
      </c>
      <c r="I4643" s="9">
        <v>3722</v>
      </c>
      <c r="J4643" s="10">
        <v>7</v>
      </c>
      <c r="K4643" s="10">
        <v>70044</v>
      </c>
      <c r="L4643" s="3" t="str">
        <f t="shared" si="151"/>
        <v>ΡΥΖΙ</v>
      </c>
    </row>
    <row r="4644" spans="1:12" s="3" customFormat="1" ht="15" customHeight="1" x14ac:dyDescent="0.25">
      <c r="A4644" s="3" t="str">
        <f t="shared" si="150"/>
        <v>ΡΥΖΙΡΥΖΙ LASER</v>
      </c>
      <c r="B4644" s="4" t="s">
        <v>8697</v>
      </c>
      <c r="C4644" s="5" t="s">
        <v>8786</v>
      </c>
      <c r="D4644" s="6">
        <v>1929.32</v>
      </c>
      <c r="E4644" s="6">
        <v>1033</v>
      </c>
      <c r="F4644" s="7" t="s">
        <v>14</v>
      </c>
      <c r="G4644" s="8" t="s">
        <v>8787</v>
      </c>
      <c r="H4644" s="8" t="s">
        <v>16</v>
      </c>
      <c r="I4644" s="9">
        <v>3723</v>
      </c>
      <c r="J4644" s="10">
        <v>7</v>
      </c>
      <c r="K4644" s="10">
        <v>70045</v>
      </c>
      <c r="L4644" s="3" t="str">
        <f t="shared" si="151"/>
        <v>ΡΥΖΙ</v>
      </c>
    </row>
    <row r="4645" spans="1:12" s="3" customFormat="1" ht="15" customHeight="1" x14ac:dyDescent="0.25">
      <c r="A4645" s="3" t="str">
        <f t="shared" si="150"/>
        <v>ΡΥΖΙΡΥΖΙ MERIDIO</v>
      </c>
      <c r="B4645" s="21" t="s">
        <v>8697</v>
      </c>
      <c r="C4645" s="22" t="s">
        <v>8788</v>
      </c>
      <c r="D4645" s="6">
        <v>1929.32</v>
      </c>
      <c r="E4645" s="6">
        <v>1033</v>
      </c>
      <c r="F4645" s="11" t="s">
        <v>14</v>
      </c>
      <c r="G4645" s="8" t="s">
        <v>8789</v>
      </c>
      <c r="H4645" s="8" t="s">
        <v>16</v>
      </c>
      <c r="I4645" s="9">
        <v>5313</v>
      </c>
      <c r="J4645" s="16">
        <v>7</v>
      </c>
      <c r="K4645" s="16">
        <v>70046</v>
      </c>
      <c r="L4645" s="3" t="str">
        <f t="shared" si="151"/>
        <v>ΡΥΖΙ</v>
      </c>
    </row>
    <row r="4646" spans="1:12" s="3" customFormat="1" ht="15" customHeight="1" x14ac:dyDescent="0.25">
      <c r="A4646" s="3" t="str">
        <f t="shared" si="150"/>
        <v>ΡΥΖΙΡΥΖΙ OPALE</v>
      </c>
      <c r="B4646" s="21" t="s">
        <v>8697</v>
      </c>
      <c r="C4646" s="22" t="s">
        <v>8790</v>
      </c>
      <c r="D4646" s="6">
        <v>1929.32</v>
      </c>
      <c r="E4646" s="6">
        <v>1033</v>
      </c>
      <c r="F4646" s="6" t="s">
        <v>14</v>
      </c>
      <c r="G4646" s="8" t="s">
        <v>8791</v>
      </c>
      <c r="H4646" s="8" t="s">
        <v>16</v>
      </c>
      <c r="I4646" s="9">
        <v>5314</v>
      </c>
      <c r="J4646" s="16">
        <v>7</v>
      </c>
      <c r="K4646" s="16">
        <v>70047</v>
      </c>
      <c r="L4646" s="3" t="str">
        <f t="shared" si="151"/>
        <v>ΡΥΖΙ</v>
      </c>
    </row>
    <row r="4647" spans="1:12" s="3" customFormat="1" ht="15" customHeight="1" x14ac:dyDescent="0.25">
      <c r="A4647" s="3" t="str">
        <f t="shared" si="150"/>
        <v>ΡΥΖΙΡΥΖΙ CENTAURO</v>
      </c>
      <c r="B4647" s="21" t="s">
        <v>8697</v>
      </c>
      <c r="C4647" s="22" t="s">
        <v>8792</v>
      </c>
      <c r="D4647" s="6">
        <v>1929.32</v>
      </c>
      <c r="E4647" s="6">
        <v>1033</v>
      </c>
      <c r="F4647" s="6" t="s">
        <v>14</v>
      </c>
      <c r="G4647" s="8" t="s">
        <v>8793</v>
      </c>
      <c r="H4647" s="8" t="s">
        <v>16</v>
      </c>
      <c r="I4647" s="9">
        <v>5315</v>
      </c>
      <c r="J4647" s="16">
        <v>7</v>
      </c>
      <c r="K4647" s="16">
        <v>70048</v>
      </c>
      <c r="L4647" s="3" t="str">
        <f t="shared" si="151"/>
        <v>ΡΥΖΙ</v>
      </c>
    </row>
    <row r="4648" spans="1:12" s="3" customFormat="1" ht="15" customHeight="1" x14ac:dyDescent="0.25">
      <c r="A4648" s="3" t="str">
        <f t="shared" si="150"/>
        <v>ΡΥΖΙΡΥΖΙ CL388</v>
      </c>
      <c r="B4648" s="21" t="s">
        <v>8697</v>
      </c>
      <c r="C4648" s="22" t="s">
        <v>8794</v>
      </c>
      <c r="D4648" s="6">
        <v>1929.32</v>
      </c>
      <c r="E4648" s="6">
        <v>1033</v>
      </c>
      <c r="F4648" s="6" t="s">
        <v>14</v>
      </c>
      <c r="G4648" s="8" t="s">
        <v>8795</v>
      </c>
      <c r="H4648" s="8" t="s">
        <v>16</v>
      </c>
      <c r="I4648" s="9">
        <v>5316</v>
      </c>
      <c r="J4648" s="16">
        <v>7</v>
      </c>
      <c r="K4648" s="16">
        <v>70049</v>
      </c>
      <c r="L4648" s="3" t="str">
        <f t="shared" si="151"/>
        <v>ΡΥΖΙ</v>
      </c>
    </row>
    <row r="4649" spans="1:12" s="3" customFormat="1" ht="15" customHeight="1" x14ac:dyDescent="0.25">
      <c r="A4649" s="3" t="str">
        <f t="shared" si="150"/>
        <v>ΡΥΖΙΡΥΖΙ CORIMBO</v>
      </c>
      <c r="B4649" s="21" t="s">
        <v>8697</v>
      </c>
      <c r="C4649" s="22" t="s">
        <v>8796</v>
      </c>
      <c r="D4649" s="6">
        <v>1929.32</v>
      </c>
      <c r="E4649" s="6">
        <v>1033</v>
      </c>
      <c r="F4649" s="6" t="s">
        <v>14</v>
      </c>
      <c r="G4649" s="8" t="s">
        <v>8797</v>
      </c>
      <c r="H4649" s="8" t="s">
        <v>16</v>
      </c>
      <c r="I4649" s="9">
        <v>5317</v>
      </c>
      <c r="J4649" s="16">
        <v>7</v>
      </c>
      <c r="K4649" s="16">
        <v>70050</v>
      </c>
      <c r="L4649" s="3" t="str">
        <f t="shared" si="151"/>
        <v>ΡΥΖΙ</v>
      </c>
    </row>
    <row r="4650" spans="1:12" s="3" customFormat="1" ht="15" customHeight="1" x14ac:dyDescent="0.25">
      <c r="A4650" s="3" t="str">
        <f t="shared" si="150"/>
        <v>ΡΥΖΙΡΥΖΙ APOLLO</v>
      </c>
      <c r="B4650" s="23" t="s">
        <v>8697</v>
      </c>
      <c r="C4650" s="24" t="s">
        <v>8798</v>
      </c>
      <c r="D4650" s="6">
        <v>1929.32</v>
      </c>
      <c r="E4650" s="6">
        <v>1033</v>
      </c>
      <c r="F4650" s="29" t="s">
        <v>14</v>
      </c>
      <c r="G4650" s="8" t="s">
        <v>8799</v>
      </c>
      <c r="H4650" s="8" t="s">
        <v>16</v>
      </c>
      <c r="I4650" s="9">
        <v>5538</v>
      </c>
      <c r="J4650" s="26">
        <v>7</v>
      </c>
      <c r="K4650" s="27">
        <v>70051</v>
      </c>
      <c r="L4650" s="3" t="str">
        <f t="shared" si="151"/>
        <v>ΡΥΖΙ</v>
      </c>
    </row>
    <row r="4651" spans="1:12" s="3" customFormat="1" ht="15" customHeight="1" x14ac:dyDescent="0.25">
      <c r="A4651" s="3" t="str">
        <f t="shared" si="150"/>
        <v>ΡΥΖΙΡΥΖΙ UNICO</v>
      </c>
      <c r="B4651" s="23" t="s">
        <v>8697</v>
      </c>
      <c r="C4651" s="24" t="s">
        <v>8800</v>
      </c>
      <c r="D4651" s="6">
        <v>1929.32</v>
      </c>
      <c r="E4651" s="6">
        <v>1033</v>
      </c>
      <c r="F4651" s="29" t="s">
        <v>14</v>
      </c>
      <c r="G4651" s="8" t="s">
        <v>8801</v>
      </c>
      <c r="H4651" s="8" t="s">
        <v>16</v>
      </c>
      <c r="I4651" s="9">
        <v>5539</v>
      </c>
      <c r="J4651" s="26">
        <v>7</v>
      </c>
      <c r="K4651" s="27">
        <v>70052</v>
      </c>
      <c r="L4651" s="3" t="str">
        <f t="shared" si="151"/>
        <v>ΡΥΖΙ</v>
      </c>
    </row>
    <row r="4652" spans="1:12" s="3" customFormat="1" ht="15" customHeight="1" x14ac:dyDescent="0.25">
      <c r="A4652" s="3" t="str">
        <f t="shared" si="150"/>
        <v>ΡΥΖΙΡΥΖΙ BORANDOTTO</v>
      </c>
      <c r="B4652" s="23" t="s">
        <v>8697</v>
      </c>
      <c r="C4652" s="24" t="s">
        <v>8802</v>
      </c>
      <c r="D4652" s="6">
        <v>1929.32</v>
      </c>
      <c r="E4652" s="6">
        <v>1033</v>
      </c>
      <c r="F4652" s="29" t="s">
        <v>14</v>
      </c>
      <c r="G4652" s="8" t="s">
        <v>8803</v>
      </c>
      <c r="H4652" s="8" t="s">
        <v>16</v>
      </c>
      <c r="I4652" s="9">
        <v>5540</v>
      </c>
      <c r="J4652" s="26">
        <v>7</v>
      </c>
      <c r="K4652" s="27">
        <v>70053</v>
      </c>
      <c r="L4652" s="3" t="str">
        <f t="shared" si="151"/>
        <v>ΡΥΖΙ</v>
      </c>
    </row>
    <row r="4653" spans="1:12" s="3" customFormat="1" ht="15" customHeight="1" x14ac:dyDescent="0.25">
      <c r="A4653" s="3" t="str">
        <f t="shared" si="150"/>
        <v>ΡΥΖΙΡΥΖΙ PVL024</v>
      </c>
      <c r="B4653" s="23" t="s">
        <v>8697</v>
      </c>
      <c r="C4653" s="24" t="s">
        <v>8804</v>
      </c>
      <c r="D4653" s="6">
        <v>1929.32</v>
      </c>
      <c r="E4653" s="6">
        <v>1033</v>
      </c>
      <c r="F4653" s="29" t="s">
        <v>14</v>
      </c>
      <c r="G4653" s="8" t="s">
        <v>8805</v>
      </c>
      <c r="H4653" s="8" t="s">
        <v>16</v>
      </c>
      <c r="I4653" s="9">
        <v>5541</v>
      </c>
      <c r="J4653" s="26">
        <v>7</v>
      </c>
      <c r="K4653" s="27">
        <v>70054</v>
      </c>
      <c r="L4653" s="3" t="str">
        <f t="shared" si="151"/>
        <v>ΡΥΖΙ</v>
      </c>
    </row>
    <row r="4654" spans="1:12" s="3" customFormat="1" ht="15" customHeight="1" x14ac:dyDescent="0.25">
      <c r="A4654" s="3" t="str">
        <f t="shared" si="150"/>
        <v>ΡΥΖΙΡΥΖΙ CL35</v>
      </c>
      <c r="B4654" s="23" t="s">
        <v>8697</v>
      </c>
      <c r="C4654" s="24" t="s">
        <v>8806</v>
      </c>
      <c r="D4654" s="6">
        <v>1929.32</v>
      </c>
      <c r="E4654" s="6">
        <v>1033</v>
      </c>
      <c r="F4654" s="29" t="s">
        <v>14</v>
      </c>
      <c r="G4654" s="8" t="s">
        <v>8807</v>
      </c>
      <c r="H4654" s="8" t="s">
        <v>16</v>
      </c>
      <c r="I4654" s="9">
        <v>5542</v>
      </c>
      <c r="J4654" s="26">
        <v>7</v>
      </c>
      <c r="K4654" s="27">
        <v>70055</v>
      </c>
      <c r="L4654" s="3" t="str">
        <f t="shared" si="151"/>
        <v>ΡΥΖΙ</v>
      </c>
    </row>
    <row r="4655" spans="1:12" s="3" customFormat="1" ht="15" customHeight="1" x14ac:dyDescent="0.25">
      <c r="A4655" s="3" t="str">
        <f t="shared" si="150"/>
        <v>ΡΥΖΙΡΥΖΙ EDISON</v>
      </c>
      <c r="B4655" s="23" t="s">
        <v>8697</v>
      </c>
      <c r="C4655" s="24" t="s">
        <v>8808</v>
      </c>
      <c r="D4655" s="6">
        <v>1929.32</v>
      </c>
      <c r="E4655" s="6">
        <v>1033</v>
      </c>
      <c r="F4655" s="29" t="s">
        <v>14</v>
      </c>
      <c r="G4655" s="8" t="s">
        <v>8809</v>
      </c>
      <c r="H4655" s="8" t="s">
        <v>16</v>
      </c>
      <c r="I4655" s="9">
        <v>5543</v>
      </c>
      <c r="J4655" s="26">
        <v>7</v>
      </c>
      <c r="K4655" s="27">
        <v>70056</v>
      </c>
      <c r="L4655" s="3" t="str">
        <f t="shared" si="151"/>
        <v>ΡΥΖΙ</v>
      </c>
    </row>
    <row r="4656" spans="1:12" s="3" customFormat="1" ht="15" customHeight="1" x14ac:dyDescent="0.25">
      <c r="A4656" s="3" t="str">
        <f t="shared" si="150"/>
        <v>ΡΥΖΙΡΥΖΙ ZAR</v>
      </c>
      <c r="B4656" s="23" t="s">
        <v>8697</v>
      </c>
      <c r="C4656" s="24" t="s">
        <v>8810</v>
      </c>
      <c r="D4656" s="6">
        <v>1929.32</v>
      </c>
      <c r="E4656" s="6">
        <v>1033</v>
      </c>
      <c r="F4656" s="29" t="s">
        <v>14</v>
      </c>
      <c r="G4656" s="8" t="s">
        <v>8811</v>
      </c>
      <c r="H4656" s="8" t="s">
        <v>16</v>
      </c>
      <c r="I4656" s="9">
        <v>5544</v>
      </c>
      <c r="J4656" s="26">
        <v>7</v>
      </c>
      <c r="K4656" s="27">
        <v>70057</v>
      </c>
      <c r="L4656" s="3" t="str">
        <f t="shared" si="151"/>
        <v>ΡΥΖΙ</v>
      </c>
    </row>
    <row r="4657" spans="1:12" s="3" customFormat="1" ht="15" customHeight="1" x14ac:dyDescent="0.25">
      <c r="A4657" s="3" t="str">
        <f t="shared" si="150"/>
        <v>ΡΥΖΙΡΥΖΙ ELENI</v>
      </c>
      <c r="B4657" s="23" t="s">
        <v>8697</v>
      </c>
      <c r="C4657" s="24" t="s">
        <v>8812</v>
      </c>
      <c r="D4657" s="6">
        <v>1929.32</v>
      </c>
      <c r="E4657" s="6">
        <v>1033</v>
      </c>
      <c r="F4657" s="6" t="s">
        <v>14</v>
      </c>
      <c r="G4657" s="30" t="s">
        <v>8813</v>
      </c>
      <c r="H4657" s="31" t="s">
        <v>577</v>
      </c>
      <c r="I4657" s="9">
        <v>6145</v>
      </c>
      <c r="J4657" s="30">
        <v>7</v>
      </c>
      <c r="K4657" s="30">
        <v>70058</v>
      </c>
      <c r="L4657" s="3" t="str">
        <f t="shared" si="151"/>
        <v>ΡΥΖΙ</v>
      </c>
    </row>
    <row r="4658" spans="1:12" s="3" customFormat="1" ht="15" customHeight="1" x14ac:dyDescent="0.25">
      <c r="A4658" s="3" t="str">
        <f t="shared" si="150"/>
        <v>ΡΥΖΙΡΥΖΙ ISPANIKI "A" (ΙΣΠΑΝΙΚΗ Α)</v>
      </c>
      <c r="B4658" s="4" t="s">
        <v>8697</v>
      </c>
      <c r="C4658" s="5" t="s">
        <v>8814</v>
      </c>
      <c r="D4658" s="6">
        <v>1929.32</v>
      </c>
      <c r="E4658" s="6">
        <v>1033</v>
      </c>
      <c r="F4658" s="7" t="s">
        <v>14</v>
      </c>
      <c r="G4658" s="8" t="s">
        <v>8815</v>
      </c>
      <c r="H4658" s="8" t="s">
        <v>16</v>
      </c>
      <c r="I4658" s="9">
        <v>3754</v>
      </c>
      <c r="J4658" s="10">
        <v>7</v>
      </c>
      <c r="K4658" s="10">
        <v>7101</v>
      </c>
      <c r="L4658" s="3" t="str">
        <f t="shared" si="151"/>
        <v>ΡΥΖΙ</v>
      </c>
    </row>
    <row r="4659" spans="1:12" s="3" customFormat="1" ht="15" customHeight="1" x14ac:dyDescent="0.25">
      <c r="A4659" s="3" t="str">
        <f t="shared" si="150"/>
        <v>ΡΥΖΙΡΥΖΙ MAKEDONIA (ΜΑΚΕΔΟΝΙΑ)</v>
      </c>
      <c r="B4659" s="18" t="s">
        <v>8697</v>
      </c>
      <c r="C4659" s="19" t="s">
        <v>8816</v>
      </c>
      <c r="D4659" s="6">
        <v>1929.32</v>
      </c>
      <c r="E4659" s="6">
        <v>1033</v>
      </c>
      <c r="F4659" s="6" t="s">
        <v>14</v>
      </c>
      <c r="G4659" s="8" t="s">
        <v>8817</v>
      </c>
      <c r="H4659" s="8" t="s">
        <v>27</v>
      </c>
      <c r="I4659" s="9">
        <v>4349</v>
      </c>
      <c r="J4659" s="20">
        <v>7</v>
      </c>
      <c r="K4659" s="20">
        <v>7102</v>
      </c>
      <c r="L4659" s="3" t="str">
        <f t="shared" si="151"/>
        <v>ΡΥΖΙ</v>
      </c>
    </row>
    <row r="4660" spans="1:12" s="3" customFormat="1" ht="15" customHeight="1" x14ac:dyDescent="0.25">
      <c r="A4660" s="3" t="str">
        <f t="shared" si="150"/>
        <v>ΡΥΖΙΡΥΖΙ AXIOS (ΑΞΙΟΣ)</v>
      </c>
      <c r="B4660" s="4" t="s">
        <v>8697</v>
      </c>
      <c r="C4660" s="5" t="s">
        <v>8818</v>
      </c>
      <c r="D4660" s="6">
        <v>1929.32</v>
      </c>
      <c r="E4660" s="6">
        <v>1033</v>
      </c>
      <c r="F4660" s="7" t="s">
        <v>14</v>
      </c>
      <c r="G4660" s="8" t="s">
        <v>8819</v>
      </c>
      <c r="H4660" s="8" t="s">
        <v>16</v>
      </c>
      <c r="I4660" s="9">
        <v>3753</v>
      </c>
      <c r="J4660" s="10">
        <v>7</v>
      </c>
      <c r="K4660" s="10">
        <v>7103</v>
      </c>
      <c r="L4660" s="3" t="str">
        <f t="shared" si="151"/>
        <v>ΡΥΖΙ</v>
      </c>
    </row>
    <row r="4661" spans="1:12" s="3" customFormat="1" ht="15" customHeight="1" x14ac:dyDescent="0.25">
      <c r="A4661" s="3" t="str">
        <f t="shared" si="150"/>
        <v>ΡΥΖΙΡΥΖΙ DION (ΔΙΟΝ)</v>
      </c>
      <c r="B4661" s="4" t="s">
        <v>8697</v>
      </c>
      <c r="C4661" s="5" t="s">
        <v>8820</v>
      </c>
      <c r="D4661" s="6">
        <v>1929.32</v>
      </c>
      <c r="E4661" s="6">
        <v>1033</v>
      </c>
      <c r="F4661" s="7" t="s">
        <v>14</v>
      </c>
      <c r="G4661" s="8" t="s">
        <v>8821</v>
      </c>
      <c r="H4661" s="8" t="s">
        <v>16</v>
      </c>
      <c r="I4661" s="9">
        <v>3752</v>
      </c>
      <c r="J4661" s="10">
        <v>7</v>
      </c>
      <c r="K4661" s="10">
        <v>7104</v>
      </c>
      <c r="L4661" s="3" t="str">
        <f t="shared" si="151"/>
        <v>ΡΥΖΙ</v>
      </c>
    </row>
    <row r="4662" spans="1:12" s="3" customFormat="1" ht="15" customHeight="1" x14ac:dyDescent="0.25">
      <c r="A4662" s="3" t="str">
        <f t="shared" si="150"/>
        <v>ΡΥΖΙΡΥΖΙ EVROPI (ΕΥΡΩΠΗ)</v>
      </c>
      <c r="B4662" s="4" t="s">
        <v>8697</v>
      </c>
      <c r="C4662" s="5" t="s">
        <v>8822</v>
      </c>
      <c r="D4662" s="6">
        <v>1929.32</v>
      </c>
      <c r="E4662" s="6">
        <v>1033</v>
      </c>
      <c r="F4662" s="7" t="s">
        <v>14</v>
      </c>
      <c r="G4662" s="8" t="s">
        <v>8823</v>
      </c>
      <c r="H4662" s="8" t="s">
        <v>16</v>
      </c>
      <c r="I4662" s="9">
        <v>3751</v>
      </c>
      <c r="J4662" s="10">
        <v>7</v>
      </c>
      <c r="K4662" s="10">
        <v>7105</v>
      </c>
      <c r="L4662" s="3" t="str">
        <f t="shared" si="151"/>
        <v>ΡΥΖΙ</v>
      </c>
    </row>
    <row r="4663" spans="1:12" s="3" customFormat="1" ht="15" customHeight="1" x14ac:dyDescent="0.25">
      <c r="A4663" s="3" t="str">
        <f t="shared" si="150"/>
        <v>ΡΥΖΙΡΥΖΙ MELAS (ΜΕΛΑΣ)</v>
      </c>
      <c r="B4663" s="18" t="s">
        <v>8697</v>
      </c>
      <c r="C4663" s="19" t="s">
        <v>8824</v>
      </c>
      <c r="D4663" s="6">
        <v>1929.32</v>
      </c>
      <c r="E4663" s="6">
        <v>1033</v>
      </c>
      <c r="F4663" s="6" t="s">
        <v>14</v>
      </c>
      <c r="G4663" s="8" t="s">
        <v>8825</v>
      </c>
      <c r="H4663" s="8" t="s">
        <v>27</v>
      </c>
      <c r="I4663" s="9">
        <v>4350</v>
      </c>
      <c r="J4663" s="20">
        <v>7</v>
      </c>
      <c r="K4663" s="20">
        <v>7106</v>
      </c>
      <c r="L4663" s="3" t="str">
        <f t="shared" si="151"/>
        <v>ΡΥΖΙ</v>
      </c>
    </row>
    <row r="4664" spans="1:12" s="3" customFormat="1" ht="15" customHeight="1" x14ac:dyDescent="0.25">
      <c r="A4664" s="3" t="str">
        <f t="shared" si="150"/>
        <v>ΡΥΖΙΡΥΖΙ ROXANI (ΡΩΞΑΝΗ)</v>
      </c>
      <c r="B4664" s="4" t="s">
        <v>8697</v>
      </c>
      <c r="C4664" s="5" t="s">
        <v>8826</v>
      </c>
      <c r="D4664" s="6">
        <v>1929.32</v>
      </c>
      <c r="E4664" s="6">
        <v>1033</v>
      </c>
      <c r="F4664" s="7" t="s">
        <v>14</v>
      </c>
      <c r="G4664" s="8" t="s">
        <v>8827</v>
      </c>
      <c r="H4664" s="8" t="s">
        <v>16</v>
      </c>
      <c r="I4664" s="9">
        <v>3743</v>
      </c>
      <c r="J4664" s="10">
        <v>7</v>
      </c>
      <c r="K4664" s="10">
        <v>7107</v>
      </c>
      <c r="L4664" s="3" t="str">
        <f t="shared" si="151"/>
        <v>ΡΥΖΙ</v>
      </c>
    </row>
    <row r="4665" spans="1:12" s="3" customFormat="1" ht="15" customHeight="1" x14ac:dyDescent="0.25">
      <c r="A4665" s="3" t="str">
        <f t="shared" si="150"/>
        <v>ΡΥΖΙΡΥΖΙ STRYMONAS (ΣΤΡΥΜΩΝΑΣ)</v>
      </c>
      <c r="B4665" s="4" t="s">
        <v>8697</v>
      </c>
      <c r="C4665" s="5" t="s">
        <v>8828</v>
      </c>
      <c r="D4665" s="6">
        <v>1929.32</v>
      </c>
      <c r="E4665" s="6">
        <v>1033</v>
      </c>
      <c r="F4665" s="7" t="s">
        <v>14</v>
      </c>
      <c r="G4665" s="8" t="s">
        <v>8829</v>
      </c>
      <c r="H4665" s="8" t="s">
        <v>16</v>
      </c>
      <c r="I4665" s="9">
        <v>3750</v>
      </c>
      <c r="J4665" s="10">
        <v>7</v>
      </c>
      <c r="K4665" s="10">
        <v>7108</v>
      </c>
      <c r="L4665" s="3" t="str">
        <f t="shared" si="151"/>
        <v>ΡΥΖΙ</v>
      </c>
    </row>
    <row r="4666" spans="1:12" s="3" customFormat="1" ht="15" customHeight="1" x14ac:dyDescent="0.25">
      <c r="A4666" s="3" t="str">
        <f t="shared" si="150"/>
        <v>ΡΥΖΙΡΥΖΙ ARIETE</v>
      </c>
      <c r="B4666" s="4" t="s">
        <v>8697</v>
      </c>
      <c r="C4666" s="5" t="s">
        <v>8830</v>
      </c>
      <c r="D4666" s="6">
        <v>1929.32</v>
      </c>
      <c r="E4666" s="6">
        <v>1033</v>
      </c>
      <c r="F4666" s="7" t="s">
        <v>14</v>
      </c>
      <c r="G4666" s="8" t="s">
        <v>8831</v>
      </c>
      <c r="H4666" s="8" t="s">
        <v>16</v>
      </c>
      <c r="I4666" s="9">
        <v>3756</v>
      </c>
      <c r="J4666" s="10">
        <v>7</v>
      </c>
      <c r="K4666" s="10">
        <v>7109</v>
      </c>
      <c r="L4666" s="3" t="str">
        <f t="shared" si="151"/>
        <v>ΡΥΖΙ</v>
      </c>
    </row>
    <row r="4667" spans="1:12" s="3" customFormat="1" ht="15" customHeight="1" x14ac:dyDescent="0.25">
      <c r="A4667" s="3" t="str">
        <f t="shared" si="150"/>
        <v>ΡΥΖΙΡΥΖΙ LIDO</v>
      </c>
      <c r="B4667" s="4" t="s">
        <v>8697</v>
      </c>
      <c r="C4667" s="5" t="s">
        <v>8832</v>
      </c>
      <c r="D4667" s="6">
        <v>1929.32</v>
      </c>
      <c r="E4667" s="6">
        <v>1033</v>
      </c>
      <c r="F4667" s="7" t="s">
        <v>14</v>
      </c>
      <c r="G4667" s="8" t="s">
        <v>8833</v>
      </c>
      <c r="H4667" s="8" t="s">
        <v>16</v>
      </c>
      <c r="I4667" s="9">
        <v>3749</v>
      </c>
      <c r="J4667" s="10">
        <v>7</v>
      </c>
      <c r="K4667" s="10">
        <v>7110</v>
      </c>
      <c r="L4667" s="3" t="str">
        <f t="shared" si="151"/>
        <v>ΡΥΖΙ</v>
      </c>
    </row>
    <row r="4668" spans="1:12" s="3" customFormat="1" ht="15" customHeight="1" x14ac:dyDescent="0.25">
      <c r="A4668" s="3" t="str">
        <f t="shared" si="150"/>
        <v>ΡΥΖΙPYZI KORAL</v>
      </c>
      <c r="B4668" s="18" t="s">
        <v>8697</v>
      </c>
      <c r="C4668" s="19" t="s">
        <v>8834</v>
      </c>
      <c r="D4668" s="6">
        <v>1929.32</v>
      </c>
      <c r="E4668" s="6">
        <v>1033</v>
      </c>
      <c r="F4668" s="6" t="s">
        <v>14</v>
      </c>
      <c r="G4668" s="8" t="s">
        <v>8835</v>
      </c>
      <c r="H4668" s="8" t="s">
        <v>27</v>
      </c>
      <c r="I4668" s="9">
        <v>4351</v>
      </c>
      <c r="J4668" s="20">
        <v>7</v>
      </c>
      <c r="K4668" s="20">
        <v>7111</v>
      </c>
      <c r="L4668" s="3" t="str">
        <f t="shared" si="151"/>
        <v>ΡΥΖΙ</v>
      </c>
    </row>
    <row r="4669" spans="1:12" s="3" customFormat="1" ht="15" customHeight="1" x14ac:dyDescent="0.25">
      <c r="A4669" s="3" t="str">
        <f t="shared" si="150"/>
        <v>ΡΥΖΙPYZI TURBO</v>
      </c>
      <c r="B4669" s="18" t="s">
        <v>8697</v>
      </c>
      <c r="C4669" s="19" t="s">
        <v>8836</v>
      </c>
      <c r="D4669" s="6">
        <v>1929.32</v>
      </c>
      <c r="E4669" s="6">
        <v>1033</v>
      </c>
      <c r="F4669" s="6" t="s">
        <v>14</v>
      </c>
      <c r="G4669" s="8" t="s">
        <v>8837</v>
      </c>
      <c r="H4669" s="8" t="s">
        <v>27</v>
      </c>
      <c r="I4669" s="9">
        <v>4352</v>
      </c>
      <c r="J4669" s="20">
        <v>7</v>
      </c>
      <c r="K4669" s="20">
        <v>7112</v>
      </c>
      <c r="L4669" s="3" t="str">
        <f t="shared" si="151"/>
        <v>ΡΥΖΙ</v>
      </c>
    </row>
    <row r="4670" spans="1:12" s="3" customFormat="1" ht="15" customHeight="1" x14ac:dyDescent="0.25">
      <c r="A4670" s="3" t="str">
        <f t="shared" si="150"/>
        <v>ΡΥΖΙPYZI CHERVO</v>
      </c>
      <c r="B4670" s="18" t="s">
        <v>8697</v>
      </c>
      <c r="C4670" s="19" t="s">
        <v>8838</v>
      </c>
      <c r="D4670" s="6">
        <v>1929.32</v>
      </c>
      <c r="E4670" s="6">
        <v>1033</v>
      </c>
      <c r="F4670" s="6" t="s">
        <v>14</v>
      </c>
      <c r="G4670" s="8" t="s">
        <v>8839</v>
      </c>
      <c r="H4670" s="8" t="s">
        <v>27</v>
      </c>
      <c r="I4670" s="9">
        <v>4353</v>
      </c>
      <c r="J4670" s="20">
        <v>7</v>
      </c>
      <c r="K4670" s="20">
        <v>7113</v>
      </c>
      <c r="L4670" s="3" t="str">
        <f t="shared" si="151"/>
        <v>ΡΥΖΙ</v>
      </c>
    </row>
    <row r="4671" spans="1:12" s="3" customFormat="1" ht="15" customHeight="1" x14ac:dyDescent="0.25">
      <c r="A4671" s="3" t="str">
        <f t="shared" si="150"/>
        <v>ΡΥΖΙPYZI ZENA</v>
      </c>
      <c r="B4671" s="18" t="s">
        <v>8697</v>
      </c>
      <c r="C4671" s="19" t="s">
        <v>8840</v>
      </c>
      <c r="D4671" s="6">
        <v>1929.32</v>
      </c>
      <c r="E4671" s="6">
        <v>1033</v>
      </c>
      <c r="F4671" s="6" t="s">
        <v>14</v>
      </c>
      <c r="G4671" s="8" t="s">
        <v>8841</v>
      </c>
      <c r="H4671" s="8" t="s">
        <v>27</v>
      </c>
      <c r="I4671" s="9">
        <v>4354</v>
      </c>
      <c r="J4671" s="20">
        <v>7</v>
      </c>
      <c r="K4671" s="20">
        <v>7114</v>
      </c>
      <c r="L4671" s="3" t="str">
        <f t="shared" si="151"/>
        <v>ΡΥΖΙ</v>
      </c>
    </row>
    <row r="4672" spans="1:12" s="3" customFormat="1" ht="15" customHeight="1" x14ac:dyDescent="0.25">
      <c r="A4672" s="3" t="str">
        <f t="shared" si="150"/>
        <v>ΡΥΖΙΡΥΖΙ SMERALDO</v>
      </c>
      <c r="B4672" s="4" t="s">
        <v>8697</v>
      </c>
      <c r="C4672" s="5" t="s">
        <v>8842</v>
      </c>
      <c r="D4672" s="6">
        <v>1929.32</v>
      </c>
      <c r="E4672" s="6">
        <v>1033</v>
      </c>
      <c r="F4672" s="7" t="s">
        <v>14</v>
      </c>
      <c r="G4672" s="8" t="s">
        <v>8843</v>
      </c>
      <c r="H4672" s="8" t="s">
        <v>16</v>
      </c>
      <c r="I4672" s="9">
        <v>3748</v>
      </c>
      <c r="J4672" s="10">
        <v>7</v>
      </c>
      <c r="K4672" s="10">
        <v>7115</v>
      </c>
      <c r="L4672" s="3" t="str">
        <f t="shared" si="151"/>
        <v>ΡΥΖΙ</v>
      </c>
    </row>
    <row r="4673" spans="1:12" s="3" customFormat="1" ht="15" customHeight="1" x14ac:dyDescent="0.25">
      <c r="A4673" s="3" t="str">
        <f t="shared" si="150"/>
        <v>ΡΥΖΙΡΥΖΙ THAIBONNET</v>
      </c>
      <c r="B4673" s="4" t="s">
        <v>8697</v>
      </c>
      <c r="C4673" s="5" t="s">
        <v>8844</v>
      </c>
      <c r="D4673" s="6">
        <v>1929.32</v>
      </c>
      <c r="E4673" s="6">
        <v>1033</v>
      </c>
      <c r="F4673" s="7" t="s">
        <v>14</v>
      </c>
      <c r="G4673" s="8" t="s">
        <v>8845</v>
      </c>
      <c r="H4673" s="8" t="s">
        <v>16</v>
      </c>
      <c r="I4673" s="9">
        <v>3747</v>
      </c>
      <c r="J4673" s="10">
        <v>7</v>
      </c>
      <c r="K4673" s="10">
        <v>7116</v>
      </c>
      <c r="L4673" s="3" t="str">
        <f t="shared" si="151"/>
        <v>ΡΥΖΙ</v>
      </c>
    </row>
    <row r="4674" spans="1:12" s="3" customFormat="1" ht="15" customHeight="1" x14ac:dyDescent="0.25">
      <c r="A4674" s="3" t="str">
        <f t="shared" si="150"/>
        <v>ΡΥΖΙΡΥΖΙ ARCADIA</v>
      </c>
      <c r="B4674" s="18" t="s">
        <v>8697</v>
      </c>
      <c r="C4674" s="19" t="s">
        <v>8846</v>
      </c>
      <c r="D4674" s="6">
        <v>1929.32</v>
      </c>
      <c r="E4674" s="6">
        <v>1033</v>
      </c>
      <c r="F4674" s="6" t="s">
        <v>14</v>
      </c>
      <c r="G4674" s="8" t="s">
        <v>8847</v>
      </c>
      <c r="H4674" s="8" t="s">
        <v>27</v>
      </c>
      <c r="I4674" s="9">
        <v>4355</v>
      </c>
      <c r="J4674" s="20">
        <v>7</v>
      </c>
      <c r="K4674" s="20">
        <v>7117</v>
      </c>
      <c r="L4674" s="3" t="str">
        <f t="shared" si="151"/>
        <v>ΡΥΖΙ</v>
      </c>
    </row>
    <row r="4675" spans="1:12" s="3" customFormat="1" ht="15" customHeight="1" x14ac:dyDescent="0.25">
      <c r="A4675" s="3" t="str">
        <f t="shared" ref="A4675:A4738" si="152">_xlfn.CONCAT(B4675,C4675)</f>
        <v>ΡΥΖΙΡΥΖΙ COCO</v>
      </c>
      <c r="B4675" s="18" t="s">
        <v>8697</v>
      </c>
      <c r="C4675" s="19" t="s">
        <v>8848</v>
      </c>
      <c r="D4675" s="6">
        <v>1929.32</v>
      </c>
      <c r="E4675" s="6">
        <v>1033</v>
      </c>
      <c r="F4675" s="6" t="s">
        <v>14</v>
      </c>
      <c r="G4675" s="8" t="s">
        <v>8849</v>
      </c>
      <c r="H4675" s="8" t="s">
        <v>27</v>
      </c>
      <c r="I4675" s="9">
        <v>4356</v>
      </c>
      <c r="J4675" s="20">
        <v>7</v>
      </c>
      <c r="K4675" s="20">
        <v>7118</v>
      </c>
      <c r="L4675" s="3" t="str">
        <f t="shared" ref="L4675:L4738" si="153">IFERROR(SUBSTITUTE(SUBSTITUTE(SUBSTITUTE(SUBSTITUTE(SUBSTITUTE(B4675, "-", "_"), " ", "_"), ",", ""), "(", ""), ")", ""), B4675)</f>
        <v>ΡΥΖΙ</v>
      </c>
    </row>
    <row r="4676" spans="1:12" s="3" customFormat="1" ht="15" customHeight="1" x14ac:dyDescent="0.25">
      <c r="A4676" s="3" t="str">
        <f t="shared" si="152"/>
        <v>ΡΥΖΙΡΥΖΙ COSMIC</v>
      </c>
      <c r="B4676" s="18" t="s">
        <v>8697</v>
      </c>
      <c r="C4676" s="19" t="s">
        <v>8850</v>
      </c>
      <c r="D4676" s="6">
        <v>1929.32</v>
      </c>
      <c r="E4676" s="6">
        <v>1033</v>
      </c>
      <c r="F4676" s="6" t="s">
        <v>14</v>
      </c>
      <c r="G4676" s="8" t="s">
        <v>8851</v>
      </c>
      <c r="H4676" s="8" t="s">
        <v>27</v>
      </c>
      <c r="I4676" s="9">
        <v>4357</v>
      </c>
      <c r="J4676" s="20">
        <v>7</v>
      </c>
      <c r="K4676" s="20">
        <v>7119</v>
      </c>
      <c r="L4676" s="3" t="str">
        <f t="shared" si="153"/>
        <v>ΡΥΖΙ</v>
      </c>
    </row>
    <row r="4677" spans="1:12" s="3" customFormat="1" ht="15" customHeight="1" x14ac:dyDescent="0.25">
      <c r="A4677" s="3" t="str">
        <f t="shared" si="152"/>
        <v>ΡΥΖΙΡΥΖΙ EDEN</v>
      </c>
      <c r="B4677" s="18" t="s">
        <v>8697</v>
      </c>
      <c r="C4677" s="19" t="s">
        <v>8852</v>
      </c>
      <c r="D4677" s="6">
        <v>1929.32</v>
      </c>
      <c r="E4677" s="6">
        <v>1033</v>
      </c>
      <c r="F4677" s="6" t="s">
        <v>14</v>
      </c>
      <c r="G4677" s="8" t="s">
        <v>8853</v>
      </c>
      <c r="H4677" s="8" t="s">
        <v>27</v>
      </c>
      <c r="I4677" s="9">
        <v>4358</v>
      </c>
      <c r="J4677" s="20">
        <v>7</v>
      </c>
      <c r="K4677" s="20">
        <v>7120</v>
      </c>
      <c r="L4677" s="3" t="str">
        <f t="shared" si="153"/>
        <v>ΡΥΖΙ</v>
      </c>
    </row>
    <row r="4678" spans="1:12" s="3" customFormat="1" ht="15" customHeight="1" x14ac:dyDescent="0.25">
      <c r="A4678" s="3" t="str">
        <f t="shared" si="152"/>
        <v>ΡΥΖΙΡΥΖΙ FILIRA</v>
      </c>
      <c r="B4678" s="18" t="s">
        <v>8697</v>
      </c>
      <c r="C4678" s="19" t="s">
        <v>8854</v>
      </c>
      <c r="D4678" s="6">
        <v>1929.32</v>
      </c>
      <c r="E4678" s="6">
        <v>1033</v>
      </c>
      <c r="F4678" s="6" t="s">
        <v>14</v>
      </c>
      <c r="G4678" s="8" t="s">
        <v>8855</v>
      </c>
      <c r="H4678" s="8" t="s">
        <v>27</v>
      </c>
      <c r="I4678" s="9">
        <v>4359</v>
      </c>
      <c r="J4678" s="20">
        <v>7</v>
      </c>
      <c r="K4678" s="20">
        <v>7121</v>
      </c>
      <c r="L4678" s="3" t="str">
        <f t="shared" si="153"/>
        <v>ΡΥΖΙ</v>
      </c>
    </row>
    <row r="4679" spans="1:12" s="3" customFormat="1" ht="15" customHeight="1" x14ac:dyDescent="0.25">
      <c r="A4679" s="3" t="str">
        <f t="shared" si="152"/>
        <v>ΡΥΖΙΡΥΖΙ KIR</v>
      </c>
      <c r="B4679" s="18" t="s">
        <v>8697</v>
      </c>
      <c r="C4679" s="19" t="s">
        <v>8856</v>
      </c>
      <c r="D4679" s="6">
        <v>1929.32</v>
      </c>
      <c r="E4679" s="6">
        <v>1033</v>
      </c>
      <c r="F4679" s="6" t="s">
        <v>14</v>
      </c>
      <c r="G4679" s="8" t="s">
        <v>8857</v>
      </c>
      <c r="H4679" s="8" t="s">
        <v>27</v>
      </c>
      <c r="I4679" s="9">
        <v>4360</v>
      </c>
      <c r="J4679" s="20">
        <v>7</v>
      </c>
      <c r="K4679" s="20">
        <v>7122</v>
      </c>
      <c r="L4679" s="3" t="str">
        <f t="shared" si="153"/>
        <v>ΡΥΖΙ</v>
      </c>
    </row>
    <row r="4680" spans="1:12" s="3" customFormat="1" ht="15" customHeight="1" x14ac:dyDescent="0.25">
      <c r="A4680" s="3" t="str">
        <f t="shared" si="152"/>
        <v>ΡΥΖΙΡΥΖΙ MISTIK</v>
      </c>
      <c r="B4680" s="18" t="s">
        <v>8697</v>
      </c>
      <c r="C4680" s="19" t="s">
        <v>8858</v>
      </c>
      <c r="D4680" s="6">
        <v>1929.32</v>
      </c>
      <c r="E4680" s="6">
        <v>1033</v>
      </c>
      <c r="F4680" s="6" t="s">
        <v>14</v>
      </c>
      <c r="G4680" s="8" t="s">
        <v>8859</v>
      </c>
      <c r="H4680" s="8" t="s">
        <v>27</v>
      </c>
      <c r="I4680" s="9">
        <v>4361</v>
      </c>
      <c r="J4680" s="20">
        <v>7</v>
      </c>
      <c r="K4680" s="20">
        <v>7123</v>
      </c>
      <c r="L4680" s="3" t="str">
        <f t="shared" si="153"/>
        <v>ΡΥΖΙ</v>
      </c>
    </row>
    <row r="4681" spans="1:12" s="3" customFormat="1" ht="15" customHeight="1" x14ac:dyDescent="0.25">
      <c r="A4681" s="3" t="str">
        <f t="shared" si="152"/>
        <v>ΡΥΖΙΡΥΖΙ MIURA</v>
      </c>
      <c r="B4681" s="18" t="s">
        <v>8697</v>
      </c>
      <c r="C4681" s="19" t="s">
        <v>8860</v>
      </c>
      <c r="D4681" s="6">
        <v>1929.32</v>
      </c>
      <c r="E4681" s="6">
        <v>1033</v>
      </c>
      <c r="F4681" s="6" t="s">
        <v>14</v>
      </c>
      <c r="G4681" s="8" t="s">
        <v>8861</v>
      </c>
      <c r="H4681" s="8" t="s">
        <v>27</v>
      </c>
      <c r="I4681" s="9">
        <v>4362</v>
      </c>
      <c r="J4681" s="20">
        <v>7</v>
      </c>
      <c r="K4681" s="20">
        <v>7124</v>
      </c>
      <c r="L4681" s="3" t="str">
        <f t="shared" si="153"/>
        <v>ΡΥΖΙ</v>
      </c>
    </row>
    <row r="4682" spans="1:12" s="3" customFormat="1" ht="15" customHeight="1" x14ac:dyDescent="0.25">
      <c r="A4682" s="3" t="str">
        <f t="shared" si="152"/>
        <v>ΡΥΖΙΡΥΖΙ NIKI</v>
      </c>
      <c r="B4682" s="18" t="s">
        <v>8697</v>
      </c>
      <c r="C4682" s="19" t="s">
        <v>8862</v>
      </c>
      <c r="D4682" s="6">
        <v>1929.32</v>
      </c>
      <c r="E4682" s="6">
        <v>1033</v>
      </c>
      <c r="F4682" s="6" t="s">
        <v>14</v>
      </c>
      <c r="G4682" s="8" t="s">
        <v>8863</v>
      </c>
      <c r="H4682" s="8" t="s">
        <v>27</v>
      </c>
      <c r="I4682" s="9">
        <v>4363</v>
      </c>
      <c r="J4682" s="20">
        <v>7</v>
      </c>
      <c r="K4682" s="20">
        <v>7125</v>
      </c>
      <c r="L4682" s="3" t="str">
        <f t="shared" si="153"/>
        <v>ΡΥΖΙ</v>
      </c>
    </row>
    <row r="4683" spans="1:12" s="3" customFormat="1" ht="15" customHeight="1" x14ac:dyDescent="0.25">
      <c r="A4683" s="3" t="str">
        <f t="shared" si="152"/>
        <v>ΡΥΖΙΡΥΖΙ OLYMPIADA (ΟΛΥΜΠΙΑΔΑ)</v>
      </c>
      <c r="B4683" s="4" t="s">
        <v>8697</v>
      </c>
      <c r="C4683" s="5" t="s">
        <v>8864</v>
      </c>
      <c r="D4683" s="6">
        <v>1929.32</v>
      </c>
      <c r="E4683" s="6">
        <v>1033</v>
      </c>
      <c r="F4683" s="7" t="s">
        <v>14</v>
      </c>
      <c r="G4683" s="8" t="s">
        <v>8865</v>
      </c>
      <c r="H4683" s="8" t="s">
        <v>16</v>
      </c>
      <c r="I4683" s="9">
        <v>3746</v>
      </c>
      <c r="J4683" s="10">
        <v>7</v>
      </c>
      <c r="K4683" s="10">
        <v>7126</v>
      </c>
      <c r="L4683" s="3" t="str">
        <f t="shared" si="153"/>
        <v>ΡΥΖΙ</v>
      </c>
    </row>
    <row r="4684" spans="1:12" s="3" customFormat="1" ht="15" customHeight="1" x14ac:dyDescent="0.25">
      <c r="A4684" s="3" t="str">
        <f t="shared" si="152"/>
        <v>ΡΥΖΙΡΥΖΙ REA (ΡΕΑ)</v>
      </c>
      <c r="B4684" s="18" t="s">
        <v>8697</v>
      </c>
      <c r="C4684" s="19" t="s">
        <v>8866</v>
      </c>
      <c r="D4684" s="6">
        <v>1929.32</v>
      </c>
      <c r="E4684" s="6">
        <v>1033</v>
      </c>
      <c r="F4684" s="6" t="s">
        <v>14</v>
      </c>
      <c r="G4684" s="8" t="s">
        <v>8867</v>
      </c>
      <c r="H4684" s="8" t="s">
        <v>27</v>
      </c>
      <c r="I4684" s="9">
        <v>4364</v>
      </c>
      <c r="J4684" s="20">
        <v>7</v>
      </c>
      <c r="K4684" s="20">
        <v>7127</v>
      </c>
      <c r="L4684" s="3" t="str">
        <f t="shared" si="153"/>
        <v>ΡΥΖΙ</v>
      </c>
    </row>
    <row r="4685" spans="1:12" s="3" customFormat="1" ht="15" customHeight="1" x14ac:dyDescent="0.25">
      <c r="A4685" s="3" t="str">
        <f t="shared" si="152"/>
        <v>ΡΥΖΙΡΥΖΙ ARISTOTELE</v>
      </c>
      <c r="B4685" s="4" t="s">
        <v>8697</v>
      </c>
      <c r="C4685" s="5" t="s">
        <v>8868</v>
      </c>
      <c r="D4685" s="6">
        <v>1929.32</v>
      </c>
      <c r="E4685" s="6">
        <v>1033</v>
      </c>
      <c r="F4685" s="7" t="s">
        <v>14</v>
      </c>
      <c r="G4685" s="8" t="s">
        <v>8869</v>
      </c>
      <c r="H4685" s="8" t="s">
        <v>16</v>
      </c>
      <c r="I4685" s="9">
        <v>3745</v>
      </c>
      <c r="J4685" s="10">
        <v>7</v>
      </c>
      <c r="K4685" s="10">
        <v>7128</v>
      </c>
      <c r="L4685" s="3" t="str">
        <f t="shared" si="153"/>
        <v>ΡΥΖΙ</v>
      </c>
    </row>
    <row r="4686" spans="1:12" s="3" customFormat="1" ht="15" customHeight="1" x14ac:dyDescent="0.25">
      <c r="A4686" s="3" t="str">
        <f t="shared" si="152"/>
        <v>ΡΥΖΙΡΥΖΙ ATENA</v>
      </c>
      <c r="B4686" s="18" t="s">
        <v>8697</v>
      </c>
      <c r="C4686" s="19" t="s">
        <v>8870</v>
      </c>
      <c r="D4686" s="6">
        <v>1929.32</v>
      </c>
      <c r="E4686" s="6">
        <v>1033</v>
      </c>
      <c r="F4686" s="6" t="s">
        <v>14</v>
      </c>
      <c r="G4686" s="8" t="s">
        <v>8871</v>
      </c>
      <c r="H4686" s="8" t="s">
        <v>27</v>
      </c>
      <c r="I4686" s="9">
        <v>4365</v>
      </c>
      <c r="J4686" s="20">
        <v>7</v>
      </c>
      <c r="K4686" s="20">
        <v>7129</v>
      </c>
      <c r="L4686" s="3" t="str">
        <f t="shared" si="153"/>
        <v>ΡΥΖΙ</v>
      </c>
    </row>
    <row r="4687" spans="1:12" s="3" customFormat="1" ht="15" customHeight="1" x14ac:dyDescent="0.25">
      <c r="A4687" s="3" t="str">
        <f t="shared" si="152"/>
        <v>ΡΥΖΙΡΥΖΙ JEFERSON</v>
      </c>
      <c r="B4687" s="18" t="s">
        <v>8697</v>
      </c>
      <c r="C4687" s="19" t="s">
        <v>8872</v>
      </c>
      <c r="D4687" s="6">
        <v>1929.32</v>
      </c>
      <c r="E4687" s="6">
        <v>1033</v>
      </c>
      <c r="F4687" s="6" t="s">
        <v>14</v>
      </c>
      <c r="G4687" s="8" t="s">
        <v>8873</v>
      </c>
      <c r="H4687" s="8" t="s">
        <v>27</v>
      </c>
      <c r="I4687" s="9">
        <v>4366</v>
      </c>
      <c r="J4687" s="20">
        <v>7</v>
      </c>
      <c r="K4687" s="20">
        <v>7130</v>
      </c>
      <c r="L4687" s="3" t="str">
        <f t="shared" si="153"/>
        <v>ΡΥΖΙ</v>
      </c>
    </row>
    <row r="4688" spans="1:12" s="3" customFormat="1" ht="15" customHeight="1" x14ac:dyDescent="0.25">
      <c r="A4688" s="3" t="str">
        <f t="shared" si="152"/>
        <v>ΡΥΖΙΡΥΖΙ ACHILLE</v>
      </c>
      <c r="B4688" s="4" t="s">
        <v>8697</v>
      </c>
      <c r="C4688" s="5" t="s">
        <v>8874</v>
      </c>
      <c r="D4688" s="6">
        <v>1929.32</v>
      </c>
      <c r="E4688" s="6">
        <v>1033</v>
      </c>
      <c r="F4688" s="7" t="s">
        <v>14</v>
      </c>
      <c r="G4688" s="8" t="s">
        <v>8875</v>
      </c>
      <c r="H4688" s="8" t="s">
        <v>16</v>
      </c>
      <c r="I4688" s="9">
        <v>3744</v>
      </c>
      <c r="J4688" s="10">
        <v>7</v>
      </c>
      <c r="K4688" s="10">
        <v>7131</v>
      </c>
      <c r="L4688" s="3" t="str">
        <f t="shared" si="153"/>
        <v>ΡΥΖΙ</v>
      </c>
    </row>
    <row r="4689" spans="1:12" s="3" customFormat="1" ht="15" customHeight="1" x14ac:dyDescent="0.25">
      <c r="A4689" s="3" t="str">
        <f t="shared" si="152"/>
        <v>ΡΥΖΙΡΥΖΙ ALEXANDROS</v>
      </c>
      <c r="B4689" s="18" t="s">
        <v>8697</v>
      </c>
      <c r="C4689" s="19" t="s">
        <v>8876</v>
      </c>
      <c r="D4689" s="6">
        <v>1929.32</v>
      </c>
      <c r="E4689" s="6">
        <v>1033</v>
      </c>
      <c r="F4689" s="6" t="s">
        <v>14</v>
      </c>
      <c r="G4689" s="8" t="s">
        <v>8877</v>
      </c>
      <c r="H4689" s="8" t="s">
        <v>27</v>
      </c>
      <c r="I4689" s="9">
        <v>4367</v>
      </c>
      <c r="J4689" s="20">
        <v>7</v>
      </c>
      <c r="K4689" s="20">
        <v>7140</v>
      </c>
      <c r="L4689" s="3" t="str">
        <f t="shared" si="153"/>
        <v>ΡΥΖΙ</v>
      </c>
    </row>
    <row r="4690" spans="1:12" s="3" customFormat="1" ht="15" customHeight="1" x14ac:dyDescent="0.25">
      <c r="A4690" s="3" t="str">
        <f t="shared" si="152"/>
        <v>ΡΥΖΙΡΥΖΙ DIMITRA</v>
      </c>
      <c r="B4690" s="18" t="s">
        <v>8697</v>
      </c>
      <c r="C4690" s="19" t="s">
        <v>8878</v>
      </c>
      <c r="D4690" s="6">
        <v>1929.32</v>
      </c>
      <c r="E4690" s="6">
        <v>1033</v>
      </c>
      <c r="F4690" s="6" t="s">
        <v>14</v>
      </c>
      <c r="G4690" s="8" t="s">
        <v>8879</v>
      </c>
      <c r="H4690" s="8" t="s">
        <v>27</v>
      </c>
      <c r="I4690" s="9">
        <v>4368</v>
      </c>
      <c r="J4690" s="20">
        <v>7</v>
      </c>
      <c r="K4690" s="20">
        <v>7144</v>
      </c>
      <c r="L4690" s="3" t="str">
        <f t="shared" si="153"/>
        <v>ΡΥΖΙ</v>
      </c>
    </row>
    <row r="4691" spans="1:12" s="3" customFormat="1" ht="15" customHeight="1" x14ac:dyDescent="0.25">
      <c r="A4691" s="3" t="str">
        <f t="shared" si="152"/>
        <v>ΡΥΖΙΡΥΖΙ  GOLDEN RICE</v>
      </c>
      <c r="B4691" s="18" t="s">
        <v>8697</v>
      </c>
      <c r="C4691" s="19" t="s">
        <v>8880</v>
      </c>
      <c r="D4691" s="6">
        <v>1929.32</v>
      </c>
      <c r="E4691" s="6">
        <v>1033</v>
      </c>
      <c r="F4691" s="6" t="s">
        <v>14</v>
      </c>
      <c r="G4691" s="8" t="s">
        <v>8881</v>
      </c>
      <c r="H4691" s="8" t="s">
        <v>27</v>
      </c>
      <c r="I4691" s="9">
        <v>4369</v>
      </c>
      <c r="J4691" s="20">
        <v>7</v>
      </c>
      <c r="K4691" s="20">
        <v>7146</v>
      </c>
      <c r="L4691" s="3" t="str">
        <f t="shared" si="153"/>
        <v>ΡΥΖΙ</v>
      </c>
    </row>
    <row r="4692" spans="1:12" s="3" customFormat="1" ht="15" customHeight="1" x14ac:dyDescent="0.25">
      <c r="A4692" s="3" t="str">
        <f t="shared" si="152"/>
        <v>ΡΥΖΙΡΥΖΙ KALLISTON</v>
      </c>
      <c r="B4692" s="18" t="s">
        <v>8697</v>
      </c>
      <c r="C4692" s="19" t="s">
        <v>8882</v>
      </c>
      <c r="D4692" s="6">
        <v>1929.32</v>
      </c>
      <c r="E4692" s="6">
        <v>1033</v>
      </c>
      <c r="F4692" s="6" t="s">
        <v>14</v>
      </c>
      <c r="G4692" s="8" t="s">
        <v>8883</v>
      </c>
      <c r="H4692" s="8" t="s">
        <v>27</v>
      </c>
      <c r="I4692" s="9">
        <v>4370</v>
      </c>
      <c r="J4692" s="20">
        <v>7</v>
      </c>
      <c r="K4692" s="20">
        <v>7147</v>
      </c>
      <c r="L4692" s="3" t="str">
        <f t="shared" si="153"/>
        <v>ΡΥΖΙ</v>
      </c>
    </row>
    <row r="4693" spans="1:12" s="3" customFormat="1" ht="15" customHeight="1" x14ac:dyDescent="0.25">
      <c r="A4693" s="3" t="str">
        <f t="shared" si="152"/>
        <v>ΡΥΖΙΡΥΖΙ ΛΟΙΠΕΣ ΠΟΙΚΙΛΙΕΣ</v>
      </c>
      <c r="B4693" s="18" t="s">
        <v>8697</v>
      </c>
      <c r="C4693" s="19" t="s">
        <v>8884</v>
      </c>
      <c r="D4693" s="6">
        <v>1929.32</v>
      </c>
      <c r="E4693" s="6">
        <v>1033</v>
      </c>
      <c r="F4693" s="6" t="s">
        <v>14</v>
      </c>
      <c r="G4693" s="8" t="s">
        <v>8885</v>
      </c>
      <c r="H4693" s="8" t="s">
        <v>27</v>
      </c>
      <c r="I4693" s="9">
        <v>4371</v>
      </c>
      <c r="J4693" s="20">
        <v>7</v>
      </c>
      <c r="K4693" s="20">
        <v>7199</v>
      </c>
      <c r="L4693" s="3" t="str">
        <f t="shared" si="153"/>
        <v>ΡΥΖΙ</v>
      </c>
    </row>
    <row r="4694" spans="1:12" s="3" customFormat="1" ht="15" customHeight="1" x14ac:dyDescent="0.25">
      <c r="A4694" s="3" t="str">
        <f t="shared" si="152"/>
        <v>ΣΚΛΗΡΟΣ ΣΙΤΟΣΣΙΤΟΣ ΣΚΛΗΡΟΣ ETTORE</v>
      </c>
      <c r="B4694" s="4" t="s">
        <v>8886</v>
      </c>
      <c r="C4694" s="5" t="s">
        <v>8887</v>
      </c>
      <c r="D4694" s="6">
        <v>517.94000000000005</v>
      </c>
      <c r="E4694" s="6">
        <v>492.2</v>
      </c>
      <c r="F4694" s="7" t="s">
        <v>14</v>
      </c>
      <c r="G4694" s="8" t="s">
        <v>8888</v>
      </c>
      <c r="H4694" s="8" t="s">
        <v>16</v>
      </c>
      <c r="I4694" s="9">
        <v>35</v>
      </c>
      <c r="J4694" s="10">
        <v>1</v>
      </c>
      <c r="K4694" s="10">
        <v>10200</v>
      </c>
      <c r="L4694" s="3" t="str">
        <f t="shared" si="153"/>
        <v>ΣΚΛΗΡΟΣ_ΣΙΤΟΣ</v>
      </c>
    </row>
    <row r="4695" spans="1:12" s="3" customFormat="1" ht="15" customHeight="1" x14ac:dyDescent="0.25">
      <c r="A4695" s="3" t="str">
        <f t="shared" si="152"/>
        <v>ΣΚΛΗΡΟΣ ΣΙΤΟΣΣΙΤΟΣ ΣΚΛΗΡΟΣ MARAKAS</v>
      </c>
      <c r="B4695" s="4" t="s">
        <v>8886</v>
      </c>
      <c r="C4695" s="5" t="s">
        <v>8889</v>
      </c>
      <c r="D4695" s="6">
        <v>517.94000000000005</v>
      </c>
      <c r="E4695" s="6">
        <v>492.2</v>
      </c>
      <c r="F4695" s="7" t="s">
        <v>14</v>
      </c>
      <c r="G4695" s="8" t="s">
        <v>8890</v>
      </c>
      <c r="H4695" s="8" t="s">
        <v>16</v>
      </c>
      <c r="I4695" s="9">
        <v>55</v>
      </c>
      <c r="J4695" s="10">
        <v>1</v>
      </c>
      <c r="K4695" s="10">
        <v>10201</v>
      </c>
      <c r="L4695" s="3" t="str">
        <f t="shared" si="153"/>
        <v>ΣΚΛΗΡΟΣ_ΣΙΤΟΣ</v>
      </c>
    </row>
    <row r="4696" spans="1:12" s="3" customFormat="1" ht="15" customHeight="1" x14ac:dyDescent="0.25">
      <c r="A4696" s="3" t="str">
        <f t="shared" si="152"/>
        <v>ΣΚΛΗΡΟΣ ΣΙΤΟΣΣΙΤΟΣ ΣΚΛΗΡΟΣ OURANIA</v>
      </c>
      <c r="B4696" s="4" t="s">
        <v>8886</v>
      </c>
      <c r="C4696" s="5" t="s">
        <v>8891</v>
      </c>
      <c r="D4696" s="6">
        <v>517.94000000000005</v>
      </c>
      <c r="E4696" s="6">
        <v>492.2</v>
      </c>
      <c r="F4696" s="7" t="s">
        <v>14</v>
      </c>
      <c r="G4696" s="8" t="s">
        <v>8892</v>
      </c>
      <c r="H4696" s="8" t="s">
        <v>16</v>
      </c>
      <c r="I4696" s="9">
        <v>39</v>
      </c>
      <c r="J4696" s="10">
        <v>1</v>
      </c>
      <c r="K4696" s="10">
        <v>10202</v>
      </c>
      <c r="L4696" s="3" t="str">
        <f t="shared" si="153"/>
        <v>ΣΚΛΗΡΟΣ_ΣΙΤΟΣ</v>
      </c>
    </row>
    <row r="4697" spans="1:12" s="3" customFormat="1" ht="15" customHeight="1" x14ac:dyDescent="0.25">
      <c r="A4697" s="3" t="str">
        <f t="shared" si="152"/>
        <v>ΣΚΛΗΡΟΣ ΣΙΤΟΣΣΙΤΟΣ ΣΚΛΗΡΟΣ CUSPIDE</v>
      </c>
      <c r="B4697" s="4" t="s">
        <v>8886</v>
      </c>
      <c r="C4697" s="5" t="s">
        <v>8893</v>
      </c>
      <c r="D4697" s="6">
        <v>517.94000000000005</v>
      </c>
      <c r="E4697" s="6">
        <v>492.2</v>
      </c>
      <c r="F4697" s="7" t="s">
        <v>14</v>
      </c>
      <c r="G4697" s="8" t="s">
        <v>8894</v>
      </c>
      <c r="H4697" s="8" t="s">
        <v>16</v>
      </c>
      <c r="I4697" s="9">
        <v>41</v>
      </c>
      <c r="J4697" s="10">
        <v>1</v>
      </c>
      <c r="K4697" s="10">
        <v>10203</v>
      </c>
      <c r="L4697" s="3" t="str">
        <f t="shared" si="153"/>
        <v>ΣΚΛΗΡΟΣ_ΣΙΤΟΣ</v>
      </c>
    </row>
    <row r="4698" spans="1:12" s="3" customFormat="1" ht="15" customHeight="1" x14ac:dyDescent="0.25">
      <c r="A4698" s="3" t="str">
        <f t="shared" si="152"/>
        <v>ΣΚΛΗΡΟΣ ΣΙΤΟΣΣΙΤΟΣ ΣΚΛΗΡΟΣ OVIDIO</v>
      </c>
      <c r="B4698" s="4" t="s">
        <v>8886</v>
      </c>
      <c r="C4698" s="5" t="s">
        <v>8895</v>
      </c>
      <c r="D4698" s="6">
        <v>517.94000000000005</v>
      </c>
      <c r="E4698" s="6">
        <v>492.2</v>
      </c>
      <c r="F4698" s="7" t="s">
        <v>14</v>
      </c>
      <c r="G4698" s="8" t="s">
        <v>8896</v>
      </c>
      <c r="H4698" s="8" t="s">
        <v>16</v>
      </c>
      <c r="I4698" s="9">
        <v>63</v>
      </c>
      <c r="J4698" s="10">
        <v>1</v>
      </c>
      <c r="K4698" s="10">
        <v>10240</v>
      </c>
      <c r="L4698" s="3" t="str">
        <f t="shared" si="153"/>
        <v>ΣΚΛΗΡΟΣ_ΣΙΤΟΣ</v>
      </c>
    </row>
    <row r="4699" spans="1:12" s="3" customFormat="1" ht="15" customHeight="1" x14ac:dyDescent="0.25">
      <c r="A4699" s="3" t="str">
        <f t="shared" si="152"/>
        <v>ΣΚΛΗΡΟΣ ΣΙΤΟΣΣΙΤΟΣ ΣΚΛΗΡΟΣ LATINUR</v>
      </c>
      <c r="B4699" s="4" t="s">
        <v>8886</v>
      </c>
      <c r="C4699" s="5" t="s">
        <v>8897</v>
      </c>
      <c r="D4699" s="6">
        <v>517.94000000000005</v>
      </c>
      <c r="E4699" s="6">
        <v>492.2</v>
      </c>
      <c r="F4699" s="7" t="s">
        <v>14</v>
      </c>
      <c r="G4699" s="8" t="s">
        <v>8898</v>
      </c>
      <c r="H4699" s="8" t="s">
        <v>16</v>
      </c>
      <c r="I4699" s="9">
        <v>62</v>
      </c>
      <c r="J4699" s="10">
        <v>1</v>
      </c>
      <c r="K4699" s="10">
        <v>10242</v>
      </c>
      <c r="L4699" s="3" t="str">
        <f t="shared" si="153"/>
        <v>ΣΚΛΗΡΟΣ_ΣΙΤΟΣ</v>
      </c>
    </row>
    <row r="4700" spans="1:12" s="3" customFormat="1" ht="15" customHeight="1" x14ac:dyDescent="0.25">
      <c r="A4700" s="3" t="str">
        <f t="shared" si="152"/>
        <v>ΣΚΛΗΡΟΣ ΣΙΤΟΣΣΙΤΟΣ ΣΚΛΗΡΟΣ EMILIO LEPIDO</v>
      </c>
      <c r="B4700" s="4" t="s">
        <v>8886</v>
      </c>
      <c r="C4700" s="5" t="s">
        <v>8899</v>
      </c>
      <c r="D4700" s="6">
        <v>517.94000000000005</v>
      </c>
      <c r="E4700" s="6">
        <v>492.2</v>
      </c>
      <c r="F4700" s="7" t="s">
        <v>14</v>
      </c>
      <c r="G4700" s="8" t="s">
        <v>8900</v>
      </c>
      <c r="H4700" s="8" t="s">
        <v>16</v>
      </c>
      <c r="I4700" s="9">
        <v>61</v>
      </c>
      <c r="J4700" s="10">
        <v>1</v>
      </c>
      <c r="K4700" s="10">
        <v>10305</v>
      </c>
      <c r="L4700" s="3" t="str">
        <f t="shared" si="153"/>
        <v>ΣΚΛΗΡΟΣ_ΣΙΤΟΣ</v>
      </c>
    </row>
    <row r="4701" spans="1:12" s="3" customFormat="1" ht="15" customHeight="1" x14ac:dyDescent="0.25">
      <c r="A4701" s="3" t="str">
        <f t="shared" si="152"/>
        <v>ΣΚΛΗΡΟΣ ΣΙΤΟΣΣΙΤΟΣ ΣΚΛΗΡΟΣ OBELIX</v>
      </c>
      <c r="B4701" s="4" t="s">
        <v>8886</v>
      </c>
      <c r="C4701" s="5" t="s">
        <v>8901</v>
      </c>
      <c r="D4701" s="6">
        <v>517.94000000000005</v>
      </c>
      <c r="E4701" s="6">
        <v>492.2</v>
      </c>
      <c r="F4701" s="7" t="s">
        <v>14</v>
      </c>
      <c r="G4701" s="8" t="s">
        <v>8902</v>
      </c>
      <c r="H4701" s="8" t="s">
        <v>16</v>
      </c>
      <c r="I4701" s="9">
        <v>60</v>
      </c>
      <c r="J4701" s="10">
        <v>1</v>
      </c>
      <c r="K4701" s="10">
        <v>10306</v>
      </c>
      <c r="L4701" s="3" t="str">
        <f t="shared" si="153"/>
        <v>ΣΚΛΗΡΟΣ_ΣΙΤΟΣ</v>
      </c>
    </row>
    <row r="4702" spans="1:12" s="3" customFormat="1" ht="15" customHeight="1" x14ac:dyDescent="0.25">
      <c r="A4702" s="3" t="str">
        <f t="shared" si="152"/>
        <v>ΣΚΛΗΡΟΣ ΣΙΤΟΣΣΙΤΟΣ ΣΚΛΗΡΟΣ GIBRALTAR</v>
      </c>
      <c r="B4702" s="4" t="s">
        <v>8886</v>
      </c>
      <c r="C4702" s="5" t="s">
        <v>8903</v>
      </c>
      <c r="D4702" s="6">
        <v>517.94000000000005</v>
      </c>
      <c r="E4702" s="6">
        <v>492.2</v>
      </c>
      <c r="F4702" s="7" t="s">
        <v>14</v>
      </c>
      <c r="G4702" s="8" t="s">
        <v>8904</v>
      </c>
      <c r="H4702" s="8" t="s">
        <v>16</v>
      </c>
      <c r="I4702" s="9">
        <v>59</v>
      </c>
      <c r="J4702" s="10">
        <v>1</v>
      </c>
      <c r="K4702" s="10">
        <v>10307</v>
      </c>
      <c r="L4702" s="3" t="str">
        <f t="shared" si="153"/>
        <v>ΣΚΛΗΡΟΣ_ΣΙΤΟΣ</v>
      </c>
    </row>
    <row r="4703" spans="1:12" s="3" customFormat="1" ht="15" customHeight="1" x14ac:dyDescent="0.25">
      <c r="A4703" s="3" t="str">
        <f t="shared" si="152"/>
        <v>ΣΚΛΗΡΟΣ ΣΙΤΟΣΣΙΤΟΣ ΣΚΛΗΡΟΣ FABULIS</v>
      </c>
      <c r="B4703" s="4" t="s">
        <v>8886</v>
      </c>
      <c r="C4703" s="5" t="s">
        <v>8905</v>
      </c>
      <c r="D4703" s="6">
        <v>517.94000000000005</v>
      </c>
      <c r="E4703" s="6">
        <v>492.2</v>
      </c>
      <c r="F4703" s="7" t="s">
        <v>14</v>
      </c>
      <c r="G4703" s="8" t="s">
        <v>8906</v>
      </c>
      <c r="H4703" s="8" t="s">
        <v>16</v>
      </c>
      <c r="I4703" s="9">
        <v>58</v>
      </c>
      <c r="J4703" s="10">
        <v>1</v>
      </c>
      <c r="K4703" s="10">
        <v>10308</v>
      </c>
      <c r="L4703" s="3" t="str">
        <f t="shared" si="153"/>
        <v>ΣΚΛΗΡΟΣ_ΣΙΤΟΣ</v>
      </c>
    </row>
    <row r="4704" spans="1:12" s="3" customFormat="1" ht="15" customHeight="1" x14ac:dyDescent="0.25">
      <c r="A4704" s="3" t="str">
        <f t="shared" si="152"/>
        <v>ΣΚΛΗΡΟΣ ΣΙΤΟΣΣΙΤΟΣ ΣΚΛΗΡΟΣ BONIDURO</v>
      </c>
      <c r="B4704" s="4" t="s">
        <v>8886</v>
      </c>
      <c r="C4704" s="5" t="s">
        <v>8907</v>
      </c>
      <c r="D4704" s="6">
        <v>517.94000000000005</v>
      </c>
      <c r="E4704" s="6">
        <v>492.2</v>
      </c>
      <c r="F4704" s="7" t="s">
        <v>14</v>
      </c>
      <c r="G4704" s="8" t="s">
        <v>8908</v>
      </c>
      <c r="H4704" s="8" t="s">
        <v>16</v>
      </c>
      <c r="I4704" s="9">
        <v>49</v>
      </c>
      <c r="J4704" s="10">
        <v>1</v>
      </c>
      <c r="K4704" s="10">
        <v>10309</v>
      </c>
      <c r="L4704" s="3" t="str">
        <f t="shared" si="153"/>
        <v>ΣΚΛΗΡΟΣ_ΣΙΤΟΣ</v>
      </c>
    </row>
    <row r="4705" spans="1:12" s="3" customFormat="1" ht="15" customHeight="1" x14ac:dyDescent="0.25">
      <c r="A4705" s="3" t="str">
        <f t="shared" si="152"/>
        <v>ΣΚΛΗΡΟΣ ΣΙΤΟΣΣΙΤΟΣ ΣΚΛΗΡΟΣ ALEMANNO</v>
      </c>
      <c r="B4705" s="4" t="s">
        <v>8886</v>
      </c>
      <c r="C4705" s="5" t="s">
        <v>8909</v>
      </c>
      <c r="D4705" s="6">
        <v>517.94000000000005</v>
      </c>
      <c r="E4705" s="6">
        <v>492.2</v>
      </c>
      <c r="F4705" s="7" t="s">
        <v>14</v>
      </c>
      <c r="G4705" s="8" t="s">
        <v>8910</v>
      </c>
      <c r="H4705" s="8" t="s">
        <v>16</v>
      </c>
      <c r="I4705" s="9">
        <v>56</v>
      </c>
      <c r="J4705" s="10">
        <v>1</v>
      </c>
      <c r="K4705" s="10">
        <v>10310</v>
      </c>
      <c r="L4705" s="3" t="str">
        <f t="shared" si="153"/>
        <v>ΣΚΛΗΡΟΣ_ΣΙΤΟΣ</v>
      </c>
    </row>
    <row r="4706" spans="1:12" s="3" customFormat="1" ht="15" customHeight="1" x14ac:dyDescent="0.25">
      <c r="A4706" s="3" t="str">
        <f t="shared" si="152"/>
        <v>ΣΚΛΗΡΟΣ ΣΙΤΟΣΣΙΤΟΣ ΣΚΛΗΡΟΣ CALO</v>
      </c>
      <c r="B4706" s="4" t="s">
        <v>8886</v>
      </c>
      <c r="C4706" s="5" t="s">
        <v>8911</v>
      </c>
      <c r="D4706" s="6">
        <v>517.94000000000005</v>
      </c>
      <c r="E4706" s="6">
        <v>492.2</v>
      </c>
      <c r="F4706" s="7" t="s">
        <v>14</v>
      </c>
      <c r="G4706" s="8" t="s">
        <v>8912</v>
      </c>
      <c r="H4706" s="8" t="s">
        <v>16</v>
      </c>
      <c r="I4706" s="9">
        <v>64</v>
      </c>
      <c r="J4706" s="10">
        <v>1</v>
      </c>
      <c r="K4706" s="10">
        <v>10311</v>
      </c>
      <c r="L4706" s="3" t="str">
        <f t="shared" si="153"/>
        <v>ΣΚΛΗΡΟΣ_ΣΙΤΟΣ</v>
      </c>
    </row>
    <row r="4707" spans="1:12" s="3" customFormat="1" ht="15" customHeight="1" x14ac:dyDescent="0.25">
      <c r="A4707" s="3" t="str">
        <f t="shared" si="152"/>
        <v>ΣΚΛΗΡΟΣ ΣΙΤΟΣΣΙΤΟΣ ΣΚΛΗΡΟΣ APALOOSA</v>
      </c>
      <c r="B4707" s="4" t="s">
        <v>8886</v>
      </c>
      <c r="C4707" s="5" t="s">
        <v>8913</v>
      </c>
      <c r="D4707" s="6">
        <v>517.94000000000005</v>
      </c>
      <c r="E4707" s="6">
        <v>492.2</v>
      </c>
      <c r="F4707" s="7" t="s">
        <v>14</v>
      </c>
      <c r="G4707" s="8" t="s">
        <v>8914</v>
      </c>
      <c r="H4707" s="8" t="s">
        <v>16</v>
      </c>
      <c r="I4707" s="9">
        <v>54</v>
      </c>
      <c r="J4707" s="10">
        <v>1</v>
      </c>
      <c r="K4707" s="10">
        <v>10312</v>
      </c>
      <c r="L4707" s="3" t="str">
        <f t="shared" si="153"/>
        <v>ΣΚΛΗΡΟΣ_ΣΙΤΟΣ</v>
      </c>
    </row>
    <row r="4708" spans="1:12" s="3" customFormat="1" ht="15" customHeight="1" x14ac:dyDescent="0.25">
      <c r="A4708" s="3" t="str">
        <f t="shared" si="152"/>
        <v>ΣΚΛΗΡΟΣ ΣΙΤΟΣΣΙΤΟΣ ΣΚΛΗΡΟΣ MARIO</v>
      </c>
      <c r="B4708" s="4" t="s">
        <v>8886</v>
      </c>
      <c r="C4708" s="5" t="s">
        <v>8915</v>
      </c>
      <c r="D4708" s="6">
        <v>517.94000000000005</v>
      </c>
      <c r="E4708" s="6">
        <v>492.2</v>
      </c>
      <c r="F4708" s="7" t="s">
        <v>14</v>
      </c>
      <c r="G4708" s="8" t="s">
        <v>8916</v>
      </c>
      <c r="H4708" s="8" t="s">
        <v>16</v>
      </c>
      <c r="I4708" s="9">
        <v>53</v>
      </c>
      <c r="J4708" s="10">
        <v>1</v>
      </c>
      <c r="K4708" s="10">
        <v>10313</v>
      </c>
      <c r="L4708" s="3" t="str">
        <f t="shared" si="153"/>
        <v>ΣΚΛΗΡΟΣ_ΣΙΤΟΣ</v>
      </c>
    </row>
    <row r="4709" spans="1:12" s="3" customFormat="1" ht="15" customHeight="1" x14ac:dyDescent="0.25">
      <c r="A4709" s="3" t="str">
        <f t="shared" si="152"/>
        <v>ΣΚΛΗΡΟΣ ΣΙΤΟΣΣΚΛΗΡΟΣ ΣΙΤΟΣ FURIO CAMILLO</v>
      </c>
      <c r="B4709" s="4" t="s">
        <v>8886</v>
      </c>
      <c r="C4709" s="5" t="s">
        <v>8917</v>
      </c>
      <c r="D4709" s="6">
        <v>517.94000000000005</v>
      </c>
      <c r="E4709" s="6">
        <v>492.2</v>
      </c>
      <c r="F4709" s="7" t="s">
        <v>14</v>
      </c>
      <c r="G4709" s="8" t="s">
        <v>8918</v>
      </c>
      <c r="H4709" s="8" t="s">
        <v>16</v>
      </c>
      <c r="I4709" s="9">
        <v>52</v>
      </c>
      <c r="J4709" s="10">
        <v>1</v>
      </c>
      <c r="K4709" s="10">
        <v>10314</v>
      </c>
      <c r="L4709" s="3" t="str">
        <f t="shared" si="153"/>
        <v>ΣΚΛΗΡΟΣ_ΣΙΤΟΣ</v>
      </c>
    </row>
    <row r="4710" spans="1:12" s="3" customFormat="1" ht="15" customHeight="1" x14ac:dyDescent="0.25">
      <c r="A4710" s="3" t="str">
        <f t="shared" si="152"/>
        <v>ΣΚΛΗΡΟΣ ΣΙΤΟΣΣΙΤΟΣ ΣΚΛΗΡΟΣ ATHORIS</v>
      </c>
      <c r="B4710" s="4" t="s">
        <v>8886</v>
      </c>
      <c r="C4710" s="5" t="s">
        <v>8919</v>
      </c>
      <c r="D4710" s="6">
        <v>517.94000000000005</v>
      </c>
      <c r="E4710" s="6">
        <v>492.2</v>
      </c>
      <c r="F4710" s="7" t="s">
        <v>14</v>
      </c>
      <c r="G4710" s="8" t="s">
        <v>8920</v>
      </c>
      <c r="H4710" s="8" t="s">
        <v>16</v>
      </c>
      <c r="I4710" s="9">
        <v>51</v>
      </c>
      <c r="J4710" s="10">
        <v>1</v>
      </c>
      <c r="K4710" s="10">
        <v>10315</v>
      </c>
      <c r="L4710" s="3" t="str">
        <f t="shared" si="153"/>
        <v>ΣΚΛΗΡΟΣ_ΣΙΤΟΣ</v>
      </c>
    </row>
    <row r="4711" spans="1:12" s="3" customFormat="1" ht="15" customHeight="1" x14ac:dyDescent="0.25">
      <c r="A4711" s="3" t="str">
        <f t="shared" si="152"/>
        <v>ΣΚΛΗΡΟΣ ΣΙΤΟΣΣΙΤΟΣ ΣΚΛΗΡΟΣ ATOUDUR</v>
      </c>
      <c r="B4711" s="4" t="s">
        <v>8886</v>
      </c>
      <c r="C4711" s="5" t="s">
        <v>8921</v>
      </c>
      <c r="D4711" s="6">
        <v>517.94000000000005</v>
      </c>
      <c r="E4711" s="6">
        <v>492.2</v>
      </c>
      <c r="F4711" s="7" t="s">
        <v>14</v>
      </c>
      <c r="G4711" s="8" t="s">
        <v>8922</v>
      </c>
      <c r="H4711" s="8" t="s">
        <v>16</v>
      </c>
      <c r="I4711" s="9">
        <v>50</v>
      </c>
      <c r="J4711" s="10">
        <v>1</v>
      </c>
      <c r="K4711" s="10">
        <v>10316</v>
      </c>
      <c r="L4711" s="3" t="str">
        <f t="shared" si="153"/>
        <v>ΣΚΛΗΡΟΣ_ΣΙΤΟΣ</v>
      </c>
    </row>
    <row r="4712" spans="1:12" s="3" customFormat="1" ht="15" customHeight="1" x14ac:dyDescent="0.25">
      <c r="A4712" s="3" t="str">
        <f t="shared" si="152"/>
        <v>ΣΚΛΗΡΟΣ ΣΙΤΟΣΣΙΤΟΣ ΣΚΛΗΡΟΣ AUGUR</v>
      </c>
      <c r="B4712" s="4" t="s">
        <v>8886</v>
      </c>
      <c r="C4712" s="5" t="s">
        <v>8923</v>
      </c>
      <c r="D4712" s="6">
        <v>517.94000000000005</v>
      </c>
      <c r="E4712" s="6">
        <v>492.2</v>
      </c>
      <c r="F4712" s="7" t="s">
        <v>14</v>
      </c>
      <c r="G4712" s="8" t="s">
        <v>8924</v>
      </c>
      <c r="H4712" s="8" t="s">
        <v>27</v>
      </c>
      <c r="I4712" s="9">
        <v>25</v>
      </c>
      <c r="J4712" s="10">
        <v>1</v>
      </c>
      <c r="K4712" s="10">
        <v>10317</v>
      </c>
      <c r="L4712" s="3" t="str">
        <f t="shared" si="153"/>
        <v>ΣΚΛΗΡΟΣ_ΣΙΤΟΣ</v>
      </c>
    </row>
    <row r="4713" spans="1:12" s="3" customFormat="1" ht="15" customHeight="1" x14ac:dyDescent="0.25">
      <c r="A4713" s="3" t="str">
        <f t="shared" si="152"/>
        <v>ΣΚΛΗΡΟΣ ΣΙΤΟΣΣΙΤΟΣ ΣΚΛΗΡΟΣ AUGUSTO</v>
      </c>
      <c r="B4713" s="4" t="s">
        <v>8886</v>
      </c>
      <c r="C4713" s="5" t="s">
        <v>8925</v>
      </c>
      <c r="D4713" s="6">
        <v>517.94000000000005</v>
      </c>
      <c r="E4713" s="6">
        <v>492.2</v>
      </c>
      <c r="F4713" s="7" t="s">
        <v>14</v>
      </c>
      <c r="G4713" s="8" t="s">
        <v>8926</v>
      </c>
      <c r="H4713" s="8" t="s">
        <v>16</v>
      </c>
      <c r="I4713" s="9">
        <v>2</v>
      </c>
      <c r="J4713" s="10">
        <v>1</v>
      </c>
      <c r="K4713" s="10">
        <v>10318</v>
      </c>
      <c r="L4713" s="3" t="str">
        <f t="shared" si="153"/>
        <v>ΣΚΛΗΡΟΣ_ΣΙΤΟΣ</v>
      </c>
    </row>
    <row r="4714" spans="1:12" s="3" customFormat="1" ht="15" customHeight="1" x14ac:dyDescent="0.25">
      <c r="A4714" s="3" t="str">
        <f t="shared" si="152"/>
        <v>ΣΚΛΗΡΟΣ ΣΙΤΟΣΣΙΤΟΣ ΣΚΛΗΡΟΣ AURADUR</v>
      </c>
      <c r="B4714" s="4" t="s">
        <v>8886</v>
      </c>
      <c r="C4714" s="5" t="s">
        <v>8927</v>
      </c>
      <c r="D4714" s="6">
        <v>517.94000000000005</v>
      </c>
      <c r="E4714" s="6">
        <v>492.2</v>
      </c>
      <c r="F4714" s="7" t="s">
        <v>14</v>
      </c>
      <c r="G4714" s="8" t="s">
        <v>8928</v>
      </c>
      <c r="H4714" s="8" t="s">
        <v>16</v>
      </c>
      <c r="I4714" s="9">
        <v>34</v>
      </c>
      <c r="J4714" s="10">
        <v>1</v>
      </c>
      <c r="K4714" s="10">
        <v>10319</v>
      </c>
      <c r="L4714" s="3" t="str">
        <f t="shared" si="153"/>
        <v>ΣΚΛΗΡΟΣ_ΣΙΤΟΣ</v>
      </c>
    </row>
    <row r="4715" spans="1:12" s="3" customFormat="1" ht="15" customHeight="1" x14ac:dyDescent="0.25">
      <c r="A4715" s="3" t="str">
        <f t="shared" si="152"/>
        <v>ΣΚΛΗΡΟΣ ΣΙΤΟΣΣΙΤΟΣ ΣΚΛΗΡΟΣ AUREO</v>
      </c>
      <c r="B4715" s="4" t="s">
        <v>8886</v>
      </c>
      <c r="C4715" s="5" t="s">
        <v>8929</v>
      </c>
      <c r="D4715" s="6">
        <v>517.94000000000005</v>
      </c>
      <c r="E4715" s="6">
        <v>492.2</v>
      </c>
      <c r="F4715" s="7" t="s">
        <v>14</v>
      </c>
      <c r="G4715" s="8" t="s">
        <v>8930</v>
      </c>
      <c r="H4715" s="8" t="s">
        <v>16</v>
      </c>
      <c r="I4715" s="9">
        <v>14</v>
      </c>
      <c r="J4715" s="10">
        <v>1</v>
      </c>
      <c r="K4715" s="10">
        <v>10320</v>
      </c>
      <c r="L4715" s="3" t="str">
        <f t="shared" si="153"/>
        <v>ΣΚΛΗΡΟΣ_ΣΙΤΟΣ</v>
      </c>
    </row>
    <row r="4716" spans="1:12" s="3" customFormat="1" ht="15" customHeight="1" x14ac:dyDescent="0.25">
      <c r="A4716" s="3" t="str">
        <f t="shared" si="152"/>
        <v>ΣΚΛΗΡΟΣ ΣΙΤΟΣΣΙΤΟΣ ΣΚΛΗΡΟΣ AURIS</v>
      </c>
      <c r="B4716" s="18" t="s">
        <v>8886</v>
      </c>
      <c r="C4716" s="19" t="s">
        <v>8931</v>
      </c>
      <c r="D4716" s="6">
        <v>517.94000000000005</v>
      </c>
      <c r="E4716" s="6">
        <v>492.2</v>
      </c>
      <c r="F4716" s="6" t="s">
        <v>14</v>
      </c>
      <c r="G4716" s="8" t="s">
        <v>8932</v>
      </c>
      <c r="H4716" s="8" t="s">
        <v>27</v>
      </c>
      <c r="I4716" s="9">
        <v>4380</v>
      </c>
      <c r="J4716" s="20">
        <v>1</v>
      </c>
      <c r="K4716" s="20">
        <v>10321</v>
      </c>
      <c r="L4716" s="3" t="str">
        <f t="shared" si="153"/>
        <v>ΣΚΛΗΡΟΣ_ΣΙΤΟΣ</v>
      </c>
    </row>
    <row r="4717" spans="1:12" s="3" customFormat="1" ht="15" customHeight="1" x14ac:dyDescent="0.25">
      <c r="A4717" s="3" t="str">
        <f t="shared" si="152"/>
        <v>ΣΚΛΗΡΟΣ ΣΙΤΟΣΣΙΤΟΣ ΣΚΛΗΡΟΣ AVENTUR</v>
      </c>
      <c r="B4717" s="4" t="s">
        <v>8886</v>
      </c>
      <c r="C4717" s="5" t="s">
        <v>8933</v>
      </c>
      <c r="D4717" s="6">
        <v>517.94000000000005</v>
      </c>
      <c r="E4717" s="6">
        <v>492.2</v>
      </c>
      <c r="F4717" s="7" t="s">
        <v>14</v>
      </c>
      <c r="G4717" s="8" t="s">
        <v>8934</v>
      </c>
      <c r="H4717" s="8" t="s">
        <v>27</v>
      </c>
      <c r="I4717" s="9">
        <v>13</v>
      </c>
      <c r="J4717" s="10">
        <v>1</v>
      </c>
      <c r="K4717" s="10">
        <v>10322</v>
      </c>
      <c r="L4717" s="3" t="str">
        <f t="shared" si="153"/>
        <v>ΣΚΛΗΡΟΣ_ΣΙΤΟΣ</v>
      </c>
    </row>
    <row r="4718" spans="1:12" s="3" customFormat="1" ht="15" customHeight="1" x14ac:dyDescent="0.25">
      <c r="A4718" s="3" t="str">
        <f t="shared" si="152"/>
        <v>ΣΚΛΗΡΟΣ ΣΙΤΟΣΣΙΤΟΣ ΣΚΛΗΡΟΣ AYLLON</v>
      </c>
      <c r="B4718" s="18" t="s">
        <v>8886</v>
      </c>
      <c r="C4718" s="19" t="s">
        <v>8935</v>
      </c>
      <c r="D4718" s="6">
        <v>517.94000000000005</v>
      </c>
      <c r="E4718" s="6">
        <v>492.2</v>
      </c>
      <c r="F4718" s="6" t="s">
        <v>14</v>
      </c>
      <c r="G4718" s="8" t="s">
        <v>8936</v>
      </c>
      <c r="H4718" s="8" t="s">
        <v>27</v>
      </c>
      <c r="I4718" s="9">
        <v>4381</v>
      </c>
      <c r="J4718" s="20">
        <v>1</v>
      </c>
      <c r="K4718" s="20">
        <v>10323</v>
      </c>
      <c r="L4718" s="3" t="str">
        <f t="shared" si="153"/>
        <v>ΣΚΛΗΡΟΣ_ΣΙΤΟΣ</v>
      </c>
    </row>
    <row r="4719" spans="1:12" s="3" customFormat="1" ht="15" customHeight="1" x14ac:dyDescent="0.25">
      <c r="A4719" s="3" t="str">
        <f t="shared" si="152"/>
        <v>ΣΚΛΗΡΟΣ ΣΙΤΟΣΣΙΤΟΣ ΣΚΛΗΡΟΣ BABYLONE</v>
      </c>
      <c r="B4719" s="4" t="s">
        <v>8886</v>
      </c>
      <c r="C4719" s="5" t="s">
        <v>8937</v>
      </c>
      <c r="D4719" s="6">
        <v>517.94000000000005</v>
      </c>
      <c r="E4719" s="6">
        <v>492.2</v>
      </c>
      <c r="F4719" s="7" t="s">
        <v>14</v>
      </c>
      <c r="G4719" s="8" t="s">
        <v>8938</v>
      </c>
      <c r="H4719" s="8" t="s">
        <v>16</v>
      </c>
      <c r="I4719" s="9">
        <v>12</v>
      </c>
      <c r="J4719" s="10">
        <v>1</v>
      </c>
      <c r="K4719" s="10">
        <v>10324</v>
      </c>
      <c r="L4719" s="3" t="str">
        <f t="shared" si="153"/>
        <v>ΣΚΛΗΡΟΣ_ΣΙΤΟΣ</v>
      </c>
    </row>
    <row r="4720" spans="1:12" s="3" customFormat="1" ht="15" customHeight="1" x14ac:dyDescent="0.25">
      <c r="A4720" s="3" t="str">
        <f t="shared" si="152"/>
        <v>ΣΚΛΗΡΟΣ ΣΙΤΟΣΣΙΤΟΣ ΣΚΛΗΡΟΣ BALSAMO</v>
      </c>
      <c r="B4720" s="4" t="s">
        <v>8886</v>
      </c>
      <c r="C4720" s="5" t="s">
        <v>8939</v>
      </c>
      <c r="D4720" s="6">
        <v>517.94000000000005</v>
      </c>
      <c r="E4720" s="6">
        <v>492.2</v>
      </c>
      <c r="F4720" s="7" t="s">
        <v>14</v>
      </c>
      <c r="G4720" s="8" t="s">
        <v>8940</v>
      </c>
      <c r="H4720" s="8" t="s">
        <v>16</v>
      </c>
      <c r="I4720" s="9">
        <v>11</v>
      </c>
      <c r="J4720" s="10">
        <v>1</v>
      </c>
      <c r="K4720" s="10">
        <v>10325</v>
      </c>
      <c r="L4720" s="3" t="str">
        <f t="shared" si="153"/>
        <v>ΣΚΛΗΡΟΣ_ΣΙΤΟΣ</v>
      </c>
    </row>
    <row r="4721" spans="1:12" s="3" customFormat="1" ht="15" customHeight="1" x14ac:dyDescent="0.25">
      <c r="A4721" s="3" t="str">
        <f t="shared" si="152"/>
        <v>ΣΚΛΗΡΟΣ ΣΙΤΟΣΣΙΤΟΣ ΣΚΛΗΡΟΣ BAZTAN</v>
      </c>
      <c r="B4721" s="18" t="s">
        <v>8886</v>
      </c>
      <c r="C4721" s="19" t="s">
        <v>8941</v>
      </c>
      <c r="D4721" s="6">
        <v>517.94000000000005</v>
      </c>
      <c r="E4721" s="6">
        <v>492.2</v>
      </c>
      <c r="F4721" s="6" t="s">
        <v>14</v>
      </c>
      <c r="G4721" s="8" t="s">
        <v>8942</v>
      </c>
      <c r="H4721" s="8" t="s">
        <v>27</v>
      </c>
      <c r="I4721" s="9">
        <v>4382</v>
      </c>
      <c r="J4721" s="20">
        <v>1</v>
      </c>
      <c r="K4721" s="20">
        <v>10326</v>
      </c>
      <c r="L4721" s="3" t="str">
        <f t="shared" si="153"/>
        <v>ΣΚΛΗΡΟΣ_ΣΙΤΟΣ</v>
      </c>
    </row>
    <row r="4722" spans="1:12" s="3" customFormat="1" ht="15" customHeight="1" x14ac:dyDescent="0.25">
      <c r="A4722" s="3" t="str">
        <f t="shared" si="152"/>
        <v>ΣΚΛΗΡΟΣ ΣΙΤΟΣΣΙΤΟΣ ΣΚΛΗΡΟΣ BELDUR</v>
      </c>
      <c r="B4722" s="18" t="s">
        <v>8886</v>
      </c>
      <c r="C4722" s="19" t="s">
        <v>8943</v>
      </c>
      <c r="D4722" s="6">
        <v>517.94000000000005</v>
      </c>
      <c r="E4722" s="6">
        <v>492.2</v>
      </c>
      <c r="F4722" s="6" t="s">
        <v>14</v>
      </c>
      <c r="G4722" s="8" t="s">
        <v>8944</v>
      </c>
      <c r="H4722" s="8" t="s">
        <v>27</v>
      </c>
      <c r="I4722" s="9">
        <v>4383</v>
      </c>
      <c r="J4722" s="20">
        <v>1</v>
      </c>
      <c r="K4722" s="20">
        <v>10327</v>
      </c>
      <c r="L4722" s="3" t="str">
        <f t="shared" si="153"/>
        <v>ΣΚΛΗΡΟΣ_ΣΙΤΟΣ</v>
      </c>
    </row>
    <row r="4723" spans="1:12" s="3" customFormat="1" ht="15" customHeight="1" x14ac:dyDescent="0.25">
      <c r="A4723" s="3" t="str">
        <f t="shared" si="152"/>
        <v>ΣΚΛΗΡΟΣ ΣΙΤΟΣΣΙΤΟΣ ΣΚΛΗΡΟΣ BYZANCE</v>
      </c>
      <c r="B4723" s="4" t="s">
        <v>8886</v>
      </c>
      <c r="C4723" s="5" t="s">
        <v>8945</v>
      </c>
      <c r="D4723" s="6">
        <v>517.94000000000005</v>
      </c>
      <c r="E4723" s="6">
        <v>492.2</v>
      </c>
      <c r="F4723" s="7" t="s">
        <v>14</v>
      </c>
      <c r="G4723" s="8" t="s">
        <v>8946</v>
      </c>
      <c r="H4723" s="8" t="s">
        <v>27</v>
      </c>
      <c r="I4723" s="9">
        <v>10</v>
      </c>
      <c r="J4723" s="10">
        <v>1</v>
      </c>
      <c r="K4723" s="10">
        <v>10328</v>
      </c>
      <c r="L4723" s="3" t="str">
        <f t="shared" si="153"/>
        <v>ΣΚΛΗΡΟΣ_ΣΙΤΟΣ</v>
      </c>
    </row>
    <row r="4724" spans="1:12" s="3" customFormat="1" ht="15" customHeight="1" x14ac:dyDescent="0.25">
      <c r="A4724" s="3" t="str">
        <f t="shared" si="152"/>
        <v>ΣΚΛΗΡΟΣ ΣΙΤΟΣΣΙΤΟΣ ΣΚΛΗΡΟΣ CALERO</v>
      </c>
      <c r="B4724" s="4" t="s">
        <v>8886</v>
      </c>
      <c r="C4724" s="5" t="s">
        <v>8947</v>
      </c>
      <c r="D4724" s="6">
        <v>517.94000000000005</v>
      </c>
      <c r="E4724" s="6">
        <v>492.2</v>
      </c>
      <c r="F4724" s="7" t="s">
        <v>14</v>
      </c>
      <c r="G4724" s="8" t="s">
        <v>8948</v>
      </c>
      <c r="H4724" s="8" t="s">
        <v>16</v>
      </c>
      <c r="I4724" s="9">
        <v>1</v>
      </c>
      <c r="J4724" s="10">
        <v>1</v>
      </c>
      <c r="K4724" s="10">
        <v>10329</v>
      </c>
      <c r="L4724" s="3" t="str">
        <f t="shared" si="153"/>
        <v>ΣΚΛΗΡΟΣ_ΣΙΤΟΣ</v>
      </c>
    </row>
    <row r="4725" spans="1:12" s="3" customFormat="1" ht="15" customHeight="1" x14ac:dyDescent="0.25">
      <c r="A4725" s="3" t="str">
        <f t="shared" si="152"/>
        <v>ΣΚΛΗΡΟΣ ΣΙΤΟΣΣΙΤΟΣ ΣΚΛΗΡΟΣ CAMPODORO</v>
      </c>
      <c r="B4725" s="4" t="s">
        <v>8886</v>
      </c>
      <c r="C4725" s="5" t="s">
        <v>8949</v>
      </c>
      <c r="D4725" s="6">
        <v>517.94000000000005</v>
      </c>
      <c r="E4725" s="6">
        <v>492.2</v>
      </c>
      <c r="F4725" s="7" t="s">
        <v>14</v>
      </c>
      <c r="G4725" s="8" t="s">
        <v>8950</v>
      </c>
      <c r="H4725" s="8" t="s">
        <v>16</v>
      </c>
      <c r="I4725" s="9">
        <v>8</v>
      </c>
      <c r="J4725" s="10">
        <v>1</v>
      </c>
      <c r="K4725" s="10">
        <v>10330</v>
      </c>
      <c r="L4725" s="3" t="str">
        <f t="shared" si="153"/>
        <v>ΣΚΛΗΡΟΣ_ΣΙΤΟΣ</v>
      </c>
    </row>
    <row r="4726" spans="1:12" s="3" customFormat="1" ht="15" customHeight="1" x14ac:dyDescent="0.25">
      <c r="A4726" s="3" t="str">
        <f t="shared" si="152"/>
        <v>ΣΚΛΗΡΟΣ ΣΙΤΟΣΣΙΤΟΣ ΣΚΛΗΡΟΣ CANCILLER</v>
      </c>
      <c r="B4726" s="4" t="s">
        <v>8886</v>
      </c>
      <c r="C4726" s="5" t="s">
        <v>8951</v>
      </c>
      <c r="D4726" s="6">
        <v>517.94000000000005</v>
      </c>
      <c r="E4726" s="6">
        <v>492.2</v>
      </c>
      <c r="F4726" s="7" t="s">
        <v>14</v>
      </c>
      <c r="G4726" s="8" t="s">
        <v>8952</v>
      </c>
      <c r="H4726" s="8" t="s">
        <v>16</v>
      </c>
      <c r="I4726" s="9">
        <v>16</v>
      </c>
      <c r="J4726" s="10">
        <v>1</v>
      </c>
      <c r="K4726" s="10">
        <v>10331</v>
      </c>
      <c r="L4726" s="3" t="str">
        <f t="shared" si="153"/>
        <v>ΣΚΛΗΡΟΣ_ΣΙΤΟΣ</v>
      </c>
    </row>
    <row r="4727" spans="1:12" s="3" customFormat="1" ht="15" customHeight="1" x14ac:dyDescent="0.25">
      <c r="A4727" s="3" t="str">
        <f t="shared" si="152"/>
        <v>ΣΚΛΗΡΟΣ ΣΙΤΟΣΣΙΤΟΣ ΣΚΛΗΡΟΣ CANTICO</v>
      </c>
      <c r="B4727" s="4" t="s">
        <v>8886</v>
      </c>
      <c r="C4727" s="5" t="s">
        <v>8953</v>
      </c>
      <c r="D4727" s="6">
        <v>517.94000000000005</v>
      </c>
      <c r="E4727" s="6">
        <v>492.2</v>
      </c>
      <c r="F4727" s="7" t="s">
        <v>14</v>
      </c>
      <c r="G4727" s="8" t="s">
        <v>8954</v>
      </c>
      <c r="H4727" s="8" t="s">
        <v>16</v>
      </c>
      <c r="I4727" s="9">
        <v>6</v>
      </c>
      <c r="J4727" s="10">
        <v>1</v>
      </c>
      <c r="K4727" s="10">
        <v>10332</v>
      </c>
      <c r="L4727" s="3" t="str">
        <f t="shared" si="153"/>
        <v>ΣΚΛΗΡΟΣ_ΣΙΤΟΣ</v>
      </c>
    </row>
    <row r="4728" spans="1:12" s="3" customFormat="1" ht="15" customHeight="1" x14ac:dyDescent="0.25">
      <c r="A4728" s="3" t="str">
        <f t="shared" si="152"/>
        <v>ΣΚΛΗΡΟΣ ΣΙΤΟΣΣΙΤΟΣ ΣΚΛΗΡΟΣ CASTELDOUX</v>
      </c>
      <c r="B4728" s="4" t="s">
        <v>8886</v>
      </c>
      <c r="C4728" s="5" t="s">
        <v>8955</v>
      </c>
      <c r="D4728" s="6">
        <v>517.94000000000005</v>
      </c>
      <c r="E4728" s="6">
        <v>492.2</v>
      </c>
      <c r="F4728" s="7" t="s">
        <v>14</v>
      </c>
      <c r="G4728" s="8" t="s">
        <v>8956</v>
      </c>
      <c r="H4728" s="8" t="s">
        <v>16</v>
      </c>
      <c r="I4728" s="9">
        <v>5</v>
      </c>
      <c r="J4728" s="10">
        <v>1</v>
      </c>
      <c r="K4728" s="10">
        <v>10333</v>
      </c>
      <c r="L4728" s="3" t="str">
        <f t="shared" si="153"/>
        <v>ΣΚΛΗΡΟΣ_ΣΙΤΟΣ</v>
      </c>
    </row>
    <row r="4729" spans="1:12" s="3" customFormat="1" ht="15" customHeight="1" x14ac:dyDescent="0.25">
      <c r="A4729" s="3" t="str">
        <f t="shared" si="152"/>
        <v>ΣΚΛΗΡΟΣ ΣΙΤΟΣΣΙΤΟΣ ΣΚΛΗΡΟΣ CASTELPORZIANO</v>
      </c>
      <c r="B4729" s="4" t="s">
        <v>8886</v>
      </c>
      <c r="C4729" s="5" t="s">
        <v>8957</v>
      </c>
      <c r="D4729" s="6">
        <v>517.94000000000005</v>
      </c>
      <c r="E4729" s="6">
        <v>492.2</v>
      </c>
      <c r="F4729" s="7" t="s">
        <v>14</v>
      </c>
      <c r="G4729" s="8" t="s">
        <v>8958</v>
      </c>
      <c r="H4729" s="8" t="s">
        <v>16</v>
      </c>
      <c r="I4729" s="9">
        <v>4</v>
      </c>
      <c r="J4729" s="10">
        <v>1</v>
      </c>
      <c r="K4729" s="10">
        <v>10334</v>
      </c>
      <c r="L4729" s="3" t="str">
        <f t="shared" si="153"/>
        <v>ΣΚΛΗΡΟΣ_ΣΙΤΟΣ</v>
      </c>
    </row>
    <row r="4730" spans="1:12" s="3" customFormat="1" ht="15" customHeight="1" x14ac:dyDescent="0.25">
      <c r="A4730" s="3" t="str">
        <f t="shared" si="152"/>
        <v>ΣΚΛΗΡΟΣ ΣΙΤΟΣΣΙΤΟΣ ΣΚΛΗΡΟΣ CASTRO</v>
      </c>
      <c r="B4730" s="4" t="s">
        <v>8886</v>
      </c>
      <c r="C4730" s="5" t="s">
        <v>8959</v>
      </c>
      <c r="D4730" s="6">
        <v>517.94000000000005</v>
      </c>
      <c r="E4730" s="6">
        <v>492.2</v>
      </c>
      <c r="F4730" s="7" t="s">
        <v>14</v>
      </c>
      <c r="G4730" s="8" t="s">
        <v>8960</v>
      </c>
      <c r="H4730" s="8" t="s">
        <v>16</v>
      </c>
      <c r="I4730" s="9">
        <v>3</v>
      </c>
      <c r="J4730" s="10">
        <v>1</v>
      </c>
      <c r="K4730" s="10">
        <v>10335</v>
      </c>
      <c r="L4730" s="3" t="str">
        <f t="shared" si="153"/>
        <v>ΣΚΛΗΡΟΣ_ΣΙΤΟΣ</v>
      </c>
    </row>
    <row r="4731" spans="1:12" s="3" customFormat="1" ht="15" customHeight="1" x14ac:dyDescent="0.25">
      <c r="A4731" s="3" t="str">
        <f t="shared" si="152"/>
        <v>ΣΚΛΗΡΟΣ ΣΙΤΟΣΣΙΤΟΣ ΣΚΛΗΡΟΣ CATASTA</v>
      </c>
      <c r="B4731" s="4" t="s">
        <v>8886</v>
      </c>
      <c r="C4731" s="5" t="s">
        <v>8961</v>
      </c>
      <c r="D4731" s="6">
        <v>517.94000000000005</v>
      </c>
      <c r="E4731" s="6">
        <v>492.2</v>
      </c>
      <c r="F4731" s="7" t="s">
        <v>14</v>
      </c>
      <c r="G4731" s="8" t="s">
        <v>8962</v>
      </c>
      <c r="H4731" s="8" t="s">
        <v>16</v>
      </c>
      <c r="I4731" s="9">
        <v>23</v>
      </c>
      <c r="J4731" s="10">
        <v>1</v>
      </c>
      <c r="K4731" s="10">
        <v>10336</v>
      </c>
      <c r="L4731" s="3" t="str">
        <f t="shared" si="153"/>
        <v>ΣΚΛΗΡΟΣ_ΣΙΤΟΣ</v>
      </c>
    </row>
    <row r="4732" spans="1:12" s="3" customFormat="1" ht="15" customHeight="1" x14ac:dyDescent="0.25">
      <c r="A4732" s="3" t="str">
        <f t="shared" si="152"/>
        <v>ΣΚΛΗΡΟΣ ΣΙΤΟΣΣΙΤΟΣ ΣΚΛΗΡΟΣ CELTA</v>
      </c>
      <c r="B4732" s="4" t="s">
        <v>8886</v>
      </c>
      <c r="C4732" s="5" t="s">
        <v>8963</v>
      </c>
      <c r="D4732" s="6">
        <v>517.94000000000005</v>
      </c>
      <c r="E4732" s="6">
        <v>492.2</v>
      </c>
      <c r="F4732" s="7" t="s">
        <v>14</v>
      </c>
      <c r="G4732" s="8" t="s">
        <v>8964</v>
      </c>
      <c r="H4732" s="8" t="s">
        <v>16</v>
      </c>
      <c r="I4732" s="9">
        <v>7</v>
      </c>
      <c r="J4732" s="10">
        <v>1</v>
      </c>
      <c r="K4732" s="10">
        <v>10337</v>
      </c>
      <c r="L4732" s="3" t="str">
        <f t="shared" si="153"/>
        <v>ΣΚΛΗΡΟΣ_ΣΙΤΟΣ</v>
      </c>
    </row>
    <row r="4733" spans="1:12" s="3" customFormat="1" ht="15" customHeight="1" x14ac:dyDescent="0.25">
      <c r="A4733" s="3" t="str">
        <f t="shared" si="152"/>
        <v>ΣΚΛΗΡΟΣ ΣΙΤΟΣΣΙΤΟΣ ΣΚΛΗΡΟΣ CESARE</v>
      </c>
      <c r="B4733" s="4" t="s">
        <v>8886</v>
      </c>
      <c r="C4733" s="5" t="s">
        <v>8965</v>
      </c>
      <c r="D4733" s="6">
        <v>517.94000000000005</v>
      </c>
      <c r="E4733" s="6">
        <v>492.2</v>
      </c>
      <c r="F4733" s="7" t="s">
        <v>14</v>
      </c>
      <c r="G4733" s="8" t="s">
        <v>8966</v>
      </c>
      <c r="H4733" s="8" t="s">
        <v>16</v>
      </c>
      <c r="I4733" s="9">
        <v>9</v>
      </c>
      <c r="J4733" s="10">
        <v>1</v>
      </c>
      <c r="K4733" s="10">
        <v>10338</v>
      </c>
      <c r="L4733" s="3" t="str">
        <f t="shared" si="153"/>
        <v>ΣΚΛΗΡΟΣ_ΣΙΤΟΣ</v>
      </c>
    </row>
    <row r="4734" spans="1:12" s="3" customFormat="1" ht="15" customHeight="1" x14ac:dyDescent="0.25">
      <c r="A4734" s="3" t="str">
        <f t="shared" si="152"/>
        <v>ΣΚΛΗΡΟΣ ΣΙΤΟΣΣΙΤΟΣ ΣΚΛΗΡΟΣ CHIARA</v>
      </c>
      <c r="B4734" s="4" t="s">
        <v>8886</v>
      </c>
      <c r="C4734" s="5" t="s">
        <v>8967</v>
      </c>
      <c r="D4734" s="6">
        <v>517.94000000000005</v>
      </c>
      <c r="E4734" s="6">
        <v>492.2</v>
      </c>
      <c r="F4734" s="7" t="s">
        <v>14</v>
      </c>
      <c r="G4734" s="8" t="s">
        <v>8968</v>
      </c>
      <c r="H4734" s="8" t="s">
        <v>16</v>
      </c>
      <c r="I4734" s="9">
        <v>31</v>
      </c>
      <c r="J4734" s="10">
        <v>1</v>
      </c>
      <c r="K4734" s="10">
        <v>10339</v>
      </c>
      <c r="L4734" s="3" t="str">
        <f t="shared" si="153"/>
        <v>ΣΚΛΗΡΟΣ_ΣΙΤΟΣ</v>
      </c>
    </row>
    <row r="4735" spans="1:12" s="3" customFormat="1" ht="15" customHeight="1" x14ac:dyDescent="0.25">
      <c r="A4735" s="3" t="str">
        <f t="shared" si="152"/>
        <v>ΣΚΛΗΡΟΣ ΣΙΤΟΣΣΙΤΟΣ ΣΚΛΗΡΟΣ CHISTERA</v>
      </c>
      <c r="B4735" s="4" t="s">
        <v>8886</v>
      </c>
      <c r="C4735" s="5" t="s">
        <v>8969</v>
      </c>
      <c r="D4735" s="6">
        <v>517.94000000000005</v>
      </c>
      <c r="E4735" s="6">
        <v>492.2</v>
      </c>
      <c r="F4735" s="7" t="s">
        <v>14</v>
      </c>
      <c r="G4735" s="8" t="s">
        <v>8970</v>
      </c>
      <c r="H4735" s="8" t="s">
        <v>16</v>
      </c>
      <c r="I4735" s="9">
        <v>30</v>
      </c>
      <c r="J4735" s="10">
        <v>1</v>
      </c>
      <c r="K4735" s="10">
        <v>10340</v>
      </c>
      <c r="L4735" s="3" t="str">
        <f t="shared" si="153"/>
        <v>ΣΚΛΗΡΟΣ_ΣΙΤΟΣ</v>
      </c>
    </row>
    <row r="4736" spans="1:12" s="3" customFormat="1" ht="15" customHeight="1" x14ac:dyDescent="0.25">
      <c r="A4736" s="3" t="str">
        <f t="shared" si="152"/>
        <v>ΣΚΛΗΡΟΣ ΣΙΤΟΣΣΙΤΟΣ ΣΚΛΗΡΟΣ CLETO</v>
      </c>
      <c r="B4736" s="4" t="s">
        <v>8886</v>
      </c>
      <c r="C4736" s="5" t="s">
        <v>8971</v>
      </c>
      <c r="D4736" s="6">
        <v>517.94000000000005</v>
      </c>
      <c r="E4736" s="6">
        <v>492.2</v>
      </c>
      <c r="F4736" s="7" t="s">
        <v>14</v>
      </c>
      <c r="G4736" s="8" t="s">
        <v>8972</v>
      </c>
      <c r="H4736" s="8" t="s">
        <v>16</v>
      </c>
      <c r="I4736" s="9">
        <v>29</v>
      </c>
      <c r="J4736" s="10">
        <v>1</v>
      </c>
      <c r="K4736" s="10">
        <v>10341</v>
      </c>
      <c r="L4736" s="3" t="str">
        <f t="shared" si="153"/>
        <v>ΣΚΛΗΡΟΣ_ΣΙΤΟΣ</v>
      </c>
    </row>
    <row r="4737" spans="1:12" s="3" customFormat="1" ht="15" customHeight="1" x14ac:dyDescent="0.25">
      <c r="A4737" s="3" t="str">
        <f t="shared" si="152"/>
        <v>ΣΚΛΗΡΟΣ ΣΙΤΟΣΣΙΤΟΣ ΣΚΛΗΡΟΣ CLIODUR</v>
      </c>
      <c r="B4737" s="4" t="s">
        <v>8886</v>
      </c>
      <c r="C4737" s="5" t="s">
        <v>8973</v>
      </c>
      <c r="D4737" s="6">
        <v>517.94000000000005</v>
      </c>
      <c r="E4737" s="6">
        <v>492.2</v>
      </c>
      <c r="F4737" s="7" t="s">
        <v>14</v>
      </c>
      <c r="G4737" s="8" t="s">
        <v>8974</v>
      </c>
      <c r="H4737" s="8" t="s">
        <v>16</v>
      </c>
      <c r="I4737" s="9">
        <v>28</v>
      </c>
      <c r="J4737" s="10">
        <v>1</v>
      </c>
      <c r="K4737" s="10">
        <v>10342</v>
      </c>
      <c r="L4737" s="3" t="str">
        <f t="shared" si="153"/>
        <v>ΣΚΛΗΡΟΣ_ΣΙΤΟΣ</v>
      </c>
    </row>
    <row r="4738" spans="1:12" s="3" customFormat="1" ht="15" customHeight="1" x14ac:dyDescent="0.25">
      <c r="A4738" s="3" t="str">
        <f t="shared" si="152"/>
        <v>ΣΚΛΗΡΟΣ ΣΙΤΟΣΣΙΤΟΣ ΣΚΛΗΡΟΣ COFFA</v>
      </c>
      <c r="B4738" s="4" t="s">
        <v>8886</v>
      </c>
      <c r="C4738" s="5" t="s">
        <v>8975</v>
      </c>
      <c r="D4738" s="6">
        <v>517.94000000000005</v>
      </c>
      <c r="E4738" s="6">
        <v>492.2</v>
      </c>
      <c r="F4738" s="7" t="s">
        <v>14</v>
      </c>
      <c r="G4738" s="8" t="s">
        <v>8976</v>
      </c>
      <c r="H4738" s="8" t="s">
        <v>16</v>
      </c>
      <c r="I4738" s="9">
        <v>27</v>
      </c>
      <c r="J4738" s="10">
        <v>1</v>
      </c>
      <c r="K4738" s="10">
        <v>10343</v>
      </c>
      <c r="L4738" s="3" t="str">
        <f t="shared" si="153"/>
        <v>ΣΚΛΗΡΟΣ_ΣΙΤΟΣ</v>
      </c>
    </row>
    <row r="4739" spans="1:12" s="3" customFormat="1" ht="15" customHeight="1" x14ac:dyDescent="0.25">
      <c r="A4739" s="3" t="str">
        <f t="shared" ref="A4739:A4802" si="154">_xlfn.CONCAT(B4739,C4739)</f>
        <v>ΣΚΛΗΡΟΣ ΣΙΤΟΣΣΙΤΟΣ ΣΚΛΗΡΟΣ COLARCO</v>
      </c>
      <c r="B4739" s="4" t="s">
        <v>8886</v>
      </c>
      <c r="C4739" s="5" t="s">
        <v>8977</v>
      </c>
      <c r="D4739" s="6">
        <v>517.94000000000005</v>
      </c>
      <c r="E4739" s="6">
        <v>492.2</v>
      </c>
      <c r="F4739" s="7" t="s">
        <v>14</v>
      </c>
      <c r="G4739" s="8" t="s">
        <v>8978</v>
      </c>
      <c r="H4739" s="8" t="s">
        <v>16</v>
      </c>
      <c r="I4739" s="9">
        <v>26</v>
      </c>
      <c r="J4739" s="10">
        <v>1</v>
      </c>
      <c r="K4739" s="10">
        <v>10344</v>
      </c>
      <c r="L4739" s="3" t="str">
        <f t="shared" ref="L4739:L4802" si="155">IFERROR(SUBSTITUTE(SUBSTITUTE(SUBSTITUTE(SUBSTITUTE(SUBSTITUTE(B4739, "-", "_"), " ", "_"), ",", ""), "(", ""), ")", ""), B4739)</f>
        <v>ΣΚΛΗΡΟΣ_ΣΙΤΟΣ</v>
      </c>
    </row>
    <row r="4740" spans="1:12" s="3" customFormat="1" ht="15" customHeight="1" x14ac:dyDescent="0.25">
      <c r="A4740" s="3" t="str">
        <f t="shared" si="154"/>
        <v>ΣΚΛΗΡΟΣ ΣΙΤΟΣΣΙΤΟΣ ΣΚΛΗΡΟΣ COLENO</v>
      </c>
      <c r="B4740" s="4" t="s">
        <v>8886</v>
      </c>
      <c r="C4740" s="5" t="s">
        <v>8979</v>
      </c>
      <c r="D4740" s="6">
        <v>517.94000000000005</v>
      </c>
      <c r="E4740" s="6">
        <v>492.2</v>
      </c>
      <c r="F4740" s="7" t="s">
        <v>14</v>
      </c>
      <c r="G4740" s="8" t="s">
        <v>8980</v>
      </c>
      <c r="H4740" s="8" t="s">
        <v>16</v>
      </c>
      <c r="I4740" s="9">
        <v>17</v>
      </c>
      <c r="J4740" s="10">
        <v>1</v>
      </c>
      <c r="K4740" s="10">
        <v>10345</v>
      </c>
      <c r="L4740" s="3" t="str">
        <f t="shared" si="155"/>
        <v>ΣΚΛΗΡΟΣ_ΣΙΤΟΣ</v>
      </c>
    </row>
    <row r="4741" spans="1:12" s="3" customFormat="1" ht="15" customHeight="1" x14ac:dyDescent="0.25">
      <c r="A4741" s="3" t="str">
        <f t="shared" si="154"/>
        <v>ΣΚΛΗΡΟΣ ΣΙΤΟΣΣΙΤΟΣ ΣΚΛΗΡΟΣ COLOMBO</v>
      </c>
      <c r="B4741" s="4" t="s">
        <v>8886</v>
      </c>
      <c r="C4741" s="5" t="s">
        <v>8981</v>
      </c>
      <c r="D4741" s="6">
        <v>517.94000000000005</v>
      </c>
      <c r="E4741" s="6">
        <v>492.2</v>
      </c>
      <c r="F4741" s="7" t="s">
        <v>14</v>
      </c>
      <c r="G4741" s="8" t="s">
        <v>8982</v>
      </c>
      <c r="H4741" s="8" t="s">
        <v>16</v>
      </c>
      <c r="I4741" s="9">
        <v>24</v>
      </c>
      <c r="J4741" s="10">
        <v>1</v>
      </c>
      <c r="K4741" s="10">
        <v>10346</v>
      </c>
      <c r="L4741" s="3" t="str">
        <f t="shared" si="155"/>
        <v>ΣΚΛΗΡΟΣ_ΣΙΤΟΣ</v>
      </c>
    </row>
    <row r="4742" spans="1:12" s="3" customFormat="1" ht="15" customHeight="1" x14ac:dyDescent="0.25">
      <c r="A4742" s="3" t="str">
        <f t="shared" si="154"/>
        <v>ΣΚΛΗΡΟΣ ΣΙΤΟΣΣΙΤΟΣ ΣΚΛΗΡΟΣ CONDURUM</v>
      </c>
      <c r="B4742" s="18" t="s">
        <v>8886</v>
      </c>
      <c r="C4742" s="19" t="s">
        <v>8983</v>
      </c>
      <c r="D4742" s="6">
        <v>517.94000000000005</v>
      </c>
      <c r="E4742" s="6">
        <v>492.2</v>
      </c>
      <c r="F4742" s="6" t="s">
        <v>14</v>
      </c>
      <c r="G4742" s="8" t="s">
        <v>8984</v>
      </c>
      <c r="H4742" s="8" t="s">
        <v>27</v>
      </c>
      <c r="I4742" s="9">
        <v>4384</v>
      </c>
      <c r="J4742" s="20">
        <v>1</v>
      </c>
      <c r="K4742" s="20">
        <v>10347</v>
      </c>
      <c r="L4742" s="3" t="str">
        <f t="shared" si="155"/>
        <v>ΣΚΛΗΡΟΣ_ΣΙΤΟΣ</v>
      </c>
    </row>
    <row r="4743" spans="1:12" s="3" customFormat="1" ht="15" customHeight="1" x14ac:dyDescent="0.25">
      <c r="A4743" s="3" t="str">
        <f t="shared" si="154"/>
        <v>ΣΚΛΗΡΟΣ ΣΙΤΟΣΣΙΤΟΣ ΣΚΛΗΡΟΣ CORALLO</v>
      </c>
      <c r="B4743" s="4" t="s">
        <v>8886</v>
      </c>
      <c r="C4743" s="5" t="s">
        <v>8985</v>
      </c>
      <c r="D4743" s="6">
        <v>517.94000000000005</v>
      </c>
      <c r="E4743" s="6">
        <v>492.2</v>
      </c>
      <c r="F4743" s="7" t="s">
        <v>14</v>
      </c>
      <c r="G4743" s="8" t="s">
        <v>8986</v>
      </c>
      <c r="H4743" s="8" t="s">
        <v>16</v>
      </c>
      <c r="I4743" s="9">
        <v>32</v>
      </c>
      <c r="J4743" s="10">
        <v>1</v>
      </c>
      <c r="K4743" s="10">
        <v>10348</v>
      </c>
      <c r="L4743" s="3" t="str">
        <f t="shared" si="155"/>
        <v>ΣΚΛΗΡΟΣ_ΣΙΤΟΣ</v>
      </c>
    </row>
    <row r="4744" spans="1:12" s="3" customFormat="1" ht="15" customHeight="1" x14ac:dyDescent="0.25">
      <c r="A4744" s="3" t="str">
        <f t="shared" si="154"/>
        <v>ΣΚΛΗΡΟΣ ΣΙΤΟΣΣΙΤΟΣ ΣΚΛΗΡΟΣ CORIOLIS</v>
      </c>
      <c r="B4744" s="18" t="s">
        <v>8886</v>
      </c>
      <c r="C4744" s="19" t="s">
        <v>8987</v>
      </c>
      <c r="D4744" s="6">
        <v>517.94000000000005</v>
      </c>
      <c r="E4744" s="6">
        <v>492.2</v>
      </c>
      <c r="F4744" s="6" t="s">
        <v>14</v>
      </c>
      <c r="G4744" s="8" t="s">
        <v>8988</v>
      </c>
      <c r="H4744" s="8" t="s">
        <v>27</v>
      </c>
      <c r="I4744" s="9">
        <v>4385</v>
      </c>
      <c r="J4744" s="20">
        <v>1</v>
      </c>
      <c r="K4744" s="20">
        <v>10349</v>
      </c>
      <c r="L4744" s="3" t="str">
        <f t="shared" si="155"/>
        <v>ΣΚΛΗΡΟΣ_ΣΙΤΟΣ</v>
      </c>
    </row>
    <row r="4745" spans="1:12" s="3" customFormat="1" ht="15" customHeight="1" x14ac:dyDescent="0.25">
      <c r="A4745" s="3" t="str">
        <f t="shared" si="154"/>
        <v>ΣΚΛΗΡΟΣ ΣΙΤΟΣΣΙΤΟΣ ΣΚΛΗΡΟΣ COUSSUR</v>
      </c>
      <c r="B4745" s="18" t="s">
        <v>8886</v>
      </c>
      <c r="C4745" s="19" t="s">
        <v>8989</v>
      </c>
      <c r="D4745" s="6">
        <v>517.94000000000005</v>
      </c>
      <c r="E4745" s="6">
        <v>492.2</v>
      </c>
      <c r="F4745" s="6" t="s">
        <v>14</v>
      </c>
      <c r="G4745" s="8" t="s">
        <v>8990</v>
      </c>
      <c r="H4745" s="8" t="s">
        <v>27</v>
      </c>
      <c r="I4745" s="9">
        <v>4386</v>
      </c>
      <c r="J4745" s="20">
        <v>1</v>
      </c>
      <c r="K4745" s="20">
        <v>10350</v>
      </c>
      <c r="L4745" s="3" t="str">
        <f t="shared" si="155"/>
        <v>ΣΚΛΗΡΟΣ_ΣΙΤΟΣ</v>
      </c>
    </row>
    <row r="4746" spans="1:12" s="3" customFormat="1" ht="15" customHeight="1" x14ac:dyDescent="0.25">
      <c r="A4746" s="3" t="str">
        <f t="shared" si="154"/>
        <v>ΣΚΛΗΡΟΣ ΣΙΤΟΣΣΙΤΟΣ ΣΚΛΗΡΟΣ CREDIT</v>
      </c>
      <c r="B4746" s="4" t="s">
        <v>8886</v>
      </c>
      <c r="C4746" s="5" t="s">
        <v>8991</v>
      </c>
      <c r="D4746" s="6">
        <v>517.94000000000005</v>
      </c>
      <c r="E4746" s="6">
        <v>492.2</v>
      </c>
      <c r="F4746" s="7" t="s">
        <v>14</v>
      </c>
      <c r="G4746" s="8" t="s">
        <v>8992</v>
      </c>
      <c r="H4746" s="8" t="s">
        <v>16</v>
      </c>
      <c r="I4746" s="9">
        <v>22</v>
      </c>
      <c r="J4746" s="10">
        <v>1</v>
      </c>
      <c r="K4746" s="10">
        <v>10351</v>
      </c>
      <c r="L4746" s="3" t="str">
        <f t="shared" si="155"/>
        <v>ΣΚΛΗΡΟΣ_ΣΙΤΟΣ</v>
      </c>
    </row>
    <row r="4747" spans="1:12" s="3" customFormat="1" ht="15" customHeight="1" x14ac:dyDescent="0.25">
      <c r="A4747" s="3" t="str">
        <f t="shared" si="154"/>
        <v>ΣΚΛΗΡΟΣ ΣΙΤΟΣΣΙΤΟΣ ΣΚΛΗΡΟΣ CRIVU</v>
      </c>
      <c r="B4747" s="4" t="s">
        <v>8886</v>
      </c>
      <c r="C4747" s="5" t="s">
        <v>8993</v>
      </c>
      <c r="D4747" s="6">
        <v>517.94000000000005</v>
      </c>
      <c r="E4747" s="6">
        <v>492.2</v>
      </c>
      <c r="F4747" s="7" t="s">
        <v>14</v>
      </c>
      <c r="G4747" s="8" t="s">
        <v>8994</v>
      </c>
      <c r="H4747" s="8" t="s">
        <v>16</v>
      </c>
      <c r="I4747" s="9">
        <v>21</v>
      </c>
      <c r="J4747" s="10">
        <v>1</v>
      </c>
      <c r="K4747" s="10">
        <v>10352</v>
      </c>
      <c r="L4747" s="3" t="str">
        <f t="shared" si="155"/>
        <v>ΣΚΛΗΡΟΣ_ΣΙΤΟΣ</v>
      </c>
    </row>
    <row r="4748" spans="1:12" s="3" customFormat="1" ht="15" customHeight="1" x14ac:dyDescent="0.25">
      <c r="A4748" s="3" t="str">
        <f t="shared" si="154"/>
        <v>ΣΚΛΗΡΟΣ ΣΙΤΟΣΣΙΤΟΣ ΣΚΛΗΡΟΣ CULTUR</v>
      </c>
      <c r="B4748" s="18" t="s">
        <v>8886</v>
      </c>
      <c r="C4748" s="19" t="s">
        <v>8995</v>
      </c>
      <c r="D4748" s="6">
        <v>517.94000000000005</v>
      </c>
      <c r="E4748" s="6">
        <v>492.2</v>
      </c>
      <c r="F4748" s="6" t="s">
        <v>14</v>
      </c>
      <c r="G4748" s="8" t="s">
        <v>8996</v>
      </c>
      <c r="H4748" s="8" t="s">
        <v>27</v>
      </c>
      <c r="I4748" s="9">
        <v>4387</v>
      </c>
      <c r="J4748" s="20">
        <v>1</v>
      </c>
      <c r="K4748" s="20">
        <v>10353</v>
      </c>
      <c r="L4748" s="3" t="str">
        <f t="shared" si="155"/>
        <v>ΣΚΛΗΡΟΣ_ΣΙΤΟΣ</v>
      </c>
    </row>
    <row r="4749" spans="1:12" s="3" customFormat="1" ht="15" customHeight="1" x14ac:dyDescent="0.25">
      <c r="A4749" s="3" t="str">
        <f t="shared" si="154"/>
        <v>ΣΚΛΗΡΟΣ ΣΙΤΟΣΣΙΤΟΣ ΣΚΛΗΡΟΣ CURCUMA</v>
      </c>
      <c r="B4749" s="4" t="s">
        <v>8886</v>
      </c>
      <c r="C4749" s="5" t="s">
        <v>8997</v>
      </c>
      <c r="D4749" s="6">
        <v>517.94000000000005</v>
      </c>
      <c r="E4749" s="6">
        <v>492.2</v>
      </c>
      <c r="F4749" s="7" t="s">
        <v>14</v>
      </c>
      <c r="G4749" s="8" t="s">
        <v>8998</v>
      </c>
      <c r="H4749" s="8" t="s">
        <v>27</v>
      </c>
      <c r="I4749" s="9">
        <v>20</v>
      </c>
      <c r="J4749" s="10">
        <v>1</v>
      </c>
      <c r="K4749" s="10">
        <v>10354</v>
      </c>
      <c r="L4749" s="3" t="str">
        <f t="shared" si="155"/>
        <v>ΣΚΛΗΡΟΣ_ΣΙΤΟΣ</v>
      </c>
    </row>
    <row r="4750" spans="1:12" s="3" customFormat="1" ht="15" customHeight="1" x14ac:dyDescent="0.25">
      <c r="A4750" s="3" t="str">
        <f t="shared" si="154"/>
        <v>ΣΚΛΗΡΟΣ ΣΙΤΟΣΣΙΤΟΣ ΣΚΛΗΡΟΣ DAKTER</v>
      </c>
      <c r="B4750" s="4" t="s">
        <v>8886</v>
      </c>
      <c r="C4750" s="5" t="s">
        <v>8999</v>
      </c>
      <c r="D4750" s="6">
        <v>517.94000000000005</v>
      </c>
      <c r="E4750" s="6">
        <v>492.2</v>
      </c>
      <c r="F4750" s="7" t="s">
        <v>14</v>
      </c>
      <c r="G4750" s="8" t="s">
        <v>9000</v>
      </c>
      <c r="H4750" s="8" t="s">
        <v>16</v>
      </c>
      <c r="I4750" s="9">
        <v>19</v>
      </c>
      <c r="J4750" s="10">
        <v>1</v>
      </c>
      <c r="K4750" s="10">
        <v>10355</v>
      </c>
      <c r="L4750" s="3" t="str">
        <f t="shared" si="155"/>
        <v>ΣΚΛΗΡΟΣ_ΣΙΤΟΣ</v>
      </c>
    </row>
    <row r="4751" spans="1:12" s="3" customFormat="1" ht="15" customHeight="1" x14ac:dyDescent="0.25">
      <c r="A4751" s="3" t="str">
        <f t="shared" si="154"/>
        <v>ΣΚΛΗΡΟΣ ΣΙΤΟΣΣΙΤΟΣ ΣΚΛΗΡΟΣ  DARIO</v>
      </c>
      <c r="B4751" s="4" t="s">
        <v>8886</v>
      </c>
      <c r="C4751" s="5" t="s">
        <v>9001</v>
      </c>
      <c r="D4751" s="6">
        <v>517.94000000000005</v>
      </c>
      <c r="E4751" s="6">
        <v>492.2</v>
      </c>
      <c r="F4751" s="7" t="s">
        <v>14</v>
      </c>
      <c r="G4751" s="8" t="s">
        <v>9002</v>
      </c>
      <c r="H4751" s="8" t="s">
        <v>16</v>
      </c>
      <c r="I4751" s="9">
        <v>18</v>
      </c>
      <c r="J4751" s="10">
        <v>1</v>
      </c>
      <c r="K4751" s="10">
        <v>10356</v>
      </c>
      <c r="L4751" s="3" t="str">
        <f t="shared" si="155"/>
        <v>ΣΚΛΗΡΟΣ_ΣΙΤΟΣ</v>
      </c>
    </row>
    <row r="4752" spans="1:12" s="3" customFormat="1" ht="15" customHeight="1" x14ac:dyDescent="0.25">
      <c r="A4752" s="3" t="str">
        <f t="shared" si="154"/>
        <v>ΣΚΛΗΡΟΣ ΣΙΤΟΣΣΙΤΟΣ ΣΚΛΗΡΟΣ DAURUR</v>
      </c>
      <c r="B4752" s="4" t="s">
        <v>8886</v>
      </c>
      <c r="C4752" s="5" t="s">
        <v>9003</v>
      </c>
      <c r="D4752" s="6">
        <v>517.94000000000005</v>
      </c>
      <c r="E4752" s="6">
        <v>492.2</v>
      </c>
      <c r="F4752" s="7" t="s">
        <v>14</v>
      </c>
      <c r="G4752" s="8" t="s">
        <v>9004</v>
      </c>
      <c r="H4752" s="8" t="s">
        <v>16</v>
      </c>
      <c r="I4752" s="9">
        <v>66</v>
      </c>
      <c r="J4752" s="10">
        <v>1</v>
      </c>
      <c r="K4752" s="10">
        <v>10357</v>
      </c>
      <c r="L4752" s="3" t="str">
        <f t="shared" si="155"/>
        <v>ΣΚΛΗΡΟΣ_ΣΙΤΟΣ</v>
      </c>
    </row>
    <row r="4753" spans="1:12" s="3" customFormat="1" ht="15" customHeight="1" x14ac:dyDescent="0.25">
      <c r="A4753" s="3" t="str">
        <f t="shared" si="154"/>
        <v>ΣΚΛΗΡΟΣ ΣΙΤΟΣΣΙΤΟΣ ΣΚΛΗΡΟΣ DELTANIS</v>
      </c>
      <c r="B4753" s="4" t="s">
        <v>8886</v>
      </c>
      <c r="C4753" s="5" t="s">
        <v>9005</v>
      </c>
      <c r="D4753" s="6">
        <v>517.94000000000005</v>
      </c>
      <c r="E4753" s="6">
        <v>492.2</v>
      </c>
      <c r="F4753" s="7" t="s">
        <v>14</v>
      </c>
      <c r="G4753" s="8" t="s">
        <v>9006</v>
      </c>
      <c r="H4753" s="8" t="s">
        <v>16</v>
      </c>
      <c r="I4753" s="9">
        <v>114</v>
      </c>
      <c r="J4753" s="10">
        <v>1</v>
      </c>
      <c r="K4753" s="10">
        <v>10358</v>
      </c>
      <c r="L4753" s="3" t="str">
        <f t="shared" si="155"/>
        <v>ΣΚΛΗΡΟΣ_ΣΙΤΟΣ</v>
      </c>
    </row>
    <row r="4754" spans="1:12" s="3" customFormat="1" ht="15" customHeight="1" x14ac:dyDescent="0.25">
      <c r="A4754" s="3" t="str">
        <f t="shared" si="154"/>
        <v>ΣΚΛΗΡΟΣ ΣΙΤΟΣΣΙΤΟΣ ΣΚΛΗΡΟΣ DENITSA</v>
      </c>
      <c r="B4754" s="4" t="s">
        <v>8886</v>
      </c>
      <c r="C4754" s="5" t="s">
        <v>9007</v>
      </c>
      <c r="D4754" s="6">
        <v>517.94000000000005</v>
      </c>
      <c r="E4754" s="6">
        <v>492.2</v>
      </c>
      <c r="F4754" s="7" t="s">
        <v>14</v>
      </c>
      <c r="G4754" s="8" t="s">
        <v>9008</v>
      </c>
      <c r="H4754" s="8" t="s">
        <v>16</v>
      </c>
      <c r="I4754" s="9">
        <v>57</v>
      </c>
      <c r="J4754" s="10">
        <v>1</v>
      </c>
      <c r="K4754" s="10">
        <v>10359</v>
      </c>
      <c r="L4754" s="3" t="str">
        <f t="shared" si="155"/>
        <v>ΣΚΛΗΡΟΣ_ΣΙΤΟΣ</v>
      </c>
    </row>
    <row r="4755" spans="1:12" s="3" customFormat="1" ht="15" customHeight="1" x14ac:dyDescent="0.25">
      <c r="A4755" s="3" t="str">
        <f t="shared" si="154"/>
        <v>ΣΚΛΗΡΟΣ ΣΙΤΟΣΣΙΤΟΣ ΣΚΛΗΡΟΣ DEYANA</v>
      </c>
      <c r="B4755" s="4" t="s">
        <v>8886</v>
      </c>
      <c r="C4755" s="5" t="s">
        <v>9009</v>
      </c>
      <c r="D4755" s="6">
        <v>517.94000000000005</v>
      </c>
      <c r="E4755" s="6">
        <v>492.2</v>
      </c>
      <c r="F4755" s="7" t="s">
        <v>14</v>
      </c>
      <c r="G4755" s="8" t="s">
        <v>9010</v>
      </c>
      <c r="H4755" s="8" t="s">
        <v>27</v>
      </c>
      <c r="I4755" s="9">
        <v>110</v>
      </c>
      <c r="J4755" s="10">
        <v>1</v>
      </c>
      <c r="K4755" s="10">
        <v>10360</v>
      </c>
      <c r="L4755" s="3" t="str">
        <f t="shared" si="155"/>
        <v>ΣΚΛΗΡΟΣ_ΣΙΤΟΣ</v>
      </c>
    </row>
    <row r="4756" spans="1:12" s="3" customFormat="1" ht="15" customHeight="1" x14ac:dyDescent="0.25">
      <c r="A4756" s="3" t="str">
        <f t="shared" si="154"/>
        <v>ΣΚΛΗΡΟΣ ΣΙΤΟΣΣΙΤΟΣ ΣΚΛΗΡΟΣ DIAMANTE</v>
      </c>
      <c r="B4756" s="4" t="s">
        <v>8886</v>
      </c>
      <c r="C4756" s="5" t="s">
        <v>9011</v>
      </c>
      <c r="D4756" s="6">
        <v>517.94000000000005</v>
      </c>
      <c r="E4756" s="6">
        <v>492.2</v>
      </c>
      <c r="F4756" s="7" t="s">
        <v>14</v>
      </c>
      <c r="G4756" s="8" t="s">
        <v>9012</v>
      </c>
      <c r="H4756" s="8" t="s">
        <v>16</v>
      </c>
      <c r="I4756" s="9">
        <v>109</v>
      </c>
      <c r="J4756" s="10">
        <v>1</v>
      </c>
      <c r="K4756" s="10">
        <v>10361</v>
      </c>
      <c r="L4756" s="3" t="str">
        <f t="shared" si="155"/>
        <v>ΣΚΛΗΡΟΣ_ΣΙΤΟΣ</v>
      </c>
    </row>
    <row r="4757" spans="1:12" s="3" customFormat="1" ht="15" customHeight="1" x14ac:dyDescent="0.25">
      <c r="A4757" s="3" t="str">
        <f t="shared" si="154"/>
        <v>ΣΚΛΗΡΟΣ ΣΙΤΟΣΣΙΤΟΣ ΣΚΛΗΡΟΣ DILMANA</v>
      </c>
      <c r="B4757" s="18" t="s">
        <v>8886</v>
      </c>
      <c r="C4757" s="19" t="s">
        <v>9013</v>
      </c>
      <c r="D4757" s="6">
        <v>517.94000000000005</v>
      </c>
      <c r="E4757" s="6">
        <v>492.2</v>
      </c>
      <c r="F4757" s="6" t="s">
        <v>14</v>
      </c>
      <c r="G4757" s="8" t="s">
        <v>9014</v>
      </c>
      <c r="H4757" s="8" t="s">
        <v>27</v>
      </c>
      <c r="I4757" s="9">
        <v>4388</v>
      </c>
      <c r="J4757" s="20">
        <v>1</v>
      </c>
      <c r="K4757" s="20">
        <v>10362</v>
      </c>
      <c r="L4757" s="3" t="str">
        <f t="shared" si="155"/>
        <v>ΣΚΛΗΡΟΣ_ΣΙΤΟΣ</v>
      </c>
    </row>
    <row r="4758" spans="1:12" s="3" customFormat="1" ht="15" customHeight="1" x14ac:dyDescent="0.25">
      <c r="A4758" s="3" t="str">
        <f t="shared" si="154"/>
        <v>ΣΚΛΗΡΟΣ ΣΙΤΟΣΣΙΤΟΣ ΣΚΛΗΡΟΣ DIMOKRITOS</v>
      </c>
      <c r="B4758" s="4" t="s">
        <v>8886</v>
      </c>
      <c r="C4758" s="5" t="s">
        <v>9015</v>
      </c>
      <c r="D4758" s="6">
        <v>517.94000000000005</v>
      </c>
      <c r="E4758" s="6">
        <v>492.2</v>
      </c>
      <c r="F4758" s="7" t="s">
        <v>14</v>
      </c>
      <c r="G4758" s="8" t="s">
        <v>9016</v>
      </c>
      <c r="H4758" s="8" t="s">
        <v>16</v>
      </c>
      <c r="I4758" s="9">
        <v>108</v>
      </c>
      <c r="J4758" s="10">
        <v>1</v>
      </c>
      <c r="K4758" s="10">
        <v>10363</v>
      </c>
      <c r="L4758" s="3" t="str">
        <f t="shared" si="155"/>
        <v>ΣΚΛΗΡΟΣ_ΣΙΤΟΣ</v>
      </c>
    </row>
    <row r="4759" spans="1:12" s="3" customFormat="1" ht="15" customHeight="1" x14ac:dyDescent="0.25">
      <c r="A4759" s="3" t="str">
        <f t="shared" si="154"/>
        <v>ΣΚΛΗΡΟΣ ΣΙΤΟΣΣΙΤΟΣ ΣΚΛΗΡΟΣ DON ISIDORO</v>
      </c>
      <c r="B4759" s="4" t="s">
        <v>8886</v>
      </c>
      <c r="C4759" s="5" t="s">
        <v>9017</v>
      </c>
      <c r="D4759" s="6">
        <v>517.94000000000005</v>
      </c>
      <c r="E4759" s="6">
        <v>492.2</v>
      </c>
      <c r="F4759" s="7" t="s">
        <v>14</v>
      </c>
      <c r="G4759" s="8" t="s">
        <v>9018</v>
      </c>
      <c r="H4759" s="8" t="s">
        <v>16</v>
      </c>
      <c r="I4759" s="9">
        <v>107</v>
      </c>
      <c r="J4759" s="10">
        <v>1</v>
      </c>
      <c r="K4759" s="10">
        <v>10364</v>
      </c>
      <c r="L4759" s="3" t="str">
        <f t="shared" si="155"/>
        <v>ΣΚΛΗΡΟΣ_ΣΙΤΟΣ</v>
      </c>
    </row>
    <row r="4760" spans="1:12" s="3" customFormat="1" ht="15" customHeight="1" x14ac:dyDescent="0.25">
      <c r="A4760" s="3" t="str">
        <f t="shared" si="154"/>
        <v>ΣΚΛΗΡΟΣ ΣΙΤΟΣΣΙΤΟΣ ΣΚΛΗΡΟΣ DON JAIME</v>
      </c>
      <c r="B4760" s="4" t="s">
        <v>8886</v>
      </c>
      <c r="C4760" s="5" t="s">
        <v>9019</v>
      </c>
      <c r="D4760" s="6">
        <v>517.94000000000005</v>
      </c>
      <c r="E4760" s="6">
        <v>492.2</v>
      </c>
      <c r="F4760" s="7" t="s">
        <v>14</v>
      </c>
      <c r="G4760" s="8" t="s">
        <v>9020</v>
      </c>
      <c r="H4760" s="8" t="s">
        <v>16</v>
      </c>
      <c r="I4760" s="9">
        <v>106</v>
      </c>
      <c r="J4760" s="10">
        <v>1</v>
      </c>
      <c r="K4760" s="10">
        <v>10365</v>
      </c>
      <c r="L4760" s="3" t="str">
        <f t="shared" si="155"/>
        <v>ΣΚΛΗΡΟΣ_ΣΙΤΟΣ</v>
      </c>
    </row>
    <row r="4761" spans="1:12" s="3" customFormat="1" ht="15" customHeight="1" x14ac:dyDescent="0.25">
      <c r="A4761" s="3" t="str">
        <f t="shared" si="154"/>
        <v>ΣΚΛΗΡΟΣ ΣΙΤΟΣΣΙΤΟΣ ΣΚΛΗΡΟΣ DON JAVIER</v>
      </c>
      <c r="B4761" s="18" t="s">
        <v>8886</v>
      </c>
      <c r="C4761" s="19" t="s">
        <v>9021</v>
      </c>
      <c r="D4761" s="6">
        <v>517.94000000000005</v>
      </c>
      <c r="E4761" s="6">
        <v>492.2</v>
      </c>
      <c r="F4761" s="6" t="s">
        <v>14</v>
      </c>
      <c r="G4761" s="8" t="s">
        <v>9022</v>
      </c>
      <c r="H4761" s="8" t="s">
        <v>27</v>
      </c>
      <c r="I4761" s="9">
        <v>4389</v>
      </c>
      <c r="J4761" s="20">
        <v>1</v>
      </c>
      <c r="K4761" s="20">
        <v>10366</v>
      </c>
      <c r="L4761" s="3" t="str">
        <f t="shared" si="155"/>
        <v>ΣΚΛΗΡΟΣ_ΣΙΤΟΣ</v>
      </c>
    </row>
    <row r="4762" spans="1:12" s="3" customFormat="1" ht="15" customHeight="1" x14ac:dyDescent="0.25">
      <c r="A4762" s="3" t="str">
        <f t="shared" si="154"/>
        <v>ΣΚΛΗΡΟΣ ΣΙΤΟΣΣΙΤΟΣ ΣΚΛΗΡΟΣ DON MATTEO</v>
      </c>
      <c r="B4762" s="4" t="s">
        <v>8886</v>
      </c>
      <c r="C4762" s="5" t="s">
        <v>9023</v>
      </c>
      <c r="D4762" s="6">
        <v>517.94000000000005</v>
      </c>
      <c r="E4762" s="6">
        <v>492.2</v>
      </c>
      <c r="F4762" s="7" t="s">
        <v>14</v>
      </c>
      <c r="G4762" s="8" t="s">
        <v>9024</v>
      </c>
      <c r="H4762" s="8" t="s">
        <v>16</v>
      </c>
      <c r="I4762" s="9">
        <v>97</v>
      </c>
      <c r="J4762" s="10">
        <v>1</v>
      </c>
      <c r="K4762" s="10">
        <v>10367</v>
      </c>
      <c r="L4762" s="3" t="str">
        <f t="shared" si="155"/>
        <v>ΣΚΛΗΡΟΣ_ΣΙΤΟΣ</v>
      </c>
    </row>
    <row r="4763" spans="1:12" s="3" customFormat="1" ht="15" customHeight="1" x14ac:dyDescent="0.25">
      <c r="A4763" s="3" t="str">
        <f t="shared" si="154"/>
        <v>ΣΚΛΗΡΟΣ ΣΙΤΟΣΣΙΤΟΣ ΣΚΛΗΡΟΣ DON NORMAN</v>
      </c>
      <c r="B4763" s="4" t="s">
        <v>8886</v>
      </c>
      <c r="C4763" s="5" t="s">
        <v>9025</v>
      </c>
      <c r="D4763" s="6">
        <v>517.94000000000005</v>
      </c>
      <c r="E4763" s="6">
        <v>492.2</v>
      </c>
      <c r="F4763" s="7" t="s">
        <v>14</v>
      </c>
      <c r="G4763" s="8" t="s">
        <v>9026</v>
      </c>
      <c r="H4763" s="8" t="s">
        <v>16</v>
      </c>
      <c r="I4763" s="9">
        <v>104</v>
      </c>
      <c r="J4763" s="10">
        <v>1</v>
      </c>
      <c r="K4763" s="10">
        <v>10368</v>
      </c>
      <c r="L4763" s="3" t="str">
        <f t="shared" si="155"/>
        <v>ΣΚΛΗΡΟΣ_ΣΙΤΟΣ</v>
      </c>
    </row>
    <row r="4764" spans="1:12" s="3" customFormat="1" ht="15" customHeight="1" x14ac:dyDescent="0.25">
      <c r="A4764" s="3" t="str">
        <f t="shared" si="154"/>
        <v>ΣΚΛΗΡΟΣ ΣΙΤΟΣΣΙΤΟΣ ΣΚΛΗΡΟΣ DON ORO</v>
      </c>
      <c r="B4764" s="4" t="s">
        <v>8886</v>
      </c>
      <c r="C4764" s="5" t="s">
        <v>9027</v>
      </c>
      <c r="D4764" s="6">
        <v>517.94000000000005</v>
      </c>
      <c r="E4764" s="6">
        <v>492.2</v>
      </c>
      <c r="F4764" s="7" t="s">
        <v>14</v>
      </c>
      <c r="G4764" s="8" t="s">
        <v>9028</v>
      </c>
      <c r="H4764" s="8" t="s">
        <v>16</v>
      </c>
      <c r="I4764" s="9">
        <v>112</v>
      </c>
      <c r="J4764" s="10">
        <v>1</v>
      </c>
      <c r="K4764" s="10">
        <v>10369</v>
      </c>
      <c r="L4764" s="3" t="str">
        <f t="shared" si="155"/>
        <v>ΣΚΛΗΡΟΣ_ΣΙΤΟΣ</v>
      </c>
    </row>
    <row r="4765" spans="1:12" s="3" customFormat="1" ht="15" customHeight="1" x14ac:dyDescent="0.25">
      <c r="A4765" s="3" t="str">
        <f t="shared" si="154"/>
        <v>ΣΚΛΗΡΟΣ ΣΙΤΟΣΣΙΤΟΣ ΣΚΛΗΡΟΣ DON RICARDO</v>
      </c>
      <c r="B4765" s="4" t="s">
        <v>8886</v>
      </c>
      <c r="C4765" s="5" t="s">
        <v>9029</v>
      </c>
      <c r="D4765" s="6">
        <v>517.94000000000005</v>
      </c>
      <c r="E4765" s="6">
        <v>492.2</v>
      </c>
      <c r="F4765" s="7" t="s">
        <v>14</v>
      </c>
      <c r="G4765" s="8" t="s">
        <v>9030</v>
      </c>
      <c r="H4765" s="8" t="s">
        <v>16</v>
      </c>
      <c r="I4765" s="9">
        <v>102</v>
      </c>
      <c r="J4765" s="10">
        <v>1</v>
      </c>
      <c r="K4765" s="10">
        <v>10370</v>
      </c>
      <c r="L4765" s="3" t="str">
        <f t="shared" si="155"/>
        <v>ΣΚΛΗΡΟΣ_ΣΙΤΟΣ</v>
      </c>
    </row>
    <row r="4766" spans="1:12" s="3" customFormat="1" ht="15" customHeight="1" x14ac:dyDescent="0.25">
      <c r="A4766" s="3" t="str">
        <f t="shared" si="154"/>
        <v>ΣΚΛΗΡΟΣ ΣΙΤΟΣΣΙΤΟΣ ΣΚΛΗΡΟΣ DON VALENTI-N</v>
      </c>
      <c r="B4766" s="4" t="s">
        <v>8886</v>
      </c>
      <c r="C4766" s="5" t="s">
        <v>9031</v>
      </c>
      <c r="D4766" s="6">
        <v>517.94000000000005</v>
      </c>
      <c r="E4766" s="6">
        <v>492.2</v>
      </c>
      <c r="F4766" s="7" t="s">
        <v>14</v>
      </c>
      <c r="G4766" s="8" t="s">
        <v>9032</v>
      </c>
      <c r="H4766" s="8" t="s">
        <v>16</v>
      </c>
      <c r="I4766" s="9">
        <v>101</v>
      </c>
      <c r="J4766" s="10">
        <v>1</v>
      </c>
      <c r="K4766" s="10">
        <v>10371</v>
      </c>
      <c r="L4766" s="3" t="str">
        <f t="shared" si="155"/>
        <v>ΣΚΛΗΡΟΣ_ΣΙΤΟΣ</v>
      </c>
    </row>
    <row r="4767" spans="1:12" s="3" customFormat="1" ht="15" customHeight="1" x14ac:dyDescent="0.25">
      <c r="A4767" s="3" t="str">
        <f t="shared" si="154"/>
        <v>ΣΚΛΗΡΟΣ ΣΙΤΟΣΣΙΤΟΣ ΣΚΛΗΡΟΣ DORIDUR</v>
      </c>
      <c r="B4767" s="4" t="s">
        <v>8886</v>
      </c>
      <c r="C4767" s="5" t="s">
        <v>9033</v>
      </c>
      <c r="D4767" s="6">
        <v>517.94000000000005</v>
      </c>
      <c r="E4767" s="6">
        <v>492.2</v>
      </c>
      <c r="F4767" s="7" t="s">
        <v>14</v>
      </c>
      <c r="G4767" s="8" t="s">
        <v>9034</v>
      </c>
      <c r="H4767" s="8" t="s">
        <v>16</v>
      </c>
      <c r="I4767" s="9">
        <v>100</v>
      </c>
      <c r="J4767" s="10">
        <v>1</v>
      </c>
      <c r="K4767" s="10">
        <v>10372</v>
      </c>
      <c r="L4767" s="3" t="str">
        <f t="shared" si="155"/>
        <v>ΣΚΛΗΡΟΣ_ΣΙΤΟΣ</v>
      </c>
    </row>
    <row r="4768" spans="1:12" s="3" customFormat="1" ht="15" customHeight="1" x14ac:dyDescent="0.25">
      <c r="A4768" s="3" t="str">
        <f t="shared" si="154"/>
        <v>ΣΚΛΗΡΟΣ ΣΙΤΟΣΣΙΤΟΣ ΣΚΛΗΡΟΣ DUCADOS</v>
      </c>
      <c r="B4768" s="4" t="s">
        <v>8886</v>
      </c>
      <c r="C4768" s="5" t="s">
        <v>9035</v>
      </c>
      <c r="D4768" s="6">
        <v>517.94000000000005</v>
      </c>
      <c r="E4768" s="6">
        <v>492.2</v>
      </c>
      <c r="F4768" s="7" t="s">
        <v>14</v>
      </c>
      <c r="G4768" s="8" t="s">
        <v>9036</v>
      </c>
      <c r="H4768" s="8" t="s">
        <v>16</v>
      </c>
      <c r="I4768" s="9">
        <v>99</v>
      </c>
      <c r="J4768" s="10">
        <v>1</v>
      </c>
      <c r="K4768" s="10">
        <v>10373</v>
      </c>
      <c r="L4768" s="3" t="str">
        <f t="shared" si="155"/>
        <v>ΣΚΛΗΡΟΣ_ΣΙΤΟΣ</v>
      </c>
    </row>
    <row r="4769" spans="1:12" s="3" customFormat="1" ht="15" customHeight="1" x14ac:dyDescent="0.25">
      <c r="A4769" s="3" t="str">
        <f t="shared" si="154"/>
        <v>ΣΚΛΗΡΟΣ ΣΙΤΟΣΣΙΤΟΣ ΣΚΛΗΡΟΣ DURABELLE</v>
      </c>
      <c r="B4769" s="18" t="s">
        <v>8886</v>
      </c>
      <c r="C4769" s="19" t="s">
        <v>9037</v>
      </c>
      <c r="D4769" s="6">
        <v>517.94000000000005</v>
      </c>
      <c r="E4769" s="6">
        <v>492.2</v>
      </c>
      <c r="F4769" s="6" t="s">
        <v>14</v>
      </c>
      <c r="G4769" s="8" t="s">
        <v>9038</v>
      </c>
      <c r="H4769" s="8" t="s">
        <v>27</v>
      </c>
      <c r="I4769" s="9">
        <v>4390</v>
      </c>
      <c r="J4769" s="20">
        <v>1</v>
      </c>
      <c r="K4769" s="20">
        <v>10374</v>
      </c>
      <c r="L4769" s="3" t="str">
        <f t="shared" si="155"/>
        <v>ΣΚΛΗΡΟΣ_ΣΙΤΟΣ</v>
      </c>
    </row>
    <row r="4770" spans="1:12" s="3" customFormat="1" ht="15" customHeight="1" x14ac:dyDescent="0.25">
      <c r="A4770" s="3" t="str">
        <f t="shared" si="154"/>
        <v>ΣΚΛΗΡΟΣ ΣΙΤΟΣΣΙΤΟΣ ΣΚΛΗΡΟΣ DURADON</v>
      </c>
      <c r="B4770" s="4" t="s">
        <v>8886</v>
      </c>
      <c r="C4770" s="5" t="s">
        <v>9039</v>
      </c>
      <c r="D4770" s="6">
        <v>517.94000000000005</v>
      </c>
      <c r="E4770" s="6">
        <v>492.2</v>
      </c>
      <c r="F4770" s="7" t="s">
        <v>14</v>
      </c>
      <c r="G4770" s="8" t="s">
        <v>9040</v>
      </c>
      <c r="H4770" s="8" t="s">
        <v>27</v>
      </c>
      <c r="I4770" s="9">
        <v>98</v>
      </c>
      <c r="J4770" s="10">
        <v>1</v>
      </c>
      <c r="K4770" s="10">
        <v>10375</v>
      </c>
      <c r="L4770" s="3" t="str">
        <f t="shared" si="155"/>
        <v>ΣΚΛΗΡΟΣ_ΣΙΤΟΣ</v>
      </c>
    </row>
    <row r="4771" spans="1:12" s="3" customFormat="1" ht="15" customHeight="1" x14ac:dyDescent="0.25">
      <c r="A4771" s="3" t="str">
        <f t="shared" si="154"/>
        <v>ΣΚΛΗΡΟΣ ΣΙΤΟΣΣΙΤΟΣ ΣΚΛΗΡΟΣ  DURAMANT</v>
      </c>
      <c r="B4771" s="4" t="s">
        <v>8886</v>
      </c>
      <c r="C4771" s="5" t="s">
        <v>9041</v>
      </c>
      <c r="D4771" s="6">
        <v>517.94000000000005</v>
      </c>
      <c r="E4771" s="6">
        <v>492.2</v>
      </c>
      <c r="F4771" s="7" t="s">
        <v>14</v>
      </c>
      <c r="G4771" s="8" t="s">
        <v>9042</v>
      </c>
      <c r="H4771" s="8" t="s">
        <v>16</v>
      </c>
      <c r="I4771" s="9">
        <v>120</v>
      </c>
      <c r="J4771" s="10">
        <v>1</v>
      </c>
      <c r="K4771" s="10">
        <v>10376</v>
      </c>
      <c r="L4771" s="3" t="str">
        <f t="shared" si="155"/>
        <v>ΣΚΛΗΡΟΣ_ΣΙΤΟΣ</v>
      </c>
    </row>
    <row r="4772" spans="1:12" s="3" customFormat="1" ht="15" customHeight="1" x14ac:dyDescent="0.25">
      <c r="A4772" s="3" t="str">
        <f t="shared" si="154"/>
        <v>ΣΚΛΗΡΟΣ ΣΙΤΟΣΣΙΤΟΣ ΣΚΛΗΡΟΣ DURAMONTE</v>
      </c>
      <c r="B4772" s="4" t="s">
        <v>8886</v>
      </c>
      <c r="C4772" s="5" t="s">
        <v>9043</v>
      </c>
      <c r="D4772" s="6">
        <v>517.94000000000005</v>
      </c>
      <c r="E4772" s="6">
        <v>492.2</v>
      </c>
      <c r="F4772" s="7" t="s">
        <v>14</v>
      </c>
      <c r="G4772" s="8" t="s">
        <v>9044</v>
      </c>
      <c r="H4772" s="8" t="s">
        <v>16</v>
      </c>
      <c r="I4772" s="9">
        <v>122</v>
      </c>
      <c r="J4772" s="10">
        <v>1</v>
      </c>
      <c r="K4772" s="10">
        <v>10377</v>
      </c>
      <c r="L4772" s="3" t="str">
        <f t="shared" si="155"/>
        <v>ΣΚΛΗΡΟΣ_ΣΙΤΟΣ</v>
      </c>
    </row>
    <row r="4773" spans="1:12" s="3" customFormat="1" ht="15" customHeight="1" x14ac:dyDescent="0.25">
      <c r="A4773" s="3" t="str">
        <f t="shared" si="154"/>
        <v>ΣΚΛΗΡΟΣ ΣΙΤΟΣΣΙΤΟΣ ΣΚΛΗΡΟΣ DURASOL</v>
      </c>
      <c r="B4773" s="4" t="s">
        <v>8886</v>
      </c>
      <c r="C4773" s="5" t="s">
        <v>9045</v>
      </c>
      <c r="D4773" s="6">
        <v>517.94000000000005</v>
      </c>
      <c r="E4773" s="6">
        <v>492.2</v>
      </c>
      <c r="F4773" s="7" t="s">
        <v>14</v>
      </c>
      <c r="G4773" s="8" t="s">
        <v>9046</v>
      </c>
      <c r="H4773" s="8" t="s">
        <v>16</v>
      </c>
      <c r="I4773" s="9">
        <v>105</v>
      </c>
      <c r="J4773" s="10">
        <v>1</v>
      </c>
      <c r="K4773" s="10">
        <v>10378</v>
      </c>
      <c r="L4773" s="3" t="str">
        <f t="shared" si="155"/>
        <v>ΣΚΛΗΡΟΣ_ΣΙΤΟΣ</v>
      </c>
    </row>
    <row r="4774" spans="1:12" s="3" customFormat="1" ht="15" customHeight="1" x14ac:dyDescent="0.25">
      <c r="A4774" s="3" t="str">
        <f t="shared" si="154"/>
        <v>ΣΚΛΗΡΟΣ ΣΙΤΟΣΣΙΤΟΣ ΣΚΛΗΡΟΣ DURASUR</v>
      </c>
      <c r="B4774" s="4" t="s">
        <v>8886</v>
      </c>
      <c r="C4774" s="5" t="s">
        <v>9047</v>
      </c>
      <c r="D4774" s="6">
        <v>517.94000000000005</v>
      </c>
      <c r="E4774" s="6">
        <v>492.2</v>
      </c>
      <c r="F4774" s="7" t="s">
        <v>14</v>
      </c>
      <c r="G4774" s="8" t="s">
        <v>9048</v>
      </c>
      <c r="H4774" s="8" t="s">
        <v>16</v>
      </c>
      <c r="I4774" s="9">
        <v>127</v>
      </c>
      <c r="J4774" s="10">
        <v>1</v>
      </c>
      <c r="K4774" s="10">
        <v>10379</v>
      </c>
      <c r="L4774" s="3" t="str">
        <f t="shared" si="155"/>
        <v>ΣΚΛΗΡΟΣ_ΣΙΤΟΣ</v>
      </c>
    </row>
    <row r="4775" spans="1:12" s="3" customFormat="1" ht="15" customHeight="1" x14ac:dyDescent="0.25">
      <c r="A4775" s="3" t="str">
        <f t="shared" si="154"/>
        <v>ΣΚΛΗΡΟΣ ΣΙΤΟΣΣΙΤΟΣ ΣΚΛΗΡΟΣ DURATEC</v>
      </c>
      <c r="B4775" s="18" t="s">
        <v>8886</v>
      </c>
      <c r="C4775" s="19" t="s">
        <v>9049</v>
      </c>
      <c r="D4775" s="6">
        <v>517.94000000000005</v>
      </c>
      <c r="E4775" s="6">
        <v>492.2</v>
      </c>
      <c r="F4775" s="6" t="s">
        <v>14</v>
      </c>
      <c r="G4775" s="8" t="s">
        <v>9050</v>
      </c>
      <c r="H4775" s="8" t="s">
        <v>27</v>
      </c>
      <c r="I4775" s="9">
        <v>4391</v>
      </c>
      <c r="J4775" s="20">
        <v>1</v>
      </c>
      <c r="K4775" s="20">
        <v>10380</v>
      </c>
      <c r="L4775" s="3" t="str">
        <f t="shared" si="155"/>
        <v>ΣΚΛΗΡΟΣ_ΣΙΤΟΣ</v>
      </c>
    </row>
    <row r="4776" spans="1:12" s="3" customFormat="1" ht="15" customHeight="1" x14ac:dyDescent="0.25">
      <c r="A4776" s="3" t="str">
        <f t="shared" si="154"/>
        <v>ΣΚΛΗΡΟΣ ΣΙΤΟΣΣΙΤΟΣ ΣΚΛΗΡΟΣ DUROBONUS</v>
      </c>
      <c r="B4776" s="4" t="s">
        <v>8886</v>
      </c>
      <c r="C4776" s="5" t="s">
        <v>9051</v>
      </c>
      <c r="D4776" s="6">
        <v>517.94000000000005</v>
      </c>
      <c r="E4776" s="6">
        <v>492.2</v>
      </c>
      <c r="F4776" s="7" t="s">
        <v>14</v>
      </c>
      <c r="G4776" s="8" t="s">
        <v>9052</v>
      </c>
      <c r="H4776" s="8" t="s">
        <v>27</v>
      </c>
      <c r="I4776" s="9">
        <v>126</v>
      </c>
      <c r="J4776" s="10">
        <v>1</v>
      </c>
      <c r="K4776" s="10">
        <v>10381</v>
      </c>
      <c r="L4776" s="3" t="str">
        <f t="shared" si="155"/>
        <v>ΣΚΛΗΡΟΣ_ΣΙΤΟΣ</v>
      </c>
    </row>
    <row r="4777" spans="1:12" s="3" customFormat="1" ht="15" customHeight="1" x14ac:dyDescent="0.25">
      <c r="A4777" s="3" t="str">
        <f t="shared" si="154"/>
        <v>ΣΚΛΗΡΟΣ ΣΙΤΟΣΣΙΤΟΣ ΣΚΛΗΡΟΣ DUROFLAVUS</v>
      </c>
      <c r="B4777" s="4" t="s">
        <v>8886</v>
      </c>
      <c r="C4777" s="5" t="s">
        <v>9053</v>
      </c>
      <c r="D4777" s="6">
        <v>517.94000000000005</v>
      </c>
      <c r="E4777" s="6">
        <v>492.2</v>
      </c>
      <c r="F4777" s="7" t="s">
        <v>14</v>
      </c>
      <c r="G4777" s="8" t="s">
        <v>9054</v>
      </c>
      <c r="H4777" s="8" t="s">
        <v>16</v>
      </c>
      <c r="I4777" s="9">
        <v>125</v>
      </c>
      <c r="J4777" s="10">
        <v>1</v>
      </c>
      <c r="K4777" s="10">
        <v>10382</v>
      </c>
      <c r="L4777" s="3" t="str">
        <f t="shared" si="155"/>
        <v>ΣΚΛΗΡΟΣ_ΣΙΤΟΣ</v>
      </c>
    </row>
    <row r="4778" spans="1:12" s="3" customFormat="1" ht="15" customHeight="1" x14ac:dyDescent="0.25">
      <c r="A4778" s="3" t="str">
        <f t="shared" si="154"/>
        <v>ΣΚΛΗΡΟΣ ΣΙΤΟΣΣΙΤΟΣ ΣΚΛΗΡΟΣ DUROFOX</v>
      </c>
      <c r="B4778" s="4" t="s">
        <v>8886</v>
      </c>
      <c r="C4778" s="5" t="s">
        <v>9055</v>
      </c>
      <c r="D4778" s="6">
        <v>517.94000000000005</v>
      </c>
      <c r="E4778" s="6">
        <v>492.2</v>
      </c>
      <c r="F4778" s="7" t="s">
        <v>14</v>
      </c>
      <c r="G4778" s="8" t="s">
        <v>9056</v>
      </c>
      <c r="H4778" s="8" t="s">
        <v>16</v>
      </c>
      <c r="I4778" s="9">
        <v>124</v>
      </c>
      <c r="J4778" s="10">
        <v>1</v>
      </c>
      <c r="K4778" s="10">
        <v>10383</v>
      </c>
      <c r="L4778" s="3" t="str">
        <f t="shared" si="155"/>
        <v>ΣΚΛΗΡΟΣ_ΣΙΤΟΣ</v>
      </c>
    </row>
    <row r="4779" spans="1:12" s="3" customFormat="1" ht="15" customHeight="1" x14ac:dyDescent="0.25">
      <c r="A4779" s="3" t="str">
        <f t="shared" si="154"/>
        <v>ΣΚΛΗΡΟΣ ΣΙΤΟΣΣΙΤΟΣ ΣΚΛΗΡΟΣ DUROMAX</v>
      </c>
      <c r="B4779" s="4" t="s">
        <v>8886</v>
      </c>
      <c r="C4779" s="5" t="s">
        <v>9057</v>
      </c>
      <c r="D4779" s="6">
        <v>517.94000000000005</v>
      </c>
      <c r="E4779" s="6">
        <v>492.2</v>
      </c>
      <c r="F4779" s="7" t="s">
        <v>14</v>
      </c>
      <c r="G4779" s="8" t="s">
        <v>9058</v>
      </c>
      <c r="H4779" s="8" t="s">
        <v>16</v>
      </c>
      <c r="I4779" s="9">
        <v>123</v>
      </c>
      <c r="J4779" s="10">
        <v>1</v>
      </c>
      <c r="K4779" s="10">
        <v>10384</v>
      </c>
      <c r="L4779" s="3" t="str">
        <f t="shared" si="155"/>
        <v>ΣΚΛΗΡΟΣ_ΣΙΤΟΣ</v>
      </c>
    </row>
    <row r="4780" spans="1:12" s="3" customFormat="1" ht="15" customHeight="1" x14ac:dyDescent="0.25">
      <c r="A4780" s="3" t="str">
        <f t="shared" si="154"/>
        <v>ΣΚΛΗΡΟΣ ΣΙΤΟΣΣΙΤΟΣ ΣΚΛΗΡΟΣ DURONESSE</v>
      </c>
      <c r="B4780" s="4" t="s">
        <v>8886</v>
      </c>
      <c r="C4780" s="5" t="s">
        <v>9059</v>
      </c>
      <c r="D4780" s="6">
        <v>517.94000000000005</v>
      </c>
      <c r="E4780" s="6">
        <v>492.2</v>
      </c>
      <c r="F4780" s="7" t="s">
        <v>14</v>
      </c>
      <c r="G4780" s="8" t="s">
        <v>9060</v>
      </c>
      <c r="H4780" s="8" t="s">
        <v>16</v>
      </c>
      <c r="I4780" s="9">
        <v>113</v>
      </c>
      <c r="J4780" s="10">
        <v>1</v>
      </c>
      <c r="K4780" s="10">
        <v>10385</v>
      </c>
      <c r="L4780" s="3" t="str">
        <f t="shared" si="155"/>
        <v>ΣΚΛΗΡΟΣ_ΣΙΤΟΣ</v>
      </c>
    </row>
    <row r="4781" spans="1:12" s="3" customFormat="1" ht="15" customHeight="1" x14ac:dyDescent="0.25">
      <c r="A4781" s="3" t="str">
        <f t="shared" si="154"/>
        <v>ΣΚΛΗΡΟΣ ΣΙΤΟΣΣΙΤΟΣ ΣΚΛΗΡΟΣ EGEO</v>
      </c>
      <c r="B4781" s="4" t="s">
        <v>8886</v>
      </c>
      <c r="C4781" s="5" t="s">
        <v>9061</v>
      </c>
      <c r="D4781" s="6">
        <v>517.94000000000005</v>
      </c>
      <c r="E4781" s="6">
        <v>492.2</v>
      </c>
      <c r="F4781" s="7" t="s">
        <v>14</v>
      </c>
      <c r="G4781" s="8" t="s">
        <v>9062</v>
      </c>
      <c r="H4781" s="8" t="s">
        <v>16</v>
      </c>
      <c r="I4781" s="9">
        <v>121</v>
      </c>
      <c r="J4781" s="10">
        <v>1</v>
      </c>
      <c r="K4781" s="10">
        <v>10386</v>
      </c>
      <c r="L4781" s="3" t="str">
        <f t="shared" si="155"/>
        <v>ΣΚΛΗΡΟΣ_ΣΙΤΟΣ</v>
      </c>
    </row>
    <row r="4782" spans="1:12" s="3" customFormat="1" ht="15" customHeight="1" x14ac:dyDescent="0.25">
      <c r="A4782" s="3" t="str">
        <f t="shared" si="154"/>
        <v>ΣΚΛΗΡΟΣ ΣΙΤΟΣΣΙΤΟΣ ΣΚΛΗΡΟΣ ELSADUR</v>
      </c>
      <c r="B4782" s="4" t="s">
        <v>8886</v>
      </c>
      <c r="C4782" s="5" t="s">
        <v>9063</v>
      </c>
      <c r="D4782" s="6">
        <v>517.94000000000005</v>
      </c>
      <c r="E4782" s="6">
        <v>492.2</v>
      </c>
      <c r="F4782" s="7" t="s">
        <v>14</v>
      </c>
      <c r="G4782" s="8" t="s">
        <v>9064</v>
      </c>
      <c r="H4782" s="8" t="s">
        <v>16</v>
      </c>
      <c r="I4782" s="9">
        <v>129</v>
      </c>
      <c r="J4782" s="10">
        <v>1</v>
      </c>
      <c r="K4782" s="10">
        <v>10387</v>
      </c>
      <c r="L4782" s="3" t="str">
        <f t="shared" si="155"/>
        <v>ΣΚΛΗΡΟΣ_ΣΙΤΟΣ</v>
      </c>
    </row>
    <row r="4783" spans="1:12" s="3" customFormat="1" ht="15" customHeight="1" x14ac:dyDescent="0.25">
      <c r="A4783" s="3" t="str">
        <f t="shared" si="154"/>
        <v>ΣΚΛΗΡΟΣ ΣΙΤΟΣΣΙΤΟΣ ΣΚΛΗΡΟΣ EPIDORO</v>
      </c>
      <c r="B4783" s="18" t="s">
        <v>8886</v>
      </c>
      <c r="C4783" s="19" t="s">
        <v>9065</v>
      </c>
      <c r="D4783" s="6">
        <v>517.94000000000005</v>
      </c>
      <c r="E4783" s="6">
        <v>492.2</v>
      </c>
      <c r="F4783" s="6" t="s">
        <v>14</v>
      </c>
      <c r="G4783" s="8" t="s">
        <v>9066</v>
      </c>
      <c r="H4783" s="8" t="s">
        <v>27</v>
      </c>
      <c r="I4783" s="9">
        <v>4392</v>
      </c>
      <c r="J4783" s="20">
        <v>1</v>
      </c>
      <c r="K4783" s="20">
        <v>10388</v>
      </c>
      <c r="L4783" s="3" t="str">
        <f t="shared" si="155"/>
        <v>ΣΚΛΗΡΟΣ_ΣΙΤΟΣ</v>
      </c>
    </row>
    <row r="4784" spans="1:12" s="3" customFormat="1" ht="15" customHeight="1" x14ac:dyDescent="0.25">
      <c r="A4784" s="3" t="str">
        <f t="shared" si="154"/>
        <v>ΣΚΛΗΡΟΣ ΣΙΤΟΣΣΙΤΟΣ ΣΚΛΗΡΟΣ ERMOCOLLE</v>
      </c>
      <c r="B4784" s="4" t="s">
        <v>8886</v>
      </c>
      <c r="C4784" s="5" t="s">
        <v>9067</v>
      </c>
      <c r="D4784" s="6">
        <v>517.94000000000005</v>
      </c>
      <c r="E4784" s="6">
        <v>492.2</v>
      </c>
      <c r="F4784" s="7" t="s">
        <v>14</v>
      </c>
      <c r="G4784" s="8" t="s">
        <v>9068</v>
      </c>
      <c r="H4784" s="8" t="s">
        <v>16</v>
      </c>
      <c r="I4784" s="9">
        <v>119</v>
      </c>
      <c r="J4784" s="10">
        <v>1</v>
      </c>
      <c r="K4784" s="10">
        <v>10389</v>
      </c>
      <c r="L4784" s="3" t="str">
        <f t="shared" si="155"/>
        <v>ΣΚΛΗΡΟΣ_ΣΙΤΟΣ</v>
      </c>
    </row>
    <row r="4785" spans="1:12" s="3" customFormat="1" ht="15" customHeight="1" x14ac:dyDescent="0.25">
      <c r="A4785" s="3" t="str">
        <f t="shared" si="154"/>
        <v>ΣΚΛΗΡΟΣ ΣΙΤΟΣΣΙΤΟΣ ΣΚΛΗΡΟΣ ESTOPA</v>
      </c>
      <c r="B4785" s="18" t="s">
        <v>8886</v>
      </c>
      <c r="C4785" s="19" t="s">
        <v>9069</v>
      </c>
      <c r="D4785" s="6">
        <v>517.94000000000005</v>
      </c>
      <c r="E4785" s="6">
        <v>492.2</v>
      </c>
      <c r="F4785" s="6" t="s">
        <v>14</v>
      </c>
      <c r="G4785" s="8" t="s">
        <v>9070</v>
      </c>
      <c r="H4785" s="8" t="s">
        <v>27</v>
      </c>
      <c r="I4785" s="9">
        <v>4393</v>
      </c>
      <c r="J4785" s="20">
        <v>1</v>
      </c>
      <c r="K4785" s="20">
        <v>10390</v>
      </c>
      <c r="L4785" s="3" t="str">
        <f t="shared" si="155"/>
        <v>ΣΚΛΗΡΟΣ_ΣΙΤΟΣ</v>
      </c>
    </row>
    <row r="4786" spans="1:12" s="3" customFormat="1" ht="15" customHeight="1" x14ac:dyDescent="0.25">
      <c r="A4786" s="3" t="str">
        <f t="shared" si="154"/>
        <v>ΣΚΛΗΡΟΣ ΣΙΤΟΣΣΙΤΟΣ ΣΚΛΗΡΟΣ EURODURO</v>
      </c>
      <c r="B4786" s="4" t="s">
        <v>8886</v>
      </c>
      <c r="C4786" s="5" t="s">
        <v>9071</v>
      </c>
      <c r="D4786" s="6">
        <v>517.94000000000005</v>
      </c>
      <c r="E4786" s="6">
        <v>492.2</v>
      </c>
      <c r="F4786" s="7" t="s">
        <v>14</v>
      </c>
      <c r="G4786" s="8" t="s">
        <v>9072</v>
      </c>
      <c r="H4786" s="8" t="s">
        <v>16</v>
      </c>
      <c r="I4786" s="9">
        <v>118</v>
      </c>
      <c r="J4786" s="10">
        <v>1</v>
      </c>
      <c r="K4786" s="10">
        <v>10391</v>
      </c>
      <c r="L4786" s="3" t="str">
        <f t="shared" si="155"/>
        <v>ΣΚΛΗΡΟΣ_ΣΙΤΟΣ</v>
      </c>
    </row>
    <row r="4787" spans="1:12" s="3" customFormat="1" ht="15" customHeight="1" x14ac:dyDescent="0.25">
      <c r="A4787" s="3" t="str">
        <f t="shared" si="154"/>
        <v>ΣΚΛΗΡΟΣ ΣΙΤΟΣΣΙΤΟΣ ΣΚΛΗΡΟΣ FARAH</v>
      </c>
      <c r="B4787" s="4" t="s">
        <v>8886</v>
      </c>
      <c r="C4787" s="5" t="s">
        <v>9073</v>
      </c>
      <c r="D4787" s="6">
        <v>517.94000000000005</v>
      </c>
      <c r="E4787" s="6">
        <v>492.2</v>
      </c>
      <c r="F4787" s="7" t="s">
        <v>14</v>
      </c>
      <c r="G4787" s="8" t="s">
        <v>9074</v>
      </c>
      <c r="H4787" s="8" t="s">
        <v>16</v>
      </c>
      <c r="I4787" s="9">
        <v>117</v>
      </c>
      <c r="J4787" s="10">
        <v>1</v>
      </c>
      <c r="K4787" s="10">
        <v>10392</v>
      </c>
      <c r="L4787" s="3" t="str">
        <f t="shared" si="155"/>
        <v>ΣΚΛΗΡΟΣ_ΣΙΤΟΣ</v>
      </c>
    </row>
    <row r="4788" spans="1:12" s="3" customFormat="1" ht="15" customHeight="1" x14ac:dyDescent="0.25">
      <c r="A4788" s="3" t="str">
        <f t="shared" si="154"/>
        <v>ΣΚΛΗΡΟΣ ΣΙΤΟΣΣΙΤΟΣ ΣΚΛΗΡΟΣ FLORIDOU</v>
      </c>
      <c r="B4788" s="4" t="s">
        <v>8886</v>
      </c>
      <c r="C4788" s="5" t="s">
        <v>9075</v>
      </c>
      <c r="D4788" s="6">
        <v>517.94000000000005</v>
      </c>
      <c r="E4788" s="6">
        <v>492.2</v>
      </c>
      <c r="F4788" s="7" t="s">
        <v>14</v>
      </c>
      <c r="G4788" s="8" t="s">
        <v>9076</v>
      </c>
      <c r="H4788" s="8" t="s">
        <v>16</v>
      </c>
      <c r="I4788" s="9">
        <v>116</v>
      </c>
      <c r="J4788" s="10">
        <v>1</v>
      </c>
      <c r="K4788" s="10">
        <v>10393</v>
      </c>
      <c r="L4788" s="3" t="str">
        <f t="shared" si="155"/>
        <v>ΣΚΛΗΡΟΣ_ΣΙΤΟΣ</v>
      </c>
    </row>
    <row r="4789" spans="1:12" s="3" customFormat="1" ht="15" customHeight="1" x14ac:dyDescent="0.25">
      <c r="A4789" s="3" t="str">
        <f t="shared" si="154"/>
        <v>ΣΚΛΗΡΟΣ ΣΙΤΟΣΣΙΤΟΣ ΣΚΛΗΡΟΣ ACADUR</v>
      </c>
      <c r="B4789" s="4" t="s">
        <v>8886</v>
      </c>
      <c r="C4789" s="5" t="s">
        <v>9077</v>
      </c>
      <c r="D4789" s="6">
        <v>517.94000000000005</v>
      </c>
      <c r="E4789" s="6">
        <v>492.2</v>
      </c>
      <c r="F4789" s="7" t="s">
        <v>14</v>
      </c>
      <c r="G4789" s="8" t="s">
        <v>9078</v>
      </c>
      <c r="H4789" s="8" t="s">
        <v>16</v>
      </c>
      <c r="I4789" s="9">
        <v>115</v>
      </c>
      <c r="J4789" s="10">
        <v>1</v>
      </c>
      <c r="K4789" s="10">
        <v>10395</v>
      </c>
      <c r="L4789" s="3" t="str">
        <f t="shared" si="155"/>
        <v>ΣΚΛΗΡΟΣ_ΣΙΤΟΣ</v>
      </c>
    </row>
    <row r="4790" spans="1:12" s="3" customFormat="1" ht="15" customHeight="1" x14ac:dyDescent="0.25">
      <c r="A4790" s="3" t="str">
        <f t="shared" si="154"/>
        <v>ΣΚΛΗΡΟΣ ΣΙΤΟΣΣΙΤΟΣ ΣΚΛΗΡΟΣ ACERES</v>
      </c>
      <c r="B4790" s="4" t="s">
        <v>8886</v>
      </c>
      <c r="C4790" s="5" t="s">
        <v>9079</v>
      </c>
      <c r="D4790" s="6">
        <v>517.94000000000005</v>
      </c>
      <c r="E4790" s="6">
        <v>492.2</v>
      </c>
      <c r="F4790" s="7" t="s">
        <v>14</v>
      </c>
      <c r="G4790" s="8" t="s">
        <v>9080</v>
      </c>
      <c r="H4790" s="8" t="s">
        <v>16</v>
      </c>
      <c r="I4790" s="9">
        <v>89</v>
      </c>
      <c r="J4790" s="10">
        <v>1</v>
      </c>
      <c r="K4790" s="10">
        <v>10396</v>
      </c>
      <c r="L4790" s="3" t="str">
        <f t="shared" si="155"/>
        <v>ΣΚΛΗΡΟΣ_ΣΙΤΟΣ</v>
      </c>
    </row>
    <row r="4791" spans="1:12" s="3" customFormat="1" ht="15" customHeight="1" x14ac:dyDescent="0.25">
      <c r="A4791" s="3" t="str">
        <f t="shared" si="154"/>
        <v>ΣΚΛΗΡΟΣ ΣΙΤΟΣΣΙΤΟΣ ΣΚΛΗΡΟΣ ACTISUR</v>
      </c>
      <c r="B4791" s="18" t="s">
        <v>8886</v>
      </c>
      <c r="C4791" s="19" t="s">
        <v>9081</v>
      </c>
      <c r="D4791" s="6">
        <v>517.94000000000005</v>
      </c>
      <c r="E4791" s="6">
        <v>492.2</v>
      </c>
      <c r="F4791" s="6" t="s">
        <v>14</v>
      </c>
      <c r="G4791" s="8" t="s">
        <v>9082</v>
      </c>
      <c r="H4791" s="8" t="s">
        <v>27</v>
      </c>
      <c r="I4791" s="9">
        <v>4394</v>
      </c>
      <c r="J4791" s="20">
        <v>1</v>
      </c>
      <c r="K4791" s="20">
        <v>10397</v>
      </c>
      <c r="L4791" s="3" t="str">
        <f t="shared" si="155"/>
        <v>ΣΚΛΗΡΟΣ_ΣΙΤΟΣ</v>
      </c>
    </row>
    <row r="4792" spans="1:12" s="3" customFormat="1" ht="15" customHeight="1" x14ac:dyDescent="0.25">
      <c r="A4792" s="3" t="str">
        <f t="shared" si="154"/>
        <v>ΣΚΛΗΡΟΣ ΣΙΤΟΣΣΙΤΟΣ ΣΚΛΗΡΟΣ ADONE</v>
      </c>
      <c r="B4792" s="4" t="s">
        <v>8886</v>
      </c>
      <c r="C4792" s="5" t="s">
        <v>9083</v>
      </c>
      <c r="D4792" s="6">
        <v>517.94000000000005</v>
      </c>
      <c r="E4792" s="6">
        <v>492.2</v>
      </c>
      <c r="F4792" s="7" t="s">
        <v>14</v>
      </c>
      <c r="G4792" s="8" t="s">
        <v>9084</v>
      </c>
      <c r="H4792" s="8" t="s">
        <v>16</v>
      </c>
      <c r="I4792" s="9">
        <v>128</v>
      </c>
      <c r="J4792" s="10">
        <v>1</v>
      </c>
      <c r="K4792" s="10">
        <v>10398</v>
      </c>
      <c r="L4792" s="3" t="str">
        <f t="shared" si="155"/>
        <v>ΣΚΛΗΡΟΣ_ΣΙΤΟΣ</v>
      </c>
    </row>
    <row r="4793" spans="1:12" s="3" customFormat="1" ht="15" customHeight="1" x14ac:dyDescent="0.25">
      <c r="A4793" s="3" t="str">
        <f t="shared" si="154"/>
        <v>ΣΚΛΗΡΟΣ ΣΙΤΟΣΣΙΤΟΣ ΣΚΛΗΡΟΣ ALEXIS</v>
      </c>
      <c r="B4793" s="4" t="s">
        <v>8886</v>
      </c>
      <c r="C4793" s="5" t="s">
        <v>9085</v>
      </c>
      <c r="D4793" s="6">
        <v>517.94000000000005</v>
      </c>
      <c r="E4793" s="6">
        <v>492.2</v>
      </c>
      <c r="F4793" s="7" t="s">
        <v>14</v>
      </c>
      <c r="G4793" s="8" t="s">
        <v>9086</v>
      </c>
      <c r="H4793" s="8" t="s">
        <v>16</v>
      </c>
      <c r="I4793" s="9">
        <v>103</v>
      </c>
      <c r="J4793" s="10">
        <v>1</v>
      </c>
      <c r="K4793" s="10">
        <v>10399</v>
      </c>
      <c r="L4793" s="3" t="str">
        <f t="shared" si="155"/>
        <v>ΣΚΛΗΡΟΣ_ΣΙΤΟΣ</v>
      </c>
    </row>
    <row r="4794" spans="1:12" s="3" customFormat="1" ht="15" customHeight="1" x14ac:dyDescent="0.25">
      <c r="A4794" s="3" t="str">
        <f t="shared" si="154"/>
        <v>ΣΚΛΗΡΟΣ ΣΙΤΟΣΣΙΤΟΣ ΣΚΛΗΡΟΣ ALIRON</v>
      </c>
      <c r="B4794" s="18" t="s">
        <v>8886</v>
      </c>
      <c r="C4794" s="19" t="s">
        <v>9087</v>
      </c>
      <c r="D4794" s="6">
        <v>517.94000000000005</v>
      </c>
      <c r="E4794" s="6">
        <v>492.2</v>
      </c>
      <c r="F4794" s="6" t="s">
        <v>14</v>
      </c>
      <c r="G4794" s="8" t="s">
        <v>9088</v>
      </c>
      <c r="H4794" s="8" t="s">
        <v>27</v>
      </c>
      <c r="I4794" s="9">
        <v>4395</v>
      </c>
      <c r="J4794" s="20">
        <v>1</v>
      </c>
      <c r="K4794" s="20">
        <v>10400</v>
      </c>
      <c r="L4794" s="3" t="str">
        <f t="shared" si="155"/>
        <v>ΣΚΛΗΡΟΣ_ΣΙΤΟΣ</v>
      </c>
    </row>
    <row r="4795" spans="1:12" s="3" customFormat="1" ht="15" customHeight="1" x14ac:dyDescent="0.25">
      <c r="A4795" s="3" t="str">
        <f t="shared" si="154"/>
        <v>ΣΚΛΗΡΟΣ ΣΙΤΟΣΣΙΤΟΣ ΣΚΛΗΡΟΣ AMEDEO</v>
      </c>
      <c r="B4795" s="4" t="s">
        <v>8886</v>
      </c>
      <c r="C4795" s="5" t="s">
        <v>9089</v>
      </c>
      <c r="D4795" s="6">
        <v>517.94000000000005</v>
      </c>
      <c r="E4795" s="6">
        <v>492.2</v>
      </c>
      <c r="F4795" s="7" t="s">
        <v>14</v>
      </c>
      <c r="G4795" s="8" t="s">
        <v>9090</v>
      </c>
      <c r="H4795" s="8" t="s">
        <v>16</v>
      </c>
      <c r="I4795" s="9">
        <v>79</v>
      </c>
      <c r="J4795" s="10">
        <v>1</v>
      </c>
      <c r="K4795" s="10">
        <v>10401</v>
      </c>
      <c r="L4795" s="3" t="str">
        <f t="shared" si="155"/>
        <v>ΣΚΛΗΡΟΣ_ΣΙΤΟΣ</v>
      </c>
    </row>
    <row r="4796" spans="1:12" s="3" customFormat="1" ht="15" customHeight="1" x14ac:dyDescent="0.25">
      <c r="A4796" s="3" t="str">
        <f t="shared" si="154"/>
        <v>ΣΚΛΗΡΟΣ ΣΙΤΟΣΣΙΤΟΣ ΣΚΛΗΡΟΣ AMPSICORA</v>
      </c>
      <c r="B4796" s="4" t="s">
        <v>8886</v>
      </c>
      <c r="C4796" s="5" t="s">
        <v>9091</v>
      </c>
      <c r="D4796" s="6">
        <v>517.94000000000005</v>
      </c>
      <c r="E4796" s="6">
        <v>492.2</v>
      </c>
      <c r="F4796" s="7" t="s">
        <v>14</v>
      </c>
      <c r="G4796" s="8" t="s">
        <v>9092</v>
      </c>
      <c r="H4796" s="8" t="s">
        <v>27</v>
      </c>
      <c r="I4796" s="9">
        <v>78</v>
      </c>
      <c r="J4796" s="10">
        <v>1</v>
      </c>
      <c r="K4796" s="10">
        <v>10402</v>
      </c>
      <c r="L4796" s="3" t="str">
        <f t="shared" si="155"/>
        <v>ΣΚΛΗΡΟΣ_ΣΙΤΟΣ</v>
      </c>
    </row>
    <row r="4797" spans="1:12" s="3" customFormat="1" ht="15" customHeight="1" x14ac:dyDescent="0.25">
      <c r="A4797" s="3" t="str">
        <f t="shared" si="154"/>
        <v>ΣΚΛΗΡΟΣ ΣΙΤΟΣΣΙΤΟΣ ΣΚΛΗΡΟΣ ANCALEI</v>
      </c>
      <c r="B4797" s="4" t="s">
        <v>8886</v>
      </c>
      <c r="C4797" s="5" t="s">
        <v>9093</v>
      </c>
      <c r="D4797" s="6">
        <v>517.94000000000005</v>
      </c>
      <c r="E4797" s="6">
        <v>492.2</v>
      </c>
      <c r="F4797" s="7" t="s">
        <v>14</v>
      </c>
      <c r="G4797" s="8" t="s">
        <v>9094</v>
      </c>
      <c r="H4797" s="8" t="s">
        <v>16</v>
      </c>
      <c r="I4797" s="9">
        <v>77</v>
      </c>
      <c r="J4797" s="10">
        <v>1</v>
      </c>
      <c r="K4797" s="10">
        <v>10403</v>
      </c>
      <c r="L4797" s="3" t="str">
        <f t="shared" si="155"/>
        <v>ΣΚΛΗΡΟΣ_ΣΙΤΟΣ</v>
      </c>
    </row>
    <row r="4798" spans="1:12" s="3" customFormat="1" ht="15" customHeight="1" x14ac:dyDescent="0.25">
      <c r="A4798" s="3" t="str">
        <f t="shared" si="154"/>
        <v>ΣΚΛΗΡΟΣ ΣΙΤΟΣΣΙΤΟΣ ΣΚΛΗΡΟΣ ANTALIS</v>
      </c>
      <c r="B4798" s="4" t="s">
        <v>8886</v>
      </c>
      <c r="C4798" s="5" t="s">
        <v>9095</v>
      </c>
      <c r="D4798" s="6">
        <v>517.94000000000005</v>
      </c>
      <c r="E4798" s="6">
        <v>492.2</v>
      </c>
      <c r="F4798" s="7" t="s">
        <v>14</v>
      </c>
      <c r="G4798" s="8" t="s">
        <v>9096</v>
      </c>
      <c r="H4798" s="8" t="s">
        <v>16</v>
      </c>
      <c r="I4798" s="9">
        <v>76</v>
      </c>
      <c r="J4798" s="10">
        <v>1</v>
      </c>
      <c r="K4798" s="10">
        <v>10404</v>
      </c>
      <c r="L4798" s="3" t="str">
        <f t="shared" si="155"/>
        <v>ΣΚΛΗΡΟΣ_ΣΙΤΟΣ</v>
      </c>
    </row>
    <row r="4799" spans="1:12" s="3" customFormat="1" ht="15" customHeight="1" x14ac:dyDescent="0.25">
      <c r="A4799" s="3" t="str">
        <f t="shared" si="154"/>
        <v>ΣΚΛΗΡΟΣ ΣΙΤΟΣΣΙΤΟΣ ΣΚΛΗΡΟΣ ANTESIA</v>
      </c>
      <c r="B4799" s="18" t="s">
        <v>8886</v>
      </c>
      <c r="C4799" s="19" t="s">
        <v>9097</v>
      </c>
      <c r="D4799" s="6">
        <v>517.94000000000005</v>
      </c>
      <c r="E4799" s="6">
        <v>492.2</v>
      </c>
      <c r="F4799" s="6" t="s">
        <v>14</v>
      </c>
      <c r="G4799" s="8" t="s">
        <v>9098</v>
      </c>
      <c r="H4799" s="8" t="s">
        <v>27</v>
      </c>
      <c r="I4799" s="9">
        <v>4396</v>
      </c>
      <c r="J4799" s="20">
        <v>1</v>
      </c>
      <c r="K4799" s="20">
        <v>10405</v>
      </c>
      <c r="L4799" s="3" t="str">
        <f t="shared" si="155"/>
        <v>ΣΚΛΗΡΟΣ_ΣΙΤΟΣ</v>
      </c>
    </row>
    <row r="4800" spans="1:12" s="3" customFormat="1" ht="15" customHeight="1" x14ac:dyDescent="0.25">
      <c r="A4800" s="3" t="str">
        <f t="shared" si="154"/>
        <v>ΣΚΛΗΡΟΣ ΣΙΤΟΣΣΙΤΟΣ ΣΚΛΗΡΟΣ ANTOLOGIA</v>
      </c>
      <c r="B4800" s="18" t="s">
        <v>8886</v>
      </c>
      <c r="C4800" s="19" t="s">
        <v>9099</v>
      </c>
      <c r="D4800" s="6">
        <v>517.94000000000005</v>
      </c>
      <c r="E4800" s="6">
        <v>492.2</v>
      </c>
      <c r="F4800" s="6" t="s">
        <v>14</v>
      </c>
      <c r="G4800" s="8" t="s">
        <v>9100</v>
      </c>
      <c r="H4800" s="8" t="s">
        <v>27</v>
      </c>
      <c r="I4800" s="9">
        <v>4397</v>
      </c>
      <c r="J4800" s="20">
        <v>1</v>
      </c>
      <c r="K4800" s="20">
        <v>10406</v>
      </c>
      <c r="L4800" s="3" t="str">
        <f t="shared" si="155"/>
        <v>ΣΚΛΗΡΟΣ_ΣΙΤΟΣ</v>
      </c>
    </row>
    <row r="4801" spans="1:12" s="3" customFormat="1" ht="15" customHeight="1" x14ac:dyDescent="0.25">
      <c r="A4801" s="3" t="str">
        <f t="shared" si="154"/>
        <v>ΣΚΛΗΡΟΣ ΣΙΤΟΣΣΙΤΟΣ ΣΚΛΗΡΟΣ ANVERGUR</v>
      </c>
      <c r="B4801" s="4" t="s">
        <v>8886</v>
      </c>
      <c r="C4801" s="5" t="s">
        <v>9101</v>
      </c>
      <c r="D4801" s="6">
        <v>517.94000000000005</v>
      </c>
      <c r="E4801" s="6">
        <v>492.2</v>
      </c>
      <c r="F4801" s="7" t="s">
        <v>14</v>
      </c>
      <c r="G4801" s="8" t="s">
        <v>9102</v>
      </c>
      <c r="H4801" s="8" t="s">
        <v>16</v>
      </c>
      <c r="I4801" s="9">
        <v>75</v>
      </c>
      <c r="J4801" s="10">
        <v>1</v>
      </c>
      <c r="K4801" s="10">
        <v>10407</v>
      </c>
      <c r="L4801" s="3" t="str">
        <f t="shared" si="155"/>
        <v>ΣΚΛΗΡΟΣ_ΣΙΤΟΣ</v>
      </c>
    </row>
    <row r="4802" spans="1:12" s="3" customFormat="1" ht="15" customHeight="1" x14ac:dyDescent="0.25">
      <c r="A4802" s="3" t="str">
        <f t="shared" si="154"/>
        <v>ΣΚΛΗΡΟΣ ΣΙΤΟΣΣΙΤΟΣ ΣΚΛΗΡΟΣ ARIOSTO</v>
      </c>
      <c r="B4802" s="4" t="s">
        <v>8886</v>
      </c>
      <c r="C4802" s="5" t="s">
        <v>9103</v>
      </c>
      <c r="D4802" s="6">
        <v>517.94000000000005</v>
      </c>
      <c r="E4802" s="6">
        <v>492.2</v>
      </c>
      <c r="F4802" s="7" t="s">
        <v>14</v>
      </c>
      <c r="G4802" s="8" t="s">
        <v>9104</v>
      </c>
      <c r="H4802" s="8" t="s">
        <v>16</v>
      </c>
      <c r="I4802" s="9">
        <v>74</v>
      </c>
      <c r="J4802" s="10">
        <v>1</v>
      </c>
      <c r="K4802" s="10">
        <v>10408</v>
      </c>
      <c r="L4802" s="3" t="str">
        <f t="shared" si="155"/>
        <v>ΣΚΛΗΡΟΣ_ΣΙΤΟΣ</v>
      </c>
    </row>
    <row r="4803" spans="1:12" s="3" customFormat="1" ht="15" customHeight="1" x14ac:dyDescent="0.25">
      <c r="A4803" s="3" t="str">
        <f t="shared" ref="A4803:A4866" si="156">_xlfn.CONCAT(B4803,C4803)</f>
        <v>ΣΚΛΗΡΟΣ ΣΙΤΟΣΣΙΤΟΣ ΣΚΛΗΡΟΣ IS PENTADUR</v>
      </c>
      <c r="B4803" s="4" t="s">
        <v>8886</v>
      </c>
      <c r="C4803" s="5" t="s">
        <v>9105</v>
      </c>
      <c r="D4803" s="6">
        <v>517.94000000000005</v>
      </c>
      <c r="E4803" s="6">
        <v>492.2</v>
      </c>
      <c r="F4803" s="7" t="s">
        <v>14</v>
      </c>
      <c r="G4803" s="8" t="s">
        <v>9106</v>
      </c>
      <c r="H4803" s="8" t="s">
        <v>27</v>
      </c>
      <c r="I4803" s="9">
        <v>65</v>
      </c>
      <c r="J4803" s="10">
        <v>1</v>
      </c>
      <c r="K4803" s="10">
        <v>10409</v>
      </c>
      <c r="L4803" s="3" t="str">
        <f t="shared" ref="L4803:L4866" si="157">IFERROR(SUBSTITUTE(SUBSTITUTE(SUBSTITUTE(SUBSTITUTE(SUBSTITUTE(B4803, "-", "_"), " ", "_"), ",", ""), "(", ""), ")", ""), B4803)</f>
        <v>ΣΚΛΗΡΟΣ_ΣΙΤΟΣ</v>
      </c>
    </row>
    <row r="4804" spans="1:12" s="3" customFormat="1" ht="15" customHeight="1" x14ac:dyDescent="0.25">
      <c r="A4804" s="3" t="str">
        <f t="shared" si="156"/>
        <v>ΣΚΛΗΡΟΣ ΣΙΤΟΣΣΙΤΟΣ ΣΚΛΗΡΟΣ IS SPIRADUR</v>
      </c>
      <c r="B4804" s="4" t="s">
        <v>8886</v>
      </c>
      <c r="C4804" s="5" t="s">
        <v>9107</v>
      </c>
      <c r="D4804" s="6">
        <v>517.94000000000005</v>
      </c>
      <c r="E4804" s="6">
        <v>492.2</v>
      </c>
      <c r="F4804" s="7" t="s">
        <v>14</v>
      </c>
      <c r="G4804" s="8" t="s">
        <v>9108</v>
      </c>
      <c r="H4804" s="8" t="s">
        <v>16</v>
      </c>
      <c r="I4804" s="9">
        <v>72</v>
      </c>
      <c r="J4804" s="10">
        <v>1</v>
      </c>
      <c r="K4804" s="10">
        <v>10410</v>
      </c>
      <c r="L4804" s="3" t="str">
        <f t="shared" si="157"/>
        <v>ΣΚΛΗΡΟΣ_ΣΙΤΟΣ</v>
      </c>
    </row>
    <row r="4805" spans="1:12" s="3" customFormat="1" ht="15" customHeight="1" x14ac:dyDescent="0.25">
      <c r="A4805" s="3" t="str">
        <f t="shared" si="156"/>
        <v>ΣΚΛΗΡΟΣ ΣΙΤΟΣΣΙΤΟΣ ΣΚΛΗΡΟΣ ISMUR</v>
      </c>
      <c r="B4805" s="18" t="s">
        <v>8886</v>
      </c>
      <c r="C4805" s="19" t="s">
        <v>9109</v>
      </c>
      <c r="D4805" s="6">
        <v>517.94000000000005</v>
      </c>
      <c r="E4805" s="6">
        <v>492.2</v>
      </c>
      <c r="F4805" s="6" t="s">
        <v>14</v>
      </c>
      <c r="G4805" s="8" t="s">
        <v>9110</v>
      </c>
      <c r="H4805" s="8" t="s">
        <v>27</v>
      </c>
      <c r="I4805" s="9">
        <v>4398</v>
      </c>
      <c r="J4805" s="20">
        <v>1</v>
      </c>
      <c r="K4805" s="20">
        <v>10411</v>
      </c>
      <c r="L4805" s="3" t="str">
        <f t="shared" si="157"/>
        <v>ΣΚΛΗΡΟΣ_ΣΙΤΟΣ</v>
      </c>
    </row>
    <row r="4806" spans="1:12" s="3" customFormat="1" ht="15" customHeight="1" x14ac:dyDescent="0.25">
      <c r="A4806" s="3" t="str">
        <f t="shared" si="156"/>
        <v>ΣΚΛΗΡΟΣ ΣΙΤΟΣΣΙΤΟΣ ΣΚΛΗΡΟΣ ISOLA</v>
      </c>
      <c r="B4806" s="4" t="s">
        <v>8886</v>
      </c>
      <c r="C4806" s="5" t="s">
        <v>9111</v>
      </c>
      <c r="D4806" s="6">
        <v>517.94000000000005</v>
      </c>
      <c r="E4806" s="6">
        <v>492.2</v>
      </c>
      <c r="F4806" s="7" t="s">
        <v>14</v>
      </c>
      <c r="G4806" s="8" t="s">
        <v>9112</v>
      </c>
      <c r="H4806" s="8" t="s">
        <v>16</v>
      </c>
      <c r="I4806" s="9">
        <v>80</v>
      </c>
      <c r="J4806" s="10">
        <v>1</v>
      </c>
      <c r="K4806" s="10">
        <v>10412</v>
      </c>
      <c r="L4806" s="3" t="str">
        <f t="shared" si="157"/>
        <v>ΣΚΛΗΡΟΣ_ΣΙΤΟΣ</v>
      </c>
    </row>
    <row r="4807" spans="1:12" s="3" customFormat="1" ht="15" customHeight="1" x14ac:dyDescent="0.25">
      <c r="A4807" s="3" t="str">
        <f t="shared" si="156"/>
        <v>ΣΚΛΗΡΟΣ ΣΙΤΟΣΣΙΤΟΣ ΣΚΛΗΡΟΣ ISTRODUR</v>
      </c>
      <c r="B4807" s="4" t="s">
        <v>8886</v>
      </c>
      <c r="C4807" s="5" t="s">
        <v>9113</v>
      </c>
      <c r="D4807" s="6">
        <v>517.94000000000005</v>
      </c>
      <c r="E4807" s="6">
        <v>492.2</v>
      </c>
      <c r="F4807" s="7" t="s">
        <v>14</v>
      </c>
      <c r="G4807" s="8" t="s">
        <v>9114</v>
      </c>
      <c r="H4807" s="8" t="s">
        <v>16</v>
      </c>
      <c r="I4807" s="9">
        <v>70</v>
      </c>
      <c r="J4807" s="10">
        <v>1</v>
      </c>
      <c r="K4807" s="10">
        <v>10413</v>
      </c>
      <c r="L4807" s="3" t="str">
        <f t="shared" si="157"/>
        <v>ΣΚΛΗΡΟΣ_ΣΙΤΟΣ</v>
      </c>
    </row>
    <row r="4808" spans="1:12" s="3" customFormat="1" ht="15" customHeight="1" x14ac:dyDescent="0.25">
      <c r="A4808" s="3" t="str">
        <f t="shared" si="156"/>
        <v>ΣΚΛΗΡΟΣ ΣΙΤΟΣΣΙΤΟΣ ΣΚΛΗΡΟΣ KEHLIBAR</v>
      </c>
      <c r="B4808" s="4" t="s">
        <v>8886</v>
      </c>
      <c r="C4808" s="5" t="s">
        <v>9115</v>
      </c>
      <c r="D4808" s="6">
        <v>517.94000000000005</v>
      </c>
      <c r="E4808" s="6">
        <v>492.2</v>
      </c>
      <c r="F4808" s="7" t="s">
        <v>14</v>
      </c>
      <c r="G4808" s="8" t="s">
        <v>9116</v>
      </c>
      <c r="H4808" s="8" t="s">
        <v>27</v>
      </c>
      <c r="I4808" s="9">
        <v>69</v>
      </c>
      <c r="J4808" s="10">
        <v>1</v>
      </c>
      <c r="K4808" s="10">
        <v>10414</v>
      </c>
      <c r="L4808" s="3" t="str">
        <f t="shared" si="157"/>
        <v>ΣΚΛΗΡΟΣ_ΣΙΤΟΣ</v>
      </c>
    </row>
    <row r="4809" spans="1:12" s="3" customFormat="1" ht="15" customHeight="1" x14ac:dyDescent="0.25">
      <c r="A4809" s="3" t="str">
        <f t="shared" si="156"/>
        <v>ΣΚΛΗΡΟΣ ΣΙΤΟΣΣΙΤΟΣ ΣΚΛΗΡΟΣ KENOBI</v>
      </c>
      <c r="B4809" s="4" t="s">
        <v>8886</v>
      </c>
      <c r="C4809" s="5" t="s">
        <v>9117</v>
      </c>
      <c r="D4809" s="6">
        <v>517.94000000000005</v>
      </c>
      <c r="E4809" s="6">
        <v>492.2</v>
      </c>
      <c r="F4809" s="7" t="s">
        <v>14</v>
      </c>
      <c r="G4809" s="8" t="s">
        <v>9118</v>
      </c>
      <c r="H4809" s="8" t="s">
        <v>16</v>
      </c>
      <c r="I4809" s="9">
        <v>68</v>
      </c>
      <c r="J4809" s="10">
        <v>1</v>
      </c>
      <c r="K4809" s="10">
        <v>10415</v>
      </c>
      <c r="L4809" s="3" t="str">
        <f t="shared" si="157"/>
        <v>ΣΚΛΗΡΟΣ_ΣΙΤΟΣ</v>
      </c>
    </row>
    <row r="4810" spans="1:12" s="3" customFormat="1" ht="15" customHeight="1" x14ac:dyDescent="0.25">
      <c r="A4810" s="3" t="str">
        <f t="shared" si="156"/>
        <v>ΣΚΛΗΡΟΣ ΣΙΤΟΣΣΙΤΟΣ ΣΚΛΗΡΟΣ KIKO NICK</v>
      </c>
      <c r="B4810" s="4" t="s">
        <v>8886</v>
      </c>
      <c r="C4810" s="5" t="s">
        <v>9119</v>
      </c>
      <c r="D4810" s="6">
        <v>517.94000000000005</v>
      </c>
      <c r="E4810" s="6">
        <v>492.2</v>
      </c>
      <c r="F4810" s="7" t="s">
        <v>14</v>
      </c>
      <c r="G4810" s="8" t="s">
        <v>9120</v>
      </c>
      <c r="H4810" s="8" t="s">
        <v>16</v>
      </c>
      <c r="I4810" s="9">
        <v>67</v>
      </c>
      <c r="J4810" s="10">
        <v>1</v>
      </c>
      <c r="K4810" s="10">
        <v>10416</v>
      </c>
      <c r="L4810" s="3" t="str">
        <f t="shared" si="157"/>
        <v>ΣΚΛΗΡΟΣ_ΣΙΤΟΣ</v>
      </c>
    </row>
    <row r="4811" spans="1:12" s="3" customFormat="1" ht="15" customHeight="1" x14ac:dyDescent="0.25">
      <c r="A4811" s="3" t="str">
        <f t="shared" si="156"/>
        <v>ΣΚΛΗΡΟΣ ΣΙΤΟΣΣΙΤΟΣ ΣΚΛΗΡΟΣ KOMNATA</v>
      </c>
      <c r="B4811" s="18" t="s">
        <v>8886</v>
      </c>
      <c r="C4811" s="19" t="s">
        <v>9121</v>
      </c>
      <c r="D4811" s="6">
        <v>517.94000000000005</v>
      </c>
      <c r="E4811" s="6">
        <v>492.2</v>
      </c>
      <c r="F4811" s="6" t="s">
        <v>14</v>
      </c>
      <c r="G4811" s="8" t="s">
        <v>9122</v>
      </c>
      <c r="H4811" s="8" t="s">
        <v>27</v>
      </c>
      <c r="I4811" s="9">
        <v>4399</v>
      </c>
      <c r="J4811" s="20">
        <v>1</v>
      </c>
      <c r="K4811" s="20">
        <v>10417</v>
      </c>
      <c r="L4811" s="3" t="str">
        <f t="shared" si="157"/>
        <v>ΣΚΛΗΡΟΣ_ΣΙΤΟΣ</v>
      </c>
    </row>
    <row r="4812" spans="1:12" s="3" customFormat="1" ht="15" customHeight="1" x14ac:dyDescent="0.25">
      <c r="A4812" s="3" t="str">
        <f t="shared" si="156"/>
        <v>ΣΚΛΗΡΟΣ ΣΙΤΟΣΣΙΤΟΣ ΣΚΛΗΡΟΣ K26</v>
      </c>
      <c r="B4812" s="4" t="s">
        <v>8886</v>
      </c>
      <c r="C4812" s="5" t="s">
        <v>9123</v>
      </c>
      <c r="D4812" s="6">
        <v>517.94000000000005</v>
      </c>
      <c r="E4812" s="6">
        <v>492.2</v>
      </c>
      <c r="F4812" s="7" t="s">
        <v>14</v>
      </c>
      <c r="G4812" s="8" t="s">
        <v>9124</v>
      </c>
      <c r="H4812" s="8" t="s">
        <v>16</v>
      </c>
      <c r="I4812" s="9">
        <v>87</v>
      </c>
      <c r="J4812" s="10">
        <v>1</v>
      </c>
      <c r="K4812" s="10">
        <v>10418</v>
      </c>
      <c r="L4812" s="3" t="str">
        <f t="shared" si="157"/>
        <v>ΣΚΛΗΡΟΣ_ΣΙΤΟΣ</v>
      </c>
    </row>
    <row r="4813" spans="1:12" s="3" customFormat="1" ht="15" customHeight="1" x14ac:dyDescent="0.25">
      <c r="A4813" s="3" t="str">
        <f t="shared" si="156"/>
        <v>ΣΚΛΗΡΟΣ ΣΙΤΟΣΣΙΤΟΣ ΣΚΛΗΡΟΣ LANCIA</v>
      </c>
      <c r="B4813" s="4" t="s">
        <v>8886</v>
      </c>
      <c r="C4813" s="5" t="s">
        <v>9125</v>
      </c>
      <c r="D4813" s="6">
        <v>517.94000000000005</v>
      </c>
      <c r="E4813" s="6">
        <v>492.2</v>
      </c>
      <c r="F4813" s="7" t="s">
        <v>14</v>
      </c>
      <c r="G4813" s="8" t="s">
        <v>9126</v>
      </c>
      <c r="H4813" s="8" t="s">
        <v>16</v>
      </c>
      <c r="I4813" s="9">
        <v>71</v>
      </c>
      <c r="J4813" s="10">
        <v>1</v>
      </c>
      <c r="K4813" s="10">
        <v>10419</v>
      </c>
      <c r="L4813" s="3" t="str">
        <f t="shared" si="157"/>
        <v>ΣΚΛΗΡΟΣ_ΣΙΤΟΣ</v>
      </c>
    </row>
    <row r="4814" spans="1:12" s="3" customFormat="1" ht="15" customHeight="1" x14ac:dyDescent="0.25">
      <c r="A4814" s="3" t="str">
        <f t="shared" si="156"/>
        <v>ΣΚΛΗΡΟΣ ΣΙΤΟΣΣΙΤΟΣ ΣΚΛΗΡΟΣ LEARCO</v>
      </c>
      <c r="B4814" s="4" t="s">
        <v>8886</v>
      </c>
      <c r="C4814" s="5" t="s">
        <v>9127</v>
      </c>
      <c r="D4814" s="6">
        <v>517.94000000000005</v>
      </c>
      <c r="E4814" s="6">
        <v>492.2</v>
      </c>
      <c r="F4814" s="7" t="s">
        <v>14</v>
      </c>
      <c r="G4814" s="8" t="s">
        <v>9128</v>
      </c>
      <c r="H4814" s="8" t="s">
        <v>16</v>
      </c>
      <c r="I4814" s="9">
        <v>73</v>
      </c>
      <c r="J4814" s="10">
        <v>1</v>
      </c>
      <c r="K4814" s="10">
        <v>10420</v>
      </c>
      <c r="L4814" s="3" t="str">
        <f t="shared" si="157"/>
        <v>ΣΚΛΗΡΟΣ_ΣΙΤΟΣ</v>
      </c>
    </row>
    <row r="4815" spans="1:12" s="3" customFormat="1" ht="15" customHeight="1" x14ac:dyDescent="0.25">
      <c r="A4815" s="3" t="str">
        <f t="shared" si="156"/>
        <v>ΣΚΛΗΡΟΣ ΣΙΤΟΣΣΙΤΟΣ ΣΚΛΗΡΟΣ LECITUR</v>
      </c>
      <c r="B4815" s="4" t="s">
        <v>8886</v>
      </c>
      <c r="C4815" s="5" t="s">
        <v>9129</v>
      </c>
      <c r="D4815" s="6">
        <v>517.94000000000005</v>
      </c>
      <c r="E4815" s="6">
        <v>492.2</v>
      </c>
      <c r="F4815" s="7" t="s">
        <v>14</v>
      </c>
      <c r="G4815" s="8" t="s">
        <v>9130</v>
      </c>
      <c r="H4815" s="8" t="s">
        <v>16</v>
      </c>
      <c r="I4815" s="9">
        <v>95</v>
      </c>
      <c r="J4815" s="10">
        <v>1</v>
      </c>
      <c r="K4815" s="10">
        <v>10421</v>
      </c>
      <c r="L4815" s="3" t="str">
        <f t="shared" si="157"/>
        <v>ΣΚΛΗΡΟΣ_ΣΙΤΟΣ</v>
      </c>
    </row>
    <row r="4816" spans="1:12" s="3" customFormat="1" ht="15" customHeight="1" x14ac:dyDescent="0.25">
      <c r="A4816" s="3" t="str">
        <f t="shared" si="156"/>
        <v>ΣΚΛΗΡΟΣ ΣΙΤΟΣΣΙΤΟΣ ΣΚΛΗΡΟΣ LEMARES</v>
      </c>
      <c r="B4816" s="4" t="s">
        <v>8886</v>
      </c>
      <c r="C4816" s="5" t="s">
        <v>9131</v>
      </c>
      <c r="D4816" s="6">
        <v>517.94000000000005</v>
      </c>
      <c r="E4816" s="6">
        <v>492.2</v>
      </c>
      <c r="F4816" s="7" t="s">
        <v>14</v>
      </c>
      <c r="G4816" s="8" t="s">
        <v>9132</v>
      </c>
      <c r="H4816" s="8" t="s">
        <v>16</v>
      </c>
      <c r="I4816" s="9">
        <v>94</v>
      </c>
      <c r="J4816" s="10">
        <v>1</v>
      </c>
      <c r="K4816" s="10">
        <v>10422</v>
      </c>
      <c r="L4816" s="3" t="str">
        <f t="shared" si="157"/>
        <v>ΣΚΛΗΡΟΣ_ΣΙΤΟΣ</v>
      </c>
    </row>
    <row r="4817" spans="1:12" s="3" customFormat="1" ht="15" customHeight="1" x14ac:dyDescent="0.25">
      <c r="A4817" s="3" t="str">
        <f t="shared" si="156"/>
        <v>ΣΚΛΗΡΟΣ ΣΙΤΟΣΣΙΤΟΣ ΣΚΛΗΡΟΣ LG ANUBIS</v>
      </c>
      <c r="B4817" s="4" t="s">
        <v>8886</v>
      </c>
      <c r="C4817" s="5" t="s">
        <v>9133</v>
      </c>
      <c r="D4817" s="6">
        <v>517.94000000000005</v>
      </c>
      <c r="E4817" s="6">
        <v>492.2</v>
      </c>
      <c r="F4817" s="7" t="s">
        <v>14</v>
      </c>
      <c r="G4817" s="8" t="s">
        <v>9134</v>
      </c>
      <c r="H4817" s="8" t="s">
        <v>16</v>
      </c>
      <c r="I4817" s="9">
        <v>93</v>
      </c>
      <c r="J4817" s="10">
        <v>1</v>
      </c>
      <c r="K4817" s="10">
        <v>10423</v>
      </c>
      <c r="L4817" s="3" t="str">
        <f t="shared" si="157"/>
        <v>ΣΚΛΗΡΟΣ_ΣΙΤΟΣ</v>
      </c>
    </row>
    <row r="4818" spans="1:12" s="3" customFormat="1" ht="15" customHeight="1" x14ac:dyDescent="0.25">
      <c r="A4818" s="3" t="str">
        <f t="shared" si="156"/>
        <v>ΣΚΛΗΡΟΣ ΣΙΤΟΣΣΙΤΟΣ ΣΚΛΗΡΟΣ LG BORIS</v>
      </c>
      <c r="B4818" s="4" t="s">
        <v>8886</v>
      </c>
      <c r="C4818" s="5" t="s">
        <v>9135</v>
      </c>
      <c r="D4818" s="6">
        <v>517.94000000000005</v>
      </c>
      <c r="E4818" s="6">
        <v>492.2</v>
      </c>
      <c r="F4818" s="7" t="s">
        <v>14</v>
      </c>
      <c r="G4818" s="8" t="s">
        <v>9136</v>
      </c>
      <c r="H4818" s="8" t="s">
        <v>16</v>
      </c>
      <c r="I4818" s="9">
        <v>92</v>
      </c>
      <c r="J4818" s="10">
        <v>1</v>
      </c>
      <c r="K4818" s="10">
        <v>10424</v>
      </c>
      <c r="L4818" s="3" t="str">
        <f t="shared" si="157"/>
        <v>ΣΚΛΗΡΟΣ_ΣΙΤΟΣ</v>
      </c>
    </row>
    <row r="4819" spans="1:12" s="3" customFormat="1" ht="15" customHeight="1" x14ac:dyDescent="0.25">
      <c r="A4819" s="3" t="str">
        <f t="shared" si="156"/>
        <v>ΣΚΛΗΡΟΣ ΣΙΤΟΣΣΙΤΟΣ ΣΚΛΗΡΟΣ LIBERDUR</v>
      </c>
      <c r="B4819" s="4" t="s">
        <v>8886</v>
      </c>
      <c r="C4819" s="5" t="s">
        <v>9137</v>
      </c>
      <c r="D4819" s="6">
        <v>517.94000000000005</v>
      </c>
      <c r="E4819" s="6">
        <v>492.2</v>
      </c>
      <c r="F4819" s="7" t="s">
        <v>14</v>
      </c>
      <c r="G4819" s="8" t="s">
        <v>9138</v>
      </c>
      <c r="H4819" s="8" t="s">
        <v>16</v>
      </c>
      <c r="I4819" s="9">
        <v>91</v>
      </c>
      <c r="J4819" s="10">
        <v>1</v>
      </c>
      <c r="K4819" s="10">
        <v>10425</v>
      </c>
      <c r="L4819" s="3" t="str">
        <f t="shared" si="157"/>
        <v>ΣΚΛΗΡΟΣ_ΣΙΤΟΣ</v>
      </c>
    </row>
    <row r="4820" spans="1:12" s="3" customFormat="1" ht="15" customHeight="1" x14ac:dyDescent="0.25">
      <c r="A4820" s="3" t="str">
        <f t="shared" si="156"/>
        <v>ΣΚΛΗΡΟΣ ΣΙΤΟΣΣΙΤΟΣ ΣΚΛΗΡΟΣ LICINIUS</v>
      </c>
      <c r="B4820" s="4" t="s">
        <v>8886</v>
      </c>
      <c r="C4820" s="5" t="s">
        <v>9139</v>
      </c>
      <c r="D4820" s="6">
        <v>517.94000000000005</v>
      </c>
      <c r="E4820" s="6">
        <v>492.2</v>
      </c>
      <c r="F4820" s="7" t="s">
        <v>14</v>
      </c>
      <c r="G4820" s="8" t="s">
        <v>9140</v>
      </c>
      <c r="H4820" s="8" t="s">
        <v>16</v>
      </c>
      <c r="I4820" s="9">
        <v>90</v>
      </c>
      <c r="J4820" s="10">
        <v>1</v>
      </c>
      <c r="K4820" s="10">
        <v>10426</v>
      </c>
      <c r="L4820" s="3" t="str">
        <f t="shared" si="157"/>
        <v>ΣΚΛΗΡΟΣ_ΣΙΤΟΣ</v>
      </c>
    </row>
    <row r="4821" spans="1:12" s="3" customFormat="1" ht="15" customHeight="1" x14ac:dyDescent="0.25">
      <c r="A4821" s="3" t="str">
        <f t="shared" si="156"/>
        <v>ΣΚΛΗΡΟΣ ΣΙΤΟΣΣΙΤΟΣ ΣΚΛΗΡΟΣ LOGIDUR</v>
      </c>
      <c r="B4821" s="18" t="s">
        <v>8886</v>
      </c>
      <c r="C4821" s="19" t="s">
        <v>9141</v>
      </c>
      <c r="D4821" s="6">
        <v>517.94000000000005</v>
      </c>
      <c r="E4821" s="6">
        <v>492.2</v>
      </c>
      <c r="F4821" s="6" t="s">
        <v>14</v>
      </c>
      <c r="G4821" s="8" t="s">
        <v>9142</v>
      </c>
      <c r="H4821" s="8" t="s">
        <v>27</v>
      </c>
      <c r="I4821" s="9">
        <v>4400</v>
      </c>
      <c r="J4821" s="20">
        <v>1</v>
      </c>
      <c r="K4821" s="20">
        <v>10427</v>
      </c>
      <c r="L4821" s="3" t="str">
        <f t="shared" si="157"/>
        <v>ΣΚΛΗΡΟΣ_ΣΙΤΟΣ</v>
      </c>
    </row>
    <row r="4822" spans="1:12" s="3" customFormat="1" ht="15" customHeight="1" x14ac:dyDescent="0.25">
      <c r="A4822" s="3" t="str">
        <f t="shared" si="156"/>
        <v>ΣΚΛΗΡΟΣ ΣΙΤΟΣΣΙΤΟΣ ΣΚΛΗΡΟΣ LUMINUR</v>
      </c>
      <c r="B4822" s="4" t="s">
        <v>8886</v>
      </c>
      <c r="C4822" s="5" t="s">
        <v>9143</v>
      </c>
      <c r="D4822" s="6">
        <v>517.94000000000005</v>
      </c>
      <c r="E4822" s="6">
        <v>492.2</v>
      </c>
      <c r="F4822" s="7" t="s">
        <v>14</v>
      </c>
      <c r="G4822" s="8" t="s">
        <v>9144</v>
      </c>
      <c r="H4822" s="8" t="s">
        <v>27</v>
      </c>
      <c r="I4822" s="9">
        <v>81</v>
      </c>
      <c r="J4822" s="10">
        <v>1</v>
      </c>
      <c r="K4822" s="10">
        <v>10428</v>
      </c>
      <c r="L4822" s="3" t="str">
        <f t="shared" si="157"/>
        <v>ΣΚΛΗΡΟΣ_ΣΙΤΟΣ</v>
      </c>
    </row>
    <row r="4823" spans="1:12" s="3" customFormat="1" ht="15" customHeight="1" x14ac:dyDescent="0.25">
      <c r="A4823" s="3" t="str">
        <f t="shared" si="156"/>
        <v>ΣΚΛΗΡΟΣ ΣΙΤΟΣΣΙΤΟΣ ΣΚΛΗΡΟΣ LUNADUR</v>
      </c>
      <c r="B4823" s="4" t="s">
        <v>8886</v>
      </c>
      <c r="C4823" s="5" t="s">
        <v>9145</v>
      </c>
      <c r="D4823" s="6">
        <v>517.94000000000005</v>
      </c>
      <c r="E4823" s="6">
        <v>492.2</v>
      </c>
      <c r="F4823" s="7" t="s">
        <v>14</v>
      </c>
      <c r="G4823" s="8" t="s">
        <v>9146</v>
      </c>
      <c r="H4823" s="8" t="s">
        <v>16</v>
      </c>
      <c r="I4823" s="9">
        <v>88</v>
      </c>
      <c r="J4823" s="10">
        <v>1</v>
      </c>
      <c r="K4823" s="10">
        <v>10429</v>
      </c>
      <c r="L4823" s="3" t="str">
        <f t="shared" si="157"/>
        <v>ΣΚΛΗΡΟΣ_ΣΙΤΟΣ</v>
      </c>
    </row>
    <row r="4824" spans="1:12" s="3" customFormat="1" ht="15" customHeight="1" x14ac:dyDescent="0.25">
      <c r="A4824" s="3" t="str">
        <f t="shared" si="156"/>
        <v>ΣΚΛΗΡΟΣ ΣΙΤΟΣΣΙΤΟΣ ΣΚΛΗΡΟΣ LUPIDUR</v>
      </c>
      <c r="B4824" s="4" t="s">
        <v>8886</v>
      </c>
      <c r="C4824" s="5" t="s">
        <v>9147</v>
      </c>
      <c r="D4824" s="6">
        <v>517.94000000000005</v>
      </c>
      <c r="E4824" s="6">
        <v>492.2</v>
      </c>
      <c r="F4824" s="7" t="s">
        <v>14</v>
      </c>
      <c r="G4824" s="8" t="s">
        <v>9148</v>
      </c>
      <c r="H4824" s="8" t="s">
        <v>16</v>
      </c>
      <c r="I4824" s="9">
        <v>96</v>
      </c>
      <c r="J4824" s="10">
        <v>1</v>
      </c>
      <c r="K4824" s="10">
        <v>10430</v>
      </c>
      <c r="L4824" s="3" t="str">
        <f t="shared" si="157"/>
        <v>ΣΚΛΗΡΟΣ_ΣΙΤΟΣ</v>
      </c>
    </row>
    <row r="4825" spans="1:12" s="3" customFormat="1" ht="15" customHeight="1" x14ac:dyDescent="0.25">
      <c r="A4825" s="3" t="str">
        <f t="shared" si="156"/>
        <v>ΣΚΛΗΡΟΣ ΣΙΤΟΣΣΙΤΟΣ ΣΚΛΗΡΟΣ LUSODUR</v>
      </c>
      <c r="B4825" s="18" t="s">
        <v>8886</v>
      </c>
      <c r="C4825" s="19" t="s">
        <v>9149</v>
      </c>
      <c r="D4825" s="6">
        <v>517.94000000000005</v>
      </c>
      <c r="E4825" s="6">
        <v>492.2</v>
      </c>
      <c r="F4825" s="6" t="s">
        <v>14</v>
      </c>
      <c r="G4825" s="8" t="s">
        <v>9150</v>
      </c>
      <c r="H4825" s="8" t="s">
        <v>27</v>
      </c>
      <c r="I4825" s="9">
        <v>4401</v>
      </c>
      <c r="J4825" s="20">
        <v>1</v>
      </c>
      <c r="K4825" s="20">
        <v>10431</v>
      </c>
      <c r="L4825" s="3" t="str">
        <f t="shared" si="157"/>
        <v>ΣΚΛΗΡΟΣ_ΣΙΤΟΣ</v>
      </c>
    </row>
    <row r="4826" spans="1:12" s="3" customFormat="1" ht="15" customHeight="1" x14ac:dyDescent="0.25">
      <c r="A4826" s="3" t="str">
        <f t="shared" si="156"/>
        <v>ΣΚΛΗΡΟΣ ΣΙΤΟΣΣΙΤΟΣ ΣΚΛΗΡΟΣ LYLOU</v>
      </c>
      <c r="B4826" s="4" t="s">
        <v>8886</v>
      </c>
      <c r="C4826" s="5" t="s">
        <v>9151</v>
      </c>
      <c r="D4826" s="6">
        <v>517.94000000000005</v>
      </c>
      <c r="E4826" s="6">
        <v>492.2</v>
      </c>
      <c r="F4826" s="7" t="s">
        <v>14</v>
      </c>
      <c r="G4826" s="8" t="s">
        <v>9152</v>
      </c>
      <c r="H4826" s="8" t="s">
        <v>16</v>
      </c>
      <c r="I4826" s="9">
        <v>86</v>
      </c>
      <c r="J4826" s="10">
        <v>1</v>
      </c>
      <c r="K4826" s="10">
        <v>10432</v>
      </c>
      <c r="L4826" s="3" t="str">
        <f t="shared" si="157"/>
        <v>ΣΚΛΗΡΟΣ_ΣΙΤΟΣ</v>
      </c>
    </row>
    <row r="4827" spans="1:12" s="3" customFormat="1" ht="15" customHeight="1" x14ac:dyDescent="0.25">
      <c r="A4827" s="3" t="str">
        <f t="shared" si="156"/>
        <v>ΣΚΛΗΡΟΣ ΣΙΤΟΣΣΙΤΟΣ ΣΚΛΗΡΟΣ MACISTE</v>
      </c>
      <c r="B4827" s="4" t="s">
        <v>8886</v>
      </c>
      <c r="C4827" s="5" t="s">
        <v>9153</v>
      </c>
      <c r="D4827" s="6">
        <v>517.94000000000005</v>
      </c>
      <c r="E4827" s="6">
        <v>492.2</v>
      </c>
      <c r="F4827" s="7" t="s">
        <v>14</v>
      </c>
      <c r="G4827" s="8" t="s">
        <v>9154</v>
      </c>
      <c r="H4827" s="8" t="s">
        <v>16</v>
      </c>
      <c r="I4827" s="9">
        <v>85</v>
      </c>
      <c r="J4827" s="10">
        <v>1</v>
      </c>
      <c r="K4827" s="10">
        <v>10433</v>
      </c>
      <c r="L4827" s="3" t="str">
        <f t="shared" si="157"/>
        <v>ΣΚΛΗΡΟΣ_ΣΙΤΟΣ</v>
      </c>
    </row>
    <row r="4828" spans="1:12" s="3" customFormat="1" ht="15" customHeight="1" x14ac:dyDescent="0.25">
      <c r="A4828" s="3" t="str">
        <f t="shared" si="156"/>
        <v>ΣΚΛΗΡΟΣ ΣΙΤΟΣΣΙΤΟΣ ΣΚΛΗΡΟΣ MAESTA</v>
      </c>
      <c r="B4828" s="4" t="s">
        <v>8886</v>
      </c>
      <c r="C4828" s="5" t="s">
        <v>9155</v>
      </c>
      <c r="D4828" s="6">
        <v>517.94000000000005</v>
      </c>
      <c r="E4828" s="6">
        <v>492.2</v>
      </c>
      <c r="F4828" s="7" t="s">
        <v>14</v>
      </c>
      <c r="G4828" s="8" t="s">
        <v>9156</v>
      </c>
      <c r="H4828" s="8" t="s">
        <v>16</v>
      </c>
      <c r="I4828" s="9">
        <v>84</v>
      </c>
      <c r="J4828" s="10">
        <v>1</v>
      </c>
      <c r="K4828" s="10">
        <v>10434</v>
      </c>
      <c r="L4828" s="3" t="str">
        <f t="shared" si="157"/>
        <v>ΣΚΛΗΡΟΣ_ΣΙΤΟΣ</v>
      </c>
    </row>
    <row r="4829" spans="1:12" s="3" customFormat="1" ht="15" customHeight="1" x14ac:dyDescent="0.25">
      <c r="A4829" s="3" t="str">
        <f t="shared" si="156"/>
        <v>ΣΚΛΗΡΟΣ ΣΙΤΟΣΣΙΤΟΣ ΣΚΛΗΡΟΣ MAGELLANO</v>
      </c>
      <c r="B4829" s="4" t="s">
        <v>8886</v>
      </c>
      <c r="C4829" s="5" t="s">
        <v>9157</v>
      </c>
      <c r="D4829" s="6">
        <v>517.94000000000005</v>
      </c>
      <c r="E4829" s="6">
        <v>492.2</v>
      </c>
      <c r="F4829" s="7" t="s">
        <v>14</v>
      </c>
      <c r="G4829" s="8" t="s">
        <v>9158</v>
      </c>
      <c r="H4829" s="8" t="s">
        <v>16</v>
      </c>
      <c r="I4829" s="9">
        <v>83</v>
      </c>
      <c r="J4829" s="10">
        <v>1</v>
      </c>
      <c r="K4829" s="10">
        <v>10435</v>
      </c>
      <c r="L4829" s="3" t="str">
        <f t="shared" si="157"/>
        <v>ΣΚΛΗΡΟΣ_ΣΙΤΟΣ</v>
      </c>
    </row>
    <row r="4830" spans="1:12" s="3" customFormat="1" ht="15" customHeight="1" x14ac:dyDescent="0.25">
      <c r="A4830" s="3" t="str">
        <f t="shared" si="156"/>
        <v>ΣΚΛΗΡΟΣ ΣΙΤΟΣΣΙΤΟΣ ΣΚΛΗΡΟΣ MALENA</v>
      </c>
      <c r="B4830" s="4" t="s">
        <v>8886</v>
      </c>
      <c r="C4830" s="5" t="s">
        <v>9159</v>
      </c>
      <c r="D4830" s="6">
        <v>517.94000000000005</v>
      </c>
      <c r="E4830" s="6">
        <v>492.2</v>
      </c>
      <c r="F4830" s="7" t="s">
        <v>14</v>
      </c>
      <c r="G4830" s="8" t="s">
        <v>9160</v>
      </c>
      <c r="H4830" s="8" t="s">
        <v>16</v>
      </c>
      <c r="I4830" s="9">
        <v>274</v>
      </c>
      <c r="J4830" s="10">
        <v>1</v>
      </c>
      <c r="K4830" s="10">
        <v>10436</v>
      </c>
      <c r="L4830" s="3" t="str">
        <f t="shared" si="157"/>
        <v>ΣΚΛΗΡΟΣ_ΣΙΤΟΣ</v>
      </c>
    </row>
    <row r="4831" spans="1:12" s="3" customFormat="1" ht="15" customHeight="1" x14ac:dyDescent="0.25">
      <c r="A4831" s="3" t="str">
        <f t="shared" si="156"/>
        <v>ΣΚΛΗΡΟΣ ΣΙΤΟΣΣΙΤΟΣ ΣΚΛΗΡΟΣ MALVADUR</v>
      </c>
      <c r="B4831" s="4" t="s">
        <v>8886</v>
      </c>
      <c r="C4831" s="5" t="s">
        <v>9161</v>
      </c>
      <c r="D4831" s="6">
        <v>517.94000000000005</v>
      </c>
      <c r="E4831" s="6">
        <v>492.2</v>
      </c>
      <c r="F4831" s="7" t="s">
        <v>14</v>
      </c>
      <c r="G4831" s="8" t="s">
        <v>9162</v>
      </c>
      <c r="H4831" s="8" t="s">
        <v>16</v>
      </c>
      <c r="I4831" s="9">
        <v>15</v>
      </c>
      <c r="J4831" s="10">
        <v>1</v>
      </c>
      <c r="K4831" s="10">
        <v>10437</v>
      </c>
      <c r="L4831" s="3" t="str">
        <f t="shared" si="157"/>
        <v>ΣΚΛΗΡΟΣ_ΣΙΤΟΣ</v>
      </c>
    </row>
    <row r="4832" spans="1:12" s="3" customFormat="1" ht="15" customHeight="1" x14ac:dyDescent="0.25">
      <c r="A4832" s="3" t="str">
        <f t="shared" si="156"/>
        <v>ΣΚΛΗΡΟΣ ΣΙΤΟΣΣΙΤΟΣ ΣΚΛΗΡΟΣ MARIALVA</v>
      </c>
      <c r="B4832" s="4" t="s">
        <v>8886</v>
      </c>
      <c r="C4832" s="5" t="s">
        <v>9163</v>
      </c>
      <c r="D4832" s="6">
        <v>517.94000000000005</v>
      </c>
      <c r="E4832" s="6">
        <v>492.2</v>
      </c>
      <c r="F4832" s="7" t="s">
        <v>14</v>
      </c>
      <c r="G4832" s="8" t="s">
        <v>9164</v>
      </c>
      <c r="H4832" s="8" t="s">
        <v>27</v>
      </c>
      <c r="I4832" s="9">
        <v>212</v>
      </c>
      <c r="J4832" s="10">
        <v>1</v>
      </c>
      <c r="K4832" s="10">
        <v>10438</v>
      </c>
      <c r="L4832" s="3" t="str">
        <f t="shared" si="157"/>
        <v>ΣΚΛΗΡΟΣ_ΣΙΤΟΣ</v>
      </c>
    </row>
    <row r="4833" spans="1:12" s="3" customFormat="1" ht="15" customHeight="1" x14ac:dyDescent="0.25">
      <c r="A4833" s="3" t="str">
        <f t="shared" si="156"/>
        <v>ΣΚΛΗΡΟΣ ΣΙΤΟΣΣΙΤΟΣ ΣΚΛΗΡΟΣ MARTINUR</v>
      </c>
      <c r="B4833" s="4" t="s">
        <v>8886</v>
      </c>
      <c r="C4833" s="5" t="s">
        <v>9165</v>
      </c>
      <c r="D4833" s="6">
        <v>517.94000000000005</v>
      </c>
      <c r="E4833" s="6">
        <v>492.2</v>
      </c>
      <c r="F4833" s="7" t="s">
        <v>14</v>
      </c>
      <c r="G4833" s="8" t="s">
        <v>9166</v>
      </c>
      <c r="H4833" s="8" t="s">
        <v>16</v>
      </c>
      <c r="I4833" s="9">
        <v>435</v>
      </c>
      <c r="J4833" s="10">
        <v>1</v>
      </c>
      <c r="K4833" s="10">
        <v>10439</v>
      </c>
      <c r="L4833" s="3" t="str">
        <f t="shared" si="157"/>
        <v>ΣΚΛΗΡΟΣ_ΣΙΤΟΣ</v>
      </c>
    </row>
    <row r="4834" spans="1:12" s="3" customFormat="1" ht="15" customHeight="1" x14ac:dyDescent="0.25">
      <c r="A4834" s="3" t="str">
        <f t="shared" si="156"/>
        <v>ΣΚΛΗΡΟΣ ΣΙΤΟΣΣΙΤΟΣ ΣΚΛΗΡΟΣ MELINA</v>
      </c>
      <c r="B4834" s="4" t="s">
        <v>8886</v>
      </c>
      <c r="C4834" s="5" t="s">
        <v>9167</v>
      </c>
      <c r="D4834" s="6">
        <v>517.94000000000005</v>
      </c>
      <c r="E4834" s="6">
        <v>492.2</v>
      </c>
      <c r="F4834" s="7" t="s">
        <v>14</v>
      </c>
      <c r="G4834" s="8" t="s">
        <v>9168</v>
      </c>
      <c r="H4834" s="8" t="s">
        <v>16</v>
      </c>
      <c r="I4834" s="9">
        <v>434</v>
      </c>
      <c r="J4834" s="10">
        <v>1</v>
      </c>
      <c r="K4834" s="10">
        <v>10440</v>
      </c>
      <c r="L4834" s="3" t="str">
        <f t="shared" si="157"/>
        <v>ΣΚΛΗΡΟΣ_ΣΙΤΟΣ</v>
      </c>
    </row>
    <row r="4835" spans="1:12" s="3" customFormat="1" ht="15" customHeight="1" x14ac:dyDescent="0.25">
      <c r="A4835" s="3" t="str">
        <f t="shared" si="156"/>
        <v>ΣΚΛΗΡΟΣ ΣΙΤΟΣΣΙΤΟΣ ΣΚΛΗΡΟΣ MEMPHIS</v>
      </c>
      <c r="B4835" s="18" t="s">
        <v>8886</v>
      </c>
      <c r="C4835" s="19" t="s">
        <v>9169</v>
      </c>
      <c r="D4835" s="6">
        <v>517.94000000000005</v>
      </c>
      <c r="E4835" s="6">
        <v>492.2</v>
      </c>
      <c r="F4835" s="6" t="s">
        <v>14</v>
      </c>
      <c r="G4835" s="8" t="s">
        <v>9170</v>
      </c>
      <c r="H4835" s="8" t="s">
        <v>27</v>
      </c>
      <c r="I4835" s="9">
        <v>4402</v>
      </c>
      <c r="J4835" s="20">
        <v>1</v>
      </c>
      <c r="K4835" s="20">
        <v>10441</v>
      </c>
      <c r="L4835" s="3" t="str">
        <f t="shared" si="157"/>
        <v>ΣΚΛΗΡΟΣ_ΣΙΤΟΣ</v>
      </c>
    </row>
    <row r="4836" spans="1:12" s="3" customFormat="1" ht="15" customHeight="1" x14ac:dyDescent="0.25">
      <c r="A4836" s="3" t="str">
        <f t="shared" si="156"/>
        <v>ΣΚΛΗΡΟΣ ΣΙΤΟΣΣΙΤΟΣ ΣΚΛΗΡΟΣ MIMOSSE</v>
      </c>
      <c r="B4836" s="4" t="s">
        <v>8886</v>
      </c>
      <c r="C4836" s="5" t="s">
        <v>9171</v>
      </c>
      <c r="D4836" s="6">
        <v>517.94000000000005</v>
      </c>
      <c r="E4836" s="6">
        <v>492.2</v>
      </c>
      <c r="F4836" s="7" t="s">
        <v>14</v>
      </c>
      <c r="G4836" s="8" t="s">
        <v>9172</v>
      </c>
      <c r="H4836" s="8" t="s">
        <v>16</v>
      </c>
      <c r="I4836" s="9">
        <v>433</v>
      </c>
      <c r="J4836" s="10">
        <v>1</v>
      </c>
      <c r="K4836" s="10">
        <v>10442</v>
      </c>
      <c r="L4836" s="3" t="str">
        <f t="shared" si="157"/>
        <v>ΣΚΛΗΡΟΣ_ΣΙΤΟΣ</v>
      </c>
    </row>
    <row r="4837" spans="1:12" s="3" customFormat="1" ht="15" customHeight="1" x14ac:dyDescent="0.25">
      <c r="A4837" s="3" t="str">
        <f t="shared" si="156"/>
        <v>ΣΚΛΗΡΟΣ ΣΙΤΟΣΣΙΤΟΣ ΣΚΛΗΡΟΣ MIRABEL</v>
      </c>
      <c r="B4837" s="4" t="s">
        <v>8886</v>
      </c>
      <c r="C4837" s="5" t="s">
        <v>9173</v>
      </c>
      <c r="D4837" s="6">
        <v>517.94000000000005</v>
      </c>
      <c r="E4837" s="6">
        <v>492.2</v>
      </c>
      <c r="F4837" s="7" t="s">
        <v>14</v>
      </c>
      <c r="G4837" s="8" t="s">
        <v>9174</v>
      </c>
      <c r="H4837" s="8" t="s">
        <v>16</v>
      </c>
      <c r="I4837" s="9">
        <v>432</v>
      </c>
      <c r="J4837" s="10">
        <v>1</v>
      </c>
      <c r="K4837" s="10">
        <v>10443</v>
      </c>
      <c r="L4837" s="3" t="str">
        <f t="shared" si="157"/>
        <v>ΣΚΛΗΡΟΣ_ΣΙΤΟΣ</v>
      </c>
    </row>
    <row r="4838" spans="1:12" s="3" customFormat="1" ht="15" customHeight="1" x14ac:dyDescent="0.25">
      <c r="A4838" s="3" t="str">
        <f t="shared" si="156"/>
        <v>ΣΚΛΗΡΟΣ ΣΙΤΟΣΣΙΤΟΣ ΣΚΛΗΡΟΣ MV HUNDUR</v>
      </c>
      <c r="B4838" s="4" t="s">
        <v>8886</v>
      </c>
      <c r="C4838" s="5" t="s">
        <v>9175</v>
      </c>
      <c r="D4838" s="6">
        <v>517.94000000000005</v>
      </c>
      <c r="E4838" s="6">
        <v>492.2</v>
      </c>
      <c r="F4838" s="7" t="s">
        <v>14</v>
      </c>
      <c r="G4838" s="8" t="s">
        <v>9176</v>
      </c>
      <c r="H4838" s="8" t="s">
        <v>16</v>
      </c>
      <c r="I4838" s="9">
        <v>431</v>
      </c>
      <c r="J4838" s="10">
        <v>1</v>
      </c>
      <c r="K4838" s="10">
        <v>10444</v>
      </c>
      <c r="L4838" s="3" t="str">
        <f t="shared" si="157"/>
        <v>ΣΚΛΗΡΟΣ_ΣΙΤΟΣ</v>
      </c>
    </row>
    <row r="4839" spans="1:12" s="3" customFormat="1" ht="15" customHeight="1" x14ac:dyDescent="0.25">
      <c r="A4839" s="3" t="str">
        <f t="shared" si="156"/>
        <v>ΣΚΛΗΡΟΣ ΣΙΤΟΣΣΙΤΟΣ ΣΚΛΗΡΟΣ MV MAKARONI</v>
      </c>
      <c r="B4839" s="18" t="s">
        <v>8886</v>
      </c>
      <c r="C4839" s="19" t="s">
        <v>9177</v>
      </c>
      <c r="D4839" s="6">
        <v>517.94000000000005</v>
      </c>
      <c r="E4839" s="6">
        <v>492.2</v>
      </c>
      <c r="F4839" s="6" t="s">
        <v>14</v>
      </c>
      <c r="G4839" s="8" t="s">
        <v>9178</v>
      </c>
      <c r="H4839" s="8" t="s">
        <v>27</v>
      </c>
      <c r="I4839" s="9">
        <v>4403</v>
      </c>
      <c r="J4839" s="20">
        <v>1</v>
      </c>
      <c r="K4839" s="20">
        <v>10445</v>
      </c>
      <c r="L4839" s="3" t="str">
        <f t="shared" si="157"/>
        <v>ΣΚΛΗΡΟΣ_ΣΙΤΟΣ</v>
      </c>
    </row>
    <row r="4840" spans="1:12" s="3" customFormat="1" ht="15" customHeight="1" x14ac:dyDescent="0.25">
      <c r="A4840" s="3" t="str">
        <f t="shared" si="156"/>
        <v>ΣΚΛΗΡΟΣ ΣΙΤΟΣΣΙΤΟΣ ΣΚΛΗΡΟΣ MV PENNEDUR</v>
      </c>
      <c r="B4840" s="4" t="s">
        <v>8886</v>
      </c>
      <c r="C4840" s="5" t="s">
        <v>9179</v>
      </c>
      <c r="D4840" s="6">
        <v>517.94000000000005</v>
      </c>
      <c r="E4840" s="6">
        <v>492.2</v>
      </c>
      <c r="F4840" s="7" t="s">
        <v>14</v>
      </c>
      <c r="G4840" s="8" t="s">
        <v>9180</v>
      </c>
      <c r="H4840" s="8" t="s">
        <v>16</v>
      </c>
      <c r="I4840" s="9">
        <v>430</v>
      </c>
      <c r="J4840" s="10">
        <v>1</v>
      </c>
      <c r="K4840" s="10">
        <v>10446</v>
      </c>
      <c r="L4840" s="3" t="str">
        <f t="shared" si="157"/>
        <v>ΣΚΛΗΡΟΣ_ΣΙΤΟΣ</v>
      </c>
    </row>
    <row r="4841" spans="1:12" s="3" customFormat="1" ht="15" customHeight="1" x14ac:dyDescent="0.25">
      <c r="A4841" s="3" t="str">
        <f t="shared" si="156"/>
        <v>ΣΚΛΗΡΟΣ ΣΙΤΟΣΣΙΤΟΣ ΣΚΛΗΡΟΣ MV SZULADUR</v>
      </c>
      <c r="B4841" s="4" t="s">
        <v>8886</v>
      </c>
      <c r="C4841" s="5" t="s">
        <v>9181</v>
      </c>
      <c r="D4841" s="6">
        <v>517.94000000000005</v>
      </c>
      <c r="E4841" s="6">
        <v>492.2</v>
      </c>
      <c r="F4841" s="7" t="s">
        <v>14</v>
      </c>
      <c r="G4841" s="8" t="s">
        <v>9182</v>
      </c>
      <c r="H4841" s="8" t="s">
        <v>16</v>
      </c>
      <c r="I4841" s="9">
        <v>421</v>
      </c>
      <c r="J4841" s="10">
        <v>1</v>
      </c>
      <c r="K4841" s="10">
        <v>10447</v>
      </c>
      <c r="L4841" s="3" t="str">
        <f t="shared" si="157"/>
        <v>ΣΚΛΗΡΟΣ_ΣΙΤΟΣ</v>
      </c>
    </row>
    <row r="4842" spans="1:12" s="3" customFormat="1" ht="15" customHeight="1" x14ac:dyDescent="0.25">
      <c r="A4842" s="3" t="str">
        <f t="shared" si="156"/>
        <v>ΣΚΛΗΡΟΣ ΣΙΤΟΣΣΙΤΟΣ ΣΚΛΗΡΟΣ NAZARENO</v>
      </c>
      <c r="B4842" s="4" t="s">
        <v>8886</v>
      </c>
      <c r="C4842" s="5" t="s">
        <v>9183</v>
      </c>
      <c r="D4842" s="6">
        <v>517.94000000000005</v>
      </c>
      <c r="E4842" s="6">
        <v>492.2</v>
      </c>
      <c r="F4842" s="7" t="s">
        <v>14</v>
      </c>
      <c r="G4842" s="8" t="s">
        <v>9184</v>
      </c>
      <c r="H4842" s="8" t="s">
        <v>16</v>
      </c>
      <c r="I4842" s="9">
        <v>428</v>
      </c>
      <c r="J4842" s="10">
        <v>1</v>
      </c>
      <c r="K4842" s="10">
        <v>10448</v>
      </c>
      <c r="L4842" s="3" t="str">
        <f t="shared" si="157"/>
        <v>ΣΚΛΗΡΟΣ_ΣΙΤΟΣ</v>
      </c>
    </row>
    <row r="4843" spans="1:12" s="3" customFormat="1" ht="15" customHeight="1" x14ac:dyDescent="0.25">
      <c r="A4843" s="3" t="str">
        <f t="shared" si="156"/>
        <v>ΣΚΛΗΡΟΣ ΣΙΤΟΣΣΙΤΟΣ ΣΚΛΗΡΟΣ NEMESIS</v>
      </c>
      <c r="B4843" s="18" t="s">
        <v>8886</v>
      </c>
      <c r="C4843" s="19" t="s">
        <v>9185</v>
      </c>
      <c r="D4843" s="6">
        <v>517.94000000000005</v>
      </c>
      <c r="E4843" s="6">
        <v>492.2</v>
      </c>
      <c r="F4843" s="6" t="s">
        <v>14</v>
      </c>
      <c r="G4843" s="8" t="s">
        <v>9186</v>
      </c>
      <c r="H4843" s="8" t="s">
        <v>27</v>
      </c>
      <c r="I4843" s="9">
        <v>4404</v>
      </c>
      <c r="J4843" s="20">
        <v>1</v>
      </c>
      <c r="K4843" s="20">
        <v>10449</v>
      </c>
      <c r="L4843" s="3" t="str">
        <f t="shared" si="157"/>
        <v>ΣΚΛΗΡΟΣ_ΣΙΤΟΣ</v>
      </c>
    </row>
    <row r="4844" spans="1:12" s="3" customFormat="1" ht="15" customHeight="1" x14ac:dyDescent="0.25">
      <c r="A4844" s="3" t="str">
        <f t="shared" si="156"/>
        <v>ΣΚΛΗΡΟΣ ΣΙΤΟΣΣΙΤΟΣ ΣΚΛΗΡΟΣ NERUDA</v>
      </c>
      <c r="B4844" s="4" t="s">
        <v>8886</v>
      </c>
      <c r="C4844" s="5" t="s">
        <v>9187</v>
      </c>
      <c r="D4844" s="6">
        <v>517.94000000000005</v>
      </c>
      <c r="E4844" s="6">
        <v>492.2</v>
      </c>
      <c r="F4844" s="7" t="s">
        <v>14</v>
      </c>
      <c r="G4844" s="8" t="s">
        <v>9188</v>
      </c>
      <c r="H4844" s="8" t="s">
        <v>16</v>
      </c>
      <c r="I4844" s="9">
        <v>436</v>
      </c>
      <c r="J4844" s="10">
        <v>1</v>
      </c>
      <c r="K4844" s="10">
        <v>10450</v>
      </c>
      <c r="L4844" s="3" t="str">
        <f t="shared" si="157"/>
        <v>ΣΚΛΗΡΟΣ_ΣΙΤΟΣ</v>
      </c>
    </row>
    <row r="4845" spans="1:12" s="3" customFormat="1" ht="15" customHeight="1" x14ac:dyDescent="0.25">
      <c r="A4845" s="3" t="str">
        <f t="shared" si="156"/>
        <v>ΣΚΛΗΡΟΣ ΣΙΤΟΣΣΙΤΟΣ ΣΚΛΗΡΟΣ NICODUR</v>
      </c>
      <c r="B4845" s="4" t="s">
        <v>8886</v>
      </c>
      <c r="C4845" s="5" t="s">
        <v>9189</v>
      </c>
      <c r="D4845" s="6">
        <v>517.94000000000005</v>
      </c>
      <c r="E4845" s="6">
        <v>492.2</v>
      </c>
      <c r="F4845" s="7" t="s">
        <v>14</v>
      </c>
      <c r="G4845" s="8" t="s">
        <v>9190</v>
      </c>
      <c r="H4845" s="8" t="s">
        <v>16</v>
      </c>
      <c r="I4845" s="9">
        <v>426</v>
      </c>
      <c r="J4845" s="10">
        <v>1</v>
      </c>
      <c r="K4845" s="10">
        <v>10451</v>
      </c>
      <c r="L4845" s="3" t="str">
        <f t="shared" si="157"/>
        <v>ΣΚΛΗΡΟΣ_ΣΙΤΟΣ</v>
      </c>
    </row>
    <row r="4846" spans="1:12" s="3" customFormat="1" ht="15" customHeight="1" x14ac:dyDescent="0.25">
      <c r="A4846" s="3" t="str">
        <f t="shared" si="156"/>
        <v>ΣΚΛΗΡΟΣ ΣΙΤΟΣΣΙΤΟΣ ΣΚΛΗΡΟΣ NINETTA</v>
      </c>
      <c r="B4846" s="4" t="s">
        <v>8886</v>
      </c>
      <c r="C4846" s="5" t="s">
        <v>9191</v>
      </c>
      <c r="D4846" s="6">
        <v>517.94000000000005</v>
      </c>
      <c r="E4846" s="6">
        <v>492.2</v>
      </c>
      <c r="F4846" s="7" t="s">
        <v>14</v>
      </c>
      <c r="G4846" s="8" t="s">
        <v>9192</v>
      </c>
      <c r="H4846" s="8" t="s">
        <v>16</v>
      </c>
      <c r="I4846" s="9">
        <v>425</v>
      </c>
      <c r="J4846" s="10">
        <v>1</v>
      </c>
      <c r="K4846" s="10">
        <v>10452</v>
      </c>
      <c r="L4846" s="3" t="str">
        <f t="shared" si="157"/>
        <v>ΣΚΛΗΡΟΣ_ΣΙΤΟΣ</v>
      </c>
    </row>
    <row r="4847" spans="1:12" s="3" customFormat="1" ht="15" customHeight="1" x14ac:dyDescent="0.25">
      <c r="A4847" s="3" t="str">
        <f t="shared" si="156"/>
        <v>ΣΚΛΗΡΟΣ ΣΙΤΟΣΣΙΤΟΣ ΣΚΛΗΡΟΣ NOBILIS</v>
      </c>
      <c r="B4847" s="4" t="s">
        <v>8886</v>
      </c>
      <c r="C4847" s="5" t="s">
        <v>9193</v>
      </c>
      <c r="D4847" s="6">
        <v>517.94000000000005</v>
      </c>
      <c r="E4847" s="6">
        <v>492.2</v>
      </c>
      <c r="F4847" s="7" t="s">
        <v>14</v>
      </c>
      <c r="G4847" s="8" t="s">
        <v>9194</v>
      </c>
      <c r="H4847" s="8" t="s">
        <v>16</v>
      </c>
      <c r="I4847" s="9">
        <v>424</v>
      </c>
      <c r="J4847" s="10">
        <v>1</v>
      </c>
      <c r="K4847" s="10">
        <v>10453</v>
      </c>
      <c r="L4847" s="3" t="str">
        <f t="shared" si="157"/>
        <v>ΣΚΛΗΡΟΣ_ΣΙΤΟΣ</v>
      </c>
    </row>
    <row r="4848" spans="1:12" s="3" customFormat="1" ht="15" customHeight="1" x14ac:dyDescent="0.25">
      <c r="A4848" s="3" t="str">
        <f t="shared" si="156"/>
        <v>ΣΚΛΗΡΟΣ ΣΙΤΟΣΣΙΤΟΣ ΣΚΛΗΡΟΣ NOUR</v>
      </c>
      <c r="B4848" s="4" t="s">
        <v>8886</v>
      </c>
      <c r="C4848" s="5" t="s">
        <v>9195</v>
      </c>
      <c r="D4848" s="6">
        <v>517.94000000000005</v>
      </c>
      <c r="E4848" s="6">
        <v>492.2</v>
      </c>
      <c r="F4848" s="7" t="s">
        <v>14</v>
      </c>
      <c r="G4848" s="8" t="s">
        <v>9196</v>
      </c>
      <c r="H4848" s="8" t="s">
        <v>16</v>
      </c>
      <c r="I4848" s="9">
        <v>423</v>
      </c>
      <c r="J4848" s="10">
        <v>1</v>
      </c>
      <c r="K4848" s="10">
        <v>10454</v>
      </c>
      <c r="L4848" s="3" t="str">
        <f t="shared" si="157"/>
        <v>ΣΚΛΗΡΟΣ_ΣΙΤΟΣ</v>
      </c>
    </row>
    <row r="4849" spans="1:12" s="3" customFormat="1" ht="15" customHeight="1" x14ac:dyDescent="0.25">
      <c r="A4849" s="3" t="str">
        <f t="shared" si="156"/>
        <v>ΣΚΛΗΡΟΣ ΣΙΤΟΣΣΙΤΟΣ ΣΚΛΗΡΟΣ OLIVER</v>
      </c>
      <c r="B4849" s="4" t="s">
        <v>8886</v>
      </c>
      <c r="C4849" s="5" t="s">
        <v>9197</v>
      </c>
      <c r="D4849" s="6">
        <v>517.94000000000005</v>
      </c>
      <c r="E4849" s="6">
        <v>492.2</v>
      </c>
      <c r="F4849" s="7" t="s">
        <v>14</v>
      </c>
      <c r="G4849" s="8" t="s">
        <v>9198</v>
      </c>
      <c r="H4849" s="8" t="s">
        <v>16</v>
      </c>
      <c r="I4849" s="9">
        <v>422</v>
      </c>
      <c r="J4849" s="10">
        <v>1</v>
      </c>
      <c r="K4849" s="10">
        <v>10455</v>
      </c>
      <c r="L4849" s="3" t="str">
        <f t="shared" si="157"/>
        <v>ΣΚΛΗΡΟΣ_ΣΙΤΟΣ</v>
      </c>
    </row>
    <row r="4850" spans="1:12" s="3" customFormat="1" ht="15" customHeight="1" x14ac:dyDescent="0.25">
      <c r="A4850" s="3" t="str">
        <f t="shared" si="156"/>
        <v>ΣΚΛΗΡΟΣ ΣΙΤΟΣΣΙΤΟΣ ΣΚΛΗΡΟΣ OMNIS</v>
      </c>
      <c r="B4850" s="4" t="s">
        <v>8886</v>
      </c>
      <c r="C4850" s="5" t="s">
        <v>9199</v>
      </c>
      <c r="D4850" s="6">
        <v>517.94000000000005</v>
      </c>
      <c r="E4850" s="6">
        <v>492.2</v>
      </c>
      <c r="F4850" s="7" t="s">
        <v>14</v>
      </c>
      <c r="G4850" s="8" t="s">
        <v>9200</v>
      </c>
      <c r="H4850" s="8" t="s">
        <v>27</v>
      </c>
      <c r="I4850" s="9">
        <v>444</v>
      </c>
      <c r="J4850" s="10">
        <v>1</v>
      </c>
      <c r="K4850" s="10">
        <v>10456</v>
      </c>
      <c r="L4850" s="3" t="str">
        <f t="shared" si="157"/>
        <v>ΣΚΛΗΡΟΣ_ΣΙΤΟΣ</v>
      </c>
    </row>
    <row r="4851" spans="1:12" s="3" customFormat="1" ht="15" customHeight="1" x14ac:dyDescent="0.25">
      <c r="A4851" s="3" t="str">
        <f t="shared" si="156"/>
        <v>ΣΚΛΗΡΟΣ ΣΙΤΟΣΣΙΤΟΣ ΣΚΛΗΡΟΣ OPERA</v>
      </c>
      <c r="B4851" s="4" t="s">
        <v>8886</v>
      </c>
      <c r="C4851" s="5" t="s">
        <v>9201</v>
      </c>
      <c r="D4851" s="6">
        <v>517.94000000000005</v>
      </c>
      <c r="E4851" s="6">
        <v>492.2</v>
      </c>
      <c r="F4851" s="7" t="s">
        <v>14</v>
      </c>
      <c r="G4851" s="8" t="s">
        <v>9202</v>
      </c>
      <c r="H4851" s="8" t="s">
        <v>16</v>
      </c>
      <c r="I4851" s="9">
        <v>446</v>
      </c>
      <c r="J4851" s="10">
        <v>1</v>
      </c>
      <c r="K4851" s="10">
        <v>10457</v>
      </c>
      <c r="L4851" s="3" t="str">
        <f t="shared" si="157"/>
        <v>ΣΚΛΗΡΟΣ_ΣΙΤΟΣ</v>
      </c>
    </row>
    <row r="4852" spans="1:12" s="3" customFormat="1" ht="15" customHeight="1" x14ac:dyDescent="0.25">
      <c r="A4852" s="3" t="str">
        <f t="shared" si="156"/>
        <v>ΣΚΛΗΡΟΣ ΣΙΤΟΣΣΙΤΟΣ ΣΚΛΗΡΟΣ ORFEO</v>
      </c>
      <c r="B4852" s="4" t="s">
        <v>8886</v>
      </c>
      <c r="C4852" s="5" t="s">
        <v>9203</v>
      </c>
      <c r="D4852" s="6">
        <v>517.94000000000005</v>
      </c>
      <c r="E4852" s="6">
        <v>492.2</v>
      </c>
      <c r="F4852" s="7" t="s">
        <v>14</v>
      </c>
      <c r="G4852" s="8" t="s">
        <v>9204</v>
      </c>
      <c r="H4852" s="8" t="s">
        <v>16</v>
      </c>
      <c r="I4852" s="9">
        <v>429</v>
      </c>
      <c r="J4852" s="10">
        <v>1</v>
      </c>
      <c r="K4852" s="10">
        <v>10458</v>
      </c>
      <c r="L4852" s="3" t="str">
        <f t="shared" si="157"/>
        <v>ΣΚΛΗΡΟΣ_ΣΙΤΟΣ</v>
      </c>
    </row>
    <row r="4853" spans="1:12" s="3" customFormat="1" ht="15" customHeight="1" x14ac:dyDescent="0.25">
      <c r="A4853" s="3" t="str">
        <f t="shared" si="156"/>
        <v>ΣΚΛΗΡΟΣ ΣΙΤΟΣΣΙΤΟΣ ΣΚΛΗΡΟΣ ORIZZONTE</v>
      </c>
      <c r="B4853" s="4" t="s">
        <v>8886</v>
      </c>
      <c r="C4853" s="5" t="s">
        <v>9205</v>
      </c>
      <c r="D4853" s="6">
        <v>517.94000000000005</v>
      </c>
      <c r="E4853" s="6">
        <v>492.2</v>
      </c>
      <c r="F4853" s="7" t="s">
        <v>14</v>
      </c>
      <c r="G4853" s="8" t="s">
        <v>9206</v>
      </c>
      <c r="H4853" s="8" t="s">
        <v>16</v>
      </c>
      <c r="I4853" s="9">
        <v>451</v>
      </c>
      <c r="J4853" s="10">
        <v>1</v>
      </c>
      <c r="K4853" s="10">
        <v>10459</v>
      </c>
      <c r="L4853" s="3" t="str">
        <f t="shared" si="157"/>
        <v>ΣΚΛΗΡΟΣ_ΣΙΤΟΣ</v>
      </c>
    </row>
    <row r="4854" spans="1:12" s="3" customFormat="1" ht="15" customHeight="1" x14ac:dyDescent="0.25">
      <c r="A4854" s="3" t="str">
        <f t="shared" si="156"/>
        <v>ΣΚΛΗΡΟΣ ΣΙΤΟΣΣΙΤΟΣ ΣΚΛΗΡΟΣ ORSSUR</v>
      </c>
      <c r="B4854" s="18" t="s">
        <v>8886</v>
      </c>
      <c r="C4854" s="19" t="s">
        <v>9207</v>
      </c>
      <c r="D4854" s="6">
        <v>517.94000000000005</v>
      </c>
      <c r="E4854" s="6">
        <v>492.2</v>
      </c>
      <c r="F4854" s="6" t="s">
        <v>14</v>
      </c>
      <c r="G4854" s="8" t="s">
        <v>9208</v>
      </c>
      <c r="H4854" s="8" t="s">
        <v>27</v>
      </c>
      <c r="I4854" s="9">
        <v>4405</v>
      </c>
      <c r="J4854" s="20">
        <v>1</v>
      </c>
      <c r="K4854" s="20">
        <v>10460</v>
      </c>
      <c r="L4854" s="3" t="str">
        <f t="shared" si="157"/>
        <v>ΣΚΛΗΡΟΣ_ΣΙΤΟΣ</v>
      </c>
    </row>
    <row r="4855" spans="1:12" s="3" customFormat="1" ht="15" customHeight="1" x14ac:dyDescent="0.25">
      <c r="A4855" s="3" t="str">
        <f t="shared" si="156"/>
        <v>ΣΚΛΗΡΟΣ ΣΙΤΟΣΣΙΤΟΣ ΣΚΛΗΡΟΣ PABLO</v>
      </c>
      <c r="B4855" s="4" t="s">
        <v>8886</v>
      </c>
      <c r="C4855" s="5" t="s">
        <v>9209</v>
      </c>
      <c r="D4855" s="6">
        <v>517.94000000000005</v>
      </c>
      <c r="E4855" s="6">
        <v>492.2</v>
      </c>
      <c r="F4855" s="7" t="s">
        <v>14</v>
      </c>
      <c r="G4855" s="8" t="s">
        <v>9210</v>
      </c>
      <c r="H4855" s="8" t="s">
        <v>16</v>
      </c>
      <c r="I4855" s="9">
        <v>450</v>
      </c>
      <c r="J4855" s="10">
        <v>1</v>
      </c>
      <c r="K4855" s="10">
        <v>10461</v>
      </c>
      <c r="L4855" s="3" t="str">
        <f t="shared" si="157"/>
        <v>ΣΚΛΗΡΟΣ_ΣΙΤΟΣ</v>
      </c>
    </row>
    <row r="4856" spans="1:12" s="3" customFormat="1" ht="15" customHeight="1" x14ac:dyDescent="0.25">
      <c r="A4856" s="3" t="str">
        <f t="shared" si="156"/>
        <v>ΣΚΛΗΡΟΣ ΣΙΤΟΣΣΙΤΟΣ ΣΚΛΗΡΟΣ PAPRIKA</v>
      </c>
      <c r="B4856" s="18" t="s">
        <v>8886</v>
      </c>
      <c r="C4856" s="19" t="s">
        <v>9211</v>
      </c>
      <c r="D4856" s="6">
        <v>517.94000000000005</v>
      </c>
      <c r="E4856" s="6">
        <v>492.2</v>
      </c>
      <c r="F4856" s="6" t="s">
        <v>14</v>
      </c>
      <c r="G4856" s="8" t="s">
        <v>9212</v>
      </c>
      <c r="H4856" s="8" t="s">
        <v>27</v>
      </c>
      <c r="I4856" s="9">
        <v>4406</v>
      </c>
      <c r="J4856" s="20">
        <v>1</v>
      </c>
      <c r="K4856" s="20">
        <v>10462</v>
      </c>
      <c r="L4856" s="3" t="str">
        <f t="shared" si="157"/>
        <v>ΣΚΛΗΡΟΣ_ΣΙΤΟΣ</v>
      </c>
    </row>
    <row r="4857" spans="1:12" s="3" customFormat="1" ht="15" customHeight="1" x14ac:dyDescent="0.25">
      <c r="A4857" s="3" t="str">
        <f t="shared" si="156"/>
        <v>ΣΚΛΗΡΟΣ ΣΙΤΟΣΣΙΤΟΣ ΣΚΛΗΡΟΣ PASTADOU</v>
      </c>
      <c r="B4857" s="4" t="s">
        <v>8886</v>
      </c>
      <c r="C4857" s="5" t="s">
        <v>9213</v>
      </c>
      <c r="D4857" s="6">
        <v>517.94000000000005</v>
      </c>
      <c r="E4857" s="6">
        <v>492.2</v>
      </c>
      <c r="F4857" s="7" t="s">
        <v>14</v>
      </c>
      <c r="G4857" s="8" t="s">
        <v>9214</v>
      </c>
      <c r="H4857" s="8" t="s">
        <v>27</v>
      </c>
      <c r="I4857" s="9">
        <v>449</v>
      </c>
      <c r="J4857" s="10">
        <v>1</v>
      </c>
      <c r="K4857" s="10">
        <v>10463</v>
      </c>
      <c r="L4857" s="3" t="str">
        <f t="shared" si="157"/>
        <v>ΣΚΛΗΡΟΣ_ΣΙΤΟΣ</v>
      </c>
    </row>
    <row r="4858" spans="1:12" s="3" customFormat="1" ht="15" customHeight="1" x14ac:dyDescent="0.25">
      <c r="A4858" s="3" t="str">
        <f t="shared" si="156"/>
        <v>ΣΚΛΗΡΟΣ ΣΙΤΟΣΣΙΤΟΣ ΣΚΛΗΡΟΣ  PENAFIEL</v>
      </c>
      <c r="B4858" s="4" t="s">
        <v>8886</v>
      </c>
      <c r="C4858" s="5" t="s">
        <v>9215</v>
      </c>
      <c r="D4858" s="6">
        <v>517.94000000000005</v>
      </c>
      <c r="E4858" s="6">
        <v>492.2</v>
      </c>
      <c r="F4858" s="7" t="s">
        <v>14</v>
      </c>
      <c r="G4858" s="8" t="s">
        <v>9216</v>
      </c>
      <c r="H4858" s="8" t="s">
        <v>27</v>
      </c>
      <c r="I4858" s="9">
        <v>448</v>
      </c>
      <c r="J4858" s="10">
        <v>1</v>
      </c>
      <c r="K4858" s="10">
        <v>10464</v>
      </c>
      <c r="L4858" s="3" t="str">
        <f t="shared" si="157"/>
        <v>ΣΚΛΗΡΟΣ_ΣΙΤΟΣ</v>
      </c>
    </row>
    <row r="4859" spans="1:12" s="3" customFormat="1" ht="15" customHeight="1" x14ac:dyDescent="0.25">
      <c r="A4859" s="3" t="str">
        <f t="shared" si="156"/>
        <v>ΣΚΛΗΡΟΣ ΣΙΤΟΣΣΙΤΟΣ ΣΚΛΗΡΟΣ PESCADOU</v>
      </c>
      <c r="B4859" s="4" t="s">
        <v>8886</v>
      </c>
      <c r="C4859" s="5" t="s">
        <v>9217</v>
      </c>
      <c r="D4859" s="6">
        <v>517.94000000000005</v>
      </c>
      <c r="E4859" s="6">
        <v>492.2</v>
      </c>
      <c r="F4859" s="7" t="s">
        <v>14</v>
      </c>
      <c r="G4859" s="8" t="s">
        <v>9218</v>
      </c>
      <c r="H4859" s="8" t="s">
        <v>16</v>
      </c>
      <c r="I4859" s="9">
        <v>447</v>
      </c>
      <c r="J4859" s="10">
        <v>1</v>
      </c>
      <c r="K4859" s="10">
        <v>10465</v>
      </c>
      <c r="L4859" s="3" t="str">
        <f t="shared" si="157"/>
        <v>ΣΚΛΗΡΟΣ_ΣΙΤΟΣ</v>
      </c>
    </row>
    <row r="4860" spans="1:12" s="3" customFormat="1" ht="15" customHeight="1" x14ac:dyDescent="0.25">
      <c r="A4860" s="3" t="str">
        <f t="shared" si="156"/>
        <v>ΣΚΛΗΡΟΣ ΣΙΤΟΣΣΙΤΟΣ ΣΚΛΗΡΟΣ PHARAON</v>
      </c>
      <c r="B4860" s="18" t="s">
        <v>8886</v>
      </c>
      <c r="C4860" s="19" t="s">
        <v>9219</v>
      </c>
      <c r="D4860" s="6">
        <v>517.94000000000005</v>
      </c>
      <c r="E4860" s="6">
        <v>492.2</v>
      </c>
      <c r="F4860" s="6" t="s">
        <v>14</v>
      </c>
      <c r="G4860" s="8" t="s">
        <v>9220</v>
      </c>
      <c r="H4860" s="8" t="s">
        <v>27</v>
      </c>
      <c r="I4860" s="9">
        <v>4407</v>
      </c>
      <c r="J4860" s="20">
        <v>1</v>
      </c>
      <c r="K4860" s="20">
        <v>10466</v>
      </c>
      <c r="L4860" s="3" t="str">
        <f t="shared" si="157"/>
        <v>ΣΚΛΗΡΟΣ_ΣΙΤΟΣ</v>
      </c>
    </row>
    <row r="4861" spans="1:12" s="3" customFormat="1" ht="15" customHeight="1" x14ac:dyDescent="0.25">
      <c r="A4861" s="3" t="str">
        <f t="shared" si="156"/>
        <v>ΣΚΛΗΡΟΣ ΣΙΤΟΣΣΙΤΟΣ ΣΚΛΗΡΟΣ PICTUR</v>
      </c>
      <c r="B4861" s="4" t="s">
        <v>8886</v>
      </c>
      <c r="C4861" s="5" t="s">
        <v>9221</v>
      </c>
      <c r="D4861" s="6">
        <v>517.94000000000005</v>
      </c>
      <c r="E4861" s="6">
        <v>492.2</v>
      </c>
      <c r="F4861" s="7" t="s">
        <v>14</v>
      </c>
      <c r="G4861" s="8" t="s">
        <v>9222</v>
      </c>
      <c r="H4861" s="8" t="s">
        <v>27</v>
      </c>
      <c r="I4861" s="9">
        <v>437</v>
      </c>
      <c r="J4861" s="10">
        <v>1</v>
      </c>
      <c r="K4861" s="10">
        <v>10467</v>
      </c>
      <c r="L4861" s="3" t="str">
        <f t="shared" si="157"/>
        <v>ΣΚΛΗΡΟΣ_ΣΙΤΟΣ</v>
      </c>
    </row>
    <row r="4862" spans="1:12" s="3" customFormat="1" ht="15" customHeight="1" x14ac:dyDescent="0.25">
      <c r="A4862" s="3" t="str">
        <f t="shared" si="156"/>
        <v>ΣΚΛΗΡΟΣ ΣΙΤΟΣΣΙΤΟΣ ΣΚΛΗΡΟΣ PIGRECO</v>
      </c>
      <c r="B4862" s="4" t="s">
        <v>8886</v>
      </c>
      <c r="C4862" s="5" t="s">
        <v>9223</v>
      </c>
      <c r="D4862" s="6">
        <v>517.94000000000005</v>
      </c>
      <c r="E4862" s="6">
        <v>492.2</v>
      </c>
      <c r="F4862" s="7" t="s">
        <v>14</v>
      </c>
      <c r="G4862" s="8" t="s">
        <v>9224</v>
      </c>
      <c r="H4862" s="8" t="s">
        <v>16</v>
      </c>
      <c r="I4862" s="9">
        <v>445</v>
      </c>
      <c r="J4862" s="10">
        <v>1</v>
      </c>
      <c r="K4862" s="10">
        <v>10468</v>
      </c>
      <c r="L4862" s="3" t="str">
        <f t="shared" si="157"/>
        <v>ΣΚΛΗΡΟΣ_ΣΙΤΟΣ</v>
      </c>
    </row>
    <row r="4863" spans="1:12" s="3" customFormat="1" ht="15" customHeight="1" x14ac:dyDescent="0.25">
      <c r="A4863" s="3" t="str">
        <f t="shared" si="156"/>
        <v>ΣΚΛΗΡΟΣ ΣΙΤΟΣΣΙΤΟΣ ΣΚΛΗΡΟΣ PIPADUR</v>
      </c>
      <c r="B4863" s="18" t="s">
        <v>8886</v>
      </c>
      <c r="C4863" s="19" t="s">
        <v>9225</v>
      </c>
      <c r="D4863" s="6">
        <v>517.94000000000005</v>
      </c>
      <c r="E4863" s="6">
        <v>492.2</v>
      </c>
      <c r="F4863" s="6" t="s">
        <v>14</v>
      </c>
      <c r="G4863" s="8" t="s">
        <v>9226</v>
      </c>
      <c r="H4863" s="8" t="s">
        <v>27</v>
      </c>
      <c r="I4863" s="9">
        <v>4408</v>
      </c>
      <c r="J4863" s="20">
        <v>1</v>
      </c>
      <c r="K4863" s="20">
        <v>10469</v>
      </c>
      <c r="L4863" s="3" t="str">
        <f t="shared" si="157"/>
        <v>ΣΚΛΗΡΟΣ_ΣΙΤΟΣ</v>
      </c>
    </row>
    <row r="4864" spans="1:12" s="3" customFormat="1" ht="15" customHeight="1" x14ac:dyDescent="0.25">
      <c r="A4864" s="3" t="str">
        <f t="shared" si="156"/>
        <v>ΣΚΛΗΡΟΣ ΣΙΤΟΣΣΙΤΟΣ ΣΚΛΗΡΟΣ PITAGORA</v>
      </c>
      <c r="B4864" s="4" t="s">
        <v>8886</v>
      </c>
      <c r="C4864" s="5" t="s">
        <v>9227</v>
      </c>
      <c r="D4864" s="6">
        <v>517.94000000000005</v>
      </c>
      <c r="E4864" s="6">
        <v>492.2</v>
      </c>
      <c r="F4864" s="7" t="s">
        <v>14</v>
      </c>
      <c r="G4864" s="8" t="s">
        <v>9228</v>
      </c>
      <c r="H4864" s="8" t="s">
        <v>16</v>
      </c>
      <c r="I4864" s="9">
        <v>453</v>
      </c>
      <c r="J4864" s="10">
        <v>1</v>
      </c>
      <c r="K4864" s="10">
        <v>10470</v>
      </c>
      <c r="L4864" s="3" t="str">
        <f t="shared" si="157"/>
        <v>ΣΚΛΗΡΟΣ_ΣΙΤΟΣ</v>
      </c>
    </row>
    <row r="4865" spans="1:12" s="3" customFormat="1" ht="15" customHeight="1" x14ac:dyDescent="0.25">
      <c r="A4865" s="3" t="str">
        <f t="shared" si="156"/>
        <v>ΣΚΛΗΡΟΣ ΣΙΤΟΣΣΙΤΟΣ ΣΚΛΗΡΟΣ PLADUR</v>
      </c>
      <c r="B4865" s="4" t="s">
        <v>8886</v>
      </c>
      <c r="C4865" s="5" t="s">
        <v>9229</v>
      </c>
      <c r="D4865" s="6">
        <v>517.94000000000005</v>
      </c>
      <c r="E4865" s="6">
        <v>492.2</v>
      </c>
      <c r="F4865" s="7" t="s">
        <v>14</v>
      </c>
      <c r="G4865" s="8" t="s">
        <v>9230</v>
      </c>
      <c r="H4865" s="8" t="s">
        <v>27</v>
      </c>
      <c r="I4865" s="9">
        <v>443</v>
      </c>
      <c r="J4865" s="10">
        <v>1</v>
      </c>
      <c r="K4865" s="10">
        <v>10471</v>
      </c>
      <c r="L4865" s="3" t="str">
        <f t="shared" si="157"/>
        <v>ΣΚΛΗΡΟΣ_ΣΙΤΟΣ</v>
      </c>
    </row>
    <row r="4866" spans="1:12" s="3" customFormat="1" ht="15" customHeight="1" x14ac:dyDescent="0.25">
      <c r="A4866" s="3" t="str">
        <f t="shared" si="156"/>
        <v>ΣΚΛΗΡΟΣ ΣΙΤΟΣΣΙΤΟΣ ΣΚΛΗΡΟΣ PLUSSUR</v>
      </c>
      <c r="B4866" s="4" t="s">
        <v>8886</v>
      </c>
      <c r="C4866" s="5" t="s">
        <v>9231</v>
      </c>
      <c r="D4866" s="6">
        <v>517.94000000000005</v>
      </c>
      <c r="E4866" s="6">
        <v>492.2</v>
      </c>
      <c r="F4866" s="7" t="s">
        <v>14</v>
      </c>
      <c r="G4866" s="8" t="s">
        <v>9232</v>
      </c>
      <c r="H4866" s="8" t="s">
        <v>27</v>
      </c>
      <c r="I4866" s="9">
        <v>442</v>
      </c>
      <c r="J4866" s="10">
        <v>1</v>
      </c>
      <c r="K4866" s="10">
        <v>10472</v>
      </c>
      <c r="L4866" s="3" t="str">
        <f t="shared" si="157"/>
        <v>ΣΚΛΗΡΟΣ_ΣΙΤΟΣ</v>
      </c>
    </row>
    <row r="4867" spans="1:12" s="3" customFormat="1" ht="15" customHeight="1" x14ac:dyDescent="0.25">
      <c r="A4867" s="3" t="str">
        <f t="shared" ref="A4867:A4930" si="158">_xlfn.CONCAT(B4867,C4867)</f>
        <v>ΣΚΛΗΡΟΣ ΣΙΤΟΣΣΙΤΟΣ ΣΚΛΗΡΟΣ SY BANCO</v>
      </c>
      <c r="B4867" s="4" t="s">
        <v>8886</v>
      </c>
      <c r="C4867" s="5" t="s">
        <v>9233</v>
      </c>
      <c r="D4867" s="6">
        <v>517.94000000000005</v>
      </c>
      <c r="E4867" s="6">
        <v>492.2</v>
      </c>
      <c r="F4867" s="7" t="s">
        <v>14</v>
      </c>
      <c r="G4867" s="8" t="s">
        <v>9234</v>
      </c>
      <c r="H4867" s="8" t="s">
        <v>16</v>
      </c>
      <c r="I4867" s="9">
        <v>441</v>
      </c>
      <c r="J4867" s="10">
        <v>1</v>
      </c>
      <c r="K4867" s="10">
        <v>10473</v>
      </c>
      <c r="L4867" s="3" t="str">
        <f t="shared" ref="L4867:L4930" si="159">IFERROR(SUBSTITUTE(SUBSTITUTE(SUBSTITUTE(SUBSTITUTE(SUBSTITUTE(B4867, "-", "_"), " ", "_"), ",", ""), "(", ""), ")", ""), B4867)</f>
        <v>ΣΚΛΗΡΟΣ_ΣΙΤΟΣ</v>
      </c>
    </row>
    <row r="4868" spans="1:12" s="3" customFormat="1" ht="15" customHeight="1" x14ac:dyDescent="0.25">
      <c r="A4868" s="3" t="str">
        <f t="shared" si="158"/>
        <v>ΣΚΛΗΡΟΣ ΣΙΤΟΣΣΙΤΟΣ ΣΚΛΗΡΟΣ SY CYSCO</v>
      </c>
      <c r="B4868" s="4" t="s">
        <v>8886</v>
      </c>
      <c r="C4868" s="5" t="s">
        <v>9235</v>
      </c>
      <c r="D4868" s="6">
        <v>517.94000000000005</v>
      </c>
      <c r="E4868" s="6">
        <v>492.2</v>
      </c>
      <c r="F4868" s="7" t="s">
        <v>14</v>
      </c>
      <c r="G4868" s="8" t="s">
        <v>9236</v>
      </c>
      <c r="H4868" s="8" t="s">
        <v>16</v>
      </c>
      <c r="I4868" s="9">
        <v>440</v>
      </c>
      <c r="J4868" s="10">
        <v>1</v>
      </c>
      <c r="K4868" s="10">
        <v>10474</v>
      </c>
      <c r="L4868" s="3" t="str">
        <f t="shared" si="159"/>
        <v>ΣΚΛΗΡΟΣ_ΣΙΤΟΣ</v>
      </c>
    </row>
    <row r="4869" spans="1:12" s="3" customFormat="1" ht="15" customHeight="1" x14ac:dyDescent="0.25">
      <c r="A4869" s="3" t="str">
        <f t="shared" si="158"/>
        <v>ΣΚΛΗΡΟΣ ΣΙΤΟΣΣΙΤΟΣ ΣΚΛΗΡΟΣ SY ESPERTO</v>
      </c>
      <c r="B4869" s="4" t="s">
        <v>8886</v>
      </c>
      <c r="C4869" s="5" t="s">
        <v>9237</v>
      </c>
      <c r="D4869" s="6">
        <v>517.94000000000005</v>
      </c>
      <c r="E4869" s="6">
        <v>492.2</v>
      </c>
      <c r="F4869" s="7" t="s">
        <v>14</v>
      </c>
      <c r="G4869" s="8" t="s">
        <v>9238</v>
      </c>
      <c r="H4869" s="8" t="s">
        <v>16</v>
      </c>
      <c r="I4869" s="9">
        <v>439</v>
      </c>
      <c r="J4869" s="10">
        <v>1</v>
      </c>
      <c r="K4869" s="10">
        <v>10475</v>
      </c>
      <c r="L4869" s="3" t="str">
        <f t="shared" si="159"/>
        <v>ΣΚΛΗΡΟΣ_ΣΙΤΟΣ</v>
      </c>
    </row>
    <row r="4870" spans="1:12" s="3" customFormat="1" ht="15" customHeight="1" x14ac:dyDescent="0.25">
      <c r="A4870" s="3" t="str">
        <f t="shared" si="158"/>
        <v>ΣΚΛΗΡΟΣ ΣΙΤΟΣΣΙΤΟΣ ΣΚΛΗΡΟΣ SY LIDO</v>
      </c>
      <c r="B4870" s="4" t="s">
        <v>8886</v>
      </c>
      <c r="C4870" s="5" t="s">
        <v>9239</v>
      </c>
      <c r="D4870" s="6">
        <v>517.94000000000005</v>
      </c>
      <c r="E4870" s="6">
        <v>492.2</v>
      </c>
      <c r="F4870" s="7" t="s">
        <v>14</v>
      </c>
      <c r="G4870" s="8" t="s">
        <v>9240</v>
      </c>
      <c r="H4870" s="8" t="s">
        <v>16</v>
      </c>
      <c r="I4870" s="9">
        <v>413</v>
      </c>
      <c r="J4870" s="10">
        <v>1</v>
      </c>
      <c r="K4870" s="10">
        <v>10476</v>
      </c>
      <c r="L4870" s="3" t="str">
        <f t="shared" si="159"/>
        <v>ΣΚΛΗΡΟΣ_ΣΙΤΟΣ</v>
      </c>
    </row>
    <row r="4871" spans="1:12" s="3" customFormat="1" ht="15" customHeight="1" x14ac:dyDescent="0.25">
      <c r="A4871" s="3" t="str">
        <f t="shared" si="158"/>
        <v>ΣΚΛΗΡΟΣ ΣΙΤΟΣΣΙΤΟΣ ΣΚΛΗΡΟΣ SY TEXTO</v>
      </c>
      <c r="B4871" s="4" t="s">
        <v>8886</v>
      </c>
      <c r="C4871" s="5" t="s">
        <v>9241</v>
      </c>
      <c r="D4871" s="6">
        <v>517.94000000000005</v>
      </c>
      <c r="E4871" s="6">
        <v>492.2</v>
      </c>
      <c r="F4871" s="7" t="s">
        <v>14</v>
      </c>
      <c r="G4871" s="8" t="s">
        <v>9242</v>
      </c>
      <c r="H4871" s="8" t="s">
        <v>16</v>
      </c>
      <c r="I4871" s="9">
        <v>452</v>
      </c>
      <c r="J4871" s="10">
        <v>1</v>
      </c>
      <c r="K4871" s="10">
        <v>10477</v>
      </c>
      <c r="L4871" s="3" t="str">
        <f t="shared" si="159"/>
        <v>ΣΚΛΗΡΟΣ_ΣΙΤΟΣ</v>
      </c>
    </row>
    <row r="4872" spans="1:12" s="3" customFormat="1" ht="15" customHeight="1" x14ac:dyDescent="0.25">
      <c r="A4872" s="3" t="str">
        <f t="shared" si="158"/>
        <v>ΣΚΛΗΡΟΣ ΣΙΤΟΣΣΙΤΟΣ ΣΚΛΗΡΟΣ TABLUR</v>
      </c>
      <c r="B4872" s="4" t="s">
        <v>8886</v>
      </c>
      <c r="C4872" s="5" t="s">
        <v>9243</v>
      </c>
      <c r="D4872" s="6">
        <v>517.94000000000005</v>
      </c>
      <c r="E4872" s="6">
        <v>492.2</v>
      </c>
      <c r="F4872" s="7" t="s">
        <v>14</v>
      </c>
      <c r="G4872" s="8" t="s">
        <v>9244</v>
      </c>
      <c r="H4872" s="8" t="s">
        <v>27</v>
      </c>
      <c r="I4872" s="9">
        <v>427</v>
      </c>
      <c r="J4872" s="10">
        <v>1</v>
      </c>
      <c r="K4872" s="10">
        <v>10478</v>
      </c>
      <c r="L4872" s="3" t="str">
        <f t="shared" si="159"/>
        <v>ΣΚΛΗΡΟΣ_ΣΙΤΟΣ</v>
      </c>
    </row>
    <row r="4873" spans="1:12" s="3" customFormat="1" ht="15" customHeight="1" x14ac:dyDescent="0.25">
      <c r="A4873" s="3" t="str">
        <f t="shared" si="158"/>
        <v>ΣΚΛΗΡΟΣ ΣΙΤΟΣΣΙΤΟΣ ΣΚΛΗΡΟΣ TAMADUR</v>
      </c>
      <c r="B4873" s="4" t="s">
        <v>8886</v>
      </c>
      <c r="C4873" s="5" t="s">
        <v>9245</v>
      </c>
      <c r="D4873" s="6">
        <v>517.94000000000005</v>
      </c>
      <c r="E4873" s="6">
        <v>492.2</v>
      </c>
      <c r="F4873" s="7" t="s">
        <v>14</v>
      </c>
      <c r="G4873" s="8" t="s">
        <v>9246</v>
      </c>
      <c r="H4873" s="8" t="s">
        <v>16</v>
      </c>
      <c r="I4873" s="9">
        <v>403</v>
      </c>
      <c r="J4873" s="10">
        <v>1</v>
      </c>
      <c r="K4873" s="10">
        <v>10479</v>
      </c>
      <c r="L4873" s="3" t="str">
        <f t="shared" si="159"/>
        <v>ΣΚΛΗΡΟΣ_ΣΙΤΟΣ</v>
      </c>
    </row>
    <row r="4874" spans="1:12" s="3" customFormat="1" ht="15" customHeight="1" x14ac:dyDescent="0.25">
      <c r="A4874" s="3" t="str">
        <f t="shared" si="158"/>
        <v>ΣΚΛΗΡΟΣ ΣΙΤΟΣΣΙΤΟΣ ΣΚΛΗΡΟΣ TAPPO</v>
      </c>
      <c r="B4874" s="4" t="s">
        <v>8886</v>
      </c>
      <c r="C4874" s="5" t="s">
        <v>9247</v>
      </c>
      <c r="D4874" s="6">
        <v>517.94000000000005</v>
      </c>
      <c r="E4874" s="6">
        <v>492.2</v>
      </c>
      <c r="F4874" s="7" t="s">
        <v>14</v>
      </c>
      <c r="G4874" s="8" t="s">
        <v>9248</v>
      </c>
      <c r="H4874" s="8" t="s">
        <v>16</v>
      </c>
      <c r="I4874" s="9">
        <v>402</v>
      </c>
      <c r="J4874" s="10">
        <v>1</v>
      </c>
      <c r="K4874" s="10">
        <v>10480</v>
      </c>
      <c r="L4874" s="3" t="str">
        <f t="shared" si="159"/>
        <v>ΣΚΛΗΡΟΣ_ΣΙΤΟΣ</v>
      </c>
    </row>
    <row r="4875" spans="1:12" s="3" customFormat="1" ht="15" customHeight="1" x14ac:dyDescent="0.25">
      <c r="A4875" s="3" t="str">
        <f t="shared" si="158"/>
        <v>ΣΚΛΗΡΟΣ ΣΙΤΟΣΣΙΤΟΣ ΣΚΛΗΡΟΣ TARANTO</v>
      </c>
      <c r="B4875" s="4" t="s">
        <v>8886</v>
      </c>
      <c r="C4875" s="5" t="s">
        <v>9249</v>
      </c>
      <c r="D4875" s="6">
        <v>517.94000000000005</v>
      </c>
      <c r="E4875" s="6">
        <v>492.2</v>
      </c>
      <c r="F4875" s="7" t="s">
        <v>14</v>
      </c>
      <c r="G4875" s="8" t="s">
        <v>9250</v>
      </c>
      <c r="H4875" s="8" t="s">
        <v>16</v>
      </c>
      <c r="I4875" s="9">
        <v>401</v>
      </c>
      <c r="J4875" s="10">
        <v>1</v>
      </c>
      <c r="K4875" s="10">
        <v>10481</v>
      </c>
      <c r="L4875" s="3" t="str">
        <f t="shared" si="159"/>
        <v>ΣΚΛΗΡΟΣ_ΣΙΤΟΣ</v>
      </c>
    </row>
    <row r="4876" spans="1:12" s="3" customFormat="1" ht="15" customHeight="1" x14ac:dyDescent="0.25">
      <c r="A4876" s="3" t="str">
        <f t="shared" si="158"/>
        <v>ΣΚΛΗΡΟΣ ΣΙΤΟΣΣΙΤΟΣ ΣΚΛΗΡΟΣ TEMPODUR</v>
      </c>
      <c r="B4876" s="4" t="s">
        <v>8886</v>
      </c>
      <c r="C4876" s="5" t="s">
        <v>9251</v>
      </c>
      <c r="D4876" s="6">
        <v>517.94000000000005</v>
      </c>
      <c r="E4876" s="6">
        <v>492.2</v>
      </c>
      <c r="F4876" s="7" t="s">
        <v>14</v>
      </c>
      <c r="G4876" s="8" t="s">
        <v>9252</v>
      </c>
      <c r="H4876" s="8" t="s">
        <v>16</v>
      </c>
      <c r="I4876" s="9">
        <v>400</v>
      </c>
      <c r="J4876" s="10">
        <v>1</v>
      </c>
      <c r="K4876" s="10">
        <v>10482</v>
      </c>
      <c r="L4876" s="3" t="str">
        <f t="shared" si="159"/>
        <v>ΣΚΛΗΡΟΣ_ΣΙΤΟΣ</v>
      </c>
    </row>
    <row r="4877" spans="1:12" s="3" customFormat="1" ht="15" customHeight="1" x14ac:dyDescent="0.25">
      <c r="A4877" s="3" t="str">
        <f t="shared" si="158"/>
        <v>ΣΚΛΗΡΟΣ ΣΙΤΟΣΣΙΤΟΣ ΣΚΛΗΡΟΣ TEODORICO</v>
      </c>
      <c r="B4877" s="4" t="s">
        <v>8886</v>
      </c>
      <c r="C4877" s="5" t="s">
        <v>9253</v>
      </c>
      <c r="D4877" s="6">
        <v>517.94000000000005</v>
      </c>
      <c r="E4877" s="6">
        <v>492.2</v>
      </c>
      <c r="F4877" s="7" t="s">
        <v>14</v>
      </c>
      <c r="G4877" s="8" t="s">
        <v>9254</v>
      </c>
      <c r="H4877" s="8" t="s">
        <v>16</v>
      </c>
      <c r="I4877" s="9">
        <v>399</v>
      </c>
      <c r="J4877" s="10">
        <v>1</v>
      </c>
      <c r="K4877" s="10">
        <v>10483</v>
      </c>
      <c r="L4877" s="3" t="str">
        <f t="shared" si="159"/>
        <v>ΣΚΛΗΡΟΣ_ΣΙΤΟΣ</v>
      </c>
    </row>
    <row r="4878" spans="1:12" s="3" customFormat="1" ht="15" customHeight="1" x14ac:dyDescent="0.25">
      <c r="A4878" s="3" t="str">
        <f t="shared" si="158"/>
        <v>ΣΚΛΗΡΟΣ ΣΙΤΟΣΣΙΤΟΣ ΣΚΛΗΡΟΣ TEXUR</v>
      </c>
      <c r="B4878" s="4" t="s">
        <v>8886</v>
      </c>
      <c r="C4878" s="5" t="s">
        <v>9255</v>
      </c>
      <c r="D4878" s="6">
        <v>517.94000000000005</v>
      </c>
      <c r="E4878" s="6">
        <v>492.2</v>
      </c>
      <c r="F4878" s="7" t="s">
        <v>14</v>
      </c>
      <c r="G4878" s="8" t="s">
        <v>9256</v>
      </c>
      <c r="H4878" s="8" t="s">
        <v>27</v>
      </c>
      <c r="I4878" s="9">
        <v>398</v>
      </c>
      <c r="J4878" s="10">
        <v>1</v>
      </c>
      <c r="K4878" s="10">
        <v>10484</v>
      </c>
      <c r="L4878" s="3" t="str">
        <f t="shared" si="159"/>
        <v>ΣΚΛΗΡΟΣ_ΣΙΤΟΣ</v>
      </c>
    </row>
    <row r="4879" spans="1:12" s="3" customFormat="1" ht="15" customHeight="1" x14ac:dyDescent="0.25">
      <c r="A4879" s="3" t="str">
        <f t="shared" si="158"/>
        <v>ΣΚΛΗΡΟΣ ΣΙΤΟΣΣΙΤΟΣ ΣΚΛΗΡΟΣ THRAKI</v>
      </c>
      <c r="B4879" s="4" t="s">
        <v>8886</v>
      </c>
      <c r="C4879" s="5" t="s">
        <v>9257</v>
      </c>
      <c r="D4879" s="6">
        <v>517.94000000000005</v>
      </c>
      <c r="E4879" s="6">
        <v>492.2</v>
      </c>
      <c r="F4879" s="7" t="s">
        <v>14</v>
      </c>
      <c r="G4879" s="8" t="s">
        <v>9258</v>
      </c>
      <c r="H4879" s="8" t="s">
        <v>16</v>
      </c>
      <c r="I4879" s="9">
        <v>389</v>
      </c>
      <c r="J4879" s="10">
        <v>1</v>
      </c>
      <c r="K4879" s="10">
        <v>10485</v>
      </c>
      <c r="L4879" s="3" t="str">
        <f t="shared" si="159"/>
        <v>ΣΚΛΗΡΟΣ_ΣΙΤΟΣ</v>
      </c>
    </row>
    <row r="4880" spans="1:12" s="3" customFormat="1" ht="15" customHeight="1" x14ac:dyDescent="0.25">
      <c r="A4880" s="3" t="str">
        <f t="shared" si="158"/>
        <v>ΣΚΛΗΡΟΣ ΣΙΤΟΣΣΙΤΟΣ ΣΚΛΗΡΟΣ TIREX</v>
      </c>
      <c r="B4880" s="4" t="s">
        <v>8886</v>
      </c>
      <c r="C4880" s="5" t="s">
        <v>9259</v>
      </c>
      <c r="D4880" s="6">
        <v>517.94000000000005</v>
      </c>
      <c r="E4880" s="6">
        <v>492.2</v>
      </c>
      <c r="F4880" s="7" t="s">
        <v>14</v>
      </c>
      <c r="G4880" s="8" t="s">
        <v>9260</v>
      </c>
      <c r="H4880" s="8" t="s">
        <v>16</v>
      </c>
      <c r="I4880" s="9">
        <v>396</v>
      </c>
      <c r="J4880" s="10">
        <v>1</v>
      </c>
      <c r="K4880" s="10">
        <v>10486</v>
      </c>
      <c r="L4880" s="3" t="str">
        <f t="shared" si="159"/>
        <v>ΣΚΛΗΡΟΣ_ΣΙΤΟΣ</v>
      </c>
    </row>
    <row r="4881" spans="1:12" s="3" customFormat="1" ht="24" x14ac:dyDescent="0.25">
      <c r="A4881" s="3" t="str">
        <f t="shared" si="158"/>
        <v>ΣΚΛΗΡΟΣ ΣΙΤΟΣΣΙΤΟΣ ΣΚΛΗΡΟΣ TITO FLAVIO</v>
      </c>
      <c r="B4881" s="4" t="s">
        <v>8886</v>
      </c>
      <c r="C4881" s="5" t="s">
        <v>9261</v>
      </c>
      <c r="D4881" s="6">
        <v>517.94000000000005</v>
      </c>
      <c r="E4881" s="6">
        <v>492.2</v>
      </c>
      <c r="F4881" s="7" t="s">
        <v>14</v>
      </c>
      <c r="G4881" s="8" t="s">
        <v>9262</v>
      </c>
      <c r="H4881" s="8" t="s">
        <v>16</v>
      </c>
      <c r="I4881" s="9">
        <v>404</v>
      </c>
      <c r="J4881" s="10">
        <v>1</v>
      </c>
      <c r="K4881" s="10">
        <v>10487</v>
      </c>
      <c r="L4881" s="3" t="str">
        <f t="shared" si="159"/>
        <v>ΣΚΛΗΡΟΣ_ΣΙΤΟΣ</v>
      </c>
    </row>
    <row r="4882" spans="1:12" s="3" customFormat="1" ht="24" x14ac:dyDescent="0.25">
      <c r="A4882" s="3" t="str">
        <f t="shared" si="158"/>
        <v>ΣΚΛΗΡΟΣ ΣΙΤΟΣΣΙΤΟΣ ΣΚΛΗΡΟΣ TOSCADOU</v>
      </c>
      <c r="B4882" s="4" t="s">
        <v>8886</v>
      </c>
      <c r="C4882" s="5" t="s">
        <v>9263</v>
      </c>
      <c r="D4882" s="6">
        <v>517.94000000000005</v>
      </c>
      <c r="E4882" s="6">
        <v>492.2</v>
      </c>
      <c r="F4882" s="7" t="s">
        <v>14</v>
      </c>
      <c r="G4882" s="8" t="s">
        <v>9264</v>
      </c>
      <c r="H4882" s="8" t="s">
        <v>16</v>
      </c>
      <c r="I4882" s="9">
        <v>394</v>
      </c>
      <c r="J4882" s="10">
        <v>1</v>
      </c>
      <c r="K4882" s="10">
        <v>10488</v>
      </c>
      <c r="L4882" s="3" t="str">
        <f t="shared" si="159"/>
        <v>ΣΚΛΗΡΟΣ_ΣΙΤΟΣ</v>
      </c>
    </row>
    <row r="4883" spans="1:12" s="3" customFormat="1" ht="24" x14ac:dyDescent="0.25">
      <c r="A4883" s="3" t="str">
        <f t="shared" si="158"/>
        <v>ΣΚΛΗΡΟΣ ΣΙΤΟΣΣΙΤΟΣ ΣΚΛΗΡΟΣ TRAKIETS</v>
      </c>
      <c r="B4883" s="4" t="s">
        <v>8886</v>
      </c>
      <c r="C4883" s="5" t="s">
        <v>9265</v>
      </c>
      <c r="D4883" s="6">
        <v>517.94000000000005</v>
      </c>
      <c r="E4883" s="6">
        <v>492.2</v>
      </c>
      <c r="F4883" s="7" t="s">
        <v>14</v>
      </c>
      <c r="G4883" s="8" t="s">
        <v>9266</v>
      </c>
      <c r="H4883" s="8" t="s">
        <v>16</v>
      </c>
      <c r="I4883" s="9">
        <v>393</v>
      </c>
      <c r="J4883" s="10">
        <v>1</v>
      </c>
      <c r="K4883" s="10">
        <v>10489</v>
      </c>
      <c r="L4883" s="3" t="str">
        <f t="shared" si="159"/>
        <v>ΣΚΛΗΡΟΣ_ΣΙΤΟΣ</v>
      </c>
    </row>
    <row r="4884" spans="1:12" s="3" customFormat="1" ht="24" x14ac:dyDescent="0.25">
      <c r="A4884" s="3" t="str">
        <f t="shared" si="158"/>
        <v>ΣΚΛΗΡΟΣ ΣΙΤΟΣΣΙΤΟΣ ΣΚΛΗΡΟΣ TREDUR</v>
      </c>
      <c r="B4884" s="4" t="s">
        <v>8886</v>
      </c>
      <c r="C4884" s="5" t="s">
        <v>9267</v>
      </c>
      <c r="D4884" s="6">
        <v>517.94000000000005</v>
      </c>
      <c r="E4884" s="6">
        <v>492.2</v>
      </c>
      <c r="F4884" s="7" t="s">
        <v>14</v>
      </c>
      <c r="G4884" s="8" t="s">
        <v>9268</v>
      </c>
      <c r="H4884" s="8" t="s">
        <v>16</v>
      </c>
      <c r="I4884" s="9">
        <v>392</v>
      </c>
      <c r="J4884" s="10">
        <v>1</v>
      </c>
      <c r="K4884" s="10">
        <v>10490</v>
      </c>
      <c r="L4884" s="3" t="str">
        <f t="shared" si="159"/>
        <v>ΣΚΛΗΡΟΣ_ΣΙΤΟΣ</v>
      </c>
    </row>
    <row r="4885" spans="1:12" s="3" customFormat="1" ht="24" x14ac:dyDescent="0.25">
      <c r="A4885" s="3" t="str">
        <f t="shared" si="158"/>
        <v>ΣΚΛΗΡΟΣ ΣΙΤΟΣΣΙΤΟΣ ΣΚΛΗΡΟΣ TRIMULATO</v>
      </c>
      <c r="B4885" s="4" t="s">
        <v>8886</v>
      </c>
      <c r="C4885" s="5" t="s">
        <v>9269</v>
      </c>
      <c r="D4885" s="6">
        <v>517.94000000000005</v>
      </c>
      <c r="E4885" s="6">
        <v>492.2</v>
      </c>
      <c r="F4885" s="7" t="s">
        <v>14</v>
      </c>
      <c r="G4885" s="8" t="s">
        <v>9270</v>
      </c>
      <c r="H4885" s="8" t="s">
        <v>16</v>
      </c>
      <c r="I4885" s="9">
        <v>391</v>
      </c>
      <c r="J4885" s="10">
        <v>1</v>
      </c>
      <c r="K4885" s="10">
        <v>10491</v>
      </c>
      <c r="L4885" s="3" t="str">
        <f t="shared" si="159"/>
        <v>ΣΚΛΗΡΟΣ_ΣΙΤΟΣ</v>
      </c>
    </row>
    <row r="4886" spans="1:12" s="3" customFormat="1" ht="24" x14ac:dyDescent="0.25">
      <c r="A4886" s="3" t="str">
        <f t="shared" si="158"/>
        <v>ΣΚΛΗΡΟΣ ΣΙΤΟΣΣΙΤΟΣ ΣΚΛΗΡΟΣ TRIONFO</v>
      </c>
      <c r="B4886" s="4" t="s">
        <v>8886</v>
      </c>
      <c r="C4886" s="5" t="s">
        <v>9271</v>
      </c>
      <c r="D4886" s="6">
        <v>517.94000000000005</v>
      </c>
      <c r="E4886" s="6">
        <v>492.2</v>
      </c>
      <c r="F4886" s="7" t="s">
        <v>14</v>
      </c>
      <c r="G4886" s="8" t="s">
        <v>9272</v>
      </c>
      <c r="H4886" s="8" t="s">
        <v>16</v>
      </c>
      <c r="I4886" s="9">
        <v>411</v>
      </c>
      <c r="J4886" s="10">
        <v>1</v>
      </c>
      <c r="K4886" s="10">
        <v>10492</v>
      </c>
      <c r="L4886" s="3" t="str">
        <f t="shared" si="159"/>
        <v>ΣΚΛΗΡΟΣ_ΣΙΤΟΣ</v>
      </c>
    </row>
    <row r="4887" spans="1:12" s="3" customFormat="1" ht="24" x14ac:dyDescent="0.25">
      <c r="A4887" s="3" t="str">
        <f t="shared" si="158"/>
        <v>ΣΚΛΗΡΟΣ ΣΙΤΟΣΣΙΤΟΣ ΣΚΛΗΡΟΣ TRIPUDIO</v>
      </c>
      <c r="B4887" s="4" t="s">
        <v>8886</v>
      </c>
      <c r="C4887" s="5" t="s">
        <v>9273</v>
      </c>
      <c r="D4887" s="6">
        <v>517.94000000000005</v>
      </c>
      <c r="E4887" s="6">
        <v>492.2</v>
      </c>
      <c r="F4887" s="7" t="s">
        <v>14</v>
      </c>
      <c r="G4887" s="8" t="s">
        <v>9274</v>
      </c>
      <c r="H4887" s="8" t="s">
        <v>16</v>
      </c>
      <c r="I4887" s="9">
        <v>395</v>
      </c>
      <c r="J4887" s="10">
        <v>1</v>
      </c>
      <c r="K4887" s="10">
        <v>10493</v>
      </c>
      <c r="L4887" s="3" t="str">
        <f t="shared" si="159"/>
        <v>ΣΚΛΗΡΟΣ_ΣΙΤΟΣ</v>
      </c>
    </row>
    <row r="4888" spans="1:12" s="3" customFormat="1" ht="24" x14ac:dyDescent="0.25">
      <c r="A4888" s="3" t="str">
        <f t="shared" si="158"/>
        <v>ΣΚΛΗΡΟΣ ΣΙΤΟΣΣΙΤΟΣ ΣΚΛΗΡΟΣ TSERERA</v>
      </c>
      <c r="B4888" s="4" t="s">
        <v>8886</v>
      </c>
      <c r="C4888" s="5" t="s">
        <v>9275</v>
      </c>
      <c r="D4888" s="6">
        <v>517.94000000000005</v>
      </c>
      <c r="E4888" s="6">
        <v>492.2</v>
      </c>
      <c r="F4888" s="7" t="s">
        <v>14</v>
      </c>
      <c r="G4888" s="8" t="s">
        <v>9276</v>
      </c>
      <c r="H4888" s="8" t="s">
        <v>16</v>
      </c>
      <c r="I4888" s="9">
        <v>397</v>
      </c>
      <c r="J4888" s="10">
        <v>1</v>
      </c>
      <c r="K4888" s="10">
        <v>10494</v>
      </c>
      <c r="L4888" s="3" t="str">
        <f t="shared" si="159"/>
        <v>ΣΚΛΗΡΟΣ_ΣΙΤΟΣ</v>
      </c>
    </row>
    <row r="4889" spans="1:12" s="3" customFormat="1" ht="24" x14ac:dyDescent="0.25">
      <c r="A4889" s="3" t="str">
        <f t="shared" si="158"/>
        <v>ΣΚΛΗΡΟΣ ΣΙΤΟΣΣΙΤΟΣ ΣΚΛΗΡΟΣ TURCHESE</v>
      </c>
      <c r="B4889" s="4" t="s">
        <v>8886</v>
      </c>
      <c r="C4889" s="5" t="s">
        <v>9277</v>
      </c>
      <c r="D4889" s="6">
        <v>517.94000000000005</v>
      </c>
      <c r="E4889" s="6">
        <v>492.2</v>
      </c>
      <c r="F4889" s="7" t="s">
        <v>14</v>
      </c>
      <c r="G4889" s="8" t="s">
        <v>9278</v>
      </c>
      <c r="H4889" s="8" t="s">
        <v>16</v>
      </c>
      <c r="I4889" s="9">
        <v>419</v>
      </c>
      <c r="J4889" s="10">
        <v>1</v>
      </c>
      <c r="K4889" s="10">
        <v>10495</v>
      </c>
      <c r="L4889" s="3" t="str">
        <f t="shared" si="159"/>
        <v>ΣΚΛΗΡΟΣ_ΣΙΤΟΣ</v>
      </c>
    </row>
    <row r="4890" spans="1:12" s="3" customFormat="1" ht="24" x14ac:dyDescent="0.25">
      <c r="A4890" s="3" t="str">
        <f t="shared" si="158"/>
        <v>ΣΚΛΗΡΟΣ ΣΙΤΟΣΣΙΤΟΣ ΣΚΛΗΡΟΣ TUSSUR</v>
      </c>
      <c r="B4890" s="4" t="s">
        <v>8886</v>
      </c>
      <c r="C4890" s="5" t="s">
        <v>9279</v>
      </c>
      <c r="D4890" s="6">
        <v>517.94000000000005</v>
      </c>
      <c r="E4890" s="6">
        <v>492.2</v>
      </c>
      <c r="F4890" s="7" t="s">
        <v>14</v>
      </c>
      <c r="G4890" s="8" t="s">
        <v>9280</v>
      </c>
      <c r="H4890" s="8" t="s">
        <v>16</v>
      </c>
      <c r="I4890" s="9">
        <v>418</v>
      </c>
      <c r="J4890" s="10">
        <v>1</v>
      </c>
      <c r="K4890" s="10">
        <v>10496</v>
      </c>
      <c r="L4890" s="3" t="str">
        <f t="shared" si="159"/>
        <v>ΣΚΛΗΡΟΣ_ΣΙΤΟΣ</v>
      </c>
    </row>
    <row r="4891" spans="1:12" s="3" customFormat="1" ht="24" x14ac:dyDescent="0.25">
      <c r="A4891" s="3" t="str">
        <f t="shared" si="158"/>
        <v>ΣΚΛΗΡΟΣ ΣΙΤΟΣΣΙΤΟΣ ΣΚΛΗΡΟΣ VALERIO</v>
      </c>
      <c r="B4891" s="4" t="s">
        <v>8886</v>
      </c>
      <c r="C4891" s="5" t="s">
        <v>9281</v>
      </c>
      <c r="D4891" s="6">
        <v>517.94000000000005</v>
      </c>
      <c r="E4891" s="6">
        <v>492.2</v>
      </c>
      <c r="F4891" s="7" t="s">
        <v>14</v>
      </c>
      <c r="G4891" s="8" t="s">
        <v>9282</v>
      </c>
      <c r="H4891" s="8" t="s">
        <v>16</v>
      </c>
      <c r="I4891" s="9">
        <v>417</v>
      </c>
      <c r="J4891" s="10">
        <v>1</v>
      </c>
      <c r="K4891" s="10">
        <v>10497</v>
      </c>
      <c r="L4891" s="3" t="str">
        <f t="shared" si="159"/>
        <v>ΣΚΛΗΡΟΣ_ΣΙΤΟΣ</v>
      </c>
    </row>
    <row r="4892" spans="1:12" s="3" customFormat="1" ht="24" x14ac:dyDescent="0.25">
      <c r="A4892" s="3" t="str">
        <f t="shared" si="158"/>
        <v>ΣΚΛΗΡΟΣ ΣΙΤΟΣΣΙΤΟΣ ΣΚΛΗΡΟΣ VALNOVA</v>
      </c>
      <c r="B4892" s="4" t="s">
        <v>8886</v>
      </c>
      <c r="C4892" s="5" t="s">
        <v>9283</v>
      </c>
      <c r="D4892" s="6">
        <v>517.94000000000005</v>
      </c>
      <c r="E4892" s="6">
        <v>492.2</v>
      </c>
      <c r="F4892" s="7" t="s">
        <v>14</v>
      </c>
      <c r="G4892" s="8" t="s">
        <v>9284</v>
      </c>
      <c r="H4892" s="8" t="s">
        <v>16</v>
      </c>
      <c r="I4892" s="9">
        <v>416</v>
      </c>
      <c r="J4892" s="10">
        <v>1</v>
      </c>
      <c r="K4892" s="10">
        <v>10498</v>
      </c>
      <c r="L4892" s="3" t="str">
        <f t="shared" si="159"/>
        <v>ΣΚΛΗΡΟΣ_ΣΙΤΟΣ</v>
      </c>
    </row>
    <row r="4893" spans="1:12" s="3" customFormat="1" ht="24" x14ac:dyDescent="0.25">
      <c r="A4893" s="3" t="str">
        <f t="shared" si="158"/>
        <v>ΣΚΛΗΡΟΣ ΣΙΤΟΣΣΙΤΟΣ ΣΚΛΗΡΟΣ VAUBAN</v>
      </c>
      <c r="B4893" s="4" t="s">
        <v>8886</v>
      </c>
      <c r="C4893" s="5" t="s">
        <v>9285</v>
      </c>
      <c r="D4893" s="6">
        <v>517.94000000000005</v>
      </c>
      <c r="E4893" s="6">
        <v>492.2</v>
      </c>
      <c r="F4893" s="7" t="s">
        <v>14</v>
      </c>
      <c r="G4893" s="8" t="s">
        <v>9286</v>
      </c>
      <c r="H4893" s="8" t="s">
        <v>16</v>
      </c>
      <c r="I4893" s="9">
        <v>415</v>
      </c>
      <c r="J4893" s="10">
        <v>1</v>
      </c>
      <c r="K4893" s="10">
        <v>10499</v>
      </c>
      <c r="L4893" s="3" t="str">
        <f t="shared" si="159"/>
        <v>ΣΚΛΗΡΟΣ_ΣΙΤΟΣ</v>
      </c>
    </row>
    <row r="4894" spans="1:12" s="3" customFormat="1" ht="24" x14ac:dyDescent="0.25">
      <c r="A4894" s="3" t="str">
        <f t="shared" si="158"/>
        <v>ΣΚΛΗΡΟΣ ΣΙΤΟΣΣΙΤΟΣ ΣΚΛΗΡΟΣ PR22D89</v>
      </c>
      <c r="B4894" s="4" t="s">
        <v>8886</v>
      </c>
      <c r="C4894" s="5" t="s">
        <v>9287</v>
      </c>
      <c r="D4894" s="6">
        <v>517.94000000000005</v>
      </c>
      <c r="E4894" s="6">
        <v>492.2</v>
      </c>
      <c r="F4894" s="7" t="s">
        <v>14</v>
      </c>
      <c r="G4894" s="8" t="s">
        <v>9288</v>
      </c>
      <c r="H4894" s="8" t="s">
        <v>16</v>
      </c>
      <c r="I4894" s="9">
        <v>414</v>
      </c>
      <c r="J4894" s="10">
        <v>1</v>
      </c>
      <c r="K4894" s="10">
        <v>10501</v>
      </c>
      <c r="L4894" s="3" t="str">
        <f t="shared" si="159"/>
        <v>ΣΚΛΗΡΟΣ_ΣΙΤΟΣ</v>
      </c>
    </row>
    <row r="4895" spans="1:12" s="3" customFormat="1" x14ac:dyDescent="0.25">
      <c r="A4895" s="3" t="str">
        <f t="shared" si="158"/>
        <v>ΣΚΛΗΡΟΣ ΣΙΤΟΣΣΙΤΟΣ ΣΚΛΗΡΟΣ P33D84</v>
      </c>
      <c r="B4895" s="18" t="s">
        <v>8886</v>
      </c>
      <c r="C4895" s="19" t="s">
        <v>9289</v>
      </c>
      <c r="D4895" s="6">
        <v>517.94000000000005</v>
      </c>
      <c r="E4895" s="6">
        <v>492.2</v>
      </c>
      <c r="F4895" s="6" t="s">
        <v>14</v>
      </c>
      <c r="G4895" s="8" t="s">
        <v>9290</v>
      </c>
      <c r="H4895" s="8" t="s">
        <v>27</v>
      </c>
      <c r="I4895" s="9">
        <v>4409</v>
      </c>
      <c r="J4895" s="20">
        <v>1</v>
      </c>
      <c r="K4895" s="20">
        <v>10502</v>
      </c>
      <c r="L4895" s="3" t="str">
        <f t="shared" si="159"/>
        <v>ΣΚΛΗΡΟΣ_ΣΙΤΟΣ</v>
      </c>
    </row>
    <row r="4896" spans="1:12" s="3" customFormat="1" ht="24" x14ac:dyDescent="0.25">
      <c r="A4896" s="3" t="str">
        <f t="shared" si="158"/>
        <v>ΣΚΛΗΡΟΣ ΣΙΤΟΣΣΙΤΟΣ ΣΚΛΗΡΟΣ PREDEL</v>
      </c>
      <c r="B4896" s="4" t="s">
        <v>8886</v>
      </c>
      <c r="C4896" s="5" t="s">
        <v>9291</v>
      </c>
      <c r="D4896" s="6">
        <v>517.94000000000005</v>
      </c>
      <c r="E4896" s="6">
        <v>492.2</v>
      </c>
      <c r="F4896" s="7" t="s">
        <v>14</v>
      </c>
      <c r="G4896" s="8" t="s">
        <v>9292</v>
      </c>
      <c r="H4896" s="8" t="s">
        <v>16</v>
      </c>
      <c r="I4896" s="9">
        <v>405</v>
      </c>
      <c r="J4896" s="10">
        <v>1</v>
      </c>
      <c r="K4896" s="10">
        <v>10503</v>
      </c>
      <c r="L4896" s="3" t="str">
        <f t="shared" si="159"/>
        <v>ΣΚΛΗΡΟΣ_ΣΙΤΟΣ</v>
      </c>
    </row>
    <row r="4897" spans="1:12" s="3" customFormat="1" ht="24" x14ac:dyDescent="0.25">
      <c r="A4897" s="3" t="str">
        <f t="shared" si="158"/>
        <v>ΣΚΛΗΡΟΣ ΣΙΤΟΣΣΙΤΟΣ ΣΚΛΗΡΟΣ PRIMADUR</v>
      </c>
      <c r="B4897" s="4" t="s">
        <v>8886</v>
      </c>
      <c r="C4897" s="5" t="s">
        <v>9293</v>
      </c>
      <c r="D4897" s="6">
        <v>517.94000000000005</v>
      </c>
      <c r="E4897" s="6">
        <v>492.2</v>
      </c>
      <c r="F4897" s="7" t="s">
        <v>14</v>
      </c>
      <c r="G4897" s="8" t="s">
        <v>9294</v>
      </c>
      <c r="H4897" s="8" t="s">
        <v>16</v>
      </c>
      <c r="I4897" s="9">
        <v>412</v>
      </c>
      <c r="J4897" s="10">
        <v>1</v>
      </c>
      <c r="K4897" s="10">
        <v>10504</v>
      </c>
      <c r="L4897" s="3" t="str">
        <f t="shared" si="159"/>
        <v>ΣΚΛΗΡΟΣ_ΣΙΤΟΣ</v>
      </c>
    </row>
    <row r="4898" spans="1:12" s="3" customFormat="1" ht="24" x14ac:dyDescent="0.25">
      <c r="A4898" s="3" t="str">
        <f t="shared" si="158"/>
        <v>ΣΚΛΗΡΟΣ ΣΙΤΟΣΣΙΤΟΣ ΣΚΛΗΡΟΣ PRINCIPE</v>
      </c>
      <c r="B4898" s="4" t="s">
        <v>8886</v>
      </c>
      <c r="C4898" s="5" t="s">
        <v>9295</v>
      </c>
      <c r="D4898" s="6">
        <v>517.94000000000005</v>
      </c>
      <c r="E4898" s="6">
        <v>492.2</v>
      </c>
      <c r="F4898" s="7" t="s">
        <v>14</v>
      </c>
      <c r="G4898" s="8" t="s">
        <v>9296</v>
      </c>
      <c r="H4898" s="8" t="s">
        <v>16</v>
      </c>
      <c r="I4898" s="9">
        <v>420</v>
      </c>
      <c r="J4898" s="10">
        <v>1</v>
      </c>
      <c r="K4898" s="10">
        <v>10505</v>
      </c>
      <c r="L4898" s="3" t="str">
        <f t="shared" si="159"/>
        <v>ΣΚΛΗΡΟΣ_ΣΙΤΟΣ</v>
      </c>
    </row>
    <row r="4899" spans="1:12" s="3" customFormat="1" ht="24" x14ac:dyDescent="0.25">
      <c r="A4899" s="3" t="str">
        <f t="shared" si="158"/>
        <v>ΣΚΛΗΡΟΣ ΣΙΤΟΣΣΙΤΟΣ ΣΚΛΗΡΟΣ PROGRESS</v>
      </c>
      <c r="B4899" s="4" t="s">
        <v>8886</v>
      </c>
      <c r="C4899" s="5" t="s">
        <v>9297</v>
      </c>
      <c r="D4899" s="6">
        <v>517.94000000000005</v>
      </c>
      <c r="E4899" s="6">
        <v>492.2</v>
      </c>
      <c r="F4899" s="7" t="s">
        <v>14</v>
      </c>
      <c r="G4899" s="8" t="s">
        <v>9298</v>
      </c>
      <c r="H4899" s="8" t="s">
        <v>16</v>
      </c>
      <c r="I4899" s="9">
        <v>410</v>
      </c>
      <c r="J4899" s="10">
        <v>1</v>
      </c>
      <c r="K4899" s="10">
        <v>10506</v>
      </c>
      <c r="L4899" s="3" t="str">
        <f t="shared" si="159"/>
        <v>ΣΚΛΗΡΟΣ_ΣΙΤΟΣ</v>
      </c>
    </row>
    <row r="4900" spans="1:12" s="3" customFormat="1" ht="24" x14ac:dyDescent="0.25">
      <c r="A4900" s="3" t="str">
        <f t="shared" si="158"/>
        <v>ΣΚΛΗΡΟΣ ΣΙΤΟΣΣΙΤΟΣ ΣΚΛΗΡΟΣ PROSPERO</v>
      </c>
      <c r="B4900" s="4" t="s">
        <v>8886</v>
      </c>
      <c r="C4900" s="5" t="s">
        <v>9299</v>
      </c>
      <c r="D4900" s="6">
        <v>517.94000000000005</v>
      </c>
      <c r="E4900" s="6">
        <v>492.2</v>
      </c>
      <c r="F4900" s="7" t="s">
        <v>14</v>
      </c>
      <c r="G4900" s="8" t="s">
        <v>9300</v>
      </c>
      <c r="H4900" s="8" t="s">
        <v>16</v>
      </c>
      <c r="I4900" s="9">
        <v>409</v>
      </c>
      <c r="J4900" s="10">
        <v>1</v>
      </c>
      <c r="K4900" s="10">
        <v>10507</v>
      </c>
      <c r="L4900" s="3" t="str">
        <f t="shared" si="159"/>
        <v>ΣΚΛΗΡΟΣ_ΣΙΤΟΣ</v>
      </c>
    </row>
    <row r="4901" spans="1:12" s="3" customFormat="1" ht="24" x14ac:dyDescent="0.25">
      <c r="A4901" s="3" t="str">
        <f t="shared" si="158"/>
        <v>ΣΚΛΗΡΟΣ ΣΙΤΟΣΣΙΤΟΣ ΣΚΛΗΡΟΣ QUALIDOU</v>
      </c>
      <c r="B4901" s="4" t="s">
        <v>8886</v>
      </c>
      <c r="C4901" s="5" t="s">
        <v>9301</v>
      </c>
      <c r="D4901" s="6">
        <v>517.94000000000005</v>
      </c>
      <c r="E4901" s="6">
        <v>492.2</v>
      </c>
      <c r="F4901" s="7" t="s">
        <v>14</v>
      </c>
      <c r="G4901" s="8" t="s">
        <v>9302</v>
      </c>
      <c r="H4901" s="8" t="s">
        <v>16</v>
      </c>
      <c r="I4901" s="9">
        <v>408</v>
      </c>
      <c r="J4901" s="10">
        <v>1</v>
      </c>
      <c r="K4901" s="10">
        <v>10508</v>
      </c>
      <c r="L4901" s="3" t="str">
        <f t="shared" si="159"/>
        <v>ΣΚΛΗΡΟΣ_ΣΙΤΟΣ</v>
      </c>
    </row>
    <row r="4902" spans="1:12" s="3" customFormat="1" ht="24" x14ac:dyDescent="0.25">
      <c r="A4902" s="3" t="str">
        <f t="shared" si="158"/>
        <v>ΣΚΛΗΡΟΣ ΣΙΤΟΣΣΙΤΟΣ ΣΚΛΗΡΟΣ RAMIREZ</v>
      </c>
      <c r="B4902" s="4" t="s">
        <v>8886</v>
      </c>
      <c r="C4902" s="5" t="s">
        <v>9303</v>
      </c>
      <c r="D4902" s="6">
        <v>517.94000000000005</v>
      </c>
      <c r="E4902" s="6">
        <v>492.2</v>
      </c>
      <c r="F4902" s="7" t="s">
        <v>14</v>
      </c>
      <c r="G4902" s="8" t="s">
        <v>9304</v>
      </c>
      <c r="H4902" s="8" t="s">
        <v>16</v>
      </c>
      <c r="I4902" s="9">
        <v>407</v>
      </c>
      <c r="J4902" s="10">
        <v>1</v>
      </c>
      <c r="K4902" s="10">
        <v>10509</v>
      </c>
      <c r="L4902" s="3" t="str">
        <f t="shared" si="159"/>
        <v>ΣΚΛΗΡΟΣ_ΣΙΤΟΣ</v>
      </c>
    </row>
    <row r="4903" spans="1:12" s="3" customFormat="1" ht="24" x14ac:dyDescent="0.25">
      <c r="A4903" s="3" t="str">
        <f t="shared" si="158"/>
        <v>ΣΚΛΗΡΟΣ ΣΙΤΟΣΣΙΤΟΣ ΣΚΛΗΡΟΣ RAYLIDUR</v>
      </c>
      <c r="B4903" s="4" t="s">
        <v>8886</v>
      </c>
      <c r="C4903" s="5" t="s">
        <v>9305</v>
      </c>
      <c r="D4903" s="6">
        <v>517.94000000000005</v>
      </c>
      <c r="E4903" s="6">
        <v>492.2</v>
      </c>
      <c r="F4903" s="7" t="s">
        <v>14</v>
      </c>
      <c r="G4903" s="8" t="s">
        <v>9306</v>
      </c>
      <c r="H4903" s="8" t="s">
        <v>16</v>
      </c>
      <c r="I4903" s="9">
        <v>455</v>
      </c>
      <c r="J4903" s="10">
        <v>1</v>
      </c>
      <c r="K4903" s="10">
        <v>10510</v>
      </c>
      <c r="L4903" s="3" t="str">
        <f t="shared" si="159"/>
        <v>ΣΚΛΗΡΟΣ_ΣΙΤΟΣ</v>
      </c>
    </row>
    <row r="4904" spans="1:12" s="3" customFormat="1" ht="24" x14ac:dyDescent="0.25">
      <c r="A4904" s="3" t="str">
        <f t="shared" si="158"/>
        <v>ΣΚΛΗΡΟΣ ΣΙΤΟΣΣΙΤΟΣ ΣΚΛΗΡΟΣ REDIDENARI</v>
      </c>
      <c r="B4904" s="4" t="s">
        <v>8886</v>
      </c>
      <c r="C4904" s="5" t="s">
        <v>9307</v>
      </c>
      <c r="D4904" s="6">
        <v>517.94000000000005</v>
      </c>
      <c r="E4904" s="6">
        <v>492.2</v>
      </c>
      <c r="F4904" s="7" t="s">
        <v>14</v>
      </c>
      <c r="G4904" s="8" t="s">
        <v>9308</v>
      </c>
      <c r="H4904" s="8" t="s">
        <v>16</v>
      </c>
      <c r="I4904" s="9">
        <v>390</v>
      </c>
      <c r="J4904" s="10">
        <v>1</v>
      </c>
      <c r="K4904" s="10">
        <v>10511</v>
      </c>
      <c r="L4904" s="3" t="str">
        <f t="shared" si="159"/>
        <v>ΣΚΛΗΡΟΣ_ΣΙΤΟΣ</v>
      </c>
    </row>
    <row r="4905" spans="1:12" s="3" customFormat="1" ht="24" x14ac:dyDescent="0.25">
      <c r="A4905" s="3" t="str">
        <f t="shared" si="158"/>
        <v>ΣΚΛΗΡΟΣ ΣΙΤΟΣΣΙΤΟΣ ΣΚΛΗΡΟΣ REGUR</v>
      </c>
      <c r="B4905" s="4" t="s">
        <v>8886</v>
      </c>
      <c r="C4905" s="5" t="s">
        <v>9309</v>
      </c>
      <c r="D4905" s="6">
        <v>517.94000000000005</v>
      </c>
      <c r="E4905" s="6">
        <v>492.2</v>
      </c>
      <c r="F4905" s="7" t="s">
        <v>14</v>
      </c>
      <c r="G4905" s="8" t="s">
        <v>9310</v>
      </c>
      <c r="H4905" s="8" t="s">
        <v>16</v>
      </c>
      <c r="I4905" s="9">
        <v>438</v>
      </c>
      <c r="J4905" s="10">
        <v>1</v>
      </c>
      <c r="K4905" s="10">
        <v>10512</v>
      </c>
      <c r="L4905" s="3" t="str">
        <f t="shared" si="159"/>
        <v>ΣΚΛΗΡΟΣ_ΣΙΤΟΣ</v>
      </c>
    </row>
    <row r="4906" spans="1:12" s="3" customFormat="1" ht="24" x14ac:dyDescent="0.25">
      <c r="A4906" s="3" t="str">
        <f t="shared" si="158"/>
        <v>ΣΚΛΗΡΟΣ ΣΙΤΟΣΣΙΤΟΣ ΣΚΛΗΡΟΣ RELIEF</v>
      </c>
      <c r="B4906" s="4" t="s">
        <v>8886</v>
      </c>
      <c r="C4906" s="5" t="s">
        <v>9311</v>
      </c>
      <c r="D4906" s="6">
        <v>517.94000000000005</v>
      </c>
      <c r="E4906" s="6">
        <v>492.2</v>
      </c>
      <c r="F4906" s="7" t="s">
        <v>14</v>
      </c>
      <c r="G4906" s="8" t="s">
        <v>9312</v>
      </c>
      <c r="H4906" s="8" t="s">
        <v>16</v>
      </c>
      <c r="I4906" s="9">
        <v>500</v>
      </c>
      <c r="J4906" s="10">
        <v>1</v>
      </c>
      <c r="K4906" s="10">
        <v>10513</v>
      </c>
      <c r="L4906" s="3" t="str">
        <f t="shared" si="159"/>
        <v>ΣΚΛΗΡΟΣ_ΣΙΤΟΣ</v>
      </c>
    </row>
    <row r="4907" spans="1:12" s="3" customFormat="1" ht="24" x14ac:dyDescent="0.25">
      <c r="A4907" s="3" t="str">
        <f t="shared" si="158"/>
        <v>ΣΚΛΗΡΟΣ ΣΙΤΟΣΣΙΤΟΣ ΣΚΛΗΡΟΣ REYADUR</v>
      </c>
      <c r="B4907" s="4" t="s">
        <v>8886</v>
      </c>
      <c r="C4907" s="5" t="s">
        <v>9313</v>
      </c>
      <c r="D4907" s="6">
        <v>517.94000000000005</v>
      </c>
      <c r="E4907" s="6">
        <v>492.2</v>
      </c>
      <c r="F4907" s="7" t="s">
        <v>14</v>
      </c>
      <c r="G4907" s="8" t="s">
        <v>9314</v>
      </c>
      <c r="H4907" s="8" t="s">
        <v>16</v>
      </c>
      <c r="I4907" s="9">
        <v>499</v>
      </c>
      <c r="J4907" s="10">
        <v>1</v>
      </c>
      <c r="K4907" s="10">
        <v>10514</v>
      </c>
      <c r="L4907" s="3" t="str">
        <f t="shared" si="159"/>
        <v>ΣΚΛΗΡΟΣ_ΣΙΤΟΣ</v>
      </c>
    </row>
    <row r="4908" spans="1:12" s="3" customFormat="1" ht="24" x14ac:dyDescent="0.25">
      <c r="A4908" s="3" t="str">
        <f t="shared" si="158"/>
        <v>ΣΚΛΗΡΟΣ ΣΙΤΟΣΣΙΤΟΣ ΣΚΛΗΡΟΣ RGT ALBIOZUR</v>
      </c>
      <c r="B4908" s="4" t="s">
        <v>8886</v>
      </c>
      <c r="C4908" s="5" t="s">
        <v>9315</v>
      </c>
      <c r="D4908" s="6">
        <v>517.94000000000005</v>
      </c>
      <c r="E4908" s="6">
        <v>492.2</v>
      </c>
      <c r="F4908" s="7" t="s">
        <v>14</v>
      </c>
      <c r="G4908" s="8" t="s">
        <v>9316</v>
      </c>
      <c r="H4908" s="8" t="s">
        <v>16</v>
      </c>
      <c r="I4908" s="9">
        <v>498</v>
      </c>
      <c r="J4908" s="10">
        <v>1</v>
      </c>
      <c r="K4908" s="10">
        <v>10515</v>
      </c>
      <c r="L4908" s="3" t="str">
        <f t="shared" si="159"/>
        <v>ΣΚΛΗΡΟΣ_ΣΙΤΟΣ</v>
      </c>
    </row>
    <row r="4909" spans="1:12" s="3" customFormat="1" ht="24" x14ac:dyDescent="0.25">
      <c r="A4909" s="3" t="str">
        <f t="shared" si="158"/>
        <v>ΣΚΛΗΡΟΣ ΣΙΤΟΣΣΙΤΟΣ ΣΚΛΗΡΟΣ RGT FAIONUR</v>
      </c>
      <c r="B4909" s="4" t="s">
        <v>8886</v>
      </c>
      <c r="C4909" s="5" t="s">
        <v>9317</v>
      </c>
      <c r="D4909" s="6">
        <v>517.94000000000005</v>
      </c>
      <c r="E4909" s="6">
        <v>492.2</v>
      </c>
      <c r="F4909" s="7" t="s">
        <v>14</v>
      </c>
      <c r="G4909" s="8" t="s">
        <v>9318</v>
      </c>
      <c r="H4909" s="8" t="s">
        <v>16</v>
      </c>
      <c r="I4909" s="9">
        <v>497</v>
      </c>
      <c r="J4909" s="10">
        <v>1</v>
      </c>
      <c r="K4909" s="10">
        <v>10516</v>
      </c>
      <c r="L4909" s="3" t="str">
        <f t="shared" si="159"/>
        <v>ΣΚΛΗΡΟΣ_ΣΙΤΟΣ</v>
      </c>
    </row>
    <row r="4910" spans="1:12" s="3" customFormat="1" x14ac:dyDescent="0.25">
      <c r="A4910" s="3" t="str">
        <f t="shared" si="158"/>
        <v>ΣΚΛΗΡΟΣ ΣΙΤΟΣΣΙΤΟΣ ΣΚΛΗΡΟΣ RGT FIERTIMUR</v>
      </c>
      <c r="B4910" s="4" t="s">
        <v>8886</v>
      </c>
      <c r="C4910" s="5" t="s">
        <v>9319</v>
      </c>
      <c r="D4910" s="6">
        <v>517.94000000000005</v>
      </c>
      <c r="E4910" s="6">
        <v>492.2</v>
      </c>
      <c r="F4910" s="7" t="s">
        <v>14</v>
      </c>
      <c r="G4910" s="8" t="s">
        <v>9320</v>
      </c>
      <c r="H4910" s="8" t="s">
        <v>27</v>
      </c>
      <c r="I4910" s="9">
        <v>496</v>
      </c>
      <c r="J4910" s="10">
        <v>1</v>
      </c>
      <c r="K4910" s="10">
        <v>10517</v>
      </c>
      <c r="L4910" s="3" t="str">
        <f t="shared" si="159"/>
        <v>ΣΚΛΗΡΟΣ_ΣΙΤΟΣ</v>
      </c>
    </row>
    <row r="4911" spans="1:12" s="3" customFormat="1" x14ac:dyDescent="0.25">
      <c r="A4911" s="3" t="str">
        <f t="shared" si="158"/>
        <v>ΣΚΛΗΡΟΣ ΣΙΤΟΣΣΙΤΟΣ ΣΚΛΗΡΟΣ RGT MUSCLUR</v>
      </c>
      <c r="B4911" s="4" t="s">
        <v>8886</v>
      </c>
      <c r="C4911" s="5" t="s">
        <v>9321</v>
      </c>
      <c r="D4911" s="6">
        <v>517.94000000000005</v>
      </c>
      <c r="E4911" s="6">
        <v>492.2</v>
      </c>
      <c r="F4911" s="7" t="s">
        <v>14</v>
      </c>
      <c r="G4911" s="8" t="s">
        <v>9322</v>
      </c>
      <c r="H4911" s="8" t="s">
        <v>27</v>
      </c>
      <c r="I4911" s="9">
        <v>495</v>
      </c>
      <c r="J4911" s="10">
        <v>1</v>
      </c>
      <c r="K4911" s="10">
        <v>10518</v>
      </c>
      <c r="L4911" s="3" t="str">
        <f t="shared" si="159"/>
        <v>ΣΚΛΗΡΟΣ_ΣΙΤΟΣ</v>
      </c>
    </row>
    <row r="4912" spans="1:12" s="3" customFormat="1" ht="24" x14ac:dyDescent="0.25">
      <c r="A4912" s="3" t="str">
        <f t="shared" si="158"/>
        <v>ΣΚΛΗΡΟΣ ΣΙΤΟΣΣΙΤΟΣ ΣΚΛΗΡΟΣ RGT NATUR</v>
      </c>
      <c r="B4912" s="4" t="s">
        <v>8886</v>
      </c>
      <c r="C4912" s="5" t="s">
        <v>9323</v>
      </c>
      <c r="D4912" s="6">
        <v>517.94000000000005</v>
      </c>
      <c r="E4912" s="6">
        <v>492.2</v>
      </c>
      <c r="F4912" s="7" t="s">
        <v>14</v>
      </c>
      <c r="G4912" s="8" t="s">
        <v>9324</v>
      </c>
      <c r="H4912" s="8" t="s">
        <v>16</v>
      </c>
      <c r="I4912" s="9">
        <v>486</v>
      </c>
      <c r="J4912" s="10">
        <v>1</v>
      </c>
      <c r="K4912" s="10">
        <v>10519</v>
      </c>
      <c r="L4912" s="3" t="str">
        <f t="shared" si="159"/>
        <v>ΣΚΛΗΡΟΣ_ΣΙΤΟΣ</v>
      </c>
    </row>
    <row r="4913" spans="1:12" s="3" customFormat="1" x14ac:dyDescent="0.25">
      <c r="A4913" s="3" t="str">
        <f t="shared" si="158"/>
        <v>ΣΚΛΗΡΟΣ ΣΙΤΟΣΣΙΤΟΣ ΣΚΛΗΡΟΣ RGT NOMUR</v>
      </c>
      <c r="B4913" s="18" t="s">
        <v>8886</v>
      </c>
      <c r="C4913" s="19" t="s">
        <v>9325</v>
      </c>
      <c r="D4913" s="6">
        <v>517.94000000000005</v>
      </c>
      <c r="E4913" s="6">
        <v>492.2</v>
      </c>
      <c r="F4913" s="6" t="s">
        <v>14</v>
      </c>
      <c r="G4913" s="8" t="s">
        <v>9326</v>
      </c>
      <c r="H4913" s="8" t="s">
        <v>27</v>
      </c>
      <c r="I4913" s="9">
        <v>4410</v>
      </c>
      <c r="J4913" s="20">
        <v>1</v>
      </c>
      <c r="K4913" s="20">
        <v>10520</v>
      </c>
      <c r="L4913" s="3" t="str">
        <f t="shared" si="159"/>
        <v>ΣΚΛΗΡΟΣ_ΣΙΤΟΣ</v>
      </c>
    </row>
    <row r="4914" spans="1:12" s="3" customFormat="1" ht="24" x14ac:dyDescent="0.25">
      <c r="A4914" s="3" t="str">
        <f t="shared" si="158"/>
        <v>ΣΚΛΗΡΟΣ ΣΙΤΟΣΣΙΤΟΣ ΣΚΛΗΡΟΣ RGT OLIVADUR</v>
      </c>
      <c r="B4914" s="4" t="s">
        <v>8886</v>
      </c>
      <c r="C4914" s="5" t="s">
        <v>9327</v>
      </c>
      <c r="D4914" s="6">
        <v>517.94000000000005</v>
      </c>
      <c r="E4914" s="6">
        <v>492.2</v>
      </c>
      <c r="F4914" s="7" t="s">
        <v>14</v>
      </c>
      <c r="G4914" s="8" t="s">
        <v>9328</v>
      </c>
      <c r="H4914" s="8" t="s">
        <v>16</v>
      </c>
      <c r="I4914" s="9">
        <v>493</v>
      </c>
      <c r="J4914" s="10">
        <v>1</v>
      </c>
      <c r="K4914" s="10">
        <v>10521</v>
      </c>
      <c r="L4914" s="3" t="str">
        <f t="shared" si="159"/>
        <v>ΣΚΛΗΡΟΣ_ΣΙΤΟΣ</v>
      </c>
    </row>
    <row r="4915" spans="1:12" s="3" customFormat="1" ht="24" x14ac:dyDescent="0.25">
      <c r="A4915" s="3" t="str">
        <f t="shared" si="158"/>
        <v>ΣΚΛΗΡΟΣ ΣΙΤΟΣΣΙΤΟΣ ΣΚΛΗΡΟΣ RGT RANGODUR</v>
      </c>
      <c r="B4915" s="4" t="s">
        <v>8886</v>
      </c>
      <c r="C4915" s="5" t="s">
        <v>9329</v>
      </c>
      <c r="D4915" s="6">
        <v>517.94000000000005</v>
      </c>
      <c r="E4915" s="6">
        <v>492.2</v>
      </c>
      <c r="F4915" s="7" t="s">
        <v>14</v>
      </c>
      <c r="G4915" s="8" t="s">
        <v>9330</v>
      </c>
      <c r="H4915" s="8" t="s">
        <v>16</v>
      </c>
      <c r="I4915" s="9">
        <v>501</v>
      </c>
      <c r="J4915" s="10">
        <v>1</v>
      </c>
      <c r="K4915" s="10">
        <v>10522</v>
      </c>
      <c r="L4915" s="3" t="str">
        <f t="shared" si="159"/>
        <v>ΣΚΛΗΡΟΣ_ΣΙΤΟΣ</v>
      </c>
    </row>
    <row r="4916" spans="1:12" s="3" customFormat="1" ht="24" x14ac:dyDescent="0.25">
      <c r="A4916" s="3" t="str">
        <f t="shared" si="158"/>
        <v>ΣΚΛΗΡΟΣ ΣΙΤΟΣΣΙΤΟΣ ΣΚΛΗΡΟΣ RGT ROBINUR</v>
      </c>
      <c r="B4916" s="4" t="s">
        <v>8886</v>
      </c>
      <c r="C4916" s="5" t="s">
        <v>9331</v>
      </c>
      <c r="D4916" s="6">
        <v>517.94000000000005</v>
      </c>
      <c r="E4916" s="6">
        <v>492.2</v>
      </c>
      <c r="F4916" s="7" t="s">
        <v>14</v>
      </c>
      <c r="G4916" s="8" t="s">
        <v>9332</v>
      </c>
      <c r="H4916" s="8" t="s">
        <v>16</v>
      </c>
      <c r="I4916" s="9">
        <v>491</v>
      </c>
      <c r="J4916" s="10">
        <v>1</v>
      </c>
      <c r="K4916" s="10">
        <v>10523</v>
      </c>
      <c r="L4916" s="3" t="str">
        <f t="shared" si="159"/>
        <v>ΣΚΛΗΡΟΣ_ΣΙΤΟΣ</v>
      </c>
    </row>
    <row r="4917" spans="1:12" s="3" customFormat="1" x14ac:dyDescent="0.25">
      <c r="A4917" s="3" t="str">
        <f t="shared" si="158"/>
        <v>ΣΚΛΗΡΟΣ ΣΙΤΟΣΣΙΤΟΣ ΣΚΛΗΡΟΣ RGT SILODUR</v>
      </c>
      <c r="B4917" s="4" t="s">
        <v>8886</v>
      </c>
      <c r="C4917" s="5" t="s">
        <v>9333</v>
      </c>
      <c r="D4917" s="6">
        <v>517.94000000000005</v>
      </c>
      <c r="E4917" s="6">
        <v>492.2</v>
      </c>
      <c r="F4917" s="7" t="s">
        <v>14</v>
      </c>
      <c r="G4917" s="8" t="s">
        <v>9334</v>
      </c>
      <c r="H4917" s="8" t="s">
        <v>27</v>
      </c>
      <c r="I4917" s="9">
        <v>490</v>
      </c>
      <c r="J4917" s="10">
        <v>1</v>
      </c>
      <c r="K4917" s="10">
        <v>10524</v>
      </c>
      <c r="L4917" s="3" t="str">
        <f t="shared" si="159"/>
        <v>ΣΚΛΗΡΟΣ_ΣΙΤΟΣ</v>
      </c>
    </row>
    <row r="4918" spans="1:12" s="3" customFormat="1" ht="24" x14ac:dyDescent="0.25">
      <c r="A4918" s="3" t="str">
        <f t="shared" si="158"/>
        <v>ΣΚΛΗΡΟΣ ΣΙΤΟΣΣΙΤΟΣ ΣΚΛΗΡΟΣ RGT VOILUR</v>
      </c>
      <c r="B4918" s="4" t="s">
        <v>8886</v>
      </c>
      <c r="C4918" s="5" t="s">
        <v>9335</v>
      </c>
      <c r="D4918" s="6">
        <v>517.94000000000005</v>
      </c>
      <c r="E4918" s="6">
        <v>492.2</v>
      </c>
      <c r="F4918" s="7" t="s">
        <v>14</v>
      </c>
      <c r="G4918" s="8" t="s">
        <v>9336</v>
      </c>
      <c r="H4918" s="8" t="s">
        <v>16</v>
      </c>
      <c r="I4918" s="9">
        <v>489</v>
      </c>
      <c r="J4918" s="10">
        <v>1</v>
      </c>
      <c r="K4918" s="10">
        <v>10525</v>
      </c>
      <c r="L4918" s="3" t="str">
        <f t="shared" si="159"/>
        <v>ΣΚΛΗΡΟΣ_ΣΙΤΟΣ</v>
      </c>
    </row>
    <row r="4919" spans="1:12" s="3" customFormat="1" ht="24" x14ac:dyDescent="0.25">
      <c r="A4919" s="3" t="str">
        <f t="shared" si="158"/>
        <v>ΣΚΛΗΡΟΣ ΣΙΤΟΣΣΙΤΟΣ ΣΚΛΗΡΟΣ RIVELDUR</v>
      </c>
      <c r="B4919" s="4" t="s">
        <v>8886</v>
      </c>
      <c r="C4919" s="5" t="s">
        <v>9337</v>
      </c>
      <c r="D4919" s="6">
        <v>517.94000000000005</v>
      </c>
      <c r="E4919" s="6">
        <v>492.2</v>
      </c>
      <c r="F4919" s="7" t="s">
        <v>14</v>
      </c>
      <c r="G4919" s="8" t="s">
        <v>9338</v>
      </c>
      <c r="H4919" s="8" t="s">
        <v>16</v>
      </c>
      <c r="I4919" s="9">
        <v>488</v>
      </c>
      <c r="J4919" s="10">
        <v>1</v>
      </c>
      <c r="K4919" s="10">
        <v>10526</v>
      </c>
      <c r="L4919" s="3" t="str">
        <f t="shared" si="159"/>
        <v>ΣΚΛΗΡΟΣ_ΣΙΤΟΣ</v>
      </c>
    </row>
    <row r="4920" spans="1:12" s="3" customFormat="1" ht="24" x14ac:dyDescent="0.25">
      <c r="A4920" s="3" t="str">
        <f t="shared" si="158"/>
        <v>ΣΚΛΗΡΟΣ ΣΙΤΟΣΣΙΤΟΣ ΣΚΛΗΡΟΣ ROCCADOU</v>
      </c>
      <c r="B4920" s="4" t="s">
        <v>8886</v>
      </c>
      <c r="C4920" s="5" t="s">
        <v>9339</v>
      </c>
      <c r="D4920" s="6">
        <v>517.94000000000005</v>
      </c>
      <c r="E4920" s="6">
        <v>492.2</v>
      </c>
      <c r="F4920" s="7" t="s">
        <v>14</v>
      </c>
      <c r="G4920" s="8" t="s">
        <v>9340</v>
      </c>
      <c r="H4920" s="8" t="s">
        <v>16</v>
      </c>
      <c r="I4920" s="9">
        <v>487</v>
      </c>
      <c r="J4920" s="10">
        <v>1</v>
      </c>
      <c r="K4920" s="10">
        <v>10527</v>
      </c>
      <c r="L4920" s="3" t="str">
        <f t="shared" si="159"/>
        <v>ΣΚΛΗΡΟΣ_ΣΙΤΟΣ</v>
      </c>
    </row>
    <row r="4921" spans="1:12" s="3" customFormat="1" ht="24" x14ac:dyDescent="0.25">
      <c r="A4921" s="3" t="str">
        <f t="shared" si="158"/>
        <v>ΣΚΛΗΡΟΣ ΣΙΤΟΣΣΙΤΟΣ ΣΚΛΗΡΟΣ SALGADO</v>
      </c>
      <c r="B4921" s="4" t="s">
        <v>8886</v>
      </c>
      <c r="C4921" s="5" t="s">
        <v>9341</v>
      </c>
      <c r="D4921" s="6">
        <v>517.94000000000005</v>
      </c>
      <c r="E4921" s="6">
        <v>492.2</v>
      </c>
      <c r="F4921" s="7" t="s">
        <v>14</v>
      </c>
      <c r="G4921" s="8" t="s">
        <v>9342</v>
      </c>
      <c r="H4921" s="8" t="s">
        <v>16</v>
      </c>
      <c r="I4921" s="9">
        <v>509</v>
      </c>
      <c r="J4921" s="10">
        <v>1</v>
      </c>
      <c r="K4921" s="10">
        <v>10528</v>
      </c>
      <c r="L4921" s="3" t="str">
        <f t="shared" si="159"/>
        <v>ΣΚΛΗΡΟΣ_ΣΙΤΟΣ</v>
      </c>
    </row>
    <row r="4922" spans="1:12" s="3" customFormat="1" ht="24" x14ac:dyDescent="0.25">
      <c r="A4922" s="3" t="str">
        <f t="shared" si="158"/>
        <v>ΣΚΛΗΡΟΣ ΣΙΤΟΣΣΙΤΟΣ ΣΚΛΗΡΟΣ SANT'AGATA</v>
      </c>
      <c r="B4922" s="4" t="s">
        <v>8886</v>
      </c>
      <c r="C4922" s="5" t="s">
        <v>9343</v>
      </c>
      <c r="D4922" s="6">
        <v>517.94000000000005</v>
      </c>
      <c r="E4922" s="6">
        <v>492.2</v>
      </c>
      <c r="F4922" s="7" t="s">
        <v>14</v>
      </c>
      <c r="G4922" s="8" t="s">
        <v>9344</v>
      </c>
      <c r="H4922" s="8" t="s">
        <v>16</v>
      </c>
      <c r="I4922" s="9">
        <v>511</v>
      </c>
      <c r="J4922" s="10">
        <v>1</v>
      </c>
      <c r="K4922" s="10">
        <v>10529</v>
      </c>
      <c r="L4922" s="3" t="str">
        <f t="shared" si="159"/>
        <v>ΣΚΛΗΡΟΣ_ΣΙΤΟΣ</v>
      </c>
    </row>
    <row r="4923" spans="1:12" s="3" customFormat="1" ht="24" x14ac:dyDescent="0.25">
      <c r="A4923" s="3" t="str">
        <f t="shared" si="158"/>
        <v>ΣΚΛΗΡΟΣ ΣΙΤΟΣΣΙΤΟΣ ΣΚΛΗΡΟΣ SANTOGRAAL</v>
      </c>
      <c r="B4923" s="4" t="s">
        <v>8886</v>
      </c>
      <c r="C4923" s="5" t="s">
        <v>9345</v>
      </c>
      <c r="D4923" s="6">
        <v>517.94000000000005</v>
      </c>
      <c r="E4923" s="6">
        <v>492.2</v>
      </c>
      <c r="F4923" s="7" t="s">
        <v>14</v>
      </c>
      <c r="G4923" s="8" t="s">
        <v>9346</v>
      </c>
      <c r="H4923" s="8" t="s">
        <v>16</v>
      </c>
      <c r="I4923" s="9">
        <v>494</v>
      </c>
      <c r="J4923" s="10">
        <v>1</v>
      </c>
      <c r="K4923" s="10">
        <v>10530</v>
      </c>
      <c r="L4923" s="3" t="str">
        <f t="shared" si="159"/>
        <v>ΣΚΛΗΡΟΣ_ΣΙΤΟΣ</v>
      </c>
    </row>
    <row r="4924" spans="1:12" s="3" customFormat="1" ht="24" x14ac:dyDescent="0.25">
      <c r="A4924" s="3" t="str">
        <f t="shared" si="158"/>
        <v>ΣΚΛΗΡΟΣ ΣΙΤΟΣΣΙΤΟΣ ΣΚΛΗΡΟΣ SANTUR</v>
      </c>
      <c r="B4924" s="4" t="s">
        <v>8886</v>
      </c>
      <c r="C4924" s="5" t="s">
        <v>9347</v>
      </c>
      <c r="D4924" s="6">
        <v>517.94000000000005</v>
      </c>
      <c r="E4924" s="6">
        <v>492.2</v>
      </c>
      <c r="F4924" s="7" t="s">
        <v>14</v>
      </c>
      <c r="G4924" s="8" t="s">
        <v>9348</v>
      </c>
      <c r="H4924" s="8" t="s">
        <v>16</v>
      </c>
      <c r="I4924" s="9">
        <v>516</v>
      </c>
      <c r="J4924" s="10">
        <v>1</v>
      </c>
      <c r="K4924" s="10">
        <v>10531</v>
      </c>
      <c r="L4924" s="3" t="str">
        <f t="shared" si="159"/>
        <v>ΣΚΛΗΡΟΣ_ΣΙΤΟΣ</v>
      </c>
    </row>
    <row r="4925" spans="1:12" s="3" customFormat="1" x14ac:dyDescent="0.25">
      <c r="A4925" s="3" t="str">
        <f t="shared" si="158"/>
        <v>ΣΚΛΗΡΟΣ ΣΙΤΟΣΣΙΤΟΣ ΣΚΛΗΡΟΣ SATURN 1</v>
      </c>
      <c r="B4925" s="4" t="s">
        <v>8886</v>
      </c>
      <c r="C4925" s="5" t="s">
        <v>9349</v>
      </c>
      <c r="D4925" s="6">
        <v>517.94000000000005</v>
      </c>
      <c r="E4925" s="6">
        <v>492.2</v>
      </c>
      <c r="F4925" s="7" t="s">
        <v>14</v>
      </c>
      <c r="G4925" s="8" t="s">
        <v>9350</v>
      </c>
      <c r="H4925" s="8" t="s">
        <v>27</v>
      </c>
      <c r="I4925" s="9">
        <v>515</v>
      </c>
      <c r="J4925" s="10">
        <v>1</v>
      </c>
      <c r="K4925" s="10">
        <v>10532</v>
      </c>
      <c r="L4925" s="3" t="str">
        <f t="shared" si="159"/>
        <v>ΣΚΛΗΡΟΣ_ΣΙΤΟΣ</v>
      </c>
    </row>
    <row r="4926" spans="1:12" s="3" customFormat="1" ht="24" x14ac:dyDescent="0.25">
      <c r="A4926" s="3" t="str">
        <f t="shared" si="158"/>
        <v>ΣΚΛΗΡΟΣ ΣΙΤΟΣΣΙΤΟΣ ΣΚΛΗΡΟΣ SAYA</v>
      </c>
      <c r="B4926" s="4" t="s">
        <v>8886</v>
      </c>
      <c r="C4926" s="5" t="s">
        <v>9351</v>
      </c>
      <c r="D4926" s="6">
        <v>517.94000000000005</v>
      </c>
      <c r="E4926" s="6">
        <v>492.2</v>
      </c>
      <c r="F4926" s="7" t="s">
        <v>14</v>
      </c>
      <c r="G4926" s="8" t="s">
        <v>9352</v>
      </c>
      <c r="H4926" s="8" t="s">
        <v>16</v>
      </c>
      <c r="I4926" s="9">
        <v>514</v>
      </c>
      <c r="J4926" s="10">
        <v>1</v>
      </c>
      <c r="K4926" s="10">
        <v>10533</v>
      </c>
      <c r="L4926" s="3" t="str">
        <f t="shared" si="159"/>
        <v>ΣΚΛΗΡΟΣ_ΣΙΤΟΣ</v>
      </c>
    </row>
    <row r="4927" spans="1:12" s="3" customFormat="1" ht="24" x14ac:dyDescent="0.25">
      <c r="A4927" s="3" t="str">
        <f t="shared" si="158"/>
        <v>ΣΚΛΗΡΟΣ ΣΙΤΟΣΣΙΤΟΣ ΣΚΛΗΡΟΣ SECOLO</v>
      </c>
      <c r="B4927" s="4" t="s">
        <v>8886</v>
      </c>
      <c r="C4927" s="5" t="s">
        <v>9353</v>
      </c>
      <c r="D4927" s="6">
        <v>517.94000000000005</v>
      </c>
      <c r="E4927" s="6">
        <v>492.2</v>
      </c>
      <c r="F4927" s="7" t="s">
        <v>14</v>
      </c>
      <c r="G4927" s="8" t="s">
        <v>9354</v>
      </c>
      <c r="H4927" s="8" t="s">
        <v>16</v>
      </c>
      <c r="I4927" s="9">
        <v>513</v>
      </c>
      <c r="J4927" s="10">
        <v>1</v>
      </c>
      <c r="K4927" s="10">
        <v>10534</v>
      </c>
      <c r="L4927" s="3" t="str">
        <f t="shared" si="159"/>
        <v>ΣΚΛΗΡΟΣ_ΣΙΤΟΣ</v>
      </c>
    </row>
    <row r="4928" spans="1:12" s="3" customFormat="1" x14ac:dyDescent="0.25">
      <c r="A4928" s="3" t="str">
        <f t="shared" si="158"/>
        <v>ΣΚΛΗΡΟΣ ΣΙΤΟΣΣΙΤΟΣ ΣΚΛΗΡΟΣ SEMORELO</v>
      </c>
      <c r="B4928" s="18" t="s">
        <v>8886</v>
      </c>
      <c r="C4928" s="19" t="s">
        <v>9355</v>
      </c>
      <c r="D4928" s="6">
        <v>517.94000000000005</v>
      </c>
      <c r="E4928" s="6">
        <v>492.2</v>
      </c>
      <c r="F4928" s="6" t="s">
        <v>14</v>
      </c>
      <c r="G4928" s="8" t="s">
        <v>9356</v>
      </c>
      <c r="H4928" s="8" t="s">
        <v>27</v>
      </c>
      <c r="I4928" s="9">
        <v>4411</v>
      </c>
      <c r="J4928" s="20">
        <v>1</v>
      </c>
      <c r="K4928" s="20">
        <v>10535</v>
      </c>
      <c r="L4928" s="3" t="str">
        <f t="shared" si="159"/>
        <v>ΣΚΛΗΡΟΣ_ΣΙΤΟΣ</v>
      </c>
    </row>
    <row r="4929" spans="1:12" s="3" customFormat="1" ht="24" x14ac:dyDescent="0.25">
      <c r="A4929" s="3" t="str">
        <f t="shared" si="158"/>
        <v>ΣΚΛΗΡΟΣ ΣΙΤΟΣΣΙΤΟΣ ΣΚΛΗΡΟΣ SERAFO NICK</v>
      </c>
      <c r="B4929" s="4" t="s">
        <v>8886</v>
      </c>
      <c r="C4929" s="5" t="s">
        <v>9357</v>
      </c>
      <c r="D4929" s="6">
        <v>517.94000000000005</v>
      </c>
      <c r="E4929" s="6">
        <v>492.2</v>
      </c>
      <c r="F4929" s="7" t="s">
        <v>14</v>
      </c>
      <c r="G4929" s="8" t="s">
        <v>9358</v>
      </c>
      <c r="H4929" s="8" t="s">
        <v>16</v>
      </c>
      <c r="I4929" s="9">
        <v>512</v>
      </c>
      <c r="J4929" s="10">
        <v>1</v>
      </c>
      <c r="K4929" s="10">
        <v>10536</v>
      </c>
      <c r="L4929" s="3" t="str">
        <f t="shared" si="159"/>
        <v>ΣΚΛΗΡΟΣ_ΣΙΤΟΣ</v>
      </c>
    </row>
    <row r="4930" spans="1:12" s="3" customFormat="1" x14ac:dyDescent="0.25">
      <c r="A4930" s="3" t="str">
        <f t="shared" si="158"/>
        <v>ΣΚΛΗΡΟΣ ΣΙΤΟΣΣΙΤΟΣ ΣΚΛΗΡΟΣ SERRACIN</v>
      </c>
      <c r="B4930" s="18" t="s">
        <v>8886</v>
      </c>
      <c r="C4930" s="19" t="s">
        <v>9359</v>
      </c>
      <c r="D4930" s="6">
        <v>517.94000000000005</v>
      </c>
      <c r="E4930" s="6">
        <v>492.2</v>
      </c>
      <c r="F4930" s="6" t="s">
        <v>14</v>
      </c>
      <c r="G4930" s="8" t="s">
        <v>9360</v>
      </c>
      <c r="H4930" s="8" t="s">
        <v>27</v>
      </c>
      <c r="I4930" s="9">
        <v>4412</v>
      </c>
      <c r="J4930" s="20">
        <v>1</v>
      </c>
      <c r="K4930" s="20">
        <v>10537</v>
      </c>
      <c r="L4930" s="3" t="str">
        <f t="shared" si="159"/>
        <v>ΣΚΛΗΡΟΣ_ΣΙΤΟΣ</v>
      </c>
    </row>
    <row r="4931" spans="1:12" s="3" customFormat="1" ht="24" x14ac:dyDescent="0.25">
      <c r="A4931" s="3" t="str">
        <f t="shared" ref="A4931:A4994" si="160">_xlfn.CONCAT(B4931,C4931)</f>
        <v>ΣΚΛΗΡΟΣ ΣΙΤΟΣΣΙΤΟΣ ΣΚΛΗΡΟΣ SEVERINA</v>
      </c>
      <c r="B4931" s="4" t="s">
        <v>8886</v>
      </c>
      <c r="C4931" s="5" t="s">
        <v>9361</v>
      </c>
      <c r="D4931" s="6">
        <v>517.94000000000005</v>
      </c>
      <c r="E4931" s="6">
        <v>492.2</v>
      </c>
      <c r="F4931" s="7" t="s">
        <v>14</v>
      </c>
      <c r="G4931" s="8" t="s">
        <v>9362</v>
      </c>
      <c r="H4931" s="8" t="s">
        <v>16</v>
      </c>
      <c r="I4931" s="9">
        <v>502</v>
      </c>
      <c r="J4931" s="10">
        <v>1</v>
      </c>
      <c r="K4931" s="10">
        <v>10538</v>
      </c>
      <c r="L4931" s="3" t="str">
        <f t="shared" ref="L4931:L4994" si="161">IFERROR(SUBSTITUTE(SUBSTITUTE(SUBSTITUTE(SUBSTITUTE(SUBSTITUTE(B4931, "-", "_"), " ", "_"), ",", ""), "(", ""), ")", ""), B4931)</f>
        <v>ΣΚΛΗΡΟΣ_ΣΙΤΟΣ</v>
      </c>
    </row>
    <row r="4932" spans="1:12" s="3" customFormat="1" ht="24" x14ac:dyDescent="0.25">
      <c r="A4932" s="3" t="str">
        <f t="shared" si="160"/>
        <v>ΣΚΛΗΡΟΣ ΣΙΤΟΣΣΙΤΟΣ ΣΚΛΗΡΟΣ SEVERO</v>
      </c>
      <c r="B4932" s="4" t="s">
        <v>8886</v>
      </c>
      <c r="C4932" s="5" t="s">
        <v>9363</v>
      </c>
      <c r="D4932" s="6">
        <v>517.94000000000005</v>
      </c>
      <c r="E4932" s="6">
        <v>492.2</v>
      </c>
      <c r="F4932" s="7" t="s">
        <v>14</v>
      </c>
      <c r="G4932" s="8" t="s">
        <v>9364</v>
      </c>
      <c r="H4932" s="8" t="s">
        <v>16</v>
      </c>
      <c r="I4932" s="9">
        <v>510</v>
      </c>
      <c r="J4932" s="10">
        <v>1</v>
      </c>
      <c r="K4932" s="10">
        <v>10539</v>
      </c>
      <c r="L4932" s="3" t="str">
        <f t="shared" si="161"/>
        <v>ΣΚΛΗΡΟΣ_ΣΙΤΟΣ</v>
      </c>
    </row>
    <row r="4933" spans="1:12" s="3" customFormat="1" ht="24" x14ac:dyDescent="0.25">
      <c r="A4933" s="3" t="str">
        <f t="shared" si="160"/>
        <v>ΣΚΛΗΡΟΣ ΣΙΤΟΣΣΙΤΟΣ ΣΚΛΗΡΟΣ SFINGE</v>
      </c>
      <c r="B4933" s="4" t="s">
        <v>8886</v>
      </c>
      <c r="C4933" s="5" t="s">
        <v>9365</v>
      </c>
      <c r="D4933" s="6">
        <v>517.94000000000005</v>
      </c>
      <c r="E4933" s="6">
        <v>492.2</v>
      </c>
      <c r="F4933" s="7" t="s">
        <v>14</v>
      </c>
      <c r="G4933" s="8" t="s">
        <v>9366</v>
      </c>
      <c r="H4933" s="8" t="s">
        <v>16</v>
      </c>
      <c r="I4933" s="9">
        <v>518</v>
      </c>
      <c r="J4933" s="10">
        <v>1</v>
      </c>
      <c r="K4933" s="10">
        <v>10540</v>
      </c>
      <c r="L4933" s="3" t="str">
        <f t="shared" si="161"/>
        <v>ΣΚΛΗΡΟΣ_ΣΙΤΟΣ</v>
      </c>
    </row>
    <row r="4934" spans="1:12" s="3" customFormat="1" ht="24" x14ac:dyDescent="0.25">
      <c r="A4934" s="3" t="str">
        <f t="shared" si="160"/>
        <v>ΣΚΛΗΡΟΣ ΣΙΤΟΣΣΙΤΟΣ ΣΚΛΗΡΟΣ SIMAR</v>
      </c>
      <c r="B4934" s="4" t="s">
        <v>8886</v>
      </c>
      <c r="C4934" s="5" t="s">
        <v>9367</v>
      </c>
      <c r="D4934" s="6">
        <v>517.94000000000005</v>
      </c>
      <c r="E4934" s="6">
        <v>492.2</v>
      </c>
      <c r="F4934" s="7" t="s">
        <v>14</v>
      </c>
      <c r="G4934" s="8" t="s">
        <v>9368</v>
      </c>
      <c r="H4934" s="8" t="s">
        <v>16</v>
      </c>
      <c r="I4934" s="9">
        <v>508</v>
      </c>
      <c r="J4934" s="10">
        <v>1</v>
      </c>
      <c r="K4934" s="10">
        <v>10541</v>
      </c>
      <c r="L4934" s="3" t="str">
        <f t="shared" si="161"/>
        <v>ΣΚΛΗΡΟΣ_ΣΙΤΟΣ</v>
      </c>
    </row>
    <row r="4935" spans="1:12" s="3" customFormat="1" ht="24" x14ac:dyDescent="0.25">
      <c r="A4935" s="3" t="str">
        <f t="shared" si="160"/>
        <v>ΣΚΛΗΡΟΣ ΣΙΤΟΣΣΙΤΟΣ ΣΚΛΗΡΟΣ SMH87</v>
      </c>
      <c r="B4935" s="4" t="s">
        <v>8886</v>
      </c>
      <c r="C4935" s="5" t="s">
        <v>9369</v>
      </c>
      <c r="D4935" s="6">
        <v>517.94000000000005</v>
      </c>
      <c r="E4935" s="6">
        <v>492.2</v>
      </c>
      <c r="F4935" s="7" t="s">
        <v>14</v>
      </c>
      <c r="G4935" s="8" t="s">
        <v>9370</v>
      </c>
      <c r="H4935" s="8" t="s">
        <v>16</v>
      </c>
      <c r="I4935" s="9">
        <v>507</v>
      </c>
      <c r="J4935" s="10">
        <v>1</v>
      </c>
      <c r="K4935" s="10">
        <v>10542</v>
      </c>
      <c r="L4935" s="3" t="str">
        <f t="shared" si="161"/>
        <v>ΣΚΛΗΡΟΣ_ΣΙΤΟΣ</v>
      </c>
    </row>
    <row r="4936" spans="1:12" s="3" customFormat="1" ht="24" x14ac:dyDescent="0.25">
      <c r="A4936" s="3" t="str">
        <f t="shared" si="160"/>
        <v>ΣΚΛΗΡΟΣ ΣΙΤΟΣΣΙΤΟΣ ΣΚΛΗΡΟΣ SOLSTIZIO</v>
      </c>
      <c r="B4936" s="4" t="s">
        <v>8886</v>
      </c>
      <c r="C4936" s="5" t="s">
        <v>9371</v>
      </c>
      <c r="D4936" s="6">
        <v>517.94000000000005</v>
      </c>
      <c r="E4936" s="6">
        <v>492.2</v>
      </c>
      <c r="F4936" s="7" t="s">
        <v>14</v>
      </c>
      <c r="G4936" s="8" t="s">
        <v>9372</v>
      </c>
      <c r="H4936" s="8" t="s">
        <v>16</v>
      </c>
      <c r="I4936" s="9">
        <v>506</v>
      </c>
      <c r="J4936" s="10">
        <v>1</v>
      </c>
      <c r="K4936" s="10">
        <v>10543</v>
      </c>
      <c r="L4936" s="3" t="str">
        <f t="shared" si="161"/>
        <v>ΣΚΛΗΡΟΣ_ΣΙΤΟΣ</v>
      </c>
    </row>
    <row r="4937" spans="1:12" s="3" customFormat="1" x14ac:dyDescent="0.25">
      <c r="A4937" s="3" t="str">
        <f t="shared" si="160"/>
        <v>ΣΚΛΗΡΟΣ ΣΙΤΟΣΣΙΤΟΣ ΣΚΛΗΡΟΣ SSV DONIKA</v>
      </c>
      <c r="B4937" s="18" t="s">
        <v>8886</v>
      </c>
      <c r="C4937" s="19" t="s">
        <v>9373</v>
      </c>
      <c r="D4937" s="6">
        <v>517.94000000000005</v>
      </c>
      <c r="E4937" s="6">
        <v>492.2</v>
      </c>
      <c r="F4937" s="6" t="s">
        <v>14</v>
      </c>
      <c r="G4937" s="8" t="s">
        <v>9374</v>
      </c>
      <c r="H4937" s="8" t="s">
        <v>27</v>
      </c>
      <c r="I4937" s="9">
        <v>4413</v>
      </c>
      <c r="J4937" s="20">
        <v>1</v>
      </c>
      <c r="K4937" s="20">
        <v>10544</v>
      </c>
      <c r="L4937" s="3" t="str">
        <f t="shared" si="161"/>
        <v>ΣΚΛΗΡΟΣ_ΣΙΤΟΣ</v>
      </c>
    </row>
    <row r="4938" spans="1:12" s="3" customFormat="1" x14ac:dyDescent="0.25">
      <c r="A4938" s="3" t="str">
        <f t="shared" si="160"/>
        <v>ΣΚΛΗΡΟΣ ΣΙΤΟΣΣΙΤΟΣ ΣΚΛΗΡΟΣ STELLADUR</v>
      </c>
      <c r="B4938" s="4" t="s">
        <v>8886</v>
      </c>
      <c r="C4938" s="5" t="s">
        <v>9375</v>
      </c>
      <c r="D4938" s="6">
        <v>517.94000000000005</v>
      </c>
      <c r="E4938" s="6">
        <v>492.2</v>
      </c>
      <c r="F4938" s="7" t="s">
        <v>14</v>
      </c>
      <c r="G4938" s="8" t="s">
        <v>9376</v>
      </c>
      <c r="H4938" s="8" t="s">
        <v>27</v>
      </c>
      <c r="I4938" s="9">
        <v>505</v>
      </c>
      <c r="J4938" s="10">
        <v>1</v>
      </c>
      <c r="K4938" s="10">
        <v>10545</v>
      </c>
      <c r="L4938" s="3" t="str">
        <f t="shared" si="161"/>
        <v>ΣΚΛΗΡΟΣ_ΣΙΤΟΣ</v>
      </c>
    </row>
    <row r="4939" spans="1:12" s="3" customFormat="1" ht="24" x14ac:dyDescent="0.25">
      <c r="A4939" s="3" t="str">
        <f t="shared" si="160"/>
        <v>ΣΚΛΗΡΟΣ ΣΙΤΟΣΣΙΤΟΣ ΣΚΛΗΡΟΣ SUMMA</v>
      </c>
      <c r="B4939" s="4" t="s">
        <v>8886</v>
      </c>
      <c r="C4939" s="5" t="s">
        <v>9377</v>
      </c>
      <c r="D4939" s="6">
        <v>517.94000000000005</v>
      </c>
      <c r="E4939" s="6">
        <v>492.2</v>
      </c>
      <c r="F4939" s="7" t="s">
        <v>14</v>
      </c>
      <c r="G4939" s="8" t="s">
        <v>9378</v>
      </c>
      <c r="H4939" s="8" t="s">
        <v>16</v>
      </c>
      <c r="I4939" s="9">
        <v>504</v>
      </c>
      <c r="J4939" s="10">
        <v>1</v>
      </c>
      <c r="K4939" s="10">
        <v>10546</v>
      </c>
      <c r="L4939" s="3" t="str">
        <f t="shared" si="161"/>
        <v>ΣΚΛΗΡΟΣ_ΣΙΤΟΣ</v>
      </c>
    </row>
    <row r="4940" spans="1:12" s="3" customFormat="1" ht="24" x14ac:dyDescent="0.25">
      <c r="A4940" s="3" t="str">
        <f t="shared" si="160"/>
        <v>ΣΚΛΗΡΟΣ ΣΙΤΟΣΣΙΤΟΣ ΣΚΛΗΡΟΣ SURMESUR</v>
      </c>
      <c r="B4940" s="4" t="s">
        <v>8886</v>
      </c>
      <c r="C4940" s="5" t="s">
        <v>9379</v>
      </c>
      <c r="D4940" s="6">
        <v>517.94000000000005</v>
      </c>
      <c r="E4940" s="6">
        <v>492.2</v>
      </c>
      <c r="F4940" s="7" t="s">
        <v>14</v>
      </c>
      <c r="G4940" s="8" t="s">
        <v>9380</v>
      </c>
      <c r="H4940" s="8" t="s">
        <v>16</v>
      </c>
      <c r="I4940" s="9">
        <v>478</v>
      </c>
      <c r="J4940" s="10">
        <v>1</v>
      </c>
      <c r="K4940" s="10">
        <v>10547</v>
      </c>
      <c r="L4940" s="3" t="str">
        <f t="shared" si="161"/>
        <v>ΣΚΛΗΡΟΣ_ΣΙΤΟΣ</v>
      </c>
    </row>
    <row r="4941" spans="1:12" s="3" customFormat="1" ht="24" x14ac:dyDescent="0.25">
      <c r="A4941" s="3" t="str">
        <f t="shared" si="160"/>
        <v>ΣΚΛΗΡΟΣ ΣΙΤΟΣΣΙΤΟΣ ΣΚΛΗΡΟΣ GIBUS</v>
      </c>
      <c r="B4941" s="4" t="s">
        <v>8886</v>
      </c>
      <c r="C4941" s="5" t="s">
        <v>9381</v>
      </c>
      <c r="D4941" s="6">
        <v>517.94000000000005</v>
      </c>
      <c r="E4941" s="6">
        <v>492.2</v>
      </c>
      <c r="F4941" s="7" t="s">
        <v>14</v>
      </c>
      <c r="G4941" s="8" t="s">
        <v>9382</v>
      </c>
      <c r="H4941" s="8" t="s">
        <v>16</v>
      </c>
      <c r="I4941" s="9">
        <v>517</v>
      </c>
      <c r="J4941" s="10">
        <v>1</v>
      </c>
      <c r="K4941" s="10">
        <v>10548</v>
      </c>
      <c r="L4941" s="3" t="str">
        <f t="shared" si="161"/>
        <v>ΣΚΛΗΡΟΣ_ΣΙΤΟΣ</v>
      </c>
    </row>
    <row r="4942" spans="1:12" s="3" customFormat="1" x14ac:dyDescent="0.25">
      <c r="A4942" s="3" t="str">
        <f t="shared" si="160"/>
        <v>ΣΚΛΗΡΟΣ ΣΙΤΟΣΣΙΤΟΣ ΣΚΛΗΡΟΣ GINSENG</v>
      </c>
      <c r="B4942" s="4" t="s">
        <v>8886</v>
      </c>
      <c r="C4942" s="5" t="s">
        <v>9383</v>
      </c>
      <c r="D4942" s="6">
        <v>517.94000000000005</v>
      </c>
      <c r="E4942" s="6">
        <v>492.2</v>
      </c>
      <c r="F4942" s="7" t="s">
        <v>14</v>
      </c>
      <c r="G4942" s="8" t="s">
        <v>9384</v>
      </c>
      <c r="H4942" s="8" t="s">
        <v>27</v>
      </c>
      <c r="I4942" s="9">
        <v>492</v>
      </c>
      <c r="J4942" s="10">
        <v>1</v>
      </c>
      <c r="K4942" s="10">
        <v>10549</v>
      </c>
      <c r="L4942" s="3" t="str">
        <f t="shared" si="161"/>
        <v>ΣΚΛΗΡΟΣ_ΣΙΤΟΣ</v>
      </c>
    </row>
    <row r="4943" spans="1:12" s="3" customFormat="1" ht="24" x14ac:dyDescent="0.25">
      <c r="A4943" s="3" t="str">
        <f t="shared" si="160"/>
        <v>ΣΚΛΗΡΟΣ ΣΙΤΟΣΣΙΤΟΣ ΣΚΛΗΡΟΣ GIULIO</v>
      </c>
      <c r="B4943" s="4" t="s">
        <v>8886</v>
      </c>
      <c r="C4943" s="5" t="s">
        <v>9385</v>
      </c>
      <c r="D4943" s="6">
        <v>517.94000000000005</v>
      </c>
      <c r="E4943" s="6">
        <v>492.2</v>
      </c>
      <c r="F4943" s="7" t="s">
        <v>14</v>
      </c>
      <c r="G4943" s="8" t="s">
        <v>9386</v>
      </c>
      <c r="H4943" s="8" t="s">
        <v>16</v>
      </c>
      <c r="I4943" s="9">
        <v>468</v>
      </c>
      <c r="J4943" s="10">
        <v>1</v>
      </c>
      <c r="K4943" s="10">
        <v>10550</v>
      </c>
      <c r="L4943" s="3" t="str">
        <f t="shared" si="161"/>
        <v>ΣΚΛΗΡΟΣ_ΣΙΤΟΣ</v>
      </c>
    </row>
    <row r="4944" spans="1:12" s="3" customFormat="1" ht="24" x14ac:dyDescent="0.25">
      <c r="A4944" s="3" t="str">
        <f t="shared" si="160"/>
        <v>ΣΚΛΗΡΟΣ ΣΙΤΟΣΣΙΤΟΣ ΣΚΛΗΡΟΣ GIUSTO</v>
      </c>
      <c r="B4944" s="4" t="s">
        <v>8886</v>
      </c>
      <c r="C4944" s="5" t="s">
        <v>9387</v>
      </c>
      <c r="D4944" s="6">
        <v>517.94000000000005</v>
      </c>
      <c r="E4944" s="6">
        <v>492.2</v>
      </c>
      <c r="F4944" s="7" t="s">
        <v>14</v>
      </c>
      <c r="G4944" s="8" t="s">
        <v>9388</v>
      </c>
      <c r="H4944" s="8" t="s">
        <v>16</v>
      </c>
      <c r="I4944" s="9">
        <v>467</v>
      </c>
      <c r="J4944" s="10">
        <v>1</v>
      </c>
      <c r="K4944" s="10">
        <v>10551</v>
      </c>
      <c r="L4944" s="3" t="str">
        <f t="shared" si="161"/>
        <v>ΣΚΛΗΡΟΣ_ΣΙΤΟΣ</v>
      </c>
    </row>
    <row r="4945" spans="1:12" s="3" customFormat="1" ht="24" x14ac:dyDescent="0.25">
      <c r="A4945" s="3" t="str">
        <f t="shared" si="160"/>
        <v>ΣΚΛΗΡΟΣ ΣΙΤΟΣΣΙΤΟΣ ΣΚΛΗΡΟΣ GK BETADUR</v>
      </c>
      <c r="B4945" s="4" t="s">
        <v>8886</v>
      </c>
      <c r="C4945" s="5" t="s">
        <v>9389</v>
      </c>
      <c r="D4945" s="6">
        <v>517.94000000000005</v>
      </c>
      <c r="E4945" s="6">
        <v>492.2</v>
      </c>
      <c r="F4945" s="7" t="s">
        <v>14</v>
      </c>
      <c r="G4945" s="8" t="s">
        <v>9390</v>
      </c>
      <c r="H4945" s="8" t="s">
        <v>16</v>
      </c>
      <c r="I4945" s="9">
        <v>466</v>
      </c>
      <c r="J4945" s="10">
        <v>1</v>
      </c>
      <c r="K4945" s="10">
        <v>10552</v>
      </c>
      <c r="L4945" s="3" t="str">
        <f t="shared" si="161"/>
        <v>ΣΚΛΗΡΟΣ_ΣΙΤΟΣ</v>
      </c>
    </row>
    <row r="4946" spans="1:12" s="3" customFormat="1" ht="24" x14ac:dyDescent="0.25">
      <c r="A4946" s="3" t="str">
        <f t="shared" si="160"/>
        <v>ΣΚΛΗΡΟΣ ΣΙΤΟΣΣΙΤΟΣ ΣΚΛΗΡΟΣ GK JULIDUR</v>
      </c>
      <c r="B4946" s="4" t="s">
        <v>8886</v>
      </c>
      <c r="C4946" s="5" t="s">
        <v>9391</v>
      </c>
      <c r="D4946" s="6">
        <v>517.94000000000005</v>
      </c>
      <c r="E4946" s="6">
        <v>492.2</v>
      </c>
      <c r="F4946" s="7" t="s">
        <v>14</v>
      </c>
      <c r="G4946" s="8" t="s">
        <v>9392</v>
      </c>
      <c r="H4946" s="8" t="s">
        <v>16</v>
      </c>
      <c r="I4946" s="9">
        <v>465</v>
      </c>
      <c r="J4946" s="10">
        <v>1</v>
      </c>
      <c r="K4946" s="10">
        <v>10553</v>
      </c>
      <c r="L4946" s="3" t="str">
        <f t="shared" si="161"/>
        <v>ΣΚΛΗΡΟΣ_ΣΙΤΟΣ</v>
      </c>
    </row>
    <row r="4947" spans="1:12" s="3" customFormat="1" ht="24" x14ac:dyDescent="0.25">
      <c r="A4947" s="3" t="str">
        <f t="shared" si="160"/>
        <v>ΣΚΛΗΡΟΣ ΣΙΤΟΣΣΙΤΟΣ ΣΚΛΗΡΟΣ GK SELYEMDUR</v>
      </c>
      <c r="B4947" s="4" t="s">
        <v>8886</v>
      </c>
      <c r="C4947" s="5" t="s">
        <v>9393</v>
      </c>
      <c r="D4947" s="6">
        <v>517.94000000000005</v>
      </c>
      <c r="E4947" s="6">
        <v>492.2</v>
      </c>
      <c r="F4947" s="7" t="s">
        <v>14</v>
      </c>
      <c r="G4947" s="8" t="s">
        <v>9394</v>
      </c>
      <c r="H4947" s="8" t="s">
        <v>16</v>
      </c>
      <c r="I4947" s="9">
        <v>464</v>
      </c>
      <c r="J4947" s="10">
        <v>1</v>
      </c>
      <c r="K4947" s="10">
        <v>10554</v>
      </c>
      <c r="L4947" s="3" t="str">
        <f t="shared" si="161"/>
        <v>ΣΚΛΗΡΟΣ_ΣΙΤΟΣ</v>
      </c>
    </row>
    <row r="4948" spans="1:12" s="3" customFormat="1" x14ac:dyDescent="0.25">
      <c r="A4948" s="3" t="str">
        <f t="shared" si="160"/>
        <v>ΣΚΛΗΡΟΣ ΣΙΤΟΣΣΙΤΟΣ ΣΚΛΗΡΟΣ GLUCODUR</v>
      </c>
      <c r="B4948" s="18" t="s">
        <v>8886</v>
      </c>
      <c r="C4948" s="19" t="s">
        <v>9395</v>
      </c>
      <c r="D4948" s="6">
        <v>517.94000000000005</v>
      </c>
      <c r="E4948" s="6">
        <v>492.2</v>
      </c>
      <c r="F4948" s="6" t="s">
        <v>14</v>
      </c>
      <c r="G4948" s="8" t="s">
        <v>9396</v>
      </c>
      <c r="H4948" s="8" t="s">
        <v>27</v>
      </c>
      <c r="I4948" s="9">
        <v>4414</v>
      </c>
      <c r="J4948" s="20">
        <v>1</v>
      </c>
      <c r="K4948" s="20">
        <v>10555</v>
      </c>
      <c r="L4948" s="3" t="str">
        <f t="shared" si="161"/>
        <v>ΣΚΛΗΡΟΣ_ΣΙΤΟΣ</v>
      </c>
    </row>
    <row r="4949" spans="1:12" s="3" customFormat="1" ht="24" x14ac:dyDescent="0.25">
      <c r="A4949" s="3" t="str">
        <f t="shared" si="160"/>
        <v>ΣΚΛΗΡΟΣ ΣΙΤΟΣΣΙΤΟΣ ΣΚΛΗΡΟΣ GRADOR</v>
      </c>
      <c r="B4949" s="4" t="s">
        <v>8886</v>
      </c>
      <c r="C4949" s="5" t="s">
        <v>9397</v>
      </c>
      <c r="D4949" s="6">
        <v>517.94000000000005</v>
      </c>
      <c r="E4949" s="6">
        <v>492.2</v>
      </c>
      <c r="F4949" s="7" t="s">
        <v>14</v>
      </c>
      <c r="G4949" s="8" t="s">
        <v>9398</v>
      </c>
      <c r="H4949" s="8" t="s">
        <v>16</v>
      </c>
      <c r="I4949" s="9">
        <v>463</v>
      </c>
      <c r="J4949" s="10">
        <v>1</v>
      </c>
      <c r="K4949" s="10">
        <v>10556</v>
      </c>
      <c r="L4949" s="3" t="str">
        <f t="shared" si="161"/>
        <v>ΣΚΛΗΡΟΣ_ΣΙΤΟΣ</v>
      </c>
    </row>
    <row r="4950" spans="1:12" s="3" customFormat="1" x14ac:dyDescent="0.25">
      <c r="A4950" s="3" t="str">
        <f t="shared" si="160"/>
        <v>ΣΚΛΗΡΟΣ ΣΙΤΟΣΣΙΤΟΣ ΣΚΛΗΡΟΣ GRANDA</v>
      </c>
      <c r="B4950" s="18" t="s">
        <v>8886</v>
      </c>
      <c r="C4950" s="19" t="s">
        <v>9399</v>
      </c>
      <c r="D4950" s="6">
        <v>517.94000000000005</v>
      </c>
      <c r="E4950" s="6">
        <v>492.2</v>
      </c>
      <c r="F4950" s="6" t="s">
        <v>14</v>
      </c>
      <c r="G4950" s="8" t="s">
        <v>9400</v>
      </c>
      <c r="H4950" s="8" t="s">
        <v>27</v>
      </c>
      <c r="I4950" s="9">
        <v>4415</v>
      </c>
      <c r="J4950" s="20">
        <v>1</v>
      </c>
      <c r="K4950" s="20">
        <v>10557</v>
      </c>
      <c r="L4950" s="3" t="str">
        <f t="shared" si="161"/>
        <v>ΣΚΛΗΡΟΣ_ΣΙΤΟΣ</v>
      </c>
    </row>
    <row r="4951" spans="1:12" s="3" customFormat="1" ht="24" x14ac:dyDescent="0.25">
      <c r="A4951" s="3" t="str">
        <f t="shared" si="160"/>
        <v>ΣΚΛΗΡΟΣ ΣΙΤΟΣΣΙΤΟΣ ΣΚΛΗΡΟΣ GRANDUR</v>
      </c>
      <c r="B4951" s="4" t="s">
        <v>8886</v>
      </c>
      <c r="C4951" s="5" t="s">
        <v>9401</v>
      </c>
      <c r="D4951" s="6">
        <v>517.94000000000005</v>
      </c>
      <c r="E4951" s="6">
        <v>492.2</v>
      </c>
      <c r="F4951" s="7" t="s">
        <v>14</v>
      </c>
      <c r="G4951" s="8" t="s">
        <v>9402</v>
      </c>
      <c r="H4951" s="8" t="s">
        <v>16</v>
      </c>
      <c r="I4951" s="9">
        <v>454</v>
      </c>
      <c r="J4951" s="10">
        <v>1</v>
      </c>
      <c r="K4951" s="10">
        <v>10558</v>
      </c>
      <c r="L4951" s="3" t="str">
        <f t="shared" si="161"/>
        <v>ΣΚΛΗΡΟΣ_ΣΙΤΟΣ</v>
      </c>
    </row>
    <row r="4952" spans="1:12" s="3" customFormat="1" ht="24" x14ac:dyDescent="0.25">
      <c r="A4952" s="3" t="str">
        <f t="shared" si="160"/>
        <v>ΣΚΛΗΡΟΣ ΣΙΤΟΣΣΙΤΟΣ ΣΚΛΗΡΟΣ GRANDUR FD</v>
      </c>
      <c r="B4952" s="4" t="s">
        <v>8886</v>
      </c>
      <c r="C4952" s="5" t="s">
        <v>9403</v>
      </c>
      <c r="D4952" s="6">
        <v>517.94000000000005</v>
      </c>
      <c r="E4952" s="6">
        <v>492.2</v>
      </c>
      <c r="F4952" s="7" t="s">
        <v>14</v>
      </c>
      <c r="G4952" s="8" t="s">
        <v>9404</v>
      </c>
      <c r="H4952" s="8" t="s">
        <v>16</v>
      </c>
      <c r="I4952" s="9">
        <v>461</v>
      </c>
      <c r="J4952" s="10">
        <v>1</v>
      </c>
      <c r="K4952" s="10">
        <v>10559</v>
      </c>
      <c r="L4952" s="3" t="str">
        <f t="shared" si="161"/>
        <v>ΣΚΛΗΡΟΣ_ΣΙΤΟΣ</v>
      </c>
    </row>
    <row r="4953" spans="1:12" s="3" customFormat="1" ht="24" x14ac:dyDescent="0.25">
      <c r="A4953" s="3" t="str">
        <f t="shared" si="160"/>
        <v>ΣΚΛΗΡΟΣ ΣΙΤΟΣΣΙΤΟΣ ΣΚΛΗΡΟΣ GROWBAR</v>
      </c>
      <c r="B4953" s="4" t="s">
        <v>8886</v>
      </c>
      <c r="C4953" s="5" t="s">
        <v>9405</v>
      </c>
      <c r="D4953" s="6">
        <v>517.94000000000005</v>
      </c>
      <c r="E4953" s="6">
        <v>492.2</v>
      </c>
      <c r="F4953" s="7" t="s">
        <v>14</v>
      </c>
      <c r="G4953" s="8" t="s">
        <v>9406</v>
      </c>
      <c r="H4953" s="8" t="s">
        <v>16</v>
      </c>
      <c r="I4953" s="9">
        <v>469</v>
      </c>
      <c r="J4953" s="10">
        <v>1</v>
      </c>
      <c r="K4953" s="10">
        <v>10560</v>
      </c>
      <c r="L4953" s="3" t="str">
        <f t="shared" si="161"/>
        <v>ΣΚΛΗΡΟΣ_ΣΙΤΟΣ</v>
      </c>
    </row>
    <row r="4954" spans="1:12" s="3" customFormat="1" ht="24" x14ac:dyDescent="0.25">
      <c r="A4954" s="3" t="str">
        <f t="shared" si="160"/>
        <v>ΣΚΛΗΡΟΣ ΣΙΤΟΣΣΙΤΟΣ ΣΚΛΗΡΟΣ GUALLARDO</v>
      </c>
      <c r="B4954" s="4" t="s">
        <v>8886</v>
      </c>
      <c r="C4954" s="5" t="s">
        <v>9407</v>
      </c>
      <c r="D4954" s="6">
        <v>517.94000000000005</v>
      </c>
      <c r="E4954" s="6">
        <v>492.2</v>
      </c>
      <c r="F4954" s="7" t="s">
        <v>14</v>
      </c>
      <c r="G4954" s="8" t="s">
        <v>9408</v>
      </c>
      <c r="H4954" s="8" t="s">
        <v>16</v>
      </c>
      <c r="I4954" s="9">
        <v>459</v>
      </c>
      <c r="J4954" s="10">
        <v>1</v>
      </c>
      <c r="K4954" s="10">
        <v>10561</v>
      </c>
      <c r="L4954" s="3" t="str">
        <f t="shared" si="161"/>
        <v>ΣΚΛΗΡΟΣ_ΣΙΤΟΣ</v>
      </c>
    </row>
    <row r="4955" spans="1:12" s="3" customFormat="1" ht="24" x14ac:dyDescent="0.25">
      <c r="A4955" s="3" t="str">
        <f t="shared" si="160"/>
        <v>ΣΚΛΗΡΟΣ ΣΙΤΟΣΣΙΤΟΣ ΣΚΛΗΡΟΣ GVATI</v>
      </c>
      <c r="B4955" s="4" t="s">
        <v>8886</v>
      </c>
      <c r="C4955" s="5" t="s">
        <v>9409</v>
      </c>
      <c r="D4955" s="6">
        <v>517.94000000000005</v>
      </c>
      <c r="E4955" s="6">
        <v>492.2</v>
      </c>
      <c r="F4955" s="7" t="s">
        <v>14</v>
      </c>
      <c r="G4955" s="8" t="s">
        <v>9410</v>
      </c>
      <c r="H4955" s="8" t="s">
        <v>16</v>
      </c>
      <c r="I4955" s="9">
        <v>458</v>
      </c>
      <c r="J4955" s="10">
        <v>1</v>
      </c>
      <c r="K4955" s="10">
        <v>10562</v>
      </c>
      <c r="L4955" s="3" t="str">
        <f t="shared" si="161"/>
        <v>ΣΚΛΗΡΟΣ_ΣΙΤΟΣ</v>
      </c>
    </row>
    <row r="4956" spans="1:12" s="3" customFormat="1" ht="24" x14ac:dyDescent="0.25">
      <c r="A4956" s="3" t="str">
        <f t="shared" si="160"/>
        <v>ΣΚΛΗΡΟΣ ΣΙΤΟΣΣΙΤΟΣ ΣΚΛΗΡΟΣ HARISTIDE</v>
      </c>
      <c r="B4956" s="4" t="s">
        <v>8886</v>
      </c>
      <c r="C4956" s="5" t="s">
        <v>9411</v>
      </c>
      <c r="D4956" s="6">
        <v>517.94000000000005</v>
      </c>
      <c r="E4956" s="6">
        <v>492.2</v>
      </c>
      <c r="F4956" s="7" t="s">
        <v>14</v>
      </c>
      <c r="G4956" s="8" t="s">
        <v>9412</v>
      </c>
      <c r="H4956" s="8" t="s">
        <v>16</v>
      </c>
      <c r="I4956" s="9">
        <v>457</v>
      </c>
      <c r="J4956" s="10">
        <v>1</v>
      </c>
      <c r="K4956" s="10">
        <v>10563</v>
      </c>
      <c r="L4956" s="3" t="str">
        <f t="shared" si="161"/>
        <v>ΣΚΛΗΡΟΣ_ΣΙΤΟΣ</v>
      </c>
    </row>
    <row r="4957" spans="1:12" s="3" customFormat="1" ht="24" x14ac:dyDescent="0.25">
      <c r="A4957" s="3" t="str">
        <f t="shared" si="160"/>
        <v>ΣΚΛΗΡΟΣ ΣΙΤΟΣΣΙΤΟΣ ΣΚΛΗΡΟΣ HATHOR</v>
      </c>
      <c r="B4957" s="4" t="s">
        <v>8886</v>
      </c>
      <c r="C4957" s="5" t="s">
        <v>9413</v>
      </c>
      <c r="D4957" s="6">
        <v>517.94000000000005</v>
      </c>
      <c r="E4957" s="6">
        <v>492.2</v>
      </c>
      <c r="F4957" s="7" t="s">
        <v>14</v>
      </c>
      <c r="G4957" s="8" t="s">
        <v>9414</v>
      </c>
      <c r="H4957" s="8" t="s">
        <v>16</v>
      </c>
      <c r="I4957" s="9">
        <v>456</v>
      </c>
      <c r="J4957" s="10">
        <v>1</v>
      </c>
      <c r="K4957" s="10">
        <v>10564</v>
      </c>
      <c r="L4957" s="3" t="str">
        <f t="shared" si="161"/>
        <v>ΣΚΛΗΡΟΣ_ΣΙΤΟΣ</v>
      </c>
    </row>
    <row r="4958" spans="1:12" s="3" customFormat="1" x14ac:dyDescent="0.25">
      <c r="A4958" s="3" t="str">
        <f t="shared" si="160"/>
        <v>ΣΚΛΗΡΟΣ ΣΙΤΟΣΣΙΤΟΣ ΣΚΛΗΡΟΣ HELVIO</v>
      </c>
      <c r="B4958" s="4" t="s">
        <v>8886</v>
      </c>
      <c r="C4958" s="5" t="s">
        <v>9415</v>
      </c>
      <c r="D4958" s="6">
        <v>517.94000000000005</v>
      </c>
      <c r="E4958" s="6">
        <v>492.2</v>
      </c>
      <c r="F4958" s="7" t="s">
        <v>14</v>
      </c>
      <c r="G4958" s="8" t="s">
        <v>9416</v>
      </c>
      <c r="H4958" s="8" t="s">
        <v>27</v>
      </c>
      <c r="I4958" s="9">
        <v>476</v>
      </c>
      <c r="J4958" s="10">
        <v>1</v>
      </c>
      <c r="K4958" s="10">
        <v>10565</v>
      </c>
      <c r="L4958" s="3" t="str">
        <f t="shared" si="161"/>
        <v>ΣΚΛΗΡΟΣ_ΣΙΤΟΣ</v>
      </c>
    </row>
    <row r="4959" spans="1:12" s="3" customFormat="1" ht="24" x14ac:dyDescent="0.25">
      <c r="A4959" s="3" t="str">
        <f t="shared" si="160"/>
        <v>ΣΚΛΗΡΟΣ ΣΙΤΟΣΣΙΤΟΣ ΣΚΛΗΡΟΣ HISPASANO</v>
      </c>
      <c r="B4959" s="4" t="s">
        <v>8886</v>
      </c>
      <c r="C4959" s="5" t="s">
        <v>9417</v>
      </c>
      <c r="D4959" s="6">
        <v>517.94000000000005</v>
      </c>
      <c r="E4959" s="6">
        <v>492.2</v>
      </c>
      <c r="F4959" s="7" t="s">
        <v>14</v>
      </c>
      <c r="G4959" s="8" t="s">
        <v>9418</v>
      </c>
      <c r="H4959" s="8" t="s">
        <v>16</v>
      </c>
      <c r="I4959" s="9">
        <v>460</v>
      </c>
      <c r="J4959" s="10">
        <v>1</v>
      </c>
      <c r="K4959" s="10">
        <v>10566</v>
      </c>
      <c r="L4959" s="3" t="str">
        <f t="shared" si="161"/>
        <v>ΣΚΛΗΡΟΣ_ΣΙΤΟΣ</v>
      </c>
    </row>
    <row r="4960" spans="1:12" s="3" customFormat="1" ht="24" x14ac:dyDescent="0.25">
      <c r="A4960" s="3" t="str">
        <f t="shared" si="160"/>
        <v>ΣΚΛΗΡΟΣ ΣΙΤΟΣΣΙΤΟΣ ΣΚΛΗΡΟΣ IBERUS</v>
      </c>
      <c r="B4960" s="4" t="s">
        <v>8886</v>
      </c>
      <c r="C4960" s="5" t="s">
        <v>9419</v>
      </c>
      <c r="D4960" s="6">
        <v>517.94000000000005</v>
      </c>
      <c r="E4960" s="6">
        <v>492.2</v>
      </c>
      <c r="F4960" s="7" t="s">
        <v>14</v>
      </c>
      <c r="G4960" s="8" t="s">
        <v>9420</v>
      </c>
      <c r="H4960" s="8" t="s">
        <v>16</v>
      </c>
      <c r="I4960" s="9">
        <v>462</v>
      </c>
      <c r="J4960" s="10">
        <v>1</v>
      </c>
      <c r="K4960" s="10">
        <v>10567</v>
      </c>
      <c r="L4960" s="3" t="str">
        <f t="shared" si="161"/>
        <v>ΣΚΛΗΡΟΣ_ΣΙΤΟΣ</v>
      </c>
    </row>
    <row r="4961" spans="1:12" s="3" customFormat="1" x14ac:dyDescent="0.25">
      <c r="A4961" s="3" t="str">
        <f t="shared" si="160"/>
        <v>ΣΚΛΗΡΟΣ ΣΙΤΟΣΣΙΤΟΣ ΣΚΛΗΡΟΣ IPK DENI</v>
      </c>
      <c r="B4961" s="18" t="s">
        <v>8886</v>
      </c>
      <c r="C4961" s="19" t="s">
        <v>9421</v>
      </c>
      <c r="D4961" s="6">
        <v>517.94000000000005</v>
      </c>
      <c r="E4961" s="6">
        <v>492.2</v>
      </c>
      <c r="F4961" s="6" t="s">
        <v>14</v>
      </c>
      <c r="G4961" s="8" t="s">
        <v>9422</v>
      </c>
      <c r="H4961" s="8" t="s">
        <v>27</v>
      </c>
      <c r="I4961" s="9">
        <v>4416</v>
      </c>
      <c r="J4961" s="20">
        <v>1</v>
      </c>
      <c r="K4961" s="20">
        <v>10568</v>
      </c>
      <c r="L4961" s="3" t="str">
        <f t="shared" si="161"/>
        <v>ΣΚΛΗΡΟΣ_ΣΙΤΟΣ</v>
      </c>
    </row>
    <row r="4962" spans="1:12" s="3" customFormat="1" x14ac:dyDescent="0.25">
      <c r="A4962" s="3" t="str">
        <f t="shared" si="160"/>
        <v>ΣΚΛΗΡΟΣ ΣΙΤΟΣΣΙΤΟΣ ΣΚΛΗΡΟΣ IPK ELBRUS</v>
      </c>
      <c r="B4962" s="18" t="s">
        <v>8886</v>
      </c>
      <c r="C4962" s="19" t="s">
        <v>9423</v>
      </c>
      <c r="D4962" s="6">
        <v>517.94000000000005</v>
      </c>
      <c r="E4962" s="6">
        <v>492.2</v>
      </c>
      <c r="F4962" s="6" t="s">
        <v>14</v>
      </c>
      <c r="G4962" s="8" t="s">
        <v>9424</v>
      </c>
      <c r="H4962" s="8" t="s">
        <v>27</v>
      </c>
      <c r="I4962" s="9">
        <v>4417</v>
      </c>
      <c r="J4962" s="20">
        <v>1</v>
      </c>
      <c r="K4962" s="20">
        <v>10569</v>
      </c>
      <c r="L4962" s="3" t="str">
        <f t="shared" si="161"/>
        <v>ΣΚΛΗΡΟΣ_ΣΙΤΟΣ</v>
      </c>
    </row>
    <row r="4963" spans="1:12" s="3" customFormat="1" ht="24" x14ac:dyDescent="0.25">
      <c r="A4963" s="3" t="str">
        <f t="shared" si="160"/>
        <v>ΣΚΛΗΡΟΣ ΣΙΤΟΣΣΙΤΟΣ ΣΚΛΗΡΟΣ IS DURAGOLD</v>
      </c>
      <c r="B4963" s="4" t="s">
        <v>8886</v>
      </c>
      <c r="C4963" s="5" t="s">
        <v>9425</v>
      </c>
      <c r="D4963" s="6">
        <v>517.94000000000005</v>
      </c>
      <c r="E4963" s="6">
        <v>492.2</v>
      </c>
      <c r="F4963" s="7" t="s">
        <v>14</v>
      </c>
      <c r="G4963" s="8" t="s">
        <v>9426</v>
      </c>
      <c r="H4963" s="8" t="s">
        <v>16</v>
      </c>
      <c r="I4963" s="9">
        <v>484</v>
      </c>
      <c r="J4963" s="10">
        <v>1</v>
      </c>
      <c r="K4963" s="10">
        <v>10570</v>
      </c>
      <c r="L4963" s="3" t="str">
        <f t="shared" si="161"/>
        <v>ΣΚΛΗΡΟΣ_ΣΙΤΟΣ</v>
      </c>
    </row>
    <row r="4964" spans="1:12" s="3" customFormat="1" ht="24" x14ac:dyDescent="0.25">
      <c r="A4964" s="3" t="str">
        <f t="shared" si="160"/>
        <v>ΣΚΛΗΡΟΣ ΣΙΤΟΣΣΙΤΟΣ ΣΚΛΗΡΟΣ IS DURANEGRA</v>
      </c>
      <c r="B4964" s="4" t="s">
        <v>8886</v>
      </c>
      <c r="C4964" s="5" t="s">
        <v>9427</v>
      </c>
      <c r="D4964" s="6">
        <v>517.94000000000005</v>
      </c>
      <c r="E4964" s="6">
        <v>492.2</v>
      </c>
      <c r="F4964" s="7" t="s">
        <v>14</v>
      </c>
      <c r="G4964" s="8" t="s">
        <v>9428</v>
      </c>
      <c r="H4964" s="8" t="s">
        <v>16</v>
      </c>
      <c r="I4964" s="9">
        <v>483</v>
      </c>
      <c r="J4964" s="10">
        <v>1</v>
      </c>
      <c r="K4964" s="10">
        <v>10571</v>
      </c>
      <c r="L4964" s="3" t="str">
        <f t="shared" si="161"/>
        <v>ΣΚΛΗΡΟΣ_ΣΙΤΟΣ</v>
      </c>
    </row>
    <row r="4965" spans="1:12" s="3" customFormat="1" ht="24" x14ac:dyDescent="0.25">
      <c r="A4965" s="3" t="str">
        <f t="shared" si="160"/>
        <v>ΣΚΛΗΡΟΣ ΣΙΤΟΣΣΙΤΟΣ ΣΚΛΗΡΟΣ IS DURAPEX</v>
      </c>
      <c r="B4965" s="4" t="s">
        <v>8886</v>
      </c>
      <c r="C4965" s="5" t="s">
        <v>9429</v>
      </c>
      <c r="D4965" s="6">
        <v>517.94000000000005</v>
      </c>
      <c r="E4965" s="6">
        <v>492.2</v>
      </c>
      <c r="F4965" s="7" t="s">
        <v>14</v>
      </c>
      <c r="G4965" s="8" t="s">
        <v>9430</v>
      </c>
      <c r="H4965" s="8" t="s">
        <v>16</v>
      </c>
      <c r="I4965" s="9">
        <v>482</v>
      </c>
      <c r="J4965" s="10">
        <v>1</v>
      </c>
      <c r="K4965" s="10">
        <v>10572</v>
      </c>
      <c r="L4965" s="3" t="str">
        <f t="shared" si="161"/>
        <v>ΣΚΛΗΡΟΣ_ΣΙΤΟΣ</v>
      </c>
    </row>
    <row r="4966" spans="1:12" s="3" customFormat="1" ht="24" x14ac:dyDescent="0.25">
      <c r="A4966" s="3" t="str">
        <f t="shared" si="160"/>
        <v>ΣΚΛΗΡΟΣ ΣΙΤΟΣΣΙΤΟΣ ΣΚΛΗΡΟΣ IS KARMADUR</v>
      </c>
      <c r="B4966" s="4" t="s">
        <v>8886</v>
      </c>
      <c r="C4966" s="5" t="s">
        <v>9431</v>
      </c>
      <c r="D4966" s="6">
        <v>517.94000000000005</v>
      </c>
      <c r="E4966" s="6">
        <v>492.2</v>
      </c>
      <c r="F4966" s="7" t="s">
        <v>14</v>
      </c>
      <c r="G4966" s="8" t="s">
        <v>9432</v>
      </c>
      <c r="H4966" s="8" t="s">
        <v>16</v>
      </c>
      <c r="I4966" s="9">
        <v>481</v>
      </c>
      <c r="J4966" s="10">
        <v>1</v>
      </c>
      <c r="K4966" s="10">
        <v>10573</v>
      </c>
      <c r="L4966" s="3" t="str">
        <f t="shared" si="161"/>
        <v>ΣΚΛΗΡΟΣ_ΣΙΤΟΣ</v>
      </c>
    </row>
    <row r="4967" spans="1:12" s="3" customFormat="1" ht="24" x14ac:dyDescent="0.25">
      <c r="A4967" s="3" t="str">
        <f t="shared" si="160"/>
        <v>ΣΚΛΗΡΟΣ ΣΙΤΟΣΣΙΤΟΣ ΣΚΛΗΡΟΣ VESPUCCI</v>
      </c>
      <c r="B4967" s="4" t="s">
        <v>8886</v>
      </c>
      <c r="C4967" s="5" t="s">
        <v>9433</v>
      </c>
      <c r="D4967" s="6">
        <v>517.94000000000005</v>
      </c>
      <c r="E4967" s="6">
        <v>492.2</v>
      </c>
      <c r="F4967" s="7" t="s">
        <v>14</v>
      </c>
      <c r="G4967" s="8" t="s">
        <v>9434</v>
      </c>
      <c r="H4967" s="8" t="s">
        <v>16</v>
      </c>
      <c r="I4967" s="9">
        <v>480</v>
      </c>
      <c r="J4967" s="10">
        <v>1</v>
      </c>
      <c r="K4967" s="10">
        <v>10574</v>
      </c>
      <c r="L4967" s="3" t="str">
        <f t="shared" si="161"/>
        <v>ΣΚΛΗΡΟΣ_ΣΙΤΟΣ</v>
      </c>
    </row>
    <row r="4968" spans="1:12" s="3" customFormat="1" x14ac:dyDescent="0.25">
      <c r="A4968" s="3" t="str">
        <f t="shared" si="160"/>
        <v>ΣΚΛΗΡΟΣ ΣΙΤΟΣΣΙΤΟΣ ΣΚΛΗΡΟΣ VICKTORIYA</v>
      </c>
      <c r="B4968" s="4" t="s">
        <v>8886</v>
      </c>
      <c r="C4968" s="5" t="s">
        <v>9435</v>
      </c>
      <c r="D4968" s="6">
        <v>517.94000000000005</v>
      </c>
      <c r="E4968" s="6">
        <v>492.2</v>
      </c>
      <c r="F4968" s="7" t="s">
        <v>14</v>
      </c>
      <c r="G4968" s="8" t="s">
        <v>9436</v>
      </c>
      <c r="H4968" s="8" t="s">
        <v>27</v>
      </c>
      <c r="I4968" s="9">
        <v>479</v>
      </c>
      <c r="J4968" s="10">
        <v>1</v>
      </c>
      <c r="K4968" s="10">
        <v>10575</v>
      </c>
      <c r="L4968" s="3" t="str">
        <f t="shared" si="161"/>
        <v>ΣΚΛΗΡΟΣ_ΣΙΤΟΣ</v>
      </c>
    </row>
    <row r="4969" spans="1:12" s="3" customFormat="1" ht="24" x14ac:dyDescent="0.25">
      <c r="A4969" s="3" t="str">
        <f t="shared" si="160"/>
        <v>ΣΚΛΗΡΟΣ ΣΙΤΟΣΣΙΤΟΣ ΣΚΛΗΡΟΣ VITROSOL</v>
      </c>
      <c r="B4969" s="4" t="s">
        <v>8886</v>
      </c>
      <c r="C4969" s="5" t="s">
        <v>9437</v>
      </c>
      <c r="D4969" s="6">
        <v>517.94000000000005</v>
      </c>
      <c r="E4969" s="6">
        <v>492.2</v>
      </c>
      <c r="F4969" s="7" t="s">
        <v>14</v>
      </c>
      <c r="G4969" s="8" t="s">
        <v>9438</v>
      </c>
      <c r="H4969" s="8" t="s">
        <v>16</v>
      </c>
      <c r="I4969" s="9">
        <v>470</v>
      </c>
      <c r="J4969" s="10">
        <v>1</v>
      </c>
      <c r="K4969" s="10">
        <v>10576</v>
      </c>
      <c r="L4969" s="3" t="str">
        <f t="shared" si="161"/>
        <v>ΣΚΛΗΡΟΣ_ΣΙΤΟΣ</v>
      </c>
    </row>
    <row r="4970" spans="1:12" s="3" customFormat="1" ht="24" x14ac:dyDescent="0.25">
      <c r="A4970" s="3" t="str">
        <f t="shared" si="160"/>
        <v>ΣΚΛΗΡΟΣ ΣΙΤΟΣΣΙΤΟΣ ΣΚΛΗΡΟΣ VULCI</v>
      </c>
      <c r="B4970" s="4" t="s">
        <v>8886</v>
      </c>
      <c r="C4970" s="5" t="s">
        <v>9439</v>
      </c>
      <c r="D4970" s="6">
        <v>517.94000000000005</v>
      </c>
      <c r="E4970" s="6">
        <v>492.2</v>
      </c>
      <c r="F4970" s="7" t="s">
        <v>14</v>
      </c>
      <c r="G4970" s="8" t="s">
        <v>9440</v>
      </c>
      <c r="H4970" s="8" t="s">
        <v>16</v>
      </c>
      <c r="I4970" s="9">
        <v>477</v>
      </c>
      <c r="J4970" s="10">
        <v>1</v>
      </c>
      <c r="K4970" s="10">
        <v>10577</v>
      </c>
      <c r="L4970" s="3" t="str">
        <f t="shared" si="161"/>
        <v>ΣΚΛΗΡΟΣ_ΣΙΤΟΣ</v>
      </c>
    </row>
    <row r="4971" spans="1:12" s="3" customFormat="1" ht="24" x14ac:dyDescent="0.25">
      <c r="A4971" s="3" t="str">
        <f t="shared" si="160"/>
        <v>ΣΚΛΗΡΟΣ ΣΙΤΟΣΣΙΤΟΣ ΣΚΛΗΡΟΣ WINTERGOLD</v>
      </c>
      <c r="B4971" s="4" t="s">
        <v>8886</v>
      </c>
      <c r="C4971" s="5" t="s">
        <v>9441</v>
      </c>
      <c r="D4971" s="6">
        <v>517.94000000000005</v>
      </c>
      <c r="E4971" s="6">
        <v>492.2</v>
      </c>
      <c r="F4971" s="7" t="s">
        <v>14</v>
      </c>
      <c r="G4971" s="8" t="s">
        <v>9442</v>
      </c>
      <c r="H4971" s="8" t="s">
        <v>16</v>
      </c>
      <c r="I4971" s="9">
        <v>485</v>
      </c>
      <c r="J4971" s="10">
        <v>1</v>
      </c>
      <c r="K4971" s="10">
        <v>10578</v>
      </c>
      <c r="L4971" s="3" t="str">
        <f t="shared" si="161"/>
        <v>ΣΚΛΗΡΟΣ_ΣΙΤΟΣ</v>
      </c>
    </row>
    <row r="4972" spans="1:12" s="3" customFormat="1" x14ac:dyDescent="0.25">
      <c r="A4972" s="3" t="str">
        <f t="shared" si="160"/>
        <v>ΣΚΛΗΡΟΣ ΣΙΤΟΣΣΙΤΟΣ ΣΚΛΗΡΟΣ YAVAROS C79 (=NUNO)</v>
      </c>
      <c r="B4972" s="4" t="s">
        <v>8886</v>
      </c>
      <c r="C4972" s="5" t="s">
        <v>9443</v>
      </c>
      <c r="D4972" s="6">
        <v>517.94000000000005</v>
      </c>
      <c r="E4972" s="6">
        <v>492.2</v>
      </c>
      <c r="F4972" s="7" t="s">
        <v>14</v>
      </c>
      <c r="G4972" s="8" t="s">
        <v>9444</v>
      </c>
      <c r="H4972" s="8" t="s">
        <v>27</v>
      </c>
      <c r="I4972" s="9">
        <v>475</v>
      </c>
      <c r="J4972" s="10">
        <v>1</v>
      </c>
      <c r="K4972" s="10">
        <v>10579</v>
      </c>
      <c r="L4972" s="3" t="str">
        <f t="shared" si="161"/>
        <v>ΣΚΛΗΡΟΣ_ΣΙΤΟΣ</v>
      </c>
    </row>
    <row r="4973" spans="1:12" s="3" customFormat="1" ht="24" x14ac:dyDescent="0.25">
      <c r="A4973" s="3" t="str">
        <f t="shared" si="160"/>
        <v>ΣΚΛΗΡΟΣ ΣΙΤΟΣΣΙΤΟΣ ΣΚΛΗΡΟΣ YELODUR</v>
      </c>
      <c r="B4973" s="4" t="s">
        <v>8886</v>
      </c>
      <c r="C4973" s="5" t="s">
        <v>9445</v>
      </c>
      <c r="D4973" s="6">
        <v>517.94000000000005</v>
      </c>
      <c r="E4973" s="6">
        <v>492.2</v>
      </c>
      <c r="F4973" s="7" t="s">
        <v>14</v>
      </c>
      <c r="G4973" s="8" t="s">
        <v>9446</v>
      </c>
      <c r="H4973" s="8" t="s">
        <v>16</v>
      </c>
      <c r="I4973" s="9">
        <v>474</v>
      </c>
      <c r="J4973" s="10">
        <v>1</v>
      </c>
      <c r="K4973" s="10">
        <v>10580</v>
      </c>
      <c r="L4973" s="3" t="str">
        <f t="shared" si="161"/>
        <v>ΣΚΛΗΡΟΣ_ΣΙΤΟΣ</v>
      </c>
    </row>
    <row r="4974" spans="1:12" s="3" customFormat="1" ht="24" x14ac:dyDescent="0.25">
      <c r="A4974" s="3" t="str">
        <f t="shared" si="160"/>
        <v>ΣΚΛΗΡΟΣ ΣΙΤΟΣΣΙΤΟΣ ΣΚΛΗΡΟΣ ZETAE</v>
      </c>
      <c r="B4974" s="4" t="s">
        <v>8886</v>
      </c>
      <c r="C4974" s="5" t="s">
        <v>9447</v>
      </c>
      <c r="D4974" s="6">
        <v>517.94000000000005</v>
      </c>
      <c r="E4974" s="6">
        <v>492.2</v>
      </c>
      <c r="F4974" s="7" t="s">
        <v>14</v>
      </c>
      <c r="G4974" s="8" t="s">
        <v>9448</v>
      </c>
      <c r="H4974" s="8" t="s">
        <v>16</v>
      </c>
      <c r="I4974" s="9">
        <v>473</v>
      </c>
      <c r="J4974" s="10">
        <v>1</v>
      </c>
      <c r="K4974" s="10">
        <v>10581</v>
      </c>
      <c r="L4974" s="3" t="str">
        <f t="shared" si="161"/>
        <v>ΣΚΛΗΡΟΣ_ΣΙΤΟΣ</v>
      </c>
    </row>
    <row r="4975" spans="1:12" s="3" customFormat="1" ht="24" x14ac:dyDescent="0.25">
      <c r="A4975" s="3" t="str">
        <f t="shared" si="160"/>
        <v>ΣΚΛΗΡΟΣ ΣΙΤΟΣΣΙΤΟΣ ΣΚΛΗΡΟΣ ZOI</v>
      </c>
      <c r="B4975" s="4" t="s">
        <v>8886</v>
      </c>
      <c r="C4975" s="5" t="s">
        <v>9449</v>
      </c>
      <c r="D4975" s="6">
        <v>517.94000000000005</v>
      </c>
      <c r="E4975" s="6">
        <v>492.2</v>
      </c>
      <c r="F4975" s="7" t="s">
        <v>14</v>
      </c>
      <c r="G4975" s="8" t="s">
        <v>9450</v>
      </c>
      <c r="H4975" s="8" t="s">
        <v>16</v>
      </c>
      <c r="I4975" s="9">
        <v>472</v>
      </c>
      <c r="J4975" s="10">
        <v>1</v>
      </c>
      <c r="K4975" s="10">
        <v>10582</v>
      </c>
      <c r="L4975" s="3" t="str">
        <f t="shared" si="161"/>
        <v>ΣΚΛΗΡΟΣ_ΣΙΤΟΣ</v>
      </c>
    </row>
    <row r="4976" spans="1:12" s="3" customFormat="1" ht="24" x14ac:dyDescent="0.25">
      <c r="A4976" s="3" t="str">
        <f t="shared" si="160"/>
        <v>ΣΚΛΗΡΟΣ ΣΙΤΟΣΣΙΤΟΣ ΣΚΛΗΡΟΣ CLOVIS</v>
      </c>
      <c r="B4976" s="4" t="s">
        <v>8886</v>
      </c>
      <c r="C4976" s="5" t="s">
        <v>9451</v>
      </c>
      <c r="D4976" s="6">
        <v>517.94000000000005</v>
      </c>
      <c r="E4976" s="6">
        <v>492.2</v>
      </c>
      <c r="F4976" s="7" t="s">
        <v>14</v>
      </c>
      <c r="G4976" s="8" t="s">
        <v>9452</v>
      </c>
      <c r="H4976" s="8" t="s">
        <v>16</v>
      </c>
      <c r="I4976" s="9">
        <v>370</v>
      </c>
      <c r="J4976" s="10">
        <v>1</v>
      </c>
      <c r="K4976" s="10">
        <v>10583</v>
      </c>
      <c r="L4976" s="3" t="str">
        <f t="shared" si="161"/>
        <v>ΣΚΛΗΡΟΣ_ΣΙΤΟΣ</v>
      </c>
    </row>
    <row r="4977" spans="1:12" s="3" customFormat="1" ht="24" x14ac:dyDescent="0.25">
      <c r="A4977" s="3" t="str">
        <f t="shared" si="160"/>
        <v>ΣΚΛΗΡΟΣ ΣΙΤΟΣΣΙΤΟΣ ΣΚΛΗΡΟΣ HOMER</v>
      </c>
      <c r="B4977" s="4" t="s">
        <v>8886</v>
      </c>
      <c r="C4977" s="5" t="s">
        <v>9453</v>
      </c>
      <c r="D4977" s="6">
        <v>517.94000000000005</v>
      </c>
      <c r="E4977" s="6">
        <v>492.2</v>
      </c>
      <c r="F4977" s="7" t="s">
        <v>14</v>
      </c>
      <c r="G4977" s="8" t="s">
        <v>9454</v>
      </c>
      <c r="H4977" s="8" t="s">
        <v>16</v>
      </c>
      <c r="I4977" s="9">
        <v>503</v>
      </c>
      <c r="J4977" s="10">
        <v>1</v>
      </c>
      <c r="K4977" s="10">
        <v>10584</v>
      </c>
      <c r="L4977" s="3" t="str">
        <f t="shared" si="161"/>
        <v>ΣΚΛΗΡΟΣ_ΣΙΤΟΣ</v>
      </c>
    </row>
    <row r="4978" spans="1:12" s="3" customFormat="1" ht="24" x14ac:dyDescent="0.25">
      <c r="A4978" s="3" t="str">
        <f t="shared" si="160"/>
        <v>ΣΚΛΗΡΟΣ ΣΙΤΟΣΣΙΤΟΣ ΣΚΛΗΡΟΣ CALCAS</v>
      </c>
      <c r="B4978" s="4" t="s">
        <v>8886</v>
      </c>
      <c r="C4978" s="5" t="s">
        <v>9455</v>
      </c>
      <c r="D4978" s="6">
        <v>517.94000000000005</v>
      </c>
      <c r="E4978" s="6">
        <v>492.2</v>
      </c>
      <c r="F4978" s="7" t="s">
        <v>14</v>
      </c>
      <c r="G4978" s="8" t="s">
        <v>9456</v>
      </c>
      <c r="H4978" s="8" t="s">
        <v>16</v>
      </c>
      <c r="I4978" s="9">
        <v>406</v>
      </c>
      <c r="J4978" s="10">
        <v>1</v>
      </c>
      <c r="K4978" s="10">
        <v>10585</v>
      </c>
      <c r="L4978" s="3" t="str">
        <f t="shared" si="161"/>
        <v>ΣΚΛΗΡΟΣ_ΣΙΤΟΣ</v>
      </c>
    </row>
    <row r="4979" spans="1:12" s="3" customFormat="1" ht="24" x14ac:dyDescent="0.25">
      <c r="A4979" s="3" t="str">
        <f t="shared" si="160"/>
        <v>ΣΚΛΗΡΟΣ ΣΙΤΟΣΣΙΤΟΣ ΣΚΛΗΡΟΣ CICLOPE</v>
      </c>
      <c r="B4979" s="4" t="s">
        <v>8886</v>
      </c>
      <c r="C4979" s="5" t="s">
        <v>9457</v>
      </c>
      <c r="D4979" s="6">
        <v>517.94000000000005</v>
      </c>
      <c r="E4979" s="6">
        <v>492.2</v>
      </c>
      <c r="F4979" s="7" t="s">
        <v>14</v>
      </c>
      <c r="G4979" s="8" t="s">
        <v>9458</v>
      </c>
      <c r="H4979" s="8" t="s">
        <v>16</v>
      </c>
      <c r="I4979" s="9">
        <v>306</v>
      </c>
      <c r="J4979" s="10">
        <v>1</v>
      </c>
      <c r="K4979" s="10">
        <v>10586</v>
      </c>
      <c r="L4979" s="3" t="str">
        <f t="shared" si="161"/>
        <v>ΣΚΛΗΡΟΣ_ΣΙΤΟΣ</v>
      </c>
    </row>
    <row r="4980" spans="1:12" s="3" customFormat="1" ht="24" x14ac:dyDescent="0.25">
      <c r="A4980" s="3" t="str">
        <f t="shared" si="160"/>
        <v>ΣΚΛΗΡΟΣ ΣΙΤΟΣΣΙΤΟΣ ΣΚΛΗΡΟΣ COSMOSTAR</v>
      </c>
      <c r="B4980" s="4" t="s">
        <v>8886</v>
      </c>
      <c r="C4980" s="5" t="s">
        <v>9459</v>
      </c>
      <c r="D4980" s="6">
        <v>517.94000000000005</v>
      </c>
      <c r="E4980" s="6">
        <v>492.2</v>
      </c>
      <c r="F4980" s="7" t="s">
        <v>14</v>
      </c>
      <c r="G4980" s="8" t="s">
        <v>9460</v>
      </c>
      <c r="H4980" s="8" t="s">
        <v>16</v>
      </c>
      <c r="I4980" s="9">
        <v>305</v>
      </c>
      <c r="J4980" s="10">
        <v>1</v>
      </c>
      <c r="K4980" s="10">
        <v>10587</v>
      </c>
      <c r="L4980" s="3" t="str">
        <f t="shared" si="161"/>
        <v>ΣΚΛΗΡΟΣ_ΣΙΤΟΣ</v>
      </c>
    </row>
    <row r="4981" spans="1:12" s="3" customFormat="1" ht="24" x14ac:dyDescent="0.25">
      <c r="A4981" s="3" t="str">
        <f t="shared" si="160"/>
        <v>ΣΚΛΗΡΟΣ ΣΙΤΟΣΣΙΤΟΣ ΣΚΛΗΡΟΣ DOMIZIANO</v>
      </c>
      <c r="B4981" s="4" t="s">
        <v>8886</v>
      </c>
      <c r="C4981" s="5" t="s">
        <v>9461</v>
      </c>
      <c r="D4981" s="6">
        <v>517.94000000000005</v>
      </c>
      <c r="E4981" s="6">
        <v>492.2</v>
      </c>
      <c r="F4981" s="7" t="s">
        <v>14</v>
      </c>
      <c r="G4981" s="8" t="s">
        <v>9462</v>
      </c>
      <c r="H4981" s="8" t="s">
        <v>16</v>
      </c>
      <c r="I4981" s="9">
        <v>304</v>
      </c>
      <c r="J4981" s="10">
        <v>1</v>
      </c>
      <c r="K4981" s="10">
        <v>10588</v>
      </c>
      <c r="L4981" s="3" t="str">
        <f t="shared" si="161"/>
        <v>ΣΚΛΗΡΟΣ_ΣΙΤΟΣ</v>
      </c>
    </row>
    <row r="4982" spans="1:12" s="3" customFormat="1" ht="24" x14ac:dyDescent="0.25">
      <c r="A4982" s="3" t="str">
        <f t="shared" si="160"/>
        <v>ΣΚΛΗΡΟΣ ΣΙΤΟΣΣΙΤΟΣ ΣΚΛΗΡΟΣ GAMEX</v>
      </c>
      <c r="B4982" s="4" t="s">
        <v>8886</v>
      </c>
      <c r="C4982" s="5" t="s">
        <v>9463</v>
      </c>
      <c r="D4982" s="6">
        <v>517.94000000000005</v>
      </c>
      <c r="E4982" s="6">
        <v>492.2</v>
      </c>
      <c r="F4982" s="7" t="s">
        <v>14</v>
      </c>
      <c r="G4982" s="8" t="s">
        <v>9464</v>
      </c>
      <c r="H4982" s="8" t="s">
        <v>16</v>
      </c>
      <c r="I4982" s="9">
        <v>303</v>
      </c>
      <c r="J4982" s="10">
        <v>1</v>
      </c>
      <c r="K4982" s="10">
        <v>10589</v>
      </c>
      <c r="L4982" s="3" t="str">
        <f t="shared" si="161"/>
        <v>ΣΚΛΗΡΟΣ_ΣΙΤΟΣ</v>
      </c>
    </row>
    <row r="4983" spans="1:12" s="3" customFormat="1" x14ac:dyDescent="0.25">
      <c r="A4983" s="3" t="str">
        <f t="shared" si="160"/>
        <v>ΣΚΛΗΡΟΣ ΣΙΤΟΣΣΙΤΟΣ ΣΚΛΗΡΟΣ AKENATON</v>
      </c>
      <c r="B4983" s="18" t="s">
        <v>8886</v>
      </c>
      <c r="C4983" s="19" t="s">
        <v>9465</v>
      </c>
      <c r="D4983" s="6">
        <v>517.94000000000005</v>
      </c>
      <c r="E4983" s="6">
        <v>492.2</v>
      </c>
      <c r="F4983" s="6" t="s">
        <v>14</v>
      </c>
      <c r="G4983" s="8" t="s">
        <v>9466</v>
      </c>
      <c r="H4983" s="8" t="s">
        <v>27</v>
      </c>
      <c r="I4983" s="9">
        <v>4418</v>
      </c>
      <c r="J4983" s="20">
        <v>1</v>
      </c>
      <c r="K4983" s="20">
        <v>10590</v>
      </c>
      <c r="L4983" s="3" t="str">
        <f t="shared" si="161"/>
        <v>ΣΚΛΗΡΟΣ_ΣΙΤΟΣ</v>
      </c>
    </row>
    <row r="4984" spans="1:12" s="3" customFormat="1" x14ac:dyDescent="0.25">
      <c r="A4984" s="3" t="str">
        <f t="shared" si="160"/>
        <v>ΣΚΛΗΡΟΣ ΣΙΤΟΣΣΙΤΟΣ ΣΚΛΗΡΟΣ KHETI</v>
      </c>
      <c r="B4984" s="18" t="s">
        <v>8886</v>
      </c>
      <c r="C4984" s="19" t="s">
        <v>9467</v>
      </c>
      <c r="D4984" s="6">
        <v>517.94000000000005</v>
      </c>
      <c r="E4984" s="6">
        <v>492.2</v>
      </c>
      <c r="F4984" s="6" t="s">
        <v>14</v>
      </c>
      <c r="G4984" s="8" t="s">
        <v>9468</v>
      </c>
      <c r="H4984" s="8" t="s">
        <v>27</v>
      </c>
      <c r="I4984" s="9">
        <v>4419</v>
      </c>
      <c r="J4984" s="20">
        <v>1</v>
      </c>
      <c r="K4984" s="20">
        <v>10591</v>
      </c>
      <c r="L4984" s="3" t="str">
        <f t="shared" si="161"/>
        <v>ΣΚΛΗΡΟΣ_ΣΙΤΟΣ</v>
      </c>
    </row>
    <row r="4985" spans="1:12" s="3" customFormat="1" x14ac:dyDescent="0.25">
      <c r="A4985" s="3" t="str">
        <f t="shared" si="160"/>
        <v>ΣΚΛΗΡΟΣ ΣΙΤΟΣΣΙΤΟΣ ΣΚΛΗΡΟΣ TORRESE</v>
      </c>
      <c r="B4985" s="18" t="s">
        <v>8886</v>
      </c>
      <c r="C4985" s="19" t="s">
        <v>9469</v>
      </c>
      <c r="D4985" s="6">
        <v>517.94000000000005</v>
      </c>
      <c r="E4985" s="6">
        <v>492.2</v>
      </c>
      <c r="F4985" s="6" t="s">
        <v>14</v>
      </c>
      <c r="G4985" s="8" t="s">
        <v>9470</v>
      </c>
      <c r="H4985" s="8" t="s">
        <v>27</v>
      </c>
      <c r="I4985" s="9">
        <v>4420</v>
      </c>
      <c r="J4985" s="20">
        <v>1</v>
      </c>
      <c r="K4985" s="20">
        <v>10592</v>
      </c>
      <c r="L4985" s="3" t="str">
        <f t="shared" si="161"/>
        <v>ΣΚΛΗΡΟΣ_ΣΙΤΟΣ</v>
      </c>
    </row>
    <row r="4986" spans="1:12" s="3" customFormat="1" ht="24" x14ac:dyDescent="0.25">
      <c r="A4986" s="3" t="str">
        <f t="shared" si="160"/>
        <v>ΣΚΛΗΡΟΣ ΣΙΤΟΣΣΙΤΟΣ ΣΚΛΗΡΟΣ RGT IZALMUR</v>
      </c>
      <c r="B4986" s="4" t="s">
        <v>8886</v>
      </c>
      <c r="C4986" s="5" t="s">
        <v>9471</v>
      </c>
      <c r="D4986" s="6">
        <v>517.94000000000005</v>
      </c>
      <c r="E4986" s="6">
        <v>492.2</v>
      </c>
      <c r="F4986" s="7" t="s">
        <v>14</v>
      </c>
      <c r="G4986" s="8" t="s">
        <v>9472</v>
      </c>
      <c r="H4986" s="8" t="s">
        <v>16</v>
      </c>
      <c r="I4986" s="9">
        <v>302</v>
      </c>
      <c r="J4986" s="10">
        <v>1</v>
      </c>
      <c r="K4986" s="10">
        <v>10593</v>
      </c>
      <c r="L4986" s="3" t="str">
        <f t="shared" si="161"/>
        <v>ΣΚΛΗΡΟΣ_ΣΙΤΟΣ</v>
      </c>
    </row>
    <row r="4987" spans="1:12" s="3" customFormat="1" ht="24" x14ac:dyDescent="0.25">
      <c r="A4987" s="3" t="str">
        <f t="shared" si="160"/>
        <v>ΣΚΛΗΡΟΣ ΣΙΤΟΣΣΙΤΟΣ ΣΚΛΗΡΟΣ SOLEA</v>
      </c>
      <c r="B4987" s="4" t="s">
        <v>8886</v>
      </c>
      <c r="C4987" s="5" t="s">
        <v>9473</v>
      </c>
      <c r="D4987" s="6">
        <v>517.94000000000005</v>
      </c>
      <c r="E4987" s="6">
        <v>492.2</v>
      </c>
      <c r="F4987" s="7" t="s">
        <v>14</v>
      </c>
      <c r="G4987" s="8" t="s">
        <v>9474</v>
      </c>
      <c r="H4987" s="8" t="s">
        <v>16</v>
      </c>
      <c r="I4987" s="9">
        <v>301</v>
      </c>
      <c r="J4987" s="10">
        <v>1</v>
      </c>
      <c r="K4987" s="10">
        <v>10594</v>
      </c>
      <c r="L4987" s="3" t="str">
        <f t="shared" si="161"/>
        <v>ΣΚΛΗΡΟΣ_ΣΙΤΟΣ</v>
      </c>
    </row>
    <row r="4988" spans="1:12" s="3" customFormat="1" x14ac:dyDescent="0.25">
      <c r="A4988" s="3" t="str">
        <f t="shared" si="160"/>
        <v>ΣΚΛΗΡΟΣ ΣΙΤΟΣΣΙΤΟΣ ΣΚΛΗΡΟΣ GIGADUR</v>
      </c>
      <c r="B4988" s="18" t="s">
        <v>8886</v>
      </c>
      <c r="C4988" s="19" t="s">
        <v>9475</v>
      </c>
      <c r="D4988" s="6">
        <v>517.94000000000005</v>
      </c>
      <c r="E4988" s="6">
        <v>492.2</v>
      </c>
      <c r="F4988" s="6" t="s">
        <v>14</v>
      </c>
      <c r="G4988" s="8" t="s">
        <v>9476</v>
      </c>
      <c r="H4988" s="8" t="s">
        <v>27</v>
      </c>
      <c r="I4988" s="9">
        <v>4421</v>
      </c>
      <c r="J4988" s="20">
        <v>1</v>
      </c>
      <c r="K4988" s="20">
        <v>10595</v>
      </c>
      <c r="L4988" s="3" t="str">
        <f t="shared" si="161"/>
        <v>ΣΚΛΗΡΟΣ_ΣΙΤΟΣ</v>
      </c>
    </row>
    <row r="4989" spans="1:12" s="3" customFormat="1" ht="24" x14ac:dyDescent="0.25">
      <c r="A4989" s="3" t="str">
        <f t="shared" si="160"/>
        <v>ΣΚΛΗΡΟΣ ΣΙΤΟΣΣΙΤΟΣ ΣΚΛΗΡΟΣ HEKABE</v>
      </c>
      <c r="B4989" s="4" t="s">
        <v>8886</v>
      </c>
      <c r="C4989" s="5" t="s">
        <v>9477</v>
      </c>
      <c r="D4989" s="6">
        <v>517.94000000000005</v>
      </c>
      <c r="E4989" s="6">
        <v>492.2</v>
      </c>
      <c r="F4989" s="7" t="s">
        <v>14</v>
      </c>
      <c r="G4989" s="8" t="s">
        <v>9478</v>
      </c>
      <c r="H4989" s="8" t="s">
        <v>16</v>
      </c>
      <c r="I4989" s="9">
        <v>292</v>
      </c>
      <c r="J4989" s="10">
        <v>1</v>
      </c>
      <c r="K4989" s="10">
        <v>10596</v>
      </c>
      <c r="L4989" s="3" t="str">
        <f t="shared" si="161"/>
        <v>ΣΚΛΗΡΟΣ_ΣΙΤΟΣ</v>
      </c>
    </row>
    <row r="4990" spans="1:12" s="3" customFormat="1" x14ac:dyDescent="0.25">
      <c r="A4990" s="3" t="str">
        <f t="shared" si="160"/>
        <v>ΣΚΛΗΡΟΣ ΣΙΤΟΣΣΙΤΟΣ ΣΚΛΗΡΟΣ ZVEZDITSA</v>
      </c>
      <c r="B4990" s="4" t="s">
        <v>8886</v>
      </c>
      <c r="C4990" s="5" t="s">
        <v>9479</v>
      </c>
      <c r="D4990" s="6">
        <v>517.94000000000005</v>
      </c>
      <c r="E4990" s="6">
        <v>492.2</v>
      </c>
      <c r="F4990" s="7" t="s">
        <v>14</v>
      </c>
      <c r="G4990" s="8" t="s">
        <v>9480</v>
      </c>
      <c r="H4990" s="8" t="s">
        <v>27</v>
      </c>
      <c r="I4990" s="9">
        <v>299</v>
      </c>
      <c r="J4990" s="10">
        <v>1</v>
      </c>
      <c r="K4990" s="10">
        <v>10597</v>
      </c>
      <c r="L4990" s="3" t="str">
        <f t="shared" si="161"/>
        <v>ΣΚΛΗΡΟΣ_ΣΙΤΟΣ</v>
      </c>
    </row>
    <row r="4991" spans="1:12" s="3" customFormat="1" ht="24" x14ac:dyDescent="0.25">
      <c r="A4991" s="3" t="str">
        <f t="shared" si="160"/>
        <v>ΣΚΛΗΡΟΣ ΣΙΤΟΣΣΙΤΟΣ ΣΚΛΗΡΟΣ ASTERIX</v>
      </c>
      <c r="B4991" s="4" t="s">
        <v>8886</v>
      </c>
      <c r="C4991" s="5" t="s">
        <v>9481</v>
      </c>
      <c r="D4991" s="6">
        <v>517.94000000000005</v>
      </c>
      <c r="E4991" s="6">
        <v>492.2</v>
      </c>
      <c r="F4991" s="7" t="s">
        <v>14</v>
      </c>
      <c r="G4991" s="8" t="s">
        <v>9482</v>
      </c>
      <c r="H4991" s="8" t="s">
        <v>16</v>
      </c>
      <c r="I4991" s="9">
        <v>307</v>
      </c>
      <c r="J4991" s="10">
        <v>1</v>
      </c>
      <c r="K4991" s="10">
        <v>10598</v>
      </c>
      <c r="L4991" s="3" t="str">
        <f t="shared" si="161"/>
        <v>ΣΚΛΗΡΟΣ_ΣΙΤΟΣ</v>
      </c>
    </row>
    <row r="4992" spans="1:12" s="3" customFormat="1" ht="24" x14ac:dyDescent="0.25">
      <c r="A4992" s="3" t="str">
        <f t="shared" si="160"/>
        <v>ΣΚΛΗΡΟΣ ΣΙΤΟΣΣΙΤΟΣ ΣΚΛΗΡΟΣ PORTOFINO</v>
      </c>
      <c r="B4992" s="4" t="s">
        <v>8886</v>
      </c>
      <c r="C4992" s="5" t="s">
        <v>9483</v>
      </c>
      <c r="D4992" s="6">
        <v>517.94000000000005</v>
      </c>
      <c r="E4992" s="6">
        <v>492.2</v>
      </c>
      <c r="F4992" s="7" t="s">
        <v>14</v>
      </c>
      <c r="G4992" s="8" t="s">
        <v>9484</v>
      </c>
      <c r="H4992" s="8" t="s">
        <v>16</v>
      </c>
      <c r="I4992" s="9">
        <v>297</v>
      </c>
      <c r="J4992" s="10">
        <v>1</v>
      </c>
      <c r="K4992" s="10">
        <v>10599</v>
      </c>
      <c r="L4992" s="3" t="str">
        <f t="shared" si="161"/>
        <v>ΣΚΛΗΡΟΣ_ΣΙΤΟΣ</v>
      </c>
    </row>
    <row r="4993" spans="1:12" s="3" customFormat="1" ht="24" x14ac:dyDescent="0.25">
      <c r="A4993" s="3" t="str">
        <f t="shared" si="160"/>
        <v>ΣΚΛΗΡΟΣ ΣΙΤΟΣΣΙΤΟΣ ΣΚΛΗΡΟΣ MIRELA</v>
      </c>
      <c r="B4993" s="4" t="s">
        <v>8886</v>
      </c>
      <c r="C4993" s="5" t="s">
        <v>9485</v>
      </c>
      <c r="D4993" s="6">
        <v>517.94000000000005</v>
      </c>
      <c r="E4993" s="6">
        <v>492.2</v>
      </c>
      <c r="F4993" s="7" t="s">
        <v>14</v>
      </c>
      <c r="G4993" s="8" t="s">
        <v>9486</v>
      </c>
      <c r="H4993" s="8" t="s">
        <v>16</v>
      </c>
      <c r="I4993" s="9">
        <v>296</v>
      </c>
      <c r="J4993" s="10">
        <v>1</v>
      </c>
      <c r="K4993" s="10">
        <v>10600</v>
      </c>
      <c r="L4993" s="3" t="str">
        <f t="shared" si="161"/>
        <v>ΣΚΛΗΡΟΣ_ΣΙΤΟΣ</v>
      </c>
    </row>
    <row r="4994" spans="1:12" s="3" customFormat="1" ht="24" x14ac:dyDescent="0.25">
      <c r="A4994" s="3" t="str">
        <f t="shared" si="160"/>
        <v>ΣΚΛΗΡΟΣ ΣΙΤΟΣΣΙΤΟΣ ΣΚΛΗΡΟΣ ANETO</v>
      </c>
      <c r="B4994" s="4" t="s">
        <v>8886</v>
      </c>
      <c r="C4994" s="5" t="s">
        <v>9487</v>
      </c>
      <c r="D4994" s="6">
        <v>517.94000000000005</v>
      </c>
      <c r="E4994" s="6">
        <v>492.2</v>
      </c>
      <c r="F4994" s="7" t="s">
        <v>14</v>
      </c>
      <c r="G4994" s="8" t="s">
        <v>9488</v>
      </c>
      <c r="H4994" s="8" t="s">
        <v>16</v>
      </c>
      <c r="I4994" s="9">
        <v>295</v>
      </c>
      <c r="J4994" s="10">
        <v>1</v>
      </c>
      <c r="K4994" s="10">
        <v>10602</v>
      </c>
      <c r="L4994" s="3" t="str">
        <f t="shared" si="161"/>
        <v>ΣΚΛΗΡΟΣ_ΣΙΤΟΣ</v>
      </c>
    </row>
    <row r="4995" spans="1:12" s="3" customFormat="1" ht="24" x14ac:dyDescent="0.25">
      <c r="A4995" s="3" t="str">
        <f t="shared" ref="A4995:A5058" si="162">_xlfn.CONCAT(B4995,C4995)</f>
        <v>ΣΚΛΗΡΟΣ ΣΙΤΟΣΣΙΤΟΣ ΣΚΛΗΡΟΣ CABOTO</v>
      </c>
      <c r="B4995" s="4" t="s">
        <v>8886</v>
      </c>
      <c r="C4995" s="5" t="s">
        <v>9489</v>
      </c>
      <c r="D4995" s="6">
        <v>517.94000000000005</v>
      </c>
      <c r="E4995" s="6">
        <v>492.2</v>
      </c>
      <c r="F4995" s="7" t="s">
        <v>14</v>
      </c>
      <c r="G4995" s="8" t="s">
        <v>9490</v>
      </c>
      <c r="H4995" s="8" t="s">
        <v>16</v>
      </c>
      <c r="I4995" s="9">
        <v>294</v>
      </c>
      <c r="J4995" s="10">
        <v>1</v>
      </c>
      <c r="K4995" s="10">
        <v>10603</v>
      </c>
      <c r="L4995" s="3" t="str">
        <f t="shared" ref="L4995:L5058" si="163">IFERROR(SUBSTITUTE(SUBSTITUTE(SUBSTITUTE(SUBSTITUTE(SUBSTITUTE(B4995, "-", "_"), " ", "_"), ",", ""), "(", ""), ")", ""), B4995)</f>
        <v>ΣΚΛΗΡΟΣ_ΣΙΤΟΣ</v>
      </c>
    </row>
    <row r="4996" spans="1:12" s="3" customFormat="1" ht="24" x14ac:dyDescent="0.25">
      <c r="A4996" s="3" t="str">
        <f t="shared" si="162"/>
        <v>ΣΚΛΗΡΟΣ ΣΙΤΟΣΣΙΤΟΣ ΣΚΛΗΡΟΣ CARATO</v>
      </c>
      <c r="B4996" s="4" t="s">
        <v>8886</v>
      </c>
      <c r="C4996" s="5" t="s">
        <v>9491</v>
      </c>
      <c r="D4996" s="6">
        <v>517.94000000000005</v>
      </c>
      <c r="E4996" s="6">
        <v>492.2</v>
      </c>
      <c r="F4996" s="7" t="s">
        <v>14</v>
      </c>
      <c r="G4996" s="8" t="s">
        <v>9492</v>
      </c>
      <c r="H4996" s="8" t="s">
        <v>16</v>
      </c>
      <c r="I4996" s="9">
        <v>314</v>
      </c>
      <c r="J4996" s="10">
        <v>1</v>
      </c>
      <c r="K4996" s="10">
        <v>10604</v>
      </c>
      <c r="L4996" s="3" t="str">
        <f t="shared" si="163"/>
        <v>ΣΚΛΗΡΟΣ_ΣΙΤΟΣ</v>
      </c>
    </row>
    <row r="4997" spans="1:12" s="3" customFormat="1" ht="24" x14ac:dyDescent="0.25">
      <c r="A4997" s="3" t="str">
        <f t="shared" si="162"/>
        <v>ΣΚΛΗΡΟΣ ΣΙΤΟΣΣΙΤΟΣ ΣΚΛΗΡΟΣ CERES</v>
      </c>
      <c r="B4997" s="4" t="s">
        <v>8886</v>
      </c>
      <c r="C4997" s="5" t="s">
        <v>9493</v>
      </c>
      <c r="D4997" s="6">
        <v>517.94000000000005</v>
      </c>
      <c r="E4997" s="6">
        <v>492.2</v>
      </c>
      <c r="F4997" s="7" t="s">
        <v>14</v>
      </c>
      <c r="G4997" s="8" t="s">
        <v>9494</v>
      </c>
      <c r="H4997" s="8" t="s">
        <v>16</v>
      </c>
      <c r="I4997" s="9">
        <v>298</v>
      </c>
      <c r="J4997" s="10">
        <v>1</v>
      </c>
      <c r="K4997" s="10">
        <v>10605</v>
      </c>
      <c r="L4997" s="3" t="str">
        <f t="shared" si="163"/>
        <v>ΣΚΛΗΡΟΣ_ΣΙΤΟΣ</v>
      </c>
    </row>
    <row r="4998" spans="1:12" s="3" customFormat="1" ht="24" x14ac:dyDescent="0.25">
      <c r="A4998" s="3" t="str">
        <f t="shared" si="162"/>
        <v>ΣΚΛΗΡΟΣ ΣΙΤΟΣΣΙΤΟΣ ΣΚΛΗΡΟΣ CORDOUE</v>
      </c>
      <c r="B4998" s="4" t="s">
        <v>8886</v>
      </c>
      <c r="C4998" s="5" t="s">
        <v>9495</v>
      </c>
      <c r="D4998" s="6">
        <v>517.94000000000005</v>
      </c>
      <c r="E4998" s="6">
        <v>492.2</v>
      </c>
      <c r="F4998" s="7" t="s">
        <v>14</v>
      </c>
      <c r="G4998" s="8" t="s">
        <v>9496</v>
      </c>
      <c r="H4998" s="8" t="s">
        <v>16</v>
      </c>
      <c r="I4998" s="9">
        <v>300</v>
      </c>
      <c r="J4998" s="10">
        <v>1</v>
      </c>
      <c r="K4998" s="10">
        <v>10606</v>
      </c>
      <c r="L4998" s="3" t="str">
        <f t="shared" si="163"/>
        <v>ΣΚΛΗΡΟΣ_ΣΙΤΟΣ</v>
      </c>
    </row>
    <row r="4999" spans="1:12" s="3" customFormat="1" ht="24" x14ac:dyDescent="0.25">
      <c r="A4999" s="3" t="str">
        <f t="shared" si="162"/>
        <v>ΣΚΛΗΡΟΣ ΣΙΤΟΣΣΙΤΟΣ ΣΚΛΗΡΟΣ DUROFINUS</v>
      </c>
      <c r="B4999" s="4" t="s">
        <v>8886</v>
      </c>
      <c r="C4999" s="5" t="s">
        <v>9497</v>
      </c>
      <c r="D4999" s="6">
        <v>517.94000000000005</v>
      </c>
      <c r="E4999" s="6">
        <v>492.2</v>
      </c>
      <c r="F4999" s="7" t="s">
        <v>14</v>
      </c>
      <c r="G4999" s="8" t="s">
        <v>9498</v>
      </c>
      <c r="H4999" s="8" t="s">
        <v>16</v>
      </c>
      <c r="I4999" s="9">
        <v>322</v>
      </c>
      <c r="J4999" s="10">
        <v>1</v>
      </c>
      <c r="K4999" s="10">
        <v>10607</v>
      </c>
      <c r="L4999" s="3" t="str">
        <f t="shared" si="163"/>
        <v>ΣΚΛΗΡΟΣ_ΣΙΤΟΣ</v>
      </c>
    </row>
    <row r="5000" spans="1:12" s="3" customFormat="1" ht="24" x14ac:dyDescent="0.25">
      <c r="A5000" s="3" t="str">
        <f t="shared" si="162"/>
        <v>ΣΚΛΗΡΟΣ ΣΙΤΟΣΣΙΤΟΣ ΣΚΛΗΡΟΣ ECEM</v>
      </c>
      <c r="B5000" s="4" t="s">
        <v>8886</v>
      </c>
      <c r="C5000" s="5" t="s">
        <v>9499</v>
      </c>
      <c r="D5000" s="6">
        <v>517.94000000000005</v>
      </c>
      <c r="E5000" s="6">
        <v>492.2</v>
      </c>
      <c r="F5000" s="7" t="s">
        <v>14</v>
      </c>
      <c r="G5000" s="8" t="s">
        <v>9500</v>
      </c>
      <c r="H5000" s="8" t="s">
        <v>16</v>
      </c>
      <c r="I5000" s="9">
        <v>321</v>
      </c>
      <c r="J5000" s="10">
        <v>1</v>
      </c>
      <c r="K5000" s="10">
        <v>10608</v>
      </c>
      <c r="L5000" s="3" t="str">
        <f t="shared" si="163"/>
        <v>ΣΚΛΗΡΟΣ_ΣΙΤΟΣ</v>
      </c>
    </row>
    <row r="5001" spans="1:12" s="3" customFormat="1" ht="24" x14ac:dyDescent="0.25">
      <c r="A5001" s="3" t="str">
        <f t="shared" si="162"/>
        <v>ΣΚΛΗΡΟΣ ΣΙΤΟΣΣΙΤΟΣ ΣΚΛΗΡΟΣ FUEGO</v>
      </c>
      <c r="B5001" s="4" t="s">
        <v>8886</v>
      </c>
      <c r="C5001" s="5" t="s">
        <v>9501</v>
      </c>
      <c r="D5001" s="6">
        <v>517.94000000000005</v>
      </c>
      <c r="E5001" s="6">
        <v>492.2</v>
      </c>
      <c r="F5001" s="7" t="s">
        <v>14</v>
      </c>
      <c r="G5001" s="8" t="s">
        <v>9502</v>
      </c>
      <c r="H5001" s="8" t="s">
        <v>16</v>
      </c>
      <c r="I5001" s="9">
        <v>320</v>
      </c>
      <c r="J5001" s="10">
        <v>1</v>
      </c>
      <c r="K5001" s="10">
        <v>10609</v>
      </c>
      <c r="L5001" s="3" t="str">
        <f t="shared" si="163"/>
        <v>ΣΚΛΗΡΟΣ_ΣΙΤΟΣ</v>
      </c>
    </row>
    <row r="5002" spans="1:12" s="3" customFormat="1" ht="24" x14ac:dyDescent="0.25">
      <c r="A5002" s="3" t="str">
        <f t="shared" si="162"/>
        <v>ΣΚΛΗΡΟΣ ΣΙΤΟΣΣΙΤΟΣ ΣΚΛΗΡΟΣ FULGUR SZS</v>
      </c>
      <c r="B5002" s="4" t="s">
        <v>8886</v>
      </c>
      <c r="C5002" s="5" t="s">
        <v>9503</v>
      </c>
      <c r="D5002" s="6">
        <v>517.94000000000005</v>
      </c>
      <c r="E5002" s="6">
        <v>492.2</v>
      </c>
      <c r="F5002" s="7" t="s">
        <v>14</v>
      </c>
      <c r="G5002" s="8" t="s">
        <v>9504</v>
      </c>
      <c r="H5002" s="8" t="s">
        <v>16</v>
      </c>
      <c r="I5002" s="9">
        <v>319</v>
      </c>
      <c r="J5002" s="10">
        <v>1</v>
      </c>
      <c r="K5002" s="10">
        <v>10610</v>
      </c>
      <c r="L5002" s="3" t="str">
        <f t="shared" si="163"/>
        <v>ΣΚΛΗΡΟΣ_ΣΙΤΟΣ</v>
      </c>
    </row>
    <row r="5003" spans="1:12" s="3" customFormat="1" ht="24" x14ac:dyDescent="0.25">
      <c r="A5003" s="3" t="str">
        <f t="shared" si="162"/>
        <v>ΣΚΛΗΡΟΣ ΣΙΤΟΣΣΙΤΟΣ ΣΚΛΗΡΟΣ HELIKS</v>
      </c>
      <c r="B5003" s="4" t="s">
        <v>8886</v>
      </c>
      <c r="C5003" s="5" t="s">
        <v>9505</v>
      </c>
      <c r="D5003" s="6">
        <v>517.94000000000005</v>
      </c>
      <c r="E5003" s="6">
        <v>492.2</v>
      </c>
      <c r="F5003" s="7" t="s">
        <v>14</v>
      </c>
      <c r="G5003" s="8" t="s">
        <v>9506</v>
      </c>
      <c r="H5003" s="8" t="s">
        <v>16</v>
      </c>
      <c r="I5003" s="9">
        <v>318</v>
      </c>
      <c r="J5003" s="10">
        <v>1</v>
      </c>
      <c r="K5003" s="10">
        <v>10611</v>
      </c>
      <c r="L5003" s="3" t="str">
        <f t="shared" si="163"/>
        <v>ΣΚΛΗΡΟΣ_ΣΙΤΟΣ</v>
      </c>
    </row>
    <row r="5004" spans="1:12" s="3" customFormat="1" ht="24" x14ac:dyDescent="0.25">
      <c r="A5004" s="3" t="str">
        <f t="shared" si="162"/>
        <v>ΣΚΛΗΡΟΣ ΣΙΤΟΣΣΙΤΟΣ ΣΚΛΗΡΟΣ HERAKLION</v>
      </c>
      <c r="B5004" s="4" t="s">
        <v>8886</v>
      </c>
      <c r="C5004" s="5" t="s">
        <v>9507</v>
      </c>
      <c r="D5004" s="6">
        <v>517.94000000000005</v>
      </c>
      <c r="E5004" s="6">
        <v>492.2</v>
      </c>
      <c r="F5004" s="7" t="s">
        <v>14</v>
      </c>
      <c r="G5004" s="8" t="s">
        <v>9508</v>
      </c>
      <c r="H5004" s="8" t="s">
        <v>16</v>
      </c>
      <c r="I5004" s="9">
        <v>317</v>
      </c>
      <c r="J5004" s="10">
        <v>1</v>
      </c>
      <c r="K5004" s="10">
        <v>10612</v>
      </c>
      <c r="L5004" s="3" t="str">
        <f t="shared" si="163"/>
        <v>ΣΚΛΗΡΟΣ_ΣΙΤΟΣ</v>
      </c>
    </row>
    <row r="5005" spans="1:12" s="3" customFormat="1" ht="24" x14ac:dyDescent="0.25">
      <c r="A5005" s="3" t="str">
        <f t="shared" si="162"/>
        <v>ΣΚΛΗΡΟΣ ΣΙΤΟΣΣΙΤΟΣ ΣΚΛΗΡΟΣ IDEFIX</v>
      </c>
      <c r="B5005" s="4" t="s">
        <v>8886</v>
      </c>
      <c r="C5005" s="5" t="s">
        <v>9509</v>
      </c>
      <c r="D5005" s="6">
        <v>517.94000000000005</v>
      </c>
      <c r="E5005" s="6">
        <v>492.2</v>
      </c>
      <c r="F5005" s="7" t="s">
        <v>14</v>
      </c>
      <c r="G5005" s="8" t="s">
        <v>9510</v>
      </c>
      <c r="H5005" s="8" t="s">
        <v>16</v>
      </c>
      <c r="I5005" s="9">
        <v>308</v>
      </c>
      <c r="J5005" s="10">
        <v>1</v>
      </c>
      <c r="K5005" s="10">
        <v>10613</v>
      </c>
      <c r="L5005" s="3" t="str">
        <f t="shared" si="163"/>
        <v>ΣΚΛΗΡΟΣ_ΣΙΤΟΣ</v>
      </c>
    </row>
    <row r="5006" spans="1:12" s="3" customFormat="1" ht="24" x14ac:dyDescent="0.25">
      <c r="A5006" s="3" t="str">
        <f t="shared" si="162"/>
        <v>ΣΚΛΗΡΟΣ ΣΙΤΟΣΣΙΤΟΣ ΣΚΛΗΡΟΣ INCONTRO</v>
      </c>
      <c r="B5006" s="4" t="s">
        <v>8886</v>
      </c>
      <c r="C5006" s="5" t="s">
        <v>9511</v>
      </c>
      <c r="D5006" s="6">
        <v>517.94000000000005</v>
      </c>
      <c r="E5006" s="6">
        <v>492.2</v>
      </c>
      <c r="F5006" s="7" t="s">
        <v>14</v>
      </c>
      <c r="G5006" s="8" t="s">
        <v>9512</v>
      </c>
      <c r="H5006" s="8" t="s">
        <v>16</v>
      </c>
      <c r="I5006" s="9">
        <v>315</v>
      </c>
      <c r="J5006" s="10">
        <v>1</v>
      </c>
      <c r="K5006" s="10">
        <v>10614</v>
      </c>
      <c r="L5006" s="3" t="str">
        <f t="shared" si="163"/>
        <v>ΣΚΛΗΡΟΣ_ΣΙΤΟΣ</v>
      </c>
    </row>
    <row r="5007" spans="1:12" s="3" customFormat="1" ht="24" x14ac:dyDescent="0.25">
      <c r="A5007" s="3" t="str">
        <f t="shared" si="162"/>
        <v>ΣΚΛΗΡΟΣ ΣΙΤΟΣΣΙΤΟΣ ΣΚΛΗΡΟΣ LG CONFIANZA</v>
      </c>
      <c r="B5007" s="4" t="s">
        <v>8886</v>
      </c>
      <c r="C5007" s="5" t="s">
        <v>9513</v>
      </c>
      <c r="D5007" s="6">
        <v>517.94000000000005</v>
      </c>
      <c r="E5007" s="6">
        <v>492.2</v>
      </c>
      <c r="F5007" s="7" t="s">
        <v>14</v>
      </c>
      <c r="G5007" s="8" t="s">
        <v>9514</v>
      </c>
      <c r="H5007" s="8" t="s">
        <v>16</v>
      </c>
      <c r="I5007" s="9">
        <v>323</v>
      </c>
      <c r="J5007" s="10">
        <v>1</v>
      </c>
      <c r="K5007" s="10">
        <v>10615</v>
      </c>
      <c r="L5007" s="3" t="str">
        <f t="shared" si="163"/>
        <v>ΣΚΛΗΡΟΣ_ΣΙΤΟΣ</v>
      </c>
    </row>
    <row r="5008" spans="1:12" s="3" customFormat="1" ht="24" x14ac:dyDescent="0.25">
      <c r="A5008" s="3" t="str">
        <f t="shared" si="162"/>
        <v>ΣΚΛΗΡΟΣ ΣΙΤΟΣΣΙΤΟΣ ΣΚΛΗΡΟΣ LUMINA</v>
      </c>
      <c r="B5008" s="4" t="s">
        <v>8886</v>
      </c>
      <c r="C5008" s="5" t="s">
        <v>9515</v>
      </c>
      <c r="D5008" s="6">
        <v>517.94000000000005</v>
      </c>
      <c r="E5008" s="6">
        <v>492.2</v>
      </c>
      <c r="F5008" s="7" t="s">
        <v>14</v>
      </c>
      <c r="G5008" s="8" t="s">
        <v>9516</v>
      </c>
      <c r="H5008" s="8" t="s">
        <v>16</v>
      </c>
      <c r="I5008" s="9">
        <v>313</v>
      </c>
      <c r="J5008" s="10">
        <v>1</v>
      </c>
      <c r="K5008" s="10">
        <v>10616</v>
      </c>
      <c r="L5008" s="3" t="str">
        <f t="shared" si="163"/>
        <v>ΣΚΛΗΡΟΣ_ΣΙΤΟΣ</v>
      </c>
    </row>
    <row r="5009" spans="1:12" s="3" customFormat="1" ht="24" x14ac:dyDescent="0.25">
      <c r="A5009" s="3" t="str">
        <f t="shared" si="162"/>
        <v>ΣΚΛΗΡΟΣ ΣΙΤΟΣΣΙΤΟΣ ΣΚΛΗΡΟΣ NADIF</v>
      </c>
      <c r="B5009" s="4" t="s">
        <v>8886</v>
      </c>
      <c r="C5009" s="5" t="s">
        <v>9517</v>
      </c>
      <c r="D5009" s="6">
        <v>517.94000000000005</v>
      </c>
      <c r="E5009" s="6">
        <v>492.2</v>
      </c>
      <c r="F5009" s="7" t="s">
        <v>14</v>
      </c>
      <c r="G5009" s="8" t="s">
        <v>9518</v>
      </c>
      <c r="H5009" s="8" t="s">
        <v>16</v>
      </c>
      <c r="I5009" s="9">
        <v>312</v>
      </c>
      <c r="J5009" s="10">
        <v>1</v>
      </c>
      <c r="K5009" s="10">
        <v>10617</v>
      </c>
      <c r="L5009" s="3" t="str">
        <f t="shared" si="163"/>
        <v>ΣΚΛΗΡΟΣ_ΣΙΤΟΣ</v>
      </c>
    </row>
    <row r="5010" spans="1:12" s="3" customFormat="1" ht="24" x14ac:dyDescent="0.25">
      <c r="A5010" s="3" t="str">
        <f t="shared" si="162"/>
        <v>ΣΚΛΗΡΟΣ ΣΙΤΟΣΣΙΤΟΣ ΣΚΛΗΡΟΣ NATAL</v>
      </c>
      <c r="B5010" s="4" t="s">
        <v>8886</v>
      </c>
      <c r="C5010" s="5" t="s">
        <v>9519</v>
      </c>
      <c r="D5010" s="6">
        <v>517.94000000000005</v>
      </c>
      <c r="E5010" s="6">
        <v>492.2</v>
      </c>
      <c r="F5010" s="7" t="s">
        <v>14</v>
      </c>
      <c r="G5010" s="8" t="s">
        <v>9520</v>
      </c>
      <c r="H5010" s="8" t="s">
        <v>16</v>
      </c>
      <c r="I5010" s="9">
        <v>311</v>
      </c>
      <c r="J5010" s="10">
        <v>1</v>
      </c>
      <c r="K5010" s="10">
        <v>10618</v>
      </c>
      <c r="L5010" s="3" t="str">
        <f t="shared" si="163"/>
        <v>ΣΚΛΗΡΟΣ_ΣΙΤΟΣ</v>
      </c>
    </row>
    <row r="5011" spans="1:12" s="3" customFormat="1" ht="24" x14ac:dyDescent="0.25">
      <c r="A5011" s="3" t="str">
        <f t="shared" si="162"/>
        <v>ΣΚΛΗΡΟΣ ΣΙΤΟΣΣΙΤΟΣ ΣΚΛΗΡΟΣ PLATONE</v>
      </c>
      <c r="B5011" s="4" t="s">
        <v>8886</v>
      </c>
      <c r="C5011" s="5" t="s">
        <v>9521</v>
      </c>
      <c r="D5011" s="6">
        <v>517.94000000000005</v>
      </c>
      <c r="E5011" s="6">
        <v>492.2</v>
      </c>
      <c r="F5011" s="7" t="s">
        <v>14</v>
      </c>
      <c r="G5011" s="8" t="s">
        <v>9522</v>
      </c>
      <c r="H5011" s="8" t="s">
        <v>16</v>
      </c>
      <c r="I5011" s="9">
        <v>310</v>
      </c>
      <c r="J5011" s="10">
        <v>1</v>
      </c>
      <c r="K5011" s="10">
        <v>10619</v>
      </c>
      <c r="L5011" s="3" t="str">
        <f t="shared" si="163"/>
        <v>ΣΚΛΗΡΟΣ_ΣΙΤΟΣ</v>
      </c>
    </row>
    <row r="5012" spans="1:12" s="3" customFormat="1" ht="24" x14ac:dyDescent="0.25">
      <c r="A5012" s="3" t="str">
        <f t="shared" si="162"/>
        <v>ΣΚΛΗΡΟΣ ΣΙΤΟΣΣΙΤΟΣ ΣΚΛΗΡΟΣ PVL 1636</v>
      </c>
      <c r="B5012" s="4" t="s">
        <v>8886</v>
      </c>
      <c r="C5012" s="5" t="s">
        <v>9523</v>
      </c>
      <c r="D5012" s="6">
        <v>517.94000000000005</v>
      </c>
      <c r="E5012" s="6">
        <v>492.2</v>
      </c>
      <c r="F5012" s="7" t="s">
        <v>14</v>
      </c>
      <c r="G5012" s="8" t="s">
        <v>9524</v>
      </c>
      <c r="H5012" s="8" t="s">
        <v>16</v>
      </c>
      <c r="I5012" s="9">
        <v>309</v>
      </c>
      <c r="J5012" s="10">
        <v>1</v>
      </c>
      <c r="K5012" s="10">
        <v>10620</v>
      </c>
      <c r="L5012" s="3" t="str">
        <f t="shared" si="163"/>
        <v>ΣΚΛΗΡΟΣ_ΣΙΤΟΣ</v>
      </c>
    </row>
    <row r="5013" spans="1:12" s="3" customFormat="1" ht="24" x14ac:dyDescent="0.25">
      <c r="A5013" s="3" t="str">
        <f t="shared" si="162"/>
        <v>ΣΚΛΗΡΟΣ ΣΙΤΟΣΣΙΤΟΣ ΣΚΛΗΡΟΣ PVL 2517</v>
      </c>
      <c r="B5013" s="4" t="s">
        <v>8886</v>
      </c>
      <c r="C5013" s="5" t="s">
        <v>9525</v>
      </c>
      <c r="D5013" s="6">
        <v>517.94000000000005</v>
      </c>
      <c r="E5013" s="6">
        <v>492.2</v>
      </c>
      <c r="F5013" s="7" t="s">
        <v>14</v>
      </c>
      <c r="G5013" s="8" t="s">
        <v>9526</v>
      </c>
      <c r="H5013" s="8" t="s">
        <v>16</v>
      </c>
      <c r="I5013" s="9">
        <v>284</v>
      </c>
      <c r="J5013" s="10">
        <v>1</v>
      </c>
      <c r="K5013" s="10">
        <v>10621</v>
      </c>
      <c r="L5013" s="3" t="str">
        <f t="shared" si="163"/>
        <v>ΣΚΛΗΡΟΣ_ΣΙΤΟΣ</v>
      </c>
    </row>
    <row r="5014" spans="1:12" s="3" customFormat="1" ht="24" x14ac:dyDescent="0.25">
      <c r="A5014" s="3" t="str">
        <f t="shared" si="162"/>
        <v>ΣΚΛΗΡΟΣ ΣΙΤΟΣΣΙΤΟΣ ΣΚΛΗΡΟΣ PVL 6575</v>
      </c>
      <c r="B5014" s="4" t="s">
        <v>8886</v>
      </c>
      <c r="C5014" s="5" t="s">
        <v>9527</v>
      </c>
      <c r="D5014" s="6">
        <v>517.94000000000005</v>
      </c>
      <c r="E5014" s="6">
        <v>492.2</v>
      </c>
      <c r="F5014" s="7" t="s">
        <v>14</v>
      </c>
      <c r="G5014" s="8" t="s">
        <v>9528</v>
      </c>
      <c r="H5014" s="8" t="s">
        <v>16</v>
      </c>
      <c r="I5014" s="9">
        <v>261</v>
      </c>
      <c r="J5014" s="10">
        <v>1</v>
      </c>
      <c r="K5014" s="10">
        <v>10622</v>
      </c>
      <c r="L5014" s="3" t="str">
        <f t="shared" si="163"/>
        <v>ΣΚΛΗΡΟΣ_ΣΙΤΟΣ</v>
      </c>
    </row>
    <row r="5015" spans="1:12" s="3" customFormat="1" ht="24" x14ac:dyDescent="0.25">
      <c r="A5015" s="3" t="str">
        <f t="shared" si="162"/>
        <v>ΣΚΛΗΡΟΣ ΣΙΤΟΣΣΙΤΟΣ ΣΚΛΗΡΟΣ REALE</v>
      </c>
      <c r="B5015" s="4" t="s">
        <v>8886</v>
      </c>
      <c r="C5015" s="5" t="s">
        <v>9529</v>
      </c>
      <c r="D5015" s="6">
        <v>517.94000000000005</v>
      </c>
      <c r="E5015" s="6">
        <v>492.2</v>
      </c>
      <c r="F5015" s="7" t="s">
        <v>14</v>
      </c>
      <c r="G5015" s="8" t="s">
        <v>9530</v>
      </c>
      <c r="H5015" s="8" t="s">
        <v>16</v>
      </c>
      <c r="I5015" s="9">
        <v>293</v>
      </c>
      <c r="J5015" s="10">
        <v>1</v>
      </c>
      <c r="K5015" s="10">
        <v>10623</v>
      </c>
      <c r="L5015" s="3" t="str">
        <f t="shared" si="163"/>
        <v>ΣΚΛΗΡΟΣ_ΣΙΤΟΣ</v>
      </c>
    </row>
    <row r="5016" spans="1:12" s="3" customFormat="1" ht="24" x14ac:dyDescent="0.25">
      <c r="A5016" s="3" t="str">
        <f t="shared" si="162"/>
        <v>ΣΚΛΗΡΟΣ ΣΙΤΟΣΣΙΤΟΣ ΣΚΛΗΡΟΣ RGT AVENTADUR</v>
      </c>
      <c r="B5016" s="4" t="s">
        <v>8886</v>
      </c>
      <c r="C5016" s="5" t="s">
        <v>9531</v>
      </c>
      <c r="D5016" s="6">
        <v>517.94000000000005</v>
      </c>
      <c r="E5016" s="6">
        <v>492.2</v>
      </c>
      <c r="F5016" s="7" t="s">
        <v>14</v>
      </c>
      <c r="G5016" s="8" t="s">
        <v>9532</v>
      </c>
      <c r="H5016" s="8" t="s">
        <v>16</v>
      </c>
      <c r="I5016" s="9">
        <v>273</v>
      </c>
      <c r="J5016" s="10">
        <v>1</v>
      </c>
      <c r="K5016" s="10">
        <v>10624</v>
      </c>
      <c r="L5016" s="3" t="str">
        <f t="shared" si="163"/>
        <v>ΣΚΛΗΡΟΣ_ΣΙΤΟΣ</v>
      </c>
    </row>
    <row r="5017" spans="1:12" s="3" customFormat="1" x14ac:dyDescent="0.25">
      <c r="A5017" s="3" t="str">
        <f t="shared" si="162"/>
        <v>ΣΚΛΗΡΟΣ ΣΙΤΟΣΣΙΤΟΣ ΣΚΛΗΡΟΣ RGT CAVOUR</v>
      </c>
      <c r="B5017" s="4" t="s">
        <v>8886</v>
      </c>
      <c r="C5017" s="5" t="s">
        <v>9533</v>
      </c>
      <c r="D5017" s="6">
        <v>517.94000000000005</v>
      </c>
      <c r="E5017" s="6">
        <v>492.2</v>
      </c>
      <c r="F5017" s="7" t="s">
        <v>14</v>
      </c>
      <c r="G5017" s="8" t="s">
        <v>9534</v>
      </c>
      <c r="H5017" s="8" t="s">
        <v>27</v>
      </c>
      <c r="I5017" s="9">
        <v>272</v>
      </c>
      <c r="J5017" s="10">
        <v>1</v>
      </c>
      <c r="K5017" s="10">
        <v>10625</v>
      </c>
      <c r="L5017" s="3" t="str">
        <f t="shared" si="163"/>
        <v>ΣΚΛΗΡΟΣ_ΣΙΤΟΣ</v>
      </c>
    </row>
    <row r="5018" spans="1:12" s="3" customFormat="1" ht="24" x14ac:dyDescent="0.25">
      <c r="A5018" s="3" t="str">
        <f t="shared" si="162"/>
        <v>ΣΚΛΗΡΟΣ ΣΙΤΟΣΣΙΤΟΣ ΣΚΛΗΡΟΣ RGT PARTITUR RARTITUR</v>
      </c>
      <c r="B5018" s="4" t="s">
        <v>8886</v>
      </c>
      <c r="C5018" s="5" t="s">
        <v>9535</v>
      </c>
      <c r="D5018" s="6">
        <v>517.94000000000005</v>
      </c>
      <c r="E5018" s="6">
        <v>492.2</v>
      </c>
      <c r="F5018" s="7" t="s">
        <v>14</v>
      </c>
      <c r="G5018" s="8" t="s">
        <v>9536</v>
      </c>
      <c r="H5018" s="8" t="s">
        <v>16</v>
      </c>
      <c r="I5018" s="9">
        <v>271</v>
      </c>
      <c r="J5018" s="10">
        <v>1</v>
      </c>
      <c r="K5018" s="10">
        <v>10626</v>
      </c>
      <c r="L5018" s="3" t="str">
        <f t="shared" si="163"/>
        <v>ΣΚΛΗΡΟΣ_ΣΙΤΟΣ</v>
      </c>
    </row>
    <row r="5019" spans="1:12" s="3" customFormat="1" ht="24" x14ac:dyDescent="0.25">
      <c r="A5019" s="3" t="str">
        <f t="shared" si="162"/>
        <v>ΣΚΛΗΡΟΣ ΣΙΤΟΣΣΙΤΟΣ ΣΚΛΗΡΟΣ SAMBADUR</v>
      </c>
      <c r="B5019" s="4" t="s">
        <v>8886</v>
      </c>
      <c r="C5019" s="5" t="s">
        <v>9537</v>
      </c>
      <c r="D5019" s="6">
        <v>517.94000000000005</v>
      </c>
      <c r="E5019" s="6">
        <v>492.2</v>
      </c>
      <c r="F5019" s="7" t="s">
        <v>14</v>
      </c>
      <c r="G5019" s="8" t="s">
        <v>9538</v>
      </c>
      <c r="H5019" s="8" t="s">
        <v>16</v>
      </c>
      <c r="I5019" s="9">
        <v>270</v>
      </c>
      <c r="J5019" s="10">
        <v>1</v>
      </c>
      <c r="K5019" s="10">
        <v>10627</v>
      </c>
      <c r="L5019" s="3" t="str">
        <f t="shared" si="163"/>
        <v>ΣΚΛΗΡΟΣ_ΣΙΤΟΣ</v>
      </c>
    </row>
    <row r="5020" spans="1:12" s="3" customFormat="1" ht="24" x14ac:dyDescent="0.25">
      <c r="A5020" s="3" t="str">
        <f t="shared" si="162"/>
        <v>ΣΚΛΗΡΟΣ ΣΙΤΟΣΣΙΤΟΣ ΣΚΛΗΡΟΣ TANCREDI</v>
      </c>
      <c r="B5020" s="4" t="s">
        <v>8886</v>
      </c>
      <c r="C5020" s="5" t="s">
        <v>9539</v>
      </c>
      <c r="D5020" s="6">
        <v>517.94000000000005</v>
      </c>
      <c r="E5020" s="6">
        <v>492.2</v>
      </c>
      <c r="F5020" s="7" t="s">
        <v>14</v>
      </c>
      <c r="G5020" s="8" t="s">
        <v>9540</v>
      </c>
      <c r="H5020" s="8" t="s">
        <v>16</v>
      </c>
      <c r="I5020" s="9">
        <v>269</v>
      </c>
      <c r="J5020" s="10">
        <v>1</v>
      </c>
      <c r="K5020" s="10">
        <v>10628</v>
      </c>
      <c r="L5020" s="3" t="str">
        <f t="shared" si="163"/>
        <v>ΣΚΛΗΡΟΣ_ΣΙΤΟΣ</v>
      </c>
    </row>
    <row r="5021" spans="1:12" s="3" customFormat="1" ht="24" x14ac:dyDescent="0.25">
      <c r="A5021" s="3" t="str">
        <f t="shared" si="162"/>
        <v>ΣΚΛΗΡΟΣ ΣΙΤΟΣΣΙΤΟΣ ΣΚΛΗΡΟΣ TESSADUR</v>
      </c>
      <c r="B5021" s="4" t="s">
        <v>8886</v>
      </c>
      <c r="C5021" s="5" t="s">
        <v>9541</v>
      </c>
      <c r="D5021" s="6">
        <v>517.94000000000005</v>
      </c>
      <c r="E5021" s="6">
        <v>492.2</v>
      </c>
      <c r="F5021" s="7" t="s">
        <v>14</v>
      </c>
      <c r="G5021" s="8" t="s">
        <v>9542</v>
      </c>
      <c r="H5021" s="8" t="s">
        <v>16</v>
      </c>
      <c r="I5021" s="9">
        <v>260</v>
      </c>
      <c r="J5021" s="10">
        <v>1</v>
      </c>
      <c r="K5021" s="10">
        <v>10629</v>
      </c>
      <c r="L5021" s="3" t="str">
        <f t="shared" si="163"/>
        <v>ΣΚΛΗΡΟΣ_ΣΙΤΟΣ</v>
      </c>
    </row>
    <row r="5022" spans="1:12" s="3" customFormat="1" ht="24" x14ac:dyDescent="0.25">
      <c r="A5022" s="3" t="str">
        <f t="shared" si="162"/>
        <v>ΣΚΛΗΡΟΣ ΣΙΤΟΣΣΙΤΟΣ ΣΚΛΗΡΟΣ TOCCO</v>
      </c>
      <c r="B5022" s="4" t="s">
        <v>8886</v>
      </c>
      <c r="C5022" s="5" t="s">
        <v>9543</v>
      </c>
      <c r="D5022" s="6">
        <v>517.94000000000005</v>
      </c>
      <c r="E5022" s="6">
        <v>492.2</v>
      </c>
      <c r="F5022" s="7" t="s">
        <v>14</v>
      </c>
      <c r="G5022" s="8" t="s">
        <v>9544</v>
      </c>
      <c r="H5022" s="8" t="s">
        <v>16</v>
      </c>
      <c r="I5022" s="9">
        <v>267</v>
      </c>
      <c r="J5022" s="10">
        <v>1</v>
      </c>
      <c r="K5022" s="10">
        <v>10630</v>
      </c>
      <c r="L5022" s="3" t="str">
        <f t="shared" si="163"/>
        <v>ΣΚΛΗΡΟΣ_ΣΙΤΟΣ</v>
      </c>
    </row>
    <row r="5023" spans="1:12" s="3" customFormat="1" ht="24" x14ac:dyDescent="0.25">
      <c r="A5023" s="3" t="str">
        <f t="shared" si="162"/>
        <v>ΣΚΛΗΡΟΣ ΣΙΤΟΣΣΙΤΟΣ ΣΚΛΗΡΟΣ VOLARE</v>
      </c>
      <c r="B5023" s="4" t="s">
        <v>8886</v>
      </c>
      <c r="C5023" s="5" t="s">
        <v>9545</v>
      </c>
      <c r="D5023" s="6">
        <v>517.94000000000005</v>
      </c>
      <c r="E5023" s="6">
        <v>492.2</v>
      </c>
      <c r="F5023" s="7" t="s">
        <v>14</v>
      </c>
      <c r="G5023" s="8" t="s">
        <v>9546</v>
      </c>
      <c r="H5023" s="8" t="s">
        <v>16</v>
      </c>
      <c r="I5023" s="9">
        <v>275</v>
      </c>
      <c r="J5023" s="10">
        <v>1</v>
      </c>
      <c r="K5023" s="10">
        <v>10631</v>
      </c>
      <c r="L5023" s="3" t="str">
        <f t="shared" si="163"/>
        <v>ΣΚΛΗΡΟΣ_ΣΙΤΟΣ</v>
      </c>
    </row>
    <row r="5024" spans="1:12" s="3" customFormat="1" ht="24" x14ac:dyDescent="0.25">
      <c r="A5024" s="3" t="str">
        <f t="shared" si="162"/>
        <v>ΣΚΛΗΡΟΣ ΣΙΤΟΣΣΙΤΟΣ ΣΚΛΗΡΟΣ AVISPA</v>
      </c>
      <c r="B5024" s="4" t="s">
        <v>8886</v>
      </c>
      <c r="C5024" s="5" t="s">
        <v>9547</v>
      </c>
      <c r="D5024" s="6">
        <v>517.94000000000005</v>
      </c>
      <c r="E5024" s="6">
        <v>492.2</v>
      </c>
      <c r="F5024" s="7" t="s">
        <v>14</v>
      </c>
      <c r="G5024" s="8" t="s">
        <v>9548</v>
      </c>
      <c r="H5024" s="8" t="s">
        <v>16</v>
      </c>
      <c r="I5024" s="9">
        <v>265</v>
      </c>
      <c r="J5024" s="10">
        <v>1</v>
      </c>
      <c r="K5024" s="10">
        <v>10632</v>
      </c>
      <c r="L5024" s="3" t="str">
        <f t="shared" si="163"/>
        <v>ΣΚΛΗΡΟΣ_ΣΙΤΟΣ</v>
      </c>
    </row>
    <row r="5025" spans="1:12" s="3" customFormat="1" ht="24" x14ac:dyDescent="0.25">
      <c r="A5025" s="3" t="str">
        <f t="shared" si="162"/>
        <v>ΣΚΛΗΡΟΣ ΣΙΤΟΣΣΙΤΟΣ ΣΚΛΗΡΟΣ MV PELSODUR</v>
      </c>
      <c r="B5025" s="4" t="s">
        <v>8886</v>
      </c>
      <c r="C5025" s="5" t="s">
        <v>9549</v>
      </c>
      <c r="D5025" s="6">
        <v>517.94000000000005</v>
      </c>
      <c r="E5025" s="6">
        <v>492.2</v>
      </c>
      <c r="F5025" s="7" t="s">
        <v>14</v>
      </c>
      <c r="G5025" s="8" t="s">
        <v>9550</v>
      </c>
      <c r="H5025" s="8" t="s">
        <v>16</v>
      </c>
      <c r="I5025" s="9">
        <v>264</v>
      </c>
      <c r="J5025" s="10">
        <v>1</v>
      </c>
      <c r="K5025" s="10">
        <v>10633</v>
      </c>
      <c r="L5025" s="3" t="str">
        <f t="shared" si="163"/>
        <v>ΣΚΛΗΡΟΣ_ΣΙΤΟΣ</v>
      </c>
    </row>
    <row r="5026" spans="1:12" s="3" customFormat="1" ht="24" x14ac:dyDescent="0.25">
      <c r="A5026" s="3" t="str">
        <f t="shared" si="162"/>
        <v>ΣΚΛΗΡΟΣ ΣΙΤΟΣΣΙΤΟΣ ΣΚΛΗΡΟΣ OTTAVIANO</v>
      </c>
      <c r="B5026" s="4" t="s">
        <v>8886</v>
      </c>
      <c r="C5026" s="5" t="s">
        <v>9551</v>
      </c>
      <c r="D5026" s="6">
        <v>517.94000000000005</v>
      </c>
      <c r="E5026" s="6">
        <v>492.2</v>
      </c>
      <c r="F5026" s="7" t="s">
        <v>14</v>
      </c>
      <c r="G5026" s="8" t="s">
        <v>9552</v>
      </c>
      <c r="H5026" s="8" t="s">
        <v>16</v>
      </c>
      <c r="I5026" s="9">
        <v>263</v>
      </c>
      <c r="J5026" s="10">
        <v>1</v>
      </c>
      <c r="K5026" s="10">
        <v>10634</v>
      </c>
      <c r="L5026" s="3" t="str">
        <f t="shared" si="163"/>
        <v>ΣΚΛΗΡΟΣ_ΣΙΤΟΣ</v>
      </c>
    </row>
    <row r="5027" spans="1:12" s="3" customFormat="1" ht="24" x14ac:dyDescent="0.25">
      <c r="A5027" s="3" t="str">
        <f t="shared" si="162"/>
        <v>ΣΚΛΗΡΟΣ ΣΙΤΟΣΣΙΤΟΣ ΣΚΛΗΡΟΣ BARONIO</v>
      </c>
      <c r="B5027" s="4" t="s">
        <v>8886</v>
      </c>
      <c r="C5027" s="5" t="s">
        <v>9553</v>
      </c>
      <c r="D5027" s="6">
        <v>517.94000000000005</v>
      </c>
      <c r="E5027" s="6">
        <v>492.2</v>
      </c>
      <c r="F5027" s="7" t="s">
        <v>14</v>
      </c>
      <c r="G5027" s="8" t="s">
        <v>9554</v>
      </c>
      <c r="H5027" s="8" t="s">
        <v>16</v>
      </c>
      <c r="I5027" s="9">
        <v>262</v>
      </c>
      <c r="J5027" s="10">
        <v>1</v>
      </c>
      <c r="K5027" s="10">
        <v>10635</v>
      </c>
      <c r="L5027" s="3" t="str">
        <f t="shared" si="163"/>
        <v>ΣΚΛΗΡΟΣ_ΣΙΤΟΣ</v>
      </c>
    </row>
    <row r="5028" spans="1:12" s="3" customFormat="1" ht="24" x14ac:dyDescent="0.25">
      <c r="A5028" s="3" t="str">
        <f t="shared" si="162"/>
        <v>ΣΚΛΗΡΟΣ ΣΙΤΟΣΣΙΤΟΣ ΣΚΛΗΡΟΣ FADO</v>
      </c>
      <c r="B5028" s="4" t="s">
        <v>8886</v>
      </c>
      <c r="C5028" s="5" t="s">
        <v>9555</v>
      </c>
      <c r="D5028" s="6">
        <v>517.94000000000005</v>
      </c>
      <c r="E5028" s="6">
        <v>492.2</v>
      </c>
      <c r="F5028" s="7" t="s">
        <v>14</v>
      </c>
      <c r="G5028" s="8" t="s">
        <v>9556</v>
      </c>
      <c r="H5028" s="8" t="s">
        <v>16</v>
      </c>
      <c r="I5028" s="9">
        <v>282</v>
      </c>
      <c r="J5028" s="10">
        <v>1</v>
      </c>
      <c r="K5028" s="10">
        <v>10636</v>
      </c>
      <c r="L5028" s="3" t="str">
        <f t="shared" si="163"/>
        <v>ΣΚΛΗΡΟΣ_ΣΙΤΟΣ</v>
      </c>
    </row>
    <row r="5029" spans="1:12" s="3" customFormat="1" ht="24" x14ac:dyDescent="0.25">
      <c r="A5029" s="3" t="str">
        <f t="shared" si="162"/>
        <v>ΣΚΛΗΡΟΣ ΣΙΤΟΣΣΙΤΟΣ ΣΚΛΗΡΟΣ P22D84</v>
      </c>
      <c r="B5029" s="4" t="s">
        <v>8886</v>
      </c>
      <c r="C5029" s="5" t="s">
        <v>9557</v>
      </c>
      <c r="D5029" s="6">
        <v>517.94000000000005</v>
      </c>
      <c r="E5029" s="6">
        <v>492.2</v>
      </c>
      <c r="F5029" s="7" t="s">
        <v>14</v>
      </c>
      <c r="G5029" s="8" t="s">
        <v>9558</v>
      </c>
      <c r="H5029" s="8" t="s">
        <v>16</v>
      </c>
      <c r="I5029" s="9">
        <v>266</v>
      </c>
      <c r="J5029" s="10">
        <v>1</v>
      </c>
      <c r="K5029" s="10">
        <v>10637</v>
      </c>
      <c r="L5029" s="3" t="str">
        <f t="shared" si="163"/>
        <v>ΣΚΛΗΡΟΣ_ΣΙΤΟΣ</v>
      </c>
    </row>
    <row r="5030" spans="1:12" s="3" customFormat="1" ht="24" x14ac:dyDescent="0.25">
      <c r="A5030" s="3" t="str">
        <f t="shared" si="162"/>
        <v>ΣΚΛΗΡΟΣ ΣΙΤΟΣΣΙΤΟΣ ΣΚΛΗΡΟΣ RGT ENCABLUR</v>
      </c>
      <c r="B5030" s="4" t="s">
        <v>8886</v>
      </c>
      <c r="C5030" s="5" t="s">
        <v>9559</v>
      </c>
      <c r="D5030" s="6">
        <v>517.94000000000005</v>
      </c>
      <c r="E5030" s="6">
        <v>492.2</v>
      </c>
      <c r="F5030" s="7" t="s">
        <v>14</v>
      </c>
      <c r="G5030" s="8" t="s">
        <v>9560</v>
      </c>
      <c r="H5030" s="8" t="s">
        <v>16</v>
      </c>
      <c r="I5030" s="9">
        <v>268</v>
      </c>
      <c r="J5030" s="10">
        <v>1</v>
      </c>
      <c r="K5030" s="10">
        <v>10638</v>
      </c>
      <c r="L5030" s="3" t="str">
        <f t="shared" si="163"/>
        <v>ΣΚΛΗΡΟΣ_ΣΙΤΟΣ</v>
      </c>
    </row>
    <row r="5031" spans="1:12" s="3" customFormat="1" ht="24" x14ac:dyDescent="0.25">
      <c r="A5031" s="3" t="str">
        <f t="shared" si="162"/>
        <v>ΣΚΛΗΡΟΣ ΣΙΤΟΣΣΙΤΟΣ ΣΚΛΗΡΟΣ TROUBADUR</v>
      </c>
      <c r="B5031" s="4" t="s">
        <v>8886</v>
      </c>
      <c r="C5031" s="5" t="s">
        <v>9561</v>
      </c>
      <c r="D5031" s="6">
        <v>517.94000000000005</v>
      </c>
      <c r="E5031" s="6">
        <v>492.2</v>
      </c>
      <c r="F5031" s="7" t="s">
        <v>14</v>
      </c>
      <c r="G5031" s="8" t="s">
        <v>9562</v>
      </c>
      <c r="H5031" s="8" t="s">
        <v>16</v>
      </c>
      <c r="I5031" s="9">
        <v>290</v>
      </c>
      <c r="J5031" s="10">
        <v>1</v>
      </c>
      <c r="K5031" s="10">
        <v>10639</v>
      </c>
      <c r="L5031" s="3" t="str">
        <f t="shared" si="163"/>
        <v>ΣΚΛΗΡΟΣ_ΣΙΤΟΣ</v>
      </c>
    </row>
    <row r="5032" spans="1:12" s="3" customFormat="1" ht="24" x14ac:dyDescent="0.25">
      <c r="A5032" s="3" t="str">
        <f t="shared" si="162"/>
        <v>ΣΚΛΗΡΟΣ ΣΙΤΟΣΣΙΤΟΣ ΣΚΛΗΡΟΣ CIBERIO</v>
      </c>
      <c r="B5032" s="4" t="s">
        <v>8886</v>
      </c>
      <c r="C5032" s="5" t="s">
        <v>9563</v>
      </c>
      <c r="D5032" s="6">
        <v>517.94000000000005</v>
      </c>
      <c r="E5032" s="6">
        <v>492.2</v>
      </c>
      <c r="F5032" s="7" t="s">
        <v>14</v>
      </c>
      <c r="G5032" s="8" t="s">
        <v>9564</v>
      </c>
      <c r="H5032" s="8" t="s">
        <v>16</v>
      </c>
      <c r="I5032" s="9">
        <v>289</v>
      </c>
      <c r="J5032" s="10">
        <v>1</v>
      </c>
      <c r="K5032" s="10">
        <v>10640</v>
      </c>
      <c r="L5032" s="3" t="str">
        <f t="shared" si="163"/>
        <v>ΣΚΛΗΡΟΣ_ΣΙΤΟΣ</v>
      </c>
    </row>
    <row r="5033" spans="1:12" s="3" customFormat="1" ht="24" x14ac:dyDescent="0.25">
      <c r="A5033" s="3" t="str">
        <f t="shared" si="162"/>
        <v>ΣΚΛΗΡΟΣ ΣΙΤΟΣΣΙΤΟΣ ΣΚΛΗΡΟΣ DON ORTEGA</v>
      </c>
      <c r="B5033" s="4" t="s">
        <v>8886</v>
      </c>
      <c r="C5033" s="5" t="s">
        <v>9565</v>
      </c>
      <c r="D5033" s="6">
        <v>517.94000000000005</v>
      </c>
      <c r="E5033" s="6">
        <v>492.2</v>
      </c>
      <c r="F5033" s="7" t="s">
        <v>14</v>
      </c>
      <c r="G5033" s="8" t="s">
        <v>9566</v>
      </c>
      <c r="H5033" s="8" t="s">
        <v>16</v>
      </c>
      <c r="I5033" s="9">
        <v>288</v>
      </c>
      <c r="J5033" s="10">
        <v>1</v>
      </c>
      <c r="K5033" s="10">
        <v>10641</v>
      </c>
      <c r="L5033" s="3" t="str">
        <f t="shared" si="163"/>
        <v>ΣΚΛΗΡΟΣ_ΣΙΤΟΣ</v>
      </c>
    </row>
    <row r="5034" spans="1:12" s="3" customFormat="1" ht="24" x14ac:dyDescent="0.25">
      <c r="A5034" s="3" t="str">
        <f t="shared" si="162"/>
        <v>ΣΚΛΗΡΟΣ ΣΙΤΟΣΣΙΤΟΣ ΣΚΛΗΡΟΣ INCANTO</v>
      </c>
      <c r="B5034" s="4" t="s">
        <v>8886</v>
      </c>
      <c r="C5034" s="5" t="s">
        <v>9567</v>
      </c>
      <c r="D5034" s="6">
        <v>517.94000000000005</v>
      </c>
      <c r="E5034" s="6">
        <v>492.2</v>
      </c>
      <c r="F5034" s="7" t="s">
        <v>14</v>
      </c>
      <c r="G5034" s="8" t="s">
        <v>9568</v>
      </c>
      <c r="H5034" s="8" t="s">
        <v>16</v>
      </c>
      <c r="I5034" s="9">
        <v>287</v>
      </c>
      <c r="J5034" s="10">
        <v>1</v>
      </c>
      <c r="K5034" s="10">
        <v>10642</v>
      </c>
      <c r="L5034" s="3" t="str">
        <f t="shared" si="163"/>
        <v>ΣΚΛΗΡΟΣ_ΣΙΤΟΣ</v>
      </c>
    </row>
    <row r="5035" spans="1:12" s="3" customFormat="1" x14ac:dyDescent="0.25">
      <c r="A5035" s="3" t="str">
        <f t="shared" si="162"/>
        <v>ΣΚΛΗΡΟΣ ΣΙΤΟΣΣΙΤΟΣ ΣΚΛΗΡΟΣ LG ORIGEN</v>
      </c>
      <c r="B5035" s="4" t="s">
        <v>8886</v>
      </c>
      <c r="C5035" s="5" t="s">
        <v>9569</v>
      </c>
      <c r="D5035" s="6">
        <v>517.94000000000005</v>
      </c>
      <c r="E5035" s="6">
        <v>492.2</v>
      </c>
      <c r="F5035" s="7" t="s">
        <v>14</v>
      </c>
      <c r="G5035" s="8" t="s">
        <v>9570</v>
      </c>
      <c r="H5035" s="8" t="s">
        <v>27</v>
      </c>
      <c r="I5035" s="9">
        <v>286</v>
      </c>
      <c r="J5035" s="10">
        <v>1</v>
      </c>
      <c r="K5035" s="10">
        <v>10643</v>
      </c>
      <c r="L5035" s="3" t="str">
        <f t="shared" si="163"/>
        <v>ΣΚΛΗΡΟΣ_ΣΙΤΟΣ</v>
      </c>
    </row>
    <row r="5036" spans="1:12" s="3" customFormat="1" ht="24" x14ac:dyDescent="0.25">
      <c r="A5036" s="3" t="str">
        <f t="shared" si="162"/>
        <v>ΣΚΛΗΡΟΣ ΣΙΤΟΣΣΙΤΟΣ ΣΚΛΗΡΟΣ RGT VOLTADUR</v>
      </c>
      <c r="B5036" s="4" t="s">
        <v>8886</v>
      </c>
      <c r="C5036" s="5" t="s">
        <v>9571</v>
      </c>
      <c r="D5036" s="6">
        <v>517.94000000000005</v>
      </c>
      <c r="E5036" s="6">
        <v>492.2</v>
      </c>
      <c r="F5036" s="7" t="s">
        <v>14</v>
      </c>
      <c r="G5036" s="8" t="s">
        <v>9572</v>
      </c>
      <c r="H5036" s="8" t="s">
        <v>16</v>
      </c>
      <c r="I5036" s="9">
        <v>285</v>
      </c>
      <c r="J5036" s="10">
        <v>1</v>
      </c>
      <c r="K5036" s="10">
        <v>10644</v>
      </c>
      <c r="L5036" s="3" t="str">
        <f t="shared" si="163"/>
        <v>ΣΚΛΗΡΟΣ_ΣΙΤΟΣ</v>
      </c>
    </row>
    <row r="5037" spans="1:12" s="3" customFormat="1" ht="24" x14ac:dyDescent="0.25">
      <c r="A5037" s="3" t="str">
        <f t="shared" si="162"/>
        <v>ΣΚΛΗΡΟΣ ΣΙΤΟΣΣΙΤΟΣ ΣΚΛΗΡΟΣ ARTURO</v>
      </c>
      <c r="B5037" s="4" t="s">
        <v>8886</v>
      </c>
      <c r="C5037" s="5" t="s">
        <v>9573</v>
      </c>
      <c r="D5037" s="6">
        <v>517.94000000000005</v>
      </c>
      <c r="E5037" s="6">
        <v>492.2</v>
      </c>
      <c r="F5037" s="7" t="s">
        <v>14</v>
      </c>
      <c r="G5037" s="8" t="s">
        <v>9574</v>
      </c>
      <c r="H5037" s="8" t="s">
        <v>16</v>
      </c>
      <c r="I5037" s="9">
        <v>276</v>
      </c>
      <c r="J5037" s="10">
        <v>1</v>
      </c>
      <c r="K5037" s="10">
        <v>10645</v>
      </c>
      <c r="L5037" s="3" t="str">
        <f t="shared" si="163"/>
        <v>ΣΚΛΗΡΟΣ_ΣΙΤΟΣ</v>
      </c>
    </row>
    <row r="5038" spans="1:12" s="3" customFormat="1" ht="24" x14ac:dyDescent="0.25">
      <c r="A5038" s="3" t="str">
        <f t="shared" si="162"/>
        <v>ΣΚΛΗΡΟΣ ΣΙΤΟΣΣΙΤΟΣ ΣΚΛΗΡΟΣ DIOGENE</v>
      </c>
      <c r="B5038" s="4" t="s">
        <v>8886</v>
      </c>
      <c r="C5038" s="5" t="s">
        <v>9575</v>
      </c>
      <c r="D5038" s="6">
        <v>517.94000000000005</v>
      </c>
      <c r="E5038" s="6">
        <v>492.2</v>
      </c>
      <c r="F5038" s="7" t="s">
        <v>14</v>
      </c>
      <c r="G5038" s="8" t="s">
        <v>9576</v>
      </c>
      <c r="H5038" s="8" t="s">
        <v>16</v>
      </c>
      <c r="I5038" s="9">
        <v>283</v>
      </c>
      <c r="J5038" s="10">
        <v>1</v>
      </c>
      <c r="K5038" s="10">
        <v>10646</v>
      </c>
      <c r="L5038" s="3" t="str">
        <f t="shared" si="163"/>
        <v>ΣΚΛΗΡΟΣ_ΣΙΤΟΣ</v>
      </c>
    </row>
    <row r="5039" spans="1:12" s="3" customFormat="1" ht="24" x14ac:dyDescent="0.25">
      <c r="A5039" s="3" t="str">
        <f t="shared" si="162"/>
        <v>ΣΚΛΗΡΟΣ ΣΙΤΟΣΣΙΤΟΣ ΣΚΛΗΡΟΣ PURO</v>
      </c>
      <c r="B5039" s="4" t="s">
        <v>8886</v>
      </c>
      <c r="C5039" s="5" t="s">
        <v>9577</v>
      </c>
      <c r="D5039" s="6">
        <v>517.94000000000005</v>
      </c>
      <c r="E5039" s="6">
        <v>492.2</v>
      </c>
      <c r="F5039" s="7" t="s">
        <v>14</v>
      </c>
      <c r="G5039" s="8" t="s">
        <v>9578</v>
      </c>
      <c r="H5039" s="8" t="s">
        <v>16</v>
      </c>
      <c r="I5039" s="9">
        <v>291</v>
      </c>
      <c r="J5039" s="10">
        <v>1</v>
      </c>
      <c r="K5039" s="10">
        <v>10647</v>
      </c>
      <c r="L5039" s="3" t="str">
        <f t="shared" si="163"/>
        <v>ΣΚΛΗΡΟΣ_ΣΙΤΟΣ</v>
      </c>
    </row>
    <row r="5040" spans="1:12" s="3" customFormat="1" ht="24" x14ac:dyDescent="0.25">
      <c r="A5040" s="3" t="str">
        <f t="shared" si="162"/>
        <v>ΣΚΛΗΡΟΣ ΣΙΤΟΣΣΙΤΟΣ ΣΚΛΗΡΟΣ SY NILO</v>
      </c>
      <c r="B5040" s="4" t="s">
        <v>8886</v>
      </c>
      <c r="C5040" s="5" t="s">
        <v>9579</v>
      </c>
      <c r="D5040" s="6">
        <v>517.94000000000005</v>
      </c>
      <c r="E5040" s="6">
        <v>492.2</v>
      </c>
      <c r="F5040" s="7" t="s">
        <v>14</v>
      </c>
      <c r="G5040" s="8" t="s">
        <v>9580</v>
      </c>
      <c r="H5040" s="8" t="s">
        <v>16</v>
      </c>
      <c r="I5040" s="9">
        <v>281</v>
      </c>
      <c r="J5040" s="10">
        <v>1</v>
      </c>
      <c r="K5040" s="10">
        <v>10648</v>
      </c>
      <c r="L5040" s="3" t="str">
        <f t="shared" si="163"/>
        <v>ΣΚΛΗΡΟΣ_ΣΙΤΟΣ</v>
      </c>
    </row>
    <row r="5041" spans="1:12" s="3" customFormat="1" ht="24" x14ac:dyDescent="0.25">
      <c r="A5041" s="3" t="str">
        <f t="shared" si="162"/>
        <v>ΣΚΛΗΡΟΣ ΣΙΤΟΣΣΙΤΟΣ ΣΚΛΗΡΟΣ VADIO</v>
      </c>
      <c r="B5041" s="4" t="s">
        <v>8886</v>
      </c>
      <c r="C5041" s="5" t="s">
        <v>9581</v>
      </c>
      <c r="D5041" s="6">
        <v>517.94000000000005</v>
      </c>
      <c r="E5041" s="6">
        <v>492.2</v>
      </c>
      <c r="F5041" s="7" t="s">
        <v>14</v>
      </c>
      <c r="G5041" s="8" t="s">
        <v>9582</v>
      </c>
      <c r="H5041" s="8" t="s">
        <v>16</v>
      </c>
      <c r="I5041" s="9">
        <v>280</v>
      </c>
      <c r="J5041" s="10">
        <v>1</v>
      </c>
      <c r="K5041" s="10">
        <v>10649</v>
      </c>
      <c r="L5041" s="3" t="str">
        <f t="shared" si="163"/>
        <v>ΣΚΛΗΡΟΣ_ΣΙΤΟΣ</v>
      </c>
    </row>
    <row r="5042" spans="1:12" s="3" customFormat="1" ht="24" x14ac:dyDescent="0.25">
      <c r="A5042" s="3" t="str">
        <f t="shared" si="162"/>
        <v>ΣΚΛΗΡΟΣ ΣΙΤΟΣΣΙΤΟΣ ΣΚΛΗΡΟΣ NURAGHE</v>
      </c>
      <c r="B5042" s="4" t="s">
        <v>8886</v>
      </c>
      <c r="C5042" s="5" t="s">
        <v>9583</v>
      </c>
      <c r="D5042" s="6">
        <v>517.94000000000005</v>
      </c>
      <c r="E5042" s="6">
        <v>492.2</v>
      </c>
      <c r="F5042" s="7" t="s">
        <v>14</v>
      </c>
      <c r="G5042" s="8" t="s">
        <v>9584</v>
      </c>
      <c r="H5042" s="8" t="s">
        <v>16</v>
      </c>
      <c r="I5042" s="9">
        <v>279</v>
      </c>
      <c r="J5042" s="10">
        <v>1</v>
      </c>
      <c r="K5042" s="10">
        <v>10650</v>
      </c>
      <c r="L5042" s="3" t="str">
        <f t="shared" si="163"/>
        <v>ΣΚΛΗΡΟΣ_ΣΙΤΟΣ</v>
      </c>
    </row>
    <row r="5043" spans="1:12" s="3" customFormat="1" ht="24" x14ac:dyDescent="0.25">
      <c r="A5043" s="3" t="str">
        <f t="shared" si="162"/>
        <v>ΣΚΛΗΡΟΣ ΣΙΤΟΣΣΙΤΟΣ ΣΚΛΗΡΟΣ PANORAMIX</v>
      </c>
      <c r="B5043" s="4" t="s">
        <v>8886</v>
      </c>
      <c r="C5043" s="5" t="s">
        <v>9585</v>
      </c>
      <c r="D5043" s="6">
        <v>517.94000000000005</v>
      </c>
      <c r="E5043" s="6">
        <v>492.2</v>
      </c>
      <c r="F5043" s="7" t="s">
        <v>14</v>
      </c>
      <c r="G5043" s="8" t="s">
        <v>9586</v>
      </c>
      <c r="H5043" s="8" t="s">
        <v>16</v>
      </c>
      <c r="I5043" s="9">
        <v>278</v>
      </c>
      <c r="J5043" s="10">
        <v>1</v>
      </c>
      <c r="K5043" s="10">
        <v>10651</v>
      </c>
      <c r="L5043" s="3" t="str">
        <f t="shared" si="163"/>
        <v>ΣΚΛΗΡΟΣ_ΣΙΤΟΣ</v>
      </c>
    </row>
    <row r="5044" spans="1:12" s="3" customFormat="1" ht="24" x14ac:dyDescent="0.25">
      <c r="A5044" s="3" t="str">
        <f t="shared" si="162"/>
        <v>ΣΚΛΗΡΟΣ ΣΙΤΟΣΣΙΤΟΣ ΣΚΛΗΡΟΣ RGT FALCODUR</v>
      </c>
      <c r="B5044" s="4" t="s">
        <v>8886</v>
      </c>
      <c r="C5044" s="5" t="s">
        <v>9587</v>
      </c>
      <c r="D5044" s="6">
        <v>517.94000000000005</v>
      </c>
      <c r="E5044" s="6">
        <v>492.2</v>
      </c>
      <c r="F5044" s="7" t="s">
        <v>14</v>
      </c>
      <c r="G5044" s="8" t="s">
        <v>9588</v>
      </c>
      <c r="H5044" s="8" t="s">
        <v>16</v>
      </c>
      <c r="I5044" s="9">
        <v>277</v>
      </c>
      <c r="J5044" s="10">
        <v>1</v>
      </c>
      <c r="K5044" s="10">
        <v>10652</v>
      </c>
      <c r="L5044" s="3" t="str">
        <f t="shared" si="163"/>
        <v>ΣΚΛΗΡΟΣ_ΣΙΤΟΣ</v>
      </c>
    </row>
    <row r="5045" spans="1:12" s="3" customFormat="1" ht="24" x14ac:dyDescent="0.25">
      <c r="A5045" s="3" t="str">
        <f t="shared" si="162"/>
        <v>ΣΚΛΗΡΟΣ ΣΙΤΟΣΣΙΤΟΣ ΣΚΛΗΡΟΣ RGT LEONDUR</v>
      </c>
      <c r="B5045" s="4" t="s">
        <v>8886</v>
      </c>
      <c r="C5045" s="5" t="s">
        <v>9589</v>
      </c>
      <c r="D5045" s="6">
        <v>517.94000000000005</v>
      </c>
      <c r="E5045" s="6">
        <v>492.2</v>
      </c>
      <c r="F5045" s="7" t="s">
        <v>14</v>
      </c>
      <c r="G5045" s="8" t="s">
        <v>9590</v>
      </c>
      <c r="H5045" s="8" t="s">
        <v>16</v>
      </c>
      <c r="I5045" s="9">
        <v>325</v>
      </c>
      <c r="J5045" s="10">
        <v>1</v>
      </c>
      <c r="K5045" s="10">
        <v>10653</v>
      </c>
      <c r="L5045" s="3" t="str">
        <f t="shared" si="163"/>
        <v>ΣΚΛΗΡΟΣ_ΣΙΤΟΣ</v>
      </c>
    </row>
    <row r="5046" spans="1:12" s="3" customFormat="1" x14ac:dyDescent="0.25">
      <c r="A5046" s="3" t="str">
        <f t="shared" si="162"/>
        <v>ΣΚΛΗΡΟΣ ΣΙΤΟΣΣΙΤΟΣ ΣΚΛΗΡΟΣ SY GANIMEDE</v>
      </c>
      <c r="B5046" s="18" t="s">
        <v>8886</v>
      </c>
      <c r="C5046" s="19" t="s">
        <v>9591</v>
      </c>
      <c r="D5046" s="6">
        <v>517.94000000000005</v>
      </c>
      <c r="E5046" s="6">
        <v>492.2</v>
      </c>
      <c r="F5046" s="6" t="s">
        <v>14</v>
      </c>
      <c r="G5046" s="8" t="s">
        <v>9592</v>
      </c>
      <c r="H5046" s="8" t="s">
        <v>27</v>
      </c>
      <c r="I5046" s="9">
        <v>4640</v>
      </c>
      <c r="J5046" s="20">
        <v>1</v>
      </c>
      <c r="K5046" s="20">
        <v>10654</v>
      </c>
      <c r="L5046" s="3" t="str">
        <f t="shared" si="163"/>
        <v>ΣΚΛΗΡΟΣ_ΣΙΤΟΣ</v>
      </c>
    </row>
    <row r="5047" spans="1:12" s="3" customFormat="1" ht="24" x14ac:dyDescent="0.25">
      <c r="A5047" s="3" t="str">
        <f t="shared" si="162"/>
        <v>ΣΚΛΗΡΟΣ ΣΙΤΟΣΣΙΤΟΣ ΣΚΛΗΡΟΣ DIADUR</v>
      </c>
      <c r="B5047" s="4" t="s">
        <v>8886</v>
      </c>
      <c r="C5047" s="5" t="s">
        <v>9593</v>
      </c>
      <c r="D5047" s="6">
        <v>517.94000000000005</v>
      </c>
      <c r="E5047" s="6">
        <v>492.2</v>
      </c>
      <c r="F5047" s="7" t="s">
        <v>14</v>
      </c>
      <c r="G5047" s="8" t="s">
        <v>9594</v>
      </c>
      <c r="H5047" s="8" t="s">
        <v>16</v>
      </c>
      <c r="I5047" s="9">
        <v>373</v>
      </c>
      <c r="J5047" s="10">
        <v>1</v>
      </c>
      <c r="K5047" s="10">
        <v>10655</v>
      </c>
      <c r="L5047" s="3" t="str">
        <f t="shared" si="163"/>
        <v>ΣΚΛΗΡΟΣ_ΣΙΤΟΣ</v>
      </c>
    </row>
    <row r="5048" spans="1:12" s="3" customFormat="1" ht="24" x14ac:dyDescent="0.25">
      <c r="A5048" s="3" t="str">
        <f t="shared" si="162"/>
        <v>ΣΚΛΗΡΟΣ ΣΙΤΟΣΣΙΤΟΣ ΣΚΛΗΡΟΣ DOMINO</v>
      </c>
      <c r="B5048" s="4" t="s">
        <v>8886</v>
      </c>
      <c r="C5048" s="5" t="s">
        <v>9595</v>
      </c>
      <c r="D5048" s="6">
        <v>517.94000000000005</v>
      </c>
      <c r="E5048" s="6">
        <v>492.2</v>
      </c>
      <c r="F5048" s="7" t="s">
        <v>14</v>
      </c>
      <c r="G5048" s="8" t="s">
        <v>9596</v>
      </c>
      <c r="H5048" s="8" t="s">
        <v>16</v>
      </c>
      <c r="I5048" s="9">
        <v>316</v>
      </c>
      <c r="J5048" s="10">
        <v>1</v>
      </c>
      <c r="K5048" s="10">
        <v>10656</v>
      </c>
      <c r="L5048" s="3" t="str">
        <f t="shared" si="163"/>
        <v>ΣΚΛΗΡΟΣ_ΣΙΤΟΣ</v>
      </c>
    </row>
    <row r="5049" spans="1:12" s="3" customFormat="1" ht="24" x14ac:dyDescent="0.25">
      <c r="A5049" s="3" t="str">
        <f t="shared" si="162"/>
        <v>ΣΚΛΗΡΟΣ ΣΙΤΟΣΣΙΤΟΣ ΣΚΛΗΡΟΣ RGT XIRIUR</v>
      </c>
      <c r="B5049" s="4" t="s">
        <v>8886</v>
      </c>
      <c r="C5049" s="5" t="s">
        <v>9597</v>
      </c>
      <c r="D5049" s="6">
        <v>517.94000000000005</v>
      </c>
      <c r="E5049" s="6">
        <v>492.2</v>
      </c>
      <c r="F5049" s="7" t="s">
        <v>14</v>
      </c>
      <c r="G5049" s="8" t="s">
        <v>9598</v>
      </c>
      <c r="H5049" s="8" t="s">
        <v>16</v>
      </c>
      <c r="I5049" s="9">
        <v>369</v>
      </c>
      <c r="J5049" s="10">
        <v>1</v>
      </c>
      <c r="K5049" s="10">
        <v>10657</v>
      </c>
      <c r="L5049" s="3" t="str">
        <f t="shared" si="163"/>
        <v>ΣΚΛΗΡΟΣ_ΣΙΤΟΣ</v>
      </c>
    </row>
    <row r="5050" spans="1:12" s="3" customFormat="1" ht="24" x14ac:dyDescent="0.25">
      <c r="A5050" s="3" t="str">
        <f t="shared" si="162"/>
        <v>ΣΚΛΗΡΟΣ ΣΙΤΟΣΣΙΤΟΣ ΣΚΛΗΡΟΣ SY ATLANTE</v>
      </c>
      <c r="B5050" s="4" t="s">
        <v>8886</v>
      </c>
      <c r="C5050" s="5" t="s">
        <v>9599</v>
      </c>
      <c r="D5050" s="6">
        <v>517.94000000000005</v>
      </c>
      <c r="E5050" s="6">
        <v>492.2</v>
      </c>
      <c r="F5050" s="7" t="s">
        <v>14</v>
      </c>
      <c r="G5050" s="8" t="s">
        <v>9600</v>
      </c>
      <c r="H5050" s="8" t="s">
        <v>16</v>
      </c>
      <c r="I5050" s="9">
        <v>368</v>
      </c>
      <c r="J5050" s="10">
        <v>1</v>
      </c>
      <c r="K5050" s="10">
        <v>10658</v>
      </c>
      <c r="L5050" s="3" t="str">
        <f t="shared" si="163"/>
        <v>ΣΚΛΗΡΟΣ_ΣΙΤΟΣ</v>
      </c>
    </row>
    <row r="5051" spans="1:12" s="3" customFormat="1" ht="24" x14ac:dyDescent="0.25">
      <c r="A5051" s="3" t="str">
        <f t="shared" si="162"/>
        <v>ΣΚΛΗΡΟΣ ΣΙΤΟΣΣΙΤΟΣ ΣΚΛΗΡΟΣ ARES VSD</v>
      </c>
      <c r="B5051" s="4" t="s">
        <v>8886</v>
      </c>
      <c r="C5051" s="5" t="s">
        <v>9601</v>
      </c>
      <c r="D5051" s="6">
        <v>517.94000000000005</v>
      </c>
      <c r="E5051" s="6">
        <v>492.2</v>
      </c>
      <c r="F5051" s="7" t="s">
        <v>14</v>
      </c>
      <c r="G5051" s="8" t="s">
        <v>9602</v>
      </c>
      <c r="H5051" s="8" t="s">
        <v>16</v>
      </c>
      <c r="I5051" s="9">
        <v>367</v>
      </c>
      <c r="J5051" s="10">
        <v>1</v>
      </c>
      <c r="K5051" s="10">
        <v>10659</v>
      </c>
      <c r="L5051" s="3" t="str">
        <f t="shared" si="163"/>
        <v>ΣΚΛΗΡΟΣ_ΣΙΤΟΣ</v>
      </c>
    </row>
    <row r="5052" spans="1:12" s="3" customFormat="1" ht="24" x14ac:dyDescent="0.25">
      <c r="A5052" s="3" t="str">
        <f t="shared" si="162"/>
        <v>ΣΚΛΗΡΟΣ ΣΙΤΟΣΣΙΤΟΣ ΣΚΛΗΡΟΣ BELTORAX</v>
      </c>
      <c r="B5052" s="4" t="s">
        <v>8886</v>
      </c>
      <c r="C5052" s="5" t="s">
        <v>9603</v>
      </c>
      <c r="D5052" s="6">
        <v>517.94000000000005</v>
      </c>
      <c r="E5052" s="6">
        <v>492.2</v>
      </c>
      <c r="F5052" s="7" t="s">
        <v>14</v>
      </c>
      <c r="G5052" s="8" t="s">
        <v>9604</v>
      </c>
      <c r="H5052" s="8" t="s">
        <v>16</v>
      </c>
      <c r="I5052" s="9">
        <v>366</v>
      </c>
      <c r="J5052" s="10">
        <v>1</v>
      </c>
      <c r="K5052" s="10">
        <v>10660</v>
      </c>
      <c r="L5052" s="3" t="str">
        <f t="shared" si="163"/>
        <v>ΣΚΛΗΡΟΣ_ΣΙΤΟΣ</v>
      </c>
    </row>
    <row r="5053" spans="1:12" s="3" customFormat="1" ht="24" x14ac:dyDescent="0.25">
      <c r="A5053" s="3" t="str">
        <f t="shared" si="162"/>
        <v>ΣΚΛΗΡΟΣ ΣΙΤΟΣΣΙΤΟΣ ΣΚΛΗΡΟΣ BRIGANTE</v>
      </c>
      <c r="B5053" s="4" t="s">
        <v>8886</v>
      </c>
      <c r="C5053" s="5" t="s">
        <v>9605</v>
      </c>
      <c r="D5053" s="6">
        <v>517.94000000000005</v>
      </c>
      <c r="E5053" s="6">
        <v>492.2</v>
      </c>
      <c r="F5053" s="7" t="s">
        <v>14</v>
      </c>
      <c r="G5053" s="8" t="s">
        <v>9606</v>
      </c>
      <c r="H5053" s="8" t="s">
        <v>16</v>
      </c>
      <c r="I5053" s="9">
        <v>365</v>
      </c>
      <c r="J5053" s="10">
        <v>1</v>
      </c>
      <c r="K5053" s="10">
        <v>10661</v>
      </c>
      <c r="L5053" s="3" t="str">
        <f t="shared" si="163"/>
        <v>ΣΚΛΗΡΟΣ_ΣΙΤΟΣ</v>
      </c>
    </row>
    <row r="5054" spans="1:12" s="3" customFormat="1" ht="24" x14ac:dyDescent="0.25">
      <c r="A5054" s="3" t="str">
        <f t="shared" si="162"/>
        <v>ΣΚΛΗΡΟΣ ΣΙΤΟΣΣΙΤΟΣ ΣΚΛΗΡΟΣ EUNOBLE</v>
      </c>
      <c r="B5054" s="4" t="s">
        <v>8886</v>
      </c>
      <c r="C5054" s="5" t="s">
        <v>9607</v>
      </c>
      <c r="D5054" s="6">
        <v>517.94000000000005</v>
      </c>
      <c r="E5054" s="6">
        <v>492.2</v>
      </c>
      <c r="F5054" s="7" t="s">
        <v>14</v>
      </c>
      <c r="G5054" s="8" t="s">
        <v>9608</v>
      </c>
      <c r="H5054" s="8" t="s">
        <v>16</v>
      </c>
      <c r="I5054" s="9">
        <v>356</v>
      </c>
      <c r="J5054" s="10">
        <v>1</v>
      </c>
      <c r="K5054" s="10">
        <v>10662</v>
      </c>
      <c r="L5054" s="3" t="str">
        <f t="shared" si="163"/>
        <v>ΣΚΛΗΡΟΣ_ΣΙΤΟΣ</v>
      </c>
    </row>
    <row r="5055" spans="1:12" s="3" customFormat="1" ht="24" x14ac:dyDescent="0.25">
      <c r="A5055" s="3" t="str">
        <f t="shared" si="162"/>
        <v>ΣΚΛΗΡΟΣ ΣΙΤΟΣΣΙΤΟΣ ΣΚΛΗΡΟΣ SENIOR</v>
      </c>
      <c r="B5055" s="4" t="s">
        <v>8886</v>
      </c>
      <c r="C5055" s="5" t="s">
        <v>9609</v>
      </c>
      <c r="D5055" s="6">
        <v>517.94000000000005</v>
      </c>
      <c r="E5055" s="6">
        <v>492.2</v>
      </c>
      <c r="F5055" s="7" t="s">
        <v>14</v>
      </c>
      <c r="G5055" s="8" t="s">
        <v>9610</v>
      </c>
      <c r="H5055" s="8" t="s">
        <v>16</v>
      </c>
      <c r="I5055" s="9">
        <v>363</v>
      </c>
      <c r="J5055" s="10">
        <v>1</v>
      </c>
      <c r="K5055" s="10">
        <v>10663</v>
      </c>
      <c r="L5055" s="3" t="str">
        <f t="shared" si="163"/>
        <v>ΣΚΛΗΡΟΣ_ΣΙΤΟΣ</v>
      </c>
    </row>
    <row r="5056" spans="1:12" s="3" customFormat="1" ht="24" x14ac:dyDescent="0.25">
      <c r="A5056" s="3" t="str">
        <f t="shared" si="162"/>
        <v>ΣΚΛΗΡΟΣ ΣΙΤΟΣΣΙΤΟΣ ΣΚΛΗΡΟΣ SY LEONARDO</v>
      </c>
      <c r="B5056" s="4" t="s">
        <v>8886</v>
      </c>
      <c r="C5056" s="5" t="s">
        <v>9611</v>
      </c>
      <c r="D5056" s="6">
        <v>517.94000000000005</v>
      </c>
      <c r="E5056" s="6">
        <v>492.2</v>
      </c>
      <c r="F5056" s="7" t="s">
        <v>14</v>
      </c>
      <c r="G5056" s="8" t="s">
        <v>9612</v>
      </c>
      <c r="H5056" s="8" t="s">
        <v>16</v>
      </c>
      <c r="I5056" s="9">
        <v>371</v>
      </c>
      <c r="J5056" s="10">
        <v>1</v>
      </c>
      <c r="K5056" s="10">
        <v>10664</v>
      </c>
      <c r="L5056" s="3" t="str">
        <f t="shared" si="163"/>
        <v>ΣΚΛΗΡΟΣ_ΣΙΤΟΣ</v>
      </c>
    </row>
    <row r="5057" spans="1:12" s="3" customFormat="1" ht="24" x14ac:dyDescent="0.25">
      <c r="A5057" s="3" t="str">
        <f t="shared" si="162"/>
        <v>ΣΚΛΗΡΟΣ ΣΙΤΟΣΣΙΤΟΣ ΣΚΛΗΡΟΣ LG BELAKIS</v>
      </c>
      <c r="B5057" s="4" t="s">
        <v>8886</v>
      </c>
      <c r="C5057" s="5" t="s">
        <v>9613</v>
      </c>
      <c r="D5057" s="6">
        <v>517.94000000000005</v>
      </c>
      <c r="E5057" s="6">
        <v>492.2</v>
      </c>
      <c r="F5057" s="7" t="s">
        <v>14</v>
      </c>
      <c r="G5057" s="8" t="s">
        <v>9614</v>
      </c>
      <c r="H5057" s="8" t="s">
        <v>16</v>
      </c>
      <c r="I5057" s="9">
        <v>361</v>
      </c>
      <c r="J5057" s="10">
        <v>1</v>
      </c>
      <c r="K5057" s="10">
        <v>10665</v>
      </c>
      <c r="L5057" s="3" t="str">
        <f t="shared" si="163"/>
        <v>ΣΚΛΗΡΟΣ_ΣΙΤΟΣ</v>
      </c>
    </row>
    <row r="5058" spans="1:12" s="3" customFormat="1" ht="24" x14ac:dyDescent="0.25">
      <c r="A5058" s="3" t="str">
        <f t="shared" si="162"/>
        <v>ΣΚΛΗΡΟΣ ΣΙΤΟΣΣΙΤΟΣ ΣΚΛΗΡΟΣ MV MASNIDUR</v>
      </c>
      <c r="B5058" s="4" t="s">
        <v>8886</v>
      </c>
      <c r="C5058" s="5" t="s">
        <v>9615</v>
      </c>
      <c r="D5058" s="6">
        <v>517.94000000000005</v>
      </c>
      <c r="E5058" s="6">
        <v>492.2</v>
      </c>
      <c r="F5058" s="7" t="s">
        <v>14</v>
      </c>
      <c r="G5058" s="8" t="s">
        <v>9616</v>
      </c>
      <c r="H5058" s="8" t="s">
        <v>16</v>
      </c>
      <c r="I5058" s="9">
        <v>360</v>
      </c>
      <c r="J5058" s="10">
        <v>1</v>
      </c>
      <c r="K5058" s="10">
        <v>10666</v>
      </c>
      <c r="L5058" s="3" t="str">
        <f t="shared" si="163"/>
        <v>ΣΚΛΗΡΟΣ_ΣΙΤΟΣ</v>
      </c>
    </row>
    <row r="5059" spans="1:12" s="3" customFormat="1" ht="24" x14ac:dyDescent="0.25">
      <c r="A5059" s="3" t="str">
        <f t="shared" ref="A5059:A5122" si="164">_xlfn.CONCAT(B5059,C5059)</f>
        <v>ΣΚΛΗΡΟΣ ΣΙΤΟΣΣΙΤΟΣ ΣΚΛΗΡΟΣ PR22D63</v>
      </c>
      <c r="B5059" s="4" t="s">
        <v>8886</v>
      </c>
      <c r="C5059" s="5" t="s">
        <v>9617</v>
      </c>
      <c r="D5059" s="6">
        <v>517.94000000000005</v>
      </c>
      <c r="E5059" s="6">
        <v>492.2</v>
      </c>
      <c r="F5059" s="7" t="s">
        <v>14</v>
      </c>
      <c r="G5059" s="8" t="s">
        <v>9618</v>
      </c>
      <c r="H5059" s="8" t="s">
        <v>16</v>
      </c>
      <c r="I5059" s="9">
        <v>359</v>
      </c>
      <c r="J5059" s="10">
        <v>1</v>
      </c>
      <c r="K5059" s="10">
        <v>10667</v>
      </c>
      <c r="L5059" s="3" t="str">
        <f t="shared" ref="L5059:L5122" si="165">IFERROR(SUBSTITUTE(SUBSTITUTE(SUBSTITUTE(SUBSTITUTE(SUBSTITUTE(B5059, "-", "_"), " ", "_"), ",", ""), "(", ""), ")", ""), B5059)</f>
        <v>ΣΚΛΗΡΟΣ_ΣΙΤΟΣ</v>
      </c>
    </row>
    <row r="5060" spans="1:12" s="3" customFormat="1" ht="24" x14ac:dyDescent="0.25">
      <c r="A5060" s="3" t="str">
        <f t="shared" si="164"/>
        <v>ΣΚΛΗΡΟΣ ΣΙΤΟΣΣΙΤΟΣ ΣΚΛΗΡΟΣ AKTIDA</v>
      </c>
      <c r="B5060" s="4" t="s">
        <v>8886</v>
      </c>
      <c r="C5060" s="5" t="s">
        <v>9619</v>
      </c>
      <c r="D5060" s="6">
        <v>517.94000000000005</v>
      </c>
      <c r="E5060" s="6">
        <v>492.2</v>
      </c>
      <c r="F5060" s="7" t="s">
        <v>14</v>
      </c>
      <c r="G5060" s="8" t="s">
        <v>9620</v>
      </c>
      <c r="H5060" s="8" t="s">
        <v>16</v>
      </c>
      <c r="I5060" s="9">
        <v>358</v>
      </c>
      <c r="J5060" s="10">
        <v>1</v>
      </c>
      <c r="K5060" s="10">
        <v>10668</v>
      </c>
      <c r="L5060" s="3" t="str">
        <f t="shared" si="165"/>
        <v>ΣΚΛΗΡΟΣ_ΣΙΤΟΣ</v>
      </c>
    </row>
    <row r="5061" spans="1:12" s="3" customFormat="1" ht="24" x14ac:dyDescent="0.25">
      <c r="A5061" s="3" t="str">
        <f t="shared" si="164"/>
        <v>ΣΚΛΗΡΟΣ ΣΙΤΟΣΣΙΤΟΣ ΣΚΛΗΡΟΣ EBNEFSIS</v>
      </c>
      <c r="B5061" s="4" t="s">
        <v>8886</v>
      </c>
      <c r="C5061" s="5" t="s">
        <v>9621</v>
      </c>
      <c r="D5061" s="6">
        <v>517.94000000000005</v>
      </c>
      <c r="E5061" s="6">
        <v>492.2</v>
      </c>
      <c r="F5061" s="7" t="s">
        <v>14</v>
      </c>
      <c r="G5061" s="8" t="s">
        <v>9622</v>
      </c>
      <c r="H5061" s="8" t="s">
        <v>16</v>
      </c>
      <c r="I5061" s="9">
        <v>357</v>
      </c>
      <c r="J5061" s="10">
        <v>1</v>
      </c>
      <c r="K5061" s="10">
        <v>10669</v>
      </c>
      <c r="L5061" s="3" t="str">
        <f t="shared" si="165"/>
        <v>ΣΚΛΗΡΟΣ_ΣΙΤΟΣ</v>
      </c>
    </row>
    <row r="5062" spans="1:12" s="3" customFormat="1" ht="24" x14ac:dyDescent="0.25">
      <c r="A5062" s="3" t="str">
        <f t="shared" si="164"/>
        <v>ΣΚΛΗΡΟΣ ΣΙΤΟΣΣΙΤΟΣ ΣΚΛΗΡΟΣ PROMITHEAS</v>
      </c>
      <c r="B5062" s="4" t="s">
        <v>8886</v>
      </c>
      <c r="C5062" s="5" t="s">
        <v>9623</v>
      </c>
      <c r="D5062" s="6">
        <v>517.94000000000005</v>
      </c>
      <c r="E5062" s="6">
        <v>492.2</v>
      </c>
      <c r="F5062" s="7" t="s">
        <v>14</v>
      </c>
      <c r="G5062" s="8" t="s">
        <v>9624</v>
      </c>
      <c r="H5062" s="8" t="s">
        <v>16</v>
      </c>
      <c r="I5062" s="9">
        <v>379</v>
      </c>
      <c r="J5062" s="10">
        <v>1</v>
      </c>
      <c r="K5062" s="10">
        <v>10670</v>
      </c>
      <c r="L5062" s="3" t="str">
        <f t="shared" si="165"/>
        <v>ΣΚΛΗΡΟΣ_ΣΙΤΟΣ</v>
      </c>
    </row>
    <row r="5063" spans="1:12" s="3" customFormat="1" ht="24" x14ac:dyDescent="0.25">
      <c r="A5063" s="3" t="str">
        <f t="shared" si="164"/>
        <v>ΣΚΛΗΡΟΣ ΣΙΤΟΣΣΙΤΟΣ ΣΚΛΗΡΟΣ LABOMBA</v>
      </c>
      <c r="B5063" s="4" t="s">
        <v>8886</v>
      </c>
      <c r="C5063" s="5" t="s">
        <v>9625</v>
      </c>
      <c r="D5063" s="6">
        <v>517.94000000000005</v>
      </c>
      <c r="E5063" s="6">
        <v>492.2</v>
      </c>
      <c r="F5063" s="7" t="s">
        <v>14</v>
      </c>
      <c r="G5063" s="8" t="s">
        <v>9626</v>
      </c>
      <c r="H5063" s="8" t="s">
        <v>16</v>
      </c>
      <c r="I5063" s="9">
        <v>381</v>
      </c>
      <c r="J5063" s="10">
        <v>1</v>
      </c>
      <c r="K5063" s="10">
        <v>10671</v>
      </c>
      <c r="L5063" s="3" t="str">
        <f t="shared" si="165"/>
        <v>ΣΚΛΗΡΟΣ_ΣΙΤΟΣ</v>
      </c>
    </row>
    <row r="5064" spans="1:12" s="3" customFormat="1" ht="24" x14ac:dyDescent="0.25">
      <c r="A5064" s="3" t="str">
        <f t="shared" si="164"/>
        <v>ΣΚΛΗΡΟΣ ΣΙΤΟΣΣΙΤΟΣ ΣΚΛΗΡΟΣ TIMAIOS</v>
      </c>
      <c r="B5064" s="4" t="s">
        <v>8886</v>
      </c>
      <c r="C5064" s="5" t="s">
        <v>9627</v>
      </c>
      <c r="D5064" s="6">
        <v>517.94000000000005</v>
      </c>
      <c r="E5064" s="6">
        <v>492.2</v>
      </c>
      <c r="F5064" s="7" t="s">
        <v>14</v>
      </c>
      <c r="G5064" s="8" t="s">
        <v>9628</v>
      </c>
      <c r="H5064" s="8" t="s">
        <v>16</v>
      </c>
      <c r="I5064" s="9">
        <v>364</v>
      </c>
      <c r="J5064" s="10">
        <v>1</v>
      </c>
      <c r="K5064" s="10">
        <v>10672</v>
      </c>
      <c r="L5064" s="3" t="str">
        <f t="shared" si="165"/>
        <v>ΣΚΛΗΡΟΣ_ΣΙΤΟΣ</v>
      </c>
    </row>
    <row r="5065" spans="1:12" s="3" customFormat="1" ht="24" x14ac:dyDescent="0.25">
      <c r="A5065" s="3" t="str">
        <f t="shared" si="164"/>
        <v>ΣΚΛΗΡΟΣ ΣΙΤΟΣΣΙΤΟΣ ΣΚΛΗΡΟΣ BERING</v>
      </c>
      <c r="B5065" s="4" t="s">
        <v>8886</v>
      </c>
      <c r="C5065" s="5" t="s">
        <v>9629</v>
      </c>
      <c r="D5065" s="6">
        <v>517.94000000000005</v>
      </c>
      <c r="E5065" s="6">
        <v>492.2</v>
      </c>
      <c r="F5065" s="7" t="s">
        <v>14</v>
      </c>
      <c r="G5065" s="8" t="s">
        <v>9630</v>
      </c>
      <c r="H5065" s="8" t="s">
        <v>16</v>
      </c>
      <c r="I5065" s="9">
        <v>386</v>
      </c>
      <c r="J5065" s="10">
        <v>1</v>
      </c>
      <c r="K5065" s="10">
        <v>10673</v>
      </c>
      <c r="L5065" s="3" t="str">
        <f t="shared" si="165"/>
        <v>ΣΚΛΗΡΟΣ_ΣΙΤΟΣ</v>
      </c>
    </row>
    <row r="5066" spans="1:12" s="3" customFormat="1" ht="24" x14ac:dyDescent="0.25">
      <c r="A5066" s="3" t="str">
        <f t="shared" si="164"/>
        <v>ΣΚΛΗΡΟΣ ΣΙΤΟΣΣΙΤΟΣ ΣΚΛΗΡΟΣ BG DURIAMO 2S</v>
      </c>
      <c r="B5066" s="4" t="s">
        <v>8886</v>
      </c>
      <c r="C5066" s="5" t="s">
        <v>9631</v>
      </c>
      <c r="D5066" s="6">
        <v>517.94000000000005</v>
      </c>
      <c r="E5066" s="6">
        <v>492.2</v>
      </c>
      <c r="F5066" s="7" t="s">
        <v>14</v>
      </c>
      <c r="G5066" s="8" t="s">
        <v>9632</v>
      </c>
      <c r="H5066" s="8" t="s">
        <v>16</v>
      </c>
      <c r="I5066" s="9">
        <v>385</v>
      </c>
      <c r="J5066" s="10">
        <v>1</v>
      </c>
      <c r="K5066" s="10">
        <v>10674</v>
      </c>
      <c r="L5066" s="3" t="str">
        <f t="shared" si="165"/>
        <v>ΣΚΛΗΡΟΣ_ΣΙΤΟΣ</v>
      </c>
    </row>
    <row r="5067" spans="1:12" s="3" customFormat="1" ht="24" x14ac:dyDescent="0.25">
      <c r="A5067" s="3" t="str">
        <f t="shared" si="164"/>
        <v>ΣΚΛΗΡΟΣ ΣΙΤΟΣΣΙΤΟΣ ΣΚΛΗΡΟΣ BRANCALEONE</v>
      </c>
      <c r="B5067" s="4" t="s">
        <v>8886</v>
      </c>
      <c r="C5067" s="5" t="s">
        <v>9633</v>
      </c>
      <c r="D5067" s="6">
        <v>517.94000000000005</v>
      </c>
      <c r="E5067" s="6">
        <v>492.2</v>
      </c>
      <c r="F5067" s="7" t="s">
        <v>14</v>
      </c>
      <c r="G5067" s="8" t="s">
        <v>9634</v>
      </c>
      <c r="H5067" s="8" t="s">
        <v>16</v>
      </c>
      <c r="I5067" s="9">
        <v>384</v>
      </c>
      <c r="J5067" s="10">
        <v>1</v>
      </c>
      <c r="K5067" s="10">
        <v>10675</v>
      </c>
      <c r="L5067" s="3" t="str">
        <f t="shared" si="165"/>
        <v>ΣΚΛΗΡΟΣ_ΣΙΤΟΣ</v>
      </c>
    </row>
    <row r="5068" spans="1:12" s="3" customFormat="1" ht="24" x14ac:dyDescent="0.25">
      <c r="A5068" s="3" t="str">
        <f t="shared" si="164"/>
        <v>ΣΚΛΗΡΟΣ ΣΙΤΟΣΣΙΤΟΣ ΣΚΛΗΡΟΣ CONTADOU</v>
      </c>
      <c r="B5068" s="4" t="s">
        <v>8886</v>
      </c>
      <c r="C5068" s="5" t="s">
        <v>9635</v>
      </c>
      <c r="D5068" s="6">
        <v>517.94000000000005</v>
      </c>
      <c r="E5068" s="6">
        <v>492.2</v>
      </c>
      <c r="F5068" s="7" t="s">
        <v>14</v>
      </c>
      <c r="G5068" s="8" t="s">
        <v>9636</v>
      </c>
      <c r="H5068" s="8" t="s">
        <v>16</v>
      </c>
      <c r="I5068" s="9">
        <v>383</v>
      </c>
      <c r="J5068" s="10">
        <v>1</v>
      </c>
      <c r="K5068" s="10">
        <v>10676</v>
      </c>
      <c r="L5068" s="3" t="str">
        <f t="shared" si="165"/>
        <v>ΣΚΛΗΡΟΣ_ΣΙΤΟΣ</v>
      </c>
    </row>
    <row r="5069" spans="1:12" s="3" customFormat="1" ht="24" x14ac:dyDescent="0.25">
      <c r="A5069" s="3" t="str">
        <f t="shared" si="164"/>
        <v>ΣΚΛΗΡΟΣ ΣΙΤΟΣΣΙΤΟΣ ΣΚΛΗΡΟΣ DURALIS</v>
      </c>
      <c r="B5069" s="4" t="s">
        <v>8886</v>
      </c>
      <c r="C5069" s="5" t="s">
        <v>9637</v>
      </c>
      <c r="D5069" s="6">
        <v>517.94000000000005</v>
      </c>
      <c r="E5069" s="6">
        <v>492.2</v>
      </c>
      <c r="F5069" s="7" t="s">
        <v>14</v>
      </c>
      <c r="G5069" s="8" t="s">
        <v>9638</v>
      </c>
      <c r="H5069" s="8" t="s">
        <v>16</v>
      </c>
      <c r="I5069" s="9">
        <v>382</v>
      </c>
      <c r="J5069" s="10">
        <v>1</v>
      </c>
      <c r="K5069" s="10">
        <v>10677</v>
      </c>
      <c r="L5069" s="3" t="str">
        <f t="shared" si="165"/>
        <v>ΣΚΛΗΡΟΣ_ΣΙΤΟΣ</v>
      </c>
    </row>
    <row r="5070" spans="1:12" s="3" customFormat="1" ht="24" x14ac:dyDescent="0.25">
      <c r="A5070" s="3" t="str">
        <f t="shared" si="164"/>
        <v>ΣΚΛΗΡΟΣ ΣΙΤΟΣΣΙΤΟΣ ΣΚΛΗΡΟΣ ERMES</v>
      </c>
      <c r="B5070" s="4" t="s">
        <v>8886</v>
      </c>
      <c r="C5070" s="5" t="s">
        <v>9639</v>
      </c>
      <c r="D5070" s="6">
        <v>517.94000000000005</v>
      </c>
      <c r="E5070" s="6">
        <v>492.2</v>
      </c>
      <c r="F5070" s="7" t="s">
        <v>14</v>
      </c>
      <c r="G5070" s="8" t="s">
        <v>9640</v>
      </c>
      <c r="H5070" s="8" t="s">
        <v>16</v>
      </c>
      <c r="I5070" s="9">
        <v>372</v>
      </c>
      <c r="J5070" s="10">
        <v>1</v>
      </c>
      <c r="K5070" s="10">
        <v>10678</v>
      </c>
      <c r="L5070" s="3" t="str">
        <f t="shared" si="165"/>
        <v>ΣΚΛΗΡΟΣ_ΣΙΤΟΣ</v>
      </c>
    </row>
    <row r="5071" spans="1:12" s="3" customFormat="1" x14ac:dyDescent="0.25">
      <c r="A5071" s="3" t="str">
        <f t="shared" si="164"/>
        <v>ΣΚΛΗΡΟΣ ΣΙΤΟΣΣΙΤΟΣ ΣΚΛΗΡΟΣ ERMES VSD</v>
      </c>
      <c r="B5071" s="4" t="s">
        <v>8886</v>
      </c>
      <c r="C5071" s="5" t="s">
        <v>9641</v>
      </c>
      <c r="D5071" s="6">
        <v>517.94000000000005</v>
      </c>
      <c r="E5071" s="6">
        <v>492.2</v>
      </c>
      <c r="F5071" s="7" t="s">
        <v>14</v>
      </c>
      <c r="G5071" s="8" t="s">
        <v>9642</v>
      </c>
      <c r="H5071" s="8" t="s">
        <v>27</v>
      </c>
      <c r="I5071" s="9">
        <v>380</v>
      </c>
      <c r="J5071" s="10">
        <v>1</v>
      </c>
      <c r="K5071" s="10">
        <v>10679</v>
      </c>
      <c r="L5071" s="3" t="str">
        <f t="shared" si="165"/>
        <v>ΣΚΛΗΡΟΣ_ΣΙΤΟΣ</v>
      </c>
    </row>
    <row r="5072" spans="1:12" s="3" customFormat="1" ht="24" x14ac:dyDescent="0.25">
      <c r="A5072" s="3" t="str">
        <f t="shared" si="164"/>
        <v>ΣΚΛΗΡΟΣ ΣΙΤΟΣΣΙΤΟΣ ΣΚΛΗΡΟΣ GS ARMANDO</v>
      </c>
      <c r="B5072" s="4" t="s">
        <v>8886</v>
      </c>
      <c r="C5072" s="5" t="s">
        <v>9643</v>
      </c>
      <c r="D5072" s="6">
        <v>517.94000000000005</v>
      </c>
      <c r="E5072" s="6">
        <v>492.2</v>
      </c>
      <c r="F5072" s="7" t="s">
        <v>14</v>
      </c>
      <c r="G5072" s="8" t="s">
        <v>9644</v>
      </c>
      <c r="H5072" s="8" t="s">
        <v>16</v>
      </c>
      <c r="I5072" s="9">
        <v>388</v>
      </c>
      <c r="J5072" s="10">
        <v>1</v>
      </c>
      <c r="K5072" s="10">
        <v>10680</v>
      </c>
      <c r="L5072" s="3" t="str">
        <f t="shared" si="165"/>
        <v>ΣΚΛΗΡΟΣ_ΣΙΤΟΣ</v>
      </c>
    </row>
    <row r="5073" spans="1:12" s="3" customFormat="1" ht="24" x14ac:dyDescent="0.25">
      <c r="A5073" s="3" t="str">
        <f t="shared" si="164"/>
        <v>ΣΚΛΗΡΟΣ ΣΙΤΟΣΣΙΤΟΣ ΣΚΛΗΡΟΣ GREGORIO</v>
      </c>
      <c r="B5073" s="4" t="s">
        <v>8886</v>
      </c>
      <c r="C5073" s="5" t="s">
        <v>9645</v>
      </c>
      <c r="D5073" s="6">
        <v>517.94000000000005</v>
      </c>
      <c r="E5073" s="6">
        <v>492.2</v>
      </c>
      <c r="F5073" s="7" t="s">
        <v>14</v>
      </c>
      <c r="G5073" s="8" t="s">
        <v>9646</v>
      </c>
      <c r="H5073" s="8" t="s">
        <v>16</v>
      </c>
      <c r="I5073" s="9">
        <v>378</v>
      </c>
      <c r="J5073" s="10">
        <v>1</v>
      </c>
      <c r="K5073" s="10">
        <v>10681</v>
      </c>
      <c r="L5073" s="3" t="str">
        <f t="shared" si="165"/>
        <v>ΣΚΛΗΡΟΣ_ΣΙΤΟΣ</v>
      </c>
    </row>
    <row r="5074" spans="1:12" s="3" customFormat="1" ht="24" x14ac:dyDescent="0.25">
      <c r="A5074" s="3" t="str">
        <f t="shared" si="164"/>
        <v>ΣΚΛΗΡΟΣ ΣΙΤΟΣΣΙΤΟΣ ΣΚΛΗΡΟΣ IS DURABLANK</v>
      </c>
      <c r="B5074" s="4" t="s">
        <v>8886</v>
      </c>
      <c r="C5074" s="5" t="s">
        <v>9647</v>
      </c>
      <c r="D5074" s="6">
        <v>517.94000000000005</v>
      </c>
      <c r="E5074" s="6">
        <v>492.2</v>
      </c>
      <c r="F5074" s="7" t="s">
        <v>14</v>
      </c>
      <c r="G5074" s="8" t="s">
        <v>9648</v>
      </c>
      <c r="H5074" s="8" t="s">
        <v>16</v>
      </c>
      <c r="I5074" s="9">
        <v>377</v>
      </c>
      <c r="J5074" s="10">
        <v>1</v>
      </c>
      <c r="K5074" s="10">
        <v>10682</v>
      </c>
      <c r="L5074" s="3" t="str">
        <f t="shared" si="165"/>
        <v>ΣΚΛΗΡΟΣ_ΣΙΤΟΣ</v>
      </c>
    </row>
    <row r="5075" spans="1:12" s="3" customFormat="1" ht="24" x14ac:dyDescent="0.25">
      <c r="A5075" s="3" t="str">
        <f t="shared" si="164"/>
        <v>ΣΚΛΗΡΟΣ ΣΙΤΟΣΣΙΤΟΣ ΣΚΛΗΡΟΣ IS FORTIDUR</v>
      </c>
      <c r="B5075" s="4" t="s">
        <v>8886</v>
      </c>
      <c r="C5075" s="5" t="s">
        <v>9649</v>
      </c>
      <c r="D5075" s="6">
        <v>517.94000000000005</v>
      </c>
      <c r="E5075" s="6">
        <v>492.2</v>
      </c>
      <c r="F5075" s="7" t="s">
        <v>14</v>
      </c>
      <c r="G5075" s="8" t="s">
        <v>9650</v>
      </c>
      <c r="H5075" s="8" t="s">
        <v>16</v>
      </c>
      <c r="I5075" s="9">
        <v>376</v>
      </c>
      <c r="J5075" s="10">
        <v>1</v>
      </c>
      <c r="K5075" s="10">
        <v>10683</v>
      </c>
      <c r="L5075" s="3" t="str">
        <f t="shared" si="165"/>
        <v>ΣΚΛΗΡΟΣ_ΣΙΤΟΣ</v>
      </c>
    </row>
    <row r="5076" spans="1:12" s="3" customFormat="1" ht="24" x14ac:dyDescent="0.25">
      <c r="A5076" s="3" t="str">
        <f t="shared" si="164"/>
        <v>ΣΚΛΗΡΟΣ ΣΙΤΟΣΣΙΤΟΣ ΣΚΛΗΡΟΣ LG ACROPOLIS</v>
      </c>
      <c r="B5076" s="4" t="s">
        <v>8886</v>
      </c>
      <c r="C5076" s="5" t="s">
        <v>9651</v>
      </c>
      <c r="D5076" s="6">
        <v>517.94000000000005</v>
      </c>
      <c r="E5076" s="6">
        <v>492.2</v>
      </c>
      <c r="F5076" s="7" t="s">
        <v>14</v>
      </c>
      <c r="G5076" s="8" t="s">
        <v>9652</v>
      </c>
      <c r="H5076" s="8" t="s">
        <v>16</v>
      </c>
      <c r="I5076" s="9">
        <v>375</v>
      </c>
      <c r="J5076" s="10">
        <v>1</v>
      </c>
      <c r="K5076" s="10">
        <v>10684</v>
      </c>
      <c r="L5076" s="3" t="str">
        <f t="shared" si="165"/>
        <v>ΣΚΛΗΡΟΣ_ΣΙΤΟΣ</v>
      </c>
    </row>
    <row r="5077" spans="1:12" s="3" customFormat="1" ht="24" x14ac:dyDescent="0.25">
      <c r="A5077" s="3" t="str">
        <f t="shared" si="164"/>
        <v>ΣΚΛΗΡΟΣ ΣΙΤΟΣΣΙΤΟΣ ΣΚΛΗΡΟΣ LG HIPNOSIS</v>
      </c>
      <c r="B5077" s="4" t="s">
        <v>8886</v>
      </c>
      <c r="C5077" s="5" t="s">
        <v>9653</v>
      </c>
      <c r="D5077" s="6">
        <v>517.94000000000005</v>
      </c>
      <c r="E5077" s="6">
        <v>492.2</v>
      </c>
      <c r="F5077" s="7" t="s">
        <v>14</v>
      </c>
      <c r="G5077" s="8" t="s">
        <v>9654</v>
      </c>
      <c r="H5077" s="8" t="s">
        <v>16</v>
      </c>
      <c r="I5077" s="9">
        <v>374</v>
      </c>
      <c r="J5077" s="10">
        <v>1</v>
      </c>
      <c r="K5077" s="10">
        <v>10685</v>
      </c>
      <c r="L5077" s="3" t="str">
        <f t="shared" si="165"/>
        <v>ΣΚΛΗΡΟΣ_ΣΙΤΟΣ</v>
      </c>
    </row>
    <row r="5078" spans="1:12" s="3" customFormat="1" ht="24" x14ac:dyDescent="0.25">
      <c r="A5078" s="3" t="str">
        <f t="shared" si="164"/>
        <v>ΣΚΛΗΡΟΣ ΣΙΤΟΣΣΙΤΟΣ ΣΚΛΗΡΟΣ LG DAVIS</v>
      </c>
      <c r="B5078" s="4" t="s">
        <v>8886</v>
      </c>
      <c r="C5078" s="5" t="s">
        <v>9655</v>
      </c>
      <c r="D5078" s="6">
        <v>517.94000000000005</v>
      </c>
      <c r="E5078" s="6">
        <v>492.2</v>
      </c>
      <c r="F5078" s="7" t="s">
        <v>14</v>
      </c>
      <c r="G5078" s="8" t="s">
        <v>9656</v>
      </c>
      <c r="H5078" s="8" t="s">
        <v>16</v>
      </c>
      <c r="I5078" s="9">
        <v>348</v>
      </c>
      <c r="J5078" s="10">
        <v>1</v>
      </c>
      <c r="K5078" s="10">
        <v>10686</v>
      </c>
      <c r="L5078" s="3" t="str">
        <f t="shared" si="165"/>
        <v>ΣΚΛΗΡΟΣ_ΣΙΤΟΣ</v>
      </c>
    </row>
    <row r="5079" spans="1:12" s="3" customFormat="1" ht="24" x14ac:dyDescent="0.25">
      <c r="A5079" s="3" t="str">
        <f t="shared" si="164"/>
        <v>ΣΚΛΗΡΟΣ ΣΙΤΟΣΣΙΤΟΣ ΣΚΛΗΡΟΣ LG FRUCTIS</v>
      </c>
      <c r="B5079" s="4" t="s">
        <v>8886</v>
      </c>
      <c r="C5079" s="5" t="s">
        <v>9657</v>
      </c>
      <c r="D5079" s="6">
        <v>517.94000000000005</v>
      </c>
      <c r="E5079" s="6">
        <v>492.2</v>
      </c>
      <c r="F5079" s="7" t="s">
        <v>14</v>
      </c>
      <c r="G5079" s="8" t="s">
        <v>9658</v>
      </c>
      <c r="H5079" s="8" t="s">
        <v>16</v>
      </c>
      <c r="I5079" s="9">
        <v>387</v>
      </c>
      <c r="J5079" s="10">
        <v>1</v>
      </c>
      <c r="K5079" s="10">
        <v>10687</v>
      </c>
      <c r="L5079" s="3" t="str">
        <f t="shared" si="165"/>
        <v>ΣΚΛΗΡΟΣ_ΣΙΤΟΣ</v>
      </c>
    </row>
    <row r="5080" spans="1:12" s="3" customFormat="1" ht="24" x14ac:dyDescent="0.25">
      <c r="A5080" s="3" t="str">
        <f t="shared" si="164"/>
        <v>ΣΚΛΗΡΟΣ ΣΙΤΟΣΣΙΤΟΣ ΣΚΛΗΡΟΣ LG INDIANAPOLIS</v>
      </c>
      <c r="B5080" s="4" t="s">
        <v>8886</v>
      </c>
      <c r="C5080" s="5" t="s">
        <v>9659</v>
      </c>
      <c r="D5080" s="6">
        <v>517.94000000000005</v>
      </c>
      <c r="E5080" s="6">
        <v>492.2</v>
      </c>
      <c r="F5080" s="7" t="s">
        <v>14</v>
      </c>
      <c r="G5080" s="8" t="s">
        <v>9660</v>
      </c>
      <c r="H5080" s="8" t="s">
        <v>16</v>
      </c>
      <c r="I5080" s="9">
        <v>362</v>
      </c>
      <c r="J5080" s="10">
        <v>1</v>
      </c>
      <c r="K5080" s="10">
        <v>10688</v>
      </c>
      <c r="L5080" s="3" t="str">
        <f t="shared" si="165"/>
        <v>ΣΚΛΗΡΟΣ_ΣΙΤΟΣ</v>
      </c>
    </row>
    <row r="5081" spans="1:12" s="3" customFormat="1" ht="24" x14ac:dyDescent="0.25">
      <c r="A5081" s="3" t="str">
        <f t="shared" si="164"/>
        <v>ΣΚΛΗΡΟΣ ΣΙΤΟΣΣΙΤΟΣ ΣΚΛΗΡΟΣ LG YSATIS</v>
      </c>
      <c r="B5081" s="4" t="s">
        <v>8886</v>
      </c>
      <c r="C5081" s="5" t="s">
        <v>9661</v>
      </c>
      <c r="D5081" s="6">
        <v>517.94000000000005</v>
      </c>
      <c r="E5081" s="6">
        <v>492.2</v>
      </c>
      <c r="F5081" s="7" t="s">
        <v>14</v>
      </c>
      <c r="G5081" s="8" t="s">
        <v>9662</v>
      </c>
      <c r="H5081" s="8" t="s">
        <v>16</v>
      </c>
      <c r="I5081" s="9">
        <v>338</v>
      </c>
      <c r="J5081" s="10">
        <v>1</v>
      </c>
      <c r="K5081" s="10">
        <v>10689</v>
      </c>
      <c r="L5081" s="3" t="str">
        <f t="shared" si="165"/>
        <v>ΣΚΛΗΡΟΣ_ΣΙΤΟΣ</v>
      </c>
    </row>
    <row r="5082" spans="1:12" s="3" customFormat="1" ht="24" x14ac:dyDescent="0.25">
      <c r="A5082" s="3" t="str">
        <f t="shared" si="164"/>
        <v>ΣΚΛΗΡΟΣ ΣΙΤΟΣΣΙΤΟΣ ΣΚΛΗΡΟΣ LIMBODUR</v>
      </c>
      <c r="B5082" s="4" t="s">
        <v>8886</v>
      </c>
      <c r="C5082" s="5" t="s">
        <v>9663</v>
      </c>
      <c r="D5082" s="6">
        <v>517.94000000000005</v>
      </c>
      <c r="E5082" s="6">
        <v>492.2</v>
      </c>
      <c r="F5082" s="7" t="s">
        <v>14</v>
      </c>
      <c r="G5082" s="8" t="s">
        <v>9664</v>
      </c>
      <c r="H5082" s="8" t="s">
        <v>16</v>
      </c>
      <c r="I5082" s="9">
        <v>337</v>
      </c>
      <c r="J5082" s="10">
        <v>1</v>
      </c>
      <c r="K5082" s="10">
        <v>10690</v>
      </c>
      <c r="L5082" s="3" t="str">
        <f t="shared" si="165"/>
        <v>ΣΚΛΗΡΟΣ_ΣΙΤΟΣ</v>
      </c>
    </row>
    <row r="5083" spans="1:12" s="3" customFormat="1" ht="24" x14ac:dyDescent="0.25">
      <c r="A5083" s="3" t="str">
        <f t="shared" si="164"/>
        <v>ΣΚΛΗΡΟΣ ΣΙΤΟΣΣΙΤΟΣ ΣΚΛΗΡΟΣ LOGAN</v>
      </c>
      <c r="B5083" s="4" t="s">
        <v>8886</v>
      </c>
      <c r="C5083" s="5" t="s">
        <v>9665</v>
      </c>
      <c r="D5083" s="6">
        <v>517.94000000000005</v>
      </c>
      <c r="E5083" s="6">
        <v>492.2</v>
      </c>
      <c r="F5083" s="7" t="s">
        <v>14</v>
      </c>
      <c r="G5083" s="8" t="s">
        <v>9666</v>
      </c>
      <c r="H5083" s="8" t="s">
        <v>16</v>
      </c>
      <c r="I5083" s="9">
        <v>336</v>
      </c>
      <c r="J5083" s="10">
        <v>1</v>
      </c>
      <c r="K5083" s="10">
        <v>10691</v>
      </c>
      <c r="L5083" s="3" t="str">
        <f t="shared" si="165"/>
        <v>ΣΚΛΗΡΟΣ_ΣΙΤΟΣ</v>
      </c>
    </row>
    <row r="5084" spans="1:12" s="3" customFormat="1" ht="24" x14ac:dyDescent="0.25">
      <c r="A5084" s="3" t="str">
        <f t="shared" si="164"/>
        <v>ΣΚΛΗΡΟΣ ΣΙΤΟΣΣΙΤΟΣ ΣΚΛΗΡΟΣ MAMELI</v>
      </c>
      <c r="B5084" s="4" t="s">
        <v>8886</v>
      </c>
      <c r="C5084" s="5" t="s">
        <v>9667</v>
      </c>
      <c r="D5084" s="6">
        <v>517.94000000000005</v>
      </c>
      <c r="E5084" s="6">
        <v>492.2</v>
      </c>
      <c r="F5084" s="7" t="s">
        <v>14</v>
      </c>
      <c r="G5084" s="8" t="s">
        <v>9668</v>
      </c>
      <c r="H5084" s="8" t="s">
        <v>16</v>
      </c>
      <c r="I5084" s="9">
        <v>335</v>
      </c>
      <c r="J5084" s="10">
        <v>1</v>
      </c>
      <c r="K5084" s="10">
        <v>10692</v>
      </c>
      <c r="L5084" s="3" t="str">
        <f t="shared" si="165"/>
        <v>ΣΚΛΗΡΟΣ_ΣΙΤΟΣ</v>
      </c>
    </row>
    <row r="5085" spans="1:12" s="3" customFormat="1" ht="24" x14ac:dyDescent="0.25">
      <c r="A5085" s="3" t="str">
        <f t="shared" si="164"/>
        <v>ΣΚΛΗΡΟΣ ΣΙΤΟΣΣΙΤΟΣ ΣΚΛΗΡΟΣ MONTALE</v>
      </c>
      <c r="B5085" s="4" t="s">
        <v>8886</v>
      </c>
      <c r="C5085" s="5" t="s">
        <v>9669</v>
      </c>
      <c r="D5085" s="6">
        <v>517.94000000000005</v>
      </c>
      <c r="E5085" s="6">
        <v>492.2</v>
      </c>
      <c r="F5085" s="7" t="s">
        <v>14</v>
      </c>
      <c r="G5085" s="8" t="s">
        <v>9670</v>
      </c>
      <c r="H5085" s="8" t="s">
        <v>16</v>
      </c>
      <c r="I5085" s="9">
        <v>334</v>
      </c>
      <c r="J5085" s="10">
        <v>1</v>
      </c>
      <c r="K5085" s="10">
        <v>10693</v>
      </c>
      <c r="L5085" s="3" t="str">
        <f t="shared" si="165"/>
        <v>ΣΚΛΗΡΟΣ_ΣΙΤΟΣ</v>
      </c>
    </row>
    <row r="5086" spans="1:12" s="3" customFormat="1" ht="24" x14ac:dyDescent="0.25">
      <c r="A5086" s="3" t="str">
        <f t="shared" si="164"/>
        <v>ΣΚΛΗΡΟΣ ΣΙΤΟΣΣΙΤΟΣ ΣΚΛΗΡΟΣ MAKRODUR</v>
      </c>
      <c r="B5086" s="4" t="s">
        <v>8886</v>
      </c>
      <c r="C5086" s="5" t="s">
        <v>9671</v>
      </c>
      <c r="D5086" s="6">
        <v>517.94000000000005</v>
      </c>
      <c r="E5086" s="6">
        <v>492.2</v>
      </c>
      <c r="F5086" s="7" t="s">
        <v>14</v>
      </c>
      <c r="G5086" s="8" t="s">
        <v>9672</v>
      </c>
      <c r="H5086" s="8" t="s">
        <v>16</v>
      </c>
      <c r="I5086" s="9">
        <v>333</v>
      </c>
      <c r="J5086" s="10">
        <v>1</v>
      </c>
      <c r="K5086" s="10">
        <v>10694</v>
      </c>
      <c r="L5086" s="3" t="str">
        <f t="shared" si="165"/>
        <v>ΣΚΛΗΡΟΣ_ΣΙΤΟΣ</v>
      </c>
    </row>
    <row r="5087" spans="1:12" s="3" customFormat="1" ht="24" x14ac:dyDescent="0.25">
      <c r="A5087" s="3" t="str">
        <f t="shared" si="164"/>
        <v>ΣΚΛΗΡΟΣ ΣΙΤΟΣΣΙΤΟΣ ΣΚΛΗΡΟΣ MATUSALEM</v>
      </c>
      <c r="B5087" s="4" t="s">
        <v>8886</v>
      </c>
      <c r="C5087" s="5" t="s">
        <v>9673</v>
      </c>
      <c r="D5087" s="6">
        <v>517.94000000000005</v>
      </c>
      <c r="E5087" s="6">
        <v>492.2</v>
      </c>
      <c r="F5087" s="7" t="s">
        <v>14</v>
      </c>
      <c r="G5087" s="8" t="s">
        <v>9674</v>
      </c>
      <c r="H5087" s="8" t="s">
        <v>16</v>
      </c>
      <c r="I5087" s="9">
        <v>324</v>
      </c>
      <c r="J5087" s="10">
        <v>1</v>
      </c>
      <c r="K5087" s="10">
        <v>10695</v>
      </c>
      <c r="L5087" s="3" t="str">
        <f t="shared" si="165"/>
        <v>ΣΚΛΗΡΟΣ_ΣΙΤΟΣ</v>
      </c>
    </row>
    <row r="5088" spans="1:12" s="3" customFormat="1" ht="24" x14ac:dyDescent="0.25">
      <c r="A5088" s="3" t="str">
        <f t="shared" si="164"/>
        <v>ΣΚΛΗΡΟΣ ΣΙΤΟΣΣΙΤΟΣ ΣΚΛΗΡΟΣ MV VEKADUR</v>
      </c>
      <c r="B5088" s="4" t="s">
        <v>8886</v>
      </c>
      <c r="C5088" s="5" t="s">
        <v>9675</v>
      </c>
      <c r="D5088" s="6">
        <v>517.94000000000005</v>
      </c>
      <c r="E5088" s="6">
        <v>492.2</v>
      </c>
      <c r="F5088" s="7" t="s">
        <v>14</v>
      </c>
      <c r="G5088" s="8" t="s">
        <v>9676</v>
      </c>
      <c r="H5088" s="8" t="s">
        <v>16</v>
      </c>
      <c r="I5088" s="9">
        <v>331</v>
      </c>
      <c r="J5088" s="10">
        <v>1</v>
      </c>
      <c r="K5088" s="10">
        <v>10696</v>
      </c>
      <c r="L5088" s="3" t="str">
        <f t="shared" si="165"/>
        <v>ΣΚΛΗΡΟΣ_ΣΙΤΟΣ</v>
      </c>
    </row>
    <row r="5089" spans="1:12" s="3" customFormat="1" ht="24" x14ac:dyDescent="0.25">
      <c r="A5089" s="3" t="str">
        <f t="shared" si="164"/>
        <v>ΣΚΛΗΡΟΣ ΣΙΤΟΣΣΙΤΟΣ ΣΚΛΗΡΟΣ NONNO MARIANO</v>
      </c>
      <c r="B5089" s="4" t="s">
        <v>8886</v>
      </c>
      <c r="C5089" s="5" t="s">
        <v>9677</v>
      </c>
      <c r="D5089" s="6">
        <v>517.94000000000005</v>
      </c>
      <c r="E5089" s="6">
        <v>492.2</v>
      </c>
      <c r="F5089" s="7" t="s">
        <v>14</v>
      </c>
      <c r="G5089" s="8" t="s">
        <v>9678</v>
      </c>
      <c r="H5089" s="8" t="s">
        <v>16</v>
      </c>
      <c r="I5089" s="9">
        <v>339</v>
      </c>
      <c r="J5089" s="10">
        <v>1</v>
      </c>
      <c r="K5089" s="10">
        <v>10697</v>
      </c>
      <c r="L5089" s="3" t="str">
        <f t="shared" si="165"/>
        <v>ΣΚΛΗΡΟΣ_ΣΙΤΟΣ</v>
      </c>
    </row>
    <row r="5090" spans="1:12" s="3" customFormat="1" ht="24" x14ac:dyDescent="0.25">
      <c r="A5090" s="3" t="str">
        <f t="shared" si="164"/>
        <v>ΣΚΛΗΡΟΣ ΣΙΤΟΣΣΙΤΟΣ ΣΚΛΗΡΟΣ PRESIDENT</v>
      </c>
      <c r="B5090" s="4" t="s">
        <v>8886</v>
      </c>
      <c r="C5090" s="5" t="s">
        <v>9679</v>
      </c>
      <c r="D5090" s="6">
        <v>517.94000000000005</v>
      </c>
      <c r="E5090" s="6">
        <v>492.2</v>
      </c>
      <c r="F5090" s="7" t="s">
        <v>14</v>
      </c>
      <c r="G5090" s="8" t="s">
        <v>9680</v>
      </c>
      <c r="H5090" s="8" t="s">
        <v>16</v>
      </c>
      <c r="I5090" s="9">
        <v>329</v>
      </c>
      <c r="J5090" s="10">
        <v>1</v>
      </c>
      <c r="K5090" s="10">
        <v>10698</v>
      </c>
      <c r="L5090" s="3" t="str">
        <f t="shared" si="165"/>
        <v>ΣΚΛΗΡΟΣ_ΣΙΤΟΣ</v>
      </c>
    </row>
    <row r="5091" spans="1:12" s="3" customFormat="1" ht="24" x14ac:dyDescent="0.25">
      <c r="A5091" s="3" t="str">
        <f t="shared" si="164"/>
        <v>ΣΚΛΗΡΟΣ ΣΙΤΟΣΣΙΤΟΣ ΣΚΛΗΡΟΣ RGT BETICUR</v>
      </c>
      <c r="B5091" s="4" t="s">
        <v>8886</v>
      </c>
      <c r="C5091" s="5" t="s">
        <v>9681</v>
      </c>
      <c r="D5091" s="6">
        <v>517.94000000000005</v>
      </c>
      <c r="E5091" s="6">
        <v>492.2</v>
      </c>
      <c r="F5091" s="7" t="s">
        <v>14</v>
      </c>
      <c r="G5091" s="8" t="s">
        <v>9682</v>
      </c>
      <c r="H5091" s="8" t="s">
        <v>16</v>
      </c>
      <c r="I5091" s="9">
        <v>328</v>
      </c>
      <c r="J5091" s="10">
        <v>1</v>
      </c>
      <c r="K5091" s="10">
        <v>10699</v>
      </c>
      <c r="L5091" s="3" t="str">
        <f t="shared" si="165"/>
        <v>ΣΚΛΗΡΟΣ_ΣΙΤΟΣ</v>
      </c>
    </row>
    <row r="5092" spans="1:12" s="3" customFormat="1" ht="24" x14ac:dyDescent="0.25">
      <c r="A5092" s="3" t="str">
        <f t="shared" si="164"/>
        <v>ΣΚΛΗΡΟΣ ΣΙΤΟΣΣΙΤΟΣ ΣΚΛΗΡΟΣ RGT FERNANDUR</v>
      </c>
      <c r="B5092" s="4" t="s">
        <v>8886</v>
      </c>
      <c r="C5092" s="5" t="s">
        <v>9683</v>
      </c>
      <c r="D5092" s="6">
        <v>517.94000000000005</v>
      </c>
      <c r="E5092" s="6">
        <v>492.2</v>
      </c>
      <c r="F5092" s="7" t="s">
        <v>14</v>
      </c>
      <c r="G5092" s="8" t="s">
        <v>9684</v>
      </c>
      <c r="H5092" s="8" t="s">
        <v>16</v>
      </c>
      <c r="I5092" s="9">
        <v>327</v>
      </c>
      <c r="J5092" s="10">
        <v>1</v>
      </c>
      <c r="K5092" s="10">
        <v>10701</v>
      </c>
      <c r="L5092" s="3" t="str">
        <f t="shared" si="165"/>
        <v>ΣΚΛΗΡΟΣ_ΣΙΤΟΣ</v>
      </c>
    </row>
    <row r="5093" spans="1:12" s="3" customFormat="1" ht="24" x14ac:dyDescent="0.25">
      <c r="A5093" s="3" t="str">
        <f t="shared" si="164"/>
        <v>ΣΚΛΗΡΟΣ ΣΙΤΟΣΣΙΤΟΣ ΣΚΛΗΡΟΣ RGT MONBECUR</v>
      </c>
      <c r="B5093" s="4" t="s">
        <v>8886</v>
      </c>
      <c r="C5093" s="5" t="s">
        <v>9685</v>
      </c>
      <c r="D5093" s="6">
        <v>517.94000000000005</v>
      </c>
      <c r="E5093" s="6">
        <v>492.2</v>
      </c>
      <c r="F5093" s="7" t="s">
        <v>14</v>
      </c>
      <c r="G5093" s="8" t="s">
        <v>9686</v>
      </c>
      <c r="H5093" s="8" t="s">
        <v>16</v>
      </c>
      <c r="I5093" s="9">
        <v>326</v>
      </c>
      <c r="J5093" s="10">
        <v>1</v>
      </c>
      <c r="K5093" s="10">
        <v>10702</v>
      </c>
      <c r="L5093" s="3" t="str">
        <f t="shared" si="165"/>
        <v>ΣΚΛΗΡΟΣ_ΣΙΤΟΣ</v>
      </c>
    </row>
    <row r="5094" spans="1:12" s="3" customFormat="1" ht="24" x14ac:dyDescent="0.25">
      <c r="A5094" s="3" t="str">
        <f t="shared" si="164"/>
        <v>ΣΚΛΗΡΟΣ ΣΙΤΟΣΣΙΤΟΣ ΣΚΛΗΡΟΣ RGT RUMBADUR</v>
      </c>
      <c r="B5094" s="4" t="s">
        <v>8886</v>
      </c>
      <c r="C5094" s="5" t="s">
        <v>9687</v>
      </c>
      <c r="D5094" s="6">
        <v>517.94000000000005</v>
      </c>
      <c r="E5094" s="6">
        <v>492.2</v>
      </c>
      <c r="F5094" s="7" t="s">
        <v>14</v>
      </c>
      <c r="G5094" s="8" t="s">
        <v>9688</v>
      </c>
      <c r="H5094" s="8" t="s">
        <v>16</v>
      </c>
      <c r="I5094" s="9">
        <v>346</v>
      </c>
      <c r="J5094" s="10">
        <v>1</v>
      </c>
      <c r="K5094" s="10">
        <v>10703</v>
      </c>
      <c r="L5094" s="3" t="str">
        <f t="shared" si="165"/>
        <v>ΣΚΛΗΡΟΣ_ΣΙΤΟΣ</v>
      </c>
    </row>
    <row r="5095" spans="1:12" s="3" customFormat="1" ht="24" x14ac:dyDescent="0.25">
      <c r="A5095" s="3" t="str">
        <f t="shared" si="164"/>
        <v>ΣΚΛΗΡΟΣ ΣΙΤΟΣΣΙΤΟΣ ΣΚΛΗΡΟΣ RICCODUR</v>
      </c>
      <c r="B5095" s="4" t="s">
        <v>8886</v>
      </c>
      <c r="C5095" s="5" t="s">
        <v>9689</v>
      </c>
      <c r="D5095" s="6">
        <v>517.94000000000005</v>
      </c>
      <c r="E5095" s="6">
        <v>492.2</v>
      </c>
      <c r="F5095" s="7" t="s">
        <v>14</v>
      </c>
      <c r="G5095" s="8" t="s">
        <v>9690</v>
      </c>
      <c r="H5095" s="8" t="s">
        <v>16</v>
      </c>
      <c r="I5095" s="9">
        <v>330</v>
      </c>
      <c r="J5095" s="10">
        <v>1</v>
      </c>
      <c r="K5095" s="10">
        <v>10704</v>
      </c>
      <c r="L5095" s="3" t="str">
        <f t="shared" si="165"/>
        <v>ΣΚΛΗΡΟΣ_ΣΙΤΟΣ</v>
      </c>
    </row>
    <row r="5096" spans="1:12" s="3" customFormat="1" ht="24" x14ac:dyDescent="0.25">
      <c r="A5096" s="3" t="str">
        <f t="shared" si="164"/>
        <v>ΣΚΛΗΡΟΣ ΣΙΤΟΣΣΙΤΟΣ ΣΚΛΗΡΟΣ SAMARCANDA</v>
      </c>
      <c r="B5096" s="4" t="s">
        <v>8886</v>
      </c>
      <c r="C5096" s="5" t="s">
        <v>9691</v>
      </c>
      <c r="D5096" s="6">
        <v>517.94000000000005</v>
      </c>
      <c r="E5096" s="6">
        <v>492.2</v>
      </c>
      <c r="F5096" s="7" t="s">
        <v>14</v>
      </c>
      <c r="G5096" s="8" t="s">
        <v>9692</v>
      </c>
      <c r="H5096" s="8" t="s">
        <v>16</v>
      </c>
      <c r="I5096" s="9">
        <v>332</v>
      </c>
      <c r="J5096" s="10">
        <v>1</v>
      </c>
      <c r="K5096" s="10">
        <v>10705</v>
      </c>
      <c r="L5096" s="3" t="str">
        <f t="shared" si="165"/>
        <v>ΣΚΛΗΡΟΣ_ΣΙΤΟΣ</v>
      </c>
    </row>
    <row r="5097" spans="1:12" s="3" customFormat="1" ht="24" x14ac:dyDescent="0.25">
      <c r="A5097" s="3" t="str">
        <f t="shared" si="164"/>
        <v>ΣΚΛΗΡΟΣ ΣΙΤΟΣΣΙΤΟΣ ΣΚΛΗΡΟΣ SANDUR</v>
      </c>
      <c r="B5097" s="4" t="s">
        <v>8886</v>
      </c>
      <c r="C5097" s="5" t="s">
        <v>9693</v>
      </c>
      <c r="D5097" s="6">
        <v>517.94000000000005</v>
      </c>
      <c r="E5097" s="6">
        <v>492.2</v>
      </c>
      <c r="F5097" s="7" t="s">
        <v>14</v>
      </c>
      <c r="G5097" s="8" t="s">
        <v>9694</v>
      </c>
      <c r="H5097" s="8" t="s">
        <v>16</v>
      </c>
      <c r="I5097" s="9">
        <v>354</v>
      </c>
      <c r="J5097" s="10">
        <v>1</v>
      </c>
      <c r="K5097" s="10">
        <v>10706</v>
      </c>
      <c r="L5097" s="3" t="str">
        <f t="shared" si="165"/>
        <v>ΣΚΛΗΡΟΣ_ΣΙΤΟΣ</v>
      </c>
    </row>
    <row r="5098" spans="1:12" s="3" customFormat="1" ht="24" x14ac:dyDescent="0.25">
      <c r="A5098" s="3" t="str">
        <f t="shared" si="164"/>
        <v>ΣΚΛΗΡΟΣ ΣΙΤΟΣΣΙΤΟΣ ΣΚΛΗΡΟΣ SEMIDOU</v>
      </c>
      <c r="B5098" s="4" t="s">
        <v>8886</v>
      </c>
      <c r="C5098" s="5" t="s">
        <v>9695</v>
      </c>
      <c r="D5098" s="6">
        <v>517.94000000000005</v>
      </c>
      <c r="E5098" s="6">
        <v>492.2</v>
      </c>
      <c r="F5098" s="7" t="s">
        <v>14</v>
      </c>
      <c r="G5098" s="8" t="s">
        <v>9696</v>
      </c>
      <c r="H5098" s="8" t="s">
        <v>16</v>
      </c>
      <c r="I5098" s="9">
        <v>353</v>
      </c>
      <c r="J5098" s="10">
        <v>1</v>
      </c>
      <c r="K5098" s="10">
        <v>10707</v>
      </c>
      <c r="L5098" s="3" t="str">
        <f t="shared" si="165"/>
        <v>ΣΚΛΗΡΟΣ_ΣΙΤΟΣ</v>
      </c>
    </row>
    <row r="5099" spans="1:12" s="3" customFormat="1" ht="24" x14ac:dyDescent="0.25">
      <c r="A5099" s="3" t="str">
        <f t="shared" si="164"/>
        <v>ΣΚΛΗΡΟΣ ΣΙΤΟΣΣΙΤΟΣ ΣΚΛΗΡΟΣ SHARDANA</v>
      </c>
      <c r="B5099" s="4" t="s">
        <v>8886</v>
      </c>
      <c r="C5099" s="5" t="s">
        <v>9697</v>
      </c>
      <c r="D5099" s="6">
        <v>517.94000000000005</v>
      </c>
      <c r="E5099" s="6">
        <v>492.2</v>
      </c>
      <c r="F5099" s="7" t="s">
        <v>14</v>
      </c>
      <c r="G5099" s="8" t="s">
        <v>9698</v>
      </c>
      <c r="H5099" s="8" t="s">
        <v>16</v>
      </c>
      <c r="I5099" s="9">
        <v>352</v>
      </c>
      <c r="J5099" s="10">
        <v>1</v>
      </c>
      <c r="K5099" s="10">
        <v>10708</v>
      </c>
      <c r="L5099" s="3" t="str">
        <f t="shared" si="165"/>
        <v>ΣΚΛΗΡΟΣ_ΣΙΤΟΣ</v>
      </c>
    </row>
    <row r="5100" spans="1:12" s="3" customFormat="1" ht="24" x14ac:dyDescent="0.25">
      <c r="A5100" s="3" t="str">
        <f t="shared" si="164"/>
        <v>ΣΚΛΗΡΟΣ ΣΙΤΟΣΣΙΤΟΣ ΣΚΛΗΡΟΣ SHAZAM</v>
      </c>
      <c r="B5100" s="4" t="s">
        <v>8886</v>
      </c>
      <c r="C5100" s="5" t="s">
        <v>9699</v>
      </c>
      <c r="D5100" s="6">
        <v>517.94000000000005</v>
      </c>
      <c r="E5100" s="6">
        <v>492.2</v>
      </c>
      <c r="F5100" s="7" t="s">
        <v>14</v>
      </c>
      <c r="G5100" s="8" t="s">
        <v>9700</v>
      </c>
      <c r="H5100" s="8" t="s">
        <v>16</v>
      </c>
      <c r="I5100" s="9">
        <v>351</v>
      </c>
      <c r="J5100" s="10">
        <v>1</v>
      </c>
      <c r="K5100" s="10">
        <v>10709</v>
      </c>
      <c r="L5100" s="3" t="str">
        <f t="shared" si="165"/>
        <v>ΣΚΛΗΡΟΣ_ΣΙΤΟΣ</v>
      </c>
    </row>
    <row r="5101" spans="1:12" s="3" customFormat="1" ht="24" x14ac:dyDescent="0.25">
      <c r="A5101" s="3" t="str">
        <f t="shared" si="164"/>
        <v>ΣΚΛΗΡΟΣ ΣΙΤΟΣΣΙΤΟΣ ΣΚΛΗΡΟΣ SHEREKHAN</v>
      </c>
      <c r="B5101" s="4" t="s">
        <v>8886</v>
      </c>
      <c r="C5101" s="5" t="s">
        <v>9701</v>
      </c>
      <c r="D5101" s="6">
        <v>517.94000000000005</v>
      </c>
      <c r="E5101" s="6">
        <v>492.2</v>
      </c>
      <c r="F5101" s="7" t="s">
        <v>14</v>
      </c>
      <c r="G5101" s="8" t="s">
        <v>9702</v>
      </c>
      <c r="H5101" s="8" t="s">
        <v>16</v>
      </c>
      <c r="I5101" s="9">
        <v>350</v>
      </c>
      <c r="J5101" s="10">
        <v>1</v>
      </c>
      <c r="K5101" s="10">
        <v>10710</v>
      </c>
      <c r="L5101" s="3" t="str">
        <f t="shared" si="165"/>
        <v>ΣΚΛΗΡΟΣ_ΣΙΤΟΣ</v>
      </c>
    </row>
    <row r="5102" spans="1:12" s="3" customFormat="1" ht="24" x14ac:dyDescent="0.25">
      <c r="A5102" s="3" t="str">
        <f t="shared" si="164"/>
        <v>ΣΚΛΗΡΟΣ ΣΙΤΟΣΣΙΤΟΣ ΣΚΛΗΡΟΣ SM METIS</v>
      </c>
      <c r="B5102" s="4" t="s">
        <v>8886</v>
      </c>
      <c r="C5102" s="5" t="s">
        <v>9703</v>
      </c>
      <c r="D5102" s="6">
        <v>517.94000000000005</v>
      </c>
      <c r="E5102" s="6">
        <v>492.2</v>
      </c>
      <c r="F5102" s="7" t="s">
        <v>14</v>
      </c>
      <c r="G5102" s="8" t="s">
        <v>9704</v>
      </c>
      <c r="H5102" s="8" t="s">
        <v>16</v>
      </c>
      <c r="I5102" s="9">
        <v>349</v>
      </c>
      <c r="J5102" s="10">
        <v>1</v>
      </c>
      <c r="K5102" s="10">
        <v>10711</v>
      </c>
      <c r="L5102" s="3" t="str">
        <f t="shared" si="165"/>
        <v>ΣΚΛΗΡΟΣ_ΣΙΤΟΣ</v>
      </c>
    </row>
    <row r="5103" spans="1:12" s="3" customFormat="1" ht="24" x14ac:dyDescent="0.25">
      <c r="A5103" s="3" t="str">
        <f t="shared" si="164"/>
        <v>ΣΚΛΗΡΟΣ ΣΙΤΟΣΣΙΤΟΣ ΣΚΛΗΡΟΣ SY 516079</v>
      </c>
      <c r="B5103" s="4" t="s">
        <v>8886</v>
      </c>
      <c r="C5103" s="5" t="s">
        <v>9705</v>
      </c>
      <c r="D5103" s="6">
        <v>517.94000000000005</v>
      </c>
      <c r="E5103" s="6">
        <v>492.2</v>
      </c>
      <c r="F5103" s="7" t="s">
        <v>14</v>
      </c>
      <c r="G5103" s="8" t="s">
        <v>9706</v>
      </c>
      <c r="H5103" s="8" t="s">
        <v>16</v>
      </c>
      <c r="I5103" s="9">
        <v>340</v>
      </c>
      <c r="J5103" s="10">
        <v>1</v>
      </c>
      <c r="K5103" s="10">
        <v>10712</v>
      </c>
      <c r="L5103" s="3" t="str">
        <f t="shared" si="165"/>
        <v>ΣΚΛΗΡΟΣ_ΣΙΤΟΣ</v>
      </c>
    </row>
    <row r="5104" spans="1:12" s="3" customFormat="1" ht="24" x14ac:dyDescent="0.25">
      <c r="A5104" s="3" t="str">
        <f t="shared" si="164"/>
        <v>ΣΚΛΗΡΟΣ ΣΙΤΟΣΣΙΤΟΣ ΣΚΛΗΡΟΣ SY ALFIERE</v>
      </c>
      <c r="B5104" s="4" t="s">
        <v>8886</v>
      </c>
      <c r="C5104" s="5" t="s">
        <v>9707</v>
      </c>
      <c r="D5104" s="6">
        <v>517.94000000000005</v>
      </c>
      <c r="E5104" s="6">
        <v>492.2</v>
      </c>
      <c r="F5104" s="7" t="s">
        <v>14</v>
      </c>
      <c r="G5104" s="8" t="s">
        <v>9708</v>
      </c>
      <c r="H5104" s="8" t="s">
        <v>16</v>
      </c>
      <c r="I5104" s="9">
        <v>347</v>
      </c>
      <c r="J5104" s="10">
        <v>1</v>
      </c>
      <c r="K5104" s="10">
        <v>10713</v>
      </c>
      <c r="L5104" s="3" t="str">
        <f t="shared" si="165"/>
        <v>ΣΚΛΗΡΟΣ_ΣΙΤΟΣ</v>
      </c>
    </row>
    <row r="5105" spans="1:12" s="3" customFormat="1" ht="24" x14ac:dyDescent="0.25">
      <c r="A5105" s="3" t="str">
        <f t="shared" si="164"/>
        <v>ΣΚΛΗΡΟΣ ΣΙΤΟΣΣΙΤΟΣ ΣΚΛΗΡΟΣ SY EVROS</v>
      </c>
      <c r="B5105" s="4" t="s">
        <v>8886</v>
      </c>
      <c r="C5105" s="5" t="s">
        <v>9709</v>
      </c>
      <c r="D5105" s="6">
        <v>517.94000000000005</v>
      </c>
      <c r="E5105" s="6">
        <v>492.2</v>
      </c>
      <c r="F5105" s="7" t="s">
        <v>14</v>
      </c>
      <c r="G5105" s="8" t="s">
        <v>9710</v>
      </c>
      <c r="H5105" s="8" t="s">
        <v>16</v>
      </c>
      <c r="I5105" s="9">
        <v>355</v>
      </c>
      <c r="J5105" s="10">
        <v>1</v>
      </c>
      <c r="K5105" s="10">
        <v>10714</v>
      </c>
      <c r="L5105" s="3" t="str">
        <f t="shared" si="165"/>
        <v>ΣΚΛΗΡΟΣ_ΣΙΤΟΣ</v>
      </c>
    </row>
    <row r="5106" spans="1:12" s="3" customFormat="1" ht="24" x14ac:dyDescent="0.25">
      <c r="A5106" s="3" t="str">
        <f t="shared" si="164"/>
        <v>ΣΚΛΗΡΟΣ ΣΙΤΟΣΣΙΤΟΣ ΣΚΛΗΡΟΣ SY TIDE</v>
      </c>
      <c r="B5106" s="4" t="s">
        <v>8886</v>
      </c>
      <c r="C5106" s="5" t="s">
        <v>9711</v>
      </c>
      <c r="D5106" s="6">
        <v>517.94000000000005</v>
      </c>
      <c r="E5106" s="6">
        <v>492.2</v>
      </c>
      <c r="F5106" s="7" t="s">
        <v>14</v>
      </c>
      <c r="G5106" s="8" t="s">
        <v>9712</v>
      </c>
      <c r="H5106" s="8" t="s">
        <v>16</v>
      </c>
      <c r="I5106" s="9">
        <v>345</v>
      </c>
      <c r="J5106" s="10">
        <v>1</v>
      </c>
      <c r="K5106" s="10">
        <v>10715</v>
      </c>
      <c r="L5106" s="3" t="str">
        <f t="shared" si="165"/>
        <v>ΣΚΛΗΡΟΣ_ΣΙΤΟΣ</v>
      </c>
    </row>
    <row r="5107" spans="1:12" s="3" customFormat="1" ht="24" x14ac:dyDescent="0.25">
      <c r="A5107" s="3" t="str">
        <f t="shared" si="164"/>
        <v>ΣΚΛΗΡΟΣ ΣΙΤΟΣΣΙΤΟΣ ΣΚΛΗΡΟΣ TELEMACO</v>
      </c>
      <c r="B5107" s="4" t="s">
        <v>8886</v>
      </c>
      <c r="C5107" s="5" t="s">
        <v>9713</v>
      </c>
      <c r="D5107" s="6">
        <v>517.94000000000005</v>
      </c>
      <c r="E5107" s="6">
        <v>492.2</v>
      </c>
      <c r="F5107" s="7" t="s">
        <v>14</v>
      </c>
      <c r="G5107" s="8" t="s">
        <v>9714</v>
      </c>
      <c r="H5107" s="8" t="s">
        <v>16</v>
      </c>
      <c r="I5107" s="9">
        <v>344</v>
      </c>
      <c r="J5107" s="10">
        <v>1</v>
      </c>
      <c r="K5107" s="10">
        <v>10716</v>
      </c>
      <c r="L5107" s="3" t="str">
        <f t="shared" si="165"/>
        <v>ΣΚΛΗΡΟΣ_ΣΙΤΟΣ</v>
      </c>
    </row>
    <row r="5108" spans="1:12" s="3" customFormat="1" x14ac:dyDescent="0.25">
      <c r="A5108" s="3" t="str">
        <f t="shared" si="164"/>
        <v>ΣΚΛΗΡΟΣ ΣΙΤΟΣΣΙΤΟΣ ΣΚΛΗΡΟΣ VIOMI</v>
      </c>
      <c r="B5108" s="4" t="s">
        <v>8886</v>
      </c>
      <c r="C5108" s="5" t="s">
        <v>9715</v>
      </c>
      <c r="D5108" s="6">
        <v>517.94000000000005</v>
      </c>
      <c r="E5108" s="6">
        <v>492.2</v>
      </c>
      <c r="F5108" s="7" t="s">
        <v>14</v>
      </c>
      <c r="G5108" s="8" t="s">
        <v>9716</v>
      </c>
      <c r="H5108" s="8" t="s">
        <v>27</v>
      </c>
      <c r="I5108" s="9">
        <v>343</v>
      </c>
      <c r="J5108" s="10">
        <v>1</v>
      </c>
      <c r="K5108" s="10">
        <v>10717</v>
      </c>
      <c r="L5108" s="3" t="str">
        <f t="shared" si="165"/>
        <v>ΣΚΛΗΡΟΣ_ΣΙΤΟΣ</v>
      </c>
    </row>
    <row r="5109" spans="1:12" s="3" customFormat="1" ht="24" x14ac:dyDescent="0.25">
      <c r="A5109" s="3" t="str">
        <f t="shared" si="164"/>
        <v>ΣΚΛΗΡΟΣ ΣΙΤΟΣΣΙΤΟΣ ΣΚΛΗΡΟΣ VERACE</v>
      </c>
      <c r="B5109" s="4" t="s">
        <v>8886</v>
      </c>
      <c r="C5109" s="5" t="s">
        <v>9717</v>
      </c>
      <c r="D5109" s="6">
        <v>517.94000000000005</v>
      </c>
      <c r="E5109" s="6">
        <v>492.2</v>
      </c>
      <c r="F5109" s="7" t="s">
        <v>14</v>
      </c>
      <c r="G5109" s="8" t="s">
        <v>9718</v>
      </c>
      <c r="H5109" s="8" t="s">
        <v>16</v>
      </c>
      <c r="I5109" s="9">
        <v>342</v>
      </c>
      <c r="J5109" s="10">
        <v>1</v>
      </c>
      <c r="K5109" s="10">
        <v>10718</v>
      </c>
      <c r="L5109" s="3" t="str">
        <f t="shared" si="165"/>
        <v>ΣΚΛΗΡΟΣ_ΣΙΤΟΣ</v>
      </c>
    </row>
    <row r="5110" spans="1:12" s="3" customFormat="1" ht="24" x14ac:dyDescent="0.25">
      <c r="A5110" s="3" t="str">
        <f t="shared" si="164"/>
        <v>ΣΚΛΗΡΟΣ ΣΙΤΟΣΣΙΤΟΣ ΣΚΛΗΡΟΣ RGT BRIKODUR</v>
      </c>
      <c r="B5110" s="4" t="s">
        <v>8886</v>
      </c>
      <c r="C5110" s="5" t="s">
        <v>9719</v>
      </c>
      <c r="D5110" s="6">
        <v>517.94000000000005</v>
      </c>
      <c r="E5110" s="6">
        <v>492.2</v>
      </c>
      <c r="F5110" s="7" t="s">
        <v>14</v>
      </c>
      <c r="G5110" s="8" t="s">
        <v>9720</v>
      </c>
      <c r="H5110" s="8" t="s">
        <v>16</v>
      </c>
      <c r="I5110" s="9">
        <v>341</v>
      </c>
      <c r="J5110" s="10">
        <v>1</v>
      </c>
      <c r="K5110" s="10">
        <v>10719</v>
      </c>
      <c r="L5110" s="3" t="str">
        <f t="shared" si="165"/>
        <v>ΣΚΛΗΡΟΣ_ΣΙΤΟΣ</v>
      </c>
    </row>
    <row r="5111" spans="1:12" s="3" customFormat="1" ht="24" x14ac:dyDescent="0.25">
      <c r="A5111" s="3" t="str">
        <f t="shared" si="164"/>
        <v>ΣΚΛΗΡΟΣ ΣΙΤΟΣΣΙΤΟΣ ΣΚΛΗΡΟΣ BRUNO</v>
      </c>
      <c r="B5111" s="21" t="s">
        <v>8886</v>
      </c>
      <c r="C5111" s="22" t="s">
        <v>9721</v>
      </c>
      <c r="D5111" s="6">
        <v>517.94000000000005</v>
      </c>
      <c r="E5111" s="6">
        <v>492.2</v>
      </c>
      <c r="F5111" s="6" t="s">
        <v>14</v>
      </c>
      <c r="G5111" s="8" t="s">
        <v>9722</v>
      </c>
      <c r="H5111" s="8" t="s">
        <v>16</v>
      </c>
      <c r="I5111" s="9">
        <v>4948</v>
      </c>
      <c r="J5111" s="16">
        <v>1</v>
      </c>
      <c r="K5111" s="16">
        <v>10720</v>
      </c>
      <c r="L5111" s="3" t="str">
        <f t="shared" si="165"/>
        <v>ΣΚΛΗΡΟΣ_ΣΙΤΟΣ</v>
      </c>
    </row>
    <row r="5112" spans="1:12" s="3" customFormat="1" ht="24" x14ac:dyDescent="0.25">
      <c r="A5112" s="3" t="str">
        <f t="shared" si="164"/>
        <v>ΣΚΛΗΡΟΣ ΣΙΤΟΣΣΙΤΟΣ ΣΚΛΗΡΟΣ CAMPIONATO</v>
      </c>
      <c r="B5112" s="21" t="s">
        <v>8886</v>
      </c>
      <c r="C5112" s="22" t="s">
        <v>9723</v>
      </c>
      <c r="D5112" s="6">
        <v>517.94000000000005</v>
      </c>
      <c r="E5112" s="6">
        <v>492.2</v>
      </c>
      <c r="F5112" s="6" t="s">
        <v>14</v>
      </c>
      <c r="G5112" s="8" t="s">
        <v>9724</v>
      </c>
      <c r="H5112" s="8" t="s">
        <v>16</v>
      </c>
      <c r="I5112" s="9">
        <v>4949</v>
      </c>
      <c r="J5112" s="16">
        <v>1</v>
      </c>
      <c r="K5112" s="16">
        <v>10721</v>
      </c>
      <c r="L5112" s="3" t="str">
        <f t="shared" si="165"/>
        <v>ΣΚΛΗΡΟΣ_ΣΙΤΟΣ</v>
      </c>
    </row>
    <row r="5113" spans="1:12" s="3" customFormat="1" x14ac:dyDescent="0.25">
      <c r="A5113" s="3" t="str">
        <f t="shared" si="164"/>
        <v>ΣΚΛΗΡΟΣ ΣΙΤΟΣΣΙΤΟΣ ΣΚΛΗΡΟΣ AD 118</v>
      </c>
      <c r="B5113" s="21" t="s">
        <v>8886</v>
      </c>
      <c r="C5113" s="22" t="s">
        <v>9725</v>
      </c>
      <c r="D5113" s="6">
        <v>517.94000000000005</v>
      </c>
      <c r="E5113" s="6">
        <v>492.2</v>
      </c>
      <c r="F5113" s="6" t="s">
        <v>14</v>
      </c>
      <c r="G5113" s="8" t="s">
        <v>9726</v>
      </c>
      <c r="H5113" s="8" t="s">
        <v>27</v>
      </c>
      <c r="I5113" s="9">
        <v>4950</v>
      </c>
      <c r="J5113" s="16">
        <v>1</v>
      </c>
      <c r="K5113" s="16">
        <v>10722</v>
      </c>
      <c r="L5113" s="3" t="str">
        <f t="shared" si="165"/>
        <v>ΣΚΛΗΡΟΣ_ΣΙΤΟΣ</v>
      </c>
    </row>
    <row r="5114" spans="1:12" s="3" customFormat="1" ht="24" x14ac:dyDescent="0.25">
      <c r="A5114" s="3" t="str">
        <f t="shared" si="164"/>
        <v>ΣΚΛΗΡΟΣ ΣΙΤΟΣΣΙΤΟΣ ΣΚΛΗΡΟΣ BG FLEXADUR 2S</v>
      </c>
      <c r="B5114" s="21" t="s">
        <v>8886</v>
      </c>
      <c r="C5114" s="22" t="s">
        <v>9727</v>
      </c>
      <c r="D5114" s="6">
        <v>517.94000000000005</v>
      </c>
      <c r="E5114" s="6">
        <v>492.2</v>
      </c>
      <c r="F5114" s="6" t="s">
        <v>14</v>
      </c>
      <c r="G5114" s="8" t="s">
        <v>9728</v>
      </c>
      <c r="H5114" s="8" t="s">
        <v>16</v>
      </c>
      <c r="I5114" s="9">
        <v>4951</v>
      </c>
      <c r="J5114" s="16">
        <v>1</v>
      </c>
      <c r="K5114" s="16">
        <v>10723</v>
      </c>
      <c r="L5114" s="3" t="str">
        <f t="shared" si="165"/>
        <v>ΣΚΛΗΡΟΣ_ΣΙΤΟΣ</v>
      </c>
    </row>
    <row r="5115" spans="1:12" s="3" customFormat="1" ht="24" x14ac:dyDescent="0.25">
      <c r="A5115" s="3" t="str">
        <f t="shared" si="164"/>
        <v>ΣΚΛΗΡΟΣ ΣΙΤΟΣΣΙΤΟΣ ΣΚΛΗΡΟΣ FARIDUR</v>
      </c>
      <c r="B5115" s="21" t="s">
        <v>8886</v>
      </c>
      <c r="C5115" s="22" t="s">
        <v>9729</v>
      </c>
      <c r="D5115" s="6">
        <v>517.94000000000005</v>
      </c>
      <c r="E5115" s="6">
        <v>492.2</v>
      </c>
      <c r="F5115" s="6" t="s">
        <v>14</v>
      </c>
      <c r="G5115" s="8" t="s">
        <v>9730</v>
      </c>
      <c r="H5115" s="8" t="s">
        <v>16</v>
      </c>
      <c r="I5115" s="9">
        <v>4952</v>
      </c>
      <c r="J5115" s="16">
        <v>1</v>
      </c>
      <c r="K5115" s="16">
        <v>10724</v>
      </c>
      <c r="L5115" s="3" t="str">
        <f t="shared" si="165"/>
        <v>ΣΚΛΗΡΟΣ_ΣΙΤΟΣ</v>
      </c>
    </row>
    <row r="5116" spans="1:12" s="3" customFormat="1" ht="24" x14ac:dyDescent="0.25">
      <c r="A5116" s="3" t="str">
        <f t="shared" si="164"/>
        <v>ΣΚΛΗΡΟΣ ΣΙΤΟΣΣΙΤΟΣ ΣΚΛΗΡΟΣ GITAGO</v>
      </c>
      <c r="B5116" s="21" t="s">
        <v>8886</v>
      </c>
      <c r="C5116" s="22" t="s">
        <v>9731</v>
      </c>
      <c r="D5116" s="6">
        <v>517.94000000000005</v>
      </c>
      <c r="E5116" s="6">
        <v>492.2</v>
      </c>
      <c r="F5116" s="6" t="s">
        <v>14</v>
      </c>
      <c r="G5116" s="8" t="s">
        <v>9732</v>
      </c>
      <c r="H5116" s="8" t="s">
        <v>16</v>
      </c>
      <c r="I5116" s="9">
        <v>4953</v>
      </c>
      <c r="J5116" s="16">
        <v>1</v>
      </c>
      <c r="K5116" s="16">
        <v>10725</v>
      </c>
      <c r="L5116" s="3" t="str">
        <f t="shared" si="165"/>
        <v>ΣΚΛΗΡΟΣ_ΣΙΤΟΣ</v>
      </c>
    </row>
    <row r="5117" spans="1:12" s="3" customFormat="1" x14ac:dyDescent="0.25">
      <c r="A5117" s="3" t="str">
        <f t="shared" si="164"/>
        <v>ΣΚΛΗΡΟΣ ΣΙΤΟΣΣΙΤΟΣ ΣΚΛΗΡΟΣ LIMNOS</v>
      </c>
      <c r="B5117" s="21" t="s">
        <v>8886</v>
      </c>
      <c r="C5117" s="22" t="s">
        <v>9733</v>
      </c>
      <c r="D5117" s="6">
        <v>517.94000000000005</v>
      </c>
      <c r="E5117" s="6">
        <v>492.2</v>
      </c>
      <c r="F5117" s="6" t="s">
        <v>14</v>
      </c>
      <c r="G5117" s="8" t="s">
        <v>9734</v>
      </c>
      <c r="H5117" s="8" t="s">
        <v>27</v>
      </c>
      <c r="I5117" s="9">
        <v>4954</v>
      </c>
      <c r="J5117" s="16">
        <v>1</v>
      </c>
      <c r="K5117" s="16">
        <v>10726</v>
      </c>
      <c r="L5117" s="3" t="str">
        <f t="shared" si="165"/>
        <v>ΣΚΛΗΡΟΣ_ΣΙΤΟΣ</v>
      </c>
    </row>
    <row r="5118" spans="1:12" s="3" customFormat="1" ht="24" x14ac:dyDescent="0.25">
      <c r="A5118" s="3" t="str">
        <f t="shared" si="164"/>
        <v>ΣΚΛΗΡΟΣ ΣΙΤΟΣΣΙΤΟΣ ΣΚΛΗΡΟΣ SM ERIS</v>
      </c>
      <c r="B5118" s="21" t="s">
        <v>8886</v>
      </c>
      <c r="C5118" s="22" t="s">
        <v>9735</v>
      </c>
      <c r="D5118" s="6">
        <v>517.94000000000005</v>
      </c>
      <c r="E5118" s="6">
        <v>492.2</v>
      </c>
      <c r="F5118" s="6" t="s">
        <v>14</v>
      </c>
      <c r="G5118" s="8" t="s">
        <v>9736</v>
      </c>
      <c r="H5118" s="8" t="s">
        <v>16</v>
      </c>
      <c r="I5118" s="9">
        <v>4955</v>
      </c>
      <c r="J5118" s="16">
        <v>1</v>
      </c>
      <c r="K5118" s="16">
        <v>10727</v>
      </c>
      <c r="L5118" s="3" t="str">
        <f t="shared" si="165"/>
        <v>ΣΚΛΗΡΟΣ_ΣΙΤΟΣ</v>
      </c>
    </row>
    <row r="5119" spans="1:12" s="3" customFormat="1" ht="24" x14ac:dyDescent="0.25">
      <c r="A5119" s="3" t="str">
        <f t="shared" si="164"/>
        <v>ΣΚΛΗΡΟΣ ΣΙΤΟΣΣΙΤΟΣ ΣΚΛΗΡΟΣ SM TETYDA</v>
      </c>
      <c r="B5119" s="21" t="s">
        <v>8886</v>
      </c>
      <c r="C5119" s="22" t="s">
        <v>9737</v>
      </c>
      <c r="D5119" s="6">
        <v>517.94000000000005</v>
      </c>
      <c r="E5119" s="6">
        <v>492.2</v>
      </c>
      <c r="F5119" s="6" t="s">
        <v>14</v>
      </c>
      <c r="G5119" s="8" t="s">
        <v>9738</v>
      </c>
      <c r="H5119" s="8" t="s">
        <v>16</v>
      </c>
      <c r="I5119" s="9">
        <v>4956</v>
      </c>
      <c r="J5119" s="16">
        <v>1</v>
      </c>
      <c r="K5119" s="16">
        <v>10728</v>
      </c>
      <c r="L5119" s="3" t="str">
        <f t="shared" si="165"/>
        <v>ΣΚΛΗΡΟΣ_ΣΙΤΟΣ</v>
      </c>
    </row>
    <row r="5120" spans="1:12" s="3" customFormat="1" ht="24" x14ac:dyDescent="0.25">
      <c r="A5120" s="3" t="str">
        <f t="shared" si="164"/>
        <v>ΣΚΛΗΡΟΣ ΣΙΤΟΣΣΙΤΟΣ ΣΚΛΗΡΟΣ PYRROS</v>
      </c>
      <c r="B5120" s="21" t="s">
        <v>8886</v>
      </c>
      <c r="C5120" s="22" t="s">
        <v>9739</v>
      </c>
      <c r="D5120" s="6">
        <v>517.94000000000005</v>
      </c>
      <c r="E5120" s="6">
        <v>492.2</v>
      </c>
      <c r="F5120" s="6" t="s">
        <v>14</v>
      </c>
      <c r="G5120" s="8" t="s">
        <v>9740</v>
      </c>
      <c r="H5120" s="8" t="s">
        <v>16</v>
      </c>
      <c r="I5120" s="9">
        <v>4957</v>
      </c>
      <c r="J5120" s="16">
        <v>1</v>
      </c>
      <c r="K5120" s="16">
        <v>10729</v>
      </c>
      <c r="L5120" s="3" t="str">
        <f t="shared" si="165"/>
        <v>ΣΚΛΗΡΟΣ_ΣΙΤΟΣ</v>
      </c>
    </row>
    <row r="5121" spans="1:12" s="3" customFormat="1" ht="24" x14ac:dyDescent="0.25">
      <c r="A5121" s="3" t="str">
        <f t="shared" si="164"/>
        <v>ΣΚΛΗΡΟΣ ΣΙΤΟΣΣΙΤΟΣ ΣΚΛΗΡΟΣ RGT AGRODUR</v>
      </c>
      <c r="B5121" s="21" t="s">
        <v>8886</v>
      </c>
      <c r="C5121" s="22" t="s">
        <v>9741</v>
      </c>
      <c r="D5121" s="6">
        <v>517.94000000000005</v>
      </c>
      <c r="E5121" s="6">
        <v>492.2</v>
      </c>
      <c r="F5121" s="6" t="s">
        <v>14</v>
      </c>
      <c r="G5121" s="8" t="s">
        <v>9742</v>
      </c>
      <c r="H5121" s="8" t="s">
        <v>16</v>
      </c>
      <c r="I5121" s="9">
        <v>4958</v>
      </c>
      <c r="J5121" s="16">
        <v>1</v>
      </c>
      <c r="K5121" s="16">
        <v>10730</v>
      </c>
      <c r="L5121" s="3" t="str">
        <f t="shared" si="165"/>
        <v>ΣΚΛΗΡΟΣ_ΣΙΤΟΣ</v>
      </c>
    </row>
    <row r="5122" spans="1:12" s="3" customFormat="1" ht="24" x14ac:dyDescent="0.25">
      <c r="A5122" s="3" t="str">
        <f t="shared" si="164"/>
        <v>ΣΚΛΗΡΟΣ ΣΙΤΟΣΣΙΤΟΣ ΣΚΛΗΡΟΣ RGT JASDUR</v>
      </c>
      <c r="B5122" s="21" t="s">
        <v>8886</v>
      </c>
      <c r="C5122" s="22" t="s">
        <v>9743</v>
      </c>
      <c r="D5122" s="6">
        <v>517.94000000000005</v>
      </c>
      <c r="E5122" s="6">
        <v>492.2</v>
      </c>
      <c r="F5122" s="6" t="s">
        <v>14</v>
      </c>
      <c r="G5122" s="8" t="s">
        <v>9744</v>
      </c>
      <c r="H5122" s="8" t="s">
        <v>16</v>
      </c>
      <c r="I5122" s="9">
        <v>4959</v>
      </c>
      <c r="J5122" s="16">
        <v>1</v>
      </c>
      <c r="K5122" s="16">
        <v>10731</v>
      </c>
      <c r="L5122" s="3" t="str">
        <f t="shared" si="165"/>
        <v>ΣΚΛΗΡΟΣ_ΣΙΤΟΣ</v>
      </c>
    </row>
    <row r="5123" spans="1:12" s="3" customFormat="1" ht="24" x14ac:dyDescent="0.25">
      <c r="A5123" s="3" t="str">
        <f t="shared" ref="A5123:A5186" si="166">_xlfn.CONCAT(B5123,C5123)</f>
        <v>ΣΚΛΗΡΟΣ ΣΙΤΟΣΣΙΤΟΣ ΣΚΛΗΡΟΣ RGT TACODUR</v>
      </c>
      <c r="B5123" s="21" t="s">
        <v>8886</v>
      </c>
      <c r="C5123" s="22" t="s">
        <v>9745</v>
      </c>
      <c r="D5123" s="6">
        <v>517.94000000000005</v>
      </c>
      <c r="E5123" s="6">
        <v>492.2</v>
      </c>
      <c r="F5123" s="6" t="s">
        <v>14</v>
      </c>
      <c r="G5123" s="8" t="s">
        <v>9746</v>
      </c>
      <c r="H5123" s="8" t="s">
        <v>16</v>
      </c>
      <c r="I5123" s="9">
        <v>4960</v>
      </c>
      <c r="J5123" s="16">
        <v>1</v>
      </c>
      <c r="K5123" s="16">
        <v>10732</v>
      </c>
      <c r="L5123" s="3" t="str">
        <f t="shared" ref="L5123:L5186" si="167">IFERROR(SUBSTITUTE(SUBSTITUTE(SUBSTITUTE(SUBSTITUTE(SUBSTITUTE(B5123, "-", "_"), " ", "_"), ",", ""), "(", ""), ")", ""), B5123)</f>
        <v>ΣΚΛΗΡΟΣ_ΣΙΤΟΣ</v>
      </c>
    </row>
    <row r="5124" spans="1:12" s="3" customFormat="1" ht="24" x14ac:dyDescent="0.25">
      <c r="A5124" s="3" t="str">
        <f t="shared" si="166"/>
        <v>ΣΚΛΗΡΟΣ ΣΙΤΟΣΣΙΤΟΣ ΣΚΛΗΡΟΣ RGT VANUR</v>
      </c>
      <c r="B5124" s="21" t="s">
        <v>8886</v>
      </c>
      <c r="C5124" s="22" t="s">
        <v>9747</v>
      </c>
      <c r="D5124" s="6">
        <v>517.94000000000005</v>
      </c>
      <c r="E5124" s="6">
        <v>492.2</v>
      </c>
      <c r="F5124" s="6" t="s">
        <v>14</v>
      </c>
      <c r="G5124" s="8" t="s">
        <v>9748</v>
      </c>
      <c r="H5124" s="8" t="s">
        <v>16</v>
      </c>
      <c r="I5124" s="9">
        <v>4961</v>
      </c>
      <c r="J5124" s="16">
        <v>1</v>
      </c>
      <c r="K5124" s="16">
        <v>10733</v>
      </c>
      <c r="L5124" s="3" t="str">
        <f t="shared" si="167"/>
        <v>ΣΚΛΗΡΟΣ_ΣΙΤΟΣ</v>
      </c>
    </row>
    <row r="5125" spans="1:12" s="3" customFormat="1" x14ac:dyDescent="0.25">
      <c r="A5125" s="3" t="str">
        <f t="shared" si="166"/>
        <v>ΣΚΛΗΡΟΣ ΣΙΤΟΣΣΙΤΟΣ ΣΚΛΗΡΟΣ SARITSAM</v>
      </c>
      <c r="B5125" s="21" t="s">
        <v>8886</v>
      </c>
      <c r="C5125" s="22" t="s">
        <v>9749</v>
      </c>
      <c r="D5125" s="6">
        <v>517.94000000000005</v>
      </c>
      <c r="E5125" s="6">
        <v>492.2</v>
      </c>
      <c r="F5125" s="6" t="s">
        <v>14</v>
      </c>
      <c r="G5125" s="8" t="s">
        <v>9750</v>
      </c>
      <c r="H5125" s="8" t="s">
        <v>27</v>
      </c>
      <c r="I5125" s="9">
        <v>4962</v>
      </c>
      <c r="J5125" s="16">
        <v>1</v>
      </c>
      <c r="K5125" s="16">
        <v>10734</v>
      </c>
      <c r="L5125" s="3" t="str">
        <f t="shared" si="167"/>
        <v>ΣΚΛΗΡΟΣ_ΣΙΤΟΣ</v>
      </c>
    </row>
    <row r="5126" spans="1:12" s="3" customFormat="1" ht="24" x14ac:dyDescent="0.25">
      <c r="A5126" s="3" t="str">
        <f t="shared" si="166"/>
        <v>ΣΚΛΗΡΟΣ ΣΙΤΟΣΣΙΤΟΣ ΣΚΛΗΡΟΣ VULCANO VSD</v>
      </c>
      <c r="B5126" s="21" t="s">
        <v>8886</v>
      </c>
      <c r="C5126" s="22" t="s">
        <v>9751</v>
      </c>
      <c r="D5126" s="6">
        <v>517.94000000000005</v>
      </c>
      <c r="E5126" s="6">
        <v>492.2</v>
      </c>
      <c r="F5126" s="6" t="s">
        <v>14</v>
      </c>
      <c r="G5126" s="8" t="s">
        <v>9752</v>
      </c>
      <c r="H5126" s="8" t="s">
        <v>16</v>
      </c>
      <c r="I5126" s="9">
        <v>4963</v>
      </c>
      <c r="J5126" s="16">
        <v>1</v>
      </c>
      <c r="K5126" s="16">
        <v>10735</v>
      </c>
      <c r="L5126" s="3" t="str">
        <f t="shared" si="167"/>
        <v>ΣΚΛΗΡΟΣ_ΣΙΤΟΣ</v>
      </c>
    </row>
    <row r="5127" spans="1:12" s="3" customFormat="1" ht="24" x14ac:dyDescent="0.25">
      <c r="A5127" s="3" t="str">
        <f t="shared" si="166"/>
        <v>ΣΚΛΗΡΟΣ ΣΙΤΟΣΣΙΤΟΣ ΣΚΛΗΡΟΣ AMARCORD</v>
      </c>
      <c r="B5127" s="23" t="s">
        <v>8886</v>
      </c>
      <c r="C5127" s="24" t="s">
        <v>9753</v>
      </c>
      <c r="D5127" s="6">
        <v>517.94000000000005</v>
      </c>
      <c r="E5127" s="6">
        <v>492.2</v>
      </c>
      <c r="F5127" s="6" t="s">
        <v>14</v>
      </c>
      <c r="G5127" s="8" t="s">
        <v>9754</v>
      </c>
      <c r="H5127" s="8" t="s">
        <v>16</v>
      </c>
      <c r="I5127" s="9">
        <v>5545</v>
      </c>
      <c r="J5127" s="26">
        <v>1</v>
      </c>
      <c r="K5127" s="27">
        <v>10736</v>
      </c>
      <c r="L5127" s="3" t="str">
        <f t="shared" si="167"/>
        <v>ΣΚΛΗΡΟΣ_ΣΙΤΟΣ</v>
      </c>
    </row>
    <row r="5128" spans="1:12" s="3" customFormat="1" ht="24" x14ac:dyDescent="0.25">
      <c r="A5128" s="3" t="str">
        <f t="shared" si="166"/>
        <v>ΣΚΛΗΡΟΣ ΣΙΤΟΣΣΙΤΟΣ ΣΚΛΗΡΟΣ ARISTOTELIS</v>
      </c>
      <c r="B5128" s="23" t="s">
        <v>8886</v>
      </c>
      <c r="C5128" s="24" t="s">
        <v>9755</v>
      </c>
      <c r="D5128" s="6">
        <v>517.94000000000005</v>
      </c>
      <c r="E5128" s="6">
        <v>492.2</v>
      </c>
      <c r="F5128" s="6" t="s">
        <v>14</v>
      </c>
      <c r="G5128" s="8" t="s">
        <v>9756</v>
      </c>
      <c r="H5128" s="8" t="s">
        <v>16</v>
      </c>
      <c r="I5128" s="9">
        <v>5546</v>
      </c>
      <c r="J5128" s="26">
        <v>1</v>
      </c>
      <c r="K5128" s="27">
        <v>10737</v>
      </c>
      <c r="L5128" s="3" t="str">
        <f t="shared" si="167"/>
        <v>ΣΚΛΗΡΟΣ_ΣΙΤΟΣ</v>
      </c>
    </row>
    <row r="5129" spans="1:12" s="3" customFormat="1" ht="24" x14ac:dyDescent="0.25">
      <c r="A5129" s="3" t="str">
        <f t="shared" si="166"/>
        <v>ΣΚΛΗΡΟΣ ΣΙΤΟΣΣΙΤΟΣ ΣΚΛΗΡΟΣ BACCO</v>
      </c>
      <c r="B5129" s="23" t="s">
        <v>8886</v>
      </c>
      <c r="C5129" s="24" t="s">
        <v>9757</v>
      </c>
      <c r="D5129" s="6">
        <v>517.94000000000005</v>
      </c>
      <c r="E5129" s="6">
        <v>492.2</v>
      </c>
      <c r="F5129" s="6" t="s">
        <v>14</v>
      </c>
      <c r="G5129" s="8" t="s">
        <v>9758</v>
      </c>
      <c r="H5129" s="8" t="s">
        <v>16</v>
      </c>
      <c r="I5129" s="9">
        <v>5547</v>
      </c>
      <c r="J5129" s="26">
        <v>1</v>
      </c>
      <c r="K5129" s="27">
        <v>10738</v>
      </c>
      <c r="L5129" s="3" t="str">
        <f t="shared" si="167"/>
        <v>ΣΚΛΗΡΟΣ_ΣΙΤΟΣ</v>
      </c>
    </row>
    <row r="5130" spans="1:12" s="3" customFormat="1" ht="24" x14ac:dyDescent="0.25">
      <c r="A5130" s="3" t="str">
        <f t="shared" si="166"/>
        <v>ΣΚΛΗΡΟΣ ΣΙΤΟΣΣΙΤΟΣ ΣΚΛΗΡΟΣ BRIDAO</v>
      </c>
      <c r="B5130" s="23" t="s">
        <v>8886</v>
      </c>
      <c r="C5130" s="24" t="s">
        <v>9759</v>
      </c>
      <c r="D5130" s="6">
        <v>517.94000000000005</v>
      </c>
      <c r="E5130" s="6">
        <v>492.2</v>
      </c>
      <c r="F5130" s="6" t="s">
        <v>14</v>
      </c>
      <c r="G5130" s="8" t="s">
        <v>9760</v>
      </c>
      <c r="H5130" s="8" t="s">
        <v>16</v>
      </c>
      <c r="I5130" s="9">
        <v>5548</v>
      </c>
      <c r="J5130" s="26">
        <v>1</v>
      </c>
      <c r="K5130" s="27">
        <v>10739</v>
      </c>
      <c r="L5130" s="3" t="str">
        <f t="shared" si="167"/>
        <v>ΣΚΛΗΡΟΣ_ΣΙΤΟΣ</v>
      </c>
    </row>
    <row r="5131" spans="1:12" s="3" customFormat="1" ht="24" x14ac:dyDescent="0.25">
      <c r="A5131" s="3" t="str">
        <f t="shared" si="166"/>
        <v>ΣΚΛΗΡΟΣ ΣΙΤΟΣΣΙΤΟΣ ΣΚΛΗΡΟΣ CANAILLOU</v>
      </c>
      <c r="B5131" s="23" t="s">
        <v>8886</v>
      </c>
      <c r="C5131" s="24" t="s">
        <v>9761</v>
      </c>
      <c r="D5131" s="6">
        <v>517.94000000000005</v>
      </c>
      <c r="E5131" s="6">
        <v>492.2</v>
      </c>
      <c r="F5131" s="6" t="s">
        <v>14</v>
      </c>
      <c r="G5131" s="8" t="s">
        <v>9762</v>
      </c>
      <c r="H5131" s="8" t="s">
        <v>16</v>
      </c>
      <c r="I5131" s="9">
        <v>5549</v>
      </c>
      <c r="J5131" s="26">
        <v>1</v>
      </c>
      <c r="K5131" s="27">
        <v>10740</v>
      </c>
      <c r="L5131" s="3" t="str">
        <f t="shared" si="167"/>
        <v>ΣΚΛΗΡΟΣ_ΣΙΤΟΣ</v>
      </c>
    </row>
    <row r="5132" spans="1:12" s="3" customFormat="1" ht="24" x14ac:dyDescent="0.25">
      <c r="A5132" s="3" t="str">
        <f t="shared" si="166"/>
        <v>ΣΚΛΗΡΟΣ ΣΙΤΟΣΣΙΤΟΣ ΣΚΛΗΡΟΣ CARTESIO</v>
      </c>
      <c r="B5132" s="23" t="s">
        <v>8886</v>
      </c>
      <c r="C5132" s="24" t="s">
        <v>9763</v>
      </c>
      <c r="D5132" s="6">
        <v>517.94000000000005</v>
      </c>
      <c r="E5132" s="6">
        <v>492.2</v>
      </c>
      <c r="F5132" s="6" t="s">
        <v>14</v>
      </c>
      <c r="G5132" s="8" t="s">
        <v>9764</v>
      </c>
      <c r="H5132" s="8" t="s">
        <v>16</v>
      </c>
      <c r="I5132" s="9">
        <v>5550</v>
      </c>
      <c r="J5132" s="26">
        <v>1</v>
      </c>
      <c r="K5132" s="27">
        <v>10741</v>
      </c>
      <c r="L5132" s="3" t="str">
        <f t="shared" si="167"/>
        <v>ΣΚΛΗΡΟΣ_ΣΙΤΟΣ</v>
      </c>
    </row>
    <row r="5133" spans="1:12" s="3" customFormat="1" ht="24" x14ac:dyDescent="0.25">
      <c r="A5133" s="3" t="str">
        <f t="shared" si="166"/>
        <v>ΣΚΛΗΡΟΣ ΣΙΤΟΣΣΙΤΟΣ ΣΚΛΗΡΟΣ DEYCHE</v>
      </c>
      <c r="B5133" s="23" t="s">
        <v>8886</v>
      </c>
      <c r="C5133" s="24" t="s">
        <v>9765</v>
      </c>
      <c r="D5133" s="6">
        <v>517.94000000000005</v>
      </c>
      <c r="E5133" s="6">
        <v>492.2</v>
      </c>
      <c r="F5133" s="6" t="s">
        <v>14</v>
      </c>
      <c r="G5133" s="8" t="s">
        <v>9766</v>
      </c>
      <c r="H5133" s="8" t="s">
        <v>16</v>
      </c>
      <c r="I5133" s="9">
        <v>5551</v>
      </c>
      <c r="J5133" s="26">
        <v>1</v>
      </c>
      <c r="K5133" s="27">
        <v>10742</v>
      </c>
      <c r="L5133" s="3" t="str">
        <f t="shared" si="167"/>
        <v>ΣΚΛΗΡΟΣ_ΣΙΤΟΣ</v>
      </c>
    </row>
    <row r="5134" spans="1:12" s="3" customFormat="1" ht="24" x14ac:dyDescent="0.25">
      <c r="A5134" s="3" t="str">
        <f t="shared" si="166"/>
        <v>ΣΚΛΗΡΟΣ ΣΙΤΟΣΣΙΤΟΣ ΣΚΛΗΡΟΣ DON CRISTOBAL</v>
      </c>
      <c r="B5134" s="23" t="s">
        <v>8886</v>
      </c>
      <c r="C5134" s="24" t="s">
        <v>9767</v>
      </c>
      <c r="D5134" s="6">
        <v>517.94000000000005</v>
      </c>
      <c r="E5134" s="6">
        <v>492.2</v>
      </c>
      <c r="F5134" s="6" t="s">
        <v>14</v>
      </c>
      <c r="G5134" s="8" t="s">
        <v>9768</v>
      </c>
      <c r="H5134" s="8" t="s">
        <v>16</v>
      </c>
      <c r="I5134" s="9">
        <v>5552</v>
      </c>
      <c r="J5134" s="26">
        <v>1</v>
      </c>
      <c r="K5134" s="27">
        <v>10743</v>
      </c>
      <c r="L5134" s="3" t="str">
        <f t="shared" si="167"/>
        <v>ΣΚΛΗΡΟΣ_ΣΙΤΟΣ</v>
      </c>
    </row>
    <row r="5135" spans="1:12" s="3" customFormat="1" ht="24" x14ac:dyDescent="0.25">
      <c r="A5135" s="3" t="str">
        <f t="shared" si="166"/>
        <v>ΣΚΛΗΡΟΣ ΣΙΤΟΣΣΙΤΟΣ ΣΚΛΗΡΟΣ ELIO VSD</v>
      </c>
      <c r="B5135" s="23" t="s">
        <v>8886</v>
      </c>
      <c r="C5135" s="24" t="s">
        <v>9769</v>
      </c>
      <c r="D5135" s="6">
        <v>517.94000000000005</v>
      </c>
      <c r="E5135" s="6">
        <v>492.2</v>
      </c>
      <c r="F5135" s="6" t="s">
        <v>14</v>
      </c>
      <c r="G5135" s="8" t="s">
        <v>9770</v>
      </c>
      <c r="H5135" s="8" t="s">
        <v>16</v>
      </c>
      <c r="I5135" s="9">
        <v>5553</v>
      </c>
      <c r="J5135" s="26">
        <v>1</v>
      </c>
      <c r="K5135" s="27">
        <v>10744</v>
      </c>
      <c r="L5135" s="3" t="str">
        <f t="shared" si="167"/>
        <v>ΣΚΛΗΡΟΣ_ΣΙΤΟΣ</v>
      </c>
    </row>
    <row r="5136" spans="1:12" s="3" customFormat="1" ht="24" x14ac:dyDescent="0.25">
      <c r="A5136" s="3" t="str">
        <f t="shared" si="166"/>
        <v>ΣΚΛΗΡΟΣ ΣΙΤΟΣΣΙΤΟΣ ΣΚΛΗΡΟΣ FEDERICO II</v>
      </c>
      <c r="B5136" s="23" t="s">
        <v>8886</v>
      </c>
      <c r="C5136" s="24" t="s">
        <v>9771</v>
      </c>
      <c r="D5136" s="6">
        <v>517.94000000000005</v>
      </c>
      <c r="E5136" s="6">
        <v>492.2</v>
      </c>
      <c r="F5136" s="6" t="s">
        <v>14</v>
      </c>
      <c r="G5136" s="8" t="s">
        <v>9772</v>
      </c>
      <c r="H5136" s="8" t="s">
        <v>16</v>
      </c>
      <c r="I5136" s="9">
        <v>5554</v>
      </c>
      <c r="J5136" s="26">
        <v>1</v>
      </c>
      <c r="K5136" s="27">
        <v>10745</v>
      </c>
      <c r="L5136" s="3" t="str">
        <f t="shared" si="167"/>
        <v>ΣΚΛΗΡΟΣ_ΣΙΤΟΣ</v>
      </c>
    </row>
    <row r="5137" spans="1:12" s="3" customFormat="1" ht="24" x14ac:dyDescent="0.25">
      <c r="A5137" s="3" t="str">
        <f t="shared" si="166"/>
        <v>ΣΚΛΗΡΟΣ ΣΙΤΟΣΣΙΤΟΣ ΣΚΛΗΡΟΣ GUADIX</v>
      </c>
      <c r="B5137" s="23" t="s">
        <v>8886</v>
      </c>
      <c r="C5137" s="24" t="s">
        <v>9773</v>
      </c>
      <c r="D5137" s="6">
        <v>517.94000000000005</v>
      </c>
      <c r="E5137" s="6">
        <v>492.2</v>
      </c>
      <c r="F5137" s="6" t="s">
        <v>14</v>
      </c>
      <c r="G5137" s="8" t="s">
        <v>9774</v>
      </c>
      <c r="H5137" s="8" t="s">
        <v>16</v>
      </c>
      <c r="I5137" s="9">
        <v>5555</v>
      </c>
      <c r="J5137" s="26">
        <v>1</v>
      </c>
      <c r="K5137" s="27">
        <v>10746</v>
      </c>
      <c r="L5137" s="3" t="str">
        <f t="shared" si="167"/>
        <v>ΣΚΛΗΡΟΣ_ΣΙΤΟΣ</v>
      </c>
    </row>
    <row r="5138" spans="1:12" s="3" customFormat="1" ht="24" x14ac:dyDescent="0.25">
      <c r="A5138" s="3" t="str">
        <f t="shared" si="166"/>
        <v>ΣΚΛΗΡΟΣ ΣΙΤΟΣΣΙΤΟΣ ΣΚΛΗΡΟΣ LG AVENSIS</v>
      </c>
      <c r="B5138" s="23" t="s">
        <v>8886</v>
      </c>
      <c r="C5138" s="24" t="s">
        <v>9775</v>
      </c>
      <c r="D5138" s="6">
        <v>517.94000000000005</v>
      </c>
      <c r="E5138" s="6">
        <v>492.2</v>
      </c>
      <c r="F5138" s="6" t="s">
        <v>14</v>
      </c>
      <c r="G5138" s="8" t="s">
        <v>9776</v>
      </c>
      <c r="H5138" s="8" t="s">
        <v>16</v>
      </c>
      <c r="I5138" s="9">
        <v>5556</v>
      </c>
      <c r="J5138" s="26">
        <v>1</v>
      </c>
      <c r="K5138" s="27">
        <v>10747</v>
      </c>
      <c r="L5138" s="3" t="str">
        <f t="shared" si="167"/>
        <v>ΣΚΛΗΡΟΣ_ΣΙΤΟΣ</v>
      </c>
    </row>
    <row r="5139" spans="1:12" s="3" customFormat="1" ht="24" x14ac:dyDescent="0.25">
      <c r="A5139" s="3" t="str">
        <f t="shared" si="166"/>
        <v>ΣΚΛΗΡΟΣ ΣΙΤΟΣΣΙΤΟΣ ΣΚΛΗΡΟΣ MV MAGNADUR</v>
      </c>
      <c r="B5139" s="23" t="s">
        <v>8886</v>
      </c>
      <c r="C5139" s="24" t="s">
        <v>9777</v>
      </c>
      <c r="D5139" s="6">
        <v>517.94000000000005</v>
      </c>
      <c r="E5139" s="6">
        <v>492.2</v>
      </c>
      <c r="F5139" s="6" t="s">
        <v>14</v>
      </c>
      <c r="G5139" s="8" t="s">
        <v>9778</v>
      </c>
      <c r="H5139" s="8" t="s">
        <v>16</v>
      </c>
      <c r="I5139" s="9">
        <v>5557</v>
      </c>
      <c r="J5139" s="26">
        <v>1</v>
      </c>
      <c r="K5139" s="27">
        <v>10748</v>
      </c>
      <c r="L5139" s="3" t="str">
        <f t="shared" si="167"/>
        <v>ΣΚΛΗΡΟΣ_ΣΙΤΟΣ</v>
      </c>
    </row>
    <row r="5140" spans="1:12" s="3" customFormat="1" ht="24" x14ac:dyDescent="0.25">
      <c r="A5140" s="3" t="str">
        <f t="shared" si="166"/>
        <v>ΣΚΛΗΡΟΣ ΣΙΤΟΣΣΙΤΟΣ ΣΚΛΗΡΟΣ PATRIARCA</v>
      </c>
      <c r="B5140" s="23" t="s">
        <v>8886</v>
      </c>
      <c r="C5140" s="24" t="s">
        <v>9779</v>
      </c>
      <c r="D5140" s="6">
        <v>517.94000000000005</v>
      </c>
      <c r="E5140" s="6">
        <v>492.2</v>
      </c>
      <c r="F5140" s="6" t="s">
        <v>14</v>
      </c>
      <c r="G5140" s="8" t="s">
        <v>9780</v>
      </c>
      <c r="H5140" s="8" t="s">
        <v>16</v>
      </c>
      <c r="I5140" s="9">
        <v>5558</v>
      </c>
      <c r="J5140" s="26">
        <v>1</v>
      </c>
      <c r="K5140" s="27">
        <v>10749</v>
      </c>
      <c r="L5140" s="3" t="str">
        <f t="shared" si="167"/>
        <v>ΣΚΛΗΡΟΣ_ΣΙΤΟΣ</v>
      </c>
    </row>
    <row r="5141" spans="1:12" s="3" customFormat="1" ht="24" x14ac:dyDescent="0.25">
      <c r="A5141" s="3" t="str">
        <f t="shared" si="166"/>
        <v>ΣΚΛΗΡΟΣ ΣΙΤΟΣΣΙΤΟΣ ΣΚΛΗΡΟΣ RGT BELALUR</v>
      </c>
      <c r="B5141" s="23" t="s">
        <v>8886</v>
      </c>
      <c r="C5141" s="24" t="s">
        <v>9781</v>
      </c>
      <c r="D5141" s="6">
        <v>517.94000000000005</v>
      </c>
      <c r="E5141" s="6">
        <v>492.2</v>
      </c>
      <c r="F5141" s="6" t="s">
        <v>14</v>
      </c>
      <c r="G5141" s="8" t="s">
        <v>9782</v>
      </c>
      <c r="H5141" s="8" t="s">
        <v>16</v>
      </c>
      <c r="I5141" s="9">
        <v>5559</v>
      </c>
      <c r="J5141" s="26">
        <v>1</v>
      </c>
      <c r="K5141" s="27">
        <v>10750</v>
      </c>
      <c r="L5141" s="3" t="str">
        <f t="shared" si="167"/>
        <v>ΣΚΛΗΡΟΣ_ΣΙΤΟΣ</v>
      </c>
    </row>
    <row r="5142" spans="1:12" s="3" customFormat="1" ht="24" x14ac:dyDescent="0.25">
      <c r="A5142" s="3" t="str">
        <f t="shared" si="166"/>
        <v>ΣΚΛΗΡΟΣ ΣΙΤΟΣΣΙΤΟΣ ΣΚΛΗΡΟΣ RGT DIOGEDUR</v>
      </c>
      <c r="B5142" s="37" t="s">
        <v>8886</v>
      </c>
      <c r="C5142" s="38" t="s">
        <v>9783</v>
      </c>
      <c r="D5142" s="6">
        <v>517.94000000000005</v>
      </c>
      <c r="E5142" s="6">
        <v>492.2</v>
      </c>
      <c r="F5142" s="39" t="s">
        <v>14</v>
      </c>
      <c r="G5142" s="8" t="s">
        <v>9784</v>
      </c>
      <c r="H5142" s="8" t="s">
        <v>16</v>
      </c>
      <c r="I5142" s="40">
        <v>5560</v>
      </c>
      <c r="J5142" s="41">
        <v>1</v>
      </c>
      <c r="K5142" s="42">
        <v>10751</v>
      </c>
      <c r="L5142" s="3" t="str">
        <f t="shared" si="167"/>
        <v>ΣΚΛΗΡΟΣ_ΣΙΤΟΣ</v>
      </c>
    </row>
    <row r="5143" spans="1:12" s="3" customFormat="1" ht="24" x14ac:dyDescent="0.25">
      <c r="A5143" s="3" t="str">
        <f t="shared" si="166"/>
        <v>ΣΚΛΗΡΟΣ ΣΙΤΟΣΣΙΤΟΣ ΣΚΛΗΡΟΣ RGT ESTEDUR</v>
      </c>
      <c r="B5143" s="23" t="s">
        <v>8886</v>
      </c>
      <c r="C5143" s="24" t="s">
        <v>9785</v>
      </c>
      <c r="D5143" s="6">
        <v>517.94000000000005</v>
      </c>
      <c r="E5143" s="6">
        <v>492.2</v>
      </c>
      <c r="F5143" s="6" t="s">
        <v>14</v>
      </c>
      <c r="G5143" s="8" t="s">
        <v>9786</v>
      </c>
      <c r="H5143" s="8" t="s">
        <v>16</v>
      </c>
      <c r="I5143" s="9">
        <v>5561</v>
      </c>
      <c r="J5143" s="26">
        <v>1</v>
      </c>
      <c r="K5143" s="27">
        <v>10752</v>
      </c>
      <c r="L5143" s="3" t="str">
        <f t="shared" si="167"/>
        <v>ΣΚΛΗΡΟΣ_ΣΙΤΟΣ</v>
      </c>
    </row>
    <row r="5144" spans="1:12" s="3" customFormat="1" ht="24" x14ac:dyDescent="0.25">
      <c r="A5144" s="3" t="str">
        <f t="shared" si="166"/>
        <v>ΣΚΛΗΡΟΣ ΣΙΤΟΣΣΙΤΟΣ ΣΚΛΗΡΟΣ RGT FESTADUR</v>
      </c>
      <c r="B5144" s="23" t="s">
        <v>8886</v>
      </c>
      <c r="C5144" s="24" t="s">
        <v>9787</v>
      </c>
      <c r="D5144" s="6">
        <v>517.94000000000005</v>
      </c>
      <c r="E5144" s="6">
        <v>492.2</v>
      </c>
      <c r="F5144" s="6" t="s">
        <v>14</v>
      </c>
      <c r="G5144" s="8" t="s">
        <v>9788</v>
      </c>
      <c r="H5144" s="8" t="s">
        <v>16</v>
      </c>
      <c r="I5144" s="9">
        <v>5562</v>
      </c>
      <c r="J5144" s="26">
        <v>1</v>
      </c>
      <c r="K5144" s="27">
        <v>10753</v>
      </c>
      <c r="L5144" s="3" t="str">
        <f t="shared" si="167"/>
        <v>ΣΚΛΗΡΟΣ_ΣΙΤΟΣ</v>
      </c>
    </row>
    <row r="5145" spans="1:12" ht="24" x14ac:dyDescent="0.25">
      <c r="A5145" s="1" t="str">
        <f t="shared" si="166"/>
        <v>ΣΚΛΗΡΟΣ ΣΙΤΟΣΣΙΤΟΣ ΣΚΛΗΡΟΣ RGT KAPSUR</v>
      </c>
      <c r="B5145" s="23" t="s">
        <v>8886</v>
      </c>
      <c r="C5145" s="24" t="s">
        <v>9789</v>
      </c>
      <c r="D5145" s="6">
        <v>517.94000000000005</v>
      </c>
      <c r="E5145" s="6">
        <v>492.2</v>
      </c>
      <c r="F5145" s="6" t="s">
        <v>14</v>
      </c>
      <c r="G5145" s="8" t="s">
        <v>9790</v>
      </c>
      <c r="H5145" s="8" t="s">
        <v>16</v>
      </c>
      <c r="I5145" s="9">
        <v>5563</v>
      </c>
      <c r="J5145" s="26">
        <v>1</v>
      </c>
      <c r="K5145" s="27">
        <v>10754</v>
      </c>
      <c r="L5145" s="3" t="str">
        <f t="shared" si="167"/>
        <v>ΣΚΛΗΡΟΣ_ΣΙΤΟΣ</v>
      </c>
    </row>
    <row r="5146" spans="1:12" ht="24" x14ac:dyDescent="0.25">
      <c r="A5146" s="1" t="str">
        <f t="shared" si="166"/>
        <v>ΣΚΛΗΡΟΣ ΣΙΤΟΣΣΙΤΟΣ ΣΚΛΗΡΟΣ RGT RAMUR</v>
      </c>
      <c r="B5146" s="23" t="s">
        <v>8886</v>
      </c>
      <c r="C5146" s="24" t="s">
        <v>9791</v>
      </c>
      <c r="D5146" s="6">
        <v>517.94000000000005</v>
      </c>
      <c r="E5146" s="6">
        <v>492.2</v>
      </c>
      <c r="F5146" s="6" t="s">
        <v>14</v>
      </c>
      <c r="G5146" s="8" t="s">
        <v>9792</v>
      </c>
      <c r="H5146" s="8" t="s">
        <v>16</v>
      </c>
      <c r="I5146" s="9">
        <v>5564</v>
      </c>
      <c r="J5146" s="26">
        <v>1</v>
      </c>
      <c r="K5146" s="27">
        <v>10755</v>
      </c>
      <c r="L5146" s="3" t="str">
        <f t="shared" si="167"/>
        <v>ΣΚΛΗΡΟΣ_ΣΙΤΟΣ</v>
      </c>
    </row>
    <row r="5147" spans="1:12" ht="24" x14ac:dyDescent="0.25">
      <c r="A5147" s="1" t="str">
        <f t="shared" si="166"/>
        <v>ΣΚΛΗΡΟΣ ΣΙΤΟΣΣΙΤΟΣ ΣΚΛΗΡΟΣ RGT SACRADUR</v>
      </c>
      <c r="B5147" s="23" t="s">
        <v>8886</v>
      </c>
      <c r="C5147" s="24" t="s">
        <v>9793</v>
      </c>
      <c r="D5147" s="6">
        <v>517.94000000000005</v>
      </c>
      <c r="E5147" s="6">
        <v>492.2</v>
      </c>
      <c r="F5147" s="6" t="s">
        <v>14</v>
      </c>
      <c r="G5147" s="8" t="s">
        <v>9794</v>
      </c>
      <c r="H5147" s="8" t="s">
        <v>16</v>
      </c>
      <c r="I5147" s="9">
        <v>5565</v>
      </c>
      <c r="J5147" s="26">
        <v>1</v>
      </c>
      <c r="K5147" s="27">
        <v>10756</v>
      </c>
      <c r="L5147" s="3" t="str">
        <f t="shared" si="167"/>
        <v>ΣΚΛΗΡΟΣ_ΣΙΤΟΣ</v>
      </c>
    </row>
    <row r="5148" spans="1:12" ht="24" x14ac:dyDescent="0.25">
      <c r="A5148" s="1" t="str">
        <f t="shared" si="166"/>
        <v>ΣΚΛΗΡΟΣ ΣΙΤΟΣΣΙΤΟΣ ΣΚΛΗΡΟΣ RGT SOISSUR</v>
      </c>
      <c r="B5148" s="23" t="s">
        <v>8886</v>
      </c>
      <c r="C5148" s="24" t="s">
        <v>9795</v>
      </c>
      <c r="D5148" s="6">
        <v>517.94000000000005</v>
      </c>
      <c r="E5148" s="6">
        <v>492.2</v>
      </c>
      <c r="F5148" s="6" t="s">
        <v>14</v>
      </c>
      <c r="G5148" s="8" t="s">
        <v>9796</v>
      </c>
      <c r="H5148" s="8" t="s">
        <v>16</v>
      </c>
      <c r="I5148" s="9">
        <v>5566</v>
      </c>
      <c r="J5148" s="26">
        <v>1</v>
      </c>
      <c r="K5148" s="27">
        <v>10757</v>
      </c>
      <c r="L5148" s="3" t="str">
        <f t="shared" si="167"/>
        <v>ΣΚΛΗΡΟΣ_ΣΙΤΟΣ</v>
      </c>
    </row>
    <row r="5149" spans="1:12" ht="24" x14ac:dyDescent="0.25">
      <c r="A5149" s="1" t="str">
        <f t="shared" si="166"/>
        <v>ΣΚΛΗΡΟΣ ΣΙΤΟΣΣΙΤΟΣ ΣΚΛΗΡΟΣ RGT TALEDUR</v>
      </c>
      <c r="B5149" s="23" t="s">
        <v>8886</v>
      </c>
      <c r="C5149" s="24" t="s">
        <v>9797</v>
      </c>
      <c r="D5149" s="6">
        <v>517.94000000000005</v>
      </c>
      <c r="E5149" s="6">
        <v>492.2</v>
      </c>
      <c r="F5149" s="6" t="s">
        <v>14</v>
      </c>
      <c r="G5149" s="8" t="s">
        <v>9798</v>
      </c>
      <c r="H5149" s="8" t="s">
        <v>16</v>
      </c>
      <c r="I5149" s="9">
        <v>5567</v>
      </c>
      <c r="J5149" s="26">
        <v>1</v>
      </c>
      <c r="K5149" s="27">
        <v>10758</v>
      </c>
      <c r="L5149" s="3" t="str">
        <f t="shared" si="167"/>
        <v>ΣΚΛΗΡΟΣ_ΣΙΤΟΣ</v>
      </c>
    </row>
    <row r="5150" spans="1:12" ht="24" x14ac:dyDescent="0.25">
      <c r="A5150" s="1" t="str">
        <f t="shared" si="166"/>
        <v>ΣΚΛΗΡΟΣ ΣΙΤΟΣΣΙΤΟΣ ΣΚΛΗΡΟΣ SAALEDUR</v>
      </c>
      <c r="B5150" s="23" t="s">
        <v>8886</v>
      </c>
      <c r="C5150" s="24" t="s">
        <v>9799</v>
      </c>
      <c r="D5150" s="6">
        <v>517.94000000000005</v>
      </c>
      <c r="E5150" s="6">
        <v>492.2</v>
      </c>
      <c r="F5150" s="6" t="s">
        <v>14</v>
      </c>
      <c r="G5150" s="8" t="s">
        <v>9800</v>
      </c>
      <c r="H5150" s="8" t="s">
        <v>16</v>
      </c>
      <c r="I5150" s="9">
        <v>5568</v>
      </c>
      <c r="J5150" s="26">
        <v>1</v>
      </c>
      <c r="K5150" s="27">
        <v>10759</v>
      </c>
      <c r="L5150" s="3" t="str">
        <f t="shared" si="167"/>
        <v>ΣΚΛΗΡΟΣ_ΣΙΤΟΣ</v>
      </c>
    </row>
    <row r="5151" spans="1:12" ht="24" x14ac:dyDescent="0.25">
      <c r="A5151" s="1" t="str">
        <f t="shared" si="166"/>
        <v>ΣΚΛΗΡΟΣ ΣΙΤΟΣΣΙΤΟΣ ΣΚΛΗΡΟΣ SPINETO</v>
      </c>
      <c r="B5151" s="23" t="s">
        <v>8886</v>
      </c>
      <c r="C5151" s="24" t="s">
        <v>9801</v>
      </c>
      <c r="D5151" s="6">
        <v>517.94000000000005</v>
      </c>
      <c r="E5151" s="6">
        <v>492.2</v>
      </c>
      <c r="F5151" s="6" t="s">
        <v>14</v>
      </c>
      <c r="G5151" s="8" t="s">
        <v>9802</v>
      </c>
      <c r="H5151" s="8" t="s">
        <v>16</v>
      </c>
      <c r="I5151" s="9">
        <v>5569</v>
      </c>
      <c r="J5151" s="26">
        <v>1</v>
      </c>
      <c r="K5151" s="27">
        <v>10760</v>
      </c>
      <c r="L5151" s="3" t="str">
        <f t="shared" si="167"/>
        <v>ΣΚΛΗΡΟΣ_ΣΙΤΟΣ</v>
      </c>
    </row>
    <row r="5152" spans="1:12" ht="24" x14ac:dyDescent="0.25">
      <c r="A5152" s="1" t="str">
        <f t="shared" si="166"/>
        <v>ΣΚΛΗΡΟΣ ΣΙΤΟΣΣΙΤΟΣ ΣΚΛΗΡΟΣ SY INDREN</v>
      </c>
      <c r="B5152" s="23" t="s">
        <v>8886</v>
      </c>
      <c r="C5152" s="24" t="s">
        <v>9803</v>
      </c>
      <c r="D5152" s="6">
        <v>517.94000000000005</v>
      </c>
      <c r="E5152" s="6">
        <v>492.2</v>
      </c>
      <c r="F5152" s="6" t="s">
        <v>14</v>
      </c>
      <c r="G5152" s="8" t="s">
        <v>9804</v>
      </c>
      <c r="H5152" s="8" t="s">
        <v>16</v>
      </c>
      <c r="I5152" s="9">
        <v>5570</v>
      </c>
      <c r="J5152" s="26">
        <v>1</v>
      </c>
      <c r="K5152" s="27">
        <v>10761</v>
      </c>
      <c r="L5152" s="3" t="str">
        <f t="shared" si="167"/>
        <v>ΣΚΛΗΡΟΣ_ΣΙΤΟΣ</v>
      </c>
    </row>
    <row r="5153" spans="1:12" ht="24" x14ac:dyDescent="0.25">
      <c r="A5153" s="1" t="str">
        <f t="shared" si="166"/>
        <v>ΣΚΛΗΡΟΣ ΣΙΤΟΣΣΙΤΟΣ ΣΚΛΗΡΟΣ SY PRODIGIO</v>
      </c>
      <c r="B5153" s="23" t="s">
        <v>8886</v>
      </c>
      <c r="C5153" s="24" t="s">
        <v>9805</v>
      </c>
      <c r="D5153" s="6">
        <v>517.94000000000005</v>
      </c>
      <c r="E5153" s="6">
        <v>492.2</v>
      </c>
      <c r="F5153" s="6" t="s">
        <v>14</v>
      </c>
      <c r="G5153" s="8" t="s">
        <v>9806</v>
      </c>
      <c r="H5153" s="8" t="s">
        <v>16</v>
      </c>
      <c r="I5153" s="9">
        <v>5571</v>
      </c>
      <c r="J5153" s="26">
        <v>1</v>
      </c>
      <c r="K5153" s="27">
        <v>10762</v>
      </c>
      <c r="L5153" s="3" t="str">
        <f t="shared" si="167"/>
        <v>ΣΚΛΗΡΟΣ_ΣΙΤΟΣ</v>
      </c>
    </row>
    <row r="5154" spans="1:12" ht="24" x14ac:dyDescent="0.25">
      <c r="A5154" s="1" t="str">
        <f t="shared" si="166"/>
        <v>ΣΚΛΗΡΟΣ ΣΙΤΟΣΣΙΤΟΣ ΣΚΛΗΡΟΣ TENARIS</v>
      </c>
      <c r="B5154" s="23" t="s">
        <v>8886</v>
      </c>
      <c r="C5154" s="24" t="s">
        <v>9807</v>
      </c>
      <c r="D5154" s="6">
        <v>517.94000000000005</v>
      </c>
      <c r="E5154" s="6">
        <v>492.2</v>
      </c>
      <c r="F5154" s="6" t="s">
        <v>14</v>
      </c>
      <c r="G5154" s="8" t="s">
        <v>9808</v>
      </c>
      <c r="H5154" s="8" t="s">
        <v>16</v>
      </c>
      <c r="I5154" s="9">
        <v>5572</v>
      </c>
      <c r="J5154" s="26">
        <v>1</v>
      </c>
      <c r="K5154" s="27">
        <v>10763</v>
      </c>
      <c r="L5154" s="3" t="str">
        <f t="shared" si="167"/>
        <v>ΣΚΛΗΡΟΣ_ΣΙΤΟΣ</v>
      </c>
    </row>
    <row r="5155" spans="1:12" ht="24" x14ac:dyDescent="0.25">
      <c r="A5155" s="1" t="str">
        <f t="shared" si="166"/>
        <v>ΣΚΛΗΡΟΣ ΣΙΤΟΣΣΙΤΟΣ ΣΚΛΗΡΟΣ VIDEODUR</v>
      </c>
      <c r="B5155" s="23" t="s">
        <v>8886</v>
      </c>
      <c r="C5155" s="24" t="s">
        <v>9809</v>
      </c>
      <c r="D5155" s="6">
        <v>517.94000000000005</v>
      </c>
      <c r="E5155" s="6">
        <v>492.2</v>
      </c>
      <c r="F5155" s="6" t="s">
        <v>14</v>
      </c>
      <c r="G5155" s="8" t="s">
        <v>9810</v>
      </c>
      <c r="H5155" s="8" t="s">
        <v>16</v>
      </c>
      <c r="I5155" s="9">
        <v>5573</v>
      </c>
      <c r="J5155" s="26">
        <v>1</v>
      </c>
      <c r="K5155" s="27">
        <v>10764</v>
      </c>
      <c r="L5155" s="3" t="str">
        <f t="shared" si="167"/>
        <v>ΣΚΛΗΡΟΣ_ΣΙΤΟΣ</v>
      </c>
    </row>
    <row r="5156" spans="1:12" x14ac:dyDescent="0.25">
      <c r="A5156" s="1" t="str">
        <f t="shared" si="166"/>
        <v>ΣΚΛΗΡΟΣ ΣΙΤΟΣΣΚΛΗΡΟΣ ΣΙΤΟΣ PVL1636</v>
      </c>
      <c r="B5156" s="23" t="s">
        <v>8886</v>
      </c>
      <c r="C5156" s="24" t="s">
        <v>9811</v>
      </c>
      <c r="D5156" s="6">
        <v>517.94000000000005</v>
      </c>
      <c r="E5156" s="6">
        <v>492.2</v>
      </c>
      <c r="F5156" s="7" t="s">
        <v>14</v>
      </c>
      <c r="G5156" s="30" t="s">
        <v>9812</v>
      </c>
      <c r="H5156" s="31" t="s">
        <v>577</v>
      </c>
      <c r="I5156" s="9">
        <v>6229</v>
      </c>
      <c r="J5156" s="30">
        <v>1</v>
      </c>
      <c r="K5156" s="30">
        <v>10765</v>
      </c>
      <c r="L5156" s="3" t="str">
        <f t="shared" si="167"/>
        <v>ΣΚΛΗΡΟΣ_ΣΙΤΟΣ</v>
      </c>
    </row>
    <row r="5157" spans="1:12" x14ac:dyDescent="0.25">
      <c r="A5157" s="1" t="str">
        <f t="shared" si="166"/>
        <v>ΣΚΛΗΡΟΣ ΣΙΤΟΣΣΙΤΟΣ ΣΚΛΗΡΟΣ FELSINA</v>
      </c>
      <c r="B5157" s="23" t="s">
        <v>8886</v>
      </c>
      <c r="C5157" s="24" t="s">
        <v>9813</v>
      </c>
      <c r="D5157" s="6">
        <v>517.94000000000005</v>
      </c>
      <c r="E5157" s="6">
        <v>492.2</v>
      </c>
      <c r="F5157" s="7" t="s">
        <v>14</v>
      </c>
      <c r="G5157" s="30" t="s">
        <v>9814</v>
      </c>
      <c r="H5157" s="31" t="s">
        <v>577</v>
      </c>
      <c r="I5157" s="9">
        <v>6227</v>
      </c>
      <c r="J5157" s="30">
        <v>1</v>
      </c>
      <c r="K5157" s="30">
        <v>10766</v>
      </c>
      <c r="L5157" s="3" t="str">
        <f t="shared" si="167"/>
        <v>ΣΚΛΗΡΟΣ_ΣΙΤΟΣ</v>
      </c>
    </row>
    <row r="5158" spans="1:12" x14ac:dyDescent="0.25">
      <c r="A5158" s="1" t="str">
        <f t="shared" si="166"/>
        <v>ΣΚΛΗΡΟΣ ΣΙΤΟΣΣΚΛΗΡΟΣ ΣΙΤΟΣ DEVES</v>
      </c>
      <c r="B5158" s="23" t="s">
        <v>8886</v>
      </c>
      <c r="C5158" s="24" t="s">
        <v>9815</v>
      </c>
      <c r="D5158" s="6">
        <v>517.94000000000005</v>
      </c>
      <c r="E5158" s="6">
        <v>492.2</v>
      </c>
      <c r="F5158" s="7" t="s">
        <v>14</v>
      </c>
      <c r="G5158" s="30" t="s">
        <v>9816</v>
      </c>
      <c r="H5158" s="31" t="s">
        <v>577</v>
      </c>
      <c r="I5158" s="9">
        <v>6228</v>
      </c>
      <c r="J5158" s="30">
        <v>1</v>
      </c>
      <c r="K5158" s="30">
        <v>10767</v>
      </c>
      <c r="L5158" s="3" t="str">
        <f t="shared" si="167"/>
        <v>ΣΚΛΗΡΟΣ_ΣΙΤΟΣ</v>
      </c>
    </row>
    <row r="5159" spans="1:12" ht="24" x14ac:dyDescent="0.25">
      <c r="A5159" s="1" t="str">
        <f t="shared" si="166"/>
        <v>ΣΚΛΗΡΟΣ ΣΙΤΟΣΣΙΤΟΣ ΣΚΛΗΡΟΣ STEMI</v>
      </c>
      <c r="B5159" s="4" t="s">
        <v>8886</v>
      </c>
      <c r="C5159" s="5" t="s">
        <v>9817</v>
      </c>
      <c r="D5159" s="6">
        <v>517.94000000000005</v>
      </c>
      <c r="E5159" s="6">
        <v>492.2</v>
      </c>
      <c r="F5159" s="7" t="s">
        <v>14</v>
      </c>
      <c r="G5159" s="8" t="s">
        <v>9818</v>
      </c>
      <c r="H5159" s="8" t="s">
        <v>16</v>
      </c>
      <c r="I5159" s="9">
        <v>82</v>
      </c>
      <c r="J5159" s="10">
        <v>1</v>
      </c>
      <c r="K5159" s="10">
        <v>2990</v>
      </c>
      <c r="L5159" s="3" t="str">
        <f t="shared" si="167"/>
        <v>ΣΚΛΗΡΟΣ_ΣΙΤΟΣ</v>
      </c>
    </row>
    <row r="5160" spans="1:12" ht="24" x14ac:dyDescent="0.25">
      <c r="A5160" s="1" t="str">
        <f t="shared" si="166"/>
        <v>ΣΚΛΗΡΟΣ ΣΙΤΟΣΣΙΤΟΣ ΣΚΛΗΡΟΣ GATTUSO</v>
      </c>
      <c r="B5160" s="4" t="s">
        <v>8886</v>
      </c>
      <c r="C5160" s="5" t="s">
        <v>9819</v>
      </c>
      <c r="D5160" s="6">
        <v>517.94000000000005</v>
      </c>
      <c r="E5160" s="6">
        <v>492.2</v>
      </c>
      <c r="F5160" s="7" t="s">
        <v>14</v>
      </c>
      <c r="G5160" s="8" t="s">
        <v>9820</v>
      </c>
      <c r="H5160" s="8" t="s">
        <v>16</v>
      </c>
      <c r="I5160" s="9">
        <v>176</v>
      </c>
      <c r="J5160" s="10">
        <v>1</v>
      </c>
      <c r="K5160" s="10">
        <v>7772</v>
      </c>
      <c r="L5160" s="3" t="str">
        <f t="shared" si="167"/>
        <v>ΣΚΛΗΡΟΣ_ΣΙΤΟΣ</v>
      </c>
    </row>
    <row r="5161" spans="1:12" ht="24" x14ac:dyDescent="0.25">
      <c r="A5161" s="1" t="str">
        <f t="shared" si="166"/>
        <v>ΣΚΛΗΡΟΣ ΣΙΤΟΣΣΙΤΟΣ ΣΚΛΗΡΟΣ PORTODUR</v>
      </c>
      <c r="B5161" s="4" t="s">
        <v>8886</v>
      </c>
      <c r="C5161" s="5" t="s">
        <v>9821</v>
      </c>
      <c r="D5161" s="6">
        <v>517.94000000000005</v>
      </c>
      <c r="E5161" s="6">
        <v>492.2</v>
      </c>
      <c r="F5161" s="7" t="s">
        <v>14</v>
      </c>
      <c r="G5161" s="8" t="s">
        <v>9822</v>
      </c>
      <c r="H5161" s="8" t="s">
        <v>16</v>
      </c>
      <c r="I5161" s="9">
        <v>175</v>
      </c>
      <c r="J5161" s="10">
        <v>1</v>
      </c>
      <c r="K5161" s="10">
        <v>7773</v>
      </c>
      <c r="L5161" s="3" t="str">
        <f t="shared" si="167"/>
        <v>ΣΚΛΗΡΟΣ_ΣΙΤΟΣ</v>
      </c>
    </row>
    <row r="5162" spans="1:12" x14ac:dyDescent="0.25">
      <c r="A5162" s="1" t="str">
        <f t="shared" si="166"/>
        <v>ΣΚΛΗΡΟΣ ΣΙΤΟΣΣΙΤΟΣ ΣΚΛΗΡΟΣ IRINTE</v>
      </c>
      <c r="B5162" s="18" t="s">
        <v>8886</v>
      </c>
      <c r="C5162" s="19" t="s">
        <v>9823</v>
      </c>
      <c r="D5162" s="6">
        <v>517.94000000000005</v>
      </c>
      <c r="E5162" s="6">
        <v>492.2</v>
      </c>
      <c r="F5162" s="6" t="s">
        <v>14</v>
      </c>
      <c r="G5162" s="8" t="s">
        <v>9824</v>
      </c>
      <c r="H5162" s="8" t="s">
        <v>27</v>
      </c>
      <c r="I5162" s="9">
        <v>4422</v>
      </c>
      <c r="J5162" s="20">
        <v>1</v>
      </c>
      <c r="K5162" s="20">
        <v>7774</v>
      </c>
      <c r="L5162" s="3" t="str">
        <f t="shared" si="167"/>
        <v>ΣΚΛΗΡΟΣ_ΣΙΤΟΣ</v>
      </c>
    </row>
    <row r="5163" spans="1:12" x14ac:dyDescent="0.25">
      <c r="A5163" s="1" t="str">
        <f t="shared" si="166"/>
        <v>ΣΚΛΗΡΟΣ ΣΙΤΟΣΣΙΤΟΣ ΜΟΝΟΚΟΚΚΟΣ ΚΑΠΛΟΥΤΖΑΣ</v>
      </c>
      <c r="B5163" s="18" t="s">
        <v>8886</v>
      </c>
      <c r="C5163" s="19" t="s">
        <v>9825</v>
      </c>
      <c r="D5163" s="6">
        <v>517.94000000000005</v>
      </c>
      <c r="E5163" s="6">
        <v>492.2</v>
      </c>
      <c r="F5163" s="6" t="s">
        <v>14</v>
      </c>
      <c r="G5163" s="8" t="s">
        <v>9826</v>
      </c>
      <c r="H5163" s="8" t="s">
        <v>27</v>
      </c>
      <c r="I5163" s="9">
        <v>4423</v>
      </c>
      <c r="J5163" s="20">
        <v>1</v>
      </c>
      <c r="K5163" s="20">
        <v>7776</v>
      </c>
      <c r="L5163" s="3" t="str">
        <f t="shared" si="167"/>
        <v>ΣΚΛΗΡΟΣ_ΣΙΤΟΣ</v>
      </c>
    </row>
    <row r="5164" spans="1:12" x14ac:dyDescent="0.25">
      <c r="A5164" s="1" t="str">
        <f t="shared" si="166"/>
        <v>ΣΚΛΗΡΟΣ ΣΙΤΟΣΣΙΤΟΣ ΣΚΛΗΡΟΣ ATHOS (ΑΘΩΣ)</v>
      </c>
      <c r="B5164" s="4" t="s">
        <v>8886</v>
      </c>
      <c r="C5164" s="5" t="s">
        <v>9827</v>
      </c>
      <c r="D5164" s="6">
        <v>517.94000000000005</v>
      </c>
      <c r="E5164" s="6">
        <v>492.2</v>
      </c>
      <c r="F5164" s="7" t="s">
        <v>14</v>
      </c>
      <c r="G5164" s="8" t="s">
        <v>9828</v>
      </c>
      <c r="H5164" s="8" t="s">
        <v>27</v>
      </c>
      <c r="I5164" s="9">
        <v>174</v>
      </c>
      <c r="J5164" s="10">
        <v>1</v>
      </c>
      <c r="K5164" s="10">
        <v>7801</v>
      </c>
      <c r="L5164" s="3" t="str">
        <f t="shared" si="167"/>
        <v>ΣΚΛΗΡΟΣ_ΣΙΤΟΣ</v>
      </c>
    </row>
    <row r="5165" spans="1:12" x14ac:dyDescent="0.25">
      <c r="A5165" s="1" t="str">
        <f t="shared" si="166"/>
        <v>ΣΚΛΗΡΟΣ ΣΙΤΟΣΣΙΤΟΣ ΣΚΛΗΡΟΣ AMANTA</v>
      </c>
      <c r="B5165" s="18" t="s">
        <v>8886</v>
      </c>
      <c r="C5165" s="19" t="s">
        <v>9829</v>
      </c>
      <c r="D5165" s="6">
        <v>517.94000000000005</v>
      </c>
      <c r="E5165" s="6">
        <v>492.2</v>
      </c>
      <c r="F5165" s="6" t="s">
        <v>14</v>
      </c>
      <c r="G5165" s="8" t="s">
        <v>9830</v>
      </c>
      <c r="H5165" s="8" t="s">
        <v>27</v>
      </c>
      <c r="I5165" s="9">
        <v>4424</v>
      </c>
      <c r="J5165" s="20">
        <v>1</v>
      </c>
      <c r="K5165" s="20">
        <v>7802</v>
      </c>
      <c r="L5165" s="3" t="str">
        <f t="shared" si="167"/>
        <v>ΣΚΛΗΡΟΣ_ΣΙΤΟΣ</v>
      </c>
    </row>
    <row r="5166" spans="1:12" x14ac:dyDescent="0.25">
      <c r="A5166" s="1" t="str">
        <f t="shared" si="166"/>
        <v>ΣΚΛΗΡΟΣ ΣΙΤΟΣΣΙΤΟΣ ΣΚΛΗΡΟΣ KARISTO</v>
      </c>
      <c r="B5166" s="18" t="s">
        <v>8886</v>
      </c>
      <c r="C5166" s="19" t="s">
        <v>9831</v>
      </c>
      <c r="D5166" s="6">
        <v>517.94000000000005</v>
      </c>
      <c r="E5166" s="6">
        <v>492.2</v>
      </c>
      <c r="F5166" s="6" t="s">
        <v>14</v>
      </c>
      <c r="G5166" s="8" t="s">
        <v>9832</v>
      </c>
      <c r="H5166" s="8" t="s">
        <v>27</v>
      </c>
      <c r="I5166" s="9">
        <v>4425</v>
      </c>
      <c r="J5166" s="20">
        <v>1</v>
      </c>
      <c r="K5166" s="20">
        <v>7803</v>
      </c>
      <c r="L5166" s="3" t="str">
        <f t="shared" si="167"/>
        <v>ΣΚΛΗΡΟΣ_ΣΙΤΟΣ</v>
      </c>
    </row>
    <row r="5167" spans="1:12" x14ac:dyDescent="0.25">
      <c r="A5167" s="1" t="str">
        <f t="shared" si="166"/>
        <v>ΣΚΛΗΡΟΣ ΣΙΤΟΣΣΙΤΟΣ ΣΚΛΗΡΟΣ KIARA</v>
      </c>
      <c r="B5167" s="18" t="s">
        <v>8886</v>
      </c>
      <c r="C5167" s="19" t="s">
        <v>9833</v>
      </c>
      <c r="D5167" s="6">
        <v>517.94000000000005</v>
      </c>
      <c r="E5167" s="6">
        <v>492.2</v>
      </c>
      <c r="F5167" s="6" t="s">
        <v>14</v>
      </c>
      <c r="G5167" s="8" t="s">
        <v>9834</v>
      </c>
      <c r="H5167" s="8" t="s">
        <v>27</v>
      </c>
      <c r="I5167" s="9">
        <v>4426</v>
      </c>
      <c r="J5167" s="20">
        <v>1</v>
      </c>
      <c r="K5167" s="20">
        <v>7804</v>
      </c>
      <c r="L5167" s="3" t="str">
        <f t="shared" si="167"/>
        <v>ΣΚΛΗΡΟΣ_ΣΙΤΟΣ</v>
      </c>
    </row>
    <row r="5168" spans="1:12" ht="24" x14ac:dyDescent="0.25">
      <c r="A5168" s="1" t="str">
        <f t="shared" si="166"/>
        <v>ΣΚΛΗΡΟΣ ΣΙΤΟΣΣΙΤΟΣ ΣΚΛΗΡΟΣ KORDO</v>
      </c>
      <c r="B5168" s="4" t="s">
        <v>8886</v>
      </c>
      <c r="C5168" s="5" t="s">
        <v>9835</v>
      </c>
      <c r="D5168" s="6">
        <v>517.94000000000005</v>
      </c>
      <c r="E5168" s="6">
        <v>492.2</v>
      </c>
      <c r="F5168" s="7" t="s">
        <v>14</v>
      </c>
      <c r="G5168" s="8" t="s">
        <v>9836</v>
      </c>
      <c r="H5168" s="8" t="s">
        <v>16</v>
      </c>
      <c r="I5168" s="9">
        <v>173</v>
      </c>
      <c r="J5168" s="10">
        <v>1</v>
      </c>
      <c r="K5168" s="10">
        <v>7805</v>
      </c>
      <c r="L5168" s="3" t="str">
        <f t="shared" si="167"/>
        <v>ΣΚΛΗΡΟΣ_ΣΙΤΟΣ</v>
      </c>
    </row>
    <row r="5169" spans="1:12" x14ac:dyDescent="0.25">
      <c r="A5169" s="1" t="str">
        <f t="shared" si="166"/>
        <v>ΣΚΛΗΡΟΣ ΣΙΤΟΣΣΙΤΟΣ ΣΚΛΗΡΟΣ KALITHEA (ΚΑΛΛΙΘΕΑ)</v>
      </c>
      <c r="B5169" s="4" t="s">
        <v>8886</v>
      </c>
      <c r="C5169" s="5" t="s">
        <v>9837</v>
      </c>
      <c r="D5169" s="6">
        <v>517.94000000000005</v>
      </c>
      <c r="E5169" s="6">
        <v>492.2</v>
      </c>
      <c r="F5169" s="7" t="s">
        <v>14</v>
      </c>
      <c r="G5169" s="8" t="s">
        <v>9838</v>
      </c>
      <c r="H5169" s="8" t="s">
        <v>27</v>
      </c>
      <c r="I5169" s="9">
        <v>172</v>
      </c>
      <c r="J5169" s="10">
        <v>1</v>
      </c>
      <c r="K5169" s="10">
        <v>7806</v>
      </c>
      <c r="L5169" s="3" t="str">
        <f t="shared" si="167"/>
        <v>ΣΚΛΗΡΟΣ_ΣΙΤΟΣ</v>
      </c>
    </row>
    <row r="5170" spans="1:12" ht="24" x14ac:dyDescent="0.25">
      <c r="A5170" s="1" t="str">
        <f t="shared" si="166"/>
        <v>ΣΚΛΗΡΟΣ ΣΙΤΟΣΣΙΤΟΣ ΣΚΛΗΡΟΣ MATT</v>
      </c>
      <c r="B5170" s="4" t="s">
        <v>8886</v>
      </c>
      <c r="C5170" s="5" t="s">
        <v>9839</v>
      </c>
      <c r="D5170" s="6">
        <v>517.94000000000005</v>
      </c>
      <c r="E5170" s="6">
        <v>492.2</v>
      </c>
      <c r="F5170" s="7" t="s">
        <v>14</v>
      </c>
      <c r="G5170" s="8" t="s">
        <v>9840</v>
      </c>
      <c r="H5170" s="8" t="s">
        <v>16</v>
      </c>
      <c r="I5170" s="9">
        <v>171</v>
      </c>
      <c r="J5170" s="10">
        <v>1</v>
      </c>
      <c r="K5170" s="10">
        <v>7807</v>
      </c>
      <c r="L5170" s="3" t="str">
        <f t="shared" si="167"/>
        <v>ΣΚΛΗΡΟΣ_ΣΙΤΟΣ</v>
      </c>
    </row>
    <row r="5171" spans="1:12" ht="24" x14ac:dyDescent="0.25">
      <c r="A5171" s="1" t="str">
        <f t="shared" si="166"/>
        <v>ΣΚΛΗΡΟΣ ΣΙΤΟΣΣΙΤΟΣ ΣΚΛΗΡΟΣ MEXIKALI 81 (ΜΕΞΙΚΑΛΙ 81)</v>
      </c>
      <c r="B5171" s="4" t="s">
        <v>8886</v>
      </c>
      <c r="C5171" s="5" t="s">
        <v>9841</v>
      </c>
      <c r="D5171" s="6">
        <v>517.94000000000005</v>
      </c>
      <c r="E5171" s="6">
        <v>492.2</v>
      </c>
      <c r="F5171" s="7" t="s">
        <v>14</v>
      </c>
      <c r="G5171" s="8" t="s">
        <v>9842</v>
      </c>
      <c r="H5171" s="8" t="s">
        <v>16</v>
      </c>
      <c r="I5171" s="9">
        <v>162</v>
      </c>
      <c r="J5171" s="10">
        <v>1</v>
      </c>
      <c r="K5171" s="10">
        <v>7808</v>
      </c>
      <c r="L5171" s="3" t="str">
        <f t="shared" si="167"/>
        <v>ΣΚΛΗΡΟΣ_ΣΙΤΟΣ</v>
      </c>
    </row>
    <row r="5172" spans="1:12" x14ac:dyDescent="0.25">
      <c r="A5172" s="1" t="str">
        <f t="shared" si="166"/>
        <v>ΣΚΛΗΡΟΣ ΣΙΤΟΣΣΙΤΟΣ ΣΚΛΗΡΟΣ ROYALDUR</v>
      </c>
      <c r="B5172" s="18" t="s">
        <v>8886</v>
      </c>
      <c r="C5172" s="19" t="s">
        <v>9843</v>
      </c>
      <c r="D5172" s="6">
        <v>517.94000000000005</v>
      </c>
      <c r="E5172" s="6">
        <v>492.2</v>
      </c>
      <c r="F5172" s="6" t="s">
        <v>14</v>
      </c>
      <c r="G5172" s="8" t="s">
        <v>9844</v>
      </c>
      <c r="H5172" s="8" t="s">
        <v>27</v>
      </c>
      <c r="I5172" s="9">
        <v>4427</v>
      </c>
      <c r="J5172" s="20">
        <v>1</v>
      </c>
      <c r="K5172" s="20">
        <v>7809</v>
      </c>
      <c r="L5172" s="3" t="str">
        <f t="shared" si="167"/>
        <v>ΣΚΛΗΡΟΣ_ΣΙΤΟΣ</v>
      </c>
    </row>
    <row r="5173" spans="1:12" x14ac:dyDescent="0.25">
      <c r="A5173" s="1" t="str">
        <f t="shared" si="166"/>
        <v>ΣΚΛΗΡΟΣ ΣΙΤΟΣΣΙΤΟΣ ΣΚΛΗΡΟΣ ΣΑΜΟΣ</v>
      </c>
      <c r="B5173" s="18" t="s">
        <v>8886</v>
      </c>
      <c r="C5173" s="19" t="s">
        <v>9845</v>
      </c>
      <c r="D5173" s="6">
        <v>517.94000000000005</v>
      </c>
      <c r="E5173" s="6">
        <v>492.2</v>
      </c>
      <c r="F5173" s="6" t="s">
        <v>14</v>
      </c>
      <c r="G5173" s="8" t="s">
        <v>9846</v>
      </c>
      <c r="H5173" s="8" t="s">
        <v>27</v>
      </c>
      <c r="I5173" s="9">
        <v>4428</v>
      </c>
      <c r="J5173" s="20">
        <v>1</v>
      </c>
      <c r="K5173" s="20">
        <v>7810</v>
      </c>
      <c r="L5173" s="3" t="str">
        <f t="shared" si="167"/>
        <v>ΣΚΛΗΡΟΣ_ΣΙΤΟΣ</v>
      </c>
    </row>
    <row r="5174" spans="1:12" x14ac:dyDescent="0.25">
      <c r="A5174" s="1" t="str">
        <f t="shared" si="166"/>
        <v>ΣΚΛΗΡΟΣ ΣΙΤΟΣΣΙΤΟΣ ΣΚΛΗΡΟΣ ΣΑΝΤΑ</v>
      </c>
      <c r="B5174" s="18" t="s">
        <v>8886</v>
      </c>
      <c r="C5174" s="19" t="s">
        <v>9847</v>
      </c>
      <c r="D5174" s="6">
        <v>517.94000000000005</v>
      </c>
      <c r="E5174" s="6">
        <v>492.2</v>
      </c>
      <c r="F5174" s="6" t="s">
        <v>14</v>
      </c>
      <c r="G5174" s="8" t="s">
        <v>9848</v>
      </c>
      <c r="H5174" s="8" t="s">
        <v>27</v>
      </c>
      <c r="I5174" s="9">
        <v>4429</v>
      </c>
      <c r="J5174" s="20">
        <v>1</v>
      </c>
      <c r="K5174" s="20">
        <v>7811</v>
      </c>
      <c r="L5174" s="3" t="str">
        <f t="shared" si="167"/>
        <v>ΣΚΛΗΡΟΣ_ΣΙΤΟΣ</v>
      </c>
    </row>
    <row r="5175" spans="1:12" x14ac:dyDescent="0.25">
      <c r="A5175" s="1" t="str">
        <f t="shared" si="166"/>
        <v>ΣΚΛΗΡΟΣ ΣΙΤΟΣΣΙΤΟΣ ΣΚΛΗΡΟΣ ΣΑΠΦΩ</v>
      </c>
      <c r="B5175" s="18" t="s">
        <v>8886</v>
      </c>
      <c r="C5175" s="19" t="s">
        <v>9849</v>
      </c>
      <c r="D5175" s="6">
        <v>517.94000000000005</v>
      </c>
      <c r="E5175" s="6">
        <v>492.2</v>
      </c>
      <c r="F5175" s="6" t="s">
        <v>14</v>
      </c>
      <c r="G5175" s="8" t="s">
        <v>9850</v>
      </c>
      <c r="H5175" s="8" t="s">
        <v>27</v>
      </c>
      <c r="I5175" s="9">
        <v>4430</v>
      </c>
      <c r="J5175" s="20">
        <v>1</v>
      </c>
      <c r="K5175" s="20">
        <v>7812</v>
      </c>
      <c r="L5175" s="3" t="str">
        <f t="shared" si="167"/>
        <v>ΣΚΛΗΡΟΣ_ΣΙΤΟΣ</v>
      </c>
    </row>
    <row r="5176" spans="1:12" ht="24" customHeight="1" x14ac:dyDescent="0.25">
      <c r="A5176" s="1" t="str">
        <f t="shared" si="166"/>
        <v>ΣΚΛΗΡΟΣ ΣΙΤΟΣΣΙΤΟΣ ΣΚΛΗΡΟΣ ΣΑΡΤΗ</v>
      </c>
      <c r="B5176" s="18" t="s">
        <v>8886</v>
      </c>
      <c r="C5176" s="19" t="s">
        <v>9851</v>
      </c>
      <c r="D5176" s="6">
        <v>517.94000000000005</v>
      </c>
      <c r="E5176" s="6">
        <v>492.2</v>
      </c>
      <c r="F5176" s="6" t="s">
        <v>14</v>
      </c>
      <c r="G5176" s="8" t="s">
        <v>9852</v>
      </c>
      <c r="H5176" s="8" t="s">
        <v>27</v>
      </c>
      <c r="I5176" s="9">
        <v>4431</v>
      </c>
      <c r="J5176" s="20">
        <v>1</v>
      </c>
      <c r="K5176" s="20">
        <v>7813</v>
      </c>
      <c r="L5176" s="3" t="str">
        <f t="shared" si="167"/>
        <v>ΣΚΛΗΡΟΣ_ΣΙΤΟΣ</v>
      </c>
    </row>
    <row r="5177" spans="1:12" x14ac:dyDescent="0.25">
      <c r="A5177" s="1" t="str">
        <f t="shared" si="166"/>
        <v>ΣΚΛΗΡΟΣ ΣΙΤΟΣΣΙΤΟΣ ΣΚΛΗΡΟΣ SELAS (ΣΕΛΑΣ)</v>
      </c>
      <c r="B5177" s="4" t="s">
        <v>8886</v>
      </c>
      <c r="C5177" s="5" t="s">
        <v>9853</v>
      </c>
      <c r="D5177" s="6">
        <v>517.94000000000005</v>
      </c>
      <c r="E5177" s="6">
        <v>492.2</v>
      </c>
      <c r="F5177" s="7" t="s">
        <v>14</v>
      </c>
      <c r="G5177" s="8" t="s">
        <v>9854</v>
      </c>
      <c r="H5177" s="8" t="s">
        <v>27</v>
      </c>
      <c r="I5177" s="9">
        <v>169</v>
      </c>
      <c r="J5177" s="10">
        <v>1</v>
      </c>
      <c r="K5177" s="10">
        <v>7814</v>
      </c>
      <c r="L5177" s="3" t="str">
        <f t="shared" si="167"/>
        <v>ΣΚΛΗΡΟΣ_ΣΙΤΟΣ</v>
      </c>
    </row>
    <row r="5178" spans="1:12" x14ac:dyDescent="0.25">
      <c r="A5178" s="1" t="str">
        <f t="shared" si="166"/>
        <v>ΣΚΛΗΡΟΣ ΣΙΤΟΣΣΙΤΟΣ ΣΚΛΗΡΟΣ SKITI (ΣΚΗΤΗ)</v>
      </c>
      <c r="B5178" s="18" t="s">
        <v>8886</v>
      </c>
      <c r="C5178" s="19" t="s">
        <v>9855</v>
      </c>
      <c r="D5178" s="6">
        <v>517.94000000000005</v>
      </c>
      <c r="E5178" s="6">
        <v>492.2</v>
      </c>
      <c r="F5178" s="6" t="s">
        <v>14</v>
      </c>
      <c r="G5178" s="8" t="s">
        <v>9856</v>
      </c>
      <c r="H5178" s="8" t="s">
        <v>27</v>
      </c>
      <c r="I5178" s="9">
        <v>4432</v>
      </c>
      <c r="J5178" s="20">
        <v>1</v>
      </c>
      <c r="K5178" s="20">
        <v>7815</v>
      </c>
      <c r="L5178" s="3" t="str">
        <f t="shared" si="167"/>
        <v>ΣΚΛΗΡΟΣ_ΣΙΤΟΣ</v>
      </c>
    </row>
    <row r="5179" spans="1:12" x14ac:dyDescent="0.25">
      <c r="A5179" s="1" t="str">
        <f t="shared" si="166"/>
        <v>ΣΚΛΗΡΟΣ ΣΙΤΟΣΣΙΤΟΣ ΣΚΛΗΡΟΣ ΣΥΜΗ</v>
      </c>
      <c r="B5179" s="18" t="s">
        <v>8886</v>
      </c>
      <c r="C5179" s="19" t="s">
        <v>9857</v>
      </c>
      <c r="D5179" s="6">
        <v>517.94000000000005</v>
      </c>
      <c r="E5179" s="6">
        <v>492.2</v>
      </c>
      <c r="F5179" s="6" t="s">
        <v>14</v>
      </c>
      <c r="G5179" s="8" t="s">
        <v>9858</v>
      </c>
      <c r="H5179" s="8" t="s">
        <v>27</v>
      </c>
      <c r="I5179" s="9">
        <v>4433</v>
      </c>
      <c r="J5179" s="20">
        <v>1</v>
      </c>
      <c r="K5179" s="20">
        <v>7816</v>
      </c>
      <c r="L5179" s="3" t="str">
        <f t="shared" si="167"/>
        <v>ΣΚΛΗΡΟΣ_ΣΙΤΟΣ</v>
      </c>
    </row>
    <row r="5180" spans="1:12" x14ac:dyDescent="0.25">
      <c r="A5180" s="1" t="str">
        <f t="shared" si="166"/>
        <v>ΣΚΛΗΡΟΣ ΣΙΤΟΣΣΙΤΟΣ ΣΚΛΗΡΟΣ ΣΥΡΟΣ</v>
      </c>
      <c r="B5180" s="18" t="s">
        <v>8886</v>
      </c>
      <c r="C5180" s="19" t="s">
        <v>9859</v>
      </c>
      <c r="D5180" s="6">
        <v>517.94000000000005</v>
      </c>
      <c r="E5180" s="6">
        <v>492.2</v>
      </c>
      <c r="F5180" s="6" t="s">
        <v>14</v>
      </c>
      <c r="G5180" s="8" t="s">
        <v>9860</v>
      </c>
      <c r="H5180" s="8" t="s">
        <v>27</v>
      </c>
      <c r="I5180" s="9">
        <v>4434</v>
      </c>
      <c r="J5180" s="20">
        <v>1</v>
      </c>
      <c r="K5180" s="20">
        <v>7817</v>
      </c>
      <c r="L5180" s="3" t="str">
        <f t="shared" si="167"/>
        <v>ΣΚΛΗΡΟΣ_ΣΙΤΟΣ</v>
      </c>
    </row>
    <row r="5181" spans="1:12" x14ac:dyDescent="0.25">
      <c r="A5181" s="1" t="str">
        <f t="shared" si="166"/>
        <v>ΣΚΛΗΡΟΣ ΣΙΤΟΣΣΙΤΟΣ ΣΚΛΗΡΟΣ APOLLO</v>
      </c>
      <c r="B5181" s="18" t="s">
        <v>8886</v>
      </c>
      <c r="C5181" s="19" t="s">
        <v>9861</v>
      </c>
      <c r="D5181" s="6">
        <v>517.94000000000005</v>
      </c>
      <c r="E5181" s="6">
        <v>492.2</v>
      </c>
      <c r="F5181" s="6" t="s">
        <v>14</v>
      </c>
      <c r="G5181" s="8" t="s">
        <v>9862</v>
      </c>
      <c r="H5181" s="8" t="s">
        <v>27</v>
      </c>
      <c r="I5181" s="9">
        <v>4435</v>
      </c>
      <c r="J5181" s="20">
        <v>1</v>
      </c>
      <c r="K5181" s="20">
        <v>7819</v>
      </c>
      <c r="L5181" s="3" t="str">
        <f t="shared" si="167"/>
        <v>ΣΚΛΗΡΟΣ_ΣΙΤΟΣ</v>
      </c>
    </row>
    <row r="5182" spans="1:12" x14ac:dyDescent="0.25">
      <c r="A5182" s="1" t="str">
        <f t="shared" si="166"/>
        <v>ΣΚΛΗΡΟΣ ΣΙΤΟΣΣΙΤΟΣ ΣΚΛΗΡΟΣ S. CAPELLI</v>
      </c>
      <c r="B5182" s="18" t="s">
        <v>8886</v>
      </c>
      <c r="C5182" s="19" t="s">
        <v>9863</v>
      </c>
      <c r="D5182" s="6">
        <v>517.94000000000005</v>
      </c>
      <c r="E5182" s="6">
        <v>492.2</v>
      </c>
      <c r="F5182" s="6" t="s">
        <v>14</v>
      </c>
      <c r="G5182" s="8" t="s">
        <v>9864</v>
      </c>
      <c r="H5182" s="8" t="s">
        <v>27</v>
      </c>
      <c r="I5182" s="9">
        <v>4436</v>
      </c>
      <c r="J5182" s="20">
        <v>1</v>
      </c>
      <c r="K5182" s="20">
        <v>7820</v>
      </c>
      <c r="L5182" s="3" t="str">
        <f t="shared" si="167"/>
        <v>ΣΚΛΗΡΟΣ_ΣΙΤΟΣ</v>
      </c>
    </row>
    <row r="5183" spans="1:12" x14ac:dyDescent="0.25">
      <c r="A5183" s="1" t="str">
        <f t="shared" si="166"/>
        <v>ΣΚΛΗΡΟΣ ΣΙΤΟΣΣΙΤΟΣ ΣΚΛΗΡΟΣ ΚΑΠΕΙΤΙ</v>
      </c>
      <c r="B5183" s="18" t="s">
        <v>8886</v>
      </c>
      <c r="C5183" s="19" t="s">
        <v>9865</v>
      </c>
      <c r="D5183" s="6">
        <v>517.94000000000005</v>
      </c>
      <c r="E5183" s="6">
        <v>492.2</v>
      </c>
      <c r="F5183" s="6" t="s">
        <v>14</v>
      </c>
      <c r="G5183" s="8" t="s">
        <v>9866</v>
      </c>
      <c r="H5183" s="8" t="s">
        <v>27</v>
      </c>
      <c r="I5183" s="9">
        <v>4437</v>
      </c>
      <c r="J5183" s="20">
        <v>1</v>
      </c>
      <c r="K5183" s="20">
        <v>7843</v>
      </c>
      <c r="L5183" s="3" t="str">
        <f t="shared" si="167"/>
        <v>ΣΚΛΗΡΟΣ_ΣΙΤΟΣ</v>
      </c>
    </row>
    <row r="5184" spans="1:12" ht="24" x14ac:dyDescent="0.25">
      <c r="A5184" s="1" t="str">
        <f t="shared" si="166"/>
        <v>ΣΚΛΗΡΟΣ ΣΙΤΟΣΣΙΤΟΣ ΣΚΛΗΡΟΣ AIAS (ΑΙΑΣ)</v>
      </c>
      <c r="B5184" s="4" t="s">
        <v>8886</v>
      </c>
      <c r="C5184" s="5" t="s">
        <v>9867</v>
      </c>
      <c r="D5184" s="6">
        <v>517.94000000000005</v>
      </c>
      <c r="E5184" s="6">
        <v>492.2</v>
      </c>
      <c r="F5184" s="7" t="s">
        <v>14</v>
      </c>
      <c r="G5184" s="8" t="s">
        <v>9868</v>
      </c>
      <c r="H5184" s="8" t="s">
        <v>16</v>
      </c>
      <c r="I5184" s="9">
        <v>177</v>
      </c>
      <c r="J5184" s="10">
        <v>1</v>
      </c>
      <c r="K5184" s="10">
        <v>7844</v>
      </c>
      <c r="L5184" s="3" t="str">
        <f t="shared" si="167"/>
        <v>ΣΚΛΗΡΟΣ_ΣΙΤΟΣ</v>
      </c>
    </row>
    <row r="5185" spans="1:12" ht="24" x14ac:dyDescent="0.25">
      <c r="A5185" s="1" t="str">
        <f t="shared" si="166"/>
        <v>ΣΚΛΗΡΟΣ ΣΙΤΟΣΣΙΤΟΣ ΣΚΛΗΡΟΣ ANNA</v>
      </c>
      <c r="B5185" s="4" t="s">
        <v>8886</v>
      </c>
      <c r="C5185" s="5" t="s">
        <v>9869</v>
      </c>
      <c r="D5185" s="6">
        <v>517.94000000000005</v>
      </c>
      <c r="E5185" s="6">
        <v>492.2</v>
      </c>
      <c r="F5185" s="7" t="s">
        <v>14</v>
      </c>
      <c r="G5185" s="8" t="s">
        <v>9870</v>
      </c>
      <c r="H5185" s="8" t="s">
        <v>16</v>
      </c>
      <c r="I5185" s="9">
        <v>167</v>
      </c>
      <c r="J5185" s="10">
        <v>1</v>
      </c>
      <c r="K5185" s="10">
        <v>7845</v>
      </c>
      <c r="L5185" s="3" t="str">
        <f t="shared" si="167"/>
        <v>ΣΚΛΗΡΟΣ_ΣΙΤΟΣ</v>
      </c>
    </row>
    <row r="5186" spans="1:12" ht="24" x14ac:dyDescent="0.25">
      <c r="A5186" s="1" t="str">
        <f t="shared" si="166"/>
        <v>ΣΚΛΗΡΟΣ ΣΙΤΟΣΣΙΤΟΣ ΣΚΛΗΡΟΣ ATLAS</v>
      </c>
      <c r="B5186" s="4" t="s">
        <v>8886</v>
      </c>
      <c r="C5186" s="5" t="s">
        <v>9871</v>
      </c>
      <c r="D5186" s="6">
        <v>517.94000000000005</v>
      </c>
      <c r="E5186" s="6">
        <v>492.2</v>
      </c>
      <c r="F5186" s="7" t="s">
        <v>14</v>
      </c>
      <c r="G5186" s="8" t="s">
        <v>9872</v>
      </c>
      <c r="H5186" s="8" t="s">
        <v>16</v>
      </c>
      <c r="I5186" s="9">
        <v>166</v>
      </c>
      <c r="J5186" s="10">
        <v>1</v>
      </c>
      <c r="K5186" s="10">
        <v>7846</v>
      </c>
      <c r="L5186" s="3" t="str">
        <f t="shared" si="167"/>
        <v>ΣΚΛΗΡΟΣ_ΣΙΤΟΣ</v>
      </c>
    </row>
    <row r="5187" spans="1:12" ht="24" x14ac:dyDescent="0.25">
      <c r="A5187" s="1" t="str">
        <f t="shared" ref="A5187:A5250" si="168">_xlfn.CONCAT(B5187,C5187)</f>
        <v>ΣΚΛΗΡΟΣ ΣΙΤΟΣΣΙΤΟΣ ΣΚΛΗΡΟΣ BOB (ΜΠΟΜΠ)</v>
      </c>
      <c r="B5187" s="4" t="s">
        <v>8886</v>
      </c>
      <c r="C5187" s="5" t="s">
        <v>9873</v>
      </c>
      <c r="D5187" s="6">
        <v>517.94000000000005</v>
      </c>
      <c r="E5187" s="6">
        <v>492.2</v>
      </c>
      <c r="F5187" s="7" t="s">
        <v>14</v>
      </c>
      <c r="G5187" s="8" t="s">
        <v>9874</v>
      </c>
      <c r="H5187" s="8" t="s">
        <v>16</v>
      </c>
      <c r="I5187" s="9">
        <v>165</v>
      </c>
      <c r="J5187" s="10">
        <v>1</v>
      </c>
      <c r="K5187" s="10">
        <v>7847</v>
      </c>
      <c r="L5187" s="3" t="str">
        <f t="shared" ref="L5187:L5250" si="169">IFERROR(SUBSTITUTE(SUBSTITUTE(SUBSTITUTE(SUBSTITUTE(SUBSTITUTE(B5187, "-", "_"), " ", "_"), ",", ""), "(", ""), ")", ""), B5187)</f>
        <v>ΣΚΛΗΡΟΣ_ΣΙΤΟΣ</v>
      </c>
    </row>
    <row r="5188" spans="1:12" x14ac:dyDescent="0.25">
      <c r="A5188" s="1" t="str">
        <f t="shared" si="168"/>
        <v>ΣΚΛΗΡΟΣ ΣΙΤΟΣΣΙΤΟΣ ΣΚΛΗΡΟΣ COSMODUR</v>
      </c>
      <c r="B5188" s="18" t="s">
        <v>8886</v>
      </c>
      <c r="C5188" s="19" t="s">
        <v>9875</v>
      </c>
      <c r="D5188" s="6">
        <v>517.94000000000005</v>
      </c>
      <c r="E5188" s="6">
        <v>492.2</v>
      </c>
      <c r="F5188" s="6" t="s">
        <v>14</v>
      </c>
      <c r="G5188" s="8" t="s">
        <v>9876</v>
      </c>
      <c r="H5188" s="8" t="s">
        <v>27</v>
      </c>
      <c r="I5188" s="9">
        <v>4438</v>
      </c>
      <c r="J5188" s="20">
        <v>1</v>
      </c>
      <c r="K5188" s="20">
        <v>7848</v>
      </c>
      <c r="L5188" s="3" t="str">
        <f t="shared" si="169"/>
        <v>ΣΚΛΗΡΟΣ_ΣΙΤΟΣ</v>
      </c>
    </row>
    <row r="5189" spans="1:12" x14ac:dyDescent="0.25">
      <c r="A5189" s="1" t="str">
        <f t="shared" si="168"/>
        <v>ΣΚΛΗΡΟΣ ΣΙΤΟΣΣΙΤΟΣ ΣΚΛΗΡΟΣ GRECODUR</v>
      </c>
      <c r="B5189" s="18" t="s">
        <v>8886</v>
      </c>
      <c r="C5189" s="19" t="s">
        <v>9877</v>
      </c>
      <c r="D5189" s="6">
        <v>517.94000000000005</v>
      </c>
      <c r="E5189" s="6">
        <v>492.2</v>
      </c>
      <c r="F5189" s="6" t="s">
        <v>14</v>
      </c>
      <c r="G5189" s="8" t="s">
        <v>9878</v>
      </c>
      <c r="H5189" s="8" t="s">
        <v>27</v>
      </c>
      <c r="I5189" s="9">
        <v>4439</v>
      </c>
      <c r="J5189" s="20">
        <v>1</v>
      </c>
      <c r="K5189" s="20">
        <v>7849</v>
      </c>
      <c r="L5189" s="3" t="str">
        <f t="shared" si="169"/>
        <v>ΣΚΛΗΡΟΣ_ΣΙΤΟΣ</v>
      </c>
    </row>
    <row r="5190" spans="1:12" x14ac:dyDescent="0.25">
      <c r="A5190" s="1" t="str">
        <f t="shared" si="168"/>
        <v>ΣΚΛΗΡΟΣ ΣΙΤΟΣΣΙΤΟΣ ΣΚΛΗΡΟΣ IONIO</v>
      </c>
      <c r="B5190" s="18" t="s">
        <v>8886</v>
      </c>
      <c r="C5190" s="19" t="s">
        <v>9879</v>
      </c>
      <c r="D5190" s="6">
        <v>517.94000000000005</v>
      </c>
      <c r="E5190" s="6">
        <v>492.2</v>
      </c>
      <c r="F5190" s="6" t="s">
        <v>14</v>
      </c>
      <c r="G5190" s="8" t="s">
        <v>9880</v>
      </c>
      <c r="H5190" s="8" t="s">
        <v>27</v>
      </c>
      <c r="I5190" s="9">
        <v>4440</v>
      </c>
      <c r="J5190" s="20">
        <v>1</v>
      </c>
      <c r="K5190" s="20">
        <v>7850</v>
      </c>
      <c r="L5190" s="3" t="str">
        <f t="shared" si="169"/>
        <v>ΣΚΛΗΡΟΣ_ΣΙΤΟΣ</v>
      </c>
    </row>
    <row r="5191" spans="1:12" x14ac:dyDescent="0.25">
      <c r="A5191" s="1" t="str">
        <f t="shared" si="168"/>
        <v>ΣΚΛΗΡΟΣ ΣΙΤΟΣΣΙΤΟΣ ΣΚΛΗΡΟΣ KRONOS (ΚΡΟΝΟΣ)</v>
      </c>
      <c r="B5191" s="18" t="s">
        <v>8886</v>
      </c>
      <c r="C5191" s="19" t="s">
        <v>9881</v>
      </c>
      <c r="D5191" s="6">
        <v>517.94000000000005</v>
      </c>
      <c r="E5191" s="6">
        <v>492.2</v>
      </c>
      <c r="F5191" s="6" t="s">
        <v>14</v>
      </c>
      <c r="G5191" s="8" t="s">
        <v>9882</v>
      </c>
      <c r="H5191" s="8" t="s">
        <v>27</v>
      </c>
      <c r="I5191" s="9">
        <v>4441</v>
      </c>
      <c r="J5191" s="20">
        <v>1</v>
      </c>
      <c r="K5191" s="20">
        <v>7851</v>
      </c>
      <c r="L5191" s="3" t="str">
        <f t="shared" si="169"/>
        <v>ΣΚΛΗΡΟΣ_ΣΙΤΟΣ</v>
      </c>
    </row>
    <row r="5192" spans="1:12" x14ac:dyDescent="0.25">
      <c r="A5192" s="1" t="str">
        <f t="shared" si="168"/>
        <v>ΣΚΛΗΡΟΣ ΣΙΤΟΣΣΙΤΟΣ ΣΚΛΗΡΟΣ MESSAPIA</v>
      </c>
      <c r="B5192" s="18" t="s">
        <v>8886</v>
      </c>
      <c r="C5192" s="19" t="s">
        <v>9883</v>
      </c>
      <c r="D5192" s="6">
        <v>517.94000000000005</v>
      </c>
      <c r="E5192" s="6">
        <v>492.2</v>
      </c>
      <c r="F5192" s="6" t="s">
        <v>14</v>
      </c>
      <c r="G5192" s="8" t="s">
        <v>9884</v>
      </c>
      <c r="H5192" s="8" t="s">
        <v>27</v>
      </c>
      <c r="I5192" s="9">
        <v>4442</v>
      </c>
      <c r="J5192" s="20">
        <v>1</v>
      </c>
      <c r="K5192" s="20">
        <v>7852</v>
      </c>
      <c r="L5192" s="3" t="str">
        <f t="shared" si="169"/>
        <v>ΣΚΛΗΡΟΣ_ΣΙΤΟΣ</v>
      </c>
    </row>
    <row r="5193" spans="1:12" x14ac:dyDescent="0.25">
      <c r="A5193" s="1" t="str">
        <f t="shared" si="168"/>
        <v>ΣΚΛΗΡΟΣ ΣΙΤΟΣΣΙΤΟΣ ΣΚΛΗΡΟΣ NEGRIDURO</v>
      </c>
      <c r="B5193" s="18" t="s">
        <v>8886</v>
      </c>
      <c r="C5193" s="19" t="s">
        <v>9885</v>
      </c>
      <c r="D5193" s="6">
        <v>517.94000000000005</v>
      </c>
      <c r="E5193" s="6">
        <v>492.2</v>
      </c>
      <c r="F5193" s="6" t="s">
        <v>14</v>
      </c>
      <c r="G5193" s="8" t="s">
        <v>9886</v>
      </c>
      <c r="H5193" s="8" t="s">
        <v>27</v>
      </c>
      <c r="I5193" s="9">
        <v>4443</v>
      </c>
      <c r="J5193" s="20">
        <v>1</v>
      </c>
      <c r="K5193" s="20">
        <v>7853</v>
      </c>
      <c r="L5193" s="3" t="str">
        <f t="shared" si="169"/>
        <v>ΣΚΛΗΡΟΣ_ΣΙΤΟΣ</v>
      </c>
    </row>
    <row r="5194" spans="1:12" ht="24" x14ac:dyDescent="0.25">
      <c r="A5194" s="1" t="str">
        <f t="shared" si="168"/>
        <v>ΣΚΛΗΡΟΣ ΣΙΤΟΣΣΙΤΟΣ ΣΚΛΗΡΟΣ PAPADAKIS (ΠΑΠΑΔΑΚΙΣ)</v>
      </c>
      <c r="B5194" s="4" t="s">
        <v>8886</v>
      </c>
      <c r="C5194" s="5" t="s">
        <v>9887</v>
      </c>
      <c r="D5194" s="6">
        <v>517.94000000000005</v>
      </c>
      <c r="E5194" s="6">
        <v>492.2</v>
      </c>
      <c r="F5194" s="7" t="s">
        <v>14</v>
      </c>
      <c r="G5194" s="8" t="s">
        <v>9888</v>
      </c>
      <c r="H5194" s="8" t="s">
        <v>16</v>
      </c>
      <c r="I5194" s="9">
        <v>164</v>
      </c>
      <c r="J5194" s="10">
        <v>1</v>
      </c>
      <c r="K5194" s="10">
        <v>7854</v>
      </c>
      <c r="L5194" s="3" t="str">
        <f t="shared" si="169"/>
        <v>ΣΚΛΗΡΟΣ_ΣΙΤΟΣ</v>
      </c>
    </row>
    <row r="5195" spans="1:12" ht="24" x14ac:dyDescent="0.25">
      <c r="A5195" s="1" t="str">
        <f t="shared" si="168"/>
        <v>ΣΚΛΗΡΟΣ ΣΙΤΟΣΣΙΤΟΣ ΣΚΛΗΡΟΣ PONTOS (ΠΟΝΤΟΣ)</v>
      </c>
      <c r="B5195" s="4" t="s">
        <v>8886</v>
      </c>
      <c r="C5195" s="5" t="s">
        <v>9889</v>
      </c>
      <c r="D5195" s="6">
        <v>517.94000000000005</v>
      </c>
      <c r="E5195" s="6">
        <v>492.2</v>
      </c>
      <c r="F5195" s="7" t="s">
        <v>14</v>
      </c>
      <c r="G5195" s="8" t="s">
        <v>9890</v>
      </c>
      <c r="H5195" s="8" t="s">
        <v>16</v>
      </c>
      <c r="I5195" s="9">
        <v>163</v>
      </c>
      <c r="J5195" s="10">
        <v>1</v>
      </c>
      <c r="K5195" s="10">
        <v>7855</v>
      </c>
      <c r="L5195" s="3" t="str">
        <f t="shared" si="169"/>
        <v>ΣΚΛΗΡΟΣ_ΣΙΤΟΣ</v>
      </c>
    </row>
    <row r="5196" spans="1:12" ht="24" x14ac:dyDescent="0.25">
      <c r="A5196" s="1" t="str">
        <f t="shared" si="168"/>
        <v>ΣΚΛΗΡΟΣ ΣΙΤΟΣΣΙΤΟΣ ΣΚΛΗΡΟΣ SIFNOS (ΣΙΦΝΟΣ)</v>
      </c>
      <c r="B5196" s="4" t="s">
        <v>8886</v>
      </c>
      <c r="C5196" s="5" t="s">
        <v>9891</v>
      </c>
      <c r="D5196" s="6">
        <v>517.94000000000005</v>
      </c>
      <c r="E5196" s="6">
        <v>492.2</v>
      </c>
      <c r="F5196" s="7" t="s">
        <v>14</v>
      </c>
      <c r="G5196" s="8" t="s">
        <v>9892</v>
      </c>
      <c r="H5196" s="8" t="s">
        <v>16</v>
      </c>
      <c r="I5196" s="9">
        <v>185</v>
      </c>
      <c r="J5196" s="10">
        <v>1</v>
      </c>
      <c r="K5196" s="10">
        <v>7856</v>
      </c>
      <c r="L5196" s="3" t="str">
        <f t="shared" si="169"/>
        <v>ΣΚΛΗΡΟΣ_ΣΙΤΟΣ</v>
      </c>
    </row>
    <row r="5197" spans="1:12" x14ac:dyDescent="0.25">
      <c r="A5197" s="1" t="str">
        <f t="shared" si="168"/>
        <v>ΣΚΛΗΡΟΣ ΣΙΤΟΣΣΙΤΟΣ ΣΚΛΗΡΟΣ TEMPRADUR</v>
      </c>
      <c r="B5197" s="18" t="s">
        <v>8886</v>
      </c>
      <c r="C5197" s="19" t="s">
        <v>9893</v>
      </c>
      <c r="D5197" s="6">
        <v>517.94000000000005</v>
      </c>
      <c r="E5197" s="6">
        <v>492.2</v>
      </c>
      <c r="F5197" s="6" t="s">
        <v>14</v>
      </c>
      <c r="G5197" s="8" t="s">
        <v>9894</v>
      </c>
      <c r="H5197" s="8" t="s">
        <v>27</v>
      </c>
      <c r="I5197" s="9">
        <v>4444</v>
      </c>
      <c r="J5197" s="20">
        <v>1</v>
      </c>
      <c r="K5197" s="20">
        <v>7857</v>
      </c>
      <c r="L5197" s="3" t="str">
        <f t="shared" si="169"/>
        <v>ΣΚΛΗΡΟΣ_ΣΙΤΟΣ</v>
      </c>
    </row>
    <row r="5198" spans="1:12" ht="24" x14ac:dyDescent="0.25">
      <c r="A5198" s="1" t="str">
        <f t="shared" si="168"/>
        <v>ΣΚΛΗΡΟΣ ΣΙΤΟΣΣΙΤΟΣ ΣΚΛΗΡΟΣ ADAMELLO</v>
      </c>
      <c r="B5198" s="4" t="s">
        <v>8886</v>
      </c>
      <c r="C5198" s="5" t="s">
        <v>9895</v>
      </c>
      <c r="D5198" s="6">
        <v>517.94000000000005</v>
      </c>
      <c r="E5198" s="6">
        <v>492.2</v>
      </c>
      <c r="F5198" s="7" t="s">
        <v>14</v>
      </c>
      <c r="G5198" s="8" t="s">
        <v>9896</v>
      </c>
      <c r="H5198" s="8" t="s">
        <v>16</v>
      </c>
      <c r="I5198" s="9">
        <v>187</v>
      </c>
      <c r="J5198" s="10">
        <v>1</v>
      </c>
      <c r="K5198" s="10">
        <v>7858</v>
      </c>
      <c r="L5198" s="3" t="str">
        <f t="shared" si="169"/>
        <v>ΣΚΛΗΡΟΣ_ΣΙΤΟΣ</v>
      </c>
    </row>
    <row r="5199" spans="1:12" x14ac:dyDescent="0.25">
      <c r="A5199" s="1" t="str">
        <f t="shared" si="168"/>
        <v>ΣΚΛΗΡΟΣ ΣΙΤΟΣΣΙΤΟΣ ΣΚΛΗΡΟΣ ALFARO</v>
      </c>
      <c r="B5199" s="18" t="s">
        <v>8886</v>
      </c>
      <c r="C5199" s="19" t="s">
        <v>9897</v>
      </c>
      <c r="D5199" s="6">
        <v>517.94000000000005</v>
      </c>
      <c r="E5199" s="6">
        <v>492.2</v>
      </c>
      <c r="F5199" s="6" t="s">
        <v>14</v>
      </c>
      <c r="G5199" s="8" t="s">
        <v>9898</v>
      </c>
      <c r="H5199" s="8" t="s">
        <v>27</v>
      </c>
      <c r="I5199" s="9">
        <v>4445</v>
      </c>
      <c r="J5199" s="20">
        <v>1</v>
      </c>
      <c r="K5199" s="20">
        <v>7859</v>
      </c>
      <c r="L5199" s="3" t="str">
        <f t="shared" si="169"/>
        <v>ΣΚΛΗΡΟΣ_ΣΙΤΟΣ</v>
      </c>
    </row>
    <row r="5200" spans="1:12" ht="24" x14ac:dyDescent="0.25">
      <c r="A5200" s="1" t="str">
        <f t="shared" si="168"/>
        <v>ΣΚΛΗΡΟΣ ΣΙΤΟΣΣΙΤΟΣ ΣΚΛΗΡΟΣ ANCO MARZIO</v>
      </c>
      <c r="B5200" s="4" t="s">
        <v>8886</v>
      </c>
      <c r="C5200" s="5" t="s">
        <v>9899</v>
      </c>
      <c r="D5200" s="6">
        <v>517.94000000000005</v>
      </c>
      <c r="E5200" s="6">
        <v>492.2</v>
      </c>
      <c r="F5200" s="7" t="s">
        <v>14</v>
      </c>
      <c r="G5200" s="8" t="s">
        <v>9900</v>
      </c>
      <c r="H5200" s="8" t="s">
        <v>16</v>
      </c>
      <c r="I5200" s="9">
        <v>170</v>
      </c>
      <c r="J5200" s="10">
        <v>1</v>
      </c>
      <c r="K5200" s="10">
        <v>7861</v>
      </c>
      <c r="L5200" s="3" t="str">
        <f t="shared" si="169"/>
        <v>ΣΚΛΗΡΟΣ_ΣΙΤΟΣ</v>
      </c>
    </row>
    <row r="5201" spans="1:12" ht="24" x14ac:dyDescent="0.25">
      <c r="A5201" s="1" t="str">
        <f t="shared" si="168"/>
        <v>ΣΚΛΗΡΟΣ ΣΙΤΟΣΣΙΤΟΣ ΣΚΛΗΡΟΣ APPIO</v>
      </c>
      <c r="B5201" s="4" t="s">
        <v>8886</v>
      </c>
      <c r="C5201" s="5" t="s">
        <v>9901</v>
      </c>
      <c r="D5201" s="6">
        <v>517.94000000000005</v>
      </c>
      <c r="E5201" s="6">
        <v>492.2</v>
      </c>
      <c r="F5201" s="7" t="s">
        <v>14</v>
      </c>
      <c r="G5201" s="8" t="s">
        <v>9902</v>
      </c>
      <c r="H5201" s="8" t="s">
        <v>16</v>
      </c>
      <c r="I5201" s="9">
        <v>192</v>
      </c>
      <c r="J5201" s="10">
        <v>1</v>
      </c>
      <c r="K5201" s="10">
        <v>7862</v>
      </c>
      <c r="L5201" s="3" t="str">
        <f t="shared" si="169"/>
        <v>ΣΚΛΗΡΟΣ_ΣΙΤΟΣ</v>
      </c>
    </row>
    <row r="5202" spans="1:12" ht="24" x14ac:dyDescent="0.25">
      <c r="A5202" s="1" t="str">
        <f t="shared" si="168"/>
        <v>ΣΚΛΗΡΟΣ ΣΙΤΟΣΣΙΤΟΣ ΣΚΛΗΡΟΣ APPULO</v>
      </c>
      <c r="B5202" s="4" t="s">
        <v>8886</v>
      </c>
      <c r="C5202" s="5" t="s">
        <v>9903</v>
      </c>
      <c r="D5202" s="6">
        <v>517.94000000000005</v>
      </c>
      <c r="E5202" s="6">
        <v>492.2</v>
      </c>
      <c r="F5202" s="7" t="s">
        <v>14</v>
      </c>
      <c r="G5202" s="8" t="s">
        <v>9904</v>
      </c>
      <c r="H5202" s="8" t="s">
        <v>16</v>
      </c>
      <c r="I5202" s="9">
        <v>191</v>
      </c>
      <c r="J5202" s="10">
        <v>1</v>
      </c>
      <c r="K5202" s="10">
        <v>7863</v>
      </c>
      <c r="L5202" s="3" t="str">
        <f t="shared" si="169"/>
        <v>ΣΚΛΗΡΟΣ_ΣΙΤΟΣ</v>
      </c>
    </row>
    <row r="5203" spans="1:12" ht="24" x14ac:dyDescent="0.25">
      <c r="A5203" s="1" t="str">
        <f t="shared" si="168"/>
        <v>ΣΚΛΗΡΟΣ ΣΙΤΟΣΣΙΤΟΣ ΣΚΛΗΡΟΣ ARCANGELO</v>
      </c>
      <c r="B5203" s="4" t="s">
        <v>8886</v>
      </c>
      <c r="C5203" s="5" t="s">
        <v>9905</v>
      </c>
      <c r="D5203" s="6">
        <v>517.94000000000005</v>
      </c>
      <c r="E5203" s="6">
        <v>492.2</v>
      </c>
      <c r="F5203" s="7" t="s">
        <v>14</v>
      </c>
      <c r="G5203" s="8" t="s">
        <v>9906</v>
      </c>
      <c r="H5203" s="8" t="s">
        <v>16</v>
      </c>
      <c r="I5203" s="9">
        <v>190</v>
      </c>
      <c r="J5203" s="10">
        <v>1</v>
      </c>
      <c r="K5203" s="10">
        <v>7864</v>
      </c>
      <c r="L5203" s="3" t="str">
        <f t="shared" si="169"/>
        <v>ΣΚΛΗΡΟΣ_ΣΙΤΟΣ</v>
      </c>
    </row>
    <row r="5204" spans="1:12" ht="24" x14ac:dyDescent="0.25">
      <c r="A5204" s="1" t="str">
        <f t="shared" si="168"/>
        <v>ΣΚΛΗΡΟΣ ΣΙΤΟΣΣΙΤΟΣ ΣΚΛΗΡΟΣ ARCOBALENO</v>
      </c>
      <c r="B5204" s="4" t="s">
        <v>8886</v>
      </c>
      <c r="C5204" s="5" t="s">
        <v>9907</v>
      </c>
      <c r="D5204" s="6">
        <v>517.94000000000005</v>
      </c>
      <c r="E5204" s="6">
        <v>492.2</v>
      </c>
      <c r="F5204" s="7" t="s">
        <v>14</v>
      </c>
      <c r="G5204" s="8" t="s">
        <v>9908</v>
      </c>
      <c r="H5204" s="8" t="s">
        <v>16</v>
      </c>
      <c r="I5204" s="9">
        <v>189</v>
      </c>
      <c r="J5204" s="10">
        <v>1</v>
      </c>
      <c r="K5204" s="10">
        <v>7865</v>
      </c>
      <c r="L5204" s="3" t="str">
        <f t="shared" si="169"/>
        <v>ΣΚΛΗΡΟΣ_ΣΙΤΟΣ</v>
      </c>
    </row>
    <row r="5205" spans="1:12" x14ac:dyDescent="0.25">
      <c r="A5205" s="1" t="str">
        <f t="shared" si="168"/>
        <v>ΣΚΛΗΡΟΣ ΣΙΤΟΣΣΙΤΟΣ ΣΚΛΗΡΟΣ ARCOLINO</v>
      </c>
      <c r="B5205" s="18" t="s">
        <v>8886</v>
      </c>
      <c r="C5205" s="19" t="s">
        <v>9909</v>
      </c>
      <c r="D5205" s="6">
        <v>517.94000000000005</v>
      </c>
      <c r="E5205" s="6">
        <v>492.2</v>
      </c>
      <c r="F5205" s="6" t="s">
        <v>14</v>
      </c>
      <c r="G5205" s="8" t="s">
        <v>9910</v>
      </c>
      <c r="H5205" s="8" t="s">
        <v>27</v>
      </c>
      <c r="I5205" s="9">
        <v>4446</v>
      </c>
      <c r="J5205" s="20">
        <v>1</v>
      </c>
      <c r="K5205" s="20">
        <v>7866</v>
      </c>
      <c r="L5205" s="3" t="str">
        <f t="shared" si="169"/>
        <v>ΣΚΛΗΡΟΣ_ΣΙΤΟΣ</v>
      </c>
    </row>
    <row r="5206" spans="1:12" x14ac:dyDescent="0.25">
      <c r="A5206" s="1" t="str">
        <f t="shared" si="168"/>
        <v>ΣΚΛΗΡΟΣ ΣΙΤΟΣΣΙΤΟΣ ΣΚΛΗΡΟΣ AVISPA</v>
      </c>
      <c r="B5206" s="18" t="s">
        <v>8886</v>
      </c>
      <c r="C5206" s="19" t="s">
        <v>9547</v>
      </c>
      <c r="D5206" s="6">
        <v>517.94000000000005</v>
      </c>
      <c r="E5206" s="6">
        <v>492.2</v>
      </c>
      <c r="F5206" s="6" t="s">
        <v>14</v>
      </c>
      <c r="G5206" s="8" t="s">
        <v>9911</v>
      </c>
      <c r="H5206" s="8" t="s">
        <v>27</v>
      </c>
      <c r="I5206" s="9">
        <v>4447</v>
      </c>
      <c r="J5206" s="20">
        <v>1</v>
      </c>
      <c r="K5206" s="20">
        <v>7867</v>
      </c>
      <c r="L5206" s="3" t="str">
        <f t="shared" si="169"/>
        <v>ΣΚΛΗΡΟΣ_ΣΙΤΟΣ</v>
      </c>
    </row>
    <row r="5207" spans="1:12" x14ac:dyDescent="0.25">
      <c r="A5207" s="1" t="str">
        <f t="shared" si="168"/>
        <v>ΣΚΛΗΡΟΣ ΣΙΤΟΣΣΙΤΟΣ ΣΚΛΗΡΟΣ BAIO</v>
      </c>
      <c r="B5207" s="18" t="s">
        <v>8886</v>
      </c>
      <c r="C5207" s="19" t="s">
        <v>9912</v>
      </c>
      <c r="D5207" s="6">
        <v>517.94000000000005</v>
      </c>
      <c r="E5207" s="6">
        <v>492.2</v>
      </c>
      <c r="F5207" s="6" t="s">
        <v>14</v>
      </c>
      <c r="G5207" s="8" t="s">
        <v>9913</v>
      </c>
      <c r="H5207" s="8" t="s">
        <v>27</v>
      </c>
      <c r="I5207" s="9">
        <v>4448</v>
      </c>
      <c r="J5207" s="20">
        <v>1</v>
      </c>
      <c r="K5207" s="20">
        <v>7868</v>
      </c>
      <c r="L5207" s="3" t="str">
        <f t="shared" si="169"/>
        <v>ΣΚΛΗΡΟΣ_ΣΙΤΟΣ</v>
      </c>
    </row>
    <row r="5208" spans="1:12" x14ac:dyDescent="0.25">
      <c r="A5208" s="1" t="str">
        <f t="shared" si="168"/>
        <v>ΣΚΛΗΡΟΣ ΣΙΤΟΣΣΙΤΟΣ ΣΚΛΗΡΟΣ BALIDURO</v>
      </c>
      <c r="B5208" s="18" t="s">
        <v>8886</v>
      </c>
      <c r="C5208" s="19" t="s">
        <v>9914</v>
      </c>
      <c r="D5208" s="6">
        <v>517.94000000000005</v>
      </c>
      <c r="E5208" s="6">
        <v>492.2</v>
      </c>
      <c r="F5208" s="6" t="s">
        <v>14</v>
      </c>
      <c r="G5208" s="8" t="s">
        <v>9915</v>
      </c>
      <c r="H5208" s="8" t="s">
        <v>27</v>
      </c>
      <c r="I5208" s="9">
        <v>4449</v>
      </c>
      <c r="J5208" s="20">
        <v>1</v>
      </c>
      <c r="K5208" s="20">
        <v>7869</v>
      </c>
      <c r="L5208" s="3" t="str">
        <f t="shared" si="169"/>
        <v>ΣΚΛΗΡΟΣ_ΣΙΤΟΣ</v>
      </c>
    </row>
    <row r="5209" spans="1:12" ht="24" x14ac:dyDescent="0.25">
      <c r="A5209" s="1" t="str">
        <f t="shared" si="168"/>
        <v>ΣΚΛΗΡΟΣ ΣΙΤΟΣΣΙΤΟΣ ΣΚΛΗΡΟΣ BOLO</v>
      </c>
      <c r="B5209" s="4" t="s">
        <v>8886</v>
      </c>
      <c r="C5209" s="5" t="s">
        <v>9916</v>
      </c>
      <c r="D5209" s="6">
        <v>517.94000000000005</v>
      </c>
      <c r="E5209" s="6">
        <v>492.2</v>
      </c>
      <c r="F5209" s="7" t="s">
        <v>14</v>
      </c>
      <c r="G5209" s="8" t="s">
        <v>9917</v>
      </c>
      <c r="H5209" s="8" t="s">
        <v>16</v>
      </c>
      <c r="I5209" s="9">
        <v>188</v>
      </c>
      <c r="J5209" s="10">
        <v>1</v>
      </c>
      <c r="K5209" s="10">
        <v>7872</v>
      </c>
      <c r="L5209" s="3" t="str">
        <f t="shared" si="169"/>
        <v>ΣΚΛΗΡΟΣ_ΣΙΤΟΣ</v>
      </c>
    </row>
    <row r="5210" spans="1:12" x14ac:dyDescent="0.25">
      <c r="A5210" s="1" t="str">
        <f t="shared" si="168"/>
        <v>ΣΚΛΗΡΟΣ ΣΙΤΟΣΣΙΤΟΣ ΣΚΛΗΡΟΣ BORELLO</v>
      </c>
      <c r="B5210" s="18" t="s">
        <v>8886</v>
      </c>
      <c r="C5210" s="19" t="s">
        <v>9918</v>
      </c>
      <c r="D5210" s="6">
        <v>517.94000000000005</v>
      </c>
      <c r="E5210" s="6">
        <v>492.2</v>
      </c>
      <c r="F5210" s="6" t="s">
        <v>14</v>
      </c>
      <c r="G5210" s="8" t="s">
        <v>9919</v>
      </c>
      <c r="H5210" s="8" t="s">
        <v>27</v>
      </c>
      <c r="I5210" s="9">
        <v>4450</v>
      </c>
      <c r="J5210" s="20">
        <v>1</v>
      </c>
      <c r="K5210" s="20">
        <v>7873</v>
      </c>
      <c r="L5210" s="3" t="str">
        <f t="shared" si="169"/>
        <v>ΣΚΛΗΡΟΣ_ΣΙΤΟΣ</v>
      </c>
    </row>
    <row r="5211" spans="1:12" ht="24" x14ac:dyDescent="0.25">
      <c r="A5211" s="1" t="str">
        <f t="shared" si="168"/>
        <v>ΣΚΛΗΡΟΣ ΣΙΤΟΣΣΙΤΟΣ ΣΚΛΗΡΟΣ BRADANO</v>
      </c>
      <c r="B5211" s="4" t="s">
        <v>8886</v>
      </c>
      <c r="C5211" s="5" t="s">
        <v>9920</v>
      </c>
      <c r="D5211" s="6">
        <v>517.94000000000005</v>
      </c>
      <c r="E5211" s="6">
        <v>492.2</v>
      </c>
      <c r="F5211" s="7" t="s">
        <v>14</v>
      </c>
      <c r="G5211" s="8" t="s">
        <v>9921</v>
      </c>
      <c r="H5211" s="8" t="s">
        <v>16</v>
      </c>
      <c r="I5211" s="9">
        <v>178</v>
      </c>
      <c r="J5211" s="10">
        <v>1</v>
      </c>
      <c r="K5211" s="10">
        <v>7874</v>
      </c>
      <c r="L5211" s="3" t="str">
        <f t="shared" si="169"/>
        <v>ΣΚΛΗΡΟΣ_ΣΙΤΟΣ</v>
      </c>
    </row>
    <row r="5212" spans="1:12" x14ac:dyDescent="0.25">
      <c r="A5212" s="1" t="str">
        <f t="shared" si="168"/>
        <v>ΣΚΛΗΡΟΣ ΣΙΤΟΣΣΙΤΟΣ ΣΚΛΗΡΟΣ BRINDUR</v>
      </c>
      <c r="B5212" s="18" t="s">
        <v>8886</v>
      </c>
      <c r="C5212" s="19" t="s">
        <v>9922</v>
      </c>
      <c r="D5212" s="6">
        <v>517.94000000000005</v>
      </c>
      <c r="E5212" s="6">
        <v>492.2</v>
      </c>
      <c r="F5212" s="6" t="s">
        <v>14</v>
      </c>
      <c r="G5212" s="8" t="s">
        <v>9923</v>
      </c>
      <c r="H5212" s="8" t="s">
        <v>27</v>
      </c>
      <c r="I5212" s="9">
        <v>4451</v>
      </c>
      <c r="J5212" s="20">
        <v>1</v>
      </c>
      <c r="K5212" s="20">
        <v>7875</v>
      </c>
      <c r="L5212" s="3" t="str">
        <f t="shared" si="169"/>
        <v>ΣΚΛΗΡΟΣ_ΣΙΤΟΣ</v>
      </c>
    </row>
    <row r="5213" spans="1:12" ht="24" x14ac:dyDescent="0.25">
      <c r="A5213" s="1" t="str">
        <f t="shared" si="168"/>
        <v>ΣΚΛΗΡΟΣ ΣΙΤΟΣΣΙΤΟΣ ΣΚΛΗΡΟΣ BRONTE</v>
      </c>
      <c r="B5213" s="4" t="s">
        <v>8886</v>
      </c>
      <c r="C5213" s="5" t="s">
        <v>9924</v>
      </c>
      <c r="D5213" s="6">
        <v>517.94000000000005</v>
      </c>
      <c r="E5213" s="6">
        <v>492.2</v>
      </c>
      <c r="F5213" s="7" t="s">
        <v>14</v>
      </c>
      <c r="G5213" s="8" t="s">
        <v>9925</v>
      </c>
      <c r="H5213" s="8" t="s">
        <v>16</v>
      </c>
      <c r="I5213" s="9">
        <v>186</v>
      </c>
      <c r="J5213" s="10">
        <v>1</v>
      </c>
      <c r="K5213" s="10">
        <v>7876</v>
      </c>
      <c r="L5213" s="3" t="str">
        <f t="shared" si="169"/>
        <v>ΣΚΛΗΡΟΣ_ΣΙΤΟΣ</v>
      </c>
    </row>
    <row r="5214" spans="1:12" x14ac:dyDescent="0.25">
      <c r="A5214" s="1" t="str">
        <f t="shared" si="168"/>
        <v>ΣΚΛΗΡΟΣ ΣΙΤΟΣΣΙΤΟΣ ΣΚΛΗΡΟΣ CANNIZZO</v>
      </c>
      <c r="B5214" s="18" t="s">
        <v>8886</v>
      </c>
      <c r="C5214" s="19" t="s">
        <v>9926</v>
      </c>
      <c r="D5214" s="6">
        <v>517.94000000000005</v>
      </c>
      <c r="E5214" s="6">
        <v>492.2</v>
      </c>
      <c r="F5214" s="6" t="s">
        <v>14</v>
      </c>
      <c r="G5214" s="8" t="s">
        <v>9927</v>
      </c>
      <c r="H5214" s="8" t="s">
        <v>27</v>
      </c>
      <c r="I5214" s="9">
        <v>4452</v>
      </c>
      <c r="J5214" s="20">
        <v>1</v>
      </c>
      <c r="K5214" s="20">
        <v>7878</v>
      </c>
      <c r="L5214" s="3" t="str">
        <f t="shared" si="169"/>
        <v>ΣΚΛΗΡΟΣ_ΣΙΤΟΣ</v>
      </c>
    </row>
    <row r="5215" spans="1:12" ht="24" x14ac:dyDescent="0.25">
      <c r="A5215" s="1" t="str">
        <f t="shared" si="168"/>
        <v>ΣΚΛΗΡΟΣ ΣΙΤΟΣΣΙΤΟΣ ΣΚΛΗΡΟΣ CAPPELLI</v>
      </c>
      <c r="B5215" s="4" t="s">
        <v>8886</v>
      </c>
      <c r="C5215" s="5" t="s">
        <v>9928</v>
      </c>
      <c r="D5215" s="6">
        <v>517.94000000000005</v>
      </c>
      <c r="E5215" s="6">
        <v>492.2</v>
      </c>
      <c r="F5215" s="7" t="s">
        <v>14</v>
      </c>
      <c r="G5215" s="8" t="s">
        <v>9929</v>
      </c>
      <c r="H5215" s="8" t="s">
        <v>16</v>
      </c>
      <c r="I5215" s="9">
        <v>194</v>
      </c>
      <c r="J5215" s="10">
        <v>1</v>
      </c>
      <c r="K5215" s="10">
        <v>7879</v>
      </c>
      <c r="L5215" s="3" t="str">
        <f t="shared" si="169"/>
        <v>ΣΚΛΗΡΟΣ_ΣΙΤΟΣ</v>
      </c>
    </row>
    <row r="5216" spans="1:12" x14ac:dyDescent="0.25">
      <c r="A5216" s="1" t="str">
        <f t="shared" si="168"/>
        <v>ΣΚΛΗΡΟΣ ΣΙΤΟΣΣΙΤΟΣ ΣΚΛΗΡΟΣ CAPRI</v>
      </c>
      <c r="B5216" s="18" t="s">
        <v>8886</v>
      </c>
      <c r="C5216" s="19" t="s">
        <v>9930</v>
      </c>
      <c r="D5216" s="6">
        <v>517.94000000000005</v>
      </c>
      <c r="E5216" s="6">
        <v>492.2</v>
      </c>
      <c r="F5216" s="6" t="s">
        <v>14</v>
      </c>
      <c r="G5216" s="8" t="s">
        <v>9931</v>
      </c>
      <c r="H5216" s="8" t="s">
        <v>27</v>
      </c>
      <c r="I5216" s="9">
        <v>4453</v>
      </c>
      <c r="J5216" s="20">
        <v>1</v>
      </c>
      <c r="K5216" s="20">
        <v>7880</v>
      </c>
      <c r="L5216" s="3" t="str">
        <f t="shared" si="169"/>
        <v>ΣΚΛΗΡΟΣ_ΣΙΤΟΣ</v>
      </c>
    </row>
    <row r="5217" spans="1:12" ht="24" x14ac:dyDescent="0.25">
      <c r="A5217" s="1" t="str">
        <f t="shared" si="168"/>
        <v>ΣΚΛΗΡΟΣ ΣΙΤΟΣΣΙΤΟΣ ΣΚΛΗΡΟΣ CARIOCA</v>
      </c>
      <c r="B5217" s="4" t="s">
        <v>8886</v>
      </c>
      <c r="C5217" s="5" t="s">
        <v>9932</v>
      </c>
      <c r="D5217" s="6">
        <v>517.94000000000005</v>
      </c>
      <c r="E5217" s="6">
        <v>492.2</v>
      </c>
      <c r="F5217" s="7" t="s">
        <v>14</v>
      </c>
      <c r="G5217" s="8" t="s">
        <v>9933</v>
      </c>
      <c r="H5217" s="8" t="s">
        <v>16</v>
      </c>
      <c r="I5217" s="9">
        <v>184</v>
      </c>
      <c r="J5217" s="10">
        <v>1</v>
      </c>
      <c r="K5217" s="10">
        <v>7881</v>
      </c>
      <c r="L5217" s="3" t="str">
        <f t="shared" si="169"/>
        <v>ΣΚΛΗΡΟΣ_ΣΙΤΟΣ</v>
      </c>
    </row>
    <row r="5218" spans="1:12" ht="24" x14ac:dyDescent="0.25">
      <c r="A5218" s="1" t="str">
        <f t="shared" si="168"/>
        <v>ΣΚΛΗΡΟΣ ΣΙΤΟΣΣΙΤΟΣ ΣΚΛΗΡΟΣ CASANOVA</v>
      </c>
      <c r="B5218" s="4" t="s">
        <v>8886</v>
      </c>
      <c r="C5218" s="5" t="s">
        <v>9934</v>
      </c>
      <c r="D5218" s="6">
        <v>517.94000000000005</v>
      </c>
      <c r="E5218" s="6">
        <v>492.2</v>
      </c>
      <c r="F5218" s="7" t="s">
        <v>14</v>
      </c>
      <c r="G5218" s="8" t="s">
        <v>9935</v>
      </c>
      <c r="H5218" s="8" t="s">
        <v>16</v>
      </c>
      <c r="I5218" s="9">
        <v>183</v>
      </c>
      <c r="J5218" s="10">
        <v>1</v>
      </c>
      <c r="K5218" s="10">
        <v>7882</v>
      </c>
      <c r="L5218" s="3" t="str">
        <f t="shared" si="169"/>
        <v>ΣΚΛΗΡΟΣ_ΣΙΤΟΣ</v>
      </c>
    </row>
    <row r="5219" spans="1:12" ht="24" x14ac:dyDescent="0.25">
      <c r="A5219" s="1" t="str">
        <f t="shared" si="168"/>
        <v>ΣΚΛΗΡΟΣ ΣΙΤΟΣΣΙΤΟΣ ΣΚΛΗΡΟΣ CICCIO</v>
      </c>
      <c r="B5219" s="4" t="s">
        <v>8886</v>
      </c>
      <c r="C5219" s="5" t="s">
        <v>9936</v>
      </c>
      <c r="D5219" s="6">
        <v>517.94000000000005</v>
      </c>
      <c r="E5219" s="6">
        <v>492.2</v>
      </c>
      <c r="F5219" s="7" t="s">
        <v>14</v>
      </c>
      <c r="G5219" s="8" t="s">
        <v>9937</v>
      </c>
      <c r="H5219" s="8" t="s">
        <v>16</v>
      </c>
      <c r="I5219" s="9">
        <v>182</v>
      </c>
      <c r="J5219" s="10">
        <v>1</v>
      </c>
      <c r="K5219" s="10">
        <v>7884</v>
      </c>
      <c r="L5219" s="3" t="str">
        <f t="shared" si="169"/>
        <v>ΣΚΛΗΡΟΣ_ΣΙΤΟΣ</v>
      </c>
    </row>
    <row r="5220" spans="1:12" x14ac:dyDescent="0.25">
      <c r="A5220" s="1" t="str">
        <f t="shared" si="168"/>
        <v>ΣΚΛΗΡΟΣ ΣΙΤΟΣΣΙΤΟΣ ΣΚΛΗΡΟΣ CIRILLO</v>
      </c>
      <c r="B5220" s="18" t="s">
        <v>8886</v>
      </c>
      <c r="C5220" s="19" t="s">
        <v>9938</v>
      </c>
      <c r="D5220" s="6">
        <v>517.94000000000005</v>
      </c>
      <c r="E5220" s="6">
        <v>492.2</v>
      </c>
      <c r="F5220" s="6" t="s">
        <v>14</v>
      </c>
      <c r="G5220" s="8" t="s">
        <v>9939</v>
      </c>
      <c r="H5220" s="8" t="s">
        <v>27</v>
      </c>
      <c r="I5220" s="9">
        <v>4454</v>
      </c>
      <c r="J5220" s="20">
        <v>1</v>
      </c>
      <c r="K5220" s="20">
        <v>7885</v>
      </c>
      <c r="L5220" s="3" t="str">
        <f t="shared" si="169"/>
        <v>ΣΚΛΗΡΟΣ_ΣΙΤΟΣ</v>
      </c>
    </row>
    <row r="5221" spans="1:12" ht="24" x14ac:dyDescent="0.25">
      <c r="A5221" s="1" t="str">
        <f t="shared" si="168"/>
        <v>ΣΚΛΗΡΟΣ ΣΙΤΟΣΣΙΤΟΣ ΣΚΛΗΡΟΣ CLAUDIO</v>
      </c>
      <c r="B5221" s="4" t="s">
        <v>8886</v>
      </c>
      <c r="C5221" s="5" t="s">
        <v>9940</v>
      </c>
      <c r="D5221" s="6">
        <v>517.94000000000005</v>
      </c>
      <c r="E5221" s="6">
        <v>492.2</v>
      </c>
      <c r="F5221" s="7" t="s">
        <v>14</v>
      </c>
      <c r="G5221" s="8" t="s">
        <v>9941</v>
      </c>
      <c r="H5221" s="8" t="s">
        <v>16</v>
      </c>
      <c r="I5221" s="9">
        <v>181</v>
      </c>
      <c r="J5221" s="10">
        <v>1</v>
      </c>
      <c r="K5221" s="10">
        <v>7886</v>
      </c>
      <c r="L5221" s="3" t="str">
        <f t="shared" si="169"/>
        <v>ΣΚΛΗΡΟΣ_ΣΙΤΟΣ</v>
      </c>
    </row>
    <row r="5222" spans="1:12" ht="24" x14ac:dyDescent="0.25">
      <c r="A5222" s="1" t="str">
        <f t="shared" si="168"/>
        <v>ΣΚΛΗΡΟΣ ΣΙΤΟΣΣΙΤΟΣ ΣΚΛΗΡΟΣ COLORADO</v>
      </c>
      <c r="B5222" s="4" t="s">
        <v>8886</v>
      </c>
      <c r="C5222" s="5" t="s">
        <v>9942</v>
      </c>
      <c r="D5222" s="6">
        <v>517.94000000000005</v>
      </c>
      <c r="E5222" s="6">
        <v>492.2</v>
      </c>
      <c r="F5222" s="7" t="s">
        <v>14</v>
      </c>
      <c r="G5222" s="8" t="s">
        <v>9943</v>
      </c>
      <c r="H5222" s="8" t="s">
        <v>16</v>
      </c>
      <c r="I5222" s="9">
        <v>180</v>
      </c>
      <c r="J5222" s="10">
        <v>1</v>
      </c>
      <c r="K5222" s="10">
        <v>7887</v>
      </c>
      <c r="L5222" s="3" t="str">
        <f t="shared" si="169"/>
        <v>ΣΚΛΗΡΟΣ_ΣΙΤΟΣ</v>
      </c>
    </row>
    <row r="5223" spans="1:12" ht="24" x14ac:dyDescent="0.25">
      <c r="A5223" s="1" t="str">
        <f t="shared" si="168"/>
        <v>ΣΚΛΗΡΟΣ ΣΙΤΟΣΣΙΤΟΣ ΣΚΛΗΡΟΣ COLOSSEO</v>
      </c>
      <c r="B5223" s="4" t="s">
        <v>8886</v>
      </c>
      <c r="C5223" s="5" t="s">
        <v>9944</v>
      </c>
      <c r="D5223" s="6">
        <v>517.94000000000005</v>
      </c>
      <c r="E5223" s="6">
        <v>492.2</v>
      </c>
      <c r="F5223" s="7" t="s">
        <v>14</v>
      </c>
      <c r="G5223" s="8" t="s">
        <v>9945</v>
      </c>
      <c r="H5223" s="8" t="s">
        <v>16</v>
      </c>
      <c r="I5223" s="9">
        <v>154</v>
      </c>
      <c r="J5223" s="10">
        <v>1</v>
      </c>
      <c r="K5223" s="10">
        <v>7888</v>
      </c>
      <c r="L5223" s="3" t="str">
        <f t="shared" si="169"/>
        <v>ΣΚΛΗΡΟΣ_ΣΙΤΟΣ</v>
      </c>
    </row>
    <row r="5224" spans="1:12" ht="24" x14ac:dyDescent="0.25">
      <c r="A5224" s="1" t="str">
        <f t="shared" si="168"/>
        <v>ΣΚΛΗΡΟΣ ΣΙΤΟΣΣΙΤΟΣ ΣΚΛΗΡΟΣ CONCADORO</v>
      </c>
      <c r="B5224" s="4" t="s">
        <v>8886</v>
      </c>
      <c r="C5224" s="5" t="s">
        <v>9946</v>
      </c>
      <c r="D5224" s="6">
        <v>517.94000000000005</v>
      </c>
      <c r="E5224" s="6">
        <v>492.2</v>
      </c>
      <c r="F5224" s="7" t="s">
        <v>14</v>
      </c>
      <c r="G5224" s="8" t="s">
        <v>9947</v>
      </c>
      <c r="H5224" s="8" t="s">
        <v>16</v>
      </c>
      <c r="I5224" s="9">
        <v>193</v>
      </c>
      <c r="J5224" s="10">
        <v>1</v>
      </c>
      <c r="K5224" s="10">
        <v>7889</v>
      </c>
      <c r="L5224" s="3" t="str">
        <f t="shared" si="169"/>
        <v>ΣΚΛΗΡΟΣ_ΣΙΤΟΣ</v>
      </c>
    </row>
    <row r="5225" spans="1:12" ht="24" x14ac:dyDescent="0.25">
      <c r="A5225" s="1" t="str">
        <f t="shared" si="168"/>
        <v>ΣΚΛΗΡΟΣ ΣΙΤΟΣΣΙΤΟΣ ΣΚΛΗΡΟΣ CRESO</v>
      </c>
      <c r="B5225" s="4" t="s">
        <v>8886</v>
      </c>
      <c r="C5225" s="5" t="s">
        <v>9948</v>
      </c>
      <c r="D5225" s="6">
        <v>517.94000000000005</v>
      </c>
      <c r="E5225" s="6">
        <v>492.2</v>
      </c>
      <c r="F5225" s="7" t="s">
        <v>14</v>
      </c>
      <c r="G5225" s="8" t="s">
        <v>9949</v>
      </c>
      <c r="H5225" s="8" t="s">
        <v>16</v>
      </c>
      <c r="I5225" s="9">
        <v>168</v>
      </c>
      <c r="J5225" s="10">
        <v>1</v>
      </c>
      <c r="K5225" s="10">
        <v>7890</v>
      </c>
      <c r="L5225" s="3" t="str">
        <f t="shared" si="169"/>
        <v>ΣΚΛΗΡΟΣ_ΣΙΤΟΣ</v>
      </c>
    </row>
    <row r="5226" spans="1:12" ht="24" x14ac:dyDescent="0.25">
      <c r="A5226" s="1" t="str">
        <f t="shared" si="168"/>
        <v>ΣΚΛΗΡΟΣ ΣΙΤΟΣΣΙΤΟΣ ΣΚΛΗΡΟΣ CRISPIERO</v>
      </c>
      <c r="B5226" s="4" t="s">
        <v>8886</v>
      </c>
      <c r="C5226" s="5" t="s">
        <v>9950</v>
      </c>
      <c r="D5226" s="6">
        <v>517.94000000000005</v>
      </c>
      <c r="E5226" s="6">
        <v>492.2</v>
      </c>
      <c r="F5226" s="7" t="s">
        <v>14</v>
      </c>
      <c r="G5226" s="8" t="s">
        <v>9951</v>
      </c>
      <c r="H5226" s="8" t="s">
        <v>16</v>
      </c>
      <c r="I5226" s="9">
        <v>144</v>
      </c>
      <c r="J5226" s="10">
        <v>1</v>
      </c>
      <c r="K5226" s="10">
        <v>7891</v>
      </c>
      <c r="L5226" s="3" t="str">
        <f t="shared" si="169"/>
        <v>ΣΚΛΗΡΟΣ_ΣΙΤΟΣ</v>
      </c>
    </row>
    <row r="5227" spans="1:12" ht="24" x14ac:dyDescent="0.25">
      <c r="A5227" s="1" t="str">
        <f t="shared" si="168"/>
        <v>ΣΚΛΗΡΟΣ ΣΙΤΟΣΣΙΤΟΣ ΣΚΛΗΡΟΣ DAUNIA</v>
      </c>
      <c r="B5227" s="4" t="s">
        <v>8886</v>
      </c>
      <c r="C5227" s="5" t="s">
        <v>9952</v>
      </c>
      <c r="D5227" s="6">
        <v>517.94000000000005</v>
      </c>
      <c r="E5227" s="6">
        <v>492.2</v>
      </c>
      <c r="F5227" s="7" t="s">
        <v>14</v>
      </c>
      <c r="G5227" s="8" t="s">
        <v>9953</v>
      </c>
      <c r="H5227" s="8" t="s">
        <v>16</v>
      </c>
      <c r="I5227" s="9">
        <v>143</v>
      </c>
      <c r="J5227" s="10">
        <v>1</v>
      </c>
      <c r="K5227" s="10">
        <v>7892</v>
      </c>
      <c r="L5227" s="3" t="str">
        <f t="shared" si="169"/>
        <v>ΣΚΛΗΡΟΣ_ΣΙΤΟΣ</v>
      </c>
    </row>
    <row r="5228" spans="1:12" ht="24" x14ac:dyDescent="0.25">
      <c r="A5228" s="1" t="str">
        <f t="shared" si="168"/>
        <v>ΣΚΛΗΡΟΣ ΣΙΤΟΣΣΙΤΟΣ ΣΚΛΗΡΟΣ DERRICK</v>
      </c>
      <c r="B5228" s="4" t="s">
        <v>8886</v>
      </c>
      <c r="C5228" s="5" t="s">
        <v>9954</v>
      </c>
      <c r="D5228" s="6">
        <v>517.94000000000005</v>
      </c>
      <c r="E5228" s="6">
        <v>492.2</v>
      </c>
      <c r="F5228" s="7" t="s">
        <v>14</v>
      </c>
      <c r="G5228" s="8" t="s">
        <v>9955</v>
      </c>
      <c r="H5228" s="8" t="s">
        <v>16</v>
      </c>
      <c r="I5228" s="9">
        <v>142</v>
      </c>
      <c r="J5228" s="10">
        <v>1</v>
      </c>
      <c r="K5228" s="10">
        <v>7893</v>
      </c>
      <c r="L5228" s="3" t="str">
        <f t="shared" si="169"/>
        <v>ΣΚΛΗΡΟΣ_ΣΙΤΟΣ</v>
      </c>
    </row>
    <row r="5229" spans="1:12" ht="24" x14ac:dyDescent="0.25">
      <c r="A5229" s="1" t="str">
        <f t="shared" si="168"/>
        <v>ΣΚΛΗΡΟΣ ΣΙΤΟΣΣΙΤΟΣ ΣΚΛΗΡΟΣ DUETTO</v>
      </c>
      <c r="B5229" s="4" t="s">
        <v>8886</v>
      </c>
      <c r="C5229" s="5" t="s">
        <v>9956</v>
      </c>
      <c r="D5229" s="6">
        <v>517.94000000000005</v>
      </c>
      <c r="E5229" s="6">
        <v>492.2</v>
      </c>
      <c r="F5229" s="7" t="s">
        <v>14</v>
      </c>
      <c r="G5229" s="8" t="s">
        <v>9957</v>
      </c>
      <c r="H5229" s="8" t="s">
        <v>16</v>
      </c>
      <c r="I5229" s="9">
        <v>141</v>
      </c>
      <c r="J5229" s="10">
        <v>1</v>
      </c>
      <c r="K5229" s="10">
        <v>7894</v>
      </c>
      <c r="L5229" s="3" t="str">
        <f t="shared" si="169"/>
        <v>ΣΚΛΗΡΟΣ_ΣΙΤΟΣ</v>
      </c>
    </row>
    <row r="5230" spans="1:12" ht="24" x14ac:dyDescent="0.25">
      <c r="A5230" s="1" t="str">
        <f t="shared" si="168"/>
        <v>ΣΚΛΗΡΟΣ ΣΙΤΟΣΣΙΤΟΣ ΣΚΛΗΡΟΣ DUILIO</v>
      </c>
      <c r="B5230" s="4" t="s">
        <v>8886</v>
      </c>
      <c r="C5230" s="5" t="s">
        <v>9958</v>
      </c>
      <c r="D5230" s="6">
        <v>517.94000000000005</v>
      </c>
      <c r="E5230" s="6">
        <v>492.2</v>
      </c>
      <c r="F5230" s="7" t="s">
        <v>14</v>
      </c>
      <c r="G5230" s="8" t="s">
        <v>9959</v>
      </c>
      <c r="H5230" s="8" t="s">
        <v>16</v>
      </c>
      <c r="I5230" s="9">
        <v>140</v>
      </c>
      <c r="J5230" s="10">
        <v>1</v>
      </c>
      <c r="K5230" s="10">
        <v>7895</v>
      </c>
      <c r="L5230" s="3" t="str">
        <f t="shared" si="169"/>
        <v>ΣΚΛΗΡΟΣ_ΣΙΤΟΣ</v>
      </c>
    </row>
    <row r="5231" spans="1:12" ht="24" x14ac:dyDescent="0.25">
      <c r="A5231" s="1" t="str">
        <f t="shared" si="168"/>
        <v>ΣΚΛΗΡΟΣ ΣΙΤΟΣΣΙΤΟΣ ΣΚΛΗΡΟΣ DUPRI</v>
      </c>
      <c r="B5231" s="4" t="s">
        <v>8886</v>
      </c>
      <c r="C5231" s="5" t="s">
        <v>9960</v>
      </c>
      <c r="D5231" s="6">
        <v>517.94000000000005</v>
      </c>
      <c r="E5231" s="6">
        <v>492.2</v>
      </c>
      <c r="F5231" s="7" t="s">
        <v>14</v>
      </c>
      <c r="G5231" s="8" t="s">
        <v>9961</v>
      </c>
      <c r="H5231" s="8" t="s">
        <v>16</v>
      </c>
      <c r="I5231" s="9">
        <v>139</v>
      </c>
      <c r="J5231" s="10">
        <v>1</v>
      </c>
      <c r="K5231" s="10">
        <v>7896</v>
      </c>
      <c r="L5231" s="3" t="str">
        <f t="shared" si="169"/>
        <v>ΣΚΛΗΡΟΣ_ΣΙΤΟΣ</v>
      </c>
    </row>
    <row r="5232" spans="1:12" ht="24" x14ac:dyDescent="0.25">
      <c r="A5232" s="1" t="str">
        <f t="shared" si="168"/>
        <v>ΣΚΛΗΡΟΣ ΣΙΤΟΣΣΙΤΟΣ ΣΚΛΗΡΟΣ DURANGO</v>
      </c>
      <c r="B5232" s="4" t="s">
        <v>8886</v>
      </c>
      <c r="C5232" s="5" t="s">
        <v>9962</v>
      </c>
      <c r="D5232" s="6">
        <v>517.94000000000005</v>
      </c>
      <c r="E5232" s="6">
        <v>492.2</v>
      </c>
      <c r="F5232" s="7" t="s">
        <v>14</v>
      </c>
      <c r="G5232" s="8" t="s">
        <v>9963</v>
      </c>
      <c r="H5232" s="8" t="s">
        <v>16</v>
      </c>
      <c r="I5232" s="9">
        <v>130</v>
      </c>
      <c r="J5232" s="10">
        <v>1</v>
      </c>
      <c r="K5232" s="10">
        <v>7897</v>
      </c>
      <c r="L5232" s="3" t="str">
        <f t="shared" si="169"/>
        <v>ΣΚΛΗΡΟΣ_ΣΙΤΟΣ</v>
      </c>
    </row>
    <row r="5233" spans="1:12" x14ac:dyDescent="0.25">
      <c r="A5233" s="1" t="str">
        <f t="shared" si="168"/>
        <v>ΣΚΛΗΡΟΣ ΣΙΤΟΣΣΙΤΟΣ ΣΚΛΗΡΟΣ DURBEL</v>
      </c>
      <c r="B5233" s="18" t="s">
        <v>8886</v>
      </c>
      <c r="C5233" s="19" t="s">
        <v>9964</v>
      </c>
      <c r="D5233" s="6">
        <v>517.94000000000005</v>
      </c>
      <c r="E5233" s="6">
        <v>492.2</v>
      </c>
      <c r="F5233" s="6" t="s">
        <v>14</v>
      </c>
      <c r="G5233" s="8" t="s">
        <v>9965</v>
      </c>
      <c r="H5233" s="8" t="s">
        <v>27</v>
      </c>
      <c r="I5233" s="9">
        <v>4455</v>
      </c>
      <c r="J5233" s="20">
        <v>1</v>
      </c>
      <c r="K5233" s="20">
        <v>7898</v>
      </c>
      <c r="L5233" s="3" t="str">
        <f t="shared" si="169"/>
        <v>ΣΚΛΗΡΟΣ_ΣΙΤΟΣ</v>
      </c>
    </row>
    <row r="5234" spans="1:12" ht="24" x14ac:dyDescent="0.25">
      <c r="A5234" s="1" t="str">
        <f t="shared" si="168"/>
        <v>ΣΚΛΗΡΟΣ ΣΙΤΟΣΣΙΤΟΣ ΣΚΛΗΡΟΣ DYLAN</v>
      </c>
      <c r="B5234" s="4" t="s">
        <v>8886</v>
      </c>
      <c r="C5234" s="5" t="s">
        <v>9966</v>
      </c>
      <c r="D5234" s="6">
        <v>517.94000000000005</v>
      </c>
      <c r="E5234" s="6">
        <v>492.2</v>
      </c>
      <c r="F5234" s="7" t="s">
        <v>14</v>
      </c>
      <c r="G5234" s="8" t="s">
        <v>9967</v>
      </c>
      <c r="H5234" s="8" t="s">
        <v>16</v>
      </c>
      <c r="I5234" s="9">
        <v>137</v>
      </c>
      <c r="J5234" s="10">
        <v>1</v>
      </c>
      <c r="K5234" s="10">
        <v>7901</v>
      </c>
      <c r="L5234" s="3" t="str">
        <f t="shared" si="169"/>
        <v>ΣΚΛΗΡΟΣ_ΣΙΤΟΣ</v>
      </c>
    </row>
    <row r="5235" spans="1:12" ht="24" x14ac:dyDescent="0.25">
      <c r="A5235" s="1" t="str">
        <f t="shared" si="168"/>
        <v>ΣΚΛΗΡΟΣ ΣΙΤΟΣΣΙΤΟΣ ΣΚΛΗΡΟΣ FIORE</v>
      </c>
      <c r="B5235" s="4" t="s">
        <v>8886</v>
      </c>
      <c r="C5235" s="5" t="s">
        <v>9968</v>
      </c>
      <c r="D5235" s="6">
        <v>517.94000000000005</v>
      </c>
      <c r="E5235" s="6">
        <v>492.2</v>
      </c>
      <c r="F5235" s="7" t="s">
        <v>14</v>
      </c>
      <c r="G5235" s="8" t="s">
        <v>9969</v>
      </c>
      <c r="H5235" s="8" t="s">
        <v>16</v>
      </c>
      <c r="I5235" s="9">
        <v>145</v>
      </c>
      <c r="J5235" s="10">
        <v>1</v>
      </c>
      <c r="K5235" s="10">
        <v>7906</v>
      </c>
      <c r="L5235" s="3" t="str">
        <f t="shared" si="169"/>
        <v>ΣΚΛΗΡΟΣ_ΣΙΤΟΣ</v>
      </c>
    </row>
    <row r="5236" spans="1:12" x14ac:dyDescent="0.25">
      <c r="A5236" s="1" t="str">
        <f t="shared" si="168"/>
        <v>ΣΚΛΗΡΟΣ ΣΙΤΟΣΣΙΤΟΣ ΣΚΛΗΡΟΣ FLAMINIO</v>
      </c>
      <c r="B5236" s="18" t="s">
        <v>8886</v>
      </c>
      <c r="C5236" s="19" t="s">
        <v>9970</v>
      </c>
      <c r="D5236" s="6">
        <v>517.94000000000005</v>
      </c>
      <c r="E5236" s="6">
        <v>492.2</v>
      </c>
      <c r="F5236" s="6" t="s">
        <v>14</v>
      </c>
      <c r="G5236" s="8" t="s">
        <v>9971</v>
      </c>
      <c r="H5236" s="8" t="s">
        <v>27</v>
      </c>
      <c r="I5236" s="9">
        <v>4456</v>
      </c>
      <c r="J5236" s="20">
        <v>1</v>
      </c>
      <c r="K5236" s="20">
        <v>7907</v>
      </c>
      <c r="L5236" s="3" t="str">
        <f t="shared" si="169"/>
        <v>ΣΚΛΗΡΟΣ_ΣΙΤΟΣ</v>
      </c>
    </row>
    <row r="5237" spans="1:12" x14ac:dyDescent="0.25">
      <c r="A5237" s="1" t="str">
        <f t="shared" si="168"/>
        <v>ΣΚΛΗΡΟΣ ΣΙΤΟΣΣΙΤΟΣ ΣΚΛΗΡΟΣ FLAVIO</v>
      </c>
      <c r="B5237" s="18" t="s">
        <v>8886</v>
      </c>
      <c r="C5237" s="19" t="s">
        <v>9972</v>
      </c>
      <c r="D5237" s="6">
        <v>517.94000000000005</v>
      </c>
      <c r="E5237" s="6">
        <v>492.2</v>
      </c>
      <c r="F5237" s="6" t="s">
        <v>14</v>
      </c>
      <c r="G5237" s="8" t="s">
        <v>9973</v>
      </c>
      <c r="H5237" s="8" t="s">
        <v>27</v>
      </c>
      <c r="I5237" s="9">
        <v>4457</v>
      </c>
      <c r="J5237" s="20">
        <v>1</v>
      </c>
      <c r="K5237" s="20">
        <v>7908</v>
      </c>
      <c r="L5237" s="3" t="str">
        <f t="shared" si="169"/>
        <v>ΣΚΛΗΡΟΣ_ΣΙΤΟΣ</v>
      </c>
    </row>
    <row r="5238" spans="1:12" ht="24" x14ac:dyDescent="0.25">
      <c r="A5238" s="1" t="str">
        <f t="shared" si="168"/>
        <v>ΣΚΛΗΡΟΣ ΣΙΤΟΣΣΙΤΟΣ ΣΚΛΗΡΟΣ FORTORE</v>
      </c>
      <c r="B5238" s="4" t="s">
        <v>8886</v>
      </c>
      <c r="C5238" s="5" t="s">
        <v>9974</v>
      </c>
      <c r="D5238" s="6">
        <v>517.94000000000005</v>
      </c>
      <c r="E5238" s="6">
        <v>492.2</v>
      </c>
      <c r="F5238" s="7" t="s">
        <v>14</v>
      </c>
      <c r="G5238" s="8" t="s">
        <v>9975</v>
      </c>
      <c r="H5238" s="8" t="s">
        <v>16</v>
      </c>
      <c r="I5238" s="9">
        <v>135</v>
      </c>
      <c r="J5238" s="10">
        <v>1</v>
      </c>
      <c r="K5238" s="10">
        <v>7909</v>
      </c>
      <c r="L5238" s="3" t="str">
        <f t="shared" si="169"/>
        <v>ΣΚΛΗΡΟΣ_ΣΙΤΟΣ</v>
      </c>
    </row>
    <row r="5239" spans="1:12" ht="24" x14ac:dyDescent="0.25">
      <c r="A5239" s="1" t="str">
        <f t="shared" si="168"/>
        <v>ΣΚΛΗΡΟΣ ΣΙΤΟΣΣΙΤΟΣ ΣΚΛΗΡΟΣ GARDENA</v>
      </c>
      <c r="B5239" s="4" t="s">
        <v>8886</v>
      </c>
      <c r="C5239" s="5" t="s">
        <v>9976</v>
      </c>
      <c r="D5239" s="6">
        <v>517.94000000000005</v>
      </c>
      <c r="E5239" s="6">
        <v>492.2</v>
      </c>
      <c r="F5239" s="7" t="s">
        <v>14</v>
      </c>
      <c r="G5239" s="8" t="s">
        <v>9977</v>
      </c>
      <c r="H5239" s="8" t="s">
        <v>16</v>
      </c>
      <c r="I5239" s="9">
        <v>134</v>
      </c>
      <c r="J5239" s="10">
        <v>1</v>
      </c>
      <c r="K5239" s="10">
        <v>7910</v>
      </c>
      <c r="L5239" s="3" t="str">
        <f t="shared" si="169"/>
        <v>ΣΚΛΗΡΟΣ_ΣΙΤΟΣ</v>
      </c>
    </row>
    <row r="5240" spans="1:12" ht="24" x14ac:dyDescent="0.25">
      <c r="A5240" s="1" t="str">
        <f t="shared" si="168"/>
        <v>ΣΚΛΗΡΟΣ ΣΙΤΟΣΣΙΤΟΣ ΣΚΛΗΡΟΣ GARGANO</v>
      </c>
      <c r="B5240" s="4" t="s">
        <v>8886</v>
      </c>
      <c r="C5240" s="5" t="s">
        <v>9978</v>
      </c>
      <c r="D5240" s="6">
        <v>517.94000000000005</v>
      </c>
      <c r="E5240" s="6">
        <v>492.2</v>
      </c>
      <c r="F5240" s="7" t="s">
        <v>14</v>
      </c>
      <c r="G5240" s="8" t="s">
        <v>9979</v>
      </c>
      <c r="H5240" s="8" t="s">
        <v>16</v>
      </c>
      <c r="I5240" s="9">
        <v>133</v>
      </c>
      <c r="J5240" s="10">
        <v>1</v>
      </c>
      <c r="K5240" s="10">
        <v>7911</v>
      </c>
      <c r="L5240" s="3" t="str">
        <f t="shared" si="169"/>
        <v>ΣΚΛΗΡΟΣ_ΣΙΤΟΣ</v>
      </c>
    </row>
    <row r="5241" spans="1:12" ht="24" x14ac:dyDescent="0.25">
      <c r="A5241" s="1" t="str">
        <f t="shared" si="168"/>
        <v>ΣΚΛΗΡΟΣ ΣΙΤΟΣΣΙΤΟΣ ΣΚΛΗΡΟΣ GHIBLI</v>
      </c>
      <c r="B5241" s="4" t="s">
        <v>8886</v>
      </c>
      <c r="C5241" s="5" t="s">
        <v>9980</v>
      </c>
      <c r="D5241" s="6">
        <v>517.94000000000005</v>
      </c>
      <c r="E5241" s="6">
        <v>492.2</v>
      </c>
      <c r="F5241" s="7" t="s">
        <v>14</v>
      </c>
      <c r="G5241" s="8" t="s">
        <v>9981</v>
      </c>
      <c r="H5241" s="8" t="s">
        <v>16</v>
      </c>
      <c r="I5241" s="9">
        <v>132</v>
      </c>
      <c r="J5241" s="10">
        <v>1</v>
      </c>
      <c r="K5241" s="10">
        <v>7912</v>
      </c>
      <c r="L5241" s="3" t="str">
        <f t="shared" si="169"/>
        <v>ΣΚΛΗΡΟΣ_ΣΙΤΟΣ</v>
      </c>
    </row>
    <row r="5242" spans="1:12" ht="24" x14ac:dyDescent="0.25">
      <c r="A5242" s="1" t="str">
        <f t="shared" si="168"/>
        <v>ΣΚΛΗΡΟΣ ΣΙΤΟΣΣΙΤΟΣ ΣΚΛΗΡΟΣ GIANNI</v>
      </c>
      <c r="B5242" s="4" t="s">
        <v>8886</v>
      </c>
      <c r="C5242" s="5" t="s">
        <v>9982</v>
      </c>
      <c r="D5242" s="6">
        <v>517.94000000000005</v>
      </c>
      <c r="E5242" s="6">
        <v>492.2</v>
      </c>
      <c r="F5242" s="7" t="s">
        <v>14</v>
      </c>
      <c r="G5242" s="8" t="s">
        <v>9983</v>
      </c>
      <c r="H5242" s="8" t="s">
        <v>16</v>
      </c>
      <c r="I5242" s="9">
        <v>152</v>
      </c>
      <c r="J5242" s="10">
        <v>1</v>
      </c>
      <c r="K5242" s="10">
        <v>7913</v>
      </c>
      <c r="L5242" s="3" t="str">
        <f t="shared" si="169"/>
        <v>ΣΚΛΗΡΟΣ_ΣΙΤΟΣ</v>
      </c>
    </row>
    <row r="5243" spans="1:12" ht="24" x14ac:dyDescent="0.25">
      <c r="A5243" s="1" t="str">
        <f t="shared" si="168"/>
        <v>ΣΚΛΗΡΟΣ ΣΙΤΟΣΣΙΤΟΣ ΣΚΛΗΡΟΣ GIEMME</v>
      </c>
      <c r="B5243" s="4" t="s">
        <v>8886</v>
      </c>
      <c r="C5243" s="5" t="s">
        <v>9984</v>
      </c>
      <c r="D5243" s="6">
        <v>517.94000000000005</v>
      </c>
      <c r="E5243" s="6">
        <v>492.2</v>
      </c>
      <c r="F5243" s="7" t="s">
        <v>14</v>
      </c>
      <c r="G5243" s="8" t="s">
        <v>9985</v>
      </c>
      <c r="H5243" s="8" t="s">
        <v>16</v>
      </c>
      <c r="I5243" s="9">
        <v>136</v>
      </c>
      <c r="J5243" s="10">
        <v>1</v>
      </c>
      <c r="K5243" s="10">
        <v>7914</v>
      </c>
      <c r="L5243" s="3" t="str">
        <f t="shared" si="169"/>
        <v>ΣΚΛΗΡΟΣ_ΣΙΤΟΣ</v>
      </c>
    </row>
    <row r="5244" spans="1:12" x14ac:dyDescent="0.25">
      <c r="A5244" s="1" t="str">
        <f t="shared" si="168"/>
        <v>ΣΚΛΗΡΟΣ ΣΙΤΟΣΣΙΤΟΣ ΣΚΛΗΡΟΣ GIOTTO</v>
      </c>
      <c r="B5244" s="4" t="s">
        <v>8886</v>
      </c>
      <c r="C5244" s="5" t="s">
        <v>9986</v>
      </c>
      <c r="D5244" s="6">
        <v>517.94000000000005</v>
      </c>
      <c r="E5244" s="6">
        <v>492.2</v>
      </c>
      <c r="F5244" s="7" t="s">
        <v>14</v>
      </c>
      <c r="G5244" s="8" t="s">
        <v>9987</v>
      </c>
      <c r="H5244" s="8" t="s">
        <v>27</v>
      </c>
      <c r="I5244" s="9">
        <v>138</v>
      </c>
      <c r="J5244" s="10">
        <v>1</v>
      </c>
      <c r="K5244" s="10">
        <v>7915</v>
      </c>
      <c r="L5244" s="3" t="str">
        <f t="shared" si="169"/>
        <v>ΣΚΛΗΡΟΣ_ΣΙΤΟΣ</v>
      </c>
    </row>
    <row r="5245" spans="1:12" ht="24" x14ac:dyDescent="0.25">
      <c r="A5245" s="1" t="str">
        <f t="shared" si="168"/>
        <v>ΣΚΛΗΡΟΣ ΣΙΤΟΣΣΙΤΟΣ ΣΚΛΗΡΟΣ GIOVE</v>
      </c>
      <c r="B5245" s="4" t="s">
        <v>8886</v>
      </c>
      <c r="C5245" s="5" t="s">
        <v>9988</v>
      </c>
      <c r="D5245" s="6">
        <v>517.94000000000005</v>
      </c>
      <c r="E5245" s="6">
        <v>492.2</v>
      </c>
      <c r="F5245" s="7" t="s">
        <v>14</v>
      </c>
      <c r="G5245" s="8" t="s">
        <v>9989</v>
      </c>
      <c r="H5245" s="8" t="s">
        <v>16</v>
      </c>
      <c r="I5245" s="9">
        <v>160</v>
      </c>
      <c r="J5245" s="10">
        <v>1</v>
      </c>
      <c r="K5245" s="10">
        <v>7916</v>
      </c>
      <c r="L5245" s="3" t="str">
        <f t="shared" si="169"/>
        <v>ΣΚΛΗΡΟΣ_ΣΙΤΟΣ</v>
      </c>
    </row>
    <row r="5246" spans="1:12" ht="24" x14ac:dyDescent="0.25">
      <c r="A5246" s="1" t="str">
        <f t="shared" si="168"/>
        <v>ΣΚΛΗΡΟΣ ΣΙΤΟΣΣΙΤΟΣ ΣΚΛΗΡΟΣ GRAZIA</v>
      </c>
      <c r="B5246" s="4" t="s">
        <v>8886</v>
      </c>
      <c r="C5246" s="5" t="s">
        <v>9990</v>
      </c>
      <c r="D5246" s="6">
        <v>517.94000000000005</v>
      </c>
      <c r="E5246" s="6">
        <v>492.2</v>
      </c>
      <c r="F5246" s="7" t="s">
        <v>14</v>
      </c>
      <c r="G5246" s="8" t="s">
        <v>9991</v>
      </c>
      <c r="H5246" s="8" t="s">
        <v>16</v>
      </c>
      <c r="I5246" s="9">
        <v>159</v>
      </c>
      <c r="J5246" s="10">
        <v>1</v>
      </c>
      <c r="K5246" s="10">
        <v>7918</v>
      </c>
      <c r="L5246" s="3" t="str">
        <f t="shared" si="169"/>
        <v>ΣΚΛΗΡΟΣ_ΣΙΤΟΣ</v>
      </c>
    </row>
    <row r="5247" spans="1:12" ht="24" x14ac:dyDescent="0.25">
      <c r="A5247" s="1" t="str">
        <f t="shared" si="168"/>
        <v>ΣΚΛΗΡΟΣ ΣΙΤΟΣΣΙΤΟΣ ΣΚΛΗΡΟΣ IRIDE</v>
      </c>
      <c r="B5247" s="4" t="s">
        <v>8886</v>
      </c>
      <c r="C5247" s="5" t="s">
        <v>9992</v>
      </c>
      <c r="D5247" s="6">
        <v>517.94000000000005</v>
      </c>
      <c r="E5247" s="6">
        <v>492.2</v>
      </c>
      <c r="F5247" s="7" t="s">
        <v>14</v>
      </c>
      <c r="G5247" s="8" t="s">
        <v>9993</v>
      </c>
      <c r="H5247" s="8" t="s">
        <v>16</v>
      </c>
      <c r="I5247" s="9">
        <v>158</v>
      </c>
      <c r="J5247" s="10">
        <v>1</v>
      </c>
      <c r="K5247" s="10">
        <v>7921</v>
      </c>
      <c r="L5247" s="3" t="str">
        <f t="shared" si="169"/>
        <v>ΣΚΛΗΡΟΣ_ΣΙΤΟΣ</v>
      </c>
    </row>
    <row r="5248" spans="1:12" ht="24" x14ac:dyDescent="0.25">
      <c r="A5248" s="1" t="str">
        <f t="shared" si="168"/>
        <v>ΣΚΛΗΡΟΣ ΣΙΤΟΣΣΙΤΟΣ ΣΚΛΗΡΟΣ ITALO</v>
      </c>
      <c r="B5248" s="4" t="s">
        <v>8886</v>
      </c>
      <c r="C5248" s="5" t="s">
        <v>9994</v>
      </c>
      <c r="D5248" s="6">
        <v>517.94000000000005</v>
      </c>
      <c r="E5248" s="6">
        <v>492.2</v>
      </c>
      <c r="F5248" s="7" t="s">
        <v>14</v>
      </c>
      <c r="G5248" s="8" t="s">
        <v>9995</v>
      </c>
      <c r="H5248" s="8" t="s">
        <v>16</v>
      </c>
      <c r="I5248" s="9">
        <v>157</v>
      </c>
      <c r="J5248" s="10">
        <v>1</v>
      </c>
      <c r="K5248" s="10">
        <v>7922</v>
      </c>
      <c r="L5248" s="3" t="str">
        <f t="shared" si="169"/>
        <v>ΣΚΛΗΡΟΣ_ΣΙΤΟΣ</v>
      </c>
    </row>
    <row r="5249" spans="1:12" ht="24" x14ac:dyDescent="0.25">
      <c r="A5249" s="1" t="str">
        <f t="shared" si="168"/>
        <v>ΣΚΛΗΡΟΣ ΣΙΤΟΣΣΙΤΟΣ ΣΚΛΗΡΟΣ KARALIS</v>
      </c>
      <c r="B5249" s="4" t="s">
        <v>8886</v>
      </c>
      <c r="C5249" s="5" t="s">
        <v>9996</v>
      </c>
      <c r="D5249" s="6">
        <v>517.94000000000005</v>
      </c>
      <c r="E5249" s="6">
        <v>492.2</v>
      </c>
      <c r="F5249" s="7" t="s">
        <v>14</v>
      </c>
      <c r="G5249" s="8" t="s">
        <v>9997</v>
      </c>
      <c r="H5249" s="8" t="s">
        <v>16</v>
      </c>
      <c r="I5249" s="9">
        <v>156</v>
      </c>
      <c r="J5249" s="10">
        <v>1</v>
      </c>
      <c r="K5249" s="10">
        <v>7923</v>
      </c>
      <c r="L5249" s="3" t="str">
        <f t="shared" si="169"/>
        <v>ΣΚΛΗΡΟΣ_ΣΙΤΟΣ</v>
      </c>
    </row>
    <row r="5250" spans="1:12" x14ac:dyDescent="0.25">
      <c r="A5250" s="1" t="str">
        <f t="shared" si="168"/>
        <v>ΣΚΛΗΡΟΣ ΣΙΤΟΣΣΙΤΟΣ ΣΚΛΗΡΟΣ KIEVLANKA</v>
      </c>
      <c r="B5250" s="18" t="s">
        <v>8886</v>
      </c>
      <c r="C5250" s="19" t="s">
        <v>9998</v>
      </c>
      <c r="D5250" s="6">
        <v>517.94000000000005</v>
      </c>
      <c r="E5250" s="6">
        <v>492.2</v>
      </c>
      <c r="F5250" s="6" t="s">
        <v>14</v>
      </c>
      <c r="G5250" s="8" t="s">
        <v>9999</v>
      </c>
      <c r="H5250" s="8" t="s">
        <v>27</v>
      </c>
      <c r="I5250" s="9">
        <v>4458</v>
      </c>
      <c r="J5250" s="20">
        <v>1</v>
      </c>
      <c r="K5250" s="20">
        <v>7924</v>
      </c>
      <c r="L5250" s="3" t="str">
        <f t="shared" si="169"/>
        <v>ΣΚΛΗΡΟΣ_ΣΙΤΟΣ</v>
      </c>
    </row>
    <row r="5251" spans="1:12" ht="24" x14ac:dyDescent="0.25">
      <c r="A5251" s="1" t="str">
        <f t="shared" ref="A5251:A5314" si="170">_xlfn.CONCAT(B5251,C5251)</f>
        <v>ΣΚΛΗΡΟΣ ΣΙΤΟΣΣΙΤΟΣ ΣΚΛΗΡΟΣ LATINO</v>
      </c>
      <c r="B5251" s="4" t="s">
        <v>8886</v>
      </c>
      <c r="C5251" s="5" t="s">
        <v>10000</v>
      </c>
      <c r="D5251" s="6">
        <v>517.94000000000005</v>
      </c>
      <c r="E5251" s="6">
        <v>492.2</v>
      </c>
      <c r="F5251" s="7" t="s">
        <v>14</v>
      </c>
      <c r="G5251" s="8" t="s">
        <v>10001</v>
      </c>
      <c r="H5251" s="8" t="s">
        <v>16</v>
      </c>
      <c r="I5251" s="9">
        <v>155</v>
      </c>
      <c r="J5251" s="10">
        <v>1</v>
      </c>
      <c r="K5251" s="10">
        <v>7925</v>
      </c>
      <c r="L5251" s="3" t="str">
        <f t="shared" ref="L5251:L5314" si="171">IFERROR(SUBSTITUTE(SUBSTITUTE(SUBSTITUTE(SUBSTITUTE(SUBSTITUTE(B5251, "-", "_"), " ", "_"), ",", ""), "(", ""), ")", ""), B5251)</f>
        <v>ΣΚΛΗΡΟΣ_ΣΙΤΟΣ</v>
      </c>
    </row>
    <row r="5252" spans="1:12" ht="24" x14ac:dyDescent="0.25">
      <c r="A5252" s="1" t="str">
        <f t="shared" si="170"/>
        <v>ΣΚΛΗΡΟΣ ΣΙΤΟΣΣΙΤΟΣ ΣΚΛΗΡΟΣ LESINA</v>
      </c>
      <c r="B5252" s="4" t="s">
        <v>8886</v>
      </c>
      <c r="C5252" s="5" t="s">
        <v>10002</v>
      </c>
      <c r="D5252" s="6">
        <v>517.94000000000005</v>
      </c>
      <c r="E5252" s="6">
        <v>492.2</v>
      </c>
      <c r="F5252" s="7" t="s">
        <v>14</v>
      </c>
      <c r="G5252" s="8" t="s">
        <v>10003</v>
      </c>
      <c r="H5252" s="8" t="s">
        <v>16</v>
      </c>
      <c r="I5252" s="9">
        <v>146</v>
      </c>
      <c r="J5252" s="10">
        <v>1</v>
      </c>
      <c r="K5252" s="10">
        <v>7926</v>
      </c>
      <c r="L5252" s="3" t="str">
        <f t="shared" si="171"/>
        <v>ΣΚΛΗΡΟΣ_ΣΙΤΟΣ</v>
      </c>
    </row>
    <row r="5253" spans="1:12" ht="24" x14ac:dyDescent="0.25">
      <c r="A5253" s="1" t="str">
        <f t="shared" si="170"/>
        <v>ΣΚΛΗΡΟΣ ΣΙΤΟΣΣΙΤΟΣ ΣΚΛΗΡΟΣ LEVANTE</v>
      </c>
      <c r="B5253" s="4" t="s">
        <v>8886</v>
      </c>
      <c r="C5253" s="5" t="s">
        <v>10004</v>
      </c>
      <c r="D5253" s="6">
        <v>517.94000000000005</v>
      </c>
      <c r="E5253" s="6">
        <v>492.2</v>
      </c>
      <c r="F5253" s="7" t="s">
        <v>14</v>
      </c>
      <c r="G5253" s="8" t="s">
        <v>10005</v>
      </c>
      <c r="H5253" s="8" t="s">
        <v>16</v>
      </c>
      <c r="I5253" s="9">
        <v>153</v>
      </c>
      <c r="J5253" s="10">
        <v>1</v>
      </c>
      <c r="K5253" s="10">
        <v>7927</v>
      </c>
      <c r="L5253" s="3" t="str">
        <f t="shared" si="171"/>
        <v>ΣΚΛΗΡΟΣ_ΣΙΤΟΣ</v>
      </c>
    </row>
    <row r="5254" spans="1:12" ht="24" x14ac:dyDescent="0.25">
      <c r="A5254" s="1" t="str">
        <f t="shared" si="170"/>
        <v>ΣΚΛΗΡΟΣ ΣΙΤΟΣΣΙΤΟΣ ΣΚΛΗΡΟΣ LIBECCIO</v>
      </c>
      <c r="B5254" s="4" t="s">
        <v>8886</v>
      </c>
      <c r="C5254" s="5" t="s">
        <v>10006</v>
      </c>
      <c r="D5254" s="6">
        <v>517.94000000000005</v>
      </c>
      <c r="E5254" s="6">
        <v>492.2</v>
      </c>
      <c r="F5254" s="7" t="s">
        <v>14</v>
      </c>
      <c r="G5254" s="8" t="s">
        <v>10007</v>
      </c>
      <c r="H5254" s="8" t="s">
        <v>16</v>
      </c>
      <c r="I5254" s="9">
        <v>161</v>
      </c>
      <c r="J5254" s="10">
        <v>1</v>
      </c>
      <c r="K5254" s="10">
        <v>7928</v>
      </c>
      <c r="L5254" s="3" t="str">
        <f t="shared" si="171"/>
        <v>ΣΚΛΗΡΟΣ_ΣΙΤΟΣ</v>
      </c>
    </row>
    <row r="5255" spans="1:12" x14ac:dyDescent="0.25">
      <c r="A5255" s="1" t="str">
        <f t="shared" si="170"/>
        <v>ΣΚΛΗΡΟΣ ΣΙΤΟΣΣΙΤΟΣ ΣΚΛΗΡΟΣ MADURO</v>
      </c>
      <c r="B5255" s="18" t="s">
        <v>8886</v>
      </c>
      <c r="C5255" s="19" t="s">
        <v>10008</v>
      </c>
      <c r="D5255" s="6">
        <v>517.94000000000005</v>
      </c>
      <c r="E5255" s="6">
        <v>492.2</v>
      </c>
      <c r="F5255" s="6" t="s">
        <v>14</v>
      </c>
      <c r="G5255" s="8" t="s">
        <v>10009</v>
      </c>
      <c r="H5255" s="8" t="s">
        <v>27</v>
      </c>
      <c r="I5255" s="9">
        <v>4459</v>
      </c>
      <c r="J5255" s="20">
        <v>1</v>
      </c>
      <c r="K5255" s="20">
        <v>7929</v>
      </c>
      <c r="L5255" s="3" t="str">
        <f t="shared" si="171"/>
        <v>ΣΚΛΗΡΟΣ_ΣΙΤΟΣ</v>
      </c>
    </row>
    <row r="5256" spans="1:12" x14ac:dyDescent="0.25">
      <c r="A5256" s="1" t="str">
        <f t="shared" si="170"/>
        <v>ΣΚΛΗΡΟΣ ΣΙΤΟΣΣΙΤΟΣ ΣΚΛΗΡΟΣ MARCO</v>
      </c>
      <c r="B5256" s="18" t="s">
        <v>8886</v>
      </c>
      <c r="C5256" s="19" t="s">
        <v>10010</v>
      </c>
      <c r="D5256" s="6">
        <v>517.94000000000005</v>
      </c>
      <c r="E5256" s="6">
        <v>492.2</v>
      </c>
      <c r="F5256" s="6" t="s">
        <v>14</v>
      </c>
      <c r="G5256" s="8" t="s">
        <v>10011</v>
      </c>
      <c r="H5256" s="8" t="s">
        <v>27</v>
      </c>
      <c r="I5256" s="9">
        <v>4460</v>
      </c>
      <c r="J5256" s="20">
        <v>1</v>
      </c>
      <c r="K5256" s="20">
        <v>7930</v>
      </c>
      <c r="L5256" s="3" t="str">
        <f t="shared" si="171"/>
        <v>ΣΚΛΗΡΟΣ_ΣΙΤΟΣ</v>
      </c>
    </row>
    <row r="5257" spans="1:12" ht="24" x14ac:dyDescent="0.25">
      <c r="A5257" s="1" t="str">
        <f t="shared" si="170"/>
        <v>ΣΚΛΗΡΟΣ ΣΙΤΟΣΣΙΤΟΣ ΣΚΛΗΡΟΣ MERIDIANO</v>
      </c>
      <c r="B5257" s="4" t="s">
        <v>8886</v>
      </c>
      <c r="C5257" s="5" t="s">
        <v>10012</v>
      </c>
      <c r="D5257" s="6">
        <v>517.94000000000005</v>
      </c>
      <c r="E5257" s="6">
        <v>492.2</v>
      </c>
      <c r="F5257" s="7" t="s">
        <v>14</v>
      </c>
      <c r="G5257" s="8" t="s">
        <v>10013</v>
      </c>
      <c r="H5257" s="8" t="s">
        <v>16</v>
      </c>
      <c r="I5257" s="9">
        <v>151</v>
      </c>
      <c r="J5257" s="10">
        <v>1</v>
      </c>
      <c r="K5257" s="10">
        <v>7931</v>
      </c>
      <c r="L5257" s="3" t="str">
        <f t="shared" si="171"/>
        <v>ΣΚΛΗΡΟΣ_ΣΙΤΟΣ</v>
      </c>
    </row>
    <row r="5258" spans="1:12" ht="24" x14ac:dyDescent="0.25">
      <c r="A5258" s="1" t="str">
        <f t="shared" si="170"/>
        <v>ΣΚΛΗΡΟΣ ΣΙΤΟΣΣΙΤΟΣ ΣΚΛΗΡΟΣ MONGIBELLO</v>
      </c>
      <c r="B5258" s="4" t="s">
        <v>8886</v>
      </c>
      <c r="C5258" s="5" t="s">
        <v>10014</v>
      </c>
      <c r="D5258" s="6">
        <v>517.94000000000005</v>
      </c>
      <c r="E5258" s="6">
        <v>492.2</v>
      </c>
      <c r="F5258" s="7" t="s">
        <v>14</v>
      </c>
      <c r="G5258" s="8" t="s">
        <v>10015</v>
      </c>
      <c r="H5258" s="8" t="s">
        <v>16</v>
      </c>
      <c r="I5258" s="9">
        <v>150</v>
      </c>
      <c r="J5258" s="10">
        <v>1</v>
      </c>
      <c r="K5258" s="10">
        <v>7932</v>
      </c>
      <c r="L5258" s="3" t="str">
        <f t="shared" si="171"/>
        <v>ΣΚΛΗΡΟΣ_ΣΙΤΟΣ</v>
      </c>
    </row>
    <row r="5259" spans="1:12" x14ac:dyDescent="0.25">
      <c r="A5259" s="1" t="str">
        <f t="shared" si="170"/>
        <v>ΣΚΛΗΡΟΣ ΣΙΤΟΣΣΙΤΟΣ ΣΚΛΗΡΟΣ NEFER</v>
      </c>
      <c r="B5259" s="18" t="s">
        <v>8886</v>
      </c>
      <c r="C5259" s="19" t="s">
        <v>10016</v>
      </c>
      <c r="D5259" s="6">
        <v>517.94000000000005</v>
      </c>
      <c r="E5259" s="6">
        <v>492.2</v>
      </c>
      <c r="F5259" s="6" t="s">
        <v>14</v>
      </c>
      <c r="G5259" s="8" t="s">
        <v>10017</v>
      </c>
      <c r="H5259" s="8" t="s">
        <v>27</v>
      </c>
      <c r="I5259" s="9">
        <v>4461</v>
      </c>
      <c r="J5259" s="20">
        <v>1</v>
      </c>
      <c r="K5259" s="20">
        <v>7933</v>
      </c>
      <c r="L5259" s="3" t="str">
        <f t="shared" si="171"/>
        <v>ΣΚΛΗΡΟΣ_ΣΙΤΟΣ</v>
      </c>
    </row>
    <row r="5260" spans="1:12" x14ac:dyDescent="0.25">
      <c r="A5260" s="1" t="str">
        <f t="shared" si="170"/>
        <v>ΣΚΛΗΡΟΣ ΣΙΤΟΣΣΙΤΟΣ ΣΚΛΗΡΟΣ NEODUR</v>
      </c>
      <c r="B5260" s="18" t="s">
        <v>8886</v>
      </c>
      <c r="C5260" s="19" t="s">
        <v>10018</v>
      </c>
      <c r="D5260" s="6">
        <v>517.94000000000005</v>
      </c>
      <c r="E5260" s="6">
        <v>492.2</v>
      </c>
      <c r="F5260" s="6" t="s">
        <v>14</v>
      </c>
      <c r="G5260" s="8" t="s">
        <v>10019</v>
      </c>
      <c r="H5260" s="8" t="s">
        <v>27</v>
      </c>
      <c r="I5260" s="9">
        <v>4462</v>
      </c>
      <c r="J5260" s="20">
        <v>1</v>
      </c>
      <c r="K5260" s="20">
        <v>7934</v>
      </c>
      <c r="L5260" s="3" t="str">
        <f t="shared" si="171"/>
        <v>ΣΚΛΗΡΟΣ_ΣΙΤΟΣ</v>
      </c>
    </row>
    <row r="5261" spans="1:12" ht="24" x14ac:dyDescent="0.25">
      <c r="A5261" s="1" t="str">
        <f t="shared" si="170"/>
        <v>ΣΚΛΗΡΟΣ ΣΙΤΟΣΣΙΤΟΣ ΣΚΛΗΡΟΣ NERONE</v>
      </c>
      <c r="B5261" s="4" t="s">
        <v>8886</v>
      </c>
      <c r="C5261" s="5" t="s">
        <v>10020</v>
      </c>
      <c r="D5261" s="6">
        <v>517.94000000000005</v>
      </c>
      <c r="E5261" s="6">
        <v>492.2</v>
      </c>
      <c r="F5261" s="7" t="s">
        <v>14</v>
      </c>
      <c r="G5261" s="8" t="s">
        <v>10021</v>
      </c>
      <c r="H5261" s="8" t="s">
        <v>16</v>
      </c>
      <c r="I5261" s="9">
        <v>149</v>
      </c>
      <c r="J5261" s="10">
        <v>1</v>
      </c>
      <c r="K5261" s="10">
        <v>7935</v>
      </c>
      <c r="L5261" s="3" t="str">
        <f t="shared" si="171"/>
        <v>ΣΚΛΗΡΟΣ_ΣΙΤΟΣ</v>
      </c>
    </row>
    <row r="5262" spans="1:12" x14ac:dyDescent="0.25">
      <c r="A5262" s="1" t="str">
        <f t="shared" si="170"/>
        <v>ΣΚΛΗΡΟΣ ΣΙΤΟΣΣΙΤΟΣ ΣΚΛΗΡΟΣ NORBA</v>
      </c>
      <c r="B5262" s="18" t="s">
        <v>8886</v>
      </c>
      <c r="C5262" s="19" t="s">
        <v>10022</v>
      </c>
      <c r="D5262" s="6">
        <v>517.94000000000005</v>
      </c>
      <c r="E5262" s="6">
        <v>492.2</v>
      </c>
      <c r="F5262" s="6" t="s">
        <v>14</v>
      </c>
      <c r="G5262" s="8" t="s">
        <v>10023</v>
      </c>
      <c r="H5262" s="8" t="s">
        <v>27</v>
      </c>
      <c r="I5262" s="9">
        <v>4463</v>
      </c>
      <c r="J5262" s="20">
        <v>1</v>
      </c>
      <c r="K5262" s="20">
        <v>7936</v>
      </c>
      <c r="L5262" s="3" t="str">
        <f t="shared" si="171"/>
        <v>ΣΚΛΗΡΟΣ_ΣΙΤΟΣ</v>
      </c>
    </row>
    <row r="5263" spans="1:12" ht="24" x14ac:dyDescent="0.25">
      <c r="A5263" s="1" t="str">
        <f t="shared" si="170"/>
        <v>ΣΚΛΗΡΟΣ ΣΙΤΟΣΣΙΤΟΣ ΣΚΛΗΡΟΣ NORMANNO</v>
      </c>
      <c r="B5263" s="4" t="s">
        <v>8886</v>
      </c>
      <c r="C5263" s="5" t="s">
        <v>10024</v>
      </c>
      <c r="D5263" s="6">
        <v>517.94000000000005</v>
      </c>
      <c r="E5263" s="6">
        <v>492.2</v>
      </c>
      <c r="F5263" s="7" t="s">
        <v>14</v>
      </c>
      <c r="G5263" s="8" t="s">
        <v>10025</v>
      </c>
      <c r="H5263" s="8" t="s">
        <v>16</v>
      </c>
      <c r="I5263" s="9">
        <v>148</v>
      </c>
      <c r="J5263" s="10">
        <v>1</v>
      </c>
      <c r="K5263" s="10">
        <v>7937</v>
      </c>
      <c r="L5263" s="3" t="str">
        <f t="shared" si="171"/>
        <v>ΣΚΛΗΡΟΣ_ΣΙΤΟΣ</v>
      </c>
    </row>
    <row r="5264" spans="1:12" ht="24" x14ac:dyDescent="0.25">
      <c r="A5264" s="1" t="str">
        <f t="shared" si="170"/>
        <v>ΣΚΛΗΡΟΣ ΣΙΤΟΣΣΙΤΟΣ ΣΚΛΗΡΟΣ OFANTO</v>
      </c>
      <c r="B5264" s="4" t="s">
        <v>8886</v>
      </c>
      <c r="C5264" s="5" t="s">
        <v>10026</v>
      </c>
      <c r="D5264" s="6">
        <v>517.94000000000005</v>
      </c>
      <c r="E5264" s="6">
        <v>492.2</v>
      </c>
      <c r="F5264" s="7" t="s">
        <v>14</v>
      </c>
      <c r="G5264" s="8" t="s">
        <v>10027</v>
      </c>
      <c r="H5264" s="8" t="s">
        <v>16</v>
      </c>
      <c r="I5264" s="9">
        <v>196</v>
      </c>
      <c r="J5264" s="10">
        <v>1</v>
      </c>
      <c r="K5264" s="10">
        <v>7938</v>
      </c>
      <c r="L5264" s="3" t="str">
        <f t="shared" si="171"/>
        <v>ΣΚΛΗΡΟΣ_ΣΙΤΟΣ</v>
      </c>
    </row>
    <row r="5265" spans="1:12" ht="24" x14ac:dyDescent="0.25">
      <c r="A5265" s="1" t="str">
        <f t="shared" si="170"/>
        <v>ΣΚΛΗΡΟΣ ΣΙΤΟΣΣΙΤΟΣ ΣΚΛΗΡΟΣ OROBEL</v>
      </c>
      <c r="B5265" s="4" t="s">
        <v>8886</v>
      </c>
      <c r="C5265" s="5" t="s">
        <v>10028</v>
      </c>
      <c r="D5265" s="6">
        <v>517.94000000000005</v>
      </c>
      <c r="E5265" s="6">
        <v>492.2</v>
      </c>
      <c r="F5265" s="7" t="s">
        <v>14</v>
      </c>
      <c r="G5265" s="8" t="s">
        <v>10029</v>
      </c>
      <c r="H5265" s="8" t="s">
        <v>16</v>
      </c>
      <c r="I5265" s="9">
        <v>131</v>
      </c>
      <c r="J5265" s="10">
        <v>1</v>
      </c>
      <c r="K5265" s="10">
        <v>7939</v>
      </c>
      <c r="L5265" s="3" t="str">
        <f t="shared" si="171"/>
        <v>ΣΚΛΗΡΟΣ_ΣΙΤΟΣ</v>
      </c>
    </row>
    <row r="5266" spans="1:12" x14ac:dyDescent="0.25">
      <c r="A5266" s="1" t="str">
        <f t="shared" si="170"/>
        <v>ΣΚΛΗΡΟΣ ΣΙΤΟΣΣΙΤΟΣ ΣΚΛΗΡΟΣ PARSIFAL</v>
      </c>
      <c r="B5266" s="18" t="s">
        <v>8886</v>
      </c>
      <c r="C5266" s="19" t="s">
        <v>10030</v>
      </c>
      <c r="D5266" s="6">
        <v>517.94000000000005</v>
      </c>
      <c r="E5266" s="6">
        <v>492.2</v>
      </c>
      <c r="F5266" s="6" t="s">
        <v>14</v>
      </c>
      <c r="G5266" s="8" t="s">
        <v>10031</v>
      </c>
      <c r="H5266" s="8" t="s">
        <v>27</v>
      </c>
      <c r="I5266" s="9">
        <v>4464</v>
      </c>
      <c r="J5266" s="20">
        <v>1</v>
      </c>
      <c r="K5266" s="20">
        <v>7940</v>
      </c>
      <c r="L5266" s="3" t="str">
        <f t="shared" si="171"/>
        <v>ΣΚΛΗΡΟΣ_ΣΙΤΟΣ</v>
      </c>
    </row>
    <row r="5267" spans="1:12" x14ac:dyDescent="0.25">
      <c r="A5267" s="1" t="str">
        <f t="shared" si="170"/>
        <v>ΣΚΛΗΡΟΣ ΣΙΤΟΣΣΙΤΟΣ ΣΚΛΗΡΟΣ PEDRISCO</v>
      </c>
      <c r="B5267" s="18" t="s">
        <v>8886</v>
      </c>
      <c r="C5267" s="19" t="s">
        <v>10032</v>
      </c>
      <c r="D5267" s="6">
        <v>517.94000000000005</v>
      </c>
      <c r="E5267" s="6">
        <v>492.2</v>
      </c>
      <c r="F5267" s="6" t="s">
        <v>14</v>
      </c>
      <c r="G5267" s="8" t="s">
        <v>10033</v>
      </c>
      <c r="H5267" s="8" t="s">
        <v>27</v>
      </c>
      <c r="I5267" s="9">
        <v>4465</v>
      </c>
      <c r="J5267" s="20">
        <v>1</v>
      </c>
      <c r="K5267" s="20">
        <v>7941</v>
      </c>
      <c r="L5267" s="3" t="str">
        <f t="shared" si="171"/>
        <v>ΣΚΛΗΡΟΣ_ΣΙΤΟΣ</v>
      </c>
    </row>
    <row r="5268" spans="1:12" ht="24" x14ac:dyDescent="0.25">
      <c r="A5268" s="1" t="str">
        <f t="shared" si="170"/>
        <v>ΣΚΛΗΡΟΣ ΣΙΤΟΣΣΙΤΟΣ ΣΚΛΗΡΟΣ PERSEO</v>
      </c>
      <c r="B5268" s="4" t="s">
        <v>8886</v>
      </c>
      <c r="C5268" s="5" t="s">
        <v>10034</v>
      </c>
      <c r="D5268" s="6">
        <v>517.94000000000005</v>
      </c>
      <c r="E5268" s="6">
        <v>492.2</v>
      </c>
      <c r="F5268" s="7" t="s">
        <v>14</v>
      </c>
      <c r="G5268" s="8" t="s">
        <v>10035</v>
      </c>
      <c r="H5268" s="8" t="s">
        <v>16</v>
      </c>
      <c r="I5268" s="9">
        <v>179</v>
      </c>
      <c r="J5268" s="10">
        <v>1</v>
      </c>
      <c r="K5268" s="10">
        <v>7942</v>
      </c>
      <c r="L5268" s="3" t="str">
        <f t="shared" si="171"/>
        <v>ΣΚΛΗΡΟΣ_ΣΙΤΟΣ</v>
      </c>
    </row>
    <row r="5269" spans="1:12" ht="24" x14ac:dyDescent="0.25">
      <c r="A5269" s="1" t="str">
        <f t="shared" si="170"/>
        <v>ΣΚΛΗΡΟΣ ΣΙΤΟΣΣΙΤΟΣ ΣΚΛΗΡΟΣ PIETRAFITTA</v>
      </c>
      <c r="B5269" s="4" t="s">
        <v>8886</v>
      </c>
      <c r="C5269" s="5" t="s">
        <v>10036</v>
      </c>
      <c r="D5269" s="6">
        <v>517.94000000000005</v>
      </c>
      <c r="E5269" s="6">
        <v>492.2</v>
      </c>
      <c r="F5269" s="7" t="s">
        <v>14</v>
      </c>
      <c r="G5269" s="8" t="s">
        <v>10037</v>
      </c>
      <c r="H5269" s="8" t="s">
        <v>16</v>
      </c>
      <c r="I5269" s="9">
        <v>241</v>
      </c>
      <c r="J5269" s="10">
        <v>1</v>
      </c>
      <c r="K5269" s="10">
        <v>7944</v>
      </c>
      <c r="L5269" s="3" t="str">
        <f t="shared" si="171"/>
        <v>ΣΚΛΗΡΟΣ_ΣΙΤΟΣ</v>
      </c>
    </row>
    <row r="5270" spans="1:12" ht="24" x14ac:dyDescent="0.25">
      <c r="A5270" s="1" t="str">
        <f t="shared" si="170"/>
        <v>ΣΚΛΗΡΟΣ ΣΙΤΟΣΣΙΤΟΣ ΣΚΛΗΡΟΣ PLATANI</v>
      </c>
      <c r="B5270" s="4" t="s">
        <v>8886</v>
      </c>
      <c r="C5270" s="5" t="s">
        <v>10038</v>
      </c>
      <c r="D5270" s="6">
        <v>517.94000000000005</v>
      </c>
      <c r="E5270" s="6">
        <v>492.2</v>
      </c>
      <c r="F5270" s="7" t="s">
        <v>14</v>
      </c>
      <c r="G5270" s="8" t="s">
        <v>10039</v>
      </c>
      <c r="H5270" s="8" t="s">
        <v>16</v>
      </c>
      <c r="I5270" s="9">
        <v>240</v>
      </c>
      <c r="J5270" s="10">
        <v>1</v>
      </c>
      <c r="K5270" s="10">
        <v>7945</v>
      </c>
      <c r="L5270" s="3" t="str">
        <f t="shared" si="171"/>
        <v>ΣΚΛΗΡΟΣ_ΣΙΤΟΣ</v>
      </c>
    </row>
    <row r="5271" spans="1:12" ht="24" x14ac:dyDescent="0.25">
      <c r="A5271" s="1" t="str">
        <f t="shared" si="170"/>
        <v>ΣΚΛΗΡΟΣ ΣΙΤΟΣΣΙΤΟΣ ΣΚΛΗΡΟΣ PLINIO</v>
      </c>
      <c r="B5271" s="4" t="s">
        <v>8886</v>
      </c>
      <c r="C5271" s="5" t="s">
        <v>10040</v>
      </c>
      <c r="D5271" s="6">
        <v>517.94000000000005</v>
      </c>
      <c r="E5271" s="6">
        <v>492.2</v>
      </c>
      <c r="F5271" s="7" t="s">
        <v>14</v>
      </c>
      <c r="G5271" s="8" t="s">
        <v>10041</v>
      </c>
      <c r="H5271" s="8" t="s">
        <v>16</v>
      </c>
      <c r="I5271" s="9">
        <v>239</v>
      </c>
      <c r="J5271" s="10">
        <v>1</v>
      </c>
      <c r="K5271" s="10">
        <v>7946</v>
      </c>
      <c r="L5271" s="3" t="str">
        <f t="shared" si="171"/>
        <v>ΣΚΛΗΡΟΣ_ΣΙΤΟΣ</v>
      </c>
    </row>
    <row r="5272" spans="1:12" x14ac:dyDescent="0.25">
      <c r="A5272" s="1" t="str">
        <f t="shared" si="170"/>
        <v>ΣΚΛΗΡΟΣ ΣΙΤΟΣΣΙΤΟΣ ΣΚΛΗΡΟΣ PORTOBELLO</v>
      </c>
      <c r="B5272" s="18" t="s">
        <v>8886</v>
      </c>
      <c r="C5272" s="19" t="s">
        <v>10042</v>
      </c>
      <c r="D5272" s="6">
        <v>517.94000000000005</v>
      </c>
      <c r="E5272" s="6">
        <v>492.2</v>
      </c>
      <c r="F5272" s="6" t="s">
        <v>14</v>
      </c>
      <c r="G5272" s="8" t="s">
        <v>10043</v>
      </c>
      <c r="H5272" s="8" t="s">
        <v>27</v>
      </c>
      <c r="I5272" s="9">
        <v>4466</v>
      </c>
      <c r="J5272" s="20">
        <v>1</v>
      </c>
      <c r="K5272" s="20">
        <v>7947</v>
      </c>
      <c r="L5272" s="3" t="str">
        <f t="shared" si="171"/>
        <v>ΣΚΛΗΡΟΣ_ΣΙΤΟΣ</v>
      </c>
    </row>
    <row r="5273" spans="1:12" ht="24" x14ac:dyDescent="0.25">
      <c r="A5273" s="1" t="str">
        <f t="shared" si="170"/>
        <v>ΣΚΛΗΡΟΣ ΣΙΤΟΣΣΙΤΟΣ ΣΚΛΗΡΟΣ PORTORICO</v>
      </c>
      <c r="B5273" s="4" t="s">
        <v>8886</v>
      </c>
      <c r="C5273" s="5" t="s">
        <v>10044</v>
      </c>
      <c r="D5273" s="6">
        <v>517.94000000000005</v>
      </c>
      <c r="E5273" s="6">
        <v>492.2</v>
      </c>
      <c r="F5273" s="7" t="s">
        <v>14</v>
      </c>
      <c r="G5273" s="8" t="s">
        <v>10045</v>
      </c>
      <c r="H5273" s="8" t="s">
        <v>16</v>
      </c>
      <c r="I5273" s="9">
        <v>238</v>
      </c>
      <c r="J5273" s="10">
        <v>1</v>
      </c>
      <c r="K5273" s="10">
        <v>7948</v>
      </c>
      <c r="L5273" s="3" t="str">
        <f t="shared" si="171"/>
        <v>ΣΚΛΗΡΟΣ_ΣΙΤΟΣ</v>
      </c>
    </row>
    <row r="5274" spans="1:12" ht="24" x14ac:dyDescent="0.25">
      <c r="A5274" s="1" t="str">
        <f t="shared" si="170"/>
        <v>ΣΚΛΗΡΟΣ ΣΙΤΟΣΣΙΤΟΣ ΣΚΛΗΡΟΣ PR22D40</v>
      </c>
      <c r="B5274" s="4" t="s">
        <v>8886</v>
      </c>
      <c r="C5274" s="5" t="s">
        <v>10046</v>
      </c>
      <c r="D5274" s="6">
        <v>517.94000000000005</v>
      </c>
      <c r="E5274" s="6">
        <v>492.2</v>
      </c>
      <c r="F5274" s="7" t="s">
        <v>14</v>
      </c>
      <c r="G5274" s="8" t="s">
        <v>10047</v>
      </c>
      <c r="H5274" s="8" t="s">
        <v>16</v>
      </c>
      <c r="I5274" s="9">
        <v>237</v>
      </c>
      <c r="J5274" s="10">
        <v>1</v>
      </c>
      <c r="K5274" s="10">
        <v>7949</v>
      </c>
      <c r="L5274" s="3" t="str">
        <f t="shared" si="171"/>
        <v>ΣΚΛΗΡΟΣ_ΣΙΤΟΣ</v>
      </c>
    </row>
    <row r="5275" spans="1:12" ht="24" x14ac:dyDescent="0.25">
      <c r="A5275" s="1" t="str">
        <f t="shared" si="170"/>
        <v>ΣΚΛΗΡΟΣ ΣΙΤΟΣΣΙΤΟΣ ΣΚΛΗΡΟΣ PR22D66</v>
      </c>
      <c r="B5275" s="4" t="s">
        <v>8886</v>
      </c>
      <c r="C5275" s="5" t="s">
        <v>10048</v>
      </c>
      <c r="D5275" s="6">
        <v>517.94000000000005</v>
      </c>
      <c r="E5275" s="6">
        <v>492.2</v>
      </c>
      <c r="F5275" s="7" t="s">
        <v>14</v>
      </c>
      <c r="G5275" s="8" t="s">
        <v>10049</v>
      </c>
      <c r="H5275" s="8" t="s">
        <v>16</v>
      </c>
      <c r="I5275" s="9">
        <v>236</v>
      </c>
      <c r="J5275" s="10">
        <v>1</v>
      </c>
      <c r="K5275" s="10">
        <v>7950</v>
      </c>
      <c r="L5275" s="3" t="str">
        <f t="shared" si="171"/>
        <v>ΣΚΛΗΡΟΣ_ΣΙΤΟΣ</v>
      </c>
    </row>
    <row r="5276" spans="1:12" ht="24" x14ac:dyDescent="0.25">
      <c r="A5276" s="1" t="str">
        <f t="shared" si="170"/>
        <v>ΣΚΛΗΡΟΣ ΣΙΤΟΣΣΙΤΟΣ ΣΚΛΗΡΟΣ PR22D78</v>
      </c>
      <c r="B5276" s="4" t="s">
        <v>8886</v>
      </c>
      <c r="C5276" s="5" t="s">
        <v>10050</v>
      </c>
      <c r="D5276" s="6">
        <v>517.94000000000005</v>
      </c>
      <c r="E5276" s="6">
        <v>492.2</v>
      </c>
      <c r="F5276" s="7" t="s">
        <v>14</v>
      </c>
      <c r="G5276" s="8" t="s">
        <v>10051</v>
      </c>
      <c r="H5276" s="8" t="s">
        <v>16</v>
      </c>
      <c r="I5276" s="9">
        <v>227</v>
      </c>
      <c r="J5276" s="10">
        <v>1</v>
      </c>
      <c r="K5276" s="10">
        <v>7951</v>
      </c>
      <c r="L5276" s="3" t="str">
        <f t="shared" si="171"/>
        <v>ΣΚΛΗΡΟΣ_ΣΙΤΟΣ</v>
      </c>
    </row>
    <row r="5277" spans="1:12" ht="24" x14ac:dyDescent="0.25">
      <c r="A5277" s="1" t="str">
        <f t="shared" si="170"/>
        <v>ΣΚΛΗΡΟΣ ΣΙΤΟΣΣΙΤΟΣ ΣΚΛΗΡΟΣ PRECO</v>
      </c>
      <c r="B5277" s="4" t="s">
        <v>8886</v>
      </c>
      <c r="C5277" s="5" t="s">
        <v>10052</v>
      </c>
      <c r="D5277" s="6">
        <v>517.94000000000005</v>
      </c>
      <c r="E5277" s="6">
        <v>492.2</v>
      </c>
      <c r="F5277" s="7" t="s">
        <v>14</v>
      </c>
      <c r="G5277" s="8" t="s">
        <v>10053</v>
      </c>
      <c r="H5277" s="8" t="s">
        <v>16</v>
      </c>
      <c r="I5277" s="9">
        <v>234</v>
      </c>
      <c r="J5277" s="10">
        <v>1</v>
      </c>
      <c r="K5277" s="10">
        <v>7952</v>
      </c>
      <c r="L5277" s="3" t="str">
        <f t="shared" si="171"/>
        <v>ΣΚΛΗΡΟΣ_ΣΙΤΟΣ</v>
      </c>
    </row>
    <row r="5278" spans="1:12" ht="24" x14ac:dyDescent="0.25">
      <c r="A5278" s="1" t="str">
        <f t="shared" si="170"/>
        <v>ΣΚΛΗΡΟΣ ΣΙΤΟΣΣΙΤΟΣ ΣΚΛΗΡΟΣ PROMETEO</v>
      </c>
      <c r="B5278" s="4" t="s">
        <v>8886</v>
      </c>
      <c r="C5278" s="5" t="s">
        <v>10054</v>
      </c>
      <c r="D5278" s="6">
        <v>517.94000000000005</v>
      </c>
      <c r="E5278" s="6">
        <v>492.2</v>
      </c>
      <c r="F5278" s="7" t="s">
        <v>14</v>
      </c>
      <c r="G5278" s="8" t="s">
        <v>10055</v>
      </c>
      <c r="H5278" s="8" t="s">
        <v>16</v>
      </c>
      <c r="I5278" s="9">
        <v>242</v>
      </c>
      <c r="J5278" s="10">
        <v>1</v>
      </c>
      <c r="K5278" s="10">
        <v>7953</v>
      </c>
      <c r="L5278" s="3" t="str">
        <f t="shared" si="171"/>
        <v>ΣΚΛΗΡΟΣ_ΣΙΤΟΣ</v>
      </c>
    </row>
    <row r="5279" spans="1:12" ht="24" x14ac:dyDescent="0.25">
      <c r="A5279" s="1" t="str">
        <f t="shared" si="170"/>
        <v>ΣΚΛΗΡΟΣ ΣΙΤΟΣΣΙΤΟΣ ΣΚΛΗΡΟΣ PROVENZAL</v>
      </c>
      <c r="B5279" s="4" t="s">
        <v>8886</v>
      </c>
      <c r="C5279" s="5" t="s">
        <v>10056</v>
      </c>
      <c r="D5279" s="6">
        <v>517.94000000000005</v>
      </c>
      <c r="E5279" s="6">
        <v>492.2</v>
      </c>
      <c r="F5279" s="7" t="s">
        <v>14</v>
      </c>
      <c r="G5279" s="8" t="s">
        <v>10057</v>
      </c>
      <c r="H5279" s="8" t="s">
        <v>16</v>
      </c>
      <c r="I5279" s="9">
        <v>232</v>
      </c>
      <c r="J5279" s="10">
        <v>1</v>
      </c>
      <c r="K5279" s="10">
        <v>7954</v>
      </c>
      <c r="L5279" s="3" t="str">
        <f t="shared" si="171"/>
        <v>ΣΚΛΗΡΟΣ_ΣΙΤΟΣ</v>
      </c>
    </row>
    <row r="5280" spans="1:12" ht="24" x14ac:dyDescent="0.25">
      <c r="A5280" s="1" t="str">
        <f t="shared" si="170"/>
        <v>ΣΚΛΗΡΟΣ ΣΙΤΟΣΣΙΤΟΣ ΣΚΛΗΡΟΣ QUADRATO</v>
      </c>
      <c r="B5280" s="4" t="s">
        <v>8886</v>
      </c>
      <c r="C5280" s="5" t="s">
        <v>10058</v>
      </c>
      <c r="D5280" s="6">
        <v>517.94000000000005</v>
      </c>
      <c r="E5280" s="6">
        <v>492.2</v>
      </c>
      <c r="F5280" s="7" t="s">
        <v>14</v>
      </c>
      <c r="G5280" s="8" t="s">
        <v>10059</v>
      </c>
      <c r="H5280" s="8" t="s">
        <v>16</v>
      </c>
      <c r="I5280" s="9">
        <v>231</v>
      </c>
      <c r="J5280" s="10">
        <v>1</v>
      </c>
      <c r="K5280" s="10">
        <v>7956</v>
      </c>
      <c r="L5280" s="3" t="str">
        <f t="shared" si="171"/>
        <v>ΣΚΛΗΡΟΣ_ΣΙΤΟΣ</v>
      </c>
    </row>
    <row r="5281" spans="1:12" ht="24" x14ac:dyDescent="0.25">
      <c r="A5281" s="1" t="str">
        <f t="shared" si="170"/>
        <v>ΣΚΛΗΡΟΣ ΣΙΤΟΣΣΙΤΟΣ ΣΚΛΗΡΟΣ RADIOSO</v>
      </c>
      <c r="B5281" s="4" t="s">
        <v>8886</v>
      </c>
      <c r="C5281" s="5" t="s">
        <v>10060</v>
      </c>
      <c r="D5281" s="6">
        <v>517.94000000000005</v>
      </c>
      <c r="E5281" s="6">
        <v>492.2</v>
      </c>
      <c r="F5281" s="7" t="s">
        <v>14</v>
      </c>
      <c r="G5281" s="8" t="s">
        <v>10061</v>
      </c>
      <c r="H5281" s="8" t="s">
        <v>16</v>
      </c>
      <c r="I5281" s="9">
        <v>230</v>
      </c>
      <c r="J5281" s="10">
        <v>1</v>
      </c>
      <c r="K5281" s="10">
        <v>7957</v>
      </c>
      <c r="L5281" s="3" t="str">
        <f t="shared" si="171"/>
        <v>ΣΚΛΗΡΟΣ_ΣΙΤΟΣ</v>
      </c>
    </row>
    <row r="5282" spans="1:12" x14ac:dyDescent="0.25">
      <c r="A5282" s="1" t="str">
        <f t="shared" si="170"/>
        <v>ΣΚΛΗΡΟΣ ΣΙΤΟΣΣΙΤΟΣ ΣΚΛΗΡΟΣ RINGO</v>
      </c>
      <c r="B5282" s="18" t="s">
        <v>8886</v>
      </c>
      <c r="C5282" s="19" t="s">
        <v>10062</v>
      </c>
      <c r="D5282" s="6">
        <v>517.94000000000005</v>
      </c>
      <c r="E5282" s="6">
        <v>492.2</v>
      </c>
      <c r="F5282" s="6" t="s">
        <v>14</v>
      </c>
      <c r="G5282" s="8" t="s">
        <v>10063</v>
      </c>
      <c r="H5282" s="8" t="s">
        <v>27</v>
      </c>
      <c r="I5282" s="9">
        <v>4467</v>
      </c>
      <c r="J5282" s="20">
        <v>1</v>
      </c>
      <c r="K5282" s="20">
        <v>7958</v>
      </c>
      <c r="L5282" s="3" t="str">
        <f t="shared" si="171"/>
        <v>ΣΚΛΗΡΟΣ_ΣΙΤΟΣ</v>
      </c>
    </row>
    <row r="5283" spans="1:12" ht="24" x14ac:dyDescent="0.25">
      <c r="A5283" s="1" t="str">
        <f t="shared" si="170"/>
        <v>ΣΚΛΗΡΟΣ ΣΙΤΟΣΣΙΤΟΣ ΣΚΛΗΡΟΣ RUSTICANO</v>
      </c>
      <c r="B5283" s="4" t="s">
        <v>8886</v>
      </c>
      <c r="C5283" s="5" t="s">
        <v>10064</v>
      </c>
      <c r="D5283" s="6">
        <v>517.94000000000005</v>
      </c>
      <c r="E5283" s="6">
        <v>492.2</v>
      </c>
      <c r="F5283" s="7" t="s">
        <v>14</v>
      </c>
      <c r="G5283" s="8" t="s">
        <v>10065</v>
      </c>
      <c r="H5283" s="8" t="s">
        <v>16</v>
      </c>
      <c r="I5283" s="9">
        <v>229</v>
      </c>
      <c r="J5283" s="10">
        <v>1</v>
      </c>
      <c r="K5283" s="10">
        <v>7959</v>
      </c>
      <c r="L5283" s="3" t="str">
        <f t="shared" si="171"/>
        <v>ΣΚΛΗΡΟΣ_ΣΙΤΟΣ</v>
      </c>
    </row>
    <row r="5284" spans="1:12" ht="24" x14ac:dyDescent="0.25">
      <c r="A5284" s="1" t="str">
        <f t="shared" si="170"/>
        <v>ΣΚΛΗΡΟΣ ΣΙΤΟΣΣΙΤΟΣ ΣΚΛΗΡΟΣ SAN CARLO</v>
      </c>
      <c r="B5284" s="4" t="s">
        <v>8886</v>
      </c>
      <c r="C5284" s="5" t="s">
        <v>10066</v>
      </c>
      <c r="D5284" s="6">
        <v>517.94000000000005</v>
      </c>
      <c r="E5284" s="6">
        <v>492.2</v>
      </c>
      <c r="F5284" s="7" t="s">
        <v>14</v>
      </c>
      <c r="G5284" s="8" t="s">
        <v>10067</v>
      </c>
      <c r="H5284" s="8" t="s">
        <v>16</v>
      </c>
      <c r="I5284" s="9">
        <v>228</v>
      </c>
      <c r="J5284" s="10">
        <v>1</v>
      </c>
      <c r="K5284" s="10">
        <v>7960</v>
      </c>
      <c r="L5284" s="3" t="str">
        <f t="shared" si="171"/>
        <v>ΣΚΛΗΡΟΣ_ΣΙΤΟΣ</v>
      </c>
    </row>
    <row r="5285" spans="1:12" ht="24" x14ac:dyDescent="0.25">
      <c r="A5285" s="1" t="str">
        <f t="shared" si="170"/>
        <v>ΣΚΛΗΡΟΣ ΣΙΤΟΣΣΙΤΟΣ ΣΚΛΗΡΟΣ SEMOLON</v>
      </c>
      <c r="B5285" s="4" t="s">
        <v>8886</v>
      </c>
      <c r="C5285" s="5" t="s">
        <v>10068</v>
      </c>
      <c r="D5285" s="6">
        <v>517.94000000000005</v>
      </c>
      <c r="E5285" s="6">
        <v>492.2</v>
      </c>
      <c r="F5285" s="7" t="s">
        <v>14</v>
      </c>
      <c r="G5285" s="8" t="s">
        <v>10069</v>
      </c>
      <c r="H5285" s="8" t="s">
        <v>16</v>
      </c>
      <c r="I5285" s="9">
        <v>250</v>
      </c>
      <c r="J5285" s="10">
        <v>1</v>
      </c>
      <c r="K5285" s="10">
        <v>7961</v>
      </c>
      <c r="L5285" s="3" t="str">
        <f t="shared" si="171"/>
        <v>ΣΚΛΗΡΟΣ_ΣΙΤΟΣ</v>
      </c>
    </row>
    <row r="5286" spans="1:12" x14ac:dyDescent="0.25">
      <c r="A5286" s="1" t="str">
        <f t="shared" si="170"/>
        <v>ΣΚΛΗΡΟΣ ΣΙΤΟΣΣΙΤΟΣ ΣΚΛΗΡΟΣ SILUR</v>
      </c>
      <c r="B5286" s="18" t="s">
        <v>8886</v>
      </c>
      <c r="C5286" s="19" t="s">
        <v>10070</v>
      </c>
      <c r="D5286" s="6">
        <v>517.94000000000005</v>
      </c>
      <c r="E5286" s="6">
        <v>492.2</v>
      </c>
      <c r="F5286" s="6" t="s">
        <v>14</v>
      </c>
      <c r="G5286" s="8" t="s">
        <v>10071</v>
      </c>
      <c r="H5286" s="8" t="s">
        <v>27</v>
      </c>
      <c r="I5286" s="9">
        <v>4468</v>
      </c>
      <c r="J5286" s="20">
        <v>1</v>
      </c>
      <c r="K5286" s="20">
        <v>7963</v>
      </c>
      <c r="L5286" s="3" t="str">
        <f t="shared" si="171"/>
        <v>ΣΚΛΗΡΟΣ_ΣΙΤΟΣ</v>
      </c>
    </row>
    <row r="5287" spans="1:12" ht="24" x14ac:dyDescent="0.25">
      <c r="A5287" s="1" t="str">
        <f t="shared" si="170"/>
        <v>ΣΚΛΗΡΟΣ ΣΙΤΟΣΣΙΤΟΣ ΣΚΛΗΡΟΣ SIMETO</v>
      </c>
      <c r="B5287" s="4" t="s">
        <v>8886</v>
      </c>
      <c r="C5287" s="5" t="s">
        <v>10072</v>
      </c>
      <c r="D5287" s="6">
        <v>517.94000000000005</v>
      </c>
      <c r="E5287" s="6">
        <v>492.2</v>
      </c>
      <c r="F5287" s="7" t="s">
        <v>14</v>
      </c>
      <c r="G5287" s="8" t="s">
        <v>10073</v>
      </c>
      <c r="H5287" s="8" t="s">
        <v>16</v>
      </c>
      <c r="I5287" s="9">
        <v>252</v>
      </c>
      <c r="J5287" s="10">
        <v>1</v>
      </c>
      <c r="K5287" s="10">
        <v>7964</v>
      </c>
      <c r="L5287" s="3" t="str">
        <f t="shared" si="171"/>
        <v>ΣΚΛΗΡΟΣ_ΣΙΤΟΣ</v>
      </c>
    </row>
    <row r="5288" spans="1:12" ht="24" x14ac:dyDescent="0.25">
      <c r="A5288" s="1" t="str">
        <f t="shared" si="170"/>
        <v>ΣΚΛΗΡΟΣ ΣΙΤΟΣΣΙΤΟΣ ΣΚΛΗΡΟΣ SOLEX</v>
      </c>
      <c r="B5288" s="4" t="s">
        <v>8886</v>
      </c>
      <c r="C5288" s="5" t="s">
        <v>10074</v>
      </c>
      <c r="D5288" s="6">
        <v>517.94000000000005</v>
      </c>
      <c r="E5288" s="6">
        <v>492.2</v>
      </c>
      <c r="F5288" s="7" t="s">
        <v>14</v>
      </c>
      <c r="G5288" s="8" t="s">
        <v>10075</v>
      </c>
      <c r="H5288" s="8" t="s">
        <v>16</v>
      </c>
      <c r="I5288" s="9">
        <v>235</v>
      </c>
      <c r="J5288" s="10">
        <v>1</v>
      </c>
      <c r="K5288" s="10">
        <v>7965</v>
      </c>
      <c r="L5288" s="3" t="str">
        <f t="shared" si="171"/>
        <v>ΣΚΛΗΡΟΣ_ΣΙΤΟΣ</v>
      </c>
    </row>
    <row r="5289" spans="1:12" ht="24" x14ac:dyDescent="0.25">
      <c r="A5289" s="1" t="str">
        <f t="shared" si="170"/>
        <v>ΣΚΛΗΡΟΣ ΣΙΤΟΣΣΙΤΟΣ ΣΚΛΗΡΟΣ SORRENTO</v>
      </c>
      <c r="B5289" s="4" t="s">
        <v>8886</v>
      </c>
      <c r="C5289" s="5" t="s">
        <v>10076</v>
      </c>
      <c r="D5289" s="6">
        <v>517.94000000000005</v>
      </c>
      <c r="E5289" s="6">
        <v>492.2</v>
      </c>
      <c r="F5289" s="7" t="s">
        <v>14</v>
      </c>
      <c r="G5289" s="8" t="s">
        <v>10077</v>
      </c>
      <c r="H5289" s="8" t="s">
        <v>16</v>
      </c>
      <c r="I5289" s="9">
        <v>257</v>
      </c>
      <c r="J5289" s="10">
        <v>1</v>
      </c>
      <c r="K5289" s="10">
        <v>7966</v>
      </c>
      <c r="L5289" s="3" t="str">
        <f t="shared" si="171"/>
        <v>ΣΚΛΗΡΟΣ_ΣΙΤΟΣ</v>
      </c>
    </row>
    <row r="5290" spans="1:12" ht="24" x14ac:dyDescent="0.25">
      <c r="A5290" s="1" t="str">
        <f t="shared" si="170"/>
        <v>ΣΚΛΗΡΟΣ ΣΙΤΟΣΣΙΤΟΣ ΣΚΛΗΡΟΣ SORRISO</v>
      </c>
      <c r="B5290" s="4" t="s">
        <v>8886</v>
      </c>
      <c r="C5290" s="5" t="s">
        <v>10078</v>
      </c>
      <c r="D5290" s="6">
        <v>517.94000000000005</v>
      </c>
      <c r="E5290" s="6">
        <v>492.2</v>
      </c>
      <c r="F5290" s="7" t="s">
        <v>14</v>
      </c>
      <c r="G5290" s="8" t="s">
        <v>10079</v>
      </c>
      <c r="H5290" s="8" t="s">
        <v>16</v>
      </c>
      <c r="I5290" s="9">
        <v>256</v>
      </c>
      <c r="J5290" s="10">
        <v>1</v>
      </c>
      <c r="K5290" s="10">
        <v>7967</v>
      </c>
      <c r="L5290" s="3" t="str">
        <f t="shared" si="171"/>
        <v>ΣΚΛΗΡΟΣ_ΣΙΤΟΣ</v>
      </c>
    </row>
    <row r="5291" spans="1:12" ht="24" x14ac:dyDescent="0.25">
      <c r="A5291" s="1" t="str">
        <f t="shared" si="170"/>
        <v>ΣΚΛΗΡΟΣ ΣΙΤΟΣΣΙΤΟΣ ΣΚΛΗΡΟΣ SVEVO</v>
      </c>
      <c r="B5291" s="4" t="s">
        <v>8886</v>
      </c>
      <c r="C5291" s="5" t="s">
        <v>10080</v>
      </c>
      <c r="D5291" s="6">
        <v>517.94000000000005</v>
      </c>
      <c r="E5291" s="6">
        <v>492.2</v>
      </c>
      <c r="F5291" s="7" t="s">
        <v>14</v>
      </c>
      <c r="G5291" s="8" t="s">
        <v>10081</v>
      </c>
      <c r="H5291" s="8" t="s">
        <v>16</v>
      </c>
      <c r="I5291" s="9">
        <v>255</v>
      </c>
      <c r="J5291" s="10">
        <v>1</v>
      </c>
      <c r="K5291" s="10">
        <v>7968</v>
      </c>
      <c r="L5291" s="3" t="str">
        <f t="shared" si="171"/>
        <v>ΣΚΛΗΡΟΣ_ΣΙΤΟΣ</v>
      </c>
    </row>
    <row r="5292" spans="1:12" ht="24" x14ac:dyDescent="0.25">
      <c r="A5292" s="1" t="str">
        <f t="shared" si="170"/>
        <v>ΣΚΛΗΡΟΣ ΣΙΤΟΣΣΙΤΟΣ ΣΚΛΗΡΟΣ TIZIANA</v>
      </c>
      <c r="B5292" s="4" t="s">
        <v>8886</v>
      </c>
      <c r="C5292" s="5" t="s">
        <v>10082</v>
      </c>
      <c r="D5292" s="6">
        <v>517.94000000000005</v>
      </c>
      <c r="E5292" s="6">
        <v>492.2</v>
      </c>
      <c r="F5292" s="7" t="s">
        <v>14</v>
      </c>
      <c r="G5292" s="8" t="s">
        <v>10083</v>
      </c>
      <c r="H5292" s="8" t="s">
        <v>16</v>
      </c>
      <c r="I5292" s="9">
        <v>254</v>
      </c>
      <c r="J5292" s="10">
        <v>1</v>
      </c>
      <c r="K5292" s="10">
        <v>7970</v>
      </c>
      <c r="L5292" s="3" t="str">
        <f t="shared" si="171"/>
        <v>ΣΚΛΗΡΟΣ_ΣΙΤΟΣ</v>
      </c>
    </row>
    <row r="5293" spans="1:12" ht="24" x14ac:dyDescent="0.25">
      <c r="A5293" s="1" t="str">
        <f t="shared" si="170"/>
        <v>ΣΚΛΗΡΟΣ ΣΙΤΟΣΣΙΤΟΣ ΣΚΛΗΡΟΣ TORREBIANCA</v>
      </c>
      <c r="B5293" s="4" t="s">
        <v>8886</v>
      </c>
      <c r="C5293" s="5" t="s">
        <v>10084</v>
      </c>
      <c r="D5293" s="6">
        <v>517.94000000000005</v>
      </c>
      <c r="E5293" s="6">
        <v>492.2</v>
      </c>
      <c r="F5293" s="7" t="s">
        <v>14</v>
      </c>
      <c r="G5293" s="8" t="s">
        <v>10085</v>
      </c>
      <c r="H5293" s="8" t="s">
        <v>16</v>
      </c>
      <c r="I5293" s="9">
        <v>253</v>
      </c>
      <c r="J5293" s="10">
        <v>1</v>
      </c>
      <c r="K5293" s="10">
        <v>7971</v>
      </c>
      <c r="L5293" s="3" t="str">
        <f t="shared" si="171"/>
        <v>ΣΚΛΗΡΟΣ_ΣΙΤΟΣ</v>
      </c>
    </row>
    <row r="5294" spans="1:12" ht="24" x14ac:dyDescent="0.25">
      <c r="A5294" s="1" t="str">
        <f t="shared" si="170"/>
        <v>ΣΚΛΗΡΟΣ ΣΙΤΟΣΣΙΤΟΣ ΣΚΛΗΡΟΣ TRESOR</v>
      </c>
      <c r="B5294" s="4" t="s">
        <v>8886</v>
      </c>
      <c r="C5294" s="5" t="s">
        <v>10086</v>
      </c>
      <c r="D5294" s="6">
        <v>517.94000000000005</v>
      </c>
      <c r="E5294" s="6">
        <v>492.2</v>
      </c>
      <c r="F5294" s="7" t="s">
        <v>14</v>
      </c>
      <c r="G5294" s="8" t="s">
        <v>10087</v>
      </c>
      <c r="H5294" s="8" t="s">
        <v>16</v>
      </c>
      <c r="I5294" s="9">
        <v>243</v>
      </c>
      <c r="J5294" s="10">
        <v>1</v>
      </c>
      <c r="K5294" s="10">
        <v>7972</v>
      </c>
      <c r="L5294" s="3" t="str">
        <f t="shared" si="171"/>
        <v>ΣΚΛΗΡΟΣ_ΣΙΤΟΣ</v>
      </c>
    </row>
    <row r="5295" spans="1:12" ht="24" x14ac:dyDescent="0.25">
      <c r="A5295" s="1" t="str">
        <f t="shared" si="170"/>
        <v>ΣΚΛΗΡΟΣ ΣΙΤΟΣΣΙΤΟΣ ΣΚΛΗΡΟΣ VALBELICE</v>
      </c>
      <c r="B5295" s="4" t="s">
        <v>8886</v>
      </c>
      <c r="C5295" s="5" t="s">
        <v>10088</v>
      </c>
      <c r="D5295" s="6">
        <v>517.94000000000005</v>
      </c>
      <c r="E5295" s="6">
        <v>492.2</v>
      </c>
      <c r="F5295" s="7" t="s">
        <v>14</v>
      </c>
      <c r="G5295" s="8" t="s">
        <v>10089</v>
      </c>
      <c r="H5295" s="8" t="s">
        <v>16</v>
      </c>
      <c r="I5295" s="9">
        <v>251</v>
      </c>
      <c r="J5295" s="10">
        <v>1</v>
      </c>
      <c r="K5295" s="10">
        <v>7974</v>
      </c>
      <c r="L5295" s="3" t="str">
        <f t="shared" si="171"/>
        <v>ΣΚΛΗΡΟΣ_ΣΙΤΟΣ</v>
      </c>
    </row>
    <row r="5296" spans="1:12" ht="24" x14ac:dyDescent="0.25">
      <c r="A5296" s="1" t="str">
        <f t="shared" si="170"/>
        <v>ΣΚΛΗΡΟΣ ΣΙΤΟΣΣΙΤΟΣ ΣΚΛΗΡΟΣ VALSALSO</v>
      </c>
      <c r="B5296" s="4" t="s">
        <v>8886</v>
      </c>
      <c r="C5296" s="5" t="s">
        <v>10090</v>
      </c>
      <c r="D5296" s="6">
        <v>517.94000000000005</v>
      </c>
      <c r="E5296" s="6">
        <v>492.2</v>
      </c>
      <c r="F5296" s="7" t="s">
        <v>14</v>
      </c>
      <c r="G5296" s="8" t="s">
        <v>10091</v>
      </c>
      <c r="H5296" s="8" t="s">
        <v>16</v>
      </c>
      <c r="I5296" s="9">
        <v>259</v>
      </c>
      <c r="J5296" s="10">
        <v>1</v>
      </c>
      <c r="K5296" s="10">
        <v>7977</v>
      </c>
      <c r="L5296" s="3" t="str">
        <f t="shared" si="171"/>
        <v>ΣΚΛΗΡΟΣ_ΣΙΤΟΣ</v>
      </c>
    </row>
    <row r="5297" spans="1:12" ht="24" x14ac:dyDescent="0.25">
      <c r="A5297" s="1" t="str">
        <f t="shared" si="170"/>
        <v>ΣΚΛΗΡΟΣ ΣΙΤΟΣΣΙΤΟΣ ΣΚΛΗΡΟΣ VARANO</v>
      </c>
      <c r="B5297" s="4" t="s">
        <v>8886</v>
      </c>
      <c r="C5297" s="5" t="s">
        <v>10092</v>
      </c>
      <c r="D5297" s="6">
        <v>517.94000000000005</v>
      </c>
      <c r="E5297" s="6">
        <v>492.2</v>
      </c>
      <c r="F5297" s="7" t="s">
        <v>14</v>
      </c>
      <c r="G5297" s="8" t="s">
        <v>10093</v>
      </c>
      <c r="H5297" s="8" t="s">
        <v>16</v>
      </c>
      <c r="I5297" s="9">
        <v>249</v>
      </c>
      <c r="J5297" s="10">
        <v>1</v>
      </c>
      <c r="K5297" s="10">
        <v>7978</v>
      </c>
      <c r="L5297" s="3" t="str">
        <f t="shared" si="171"/>
        <v>ΣΚΛΗΡΟΣ_ΣΙΤΟΣ</v>
      </c>
    </row>
    <row r="5298" spans="1:12" ht="24" x14ac:dyDescent="0.25">
      <c r="A5298" s="1" t="str">
        <f t="shared" si="170"/>
        <v>ΣΚΛΗΡΟΣ ΣΙΤΟΣΣΙΤΟΣ ΣΚΛΗΡΟΣ VENDETTA</v>
      </c>
      <c r="B5298" s="4" t="s">
        <v>8886</v>
      </c>
      <c r="C5298" s="5" t="s">
        <v>10094</v>
      </c>
      <c r="D5298" s="6">
        <v>517.94000000000005</v>
      </c>
      <c r="E5298" s="6">
        <v>492.2</v>
      </c>
      <c r="F5298" s="7" t="s">
        <v>14</v>
      </c>
      <c r="G5298" s="8" t="s">
        <v>10095</v>
      </c>
      <c r="H5298" s="8" t="s">
        <v>16</v>
      </c>
      <c r="I5298" s="9">
        <v>248</v>
      </c>
      <c r="J5298" s="10">
        <v>1</v>
      </c>
      <c r="K5298" s="10">
        <v>7979</v>
      </c>
      <c r="L5298" s="3" t="str">
        <f t="shared" si="171"/>
        <v>ΣΚΛΗΡΟΣ_ΣΙΤΟΣ</v>
      </c>
    </row>
    <row r="5299" spans="1:12" ht="24" x14ac:dyDescent="0.25">
      <c r="A5299" s="1" t="str">
        <f t="shared" si="170"/>
        <v>ΣΚΛΗΡΟΣ ΣΙΤΟΣΣΙΤΟΣ ΣΚΛΗΡΟΣ VENTO</v>
      </c>
      <c r="B5299" s="4" t="s">
        <v>8886</v>
      </c>
      <c r="C5299" s="5" t="s">
        <v>10096</v>
      </c>
      <c r="D5299" s="6">
        <v>517.94000000000005</v>
      </c>
      <c r="E5299" s="6">
        <v>492.2</v>
      </c>
      <c r="F5299" s="7" t="s">
        <v>14</v>
      </c>
      <c r="G5299" s="8" t="s">
        <v>10097</v>
      </c>
      <c r="H5299" s="8" t="s">
        <v>16</v>
      </c>
      <c r="I5299" s="9">
        <v>247</v>
      </c>
      <c r="J5299" s="10">
        <v>1</v>
      </c>
      <c r="K5299" s="10">
        <v>7980</v>
      </c>
      <c r="L5299" s="3" t="str">
        <f t="shared" si="171"/>
        <v>ΣΚΛΗΡΟΣ_ΣΙΤΟΣ</v>
      </c>
    </row>
    <row r="5300" spans="1:12" x14ac:dyDescent="0.25">
      <c r="A5300" s="1" t="str">
        <f t="shared" si="170"/>
        <v>ΣΚΛΗΡΟΣ ΣΙΤΟΣΣΙΤΟΣ ΣΚΛΗΡΟΣ VERDI</v>
      </c>
      <c r="B5300" s="18" t="s">
        <v>8886</v>
      </c>
      <c r="C5300" s="19" t="s">
        <v>10098</v>
      </c>
      <c r="D5300" s="6">
        <v>517.94000000000005</v>
      </c>
      <c r="E5300" s="6">
        <v>492.2</v>
      </c>
      <c r="F5300" s="6" t="s">
        <v>14</v>
      </c>
      <c r="G5300" s="8" t="s">
        <v>10099</v>
      </c>
      <c r="H5300" s="8" t="s">
        <v>27</v>
      </c>
      <c r="I5300" s="9">
        <v>4469</v>
      </c>
      <c r="J5300" s="20">
        <v>1</v>
      </c>
      <c r="K5300" s="20">
        <v>7981</v>
      </c>
      <c r="L5300" s="3" t="str">
        <f t="shared" si="171"/>
        <v>ΣΚΛΗΡΟΣ_ΣΙΤΟΣ</v>
      </c>
    </row>
    <row r="5301" spans="1:12" x14ac:dyDescent="0.25">
      <c r="A5301" s="1" t="str">
        <f t="shared" si="170"/>
        <v>ΣΚΛΗΡΟΣ ΣΙΤΟΣΣΙΤΟΣ ΣΚΛΗΡΟΣ VESUVIO</v>
      </c>
      <c r="B5301" s="4" t="s">
        <v>8886</v>
      </c>
      <c r="C5301" s="5" t="s">
        <v>10100</v>
      </c>
      <c r="D5301" s="6">
        <v>517.94000000000005</v>
      </c>
      <c r="E5301" s="6">
        <v>492.2</v>
      </c>
      <c r="F5301" s="7" t="s">
        <v>14</v>
      </c>
      <c r="G5301" s="8" t="s">
        <v>10101</v>
      </c>
      <c r="H5301" s="8" t="s">
        <v>27</v>
      </c>
      <c r="I5301" s="9">
        <v>246</v>
      </c>
      <c r="J5301" s="10">
        <v>1</v>
      </c>
      <c r="K5301" s="10">
        <v>7983</v>
      </c>
      <c r="L5301" s="3" t="str">
        <f t="shared" si="171"/>
        <v>ΣΚΛΗΡΟΣ_ΣΙΤΟΣ</v>
      </c>
    </row>
    <row r="5302" spans="1:12" x14ac:dyDescent="0.25">
      <c r="A5302" s="1" t="str">
        <f t="shared" si="170"/>
        <v>ΣΚΛΗΡΟΣ ΣΙΤΟΣΣΙΤΟΣ ΣΚΛΗΡΟΣ VETRODUR</v>
      </c>
      <c r="B5302" s="18" t="s">
        <v>8886</v>
      </c>
      <c r="C5302" s="19" t="s">
        <v>10102</v>
      </c>
      <c r="D5302" s="6">
        <v>517.94000000000005</v>
      </c>
      <c r="E5302" s="6">
        <v>492.2</v>
      </c>
      <c r="F5302" s="6" t="s">
        <v>14</v>
      </c>
      <c r="G5302" s="8" t="s">
        <v>10103</v>
      </c>
      <c r="H5302" s="8" t="s">
        <v>27</v>
      </c>
      <c r="I5302" s="9">
        <v>4470</v>
      </c>
      <c r="J5302" s="20">
        <v>1</v>
      </c>
      <c r="K5302" s="20">
        <v>7984</v>
      </c>
      <c r="L5302" s="3" t="str">
        <f t="shared" si="171"/>
        <v>ΣΚΛΗΡΟΣ_ΣΙΤΟΣ</v>
      </c>
    </row>
    <row r="5303" spans="1:12" ht="24" x14ac:dyDescent="0.25">
      <c r="A5303" s="1" t="str">
        <f t="shared" si="170"/>
        <v>ΣΚΛΗΡΟΣ ΣΙΤΟΣΣΙΤΟΣ ΣΚΛΗΡΟΣ VETTORE</v>
      </c>
      <c r="B5303" s="4" t="s">
        <v>8886</v>
      </c>
      <c r="C5303" s="5" t="s">
        <v>10104</v>
      </c>
      <c r="D5303" s="6">
        <v>517.94000000000005</v>
      </c>
      <c r="E5303" s="6">
        <v>492.2</v>
      </c>
      <c r="F5303" s="7" t="s">
        <v>14</v>
      </c>
      <c r="G5303" s="8" t="s">
        <v>10105</v>
      </c>
      <c r="H5303" s="8" t="s">
        <v>16</v>
      </c>
      <c r="I5303" s="9">
        <v>245</v>
      </c>
      <c r="J5303" s="10">
        <v>1</v>
      </c>
      <c r="K5303" s="10">
        <v>7985</v>
      </c>
      <c r="L5303" s="3" t="str">
        <f t="shared" si="171"/>
        <v>ΣΚΛΗΡΟΣ_ΣΙΤΟΣ</v>
      </c>
    </row>
    <row r="5304" spans="1:12" ht="24" x14ac:dyDescent="0.25">
      <c r="A5304" s="1" t="str">
        <f t="shared" si="170"/>
        <v>ΣΚΛΗΡΟΣ ΣΙΤΟΣΣΙΤΟΣ ΣΚΛΗΡΟΣ VINCI</v>
      </c>
      <c r="B5304" s="4" t="s">
        <v>8886</v>
      </c>
      <c r="C5304" s="5" t="s">
        <v>10106</v>
      </c>
      <c r="D5304" s="6">
        <v>517.94000000000005</v>
      </c>
      <c r="E5304" s="6">
        <v>492.2</v>
      </c>
      <c r="F5304" s="7" t="s">
        <v>14</v>
      </c>
      <c r="G5304" s="8" t="s">
        <v>10107</v>
      </c>
      <c r="H5304" s="8" t="s">
        <v>16</v>
      </c>
      <c r="I5304" s="9">
        <v>219</v>
      </c>
      <c r="J5304" s="10">
        <v>1</v>
      </c>
      <c r="K5304" s="10">
        <v>7986</v>
      </c>
      <c r="L5304" s="3" t="str">
        <f t="shared" si="171"/>
        <v>ΣΚΛΗΡΟΣ_ΣΙΤΟΣ</v>
      </c>
    </row>
    <row r="5305" spans="1:12" x14ac:dyDescent="0.25">
      <c r="A5305" s="1" t="str">
        <f t="shared" si="170"/>
        <v>ΣΚΛΗΡΟΣ ΣΙΤΟΣΣΙΤΟΣ ΣΚΛΗΡΟΣ VIRGILIO</v>
      </c>
      <c r="B5305" s="18" t="s">
        <v>8886</v>
      </c>
      <c r="C5305" s="19" t="s">
        <v>10108</v>
      </c>
      <c r="D5305" s="6">
        <v>517.94000000000005</v>
      </c>
      <c r="E5305" s="6">
        <v>492.2</v>
      </c>
      <c r="F5305" s="6" t="s">
        <v>14</v>
      </c>
      <c r="G5305" s="8" t="s">
        <v>10109</v>
      </c>
      <c r="H5305" s="8" t="s">
        <v>27</v>
      </c>
      <c r="I5305" s="9">
        <v>4471</v>
      </c>
      <c r="J5305" s="20">
        <v>1</v>
      </c>
      <c r="K5305" s="20">
        <v>7987</v>
      </c>
      <c r="L5305" s="3" t="str">
        <f t="shared" si="171"/>
        <v>ΣΚΛΗΡΟΣ_ΣΙΤΟΣ</v>
      </c>
    </row>
    <row r="5306" spans="1:12" ht="24" x14ac:dyDescent="0.25">
      <c r="A5306" s="1" t="str">
        <f t="shared" si="170"/>
        <v>ΣΚΛΗΡΟΣ ΣΙΤΟΣΣΙΤΟΣ ΣΚΛΗΡΟΣ VITRICO</v>
      </c>
      <c r="B5306" s="4" t="s">
        <v>8886</v>
      </c>
      <c r="C5306" s="5" t="s">
        <v>10110</v>
      </c>
      <c r="D5306" s="6">
        <v>517.94000000000005</v>
      </c>
      <c r="E5306" s="6">
        <v>492.2</v>
      </c>
      <c r="F5306" s="7" t="s">
        <v>14</v>
      </c>
      <c r="G5306" s="8" t="s">
        <v>10111</v>
      </c>
      <c r="H5306" s="8" t="s">
        <v>16</v>
      </c>
      <c r="I5306" s="9">
        <v>258</v>
      </c>
      <c r="J5306" s="10">
        <v>1</v>
      </c>
      <c r="K5306" s="10">
        <v>7988</v>
      </c>
      <c r="L5306" s="3" t="str">
        <f t="shared" si="171"/>
        <v>ΣΚΛΗΡΟΣ_ΣΙΤΟΣ</v>
      </c>
    </row>
    <row r="5307" spans="1:12" x14ac:dyDescent="0.25">
      <c r="A5307" s="1" t="str">
        <f t="shared" si="170"/>
        <v>ΣΚΛΗΡΟΣ ΣΙΤΟΣΣΙΤΟΣ ΣΚΛΗΡΟΣ VITROMAX</v>
      </c>
      <c r="B5307" s="18" t="s">
        <v>8886</v>
      </c>
      <c r="C5307" s="19" t="s">
        <v>10112</v>
      </c>
      <c r="D5307" s="6">
        <v>517.94000000000005</v>
      </c>
      <c r="E5307" s="6">
        <v>492.2</v>
      </c>
      <c r="F5307" s="6" t="s">
        <v>14</v>
      </c>
      <c r="G5307" s="8" t="s">
        <v>10113</v>
      </c>
      <c r="H5307" s="8" t="s">
        <v>27</v>
      </c>
      <c r="I5307" s="9">
        <v>4472</v>
      </c>
      <c r="J5307" s="20">
        <v>1</v>
      </c>
      <c r="K5307" s="20">
        <v>7989</v>
      </c>
      <c r="L5307" s="3" t="str">
        <f t="shared" si="171"/>
        <v>ΣΚΛΗΡΟΣ_ΣΙΤΟΣ</v>
      </c>
    </row>
    <row r="5308" spans="1:12" ht="24" x14ac:dyDescent="0.25">
      <c r="A5308" s="1" t="str">
        <f t="shared" si="170"/>
        <v>ΣΚΛΗΡΟΣ ΣΙΤΟΣΣΙΤΟΣ ΣΚΛΗΡΟΣ VITRON</v>
      </c>
      <c r="B5308" s="4" t="s">
        <v>8886</v>
      </c>
      <c r="C5308" s="5" t="s">
        <v>10114</v>
      </c>
      <c r="D5308" s="6">
        <v>517.94000000000005</v>
      </c>
      <c r="E5308" s="6">
        <v>492.2</v>
      </c>
      <c r="F5308" s="7" t="s">
        <v>14</v>
      </c>
      <c r="G5308" s="8" t="s">
        <v>10115</v>
      </c>
      <c r="H5308" s="8" t="s">
        <v>16</v>
      </c>
      <c r="I5308" s="9">
        <v>233</v>
      </c>
      <c r="J5308" s="10">
        <v>1</v>
      </c>
      <c r="K5308" s="10">
        <v>7990</v>
      </c>
      <c r="L5308" s="3" t="str">
        <f t="shared" si="171"/>
        <v>ΣΚΛΗΡΟΣ_ΣΙΤΟΣ</v>
      </c>
    </row>
    <row r="5309" spans="1:12" x14ac:dyDescent="0.25">
      <c r="A5309" s="1" t="str">
        <f t="shared" si="170"/>
        <v>ΣΚΛΗΡΟΣ ΣΙΤΟΣΣΙΤΟΣ ΣΚΛΗΡΟΣ ACALOU</v>
      </c>
      <c r="B5309" s="4" t="s">
        <v>8886</v>
      </c>
      <c r="C5309" s="5" t="s">
        <v>10116</v>
      </c>
      <c r="D5309" s="6">
        <v>517.94000000000005</v>
      </c>
      <c r="E5309" s="6">
        <v>492.2</v>
      </c>
      <c r="F5309" s="7" t="s">
        <v>14</v>
      </c>
      <c r="G5309" s="8" t="s">
        <v>10117</v>
      </c>
      <c r="H5309" s="8" t="s">
        <v>27</v>
      </c>
      <c r="I5309" s="9">
        <v>209</v>
      </c>
      <c r="J5309" s="10">
        <v>1</v>
      </c>
      <c r="K5309" s="10">
        <v>7991</v>
      </c>
      <c r="L5309" s="3" t="str">
        <f t="shared" si="171"/>
        <v>ΣΚΛΗΡΟΣ_ΣΙΤΟΣ</v>
      </c>
    </row>
    <row r="5310" spans="1:12" x14ac:dyDescent="0.25">
      <c r="A5310" s="1" t="str">
        <f t="shared" si="170"/>
        <v>ΣΚΛΗΡΟΣ ΣΙΤΟΣΣΙΤΟΣ ΣΚΛΗΡΟΣ AGRIDUR</v>
      </c>
      <c r="B5310" s="18" t="s">
        <v>8886</v>
      </c>
      <c r="C5310" s="19" t="s">
        <v>10118</v>
      </c>
      <c r="D5310" s="6">
        <v>517.94000000000005</v>
      </c>
      <c r="E5310" s="6">
        <v>492.2</v>
      </c>
      <c r="F5310" s="6" t="s">
        <v>14</v>
      </c>
      <c r="G5310" s="8" t="s">
        <v>10119</v>
      </c>
      <c r="H5310" s="8" t="s">
        <v>27</v>
      </c>
      <c r="I5310" s="9">
        <v>4473</v>
      </c>
      <c r="J5310" s="20">
        <v>1</v>
      </c>
      <c r="K5310" s="20">
        <v>7992</v>
      </c>
      <c r="L5310" s="3" t="str">
        <f t="shared" si="171"/>
        <v>ΣΚΛΗΡΟΣ_ΣΙΤΟΣ</v>
      </c>
    </row>
    <row r="5311" spans="1:12" x14ac:dyDescent="0.25">
      <c r="A5311" s="1" t="str">
        <f t="shared" si="170"/>
        <v>ΣΚΛΗΡΟΣ ΣΙΤΟΣΣΙΤΟΣ ΣΚΛΗΡΟΣ ALLUR</v>
      </c>
      <c r="B5311" s="18" t="s">
        <v>8886</v>
      </c>
      <c r="C5311" s="19" t="s">
        <v>10120</v>
      </c>
      <c r="D5311" s="6">
        <v>517.94000000000005</v>
      </c>
      <c r="E5311" s="6">
        <v>492.2</v>
      </c>
      <c r="F5311" s="6" t="s">
        <v>14</v>
      </c>
      <c r="G5311" s="8" t="s">
        <v>10121</v>
      </c>
      <c r="H5311" s="8" t="s">
        <v>27</v>
      </c>
      <c r="I5311" s="9">
        <v>4474</v>
      </c>
      <c r="J5311" s="20">
        <v>1</v>
      </c>
      <c r="K5311" s="20">
        <v>7993</v>
      </c>
      <c r="L5311" s="3" t="str">
        <f t="shared" si="171"/>
        <v>ΣΚΛΗΡΟΣ_ΣΙΤΟΣ</v>
      </c>
    </row>
    <row r="5312" spans="1:12" x14ac:dyDescent="0.25">
      <c r="A5312" s="1" t="str">
        <f t="shared" si="170"/>
        <v>ΣΚΛΗΡΟΣ ΣΙΤΟΣΣΙΤΟΣ ΣΚΛΗΡΟΣ AMOSIS</v>
      </c>
      <c r="B5312" s="18" t="s">
        <v>8886</v>
      </c>
      <c r="C5312" s="19" t="s">
        <v>10122</v>
      </c>
      <c r="D5312" s="6">
        <v>517.94000000000005</v>
      </c>
      <c r="E5312" s="6">
        <v>492.2</v>
      </c>
      <c r="F5312" s="6" t="s">
        <v>14</v>
      </c>
      <c r="G5312" s="8" t="s">
        <v>10123</v>
      </c>
      <c r="H5312" s="8" t="s">
        <v>27</v>
      </c>
      <c r="I5312" s="9">
        <v>4475</v>
      </c>
      <c r="J5312" s="20">
        <v>1</v>
      </c>
      <c r="K5312" s="20">
        <v>7994</v>
      </c>
      <c r="L5312" s="3" t="str">
        <f t="shared" si="171"/>
        <v>ΣΚΛΗΡΟΣ_ΣΙΤΟΣ</v>
      </c>
    </row>
    <row r="5313" spans="1:12" x14ac:dyDescent="0.25">
      <c r="A5313" s="1" t="str">
        <f t="shared" si="170"/>
        <v>ΣΚΛΗΡΟΣ ΣΙΤΟΣΣΙΤΟΣ ΣΚΛΗΡΟΣ ARAMON</v>
      </c>
      <c r="B5313" s="18" t="s">
        <v>8886</v>
      </c>
      <c r="C5313" s="19" t="s">
        <v>10124</v>
      </c>
      <c r="D5313" s="6">
        <v>517.94000000000005</v>
      </c>
      <c r="E5313" s="6">
        <v>492.2</v>
      </c>
      <c r="F5313" s="6" t="s">
        <v>14</v>
      </c>
      <c r="G5313" s="8" t="s">
        <v>10125</v>
      </c>
      <c r="H5313" s="8" t="s">
        <v>27</v>
      </c>
      <c r="I5313" s="9">
        <v>4476</v>
      </c>
      <c r="J5313" s="20">
        <v>1</v>
      </c>
      <c r="K5313" s="20">
        <v>7995</v>
      </c>
      <c r="L5313" s="3" t="str">
        <f t="shared" si="171"/>
        <v>ΣΚΛΗΡΟΣ_ΣΙΤΟΣ</v>
      </c>
    </row>
    <row r="5314" spans="1:12" x14ac:dyDescent="0.25">
      <c r="A5314" s="1" t="str">
        <f t="shared" si="170"/>
        <v>ΣΚΛΗΡΟΣ ΣΙΤΟΣΣΙΤΟΣ ΣΚΛΗΡΟΣ ARCALIS</v>
      </c>
      <c r="B5314" s="18" t="s">
        <v>8886</v>
      </c>
      <c r="C5314" s="19" t="s">
        <v>10126</v>
      </c>
      <c r="D5314" s="6">
        <v>517.94000000000005</v>
      </c>
      <c r="E5314" s="6">
        <v>492.2</v>
      </c>
      <c r="F5314" s="6" t="s">
        <v>14</v>
      </c>
      <c r="G5314" s="8" t="s">
        <v>10127</v>
      </c>
      <c r="H5314" s="8" t="s">
        <v>27</v>
      </c>
      <c r="I5314" s="9">
        <v>4477</v>
      </c>
      <c r="J5314" s="20">
        <v>1</v>
      </c>
      <c r="K5314" s="20">
        <v>7996</v>
      </c>
      <c r="L5314" s="3" t="str">
        <f t="shared" si="171"/>
        <v>ΣΚΛΗΡΟΣ_ΣΙΤΟΣ</v>
      </c>
    </row>
    <row r="5315" spans="1:12" x14ac:dyDescent="0.25">
      <c r="A5315" s="1" t="str">
        <f t="shared" ref="A5315:A5378" si="172">_xlfn.CONCAT(B5315,C5315)</f>
        <v>ΣΚΛΗΡΟΣ ΣΙΤΟΣΣΙΤΟΣ ΣΚΛΗΡΟΣ ARGELES</v>
      </c>
      <c r="B5315" s="18" t="s">
        <v>8886</v>
      </c>
      <c r="C5315" s="19" t="s">
        <v>10128</v>
      </c>
      <c r="D5315" s="6">
        <v>517.94000000000005</v>
      </c>
      <c r="E5315" s="6">
        <v>492.2</v>
      </c>
      <c r="F5315" s="6" t="s">
        <v>14</v>
      </c>
      <c r="G5315" s="8" t="s">
        <v>10129</v>
      </c>
      <c r="H5315" s="8" t="s">
        <v>27</v>
      </c>
      <c r="I5315" s="9">
        <v>4478</v>
      </c>
      <c r="J5315" s="20">
        <v>1</v>
      </c>
      <c r="K5315" s="20">
        <v>7997</v>
      </c>
      <c r="L5315" s="3" t="str">
        <f t="shared" ref="L5315:L5378" si="173">IFERROR(SUBSTITUTE(SUBSTITUTE(SUBSTITUTE(SUBSTITUTE(SUBSTITUTE(B5315, "-", "_"), " ", "_"), ",", ""), "(", ""), ")", ""), B5315)</f>
        <v>ΣΚΛΗΡΟΣ_ΣΙΤΟΣ</v>
      </c>
    </row>
    <row r="5316" spans="1:12" x14ac:dyDescent="0.25">
      <c r="A5316" s="1" t="str">
        <f t="shared" si="172"/>
        <v>ΣΚΛΗΡΟΣ ΣΙΤΟΣΣΙΤΟΣ ΣΚΛΗΡΟΣ ARSTAR</v>
      </c>
      <c r="B5316" s="18" t="s">
        <v>8886</v>
      </c>
      <c r="C5316" s="19" t="s">
        <v>10130</v>
      </c>
      <c r="D5316" s="6">
        <v>517.94000000000005</v>
      </c>
      <c r="E5316" s="6">
        <v>492.2</v>
      </c>
      <c r="F5316" s="6" t="s">
        <v>14</v>
      </c>
      <c r="G5316" s="8" t="s">
        <v>10131</v>
      </c>
      <c r="H5316" s="8" t="s">
        <v>27</v>
      </c>
      <c r="I5316" s="9">
        <v>4479</v>
      </c>
      <c r="J5316" s="20">
        <v>1</v>
      </c>
      <c r="K5316" s="20">
        <v>7998</v>
      </c>
      <c r="L5316" s="3" t="str">
        <f t="shared" si="173"/>
        <v>ΣΚΛΗΡΟΣ_ΣΙΤΟΣ</v>
      </c>
    </row>
    <row r="5317" spans="1:12" x14ac:dyDescent="0.25">
      <c r="A5317" s="1" t="str">
        <f t="shared" si="172"/>
        <v>ΣΚΛΗΡΟΣ ΣΙΤΟΣΣΙΤΟΣ ΣΚΛΗΡΟΣ ARTIMON</v>
      </c>
      <c r="B5317" s="18" t="s">
        <v>8886</v>
      </c>
      <c r="C5317" s="19" t="s">
        <v>10132</v>
      </c>
      <c r="D5317" s="6">
        <v>517.94000000000005</v>
      </c>
      <c r="E5317" s="6">
        <v>492.2</v>
      </c>
      <c r="F5317" s="6" t="s">
        <v>14</v>
      </c>
      <c r="G5317" s="8" t="s">
        <v>10133</v>
      </c>
      <c r="H5317" s="8" t="s">
        <v>27</v>
      </c>
      <c r="I5317" s="9">
        <v>4480</v>
      </c>
      <c r="J5317" s="20">
        <v>1</v>
      </c>
      <c r="K5317" s="20">
        <v>7999</v>
      </c>
      <c r="L5317" s="3" t="str">
        <f t="shared" si="173"/>
        <v>ΣΚΛΗΡΟΣ_ΣΙΤΟΣ</v>
      </c>
    </row>
    <row r="5318" spans="1:12" x14ac:dyDescent="0.25">
      <c r="A5318" s="1" t="str">
        <f t="shared" si="172"/>
        <v>ΣΚΛΗΡΟΣ ΣΙΤΟΣΣΙΤΟΣ ΣΚΛΗΡΟΣ AUROC</v>
      </c>
      <c r="B5318" s="18" t="s">
        <v>8886</v>
      </c>
      <c r="C5318" s="19" t="s">
        <v>10134</v>
      </c>
      <c r="D5318" s="6">
        <v>517.94000000000005</v>
      </c>
      <c r="E5318" s="6">
        <v>492.2</v>
      </c>
      <c r="F5318" s="6" t="s">
        <v>14</v>
      </c>
      <c r="G5318" s="8" t="s">
        <v>10135</v>
      </c>
      <c r="H5318" s="8" t="s">
        <v>27</v>
      </c>
      <c r="I5318" s="9">
        <v>4481</v>
      </c>
      <c r="J5318" s="20">
        <v>1</v>
      </c>
      <c r="K5318" s="20">
        <v>9000</v>
      </c>
      <c r="L5318" s="3" t="str">
        <f t="shared" si="173"/>
        <v>ΣΚΛΗΡΟΣ_ΣΙΤΟΣ</v>
      </c>
    </row>
    <row r="5319" spans="1:12" x14ac:dyDescent="0.25">
      <c r="A5319" s="1" t="str">
        <f t="shared" si="172"/>
        <v>ΣΚΛΗΡΟΣ ΣΙΤΟΣΣΙΤΟΣ ΣΚΛΗΡΟΣ BARCAROL</v>
      </c>
      <c r="B5319" s="18" t="s">
        <v>8886</v>
      </c>
      <c r="C5319" s="19" t="s">
        <v>10136</v>
      </c>
      <c r="D5319" s="6">
        <v>517.94000000000005</v>
      </c>
      <c r="E5319" s="6">
        <v>492.2</v>
      </c>
      <c r="F5319" s="6" t="s">
        <v>14</v>
      </c>
      <c r="G5319" s="8" t="s">
        <v>10137</v>
      </c>
      <c r="H5319" s="8" t="s">
        <v>27</v>
      </c>
      <c r="I5319" s="9">
        <v>4482</v>
      </c>
      <c r="J5319" s="20">
        <v>1</v>
      </c>
      <c r="K5319" s="20">
        <v>9001</v>
      </c>
      <c r="L5319" s="3" t="str">
        <f t="shared" si="173"/>
        <v>ΣΚΛΗΡΟΣ_ΣΙΤΟΣ</v>
      </c>
    </row>
    <row r="5320" spans="1:12" ht="24" x14ac:dyDescent="0.25">
      <c r="A5320" s="1" t="str">
        <f t="shared" si="172"/>
        <v>ΣΚΛΗΡΟΣ ΣΙΤΟΣΣΙΤΟΣ ΣΚΛΗΡΟΣ BIENSUR</v>
      </c>
      <c r="B5320" s="4" t="s">
        <v>8886</v>
      </c>
      <c r="C5320" s="5" t="s">
        <v>10138</v>
      </c>
      <c r="D5320" s="6">
        <v>517.94000000000005</v>
      </c>
      <c r="E5320" s="6">
        <v>492.2</v>
      </c>
      <c r="F5320" s="7" t="s">
        <v>14</v>
      </c>
      <c r="G5320" s="8" t="s">
        <v>10139</v>
      </c>
      <c r="H5320" s="8" t="s">
        <v>16</v>
      </c>
      <c r="I5320" s="9">
        <v>208</v>
      </c>
      <c r="J5320" s="10">
        <v>1</v>
      </c>
      <c r="K5320" s="10">
        <v>9002</v>
      </c>
      <c r="L5320" s="3" t="str">
        <f t="shared" si="173"/>
        <v>ΣΚΛΗΡΟΣ_ΣΙΤΟΣ</v>
      </c>
    </row>
    <row r="5321" spans="1:12" x14ac:dyDescent="0.25">
      <c r="A5321" s="1" t="str">
        <f t="shared" si="172"/>
        <v>ΣΚΛΗΡΟΣ ΣΙΤΟΣΣΙΤΟΣ ΣΚΛΗΡΟΣ BYBLOS</v>
      </c>
      <c r="B5321" s="18" t="s">
        <v>8886</v>
      </c>
      <c r="C5321" s="19" t="s">
        <v>10140</v>
      </c>
      <c r="D5321" s="6">
        <v>517.94000000000005</v>
      </c>
      <c r="E5321" s="6">
        <v>492.2</v>
      </c>
      <c r="F5321" s="6" t="s">
        <v>14</v>
      </c>
      <c r="G5321" s="8" t="s">
        <v>10141</v>
      </c>
      <c r="H5321" s="8" t="s">
        <v>27</v>
      </c>
      <c r="I5321" s="9">
        <v>4483</v>
      </c>
      <c r="J5321" s="20">
        <v>1</v>
      </c>
      <c r="K5321" s="20">
        <v>9003</v>
      </c>
      <c r="L5321" s="3" t="str">
        <f t="shared" si="173"/>
        <v>ΣΚΛΗΡΟΣ_ΣΙΤΟΣ</v>
      </c>
    </row>
    <row r="5322" spans="1:12" x14ac:dyDescent="0.25">
      <c r="A5322" s="1" t="str">
        <f t="shared" si="172"/>
        <v>ΣΚΛΗΡΟΣ ΣΙΤΟΣΣΙΤΟΣ ΣΚΛΗΡΟΣ DURIAC</v>
      </c>
      <c r="B5322" s="18" t="s">
        <v>8886</v>
      </c>
      <c r="C5322" s="19" t="s">
        <v>10142</v>
      </c>
      <c r="D5322" s="6">
        <v>517.94000000000005</v>
      </c>
      <c r="E5322" s="6">
        <v>492.2</v>
      </c>
      <c r="F5322" s="6" t="s">
        <v>14</v>
      </c>
      <c r="G5322" s="8" t="s">
        <v>10143</v>
      </c>
      <c r="H5322" s="8" t="s">
        <v>27</v>
      </c>
      <c r="I5322" s="9">
        <v>4484</v>
      </c>
      <c r="J5322" s="20">
        <v>1</v>
      </c>
      <c r="K5322" s="20">
        <v>9004</v>
      </c>
      <c r="L5322" s="3" t="str">
        <f t="shared" si="173"/>
        <v>ΣΚΛΗΡΟΣ_ΣΙΤΟΣ</v>
      </c>
    </row>
    <row r="5323" spans="1:12" x14ac:dyDescent="0.25">
      <c r="A5323" s="1" t="str">
        <f t="shared" si="172"/>
        <v>ΣΚΛΗΡΟΣ ΣΙΤΟΣΣΙΤΟΣ ΣΚΛΗΡΟΣ EXCALIBUR</v>
      </c>
      <c r="B5323" s="18" t="s">
        <v>8886</v>
      </c>
      <c r="C5323" s="19" t="s">
        <v>10144</v>
      </c>
      <c r="D5323" s="6">
        <v>517.94000000000005</v>
      </c>
      <c r="E5323" s="6">
        <v>492.2</v>
      </c>
      <c r="F5323" s="6" t="s">
        <v>14</v>
      </c>
      <c r="G5323" s="8" t="s">
        <v>10145</v>
      </c>
      <c r="H5323" s="8" t="s">
        <v>27</v>
      </c>
      <c r="I5323" s="9">
        <v>4485</v>
      </c>
      <c r="J5323" s="20">
        <v>1</v>
      </c>
      <c r="K5323" s="20">
        <v>9005</v>
      </c>
      <c r="L5323" s="3" t="str">
        <f t="shared" si="173"/>
        <v>ΣΚΛΗΡΟΣ_ΣΙΤΟΣ</v>
      </c>
    </row>
    <row r="5324" spans="1:12" x14ac:dyDescent="0.25">
      <c r="A5324" s="1" t="str">
        <f t="shared" si="172"/>
        <v>ΣΚΛΗΡΟΣ ΣΙΤΟΣΣΙΤΟΣ ΣΚΛΗΡΟΣ EXELDUR</v>
      </c>
      <c r="B5324" s="18" t="s">
        <v>8886</v>
      </c>
      <c r="C5324" s="19" t="s">
        <v>10146</v>
      </c>
      <c r="D5324" s="6">
        <v>517.94000000000005</v>
      </c>
      <c r="E5324" s="6">
        <v>492.2</v>
      </c>
      <c r="F5324" s="6" t="s">
        <v>14</v>
      </c>
      <c r="G5324" s="8" t="s">
        <v>10147</v>
      </c>
      <c r="H5324" s="8" t="s">
        <v>27</v>
      </c>
      <c r="I5324" s="9">
        <v>4486</v>
      </c>
      <c r="J5324" s="20">
        <v>1</v>
      </c>
      <c r="K5324" s="20">
        <v>9006</v>
      </c>
      <c r="L5324" s="3" t="str">
        <f t="shared" si="173"/>
        <v>ΣΚΛΗΡΟΣ_ΣΙΤΟΣ</v>
      </c>
    </row>
    <row r="5325" spans="1:12" x14ac:dyDescent="0.25">
      <c r="A5325" s="1" t="str">
        <f t="shared" si="172"/>
        <v>ΣΚΛΗΡΟΣ ΣΙΤΟΣΣΙΤΟΣ ΣΚΛΗΡΟΣ GALADUR</v>
      </c>
      <c r="B5325" s="18" t="s">
        <v>8886</v>
      </c>
      <c r="C5325" s="19" t="s">
        <v>10148</v>
      </c>
      <c r="D5325" s="6">
        <v>517.94000000000005</v>
      </c>
      <c r="E5325" s="6">
        <v>492.2</v>
      </c>
      <c r="F5325" s="6" t="s">
        <v>14</v>
      </c>
      <c r="G5325" s="8" t="s">
        <v>10149</v>
      </c>
      <c r="H5325" s="8" t="s">
        <v>27</v>
      </c>
      <c r="I5325" s="9">
        <v>4487</v>
      </c>
      <c r="J5325" s="20">
        <v>1</v>
      </c>
      <c r="K5325" s="20">
        <v>9007</v>
      </c>
      <c r="L5325" s="3" t="str">
        <f t="shared" si="173"/>
        <v>ΣΚΛΗΡΟΣ_ΣΙΤΟΣ</v>
      </c>
    </row>
    <row r="5326" spans="1:12" x14ac:dyDescent="0.25">
      <c r="A5326" s="1" t="str">
        <f t="shared" si="172"/>
        <v>ΣΚΛΗΡΟΣ ΣΙΤΟΣΣΙΤΟΣ ΣΚΛΗΡΟΣ GARIC</v>
      </c>
      <c r="B5326" s="18" t="s">
        <v>8886</v>
      </c>
      <c r="C5326" s="19" t="s">
        <v>10150</v>
      </c>
      <c r="D5326" s="6">
        <v>517.94000000000005</v>
      </c>
      <c r="E5326" s="6">
        <v>492.2</v>
      </c>
      <c r="F5326" s="6" t="s">
        <v>14</v>
      </c>
      <c r="G5326" s="8" t="s">
        <v>10151</v>
      </c>
      <c r="H5326" s="8" t="s">
        <v>27</v>
      </c>
      <c r="I5326" s="9">
        <v>4488</v>
      </c>
      <c r="J5326" s="20">
        <v>1</v>
      </c>
      <c r="K5326" s="20">
        <v>9008</v>
      </c>
      <c r="L5326" s="3" t="str">
        <f t="shared" si="173"/>
        <v>ΣΚΛΗΡΟΣ_ΣΙΤΟΣ</v>
      </c>
    </row>
    <row r="5327" spans="1:12" x14ac:dyDescent="0.25">
      <c r="A5327" s="1" t="str">
        <f t="shared" si="172"/>
        <v>ΣΚΛΗΡΟΣ ΣΙΤΟΣΣΙΤΟΣ ΣΚΛΗΡΟΣ JANEIRO</v>
      </c>
      <c r="B5327" s="18" t="s">
        <v>8886</v>
      </c>
      <c r="C5327" s="19" t="s">
        <v>10152</v>
      </c>
      <c r="D5327" s="6">
        <v>517.94000000000005</v>
      </c>
      <c r="E5327" s="6">
        <v>492.2</v>
      </c>
      <c r="F5327" s="6" t="s">
        <v>14</v>
      </c>
      <c r="G5327" s="8" t="s">
        <v>10153</v>
      </c>
      <c r="H5327" s="8" t="s">
        <v>27</v>
      </c>
      <c r="I5327" s="9">
        <v>4489</v>
      </c>
      <c r="J5327" s="20">
        <v>1</v>
      </c>
      <c r="K5327" s="20">
        <v>9009</v>
      </c>
      <c r="L5327" s="3" t="str">
        <f t="shared" si="173"/>
        <v>ΣΚΛΗΡΟΣ_ΣΙΤΟΣ</v>
      </c>
    </row>
    <row r="5328" spans="1:12" x14ac:dyDescent="0.25">
      <c r="A5328" s="1" t="str">
        <f t="shared" si="172"/>
        <v>ΣΚΛΗΡΟΣ ΣΙΤΟΣΣΙΤΟΣ ΣΚΛΗΡΟΣ JOYAU</v>
      </c>
      <c r="B5328" s="18" t="s">
        <v>8886</v>
      </c>
      <c r="C5328" s="19" t="s">
        <v>10154</v>
      </c>
      <c r="D5328" s="6">
        <v>517.94000000000005</v>
      </c>
      <c r="E5328" s="6">
        <v>492.2</v>
      </c>
      <c r="F5328" s="6" t="s">
        <v>14</v>
      </c>
      <c r="G5328" s="8" t="s">
        <v>10155</v>
      </c>
      <c r="H5328" s="8" t="s">
        <v>27</v>
      </c>
      <c r="I5328" s="9">
        <v>4490</v>
      </c>
      <c r="J5328" s="20">
        <v>1</v>
      </c>
      <c r="K5328" s="20">
        <v>9010</v>
      </c>
      <c r="L5328" s="3" t="str">
        <f t="shared" si="173"/>
        <v>ΣΚΛΗΡΟΣ_ΣΙΤΟΣ</v>
      </c>
    </row>
    <row r="5329" spans="1:12" ht="24" x14ac:dyDescent="0.25">
      <c r="A5329" s="1" t="str">
        <f t="shared" si="172"/>
        <v>ΣΚΛΗΡΟΣ ΣΙΤΟΣΣΙΤΟΣ ΣΚΛΗΡΟΣ KARUR</v>
      </c>
      <c r="B5329" s="4" t="s">
        <v>8886</v>
      </c>
      <c r="C5329" s="5" t="s">
        <v>10156</v>
      </c>
      <c r="D5329" s="6">
        <v>517.94000000000005</v>
      </c>
      <c r="E5329" s="6">
        <v>492.2</v>
      </c>
      <c r="F5329" s="7" t="s">
        <v>14</v>
      </c>
      <c r="G5329" s="8" t="s">
        <v>10157</v>
      </c>
      <c r="H5329" s="8" t="s">
        <v>16</v>
      </c>
      <c r="I5329" s="9">
        <v>207</v>
      </c>
      <c r="J5329" s="10">
        <v>1</v>
      </c>
      <c r="K5329" s="10">
        <v>9011</v>
      </c>
      <c r="L5329" s="3" t="str">
        <f t="shared" si="173"/>
        <v>ΣΚΛΗΡΟΣ_ΣΙΤΟΣ</v>
      </c>
    </row>
    <row r="5330" spans="1:12" ht="24" x14ac:dyDescent="0.25">
      <c r="A5330" s="1" t="str">
        <f t="shared" si="172"/>
        <v>ΣΚΛΗΡΟΣ ΣΙΤΟΣΣΙΤΟΣ ΣΚΛΗΡΟΣ LEMUR</v>
      </c>
      <c r="B5330" s="4" t="s">
        <v>8886</v>
      </c>
      <c r="C5330" s="5" t="s">
        <v>10158</v>
      </c>
      <c r="D5330" s="6">
        <v>517.94000000000005</v>
      </c>
      <c r="E5330" s="6">
        <v>492.2</v>
      </c>
      <c r="F5330" s="7" t="s">
        <v>14</v>
      </c>
      <c r="G5330" s="8" t="s">
        <v>10159</v>
      </c>
      <c r="H5330" s="8" t="s">
        <v>16</v>
      </c>
      <c r="I5330" s="9">
        <v>206</v>
      </c>
      <c r="J5330" s="10">
        <v>1</v>
      </c>
      <c r="K5330" s="10">
        <v>9012</v>
      </c>
      <c r="L5330" s="3" t="str">
        <f t="shared" si="173"/>
        <v>ΣΚΛΗΡΟΣ_ΣΙΤΟΣ</v>
      </c>
    </row>
    <row r="5331" spans="1:12" x14ac:dyDescent="0.25">
      <c r="A5331" s="1" t="str">
        <f t="shared" si="172"/>
        <v>ΣΚΛΗΡΟΣ ΣΙΤΟΣΣΙΤΟΣ ΣΚΛΗΡΟΣ LLOYD</v>
      </c>
      <c r="B5331" s="18" t="s">
        <v>8886</v>
      </c>
      <c r="C5331" s="19" t="s">
        <v>10160</v>
      </c>
      <c r="D5331" s="6">
        <v>517.94000000000005</v>
      </c>
      <c r="E5331" s="6">
        <v>492.2</v>
      </c>
      <c r="F5331" s="6" t="s">
        <v>14</v>
      </c>
      <c r="G5331" s="8" t="s">
        <v>10161</v>
      </c>
      <c r="H5331" s="8" t="s">
        <v>27</v>
      </c>
      <c r="I5331" s="9">
        <v>4491</v>
      </c>
      <c r="J5331" s="20">
        <v>1</v>
      </c>
      <c r="K5331" s="20">
        <v>9013</v>
      </c>
      <c r="L5331" s="3" t="str">
        <f t="shared" si="173"/>
        <v>ΣΚΛΗΡΟΣ_ΣΙΤΟΣ</v>
      </c>
    </row>
    <row r="5332" spans="1:12" x14ac:dyDescent="0.25">
      <c r="A5332" s="1" t="str">
        <f t="shared" si="172"/>
        <v>ΣΚΛΗΡΟΣ ΣΙΤΟΣΣΙΤΟΣ ΣΚΛΗΡΟΣ MONTSEGUR</v>
      </c>
      <c r="B5332" s="18" t="s">
        <v>8886</v>
      </c>
      <c r="C5332" s="19" t="s">
        <v>10162</v>
      </c>
      <c r="D5332" s="6">
        <v>517.94000000000005</v>
      </c>
      <c r="E5332" s="6">
        <v>492.2</v>
      </c>
      <c r="F5332" s="6" t="s">
        <v>14</v>
      </c>
      <c r="G5332" s="8" t="s">
        <v>10163</v>
      </c>
      <c r="H5332" s="8" t="s">
        <v>27</v>
      </c>
      <c r="I5332" s="9">
        <v>4492</v>
      </c>
      <c r="J5332" s="20">
        <v>1</v>
      </c>
      <c r="K5332" s="20">
        <v>9014</v>
      </c>
      <c r="L5332" s="3" t="str">
        <f t="shared" si="173"/>
        <v>ΣΚΛΗΡΟΣ_ΣΙΤΟΣ</v>
      </c>
    </row>
    <row r="5333" spans="1:12" x14ac:dyDescent="0.25">
      <c r="A5333" s="1" t="str">
        <f t="shared" si="172"/>
        <v>ΣΚΛΗΡΟΣ ΣΙΤΟΣΣΙΤΟΣ ΣΚΛΗΡΟΣ NOVADUR</v>
      </c>
      <c r="B5333" s="18" t="s">
        <v>8886</v>
      </c>
      <c r="C5333" s="19" t="s">
        <v>10164</v>
      </c>
      <c r="D5333" s="6">
        <v>517.94000000000005</v>
      </c>
      <c r="E5333" s="6">
        <v>492.2</v>
      </c>
      <c r="F5333" s="6" t="s">
        <v>14</v>
      </c>
      <c r="G5333" s="8" t="s">
        <v>10165</v>
      </c>
      <c r="H5333" s="8" t="s">
        <v>27</v>
      </c>
      <c r="I5333" s="9">
        <v>4493</v>
      </c>
      <c r="J5333" s="20">
        <v>1</v>
      </c>
      <c r="K5333" s="20">
        <v>9015</v>
      </c>
      <c r="L5333" s="3" t="str">
        <f t="shared" si="173"/>
        <v>ΣΚΛΗΡΟΣ_ΣΙΤΟΣ</v>
      </c>
    </row>
    <row r="5334" spans="1:12" x14ac:dyDescent="0.25">
      <c r="A5334" s="1" t="str">
        <f t="shared" si="172"/>
        <v>ΣΚΛΗΡΟΣ ΣΙΤΟΣΣΙΤΟΣ ΣΚΛΗΡΟΣ ORJAUNE</v>
      </c>
      <c r="B5334" s="18" t="s">
        <v>8886</v>
      </c>
      <c r="C5334" s="19" t="s">
        <v>10166</v>
      </c>
      <c r="D5334" s="6">
        <v>517.94000000000005</v>
      </c>
      <c r="E5334" s="6">
        <v>492.2</v>
      </c>
      <c r="F5334" s="6" t="s">
        <v>14</v>
      </c>
      <c r="G5334" s="8" t="s">
        <v>10167</v>
      </c>
      <c r="H5334" s="8" t="s">
        <v>27</v>
      </c>
      <c r="I5334" s="9">
        <v>4494</v>
      </c>
      <c r="J5334" s="20">
        <v>1</v>
      </c>
      <c r="K5334" s="20">
        <v>9016</v>
      </c>
      <c r="L5334" s="3" t="str">
        <f t="shared" si="173"/>
        <v>ΣΚΛΗΡΟΣ_ΣΙΤΟΣ</v>
      </c>
    </row>
    <row r="5335" spans="1:12" ht="24" x14ac:dyDescent="0.25">
      <c r="A5335" s="1" t="str">
        <f t="shared" si="172"/>
        <v>ΣΚΛΗΡΟΣ ΣΙΤΟΣΣΙΤΟΣ ΣΚΛΗΡΟΣ ORLU</v>
      </c>
      <c r="B5335" s="4" t="s">
        <v>8886</v>
      </c>
      <c r="C5335" s="5" t="s">
        <v>10168</v>
      </c>
      <c r="D5335" s="6">
        <v>517.94000000000005</v>
      </c>
      <c r="E5335" s="6">
        <v>492.2</v>
      </c>
      <c r="F5335" s="7" t="s">
        <v>14</v>
      </c>
      <c r="G5335" s="8" t="s">
        <v>10169</v>
      </c>
      <c r="H5335" s="8" t="s">
        <v>16</v>
      </c>
      <c r="I5335" s="9">
        <v>205</v>
      </c>
      <c r="J5335" s="10">
        <v>1</v>
      </c>
      <c r="K5335" s="10">
        <v>9017</v>
      </c>
      <c r="L5335" s="3" t="str">
        <f t="shared" si="173"/>
        <v>ΣΚΛΗΡΟΣ_ΣΙΤΟΣ</v>
      </c>
    </row>
    <row r="5336" spans="1:12" x14ac:dyDescent="0.25">
      <c r="A5336" s="1" t="str">
        <f t="shared" si="172"/>
        <v>ΣΚΛΗΡΟΣ ΣΙΤΟΣΣΙΤΟΣ ΣΚΛΗΡΟΣ REAUMUR</v>
      </c>
      <c r="B5336" s="18" t="s">
        <v>8886</v>
      </c>
      <c r="C5336" s="19" t="s">
        <v>10170</v>
      </c>
      <c r="D5336" s="6">
        <v>517.94000000000005</v>
      </c>
      <c r="E5336" s="6">
        <v>492.2</v>
      </c>
      <c r="F5336" s="6" t="s">
        <v>14</v>
      </c>
      <c r="G5336" s="8" t="s">
        <v>10171</v>
      </c>
      <c r="H5336" s="8" t="s">
        <v>27</v>
      </c>
      <c r="I5336" s="9">
        <v>4495</v>
      </c>
      <c r="J5336" s="20">
        <v>1</v>
      </c>
      <c r="K5336" s="20">
        <v>9019</v>
      </c>
      <c r="L5336" s="3" t="str">
        <f t="shared" si="173"/>
        <v>ΣΚΛΗΡΟΣ_ΣΙΤΟΣ</v>
      </c>
    </row>
    <row r="5337" spans="1:12" x14ac:dyDescent="0.25">
      <c r="A5337" s="1" t="str">
        <f t="shared" si="172"/>
        <v>ΣΚΛΗΡΟΣ ΣΙΤΟΣΣΙΤΟΣ ΣΚΛΗΡΟΣ SACHEM</v>
      </c>
      <c r="B5337" s="18" t="s">
        <v>8886</v>
      </c>
      <c r="C5337" s="19" t="s">
        <v>10172</v>
      </c>
      <c r="D5337" s="6">
        <v>517.94000000000005</v>
      </c>
      <c r="E5337" s="6">
        <v>492.2</v>
      </c>
      <c r="F5337" s="6" t="s">
        <v>14</v>
      </c>
      <c r="G5337" s="8" t="s">
        <v>10173</v>
      </c>
      <c r="H5337" s="8" t="s">
        <v>27</v>
      </c>
      <c r="I5337" s="9">
        <v>4496</v>
      </c>
      <c r="J5337" s="20">
        <v>1</v>
      </c>
      <c r="K5337" s="20">
        <v>9020</v>
      </c>
      <c r="L5337" s="3" t="str">
        <f t="shared" si="173"/>
        <v>ΣΚΛΗΡΟΣ_ΣΙΤΟΣ</v>
      </c>
    </row>
    <row r="5338" spans="1:12" x14ac:dyDescent="0.25">
      <c r="A5338" s="1" t="str">
        <f t="shared" si="172"/>
        <v>ΣΚΛΗΡΟΣ ΣΙΤΟΣΣΙΤΟΣ ΣΚΛΗΡΟΣ SALSA</v>
      </c>
      <c r="B5338" s="18" t="s">
        <v>8886</v>
      </c>
      <c r="C5338" s="19" t="s">
        <v>10174</v>
      </c>
      <c r="D5338" s="6">
        <v>517.94000000000005</v>
      </c>
      <c r="E5338" s="6">
        <v>492.2</v>
      </c>
      <c r="F5338" s="6" t="s">
        <v>14</v>
      </c>
      <c r="G5338" s="8" t="s">
        <v>10175</v>
      </c>
      <c r="H5338" s="8" t="s">
        <v>27</v>
      </c>
      <c r="I5338" s="9">
        <v>4497</v>
      </c>
      <c r="J5338" s="20">
        <v>1</v>
      </c>
      <c r="K5338" s="20">
        <v>9021</v>
      </c>
      <c r="L5338" s="3" t="str">
        <f t="shared" si="173"/>
        <v>ΣΚΛΗΡΟΣ_ΣΙΤΟΣ</v>
      </c>
    </row>
    <row r="5339" spans="1:12" ht="24" x14ac:dyDescent="0.25">
      <c r="A5339" s="1" t="str">
        <f t="shared" si="172"/>
        <v>ΣΚΛΗΡΟΣ ΣΙΤΟΣΣΙΤΟΣ ΣΚΛΗΡΟΣ VIVADUR</v>
      </c>
      <c r="B5339" s="4" t="s">
        <v>8886</v>
      </c>
      <c r="C5339" s="5" t="s">
        <v>10176</v>
      </c>
      <c r="D5339" s="6">
        <v>517.94000000000005</v>
      </c>
      <c r="E5339" s="6">
        <v>492.2</v>
      </c>
      <c r="F5339" s="7" t="s">
        <v>14</v>
      </c>
      <c r="G5339" s="8" t="s">
        <v>10177</v>
      </c>
      <c r="H5339" s="8" t="s">
        <v>16</v>
      </c>
      <c r="I5339" s="9">
        <v>204</v>
      </c>
      <c r="J5339" s="10">
        <v>1</v>
      </c>
      <c r="K5339" s="10">
        <v>9022</v>
      </c>
      <c r="L5339" s="3" t="str">
        <f t="shared" si="173"/>
        <v>ΣΚΛΗΡΟΣ_ΣΙΤΟΣ</v>
      </c>
    </row>
    <row r="5340" spans="1:12" ht="24" x14ac:dyDescent="0.25">
      <c r="A5340" s="1" t="str">
        <f t="shared" si="172"/>
        <v>ΣΚΛΗΡΟΣ ΣΙΤΟΣΣΙΤΟΣ ΣΚΛΗΡΟΣ ALACON</v>
      </c>
      <c r="B5340" s="4" t="s">
        <v>8886</v>
      </c>
      <c r="C5340" s="5" t="s">
        <v>10178</v>
      </c>
      <c r="D5340" s="6">
        <v>517.94000000000005</v>
      </c>
      <c r="E5340" s="6">
        <v>492.2</v>
      </c>
      <c r="F5340" s="7" t="s">
        <v>14</v>
      </c>
      <c r="G5340" s="8" t="s">
        <v>10179</v>
      </c>
      <c r="H5340" s="8" t="s">
        <v>16</v>
      </c>
      <c r="I5340" s="9">
        <v>195</v>
      </c>
      <c r="J5340" s="10">
        <v>1</v>
      </c>
      <c r="K5340" s="10">
        <v>9023</v>
      </c>
      <c r="L5340" s="3" t="str">
        <f t="shared" si="173"/>
        <v>ΣΚΛΗΡΟΣ_ΣΙΤΟΣ</v>
      </c>
    </row>
    <row r="5341" spans="1:12" x14ac:dyDescent="0.25">
      <c r="A5341" s="1" t="str">
        <f t="shared" si="172"/>
        <v>ΣΚΛΗΡΟΣ ΣΙΤΟΣΣΙΤΟΣ ΣΚΛΗΡΟΣ ALDEANO</v>
      </c>
      <c r="B5341" s="18" t="s">
        <v>8886</v>
      </c>
      <c r="C5341" s="19" t="s">
        <v>10180</v>
      </c>
      <c r="D5341" s="6">
        <v>517.94000000000005</v>
      </c>
      <c r="E5341" s="6">
        <v>492.2</v>
      </c>
      <c r="F5341" s="6" t="s">
        <v>14</v>
      </c>
      <c r="G5341" s="8" t="s">
        <v>10181</v>
      </c>
      <c r="H5341" s="8" t="s">
        <v>27</v>
      </c>
      <c r="I5341" s="9">
        <v>4498</v>
      </c>
      <c r="J5341" s="20">
        <v>1</v>
      </c>
      <c r="K5341" s="20">
        <v>9024</v>
      </c>
      <c r="L5341" s="3" t="str">
        <f t="shared" si="173"/>
        <v>ΣΚΛΗΡΟΣ_ΣΙΤΟΣ</v>
      </c>
    </row>
    <row r="5342" spans="1:12" x14ac:dyDescent="0.25">
      <c r="A5342" s="1" t="str">
        <f t="shared" si="172"/>
        <v>ΣΚΛΗΡΟΣ ΣΙΤΟΣΣΙΤΟΣ ΣΚΛΗΡΟΣ ALDURA</v>
      </c>
      <c r="B5342" s="18" t="s">
        <v>8886</v>
      </c>
      <c r="C5342" s="19" t="s">
        <v>10182</v>
      </c>
      <c r="D5342" s="6">
        <v>517.94000000000005</v>
      </c>
      <c r="E5342" s="6">
        <v>492.2</v>
      </c>
      <c r="F5342" s="6" t="s">
        <v>14</v>
      </c>
      <c r="G5342" s="8" t="s">
        <v>10183</v>
      </c>
      <c r="H5342" s="8" t="s">
        <v>27</v>
      </c>
      <c r="I5342" s="9">
        <v>4499</v>
      </c>
      <c r="J5342" s="20">
        <v>1</v>
      </c>
      <c r="K5342" s="20">
        <v>9025</v>
      </c>
      <c r="L5342" s="3" t="str">
        <f t="shared" si="173"/>
        <v>ΣΚΛΗΡΟΣ_ΣΙΤΟΣ</v>
      </c>
    </row>
    <row r="5343" spans="1:12" x14ac:dyDescent="0.25">
      <c r="A5343" s="1" t="str">
        <f t="shared" si="172"/>
        <v>ΣΚΛΗΡΟΣ ΣΙΤΟΣΣΙΤΟΣ ΣΚΛΗΡΟΣ ALTAR-AOS</v>
      </c>
      <c r="B5343" s="18" t="s">
        <v>8886</v>
      </c>
      <c r="C5343" s="19" t="s">
        <v>10184</v>
      </c>
      <c r="D5343" s="6">
        <v>517.94000000000005</v>
      </c>
      <c r="E5343" s="6">
        <v>492.2</v>
      </c>
      <c r="F5343" s="6" t="s">
        <v>14</v>
      </c>
      <c r="G5343" s="8" t="s">
        <v>10185</v>
      </c>
      <c r="H5343" s="8" t="s">
        <v>27</v>
      </c>
      <c r="I5343" s="9">
        <v>4500</v>
      </c>
      <c r="J5343" s="20">
        <v>1</v>
      </c>
      <c r="K5343" s="20">
        <v>9026</v>
      </c>
      <c r="L5343" s="3" t="str">
        <f t="shared" si="173"/>
        <v>ΣΚΛΗΡΟΣ_ΣΙΤΟΣ</v>
      </c>
    </row>
    <row r="5344" spans="1:12" ht="24" x14ac:dyDescent="0.25">
      <c r="A5344" s="1" t="str">
        <f t="shared" si="172"/>
        <v>ΣΚΛΗΡΟΣ ΣΙΤΟΣΣΙΤΟΣ ΣΚΛΗΡΟΣ AMILCAR</v>
      </c>
      <c r="B5344" s="4" t="s">
        <v>8886</v>
      </c>
      <c r="C5344" s="5" t="s">
        <v>10186</v>
      </c>
      <c r="D5344" s="6">
        <v>517.94000000000005</v>
      </c>
      <c r="E5344" s="6">
        <v>492.2</v>
      </c>
      <c r="F5344" s="7" t="s">
        <v>14</v>
      </c>
      <c r="G5344" s="8" t="s">
        <v>10187</v>
      </c>
      <c r="H5344" s="8" t="s">
        <v>16</v>
      </c>
      <c r="I5344" s="9">
        <v>202</v>
      </c>
      <c r="J5344" s="10">
        <v>1</v>
      </c>
      <c r="K5344" s="10">
        <v>9027</v>
      </c>
      <c r="L5344" s="3" t="str">
        <f t="shared" si="173"/>
        <v>ΣΚΛΗΡΟΣ_ΣΙΤΟΣ</v>
      </c>
    </row>
    <row r="5345" spans="1:12" x14ac:dyDescent="0.25">
      <c r="A5345" s="1" t="str">
        <f t="shared" si="172"/>
        <v>ΣΚΛΗΡΟΣ ΣΙΤΟΣΣΙΤΟΣ ΣΚΛΗΡΟΣ ANIBAL</v>
      </c>
      <c r="B5345" s="18" t="s">
        <v>8886</v>
      </c>
      <c r="C5345" s="19" t="s">
        <v>10188</v>
      </c>
      <c r="D5345" s="6">
        <v>517.94000000000005</v>
      </c>
      <c r="E5345" s="6">
        <v>492.2</v>
      </c>
      <c r="F5345" s="6" t="s">
        <v>14</v>
      </c>
      <c r="G5345" s="8" t="s">
        <v>10189</v>
      </c>
      <c r="H5345" s="8" t="s">
        <v>27</v>
      </c>
      <c r="I5345" s="9">
        <v>4501</v>
      </c>
      <c r="J5345" s="20">
        <v>1</v>
      </c>
      <c r="K5345" s="20">
        <v>9028</v>
      </c>
      <c r="L5345" s="3" t="str">
        <f t="shared" si="173"/>
        <v>ΣΚΛΗΡΟΣ_ΣΙΤΟΣ</v>
      </c>
    </row>
    <row r="5346" spans="1:12" x14ac:dyDescent="0.25">
      <c r="A5346" s="1" t="str">
        <f t="shared" si="172"/>
        <v>ΣΚΛΗΡΟΣ ΣΙΤΟΣΣΙΤΟΣ ΣΚΛΗΡΟΣ ANTON</v>
      </c>
      <c r="B5346" s="18" t="s">
        <v>8886</v>
      </c>
      <c r="C5346" s="19" t="s">
        <v>10190</v>
      </c>
      <c r="D5346" s="6">
        <v>517.94000000000005</v>
      </c>
      <c r="E5346" s="6">
        <v>492.2</v>
      </c>
      <c r="F5346" s="6" t="s">
        <v>14</v>
      </c>
      <c r="G5346" s="8" t="s">
        <v>10191</v>
      </c>
      <c r="H5346" s="8" t="s">
        <v>27</v>
      </c>
      <c r="I5346" s="9">
        <v>4502</v>
      </c>
      <c r="J5346" s="20">
        <v>1</v>
      </c>
      <c r="K5346" s="20">
        <v>9029</v>
      </c>
      <c r="L5346" s="3" t="str">
        <f t="shared" si="173"/>
        <v>ΣΚΛΗΡΟΣ_ΣΙΤΟΣ</v>
      </c>
    </row>
    <row r="5347" spans="1:12" x14ac:dyDescent="0.25">
      <c r="A5347" s="1" t="str">
        <f t="shared" si="172"/>
        <v>ΣΚΛΗΡΟΣ ΣΙΤΟΣΣΙΤΟΣ ΣΚΛΗΡΟΣ ARACENA</v>
      </c>
      <c r="B5347" s="18" t="s">
        <v>8886</v>
      </c>
      <c r="C5347" s="19" t="s">
        <v>10192</v>
      </c>
      <c r="D5347" s="6">
        <v>517.94000000000005</v>
      </c>
      <c r="E5347" s="6">
        <v>492.2</v>
      </c>
      <c r="F5347" s="6" t="s">
        <v>14</v>
      </c>
      <c r="G5347" s="8" t="s">
        <v>10193</v>
      </c>
      <c r="H5347" s="8" t="s">
        <v>27</v>
      </c>
      <c r="I5347" s="9">
        <v>4503</v>
      </c>
      <c r="J5347" s="20">
        <v>1</v>
      </c>
      <c r="K5347" s="20">
        <v>9030</v>
      </c>
      <c r="L5347" s="3" t="str">
        <f t="shared" si="173"/>
        <v>ΣΚΛΗΡΟΣ_ΣΙΤΟΣ</v>
      </c>
    </row>
    <row r="5348" spans="1:12" x14ac:dyDescent="0.25">
      <c r="A5348" s="1" t="str">
        <f t="shared" si="172"/>
        <v>ΣΚΛΗΡΟΣ ΣΙΤΟΣΣΙΤΟΣ ΣΚΛΗΡΟΣ ARCODURO</v>
      </c>
      <c r="B5348" s="4" t="s">
        <v>8886</v>
      </c>
      <c r="C5348" s="5" t="s">
        <v>10194</v>
      </c>
      <c r="D5348" s="6">
        <v>517.94000000000005</v>
      </c>
      <c r="E5348" s="6">
        <v>492.2</v>
      </c>
      <c r="F5348" s="7" t="s">
        <v>14</v>
      </c>
      <c r="G5348" s="8" t="s">
        <v>10195</v>
      </c>
      <c r="H5348" s="8" t="s">
        <v>27</v>
      </c>
      <c r="I5348" s="9">
        <v>210</v>
      </c>
      <c r="J5348" s="10">
        <v>1</v>
      </c>
      <c r="K5348" s="10">
        <v>9031</v>
      </c>
      <c r="L5348" s="3" t="str">
        <f t="shared" si="173"/>
        <v>ΣΚΛΗΡΟΣ_ΣΙΤΟΣ</v>
      </c>
    </row>
    <row r="5349" spans="1:12" x14ac:dyDescent="0.25">
      <c r="A5349" s="1" t="str">
        <f t="shared" si="172"/>
        <v>ΣΚΛΗΡΟΣ ΣΙΤΟΣΣΙΤΟΣ ΣΚΛΗΡΟΣ ARGOS</v>
      </c>
      <c r="B5349" s="18" t="s">
        <v>8886</v>
      </c>
      <c r="C5349" s="19" t="s">
        <v>10196</v>
      </c>
      <c r="D5349" s="6">
        <v>517.94000000000005</v>
      </c>
      <c r="E5349" s="6">
        <v>492.2</v>
      </c>
      <c r="F5349" s="6" t="s">
        <v>14</v>
      </c>
      <c r="G5349" s="8" t="s">
        <v>10197</v>
      </c>
      <c r="H5349" s="8" t="s">
        <v>27</v>
      </c>
      <c r="I5349" s="9">
        <v>4504</v>
      </c>
      <c r="J5349" s="20">
        <v>1</v>
      </c>
      <c r="K5349" s="20">
        <v>9032</v>
      </c>
      <c r="L5349" s="3" t="str">
        <f t="shared" si="173"/>
        <v>ΣΚΛΗΡΟΣ_ΣΙΤΟΣ</v>
      </c>
    </row>
    <row r="5350" spans="1:12" x14ac:dyDescent="0.25">
      <c r="A5350" s="1" t="str">
        <f t="shared" si="172"/>
        <v>ΣΚΛΗΡΟΣ ΣΙΤΟΣΣΙΤΟΣ ΣΚΛΗΡΟΣ ARIESOL</v>
      </c>
      <c r="B5350" s="18" t="s">
        <v>8886</v>
      </c>
      <c r="C5350" s="19" t="s">
        <v>10198</v>
      </c>
      <c r="D5350" s="6">
        <v>517.94000000000005</v>
      </c>
      <c r="E5350" s="6">
        <v>492.2</v>
      </c>
      <c r="F5350" s="6" t="s">
        <v>14</v>
      </c>
      <c r="G5350" s="8" t="s">
        <v>10199</v>
      </c>
      <c r="H5350" s="8" t="s">
        <v>27</v>
      </c>
      <c r="I5350" s="9">
        <v>4505</v>
      </c>
      <c r="J5350" s="20">
        <v>1</v>
      </c>
      <c r="K5350" s="20">
        <v>9033</v>
      </c>
      <c r="L5350" s="3" t="str">
        <f t="shared" si="173"/>
        <v>ΣΚΛΗΡΟΣ_ΣΙΤΟΣ</v>
      </c>
    </row>
    <row r="5351" spans="1:12" x14ac:dyDescent="0.25">
      <c r="A5351" s="1" t="str">
        <f t="shared" si="172"/>
        <v>ΣΚΛΗΡΟΣ ΣΙΤΟΣΣΙΤΟΣ ΣΚΛΗΡΟΣ ARONDE</v>
      </c>
      <c r="B5351" s="18" t="s">
        <v>8886</v>
      </c>
      <c r="C5351" s="19" t="s">
        <v>10200</v>
      </c>
      <c r="D5351" s="6">
        <v>517.94000000000005</v>
      </c>
      <c r="E5351" s="6">
        <v>492.2</v>
      </c>
      <c r="F5351" s="6" t="s">
        <v>14</v>
      </c>
      <c r="G5351" s="8" t="s">
        <v>10201</v>
      </c>
      <c r="H5351" s="8" t="s">
        <v>27</v>
      </c>
      <c r="I5351" s="9">
        <v>4506</v>
      </c>
      <c r="J5351" s="20">
        <v>1</v>
      </c>
      <c r="K5351" s="20">
        <v>9034</v>
      </c>
      <c r="L5351" s="3" t="str">
        <f t="shared" si="173"/>
        <v>ΣΚΛΗΡΟΣ_ΣΙΤΟΣ</v>
      </c>
    </row>
    <row r="5352" spans="1:12" x14ac:dyDescent="0.25">
      <c r="A5352" s="1" t="str">
        <f t="shared" si="172"/>
        <v>ΣΚΛΗΡΟΣ ΣΙΤΟΣΣΙΤΟΣ ΣΚΛΗΡΟΣ ARQUERO</v>
      </c>
      <c r="B5352" s="18" t="s">
        <v>8886</v>
      </c>
      <c r="C5352" s="19" t="s">
        <v>10202</v>
      </c>
      <c r="D5352" s="6">
        <v>517.94000000000005</v>
      </c>
      <c r="E5352" s="6">
        <v>492.2</v>
      </c>
      <c r="F5352" s="6" t="s">
        <v>14</v>
      </c>
      <c r="G5352" s="8" t="s">
        <v>10203</v>
      </c>
      <c r="H5352" s="8" t="s">
        <v>27</v>
      </c>
      <c r="I5352" s="9">
        <v>4507</v>
      </c>
      <c r="J5352" s="20">
        <v>1</v>
      </c>
      <c r="K5352" s="20">
        <v>9035</v>
      </c>
      <c r="L5352" s="3" t="str">
        <f t="shared" si="173"/>
        <v>ΣΚΛΗΡΟΣ_ΣΙΤΟΣ</v>
      </c>
    </row>
    <row r="5353" spans="1:12" x14ac:dyDescent="0.25">
      <c r="A5353" s="1" t="str">
        <f t="shared" si="172"/>
        <v>ΣΚΛΗΡΟΣ ΣΙΤΟΣΣΙΤΟΣ ΣΚΛΗΡΟΣ ARTENA</v>
      </c>
      <c r="B5353" s="18" t="s">
        <v>8886</v>
      </c>
      <c r="C5353" s="19" t="s">
        <v>10204</v>
      </c>
      <c r="D5353" s="6">
        <v>517.94000000000005</v>
      </c>
      <c r="E5353" s="6">
        <v>492.2</v>
      </c>
      <c r="F5353" s="6" t="s">
        <v>14</v>
      </c>
      <c r="G5353" s="8" t="s">
        <v>10205</v>
      </c>
      <c r="H5353" s="8" t="s">
        <v>27</v>
      </c>
      <c r="I5353" s="9">
        <v>4508</v>
      </c>
      <c r="J5353" s="20">
        <v>1</v>
      </c>
      <c r="K5353" s="20">
        <v>9036</v>
      </c>
      <c r="L5353" s="3" t="str">
        <f t="shared" si="173"/>
        <v>ΣΚΛΗΡΟΣ_ΣΙΤΟΣ</v>
      </c>
    </row>
    <row r="5354" spans="1:12" x14ac:dyDescent="0.25">
      <c r="A5354" s="1" t="str">
        <f t="shared" si="172"/>
        <v>ΣΚΛΗΡΟΣ ΣΙΤΟΣΣΙΤΟΣ ΣΚΛΗΡΟΣ ASDRUBAL</v>
      </c>
      <c r="B5354" s="18" t="s">
        <v>8886</v>
      </c>
      <c r="C5354" s="19" t="s">
        <v>10206</v>
      </c>
      <c r="D5354" s="6">
        <v>517.94000000000005</v>
      </c>
      <c r="E5354" s="6">
        <v>492.2</v>
      </c>
      <c r="F5354" s="6" t="s">
        <v>14</v>
      </c>
      <c r="G5354" s="8" t="s">
        <v>10207</v>
      </c>
      <c r="H5354" s="8" t="s">
        <v>27</v>
      </c>
      <c r="I5354" s="9">
        <v>4509</v>
      </c>
      <c r="J5354" s="20">
        <v>1</v>
      </c>
      <c r="K5354" s="20">
        <v>9037</v>
      </c>
      <c r="L5354" s="3" t="str">
        <f t="shared" si="173"/>
        <v>ΣΚΛΗΡΟΣ_ΣΙΤΟΣ</v>
      </c>
    </row>
    <row r="5355" spans="1:12" x14ac:dyDescent="0.25">
      <c r="A5355" s="1" t="str">
        <f t="shared" si="172"/>
        <v>ΣΚΛΗΡΟΣ ΣΙΤΟΣΣΙΤΟΣ ΣΚΛΗΡΟΣ ASTIGI</v>
      </c>
      <c r="B5355" s="18" t="s">
        <v>8886</v>
      </c>
      <c r="C5355" s="19" t="s">
        <v>10208</v>
      </c>
      <c r="D5355" s="6">
        <v>517.94000000000005</v>
      </c>
      <c r="E5355" s="6">
        <v>492.2</v>
      </c>
      <c r="F5355" s="6" t="s">
        <v>14</v>
      </c>
      <c r="G5355" s="8" t="s">
        <v>10209</v>
      </c>
      <c r="H5355" s="8" t="s">
        <v>27</v>
      </c>
      <c r="I5355" s="9">
        <v>4510</v>
      </c>
      <c r="J5355" s="20">
        <v>1</v>
      </c>
      <c r="K5355" s="20">
        <v>9038</v>
      </c>
      <c r="L5355" s="3" t="str">
        <f t="shared" si="173"/>
        <v>ΣΚΛΗΡΟΣ_ΣΙΤΟΣ</v>
      </c>
    </row>
    <row r="5356" spans="1:12" x14ac:dyDescent="0.25">
      <c r="A5356" s="1" t="str">
        <f t="shared" si="172"/>
        <v>ΣΚΛΗΡΟΣ ΣΙΤΟΣΣΙΤΟΣ ΣΚΛΗΡΟΣ ASTRODUR</v>
      </c>
      <c r="B5356" s="18" t="s">
        <v>8886</v>
      </c>
      <c r="C5356" s="19" t="s">
        <v>10210</v>
      </c>
      <c r="D5356" s="6">
        <v>517.94000000000005</v>
      </c>
      <c r="E5356" s="6">
        <v>492.2</v>
      </c>
      <c r="F5356" s="6" t="s">
        <v>14</v>
      </c>
      <c r="G5356" s="8" t="s">
        <v>10211</v>
      </c>
      <c r="H5356" s="8" t="s">
        <v>27</v>
      </c>
      <c r="I5356" s="9">
        <v>4511</v>
      </c>
      <c r="J5356" s="20">
        <v>1</v>
      </c>
      <c r="K5356" s="20">
        <v>9039</v>
      </c>
      <c r="L5356" s="3" t="str">
        <f t="shared" si="173"/>
        <v>ΣΚΛΗΡΟΣ_ΣΙΤΟΣ</v>
      </c>
    </row>
    <row r="5357" spans="1:12" ht="24" x14ac:dyDescent="0.25">
      <c r="A5357" s="1" t="str">
        <f t="shared" si="172"/>
        <v>ΣΚΛΗΡΟΣ ΣΙΤΟΣΣΙΤΟΣ ΣΚΛΗΡΟΣ ATTILA</v>
      </c>
      <c r="B5357" s="4" t="s">
        <v>8886</v>
      </c>
      <c r="C5357" s="5" t="s">
        <v>10212</v>
      </c>
      <c r="D5357" s="6">
        <v>517.94000000000005</v>
      </c>
      <c r="E5357" s="6">
        <v>492.2</v>
      </c>
      <c r="F5357" s="7" t="s">
        <v>14</v>
      </c>
      <c r="G5357" s="8" t="s">
        <v>10213</v>
      </c>
      <c r="H5357" s="8" t="s">
        <v>16</v>
      </c>
      <c r="I5357" s="9">
        <v>200</v>
      </c>
      <c r="J5357" s="10">
        <v>1</v>
      </c>
      <c r="K5357" s="10">
        <v>9040</v>
      </c>
      <c r="L5357" s="3" t="str">
        <f t="shared" si="173"/>
        <v>ΣΚΛΗΡΟΣ_ΣΙΤΟΣ</v>
      </c>
    </row>
    <row r="5358" spans="1:12" ht="24" x14ac:dyDescent="0.25">
      <c r="A5358" s="1" t="str">
        <f t="shared" si="172"/>
        <v>ΣΚΛΗΡΟΣ ΣΙΤΟΣΣΙΤΟΣ ΣΚΛΗΡΟΣ AVERROES</v>
      </c>
      <c r="B5358" s="4" t="s">
        <v>8886</v>
      </c>
      <c r="C5358" s="5" t="s">
        <v>10214</v>
      </c>
      <c r="D5358" s="6">
        <v>517.94000000000005</v>
      </c>
      <c r="E5358" s="6">
        <v>492.2</v>
      </c>
      <c r="F5358" s="7" t="s">
        <v>14</v>
      </c>
      <c r="G5358" s="8" t="s">
        <v>10215</v>
      </c>
      <c r="H5358" s="8" t="s">
        <v>16</v>
      </c>
      <c r="I5358" s="9">
        <v>199</v>
      </c>
      <c r="J5358" s="10">
        <v>1</v>
      </c>
      <c r="K5358" s="10">
        <v>9041</v>
      </c>
      <c r="L5358" s="3" t="str">
        <f t="shared" si="173"/>
        <v>ΣΚΛΗΡΟΣ_ΣΙΤΟΣ</v>
      </c>
    </row>
    <row r="5359" spans="1:12" x14ac:dyDescent="0.25">
      <c r="A5359" s="1" t="str">
        <f t="shared" si="172"/>
        <v>ΣΚΛΗΡΟΣ ΣΙΤΟΣΣΙΤΟΣ ΣΚΛΗΡΟΣ BOABDIL</v>
      </c>
      <c r="B5359" s="18" t="s">
        <v>8886</v>
      </c>
      <c r="C5359" s="19" t="s">
        <v>10216</v>
      </c>
      <c r="D5359" s="6">
        <v>517.94000000000005</v>
      </c>
      <c r="E5359" s="6">
        <v>492.2</v>
      </c>
      <c r="F5359" s="6" t="s">
        <v>14</v>
      </c>
      <c r="G5359" s="8" t="s">
        <v>10217</v>
      </c>
      <c r="H5359" s="8" t="s">
        <v>27</v>
      </c>
      <c r="I5359" s="9">
        <v>4512</v>
      </c>
      <c r="J5359" s="20">
        <v>1</v>
      </c>
      <c r="K5359" s="20">
        <v>9042</v>
      </c>
      <c r="L5359" s="3" t="str">
        <f t="shared" si="173"/>
        <v>ΣΚΛΗΡΟΣ_ΣΙΤΟΣ</v>
      </c>
    </row>
    <row r="5360" spans="1:12" x14ac:dyDescent="0.25">
      <c r="A5360" s="1" t="str">
        <f t="shared" si="172"/>
        <v>ΣΚΛΗΡΟΣ ΣΙΤΟΣΣΙΤΟΣ ΣΚΛΗΡΟΣ BOLENGA</v>
      </c>
      <c r="B5360" s="4" t="s">
        <v>8886</v>
      </c>
      <c r="C5360" s="5" t="s">
        <v>10218</v>
      </c>
      <c r="D5360" s="6">
        <v>517.94000000000005</v>
      </c>
      <c r="E5360" s="6">
        <v>492.2</v>
      </c>
      <c r="F5360" s="7" t="s">
        <v>14</v>
      </c>
      <c r="G5360" s="8" t="s">
        <v>10219</v>
      </c>
      <c r="H5360" s="8" t="s">
        <v>27</v>
      </c>
      <c r="I5360" s="9">
        <v>198</v>
      </c>
      <c r="J5360" s="10">
        <v>1</v>
      </c>
      <c r="K5360" s="10">
        <v>9043</v>
      </c>
      <c r="L5360" s="3" t="str">
        <f t="shared" si="173"/>
        <v>ΣΚΛΗΡΟΣ_ΣΙΤΟΣ</v>
      </c>
    </row>
    <row r="5361" spans="1:12" x14ac:dyDescent="0.25">
      <c r="A5361" s="1" t="str">
        <f t="shared" si="172"/>
        <v>ΣΚΛΗΡΟΣ ΣΙΤΟΣΣΙΤΟΣ ΣΚΛΗΡΟΣ BOLIDO</v>
      </c>
      <c r="B5361" s="4" t="s">
        <v>8886</v>
      </c>
      <c r="C5361" s="5" t="s">
        <v>10220</v>
      </c>
      <c r="D5361" s="6">
        <v>517.94000000000005</v>
      </c>
      <c r="E5361" s="6">
        <v>492.2</v>
      </c>
      <c r="F5361" s="7" t="s">
        <v>14</v>
      </c>
      <c r="G5361" s="8" t="s">
        <v>10221</v>
      </c>
      <c r="H5361" s="8" t="s">
        <v>27</v>
      </c>
      <c r="I5361" s="9">
        <v>197</v>
      </c>
      <c r="J5361" s="10">
        <v>1</v>
      </c>
      <c r="K5361" s="10">
        <v>9044</v>
      </c>
      <c r="L5361" s="3" t="str">
        <f t="shared" si="173"/>
        <v>ΣΚΛΗΡΟΣ_ΣΙΤΟΣ</v>
      </c>
    </row>
    <row r="5362" spans="1:12" x14ac:dyDescent="0.25">
      <c r="A5362" s="1" t="str">
        <f t="shared" si="172"/>
        <v>ΣΚΛΗΡΟΣ ΣΙΤΟΣΣΙΤΟΣ ΣΚΛΗΡΟΣ BOMBASI</v>
      </c>
      <c r="B5362" s="4" t="s">
        <v>8886</v>
      </c>
      <c r="C5362" s="5" t="s">
        <v>10222</v>
      </c>
      <c r="D5362" s="6">
        <v>517.94000000000005</v>
      </c>
      <c r="E5362" s="6">
        <v>492.2</v>
      </c>
      <c r="F5362" s="7" t="s">
        <v>14</v>
      </c>
      <c r="G5362" s="8" t="s">
        <v>10223</v>
      </c>
      <c r="H5362" s="8" t="s">
        <v>27</v>
      </c>
      <c r="I5362" s="9">
        <v>217</v>
      </c>
      <c r="J5362" s="10">
        <v>1</v>
      </c>
      <c r="K5362" s="10">
        <v>9045</v>
      </c>
      <c r="L5362" s="3" t="str">
        <f t="shared" si="173"/>
        <v>ΣΚΛΗΡΟΣ_ΣΙΤΟΣ</v>
      </c>
    </row>
    <row r="5363" spans="1:12" x14ac:dyDescent="0.25">
      <c r="A5363" s="1" t="str">
        <f t="shared" si="172"/>
        <v>ΣΚΛΗΡΟΣ ΣΙΤΟΣΣΙΤΟΣ ΣΚΛΗΡΟΣ BONZO</v>
      </c>
      <c r="B5363" s="4" t="s">
        <v>8886</v>
      </c>
      <c r="C5363" s="5" t="s">
        <v>10224</v>
      </c>
      <c r="D5363" s="6">
        <v>517.94000000000005</v>
      </c>
      <c r="E5363" s="6">
        <v>492.2</v>
      </c>
      <c r="F5363" s="7" t="s">
        <v>14</v>
      </c>
      <c r="G5363" s="8" t="s">
        <v>10225</v>
      </c>
      <c r="H5363" s="8" t="s">
        <v>27</v>
      </c>
      <c r="I5363" s="9">
        <v>201</v>
      </c>
      <c r="J5363" s="10">
        <v>1</v>
      </c>
      <c r="K5363" s="10">
        <v>9046</v>
      </c>
      <c r="L5363" s="3" t="str">
        <f t="shared" si="173"/>
        <v>ΣΚΛΗΡΟΣ_ΣΙΤΟΣ</v>
      </c>
    </row>
    <row r="5364" spans="1:12" x14ac:dyDescent="0.25">
      <c r="A5364" s="1" t="str">
        <f t="shared" si="172"/>
        <v>ΣΚΛΗΡΟΣ ΣΙΤΟΣΣΙΤΟΣ ΣΚΛΗΡΟΣ BORGIA</v>
      </c>
      <c r="B5364" s="18" t="s">
        <v>8886</v>
      </c>
      <c r="C5364" s="19" t="s">
        <v>10226</v>
      </c>
      <c r="D5364" s="6">
        <v>517.94000000000005</v>
      </c>
      <c r="E5364" s="6">
        <v>492.2</v>
      </c>
      <c r="F5364" s="6" t="s">
        <v>14</v>
      </c>
      <c r="G5364" s="8" t="s">
        <v>10227</v>
      </c>
      <c r="H5364" s="8" t="s">
        <v>27</v>
      </c>
      <c r="I5364" s="9">
        <v>4513</v>
      </c>
      <c r="J5364" s="20">
        <v>1</v>
      </c>
      <c r="K5364" s="20">
        <v>9047</v>
      </c>
      <c r="L5364" s="3" t="str">
        <f t="shared" si="173"/>
        <v>ΣΚΛΗΡΟΣ_ΣΙΤΟΣ</v>
      </c>
    </row>
    <row r="5365" spans="1:12" x14ac:dyDescent="0.25">
      <c r="A5365" s="1" t="str">
        <f t="shared" si="172"/>
        <v>ΣΚΛΗΡΟΣ ΣΙΤΟΣΣΙΤΟΣ ΣΚΛΗΡΟΣ BORLI</v>
      </c>
      <c r="B5365" s="4" t="s">
        <v>8886</v>
      </c>
      <c r="C5365" s="5" t="s">
        <v>10228</v>
      </c>
      <c r="D5365" s="6">
        <v>517.94000000000005</v>
      </c>
      <c r="E5365" s="6">
        <v>492.2</v>
      </c>
      <c r="F5365" s="7" t="s">
        <v>14</v>
      </c>
      <c r="G5365" s="8" t="s">
        <v>10229</v>
      </c>
      <c r="H5365" s="8" t="s">
        <v>27</v>
      </c>
      <c r="I5365" s="9">
        <v>203</v>
      </c>
      <c r="J5365" s="10">
        <v>1</v>
      </c>
      <c r="K5365" s="10">
        <v>9048</v>
      </c>
      <c r="L5365" s="3" t="str">
        <f t="shared" si="173"/>
        <v>ΣΚΛΗΡΟΣ_ΣΙΤΟΣ</v>
      </c>
    </row>
    <row r="5366" spans="1:12" x14ac:dyDescent="0.25">
      <c r="A5366" s="1" t="str">
        <f t="shared" si="172"/>
        <v>ΣΚΛΗΡΟΣ ΣΙΤΟΣΣΙΤΟΣ ΣΚΛΗΡΟΣ BRAVADUR</v>
      </c>
      <c r="B5366" s="18" t="s">
        <v>8886</v>
      </c>
      <c r="C5366" s="19" t="s">
        <v>10230</v>
      </c>
      <c r="D5366" s="6">
        <v>517.94000000000005</v>
      </c>
      <c r="E5366" s="6">
        <v>492.2</v>
      </c>
      <c r="F5366" s="6" t="s">
        <v>14</v>
      </c>
      <c r="G5366" s="8" t="s">
        <v>10231</v>
      </c>
      <c r="H5366" s="8" t="s">
        <v>27</v>
      </c>
      <c r="I5366" s="9">
        <v>4514</v>
      </c>
      <c r="J5366" s="20">
        <v>1</v>
      </c>
      <c r="K5366" s="20">
        <v>9049</v>
      </c>
      <c r="L5366" s="3" t="str">
        <f t="shared" si="173"/>
        <v>ΣΚΛΗΡΟΣ_ΣΙΤΟΣ</v>
      </c>
    </row>
    <row r="5367" spans="1:12" ht="24" x14ac:dyDescent="0.25">
      <c r="A5367" s="1" t="str">
        <f t="shared" si="172"/>
        <v>ΣΚΛΗΡΟΣ ΣΙΤΟΣΣΙΤΟΣ ΣΚΛΗΡΟΣ BURGOS</v>
      </c>
      <c r="B5367" s="4" t="s">
        <v>8886</v>
      </c>
      <c r="C5367" s="5" t="s">
        <v>10232</v>
      </c>
      <c r="D5367" s="6">
        <v>517.94000000000005</v>
      </c>
      <c r="E5367" s="6">
        <v>492.2</v>
      </c>
      <c r="F5367" s="7" t="s">
        <v>14</v>
      </c>
      <c r="G5367" s="8" t="s">
        <v>10233</v>
      </c>
      <c r="H5367" s="8" t="s">
        <v>16</v>
      </c>
      <c r="I5367" s="9">
        <v>225</v>
      </c>
      <c r="J5367" s="10">
        <v>1</v>
      </c>
      <c r="K5367" s="10">
        <v>9050</v>
      </c>
      <c r="L5367" s="3" t="str">
        <f t="shared" si="173"/>
        <v>ΣΚΛΗΡΟΣ_ΣΙΤΟΣ</v>
      </c>
    </row>
    <row r="5368" spans="1:12" x14ac:dyDescent="0.25">
      <c r="A5368" s="1" t="str">
        <f t="shared" si="172"/>
        <v>ΣΚΛΗΡΟΣ ΣΙΤΟΣΣΙΤΟΣ ΣΚΛΗΡΟΣ CAMACHO</v>
      </c>
      <c r="B5368" s="4" t="s">
        <v>8886</v>
      </c>
      <c r="C5368" s="5" t="s">
        <v>10234</v>
      </c>
      <c r="D5368" s="6">
        <v>517.94000000000005</v>
      </c>
      <c r="E5368" s="6">
        <v>492.2</v>
      </c>
      <c r="F5368" s="7" t="s">
        <v>14</v>
      </c>
      <c r="G5368" s="8" t="s">
        <v>10235</v>
      </c>
      <c r="H5368" s="8" t="s">
        <v>27</v>
      </c>
      <c r="I5368" s="9">
        <v>224</v>
      </c>
      <c r="J5368" s="10">
        <v>1</v>
      </c>
      <c r="K5368" s="10">
        <v>9051</v>
      </c>
      <c r="L5368" s="3" t="str">
        <f t="shared" si="173"/>
        <v>ΣΚΛΗΡΟΣ_ΣΙΤΟΣ</v>
      </c>
    </row>
    <row r="5369" spans="1:12" x14ac:dyDescent="0.25">
      <c r="A5369" s="1" t="str">
        <f t="shared" si="172"/>
        <v>ΣΚΛΗΡΟΣ ΣΙΤΟΣΣΙΤΟΣ ΣΚΛΗΡΟΣ CANYON</v>
      </c>
      <c r="B5369" s="18" t="s">
        <v>8886</v>
      </c>
      <c r="C5369" s="19" t="s">
        <v>10236</v>
      </c>
      <c r="D5369" s="6">
        <v>517.94000000000005</v>
      </c>
      <c r="E5369" s="6">
        <v>492.2</v>
      </c>
      <c r="F5369" s="6" t="s">
        <v>14</v>
      </c>
      <c r="G5369" s="8" t="s">
        <v>10237</v>
      </c>
      <c r="H5369" s="8" t="s">
        <v>27</v>
      </c>
      <c r="I5369" s="9">
        <v>4515</v>
      </c>
      <c r="J5369" s="20">
        <v>1</v>
      </c>
      <c r="K5369" s="20">
        <v>9052</v>
      </c>
      <c r="L5369" s="3" t="str">
        <f t="shared" si="173"/>
        <v>ΣΚΛΗΡΟΣ_ΣΙΤΟΣ</v>
      </c>
    </row>
    <row r="5370" spans="1:12" ht="24" x14ac:dyDescent="0.25">
      <c r="A5370" s="1" t="str">
        <f t="shared" si="172"/>
        <v>ΣΚΛΗΡΟΣ ΣΙΤΟΣΣΙΤΟΣ ΣΚΛΗΡΟΣ CARPIO</v>
      </c>
      <c r="B5370" s="4" t="s">
        <v>8886</v>
      </c>
      <c r="C5370" s="5" t="s">
        <v>10238</v>
      </c>
      <c r="D5370" s="6">
        <v>517.94000000000005</v>
      </c>
      <c r="E5370" s="6">
        <v>492.2</v>
      </c>
      <c r="F5370" s="7" t="s">
        <v>14</v>
      </c>
      <c r="G5370" s="8" t="s">
        <v>10239</v>
      </c>
      <c r="H5370" s="8" t="s">
        <v>16</v>
      </c>
      <c r="I5370" s="9">
        <v>223</v>
      </c>
      <c r="J5370" s="10">
        <v>1</v>
      </c>
      <c r="K5370" s="10">
        <v>9053</v>
      </c>
      <c r="L5370" s="3" t="str">
        <f t="shared" si="173"/>
        <v>ΣΚΛΗΡΟΣ_ΣΙΤΟΣ</v>
      </c>
    </row>
    <row r="5371" spans="1:12" x14ac:dyDescent="0.25">
      <c r="A5371" s="1" t="str">
        <f t="shared" si="172"/>
        <v>ΣΚΛΗΡΟΣ ΣΙΤΟΣΣΙΤΟΣ ΣΚΛΗΡΟΣ CARTAGO</v>
      </c>
      <c r="B5371" s="18" t="s">
        <v>8886</v>
      </c>
      <c r="C5371" s="19" t="s">
        <v>10240</v>
      </c>
      <c r="D5371" s="6">
        <v>517.94000000000005</v>
      </c>
      <c r="E5371" s="6">
        <v>492.2</v>
      </c>
      <c r="F5371" s="6" t="s">
        <v>14</v>
      </c>
      <c r="G5371" s="8" t="s">
        <v>10241</v>
      </c>
      <c r="H5371" s="8" t="s">
        <v>27</v>
      </c>
      <c r="I5371" s="9">
        <v>4516</v>
      </c>
      <c r="J5371" s="20">
        <v>1</v>
      </c>
      <c r="K5371" s="20">
        <v>9054</v>
      </c>
      <c r="L5371" s="3" t="str">
        <f t="shared" si="173"/>
        <v>ΣΚΛΗΡΟΣ_ΣΙΤΟΣ</v>
      </c>
    </row>
    <row r="5372" spans="1:12" x14ac:dyDescent="0.25">
      <c r="A5372" s="1" t="str">
        <f t="shared" si="172"/>
        <v>ΣΚΛΗΡΟΣ ΣΙΤΟΣΣΙΤΟΣ ΣΚΛΗΡΟΣ CIBELES</v>
      </c>
      <c r="B5372" s="18" t="s">
        <v>8886</v>
      </c>
      <c r="C5372" s="19" t="s">
        <v>10242</v>
      </c>
      <c r="D5372" s="6">
        <v>517.94000000000005</v>
      </c>
      <c r="E5372" s="6">
        <v>492.2</v>
      </c>
      <c r="F5372" s="6" t="s">
        <v>14</v>
      </c>
      <c r="G5372" s="8" t="s">
        <v>10243</v>
      </c>
      <c r="H5372" s="8" t="s">
        <v>27</v>
      </c>
      <c r="I5372" s="9">
        <v>4517</v>
      </c>
      <c r="J5372" s="20">
        <v>1</v>
      </c>
      <c r="K5372" s="20">
        <v>9055</v>
      </c>
      <c r="L5372" s="3" t="str">
        <f t="shared" si="173"/>
        <v>ΣΚΛΗΡΟΣ_ΣΙΤΟΣ</v>
      </c>
    </row>
    <row r="5373" spans="1:12" x14ac:dyDescent="0.25">
      <c r="A5373" s="1" t="str">
        <f t="shared" si="172"/>
        <v>ΣΚΛΗΡΟΣ ΣΙΤΟΣΣΙΤΟΣ ΣΚΛΗΡΟΣ CLAROFINO</v>
      </c>
      <c r="B5373" s="18" t="s">
        <v>8886</v>
      </c>
      <c r="C5373" s="19" t="s">
        <v>10244</v>
      </c>
      <c r="D5373" s="6">
        <v>517.94000000000005</v>
      </c>
      <c r="E5373" s="6">
        <v>492.2</v>
      </c>
      <c r="F5373" s="6" t="s">
        <v>14</v>
      </c>
      <c r="G5373" s="8" t="s">
        <v>10245</v>
      </c>
      <c r="H5373" s="8" t="s">
        <v>27</v>
      </c>
      <c r="I5373" s="9">
        <v>4518</v>
      </c>
      <c r="J5373" s="20">
        <v>1</v>
      </c>
      <c r="K5373" s="20">
        <v>9056</v>
      </c>
      <c r="L5373" s="3" t="str">
        <f t="shared" si="173"/>
        <v>ΣΚΛΗΡΟΣ_ΣΙΤΟΣ</v>
      </c>
    </row>
    <row r="5374" spans="1:12" x14ac:dyDescent="0.25">
      <c r="A5374" s="1" t="str">
        <f t="shared" si="172"/>
        <v>ΣΚΛΗΡΟΣ ΣΙΤΟΣΣΙΤΟΣ ΣΚΛΗΡΟΣ CHAGO</v>
      </c>
      <c r="B5374" s="18" t="s">
        <v>8886</v>
      </c>
      <c r="C5374" s="19" t="s">
        <v>10246</v>
      </c>
      <c r="D5374" s="6">
        <v>517.94000000000005</v>
      </c>
      <c r="E5374" s="6">
        <v>492.2</v>
      </c>
      <c r="F5374" s="6" t="s">
        <v>14</v>
      </c>
      <c r="G5374" s="8" t="s">
        <v>10247</v>
      </c>
      <c r="H5374" s="8" t="s">
        <v>27</v>
      </c>
      <c r="I5374" s="9">
        <v>4519</v>
      </c>
      <c r="J5374" s="20">
        <v>1</v>
      </c>
      <c r="K5374" s="20">
        <v>9057</v>
      </c>
      <c r="L5374" s="3" t="str">
        <f t="shared" si="173"/>
        <v>ΣΚΛΗΡΟΣ_ΣΙΤΟΣ</v>
      </c>
    </row>
    <row r="5375" spans="1:12" x14ac:dyDescent="0.25">
      <c r="A5375" s="1" t="str">
        <f t="shared" si="172"/>
        <v>ΣΚΛΗΡΟΣ ΣΙΤΟΣΣΙΤΟΣ ΣΚΛΗΡΟΣ D-2536</v>
      </c>
      <c r="B5375" s="18" t="s">
        <v>8886</v>
      </c>
      <c r="C5375" s="19" t="s">
        <v>10248</v>
      </c>
      <c r="D5375" s="6">
        <v>517.94000000000005</v>
      </c>
      <c r="E5375" s="6">
        <v>492.2</v>
      </c>
      <c r="F5375" s="6" t="s">
        <v>14</v>
      </c>
      <c r="G5375" s="8" t="s">
        <v>10249</v>
      </c>
      <c r="H5375" s="8" t="s">
        <v>27</v>
      </c>
      <c r="I5375" s="9">
        <v>4520</v>
      </c>
      <c r="J5375" s="20">
        <v>1</v>
      </c>
      <c r="K5375" s="20">
        <v>9058</v>
      </c>
      <c r="L5375" s="3" t="str">
        <f t="shared" si="173"/>
        <v>ΣΚΛΗΡΟΣ_ΣΙΤΟΣ</v>
      </c>
    </row>
    <row r="5376" spans="1:12" x14ac:dyDescent="0.25">
      <c r="A5376" s="1" t="str">
        <f t="shared" si="172"/>
        <v>ΣΚΛΗΡΟΣ ΣΙΤΟΣΣΙΤΟΣ ΣΚΛΗΡΟΣ D-2663</v>
      </c>
      <c r="B5376" s="18" t="s">
        <v>8886</v>
      </c>
      <c r="C5376" s="19" t="s">
        <v>10250</v>
      </c>
      <c r="D5376" s="6">
        <v>517.94000000000005</v>
      </c>
      <c r="E5376" s="6">
        <v>492.2</v>
      </c>
      <c r="F5376" s="6" t="s">
        <v>14</v>
      </c>
      <c r="G5376" s="8" t="s">
        <v>10251</v>
      </c>
      <c r="H5376" s="8" t="s">
        <v>27</v>
      </c>
      <c r="I5376" s="9">
        <v>4521</v>
      </c>
      <c r="J5376" s="20">
        <v>1</v>
      </c>
      <c r="K5376" s="20">
        <v>9059</v>
      </c>
      <c r="L5376" s="3" t="str">
        <f t="shared" si="173"/>
        <v>ΣΚΛΗΡΟΣ_ΣΙΤΟΣ</v>
      </c>
    </row>
    <row r="5377" spans="1:12" x14ac:dyDescent="0.25">
      <c r="A5377" s="1" t="str">
        <f t="shared" si="172"/>
        <v>ΣΚΛΗΡΟΣ ΣΙΤΟΣΣΙΤΟΣ ΣΚΛΗΡΟΣ D-3816</v>
      </c>
      <c r="B5377" s="18" t="s">
        <v>8886</v>
      </c>
      <c r="C5377" s="19" t="s">
        <v>10252</v>
      </c>
      <c r="D5377" s="6">
        <v>517.94000000000005</v>
      </c>
      <c r="E5377" s="6">
        <v>492.2</v>
      </c>
      <c r="F5377" s="6" t="s">
        <v>14</v>
      </c>
      <c r="G5377" s="8" t="s">
        <v>10253</v>
      </c>
      <c r="H5377" s="8" t="s">
        <v>27</v>
      </c>
      <c r="I5377" s="9">
        <v>4522</v>
      </c>
      <c r="J5377" s="20">
        <v>1</v>
      </c>
      <c r="K5377" s="20">
        <v>9060</v>
      </c>
      <c r="L5377" s="3" t="str">
        <f t="shared" si="173"/>
        <v>ΣΚΛΗΡΟΣ_ΣΙΤΟΣ</v>
      </c>
    </row>
    <row r="5378" spans="1:12" x14ac:dyDescent="0.25">
      <c r="A5378" s="1" t="str">
        <f t="shared" si="172"/>
        <v>ΣΚΛΗΡΟΣ ΣΙΤΟΣΣΙΤΟΣ ΣΚΛΗΡΟΣ D-5262</v>
      </c>
      <c r="B5378" s="18" t="s">
        <v>8886</v>
      </c>
      <c r="C5378" s="19" t="s">
        <v>10254</v>
      </c>
      <c r="D5378" s="6">
        <v>517.94000000000005</v>
      </c>
      <c r="E5378" s="6">
        <v>492.2</v>
      </c>
      <c r="F5378" s="6" t="s">
        <v>14</v>
      </c>
      <c r="G5378" s="8" t="s">
        <v>10255</v>
      </c>
      <c r="H5378" s="8" t="s">
        <v>27</v>
      </c>
      <c r="I5378" s="9">
        <v>4523</v>
      </c>
      <c r="J5378" s="20">
        <v>1</v>
      </c>
      <c r="K5378" s="20">
        <v>9061</v>
      </c>
      <c r="L5378" s="3" t="str">
        <f t="shared" si="173"/>
        <v>ΣΚΛΗΡΟΣ_ΣΙΤΟΣ</v>
      </c>
    </row>
    <row r="5379" spans="1:12" x14ac:dyDescent="0.25">
      <c r="A5379" s="1" t="str">
        <f t="shared" ref="A5379:A5442" si="174">_xlfn.CONCAT(B5379,C5379)</f>
        <v>ΣΚΛΗΡΟΣ ΣΙΤΟΣΣΙΤΟΣ ΣΚΛΗΡΟΣ DEBANO</v>
      </c>
      <c r="B5379" s="18" t="s">
        <v>8886</v>
      </c>
      <c r="C5379" s="19" t="s">
        <v>10256</v>
      </c>
      <c r="D5379" s="6">
        <v>517.94000000000005</v>
      </c>
      <c r="E5379" s="6">
        <v>492.2</v>
      </c>
      <c r="F5379" s="6" t="s">
        <v>14</v>
      </c>
      <c r="G5379" s="8" t="s">
        <v>10257</v>
      </c>
      <c r="H5379" s="8" t="s">
        <v>27</v>
      </c>
      <c r="I5379" s="9">
        <v>4524</v>
      </c>
      <c r="J5379" s="20">
        <v>1</v>
      </c>
      <c r="K5379" s="20">
        <v>9062</v>
      </c>
      <c r="L5379" s="3" t="str">
        <f t="shared" ref="L5379:L5442" si="175">IFERROR(SUBSTITUTE(SUBSTITUTE(SUBSTITUTE(SUBSTITUTE(SUBSTITUTE(B5379, "-", "_"), " ", "_"), ",", ""), "(", ""), ")", ""), B5379)</f>
        <v>ΣΚΛΗΡΟΣ_ΣΙΤΟΣ</v>
      </c>
    </row>
    <row r="5380" spans="1:12" x14ac:dyDescent="0.25">
      <c r="A5380" s="1" t="str">
        <f t="shared" si="174"/>
        <v>ΣΚΛΗΡΟΣ ΣΙΤΟΣΣΙΤΟΣ ΣΚΛΗΡΟΣ DELTON</v>
      </c>
      <c r="B5380" s="18" t="s">
        <v>8886</v>
      </c>
      <c r="C5380" s="19" t="s">
        <v>10258</v>
      </c>
      <c r="D5380" s="6">
        <v>517.94000000000005</v>
      </c>
      <c r="E5380" s="6">
        <v>492.2</v>
      </c>
      <c r="F5380" s="6" t="s">
        <v>14</v>
      </c>
      <c r="G5380" s="8" t="s">
        <v>10259</v>
      </c>
      <c r="H5380" s="8" t="s">
        <v>27</v>
      </c>
      <c r="I5380" s="9">
        <v>4525</v>
      </c>
      <c r="J5380" s="20">
        <v>1</v>
      </c>
      <c r="K5380" s="20">
        <v>9063</v>
      </c>
      <c r="L5380" s="3" t="str">
        <f t="shared" si="175"/>
        <v>ΣΚΛΗΡΟΣ_ΣΙΤΟΣ</v>
      </c>
    </row>
    <row r="5381" spans="1:12" x14ac:dyDescent="0.25">
      <c r="A5381" s="1" t="str">
        <f t="shared" si="174"/>
        <v>ΣΚΛΗΡΟΣ ΣΙΤΟΣΣΙΤΟΣ ΣΚΛΗΡΟΣ DON DURO</v>
      </c>
      <c r="B5381" s="18" t="s">
        <v>8886</v>
      </c>
      <c r="C5381" s="19" t="s">
        <v>10260</v>
      </c>
      <c r="D5381" s="6">
        <v>517.94000000000005</v>
      </c>
      <c r="E5381" s="6">
        <v>492.2</v>
      </c>
      <c r="F5381" s="6" t="s">
        <v>14</v>
      </c>
      <c r="G5381" s="8" t="s">
        <v>10261</v>
      </c>
      <c r="H5381" s="8" t="s">
        <v>27</v>
      </c>
      <c r="I5381" s="9">
        <v>4526</v>
      </c>
      <c r="J5381" s="20">
        <v>1</v>
      </c>
      <c r="K5381" s="20">
        <v>9064</v>
      </c>
      <c r="L5381" s="3" t="str">
        <f t="shared" si="175"/>
        <v>ΣΚΛΗΡΟΣ_ΣΙΤΟΣ</v>
      </c>
    </row>
    <row r="5382" spans="1:12" x14ac:dyDescent="0.25">
      <c r="A5382" s="1" t="str">
        <f t="shared" si="174"/>
        <v>ΣΚΛΗΡΟΣ ΣΙΤΟΣΣΙΤΟΣ ΣΚΛΗΡΟΣ DON FRANCISCO</v>
      </c>
      <c r="B5382" s="18" t="s">
        <v>8886</v>
      </c>
      <c r="C5382" s="19" t="s">
        <v>10262</v>
      </c>
      <c r="D5382" s="6">
        <v>517.94000000000005</v>
      </c>
      <c r="E5382" s="6">
        <v>492.2</v>
      </c>
      <c r="F5382" s="6" t="s">
        <v>14</v>
      </c>
      <c r="G5382" s="8" t="s">
        <v>10263</v>
      </c>
      <c r="H5382" s="8" t="s">
        <v>27</v>
      </c>
      <c r="I5382" s="9">
        <v>4527</v>
      </c>
      <c r="J5382" s="20">
        <v>1</v>
      </c>
      <c r="K5382" s="20">
        <v>9065</v>
      </c>
      <c r="L5382" s="3" t="str">
        <f t="shared" si="175"/>
        <v>ΣΚΛΗΡΟΣ_ΣΙΤΟΣ</v>
      </c>
    </row>
    <row r="5383" spans="1:12" ht="24" x14ac:dyDescent="0.25">
      <c r="A5383" s="1" t="str">
        <f t="shared" si="174"/>
        <v>ΣΚΛΗΡΟΣ ΣΙΤΟΣΣΙΤΟΣ ΣΚΛΗΡΟΣ DON JOSE</v>
      </c>
      <c r="B5383" s="4" t="s">
        <v>8886</v>
      </c>
      <c r="C5383" s="5" t="s">
        <v>10264</v>
      </c>
      <c r="D5383" s="6">
        <v>517.94000000000005</v>
      </c>
      <c r="E5383" s="6">
        <v>492.2</v>
      </c>
      <c r="F5383" s="7" t="s">
        <v>14</v>
      </c>
      <c r="G5383" s="8" t="s">
        <v>10265</v>
      </c>
      <c r="H5383" s="8" t="s">
        <v>16</v>
      </c>
      <c r="I5383" s="9">
        <v>222</v>
      </c>
      <c r="J5383" s="10">
        <v>1</v>
      </c>
      <c r="K5383" s="10">
        <v>9066</v>
      </c>
      <c r="L5383" s="3" t="str">
        <f t="shared" si="175"/>
        <v>ΣΚΛΗΡΟΣ_ΣΙΤΟΣ</v>
      </c>
    </row>
    <row r="5384" spans="1:12" x14ac:dyDescent="0.25">
      <c r="A5384" s="1" t="str">
        <f t="shared" si="174"/>
        <v>ΣΚΛΗΡΟΣ ΣΙΤΟΣΣΙΤΟΣ ΣΚΛΗΡΟΣ DON MANUEL</v>
      </c>
      <c r="B5384" s="18" t="s">
        <v>8886</v>
      </c>
      <c r="C5384" s="19" t="s">
        <v>10266</v>
      </c>
      <c r="D5384" s="6">
        <v>517.94000000000005</v>
      </c>
      <c r="E5384" s="6">
        <v>492.2</v>
      </c>
      <c r="F5384" s="6" t="s">
        <v>14</v>
      </c>
      <c r="G5384" s="8" t="s">
        <v>10267</v>
      </c>
      <c r="H5384" s="8" t="s">
        <v>27</v>
      </c>
      <c r="I5384" s="9">
        <v>4528</v>
      </c>
      <c r="J5384" s="20">
        <v>1</v>
      </c>
      <c r="K5384" s="20">
        <v>9067</v>
      </c>
      <c r="L5384" s="3" t="str">
        <f t="shared" si="175"/>
        <v>ΣΚΛΗΡΟΣ_ΣΙΤΟΣ</v>
      </c>
    </row>
    <row r="5385" spans="1:12" ht="24" x14ac:dyDescent="0.25">
      <c r="A5385" s="1" t="str">
        <f t="shared" si="174"/>
        <v>ΣΚΛΗΡΟΣ ΣΙΤΟΣΣΙΤΟΣ ΣΚΛΗΡΟΣ DON PEDRO</v>
      </c>
      <c r="B5385" s="4" t="s">
        <v>8886</v>
      </c>
      <c r="C5385" s="5" t="s">
        <v>10268</v>
      </c>
      <c r="D5385" s="6">
        <v>517.94000000000005</v>
      </c>
      <c r="E5385" s="6">
        <v>492.2</v>
      </c>
      <c r="F5385" s="7" t="s">
        <v>14</v>
      </c>
      <c r="G5385" s="8" t="s">
        <v>10269</v>
      </c>
      <c r="H5385" s="8" t="s">
        <v>16</v>
      </c>
      <c r="I5385" s="9">
        <v>221</v>
      </c>
      <c r="J5385" s="10">
        <v>1</v>
      </c>
      <c r="K5385" s="10">
        <v>9068</v>
      </c>
      <c r="L5385" s="3" t="str">
        <f t="shared" si="175"/>
        <v>ΣΚΛΗΡΟΣ_ΣΙΤΟΣ</v>
      </c>
    </row>
    <row r="5386" spans="1:12" x14ac:dyDescent="0.25">
      <c r="A5386" s="1" t="str">
        <f t="shared" si="174"/>
        <v>ΣΚΛΗΡΟΣ ΣΙΤΟΣΣΙΤΟΣ ΣΚΛΗΡΟΣ DON RAFAEL</v>
      </c>
      <c r="B5386" s="18" t="s">
        <v>8886</v>
      </c>
      <c r="C5386" s="19" t="s">
        <v>10270</v>
      </c>
      <c r="D5386" s="6">
        <v>517.94000000000005</v>
      </c>
      <c r="E5386" s="6">
        <v>492.2</v>
      </c>
      <c r="F5386" s="6" t="s">
        <v>14</v>
      </c>
      <c r="G5386" s="8" t="s">
        <v>10271</v>
      </c>
      <c r="H5386" s="8" t="s">
        <v>27</v>
      </c>
      <c r="I5386" s="9">
        <v>4529</v>
      </c>
      <c r="J5386" s="20">
        <v>1</v>
      </c>
      <c r="K5386" s="20">
        <v>9069</v>
      </c>
      <c r="L5386" s="3" t="str">
        <f t="shared" si="175"/>
        <v>ΣΚΛΗΡΟΣ_ΣΙΤΟΣ</v>
      </c>
    </row>
    <row r="5387" spans="1:12" ht="24" x14ac:dyDescent="0.25">
      <c r="A5387" s="1" t="str">
        <f t="shared" si="174"/>
        <v>ΣΚΛΗΡΟΣ ΣΙΤΟΣΣΙΤΟΣ ΣΚΛΗΡΟΣ DON SEBASTIAN</v>
      </c>
      <c r="B5387" s="4" t="s">
        <v>8886</v>
      </c>
      <c r="C5387" s="5" t="s">
        <v>10272</v>
      </c>
      <c r="D5387" s="6">
        <v>517.94000000000005</v>
      </c>
      <c r="E5387" s="6">
        <v>492.2</v>
      </c>
      <c r="F5387" s="7" t="s">
        <v>14</v>
      </c>
      <c r="G5387" s="8" t="s">
        <v>10273</v>
      </c>
      <c r="H5387" s="8" t="s">
        <v>16</v>
      </c>
      <c r="I5387" s="9">
        <v>220</v>
      </c>
      <c r="J5387" s="10">
        <v>1</v>
      </c>
      <c r="K5387" s="10">
        <v>9070</v>
      </c>
      <c r="L5387" s="3" t="str">
        <f t="shared" si="175"/>
        <v>ΣΚΛΗΡΟΣ_ΣΙΤΟΣ</v>
      </c>
    </row>
    <row r="5388" spans="1:12" ht="24" x14ac:dyDescent="0.25">
      <c r="A5388" s="1" t="str">
        <f t="shared" si="174"/>
        <v>ΣΚΛΗΡΟΣ ΣΙΤΟΣΣΙΤΟΣ ΣΚΛΗΡΟΣ DORONDON</v>
      </c>
      <c r="B5388" s="4" t="s">
        <v>8886</v>
      </c>
      <c r="C5388" s="5" t="s">
        <v>10274</v>
      </c>
      <c r="D5388" s="6">
        <v>517.94000000000005</v>
      </c>
      <c r="E5388" s="6">
        <v>492.2</v>
      </c>
      <c r="F5388" s="7" t="s">
        <v>14</v>
      </c>
      <c r="G5388" s="8" t="s">
        <v>10275</v>
      </c>
      <c r="H5388" s="8" t="s">
        <v>16</v>
      </c>
      <c r="I5388" s="9">
        <v>211</v>
      </c>
      <c r="J5388" s="10">
        <v>1</v>
      </c>
      <c r="K5388" s="10">
        <v>9071</v>
      </c>
      <c r="L5388" s="3" t="str">
        <f t="shared" si="175"/>
        <v>ΣΚΛΗΡΟΣ_ΣΙΤΟΣ</v>
      </c>
    </row>
    <row r="5389" spans="1:12" x14ac:dyDescent="0.25">
      <c r="A5389" s="1" t="str">
        <f t="shared" si="174"/>
        <v>ΣΚΛΗΡΟΣ ΣΙΤΟΣΣΙΤΟΣ ΣΚΛΗΡΟΣ DURATON</v>
      </c>
      <c r="B5389" s="18" t="s">
        <v>8886</v>
      </c>
      <c r="C5389" s="19" t="s">
        <v>10276</v>
      </c>
      <c r="D5389" s="6">
        <v>517.94000000000005</v>
      </c>
      <c r="E5389" s="6">
        <v>492.2</v>
      </c>
      <c r="F5389" s="6" t="s">
        <v>14</v>
      </c>
      <c r="G5389" s="8" t="s">
        <v>10277</v>
      </c>
      <c r="H5389" s="8" t="s">
        <v>27</v>
      </c>
      <c r="I5389" s="9">
        <v>4530</v>
      </c>
      <c r="J5389" s="20">
        <v>1</v>
      </c>
      <c r="K5389" s="20">
        <v>9072</v>
      </c>
      <c r="L5389" s="3" t="str">
        <f t="shared" si="175"/>
        <v>ΣΚΛΗΡΟΣ_ΣΙΤΟΣ</v>
      </c>
    </row>
    <row r="5390" spans="1:12" ht="24" x14ac:dyDescent="0.25">
      <c r="A5390" s="1" t="str">
        <f t="shared" si="174"/>
        <v>ΣΚΛΗΡΟΣ ΣΙΤΟΣΣΙΤΟΣ ΣΚΛΗΡΟΣ DURCAL</v>
      </c>
      <c r="B5390" s="4" t="s">
        <v>8886</v>
      </c>
      <c r="C5390" s="5" t="s">
        <v>10278</v>
      </c>
      <c r="D5390" s="6">
        <v>517.94000000000005</v>
      </c>
      <c r="E5390" s="6">
        <v>492.2</v>
      </c>
      <c r="F5390" s="7" t="s">
        <v>14</v>
      </c>
      <c r="G5390" s="8" t="s">
        <v>10279</v>
      </c>
      <c r="H5390" s="8" t="s">
        <v>16</v>
      </c>
      <c r="I5390" s="9">
        <v>218</v>
      </c>
      <c r="J5390" s="10">
        <v>1</v>
      </c>
      <c r="K5390" s="10">
        <v>9073</v>
      </c>
      <c r="L5390" s="3" t="str">
        <f t="shared" si="175"/>
        <v>ΣΚΛΗΡΟΣ_ΣΙΤΟΣ</v>
      </c>
    </row>
    <row r="5391" spans="1:12" ht="24" x14ac:dyDescent="0.25">
      <c r="A5391" s="1" t="str">
        <f t="shared" si="174"/>
        <v>ΣΚΛΗΡΟΣ ΣΙΤΟΣΣΙΤΟΣ ΣΚΛΗΡΟΣ DUROI</v>
      </c>
      <c r="B5391" s="4" t="s">
        <v>8886</v>
      </c>
      <c r="C5391" s="5" t="s">
        <v>10280</v>
      </c>
      <c r="D5391" s="6">
        <v>517.94000000000005</v>
      </c>
      <c r="E5391" s="6">
        <v>492.2</v>
      </c>
      <c r="F5391" s="7" t="s">
        <v>14</v>
      </c>
      <c r="G5391" s="8" t="s">
        <v>10281</v>
      </c>
      <c r="H5391" s="8" t="s">
        <v>16</v>
      </c>
      <c r="I5391" s="9">
        <v>226</v>
      </c>
      <c r="J5391" s="10">
        <v>1</v>
      </c>
      <c r="K5391" s="10">
        <v>9074</v>
      </c>
      <c r="L5391" s="3" t="str">
        <f t="shared" si="175"/>
        <v>ΣΚΛΗΡΟΣ_ΣΙΤΟΣ</v>
      </c>
    </row>
    <row r="5392" spans="1:12" ht="24" x14ac:dyDescent="0.25">
      <c r="A5392" s="1" t="str">
        <f t="shared" si="174"/>
        <v>ΣΚΛΗΡΟΣ ΣΙΤΟΣΣΙΤΟΣ ΣΚΛΗΡΟΣ DURTRES</v>
      </c>
      <c r="B5392" s="4" t="s">
        <v>8886</v>
      </c>
      <c r="C5392" s="5" t="s">
        <v>10282</v>
      </c>
      <c r="D5392" s="6">
        <v>517.94000000000005</v>
      </c>
      <c r="E5392" s="6">
        <v>492.2</v>
      </c>
      <c r="F5392" s="7" t="s">
        <v>14</v>
      </c>
      <c r="G5392" s="8" t="s">
        <v>10283</v>
      </c>
      <c r="H5392" s="8" t="s">
        <v>16</v>
      </c>
      <c r="I5392" s="9">
        <v>216</v>
      </c>
      <c r="J5392" s="10">
        <v>1</v>
      </c>
      <c r="K5392" s="10">
        <v>9075</v>
      </c>
      <c r="L5392" s="3" t="str">
        <f t="shared" si="175"/>
        <v>ΣΚΛΗΡΟΣ_ΣΙΤΟΣ</v>
      </c>
    </row>
    <row r="5393" spans="1:12" x14ac:dyDescent="0.25">
      <c r="A5393" s="1" t="str">
        <f t="shared" si="174"/>
        <v>ΣΚΛΗΡΟΣ ΣΙΤΟΣΣΙΤΟΣ ΣΚΛΗΡΟΣ EPIDUR</v>
      </c>
      <c r="B5393" s="18" t="s">
        <v>8886</v>
      </c>
      <c r="C5393" s="19" t="s">
        <v>10284</v>
      </c>
      <c r="D5393" s="6">
        <v>517.94000000000005</v>
      </c>
      <c r="E5393" s="6">
        <v>492.2</v>
      </c>
      <c r="F5393" s="6" t="s">
        <v>14</v>
      </c>
      <c r="G5393" s="8" t="s">
        <v>10285</v>
      </c>
      <c r="H5393" s="8" t="s">
        <v>27</v>
      </c>
      <c r="I5393" s="9">
        <v>4531</v>
      </c>
      <c r="J5393" s="20">
        <v>1</v>
      </c>
      <c r="K5393" s="20">
        <v>9076</v>
      </c>
      <c r="L5393" s="3" t="str">
        <f t="shared" si="175"/>
        <v>ΣΚΛΗΡΟΣ_ΣΙΤΟΣ</v>
      </c>
    </row>
    <row r="5394" spans="1:12" x14ac:dyDescent="0.25">
      <c r="A5394" s="1" t="str">
        <f t="shared" si="174"/>
        <v>ΣΚΛΗΡΟΣ ΣΙΤΟΣΣΙΤΟΣ ΣΚΛΗΡΟΣ ESTRIBO</v>
      </c>
      <c r="B5394" s="18" t="s">
        <v>8886</v>
      </c>
      <c r="C5394" s="19" t="s">
        <v>10286</v>
      </c>
      <c r="D5394" s="6">
        <v>517.94000000000005</v>
      </c>
      <c r="E5394" s="6">
        <v>492.2</v>
      </c>
      <c r="F5394" s="6" t="s">
        <v>14</v>
      </c>
      <c r="G5394" s="8" t="s">
        <v>10287</v>
      </c>
      <c r="H5394" s="8" t="s">
        <v>27</v>
      </c>
      <c r="I5394" s="9">
        <v>4532</v>
      </c>
      <c r="J5394" s="20">
        <v>1</v>
      </c>
      <c r="K5394" s="20">
        <v>9077</v>
      </c>
      <c r="L5394" s="3" t="str">
        <f t="shared" si="175"/>
        <v>ΣΚΛΗΡΟΣ_ΣΙΤΟΣ</v>
      </c>
    </row>
    <row r="5395" spans="1:12" x14ac:dyDescent="0.25">
      <c r="A5395" s="1" t="str">
        <f t="shared" si="174"/>
        <v>ΣΚΛΗΡΟΣ ΣΙΤΟΣΣΙΤΟΣ ΣΚΛΗΡΟΣ EXTREMENO</v>
      </c>
      <c r="B5395" s="18" t="s">
        <v>8886</v>
      </c>
      <c r="C5395" s="19" t="s">
        <v>10288</v>
      </c>
      <c r="D5395" s="6">
        <v>517.94000000000005</v>
      </c>
      <c r="E5395" s="6">
        <v>492.2</v>
      </c>
      <c r="F5395" s="6" t="s">
        <v>14</v>
      </c>
      <c r="G5395" s="8" t="s">
        <v>10289</v>
      </c>
      <c r="H5395" s="8" t="s">
        <v>27</v>
      </c>
      <c r="I5395" s="9">
        <v>4533</v>
      </c>
      <c r="J5395" s="20">
        <v>1</v>
      </c>
      <c r="K5395" s="20">
        <v>9078</v>
      </c>
      <c r="L5395" s="3" t="str">
        <f t="shared" si="175"/>
        <v>ΣΚΛΗΡΟΣ_ΣΙΤΟΣ</v>
      </c>
    </row>
    <row r="5396" spans="1:12" x14ac:dyDescent="0.25">
      <c r="A5396" s="1" t="str">
        <f t="shared" si="174"/>
        <v>ΣΚΛΗΡΟΣ ΣΙΤΟΣΣΙΤΟΣ ΣΚΛΗΡΟΣ FABIO</v>
      </c>
      <c r="B5396" s="18" t="s">
        <v>8886</v>
      </c>
      <c r="C5396" s="19" t="s">
        <v>10290</v>
      </c>
      <c r="D5396" s="6">
        <v>517.94000000000005</v>
      </c>
      <c r="E5396" s="6">
        <v>492.2</v>
      </c>
      <c r="F5396" s="6" t="s">
        <v>14</v>
      </c>
      <c r="G5396" s="8" t="s">
        <v>10291</v>
      </c>
      <c r="H5396" s="8" t="s">
        <v>27</v>
      </c>
      <c r="I5396" s="9">
        <v>4534</v>
      </c>
      <c r="J5396" s="20">
        <v>1</v>
      </c>
      <c r="K5396" s="20">
        <v>9079</v>
      </c>
      <c r="L5396" s="3" t="str">
        <f t="shared" si="175"/>
        <v>ΣΚΛΗΡΟΣ_ΣΙΤΟΣ</v>
      </c>
    </row>
    <row r="5397" spans="1:12" x14ac:dyDescent="0.25">
      <c r="A5397" s="1" t="str">
        <f t="shared" si="174"/>
        <v>ΣΚΛΗΡΟΣ ΣΙΤΟΣΣΙΤΟΣ ΣΚΛΗΡΟΣ GA 0115</v>
      </c>
      <c r="B5397" s="18" t="s">
        <v>8886</v>
      </c>
      <c r="C5397" s="19" t="s">
        <v>10292</v>
      </c>
      <c r="D5397" s="6">
        <v>517.94000000000005</v>
      </c>
      <c r="E5397" s="6">
        <v>492.2</v>
      </c>
      <c r="F5397" s="6" t="s">
        <v>14</v>
      </c>
      <c r="G5397" s="8" t="s">
        <v>10293</v>
      </c>
      <c r="H5397" s="8" t="s">
        <v>27</v>
      </c>
      <c r="I5397" s="9">
        <v>4535</v>
      </c>
      <c r="J5397" s="20">
        <v>1</v>
      </c>
      <c r="K5397" s="20">
        <v>9080</v>
      </c>
      <c r="L5397" s="3" t="str">
        <f t="shared" si="175"/>
        <v>ΣΚΛΗΡΟΣ_ΣΙΤΟΣ</v>
      </c>
    </row>
    <row r="5398" spans="1:12" ht="24" x14ac:dyDescent="0.25">
      <c r="A5398" s="1" t="str">
        <f t="shared" si="174"/>
        <v>ΣΚΛΗΡΟΣ ΣΙΤΟΣΣΙΤΟΣ ΣΚΛΗΡΟΣ GALLARETA</v>
      </c>
      <c r="B5398" s="4" t="s">
        <v>8886</v>
      </c>
      <c r="C5398" s="5" t="s">
        <v>10294</v>
      </c>
      <c r="D5398" s="6">
        <v>517.94000000000005</v>
      </c>
      <c r="E5398" s="6">
        <v>492.2</v>
      </c>
      <c r="F5398" s="7" t="s">
        <v>14</v>
      </c>
      <c r="G5398" s="8" t="s">
        <v>10295</v>
      </c>
      <c r="H5398" s="8" t="s">
        <v>16</v>
      </c>
      <c r="I5398" s="9">
        <v>215</v>
      </c>
      <c r="J5398" s="10">
        <v>1</v>
      </c>
      <c r="K5398" s="10">
        <v>9081</v>
      </c>
      <c r="L5398" s="3" t="str">
        <f t="shared" si="175"/>
        <v>ΣΚΛΗΡΟΣ_ΣΙΤΟΣ</v>
      </c>
    </row>
    <row r="5399" spans="1:12" x14ac:dyDescent="0.25">
      <c r="A5399" s="1" t="str">
        <f t="shared" si="174"/>
        <v>ΣΚΛΗΡΟΣ ΣΙΤΟΣΣΙΤΟΣ ΣΚΛΗΡΟΣ GARFIO</v>
      </c>
      <c r="B5399" s="18" t="s">
        <v>8886</v>
      </c>
      <c r="C5399" s="19" t="s">
        <v>10296</v>
      </c>
      <c r="D5399" s="6">
        <v>517.94000000000005</v>
      </c>
      <c r="E5399" s="6">
        <v>492.2</v>
      </c>
      <c r="F5399" s="6" t="s">
        <v>14</v>
      </c>
      <c r="G5399" s="8" t="s">
        <v>10297</v>
      </c>
      <c r="H5399" s="8" t="s">
        <v>27</v>
      </c>
      <c r="I5399" s="9">
        <v>4536</v>
      </c>
      <c r="J5399" s="20">
        <v>1</v>
      </c>
      <c r="K5399" s="20">
        <v>9082</v>
      </c>
      <c r="L5399" s="3" t="str">
        <f t="shared" si="175"/>
        <v>ΣΚΛΗΡΟΣ_ΣΙΤΟΣ</v>
      </c>
    </row>
    <row r="5400" spans="1:12" x14ac:dyDescent="0.25">
      <c r="A5400" s="1" t="str">
        <f t="shared" si="174"/>
        <v>ΣΚΛΗΡΟΣ ΣΙΤΟΣΣΙΤΟΣ ΣΚΛΗΡΟΣ HELIDUR</v>
      </c>
      <c r="B5400" s="18" t="s">
        <v>8886</v>
      </c>
      <c r="C5400" s="19" t="s">
        <v>10298</v>
      </c>
      <c r="D5400" s="6">
        <v>517.94000000000005</v>
      </c>
      <c r="E5400" s="6">
        <v>492.2</v>
      </c>
      <c r="F5400" s="6" t="s">
        <v>14</v>
      </c>
      <c r="G5400" s="8" t="s">
        <v>10299</v>
      </c>
      <c r="H5400" s="8" t="s">
        <v>27</v>
      </c>
      <c r="I5400" s="9">
        <v>4537</v>
      </c>
      <c r="J5400" s="20">
        <v>1</v>
      </c>
      <c r="K5400" s="20">
        <v>9083</v>
      </c>
      <c r="L5400" s="3" t="str">
        <f t="shared" si="175"/>
        <v>ΣΚΛΗΡΟΣ_ΣΙΤΟΣ</v>
      </c>
    </row>
    <row r="5401" spans="1:12" x14ac:dyDescent="0.25">
      <c r="A5401" s="1" t="str">
        <f t="shared" si="174"/>
        <v>ΣΚΛΗΡΟΣ ΣΙΤΟΣΣΙΤΟΣ ΣΚΛΗΡΟΣ IBERICO</v>
      </c>
      <c r="B5401" s="18" t="s">
        <v>8886</v>
      </c>
      <c r="C5401" s="19" t="s">
        <v>10300</v>
      </c>
      <c r="D5401" s="6">
        <v>517.94000000000005</v>
      </c>
      <c r="E5401" s="6">
        <v>492.2</v>
      </c>
      <c r="F5401" s="6" t="s">
        <v>14</v>
      </c>
      <c r="G5401" s="8" t="s">
        <v>10301</v>
      </c>
      <c r="H5401" s="8" t="s">
        <v>27</v>
      </c>
      <c r="I5401" s="9">
        <v>4538</v>
      </c>
      <c r="J5401" s="20">
        <v>1</v>
      </c>
      <c r="K5401" s="20">
        <v>9084</v>
      </c>
      <c r="L5401" s="3" t="str">
        <f t="shared" si="175"/>
        <v>ΣΚΛΗΡΟΣ_ΣΙΤΟΣ</v>
      </c>
    </row>
    <row r="5402" spans="1:12" x14ac:dyDescent="0.25">
      <c r="A5402" s="1" t="str">
        <f t="shared" si="174"/>
        <v>ΣΚΛΗΡΟΣ ΣΙΤΟΣΣΙΤΟΣ ΣΚΛΗΡΟΣ ILLORA</v>
      </c>
      <c r="B5402" s="18" t="s">
        <v>8886</v>
      </c>
      <c r="C5402" s="19" t="s">
        <v>10302</v>
      </c>
      <c r="D5402" s="6">
        <v>517.94000000000005</v>
      </c>
      <c r="E5402" s="6">
        <v>492.2</v>
      </c>
      <c r="F5402" s="6" t="s">
        <v>14</v>
      </c>
      <c r="G5402" s="8" t="s">
        <v>10303</v>
      </c>
      <c r="H5402" s="8" t="s">
        <v>27</v>
      </c>
      <c r="I5402" s="9">
        <v>4539</v>
      </c>
      <c r="J5402" s="20">
        <v>1</v>
      </c>
      <c r="K5402" s="20">
        <v>9085</v>
      </c>
      <c r="L5402" s="3" t="str">
        <f t="shared" si="175"/>
        <v>ΣΚΛΗΡΟΣ_ΣΙΤΟΣ</v>
      </c>
    </row>
    <row r="5403" spans="1:12" x14ac:dyDescent="0.25">
      <c r="A5403" s="1" t="str">
        <f t="shared" si="174"/>
        <v>ΣΚΛΗΡΟΣ ΣΙΤΟΣΣΙΤΟΣ ΣΚΛΗΡΟΣ JABATO</v>
      </c>
      <c r="B5403" s="18" t="s">
        <v>8886</v>
      </c>
      <c r="C5403" s="19" t="s">
        <v>10304</v>
      </c>
      <c r="D5403" s="6">
        <v>517.94000000000005</v>
      </c>
      <c r="E5403" s="6">
        <v>492.2</v>
      </c>
      <c r="F5403" s="6" t="s">
        <v>14</v>
      </c>
      <c r="G5403" s="8" t="s">
        <v>10305</v>
      </c>
      <c r="H5403" s="8" t="s">
        <v>27</v>
      </c>
      <c r="I5403" s="9">
        <v>4540</v>
      </c>
      <c r="J5403" s="20">
        <v>1</v>
      </c>
      <c r="K5403" s="20">
        <v>9086</v>
      </c>
      <c r="L5403" s="3" t="str">
        <f t="shared" si="175"/>
        <v>ΣΚΛΗΡΟΣ_ΣΙΤΟΣ</v>
      </c>
    </row>
    <row r="5404" spans="1:12" x14ac:dyDescent="0.25">
      <c r="A5404" s="1" t="str">
        <f t="shared" si="174"/>
        <v>ΣΚΛΗΡΟΣ ΣΙΤΟΣΣΙΤΟΣ ΣΚΛΗΡΟΣ LLANOS</v>
      </c>
      <c r="B5404" s="18" t="s">
        <v>8886</v>
      </c>
      <c r="C5404" s="19" t="s">
        <v>10306</v>
      </c>
      <c r="D5404" s="6">
        <v>517.94000000000005</v>
      </c>
      <c r="E5404" s="6">
        <v>492.2</v>
      </c>
      <c r="F5404" s="6" t="s">
        <v>14</v>
      </c>
      <c r="G5404" s="8" t="s">
        <v>10307</v>
      </c>
      <c r="H5404" s="8" t="s">
        <v>27</v>
      </c>
      <c r="I5404" s="9">
        <v>4541</v>
      </c>
      <c r="J5404" s="20">
        <v>1</v>
      </c>
      <c r="K5404" s="20">
        <v>9087</v>
      </c>
      <c r="L5404" s="3" t="str">
        <f t="shared" si="175"/>
        <v>ΣΚΛΗΡΟΣ_ΣΙΤΟΣ</v>
      </c>
    </row>
    <row r="5405" spans="1:12" x14ac:dyDescent="0.25">
      <c r="A5405" s="1" t="str">
        <f t="shared" si="174"/>
        <v>ΣΚΛΗΡΟΣ ΣΙΤΟΣΣΙΤΟΣ ΣΚΛΗΡΟΣ MELLARIA</v>
      </c>
      <c r="B5405" s="18" t="s">
        <v>8886</v>
      </c>
      <c r="C5405" s="19" t="s">
        <v>10308</v>
      </c>
      <c r="D5405" s="6">
        <v>517.94000000000005</v>
      </c>
      <c r="E5405" s="6">
        <v>492.2</v>
      </c>
      <c r="F5405" s="6" t="s">
        <v>14</v>
      </c>
      <c r="G5405" s="8" t="s">
        <v>10309</v>
      </c>
      <c r="H5405" s="8" t="s">
        <v>27</v>
      </c>
      <c r="I5405" s="9">
        <v>4542</v>
      </c>
      <c r="J5405" s="20">
        <v>1</v>
      </c>
      <c r="K5405" s="20">
        <v>9088</v>
      </c>
      <c r="L5405" s="3" t="str">
        <f t="shared" si="175"/>
        <v>ΣΚΛΗΡΟΣ_ΣΙΤΟΣ</v>
      </c>
    </row>
    <row r="5406" spans="1:12" x14ac:dyDescent="0.25">
      <c r="A5406" s="1" t="str">
        <f t="shared" si="174"/>
        <v>ΣΚΛΗΡΟΣ ΣΙΤΟΣΣΙΤΟΣ ΣΚΛΗΡΟΣ MEXA</v>
      </c>
      <c r="B5406" s="4" t="s">
        <v>8886</v>
      </c>
      <c r="C5406" s="5" t="s">
        <v>10310</v>
      </c>
      <c r="D5406" s="6">
        <v>517.94000000000005</v>
      </c>
      <c r="E5406" s="6">
        <v>492.2</v>
      </c>
      <c r="F5406" s="7" t="s">
        <v>14</v>
      </c>
      <c r="G5406" s="8" t="s">
        <v>10311</v>
      </c>
      <c r="H5406" s="8" t="s">
        <v>27</v>
      </c>
      <c r="I5406" s="9">
        <v>214</v>
      </c>
      <c r="J5406" s="10">
        <v>1</v>
      </c>
      <c r="K5406" s="10">
        <v>9099</v>
      </c>
      <c r="L5406" s="3" t="str">
        <f t="shared" si="175"/>
        <v>ΣΚΛΗΡΟΣ_ΣΙΤΟΣ</v>
      </c>
    </row>
    <row r="5407" spans="1:12" x14ac:dyDescent="0.25">
      <c r="A5407" s="1" t="str">
        <f t="shared" si="174"/>
        <v>ΣΚΛΗΡΟΣ ΣΙΤΟΣΣΙΤΟΣ ΣΚΛΗΡΟΣ MOLINO</v>
      </c>
      <c r="B5407" s="18" t="s">
        <v>8886</v>
      </c>
      <c r="C5407" s="19" t="s">
        <v>10312</v>
      </c>
      <c r="D5407" s="6">
        <v>517.94000000000005</v>
      </c>
      <c r="E5407" s="6">
        <v>492.2</v>
      </c>
      <c r="F5407" s="6" t="s">
        <v>14</v>
      </c>
      <c r="G5407" s="8" t="s">
        <v>10313</v>
      </c>
      <c r="H5407" s="8" t="s">
        <v>27</v>
      </c>
      <c r="I5407" s="9">
        <v>4543</v>
      </c>
      <c r="J5407" s="20">
        <v>1</v>
      </c>
      <c r="K5407" s="20">
        <v>9100</v>
      </c>
      <c r="L5407" s="3" t="str">
        <f t="shared" si="175"/>
        <v>ΣΚΛΗΡΟΣ_ΣΙΤΟΣ</v>
      </c>
    </row>
    <row r="5408" spans="1:12" x14ac:dyDescent="0.25">
      <c r="A5408" s="1" t="str">
        <f t="shared" si="174"/>
        <v>ΣΚΛΗΡΟΣ ΣΙΤΟΣΣΙΤΟΣ ΣΚΛΗΡΟΣ MON 0101</v>
      </c>
      <c r="B5408" s="18" t="s">
        <v>8886</v>
      </c>
      <c r="C5408" s="19" t="s">
        <v>10314</v>
      </c>
      <c r="D5408" s="6">
        <v>517.94000000000005</v>
      </c>
      <c r="E5408" s="6">
        <v>492.2</v>
      </c>
      <c r="F5408" s="6" t="s">
        <v>14</v>
      </c>
      <c r="G5408" s="8" t="s">
        <v>10315</v>
      </c>
      <c r="H5408" s="8" t="s">
        <v>27</v>
      </c>
      <c r="I5408" s="9">
        <v>4544</v>
      </c>
      <c r="J5408" s="20">
        <v>1</v>
      </c>
      <c r="K5408" s="20">
        <v>9101</v>
      </c>
      <c r="L5408" s="3" t="str">
        <f t="shared" si="175"/>
        <v>ΣΚΛΗΡΟΣ_ΣΙΤΟΣ</v>
      </c>
    </row>
    <row r="5409" spans="1:12" x14ac:dyDescent="0.25">
      <c r="A5409" s="1" t="str">
        <f t="shared" si="174"/>
        <v>ΣΚΛΗΡΟΣ ΣΙΤΟΣΣΙΤΟΣ ΣΚΛΗΡΟΣ MONCAYO</v>
      </c>
      <c r="B5409" s="43" t="s">
        <v>8886</v>
      </c>
      <c r="C5409" s="44" t="s">
        <v>10316</v>
      </c>
      <c r="D5409" s="6">
        <v>517.94000000000005</v>
      </c>
      <c r="E5409" s="6">
        <v>492.2</v>
      </c>
      <c r="F5409" s="45" t="s">
        <v>14</v>
      </c>
      <c r="G5409" s="46" t="s">
        <v>10317</v>
      </c>
      <c r="H5409" s="46" t="s">
        <v>27</v>
      </c>
      <c r="I5409" s="47">
        <v>4545</v>
      </c>
      <c r="J5409" s="48">
        <v>1</v>
      </c>
      <c r="K5409" s="48">
        <v>9102</v>
      </c>
      <c r="L5409" s="3" t="str">
        <f t="shared" si="175"/>
        <v>ΣΚΛΗΡΟΣ_ΣΙΤΟΣ</v>
      </c>
    </row>
    <row r="5410" spans="1:12" x14ac:dyDescent="0.25">
      <c r="A5410" s="1" t="str">
        <f t="shared" si="174"/>
        <v>ΣΚΛΗΡΟΣ ΣΙΤΟΣΣΙΤΟΣ ΣΚΛΗΡΟΣ MUNDIAL</v>
      </c>
      <c r="B5410" s="43" t="s">
        <v>8886</v>
      </c>
      <c r="C5410" s="44" t="s">
        <v>10318</v>
      </c>
      <c r="D5410" s="6">
        <v>517.94000000000005</v>
      </c>
      <c r="E5410" s="6">
        <v>492.2</v>
      </c>
      <c r="F5410" s="45" t="s">
        <v>14</v>
      </c>
      <c r="G5410" s="46" t="s">
        <v>10319</v>
      </c>
      <c r="H5410" s="46" t="s">
        <v>27</v>
      </c>
      <c r="I5410" s="9">
        <v>4546</v>
      </c>
      <c r="J5410" s="48">
        <v>1</v>
      </c>
      <c r="K5410" s="48">
        <v>9103</v>
      </c>
      <c r="L5410" s="3" t="str">
        <f t="shared" si="175"/>
        <v>ΣΚΛΗΡΟΣ_ΣΙΤΟΣ</v>
      </c>
    </row>
    <row r="5411" spans="1:12" x14ac:dyDescent="0.25">
      <c r="A5411" s="1" t="str">
        <f t="shared" si="174"/>
        <v>ΣΚΛΗΡΟΣ ΣΙΤΟΣΣΙΤΟΣ ΣΚΛΗΡΟΣ NAVAJO</v>
      </c>
      <c r="B5411" s="43" t="s">
        <v>8886</v>
      </c>
      <c r="C5411" s="44" t="s">
        <v>10320</v>
      </c>
      <c r="D5411" s="6">
        <v>517.94000000000005</v>
      </c>
      <c r="E5411" s="6">
        <v>492.2</v>
      </c>
      <c r="F5411" s="45" t="s">
        <v>14</v>
      </c>
      <c r="G5411" s="46" t="s">
        <v>10321</v>
      </c>
      <c r="H5411" s="46" t="s">
        <v>27</v>
      </c>
      <c r="I5411" s="47">
        <v>4547</v>
      </c>
      <c r="J5411" s="48">
        <v>1</v>
      </c>
      <c r="K5411" s="48">
        <v>9104</v>
      </c>
      <c r="L5411" s="3" t="str">
        <f t="shared" si="175"/>
        <v>ΣΚΛΗΡΟΣ_ΣΙΤΟΣ</v>
      </c>
    </row>
    <row r="5412" spans="1:12" ht="24" x14ac:dyDescent="0.25">
      <c r="A5412" s="1" t="str">
        <f t="shared" si="174"/>
        <v>ΣΚΛΗΡΟΣ ΣΙΤΟΣΣΙΤΟΣ ΣΚΛΗΡΟΣ NUNO (ΣΥΝΩΝΥΜΟ YAVAROS C 79)</v>
      </c>
      <c r="B5412" s="49" t="s">
        <v>8886</v>
      </c>
      <c r="C5412" s="50" t="s">
        <v>10322</v>
      </c>
      <c r="D5412" s="6">
        <v>517.94000000000005</v>
      </c>
      <c r="E5412" s="6">
        <v>492.2</v>
      </c>
      <c r="F5412" s="46" t="s">
        <v>14</v>
      </c>
      <c r="G5412" s="46" t="s">
        <v>10323</v>
      </c>
      <c r="H5412" s="46" t="s">
        <v>16</v>
      </c>
      <c r="I5412" s="9">
        <v>213</v>
      </c>
      <c r="J5412" s="51">
        <v>1</v>
      </c>
      <c r="K5412" s="51">
        <v>9105</v>
      </c>
      <c r="L5412" s="3" t="str">
        <f t="shared" si="175"/>
        <v>ΣΚΛΗΡΟΣ_ΣΙΤΟΣ</v>
      </c>
    </row>
    <row r="5413" spans="1:12" x14ac:dyDescent="0.25">
      <c r="A5413" s="1" t="str">
        <f t="shared" si="174"/>
        <v>ΣΚΛΗΡΟΣ ΣΙΤΟΣΣΙΤΟΣ ΣΚΛΗΡΟΣ PARAMO TD 330</v>
      </c>
      <c r="B5413" s="43" t="s">
        <v>8886</v>
      </c>
      <c r="C5413" s="44" t="s">
        <v>10324</v>
      </c>
      <c r="D5413" s="6">
        <v>517.94000000000005</v>
      </c>
      <c r="E5413" s="6">
        <v>492.2</v>
      </c>
      <c r="F5413" s="45" t="s">
        <v>14</v>
      </c>
      <c r="G5413" s="46" t="s">
        <v>10325</v>
      </c>
      <c r="H5413" s="46" t="s">
        <v>27</v>
      </c>
      <c r="I5413" s="47">
        <v>4548</v>
      </c>
      <c r="J5413" s="48">
        <v>1</v>
      </c>
      <c r="K5413" s="48">
        <v>9106</v>
      </c>
      <c r="L5413" s="3" t="str">
        <f t="shared" si="175"/>
        <v>ΣΚΛΗΡΟΣ_ΣΙΤΟΣ</v>
      </c>
    </row>
    <row r="5414" spans="1:12" x14ac:dyDescent="0.25">
      <c r="A5414" s="1" t="str">
        <f t="shared" si="174"/>
        <v>ΣΚΛΗΡΟΣ ΣΙΤΟΣΣΙΤΟΣ ΣΚΛΗΡΟΣ PASTOR</v>
      </c>
      <c r="B5414" s="43" t="s">
        <v>8886</v>
      </c>
      <c r="C5414" s="44" t="s">
        <v>10326</v>
      </c>
      <c r="D5414" s="6">
        <v>517.94000000000005</v>
      </c>
      <c r="E5414" s="6">
        <v>492.2</v>
      </c>
      <c r="F5414" s="45" t="s">
        <v>14</v>
      </c>
      <c r="G5414" s="46" t="s">
        <v>10327</v>
      </c>
      <c r="H5414" s="46" t="s">
        <v>27</v>
      </c>
      <c r="I5414" s="9">
        <v>4549</v>
      </c>
      <c r="J5414" s="48">
        <v>1</v>
      </c>
      <c r="K5414" s="48">
        <v>9107</v>
      </c>
      <c r="L5414" s="3" t="str">
        <f t="shared" si="175"/>
        <v>ΣΚΛΗΡΟΣ_ΣΙΤΟΣ</v>
      </c>
    </row>
    <row r="5415" spans="1:12" ht="24" x14ac:dyDescent="0.25">
      <c r="A5415" s="1" t="str">
        <f t="shared" si="174"/>
        <v>ΣΚΛΗΡΟΣ ΣΙΤΟΣΣΙΤΟΣ ΣΚΛΗΡΟΣ PEDROSO</v>
      </c>
      <c r="B5415" s="49" t="s">
        <v>8886</v>
      </c>
      <c r="C5415" s="50" t="s">
        <v>10328</v>
      </c>
      <c r="D5415" s="6">
        <v>517.94000000000005</v>
      </c>
      <c r="E5415" s="6">
        <v>492.2</v>
      </c>
      <c r="F5415" s="46" t="s">
        <v>14</v>
      </c>
      <c r="G5415" s="46" t="s">
        <v>10329</v>
      </c>
      <c r="H5415" s="46" t="s">
        <v>16</v>
      </c>
      <c r="I5415" s="47">
        <v>111</v>
      </c>
      <c r="J5415" s="51">
        <v>1</v>
      </c>
      <c r="K5415" s="51">
        <v>9108</v>
      </c>
      <c r="L5415" s="3" t="str">
        <f t="shared" si="175"/>
        <v>ΣΚΛΗΡΟΣ_ΣΙΤΟΣ</v>
      </c>
    </row>
    <row r="5416" spans="1:12" x14ac:dyDescent="0.25">
      <c r="A5416" s="1" t="str">
        <f t="shared" si="174"/>
        <v>ΣΚΛΗΡΟΣ ΣΙΤΟΣΣΙΤΟΣ ΣΚΛΗΡΟΣ PELAYO (AG CT 32)</v>
      </c>
      <c r="B5416" s="43" t="s">
        <v>8886</v>
      </c>
      <c r="C5416" s="44" t="s">
        <v>10330</v>
      </c>
      <c r="D5416" s="6">
        <v>517.94000000000005</v>
      </c>
      <c r="E5416" s="6">
        <v>492.2</v>
      </c>
      <c r="F5416" s="45" t="s">
        <v>14</v>
      </c>
      <c r="G5416" s="46" t="s">
        <v>10331</v>
      </c>
      <c r="H5416" s="46" t="s">
        <v>27</v>
      </c>
      <c r="I5416" s="9">
        <v>4550</v>
      </c>
      <c r="J5416" s="48">
        <v>1</v>
      </c>
      <c r="K5416" s="48">
        <v>9109</v>
      </c>
      <c r="L5416" s="3" t="str">
        <f t="shared" si="175"/>
        <v>ΣΚΛΗΡΟΣ_ΣΙΤΟΣ</v>
      </c>
    </row>
    <row r="5417" spans="1:12" x14ac:dyDescent="0.25">
      <c r="A5417" s="1" t="str">
        <f t="shared" si="174"/>
        <v>ΣΚΛΗΡΟΣ ΣΙΤΟΣΣΙΤΟΣ ΣΚΛΗΡΟΣ PENAFIEL</v>
      </c>
      <c r="B5417" s="43" t="s">
        <v>8886</v>
      </c>
      <c r="C5417" s="44" t="s">
        <v>10332</v>
      </c>
      <c r="D5417" s="6">
        <v>517.94000000000005</v>
      </c>
      <c r="E5417" s="6">
        <v>492.2</v>
      </c>
      <c r="F5417" s="45" t="s">
        <v>14</v>
      </c>
      <c r="G5417" s="46" t="s">
        <v>10333</v>
      </c>
      <c r="H5417" s="46" t="s">
        <v>27</v>
      </c>
      <c r="I5417" s="47">
        <v>4551</v>
      </c>
      <c r="J5417" s="48">
        <v>1</v>
      </c>
      <c r="K5417" s="48">
        <v>9110</v>
      </c>
      <c r="L5417" s="3" t="str">
        <f t="shared" si="175"/>
        <v>ΣΚΛΗΡΟΣ_ΣΙΤΟΣ</v>
      </c>
    </row>
    <row r="5418" spans="1:12" x14ac:dyDescent="0.25">
      <c r="A5418" s="1" t="str">
        <f t="shared" si="174"/>
        <v>ΣΚΛΗΡΟΣ ΣΙΤΟΣΣΙΤΟΣ ΣΚΛΗΡΟΣ PRYOR</v>
      </c>
      <c r="B5418" s="43" t="s">
        <v>8886</v>
      </c>
      <c r="C5418" s="44" t="s">
        <v>10334</v>
      </c>
      <c r="D5418" s="6">
        <v>517.94000000000005</v>
      </c>
      <c r="E5418" s="6">
        <v>492.2</v>
      </c>
      <c r="F5418" s="45" t="s">
        <v>14</v>
      </c>
      <c r="G5418" s="46" t="s">
        <v>10335</v>
      </c>
      <c r="H5418" s="46" t="s">
        <v>27</v>
      </c>
      <c r="I5418" s="9">
        <v>4552</v>
      </c>
      <c r="J5418" s="48">
        <v>1</v>
      </c>
      <c r="K5418" s="48">
        <v>9111</v>
      </c>
      <c r="L5418" s="3" t="str">
        <f t="shared" si="175"/>
        <v>ΣΚΛΗΡΟΣ_ΣΙΤΟΣ</v>
      </c>
    </row>
    <row r="5419" spans="1:12" x14ac:dyDescent="0.25">
      <c r="A5419" s="1" t="str">
        <f t="shared" si="174"/>
        <v>ΣΚΛΗΡΟΣ ΣΙΤΟΣΣΙΤΟΣ ΣΚΛΗΡΟΣ QUIJANO</v>
      </c>
      <c r="B5419" s="43" t="s">
        <v>8886</v>
      </c>
      <c r="C5419" s="44" t="s">
        <v>10336</v>
      </c>
      <c r="D5419" s="6">
        <v>517.94000000000005</v>
      </c>
      <c r="E5419" s="6">
        <v>492.2</v>
      </c>
      <c r="F5419" s="45" t="s">
        <v>14</v>
      </c>
      <c r="G5419" s="46" t="s">
        <v>10337</v>
      </c>
      <c r="H5419" s="46" t="s">
        <v>27</v>
      </c>
      <c r="I5419" s="47">
        <v>4553</v>
      </c>
      <c r="J5419" s="48">
        <v>1</v>
      </c>
      <c r="K5419" s="48">
        <v>9112</v>
      </c>
      <c r="L5419" s="3" t="str">
        <f t="shared" si="175"/>
        <v>ΣΚΛΗΡΟΣ_ΣΙΤΟΣ</v>
      </c>
    </row>
    <row r="5420" spans="1:12" ht="24" x14ac:dyDescent="0.25">
      <c r="A5420" s="1" t="str">
        <f t="shared" si="174"/>
        <v>ΣΚΛΗΡΟΣ ΣΙΤΟΣΣΙΤΟΣ ΣΚΛΗΡΟΣ REGALLO</v>
      </c>
      <c r="B5420" s="49" t="s">
        <v>8886</v>
      </c>
      <c r="C5420" s="50" t="s">
        <v>10338</v>
      </c>
      <c r="D5420" s="6">
        <v>517.94000000000005</v>
      </c>
      <c r="E5420" s="6">
        <v>492.2</v>
      </c>
      <c r="F5420" s="46" t="s">
        <v>14</v>
      </c>
      <c r="G5420" s="46" t="s">
        <v>10339</v>
      </c>
      <c r="H5420" s="46" t="s">
        <v>16</v>
      </c>
      <c r="I5420" s="9">
        <v>244</v>
      </c>
      <c r="J5420" s="51">
        <v>1</v>
      </c>
      <c r="K5420" s="51">
        <v>9113</v>
      </c>
      <c r="L5420" s="3" t="str">
        <f t="shared" si="175"/>
        <v>ΣΚΛΗΡΟΣ_ΣΙΤΟΣ</v>
      </c>
    </row>
    <row r="5421" spans="1:12" ht="24" x14ac:dyDescent="0.25">
      <c r="A5421" s="1" t="str">
        <f t="shared" si="174"/>
        <v>ΣΚΛΗΡΟΣ ΣΙΤΟΣΣΙΤΟΣ ΣΚΛΗΡΟΣ RIO ZUJAR</v>
      </c>
      <c r="B5421" s="49" t="s">
        <v>8886</v>
      </c>
      <c r="C5421" s="50" t="s">
        <v>10340</v>
      </c>
      <c r="D5421" s="6">
        <v>517.94000000000005</v>
      </c>
      <c r="E5421" s="6">
        <v>492.2</v>
      </c>
      <c r="F5421" s="46" t="s">
        <v>14</v>
      </c>
      <c r="G5421" s="46" t="s">
        <v>10341</v>
      </c>
      <c r="H5421" s="46" t="s">
        <v>16</v>
      </c>
      <c r="I5421" s="47">
        <v>147</v>
      </c>
      <c r="J5421" s="51">
        <v>1</v>
      </c>
      <c r="K5421" s="51">
        <v>9114</v>
      </c>
      <c r="L5421" s="3" t="str">
        <f t="shared" si="175"/>
        <v>ΣΚΛΗΡΟΣ_ΣΙΤΟΣ</v>
      </c>
    </row>
    <row r="5422" spans="1:12" ht="24" x14ac:dyDescent="0.25">
      <c r="A5422" s="1" t="str">
        <f t="shared" si="174"/>
        <v>ΣΚΛΗΡΟΣ ΣΙΤΟΣΣΙΤΟΣ ΣΚΛΗΡΟΣ ROQUENO</v>
      </c>
      <c r="B5422" s="49" t="s">
        <v>8886</v>
      </c>
      <c r="C5422" s="50" t="s">
        <v>10342</v>
      </c>
      <c r="D5422" s="6">
        <v>517.94000000000005</v>
      </c>
      <c r="E5422" s="6">
        <v>492.2</v>
      </c>
      <c r="F5422" s="46" t="s">
        <v>14</v>
      </c>
      <c r="G5422" s="46" t="s">
        <v>10343</v>
      </c>
      <c r="H5422" s="46" t="s">
        <v>16</v>
      </c>
      <c r="I5422" s="9">
        <v>47</v>
      </c>
      <c r="J5422" s="51">
        <v>1</v>
      </c>
      <c r="K5422" s="51">
        <v>9115</v>
      </c>
      <c r="L5422" s="3" t="str">
        <f t="shared" si="175"/>
        <v>ΣΚΛΗΡΟΣ_ΣΙΤΟΣ</v>
      </c>
    </row>
    <row r="5423" spans="1:12" x14ac:dyDescent="0.25">
      <c r="A5423" s="1" t="str">
        <f t="shared" si="174"/>
        <v>ΣΚΛΗΡΟΣ ΣΙΤΟΣΣΙΤΟΣ ΣΚΛΗΡΟΣ SAJEL</v>
      </c>
      <c r="B5423" s="43" t="s">
        <v>8886</v>
      </c>
      <c r="C5423" s="44" t="s">
        <v>10344</v>
      </c>
      <c r="D5423" s="6">
        <v>517.94000000000005</v>
      </c>
      <c r="E5423" s="6">
        <v>492.2</v>
      </c>
      <c r="F5423" s="45" t="s">
        <v>14</v>
      </c>
      <c r="G5423" s="46" t="s">
        <v>10345</v>
      </c>
      <c r="H5423" s="46" t="s">
        <v>27</v>
      </c>
      <c r="I5423" s="47">
        <v>4554</v>
      </c>
      <c r="J5423" s="48">
        <v>1</v>
      </c>
      <c r="K5423" s="48">
        <v>9116</v>
      </c>
      <c r="L5423" s="3" t="str">
        <f t="shared" si="175"/>
        <v>ΣΚΛΗΡΟΣ_ΣΙΤΟΣ</v>
      </c>
    </row>
    <row r="5424" spans="1:12" x14ac:dyDescent="0.25">
      <c r="A5424" s="1" t="str">
        <f t="shared" si="174"/>
        <v>ΣΚΛΗΡΟΣ ΣΙΤΟΣΣΙΤΟΣ ΣΚΛΗΡΟΣ SENADUR</v>
      </c>
      <c r="B5424" s="43" t="s">
        <v>8886</v>
      </c>
      <c r="C5424" s="44" t="s">
        <v>10346</v>
      </c>
      <c r="D5424" s="6">
        <v>517.94000000000005</v>
      </c>
      <c r="E5424" s="6">
        <v>492.2</v>
      </c>
      <c r="F5424" s="45" t="s">
        <v>14</v>
      </c>
      <c r="G5424" s="46" t="s">
        <v>10347</v>
      </c>
      <c r="H5424" s="46" t="s">
        <v>27</v>
      </c>
      <c r="I5424" s="9">
        <v>4555</v>
      </c>
      <c r="J5424" s="48">
        <v>1</v>
      </c>
      <c r="K5424" s="48">
        <v>9117</v>
      </c>
      <c r="L5424" s="3" t="str">
        <f t="shared" si="175"/>
        <v>ΣΚΛΗΡΟΣ_ΣΙΤΟΣ</v>
      </c>
    </row>
    <row r="5425" spans="1:12" x14ac:dyDescent="0.25">
      <c r="A5425" s="1" t="str">
        <f t="shared" si="174"/>
        <v>ΣΚΛΗΡΟΣ ΣΙΤΟΣΣΙΤΟΣ ΣΚΛΗΡΟΣ SENECA</v>
      </c>
      <c r="B5425" s="43" t="s">
        <v>8886</v>
      </c>
      <c r="C5425" s="44" t="s">
        <v>10348</v>
      </c>
      <c r="D5425" s="6">
        <v>517.94000000000005</v>
      </c>
      <c r="E5425" s="6">
        <v>492.2</v>
      </c>
      <c r="F5425" s="45" t="s">
        <v>14</v>
      </c>
      <c r="G5425" s="46" t="s">
        <v>10349</v>
      </c>
      <c r="H5425" s="46" t="s">
        <v>27</v>
      </c>
      <c r="I5425" s="47">
        <v>4556</v>
      </c>
      <c r="J5425" s="48">
        <v>1</v>
      </c>
      <c r="K5425" s="48">
        <v>9118</v>
      </c>
      <c r="L5425" s="3" t="str">
        <f t="shared" si="175"/>
        <v>ΣΚΛΗΡΟΣ_ΣΙΤΟΣ</v>
      </c>
    </row>
    <row r="5426" spans="1:12" x14ac:dyDescent="0.25">
      <c r="A5426" s="1" t="str">
        <f t="shared" si="174"/>
        <v>ΣΚΛΗΡΟΣ ΣΙΤΟΣΣΙΤΟΣ ΣΚΛΗΡΟΣ SOLDUR</v>
      </c>
      <c r="B5426" s="43" t="s">
        <v>8886</v>
      </c>
      <c r="C5426" s="44" t="s">
        <v>10350</v>
      </c>
      <c r="D5426" s="6">
        <v>517.94000000000005</v>
      </c>
      <c r="E5426" s="6">
        <v>492.2</v>
      </c>
      <c r="F5426" s="45" t="s">
        <v>14</v>
      </c>
      <c r="G5426" s="46" t="s">
        <v>10351</v>
      </c>
      <c r="H5426" s="46" t="s">
        <v>27</v>
      </c>
      <c r="I5426" s="9">
        <v>4557</v>
      </c>
      <c r="J5426" s="48">
        <v>1</v>
      </c>
      <c r="K5426" s="48">
        <v>9119</v>
      </c>
      <c r="L5426" s="3" t="str">
        <f t="shared" si="175"/>
        <v>ΣΚΛΗΡΟΣ_ΣΙΤΟΣ</v>
      </c>
    </row>
    <row r="5427" spans="1:12" x14ac:dyDescent="0.25">
      <c r="A5427" s="1" t="str">
        <f t="shared" si="174"/>
        <v>ΣΚΛΗΡΟΣ ΣΙΤΟΣΣΙΤΟΣ ΣΚΛΗΡΟΣ SOTENO</v>
      </c>
      <c r="B5427" s="43" t="s">
        <v>8886</v>
      </c>
      <c r="C5427" s="44" t="s">
        <v>10352</v>
      </c>
      <c r="D5427" s="6">
        <v>517.94000000000005</v>
      </c>
      <c r="E5427" s="6">
        <v>492.2</v>
      </c>
      <c r="F5427" s="45" t="s">
        <v>14</v>
      </c>
      <c r="G5427" s="46" t="s">
        <v>10353</v>
      </c>
      <c r="H5427" s="46" t="s">
        <v>27</v>
      </c>
      <c r="I5427" s="47">
        <v>4558</v>
      </c>
      <c r="J5427" s="48">
        <v>1</v>
      </c>
      <c r="K5427" s="48">
        <v>9120</v>
      </c>
      <c r="L5427" s="3" t="str">
        <f t="shared" si="175"/>
        <v>ΣΚΛΗΡΟΣ_ΣΙΤΟΣ</v>
      </c>
    </row>
    <row r="5428" spans="1:12" x14ac:dyDescent="0.25">
      <c r="A5428" s="1" t="str">
        <f t="shared" si="174"/>
        <v>ΣΚΛΗΡΟΣ ΣΙΤΟΣΣΙΤΟΣ ΣΚΛΗΡΟΣ SULA</v>
      </c>
      <c r="B5428" s="43" t="s">
        <v>8886</v>
      </c>
      <c r="C5428" s="44" t="s">
        <v>10354</v>
      </c>
      <c r="D5428" s="6">
        <v>517.94000000000005</v>
      </c>
      <c r="E5428" s="6">
        <v>492.2</v>
      </c>
      <c r="F5428" s="45" t="s">
        <v>14</v>
      </c>
      <c r="G5428" s="46" t="s">
        <v>10355</v>
      </c>
      <c r="H5428" s="46" t="s">
        <v>27</v>
      </c>
      <c r="I5428" s="9">
        <v>4559</v>
      </c>
      <c r="J5428" s="48">
        <v>1</v>
      </c>
      <c r="K5428" s="48">
        <v>9121</v>
      </c>
      <c r="L5428" s="3" t="str">
        <f t="shared" si="175"/>
        <v>ΣΚΛΗΡΟΣ_ΣΙΤΟΣ</v>
      </c>
    </row>
    <row r="5429" spans="1:12" x14ac:dyDescent="0.25">
      <c r="A5429" s="1" t="str">
        <f t="shared" si="174"/>
        <v>ΣΚΛΗΡΟΣ ΣΙΤΟΣΣΙΤΟΣ ΣΚΛΗΡΟΣ TANGO</v>
      </c>
      <c r="B5429" s="43" t="s">
        <v>8886</v>
      </c>
      <c r="C5429" s="44" t="s">
        <v>10356</v>
      </c>
      <c r="D5429" s="6">
        <v>517.94000000000005</v>
      </c>
      <c r="E5429" s="6">
        <v>492.2</v>
      </c>
      <c r="F5429" s="45" t="s">
        <v>14</v>
      </c>
      <c r="G5429" s="46" t="s">
        <v>10357</v>
      </c>
      <c r="H5429" s="46" t="s">
        <v>27</v>
      </c>
      <c r="I5429" s="47">
        <v>4560</v>
      </c>
      <c r="J5429" s="48">
        <v>1</v>
      </c>
      <c r="K5429" s="48">
        <v>9122</v>
      </c>
      <c r="L5429" s="3" t="str">
        <f t="shared" si="175"/>
        <v>ΣΚΛΗΡΟΣ_ΣΙΤΟΣ</v>
      </c>
    </row>
    <row r="5430" spans="1:12" x14ac:dyDescent="0.25">
      <c r="A5430" s="1" t="str">
        <f t="shared" si="174"/>
        <v>ΣΚΛΗΡΟΣ ΣΙΤΟΣΣΙΤΟΣ ΣΚΛΗΡΟΣ TDR 97 SC</v>
      </c>
      <c r="B5430" s="43" t="s">
        <v>8886</v>
      </c>
      <c r="C5430" s="44" t="s">
        <v>10358</v>
      </c>
      <c r="D5430" s="6">
        <v>517.94000000000005</v>
      </c>
      <c r="E5430" s="6">
        <v>492.2</v>
      </c>
      <c r="F5430" s="45" t="s">
        <v>14</v>
      </c>
      <c r="G5430" s="46" t="s">
        <v>10359</v>
      </c>
      <c r="H5430" s="46" t="s">
        <v>27</v>
      </c>
      <c r="I5430" s="9">
        <v>4561</v>
      </c>
      <c r="J5430" s="48">
        <v>1</v>
      </c>
      <c r="K5430" s="48">
        <v>9123</v>
      </c>
      <c r="L5430" s="3" t="str">
        <f t="shared" si="175"/>
        <v>ΣΚΛΗΡΟΣ_ΣΙΤΟΣ</v>
      </c>
    </row>
    <row r="5431" spans="1:12" x14ac:dyDescent="0.25">
      <c r="A5431" s="1" t="str">
        <f t="shared" si="174"/>
        <v>ΣΚΛΗΡΟΣ ΣΙΤΟΣΣΙΤΟΣ ΣΚΛΗΡΟΣ TIEDRA</v>
      </c>
      <c r="B5431" s="43" t="s">
        <v>8886</v>
      </c>
      <c r="C5431" s="44" t="s">
        <v>10360</v>
      </c>
      <c r="D5431" s="6">
        <v>517.94000000000005</v>
      </c>
      <c r="E5431" s="6">
        <v>492.2</v>
      </c>
      <c r="F5431" s="45" t="s">
        <v>14</v>
      </c>
      <c r="G5431" s="46" t="s">
        <v>10361</v>
      </c>
      <c r="H5431" s="46" t="s">
        <v>27</v>
      </c>
      <c r="I5431" s="47">
        <v>4562</v>
      </c>
      <c r="J5431" s="48">
        <v>1</v>
      </c>
      <c r="K5431" s="48">
        <v>9124</v>
      </c>
      <c r="L5431" s="3" t="str">
        <f t="shared" si="175"/>
        <v>ΣΚΛΗΡΟΣ_ΣΙΤΟΣ</v>
      </c>
    </row>
    <row r="5432" spans="1:12" x14ac:dyDescent="0.25">
      <c r="A5432" s="1" t="str">
        <f t="shared" si="174"/>
        <v>ΣΚΛΗΡΟΣ ΣΙΤΟΣΣΙΤΟΣ ΣΚΛΗΡΟΣ TITO NICK</v>
      </c>
      <c r="B5432" s="43" t="s">
        <v>8886</v>
      </c>
      <c r="C5432" s="44" t="s">
        <v>10362</v>
      </c>
      <c r="D5432" s="6">
        <v>517.94000000000005</v>
      </c>
      <c r="E5432" s="6">
        <v>492.2</v>
      </c>
      <c r="F5432" s="45" t="s">
        <v>14</v>
      </c>
      <c r="G5432" s="46" t="s">
        <v>10363</v>
      </c>
      <c r="H5432" s="46" t="s">
        <v>27</v>
      </c>
      <c r="I5432" s="9">
        <v>4563</v>
      </c>
      <c r="J5432" s="48">
        <v>1</v>
      </c>
      <c r="K5432" s="48">
        <v>9125</v>
      </c>
      <c r="L5432" s="3" t="str">
        <f t="shared" si="175"/>
        <v>ΣΚΛΗΡΟΣ_ΣΙΤΟΣ</v>
      </c>
    </row>
    <row r="5433" spans="1:12" x14ac:dyDescent="0.25">
      <c r="A5433" s="1" t="str">
        <f t="shared" si="174"/>
        <v>ΣΚΛΗΡΟΣ ΣΙΤΟΣΣΙΤΟΣ ΣΚΛΗΡΟΣ TONO</v>
      </c>
      <c r="B5433" s="43" t="s">
        <v>8886</v>
      </c>
      <c r="C5433" s="44" t="s">
        <v>10364</v>
      </c>
      <c r="D5433" s="6">
        <v>517.94000000000005</v>
      </c>
      <c r="E5433" s="6">
        <v>492.2</v>
      </c>
      <c r="F5433" s="45" t="s">
        <v>14</v>
      </c>
      <c r="G5433" s="46" t="s">
        <v>10365</v>
      </c>
      <c r="H5433" s="46" t="s">
        <v>27</v>
      </c>
      <c r="I5433" s="47">
        <v>4564</v>
      </c>
      <c r="J5433" s="48">
        <v>1</v>
      </c>
      <c r="K5433" s="48">
        <v>9126</v>
      </c>
      <c r="L5433" s="3" t="str">
        <f t="shared" si="175"/>
        <v>ΣΚΛΗΡΟΣ_ΣΙΤΟΣ</v>
      </c>
    </row>
    <row r="5434" spans="1:12" x14ac:dyDescent="0.25">
      <c r="A5434" s="1" t="str">
        <f t="shared" si="174"/>
        <v>ΣΚΛΗΡΟΣ ΣΙΤΟΣΣΙΤΟΣ ΣΚΛΗΡΟΣ VALIRA</v>
      </c>
      <c r="B5434" s="49" t="s">
        <v>8886</v>
      </c>
      <c r="C5434" s="50" t="s">
        <v>10366</v>
      </c>
      <c r="D5434" s="6">
        <v>517.94000000000005</v>
      </c>
      <c r="E5434" s="6">
        <v>492.2</v>
      </c>
      <c r="F5434" s="46" t="s">
        <v>14</v>
      </c>
      <c r="G5434" s="46" t="s">
        <v>10367</v>
      </c>
      <c r="H5434" s="46" t="s">
        <v>27</v>
      </c>
      <c r="I5434" s="9">
        <v>46</v>
      </c>
      <c r="J5434" s="51">
        <v>1</v>
      </c>
      <c r="K5434" s="51">
        <v>9127</v>
      </c>
      <c r="L5434" s="3" t="str">
        <f t="shared" si="175"/>
        <v>ΣΚΛΗΡΟΣ_ΣΙΤΟΣ</v>
      </c>
    </row>
    <row r="5435" spans="1:12" x14ac:dyDescent="0.25">
      <c r="A5435" s="1" t="str">
        <f t="shared" si="174"/>
        <v>ΣΚΛΗΡΟΣ ΣΙΤΟΣΣΙΤΟΣ ΣΚΛΗΡΟΣ AMBRODUR</v>
      </c>
      <c r="B5435" s="43" t="s">
        <v>8886</v>
      </c>
      <c r="C5435" s="44" t="s">
        <v>10368</v>
      </c>
      <c r="D5435" s="6">
        <v>517.94000000000005</v>
      </c>
      <c r="E5435" s="6">
        <v>492.2</v>
      </c>
      <c r="F5435" s="45" t="s">
        <v>14</v>
      </c>
      <c r="G5435" s="46" t="s">
        <v>10369</v>
      </c>
      <c r="H5435" s="46" t="s">
        <v>27</v>
      </c>
      <c r="I5435" s="47">
        <v>4565</v>
      </c>
      <c r="J5435" s="48">
        <v>1</v>
      </c>
      <c r="K5435" s="48">
        <v>9128</v>
      </c>
      <c r="L5435" s="3" t="str">
        <f t="shared" si="175"/>
        <v>ΣΚΛΗΡΟΣ_ΣΙΤΟΣ</v>
      </c>
    </row>
    <row r="5436" spans="1:12" x14ac:dyDescent="0.25">
      <c r="A5436" s="1" t="str">
        <f t="shared" si="174"/>
        <v>ΣΚΛΗΡΟΣ ΣΙΤΟΣΣΙΤΟΣ ΣΚΛΗΡΟΣ BELENO</v>
      </c>
      <c r="B5436" s="43" t="s">
        <v>8886</v>
      </c>
      <c r="C5436" s="44" t="s">
        <v>10370</v>
      </c>
      <c r="D5436" s="6">
        <v>517.94000000000005</v>
      </c>
      <c r="E5436" s="6">
        <v>492.2</v>
      </c>
      <c r="F5436" s="45" t="s">
        <v>14</v>
      </c>
      <c r="G5436" s="46" t="s">
        <v>10371</v>
      </c>
      <c r="H5436" s="46" t="s">
        <v>27</v>
      </c>
      <c r="I5436" s="9">
        <v>4566</v>
      </c>
      <c r="J5436" s="48">
        <v>1</v>
      </c>
      <c r="K5436" s="48">
        <v>9130</v>
      </c>
      <c r="L5436" s="3" t="str">
        <f t="shared" si="175"/>
        <v>ΣΚΛΗΡΟΣ_ΣΙΤΟΣ</v>
      </c>
    </row>
    <row r="5437" spans="1:12" ht="24" x14ac:dyDescent="0.25">
      <c r="A5437" s="1" t="str">
        <f t="shared" si="174"/>
        <v>ΣΚΛΗΡΟΣ ΣΙΤΟΣΣΙΤΟΣ ΣΚΛΗΡΟΣ GRECALE</v>
      </c>
      <c r="B5437" s="49" t="s">
        <v>8886</v>
      </c>
      <c r="C5437" s="50" t="s">
        <v>10372</v>
      </c>
      <c r="D5437" s="6">
        <v>517.94000000000005</v>
      </c>
      <c r="E5437" s="6">
        <v>492.2</v>
      </c>
      <c r="F5437" s="46" t="s">
        <v>14</v>
      </c>
      <c r="G5437" s="46" t="s">
        <v>10373</v>
      </c>
      <c r="H5437" s="46" t="s">
        <v>16</v>
      </c>
      <c r="I5437" s="47">
        <v>45</v>
      </c>
      <c r="J5437" s="51">
        <v>1</v>
      </c>
      <c r="K5437" s="51">
        <v>9131</v>
      </c>
      <c r="L5437" s="3" t="str">
        <f t="shared" si="175"/>
        <v>ΣΚΛΗΡΟΣ_ΣΙΤΟΣ</v>
      </c>
    </row>
    <row r="5438" spans="1:12" x14ac:dyDescent="0.25">
      <c r="A5438" s="1" t="str">
        <f t="shared" si="174"/>
        <v>ΣΚΛΗΡΟΣ ΣΙΤΟΣΣΙΤΟΣ ΣΚΛΗΡΟΣ ICARO</v>
      </c>
      <c r="B5438" s="43" t="s">
        <v>8886</v>
      </c>
      <c r="C5438" s="44" t="s">
        <v>10374</v>
      </c>
      <c r="D5438" s="6">
        <v>517.94000000000005</v>
      </c>
      <c r="E5438" s="6">
        <v>492.2</v>
      </c>
      <c r="F5438" s="45" t="s">
        <v>14</v>
      </c>
      <c r="G5438" s="46" t="s">
        <v>10375</v>
      </c>
      <c r="H5438" s="46" t="s">
        <v>27</v>
      </c>
      <c r="I5438" s="9">
        <v>4567</v>
      </c>
      <c r="J5438" s="48">
        <v>1</v>
      </c>
      <c r="K5438" s="48">
        <v>9132</v>
      </c>
      <c r="L5438" s="3" t="str">
        <f t="shared" si="175"/>
        <v>ΣΚΛΗΡΟΣ_ΣΙΤΟΣ</v>
      </c>
    </row>
    <row r="5439" spans="1:12" x14ac:dyDescent="0.25">
      <c r="A5439" s="1" t="str">
        <f t="shared" si="174"/>
        <v>ΣΚΛΗΡΟΣ ΣΙΤΟΣΣΙΤΟΣ ΣΚΛΗΡΟΣ ULISSE</v>
      </c>
      <c r="B5439" s="43" t="s">
        <v>8886</v>
      </c>
      <c r="C5439" s="44" t="s">
        <v>10376</v>
      </c>
      <c r="D5439" s="6">
        <v>517.94000000000005</v>
      </c>
      <c r="E5439" s="6">
        <v>492.2</v>
      </c>
      <c r="F5439" s="45" t="s">
        <v>14</v>
      </c>
      <c r="G5439" s="46" t="s">
        <v>10377</v>
      </c>
      <c r="H5439" s="46" t="s">
        <v>27</v>
      </c>
      <c r="I5439" s="47">
        <v>4568</v>
      </c>
      <c r="J5439" s="48">
        <v>1</v>
      </c>
      <c r="K5439" s="48">
        <v>9133</v>
      </c>
      <c r="L5439" s="3" t="str">
        <f t="shared" si="175"/>
        <v>ΣΚΛΗΡΟΣ_ΣΙΤΟΣ</v>
      </c>
    </row>
    <row r="5440" spans="1:12" x14ac:dyDescent="0.25">
      <c r="A5440" s="1" t="str">
        <f t="shared" si="174"/>
        <v>ΣΚΛΗΡΟΣ ΣΙΤΟΣΣΙΤΟΣ ΣΚΛΗΡΟΣ AGAMEMNON</v>
      </c>
      <c r="B5440" s="43" t="s">
        <v>8886</v>
      </c>
      <c r="C5440" s="44" t="s">
        <v>10378</v>
      </c>
      <c r="D5440" s="6">
        <v>517.94000000000005</v>
      </c>
      <c r="E5440" s="6">
        <v>492.2</v>
      </c>
      <c r="F5440" s="45" t="s">
        <v>14</v>
      </c>
      <c r="G5440" s="46" t="s">
        <v>10379</v>
      </c>
      <c r="H5440" s="46" t="s">
        <v>27</v>
      </c>
      <c r="I5440" s="9">
        <v>4569</v>
      </c>
      <c r="J5440" s="48">
        <v>1</v>
      </c>
      <c r="K5440" s="48">
        <v>9134</v>
      </c>
      <c r="L5440" s="3" t="str">
        <f t="shared" si="175"/>
        <v>ΣΚΛΗΡΟΣ_ΣΙΤΟΣ</v>
      </c>
    </row>
    <row r="5441" spans="1:12" x14ac:dyDescent="0.25">
      <c r="A5441" s="1" t="str">
        <f t="shared" si="174"/>
        <v>ΣΚΛΗΡΟΣ ΣΙΤΟΣΣΙΤΟΣ ΣΚΛΗΡΟΣ ALLESSANDRO</v>
      </c>
      <c r="B5441" s="43" t="s">
        <v>8886</v>
      </c>
      <c r="C5441" s="44" t="s">
        <v>10380</v>
      </c>
      <c r="D5441" s="6">
        <v>517.94000000000005</v>
      </c>
      <c r="E5441" s="6">
        <v>492.2</v>
      </c>
      <c r="F5441" s="45" t="s">
        <v>14</v>
      </c>
      <c r="G5441" s="46" t="s">
        <v>10381</v>
      </c>
      <c r="H5441" s="46" t="s">
        <v>27</v>
      </c>
      <c r="I5441" s="47">
        <v>4570</v>
      </c>
      <c r="J5441" s="48">
        <v>1</v>
      </c>
      <c r="K5441" s="48">
        <v>9135</v>
      </c>
      <c r="L5441" s="3" t="str">
        <f t="shared" si="175"/>
        <v>ΣΚΛΗΡΟΣ_ΣΙΤΟΣ</v>
      </c>
    </row>
    <row r="5442" spans="1:12" x14ac:dyDescent="0.25">
      <c r="A5442" s="1" t="str">
        <f t="shared" si="174"/>
        <v>ΣΚΛΗΡΟΣ ΣΙΤΟΣΣΙΤΟΣ ΣΚΛΗΡΟΣ CONNIGOLD</v>
      </c>
      <c r="B5442" s="43" t="s">
        <v>8886</v>
      </c>
      <c r="C5442" s="44" t="s">
        <v>10382</v>
      </c>
      <c r="D5442" s="6">
        <v>517.94000000000005</v>
      </c>
      <c r="E5442" s="6">
        <v>492.2</v>
      </c>
      <c r="F5442" s="45" t="s">
        <v>14</v>
      </c>
      <c r="G5442" s="46" t="s">
        <v>10383</v>
      </c>
      <c r="H5442" s="46" t="s">
        <v>27</v>
      </c>
      <c r="I5442" s="9">
        <v>4571</v>
      </c>
      <c r="J5442" s="48">
        <v>1</v>
      </c>
      <c r="K5442" s="48">
        <v>9136</v>
      </c>
      <c r="L5442" s="3" t="str">
        <f t="shared" si="175"/>
        <v>ΣΚΛΗΡΟΣ_ΣΙΤΟΣ</v>
      </c>
    </row>
    <row r="5443" spans="1:12" x14ac:dyDescent="0.25">
      <c r="A5443" s="1" t="str">
        <f t="shared" ref="A5443:A5506" si="176">_xlfn.CONCAT(B5443,C5443)</f>
        <v>ΣΚΛΗΡΟΣ ΣΙΤΟΣΣΙΤΟΣ ΣΚΛΗΡΟΣ PTOLEMEOS</v>
      </c>
      <c r="B5443" s="43" t="s">
        <v>8886</v>
      </c>
      <c r="C5443" s="44" t="s">
        <v>10384</v>
      </c>
      <c r="D5443" s="6">
        <v>517.94000000000005</v>
      </c>
      <c r="E5443" s="6">
        <v>492.2</v>
      </c>
      <c r="F5443" s="45" t="s">
        <v>14</v>
      </c>
      <c r="G5443" s="46" t="s">
        <v>10385</v>
      </c>
      <c r="H5443" s="46" t="s">
        <v>27</v>
      </c>
      <c r="I5443" s="47">
        <v>4572</v>
      </c>
      <c r="J5443" s="48">
        <v>1</v>
      </c>
      <c r="K5443" s="48">
        <v>9137</v>
      </c>
      <c r="L5443" s="3" t="str">
        <f t="shared" ref="L5443:L5506" si="177">IFERROR(SUBSTITUTE(SUBSTITUTE(SUBSTITUTE(SUBSTITUTE(SUBSTITUTE(B5443, "-", "_"), " ", "_"), ",", ""), "(", ""), ")", ""), B5443)</f>
        <v>ΣΚΛΗΡΟΣ_ΣΙΤΟΣ</v>
      </c>
    </row>
    <row r="5444" spans="1:12" x14ac:dyDescent="0.25">
      <c r="A5444" s="1" t="str">
        <f t="shared" si="176"/>
        <v>ΣΚΛΗΡΟΣ ΣΙΤΟΣΣΙΤΟΣ ΣΚΛΗΡΟΣ SUPERDUR</v>
      </c>
      <c r="B5444" s="43" t="s">
        <v>8886</v>
      </c>
      <c r="C5444" s="44" t="s">
        <v>10386</v>
      </c>
      <c r="D5444" s="6">
        <v>517.94000000000005</v>
      </c>
      <c r="E5444" s="6">
        <v>492.2</v>
      </c>
      <c r="F5444" s="45" t="s">
        <v>14</v>
      </c>
      <c r="G5444" s="46" t="s">
        <v>10387</v>
      </c>
      <c r="H5444" s="46" t="s">
        <v>27</v>
      </c>
      <c r="I5444" s="9">
        <v>4573</v>
      </c>
      <c r="J5444" s="48">
        <v>1</v>
      </c>
      <c r="K5444" s="48">
        <v>9138</v>
      </c>
      <c r="L5444" s="3" t="str">
        <f t="shared" si="177"/>
        <v>ΣΚΛΗΡΟΣ_ΣΙΤΟΣ</v>
      </c>
    </row>
    <row r="5445" spans="1:12" x14ac:dyDescent="0.25">
      <c r="A5445" s="1" t="str">
        <f t="shared" si="176"/>
        <v>ΣΚΛΗΡΟΣ ΣΙΤΟΣΣΙΤΟΣ ΣΚΛΗΡΟΣ ARDENTE</v>
      </c>
      <c r="B5445" s="43" t="s">
        <v>8886</v>
      </c>
      <c r="C5445" s="44" t="s">
        <v>10388</v>
      </c>
      <c r="D5445" s="6">
        <v>517.94000000000005</v>
      </c>
      <c r="E5445" s="6">
        <v>492.2</v>
      </c>
      <c r="F5445" s="45" t="s">
        <v>14</v>
      </c>
      <c r="G5445" s="46" t="s">
        <v>10389</v>
      </c>
      <c r="H5445" s="46" t="s">
        <v>27</v>
      </c>
      <c r="I5445" s="47">
        <v>4574</v>
      </c>
      <c r="J5445" s="48">
        <v>1</v>
      </c>
      <c r="K5445" s="48">
        <v>9139</v>
      </c>
      <c r="L5445" s="3" t="str">
        <f t="shared" si="177"/>
        <v>ΣΚΛΗΡΟΣ_ΣΙΤΟΣ</v>
      </c>
    </row>
    <row r="5446" spans="1:12" ht="24" x14ac:dyDescent="0.25">
      <c r="A5446" s="1" t="str">
        <f t="shared" si="176"/>
        <v>ΣΚΛΗΡΟΣ ΣΙΤΟΣΣΙΤΟΣ ΣΚΛΗΡΟΣ FLORADUR</v>
      </c>
      <c r="B5446" s="49" t="s">
        <v>8886</v>
      </c>
      <c r="C5446" s="50" t="s">
        <v>10390</v>
      </c>
      <c r="D5446" s="6">
        <v>517.94000000000005</v>
      </c>
      <c r="E5446" s="6">
        <v>492.2</v>
      </c>
      <c r="F5446" s="46" t="s">
        <v>14</v>
      </c>
      <c r="G5446" s="46" t="s">
        <v>10391</v>
      </c>
      <c r="H5446" s="46" t="s">
        <v>16</v>
      </c>
      <c r="I5446" s="9">
        <v>44</v>
      </c>
      <c r="J5446" s="51">
        <v>1</v>
      </c>
      <c r="K5446" s="51">
        <v>9141</v>
      </c>
      <c r="L5446" s="3" t="str">
        <f t="shared" si="177"/>
        <v>ΣΚΛΗΡΟΣ_ΣΙΤΟΣ</v>
      </c>
    </row>
    <row r="5447" spans="1:12" x14ac:dyDescent="0.25">
      <c r="A5447" s="1" t="str">
        <f t="shared" si="176"/>
        <v>ΣΚΛΗΡΟΣ ΣΙΤΟΣΣΙΤΟΣ ΣΚΛΗΡΟΣ IMHOTEP</v>
      </c>
      <c r="B5447" s="43" t="s">
        <v>8886</v>
      </c>
      <c r="C5447" s="44" t="s">
        <v>10392</v>
      </c>
      <c r="D5447" s="6">
        <v>517.94000000000005</v>
      </c>
      <c r="E5447" s="6">
        <v>492.2</v>
      </c>
      <c r="F5447" s="45" t="s">
        <v>14</v>
      </c>
      <c r="G5447" s="46" t="s">
        <v>10393</v>
      </c>
      <c r="H5447" s="46" t="s">
        <v>27</v>
      </c>
      <c r="I5447" s="47">
        <v>4575</v>
      </c>
      <c r="J5447" s="48">
        <v>1</v>
      </c>
      <c r="K5447" s="48">
        <v>9142</v>
      </c>
      <c r="L5447" s="3" t="str">
        <f t="shared" si="177"/>
        <v>ΣΚΛΗΡΟΣ_ΣΙΤΟΣ</v>
      </c>
    </row>
    <row r="5448" spans="1:12" ht="24" x14ac:dyDescent="0.25">
      <c r="A5448" s="1" t="str">
        <f t="shared" si="176"/>
        <v>ΣΚΛΗΡΟΣ ΣΙΤΟΣΣΙΤΟΣ ΣΚΛΗΡΟΣ NEOLATINO</v>
      </c>
      <c r="B5448" s="49" t="s">
        <v>8886</v>
      </c>
      <c r="C5448" s="50" t="s">
        <v>10394</v>
      </c>
      <c r="D5448" s="6">
        <v>517.94000000000005</v>
      </c>
      <c r="E5448" s="6">
        <v>492.2</v>
      </c>
      <c r="F5448" s="46" t="s">
        <v>14</v>
      </c>
      <c r="G5448" s="46" t="s">
        <v>10395</v>
      </c>
      <c r="H5448" s="46" t="s">
        <v>16</v>
      </c>
      <c r="I5448" s="9">
        <v>471</v>
      </c>
      <c r="J5448" s="51">
        <v>1</v>
      </c>
      <c r="K5448" s="51">
        <v>9143</v>
      </c>
      <c r="L5448" s="3" t="str">
        <f t="shared" si="177"/>
        <v>ΣΚΛΗΡΟΣ_ΣΙΤΟΣ</v>
      </c>
    </row>
    <row r="5449" spans="1:12" ht="24" x14ac:dyDescent="0.25">
      <c r="A5449" s="1" t="str">
        <f t="shared" si="176"/>
        <v>ΣΚΛΗΡΟΣ ΣΙΤΟΣΣΙΤΟΣ ΣΚΛΗΡΟΣ ROSADUR</v>
      </c>
      <c r="B5449" s="49" t="s">
        <v>8886</v>
      </c>
      <c r="C5449" s="50" t="s">
        <v>10396</v>
      </c>
      <c r="D5449" s="6">
        <v>517.94000000000005</v>
      </c>
      <c r="E5449" s="6">
        <v>492.2</v>
      </c>
      <c r="F5449" s="46" t="s">
        <v>14</v>
      </c>
      <c r="G5449" s="46" t="s">
        <v>10397</v>
      </c>
      <c r="H5449" s="46" t="s">
        <v>16</v>
      </c>
      <c r="I5449" s="47">
        <v>43</v>
      </c>
      <c r="J5449" s="51">
        <v>1</v>
      </c>
      <c r="K5449" s="51">
        <v>9144</v>
      </c>
      <c r="L5449" s="3" t="str">
        <f t="shared" si="177"/>
        <v>ΣΚΛΗΡΟΣ_ΣΙΤΟΣ</v>
      </c>
    </row>
    <row r="5450" spans="1:12" ht="24" x14ac:dyDescent="0.25">
      <c r="A5450" s="1" t="str">
        <f t="shared" si="176"/>
        <v>ΣΚΛΗΡΟΣ ΣΙΤΟΣΣΙΤΟΣ ΣΚΛΗΡΟΣ SARAGOLLA</v>
      </c>
      <c r="B5450" s="49" t="s">
        <v>8886</v>
      </c>
      <c r="C5450" s="50" t="s">
        <v>10398</v>
      </c>
      <c r="D5450" s="6">
        <v>517.94000000000005</v>
      </c>
      <c r="E5450" s="6">
        <v>492.2</v>
      </c>
      <c r="F5450" s="46" t="s">
        <v>14</v>
      </c>
      <c r="G5450" s="46" t="s">
        <v>10399</v>
      </c>
      <c r="H5450" s="46" t="s">
        <v>16</v>
      </c>
      <c r="I5450" s="9">
        <v>533</v>
      </c>
      <c r="J5450" s="51">
        <v>1</v>
      </c>
      <c r="K5450" s="51">
        <v>9145</v>
      </c>
      <c r="L5450" s="3" t="str">
        <f t="shared" si="177"/>
        <v>ΣΚΛΗΡΟΣ_ΣΙΤΟΣ</v>
      </c>
    </row>
    <row r="5451" spans="1:12" x14ac:dyDescent="0.25">
      <c r="A5451" s="1" t="str">
        <f t="shared" si="176"/>
        <v>ΣΚΛΗΡΟΣ ΣΙΤΟΣΣΙΤΟΣ ΣΚΛΗΡΟΣ SIMADUR</v>
      </c>
      <c r="B5451" s="43" t="s">
        <v>8886</v>
      </c>
      <c r="C5451" s="44" t="s">
        <v>10400</v>
      </c>
      <c r="D5451" s="6">
        <v>517.94000000000005</v>
      </c>
      <c r="E5451" s="6">
        <v>492.2</v>
      </c>
      <c r="F5451" s="45" t="s">
        <v>14</v>
      </c>
      <c r="G5451" s="46" t="s">
        <v>10401</v>
      </c>
      <c r="H5451" s="46" t="s">
        <v>27</v>
      </c>
      <c r="I5451" s="47">
        <v>4576</v>
      </c>
      <c r="J5451" s="48">
        <v>1</v>
      </c>
      <c r="K5451" s="48">
        <v>9146</v>
      </c>
      <c r="L5451" s="3" t="str">
        <f t="shared" si="177"/>
        <v>ΣΚΛΗΡΟΣ_ΣΙΤΟΣ</v>
      </c>
    </row>
    <row r="5452" spans="1:12" x14ac:dyDescent="0.25">
      <c r="A5452" s="1" t="str">
        <f t="shared" si="176"/>
        <v>ΣΚΛΗΡΟΣ ΣΙΤΟΣΣΙΤΟΣ ΣΚΛΗΡΟΣ VIRGILIO</v>
      </c>
      <c r="B5452" s="43" t="s">
        <v>8886</v>
      </c>
      <c r="C5452" s="44" t="s">
        <v>10108</v>
      </c>
      <c r="D5452" s="6">
        <v>517.94000000000005</v>
      </c>
      <c r="E5452" s="6">
        <v>492.2</v>
      </c>
      <c r="F5452" s="45" t="s">
        <v>14</v>
      </c>
      <c r="G5452" s="46" t="s">
        <v>10402</v>
      </c>
      <c r="H5452" s="46" t="s">
        <v>27</v>
      </c>
      <c r="I5452" s="9">
        <v>4577</v>
      </c>
      <c r="J5452" s="48">
        <v>1</v>
      </c>
      <c r="K5452" s="48">
        <v>9147</v>
      </c>
      <c r="L5452" s="3" t="str">
        <f t="shared" si="177"/>
        <v>ΣΚΛΗΡΟΣ_ΣΙΤΟΣ</v>
      </c>
    </row>
    <row r="5453" spans="1:12" ht="24" x14ac:dyDescent="0.25">
      <c r="A5453" s="1" t="str">
        <f t="shared" si="176"/>
        <v>ΣΚΛΗΡΟΣ ΣΙΤΟΣΣΙΤΟΣ ΣΚΛΗΡΟΣ MAESTRALE</v>
      </c>
      <c r="B5453" s="49" t="s">
        <v>8886</v>
      </c>
      <c r="C5453" s="50" t="s">
        <v>10403</v>
      </c>
      <c r="D5453" s="6">
        <v>517.94000000000005</v>
      </c>
      <c r="E5453" s="6">
        <v>492.2</v>
      </c>
      <c r="F5453" s="46" t="s">
        <v>14</v>
      </c>
      <c r="G5453" s="46" t="s">
        <v>10404</v>
      </c>
      <c r="H5453" s="46" t="s">
        <v>16</v>
      </c>
      <c r="I5453" s="47">
        <v>42</v>
      </c>
      <c r="J5453" s="51">
        <v>1</v>
      </c>
      <c r="K5453" s="51">
        <v>9148</v>
      </c>
      <c r="L5453" s="3" t="str">
        <f t="shared" si="177"/>
        <v>ΣΚΛΗΡΟΣ_ΣΙΤΟΣ</v>
      </c>
    </row>
    <row r="5454" spans="1:12" ht="24" x14ac:dyDescent="0.25">
      <c r="A5454" s="1" t="str">
        <f t="shared" si="176"/>
        <v>ΣΚΛΗΡΟΣ ΣΙΤΟΣΣΙΤΟΣ ΣΚΛΗΡΟΣ CHRYSSODUR</v>
      </c>
      <c r="B5454" s="49" t="s">
        <v>8886</v>
      </c>
      <c r="C5454" s="50" t="s">
        <v>10405</v>
      </c>
      <c r="D5454" s="6">
        <v>517.94000000000005</v>
      </c>
      <c r="E5454" s="6">
        <v>492.2</v>
      </c>
      <c r="F5454" s="46" t="s">
        <v>14</v>
      </c>
      <c r="G5454" s="46" t="s">
        <v>10406</v>
      </c>
      <c r="H5454" s="46" t="s">
        <v>16</v>
      </c>
      <c r="I5454" s="9">
        <v>33</v>
      </c>
      <c r="J5454" s="51">
        <v>1</v>
      </c>
      <c r="K5454" s="51">
        <v>9149</v>
      </c>
      <c r="L5454" s="3" t="str">
        <f t="shared" si="177"/>
        <v>ΣΚΛΗΡΟΣ_ΣΙΤΟΣ</v>
      </c>
    </row>
    <row r="5455" spans="1:12" ht="24" x14ac:dyDescent="0.25">
      <c r="A5455" s="1" t="str">
        <f t="shared" si="176"/>
        <v>ΣΚΛΗΡΟΣ ΣΙΤΟΣΣΙΤΟΣ ΣΚΛΗΡΟΣ CATERVO</v>
      </c>
      <c r="B5455" s="49" t="s">
        <v>8886</v>
      </c>
      <c r="C5455" s="50" t="s">
        <v>10407</v>
      </c>
      <c r="D5455" s="6">
        <v>517.94000000000005</v>
      </c>
      <c r="E5455" s="6">
        <v>492.2</v>
      </c>
      <c r="F5455" s="46" t="s">
        <v>14</v>
      </c>
      <c r="G5455" s="46" t="s">
        <v>10408</v>
      </c>
      <c r="H5455" s="46" t="s">
        <v>16</v>
      </c>
      <c r="I5455" s="47">
        <v>40</v>
      </c>
      <c r="J5455" s="51">
        <v>1</v>
      </c>
      <c r="K5455" s="51">
        <v>9151</v>
      </c>
      <c r="L5455" s="3" t="str">
        <f t="shared" si="177"/>
        <v>ΣΚΛΗΡΟΣ_ΣΙΤΟΣ</v>
      </c>
    </row>
    <row r="5456" spans="1:12" x14ac:dyDescent="0.25">
      <c r="A5456" s="1" t="str">
        <f t="shared" si="176"/>
        <v>ΣΚΛΗΡΟΣ ΣΙΤΟΣΣΙΤΟΣ ΣΚΛΗΡΟΣ NEOKRONOS</v>
      </c>
      <c r="B5456" s="49" t="s">
        <v>8886</v>
      </c>
      <c r="C5456" s="50" t="s">
        <v>10409</v>
      </c>
      <c r="D5456" s="6">
        <v>517.94000000000005</v>
      </c>
      <c r="E5456" s="6">
        <v>492.2</v>
      </c>
      <c r="F5456" s="46" t="s">
        <v>14</v>
      </c>
      <c r="G5456" s="46" t="s">
        <v>10410</v>
      </c>
      <c r="H5456" s="46" t="s">
        <v>27</v>
      </c>
      <c r="I5456" s="9">
        <v>48</v>
      </c>
      <c r="J5456" s="51">
        <v>1</v>
      </c>
      <c r="K5456" s="51">
        <v>9152</v>
      </c>
      <c r="L5456" s="3" t="str">
        <f t="shared" si="177"/>
        <v>ΣΚΛΗΡΟΣ_ΣΙΤΟΣ</v>
      </c>
    </row>
    <row r="5457" spans="1:12" ht="24" x14ac:dyDescent="0.25">
      <c r="A5457" s="1" t="str">
        <f t="shared" si="176"/>
        <v>ΣΚΛΗΡΟΣ ΣΙΤΟΣΣΙΤΟΣ ΣΚΛΗΡΟΣ KANAKIS</v>
      </c>
      <c r="B5457" s="49" t="s">
        <v>8886</v>
      </c>
      <c r="C5457" s="50" t="s">
        <v>10411</v>
      </c>
      <c r="D5457" s="6">
        <v>517.94000000000005</v>
      </c>
      <c r="E5457" s="6">
        <v>492.2</v>
      </c>
      <c r="F5457" s="46" t="s">
        <v>14</v>
      </c>
      <c r="G5457" s="46" t="s">
        <v>10412</v>
      </c>
      <c r="H5457" s="46" t="s">
        <v>16</v>
      </c>
      <c r="I5457" s="47">
        <v>38</v>
      </c>
      <c r="J5457" s="51">
        <v>1</v>
      </c>
      <c r="K5457" s="51">
        <v>9193</v>
      </c>
      <c r="L5457" s="3" t="str">
        <f t="shared" si="177"/>
        <v>ΣΚΛΗΡΟΣ_ΣΙΤΟΣ</v>
      </c>
    </row>
    <row r="5458" spans="1:12" ht="24" x14ac:dyDescent="0.25">
      <c r="A5458" s="1" t="str">
        <f t="shared" si="176"/>
        <v>ΣΚΛΗΡΟΣ ΣΙΤΟΣΣΙΤΟΣ ΣΚΛΗΡΟΣ ACHILLE</v>
      </c>
      <c r="B5458" s="49" t="s">
        <v>8886</v>
      </c>
      <c r="C5458" s="50" t="s">
        <v>10413</v>
      </c>
      <c r="D5458" s="6">
        <v>517.94000000000005</v>
      </c>
      <c r="E5458" s="6">
        <v>492.2</v>
      </c>
      <c r="F5458" s="46" t="s">
        <v>14</v>
      </c>
      <c r="G5458" s="46" t="s">
        <v>10414</v>
      </c>
      <c r="H5458" s="46" t="s">
        <v>16</v>
      </c>
      <c r="I5458" s="9">
        <v>37</v>
      </c>
      <c r="J5458" s="51">
        <v>1</v>
      </c>
      <c r="K5458" s="51">
        <v>9194</v>
      </c>
      <c r="L5458" s="3" t="str">
        <f t="shared" si="177"/>
        <v>ΣΚΛΗΡΟΣ_ΣΙΤΟΣ</v>
      </c>
    </row>
    <row r="5459" spans="1:12" x14ac:dyDescent="0.25">
      <c r="A5459" s="1" t="str">
        <f t="shared" si="176"/>
        <v>ΣΚΛΗΡΟΣ ΣΙΤΟΣΣΙΤΟΣ ΣΚΛΗΡΟΣ ΕΚΑΒΗ</v>
      </c>
      <c r="B5459" s="43" t="s">
        <v>8886</v>
      </c>
      <c r="C5459" s="44" t="s">
        <v>10415</v>
      </c>
      <c r="D5459" s="6">
        <v>517.94000000000005</v>
      </c>
      <c r="E5459" s="6">
        <v>492.2</v>
      </c>
      <c r="F5459" s="45" t="s">
        <v>14</v>
      </c>
      <c r="G5459" s="46" t="s">
        <v>10416</v>
      </c>
      <c r="H5459" s="46" t="s">
        <v>27</v>
      </c>
      <c r="I5459" s="47">
        <v>4578</v>
      </c>
      <c r="J5459" s="48">
        <v>1</v>
      </c>
      <c r="K5459" s="48">
        <v>9195</v>
      </c>
      <c r="L5459" s="3" t="str">
        <f t="shared" si="177"/>
        <v>ΣΚΛΗΡΟΣ_ΣΙΤΟΣ</v>
      </c>
    </row>
    <row r="5460" spans="1:12" x14ac:dyDescent="0.25">
      <c r="A5460" s="1" t="str">
        <f t="shared" si="176"/>
        <v>ΣΚΛΗΡΟΣ ΣΙΤΟΣΣΙΤΟΣ ΣΚΛΗΡΟΣ ΜΑΥΡΑΓΑΝΙ</v>
      </c>
      <c r="B5460" s="43" t="s">
        <v>8886</v>
      </c>
      <c r="C5460" s="44" t="s">
        <v>10417</v>
      </c>
      <c r="D5460" s="6">
        <v>517.94000000000005</v>
      </c>
      <c r="E5460" s="6">
        <v>492.2</v>
      </c>
      <c r="F5460" s="45" t="s">
        <v>14</v>
      </c>
      <c r="G5460" s="46" t="s">
        <v>10418</v>
      </c>
      <c r="H5460" s="46" t="s">
        <v>27</v>
      </c>
      <c r="I5460" s="9">
        <v>4579</v>
      </c>
      <c r="J5460" s="48">
        <v>1</v>
      </c>
      <c r="K5460" s="48">
        <v>9400</v>
      </c>
      <c r="L5460" s="3" t="str">
        <f t="shared" si="177"/>
        <v>ΣΚΛΗΡΟΣ_ΣΙΤΟΣ</v>
      </c>
    </row>
    <row r="5461" spans="1:12" x14ac:dyDescent="0.25">
      <c r="A5461" s="1" t="str">
        <f t="shared" si="176"/>
        <v>ΣΚΛΗΡΟΣ ΣΙΤΟΣΣΙΤΟΣ ΣΚΛΗΡΟΣ ΚΟΚΚΙΝΑΘΕΡΙ</v>
      </c>
      <c r="B5461" s="43" t="s">
        <v>8886</v>
      </c>
      <c r="C5461" s="44" t="s">
        <v>10419</v>
      </c>
      <c r="D5461" s="6">
        <v>517.94000000000005</v>
      </c>
      <c r="E5461" s="6">
        <v>492.2</v>
      </c>
      <c r="F5461" s="45" t="s">
        <v>14</v>
      </c>
      <c r="G5461" s="46" t="s">
        <v>10420</v>
      </c>
      <c r="H5461" s="46" t="s">
        <v>27</v>
      </c>
      <c r="I5461" s="47">
        <v>4580</v>
      </c>
      <c r="J5461" s="48">
        <v>1</v>
      </c>
      <c r="K5461" s="48">
        <v>9401</v>
      </c>
      <c r="L5461" s="3" t="str">
        <f t="shared" si="177"/>
        <v>ΣΚΛΗΡΟΣ_ΣΙΤΟΣ</v>
      </c>
    </row>
    <row r="5462" spans="1:12" x14ac:dyDescent="0.25">
      <c r="A5462" s="1" t="str">
        <f t="shared" si="176"/>
        <v>ΣΚΛΗΡΟΣ ΣΙΤΟΣΣΙΤΟΣ ΣΚΛΗΡΟΣ ΜΑΥΡΑΘΕΡΙ</v>
      </c>
      <c r="B5462" s="43" t="s">
        <v>8886</v>
      </c>
      <c r="C5462" s="44" t="s">
        <v>10421</v>
      </c>
      <c r="D5462" s="6">
        <v>517.94000000000005</v>
      </c>
      <c r="E5462" s="6">
        <v>492.2</v>
      </c>
      <c r="F5462" s="45" t="s">
        <v>14</v>
      </c>
      <c r="G5462" s="46" t="s">
        <v>10422</v>
      </c>
      <c r="H5462" s="46" t="s">
        <v>27</v>
      </c>
      <c r="I5462" s="9">
        <v>4581</v>
      </c>
      <c r="J5462" s="48">
        <v>1</v>
      </c>
      <c r="K5462" s="48">
        <v>9402</v>
      </c>
      <c r="L5462" s="3" t="str">
        <f t="shared" si="177"/>
        <v>ΣΚΛΗΡΟΣ_ΣΙΤΟΣ</v>
      </c>
    </row>
    <row r="5463" spans="1:12" x14ac:dyDescent="0.25">
      <c r="A5463" s="1" t="str">
        <f t="shared" si="176"/>
        <v>ΣΚΛΗΡΟΣ ΣΙΤΟΣΣΙΤΟΣ ΣΚΛΗΡΟΣ ΑΣΠΡΑΘΕΡΙ</v>
      </c>
      <c r="B5463" s="43" t="s">
        <v>8886</v>
      </c>
      <c r="C5463" s="44" t="s">
        <v>10423</v>
      </c>
      <c r="D5463" s="6">
        <v>517.94000000000005</v>
      </c>
      <c r="E5463" s="6">
        <v>492.2</v>
      </c>
      <c r="F5463" s="45" t="s">
        <v>14</v>
      </c>
      <c r="G5463" s="46" t="s">
        <v>10424</v>
      </c>
      <c r="H5463" s="46" t="s">
        <v>27</v>
      </c>
      <c r="I5463" s="47">
        <v>4582</v>
      </c>
      <c r="J5463" s="48">
        <v>1</v>
      </c>
      <c r="K5463" s="48">
        <v>9403</v>
      </c>
      <c r="L5463" s="3" t="str">
        <f t="shared" si="177"/>
        <v>ΣΚΛΗΡΟΣ_ΣΙΤΟΣ</v>
      </c>
    </row>
    <row r="5464" spans="1:12" x14ac:dyDescent="0.25">
      <c r="A5464" s="1" t="str">
        <f t="shared" si="176"/>
        <v>ΣΚΛΗΡΟΣ ΣΙΤΟΣΣΙΤΟΣ ΣΚΛΗΡΟΣ ΚΟΚΚΙΝΟΣΤΑΡΟ</v>
      </c>
      <c r="B5464" s="43" t="s">
        <v>8886</v>
      </c>
      <c r="C5464" s="44" t="s">
        <v>10425</v>
      </c>
      <c r="D5464" s="6">
        <v>517.94000000000005</v>
      </c>
      <c r="E5464" s="6">
        <v>492.2</v>
      </c>
      <c r="F5464" s="45" t="s">
        <v>14</v>
      </c>
      <c r="G5464" s="46" t="s">
        <v>10426</v>
      </c>
      <c r="H5464" s="46" t="s">
        <v>27</v>
      </c>
      <c r="I5464" s="9">
        <v>4583</v>
      </c>
      <c r="J5464" s="48">
        <v>1</v>
      </c>
      <c r="K5464" s="48">
        <v>9404</v>
      </c>
      <c r="L5464" s="3" t="str">
        <f t="shared" si="177"/>
        <v>ΣΚΛΗΡΟΣ_ΣΙΤΟΣ</v>
      </c>
    </row>
    <row r="5465" spans="1:12" x14ac:dyDescent="0.25">
      <c r="A5465" s="1" t="str">
        <f t="shared" si="176"/>
        <v>ΣΚΛΗΡΟΣ ΣΙΤΟΣΣΙΤΟΣ ΣΚΛΗΡΟΣ ΑΣΠΡΟΣΤΑΡΟ</v>
      </c>
      <c r="B5465" s="43" t="s">
        <v>8886</v>
      </c>
      <c r="C5465" s="44" t="s">
        <v>10427</v>
      </c>
      <c r="D5465" s="6">
        <v>517.94000000000005</v>
      </c>
      <c r="E5465" s="6">
        <v>492.2</v>
      </c>
      <c r="F5465" s="45" t="s">
        <v>14</v>
      </c>
      <c r="G5465" s="46" t="s">
        <v>10428</v>
      </c>
      <c r="H5465" s="46" t="s">
        <v>27</v>
      </c>
      <c r="I5465" s="47">
        <v>4584</v>
      </c>
      <c r="J5465" s="48">
        <v>1</v>
      </c>
      <c r="K5465" s="48">
        <v>9405</v>
      </c>
      <c r="L5465" s="3" t="str">
        <f t="shared" si="177"/>
        <v>ΣΚΛΗΡΟΣ_ΣΙΤΟΣ</v>
      </c>
    </row>
    <row r="5466" spans="1:12" x14ac:dyDescent="0.25">
      <c r="A5466" s="1" t="str">
        <f t="shared" si="176"/>
        <v>ΣΚΛΗΡΟΣ ΣΙΤΟΣΣΙΤΟΣ ΣΚΛΗΡΟΣ ΑΣΠΡΟΣΙΤΙ</v>
      </c>
      <c r="B5466" s="43" t="s">
        <v>8886</v>
      </c>
      <c r="C5466" s="44" t="s">
        <v>10429</v>
      </c>
      <c r="D5466" s="6">
        <v>517.94000000000005</v>
      </c>
      <c r="E5466" s="6">
        <v>492.2</v>
      </c>
      <c r="F5466" s="45" t="s">
        <v>14</v>
      </c>
      <c r="G5466" s="46" t="s">
        <v>10430</v>
      </c>
      <c r="H5466" s="46" t="s">
        <v>27</v>
      </c>
      <c r="I5466" s="9">
        <v>4585</v>
      </c>
      <c r="J5466" s="48">
        <v>1</v>
      </c>
      <c r="K5466" s="48">
        <v>9406</v>
      </c>
      <c r="L5466" s="3" t="str">
        <f t="shared" si="177"/>
        <v>ΣΚΛΗΡΟΣ_ΣΙΤΟΣ</v>
      </c>
    </row>
    <row r="5467" spans="1:12" x14ac:dyDescent="0.25">
      <c r="A5467" s="1" t="str">
        <f t="shared" si="176"/>
        <v>ΣΚΛΗΡΟΣ ΣΙΤΟΣΣΙΤΟΣ ΣΚΛΗΡΟΣ ΔΙΜΗΝΙ</v>
      </c>
      <c r="B5467" s="43" t="s">
        <v>8886</v>
      </c>
      <c r="C5467" s="44" t="s">
        <v>10431</v>
      </c>
      <c r="D5467" s="6">
        <v>517.94000000000005</v>
      </c>
      <c r="E5467" s="6">
        <v>492.2</v>
      </c>
      <c r="F5467" s="45" t="s">
        <v>14</v>
      </c>
      <c r="G5467" s="46" t="s">
        <v>10432</v>
      </c>
      <c r="H5467" s="46" t="s">
        <v>27</v>
      </c>
      <c r="I5467" s="47">
        <v>4586</v>
      </c>
      <c r="J5467" s="48">
        <v>1</v>
      </c>
      <c r="K5467" s="48">
        <v>9407</v>
      </c>
      <c r="L5467" s="3" t="str">
        <f t="shared" si="177"/>
        <v>ΣΚΛΗΡΟΣ_ΣΙΤΟΣ</v>
      </c>
    </row>
    <row r="5468" spans="1:12" x14ac:dyDescent="0.25">
      <c r="A5468" s="1" t="str">
        <f t="shared" si="176"/>
        <v>ΣΚΛΗΡΟΣ ΣΙΤΟΣΣΙΤΟΣ ΣΚΛΗΡΟΣ ΤΡΙΜΗΝΙ</v>
      </c>
      <c r="B5468" s="43" t="s">
        <v>8886</v>
      </c>
      <c r="C5468" s="44" t="s">
        <v>10433</v>
      </c>
      <c r="D5468" s="6">
        <v>517.94000000000005</v>
      </c>
      <c r="E5468" s="6">
        <v>492.2</v>
      </c>
      <c r="F5468" s="45" t="s">
        <v>14</v>
      </c>
      <c r="G5468" s="46" t="s">
        <v>10434</v>
      </c>
      <c r="H5468" s="46" t="s">
        <v>27</v>
      </c>
      <c r="I5468" s="9">
        <v>4587</v>
      </c>
      <c r="J5468" s="48">
        <v>1</v>
      </c>
      <c r="K5468" s="48">
        <v>9408</v>
      </c>
      <c r="L5468" s="3" t="str">
        <f t="shared" si="177"/>
        <v>ΣΚΛΗΡΟΣ_ΣΙΤΟΣ</v>
      </c>
    </row>
    <row r="5469" spans="1:12" x14ac:dyDescent="0.25">
      <c r="A5469" s="1" t="str">
        <f t="shared" si="176"/>
        <v>ΣΚΛΗΡΟΣ ΣΙΤΟΣΣΙΤΟΣ ΣΚΛΗΡΟΣ ΝΤΕΒΕΣ</v>
      </c>
      <c r="B5469" s="43" t="s">
        <v>8886</v>
      </c>
      <c r="C5469" s="44" t="s">
        <v>10435</v>
      </c>
      <c r="D5469" s="6">
        <v>517.94000000000005</v>
      </c>
      <c r="E5469" s="6">
        <v>492.2</v>
      </c>
      <c r="F5469" s="45" t="s">
        <v>14</v>
      </c>
      <c r="G5469" s="46" t="s">
        <v>10436</v>
      </c>
      <c r="H5469" s="46" t="s">
        <v>27</v>
      </c>
      <c r="I5469" s="47">
        <v>4588</v>
      </c>
      <c r="J5469" s="48">
        <v>1</v>
      </c>
      <c r="K5469" s="48">
        <v>9409</v>
      </c>
      <c r="L5469" s="3" t="str">
        <f t="shared" si="177"/>
        <v>ΣΚΛΗΡΟΣ_ΣΙΤΟΣ</v>
      </c>
    </row>
    <row r="5470" spans="1:12" x14ac:dyDescent="0.25">
      <c r="A5470" s="1" t="str">
        <f t="shared" si="176"/>
        <v>ΣΚΛΗΡΟΣ ΣΙΤΟΣΣΙΤΟΣ ΣΚΛΗΡΟΣ ΕΡΕΤΡΕΙΑ</v>
      </c>
      <c r="B5470" s="43" t="s">
        <v>8886</v>
      </c>
      <c r="C5470" s="44" t="s">
        <v>10437</v>
      </c>
      <c r="D5470" s="6">
        <v>517.94000000000005</v>
      </c>
      <c r="E5470" s="6">
        <v>492.2</v>
      </c>
      <c r="F5470" s="45" t="s">
        <v>14</v>
      </c>
      <c r="G5470" s="46" t="s">
        <v>10438</v>
      </c>
      <c r="H5470" s="46" t="s">
        <v>27</v>
      </c>
      <c r="I5470" s="9">
        <v>4589</v>
      </c>
      <c r="J5470" s="48">
        <v>1</v>
      </c>
      <c r="K5470" s="48">
        <v>9410</v>
      </c>
      <c r="L5470" s="3" t="str">
        <f t="shared" si="177"/>
        <v>ΣΚΛΗΡΟΣ_ΣΙΤΟΣ</v>
      </c>
    </row>
    <row r="5471" spans="1:12" x14ac:dyDescent="0.25">
      <c r="A5471" s="1" t="str">
        <f t="shared" si="176"/>
        <v>ΣΚΛΗΡΟΣ ΣΙΤΟΣΣΙΤΟΣ ΣΚΛΗΡΟΣ ΦΡΑΓΚΟΣΙΤΑΡΟ</v>
      </c>
      <c r="B5471" s="43" t="s">
        <v>8886</v>
      </c>
      <c r="C5471" s="44" t="s">
        <v>10439</v>
      </c>
      <c r="D5471" s="6">
        <v>517.94000000000005</v>
      </c>
      <c r="E5471" s="6">
        <v>492.2</v>
      </c>
      <c r="F5471" s="45" t="s">
        <v>14</v>
      </c>
      <c r="G5471" s="46" t="s">
        <v>10440</v>
      </c>
      <c r="H5471" s="46" t="s">
        <v>27</v>
      </c>
      <c r="I5471" s="47">
        <v>4590</v>
      </c>
      <c r="J5471" s="48">
        <v>1</v>
      </c>
      <c r="K5471" s="48">
        <v>9411</v>
      </c>
      <c r="L5471" s="3" t="str">
        <f t="shared" si="177"/>
        <v>ΣΚΛΗΡΟΣ_ΣΙΤΟΣ</v>
      </c>
    </row>
    <row r="5472" spans="1:12" x14ac:dyDescent="0.25">
      <c r="A5472" s="1" t="str">
        <f t="shared" si="176"/>
        <v>ΣΚΛΗΡΟΣ ΣΙΤΟΣΣΙΤΟΣ ΣΚΛΗΡΟΣ ΓΡΕΜΕΝΙΑΣ</v>
      </c>
      <c r="B5472" s="43" t="s">
        <v>8886</v>
      </c>
      <c r="C5472" s="44" t="s">
        <v>10441</v>
      </c>
      <c r="D5472" s="6">
        <v>517.94000000000005</v>
      </c>
      <c r="E5472" s="6">
        <v>492.2</v>
      </c>
      <c r="F5472" s="45" t="s">
        <v>14</v>
      </c>
      <c r="G5472" s="46" t="s">
        <v>10442</v>
      </c>
      <c r="H5472" s="46" t="s">
        <v>27</v>
      </c>
      <c r="I5472" s="9">
        <v>4591</v>
      </c>
      <c r="J5472" s="48">
        <v>1</v>
      </c>
      <c r="K5472" s="48">
        <v>9412</v>
      </c>
      <c r="L5472" s="3" t="str">
        <f t="shared" si="177"/>
        <v>ΣΚΛΗΡΟΣ_ΣΙΤΟΣ</v>
      </c>
    </row>
    <row r="5473" spans="1:12" x14ac:dyDescent="0.25">
      <c r="A5473" s="1" t="str">
        <f t="shared" si="176"/>
        <v>ΣΚΛΗΡΟΣ ΣΙΤΟΣΣΙΤΟΣ ΣΚΛΗΡΟΣ ΑΡΑΠΑΚΙ</v>
      </c>
      <c r="B5473" s="43" t="s">
        <v>8886</v>
      </c>
      <c r="C5473" s="44" t="s">
        <v>10443</v>
      </c>
      <c r="D5473" s="6">
        <v>517.94000000000005</v>
      </c>
      <c r="E5473" s="6">
        <v>492.2</v>
      </c>
      <c r="F5473" s="45" t="s">
        <v>14</v>
      </c>
      <c r="G5473" s="46" t="s">
        <v>10444</v>
      </c>
      <c r="H5473" s="46" t="s">
        <v>27</v>
      </c>
      <c r="I5473" s="47">
        <v>4592</v>
      </c>
      <c r="J5473" s="48">
        <v>1</v>
      </c>
      <c r="K5473" s="48">
        <v>9413</v>
      </c>
      <c r="L5473" s="3" t="str">
        <f t="shared" si="177"/>
        <v>ΣΚΛΗΡΟΣ_ΣΙΤΟΣ</v>
      </c>
    </row>
    <row r="5474" spans="1:12" x14ac:dyDescent="0.25">
      <c r="A5474" s="1" t="str">
        <f t="shared" si="176"/>
        <v>ΣΚΛΗΡΟΣ ΣΙΤΟΣΣΙΤΟΣ ΣΚΛΗΡΟΣ ΤΣΙΠΟΥΡΑ</v>
      </c>
      <c r="B5474" s="43" t="s">
        <v>8886</v>
      </c>
      <c r="C5474" s="44" t="s">
        <v>10445</v>
      </c>
      <c r="D5474" s="6">
        <v>517.94000000000005</v>
      </c>
      <c r="E5474" s="6">
        <v>492.2</v>
      </c>
      <c r="F5474" s="45" t="s">
        <v>14</v>
      </c>
      <c r="G5474" s="46" t="s">
        <v>10446</v>
      </c>
      <c r="H5474" s="46" t="s">
        <v>27</v>
      </c>
      <c r="I5474" s="9">
        <v>4593</v>
      </c>
      <c r="J5474" s="48">
        <v>1</v>
      </c>
      <c r="K5474" s="48">
        <v>9414</v>
      </c>
      <c r="L5474" s="3" t="str">
        <f t="shared" si="177"/>
        <v>ΣΚΛΗΡΟΣ_ΣΙΤΟΣ</v>
      </c>
    </row>
    <row r="5475" spans="1:12" x14ac:dyDescent="0.25">
      <c r="A5475" s="1" t="str">
        <f t="shared" si="176"/>
        <v>ΣΚΛΗΡΟΣ ΣΙΤΟΣΣΙΤΟΣ ΣΚΛΗΡΟΣ ΚΟΝΤΟΥΖΙ</v>
      </c>
      <c r="B5475" s="43" t="s">
        <v>8886</v>
      </c>
      <c r="C5475" s="44" t="s">
        <v>10447</v>
      </c>
      <c r="D5475" s="6">
        <v>517.94000000000005</v>
      </c>
      <c r="E5475" s="6">
        <v>492.2</v>
      </c>
      <c r="F5475" s="45" t="s">
        <v>14</v>
      </c>
      <c r="G5475" s="46" t="s">
        <v>10448</v>
      </c>
      <c r="H5475" s="46" t="s">
        <v>27</v>
      </c>
      <c r="I5475" s="47">
        <v>4594</v>
      </c>
      <c r="J5475" s="48">
        <v>1</v>
      </c>
      <c r="K5475" s="48">
        <v>9415</v>
      </c>
      <c r="L5475" s="3" t="str">
        <f t="shared" si="177"/>
        <v>ΣΚΛΗΡΟΣ_ΣΙΤΟΣ</v>
      </c>
    </row>
    <row r="5476" spans="1:12" x14ac:dyDescent="0.25">
      <c r="A5476" s="1" t="str">
        <f t="shared" si="176"/>
        <v>ΣΚΛΗΡΟΣ ΣΙΤΟΣΣΙΤΟΣ ΣΚΛΗΡΟΣ ΗΛΕΚΤΡΑ</v>
      </c>
      <c r="B5476" s="43" t="s">
        <v>8886</v>
      </c>
      <c r="C5476" s="44" t="s">
        <v>10449</v>
      </c>
      <c r="D5476" s="6">
        <v>517.94000000000005</v>
      </c>
      <c r="E5476" s="6">
        <v>492.2</v>
      </c>
      <c r="F5476" s="45" t="s">
        <v>14</v>
      </c>
      <c r="G5476" s="46" t="s">
        <v>10450</v>
      </c>
      <c r="H5476" s="46" t="s">
        <v>27</v>
      </c>
      <c r="I5476" s="9">
        <v>4595</v>
      </c>
      <c r="J5476" s="48">
        <v>1</v>
      </c>
      <c r="K5476" s="48">
        <v>9416</v>
      </c>
      <c r="L5476" s="3" t="str">
        <f t="shared" si="177"/>
        <v>ΣΚΛΗΡΟΣ_ΣΙΤΟΣ</v>
      </c>
    </row>
    <row r="5477" spans="1:12" x14ac:dyDescent="0.25">
      <c r="A5477" s="1" t="str">
        <f t="shared" si="176"/>
        <v>ΣΚΛΗΡΟΣ ΣΙΤΟΣΣΙΤΟΣ ΣΚΛΗΡΟΣ ΛΗΜΝΟΣ</v>
      </c>
      <c r="B5477" s="43" t="s">
        <v>8886</v>
      </c>
      <c r="C5477" s="44" t="s">
        <v>10451</v>
      </c>
      <c r="D5477" s="6">
        <v>517.94000000000005</v>
      </c>
      <c r="E5477" s="6">
        <v>492.2</v>
      </c>
      <c r="F5477" s="45" t="s">
        <v>14</v>
      </c>
      <c r="G5477" s="46" t="s">
        <v>10452</v>
      </c>
      <c r="H5477" s="46" t="s">
        <v>27</v>
      </c>
      <c r="I5477" s="47">
        <v>4596</v>
      </c>
      <c r="J5477" s="48">
        <v>1</v>
      </c>
      <c r="K5477" s="48">
        <v>9417</v>
      </c>
      <c r="L5477" s="3" t="str">
        <f t="shared" si="177"/>
        <v>ΣΚΛΗΡΟΣ_ΣΙΤΟΣ</v>
      </c>
    </row>
    <row r="5478" spans="1:12" ht="24" x14ac:dyDescent="0.25">
      <c r="A5478" s="1" t="str">
        <f t="shared" si="176"/>
        <v>ΣΚΛΗΡΟΣ ΣΙΤΟΣΣΙΤΟΣ ΣΚΛΗΡΟΣ CINCINNATO</v>
      </c>
      <c r="B5478" s="49" t="s">
        <v>8886</v>
      </c>
      <c r="C5478" s="50" t="s">
        <v>10453</v>
      </c>
      <c r="D5478" s="6">
        <v>517.94000000000005</v>
      </c>
      <c r="E5478" s="6">
        <v>492.2</v>
      </c>
      <c r="F5478" s="46" t="s">
        <v>14</v>
      </c>
      <c r="G5478" s="46" t="s">
        <v>10454</v>
      </c>
      <c r="H5478" s="46" t="s">
        <v>16</v>
      </c>
      <c r="I5478" s="9">
        <v>36</v>
      </c>
      <c r="J5478" s="51">
        <v>1</v>
      </c>
      <c r="K5478" s="51">
        <v>9418</v>
      </c>
      <c r="L5478" s="3" t="str">
        <f t="shared" si="177"/>
        <v>ΣΚΛΗΡΟΣ_ΣΙΤΟΣ</v>
      </c>
    </row>
    <row r="5479" spans="1:12" x14ac:dyDescent="0.25">
      <c r="A5479" s="1" t="str">
        <f t="shared" si="176"/>
        <v>ΣΚΛΗΡΟΣ ΣΙΤΟΣΣΙΤΟΣ ΣΚΛΗΡΟΣ DURAMAR</v>
      </c>
      <c r="B5479" s="49" t="s">
        <v>8886</v>
      </c>
      <c r="C5479" s="50" t="s">
        <v>10455</v>
      </c>
      <c r="D5479" s="6">
        <v>517.94000000000005</v>
      </c>
      <c r="E5479" s="6">
        <v>492.2</v>
      </c>
      <c r="F5479" s="46" t="s">
        <v>14</v>
      </c>
      <c r="G5479" s="46" t="s">
        <v>10456</v>
      </c>
      <c r="H5479" s="46" t="s">
        <v>27</v>
      </c>
      <c r="I5479" s="47">
        <v>520</v>
      </c>
      <c r="J5479" s="51">
        <v>1</v>
      </c>
      <c r="K5479" s="51">
        <v>99153</v>
      </c>
      <c r="L5479" s="3" t="str">
        <f t="shared" si="177"/>
        <v>ΣΚΛΗΡΟΣ_ΣΙΤΟΣ</v>
      </c>
    </row>
    <row r="5480" spans="1:12" x14ac:dyDescent="0.25">
      <c r="A5480" s="1" t="str">
        <f t="shared" si="176"/>
        <v>ΣΚΛΗΡΟΣ ΣΙΤΟΣΣΙΤΟΣ ΣΚΛΗΡΟΣ Κ26</v>
      </c>
      <c r="B5480" s="43" t="s">
        <v>8886</v>
      </c>
      <c r="C5480" s="44" t="s">
        <v>10457</v>
      </c>
      <c r="D5480" s="6">
        <v>517.94000000000005</v>
      </c>
      <c r="E5480" s="6">
        <v>492.2</v>
      </c>
      <c r="F5480" s="45" t="s">
        <v>14</v>
      </c>
      <c r="G5480" s="46" t="s">
        <v>10458</v>
      </c>
      <c r="H5480" s="46" t="s">
        <v>27</v>
      </c>
      <c r="I5480" s="9">
        <v>4597</v>
      </c>
      <c r="J5480" s="48">
        <v>1</v>
      </c>
      <c r="K5480" s="48">
        <v>99154</v>
      </c>
      <c r="L5480" s="3" t="str">
        <f t="shared" si="177"/>
        <v>ΣΚΛΗΡΟΣ_ΣΙΤΟΣ</v>
      </c>
    </row>
    <row r="5481" spans="1:12" ht="24" x14ac:dyDescent="0.25">
      <c r="A5481" s="1" t="str">
        <f t="shared" si="176"/>
        <v>ΣΚΛΗΡΟΣ ΣΙΤΟΣΣΙΤΟΣ ΣΚΛΗΡΟΣ SCULPTUR</v>
      </c>
      <c r="B5481" s="49" t="s">
        <v>8886</v>
      </c>
      <c r="C5481" s="50" t="s">
        <v>10459</v>
      </c>
      <c r="D5481" s="6">
        <v>517.94000000000005</v>
      </c>
      <c r="E5481" s="6">
        <v>492.2</v>
      </c>
      <c r="F5481" s="46" t="s">
        <v>14</v>
      </c>
      <c r="G5481" s="46" t="s">
        <v>10460</v>
      </c>
      <c r="H5481" s="46" t="s">
        <v>16</v>
      </c>
      <c r="I5481" s="47">
        <v>532</v>
      </c>
      <c r="J5481" s="51">
        <v>1</v>
      </c>
      <c r="K5481" s="51">
        <v>99155</v>
      </c>
      <c r="L5481" s="3" t="str">
        <f t="shared" si="177"/>
        <v>ΣΚΛΗΡΟΣ_ΣΙΤΟΣ</v>
      </c>
    </row>
    <row r="5482" spans="1:12" x14ac:dyDescent="0.25">
      <c r="A5482" s="1" t="str">
        <f t="shared" si="176"/>
        <v>ΣΚΛΗΡΟΣ ΣΙΤΟΣΣΙΤΟΣ ΣΚΛΗΡΟΣ ATHINA</v>
      </c>
      <c r="B5482" s="43" t="s">
        <v>8886</v>
      </c>
      <c r="C5482" s="44" t="s">
        <v>10461</v>
      </c>
      <c r="D5482" s="6">
        <v>517.94000000000005</v>
      </c>
      <c r="E5482" s="6">
        <v>492.2</v>
      </c>
      <c r="F5482" s="45" t="s">
        <v>14</v>
      </c>
      <c r="G5482" s="46" t="s">
        <v>10462</v>
      </c>
      <c r="H5482" s="46" t="s">
        <v>27</v>
      </c>
      <c r="I5482" s="9">
        <v>4598</v>
      </c>
      <c r="J5482" s="48">
        <v>1</v>
      </c>
      <c r="K5482" s="48">
        <v>99156</v>
      </c>
      <c r="L5482" s="3" t="str">
        <f t="shared" si="177"/>
        <v>ΣΚΛΗΡΟΣ_ΣΙΤΟΣ</v>
      </c>
    </row>
    <row r="5483" spans="1:12" x14ac:dyDescent="0.25">
      <c r="A5483" s="1" t="str">
        <f t="shared" si="176"/>
        <v>ΣΚΛΗΡΟΣ ΣΙΤΟΣΣΙΤΟΣ ΣΚΛΗΡΟΣ CALIMBRA</v>
      </c>
      <c r="B5483" s="43" t="s">
        <v>8886</v>
      </c>
      <c r="C5483" s="44" t="s">
        <v>10463</v>
      </c>
      <c r="D5483" s="6">
        <v>517.94000000000005</v>
      </c>
      <c r="E5483" s="6">
        <v>492.2</v>
      </c>
      <c r="F5483" s="45" t="s">
        <v>14</v>
      </c>
      <c r="G5483" s="46" t="s">
        <v>10464</v>
      </c>
      <c r="H5483" s="46" t="s">
        <v>27</v>
      </c>
      <c r="I5483" s="47">
        <v>4599</v>
      </c>
      <c r="J5483" s="48">
        <v>1</v>
      </c>
      <c r="K5483" s="48">
        <v>99157</v>
      </c>
      <c r="L5483" s="3" t="str">
        <f t="shared" si="177"/>
        <v>ΣΚΛΗΡΟΣ_ΣΙΤΟΣ</v>
      </c>
    </row>
    <row r="5484" spans="1:12" x14ac:dyDescent="0.25">
      <c r="A5484" s="1" t="str">
        <f t="shared" si="176"/>
        <v>ΣΚΛΗΡΟΣ ΣΙΤΟΣΣΙΤΟΣ ΣΚΛΗΡΟΣ DONDURO</v>
      </c>
      <c r="B5484" s="43" t="s">
        <v>8886</v>
      </c>
      <c r="C5484" s="44" t="s">
        <v>10465</v>
      </c>
      <c r="D5484" s="6">
        <v>517.94000000000005</v>
      </c>
      <c r="E5484" s="6">
        <v>492.2</v>
      </c>
      <c r="F5484" s="45" t="s">
        <v>14</v>
      </c>
      <c r="G5484" s="46" t="s">
        <v>10466</v>
      </c>
      <c r="H5484" s="46" t="s">
        <v>27</v>
      </c>
      <c r="I5484" s="9">
        <v>4600</v>
      </c>
      <c r="J5484" s="48">
        <v>1</v>
      </c>
      <c r="K5484" s="48">
        <v>99158</v>
      </c>
      <c r="L5484" s="3" t="str">
        <f t="shared" si="177"/>
        <v>ΣΚΛΗΡΟΣ_ΣΙΤΟΣ</v>
      </c>
    </row>
    <row r="5485" spans="1:12" ht="24" x14ac:dyDescent="0.25">
      <c r="A5485" s="1" t="str">
        <f t="shared" si="176"/>
        <v>ΣΚΛΗΡΟΣ ΣΙΤΟΣΣΙΤΟΣ ΣΚΛΗΡΟΣ ELPIDA</v>
      </c>
      <c r="B5485" s="49" t="s">
        <v>8886</v>
      </c>
      <c r="C5485" s="50" t="s">
        <v>10467</v>
      </c>
      <c r="D5485" s="6">
        <v>517.94000000000005</v>
      </c>
      <c r="E5485" s="6">
        <v>492.2</v>
      </c>
      <c r="F5485" s="46" t="s">
        <v>14</v>
      </c>
      <c r="G5485" s="46" t="s">
        <v>10468</v>
      </c>
      <c r="H5485" s="46" t="s">
        <v>16</v>
      </c>
      <c r="I5485" s="47">
        <v>521</v>
      </c>
      <c r="J5485" s="51">
        <v>1</v>
      </c>
      <c r="K5485" s="51">
        <v>99159</v>
      </c>
      <c r="L5485" s="3" t="str">
        <f t="shared" si="177"/>
        <v>ΣΚΛΗΡΟΣ_ΣΙΤΟΣ</v>
      </c>
    </row>
    <row r="5486" spans="1:12" x14ac:dyDescent="0.25">
      <c r="A5486" s="1" t="str">
        <f t="shared" si="176"/>
        <v>ΣΚΛΗΡΟΣ ΣΙΤΟΣΣΙΤΟΣ ΣΚΛΗΡΟΣ ILIADUR</v>
      </c>
      <c r="B5486" s="43" t="s">
        <v>8886</v>
      </c>
      <c r="C5486" s="44" t="s">
        <v>10469</v>
      </c>
      <c r="D5486" s="6">
        <v>517.94000000000005</v>
      </c>
      <c r="E5486" s="6">
        <v>492.2</v>
      </c>
      <c r="F5486" s="45" t="s">
        <v>14</v>
      </c>
      <c r="G5486" s="46" t="s">
        <v>10470</v>
      </c>
      <c r="H5486" s="46" t="s">
        <v>27</v>
      </c>
      <c r="I5486" s="9">
        <v>4601</v>
      </c>
      <c r="J5486" s="48">
        <v>1</v>
      </c>
      <c r="K5486" s="48">
        <v>99160</v>
      </c>
      <c r="L5486" s="3" t="str">
        <f t="shared" si="177"/>
        <v>ΣΚΛΗΡΟΣ_ΣΙΤΟΣ</v>
      </c>
    </row>
    <row r="5487" spans="1:12" x14ac:dyDescent="0.25">
      <c r="A5487" s="1" t="str">
        <f t="shared" si="176"/>
        <v>ΣΚΛΗΡΟΣ ΣΙΤΟΣΣΙΤΟΣ ΣΚΛΗΡΟΣ MAGDUR</v>
      </c>
      <c r="B5487" s="43" t="s">
        <v>8886</v>
      </c>
      <c r="C5487" s="44" t="s">
        <v>10471</v>
      </c>
      <c r="D5487" s="6">
        <v>517.94000000000005</v>
      </c>
      <c r="E5487" s="6">
        <v>492.2</v>
      </c>
      <c r="F5487" s="45" t="s">
        <v>14</v>
      </c>
      <c r="G5487" s="46" t="s">
        <v>10472</v>
      </c>
      <c r="H5487" s="46" t="s">
        <v>27</v>
      </c>
      <c r="I5487" s="47">
        <v>4602</v>
      </c>
      <c r="J5487" s="48">
        <v>1</v>
      </c>
      <c r="K5487" s="48">
        <v>99161</v>
      </c>
      <c r="L5487" s="3" t="str">
        <f t="shared" si="177"/>
        <v>ΣΚΛΗΡΟΣ_ΣΙΤΟΣ</v>
      </c>
    </row>
    <row r="5488" spans="1:12" x14ac:dyDescent="0.25">
      <c r="A5488" s="1" t="str">
        <f t="shared" si="176"/>
        <v>ΣΚΛΗΡΟΣ ΣΙΤΟΣΣΙΤΟΣ ΣΚΛΗΡΟΣ OZARK</v>
      </c>
      <c r="B5488" s="43" t="s">
        <v>8886</v>
      </c>
      <c r="C5488" s="44" t="s">
        <v>10473</v>
      </c>
      <c r="D5488" s="6">
        <v>517.94000000000005</v>
      </c>
      <c r="E5488" s="6">
        <v>492.2</v>
      </c>
      <c r="F5488" s="45" t="s">
        <v>14</v>
      </c>
      <c r="G5488" s="46" t="s">
        <v>10474</v>
      </c>
      <c r="H5488" s="46" t="s">
        <v>27</v>
      </c>
      <c r="I5488" s="9">
        <v>4603</v>
      </c>
      <c r="J5488" s="48">
        <v>1</v>
      </c>
      <c r="K5488" s="48">
        <v>99162</v>
      </c>
      <c r="L5488" s="3" t="str">
        <f t="shared" si="177"/>
        <v>ΣΚΛΗΡΟΣ_ΣΙΤΟΣ</v>
      </c>
    </row>
    <row r="5489" spans="1:12" x14ac:dyDescent="0.25">
      <c r="A5489" s="1" t="str">
        <f t="shared" si="176"/>
        <v>ΣΚΛΗΡΟΣ ΣΙΤΟΣΣΙΤΟΣ ΣΚΛΗΡΟΣ PISTI</v>
      </c>
      <c r="B5489" s="43" t="s">
        <v>8886</v>
      </c>
      <c r="C5489" s="44" t="s">
        <v>10475</v>
      </c>
      <c r="D5489" s="6">
        <v>517.94000000000005</v>
      </c>
      <c r="E5489" s="6">
        <v>492.2</v>
      </c>
      <c r="F5489" s="45" t="s">
        <v>14</v>
      </c>
      <c r="G5489" s="46" t="s">
        <v>10476</v>
      </c>
      <c r="H5489" s="46" t="s">
        <v>27</v>
      </c>
      <c r="I5489" s="47">
        <v>4604</v>
      </c>
      <c r="J5489" s="48">
        <v>1</v>
      </c>
      <c r="K5489" s="48">
        <v>99163</v>
      </c>
      <c r="L5489" s="3" t="str">
        <f t="shared" si="177"/>
        <v>ΣΚΛΗΡΟΣ_ΣΙΤΟΣ</v>
      </c>
    </row>
    <row r="5490" spans="1:12" x14ac:dyDescent="0.25">
      <c r="A5490" s="1" t="str">
        <f t="shared" si="176"/>
        <v>ΣΚΛΗΡΟΣ ΣΙΤΟΣΣΙΤΟΣ ΣΚΛΗΡΟΣ SKYROS (ΣΚΥΡΟΣ)</v>
      </c>
      <c r="B5490" s="43" t="s">
        <v>8886</v>
      </c>
      <c r="C5490" s="44" t="s">
        <v>10477</v>
      </c>
      <c r="D5490" s="6">
        <v>517.94000000000005</v>
      </c>
      <c r="E5490" s="6">
        <v>492.2</v>
      </c>
      <c r="F5490" s="45" t="s">
        <v>14</v>
      </c>
      <c r="G5490" s="46" t="s">
        <v>10478</v>
      </c>
      <c r="H5490" s="46" t="s">
        <v>27</v>
      </c>
      <c r="I5490" s="9">
        <v>4605</v>
      </c>
      <c r="J5490" s="48">
        <v>1</v>
      </c>
      <c r="K5490" s="48">
        <v>99164</v>
      </c>
      <c r="L5490" s="3" t="str">
        <f t="shared" si="177"/>
        <v>ΣΚΛΗΡΟΣ_ΣΙΤΟΣ</v>
      </c>
    </row>
    <row r="5491" spans="1:12" x14ac:dyDescent="0.25">
      <c r="A5491" s="1" t="str">
        <f t="shared" si="176"/>
        <v>ΣΚΛΗΡΟΣ ΣΙΤΟΣΣΙΤΟΣ ΣΚΛΗΡΟΣ TERRANO</v>
      </c>
      <c r="B5491" s="43" t="s">
        <v>8886</v>
      </c>
      <c r="C5491" s="44" t="s">
        <v>10479</v>
      </c>
      <c r="D5491" s="6">
        <v>517.94000000000005</v>
      </c>
      <c r="E5491" s="6">
        <v>492.2</v>
      </c>
      <c r="F5491" s="45" t="s">
        <v>14</v>
      </c>
      <c r="G5491" s="46" t="s">
        <v>10480</v>
      </c>
      <c r="H5491" s="46" t="s">
        <v>27</v>
      </c>
      <c r="I5491" s="47">
        <v>4606</v>
      </c>
      <c r="J5491" s="48">
        <v>1</v>
      </c>
      <c r="K5491" s="48">
        <v>99165</v>
      </c>
      <c r="L5491" s="3" t="str">
        <f t="shared" si="177"/>
        <v>ΣΚΛΗΡΟΣ_ΣΙΤΟΣ</v>
      </c>
    </row>
    <row r="5492" spans="1:12" x14ac:dyDescent="0.25">
      <c r="A5492" s="1" t="str">
        <f t="shared" si="176"/>
        <v>ΣΚΛΗΡΟΣ ΣΙΤΟΣΣΙΤΟΣ ΣΚΛΗΡΟΣ TRAIANO</v>
      </c>
      <c r="B5492" s="43" t="s">
        <v>8886</v>
      </c>
      <c r="C5492" s="44" t="s">
        <v>10481</v>
      </c>
      <c r="D5492" s="6">
        <v>517.94000000000005</v>
      </c>
      <c r="E5492" s="6">
        <v>492.2</v>
      </c>
      <c r="F5492" s="45" t="s">
        <v>14</v>
      </c>
      <c r="G5492" s="46" t="s">
        <v>10482</v>
      </c>
      <c r="H5492" s="46" t="s">
        <v>27</v>
      </c>
      <c r="I5492" s="9">
        <v>4607</v>
      </c>
      <c r="J5492" s="48">
        <v>1</v>
      </c>
      <c r="K5492" s="48">
        <v>99166</v>
      </c>
      <c r="L5492" s="3" t="str">
        <f t="shared" si="177"/>
        <v>ΣΚΛΗΡΟΣ_ΣΙΤΟΣ</v>
      </c>
    </row>
    <row r="5493" spans="1:12" x14ac:dyDescent="0.25">
      <c r="A5493" s="1" t="str">
        <f t="shared" si="176"/>
        <v>ΣΚΛΗΡΟΣ ΣΙΤΟΣΣΙΤΟΣ ΣΚΛΗΡΟΣ TRAPEZIO</v>
      </c>
      <c r="B5493" s="43" t="s">
        <v>8886</v>
      </c>
      <c r="C5493" s="44" t="s">
        <v>10483</v>
      </c>
      <c r="D5493" s="6">
        <v>517.94000000000005</v>
      </c>
      <c r="E5493" s="6">
        <v>492.2</v>
      </c>
      <c r="F5493" s="45" t="s">
        <v>14</v>
      </c>
      <c r="G5493" s="46" t="s">
        <v>10484</v>
      </c>
      <c r="H5493" s="46" t="s">
        <v>27</v>
      </c>
      <c r="I5493" s="47">
        <v>4608</v>
      </c>
      <c r="J5493" s="48">
        <v>1</v>
      </c>
      <c r="K5493" s="48">
        <v>99167</v>
      </c>
      <c r="L5493" s="3" t="str">
        <f t="shared" si="177"/>
        <v>ΣΚΛΗΡΟΣ_ΣΙΤΟΣ</v>
      </c>
    </row>
    <row r="5494" spans="1:12" x14ac:dyDescent="0.25">
      <c r="A5494" s="1" t="str">
        <f t="shared" si="176"/>
        <v>ΣΚΛΗΡΟΣ ΣΙΤΟΣΣΙΤΟΣ ΣΚΛΗΡΟΣ VAFFANDUR</v>
      </c>
      <c r="B5494" s="49" t="s">
        <v>8886</v>
      </c>
      <c r="C5494" s="50" t="s">
        <v>10485</v>
      </c>
      <c r="D5494" s="6">
        <v>517.94000000000005</v>
      </c>
      <c r="E5494" s="6">
        <v>492.2</v>
      </c>
      <c r="F5494" s="46" t="s">
        <v>14</v>
      </c>
      <c r="G5494" s="46" t="s">
        <v>10486</v>
      </c>
      <c r="H5494" s="46" t="s">
        <v>27</v>
      </c>
      <c r="I5494" s="9">
        <v>519</v>
      </c>
      <c r="J5494" s="51">
        <v>1</v>
      </c>
      <c r="K5494" s="51">
        <v>99168</v>
      </c>
      <c r="L5494" s="3" t="str">
        <f t="shared" si="177"/>
        <v>ΣΚΛΗΡΟΣ_ΣΙΤΟΣ</v>
      </c>
    </row>
    <row r="5495" spans="1:12" ht="24" x14ac:dyDescent="0.25">
      <c r="A5495" s="1" t="str">
        <f t="shared" si="176"/>
        <v>ΣΚΛΗΡΟΣ ΣΙΤΟΣΣΙΤΟΣ ΣΚΛΗΡΟΣ VAIOS</v>
      </c>
      <c r="B5495" s="49" t="s">
        <v>8886</v>
      </c>
      <c r="C5495" s="50" t="s">
        <v>10487</v>
      </c>
      <c r="D5495" s="6">
        <v>517.94000000000005</v>
      </c>
      <c r="E5495" s="6">
        <v>492.2</v>
      </c>
      <c r="F5495" s="46" t="s">
        <v>14</v>
      </c>
      <c r="G5495" s="46" t="s">
        <v>10488</v>
      </c>
      <c r="H5495" s="46" t="s">
        <v>16</v>
      </c>
      <c r="I5495" s="47">
        <v>522</v>
      </c>
      <c r="J5495" s="51">
        <v>1</v>
      </c>
      <c r="K5495" s="51">
        <v>99169</v>
      </c>
      <c r="L5495" s="3" t="str">
        <f t="shared" si="177"/>
        <v>ΣΚΛΗΡΟΣ_ΣΙΤΟΣ</v>
      </c>
    </row>
    <row r="5496" spans="1:12" ht="24" x14ac:dyDescent="0.25">
      <c r="A5496" s="1" t="str">
        <f t="shared" si="176"/>
        <v>ΣΚΛΗΡΟΣ ΣΙΤΟΣΣΙΤΟΣ ΣΚΛΗΡΟΣ CORE</v>
      </c>
      <c r="B5496" s="49" t="s">
        <v>8886</v>
      </c>
      <c r="C5496" s="50" t="s">
        <v>10489</v>
      </c>
      <c r="D5496" s="6">
        <v>517.94000000000005</v>
      </c>
      <c r="E5496" s="6">
        <v>492.2</v>
      </c>
      <c r="F5496" s="46" t="s">
        <v>14</v>
      </c>
      <c r="G5496" s="46" t="s">
        <v>10490</v>
      </c>
      <c r="H5496" s="46" t="s">
        <v>16</v>
      </c>
      <c r="I5496" s="9">
        <v>523</v>
      </c>
      <c r="J5496" s="51">
        <v>1</v>
      </c>
      <c r="K5496" s="51">
        <v>99170</v>
      </c>
      <c r="L5496" s="3" t="str">
        <f t="shared" si="177"/>
        <v>ΣΚΛΗΡΟΣ_ΣΙΤΟΣ</v>
      </c>
    </row>
    <row r="5497" spans="1:12" ht="24" x14ac:dyDescent="0.25">
      <c r="A5497" s="1" t="str">
        <f t="shared" si="176"/>
        <v>ΣΚΛΗΡΟΣ ΣΙΤΟΣΣΙΤΟΣ ΣΚΛΗΡΟΣ MIMMO</v>
      </c>
      <c r="B5497" s="49" t="s">
        <v>8886</v>
      </c>
      <c r="C5497" s="50" t="s">
        <v>10491</v>
      </c>
      <c r="D5497" s="6">
        <v>517.94000000000005</v>
      </c>
      <c r="E5497" s="6">
        <v>492.2</v>
      </c>
      <c r="F5497" s="46" t="s">
        <v>14</v>
      </c>
      <c r="G5497" s="46" t="s">
        <v>10492</v>
      </c>
      <c r="H5497" s="46" t="s">
        <v>16</v>
      </c>
      <c r="I5497" s="47">
        <v>524</v>
      </c>
      <c r="J5497" s="51">
        <v>1</v>
      </c>
      <c r="K5497" s="51">
        <v>99171</v>
      </c>
      <c r="L5497" s="3" t="str">
        <f t="shared" si="177"/>
        <v>ΣΚΛΗΡΟΣ_ΣΙΤΟΣ</v>
      </c>
    </row>
    <row r="5498" spans="1:12" ht="24" x14ac:dyDescent="0.25">
      <c r="A5498" s="1" t="str">
        <f t="shared" si="176"/>
        <v>ΣΚΛΗΡΟΣ ΣΙΤΟΣΣΙΤΟΣ ΣΚΛΗΡΟΣ JOSEPHINA</v>
      </c>
      <c r="B5498" s="49" t="s">
        <v>8886</v>
      </c>
      <c r="C5498" s="50" t="s">
        <v>10493</v>
      </c>
      <c r="D5498" s="6">
        <v>517.94000000000005</v>
      </c>
      <c r="E5498" s="6">
        <v>492.2</v>
      </c>
      <c r="F5498" s="46" t="s">
        <v>14</v>
      </c>
      <c r="G5498" s="46" t="s">
        <v>10494</v>
      </c>
      <c r="H5498" s="46" t="s">
        <v>16</v>
      </c>
      <c r="I5498" s="9">
        <v>525</v>
      </c>
      <c r="J5498" s="51">
        <v>1</v>
      </c>
      <c r="K5498" s="51">
        <v>99172</v>
      </c>
      <c r="L5498" s="3" t="str">
        <f t="shared" si="177"/>
        <v>ΣΚΛΗΡΟΣ_ΣΙΤΟΣ</v>
      </c>
    </row>
    <row r="5499" spans="1:12" ht="24" x14ac:dyDescent="0.25">
      <c r="A5499" s="1" t="str">
        <f t="shared" si="176"/>
        <v>ΣΚΛΗΡΟΣ ΣΙΤΟΣΣΙΤΟΣ ΣΚΛΗΡΟΣ MONASTIR</v>
      </c>
      <c r="B5499" s="49" t="s">
        <v>8886</v>
      </c>
      <c r="C5499" s="50" t="s">
        <v>10495</v>
      </c>
      <c r="D5499" s="6">
        <v>517.94000000000005</v>
      </c>
      <c r="E5499" s="6">
        <v>492.2</v>
      </c>
      <c r="F5499" s="46" t="s">
        <v>14</v>
      </c>
      <c r="G5499" s="46" t="s">
        <v>10496</v>
      </c>
      <c r="H5499" s="46" t="s">
        <v>16</v>
      </c>
      <c r="I5499" s="47">
        <v>526</v>
      </c>
      <c r="J5499" s="51">
        <v>1</v>
      </c>
      <c r="K5499" s="51">
        <v>99173</v>
      </c>
      <c r="L5499" s="3" t="str">
        <f t="shared" si="177"/>
        <v>ΣΚΛΗΡΟΣ_ΣΙΤΟΣ</v>
      </c>
    </row>
    <row r="5500" spans="1:12" ht="24" x14ac:dyDescent="0.25">
      <c r="A5500" s="1" t="str">
        <f t="shared" si="176"/>
        <v>ΣΚΛΗΡΟΣ ΣΙΤΟΣΣΙΤΟΣ ΣΚΛΗΡΟΣ MARCO AURELIO</v>
      </c>
      <c r="B5500" s="49" t="s">
        <v>8886</v>
      </c>
      <c r="C5500" s="50" t="s">
        <v>10497</v>
      </c>
      <c r="D5500" s="6">
        <v>517.94000000000005</v>
      </c>
      <c r="E5500" s="6">
        <v>492.2</v>
      </c>
      <c r="F5500" s="46" t="s">
        <v>14</v>
      </c>
      <c r="G5500" s="46" t="s">
        <v>10498</v>
      </c>
      <c r="H5500" s="46" t="s">
        <v>16</v>
      </c>
      <c r="I5500" s="9">
        <v>527</v>
      </c>
      <c r="J5500" s="51">
        <v>1</v>
      </c>
      <c r="K5500" s="51">
        <v>99174</v>
      </c>
      <c r="L5500" s="3" t="str">
        <f t="shared" si="177"/>
        <v>ΣΚΛΗΡΟΣ_ΣΙΤΟΣ</v>
      </c>
    </row>
    <row r="5501" spans="1:12" ht="24" x14ac:dyDescent="0.25">
      <c r="A5501" s="1" t="str">
        <f t="shared" si="176"/>
        <v>ΣΚΛΗΡΟΣ ΣΙΤΟΣΣΙΤΟΣ ΣΚΛΗΡΟΣ MASSIMO MERIDIO</v>
      </c>
      <c r="B5501" s="49" t="s">
        <v>8886</v>
      </c>
      <c r="C5501" s="50" t="s">
        <v>10499</v>
      </c>
      <c r="D5501" s="6">
        <v>517.94000000000005</v>
      </c>
      <c r="E5501" s="6">
        <v>492.2</v>
      </c>
      <c r="F5501" s="46" t="s">
        <v>14</v>
      </c>
      <c r="G5501" s="46" t="s">
        <v>10500</v>
      </c>
      <c r="H5501" s="46" t="s">
        <v>16</v>
      </c>
      <c r="I5501" s="47">
        <v>528</v>
      </c>
      <c r="J5501" s="51">
        <v>1</v>
      </c>
      <c r="K5501" s="51">
        <v>99175</v>
      </c>
      <c r="L5501" s="3" t="str">
        <f t="shared" si="177"/>
        <v>ΣΚΛΗΡΟΣ_ΣΙΤΟΣ</v>
      </c>
    </row>
    <row r="5502" spans="1:12" ht="24" x14ac:dyDescent="0.25">
      <c r="A5502" s="1" t="str">
        <f t="shared" si="176"/>
        <v>ΣΚΛΗΡΟΣ ΣΙΤΟΣΣΙΤΟΣ ΣΚΛΗΡΟΣ SPARTACO</v>
      </c>
      <c r="B5502" s="49" t="s">
        <v>8886</v>
      </c>
      <c r="C5502" s="50" t="s">
        <v>10501</v>
      </c>
      <c r="D5502" s="6">
        <v>517.94000000000005</v>
      </c>
      <c r="E5502" s="6">
        <v>492.2</v>
      </c>
      <c r="F5502" s="46" t="s">
        <v>14</v>
      </c>
      <c r="G5502" s="46" t="s">
        <v>10502</v>
      </c>
      <c r="H5502" s="46" t="s">
        <v>16</v>
      </c>
      <c r="I5502" s="9">
        <v>529</v>
      </c>
      <c r="J5502" s="51">
        <v>1</v>
      </c>
      <c r="K5502" s="51">
        <v>99176</v>
      </c>
      <c r="L5502" s="3" t="str">
        <f t="shared" si="177"/>
        <v>ΣΚΛΗΡΟΣ_ΣΙΤΟΣ</v>
      </c>
    </row>
    <row r="5503" spans="1:12" ht="24" x14ac:dyDescent="0.25">
      <c r="A5503" s="1" t="str">
        <f t="shared" si="176"/>
        <v>ΣΚΛΗΡΟΣ ΣΙΤΟΣΣΙΤΟΣ ΣΚΛΗΡΟΣ DORATO</v>
      </c>
      <c r="B5503" s="49" t="s">
        <v>8886</v>
      </c>
      <c r="C5503" s="50" t="s">
        <v>10503</v>
      </c>
      <c r="D5503" s="6">
        <v>517.94000000000005</v>
      </c>
      <c r="E5503" s="6">
        <v>492.2</v>
      </c>
      <c r="F5503" s="46" t="s">
        <v>14</v>
      </c>
      <c r="G5503" s="46" t="s">
        <v>10504</v>
      </c>
      <c r="H5503" s="46" t="s">
        <v>16</v>
      </c>
      <c r="I5503" s="47">
        <v>530</v>
      </c>
      <c r="J5503" s="51">
        <v>1</v>
      </c>
      <c r="K5503" s="51">
        <v>99177</v>
      </c>
      <c r="L5503" s="3" t="str">
        <f t="shared" si="177"/>
        <v>ΣΚΛΗΡΟΣ_ΣΙΤΟΣ</v>
      </c>
    </row>
    <row r="5504" spans="1:12" x14ac:dyDescent="0.25">
      <c r="A5504" s="1" t="str">
        <f t="shared" si="176"/>
        <v>ΣΚΛΗΡΟΣ ΣΙΤΟΣΣΙΤΟΣ ΣΚΛΗΡΟΣ TRITICUM DURUM</v>
      </c>
      <c r="B5504" s="43" t="s">
        <v>8886</v>
      </c>
      <c r="C5504" s="44" t="s">
        <v>10505</v>
      </c>
      <c r="D5504" s="6">
        <v>517.94000000000005</v>
      </c>
      <c r="E5504" s="6">
        <v>492.2</v>
      </c>
      <c r="F5504" s="45" t="s">
        <v>14</v>
      </c>
      <c r="G5504" s="46" t="s">
        <v>10506</v>
      </c>
      <c r="H5504" s="46" t="s">
        <v>27</v>
      </c>
      <c r="I5504" s="9">
        <v>4609</v>
      </c>
      <c r="J5504" s="48">
        <v>1</v>
      </c>
      <c r="K5504" s="48">
        <v>99178</v>
      </c>
      <c r="L5504" s="3" t="str">
        <f t="shared" si="177"/>
        <v>ΣΚΛΗΡΟΣ_ΣΙΤΟΣ</v>
      </c>
    </row>
    <row r="5505" spans="1:12" ht="24" x14ac:dyDescent="0.25">
      <c r="A5505" s="1" t="str">
        <f t="shared" si="176"/>
        <v>ΣΚΛΗΡΟΣ ΣΙΤΟΣΣΙΤΟΣ ΣΚΛΗΡΟΣ CANNAVARO</v>
      </c>
      <c r="B5505" s="49" t="s">
        <v>8886</v>
      </c>
      <c r="C5505" s="50" t="s">
        <v>10507</v>
      </c>
      <c r="D5505" s="6">
        <v>517.94000000000005</v>
      </c>
      <c r="E5505" s="6">
        <v>492.2</v>
      </c>
      <c r="F5505" s="46" t="s">
        <v>14</v>
      </c>
      <c r="G5505" s="46" t="s">
        <v>10508</v>
      </c>
      <c r="H5505" s="46" t="s">
        <v>16</v>
      </c>
      <c r="I5505" s="47">
        <v>539</v>
      </c>
      <c r="J5505" s="51">
        <v>1</v>
      </c>
      <c r="K5505" s="51">
        <v>99180</v>
      </c>
      <c r="L5505" s="3" t="str">
        <f t="shared" si="177"/>
        <v>ΣΚΛΗΡΟΣ_ΣΙΤΟΣ</v>
      </c>
    </row>
    <row r="5506" spans="1:12" ht="24" x14ac:dyDescent="0.25">
      <c r="A5506" s="1" t="str">
        <f t="shared" si="176"/>
        <v>ΣΚΛΗΡΟΣ ΣΙΤΟΣΣΙΤΟΣ ΣΚΛΗΡΟΣ MIRADOUX</v>
      </c>
      <c r="B5506" s="49" t="s">
        <v>8886</v>
      </c>
      <c r="C5506" s="50" t="s">
        <v>10509</v>
      </c>
      <c r="D5506" s="6">
        <v>517.94000000000005</v>
      </c>
      <c r="E5506" s="6">
        <v>492.2</v>
      </c>
      <c r="F5506" s="46" t="s">
        <v>14</v>
      </c>
      <c r="G5506" s="46" t="s">
        <v>10510</v>
      </c>
      <c r="H5506" s="46" t="s">
        <v>16</v>
      </c>
      <c r="I5506" s="9">
        <v>538</v>
      </c>
      <c r="J5506" s="51">
        <v>1</v>
      </c>
      <c r="K5506" s="51">
        <v>99281</v>
      </c>
      <c r="L5506" s="3" t="str">
        <f t="shared" si="177"/>
        <v>ΣΚΛΗΡΟΣ_ΣΙΤΟΣ</v>
      </c>
    </row>
    <row r="5507" spans="1:12" ht="24" x14ac:dyDescent="0.25">
      <c r="A5507" s="1" t="str">
        <f t="shared" ref="A5507:A5570" si="178">_xlfn.CONCAT(B5507,C5507)</f>
        <v>ΣΚΛΗΡΟΣ ΣΙΤΟΣΣΙΤΟΣ ΣΚΛΗΡΟΣ ISILDUR</v>
      </c>
      <c r="B5507" s="49" t="s">
        <v>8886</v>
      </c>
      <c r="C5507" s="50" t="s">
        <v>10511</v>
      </c>
      <c r="D5507" s="6">
        <v>517.94000000000005</v>
      </c>
      <c r="E5507" s="6">
        <v>492.2</v>
      </c>
      <c r="F5507" s="46" t="s">
        <v>14</v>
      </c>
      <c r="G5507" s="46" t="s">
        <v>10512</v>
      </c>
      <c r="H5507" s="46" t="s">
        <v>16</v>
      </c>
      <c r="I5507" s="47">
        <v>537</v>
      </c>
      <c r="J5507" s="51">
        <v>1</v>
      </c>
      <c r="K5507" s="51">
        <v>99282</v>
      </c>
      <c r="L5507" s="3" t="str">
        <f t="shared" ref="L5507:L5570" si="179">IFERROR(SUBSTITUTE(SUBSTITUTE(SUBSTITUTE(SUBSTITUTE(SUBSTITUTE(B5507, "-", "_"), " ", "_"), ",", ""), "(", ""), ")", ""), B5507)</f>
        <v>ΣΚΛΗΡΟΣ_ΣΙΤΟΣ</v>
      </c>
    </row>
    <row r="5508" spans="1:12" ht="24" x14ac:dyDescent="0.25">
      <c r="A5508" s="1" t="str">
        <f t="shared" si="178"/>
        <v>ΣΚΛΗΡΟΣ ΣΙΤΟΣΣΙΤΟΣ ΣΚΛΗΡΟΣ ODISSEO</v>
      </c>
      <c r="B5508" s="49" t="s">
        <v>8886</v>
      </c>
      <c r="C5508" s="50" t="s">
        <v>10513</v>
      </c>
      <c r="D5508" s="6">
        <v>517.94000000000005</v>
      </c>
      <c r="E5508" s="6">
        <v>492.2</v>
      </c>
      <c r="F5508" s="46" t="s">
        <v>14</v>
      </c>
      <c r="G5508" s="46" t="s">
        <v>10514</v>
      </c>
      <c r="H5508" s="46" t="s">
        <v>16</v>
      </c>
      <c r="I5508" s="9">
        <v>536</v>
      </c>
      <c r="J5508" s="51">
        <v>1</v>
      </c>
      <c r="K5508" s="51">
        <v>99284</v>
      </c>
      <c r="L5508" s="3" t="str">
        <f t="shared" si="179"/>
        <v>ΣΚΛΗΡΟΣ_ΣΙΤΟΣ</v>
      </c>
    </row>
    <row r="5509" spans="1:12" ht="24" x14ac:dyDescent="0.25">
      <c r="A5509" s="1" t="str">
        <f t="shared" si="178"/>
        <v>ΣΚΛΗΡΟΣ ΣΙΤΟΣΣΙΤΟΣ ΣΚΛΗΡΟΣ KOMBO</v>
      </c>
      <c r="B5509" s="49" t="s">
        <v>8886</v>
      </c>
      <c r="C5509" s="50" t="s">
        <v>10515</v>
      </c>
      <c r="D5509" s="6">
        <v>517.94000000000005</v>
      </c>
      <c r="E5509" s="6">
        <v>492.2</v>
      </c>
      <c r="F5509" s="46" t="s">
        <v>14</v>
      </c>
      <c r="G5509" s="46" t="s">
        <v>10516</v>
      </c>
      <c r="H5509" s="46" t="s">
        <v>16</v>
      </c>
      <c r="I5509" s="47">
        <v>535</v>
      </c>
      <c r="J5509" s="51">
        <v>1</v>
      </c>
      <c r="K5509" s="51">
        <v>99285</v>
      </c>
      <c r="L5509" s="3" t="str">
        <f t="shared" si="179"/>
        <v>ΣΚΛΗΡΟΣ_ΣΙΤΟΣ</v>
      </c>
    </row>
    <row r="5510" spans="1:12" x14ac:dyDescent="0.25">
      <c r="A5510" s="1" t="str">
        <f t="shared" si="178"/>
        <v>ΣΚΛΗΡΟΣ ΣΙΤΟΣΣΙΤΟΣ ΣΚΛΗΡΟΣ SAADI</v>
      </c>
      <c r="B5510" s="49" t="s">
        <v>8886</v>
      </c>
      <c r="C5510" s="50" t="s">
        <v>10517</v>
      </c>
      <c r="D5510" s="6">
        <v>517.94000000000005</v>
      </c>
      <c r="E5510" s="6">
        <v>492.2</v>
      </c>
      <c r="F5510" s="46" t="s">
        <v>14</v>
      </c>
      <c r="G5510" s="46" t="s">
        <v>10518</v>
      </c>
      <c r="H5510" s="46" t="s">
        <v>27</v>
      </c>
      <c r="I5510" s="9">
        <v>531</v>
      </c>
      <c r="J5510" s="51">
        <v>1</v>
      </c>
      <c r="K5510" s="51">
        <v>99286</v>
      </c>
      <c r="L5510" s="3" t="str">
        <f t="shared" si="179"/>
        <v>ΣΚΛΗΡΟΣ_ΣΙΤΟΣ</v>
      </c>
    </row>
    <row r="5511" spans="1:12" ht="24" x14ac:dyDescent="0.25">
      <c r="A5511" s="1" t="str">
        <f t="shared" si="178"/>
        <v>ΣΚΛΗΡΟΣ ΣΙΤΟΣΣΙΤΟΣ ΣΚΛΗΡΟΣ DUNAVIS</v>
      </c>
      <c r="B5511" s="49" t="s">
        <v>8886</v>
      </c>
      <c r="C5511" s="50" t="s">
        <v>10519</v>
      </c>
      <c r="D5511" s="6">
        <v>517.94000000000005</v>
      </c>
      <c r="E5511" s="6">
        <v>492.2</v>
      </c>
      <c r="F5511" s="46" t="s">
        <v>14</v>
      </c>
      <c r="G5511" s="46" t="s">
        <v>10520</v>
      </c>
      <c r="H5511" s="46" t="s">
        <v>16</v>
      </c>
      <c r="I5511" s="47">
        <v>534</v>
      </c>
      <c r="J5511" s="51">
        <v>1</v>
      </c>
      <c r="K5511" s="51">
        <v>99287</v>
      </c>
      <c r="L5511" s="3" t="str">
        <f t="shared" si="179"/>
        <v>ΣΚΛΗΡΟΣ_ΣΙΤΟΣ</v>
      </c>
    </row>
    <row r="5512" spans="1:12" ht="24" x14ac:dyDescent="0.25">
      <c r="A5512" s="1" t="str">
        <f t="shared" si="178"/>
        <v>ΣΠΑΡΑΓΓΙΑΣΠΑΡΑΓΓΙΑ ABRIL</v>
      </c>
      <c r="B5512" s="49" t="s">
        <v>10521</v>
      </c>
      <c r="C5512" s="50" t="s">
        <v>10522</v>
      </c>
      <c r="D5512" s="6">
        <v>11290.03</v>
      </c>
      <c r="E5512" s="6">
        <v>13610.93</v>
      </c>
      <c r="F5512" s="46" t="s">
        <v>14</v>
      </c>
      <c r="G5512" s="46" t="s">
        <v>10523</v>
      </c>
      <c r="H5512" s="46" t="s">
        <v>16</v>
      </c>
      <c r="I5512" s="9">
        <v>3553</v>
      </c>
      <c r="J5512" s="51">
        <v>68</v>
      </c>
      <c r="K5512" s="51">
        <v>68001</v>
      </c>
      <c r="L5512" s="3" t="str">
        <f t="shared" si="179"/>
        <v>ΣΠΑΡΑΓΓΙΑ</v>
      </c>
    </row>
    <row r="5513" spans="1:12" x14ac:dyDescent="0.25">
      <c r="A5513" s="1" t="str">
        <f t="shared" si="178"/>
        <v>ΣΠΑΡΑΓΓΙΑΣΠΑΡΑΓΓΙΑ ANDREAS</v>
      </c>
      <c r="B5513" s="43" t="s">
        <v>10521</v>
      </c>
      <c r="C5513" s="44" t="s">
        <v>10524</v>
      </c>
      <c r="D5513" s="6">
        <v>11290.03</v>
      </c>
      <c r="E5513" s="6">
        <v>13610.93</v>
      </c>
      <c r="F5513" s="45" t="s">
        <v>14</v>
      </c>
      <c r="G5513" s="46" t="s">
        <v>10525</v>
      </c>
      <c r="H5513" s="46" t="s">
        <v>27</v>
      </c>
      <c r="I5513" s="47">
        <v>4333</v>
      </c>
      <c r="J5513" s="48">
        <v>68</v>
      </c>
      <c r="K5513" s="48">
        <v>68002</v>
      </c>
      <c r="L5513" s="3" t="str">
        <f t="shared" si="179"/>
        <v>ΣΠΑΡΑΓΓΙΑ</v>
      </c>
    </row>
    <row r="5514" spans="1:12" x14ac:dyDescent="0.25">
      <c r="A5514" s="1" t="str">
        <f t="shared" si="178"/>
        <v>ΣΠΑΡΑΓΓΙΑΣΠΑΡΑΓΓΙΑ ANGELA</v>
      </c>
      <c r="B5514" s="43" t="s">
        <v>10521</v>
      </c>
      <c r="C5514" s="44" t="s">
        <v>10526</v>
      </c>
      <c r="D5514" s="6">
        <v>11290.03</v>
      </c>
      <c r="E5514" s="6">
        <v>13610.93</v>
      </c>
      <c r="F5514" s="45" t="s">
        <v>14</v>
      </c>
      <c r="G5514" s="46" t="s">
        <v>10527</v>
      </c>
      <c r="H5514" s="46" t="s">
        <v>27</v>
      </c>
      <c r="I5514" s="9">
        <v>4334</v>
      </c>
      <c r="J5514" s="48">
        <v>68</v>
      </c>
      <c r="K5514" s="48">
        <v>68003</v>
      </c>
      <c r="L5514" s="3" t="str">
        <f t="shared" si="179"/>
        <v>ΣΠΑΡΑΓΓΙΑ</v>
      </c>
    </row>
    <row r="5515" spans="1:12" ht="24" x14ac:dyDescent="0.25">
      <c r="A5515" s="1" t="str">
        <f t="shared" si="178"/>
        <v>ΣΠΑΡΑΓΓΙΑΣΠΑΡΑΓΓΙΑ ARGENTEUIL</v>
      </c>
      <c r="B5515" s="49" t="s">
        <v>10521</v>
      </c>
      <c r="C5515" s="50" t="s">
        <v>10528</v>
      </c>
      <c r="D5515" s="6">
        <v>11290.03</v>
      </c>
      <c r="E5515" s="6">
        <v>13610.93</v>
      </c>
      <c r="F5515" s="46" t="s">
        <v>14</v>
      </c>
      <c r="G5515" s="46" t="s">
        <v>10529</v>
      </c>
      <c r="H5515" s="46" t="s">
        <v>16</v>
      </c>
      <c r="I5515" s="47">
        <v>3555</v>
      </c>
      <c r="J5515" s="51">
        <v>68</v>
      </c>
      <c r="K5515" s="51">
        <v>68004</v>
      </c>
      <c r="L5515" s="3" t="str">
        <f t="shared" si="179"/>
        <v>ΣΠΑΡΑΓΓΙΑ</v>
      </c>
    </row>
    <row r="5516" spans="1:12" x14ac:dyDescent="0.25">
      <c r="A5516" s="1" t="str">
        <f t="shared" si="178"/>
        <v>ΣΠΑΡΑΓΓΙΑΣΠΑΡΑΓΓΙΑ ARGENTEUIL HATIVE</v>
      </c>
      <c r="B5516" s="49" t="s">
        <v>10521</v>
      </c>
      <c r="C5516" s="50" t="s">
        <v>10530</v>
      </c>
      <c r="D5516" s="6">
        <v>11290.03</v>
      </c>
      <c r="E5516" s="6">
        <v>13610.93</v>
      </c>
      <c r="F5516" s="46" t="s">
        <v>14</v>
      </c>
      <c r="G5516" s="46" t="s">
        <v>10531</v>
      </c>
      <c r="H5516" s="46" t="s">
        <v>27</v>
      </c>
      <c r="I5516" s="9">
        <v>3551</v>
      </c>
      <c r="J5516" s="51">
        <v>68</v>
      </c>
      <c r="K5516" s="51">
        <v>68005</v>
      </c>
      <c r="L5516" s="3" t="str">
        <f t="shared" si="179"/>
        <v>ΣΠΑΡΑΓΓΙΑ</v>
      </c>
    </row>
    <row r="5517" spans="1:12" ht="24" x14ac:dyDescent="0.25">
      <c r="A5517" s="1" t="str">
        <f t="shared" si="178"/>
        <v>ΣΠΑΡΑΓΓΙΑΣΠΑΡΑΓΓΙΑ ARIANE</v>
      </c>
      <c r="B5517" s="49" t="s">
        <v>10521</v>
      </c>
      <c r="C5517" s="50" t="s">
        <v>10532</v>
      </c>
      <c r="D5517" s="6">
        <v>11290.03</v>
      </c>
      <c r="E5517" s="6">
        <v>13610.93</v>
      </c>
      <c r="F5517" s="46" t="s">
        <v>14</v>
      </c>
      <c r="G5517" s="46" t="s">
        <v>10533</v>
      </c>
      <c r="H5517" s="46" t="s">
        <v>16</v>
      </c>
      <c r="I5517" s="47">
        <v>3542</v>
      </c>
      <c r="J5517" s="51">
        <v>68</v>
      </c>
      <c r="K5517" s="51">
        <v>68006</v>
      </c>
      <c r="L5517" s="3" t="str">
        <f t="shared" si="179"/>
        <v>ΣΠΑΡΑΓΓΙΑ</v>
      </c>
    </row>
    <row r="5518" spans="1:12" ht="24" x14ac:dyDescent="0.25">
      <c r="A5518" s="1" t="str">
        <f t="shared" si="178"/>
        <v>ΣΠΑΡΑΓΓΙΑΣΠΑΡΑΓΓΙΑ ATLAS</v>
      </c>
      <c r="B5518" s="49" t="s">
        <v>10521</v>
      </c>
      <c r="C5518" s="50" t="s">
        <v>10534</v>
      </c>
      <c r="D5518" s="6">
        <v>11290.03</v>
      </c>
      <c r="E5518" s="6">
        <v>13610.93</v>
      </c>
      <c r="F5518" s="46" t="s">
        <v>14</v>
      </c>
      <c r="G5518" s="46" t="s">
        <v>10535</v>
      </c>
      <c r="H5518" s="46" t="s">
        <v>16</v>
      </c>
      <c r="I5518" s="9">
        <v>3540</v>
      </c>
      <c r="J5518" s="51">
        <v>68</v>
      </c>
      <c r="K5518" s="51">
        <v>68007</v>
      </c>
      <c r="L5518" s="3" t="str">
        <f t="shared" si="179"/>
        <v>ΣΠΑΡΑΓΓΙΑ</v>
      </c>
    </row>
    <row r="5519" spans="1:12" ht="24" x14ac:dyDescent="0.25">
      <c r="A5519" s="1" t="str">
        <f t="shared" si="178"/>
        <v>ΣΠΑΡΑΓΓΙΑΣΠΑΡΑΓΓΙΑ ATTICUS</v>
      </c>
      <c r="B5519" s="49" t="s">
        <v>10521</v>
      </c>
      <c r="C5519" s="50" t="s">
        <v>10536</v>
      </c>
      <c r="D5519" s="6">
        <v>11290.03</v>
      </c>
      <c r="E5519" s="6">
        <v>13610.93</v>
      </c>
      <c r="F5519" s="46" t="s">
        <v>14</v>
      </c>
      <c r="G5519" s="46" t="s">
        <v>10537</v>
      </c>
      <c r="H5519" s="46" t="s">
        <v>16</v>
      </c>
      <c r="I5519" s="47">
        <v>3535</v>
      </c>
      <c r="J5519" s="51">
        <v>68</v>
      </c>
      <c r="K5519" s="51">
        <v>68008</v>
      </c>
      <c r="L5519" s="3" t="str">
        <f t="shared" si="179"/>
        <v>ΣΠΑΡΑΓΓΙΑ</v>
      </c>
    </row>
    <row r="5520" spans="1:12" ht="24" x14ac:dyDescent="0.25">
      <c r="A5520" s="1" t="str">
        <f t="shared" si="178"/>
        <v>ΣΠΑΡΑΓΓΙΑΣΠΑΡΑΓΓΙΑ AVALIM</v>
      </c>
      <c r="B5520" s="49" t="s">
        <v>10521</v>
      </c>
      <c r="C5520" s="50" t="s">
        <v>10538</v>
      </c>
      <c r="D5520" s="6">
        <v>11290.03</v>
      </c>
      <c r="E5520" s="6">
        <v>13610.93</v>
      </c>
      <c r="F5520" s="46" t="s">
        <v>14</v>
      </c>
      <c r="G5520" s="46" t="s">
        <v>10539</v>
      </c>
      <c r="H5520" s="46" t="s">
        <v>16</v>
      </c>
      <c r="I5520" s="9">
        <v>3532</v>
      </c>
      <c r="J5520" s="51">
        <v>68</v>
      </c>
      <c r="K5520" s="51">
        <v>68009</v>
      </c>
      <c r="L5520" s="3" t="str">
        <f t="shared" si="179"/>
        <v>ΣΠΑΡΑΓΓΙΑ</v>
      </c>
    </row>
    <row r="5521" spans="1:12" ht="24" x14ac:dyDescent="0.25">
      <c r="A5521" s="1" t="str">
        <f t="shared" si="178"/>
        <v>ΣΠΑΡΑΓΓΙΑΣΠΑΡΑΓΓΙΑ BACCHUS</v>
      </c>
      <c r="B5521" s="49" t="s">
        <v>10521</v>
      </c>
      <c r="C5521" s="50" t="s">
        <v>10540</v>
      </c>
      <c r="D5521" s="6">
        <v>11290.03</v>
      </c>
      <c r="E5521" s="6">
        <v>13610.93</v>
      </c>
      <c r="F5521" s="46" t="s">
        <v>14</v>
      </c>
      <c r="G5521" s="46" t="s">
        <v>10541</v>
      </c>
      <c r="H5521" s="46" t="s">
        <v>16</v>
      </c>
      <c r="I5521" s="47">
        <v>3534</v>
      </c>
      <c r="J5521" s="51">
        <v>68</v>
      </c>
      <c r="K5521" s="51">
        <v>68010</v>
      </c>
      <c r="L5521" s="3" t="str">
        <f t="shared" si="179"/>
        <v>ΣΠΑΡΑΓΓΙΑ</v>
      </c>
    </row>
    <row r="5522" spans="1:12" ht="24" x14ac:dyDescent="0.25">
      <c r="A5522" s="1" t="str">
        <f t="shared" si="178"/>
        <v>ΣΠΑΡΑΓΓΙΑΣΠΑΡΑΓΓΙΑ BACKLIM</v>
      </c>
      <c r="B5522" s="49" t="s">
        <v>10521</v>
      </c>
      <c r="C5522" s="50" t="s">
        <v>10542</v>
      </c>
      <c r="D5522" s="6">
        <v>11290.03</v>
      </c>
      <c r="E5522" s="6">
        <v>13610.93</v>
      </c>
      <c r="F5522" s="46" t="s">
        <v>14</v>
      </c>
      <c r="G5522" s="46" t="s">
        <v>10543</v>
      </c>
      <c r="H5522" s="46" t="s">
        <v>16</v>
      </c>
      <c r="I5522" s="9">
        <v>3539</v>
      </c>
      <c r="J5522" s="51">
        <v>68</v>
      </c>
      <c r="K5522" s="51">
        <v>68011</v>
      </c>
      <c r="L5522" s="3" t="str">
        <f t="shared" si="179"/>
        <v>ΣΠΑΡΑΓΓΙΑ</v>
      </c>
    </row>
    <row r="5523" spans="1:12" ht="24" x14ac:dyDescent="0.25">
      <c r="A5523" s="1" t="str">
        <f t="shared" si="178"/>
        <v>ΣΠΑΡΑΓΓΙΑΣΠΑΡΑΓΓΙΑ BLANCO DE NAVARRA</v>
      </c>
      <c r="B5523" s="49" t="s">
        <v>10521</v>
      </c>
      <c r="C5523" s="50" t="s">
        <v>10544</v>
      </c>
      <c r="D5523" s="6">
        <v>11290.03</v>
      </c>
      <c r="E5523" s="6">
        <v>13610.93</v>
      </c>
      <c r="F5523" s="46" t="s">
        <v>14</v>
      </c>
      <c r="G5523" s="46" t="s">
        <v>10545</v>
      </c>
      <c r="H5523" s="46" t="s">
        <v>16</v>
      </c>
      <c r="I5523" s="47">
        <v>3527</v>
      </c>
      <c r="J5523" s="51">
        <v>68</v>
      </c>
      <c r="K5523" s="51">
        <v>68012</v>
      </c>
      <c r="L5523" s="3" t="str">
        <f t="shared" si="179"/>
        <v>ΣΠΑΡΑΓΓΙΑ</v>
      </c>
    </row>
    <row r="5524" spans="1:12" ht="24" x14ac:dyDescent="0.25">
      <c r="A5524" s="1" t="str">
        <f t="shared" si="178"/>
        <v>ΣΠΑΡΑΓΓΙΑΣΠΑΡΑΓΓΙΑ BURGUNDINE</v>
      </c>
      <c r="B5524" s="49" t="s">
        <v>10521</v>
      </c>
      <c r="C5524" s="50" t="s">
        <v>10546</v>
      </c>
      <c r="D5524" s="6">
        <v>11290.03</v>
      </c>
      <c r="E5524" s="6">
        <v>13610.93</v>
      </c>
      <c r="F5524" s="46" t="s">
        <v>14</v>
      </c>
      <c r="G5524" s="46" t="s">
        <v>10547</v>
      </c>
      <c r="H5524" s="46" t="s">
        <v>16</v>
      </c>
      <c r="I5524" s="9">
        <v>3473</v>
      </c>
      <c r="J5524" s="51">
        <v>68</v>
      </c>
      <c r="K5524" s="51">
        <v>68013</v>
      </c>
      <c r="L5524" s="3" t="str">
        <f t="shared" si="179"/>
        <v>ΣΠΑΡΑΓΓΙΑ</v>
      </c>
    </row>
    <row r="5525" spans="1:12" ht="24" x14ac:dyDescent="0.25">
      <c r="A5525" s="1" t="str">
        <f t="shared" si="178"/>
        <v>ΣΠΑΡΑΓΓΙΑΣΠΑΡΑΓΓΙΑ CIPRES</v>
      </c>
      <c r="B5525" s="49" t="s">
        <v>10521</v>
      </c>
      <c r="C5525" s="50" t="s">
        <v>10548</v>
      </c>
      <c r="D5525" s="6">
        <v>11290.03</v>
      </c>
      <c r="E5525" s="6">
        <v>13610.93</v>
      </c>
      <c r="F5525" s="46" t="s">
        <v>14</v>
      </c>
      <c r="G5525" s="46" t="s">
        <v>10549</v>
      </c>
      <c r="H5525" s="46" t="s">
        <v>16</v>
      </c>
      <c r="I5525" s="47">
        <v>3471</v>
      </c>
      <c r="J5525" s="51">
        <v>68</v>
      </c>
      <c r="K5525" s="51">
        <v>68014</v>
      </c>
      <c r="L5525" s="3" t="str">
        <f t="shared" si="179"/>
        <v>ΣΠΑΡΑΓΓΙΑ</v>
      </c>
    </row>
    <row r="5526" spans="1:12" ht="24" x14ac:dyDescent="0.25">
      <c r="A5526" s="1" t="str">
        <f t="shared" si="178"/>
        <v>ΣΠΑΡΑΓΓΙΑΣΠΑΡΑΓΓΙΑ CUMULUS</v>
      </c>
      <c r="B5526" s="49" t="s">
        <v>10521</v>
      </c>
      <c r="C5526" s="50" t="s">
        <v>10550</v>
      </c>
      <c r="D5526" s="6">
        <v>11290.03</v>
      </c>
      <c r="E5526" s="6">
        <v>13610.93</v>
      </c>
      <c r="F5526" s="46" t="s">
        <v>14</v>
      </c>
      <c r="G5526" s="46" t="s">
        <v>10551</v>
      </c>
      <c r="H5526" s="46" t="s">
        <v>16</v>
      </c>
      <c r="I5526" s="9">
        <v>3469</v>
      </c>
      <c r="J5526" s="51">
        <v>68</v>
      </c>
      <c r="K5526" s="51">
        <v>68015</v>
      </c>
      <c r="L5526" s="3" t="str">
        <f t="shared" si="179"/>
        <v>ΣΠΑΡΑΓΓΙΑ</v>
      </c>
    </row>
    <row r="5527" spans="1:12" ht="24" x14ac:dyDescent="0.25">
      <c r="A5527" s="1" t="str">
        <f t="shared" si="178"/>
        <v>ΣΠΑΡΑΓΓΙΑΣΠΑΡΑΓΓΙΑ CYGNUS</v>
      </c>
      <c r="B5527" s="49" t="s">
        <v>10521</v>
      </c>
      <c r="C5527" s="50" t="s">
        <v>10552</v>
      </c>
      <c r="D5527" s="6">
        <v>11290.03</v>
      </c>
      <c r="E5527" s="6">
        <v>13610.93</v>
      </c>
      <c r="F5527" s="46" t="s">
        <v>14</v>
      </c>
      <c r="G5527" s="46" t="s">
        <v>10553</v>
      </c>
      <c r="H5527" s="46" t="s">
        <v>16</v>
      </c>
      <c r="I5527" s="47">
        <v>3467</v>
      </c>
      <c r="J5527" s="51">
        <v>68</v>
      </c>
      <c r="K5527" s="51">
        <v>68016</v>
      </c>
      <c r="L5527" s="3" t="str">
        <f t="shared" si="179"/>
        <v>ΣΠΑΡΑΓΓΙΑ</v>
      </c>
    </row>
    <row r="5528" spans="1:12" ht="24" x14ac:dyDescent="0.25">
      <c r="A5528" s="1" t="str">
        <f t="shared" si="178"/>
        <v>ΣΠΑΡΑΓΓΙΑΣΠΑΡΑΓΓΙΑ BARBELLA</v>
      </c>
      <c r="B5528" s="49" t="s">
        <v>10521</v>
      </c>
      <c r="C5528" s="50" t="s">
        <v>10554</v>
      </c>
      <c r="D5528" s="6">
        <v>11290.03</v>
      </c>
      <c r="E5528" s="6">
        <v>13610.93</v>
      </c>
      <c r="F5528" s="46" t="s">
        <v>14</v>
      </c>
      <c r="G5528" s="46" t="s">
        <v>10555</v>
      </c>
      <c r="H5528" s="46" t="s">
        <v>16</v>
      </c>
      <c r="I5528" s="9">
        <v>3465</v>
      </c>
      <c r="J5528" s="51">
        <v>68</v>
      </c>
      <c r="K5528" s="51">
        <v>68017</v>
      </c>
      <c r="L5528" s="3" t="str">
        <f t="shared" si="179"/>
        <v>ΣΠΑΡΑΓΓΙΑ</v>
      </c>
    </row>
    <row r="5529" spans="1:12" ht="24" x14ac:dyDescent="0.25">
      <c r="A5529" s="1" t="str">
        <f t="shared" si="178"/>
        <v>ΣΠΑΡΑΓΓΙΑΣΠΑΡΑΓΓΙΑ DARIANA</v>
      </c>
      <c r="B5529" s="49" t="s">
        <v>10521</v>
      </c>
      <c r="C5529" s="50" t="s">
        <v>10556</v>
      </c>
      <c r="D5529" s="6">
        <v>11290.03</v>
      </c>
      <c r="E5529" s="6">
        <v>13610.93</v>
      </c>
      <c r="F5529" s="46" t="s">
        <v>14</v>
      </c>
      <c r="G5529" s="46" t="s">
        <v>10557</v>
      </c>
      <c r="H5529" s="46" t="s">
        <v>16</v>
      </c>
      <c r="I5529" s="47">
        <v>3463</v>
      </c>
      <c r="J5529" s="51">
        <v>68</v>
      </c>
      <c r="K5529" s="51">
        <v>68018</v>
      </c>
      <c r="L5529" s="3" t="str">
        <f t="shared" si="179"/>
        <v>ΣΠΑΡΑΓΓΙΑ</v>
      </c>
    </row>
    <row r="5530" spans="1:12" ht="24" x14ac:dyDescent="0.25">
      <c r="A5530" s="1" t="str">
        <f t="shared" si="178"/>
        <v>ΣΠΑΡΑΓΓΙΑΣΠΑΡΑΓΓΙΑ DARLISE</v>
      </c>
      <c r="B5530" s="49" t="s">
        <v>10521</v>
      </c>
      <c r="C5530" s="50" t="s">
        <v>10558</v>
      </c>
      <c r="D5530" s="6">
        <v>11290.03</v>
      </c>
      <c r="E5530" s="6">
        <v>13610.93</v>
      </c>
      <c r="F5530" s="46" t="s">
        <v>14</v>
      </c>
      <c r="G5530" s="46" t="s">
        <v>10559</v>
      </c>
      <c r="H5530" s="46" t="s">
        <v>16</v>
      </c>
      <c r="I5530" s="9">
        <v>3461</v>
      </c>
      <c r="J5530" s="51">
        <v>68</v>
      </c>
      <c r="K5530" s="51">
        <v>68019</v>
      </c>
      <c r="L5530" s="3" t="str">
        <f t="shared" si="179"/>
        <v>ΣΠΑΡΑΓΓΙΑ</v>
      </c>
    </row>
    <row r="5531" spans="1:12" ht="24" x14ac:dyDescent="0.25">
      <c r="A5531" s="1" t="str">
        <f t="shared" si="178"/>
        <v>ΣΠΑΡΑΓΓΙΑΣΠΑΡΑΓΓΙΑ DARZILA</v>
      </c>
      <c r="B5531" s="49" t="s">
        <v>10521</v>
      </c>
      <c r="C5531" s="50" t="s">
        <v>10560</v>
      </c>
      <c r="D5531" s="6">
        <v>11290.03</v>
      </c>
      <c r="E5531" s="6">
        <v>13610.93</v>
      </c>
      <c r="F5531" s="46" t="s">
        <v>14</v>
      </c>
      <c r="G5531" s="46" t="s">
        <v>10561</v>
      </c>
      <c r="H5531" s="46" t="s">
        <v>16</v>
      </c>
      <c r="I5531" s="47">
        <v>3459</v>
      </c>
      <c r="J5531" s="51">
        <v>68</v>
      </c>
      <c r="K5531" s="51">
        <v>68020</v>
      </c>
      <c r="L5531" s="3" t="str">
        <f t="shared" si="179"/>
        <v>ΣΠΑΡΑΓΓΙΑ</v>
      </c>
    </row>
    <row r="5532" spans="1:12" ht="24" x14ac:dyDescent="0.25">
      <c r="A5532" s="1" t="str">
        <f t="shared" si="178"/>
        <v>ΣΠΑΡΑΓΓΙΑΣΠΑΡΑΓΓΙΑ DEPAOLI</v>
      </c>
      <c r="B5532" s="49" t="s">
        <v>10521</v>
      </c>
      <c r="C5532" s="50" t="s">
        <v>10562</v>
      </c>
      <c r="D5532" s="6">
        <v>11290.03</v>
      </c>
      <c r="E5532" s="6">
        <v>13610.93</v>
      </c>
      <c r="F5532" s="46" t="s">
        <v>14</v>
      </c>
      <c r="G5532" s="46" t="s">
        <v>10563</v>
      </c>
      <c r="H5532" s="46" t="s">
        <v>16</v>
      </c>
      <c r="I5532" s="9">
        <v>3457</v>
      </c>
      <c r="J5532" s="51">
        <v>68</v>
      </c>
      <c r="K5532" s="51">
        <v>68021</v>
      </c>
      <c r="L5532" s="3" t="str">
        <f t="shared" si="179"/>
        <v>ΣΠΑΡΑΓΓΙΑ</v>
      </c>
    </row>
    <row r="5533" spans="1:12" ht="24" x14ac:dyDescent="0.25">
      <c r="A5533" s="1" t="str">
        <f t="shared" si="178"/>
        <v>ΣΠΑΡΑΓΓΙΑΣΠΑΡΑΓΓΙΑ EMMA</v>
      </c>
      <c r="B5533" s="49" t="s">
        <v>10521</v>
      </c>
      <c r="C5533" s="50" t="s">
        <v>10564</v>
      </c>
      <c r="D5533" s="6">
        <v>11290.03</v>
      </c>
      <c r="E5533" s="6">
        <v>13610.93</v>
      </c>
      <c r="F5533" s="46" t="s">
        <v>14</v>
      </c>
      <c r="G5533" s="46" t="s">
        <v>10565</v>
      </c>
      <c r="H5533" s="46" t="s">
        <v>16</v>
      </c>
      <c r="I5533" s="47">
        <v>3454</v>
      </c>
      <c r="J5533" s="51">
        <v>68</v>
      </c>
      <c r="K5533" s="51">
        <v>68022</v>
      </c>
      <c r="L5533" s="3" t="str">
        <f t="shared" si="179"/>
        <v>ΣΠΑΡΑΓΓΙΑ</v>
      </c>
    </row>
    <row r="5534" spans="1:12" x14ac:dyDescent="0.25">
      <c r="A5534" s="1" t="str">
        <f t="shared" si="178"/>
        <v>ΣΠΑΡΑΓΓΙΑΣΠΑΡΑΓΓΙΑ EPOSS</v>
      </c>
      <c r="B5534" s="49" t="s">
        <v>10521</v>
      </c>
      <c r="C5534" s="50" t="s">
        <v>10566</v>
      </c>
      <c r="D5534" s="6">
        <v>11290.03</v>
      </c>
      <c r="E5534" s="6">
        <v>13610.93</v>
      </c>
      <c r="F5534" s="46" t="s">
        <v>14</v>
      </c>
      <c r="G5534" s="46" t="s">
        <v>10567</v>
      </c>
      <c r="H5534" s="46" t="s">
        <v>27</v>
      </c>
      <c r="I5534" s="9">
        <v>3452</v>
      </c>
      <c r="J5534" s="51">
        <v>68</v>
      </c>
      <c r="K5534" s="51">
        <v>68023</v>
      </c>
      <c r="L5534" s="3" t="str">
        <f t="shared" si="179"/>
        <v>ΣΠΑΡΑΓΓΙΑ</v>
      </c>
    </row>
    <row r="5535" spans="1:12" ht="24" x14ac:dyDescent="0.25">
      <c r="A5535" s="1" t="str">
        <f t="shared" si="178"/>
        <v>ΣΠΑΡΑΓΓΙΑΣΠΑΡΑΓΓΙΑ ERCOLE</v>
      </c>
      <c r="B5535" s="49" t="s">
        <v>10521</v>
      </c>
      <c r="C5535" s="50" t="s">
        <v>10568</v>
      </c>
      <c r="D5535" s="6">
        <v>11290.03</v>
      </c>
      <c r="E5535" s="6">
        <v>13610.93</v>
      </c>
      <c r="F5535" s="46" t="s">
        <v>14</v>
      </c>
      <c r="G5535" s="46" t="s">
        <v>10569</v>
      </c>
      <c r="H5535" s="46" t="s">
        <v>16</v>
      </c>
      <c r="I5535" s="47">
        <v>3450</v>
      </c>
      <c r="J5535" s="51">
        <v>68</v>
      </c>
      <c r="K5535" s="51">
        <v>68024</v>
      </c>
      <c r="L5535" s="3" t="str">
        <f t="shared" si="179"/>
        <v>ΣΠΑΡΑΓΓΙΑ</v>
      </c>
    </row>
    <row r="5536" spans="1:12" ht="24" x14ac:dyDescent="0.25">
      <c r="A5536" s="1" t="str">
        <f t="shared" si="178"/>
        <v>ΣΠΑΡΑΓΓΙΑΣΠΑΡΑΓΓΙΑ FORTEMS</v>
      </c>
      <c r="B5536" s="49" t="s">
        <v>10521</v>
      </c>
      <c r="C5536" s="50" t="s">
        <v>10570</v>
      </c>
      <c r="D5536" s="6">
        <v>11290.03</v>
      </c>
      <c r="E5536" s="6">
        <v>13610.93</v>
      </c>
      <c r="F5536" s="46" t="s">
        <v>14</v>
      </c>
      <c r="G5536" s="46" t="s">
        <v>10571</v>
      </c>
      <c r="H5536" s="46" t="s">
        <v>16</v>
      </c>
      <c r="I5536" s="9">
        <v>3462</v>
      </c>
      <c r="J5536" s="51">
        <v>68</v>
      </c>
      <c r="K5536" s="51">
        <v>68025</v>
      </c>
      <c r="L5536" s="3" t="str">
        <f t="shared" si="179"/>
        <v>ΣΠΑΡΑΓΓΙΑ</v>
      </c>
    </row>
    <row r="5537" spans="1:12" ht="24" x14ac:dyDescent="0.25">
      <c r="A5537" s="1" t="str">
        <f t="shared" si="178"/>
        <v>ΣΠΑΡΑΓΓΙΑΣΠΑΡΑΓΓΙΑ FRANCO</v>
      </c>
      <c r="B5537" s="49" t="s">
        <v>10521</v>
      </c>
      <c r="C5537" s="50" t="s">
        <v>10572</v>
      </c>
      <c r="D5537" s="6">
        <v>11290.03</v>
      </c>
      <c r="E5537" s="6">
        <v>13610.93</v>
      </c>
      <c r="F5537" s="46" t="s">
        <v>14</v>
      </c>
      <c r="G5537" s="46" t="s">
        <v>10573</v>
      </c>
      <c r="H5537" s="46" t="s">
        <v>16</v>
      </c>
      <c r="I5537" s="47">
        <v>3500</v>
      </c>
      <c r="J5537" s="51">
        <v>68</v>
      </c>
      <c r="K5537" s="51">
        <v>68026</v>
      </c>
      <c r="L5537" s="3" t="str">
        <f t="shared" si="179"/>
        <v>ΣΠΑΡΑΓΓΙΑ</v>
      </c>
    </row>
    <row r="5538" spans="1:12" ht="24" x14ac:dyDescent="0.25">
      <c r="A5538" s="1" t="str">
        <f t="shared" si="178"/>
        <v>ΣΠΑΡΑΓΓΙΑΣΠΑΡΑΓΓΙΑ GIJNLIM</v>
      </c>
      <c r="B5538" s="49" t="s">
        <v>10521</v>
      </c>
      <c r="C5538" s="50" t="s">
        <v>10574</v>
      </c>
      <c r="D5538" s="6">
        <v>11290.03</v>
      </c>
      <c r="E5538" s="6">
        <v>13610.93</v>
      </c>
      <c r="F5538" s="46" t="s">
        <v>14</v>
      </c>
      <c r="G5538" s="46" t="s">
        <v>10575</v>
      </c>
      <c r="H5538" s="46" t="s">
        <v>16</v>
      </c>
      <c r="I5538" s="9">
        <v>3499</v>
      </c>
      <c r="J5538" s="51">
        <v>68</v>
      </c>
      <c r="K5538" s="51">
        <v>68027</v>
      </c>
      <c r="L5538" s="3" t="str">
        <f t="shared" si="179"/>
        <v>ΣΠΑΡΑΓΓΙΑ</v>
      </c>
    </row>
    <row r="5539" spans="1:12" x14ac:dyDescent="0.25">
      <c r="A5539" s="1" t="str">
        <f t="shared" si="178"/>
        <v>ΣΠΑΡΑΓΓΙΑΣΠΑΡΑΓΓΙΑ GTIOVE</v>
      </c>
      <c r="B5539" s="43" t="s">
        <v>10521</v>
      </c>
      <c r="C5539" s="44" t="s">
        <v>10576</v>
      </c>
      <c r="D5539" s="6">
        <v>11290.03</v>
      </c>
      <c r="E5539" s="6">
        <v>13610.93</v>
      </c>
      <c r="F5539" s="45" t="s">
        <v>14</v>
      </c>
      <c r="G5539" s="46" t="s">
        <v>10577</v>
      </c>
      <c r="H5539" s="46" t="s">
        <v>27</v>
      </c>
      <c r="I5539" s="47">
        <v>4335</v>
      </c>
      <c r="J5539" s="48">
        <v>68</v>
      </c>
      <c r="K5539" s="48">
        <v>68028</v>
      </c>
      <c r="L5539" s="3" t="str">
        <f t="shared" si="179"/>
        <v>ΣΠΑΡΑΓΓΙΑ</v>
      </c>
    </row>
    <row r="5540" spans="1:12" ht="24" x14ac:dyDescent="0.25">
      <c r="A5540" s="1" t="str">
        <f t="shared" si="178"/>
        <v>ΣΠΑΡΑΓΓΙΑΣΠΑΡΑΓΓΙΑ GRANDE</v>
      </c>
      <c r="B5540" s="49" t="s">
        <v>10521</v>
      </c>
      <c r="C5540" s="50" t="s">
        <v>10578</v>
      </c>
      <c r="D5540" s="6">
        <v>11290.03</v>
      </c>
      <c r="E5540" s="6">
        <v>13610.93</v>
      </c>
      <c r="F5540" s="46" t="s">
        <v>14</v>
      </c>
      <c r="G5540" s="46" t="s">
        <v>10579</v>
      </c>
      <c r="H5540" s="46" t="s">
        <v>16</v>
      </c>
      <c r="I5540" s="9">
        <v>3498</v>
      </c>
      <c r="J5540" s="51">
        <v>68</v>
      </c>
      <c r="K5540" s="51">
        <v>68029</v>
      </c>
      <c r="L5540" s="3" t="str">
        <f t="shared" si="179"/>
        <v>ΣΠΑΡΑΓΓΙΑ</v>
      </c>
    </row>
    <row r="5541" spans="1:12" x14ac:dyDescent="0.25">
      <c r="A5541" s="1" t="str">
        <f t="shared" si="178"/>
        <v>ΣΠΑΡΑΓΓΙΑΣΠΑΡΑΓΓΙΑ HANNIBAL</v>
      </c>
      <c r="B5541" s="43" t="s">
        <v>10521</v>
      </c>
      <c r="C5541" s="44" t="s">
        <v>10580</v>
      </c>
      <c r="D5541" s="6">
        <v>11290.03</v>
      </c>
      <c r="E5541" s="6">
        <v>13610.93</v>
      </c>
      <c r="F5541" s="45" t="s">
        <v>14</v>
      </c>
      <c r="G5541" s="46" t="s">
        <v>10581</v>
      </c>
      <c r="H5541" s="46" t="s">
        <v>27</v>
      </c>
      <c r="I5541" s="47">
        <v>4336</v>
      </c>
      <c r="J5541" s="48">
        <v>68</v>
      </c>
      <c r="K5541" s="48">
        <v>68030</v>
      </c>
      <c r="L5541" s="3" t="str">
        <f t="shared" si="179"/>
        <v>ΣΠΑΡΑΓΓΙΑ</v>
      </c>
    </row>
    <row r="5542" spans="1:12" ht="24" x14ac:dyDescent="0.25">
      <c r="A5542" s="1" t="str">
        <f t="shared" si="178"/>
        <v>ΣΠΑΡΑΓΓΙΑΣΠΑΡΑΓΓΙΑ HERKOLIM</v>
      </c>
      <c r="B5542" s="49" t="s">
        <v>10521</v>
      </c>
      <c r="C5542" s="50" t="s">
        <v>10582</v>
      </c>
      <c r="D5542" s="6">
        <v>11290.03</v>
      </c>
      <c r="E5542" s="6">
        <v>13610.93</v>
      </c>
      <c r="F5542" s="46" t="s">
        <v>14</v>
      </c>
      <c r="G5542" s="46" t="s">
        <v>10583</v>
      </c>
      <c r="H5542" s="46" t="s">
        <v>16</v>
      </c>
      <c r="I5542" s="9">
        <v>3497</v>
      </c>
      <c r="J5542" s="51">
        <v>68</v>
      </c>
      <c r="K5542" s="51">
        <v>68031</v>
      </c>
      <c r="L5542" s="3" t="str">
        <f t="shared" si="179"/>
        <v>ΣΠΑΡΑΓΓΙΑ</v>
      </c>
    </row>
    <row r="5543" spans="1:12" x14ac:dyDescent="0.25">
      <c r="A5543" s="1" t="str">
        <f t="shared" si="178"/>
        <v>ΣΠΑΡΑΓΓΙΑΣΠΑΡΑΓΓΙΑ HORLIM</v>
      </c>
      <c r="B5543" s="43" t="s">
        <v>10521</v>
      </c>
      <c r="C5543" s="44" t="s">
        <v>10584</v>
      </c>
      <c r="D5543" s="6">
        <v>11290.03</v>
      </c>
      <c r="E5543" s="6">
        <v>13610.93</v>
      </c>
      <c r="F5543" s="45" t="s">
        <v>14</v>
      </c>
      <c r="G5543" s="46" t="s">
        <v>10585</v>
      </c>
      <c r="H5543" s="46" t="s">
        <v>27</v>
      </c>
      <c r="I5543" s="47">
        <v>4337</v>
      </c>
      <c r="J5543" s="48">
        <v>68</v>
      </c>
      <c r="K5543" s="48">
        <v>68032</v>
      </c>
      <c r="L5543" s="3" t="str">
        <f t="shared" si="179"/>
        <v>ΣΠΑΡΑΓΓΙΑ</v>
      </c>
    </row>
    <row r="5544" spans="1:12" ht="24" x14ac:dyDescent="0.25">
      <c r="A5544" s="1" t="str">
        <f t="shared" si="178"/>
        <v>ΣΠΑΡΑΓΓΙΑΣΠΑΡΑΓΓΙΑ HT 801</v>
      </c>
      <c r="B5544" s="49" t="s">
        <v>10521</v>
      </c>
      <c r="C5544" s="50" t="s">
        <v>10586</v>
      </c>
      <c r="D5544" s="6">
        <v>11290.03</v>
      </c>
      <c r="E5544" s="6">
        <v>13610.93</v>
      </c>
      <c r="F5544" s="46" t="s">
        <v>14</v>
      </c>
      <c r="G5544" s="46" t="s">
        <v>10587</v>
      </c>
      <c r="H5544" s="46" t="s">
        <v>16</v>
      </c>
      <c r="I5544" s="9">
        <v>3495</v>
      </c>
      <c r="J5544" s="51">
        <v>68</v>
      </c>
      <c r="K5544" s="51">
        <v>68033</v>
      </c>
      <c r="L5544" s="3" t="str">
        <f t="shared" si="179"/>
        <v>ΣΠΑΡΑΓΓΙΑ</v>
      </c>
    </row>
    <row r="5545" spans="1:12" ht="24" x14ac:dyDescent="0.25">
      <c r="A5545" s="1" t="str">
        <f t="shared" si="178"/>
        <v>ΣΠΑΡΑΓΓΙΑΣΠΑΡΑΓΓΙΑ ITALO</v>
      </c>
      <c r="B5545" s="49" t="s">
        <v>10521</v>
      </c>
      <c r="C5545" s="50" t="s">
        <v>10588</v>
      </c>
      <c r="D5545" s="6">
        <v>11290.03</v>
      </c>
      <c r="E5545" s="6">
        <v>13610.93</v>
      </c>
      <c r="F5545" s="46" t="s">
        <v>14</v>
      </c>
      <c r="G5545" s="46" t="s">
        <v>10589</v>
      </c>
      <c r="H5545" s="46" t="s">
        <v>16</v>
      </c>
      <c r="I5545" s="47">
        <v>3494</v>
      </c>
      <c r="J5545" s="51">
        <v>68</v>
      </c>
      <c r="K5545" s="51">
        <v>68034</v>
      </c>
      <c r="L5545" s="3" t="str">
        <f t="shared" si="179"/>
        <v>ΣΠΑΡΑΓΓΙΑ</v>
      </c>
    </row>
    <row r="5546" spans="1:12" ht="24" x14ac:dyDescent="0.25">
      <c r="A5546" s="1" t="str">
        <f t="shared" si="178"/>
        <v>ΣΠΑΡΑΓΓΙΑΣΠΑΡΑΓΓΙΑ JALEO</v>
      </c>
      <c r="B5546" s="49" t="s">
        <v>10521</v>
      </c>
      <c r="C5546" s="50" t="s">
        <v>10590</v>
      </c>
      <c r="D5546" s="6">
        <v>11290.03</v>
      </c>
      <c r="E5546" s="6">
        <v>13610.93</v>
      </c>
      <c r="F5546" s="46" t="s">
        <v>14</v>
      </c>
      <c r="G5546" s="46" t="s">
        <v>10591</v>
      </c>
      <c r="H5546" s="46" t="s">
        <v>16</v>
      </c>
      <c r="I5546" s="9">
        <v>3493</v>
      </c>
      <c r="J5546" s="51">
        <v>68</v>
      </c>
      <c r="K5546" s="51">
        <v>68035</v>
      </c>
      <c r="L5546" s="3" t="str">
        <f t="shared" si="179"/>
        <v>ΣΠΑΡΑΓΓΙΑ</v>
      </c>
    </row>
    <row r="5547" spans="1:12" ht="24" x14ac:dyDescent="0.25">
      <c r="A5547" s="1" t="str">
        <f t="shared" si="178"/>
        <v>ΣΠΑΡΑΓΓΙΑΣΠΑΡΑΓΓΙΑ LIMA</v>
      </c>
      <c r="B5547" s="49" t="s">
        <v>10521</v>
      </c>
      <c r="C5547" s="50" t="s">
        <v>10592</v>
      </c>
      <c r="D5547" s="6">
        <v>11290.03</v>
      </c>
      <c r="E5547" s="6">
        <v>13610.93</v>
      </c>
      <c r="F5547" s="46" t="s">
        <v>14</v>
      </c>
      <c r="G5547" s="46" t="s">
        <v>10593</v>
      </c>
      <c r="H5547" s="46" t="s">
        <v>16</v>
      </c>
      <c r="I5547" s="47">
        <v>3492</v>
      </c>
      <c r="J5547" s="51">
        <v>68</v>
      </c>
      <c r="K5547" s="51">
        <v>68036</v>
      </c>
      <c r="L5547" s="3" t="str">
        <f t="shared" si="179"/>
        <v>ΣΠΑΡΑΓΓΙΑ</v>
      </c>
    </row>
    <row r="5548" spans="1:12" ht="24" x14ac:dyDescent="0.25">
      <c r="A5548" s="1" t="str">
        <f t="shared" si="178"/>
        <v>ΣΠΑΡΑΓΓΙΑΣΠΑΡΑΓΓΙΑ MAGNUS</v>
      </c>
      <c r="B5548" s="49" t="s">
        <v>10521</v>
      </c>
      <c r="C5548" s="50" t="s">
        <v>10594</v>
      </c>
      <c r="D5548" s="6">
        <v>11290.03</v>
      </c>
      <c r="E5548" s="6">
        <v>13610.93</v>
      </c>
      <c r="F5548" s="46" t="s">
        <v>14</v>
      </c>
      <c r="G5548" s="46" t="s">
        <v>10595</v>
      </c>
      <c r="H5548" s="46" t="s">
        <v>16</v>
      </c>
      <c r="I5548" s="9">
        <v>3491</v>
      </c>
      <c r="J5548" s="51">
        <v>68</v>
      </c>
      <c r="K5548" s="51">
        <v>68037</v>
      </c>
      <c r="L5548" s="3" t="str">
        <f t="shared" si="179"/>
        <v>ΣΠΑΡΑΓΓΙΑ</v>
      </c>
    </row>
    <row r="5549" spans="1:12" x14ac:dyDescent="0.25">
      <c r="A5549" s="1" t="str">
        <f t="shared" si="178"/>
        <v>ΣΠΑΡΑΓΓΙΑΣΠΑΡΑΓΓΙΑ MARTE</v>
      </c>
      <c r="B5549" s="49" t="s">
        <v>10521</v>
      </c>
      <c r="C5549" s="50" t="s">
        <v>10596</v>
      </c>
      <c r="D5549" s="6">
        <v>11290.03</v>
      </c>
      <c r="E5549" s="6">
        <v>13610.93</v>
      </c>
      <c r="F5549" s="46" t="s">
        <v>14</v>
      </c>
      <c r="G5549" s="46" t="s">
        <v>10597</v>
      </c>
      <c r="H5549" s="46" t="s">
        <v>27</v>
      </c>
      <c r="I5549" s="47">
        <v>3490</v>
      </c>
      <c r="J5549" s="51">
        <v>68</v>
      </c>
      <c r="K5549" s="51">
        <v>68038</v>
      </c>
      <c r="L5549" s="3" t="str">
        <f t="shared" si="179"/>
        <v>ΣΠΑΡΑΓΓΙΑ</v>
      </c>
    </row>
    <row r="5550" spans="1:12" ht="24" x14ac:dyDescent="0.25">
      <c r="A5550" s="1" t="str">
        <f t="shared" si="178"/>
        <v>ΣΠΑΡΑΓΓΙΑΣΠΑΡΑΓΓΙΑ MARY WASHINGTON</v>
      </c>
      <c r="B5550" s="49" t="s">
        <v>10521</v>
      </c>
      <c r="C5550" s="50" t="s">
        <v>10598</v>
      </c>
      <c r="D5550" s="6">
        <v>11290.03</v>
      </c>
      <c r="E5550" s="6">
        <v>13610.93</v>
      </c>
      <c r="F5550" s="46" t="s">
        <v>14</v>
      </c>
      <c r="G5550" s="46" t="s">
        <v>10599</v>
      </c>
      <c r="H5550" s="46" t="s">
        <v>16</v>
      </c>
      <c r="I5550" s="9">
        <v>3475</v>
      </c>
      <c r="J5550" s="51">
        <v>68</v>
      </c>
      <c r="K5550" s="51">
        <v>68039</v>
      </c>
      <c r="L5550" s="3" t="str">
        <f t="shared" si="179"/>
        <v>ΣΠΑΡΑΓΓΙΑ</v>
      </c>
    </row>
    <row r="5551" spans="1:12" ht="24" x14ac:dyDescent="0.25">
      <c r="A5551" s="1" t="str">
        <f t="shared" si="178"/>
        <v>ΣΠΑΡΑΓΓΙΑΣΠΑΡΑΓΓΙΑ MONDEO</v>
      </c>
      <c r="B5551" s="49" t="s">
        <v>10521</v>
      </c>
      <c r="C5551" s="50" t="s">
        <v>10600</v>
      </c>
      <c r="D5551" s="6">
        <v>11290.03</v>
      </c>
      <c r="E5551" s="6">
        <v>13610.93</v>
      </c>
      <c r="F5551" s="46" t="s">
        <v>14</v>
      </c>
      <c r="G5551" s="46" t="s">
        <v>10601</v>
      </c>
      <c r="H5551" s="46" t="s">
        <v>16</v>
      </c>
      <c r="I5551" s="47">
        <v>3488</v>
      </c>
      <c r="J5551" s="51">
        <v>68</v>
      </c>
      <c r="K5551" s="51">
        <v>68040</v>
      </c>
      <c r="L5551" s="3" t="str">
        <f t="shared" si="179"/>
        <v>ΣΠΑΡΑΓΓΙΑ</v>
      </c>
    </row>
    <row r="5552" spans="1:12" x14ac:dyDescent="0.25">
      <c r="A5552" s="1" t="str">
        <f t="shared" si="178"/>
        <v>ΣΠΑΡΑΓΓΙΑΣΠΑΡΑΓΓΙΑ NOVALIS VALLIERES</v>
      </c>
      <c r="B5552" s="43" t="s">
        <v>10521</v>
      </c>
      <c r="C5552" s="44" t="s">
        <v>10602</v>
      </c>
      <c r="D5552" s="6">
        <v>11290.03</v>
      </c>
      <c r="E5552" s="6">
        <v>13610.93</v>
      </c>
      <c r="F5552" s="45" t="s">
        <v>14</v>
      </c>
      <c r="G5552" s="46" t="s">
        <v>10603</v>
      </c>
      <c r="H5552" s="46" t="s">
        <v>27</v>
      </c>
      <c r="I5552" s="9">
        <v>4338</v>
      </c>
      <c r="J5552" s="48">
        <v>68</v>
      </c>
      <c r="K5552" s="48">
        <v>68041</v>
      </c>
      <c r="L5552" s="3" t="str">
        <f t="shared" si="179"/>
        <v>ΣΠΑΡΑΓΓΙΑ</v>
      </c>
    </row>
    <row r="5553" spans="1:12" x14ac:dyDescent="0.25">
      <c r="A5553" s="1" t="str">
        <f t="shared" si="178"/>
        <v>ΣΠΑΡΑΓΓΙΑΣΠΑΡΑΓΓΙΑ OBELISK</v>
      </c>
      <c r="B5553" s="49" t="s">
        <v>10521</v>
      </c>
      <c r="C5553" s="50" t="s">
        <v>10604</v>
      </c>
      <c r="D5553" s="6">
        <v>11290.03</v>
      </c>
      <c r="E5553" s="6">
        <v>13610.93</v>
      </c>
      <c r="F5553" s="46" t="s">
        <v>14</v>
      </c>
      <c r="G5553" s="46" t="s">
        <v>10605</v>
      </c>
      <c r="H5553" s="46" t="s">
        <v>27</v>
      </c>
      <c r="I5553" s="47">
        <v>3502</v>
      </c>
      <c r="J5553" s="51">
        <v>68</v>
      </c>
      <c r="K5553" s="51">
        <v>68042</v>
      </c>
      <c r="L5553" s="3" t="str">
        <f t="shared" si="179"/>
        <v>ΣΠΑΡΑΓΓΙΑ</v>
      </c>
    </row>
    <row r="5554" spans="1:12" ht="24" x14ac:dyDescent="0.25">
      <c r="A5554" s="1" t="str">
        <f t="shared" si="178"/>
        <v>ΣΠΑΡΑΓΓΙΑΣΠΑΡΑΓΓΙΑ PLACOSESP</v>
      </c>
      <c r="B5554" s="49" t="s">
        <v>10521</v>
      </c>
      <c r="C5554" s="50" t="s">
        <v>10606</v>
      </c>
      <c r="D5554" s="6">
        <v>11290.03</v>
      </c>
      <c r="E5554" s="6">
        <v>13610.93</v>
      </c>
      <c r="F5554" s="46" t="s">
        <v>14</v>
      </c>
      <c r="G5554" s="46" t="s">
        <v>10607</v>
      </c>
      <c r="H5554" s="46" t="s">
        <v>16</v>
      </c>
      <c r="I5554" s="9">
        <v>3501</v>
      </c>
      <c r="J5554" s="51">
        <v>68</v>
      </c>
      <c r="K5554" s="51">
        <v>68043</v>
      </c>
      <c r="L5554" s="3" t="str">
        <f t="shared" si="179"/>
        <v>ΣΠΑΡΑΓΓΙΑ</v>
      </c>
    </row>
    <row r="5555" spans="1:12" ht="24" x14ac:dyDescent="0.25">
      <c r="A5555" s="1" t="str">
        <f t="shared" si="178"/>
        <v>ΣΠΑΡΑΓΓΙΑΣΠΑΡΑΓΓΙΑ PLAMARESP</v>
      </c>
      <c r="B5555" s="49" t="s">
        <v>10521</v>
      </c>
      <c r="C5555" s="50" t="s">
        <v>10608</v>
      </c>
      <c r="D5555" s="6">
        <v>11290.03</v>
      </c>
      <c r="E5555" s="6">
        <v>13610.93</v>
      </c>
      <c r="F5555" s="46" t="s">
        <v>14</v>
      </c>
      <c r="G5555" s="46" t="s">
        <v>10609</v>
      </c>
      <c r="H5555" s="46" t="s">
        <v>16</v>
      </c>
      <c r="I5555" s="47">
        <v>3486</v>
      </c>
      <c r="J5555" s="51">
        <v>68</v>
      </c>
      <c r="K5555" s="51">
        <v>68044</v>
      </c>
      <c r="L5555" s="3" t="str">
        <f t="shared" si="179"/>
        <v>ΣΠΑΡΑΓΓΙΑ</v>
      </c>
    </row>
    <row r="5556" spans="1:12" x14ac:dyDescent="0.25">
      <c r="A5556" s="1" t="str">
        <f t="shared" si="178"/>
        <v>ΣΠΑΡΑΓΓΙΑΣΠΑΡΑΓΓΙΑ PLASENESP</v>
      </c>
      <c r="B5556" s="49" t="s">
        <v>10521</v>
      </c>
      <c r="C5556" s="50" t="s">
        <v>10610</v>
      </c>
      <c r="D5556" s="6">
        <v>11290.03</v>
      </c>
      <c r="E5556" s="6">
        <v>13610.93</v>
      </c>
      <c r="F5556" s="46" t="s">
        <v>14</v>
      </c>
      <c r="G5556" s="46" t="s">
        <v>10611</v>
      </c>
      <c r="H5556" s="46" t="s">
        <v>27</v>
      </c>
      <c r="I5556" s="9">
        <v>3528</v>
      </c>
      <c r="J5556" s="51">
        <v>68</v>
      </c>
      <c r="K5556" s="51">
        <v>68045</v>
      </c>
      <c r="L5556" s="3" t="str">
        <f t="shared" si="179"/>
        <v>ΣΠΑΡΑΓΓΙΑ</v>
      </c>
    </row>
    <row r="5557" spans="1:12" ht="24" x14ac:dyDescent="0.25">
      <c r="A5557" s="1" t="str">
        <f t="shared" si="178"/>
        <v>ΣΠΑΡΑΓΓΙΑΣΠΑΡΑΓΓΙΑ PORTLIM</v>
      </c>
      <c r="B5557" s="49" t="s">
        <v>10521</v>
      </c>
      <c r="C5557" s="50" t="s">
        <v>10612</v>
      </c>
      <c r="D5557" s="6">
        <v>11290.03</v>
      </c>
      <c r="E5557" s="6">
        <v>13610.93</v>
      </c>
      <c r="F5557" s="46" t="s">
        <v>14</v>
      </c>
      <c r="G5557" s="46" t="s">
        <v>10613</v>
      </c>
      <c r="H5557" s="46" t="s">
        <v>16</v>
      </c>
      <c r="I5557" s="47">
        <v>3485</v>
      </c>
      <c r="J5557" s="51">
        <v>68</v>
      </c>
      <c r="K5557" s="51">
        <v>68046</v>
      </c>
      <c r="L5557" s="3" t="str">
        <f t="shared" si="179"/>
        <v>ΣΠΑΡΑΓΓΙΑ</v>
      </c>
    </row>
    <row r="5558" spans="1:12" ht="24" x14ac:dyDescent="0.25">
      <c r="A5558" s="1" t="str">
        <f t="shared" si="178"/>
        <v>ΣΠΑΡΑΓΓΙΑΣΠΑΡΑΓΓΙΑ PREBELLE</v>
      </c>
      <c r="B5558" s="49" t="s">
        <v>10521</v>
      </c>
      <c r="C5558" s="50" t="s">
        <v>10614</v>
      </c>
      <c r="D5558" s="6">
        <v>11290.03</v>
      </c>
      <c r="E5558" s="6">
        <v>13610.93</v>
      </c>
      <c r="F5558" s="46" t="s">
        <v>14</v>
      </c>
      <c r="G5558" s="46" t="s">
        <v>10615</v>
      </c>
      <c r="H5558" s="46" t="s">
        <v>16</v>
      </c>
      <c r="I5558" s="9">
        <v>3484</v>
      </c>
      <c r="J5558" s="51">
        <v>68</v>
      </c>
      <c r="K5558" s="51">
        <v>68047</v>
      </c>
      <c r="L5558" s="3" t="str">
        <f t="shared" si="179"/>
        <v>ΣΠΑΡΑΓΓΙΑ</v>
      </c>
    </row>
    <row r="5559" spans="1:12" x14ac:dyDescent="0.25">
      <c r="A5559" s="1" t="str">
        <f t="shared" si="178"/>
        <v>ΣΠΑΡΑΓΓΙΑΣΠΑΡΑΓΓΙΑ PRIMA</v>
      </c>
      <c r="B5559" s="43" t="s">
        <v>10521</v>
      </c>
      <c r="C5559" s="44" t="s">
        <v>10616</v>
      </c>
      <c r="D5559" s="6">
        <v>11290.03</v>
      </c>
      <c r="E5559" s="6">
        <v>13610.93</v>
      </c>
      <c r="F5559" s="45" t="s">
        <v>14</v>
      </c>
      <c r="G5559" s="46" t="s">
        <v>10617</v>
      </c>
      <c r="H5559" s="46" t="s">
        <v>27</v>
      </c>
      <c r="I5559" s="47">
        <v>4339</v>
      </c>
      <c r="J5559" s="48">
        <v>68</v>
      </c>
      <c r="K5559" s="48">
        <v>68048</v>
      </c>
      <c r="L5559" s="3" t="str">
        <f t="shared" si="179"/>
        <v>ΣΠΑΡΑΓΓΙΑ</v>
      </c>
    </row>
    <row r="5560" spans="1:12" ht="24" x14ac:dyDescent="0.25">
      <c r="A5560" s="1" t="str">
        <f t="shared" si="178"/>
        <v>ΣΠΑΡΑΓΓΙΑΣΠΑΡΑΓΓΙΑ PRIMAVERDE</v>
      </c>
      <c r="B5560" s="49" t="s">
        <v>10521</v>
      </c>
      <c r="C5560" s="50" t="s">
        <v>10618</v>
      </c>
      <c r="D5560" s="6">
        <v>11290.03</v>
      </c>
      <c r="E5560" s="6">
        <v>13610.93</v>
      </c>
      <c r="F5560" s="46" t="s">
        <v>14</v>
      </c>
      <c r="G5560" s="46" t="s">
        <v>10619</v>
      </c>
      <c r="H5560" s="46" t="s">
        <v>16</v>
      </c>
      <c r="I5560" s="9">
        <v>3483</v>
      </c>
      <c r="J5560" s="51">
        <v>68</v>
      </c>
      <c r="K5560" s="51">
        <v>68049</v>
      </c>
      <c r="L5560" s="3" t="str">
        <f t="shared" si="179"/>
        <v>ΣΠΑΡΑΓΓΙΑ</v>
      </c>
    </row>
    <row r="5561" spans="1:12" x14ac:dyDescent="0.25">
      <c r="A5561" s="1" t="str">
        <f t="shared" si="178"/>
        <v>ΣΠΑΡΑΓΓΙΑΣΠΑΡΑΓΓΙΑ PRIMEMS</v>
      </c>
      <c r="B5561" s="43" t="s">
        <v>10521</v>
      </c>
      <c r="C5561" s="44" t="s">
        <v>10620</v>
      </c>
      <c r="D5561" s="6">
        <v>11290.03</v>
      </c>
      <c r="E5561" s="6">
        <v>13610.93</v>
      </c>
      <c r="F5561" s="45" t="s">
        <v>14</v>
      </c>
      <c r="G5561" s="46" t="s">
        <v>10621</v>
      </c>
      <c r="H5561" s="46" t="s">
        <v>27</v>
      </c>
      <c r="I5561" s="47">
        <v>4340</v>
      </c>
      <c r="J5561" s="48">
        <v>68</v>
      </c>
      <c r="K5561" s="48">
        <v>68050</v>
      </c>
      <c r="L5561" s="3" t="str">
        <f t="shared" si="179"/>
        <v>ΣΠΑΡΑΓΓΙΑ</v>
      </c>
    </row>
    <row r="5562" spans="1:12" ht="24" x14ac:dyDescent="0.25">
      <c r="A5562" s="1" t="str">
        <f t="shared" si="178"/>
        <v>ΣΠΑΡΑΓΓΙΑΣΠΑΡΑΓΓΙΑ PRIUS</v>
      </c>
      <c r="B5562" s="49" t="s">
        <v>10521</v>
      </c>
      <c r="C5562" s="50" t="s">
        <v>10622</v>
      </c>
      <c r="D5562" s="6">
        <v>11290.03</v>
      </c>
      <c r="E5562" s="6">
        <v>13610.93</v>
      </c>
      <c r="F5562" s="46" t="s">
        <v>14</v>
      </c>
      <c r="G5562" s="46" t="s">
        <v>10623</v>
      </c>
      <c r="H5562" s="46" t="s">
        <v>16</v>
      </c>
      <c r="I5562" s="9">
        <v>3482</v>
      </c>
      <c r="J5562" s="51">
        <v>68</v>
      </c>
      <c r="K5562" s="51">
        <v>68051</v>
      </c>
      <c r="L5562" s="3" t="str">
        <f t="shared" si="179"/>
        <v>ΣΠΑΡΑΓΓΙΑ</v>
      </c>
    </row>
    <row r="5563" spans="1:12" ht="24" x14ac:dyDescent="0.25">
      <c r="A5563" s="1" t="str">
        <f t="shared" si="178"/>
        <v>ΣΠΑΡΑΓΓΙΑΣΠΑΡΑΓΓΙΑ RAFFAELO</v>
      </c>
      <c r="B5563" s="49" t="s">
        <v>10521</v>
      </c>
      <c r="C5563" s="50" t="s">
        <v>10624</v>
      </c>
      <c r="D5563" s="6">
        <v>11290.03</v>
      </c>
      <c r="E5563" s="6">
        <v>13610.93</v>
      </c>
      <c r="F5563" s="46" t="s">
        <v>14</v>
      </c>
      <c r="G5563" s="46" t="s">
        <v>10625</v>
      </c>
      <c r="H5563" s="46" t="s">
        <v>16</v>
      </c>
      <c r="I5563" s="47">
        <v>3481</v>
      </c>
      <c r="J5563" s="51">
        <v>68</v>
      </c>
      <c r="K5563" s="51">
        <v>68052</v>
      </c>
      <c r="L5563" s="3" t="str">
        <f t="shared" si="179"/>
        <v>ΣΠΑΡΑΓΓΙΑ</v>
      </c>
    </row>
    <row r="5564" spans="1:12" ht="24" x14ac:dyDescent="0.25">
      <c r="A5564" s="1" t="str">
        <f t="shared" si="178"/>
        <v>ΣΠΑΡΑΓΓΙΑΣΠΑΡΑΓΓΙΑ RAMADA</v>
      </c>
      <c r="B5564" s="49" t="s">
        <v>10521</v>
      </c>
      <c r="C5564" s="50" t="s">
        <v>10626</v>
      </c>
      <c r="D5564" s="6">
        <v>11290.03</v>
      </c>
      <c r="E5564" s="6">
        <v>13610.93</v>
      </c>
      <c r="F5564" s="46" t="s">
        <v>14</v>
      </c>
      <c r="G5564" s="46" t="s">
        <v>10627</v>
      </c>
      <c r="H5564" s="46" t="s">
        <v>16</v>
      </c>
      <c r="I5564" s="9">
        <v>3480</v>
      </c>
      <c r="J5564" s="51">
        <v>68</v>
      </c>
      <c r="K5564" s="51">
        <v>68053</v>
      </c>
      <c r="L5564" s="3" t="str">
        <f t="shared" si="179"/>
        <v>ΣΠΑΡΑΓΓΙΑ</v>
      </c>
    </row>
    <row r="5565" spans="1:12" ht="24" x14ac:dyDescent="0.25">
      <c r="A5565" s="1" t="str">
        <f t="shared" si="178"/>
        <v>ΣΠΑΡΑΓΓΙΑΣΠΑΡΑΓΓΙΑ RAMBO</v>
      </c>
      <c r="B5565" s="49" t="s">
        <v>10521</v>
      </c>
      <c r="C5565" s="50" t="s">
        <v>10628</v>
      </c>
      <c r="D5565" s="6">
        <v>11290.03</v>
      </c>
      <c r="E5565" s="6">
        <v>13610.93</v>
      </c>
      <c r="F5565" s="46" t="s">
        <v>14</v>
      </c>
      <c r="G5565" s="46" t="s">
        <v>10629</v>
      </c>
      <c r="H5565" s="46" t="s">
        <v>16</v>
      </c>
      <c r="I5565" s="47">
        <v>3479</v>
      </c>
      <c r="J5565" s="51">
        <v>68</v>
      </c>
      <c r="K5565" s="51">
        <v>68054</v>
      </c>
      <c r="L5565" s="3" t="str">
        <f t="shared" si="179"/>
        <v>ΣΠΑΡΑΓΓΙΑ</v>
      </c>
    </row>
    <row r="5566" spans="1:12" ht="24" x14ac:dyDescent="0.25">
      <c r="A5566" s="1" t="str">
        <f t="shared" si="178"/>
        <v>ΣΠΑΡΑΓΓΙΑΣΠΑΡΑΓΓΙΑ RAMIRES</v>
      </c>
      <c r="B5566" s="49" t="s">
        <v>10521</v>
      </c>
      <c r="C5566" s="50" t="s">
        <v>10630</v>
      </c>
      <c r="D5566" s="6">
        <v>11290.03</v>
      </c>
      <c r="E5566" s="6">
        <v>13610.93</v>
      </c>
      <c r="F5566" s="46" t="s">
        <v>14</v>
      </c>
      <c r="G5566" s="46" t="s">
        <v>10631</v>
      </c>
      <c r="H5566" s="46" t="s">
        <v>16</v>
      </c>
      <c r="I5566" s="9">
        <v>3478</v>
      </c>
      <c r="J5566" s="51">
        <v>68</v>
      </c>
      <c r="K5566" s="51">
        <v>68055</v>
      </c>
      <c r="L5566" s="3" t="str">
        <f t="shared" si="179"/>
        <v>ΣΠΑΡΑΓΓΙΑ</v>
      </c>
    </row>
    <row r="5567" spans="1:12" ht="24" x14ac:dyDescent="0.25">
      <c r="A5567" s="1" t="str">
        <f t="shared" si="178"/>
        <v>ΣΠΑΡΑΓΓΙΑΣΠΑΡΑΓΓΙΑ RAPSODY</v>
      </c>
      <c r="B5567" s="49" t="s">
        <v>10521</v>
      </c>
      <c r="C5567" s="50" t="s">
        <v>10632</v>
      </c>
      <c r="D5567" s="6">
        <v>11290.03</v>
      </c>
      <c r="E5567" s="6">
        <v>13610.93</v>
      </c>
      <c r="F5567" s="46" t="s">
        <v>14</v>
      </c>
      <c r="G5567" s="46" t="s">
        <v>10633</v>
      </c>
      <c r="H5567" s="46" t="s">
        <v>16</v>
      </c>
      <c r="I5567" s="47">
        <v>3496</v>
      </c>
      <c r="J5567" s="51">
        <v>68</v>
      </c>
      <c r="K5567" s="51">
        <v>68056</v>
      </c>
      <c r="L5567" s="3" t="str">
        <f t="shared" si="179"/>
        <v>ΣΠΑΡΑΓΓΙΑ</v>
      </c>
    </row>
    <row r="5568" spans="1:12" ht="24" x14ac:dyDescent="0.25">
      <c r="A5568" s="1" t="str">
        <f t="shared" si="178"/>
        <v>ΣΠΑΡΑΓΓΙΑΣΠΑΡΑΓΓΙΑ RAVEL</v>
      </c>
      <c r="B5568" s="49" t="s">
        <v>10521</v>
      </c>
      <c r="C5568" s="50" t="s">
        <v>10634</v>
      </c>
      <c r="D5568" s="6">
        <v>11290.03</v>
      </c>
      <c r="E5568" s="6">
        <v>13610.93</v>
      </c>
      <c r="F5568" s="46" t="s">
        <v>14</v>
      </c>
      <c r="G5568" s="46" t="s">
        <v>10635</v>
      </c>
      <c r="H5568" s="46" t="s">
        <v>16</v>
      </c>
      <c r="I5568" s="9">
        <v>3489</v>
      </c>
      <c r="J5568" s="51">
        <v>68</v>
      </c>
      <c r="K5568" s="51">
        <v>68057</v>
      </c>
      <c r="L5568" s="3" t="str">
        <f t="shared" si="179"/>
        <v>ΣΠΑΡΑΓΓΙΑ</v>
      </c>
    </row>
    <row r="5569" spans="1:12" ht="24" x14ac:dyDescent="0.25">
      <c r="A5569" s="1" t="str">
        <f t="shared" si="178"/>
        <v>ΣΠΑΡΑΓΓΙΑΣΠΑΡΑΓΓΙΑ ROSALIE</v>
      </c>
      <c r="B5569" s="49" t="s">
        <v>10521</v>
      </c>
      <c r="C5569" s="50" t="s">
        <v>10636</v>
      </c>
      <c r="D5569" s="6">
        <v>11290.03</v>
      </c>
      <c r="E5569" s="6">
        <v>13610.93</v>
      </c>
      <c r="F5569" s="46" t="s">
        <v>14</v>
      </c>
      <c r="G5569" s="46" t="s">
        <v>10637</v>
      </c>
      <c r="H5569" s="46" t="s">
        <v>16</v>
      </c>
      <c r="I5569" s="47">
        <v>3487</v>
      </c>
      <c r="J5569" s="51">
        <v>68</v>
      </c>
      <c r="K5569" s="51">
        <v>68058</v>
      </c>
      <c r="L5569" s="3" t="str">
        <f t="shared" si="179"/>
        <v>ΣΠΑΡΑΓΓΙΑ</v>
      </c>
    </row>
    <row r="5570" spans="1:12" ht="24" x14ac:dyDescent="0.25">
      <c r="A5570" s="1" t="str">
        <f t="shared" si="178"/>
        <v>ΣΠΑΡΑΓΓΙΑΣΠΑΡΑΓΓΙΑ SCHWETZINGER MEISTERSCHUB</v>
      </c>
      <c r="B5570" s="49" t="s">
        <v>10521</v>
      </c>
      <c r="C5570" s="50" t="s">
        <v>10638</v>
      </c>
      <c r="D5570" s="6">
        <v>11290.03</v>
      </c>
      <c r="E5570" s="6">
        <v>13610.93</v>
      </c>
      <c r="F5570" s="46" t="s">
        <v>14</v>
      </c>
      <c r="G5570" s="46" t="s">
        <v>10639</v>
      </c>
      <c r="H5570" s="46" t="s">
        <v>16</v>
      </c>
      <c r="I5570" s="9">
        <v>3449</v>
      </c>
      <c r="J5570" s="51">
        <v>68</v>
      </c>
      <c r="K5570" s="51">
        <v>68059</v>
      </c>
      <c r="L5570" s="3" t="str">
        <f t="shared" si="179"/>
        <v>ΣΠΑΡΑΓΓΙΑ</v>
      </c>
    </row>
    <row r="5571" spans="1:12" ht="24" x14ac:dyDescent="0.25">
      <c r="A5571" s="1" t="str">
        <f t="shared" ref="A5571:A5634" si="180">_xlfn.CONCAT(B5571,C5571)</f>
        <v>ΣΠΑΡΑΓΓΙΑΣΠΑΡΑΓΓΙΑ STEINEO</v>
      </c>
      <c r="B5571" s="49" t="s">
        <v>10521</v>
      </c>
      <c r="C5571" s="50" t="s">
        <v>10640</v>
      </c>
      <c r="D5571" s="6">
        <v>11290.03</v>
      </c>
      <c r="E5571" s="6">
        <v>13610.93</v>
      </c>
      <c r="F5571" s="46" t="s">
        <v>14</v>
      </c>
      <c r="G5571" s="46" t="s">
        <v>10641</v>
      </c>
      <c r="H5571" s="46" t="s">
        <v>16</v>
      </c>
      <c r="I5571" s="47">
        <v>3451</v>
      </c>
      <c r="J5571" s="51">
        <v>68</v>
      </c>
      <c r="K5571" s="51">
        <v>68060</v>
      </c>
      <c r="L5571" s="3" t="str">
        <f t="shared" ref="L5571:L5634" si="181">IFERROR(SUBSTITUTE(SUBSTITUTE(SUBSTITUTE(SUBSTITUTE(SUBSTITUTE(B5571, "-", "_"), " ", "_"), ",", ""), "(", ""), ")", ""), B5571)</f>
        <v>ΣΠΑΡΑΓΓΙΑ</v>
      </c>
    </row>
    <row r="5572" spans="1:12" ht="24" x14ac:dyDescent="0.25">
      <c r="A5572" s="1" t="str">
        <f t="shared" si="180"/>
        <v>ΣΠΑΡΑΓΓΙΑΣΠΑΡΑΓΓΙΑ STEINERS VIOLETTA</v>
      </c>
      <c r="B5572" s="49" t="s">
        <v>10521</v>
      </c>
      <c r="C5572" s="50" t="s">
        <v>10642</v>
      </c>
      <c r="D5572" s="6">
        <v>11290.03</v>
      </c>
      <c r="E5572" s="6">
        <v>13610.93</v>
      </c>
      <c r="F5572" s="46" t="s">
        <v>14</v>
      </c>
      <c r="G5572" s="46" t="s">
        <v>10643</v>
      </c>
      <c r="H5572" s="46" t="s">
        <v>16</v>
      </c>
      <c r="I5572" s="9">
        <v>3453</v>
      </c>
      <c r="J5572" s="51">
        <v>68</v>
      </c>
      <c r="K5572" s="51">
        <v>68061</v>
      </c>
      <c r="L5572" s="3" t="str">
        <f t="shared" si="181"/>
        <v>ΣΠΑΡΑΓΓΙΑ</v>
      </c>
    </row>
    <row r="5573" spans="1:12" ht="24" x14ac:dyDescent="0.25">
      <c r="A5573" s="1" t="str">
        <f t="shared" si="180"/>
        <v>ΣΠΑΡΑΓΓΙΑΣΠΑΡΑΓΓΙΑ STEINIVA</v>
      </c>
      <c r="B5573" s="49" t="s">
        <v>10521</v>
      </c>
      <c r="C5573" s="50" t="s">
        <v>10644</v>
      </c>
      <c r="D5573" s="6">
        <v>11290.03</v>
      </c>
      <c r="E5573" s="6">
        <v>13610.93</v>
      </c>
      <c r="F5573" s="46" t="s">
        <v>14</v>
      </c>
      <c r="G5573" s="46" t="s">
        <v>10645</v>
      </c>
      <c r="H5573" s="46" t="s">
        <v>16</v>
      </c>
      <c r="I5573" s="47">
        <v>3455</v>
      </c>
      <c r="J5573" s="51">
        <v>68</v>
      </c>
      <c r="K5573" s="51">
        <v>68062</v>
      </c>
      <c r="L5573" s="3" t="str">
        <f t="shared" si="181"/>
        <v>ΣΠΑΡΑΓΓΙΑ</v>
      </c>
    </row>
    <row r="5574" spans="1:12" ht="24" x14ac:dyDescent="0.25">
      <c r="A5574" s="1" t="str">
        <f t="shared" si="180"/>
        <v>ΣΠΑΡΑΓΓΙΑΣΠΑΡΑΓΓΙΑ SUNLIM</v>
      </c>
      <c r="B5574" s="49" t="s">
        <v>10521</v>
      </c>
      <c r="C5574" s="50" t="s">
        <v>10646</v>
      </c>
      <c r="D5574" s="6">
        <v>11290.03</v>
      </c>
      <c r="E5574" s="6">
        <v>13610.93</v>
      </c>
      <c r="F5574" s="46" t="s">
        <v>14</v>
      </c>
      <c r="G5574" s="46" t="s">
        <v>10647</v>
      </c>
      <c r="H5574" s="46" t="s">
        <v>16</v>
      </c>
      <c r="I5574" s="9">
        <v>3456</v>
      </c>
      <c r="J5574" s="51">
        <v>68</v>
      </c>
      <c r="K5574" s="51">
        <v>68063</v>
      </c>
      <c r="L5574" s="3" t="str">
        <f t="shared" si="181"/>
        <v>ΣΠΑΡΑΓΓΙΑ</v>
      </c>
    </row>
    <row r="5575" spans="1:12" ht="24" x14ac:dyDescent="0.25">
      <c r="A5575" s="1" t="str">
        <f t="shared" si="180"/>
        <v>ΣΠΑΡΑΓΓΙΑΣΠΑΡΑΓΓΙΑ TALLEMS</v>
      </c>
      <c r="B5575" s="49" t="s">
        <v>10521</v>
      </c>
      <c r="C5575" s="50" t="s">
        <v>10648</v>
      </c>
      <c r="D5575" s="6">
        <v>11290.03</v>
      </c>
      <c r="E5575" s="6">
        <v>13610.93</v>
      </c>
      <c r="F5575" s="46" t="s">
        <v>14</v>
      </c>
      <c r="G5575" s="46" t="s">
        <v>10649</v>
      </c>
      <c r="H5575" s="46" t="s">
        <v>16</v>
      </c>
      <c r="I5575" s="47">
        <v>3458</v>
      </c>
      <c r="J5575" s="51">
        <v>68</v>
      </c>
      <c r="K5575" s="51">
        <v>68064</v>
      </c>
      <c r="L5575" s="3" t="str">
        <f t="shared" si="181"/>
        <v>ΣΠΑΡΑΓΓΙΑ</v>
      </c>
    </row>
    <row r="5576" spans="1:12" ht="24" x14ac:dyDescent="0.25">
      <c r="A5576" s="1" t="str">
        <f t="shared" si="180"/>
        <v>ΣΠΑΡΑΓΓΙΑΣΠΑΡΑΓΓΙΑ THIELIM</v>
      </c>
      <c r="B5576" s="49" t="s">
        <v>10521</v>
      </c>
      <c r="C5576" s="50" t="s">
        <v>10650</v>
      </c>
      <c r="D5576" s="6">
        <v>11290.03</v>
      </c>
      <c r="E5576" s="6">
        <v>13610.93</v>
      </c>
      <c r="F5576" s="46" t="s">
        <v>14</v>
      </c>
      <c r="G5576" s="46" t="s">
        <v>10651</v>
      </c>
      <c r="H5576" s="46" t="s">
        <v>16</v>
      </c>
      <c r="I5576" s="9">
        <v>3474</v>
      </c>
      <c r="J5576" s="51">
        <v>68</v>
      </c>
      <c r="K5576" s="51">
        <v>68065</v>
      </c>
      <c r="L5576" s="3" t="str">
        <f t="shared" si="181"/>
        <v>ΣΠΑΡΑΓΓΙΑ</v>
      </c>
    </row>
    <row r="5577" spans="1:12" ht="24" x14ac:dyDescent="0.25">
      <c r="A5577" s="1" t="str">
        <f t="shared" si="180"/>
        <v>ΣΠΑΡΑΓΓΙΑΣΠΑΡΑΓΓΙΑ UC 157</v>
      </c>
      <c r="B5577" s="49" t="s">
        <v>10521</v>
      </c>
      <c r="C5577" s="50" t="s">
        <v>10652</v>
      </c>
      <c r="D5577" s="6">
        <v>11290.03</v>
      </c>
      <c r="E5577" s="6">
        <v>13610.93</v>
      </c>
      <c r="F5577" s="46" t="s">
        <v>14</v>
      </c>
      <c r="G5577" s="46" t="s">
        <v>10653</v>
      </c>
      <c r="H5577" s="46" t="s">
        <v>16</v>
      </c>
      <c r="I5577" s="47">
        <v>3448</v>
      </c>
      <c r="J5577" s="51">
        <v>68</v>
      </c>
      <c r="K5577" s="51">
        <v>68066</v>
      </c>
      <c r="L5577" s="3" t="str">
        <f t="shared" si="181"/>
        <v>ΣΠΑΡΑΓΓΙΑ</v>
      </c>
    </row>
    <row r="5578" spans="1:12" x14ac:dyDescent="0.25">
      <c r="A5578" s="1" t="str">
        <f t="shared" si="180"/>
        <v>ΣΠΑΡΑΓΓΙΑΣΠΑΡΑΓΓΙΑ VALLIERES RACAUTS</v>
      </c>
      <c r="B5578" s="43" t="s">
        <v>10521</v>
      </c>
      <c r="C5578" s="44" t="s">
        <v>10654</v>
      </c>
      <c r="D5578" s="6">
        <v>11290.03</v>
      </c>
      <c r="E5578" s="6">
        <v>13610.93</v>
      </c>
      <c r="F5578" s="45" t="s">
        <v>14</v>
      </c>
      <c r="G5578" s="46" t="s">
        <v>10655</v>
      </c>
      <c r="H5578" s="46" t="s">
        <v>27</v>
      </c>
      <c r="I5578" s="9">
        <v>4341</v>
      </c>
      <c r="J5578" s="48">
        <v>68</v>
      </c>
      <c r="K5578" s="48">
        <v>68067</v>
      </c>
      <c r="L5578" s="3" t="str">
        <f t="shared" si="181"/>
        <v>ΣΠΑΡΑΓΓΙΑ</v>
      </c>
    </row>
    <row r="5579" spans="1:12" ht="24" x14ac:dyDescent="0.25">
      <c r="A5579" s="1" t="str">
        <f t="shared" si="180"/>
        <v>ΣΠΑΡΑΓΓΙΑΣΠΑΡΑΓΓΙΑ VALPRIMA</v>
      </c>
      <c r="B5579" s="49" t="s">
        <v>10521</v>
      </c>
      <c r="C5579" s="50" t="s">
        <v>10656</v>
      </c>
      <c r="D5579" s="6">
        <v>11290.03</v>
      </c>
      <c r="E5579" s="6">
        <v>13610.93</v>
      </c>
      <c r="F5579" s="46" t="s">
        <v>14</v>
      </c>
      <c r="G5579" s="46" t="s">
        <v>10657</v>
      </c>
      <c r="H5579" s="46" t="s">
        <v>16</v>
      </c>
      <c r="I5579" s="47">
        <v>3464</v>
      </c>
      <c r="J5579" s="51">
        <v>68</v>
      </c>
      <c r="K5579" s="51">
        <v>68068</v>
      </c>
      <c r="L5579" s="3" t="str">
        <f t="shared" si="181"/>
        <v>ΣΠΑΡΑΓΓΙΑ</v>
      </c>
    </row>
    <row r="5580" spans="1:12" ht="24" x14ac:dyDescent="0.25">
      <c r="A5580" s="1" t="str">
        <f t="shared" si="180"/>
        <v>ΣΠΑΡΑΓΓΙΑΣΠΑΡΑΓΓΙΑ VEGALIM</v>
      </c>
      <c r="B5580" s="49" t="s">
        <v>10521</v>
      </c>
      <c r="C5580" s="50" t="s">
        <v>10658</v>
      </c>
      <c r="D5580" s="6">
        <v>11290.03</v>
      </c>
      <c r="E5580" s="6">
        <v>13610.93</v>
      </c>
      <c r="F5580" s="46" t="s">
        <v>14</v>
      </c>
      <c r="G5580" s="46" t="s">
        <v>10659</v>
      </c>
      <c r="H5580" s="46" t="s">
        <v>16</v>
      </c>
      <c r="I5580" s="9">
        <v>3466</v>
      </c>
      <c r="J5580" s="51">
        <v>68</v>
      </c>
      <c r="K5580" s="51">
        <v>68069</v>
      </c>
      <c r="L5580" s="3" t="str">
        <f t="shared" si="181"/>
        <v>ΣΠΑΡΑΓΓΙΑ</v>
      </c>
    </row>
    <row r="5581" spans="1:12" ht="24" x14ac:dyDescent="0.25">
      <c r="A5581" s="1" t="str">
        <f t="shared" si="180"/>
        <v>ΣΠΑΡΑΓΓΙΑΣΠΑΡΑΓΓΙΑ VETRA</v>
      </c>
      <c r="B5581" s="49" t="s">
        <v>10521</v>
      </c>
      <c r="C5581" s="50" t="s">
        <v>10660</v>
      </c>
      <c r="D5581" s="6">
        <v>11290.03</v>
      </c>
      <c r="E5581" s="6">
        <v>13610.93</v>
      </c>
      <c r="F5581" s="46" t="s">
        <v>14</v>
      </c>
      <c r="G5581" s="46" t="s">
        <v>10661</v>
      </c>
      <c r="H5581" s="46" t="s">
        <v>16</v>
      </c>
      <c r="I5581" s="47">
        <v>3468</v>
      </c>
      <c r="J5581" s="51">
        <v>68</v>
      </c>
      <c r="K5581" s="51">
        <v>68070</v>
      </c>
      <c r="L5581" s="3" t="str">
        <f t="shared" si="181"/>
        <v>ΣΠΑΡΑΓΓΙΑ</v>
      </c>
    </row>
    <row r="5582" spans="1:12" ht="24" x14ac:dyDescent="0.25">
      <c r="A5582" s="1" t="str">
        <f t="shared" si="180"/>
        <v>ΣΠΑΡΑΓΓΙΑΣΠΑΡΑΓΓΙΑ VITALIM</v>
      </c>
      <c r="B5582" s="49" t="s">
        <v>10521</v>
      </c>
      <c r="C5582" s="50" t="s">
        <v>10662</v>
      </c>
      <c r="D5582" s="6">
        <v>11290.03</v>
      </c>
      <c r="E5582" s="6">
        <v>13610.93</v>
      </c>
      <c r="F5582" s="46" t="s">
        <v>14</v>
      </c>
      <c r="G5582" s="46" t="s">
        <v>10663</v>
      </c>
      <c r="H5582" s="46" t="s">
        <v>16</v>
      </c>
      <c r="I5582" s="9">
        <v>3470</v>
      </c>
      <c r="J5582" s="51">
        <v>68</v>
      </c>
      <c r="K5582" s="51">
        <v>68071</v>
      </c>
      <c r="L5582" s="3" t="str">
        <f t="shared" si="181"/>
        <v>ΣΠΑΡΑΓΓΙΑ</v>
      </c>
    </row>
    <row r="5583" spans="1:12" ht="24" x14ac:dyDescent="0.25">
      <c r="A5583" s="1" t="str">
        <f t="shared" si="180"/>
        <v>ΣΠΑΡΑΓΓΙΑΣΠΑΡΑΓΓΙΑ VITTORIO</v>
      </c>
      <c r="B5583" s="49" t="s">
        <v>10521</v>
      </c>
      <c r="C5583" s="50" t="s">
        <v>10664</v>
      </c>
      <c r="D5583" s="6">
        <v>11290.03</v>
      </c>
      <c r="E5583" s="6">
        <v>13610.93</v>
      </c>
      <c r="F5583" s="46" t="s">
        <v>14</v>
      </c>
      <c r="G5583" s="46" t="s">
        <v>10665</v>
      </c>
      <c r="H5583" s="46" t="s">
        <v>16</v>
      </c>
      <c r="I5583" s="47">
        <v>3472</v>
      </c>
      <c r="J5583" s="51">
        <v>68</v>
      </c>
      <c r="K5583" s="51">
        <v>68072</v>
      </c>
      <c r="L5583" s="3" t="str">
        <f t="shared" si="181"/>
        <v>ΣΠΑΡΑΓΓΙΑ</v>
      </c>
    </row>
    <row r="5584" spans="1:12" ht="24" x14ac:dyDescent="0.25">
      <c r="A5584" s="1" t="str">
        <f t="shared" si="180"/>
        <v>ΣΠΑΡΑΓΓΙΑΣΠΑΡΑΓΓΙΑ VOLTAIRE</v>
      </c>
      <c r="B5584" s="49" t="s">
        <v>10521</v>
      </c>
      <c r="C5584" s="50" t="s">
        <v>10666</v>
      </c>
      <c r="D5584" s="6">
        <v>11290.03</v>
      </c>
      <c r="E5584" s="6">
        <v>13610.93</v>
      </c>
      <c r="F5584" s="46" t="s">
        <v>14</v>
      </c>
      <c r="G5584" s="46" t="s">
        <v>10667</v>
      </c>
      <c r="H5584" s="46" t="s">
        <v>16</v>
      </c>
      <c r="I5584" s="9">
        <v>3460</v>
      </c>
      <c r="J5584" s="51">
        <v>68</v>
      </c>
      <c r="K5584" s="51">
        <v>68073</v>
      </c>
      <c r="L5584" s="3" t="str">
        <f t="shared" si="181"/>
        <v>ΣΠΑΡΑΓΓΙΑ</v>
      </c>
    </row>
    <row r="5585" spans="1:12" x14ac:dyDescent="0.25">
      <c r="A5585" s="1" t="str">
        <f t="shared" si="180"/>
        <v>ΣΠΑΡΑΓΓΙΑΣΠΑΡΑΓΓΙΑ WHITE ANGEL</v>
      </c>
      <c r="B5585" s="43" t="s">
        <v>10521</v>
      </c>
      <c r="C5585" s="44" t="s">
        <v>10668</v>
      </c>
      <c r="D5585" s="6">
        <v>11290.03</v>
      </c>
      <c r="E5585" s="6">
        <v>13610.93</v>
      </c>
      <c r="F5585" s="45" t="s">
        <v>14</v>
      </c>
      <c r="G5585" s="46" t="s">
        <v>10669</v>
      </c>
      <c r="H5585" s="46" t="s">
        <v>27</v>
      </c>
      <c r="I5585" s="47">
        <v>4342</v>
      </c>
      <c r="J5585" s="48">
        <v>68</v>
      </c>
      <c r="K5585" s="48">
        <v>68074</v>
      </c>
      <c r="L5585" s="3" t="str">
        <f t="shared" si="181"/>
        <v>ΣΠΑΡΑΓΓΙΑ</v>
      </c>
    </row>
    <row r="5586" spans="1:12" ht="24" x14ac:dyDescent="0.25">
      <c r="A5586" s="1" t="str">
        <f t="shared" si="180"/>
        <v>ΣΠΑΡΑΓΓΙΑΣΠΑΡΑΓΓΙΑ XENOLIM</v>
      </c>
      <c r="B5586" s="49" t="s">
        <v>10521</v>
      </c>
      <c r="C5586" s="50" t="s">
        <v>10670</v>
      </c>
      <c r="D5586" s="6">
        <v>11290.03</v>
      </c>
      <c r="E5586" s="6">
        <v>13610.93</v>
      </c>
      <c r="F5586" s="46" t="s">
        <v>14</v>
      </c>
      <c r="G5586" s="46" t="s">
        <v>10671</v>
      </c>
      <c r="H5586" s="46" t="s">
        <v>16</v>
      </c>
      <c r="I5586" s="9">
        <v>3530</v>
      </c>
      <c r="J5586" s="51">
        <v>68</v>
      </c>
      <c r="K5586" s="51">
        <v>68075</v>
      </c>
      <c r="L5586" s="3" t="str">
        <f t="shared" si="181"/>
        <v>ΣΠΑΡΑΓΓΙΑ</v>
      </c>
    </row>
    <row r="5587" spans="1:12" ht="24" x14ac:dyDescent="0.25">
      <c r="A5587" s="1" t="str">
        <f t="shared" si="180"/>
        <v>ΣΠΑΡΑΓΓΙΑΣΠΑΡΑΓΓΙΑ ZENO</v>
      </c>
      <c r="B5587" s="49" t="s">
        <v>10521</v>
      </c>
      <c r="C5587" s="50" t="s">
        <v>10672</v>
      </c>
      <c r="D5587" s="6">
        <v>11290.03</v>
      </c>
      <c r="E5587" s="6">
        <v>13610.93</v>
      </c>
      <c r="F5587" s="46" t="s">
        <v>14</v>
      </c>
      <c r="G5587" s="46" t="s">
        <v>10673</v>
      </c>
      <c r="H5587" s="46" t="s">
        <v>16</v>
      </c>
      <c r="I5587" s="47">
        <v>3537</v>
      </c>
      <c r="J5587" s="51">
        <v>68</v>
      </c>
      <c r="K5587" s="51">
        <v>68076</v>
      </c>
      <c r="L5587" s="3" t="str">
        <f t="shared" si="181"/>
        <v>ΣΠΑΡΑΓΓΙΑ</v>
      </c>
    </row>
    <row r="5588" spans="1:12" ht="24" x14ac:dyDescent="0.25">
      <c r="A5588" s="1" t="str">
        <f t="shared" si="180"/>
        <v>ΣΠΑΡΑΓΓΙΑΣΠΑΡΑΓΓΙΑ GROLIM</v>
      </c>
      <c r="B5588" s="49" t="s">
        <v>10521</v>
      </c>
      <c r="C5588" s="50" t="s">
        <v>10674</v>
      </c>
      <c r="D5588" s="6">
        <v>11290.03</v>
      </c>
      <c r="E5588" s="6">
        <v>13610.93</v>
      </c>
      <c r="F5588" s="46" t="s">
        <v>14</v>
      </c>
      <c r="G5588" s="46" t="s">
        <v>10675</v>
      </c>
      <c r="H5588" s="46" t="s">
        <v>16</v>
      </c>
      <c r="I5588" s="9">
        <v>3531</v>
      </c>
      <c r="J5588" s="51">
        <v>68</v>
      </c>
      <c r="K5588" s="51">
        <v>68077</v>
      </c>
      <c r="L5588" s="3" t="str">
        <f t="shared" si="181"/>
        <v>ΣΠΑΡΑΓΓΙΑ</v>
      </c>
    </row>
    <row r="5589" spans="1:12" ht="24" x14ac:dyDescent="0.25">
      <c r="A5589" s="1" t="str">
        <f t="shared" si="180"/>
        <v>ΣΠΑΡΑΓΓΙΑΣΠΑΡΑΓΓΙΑ DARSIANE</v>
      </c>
      <c r="B5589" s="49" t="s">
        <v>10521</v>
      </c>
      <c r="C5589" s="50" t="s">
        <v>10676</v>
      </c>
      <c r="D5589" s="6">
        <v>11290.03</v>
      </c>
      <c r="E5589" s="6">
        <v>13610.93</v>
      </c>
      <c r="F5589" s="46" t="s">
        <v>14</v>
      </c>
      <c r="G5589" s="46" t="s">
        <v>10677</v>
      </c>
      <c r="H5589" s="46" t="s">
        <v>16</v>
      </c>
      <c r="I5589" s="47">
        <v>3533</v>
      </c>
      <c r="J5589" s="51">
        <v>68</v>
      </c>
      <c r="K5589" s="51">
        <v>68078</v>
      </c>
      <c r="L5589" s="3" t="str">
        <f t="shared" si="181"/>
        <v>ΣΠΑΡΑΓΓΙΑ</v>
      </c>
    </row>
    <row r="5590" spans="1:12" ht="24" x14ac:dyDescent="0.25">
      <c r="A5590" s="1" t="str">
        <f t="shared" si="180"/>
        <v>ΣΠΑΡΑΓΓΙΑΣΠΑΡΑΓΓΙΑ SANTENSE</v>
      </c>
      <c r="B5590" s="49" t="s">
        <v>10521</v>
      </c>
      <c r="C5590" s="50" t="s">
        <v>10678</v>
      </c>
      <c r="D5590" s="6">
        <v>11290.03</v>
      </c>
      <c r="E5590" s="6">
        <v>13610.93</v>
      </c>
      <c r="F5590" s="46" t="s">
        <v>14</v>
      </c>
      <c r="G5590" s="46" t="s">
        <v>10679</v>
      </c>
      <c r="H5590" s="46" t="s">
        <v>16</v>
      </c>
      <c r="I5590" s="9">
        <v>3543</v>
      </c>
      <c r="J5590" s="51">
        <v>68</v>
      </c>
      <c r="K5590" s="51">
        <v>68079</v>
      </c>
      <c r="L5590" s="3" t="str">
        <f t="shared" si="181"/>
        <v>ΣΠΑΡΑΓΓΙΑ</v>
      </c>
    </row>
    <row r="5591" spans="1:12" ht="24" x14ac:dyDescent="0.25">
      <c r="A5591" s="1" t="str">
        <f t="shared" si="180"/>
        <v>ΣΠΑΡΑΓΓΙΑΣΠΑΡΑΓΓΙΑ ABRIL - ΜΗ ΠΑΡΑΓΩΓΙΚΑ</v>
      </c>
      <c r="B5591" s="49" t="s">
        <v>10521</v>
      </c>
      <c r="C5591" s="50" t="s">
        <v>10680</v>
      </c>
      <c r="D5591" s="6">
        <v>11290.03</v>
      </c>
      <c r="E5591" s="6">
        <v>13610.93</v>
      </c>
      <c r="F5591" s="46" t="s">
        <v>14</v>
      </c>
      <c r="G5591" s="46" t="s">
        <v>10681</v>
      </c>
      <c r="H5591" s="46" t="s">
        <v>16</v>
      </c>
      <c r="I5591" s="47">
        <v>3541</v>
      </c>
      <c r="J5591" s="51">
        <v>68</v>
      </c>
      <c r="K5591" s="51">
        <v>68080</v>
      </c>
      <c r="L5591" s="3" t="str">
        <f t="shared" si="181"/>
        <v>ΣΠΑΡΑΓΓΙΑ</v>
      </c>
    </row>
    <row r="5592" spans="1:12" x14ac:dyDescent="0.25">
      <c r="A5592" s="1" t="str">
        <f t="shared" si="180"/>
        <v>ΣΠΑΡΑΓΓΙΑΣΠΑΡΑΓΓΙΑ ANDREAS - ΜΗ ΠΑΡΑΓΩΓΙΚΑ</v>
      </c>
      <c r="B5592" s="43" t="s">
        <v>10521</v>
      </c>
      <c r="C5592" s="44" t="s">
        <v>10682</v>
      </c>
      <c r="D5592" s="6">
        <v>11290.03</v>
      </c>
      <c r="E5592" s="6">
        <v>13610.93</v>
      </c>
      <c r="F5592" s="45" t="s">
        <v>14</v>
      </c>
      <c r="G5592" s="46" t="s">
        <v>10683</v>
      </c>
      <c r="H5592" s="46" t="s">
        <v>27</v>
      </c>
      <c r="I5592" s="9">
        <v>4050</v>
      </c>
      <c r="J5592" s="48">
        <v>68</v>
      </c>
      <c r="K5592" s="48">
        <v>68081</v>
      </c>
      <c r="L5592" s="3" t="str">
        <f t="shared" si="181"/>
        <v>ΣΠΑΡΑΓΓΙΑ</v>
      </c>
    </row>
    <row r="5593" spans="1:12" x14ac:dyDescent="0.25">
      <c r="A5593" s="1" t="str">
        <f t="shared" si="180"/>
        <v>ΣΠΑΡΑΓΓΙΑΣΠΑΡΑΓΓΙΑ ANGELA - ΜΗ ΠΑΡΑΓΩΓΙΚΑ</v>
      </c>
      <c r="B5593" s="43" t="s">
        <v>10521</v>
      </c>
      <c r="C5593" s="44" t="s">
        <v>10684</v>
      </c>
      <c r="D5593" s="6">
        <v>11290.03</v>
      </c>
      <c r="E5593" s="6">
        <v>13610.93</v>
      </c>
      <c r="F5593" s="45" t="s">
        <v>14</v>
      </c>
      <c r="G5593" s="46" t="s">
        <v>10685</v>
      </c>
      <c r="H5593" s="46" t="s">
        <v>27</v>
      </c>
      <c r="I5593" s="47">
        <v>4051</v>
      </c>
      <c r="J5593" s="48">
        <v>68</v>
      </c>
      <c r="K5593" s="48">
        <v>68082</v>
      </c>
      <c r="L5593" s="3" t="str">
        <f t="shared" si="181"/>
        <v>ΣΠΑΡΑΓΓΙΑ</v>
      </c>
    </row>
    <row r="5594" spans="1:12" ht="24" x14ac:dyDescent="0.25">
      <c r="A5594" s="1" t="str">
        <f t="shared" si="180"/>
        <v>ΣΠΑΡΑΓΓΙΑΣΠΑΡΑΓΓΙΑ ARGENTEUIL - ΜΗ ΠΑΡΑΓΩΓΙΚΑ</v>
      </c>
      <c r="B5594" s="49" t="s">
        <v>10521</v>
      </c>
      <c r="C5594" s="50" t="s">
        <v>10686</v>
      </c>
      <c r="D5594" s="6">
        <v>11290.03</v>
      </c>
      <c r="E5594" s="6">
        <v>13610.93</v>
      </c>
      <c r="F5594" s="46" t="s">
        <v>14</v>
      </c>
      <c r="G5594" s="46" t="s">
        <v>10687</v>
      </c>
      <c r="H5594" s="46" t="s">
        <v>16</v>
      </c>
      <c r="I5594" s="9">
        <v>3544</v>
      </c>
      <c r="J5594" s="51">
        <v>68</v>
      </c>
      <c r="K5594" s="51">
        <v>68083</v>
      </c>
      <c r="L5594" s="3" t="str">
        <f t="shared" si="181"/>
        <v>ΣΠΑΡΑΓΓΙΑ</v>
      </c>
    </row>
    <row r="5595" spans="1:12" x14ac:dyDescent="0.25">
      <c r="A5595" s="1" t="str">
        <f t="shared" si="180"/>
        <v>ΣΠΑΡΑΓΓΙΑΣΠΑΡΑΓΓΙΑ ARGENTEUIL HATIVE - ΜΗ ΠΑΡΑΓΩΓΙΚΑ</v>
      </c>
      <c r="B5595" s="49" t="s">
        <v>10521</v>
      </c>
      <c r="C5595" s="50" t="s">
        <v>10688</v>
      </c>
      <c r="D5595" s="6">
        <v>11290.03</v>
      </c>
      <c r="E5595" s="6">
        <v>13610.93</v>
      </c>
      <c r="F5595" s="46" t="s">
        <v>14</v>
      </c>
      <c r="G5595" s="46" t="s">
        <v>10689</v>
      </c>
      <c r="H5595" s="46" t="s">
        <v>27</v>
      </c>
      <c r="I5595" s="47">
        <v>3556</v>
      </c>
      <c r="J5595" s="51">
        <v>68</v>
      </c>
      <c r="K5595" s="51">
        <v>68084</v>
      </c>
      <c r="L5595" s="3" t="str">
        <f t="shared" si="181"/>
        <v>ΣΠΑΡΑΓΓΙΑ</v>
      </c>
    </row>
    <row r="5596" spans="1:12" ht="24" x14ac:dyDescent="0.25">
      <c r="A5596" s="1" t="str">
        <f t="shared" si="180"/>
        <v>ΣΠΑΡΑΓΓΙΑΣΠΑΡΑΓΓΙΑ ARIANE - ΜΗ ΠΑΡΑΓΩΓΙΚΑ</v>
      </c>
      <c r="B5596" s="49" t="s">
        <v>10521</v>
      </c>
      <c r="C5596" s="50" t="s">
        <v>10690</v>
      </c>
      <c r="D5596" s="6">
        <v>11290.03</v>
      </c>
      <c r="E5596" s="6">
        <v>13610.93</v>
      </c>
      <c r="F5596" s="46" t="s">
        <v>14</v>
      </c>
      <c r="G5596" s="46" t="s">
        <v>10691</v>
      </c>
      <c r="H5596" s="46" t="s">
        <v>16</v>
      </c>
      <c r="I5596" s="9">
        <v>3554</v>
      </c>
      <c r="J5596" s="51">
        <v>68</v>
      </c>
      <c r="K5596" s="51">
        <v>68085</v>
      </c>
      <c r="L5596" s="3" t="str">
        <f t="shared" si="181"/>
        <v>ΣΠΑΡΑΓΓΙΑ</v>
      </c>
    </row>
    <row r="5597" spans="1:12" ht="24" x14ac:dyDescent="0.25">
      <c r="A5597" s="1" t="str">
        <f t="shared" si="180"/>
        <v>ΣΠΑΡΑΓΓΙΑΣΠΑΡΑΓΓΙΑ ATLAS - ΜΗ ΠΑΡΑΓΩΓΙΚΑ</v>
      </c>
      <c r="B5597" s="49" t="s">
        <v>10521</v>
      </c>
      <c r="C5597" s="50" t="s">
        <v>10692</v>
      </c>
      <c r="D5597" s="6">
        <v>11290.03</v>
      </c>
      <c r="E5597" s="6">
        <v>13610.93</v>
      </c>
      <c r="F5597" s="46" t="s">
        <v>14</v>
      </c>
      <c r="G5597" s="46" t="s">
        <v>10693</v>
      </c>
      <c r="H5597" s="46" t="s">
        <v>16</v>
      </c>
      <c r="I5597" s="47">
        <v>3552</v>
      </c>
      <c r="J5597" s="51">
        <v>68</v>
      </c>
      <c r="K5597" s="51">
        <v>68086</v>
      </c>
      <c r="L5597" s="3" t="str">
        <f t="shared" si="181"/>
        <v>ΣΠΑΡΑΓΓΙΑ</v>
      </c>
    </row>
    <row r="5598" spans="1:12" ht="24" x14ac:dyDescent="0.25">
      <c r="A5598" s="1" t="str">
        <f t="shared" si="180"/>
        <v>ΣΠΑΡΑΓΓΙΑΣΠΑΡΑΓΓΙΑ ATTICUS - ΜΗ ΠΑΡΑΓΩΓΙΚΑ</v>
      </c>
      <c r="B5598" s="49" t="s">
        <v>10521</v>
      </c>
      <c r="C5598" s="50" t="s">
        <v>10694</v>
      </c>
      <c r="D5598" s="6">
        <v>11290.03</v>
      </c>
      <c r="E5598" s="6">
        <v>13610.93</v>
      </c>
      <c r="F5598" s="46" t="s">
        <v>14</v>
      </c>
      <c r="G5598" s="46" t="s">
        <v>10695</v>
      </c>
      <c r="H5598" s="46" t="s">
        <v>16</v>
      </c>
      <c r="I5598" s="9">
        <v>3545</v>
      </c>
      <c r="J5598" s="51">
        <v>68</v>
      </c>
      <c r="K5598" s="51">
        <v>68087</v>
      </c>
      <c r="L5598" s="3" t="str">
        <f t="shared" si="181"/>
        <v>ΣΠΑΡΑΓΓΙΑ</v>
      </c>
    </row>
    <row r="5599" spans="1:12" ht="24" x14ac:dyDescent="0.25">
      <c r="A5599" s="1" t="str">
        <f t="shared" si="180"/>
        <v>ΣΠΑΡΑΓΓΙΑΣΠΑΡΑΓΓΙΑ AVALIM - ΜΗ ΠΑΡΑΓΩΓΙΚΑ</v>
      </c>
      <c r="B5599" s="49" t="s">
        <v>10521</v>
      </c>
      <c r="C5599" s="50" t="s">
        <v>10696</v>
      </c>
      <c r="D5599" s="6">
        <v>11290.03</v>
      </c>
      <c r="E5599" s="6">
        <v>13610.93</v>
      </c>
      <c r="F5599" s="46" t="s">
        <v>14</v>
      </c>
      <c r="G5599" s="46" t="s">
        <v>10697</v>
      </c>
      <c r="H5599" s="46" t="s">
        <v>16</v>
      </c>
      <c r="I5599" s="47">
        <v>3550</v>
      </c>
      <c r="J5599" s="51">
        <v>68</v>
      </c>
      <c r="K5599" s="51">
        <v>68088</v>
      </c>
      <c r="L5599" s="3" t="str">
        <f t="shared" si="181"/>
        <v>ΣΠΑΡΑΓΓΙΑ</v>
      </c>
    </row>
    <row r="5600" spans="1:12" ht="24" x14ac:dyDescent="0.25">
      <c r="A5600" s="1" t="str">
        <f t="shared" si="180"/>
        <v>ΣΠΑΡΑΓΓΙΑΣΠΑΡΑΓΓΙΑ BACCHUS - ΜΗ ΠΑΡΑΓΩΓΙΚΑ</v>
      </c>
      <c r="B5600" s="49" t="s">
        <v>10521</v>
      </c>
      <c r="C5600" s="50" t="s">
        <v>10698</v>
      </c>
      <c r="D5600" s="6">
        <v>11290.03</v>
      </c>
      <c r="E5600" s="6">
        <v>13610.93</v>
      </c>
      <c r="F5600" s="46" t="s">
        <v>14</v>
      </c>
      <c r="G5600" s="46" t="s">
        <v>10699</v>
      </c>
      <c r="H5600" s="46" t="s">
        <v>16</v>
      </c>
      <c r="I5600" s="9">
        <v>3557</v>
      </c>
      <c r="J5600" s="51">
        <v>68</v>
      </c>
      <c r="K5600" s="51">
        <v>68089</v>
      </c>
      <c r="L5600" s="3" t="str">
        <f t="shared" si="181"/>
        <v>ΣΠΑΡΑΓΓΙΑ</v>
      </c>
    </row>
    <row r="5601" spans="1:12" ht="24" x14ac:dyDescent="0.25">
      <c r="A5601" s="1" t="str">
        <f t="shared" si="180"/>
        <v>ΣΠΑΡΑΓΓΙΑΣΠΑΡΑΓΓΙΑ BACKLIM - ΜΗ ΠΑΡΑΓΩΓΙΚΑ</v>
      </c>
      <c r="B5601" s="49" t="s">
        <v>10521</v>
      </c>
      <c r="C5601" s="50" t="s">
        <v>10700</v>
      </c>
      <c r="D5601" s="6">
        <v>11290.03</v>
      </c>
      <c r="E5601" s="6">
        <v>13610.93</v>
      </c>
      <c r="F5601" s="46" t="s">
        <v>14</v>
      </c>
      <c r="G5601" s="46" t="s">
        <v>10701</v>
      </c>
      <c r="H5601" s="46" t="s">
        <v>16</v>
      </c>
      <c r="I5601" s="47">
        <v>3549</v>
      </c>
      <c r="J5601" s="51">
        <v>68</v>
      </c>
      <c r="K5601" s="51">
        <v>68090</v>
      </c>
      <c r="L5601" s="3" t="str">
        <f t="shared" si="181"/>
        <v>ΣΠΑΡΑΓΓΙΑ</v>
      </c>
    </row>
    <row r="5602" spans="1:12" ht="24" x14ac:dyDescent="0.25">
      <c r="A5602" s="1" t="str">
        <f t="shared" si="180"/>
        <v>ΣΠΑΡΑΓΓΙΑΣΠΑΡΑΓΓΙΑ BLANCO DE NAVARRA - ΜΗ ΠΑΡΑΓΩΓΙΚΑ</v>
      </c>
      <c r="B5602" s="49" t="s">
        <v>10521</v>
      </c>
      <c r="C5602" s="50" t="s">
        <v>10702</v>
      </c>
      <c r="D5602" s="6">
        <v>11290.03</v>
      </c>
      <c r="E5602" s="6">
        <v>13610.93</v>
      </c>
      <c r="F5602" s="46" t="s">
        <v>14</v>
      </c>
      <c r="G5602" s="46" t="s">
        <v>10703</v>
      </c>
      <c r="H5602" s="46" t="s">
        <v>16</v>
      </c>
      <c r="I5602" s="9">
        <v>3548</v>
      </c>
      <c r="J5602" s="51">
        <v>68</v>
      </c>
      <c r="K5602" s="51">
        <v>68091</v>
      </c>
      <c r="L5602" s="3" t="str">
        <f t="shared" si="181"/>
        <v>ΣΠΑΡΑΓΓΙΑ</v>
      </c>
    </row>
    <row r="5603" spans="1:12" ht="24" x14ac:dyDescent="0.25">
      <c r="A5603" s="1" t="str">
        <f t="shared" si="180"/>
        <v>ΣΠΑΡΑΓΓΙΑΣΠΑΡΑΓΓΙΑ BURGUNDINE - ΜΗ ΠΑΡΑΓΩΓΙΚΑ</v>
      </c>
      <c r="B5603" s="49" t="s">
        <v>10521</v>
      </c>
      <c r="C5603" s="50" t="s">
        <v>10704</v>
      </c>
      <c r="D5603" s="6">
        <v>11290.03</v>
      </c>
      <c r="E5603" s="6">
        <v>13610.93</v>
      </c>
      <c r="F5603" s="46" t="s">
        <v>14</v>
      </c>
      <c r="G5603" s="46" t="s">
        <v>10705</v>
      </c>
      <c r="H5603" s="46" t="s">
        <v>16</v>
      </c>
      <c r="I5603" s="47">
        <v>3547</v>
      </c>
      <c r="J5603" s="51">
        <v>68</v>
      </c>
      <c r="K5603" s="51">
        <v>68092</v>
      </c>
      <c r="L5603" s="3" t="str">
        <f t="shared" si="181"/>
        <v>ΣΠΑΡΑΓΓΙΑ</v>
      </c>
    </row>
    <row r="5604" spans="1:12" ht="24" x14ac:dyDescent="0.25">
      <c r="A5604" s="1" t="str">
        <f t="shared" si="180"/>
        <v>ΣΠΑΡΑΓΓΙΑΣΠΑΡΑΓΓΙΑ CIPRES - ΜΗ ΠΑΡΑΓΩΓΙΚΑ</v>
      </c>
      <c r="B5604" s="49" t="s">
        <v>10521</v>
      </c>
      <c r="C5604" s="50" t="s">
        <v>10706</v>
      </c>
      <c r="D5604" s="6">
        <v>11290.03</v>
      </c>
      <c r="E5604" s="6">
        <v>13610.93</v>
      </c>
      <c r="F5604" s="46" t="s">
        <v>14</v>
      </c>
      <c r="G5604" s="46" t="s">
        <v>10707</v>
      </c>
      <c r="H5604" s="46" t="s">
        <v>16</v>
      </c>
      <c r="I5604" s="9">
        <v>3546</v>
      </c>
      <c r="J5604" s="51">
        <v>68</v>
      </c>
      <c r="K5604" s="51">
        <v>68093</v>
      </c>
      <c r="L5604" s="3" t="str">
        <f t="shared" si="181"/>
        <v>ΣΠΑΡΑΓΓΙΑ</v>
      </c>
    </row>
    <row r="5605" spans="1:12" ht="24" x14ac:dyDescent="0.25">
      <c r="A5605" s="1" t="str">
        <f t="shared" si="180"/>
        <v>ΣΠΑΡΑΓΓΙΑΣΠΑΡΑΓΓΙΑ CUMULUS - ΜΗ ΠΑΡΑΓΩΓΙΚΑ</v>
      </c>
      <c r="B5605" s="49" t="s">
        <v>10521</v>
      </c>
      <c r="C5605" s="50" t="s">
        <v>10708</v>
      </c>
      <c r="D5605" s="6">
        <v>11290.03</v>
      </c>
      <c r="E5605" s="6">
        <v>13610.93</v>
      </c>
      <c r="F5605" s="46" t="s">
        <v>14</v>
      </c>
      <c r="G5605" s="46" t="s">
        <v>10709</v>
      </c>
      <c r="H5605" s="46" t="s">
        <v>16</v>
      </c>
      <c r="I5605" s="47">
        <v>3538</v>
      </c>
      <c r="J5605" s="51">
        <v>68</v>
      </c>
      <c r="K5605" s="51">
        <v>68094</v>
      </c>
      <c r="L5605" s="3" t="str">
        <f t="shared" si="181"/>
        <v>ΣΠΑΡΑΓΓΙΑ</v>
      </c>
    </row>
    <row r="5606" spans="1:12" ht="24" x14ac:dyDescent="0.25">
      <c r="A5606" s="1" t="str">
        <f t="shared" si="180"/>
        <v>ΣΠΑΡΑΓΓΙΑΣΠΑΡΑΓΓΙΑ CYGNUS - ΜΗ ΠΑΡΑΓΩΓΙΚΑ</v>
      </c>
      <c r="B5606" s="49" t="s">
        <v>10521</v>
      </c>
      <c r="C5606" s="50" t="s">
        <v>10710</v>
      </c>
      <c r="D5606" s="6">
        <v>11290.03</v>
      </c>
      <c r="E5606" s="6">
        <v>13610.93</v>
      </c>
      <c r="F5606" s="46" t="s">
        <v>14</v>
      </c>
      <c r="G5606" s="46" t="s">
        <v>10711</v>
      </c>
      <c r="H5606" s="46" t="s">
        <v>16</v>
      </c>
      <c r="I5606" s="9">
        <v>3515</v>
      </c>
      <c r="J5606" s="51">
        <v>68</v>
      </c>
      <c r="K5606" s="51">
        <v>68095</v>
      </c>
      <c r="L5606" s="3" t="str">
        <f t="shared" si="181"/>
        <v>ΣΠΑΡΑΓΓΙΑ</v>
      </c>
    </row>
    <row r="5607" spans="1:12" ht="24" x14ac:dyDescent="0.25">
      <c r="A5607" s="1" t="str">
        <f t="shared" si="180"/>
        <v>ΣΠΑΡΑΓΓΙΑΣΠΑΡΑΓΓΙΑ BARBELLA - ΜΗ ΠΑΡΑΓΩΓΙΚΑ</v>
      </c>
      <c r="B5607" s="49" t="s">
        <v>10521</v>
      </c>
      <c r="C5607" s="50" t="s">
        <v>10712</v>
      </c>
      <c r="D5607" s="6">
        <v>11290.03</v>
      </c>
      <c r="E5607" s="6">
        <v>13610.93</v>
      </c>
      <c r="F5607" s="46" t="s">
        <v>14</v>
      </c>
      <c r="G5607" s="46" t="s">
        <v>10713</v>
      </c>
      <c r="H5607" s="46" t="s">
        <v>16</v>
      </c>
      <c r="I5607" s="47">
        <v>3504</v>
      </c>
      <c r="J5607" s="51">
        <v>68</v>
      </c>
      <c r="K5607" s="51">
        <v>68096</v>
      </c>
      <c r="L5607" s="3" t="str">
        <f t="shared" si="181"/>
        <v>ΣΠΑΡΑΓΓΙΑ</v>
      </c>
    </row>
    <row r="5608" spans="1:12" ht="24" x14ac:dyDescent="0.25">
      <c r="A5608" s="1" t="str">
        <f t="shared" si="180"/>
        <v>ΣΠΑΡΑΓΓΙΑΣΠΑΡΑΓΓΙΑ DARIANA - ΜΗ ΠΑΡΑΓΩΓΙΚΑ</v>
      </c>
      <c r="B5608" s="49" t="s">
        <v>10521</v>
      </c>
      <c r="C5608" s="50" t="s">
        <v>10714</v>
      </c>
      <c r="D5608" s="6">
        <v>11290.03</v>
      </c>
      <c r="E5608" s="6">
        <v>13610.93</v>
      </c>
      <c r="F5608" s="46" t="s">
        <v>14</v>
      </c>
      <c r="G5608" s="46" t="s">
        <v>10715</v>
      </c>
      <c r="H5608" s="46" t="s">
        <v>16</v>
      </c>
      <c r="I5608" s="9">
        <v>3505</v>
      </c>
      <c r="J5608" s="51">
        <v>68</v>
      </c>
      <c r="K5608" s="51">
        <v>68097</v>
      </c>
      <c r="L5608" s="3" t="str">
        <f t="shared" si="181"/>
        <v>ΣΠΑΡΑΓΓΙΑ</v>
      </c>
    </row>
    <row r="5609" spans="1:12" ht="24" x14ac:dyDescent="0.25">
      <c r="A5609" s="1" t="str">
        <f t="shared" si="180"/>
        <v>ΣΠΑΡΑΓΓΙΑΣΠΑΡΑΓΓΙΑ DARLISE - ΜΗ ΠΑΡΑΓΩΓΙΚΑ</v>
      </c>
      <c r="B5609" s="49" t="s">
        <v>10521</v>
      </c>
      <c r="C5609" s="50" t="s">
        <v>10716</v>
      </c>
      <c r="D5609" s="6">
        <v>11290.03</v>
      </c>
      <c r="E5609" s="6">
        <v>13610.93</v>
      </c>
      <c r="F5609" s="46" t="s">
        <v>14</v>
      </c>
      <c r="G5609" s="46" t="s">
        <v>10717</v>
      </c>
      <c r="H5609" s="46" t="s">
        <v>16</v>
      </c>
      <c r="I5609" s="47">
        <v>3506</v>
      </c>
      <c r="J5609" s="51">
        <v>68</v>
      </c>
      <c r="K5609" s="51">
        <v>68098</v>
      </c>
      <c r="L5609" s="3" t="str">
        <f t="shared" si="181"/>
        <v>ΣΠΑΡΑΓΓΙΑ</v>
      </c>
    </row>
    <row r="5610" spans="1:12" ht="24" x14ac:dyDescent="0.25">
      <c r="A5610" s="1" t="str">
        <f t="shared" si="180"/>
        <v>ΣΠΑΡΑΓΓΙΑΣΠΑΡΑΓΓΙΑ DARZILA - ΜΗ ΠΑΡΑΓΩΓΙΚΑ</v>
      </c>
      <c r="B5610" s="49" t="s">
        <v>10521</v>
      </c>
      <c r="C5610" s="50" t="s">
        <v>10718</v>
      </c>
      <c r="D5610" s="6">
        <v>11290.03</v>
      </c>
      <c r="E5610" s="6">
        <v>13610.93</v>
      </c>
      <c r="F5610" s="46" t="s">
        <v>14</v>
      </c>
      <c r="G5610" s="46" t="s">
        <v>10719</v>
      </c>
      <c r="H5610" s="46" t="s">
        <v>16</v>
      </c>
      <c r="I5610" s="9">
        <v>3507</v>
      </c>
      <c r="J5610" s="51">
        <v>68</v>
      </c>
      <c r="K5610" s="51">
        <v>68099</v>
      </c>
      <c r="L5610" s="3" t="str">
        <f t="shared" si="181"/>
        <v>ΣΠΑΡΑΓΓΙΑ</v>
      </c>
    </row>
    <row r="5611" spans="1:12" ht="24" x14ac:dyDescent="0.25">
      <c r="A5611" s="1" t="str">
        <f t="shared" si="180"/>
        <v>ΣΠΑΡΑΓΓΙΑΣΠΑΡΑΓΓΙΑ DEPAOLI - ΜΗ ΠΑΡΑΓΩΓΙΚΑ</v>
      </c>
      <c r="B5611" s="49" t="s">
        <v>10521</v>
      </c>
      <c r="C5611" s="50" t="s">
        <v>10720</v>
      </c>
      <c r="D5611" s="6">
        <v>11290.03</v>
      </c>
      <c r="E5611" s="6">
        <v>13610.93</v>
      </c>
      <c r="F5611" s="46" t="s">
        <v>14</v>
      </c>
      <c r="G5611" s="46" t="s">
        <v>10721</v>
      </c>
      <c r="H5611" s="46" t="s">
        <v>16</v>
      </c>
      <c r="I5611" s="47">
        <v>3508</v>
      </c>
      <c r="J5611" s="51">
        <v>68</v>
      </c>
      <c r="K5611" s="51">
        <v>68100</v>
      </c>
      <c r="L5611" s="3" t="str">
        <f t="shared" si="181"/>
        <v>ΣΠΑΡΑΓΓΙΑ</v>
      </c>
    </row>
    <row r="5612" spans="1:12" ht="24" x14ac:dyDescent="0.25">
      <c r="A5612" s="1" t="str">
        <f t="shared" si="180"/>
        <v>ΣΠΑΡΑΓΓΙΑΣΠΑΡΑΓΓΙΑ EMMA - ΜΗ ΠΑΡΑΓΩΓΙΚΑ</v>
      </c>
      <c r="B5612" s="49" t="s">
        <v>10521</v>
      </c>
      <c r="C5612" s="50" t="s">
        <v>10722</v>
      </c>
      <c r="D5612" s="6">
        <v>11290.03</v>
      </c>
      <c r="E5612" s="6">
        <v>13610.93</v>
      </c>
      <c r="F5612" s="46" t="s">
        <v>14</v>
      </c>
      <c r="G5612" s="46" t="s">
        <v>10723</v>
      </c>
      <c r="H5612" s="46" t="s">
        <v>16</v>
      </c>
      <c r="I5612" s="9">
        <v>3509</v>
      </c>
      <c r="J5612" s="51">
        <v>68</v>
      </c>
      <c r="K5612" s="51">
        <v>68101</v>
      </c>
      <c r="L5612" s="3" t="str">
        <f t="shared" si="181"/>
        <v>ΣΠΑΡΑΓΓΙΑ</v>
      </c>
    </row>
    <row r="5613" spans="1:12" x14ac:dyDescent="0.25">
      <c r="A5613" s="1" t="str">
        <f t="shared" si="180"/>
        <v>ΣΠΑΡΑΓΓΙΑΣΠΑΡΑΓΓΙΑ EPOSS - ΜΗ ΠΑΡΑΓΩΓΙΚΑ</v>
      </c>
      <c r="B5613" s="49" t="s">
        <v>10521</v>
      </c>
      <c r="C5613" s="50" t="s">
        <v>10724</v>
      </c>
      <c r="D5613" s="6">
        <v>11290.03</v>
      </c>
      <c r="E5613" s="6">
        <v>13610.93</v>
      </c>
      <c r="F5613" s="46" t="s">
        <v>14</v>
      </c>
      <c r="G5613" s="46" t="s">
        <v>10725</v>
      </c>
      <c r="H5613" s="46" t="s">
        <v>27</v>
      </c>
      <c r="I5613" s="47">
        <v>3510</v>
      </c>
      <c r="J5613" s="51">
        <v>68</v>
      </c>
      <c r="K5613" s="51">
        <v>68102</v>
      </c>
      <c r="L5613" s="3" t="str">
        <f t="shared" si="181"/>
        <v>ΣΠΑΡΑΓΓΙΑ</v>
      </c>
    </row>
    <row r="5614" spans="1:12" ht="24" x14ac:dyDescent="0.25">
      <c r="A5614" s="1" t="str">
        <f t="shared" si="180"/>
        <v>ΣΠΑΡΑΓΓΙΑΣΠΑΡΑΓΓΙΑ ERCOLE - ΜΗ ΠΑΡΑΓΩΓΙΚΑ</v>
      </c>
      <c r="B5614" s="49" t="s">
        <v>10521</v>
      </c>
      <c r="C5614" s="50" t="s">
        <v>10726</v>
      </c>
      <c r="D5614" s="6">
        <v>11290.03</v>
      </c>
      <c r="E5614" s="6">
        <v>13610.93</v>
      </c>
      <c r="F5614" s="46" t="s">
        <v>14</v>
      </c>
      <c r="G5614" s="46" t="s">
        <v>10727</v>
      </c>
      <c r="H5614" s="46" t="s">
        <v>16</v>
      </c>
      <c r="I5614" s="9">
        <v>3517</v>
      </c>
      <c r="J5614" s="51">
        <v>68</v>
      </c>
      <c r="K5614" s="51">
        <v>68103</v>
      </c>
      <c r="L5614" s="3" t="str">
        <f t="shared" si="181"/>
        <v>ΣΠΑΡΑΓΓΙΑ</v>
      </c>
    </row>
    <row r="5615" spans="1:12" ht="24" x14ac:dyDescent="0.25">
      <c r="A5615" s="1" t="str">
        <f t="shared" si="180"/>
        <v>ΣΠΑΡΑΓΓΙΑΣΠΑΡΑΓΓΙΑ FORTEMS - ΜΗ ΠΑΡΑΓΩΓΙΚΑ</v>
      </c>
      <c r="B5615" s="49" t="s">
        <v>10521</v>
      </c>
      <c r="C5615" s="50" t="s">
        <v>10728</v>
      </c>
      <c r="D5615" s="6">
        <v>11290.03</v>
      </c>
      <c r="E5615" s="6">
        <v>13610.93</v>
      </c>
      <c r="F5615" s="46" t="s">
        <v>14</v>
      </c>
      <c r="G5615" s="46" t="s">
        <v>10729</v>
      </c>
      <c r="H5615" s="46" t="s">
        <v>16</v>
      </c>
      <c r="I5615" s="47">
        <v>3512</v>
      </c>
      <c r="J5615" s="51">
        <v>68</v>
      </c>
      <c r="K5615" s="51">
        <v>68104</v>
      </c>
      <c r="L5615" s="3" t="str">
        <f t="shared" si="181"/>
        <v>ΣΠΑΡΑΓΓΙΑ</v>
      </c>
    </row>
    <row r="5616" spans="1:12" ht="24" x14ac:dyDescent="0.25">
      <c r="A5616" s="1" t="str">
        <f t="shared" si="180"/>
        <v>ΣΠΑΡΑΓΓΙΑΣΠΑΡΑΓΓΙΑ FRANCO - ΜΗ ΠΑΡΑΓΩΓΙΚΑ</v>
      </c>
      <c r="B5616" s="49" t="s">
        <v>10521</v>
      </c>
      <c r="C5616" s="50" t="s">
        <v>10730</v>
      </c>
      <c r="D5616" s="6">
        <v>11290.03</v>
      </c>
      <c r="E5616" s="6">
        <v>13610.93</v>
      </c>
      <c r="F5616" s="46" t="s">
        <v>14</v>
      </c>
      <c r="G5616" s="46" t="s">
        <v>10731</v>
      </c>
      <c r="H5616" s="46" t="s">
        <v>16</v>
      </c>
      <c r="I5616" s="9">
        <v>3536</v>
      </c>
      <c r="J5616" s="51">
        <v>68</v>
      </c>
      <c r="K5616" s="51">
        <v>68105</v>
      </c>
      <c r="L5616" s="3" t="str">
        <f t="shared" si="181"/>
        <v>ΣΠΑΡΑΓΓΙΑ</v>
      </c>
    </row>
    <row r="5617" spans="1:12" ht="24" x14ac:dyDescent="0.25">
      <c r="A5617" s="1" t="str">
        <f t="shared" si="180"/>
        <v>ΣΠΑΡΑΓΓΙΑΣΠΑΡΑΓΓΙΑ GIJNLIM - ΜΗ ΠΑΡΑΓΩΓΙΚΑ</v>
      </c>
      <c r="B5617" s="49" t="s">
        <v>10521</v>
      </c>
      <c r="C5617" s="50" t="s">
        <v>10732</v>
      </c>
      <c r="D5617" s="6">
        <v>11290.03</v>
      </c>
      <c r="E5617" s="6">
        <v>13610.93</v>
      </c>
      <c r="F5617" s="46" t="s">
        <v>14</v>
      </c>
      <c r="G5617" s="46" t="s">
        <v>10733</v>
      </c>
      <c r="H5617" s="46" t="s">
        <v>16</v>
      </c>
      <c r="I5617" s="47">
        <v>3513</v>
      </c>
      <c r="J5617" s="51">
        <v>68</v>
      </c>
      <c r="K5617" s="51">
        <v>68106</v>
      </c>
      <c r="L5617" s="3" t="str">
        <f t="shared" si="181"/>
        <v>ΣΠΑΡΑΓΓΙΑ</v>
      </c>
    </row>
    <row r="5618" spans="1:12" x14ac:dyDescent="0.25">
      <c r="A5618" s="1" t="str">
        <f t="shared" si="180"/>
        <v>ΣΠΑΡΑΓΓΙΑΣΠΑΡΑΓΓΙΑ GTIOVE - ΜΗ ΠΑΡΑΓΩΓΙΚΑ</v>
      </c>
      <c r="B5618" s="43" t="s">
        <v>10521</v>
      </c>
      <c r="C5618" s="44" t="s">
        <v>10734</v>
      </c>
      <c r="D5618" s="6">
        <v>11290.03</v>
      </c>
      <c r="E5618" s="6">
        <v>13610.93</v>
      </c>
      <c r="F5618" s="45" t="s">
        <v>14</v>
      </c>
      <c r="G5618" s="46" t="s">
        <v>10735</v>
      </c>
      <c r="H5618" s="46" t="s">
        <v>27</v>
      </c>
      <c r="I5618" s="9">
        <v>4052</v>
      </c>
      <c r="J5618" s="48">
        <v>68</v>
      </c>
      <c r="K5618" s="48">
        <v>68107</v>
      </c>
      <c r="L5618" s="3" t="str">
        <f t="shared" si="181"/>
        <v>ΣΠΑΡΑΓΓΙΑ</v>
      </c>
    </row>
    <row r="5619" spans="1:12" ht="24" x14ac:dyDescent="0.25">
      <c r="A5619" s="1" t="str">
        <f t="shared" si="180"/>
        <v>ΣΠΑΡΑΓΓΙΑΣΠΑΡΑΓΓΙΑ GRANDE - ΜΗ ΠΑΡΑΓΩΓΙΚΑ</v>
      </c>
      <c r="B5619" s="49" t="s">
        <v>10521</v>
      </c>
      <c r="C5619" s="50" t="s">
        <v>10736</v>
      </c>
      <c r="D5619" s="6">
        <v>11290.03</v>
      </c>
      <c r="E5619" s="6">
        <v>13610.93</v>
      </c>
      <c r="F5619" s="46" t="s">
        <v>14</v>
      </c>
      <c r="G5619" s="46" t="s">
        <v>10737</v>
      </c>
      <c r="H5619" s="46" t="s">
        <v>16</v>
      </c>
      <c r="I5619" s="47">
        <v>3514</v>
      </c>
      <c r="J5619" s="51">
        <v>68</v>
      </c>
      <c r="K5619" s="51">
        <v>68108</v>
      </c>
      <c r="L5619" s="3" t="str">
        <f t="shared" si="181"/>
        <v>ΣΠΑΡΑΓΓΙΑ</v>
      </c>
    </row>
    <row r="5620" spans="1:12" x14ac:dyDescent="0.25">
      <c r="A5620" s="1" t="str">
        <f t="shared" si="180"/>
        <v>ΣΠΑΡΑΓΓΙΑΣΠΑΡΑΓΓΙΑ HANNIBAL - ΜΗ ΠΑΡΑΓΩΓΙΚΑ</v>
      </c>
      <c r="B5620" s="43" t="s">
        <v>10521</v>
      </c>
      <c r="C5620" s="44" t="s">
        <v>10738</v>
      </c>
      <c r="D5620" s="6">
        <v>11290.03</v>
      </c>
      <c r="E5620" s="6">
        <v>13610.93</v>
      </c>
      <c r="F5620" s="45" t="s">
        <v>14</v>
      </c>
      <c r="G5620" s="46" t="s">
        <v>10739</v>
      </c>
      <c r="H5620" s="46" t="s">
        <v>27</v>
      </c>
      <c r="I5620" s="9">
        <v>4053</v>
      </c>
      <c r="J5620" s="48">
        <v>68</v>
      </c>
      <c r="K5620" s="48">
        <v>68109</v>
      </c>
      <c r="L5620" s="3" t="str">
        <f t="shared" si="181"/>
        <v>ΣΠΑΡΑΓΓΙΑ</v>
      </c>
    </row>
    <row r="5621" spans="1:12" ht="24" x14ac:dyDescent="0.25">
      <c r="A5621" s="1" t="str">
        <f t="shared" si="180"/>
        <v>ΣΠΑΡΑΓΓΙΑΣΠΑΡΑΓΓΙΑ HERKOLIM - ΜΗ ΠΑΡΑΓΩΓΙΚΑ</v>
      </c>
      <c r="B5621" s="49" t="s">
        <v>10521</v>
      </c>
      <c r="C5621" s="50" t="s">
        <v>10740</v>
      </c>
      <c r="D5621" s="6">
        <v>11290.03</v>
      </c>
      <c r="E5621" s="6">
        <v>13610.93</v>
      </c>
      <c r="F5621" s="46" t="s">
        <v>14</v>
      </c>
      <c r="G5621" s="46" t="s">
        <v>10741</v>
      </c>
      <c r="H5621" s="46" t="s">
        <v>16</v>
      </c>
      <c r="I5621" s="47">
        <v>3529</v>
      </c>
      <c r="J5621" s="51">
        <v>68</v>
      </c>
      <c r="K5621" s="51">
        <v>68110</v>
      </c>
      <c r="L5621" s="3" t="str">
        <f t="shared" si="181"/>
        <v>ΣΠΑΡΑΓΓΙΑ</v>
      </c>
    </row>
    <row r="5622" spans="1:12" x14ac:dyDescent="0.25">
      <c r="A5622" s="1" t="str">
        <f t="shared" si="180"/>
        <v>ΣΠΑΡΑΓΓΙΑΣΠΑΡΑΓΓΙΑ HORLIM - ΜΗ ΠΑΡΑΓΩΓΙΚΑ</v>
      </c>
      <c r="B5622" s="43" t="s">
        <v>10521</v>
      </c>
      <c r="C5622" s="44" t="s">
        <v>10742</v>
      </c>
      <c r="D5622" s="6">
        <v>11290.03</v>
      </c>
      <c r="E5622" s="6">
        <v>13610.93</v>
      </c>
      <c r="F5622" s="45" t="s">
        <v>14</v>
      </c>
      <c r="G5622" s="46" t="s">
        <v>10743</v>
      </c>
      <c r="H5622" s="46" t="s">
        <v>27</v>
      </c>
      <c r="I5622" s="9">
        <v>4054</v>
      </c>
      <c r="J5622" s="48">
        <v>68</v>
      </c>
      <c r="K5622" s="48">
        <v>68111</v>
      </c>
      <c r="L5622" s="3" t="str">
        <f t="shared" si="181"/>
        <v>ΣΠΑΡΑΓΓΙΑ</v>
      </c>
    </row>
    <row r="5623" spans="1:12" ht="24" x14ac:dyDescent="0.25">
      <c r="A5623" s="1" t="str">
        <f t="shared" si="180"/>
        <v>ΣΠΑΡΑΓΓΙΑΣΠΑΡΑΓΓΙΑ HT 801 - ΜΗ ΠΑΡΑΓΩΓΙΚΑ</v>
      </c>
      <c r="B5623" s="49" t="s">
        <v>10521</v>
      </c>
      <c r="C5623" s="50" t="s">
        <v>10744</v>
      </c>
      <c r="D5623" s="6">
        <v>11290.03</v>
      </c>
      <c r="E5623" s="6">
        <v>13610.93</v>
      </c>
      <c r="F5623" s="46" t="s">
        <v>14</v>
      </c>
      <c r="G5623" s="46" t="s">
        <v>10745</v>
      </c>
      <c r="H5623" s="46" t="s">
        <v>16</v>
      </c>
      <c r="I5623" s="47">
        <v>3516</v>
      </c>
      <c r="J5623" s="51">
        <v>68</v>
      </c>
      <c r="K5623" s="51">
        <v>68112</v>
      </c>
      <c r="L5623" s="3" t="str">
        <f t="shared" si="181"/>
        <v>ΣΠΑΡΑΓΓΙΑ</v>
      </c>
    </row>
    <row r="5624" spans="1:12" ht="24" x14ac:dyDescent="0.25">
      <c r="A5624" s="1" t="str">
        <f t="shared" si="180"/>
        <v>ΣΠΑΡΑΓΓΙΑΣΠΑΡΑΓΓΙΑ ITALO - ΜΗ ΠΑΡΑΓΩΓΙΚΑ</v>
      </c>
      <c r="B5624" s="49" t="s">
        <v>10521</v>
      </c>
      <c r="C5624" s="50" t="s">
        <v>10746</v>
      </c>
      <c r="D5624" s="6">
        <v>11290.03</v>
      </c>
      <c r="E5624" s="6">
        <v>13610.93</v>
      </c>
      <c r="F5624" s="46" t="s">
        <v>14</v>
      </c>
      <c r="G5624" s="46" t="s">
        <v>10747</v>
      </c>
      <c r="H5624" s="46" t="s">
        <v>16</v>
      </c>
      <c r="I5624" s="9">
        <v>3503</v>
      </c>
      <c r="J5624" s="51">
        <v>68</v>
      </c>
      <c r="K5624" s="51">
        <v>68113</v>
      </c>
      <c r="L5624" s="3" t="str">
        <f t="shared" si="181"/>
        <v>ΣΠΑΡΑΓΓΙΑ</v>
      </c>
    </row>
    <row r="5625" spans="1:12" ht="24" x14ac:dyDescent="0.25">
      <c r="A5625" s="1" t="str">
        <f t="shared" si="180"/>
        <v>ΣΠΑΡΑΓΓΙΑΣΠΑΡΑΓΓΙΑ JALEO - ΜΗ ΠΑΡΑΓΩΓΙΚΑ</v>
      </c>
      <c r="B5625" s="49" t="s">
        <v>10521</v>
      </c>
      <c r="C5625" s="50" t="s">
        <v>10748</v>
      </c>
      <c r="D5625" s="6">
        <v>11290.03</v>
      </c>
      <c r="E5625" s="6">
        <v>13610.93</v>
      </c>
      <c r="F5625" s="46" t="s">
        <v>14</v>
      </c>
      <c r="G5625" s="46" t="s">
        <v>10749</v>
      </c>
      <c r="H5625" s="46" t="s">
        <v>16</v>
      </c>
      <c r="I5625" s="47">
        <v>3518</v>
      </c>
      <c r="J5625" s="51">
        <v>68</v>
      </c>
      <c r="K5625" s="51">
        <v>68114</v>
      </c>
      <c r="L5625" s="3" t="str">
        <f t="shared" si="181"/>
        <v>ΣΠΑΡΑΓΓΙΑ</v>
      </c>
    </row>
    <row r="5626" spans="1:12" ht="24" x14ac:dyDescent="0.25">
      <c r="A5626" s="1" t="str">
        <f t="shared" si="180"/>
        <v>ΣΠΑΡΑΓΓΙΑΣΠΑΡΑΓΓΙΑ LIMA - ΜΗ ΠΑΡΑΓΩΓΙΚΑ</v>
      </c>
      <c r="B5626" s="49" t="s">
        <v>10521</v>
      </c>
      <c r="C5626" s="50" t="s">
        <v>10750</v>
      </c>
      <c r="D5626" s="6">
        <v>11290.03</v>
      </c>
      <c r="E5626" s="6">
        <v>13610.93</v>
      </c>
      <c r="F5626" s="46" t="s">
        <v>14</v>
      </c>
      <c r="G5626" s="46" t="s">
        <v>10751</v>
      </c>
      <c r="H5626" s="46" t="s">
        <v>16</v>
      </c>
      <c r="I5626" s="9">
        <v>3519</v>
      </c>
      <c r="J5626" s="51">
        <v>68</v>
      </c>
      <c r="K5626" s="51">
        <v>68115</v>
      </c>
      <c r="L5626" s="3" t="str">
        <f t="shared" si="181"/>
        <v>ΣΠΑΡΑΓΓΙΑ</v>
      </c>
    </row>
    <row r="5627" spans="1:12" ht="24" x14ac:dyDescent="0.25">
      <c r="A5627" s="1" t="str">
        <f t="shared" si="180"/>
        <v>ΣΠΑΡΑΓΓΙΑΣΠΑΡΑΓΓΙΑ MAGNUS - ΜΗ ΠΑΡΑΓΩΓΙΚΑ</v>
      </c>
      <c r="B5627" s="49" t="s">
        <v>10521</v>
      </c>
      <c r="C5627" s="50" t="s">
        <v>10752</v>
      </c>
      <c r="D5627" s="6">
        <v>11290.03</v>
      </c>
      <c r="E5627" s="6">
        <v>13610.93</v>
      </c>
      <c r="F5627" s="46" t="s">
        <v>14</v>
      </c>
      <c r="G5627" s="46" t="s">
        <v>10753</v>
      </c>
      <c r="H5627" s="46" t="s">
        <v>16</v>
      </c>
      <c r="I5627" s="47">
        <v>3511</v>
      </c>
      <c r="J5627" s="51">
        <v>68</v>
      </c>
      <c r="K5627" s="51">
        <v>68116</v>
      </c>
      <c r="L5627" s="3" t="str">
        <f t="shared" si="181"/>
        <v>ΣΠΑΡΑΓΓΙΑ</v>
      </c>
    </row>
    <row r="5628" spans="1:12" x14ac:dyDescent="0.25">
      <c r="A5628" s="1" t="str">
        <f t="shared" si="180"/>
        <v>ΣΠΑΡΑΓΓΙΑΣΠΑΡΑΓΓΙΑ MARTE - ΜΗ ΠΑΡΑΓΩΓΙΚΑ</v>
      </c>
      <c r="B5628" s="49" t="s">
        <v>10521</v>
      </c>
      <c r="C5628" s="50" t="s">
        <v>10754</v>
      </c>
      <c r="D5628" s="6">
        <v>11290.03</v>
      </c>
      <c r="E5628" s="6">
        <v>13610.93</v>
      </c>
      <c r="F5628" s="46" t="s">
        <v>14</v>
      </c>
      <c r="G5628" s="46" t="s">
        <v>10755</v>
      </c>
      <c r="H5628" s="46" t="s">
        <v>27</v>
      </c>
      <c r="I5628" s="9">
        <v>3520</v>
      </c>
      <c r="J5628" s="51">
        <v>68</v>
      </c>
      <c r="K5628" s="51">
        <v>68117</v>
      </c>
      <c r="L5628" s="3" t="str">
        <f t="shared" si="181"/>
        <v>ΣΠΑΡΑΓΓΙΑ</v>
      </c>
    </row>
    <row r="5629" spans="1:12" ht="24" x14ac:dyDescent="0.25">
      <c r="A5629" s="1" t="str">
        <f t="shared" si="180"/>
        <v>ΣΠΑΡΑΓΓΙΑΣΠΑΡΑΓΓΙΑ MARY WASHINGTON - ΜΗ ΠΑΡΑΓΩΓΙΚΑ</v>
      </c>
      <c r="B5629" s="49" t="s">
        <v>10521</v>
      </c>
      <c r="C5629" s="50" t="s">
        <v>10756</v>
      </c>
      <c r="D5629" s="6">
        <v>11290.03</v>
      </c>
      <c r="E5629" s="6">
        <v>13610.93</v>
      </c>
      <c r="F5629" s="46" t="s">
        <v>14</v>
      </c>
      <c r="G5629" s="46" t="s">
        <v>10757</v>
      </c>
      <c r="H5629" s="46" t="s">
        <v>16</v>
      </c>
      <c r="I5629" s="47">
        <v>3521</v>
      </c>
      <c r="J5629" s="51">
        <v>68</v>
      </c>
      <c r="K5629" s="51">
        <v>68118</v>
      </c>
      <c r="L5629" s="3" t="str">
        <f t="shared" si="181"/>
        <v>ΣΠΑΡΑΓΓΙΑ</v>
      </c>
    </row>
    <row r="5630" spans="1:12" ht="24" x14ac:dyDescent="0.25">
      <c r="A5630" s="1" t="str">
        <f t="shared" si="180"/>
        <v>ΣΠΑΡΑΓΓΙΑΣΠΑΡΑΓΓΙΑ MONDEO - ΜΗ ΠΑΡΑΓΩΓΙΚΑ</v>
      </c>
      <c r="B5630" s="49" t="s">
        <v>10521</v>
      </c>
      <c r="C5630" s="50" t="s">
        <v>10758</v>
      </c>
      <c r="D5630" s="6">
        <v>11290.03</v>
      </c>
      <c r="E5630" s="6">
        <v>13610.93</v>
      </c>
      <c r="F5630" s="46" t="s">
        <v>14</v>
      </c>
      <c r="G5630" s="46" t="s">
        <v>10759</v>
      </c>
      <c r="H5630" s="46" t="s">
        <v>16</v>
      </c>
      <c r="I5630" s="9">
        <v>3522</v>
      </c>
      <c r="J5630" s="51">
        <v>68</v>
      </c>
      <c r="K5630" s="51">
        <v>68119</v>
      </c>
      <c r="L5630" s="3" t="str">
        <f t="shared" si="181"/>
        <v>ΣΠΑΡΑΓΓΙΑ</v>
      </c>
    </row>
    <row r="5631" spans="1:12" x14ac:dyDescent="0.25">
      <c r="A5631" s="1" t="str">
        <f t="shared" si="180"/>
        <v>ΣΠΑΡΑΓΓΙΑΣΠΑΡΑΓΓΙΑ NOVALIS VALLIERES - ΜΗ ΠΑΡΑΓΩΓΙΚΑ</v>
      </c>
      <c r="B5631" s="43" t="s">
        <v>10521</v>
      </c>
      <c r="C5631" s="44" t="s">
        <v>10760</v>
      </c>
      <c r="D5631" s="6">
        <v>11290.03</v>
      </c>
      <c r="E5631" s="6">
        <v>13610.93</v>
      </c>
      <c r="F5631" s="45" t="s">
        <v>14</v>
      </c>
      <c r="G5631" s="46" t="s">
        <v>10761</v>
      </c>
      <c r="H5631" s="46" t="s">
        <v>27</v>
      </c>
      <c r="I5631" s="47">
        <v>4055</v>
      </c>
      <c r="J5631" s="48">
        <v>68</v>
      </c>
      <c r="K5631" s="48">
        <v>68120</v>
      </c>
      <c r="L5631" s="3" t="str">
        <f t="shared" si="181"/>
        <v>ΣΠΑΡΑΓΓΙΑ</v>
      </c>
    </row>
    <row r="5632" spans="1:12" x14ac:dyDescent="0.25">
      <c r="A5632" s="1" t="str">
        <f t="shared" si="180"/>
        <v>ΣΠΑΡΑΓΓΙΑΣΠΑΡΑΓΓΙΑ OBELISK - ΜΗ ΠΑΡΑΓΩΓΙΚΑ</v>
      </c>
      <c r="B5632" s="49" t="s">
        <v>10521</v>
      </c>
      <c r="C5632" s="50" t="s">
        <v>10762</v>
      </c>
      <c r="D5632" s="6">
        <v>11290.03</v>
      </c>
      <c r="E5632" s="6">
        <v>13610.93</v>
      </c>
      <c r="F5632" s="46" t="s">
        <v>14</v>
      </c>
      <c r="G5632" s="46" t="s">
        <v>10763</v>
      </c>
      <c r="H5632" s="46" t="s">
        <v>27</v>
      </c>
      <c r="I5632" s="9">
        <v>3523</v>
      </c>
      <c r="J5632" s="51">
        <v>68</v>
      </c>
      <c r="K5632" s="51">
        <v>68121</v>
      </c>
      <c r="L5632" s="3" t="str">
        <f t="shared" si="181"/>
        <v>ΣΠΑΡΑΓΓΙΑ</v>
      </c>
    </row>
    <row r="5633" spans="1:12" ht="24" x14ac:dyDescent="0.25">
      <c r="A5633" s="1" t="str">
        <f t="shared" si="180"/>
        <v>ΣΠΑΡΑΓΓΙΑΣΠΑΡΑΓΓΙΑ PLACOSESP - ΜΗ ΠΑΡΑΓΩΓΙΚΑ</v>
      </c>
      <c r="B5633" s="49" t="s">
        <v>10521</v>
      </c>
      <c r="C5633" s="50" t="s">
        <v>10764</v>
      </c>
      <c r="D5633" s="6">
        <v>11290.03</v>
      </c>
      <c r="E5633" s="6">
        <v>13610.93</v>
      </c>
      <c r="F5633" s="46" t="s">
        <v>14</v>
      </c>
      <c r="G5633" s="46" t="s">
        <v>10765</v>
      </c>
      <c r="H5633" s="46" t="s">
        <v>16</v>
      </c>
      <c r="I5633" s="47">
        <v>3524</v>
      </c>
      <c r="J5633" s="51">
        <v>68</v>
      </c>
      <c r="K5633" s="51">
        <v>68122</v>
      </c>
      <c r="L5633" s="3" t="str">
        <f t="shared" si="181"/>
        <v>ΣΠΑΡΑΓΓΙΑ</v>
      </c>
    </row>
    <row r="5634" spans="1:12" ht="24" x14ac:dyDescent="0.25">
      <c r="A5634" s="1" t="str">
        <f t="shared" si="180"/>
        <v>ΣΠΑΡΑΓΓΙΑΣΠΑΡΑΓΓΙΑ PLAMARESP - ΜΗ ΠΑΡΑΓΩΓΙΚΑ</v>
      </c>
      <c r="B5634" s="49" t="s">
        <v>10521</v>
      </c>
      <c r="C5634" s="50" t="s">
        <v>10766</v>
      </c>
      <c r="D5634" s="6">
        <v>11290.03</v>
      </c>
      <c r="E5634" s="6">
        <v>13610.93</v>
      </c>
      <c r="F5634" s="46" t="s">
        <v>14</v>
      </c>
      <c r="G5634" s="46" t="s">
        <v>10767</v>
      </c>
      <c r="H5634" s="46" t="s">
        <v>16</v>
      </c>
      <c r="I5634" s="9">
        <v>3526</v>
      </c>
      <c r="J5634" s="51">
        <v>68</v>
      </c>
      <c r="K5634" s="51">
        <v>68123</v>
      </c>
      <c r="L5634" s="3" t="str">
        <f t="shared" si="181"/>
        <v>ΣΠΑΡΑΓΓΙΑ</v>
      </c>
    </row>
    <row r="5635" spans="1:12" x14ac:dyDescent="0.25">
      <c r="A5635" s="1" t="str">
        <f t="shared" ref="A5635:A5698" si="182">_xlfn.CONCAT(B5635,C5635)</f>
        <v>ΣΠΑΡΑΓΓΙΑΣΠΑΡΑΓΓΙΑ PLASENESP - ΜΗ ΠΑΡΑΓΩΓΙΚΑ</v>
      </c>
      <c r="B5635" s="49" t="s">
        <v>10521</v>
      </c>
      <c r="C5635" s="50" t="s">
        <v>10768</v>
      </c>
      <c r="D5635" s="6">
        <v>11290.03</v>
      </c>
      <c r="E5635" s="6">
        <v>13610.93</v>
      </c>
      <c r="F5635" s="46" t="s">
        <v>14</v>
      </c>
      <c r="G5635" s="46" t="s">
        <v>10769</v>
      </c>
      <c r="H5635" s="46" t="s">
        <v>27</v>
      </c>
      <c r="I5635" s="47">
        <v>3525</v>
      </c>
      <c r="J5635" s="51">
        <v>68</v>
      </c>
      <c r="K5635" s="51">
        <v>68124</v>
      </c>
      <c r="L5635" s="3" t="str">
        <f t="shared" ref="L5635:L5698" si="183">IFERROR(SUBSTITUTE(SUBSTITUTE(SUBSTITUTE(SUBSTITUTE(SUBSTITUTE(B5635, "-", "_"), " ", "_"), ",", ""), "(", ""), ")", ""), B5635)</f>
        <v>ΣΠΑΡΑΓΓΙΑ</v>
      </c>
    </row>
    <row r="5636" spans="1:12" ht="24" x14ac:dyDescent="0.25">
      <c r="A5636" s="1" t="str">
        <f t="shared" si="182"/>
        <v>ΣΠΑΡΑΓΓΙΑΣΠΑΡΑΓΓΙΑ PORTLIM - ΜΗ ΠΑΡΑΓΩΓΙΚΑ</v>
      </c>
      <c r="B5636" s="49" t="s">
        <v>10521</v>
      </c>
      <c r="C5636" s="50" t="s">
        <v>10770</v>
      </c>
      <c r="D5636" s="6">
        <v>11290.03</v>
      </c>
      <c r="E5636" s="6">
        <v>13610.93</v>
      </c>
      <c r="F5636" s="46" t="s">
        <v>14</v>
      </c>
      <c r="G5636" s="46" t="s">
        <v>10771</v>
      </c>
      <c r="H5636" s="46" t="s">
        <v>16</v>
      </c>
      <c r="I5636" s="9">
        <v>3476</v>
      </c>
      <c r="J5636" s="51">
        <v>68</v>
      </c>
      <c r="K5636" s="51">
        <v>68125</v>
      </c>
      <c r="L5636" s="3" t="str">
        <f t="shared" si="183"/>
        <v>ΣΠΑΡΑΓΓΙΑ</v>
      </c>
    </row>
    <row r="5637" spans="1:12" ht="24" x14ac:dyDescent="0.25">
      <c r="A5637" s="1" t="str">
        <f t="shared" si="182"/>
        <v>ΣΠΑΡΑΓΓΙΑΣΠΑΡΑΓΓΙΑ PREBELLE - ΜΗ ΠΑΡΑΓΩΓΙΚΑ</v>
      </c>
      <c r="B5637" s="49" t="s">
        <v>10521</v>
      </c>
      <c r="C5637" s="50" t="s">
        <v>10772</v>
      </c>
      <c r="D5637" s="6">
        <v>11290.03</v>
      </c>
      <c r="E5637" s="6">
        <v>13610.93</v>
      </c>
      <c r="F5637" s="46" t="s">
        <v>14</v>
      </c>
      <c r="G5637" s="46" t="s">
        <v>10773</v>
      </c>
      <c r="H5637" s="46" t="s">
        <v>16</v>
      </c>
      <c r="I5637" s="47">
        <v>3429</v>
      </c>
      <c r="J5637" s="51">
        <v>68</v>
      </c>
      <c r="K5637" s="51">
        <v>68126</v>
      </c>
      <c r="L5637" s="3" t="str">
        <f t="shared" si="183"/>
        <v>ΣΠΑΡΑΓΓΙΑ</v>
      </c>
    </row>
    <row r="5638" spans="1:12" x14ac:dyDescent="0.25">
      <c r="A5638" s="1" t="str">
        <f t="shared" si="182"/>
        <v>ΣΠΑΡΑΓΓΙΑΣΠΑΡΑΓΓΙΑ PRIMA - ΜΗ ΠΑΡΑΓΩΓΙΚΑ</v>
      </c>
      <c r="B5638" s="43" t="s">
        <v>10521</v>
      </c>
      <c r="C5638" s="44" t="s">
        <v>10774</v>
      </c>
      <c r="D5638" s="6">
        <v>11290.03</v>
      </c>
      <c r="E5638" s="6">
        <v>13610.93</v>
      </c>
      <c r="F5638" s="45" t="s">
        <v>14</v>
      </c>
      <c r="G5638" s="46" t="s">
        <v>10775</v>
      </c>
      <c r="H5638" s="46" t="s">
        <v>27</v>
      </c>
      <c r="I5638" s="9">
        <v>4056</v>
      </c>
      <c r="J5638" s="48">
        <v>68</v>
      </c>
      <c r="K5638" s="48">
        <v>68127</v>
      </c>
      <c r="L5638" s="3" t="str">
        <f t="shared" si="183"/>
        <v>ΣΠΑΡΑΓΓΙΑ</v>
      </c>
    </row>
    <row r="5639" spans="1:12" ht="24" x14ac:dyDescent="0.25">
      <c r="A5639" s="1" t="str">
        <f t="shared" si="182"/>
        <v>ΣΠΑΡΑΓΓΙΑΣΠΑΡΑΓΓΙΑ PRIMAVERDE - ΜΗ ΠΑΡΑΓΩΓΙΚΑ</v>
      </c>
      <c r="B5639" s="49" t="s">
        <v>10521</v>
      </c>
      <c r="C5639" s="50" t="s">
        <v>10776</v>
      </c>
      <c r="D5639" s="6">
        <v>11290.03</v>
      </c>
      <c r="E5639" s="6">
        <v>13610.93</v>
      </c>
      <c r="F5639" s="46" t="s">
        <v>14</v>
      </c>
      <c r="G5639" s="46" t="s">
        <v>10777</v>
      </c>
      <c r="H5639" s="46" t="s">
        <v>16</v>
      </c>
      <c r="I5639" s="47">
        <v>3400</v>
      </c>
      <c r="J5639" s="51">
        <v>68</v>
      </c>
      <c r="K5639" s="51">
        <v>68128</v>
      </c>
      <c r="L5639" s="3" t="str">
        <f t="shared" si="183"/>
        <v>ΣΠΑΡΑΓΓΙΑ</v>
      </c>
    </row>
    <row r="5640" spans="1:12" x14ac:dyDescent="0.25">
      <c r="A5640" s="1" t="str">
        <f t="shared" si="182"/>
        <v>ΣΠΑΡΑΓΓΙΑΣΠΑΡΑΓΓΙΑ PRIMEMS - ΜΗ ΠΑΡΑΓΩΓΙΚΑ</v>
      </c>
      <c r="B5640" s="43" t="s">
        <v>10521</v>
      </c>
      <c r="C5640" s="44" t="s">
        <v>10778</v>
      </c>
      <c r="D5640" s="6">
        <v>11290.03</v>
      </c>
      <c r="E5640" s="6">
        <v>13610.93</v>
      </c>
      <c r="F5640" s="45" t="s">
        <v>14</v>
      </c>
      <c r="G5640" s="46" t="s">
        <v>10779</v>
      </c>
      <c r="H5640" s="46" t="s">
        <v>27</v>
      </c>
      <c r="I5640" s="9">
        <v>4057</v>
      </c>
      <c r="J5640" s="48">
        <v>68</v>
      </c>
      <c r="K5640" s="48">
        <v>68129</v>
      </c>
      <c r="L5640" s="3" t="str">
        <f t="shared" si="183"/>
        <v>ΣΠΑΡΑΓΓΙΑ</v>
      </c>
    </row>
    <row r="5641" spans="1:12" ht="24" x14ac:dyDescent="0.25">
      <c r="A5641" s="1" t="str">
        <f t="shared" si="182"/>
        <v>ΣΠΑΡΑΓΓΙΑΣΠΑΡΑΓΓΙΑ PRIUS - ΜΗ ΠΑΡΑΓΩΓΙΚΑ</v>
      </c>
      <c r="B5641" s="49" t="s">
        <v>10521</v>
      </c>
      <c r="C5641" s="50" t="s">
        <v>10780</v>
      </c>
      <c r="D5641" s="6">
        <v>11290.03</v>
      </c>
      <c r="E5641" s="6">
        <v>13610.93</v>
      </c>
      <c r="F5641" s="46" t="s">
        <v>14</v>
      </c>
      <c r="G5641" s="46" t="s">
        <v>10781</v>
      </c>
      <c r="H5641" s="46" t="s">
        <v>16</v>
      </c>
      <c r="I5641" s="47">
        <v>3399</v>
      </c>
      <c r="J5641" s="51">
        <v>68</v>
      </c>
      <c r="K5641" s="51">
        <v>68130</v>
      </c>
      <c r="L5641" s="3" t="str">
        <f t="shared" si="183"/>
        <v>ΣΠΑΡΑΓΓΙΑ</v>
      </c>
    </row>
    <row r="5642" spans="1:12" ht="24" x14ac:dyDescent="0.25">
      <c r="A5642" s="1" t="str">
        <f t="shared" si="182"/>
        <v>ΣΠΑΡΑΓΓΙΑΣΠΑΡΑΓΓΙΑ RAFFAELO - ΜΗ ΠΑΡΑΓΩΓΙΚΑ</v>
      </c>
      <c r="B5642" s="49" t="s">
        <v>10521</v>
      </c>
      <c r="C5642" s="50" t="s">
        <v>10782</v>
      </c>
      <c r="D5642" s="6">
        <v>11290.03</v>
      </c>
      <c r="E5642" s="6">
        <v>13610.93</v>
      </c>
      <c r="F5642" s="46" t="s">
        <v>14</v>
      </c>
      <c r="G5642" s="46" t="s">
        <v>10783</v>
      </c>
      <c r="H5642" s="46" t="s">
        <v>16</v>
      </c>
      <c r="I5642" s="9">
        <v>3403</v>
      </c>
      <c r="J5642" s="51">
        <v>68</v>
      </c>
      <c r="K5642" s="51">
        <v>68131</v>
      </c>
      <c r="L5642" s="3" t="str">
        <f t="shared" si="183"/>
        <v>ΣΠΑΡΑΓΓΙΑ</v>
      </c>
    </row>
    <row r="5643" spans="1:12" ht="24" x14ac:dyDescent="0.25">
      <c r="A5643" s="1" t="str">
        <f t="shared" si="182"/>
        <v>ΣΠΑΡΑΓΓΙΑΣΠΑΡΑΓΓΙΑ RAMADA - ΜΗ ΠΑΡΑΓΩΓΙΚΑ</v>
      </c>
      <c r="B5643" s="49" t="s">
        <v>10521</v>
      </c>
      <c r="C5643" s="50" t="s">
        <v>10784</v>
      </c>
      <c r="D5643" s="6">
        <v>11290.03</v>
      </c>
      <c r="E5643" s="6">
        <v>13610.93</v>
      </c>
      <c r="F5643" s="46" t="s">
        <v>14</v>
      </c>
      <c r="G5643" s="46" t="s">
        <v>10785</v>
      </c>
      <c r="H5643" s="46" t="s">
        <v>16</v>
      </c>
      <c r="I5643" s="47">
        <v>3404</v>
      </c>
      <c r="J5643" s="51">
        <v>68</v>
      </c>
      <c r="K5643" s="51">
        <v>68132</v>
      </c>
      <c r="L5643" s="3" t="str">
        <f t="shared" si="183"/>
        <v>ΣΠΑΡΑΓΓΙΑ</v>
      </c>
    </row>
    <row r="5644" spans="1:12" ht="24" x14ac:dyDescent="0.25">
      <c r="A5644" s="1" t="str">
        <f t="shared" si="182"/>
        <v>ΣΠΑΡΑΓΓΙΑΣΠΑΡΑΓΓΙΑ RAMBO - ΜΗ ΠΑΡΑΓΩΓΙΚΑ</v>
      </c>
      <c r="B5644" s="49" t="s">
        <v>10521</v>
      </c>
      <c r="C5644" s="50" t="s">
        <v>10786</v>
      </c>
      <c r="D5644" s="6">
        <v>11290.03</v>
      </c>
      <c r="E5644" s="6">
        <v>13610.93</v>
      </c>
      <c r="F5644" s="46" t="s">
        <v>14</v>
      </c>
      <c r="G5644" s="46" t="s">
        <v>10787</v>
      </c>
      <c r="H5644" s="46" t="s">
        <v>16</v>
      </c>
      <c r="I5644" s="9">
        <v>3414</v>
      </c>
      <c r="J5644" s="51">
        <v>68</v>
      </c>
      <c r="K5644" s="51">
        <v>68133</v>
      </c>
      <c r="L5644" s="3" t="str">
        <f t="shared" si="183"/>
        <v>ΣΠΑΡΑΓΓΙΑ</v>
      </c>
    </row>
    <row r="5645" spans="1:12" ht="24" x14ac:dyDescent="0.25">
      <c r="A5645" s="1" t="str">
        <f t="shared" si="182"/>
        <v>ΣΠΑΡΑΓΓΙΑΣΠΑΡΑΓΓΙΑ RAMIRES - ΜΗ ΠΑΡΑΓΩΓΙΚΑ</v>
      </c>
      <c r="B5645" s="49" t="s">
        <v>10521</v>
      </c>
      <c r="C5645" s="50" t="s">
        <v>10788</v>
      </c>
      <c r="D5645" s="6">
        <v>11290.03</v>
      </c>
      <c r="E5645" s="6">
        <v>13610.93</v>
      </c>
      <c r="F5645" s="46" t="s">
        <v>14</v>
      </c>
      <c r="G5645" s="46" t="s">
        <v>10789</v>
      </c>
      <c r="H5645" s="46" t="s">
        <v>16</v>
      </c>
      <c r="I5645" s="47">
        <v>3406</v>
      </c>
      <c r="J5645" s="51">
        <v>68</v>
      </c>
      <c r="K5645" s="51">
        <v>68134</v>
      </c>
      <c r="L5645" s="3" t="str">
        <f t="shared" si="183"/>
        <v>ΣΠΑΡΑΓΓΙΑ</v>
      </c>
    </row>
    <row r="5646" spans="1:12" ht="24" x14ac:dyDescent="0.25">
      <c r="A5646" s="1" t="str">
        <f t="shared" si="182"/>
        <v>ΣΠΑΡΑΓΓΙΑΣΠΑΡΑΓΓΙΑ RAPSODY - ΜΗ ΠΑΡΑΓΩΓΙΚΑ</v>
      </c>
      <c r="B5646" s="49" t="s">
        <v>10521</v>
      </c>
      <c r="C5646" s="50" t="s">
        <v>10790</v>
      </c>
      <c r="D5646" s="6">
        <v>11290.03</v>
      </c>
      <c r="E5646" s="6">
        <v>13610.93</v>
      </c>
      <c r="F5646" s="46" t="s">
        <v>14</v>
      </c>
      <c r="G5646" s="46" t="s">
        <v>10791</v>
      </c>
      <c r="H5646" s="46" t="s">
        <v>16</v>
      </c>
      <c r="I5646" s="9">
        <v>3398</v>
      </c>
      <c r="J5646" s="51">
        <v>68</v>
      </c>
      <c r="K5646" s="51">
        <v>68135</v>
      </c>
      <c r="L5646" s="3" t="str">
        <f t="shared" si="183"/>
        <v>ΣΠΑΡΑΓΓΙΑ</v>
      </c>
    </row>
    <row r="5647" spans="1:12" ht="24" x14ac:dyDescent="0.25">
      <c r="A5647" s="1" t="str">
        <f t="shared" si="182"/>
        <v>ΣΠΑΡΑΓΓΙΑΣΠΑΡΑΓΓΙΑ RAVEL - ΜΗ ΠΑΡΑΓΩΓΙΚΑ</v>
      </c>
      <c r="B5647" s="49" t="s">
        <v>10521</v>
      </c>
      <c r="C5647" s="50" t="s">
        <v>10792</v>
      </c>
      <c r="D5647" s="6">
        <v>11290.03</v>
      </c>
      <c r="E5647" s="6">
        <v>13610.93</v>
      </c>
      <c r="F5647" s="46" t="s">
        <v>14</v>
      </c>
      <c r="G5647" s="46" t="s">
        <v>10793</v>
      </c>
      <c r="H5647" s="46" t="s">
        <v>16</v>
      </c>
      <c r="I5647" s="47">
        <v>3392</v>
      </c>
      <c r="J5647" s="51">
        <v>68</v>
      </c>
      <c r="K5647" s="51">
        <v>68136</v>
      </c>
      <c r="L5647" s="3" t="str">
        <f t="shared" si="183"/>
        <v>ΣΠΑΡΑΓΓΙΑ</v>
      </c>
    </row>
    <row r="5648" spans="1:12" ht="24" x14ac:dyDescent="0.25">
      <c r="A5648" s="1" t="str">
        <f t="shared" si="182"/>
        <v>ΣΠΑΡΑΓΓΙΑΣΠΑΡΑΓΓΙΑ ROSALIE - ΜΗ ΠΑΡΑΓΩΓΙΚΑ</v>
      </c>
      <c r="B5648" s="49" t="s">
        <v>10521</v>
      </c>
      <c r="C5648" s="50" t="s">
        <v>10794</v>
      </c>
      <c r="D5648" s="6">
        <v>11290.03</v>
      </c>
      <c r="E5648" s="6">
        <v>13610.93</v>
      </c>
      <c r="F5648" s="46" t="s">
        <v>14</v>
      </c>
      <c r="G5648" s="46" t="s">
        <v>10795</v>
      </c>
      <c r="H5648" s="46" t="s">
        <v>16</v>
      </c>
      <c r="I5648" s="9">
        <v>3408</v>
      </c>
      <c r="J5648" s="51">
        <v>68</v>
      </c>
      <c r="K5648" s="51">
        <v>68137</v>
      </c>
      <c r="L5648" s="3" t="str">
        <f t="shared" si="183"/>
        <v>ΣΠΑΡΑΓΓΙΑ</v>
      </c>
    </row>
    <row r="5649" spans="1:12" ht="31.5" x14ac:dyDescent="0.25">
      <c r="A5649" s="1" t="str">
        <f t="shared" si="182"/>
        <v>ΣΠΑΡΑΓΓΙΑΣΠΑΡΑΓΓΙΑ SCHWETZINGER MEISTERSCHUB - ΜΗ ΠΑΡΑΓΩΓΙΚΑ</v>
      </c>
      <c r="B5649" s="49" t="s">
        <v>10521</v>
      </c>
      <c r="C5649" s="50" t="s">
        <v>10796</v>
      </c>
      <c r="D5649" s="6">
        <v>11290.03</v>
      </c>
      <c r="E5649" s="6">
        <v>13610.93</v>
      </c>
      <c r="F5649" s="46" t="s">
        <v>14</v>
      </c>
      <c r="G5649" s="46" t="s">
        <v>10797</v>
      </c>
      <c r="H5649" s="46" t="s">
        <v>16</v>
      </c>
      <c r="I5649" s="47">
        <v>3405</v>
      </c>
      <c r="J5649" s="51">
        <v>68</v>
      </c>
      <c r="K5649" s="51">
        <v>68138</v>
      </c>
      <c r="L5649" s="3" t="str">
        <f t="shared" si="183"/>
        <v>ΣΠΑΡΑΓΓΙΑ</v>
      </c>
    </row>
    <row r="5650" spans="1:12" ht="24" x14ac:dyDescent="0.25">
      <c r="A5650" s="1" t="str">
        <f t="shared" si="182"/>
        <v>ΣΠΑΡΑΓΓΙΑΣΠΑΡΑΓΓΙΑ STEINEO - ΜΗ ΠΑΡΑΓΩΓΙΚΑ</v>
      </c>
      <c r="B5650" s="49" t="s">
        <v>10521</v>
      </c>
      <c r="C5650" s="50" t="s">
        <v>10798</v>
      </c>
      <c r="D5650" s="6">
        <v>11290.03</v>
      </c>
      <c r="E5650" s="6">
        <v>13610.93</v>
      </c>
      <c r="F5650" s="46" t="s">
        <v>14</v>
      </c>
      <c r="G5650" s="46" t="s">
        <v>10799</v>
      </c>
      <c r="H5650" s="46" t="s">
        <v>16</v>
      </c>
      <c r="I5650" s="9">
        <v>3409</v>
      </c>
      <c r="J5650" s="51">
        <v>68</v>
      </c>
      <c r="K5650" s="51">
        <v>68139</v>
      </c>
      <c r="L5650" s="3" t="str">
        <f t="shared" si="183"/>
        <v>ΣΠΑΡΑΓΓΙΑ</v>
      </c>
    </row>
    <row r="5651" spans="1:12" ht="24" x14ac:dyDescent="0.25">
      <c r="A5651" s="1" t="str">
        <f t="shared" si="182"/>
        <v>ΣΠΑΡΑΓΓΙΑΣΠΑΡΑΓΓΙΑ STEINERS VIOLETTA - ΜΗ ΠΑΡΑΓΩΓΙΚΑ</v>
      </c>
      <c r="B5651" s="49" t="s">
        <v>10521</v>
      </c>
      <c r="C5651" s="50" t="s">
        <v>10800</v>
      </c>
      <c r="D5651" s="6">
        <v>11290.03</v>
      </c>
      <c r="E5651" s="6">
        <v>13610.93</v>
      </c>
      <c r="F5651" s="46" t="s">
        <v>14</v>
      </c>
      <c r="G5651" s="46" t="s">
        <v>10801</v>
      </c>
      <c r="H5651" s="46" t="s">
        <v>16</v>
      </c>
      <c r="I5651" s="47">
        <v>3410</v>
      </c>
      <c r="J5651" s="51">
        <v>68</v>
      </c>
      <c r="K5651" s="51">
        <v>68140</v>
      </c>
      <c r="L5651" s="3" t="str">
        <f t="shared" si="183"/>
        <v>ΣΠΑΡΑΓΓΙΑ</v>
      </c>
    </row>
    <row r="5652" spans="1:12" ht="24" x14ac:dyDescent="0.25">
      <c r="A5652" s="1" t="str">
        <f t="shared" si="182"/>
        <v>ΣΠΑΡΑΓΓΙΑΣΠΑΡΑΓΓΙΑ STEINIVA - ΜΗ ΠΑΡΑΓΩΓΙΚΑ</v>
      </c>
      <c r="B5652" s="49" t="s">
        <v>10521</v>
      </c>
      <c r="C5652" s="50" t="s">
        <v>10802</v>
      </c>
      <c r="D5652" s="6">
        <v>11290.03</v>
      </c>
      <c r="E5652" s="6">
        <v>13610.93</v>
      </c>
      <c r="F5652" s="46" t="s">
        <v>14</v>
      </c>
      <c r="G5652" s="46" t="s">
        <v>10803</v>
      </c>
      <c r="H5652" s="46" t="s">
        <v>16</v>
      </c>
      <c r="I5652" s="9">
        <v>3411</v>
      </c>
      <c r="J5652" s="51">
        <v>68</v>
      </c>
      <c r="K5652" s="51">
        <v>68141</v>
      </c>
      <c r="L5652" s="3" t="str">
        <f t="shared" si="183"/>
        <v>ΣΠΑΡΑΓΓΙΑ</v>
      </c>
    </row>
    <row r="5653" spans="1:12" ht="24" x14ac:dyDescent="0.25">
      <c r="A5653" s="1" t="str">
        <f t="shared" si="182"/>
        <v>ΣΠΑΡΑΓΓΙΑΣΠΑΡΑΓΓΙΑ SUNLIM - ΜΗ ΠΑΡΑΓΩΓΙΚΑ</v>
      </c>
      <c r="B5653" s="49" t="s">
        <v>10521</v>
      </c>
      <c r="C5653" s="50" t="s">
        <v>10804</v>
      </c>
      <c r="D5653" s="6">
        <v>11290.03</v>
      </c>
      <c r="E5653" s="6">
        <v>13610.93</v>
      </c>
      <c r="F5653" s="46" t="s">
        <v>14</v>
      </c>
      <c r="G5653" s="46" t="s">
        <v>10805</v>
      </c>
      <c r="H5653" s="46" t="s">
        <v>16</v>
      </c>
      <c r="I5653" s="47">
        <v>3412</v>
      </c>
      <c r="J5653" s="51">
        <v>68</v>
      </c>
      <c r="K5653" s="51">
        <v>68142</v>
      </c>
      <c r="L5653" s="3" t="str">
        <f t="shared" si="183"/>
        <v>ΣΠΑΡΑΓΓΙΑ</v>
      </c>
    </row>
    <row r="5654" spans="1:12" ht="24" x14ac:dyDescent="0.25">
      <c r="A5654" s="1" t="str">
        <f t="shared" si="182"/>
        <v>ΣΠΑΡΑΓΓΙΑΣΠΑΡΑΓΓΙΑ TALLEMS - ΜΗ ΠΑΡΑΓΩΓΙΚΑ</v>
      </c>
      <c r="B5654" s="49" t="s">
        <v>10521</v>
      </c>
      <c r="C5654" s="50" t="s">
        <v>10806</v>
      </c>
      <c r="D5654" s="6">
        <v>11290.03</v>
      </c>
      <c r="E5654" s="6">
        <v>13610.93</v>
      </c>
      <c r="F5654" s="46" t="s">
        <v>14</v>
      </c>
      <c r="G5654" s="46" t="s">
        <v>10807</v>
      </c>
      <c r="H5654" s="46" t="s">
        <v>16</v>
      </c>
      <c r="I5654" s="9">
        <v>3413</v>
      </c>
      <c r="J5654" s="51">
        <v>68</v>
      </c>
      <c r="K5654" s="51">
        <v>68143</v>
      </c>
      <c r="L5654" s="3" t="str">
        <f t="shared" si="183"/>
        <v>ΣΠΑΡΑΓΓΙΑ</v>
      </c>
    </row>
    <row r="5655" spans="1:12" ht="24" x14ac:dyDescent="0.25">
      <c r="A5655" s="1" t="str">
        <f t="shared" si="182"/>
        <v>ΣΠΑΡΑΓΓΙΑΣΠΑΡΑΓΓΙΑ THIELIM - ΜΗ ΠΑΡΑΓΩΓΙΚΑ</v>
      </c>
      <c r="B5655" s="49" t="s">
        <v>10521</v>
      </c>
      <c r="C5655" s="50" t="s">
        <v>10808</v>
      </c>
      <c r="D5655" s="6">
        <v>11290.03</v>
      </c>
      <c r="E5655" s="6">
        <v>13610.93</v>
      </c>
      <c r="F5655" s="46" t="s">
        <v>14</v>
      </c>
      <c r="G5655" s="46" t="s">
        <v>10809</v>
      </c>
      <c r="H5655" s="46" t="s">
        <v>16</v>
      </c>
      <c r="I5655" s="47">
        <v>3407</v>
      </c>
      <c r="J5655" s="51">
        <v>68</v>
      </c>
      <c r="K5655" s="51">
        <v>68144</v>
      </c>
      <c r="L5655" s="3" t="str">
        <f t="shared" si="183"/>
        <v>ΣΠΑΡΑΓΓΙΑ</v>
      </c>
    </row>
    <row r="5656" spans="1:12" ht="24" x14ac:dyDescent="0.25">
      <c r="A5656" s="1" t="str">
        <f t="shared" si="182"/>
        <v>ΣΠΑΡΑΓΓΙΑΣΠΑΡΑΓΓΙΑ UC 157 - ΜΗ ΠΑΡΑΓΩΓΙΚΑ</v>
      </c>
      <c r="B5656" s="49" t="s">
        <v>10521</v>
      </c>
      <c r="C5656" s="50" t="s">
        <v>10810</v>
      </c>
      <c r="D5656" s="6">
        <v>11290.03</v>
      </c>
      <c r="E5656" s="6">
        <v>13610.93</v>
      </c>
      <c r="F5656" s="46" t="s">
        <v>14</v>
      </c>
      <c r="G5656" s="46" t="s">
        <v>10811</v>
      </c>
      <c r="H5656" s="46" t="s">
        <v>16</v>
      </c>
      <c r="I5656" s="9">
        <v>3390</v>
      </c>
      <c r="J5656" s="51">
        <v>68</v>
      </c>
      <c r="K5656" s="51">
        <v>68145</v>
      </c>
      <c r="L5656" s="3" t="str">
        <f t="shared" si="183"/>
        <v>ΣΠΑΡΑΓΓΙΑ</v>
      </c>
    </row>
    <row r="5657" spans="1:12" x14ac:dyDescent="0.25">
      <c r="A5657" s="1" t="str">
        <f t="shared" si="182"/>
        <v>ΣΠΑΡΑΓΓΙΑΣΠΑΡΑΓΓΙΑ VALLIERES RACAUTS - ΜΗ ΠΑΡΑΓΩΓΙΚΑ</v>
      </c>
      <c r="B5657" s="43" t="s">
        <v>10521</v>
      </c>
      <c r="C5657" s="44" t="s">
        <v>10812</v>
      </c>
      <c r="D5657" s="6">
        <v>11290.03</v>
      </c>
      <c r="E5657" s="6">
        <v>13610.93</v>
      </c>
      <c r="F5657" s="45" t="s">
        <v>14</v>
      </c>
      <c r="G5657" s="46" t="s">
        <v>10813</v>
      </c>
      <c r="H5657" s="46" t="s">
        <v>27</v>
      </c>
      <c r="I5657" s="47">
        <v>4058</v>
      </c>
      <c r="J5657" s="48">
        <v>68</v>
      </c>
      <c r="K5657" s="48">
        <v>68146</v>
      </c>
      <c r="L5657" s="3" t="str">
        <f t="shared" si="183"/>
        <v>ΣΠΑΡΑΓΓΙΑ</v>
      </c>
    </row>
    <row r="5658" spans="1:12" ht="24" x14ac:dyDescent="0.25">
      <c r="A5658" s="1" t="str">
        <f t="shared" si="182"/>
        <v>ΣΠΑΡΑΓΓΙΑΣΠΑΡΑΓΓΙΑ VALPRIMA - ΜΗ ΠΑΡΑΓΩΓΙΚΑ</v>
      </c>
      <c r="B5658" s="49" t="s">
        <v>10521</v>
      </c>
      <c r="C5658" s="50" t="s">
        <v>10814</v>
      </c>
      <c r="D5658" s="6">
        <v>11290.03</v>
      </c>
      <c r="E5658" s="6">
        <v>13610.93</v>
      </c>
      <c r="F5658" s="46" t="s">
        <v>14</v>
      </c>
      <c r="G5658" s="46" t="s">
        <v>10815</v>
      </c>
      <c r="H5658" s="46" t="s">
        <v>16</v>
      </c>
      <c r="I5658" s="9">
        <v>3428</v>
      </c>
      <c r="J5658" s="51">
        <v>68</v>
      </c>
      <c r="K5658" s="51">
        <v>68147</v>
      </c>
      <c r="L5658" s="3" t="str">
        <f t="shared" si="183"/>
        <v>ΣΠΑΡΑΓΓΙΑ</v>
      </c>
    </row>
    <row r="5659" spans="1:12" ht="24" x14ac:dyDescent="0.25">
      <c r="A5659" s="1" t="str">
        <f t="shared" si="182"/>
        <v>ΣΠΑΡΑΓΓΙΑΣΠΑΡΑΓΓΙΑ VEGALIM - ΜΗ ΠΑΡΑΓΩΓΙΚΑ</v>
      </c>
      <c r="B5659" s="49" t="s">
        <v>10521</v>
      </c>
      <c r="C5659" s="50" t="s">
        <v>10816</v>
      </c>
      <c r="D5659" s="6">
        <v>11290.03</v>
      </c>
      <c r="E5659" s="6">
        <v>13610.93</v>
      </c>
      <c r="F5659" s="46" t="s">
        <v>14</v>
      </c>
      <c r="G5659" s="46" t="s">
        <v>10817</v>
      </c>
      <c r="H5659" s="46" t="s">
        <v>16</v>
      </c>
      <c r="I5659" s="47">
        <v>3387</v>
      </c>
      <c r="J5659" s="51">
        <v>68</v>
      </c>
      <c r="K5659" s="51">
        <v>68148</v>
      </c>
      <c r="L5659" s="3" t="str">
        <f t="shared" si="183"/>
        <v>ΣΠΑΡΑΓΓΙΑ</v>
      </c>
    </row>
    <row r="5660" spans="1:12" ht="24" x14ac:dyDescent="0.25">
      <c r="A5660" s="1" t="str">
        <f t="shared" si="182"/>
        <v>ΣΠΑΡΑΓΓΙΑΣΠΑΡΑΓΓΙΑ VETRA - ΜΗ ΠΑΡΑΓΩΓΙΚΑ</v>
      </c>
      <c r="B5660" s="49" t="s">
        <v>10521</v>
      </c>
      <c r="C5660" s="50" t="s">
        <v>10818</v>
      </c>
      <c r="D5660" s="6">
        <v>11290.03</v>
      </c>
      <c r="E5660" s="6">
        <v>13610.93</v>
      </c>
      <c r="F5660" s="46" t="s">
        <v>14</v>
      </c>
      <c r="G5660" s="46" t="s">
        <v>10819</v>
      </c>
      <c r="H5660" s="46" t="s">
        <v>16</v>
      </c>
      <c r="I5660" s="9">
        <v>3477</v>
      </c>
      <c r="J5660" s="51">
        <v>68</v>
      </c>
      <c r="K5660" s="51">
        <v>68149</v>
      </c>
      <c r="L5660" s="3" t="str">
        <f t="shared" si="183"/>
        <v>ΣΠΑΡΑΓΓΙΑ</v>
      </c>
    </row>
    <row r="5661" spans="1:12" ht="24" x14ac:dyDescent="0.25">
      <c r="A5661" s="1" t="str">
        <f t="shared" si="182"/>
        <v>ΣΠΑΡΑΓΓΙΑΣΠΑΡΑΓΓΙΑ VITALIM - ΜΗ ΠΑΡΑΓΩΓΙΚΑ</v>
      </c>
      <c r="B5661" s="49" t="s">
        <v>10521</v>
      </c>
      <c r="C5661" s="50" t="s">
        <v>10820</v>
      </c>
      <c r="D5661" s="6">
        <v>11290.03</v>
      </c>
      <c r="E5661" s="6">
        <v>13610.93</v>
      </c>
      <c r="F5661" s="46" t="s">
        <v>14</v>
      </c>
      <c r="G5661" s="46" t="s">
        <v>10821</v>
      </c>
      <c r="H5661" s="46" t="s">
        <v>16</v>
      </c>
      <c r="I5661" s="47">
        <v>3385</v>
      </c>
      <c r="J5661" s="51">
        <v>68</v>
      </c>
      <c r="K5661" s="51">
        <v>68150</v>
      </c>
      <c r="L5661" s="3" t="str">
        <f t="shared" si="183"/>
        <v>ΣΠΑΡΑΓΓΙΑ</v>
      </c>
    </row>
    <row r="5662" spans="1:12" ht="24" x14ac:dyDescent="0.25">
      <c r="A5662" s="1" t="str">
        <f t="shared" si="182"/>
        <v>ΣΠΑΡΑΓΓΙΑΣΠΑΡΑΓΓΙΑ VITTORIO - ΜΗ ΠΑΡΑΓΩΓΙΚΑ</v>
      </c>
      <c r="B5662" s="49" t="s">
        <v>10521</v>
      </c>
      <c r="C5662" s="50" t="s">
        <v>10822</v>
      </c>
      <c r="D5662" s="6">
        <v>11290.03</v>
      </c>
      <c r="E5662" s="6">
        <v>13610.93</v>
      </c>
      <c r="F5662" s="46" t="s">
        <v>14</v>
      </c>
      <c r="G5662" s="46" t="s">
        <v>10823</v>
      </c>
      <c r="H5662" s="46" t="s">
        <v>16</v>
      </c>
      <c r="I5662" s="9">
        <v>3386</v>
      </c>
      <c r="J5662" s="51">
        <v>68</v>
      </c>
      <c r="K5662" s="51">
        <v>68151</v>
      </c>
      <c r="L5662" s="3" t="str">
        <f t="shared" si="183"/>
        <v>ΣΠΑΡΑΓΓΙΑ</v>
      </c>
    </row>
    <row r="5663" spans="1:12" ht="24" x14ac:dyDescent="0.25">
      <c r="A5663" s="1" t="str">
        <f t="shared" si="182"/>
        <v>ΣΠΑΡΑΓΓΙΑΣΠΑΡΑΓΓΙΑ VOLTAIRE - ΜΗ ΠΑΡΑΓΩΓΙΚΑ</v>
      </c>
      <c r="B5663" s="49" t="s">
        <v>10521</v>
      </c>
      <c r="C5663" s="50" t="s">
        <v>10824</v>
      </c>
      <c r="D5663" s="6">
        <v>11290.03</v>
      </c>
      <c r="E5663" s="6">
        <v>13610.93</v>
      </c>
      <c r="F5663" s="46" t="s">
        <v>14</v>
      </c>
      <c r="G5663" s="46" t="s">
        <v>10825</v>
      </c>
      <c r="H5663" s="46" t="s">
        <v>16</v>
      </c>
      <c r="I5663" s="47">
        <v>3388</v>
      </c>
      <c r="J5663" s="51">
        <v>68</v>
      </c>
      <c r="K5663" s="51">
        <v>68152</v>
      </c>
      <c r="L5663" s="3" t="str">
        <f t="shared" si="183"/>
        <v>ΣΠΑΡΑΓΓΙΑ</v>
      </c>
    </row>
    <row r="5664" spans="1:12" x14ac:dyDescent="0.25">
      <c r="A5664" s="1" t="str">
        <f t="shared" si="182"/>
        <v>ΣΠΑΡΑΓΓΙΑΣΠΑΡΑΓΓΙΑ WHITE ANGEL - ΜΗ ΠΑΡΑΓΩΓΙΚΑ</v>
      </c>
      <c r="B5664" s="43" t="s">
        <v>10521</v>
      </c>
      <c r="C5664" s="44" t="s">
        <v>10826</v>
      </c>
      <c r="D5664" s="6">
        <v>11290.03</v>
      </c>
      <c r="E5664" s="6">
        <v>13610.93</v>
      </c>
      <c r="F5664" s="45" t="s">
        <v>14</v>
      </c>
      <c r="G5664" s="46" t="s">
        <v>10827</v>
      </c>
      <c r="H5664" s="46" t="s">
        <v>27</v>
      </c>
      <c r="I5664" s="9">
        <v>4059</v>
      </c>
      <c r="J5664" s="48">
        <v>68</v>
      </c>
      <c r="K5664" s="48">
        <v>68153</v>
      </c>
      <c r="L5664" s="3" t="str">
        <f t="shared" si="183"/>
        <v>ΣΠΑΡΑΓΓΙΑ</v>
      </c>
    </row>
    <row r="5665" spans="1:12" ht="24" x14ac:dyDescent="0.25">
      <c r="A5665" s="1" t="str">
        <f t="shared" si="182"/>
        <v>ΣΠΑΡΑΓΓΙΑΣΠΑΡΑΓΓΙΑ XENOLIM - ΜΗ ΠΑΡΑΓΩΓΙΚΑ</v>
      </c>
      <c r="B5665" s="49" t="s">
        <v>10521</v>
      </c>
      <c r="C5665" s="50" t="s">
        <v>10828</v>
      </c>
      <c r="D5665" s="6">
        <v>11290.03</v>
      </c>
      <c r="E5665" s="6">
        <v>13610.93</v>
      </c>
      <c r="F5665" s="46" t="s">
        <v>14</v>
      </c>
      <c r="G5665" s="46" t="s">
        <v>10829</v>
      </c>
      <c r="H5665" s="46" t="s">
        <v>16</v>
      </c>
      <c r="I5665" s="47">
        <v>3389</v>
      </c>
      <c r="J5665" s="51">
        <v>68</v>
      </c>
      <c r="K5665" s="51">
        <v>68154</v>
      </c>
      <c r="L5665" s="3" t="str">
        <f t="shared" si="183"/>
        <v>ΣΠΑΡΑΓΓΙΑ</v>
      </c>
    </row>
    <row r="5666" spans="1:12" ht="24" x14ac:dyDescent="0.25">
      <c r="A5666" s="1" t="str">
        <f t="shared" si="182"/>
        <v>ΣΠΑΡΑΓΓΙΑΣΠΑΡΑΓΓΙΑ ZENO - ΜΗ ΠΑΡΑΓΩΓΙΚΑ</v>
      </c>
      <c r="B5666" s="49" t="s">
        <v>10521</v>
      </c>
      <c r="C5666" s="50" t="s">
        <v>10830</v>
      </c>
      <c r="D5666" s="6">
        <v>11290.03</v>
      </c>
      <c r="E5666" s="6">
        <v>13610.93</v>
      </c>
      <c r="F5666" s="46" t="s">
        <v>14</v>
      </c>
      <c r="G5666" s="46" t="s">
        <v>10831</v>
      </c>
      <c r="H5666" s="46" t="s">
        <v>16</v>
      </c>
      <c r="I5666" s="9">
        <v>3397</v>
      </c>
      <c r="J5666" s="51">
        <v>68</v>
      </c>
      <c r="K5666" s="51">
        <v>68155</v>
      </c>
      <c r="L5666" s="3" t="str">
        <f t="shared" si="183"/>
        <v>ΣΠΑΡΑΓΓΙΑ</v>
      </c>
    </row>
    <row r="5667" spans="1:12" ht="24" x14ac:dyDescent="0.25">
      <c r="A5667" s="1" t="str">
        <f t="shared" si="182"/>
        <v>ΣΠΑΡΑΓΓΙΑΣΠΑΡΑΓΓΙΑ GROLIM - ΜΗ ΠΑΡΑΓΩΓΙΚΑ</v>
      </c>
      <c r="B5667" s="49" t="s">
        <v>10521</v>
      </c>
      <c r="C5667" s="50" t="s">
        <v>10832</v>
      </c>
      <c r="D5667" s="6">
        <v>11290.03</v>
      </c>
      <c r="E5667" s="6">
        <v>13610.93</v>
      </c>
      <c r="F5667" s="46" t="s">
        <v>14</v>
      </c>
      <c r="G5667" s="46" t="s">
        <v>10833</v>
      </c>
      <c r="H5667" s="46" t="s">
        <v>16</v>
      </c>
      <c r="I5667" s="47">
        <v>3391</v>
      </c>
      <c r="J5667" s="51">
        <v>68</v>
      </c>
      <c r="K5667" s="51">
        <v>68156</v>
      </c>
      <c r="L5667" s="3" t="str">
        <f t="shared" si="183"/>
        <v>ΣΠΑΡΑΓΓΙΑ</v>
      </c>
    </row>
    <row r="5668" spans="1:12" ht="24" x14ac:dyDescent="0.25">
      <c r="A5668" s="1" t="str">
        <f t="shared" si="182"/>
        <v>ΣΠΑΡΑΓΓΙΑΣΠΑΡΑΓΓΙΑ DARSIANE - ΜΗ ΠΑΡΑΓΩΓΙΚΑ</v>
      </c>
      <c r="B5668" s="49" t="s">
        <v>10521</v>
      </c>
      <c r="C5668" s="50" t="s">
        <v>10834</v>
      </c>
      <c r="D5668" s="6">
        <v>11290.03</v>
      </c>
      <c r="E5668" s="6">
        <v>13610.93</v>
      </c>
      <c r="F5668" s="46" t="s">
        <v>14</v>
      </c>
      <c r="G5668" s="46" t="s">
        <v>10835</v>
      </c>
      <c r="H5668" s="46" t="s">
        <v>16</v>
      </c>
      <c r="I5668" s="9">
        <v>3384</v>
      </c>
      <c r="J5668" s="51">
        <v>68</v>
      </c>
      <c r="K5668" s="51">
        <v>68157</v>
      </c>
      <c r="L5668" s="3" t="str">
        <f t="shared" si="183"/>
        <v>ΣΠΑΡΑΓΓΙΑ</v>
      </c>
    </row>
    <row r="5669" spans="1:12" ht="24" x14ac:dyDescent="0.25">
      <c r="A5669" s="1" t="str">
        <f t="shared" si="182"/>
        <v>ΣΠΑΡΑΓΓΙΑΣΠΑΡΑΓΓΙΑ SANTENSE - ΜΗ ΠΑΡΑΓΩΓΙΚΑ</v>
      </c>
      <c r="B5669" s="49" t="s">
        <v>10521</v>
      </c>
      <c r="C5669" s="50" t="s">
        <v>10836</v>
      </c>
      <c r="D5669" s="6">
        <v>11290.03</v>
      </c>
      <c r="E5669" s="6">
        <v>13610.93</v>
      </c>
      <c r="F5669" s="46" t="s">
        <v>14</v>
      </c>
      <c r="G5669" s="46" t="s">
        <v>10837</v>
      </c>
      <c r="H5669" s="46" t="s">
        <v>16</v>
      </c>
      <c r="I5669" s="47">
        <v>3393</v>
      </c>
      <c r="J5669" s="51">
        <v>68</v>
      </c>
      <c r="K5669" s="51">
        <v>68158</v>
      </c>
      <c r="L5669" s="3" t="str">
        <f t="shared" si="183"/>
        <v>ΣΠΑΡΑΓΓΙΑ</v>
      </c>
    </row>
    <row r="5670" spans="1:12" ht="24" x14ac:dyDescent="0.25">
      <c r="A5670" s="1" t="str">
        <f t="shared" si="182"/>
        <v>ΣΠΑΡΑΓΓΙΑΣΠΑΡΑΓΓΙΑ FRUHLIM</v>
      </c>
      <c r="B5670" s="49" t="s">
        <v>10521</v>
      </c>
      <c r="C5670" s="50" t="s">
        <v>10838</v>
      </c>
      <c r="D5670" s="6">
        <v>11290.03</v>
      </c>
      <c r="E5670" s="6">
        <v>13610.93</v>
      </c>
      <c r="F5670" s="46" t="s">
        <v>14</v>
      </c>
      <c r="G5670" s="46" t="s">
        <v>10839</v>
      </c>
      <c r="H5670" s="46" t="s">
        <v>16</v>
      </c>
      <c r="I5670" s="9">
        <v>3394</v>
      </c>
      <c r="J5670" s="51">
        <v>68</v>
      </c>
      <c r="K5670" s="51">
        <v>68159</v>
      </c>
      <c r="L5670" s="3" t="str">
        <f t="shared" si="183"/>
        <v>ΣΠΑΡΑΓΓΙΑ</v>
      </c>
    </row>
    <row r="5671" spans="1:12" ht="24" x14ac:dyDescent="0.25">
      <c r="A5671" s="1" t="str">
        <f t="shared" si="182"/>
        <v>ΣΠΑΡΑΓΓΙΑΣΠΑΡΑΓΓΙΑ GIOVE</v>
      </c>
      <c r="B5671" s="49" t="s">
        <v>10521</v>
      </c>
      <c r="C5671" s="50" t="s">
        <v>10840</v>
      </c>
      <c r="D5671" s="6">
        <v>11290.03</v>
      </c>
      <c r="E5671" s="6">
        <v>13610.93</v>
      </c>
      <c r="F5671" s="46" t="s">
        <v>14</v>
      </c>
      <c r="G5671" s="46" t="s">
        <v>10841</v>
      </c>
      <c r="H5671" s="46" t="s">
        <v>16</v>
      </c>
      <c r="I5671" s="47">
        <v>3395</v>
      </c>
      <c r="J5671" s="51">
        <v>68</v>
      </c>
      <c r="K5671" s="51">
        <v>68160</v>
      </c>
      <c r="L5671" s="3" t="str">
        <f t="shared" si="183"/>
        <v>ΣΠΑΡΑΓΓΙΑ</v>
      </c>
    </row>
    <row r="5672" spans="1:12" x14ac:dyDescent="0.25">
      <c r="A5672" s="1" t="str">
        <f t="shared" si="182"/>
        <v>ΣΠΑΡΑΓΓΙΑΣΠΑΡΑΓΓΙΑ PORTHOS</v>
      </c>
      <c r="B5672" s="49" t="s">
        <v>10521</v>
      </c>
      <c r="C5672" s="50" t="s">
        <v>10842</v>
      </c>
      <c r="D5672" s="6">
        <v>11290.03</v>
      </c>
      <c r="E5672" s="6">
        <v>13610.93</v>
      </c>
      <c r="F5672" s="46" t="s">
        <v>14</v>
      </c>
      <c r="G5672" s="46" t="s">
        <v>10843</v>
      </c>
      <c r="H5672" s="46" t="s">
        <v>27</v>
      </c>
      <c r="I5672" s="9">
        <v>3396</v>
      </c>
      <c r="J5672" s="51">
        <v>68</v>
      </c>
      <c r="K5672" s="51">
        <v>68161</v>
      </c>
      <c r="L5672" s="3" t="str">
        <f t="shared" si="183"/>
        <v>ΣΠΑΡΑΓΓΙΑ</v>
      </c>
    </row>
    <row r="5673" spans="1:12" ht="24" x14ac:dyDescent="0.25">
      <c r="A5673" s="1" t="str">
        <f t="shared" si="182"/>
        <v>ΣΠΑΡΑΓΓΙΑΣΠΑΡΑΓΓΙΑ RAMON</v>
      </c>
      <c r="B5673" s="49" t="s">
        <v>10521</v>
      </c>
      <c r="C5673" s="50" t="s">
        <v>10844</v>
      </c>
      <c r="D5673" s="6">
        <v>11290.03</v>
      </c>
      <c r="E5673" s="6">
        <v>13610.93</v>
      </c>
      <c r="F5673" s="46" t="s">
        <v>14</v>
      </c>
      <c r="G5673" s="46" t="s">
        <v>10845</v>
      </c>
      <c r="H5673" s="46" t="s">
        <v>16</v>
      </c>
      <c r="I5673" s="47">
        <v>3402</v>
      </c>
      <c r="J5673" s="51">
        <v>68</v>
      </c>
      <c r="K5673" s="51">
        <v>68162</v>
      </c>
      <c r="L5673" s="3" t="str">
        <f t="shared" si="183"/>
        <v>ΣΠΑΡΑΓΓΙΑ</v>
      </c>
    </row>
    <row r="5674" spans="1:12" ht="24" x14ac:dyDescent="0.25">
      <c r="A5674" s="1" t="str">
        <f t="shared" si="182"/>
        <v>ΣΠΑΡΑΓΓΙΑΣΠΑΡΑΓΓΙΑ SEQUOIA</v>
      </c>
      <c r="B5674" s="49" t="s">
        <v>10521</v>
      </c>
      <c r="C5674" s="50" t="s">
        <v>10846</v>
      </c>
      <c r="D5674" s="6">
        <v>11290.03</v>
      </c>
      <c r="E5674" s="6">
        <v>13610.93</v>
      </c>
      <c r="F5674" s="46" t="s">
        <v>14</v>
      </c>
      <c r="G5674" s="46" t="s">
        <v>10847</v>
      </c>
      <c r="H5674" s="46" t="s">
        <v>16</v>
      </c>
      <c r="I5674" s="9">
        <v>3446</v>
      </c>
      <c r="J5674" s="51">
        <v>68</v>
      </c>
      <c r="K5674" s="51">
        <v>68163</v>
      </c>
      <c r="L5674" s="3" t="str">
        <f t="shared" si="183"/>
        <v>ΣΠΑΡΑΓΓΙΑ</v>
      </c>
    </row>
    <row r="5675" spans="1:12" ht="24" x14ac:dyDescent="0.25">
      <c r="A5675" s="1" t="str">
        <f t="shared" si="182"/>
        <v>ΣΠΑΡΑΓΓΙΑΣΠΑΡΑΓΓΙΑ TERRALIM</v>
      </c>
      <c r="B5675" s="49" t="s">
        <v>10521</v>
      </c>
      <c r="C5675" s="50" t="s">
        <v>10848</v>
      </c>
      <c r="D5675" s="6">
        <v>11290.03</v>
      </c>
      <c r="E5675" s="6">
        <v>13610.93</v>
      </c>
      <c r="F5675" s="46" t="s">
        <v>14</v>
      </c>
      <c r="G5675" s="46" t="s">
        <v>10849</v>
      </c>
      <c r="H5675" s="46" t="s">
        <v>16</v>
      </c>
      <c r="I5675" s="47">
        <v>3432</v>
      </c>
      <c r="J5675" s="51">
        <v>68</v>
      </c>
      <c r="K5675" s="51">
        <v>68164</v>
      </c>
      <c r="L5675" s="3" t="str">
        <f t="shared" si="183"/>
        <v>ΣΠΑΡΑΓΓΙΑ</v>
      </c>
    </row>
    <row r="5676" spans="1:12" x14ac:dyDescent="0.25">
      <c r="A5676" s="1" t="str">
        <f t="shared" si="182"/>
        <v>ΣΠΑΡΑΓΓΙΑΣΠΑΡΑΓΓΙΑ PORTHOS - ΜΗ ΠΑΡΑΓΩΓΙΚΑ</v>
      </c>
      <c r="B5676" s="49" t="s">
        <v>10521</v>
      </c>
      <c r="C5676" s="50" t="s">
        <v>10850</v>
      </c>
      <c r="D5676" s="6">
        <v>11290.03</v>
      </c>
      <c r="E5676" s="6">
        <v>13610.93</v>
      </c>
      <c r="F5676" s="46" t="s">
        <v>14</v>
      </c>
      <c r="G5676" s="46" t="s">
        <v>10851</v>
      </c>
      <c r="H5676" s="46" t="s">
        <v>27</v>
      </c>
      <c r="I5676" s="9">
        <v>3433</v>
      </c>
      <c r="J5676" s="51">
        <v>68</v>
      </c>
      <c r="K5676" s="51">
        <v>68165</v>
      </c>
      <c r="L5676" s="3" t="str">
        <f t="shared" si="183"/>
        <v>ΣΠΑΡΑΓΓΙΑ</v>
      </c>
    </row>
    <row r="5677" spans="1:12" ht="24" x14ac:dyDescent="0.25">
      <c r="A5677" s="1" t="str">
        <f t="shared" si="182"/>
        <v>ΣΠΑΡΑΓΓΙΑΣΠΑΡΑΓΓΙΑ RAMON - ΜΗ ΠΑΡΑΓΩΓΙΚΑ</v>
      </c>
      <c r="B5677" s="49" t="s">
        <v>10521</v>
      </c>
      <c r="C5677" s="50" t="s">
        <v>10852</v>
      </c>
      <c r="D5677" s="6">
        <v>11290.03</v>
      </c>
      <c r="E5677" s="6">
        <v>13610.93</v>
      </c>
      <c r="F5677" s="46" t="s">
        <v>14</v>
      </c>
      <c r="G5677" s="46" t="s">
        <v>10853</v>
      </c>
      <c r="H5677" s="46" t="s">
        <v>16</v>
      </c>
      <c r="I5677" s="47">
        <v>3434</v>
      </c>
      <c r="J5677" s="51">
        <v>68</v>
      </c>
      <c r="K5677" s="51">
        <v>68166</v>
      </c>
      <c r="L5677" s="3" t="str">
        <f t="shared" si="183"/>
        <v>ΣΠΑΡΑΓΓΙΑ</v>
      </c>
    </row>
    <row r="5678" spans="1:12" ht="24" x14ac:dyDescent="0.25">
      <c r="A5678" s="1" t="str">
        <f t="shared" si="182"/>
        <v>ΣΠΑΡΑΓΓΙΑΣΠΑΡΑΓΓΙΑ SEQUOIA - ΜΗ ΠΑΡΑΓΩΓΙΚΑ</v>
      </c>
      <c r="B5678" s="49" t="s">
        <v>10521</v>
      </c>
      <c r="C5678" s="50" t="s">
        <v>10854</v>
      </c>
      <c r="D5678" s="6">
        <v>11290.03</v>
      </c>
      <c r="E5678" s="6">
        <v>13610.93</v>
      </c>
      <c r="F5678" s="46" t="s">
        <v>14</v>
      </c>
      <c r="G5678" s="46" t="s">
        <v>10855</v>
      </c>
      <c r="H5678" s="46" t="s">
        <v>16</v>
      </c>
      <c r="I5678" s="9">
        <v>3435</v>
      </c>
      <c r="J5678" s="51">
        <v>68</v>
      </c>
      <c r="K5678" s="51">
        <v>68167</v>
      </c>
      <c r="L5678" s="3" t="str">
        <f t="shared" si="183"/>
        <v>ΣΠΑΡΑΓΓΙΑ</v>
      </c>
    </row>
    <row r="5679" spans="1:12" ht="24" x14ac:dyDescent="0.25">
      <c r="A5679" s="1" t="str">
        <f t="shared" si="182"/>
        <v>ΣΠΑΡΑΓΓΙΑΣΠΑΡΑΓΓΙΑ FRUHLIM - ΜΗ ΠΑΡΑΓΩΓΙΚΑ</v>
      </c>
      <c r="B5679" s="49" t="s">
        <v>10521</v>
      </c>
      <c r="C5679" s="50" t="s">
        <v>10856</v>
      </c>
      <c r="D5679" s="6">
        <v>11290.03</v>
      </c>
      <c r="E5679" s="6">
        <v>13610.93</v>
      </c>
      <c r="F5679" s="46" t="s">
        <v>14</v>
      </c>
      <c r="G5679" s="46" t="s">
        <v>10857</v>
      </c>
      <c r="H5679" s="46" t="s">
        <v>16</v>
      </c>
      <c r="I5679" s="47">
        <v>3436</v>
      </c>
      <c r="J5679" s="51">
        <v>68</v>
      </c>
      <c r="K5679" s="51">
        <v>68168</v>
      </c>
      <c r="L5679" s="3" t="str">
        <f t="shared" si="183"/>
        <v>ΣΠΑΡΑΓΓΙΑ</v>
      </c>
    </row>
    <row r="5680" spans="1:12" ht="24" x14ac:dyDescent="0.25">
      <c r="A5680" s="1" t="str">
        <f t="shared" si="182"/>
        <v>ΣΠΑΡΑΓΓΙΑΣΠΑΡΑΓΓΙΑ GIOVE - ΜΗ ΠΑΡΑΓΩΓΙΚΑ</v>
      </c>
      <c r="B5680" s="49" t="s">
        <v>10521</v>
      </c>
      <c r="C5680" s="50" t="s">
        <v>10858</v>
      </c>
      <c r="D5680" s="6">
        <v>11290.03</v>
      </c>
      <c r="E5680" s="6">
        <v>13610.93</v>
      </c>
      <c r="F5680" s="46" t="s">
        <v>14</v>
      </c>
      <c r="G5680" s="46" t="s">
        <v>10859</v>
      </c>
      <c r="H5680" s="46" t="s">
        <v>16</v>
      </c>
      <c r="I5680" s="9">
        <v>3437</v>
      </c>
      <c r="J5680" s="51">
        <v>68</v>
      </c>
      <c r="K5680" s="51">
        <v>68169</v>
      </c>
      <c r="L5680" s="3" t="str">
        <f t="shared" si="183"/>
        <v>ΣΠΑΡΑΓΓΙΑ</v>
      </c>
    </row>
    <row r="5681" spans="1:12" ht="24" x14ac:dyDescent="0.25">
      <c r="A5681" s="1" t="str">
        <f t="shared" si="182"/>
        <v>ΣΠΑΡΑΓΓΙΑΣΠΑΡΑΓΓΙΑ TERRALIM - ΜΗ ΠΑΡΑΓΩΓΙΚΑ</v>
      </c>
      <c r="B5681" s="49" t="s">
        <v>10521</v>
      </c>
      <c r="C5681" s="50" t="s">
        <v>10860</v>
      </c>
      <c r="D5681" s="6">
        <v>11290.03</v>
      </c>
      <c r="E5681" s="6">
        <v>13610.93</v>
      </c>
      <c r="F5681" s="46" t="s">
        <v>14</v>
      </c>
      <c r="G5681" s="46" t="s">
        <v>10861</v>
      </c>
      <c r="H5681" s="46" t="s">
        <v>16</v>
      </c>
      <c r="I5681" s="47">
        <v>3447</v>
      </c>
      <c r="J5681" s="51">
        <v>68</v>
      </c>
      <c r="K5681" s="51">
        <v>68170</v>
      </c>
      <c r="L5681" s="3" t="str">
        <f t="shared" si="183"/>
        <v>ΣΠΑΡΑΓΓΙΑ</v>
      </c>
    </row>
    <row r="5682" spans="1:12" ht="24" x14ac:dyDescent="0.25">
      <c r="A5682" s="1" t="str">
        <f t="shared" si="182"/>
        <v>ΣΠΑΡΑΓΓΙΑΣΠΑΡΑΓΓΙΑ GUELPH MILLENNIUM</v>
      </c>
      <c r="B5682" s="49" t="s">
        <v>10521</v>
      </c>
      <c r="C5682" s="50" t="s">
        <v>10862</v>
      </c>
      <c r="D5682" s="6">
        <v>11290.03</v>
      </c>
      <c r="E5682" s="6">
        <v>13610.93</v>
      </c>
      <c r="F5682" s="46" t="s">
        <v>14</v>
      </c>
      <c r="G5682" s="46" t="s">
        <v>10863</v>
      </c>
      <c r="H5682" s="46" t="s">
        <v>16</v>
      </c>
      <c r="I5682" s="9">
        <v>3439</v>
      </c>
      <c r="J5682" s="51">
        <v>68</v>
      </c>
      <c r="K5682" s="51">
        <v>68171</v>
      </c>
      <c r="L5682" s="3" t="str">
        <f t="shared" si="183"/>
        <v>ΣΠΑΡΑΓΓΙΑ</v>
      </c>
    </row>
    <row r="5683" spans="1:12" ht="24" x14ac:dyDescent="0.25">
      <c r="A5683" s="1" t="str">
        <f t="shared" si="182"/>
        <v>ΣΠΑΡΑΓΓΙΑΣΠΑΡΑΓΓΙΑ GUELPH EVOLUTION</v>
      </c>
      <c r="B5683" s="49" t="s">
        <v>10521</v>
      </c>
      <c r="C5683" s="50" t="s">
        <v>10864</v>
      </c>
      <c r="D5683" s="6">
        <v>11290.03</v>
      </c>
      <c r="E5683" s="6">
        <v>13610.93</v>
      </c>
      <c r="F5683" s="46" t="s">
        <v>14</v>
      </c>
      <c r="G5683" s="46" t="s">
        <v>10865</v>
      </c>
      <c r="H5683" s="46" t="s">
        <v>16</v>
      </c>
      <c r="I5683" s="47">
        <v>3431</v>
      </c>
      <c r="J5683" s="51">
        <v>68</v>
      </c>
      <c r="K5683" s="51">
        <v>68172</v>
      </c>
      <c r="L5683" s="3" t="str">
        <f t="shared" si="183"/>
        <v>ΣΠΑΡΑΓΓΙΑ</v>
      </c>
    </row>
    <row r="5684" spans="1:12" ht="24" x14ac:dyDescent="0.25">
      <c r="A5684" s="1" t="str">
        <f t="shared" si="182"/>
        <v>ΣΠΑΡΑΓΓΙΑΣΠΑΡΑΓΓΙΑ GUELPH MILLENNIUM - ΜΗ ΠΑΡΑΓΩΓΙΚΑ</v>
      </c>
      <c r="B5684" s="49" t="s">
        <v>10521</v>
      </c>
      <c r="C5684" s="50" t="s">
        <v>10866</v>
      </c>
      <c r="D5684" s="6">
        <v>11290.03</v>
      </c>
      <c r="E5684" s="6">
        <v>13610.93</v>
      </c>
      <c r="F5684" s="46" t="s">
        <v>14</v>
      </c>
      <c r="G5684" s="46" t="s">
        <v>10867</v>
      </c>
      <c r="H5684" s="46" t="s">
        <v>16</v>
      </c>
      <c r="I5684" s="9">
        <v>3441</v>
      </c>
      <c r="J5684" s="51">
        <v>68</v>
      </c>
      <c r="K5684" s="51">
        <v>68173</v>
      </c>
      <c r="L5684" s="3" t="str">
        <f t="shared" si="183"/>
        <v>ΣΠΑΡΑΓΓΙΑ</v>
      </c>
    </row>
    <row r="5685" spans="1:12" ht="24" x14ac:dyDescent="0.25">
      <c r="A5685" s="1" t="str">
        <f t="shared" si="182"/>
        <v>ΣΠΑΡΑΓΓΙΑΣΠΑΡΑΓΓΙΑ ERASMUS</v>
      </c>
      <c r="B5685" s="49" t="s">
        <v>10521</v>
      </c>
      <c r="C5685" s="50" t="s">
        <v>10868</v>
      </c>
      <c r="D5685" s="6">
        <v>11290.03</v>
      </c>
      <c r="E5685" s="6">
        <v>13610.93</v>
      </c>
      <c r="F5685" s="46" t="s">
        <v>14</v>
      </c>
      <c r="G5685" s="46" t="s">
        <v>10869</v>
      </c>
      <c r="H5685" s="46" t="s">
        <v>16</v>
      </c>
      <c r="I5685" s="47">
        <v>3442</v>
      </c>
      <c r="J5685" s="51">
        <v>68</v>
      </c>
      <c r="K5685" s="51">
        <v>68174</v>
      </c>
      <c r="L5685" s="3" t="str">
        <f t="shared" si="183"/>
        <v>ΣΠΑΡΑΓΓΙΑ</v>
      </c>
    </row>
    <row r="5686" spans="1:12" ht="24" x14ac:dyDescent="0.25">
      <c r="A5686" s="1" t="str">
        <f t="shared" si="182"/>
        <v>ΣΠΑΡΑΓΓΙΑΣΠΑΡΑΓΓΙΑ ERASMUS - ΜΗ ΠΑΡΑΓΩΓΙΚΑ</v>
      </c>
      <c r="B5686" s="49" t="s">
        <v>10521</v>
      </c>
      <c r="C5686" s="50" t="s">
        <v>10870</v>
      </c>
      <c r="D5686" s="6">
        <v>11290.03</v>
      </c>
      <c r="E5686" s="6">
        <v>13610.93</v>
      </c>
      <c r="F5686" s="46" t="s">
        <v>14</v>
      </c>
      <c r="G5686" s="46" t="s">
        <v>10871</v>
      </c>
      <c r="H5686" s="46" t="s">
        <v>16</v>
      </c>
      <c r="I5686" s="9">
        <v>3443</v>
      </c>
      <c r="J5686" s="51">
        <v>68</v>
      </c>
      <c r="K5686" s="51">
        <v>68175</v>
      </c>
      <c r="L5686" s="3" t="str">
        <f t="shared" si="183"/>
        <v>ΣΠΑΡΑΓΓΙΑ</v>
      </c>
    </row>
    <row r="5687" spans="1:12" ht="24" x14ac:dyDescent="0.25">
      <c r="A5687" s="1" t="str">
        <f t="shared" si="182"/>
        <v>ΣΠΑΡΑΓΓΙΑΣΠΑΡΑΓΓΙΑ MAXLIM - ΜΗ ΠΑΡΑΓΩΓΙΚΑ</v>
      </c>
      <c r="B5687" s="49" t="s">
        <v>10521</v>
      </c>
      <c r="C5687" s="50" t="s">
        <v>10872</v>
      </c>
      <c r="D5687" s="6">
        <v>11290.03</v>
      </c>
      <c r="E5687" s="6">
        <v>13610.93</v>
      </c>
      <c r="F5687" s="46" t="s">
        <v>14</v>
      </c>
      <c r="G5687" s="46" t="s">
        <v>10873</v>
      </c>
      <c r="H5687" s="46" t="s">
        <v>16</v>
      </c>
      <c r="I5687" s="47">
        <v>3444</v>
      </c>
      <c r="J5687" s="51">
        <v>68</v>
      </c>
      <c r="K5687" s="51">
        <v>68176</v>
      </c>
      <c r="L5687" s="3" t="str">
        <f t="shared" si="183"/>
        <v>ΣΠΑΡΑΓΓΙΑ</v>
      </c>
    </row>
    <row r="5688" spans="1:12" ht="24" x14ac:dyDescent="0.25">
      <c r="A5688" s="1" t="str">
        <f t="shared" si="182"/>
        <v>ΣΠΑΡΑΓΓΙΑΣΠΑΡΑΓΓΙΑ ASPALIM</v>
      </c>
      <c r="B5688" s="49" t="s">
        <v>10521</v>
      </c>
      <c r="C5688" s="50" t="s">
        <v>10874</v>
      </c>
      <c r="D5688" s="6">
        <v>11290.03</v>
      </c>
      <c r="E5688" s="6">
        <v>13610.93</v>
      </c>
      <c r="F5688" s="46" t="s">
        <v>14</v>
      </c>
      <c r="G5688" s="46" t="s">
        <v>10875</v>
      </c>
      <c r="H5688" s="46" t="s">
        <v>16</v>
      </c>
      <c r="I5688" s="9">
        <v>3445</v>
      </c>
      <c r="J5688" s="51">
        <v>68</v>
      </c>
      <c r="K5688" s="51">
        <v>68177</v>
      </c>
      <c r="L5688" s="3" t="str">
        <f t="shared" si="183"/>
        <v>ΣΠΑΡΑΓΓΙΑ</v>
      </c>
    </row>
    <row r="5689" spans="1:12" ht="24" x14ac:dyDescent="0.25">
      <c r="A5689" s="1" t="str">
        <f t="shared" si="182"/>
        <v>ΣΠΑΡΑΓΓΙΑΣΠΑΡΑΓΓΙΑ CANTICUS - ΜΗ ΠΑΡΑΓΩΓΙΚΑ</v>
      </c>
      <c r="B5689" s="49" t="s">
        <v>10521</v>
      </c>
      <c r="C5689" s="50" t="s">
        <v>10876</v>
      </c>
      <c r="D5689" s="6">
        <v>11290.03</v>
      </c>
      <c r="E5689" s="6">
        <v>13610.93</v>
      </c>
      <c r="F5689" s="46" t="s">
        <v>14</v>
      </c>
      <c r="G5689" s="46" t="s">
        <v>10877</v>
      </c>
      <c r="H5689" s="46" t="s">
        <v>16</v>
      </c>
      <c r="I5689" s="47">
        <v>3423</v>
      </c>
      <c r="J5689" s="51">
        <v>68</v>
      </c>
      <c r="K5689" s="51">
        <v>68178</v>
      </c>
      <c r="L5689" s="3" t="str">
        <f t="shared" si="183"/>
        <v>ΣΠΑΡΑΓΓΙΑ</v>
      </c>
    </row>
    <row r="5690" spans="1:12" ht="24" x14ac:dyDescent="0.25">
      <c r="A5690" s="1" t="str">
        <f t="shared" si="182"/>
        <v>ΣΠΑΡΑΓΓΙΑΣΠΑΡΑΓΓΙΑ FINALUS - ΜΗ ΠΑΡΑΓΩΓΙΚΑ</v>
      </c>
      <c r="B5690" s="49" t="s">
        <v>10521</v>
      </c>
      <c r="C5690" s="50" t="s">
        <v>10878</v>
      </c>
      <c r="D5690" s="6">
        <v>11290.03</v>
      </c>
      <c r="E5690" s="6">
        <v>13610.93</v>
      </c>
      <c r="F5690" s="46" t="s">
        <v>14</v>
      </c>
      <c r="G5690" s="46" t="s">
        <v>10879</v>
      </c>
      <c r="H5690" s="46" t="s">
        <v>16</v>
      </c>
      <c r="I5690" s="9">
        <v>3440</v>
      </c>
      <c r="J5690" s="51">
        <v>68</v>
      </c>
      <c r="K5690" s="51">
        <v>68179</v>
      </c>
      <c r="L5690" s="3" t="str">
        <f t="shared" si="183"/>
        <v>ΣΠΑΡΑΓΓΙΑ</v>
      </c>
    </row>
    <row r="5691" spans="1:12" ht="24" x14ac:dyDescent="0.25">
      <c r="A5691" s="1" t="str">
        <f t="shared" si="182"/>
        <v>ΣΠΑΡΑΓΓΙΑΣΠΑΡΑΓΓΙΑ ALBENGA - ΜΗ ΠΑΡΑΓΩΓΙΚΑ</v>
      </c>
      <c r="B5691" s="49" t="s">
        <v>10521</v>
      </c>
      <c r="C5691" s="50" t="s">
        <v>10880</v>
      </c>
      <c r="D5691" s="6">
        <v>11290.03</v>
      </c>
      <c r="E5691" s="6">
        <v>13610.93</v>
      </c>
      <c r="F5691" s="46" t="s">
        <v>14</v>
      </c>
      <c r="G5691" s="46" t="s">
        <v>10881</v>
      </c>
      <c r="H5691" s="46" t="s">
        <v>16</v>
      </c>
      <c r="I5691" s="47">
        <v>3438</v>
      </c>
      <c r="J5691" s="51">
        <v>68</v>
      </c>
      <c r="K5691" s="51">
        <v>68180</v>
      </c>
      <c r="L5691" s="3" t="str">
        <f t="shared" si="183"/>
        <v>ΣΠΑΡΑΓΓΙΑ</v>
      </c>
    </row>
    <row r="5692" spans="1:12" ht="24" x14ac:dyDescent="0.25">
      <c r="A5692" s="1" t="str">
        <f t="shared" si="182"/>
        <v>ΣΠΑΡΑΓΓΙΑΣΠΑΡΑΓΓΙΑ FINALUS</v>
      </c>
      <c r="B5692" s="49" t="s">
        <v>10521</v>
      </c>
      <c r="C5692" s="50" t="s">
        <v>10882</v>
      </c>
      <c r="D5692" s="6">
        <v>11290.03</v>
      </c>
      <c r="E5692" s="6">
        <v>13610.93</v>
      </c>
      <c r="F5692" s="46" t="s">
        <v>14</v>
      </c>
      <c r="G5692" s="46" t="s">
        <v>10883</v>
      </c>
      <c r="H5692" s="46" t="s">
        <v>16</v>
      </c>
      <c r="I5692" s="9">
        <v>3416</v>
      </c>
      <c r="J5692" s="51">
        <v>68</v>
      </c>
      <c r="K5692" s="51">
        <v>68181</v>
      </c>
      <c r="L5692" s="3" t="str">
        <f t="shared" si="183"/>
        <v>ΣΠΑΡΑΓΓΙΑ</v>
      </c>
    </row>
    <row r="5693" spans="1:12" ht="24" x14ac:dyDescent="0.25">
      <c r="A5693" s="1" t="str">
        <f t="shared" si="182"/>
        <v>ΣΠΑΡΑΓΓΙΑΣΠΑΡΑΓΓΙΑ GUELPH EVOLUTION - ΜΗ ΠΑΡΑΓΩΓΙΚΑ</v>
      </c>
      <c r="B5693" s="49" t="s">
        <v>10521</v>
      </c>
      <c r="C5693" s="50" t="s">
        <v>10884</v>
      </c>
      <c r="D5693" s="6">
        <v>11290.03</v>
      </c>
      <c r="E5693" s="6">
        <v>13610.93</v>
      </c>
      <c r="F5693" s="46" t="s">
        <v>14</v>
      </c>
      <c r="G5693" s="46" t="s">
        <v>10885</v>
      </c>
      <c r="H5693" s="46" t="s">
        <v>16</v>
      </c>
      <c r="I5693" s="47">
        <v>3421</v>
      </c>
      <c r="J5693" s="51">
        <v>68</v>
      </c>
      <c r="K5693" s="51">
        <v>68182</v>
      </c>
      <c r="L5693" s="3" t="str">
        <f t="shared" si="183"/>
        <v>ΣΠΑΡΑΓΓΙΑ</v>
      </c>
    </row>
    <row r="5694" spans="1:12" ht="24" x14ac:dyDescent="0.25">
      <c r="A5694" s="1" t="str">
        <f t="shared" si="182"/>
        <v>ΣΠΑΡΑΓΓΙΑΣΠΑΡΑΓΓΙΑ VERDUS - ΜΗ ΠΑΡΑΓΩΓΙΚΑ</v>
      </c>
      <c r="B5694" s="49" t="s">
        <v>10521</v>
      </c>
      <c r="C5694" s="50" t="s">
        <v>10886</v>
      </c>
      <c r="D5694" s="6">
        <v>11290.03</v>
      </c>
      <c r="E5694" s="6">
        <v>13610.93</v>
      </c>
      <c r="F5694" s="46" t="s">
        <v>14</v>
      </c>
      <c r="G5694" s="46" t="s">
        <v>10887</v>
      </c>
      <c r="H5694" s="46" t="s">
        <v>16</v>
      </c>
      <c r="I5694" s="9">
        <v>3417</v>
      </c>
      <c r="J5694" s="51">
        <v>68</v>
      </c>
      <c r="K5694" s="51">
        <v>68183</v>
      </c>
      <c r="L5694" s="3" t="str">
        <f t="shared" si="183"/>
        <v>ΣΠΑΡΑΓΓΙΑ</v>
      </c>
    </row>
    <row r="5695" spans="1:12" ht="24" x14ac:dyDescent="0.25">
      <c r="A5695" s="1" t="str">
        <f t="shared" si="182"/>
        <v>ΣΠΑΡΑΓΓΙΑΣΠΑΡΑΓΓΙΑ ALBENGA</v>
      </c>
      <c r="B5695" s="49" t="s">
        <v>10521</v>
      </c>
      <c r="C5695" s="50" t="s">
        <v>10888</v>
      </c>
      <c r="D5695" s="6">
        <v>11290.03</v>
      </c>
      <c r="E5695" s="6">
        <v>13610.93</v>
      </c>
      <c r="F5695" s="46" t="s">
        <v>14</v>
      </c>
      <c r="G5695" s="46" t="s">
        <v>10889</v>
      </c>
      <c r="H5695" s="46" t="s">
        <v>16</v>
      </c>
      <c r="I5695" s="47">
        <v>3401</v>
      </c>
      <c r="J5695" s="51">
        <v>68</v>
      </c>
      <c r="K5695" s="51">
        <v>68184</v>
      </c>
      <c r="L5695" s="3" t="str">
        <f t="shared" si="183"/>
        <v>ΣΠΑΡΑΓΓΙΑ</v>
      </c>
    </row>
    <row r="5696" spans="1:12" ht="24" x14ac:dyDescent="0.25">
      <c r="A5696" s="1" t="str">
        <f t="shared" si="182"/>
        <v>ΣΠΑΡΑΓΓΙΑΣΠΑΡΑΓΓΙΑ ASPALIM - ΜΗ ΠΑΡΑΓΩΓΙΚΑ</v>
      </c>
      <c r="B5696" s="49" t="s">
        <v>10521</v>
      </c>
      <c r="C5696" s="50" t="s">
        <v>10890</v>
      </c>
      <c r="D5696" s="6">
        <v>11290.03</v>
      </c>
      <c r="E5696" s="6">
        <v>13610.93</v>
      </c>
      <c r="F5696" s="46" t="s">
        <v>14</v>
      </c>
      <c r="G5696" s="46" t="s">
        <v>10891</v>
      </c>
      <c r="H5696" s="46" t="s">
        <v>16</v>
      </c>
      <c r="I5696" s="9">
        <v>3418</v>
      </c>
      <c r="J5696" s="51">
        <v>68</v>
      </c>
      <c r="K5696" s="51">
        <v>68185</v>
      </c>
      <c r="L5696" s="3" t="str">
        <f t="shared" si="183"/>
        <v>ΣΠΑΡΑΓΓΙΑ</v>
      </c>
    </row>
    <row r="5697" spans="1:12" ht="24" x14ac:dyDescent="0.25">
      <c r="A5697" s="1" t="str">
        <f t="shared" si="182"/>
        <v>ΣΠΑΡΑΓΓΙΑΣΠΑΡΑΓΓΙΑ EC12 - ΜΗ ΠΑΡΑΓΩΓΙΚΑ</v>
      </c>
      <c r="B5697" s="49" t="s">
        <v>10521</v>
      </c>
      <c r="C5697" s="50" t="s">
        <v>10892</v>
      </c>
      <c r="D5697" s="6">
        <v>11290.03</v>
      </c>
      <c r="E5697" s="6">
        <v>13610.93</v>
      </c>
      <c r="F5697" s="46" t="s">
        <v>14</v>
      </c>
      <c r="G5697" s="46" t="s">
        <v>10893</v>
      </c>
      <c r="H5697" s="46" t="s">
        <v>16</v>
      </c>
      <c r="I5697" s="47">
        <v>3419</v>
      </c>
      <c r="J5697" s="51">
        <v>68</v>
      </c>
      <c r="K5697" s="51">
        <v>68186</v>
      </c>
      <c r="L5697" s="3" t="str">
        <f t="shared" si="183"/>
        <v>ΣΠΑΡΑΓΓΙΑ</v>
      </c>
    </row>
    <row r="5698" spans="1:12" ht="24" x14ac:dyDescent="0.25">
      <c r="A5698" s="1" t="str">
        <f t="shared" si="182"/>
        <v>ΣΠΑΡΑΓΓΙΑΣΠΑΡΑΓΓΙΑ MAXLIM</v>
      </c>
      <c r="B5698" s="49" t="s">
        <v>10521</v>
      </c>
      <c r="C5698" s="50" t="s">
        <v>10894</v>
      </c>
      <c r="D5698" s="6">
        <v>11290.03</v>
      </c>
      <c r="E5698" s="6">
        <v>13610.93</v>
      </c>
      <c r="F5698" s="46" t="s">
        <v>14</v>
      </c>
      <c r="G5698" s="46" t="s">
        <v>10895</v>
      </c>
      <c r="H5698" s="46" t="s">
        <v>16</v>
      </c>
      <c r="I5698" s="9">
        <v>3420</v>
      </c>
      <c r="J5698" s="51">
        <v>68</v>
      </c>
      <c r="K5698" s="51">
        <v>68187</v>
      </c>
      <c r="L5698" s="3" t="str">
        <f t="shared" si="183"/>
        <v>ΣΠΑΡΑΓΓΙΑ</v>
      </c>
    </row>
    <row r="5699" spans="1:12" ht="24" x14ac:dyDescent="0.25">
      <c r="A5699" s="1" t="str">
        <f t="shared" ref="A5699:A5762" si="184">_xlfn.CONCAT(B5699,C5699)</f>
        <v>ΣΠΑΡΑΓΓΙΑΣΠΑΡΑΓΓΙΑ PACIFIC 2000</v>
      </c>
      <c r="B5699" s="49" t="s">
        <v>10521</v>
      </c>
      <c r="C5699" s="50" t="s">
        <v>10896</v>
      </c>
      <c r="D5699" s="6">
        <v>11290.03</v>
      </c>
      <c r="E5699" s="6">
        <v>13610.93</v>
      </c>
      <c r="F5699" s="46" t="s">
        <v>14</v>
      </c>
      <c r="G5699" s="46" t="s">
        <v>10897</v>
      </c>
      <c r="H5699" s="46" t="s">
        <v>16</v>
      </c>
      <c r="I5699" s="47">
        <v>3430</v>
      </c>
      <c r="J5699" s="51">
        <v>68</v>
      </c>
      <c r="K5699" s="51">
        <v>68188</v>
      </c>
      <c r="L5699" s="3" t="str">
        <f t="shared" ref="L5699:L5762" si="185">IFERROR(SUBSTITUTE(SUBSTITUTE(SUBSTITUTE(SUBSTITUTE(SUBSTITUTE(B5699, "-", "_"), " ", "_"), ",", ""), "(", ""), ")", ""), B5699)</f>
        <v>ΣΠΑΡΑΓΓΙΑ</v>
      </c>
    </row>
    <row r="5700" spans="1:12" ht="24" x14ac:dyDescent="0.25">
      <c r="A5700" s="1" t="str">
        <f t="shared" si="184"/>
        <v>ΣΠΑΡΑΓΓΙΑΣΠΑΡΑΓΓΙΑ PACIFIC 2000 - ΜΗ ΠΑΡΑΓΩΓΙΚΑ</v>
      </c>
      <c r="B5700" s="49" t="s">
        <v>10521</v>
      </c>
      <c r="C5700" s="50" t="s">
        <v>10898</v>
      </c>
      <c r="D5700" s="6">
        <v>11290.03</v>
      </c>
      <c r="E5700" s="6">
        <v>13610.93</v>
      </c>
      <c r="F5700" s="46" t="s">
        <v>14</v>
      </c>
      <c r="G5700" s="46" t="s">
        <v>10899</v>
      </c>
      <c r="H5700" s="46" t="s">
        <v>16</v>
      </c>
      <c r="I5700" s="9">
        <v>3422</v>
      </c>
      <c r="J5700" s="51">
        <v>68</v>
      </c>
      <c r="K5700" s="51">
        <v>68189</v>
      </c>
      <c r="L5700" s="3" t="str">
        <f t="shared" si="185"/>
        <v>ΣΠΑΡΑΓΓΙΑ</v>
      </c>
    </row>
    <row r="5701" spans="1:12" ht="24" x14ac:dyDescent="0.25">
      <c r="A5701" s="1" t="str">
        <f t="shared" si="184"/>
        <v>ΣΠΑΡΑΓΓΙΑΣΠΑΡΑΓΓΙΑ CANTICUS</v>
      </c>
      <c r="B5701" s="49" t="s">
        <v>10521</v>
      </c>
      <c r="C5701" s="50" t="s">
        <v>10900</v>
      </c>
      <c r="D5701" s="6">
        <v>11290.03</v>
      </c>
      <c r="E5701" s="6">
        <v>13610.93</v>
      </c>
      <c r="F5701" s="46" t="s">
        <v>14</v>
      </c>
      <c r="G5701" s="46" t="s">
        <v>10901</v>
      </c>
      <c r="H5701" s="46" t="s">
        <v>16</v>
      </c>
      <c r="I5701" s="47">
        <v>3415</v>
      </c>
      <c r="J5701" s="51">
        <v>68</v>
      </c>
      <c r="K5701" s="51">
        <v>68190</v>
      </c>
      <c r="L5701" s="3" t="str">
        <f t="shared" si="185"/>
        <v>ΣΠΑΡΑΓΓΙΑ</v>
      </c>
    </row>
    <row r="5702" spans="1:12" ht="24" x14ac:dyDescent="0.25">
      <c r="A5702" s="1" t="str">
        <f t="shared" si="184"/>
        <v>ΣΠΑΡΑΓΓΙΑΣΠΑΡΑΓΓΙΑ EC12</v>
      </c>
      <c r="B5702" s="49" t="s">
        <v>10521</v>
      </c>
      <c r="C5702" s="50" t="s">
        <v>10902</v>
      </c>
      <c r="D5702" s="6">
        <v>11290.03</v>
      </c>
      <c r="E5702" s="6">
        <v>13610.93</v>
      </c>
      <c r="F5702" s="46" t="s">
        <v>14</v>
      </c>
      <c r="G5702" s="46" t="s">
        <v>10903</v>
      </c>
      <c r="H5702" s="46" t="s">
        <v>16</v>
      </c>
      <c r="I5702" s="9">
        <v>3424</v>
      </c>
      <c r="J5702" s="51">
        <v>68</v>
      </c>
      <c r="K5702" s="51">
        <v>68191</v>
      </c>
      <c r="L5702" s="3" t="str">
        <f t="shared" si="185"/>
        <v>ΣΠΑΡΑΓΓΙΑ</v>
      </c>
    </row>
    <row r="5703" spans="1:12" ht="24" x14ac:dyDescent="0.25">
      <c r="A5703" s="1" t="str">
        <f t="shared" si="184"/>
        <v>ΣΠΑΡΑΓΓΙΑΣΠΑΡΑΓΓΙΑ VERDUS</v>
      </c>
      <c r="B5703" s="49" t="s">
        <v>10521</v>
      </c>
      <c r="C5703" s="50" t="s">
        <v>10904</v>
      </c>
      <c r="D5703" s="6">
        <v>11290.03</v>
      </c>
      <c r="E5703" s="6">
        <v>13610.93</v>
      </c>
      <c r="F5703" s="46" t="s">
        <v>14</v>
      </c>
      <c r="G5703" s="46" t="s">
        <v>10905</v>
      </c>
      <c r="H5703" s="46" t="s">
        <v>16</v>
      </c>
      <c r="I5703" s="47">
        <v>3425</v>
      </c>
      <c r="J5703" s="51">
        <v>68</v>
      </c>
      <c r="K5703" s="51">
        <v>68192</v>
      </c>
      <c r="L5703" s="3" t="str">
        <f t="shared" si="185"/>
        <v>ΣΠΑΡΑΓΓΙΑ</v>
      </c>
    </row>
    <row r="5704" spans="1:12" ht="24" x14ac:dyDescent="0.25">
      <c r="A5704" s="1" t="str">
        <f t="shared" si="184"/>
        <v>ΣΠΑΡΑΓΓΙΑΣΠΑΡΑΓΓΙΑ ROBΒEΜS</v>
      </c>
      <c r="B5704" s="49" t="s">
        <v>10521</v>
      </c>
      <c r="C5704" s="50" t="s">
        <v>10906</v>
      </c>
      <c r="D5704" s="6">
        <v>11290.03</v>
      </c>
      <c r="E5704" s="6">
        <v>13610.93</v>
      </c>
      <c r="F5704" s="46" t="s">
        <v>14</v>
      </c>
      <c r="G5704" s="46" t="s">
        <v>10907</v>
      </c>
      <c r="H5704" s="46" t="s">
        <v>16</v>
      </c>
      <c r="I5704" s="9">
        <v>3426</v>
      </c>
      <c r="J5704" s="51">
        <v>68</v>
      </c>
      <c r="K5704" s="51">
        <v>68193</v>
      </c>
      <c r="L5704" s="3" t="str">
        <f t="shared" si="185"/>
        <v>ΣΠΑΡΑΓΓΙΑ</v>
      </c>
    </row>
    <row r="5705" spans="1:12" ht="24" x14ac:dyDescent="0.25">
      <c r="A5705" s="1" t="str">
        <f t="shared" si="184"/>
        <v>ΣΠΑΡΑΓΓΙΑΣΠΑΡΑΓΓΙΑ ROBΒEΜS - ΜΗ ΠΑΡΑΓΩΓΙΚΑ</v>
      </c>
      <c r="B5705" s="49" t="s">
        <v>10521</v>
      </c>
      <c r="C5705" s="50" t="s">
        <v>10908</v>
      </c>
      <c r="D5705" s="6">
        <v>11290.03</v>
      </c>
      <c r="E5705" s="6">
        <v>13610.93</v>
      </c>
      <c r="F5705" s="46" t="s">
        <v>14</v>
      </c>
      <c r="G5705" s="46" t="s">
        <v>10909</v>
      </c>
      <c r="H5705" s="46" t="s">
        <v>16</v>
      </c>
      <c r="I5705" s="47">
        <v>3427</v>
      </c>
      <c r="J5705" s="51">
        <v>68</v>
      </c>
      <c r="K5705" s="51">
        <v>68194</v>
      </c>
      <c r="L5705" s="3" t="str">
        <f t="shared" si="185"/>
        <v>ΣΠΑΡΑΓΓΙΑ</v>
      </c>
    </row>
    <row r="5706" spans="1:12" ht="24" x14ac:dyDescent="0.25">
      <c r="A5706" s="1" t="str">
        <f t="shared" si="184"/>
        <v>ΣΠΑΡΑΓΓΙΑΣΠΑΡΑΓΓΙΑ AMADEUS</v>
      </c>
      <c r="B5706" s="52" t="s">
        <v>10521</v>
      </c>
      <c r="C5706" s="53" t="s">
        <v>10910</v>
      </c>
      <c r="D5706" s="6">
        <v>11290.03</v>
      </c>
      <c r="E5706" s="6">
        <v>13610.93</v>
      </c>
      <c r="F5706" s="45" t="s">
        <v>14</v>
      </c>
      <c r="G5706" s="46" t="s">
        <v>10911</v>
      </c>
      <c r="H5706" s="46" t="s">
        <v>16</v>
      </c>
      <c r="I5706" s="9">
        <v>5285</v>
      </c>
      <c r="J5706" s="54">
        <v>68</v>
      </c>
      <c r="K5706" s="54">
        <v>68195</v>
      </c>
      <c r="L5706" s="3" t="str">
        <f t="shared" si="185"/>
        <v>ΣΠΑΡΑΓΓΙΑ</v>
      </c>
    </row>
    <row r="5707" spans="1:12" ht="24" x14ac:dyDescent="0.25">
      <c r="A5707" s="1" t="str">
        <f t="shared" si="184"/>
        <v>ΣΠΑΡΑΓΓΙΑΣΠΑΡΑΓΓΙΑ AMADEUS - ΜΗ ΠΑΡΑΓΩΓΙΚΑ</v>
      </c>
      <c r="B5707" s="52" t="s">
        <v>10521</v>
      </c>
      <c r="C5707" s="53" t="s">
        <v>10912</v>
      </c>
      <c r="D5707" s="6">
        <v>11290.03</v>
      </c>
      <c r="E5707" s="6">
        <v>13610.93</v>
      </c>
      <c r="F5707" s="45" t="s">
        <v>14</v>
      </c>
      <c r="G5707" s="46" t="s">
        <v>10913</v>
      </c>
      <c r="H5707" s="46" t="s">
        <v>16</v>
      </c>
      <c r="I5707" s="47">
        <v>5286</v>
      </c>
      <c r="J5707" s="54">
        <v>68</v>
      </c>
      <c r="K5707" s="54">
        <v>68196</v>
      </c>
      <c r="L5707" s="3" t="str">
        <f t="shared" si="185"/>
        <v>ΣΠΑΡΑΓΓΙΑ</v>
      </c>
    </row>
    <row r="5708" spans="1:12" ht="24" x14ac:dyDescent="0.25">
      <c r="A5708" s="1" t="str">
        <f t="shared" si="184"/>
        <v>ΣΠΑΡΑΓΓΙΑΣΠΑΡΑΓΓΙΑ ATHOS</v>
      </c>
      <c r="B5708" s="52" t="s">
        <v>10521</v>
      </c>
      <c r="C5708" s="53" t="s">
        <v>10914</v>
      </c>
      <c r="D5708" s="6">
        <v>11290.03</v>
      </c>
      <c r="E5708" s="6">
        <v>13610.93</v>
      </c>
      <c r="F5708" s="45" t="s">
        <v>14</v>
      </c>
      <c r="G5708" s="46" t="s">
        <v>10915</v>
      </c>
      <c r="H5708" s="46" t="s">
        <v>16</v>
      </c>
      <c r="I5708" s="9">
        <v>5287</v>
      </c>
      <c r="J5708" s="54">
        <v>68</v>
      </c>
      <c r="K5708" s="54">
        <v>68197</v>
      </c>
      <c r="L5708" s="3" t="str">
        <f t="shared" si="185"/>
        <v>ΣΠΑΡΑΓΓΙΑ</v>
      </c>
    </row>
    <row r="5709" spans="1:12" ht="24" x14ac:dyDescent="0.25">
      <c r="A5709" s="1" t="str">
        <f t="shared" si="184"/>
        <v>ΣΠΑΡΑΓΓΙΑΣΠΑΡΑΓΓΙΑ ATHOS - ΜΗ ΠΑΡΑΓΩΓΙΚΑ</v>
      </c>
      <c r="B5709" s="52" t="s">
        <v>10521</v>
      </c>
      <c r="C5709" s="53" t="s">
        <v>10916</v>
      </c>
      <c r="D5709" s="6">
        <v>11290.03</v>
      </c>
      <c r="E5709" s="6">
        <v>13610.93</v>
      </c>
      <c r="F5709" s="45" t="s">
        <v>14</v>
      </c>
      <c r="G5709" s="46" t="s">
        <v>10917</v>
      </c>
      <c r="H5709" s="46" t="s">
        <v>16</v>
      </c>
      <c r="I5709" s="47">
        <v>5288</v>
      </c>
      <c r="J5709" s="54">
        <v>68</v>
      </c>
      <c r="K5709" s="54">
        <v>68198</v>
      </c>
      <c r="L5709" s="3" t="str">
        <f t="shared" si="185"/>
        <v>ΣΠΑΡΑΓΓΙΑ</v>
      </c>
    </row>
    <row r="5710" spans="1:12" ht="24" x14ac:dyDescent="0.25">
      <c r="A5710" s="1" t="str">
        <f t="shared" si="184"/>
        <v>ΣΠΑΡΑΓΓΙΑΣΠΑΡΑΓΓΙΑ DARVADOR</v>
      </c>
      <c r="B5710" s="52" t="s">
        <v>10521</v>
      </c>
      <c r="C5710" s="53" t="s">
        <v>10918</v>
      </c>
      <c r="D5710" s="6">
        <v>11290.03</v>
      </c>
      <c r="E5710" s="6">
        <v>13610.93</v>
      </c>
      <c r="F5710" s="45" t="s">
        <v>14</v>
      </c>
      <c r="G5710" s="46" t="s">
        <v>10919</v>
      </c>
      <c r="H5710" s="46" t="s">
        <v>16</v>
      </c>
      <c r="I5710" s="9">
        <v>5289</v>
      </c>
      <c r="J5710" s="54">
        <v>68</v>
      </c>
      <c r="K5710" s="54">
        <v>68199</v>
      </c>
      <c r="L5710" s="3" t="str">
        <f t="shared" si="185"/>
        <v>ΣΠΑΡΑΓΓΙΑ</v>
      </c>
    </row>
    <row r="5711" spans="1:12" ht="24" x14ac:dyDescent="0.25">
      <c r="A5711" s="1" t="str">
        <f t="shared" si="184"/>
        <v>ΣΠΑΡΑΓΓΙΑΣΠΑΡΑΓΓΙΑ DARVADOR - ΜΗ ΠΑΡΑΓΩΓΙΚΑ</v>
      </c>
      <c r="B5711" s="52" t="s">
        <v>10521</v>
      </c>
      <c r="C5711" s="53" t="s">
        <v>10920</v>
      </c>
      <c r="D5711" s="6">
        <v>11290.03</v>
      </c>
      <c r="E5711" s="6">
        <v>13610.93</v>
      </c>
      <c r="F5711" s="45" t="s">
        <v>14</v>
      </c>
      <c r="G5711" s="46" t="s">
        <v>10921</v>
      </c>
      <c r="H5711" s="46" t="s">
        <v>16</v>
      </c>
      <c r="I5711" s="47">
        <v>5290</v>
      </c>
      <c r="J5711" s="54">
        <v>68</v>
      </c>
      <c r="K5711" s="54">
        <v>68200</v>
      </c>
      <c r="L5711" s="3" t="str">
        <f t="shared" si="185"/>
        <v>ΣΠΑΡΑΓΓΙΑ</v>
      </c>
    </row>
    <row r="5712" spans="1:12" ht="24" x14ac:dyDescent="0.25">
      <c r="A5712" s="1" t="str">
        <f t="shared" si="184"/>
        <v>ΣΠΑΡΑΓΓΙΑΣΠΑΡΑΓΓΙΑ EROS</v>
      </c>
      <c r="B5712" s="52" t="s">
        <v>10521</v>
      </c>
      <c r="C5712" s="53" t="s">
        <v>10922</v>
      </c>
      <c r="D5712" s="6">
        <v>11290.03</v>
      </c>
      <c r="E5712" s="6">
        <v>13610.93</v>
      </c>
      <c r="F5712" s="45" t="s">
        <v>14</v>
      </c>
      <c r="G5712" s="46" t="s">
        <v>10923</v>
      </c>
      <c r="H5712" s="46" t="s">
        <v>16</v>
      </c>
      <c r="I5712" s="9">
        <v>5291</v>
      </c>
      <c r="J5712" s="54">
        <v>68</v>
      </c>
      <c r="K5712" s="54">
        <v>68201</v>
      </c>
      <c r="L5712" s="3" t="str">
        <f t="shared" si="185"/>
        <v>ΣΠΑΡΑΓΓΙΑ</v>
      </c>
    </row>
    <row r="5713" spans="1:12" ht="24" x14ac:dyDescent="0.25">
      <c r="A5713" s="1" t="str">
        <f t="shared" si="184"/>
        <v>ΣΠΑΡΑΓΓΙΑΣΠΑΡΑΓΓΙΑ EROS - ΜΗ ΠΑΡΑΓΩΓΙΚΑ</v>
      </c>
      <c r="B5713" s="52" t="s">
        <v>10521</v>
      </c>
      <c r="C5713" s="53" t="s">
        <v>10924</v>
      </c>
      <c r="D5713" s="6">
        <v>11290.03</v>
      </c>
      <c r="E5713" s="6">
        <v>13610.93</v>
      </c>
      <c r="F5713" s="45" t="s">
        <v>14</v>
      </c>
      <c r="G5713" s="46" t="s">
        <v>10925</v>
      </c>
      <c r="H5713" s="46" t="s">
        <v>16</v>
      </c>
      <c r="I5713" s="47">
        <v>5292</v>
      </c>
      <c r="J5713" s="54">
        <v>68</v>
      </c>
      <c r="K5713" s="54">
        <v>68202</v>
      </c>
      <c r="L5713" s="3" t="str">
        <f t="shared" si="185"/>
        <v>ΣΠΑΡΑΓΓΙΑ</v>
      </c>
    </row>
    <row r="5714" spans="1:12" ht="24" x14ac:dyDescent="0.25">
      <c r="A5714" s="1" t="str">
        <f t="shared" si="184"/>
        <v>ΣΠΑΡΑΓΓΙΑΣΠΑΡΑΓΓΙΑ MARCO</v>
      </c>
      <c r="B5714" s="52" t="s">
        <v>10521</v>
      </c>
      <c r="C5714" s="53" t="s">
        <v>10926</v>
      </c>
      <c r="D5714" s="6">
        <v>11290.03</v>
      </c>
      <c r="E5714" s="6">
        <v>13610.93</v>
      </c>
      <c r="F5714" s="45" t="s">
        <v>14</v>
      </c>
      <c r="G5714" s="46" t="s">
        <v>10927</v>
      </c>
      <c r="H5714" s="46" t="s">
        <v>16</v>
      </c>
      <c r="I5714" s="9">
        <v>5293</v>
      </c>
      <c r="J5714" s="54">
        <v>68</v>
      </c>
      <c r="K5714" s="54">
        <v>68203</v>
      </c>
      <c r="L5714" s="3" t="str">
        <f t="shared" si="185"/>
        <v>ΣΠΑΡΑΓΓΙΑ</v>
      </c>
    </row>
    <row r="5715" spans="1:12" ht="24" x14ac:dyDescent="0.25">
      <c r="A5715" s="1" t="str">
        <f t="shared" si="184"/>
        <v>ΣΠΑΡΑΓΓΙΑΣΠΑΡΑΓΓΙΑ MARCO - ΜΗ ΠΑΡΑΓΩΓΙΚΑ</v>
      </c>
      <c r="B5715" s="52" t="s">
        <v>10521</v>
      </c>
      <c r="C5715" s="53" t="s">
        <v>10928</v>
      </c>
      <c r="D5715" s="6">
        <v>11290.03</v>
      </c>
      <c r="E5715" s="6">
        <v>13610.93</v>
      </c>
      <c r="F5715" s="45" t="s">
        <v>14</v>
      </c>
      <c r="G5715" s="46" t="s">
        <v>10929</v>
      </c>
      <c r="H5715" s="46" t="s">
        <v>16</v>
      </c>
      <c r="I5715" s="47">
        <v>5294</v>
      </c>
      <c r="J5715" s="54">
        <v>68</v>
      </c>
      <c r="K5715" s="54">
        <v>68204</v>
      </c>
      <c r="L5715" s="3" t="str">
        <f t="shared" si="185"/>
        <v>ΣΠΑΡΑΓΓΙΑ</v>
      </c>
    </row>
    <row r="5716" spans="1:12" ht="24" x14ac:dyDescent="0.25">
      <c r="A5716" s="1" t="str">
        <f t="shared" si="184"/>
        <v>ΣΠΑΡΑΓΓΙΑΣΠΑΡΑΓΓΙΑ SPARTACUS</v>
      </c>
      <c r="B5716" s="52" t="s">
        <v>10521</v>
      </c>
      <c r="C5716" s="53" t="s">
        <v>10930</v>
      </c>
      <c r="D5716" s="6">
        <v>11290.03</v>
      </c>
      <c r="E5716" s="6">
        <v>13610.93</v>
      </c>
      <c r="F5716" s="45" t="s">
        <v>14</v>
      </c>
      <c r="G5716" s="46" t="s">
        <v>10931</v>
      </c>
      <c r="H5716" s="46" t="s">
        <v>16</v>
      </c>
      <c r="I5716" s="9">
        <v>5295</v>
      </c>
      <c r="J5716" s="54">
        <v>68</v>
      </c>
      <c r="K5716" s="54">
        <v>68205</v>
      </c>
      <c r="L5716" s="3" t="str">
        <f t="shared" si="185"/>
        <v>ΣΠΑΡΑΓΓΙΑ</v>
      </c>
    </row>
    <row r="5717" spans="1:12" ht="24" x14ac:dyDescent="0.25">
      <c r="A5717" s="1" t="str">
        <f t="shared" si="184"/>
        <v>ΣΠΑΡΑΓΓΙΑΣΠΑΡΑΓΓΙΑ SPARTACUS - ΜΗ ΠΑΡΑΓΩΓΙΚΑ</v>
      </c>
      <c r="B5717" s="52" t="s">
        <v>10521</v>
      </c>
      <c r="C5717" s="53" t="s">
        <v>10932</v>
      </c>
      <c r="D5717" s="6">
        <v>11290.03</v>
      </c>
      <c r="E5717" s="6">
        <v>13610.93</v>
      </c>
      <c r="F5717" s="45" t="s">
        <v>14</v>
      </c>
      <c r="G5717" s="46" t="s">
        <v>10933</v>
      </c>
      <c r="H5717" s="46" t="s">
        <v>16</v>
      </c>
      <c r="I5717" s="47">
        <v>5296</v>
      </c>
      <c r="J5717" s="54">
        <v>68</v>
      </c>
      <c r="K5717" s="54">
        <v>68206</v>
      </c>
      <c r="L5717" s="3" t="str">
        <f t="shared" si="185"/>
        <v>ΣΠΑΡΑΓΓΙΑ</v>
      </c>
    </row>
    <row r="5718" spans="1:12" ht="24" x14ac:dyDescent="0.25">
      <c r="A5718" s="1" t="str">
        <f t="shared" si="184"/>
        <v>ΣΠΑΡΑΓΓΙΑΣΠΑΡΑΓΓΙΑ STARLIM</v>
      </c>
      <c r="B5718" s="52" t="s">
        <v>10521</v>
      </c>
      <c r="C5718" s="53" t="s">
        <v>10934</v>
      </c>
      <c r="D5718" s="6">
        <v>11290.03</v>
      </c>
      <c r="E5718" s="6">
        <v>13610.93</v>
      </c>
      <c r="F5718" s="45" t="s">
        <v>14</v>
      </c>
      <c r="G5718" s="46" t="s">
        <v>10935</v>
      </c>
      <c r="H5718" s="46" t="s">
        <v>16</v>
      </c>
      <c r="I5718" s="9">
        <v>5297</v>
      </c>
      <c r="J5718" s="54">
        <v>68</v>
      </c>
      <c r="K5718" s="54">
        <v>68207</v>
      </c>
      <c r="L5718" s="3" t="str">
        <f t="shared" si="185"/>
        <v>ΣΠΑΡΑΓΓΙΑ</v>
      </c>
    </row>
    <row r="5719" spans="1:12" ht="24" x14ac:dyDescent="0.25">
      <c r="A5719" s="1" t="str">
        <f t="shared" si="184"/>
        <v>ΣΠΑΡΑΓΓΙΑΣΠΑΡΑΓΓΙΑ STARLIM - ΜΗ ΠΑΡΑΓΩΓΙΚΑ</v>
      </c>
      <c r="B5719" s="52" t="s">
        <v>10521</v>
      </c>
      <c r="C5719" s="53" t="s">
        <v>10936</v>
      </c>
      <c r="D5719" s="6">
        <v>11290.03</v>
      </c>
      <c r="E5719" s="6">
        <v>13610.93</v>
      </c>
      <c r="F5719" s="45" t="s">
        <v>14</v>
      </c>
      <c r="G5719" s="46" t="s">
        <v>10937</v>
      </c>
      <c r="H5719" s="46" t="s">
        <v>16</v>
      </c>
      <c r="I5719" s="47">
        <v>5298</v>
      </c>
      <c r="J5719" s="54">
        <v>68</v>
      </c>
      <c r="K5719" s="54">
        <v>68208</v>
      </c>
      <c r="L5719" s="3" t="str">
        <f t="shared" si="185"/>
        <v>ΣΠΑΡΑΓΓΙΑ</v>
      </c>
    </row>
    <row r="5720" spans="1:12" ht="24" x14ac:dyDescent="0.25">
      <c r="A5720" s="1" t="str">
        <f t="shared" si="184"/>
        <v>ΣΠΑΡΑΓΓΙΑΣΠΑΡΑΓΓΙΑ GREENIC</v>
      </c>
      <c r="B5720" s="55" t="s">
        <v>10521</v>
      </c>
      <c r="C5720" s="56" t="s">
        <v>10938</v>
      </c>
      <c r="D5720" s="6">
        <v>11290.03</v>
      </c>
      <c r="E5720" s="6">
        <v>13610.93</v>
      </c>
      <c r="F5720" s="57" t="s">
        <v>14</v>
      </c>
      <c r="G5720" s="46" t="s">
        <v>10939</v>
      </c>
      <c r="H5720" s="46" t="s">
        <v>16</v>
      </c>
      <c r="I5720" s="9">
        <v>5574</v>
      </c>
      <c r="J5720" s="58">
        <v>68</v>
      </c>
      <c r="K5720" s="59">
        <v>68209</v>
      </c>
      <c r="L5720" s="3" t="str">
        <f t="shared" si="185"/>
        <v>ΣΠΑΡΑΓΓΙΑ</v>
      </c>
    </row>
    <row r="5721" spans="1:12" ht="24" x14ac:dyDescent="0.25">
      <c r="A5721" s="1" t="str">
        <f t="shared" si="184"/>
        <v>ΣΠΑΡΑΓΓΙΑΣΠΑΡΑΓΓΙΑ GREENIC - ΜΗ ΠΑΡΑΓΩΓΙΚΑ</v>
      </c>
      <c r="B5721" s="55" t="s">
        <v>10521</v>
      </c>
      <c r="C5721" s="56" t="s">
        <v>10940</v>
      </c>
      <c r="D5721" s="6">
        <v>11290.03</v>
      </c>
      <c r="E5721" s="6">
        <v>13610.93</v>
      </c>
      <c r="F5721" s="57" t="s">
        <v>14</v>
      </c>
      <c r="G5721" s="46" t="s">
        <v>10941</v>
      </c>
      <c r="H5721" s="46" t="s">
        <v>16</v>
      </c>
      <c r="I5721" s="47">
        <v>5575</v>
      </c>
      <c r="J5721" s="58">
        <v>68</v>
      </c>
      <c r="K5721" s="59">
        <v>68210</v>
      </c>
      <c r="L5721" s="3" t="str">
        <f t="shared" si="185"/>
        <v>ΣΠΑΡΑΓΓΙΑ</v>
      </c>
    </row>
    <row r="5722" spans="1:12" ht="24" x14ac:dyDescent="0.25">
      <c r="A5722" s="1" t="str">
        <f t="shared" si="184"/>
        <v>ΣΠΑΡΑΓΓΙΑΣΠΑΡΑΓΓΙΑ GREENOX</v>
      </c>
      <c r="B5722" s="55" t="s">
        <v>10521</v>
      </c>
      <c r="C5722" s="56" t="s">
        <v>10942</v>
      </c>
      <c r="D5722" s="6">
        <v>11290.03</v>
      </c>
      <c r="E5722" s="6">
        <v>13610.93</v>
      </c>
      <c r="F5722" s="57" t="s">
        <v>14</v>
      </c>
      <c r="G5722" s="46" t="s">
        <v>10943</v>
      </c>
      <c r="H5722" s="46" t="s">
        <v>16</v>
      </c>
      <c r="I5722" s="9">
        <v>5576</v>
      </c>
      <c r="J5722" s="58">
        <v>68</v>
      </c>
      <c r="K5722" s="59">
        <v>68211</v>
      </c>
      <c r="L5722" s="3" t="str">
        <f t="shared" si="185"/>
        <v>ΣΠΑΡΑΓΓΙΑ</v>
      </c>
    </row>
    <row r="5723" spans="1:12" ht="24" x14ac:dyDescent="0.25">
      <c r="A5723" s="1" t="str">
        <f t="shared" si="184"/>
        <v>ΣΠΑΡΑΓΓΙΑΣΠΑΡΑΓΓΙΑ GREENOX - ΜΗ ΠΑΡΑΓΩΓΙΚΑ</v>
      </c>
      <c r="B5723" s="55" t="s">
        <v>10521</v>
      </c>
      <c r="C5723" s="56" t="s">
        <v>10944</v>
      </c>
      <c r="D5723" s="6">
        <v>11290.03</v>
      </c>
      <c r="E5723" s="6">
        <v>13610.93</v>
      </c>
      <c r="F5723" s="57" t="s">
        <v>14</v>
      </c>
      <c r="G5723" s="46" t="s">
        <v>10945</v>
      </c>
      <c r="H5723" s="46" t="s">
        <v>16</v>
      </c>
      <c r="I5723" s="47">
        <v>5577</v>
      </c>
      <c r="J5723" s="58">
        <v>68</v>
      </c>
      <c r="K5723" s="59">
        <v>68212</v>
      </c>
      <c r="L5723" s="3" t="str">
        <f t="shared" si="185"/>
        <v>ΣΠΑΡΑΓΓΙΑ</v>
      </c>
    </row>
    <row r="5724" spans="1:12" ht="24" x14ac:dyDescent="0.25">
      <c r="A5724" s="1" t="str">
        <f t="shared" si="184"/>
        <v>ΣΠΑΡΑΓΓΙΑΣΠΑΡΑΓΓΙΑ INTILIM</v>
      </c>
      <c r="B5724" s="55" t="s">
        <v>10521</v>
      </c>
      <c r="C5724" s="56" t="s">
        <v>10946</v>
      </c>
      <c r="D5724" s="6">
        <v>11290.03</v>
      </c>
      <c r="E5724" s="6">
        <v>13610.93</v>
      </c>
      <c r="F5724" s="57" t="s">
        <v>14</v>
      </c>
      <c r="G5724" s="46" t="s">
        <v>10947</v>
      </c>
      <c r="H5724" s="46" t="s">
        <v>16</v>
      </c>
      <c r="I5724" s="9">
        <v>5578</v>
      </c>
      <c r="J5724" s="58">
        <v>68</v>
      </c>
      <c r="K5724" s="59">
        <v>68213</v>
      </c>
      <c r="L5724" s="3" t="str">
        <f t="shared" si="185"/>
        <v>ΣΠΑΡΑΓΓΙΑ</v>
      </c>
    </row>
    <row r="5725" spans="1:12" ht="24" x14ac:dyDescent="0.25">
      <c r="A5725" s="1" t="str">
        <f t="shared" si="184"/>
        <v>ΣΠΑΡΑΓΓΙΑΣΠΑΡΑΓΓΙΑ INTILIM - ΜΗ ΠΑΡΑΓΩΓΙΚΑ</v>
      </c>
      <c r="B5725" s="55" t="s">
        <v>10521</v>
      </c>
      <c r="C5725" s="56" t="s">
        <v>10948</v>
      </c>
      <c r="D5725" s="6">
        <v>11290.03</v>
      </c>
      <c r="E5725" s="6">
        <v>13610.93</v>
      </c>
      <c r="F5725" s="57" t="s">
        <v>14</v>
      </c>
      <c r="G5725" s="46" t="s">
        <v>10949</v>
      </c>
      <c r="H5725" s="46" t="s">
        <v>16</v>
      </c>
      <c r="I5725" s="47">
        <v>5579</v>
      </c>
      <c r="J5725" s="58">
        <v>68</v>
      </c>
      <c r="K5725" s="59">
        <v>68214</v>
      </c>
      <c r="L5725" s="3" t="str">
        <f t="shared" si="185"/>
        <v>ΣΠΑΡΑΓΓΙΑ</v>
      </c>
    </row>
    <row r="5726" spans="1:12" ht="24" x14ac:dyDescent="0.25">
      <c r="A5726" s="1" t="str">
        <f t="shared" si="184"/>
        <v>ΣΠΑΡΑΓΓΙΑΣΠΑΡΑΓΓΙΑ LUNALIM</v>
      </c>
      <c r="B5726" s="55" t="s">
        <v>10521</v>
      </c>
      <c r="C5726" s="56" t="s">
        <v>10950</v>
      </c>
      <c r="D5726" s="6">
        <v>11290.03</v>
      </c>
      <c r="E5726" s="6">
        <v>13610.93</v>
      </c>
      <c r="F5726" s="57" t="s">
        <v>14</v>
      </c>
      <c r="G5726" s="46" t="s">
        <v>10951</v>
      </c>
      <c r="H5726" s="46" t="s">
        <v>16</v>
      </c>
      <c r="I5726" s="9">
        <v>5580</v>
      </c>
      <c r="J5726" s="58">
        <v>68</v>
      </c>
      <c r="K5726" s="59">
        <v>68215</v>
      </c>
      <c r="L5726" s="3" t="str">
        <f t="shared" si="185"/>
        <v>ΣΠΑΡΑΓΓΙΑ</v>
      </c>
    </row>
    <row r="5727" spans="1:12" ht="24" x14ac:dyDescent="0.25">
      <c r="A5727" s="1" t="str">
        <f t="shared" si="184"/>
        <v>ΣΠΑΡΑΓΓΙΑΣΠΑΡΑΓΓΙΑ LUNALIM - ΜΗ ΠΑΡΑΓΩΓΙΚΑ</v>
      </c>
      <c r="B5727" s="55" t="s">
        <v>10521</v>
      </c>
      <c r="C5727" s="56" t="s">
        <v>10952</v>
      </c>
      <c r="D5727" s="6">
        <v>11290.03</v>
      </c>
      <c r="E5727" s="6">
        <v>13610.93</v>
      </c>
      <c r="F5727" s="57" t="s">
        <v>14</v>
      </c>
      <c r="G5727" s="46" t="s">
        <v>10953</v>
      </c>
      <c r="H5727" s="46" t="s">
        <v>16</v>
      </c>
      <c r="I5727" s="47">
        <v>5581</v>
      </c>
      <c r="J5727" s="58">
        <v>68</v>
      </c>
      <c r="K5727" s="59">
        <v>68216</v>
      </c>
      <c r="L5727" s="3" t="str">
        <f t="shared" si="185"/>
        <v>ΣΠΑΡΑΓΓΙΑ</v>
      </c>
    </row>
    <row r="5728" spans="1:12" ht="24" x14ac:dyDescent="0.25">
      <c r="A5728" s="1" t="str">
        <f t="shared" si="184"/>
        <v>ΣΠΑΡΑΓΓΙΑΣΠΑΡΑΓΓΙΑ MARALIM</v>
      </c>
      <c r="B5728" s="55" t="s">
        <v>10521</v>
      </c>
      <c r="C5728" s="56" t="s">
        <v>10954</v>
      </c>
      <c r="D5728" s="6">
        <v>11290.03</v>
      </c>
      <c r="E5728" s="6">
        <v>13610.93</v>
      </c>
      <c r="F5728" s="57" t="s">
        <v>14</v>
      </c>
      <c r="G5728" s="46" t="s">
        <v>10955</v>
      </c>
      <c r="H5728" s="46" t="s">
        <v>16</v>
      </c>
      <c r="I5728" s="9">
        <v>5582</v>
      </c>
      <c r="J5728" s="58">
        <v>68</v>
      </c>
      <c r="K5728" s="59">
        <v>68217</v>
      </c>
      <c r="L5728" s="3" t="str">
        <f t="shared" si="185"/>
        <v>ΣΠΑΡΑΓΓΙΑ</v>
      </c>
    </row>
    <row r="5729" spans="1:12" ht="24" x14ac:dyDescent="0.25">
      <c r="A5729" s="1" t="str">
        <f t="shared" si="184"/>
        <v>ΣΠΑΡΑΓΓΙΑΣΠΑΡΑΓΓΙΑ MARALIM - ΜΗ ΠΑΡΑΓΩΓΙΚΑ</v>
      </c>
      <c r="B5729" s="55" t="s">
        <v>10521</v>
      </c>
      <c r="C5729" s="56" t="s">
        <v>10956</v>
      </c>
      <c r="D5729" s="6">
        <v>11290.03</v>
      </c>
      <c r="E5729" s="6">
        <v>13610.93</v>
      </c>
      <c r="F5729" s="57" t="s">
        <v>14</v>
      </c>
      <c r="G5729" s="46" t="s">
        <v>10957</v>
      </c>
      <c r="H5729" s="46" t="s">
        <v>16</v>
      </c>
      <c r="I5729" s="47">
        <v>5583</v>
      </c>
      <c r="J5729" s="58">
        <v>68</v>
      </c>
      <c r="K5729" s="59">
        <v>68218</v>
      </c>
      <c r="L5729" s="3" t="str">
        <f t="shared" si="185"/>
        <v>ΣΠΑΡΑΓΓΙΑ</v>
      </c>
    </row>
    <row r="5730" spans="1:12" ht="24" x14ac:dyDescent="0.25">
      <c r="A5730" s="1" t="str">
        <f t="shared" si="184"/>
        <v>ΣΠΑΡΑΓΓΙΑΣΠΑΡΑΓΓΙΑ PRESTEMS</v>
      </c>
      <c r="B5730" s="55" t="s">
        <v>10521</v>
      </c>
      <c r="C5730" s="56" t="s">
        <v>10958</v>
      </c>
      <c r="D5730" s="6">
        <v>11290.03</v>
      </c>
      <c r="E5730" s="6">
        <v>13610.93</v>
      </c>
      <c r="F5730" s="57" t="s">
        <v>14</v>
      </c>
      <c r="G5730" s="46" t="s">
        <v>10959</v>
      </c>
      <c r="H5730" s="46" t="s">
        <v>16</v>
      </c>
      <c r="I5730" s="9">
        <v>5584</v>
      </c>
      <c r="J5730" s="58">
        <v>68</v>
      </c>
      <c r="K5730" s="59">
        <v>68219</v>
      </c>
      <c r="L5730" s="3" t="str">
        <f t="shared" si="185"/>
        <v>ΣΠΑΡΑΓΓΙΑ</v>
      </c>
    </row>
    <row r="5731" spans="1:12" ht="24" x14ac:dyDescent="0.25">
      <c r="A5731" s="1" t="str">
        <f t="shared" si="184"/>
        <v>ΣΠΑΡΑΓΓΙΑΣΠΑΡΑΓΓΙΑ PRESTEMS - ΜΗ ΠΑΡΑΓΩΓΙΚΑ</v>
      </c>
      <c r="B5731" s="55" t="s">
        <v>10521</v>
      </c>
      <c r="C5731" s="56" t="s">
        <v>10960</v>
      </c>
      <c r="D5731" s="6">
        <v>11290.03</v>
      </c>
      <c r="E5731" s="6">
        <v>13610.93</v>
      </c>
      <c r="F5731" s="57" t="s">
        <v>14</v>
      </c>
      <c r="G5731" s="46" t="s">
        <v>10961</v>
      </c>
      <c r="H5731" s="46" t="s">
        <v>16</v>
      </c>
      <c r="I5731" s="47">
        <v>5585</v>
      </c>
      <c r="J5731" s="58">
        <v>68</v>
      </c>
      <c r="K5731" s="59">
        <v>68220</v>
      </c>
      <c r="L5731" s="3" t="str">
        <f t="shared" si="185"/>
        <v>ΣΠΑΡΑΓΓΙΑ</v>
      </c>
    </row>
    <row r="5732" spans="1:12" ht="24" x14ac:dyDescent="0.25">
      <c r="A5732" s="1" t="str">
        <f t="shared" si="184"/>
        <v>ΣΠΑΡΑΓΓΙΑΣΠΑΡΑΓΓΙΑ RADIUS</v>
      </c>
      <c r="B5732" s="55" t="s">
        <v>10521</v>
      </c>
      <c r="C5732" s="56" t="s">
        <v>10962</v>
      </c>
      <c r="D5732" s="6">
        <v>11290.03</v>
      </c>
      <c r="E5732" s="6">
        <v>13610.93</v>
      </c>
      <c r="F5732" s="57" t="s">
        <v>14</v>
      </c>
      <c r="G5732" s="46" t="s">
        <v>10963</v>
      </c>
      <c r="H5732" s="46" t="s">
        <v>16</v>
      </c>
      <c r="I5732" s="9">
        <v>5586</v>
      </c>
      <c r="J5732" s="58">
        <v>68</v>
      </c>
      <c r="K5732" s="59">
        <v>68221</v>
      </c>
      <c r="L5732" s="3" t="str">
        <f t="shared" si="185"/>
        <v>ΣΠΑΡΑΓΓΙΑ</v>
      </c>
    </row>
    <row r="5733" spans="1:12" ht="24" x14ac:dyDescent="0.25">
      <c r="A5733" s="1" t="str">
        <f t="shared" si="184"/>
        <v>ΣΠΑΡΑΓΓΙΑΣΠΑΡΑΓΓΙΑ RADIUS - ΜΗ ΠΑΡΑΓΩΓΙΚΑ</v>
      </c>
      <c r="B5733" s="55" t="s">
        <v>10521</v>
      </c>
      <c r="C5733" s="56" t="s">
        <v>10964</v>
      </c>
      <c r="D5733" s="6">
        <v>11290.03</v>
      </c>
      <c r="E5733" s="6">
        <v>13610.93</v>
      </c>
      <c r="F5733" s="57" t="s">
        <v>14</v>
      </c>
      <c r="G5733" s="46" t="s">
        <v>10965</v>
      </c>
      <c r="H5733" s="46" t="s">
        <v>16</v>
      </c>
      <c r="I5733" s="47">
        <v>5587</v>
      </c>
      <c r="J5733" s="58">
        <v>68</v>
      </c>
      <c r="K5733" s="59">
        <v>68222</v>
      </c>
      <c r="L5733" s="3" t="str">
        <f t="shared" si="185"/>
        <v>ΣΠΑΡΑΓΓΙΑ</v>
      </c>
    </row>
    <row r="5734" spans="1:12" ht="24" x14ac:dyDescent="0.25">
      <c r="A5734" s="1" t="str">
        <f t="shared" si="184"/>
        <v>ΣΠΑΡΑΓΓΙΑΣΠΑΡΑΓΓΙΑ SOLIM</v>
      </c>
      <c r="B5734" s="55" t="s">
        <v>10521</v>
      </c>
      <c r="C5734" s="56" t="s">
        <v>10966</v>
      </c>
      <c r="D5734" s="6">
        <v>11290.03</v>
      </c>
      <c r="E5734" s="6">
        <v>13610.93</v>
      </c>
      <c r="F5734" s="57" t="s">
        <v>14</v>
      </c>
      <c r="G5734" s="46" t="s">
        <v>10967</v>
      </c>
      <c r="H5734" s="46" t="s">
        <v>16</v>
      </c>
      <c r="I5734" s="9">
        <v>5588</v>
      </c>
      <c r="J5734" s="58">
        <v>68</v>
      </c>
      <c r="K5734" s="59">
        <v>68223</v>
      </c>
      <c r="L5734" s="3" t="str">
        <f t="shared" si="185"/>
        <v>ΣΠΑΡΑΓΓΙΑ</v>
      </c>
    </row>
    <row r="5735" spans="1:12" ht="24" x14ac:dyDescent="0.25">
      <c r="A5735" s="1" t="str">
        <f t="shared" si="184"/>
        <v>ΣΠΑΡΑΓΓΙΑΣΠΑΡΑΓΓΙΑ SOLIM - ΜΗ ΠΑΡΑΓΩΓΙΚΑ</v>
      </c>
      <c r="B5735" s="55" t="s">
        <v>10521</v>
      </c>
      <c r="C5735" s="56" t="s">
        <v>10968</v>
      </c>
      <c r="D5735" s="6">
        <v>11290.03</v>
      </c>
      <c r="E5735" s="6">
        <v>13610.93</v>
      </c>
      <c r="F5735" s="57" t="s">
        <v>14</v>
      </c>
      <c r="G5735" s="46" t="s">
        <v>10969</v>
      </c>
      <c r="H5735" s="46" t="s">
        <v>16</v>
      </c>
      <c r="I5735" s="47">
        <v>5589</v>
      </c>
      <c r="J5735" s="58">
        <v>68</v>
      </c>
      <c r="K5735" s="59">
        <v>68224</v>
      </c>
      <c r="L5735" s="3" t="str">
        <f t="shared" si="185"/>
        <v>ΣΠΑΡΑΓΓΙΑ</v>
      </c>
    </row>
    <row r="5736" spans="1:12" x14ac:dyDescent="0.25">
      <c r="A5736" s="1" t="str">
        <f t="shared" si="184"/>
        <v>ΣΠΑΡΑΓΓΙΑΣΠΑΡΑΓΓΙΑ</v>
      </c>
      <c r="B5736" s="43" t="s">
        <v>10521</v>
      </c>
      <c r="C5736" s="44" t="s">
        <v>10521</v>
      </c>
      <c r="D5736" s="6">
        <v>11290.03</v>
      </c>
      <c r="E5736" s="6">
        <v>13610.93</v>
      </c>
      <c r="F5736" s="45" t="s">
        <v>14</v>
      </c>
      <c r="G5736" s="46" t="s">
        <v>10970</v>
      </c>
      <c r="H5736" s="46" t="s">
        <v>27</v>
      </c>
      <c r="I5736" s="9">
        <v>4060</v>
      </c>
      <c r="J5736" s="48">
        <v>68</v>
      </c>
      <c r="K5736" s="48">
        <v>8203</v>
      </c>
      <c r="L5736" s="3" t="str">
        <f t="shared" si="185"/>
        <v>ΣΠΑΡΑΓΓΙΑ</v>
      </c>
    </row>
    <row r="5737" spans="1:12" x14ac:dyDescent="0.25">
      <c r="A5737" s="1" t="str">
        <f t="shared" si="184"/>
        <v>ΣΠΑΡΑΓΓΙΑΣΠΑΡΑΓΓΙΑ ΜΗ ΠΑΡΑΓΩΓΙΚΑ</v>
      </c>
      <c r="B5737" s="43" t="s">
        <v>10521</v>
      </c>
      <c r="C5737" s="44" t="s">
        <v>10971</v>
      </c>
      <c r="D5737" s="6">
        <v>11290.03</v>
      </c>
      <c r="E5737" s="6">
        <v>13610.93</v>
      </c>
      <c r="F5737" s="45" t="s">
        <v>14</v>
      </c>
      <c r="G5737" s="46" t="s">
        <v>10972</v>
      </c>
      <c r="H5737" s="46" t="s">
        <v>27</v>
      </c>
      <c r="I5737" s="47">
        <v>4061</v>
      </c>
      <c r="J5737" s="48">
        <v>68</v>
      </c>
      <c r="K5737" s="48">
        <v>8205</v>
      </c>
      <c r="L5737" s="3" t="str">
        <f t="shared" si="185"/>
        <v>ΣΠΑΡΑΓΓΙΑ</v>
      </c>
    </row>
    <row r="5738" spans="1:12" ht="24" x14ac:dyDescent="0.25">
      <c r="A5738" s="1" t="str">
        <f t="shared" si="184"/>
        <v>ΣΠΟΡΟΠΑΡΑΓΩΓΗΜΗΔΙΚΗ ΣΠΟΡΟΠΑΡΑΓΩΓΗΣ - MEDICAGO SATIVA</v>
      </c>
      <c r="B5738" s="49" t="s">
        <v>10973</v>
      </c>
      <c r="C5738" s="50" t="s">
        <v>10974</v>
      </c>
      <c r="D5738" s="6">
        <v>4227</v>
      </c>
      <c r="E5738" s="6">
        <v>4128</v>
      </c>
      <c r="F5738" s="46" t="s">
        <v>14</v>
      </c>
      <c r="G5738" s="46" t="s">
        <v>10975</v>
      </c>
      <c r="H5738" s="46" t="s">
        <v>16</v>
      </c>
      <c r="I5738" s="9">
        <v>1731</v>
      </c>
      <c r="J5738" s="51">
        <v>25</v>
      </c>
      <c r="K5738" s="51">
        <v>10301</v>
      </c>
      <c r="L5738" s="3" t="str">
        <f t="shared" si="185"/>
        <v>ΣΠΟΡΟΠΑΡΑΓΩΓΗ</v>
      </c>
    </row>
    <row r="5739" spans="1:12" ht="31.5" x14ac:dyDescent="0.25">
      <c r="A5739" s="1" t="str">
        <f t="shared" si="184"/>
        <v>ΣΠΟΡΟΠΑΡΑΓΩΓΗΤΡΙΦΥΛΛΙ ΑΛΕΞΑΝΔΡΙΝΟ ΣΠΟΡΟΠΑΡΑΓΩΓΗΣ -TRIFOLIUM ALE</v>
      </c>
      <c r="B5739" s="49" t="s">
        <v>10973</v>
      </c>
      <c r="C5739" s="50" t="s">
        <v>10976</v>
      </c>
      <c r="D5739" s="6">
        <v>4227</v>
      </c>
      <c r="E5739" s="6">
        <v>4128</v>
      </c>
      <c r="F5739" s="46" t="s">
        <v>14</v>
      </c>
      <c r="G5739" s="46" t="s">
        <v>10977</v>
      </c>
      <c r="H5739" s="46" t="s">
        <v>16</v>
      </c>
      <c r="I5739" s="47">
        <v>1783</v>
      </c>
      <c r="J5739" s="51">
        <v>25</v>
      </c>
      <c r="K5739" s="51">
        <v>10302</v>
      </c>
      <c r="L5739" s="3" t="str">
        <f t="shared" si="185"/>
        <v>ΣΠΟΡΟΠΑΡΑΓΩΓΗ</v>
      </c>
    </row>
    <row r="5740" spans="1:12" ht="31.5" x14ac:dyDescent="0.25">
      <c r="A5740" s="1" t="str">
        <f t="shared" si="184"/>
        <v>ΣΠΟΡΟΠΑΡΑΓΩΓΗΤΡΙΦΥΛΛΙ ΠΕΡΣΙΑΣ ΣΠΟΡΟΠΑΡΑΓΩΓΗΣ-TRIFOLIUM RESUPINA</v>
      </c>
      <c r="B5740" s="49" t="s">
        <v>10973</v>
      </c>
      <c r="C5740" s="50" t="s">
        <v>10978</v>
      </c>
      <c r="D5740" s="6">
        <v>4227</v>
      </c>
      <c r="E5740" s="6">
        <v>4128</v>
      </c>
      <c r="F5740" s="46" t="s">
        <v>14</v>
      </c>
      <c r="G5740" s="46" t="s">
        <v>10979</v>
      </c>
      <c r="H5740" s="46" t="s">
        <v>16</v>
      </c>
      <c r="I5740" s="9">
        <v>1700</v>
      </c>
      <c r="J5740" s="51">
        <v>25</v>
      </c>
      <c r="K5740" s="51">
        <v>10303</v>
      </c>
      <c r="L5740" s="3" t="str">
        <f t="shared" si="185"/>
        <v>ΣΠΟΡΟΠΑΡΑΓΩΓΗ</v>
      </c>
    </row>
    <row r="5741" spans="1:12" x14ac:dyDescent="0.25">
      <c r="A5741" s="1" t="str">
        <f t="shared" si="184"/>
        <v>ΣΠΟΡΟΠΑΡΑΓΩΓΗΒΙΚΟΣ ΣΠΟΡΟΠΑΡΑΓΩΓΗΣ VICIA SATIVA</v>
      </c>
      <c r="B5741" s="43" t="s">
        <v>10973</v>
      </c>
      <c r="C5741" s="44" t="s">
        <v>10980</v>
      </c>
      <c r="D5741" s="6">
        <v>1515.84</v>
      </c>
      <c r="E5741" s="6">
        <v>3106.63</v>
      </c>
      <c r="F5741" s="45" t="s">
        <v>14</v>
      </c>
      <c r="G5741" s="46" t="s">
        <v>10981</v>
      </c>
      <c r="H5741" s="46" t="s">
        <v>27</v>
      </c>
      <c r="I5741" s="47">
        <v>4630</v>
      </c>
      <c r="J5741" s="48">
        <v>25</v>
      </c>
      <c r="K5741" s="48">
        <v>10304</v>
      </c>
      <c r="L5741" s="3" t="str">
        <f t="shared" si="185"/>
        <v>ΣΠΟΡΟΠΑΡΑΓΩΓΗ</v>
      </c>
    </row>
    <row r="5742" spans="1:12" x14ac:dyDescent="0.25">
      <c r="A5742" s="1" t="str">
        <f t="shared" si="184"/>
        <v>ΣΠΟΡΟΠΑΡΑΓΩΓΗΡΕΒΥΘΙ ΚΤΗΝΟΤΡΟΦΙΚΟ ΣΠΟΡΟΠΑΡΑΓΩΓΗΣ</v>
      </c>
      <c r="B5742" s="49" t="s">
        <v>10973</v>
      </c>
      <c r="C5742" s="50" t="s">
        <v>10982</v>
      </c>
      <c r="D5742" s="6">
        <v>1515.84</v>
      </c>
      <c r="E5742" s="6">
        <v>3106.63</v>
      </c>
      <c r="F5742" s="46" t="s">
        <v>14</v>
      </c>
      <c r="G5742" s="46" t="s">
        <v>10983</v>
      </c>
      <c r="H5742" s="46" t="s">
        <v>27</v>
      </c>
      <c r="I5742" s="9">
        <v>1716</v>
      </c>
      <c r="J5742" s="51">
        <v>25</v>
      </c>
      <c r="K5742" s="51">
        <v>25001</v>
      </c>
      <c r="L5742" s="3" t="str">
        <f t="shared" si="185"/>
        <v>ΣΠΟΡΟΠΑΡΑΓΩΓΗ</v>
      </c>
    </row>
    <row r="5743" spans="1:12" x14ac:dyDescent="0.25">
      <c r="A5743" s="1" t="str">
        <f t="shared" si="184"/>
        <v>ΣΠΟΡΟΠΑΡΑΓΩΓΗΗΔΥΣΑΡΥ ΤΟ ΣΤΕΦΑΝΟΦΟΡΟ ΣΠΟΡΟΠΑΡΑΓΩΓΗΣ</v>
      </c>
      <c r="B5743" s="49" t="s">
        <v>10973</v>
      </c>
      <c r="C5743" s="50" t="s">
        <v>10984</v>
      </c>
      <c r="D5743" s="6">
        <v>1402.9</v>
      </c>
      <c r="E5743" s="6">
        <v>1418.93</v>
      </c>
      <c r="F5743" s="46" t="s">
        <v>14</v>
      </c>
      <c r="G5743" s="46" t="s">
        <v>10985</v>
      </c>
      <c r="H5743" s="46" t="s">
        <v>27</v>
      </c>
      <c r="I5743" s="47">
        <v>1717</v>
      </c>
      <c r="J5743" s="51">
        <v>25</v>
      </c>
      <c r="K5743" s="51">
        <v>25002</v>
      </c>
      <c r="L5743" s="3" t="str">
        <f t="shared" si="185"/>
        <v>ΣΠΟΡΟΠΑΡΑΓΩΓΗ</v>
      </c>
    </row>
    <row r="5744" spans="1:12" x14ac:dyDescent="0.25">
      <c r="A5744" s="1" t="str">
        <f t="shared" si="184"/>
        <v>ΣΠΟΡΟΠΑΡΑΓΩΓΗΛΩΤΟΣ Ο ΚΕΡΑΤΙΟΦΟΡΟΣ ΣΠΟΡΟΠΑΡΑΓΩΓΗΣ</v>
      </c>
      <c r="B5744" s="60" t="s">
        <v>10973</v>
      </c>
      <c r="C5744" s="61" t="s">
        <v>10986</v>
      </c>
      <c r="D5744" s="6">
        <v>4227</v>
      </c>
      <c r="E5744" s="6">
        <v>4128</v>
      </c>
      <c r="F5744" s="46" t="s">
        <v>14</v>
      </c>
      <c r="G5744" s="46" t="s">
        <v>10987</v>
      </c>
      <c r="H5744" s="46" t="s">
        <v>27</v>
      </c>
      <c r="I5744" s="9">
        <v>1718</v>
      </c>
      <c r="J5744" s="51">
        <v>25</v>
      </c>
      <c r="K5744" s="62">
        <v>25003</v>
      </c>
      <c r="L5744" s="3" t="str">
        <f t="shared" si="185"/>
        <v>ΣΠΟΡΟΠΑΡΑΓΩΓΗ</v>
      </c>
    </row>
    <row r="5745" spans="1:12" x14ac:dyDescent="0.25">
      <c r="A5745" s="1" t="str">
        <f t="shared" si="184"/>
        <v>ΣΠΟΡΟΠΑΡΑΓΩΓΗΛΟΥΠΙΝΟ ΤΟ ΛΕΥΚΟ ΣΠΟΡΟΠΑΡΑΓΩΓΗΣ</v>
      </c>
      <c r="B5745" s="49" t="s">
        <v>10973</v>
      </c>
      <c r="C5745" s="50" t="s">
        <v>10988</v>
      </c>
      <c r="D5745" s="6">
        <v>1568.73</v>
      </c>
      <c r="E5745" s="6">
        <v>1689.55</v>
      </c>
      <c r="F5745" s="46" t="s">
        <v>14</v>
      </c>
      <c r="G5745" s="46" t="s">
        <v>10989</v>
      </c>
      <c r="H5745" s="46" t="s">
        <v>27</v>
      </c>
      <c r="I5745" s="47">
        <v>1719</v>
      </c>
      <c r="J5745" s="51">
        <v>25</v>
      </c>
      <c r="K5745" s="51">
        <v>25004</v>
      </c>
      <c r="L5745" s="3" t="str">
        <f t="shared" si="185"/>
        <v>ΣΠΟΡΟΠΑΡΑΓΩΓΗ</v>
      </c>
    </row>
    <row r="5746" spans="1:12" ht="31.5" x14ac:dyDescent="0.25">
      <c r="A5746" s="1" t="str">
        <f t="shared" si="184"/>
        <v>ΣΠΟΡΟΠΑΡΑΓΩΓΗΛΟΥΠΙΝΟ ΤΟ ΣΤΕΝΟΦΥΛΛΟ (ΜΠΛΕ) ΣΠΟΡΟΠΑΡΑΓΩΓΗΣ</v>
      </c>
      <c r="B5746" s="49" t="s">
        <v>10973</v>
      </c>
      <c r="C5746" s="50" t="s">
        <v>10990</v>
      </c>
      <c r="D5746" s="6">
        <v>1568.73</v>
      </c>
      <c r="E5746" s="6">
        <v>1689.55</v>
      </c>
      <c r="F5746" s="46" t="s">
        <v>14</v>
      </c>
      <c r="G5746" s="46" t="s">
        <v>10991</v>
      </c>
      <c r="H5746" s="46" t="s">
        <v>27</v>
      </c>
      <c r="I5746" s="9">
        <v>1720</v>
      </c>
      <c r="J5746" s="51">
        <v>25</v>
      </c>
      <c r="K5746" s="51">
        <v>25005</v>
      </c>
      <c r="L5746" s="3" t="str">
        <f t="shared" si="185"/>
        <v>ΣΠΟΡΟΠΑΡΑΓΩΓΗ</v>
      </c>
    </row>
    <row r="5747" spans="1:12" x14ac:dyDescent="0.25">
      <c r="A5747" s="1" t="str">
        <f t="shared" si="184"/>
        <v>ΣΠΟΡΟΠΑΡΑΓΩΓΗΛΟΥΠΙΝΟ ΤΟ ΚΙΤΡΙΝΟ ΣΠΟΡΟΠΑΡΑΓΩΓΗΣ</v>
      </c>
      <c r="B5747" s="49" t="s">
        <v>10973</v>
      </c>
      <c r="C5747" s="50" t="s">
        <v>10992</v>
      </c>
      <c r="D5747" s="6">
        <v>1568.73</v>
      </c>
      <c r="E5747" s="6">
        <v>1689.55</v>
      </c>
      <c r="F5747" s="46" t="s">
        <v>14</v>
      </c>
      <c r="G5747" s="46" t="s">
        <v>10993</v>
      </c>
      <c r="H5747" s="46" t="s">
        <v>27</v>
      </c>
      <c r="I5747" s="47">
        <v>1721</v>
      </c>
      <c r="J5747" s="51">
        <v>25</v>
      </c>
      <c r="K5747" s="51">
        <v>25006</v>
      </c>
      <c r="L5747" s="3" t="str">
        <f t="shared" si="185"/>
        <v>ΣΠΟΡΟΠΑΡΑΓΩΓΗ</v>
      </c>
    </row>
    <row r="5748" spans="1:12" x14ac:dyDescent="0.25">
      <c r="A5748" s="1" t="str">
        <f t="shared" si="184"/>
        <v>ΣΠΟΡΟΠΑΡΑΓΩΓΗΛΑΘΟΥΡΙ ΚΤΗΝΟΤΡΟΦΙΚΟ ΣΠΟΡΟΠΑΡΑΓΩΓΗΣ</v>
      </c>
      <c r="B5748" s="43" t="s">
        <v>10973</v>
      </c>
      <c r="C5748" s="44" t="s">
        <v>10994</v>
      </c>
      <c r="D5748" s="6">
        <v>1515.84</v>
      </c>
      <c r="E5748" s="6">
        <v>3106.63</v>
      </c>
      <c r="F5748" s="45" t="s">
        <v>14</v>
      </c>
      <c r="G5748" s="46" t="s">
        <v>10995</v>
      </c>
      <c r="H5748" s="46" t="s">
        <v>27</v>
      </c>
      <c r="I5748" s="9">
        <v>4288</v>
      </c>
      <c r="J5748" s="48">
        <v>25</v>
      </c>
      <c r="K5748" s="48">
        <v>25007</v>
      </c>
      <c r="L5748" s="3" t="str">
        <f t="shared" si="185"/>
        <v>ΣΠΟΡΟΠΑΡΑΓΩΓΗ</v>
      </c>
    </row>
    <row r="5749" spans="1:12" x14ac:dyDescent="0.25">
      <c r="A5749" s="1" t="str">
        <f t="shared" si="184"/>
        <v>ΣΠΟΡΟΠΑΡΑΓΩΓΗΜΗΔΙΚΗ Η ΛΥΚΙΣΚΗ ΣΠΟΡΟΠΑΡΑΓΩΓΗΣ</v>
      </c>
      <c r="B5749" s="49" t="s">
        <v>10973</v>
      </c>
      <c r="C5749" s="50" t="s">
        <v>10996</v>
      </c>
      <c r="D5749" s="6">
        <v>4227</v>
      </c>
      <c r="E5749" s="6">
        <v>4128</v>
      </c>
      <c r="F5749" s="46" t="s">
        <v>14</v>
      </c>
      <c r="G5749" s="46" t="s">
        <v>10997</v>
      </c>
      <c r="H5749" s="46" t="s">
        <v>27</v>
      </c>
      <c r="I5749" s="47">
        <v>1722</v>
      </c>
      <c r="J5749" s="51">
        <v>25</v>
      </c>
      <c r="K5749" s="51">
        <v>25008</v>
      </c>
      <c r="L5749" s="3" t="str">
        <f t="shared" si="185"/>
        <v>ΣΠΟΡΟΠΑΡΑΓΩΓΗ</v>
      </c>
    </row>
    <row r="5750" spans="1:12" x14ac:dyDescent="0.25">
      <c r="A5750" s="1" t="str">
        <f t="shared" si="184"/>
        <v>ΣΠΟΡΟΠΑΡΑΓΩΓΗΜΗΔΙΚΗ Η ΗΜΕΡΟΣ ΣΠΟΡΟΠΑΡΑΓΩΓΗΣ</v>
      </c>
      <c r="B5750" s="43" t="s">
        <v>10973</v>
      </c>
      <c r="C5750" s="44" t="s">
        <v>10998</v>
      </c>
      <c r="D5750" s="6">
        <v>4227</v>
      </c>
      <c r="E5750" s="6">
        <v>4128</v>
      </c>
      <c r="F5750" s="45" t="s">
        <v>14</v>
      </c>
      <c r="G5750" s="46" t="s">
        <v>10999</v>
      </c>
      <c r="H5750" s="46" t="s">
        <v>27</v>
      </c>
      <c r="I5750" s="9">
        <v>4622</v>
      </c>
      <c r="J5750" s="48">
        <v>25</v>
      </c>
      <c r="K5750" s="48">
        <v>25009</v>
      </c>
      <c r="L5750" s="3" t="str">
        <f t="shared" si="185"/>
        <v>ΣΠΟΡΟΠΑΡΑΓΩΓΗ</v>
      </c>
    </row>
    <row r="5751" spans="1:12" x14ac:dyDescent="0.25">
      <c r="A5751" s="1" t="str">
        <f t="shared" si="184"/>
        <v>ΣΠΟΡΟΠΑΡΑΓΩΓΗΜΗΔΙΚΗ ΣΤΥΚΤΗ ΣΠΟΡΟΠΑΡΑΓΩΓΗΣ</v>
      </c>
      <c r="B5751" s="49" t="s">
        <v>10973</v>
      </c>
      <c r="C5751" s="50" t="s">
        <v>11000</v>
      </c>
      <c r="D5751" s="6">
        <v>4227</v>
      </c>
      <c r="E5751" s="6">
        <v>4128</v>
      </c>
      <c r="F5751" s="46" t="s">
        <v>14</v>
      </c>
      <c r="G5751" s="46" t="s">
        <v>11001</v>
      </c>
      <c r="H5751" s="46" t="s">
        <v>27</v>
      </c>
      <c r="I5751" s="47">
        <v>1723</v>
      </c>
      <c r="J5751" s="51">
        <v>25</v>
      </c>
      <c r="K5751" s="51">
        <v>25010</v>
      </c>
      <c r="L5751" s="3" t="str">
        <f t="shared" si="185"/>
        <v>ΣΠΟΡΟΠΑΡΑΓΩΓΗ</v>
      </c>
    </row>
    <row r="5752" spans="1:12" x14ac:dyDescent="0.25">
      <c r="A5752" s="1" t="str">
        <f t="shared" si="184"/>
        <v>ΣΠΟΡΟΠΑΡΑΓΩΓΗΜΗΔΙΚΗ Η ΔΕΝΔΡΩΔΗΣ ΣΠΟΡΟΠΑΡΑΓΩΓΗΣ</v>
      </c>
      <c r="B5752" s="43" t="s">
        <v>10973</v>
      </c>
      <c r="C5752" s="44" t="s">
        <v>11002</v>
      </c>
      <c r="D5752" s="6">
        <v>4227</v>
      </c>
      <c r="E5752" s="6">
        <v>4128</v>
      </c>
      <c r="F5752" s="45" t="s">
        <v>14</v>
      </c>
      <c r="G5752" s="46" t="s">
        <v>11003</v>
      </c>
      <c r="H5752" s="46" t="s">
        <v>27</v>
      </c>
      <c r="I5752" s="9">
        <v>4623</v>
      </c>
      <c r="J5752" s="48">
        <v>25</v>
      </c>
      <c r="K5752" s="48">
        <v>25011</v>
      </c>
      <c r="L5752" s="3" t="str">
        <f t="shared" si="185"/>
        <v>ΣΠΟΡΟΠΑΡΑΓΩΓΗ</v>
      </c>
    </row>
    <row r="5753" spans="1:12" x14ac:dyDescent="0.25">
      <c r="A5753" s="1" t="str">
        <f t="shared" si="184"/>
        <v>ΣΠΟΡΟΠΑΡΑΓΩΓΗΑΓΡΙΟΤΡΙΦΥΛΛΟ ΣΠΟΡΟΠΑΡΑΓΩΓΗΣ</v>
      </c>
      <c r="B5753" s="49" t="s">
        <v>10973</v>
      </c>
      <c r="C5753" s="50" t="s">
        <v>11004</v>
      </c>
      <c r="D5753" s="6">
        <v>4227</v>
      </c>
      <c r="E5753" s="6">
        <v>4128</v>
      </c>
      <c r="F5753" s="46" t="s">
        <v>14</v>
      </c>
      <c r="G5753" s="46" t="s">
        <v>11005</v>
      </c>
      <c r="H5753" s="46" t="s">
        <v>27</v>
      </c>
      <c r="I5753" s="47">
        <v>1724</v>
      </c>
      <c r="J5753" s="51">
        <v>25</v>
      </c>
      <c r="K5753" s="51">
        <v>25012</v>
      </c>
      <c r="L5753" s="3" t="str">
        <f t="shared" si="185"/>
        <v>ΣΠΟΡΟΠΑΡΑΓΩΓΗ</v>
      </c>
    </row>
    <row r="5754" spans="1:12" x14ac:dyDescent="0.25">
      <c r="A5754" s="1" t="str">
        <f t="shared" si="184"/>
        <v>ΣΠΟΡΟΠΑΡΑΓΩΓΗΜΕΛΙΛΩΤΟΣ ΣΠΟΡΟΠΑΡΑΓΩΓΗΣ</v>
      </c>
      <c r="B5754" s="60" t="s">
        <v>10973</v>
      </c>
      <c r="C5754" s="61" t="s">
        <v>11006</v>
      </c>
      <c r="D5754" s="6">
        <v>4227</v>
      </c>
      <c r="E5754" s="6">
        <v>4128</v>
      </c>
      <c r="F5754" s="46" t="s">
        <v>14</v>
      </c>
      <c r="G5754" s="46" t="s">
        <v>11007</v>
      </c>
      <c r="H5754" s="46" t="s">
        <v>27</v>
      </c>
      <c r="I5754" s="9">
        <v>1725</v>
      </c>
      <c r="J5754" s="51">
        <v>25</v>
      </c>
      <c r="K5754" s="62">
        <v>25013</v>
      </c>
      <c r="L5754" s="3" t="str">
        <f t="shared" si="185"/>
        <v>ΣΠΟΡΟΠΑΡΑΓΩΓΗ</v>
      </c>
    </row>
    <row r="5755" spans="1:12" x14ac:dyDescent="0.25">
      <c r="A5755" s="1" t="str">
        <f t="shared" si="184"/>
        <v>ΣΠΟΡΟΠΑΡΑΓΩΓΗΟΝΟΒΡΥΧΙΑ Η ΗΜΕΡΟΣ ΣΠΟΡΟΠΑΡΑΓΩΓΗΣ</v>
      </c>
      <c r="B5755" s="49" t="s">
        <v>10973</v>
      </c>
      <c r="C5755" s="50" t="s">
        <v>11008</v>
      </c>
      <c r="D5755" s="6">
        <v>4227</v>
      </c>
      <c r="E5755" s="6">
        <v>4128</v>
      </c>
      <c r="F5755" s="46" t="s">
        <v>14</v>
      </c>
      <c r="G5755" s="46" t="s">
        <v>11009</v>
      </c>
      <c r="H5755" s="46" t="s">
        <v>27</v>
      </c>
      <c r="I5755" s="47">
        <v>1726</v>
      </c>
      <c r="J5755" s="51">
        <v>25</v>
      </c>
      <c r="K5755" s="51">
        <v>25014</v>
      </c>
      <c r="L5755" s="3" t="str">
        <f t="shared" si="185"/>
        <v>ΣΠΟΡΟΠΑΡΑΓΩΓΗ</v>
      </c>
    </row>
    <row r="5756" spans="1:12" x14ac:dyDescent="0.25">
      <c r="A5756" s="1" t="str">
        <f t="shared" si="184"/>
        <v>ΣΠΟΡΟΠΑΡΑΓΩΓΗΚΤΗΝΟΤΡΟΦΙΚΟ ΜΠΙΖΕΛΙ ΣΠΟΡΟΠΑΡΑΓΩΓΗΣ</v>
      </c>
      <c r="B5756" s="43" t="s">
        <v>10973</v>
      </c>
      <c r="C5756" s="44" t="s">
        <v>11010</v>
      </c>
      <c r="D5756" s="6">
        <v>1568.73</v>
      </c>
      <c r="E5756" s="6">
        <v>1689.55</v>
      </c>
      <c r="F5756" s="45" t="s">
        <v>14</v>
      </c>
      <c r="G5756" s="46" t="s">
        <v>11011</v>
      </c>
      <c r="H5756" s="46" t="s">
        <v>27</v>
      </c>
      <c r="I5756" s="9">
        <v>4629</v>
      </c>
      <c r="J5756" s="48">
        <v>25</v>
      </c>
      <c r="K5756" s="48">
        <v>25015</v>
      </c>
      <c r="L5756" s="3" t="str">
        <f t="shared" si="185"/>
        <v>ΣΠΟΡΟΠΑΡΑΓΩΓΗ</v>
      </c>
    </row>
    <row r="5757" spans="1:12" x14ac:dyDescent="0.25">
      <c r="A5757" s="1" t="str">
        <f t="shared" si="184"/>
        <v>ΣΠΟΡΟΠΑΡΑΓΩΓΗΤΡΙΦΥΛΛΙ ΑΛΕΞΑΝΔΡΙΝΟ ΣΠΟΡΟΠΑΡΑΓΩΓΗΣ</v>
      </c>
      <c r="B5757" s="43" t="s">
        <v>10973</v>
      </c>
      <c r="C5757" s="44" t="s">
        <v>11012</v>
      </c>
      <c r="D5757" s="6">
        <v>4227</v>
      </c>
      <c r="E5757" s="6">
        <v>4128</v>
      </c>
      <c r="F5757" s="45" t="s">
        <v>14</v>
      </c>
      <c r="G5757" s="46" t="s">
        <v>11013</v>
      </c>
      <c r="H5757" s="46" t="s">
        <v>27</v>
      </c>
      <c r="I5757" s="47">
        <v>4624</v>
      </c>
      <c r="J5757" s="48">
        <v>25</v>
      </c>
      <c r="K5757" s="48">
        <v>25016</v>
      </c>
      <c r="L5757" s="3" t="str">
        <f t="shared" si="185"/>
        <v>ΣΠΟΡΟΠΑΡΑΓΩΓΗ</v>
      </c>
    </row>
    <row r="5758" spans="1:12" x14ac:dyDescent="0.25">
      <c r="A5758" s="1" t="str">
        <f t="shared" si="184"/>
        <v>ΣΠΟΡΟΠΑΡΑΓΩΓΗΤΡΙΦΥΛΛΙ ΝΟΘΟΝ ΣΠΟΡΟΠΑΡΑΓΩΓΗΣ</v>
      </c>
      <c r="B5758" s="49" t="s">
        <v>10973</v>
      </c>
      <c r="C5758" s="50" t="s">
        <v>11014</v>
      </c>
      <c r="D5758" s="6">
        <v>4227</v>
      </c>
      <c r="E5758" s="6">
        <v>4128</v>
      </c>
      <c r="F5758" s="46" t="s">
        <v>14</v>
      </c>
      <c r="G5758" s="46" t="s">
        <v>11015</v>
      </c>
      <c r="H5758" s="46" t="s">
        <v>27</v>
      </c>
      <c r="I5758" s="9">
        <v>1727</v>
      </c>
      <c r="J5758" s="51">
        <v>25</v>
      </c>
      <c r="K5758" s="51">
        <v>25017</v>
      </c>
      <c r="L5758" s="3" t="str">
        <f t="shared" si="185"/>
        <v>ΣΠΟΡΟΠΑΡΑΓΩΓΗ</v>
      </c>
    </row>
    <row r="5759" spans="1:12" x14ac:dyDescent="0.25">
      <c r="A5759" s="1" t="str">
        <f t="shared" si="184"/>
        <v>ΣΠΟΡΟΠΑΡΑΓΩΓΗΤΡΙΦΥΛΛΙ ΣΑΡΚΟΧΡΟΥΝ ΣΠΟΡΟΠΑΡΑΓΩΓΗΣ</v>
      </c>
      <c r="B5759" s="49" t="s">
        <v>10973</v>
      </c>
      <c r="C5759" s="50" t="s">
        <v>11016</v>
      </c>
      <c r="D5759" s="6">
        <v>4227</v>
      </c>
      <c r="E5759" s="6">
        <v>4128</v>
      </c>
      <c r="F5759" s="46" t="s">
        <v>14</v>
      </c>
      <c r="G5759" s="46" t="s">
        <v>11017</v>
      </c>
      <c r="H5759" s="46" t="s">
        <v>27</v>
      </c>
      <c r="I5759" s="47">
        <v>1728</v>
      </c>
      <c r="J5759" s="51">
        <v>25</v>
      </c>
      <c r="K5759" s="51">
        <v>25018</v>
      </c>
      <c r="L5759" s="3" t="str">
        <f t="shared" si="185"/>
        <v>ΣΠΟΡΟΠΑΡΑΓΩΓΗ</v>
      </c>
    </row>
    <row r="5760" spans="1:12" x14ac:dyDescent="0.25">
      <c r="A5760" s="1" t="str">
        <f t="shared" si="184"/>
        <v>ΣΠΟΡΟΠΑΡΑΓΩΓΗΤΡΙΦΥΛΛΙ ΛΕΙΜΩΝΙΟΝ ΣΠΟΡΟΠΑΡΑΓΩΓΗΣ</v>
      </c>
      <c r="B5760" s="49" t="s">
        <v>10973</v>
      </c>
      <c r="C5760" s="50" t="s">
        <v>11018</v>
      </c>
      <c r="D5760" s="6">
        <v>4227</v>
      </c>
      <c r="E5760" s="6">
        <v>4128</v>
      </c>
      <c r="F5760" s="46" t="s">
        <v>14</v>
      </c>
      <c r="G5760" s="46" t="s">
        <v>11019</v>
      </c>
      <c r="H5760" s="46" t="s">
        <v>27</v>
      </c>
      <c r="I5760" s="9">
        <v>1773</v>
      </c>
      <c r="J5760" s="51">
        <v>25</v>
      </c>
      <c r="K5760" s="51">
        <v>25019</v>
      </c>
      <c r="L5760" s="3" t="str">
        <f t="shared" si="185"/>
        <v>ΣΠΟΡΟΠΑΡΑΓΩΓΗ</v>
      </c>
    </row>
    <row r="5761" spans="1:12" x14ac:dyDescent="0.25">
      <c r="A5761" s="1" t="str">
        <f t="shared" si="184"/>
        <v>ΣΠΟΡΟΠΑΡΑΓΩΓΗΤΡΙΦΥΛΛΙ ΕΡΠΟΝ ΣΠΟΡΟΠΑΡΑΓΩΓΗΣ</v>
      </c>
      <c r="B5761" s="43" t="s">
        <v>10973</v>
      </c>
      <c r="C5761" s="44" t="s">
        <v>11020</v>
      </c>
      <c r="D5761" s="6">
        <v>4227</v>
      </c>
      <c r="E5761" s="6">
        <v>4128</v>
      </c>
      <c r="F5761" s="45" t="s">
        <v>14</v>
      </c>
      <c r="G5761" s="46" t="s">
        <v>11021</v>
      </c>
      <c r="H5761" s="46" t="s">
        <v>27</v>
      </c>
      <c r="I5761" s="47">
        <v>4625</v>
      </c>
      <c r="J5761" s="48">
        <v>25</v>
      </c>
      <c r="K5761" s="48">
        <v>25020</v>
      </c>
      <c r="L5761" s="3" t="str">
        <f t="shared" si="185"/>
        <v>ΣΠΟΡΟΠΑΡΑΓΩΓΗ</v>
      </c>
    </row>
    <row r="5762" spans="1:12" x14ac:dyDescent="0.25">
      <c r="A5762" s="1" t="str">
        <f t="shared" si="184"/>
        <v>ΣΠΟΡΟΠΑΡΑΓΩΓΗΤΡΙΦΥΛΛΙ ΥΠΤΙΟΝ ΣΠΟΡΟΠΑΡΑΓΩΓΗΣ</v>
      </c>
      <c r="B5762" s="43" t="s">
        <v>10973</v>
      </c>
      <c r="C5762" s="44" t="s">
        <v>11022</v>
      </c>
      <c r="D5762" s="6">
        <v>4227</v>
      </c>
      <c r="E5762" s="6">
        <v>4128</v>
      </c>
      <c r="F5762" s="45" t="s">
        <v>14</v>
      </c>
      <c r="G5762" s="46" t="s">
        <v>11023</v>
      </c>
      <c r="H5762" s="46" t="s">
        <v>27</v>
      </c>
      <c r="I5762" s="9">
        <v>4626</v>
      </c>
      <c r="J5762" s="48">
        <v>25</v>
      </c>
      <c r="K5762" s="48">
        <v>25021</v>
      </c>
      <c r="L5762" s="3" t="str">
        <f t="shared" si="185"/>
        <v>ΣΠΟΡΟΠΑΡΑΓΩΓΗ</v>
      </c>
    </row>
    <row r="5763" spans="1:12" x14ac:dyDescent="0.25">
      <c r="A5763" s="1" t="str">
        <f t="shared" ref="A5763:A5826" si="186">_xlfn.CONCAT(B5763,C5763)</f>
        <v>ΣΠΟΡΟΠΑΡΑΓΩΓΗΤΡΙΦΥΛΛΙ ΥΠΟΓΕΙΟ ΣΠΟΡΟΠΑΡΑΓΩΓΗΣ</v>
      </c>
      <c r="B5763" s="49" t="s">
        <v>10973</v>
      </c>
      <c r="C5763" s="50" t="s">
        <v>11024</v>
      </c>
      <c r="D5763" s="6">
        <v>4227</v>
      </c>
      <c r="E5763" s="6">
        <v>4128</v>
      </c>
      <c r="F5763" s="46" t="s">
        <v>14</v>
      </c>
      <c r="G5763" s="46" t="s">
        <v>11025</v>
      </c>
      <c r="H5763" s="46" t="s">
        <v>27</v>
      </c>
      <c r="I5763" s="47">
        <v>1806</v>
      </c>
      <c r="J5763" s="51">
        <v>25</v>
      </c>
      <c r="K5763" s="51">
        <v>25022</v>
      </c>
      <c r="L5763" s="3" t="str">
        <f t="shared" ref="L5763:L5826" si="187">IFERROR(SUBSTITUTE(SUBSTITUTE(SUBSTITUTE(SUBSTITUTE(SUBSTITUTE(B5763, "-", "_"), " ", "_"), ",", ""), "(", ""), ")", ""), B5763)</f>
        <v>ΣΠΟΡΟΠΑΡΑΓΩΓΗ</v>
      </c>
    </row>
    <row r="5764" spans="1:12" x14ac:dyDescent="0.25">
      <c r="A5764" s="1" t="str">
        <f t="shared" si="186"/>
        <v>ΣΠΟΡΟΠΑΡΑΓΩΓΗΤΡΙΓΩΝΙΣΚΗ (ΜΟΣΧΟΣΙΤΑΡΟ)  ΣΠΟΡΟΠΑΡΑΓΩΓΗΣ</v>
      </c>
      <c r="B5764" s="49" t="s">
        <v>10973</v>
      </c>
      <c r="C5764" s="50" t="s">
        <v>11026</v>
      </c>
      <c r="D5764" s="6">
        <v>1568.73</v>
      </c>
      <c r="E5764" s="6">
        <v>1689.55</v>
      </c>
      <c r="F5764" s="46" t="s">
        <v>14</v>
      </c>
      <c r="G5764" s="46" t="s">
        <v>11027</v>
      </c>
      <c r="H5764" s="46" t="s">
        <v>27</v>
      </c>
      <c r="I5764" s="9">
        <v>1745</v>
      </c>
      <c r="J5764" s="51">
        <v>25</v>
      </c>
      <c r="K5764" s="51">
        <v>25023</v>
      </c>
      <c r="L5764" s="3" t="str">
        <f t="shared" si="187"/>
        <v>ΣΠΟΡΟΠΑΡΑΓΩΓΗ</v>
      </c>
    </row>
    <row r="5765" spans="1:12" x14ac:dyDescent="0.25">
      <c r="A5765" s="1" t="str">
        <f t="shared" si="186"/>
        <v>ΣΠΟΡΟΠΑΡΑΓΩΓΗΚΤΗΝΟΤΡΟΦΙΚΟ ΚΟΥΚΙ ΣΠΟΡΟΠΑΡΑΓΩΓΗΣ</v>
      </c>
      <c r="B5765" s="43" t="s">
        <v>10973</v>
      </c>
      <c r="C5765" s="44" t="s">
        <v>11028</v>
      </c>
      <c r="D5765" s="6">
        <v>1568.73</v>
      </c>
      <c r="E5765" s="6">
        <v>1689.55</v>
      </c>
      <c r="F5765" s="45" t="s">
        <v>14</v>
      </c>
      <c r="G5765" s="46" t="s">
        <v>11029</v>
      </c>
      <c r="H5765" s="46" t="s">
        <v>27</v>
      </c>
      <c r="I5765" s="47">
        <v>4111</v>
      </c>
      <c r="J5765" s="48">
        <v>25</v>
      </c>
      <c r="K5765" s="48">
        <v>25024</v>
      </c>
      <c r="L5765" s="3" t="str">
        <f t="shared" si="187"/>
        <v>ΣΠΟΡΟΠΑΡΑΓΩΓΗ</v>
      </c>
    </row>
    <row r="5766" spans="1:12" x14ac:dyDescent="0.25">
      <c r="A5766" s="1" t="str">
        <f t="shared" si="186"/>
        <v>ΣΠΟΡΟΠΑΡΑΓΩΓΗΒΙΚΟΣ ΟΥΓΓΡΙΚΟΣ ΣΠΟΡΟΠΑΡΑΓΩΓΗΣ</v>
      </c>
      <c r="B5766" s="49" t="s">
        <v>10973</v>
      </c>
      <c r="C5766" s="50" t="s">
        <v>11030</v>
      </c>
      <c r="D5766" s="6">
        <v>1515.84</v>
      </c>
      <c r="E5766" s="6">
        <v>3106.63</v>
      </c>
      <c r="F5766" s="46" t="s">
        <v>14</v>
      </c>
      <c r="G5766" s="46" t="s">
        <v>11031</v>
      </c>
      <c r="H5766" s="46" t="s">
        <v>27</v>
      </c>
      <c r="I5766" s="9">
        <v>1792</v>
      </c>
      <c r="J5766" s="51">
        <v>25</v>
      </c>
      <c r="K5766" s="51">
        <v>25025</v>
      </c>
      <c r="L5766" s="3" t="str">
        <f t="shared" si="187"/>
        <v>ΣΠΟΡΟΠΑΡΑΓΩΓΗ</v>
      </c>
    </row>
    <row r="5767" spans="1:12" x14ac:dyDescent="0.25">
      <c r="A5767" s="1" t="str">
        <f t="shared" si="186"/>
        <v>ΣΠΟΡΟΠΑΡΑΓΩΓΗΒΙΚΟΣ ΚΤΗΝΟΤΡΟΦΙΚΟΣ ΣΠΟΡΟΠΑΡΑΓΩΓΗΣ</v>
      </c>
      <c r="B5767" s="43" t="s">
        <v>10973</v>
      </c>
      <c r="C5767" s="44" t="s">
        <v>11032</v>
      </c>
      <c r="D5767" s="6">
        <v>1515.84</v>
      </c>
      <c r="E5767" s="6">
        <v>3106.63</v>
      </c>
      <c r="F5767" s="45" t="s">
        <v>14</v>
      </c>
      <c r="G5767" s="46" t="s">
        <v>11033</v>
      </c>
      <c r="H5767" s="46" t="s">
        <v>27</v>
      </c>
      <c r="I5767" s="47">
        <v>4631</v>
      </c>
      <c r="J5767" s="48">
        <v>25</v>
      </c>
      <c r="K5767" s="48">
        <v>25026</v>
      </c>
      <c r="L5767" s="3" t="str">
        <f t="shared" si="187"/>
        <v>ΣΠΟΡΟΠΑΡΑΓΩΓΗ</v>
      </c>
    </row>
    <row r="5768" spans="1:12" x14ac:dyDescent="0.25">
      <c r="A5768" s="1" t="str">
        <f t="shared" si="186"/>
        <v>ΣΠΟΡΟΠΑΡΑΓΩΓΗΒΙΚΟΣ ΑΓΡΙΟΣ ΣΠΟΡΟΠΑΡΑΓΩΓΗΣ</v>
      </c>
      <c r="B5768" s="49" t="s">
        <v>10973</v>
      </c>
      <c r="C5768" s="50" t="s">
        <v>11034</v>
      </c>
      <c r="D5768" s="6">
        <v>1515.84</v>
      </c>
      <c r="E5768" s="6">
        <v>3106.63</v>
      </c>
      <c r="F5768" s="46" t="s">
        <v>14</v>
      </c>
      <c r="G5768" s="46" t="s">
        <v>11035</v>
      </c>
      <c r="H5768" s="46" t="s">
        <v>27</v>
      </c>
      <c r="I5768" s="9">
        <v>1793</v>
      </c>
      <c r="J5768" s="51">
        <v>25</v>
      </c>
      <c r="K5768" s="51">
        <v>25027</v>
      </c>
      <c r="L5768" s="3" t="str">
        <f t="shared" si="187"/>
        <v>ΣΠΟΡΟΠΑΡΑΓΩΓΗ</v>
      </c>
    </row>
    <row r="5769" spans="1:12" x14ac:dyDescent="0.25">
      <c r="A5769" s="1" t="str">
        <f t="shared" si="186"/>
        <v>ΣΠΟΡΟΠΑΡΑΓΩΓΗΡΟΒΗ ΣΠΟΡΟΠΑΡΑΓΩΓΗΣ</v>
      </c>
      <c r="B5769" s="49" t="s">
        <v>10973</v>
      </c>
      <c r="C5769" s="50" t="s">
        <v>11036</v>
      </c>
      <c r="D5769" s="6">
        <v>1515.84</v>
      </c>
      <c r="E5769" s="6">
        <v>3106.63</v>
      </c>
      <c r="F5769" s="46" t="s">
        <v>14</v>
      </c>
      <c r="G5769" s="46" t="s">
        <v>11037</v>
      </c>
      <c r="H5769" s="46" t="s">
        <v>27</v>
      </c>
      <c r="I5769" s="47">
        <v>1794</v>
      </c>
      <c r="J5769" s="51">
        <v>25</v>
      </c>
      <c r="K5769" s="51">
        <v>25028</v>
      </c>
      <c r="L5769" s="3" t="str">
        <f t="shared" si="187"/>
        <v>ΣΠΟΡΟΠΑΡΑΓΩΓΗ</v>
      </c>
    </row>
    <row r="5770" spans="1:12" x14ac:dyDescent="0.25">
      <c r="A5770" s="1" t="str">
        <f t="shared" si="186"/>
        <v>ΣΠΟΡΟΠΑΡΑΓΩΓΗΦΑΚΗ ΣΠΟΡΟΠΑΡΑΓΩΓΗΣ</v>
      </c>
      <c r="B5770" s="43" t="s">
        <v>10973</v>
      </c>
      <c r="C5770" s="44" t="s">
        <v>11038</v>
      </c>
      <c r="D5770" s="6">
        <v>1515.84</v>
      </c>
      <c r="E5770" s="6">
        <v>3106.63</v>
      </c>
      <c r="F5770" s="45" t="s">
        <v>14</v>
      </c>
      <c r="G5770" s="46" t="s">
        <v>11039</v>
      </c>
      <c r="H5770" s="46" t="s">
        <v>27</v>
      </c>
      <c r="I5770" s="9">
        <v>4289</v>
      </c>
      <c r="J5770" s="48">
        <v>25</v>
      </c>
      <c r="K5770" s="48">
        <v>25029</v>
      </c>
      <c r="L5770" s="3" t="str">
        <f t="shared" si="187"/>
        <v>ΣΠΟΡΟΠΑΡΑΓΩΓΗ</v>
      </c>
    </row>
    <row r="5771" spans="1:12" x14ac:dyDescent="0.25">
      <c r="A5771" s="1" t="str">
        <f t="shared" si="186"/>
        <v>ΣΠΟΡΟΠΑΡΑΓΩΓΗΡΕΒΥΘΙ ΣΠΟΡΟΠΑΡΑΓΩΓΗΣ</v>
      </c>
      <c r="B5771" s="43" t="s">
        <v>10973</v>
      </c>
      <c r="C5771" s="44" t="s">
        <v>11040</v>
      </c>
      <c r="D5771" s="6">
        <v>1515.84</v>
      </c>
      <c r="E5771" s="6">
        <v>3106.63</v>
      </c>
      <c r="F5771" s="45" t="s">
        <v>14</v>
      </c>
      <c r="G5771" s="46" t="s">
        <v>11041</v>
      </c>
      <c r="H5771" s="46" t="s">
        <v>27</v>
      </c>
      <c r="I5771" s="47">
        <v>4290</v>
      </c>
      <c r="J5771" s="48">
        <v>25</v>
      </c>
      <c r="K5771" s="48">
        <v>25030</v>
      </c>
      <c r="L5771" s="3" t="str">
        <f t="shared" si="187"/>
        <v>ΣΠΟΡΟΠΑΡΑΓΩΓΗ</v>
      </c>
    </row>
    <row r="5772" spans="1:12" x14ac:dyDescent="0.25">
      <c r="A5772" s="1" t="str">
        <f t="shared" si="186"/>
        <v>ΣΠΟΡΟΠΑΡΑΓΩΓΗΚΟΥΚΙ ΒΡΩΣΙΜΟ ΣΠΟΡΟΠΑΡΑΓΩΓΗΣ</v>
      </c>
      <c r="B5772" s="49" t="s">
        <v>10973</v>
      </c>
      <c r="C5772" s="50" t="s">
        <v>11042</v>
      </c>
      <c r="D5772" s="6">
        <v>1568.73</v>
      </c>
      <c r="E5772" s="6">
        <v>1689.55</v>
      </c>
      <c r="F5772" s="46" t="s">
        <v>14</v>
      </c>
      <c r="G5772" s="46" t="s">
        <v>11043</v>
      </c>
      <c r="H5772" s="46" t="s">
        <v>27</v>
      </c>
      <c r="I5772" s="9">
        <v>1795</v>
      </c>
      <c r="J5772" s="51">
        <v>25</v>
      </c>
      <c r="K5772" s="51">
        <v>25031</v>
      </c>
      <c r="L5772" s="3" t="str">
        <f t="shared" si="187"/>
        <v>ΣΠΟΡΟΠΑΡΑΓΩΓΗ</v>
      </c>
    </row>
    <row r="5773" spans="1:12" x14ac:dyDescent="0.25">
      <c r="A5773" s="1" t="str">
        <f t="shared" si="186"/>
        <v>ΣΠΟΡΟΠΑΡΑΓΩΓΗΛΑΘΟΥΡΙ ΒΡΩΣΙΜΟ ΣΠΟΡΟΠΑΡΑΓΩΓΗΣ</v>
      </c>
      <c r="B5773" s="49" t="s">
        <v>10973</v>
      </c>
      <c r="C5773" s="50" t="s">
        <v>11044</v>
      </c>
      <c r="D5773" s="6">
        <v>1515.84</v>
      </c>
      <c r="E5773" s="6">
        <v>3106.63</v>
      </c>
      <c r="F5773" s="46" t="s">
        <v>14</v>
      </c>
      <c r="G5773" s="46" t="s">
        <v>11045</v>
      </c>
      <c r="H5773" s="46" t="s">
        <v>27</v>
      </c>
      <c r="I5773" s="47">
        <v>1796</v>
      </c>
      <c r="J5773" s="51">
        <v>25</v>
      </c>
      <c r="K5773" s="51">
        <v>25032</v>
      </c>
      <c r="L5773" s="3" t="str">
        <f t="shared" si="187"/>
        <v>ΣΠΟΡΟΠΑΡΑΓΩΓΗ</v>
      </c>
    </row>
    <row r="5774" spans="1:12" x14ac:dyDescent="0.25">
      <c r="A5774" s="1" t="str">
        <f t="shared" si="186"/>
        <v>ΣΠΟΡΟΠΑΡΑΓΩΓΗΛΑΘΟΥΡΙ ΩΧΡΟΣ ΣΠΟΡΟΠΑΡΑΓΩΓΗΣ</v>
      </c>
      <c r="B5774" s="49" t="s">
        <v>10973</v>
      </c>
      <c r="C5774" s="50" t="s">
        <v>11046</v>
      </c>
      <c r="D5774" s="6">
        <v>1515.84</v>
      </c>
      <c r="E5774" s="6">
        <v>3106.63</v>
      </c>
      <c r="F5774" s="46" t="s">
        <v>14</v>
      </c>
      <c r="G5774" s="46" t="s">
        <v>11047</v>
      </c>
      <c r="H5774" s="46" t="s">
        <v>27</v>
      </c>
      <c r="I5774" s="9">
        <v>1797</v>
      </c>
      <c r="J5774" s="51">
        <v>25</v>
      </c>
      <c r="K5774" s="51">
        <v>25033</v>
      </c>
      <c r="L5774" s="3" t="str">
        <f t="shared" si="187"/>
        <v>ΣΠΟΡΟΠΑΡΑΓΩΓΗ</v>
      </c>
    </row>
    <row r="5775" spans="1:12" x14ac:dyDescent="0.25">
      <c r="A5775" s="1" t="str">
        <f t="shared" si="186"/>
        <v>ΣΠΟΡΟΠΑΡΑΓΩΓΗΛΑΘΟΥΡΙ ΚΛΥΜΕΝΟ ΣΠΟΡΟΠΑΡΑΓΩΓΗΣ</v>
      </c>
      <c r="B5775" s="49" t="s">
        <v>10973</v>
      </c>
      <c r="C5775" s="50" t="s">
        <v>11048</v>
      </c>
      <c r="D5775" s="6">
        <v>1515.84</v>
      </c>
      <c r="E5775" s="6">
        <v>3106.63</v>
      </c>
      <c r="F5775" s="46" t="s">
        <v>14</v>
      </c>
      <c r="G5775" s="46" t="s">
        <v>11049</v>
      </c>
      <c r="H5775" s="46" t="s">
        <v>27</v>
      </c>
      <c r="I5775" s="47">
        <v>1798</v>
      </c>
      <c r="J5775" s="51">
        <v>25</v>
      </c>
      <c r="K5775" s="51">
        <v>25034</v>
      </c>
      <c r="L5775" s="3" t="str">
        <f t="shared" si="187"/>
        <v>ΣΠΟΡΟΠΑΡΑΓΩΓΗ</v>
      </c>
    </row>
    <row r="5776" spans="1:12" x14ac:dyDescent="0.25">
      <c r="A5776" s="1" t="str">
        <f t="shared" si="186"/>
        <v>ΣΠΟΡΟΠΑΡΑΓΩΓΗΦΑΣΟΛΙΑ ΚΟΙΝΑ ΣΠΟΡΟΠΑΡΑΓΩΓΗΣ</v>
      </c>
      <c r="B5776" s="43" t="s">
        <v>10973</v>
      </c>
      <c r="C5776" s="44" t="s">
        <v>11050</v>
      </c>
      <c r="D5776" s="6">
        <v>1568.73</v>
      </c>
      <c r="E5776" s="6">
        <v>1689.55</v>
      </c>
      <c r="F5776" s="45" t="s">
        <v>14</v>
      </c>
      <c r="G5776" s="46" t="s">
        <v>11051</v>
      </c>
      <c r="H5776" s="46" t="s">
        <v>27</v>
      </c>
      <c r="I5776" s="9">
        <v>4110</v>
      </c>
      <c r="J5776" s="48">
        <v>25</v>
      </c>
      <c r="K5776" s="48">
        <v>25035</v>
      </c>
      <c r="L5776" s="3" t="str">
        <f t="shared" si="187"/>
        <v>ΣΠΟΡΟΠΑΡΑΓΩΓΗ</v>
      </c>
    </row>
    <row r="5777" spans="1:12" x14ac:dyDescent="0.25">
      <c r="A5777" s="1" t="str">
        <f t="shared" si="186"/>
        <v>ΣΠΟΡΟΠΑΡΑΓΩΓΗΦΑΣΟΛΙΑ ΓΙΓΑΝΤΕΣ ΣΠΟΡΟΠΑΡΑΓΩΓΗΣ</v>
      </c>
      <c r="B5777" s="49" t="s">
        <v>10973</v>
      </c>
      <c r="C5777" s="50" t="s">
        <v>11052</v>
      </c>
      <c r="D5777" s="6">
        <v>1568.73</v>
      </c>
      <c r="E5777" s="6">
        <v>1689.55</v>
      </c>
      <c r="F5777" s="46" t="s">
        <v>14</v>
      </c>
      <c r="G5777" s="46" t="s">
        <v>11053</v>
      </c>
      <c r="H5777" s="46" t="s">
        <v>27</v>
      </c>
      <c r="I5777" s="47">
        <v>1799</v>
      </c>
      <c r="J5777" s="51">
        <v>25</v>
      </c>
      <c r="K5777" s="51">
        <v>25036</v>
      </c>
      <c r="L5777" s="3" t="str">
        <f t="shared" si="187"/>
        <v>ΣΠΟΡΟΠΑΡΑΓΩΓΗ</v>
      </c>
    </row>
    <row r="5778" spans="1:12" x14ac:dyDescent="0.25">
      <c r="A5778" s="1" t="str">
        <f t="shared" si="186"/>
        <v>ΣΠΟΡΟΠΑΡΑΓΩΓΗΦΑΣΟΛΙΑ ΜΑΥΡΟΜΑΤΙΚΑ ΣΠΟΡΟΠΑΡΑΓΩΓΗΣ</v>
      </c>
      <c r="B5778" s="49" t="s">
        <v>10973</v>
      </c>
      <c r="C5778" s="50" t="s">
        <v>11054</v>
      </c>
      <c r="D5778" s="6">
        <v>1568.73</v>
      </c>
      <c r="E5778" s="6">
        <v>1689.55</v>
      </c>
      <c r="F5778" s="46" t="s">
        <v>14</v>
      </c>
      <c r="G5778" s="46" t="s">
        <v>11055</v>
      </c>
      <c r="H5778" s="46" t="s">
        <v>27</v>
      </c>
      <c r="I5778" s="9">
        <v>1800</v>
      </c>
      <c r="J5778" s="51">
        <v>25</v>
      </c>
      <c r="K5778" s="51">
        <v>25037</v>
      </c>
      <c r="L5778" s="3" t="str">
        <f t="shared" si="187"/>
        <v>ΣΠΟΡΟΠΑΡΑΓΩΓΗ</v>
      </c>
    </row>
    <row r="5779" spans="1:12" x14ac:dyDescent="0.25">
      <c r="A5779" s="1" t="str">
        <f t="shared" si="186"/>
        <v>ΣΠΟΡΟΠΑΡΑΓΩΓΗΒΑΜΒΑΚΙ ΣΠΟΡΟΠΑΡΑΓΩΓΗΣ</v>
      </c>
      <c r="B5779" s="43" t="s">
        <v>10973</v>
      </c>
      <c r="C5779" s="44" t="s">
        <v>11056</v>
      </c>
      <c r="D5779" s="6">
        <v>1513.82</v>
      </c>
      <c r="E5779" s="6">
        <v>1498.43</v>
      </c>
      <c r="F5779" s="46" t="s">
        <v>14</v>
      </c>
      <c r="G5779" s="46" t="s">
        <v>11057</v>
      </c>
      <c r="H5779" s="46" t="s">
        <v>27</v>
      </c>
      <c r="I5779" s="47">
        <v>4627</v>
      </c>
      <c r="J5779" s="48">
        <v>25</v>
      </c>
      <c r="K5779" s="48">
        <v>25038</v>
      </c>
      <c r="L5779" s="3" t="str">
        <f t="shared" si="187"/>
        <v>ΣΠΟΡΟΠΑΡΑΓΩΓΗ</v>
      </c>
    </row>
    <row r="5780" spans="1:12" x14ac:dyDescent="0.25">
      <c r="A5780" s="1" t="str">
        <f t="shared" si="186"/>
        <v>ΣΠΟΡΟΠΑΡΑΓΩΓΗΣΟΓΙΑ ΣΠΟΡΟΠΑΡΑΓΩΓΗΣ</v>
      </c>
      <c r="B5780" s="49" t="s">
        <v>10973</v>
      </c>
      <c r="C5780" s="50" t="s">
        <v>11058</v>
      </c>
      <c r="D5780" s="6">
        <v>1336.72</v>
      </c>
      <c r="E5780" s="6">
        <v>1613.72</v>
      </c>
      <c r="F5780" s="46" t="s">
        <v>14</v>
      </c>
      <c r="G5780" s="46" t="s">
        <v>11059</v>
      </c>
      <c r="H5780" s="46" t="s">
        <v>27</v>
      </c>
      <c r="I5780" s="9">
        <v>1801</v>
      </c>
      <c r="J5780" s="51">
        <v>25</v>
      </c>
      <c r="K5780" s="51">
        <v>25039</v>
      </c>
      <c r="L5780" s="3" t="str">
        <f t="shared" si="187"/>
        <v>ΣΠΟΡΟΠΑΡΑΓΩΓΗ</v>
      </c>
    </row>
    <row r="5781" spans="1:12" x14ac:dyDescent="0.25">
      <c r="A5781" s="1" t="str">
        <f t="shared" si="186"/>
        <v>ΣΠΟΡΟΠΑΡΑΓΩΓΗICON</v>
      </c>
      <c r="B5781" s="43" t="s">
        <v>10973</v>
      </c>
      <c r="C5781" s="44" t="s">
        <v>11060</v>
      </c>
      <c r="D5781" s="6">
        <v>4227</v>
      </c>
      <c r="E5781" s="6">
        <v>4128</v>
      </c>
      <c r="F5781" s="46" t="s">
        <v>14</v>
      </c>
      <c r="G5781" s="46" t="s">
        <v>11061</v>
      </c>
      <c r="H5781" s="46" t="s">
        <v>27</v>
      </c>
      <c r="I5781" s="47">
        <v>4628</v>
      </c>
      <c r="J5781" s="48">
        <v>25</v>
      </c>
      <c r="K5781" s="48">
        <v>25040</v>
      </c>
      <c r="L5781" s="3" t="str">
        <f t="shared" si="187"/>
        <v>ΣΠΟΡΟΠΑΡΑΓΩΓΗ</v>
      </c>
    </row>
    <row r="5782" spans="1:12" x14ac:dyDescent="0.25">
      <c r="A5782" s="1" t="str">
        <f t="shared" si="186"/>
        <v>ΣΠΟΡΟΠΑΡΑΓΩΓΗΡΥΖΙ ΣΠΟΡΟΠΑΡΑΓΩΓΗΣ GALLILEO</v>
      </c>
      <c r="B5782" s="43" t="s">
        <v>10973</v>
      </c>
      <c r="C5782" s="44" t="s">
        <v>11062</v>
      </c>
      <c r="D5782" s="6">
        <v>1929.32</v>
      </c>
      <c r="E5782" s="6">
        <v>1033</v>
      </c>
      <c r="F5782" s="45" t="s">
        <v>14</v>
      </c>
      <c r="G5782" s="46" t="s">
        <v>11063</v>
      </c>
      <c r="H5782" s="46" t="s">
        <v>27</v>
      </c>
      <c r="I5782" s="9">
        <v>4372</v>
      </c>
      <c r="J5782" s="48">
        <v>25</v>
      </c>
      <c r="K5782" s="48">
        <v>25041</v>
      </c>
      <c r="L5782" s="3" t="str">
        <f t="shared" si="187"/>
        <v>ΣΠΟΡΟΠΑΡΑΓΩΓΗ</v>
      </c>
    </row>
    <row r="5783" spans="1:12" x14ac:dyDescent="0.25">
      <c r="A5783" s="1" t="str">
        <f t="shared" si="186"/>
        <v>ΣΠΟΡΟΠΑΡΑΓΩΓΗΒΙΚΟΣ ΣΠΟΡΟΠΑΡΑΓΩΓΗΣ ALEXANDROS</v>
      </c>
      <c r="B5783" s="49" t="s">
        <v>10973</v>
      </c>
      <c r="C5783" s="50" t="s">
        <v>11064</v>
      </c>
      <c r="D5783" s="6">
        <v>1515.84</v>
      </c>
      <c r="E5783" s="6">
        <v>3106.63</v>
      </c>
      <c r="F5783" s="46" t="s">
        <v>14</v>
      </c>
      <c r="G5783" s="46" t="s">
        <v>11065</v>
      </c>
      <c r="H5783" s="46" t="s">
        <v>27</v>
      </c>
      <c r="I5783" s="47">
        <v>1802</v>
      </c>
      <c r="J5783" s="51">
        <v>25</v>
      </c>
      <c r="K5783" s="51">
        <v>25042</v>
      </c>
      <c r="L5783" s="3" t="str">
        <f t="shared" si="187"/>
        <v>ΣΠΟΡΟΠΑΡΑΓΩΓΗ</v>
      </c>
    </row>
    <row r="5784" spans="1:12" x14ac:dyDescent="0.25">
      <c r="A5784" s="1" t="str">
        <f t="shared" si="186"/>
        <v>ΣΠΟΡΟΠΑΡΑΓΩΓΗΒΙΚΟΣ ΣΠΟΡΟΠΑΡΑΓΩΓΗΣ OMIROS</v>
      </c>
      <c r="B5784" s="49" t="s">
        <v>10973</v>
      </c>
      <c r="C5784" s="50" t="s">
        <v>11066</v>
      </c>
      <c r="D5784" s="6">
        <v>1515.84</v>
      </c>
      <c r="E5784" s="6">
        <v>3106.63</v>
      </c>
      <c r="F5784" s="46" t="s">
        <v>14</v>
      </c>
      <c r="G5784" s="46" t="s">
        <v>11067</v>
      </c>
      <c r="H5784" s="46" t="s">
        <v>27</v>
      </c>
      <c r="I5784" s="9">
        <v>1803</v>
      </c>
      <c r="J5784" s="51">
        <v>25</v>
      </c>
      <c r="K5784" s="51">
        <v>25043</v>
      </c>
      <c r="L5784" s="3" t="str">
        <f t="shared" si="187"/>
        <v>ΣΠΟΡΟΠΑΡΑΓΩΓΗ</v>
      </c>
    </row>
    <row r="5785" spans="1:12" x14ac:dyDescent="0.25">
      <c r="A5785" s="1" t="str">
        <f t="shared" si="186"/>
        <v>ΣΠΟΡΟΠΑΡΑΓΩΓΗΒΙΚΟΣ ΣΠΟΡΟΠΑΡΑΓΩΓΗΣ IDICE</v>
      </c>
      <c r="B5785" s="49" t="s">
        <v>10973</v>
      </c>
      <c r="C5785" s="50" t="s">
        <v>11068</v>
      </c>
      <c r="D5785" s="6">
        <v>1515.84</v>
      </c>
      <c r="E5785" s="6">
        <v>3106.63</v>
      </c>
      <c r="F5785" s="46" t="s">
        <v>14</v>
      </c>
      <c r="G5785" s="46" t="s">
        <v>11069</v>
      </c>
      <c r="H5785" s="46" t="s">
        <v>27</v>
      </c>
      <c r="I5785" s="47">
        <v>1811</v>
      </c>
      <c r="J5785" s="51">
        <v>25</v>
      </c>
      <c r="K5785" s="51">
        <v>25044</v>
      </c>
      <c r="L5785" s="3" t="str">
        <f t="shared" si="187"/>
        <v>ΣΠΟΡΟΠΑΡΑΓΩΓΗ</v>
      </c>
    </row>
    <row r="5786" spans="1:12" x14ac:dyDescent="0.25">
      <c r="A5786" s="1" t="str">
        <f t="shared" si="186"/>
        <v>ΣΠΟΡΟΠΑΡΑΓΩΓΗΒΙΚΟΣ ΣΠΟΡΟΠΑΡΑΓΩΓΗΣ TEMPI</v>
      </c>
      <c r="B5786" s="49" t="s">
        <v>10973</v>
      </c>
      <c r="C5786" s="50" t="s">
        <v>11070</v>
      </c>
      <c r="D5786" s="6">
        <v>1515.84</v>
      </c>
      <c r="E5786" s="6">
        <v>3106.63</v>
      </c>
      <c r="F5786" s="46" t="s">
        <v>14</v>
      </c>
      <c r="G5786" s="46" t="s">
        <v>11071</v>
      </c>
      <c r="H5786" s="46" t="s">
        <v>27</v>
      </c>
      <c r="I5786" s="9">
        <v>1813</v>
      </c>
      <c r="J5786" s="51">
        <v>25</v>
      </c>
      <c r="K5786" s="51">
        <v>25045</v>
      </c>
      <c r="L5786" s="3" t="str">
        <f t="shared" si="187"/>
        <v>ΣΠΟΡΟΠΑΡΑΓΩΓΗ</v>
      </c>
    </row>
    <row r="5787" spans="1:12" x14ac:dyDescent="0.25">
      <c r="A5787" s="1" t="str">
        <f t="shared" si="186"/>
        <v>ΣΠΟΡΟΠΑΡΑΓΩΓΗΚΤΗΝΟΤΡΟΦΙΚΟ ΚΟΥΚΙ ΣΠΟΡΟΠΑΡΑΓΩΓΗΣ SOLON</v>
      </c>
      <c r="B5787" s="49" t="s">
        <v>10973</v>
      </c>
      <c r="C5787" s="50" t="s">
        <v>11072</v>
      </c>
      <c r="D5787" s="6">
        <v>1568.73</v>
      </c>
      <c r="E5787" s="6">
        <v>1689.55</v>
      </c>
      <c r="F5787" s="46" t="s">
        <v>14</v>
      </c>
      <c r="G5787" s="46" t="s">
        <v>11073</v>
      </c>
      <c r="H5787" s="46" t="s">
        <v>27</v>
      </c>
      <c r="I5787" s="47">
        <v>1790</v>
      </c>
      <c r="J5787" s="51">
        <v>25</v>
      </c>
      <c r="K5787" s="51">
        <v>25046</v>
      </c>
      <c r="L5787" s="3" t="str">
        <f t="shared" si="187"/>
        <v>ΣΠΟΡΟΠΑΡΑΓΩΓΗ</v>
      </c>
    </row>
    <row r="5788" spans="1:12" x14ac:dyDescent="0.25">
      <c r="A5788" s="1" t="str">
        <f t="shared" si="186"/>
        <v>ΣΠΟΡΟΠΑΡΑΓΩΓΗΒΙΚΟΣ ΣΠΟΡΟΠΑΡΑΓΩΓΗΣ MARIANNA</v>
      </c>
      <c r="B5788" s="49" t="s">
        <v>10973</v>
      </c>
      <c r="C5788" s="50" t="s">
        <v>11074</v>
      </c>
      <c r="D5788" s="6">
        <v>1515.84</v>
      </c>
      <c r="E5788" s="6">
        <v>3106.63</v>
      </c>
      <c r="F5788" s="46" t="s">
        <v>14</v>
      </c>
      <c r="G5788" s="46" t="s">
        <v>11075</v>
      </c>
      <c r="H5788" s="46" t="s">
        <v>27</v>
      </c>
      <c r="I5788" s="9">
        <v>1818</v>
      </c>
      <c r="J5788" s="51">
        <v>25</v>
      </c>
      <c r="K5788" s="51">
        <v>25047</v>
      </c>
      <c r="L5788" s="3" t="str">
        <f t="shared" si="187"/>
        <v>ΣΠΟΡΟΠΑΡΑΓΩΓΗ</v>
      </c>
    </row>
    <row r="5789" spans="1:12" x14ac:dyDescent="0.25">
      <c r="A5789" s="1" t="str">
        <f t="shared" si="186"/>
        <v>ΣΠΟΡΟΠΑΡΑΓΩΓΗΒΙΚΟΣ ΣΠΟΡΟΠΑΡΑΓΩΓΗΣ KALLIROI</v>
      </c>
      <c r="B5789" s="49" t="s">
        <v>10973</v>
      </c>
      <c r="C5789" s="50" t="s">
        <v>11076</v>
      </c>
      <c r="D5789" s="6">
        <v>1515.84</v>
      </c>
      <c r="E5789" s="6">
        <v>3106.63</v>
      </c>
      <c r="F5789" s="46" t="s">
        <v>14</v>
      </c>
      <c r="G5789" s="46" t="s">
        <v>11077</v>
      </c>
      <c r="H5789" s="46" t="s">
        <v>27</v>
      </c>
      <c r="I5789" s="47">
        <v>1817</v>
      </c>
      <c r="J5789" s="51">
        <v>25</v>
      </c>
      <c r="K5789" s="51">
        <v>25048</v>
      </c>
      <c r="L5789" s="3" t="str">
        <f t="shared" si="187"/>
        <v>ΣΠΟΡΟΠΑΡΑΓΩΓΗ</v>
      </c>
    </row>
    <row r="5790" spans="1:12" x14ac:dyDescent="0.25">
      <c r="A5790" s="1" t="str">
        <f t="shared" si="186"/>
        <v>ΣΠΟΡΟΠΑΡΑΓΩΓΗΒΙΚΟΣ ΣΠΟΡΟΠΑΡΑΓΩΓΗΣ PIGASOS</v>
      </c>
      <c r="B5790" s="49" t="s">
        <v>10973</v>
      </c>
      <c r="C5790" s="50" t="s">
        <v>11078</v>
      </c>
      <c r="D5790" s="6">
        <v>1515.84</v>
      </c>
      <c r="E5790" s="6">
        <v>3106.63</v>
      </c>
      <c r="F5790" s="46" t="s">
        <v>14</v>
      </c>
      <c r="G5790" s="46" t="s">
        <v>11079</v>
      </c>
      <c r="H5790" s="46" t="s">
        <v>27</v>
      </c>
      <c r="I5790" s="9">
        <v>1816</v>
      </c>
      <c r="J5790" s="51">
        <v>25</v>
      </c>
      <c r="K5790" s="51">
        <v>25049</v>
      </c>
      <c r="L5790" s="3" t="str">
        <f t="shared" si="187"/>
        <v>ΣΠΟΡΟΠΑΡΑΓΩΓΗ</v>
      </c>
    </row>
    <row r="5791" spans="1:12" x14ac:dyDescent="0.25">
      <c r="A5791" s="1" t="str">
        <f t="shared" si="186"/>
        <v>ΣΠΟΡΟΠΑΡΑΓΩΓΗΜΗΔΙΚΗ ΣΠΟΡΟΠΑΡΑΓΩΓΗΣ YLIKI</v>
      </c>
      <c r="B5791" s="49" t="s">
        <v>10973</v>
      </c>
      <c r="C5791" s="50" t="s">
        <v>11080</v>
      </c>
      <c r="D5791" s="6">
        <v>4227</v>
      </c>
      <c r="E5791" s="6">
        <v>4128</v>
      </c>
      <c r="F5791" s="46" t="s">
        <v>14</v>
      </c>
      <c r="G5791" s="46" t="s">
        <v>11081</v>
      </c>
      <c r="H5791" s="46" t="s">
        <v>27</v>
      </c>
      <c r="I5791" s="47">
        <v>1815</v>
      </c>
      <c r="J5791" s="51">
        <v>25</v>
      </c>
      <c r="K5791" s="51">
        <v>25050</v>
      </c>
      <c r="L5791" s="3" t="str">
        <f t="shared" si="187"/>
        <v>ΣΠΟΡΟΠΑΡΑΓΩΓΗ</v>
      </c>
    </row>
    <row r="5792" spans="1:12" ht="31.5" x14ac:dyDescent="0.25">
      <c r="A5792" s="1" t="str">
        <f t="shared" si="186"/>
        <v>ΣΠΟΡΟΠΑΡΑΓΩΓΗΚΤΗΝΟΤΡΟΦΙΚΟ ΚΟΥΚΙ ΣΠΟΡΟΠΑΡΑΓΩΓΗΣ POLYKARPI</v>
      </c>
      <c r="B5792" s="49" t="s">
        <v>10973</v>
      </c>
      <c r="C5792" s="50" t="s">
        <v>11082</v>
      </c>
      <c r="D5792" s="6">
        <v>1568.73</v>
      </c>
      <c r="E5792" s="6">
        <v>1689.55</v>
      </c>
      <c r="F5792" s="46" t="s">
        <v>14</v>
      </c>
      <c r="G5792" s="46" t="s">
        <v>11083</v>
      </c>
      <c r="H5792" s="46" t="s">
        <v>27</v>
      </c>
      <c r="I5792" s="9">
        <v>1814</v>
      </c>
      <c r="J5792" s="51">
        <v>25</v>
      </c>
      <c r="K5792" s="51">
        <v>25051</v>
      </c>
      <c r="L5792" s="3" t="str">
        <f t="shared" si="187"/>
        <v>ΣΠΟΡΟΠΑΡΑΓΩΓΗ</v>
      </c>
    </row>
    <row r="5793" spans="1:12" x14ac:dyDescent="0.25">
      <c r="A5793" s="1" t="str">
        <f t="shared" si="186"/>
        <v>ΣΠΟΡΟΠΑΡΑΓΩΓΗΜΗΔΙΚΗ ΣΠΟΡΟΠΑΡΑΓΩΓΗΣ GEA</v>
      </c>
      <c r="B5793" s="49" t="s">
        <v>10973</v>
      </c>
      <c r="C5793" s="50" t="s">
        <v>11084</v>
      </c>
      <c r="D5793" s="6">
        <v>4227</v>
      </c>
      <c r="E5793" s="6">
        <v>4128</v>
      </c>
      <c r="F5793" s="46" t="s">
        <v>14</v>
      </c>
      <c r="G5793" s="46" t="s">
        <v>11085</v>
      </c>
      <c r="H5793" s="46" t="s">
        <v>27</v>
      </c>
      <c r="I5793" s="47">
        <v>1805</v>
      </c>
      <c r="J5793" s="51">
        <v>25</v>
      </c>
      <c r="K5793" s="51">
        <v>25052</v>
      </c>
      <c r="L5793" s="3" t="str">
        <f t="shared" si="187"/>
        <v>ΣΠΟΡΟΠΑΡΑΓΩΓΗ</v>
      </c>
    </row>
    <row r="5794" spans="1:12" x14ac:dyDescent="0.25">
      <c r="A5794" s="1" t="str">
        <f t="shared" si="186"/>
        <v>ΣΠΟΡΟΠΑΡΑΓΩΓΗΒΙΚΟΣ ΣΠΟΡΟΠΑΡΑΓΩΓΗΣ EVINOS</v>
      </c>
      <c r="B5794" s="49" t="s">
        <v>10973</v>
      </c>
      <c r="C5794" s="50" t="s">
        <v>11086</v>
      </c>
      <c r="D5794" s="6">
        <v>1515.84</v>
      </c>
      <c r="E5794" s="6">
        <v>3106.63</v>
      </c>
      <c r="F5794" s="46" t="s">
        <v>14</v>
      </c>
      <c r="G5794" s="46" t="s">
        <v>11087</v>
      </c>
      <c r="H5794" s="46" t="s">
        <v>27</v>
      </c>
      <c r="I5794" s="9">
        <v>1812</v>
      </c>
      <c r="J5794" s="51">
        <v>25</v>
      </c>
      <c r="K5794" s="51">
        <v>25053</v>
      </c>
      <c r="L5794" s="3" t="str">
        <f t="shared" si="187"/>
        <v>ΣΠΟΡΟΠΑΡΑΓΩΓΗ</v>
      </c>
    </row>
    <row r="5795" spans="1:12" x14ac:dyDescent="0.25">
      <c r="A5795" s="1" t="str">
        <f t="shared" si="186"/>
        <v>ΣΠΟΡΟΠΑΡΑΓΩΓΗΒΙΚΟΣ ΣΠΟΡΟΠΑΡΑΓΩΓΗΣ ZEFYROS</v>
      </c>
      <c r="B5795" s="49" t="s">
        <v>10973</v>
      </c>
      <c r="C5795" s="50" t="s">
        <v>11088</v>
      </c>
      <c r="D5795" s="6">
        <v>1515.84</v>
      </c>
      <c r="E5795" s="6">
        <v>3106.63</v>
      </c>
      <c r="F5795" s="46" t="s">
        <v>14</v>
      </c>
      <c r="G5795" s="46" t="s">
        <v>11089</v>
      </c>
      <c r="H5795" s="46" t="s">
        <v>27</v>
      </c>
      <c r="I5795" s="47">
        <v>1820</v>
      </c>
      <c r="J5795" s="51">
        <v>25</v>
      </c>
      <c r="K5795" s="51">
        <v>25054</v>
      </c>
      <c r="L5795" s="3" t="str">
        <f t="shared" si="187"/>
        <v>ΣΠΟΡΟΠΑΡΑΓΩΓΗ</v>
      </c>
    </row>
    <row r="5796" spans="1:12" ht="31.5" x14ac:dyDescent="0.25">
      <c r="A5796" s="1" t="str">
        <f t="shared" si="186"/>
        <v>ΣΠΟΡΟΠΑΡΑΓΩΓΗΚΤΗΝΟΤΡΟΦΙΚΟ ΜΠΙΖΕΛΙ ΣΠΟΡΟΠΑΡΑΓΩΓΗΣ DODONI</v>
      </c>
      <c r="B5796" s="49" t="s">
        <v>10973</v>
      </c>
      <c r="C5796" s="50" t="s">
        <v>11090</v>
      </c>
      <c r="D5796" s="6">
        <v>1568.73</v>
      </c>
      <c r="E5796" s="6">
        <v>1689.55</v>
      </c>
      <c r="F5796" s="46" t="s">
        <v>14</v>
      </c>
      <c r="G5796" s="46" t="s">
        <v>11091</v>
      </c>
      <c r="H5796" s="46" t="s">
        <v>27</v>
      </c>
      <c r="I5796" s="9">
        <v>1810</v>
      </c>
      <c r="J5796" s="51">
        <v>25</v>
      </c>
      <c r="K5796" s="51">
        <v>25055</v>
      </c>
      <c r="L5796" s="3" t="str">
        <f t="shared" si="187"/>
        <v>ΣΠΟΡΟΠΑΡΑΓΩΓΗ</v>
      </c>
    </row>
    <row r="5797" spans="1:12" x14ac:dyDescent="0.25">
      <c r="A5797" s="1" t="str">
        <f t="shared" si="186"/>
        <v>ΣΠΟΡΟΠΑΡΑΓΩΓΗΜΗΔΙΚΗ ΣΠΟΡΟΠΑΡΑΓΩΓΗΣ YPATI</v>
      </c>
      <c r="B5797" s="49" t="s">
        <v>10973</v>
      </c>
      <c r="C5797" s="50" t="s">
        <v>11092</v>
      </c>
      <c r="D5797" s="6">
        <v>4227</v>
      </c>
      <c r="E5797" s="6">
        <v>4128</v>
      </c>
      <c r="F5797" s="46" t="s">
        <v>14</v>
      </c>
      <c r="G5797" s="46" t="s">
        <v>11093</v>
      </c>
      <c r="H5797" s="46" t="s">
        <v>27</v>
      </c>
      <c r="I5797" s="47">
        <v>1809</v>
      </c>
      <c r="J5797" s="51">
        <v>25</v>
      </c>
      <c r="K5797" s="51">
        <v>25056</v>
      </c>
      <c r="L5797" s="3" t="str">
        <f t="shared" si="187"/>
        <v>ΣΠΟΡΟΠΑΡΑΓΩΓΗ</v>
      </c>
    </row>
    <row r="5798" spans="1:12" x14ac:dyDescent="0.25">
      <c r="A5798" s="1" t="str">
        <f t="shared" si="186"/>
        <v>ΣΠΟΡΟΠΑΡΑΓΩΓΗΜΗΔΙΚΗ ΣΠΟΡΟΠΑΡΑΓΩΓΗΣ AGN M72</v>
      </c>
      <c r="B5798" s="49" t="s">
        <v>10973</v>
      </c>
      <c r="C5798" s="50" t="s">
        <v>11094</v>
      </c>
      <c r="D5798" s="6">
        <v>4227</v>
      </c>
      <c r="E5798" s="6">
        <v>4128</v>
      </c>
      <c r="F5798" s="46" t="s">
        <v>14</v>
      </c>
      <c r="G5798" s="46" t="s">
        <v>11095</v>
      </c>
      <c r="H5798" s="46" t="s">
        <v>27</v>
      </c>
      <c r="I5798" s="9">
        <v>1808</v>
      </c>
      <c r="J5798" s="51">
        <v>25</v>
      </c>
      <c r="K5798" s="51">
        <v>25057</v>
      </c>
      <c r="L5798" s="3" t="str">
        <f t="shared" si="187"/>
        <v>ΣΠΟΡΟΠΑΡΑΓΩΓΗ</v>
      </c>
    </row>
    <row r="5799" spans="1:12" x14ac:dyDescent="0.25">
      <c r="A5799" s="1" t="str">
        <f t="shared" si="186"/>
        <v>ΣΠΟΡΟΠΑΡΑΓΩΓΗΜΗΔΙΚΗ ΣΠΟΡΟΠΑΡΑΓΩΓΗΣ LARISSA</v>
      </c>
      <c r="B5799" s="49" t="s">
        <v>10973</v>
      </c>
      <c r="C5799" s="50" t="s">
        <v>11096</v>
      </c>
      <c r="D5799" s="6">
        <v>4227</v>
      </c>
      <c r="E5799" s="6">
        <v>4128</v>
      </c>
      <c r="F5799" s="46" t="s">
        <v>14</v>
      </c>
      <c r="G5799" s="46" t="s">
        <v>11097</v>
      </c>
      <c r="H5799" s="46" t="s">
        <v>27</v>
      </c>
      <c r="I5799" s="47">
        <v>1807</v>
      </c>
      <c r="J5799" s="51">
        <v>25</v>
      </c>
      <c r="K5799" s="51">
        <v>25058</v>
      </c>
      <c r="L5799" s="3" t="str">
        <f t="shared" si="187"/>
        <v>ΣΠΟΡΟΠΑΡΑΓΩΓΗ</v>
      </c>
    </row>
    <row r="5800" spans="1:12" x14ac:dyDescent="0.25">
      <c r="A5800" s="1" t="str">
        <f t="shared" si="186"/>
        <v>ΣΠΟΡΟΠΑΡΑΓΩΓΗΚΤΗΝΟΤΡΟΦΙΚΟ ΜΠΙΖΕΛI ΣΠΟΡΟΠΑΡΑΓΩΓΗΣ ASSAS</v>
      </c>
      <c r="B5800" s="49" t="s">
        <v>10973</v>
      </c>
      <c r="C5800" s="50" t="s">
        <v>11098</v>
      </c>
      <c r="D5800" s="6">
        <v>1568.73</v>
      </c>
      <c r="E5800" s="6">
        <v>1689.55</v>
      </c>
      <c r="F5800" s="46" t="s">
        <v>14</v>
      </c>
      <c r="G5800" s="46" t="s">
        <v>11099</v>
      </c>
      <c r="H5800" s="46" t="s">
        <v>27</v>
      </c>
      <c r="I5800" s="9">
        <v>1775</v>
      </c>
      <c r="J5800" s="51">
        <v>25</v>
      </c>
      <c r="K5800" s="51">
        <v>25059</v>
      </c>
      <c r="L5800" s="3" t="str">
        <f t="shared" si="187"/>
        <v>ΣΠΟΡΟΠΑΡΑΓΩΓΗ</v>
      </c>
    </row>
    <row r="5801" spans="1:12" x14ac:dyDescent="0.25">
      <c r="A5801" s="1" t="str">
        <f t="shared" si="186"/>
        <v>ΣΠΟΡΟΠΑΡΑΓΩΓΗΚΤΗΝΟΤΡΟΦΙΚΟ ΜΠΙΖΕΛI ΣΠΟΡΟΠΑΡΑΓΩΓΗΣ DOVE</v>
      </c>
      <c r="B5801" s="49" t="s">
        <v>10973</v>
      </c>
      <c r="C5801" s="50" t="s">
        <v>11100</v>
      </c>
      <c r="D5801" s="6">
        <v>1568.73</v>
      </c>
      <c r="E5801" s="6">
        <v>1689.55</v>
      </c>
      <c r="F5801" s="46" t="s">
        <v>14</v>
      </c>
      <c r="G5801" s="46" t="s">
        <v>11101</v>
      </c>
      <c r="H5801" s="46" t="s">
        <v>27</v>
      </c>
      <c r="I5801" s="47">
        <v>1819</v>
      </c>
      <c r="J5801" s="51">
        <v>25</v>
      </c>
      <c r="K5801" s="51">
        <v>25060</v>
      </c>
      <c r="L5801" s="3" t="str">
        <f t="shared" si="187"/>
        <v>ΣΠΟΡΟΠΑΡΑΓΩΓΗ</v>
      </c>
    </row>
    <row r="5802" spans="1:12" x14ac:dyDescent="0.25">
      <c r="A5802" s="1" t="str">
        <f t="shared" si="186"/>
        <v>ΣΠΟΡΟΠΑΡΑΓΩΓΗΒΙΚΟΣ ΣΠΟΡΟΠΑΡΑΓΩΓΗΣ SFINGE</v>
      </c>
      <c r="B5802" s="49" t="s">
        <v>10973</v>
      </c>
      <c r="C5802" s="50" t="s">
        <v>11102</v>
      </c>
      <c r="D5802" s="6">
        <v>1515.84</v>
      </c>
      <c r="E5802" s="6">
        <v>3106.63</v>
      </c>
      <c r="F5802" s="46" t="s">
        <v>14</v>
      </c>
      <c r="G5802" s="46" t="s">
        <v>11103</v>
      </c>
      <c r="H5802" s="46" t="s">
        <v>27</v>
      </c>
      <c r="I5802" s="9">
        <v>1804</v>
      </c>
      <c r="J5802" s="51">
        <v>25</v>
      </c>
      <c r="K5802" s="51">
        <v>25061</v>
      </c>
      <c r="L5802" s="3" t="str">
        <f t="shared" si="187"/>
        <v>ΣΠΟΡΟΠΑΡΑΓΩΓΗ</v>
      </c>
    </row>
    <row r="5803" spans="1:12" x14ac:dyDescent="0.25">
      <c r="A5803" s="1" t="str">
        <f t="shared" si="186"/>
        <v>ΣΠΟΡΟΠΑΡΑΓΩΓΗΜΗΔΙΚΗ ΣΠΟΡΟΠΑΡΑΓΩΓΗΣ DOLICHI</v>
      </c>
      <c r="B5803" s="49" t="s">
        <v>10973</v>
      </c>
      <c r="C5803" s="50" t="s">
        <v>11104</v>
      </c>
      <c r="D5803" s="6">
        <v>4227</v>
      </c>
      <c r="E5803" s="6">
        <v>4128</v>
      </c>
      <c r="F5803" s="46" t="s">
        <v>14</v>
      </c>
      <c r="G5803" s="46" t="s">
        <v>11105</v>
      </c>
      <c r="H5803" s="46" t="s">
        <v>27</v>
      </c>
      <c r="I5803" s="47">
        <v>1761</v>
      </c>
      <c r="J5803" s="51">
        <v>25</v>
      </c>
      <c r="K5803" s="51">
        <v>25062</v>
      </c>
      <c r="L5803" s="3" t="str">
        <f t="shared" si="187"/>
        <v>ΣΠΟΡΟΠΑΡΑΓΩΓΗ</v>
      </c>
    </row>
    <row r="5804" spans="1:12" x14ac:dyDescent="0.25">
      <c r="A5804" s="1" t="str">
        <f t="shared" si="186"/>
        <v>ΣΠΟΡΟΠΑΡΑΓΩΓΗΜΗΔΙΚΗ ΣΠΟΡΟΠΑΡΑΓΩΓΗΣ NIKITA</v>
      </c>
      <c r="B5804" s="49" t="s">
        <v>10973</v>
      </c>
      <c r="C5804" s="50" t="s">
        <v>11106</v>
      </c>
      <c r="D5804" s="6">
        <v>4227</v>
      </c>
      <c r="E5804" s="6">
        <v>4128</v>
      </c>
      <c r="F5804" s="46" t="s">
        <v>14</v>
      </c>
      <c r="G5804" s="46" t="s">
        <v>11107</v>
      </c>
      <c r="H5804" s="46" t="s">
        <v>27</v>
      </c>
      <c r="I5804" s="9">
        <v>1762</v>
      </c>
      <c r="J5804" s="51">
        <v>25</v>
      </c>
      <c r="K5804" s="51">
        <v>25063</v>
      </c>
      <c r="L5804" s="3" t="str">
        <f t="shared" si="187"/>
        <v>ΣΠΟΡΟΠΑΡΑΓΩΓΗ</v>
      </c>
    </row>
    <row r="5805" spans="1:12" x14ac:dyDescent="0.25">
      <c r="A5805" s="1" t="str">
        <f t="shared" si="186"/>
        <v>ΣΠΟΡΟΠΑΡΑΓΩΓΗΜΗΔΙΚΗ ΣΠΟΡΟΠΑΡΑΓΩΓΗΣ CORSA</v>
      </c>
      <c r="B5805" s="49" t="s">
        <v>10973</v>
      </c>
      <c r="C5805" s="50" t="s">
        <v>11108</v>
      </c>
      <c r="D5805" s="6">
        <v>4227</v>
      </c>
      <c r="E5805" s="6">
        <v>4128</v>
      </c>
      <c r="F5805" s="46" t="s">
        <v>14</v>
      </c>
      <c r="G5805" s="46" t="s">
        <v>11109</v>
      </c>
      <c r="H5805" s="46" t="s">
        <v>27</v>
      </c>
      <c r="I5805" s="47">
        <v>1763</v>
      </c>
      <c r="J5805" s="51">
        <v>25</v>
      </c>
      <c r="K5805" s="51">
        <v>25064</v>
      </c>
      <c r="L5805" s="3" t="str">
        <f t="shared" si="187"/>
        <v>ΣΠΟΡΟΠΑΡΑΓΩΓΗ</v>
      </c>
    </row>
    <row r="5806" spans="1:12" x14ac:dyDescent="0.25">
      <c r="A5806" s="1" t="str">
        <f t="shared" si="186"/>
        <v>ΣΠΟΡΟΠΑΡΑΓΩΓΗΜΗΔΙΚΗ ΣΠΟΡΟΠΑΡΑΓΩΓΗΣ LUXOR</v>
      </c>
      <c r="B5806" s="49" t="s">
        <v>10973</v>
      </c>
      <c r="C5806" s="50" t="s">
        <v>11110</v>
      </c>
      <c r="D5806" s="6">
        <v>4227</v>
      </c>
      <c r="E5806" s="6">
        <v>4128</v>
      </c>
      <c r="F5806" s="46" t="s">
        <v>14</v>
      </c>
      <c r="G5806" s="46" t="s">
        <v>11111</v>
      </c>
      <c r="H5806" s="46" t="s">
        <v>27</v>
      </c>
      <c r="I5806" s="9">
        <v>1764</v>
      </c>
      <c r="J5806" s="51">
        <v>25</v>
      </c>
      <c r="K5806" s="51">
        <v>25065</v>
      </c>
      <c r="L5806" s="3" t="str">
        <f t="shared" si="187"/>
        <v>ΣΠΟΡΟΠΑΡΑΓΩΓΗ</v>
      </c>
    </row>
    <row r="5807" spans="1:12" x14ac:dyDescent="0.25">
      <c r="A5807" s="1" t="str">
        <f t="shared" si="186"/>
        <v>ΣΠΟΡΟΠΑΡΑΓΩΓΗΜΗΔΙΚΗ ΣΠΟΡΟΠΑΡΑΓΩΓΗΣ BLUE ACE</v>
      </c>
      <c r="B5807" s="49" t="s">
        <v>10973</v>
      </c>
      <c r="C5807" s="50" t="s">
        <v>11112</v>
      </c>
      <c r="D5807" s="6">
        <v>4227</v>
      </c>
      <c r="E5807" s="6">
        <v>4128</v>
      </c>
      <c r="F5807" s="46" t="s">
        <v>14</v>
      </c>
      <c r="G5807" s="46" t="s">
        <v>11113</v>
      </c>
      <c r="H5807" s="46" t="s">
        <v>27</v>
      </c>
      <c r="I5807" s="47">
        <v>1765</v>
      </c>
      <c r="J5807" s="51">
        <v>25</v>
      </c>
      <c r="K5807" s="51">
        <v>25066</v>
      </c>
      <c r="L5807" s="3" t="str">
        <f t="shared" si="187"/>
        <v>ΣΠΟΡΟΠΑΡΑΓΩΓΗ</v>
      </c>
    </row>
    <row r="5808" spans="1:12" x14ac:dyDescent="0.25">
      <c r="A5808" s="1" t="str">
        <f t="shared" si="186"/>
        <v>ΣΠΟΡΟΠΑΡΑΓΩΓΗΜΗΔΙΚΗ ΣΠΟΡΟΠΑΡΑΓΩΓΗΣ ICON</v>
      </c>
      <c r="B5808" s="49" t="s">
        <v>10973</v>
      </c>
      <c r="C5808" s="50" t="s">
        <v>11114</v>
      </c>
      <c r="D5808" s="6">
        <v>4227</v>
      </c>
      <c r="E5808" s="6">
        <v>4128</v>
      </c>
      <c r="F5808" s="46" t="s">
        <v>14</v>
      </c>
      <c r="G5808" s="46" t="s">
        <v>11115</v>
      </c>
      <c r="H5808" s="46" t="s">
        <v>27</v>
      </c>
      <c r="I5808" s="9">
        <v>1766</v>
      </c>
      <c r="J5808" s="51">
        <v>25</v>
      </c>
      <c r="K5808" s="51">
        <v>25067</v>
      </c>
      <c r="L5808" s="3" t="str">
        <f t="shared" si="187"/>
        <v>ΣΠΟΡΟΠΑΡΑΓΩΓΗ</v>
      </c>
    </row>
    <row r="5809" spans="1:12" x14ac:dyDescent="0.25">
      <c r="A5809" s="1" t="str">
        <f t="shared" si="186"/>
        <v>ΣΠΟΡΟΠΑΡΑΓΩΓΗΜΗΔΙΚΗ ΣΠΟΡΟΠΑΡΑΓΩΓΗΣ IONIAN</v>
      </c>
      <c r="B5809" s="49" t="s">
        <v>10973</v>
      </c>
      <c r="C5809" s="50" t="s">
        <v>11116</v>
      </c>
      <c r="D5809" s="6">
        <v>4227</v>
      </c>
      <c r="E5809" s="6">
        <v>4128</v>
      </c>
      <c r="F5809" s="46" t="s">
        <v>14</v>
      </c>
      <c r="G5809" s="46" t="s">
        <v>11117</v>
      </c>
      <c r="H5809" s="46" t="s">
        <v>27</v>
      </c>
      <c r="I5809" s="47">
        <v>1767</v>
      </c>
      <c r="J5809" s="51">
        <v>25</v>
      </c>
      <c r="K5809" s="51">
        <v>25068</v>
      </c>
      <c r="L5809" s="3" t="str">
        <f t="shared" si="187"/>
        <v>ΣΠΟΡΟΠΑΡΑΓΩΓΗ</v>
      </c>
    </row>
    <row r="5810" spans="1:12" x14ac:dyDescent="0.25">
      <c r="A5810" s="1" t="str">
        <f t="shared" si="186"/>
        <v>ΣΠΟΡΟΠΑΡΑΓΩΓΗΦΑΚΗ ΣΠΟΡΟΠΑΡΑΓΩΓΗΣ DIMITRA</v>
      </c>
      <c r="B5810" s="49" t="s">
        <v>10973</v>
      </c>
      <c r="C5810" s="50" t="s">
        <v>11118</v>
      </c>
      <c r="D5810" s="6">
        <v>1515.84</v>
      </c>
      <c r="E5810" s="6">
        <v>3106.63</v>
      </c>
      <c r="F5810" s="46" t="s">
        <v>14</v>
      </c>
      <c r="G5810" s="46" t="s">
        <v>11119</v>
      </c>
      <c r="H5810" s="46" t="s">
        <v>27</v>
      </c>
      <c r="I5810" s="9">
        <v>1768</v>
      </c>
      <c r="J5810" s="51">
        <v>25</v>
      </c>
      <c r="K5810" s="51">
        <v>25069</v>
      </c>
      <c r="L5810" s="3" t="str">
        <f t="shared" si="187"/>
        <v>ΣΠΟΡΟΠΑΡΑΓΩΓΗ</v>
      </c>
    </row>
    <row r="5811" spans="1:12" x14ac:dyDescent="0.25">
      <c r="A5811" s="1" t="str">
        <f t="shared" si="186"/>
        <v>ΣΠΟΡΟΠΑΡΑΓΩΓΗΦΑΚΗ ΣΠΟΡΟΠΑΡΑΓΩΓΗΣ THESSALIA</v>
      </c>
      <c r="B5811" s="49" t="s">
        <v>10973</v>
      </c>
      <c r="C5811" s="50" t="s">
        <v>11120</v>
      </c>
      <c r="D5811" s="6">
        <v>1515.84</v>
      </c>
      <c r="E5811" s="6">
        <v>3106.63</v>
      </c>
      <c r="F5811" s="46" t="s">
        <v>14</v>
      </c>
      <c r="G5811" s="46" t="s">
        <v>11121</v>
      </c>
      <c r="H5811" s="46" t="s">
        <v>27</v>
      </c>
      <c r="I5811" s="47">
        <v>1769</v>
      </c>
      <c r="J5811" s="51">
        <v>25</v>
      </c>
      <c r="K5811" s="51">
        <v>25070</v>
      </c>
      <c r="L5811" s="3" t="str">
        <f t="shared" si="187"/>
        <v>ΣΠΟΡΟΠΑΡΑΓΩΓΗ</v>
      </c>
    </row>
    <row r="5812" spans="1:12" x14ac:dyDescent="0.25">
      <c r="A5812" s="1" t="str">
        <f t="shared" si="186"/>
        <v>ΣΠΟΡΟΠΑΡΑΓΩΓΗΦΑΚΗ ΣΠΟΡΟΠΑΡΑΓΩΓΗΣ SAMOS</v>
      </c>
      <c r="B5812" s="49" t="s">
        <v>10973</v>
      </c>
      <c r="C5812" s="50" t="s">
        <v>11122</v>
      </c>
      <c r="D5812" s="6">
        <v>1515.84</v>
      </c>
      <c r="E5812" s="6">
        <v>3106.63</v>
      </c>
      <c r="F5812" s="46" t="s">
        <v>14</v>
      </c>
      <c r="G5812" s="46" t="s">
        <v>11123</v>
      </c>
      <c r="H5812" s="46" t="s">
        <v>27</v>
      </c>
      <c r="I5812" s="9">
        <v>1770</v>
      </c>
      <c r="J5812" s="51">
        <v>25</v>
      </c>
      <c r="K5812" s="51">
        <v>25071</v>
      </c>
      <c r="L5812" s="3" t="str">
        <f t="shared" si="187"/>
        <v>ΣΠΟΡΟΠΑΡΑΓΩΓΗ</v>
      </c>
    </row>
    <row r="5813" spans="1:12" x14ac:dyDescent="0.25">
      <c r="A5813" s="1" t="str">
        <f t="shared" si="186"/>
        <v>ΣΠΟΡΟΠΑΡΑΓΩΓΗΡΕΒΙΘΙ ΣΠΟΡΟΠΑΡΑΓΩΓΗΣ GAVDOS</v>
      </c>
      <c r="B5813" s="49" t="s">
        <v>10973</v>
      </c>
      <c r="C5813" s="50" t="s">
        <v>11124</v>
      </c>
      <c r="D5813" s="6">
        <v>1515.84</v>
      </c>
      <c r="E5813" s="6">
        <v>3106.63</v>
      </c>
      <c r="F5813" s="46" t="s">
        <v>14</v>
      </c>
      <c r="G5813" s="46" t="s">
        <v>11125</v>
      </c>
      <c r="H5813" s="46" t="s">
        <v>27</v>
      </c>
      <c r="I5813" s="47">
        <v>1771</v>
      </c>
      <c r="J5813" s="51">
        <v>25</v>
      </c>
      <c r="K5813" s="51">
        <v>25072</v>
      </c>
      <c r="L5813" s="3" t="str">
        <f t="shared" si="187"/>
        <v>ΣΠΟΡΟΠΑΡΑΓΩΓΗ</v>
      </c>
    </row>
    <row r="5814" spans="1:12" x14ac:dyDescent="0.25">
      <c r="A5814" s="1" t="str">
        <f t="shared" si="186"/>
        <v>ΣΠΟΡΟΠΑΡΑΓΩΓΗΒΙΚΟΣ ΣΠΟΡΟΠΑΡΑΓΩΓΗΣ ISTROS</v>
      </c>
      <c r="B5814" s="49" t="s">
        <v>10973</v>
      </c>
      <c r="C5814" s="50" t="s">
        <v>11126</v>
      </c>
      <c r="D5814" s="6">
        <v>1515.84</v>
      </c>
      <c r="E5814" s="6">
        <v>3106.63</v>
      </c>
      <c r="F5814" s="46" t="s">
        <v>14</v>
      </c>
      <c r="G5814" s="46" t="s">
        <v>11127</v>
      </c>
      <c r="H5814" s="46" t="s">
        <v>27</v>
      </c>
      <c r="I5814" s="9">
        <v>1772</v>
      </c>
      <c r="J5814" s="51">
        <v>25</v>
      </c>
      <c r="K5814" s="51">
        <v>25073</v>
      </c>
      <c r="L5814" s="3" t="str">
        <f t="shared" si="187"/>
        <v>ΣΠΟΡΟΠΑΡΑΓΩΓΗ</v>
      </c>
    </row>
    <row r="5815" spans="1:12" x14ac:dyDescent="0.25">
      <c r="A5815" s="1" t="str">
        <f t="shared" si="186"/>
        <v>ΣΠΟΡΟΠΑΡΑΓΩΓΗΒΙΚΟΣ ΣΠΟΡΟΠΑΡΑΓΩΓΗΣ FILIPPOS</v>
      </c>
      <c r="B5815" s="49" t="s">
        <v>10973</v>
      </c>
      <c r="C5815" s="50" t="s">
        <v>11128</v>
      </c>
      <c r="D5815" s="6">
        <v>1515.84</v>
      </c>
      <c r="E5815" s="6">
        <v>3106.63</v>
      </c>
      <c r="F5815" s="46" t="s">
        <v>14</v>
      </c>
      <c r="G5815" s="46" t="s">
        <v>11129</v>
      </c>
      <c r="H5815" s="46" t="s">
        <v>27</v>
      </c>
      <c r="I5815" s="47">
        <v>1789</v>
      </c>
      <c r="J5815" s="51">
        <v>25</v>
      </c>
      <c r="K5815" s="51">
        <v>25074</v>
      </c>
      <c r="L5815" s="3" t="str">
        <f t="shared" si="187"/>
        <v>ΣΠΟΡΟΠΑΡΑΓΩΓΗ</v>
      </c>
    </row>
    <row r="5816" spans="1:12" x14ac:dyDescent="0.25">
      <c r="A5816" s="1" t="str">
        <f t="shared" si="186"/>
        <v>ΣΠΟΡΟΠΑΡΑΓΩΓΗΒΙΚΟΣ ΣΠΟΡΟΠΑΡΑΓΩΓΗΣ CUMBRE</v>
      </c>
      <c r="B5816" s="49" t="s">
        <v>10973</v>
      </c>
      <c r="C5816" s="50" t="s">
        <v>11130</v>
      </c>
      <c r="D5816" s="6">
        <v>1515.84</v>
      </c>
      <c r="E5816" s="6">
        <v>3106.63</v>
      </c>
      <c r="F5816" s="46" t="s">
        <v>14</v>
      </c>
      <c r="G5816" s="46" t="s">
        <v>11131</v>
      </c>
      <c r="H5816" s="46" t="s">
        <v>27</v>
      </c>
      <c r="I5816" s="9">
        <v>1774</v>
      </c>
      <c r="J5816" s="51">
        <v>25</v>
      </c>
      <c r="K5816" s="51">
        <v>25075</v>
      </c>
      <c r="L5816" s="3" t="str">
        <f t="shared" si="187"/>
        <v>ΣΠΟΡΟΠΑΡΑΓΩΓΗ</v>
      </c>
    </row>
    <row r="5817" spans="1:12" x14ac:dyDescent="0.25">
      <c r="A5817" s="1" t="str">
        <f t="shared" si="186"/>
        <v>ΣΠΟΡΟΠΑΡΑΓΩΓΗΒΙΚΟΣ ΣΠΟΡΟΠΑΡΑΓΩΓΗΣ KIMON</v>
      </c>
      <c r="B5817" s="49" t="s">
        <v>10973</v>
      </c>
      <c r="C5817" s="50" t="s">
        <v>11132</v>
      </c>
      <c r="D5817" s="6">
        <v>1515.84</v>
      </c>
      <c r="E5817" s="6">
        <v>3106.63</v>
      </c>
      <c r="F5817" s="46" t="s">
        <v>14</v>
      </c>
      <c r="G5817" s="46" t="s">
        <v>11133</v>
      </c>
      <c r="H5817" s="46" t="s">
        <v>27</v>
      </c>
      <c r="I5817" s="47">
        <v>1760</v>
      </c>
      <c r="J5817" s="51">
        <v>25</v>
      </c>
      <c r="K5817" s="51">
        <v>25076</v>
      </c>
      <c r="L5817" s="3" t="str">
        <f t="shared" si="187"/>
        <v>ΣΠΟΡΟΠΑΡΑΓΩΓΗ</v>
      </c>
    </row>
    <row r="5818" spans="1:12" x14ac:dyDescent="0.25">
      <c r="A5818" s="1" t="str">
        <f t="shared" si="186"/>
        <v>ΣΠΟΡΟΠΑΡΑΓΩΓΗΒΙΚΟΣ ΣΠΟΡΟΠΑΡΑΓΩΓΗΣ LEONIDAS</v>
      </c>
      <c r="B5818" s="49" t="s">
        <v>10973</v>
      </c>
      <c r="C5818" s="50" t="s">
        <v>11134</v>
      </c>
      <c r="D5818" s="6">
        <v>1515.84</v>
      </c>
      <c r="E5818" s="6">
        <v>3106.63</v>
      </c>
      <c r="F5818" s="46" t="s">
        <v>14</v>
      </c>
      <c r="G5818" s="46" t="s">
        <v>11135</v>
      </c>
      <c r="H5818" s="46" t="s">
        <v>27</v>
      </c>
      <c r="I5818" s="9">
        <v>1776</v>
      </c>
      <c r="J5818" s="51">
        <v>25</v>
      </c>
      <c r="K5818" s="51">
        <v>25077</v>
      </c>
      <c r="L5818" s="3" t="str">
        <f t="shared" si="187"/>
        <v>ΣΠΟΡΟΠΑΡΑΓΩΓΗ</v>
      </c>
    </row>
    <row r="5819" spans="1:12" x14ac:dyDescent="0.25">
      <c r="A5819" s="1" t="str">
        <f t="shared" si="186"/>
        <v>ΣΠΟΡΟΠΑΡΑΓΩΓΗΒΙΚΟΣ ΣΠΟΡΟΠΑΡΑΓΩΓΗΣ MIRABELLA (118/7)</v>
      </c>
      <c r="B5819" s="49" t="s">
        <v>10973</v>
      </c>
      <c r="C5819" s="50" t="s">
        <v>11136</v>
      </c>
      <c r="D5819" s="6">
        <v>1515.84</v>
      </c>
      <c r="E5819" s="6">
        <v>3106.63</v>
      </c>
      <c r="F5819" s="46" t="s">
        <v>14</v>
      </c>
      <c r="G5819" s="46" t="s">
        <v>11137</v>
      </c>
      <c r="H5819" s="46" t="s">
        <v>27</v>
      </c>
      <c r="I5819" s="47">
        <v>1777</v>
      </c>
      <c r="J5819" s="51">
        <v>25</v>
      </c>
      <c r="K5819" s="51">
        <v>25078</v>
      </c>
      <c r="L5819" s="3" t="str">
        <f t="shared" si="187"/>
        <v>ΣΠΟΡΟΠΑΡΑΓΩΓΗ</v>
      </c>
    </row>
    <row r="5820" spans="1:12" x14ac:dyDescent="0.25">
      <c r="A5820" s="1" t="str">
        <f t="shared" si="186"/>
        <v>ΣΠΟΡΟΠΑΡΑΓΩΓΗΒΙΚΟΣ ΣΠΟΡΟΠΑΡΑΓΩΓΗΣ ROMEO</v>
      </c>
      <c r="B5820" s="49" t="s">
        <v>10973</v>
      </c>
      <c r="C5820" s="50" t="s">
        <v>11138</v>
      </c>
      <c r="D5820" s="6">
        <v>1515.84</v>
      </c>
      <c r="E5820" s="6">
        <v>3106.63</v>
      </c>
      <c r="F5820" s="46" t="s">
        <v>14</v>
      </c>
      <c r="G5820" s="46" t="s">
        <v>11139</v>
      </c>
      <c r="H5820" s="46" t="s">
        <v>27</v>
      </c>
      <c r="I5820" s="9">
        <v>1778</v>
      </c>
      <c r="J5820" s="51">
        <v>25</v>
      </c>
      <c r="K5820" s="51">
        <v>25079</v>
      </c>
      <c r="L5820" s="3" t="str">
        <f t="shared" si="187"/>
        <v>ΣΠΟΡΟΠΑΡΑΓΩΓΗ</v>
      </c>
    </row>
    <row r="5821" spans="1:12" x14ac:dyDescent="0.25">
      <c r="A5821" s="1" t="str">
        <f t="shared" si="186"/>
        <v>ΣΠΟΡΟΠΑΡΑΓΩΓΗΒΙΚΟΣ ΣΠΟΡΟΠΑΡΑΓΩΓΗΣ SENDA DA-247</v>
      </c>
      <c r="B5821" s="49" t="s">
        <v>10973</v>
      </c>
      <c r="C5821" s="50" t="s">
        <v>11140</v>
      </c>
      <c r="D5821" s="6">
        <v>1515.84</v>
      </c>
      <c r="E5821" s="6">
        <v>3106.63</v>
      </c>
      <c r="F5821" s="46" t="s">
        <v>14</v>
      </c>
      <c r="G5821" s="46" t="s">
        <v>11141</v>
      </c>
      <c r="H5821" s="46" t="s">
        <v>27</v>
      </c>
      <c r="I5821" s="47">
        <v>1779</v>
      </c>
      <c r="J5821" s="51">
        <v>25</v>
      </c>
      <c r="K5821" s="51">
        <v>25080</v>
      </c>
      <c r="L5821" s="3" t="str">
        <f t="shared" si="187"/>
        <v>ΣΠΟΡΟΠΑΡΑΓΩΓΗ</v>
      </c>
    </row>
    <row r="5822" spans="1:12" x14ac:dyDescent="0.25">
      <c r="A5822" s="1" t="str">
        <f t="shared" si="186"/>
        <v>ΣΠΟΡΟΠΑΡΑΓΩΓΗΚΤΗΝΟΤΡΟΦΙΚΟ ΚΟΥΚΙ ΣΠΟΡΟΠΑΡΑΓΩΓΗΣ PAVLOS</v>
      </c>
      <c r="B5822" s="49" t="s">
        <v>10973</v>
      </c>
      <c r="C5822" s="50" t="s">
        <v>11142</v>
      </c>
      <c r="D5822" s="6">
        <v>1568.73</v>
      </c>
      <c r="E5822" s="6">
        <v>1689.55</v>
      </c>
      <c r="F5822" s="46" t="s">
        <v>14</v>
      </c>
      <c r="G5822" s="46" t="s">
        <v>11143</v>
      </c>
      <c r="H5822" s="46" t="s">
        <v>27</v>
      </c>
      <c r="I5822" s="9">
        <v>1780</v>
      </c>
      <c r="J5822" s="51">
        <v>25</v>
      </c>
      <c r="K5822" s="51">
        <v>25081</v>
      </c>
      <c r="L5822" s="3" t="str">
        <f t="shared" si="187"/>
        <v>ΣΠΟΡΟΠΑΡΑΓΩΓΗ</v>
      </c>
    </row>
    <row r="5823" spans="1:12" ht="31.5" x14ac:dyDescent="0.25">
      <c r="A5823" s="1" t="str">
        <f t="shared" si="186"/>
        <v>ΣΠΟΡΟΠΑΡΑΓΩΓΗΚΤΗΝΟΤΡΟΦΙΚΟ ΚΟΥΚΙ ΣΠΟΡΟΠΑΡΑΓΩΓΗΣ TANAGRA</v>
      </c>
      <c r="B5823" s="49" t="s">
        <v>10973</v>
      </c>
      <c r="C5823" s="50" t="s">
        <v>11144</v>
      </c>
      <c r="D5823" s="6">
        <v>1568.73</v>
      </c>
      <c r="E5823" s="6">
        <v>1689.55</v>
      </c>
      <c r="F5823" s="46" t="s">
        <v>14</v>
      </c>
      <c r="G5823" s="46" t="s">
        <v>11145</v>
      </c>
      <c r="H5823" s="46" t="s">
        <v>27</v>
      </c>
      <c r="I5823" s="47">
        <v>1781</v>
      </c>
      <c r="J5823" s="51">
        <v>25</v>
      </c>
      <c r="K5823" s="51">
        <v>25082</v>
      </c>
      <c r="L5823" s="3" t="str">
        <f t="shared" si="187"/>
        <v>ΣΠΟΡΟΠΑΡΑΓΩΓΗ</v>
      </c>
    </row>
    <row r="5824" spans="1:12" ht="31.5" x14ac:dyDescent="0.25">
      <c r="A5824" s="1" t="str">
        <f t="shared" si="186"/>
        <v>ΣΠΟΡΟΠΑΡΑΓΩΓΗΚΤΗΝΟΤΡΟΦΙΚΟ ΜΠΙΖΕΛΙ ΣΠΟΡΟΠΑΡΑΓΩΓΗΣ ARVIKA</v>
      </c>
      <c r="B5824" s="49" t="s">
        <v>10973</v>
      </c>
      <c r="C5824" s="50" t="s">
        <v>11146</v>
      </c>
      <c r="D5824" s="6">
        <v>1568.73</v>
      </c>
      <c r="E5824" s="6">
        <v>1689.55</v>
      </c>
      <c r="F5824" s="46" t="s">
        <v>14</v>
      </c>
      <c r="G5824" s="46" t="s">
        <v>11147</v>
      </c>
      <c r="H5824" s="46" t="s">
        <v>27</v>
      </c>
      <c r="I5824" s="9">
        <v>1782</v>
      </c>
      <c r="J5824" s="51">
        <v>25</v>
      </c>
      <c r="K5824" s="51">
        <v>25083</v>
      </c>
      <c r="L5824" s="3" t="str">
        <f t="shared" si="187"/>
        <v>ΣΠΟΡΟΠΑΡΑΓΩΓΗ</v>
      </c>
    </row>
    <row r="5825" spans="1:12" ht="31.5" x14ac:dyDescent="0.25">
      <c r="A5825" s="1" t="str">
        <f t="shared" si="186"/>
        <v>ΣΠΟΡΟΠΑΡΑΓΩΓΗΚΤΗΝΟΤΡΟΦΙΚΟ ΜΠΙΖΕΛΙ ΣΠΟΡΟΠΑΡΑΓΩΓΗΣ ODYSSEAS</v>
      </c>
      <c r="B5825" s="49" t="s">
        <v>10973</v>
      </c>
      <c r="C5825" s="50" t="s">
        <v>11148</v>
      </c>
      <c r="D5825" s="6">
        <v>1568.73</v>
      </c>
      <c r="E5825" s="6">
        <v>1689.55</v>
      </c>
      <c r="F5825" s="46" t="s">
        <v>14</v>
      </c>
      <c r="G5825" s="46" t="s">
        <v>11149</v>
      </c>
      <c r="H5825" s="46" t="s">
        <v>27</v>
      </c>
      <c r="I5825" s="47">
        <v>1675</v>
      </c>
      <c r="J5825" s="51">
        <v>25</v>
      </c>
      <c r="K5825" s="51">
        <v>25084</v>
      </c>
      <c r="L5825" s="3" t="str">
        <f t="shared" si="187"/>
        <v>ΣΠΟΡΟΠΑΡΑΓΩΓΗ</v>
      </c>
    </row>
    <row r="5826" spans="1:12" ht="31.5" x14ac:dyDescent="0.25">
      <c r="A5826" s="1" t="str">
        <f t="shared" si="186"/>
        <v>ΣΠΟΡΟΠΑΡΑΓΩΓΗΚΤΗΝΟΤΡΟΦΙΚΟ ΜΠΙΖΕΛΙ ΣΠΟΡΟΠΑΡΑΓΩΓΗΣ OLYMPOS</v>
      </c>
      <c r="B5826" s="49" t="s">
        <v>10973</v>
      </c>
      <c r="C5826" s="50" t="s">
        <v>11150</v>
      </c>
      <c r="D5826" s="6">
        <v>1568.73</v>
      </c>
      <c r="E5826" s="6">
        <v>1689.55</v>
      </c>
      <c r="F5826" s="46" t="s">
        <v>14</v>
      </c>
      <c r="G5826" s="46" t="s">
        <v>11151</v>
      </c>
      <c r="H5826" s="46" t="s">
        <v>27</v>
      </c>
      <c r="I5826" s="9">
        <v>1784</v>
      </c>
      <c r="J5826" s="51">
        <v>25</v>
      </c>
      <c r="K5826" s="51">
        <v>25085</v>
      </c>
      <c r="L5826" s="3" t="str">
        <f t="shared" si="187"/>
        <v>ΣΠΟΡΟΠΑΡΑΓΩΓΗ</v>
      </c>
    </row>
    <row r="5827" spans="1:12" x14ac:dyDescent="0.25">
      <c r="A5827" s="1" t="str">
        <f t="shared" ref="A5827:A5890" si="188">_xlfn.CONCAT(B5827,C5827)</f>
        <v>ΣΠΟΡΟΠΑΡΑΓΩΓΗΚΤΗΝΟΤΡΟΦΙΚΟ ΜΠΙΖΕΛΙ ΣΠΟΡΟΠΑΡΑΓΩΓΗΣ PISSO</v>
      </c>
      <c r="B5827" s="49" t="s">
        <v>10973</v>
      </c>
      <c r="C5827" s="50" t="s">
        <v>11152</v>
      </c>
      <c r="D5827" s="6">
        <v>1568.73</v>
      </c>
      <c r="E5827" s="6">
        <v>1689.55</v>
      </c>
      <c r="F5827" s="46" t="s">
        <v>14</v>
      </c>
      <c r="G5827" s="46" t="s">
        <v>11153</v>
      </c>
      <c r="H5827" s="46" t="s">
        <v>27</v>
      </c>
      <c r="I5827" s="47">
        <v>1701</v>
      </c>
      <c r="J5827" s="51">
        <v>25</v>
      </c>
      <c r="K5827" s="51">
        <v>25086</v>
      </c>
      <c r="L5827" s="3" t="str">
        <f t="shared" ref="L5827:L5890" si="189">IFERROR(SUBSTITUTE(SUBSTITUTE(SUBSTITUTE(SUBSTITUTE(SUBSTITUTE(B5827, "-", "_"), " ", "_"), ",", ""), "(", ""), ")", ""), B5827)</f>
        <v>ΣΠΟΡΟΠΑΡΑΓΩΓΗ</v>
      </c>
    </row>
    <row r="5828" spans="1:12" ht="31.5" x14ac:dyDescent="0.25">
      <c r="A5828" s="1" t="str">
        <f t="shared" si="188"/>
        <v>ΣΠΟΡΟΠΑΡΑΓΩΓΗΚΤΗΝΟΤΡΟΦΙΚΟ ΜΠΙΖΕΛΙ ΣΠΟΡΟΠΑΡΑΓΩΓΗΣ RESPECT</v>
      </c>
      <c r="B5828" s="49" t="s">
        <v>10973</v>
      </c>
      <c r="C5828" s="50" t="s">
        <v>11154</v>
      </c>
      <c r="D5828" s="6">
        <v>1568.73</v>
      </c>
      <c r="E5828" s="6">
        <v>1689.55</v>
      </c>
      <c r="F5828" s="46" t="s">
        <v>14</v>
      </c>
      <c r="G5828" s="46" t="s">
        <v>11155</v>
      </c>
      <c r="H5828" s="46" t="s">
        <v>27</v>
      </c>
      <c r="I5828" s="9">
        <v>1785</v>
      </c>
      <c r="J5828" s="51">
        <v>25</v>
      </c>
      <c r="K5828" s="51">
        <v>25087</v>
      </c>
      <c r="L5828" s="3" t="str">
        <f t="shared" si="189"/>
        <v>ΣΠΟΡΟΠΑΡΑΓΩΓΗ</v>
      </c>
    </row>
    <row r="5829" spans="1:12" x14ac:dyDescent="0.25">
      <c r="A5829" s="1" t="str">
        <f t="shared" si="188"/>
        <v>ΣΠΟΡΟΠΑΡΑΓΩΓΗΚΤΗΝΟΤΡΟΦΙΚΟ ΜΠΙΖΕΛΙ ΣΠΟΡΟΠΑΡΑΓΩΓΗΣ RIF</v>
      </c>
      <c r="B5829" s="49" t="s">
        <v>10973</v>
      </c>
      <c r="C5829" s="50" t="s">
        <v>11156</v>
      </c>
      <c r="D5829" s="6">
        <v>1568.73</v>
      </c>
      <c r="E5829" s="6">
        <v>1689.55</v>
      </c>
      <c r="F5829" s="46" t="s">
        <v>14</v>
      </c>
      <c r="G5829" s="46" t="s">
        <v>11157</v>
      </c>
      <c r="H5829" s="46" t="s">
        <v>27</v>
      </c>
      <c r="I5829" s="47">
        <v>1786</v>
      </c>
      <c r="J5829" s="51">
        <v>25</v>
      </c>
      <c r="K5829" s="51">
        <v>25088</v>
      </c>
      <c r="L5829" s="3" t="str">
        <f t="shared" si="189"/>
        <v>ΣΠΟΡΟΠΑΡΑΓΩΓΗ</v>
      </c>
    </row>
    <row r="5830" spans="1:12" ht="31.5" x14ac:dyDescent="0.25">
      <c r="A5830" s="1" t="str">
        <f t="shared" si="188"/>
        <v>ΣΠΟΡΟΠΑΡΑΓΩΓΗΛΑΘΟΥΡΙ ΚΤΗΝΟΤΡΟΦΙΚΟ ΣΠΟΡΟΠΑΡΑΓΩΓΗΣ ARGOS</v>
      </c>
      <c r="B5830" s="49" t="s">
        <v>10973</v>
      </c>
      <c r="C5830" s="50" t="s">
        <v>11158</v>
      </c>
      <c r="D5830" s="6">
        <v>1515.84</v>
      </c>
      <c r="E5830" s="6">
        <v>3106.63</v>
      </c>
      <c r="F5830" s="46" t="s">
        <v>14</v>
      </c>
      <c r="G5830" s="46" t="s">
        <v>11159</v>
      </c>
      <c r="H5830" s="46" t="s">
        <v>27</v>
      </c>
      <c r="I5830" s="9">
        <v>1787</v>
      </c>
      <c r="J5830" s="51">
        <v>25</v>
      </c>
      <c r="K5830" s="51">
        <v>25089</v>
      </c>
      <c r="L5830" s="3" t="str">
        <f t="shared" si="189"/>
        <v>ΣΠΟΡΟΠΑΡΑΓΩΓΗ</v>
      </c>
    </row>
    <row r="5831" spans="1:12" ht="31.5" x14ac:dyDescent="0.25">
      <c r="A5831" s="1" t="str">
        <f t="shared" si="188"/>
        <v>ΣΠΟΡΟΠΑΡΑΓΩΓΗΛΑΘΟΥΡΙ ΚΤΗΝΟΤΡΟΦΙΚΟ ΣΠΟΡΟΠΑΡΑΓΩΓΗΣ CHIOS</v>
      </c>
      <c r="B5831" s="49" t="s">
        <v>10973</v>
      </c>
      <c r="C5831" s="50" t="s">
        <v>11160</v>
      </c>
      <c r="D5831" s="6">
        <v>1515.84</v>
      </c>
      <c r="E5831" s="6">
        <v>3106.63</v>
      </c>
      <c r="F5831" s="46" t="s">
        <v>14</v>
      </c>
      <c r="G5831" s="46" t="s">
        <v>11161</v>
      </c>
      <c r="H5831" s="46" t="s">
        <v>27</v>
      </c>
      <c r="I5831" s="47">
        <v>1788</v>
      </c>
      <c r="J5831" s="51">
        <v>25</v>
      </c>
      <c r="K5831" s="51">
        <v>25090</v>
      </c>
      <c r="L5831" s="3" t="str">
        <f t="shared" si="189"/>
        <v>ΣΠΟΡΟΠΑΡΑΓΩΓΗ</v>
      </c>
    </row>
    <row r="5832" spans="1:12" x14ac:dyDescent="0.25">
      <c r="A5832" s="1" t="str">
        <f t="shared" si="188"/>
        <v>ΣΠΟΡΟΠΑΡΑΓΩΓΗΛΑΘΟΥΡΙ ΚΤΗΝΟΤΡΟΦΙΚΟ ΣΠΟΡΟΠΑΡΑΓΩΓΗΣ KRITI</v>
      </c>
      <c r="B5832" s="49" t="s">
        <v>10973</v>
      </c>
      <c r="C5832" s="50" t="s">
        <v>11162</v>
      </c>
      <c r="D5832" s="6">
        <v>1515.84</v>
      </c>
      <c r="E5832" s="6">
        <v>3106.63</v>
      </c>
      <c r="F5832" s="46" t="s">
        <v>14</v>
      </c>
      <c r="G5832" s="46" t="s">
        <v>11163</v>
      </c>
      <c r="H5832" s="46" t="s">
        <v>27</v>
      </c>
      <c r="I5832" s="9">
        <v>1791</v>
      </c>
      <c r="J5832" s="51">
        <v>25</v>
      </c>
      <c r="K5832" s="51">
        <v>25091</v>
      </c>
      <c r="L5832" s="3" t="str">
        <f t="shared" si="189"/>
        <v>ΣΠΟΡΟΠΑΡΑΓΩΓΗ</v>
      </c>
    </row>
    <row r="5833" spans="1:12" ht="31.5" x14ac:dyDescent="0.25">
      <c r="A5833" s="1" t="str">
        <f t="shared" si="188"/>
        <v>ΣΠΟΡΟΠΑΡΑΓΩΓΗΛΑΘΟΥΡΙ ΚΤΗΝΟΤΡΟΦΙΚΟ ΣΠΟΡΟΠΑΡΑΓΩΓΗΣ RODOS</v>
      </c>
      <c r="B5833" s="49" t="s">
        <v>10973</v>
      </c>
      <c r="C5833" s="50" t="s">
        <v>11164</v>
      </c>
      <c r="D5833" s="6">
        <v>1515.84</v>
      </c>
      <c r="E5833" s="6">
        <v>3106.63</v>
      </c>
      <c r="F5833" s="46" t="s">
        <v>14</v>
      </c>
      <c r="G5833" s="46" t="s">
        <v>11165</v>
      </c>
      <c r="H5833" s="46" t="s">
        <v>27</v>
      </c>
      <c r="I5833" s="47">
        <v>1673</v>
      </c>
      <c r="J5833" s="51">
        <v>25</v>
      </c>
      <c r="K5833" s="51">
        <v>25092</v>
      </c>
      <c r="L5833" s="3" t="str">
        <f t="shared" si="189"/>
        <v>ΣΠΟΡΟΠΑΡΑΓΩΓΗ</v>
      </c>
    </row>
    <row r="5834" spans="1:12" x14ac:dyDescent="0.25">
      <c r="A5834" s="1" t="str">
        <f t="shared" si="188"/>
        <v>ΣΠΟΡΟΠΑΡΑΓΩΓΗΜΗΔΙΚΗ Η ΔΕΝΔΡΩΔΗΣ ΣΠΟΡΟΠΑΡΑΓΩΓΗΣ NAXOS</v>
      </c>
      <c r="B5834" s="49" t="s">
        <v>10973</v>
      </c>
      <c r="C5834" s="50" t="s">
        <v>11166</v>
      </c>
      <c r="D5834" s="6">
        <v>4227</v>
      </c>
      <c r="E5834" s="6">
        <v>4128</v>
      </c>
      <c r="F5834" s="46" t="s">
        <v>14</v>
      </c>
      <c r="G5834" s="46" t="s">
        <v>11167</v>
      </c>
      <c r="H5834" s="46" t="s">
        <v>27</v>
      </c>
      <c r="I5834" s="9">
        <v>1610</v>
      </c>
      <c r="J5834" s="51">
        <v>25</v>
      </c>
      <c r="K5834" s="51">
        <v>25093</v>
      </c>
      <c r="L5834" s="3" t="str">
        <f t="shared" si="189"/>
        <v>ΣΠΟΡΟΠΑΡΑΓΩΓΗ</v>
      </c>
    </row>
    <row r="5835" spans="1:12" x14ac:dyDescent="0.25">
      <c r="A5835" s="1" t="str">
        <f t="shared" si="188"/>
        <v>ΣΠΟΡΟΠΑΡΑΓΩΓΗΜΗΔΙΚΗ ΣΠΟΡΟΠΑΡΑΓΩΓΗΣ AGN M68</v>
      </c>
      <c r="B5835" s="49" t="s">
        <v>10973</v>
      </c>
      <c r="C5835" s="50" t="s">
        <v>11168</v>
      </c>
      <c r="D5835" s="6">
        <v>4227</v>
      </c>
      <c r="E5835" s="6">
        <v>4128</v>
      </c>
      <c r="F5835" s="46" t="s">
        <v>14</v>
      </c>
      <c r="G5835" s="46" t="s">
        <v>11169</v>
      </c>
      <c r="H5835" s="46" t="s">
        <v>27</v>
      </c>
      <c r="I5835" s="47">
        <v>1611</v>
      </c>
      <c r="J5835" s="51">
        <v>25</v>
      </c>
      <c r="K5835" s="51">
        <v>25094</v>
      </c>
      <c r="L5835" s="3" t="str">
        <f t="shared" si="189"/>
        <v>ΣΠΟΡΟΠΑΡΑΓΩΓΗ</v>
      </c>
    </row>
    <row r="5836" spans="1:12" x14ac:dyDescent="0.25">
      <c r="A5836" s="1" t="str">
        <f t="shared" si="188"/>
        <v>ΣΠΟΡΟΠΑΡΑΓΩΓΗΜΗΔΙΚΗ ΣΠΟΡΟΠΑΡΑΓΩΓΗΣ CHAIRONIA</v>
      </c>
      <c r="B5836" s="49" t="s">
        <v>10973</v>
      </c>
      <c r="C5836" s="50" t="s">
        <v>11170</v>
      </c>
      <c r="D5836" s="6">
        <v>4227</v>
      </c>
      <c r="E5836" s="6">
        <v>4128</v>
      </c>
      <c r="F5836" s="46" t="s">
        <v>14</v>
      </c>
      <c r="G5836" s="46" t="s">
        <v>11171</v>
      </c>
      <c r="H5836" s="46" t="s">
        <v>27</v>
      </c>
      <c r="I5836" s="9">
        <v>1612</v>
      </c>
      <c r="J5836" s="51">
        <v>25</v>
      </c>
      <c r="K5836" s="51">
        <v>25095</v>
      </c>
      <c r="L5836" s="3" t="str">
        <f t="shared" si="189"/>
        <v>ΣΠΟΡΟΠΑΡΑΓΩΓΗ</v>
      </c>
    </row>
    <row r="5837" spans="1:12" x14ac:dyDescent="0.25">
      <c r="A5837" s="1" t="str">
        <f t="shared" si="188"/>
        <v>ΣΠΟΡΟΠΑΡΑΓΩΓΗΜΗΔΙΚΗ ΣΠΟΡΟΠΑΡΑΓΩΓΗΣ CHLOI</v>
      </c>
      <c r="B5837" s="49" t="s">
        <v>10973</v>
      </c>
      <c r="C5837" s="50" t="s">
        <v>11172</v>
      </c>
      <c r="D5837" s="6">
        <v>4227</v>
      </c>
      <c r="E5837" s="6">
        <v>4128</v>
      </c>
      <c r="F5837" s="46" t="s">
        <v>14</v>
      </c>
      <c r="G5837" s="46" t="s">
        <v>11173</v>
      </c>
      <c r="H5837" s="46" t="s">
        <v>27</v>
      </c>
      <c r="I5837" s="47">
        <v>1613</v>
      </c>
      <c r="J5837" s="51">
        <v>25</v>
      </c>
      <c r="K5837" s="51">
        <v>25096</v>
      </c>
      <c r="L5837" s="3" t="str">
        <f t="shared" si="189"/>
        <v>ΣΠΟΡΟΠΑΡΑΓΩΓΗ</v>
      </c>
    </row>
    <row r="5838" spans="1:12" x14ac:dyDescent="0.25">
      <c r="A5838" s="1" t="str">
        <f t="shared" si="188"/>
        <v>ΣΠΟΡΟΠΑΡΑΓΩΓΗΜΗΔΙΚΗ ΣΠΟΡΟΠΑΡΑΓΩΓΗΣ EGANH</v>
      </c>
      <c r="B5838" s="49" t="s">
        <v>10973</v>
      </c>
      <c r="C5838" s="50" t="s">
        <v>11174</v>
      </c>
      <c r="D5838" s="6">
        <v>4227</v>
      </c>
      <c r="E5838" s="6">
        <v>4128</v>
      </c>
      <c r="F5838" s="46" t="s">
        <v>14</v>
      </c>
      <c r="G5838" s="46" t="s">
        <v>11175</v>
      </c>
      <c r="H5838" s="46" t="s">
        <v>27</v>
      </c>
      <c r="I5838" s="9">
        <v>1614</v>
      </c>
      <c r="J5838" s="51">
        <v>25</v>
      </c>
      <c r="K5838" s="51">
        <v>25097</v>
      </c>
      <c r="L5838" s="3" t="str">
        <f t="shared" si="189"/>
        <v>ΣΠΟΡΟΠΑΡΑΓΩΓΗ</v>
      </c>
    </row>
    <row r="5839" spans="1:12" x14ac:dyDescent="0.25">
      <c r="A5839" s="1" t="str">
        <f t="shared" si="188"/>
        <v>ΣΠΟΡΟΠΑΡΑΓΩΓΗΜΗΔΙΚΗ ΣΠΟΡΟΠΑΡΑΓΩΓΗΣ ELISAVET</v>
      </c>
      <c r="B5839" s="49" t="s">
        <v>10973</v>
      </c>
      <c r="C5839" s="50" t="s">
        <v>11176</v>
      </c>
      <c r="D5839" s="6">
        <v>4227</v>
      </c>
      <c r="E5839" s="6">
        <v>4128</v>
      </c>
      <c r="F5839" s="46" t="s">
        <v>14</v>
      </c>
      <c r="G5839" s="46" t="s">
        <v>11177</v>
      </c>
      <c r="H5839" s="46" t="s">
        <v>27</v>
      </c>
      <c r="I5839" s="47">
        <v>1615</v>
      </c>
      <c r="J5839" s="51">
        <v>25</v>
      </c>
      <c r="K5839" s="51">
        <v>25098</v>
      </c>
      <c r="L5839" s="3" t="str">
        <f t="shared" si="189"/>
        <v>ΣΠΟΡΟΠΑΡΑΓΩΓΗ</v>
      </c>
    </row>
    <row r="5840" spans="1:12" x14ac:dyDescent="0.25">
      <c r="A5840" s="1" t="str">
        <f t="shared" si="188"/>
        <v>ΣΠΟΡΟΠΑΡΑΓΩΓΗΜΗΔΙΚΗ ΣΠΟΡΟΠΑΡΑΓΩΓΗΣ FLORINA</v>
      </c>
      <c r="B5840" s="49" t="s">
        <v>10973</v>
      </c>
      <c r="C5840" s="50" t="s">
        <v>11178</v>
      </c>
      <c r="D5840" s="6">
        <v>4227</v>
      </c>
      <c r="E5840" s="6">
        <v>4128</v>
      </c>
      <c r="F5840" s="46" t="s">
        <v>14</v>
      </c>
      <c r="G5840" s="46" t="s">
        <v>11179</v>
      </c>
      <c r="H5840" s="46" t="s">
        <v>27</v>
      </c>
      <c r="I5840" s="9">
        <v>1616</v>
      </c>
      <c r="J5840" s="51">
        <v>25</v>
      </c>
      <c r="K5840" s="51">
        <v>25099</v>
      </c>
      <c r="L5840" s="3" t="str">
        <f t="shared" si="189"/>
        <v>ΣΠΟΡΟΠΑΡΑΓΩΓΗ</v>
      </c>
    </row>
    <row r="5841" spans="1:12" x14ac:dyDescent="0.25">
      <c r="A5841" s="1" t="str">
        <f t="shared" si="188"/>
        <v>ΣΠΟΡΟΠΑΡΑΓΩΓΗΜΗΔΙΚΗ ΣΠΟΡΟΠΑΡΑΓΩΓΗΣ MEDINA</v>
      </c>
      <c r="B5841" s="49" t="s">
        <v>10973</v>
      </c>
      <c r="C5841" s="50" t="s">
        <v>11180</v>
      </c>
      <c r="D5841" s="6">
        <v>4227</v>
      </c>
      <c r="E5841" s="6">
        <v>4128</v>
      </c>
      <c r="F5841" s="46" t="s">
        <v>14</v>
      </c>
      <c r="G5841" s="46" t="s">
        <v>11181</v>
      </c>
      <c r="H5841" s="46" t="s">
        <v>27</v>
      </c>
      <c r="I5841" s="47">
        <v>1617</v>
      </c>
      <c r="J5841" s="51">
        <v>25</v>
      </c>
      <c r="K5841" s="51">
        <v>25100</v>
      </c>
      <c r="L5841" s="3" t="str">
        <f t="shared" si="189"/>
        <v>ΣΠΟΡΟΠΑΡΑΓΩΓΗ</v>
      </c>
    </row>
    <row r="5842" spans="1:12" x14ac:dyDescent="0.25">
      <c r="A5842" s="1" t="str">
        <f t="shared" si="188"/>
        <v>ΣΠΟΡΟΠΑΡΑΓΩΓΗΜΗΔΙΚΗ ΣΠΟΡΟΠΑΡΑΓΩΓΗΣ NUBIRA</v>
      </c>
      <c r="B5842" s="49" t="s">
        <v>10973</v>
      </c>
      <c r="C5842" s="50" t="s">
        <v>11182</v>
      </c>
      <c r="D5842" s="6">
        <v>4227</v>
      </c>
      <c r="E5842" s="6">
        <v>4128</v>
      </c>
      <c r="F5842" s="46" t="s">
        <v>14</v>
      </c>
      <c r="G5842" s="46" t="s">
        <v>11183</v>
      </c>
      <c r="H5842" s="46" t="s">
        <v>27</v>
      </c>
      <c r="I5842" s="9">
        <v>1618</v>
      </c>
      <c r="J5842" s="51">
        <v>25</v>
      </c>
      <c r="K5842" s="51">
        <v>25101</v>
      </c>
      <c r="L5842" s="3" t="str">
        <f t="shared" si="189"/>
        <v>ΣΠΟΡΟΠΑΡΑΓΩΓΗ</v>
      </c>
    </row>
    <row r="5843" spans="1:12" x14ac:dyDescent="0.25">
      <c r="A5843" s="1" t="str">
        <f t="shared" si="188"/>
        <v>ΣΠΟΡΟΠΑΡΑΓΩΓΗΜΗΔΙΚΗ ΣΠΟΡΟΠΑΡΑΓΩΓΗΣ PELLA</v>
      </c>
      <c r="B5843" s="49" t="s">
        <v>10973</v>
      </c>
      <c r="C5843" s="50" t="s">
        <v>11184</v>
      </c>
      <c r="D5843" s="6">
        <v>4227</v>
      </c>
      <c r="E5843" s="6">
        <v>4128</v>
      </c>
      <c r="F5843" s="46" t="s">
        <v>14</v>
      </c>
      <c r="G5843" s="46" t="s">
        <v>11185</v>
      </c>
      <c r="H5843" s="46" t="s">
        <v>27</v>
      </c>
      <c r="I5843" s="47">
        <v>1619</v>
      </c>
      <c r="J5843" s="51">
        <v>25</v>
      </c>
      <c r="K5843" s="51">
        <v>25102</v>
      </c>
      <c r="L5843" s="3" t="str">
        <f t="shared" si="189"/>
        <v>ΣΠΟΡΟΠΑΡΑΓΩΓΗ</v>
      </c>
    </row>
    <row r="5844" spans="1:12" x14ac:dyDescent="0.25">
      <c r="A5844" s="1" t="str">
        <f t="shared" si="188"/>
        <v>ΣΠΟΡΟΠΑΡΑΓΩΓΗΡΕΒΙΘΙ ΒΡΩΣΙΜΟ ΣΠΟΡΟΠΑΡΑΓΩΓΗΣ AMORGOS</v>
      </c>
      <c r="B5844" s="49" t="s">
        <v>10973</v>
      </c>
      <c r="C5844" s="50" t="s">
        <v>11186</v>
      </c>
      <c r="D5844" s="6">
        <v>1515.84</v>
      </c>
      <c r="E5844" s="6">
        <v>3106.63</v>
      </c>
      <c r="F5844" s="46" t="s">
        <v>14</v>
      </c>
      <c r="G5844" s="46" t="s">
        <v>11187</v>
      </c>
      <c r="H5844" s="46" t="s">
        <v>27</v>
      </c>
      <c r="I5844" s="9">
        <v>1620</v>
      </c>
      <c r="J5844" s="51">
        <v>25</v>
      </c>
      <c r="K5844" s="51">
        <v>25103</v>
      </c>
      <c r="L5844" s="3" t="str">
        <f t="shared" si="189"/>
        <v>ΣΠΟΡΟΠΑΡΑΓΩΓΗ</v>
      </c>
    </row>
    <row r="5845" spans="1:12" x14ac:dyDescent="0.25">
      <c r="A5845" s="1" t="str">
        <f t="shared" si="188"/>
        <v>ΣΠΟΡΟΠΑΡΑΓΩΓΗΡΕΒΙΘΙ ΒΡΩΣΙΜΟ ΣΠΟΡΟΠΑΡΑΓΩΓΗΣ ANDROS</v>
      </c>
      <c r="B5845" s="49" t="s">
        <v>10973</v>
      </c>
      <c r="C5845" s="50" t="s">
        <v>11188</v>
      </c>
      <c r="D5845" s="6">
        <v>1515.84</v>
      </c>
      <c r="E5845" s="6">
        <v>3106.63</v>
      </c>
      <c r="F5845" s="46" t="s">
        <v>14</v>
      </c>
      <c r="G5845" s="46" t="s">
        <v>11189</v>
      </c>
      <c r="H5845" s="46" t="s">
        <v>27</v>
      </c>
      <c r="I5845" s="47">
        <v>1621</v>
      </c>
      <c r="J5845" s="51">
        <v>25</v>
      </c>
      <c r="K5845" s="51">
        <v>25104</v>
      </c>
      <c r="L5845" s="3" t="str">
        <f t="shared" si="189"/>
        <v>ΣΠΟΡΟΠΑΡΑΓΩΓΗ</v>
      </c>
    </row>
    <row r="5846" spans="1:12" x14ac:dyDescent="0.25">
      <c r="A5846" s="1" t="str">
        <f t="shared" si="188"/>
        <v>ΣΠΟΡΟΠΑΡΑΓΩΓΗΡΕΒΙΘΙ ΒΡΩΣΙΜΟ ΣΠΟΡΟΠΑΡΑΓΩΓΗΣ SERIFOS</v>
      </c>
      <c r="B5846" s="49" t="s">
        <v>10973</v>
      </c>
      <c r="C5846" s="50" t="s">
        <v>11190</v>
      </c>
      <c r="D5846" s="6">
        <v>1515.84</v>
      </c>
      <c r="E5846" s="6">
        <v>3106.63</v>
      </c>
      <c r="F5846" s="46" t="s">
        <v>14</v>
      </c>
      <c r="G5846" s="46" t="s">
        <v>11191</v>
      </c>
      <c r="H5846" s="46" t="s">
        <v>27</v>
      </c>
      <c r="I5846" s="9">
        <v>1638</v>
      </c>
      <c r="J5846" s="51">
        <v>25</v>
      </c>
      <c r="K5846" s="51">
        <v>25105</v>
      </c>
      <c r="L5846" s="3" t="str">
        <f t="shared" si="189"/>
        <v>ΣΠΟΡΟΠΑΡΑΓΩΓΗ</v>
      </c>
    </row>
    <row r="5847" spans="1:12" x14ac:dyDescent="0.25">
      <c r="A5847" s="1" t="str">
        <f t="shared" si="188"/>
        <v>ΣΠΟΡΟΠΑΡΑΓΩΓΗΡΕΒΙΘΙ ΒΡΩΣΙΜΟ ΣΠΟΡΟΠΑΡΑΓΩΓΗΣ THIVA</v>
      </c>
      <c r="B5847" s="49" t="s">
        <v>10973</v>
      </c>
      <c r="C5847" s="50" t="s">
        <v>11192</v>
      </c>
      <c r="D5847" s="6">
        <v>1515.84</v>
      </c>
      <c r="E5847" s="6">
        <v>3106.63</v>
      </c>
      <c r="F5847" s="46" t="s">
        <v>14</v>
      </c>
      <c r="G5847" s="46" t="s">
        <v>11193</v>
      </c>
      <c r="H5847" s="46" t="s">
        <v>27</v>
      </c>
      <c r="I5847" s="47">
        <v>1623</v>
      </c>
      <c r="J5847" s="51">
        <v>25</v>
      </c>
      <c r="K5847" s="51">
        <v>25106</v>
      </c>
      <c r="L5847" s="3" t="str">
        <f t="shared" si="189"/>
        <v>ΣΠΟΡΟΠΑΡΑΓΩΓΗ</v>
      </c>
    </row>
    <row r="5848" spans="1:12" x14ac:dyDescent="0.25">
      <c r="A5848" s="1" t="str">
        <f t="shared" si="188"/>
        <v>ΣΠΟΡΟΠΑΡΑΓΩΓΗΡΕΒΙΘΙ ΒΡΩΣΙΜΟ ΣΠΟΡΟΠΑΡΑΓΩΓΗΣ YARDEN</v>
      </c>
      <c r="B5848" s="49" t="s">
        <v>10973</v>
      </c>
      <c r="C5848" s="50" t="s">
        <v>11194</v>
      </c>
      <c r="D5848" s="6">
        <v>1515.84</v>
      </c>
      <c r="E5848" s="6">
        <v>3106.63</v>
      </c>
      <c r="F5848" s="46" t="s">
        <v>14</v>
      </c>
      <c r="G5848" s="46" t="s">
        <v>11195</v>
      </c>
      <c r="H5848" s="46" t="s">
        <v>27</v>
      </c>
      <c r="I5848" s="9">
        <v>1609</v>
      </c>
      <c r="J5848" s="51">
        <v>25</v>
      </c>
      <c r="K5848" s="51">
        <v>25107</v>
      </c>
      <c r="L5848" s="3" t="str">
        <f t="shared" si="189"/>
        <v>ΣΠΟΡΟΠΑΡΑΓΩΓΗ</v>
      </c>
    </row>
    <row r="5849" spans="1:12" ht="31.5" x14ac:dyDescent="0.25">
      <c r="A5849" s="1" t="str">
        <f t="shared" si="188"/>
        <v>ΣΠΟΡΟΠΑΡΑΓΩΓΗΤΡΙΦΥΛΛΙ ΑΛΕΞΑΝΔΡΙΝΟ ΣΠΟΡΟΠΑΡΑΓΩΓΗΣ KASTALIA</v>
      </c>
      <c r="B5849" s="49" t="s">
        <v>10973</v>
      </c>
      <c r="C5849" s="50" t="s">
        <v>11196</v>
      </c>
      <c r="D5849" s="6">
        <v>4227</v>
      </c>
      <c r="E5849" s="6">
        <v>4128</v>
      </c>
      <c r="F5849" s="46" t="s">
        <v>14</v>
      </c>
      <c r="G5849" s="46" t="s">
        <v>11197</v>
      </c>
      <c r="H5849" s="46" t="s">
        <v>27</v>
      </c>
      <c r="I5849" s="47">
        <v>1625</v>
      </c>
      <c r="J5849" s="51">
        <v>25</v>
      </c>
      <c r="K5849" s="51">
        <v>25108</v>
      </c>
      <c r="L5849" s="3" t="str">
        <f t="shared" si="189"/>
        <v>ΣΠΟΡΟΠΑΡΑΓΩΓΗ</v>
      </c>
    </row>
    <row r="5850" spans="1:12" x14ac:dyDescent="0.25">
      <c r="A5850" s="1" t="str">
        <f t="shared" si="188"/>
        <v>ΣΠΟΡΟΠΑΡΑΓΩΓΗΤΡΙΦΥΛΛΙ ΑΛΕΞΑΝΔΡΙΝΟ ΣΠΟΡΟΠΑΡΑΓΩΓΗΣ PINIAS</v>
      </c>
      <c r="B5850" s="49" t="s">
        <v>10973</v>
      </c>
      <c r="C5850" s="50" t="s">
        <v>11198</v>
      </c>
      <c r="D5850" s="6">
        <v>4227</v>
      </c>
      <c r="E5850" s="6">
        <v>4128</v>
      </c>
      <c r="F5850" s="46" t="s">
        <v>14</v>
      </c>
      <c r="G5850" s="46" t="s">
        <v>11199</v>
      </c>
      <c r="H5850" s="46" t="s">
        <v>27</v>
      </c>
      <c r="I5850" s="9">
        <v>1626</v>
      </c>
      <c r="J5850" s="51">
        <v>25</v>
      </c>
      <c r="K5850" s="51">
        <v>25109</v>
      </c>
      <c r="L5850" s="3" t="str">
        <f t="shared" si="189"/>
        <v>ΣΠΟΡΟΠΑΡΑΓΩΓΗ</v>
      </c>
    </row>
    <row r="5851" spans="1:12" x14ac:dyDescent="0.25">
      <c r="A5851" s="1" t="str">
        <f t="shared" si="188"/>
        <v>ΣΠΟΡΟΠΑΡΑΓΩΓΗΤΡΙΦΥΛΛΙ ΕΡΠΟΝ ΣΠΟΡΟΠΑΡΑΓΩΓΗΣ KONITSA</v>
      </c>
      <c r="B5851" s="49" t="s">
        <v>10973</v>
      </c>
      <c r="C5851" s="50" t="s">
        <v>11200</v>
      </c>
      <c r="D5851" s="6">
        <v>4227</v>
      </c>
      <c r="E5851" s="6">
        <v>4128</v>
      </c>
      <c r="F5851" s="46" t="s">
        <v>14</v>
      </c>
      <c r="G5851" s="46" t="s">
        <v>11201</v>
      </c>
      <c r="H5851" s="46" t="s">
        <v>27</v>
      </c>
      <c r="I5851" s="47">
        <v>1627</v>
      </c>
      <c r="J5851" s="51">
        <v>25</v>
      </c>
      <c r="K5851" s="51">
        <v>25110</v>
      </c>
      <c r="L5851" s="3" t="str">
        <f t="shared" si="189"/>
        <v>ΣΠΟΡΟΠΑΡΑΓΩΓΗ</v>
      </c>
    </row>
    <row r="5852" spans="1:12" x14ac:dyDescent="0.25">
      <c r="A5852" s="1" t="str">
        <f t="shared" si="188"/>
        <v>ΣΠΟΡΟΠΑΡΑΓΩΓΗΤΡΙΦΥΛΛΙ ΠΕΡΣΙΚΟ ΣΠΟΡΟΠΑΡΑΓΩΓΗΣ ASOPOS</v>
      </c>
      <c r="B5852" s="49" t="s">
        <v>10973</v>
      </c>
      <c r="C5852" s="50" t="s">
        <v>11202</v>
      </c>
      <c r="D5852" s="6">
        <v>4227</v>
      </c>
      <c r="E5852" s="6">
        <v>4128</v>
      </c>
      <c r="F5852" s="46" t="s">
        <v>14</v>
      </c>
      <c r="G5852" s="46" t="s">
        <v>11203</v>
      </c>
      <c r="H5852" s="46" t="s">
        <v>27</v>
      </c>
      <c r="I5852" s="9">
        <v>1628</v>
      </c>
      <c r="J5852" s="51">
        <v>25</v>
      </c>
      <c r="K5852" s="51">
        <v>25111</v>
      </c>
      <c r="L5852" s="3" t="str">
        <f t="shared" si="189"/>
        <v>ΣΠΟΡΟΠΑΡΑΓΩΓΗ</v>
      </c>
    </row>
    <row r="5853" spans="1:12" x14ac:dyDescent="0.25">
      <c r="A5853" s="1" t="str">
        <f t="shared" si="188"/>
        <v>ΣΠΟΡΟΠΑΡΑΓΩΓΗΤΡΙΦΥΛΛΙ ΠΕΡΣΙΚΟ ΣΠΟΡΟΠΑΡΑΓΩΓΗΣ MORNOS</v>
      </c>
      <c r="B5853" s="49" t="s">
        <v>10973</v>
      </c>
      <c r="C5853" s="50" t="s">
        <v>11204</v>
      </c>
      <c r="D5853" s="6">
        <v>4227</v>
      </c>
      <c r="E5853" s="6">
        <v>4128</v>
      </c>
      <c r="F5853" s="46" t="s">
        <v>14</v>
      </c>
      <c r="G5853" s="46" t="s">
        <v>11205</v>
      </c>
      <c r="H5853" s="46" t="s">
        <v>27</v>
      </c>
      <c r="I5853" s="47">
        <v>1629</v>
      </c>
      <c r="J5853" s="51">
        <v>25</v>
      </c>
      <c r="K5853" s="51">
        <v>25112</v>
      </c>
      <c r="L5853" s="3" t="str">
        <f t="shared" si="189"/>
        <v>ΣΠΟΡΟΠΑΡΑΓΩΓΗ</v>
      </c>
    </row>
    <row r="5854" spans="1:12" x14ac:dyDescent="0.25">
      <c r="A5854" s="1" t="str">
        <f t="shared" si="188"/>
        <v>ΣΠΟΡΟΠΑΡΑΓΩΓΗΤΡΙΦΥΛΛΙ ΠΕΡΣΙΚΟ ΣΠΟΡΟΠΑΡΑΓΩΓΗΣ OSSA II</v>
      </c>
      <c r="B5854" s="49" t="s">
        <v>10973</v>
      </c>
      <c r="C5854" s="50" t="s">
        <v>11206</v>
      </c>
      <c r="D5854" s="6">
        <v>4227</v>
      </c>
      <c r="E5854" s="6">
        <v>4128</v>
      </c>
      <c r="F5854" s="46" t="s">
        <v>14</v>
      </c>
      <c r="G5854" s="46" t="s">
        <v>11207</v>
      </c>
      <c r="H5854" s="46" t="s">
        <v>27</v>
      </c>
      <c r="I5854" s="9">
        <v>1630</v>
      </c>
      <c r="J5854" s="51">
        <v>25</v>
      </c>
      <c r="K5854" s="51">
        <v>25113</v>
      </c>
      <c r="L5854" s="3" t="str">
        <f t="shared" si="189"/>
        <v>ΣΠΟΡΟΠΑΡΑΓΩΓΗ</v>
      </c>
    </row>
    <row r="5855" spans="1:12" x14ac:dyDescent="0.25">
      <c r="A5855" s="1" t="str">
        <f t="shared" si="188"/>
        <v>ΣΠΟΡΟΠΑΡΑΓΩΓΗΦΑΚΗ ΣΠΟΡΟΠΑΡΑΓΩΓΗΣ ATHINA</v>
      </c>
      <c r="B5855" s="49" t="s">
        <v>10973</v>
      </c>
      <c r="C5855" s="50" t="s">
        <v>11208</v>
      </c>
      <c r="D5855" s="6">
        <v>1515.84</v>
      </c>
      <c r="E5855" s="6">
        <v>3106.63</v>
      </c>
      <c r="F5855" s="46" t="s">
        <v>14</v>
      </c>
      <c r="G5855" s="46" t="s">
        <v>11209</v>
      </c>
      <c r="H5855" s="46" t="s">
        <v>27</v>
      </c>
      <c r="I5855" s="47">
        <v>1600</v>
      </c>
      <c r="J5855" s="51">
        <v>25</v>
      </c>
      <c r="K5855" s="51">
        <v>25114</v>
      </c>
      <c r="L5855" s="3" t="str">
        <f t="shared" si="189"/>
        <v>ΣΠΟΡΟΠΑΡΑΓΩΓΗ</v>
      </c>
    </row>
    <row r="5856" spans="1:12" x14ac:dyDescent="0.25">
      <c r="A5856" s="1" t="str">
        <f t="shared" si="188"/>
        <v>ΣΠΟΡΟΠΑΡΑΓΩΓΗΦΑΚΗ ΣΠΟΡΟΠΑΡΑΓΩΓΗΣ DEMOCRITOS</v>
      </c>
      <c r="B5856" s="49" t="s">
        <v>10973</v>
      </c>
      <c r="C5856" s="50" t="s">
        <v>11210</v>
      </c>
      <c r="D5856" s="6">
        <v>1515.84</v>
      </c>
      <c r="E5856" s="6">
        <v>3106.63</v>
      </c>
      <c r="F5856" s="46" t="s">
        <v>14</v>
      </c>
      <c r="G5856" s="46" t="s">
        <v>11211</v>
      </c>
      <c r="H5856" s="46" t="s">
        <v>27</v>
      </c>
      <c r="I5856" s="9">
        <v>1632</v>
      </c>
      <c r="J5856" s="51">
        <v>25</v>
      </c>
      <c r="K5856" s="51">
        <v>25115</v>
      </c>
      <c r="L5856" s="3" t="str">
        <f t="shared" si="189"/>
        <v>ΣΠΟΡΟΠΑΡΑΓΩΓΗ</v>
      </c>
    </row>
    <row r="5857" spans="1:12" x14ac:dyDescent="0.25">
      <c r="A5857" s="1" t="str">
        <f t="shared" si="188"/>
        <v>ΣΠΟΡΟΠΑΡΑΓΩΓΗΦΑΚΗ ΣΠΟΡΟΠΑΡΑΓΩΓΗΣ ELPIDA</v>
      </c>
      <c r="B5857" s="49" t="s">
        <v>10973</v>
      </c>
      <c r="C5857" s="50" t="s">
        <v>11212</v>
      </c>
      <c r="D5857" s="6">
        <v>1515.84</v>
      </c>
      <c r="E5857" s="6">
        <v>3106.63</v>
      </c>
      <c r="F5857" s="46" t="s">
        <v>14</v>
      </c>
      <c r="G5857" s="46" t="s">
        <v>11213</v>
      </c>
      <c r="H5857" s="46" t="s">
        <v>27</v>
      </c>
      <c r="I5857" s="47">
        <v>1622</v>
      </c>
      <c r="J5857" s="51">
        <v>25</v>
      </c>
      <c r="K5857" s="51">
        <v>25116</v>
      </c>
      <c r="L5857" s="3" t="str">
        <f t="shared" si="189"/>
        <v>ΣΠΟΡΟΠΑΡΑΓΩΓΗ</v>
      </c>
    </row>
    <row r="5858" spans="1:12" x14ac:dyDescent="0.25">
      <c r="A5858" s="1" t="str">
        <f t="shared" si="188"/>
        <v>ΣΠΟΡΟΠΑΡΑΓΩΓΗΦΑΚΗ ΣΠΟΡΟΠΑΡΑΓΩΓΗΣ IKARIA</v>
      </c>
      <c r="B5858" s="49" t="s">
        <v>10973</v>
      </c>
      <c r="C5858" s="50" t="s">
        <v>11214</v>
      </c>
      <c r="D5858" s="6">
        <v>1515.84</v>
      </c>
      <c r="E5858" s="6">
        <v>3106.63</v>
      </c>
      <c r="F5858" s="46" t="s">
        <v>14</v>
      </c>
      <c r="G5858" s="46" t="s">
        <v>11215</v>
      </c>
      <c r="H5858" s="46" t="s">
        <v>27</v>
      </c>
      <c r="I5858" s="9">
        <v>1634</v>
      </c>
      <c r="J5858" s="51">
        <v>25</v>
      </c>
      <c r="K5858" s="51">
        <v>25117</v>
      </c>
      <c r="L5858" s="3" t="str">
        <f t="shared" si="189"/>
        <v>ΣΠΟΡΟΠΑΡΑΓΩΓΗ</v>
      </c>
    </row>
    <row r="5859" spans="1:12" x14ac:dyDescent="0.25">
      <c r="A5859" s="1" t="str">
        <f t="shared" si="188"/>
        <v>ΣΠΟΡΟΠΑΡΑΓΩΓΗΦΑΚΗ ΣΠΟΡΟΠΑΡΑΓΩΓΗΣ LITO</v>
      </c>
      <c r="B5859" s="49" t="s">
        <v>10973</v>
      </c>
      <c r="C5859" s="50" t="s">
        <v>11216</v>
      </c>
      <c r="D5859" s="6">
        <v>1515.84</v>
      </c>
      <c r="E5859" s="6">
        <v>3106.63</v>
      </c>
      <c r="F5859" s="46" t="s">
        <v>14</v>
      </c>
      <c r="G5859" s="46" t="s">
        <v>11217</v>
      </c>
      <c r="H5859" s="46" t="s">
        <v>27</v>
      </c>
      <c r="I5859" s="47">
        <v>1635</v>
      </c>
      <c r="J5859" s="51">
        <v>25</v>
      </c>
      <c r="K5859" s="51">
        <v>25118</v>
      </c>
      <c r="L5859" s="3" t="str">
        <f t="shared" si="189"/>
        <v>ΣΠΟΡΟΠΑΡΑΓΩΓΗ</v>
      </c>
    </row>
    <row r="5860" spans="1:12" x14ac:dyDescent="0.25">
      <c r="A5860" s="1" t="str">
        <f t="shared" si="188"/>
        <v>ΣΠΟΡΟΠΑΡΑΓΩΓΗΦΑΣΟΛΙΑ ΚΟΙΝΑ ΣΠΟΡΟΠΑΡΑΓΩΓΗΣ ARIDEA</v>
      </c>
      <c r="B5860" s="49" t="s">
        <v>10973</v>
      </c>
      <c r="C5860" s="50" t="s">
        <v>11218</v>
      </c>
      <c r="D5860" s="6">
        <v>1568.73</v>
      </c>
      <c r="E5860" s="6">
        <v>1689.55</v>
      </c>
      <c r="F5860" s="46" t="s">
        <v>14</v>
      </c>
      <c r="G5860" s="46" t="s">
        <v>11219</v>
      </c>
      <c r="H5860" s="46" t="s">
        <v>27</v>
      </c>
      <c r="I5860" s="9">
        <v>1636</v>
      </c>
      <c r="J5860" s="51">
        <v>25</v>
      </c>
      <c r="K5860" s="51">
        <v>25119</v>
      </c>
      <c r="L5860" s="3" t="str">
        <f t="shared" si="189"/>
        <v>ΣΠΟΡΟΠΑΡΑΓΩΓΗ</v>
      </c>
    </row>
    <row r="5861" spans="1:12" x14ac:dyDescent="0.25">
      <c r="A5861" s="1" t="str">
        <f t="shared" si="188"/>
        <v>ΣΠΟΡΟΠΑΡΑΓΩΓΗΦΑΣΟΛΙΑ ΚΟΙΝΑ ΣΠΟΡΟΠΑΡΑΓΩΓΗΣ IRO</v>
      </c>
      <c r="B5861" s="49" t="s">
        <v>10973</v>
      </c>
      <c r="C5861" s="50" t="s">
        <v>11220</v>
      </c>
      <c r="D5861" s="6">
        <v>1568.73</v>
      </c>
      <c r="E5861" s="6">
        <v>1689.55</v>
      </c>
      <c r="F5861" s="46" t="s">
        <v>14</v>
      </c>
      <c r="G5861" s="46" t="s">
        <v>11221</v>
      </c>
      <c r="H5861" s="46" t="s">
        <v>27</v>
      </c>
      <c r="I5861" s="47">
        <v>1637</v>
      </c>
      <c r="J5861" s="51">
        <v>25</v>
      </c>
      <c r="K5861" s="51">
        <v>25120</v>
      </c>
      <c r="L5861" s="3" t="str">
        <f t="shared" si="189"/>
        <v>ΣΠΟΡΟΠΑΡΑΓΩΓΗ</v>
      </c>
    </row>
    <row r="5862" spans="1:12" x14ac:dyDescent="0.25">
      <c r="A5862" s="1" t="str">
        <f t="shared" si="188"/>
        <v>ΣΠΟΡΟΠΑΡΑΓΩΓΗΦΑΣΟΛΙΑ ΚΟΙΝΑ ΣΠΟΡΟΠΑΡΑΓΩΓΗΣ LIDA</v>
      </c>
      <c r="B5862" s="49" t="s">
        <v>10973</v>
      </c>
      <c r="C5862" s="50" t="s">
        <v>11222</v>
      </c>
      <c r="D5862" s="6">
        <v>1568.73</v>
      </c>
      <c r="E5862" s="6">
        <v>1689.55</v>
      </c>
      <c r="F5862" s="46" t="s">
        <v>14</v>
      </c>
      <c r="G5862" s="46" t="s">
        <v>11223</v>
      </c>
      <c r="H5862" s="46" t="s">
        <v>27</v>
      </c>
      <c r="I5862" s="9">
        <v>1624</v>
      </c>
      <c r="J5862" s="51">
        <v>25</v>
      </c>
      <c r="K5862" s="51">
        <v>25121</v>
      </c>
      <c r="L5862" s="3" t="str">
        <f t="shared" si="189"/>
        <v>ΣΠΟΡΟΠΑΡΑΓΩΓΗ</v>
      </c>
    </row>
    <row r="5863" spans="1:12" x14ac:dyDescent="0.25">
      <c r="A5863" s="1" t="str">
        <f t="shared" si="188"/>
        <v>ΣΠΟΡΟΠΑΡΑΓΩΓΗΦΑΣΟΛΙΑ ΚΟΙΝΑ ΣΠΟΡΟΠΑΡΑΓΩΓΗΣ MIRSINI</v>
      </c>
      <c r="B5863" s="49" t="s">
        <v>10973</v>
      </c>
      <c r="C5863" s="50" t="s">
        <v>11224</v>
      </c>
      <c r="D5863" s="6">
        <v>1568.73</v>
      </c>
      <c r="E5863" s="6">
        <v>1689.55</v>
      </c>
      <c r="F5863" s="46" t="s">
        <v>14</v>
      </c>
      <c r="G5863" s="46" t="s">
        <v>11225</v>
      </c>
      <c r="H5863" s="46" t="s">
        <v>27</v>
      </c>
      <c r="I5863" s="47">
        <v>1598</v>
      </c>
      <c r="J5863" s="51">
        <v>25</v>
      </c>
      <c r="K5863" s="51">
        <v>25122</v>
      </c>
      <c r="L5863" s="3" t="str">
        <f t="shared" si="189"/>
        <v>ΣΠΟΡΟΠΑΡΑΓΩΓΗ</v>
      </c>
    </row>
    <row r="5864" spans="1:12" x14ac:dyDescent="0.25">
      <c r="A5864" s="1" t="str">
        <f t="shared" si="188"/>
        <v>ΣΠΟΡΟΠΑΡΑΓΩΓΗΦΑΣΟΛΙΑ ΚΟΙΝΑ ΣΠΟΡΟΠΑΡΑΓΩΓΗΣ PIRGETOS</v>
      </c>
      <c r="B5864" s="49" t="s">
        <v>10973</v>
      </c>
      <c r="C5864" s="50" t="s">
        <v>11226</v>
      </c>
      <c r="D5864" s="6">
        <v>1568.73</v>
      </c>
      <c r="E5864" s="6">
        <v>1689.55</v>
      </c>
      <c r="F5864" s="46" t="s">
        <v>14</v>
      </c>
      <c r="G5864" s="46" t="s">
        <v>11227</v>
      </c>
      <c r="H5864" s="46" t="s">
        <v>27</v>
      </c>
      <c r="I5864" s="9">
        <v>1592</v>
      </c>
      <c r="J5864" s="51">
        <v>25</v>
      </c>
      <c r="K5864" s="51">
        <v>25123</v>
      </c>
      <c r="L5864" s="3" t="str">
        <f t="shared" si="189"/>
        <v>ΣΠΟΡΟΠΑΡΑΓΩΓΗ</v>
      </c>
    </row>
    <row r="5865" spans="1:12" x14ac:dyDescent="0.25">
      <c r="A5865" s="1" t="str">
        <f t="shared" si="188"/>
        <v>ΣΠΟΡΟΠΑΡΑΓΩΓΗΦΑΣΟΛΙΑ ΚΟΙΝΑ ΣΠΟΡΟΠΑΡΑΓΩΓΗΣ RAPSANI</v>
      </c>
      <c r="B5865" s="49" t="s">
        <v>10973</v>
      </c>
      <c r="C5865" s="50" t="s">
        <v>11228</v>
      </c>
      <c r="D5865" s="6">
        <v>1568.73</v>
      </c>
      <c r="E5865" s="6">
        <v>1689.55</v>
      </c>
      <c r="F5865" s="46" t="s">
        <v>14</v>
      </c>
      <c r="G5865" s="46" t="s">
        <v>11229</v>
      </c>
      <c r="H5865" s="46" t="s">
        <v>27</v>
      </c>
      <c r="I5865" s="47">
        <v>1591</v>
      </c>
      <c r="J5865" s="51">
        <v>25</v>
      </c>
      <c r="K5865" s="51">
        <v>25124</v>
      </c>
      <c r="L5865" s="3" t="str">
        <f t="shared" si="189"/>
        <v>ΣΠΟΡΟΠΑΡΑΓΩΓΗ</v>
      </c>
    </row>
    <row r="5866" spans="1:12" x14ac:dyDescent="0.25">
      <c r="A5866" s="1" t="str">
        <f t="shared" si="188"/>
        <v>ΣΠΟΡΟΠΑΡΑΓΩΓΗΦΑΣΟΛΙΑ ΚΟΙΝΑ ΣΠΟΡΟΠΑΡΑΓΩΓΗΣ SEMELI</v>
      </c>
      <c r="B5866" s="49" t="s">
        <v>10973</v>
      </c>
      <c r="C5866" s="50" t="s">
        <v>11230</v>
      </c>
      <c r="D5866" s="6">
        <v>1568.73</v>
      </c>
      <c r="E5866" s="6">
        <v>1689.55</v>
      </c>
      <c r="F5866" s="46" t="s">
        <v>14</v>
      </c>
      <c r="G5866" s="46" t="s">
        <v>11231</v>
      </c>
      <c r="H5866" s="46" t="s">
        <v>27</v>
      </c>
      <c r="I5866" s="9">
        <v>1590</v>
      </c>
      <c r="J5866" s="51">
        <v>25</v>
      </c>
      <c r="K5866" s="51">
        <v>25125</v>
      </c>
      <c r="L5866" s="3" t="str">
        <f t="shared" si="189"/>
        <v>ΣΠΟΡΟΠΑΡΑΓΩΓΗ</v>
      </c>
    </row>
    <row r="5867" spans="1:12" x14ac:dyDescent="0.25">
      <c r="A5867" s="1" t="str">
        <f t="shared" si="188"/>
        <v>ΣΠΟΡΟΠΑΡΑΓΩΓΗΒΙΚΟΣ ΣΠΟΡΟΠΑΡΑΓΩΓΗΣ JOSE</v>
      </c>
      <c r="B5867" s="49" t="s">
        <v>10973</v>
      </c>
      <c r="C5867" s="50" t="s">
        <v>11232</v>
      </c>
      <c r="D5867" s="6">
        <v>1515.84</v>
      </c>
      <c r="E5867" s="6">
        <v>3106.63</v>
      </c>
      <c r="F5867" s="46" t="s">
        <v>14</v>
      </c>
      <c r="G5867" s="46" t="s">
        <v>11233</v>
      </c>
      <c r="H5867" s="46" t="s">
        <v>27</v>
      </c>
      <c r="I5867" s="47">
        <v>1589</v>
      </c>
      <c r="J5867" s="51">
        <v>25</v>
      </c>
      <c r="K5867" s="51">
        <v>25126</v>
      </c>
      <c r="L5867" s="3" t="str">
        <f t="shared" si="189"/>
        <v>ΣΠΟΡΟΠΑΡΑΓΩΓΗ</v>
      </c>
    </row>
    <row r="5868" spans="1:12" x14ac:dyDescent="0.25">
      <c r="A5868" s="1" t="str">
        <f t="shared" si="188"/>
        <v>ΣΠΟΡΟΠΑΡΑΓΩΓΗΜΗΔΙΚΗ ΣΠΟΡΟΠΑΡΑΓΩΓΗΣ PREMARIACCO</v>
      </c>
      <c r="B5868" s="49" t="s">
        <v>10973</v>
      </c>
      <c r="C5868" s="50" t="s">
        <v>11234</v>
      </c>
      <c r="D5868" s="6">
        <v>4227</v>
      </c>
      <c r="E5868" s="6">
        <v>4128</v>
      </c>
      <c r="F5868" s="46" t="s">
        <v>14</v>
      </c>
      <c r="G5868" s="46" t="s">
        <v>11235</v>
      </c>
      <c r="H5868" s="46" t="s">
        <v>27</v>
      </c>
      <c r="I5868" s="9">
        <v>1593</v>
      </c>
      <c r="J5868" s="51">
        <v>25</v>
      </c>
      <c r="K5868" s="51">
        <v>25127</v>
      </c>
      <c r="L5868" s="3" t="str">
        <f t="shared" si="189"/>
        <v>ΣΠΟΡΟΠΑΡΑΓΩΓΗ</v>
      </c>
    </row>
    <row r="5869" spans="1:12" x14ac:dyDescent="0.25">
      <c r="A5869" s="1" t="str">
        <f t="shared" si="188"/>
        <v>ΣΠΟΡΟΠΑΡΑΓΩΓΗΤΡΙΦΥΛΛΙ ΑΛΕΞΑΝΔΡΙΝΟ ΣΠΟΡΟΠΑΡΑΓΩΓΗΣ ALEX</v>
      </c>
      <c r="B5869" s="49" t="s">
        <v>10973</v>
      </c>
      <c r="C5869" s="50" t="s">
        <v>11236</v>
      </c>
      <c r="D5869" s="6">
        <v>4227</v>
      </c>
      <c r="E5869" s="6">
        <v>4128</v>
      </c>
      <c r="F5869" s="46" t="s">
        <v>14</v>
      </c>
      <c r="G5869" s="46" t="s">
        <v>11237</v>
      </c>
      <c r="H5869" s="46" t="s">
        <v>27</v>
      </c>
      <c r="I5869" s="47">
        <v>1587</v>
      </c>
      <c r="J5869" s="51">
        <v>25</v>
      </c>
      <c r="K5869" s="51">
        <v>25128</v>
      </c>
      <c r="L5869" s="3" t="str">
        <f t="shared" si="189"/>
        <v>ΣΠΟΡΟΠΑΡΑΓΩΓΗ</v>
      </c>
    </row>
    <row r="5870" spans="1:12" x14ac:dyDescent="0.25">
      <c r="A5870" s="1" t="str">
        <f t="shared" si="188"/>
        <v>ΣΠΟΡΟΠΑΡΑΓΩΓΗΒΙΣΕΡΟΥΛΑ Η ΠΕΛΕΚΙΝΗ ΣΠΟΡΟΠΑΡΑΓΩΓΗΣ</v>
      </c>
      <c r="B5870" s="49" t="s">
        <v>10973</v>
      </c>
      <c r="C5870" s="50" t="s">
        <v>11238</v>
      </c>
      <c r="D5870" s="6">
        <v>1515.84</v>
      </c>
      <c r="E5870" s="6">
        <v>3106.63</v>
      </c>
      <c r="F5870" s="46" t="s">
        <v>14</v>
      </c>
      <c r="G5870" s="46" t="s">
        <v>11239</v>
      </c>
      <c r="H5870" s="46" t="s">
        <v>27</v>
      </c>
      <c r="I5870" s="9">
        <v>1586</v>
      </c>
      <c r="J5870" s="51">
        <v>25</v>
      </c>
      <c r="K5870" s="51">
        <v>25129</v>
      </c>
      <c r="L5870" s="3" t="str">
        <f t="shared" si="189"/>
        <v>ΣΠΟΡΟΠΑΡΑΓΩΓΗ</v>
      </c>
    </row>
    <row r="5871" spans="1:12" x14ac:dyDescent="0.25">
      <c r="A5871" s="1" t="str">
        <f t="shared" si="188"/>
        <v>ΣΠΟΡΟΠΑΡΑΓΩΓΗΓΑΛΕΛΑ Η ΑΝΑΤΟΛΙΚΗ ΣΠΟΡΟΠΑΡΑΓΩΓΗΣ</v>
      </c>
      <c r="B5871" s="49" t="s">
        <v>10973</v>
      </c>
      <c r="C5871" s="50" t="s">
        <v>11240</v>
      </c>
      <c r="D5871" s="6">
        <v>1515.84</v>
      </c>
      <c r="E5871" s="6">
        <v>3106.63</v>
      </c>
      <c r="F5871" s="46" t="s">
        <v>14</v>
      </c>
      <c r="G5871" s="46" t="s">
        <v>11241</v>
      </c>
      <c r="H5871" s="46" t="s">
        <v>27</v>
      </c>
      <c r="I5871" s="47">
        <v>1585</v>
      </c>
      <c r="J5871" s="51">
        <v>25</v>
      </c>
      <c r="K5871" s="51">
        <v>25130</v>
      </c>
      <c r="L5871" s="3" t="str">
        <f t="shared" si="189"/>
        <v>ΣΠΟΡΟΠΑΡΑΓΩΓΗ</v>
      </c>
    </row>
    <row r="5872" spans="1:12" x14ac:dyDescent="0.25">
      <c r="A5872" s="1" t="str">
        <f t="shared" si="188"/>
        <v>ΣΠΟΡΟΠΑΡΑΓΩΓΗΜΗΔΙΚΗ Η ΑΚΑΝΘΩΔΗΣ ΣΠΟΡΟΠΑΡΑΓΩΓΗΣ</v>
      </c>
      <c r="B5872" s="49" t="s">
        <v>10973</v>
      </c>
      <c r="C5872" s="50" t="s">
        <v>11242</v>
      </c>
      <c r="D5872" s="6">
        <v>4227</v>
      </c>
      <c r="E5872" s="6">
        <v>4128</v>
      </c>
      <c r="F5872" s="46" t="s">
        <v>14</v>
      </c>
      <c r="G5872" s="46" t="s">
        <v>11243</v>
      </c>
      <c r="H5872" s="46" t="s">
        <v>27</v>
      </c>
      <c r="I5872" s="9">
        <v>1584</v>
      </c>
      <c r="J5872" s="51">
        <v>25</v>
      </c>
      <c r="K5872" s="51">
        <v>25131</v>
      </c>
      <c r="L5872" s="3" t="str">
        <f t="shared" si="189"/>
        <v>ΣΠΟΡΟΠΑΡΑΓΩΓΗ</v>
      </c>
    </row>
    <row r="5873" spans="1:12" x14ac:dyDescent="0.25">
      <c r="A5873" s="1" t="str">
        <f t="shared" si="188"/>
        <v>ΣΠΟΡΟΠΑΡΑΓΩΓΗΜΗΔΙΚΗ Η ΙΤΑΛΙΚΗ ΣΠΟΡΟΠΑΡΑΓΩΓΗΣ</v>
      </c>
      <c r="B5873" s="49" t="s">
        <v>10973</v>
      </c>
      <c r="C5873" s="50" t="s">
        <v>11244</v>
      </c>
      <c r="D5873" s="6">
        <v>4227</v>
      </c>
      <c r="E5873" s="6">
        <v>4128</v>
      </c>
      <c r="F5873" s="46" t="s">
        <v>14</v>
      </c>
      <c r="G5873" s="46" t="s">
        <v>11245</v>
      </c>
      <c r="H5873" s="46" t="s">
        <v>27</v>
      </c>
      <c r="I5873" s="47">
        <v>1583</v>
      </c>
      <c r="J5873" s="51">
        <v>25</v>
      </c>
      <c r="K5873" s="51">
        <v>25132</v>
      </c>
      <c r="L5873" s="3" t="str">
        <f t="shared" si="189"/>
        <v>ΣΠΟΡΟΠΑΡΑΓΩΓΗ</v>
      </c>
    </row>
    <row r="5874" spans="1:12" x14ac:dyDescent="0.25">
      <c r="A5874" s="1" t="str">
        <f t="shared" si="188"/>
        <v>ΣΠΟΡΟΠΑΡΑΓΩΓΗΜΗΔΙΚΗ Η ΠΑΡΑΛΙΟΣ ΣΠΟΡΟΠΑΡΑΓΩΓΗΣ</v>
      </c>
      <c r="B5874" s="49" t="s">
        <v>10973</v>
      </c>
      <c r="C5874" s="50" t="s">
        <v>11246</v>
      </c>
      <c r="D5874" s="6">
        <v>4227</v>
      </c>
      <c r="E5874" s="6">
        <v>4128</v>
      </c>
      <c r="F5874" s="46" t="s">
        <v>14</v>
      </c>
      <c r="G5874" s="46" t="s">
        <v>11247</v>
      </c>
      <c r="H5874" s="46" t="s">
        <v>27</v>
      </c>
      <c r="I5874" s="9">
        <v>1580</v>
      </c>
      <c r="J5874" s="51">
        <v>25</v>
      </c>
      <c r="K5874" s="51">
        <v>25133</v>
      </c>
      <c r="L5874" s="3" t="str">
        <f t="shared" si="189"/>
        <v>ΣΠΟΡΟΠΑΡΑΓΩΓΗ</v>
      </c>
    </row>
    <row r="5875" spans="1:12" x14ac:dyDescent="0.25">
      <c r="A5875" s="1" t="str">
        <f t="shared" si="188"/>
        <v>ΣΠΟΡΟΠΑΡΑΓΩΓΗΜΗΔΙΚΗ Η ΣΦΑΙΡΟΚΑΡΠΟΣ ΣΠΟΡΟΠΑΡΑΓΩΓΗΣ</v>
      </c>
      <c r="B5875" s="49" t="s">
        <v>10973</v>
      </c>
      <c r="C5875" s="50" t="s">
        <v>11248</v>
      </c>
      <c r="D5875" s="6">
        <v>4227</v>
      </c>
      <c r="E5875" s="6">
        <v>4128</v>
      </c>
      <c r="F5875" s="46" t="s">
        <v>14</v>
      </c>
      <c r="G5875" s="46" t="s">
        <v>11249</v>
      </c>
      <c r="H5875" s="46" t="s">
        <v>27</v>
      </c>
      <c r="I5875" s="47">
        <v>1581</v>
      </c>
      <c r="J5875" s="51">
        <v>25</v>
      </c>
      <c r="K5875" s="51">
        <v>25134</v>
      </c>
      <c r="L5875" s="3" t="str">
        <f t="shared" si="189"/>
        <v>ΣΠΟΡΟΠΑΡΑΓΩΓΗ</v>
      </c>
    </row>
    <row r="5876" spans="1:12" x14ac:dyDescent="0.25">
      <c r="A5876" s="1" t="str">
        <f t="shared" si="188"/>
        <v>ΣΠΟΡΟΠΑΡΑΓΩΓΗΜΗΔΙΚΗ Η ΠΟΛΥΜΟΡΦΗ ΣΠΟΡΟΠΑΡΑΓΩΓΗΣ</v>
      </c>
      <c r="B5876" s="49" t="s">
        <v>10973</v>
      </c>
      <c r="C5876" s="50" t="s">
        <v>11250</v>
      </c>
      <c r="D5876" s="6">
        <v>4227</v>
      </c>
      <c r="E5876" s="6">
        <v>4128</v>
      </c>
      <c r="F5876" s="46" t="s">
        <v>14</v>
      </c>
      <c r="G5876" s="46" t="s">
        <v>11251</v>
      </c>
      <c r="H5876" s="46" t="s">
        <v>27</v>
      </c>
      <c r="I5876" s="9">
        <v>1582</v>
      </c>
      <c r="J5876" s="51">
        <v>25</v>
      </c>
      <c r="K5876" s="51">
        <v>25135</v>
      </c>
      <c r="L5876" s="3" t="str">
        <f t="shared" si="189"/>
        <v>ΣΠΟΡΟΠΑΡΑΓΩΓΗ</v>
      </c>
    </row>
    <row r="5877" spans="1:12" x14ac:dyDescent="0.25">
      <c r="A5877" s="1" t="str">
        <f t="shared" si="188"/>
        <v>ΣΠΟΡΟΠΑΡΑΓΩΓΗΜΗΔΙΚΗ Η ΡΙΚΝΗ ΣΠΟΡΟΠΑΡΑΓΩΓΗΣ</v>
      </c>
      <c r="B5877" s="49" t="s">
        <v>10973</v>
      </c>
      <c r="C5877" s="50" t="s">
        <v>11252</v>
      </c>
      <c r="D5877" s="6">
        <v>4227</v>
      </c>
      <c r="E5877" s="6">
        <v>4128</v>
      </c>
      <c r="F5877" s="46" t="s">
        <v>14</v>
      </c>
      <c r="G5877" s="46" t="s">
        <v>11253</v>
      </c>
      <c r="H5877" s="46" t="s">
        <v>27</v>
      </c>
      <c r="I5877" s="47">
        <v>1588</v>
      </c>
      <c r="J5877" s="51">
        <v>25</v>
      </c>
      <c r="K5877" s="51">
        <v>25136</v>
      </c>
      <c r="L5877" s="3" t="str">
        <f t="shared" si="189"/>
        <v>ΣΠΟΡΟΠΑΡΑΓΩΓΗ</v>
      </c>
    </row>
    <row r="5878" spans="1:12" x14ac:dyDescent="0.25">
      <c r="A5878" s="1" t="str">
        <f t="shared" si="188"/>
        <v>ΣΠΟΡΟΠΑΡΑΓΩΓΗΜΗΔΙΚΗ Η ΠΙΝΑΚΟΕΙΔΗΣ ΣΠΟΡΟΠΑΡΑΓΩΓΗΣ</v>
      </c>
      <c r="B5878" s="49" t="s">
        <v>10973</v>
      </c>
      <c r="C5878" s="50" t="s">
        <v>11254</v>
      </c>
      <c r="D5878" s="6">
        <v>4227</v>
      </c>
      <c r="E5878" s="6">
        <v>4128</v>
      </c>
      <c r="F5878" s="46" t="s">
        <v>14</v>
      </c>
      <c r="G5878" s="46" t="s">
        <v>11255</v>
      </c>
      <c r="H5878" s="46" t="s">
        <v>27</v>
      </c>
      <c r="I5878" s="9">
        <v>1594</v>
      </c>
      <c r="J5878" s="51">
        <v>25</v>
      </c>
      <c r="K5878" s="51">
        <v>25137</v>
      </c>
      <c r="L5878" s="3" t="str">
        <f t="shared" si="189"/>
        <v>ΣΠΟΡΟΠΑΡΑΓΩΓΗ</v>
      </c>
    </row>
    <row r="5879" spans="1:12" x14ac:dyDescent="0.25">
      <c r="A5879" s="1" t="str">
        <f t="shared" si="188"/>
        <v>ΣΠΟΡΟΠΑΡΑΓΩΓΗΜΗΔΙΚΗ ΒΑΡΕΛΩΤΗ ΣΠΟΡΟΠΑΡΑΓΩΓΗΣ</v>
      </c>
      <c r="B5879" s="49" t="s">
        <v>10973</v>
      </c>
      <c r="C5879" s="50" t="s">
        <v>11256</v>
      </c>
      <c r="D5879" s="6">
        <v>4227</v>
      </c>
      <c r="E5879" s="6">
        <v>4128</v>
      </c>
      <c r="F5879" s="46" t="s">
        <v>14</v>
      </c>
      <c r="G5879" s="46" t="s">
        <v>11257</v>
      </c>
      <c r="H5879" s="46" t="s">
        <v>27</v>
      </c>
      <c r="I5879" s="47">
        <v>1595</v>
      </c>
      <c r="J5879" s="51">
        <v>25</v>
      </c>
      <c r="K5879" s="51">
        <v>25138</v>
      </c>
      <c r="L5879" s="3" t="str">
        <f t="shared" si="189"/>
        <v>ΣΠΟΡΟΠΑΡΑΓΩΓΗ</v>
      </c>
    </row>
    <row r="5880" spans="1:12" ht="31.5" x14ac:dyDescent="0.25">
      <c r="A5880" s="1" t="str">
        <f t="shared" si="188"/>
        <v>ΣΠΟΡΟΠΑΡΑΓΩΓΗΟΡΝΙΘΟΠΟΥΣ Ο ΠΕΠΛΑΤΥΣΜΕΝΟΣ ΣΠΟΡΟΠΑΡΑΓΩΓΗΣ</v>
      </c>
      <c r="B5880" s="49" t="s">
        <v>10973</v>
      </c>
      <c r="C5880" s="50" t="s">
        <v>11258</v>
      </c>
      <c r="D5880" s="6">
        <v>1568.73</v>
      </c>
      <c r="E5880" s="6">
        <v>1689.55</v>
      </c>
      <c r="F5880" s="46" t="s">
        <v>14</v>
      </c>
      <c r="G5880" s="46" t="s">
        <v>11259</v>
      </c>
      <c r="H5880" s="46" t="s">
        <v>27</v>
      </c>
      <c r="I5880" s="9">
        <v>1596</v>
      </c>
      <c r="J5880" s="51">
        <v>25</v>
      </c>
      <c r="K5880" s="51">
        <v>25139</v>
      </c>
      <c r="L5880" s="3" t="str">
        <f t="shared" si="189"/>
        <v>ΣΠΟΡΟΠΑΡΑΓΩΓΗ</v>
      </c>
    </row>
    <row r="5881" spans="1:12" x14ac:dyDescent="0.25">
      <c r="A5881" s="1" t="str">
        <f t="shared" si="188"/>
        <v>ΣΠΟΡΟΠΑΡΑΓΩΓΗΟΡΝΙΘΟΠΟΥΣ Ο ΒΡΩΣΙΜΟΣ ΣΠΟΡΟΠΑΡΑΓΩΓΗΣ</v>
      </c>
      <c r="B5881" s="49" t="s">
        <v>10973</v>
      </c>
      <c r="C5881" s="50" t="s">
        <v>11260</v>
      </c>
      <c r="D5881" s="6">
        <v>1568.73</v>
      </c>
      <c r="E5881" s="6">
        <v>1689.55</v>
      </c>
      <c r="F5881" s="46" t="s">
        <v>14</v>
      </c>
      <c r="G5881" s="46" t="s">
        <v>11261</v>
      </c>
      <c r="H5881" s="46" t="s">
        <v>27</v>
      </c>
      <c r="I5881" s="47">
        <v>1597</v>
      </c>
      <c r="J5881" s="51">
        <v>25</v>
      </c>
      <c r="K5881" s="51">
        <v>25140</v>
      </c>
      <c r="L5881" s="3" t="str">
        <f t="shared" si="189"/>
        <v>ΣΠΟΡΟΠΑΡΑΓΩΓΗ</v>
      </c>
    </row>
    <row r="5882" spans="1:12" x14ac:dyDescent="0.25">
      <c r="A5882" s="1" t="str">
        <f t="shared" si="188"/>
        <v>ΣΠΟΡΟΠΑΡΑΓΩΓΗΤΡΙΦΥΛΛΙ ΤΟ ΧΑΜΑΙΚΕΡΑΣΟ ΣΠΟΡΟΠΑΡΑΓΩΓΗΣ</v>
      </c>
      <c r="B5882" s="49" t="s">
        <v>10973</v>
      </c>
      <c r="C5882" s="50" t="s">
        <v>11262</v>
      </c>
      <c r="D5882" s="6">
        <v>4227</v>
      </c>
      <c r="E5882" s="6">
        <v>4128</v>
      </c>
      <c r="F5882" s="46" t="s">
        <v>14</v>
      </c>
      <c r="G5882" s="46" t="s">
        <v>11263</v>
      </c>
      <c r="H5882" s="46" t="s">
        <v>27</v>
      </c>
      <c r="I5882" s="9">
        <v>1608</v>
      </c>
      <c r="J5882" s="51">
        <v>25</v>
      </c>
      <c r="K5882" s="51">
        <v>25141</v>
      </c>
      <c r="L5882" s="3" t="str">
        <f t="shared" si="189"/>
        <v>ΣΠΟΡΟΠΑΡΑΓΩΓΗ</v>
      </c>
    </row>
    <row r="5883" spans="1:12" x14ac:dyDescent="0.25">
      <c r="A5883" s="1" t="str">
        <f t="shared" si="188"/>
        <v>ΣΠΟΡΟΠΑΡΑΓΩΓΗΤΡΙΦΥΛΛΙ ΤΟ ΑΔΕΝΙΚΟ ΣΠΟΡΟΠΑΡΑΓΩΓΗΣ</v>
      </c>
      <c r="B5883" s="49" t="s">
        <v>10973</v>
      </c>
      <c r="C5883" s="50" t="s">
        <v>11264</v>
      </c>
      <c r="D5883" s="6">
        <v>4227</v>
      </c>
      <c r="E5883" s="6">
        <v>4128</v>
      </c>
      <c r="F5883" s="46" t="s">
        <v>14</v>
      </c>
      <c r="G5883" s="46" t="s">
        <v>11265</v>
      </c>
      <c r="H5883" s="46" t="s">
        <v>27</v>
      </c>
      <c r="I5883" s="47">
        <v>1599</v>
      </c>
      <c r="J5883" s="51">
        <v>25</v>
      </c>
      <c r="K5883" s="51">
        <v>25142</v>
      </c>
      <c r="L5883" s="3" t="str">
        <f t="shared" si="189"/>
        <v>ΣΠΟΡΟΠΑΡΑΓΩΓΗ</v>
      </c>
    </row>
    <row r="5884" spans="1:12" x14ac:dyDescent="0.25">
      <c r="A5884" s="1" t="str">
        <f t="shared" si="188"/>
        <v>ΣΠΟΡΟΠΑΡΑΓΩΓΗΤΡΙΦΥΛΛΙ ΤΟ ΡΟΔΟΧΡΟΥΝ ΣΠΟΡΟΠΑΡΑΓΩΓΗΣ</v>
      </c>
      <c r="B5884" s="49" t="s">
        <v>10973</v>
      </c>
      <c r="C5884" s="50" t="s">
        <v>11266</v>
      </c>
      <c r="D5884" s="6">
        <v>4227</v>
      </c>
      <c r="E5884" s="6">
        <v>4128</v>
      </c>
      <c r="F5884" s="46" t="s">
        <v>14</v>
      </c>
      <c r="G5884" s="46" t="s">
        <v>11267</v>
      </c>
      <c r="H5884" s="46" t="s">
        <v>27</v>
      </c>
      <c r="I5884" s="9">
        <v>1601</v>
      </c>
      <c r="J5884" s="51">
        <v>25</v>
      </c>
      <c r="K5884" s="51">
        <v>25143</v>
      </c>
      <c r="L5884" s="3" t="str">
        <f t="shared" si="189"/>
        <v>ΣΠΟΡΟΠΑΡΑΓΩΓΗ</v>
      </c>
    </row>
    <row r="5885" spans="1:12" x14ac:dyDescent="0.25">
      <c r="A5885" s="1" t="str">
        <f t="shared" si="188"/>
        <v>ΣΠΟΡΟΠΑΡΑΓΩΓΗΤΡΙΦΥΛΛΙ ΤΟ ΜΑΡΟΚΙΝΟ ΣΠΟΡΟΠΑΡΑΓΩΓΗΣ</v>
      </c>
      <c r="B5885" s="49" t="s">
        <v>10973</v>
      </c>
      <c r="C5885" s="50" t="s">
        <v>11268</v>
      </c>
      <c r="D5885" s="6">
        <v>4227</v>
      </c>
      <c r="E5885" s="6">
        <v>4128</v>
      </c>
      <c r="F5885" s="46" t="s">
        <v>14</v>
      </c>
      <c r="G5885" s="46" t="s">
        <v>11269</v>
      </c>
      <c r="H5885" s="46" t="s">
        <v>27</v>
      </c>
      <c r="I5885" s="47">
        <v>1602</v>
      </c>
      <c r="J5885" s="51">
        <v>25</v>
      </c>
      <c r="K5885" s="51">
        <v>25144</v>
      </c>
      <c r="L5885" s="3" t="str">
        <f t="shared" si="189"/>
        <v>ΣΠΟΡΟΠΑΡΑΓΩΓΗ</v>
      </c>
    </row>
    <row r="5886" spans="1:12" x14ac:dyDescent="0.25">
      <c r="A5886" s="1" t="str">
        <f t="shared" si="188"/>
        <v>ΣΠΟΡΟΠΑΡΑΓΩΓΗΤΡΙΦΥΛΛΙ BALANSA ΣΠΟΡΟΠΑΡΑΓΩΓΗΣ</v>
      </c>
      <c r="B5886" s="49" t="s">
        <v>10973</v>
      </c>
      <c r="C5886" s="50" t="s">
        <v>11270</v>
      </c>
      <c r="D5886" s="6">
        <v>4227</v>
      </c>
      <c r="E5886" s="6">
        <v>4128</v>
      </c>
      <c r="F5886" s="46" t="s">
        <v>14</v>
      </c>
      <c r="G5886" s="46" t="s">
        <v>11271</v>
      </c>
      <c r="H5886" s="46" t="s">
        <v>27</v>
      </c>
      <c r="I5886" s="9">
        <v>1603</v>
      </c>
      <c r="J5886" s="51">
        <v>25</v>
      </c>
      <c r="K5886" s="51">
        <v>25145</v>
      </c>
      <c r="L5886" s="3" t="str">
        <f t="shared" si="189"/>
        <v>ΣΠΟΡΟΠΑΡΑΓΩΓΗ</v>
      </c>
    </row>
    <row r="5887" spans="1:12" x14ac:dyDescent="0.25">
      <c r="A5887" s="1" t="str">
        <f t="shared" si="188"/>
        <v>ΣΠΟΡΟΠΑΡΑΓΩΓΗΤΡΙΦΥΛΛΙ SQUARROSE ΣΠΟΡΟΠΑΡΑΓΩΓΗΣ</v>
      </c>
      <c r="B5887" s="49" t="s">
        <v>10973</v>
      </c>
      <c r="C5887" s="50" t="s">
        <v>11272</v>
      </c>
      <c r="D5887" s="6">
        <v>4227</v>
      </c>
      <c r="E5887" s="6">
        <v>4128</v>
      </c>
      <c r="F5887" s="46" t="s">
        <v>14</v>
      </c>
      <c r="G5887" s="46" t="s">
        <v>11273</v>
      </c>
      <c r="H5887" s="46" t="s">
        <v>27</v>
      </c>
      <c r="I5887" s="47">
        <v>1604</v>
      </c>
      <c r="J5887" s="51">
        <v>25</v>
      </c>
      <c r="K5887" s="51">
        <v>25146</v>
      </c>
      <c r="L5887" s="3" t="str">
        <f t="shared" si="189"/>
        <v>ΣΠΟΡΟΠΑΡΑΓΩΓΗ</v>
      </c>
    </row>
    <row r="5888" spans="1:12" x14ac:dyDescent="0.25">
      <c r="A5888" s="1" t="str">
        <f t="shared" si="188"/>
        <v>ΣΠΟΡΟΠΑΡΑΓΩΓΗΤΡΙΦΥΛΛΙ ΤΟ ΚΥΣΤΩΔΕΣ ΣΠΟΡΟΠΑΡΑΓΩΓΗΣ</v>
      </c>
      <c r="B5888" s="49" t="s">
        <v>10973</v>
      </c>
      <c r="C5888" s="50" t="s">
        <v>11274</v>
      </c>
      <c r="D5888" s="6">
        <v>4227</v>
      </c>
      <c r="E5888" s="6">
        <v>4128</v>
      </c>
      <c r="F5888" s="46" t="s">
        <v>14</v>
      </c>
      <c r="G5888" s="46" t="s">
        <v>11275</v>
      </c>
      <c r="H5888" s="46" t="s">
        <v>27</v>
      </c>
      <c r="I5888" s="9">
        <v>1605</v>
      </c>
      <c r="J5888" s="51">
        <v>25</v>
      </c>
      <c r="K5888" s="51">
        <v>25147</v>
      </c>
      <c r="L5888" s="3" t="str">
        <f t="shared" si="189"/>
        <v>ΣΠΟΡΟΠΑΡΑΓΩΓΗ</v>
      </c>
    </row>
    <row r="5889" spans="1:12" x14ac:dyDescent="0.25">
      <c r="A5889" s="1" t="str">
        <f t="shared" si="188"/>
        <v>ΣΠΟΡΟΠΑΡΑΓΩΓΗΒΙΚΟΣ Ο ΙΩΔΗΣ ΣΠΟΡΟΠΑΡΑΓΩΓΗΣ</v>
      </c>
      <c r="B5889" s="49" t="s">
        <v>10973</v>
      </c>
      <c r="C5889" s="50" t="s">
        <v>11276</v>
      </c>
      <c r="D5889" s="6">
        <v>1515.84</v>
      </c>
      <c r="E5889" s="6">
        <v>3106.63</v>
      </c>
      <c r="F5889" s="46" t="s">
        <v>14</v>
      </c>
      <c r="G5889" s="46" t="s">
        <v>11277</v>
      </c>
      <c r="H5889" s="46" t="s">
        <v>27</v>
      </c>
      <c r="I5889" s="47">
        <v>1606</v>
      </c>
      <c r="J5889" s="51">
        <v>25</v>
      </c>
      <c r="K5889" s="51">
        <v>25148</v>
      </c>
      <c r="L5889" s="3" t="str">
        <f t="shared" si="189"/>
        <v>ΣΠΟΡΟΠΑΡΑΓΩΓΗ</v>
      </c>
    </row>
    <row r="5890" spans="1:12" ht="31.5" x14ac:dyDescent="0.25">
      <c r="A5890" s="1" t="str">
        <f t="shared" si="188"/>
        <v>ΣΠΟΡΟΠΑΡΑΓΩΓΗΚΤΗΝΟΤΡΟΦΙΚΟ ΜΠΙΖΕΛΙ ΣΠΟΡΟΠΑΡΑΓΩΓΗΣ LIVIOLETTA</v>
      </c>
      <c r="B5890" s="49" t="s">
        <v>10973</v>
      </c>
      <c r="C5890" s="50" t="s">
        <v>11278</v>
      </c>
      <c r="D5890" s="6">
        <v>1568.73</v>
      </c>
      <c r="E5890" s="6">
        <v>1689.55</v>
      </c>
      <c r="F5890" s="46" t="s">
        <v>14</v>
      </c>
      <c r="G5890" s="46" t="s">
        <v>11279</v>
      </c>
      <c r="H5890" s="46" t="s">
        <v>27</v>
      </c>
      <c r="I5890" s="9">
        <v>1607</v>
      </c>
      <c r="J5890" s="51">
        <v>25</v>
      </c>
      <c r="K5890" s="51">
        <v>25149</v>
      </c>
      <c r="L5890" s="3" t="str">
        <f t="shared" si="189"/>
        <v>ΣΠΟΡΟΠΑΡΑΓΩΓΗ</v>
      </c>
    </row>
    <row r="5891" spans="1:12" ht="31.5" x14ac:dyDescent="0.25">
      <c r="A5891" s="1" t="str">
        <f t="shared" ref="A5891:A5954" si="190">_xlfn.CONCAT(B5891,C5891)</f>
        <v>ΣΠΟΡΟΠΑΡΑΓΩΓΗΦΑΣΟΛΙ BARBOUNI ANARICHOMENO ΣΠΟΡΟΠΑΡΑΓΩΓΗΣ</v>
      </c>
      <c r="B5891" s="49" t="s">
        <v>10973</v>
      </c>
      <c r="C5891" s="50" t="s">
        <v>11280</v>
      </c>
      <c r="D5891" s="6">
        <v>1515.84</v>
      </c>
      <c r="E5891" s="6">
        <v>3106.63</v>
      </c>
      <c r="F5891" s="46" t="s">
        <v>14</v>
      </c>
      <c r="G5891" s="46" t="s">
        <v>11281</v>
      </c>
      <c r="H5891" s="46" t="s">
        <v>27</v>
      </c>
      <c r="I5891" s="47">
        <v>1633</v>
      </c>
      <c r="J5891" s="51">
        <v>25</v>
      </c>
      <c r="K5891" s="51">
        <v>25150</v>
      </c>
      <c r="L5891" s="3" t="str">
        <f t="shared" ref="L5891:L5954" si="191">IFERROR(SUBSTITUTE(SUBSTITUTE(SUBSTITUTE(SUBSTITUTE(SUBSTITUTE(B5891, "-", "_"), " ", "_"), ",", ""), "(", ""), ")", ""), B5891)</f>
        <v>ΣΠΟΡΟΠΑΡΑΓΩΓΗ</v>
      </c>
    </row>
    <row r="5892" spans="1:12" x14ac:dyDescent="0.25">
      <c r="A5892" s="1" t="str">
        <f t="shared" si="190"/>
        <v>ΣΠΟΡΟΠΑΡΑΓΩΓΗΚΤΗΝΟΤΡΟΦΙΚΟ ΜΠΙΖΕΛΙ ΣΠΟΡΟΠΑΡΑΓΩΓΗΣ LISA</v>
      </c>
      <c r="B5892" s="49" t="s">
        <v>10973</v>
      </c>
      <c r="C5892" s="50" t="s">
        <v>11282</v>
      </c>
      <c r="D5892" s="6">
        <v>1568.73</v>
      </c>
      <c r="E5892" s="6">
        <v>1689.55</v>
      </c>
      <c r="F5892" s="46" t="s">
        <v>14</v>
      </c>
      <c r="G5892" s="46" t="s">
        <v>11283</v>
      </c>
      <c r="H5892" s="46" t="s">
        <v>27</v>
      </c>
      <c r="I5892" s="9">
        <v>1685</v>
      </c>
      <c r="J5892" s="51">
        <v>25</v>
      </c>
      <c r="K5892" s="51">
        <v>25151</v>
      </c>
      <c r="L5892" s="3" t="str">
        <f t="shared" si="191"/>
        <v>ΣΠΟΡΟΠΑΡΑΓΩΓΗ</v>
      </c>
    </row>
    <row r="5893" spans="1:12" ht="31.5" x14ac:dyDescent="0.25">
      <c r="A5893" s="1" t="str">
        <f t="shared" si="190"/>
        <v>ΣΠΟΡΟΠΑΡΑΓΩΓΗΚΤΗΝΟΤΡΟΦΙΚΟ ΜΠΙΖΕΛΙ ΣΠΟΡΟΠΑΡΑΓΩΓΗΣ ASCENSION</v>
      </c>
      <c r="B5893" s="49" t="s">
        <v>10973</v>
      </c>
      <c r="C5893" s="50" t="s">
        <v>11284</v>
      </c>
      <c r="D5893" s="6">
        <v>1568.73</v>
      </c>
      <c r="E5893" s="6">
        <v>1689.55</v>
      </c>
      <c r="F5893" s="46" t="s">
        <v>14</v>
      </c>
      <c r="G5893" s="46" t="s">
        <v>11285</v>
      </c>
      <c r="H5893" s="46" t="s">
        <v>27</v>
      </c>
      <c r="I5893" s="47">
        <v>1670</v>
      </c>
      <c r="J5893" s="51">
        <v>25</v>
      </c>
      <c r="K5893" s="51">
        <v>25152</v>
      </c>
      <c r="L5893" s="3" t="str">
        <f t="shared" si="191"/>
        <v>ΣΠΟΡΟΠΑΡΑΓΩΓΗ</v>
      </c>
    </row>
    <row r="5894" spans="1:12" ht="31.5" x14ac:dyDescent="0.25">
      <c r="A5894" s="1" t="str">
        <f t="shared" si="190"/>
        <v>ΣΠΟΡΟΠΑΡΑΓΩΓΗΚΤΗΝΟΤΡΟΦΙΚΟ ΜΠΙΖΕΛΙ ΣΠΟΡΟΠΑΡΑΓΩΓΗΣ AVIRON</v>
      </c>
      <c r="B5894" s="49" t="s">
        <v>10973</v>
      </c>
      <c r="C5894" s="50" t="s">
        <v>11286</v>
      </c>
      <c r="D5894" s="6">
        <v>1568.73</v>
      </c>
      <c r="E5894" s="6">
        <v>1689.55</v>
      </c>
      <c r="F5894" s="46" t="s">
        <v>14</v>
      </c>
      <c r="G5894" s="46" t="s">
        <v>11287</v>
      </c>
      <c r="H5894" s="46" t="s">
        <v>27</v>
      </c>
      <c r="I5894" s="9">
        <v>1671</v>
      </c>
      <c r="J5894" s="51">
        <v>25</v>
      </c>
      <c r="K5894" s="51">
        <v>25153</v>
      </c>
      <c r="L5894" s="3" t="str">
        <f t="shared" si="191"/>
        <v>ΣΠΟΡΟΠΑΡΑΓΩΓΗ</v>
      </c>
    </row>
    <row r="5895" spans="1:12" x14ac:dyDescent="0.25">
      <c r="A5895" s="1" t="str">
        <f t="shared" si="190"/>
        <v>ΣΠΟΡΟΠΑΡΑΓΩΓΗΒΙΚΟΣ ΣΠΟΡΟΠΑΡΑΓΩΓΗΣ SFINGE</v>
      </c>
      <c r="B5895" s="49" t="s">
        <v>10973</v>
      </c>
      <c r="C5895" s="50" t="s">
        <v>11102</v>
      </c>
      <c r="D5895" s="6">
        <v>1515.84</v>
      </c>
      <c r="E5895" s="6">
        <v>3106.63</v>
      </c>
      <c r="F5895" s="46" t="s">
        <v>14</v>
      </c>
      <c r="G5895" s="46" t="s">
        <v>11288</v>
      </c>
      <c r="H5895" s="46" t="s">
        <v>27</v>
      </c>
      <c r="I5895" s="47">
        <v>1672</v>
      </c>
      <c r="J5895" s="51">
        <v>25</v>
      </c>
      <c r="K5895" s="51">
        <v>25154</v>
      </c>
      <c r="L5895" s="3" t="str">
        <f t="shared" si="191"/>
        <v>ΣΠΟΡΟΠΑΡΑΓΩΓΗ</v>
      </c>
    </row>
    <row r="5896" spans="1:12" x14ac:dyDescent="0.25">
      <c r="A5896" s="1" t="str">
        <f t="shared" si="190"/>
        <v>ΣΠΟΡΟΠΑΡΑΓΩΓΗΜΗΔΙΚΗ ΣΠΟΡΟΠΑΡΑΓΩΓΗΣ JULIA</v>
      </c>
      <c r="B5896" s="49" t="s">
        <v>10973</v>
      </c>
      <c r="C5896" s="50" t="s">
        <v>11289</v>
      </c>
      <c r="D5896" s="6">
        <v>4227</v>
      </c>
      <c r="E5896" s="6">
        <v>4128</v>
      </c>
      <c r="F5896" s="46" t="s">
        <v>14</v>
      </c>
      <c r="G5896" s="46" t="s">
        <v>11290</v>
      </c>
      <c r="H5896" s="46" t="s">
        <v>27</v>
      </c>
      <c r="I5896" s="9">
        <v>1652</v>
      </c>
      <c r="J5896" s="51">
        <v>25</v>
      </c>
      <c r="K5896" s="51">
        <v>25155</v>
      </c>
      <c r="L5896" s="3" t="str">
        <f t="shared" si="191"/>
        <v>ΣΠΟΡΟΠΑΡΑΓΩΓΗ</v>
      </c>
    </row>
    <row r="5897" spans="1:12" x14ac:dyDescent="0.25">
      <c r="A5897" s="1" t="str">
        <f t="shared" si="190"/>
        <v>ΣΠΟΡΟΠΑΡΑΓΩΓΗΜΗΔΙΚΗ ΣΠΟΡΟΠΑΡΑΓΩΓΗΣ EZZELINA</v>
      </c>
      <c r="B5897" s="49" t="s">
        <v>10973</v>
      </c>
      <c r="C5897" s="50" t="s">
        <v>11291</v>
      </c>
      <c r="D5897" s="6">
        <v>4227</v>
      </c>
      <c r="E5897" s="6">
        <v>4128</v>
      </c>
      <c r="F5897" s="46" t="s">
        <v>14</v>
      </c>
      <c r="G5897" s="46" t="s">
        <v>11292</v>
      </c>
      <c r="H5897" s="46" t="s">
        <v>27</v>
      </c>
      <c r="I5897" s="47">
        <v>1674</v>
      </c>
      <c r="J5897" s="51">
        <v>25</v>
      </c>
      <c r="K5897" s="51">
        <v>25156</v>
      </c>
      <c r="L5897" s="3" t="str">
        <f t="shared" si="191"/>
        <v>ΣΠΟΡΟΠΑΡΑΓΩΓΗ</v>
      </c>
    </row>
    <row r="5898" spans="1:12" x14ac:dyDescent="0.25">
      <c r="A5898" s="1" t="str">
        <f t="shared" si="190"/>
        <v>ΣΠΟΡΟΠΑΡΑΓΩΓΗΜΗΔΙΚΗ ΣΠΟΡΟΠΑΡΑΓΩΓΗΣ BLUE ACE</v>
      </c>
      <c r="B5898" s="43" t="s">
        <v>10973</v>
      </c>
      <c r="C5898" s="44" t="s">
        <v>11112</v>
      </c>
      <c r="D5898" s="6">
        <v>4227</v>
      </c>
      <c r="E5898" s="6">
        <v>4128</v>
      </c>
      <c r="F5898" s="45" t="s">
        <v>14</v>
      </c>
      <c r="G5898" s="46" t="s">
        <v>11293</v>
      </c>
      <c r="H5898" s="46" t="s">
        <v>27</v>
      </c>
      <c r="I5898" s="9">
        <v>4641</v>
      </c>
      <c r="J5898" s="48">
        <v>25</v>
      </c>
      <c r="K5898" s="48">
        <v>25157</v>
      </c>
      <c r="L5898" s="3" t="str">
        <f t="shared" si="191"/>
        <v>ΣΠΟΡΟΠΑΡΑΓΩΓΗ</v>
      </c>
    </row>
    <row r="5899" spans="1:12" x14ac:dyDescent="0.25">
      <c r="A5899" s="1" t="str">
        <f t="shared" si="190"/>
        <v>ΣΠΟΡΟΠΑΡΑΓΩΓΗΜΗΔΙΚΗ ΣΠΟΡΟΠΑΡΑΓΩΓΗΣ VICTORIA</v>
      </c>
      <c r="B5899" s="49" t="s">
        <v>10973</v>
      </c>
      <c r="C5899" s="50" t="s">
        <v>11294</v>
      </c>
      <c r="D5899" s="6">
        <v>4227</v>
      </c>
      <c r="E5899" s="6">
        <v>4128</v>
      </c>
      <c r="F5899" s="46" t="s">
        <v>14</v>
      </c>
      <c r="G5899" s="46" t="s">
        <v>11295</v>
      </c>
      <c r="H5899" s="46" t="s">
        <v>27</v>
      </c>
      <c r="I5899" s="47">
        <v>1631</v>
      </c>
      <c r="J5899" s="51">
        <v>25</v>
      </c>
      <c r="K5899" s="51">
        <v>25158</v>
      </c>
      <c r="L5899" s="3" t="str">
        <f t="shared" si="191"/>
        <v>ΣΠΟΡΟΠΑΡΑΓΩΓΗ</v>
      </c>
    </row>
    <row r="5900" spans="1:12" x14ac:dyDescent="0.25">
      <c r="A5900" s="1" t="str">
        <f t="shared" si="190"/>
        <v>ΣΠΟΡΟΠΑΡΑΓΩΓΗΚΤΗΝΟΤΡΟΦΙΚΟ ΚΟΥΚΙ ΣΠΟΡΟΠΑΡΑΓΩΓΗΣ ALBUS</v>
      </c>
      <c r="B5900" s="49" t="s">
        <v>10973</v>
      </c>
      <c r="C5900" s="50" t="s">
        <v>11296</v>
      </c>
      <c r="D5900" s="6">
        <v>1568.73</v>
      </c>
      <c r="E5900" s="6">
        <v>1689.55</v>
      </c>
      <c r="F5900" s="46" t="s">
        <v>14</v>
      </c>
      <c r="G5900" s="46" t="s">
        <v>11297</v>
      </c>
      <c r="H5900" s="46" t="s">
        <v>27</v>
      </c>
      <c r="I5900" s="9">
        <v>1676</v>
      </c>
      <c r="J5900" s="51">
        <v>25</v>
      </c>
      <c r="K5900" s="51">
        <v>25159</v>
      </c>
      <c r="L5900" s="3" t="str">
        <f t="shared" si="191"/>
        <v>ΣΠΟΡΟΠΑΡΑΓΩΓΗ</v>
      </c>
    </row>
    <row r="5901" spans="1:12" x14ac:dyDescent="0.25">
      <c r="A5901" s="1" t="str">
        <f t="shared" si="190"/>
        <v>ΣΠΟΡΟΠΑΡΑΓΩΓΗΚΤΗΝΟΤΡΟΦΙΚΟ ΚΟΥΚΙ ΣΠΟΡΟΠΑΡΑΓΩΓΗΣ MERKUR</v>
      </c>
      <c r="B5901" s="49" t="s">
        <v>10973</v>
      </c>
      <c r="C5901" s="50" t="s">
        <v>11298</v>
      </c>
      <c r="D5901" s="6">
        <v>1568.73</v>
      </c>
      <c r="E5901" s="6">
        <v>1689.55</v>
      </c>
      <c r="F5901" s="46" t="s">
        <v>14</v>
      </c>
      <c r="G5901" s="46" t="s">
        <v>11299</v>
      </c>
      <c r="H5901" s="46" t="s">
        <v>27</v>
      </c>
      <c r="I5901" s="47">
        <v>1677</v>
      </c>
      <c r="J5901" s="51">
        <v>25</v>
      </c>
      <c r="K5901" s="51">
        <v>25160</v>
      </c>
      <c r="L5901" s="3" t="str">
        <f t="shared" si="191"/>
        <v>ΣΠΟΡΟΠΑΡΑΓΩΓΗ</v>
      </c>
    </row>
    <row r="5902" spans="1:12" x14ac:dyDescent="0.25">
      <c r="A5902" s="1" t="str">
        <f t="shared" si="190"/>
        <v>ΣΠΟΡΟΠΑΡΑΓΩΓΗΜΗΔΙΚΗ ΣΠΟΡΟΠΑΡΑΓΩΓΗΣ CANE</v>
      </c>
      <c r="B5902" s="49" t="s">
        <v>10973</v>
      </c>
      <c r="C5902" s="50" t="s">
        <v>11300</v>
      </c>
      <c r="D5902" s="6">
        <v>4227</v>
      </c>
      <c r="E5902" s="6">
        <v>4128</v>
      </c>
      <c r="F5902" s="46" t="s">
        <v>14</v>
      </c>
      <c r="G5902" s="46" t="s">
        <v>11301</v>
      </c>
      <c r="H5902" s="46" t="s">
        <v>27</v>
      </c>
      <c r="I5902" s="9">
        <v>1678</v>
      </c>
      <c r="J5902" s="51">
        <v>25</v>
      </c>
      <c r="K5902" s="51">
        <v>25161</v>
      </c>
      <c r="L5902" s="3" t="str">
        <f t="shared" si="191"/>
        <v>ΣΠΟΡΟΠΑΡΑΓΩΓΗ</v>
      </c>
    </row>
    <row r="5903" spans="1:12" x14ac:dyDescent="0.25">
      <c r="A5903" s="1" t="str">
        <f t="shared" si="190"/>
        <v>ΣΠΟΡΟΠΑΡΑΓΩΓΗΜΗΔΙΚΗ ΣΠΟΡΟΠΑΡΑΓΩΓΗΣ GEA</v>
      </c>
      <c r="B5903" s="49" t="s">
        <v>10973</v>
      </c>
      <c r="C5903" s="50" t="s">
        <v>11084</v>
      </c>
      <c r="D5903" s="6">
        <v>4227</v>
      </c>
      <c r="E5903" s="6">
        <v>4128</v>
      </c>
      <c r="F5903" s="46" t="s">
        <v>14</v>
      </c>
      <c r="G5903" s="46" t="s">
        <v>11302</v>
      </c>
      <c r="H5903" s="46" t="s">
        <v>27</v>
      </c>
      <c r="I5903" s="47">
        <v>1679</v>
      </c>
      <c r="J5903" s="51">
        <v>25</v>
      </c>
      <c r="K5903" s="51">
        <v>25162</v>
      </c>
      <c r="L5903" s="3" t="str">
        <f t="shared" si="191"/>
        <v>ΣΠΟΡΟΠΑΡΑΓΩΓΗ</v>
      </c>
    </row>
    <row r="5904" spans="1:12" x14ac:dyDescent="0.25">
      <c r="A5904" s="1" t="str">
        <f t="shared" si="190"/>
        <v>ΣΠΟΡΟΠΑΡΑΓΩΓΗΜΗΔΙΚΗ ΣΠΟΡΟΠΑΡΑΓΩΓΗΣ PROSEMENTI BOLOGNA</v>
      </c>
      <c r="B5904" s="49" t="s">
        <v>10973</v>
      </c>
      <c r="C5904" s="50" t="s">
        <v>11303</v>
      </c>
      <c r="D5904" s="6">
        <v>4227</v>
      </c>
      <c r="E5904" s="6">
        <v>4128</v>
      </c>
      <c r="F5904" s="46" t="s">
        <v>14</v>
      </c>
      <c r="G5904" s="46" t="s">
        <v>11304</v>
      </c>
      <c r="H5904" s="46" t="s">
        <v>27</v>
      </c>
      <c r="I5904" s="9">
        <v>1680</v>
      </c>
      <c r="J5904" s="51">
        <v>25</v>
      </c>
      <c r="K5904" s="51">
        <v>25163</v>
      </c>
      <c r="L5904" s="3" t="str">
        <f t="shared" si="191"/>
        <v>ΣΠΟΡΟΠΑΡΑΓΩΓΗ</v>
      </c>
    </row>
    <row r="5905" spans="1:12" x14ac:dyDescent="0.25">
      <c r="A5905" s="1" t="str">
        <f t="shared" si="190"/>
        <v>ΣΠΟΡΟΠΑΡΑΓΩΓΗΜΗΔΙΚΗ ΣΠΟΡΟΠΑΡΑΓΩΓΗΣ CLAUDIA</v>
      </c>
      <c r="B5905" s="49" t="s">
        <v>10973</v>
      </c>
      <c r="C5905" s="50" t="s">
        <v>11305</v>
      </c>
      <c r="D5905" s="6">
        <v>4227</v>
      </c>
      <c r="E5905" s="6">
        <v>4128</v>
      </c>
      <c r="F5905" s="46" t="s">
        <v>14</v>
      </c>
      <c r="G5905" s="46" t="s">
        <v>11306</v>
      </c>
      <c r="H5905" s="46" t="s">
        <v>27</v>
      </c>
      <c r="I5905" s="47">
        <v>1681</v>
      </c>
      <c r="J5905" s="51">
        <v>25</v>
      </c>
      <c r="K5905" s="51">
        <v>25164</v>
      </c>
      <c r="L5905" s="3" t="str">
        <f t="shared" si="191"/>
        <v>ΣΠΟΡΟΠΑΡΑΓΩΓΗ</v>
      </c>
    </row>
    <row r="5906" spans="1:12" x14ac:dyDescent="0.25">
      <c r="A5906" s="1" t="str">
        <f t="shared" si="190"/>
        <v>ΣΠΟΡΟΠΑΡΑΓΩΓΗΖΑΧΑΡΟΤΕΥΤΛΑ ΣΠΟΡΟΠΑΡΑΓΩΓΗΣ CRETA</v>
      </c>
      <c r="B5906" s="49" t="s">
        <v>10973</v>
      </c>
      <c r="C5906" s="50" t="s">
        <v>11307</v>
      </c>
      <c r="D5906" s="6">
        <v>4227</v>
      </c>
      <c r="E5906" s="6">
        <v>4128</v>
      </c>
      <c r="F5906" s="46" t="s">
        <v>14</v>
      </c>
      <c r="G5906" s="46" t="s">
        <v>11308</v>
      </c>
      <c r="H5906" s="46" t="s">
        <v>27</v>
      </c>
      <c r="I5906" s="9">
        <v>1682</v>
      </c>
      <c r="J5906" s="51">
        <v>25</v>
      </c>
      <c r="K5906" s="51">
        <v>25165</v>
      </c>
      <c r="L5906" s="3" t="str">
        <f t="shared" si="191"/>
        <v>ΣΠΟΡΟΠΑΡΑΓΩΓΗ</v>
      </c>
    </row>
    <row r="5907" spans="1:12" x14ac:dyDescent="0.25">
      <c r="A5907" s="1" t="str">
        <f t="shared" si="190"/>
        <v>ΣΠΟΡΟΠΑΡΑΓΩΓΗΖΑΧΑΡΟΤΕΥΤΛΑ ΣΠΟΡΟΠΑΡΑΓΩΓΗΣ MERAK</v>
      </c>
      <c r="B5907" s="49" t="s">
        <v>10973</v>
      </c>
      <c r="C5907" s="50" t="s">
        <v>11309</v>
      </c>
      <c r="D5907" s="6">
        <v>4227</v>
      </c>
      <c r="E5907" s="6">
        <v>4128</v>
      </c>
      <c r="F5907" s="46" t="s">
        <v>14</v>
      </c>
      <c r="G5907" s="46" t="s">
        <v>11310</v>
      </c>
      <c r="H5907" s="46" t="s">
        <v>27</v>
      </c>
      <c r="I5907" s="47">
        <v>1690</v>
      </c>
      <c r="J5907" s="51">
        <v>25</v>
      </c>
      <c r="K5907" s="51">
        <v>25166</v>
      </c>
      <c r="L5907" s="3" t="str">
        <f t="shared" si="191"/>
        <v>ΣΠΟΡΟΠΑΡΑΓΩΓΗ</v>
      </c>
    </row>
    <row r="5908" spans="1:12" x14ac:dyDescent="0.25">
      <c r="A5908" s="1" t="str">
        <f t="shared" si="190"/>
        <v>ΣΠΟΡΟΠΑΡΑΓΩΓΗΖΑΧΑΡΟΤΕΥΤΛΑ ΣΠΟΡΟΠΑΡΑΓΩΓΗΣ KEVIN</v>
      </c>
      <c r="B5908" s="49" t="s">
        <v>10973</v>
      </c>
      <c r="C5908" s="50" t="s">
        <v>11311</v>
      </c>
      <c r="D5908" s="6">
        <v>4227</v>
      </c>
      <c r="E5908" s="6">
        <v>4128</v>
      </c>
      <c r="F5908" s="46" t="s">
        <v>14</v>
      </c>
      <c r="G5908" s="46" t="s">
        <v>11312</v>
      </c>
      <c r="H5908" s="46" t="s">
        <v>27</v>
      </c>
      <c r="I5908" s="9">
        <v>1692</v>
      </c>
      <c r="J5908" s="51">
        <v>25</v>
      </c>
      <c r="K5908" s="51">
        <v>25167</v>
      </c>
      <c r="L5908" s="3" t="str">
        <f t="shared" si="191"/>
        <v>ΣΠΟΡΟΠΑΡΑΓΩΓΗ</v>
      </c>
    </row>
    <row r="5909" spans="1:12" x14ac:dyDescent="0.25">
      <c r="A5909" s="1" t="str">
        <f t="shared" si="190"/>
        <v>ΣΠΟΡΟΠΑΡΑΓΩΓΗΖΑΧΑΡΟΤΕΥΤΛΑ ΣΠΟΡΟΠΑΡΑΓΩΓΗΣ TAIFUN</v>
      </c>
      <c r="B5909" s="49" t="s">
        <v>10973</v>
      </c>
      <c r="C5909" s="50" t="s">
        <v>11313</v>
      </c>
      <c r="D5909" s="6">
        <v>4227</v>
      </c>
      <c r="E5909" s="6">
        <v>4128</v>
      </c>
      <c r="F5909" s="46" t="s">
        <v>14</v>
      </c>
      <c r="G5909" s="46" t="s">
        <v>11314</v>
      </c>
      <c r="H5909" s="46" t="s">
        <v>27</v>
      </c>
      <c r="I5909" s="47">
        <v>1669</v>
      </c>
      <c r="J5909" s="51">
        <v>25</v>
      </c>
      <c r="K5909" s="51">
        <v>25168</v>
      </c>
      <c r="L5909" s="3" t="str">
        <f t="shared" si="191"/>
        <v>ΣΠΟΡΟΠΑΡΑΓΩΓΗ</v>
      </c>
    </row>
    <row r="5910" spans="1:12" x14ac:dyDescent="0.25">
      <c r="A5910" s="1" t="str">
        <f t="shared" si="190"/>
        <v>ΣΠΟΡΟΠΑΡΑΓΩΓΗΖΑΧΑΡΟΤΕΥΤΛΑ ΣΠΟΡΟΠΑΡΑΓΩΓΗΣ KONRAD</v>
      </c>
      <c r="B5910" s="49" t="s">
        <v>10973</v>
      </c>
      <c r="C5910" s="50" t="s">
        <v>11315</v>
      </c>
      <c r="D5910" s="6">
        <v>4227</v>
      </c>
      <c r="E5910" s="6">
        <v>4128</v>
      </c>
      <c r="F5910" s="46" t="s">
        <v>14</v>
      </c>
      <c r="G5910" s="46" t="s">
        <v>11316</v>
      </c>
      <c r="H5910" s="46" t="s">
        <v>27</v>
      </c>
      <c r="I5910" s="9">
        <v>1697</v>
      </c>
      <c r="J5910" s="51">
        <v>25</v>
      </c>
      <c r="K5910" s="51">
        <v>25169</v>
      </c>
      <c r="L5910" s="3" t="str">
        <f t="shared" si="191"/>
        <v>ΣΠΟΡΟΠΑΡΑΓΩΓΗ</v>
      </c>
    </row>
    <row r="5911" spans="1:12" x14ac:dyDescent="0.25">
      <c r="A5911" s="1" t="str">
        <f t="shared" si="190"/>
        <v>ΣΠΟΡΟΠΑΡΑΓΩΓΗΖΑΧΑΡΟΤΕΥΤΛΑ ΣΠΟΡΟΠΑΡΑΓΩΓΗΣ FRED</v>
      </c>
      <c r="B5911" s="49" t="s">
        <v>10973</v>
      </c>
      <c r="C5911" s="50" t="s">
        <v>11317</v>
      </c>
      <c r="D5911" s="6">
        <v>4227</v>
      </c>
      <c r="E5911" s="6">
        <v>4128</v>
      </c>
      <c r="F5911" s="46" t="s">
        <v>14</v>
      </c>
      <c r="G5911" s="46" t="s">
        <v>11318</v>
      </c>
      <c r="H5911" s="46" t="s">
        <v>27</v>
      </c>
      <c r="I5911" s="47">
        <v>1696</v>
      </c>
      <c r="J5911" s="51">
        <v>25</v>
      </c>
      <c r="K5911" s="51">
        <v>25170</v>
      </c>
      <c r="L5911" s="3" t="str">
        <f t="shared" si="191"/>
        <v>ΣΠΟΡΟΠΑΡΑΓΩΓΗ</v>
      </c>
    </row>
    <row r="5912" spans="1:12" x14ac:dyDescent="0.25">
      <c r="A5912" s="1" t="str">
        <f t="shared" si="190"/>
        <v>ΣΠΟΡΟΠΑΡΑΓΩΓΗΖΑΧΑΡΟΤΕΥΤΛΑ ΣΠΟΡΟΠΑΡΑΓΩΓΗΣ NAGANO</v>
      </c>
      <c r="B5912" s="49" t="s">
        <v>10973</v>
      </c>
      <c r="C5912" s="50" t="s">
        <v>11319</v>
      </c>
      <c r="D5912" s="6">
        <v>4227</v>
      </c>
      <c r="E5912" s="6">
        <v>4128</v>
      </c>
      <c r="F5912" s="46" t="s">
        <v>14</v>
      </c>
      <c r="G5912" s="46" t="s">
        <v>11320</v>
      </c>
      <c r="H5912" s="46" t="s">
        <v>27</v>
      </c>
      <c r="I5912" s="9">
        <v>1695</v>
      </c>
      <c r="J5912" s="51">
        <v>25</v>
      </c>
      <c r="K5912" s="51">
        <v>25171</v>
      </c>
      <c r="L5912" s="3" t="str">
        <f t="shared" si="191"/>
        <v>ΣΠΟΡΟΠΑΡΑΓΩΓΗ</v>
      </c>
    </row>
    <row r="5913" spans="1:12" x14ac:dyDescent="0.25">
      <c r="A5913" s="1" t="str">
        <f t="shared" si="190"/>
        <v>ΣΠΟΡΟΠΑΡΑΓΩΓΗΖΑΧΑΡΟΤΕΥΤΛΑ ΣΠΟΡΟΠΑΡΑΓΩΓΗΣ PALMA</v>
      </c>
      <c r="B5913" s="49" t="s">
        <v>10973</v>
      </c>
      <c r="C5913" s="50" t="s">
        <v>11321</v>
      </c>
      <c r="D5913" s="6">
        <v>4227</v>
      </c>
      <c r="E5913" s="6">
        <v>4128</v>
      </c>
      <c r="F5913" s="46" t="s">
        <v>14</v>
      </c>
      <c r="G5913" s="46" t="s">
        <v>11322</v>
      </c>
      <c r="H5913" s="46" t="s">
        <v>27</v>
      </c>
      <c r="I5913" s="47">
        <v>1694</v>
      </c>
      <c r="J5913" s="51">
        <v>25</v>
      </c>
      <c r="K5913" s="51">
        <v>25172</v>
      </c>
      <c r="L5913" s="3" t="str">
        <f t="shared" si="191"/>
        <v>ΣΠΟΡΟΠΑΡΑΓΩΓΗ</v>
      </c>
    </row>
    <row r="5914" spans="1:12" x14ac:dyDescent="0.25">
      <c r="A5914" s="1" t="str">
        <f t="shared" si="190"/>
        <v>ΣΠΟΡΟΠΑΡΑΓΩΓΗΖΑΧΑΡΟΤΕΥΤΛΑ ΣΠΟΡΟΠΑΡΑΓΩΓΗΣ CONTINENTAL</v>
      </c>
      <c r="B5914" s="49" t="s">
        <v>10973</v>
      </c>
      <c r="C5914" s="50" t="s">
        <v>11323</v>
      </c>
      <c r="D5914" s="6">
        <v>4227</v>
      </c>
      <c r="E5914" s="6">
        <v>4128</v>
      </c>
      <c r="F5914" s="46" t="s">
        <v>14</v>
      </c>
      <c r="G5914" s="46" t="s">
        <v>11324</v>
      </c>
      <c r="H5914" s="46" t="s">
        <v>27</v>
      </c>
      <c r="I5914" s="9">
        <v>1693</v>
      </c>
      <c r="J5914" s="51">
        <v>25</v>
      </c>
      <c r="K5914" s="51">
        <v>25173</v>
      </c>
      <c r="L5914" s="3" t="str">
        <f t="shared" si="191"/>
        <v>ΣΠΟΡΟΠΑΡΑΓΩΓΗ</v>
      </c>
    </row>
    <row r="5915" spans="1:12" x14ac:dyDescent="0.25">
      <c r="A5915" s="1" t="str">
        <f t="shared" si="190"/>
        <v>ΣΠΟΡΟΠΑΡΑΓΩΓΗΖΑΧΑΡΟΤΕΥΤΛΑ ΣΠΟΡΟΠΑΡΑΓΩΓΗΣ EFESOS</v>
      </c>
      <c r="B5915" s="49" t="s">
        <v>10973</v>
      </c>
      <c r="C5915" s="50" t="s">
        <v>11325</v>
      </c>
      <c r="D5915" s="6">
        <v>4227</v>
      </c>
      <c r="E5915" s="6">
        <v>4128</v>
      </c>
      <c r="F5915" s="46" t="s">
        <v>14</v>
      </c>
      <c r="G5915" s="46" t="s">
        <v>11326</v>
      </c>
      <c r="H5915" s="46" t="s">
        <v>27</v>
      </c>
      <c r="I5915" s="47">
        <v>1684</v>
      </c>
      <c r="J5915" s="51">
        <v>25</v>
      </c>
      <c r="K5915" s="51">
        <v>25174</v>
      </c>
      <c r="L5915" s="3" t="str">
        <f t="shared" si="191"/>
        <v>ΣΠΟΡΟΠΑΡΑΓΩΓΗ</v>
      </c>
    </row>
    <row r="5916" spans="1:12" x14ac:dyDescent="0.25">
      <c r="A5916" s="1" t="str">
        <f t="shared" si="190"/>
        <v>ΣΠΟΡΟΠΑΡΑΓΩΓΗΖΑΧΑΡΟΤΕΥΤΛΑ ΣΠΟΡΟΠΑΡΑΓΩΓΗΣ NESTORIX</v>
      </c>
      <c r="B5916" s="49" t="s">
        <v>10973</v>
      </c>
      <c r="C5916" s="50" t="s">
        <v>11327</v>
      </c>
      <c r="D5916" s="6">
        <v>4227</v>
      </c>
      <c r="E5916" s="6">
        <v>4128</v>
      </c>
      <c r="F5916" s="46" t="s">
        <v>14</v>
      </c>
      <c r="G5916" s="46" t="s">
        <v>11328</v>
      </c>
      <c r="H5916" s="46" t="s">
        <v>27</v>
      </c>
      <c r="I5916" s="9">
        <v>1691</v>
      </c>
      <c r="J5916" s="51">
        <v>25</v>
      </c>
      <c r="K5916" s="51">
        <v>25175</v>
      </c>
      <c r="L5916" s="3" t="str">
        <f t="shared" si="191"/>
        <v>ΣΠΟΡΟΠΑΡΑΓΩΓΗ</v>
      </c>
    </row>
    <row r="5917" spans="1:12" x14ac:dyDescent="0.25">
      <c r="A5917" s="1" t="str">
        <f t="shared" si="190"/>
        <v>ΣΠΟΡΟΠΑΡΑΓΩΓΗΖΑΧΑΡΟΤΕΥΤΛΑ ΣΠΟΡΟΠΑΡΑΓΩΓΗΣ TILMAN</v>
      </c>
      <c r="B5917" s="49" t="s">
        <v>10973</v>
      </c>
      <c r="C5917" s="50" t="s">
        <v>11329</v>
      </c>
      <c r="D5917" s="6">
        <v>4227</v>
      </c>
      <c r="E5917" s="6">
        <v>4128</v>
      </c>
      <c r="F5917" s="46" t="s">
        <v>14</v>
      </c>
      <c r="G5917" s="46" t="s">
        <v>11330</v>
      </c>
      <c r="H5917" s="46" t="s">
        <v>27</v>
      </c>
      <c r="I5917" s="47">
        <v>1699</v>
      </c>
      <c r="J5917" s="51">
        <v>25</v>
      </c>
      <c r="K5917" s="51">
        <v>25176</v>
      </c>
      <c r="L5917" s="3" t="str">
        <f t="shared" si="191"/>
        <v>ΣΠΟΡΟΠΑΡΑΓΩΓΗ</v>
      </c>
    </row>
    <row r="5918" spans="1:12" ht="31.5" x14ac:dyDescent="0.25">
      <c r="A5918" s="1" t="str">
        <f t="shared" si="190"/>
        <v>ΣΠΟΡΟΠΑΡΑΓΩΓΗΚΤΗΝΟΤΡΟΦΙΚΟ ΜΠΙΖΕΛΙ ΣΠΟΡΟΠΑΡΑΓΩΓΗΣ ANDREA</v>
      </c>
      <c r="B5918" s="49" t="s">
        <v>10973</v>
      </c>
      <c r="C5918" s="50" t="s">
        <v>11331</v>
      </c>
      <c r="D5918" s="6">
        <v>1568.73</v>
      </c>
      <c r="E5918" s="6">
        <v>1689.55</v>
      </c>
      <c r="F5918" s="46" t="s">
        <v>14</v>
      </c>
      <c r="G5918" s="46" t="s">
        <v>11332</v>
      </c>
      <c r="H5918" s="46" t="s">
        <v>27</v>
      </c>
      <c r="I5918" s="9">
        <v>1689</v>
      </c>
      <c r="J5918" s="51">
        <v>25</v>
      </c>
      <c r="K5918" s="51">
        <v>25177</v>
      </c>
      <c r="L5918" s="3" t="str">
        <f t="shared" si="191"/>
        <v>ΣΠΟΡΟΠΑΡΑΓΩΓΗ</v>
      </c>
    </row>
    <row r="5919" spans="1:12" x14ac:dyDescent="0.25">
      <c r="A5919" s="1" t="str">
        <f t="shared" si="190"/>
        <v>ΣΠΟΡΟΠΑΡΑΓΩΓΗΒΙΚΟΣ ΣΠΟΡΟΠΑΡΑΓΩΓΗΣ MILUKA</v>
      </c>
      <c r="B5919" s="49" t="s">
        <v>10973</v>
      </c>
      <c r="C5919" s="50" t="s">
        <v>11333</v>
      </c>
      <c r="D5919" s="6">
        <v>1515.84</v>
      </c>
      <c r="E5919" s="6">
        <v>3106.63</v>
      </c>
      <c r="F5919" s="46" t="s">
        <v>14</v>
      </c>
      <c r="G5919" s="46" t="s">
        <v>11334</v>
      </c>
      <c r="H5919" s="46" t="s">
        <v>27</v>
      </c>
      <c r="I5919" s="47">
        <v>1688</v>
      </c>
      <c r="J5919" s="51">
        <v>25</v>
      </c>
      <c r="K5919" s="51">
        <v>25178</v>
      </c>
      <c r="L5919" s="3" t="str">
        <f t="shared" si="191"/>
        <v>ΣΠΟΡΟΠΑΡΑΓΩΓΗ</v>
      </c>
    </row>
    <row r="5920" spans="1:12" ht="31.5" x14ac:dyDescent="0.25">
      <c r="A5920" s="1" t="str">
        <f t="shared" si="190"/>
        <v>ΣΠΟΡΟΠΑΡΑΓΩΓΗΦΑΣΟΛΙΑ ZARGANA CHRISOUPOLIS KAVALAS ΣΠΟΡΟΠΑΡΑΓΩΓΗΣ</v>
      </c>
      <c r="B5920" s="49" t="s">
        <v>10973</v>
      </c>
      <c r="C5920" s="50" t="s">
        <v>11335</v>
      </c>
      <c r="D5920" s="6">
        <v>1515.84</v>
      </c>
      <c r="E5920" s="6">
        <v>3106.63</v>
      </c>
      <c r="F5920" s="46" t="s">
        <v>14</v>
      </c>
      <c r="G5920" s="46" t="s">
        <v>11336</v>
      </c>
      <c r="H5920" s="46" t="s">
        <v>27</v>
      </c>
      <c r="I5920" s="9">
        <v>1687</v>
      </c>
      <c r="J5920" s="51">
        <v>25</v>
      </c>
      <c r="K5920" s="51">
        <v>25179</v>
      </c>
      <c r="L5920" s="3" t="str">
        <f t="shared" si="191"/>
        <v>ΣΠΟΡΟΠΑΡΑΓΩΓΗ</v>
      </c>
    </row>
    <row r="5921" spans="1:12" x14ac:dyDescent="0.25">
      <c r="A5921" s="1" t="str">
        <f t="shared" si="190"/>
        <v>ΣΠΟΡΟΠΑΡΑΓΩΓΗΜΗΔΙΚΗ ΣΠΟΡΟΠΑΡΑΓΩΓΗΣ PR59N59</v>
      </c>
      <c r="B5921" s="49" t="s">
        <v>10973</v>
      </c>
      <c r="C5921" s="50" t="s">
        <v>11337</v>
      </c>
      <c r="D5921" s="6">
        <v>4227</v>
      </c>
      <c r="E5921" s="6">
        <v>4128</v>
      </c>
      <c r="F5921" s="46" t="s">
        <v>14</v>
      </c>
      <c r="G5921" s="46" t="s">
        <v>11338</v>
      </c>
      <c r="H5921" s="46" t="s">
        <v>27</v>
      </c>
      <c r="I5921" s="47">
        <v>1686</v>
      </c>
      <c r="J5921" s="51">
        <v>25</v>
      </c>
      <c r="K5921" s="51">
        <v>25180</v>
      </c>
      <c r="L5921" s="3" t="str">
        <f t="shared" si="191"/>
        <v>ΣΠΟΡΟΠΑΡΑΓΩΓΗ</v>
      </c>
    </row>
    <row r="5922" spans="1:12" ht="31.5" x14ac:dyDescent="0.25">
      <c r="A5922" s="1" t="str">
        <f t="shared" si="190"/>
        <v>ΣΠΟΡΟΠΑΡΑΓΩΓΗΚΤΗΝΟΤΡΟΦΙΚΟ ΚΟΥΚΙ ΣΠΟΡΟΠΑΡΑΓΩΓΗΣ SCURO DI TORRE LAMA</v>
      </c>
      <c r="B5922" s="49" t="s">
        <v>10973</v>
      </c>
      <c r="C5922" s="50" t="s">
        <v>11339</v>
      </c>
      <c r="D5922" s="6">
        <v>1568.73</v>
      </c>
      <c r="E5922" s="6">
        <v>1689.55</v>
      </c>
      <c r="F5922" s="46" t="s">
        <v>14</v>
      </c>
      <c r="G5922" s="46" t="s">
        <v>11340</v>
      </c>
      <c r="H5922" s="46" t="s">
        <v>27</v>
      </c>
      <c r="I5922" s="9">
        <v>1654</v>
      </c>
      <c r="J5922" s="51">
        <v>25</v>
      </c>
      <c r="K5922" s="51">
        <v>25181</v>
      </c>
      <c r="L5922" s="3" t="str">
        <f t="shared" si="191"/>
        <v>ΣΠΟΡΟΠΑΡΑΓΩΓΗ</v>
      </c>
    </row>
    <row r="5923" spans="1:12" ht="31.5" x14ac:dyDescent="0.25">
      <c r="A5923" s="1" t="str">
        <f t="shared" si="190"/>
        <v>ΣΠΟΡΟΠΑΡΑΓΩΓΗΚΤΗΝΟΤΡΟΦΙΚΟ ΜΠΙΖΕΛΙ ΣΠΟΡΟΠΑΡΑΓΩΓΗΣ GUIFREDO</v>
      </c>
      <c r="B5923" s="49" t="s">
        <v>10973</v>
      </c>
      <c r="C5923" s="50" t="s">
        <v>11341</v>
      </c>
      <c r="D5923" s="6">
        <v>1568.73</v>
      </c>
      <c r="E5923" s="6">
        <v>1689.55</v>
      </c>
      <c r="F5923" s="46" t="s">
        <v>14</v>
      </c>
      <c r="G5923" s="46" t="s">
        <v>11342</v>
      </c>
      <c r="H5923" s="46" t="s">
        <v>27</v>
      </c>
      <c r="I5923" s="47">
        <v>1698</v>
      </c>
      <c r="J5923" s="51">
        <v>25</v>
      </c>
      <c r="K5923" s="51">
        <v>25182</v>
      </c>
      <c r="L5923" s="3" t="str">
        <f t="shared" si="191"/>
        <v>ΣΠΟΡΟΠΑΡΑΓΩΓΗ</v>
      </c>
    </row>
    <row r="5924" spans="1:12" x14ac:dyDescent="0.25">
      <c r="A5924" s="1" t="str">
        <f t="shared" si="190"/>
        <v>ΣΠΟΡΟΠΑΡΑΓΩΓΗΒΙΚΟΣ ΣΠΟΡΟΠΑΡΑΓΩΓΗΣ OTHELLOS</v>
      </c>
      <c r="B5924" s="49" t="s">
        <v>10973</v>
      </c>
      <c r="C5924" s="50" t="s">
        <v>11343</v>
      </c>
      <c r="D5924" s="6">
        <v>1515.84</v>
      </c>
      <c r="E5924" s="6">
        <v>3106.63</v>
      </c>
      <c r="F5924" s="46" t="s">
        <v>14</v>
      </c>
      <c r="G5924" s="46" t="s">
        <v>11344</v>
      </c>
      <c r="H5924" s="46" t="s">
        <v>27</v>
      </c>
      <c r="I5924" s="9">
        <v>1683</v>
      </c>
      <c r="J5924" s="51">
        <v>25</v>
      </c>
      <c r="K5924" s="51">
        <v>25183</v>
      </c>
      <c r="L5924" s="3" t="str">
        <f t="shared" si="191"/>
        <v>ΣΠΟΡΟΠΑΡΑΓΩΓΗ</v>
      </c>
    </row>
    <row r="5925" spans="1:12" ht="31.5" x14ac:dyDescent="0.25">
      <c r="A5925" s="1" t="str">
        <f t="shared" si="190"/>
        <v>ΣΠΟΡΟΠΑΡΑΓΩΓΗΚΤΗΝΟΤΡΟΦΙΚΟ ΜΠΙΖΕΛΙ ΣΠΟΡΟΠΑΡΑΓΩΓΗΣ NAVARRO</v>
      </c>
      <c r="B5925" s="49" t="s">
        <v>10973</v>
      </c>
      <c r="C5925" s="50" t="s">
        <v>11345</v>
      </c>
      <c r="D5925" s="6">
        <v>1568.73</v>
      </c>
      <c r="E5925" s="6">
        <v>1689.55</v>
      </c>
      <c r="F5925" s="46" t="s">
        <v>14</v>
      </c>
      <c r="G5925" s="46" t="s">
        <v>11346</v>
      </c>
      <c r="H5925" s="46" t="s">
        <v>27</v>
      </c>
      <c r="I5925" s="47">
        <v>1640</v>
      </c>
      <c r="J5925" s="51">
        <v>25</v>
      </c>
      <c r="K5925" s="51">
        <v>25184</v>
      </c>
      <c r="L5925" s="3" t="str">
        <f t="shared" si="191"/>
        <v>ΣΠΟΡΟΠΑΡΑΓΩΓΗ</v>
      </c>
    </row>
    <row r="5926" spans="1:12" ht="31.5" x14ac:dyDescent="0.25">
      <c r="A5926" s="1" t="str">
        <f t="shared" si="190"/>
        <v>ΣΠΟΡΟΠΑΡΑΓΩΓΗΚΤΗΝΟΤΡΟΦΙΚΟ ΜΠΙΖΕΛΙ ΣΠΟΡΟΠΑΡΑΓΩΓΗΣ FORRIMAX</v>
      </c>
      <c r="B5926" s="49" t="s">
        <v>10973</v>
      </c>
      <c r="C5926" s="50" t="s">
        <v>11347</v>
      </c>
      <c r="D5926" s="6">
        <v>1568.73</v>
      </c>
      <c r="E5926" s="6">
        <v>1689.55</v>
      </c>
      <c r="F5926" s="46" t="s">
        <v>14</v>
      </c>
      <c r="G5926" s="46" t="s">
        <v>11348</v>
      </c>
      <c r="H5926" s="46" t="s">
        <v>27</v>
      </c>
      <c r="I5926" s="9">
        <v>1641</v>
      </c>
      <c r="J5926" s="51">
        <v>25</v>
      </c>
      <c r="K5926" s="51">
        <v>25185</v>
      </c>
      <c r="L5926" s="3" t="str">
        <f t="shared" si="191"/>
        <v>ΣΠΟΡΟΠΑΡΑΓΩΓΗ</v>
      </c>
    </row>
    <row r="5927" spans="1:12" ht="31.5" x14ac:dyDescent="0.25">
      <c r="A5927" s="1" t="str">
        <f t="shared" si="190"/>
        <v>ΣΠΟΡΟΠΑΡΑΓΩΓΗΚΤΗΝΟΤΡΟΦΙΚΟ ΚΟΥΚΙ ΣΠΟΡΟΠΑΡΑΓΩΓΗΣ CHIARO DI TORRE LAMA</v>
      </c>
      <c r="B5927" s="49" t="s">
        <v>10973</v>
      </c>
      <c r="C5927" s="50" t="s">
        <v>11349</v>
      </c>
      <c r="D5927" s="6">
        <v>1568.73</v>
      </c>
      <c r="E5927" s="6">
        <v>1689.55</v>
      </c>
      <c r="F5927" s="46" t="s">
        <v>14</v>
      </c>
      <c r="G5927" s="46" t="s">
        <v>11350</v>
      </c>
      <c r="H5927" s="46" t="s">
        <v>27</v>
      </c>
      <c r="I5927" s="47">
        <v>1642</v>
      </c>
      <c r="J5927" s="51">
        <v>25</v>
      </c>
      <c r="K5927" s="51">
        <v>25186</v>
      </c>
      <c r="L5927" s="3" t="str">
        <f t="shared" si="191"/>
        <v>ΣΠΟΡΟΠΑΡΑΓΩΓΗ</v>
      </c>
    </row>
    <row r="5928" spans="1:12" x14ac:dyDescent="0.25">
      <c r="A5928" s="1" t="str">
        <f t="shared" si="190"/>
        <v>ΣΠΟΡΟΠΑΡΑΓΩΓΗΛΟΥΠΙΝΟ ΛΕΥΚΟ ΣΠΟΡΟΠΑΡΑΓΩΓΗΣ TENNIS</v>
      </c>
      <c r="B5928" s="49" t="s">
        <v>10973</v>
      </c>
      <c r="C5928" s="50" t="s">
        <v>11351</v>
      </c>
      <c r="D5928" s="6">
        <v>1568.73</v>
      </c>
      <c r="E5928" s="6">
        <v>1689.55</v>
      </c>
      <c r="F5928" s="46" t="s">
        <v>14</v>
      </c>
      <c r="G5928" s="46" t="s">
        <v>11352</v>
      </c>
      <c r="H5928" s="46" t="s">
        <v>27</v>
      </c>
      <c r="I5928" s="9">
        <v>1643</v>
      </c>
      <c r="J5928" s="51">
        <v>25</v>
      </c>
      <c r="K5928" s="51">
        <v>25187</v>
      </c>
      <c r="L5928" s="3" t="str">
        <f t="shared" si="191"/>
        <v>ΣΠΟΡΟΠΑΡΑΓΩΓΗ</v>
      </c>
    </row>
    <row r="5929" spans="1:12" ht="31.5" x14ac:dyDescent="0.25">
      <c r="A5929" s="1" t="str">
        <f t="shared" si="190"/>
        <v>ΣΠΟΡΟΠΑΡΑΓΩΓΗΚΤΗΝΟΤΡΟΦΙΚΟ ΜΠΙΖΕΛΙ ΣΠΟΡΟΠΑΡΑΓΩΓΗΣ FORRIMAX</v>
      </c>
      <c r="B5929" s="49" t="s">
        <v>10973</v>
      </c>
      <c r="C5929" s="50" t="s">
        <v>11347</v>
      </c>
      <c r="D5929" s="6">
        <v>1568.73</v>
      </c>
      <c r="E5929" s="6">
        <v>1689.55</v>
      </c>
      <c r="F5929" s="46" t="s">
        <v>14</v>
      </c>
      <c r="G5929" s="46" t="s">
        <v>11353</v>
      </c>
      <c r="H5929" s="46" t="s">
        <v>27</v>
      </c>
      <c r="I5929" s="47">
        <v>1644</v>
      </c>
      <c r="J5929" s="51">
        <v>25</v>
      </c>
      <c r="K5929" s="51">
        <v>25188</v>
      </c>
      <c r="L5929" s="3" t="str">
        <f t="shared" si="191"/>
        <v>ΣΠΟΡΟΠΑΡΑΓΩΓΗ</v>
      </c>
    </row>
    <row r="5930" spans="1:12" ht="31.5" x14ac:dyDescent="0.25">
      <c r="A5930" s="1" t="str">
        <f t="shared" si="190"/>
        <v>ΣΠΟΡΟΠΑΡΑΓΩΓΗΚΤΗΝΟΤΡΟΦΙΚΟ ΜΠΙΖΕΛΙ ΣΠΟΡΟΠΑΡΑΓΩΓΗΣ ENDURO</v>
      </c>
      <c r="B5930" s="49" t="s">
        <v>10973</v>
      </c>
      <c r="C5930" s="50" t="s">
        <v>11354</v>
      </c>
      <c r="D5930" s="6">
        <v>1568.73</v>
      </c>
      <c r="E5930" s="6">
        <v>1689.55</v>
      </c>
      <c r="F5930" s="46" t="s">
        <v>14</v>
      </c>
      <c r="G5930" s="46" t="s">
        <v>11355</v>
      </c>
      <c r="H5930" s="46" t="s">
        <v>27</v>
      </c>
      <c r="I5930" s="9">
        <v>1645</v>
      </c>
      <c r="J5930" s="51">
        <v>25</v>
      </c>
      <c r="K5930" s="51">
        <v>25189</v>
      </c>
      <c r="L5930" s="3" t="str">
        <f t="shared" si="191"/>
        <v>ΣΠΟΡΟΠΑΡΑΓΩΓΗ</v>
      </c>
    </row>
    <row r="5931" spans="1:12" x14ac:dyDescent="0.25">
      <c r="A5931" s="1" t="str">
        <f t="shared" si="190"/>
        <v>ΣΠΟΡΟΠΑΡΑΓΩΓΗΜΗΔΙΚΗ ΣΠΟΡΟΠΑΡΑΓΩΓΗΣ NEFELI</v>
      </c>
      <c r="B5931" s="49" t="s">
        <v>10973</v>
      </c>
      <c r="C5931" s="50" t="s">
        <v>11356</v>
      </c>
      <c r="D5931" s="6">
        <v>4227</v>
      </c>
      <c r="E5931" s="6">
        <v>4128</v>
      </c>
      <c r="F5931" s="46" t="s">
        <v>14</v>
      </c>
      <c r="G5931" s="46" t="s">
        <v>11357</v>
      </c>
      <c r="H5931" s="46" t="s">
        <v>27</v>
      </c>
      <c r="I5931" s="47">
        <v>1646</v>
      </c>
      <c r="J5931" s="51">
        <v>25</v>
      </c>
      <c r="K5931" s="51">
        <v>25190</v>
      </c>
      <c r="L5931" s="3" t="str">
        <f t="shared" si="191"/>
        <v>ΣΠΟΡΟΠΑΡΑΓΩΓΗ</v>
      </c>
    </row>
    <row r="5932" spans="1:12" x14ac:dyDescent="0.25">
      <c r="A5932" s="1" t="str">
        <f t="shared" si="190"/>
        <v>ΣΠΟΡΟΠΑΡΑΓΩΓΗΦΑΣΟΛΙΑ ΣΠΟΡΟΠΑΡΑΓΩΓΗΣ MOV19</v>
      </c>
      <c r="B5932" s="49" t="s">
        <v>10973</v>
      </c>
      <c r="C5932" s="50" t="s">
        <v>11358</v>
      </c>
      <c r="D5932" s="6">
        <v>1568.73</v>
      </c>
      <c r="E5932" s="6">
        <v>1689.55</v>
      </c>
      <c r="F5932" s="46" t="s">
        <v>14</v>
      </c>
      <c r="G5932" s="46" t="s">
        <v>11359</v>
      </c>
      <c r="H5932" s="46" t="s">
        <v>27</v>
      </c>
      <c r="I5932" s="9">
        <v>1647</v>
      </c>
      <c r="J5932" s="51">
        <v>25</v>
      </c>
      <c r="K5932" s="51">
        <v>25191</v>
      </c>
      <c r="L5932" s="3" t="str">
        <f t="shared" si="191"/>
        <v>ΣΠΟΡΟΠΑΡΑΓΩΓΗ</v>
      </c>
    </row>
    <row r="5933" spans="1:12" x14ac:dyDescent="0.25">
      <c r="A5933" s="1" t="str">
        <f t="shared" si="190"/>
        <v>ΣΠΟΡΟΠΑΡΑΓΩΓΗΜΗΔΙΚΗ ΣΠΟΡΟΠΑΡΑΓΩΓΗΣ NG610</v>
      </c>
      <c r="B5933" s="49" t="s">
        <v>10973</v>
      </c>
      <c r="C5933" s="50" t="s">
        <v>11360</v>
      </c>
      <c r="D5933" s="6">
        <v>4227</v>
      </c>
      <c r="E5933" s="6">
        <v>4128</v>
      </c>
      <c r="F5933" s="46" t="s">
        <v>14</v>
      </c>
      <c r="G5933" s="46" t="s">
        <v>11361</v>
      </c>
      <c r="H5933" s="46" t="s">
        <v>27</v>
      </c>
      <c r="I5933" s="47">
        <v>1648</v>
      </c>
      <c r="J5933" s="51">
        <v>25</v>
      </c>
      <c r="K5933" s="51">
        <v>25192</v>
      </c>
      <c r="L5933" s="3" t="str">
        <f t="shared" si="191"/>
        <v>ΣΠΟΡΟΠΑΡΑΓΩΓΗ</v>
      </c>
    </row>
    <row r="5934" spans="1:12" x14ac:dyDescent="0.25">
      <c r="A5934" s="1" t="str">
        <f t="shared" si="190"/>
        <v>ΣΠΟΡΟΠΑΡΑΓΩΓΗΜΗΔΙΚΗ ΣΠΟΡΟΠΑΡΑΓΩΓΗΣ NG900</v>
      </c>
      <c r="B5934" s="49" t="s">
        <v>10973</v>
      </c>
      <c r="C5934" s="50" t="s">
        <v>11362</v>
      </c>
      <c r="D5934" s="6">
        <v>4227</v>
      </c>
      <c r="E5934" s="6">
        <v>4128</v>
      </c>
      <c r="F5934" s="46" t="s">
        <v>14</v>
      </c>
      <c r="G5934" s="46" t="s">
        <v>11363</v>
      </c>
      <c r="H5934" s="46" t="s">
        <v>27</v>
      </c>
      <c r="I5934" s="9">
        <v>1649</v>
      </c>
      <c r="J5934" s="51">
        <v>25</v>
      </c>
      <c r="K5934" s="51">
        <v>25193</v>
      </c>
      <c r="L5934" s="3" t="str">
        <f t="shared" si="191"/>
        <v>ΣΠΟΡΟΠΑΡΑΓΩΓΗ</v>
      </c>
    </row>
    <row r="5935" spans="1:12" x14ac:dyDescent="0.25">
      <c r="A5935" s="1" t="str">
        <f t="shared" si="190"/>
        <v>ΣΠΟΡΟΠΑΡΑΓΩΓΗΜΗΔΙΚΗ ΣΠΟΡΟΠΑΡΑΓΩΓΗΣ NG999</v>
      </c>
      <c r="B5935" s="49" t="s">
        <v>10973</v>
      </c>
      <c r="C5935" s="50" t="s">
        <v>11364</v>
      </c>
      <c r="D5935" s="6">
        <v>4227</v>
      </c>
      <c r="E5935" s="6">
        <v>4128</v>
      </c>
      <c r="F5935" s="46" t="s">
        <v>14</v>
      </c>
      <c r="G5935" s="46" t="s">
        <v>11365</v>
      </c>
      <c r="H5935" s="46" t="s">
        <v>27</v>
      </c>
      <c r="I5935" s="47">
        <v>1650</v>
      </c>
      <c r="J5935" s="51">
        <v>25</v>
      </c>
      <c r="K5935" s="51">
        <v>25194</v>
      </c>
      <c r="L5935" s="3" t="str">
        <f t="shared" si="191"/>
        <v>ΣΠΟΡΟΠΑΡΑΓΩΓΗ</v>
      </c>
    </row>
    <row r="5936" spans="1:12" x14ac:dyDescent="0.25">
      <c r="A5936" s="1" t="str">
        <f t="shared" si="190"/>
        <v>ΣΠΟΡΟΠΑΡΑΓΩΓΗΜΗΔΙΚΗ ΣΠΟΡΟΠΑΡΑΓΩΓΗΣ PRINCE</v>
      </c>
      <c r="B5936" s="49" t="s">
        <v>10973</v>
      </c>
      <c r="C5936" s="50" t="s">
        <v>11366</v>
      </c>
      <c r="D5936" s="6">
        <v>4227</v>
      </c>
      <c r="E5936" s="6">
        <v>4128</v>
      </c>
      <c r="F5936" s="46" t="s">
        <v>14</v>
      </c>
      <c r="G5936" s="46" t="s">
        <v>11367</v>
      </c>
      <c r="H5936" s="46" t="s">
        <v>27</v>
      </c>
      <c r="I5936" s="9">
        <v>1651</v>
      </c>
      <c r="J5936" s="51">
        <v>25</v>
      </c>
      <c r="K5936" s="51">
        <v>25195</v>
      </c>
      <c r="L5936" s="3" t="str">
        <f t="shared" si="191"/>
        <v>ΣΠΟΡΟΠΑΡΑΓΩΓΗ</v>
      </c>
    </row>
    <row r="5937" spans="1:12" x14ac:dyDescent="0.25">
      <c r="A5937" s="1" t="str">
        <f t="shared" si="190"/>
        <v>ΣΠΟΡΟΠΑΡΑΓΩΓΗΜΗΔΙΚΗ ΣΠΟΡΟΠΑΡΑΓΩΓΗΣ ROMANZA</v>
      </c>
      <c r="B5937" s="49" t="s">
        <v>10973</v>
      </c>
      <c r="C5937" s="50" t="s">
        <v>11368</v>
      </c>
      <c r="D5937" s="6">
        <v>4227</v>
      </c>
      <c r="E5937" s="6">
        <v>4128</v>
      </c>
      <c r="F5937" s="46" t="s">
        <v>14</v>
      </c>
      <c r="G5937" s="46" t="s">
        <v>11369</v>
      </c>
      <c r="H5937" s="46" t="s">
        <v>27</v>
      </c>
      <c r="I5937" s="47">
        <v>1668</v>
      </c>
      <c r="J5937" s="51">
        <v>25</v>
      </c>
      <c r="K5937" s="51">
        <v>25196</v>
      </c>
      <c r="L5937" s="3" t="str">
        <f t="shared" si="191"/>
        <v>ΣΠΟΡΟΠΑΡΑΓΩΓΗ</v>
      </c>
    </row>
    <row r="5938" spans="1:12" x14ac:dyDescent="0.25">
      <c r="A5938" s="1" t="str">
        <f t="shared" si="190"/>
        <v>ΣΠΟΡΟΠΑΡΑΓΩΓΗΜΗΔΙΚΗ ΣΠΟΡΟΠΑΡΑΓΩΓΗΣ VASILIKI</v>
      </c>
      <c r="B5938" s="49" t="s">
        <v>10973</v>
      </c>
      <c r="C5938" s="50" t="s">
        <v>11370</v>
      </c>
      <c r="D5938" s="6">
        <v>4227</v>
      </c>
      <c r="E5938" s="6">
        <v>4128</v>
      </c>
      <c r="F5938" s="46" t="s">
        <v>14</v>
      </c>
      <c r="G5938" s="46" t="s">
        <v>11371</v>
      </c>
      <c r="H5938" s="46" t="s">
        <v>27</v>
      </c>
      <c r="I5938" s="9">
        <v>1653</v>
      </c>
      <c r="J5938" s="51">
        <v>25</v>
      </c>
      <c r="K5938" s="51">
        <v>25197</v>
      </c>
      <c r="L5938" s="3" t="str">
        <f t="shared" si="191"/>
        <v>ΣΠΟΡΟΠΑΡΑΓΩΓΗ</v>
      </c>
    </row>
    <row r="5939" spans="1:12" x14ac:dyDescent="0.25">
      <c r="A5939" s="1" t="str">
        <f t="shared" si="190"/>
        <v>ΣΠΟΡΟΠΑΡΑΓΩΓΗΜΗΔΙΚΗ ΣΠΟΡΟΠΑΡΑΓΩΓΗΣ ARISTI</v>
      </c>
      <c r="B5939" s="49" t="s">
        <v>10973</v>
      </c>
      <c r="C5939" s="50" t="s">
        <v>11372</v>
      </c>
      <c r="D5939" s="6">
        <v>4227</v>
      </c>
      <c r="E5939" s="6">
        <v>4128</v>
      </c>
      <c r="F5939" s="46" t="s">
        <v>14</v>
      </c>
      <c r="G5939" s="46" t="s">
        <v>11373</v>
      </c>
      <c r="H5939" s="46" t="s">
        <v>27</v>
      </c>
      <c r="I5939" s="47">
        <v>1639</v>
      </c>
      <c r="J5939" s="51">
        <v>25</v>
      </c>
      <c r="K5939" s="51">
        <v>25198</v>
      </c>
      <c r="L5939" s="3" t="str">
        <f t="shared" si="191"/>
        <v>ΣΠΟΡΟΠΑΡΑΓΩΓΗ</v>
      </c>
    </row>
    <row r="5940" spans="1:12" x14ac:dyDescent="0.25">
      <c r="A5940" s="1" t="str">
        <f t="shared" si="190"/>
        <v>ΣΠΟΡΟΠΑΡΑΓΩΓΗΜΗΔΙΚΗ ΣΠΟΡΟΠΑΡΑΓΩΓΗΣ BABYLON</v>
      </c>
      <c r="B5940" s="49" t="s">
        <v>10973</v>
      </c>
      <c r="C5940" s="50" t="s">
        <v>11374</v>
      </c>
      <c r="D5940" s="6">
        <v>4227</v>
      </c>
      <c r="E5940" s="6">
        <v>4128</v>
      </c>
      <c r="F5940" s="46" t="s">
        <v>14</v>
      </c>
      <c r="G5940" s="46" t="s">
        <v>11375</v>
      </c>
      <c r="H5940" s="46" t="s">
        <v>27</v>
      </c>
      <c r="I5940" s="9">
        <v>1655</v>
      </c>
      <c r="J5940" s="51">
        <v>25</v>
      </c>
      <c r="K5940" s="51">
        <v>25199</v>
      </c>
      <c r="L5940" s="3" t="str">
        <f t="shared" si="191"/>
        <v>ΣΠΟΡΟΠΑΡΑΓΩΓΗ</v>
      </c>
    </row>
    <row r="5941" spans="1:12" x14ac:dyDescent="0.25">
      <c r="A5941" s="1" t="str">
        <f t="shared" si="190"/>
        <v>ΣΠΟΡΟΠΑΡΑΓΩΓΗΜΗΔΙΚΗ ΣΠΟΡΟΠΑΡΑΓΩΓΗΣ BONITA</v>
      </c>
      <c r="B5941" s="49" t="s">
        <v>10973</v>
      </c>
      <c r="C5941" s="50" t="s">
        <v>11376</v>
      </c>
      <c r="D5941" s="6">
        <v>4227</v>
      </c>
      <c r="E5941" s="6">
        <v>4128</v>
      </c>
      <c r="F5941" s="46" t="s">
        <v>14</v>
      </c>
      <c r="G5941" s="46" t="s">
        <v>11377</v>
      </c>
      <c r="H5941" s="46" t="s">
        <v>27</v>
      </c>
      <c r="I5941" s="47">
        <v>1656</v>
      </c>
      <c r="J5941" s="51">
        <v>25</v>
      </c>
      <c r="K5941" s="51">
        <v>25200</v>
      </c>
      <c r="L5941" s="3" t="str">
        <f t="shared" si="191"/>
        <v>ΣΠΟΡΟΠΑΡΑΓΩΓΗ</v>
      </c>
    </row>
    <row r="5942" spans="1:12" x14ac:dyDescent="0.25">
      <c r="A5942" s="1" t="str">
        <f t="shared" si="190"/>
        <v>ΣΠΟΡΟΠΑΡΑΓΩΓΗΜΗΔΙΚΗ ΣΠΟΡΟΠΑΡΑΓΩΓΗΣ CRISTIN</v>
      </c>
      <c r="B5942" s="49" t="s">
        <v>10973</v>
      </c>
      <c r="C5942" s="50" t="s">
        <v>11378</v>
      </c>
      <c r="D5942" s="6">
        <v>4227</v>
      </c>
      <c r="E5942" s="6">
        <v>4128</v>
      </c>
      <c r="F5942" s="46" t="s">
        <v>14</v>
      </c>
      <c r="G5942" s="46" t="s">
        <v>11379</v>
      </c>
      <c r="H5942" s="46" t="s">
        <v>27</v>
      </c>
      <c r="I5942" s="9">
        <v>1657</v>
      </c>
      <c r="J5942" s="51">
        <v>25</v>
      </c>
      <c r="K5942" s="51">
        <v>25201</v>
      </c>
      <c r="L5942" s="3" t="str">
        <f t="shared" si="191"/>
        <v>ΣΠΟΡΟΠΑΡΑΓΩΓΗ</v>
      </c>
    </row>
    <row r="5943" spans="1:12" x14ac:dyDescent="0.25">
      <c r="A5943" s="1" t="str">
        <f t="shared" si="190"/>
        <v>ΣΠΟΡΟΠΑΡΑΓΩΓΗΜΗΔΙΚΗ ΣΠΟΡΟΠΑΡΑΓΩΓΗΣ KALLIOPI</v>
      </c>
      <c r="B5943" s="49" t="s">
        <v>10973</v>
      </c>
      <c r="C5943" s="50" t="s">
        <v>11380</v>
      </c>
      <c r="D5943" s="6">
        <v>4227</v>
      </c>
      <c r="E5943" s="6">
        <v>4128</v>
      </c>
      <c r="F5943" s="46" t="s">
        <v>14</v>
      </c>
      <c r="G5943" s="46" t="s">
        <v>11381</v>
      </c>
      <c r="H5943" s="46" t="s">
        <v>27</v>
      </c>
      <c r="I5943" s="47">
        <v>1658</v>
      </c>
      <c r="J5943" s="51">
        <v>25</v>
      </c>
      <c r="K5943" s="51">
        <v>25202</v>
      </c>
      <c r="L5943" s="3" t="str">
        <f t="shared" si="191"/>
        <v>ΣΠΟΡΟΠΑΡΑΓΩΓΗ</v>
      </c>
    </row>
    <row r="5944" spans="1:12" x14ac:dyDescent="0.25">
      <c r="A5944" s="1" t="str">
        <f t="shared" si="190"/>
        <v>ΣΠΟΡΟΠΑΡΑΓΩΓΗΜΗΔΙΚΗ ΣΠΟΡΟΠΑΡΑΓΩΓΗΣ LIDER</v>
      </c>
      <c r="B5944" s="49" t="s">
        <v>10973</v>
      </c>
      <c r="C5944" s="50" t="s">
        <v>11382</v>
      </c>
      <c r="D5944" s="6">
        <v>4227</v>
      </c>
      <c r="E5944" s="6">
        <v>4128</v>
      </c>
      <c r="F5944" s="46" t="s">
        <v>14</v>
      </c>
      <c r="G5944" s="46" t="s">
        <v>11383</v>
      </c>
      <c r="H5944" s="46" t="s">
        <v>27</v>
      </c>
      <c r="I5944" s="9">
        <v>1659</v>
      </c>
      <c r="J5944" s="51">
        <v>25</v>
      </c>
      <c r="K5944" s="51">
        <v>25203</v>
      </c>
      <c r="L5944" s="3" t="str">
        <f t="shared" si="191"/>
        <v>ΣΠΟΡΟΠΑΡΑΓΩΓΗ</v>
      </c>
    </row>
    <row r="5945" spans="1:12" ht="31.5" x14ac:dyDescent="0.25">
      <c r="A5945" s="1" t="str">
        <f t="shared" si="190"/>
        <v>ΣΠΟΡΟΠΑΡΑΓΩΓΗΚΤΗΝΟΤΡΟΦΙΚΟ ΜΠΙΖΕΛΙ ΣΠΟΡΟΠΑΡΑΓΩΓΗΣ ANDREA</v>
      </c>
      <c r="B5945" s="49" t="s">
        <v>10973</v>
      </c>
      <c r="C5945" s="50" t="s">
        <v>11331</v>
      </c>
      <c r="D5945" s="6">
        <v>1568.73</v>
      </c>
      <c r="E5945" s="6">
        <v>1689.55</v>
      </c>
      <c r="F5945" s="46" t="s">
        <v>14</v>
      </c>
      <c r="G5945" s="46" t="s">
        <v>11384</v>
      </c>
      <c r="H5945" s="46" t="s">
        <v>27</v>
      </c>
      <c r="I5945" s="47">
        <v>1660</v>
      </c>
      <c r="J5945" s="51">
        <v>25</v>
      </c>
      <c r="K5945" s="51">
        <v>25204</v>
      </c>
      <c r="L5945" s="3" t="str">
        <f t="shared" si="191"/>
        <v>ΣΠΟΡΟΠΑΡΑΓΩΓΗ</v>
      </c>
    </row>
    <row r="5946" spans="1:12" x14ac:dyDescent="0.25">
      <c r="A5946" s="1" t="str">
        <f t="shared" si="190"/>
        <v>ΣΠΟΡΟΠΑΡΑΓΩΓΗΜΗΔΙΚΗ ΣΠΟΡΟΠΑΡΑΓΩΓΗΣ MINERVA</v>
      </c>
      <c r="B5946" s="49" t="s">
        <v>10973</v>
      </c>
      <c r="C5946" s="50" t="s">
        <v>11385</v>
      </c>
      <c r="D5946" s="6">
        <v>4227</v>
      </c>
      <c r="E5946" s="6">
        <v>4128</v>
      </c>
      <c r="F5946" s="46" t="s">
        <v>14</v>
      </c>
      <c r="G5946" s="46" t="s">
        <v>11386</v>
      </c>
      <c r="H5946" s="46" t="s">
        <v>27</v>
      </c>
      <c r="I5946" s="9">
        <v>1661</v>
      </c>
      <c r="J5946" s="51">
        <v>25</v>
      </c>
      <c r="K5946" s="51">
        <v>25205</v>
      </c>
      <c r="L5946" s="3" t="str">
        <f t="shared" si="191"/>
        <v>ΣΠΟΡΟΠΑΡΑΓΩΓΗ</v>
      </c>
    </row>
    <row r="5947" spans="1:12" x14ac:dyDescent="0.25">
      <c r="A5947" s="1" t="str">
        <f t="shared" si="190"/>
        <v>ΣΠΟΡΟΠΑΡΑΓΩΓΗΒΙΚΟΣ ΣΠΟΡΟΠΑΡΑΓΩΓΗΣ PERSEAS</v>
      </c>
      <c r="B5947" s="49" t="s">
        <v>10973</v>
      </c>
      <c r="C5947" s="50" t="s">
        <v>11387</v>
      </c>
      <c r="D5947" s="6">
        <v>1515.84</v>
      </c>
      <c r="E5947" s="6">
        <v>3106.63</v>
      </c>
      <c r="F5947" s="46" t="s">
        <v>14</v>
      </c>
      <c r="G5947" s="46" t="s">
        <v>11388</v>
      </c>
      <c r="H5947" s="46" t="s">
        <v>27</v>
      </c>
      <c r="I5947" s="47">
        <v>1662</v>
      </c>
      <c r="J5947" s="51">
        <v>25</v>
      </c>
      <c r="K5947" s="51">
        <v>25206</v>
      </c>
      <c r="L5947" s="3" t="str">
        <f t="shared" si="191"/>
        <v>ΣΠΟΡΟΠΑΡΑΓΩΓΗ</v>
      </c>
    </row>
    <row r="5948" spans="1:12" x14ac:dyDescent="0.25">
      <c r="A5948" s="1" t="str">
        <f t="shared" si="190"/>
        <v>ΣΠΟΡΟΠΑΡΑΓΩΓΗΤΡΙΤΙΚΑΛΕ ΣΠΟΡΟΠΑΡΑΓΩΓΗΣ CATRIA</v>
      </c>
      <c r="B5948" s="49" t="s">
        <v>10973</v>
      </c>
      <c r="C5948" s="50" t="s">
        <v>11389</v>
      </c>
      <c r="D5948" s="6">
        <v>363.85</v>
      </c>
      <c r="E5948" s="6">
        <v>331.13</v>
      </c>
      <c r="F5948" s="46" t="s">
        <v>14</v>
      </c>
      <c r="G5948" s="46" t="s">
        <v>11390</v>
      </c>
      <c r="H5948" s="46" t="s">
        <v>27</v>
      </c>
      <c r="I5948" s="9">
        <v>1663</v>
      </c>
      <c r="J5948" s="51">
        <v>25</v>
      </c>
      <c r="K5948" s="51">
        <v>25207</v>
      </c>
      <c r="L5948" s="3" t="str">
        <f t="shared" si="191"/>
        <v>ΣΠΟΡΟΠΑΡΑΓΩΓΗ</v>
      </c>
    </row>
    <row r="5949" spans="1:12" x14ac:dyDescent="0.25">
      <c r="A5949" s="1" t="str">
        <f t="shared" si="190"/>
        <v>ΣΠΟΡΟΠΑΡΑΓΩΓΗΜΗΔΙΚΗ ΣΠΟΡΟΠΑΡΑΓΩΓΗΣ BLUE MOON</v>
      </c>
      <c r="B5949" s="49" t="s">
        <v>10973</v>
      </c>
      <c r="C5949" s="50" t="s">
        <v>11391</v>
      </c>
      <c r="D5949" s="6">
        <v>4227</v>
      </c>
      <c r="E5949" s="6">
        <v>4128</v>
      </c>
      <c r="F5949" s="46" t="s">
        <v>14</v>
      </c>
      <c r="G5949" s="46" t="s">
        <v>11392</v>
      </c>
      <c r="H5949" s="46" t="s">
        <v>27</v>
      </c>
      <c r="I5949" s="47">
        <v>1664</v>
      </c>
      <c r="J5949" s="51">
        <v>25</v>
      </c>
      <c r="K5949" s="51">
        <v>25208</v>
      </c>
      <c r="L5949" s="3" t="str">
        <f t="shared" si="191"/>
        <v>ΣΠΟΡΟΠΑΡΑΓΩΓΗ</v>
      </c>
    </row>
    <row r="5950" spans="1:12" ht="31.5" x14ac:dyDescent="0.25">
      <c r="A5950" s="1" t="str">
        <f t="shared" si="190"/>
        <v>ΣΠΟΡΟΠΑΡΑΓΩΓΗΦΑΣΟΛΙA KOINA (ΦΑΣΟΛΙ ΝΑΝΟΣ)  ΣΠΟΡΟΠΑΡΑΓΩΓΗΣ AISES</v>
      </c>
      <c r="B5950" s="49" t="s">
        <v>10973</v>
      </c>
      <c r="C5950" s="50" t="s">
        <v>11393</v>
      </c>
      <c r="D5950" s="6">
        <v>1568.73</v>
      </c>
      <c r="E5950" s="6">
        <v>1689.55</v>
      </c>
      <c r="F5950" s="46" t="s">
        <v>14</v>
      </c>
      <c r="G5950" s="46" t="s">
        <v>11394</v>
      </c>
      <c r="H5950" s="46" t="s">
        <v>27</v>
      </c>
      <c r="I5950" s="9">
        <v>1665</v>
      </c>
      <c r="J5950" s="51">
        <v>25</v>
      </c>
      <c r="K5950" s="51">
        <v>25209</v>
      </c>
      <c r="L5950" s="3" t="str">
        <f t="shared" si="191"/>
        <v>ΣΠΟΡΟΠΑΡΑΓΩΓΗ</v>
      </c>
    </row>
    <row r="5951" spans="1:12" ht="31.5" x14ac:dyDescent="0.25">
      <c r="A5951" s="1" t="str">
        <f t="shared" si="190"/>
        <v>ΣΠΟΡΟΠΑΡΑΓΩΓΗΦΑΣΟΛΙA KOINA (ΦΑΣΟΛΙ ΝΑΝΟΣ)  ΣΠΟΡΟΠΑΡΑΓΩΓΗΣ ZARGANA KAVALAS</v>
      </c>
      <c r="B5951" s="49" t="s">
        <v>10973</v>
      </c>
      <c r="C5951" s="50" t="s">
        <v>11395</v>
      </c>
      <c r="D5951" s="6">
        <v>1568.73</v>
      </c>
      <c r="E5951" s="6">
        <v>1689.55</v>
      </c>
      <c r="F5951" s="46" t="s">
        <v>14</v>
      </c>
      <c r="G5951" s="46" t="s">
        <v>11396</v>
      </c>
      <c r="H5951" s="46" t="s">
        <v>27</v>
      </c>
      <c r="I5951" s="47">
        <v>1666</v>
      </c>
      <c r="J5951" s="51">
        <v>25</v>
      </c>
      <c r="K5951" s="51">
        <v>25210</v>
      </c>
      <c r="L5951" s="3" t="str">
        <f t="shared" si="191"/>
        <v>ΣΠΟΡΟΠΑΡΑΓΩΓΗ</v>
      </c>
    </row>
    <row r="5952" spans="1:12" ht="31.5" x14ac:dyDescent="0.25">
      <c r="A5952" s="1" t="str">
        <f t="shared" si="190"/>
        <v>ΣΠΟΡΟΠΑΡΑΓΩΓΗΚΤΗΝΟΤΡΟΦΙΚΟ ΜΠΙΖΕΛΙ ΣΠΟΡΟΠΑΡΑΓΩΓΗΣ THISEAS</v>
      </c>
      <c r="B5952" s="49" t="s">
        <v>10973</v>
      </c>
      <c r="C5952" s="50" t="s">
        <v>11397</v>
      </c>
      <c r="D5952" s="6">
        <v>1568.73</v>
      </c>
      <c r="E5952" s="6">
        <v>1689.55</v>
      </c>
      <c r="F5952" s="46" t="s">
        <v>14</v>
      </c>
      <c r="G5952" s="46" t="s">
        <v>11398</v>
      </c>
      <c r="H5952" s="46" t="s">
        <v>27</v>
      </c>
      <c r="I5952" s="9">
        <v>1667</v>
      </c>
      <c r="J5952" s="51">
        <v>25</v>
      </c>
      <c r="K5952" s="51">
        <v>25211</v>
      </c>
      <c r="L5952" s="3" t="str">
        <f t="shared" si="191"/>
        <v>ΣΠΟΡΟΠΑΡΑΓΩΓΗ</v>
      </c>
    </row>
    <row r="5953" spans="1:12" x14ac:dyDescent="0.25">
      <c r="A5953" s="1" t="str">
        <f t="shared" si="190"/>
        <v>ΣΠΟΡΟΠΑΡΑΓΩΓΗΜΗΔΙΚΗ ΣΠΟΡΟΠΑΡΑΓΩΓΗΣ RIVIERA VICENTINA</v>
      </c>
      <c r="B5953" s="49" t="s">
        <v>10973</v>
      </c>
      <c r="C5953" s="50" t="s">
        <v>11399</v>
      </c>
      <c r="D5953" s="6">
        <v>4227</v>
      </c>
      <c r="E5953" s="6">
        <v>4128</v>
      </c>
      <c r="F5953" s="46" t="s">
        <v>14</v>
      </c>
      <c r="G5953" s="46" t="s">
        <v>11400</v>
      </c>
      <c r="H5953" s="46" t="s">
        <v>27</v>
      </c>
      <c r="I5953" s="47">
        <v>1732</v>
      </c>
      <c r="J5953" s="51">
        <v>25</v>
      </c>
      <c r="K5953" s="51">
        <v>25212</v>
      </c>
      <c r="L5953" s="3" t="str">
        <f t="shared" si="191"/>
        <v>ΣΠΟΡΟΠΑΡΑΓΩΓΗ</v>
      </c>
    </row>
    <row r="5954" spans="1:12" x14ac:dyDescent="0.25">
      <c r="A5954" s="1" t="str">
        <f t="shared" si="190"/>
        <v>ΣΠΟΡΟΠΑΡΑΓΩΓΗΚΤΗΝΟΤΡΟΦΙΚΟ ΜΠΙΖΕΛΙ ΣΠΟΡΟΠΑΡΑΓΩΓΗΣ OSSA</v>
      </c>
      <c r="B5954" s="52" t="s">
        <v>10973</v>
      </c>
      <c r="C5954" s="53" t="s">
        <v>11401</v>
      </c>
      <c r="D5954" s="6">
        <v>1568.73</v>
      </c>
      <c r="E5954" s="6">
        <v>1689.55</v>
      </c>
      <c r="F5954" s="45" t="s">
        <v>14</v>
      </c>
      <c r="G5954" s="46" t="s">
        <v>11402</v>
      </c>
      <c r="H5954" s="46" t="s">
        <v>27</v>
      </c>
      <c r="I5954" s="9">
        <v>5188</v>
      </c>
      <c r="J5954" s="54">
        <v>25</v>
      </c>
      <c r="K5954" s="54">
        <v>25213</v>
      </c>
      <c r="L5954" s="3" t="str">
        <f t="shared" si="191"/>
        <v>ΣΠΟΡΟΠΑΡΑΓΩΓΗ</v>
      </c>
    </row>
    <row r="5955" spans="1:12" x14ac:dyDescent="0.25">
      <c r="A5955" s="1" t="str">
        <f t="shared" ref="A5955:A6018" si="192">_xlfn.CONCAT(B5955,C5955)</f>
        <v>ΣΠΟΡΟΠΑΡΑΓΩΓΗΚΤΗΝΟΤΡΟΦΙΚΟ ΜΠΙΖΕΛΙ ΣΠΟΡΟΠΑΡΑΓΩΓΗΣ SAOS</v>
      </c>
      <c r="B5955" s="52" t="s">
        <v>10973</v>
      </c>
      <c r="C5955" s="53" t="s">
        <v>11403</v>
      </c>
      <c r="D5955" s="6">
        <v>1568.73</v>
      </c>
      <c r="E5955" s="6">
        <v>1689.55</v>
      </c>
      <c r="F5955" s="45" t="s">
        <v>14</v>
      </c>
      <c r="G5955" s="46" t="s">
        <v>11404</v>
      </c>
      <c r="H5955" s="46" t="s">
        <v>27</v>
      </c>
      <c r="I5955" s="47">
        <v>5189</v>
      </c>
      <c r="J5955" s="54">
        <v>25</v>
      </c>
      <c r="K5955" s="54">
        <v>25214</v>
      </c>
      <c r="L5955" s="3" t="str">
        <f t="shared" ref="L5955:L6018" si="193">IFERROR(SUBSTITUTE(SUBSTITUTE(SUBSTITUTE(SUBSTITUTE(SUBSTITUTE(B5955, "-", "_"), " ", "_"), ",", ""), "(", ""), ")", ""), B5955)</f>
        <v>ΣΠΟΡΟΠΑΡΑΓΩΓΗ</v>
      </c>
    </row>
    <row r="5956" spans="1:12" x14ac:dyDescent="0.25">
      <c r="A5956" s="1" t="str">
        <f t="shared" si="192"/>
        <v>ΣΠΟΡΟΠΑΡΑΓΩΓΗΚΤΗΝΟΤΡΟΦΙΚΟ ΜΠΙΖΕΛΙ ΣΠΟΡΟΠΑΡΑΓΩΓΗΣ GUINDA</v>
      </c>
      <c r="B5956" s="52" t="s">
        <v>10973</v>
      </c>
      <c r="C5956" s="53" t="s">
        <v>11405</v>
      </c>
      <c r="D5956" s="6">
        <v>1568.73</v>
      </c>
      <c r="E5956" s="6">
        <v>1689.55</v>
      </c>
      <c r="F5956" s="45" t="s">
        <v>14</v>
      </c>
      <c r="G5956" s="46" t="s">
        <v>11406</v>
      </c>
      <c r="H5956" s="46" t="s">
        <v>27</v>
      </c>
      <c r="I5956" s="9">
        <v>5190</v>
      </c>
      <c r="J5956" s="54">
        <v>25</v>
      </c>
      <c r="K5956" s="54">
        <v>25215</v>
      </c>
      <c r="L5956" s="3" t="str">
        <f t="shared" si="193"/>
        <v>ΣΠΟΡΟΠΑΡΑΓΩΓΗ</v>
      </c>
    </row>
    <row r="5957" spans="1:12" x14ac:dyDescent="0.25">
      <c r="A5957" s="1" t="str">
        <f t="shared" si="192"/>
        <v>ΣΠΟΡΟΠΑΡΑΓΩΓΗΒΙΚΟΣ ΣΠΟΡΟΠΑΡΑΓΩΓΗΣ MILUKA</v>
      </c>
      <c r="B5957" s="52" t="s">
        <v>10973</v>
      </c>
      <c r="C5957" s="53" t="s">
        <v>11333</v>
      </c>
      <c r="D5957" s="6">
        <v>1515.84</v>
      </c>
      <c r="E5957" s="6">
        <v>3106.63</v>
      </c>
      <c r="F5957" s="45" t="s">
        <v>14</v>
      </c>
      <c r="G5957" s="46" t="s">
        <v>11407</v>
      </c>
      <c r="H5957" s="46" t="s">
        <v>27</v>
      </c>
      <c r="I5957" s="47">
        <v>5191</v>
      </c>
      <c r="J5957" s="54">
        <v>25</v>
      </c>
      <c r="K5957" s="54">
        <v>25216</v>
      </c>
      <c r="L5957" s="3" t="str">
        <f t="shared" si="193"/>
        <v>ΣΠΟΡΟΠΑΡΑΓΩΓΗ</v>
      </c>
    </row>
    <row r="5958" spans="1:12" x14ac:dyDescent="0.25">
      <c r="A5958" s="1" t="str">
        <f t="shared" si="192"/>
        <v>ΣΠΟΡΟΠΑΡΑΓΩΓΗΜΗΔΙΚΗ ΣΠΟΡΟΠΑΡΑΓΩΓΗΣ SILVERADO</v>
      </c>
      <c r="B5958" s="52" t="s">
        <v>10973</v>
      </c>
      <c r="C5958" s="53" t="s">
        <v>11408</v>
      </c>
      <c r="D5958" s="6">
        <v>4227</v>
      </c>
      <c r="E5958" s="6">
        <v>4128</v>
      </c>
      <c r="F5958" s="45" t="s">
        <v>14</v>
      </c>
      <c r="G5958" s="46" t="s">
        <v>11409</v>
      </c>
      <c r="H5958" s="46" t="s">
        <v>27</v>
      </c>
      <c r="I5958" s="9">
        <v>5192</v>
      </c>
      <c r="J5958" s="54">
        <v>25</v>
      </c>
      <c r="K5958" s="54">
        <v>25217</v>
      </c>
      <c r="L5958" s="3" t="str">
        <f t="shared" si="193"/>
        <v>ΣΠΟΡΟΠΑΡΑΓΩΓΗ</v>
      </c>
    </row>
    <row r="5959" spans="1:12" x14ac:dyDescent="0.25">
      <c r="A5959" s="1" t="str">
        <f t="shared" si="192"/>
        <v>ΣΠΟΡΟΠΑΡΑΓΩΓΗΚΤΗΝΟΤΡΟΦΙΚΟ ΚΟΥΚΙ ΣΠΟΡΟΠΑΡΑΓΩΓΗΣ VESUVIO</v>
      </c>
      <c r="B5959" s="55" t="s">
        <v>10973</v>
      </c>
      <c r="C5959" s="56" t="s">
        <v>11410</v>
      </c>
      <c r="D5959" s="6">
        <v>1568.73</v>
      </c>
      <c r="E5959" s="6">
        <v>1689.55</v>
      </c>
      <c r="F5959" s="57" t="s">
        <v>14</v>
      </c>
      <c r="G5959" s="46" t="s">
        <v>11411</v>
      </c>
      <c r="H5959" s="46" t="s">
        <v>27</v>
      </c>
      <c r="I5959" s="47">
        <v>5590</v>
      </c>
      <c r="J5959" s="58">
        <v>25</v>
      </c>
      <c r="K5959" s="59">
        <v>25218</v>
      </c>
      <c r="L5959" s="3" t="str">
        <f t="shared" si="193"/>
        <v>ΣΠΟΡΟΠΑΡΑΓΩΓΗ</v>
      </c>
    </row>
    <row r="5960" spans="1:12" x14ac:dyDescent="0.25">
      <c r="A5960" s="1" t="str">
        <f t="shared" si="192"/>
        <v>ΣΠΟΡΟΠΑΡΑΓΩΓΗΤΡΙΦΥΛΛΙ ΑΛΕΞΑΝΔΡΙΝΟ ΣΠΟΡΟΠΑΡΑΓΩΓΗΣ MARMILLA</v>
      </c>
      <c r="B5960" s="55" t="s">
        <v>10973</v>
      </c>
      <c r="C5960" s="56" t="s">
        <v>11412</v>
      </c>
      <c r="D5960" s="6">
        <v>4227</v>
      </c>
      <c r="E5960" s="6">
        <v>4128</v>
      </c>
      <c r="F5960" s="57" t="s">
        <v>14</v>
      </c>
      <c r="G5960" s="46" t="s">
        <v>11413</v>
      </c>
      <c r="H5960" s="46" t="s">
        <v>27</v>
      </c>
      <c r="I5960" s="9">
        <v>5591</v>
      </c>
      <c r="J5960" s="58">
        <v>25</v>
      </c>
      <c r="K5960" s="59">
        <v>25219</v>
      </c>
      <c r="L5960" s="3" t="str">
        <f t="shared" si="193"/>
        <v>ΣΠΟΡΟΠΑΡΑΓΩΓΗ</v>
      </c>
    </row>
    <row r="5961" spans="1:12" x14ac:dyDescent="0.25">
      <c r="A5961" s="1" t="str">
        <f t="shared" si="192"/>
        <v>ΣΠΟΡΟΠΑΡΑΓΩΓΗΦΑΚΗ ΣΠΟΡΟΠΑΡΑΓΩΓΗΣ CHARA</v>
      </c>
      <c r="B5961" s="55" t="s">
        <v>10973</v>
      </c>
      <c r="C5961" s="56" t="s">
        <v>11414</v>
      </c>
      <c r="D5961" s="6">
        <v>1515.84</v>
      </c>
      <c r="E5961" s="6">
        <v>3106.63</v>
      </c>
      <c r="F5961" s="57" t="s">
        <v>14</v>
      </c>
      <c r="G5961" s="46" t="s">
        <v>11415</v>
      </c>
      <c r="H5961" s="46" t="s">
        <v>27</v>
      </c>
      <c r="I5961" s="47">
        <v>5592</v>
      </c>
      <c r="J5961" s="58">
        <v>25</v>
      </c>
      <c r="K5961" s="59">
        <v>25220</v>
      </c>
      <c r="L5961" s="3" t="str">
        <f t="shared" si="193"/>
        <v>ΣΠΟΡΟΠΑΡΑΓΩΓΗ</v>
      </c>
    </row>
    <row r="5962" spans="1:12" x14ac:dyDescent="0.25">
      <c r="A5962" s="1" t="str">
        <f t="shared" si="192"/>
        <v>ΣΠΟΡΟΠΑΡΑΓΩΓΗΦΑΣΟΛΙΑ ΚΟΙΝΑ ΣΠΟΡΟΠΑΡΑΓΩΓΗΣ LUMINOSA</v>
      </c>
      <c r="B5962" s="55" t="s">
        <v>10973</v>
      </c>
      <c r="C5962" s="56" t="s">
        <v>11416</v>
      </c>
      <c r="D5962" s="6">
        <v>1568.73</v>
      </c>
      <c r="E5962" s="6">
        <v>1689.55</v>
      </c>
      <c r="F5962" s="57" t="s">
        <v>14</v>
      </c>
      <c r="G5962" s="46" t="s">
        <v>11417</v>
      </c>
      <c r="H5962" s="46" t="s">
        <v>27</v>
      </c>
      <c r="I5962" s="9">
        <v>5593</v>
      </c>
      <c r="J5962" s="58">
        <v>25</v>
      </c>
      <c r="K5962" s="59">
        <v>25221</v>
      </c>
      <c r="L5962" s="3" t="str">
        <f t="shared" si="193"/>
        <v>ΣΠΟΡΟΠΑΡΑΓΩΓΗ</v>
      </c>
    </row>
    <row r="5963" spans="1:12" x14ac:dyDescent="0.25">
      <c r="A5963" s="1" t="str">
        <f t="shared" si="192"/>
        <v>ΣΠΟΡΟΠΑΡΑΓΩΓΗΒΙΚΟΣ ΣΠΟΡΟΠΑΡΑΓΩΓΗΣ PANDORA</v>
      </c>
      <c r="B5963" s="55" t="s">
        <v>10973</v>
      </c>
      <c r="C5963" s="56" t="s">
        <v>11418</v>
      </c>
      <c r="D5963" s="6">
        <v>1515.84</v>
      </c>
      <c r="E5963" s="6">
        <v>3106.63</v>
      </c>
      <c r="F5963" s="57" t="s">
        <v>14</v>
      </c>
      <c r="G5963" s="46" t="s">
        <v>11419</v>
      </c>
      <c r="H5963" s="46" t="s">
        <v>27</v>
      </c>
      <c r="I5963" s="47">
        <v>5594</v>
      </c>
      <c r="J5963" s="58">
        <v>25</v>
      </c>
      <c r="K5963" s="59">
        <v>25222</v>
      </c>
      <c r="L5963" s="3" t="str">
        <f t="shared" si="193"/>
        <v>ΣΠΟΡΟΠΑΡΑΓΩΓΗ</v>
      </c>
    </row>
    <row r="5964" spans="1:12" x14ac:dyDescent="0.25">
      <c r="A5964" s="1" t="str">
        <f t="shared" si="192"/>
        <v>ΣΠΟΡΟΠΑΡΑΓΩΓΗΚΤΗΝΟΤΡΟΦΙΚΟ ΚΟΥΚΙ ΣΠΟΡΟΠΑΡΑΓΩΓΗΣ ENRICO</v>
      </c>
      <c r="B5964" s="55" t="s">
        <v>10973</v>
      </c>
      <c r="C5964" s="56" t="s">
        <v>11420</v>
      </c>
      <c r="D5964" s="6">
        <v>1568.73</v>
      </c>
      <c r="E5964" s="6">
        <v>1689.55</v>
      </c>
      <c r="F5964" s="57" t="s">
        <v>14</v>
      </c>
      <c r="G5964" s="46" t="s">
        <v>11421</v>
      </c>
      <c r="H5964" s="46" t="s">
        <v>27</v>
      </c>
      <c r="I5964" s="9">
        <v>5595</v>
      </c>
      <c r="J5964" s="58">
        <v>25</v>
      </c>
      <c r="K5964" s="59">
        <v>25223</v>
      </c>
      <c r="L5964" s="3" t="str">
        <f t="shared" si="193"/>
        <v>ΣΠΟΡΟΠΑΡΑΓΩΓΗ</v>
      </c>
    </row>
    <row r="5965" spans="1:12" x14ac:dyDescent="0.25">
      <c r="A5965" s="1" t="str">
        <f t="shared" si="192"/>
        <v>ΣΠΟΡΟΠΑΡΑΓΩΓΗΚΤΗΝΟΤΡΟΦΙΚΟ ΚΟΥΚΙ ΣΠΟΡΟΠΑΡΑΓΩΓΗΣ KASOS</v>
      </c>
      <c r="B5965" s="55" t="s">
        <v>10973</v>
      </c>
      <c r="C5965" s="56" t="s">
        <v>11422</v>
      </c>
      <c r="D5965" s="6">
        <v>1568.73</v>
      </c>
      <c r="E5965" s="6">
        <v>1689.55</v>
      </c>
      <c r="F5965" s="57" t="s">
        <v>14</v>
      </c>
      <c r="G5965" s="46" t="s">
        <v>11423</v>
      </c>
      <c r="H5965" s="46" t="s">
        <v>27</v>
      </c>
      <c r="I5965" s="47">
        <v>5596</v>
      </c>
      <c r="J5965" s="58">
        <v>25</v>
      </c>
      <c r="K5965" s="59">
        <v>25224</v>
      </c>
      <c r="L5965" s="3" t="str">
        <f t="shared" si="193"/>
        <v>ΣΠΟΡΟΠΑΡΑΓΩΓΗ</v>
      </c>
    </row>
    <row r="5966" spans="1:12" x14ac:dyDescent="0.25">
      <c r="A5966" s="1" t="str">
        <f t="shared" si="192"/>
        <v>ΣΠΟΡΟΠΑΡΑΓΩΓΗΤΡΙΦΥΛΛΙ ΑΛΕΞΑΝΔΡΙΝΟ ΣΠΟΡΟΠΑΡΑΓΩΓΗΣ MIRIAM</v>
      </c>
      <c r="B5966" s="55" t="s">
        <v>10973</v>
      </c>
      <c r="C5966" s="56" t="s">
        <v>11424</v>
      </c>
      <c r="D5966" s="6">
        <v>4227</v>
      </c>
      <c r="E5966" s="6">
        <v>4128</v>
      </c>
      <c r="F5966" s="57" t="s">
        <v>14</v>
      </c>
      <c r="G5966" s="46" t="s">
        <v>11425</v>
      </c>
      <c r="H5966" s="46" t="s">
        <v>27</v>
      </c>
      <c r="I5966" s="9">
        <v>5597</v>
      </c>
      <c r="J5966" s="58">
        <v>25</v>
      </c>
      <c r="K5966" s="59">
        <v>25225</v>
      </c>
      <c r="L5966" s="3" t="str">
        <f t="shared" si="193"/>
        <v>ΣΠΟΡΟΠΑΡΑΓΩΓΗ</v>
      </c>
    </row>
    <row r="5967" spans="1:12" x14ac:dyDescent="0.25">
      <c r="A5967" s="1" t="str">
        <f t="shared" si="192"/>
        <v>ΣΠΟΡΟΠΑΡΑΓΩΓΗΤΡΙΦΥΛΛΙ ΑΛΕΞΑΝΔΡΙΝΟ ΣΠΟΡΟΠΑΡΑΓΩΓΗΣ OTTO</v>
      </c>
      <c r="B5967" s="55" t="s">
        <v>10973</v>
      </c>
      <c r="C5967" s="56" t="s">
        <v>11426</v>
      </c>
      <c r="D5967" s="6">
        <v>4227</v>
      </c>
      <c r="E5967" s="6">
        <v>4128</v>
      </c>
      <c r="F5967" s="57" t="s">
        <v>14</v>
      </c>
      <c r="G5967" s="46" t="s">
        <v>11427</v>
      </c>
      <c r="H5967" s="46" t="s">
        <v>27</v>
      </c>
      <c r="I5967" s="47">
        <v>5598</v>
      </c>
      <c r="J5967" s="58">
        <v>25</v>
      </c>
      <c r="K5967" s="59">
        <v>25226</v>
      </c>
      <c r="L5967" s="3" t="str">
        <f t="shared" si="193"/>
        <v>ΣΠΟΡΟΠΑΡΑΓΩΓΗ</v>
      </c>
    </row>
    <row r="5968" spans="1:12" x14ac:dyDescent="0.25">
      <c r="A5968" s="1" t="str">
        <f t="shared" si="192"/>
        <v>ΣΠΟΡΟΠΑΡΑΓΩΓΗΦΑΣΟΛΙ ΣΠΟΡΟΠΑΡΑΓΩΓΗΣ ΚΟΚ 20</v>
      </c>
      <c r="B5968" s="55" t="s">
        <v>10973</v>
      </c>
      <c r="C5968" s="56" t="s">
        <v>11428</v>
      </c>
      <c r="D5968" s="6">
        <v>1568.73</v>
      </c>
      <c r="E5968" s="6">
        <v>1689.55</v>
      </c>
      <c r="F5968" s="57" t="s">
        <v>14</v>
      </c>
      <c r="G5968" s="46" t="s">
        <v>11429</v>
      </c>
      <c r="H5968" s="46" t="s">
        <v>27</v>
      </c>
      <c r="I5968" s="9">
        <v>5599</v>
      </c>
      <c r="J5968" s="58">
        <v>25</v>
      </c>
      <c r="K5968" s="59">
        <v>25227</v>
      </c>
      <c r="L5968" s="3" t="str">
        <f t="shared" si="193"/>
        <v>ΣΠΟΡΟΠΑΡΑΓΩΓΗ</v>
      </c>
    </row>
    <row r="5969" spans="1:12" x14ac:dyDescent="0.25">
      <c r="A5969" s="1" t="str">
        <f t="shared" si="192"/>
        <v>ΣΠΟΡΟΠΑΡΑΓΩΓΗΜΗΔΙΚΗ ΣΠΟΡΟΠΑΡΑΓΩΓΗΣ OLYMPOS</v>
      </c>
      <c r="B5969" s="55" t="s">
        <v>10973</v>
      </c>
      <c r="C5969" s="56" t="s">
        <v>11430</v>
      </c>
      <c r="D5969" s="6">
        <v>4227</v>
      </c>
      <c r="E5969" s="6">
        <v>4128</v>
      </c>
      <c r="F5969" s="57" t="s">
        <v>14</v>
      </c>
      <c r="G5969" s="46" t="s">
        <v>11431</v>
      </c>
      <c r="H5969" s="46" t="s">
        <v>27</v>
      </c>
      <c r="I5969" s="47">
        <v>5600</v>
      </c>
      <c r="J5969" s="58">
        <v>25</v>
      </c>
      <c r="K5969" s="59">
        <v>25228</v>
      </c>
      <c r="L5969" s="3" t="str">
        <f t="shared" si="193"/>
        <v>ΣΠΟΡΟΠΑΡΑΓΩΓΗ</v>
      </c>
    </row>
    <row r="5970" spans="1:12" x14ac:dyDescent="0.25">
      <c r="A5970" s="1" t="str">
        <f t="shared" si="192"/>
        <v>ΣΠΟΡΟΠΑΡΑΓΩΓΗΜΗΔΙΚΗ ΣΠΟΡΟΠΑΡΑΓΩΓΗΣ HYPERION</v>
      </c>
      <c r="B5970" s="55" t="s">
        <v>10973</v>
      </c>
      <c r="C5970" s="56" t="s">
        <v>11432</v>
      </c>
      <c r="D5970" s="6">
        <v>4227</v>
      </c>
      <c r="E5970" s="6">
        <v>4128</v>
      </c>
      <c r="F5970" s="57" t="s">
        <v>14</v>
      </c>
      <c r="G5970" s="46" t="s">
        <v>11433</v>
      </c>
      <c r="H5970" s="46" t="s">
        <v>27</v>
      </c>
      <c r="I5970" s="9">
        <v>5601</v>
      </c>
      <c r="J5970" s="58">
        <v>25</v>
      </c>
      <c r="K5970" s="59">
        <v>25229</v>
      </c>
      <c r="L5970" s="3" t="str">
        <f t="shared" si="193"/>
        <v>ΣΠΟΡΟΠΑΡΑΓΩΓΗ</v>
      </c>
    </row>
    <row r="5971" spans="1:12" x14ac:dyDescent="0.25">
      <c r="A5971" s="1" t="str">
        <f t="shared" si="192"/>
        <v>ΣΠΟΡΟΠΑΡΑΓΩΓΗΚΤΗΝΟΤΡΟΦΙΚΟ ΜΠΙΖΕΛΙ ΣΠΟΡΟΠΑΡΑΓΩΓΗΣ ARKTA</v>
      </c>
      <c r="B5971" s="55" t="s">
        <v>10973</v>
      </c>
      <c r="C5971" s="56" t="s">
        <v>11434</v>
      </c>
      <c r="D5971" s="6">
        <v>1568.73</v>
      </c>
      <c r="E5971" s="6">
        <v>1689.55</v>
      </c>
      <c r="F5971" s="46" t="s">
        <v>14</v>
      </c>
      <c r="G5971" s="63" t="s">
        <v>11435</v>
      </c>
      <c r="H5971" s="64" t="s">
        <v>577</v>
      </c>
      <c r="I5971" s="47">
        <v>6060</v>
      </c>
      <c r="J5971" s="63">
        <v>25</v>
      </c>
      <c r="K5971" s="63">
        <v>25230</v>
      </c>
      <c r="L5971" s="3" t="str">
        <f t="shared" si="193"/>
        <v>ΣΠΟΡΟΠΑΡΑΓΩΓΗ</v>
      </c>
    </row>
    <row r="5972" spans="1:12" x14ac:dyDescent="0.25">
      <c r="A5972" s="1" t="str">
        <f t="shared" si="192"/>
        <v>ΣΠΟΡΟΠΑΡΑΓΩΓΗΤΡΙΤΙΚΑΛΕ ΣΠΟΡΟΠΑΡΑΓΩΓΗΣ ZUHAT</v>
      </c>
      <c r="B5972" s="55" t="s">
        <v>10973</v>
      </c>
      <c r="C5972" s="56" t="s">
        <v>11436</v>
      </c>
      <c r="D5972" s="6">
        <v>363.85</v>
      </c>
      <c r="E5972" s="6">
        <v>331.13</v>
      </c>
      <c r="F5972" s="46" t="s">
        <v>14</v>
      </c>
      <c r="G5972" s="63" t="s">
        <v>11437</v>
      </c>
      <c r="H5972" s="64" t="s">
        <v>577</v>
      </c>
      <c r="I5972" s="9">
        <v>6237</v>
      </c>
      <c r="J5972" s="63">
        <v>25</v>
      </c>
      <c r="K5972" s="63">
        <v>25231</v>
      </c>
      <c r="L5972" s="3" t="str">
        <f t="shared" si="193"/>
        <v>ΣΠΟΡΟΠΑΡΑΓΩΓΗ</v>
      </c>
    </row>
    <row r="5973" spans="1:12" x14ac:dyDescent="0.25">
      <c r="A5973" s="1" t="str">
        <f t="shared" si="192"/>
        <v>ΣΠΟΡΟΠΑΡΑΓΩΓΗΜΗΔΙΚΗ ΣΠΟΡΟΠΑΡΑΓΩΓΗΣ SCALIGERA</v>
      </c>
      <c r="B5973" s="55" t="s">
        <v>10973</v>
      </c>
      <c r="C5973" s="56" t="s">
        <v>11438</v>
      </c>
      <c r="D5973" s="6">
        <v>4227</v>
      </c>
      <c r="E5973" s="6">
        <v>4128</v>
      </c>
      <c r="F5973" s="46" t="s">
        <v>14</v>
      </c>
      <c r="G5973" s="63" t="s">
        <v>11439</v>
      </c>
      <c r="H5973" s="64" t="s">
        <v>577</v>
      </c>
      <c r="I5973" s="47">
        <v>6081</v>
      </c>
      <c r="J5973" s="63">
        <v>25</v>
      </c>
      <c r="K5973" s="63">
        <v>25232</v>
      </c>
      <c r="L5973" s="3" t="str">
        <f t="shared" si="193"/>
        <v>ΣΠΟΡΟΠΑΡΑΓΩΓΗ</v>
      </c>
    </row>
    <row r="5974" spans="1:12" x14ac:dyDescent="0.25">
      <c r="A5974" s="1" t="str">
        <f t="shared" si="192"/>
        <v>ΣΠΟΡΟΠΑΡΑΓΩΓΗΜΗΔΙΚΗ ΣΠΟΡΟΠΑΡΑΓΩΓΗΣ LETIZIA</v>
      </c>
      <c r="B5974" s="55" t="s">
        <v>10973</v>
      </c>
      <c r="C5974" s="56" t="s">
        <v>11440</v>
      </c>
      <c r="D5974" s="6">
        <v>4227</v>
      </c>
      <c r="E5974" s="6">
        <v>4128</v>
      </c>
      <c r="F5974" s="46" t="s">
        <v>14</v>
      </c>
      <c r="G5974" s="63" t="s">
        <v>11441</v>
      </c>
      <c r="H5974" s="64" t="s">
        <v>577</v>
      </c>
      <c r="I5974" s="9">
        <v>6080</v>
      </c>
      <c r="J5974" s="63">
        <v>25</v>
      </c>
      <c r="K5974" s="63">
        <v>25233</v>
      </c>
      <c r="L5974" s="3" t="str">
        <f t="shared" si="193"/>
        <v>ΣΠΟΡΟΠΑΡΑΓΩΓΗ</v>
      </c>
    </row>
    <row r="5975" spans="1:12" x14ac:dyDescent="0.25">
      <c r="A5975" s="1" t="str">
        <f t="shared" si="192"/>
        <v>ΣΠΟΡΟΠΑΡΑΓΩΓΗΒΙΚΟΣ ΣΠΟΡΟΠΑΡΑΓΩΓΗΣ GRAVESA 81</v>
      </c>
      <c r="B5975" s="55" t="s">
        <v>10973</v>
      </c>
      <c r="C5975" s="56" t="s">
        <v>11442</v>
      </c>
      <c r="D5975" s="6">
        <v>1515.84</v>
      </c>
      <c r="E5975" s="6">
        <v>3106.63</v>
      </c>
      <c r="F5975" s="46" t="s">
        <v>14</v>
      </c>
      <c r="G5975" s="63" t="s">
        <v>11443</v>
      </c>
      <c r="H5975" s="64" t="s">
        <v>577</v>
      </c>
      <c r="I5975" s="47">
        <v>5957</v>
      </c>
      <c r="J5975" s="63">
        <v>25</v>
      </c>
      <c r="K5975" s="63">
        <v>25234</v>
      </c>
      <c r="L5975" s="3" t="str">
        <f t="shared" si="193"/>
        <v>ΣΠΟΡΟΠΑΡΑΓΩΓΗ</v>
      </c>
    </row>
    <row r="5976" spans="1:12" x14ac:dyDescent="0.25">
      <c r="A5976" s="1" t="str">
        <f t="shared" si="192"/>
        <v>ΣΠΟΡΟΠΑΡΑΓΩΓΗΜΗΔΙΚΗ EUGENIA</v>
      </c>
      <c r="B5976" s="55" t="s">
        <v>10973</v>
      </c>
      <c r="C5976" s="56" t="s">
        <v>5989</v>
      </c>
      <c r="D5976" s="6">
        <v>4227</v>
      </c>
      <c r="E5976" s="6">
        <v>4128</v>
      </c>
      <c r="F5976" s="46" t="s">
        <v>14</v>
      </c>
      <c r="G5976" s="63" t="s">
        <v>11444</v>
      </c>
      <c r="H5976" s="64" t="s">
        <v>577</v>
      </c>
      <c r="I5976" s="9">
        <v>6070</v>
      </c>
      <c r="J5976" s="63">
        <v>25</v>
      </c>
      <c r="K5976" s="63">
        <v>25235</v>
      </c>
      <c r="L5976" s="3" t="str">
        <f t="shared" si="193"/>
        <v>ΣΠΟΡΟΠΑΡΑΓΩΓΗ</v>
      </c>
    </row>
    <row r="5977" spans="1:12" x14ac:dyDescent="0.25">
      <c r="A5977" s="1" t="str">
        <f t="shared" si="192"/>
        <v>ΣΠΟΡΟΠΑΡΑΓΩΓΗΜΗΔΙΚΗ GUILIA</v>
      </c>
      <c r="B5977" s="55" t="s">
        <v>10973</v>
      </c>
      <c r="C5977" s="56" t="s">
        <v>5991</v>
      </c>
      <c r="D5977" s="6">
        <v>4227</v>
      </c>
      <c r="E5977" s="6">
        <v>4128</v>
      </c>
      <c r="F5977" s="46" t="s">
        <v>14</v>
      </c>
      <c r="G5977" s="63" t="s">
        <v>11445</v>
      </c>
      <c r="H5977" s="64" t="s">
        <v>577</v>
      </c>
      <c r="I5977" s="47">
        <v>6072</v>
      </c>
      <c r="J5977" s="63">
        <v>25</v>
      </c>
      <c r="K5977" s="63">
        <v>25236</v>
      </c>
      <c r="L5977" s="3" t="str">
        <f t="shared" si="193"/>
        <v>ΣΠΟΡΟΠΑΡΑΓΩΓΗ</v>
      </c>
    </row>
    <row r="5978" spans="1:12" x14ac:dyDescent="0.25">
      <c r="A5978" s="1" t="str">
        <f t="shared" si="192"/>
        <v>ΣΠΟΡΟΠΑΡΑΓΩΓΗΡΥΖΙ ΣΠΟΡΟΠΑΡΑΓΩΓΗΣ ISPANIKI "A" (ΙΣΠΑΝΙΚΗ Α)</v>
      </c>
      <c r="B5978" s="49" t="s">
        <v>10973</v>
      </c>
      <c r="C5978" s="50" t="s">
        <v>11446</v>
      </c>
      <c r="D5978" s="6">
        <v>1929.32</v>
      </c>
      <c r="E5978" s="6">
        <v>1033</v>
      </c>
      <c r="F5978" s="46" t="s">
        <v>14</v>
      </c>
      <c r="G5978" s="46" t="s">
        <v>11447</v>
      </c>
      <c r="H5978" s="46" t="s">
        <v>27</v>
      </c>
      <c r="I5978" s="9">
        <v>1715</v>
      </c>
      <c r="J5978" s="51">
        <v>25</v>
      </c>
      <c r="K5978" s="51">
        <v>7501</v>
      </c>
      <c r="L5978" s="3" t="str">
        <f t="shared" si="193"/>
        <v>ΣΠΟΡΟΠΑΡΑΓΩΓΗ</v>
      </c>
    </row>
    <row r="5979" spans="1:12" x14ac:dyDescent="0.25">
      <c r="A5979" s="1" t="str">
        <f t="shared" si="192"/>
        <v>ΣΠΟΡΟΠΑΡΑΓΩΓΗΡΥΖΙ ΣΠΟΡΟΠΑΡΑΓΩΓΗΣ MAKEDONIA (ΜΑΚΕΔΟΝΙΑ)</v>
      </c>
      <c r="B5979" s="49" t="s">
        <v>10973</v>
      </c>
      <c r="C5979" s="50" t="s">
        <v>11448</v>
      </c>
      <c r="D5979" s="6">
        <v>1929.32</v>
      </c>
      <c r="E5979" s="6">
        <v>1033</v>
      </c>
      <c r="F5979" s="46" t="s">
        <v>14</v>
      </c>
      <c r="G5979" s="46" t="s">
        <v>11449</v>
      </c>
      <c r="H5979" s="46" t="s">
        <v>27</v>
      </c>
      <c r="I5979" s="47">
        <v>1713</v>
      </c>
      <c r="J5979" s="51">
        <v>25</v>
      </c>
      <c r="K5979" s="51">
        <v>7502</v>
      </c>
      <c r="L5979" s="3" t="str">
        <f t="shared" si="193"/>
        <v>ΣΠΟΡΟΠΑΡΑΓΩΓΗ</v>
      </c>
    </row>
    <row r="5980" spans="1:12" x14ac:dyDescent="0.25">
      <c r="A5980" s="1" t="str">
        <f t="shared" si="192"/>
        <v>ΣΠΟΡΟΠΑΡΑΓΩΓΗΡΥΖΙ ΣΠΟΡΟΠΑΡΑΓΩΓΗΣ AXIOS (ΑΞΙΟΣ)</v>
      </c>
      <c r="B5980" s="49" t="s">
        <v>10973</v>
      </c>
      <c r="C5980" s="50" t="s">
        <v>11450</v>
      </c>
      <c r="D5980" s="6">
        <v>1929.32</v>
      </c>
      <c r="E5980" s="6">
        <v>1033</v>
      </c>
      <c r="F5980" s="46" t="s">
        <v>14</v>
      </c>
      <c r="G5980" s="46" t="s">
        <v>11451</v>
      </c>
      <c r="H5980" s="46" t="s">
        <v>27</v>
      </c>
      <c r="I5980" s="9">
        <v>1743</v>
      </c>
      <c r="J5980" s="51">
        <v>25</v>
      </c>
      <c r="K5980" s="51">
        <v>7503</v>
      </c>
      <c r="L5980" s="3" t="str">
        <f t="shared" si="193"/>
        <v>ΣΠΟΡΟΠΑΡΑΓΩΓΗ</v>
      </c>
    </row>
    <row r="5981" spans="1:12" x14ac:dyDescent="0.25">
      <c r="A5981" s="1" t="str">
        <f t="shared" si="192"/>
        <v>ΣΠΟΡΟΠΑΡΑΓΩΓΗΡΥΖΙ ΣΠΟΡΟΠΑΡΑΓΩΓΗΣ DION (ΔΙΟΝ)</v>
      </c>
      <c r="B5981" s="49" t="s">
        <v>10973</v>
      </c>
      <c r="C5981" s="50" t="s">
        <v>11452</v>
      </c>
      <c r="D5981" s="6">
        <v>1929.32</v>
      </c>
      <c r="E5981" s="6">
        <v>1033</v>
      </c>
      <c r="F5981" s="46" t="s">
        <v>14</v>
      </c>
      <c r="G5981" s="46" t="s">
        <v>11453</v>
      </c>
      <c r="H5981" s="46" t="s">
        <v>27</v>
      </c>
      <c r="I5981" s="47">
        <v>1702</v>
      </c>
      <c r="J5981" s="51">
        <v>25</v>
      </c>
      <c r="K5981" s="51">
        <v>7504</v>
      </c>
      <c r="L5981" s="3" t="str">
        <f t="shared" si="193"/>
        <v>ΣΠΟΡΟΠΑΡΑΓΩΓΗ</v>
      </c>
    </row>
    <row r="5982" spans="1:12" x14ac:dyDescent="0.25">
      <c r="A5982" s="1" t="str">
        <f t="shared" si="192"/>
        <v>ΣΠΟΡΟΠΑΡΑΓΩΓΗΡΥΖΙ ΣΠΟΡΟΠΑΡΑΓΩΓΗΣ EVROPI (ΕΥΡΩΠΗ)</v>
      </c>
      <c r="B5982" s="49" t="s">
        <v>10973</v>
      </c>
      <c r="C5982" s="50" t="s">
        <v>11454</v>
      </c>
      <c r="D5982" s="6">
        <v>1929.32</v>
      </c>
      <c r="E5982" s="6">
        <v>1033</v>
      </c>
      <c r="F5982" s="46" t="s">
        <v>14</v>
      </c>
      <c r="G5982" s="46" t="s">
        <v>11455</v>
      </c>
      <c r="H5982" s="46" t="s">
        <v>27</v>
      </c>
      <c r="I5982" s="9">
        <v>1703</v>
      </c>
      <c r="J5982" s="51">
        <v>25</v>
      </c>
      <c r="K5982" s="51">
        <v>7505</v>
      </c>
      <c r="L5982" s="3" t="str">
        <f t="shared" si="193"/>
        <v>ΣΠΟΡΟΠΑΡΑΓΩΓΗ</v>
      </c>
    </row>
    <row r="5983" spans="1:12" x14ac:dyDescent="0.25">
      <c r="A5983" s="1" t="str">
        <f t="shared" si="192"/>
        <v>ΣΠΟΡΟΠΑΡΑΓΩΓΗΡΥΖΙ ΣΠΟΡΟΠΑΡΑΓΩΓΗΣ MELAS (ΜΕΛΑΣ)</v>
      </c>
      <c r="B5983" s="49" t="s">
        <v>10973</v>
      </c>
      <c r="C5983" s="50" t="s">
        <v>11456</v>
      </c>
      <c r="D5983" s="6">
        <v>1929.32</v>
      </c>
      <c r="E5983" s="6">
        <v>1033</v>
      </c>
      <c r="F5983" s="46" t="s">
        <v>14</v>
      </c>
      <c r="G5983" s="46" t="s">
        <v>11457</v>
      </c>
      <c r="H5983" s="46" t="s">
        <v>27</v>
      </c>
      <c r="I5983" s="47">
        <v>1704</v>
      </c>
      <c r="J5983" s="51">
        <v>25</v>
      </c>
      <c r="K5983" s="51">
        <v>7506</v>
      </c>
      <c r="L5983" s="3" t="str">
        <f t="shared" si="193"/>
        <v>ΣΠΟΡΟΠΑΡΑΓΩΓΗ</v>
      </c>
    </row>
    <row r="5984" spans="1:12" x14ac:dyDescent="0.25">
      <c r="A5984" s="1" t="str">
        <f t="shared" si="192"/>
        <v>ΣΠΟΡΟΠΑΡΑΓΩΓΗΡΥΖΙ ΣΠΟΡΟΠΑΡΑΓΩΓΗΣ ROXANI (ΡΩΞΑΝΗ)</v>
      </c>
      <c r="B5984" s="49" t="s">
        <v>10973</v>
      </c>
      <c r="C5984" s="50" t="s">
        <v>11458</v>
      </c>
      <c r="D5984" s="6">
        <v>1929.32</v>
      </c>
      <c r="E5984" s="6">
        <v>1033</v>
      </c>
      <c r="F5984" s="46" t="s">
        <v>14</v>
      </c>
      <c r="G5984" s="46" t="s">
        <v>11459</v>
      </c>
      <c r="H5984" s="46" t="s">
        <v>27</v>
      </c>
      <c r="I5984" s="9">
        <v>1705</v>
      </c>
      <c r="J5984" s="51">
        <v>25</v>
      </c>
      <c r="K5984" s="51">
        <v>7507</v>
      </c>
      <c r="L5984" s="3" t="str">
        <f t="shared" si="193"/>
        <v>ΣΠΟΡΟΠΑΡΑΓΩΓΗ</v>
      </c>
    </row>
    <row r="5985" spans="1:12" x14ac:dyDescent="0.25">
      <c r="A5985" s="1" t="str">
        <f t="shared" si="192"/>
        <v>ΣΠΟΡΟΠΑΡΑΓΩΓΗΡΥΖΙ ΣΠΟΡΟΠΑΡΑΓΩΓΗΣ STRYMONAS (ΣΤΡΥΜΩΝΑΣ)</v>
      </c>
      <c r="B5985" s="49" t="s">
        <v>10973</v>
      </c>
      <c r="C5985" s="50" t="s">
        <v>11460</v>
      </c>
      <c r="D5985" s="6">
        <v>1929.32</v>
      </c>
      <c r="E5985" s="6">
        <v>1033</v>
      </c>
      <c r="F5985" s="46" t="s">
        <v>14</v>
      </c>
      <c r="G5985" s="46" t="s">
        <v>11461</v>
      </c>
      <c r="H5985" s="46" t="s">
        <v>27</v>
      </c>
      <c r="I5985" s="47">
        <v>1706</v>
      </c>
      <c r="J5985" s="51">
        <v>25</v>
      </c>
      <c r="K5985" s="51">
        <v>7508</v>
      </c>
      <c r="L5985" s="3" t="str">
        <f t="shared" si="193"/>
        <v>ΣΠΟΡΟΠΑΡΑΓΩΓΗ</v>
      </c>
    </row>
    <row r="5986" spans="1:12" x14ac:dyDescent="0.25">
      <c r="A5986" s="1" t="str">
        <f t="shared" si="192"/>
        <v>ΣΠΟΡΟΠΑΡΑΓΩΓΗPYZΙ ΣΠΟΡΟΠΑΡΑΓΩΓΗΣ ARIETE</v>
      </c>
      <c r="B5986" s="49" t="s">
        <v>10973</v>
      </c>
      <c r="C5986" s="50" t="s">
        <v>11462</v>
      </c>
      <c r="D5986" s="6">
        <v>1929.32</v>
      </c>
      <c r="E5986" s="6">
        <v>1033</v>
      </c>
      <c r="F5986" s="46" t="s">
        <v>14</v>
      </c>
      <c r="G5986" s="46" t="s">
        <v>11463</v>
      </c>
      <c r="H5986" s="46" t="s">
        <v>27</v>
      </c>
      <c r="I5986" s="9">
        <v>1707</v>
      </c>
      <c r="J5986" s="51">
        <v>25</v>
      </c>
      <c r="K5986" s="51">
        <v>7509</v>
      </c>
      <c r="L5986" s="3" t="str">
        <f t="shared" si="193"/>
        <v>ΣΠΟΡΟΠΑΡΑΓΩΓΗ</v>
      </c>
    </row>
    <row r="5987" spans="1:12" x14ac:dyDescent="0.25">
      <c r="A5987" s="1" t="str">
        <f t="shared" si="192"/>
        <v>ΣΠΟΡΟΠΑΡΑΓΩΓΗPYZΙ ΣΠΟΡΟΠΑΡΑΓΩΓΗΣ LIDO</v>
      </c>
      <c r="B5987" s="49" t="s">
        <v>10973</v>
      </c>
      <c r="C5987" s="50" t="s">
        <v>11464</v>
      </c>
      <c r="D5987" s="6">
        <v>1929.32</v>
      </c>
      <c r="E5987" s="6">
        <v>1033</v>
      </c>
      <c r="F5987" s="46" t="s">
        <v>14</v>
      </c>
      <c r="G5987" s="46" t="s">
        <v>11465</v>
      </c>
      <c r="H5987" s="46" t="s">
        <v>27</v>
      </c>
      <c r="I5987" s="47">
        <v>1708</v>
      </c>
      <c r="J5987" s="51">
        <v>25</v>
      </c>
      <c r="K5987" s="51">
        <v>7510</v>
      </c>
      <c r="L5987" s="3" t="str">
        <f t="shared" si="193"/>
        <v>ΣΠΟΡΟΠΑΡΑΓΩΓΗ</v>
      </c>
    </row>
    <row r="5988" spans="1:12" x14ac:dyDescent="0.25">
      <c r="A5988" s="1" t="str">
        <f t="shared" si="192"/>
        <v>ΣΠΟΡΟΠΑΡΑΓΩΓΗPYZΙ ΣΠΟΡΟΠΑΡΑΓΩΓΗΣ KORAL</v>
      </c>
      <c r="B5988" s="49" t="s">
        <v>10973</v>
      </c>
      <c r="C5988" s="50" t="s">
        <v>11466</v>
      </c>
      <c r="D5988" s="6">
        <v>1929.32</v>
      </c>
      <c r="E5988" s="6">
        <v>1033</v>
      </c>
      <c r="F5988" s="46" t="s">
        <v>14</v>
      </c>
      <c r="G5988" s="46" t="s">
        <v>11467</v>
      </c>
      <c r="H5988" s="46" t="s">
        <v>27</v>
      </c>
      <c r="I5988" s="9">
        <v>1709</v>
      </c>
      <c r="J5988" s="51">
        <v>25</v>
      </c>
      <c r="K5988" s="51">
        <v>7511</v>
      </c>
      <c r="L5988" s="3" t="str">
        <f t="shared" si="193"/>
        <v>ΣΠΟΡΟΠΑΡΑΓΩΓΗ</v>
      </c>
    </row>
    <row r="5989" spans="1:12" x14ac:dyDescent="0.25">
      <c r="A5989" s="1" t="str">
        <f t="shared" si="192"/>
        <v>ΣΠΟΡΟΠΑΡΑΓΩΓΗPYZΙ ΣΠΟΡΟΠΑΡΑΓΩΓΗΣ TURBO</v>
      </c>
      <c r="B5989" s="49" t="s">
        <v>10973</v>
      </c>
      <c r="C5989" s="50" t="s">
        <v>11468</v>
      </c>
      <c r="D5989" s="6">
        <v>1929.32</v>
      </c>
      <c r="E5989" s="6">
        <v>1033</v>
      </c>
      <c r="F5989" s="46" t="s">
        <v>14</v>
      </c>
      <c r="G5989" s="46" t="s">
        <v>11469</v>
      </c>
      <c r="H5989" s="46" t="s">
        <v>27</v>
      </c>
      <c r="I5989" s="47">
        <v>1710</v>
      </c>
      <c r="J5989" s="51">
        <v>25</v>
      </c>
      <c r="K5989" s="51">
        <v>7512</v>
      </c>
      <c r="L5989" s="3" t="str">
        <f t="shared" si="193"/>
        <v>ΣΠΟΡΟΠΑΡΑΓΩΓΗ</v>
      </c>
    </row>
    <row r="5990" spans="1:12" x14ac:dyDescent="0.25">
      <c r="A5990" s="1" t="str">
        <f t="shared" si="192"/>
        <v>ΣΠΟΡΟΠΑΡΑΓΩΓΗPYZΙ ΣΠΟΡΟΠΑΡΑΓΩΓΗΣ CHERVO</v>
      </c>
      <c r="B5990" s="49" t="s">
        <v>10973</v>
      </c>
      <c r="C5990" s="50" t="s">
        <v>11470</v>
      </c>
      <c r="D5990" s="6">
        <v>1929.32</v>
      </c>
      <c r="E5990" s="6">
        <v>1033</v>
      </c>
      <c r="F5990" s="46" t="s">
        <v>14</v>
      </c>
      <c r="G5990" s="46" t="s">
        <v>11471</v>
      </c>
      <c r="H5990" s="46" t="s">
        <v>27</v>
      </c>
      <c r="I5990" s="9">
        <v>1711</v>
      </c>
      <c r="J5990" s="51">
        <v>25</v>
      </c>
      <c r="K5990" s="51">
        <v>7513</v>
      </c>
      <c r="L5990" s="3" t="str">
        <f t="shared" si="193"/>
        <v>ΣΠΟΡΟΠΑΡΑΓΩΓΗ</v>
      </c>
    </row>
    <row r="5991" spans="1:12" x14ac:dyDescent="0.25">
      <c r="A5991" s="1" t="str">
        <f t="shared" si="192"/>
        <v>ΣΠΟΡΟΠΑΡΑΓΩΓΗPYZΙ ΣΠΟΡΟΠΑΡΑΓΩΓΗΣ ZENA</v>
      </c>
      <c r="B5991" s="49" t="s">
        <v>10973</v>
      </c>
      <c r="C5991" s="50" t="s">
        <v>11472</v>
      </c>
      <c r="D5991" s="6">
        <v>1929.32</v>
      </c>
      <c r="E5991" s="6">
        <v>1033</v>
      </c>
      <c r="F5991" s="46" t="s">
        <v>14</v>
      </c>
      <c r="G5991" s="46" t="s">
        <v>11473</v>
      </c>
      <c r="H5991" s="46" t="s">
        <v>27</v>
      </c>
      <c r="I5991" s="47">
        <v>1712</v>
      </c>
      <c r="J5991" s="51">
        <v>25</v>
      </c>
      <c r="K5991" s="51">
        <v>7514</v>
      </c>
      <c r="L5991" s="3" t="str">
        <f t="shared" si="193"/>
        <v>ΣΠΟΡΟΠΑΡΑΓΩΓΗ</v>
      </c>
    </row>
    <row r="5992" spans="1:12" x14ac:dyDescent="0.25">
      <c r="A5992" s="1" t="str">
        <f t="shared" si="192"/>
        <v>ΣΠΟΡΟΠΑΡΑΓΩΓΗPYZΙ ΣΠΟΡΟΠΑΡΑΓΩΓΗΣ SMERALDO</v>
      </c>
      <c r="B5992" s="49" t="s">
        <v>10973</v>
      </c>
      <c r="C5992" s="50" t="s">
        <v>11474</v>
      </c>
      <c r="D5992" s="6">
        <v>1929.32</v>
      </c>
      <c r="E5992" s="6">
        <v>1033</v>
      </c>
      <c r="F5992" s="46" t="s">
        <v>14</v>
      </c>
      <c r="G5992" s="46" t="s">
        <v>11475</v>
      </c>
      <c r="H5992" s="46" t="s">
        <v>27</v>
      </c>
      <c r="I5992" s="9">
        <v>1729</v>
      </c>
      <c r="J5992" s="51">
        <v>25</v>
      </c>
      <c r="K5992" s="51">
        <v>7515</v>
      </c>
      <c r="L5992" s="3" t="str">
        <f t="shared" si="193"/>
        <v>ΣΠΟΡΟΠΑΡΑΓΩΓΗ</v>
      </c>
    </row>
    <row r="5993" spans="1:12" x14ac:dyDescent="0.25">
      <c r="A5993" s="1" t="str">
        <f t="shared" si="192"/>
        <v>ΣΠΟΡΟΠΑΡΑΓΩΓΗPYZΙ ΣΠΟΡΟΠΑΡΑΓΩΓΗΣ THAIBONNET ή L-202</v>
      </c>
      <c r="B5993" s="49" t="s">
        <v>10973</v>
      </c>
      <c r="C5993" s="50" t="s">
        <v>11476</v>
      </c>
      <c r="D5993" s="6">
        <v>1929.32</v>
      </c>
      <c r="E5993" s="6">
        <v>1033</v>
      </c>
      <c r="F5993" s="46" t="s">
        <v>14</v>
      </c>
      <c r="G5993" s="46" t="s">
        <v>11477</v>
      </c>
      <c r="H5993" s="46" t="s">
        <v>27</v>
      </c>
      <c r="I5993" s="47">
        <v>1714</v>
      </c>
      <c r="J5993" s="51">
        <v>25</v>
      </c>
      <c r="K5993" s="51">
        <v>7516</v>
      </c>
      <c r="L5993" s="3" t="str">
        <f t="shared" si="193"/>
        <v>ΣΠΟΡΟΠΑΡΑΓΩΓΗ</v>
      </c>
    </row>
    <row r="5994" spans="1:12" x14ac:dyDescent="0.25">
      <c r="A5994" s="1" t="str">
        <f t="shared" si="192"/>
        <v>ΣΠΟΡΟΠΑΡΑΓΩΓΗΡΥΖΙ ΣΠΟΡΟΠΑΡΑΓΩΓΗΣ ARCADIA</v>
      </c>
      <c r="B5994" s="49" t="s">
        <v>10973</v>
      </c>
      <c r="C5994" s="50" t="s">
        <v>11478</v>
      </c>
      <c r="D5994" s="6">
        <v>1929.32</v>
      </c>
      <c r="E5994" s="6">
        <v>1033</v>
      </c>
      <c r="F5994" s="46" t="s">
        <v>14</v>
      </c>
      <c r="G5994" s="46" t="s">
        <v>11479</v>
      </c>
      <c r="H5994" s="46" t="s">
        <v>27</v>
      </c>
      <c r="I5994" s="9">
        <v>1751</v>
      </c>
      <c r="J5994" s="51">
        <v>25</v>
      </c>
      <c r="K5994" s="51">
        <v>7517</v>
      </c>
      <c r="L5994" s="3" t="str">
        <f t="shared" si="193"/>
        <v>ΣΠΟΡΟΠΑΡΑΓΩΓΗ</v>
      </c>
    </row>
    <row r="5995" spans="1:12" x14ac:dyDescent="0.25">
      <c r="A5995" s="1" t="str">
        <f t="shared" si="192"/>
        <v>ΣΠΟΡΟΠΑΡΑΓΩΓΗΡΥΖΙ ΣΠΟΡΟΠΑΡΑΓΩΓΗΣ COCO</v>
      </c>
      <c r="B5995" s="49" t="s">
        <v>10973</v>
      </c>
      <c r="C5995" s="50" t="s">
        <v>11480</v>
      </c>
      <c r="D5995" s="6">
        <v>1929.32</v>
      </c>
      <c r="E5995" s="6">
        <v>1033</v>
      </c>
      <c r="F5995" s="46" t="s">
        <v>14</v>
      </c>
      <c r="G5995" s="46" t="s">
        <v>11481</v>
      </c>
      <c r="H5995" s="46" t="s">
        <v>27</v>
      </c>
      <c r="I5995" s="47">
        <v>1758</v>
      </c>
      <c r="J5995" s="51">
        <v>25</v>
      </c>
      <c r="K5995" s="51">
        <v>7518</v>
      </c>
      <c r="L5995" s="3" t="str">
        <f t="shared" si="193"/>
        <v>ΣΠΟΡΟΠΑΡΑΓΩΓΗ</v>
      </c>
    </row>
    <row r="5996" spans="1:12" x14ac:dyDescent="0.25">
      <c r="A5996" s="1" t="str">
        <f t="shared" si="192"/>
        <v>ΣΠΟΡΟΠΑΡΑΓΩΓΗΡΥΖΙ ΣΠΟΡΟΠΑΡΑΓΩΓΗΣ COSMIC</v>
      </c>
      <c r="B5996" s="49" t="s">
        <v>10973</v>
      </c>
      <c r="C5996" s="50" t="s">
        <v>11482</v>
      </c>
      <c r="D5996" s="6">
        <v>1929.32</v>
      </c>
      <c r="E5996" s="6">
        <v>1033</v>
      </c>
      <c r="F5996" s="46" t="s">
        <v>14</v>
      </c>
      <c r="G5996" s="46" t="s">
        <v>11483</v>
      </c>
      <c r="H5996" s="46" t="s">
        <v>27</v>
      </c>
      <c r="I5996" s="9">
        <v>1757</v>
      </c>
      <c r="J5996" s="51">
        <v>25</v>
      </c>
      <c r="K5996" s="51">
        <v>7519</v>
      </c>
      <c r="L5996" s="3" t="str">
        <f t="shared" si="193"/>
        <v>ΣΠΟΡΟΠΑΡΑΓΩΓΗ</v>
      </c>
    </row>
    <row r="5997" spans="1:12" x14ac:dyDescent="0.25">
      <c r="A5997" s="1" t="str">
        <f t="shared" si="192"/>
        <v>ΣΠΟΡΟΠΑΡΑΓΩΓΗΡΥΖΙ ΣΠΟΡΟΠΑΡΑΓΩΓΗΣ EDEN</v>
      </c>
      <c r="B5997" s="49" t="s">
        <v>10973</v>
      </c>
      <c r="C5997" s="50" t="s">
        <v>11484</v>
      </c>
      <c r="D5997" s="6">
        <v>1929.32</v>
      </c>
      <c r="E5997" s="6">
        <v>1033</v>
      </c>
      <c r="F5997" s="46" t="s">
        <v>14</v>
      </c>
      <c r="G5997" s="46" t="s">
        <v>11485</v>
      </c>
      <c r="H5997" s="46" t="s">
        <v>27</v>
      </c>
      <c r="I5997" s="47">
        <v>1756</v>
      </c>
      <c r="J5997" s="51">
        <v>25</v>
      </c>
      <c r="K5997" s="51">
        <v>7520</v>
      </c>
      <c r="L5997" s="3" t="str">
        <f t="shared" si="193"/>
        <v>ΣΠΟΡΟΠΑΡΑΓΩΓΗ</v>
      </c>
    </row>
    <row r="5998" spans="1:12" x14ac:dyDescent="0.25">
      <c r="A5998" s="1" t="str">
        <f t="shared" si="192"/>
        <v>ΣΠΟΡΟΠΑΡΑΓΩΓΗΡΥΖΙ ΣΠΟΡΟΠΑΡΑΓΩΓΗΣ FILIRA</v>
      </c>
      <c r="B5998" s="49" t="s">
        <v>10973</v>
      </c>
      <c r="C5998" s="50" t="s">
        <v>11486</v>
      </c>
      <c r="D5998" s="6">
        <v>1929.32</v>
      </c>
      <c r="E5998" s="6">
        <v>1033</v>
      </c>
      <c r="F5998" s="46" t="s">
        <v>14</v>
      </c>
      <c r="G5998" s="46" t="s">
        <v>11487</v>
      </c>
      <c r="H5998" s="46" t="s">
        <v>27</v>
      </c>
      <c r="I5998" s="9">
        <v>1755</v>
      </c>
      <c r="J5998" s="51">
        <v>25</v>
      </c>
      <c r="K5998" s="51">
        <v>7521</v>
      </c>
      <c r="L5998" s="3" t="str">
        <f t="shared" si="193"/>
        <v>ΣΠΟΡΟΠΑΡΑΓΩΓΗ</v>
      </c>
    </row>
    <row r="5999" spans="1:12" x14ac:dyDescent="0.25">
      <c r="A5999" s="1" t="str">
        <f t="shared" si="192"/>
        <v>ΣΠΟΡΟΠΑΡΑΓΩΓΗΡΥΖΙ ΣΠΟΡΟΠΑΡΑΓΩΓΗΣ KIR</v>
      </c>
      <c r="B5999" s="49" t="s">
        <v>10973</v>
      </c>
      <c r="C5999" s="50" t="s">
        <v>11488</v>
      </c>
      <c r="D5999" s="6">
        <v>1929.32</v>
      </c>
      <c r="E5999" s="6">
        <v>1033</v>
      </c>
      <c r="F5999" s="46" t="s">
        <v>14</v>
      </c>
      <c r="G5999" s="46" t="s">
        <v>11489</v>
      </c>
      <c r="H5999" s="46" t="s">
        <v>27</v>
      </c>
      <c r="I5999" s="47">
        <v>1754</v>
      </c>
      <c r="J5999" s="51">
        <v>25</v>
      </c>
      <c r="K5999" s="51">
        <v>7522</v>
      </c>
      <c r="L5999" s="3" t="str">
        <f t="shared" si="193"/>
        <v>ΣΠΟΡΟΠΑΡΑΓΩΓΗ</v>
      </c>
    </row>
    <row r="6000" spans="1:12" x14ac:dyDescent="0.25">
      <c r="A6000" s="1" t="str">
        <f t="shared" si="192"/>
        <v>ΣΠΟΡΟΠΑΡΑΓΩΓΗΡΥΖΙ ΣΠΟΡΟΠΑΡΑΓΩΓΗΣ MISTIK</v>
      </c>
      <c r="B6000" s="49" t="s">
        <v>10973</v>
      </c>
      <c r="C6000" s="50" t="s">
        <v>11490</v>
      </c>
      <c r="D6000" s="6">
        <v>1929.32</v>
      </c>
      <c r="E6000" s="6">
        <v>1033</v>
      </c>
      <c r="F6000" s="46" t="s">
        <v>14</v>
      </c>
      <c r="G6000" s="46" t="s">
        <v>11491</v>
      </c>
      <c r="H6000" s="46" t="s">
        <v>27</v>
      </c>
      <c r="I6000" s="9">
        <v>1753</v>
      </c>
      <c r="J6000" s="51">
        <v>25</v>
      </c>
      <c r="K6000" s="51">
        <v>7523</v>
      </c>
      <c r="L6000" s="3" t="str">
        <f t="shared" si="193"/>
        <v>ΣΠΟΡΟΠΑΡΑΓΩΓΗ</v>
      </c>
    </row>
    <row r="6001" spans="1:12" x14ac:dyDescent="0.25">
      <c r="A6001" s="1" t="str">
        <f t="shared" si="192"/>
        <v>ΣΠΟΡΟΠΑΡΑΓΩΓΗΡΥΖΙ ΣΠΟΡΟΠΑΡΑΓΩΓΗΣ MIURA</v>
      </c>
      <c r="B6001" s="49" t="s">
        <v>10973</v>
      </c>
      <c r="C6001" s="50" t="s">
        <v>11492</v>
      </c>
      <c r="D6001" s="6">
        <v>1929.32</v>
      </c>
      <c r="E6001" s="6">
        <v>1033</v>
      </c>
      <c r="F6001" s="46" t="s">
        <v>14</v>
      </c>
      <c r="G6001" s="46" t="s">
        <v>11493</v>
      </c>
      <c r="H6001" s="46" t="s">
        <v>27</v>
      </c>
      <c r="I6001" s="47">
        <v>1752</v>
      </c>
      <c r="J6001" s="51">
        <v>25</v>
      </c>
      <c r="K6001" s="51">
        <v>7524</v>
      </c>
      <c r="L6001" s="3" t="str">
        <f t="shared" si="193"/>
        <v>ΣΠΟΡΟΠΑΡΑΓΩΓΗ</v>
      </c>
    </row>
    <row r="6002" spans="1:12" x14ac:dyDescent="0.25">
      <c r="A6002" s="1" t="str">
        <f t="shared" si="192"/>
        <v>ΣΠΟΡΟΠΑΡΑΓΩΓΗΡΥΖΙ ΣΠΟΡΟΠΑΡΑΓΩΓΗΣ NIKI</v>
      </c>
      <c r="B6002" s="49" t="s">
        <v>10973</v>
      </c>
      <c r="C6002" s="50" t="s">
        <v>11494</v>
      </c>
      <c r="D6002" s="6">
        <v>1929.32</v>
      </c>
      <c r="E6002" s="6">
        <v>1033</v>
      </c>
      <c r="F6002" s="46" t="s">
        <v>14</v>
      </c>
      <c r="G6002" s="46" t="s">
        <v>11495</v>
      </c>
      <c r="H6002" s="46" t="s">
        <v>27</v>
      </c>
      <c r="I6002" s="9">
        <v>1750</v>
      </c>
      <c r="J6002" s="51">
        <v>25</v>
      </c>
      <c r="K6002" s="51">
        <v>7525</v>
      </c>
      <c r="L6002" s="3" t="str">
        <f t="shared" si="193"/>
        <v>ΣΠΟΡΟΠΑΡΑΓΩΓΗ</v>
      </c>
    </row>
    <row r="6003" spans="1:12" x14ac:dyDescent="0.25">
      <c r="A6003" s="1" t="str">
        <f t="shared" si="192"/>
        <v>ΣΠΟΡΟΠΑΡΑΓΩΓΗΡΥΖΙ ΣΠΟΡΟΠΑΡΑΓΩΓΗΣ OLYMPIADA (ΟΛΥΜΠΙΑΔΑ)</v>
      </c>
      <c r="B6003" s="49" t="s">
        <v>10973</v>
      </c>
      <c r="C6003" s="50" t="s">
        <v>11496</v>
      </c>
      <c r="D6003" s="6">
        <v>1929.32</v>
      </c>
      <c r="E6003" s="6">
        <v>1033</v>
      </c>
      <c r="F6003" s="46" t="s">
        <v>14</v>
      </c>
      <c r="G6003" s="46" t="s">
        <v>11497</v>
      </c>
      <c r="H6003" s="46" t="s">
        <v>27</v>
      </c>
      <c r="I6003" s="47">
        <v>1749</v>
      </c>
      <c r="J6003" s="51">
        <v>25</v>
      </c>
      <c r="K6003" s="51">
        <v>7526</v>
      </c>
      <c r="L6003" s="3" t="str">
        <f t="shared" si="193"/>
        <v>ΣΠΟΡΟΠΑΡΑΓΩΓΗ</v>
      </c>
    </row>
    <row r="6004" spans="1:12" x14ac:dyDescent="0.25">
      <c r="A6004" s="1" t="str">
        <f t="shared" si="192"/>
        <v>ΣΠΟΡΟΠΑΡΑΓΩΓΗΡΥΖΙ ΣΠΟΡΟΠΑΡΑΓΩΓΗΣ REA (ΡΕΑ)</v>
      </c>
      <c r="B6004" s="49" t="s">
        <v>10973</v>
      </c>
      <c r="C6004" s="50" t="s">
        <v>11498</v>
      </c>
      <c r="D6004" s="6">
        <v>1929.32</v>
      </c>
      <c r="E6004" s="6">
        <v>1033</v>
      </c>
      <c r="F6004" s="46" t="s">
        <v>14</v>
      </c>
      <c r="G6004" s="46" t="s">
        <v>11499</v>
      </c>
      <c r="H6004" s="46" t="s">
        <v>27</v>
      </c>
      <c r="I6004" s="9">
        <v>1748</v>
      </c>
      <c r="J6004" s="51">
        <v>25</v>
      </c>
      <c r="K6004" s="51">
        <v>7527</v>
      </c>
      <c r="L6004" s="3" t="str">
        <f t="shared" si="193"/>
        <v>ΣΠΟΡΟΠΑΡΑΓΩΓΗ</v>
      </c>
    </row>
    <row r="6005" spans="1:12" x14ac:dyDescent="0.25">
      <c r="A6005" s="1" t="str">
        <f t="shared" si="192"/>
        <v>ΣΠΟΡΟΠΑΡΑΓΩΓΗΡΥΖΙ ΣΠΟΡΟΠΑΡΑΓΩΓΗΣ RIVA</v>
      </c>
      <c r="B6005" s="49" t="s">
        <v>10973</v>
      </c>
      <c r="C6005" s="50" t="s">
        <v>11500</v>
      </c>
      <c r="D6005" s="6">
        <v>1929.32</v>
      </c>
      <c r="E6005" s="6">
        <v>1033</v>
      </c>
      <c r="F6005" s="46" t="s">
        <v>14</v>
      </c>
      <c r="G6005" s="46" t="s">
        <v>11501</v>
      </c>
      <c r="H6005" s="46" t="s">
        <v>27</v>
      </c>
      <c r="I6005" s="47">
        <v>1747</v>
      </c>
      <c r="J6005" s="51">
        <v>25</v>
      </c>
      <c r="K6005" s="51">
        <v>7528</v>
      </c>
      <c r="L6005" s="3" t="str">
        <f t="shared" si="193"/>
        <v>ΣΠΟΡΟΠΑΡΑΓΩΓΗ</v>
      </c>
    </row>
    <row r="6006" spans="1:12" x14ac:dyDescent="0.25">
      <c r="A6006" s="1" t="str">
        <f t="shared" si="192"/>
        <v>ΣΠΟΡΟΠΑΡΑΓΩΓΗΡΥΖΙ ΣΠΟΡΟΠΑΡΑΓΩΓΗΣ ROMA</v>
      </c>
      <c r="B6006" s="49" t="s">
        <v>10973</v>
      </c>
      <c r="C6006" s="50" t="s">
        <v>11502</v>
      </c>
      <c r="D6006" s="6">
        <v>1929.32</v>
      </c>
      <c r="E6006" s="6">
        <v>1033</v>
      </c>
      <c r="F6006" s="46" t="s">
        <v>14</v>
      </c>
      <c r="G6006" s="46" t="s">
        <v>11503</v>
      </c>
      <c r="H6006" s="46" t="s">
        <v>27</v>
      </c>
      <c r="I6006" s="9">
        <v>1746</v>
      </c>
      <c r="J6006" s="51">
        <v>25</v>
      </c>
      <c r="K6006" s="51">
        <v>7529</v>
      </c>
      <c r="L6006" s="3" t="str">
        <f t="shared" si="193"/>
        <v>ΣΠΟΡΟΠΑΡΑΓΩΓΗ</v>
      </c>
    </row>
    <row r="6007" spans="1:12" x14ac:dyDescent="0.25">
      <c r="A6007" s="1" t="str">
        <f t="shared" si="192"/>
        <v>ΣΠΟΡΟΠΑΡΑΓΩΓΗΡΥΖΙ ΣΠΟΡΟΠΑΡΑΓΩΓΗΣ STRELLA</v>
      </c>
      <c r="B6007" s="49" t="s">
        <v>10973</v>
      </c>
      <c r="C6007" s="50" t="s">
        <v>11504</v>
      </c>
      <c r="D6007" s="6">
        <v>1929.32</v>
      </c>
      <c r="E6007" s="6">
        <v>1033</v>
      </c>
      <c r="F6007" s="46" t="s">
        <v>14</v>
      </c>
      <c r="G6007" s="46" t="s">
        <v>11505</v>
      </c>
      <c r="H6007" s="46" t="s">
        <v>27</v>
      </c>
      <c r="I6007" s="47">
        <v>1730</v>
      </c>
      <c r="J6007" s="51">
        <v>25</v>
      </c>
      <c r="K6007" s="51">
        <v>7530</v>
      </c>
      <c r="L6007" s="3" t="str">
        <f t="shared" si="193"/>
        <v>ΣΠΟΡΟΠΑΡΑΓΩΓΗ</v>
      </c>
    </row>
    <row r="6008" spans="1:12" x14ac:dyDescent="0.25">
      <c r="A6008" s="1" t="str">
        <f t="shared" si="192"/>
        <v>ΣΠΟΡΟΠΑΡΑΓΩΓΗΡΥΖΙ ΣΠΟΡΟΠΑΡΑΓΩΓΗΣ BLUBELLE E</v>
      </c>
      <c r="B6008" s="49" t="s">
        <v>10973</v>
      </c>
      <c r="C6008" s="50" t="s">
        <v>11506</v>
      </c>
      <c r="D6008" s="6">
        <v>1929.32</v>
      </c>
      <c r="E6008" s="6">
        <v>1033</v>
      </c>
      <c r="F6008" s="46" t="s">
        <v>14</v>
      </c>
      <c r="G6008" s="46" t="s">
        <v>11507</v>
      </c>
      <c r="H6008" s="46" t="s">
        <v>27</v>
      </c>
      <c r="I6008" s="9">
        <v>1744</v>
      </c>
      <c r="J6008" s="51">
        <v>25</v>
      </c>
      <c r="K6008" s="51">
        <v>7531</v>
      </c>
      <c r="L6008" s="3" t="str">
        <f t="shared" si="193"/>
        <v>ΣΠΟΡΟΠΑΡΑΓΩΓΗ</v>
      </c>
    </row>
    <row r="6009" spans="1:12" x14ac:dyDescent="0.25">
      <c r="A6009" s="1" t="str">
        <f t="shared" si="192"/>
        <v>ΣΠΟΡΟΠΑΡΑΓΩΓΗΡΥΖΙ ΣΠΟΡΟΠΑΡΑΓΩΓΗΣ ALEXANDROS</v>
      </c>
      <c r="B6009" s="49" t="s">
        <v>10973</v>
      </c>
      <c r="C6009" s="50" t="s">
        <v>11508</v>
      </c>
      <c r="D6009" s="6">
        <v>1929.32</v>
      </c>
      <c r="E6009" s="6">
        <v>1033</v>
      </c>
      <c r="F6009" s="46" t="s">
        <v>14</v>
      </c>
      <c r="G6009" s="46" t="s">
        <v>11509</v>
      </c>
      <c r="H6009" s="46" t="s">
        <v>27</v>
      </c>
      <c r="I6009" s="47">
        <v>1759</v>
      </c>
      <c r="J6009" s="51">
        <v>25</v>
      </c>
      <c r="K6009" s="51">
        <v>7540</v>
      </c>
      <c r="L6009" s="3" t="str">
        <f t="shared" si="193"/>
        <v>ΣΠΟΡΟΠΑΡΑΓΩΓΗ</v>
      </c>
    </row>
    <row r="6010" spans="1:12" x14ac:dyDescent="0.25">
      <c r="A6010" s="1" t="str">
        <f t="shared" si="192"/>
        <v>ΣΠΟΡΟΠΑΡΑΓΩΓΗΡΥΖΙ ΣΠΟΡΟΠΑΡΑΓΩΓΗΣ DIMITRA</v>
      </c>
      <c r="B6010" s="49" t="s">
        <v>10973</v>
      </c>
      <c r="C6010" s="50" t="s">
        <v>11510</v>
      </c>
      <c r="D6010" s="6">
        <v>1929.32</v>
      </c>
      <c r="E6010" s="6">
        <v>1033</v>
      </c>
      <c r="F6010" s="46" t="s">
        <v>14</v>
      </c>
      <c r="G6010" s="46" t="s">
        <v>11511</v>
      </c>
      <c r="H6010" s="46" t="s">
        <v>27</v>
      </c>
      <c r="I6010" s="9">
        <v>1742</v>
      </c>
      <c r="J6010" s="51">
        <v>25</v>
      </c>
      <c r="K6010" s="51">
        <v>7544</v>
      </c>
      <c r="L6010" s="3" t="str">
        <f t="shared" si="193"/>
        <v>ΣΠΟΡΟΠΑΡΑΓΩΓΗ</v>
      </c>
    </row>
    <row r="6011" spans="1:12" x14ac:dyDescent="0.25">
      <c r="A6011" s="1" t="str">
        <f t="shared" si="192"/>
        <v>ΣΠΟΡΟΠΑΡΑΓΩΓΗΡΥΖΙ ΣΠΟΡΟΠΑΡΑΓΩΓΗΣ GOLDEN RICE</v>
      </c>
      <c r="B6011" s="49" t="s">
        <v>10973</v>
      </c>
      <c r="C6011" s="50" t="s">
        <v>11512</v>
      </c>
      <c r="D6011" s="6">
        <v>1929.32</v>
      </c>
      <c r="E6011" s="6">
        <v>1033</v>
      </c>
      <c r="F6011" s="46" t="s">
        <v>14</v>
      </c>
      <c r="G6011" s="46" t="s">
        <v>11513</v>
      </c>
      <c r="H6011" s="46" t="s">
        <v>27</v>
      </c>
      <c r="I6011" s="47">
        <v>1741</v>
      </c>
      <c r="J6011" s="51">
        <v>25</v>
      </c>
      <c r="K6011" s="51">
        <v>7546</v>
      </c>
      <c r="L6011" s="3" t="str">
        <f t="shared" si="193"/>
        <v>ΣΠΟΡΟΠΑΡΑΓΩΓΗ</v>
      </c>
    </row>
    <row r="6012" spans="1:12" x14ac:dyDescent="0.25">
      <c r="A6012" s="1" t="str">
        <f t="shared" si="192"/>
        <v>ΣΠΟΡΟΠΑΡΑΓΩΓΗΡΥΖΙ ΣΠΟΡΟΠΑΡΑΓΩΓΗΣ KALLISTON</v>
      </c>
      <c r="B6012" s="49" t="s">
        <v>10973</v>
      </c>
      <c r="C6012" s="50" t="s">
        <v>11514</v>
      </c>
      <c r="D6012" s="6">
        <v>1929.32</v>
      </c>
      <c r="E6012" s="6">
        <v>1033</v>
      </c>
      <c r="F6012" s="46" t="s">
        <v>14</v>
      </c>
      <c r="G6012" s="46" t="s">
        <v>11515</v>
      </c>
      <c r="H6012" s="46" t="s">
        <v>27</v>
      </c>
      <c r="I6012" s="9">
        <v>1740</v>
      </c>
      <c r="J6012" s="51">
        <v>25</v>
      </c>
      <c r="K6012" s="51">
        <v>7547</v>
      </c>
      <c r="L6012" s="3" t="str">
        <f t="shared" si="193"/>
        <v>ΣΠΟΡΟΠΑΡΑΓΩΓΗ</v>
      </c>
    </row>
    <row r="6013" spans="1:12" x14ac:dyDescent="0.25">
      <c r="A6013" s="1" t="str">
        <f t="shared" si="192"/>
        <v>ΣΠΟΡΟΠΑΡΑΓΩΓΗΡΥΖΙ ΣΠΟΡΟΠΑΡΑΓΩΓΗΣ - ΛΟΙΠΑ</v>
      </c>
      <c r="B6013" s="49" t="s">
        <v>10973</v>
      </c>
      <c r="C6013" s="50" t="s">
        <v>11516</v>
      </c>
      <c r="D6013" s="6">
        <v>1929.32</v>
      </c>
      <c r="E6013" s="6">
        <v>1033</v>
      </c>
      <c r="F6013" s="46" t="s">
        <v>14</v>
      </c>
      <c r="G6013" s="46" t="s">
        <v>11517</v>
      </c>
      <c r="H6013" s="46" t="s">
        <v>27</v>
      </c>
      <c r="I6013" s="47">
        <v>1739</v>
      </c>
      <c r="J6013" s="51">
        <v>25</v>
      </c>
      <c r="K6013" s="51">
        <v>7599</v>
      </c>
      <c r="L6013" s="3" t="str">
        <f t="shared" si="193"/>
        <v>ΣΠΟΡΟΠΑΡΑΓΩΓΗ</v>
      </c>
    </row>
    <row r="6014" spans="1:12" x14ac:dyDescent="0.25">
      <c r="A6014" s="1" t="str">
        <f t="shared" si="192"/>
        <v>ΣΠΟΡΟΠΑΡΑΓΩΓΗΣΙΤΟΣ - ΚΡΙΘΑΡΙ - ΣΠΟΡΟΠΑΡΑΓΩΓΗ</v>
      </c>
      <c r="B6014" s="49" t="s">
        <v>10973</v>
      </c>
      <c r="C6014" s="50" t="s">
        <v>11518</v>
      </c>
      <c r="D6014" s="6">
        <v>466.58</v>
      </c>
      <c r="E6014" s="6">
        <v>366.77</v>
      </c>
      <c r="F6014" s="46" t="s">
        <v>14</v>
      </c>
      <c r="G6014" s="46" t="s">
        <v>11519</v>
      </c>
      <c r="H6014" s="46" t="s">
        <v>27</v>
      </c>
      <c r="I6014" s="9">
        <v>1738</v>
      </c>
      <c r="J6014" s="51">
        <v>25</v>
      </c>
      <c r="K6014" s="51">
        <v>7780</v>
      </c>
      <c r="L6014" s="3" t="str">
        <f t="shared" si="193"/>
        <v>ΣΠΟΡΟΠΑΡΑΓΩΓΗ</v>
      </c>
    </row>
    <row r="6015" spans="1:12" x14ac:dyDescent="0.25">
      <c r="A6015" s="1" t="str">
        <f t="shared" si="192"/>
        <v>ΣΠΟΡΟΠΑΡΑΓΩΓΗΖΑΧΑΡΟΤΕΥΤΛΑ ΣΠΟΡΟΠΑΡΑΓΩΓΗΣ</v>
      </c>
      <c r="B6015" s="49" t="s">
        <v>10973</v>
      </c>
      <c r="C6015" s="50" t="s">
        <v>11520</v>
      </c>
      <c r="D6015" s="6">
        <v>4227</v>
      </c>
      <c r="E6015" s="6">
        <v>4128</v>
      </c>
      <c r="F6015" s="46" t="s">
        <v>14</v>
      </c>
      <c r="G6015" s="46" t="s">
        <v>11521</v>
      </c>
      <c r="H6015" s="46" t="s">
        <v>27</v>
      </c>
      <c r="I6015" s="47">
        <v>1737</v>
      </c>
      <c r="J6015" s="51">
        <v>25</v>
      </c>
      <c r="K6015" s="51">
        <v>8115</v>
      </c>
      <c r="L6015" s="3" t="str">
        <f t="shared" si="193"/>
        <v>ΣΠΟΡΟΠΑΡΑΓΩΓΗ</v>
      </c>
    </row>
    <row r="6016" spans="1:12" x14ac:dyDescent="0.25">
      <c r="A6016" s="1" t="str">
        <f t="shared" si="192"/>
        <v>ΣΠΟΡΟΠΑΡΑΓΩΓΗΠΑΤΑΤΕΣ ΣΠΟΡΟΠΑΡΑΓΩΓΗΣ</v>
      </c>
      <c r="B6016" s="49" t="s">
        <v>10973</v>
      </c>
      <c r="C6016" s="50" t="s">
        <v>11522</v>
      </c>
      <c r="D6016" s="6">
        <v>9307.3700000000008</v>
      </c>
      <c r="E6016" s="6">
        <v>11609.49</v>
      </c>
      <c r="F6016" s="46" t="s">
        <v>14</v>
      </c>
      <c r="G6016" s="46" t="s">
        <v>11523</v>
      </c>
      <c r="H6016" s="46" t="s">
        <v>27</v>
      </c>
      <c r="I6016" s="9">
        <v>1736</v>
      </c>
      <c r="J6016" s="51">
        <v>25</v>
      </c>
      <c r="K6016" s="51">
        <v>8116</v>
      </c>
      <c r="L6016" s="3" t="str">
        <f t="shared" si="193"/>
        <v>ΣΠΟΡΟΠΑΡΑΓΩΓΗ</v>
      </c>
    </row>
    <row r="6017" spans="1:12" x14ac:dyDescent="0.25">
      <c r="A6017" s="1" t="str">
        <f t="shared" si="192"/>
        <v>ΣΠΟΡΟΠΑΡΑΓΩΓΗΖΑΧΑΡΟΤΕΥΤΛΑ ΣΠΟΡΟΠΑΡΑΓΩΓΗΣ</v>
      </c>
      <c r="B6017" s="49" t="s">
        <v>10973</v>
      </c>
      <c r="C6017" s="50" t="s">
        <v>11520</v>
      </c>
      <c r="D6017" s="6">
        <v>4227</v>
      </c>
      <c r="E6017" s="6">
        <v>4128</v>
      </c>
      <c r="F6017" s="46" t="s">
        <v>14</v>
      </c>
      <c r="G6017" s="46" t="s">
        <v>11524</v>
      </c>
      <c r="H6017" s="46" t="s">
        <v>27</v>
      </c>
      <c r="I6017" s="47">
        <v>1735</v>
      </c>
      <c r="J6017" s="51">
        <v>25</v>
      </c>
      <c r="K6017" s="51">
        <v>8117</v>
      </c>
      <c r="L6017" s="3" t="str">
        <f t="shared" si="193"/>
        <v>ΣΠΟΡΟΠΑΡΑΓΩΓΗ</v>
      </c>
    </row>
    <row r="6018" spans="1:12" x14ac:dyDescent="0.25">
      <c r="A6018" s="1" t="str">
        <f t="shared" si="192"/>
        <v>ΣΠΟΡΟΠΑΡΑΓΩΓΗΜΠΑΜΙΑ ΣΠΟΡΟΠΑΡΑΓΩΓΗΣ</v>
      </c>
      <c r="B6018" s="49" t="s">
        <v>10973</v>
      </c>
      <c r="C6018" s="50" t="s">
        <v>11525</v>
      </c>
      <c r="D6018" s="6">
        <v>4227</v>
      </c>
      <c r="E6018" s="6">
        <v>4128</v>
      </c>
      <c r="F6018" s="46" t="s">
        <v>14</v>
      </c>
      <c r="G6018" s="46" t="s">
        <v>11526</v>
      </c>
      <c r="H6018" s="46" t="s">
        <v>27</v>
      </c>
      <c r="I6018" s="9">
        <v>1734</v>
      </c>
      <c r="J6018" s="51">
        <v>25</v>
      </c>
      <c r="K6018" s="51">
        <v>8761</v>
      </c>
      <c r="L6018" s="3" t="str">
        <f t="shared" si="193"/>
        <v>ΣΠΟΡΟΠΑΡΑΓΩΓΗ</v>
      </c>
    </row>
    <row r="6019" spans="1:12" x14ac:dyDescent="0.25">
      <c r="A6019" s="1" t="str">
        <f t="shared" ref="A6019:A6076" si="194">_xlfn.CONCAT(B6019,C6019)</f>
        <v>ΣΠΟΡΟΠΑΡΑΓΩΓΗΠΙΠΕΡΙΑ ΣΠΟΡΟΠΑΡΑΓΩΓΗΣ</v>
      </c>
      <c r="B6019" s="49" t="s">
        <v>10973</v>
      </c>
      <c r="C6019" s="50" t="s">
        <v>11527</v>
      </c>
      <c r="D6019" s="6">
        <v>4227</v>
      </c>
      <c r="E6019" s="6">
        <v>4128</v>
      </c>
      <c r="F6019" s="46" t="s">
        <v>14</v>
      </c>
      <c r="G6019" s="46" t="s">
        <v>11528</v>
      </c>
      <c r="H6019" s="46" t="s">
        <v>27</v>
      </c>
      <c r="I6019" s="47">
        <v>1733</v>
      </c>
      <c r="J6019" s="51">
        <v>25</v>
      </c>
      <c r="K6019" s="51">
        <v>8762</v>
      </c>
      <c r="L6019" s="3" t="str">
        <f t="shared" ref="L6019:L6047" si="195">IFERROR(SUBSTITUTE(SUBSTITUTE(SUBSTITUTE(SUBSTITUTE(SUBSTITUTE(B6019, "-", "_"), " ", "_"), ",", ""), "(", ""), ")", ""), B6019)</f>
        <v>ΣΠΟΡΟΠΑΡΑΓΩΓΗ</v>
      </c>
    </row>
    <row r="6020" spans="1:12" x14ac:dyDescent="0.25">
      <c r="A6020" s="1" t="str">
        <f t="shared" si="194"/>
        <v>ΤΟΜΑΤΑ ΒΙΟΜΗΧΑΝΙΚΗΤΟΜΑΤΑΚΙ ΣΑΝΤΟΡΙΝΗΣ</v>
      </c>
      <c r="B6020" s="49" t="s">
        <v>11529</v>
      </c>
      <c r="C6020" s="50" t="s">
        <v>5109</v>
      </c>
      <c r="D6020" s="6">
        <v>10593.35</v>
      </c>
      <c r="E6020" s="6">
        <v>13333.560000000001</v>
      </c>
      <c r="F6020" s="46" t="s">
        <v>14</v>
      </c>
      <c r="G6020" s="46" t="s">
        <v>11530</v>
      </c>
      <c r="H6020" s="46" t="s">
        <v>27</v>
      </c>
      <c r="I6020" s="9">
        <v>1296</v>
      </c>
      <c r="J6020" s="51">
        <v>18</v>
      </c>
      <c r="K6020" s="51">
        <v>10904</v>
      </c>
      <c r="L6020" s="3" t="str">
        <f t="shared" si="195"/>
        <v>ΤΟΜΑΤΑ_ΒΙΟΜΗΧΑΝΙΚΗ</v>
      </c>
    </row>
    <row r="6021" spans="1:12" x14ac:dyDescent="0.25">
      <c r="A6021" s="1" t="str">
        <f t="shared" si="194"/>
        <v>ΤΟΜΑΤΑ ΒΙΟΜΗΧΑΝΙΚΗΒΙΟΜΗΧΑΝΙΚΗ ΤΟΜΑΤΑ CAPEA</v>
      </c>
      <c r="B6021" s="49" t="s">
        <v>11529</v>
      </c>
      <c r="C6021" s="50" t="s">
        <v>11531</v>
      </c>
      <c r="D6021" s="6">
        <v>10593.35</v>
      </c>
      <c r="E6021" s="6">
        <v>13333.560000000001</v>
      </c>
      <c r="F6021" s="46" t="s">
        <v>14</v>
      </c>
      <c r="G6021" s="46" t="s">
        <v>11532</v>
      </c>
      <c r="H6021" s="46" t="s">
        <v>27</v>
      </c>
      <c r="I6021" s="47">
        <v>1295</v>
      </c>
      <c r="J6021" s="51">
        <v>18</v>
      </c>
      <c r="K6021" s="51">
        <v>18001</v>
      </c>
      <c r="L6021" s="3" t="str">
        <f t="shared" si="195"/>
        <v>ΤΟΜΑΤΑ_ΒΙΟΜΗΧΑΝΙΚΗ</v>
      </c>
    </row>
    <row r="6022" spans="1:12" x14ac:dyDescent="0.25">
      <c r="A6022" s="1" t="str">
        <f t="shared" si="194"/>
        <v>ΤΟΜΑΤΑ ΒΙΟΜΗΧΑΝΙΚΗΒΙΟΜΗΧΑΝΙΚΗ ΤΟΜΑΤΑ RIO GRANDE</v>
      </c>
      <c r="B6022" s="55" t="s">
        <v>11529</v>
      </c>
      <c r="C6022" s="56" t="s">
        <v>11533</v>
      </c>
      <c r="D6022" s="6">
        <v>10593.35</v>
      </c>
      <c r="E6022" s="6">
        <v>13333.560000000001</v>
      </c>
      <c r="F6022" s="57" t="s">
        <v>14</v>
      </c>
      <c r="G6022" s="46" t="s">
        <v>11534</v>
      </c>
      <c r="H6022" s="46" t="s">
        <v>27</v>
      </c>
      <c r="I6022" s="9">
        <v>5602</v>
      </c>
      <c r="J6022" s="58">
        <v>18</v>
      </c>
      <c r="K6022" s="59">
        <v>18002</v>
      </c>
      <c r="L6022" s="3" t="str">
        <f t="shared" si="195"/>
        <v>ΤΟΜΑΤΑ_ΒΙΟΜΗΧΑΝΙΚΗ</v>
      </c>
    </row>
    <row r="6023" spans="1:12" x14ac:dyDescent="0.25">
      <c r="A6023" s="1" t="str">
        <f t="shared" si="194"/>
        <v>ΤΟΜΑΤΑ ΒΙΟΜΗΧΑΝΙΚΗΤΟΜΑΤΑ ΒΙΟΜΗΧΑΝΙΚΗ</v>
      </c>
      <c r="B6023" s="49" t="s">
        <v>11529</v>
      </c>
      <c r="C6023" s="50" t="s">
        <v>11529</v>
      </c>
      <c r="D6023" s="6">
        <v>10593.35</v>
      </c>
      <c r="E6023" s="6">
        <v>13333.560000000001</v>
      </c>
      <c r="F6023" s="46" t="s">
        <v>14</v>
      </c>
      <c r="G6023" s="46" t="s">
        <v>11535</v>
      </c>
      <c r="H6023" s="46" t="s">
        <v>27</v>
      </c>
      <c r="I6023" s="47">
        <v>1297</v>
      </c>
      <c r="J6023" s="51">
        <v>18</v>
      </c>
      <c r="K6023" s="51">
        <v>8216</v>
      </c>
      <c r="L6023" s="3" t="str">
        <f t="shared" si="195"/>
        <v>ΤΟΜΑΤΑ_ΒΙΟΜΗΧΑΝΙΚΗ</v>
      </c>
    </row>
    <row r="6024" spans="1:12" x14ac:dyDescent="0.25">
      <c r="A6024" s="1" t="str">
        <f t="shared" si="194"/>
        <v>ΤΟΜΑΤΑ ΒΙΟΜΗΧΑΝΙΚΗΤΟΜΑΤΑ - ΡΩΜΑ</v>
      </c>
      <c r="B6024" s="43" t="s">
        <v>11529</v>
      </c>
      <c r="C6024" s="44" t="s">
        <v>11536</v>
      </c>
      <c r="D6024" s="6">
        <v>10593.35</v>
      </c>
      <c r="E6024" s="6">
        <v>13333.560000000001</v>
      </c>
      <c r="F6024" s="45" t="s">
        <v>14</v>
      </c>
      <c r="G6024" s="46" t="s">
        <v>11537</v>
      </c>
      <c r="H6024" s="46" t="s">
        <v>27</v>
      </c>
      <c r="I6024" s="9">
        <v>4065</v>
      </c>
      <c r="J6024" s="48">
        <v>18</v>
      </c>
      <c r="K6024" s="48">
        <v>8230</v>
      </c>
      <c r="L6024" s="3" t="str">
        <f t="shared" si="195"/>
        <v>ΤΟΜΑΤΑ_ΒΙΟΜΗΧΑΝΙΚΗ</v>
      </c>
    </row>
    <row r="6025" spans="1:12" x14ac:dyDescent="0.25">
      <c r="A6025" s="1" t="str">
        <f t="shared" si="194"/>
        <v>ΦΑΡΜΑΚΕΥΤΙΚΗ ΚΑΝΝΑΒΗΦΑΡΜΑΚΕΥΤΙΚΗ ΚΑΝΝΑΒΗ</v>
      </c>
      <c r="B6025" s="49" t="s">
        <v>3447</v>
      </c>
      <c r="C6025" s="50" t="s">
        <v>3447</v>
      </c>
      <c r="D6025" s="6">
        <v>11041.07</v>
      </c>
      <c r="E6025" s="6">
        <v>11535.86</v>
      </c>
      <c r="F6025" s="46" t="s">
        <v>14</v>
      </c>
      <c r="G6025" s="46" t="s">
        <v>11538</v>
      </c>
      <c r="H6025" s="46" t="s">
        <v>27</v>
      </c>
      <c r="I6025" s="47">
        <v>2637</v>
      </c>
      <c r="J6025" s="51">
        <v>43</v>
      </c>
      <c r="K6025" s="51">
        <v>42001</v>
      </c>
      <c r="L6025" s="3" t="str">
        <f t="shared" si="195"/>
        <v>ΦΑΡΜΑΚΕΥΤΙΚΗ_ΚΑΝΝΑΒΗ</v>
      </c>
    </row>
    <row r="6026" spans="1:12" x14ac:dyDescent="0.25">
      <c r="A6026" s="1" t="str">
        <f t="shared" si="194"/>
        <v>ΦΥΤΩΡΙΑΦΥΤΩΡΙΑ ΑΜΠΕΛΙΩΝ</v>
      </c>
      <c r="B6026" s="49" t="s">
        <v>11539</v>
      </c>
      <c r="C6026" s="50" t="s">
        <v>11540</v>
      </c>
      <c r="D6026" s="6">
        <v>0</v>
      </c>
      <c r="E6026" s="6">
        <v>0</v>
      </c>
      <c r="F6026" s="46" t="s">
        <v>14</v>
      </c>
      <c r="G6026" s="46" t="s">
        <v>11541</v>
      </c>
      <c r="H6026" s="46" t="s">
        <v>27</v>
      </c>
      <c r="I6026" s="9">
        <v>2761</v>
      </c>
      <c r="J6026" s="51" t="s">
        <v>11542</v>
      </c>
      <c r="K6026" s="51">
        <v>45301</v>
      </c>
      <c r="L6026" s="3" t="str">
        <f t="shared" si="195"/>
        <v>ΦΥΤΩΡΙΑ</v>
      </c>
    </row>
    <row r="6027" spans="1:12" x14ac:dyDescent="0.25">
      <c r="A6027" s="1" t="str">
        <f t="shared" si="194"/>
        <v>ΦΥΤΩΡΙΑΦΥΤΩΡΙΑ ΑΡΩΜΑΤΙΚΩΝ ΦΥΤΩΝ</v>
      </c>
      <c r="B6027" s="49" t="s">
        <v>11539</v>
      </c>
      <c r="C6027" s="50" t="s">
        <v>11543</v>
      </c>
      <c r="D6027" s="6">
        <v>0</v>
      </c>
      <c r="E6027" s="6">
        <v>0</v>
      </c>
      <c r="F6027" s="46" t="s">
        <v>14</v>
      </c>
      <c r="G6027" s="46" t="s">
        <v>11544</v>
      </c>
      <c r="H6027" s="46" t="s">
        <v>27</v>
      </c>
      <c r="I6027" s="47">
        <v>2757</v>
      </c>
      <c r="J6027" s="51" t="s">
        <v>11542</v>
      </c>
      <c r="K6027" s="51">
        <v>45302</v>
      </c>
      <c r="L6027" s="3" t="str">
        <f t="shared" si="195"/>
        <v>ΦΥΤΩΡΙΑ</v>
      </c>
    </row>
    <row r="6028" spans="1:12" x14ac:dyDescent="0.25">
      <c r="A6028" s="1" t="str">
        <f t="shared" si="194"/>
        <v>ΦΥΤΩΡΙΑΦΥΤΩΡΙΑ MICRO GREEN</v>
      </c>
      <c r="B6028" s="49" t="s">
        <v>11539</v>
      </c>
      <c r="C6028" s="50" t="s">
        <v>11545</v>
      </c>
      <c r="D6028" s="6">
        <v>0</v>
      </c>
      <c r="E6028" s="6">
        <v>0</v>
      </c>
      <c r="F6028" s="46" t="s">
        <v>14</v>
      </c>
      <c r="G6028" s="46" t="s">
        <v>11546</v>
      </c>
      <c r="H6028" s="46" t="s">
        <v>27</v>
      </c>
      <c r="I6028" s="9">
        <v>2754</v>
      </c>
      <c r="J6028" s="51" t="s">
        <v>11542</v>
      </c>
      <c r="K6028" s="51">
        <v>45303</v>
      </c>
      <c r="L6028" s="3" t="str">
        <f t="shared" si="195"/>
        <v>ΦΥΤΩΡΙΑ</v>
      </c>
    </row>
    <row r="6029" spans="1:12" ht="31.5" x14ac:dyDescent="0.25">
      <c r="A6029" s="1" t="str">
        <f t="shared" si="194"/>
        <v>ΦΥΤΩΡΙΑΦΥΤΩΡΙΑΚΗ ΕΠΙΧΕΙΡΗΣΗ ΜΗΤΡΙΚΩΝ ΦΥΤΕΙΩΝ ΑΜΠΕΛΟΥ</v>
      </c>
      <c r="B6029" s="49" t="s">
        <v>11539</v>
      </c>
      <c r="C6029" s="50" t="s">
        <v>11547</v>
      </c>
      <c r="D6029" s="6">
        <v>0</v>
      </c>
      <c r="E6029" s="6">
        <v>0</v>
      </c>
      <c r="F6029" s="46" t="s">
        <v>14</v>
      </c>
      <c r="G6029" s="46" t="s">
        <v>11548</v>
      </c>
      <c r="H6029" s="46" t="s">
        <v>27</v>
      </c>
      <c r="I6029" s="47">
        <v>2759</v>
      </c>
      <c r="J6029" s="51" t="s">
        <v>11542</v>
      </c>
      <c r="K6029" s="51">
        <v>45304</v>
      </c>
      <c r="L6029" s="3" t="str">
        <f t="shared" si="195"/>
        <v>ΦΥΤΩΡΙΑ</v>
      </c>
    </row>
    <row r="6030" spans="1:12" x14ac:dyDescent="0.25">
      <c r="A6030" s="1" t="str">
        <f t="shared" si="194"/>
        <v>ΦΥΤΩΡΙΑΦΥΤΩΡΙΑ ΑΝΘΟΚΟΜΙΚΩΝ</v>
      </c>
      <c r="B6030" s="49" t="s">
        <v>11539</v>
      </c>
      <c r="C6030" s="50" t="s">
        <v>11549</v>
      </c>
      <c r="D6030" s="6">
        <v>0</v>
      </c>
      <c r="E6030" s="6">
        <v>0</v>
      </c>
      <c r="F6030" s="46" t="s">
        <v>14</v>
      </c>
      <c r="G6030" s="46" t="s">
        <v>11550</v>
      </c>
      <c r="H6030" s="46" t="s">
        <v>27</v>
      </c>
      <c r="I6030" s="9">
        <v>2760</v>
      </c>
      <c r="J6030" s="51" t="s">
        <v>11542</v>
      </c>
      <c r="K6030" s="51">
        <v>8750</v>
      </c>
      <c r="L6030" s="3" t="str">
        <f t="shared" si="195"/>
        <v>ΦΥΤΩΡΙΑ</v>
      </c>
    </row>
    <row r="6031" spans="1:12" x14ac:dyDescent="0.25">
      <c r="A6031" s="1" t="str">
        <f t="shared" si="194"/>
        <v>ΦΥΤΩΡΙΑΦΥΤΩΡΙΑ ΕΛΙΑΣ</v>
      </c>
      <c r="B6031" s="49" t="s">
        <v>11539</v>
      </c>
      <c r="C6031" s="50" t="s">
        <v>11551</v>
      </c>
      <c r="D6031" s="6">
        <v>0</v>
      </c>
      <c r="E6031" s="6">
        <v>0</v>
      </c>
      <c r="F6031" s="46" t="s">
        <v>14</v>
      </c>
      <c r="G6031" s="46" t="s">
        <v>11552</v>
      </c>
      <c r="H6031" s="46" t="s">
        <v>27</v>
      </c>
      <c r="I6031" s="47">
        <v>2753</v>
      </c>
      <c r="J6031" s="51" t="s">
        <v>11542</v>
      </c>
      <c r="K6031" s="51">
        <v>8751</v>
      </c>
      <c r="L6031" s="3" t="str">
        <f t="shared" si="195"/>
        <v>ΦΥΤΩΡΙΑ</v>
      </c>
    </row>
    <row r="6032" spans="1:12" x14ac:dyDescent="0.25">
      <c r="A6032" s="1" t="str">
        <f t="shared" si="194"/>
        <v>ΦΥΤΩΡΙΑΦΥΤΩΡΙΑ ΛΑΧΑΝΙΚΩΝ</v>
      </c>
      <c r="B6032" s="49" t="s">
        <v>11539</v>
      </c>
      <c r="C6032" s="50" t="s">
        <v>11553</v>
      </c>
      <c r="D6032" s="6">
        <v>0</v>
      </c>
      <c r="E6032" s="6">
        <v>0</v>
      </c>
      <c r="F6032" s="46" t="s">
        <v>14</v>
      </c>
      <c r="G6032" s="46" t="s">
        <v>11554</v>
      </c>
      <c r="H6032" s="46" t="s">
        <v>27</v>
      </c>
      <c r="I6032" s="9">
        <v>2758</v>
      </c>
      <c r="J6032" s="51" t="s">
        <v>11542</v>
      </c>
      <c r="K6032" s="51">
        <v>8752</v>
      </c>
      <c r="L6032" s="3" t="str">
        <f t="shared" si="195"/>
        <v>ΦΥΤΩΡΙΑ</v>
      </c>
    </row>
    <row r="6033" spans="1:12" x14ac:dyDescent="0.25">
      <c r="A6033" s="1" t="str">
        <f t="shared" si="194"/>
        <v>ΦΥΤΩΡΙΑΦΥΤΩΡΙΑ ΕΛΑΤΗΣ ΚΑΙ ΛΟΙΠΩΝ ΔΑΣΙΚΩΝ ΔΕΝΔΡΩΝ</v>
      </c>
      <c r="B6033" s="49" t="s">
        <v>11539</v>
      </c>
      <c r="C6033" s="50" t="s">
        <v>11555</v>
      </c>
      <c r="D6033" s="6">
        <v>0</v>
      </c>
      <c r="E6033" s="6">
        <v>0</v>
      </c>
      <c r="F6033" s="46" t="s">
        <v>14</v>
      </c>
      <c r="G6033" s="46" t="s">
        <v>11556</v>
      </c>
      <c r="H6033" s="46" t="s">
        <v>27</v>
      </c>
      <c r="I6033" s="47">
        <v>2755</v>
      </c>
      <c r="J6033" s="51" t="s">
        <v>11542</v>
      </c>
      <c r="K6033" s="51">
        <v>8753</v>
      </c>
      <c r="L6033" s="3" t="str">
        <f t="shared" si="195"/>
        <v>ΦΥΤΩΡΙΑ</v>
      </c>
    </row>
    <row r="6034" spans="1:12" x14ac:dyDescent="0.25">
      <c r="A6034" s="1" t="str">
        <f t="shared" si="194"/>
        <v>ΦΥΤΩΡΙΑΦΥΤΩΡΙΑ ΚΑΡΠΟΦΟΡΩΝ ΔΕΝΔΡΩΝ ΚΑΙ ΘΑΜΝΩΝ</v>
      </c>
      <c r="B6034" s="49" t="s">
        <v>11539</v>
      </c>
      <c r="C6034" s="50" t="s">
        <v>11557</v>
      </c>
      <c r="D6034" s="6">
        <v>0</v>
      </c>
      <c r="E6034" s="6">
        <v>0</v>
      </c>
      <c r="F6034" s="46" t="s">
        <v>14</v>
      </c>
      <c r="G6034" s="46" t="s">
        <v>11558</v>
      </c>
      <c r="H6034" s="46" t="s">
        <v>27</v>
      </c>
      <c r="I6034" s="9">
        <v>2756</v>
      </c>
      <c r="J6034" s="51" t="s">
        <v>11542</v>
      </c>
      <c r="K6034" s="51">
        <v>8754</v>
      </c>
      <c r="L6034" s="3" t="str">
        <f t="shared" si="195"/>
        <v>ΦΥΤΩΡΙΑ</v>
      </c>
    </row>
    <row r="6035" spans="1:12" x14ac:dyDescent="0.25">
      <c r="A6035" s="1" t="str">
        <f t="shared" si="194"/>
        <v>ΧΟΙΡΟΙΚΑΠΡΟΙ ΑΥΤΟΧΘΟΝΗ</v>
      </c>
      <c r="B6035" s="65" t="s">
        <v>11559</v>
      </c>
      <c r="C6035" s="66" t="s">
        <v>11560</v>
      </c>
      <c r="D6035" s="6">
        <v>320</v>
      </c>
      <c r="E6035" s="6">
        <v>300</v>
      </c>
      <c r="F6035" s="67" t="s">
        <v>23</v>
      </c>
      <c r="G6035" s="46" t="s">
        <v>11561</v>
      </c>
      <c r="H6035" s="46" t="s">
        <v>27</v>
      </c>
      <c r="I6035" s="47">
        <v>4811</v>
      </c>
      <c r="J6035" s="68">
        <v>4</v>
      </c>
      <c r="K6035" s="68">
        <v>410002</v>
      </c>
      <c r="L6035" s="3" t="str">
        <f t="shared" si="195"/>
        <v>ΧΟΙΡΟΙ</v>
      </c>
    </row>
    <row r="6036" spans="1:12" x14ac:dyDescent="0.25">
      <c r="A6036" s="1" t="str">
        <f t="shared" si="194"/>
        <v>ΧΟΙΡΟΙΚΑΠΡΟΙ ΕΓΧΩΡΙΟΣ ΕΛΛΗΝΙΚΟΣ ΧΟΙΡΟΣ</v>
      </c>
      <c r="B6036" s="69" t="s">
        <v>11559</v>
      </c>
      <c r="C6036" s="66" t="s">
        <v>11562</v>
      </c>
      <c r="D6036" s="6">
        <v>1048</v>
      </c>
      <c r="E6036" s="6">
        <v>1143</v>
      </c>
      <c r="F6036" s="67" t="s">
        <v>23</v>
      </c>
      <c r="G6036" s="46" t="s">
        <v>11563</v>
      </c>
      <c r="H6036" s="46" t="s">
        <v>27</v>
      </c>
      <c r="I6036" s="9">
        <v>4941</v>
      </c>
      <c r="J6036" s="54">
        <v>4</v>
      </c>
      <c r="K6036" s="54">
        <v>41000201</v>
      </c>
      <c r="L6036" s="3" t="str">
        <f t="shared" si="195"/>
        <v>ΧΟΙΡΟΙ</v>
      </c>
    </row>
    <row r="6037" spans="1:12" x14ac:dyDescent="0.25">
      <c r="A6037" s="1" t="str">
        <f t="shared" si="194"/>
        <v>ΧΟΙΡΟΙΚΑΠΡΟΙ ΛΟΙΠΗ</v>
      </c>
      <c r="B6037" s="65" t="s">
        <v>11559</v>
      </c>
      <c r="C6037" s="66" t="s">
        <v>11564</v>
      </c>
      <c r="D6037" s="6">
        <v>320</v>
      </c>
      <c r="E6037" s="6">
        <v>300</v>
      </c>
      <c r="F6037" s="67" t="s">
        <v>23</v>
      </c>
      <c r="G6037" s="46" t="s">
        <v>11565</v>
      </c>
      <c r="H6037" s="46" t="s">
        <v>27</v>
      </c>
      <c r="I6037" s="47">
        <v>4812</v>
      </c>
      <c r="J6037" s="68">
        <v>4</v>
      </c>
      <c r="K6037" s="68">
        <v>410004</v>
      </c>
      <c r="L6037" s="3" t="str">
        <f t="shared" si="195"/>
        <v>ΧΟΙΡΟΙ</v>
      </c>
    </row>
    <row r="6038" spans="1:12" x14ac:dyDescent="0.25">
      <c r="A6038" s="1" t="str">
        <f t="shared" si="194"/>
        <v>ΧΟΙΡΟΙΧΟΙΡΟΜΗΤΕΡΕΣ, ΑΥΤΟΧΘΟΝΗ</v>
      </c>
      <c r="B6038" s="65" t="s">
        <v>11559</v>
      </c>
      <c r="C6038" s="66" t="s">
        <v>11566</v>
      </c>
      <c r="D6038" s="6">
        <v>1048</v>
      </c>
      <c r="E6038" s="6">
        <v>1143</v>
      </c>
      <c r="F6038" s="67" t="s">
        <v>23</v>
      </c>
      <c r="G6038" s="46" t="s">
        <v>11567</v>
      </c>
      <c r="H6038" s="46" t="s">
        <v>27</v>
      </c>
      <c r="I6038" s="9">
        <v>4813</v>
      </c>
      <c r="J6038" s="68">
        <v>4</v>
      </c>
      <c r="K6038" s="68">
        <v>420002</v>
      </c>
      <c r="L6038" s="3" t="str">
        <f t="shared" si="195"/>
        <v>ΧΟΙΡΟΙ</v>
      </c>
    </row>
    <row r="6039" spans="1:12" x14ac:dyDescent="0.25">
      <c r="A6039" s="1" t="str">
        <f t="shared" si="194"/>
        <v>ΧΟΙΡΟΙΧΟΙΡΟΜΗΤΕΡΕΣ, ΕΓΧΩΡΙΟΣ ΕΛΛΗΝΙΚΟΣ ΧΟΙΡΟΣ</v>
      </c>
      <c r="B6039" s="69" t="s">
        <v>11559</v>
      </c>
      <c r="C6039" s="66" t="s">
        <v>11568</v>
      </c>
      <c r="D6039" s="6">
        <v>1048</v>
      </c>
      <c r="E6039" s="6">
        <v>1143</v>
      </c>
      <c r="F6039" s="67" t="s">
        <v>23</v>
      </c>
      <c r="G6039" s="46" t="s">
        <v>11569</v>
      </c>
      <c r="H6039" s="46" t="s">
        <v>27</v>
      </c>
      <c r="I6039" s="47">
        <v>4942</v>
      </c>
      <c r="J6039" s="54">
        <v>4</v>
      </c>
      <c r="K6039" s="54">
        <v>42000201</v>
      </c>
      <c r="L6039" s="3" t="str">
        <f t="shared" si="195"/>
        <v>ΧΟΙΡΟΙ</v>
      </c>
    </row>
    <row r="6040" spans="1:12" x14ac:dyDescent="0.25">
      <c r="A6040" s="1" t="str">
        <f t="shared" si="194"/>
        <v>ΧΟΙΡΟΙΧΟΙΡΟΜΗΤΕΡΕΣ ΛΟΙΠΗ</v>
      </c>
      <c r="B6040" s="65" t="s">
        <v>11559</v>
      </c>
      <c r="C6040" s="66" t="s">
        <v>11570</v>
      </c>
      <c r="D6040" s="6">
        <v>1048</v>
      </c>
      <c r="E6040" s="6">
        <v>1143</v>
      </c>
      <c r="F6040" s="67" t="s">
        <v>23</v>
      </c>
      <c r="G6040" s="46" t="s">
        <v>11571</v>
      </c>
      <c r="H6040" s="46" t="s">
        <v>27</v>
      </c>
      <c r="I6040" s="9">
        <v>4814</v>
      </c>
      <c r="J6040" s="68">
        <v>4</v>
      </c>
      <c r="K6040" s="68">
        <v>420004</v>
      </c>
      <c r="L6040" s="3" t="str">
        <f t="shared" si="195"/>
        <v>ΧΟΙΡΟΙ</v>
      </c>
    </row>
    <row r="6041" spans="1:12" x14ac:dyDescent="0.25">
      <c r="A6041" s="1" t="str">
        <f t="shared" si="194"/>
        <v>ΧΟΙΡΟΙΠΑΧΥΝΟΜΕΝΑ ΧΟΙΡΙΔΙΑ, ΑΡΣΕΝΙΚΑ, ΑΥΤΟΧΘΟΝΗ</v>
      </c>
      <c r="B6041" s="65" t="s">
        <v>11559</v>
      </c>
      <c r="C6041" s="66" t="s">
        <v>11572</v>
      </c>
      <c r="D6041" s="6">
        <v>118</v>
      </c>
      <c r="E6041" s="6">
        <v>106</v>
      </c>
      <c r="F6041" s="67" t="s">
        <v>23</v>
      </c>
      <c r="G6041" s="46" t="s">
        <v>11573</v>
      </c>
      <c r="H6041" s="46" t="s">
        <v>27</v>
      </c>
      <c r="I6041" s="47">
        <v>4815</v>
      </c>
      <c r="J6041" s="68">
        <v>4</v>
      </c>
      <c r="K6041" s="68">
        <v>431002</v>
      </c>
      <c r="L6041" s="3" t="str">
        <f t="shared" si="195"/>
        <v>ΧΟΙΡΟΙ</v>
      </c>
    </row>
    <row r="6042" spans="1:12" x14ac:dyDescent="0.25">
      <c r="A6042" s="1" t="str">
        <f t="shared" si="194"/>
        <v>ΧΟΙΡΟΙΠΑΧΥΝΟΜΕΝΑ ΧΟΙΡΙΔΙΑ, ΑΡΣΕΝΙΚΑ, ΕΓΧΩΡΙΟΣ ΕΛΛΗΝΙΚΟΣ ΧΟΙΡΟΣ</v>
      </c>
      <c r="B6042" s="69" t="s">
        <v>11559</v>
      </c>
      <c r="C6042" s="66" t="s">
        <v>11574</v>
      </c>
      <c r="D6042" s="6">
        <v>118</v>
      </c>
      <c r="E6042" s="6">
        <v>106</v>
      </c>
      <c r="F6042" s="67" t="s">
        <v>23</v>
      </c>
      <c r="G6042" s="46" t="s">
        <v>11575</v>
      </c>
      <c r="H6042" s="46" t="s">
        <v>27</v>
      </c>
      <c r="I6042" s="9">
        <v>4943</v>
      </c>
      <c r="J6042" s="54">
        <v>4</v>
      </c>
      <c r="K6042" s="54">
        <v>43100201</v>
      </c>
      <c r="L6042" s="3" t="str">
        <f t="shared" si="195"/>
        <v>ΧΟΙΡΟΙ</v>
      </c>
    </row>
    <row r="6043" spans="1:12" x14ac:dyDescent="0.25">
      <c r="A6043" s="1" t="str">
        <f t="shared" si="194"/>
        <v>ΧΟΙΡΟΙΠΑΧΥΝΟΜΕΝΑ ΧΟΙΡΙΔΙΑ, ΑΡΣΕΝΙΚΑ, ΛΟΙΠΗ</v>
      </c>
      <c r="B6043" s="65" t="s">
        <v>11559</v>
      </c>
      <c r="C6043" s="66" t="s">
        <v>11576</v>
      </c>
      <c r="D6043" s="6">
        <v>118</v>
      </c>
      <c r="E6043" s="6">
        <v>106</v>
      </c>
      <c r="F6043" s="67" t="s">
        <v>23</v>
      </c>
      <c r="G6043" s="46" t="s">
        <v>11577</v>
      </c>
      <c r="H6043" s="46" t="s">
        <v>27</v>
      </c>
      <c r="I6043" s="47">
        <v>4816</v>
      </c>
      <c r="J6043" s="68">
        <v>4</v>
      </c>
      <c r="K6043" s="68">
        <v>431004</v>
      </c>
      <c r="L6043" s="3" t="str">
        <f t="shared" si="195"/>
        <v>ΧΟΙΡΟΙ</v>
      </c>
    </row>
    <row r="6044" spans="1:12" x14ac:dyDescent="0.25">
      <c r="A6044" s="1" t="str">
        <f t="shared" si="194"/>
        <v>ΧΟΙΡΟΙΠΑΧΥΝΟΜΕΝΑ ΧΟΙΡΙΔΙΑ, ΘΗΛΥΚΑ, ΑΥΤΟΧΘΟΝΗ</v>
      </c>
      <c r="B6044" s="65" t="s">
        <v>11559</v>
      </c>
      <c r="C6044" s="66" t="s">
        <v>11578</v>
      </c>
      <c r="D6044" s="6">
        <v>118</v>
      </c>
      <c r="E6044" s="6">
        <v>106</v>
      </c>
      <c r="F6044" s="67" t="s">
        <v>23</v>
      </c>
      <c r="G6044" s="46" t="s">
        <v>11579</v>
      </c>
      <c r="H6044" s="46" t="s">
        <v>27</v>
      </c>
      <c r="I6044" s="9">
        <v>4817</v>
      </c>
      <c r="J6044" s="68">
        <v>4</v>
      </c>
      <c r="K6044" s="68">
        <v>432002</v>
      </c>
      <c r="L6044" s="3" t="str">
        <f t="shared" si="195"/>
        <v>ΧΟΙΡΟΙ</v>
      </c>
    </row>
    <row r="6045" spans="1:12" x14ac:dyDescent="0.25">
      <c r="A6045" s="1" t="str">
        <f t="shared" si="194"/>
        <v>ΧΟΙΡΟΙΠΑΧΥΝΟΜΕΝΑ ΧΟΙΡΙΔΙΑ, ΘΗΛΥΚΑ, ΕΓΧΩΡΙΟΣ ΕΛΛΗΝΙΚΟΣ ΧΟΙΡΟΣ</v>
      </c>
      <c r="B6045" s="69" t="s">
        <v>11559</v>
      </c>
      <c r="C6045" s="66" t="s">
        <v>11580</v>
      </c>
      <c r="D6045" s="6">
        <v>118</v>
      </c>
      <c r="E6045" s="6">
        <v>106</v>
      </c>
      <c r="F6045" s="67" t="s">
        <v>23</v>
      </c>
      <c r="G6045" s="46" t="s">
        <v>11581</v>
      </c>
      <c r="H6045" s="46" t="s">
        <v>27</v>
      </c>
      <c r="I6045" s="47">
        <v>4944</v>
      </c>
      <c r="J6045" s="54">
        <v>4</v>
      </c>
      <c r="K6045" s="54">
        <v>43200201</v>
      </c>
      <c r="L6045" s="3" t="str">
        <f t="shared" si="195"/>
        <v>ΧΟΙΡΟΙ</v>
      </c>
    </row>
    <row r="6046" spans="1:12" x14ac:dyDescent="0.25">
      <c r="A6046" s="1" t="str">
        <f t="shared" si="194"/>
        <v>ΧΟΙΡΟΙΠΑΧΥΝΟΜΕΝΑ ΧΟΙΡΙΔΙΑ, ΘΗΛΥΚΑ, ΛΟΙΠΗ</v>
      </c>
      <c r="B6046" s="65" t="s">
        <v>11559</v>
      </c>
      <c r="C6046" s="66" t="s">
        <v>11582</v>
      </c>
      <c r="D6046" s="6">
        <v>118</v>
      </c>
      <c r="E6046" s="6">
        <v>106</v>
      </c>
      <c r="F6046" s="67" t="s">
        <v>23</v>
      </c>
      <c r="G6046" s="46" t="s">
        <v>11583</v>
      </c>
      <c r="H6046" s="46" t="s">
        <v>27</v>
      </c>
      <c r="I6046" s="9">
        <v>4818</v>
      </c>
      <c r="J6046" s="68">
        <v>4</v>
      </c>
      <c r="K6046" s="68">
        <v>432004</v>
      </c>
      <c r="L6046" s="3" t="str">
        <f t="shared" si="195"/>
        <v>ΧΟΙΡΟΙ</v>
      </c>
    </row>
    <row r="6047" spans="1:12" ht="24" x14ac:dyDescent="0.25">
      <c r="A6047" s="1" t="str">
        <f t="shared" si="194"/>
        <v>ΧΩΡΟΙ ΕΚΤΡΟΦΗΣ ΣΑΛΙΓΚΑΡΙΩΝΕΚΤΡΟΦΗ ΣΑΛΙΓΚΑΡΙΩΝ</v>
      </c>
      <c r="B6047" s="49" t="s">
        <v>11584</v>
      </c>
      <c r="C6047" s="50" t="s">
        <v>11585</v>
      </c>
      <c r="D6047" s="6">
        <v>16260</v>
      </c>
      <c r="E6047" s="6">
        <v>16260</v>
      </c>
      <c r="F6047" s="46" t="s">
        <v>14</v>
      </c>
      <c r="G6047" s="46" t="s">
        <v>11586</v>
      </c>
      <c r="H6047" s="46" t="s">
        <v>27</v>
      </c>
      <c r="I6047" s="47">
        <v>2762</v>
      </c>
      <c r="J6047" s="51">
        <v>47</v>
      </c>
      <c r="K6047" s="51">
        <v>10300</v>
      </c>
      <c r="L6047" s="3" t="str">
        <f t="shared" si="195"/>
        <v>ΧΩΡΟΙ_ΕΚΤΡΟΦΗΣ_ΣΑΛΙΓΚΑΡΙΩΝ</v>
      </c>
    </row>
    <row r="6048" spans="1:12" s="79" customFormat="1" x14ac:dyDescent="0.25">
      <c r="A6048" s="70" t="str">
        <f t="shared" si="194"/>
        <v>ΓΕΩΜHΛΑΚΑΛΟΚΑΙΡΙΝΗ</v>
      </c>
      <c r="B6048" s="71" t="s">
        <v>11587</v>
      </c>
      <c r="C6048" s="72" t="s">
        <v>3440</v>
      </c>
      <c r="D6048" s="73">
        <v>9307.3700000000008</v>
      </c>
      <c r="E6048" s="73">
        <v>11609.49</v>
      </c>
      <c r="F6048" s="74"/>
      <c r="G6048" s="74"/>
      <c r="H6048" s="74"/>
      <c r="I6048" s="75"/>
      <c r="J6048" s="76"/>
      <c r="K6048" s="77"/>
      <c r="L6048" s="78"/>
    </row>
    <row r="6049" spans="1:12" s="79" customFormat="1" x14ac:dyDescent="0.25">
      <c r="A6049" s="70" t="str">
        <f t="shared" si="194"/>
        <v>ΑΚΡΟΔΡΥΑ (ΚΑΡΠΟΙ ΜΕ ΚΕΛΥΦΟΣ)ΦΥΣΤΙΚΙΑ EGINIS</v>
      </c>
      <c r="B6049" s="71" t="s">
        <v>256</v>
      </c>
      <c r="C6049" s="72" t="s">
        <v>11588</v>
      </c>
      <c r="D6049" s="73">
        <v>6628.52</v>
      </c>
      <c r="E6049" s="73">
        <v>7978.51</v>
      </c>
      <c r="F6049" s="74"/>
      <c r="G6049" s="74"/>
      <c r="H6049" s="74"/>
      <c r="I6049" s="75"/>
      <c r="J6049" s="76"/>
      <c r="K6049" s="77"/>
      <c r="L6049" s="78"/>
    </row>
    <row r="6050" spans="1:12" s="79" customFormat="1" x14ac:dyDescent="0.25">
      <c r="A6050" s="70" t="str">
        <f t="shared" si="194"/>
        <v>ΓΕΩΜHΛΑΚΑΛΟΚΑΙΡΙΝΗ</v>
      </c>
      <c r="B6050" s="71" t="s">
        <v>11587</v>
      </c>
      <c r="C6050" s="72" t="s">
        <v>3440</v>
      </c>
      <c r="D6050" s="73">
        <v>9307.3700000000008</v>
      </c>
      <c r="E6050" s="73">
        <v>11609.49</v>
      </c>
      <c r="F6050" s="74"/>
      <c r="G6050" s="74"/>
      <c r="H6050" s="74"/>
      <c r="I6050" s="75"/>
      <c r="J6050" s="76"/>
      <c r="K6050" s="77"/>
      <c r="L6050" s="78"/>
    </row>
    <row r="6051" spans="1:12" s="79" customFormat="1" x14ac:dyDescent="0.25">
      <c r="A6051" s="70" t="str">
        <f t="shared" si="194"/>
        <v>ΓΕΩΜHΛΑΑΝΟΙΞΙΑΤΙΚΗ</v>
      </c>
      <c r="B6051" s="71" t="s">
        <v>11587</v>
      </c>
      <c r="C6051" s="72" t="s">
        <v>3438</v>
      </c>
      <c r="D6051" s="73">
        <v>9307.3700000000008</v>
      </c>
      <c r="E6051" s="73">
        <v>11609.49</v>
      </c>
      <c r="F6051" s="74"/>
      <c r="G6051" s="74"/>
      <c r="H6051" s="74"/>
      <c r="I6051" s="75"/>
      <c r="J6051" s="76"/>
      <c r="K6051" s="77"/>
      <c r="L6051" s="78"/>
    </row>
    <row r="6052" spans="1:12" s="79" customFormat="1" x14ac:dyDescent="0.25">
      <c r="A6052" s="70" t="str">
        <f t="shared" si="194"/>
        <v>ΓΕΩΜHΛΑΦΘΙΝΟΠΩΡΙΝΗ</v>
      </c>
      <c r="B6052" s="71" t="s">
        <v>11587</v>
      </c>
      <c r="C6052" s="72" t="s">
        <v>3442</v>
      </c>
      <c r="D6052" s="73">
        <v>9307.3700000000008</v>
      </c>
      <c r="E6052" s="73">
        <v>11609.49</v>
      </c>
      <c r="F6052" s="74"/>
      <c r="G6052" s="74"/>
      <c r="H6052" s="74"/>
      <c r="I6052" s="75"/>
      <c r="J6052" s="76"/>
      <c r="K6052" s="77"/>
      <c r="L6052" s="78"/>
    </row>
    <row r="6053" spans="1:12" s="79" customFormat="1" x14ac:dyDescent="0.25">
      <c r="A6053" s="70" t="str">
        <f t="shared" si="194"/>
        <v>ΜΗΛΟΕΙΔΗΜΗΛΑ STARKING DELICIOUS</v>
      </c>
      <c r="B6053" s="71" t="s">
        <v>6594</v>
      </c>
      <c r="C6053" s="72" t="s">
        <v>11589</v>
      </c>
      <c r="D6053" s="73">
        <v>9716.51</v>
      </c>
      <c r="E6053" s="73">
        <v>9529.25</v>
      </c>
      <c r="F6053" s="74"/>
      <c r="G6053" s="74"/>
      <c r="H6053" s="74"/>
      <c r="I6053" s="75"/>
      <c r="J6053" s="76"/>
      <c r="K6053" s="77"/>
      <c r="L6053" s="78"/>
    </row>
    <row r="6054" spans="1:12" s="79" customFormat="1" x14ac:dyDescent="0.25">
      <c r="A6054" s="70" t="str">
        <f t="shared" si="194"/>
        <v>ΒΑΜΒΑΚΙAGRO A74</v>
      </c>
      <c r="B6054" s="71" t="s">
        <v>2016</v>
      </c>
      <c r="C6054" s="72" t="s">
        <v>11590</v>
      </c>
      <c r="D6054" s="73">
        <v>1513.82</v>
      </c>
      <c r="E6054" s="73">
        <v>1498.43</v>
      </c>
      <c r="F6054" s="74"/>
      <c r="G6054" s="74"/>
      <c r="H6054" s="74"/>
      <c r="I6054" s="75"/>
      <c r="J6054" s="76"/>
      <c r="K6054" s="77"/>
      <c r="L6054" s="78"/>
    </row>
    <row r="6055" spans="1:12" s="79" customFormat="1" x14ac:dyDescent="0.25">
      <c r="A6055" s="70" t="str">
        <f t="shared" si="194"/>
        <v>ΠΥΡΗΝΟΚΑΡΠΑΒΕΡΙΚΟΚΑ ΠΡΩΪΜΑ ΤΙΡΥΝΘΑΣ</v>
      </c>
      <c r="B6055" s="71" t="s">
        <v>7280</v>
      </c>
      <c r="C6055" s="72" t="s">
        <v>11591</v>
      </c>
      <c r="D6055" s="73">
        <v>5895.69</v>
      </c>
      <c r="E6055" s="73">
        <v>5815.34</v>
      </c>
      <c r="F6055" s="74"/>
      <c r="G6055" s="74"/>
      <c r="H6055" s="74"/>
      <c r="I6055" s="75"/>
      <c r="J6055" s="76"/>
      <c r="K6055" s="77"/>
      <c r="L6055" s="78"/>
    </row>
    <row r="6056" spans="1:12" s="79" customFormat="1" x14ac:dyDescent="0.25">
      <c r="A6056" s="70" t="str">
        <f t="shared" si="194"/>
        <v>ΠΥΡΗΝΟΚΑΡΠΑΒΕΡΙΚΟΚΑ ΛΟΙΠ. ΠΟΙΚΙΛ.</v>
      </c>
      <c r="B6056" s="71" t="s">
        <v>7280</v>
      </c>
      <c r="C6056" s="72" t="s">
        <v>11592</v>
      </c>
      <c r="D6056" s="73">
        <v>5895.69</v>
      </c>
      <c r="E6056" s="73">
        <v>5815.34</v>
      </c>
      <c r="F6056" s="74"/>
      <c r="G6056" s="74"/>
      <c r="H6056" s="74"/>
      <c r="I6056" s="75"/>
      <c r="J6056" s="76"/>
      <c r="K6056" s="77"/>
      <c r="L6056" s="78"/>
    </row>
    <row r="6057" spans="1:12" s="79" customFormat="1" x14ac:dyDescent="0.25">
      <c r="A6057" s="70" t="str">
        <f t="shared" si="194"/>
        <v>ΑΚΡΟΔΡΥΑ (ΚΑΡΠΟΙ ΜΕ ΚΕΛΥΦΟΣ)ΑΜΥΓΔΑΛΑ FERRADUEL</v>
      </c>
      <c r="B6057" s="71" t="s">
        <v>256</v>
      </c>
      <c r="C6057" s="72" t="s">
        <v>11593</v>
      </c>
      <c r="D6057" s="73">
        <v>6628.52</v>
      </c>
      <c r="E6057" s="73">
        <v>7978.51</v>
      </c>
      <c r="F6057" s="74"/>
      <c r="G6057" s="74"/>
      <c r="H6057" s="74"/>
      <c r="I6057" s="75"/>
      <c r="J6057" s="76"/>
      <c r="K6057" s="77"/>
      <c r="L6057" s="78"/>
    </row>
    <row r="6058" spans="1:12" s="79" customFormat="1" x14ac:dyDescent="0.25">
      <c r="A6058" s="70" t="str">
        <f t="shared" si="194"/>
        <v>ΠΥΡΗΝΟΚΑΡΠΑΒΕΡΙΚΟΚΑ ΜΠΕΜΠΕΚΟΥ</v>
      </c>
      <c r="B6058" s="71" t="s">
        <v>7280</v>
      </c>
      <c r="C6058" s="72" t="s">
        <v>11594</v>
      </c>
      <c r="D6058" s="80">
        <v>5895.69</v>
      </c>
      <c r="E6058" s="80">
        <v>5815.34</v>
      </c>
      <c r="F6058" s="74"/>
      <c r="G6058" s="74"/>
      <c r="H6058" s="74"/>
      <c r="I6058" s="75"/>
      <c r="J6058" s="76"/>
      <c r="K6058" s="77"/>
      <c r="L6058" s="78"/>
    </row>
    <row r="6059" spans="1:12" s="79" customFormat="1" x14ac:dyDescent="0.25">
      <c r="A6059" s="70" t="str">
        <f t="shared" si="194"/>
        <v>ΚΤΗΝΟΤΡΟΦΙΚΑ ΦΥΤΑ ΓΙΑ ΖΩΟΤΡΟΦΕΣΜΗΔΙΚΗ GIULIA</v>
      </c>
      <c r="B6059" s="71" t="s">
        <v>5215</v>
      </c>
      <c r="C6059" s="72" t="s">
        <v>11595</v>
      </c>
      <c r="D6059" s="81">
        <v>1402.9</v>
      </c>
      <c r="E6059" s="81">
        <v>1418.93</v>
      </c>
      <c r="F6059" s="74"/>
      <c r="G6059" s="74"/>
      <c r="H6059" s="74"/>
      <c r="I6059" s="75"/>
      <c r="J6059" s="76"/>
      <c r="K6059" s="77"/>
      <c r="L6059" s="78"/>
    </row>
    <row r="6060" spans="1:12" s="79" customFormat="1" x14ac:dyDescent="0.25">
      <c r="A6060" s="70" t="str">
        <f t="shared" si="194"/>
        <v>ΛΟΙΠΑ ΣΙΤΗΡΑΚΡΙΘΑΡΙ LEXY</v>
      </c>
      <c r="B6060" s="71" t="s">
        <v>6025</v>
      </c>
      <c r="C6060" s="72" t="s">
        <v>11596</v>
      </c>
      <c r="D6060" s="81">
        <v>466.58</v>
      </c>
      <c r="E6060" s="81">
        <v>366.77</v>
      </c>
      <c r="F6060" s="74"/>
      <c r="G6060" s="74"/>
      <c r="H6060" s="74"/>
      <c r="I6060" s="75"/>
      <c r="J6060" s="76"/>
      <c r="K6060" s="77"/>
      <c r="L6060" s="78"/>
    </row>
    <row r="6061" spans="1:12" s="79" customFormat="1" x14ac:dyDescent="0.25">
      <c r="A6061" s="70" t="str">
        <f t="shared" si="194"/>
        <v>ΒΑΜΒΑΚΙST402</v>
      </c>
      <c r="B6061" s="71" t="s">
        <v>2016</v>
      </c>
      <c r="C6061" s="72" t="s">
        <v>11597</v>
      </c>
      <c r="D6061" s="81">
        <v>1513.82</v>
      </c>
      <c r="E6061" s="81">
        <v>1498.43</v>
      </c>
      <c r="F6061" s="74"/>
      <c r="G6061" s="74"/>
      <c r="H6061" s="74"/>
      <c r="I6061" s="75"/>
      <c r="J6061" s="76"/>
      <c r="K6061" s="77"/>
      <c r="L6061" s="78"/>
    </row>
    <row r="6062" spans="1:12" s="79" customFormat="1" x14ac:dyDescent="0.25">
      <c r="A6062" s="70" t="str">
        <f t="shared" si="194"/>
        <v>ΕΣΠΕΡΙΔΟΕΙΔΗΜΑΝΔΑΡΙΝΙΑ ΠΕΪΤΖ</v>
      </c>
      <c r="B6062" s="71" t="s">
        <v>4476</v>
      </c>
      <c r="C6062" s="72" t="s">
        <v>11598</v>
      </c>
      <c r="D6062" s="81">
        <v>6463.62</v>
      </c>
      <c r="E6062" s="81">
        <v>7222.28</v>
      </c>
      <c r="F6062" s="74"/>
      <c r="G6062" s="74"/>
      <c r="H6062" s="74"/>
      <c r="I6062" s="75"/>
      <c r="J6062" s="76"/>
      <c r="K6062" s="77"/>
      <c r="L6062" s="78"/>
    </row>
    <row r="6063" spans="1:12" s="79" customFormat="1" x14ac:dyDescent="0.25">
      <c r="A6063" s="70" t="str">
        <f t="shared" si="194"/>
        <v>ΒΑΜΒΑΚΙST318</v>
      </c>
      <c r="B6063" s="71" t="s">
        <v>2016</v>
      </c>
      <c r="C6063" s="72" t="s">
        <v>11599</v>
      </c>
      <c r="D6063" s="81">
        <v>1513.82</v>
      </c>
      <c r="E6063" s="81">
        <v>1498.43</v>
      </c>
      <c r="F6063" s="74"/>
      <c r="G6063" s="74"/>
      <c r="H6063" s="74"/>
      <c r="I6063" s="75"/>
      <c r="J6063" s="76"/>
      <c r="K6063" s="77"/>
      <c r="L6063" s="78"/>
    </row>
    <row r="6064" spans="1:12" s="79" customFormat="1" x14ac:dyDescent="0.25">
      <c r="A6064" s="70" t="str">
        <f t="shared" si="194"/>
        <v>ΒΑΜΒΑΚΙAGRO A67</v>
      </c>
      <c r="B6064" s="71" t="s">
        <v>2016</v>
      </c>
      <c r="C6064" s="72" t="s">
        <v>11600</v>
      </c>
      <c r="D6064" s="81">
        <v>1513.82</v>
      </c>
      <c r="E6064" s="81">
        <v>1498.43</v>
      </c>
      <c r="F6064" s="74"/>
      <c r="G6064" s="74"/>
      <c r="H6064" s="74"/>
      <c r="I6064" s="75"/>
      <c r="J6064" s="76"/>
      <c r="K6064" s="77"/>
      <c r="L6064" s="78"/>
    </row>
    <row r="6065" spans="1:12" s="79" customFormat="1" x14ac:dyDescent="0.25">
      <c r="A6065" s="70" t="str">
        <f t="shared" si="194"/>
        <v>ΒΑΜΒΑΚΙAGRO A94</v>
      </c>
      <c r="B6065" s="71" t="s">
        <v>2016</v>
      </c>
      <c r="C6065" s="72" t="s">
        <v>11601</v>
      </c>
      <c r="D6065" s="81">
        <v>1513.82</v>
      </c>
      <c r="E6065" s="81">
        <v>1498.43</v>
      </c>
      <c r="F6065" s="74"/>
      <c r="G6065" s="74"/>
      <c r="H6065" s="74"/>
      <c r="I6065" s="75"/>
      <c r="J6065" s="76"/>
      <c r="K6065" s="77"/>
      <c r="L6065" s="78"/>
    </row>
    <row r="6066" spans="1:12" s="79" customFormat="1" x14ac:dyDescent="0.25">
      <c r="A6066" s="70" t="str">
        <f t="shared" si="194"/>
        <v>ΟΣΠΡΙΑ ΒΡΩΣΙΜΑΦΑΚΕΣ SAMOS</v>
      </c>
      <c r="B6066" s="71" t="s">
        <v>6928</v>
      </c>
      <c r="C6066" s="72" t="s">
        <v>11602</v>
      </c>
      <c r="D6066" s="81">
        <v>1515.84</v>
      </c>
      <c r="E6066" s="81">
        <v>3106.63</v>
      </c>
      <c r="F6066" s="74"/>
      <c r="G6066" s="74"/>
      <c r="H6066" s="74"/>
      <c r="I6066" s="75"/>
      <c r="J6066" s="76"/>
      <c r="K6066" s="77"/>
      <c r="L6066" s="78"/>
    </row>
    <row r="6067" spans="1:12" s="79" customFormat="1" x14ac:dyDescent="0.25">
      <c r="A6067" s="70" t="str">
        <f t="shared" si="194"/>
        <v>ΜΗΛΟΕΙΔΗΜΗΛΑ OREGON</v>
      </c>
      <c r="B6067" s="71" t="s">
        <v>6594</v>
      </c>
      <c r="C6067" s="72" t="s">
        <v>11603</v>
      </c>
      <c r="D6067" s="81">
        <v>9716.51</v>
      </c>
      <c r="E6067" s="81">
        <v>9529.25</v>
      </c>
      <c r="F6067" s="74"/>
      <c r="G6067" s="74"/>
      <c r="H6067" s="74"/>
      <c r="I6067" s="75"/>
      <c r="J6067" s="76"/>
      <c r="K6067" s="77"/>
      <c r="L6067" s="78"/>
    </row>
    <row r="6068" spans="1:12" s="79" customFormat="1" x14ac:dyDescent="0.25">
      <c r="A6068" s="70" t="str">
        <f t="shared" si="194"/>
        <v>ΚΤΗΝΟΤΡΟΦΙΚΑ ΦΥΤΑ ΓΙΑ ΖΩΟΤΡΟΦΕΣΜΗΔΙΚΗ AGN M68</v>
      </c>
      <c r="B6068" s="71" t="s">
        <v>5215</v>
      </c>
      <c r="C6068" s="72" t="s">
        <v>11604</v>
      </c>
      <c r="D6068" s="81">
        <v>1402.9</v>
      </c>
      <c r="E6068" s="81">
        <v>1418.93</v>
      </c>
      <c r="F6068" s="74"/>
      <c r="G6068" s="74"/>
      <c r="H6068" s="74"/>
      <c r="I6068" s="75"/>
      <c r="J6068" s="76"/>
      <c r="K6068" s="77"/>
      <c r="L6068" s="78"/>
    </row>
    <row r="6069" spans="1:12" s="79" customFormat="1" x14ac:dyDescent="0.25">
      <c r="A6069" s="70" t="str">
        <f t="shared" si="194"/>
        <v>ΠΥΡΗΝΟΚΑΡΠΑΒΕΡΙΚΟΚΑ LADY COT</v>
      </c>
      <c r="B6069" s="71" t="s">
        <v>7280</v>
      </c>
      <c r="C6069" s="72" t="s">
        <v>11605</v>
      </c>
      <c r="D6069" s="81">
        <v>5895.69</v>
      </c>
      <c r="E6069" s="81">
        <v>5815.34</v>
      </c>
      <c r="F6069" s="74"/>
      <c r="G6069" s="74"/>
      <c r="H6069" s="74"/>
      <c r="I6069" s="75"/>
      <c r="J6069" s="76"/>
      <c r="K6069" s="77"/>
      <c r="L6069" s="78"/>
    </row>
    <row r="6070" spans="1:12" s="79" customFormat="1" x14ac:dyDescent="0.25">
      <c r="A6070" s="70" t="str">
        <f t="shared" si="194"/>
        <v>ΠΥΡΗΝΟΚΑΡΠΑΒΕΡΙΚΟΚΑ LILLY COT</v>
      </c>
      <c r="B6070" s="71" t="s">
        <v>7280</v>
      </c>
      <c r="C6070" s="72" t="s">
        <v>11606</v>
      </c>
      <c r="D6070" s="81">
        <v>5895.69</v>
      </c>
      <c r="E6070" s="81">
        <v>5815.34</v>
      </c>
      <c r="F6070" s="74"/>
      <c r="G6070" s="74"/>
      <c r="H6070" s="74"/>
      <c r="I6070" s="75"/>
      <c r="J6070" s="76"/>
      <c r="K6070" s="77"/>
      <c r="L6070" s="78"/>
    </row>
    <row r="6071" spans="1:12" s="79" customFormat="1" x14ac:dyDescent="0.25">
      <c r="A6071" s="70" t="str">
        <f t="shared" si="194"/>
        <v>ΜΗΛΟΕΙΔΗΜΗΛΑ GALA</v>
      </c>
      <c r="B6071" s="71" t="s">
        <v>6594</v>
      </c>
      <c r="C6071" s="72" t="s">
        <v>11607</v>
      </c>
      <c r="D6071" s="81">
        <v>9716.51</v>
      </c>
      <c r="E6071" s="81">
        <v>9529.25</v>
      </c>
      <c r="F6071" s="74"/>
      <c r="G6071" s="74"/>
      <c r="H6071" s="74"/>
      <c r="I6071" s="75"/>
      <c r="J6071" s="76"/>
      <c r="K6071" s="77"/>
      <c r="L6071" s="78"/>
    </row>
    <row r="6072" spans="1:12" s="79" customFormat="1" x14ac:dyDescent="0.25">
      <c r="A6072" s="70" t="str">
        <f t="shared" si="194"/>
        <v>ΛΟΙΠΕΣ ΔΕΝΔΡΩΔΕΙΣ ΚΑΛΛΙΕΡΓΕΙΕΣΑΚΤΙΝΙΔΙΑ SORELI</v>
      </c>
      <c r="B6072" s="71" t="s">
        <v>6380</v>
      </c>
      <c r="C6072" s="72" t="s">
        <v>11608</v>
      </c>
      <c r="D6072" s="81">
        <v>11224.92</v>
      </c>
      <c r="E6072" s="81">
        <v>9346.09</v>
      </c>
      <c r="F6072" s="74"/>
      <c r="G6072" s="74"/>
      <c r="H6072" s="74"/>
      <c r="I6072" s="75"/>
      <c r="J6072" s="76"/>
      <c r="K6072" s="77"/>
      <c r="L6072" s="78"/>
    </row>
    <row r="6073" spans="1:12" s="79" customFormat="1" x14ac:dyDescent="0.25">
      <c r="A6073" s="70" t="str">
        <f t="shared" si="194"/>
        <v>ΚΤΗΝΟΤΡΟΦΙΚΑ ΦΥΤΑ ΓΙΑ ΖΩΟΤΡΟΦΕΣΜΗΔΙΚΗ YLIKI</v>
      </c>
      <c r="B6073" s="71" t="s">
        <v>5215</v>
      </c>
      <c r="C6073" s="72" t="s">
        <v>11609</v>
      </c>
      <c r="D6073" s="81">
        <v>1402.9</v>
      </c>
      <c r="E6073" s="81">
        <v>1418.93</v>
      </c>
      <c r="F6073" s="74"/>
      <c r="G6073" s="74"/>
      <c r="H6073" s="74"/>
      <c r="I6073" s="75"/>
      <c r="J6073" s="76"/>
      <c r="K6073" s="77"/>
      <c r="L6073" s="78"/>
    </row>
    <row r="6074" spans="1:12" s="79" customFormat="1" x14ac:dyDescent="0.25">
      <c r="A6074" s="70" t="str">
        <f t="shared" si="194"/>
        <v>ΑΡΑΒΟΣΙΤΟΣ ΕΝΣΙΡΩΣΗΣΑΡΑΒΟΣΙΤΟΣ PR31Y43</v>
      </c>
      <c r="B6074" s="71" t="s">
        <v>1072</v>
      </c>
      <c r="C6074" s="72" t="s">
        <v>1629</v>
      </c>
      <c r="D6074" s="81">
        <v>1314.55</v>
      </c>
      <c r="E6074" s="81">
        <v>1158.28</v>
      </c>
      <c r="F6074" s="74"/>
      <c r="G6074" s="74"/>
      <c r="H6074" s="74"/>
      <c r="I6074" s="75"/>
      <c r="J6074" s="76"/>
      <c r="K6074" s="77"/>
      <c r="L6074" s="78"/>
    </row>
    <row r="6075" spans="1:12" s="79" customFormat="1" x14ac:dyDescent="0.25">
      <c r="A6075" s="70" t="str">
        <f t="shared" si="194"/>
        <v>ΚΤΗΝΟΤΡΟΦΙΚΑ ΦΥΤΑ ΓΙΑ ΖΩΟΤΡΟΦΕΣΜΗΔΙΚΗ FRIGOS</v>
      </c>
      <c r="B6075" s="71" t="s">
        <v>5215</v>
      </c>
      <c r="C6075" s="72" t="s">
        <v>11610</v>
      </c>
      <c r="D6075" s="81">
        <v>1402.9</v>
      </c>
      <c r="E6075" s="81">
        <v>1418.93</v>
      </c>
      <c r="F6075" s="74"/>
      <c r="G6075" s="74"/>
      <c r="H6075" s="74"/>
      <c r="I6075" s="75"/>
      <c r="J6075" s="76"/>
      <c r="K6075" s="77"/>
      <c r="L6075" s="78"/>
    </row>
    <row r="6076" spans="1:12" s="79" customFormat="1" x14ac:dyDescent="0.25">
      <c r="A6076" s="70" t="str">
        <f t="shared" si="194"/>
        <v>ΠΥΡΗΝΟΚΑΡΠΑΒΕΡΙΚΟΚΑ ΟΡΑΝΤΖ ΡΕΝΤ</v>
      </c>
      <c r="B6076" s="71" t="s">
        <v>7280</v>
      </c>
      <c r="C6076" s="72" t="s">
        <v>11611</v>
      </c>
      <c r="D6076" s="81">
        <v>5895.69</v>
      </c>
      <c r="E6076" s="81">
        <v>5815.34</v>
      </c>
      <c r="F6076" s="74"/>
      <c r="G6076" s="74"/>
      <c r="H6076" s="74"/>
      <c r="I6076" s="75"/>
      <c r="J6076" s="76"/>
      <c r="K6076" s="77"/>
      <c r="L6076" s="78"/>
    </row>
    <row r="6077" spans="1:12" s="94" customFormat="1" x14ac:dyDescent="0.25">
      <c r="A6077" s="95" t="s">
        <v>11612</v>
      </c>
      <c r="B6077" s="96" t="s">
        <v>8886</v>
      </c>
      <c r="C6077" s="97" t="s">
        <v>12080</v>
      </c>
      <c r="D6077" s="6">
        <v>517.94000000000005</v>
      </c>
      <c r="E6077" s="6">
        <v>492.2</v>
      </c>
      <c r="F6077" s="89"/>
      <c r="G6077" s="89"/>
      <c r="H6077" s="89"/>
      <c r="I6077" s="90"/>
      <c r="J6077" s="91"/>
      <c r="K6077" s="92"/>
      <c r="L6077" s="93"/>
    </row>
    <row r="6078" spans="1:12" s="94" customFormat="1" x14ac:dyDescent="0.25">
      <c r="A6078" s="95" t="s">
        <v>11613</v>
      </c>
      <c r="B6078" s="96" t="s">
        <v>8886</v>
      </c>
      <c r="C6078" s="97" t="s">
        <v>12081</v>
      </c>
      <c r="D6078" s="6">
        <v>517.94000000000005</v>
      </c>
      <c r="E6078" s="6">
        <v>492.2</v>
      </c>
      <c r="F6078" s="89"/>
      <c r="G6078" s="89"/>
      <c r="H6078" s="89"/>
      <c r="I6078" s="90"/>
      <c r="J6078" s="91"/>
      <c r="K6078" s="92"/>
      <c r="L6078" s="93"/>
    </row>
    <row r="6079" spans="1:12" s="94" customFormat="1" x14ac:dyDescent="0.25">
      <c r="A6079" s="95" t="s">
        <v>11614</v>
      </c>
      <c r="B6079" s="96" t="s">
        <v>8886</v>
      </c>
      <c r="C6079" s="97" t="s">
        <v>12082</v>
      </c>
      <c r="D6079" s="6">
        <v>517.94000000000005</v>
      </c>
      <c r="E6079" s="6">
        <v>492.2</v>
      </c>
      <c r="F6079" s="89"/>
      <c r="G6079" s="89"/>
      <c r="H6079" s="89"/>
      <c r="I6079" s="90"/>
      <c r="J6079" s="91"/>
      <c r="K6079" s="92"/>
      <c r="L6079" s="93"/>
    </row>
    <row r="6080" spans="1:12" s="94" customFormat="1" x14ac:dyDescent="0.25">
      <c r="A6080" s="95" t="s">
        <v>11615</v>
      </c>
      <c r="B6080" s="96" t="s">
        <v>8886</v>
      </c>
      <c r="C6080" s="97" t="s">
        <v>12083</v>
      </c>
      <c r="D6080" s="6">
        <v>517.94000000000005</v>
      </c>
      <c r="E6080" s="6">
        <v>492.2</v>
      </c>
      <c r="F6080" s="89"/>
      <c r="G6080" s="89"/>
      <c r="H6080" s="89"/>
      <c r="I6080" s="90"/>
      <c r="J6080" s="91"/>
      <c r="K6080" s="92"/>
      <c r="L6080" s="93"/>
    </row>
    <row r="6081" spans="1:12" s="94" customFormat="1" x14ac:dyDescent="0.25">
      <c r="A6081" s="95" t="s">
        <v>11616</v>
      </c>
      <c r="B6081" s="96" t="s">
        <v>8886</v>
      </c>
      <c r="C6081" s="97" t="s">
        <v>12084</v>
      </c>
      <c r="D6081" s="6">
        <v>517.94000000000005</v>
      </c>
      <c r="E6081" s="6">
        <v>492.2</v>
      </c>
      <c r="F6081" s="89"/>
      <c r="G6081" s="89"/>
      <c r="H6081" s="89"/>
      <c r="I6081" s="90"/>
      <c r="J6081" s="91"/>
      <c r="K6081" s="92"/>
      <c r="L6081" s="93"/>
    </row>
    <row r="6082" spans="1:12" s="94" customFormat="1" x14ac:dyDescent="0.25">
      <c r="A6082" s="95" t="s">
        <v>11617</v>
      </c>
      <c r="B6082" s="96" t="s">
        <v>8886</v>
      </c>
      <c r="C6082" s="97" t="s">
        <v>12085</v>
      </c>
      <c r="D6082" s="6">
        <v>517.94000000000005</v>
      </c>
      <c r="E6082" s="6">
        <v>492.2</v>
      </c>
      <c r="F6082" s="89"/>
      <c r="G6082" s="89"/>
      <c r="H6082" s="89"/>
      <c r="I6082" s="90"/>
      <c r="J6082" s="91"/>
      <c r="K6082" s="92"/>
      <c r="L6082" s="93"/>
    </row>
    <row r="6083" spans="1:12" s="94" customFormat="1" x14ac:dyDescent="0.25">
      <c r="A6083" s="95" t="s">
        <v>11618</v>
      </c>
      <c r="B6083" s="96" t="s">
        <v>2016</v>
      </c>
      <c r="C6083" s="97" t="s">
        <v>12086</v>
      </c>
      <c r="D6083" s="6">
        <v>1513.82</v>
      </c>
      <c r="E6083" s="6">
        <v>1498.43</v>
      </c>
      <c r="F6083" s="89"/>
      <c r="G6083" s="89"/>
      <c r="H6083" s="89"/>
      <c r="I6083" s="90"/>
      <c r="J6083" s="91"/>
      <c r="K6083" s="92"/>
      <c r="L6083" s="93"/>
    </row>
    <row r="6084" spans="1:12" s="94" customFormat="1" x14ac:dyDescent="0.25">
      <c r="A6084" s="95" t="s">
        <v>11619</v>
      </c>
      <c r="B6084" s="96" t="s">
        <v>2016</v>
      </c>
      <c r="C6084" s="97" t="s">
        <v>12087</v>
      </c>
      <c r="D6084" s="6">
        <v>1513.82</v>
      </c>
      <c r="E6084" s="6">
        <v>1498.43</v>
      </c>
      <c r="F6084" s="89"/>
      <c r="G6084" s="89"/>
      <c r="H6084" s="89"/>
      <c r="I6084" s="90"/>
      <c r="J6084" s="91"/>
      <c r="K6084" s="92"/>
      <c r="L6084" s="93"/>
    </row>
    <row r="6085" spans="1:12" s="94" customFormat="1" x14ac:dyDescent="0.25">
      <c r="A6085" s="95" t="s">
        <v>11620</v>
      </c>
      <c r="B6085" s="96" t="s">
        <v>2016</v>
      </c>
      <c r="C6085" s="97" t="s">
        <v>12088</v>
      </c>
      <c r="D6085" s="6">
        <v>1513.82</v>
      </c>
      <c r="E6085" s="6">
        <v>1498.43</v>
      </c>
      <c r="F6085" s="89"/>
      <c r="G6085" s="89"/>
      <c r="H6085" s="89"/>
      <c r="I6085" s="90"/>
      <c r="J6085" s="91"/>
      <c r="K6085" s="92"/>
      <c r="L6085" s="93"/>
    </row>
    <row r="6086" spans="1:12" s="94" customFormat="1" x14ac:dyDescent="0.25">
      <c r="A6086" s="95" t="s">
        <v>11621</v>
      </c>
      <c r="B6086" s="96" t="s">
        <v>2016</v>
      </c>
      <c r="C6086" s="97" t="s">
        <v>12089</v>
      </c>
      <c r="D6086" s="6">
        <v>1513.82</v>
      </c>
      <c r="E6086" s="6">
        <v>1498.43</v>
      </c>
      <c r="F6086" s="89"/>
      <c r="G6086" s="89"/>
      <c r="H6086" s="89"/>
      <c r="I6086" s="90"/>
      <c r="J6086" s="91"/>
      <c r="K6086" s="92"/>
      <c r="L6086" s="93"/>
    </row>
    <row r="6087" spans="1:12" s="94" customFormat="1" x14ac:dyDescent="0.25">
      <c r="A6087" s="95" t="s">
        <v>11622</v>
      </c>
      <c r="B6087" s="96" t="s">
        <v>2016</v>
      </c>
      <c r="C6087" s="97" t="s">
        <v>12090</v>
      </c>
      <c r="D6087" s="6">
        <v>1513.82</v>
      </c>
      <c r="E6087" s="6">
        <v>1498.43</v>
      </c>
      <c r="F6087" s="89"/>
      <c r="G6087" s="89"/>
      <c r="H6087" s="89"/>
      <c r="I6087" s="90"/>
      <c r="J6087" s="91"/>
      <c r="K6087" s="92"/>
      <c r="L6087" s="93"/>
    </row>
    <row r="6088" spans="1:12" s="94" customFormat="1" x14ac:dyDescent="0.25">
      <c r="A6088" s="95" t="s">
        <v>11623</v>
      </c>
      <c r="B6088" s="96" t="s">
        <v>2016</v>
      </c>
      <c r="C6088" s="97" t="s">
        <v>12091</v>
      </c>
      <c r="D6088" s="6">
        <v>1513.82</v>
      </c>
      <c r="E6088" s="6">
        <v>1498.43</v>
      </c>
      <c r="F6088" s="89"/>
      <c r="G6088" s="89"/>
      <c r="H6088" s="89"/>
      <c r="I6088" s="90"/>
      <c r="J6088" s="91"/>
      <c r="K6088" s="92"/>
      <c r="L6088" s="93"/>
    </row>
    <row r="6089" spans="1:12" s="94" customFormat="1" x14ac:dyDescent="0.25">
      <c r="A6089" s="95" t="s">
        <v>11624</v>
      </c>
      <c r="B6089" s="96" t="s">
        <v>2016</v>
      </c>
      <c r="C6089" s="97" t="s">
        <v>12092</v>
      </c>
      <c r="D6089" s="6">
        <v>1513.82</v>
      </c>
      <c r="E6089" s="6">
        <v>1498.43</v>
      </c>
      <c r="F6089" s="89"/>
      <c r="G6089" s="89"/>
      <c r="H6089" s="89"/>
      <c r="I6089" s="90"/>
      <c r="J6089" s="91"/>
      <c r="K6089" s="92"/>
      <c r="L6089" s="93"/>
    </row>
    <row r="6090" spans="1:12" s="94" customFormat="1" x14ac:dyDescent="0.25">
      <c r="A6090" s="95" t="s">
        <v>11625</v>
      </c>
      <c r="B6090" s="96" t="s">
        <v>2016</v>
      </c>
      <c r="C6090" s="97" t="s">
        <v>12093</v>
      </c>
      <c r="D6090" s="6">
        <v>1513.82</v>
      </c>
      <c r="E6090" s="6">
        <v>1498.43</v>
      </c>
      <c r="F6090" s="89"/>
      <c r="G6090" s="89"/>
      <c r="H6090" s="89"/>
      <c r="I6090" s="90"/>
      <c r="J6090" s="91"/>
      <c r="K6090" s="92"/>
      <c r="L6090" s="93"/>
    </row>
    <row r="6091" spans="1:12" s="94" customFormat="1" x14ac:dyDescent="0.25">
      <c r="A6091" s="95" t="s">
        <v>11626</v>
      </c>
      <c r="B6091" s="96" t="s">
        <v>2016</v>
      </c>
      <c r="C6091" s="97" t="s">
        <v>12094</v>
      </c>
      <c r="D6091" s="6">
        <v>1513.82</v>
      </c>
      <c r="E6091" s="6">
        <v>1498.43</v>
      </c>
      <c r="F6091" s="89"/>
      <c r="G6091" s="89"/>
      <c r="H6091" s="89"/>
      <c r="I6091" s="90"/>
      <c r="J6091" s="91"/>
      <c r="K6091" s="92"/>
      <c r="L6091" s="93"/>
    </row>
    <row r="6092" spans="1:12" s="94" customFormat="1" x14ac:dyDescent="0.25">
      <c r="A6092" s="95" t="s">
        <v>11627</v>
      </c>
      <c r="B6092" s="96" t="s">
        <v>4718</v>
      </c>
      <c r="C6092" s="97" t="s">
        <v>12095</v>
      </c>
      <c r="D6092" s="6">
        <v>6029.93</v>
      </c>
      <c r="E6092" s="6">
        <v>5575.15</v>
      </c>
      <c r="F6092" s="89"/>
      <c r="G6092" s="89"/>
      <c r="H6092" s="89"/>
      <c r="I6092" s="90"/>
      <c r="J6092" s="91"/>
      <c r="K6092" s="92"/>
      <c r="L6092" s="93"/>
    </row>
    <row r="6093" spans="1:12" s="94" customFormat="1" x14ac:dyDescent="0.25">
      <c r="A6093" s="95" t="s">
        <v>11628</v>
      </c>
      <c r="B6093" s="96" t="s">
        <v>4718</v>
      </c>
      <c r="C6093" s="97" t="s">
        <v>12096</v>
      </c>
      <c r="D6093" s="6">
        <v>6029.93</v>
      </c>
      <c r="E6093" s="6">
        <v>5575.15</v>
      </c>
      <c r="F6093" s="89"/>
      <c r="G6093" s="89"/>
      <c r="H6093" s="89"/>
      <c r="I6093" s="90"/>
      <c r="J6093" s="91"/>
      <c r="K6093" s="92"/>
      <c r="L6093" s="93"/>
    </row>
    <row r="6094" spans="1:12" s="94" customFormat="1" x14ac:dyDescent="0.25">
      <c r="A6094" s="95" t="s">
        <v>11629</v>
      </c>
      <c r="B6094" s="96" t="s">
        <v>4718</v>
      </c>
      <c r="C6094" s="97" t="s">
        <v>12097</v>
      </c>
      <c r="D6094" s="6">
        <v>6029.93</v>
      </c>
      <c r="E6094" s="6">
        <v>5575.15</v>
      </c>
      <c r="F6094" s="89"/>
      <c r="G6094" s="89"/>
      <c r="H6094" s="89"/>
      <c r="I6094" s="90"/>
      <c r="J6094" s="91"/>
      <c r="K6094" s="92"/>
      <c r="L6094" s="93"/>
    </row>
    <row r="6095" spans="1:12" s="94" customFormat="1" x14ac:dyDescent="0.25">
      <c r="A6095" s="95" t="s">
        <v>11630</v>
      </c>
      <c r="B6095" s="96" t="s">
        <v>4718</v>
      </c>
      <c r="C6095" s="97" t="s">
        <v>12098</v>
      </c>
      <c r="D6095" s="6">
        <v>6029.93</v>
      </c>
      <c r="E6095" s="6">
        <v>5575.15</v>
      </c>
      <c r="F6095" s="89"/>
      <c r="G6095" s="89"/>
      <c r="H6095" s="89"/>
      <c r="I6095" s="90"/>
      <c r="J6095" s="91"/>
      <c r="K6095" s="92"/>
      <c r="L6095" s="93"/>
    </row>
    <row r="6096" spans="1:12" s="94" customFormat="1" x14ac:dyDescent="0.25">
      <c r="A6096" s="95" t="s">
        <v>11631</v>
      </c>
      <c r="B6096" s="96" t="s">
        <v>6025</v>
      </c>
      <c r="C6096" s="97" t="s">
        <v>12099</v>
      </c>
      <c r="D6096" s="6">
        <v>491.53</v>
      </c>
      <c r="E6096" s="6">
        <v>485.9</v>
      </c>
      <c r="F6096" s="89"/>
      <c r="G6096" s="89"/>
      <c r="H6096" s="89"/>
      <c r="I6096" s="90"/>
      <c r="J6096" s="91"/>
      <c r="K6096" s="92"/>
      <c r="L6096" s="93"/>
    </row>
    <row r="6097" spans="1:12" s="94" customFormat="1" x14ac:dyDescent="0.25">
      <c r="A6097" s="95" t="s">
        <v>11632</v>
      </c>
      <c r="B6097" s="96" t="s">
        <v>5215</v>
      </c>
      <c r="C6097" s="97" t="s">
        <v>12100</v>
      </c>
      <c r="D6097" s="6">
        <v>466.58</v>
      </c>
      <c r="E6097" s="6">
        <v>366.77</v>
      </c>
      <c r="F6097" s="89"/>
      <c r="G6097" s="89"/>
      <c r="H6097" s="89"/>
      <c r="I6097" s="90"/>
      <c r="J6097" s="91"/>
      <c r="K6097" s="92"/>
      <c r="L6097" s="93"/>
    </row>
    <row r="6098" spans="1:12" s="94" customFormat="1" x14ac:dyDescent="0.25">
      <c r="A6098" s="95" t="s">
        <v>11633</v>
      </c>
      <c r="B6098" s="96" t="s">
        <v>6025</v>
      </c>
      <c r="C6098" s="97" t="s">
        <v>12101</v>
      </c>
      <c r="D6098" s="6">
        <v>466.58</v>
      </c>
      <c r="E6098" s="6">
        <v>366.77</v>
      </c>
      <c r="F6098" s="89"/>
      <c r="G6098" s="89"/>
      <c r="H6098" s="89"/>
      <c r="I6098" s="90"/>
      <c r="J6098" s="91"/>
      <c r="K6098" s="92"/>
      <c r="L6098" s="93"/>
    </row>
    <row r="6099" spans="1:12" s="94" customFormat="1" x14ac:dyDescent="0.25">
      <c r="A6099" s="95" t="s">
        <v>11634</v>
      </c>
      <c r="B6099" s="96" t="s">
        <v>6025</v>
      </c>
      <c r="C6099" s="97" t="s">
        <v>12102</v>
      </c>
      <c r="D6099" s="6">
        <v>491.53</v>
      </c>
      <c r="E6099" s="6">
        <v>485.9</v>
      </c>
      <c r="F6099" s="89"/>
      <c r="G6099" s="89"/>
      <c r="H6099" s="89"/>
      <c r="I6099" s="90"/>
      <c r="J6099" s="91"/>
      <c r="K6099" s="92"/>
      <c r="L6099" s="93"/>
    </row>
    <row r="6100" spans="1:12" s="94" customFormat="1" x14ac:dyDescent="0.25">
      <c r="A6100" s="95" t="s">
        <v>11635</v>
      </c>
      <c r="B6100" s="96" t="s">
        <v>5215</v>
      </c>
      <c r="C6100" s="97" t="s">
        <v>12102</v>
      </c>
      <c r="D6100" s="6">
        <v>491.53</v>
      </c>
      <c r="E6100" s="6">
        <v>485.9</v>
      </c>
      <c r="F6100" s="89"/>
      <c r="G6100" s="89"/>
      <c r="H6100" s="89"/>
      <c r="I6100" s="90"/>
      <c r="J6100" s="91"/>
      <c r="K6100" s="92"/>
      <c r="L6100" s="93"/>
    </row>
    <row r="6101" spans="1:12" s="94" customFormat="1" x14ac:dyDescent="0.25">
      <c r="A6101" s="95" t="s">
        <v>11636</v>
      </c>
      <c r="B6101" s="96" t="s">
        <v>6025</v>
      </c>
      <c r="C6101" s="97" t="s">
        <v>12103</v>
      </c>
      <c r="D6101" s="6">
        <v>491.53</v>
      </c>
      <c r="E6101" s="6">
        <v>485.9</v>
      </c>
      <c r="F6101" s="89"/>
      <c r="G6101" s="89"/>
      <c r="H6101" s="89"/>
      <c r="I6101" s="90"/>
      <c r="J6101" s="91"/>
      <c r="K6101" s="92"/>
      <c r="L6101" s="93"/>
    </row>
    <row r="6102" spans="1:12" s="94" customFormat="1" x14ac:dyDescent="0.25">
      <c r="A6102" s="95" t="s">
        <v>11637</v>
      </c>
      <c r="B6102" s="96" t="s">
        <v>5215</v>
      </c>
      <c r="C6102" s="97" t="s">
        <v>12103</v>
      </c>
      <c r="D6102" s="6">
        <v>491.53</v>
      </c>
      <c r="E6102" s="6">
        <v>485.9</v>
      </c>
      <c r="F6102" s="89"/>
      <c r="G6102" s="89"/>
      <c r="H6102" s="89"/>
      <c r="I6102" s="90"/>
      <c r="J6102" s="91"/>
      <c r="K6102" s="92"/>
      <c r="L6102" s="93"/>
    </row>
    <row r="6103" spans="1:12" s="94" customFormat="1" x14ac:dyDescent="0.25">
      <c r="A6103" s="95" t="s">
        <v>11638</v>
      </c>
      <c r="B6103" s="96" t="s">
        <v>6025</v>
      </c>
      <c r="C6103" s="97" t="s">
        <v>12104</v>
      </c>
      <c r="D6103" s="6">
        <v>491.53</v>
      </c>
      <c r="E6103" s="6">
        <v>485.9</v>
      </c>
      <c r="F6103" s="89"/>
      <c r="G6103" s="89"/>
      <c r="H6103" s="89"/>
      <c r="I6103" s="90"/>
      <c r="J6103" s="91"/>
      <c r="K6103" s="92"/>
      <c r="L6103" s="93"/>
    </row>
    <row r="6104" spans="1:12" s="94" customFormat="1" x14ac:dyDescent="0.25">
      <c r="A6104" s="95" t="s">
        <v>11639</v>
      </c>
      <c r="B6104" s="96" t="s">
        <v>5215</v>
      </c>
      <c r="C6104" s="97" t="s">
        <v>12104</v>
      </c>
      <c r="D6104" s="6">
        <v>491.53</v>
      </c>
      <c r="E6104" s="6">
        <v>485.9</v>
      </c>
      <c r="F6104" s="89"/>
      <c r="G6104" s="89"/>
      <c r="H6104" s="89"/>
      <c r="I6104" s="90"/>
      <c r="J6104" s="91"/>
      <c r="K6104" s="92"/>
      <c r="L6104" s="93"/>
    </row>
    <row r="6105" spans="1:12" s="94" customFormat="1" x14ac:dyDescent="0.25">
      <c r="A6105" s="95" t="s">
        <v>11640</v>
      </c>
      <c r="B6105" s="96" t="s">
        <v>256</v>
      </c>
      <c r="C6105" s="97" t="s">
        <v>12105</v>
      </c>
      <c r="D6105" s="6">
        <v>6628.52</v>
      </c>
      <c r="E6105" s="6">
        <v>7978.51</v>
      </c>
      <c r="F6105" s="89"/>
      <c r="G6105" s="89"/>
      <c r="H6105" s="89"/>
      <c r="I6105" s="90"/>
      <c r="J6105" s="91"/>
      <c r="K6105" s="92"/>
      <c r="L6105" s="93"/>
    </row>
    <row r="6106" spans="1:12" s="94" customFormat="1" x14ac:dyDescent="0.25">
      <c r="A6106" s="95" t="s">
        <v>11641</v>
      </c>
      <c r="B6106" s="96" t="s">
        <v>256</v>
      </c>
      <c r="C6106" s="97" t="s">
        <v>12106</v>
      </c>
      <c r="D6106" s="6">
        <v>6628.52</v>
      </c>
      <c r="E6106" s="6">
        <v>7978.51</v>
      </c>
      <c r="F6106" s="89"/>
      <c r="G6106" s="89"/>
      <c r="H6106" s="89"/>
      <c r="I6106" s="90"/>
      <c r="J6106" s="91"/>
      <c r="K6106" s="92"/>
      <c r="L6106" s="93"/>
    </row>
    <row r="6107" spans="1:12" s="94" customFormat="1" x14ac:dyDescent="0.25">
      <c r="A6107" s="95" t="s">
        <v>11642</v>
      </c>
      <c r="B6107" s="96" t="s">
        <v>256</v>
      </c>
      <c r="C6107" s="97" t="s">
        <v>12107</v>
      </c>
      <c r="D6107" s="6">
        <v>6628.52</v>
      </c>
      <c r="E6107" s="6">
        <v>7978.51</v>
      </c>
      <c r="F6107" s="89"/>
      <c r="G6107" s="89"/>
      <c r="H6107" s="89"/>
      <c r="I6107" s="90"/>
      <c r="J6107" s="91"/>
      <c r="K6107" s="92"/>
      <c r="L6107" s="93"/>
    </row>
    <row r="6108" spans="1:12" s="94" customFormat="1" x14ac:dyDescent="0.25">
      <c r="A6108" s="95" t="s">
        <v>11643</v>
      </c>
      <c r="B6108" s="96" t="s">
        <v>11587</v>
      </c>
      <c r="C6108" s="97" t="s">
        <v>3432</v>
      </c>
      <c r="D6108" s="6">
        <v>9307.3700000000008</v>
      </c>
      <c r="E6108" s="6">
        <v>11609.49</v>
      </c>
      <c r="F6108" s="89"/>
      <c r="G6108" s="89"/>
      <c r="H6108" s="89"/>
      <c r="I6108" s="90"/>
      <c r="J6108" s="91"/>
      <c r="K6108" s="92"/>
      <c r="L6108" s="93"/>
    </row>
    <row r="6109" spans="1:12" s="94" customFormat="1" x14ac:dyDescent="0.25">
      <c r="A6109" s="95" t="s">
        <v>11644</v>
      </c>
      <c r="B6109" s="96" t="s">
        <v>11587</v>
      </c>
      <c r="C6109" s="97" t="s">
        <v>3434</v>
      </c>
      <c r="D6109" s="6">
        <v>9307.3700000000008</v>
      </c>
      <c r="E6109" s="6">
        <v>11609.49</v>
      </c>
      <c r="F6109" s="89"/>
      <c r="G6109" s="89"/>
      <c r="H6109" s="89"/>
      <c r="I6109" s="90"/>
      <c r="J6109" s="91"/>
      <c r="K6109" s="92"/>
      <c r="L6109" s="93"/>
    </row>
    <row r="6110" spans="1:12" s="94" customFormat="1" x14ac:dyDescent="0.25">
      <c r="A6110" s="95" t="s">
        <v>11645</v>
      </c>
      <c r="B6110" s="96" t="s">
        <v>10973</v>
      </c>
      <c r="C6110" s="97" t="s">
        <v>12108</v>
      </c>
      <c r="D6110" s="6">
        <v>4227</v>
      </c>
      <c r="E6110" s="6">
        <v>4128</v>
      </c>
      <c r="F6110" s="89"/>
      <c r="G6110" s="89"/>
      <c r="H6110" s="89"/>
      <c r="I6110" s="90"/>
      <c r="J6110" s="91"/>
      <c r="K6110" s="92"/>
      <c r="L6110" s="93"/>
    </row>
    <row r="6111" spans="1:12" s="94" customFormat="1" x14ac:dyDescent="0.25">
      <c r="A6111" s="95" t="s">
        <v>11646</v>
      </c>
      <c r="B6111" s="96" t="s">
        <v>10973</v>
      </c>
      <c r="C6111" s="97" t="s">
        <v>12109</v>
      </c>
      <c r="D6111" s="6">
        <v>1515.84</v>
      </c>
      <c r="E6111" s="6">
        <v>3106.63</v>
      </c>
      <c r="F6111" s="89"/>
      <c r="G6111" s="89"/>
      <c r="H6111" s="89"/>
      <c r="I6111" s="90"/>
      <c r="J6111" s="91"/>
      <c r="K6111" s="92"/>
      <c r="L6111" s="93"/>
    </row>
    <row r="6112" spans="1:12" s="94" customFormat="1" x14ac:dyDescent="0.25">
      <c r="A6112" s="95" t="s">
        <v>11647</v>
      </c>
      <c r="B6112" s="96" t="s">
        <v>1496</v>
      </c>
      <c r="C6112" s="97" t="s">
        <v>1118</v>
      </c>
      <c r="D6112" s="6">
        <v>1831.09</v>
      </c>
      <c r="E6112" s="6">
        <v>1533.82</v>
      </c>
      <c r="F6112" s="89"/>
      <c r="G6112" s="89"/>
      <c r="H6112" s="89"/>
      <c r="I6112" s="90"/>
      <c r="J6112" s="91"/>
      <c r="K6112" s="92"/>
      <c r="L6112" s="93"/>
    </row>
    <row r="6113" spans="1:12" s="94" customFormat="1" x14ac:dyDescent="0.25">
      <c r="A6113" s="95" t="s">
        <v>11648</v>
      </c>
      <c r="B6113" s="96" t="s">
        <v>1496</v>
      </c>
      <c r="C6113" s="97" t="s">
        <v>1126</v>
      </c>
      <c r="D6113" s="6">
        <v>1831.09</v>
      </c>
      <c r="E6113" s="6">
        <v>1533.82</v>
      </c>
      <c r="F6113" s="89"/>
      <c r="G6113" s="89"/>
      <c r="H6113" s="89"/>
      <c r="I6113" s="90"/>
      <c r="J6113" s="91"/>
      <c r="K6113" s="92"/>
      <c r="L6113" s="93"/>
    </row>
    <row r="6114" spans="1:12" s="94" customFormat="1" x14ac:dyDescent="0.25">
      <c r="A6114" s="95" t="s">
        <v>11649</v>
      </c>
      <c r="B6114" s="96" t="s">
        <v>1496</v>
      </c>
      <c r="C6114" s="97" t="s">
        <v>1134</v>
      </c>
      <c r="D6114" s="6">
        <v>1831.09</v>
      </c>
      <c r="E6114" s="6">
        <v>1533.82</v>
      </c>
      <c r="F6114" s="89"/>
      <c r="G6114" s="89"/>
      <c r="H6114" s="89"/>
      <c r="I6114" s="90"/>
      <c r="J6114" s="91"/>
      <c r="K6114" s="92"/>
      <c r="L6114" s="93"/>
    </row>
    <row r="6115" spans="1:12" s="94" customFormat="1" x14ac:dyDescent="0.25">
      <c r="A6115" s="95" t="s">
        <v>11650</v>
      </c>
      <c r="B6115" s="96" t="s">
        <v>4771</v>
      </c>
      <c r="C6115" s="97" t="s">
        <v>12110</v>
      </c>
      <c r="D6115" s="6">
        <f>10814.13*100</f>
        <v>1081413</v>
      </c>
      <c r="E6115" s="6">
        <f>13775.96*100</f>
        <v>1377596</v>
      </c>
      <c r="F6115" s="89"/>
      <c r="G6115" s="89"/>
      <c r="H6115" s="89"/>
      <c r="I6115" s="90"/>
      <c r="J6115" s="91"/>
      <c r="K6115" s="92"/>
      <c r="L6115" s="93"/>
    </row>
    <row r="6116" spans="1:12" s="94" customFormat="1" x14ac:dyDescent="0.25">
      <c r="A6116" s="95" t="s">
        <v>11651</v>
      </c>
      <c r="B6116" s="96" t="s">
        <v>4771</v>
      </c>
      <c r="C6116" s="97" t="s">
        <v>12111</v>
      </c>
      <c r="D6116" s="6">
        <f>10814.13*100</f>
        <v>1081413</v>
      </c>
      <c r="E6116" s="6">
        <f>13775.96*100</f>
        <v>1377596</v>
      </c>
      <c r="F6116" s="89"/>
      <c r="G6116" s="89"/>
      <c r="H6116" s="89"/>
      <c r="I6116" s="90"/>
      <c r="J6116" s="91"/>
      <c r="K6116" s="92"/>
      <c r="L6116" s="93"/>
    </row>
    <row r="6117" spans="1:12" s="94" customFormat="1" x14ac:dyDescent="0.25">
      <c r="A6117" s="95" t="s">
        <v>11652</v>
      </c>
      <c r="B6117" s="96" t="s">
        <v>4771</v>
      </c>
      <c r="C6117" s="97" t="s">
        <v>12112</v>
      </c>
      <c r="D6117" s="6">
        <v>53016.51</v>
      </c>
      <c r="E6117" s="6">
        <v>76725.259999999995</v>
      </c>
      <c r="F6117" s="89"/>
      <c r="G6117" s="89"/>
      <c r="H6117" s="89"/>
      <c r="I6117" s="90"/>
      <c r="J6117" s="91"/>
      <c r="K6117" s="92"/>
      <c r="L6117" s="93"/>
    </row>
    <row r="6118" spans="1:12" s="94" customFormat="1" x14ac:dyDescent="0.25">
      <c r="A6118" s="95" t="s">
        <v>11653</v>
      </c>
      <c r="B6118" s="96" t="s">
        <v>1893</v>
      </c>
      <c r="C6118" s="97" t="s">
        <v>12113</v>
      </c>
      <c r="D6118" s="6">
        <v>11041.07</v>
      </c>
      <c r="E6118" s="6">
        <v>11535.86</v>
      </c>
      <c r="F6118" s="89"/>
      <c r="G6118" s="89"/>
      <c r="H6118" s="89"/>
      <c r="I6118" s="90"/>
      <c r="J6118" s="91"/>
      <c r="K6118" s="92"/>
      <c r="L6118" s="93"/>
    </row>
    <row r="6119" spans="1:12" s="94" customFormat="1" x14ac:dyDescent="0.25">
      <c r="A6119" s="95" t="s">
        <v>11654</v>
      </c>
      <c r="B6119" s="96" t="s">
        <v>6498</v>
      </c>
      <c r="C6119" s="97" t="s">
        <v>12111</v>
      </c>
      <c r="D6119" s="6">
        <f>10814.13*100</f>
        <v>1081413</v>
      </c>
      <c r="E6119" s="6">
        <f>13775.96*100</f>
        <v>1377596</v>
      </c>
      <c r="F6119" s="89"/>
      <c r="G6119" s="89"/>
      <c r="H6119" s="89"/>
      <c r="I6119" s="90"/>
      <c r="J6119" s="91"/>
      <c r="K6119" s="92"/>
      <c r="L6119" s="93"/>
    </row>
    <row r="6120" spans="1:12" s="94" customFormat="1" x14ac:dyDescent="0.25">
      <c r="A6120" s="95" t="s">
        <v>11655</v>
      </c>
      <c r="B6120" s="96" t="s">
        <v>6498</v>
      </c>
      <c r="C6120" s="97" t="s">
        <v>12110</v>
      </c>
      <c r="D6120" s="6">
        <f>10814.13*100</f>
        <v>1081413</v>
      </c>
      <c r="E6120" s="6">
        <f>13775.96*100</f>
        <v>1377596</v>
      </c>
      <c r="F6120" s="89"/>
      <c r="G6120" s="89"/>
      <c r="H6120" s="89"/>
      <c r="I6120" s="90"/>
      <c r="J6120" s="91"/>
      <c r="K6120" s="92"/>
      <c r="L6120" s="93"/>
    </row>
    <row r="6121" spans="1:12" s="94" customFormat="1" x14ac:dyDescent="0.25">
      <c r="A6121" s="95" t="s">
        <v>11656</v>
      </c>
      <c r="B6121" s="96" t="s">
        <v>7280</v>
      </c>
      <c r="C6121" s="97" t="s">
        <v>12114</v>
      </c>
      <c r="D6121" s="6">
        <v>5895.69</v>
      </c>
      <c r="E6121" s="6">
        <v>5815.34</v>
      </c>
      <c r="F6121" s="89"/>
      <c r="G6121" s="89"/>
      <c r="H6121" s="89"/>
      <c r="I6121" s="90"/>
      <c r="J6121" s="91"/>
      <c r="K6121" s="92"/>
      <c r="L6121" s="93"/>
    </row>
    <row r="6122" spans="1:12" s="94" customFormat="1" x14ac:dyDescent="0.25">
      <c r="A6122" s="95" t="s">
        <v>11657</v>
      </c>
      <c r="B6122" s="96" t="s">
        <v>7280</v>
      </c>
      <c r="C6122" s="97" t="s">
        <v>12115</v>
      </c>
      <c r="D6122" s="6">
        <v>5895.69</v>
      </c>
      <c r="E6122" s="6">
        <v>5815.34</v>
      </c>
      <c r="F6122" s="89"/>
      <c r="G6122" s="89"/>
      <c r="H6122" s="89"/>
      <c r="I6122" s="90"/>
      <c r="J6122" s="91"/>
      <c r="K6122" s="92"/>
      <c r="L6122" s="93"/>
    </row>
    <row r="6123" spans="1:12" s="94" customFormat="1" x14ac:dyDescent="0.25">
      <c r="A6123" s="95" t="s">
        <v>11658</v>
      </c>
      <c r="B6123" s="96" t="s">
        <v>7280</v>
      </c>
      <c r="C6123" s="97" t="s">
        <v>12116</v>
      </c>
      <c r="D6123" s="6">
        <v>5895.69</v>
      </c>
      <c r="E6123" s="6">
        <v>5815.34</v>
      </c>
      <c r="F6123" s="89"/>
      <c r="G6123" s="89"/>
      <c r="H6123" s="89"/>
      <c r="I6123" s="90"/>
      <c r="J6123" s="91"/>
      <c r="K6123" s="92"/>
      <c r="L6123" s="93"/>
    </row>
    <row r="6124" spans="1:12" s="94" customFormat="1" x14ac:dyDescent="0.25">
      <c r="A6124" s="95" t="s">
        <v>11659</v>
      </c>
      <c r="B6124" s="96" t="s">
        <v>7280</v>
      </c>
      <c r="C6124" s="97" t="s">
        <v>12117</v>
      </c>
      <c r="D6124" s="6">
        <v>5895.69</v>
      </c>
      <c r="E6124" s="6">
        <v>5815.34</v>
      </c>
      <c r="F6124" s="89"/>
      <c r="G6124" s="89"/>
      <c r="H6124" s="89"/>
      <c r="I6124" s="90"/>
      <c r="J6124" s="91"/>
      <c r="K6124" s="92"/>
      <c r="L6124" s="93"/>
    </row>
    <row r="6125" spans="1:12" s="94" customFormat="1" x14ac:dyDescent="0.25">
      <c r="A6125" s="95" t="s">
        <v>11660</v>
      </c>
      <c r="B6125" s="96" t="s">
        <v>7280</v>
      </c>
      <c r="C6125" s="97" t="s">
        <v>12118</v>
      </c>
      <c r="D6125" s="6">
        <v>5895.69</v>
      </c>
      <c r="E6125" s="6">
        <v>5815.34</v>
      </c>
      <c r="F6125" s="89"/>
      <c r="G6125" s="89"/>
      <c r="H6125" s="89"/>
      <c r="I6125" s="90"/>
      <c r="J6125" s="91"/>
      <c r="K6125" s="92"/>
      <c r="L6125" s="93"/>
    </row>
    <row r="6126" spans="1:12" s="94" customFormat="1" x14ac:dyDescent="0.25">
      <c r="A6126" s="95" t="s">
        <v>11661</v>
      </c>
      <c r="B6126" s="96" t="s">
        <v>7280</v>
      </c>
      <c r="C6126" s="97" t="s">
        <v>12119</v>
      </c>
      <c r="D6126" s="6">
        <v>5895.69</v>
      </c>
      <c r="E6126" s="6">
        <v>5815.34</v>
      </c>
      <c r="F6126" s="89"/>
      <c r="G6126" s="89"/>
      <c r="H6126" s="89"/>
      <c r="I6126" s="90"/>
      <c r="J6126" s="91"/>
      <c r="K6126" s="92"/>
      <c r="L6126" s="93"/>
    </row>
    <row r="6127" spans="1:12" s="94" customFormat="1" x14ac:dyDescent="0.25">
      <c r="A6127" s="95" t="s">
        <v>11662</v>
      </c>
      <c r="B6127" s="96" t="s">
        <v>7280</v>
      </c>
      <c r="C6127" s="97" t="s">
        <v>12120</v>
      </c>
      <c r="D6127" s="6">
        <v>5895.69</v>
      </c>
      <c r="E6127" s="6">
        <v>5815.34</v>
      </c>
      <c r="F6127" s="89"/>
      <c r="G6127" s="89"/>
      <c r="H6127" s="89"/>
      <c r="I6127" s="90"/>
      <c r="J6127" s="91"/>
      <c r="K6127" s="92"/>
      <c r="L6127" s="93"/>
    </row>
    <row r="6128" spans="1:12" s="94" customFormat="1" x14ac:dyDescent="0.25">
      <c r="A6128" s="95" t="s">
        <v>11663</v>
      </c>
      <c r="B6128" s="96" t="s">
        <v>7280</v>
      </c>
      <c r="C6128" s="97" t="s">
        <v>12121</v>
      </c>
      <c r="D6128" s="6">
        <v>5895.69</v>
      </c>
      <c r="E6128" s="6">
        <v>5815.34</v>
      </c>
      <c r="F6128" s="89"/>
      <c r="G6128" s="89"/>
      <c r="H6128" s="89"/>
      <c r="I6128" s="90"/>
      <c r="J6128" s="91"/>
      <c r="K6128" s="92"/>
      <c r="L6128" s="93"/>
    </row>
    <row r="6129" spans="1:12" s="94" customFormat="1" x14ac:dyDescent="0.25">
      <c r="A6129" s="95" t="s">
        <v>11664</v>
      </c>
      <c r="B6129" s="96" t="s">
        <v>7280</v>
      </c>
      <c r="C6129" s="97" t="s">
        <v>12122</v>
      </c>
      <c r="D6129" s="6">
        <v>5895.69</v>
      </c>
      <c r="E6129" s="6">
        <v>5815.34</v>
      </c>
      <c r="F6129" s="89"/>
      <c r="G6129" s="89"/>
      <c r="H6129" s="89"/>
      <c r="I6129" s="90"/>
      <c r="J6129" s="91"/>
      <c r="K6129" s="92"/>
      <c r="L6129" s="93"/>
    </row>
    <row r="6130" spans="1:12" s="94" customFormat="1" x14ac:dyDescent="0.25">
      <c r="A6130" s="95" t="s">
        <v>11665</v>
      </c>
      <c r="B6130" s="96" t="s">
        <v>7280</v>
      </c>
      <c r="C6130" s="97" t="s">
        <v>12123</v>
      </c>
      <c r="D6130" s="6">
        <v>5895.69</v>
      </c>
      <c r="E6130" s="6">
        <v>5815.34</v>
      </c>
      <c r="F6130" s="89"/>
      <c r="G6130" s="89"/>
      <c r="H6130" s="89"/>
      <c r="I6130" s="90"/>
      <c r="J6130" s="91"/>
      <c r="K6130" s="92"/>
      <c r="L6130" s="93"/>
    </row>
    <row r="6131" spans="1:12" s="94" customFormat="1" x14ac:dyDescent="0.25">
      <c r="A6131" s="95" t="s">
        <v>11666</v>
      </c>
      <c r="B6131" s="96" t="s">
        <v>7280</v>
      </c>
      <c r="C6131" s="97" t="s">
        <v>12124</v>
      </c>
      <c r="D6131" s="6">
        <v>5895.69</v>
      </c>
      <c r="E6131" s="6">
        <v>5815.34</v>
      </c>
      <c r="F6131" s="89"/>
      <c r="G6131" s="89"/>
      <c r="H6131" s="89"/>
      <c r="I6131" s="90"/>
      <c r="J6131" s="91"/>
      <c r="K6131" s="92"/>
      <c r="L6131" s="93"/>
    </row>
    <row r="6132" spans="1:12" s="94" customFormat="1" x14ac:dyDescent="0.25">
      <c r="A6132" s="95" t="s">
        <v>11667</v>
      </c>
      <c r="B6132" s="96" t="s">
        <v>7280</v>
      </c>
      <c r="C6132" s="97" t="s">
        <v>12125</v>
      </c>
      <c r="D6132" s="6">
        <v>5895.69</v>
      </c>
      <c r="E6132" s="6">
        <v>5815.34</v>
      </c>
      <c r="F6132" s="89"/>
      <c r="G6132" s="89"/>
      <c r="H6132" s="89"/>
      <c r="I6132" s="90"/>
      <c r="J6132" s="91"/>
      <c r="K6132" s="92"/>
      <c r="L6132" s="93"/>
    </row>
    <row r="6133" spans="1:12" s="94" customFormat="1" x14ac:dyDescent="0.25">
      <c r="A6133" s="95" t="s">
        <v>11668</v>
      </c>
      <c r="B6133" s="96" t="s">
        <v>7280</v>
      </c>
      <c r="C6133" s="97" t="s">
        <v>12126</v>
      </c>
      <c r="D6133" s="6">
        <v>5895.69</v>
      </c>
      <c r="E6133" s="6">
        <v>5815.34</v>
      </c>
      <c r="F6133" s="89"/>
      <c r="G6133" s="89"/>
      <c r="H6133" s="89"/>
      <c r="I6133" s="90"/>
      <c r="J6133" s="91"/>
      <c r="K6133" s="92"/>
      <c r="L6133" s="93"/>
    </row>
    <row r="6134" spans="1:12" s="94" customFormat="1" x14ac:dyDescent="0.25">
      <c r="A6134" s="95" t="s">
        <v>11669</v>
      </c>
      <c r="B6134" s="96" t="s">
        <v>7280</v>
      </c>
      <c r="C6134" s="97" t="s">
        <v>12127</v>
      </c>
      <c r="D6134" s="6">
        <v>5895.69</v>
      </c>
      <c r="E6134" s="6">
        <v>5815.34</v>
      </c>
      <c r="F6134" s="89"/>
      <c r="G6134" s="89"/>
      <c r="H6134" s="89"/>
      <c r="I6134" s="90"/>
      <c r="J6134" s="91"/>
      <c r="K6134" s="92"/>
      <c r="L6134" s="93"/>
    </row>
    <row r="6135" spans="1:12" s="94" customFormat="1" x14ac:dyDescent="0.25">
      <c r="A6135" s="95" t="s">
        <v>11670</v>
      </c>
      <c r="B6135" s="96" t="s">
        <v>7280</v>
      </c>
      <c r="C6135" s="97" t="s">
        <v>12128</v>
      </c>
      <c r="D6135" s="6">
        <v>5895.69</v>
      </c>
      <c r="E6135" s="6">
        <v>5815.34</v>
      </c>
      <c r="F6135" s="89"/>
      <c r="G6135" s="89"/>
      <c r="H6135" s="89"/>
      <c r="I6135" s="90"/>
      <c r="J6135" s="91"/>
      <c r="K6135" s="92"/>
      <c r="L6135" s="93"/>
    </row>
    <row r="6136" spans="1:12" s="94" customFormat="1" x14ac:dyDescent="0.25">
      <c r="A6136" s="95" t="s">
        <v>11671</v>
      </c>
      <c r="B6136" s="96" t="s">
        <v>7280</v>
      </c>
      <c r="C6136" s="97" t="s">
        <v>12129</v>
      </c>
      <c r="D6136" s="6">
        <v>5895.69</v>
      </c>
      <c r="E6136" s="6">
        <v>5815.34</v>
      </c>
      <c r="F6136" s="89"/>
      <c r="G6136" s="89"/>
      <c r="H6136" s="89"/>
      <c r="I6136" s="90"/>
      <c r="J6136" s="91"/>
      <c r="K6136" s="92"/>
      <c r="L6136" s="93"/>
    </row>
    <row r="6137" spans="1:12" s="94" customFormat="1" x14ac:dyDescent="0.25">
      <c r="A6137" s="95" t="s">
        <v>11672</v>
      </c>
      <c r="B6137" s="96" t="s">
        <v>7280</v>
      </c>
      <c r="C6137" s="97" t="s">
        <v>12130</v>
      </c>
      <c r="D6137" s="6">
        <v>5895.69</v>
      </c>
      <c r="E6137" s="6">
        <v>5815.34</v>
      </c>
      <c r="F6137" s="89"/>
      <c r="G6137" s="89"/>
      <c r="H6137" s="89"/>
      <c r="I6137" s="90"/>
      <c r="J6137" s="91"/>
      <c r="K6137" s="92"/>
      <c r="L6137" s="93"/>
    </row>
    <row r="6138" spans="1:12" s="94" customFormat="1" x14ac:dyDescent="0.25">
      <c r="A6138" s="95" t="s">
        <v>11673</v>
      </c>
      <c r="B6138" s="96" t="s">
        <v>7280</v>
      </c>
      <c r="C6138" s="97" t="s">
        <v>12131</v>
      </c>
      <c r="D6138" s="6">
        <v>5895.69</v>
      </c>
      <c r="E6138" s="6">
        <v>5815.34</v>
      </c>
      <c r="F6138" s="89"/>
      <c r="G6138" s="89"/>
      <c r="H6138" s="89"/>
      <c r="I6138" s="90"/>
      <c r="J6138" s="91"/>
      <c r="K6138" s="92"/>
      <c r="L6138" s="93"/>
    </row>
    <row r="6139" spans="1:12" s="94" customFormat="1" x14ac:dyDescent="0.25">
      <c r="A6139" s="95" t="s">
        <v>11674</v>
      </c>
      <c r="B6139" s="96" t="s">
        <v>7280</v>
      </c>
      <c r="C6139" s="97" t="s">
        <v>12132</v>
      </c>
      <c r="D6139" s="6">
        <v>5895.69</v>
      </c>
      <c r="E6139" s="6">
        <v>5815.34</v>
      </c>
      <c r="F6139" s="89"/>
      <c r="G6139" s="89"/>
      <c r="H6139" s="89"/>
      <c r="I6139" s="90"/>
      <c r="J6139" s="91"/>
      <c r="K6139" s="92"/>
      <c r="L6139" s="93"/>
    </row>
    <row r="6140" spans="1:12" s="94" customFormat="1" x14ac:dyDescent="0.25">
      <c r="A6140" s="95" t="s">
        <v>11675</v>
      </c>
      <c r="B6140" s="96" t="s">
        <v>7280</v>
      </c>
      <c r="C6140" s="97" t="s">
        <v>12133</v>
      </c>
      <c r="D6140" s="6">
        <v>5895.69</v>
      </c>
      <c r="E6140" s="6">
        <v>5815.34</v>
      </c>
      <c r="F6140" s="89"/>
      <c r="G6140" s="89"/>
      <c r="H6140" s="89"/>
      <c r="I6140" s="90"/>
      <c r="J6140" s="91"/>
      <c r="K6140" s="92"/>
      <c r="L6140" s="93"/>
    </row>
    <row r="6141" spans="1:12" s="94" customFormat="1" x14ac:dyDescent="0.25">
      <c r="A6141" s="95" t="s">
        <v>11676</v>
      </c>
      <c r="B6141" s="96" t="s">
        <v>7280</v>
      </c>
      <c r="C6141" s="97" t="s">
        <v>12134</v>
      </c>
      <c r="D6141" s="6">
        <v>5895.69</v>
      </c>
      <c r="E6141" s="6">
        <v>5815.34</v>
      </c>
      <c r="F6141" s="89"/>
      <c r="G6141" s="89"/>
      <c r="H6141" s="89"/>
      <c r="I6141" s="90"/>
      <c r="J6141" s="91"/>
      <c r="K6141" s="92"/>
      <c r="L6141" s="93"/>
    </row>
    <row r="6142" spans="1:12" s="94" customFormat="1" x14ac:dyDescent="0.25">
      <c r="A6142" s="95" t="s">
        <v>11677</v>
      </c>
      <c r="B6142" s="96" t="s">
        <v>7280</v>
      </c>
      <c r="C6142" s="97" t="s">
        <v>12135</v>
      </c>
      <c r="D6142" s="6">
        <v>5895.69</v>
      </c>
      <c r="E6142" s="6">
        <v>5815.34</v>
      </c>
      <c r="F6142" s="89"/>
      <c r="G6142" s="89"/>
      <c r="H6142" s="89"/>
      <c r="I6142" s="90"/>
      <c r="J6142" s="91"/>
      <c r="K6142" s="92"/>
      <c r="L6142" s="93"/>
    </row>
    <row r="6143" spans="1:12" s="94" customFormat="1" x14ac:dyDescent="0.25">
      <c r="A6143" s="95" t="s">
        <v>11678</v>
      </c>
      <c r="B6143" s="96" t="s">
        <v>7280</v>
      </c>
      <c r="C6143" s="97" t="s">
        <v>12136</v>
      </c>
      <c r="D6143" s="6">
        <v>5895.69</v>
      </c>
      <c r="E6143" s="6">
        <v>5815.34</v>
      </c>
      <c r="F6143" s="89"/>
      <c r="G6143" s="89"/>
      <c r="H6143" s="89"/>
      <c r="I6143" s="90"/>
      <c r="J6143" s="91"/>
      <c r="K6143" s="92"/>
      <c r="L6143" s="93"/>
    </row>
    <row r="6144" spans="1:12" s="94" customFormat="1" x14ac:dyDescent="0.25">
      <c r="A6144" s="95" t="s">
        <v>11679</v>
      </c>
      <c r="B6144" s="96" t="s">
        <v>7280</v>
      </c>
      <c r="C6144" s="97" t="s">
        <v>12137</v>
      </c>
      <c r="D6144" s="6">
        <v>5895.69</v>
      </c>
      <c r="E6144" s="6">
        <v>5815.34</v>
      </c>
      <c r="F6144" s="89"/>
      <c r="G6144" s="89"/>
      <c r="H6144" s="89"/>
      <c r="I6144" s="90"/>
      <c r="J6144" s="91"/>
      <c r="K6144" s="92"/>
      <c r="L6144" s="93"/>
    </row>
    <row r="6145" spans="1:12" s="94" customFormat="1" x14ac:dyDescent="0.25">
      <c r="A6145" s="95" t="s">
        <v>11680</v>
      </c>
      <c r="B6145" s="96" t="s">
        <v>7280</v>
      </c>
      <c r="C6145" s="97" t="s">
        <v>12138</v>
      </c>
      <c r="D6145" s="6">
        <v>5895.69</v>
      </c>
      <c r="E6145" s="6">
        <v>5815.34</v>
      </c>
      <c r="F6145" s="89"/>
      <c r="G6145" s="89"/>
      <c r="H6145" s="89"/>
      <c r="I6145" s="90"/>
      <c r="J6145" s="91"/>
      <c r="K6145" s="92"/>
      <c r="L6145" s="93"/>
    </row>
    <row r="6146" spans="1:12" s="94" customFormat="1" x14ac:dyDescent="0.25">
      <c r="A6146" s="95" t="s">
        <v>11681</v>
      </c>
      <c r="B6146" s="96" t="s">
        <v>7280</v>
      </c>
      <c r="C6146" s="97" t="s">
        <v>12139</v>
      </c>
      <c r="D6146" s="6">
        <v>5895.69</v>
      </c>
      <c r="E6146" s="6">
        <v>5815.34</v>
      </c>
      <c r="F6146" s="89"/>
      <c r="G6146" s="89"/>
      <c r="H6146" s="89"/>
      <c r="I6146" s="90"/>
      <c r="J6146" s="91"/>
      <c r="K6146" s="92"/>
      <c r="L6146" s="93"/>
    </row>
    <row r="6147" spans="1:12" s="94" customFormat="1" x14ac:dyDescent="0.25">
      <c r="A6147" s="95" t="s">
        <v>11682</v>
      </c>
      <c r="B6147" s="96" t="s">
        <v>7280</v>
      </c>
      <c r="C6147" s="97" t="s">
        <v>12140</v>
      </c>
      <c r="D6147" s="6">
        <v>5895.69</v>
      </c>
      <c r="E6147" s="6">
        <v>5815.34</v>
      </c>
      <c r="F6147" s="89"/>
      <c r="G6147" s="89"/>
      <c r="H6147" s="89"/>
      <c r="I6147" s="90"/>
      <c r="J6147" s="91"/>
      <c r="K6147" s="92"/>
      <c r="L6147" s="93"/>
    </row>
    <row r="6148" spans="1:12" s="94" customFormat="1" x14ac:dyDescent="0.25">
      <c r="A6148" s="95" t="s">
        <v>11683</v>
      </c>
      <c r="B6148" s="96" t="s">
        <v>7280</v>
      </c>
      <c r="C6148" s="97" t="s">
        <v>12141</v>
      </c>
      <c r="D6148" s="6">
        <v>5895.69</v>
      </c>
      <c r="E6148" s="6">
        <v>5815.34</v>
      </c>
      <c r="F6148" s="89"/>
      <c r="G6148" s="89"/>
      <c r="H6148" s="89"/>
      <c r="I6148" s="90"/>
      <c r="J6148" s="91"/>
      <c r="K6148" s="92"/>
      <c r="L6148" s="93"/>
    </row>
    <row r="6149" spans="1:12" s="94" customFormat="1" x14ac:dyDescent="0.25">
      <c r="A6149" s="95" t="s">
        <v>11684</v>
      </c>
      <c r="B6149" s="96" t="s">
        <v>7280</v>
      </c>
      <c r="C6149" s="97" t="s">
        <v>12142</v>
      </c>
      <c r="D6149" s="6">
        <v>5895.69</v>
      </c>
      <c r="E6149" s="6">
        <v>5815.34</v>
      </c>
      <c r="F6149" s="89"/>
      <c r="G6149" s="89"/>
      <c r="H6149" s="89"/>
      <c r="I6149" s="90"/>
      <c r="J6149" s="91"/>
      <c r="K6149" s="92"/>
      <c r="L6149" s="93"/>
    </row>
    <row r="6150" spans="1:12" s="94" customFormat="1" x14ac:dyDescent="0.25">
      <c r="A6150" s="95" t="s">
        <v>11685</v>
      </c>
      <c r="B6150" s="96" t="s">
        <v>7280</v>
      </c>
      <c r="C6150" s="97" t="s">
        <v>12143</v>
      </c>
      <c r="D6150" s="6">
        <v>5895.69</v>
      </c>
      <c r="E6150" s="6">
        <v>5815.34</v>
      </c>
      <c r="F6150" s="89"/>
      <c r="G6150" s="89"/>
      <c r="H6150" s="89"/>
      <c r="I6150" s="90"/>
      <c r="J6150" s="91"/>
      <c r="K6150" s="92"/>
      <c r="L6150" s="93"/>
    </row>
    <row r="6151" spans="1:12" s="94" customFormat="1" x14ac:dyDescent="0.25">
      <c r="A6151" s="95" t="s">
        <v>11686</v>
      </c>
      <c r="B6151" s="96" t="s">
        <v>7280</v>
      </c>
      <c r="C6151" s="97" t="s">
        <v>12144</v>
      </c>
      <c r="D6151" s="6">
        <v>5895.69</v>
      </c>
      <c r="E6151" s="6">
        <v>5815.34</v>
      </c>
      <c r="F6151" s="89"/>
      <c r="G6151" s="89"/>
      <c r="H6151" s="89"/>
      <c r="I6151" s="90"/>
      <c r="J6151" s="91"/>
      <c r="K6151" s="92"/>
      <c r="L6151" s="93"/>
    </row>
    <row r="6152" spans="1:12" s="94" customFormat="1" x14ac:dyDescent="0.25">
      <c r="A6152" s="95" t="s">
        <v>11687</v>
      </c>
      <c r="B6152" s="96" t="s">
        <v>7280</v>
      </c>
      <c r="C6152" s="97" t="s">
        <v>12145</v>
      </c>
      <c r="D6152" s="6">
        <v>5895.69</v>
      </c>
      <c r="E6152" s="6">
        <v>5815.34</v>
      </c>
      <c r="F6152" s="89"/>
      <c r="G6152" s="89"/>
      <c r="H6152" s="89"/>
      <c r="I6152" s="90"/>
      <c r="J6152" s="91"/>
      <c r="K6152" s="92"/>
      <c r="L6152" s="93"/>
    </row>
    <row r="6153" spans="1:12" s="94" customFormat="1" x14ac:dyDescent="0.25">
      <c r="A6153" s="95" t="s">
        <v>11688</v>
      </c>
      <c r="B6153" s="96" t="s">
        <v>6594</v>
      </c>
      <c r="C6153" s="97" t="s">
        <v>12146</v>
      </c>
      <c r="D6153" s="6">
        <v>9716.51</v>
      </c>
      <c r="E6153" s="6">
        <v>9529.25</v>
      </c>
      <c r="F6153" s="89"/>
      <c r="G6153" s="89"/>
      <c r="H6153" s="89"/>
      <c r="I6153" s="90"/>
      <c r="J6153" s="91"/>
      <c r="K6153" s="92"/>
      <c r="L6153" s="93"/>
    </row>
    <row r="6154" spans="1:12" s="94" customFormat="1" x14ac:dyDescent="0.25">
      <c r="A6154" s="95" t="s">
        <v>11689</v>
      </c>
      <c r="B6154" s="96" t="s">
        <v>6594</v>
      </c>
      <c r="C6154" s="97" t="s">
        <v>12147</v>
      </c>
      <c r="D6154" s="6">
        <v>9716.51</v>
      </c>
      <c r="E6154" s="6">
        <v>9529.25</v>
      </c>
      <c r="F6154" s="89"/>
      <c r="G6154" s="89"/>
      <c r="H6154" s="89"/>
      <c r="I6154" s="90"/>
      <c r="J6154" s="91"/>
      <c r="K6154" s="92"/>
      <c r="L6154" s="93"/>
    </row>
    <row r="6155" spans="1:12" s="94" customFormat="1" x14ac:dyDescent="0.25">
      <c r="A6155" s="95" t="s">
        <v>11690</v>
      </c>
      <c r="B6155" s="96" t="s">
        <v>6594</v>
      </c>
      <c r="C6155" s="97" t="s">
        <v>12148</v>
      </c>
      <c r="D6155" s="6">
        <v>9716.51</v>
      </c>
      <c r="E6155" s="6">
        <v>9529.25</v>
      </c>
      <c r="F6155" s="89"/>
      <c r="G6155" s="89"/>
      <c r="H6155" s="89"/>
      <c r="I6155" s="90"/>
      <c r="J6155" s="91"/>
      <c r="K6155" s="92"/>
      <c r="L6155" s="93"/>
    </row>
    <row r="6156" spans="1:12" s="94" customFormat="1" x14ac:dyDescent="0.25">
      <c r="A6156" s="95" t="s">
        <v>11691</v>
      </c>
      <c r="B6156" s="96" t="s">
        <v>6594</v>
      </c>
      <c r="C6156" s="97" t="s">
        <v>12149</v>
      </c>
      <c r="D6156" s="6">
        <v>9716.51</v>
      </c>
      <c r="E6156" s="6">
        <v>9529.25</v>
      </c>
      <c r="F6156" s="89"/>
      <c r="G6156" s="89"/>
      <c r="H6156" s="89"/>
      <c r="I6156" s="90"/>
      <c r="J6156" s="91"/>
      <c r="K6156" s="92"/>
      <c r="L6156" s="93"/>
    </row>
    <row r="6157" spans="1:12" s="94" customFormat="1" x14ac:dyDescent="0.25">
      <c r="A6157" s="95" t="s">
        <v>11692</v>
      </c>
      <c r="B6157" s="96" t="s">
        <v>6594</v>
      </c>
      <c r="C6157" s="97" t="s">
        <v>12150</v>
      </c>
      <c r="D6157" s="6">
        <v>9716.51</v>
      </c>
      <c r="E6157" s="6">
        <v>9529.25</v>
      </c>
      <c r="F6157" s="89"/>
      <c r="G6157" s="89"/>
      <c r="H6157" s="89"/>
      <c r="I6157" s="90"/>
      <c r="J6157" s="91"/>
      <c r="K6157" s="92"/>
      <c r="L6157" s="93"/>
    </row>
    <row r="6158" spans="1:12" s="94" customFormat="1" x14ac:dyDescent="0.25">
      <c r="A6158" s="95" t="s">
        <v>11693</v>
      </c>
      <c r="B6158" s="96" t="s">
        <v>6594</v>
      </c>
      <c r="C6158" s="97" t="s">
        <v>12151</v>
      </c>
      <c r="D6158" s="6">
        <v>9716.51</v>
      </c>
      <c r="E6158" s="6">
        <v>9529.25</v>
      </c>
      <c r="F6158" s="89"/>
      <c r="G6158" s="89"/>
      <c r="H6158" s="89"/>
      <c r="I6158" s="90"/>
      <c r="J6158" s="91"/>
      <c r="K6158" s="92"/>
      <c r="L6158" s="93"/>
    </row>
    <row r="6159" spans="1:12" s="94" customFormat="1" x14ac:dyDescent="0.25">
      <c r="A6159" s="95" t="s">
        <v>11694</v>
      </c>
      <c r="B6159" s="96" t="s">
        <v>6594</v>
      </c>
      <c r="C6159" s="97" t="s">
        <v>12152</v>
      </c>
      <c r="D6159" s="6">
        <v>9716.51</v>
      </c>
      <c r="E6159" s="6">
        <v>9529.25</v>
      </c>
      <c r="F6159" s="89"/>
      <c r="G6159" s="89"/>
      <c r="H6159" s="89"/>
      <c r="I6159" s="90"/>
      <c r="J6159" s="91"/>
      <c r="K6159" s="92"/>
      <c r="L6159" s="93"/>
    </row>
    <row r="6160" spans="1:12" s="94" customFormat="1" x14ac:dyDescent="0.25">
      <c r="A6160" s="95" t="s">
        <v>11695</v>
      </c>
      <c r="B6160" s="96" t="s">
        <v>6594</v>
      </c>
      <c r="C6160" s="97" t="s">
        <v>12153</v>
      </c>
      <c r="D6160" s="6">
        <v>9716.51</v>
      </c>
      <c r="E6160" s="6">
        <v>9529.25</v>
      </c>
      <c r="F6160" s="89"/>
      <c r="G6160" s="89"/>
      <c r="H6160" s="89"/>
      <c r="I6160" s="90"/>
      <c r="J6160" s="91"/>
      <c r="K6160" s="92"/>
      <c r="L6160" s="93"/>
    </row>
    <row r="6161" spans="1:12" s="94" customFormat="1" x14ac:dyDescent="0.25">
      <c r="A6161" s="95" t="s">
        <v>11696</v>
      </c>
      <c r="B6161" s="96" t="s">
        <v>6594</v>
      </c>
      <c r="C6161" s="97" t="s">
        <v>12154</v>
      </c>
      <c r="D6161" s="6">
        <v>9716.51</v>
      </c>
      <c r="E6161" s="6">
        <v>9529.25</v>
      </c>
      <c r="F6161" s="89"/>
      <c r="G6161" s="89"/>
      <c r="H6161" s="89"/>
      <c r="I6161" s="90"/>
      <c r="J6161" s="91"/>
      <c r="K6161" s="92"/>
      <c r="L6161" s="93"/>
    </row>
    <row r="6162" spans="1:12" s="94" customFormat="1" x14ac:dyDescent="0.25">
      <c r="A6162" s="95" t="s">
        <v>11697</v>
      </c>
      <c r="B6162" s="96" t="s">
        <v>6594</v>
      </c>
      <c r="C6162" s="97" t="s">
        <v>12155</v>
      </c>
      <c r="D6162" s="6">
        <v>9716.51</v>
      </c>
      <c r="E6162" s="6">
        <v>9529.25</v>
      </c>
      <c r="F6162" s="89"/>
      <c r="G6162" s="89"/>
      <c r="H6162" s="89"/>
      <c r="I6162" s="90"/>
      <c r="J6162" s="91"/>
      <c r="K6162" s="92"/>
      <c r="L6162" s="93"/>
    </row>
    <row r="6163" spans="1:12" s="94" customFormat="1" x14ac:dyDescent="0.25">
      <c r="A6163" s="95" t="s">
        <v>11698</v>
      </c>
      <c r="B6163" s="96" t="s">
        <v>6594</v>
      </c>
      <c r="C6163" s="97" t="s">
        <v>12156</v>
      </c>
      <c r="D6163" s="6">
        <v>9716.51</v>
      </c>
      <c r="E6163" s="6">
        <v>9529.25</v>
      </c>
      <c r="F6163" s="89"/>
      <c r="G6163" s="89"/>
      <c r="H6163" s="89"/>
      <c r="I6163" s="90"/>
      <c r="J6163" s="91"/>
      <c r="K6163" s="92"/>
      <c r="L6163" s="93"/>
    </row>
    <row r="6164" spans="1:12" s="94" customFormat="1" x14ac:dyDescent="0.25">
      <c r="A6164" s="95" t="s">
        <v>11699</v>
      </c>
      <c r="B6164" s="96" t="s">
        <v>6594</v>
      </c>
      <c r="C6164" s="97" t="s">
        <v>12157</v>
      </c>
      <c r="D6164" s="6">
        <v>9716.51</v>
      </c>
      <c r="E6164" s="6">
        <v>9529.25</v>
      </c>
      <c r="F6164" s="89"/>
      <c r="G6164" s="89"/>
      <c r="H6164" s="89"/>
      <c r="I6164" s="90"/>
      <c r="J6164" s="91"/>
      <c r="K6164" s="92"/>
      <c r="L6164" s="93"/>
    </row>
    <row r="6165" spans="1:12" s="94" customFormat="1" x14ac:dyDescent="0.25">
      <c r="A6165" s="95" t="s">
        <v>11700</v>
      </c>
      <c r="B6165" s="96" t="s">
        <v>6594</v>
      </c>
      <c r="C6165" s="97" t="s">
        <v>12158</v>
      </c>
      <c r="D6165" s="6">
        <v>9716.51</v>
      </c>
      <c r="E6165" s="6">
        <v>9529.25</v>
      </c>
      <c r="F6165" s="89"/>
      <c r="G6165" s="89"/>
      <c r="H6165" s="89"/>
      <c r="I6165" s="90"/>
      <c r="J6165" s="91"/>
      <c r="K6165" s="92"/>
      <c r="L6165" s="93"/>
    </row>
    <row r="6166" spans="1:12" s="94" customFormat="1" x14ac:dyDescent="0.25">
      <c r="A6166" s="95" t="s">
        <v>11701</v>
      </c>
      <c r="B6166" s="96" t="s">
        <v>6594</v>
      </c>
      <c r="C6166" s="97" t="s">
        <v>12159</v>
      </c>
      <c r="D6166" s="6">
        <v>9716.51</v>
      </c>
      <c r="E6166" s="6">
        <v>9529.25</v>
      </c>
      <c r="F6166" s="89"/>
      <c r="G6166" s="89"/>
      <c r="H6166" s="89"/>
      <c r="I6166" s="90"/>
      <c r="J6166" s="91"/>
      <c r="K6166" s="92"/>
      <c r="L6166" s="93"/>
    </row>
    <row r="6167" spans="1:12" s="94" customFormat="1" x14ac:dyDescent="0.25">
      <c r="A6167" s="95" t="s">
        <v>11702</v>
      </c>
      <c r="B6167" s="96" t="s">
        <v>6594</v>
      </c>
      <c r="C6167" s="97" t="s">
        <v>12160</v>
      </c>
      <c r="D6167" s="6">
        <v>9716.51</v>
      </c>
      <c r="E6167" s="6">
        <v>9529.25</v>
      </c>
      <c r="F6167" s="89"/>
      <c r="G6167" s="89"/>
      <c r="H6167" s="89"/>
      <c r="I6167" s="90"/>
      <c r="J6167" s="91"/>
      <c r="K6167" s="92"/>
      <c r="L6167" s="93"/>
    </row>
    <row r="6168" spans="1:12" s="94" customFormat="1" x14ac:dyDescent="0.25">
      <c r="A6168" s="95" t="s">
        <v>11703</v>
      </c>
      <c r="B6168" s="96" t="s">
        <v>6594</v>
      </c>
      <c r="C6168" s="97" t="s">
        <v>12161</v>
      </c>
      <c r="D6168" s="6">
        <v>9716.51</v>
      </c>
      <c r="E6168" s="6">
        <v>9529.25</v>
      </c>
      <c r="F6168" s="89"/>
      <c r="G6168" s="89"/>
      <c r="H6168" s="89"/>
      <c r="I6168" s="90"/>
      <c r="J6168" s="91"/>
      <c r="K6168" s="92"/>
      <c r="L6168" s="93"/>
    </row>
    <row r="6169" spans="1:12" s="94" customFormat="1" x14ac:dyDescent="0.25">
      <c r="A6169" s="95" t="s">
        <v>11704</v>
      </c>
      <c r="B6169" s="96" t="s">
        <v>6594</v>
      </c>
      <c r="C6169" s="97" t="s">
        <v>12162</v>
      </c>
      <c r="D6169" s="6">
        <v>9716.51</v>
      </c>
      <c r="E6169" s="6">
        <v>9529.25</v>
      </c>
      <c r="F6169" s="89"/>
      <c r="G6169" s="89"/>
      <c r="H6169" s="89"/>
      <c r="I6169" s="90"/>
      <c r="J6169" s="91"/>
      <c r="K6169" s="92"/>
      <c r="L6169" s="93"/>
    </row>
    <row r="6170" spans="1:12" s="94" customFormat="1" x14ac:dyDescent="0.25">
      <c r="A6170" s="95" t="s">
        <v>11705</v>
      </c>
      <c r="B6170" s="96" t="s">
        <v>6594</v>
      </c>
      <c r="C6170" s="97" t="s">
        <v>12163</v>
      </c>
      <c r="D6170" s="6">
        <v>9716.51</v>
      </c>
      <c r="E6170" s="6">
        <v>9529.25</v>
      </c>
      <c r="F6170" s="89"/>
      <c r="G6170" s="89"/>
      <c r="H6170" s="89"/>
      <c r="I6170" s="90"/>
      <c r="J6170" s="91"/>
      <c r="K6170" s="92"/>
      <c r="L6170" s="93"/>
    </row>
    <row r="6171" spans="1:12" s="94" customFormat="1" x14ac:dyDescent="0.25">
      <c r="A6171" s="95" t="s">
        <v>11706</v>
      </c>
      <c r="B6171" s="96" t="s">
        <v>2840</v>
      </c>
      <c r="C6171" s="97" t="s">
        <v>12164</v>
      </c>
      <c r="D6171" s="6">
        <v>835.84</v>
      </c>
      <c r="E6171" s="6">
        <v>845.67</v>
      </c>
      <c r="F6171" s="89"/>
      <c r="G6171" s="89"/>
      <c r="H6171" s="89"/>
      <c r="I6171" s="90"/>
      <c r="J6171" s="91"/>
      <c r="K6171" s="92"/>
      <c r="L6171" s="93"/>
    </row>
    <row r="6172" spans="1:12" s="94" customFormat="1" x14ac:dyDescent="0.25">
      <c r="A6172" s="95" t="s">
        <v>11707</v>
      </c>
      <c r="B6172" s="96" t="s">
        <v>5215</v>
      </c>
      <c r="C6172" s="97" t="s">
        <v>12165</v>
      </c>
      <c r="D6172" s="6">
        <v>1402.9</v>
      </c>
      <c r="E6172" s="6">
        <v>1418.93</v>
      </c>
      <c r="F6172" s="89"/>
      <c r="G6172" s="89"/>
      <c r="H6172" s="89"/>
      <c r="I6172" s="90"/>
      <c r="J6172" s="91"/>
      <c r="K6172" s="92"/>
      <c r="L6172" s="93"/>
    </row>
    <row r="6173" spans="1:12" s="94" customFormat="1" x14ac:dyDescent="0.25">
      <c r="A6173" s="95" t="s">
        <v>11708</v>
      </c>
      <c r="B6173" s="96" t="s">
        <v>5215</v>
      </c>
      <c r="C6173" s="97" t="s">
        <v>12166</v>
      </c>
      <c r="D6173" s="6">
        <v>1402.9</v>
      </c>
      <c r="E6173" s="6">
        <v>1418.93</v>
      </c>
      <c r="F6173" s="89"/>
      <c r="G6173" s="89"/>
      <c r="H6173" s="89"/>
      <c r="I6173" s="90"/>
      <c r="J6173" s="91"/>
      <c r="K6173" s="92"/>
      <c r="L6173" s="93"/>
    </row>
    <row r="6174" spans="1:12" s="94" customFormat="1" x14ac:dyDescent="0.25">
      <c r="A6174" s="95" t="s">
        <v>11709</v>
      </c>
      <c r="B6174" s="96" t="s">
        <v>5215</v>
      </c>
      <c r="C6174" s="97" t="s">
        <v>12167</v>
      </c>
      <c r="D6174" s="6">
        <v>1402.9</v>
      </c>
      <c r="E6174" s="6">
        <v>1418.93</v>
      </c>
      <c r="F6174" s="89"/>
      <c r="G6174" s="89"/>
      <c r="H6174" s="89"/>
      <c r="I6174" s="90"/>
      <c r="J6174" s="91"/>
      <c r="K6174" s="92"/>
      <c r="L6174" s="93"/>
    </row>
    <row r="6175" spans="1:12" s="94" customFormat="1" x14ac:dyDescent="0.25">
      <c r="A6175" s="95" t="s">
        <v>11710</v>
      </c>
      <c r="B6175" s="96" t="s">
        <v>5215</v>
      </c>
      <c r="C6175" s="97" t="s">
        <v>12168</v>
      </c>
      <c r="D6175" s="6">
        <v>1402.9</v>
      </c>
      <c r="E6175" s="6">
        <v>1418.93</v>
      </c>
      <c r="F6175" s="89"/>
      <c r="G6175" s="89"/>
      <c r="H6175" s="89"/>
      <c r="I6175" s="90"/>
      <c r="J6175" s="91"/>
      <c r="K6175" s="92"/>
      <c r="L6175" s="93"/>
    </row>
    <row r="6176" spans="1:12" s="94" customFormat="1" x14ac:dyDescent="0.25">
      <c r="A6176" s="95" t="s">
        <v>11711</v>
      </c>
      <c r="B6176" s="96" t="s">
        <v>5215</v>
      </c>
      <c r="C6176" s="97" t="s">
        <v>12169</v>
      </c>
      <c r="D6176" s="6">
        <v>1402.9</v>
      </c>
      <c r="E6176" s="6">
        <v>1418.93</v>
      </c>
      <c r="F6176" s="89"/>
      <c r="G6176" s="89"/>
      <c r="H6176" s="89"/>
      <c r="I6176" s="90"/>
      <c r="J6176" s="91"/>
      <c r="K6176" s="92"/>
      <c r="L6176" s="93"/>
    </row>
    <row r="6177" spans="1:12" s="94" customFormat="1" x14ac:dyDescent="0.25">
      <c r="A6177" s="95" t="s">
        <v>11712</v>
      </c>
      <c r="B6177" s="96" t="s">
        <v>5215</v>
      </c>
      <c r="C6177" s="97" t="s">
        <v>12170</v>
      </c>
      <c r="D6177" s="6">
        <v>1402.9</v>
      </c>
      <c r="E6177" s="6">
        <v>1418.93</v>
      </c>
      <c r="F6177" s="89"/>
      <c r="G6177" s="89"/>
      <c r="H6177" s="89"/>
      <c r="I6177" s="90"/>
      <c r="J6177" s="91"/>
      <c r="K6177" s="92"/>
      <c r="L6177" s="93"/>
    </row>
    <row r="6178" spans="1:12" s="94" customFormat="1" x14ac:dyDescent="0.25">
      <c r="A6178" s="95" t="s">
        <v>11713</v>
      </c>
      <c r="B6178" s="96" t="s">
        <v>2016</v>
      </c>
      <c r="C6178" s="97" t="s">
        <v>12171</v>
      </c>
      <c r="D6178" s="6">
        <v>1513.82</v>
      </c>
      <c r="E6178" s="6">
        <v>1498.43</v>
      </c>
      <c r="F6178" s="89"/>
      <c r="G6178" s="89"/>
      <c r="H6178" s="89"/>
      <c r="I6178" s="90"/>
      <c r="J6178" s="91"/>
      <c r="K6178" s="92"/>
      <c r="L6178" s="93"/>
    </row>
    <row r="6179" spans="1:12" s="94" customFormat="1" x14ac:dyDescent="0.25">
      <c r="A6179" s="95" t="s">
        <v>11714</v>
      </c>
      <c r="B6179" s="96" t="s">
        <v>11587</v>
      </c>
      <c r="C6179" s="97" t="s">
        <v>3436</v>
      </c>
      <c r="D6179" s="6">
        <v>9307.3700000000008</v>
      </c>
      <c r="E6179" s="6">
        <v>11609.49</v>
      </c>
      <c r="F6179" s="89"/>
      <c r="G6179" s="89"/>
      <c r="H6179" s="89"/>
      <c r="I6179" s="90"/>
      <c r="J6179" s="91"/>
      <c r="K6179" s="92"/>
      <c r="L6179" s="93"/>
    </row>
    <row r="6180" spans="1:12" s="94" customFormat="1" x14ac:dyDescent="0.25">
      <c r="A6180" s="95" t="s">
        <v>11715</v>
      </c>
      <c r="B6180" s="96" t="s">
        <v>1496</v>
      </c>
      <c r="C6180" s="97" t="s">
        <v>1330</v>
      </c>
      <c r="D6180" s="6">
        <v>1831.09</v>
      </c>
      <c r="E6180" s="6">
        <v>1533.82</v>
      </c>
      <c r="F6180" s="89"/>
      <c r="G6180" s="89"/>
      <c r="H6180" s="89"/>
      <c r="I6180" s="90"/>
      <c r="J6180" s="91"/>
      <c r="K6180" s="92"/>
      <c r="L6180" s="93"/>
    </row>
    <row r="6181" spans="1:12" s="94" customFormat="1" x14ac:dyDescent="0.25">
      <c r="A6181" s="95" t="s">
        <v>11716</v>
      </c>
      <c r="B6181" s="96" t="s">
        <v>4436</v>
      </c>
      <c r="C6181" s="97" t="s">
        <v>3483</v>
      </c>
      <c r="D6181" s="6">
        <v>1006.46</v>
      </c>
      <c r="E6181" s="6">
        <v>1031.58</v>
      </c>
      <c r="F6181" s="89"/>
      <c r="G6181" s="89"/>
      <c r="H6181" s="89"/>
      <c r="I6181" s="90"/>
      <c r="J6181" s="91"/>
      <c r="K6181" s="92"/>
      <c r="L6181" s="93"/>
    </row>
    <row r="6182" spans="1:12" s="94" customFormat="1" x14ac:dyDescent="0.25">
      <c r="A6182" s="95" t="s">
        <v>11717</v>
      </c>
      <c r="B6182" s="96" t="s">
        <v>7280</v>
      </c>
      <c r="C6182" s="97" t="s">
        <v>12172</v>
      </c>
      <c r="D6182" s="6">
        <v>5895.69</v>
      </c>
      <c r="E6182" s="6">
        <v>5815.34</v>
      </c>
      <c r="F6182" s="89"/>
      <c r="G6182" s="89"/>
      <c r="H6182" s="89"/>
      <c r="I6182" s="90"/>
      <c r="J6182" s="91"/>
      <c r="K6182" s="92"/>
      <c r="L6182" s="93"/>
    </row>
    <row r="6183" spans="1:12" s="94" customFormat="1" x14ac:dyDescent="0.25">
      <c r="A6183" s="95" t="s">
        <v>11718</v>
      </c>
      <c r="B6183" s="96" t="s">
        <v>7280</v>
      </c>
      <c r="C6183" s="97" t="s">
        <v>12173</v>
      </c>
      <c r="D6183" s="6">
        <v>5895.69</v>
      </c>
      <c r="E6183" s="6">
        <v>5815.34</v>
      </c>
      <c r="F6183" s="89"/>
      <c r="G6183" s="89"/>
      <c r="H6183" s="89"/>
      <c r="I6183" s="90"/>
      <c r="J6183" s="91"/>
      <c r="K6183" s="92"/>
      <c r="L6183" s="93"/>
    </row>
    <row r="6184" spans="1:12" s="94" customFormat="1" x14ac:dyDescent="0.25">
      <c r="A6184" s="95" t="s">
        <v>11719</v>
      </c>
      <c r="B6184" s="96" t="s">
        <v>7280</v>
      </c>
      <c r="C6184" s="97" t="s">
        <v>12174</v>
      </c>
      <c r="D6184" s="6">
        <v>5895.69</v>
      </c>
      <c r="E6184" s="6">
        <v>5815.34</v>
      </c>
      <c r="F6184" s="89"/>
      <c r="G6184" s="89"/>
      <c r="H6184" s="89"/>
      <c r="I6184" s="90"/>
      <c r="J6184" s="91"/>
      <c r="K6184" s="92"/>
      <c r="L6184" s="93"/>
    </row>
    <row r="6185" spans="1:12" s="94" customFormat="1" x14ac:dyDescent="0.25">
      <c r="A6185" s="95" t="s">
        <v>11720</v>
      </c>
      <c r="B6185" s="96" t="s">
        <v>7280</v>
      </c>
      <c r="C6185" s="97" t="s">
        <v>12175</v>
      </c>
      <c r="D6185" s="6">
        <v>5895.69</v>
      </c>
      <c r="E6185" s="6">
        <v>5815.34</v>
      </c>
      <c r="F6185" s="89"/>
      <c r="G6185" s="89"/>
      <c r="H6185" s="89"/>
      <c r="I6185" s="90"/>
      <c r="J6185" s="91"/>
      <c r="K6185" s="92"/>
      <c r="L6185" s="93"/>
    </row>
    <row r="6186" spans="1:12" s="94" customFormat="1" x14ac:dyDescent="0.25">
      <c r="A6186" s="95" t="s">
        <v>11721</v>
      </c>
      <c r="B6186" s="96" t="s">
        <v>7280</v>
      </c>
      <c r="C6186" s="97" t="s">
        <v>12176</v>
      </c>
      <c r="D6186" s="6">
        <v>5895.69</v>
      </c>
      <c r="E6186" s="6">
        <v>5815.34</v>
      </c>
      <c r="F6186" s="89"/>
      <c r="G6186" s="89"/>
      <c r="H6186" s="89"/>
      <c r="I6186" s="90"/>
      <c r="J6186" s="91"/>
      <c r="K6186" s="92"/>
      <c r="L6186" s="93"/>
    </row>
    <row r="6187" spans="1:12" s="94" customFormat="1" x14ac:dyDescent="0.25">
      <c r="A6187" s="95" t="s">
        <v>11722</v>
      </c>
      <c r="B6187" s="96" t="s">
        <v>7280</v>
      </c>
      <c r="C6187" s="97" t="s">
        <v>12177</v>
      </c>
      <c r="D6187" s="6">
        <v>5895.69</v>
      </c>
      <c r="E6187" s="6">
        <v>5815.34</v>
      </c>
      <c r="F6187" s="89"/>
      <c r="G6187" s="89"/>
      <c r="H6187" s="89"/>
      <c r="I6187" s="90"/>
      <c r="J6187" s="91"/>
      <c r="K6187" s="92"/>
      <c r="L6187" s="93"/>
    </row>
    <row r="6188" spans="1:12" s="94" customFormat="1" x14ac:dyDescent="0.25">
      <c r="A6188" s="95" t="s">
        <v>11723</v>
      </c>
      <c r="B6188" s="96" t="s">
        <v>4436</v>
      </c>
      <c r="C6188" s="97" t="s">
        <v>3499</v>
      </c>
      <c r="D6188" s="6">
        <v>1006.46</v>
      </c>
      <c r="E6188" s="6">
        <v>1031.58</v>
      </c>
      <c r="F6188" s="89"/>
      <c r="G6188" s="89"/>
      <c r="H6188" s="89"/>
      <c r="I6188" s="90"/>
      <c r="J6188" s="91"/>
      <c r="K6188" s="92"/>
      <c r="L6188" s="93"/>
    </row>
    <row r="6189" spans="1:12" s="94" customFormat="1" x14ac:dyDescent="0.25">
      <c r="A6189" s="95" t="s">
        <v>11724</v>
      </c>
      <c r="B6189" s="96" t="s">
        <v>4436</v>
      </c>
      <c r="C6189" s="97" t="s">
        <v>3501</v>
      </c>
      <c r="D6189" s="6">
        <v>1006.46</v>
      </c>
      <c r="E6189" s="6">
        <v>1031.58</v>
      </c>
      <c r="F6189" s="89"/>
      <c r="G6189" s="89"/>
      <c r="H6189" s="89"/>
      <c r="I6189" s="90"/>
      <c r="J6189" s="91"/>
      <c r="K6189" s="92"/>
      <c r="L6189" s="93"/>
    </row>
    <row r="6190" spans="1:12" s="94" customFormat="1" x14ac:dyDescent="0.25">
      <c r="A6190" s="95" t="s">
        <v>11725</v>
      </c>
      <c r="B6190" s="96" t="s">
        <v>4436</v>
      </c>
      <c r="C6190" s="97" t="s">
        <v>3503</v>
      </c>
      <c r="D6190" s="6">
        <v>1006.46</v>
      </c>
      <c r="E6190" s="6">
        <v>1031.58</v>
      </c>
      <c r="F6190" s="89"/>
      <c r="G6190" s="89"/>
      <c r="H6190" s="89"/>
      <c r="I6190" s="90"/>
      <c r="J6190" s="91"/>
      <c r="K6190" s="92"/>
      <c r="L6190" s="93"/>
    </row>
    <row r="6191" spans="1:12" s="94" customFormat="1" x14ac:dyDescent="0.25">
      <c r="A6191" s="95" t="s">
        <v>11726</v>
      </c>
      <c r="B6191" s="96" t="s">
        <v>6025</v>
      </c>
      <c r="C6191" s="97" t="s">
        <v>12178</v>
      </c>
      <c r="D6191" s="6">
        <v>466.58</v>
      </c>
      <c r="E6191" s="6">
        <v>366.77</v>
      </c>
      <c r="F6191" s="89"/>
      <c r="G6191" s="89"/>
      <c r="H6191" s="89"/>
      <c r="I6191" s="90"/>
      <c r="J6191" s="91"/>
      <c r="K6191" s="92"/>
      <c r="L6191" s="93"/>
    </row>
    <row r="6192" spans="1:12" s="94" customFormat="1" x14ac:dyDescent="0.25">
      <c r="A6192" s="95" t="s">
        <v>11727</v>
      </c>
      <c r="B6192" s="96" t="s">
        <v>7280</v>
      </c>
      <c r="C6192" s="97" t="s">
        <v>12179</v>
      </c>
      <c r="D6192" s="6">
        <v>5895.69</v>
      </c>
      <c r="E6192" s="6">
        <v>5815.34</v>
      </c>
      <c r="F6192" s="89"/>
      <c r="G6192" s="89"/>
      <c r="H6192" s="89"/>
      <c r="I6192" s="90"/>
      <c r="J6192" s="91"/>
      <c r="K6192" s="92"/>
      <c r="L6192" s="93"/>
    </row>
    <row r="6193" spans="1:12" s="94" customFormat="1" x14ac:dyDescent="0.25">
      <c r="A6193" s="95" t="s">
        <v>11728</v>
      </c>
      <c r="B6193" s="96" t="s">
        <v>7280</v>
      </c>
      <c r="C6193" s="97" t="s">
        <v>12180</v>
      </c>
      <c r="D6193" s="6">
        <v>5895.69</v>
      </c>
      <c r="E6193" s="6">
        <v>5815.34</v>
      </c>
      <c r="F6193" s="89"/>
      <c r="G6193" s="89"/>
      <c r="H6193" s="89"/>
      <c r="I6193" s="90"/>
      <c r="J6193" s="91"/>
      <c r="K6193" s="92"/>
      <c r="L6193" s="93"/>
    </row>
    <row r="6194" spans="1:12" s="94" customFormat="1" x14ac:dyDescent="0.25">
      <c r="A6194" s="95" t="s">
        <v>11729</v>
      </c>
      <c r="B6194" s="96" t="s">
        <v>6025</v>
      </c>
      <c r="C6194" s="97" t="s">
        <v>12181</v>
      </c>
      <c r="D6194" s="6">
        <v>466.58</v>
      </c>
      <c r="E6194" s="6">
        <v>366.77</v>
      </c>
      <c r="F6194" s="89"/>
      <c r="G6194" s="89"/>
      <c r="H6194" s="89"/>
      <c r="I6194" s="90"/>
      <c r="J6194" s="91"/>
      <c r="K6194" s="92"/>
      <c r="L6194" s="93"/>
    </row>
    <row r="6195" spans="1:12" s="94" customFormat="1" x14ac:dyDescent="0.25">
      <c r="A6195" s="95" t="s">
        <v>11730</v>
      </c>
      <c r="B6195" s="96" t="s">
        <v>8886</v>
      </c>
      <c r="C6195" s="97" t="s">
        <v>12182</v>
      </c>
      <c r="D6195" s="6">
        <v>517.94000000000005</v>
      </c>
      <c r="E6195" s="6">
        <v>492.2</v>
      </c>
      <c r="F6195" s="89"/>
      <c r="G6195" s="89"/>
      <c r="H6195" s="89"/>
      <c r="I6195" s="90"/>
      <c r="J6195" s="91"/>
      <c r="K6195" s="92"/>
      <c r="L6195" s="93"/>
    </row>
    <row r="6196" spans="1:12" s="94" customFormat="1" x14ac:dyDescent="0.25">
      <c r="A6196" s="95" t="s">
        <v>11731</v>
      </c>
      <c r="B6196" s="96" t="s">
        <v>8886</v>
      </c>
      <c r="C6196" s="97" t="s">
        <v>12183</v>
      </c>
      <c r="D6196" s="6">
        <v>517.94000000000005</v>
      </c>
      <c r="E6196" s="6">
        <v>492.2</v>
      </c>
      <c r="F6196" s="89"/>
      <c r="G6196" s="89"/>
      <c r="H6196" s="89"/>
      <c r="I6196" s="90"/>
      <c r="J6196" s="91"/>
      <c r="K6196" s="92"/>
      <c r="L6196" s="93"/>
    </row>
    <row r="6197" spans="1:12" s="94" customFormat="1" x14ac:dyDescent="0.25">
      <c r="A6197" s="95" t="s">
        <v>11732</v>
      </c>
      <c r="B6197" s="96" t="s">
        <v>8886</v>
      </c>
      <c r="C6197" s="97" t="s">
        <v>12184</v>
      </c>
      <c r="D6197" s="6">
        <v>517.94000000000005</v>
      </c>
      <c r="E6197" s="6">
        <v>492.2</v>
      </c>
      <c r="F6197" s="89"/>
      <c r="G6197" s="89"/>
      <c r="H6197" s="89"/>
      <c r="I6197" s="90"/>
      <c r="J6197" s="91"/>
      <c r="K6197" s="92"/>
      <c r="L6197" s="93"/>
    </row>
    <row r="6198" spans="1:12" x14ac:dyDescent="0.25">
      <c r="A6198" s="95" t="s">
        <v>11733</v>
      </c>
      <c r="B6198" s="96" t="s">
        <v>6928</v>
      </c>
      <c r="C6198" s="97" t="s">
        <v>12185</v>
      </c>
      <c r="D6198" s="6">
        <v>11290.03</v>
      </c>
      <c r="E6198" s="6">
        <v>13610.93</v>
      </c>
    </row>
    <row r="6199" spans="1:12" x14ac:dyDescent="0.25">
      <c r="A6199" s="95" t="s">
        <v>11734</v>
      </c>
      <c r="B6199" s="96" t="s">
        <v>6928</v>
      </c>
      <c r="C6199" s="97" t="s">
        <v>12186</v>
      </c>
      <c r="D6199" s="6">
        <v>11290.03</v>
      </c>
      <c r="E6199" s="6">
        <v>13610.93</v>
      </c>
    </row>
    <row r="6200" spans="1:12" x14ac:dyDescent="0.25">
      <c r="A6200" s="95" t="s">
        <v>11735</v>
      </c>
      <c r="B6200" s="96" t="s">
        <v>6928</v>
      </c>
      <c r="C6200" s="97" t="s">
        <v>12187</v>
      </c>
      <c r="D6200" s="6">
        <v>1568.73</v>
      </c>
      <c r="E6200" s="6">
        <v>1689.55</v>
      </c>
    </row>
    <row r="6201" spans="1:12" x14ac:dyDescent="0.25">
      <c r="A6201" s="95" t="s">
        <v>11736</v>
      </c>
      <c r="B6201" s="96" t="s">
        <v>6928</v>
      </c>
      <c r="C6201" s="97" t="s">
        <v>12188</v>
      </c>
      <c r="D6201" s="6">
        <v>11290.03</v>
      </c>
      <c r="E6201" s="6">
        <v>13610.93</v>
      </c>
    </row>
    <row r="6202" spans="1:12" s="94" customFormat="1" x14ac:dyDescent="0.25">
      <c r="A6202" s="95" t="s">
        <v>11737</v>
      </c>
      <c r="B6202" s="96" t="s">
        <v>2016</v>
      </c>
      <c r="C6202" s="97" t="s">
        <v>12189</v>
      </c>
      <c r="D6202" s="6">
        <v>1513.82</v>
      </c>
      <c r="E6202" s="6">
        <v>1498.43</v>
      </c>
      <c r="F6202" s="89"/>
      <c r="G6202" s="89"/>
      <c r="H6202" s="89"/>
      <c r="I6202" s="90"/>
      <c r="J6202" s="91"/>
      <c r="K6202" s="92"/>
      <c r="L6202" s="93"/>
    </row>
    <row r="6203" spans="1:12" s="94" customFormat="1" x14ac:dyDescent="0.25">
      <c r="A6203" s="95" t="s">
        <v>11738</v>
      </c>
      <c r="B6203" s="96" t="s">
        <v>4436</v>
      </c>
      <c r="C6203" s="97" t="s">
        <v>12190</v>
      </c>
      <c r="D6203" s="6">
        <v>1006.46</v>
      </c>
      <c r="E6203" s="6">
        <v>1031.58</v>
      </c>
      <c r="F6203" s="89"/>
      <c r="G6203" s="89"/>
      <c r="H6203" s="89"/>
      <c r="I6203" s="90"/>
      <c r="J6203" s="91"/>
      <c r="K6203" s="92"/>
      <c r="L6203" s="93"/>
    </row>
    <row r="6204" spans="1:12" s="94" customFormat="1" x14ac:dyDescent="0.25">
      <c r="A6204" s="95" t="s">
        <v>11739</v>
      </c>
      <c r="B6204" s="96" t="s">
        <v>4436</v>
      </c>
      <c r="C6204" s="97" t="s">
        <v>12191</v>
      </c>
      <c r="D6204" s="6">
        <v>1006.46</v>
      </c>
      <c r="E6204" s="6">
        <v>1031.58</v>
      </c>
      <c r="F6204" s="89"/>
      <c r="G6204" s="89"/>
      <c r="H6204" s="89"/>
      <c r="I6204" s="90"/>
      <c r="J6204" s="91"/>
      <c r="K6204" s="92"/>
      <c r="L6204" s="93"/>
    </row>
    <row r="6205" spans="1:12" s="94" customFormat="1" x14ac:dyDescent="0.25">
      <c r="A6205" s="95" t="s">
        <v>11740</v>
      </c>
      <c r="B6205" s="96" t="s">
        <v>4436</v>
      </c>
      <c r="C6205" s="97" t="s">
        <v>12192</v>
      </c>
      <c r="D6205" s="6">
        <v>1006.46</v>
      </c>
      <c r="E6205" s="6">
        <v>1031.58</v>
      </c>
      <c r="F6205" s="89"/>
      <c r="G6205" s="89"/>
      <c r="H6205" s="89"/>
      <c r="I6205" s="90"/>
      <c r="J6205" s="91"/>
      <c r="K6205" s="92"/>
      <c r="L6205" s="93"/>
    </row>
    <row r="6206" spans="1:12" s="94" customFormat="1" x14ac:dyDescent="0.25">
      <c r="A6206" s="95" t="s">
        <v>11741</v>
      </c>
      <c r="B6206" s="96" t="s">
        <v>4436</v>
      </c>
      <c r="C6206" s="97" t="s">
        <v>12193</v>
      </c>
      <c r="D6206" s="6">
        <v>1006.46</v>
      </c>
      <c r="E6206" s="6">
        <v>1031.58</v>
      </c>
      <c r="F6206" s="89"/>
      <c r="G6206" s="89"/>
      <c r="H6206" s="89"/>
      <c r="I6206" s="90"/>
      <c r="J6206" s="91"/>
      <c r="K6206" s="92"/>
      <c r="L6206" s="93"/>
    </row>
    <row r="6207" spans="1:12" s="94" customFormat="1" x14ac:dyDescent="0.25">
      <c r="A6207" s="95" t="s">
        <v>11742</v>
      </c>
      <c r="B6207" s="96" t="s">
        <v>6025</v>
      </c>
      <c r="C6207" s="97" t="s">
        <v>12194</v>
      </c>
      <c r="D6207" s="6">
        <v>466.58</v>
      </c>
      <c r="E6207" s="6">
        <v>366.77</v>
      </c>
      <c r="F6207" s="89"/>
      <c r="G6207" s="89"/>
      <c r="H6207" s="89"/>
      <c r="I6207" s="90"/>
      <c r="J6207" s="91"/>
      <c r="K6207" s="92"/>
      <c r="L6207" s="93"/>
    </row>
    <row r="6208" spans="1:12" s="94" customFormat="1" x14ac:dyDescent="0.25">
      <c r="A6208" s="95" t="s">
        <v>11743</v>
      </c>
      <c r="B6208" s="96" t="s">
        <v>6025</v>
      </c>
      <c r="C6208" s="97" t="s">
        <v>12195</v>
      </c>
      <c r="D6208" s="6">
        <v>466.58</v>
      </c>
      <c r="E6208" s="6">
        <v>366.77</v>
      </c>
      <c r="F6208" s="89"/>
      <c r="G6208" s="89"/>
      <c r="H6208" s="89"/>
      <c r="I6208" s="90"/>
      <c r="J6208" s="91"/>
      <c r="K6208" s="92"/>
      <c r="L6208" s="93"/>
    </row>
    <row r="6209" spans="1:12" s="94" customFormat="1" x14ac:dyDescent="0.25">
      <c r="A6209" s="95" t="s">
        <v>11744</v>
      </c>
      <c r="B6209" s="96" t="s">
        <v>6025</v>
      </c>
      <c r="C6209" s="97" t="s">
        <v>12196</v>
      </c>
      <c r="D6209" s="6">
        <v>466.58</v>
      </c>
      <c r="E6209" s="6">
        <v>366.77</v>
      </c>
      <c r="F6209" s="89"/>
      <c r="G6209" s="89"/>
      <c r="H6209" s="89"/>
      <c r="I6209" s="90"/>
      <c r="J6209" s="91"/>
      <c r="K6209" s="92"/>
      <c r="L6209" s="93"/>
    </row>
    <row r="6210" spans="1:12" s="94" customFormat="1" x14ac:dyDescent="0.25">
      <c r="A6210" s="95" t="s">
        <v>11745</v>
      </c>
      <c r="B6210" s="96" t="s">
        <v>6025</v>
      </c>
      <c r="C6210" s="97" t="s">
        <v>12197</v>
      </c>
      <c r="D6210" s="6">
        <v>263.07</v>
      </c>
      <c r="E6210" s="6">
        <v>280.62</v>
      </c>
      <c r="F6210" s="89"/>
      <c r="G6210" s="89"/>
      <c r="H6210" s="89"/>
      <c r="I6210" s="90"/>
      <c r="J6210" s="91"/>
      <c r="K6210" s="92"/>
      <c r="L6210" s="93"/>
    </row>
    <row r="6211" spans="1:12" s="94" customFormat="1" x14ac:dyDescent="0.25">
      <c r="A6211" s="95" t="s">
        <v>11746</v>
      </c>
      <c r="B6211" s="96" t="s">
        <v>6025</v>
      </c>
      <c r="C6211" s="97" t="s">
        <v>12198</v>
      </c>
      <c r="D6211" s="6">
        <v>263.07</v>
      </c>
      <c r="E6211" s="6">
        <v>280.62</v>
      </c>
      <c r="F6211" s="89"/>
      <c r="G6211" s="89"/>
      <c r="H6211" s="89"/>
      <c r="I6211" s="90"/>
      <c r="J6211" s="91"/>
      <c r="K6211" s="92"/>
      <c r="L6211" s="93"/>
    </row>
    <row r="6212" spans="1:12" s="94" customFormat="1" x14ac:dyDescent="0.25">
      <c r="A6212" s="95" t="s">
        <v>11747</v>
      </c>
      <c r="B6212" s="96" t="s">
        <v>5215</v>
      </c>
      <c r="C6212" s="97" t="s">
        <v>12198</v>
      </c>
      <c r="D6212" s="6">
        <v>263.07</v>
      </c>
      <c r="E6212" s="6">
        <v>280.62</v>
      </c>
      <c r="F6212" s="89"/>
      <c r="G6212" s="89"/>
      <c r="H6212" s="89"/>
      <c r="I6212" s="90"/>
      <c r="J6212" s="91"/>
      <c r="K6212" s="92"/>
      <c r="L6212" s="93"/>
    </row>
    <row r="6213" spans="1:12" s="94" customFormat="1" x14ac:dyDescent="0.25">
      <c r="A6213" s="95" t="s">
        <v>11748</v>
      </c>
      <c r="B6213" s="96" t="s">
        <v>6025</v>
      </c>
      <c r="C6213" s="97" t="s">
        <v>12199</v>
      </c>
      <c r="D6213" s="6">
        <v>491.53</v>
      </c>
      <c r="E6213" s="6">
        <v>485.9</v>
      </c>
      <c r="F6213" s="89"/>
      <c r="G6213" s="89"/>
      <c r="H6213" s="89"/>
      <c r="I6213" s="90"/>
      <c r="J6213" s="91"/>
      <c r="K6213" s="92"/>
      <c r="L6213" s="93"/>
    </row>
    <row r="6214" spans="1:12" s="94" customFormat="1" x14ac:dyDescent="0.25">
      <c r="A6214" s="95" t="s">
        <v>11749</v>
      </c>
      <c r="B6214" s="96" t="s">
        <v>6025</v>
      </c>
      <c r="C6214" s="97" t="s">
        <v>12200</v>
      </c>
      <c r="D6214" s="6">
        <v>491.53</v>
      </c>
      <c r="E6214" s="6">
        <v>485.9</v>
      </c>
      <c r="F6214" s="89"/>
      <c r="G6214" s="89"/>
      <c r="H6214" s="89"/>
      <c r="I6214" s="90"/>
      <c r="J6214" s="91"/>
      <c r="K6214" s="92"/>
      <c r="L6214" s="93"/>
    </row>
    <row r="6215" spans="1:12" s="94" customFormat="1" x14ac:dyDescent="0.25">
      <c r="A6215" s="95" t="s">
        <v>11750</v>
      </c>
      <c r="B6215" s="96" t="s">
        <v>6025</v>
      </c>
      <c r="C6215" s="97" t="s">
        <v>12201</v>
      </c>
      <c r="D6215" s="6">
        <v>491.53</v>
      </c>
      <c r="E6215" s="6">
        <v>485.9</v>
      </c>
      <c r="F6215" s="89"/>
      <c r="G6215" s="89"/>
      <c r="H6215" s="89"/>
      <c r="I6215" s="90"/>
      <c r="J6215" s="91"/>
      <c r="K6215" s="92"/>
      <c r="L6215" s="93"/>
    </row>
    <row r="6216" spans="1:12" s="94" customFormat="1" x14ac:dyDescent="0.25">
      <c r="A6216" s="95" t="s">
        <v>11751</v>
      </c>
      <c r="B6216" s="96" t="s">
        <v>6025</v>
      </c>
      <c r="C6216" s="97" t="s">
        <v>12202</v>
      </c>
      <c r="D6216" s="6">
        <v>491.53</v>
      </c>
      <c r="E6216" s="6">
        <v>485.9</v>
      </c>
      <c r="F6216" s="89"/>
      <c r="G6216" s="89"/>
      <c r="H6216" s="89"/>
      <c r="I6216" s="90"/>
      <c r="J6216" s="91"/>
      <c r="K6216" s="92"/>
      <c r="L6216" s="93"/>
    </row>
    <row r="6217" spans="1:12" s="94" customFormat="1" x14ac:dyDescent="0.25">
      <c r="A6217" s="95" t="s">
        <v>11752</v>
      </c>
      <c r="B6217" s="96" t="s">
        <v>6025</v>
      </c>
      <c r="C6217" s="97" t="s">
        <v>12203</v>
      </c>
      <c r="D6217" s="6">
        <v>363.85</v>
      </c>
      <c r="E6217" s="6">
        <v>331.13</v>
      </c>
      <c r="F6217" s="89"/>
      <c r="G6217" s="89"/>
      <c r="H6217" s="89"/>
      <c r="I6217" s="90"/>
      <c r="J6217" s="91"/>
      <c r="K6217" s="92"/>
      <c r="L6217" s="93"/>
    </row>
    <row r="6218" spans="1:12" s="94" customFormat="1" x14ac:dyDescent="0.25">
      <c r="A6218" s="95" t="s">
        <v>11753</v>
      </c>
      <c r="B6218" s="96" t="s">
        <v>6025</v>
      </c>
      <c r="C6218" s="97" t="s">
        <v>12204</v>
      </c>
      <c r="D6218" s="6">
        <v>363.85</v>
      </c>
      <c r="E6218" s="6">
        <v>331.13</v>
      </c>
      <c r="F6218" s="89"/>
      <c r="G6218" s="89"/>
      <c r="H6218" s="89"/>
      <c r="I6218" s="90"/>
      <c r="J6218" s="91"/>
      <c r="K6218" s="92"/>
      <c r="L6218" s="93"/>
    </row>
    <row r="6219" spans="1:12" s="94" customFormat="1" x14ac:dyDescent="0.25">
      <c r="A6219" s="95" t="s">
        <v>11754</v>
      </c>
      <c r="B6219" s="96" t="s">
        <v>6025</v>
      </c>
      <c r="C6219" s="97" t="s">
        <v>12205</v>
      </c>
      <c r="D6219" s="6">
        <v>491.53</v>
      </c>
      <c r="E6219" s="6">
        <v>485.9</v>
      </c>
      <c r="F6219" s="89"/>
      <c r="G6219" s="89"/>
      <c r="H6219" s="89"/>
      <c r="I6219" s="90"/>
      <c r="J6219" s="91"/>
      <c r="K6219" s="92"/>
      <c r="L6219" s="93"/>
    </row>
    <row r="6220" spans="1:12" s="94" customFormat="1" x14ac:dyDescent="0.25">
      <c r="A6220" s="95" t="s">
        <v>11755</v>
      </c>
      <c r="B6220" s="96" t="s">
        <v>6025</v>
      </c>
      <c r="C6220" s="97" t="s">
        <v>12206</v>
      </c>
      <c r="D6220" s="6">
        <v>491.53</v>
      </c>
      <c r="E6220" s="6">
        <v>485.9</v>
      </c>
      <c r="F6220" s="89"/>
      <c r="G6220" s="89"/>
      <c r="H6220" s="89"/>
      <c r="I6220" s="90"/>
      <c r="J6220" s="91"/>
      <c r="K6220" s="92"/>
      <c r="L6220" s="93"/>
    </row>
    <row r="6221" spans="1:12" s="94" customFormat="1" x14ac:dyDescent="0.25">
      <c r="A6221" s="95" t="s">
        <v>11756</v>
      </c>
      <c r="B6221" s="96" t="s">
        <v>6025</v>
      </c>
      <c r="C6221" s="97" t="s">
        <v>12207</v>
      </c>
      <c r="D6221" s="6">
        <v>491.53</v>
      </c>
      <c r="E6221" s="6">
        <v>485.9</v>
      </c>
      <c r="F6221" s="89"/>
      <c r="G6221" s="89"/>
      <c r="H6221" s="89"/>
      <c r="I6221" s="90"/>
      <c r="J6221" s="91"/>
      <c r="K6221" s="92"/>
      <c r="L6221" s="93"/>
    </row>
    <row r="6222" spans="1:12" s="94" customFormat="1" x14ac:dyDescent="0.25">
      <c r="A6222" s="95" t="s">
        <v>11757</v>
      </c>
      <c r="B6222" s="96" t="s">
        <v>6025</v>
      </c>
      <c r="C6222" s="97" t="s">
        <v>12208</v>
      </c>
      <c r="D6222" s="6">
        <v>491.53</v>
      </c>
      <c r="E6222" s="6">
        <v>485.9</v>
      </c>
      <c r="F6222" s="89"/>
      <c r="G6222" s="89"/>
      <c r="H6222" s="89"/>
      <c r="I6222" s="90"/>
      <c r="J6222" s="91"/>
      <c r="K6222" s="92"/>
      <c r="L6222" s="93"/>
    </row>
    <row r="6223" spans="1:12" s="94" customFormat="1" x14ac:dyDescent="0.25">
      <c r="A6223" s="95" t="s">
        <v>11758</v>
      </c>
      <c r="B6223" s="96" t="s">
        <v>6025</v>
      </c>
      <c r="C6223" s="97" t="s">
        <v>12209</v>
      </c>
      <c r="D6223" s="6">
        <v>263.07</v>
      </c>
      <c r="E6223" s="6">
        <v>280.62</v>
      </c>
      <c r="F6223" s="89"/>
      <c r="G6223" s="89"/>
      <c r="H6223" s="89"/>
      <c r="I6223" s="90"/>
      <c r="J6223" s="91"/>
      <c r="K6223" s="92"/>
      <c r="L6223" s="93"/>
    </row>
    <row r="6224" spans="1:12" s="94" customFormat="1" x14ac:dyDescent="0.25">
      <c r="A6224" s="95" t="s">
        <v>11759</v>
      </c>
      <c r="B6224" s="96" t="s">
        <v>6025</v>
      </c>
      <c r="C6224" s="97" t="s">
        <v>12210</v>
      </c>
      <c r="D6224" s="6">
        <v>491.53</v>
      </c>
      <c r="E6224" s="6">
        <v>485.9</v>
      </c>
      <c r="F6224" s="89"/>
      <c r="G6224" s="89"/>
      <c r="H6224" s="89"/>
      <c r="I6224" s="90"/>
      <c r="J6224" s="91"/>
      <c r="K6224" s="92"/>
      <c r="L6224" s="93"/>
    </row>
    <row r="6225" spans="1:12" s="94" customFormat="1" x14ac:dyDescent="0.25">
      <c r="A6225" s="95" t="s">
        <v>11760</v>
      </c>
      <c r="B6225" s="96" t="s">
        <v>6025</v>
      </c>
      <c r="C6225" s="97" t="s">
        <v>12211</v>
      </c>
      <c r="D6225" s="6">
        <v>222.49</v>
      </c>
      <c r="E6225" s="6">
        <v>273.27</v>
      </c>
      <c r="F6225" s="89"/>
      <c r="G6225" s="89"/>
      <c r="H6225" s="89"/>
      <c r="I6225" s="90"/>
      <c r="J6225" s="91"/>
      <c r="K6225" s="92"/>
      <c r="L6225" s="93"/>
    </row>
    <row r="6226" spans="1:12" s="94" customFormat="1" x14ac:dyDescent="0.25">
      <c r="A6226" s="95" t="s">
        <v>11761</v>
      </c>
      <c r="B6226" s="96" t="s">
        <v>6025</v>
      </c>
      <c r="C6226" s="97" t="s">
        <v>12212</v>
      </c>
      <c r="D6226" s="6">
        <v>222.49</v>
      </c>
      <c r="E6226" s="6">
        <v>273.27</v>
      </c>
      <c r="F6226" s="89"/>
      <c r="G6226" s="89"/>
      <c r="H6226" s="89"/>
      <c r="I6226" s="90"/>
      <c r="J6226" s="91"/>
      <c r="K6226" s="92"/>
      <c r="L6226" s="93"/>
    </row>
    <row r="6227" spans="1:12" s="94" customFormat="1" x14ac:dyDescent="0.25">
      <c r="A6227" s="95" t="s">
        <v>11762</v>
      </c>
      <c r="B6227" s="96" t="s">
        <v>6025</v>
      </c>
      <c r="C6227" s="97" t="s">
        <v>12213</v>
      </c>
      <c r="D6227" s="6">
        <v>363.85</v>
      </c>
      <c r="E6227" s="6">
        <v>331.13</v>
      </c>
      <c r="F6227" s="89"/>
      <c r="G6227" s="89"/>
      <c r="H6227" s="89"/>
      <c r="I6227" s="90"/>
      <c r="J6227" s="91"/>
      <c r="K6227" s="92"/>
      <c r="L6227" s="93"/>
    </row>
    <row r="6228" spans="1:12" s="94" customFormat="1" x14ac:dyDescent="0.25">
      <c r="A6228" s="95" t="s">
        <v>11763</v>
      </c>
      <c r="B6228" s="96" t="s">
        <v>6025</v>
      </c>
      <c r="C6228" s="97" t="s">
        <v>12214</v>
      </c>
      <c r="D6228" s="6">
        <v>263.07</v>
      </c>
      <c r="E6228" s="6">
        <v>280.62</v>
      </c>
      <c r="F6228" s="89"/>
      <c r="G6228" s="89"/>
      <c r="H6228" s="89"/>
      <c r="I6228" s="90"/>
      <c r="J6228" s="91"/>
      <c r="K6228" s="92"/>
      <c r="L6228" s="93"/>
    </row>
    <row r="6229" spans="1:12" s="94" customFormat="1" x14ac:dyDescent="0.25">
      <c r="A6229" s="95" t="s">
        <v>11764</v>
      </c>
      <c r="B6229" s="96" t="s">
        <v>6025</v>
      </c>
      <c r="C6229" s="97" t="s">
        <v>12215</v>
      </c>
      <c r="D6229" s="6">
        <v>466.58</v>
      </c>
      <c r="E6229" s="6">
        <v>366.77</v>
      </c>
      <c r="F6229" s="89"/>
      <c r="G6229" s="89"/>
      <c r="H6229" s="89"/>
      <c r="I6229" s="90"/>
      <c r="J6229" s="91"/>
      <c r="K6229" s="92"/>
      <c r="L6229" s="93"/>
    </row>
    <row r="6230" spans="1:12" s="94" customFormat="1" x14ac:dyDescent="0.25">
      <c r="A6230" s="95" t="s">
        <v>11765</v>
      </c>
      <c r="B6230" s="96" t="s">
        <v>6025</v>
      </c>
      <c r="C6230" s="97" t="s">
        <v>12216</v>
      </c>
      <c r="D6230" s="6">
        <v>466.58</v>
      </c>
      <c r="E6230" s="6">
        <v>366.77</v>
      </c>
      <c r="F6230" s="89"/>
      <c r="G6230" s="89"/>
      <c r="H6230" s="89"/>
      <c r="I6230" s="90"/>
      <c r="J6230" s="91"/>
      <c r="K6230" s="92"/>
      <c r="L6230" s="93"/>
    </row>
    <row r="6231" spans="1:12" s="94" customFormat="1" x14ac:dyDescent="0.25">
      <c r="A6231" s="95" t="s">
        <v>11766</v>
      </c>
      <c r="B6231" s="96" t="s">
        <v>6025</v>
      </c>
      <c r="C6231" s="97" t="s">
        <v>12217</v>
      </c>
      <c r="D6231" s="6">
        <v>466.58</v>
      </c>
      <c r="E6231" s="6">
        <v>366.77</v>
      </c>
      <c r="F6231" s="89"/>
      <c r="G6231" s="89"/>
      <c r="H6231" s="89"/>
      <c r="I6231" s="90"/>
      <c r="J6231" s="91"/>
      <c r="K6231" s="92"/>
      <c r="L6231" s="93"/>
    </row>
    <row r="6232" spans="1:12" s="94" customFormat="1" x14ac:dyDescent="0.25">
      <c r="A6232" s="95" t="s">
        <v>11767</v>
      </c>
      <c r="B6232" s="96" t="s">
        <v>6025</v>
      </c>
      <c r="C6232" s="97" t="s">
        <v>12218</v>
      </c>
      <c r="D6232" s="6">
        <v>363.85</v>
      </c>
      <c r="E6232" s="6">
        <v>331.13</v>
      </c>
      <c r="F6232" s="89"/>
      <c r="G6232" s="89"/>
      <c r="H6232" s="89"/>
      <c r="I6232" s="90"/>
      <c r="J6232" s="91"/>
      <c r="K6232" s="92"/>
      <c r="L6232" s="93"/>
    </row>
    <row r="6233" spans="1:12" s="94" customFormat="1" x14ac:dyDescent="0.25">
      <c r="A6233" s="95" t="s">
        <v>11768</v>
      </c>
      <c r="B6233" s="96" t="s">
        <v>6025</v>
      </c>
      <c r="C6233" s="97" t="s">
        <v>12219</v>
      </c>
      <c r="D6233" s="6">
        <v>363.85</v>
      </c>
      <c r="E6233" s="6">
        <v>331.13</v>
      </c>
      <c r="F6233" s="89"/>
      <c r="G6233" s="89"/>
      <c r="H6233" s="89"/>
      <c r="I6233" s="90"/>
      <c r="J6233" s="91"/>
      <c r="K6233" s="92"/>
      <c r="L6233" s="93"/>
    </row>
    <row r="6234" spans="1:12" s="94" customFormat="1" x14ac:dyDescent="0.25">
      <c r="A6234" s="95" t="s">
        <v>11769</v>
      </c>
      <c r="B6234" s="96" t="s">
        <v>6025</v>
      </c>
      <c r="C6234" s="97" t="s">
        <v>12220</v>
      </c>
      <c r="D6234" s="6">
        <v>363.85</v>
      </c>
      <c r="E6234" s="6">
        <v>331.13</v>
      </c>
      <c r="F6234" s="89"/>
      <c r="G6234" s="89"/>
      <c r="H6234" s="89"/>
      <c r="I6234" s="90"/>
      <c r="J6234" s="91"/>
      <c r="K6234" s="92"/>
      <c r="L6234" s="93"/>
    </row>
    <row r="6235" spans="1:12" s="94" customFormat="1" x14ac:dyDescent="0.25">
      <c r="A6235" s="95" t="s">
        <v>11770</v>
      </c>
      <c r="B6235" s="96" t="s">
        <v>6025</v>
      </c>
      <c r="C6235" s="97" t="s">
        <v>12221</v>
      </c>
      <c r="D6235" s="6">
        <v>491.53</v>
      </c>
      <c r="E6235" s="6">
        <v>485.9</v>
      </c>
      <c r="F6235" s="89"/>
      <c r="G6235" s="89"/>
      <c r="H6235" s="89"/>
      <c r="I6235" s="90"/>
      <c r="J6235" s="91"/>
      <c r="K6235" s="92"/>
      <c r="L6235" s="93"/>
    </row>
    <row r="6236" spans="1:12" s="94" customFormat="1" x14ac:dyDescent="0.25">
      <c r="A6236" s="95" t="s">
        <v>11771</v>
      </c>
      <c r="B6236" s="96" t="s">
        <v>256</v>
      </c>
      <c r="C6236" s="97" t="s">
        <v>12222</v>
      </c>
      <c r="D6236" s="6">
        <v>6628.52</v>
      </c>
      <c r="E6236" s="6">
        <v>7978.51</v>
      </c>
      <c r="F6236" s="89"/>
      <c r="G6236" s="89"/>
      <c r="H6236" s="89"/>
      <c r="I6236" s="90"/>
      <c r="J6236" s="91"/>
      <c r="K6236" s="92"/>
      <c r="L6236" s="93"/>
    </row>
    <row r="6237" spans="1:12" s="94" customFormat="1" x14ac:dyDescent="0.25">
      <c r="A6237" s="95" t="s">
        <v>11772</v>
      </c>
      <c r="B6237" s="96" t="s">
        <v>11587</v>
      </c>
      <c r="C6237" s="97" t="s">
        <v>12223</v>
      </c>
      <c r="D6237" s="6">
        <v>9307.3700000000008</v>
      </c>
      <c r="E6237" s="6">
        <v>11609.49</v>
      </c>
      <c r="F6237" s="89"/>
      <c r="G6237" s="89"/>
      <c r="H6237" s="89"/>
      <c r="I6237" s="90"/>
      <c r="J6237" s="91"/>
      <c r="K6237" s="92"/>
      <c r="L6237" s="93"/>
    </row>
    <row r="6238" spans="1:12" s="94" customFormat="1" x14ac:dyDescent="0.25">
      <c r="A6238" s="95" t="s">
        <v>11773</v>
      </c>
      <c r="B6238" s="96" t="s">
        <v>10973</v>
      </c>
      <c r="C6238" s="97" t="s">
        <v>12224</v>
      </c>
      <c r="D6238" s="6">
        <v>1568.73</v>
      </c>
      <c r="E6238" s="6">
        <v>1689.55</v>
      </c>
      <c r="F6238" s="89"/>
      <c r="G6238" s="89"/>
      <c r="H6238" s="89"/>
      <c r="I6238" s="90"/>
      <c r="J6238" s="91"/>
      <c r="K6238" s="92"/>
      <c r="L6238" s="93"/>
    </row>
    <row r="6239" spans="1:12" s="94" customFormat="1" x14ac:dyDescent="0.25">
      <c r="A6239" s="95" t="s">
        <v>11774</v>
      </c>
      <c r="B6239" s="96" t="s">
        <v>10973</v>
      </c>
      <c r="C6239" s="97" t="s">
        <v>12225</v>
      </c>
      <c r="D6239" s="6">
        <v>1568.73</v>
      </c>
      <c r="E6239" s="6">
        <v>1689.55</v>
      </c>
      <c r="F6239" s="89"/>
      <c r="G6239" s="89"/>
      <c r="H6239" s="89"/>
      <c r="I6239" s="90"/>
      <c r="J6239" s="91"/>
      <c r="K6239" s="92"/>
      <c r="L6239" s="93"/>
    </row>
    <row r="6240" spans="1:12" s="94" customFormat="1" x14ac:dyDescent="0.25">
      <c r="A6240" s="95" t="s">
        <v>11775</v>
      </c>
      <c r="B6240" s="96" t="s">
        <v>10973</v>
      </c>
      <c r="C6240" s="97" t="s">
        <v>12226</v>
      </c>
      <c r="D6240" s="6">
        <v>466.58</v>
      </c>
      <c r="E6240" s="6">
        <v>366.77</v>
      </c>
      <c r="F6240" s="89"/>
      <c r="G6240" s="89"/>
      <c r="H6240" s="89"/>
      <c r="I6240" s="90"/>
      <c r="J6240" s="91"/>
      <c r="K6240" s="92"/>
      <c r="L6240" s="93"/>
    </row>
    <row r="6241" spans="1:12" s="94" customFormat="1" x14ac:dyDescent="0.25">
      <c r="A6241" s="95" t="s">
        <v>11776</v>
      </c>
      <c r="B6241" s="96" t="s">
        <v>10973</v>
      </c>
      <c r="C6241" s="97" t="s">
        <v>12227</v>
      </c>
      <c r="D6241" s="6">
        <v>1568.73</v>
      </c>
      <c r="E6241" s="6">
        <v>1689.55</v>
      </c>
      <c r="F6241" s="89"/>
      <c r="G6241" s="89"/>
      <c r="H6241" s="89"/>
      <c r="I6241" s="90"/>
      <c r="J6241" s="91"/>
      <c r="K6241" s="92"/>
      <c r="L6241" s="93"/>
    </row>
    <row r="6242" spans="1:12" s="94" customFormat="1" x14ac:dyDescent="0.25">
      <c r="A6242" s="95" t="s">
        <v>11777</v>
      </c>
      <c r="B6242" s="96" t="s">
        <v>1496</v>
      </c>
      <c r="C6242" s="97" t="s">
        <v>12228</v>
      </c>
      <c r="D6242" s="6">
        <v>1831.09</v>
      </c>
      <c r="E6242" s="6">
        <v>1533.82</v>
      </c>
      <c r="F6242" s="89"/>
      <c r="G6242" s="89"/>
      <c r="H6242" s="89"/>
      <c r="I6242" s="90"/>
      <c r="J6242" s="91"/>
      <c r="K6242" s="92"/>
      <c r="L6242" s="93"/>
    </row>
    <row r="6243" spans="1:12" s="94" customFormat="1" x14ac:dyDescent="0.25">
      <c r="A6243" s="95" t="s">
        <v>11778</v>
      </c>
      <c r="B6243" s="96" t="s">
        <v>1072</v>
      </c>
      <c r="C6243" s="97" t="s">
        <v>12228</v>
      </c>
      <c r="D6243" s="6">
        <v>1314.55</v>
      </c>
      <c r="E6243" s="6">
        <v>1158.28</v>
      </c>
      <c r="F6243" s="89"/>
      <c r="G6243" s="89"/>
      <c r="H6243" s="89"/>
      <c r="I6243" s="90"/>
      <c r="J6243" s="91"/>
      <c r="K6243" s="92"/>
      <c r="L6243" s="93"/>
    </row>
    <row r="6244" spans="1:12" s="94" customFormat="1" x14ac:dyDescent="0.25">
      <c r="A6244" s="95" t="s">
        <v>11779</v>
      </c>
      <c r="B6244" s="96" t="s">
        <v>1496</v>
      </c>
      <c r="C6244" s="97" t="s">
        <v>12229</v>
      </c>
      <c r="D6244" s="6">
        <v>1831.09</v>
      </c>
      <c r="E6244" s="6">
        <v>1533.82</v>
      </c>
      <c r="F6244" s="89"/>
      <c r="G6244" s="89"/>
      <c r="H6244" s="89"/>
      <c r="I6244" s="90"/>
      <c r="J6244" s="91"/>
      <c r="K6244" s="92"/>
      <c r="L6244" s="93"/>
    </row>
    <row r="6245" spans="1:12" s="94" customFormat="1" x14ac:dyDescent="0.25">
      <c r="A6245" s="95" t="s">
        <v>11780</v>
      </c>
      <c r="B6245" s="96" t="s">
        <v>1072</v>
      </c>
      <c r="C6245" s="97" t="s">
        <v>12229</v>
      </c>
      <c r="D6245" s="6">
        <v>1314.55</v>
      </c>
      <c r="E6245" s="6">
        <v>1158.28</v>
      </c>
      <c r="F6245" s="89"/>
      <c r="G6245" s="89"/>
      <c r="H6245" s="89"/>
      <c r="I6245" s="90"/>
      <c r="J6245" s="91"/>
      <c r="K6245" s="92"/>
      <c r="L6245" s="93"/>
    </row>
    <row r="6246" spans="1:12" s="94" customFormat="1" x14ac:dyDescent="0.25">
      <c r="A6246" s="95" t="s">
        <v>11781</v>
      </c>
      <c r="B6246" s="96" t="s">
        <v>1496</v>
      </c>
      <c r="C6246" s="97" t="s">
        <v>12230</v>
      </c>
      <c r="D6246" s="6">
        <v>1831.09</v>
      </c>
      <c r="E6246" s="6">
        <v>1533.82</v>
      </c>
      <c r="F6246" s="89"/>
      <c r="G6246" s="89"/>
      <c r="H6246" s="89"/>
      <c r="I6246" s="90"/>
      <c r="J6246" s="91"/>
      <c r="K6246" s="92"/>
      <c r="L6246" s="93"/>
    </row>
    <row r="6247" spans="1:12" s="94" customFormat="1" x14ac:dyDescent="0.25">
      <c r="A6247" s="95" t="s">
        <v>11782</v>
      </c>
      <c r="B6247" s="96" t="s">
        <v>1072</v>
      </c>
      <c r="C6247" s="97" t="s">
        <v>12230</v>
      </c>
      <c r="D6247" s="6">
        <v>1314.55</v>
      </c>
      <c r="E6247" s="6">
        <v>1158.28</v>
      </c>
      <c r="F6247" s="89"/>
      <c r="G6247" s="89"/>
      <c r="H6247" s="89"/>
      <c r="I6247" s="90"/>
      <c r="J6247" s="91"/>
      <c r="K6247" s="92"/>
      <c r="L6247" s="93"/>
    </row>
    <row r="6248" spans="1:12" s="94" customFormat="1" x14ac:dyDescent="0.25">
      <c r="A6248" s="95" t="s">
        <v>11783</v>
      </c>
      <c r="B6248" s="96" t="s">
        <v>1496</v>
      </c>
      <c r="C6248" s="97" t="s">
        <v>12231</v>
      </c>
      <c r="D6248" s="6">
        <v>1831.09</v>
      </c>
      <c r="E6248" s="6">
        <v>1533.82</v>
      </c>
      <c r="F6248" s="89"/>
      <c r="G6248" s="89"/>
      <c r="H6248" s="89"/>
      <c r="I6248" s="90"/>
      <c r="J6248" s="91"/>
      <c r="K6248" s="92"/>
      <c r="L6248" s="93"/>
    </row>
    <row r="6249" spans="1:12" s="94" customFormat="1" x14ac:dyDescent="0.25">
      <c r="A6249" s="95" t="s">
        <v>11784</v>
      </c>
      <c r="B6249" s="96" t="s">
        <v>1072</v>
      </c>
      <c r="C6249" s="97" t="s">
        <v>12231</v>
      </c>
      <c r="D6249" s="6">
        <v>1314.55</v>
      </c>
      <c r="E6249" s="6">
        <v>1158.28</v>
      </c>
      <c r="F6249" s="89"/>
      <c r="G6249" s="89"/>
      <c r="H6249" s="89"/>
      <c r="I6249" s="90"/>
      <c r="J6249" s="91"/>
      <c r="K6249" s="92"/>
      <c r="L6249" s="93"/>
    </row>
    <row r="6250" spans="1:12" s="94" customFormat="1" x14ac:dyDescent="0.25">
      <c r="A6250" s="95" t="s">
        <v>11785</v>
      </c>
      <c r="B6250" s="96" t="s">
        <v>1496</v>
      </c>
      <c r="C6250" s="97" t="s">
        <v>12232</v>
      </c>
      <c r="D6250" s="6">
        <v>1831.09</v>
      </c>
      <c r="E6250" s="6">
        <v>1533.82</v>
      </c>
      <c r="F6250" s="89"/>
      <c r="G6250" s="89"/>
      <c r="H6250" s="89"/>
      <c r="I6250" s="90"/>
      <c r="J6250" s="91"/>
      <c r="K6250" s="92"/>
      <c r="L6250" s="93"/>
    </row>
    <row r="6251" spans="1:12" s="94" customFormat="1" x14ac:dyDescent="0.25">
      <c r="A6251" s="95" t="s">
        <v>11786</v>
      </c>
      <c r="B6251" s="96" t="s">
        <v>1072</v>
      </c>
      <c r="C6251" s="97" t="s">
        <v>12232</v>
      </c>
      <c r="D6251" s="6">
        <v>1314.55</v>
      </c>
      <c r="E6251" s="6">
        <v>1158.28</v>
      </c>
      <c r="F6251" s="89"/>
      <c r="G6251" s="89"/>
      <c r="H6251" s="89"/>
      <c r="I6251" s="90"/>
      <c r="J6251" s="91"/>
      <c r="K6251" s="92"/>
      <c r="L6251" s="93"/>
    </row>
    <row r="6252" spans="1:12" s="94" customFormat="1" x14ac:dyDescent="0.25">
      <c r="A6252" s="95" t="s">
        <v>11787</v>
      </c>
      <c r="B6252" s="96" t="s">
        <v>1496</v>
      </c>
      <c r="C6252" s="97" t="s">
        <v>12233</v>
      </c>
      <c r="D6252" s="6">
        <v>1831.09</v>
      </c>
      <c r="E6252" s="6">
        <v>1533.82</v>
      </c>
      <c r="F6252" s="89"/>
      <c r="G6252" s="89"/>
      <c r="H6252" s="89"/>
      <c r="I6252" s="90"/>
      <c r="J6252" s="91"/>
      <c r="K6252" s="92"/>
      <c r="L6252" s="93"/>
    </row>
    <row r="6253" spans="1:12" s="94" customFormat="1" x14ac:dyDescent="0.25">
      <c r="A6253" s="95" t="s">
        <v>11788</v>
      </c>
      <c r="B6253" s="96" t="s">
        <v>1496</v>
      </c>
      <c r="C6253" s="97" t="s">
        <v>12234</v>
      </c>
      <c r="D6253" s="6">
        <v>1831.09</v>
      </c>
      <c r="E6253" s="6">
        <v>1533.82</v>
      </c>
      <c r="F6253" s="89"/>
      <c r="G6253" s="89"/>
      <c r="H6253" s="89"/>
      <c r="I6253" s="90"/>
      <c r="J6253" s="91"/>
      <c r="K6253" s="92"/>
      <c r="L6253" s="93"/>
    </row>
    <row r="6254" spans="1:12" s="94" customFormat="1" x14ac:dyDescent="0.25">
      <c r="A6254" s="95" t="s">
        <v>11789</v>
      </c>
      <c r="B6254" s="96" t="s">
        <v>1072</v>
      </c>
      <c r="C6254" s="97" t="s">
        <v>12234</v>
      </c>
      <c r="D6254" s="6">
        <v>1314.55</v>
      </c>
      <c r="E6254" s="6">
        <v>1158.28</v>
      </c>
      <c r="F6254" s="89"/>
      <c r="G6254" s="89"/>
      <c r="H6254" s="89"/>
      <c r="I6254" s="90"/>
      <c r="J6254" s="91"/>
      <c r="K6254" s="92"/>
      <c r="L6254" s="93"/>
    </row>
    <row r="6255" spans="1:12" s="94" customFormat="1" x14ac:dyDescent="0.25">
      <c r="A6255" s="95" t="s">
        <v>11790</v>
      </c>
      <c r="B6255" s="96" t="s">
        <v>1496</v>
      </c>
      <c r="C6255" s="97" t="s">
        <v>12235</v>
      </c>
      <c r="D6255" s="6">
        <v>1831.09</v>
      </c>
      <c r="E6255" s="6">
        <v>1533.82</v>
      </c>
      <c r="F6255" s="89"/>
      <c r="G6255" s="89"/>
      <c r="H6255" s="89"/>
      <c r="I6255" s="90"/>
      <c r="J6255" s="91"/>
      <c r="K6255" s="92"/>
      <c r="L6255" s="93"/>
    </row>
    <row r="6256" spans="1:12" s="94" customFormat="1" x14ac:dyDescent="0.25">
      <c r="A6256" s="95" t="s">
        <v>11791</v>
      </c>
      <c r="B6256" s="96" t="s">
        <v>1072</v>
      </c>
      <c r="C6256" s="97" t="s">
        <v>12235</v>
      </c>
      <c r="D6256" s="6">
        <v>1314.55</v>
      </c>
      <c r="E6256" s="6">
        <v>1158.28</v>
      </c>
      <c r="F6256" s="89"/>
      <c r="G6256" s="89"/>
      <c r="H6256" s="89"/>
      <c r="I6256" s="90"/>
      <c r="J6256" s="91"/>
      <c r="K6256" s="92"/>
      <c r="L6256" s="93"/>
    </row>
    <row r="6257" spans="1:12" s="94" customFormat="1" x14ac:dyDescent="0.25">
      <c r="A6257" s="95" t="s">
        <v>11792</v>
      </c>
      <c r="B6257" s="96" t="s">
        <v>1496</v>
      </c>
      <c r="C6257" s="97" t="s">
        <v>12236</v>
      </c>
      <c r="D6257" s="6">
        <v>1831.09</v>
      </c>
      <c r="E6257" s="6">
        <v>1533.82</v>
      </c>
      <c r="F6257" s="89"/>
      <c r="G6257" s="89"/>
      <c r="H6257" s="89"/>
      <c r="I6257" s="90"/>
      <c r="J6257" s="91"/>
      <c r="K6257" s="92"/>
      <c r="L6257" s="93"/>
    </row>
    <row r="6258" spans="1:12" s="94" customFormat="1" x14ac:dyDescent="0.25">
      <c r="A6258" s="95" t="s">
        <v>11793</v>
      </c>
      <c r="B6258" s="96" t="s">
        <v>1072</v>
      </c>
      <c r="C6258" s="97" t="s">
        <v>12236</v>
      </c>
      <c r="D6258" s="6">
        <v>1314.55</v>
      </c>
      <c r="E6258" s="6">
        <v>1158.28</v>
      </c>
      <c r="F6258" s="89"/>
      <c r="G6258" s="89"/>
      <c r="H6258" s="89"/>
      <c r="I6258" s="90"/>
      <c r="J6258" s="91"/>
      <c r="K6258" s="92"/>
      <c r="L6258" s="93"/>
    </row>
    <row r="6259" spans="1:12" s="94" customFormat="1" x14ac:dyDescent="0.25">
      <c r="A6259" s="95" t="s">
        <v>11794</v>
      </c>
      <c r="B6259" s="96" t="s">
        <v>1496</v>
      </c>
      <c r="C6259" s="97" t="s">
        <v>12237</v>
      </c>
      <c r="D6259" s="6">
        <v>1831.09</v>
      </c>
      <c r="E6259" s="6">
        <v>1533.82</v>
      </c>
      <c r="F6259" s="89"/>
      <c r="G6259" s="89"/>
      <c r="H6259" s="89"/>
      <c r="I6259" s="90"/>
      <c r="J6259" s="91"/>
      <c r="K6259" s="92"/>
      <c r="L6259" s="93"/>
    </row>
    <row r="6260" spans="1:12" s="94" customFormat="1" x14ac:dyDescent="0.25">
      <c r="A6260" s="95" t="s">
        <v>11795</v>
      </c>
      <c r="B6260" s="96" t="s">
        <v>1496</v>
      </c>
      <c r="C6260" s="97" t="s">
        <v>12238</v>
      </c>
      <c r="D6260" s="6">
        <v>1831.09</v>
      </c>
      <c r="E6260" s="6">
        <v>1533.82</v>
      </c>
      <c r="F6260" s="89"/>
      <c r="G6260" s="89"/>
      <c r="H6260" s="89"/>
      <c r="I6260" s="90"/>
      <c r="J6260" s="91"/>
      <c r="K6260" s="92"/>
      <c r="L6260" s="93"/>
    </row>
    <row r="6261" spans="1:12" s="94" customFormat="1" x14ac:dyDescent="0.25">
      <c r="A6261" s="95" t="s">
        <v>11796</v>
      </c>
      <c r="B6261" s="96" t="s">
        <v>1496</v>
      </c>
      <c r="C6261" s="97" t="s">
        <v>12239</v>
      </c>
      <c r="D6261" s="6">
        <v>1831.09</v>
      </c>
      <c r="E6261" s="6">
        <v>1533.82</v>
      </c>
      <c r="F6261" s="89"/>
      <c r="G6261" s="89"/>
      <c r="H6261" s="89"/>
      <c r="I6261" s="90"/>
      <c r="J6261" s="91"/>
      <c r="K6261" s="92"/>
      <c r="L6261" s="93"/>
    </row>
    <row r="6262" spans="1:12" s="94" customFormat="1" x14ac:dyDescent="0.25">
      <c r="A6262" s="95" t="s">
        <v>11797</v>
      </c>
      <c r="B6262" s="96" t="s">
        <v>1496</v>
      </c>
      <c r="C6262" s="97" t="s">
        <v>12240</v>
      </c>
      <c r="D6262" s="6">
        <v>1831.09</v>
      </c>
      <c r="E6262" s="6">
        <v>1533.82</v>
      </c>
      <c r="F6262" s="89"/>
      <c r="G6262" s="89"/>
      <c r="H6262" s="89"/>
      <c r="I6262" s="90"/>
      <c r="J6262" s="91"/>
      <c r="K6262" s="92"/>
      <c r="L6262" s="93"/>
    </row>
    <row r="6263" spans="1:12" s="94" customFormat="1" x14ac:dyDescent="0.25">
      <c r="A6263" s="95" t="s">
        <v>11798</v>
      </c>
      <c r="B6263" s="96" t="s">
        <v>1496</v>
      </c>
      <c r="C6263" s="97" t="s">
        <v>12241</v>
      </c>
      <c r="D6263" s="6">
        <v>1831.09</v>
      </c>
      <c r="E6263" s="6">
        <v>1533.82</v>
      </c>
      <c r="F6263" s="89"/>
      <c r="G6263" s="89"/>
      <c r="H6263" s="89"/>
      <c r="I6263" s="90"/>
      <c r="J6263" s="91"/>
      <c r="K6263" s="92"/>
      <c r="L6263" s="93"/>
    </row>
    <row r="6264" spans="1:12" s="94" customFormat="1" x14ac:dyDescent="0.25">
      <c r="A6264" s="95" t="s">
        <v>11799</v>
      </c>
      <c r="B6264" s="96" t="s">
        <v>1072</v>
      </c>
      <c r="C6264" s="97" t="s">
        <v>12241</v>
      </c>
      <c r="D6264" s="6">
        <v>1314.55</v>
      </c>
      <c r="E6264" s="6">
        <v>1158.28</v>
      </c>
      <c r="F6264" s="89"/>
      <c r="G6264" s="89"/>
      <c r="H6264" s="89"/>
      <c r="I6264" s="90"/>
      <c r="J6264" s="91"/>
      <c r="K6264" s="92"/>
      <c r="L6264" s="93"/>
    </row>
    <row r="6265" spans="1:12" s="94" customFormat="1" x14ac:dyDescent="0.25">
      <c r="A6265" s="95" t="s">
        <v>11800</v>
      </c>
      <c r="B6265" s="96" t="s">
        <v>1496</v>
      </c>
      <c r="C6265" s="97" t="s">
        <v>12242</v>
      </c>
      <c r="D6265" s="6">
        <v>1831.09</v>
      </c>
      <c r="E6265" s="6">
        <v>1533.82</v>
      </c>
      <c r="F6265" s="89"/>
      <c r="G6265" s="89"/>
      <c r="H6265" s="89"/>
      <c r="I6265" s="90"/>
      <c r="J6265" s="91"/>
      <c r="K6265" s="92"/>
      <c r="L6265" s="93"/>
    </row>
    <row r="6266" spans="1:12" s="94" customFormat="1" x14ac:dyDescent="0.25">
      <c r="A6266" s="95" t="s">
        <v>11801</v>
      </c>
      <c r="B6266" s="96" t="s">
        <v>1496</v>
      </c>
      <c r="C6266" s="97" t="s">
        <v>12243</v>
      </c>
      <c r="D6266" s="6">
        <v>1831.09</v>
      </c>
      <c r="E6266" s="6">
        <v>1533.82</v>
      </c>
      <c r="F6266" s="89"/>
      <c r="G6266" s="89"/>
      <c r="H6266" s="89"/>
      <c r="I6266" s="90"/>
      <c r="J6266" s="91"/>
      <c r="K6266" s="92"/>
      <c r="L6266" s="93"/>
    </row>
    <row r="6267" spans="1:12" s="94" customFormat="1" x14ac:dyDescent="0.25">
      <c r="A6267" s="95" t="s">
        <v>11802</v>
      </c>
      <c r="B6267" s="96" t="s">
        <v>1496</v>
      </c>
      <c r="C6267" s="97" t="s">
        <v>12244</v>
      </c>
      <c r="D6267" s="6">
        <v>1831.09</v>
      </c>
      <c r="E6267" s="6">
        <v>1533.82</v>
      </c>
      <c r="F6267" s="89"/>
      <c r="G6267" s="89"/>
      <c r="H6267" s="89"/>
      <c r="I6267" s="90"/>
      <c r="J6267" s="91"/>
      <c r="K6267" s="92"/>
      <c r="L6267" s="93"/>
    </row>
    <row r="6268" spans="1:12" s="94" customFormat="1" x14ac:dyDescent="0.25">
      <c r="A6268" s="95" t="s">
        <v>11803</v>
      </c>
      <c r="B6268" s="96" t="s">
        <v>1072</v>
      </c>
      <c r="C6268" s="97" t="s">
        <v>12244</v>
      </c>
      <c r="D6268" s="6">
        <v>1314.55</v>
      </c>
      <c r="E6268" s="6">
        <v>1158.28</v>
      </c>
      <c r="F6268" s="89"/>
      <c r="G6268" s="89"/>
      <c r="H6268" s="89"/>
      <c r="I6268" s="90"/>
      <c r="J6268" s="91"/>
      <c r="K6268" s="92"/>
      <c r="L6268" s="93"/>
    </row>
    <row r="6269" spans="1:12" s="94" customFormat="1" x14ac:dyDescent="0.25">
      <c r="A6269" s="95" t="s">
        <v>11804</v>
      </c>
      <c r="B6269" s="96" t="s">
        <v>1496</v>
      </c>
      <c r="C6269" s="97" t="s">
        <v>12245</v>
      </c>
      <c r="D6269" s="6">
        <v>1831.09</v>
      </c>
      <c r="E6269" s="6">
        <v>1533.82</v>
      </c>
      <c r="F6269" s="89"/>
      <c r="G6269" s="89"/>
      <c r="H6269" s="89"/>
      <c r="I6269" s="90"/>
      <c r="J6269" s="91"/>
      <c r="K6269" s="92"/>
      <c r="L6269" s="93"/>
    </row>
    <row r="6270" spans="1:12" s="94" customFormat="1" x14ac:dyDescent="0.25">
      <c r="A6270" s="95" t="s">
        <v>11805</v>
      </c>
      <c r="B6270" s="96" t="s">
        <v>1496</v>
      </c>
      <c r="C6270" s="97" t="s">
        <v>12246</v>
      </c>
      <c r="D6270" s="6">
        <v>1831.09</v>
      </c>
      <c r="E6270" s="6">
        <v>1533.82</v>
      </c>
      <c r="F6270" s="89"/>
      <c r="G6270" s="89"/>
      <c r="H6270" s="89"/>
      <c r="I6270" s="90"/>
      <c r="J6270" s="91"/>
      <c r="K6270" s="92"/>
      <c r="L6270" s="93"/>
    </row>
    <row r="6271" spans="1:12" s="94" customFormat="1" x14ac:dyDescent="0.25">
      <c r="A6271" s="95" t="s">
        <v>11806</v>
      </c>
      <c r="B6271" s="96" t="s">
        <v>1072</v>
      </c>
      <c r="C6271" s="97" t="s">
        <v>12246</v>
      </c>
      <c r="D6271" s="6">
        <v>1314.55</v>
      </c>
      <c r="E6271" s="6">
        <v>1158.28</v>
      </c>
      <c r="F6271" s="89"/>
      <c r="G6271" s="89"/>
      <c r="H6271" s="89"/>
      <c r="I6271" s="90"/>
      <c r="J6271" s="91"/>
      <c r="K6271" s="92"/>
      <c r="L6271" s="93"/>
    </row>
    <row r="6272" spans="1:12" s="94" customFormat="1" x14ac:dyDescent="0.25">
      <c r="A6272" s="95" t="s">
        <v>11807</v>
      </c>
      <c r="B6272" s="96" t="s">
        <v>1496</v>
      </c>
      <c r="C6272" s="97" t="s">
        <v>12247</v>
      </c>
      <c r="D6272" s="6">
        <v>1831.09</v>
      </c>
      <c r="E6272" s="6">
        <v>1533.82</v>
      </c>
      <c r="F6272" s="89"/>
      <c r="G6272" s="89"/>
      <c r="H6272" s="89"/>
      <c r="I6272" s="90"/>
      <c r="J6272" s="91"/>
      <c r="K6272" s="92"/>
      <c r="L6272" s="93"/>
    </row>
    <row r="6273" spans="1:12" s="94" customFormat="1" x14ac:dyDescent="0.25">
      <c r="A6273" s="95" t="s">
        <v>11808</v>
      </c>
      <c r="B6273" s="96" t="s">
        <v>1496</v>
      </c>
      <c r="C6273" s="97" t="s">
        <v>12248</v>
      </c>
      <c r="D6273" s="6">
        <v>1831.09</v>
      </c>
      <c r="E6273" s="6">
        <v>1533.82</v>
      </c>
      <c r="F6273" s="89"/>
      <c r="G6273" s="89"/>
      <c r="H6273" s="89"/>
      <c r="I6273" s="90"/>
      <c r="J6273" s="91"/>
      <c r="K6273" s="92"/>
      <c r="L6273" s="93"/>
    </row>
    <row r="6274" spans="1:12" s="94" customFormat="1" x14ac:dyDescent="0.25">
      <c r="A6274" s="95" t="s">
        <v>11809</v>
      </c>
      <c r="B6274" s="96" t="s">
        <v>1496</v>
      </c>
      <c r="C6274" s="97" t="s">
        <v>12249</v>
      </c>
      <c r="D6274" s="6">
        <v>1831.09</v>
      </c>
      <c r="E6274" s="6">
        <v>1533.82</v>
      </c>
      <c r="F6274" s="89"/>
      <c r="G6274" s="89"/>
      <c r="H6274" s="89"/>
      <c r="I6274" s="90"/>
      <c r="J6274" s="91"/>
      <c r="K6274" s="92"/>
      <c r="L6274" s="93"/>
    </row>
    <row r="6275" spans="1:12" s="94" customFormat="1" x14ac:dyDescent="0.25">
      <c r="A6275" s="95" t="s">
        <v>11810</v>
      </c>
      <c r="B6275" s="96" t="s">
        <v>1496</v>
      </c>
      <c r="C6275" s="97" t="s">
        <v>12250</v>
      </c>
      <c r="D6275" s="6">
        <v>1831.09</v>
      </c>
      <c r="E6275" s="6">
        <v>1533.82</v>
      </c>
      <c r="F6275" s="89"/>
      <c r="G6275" s="89"/>
      <c r="H6275" s="89"/>
      <c r="I6275" s="90"/>
      <c r="J6275" s="91"/>
      <c r="K6275" s="92"/>
      <c r="L6275" s="93"/>
    </row>
    <row r="6276" spans="1:12" s="94" customFormat="1" x14ac:dyDescent="0.25">
      <c r="A6276" s="95" t="s">
        <v>11811</v>
      </c>
      <c r="B6276" s="96" t="s">
        <v>1072</v>
      </c>
      <c r="C6276" s="97" t="s">
        <v>12250</v>
      </c>
      <c r="D6276" s="6">
        <v>1314.55</v>
      </c>
      <c r="E6276" s="6">
        <v>1158.28</v>
      </c>
      <c r="F6276" s="89"/>
      <c r="G6276" s="89"/>
      <c r="H6276" s="89"/>
      <c r="I6276" s="90"/>
      <c r="J6276" s="91"/>
      <c r="K6276" s="92"/>
      <c r="L6276" s="93"/>
    </row>
    <row r="6277" spans="1:12" s="94" customFormat="1" x14ac:dyDescent="0.25">
      <c r="A6277" s="95" t="s">
        <v>11812</v>
      </c>
      <c r="B6277" s="96" t="s">
        <v>1496</v>
      </c>
      <c r="C6277" s="97" t="s">
        <v>12251</v>
      </c>
      <c r="D6277" s="6">
        <v>1831.09</v>
      </c>
      <c r="E6277" s="6">
        <v>1533.82</v>
      </c>
      <c r="F6277" s="89"/>
      <c r="G6277" s="89"/>
      <c r="H6277" s="89"/>
      <c r="I6277" s="90"/>
      <c r="J6277" s="91"/>
      <c r="K6277" s="92"/>
      <c r="L6277" s="93"/>
    </row>
    <row r="6278" spans="1:12" s="94" customFormat="1" x14ac:dyDescent="0.25">
      <c r="A6278" s="95" t="s">
        <v>11813</v>
      </c>
      <c r="B6278" s="96" t="s">
        <v>1496</v>
      </c>
      <c r="C6278" s="97" t="s">
        <v>12252</v>
      </c>
      <c r="D6278" s="6">
        <v>1831.09</v>
      </c>
      <c r="E6278" s="6">
        <v>1533.82</v>
      </c>
      <c r="F6278" s="89"/>
      <c r="G6278" s="89"/>
      <c r="H6278" s="89"/>
      <c r="I6278" s="90"/>
      <c r="J6278" s="91"/>
      <c r="K6278" s="92"/>
      <c r="L6278" s="93"/>
    </row>
    <row r="6279" spans="1:12" s="94" customFormat="1" x14ac:dyDescent="0.25">
      <c r="A6279" s="95" t="s">
        <v>11814</v>
      </c>
      <c r="B6279" s="96" t="s">
        <v>1072</v>
      </c>
      <c r="C6279" s="97" t="s">
        <v>12252</v>
      </c>
      <c r="D6279" s="6">
        <v>1314.55</v>
      </c>
      <c r="E6279" s="6">
        <v>1158.28</v>
      </c>
      <c r="F6279" s="89"/>
      <c r="G6279" s="89"/>
      <c r="H6279" s="89"/>
      <c r="I6279" s="90"/>
      <c r="J6279" s="91"/>
      <c r="K6279" s="92"/>
      <c r="L6279" s="93"/>
    </row>
    <row r="6280" spans="1:12" s="94" customFormat="1" x14ac:dyDescent="0.25">
      <c r="A6280" s="95" t="s">
        <v>11815</v>
      </c>
      <c r="B6280" s="96" t="s">
        <v>415</v>
      </c>
      <c r="C6280" s="97" t="s">
        <v>12253</v>
      </c>
      <c r="D6280" s="6">
        <v>12478.95</v>
      </c>
      <c r="E6280" s="6">
        <v>11989.34</v>
      </c>
      <c r="F6280" s="89"/>
      <c r="G6280" s="89"/>
      <c r="H6280" s="89"/>
      <c r="I6280" s="90"/>
      <c r="J6280" s="91"/>
      <c r="K6280" s="92"/>
      <c r="L6280" s="93"/>
    </row>
    <row r="6281" spans="1:12" s="94" customFormat="1" x14ac:dyDescent="0.25">
      <c r="A6281" s="95" t="s">
        <v>11816</v>
      </c>
      <c r="B6281" s="96" t="s">
        <v>4911</v>
      </c>
      <c r="C6281" s="97" t="s">
        <v>12254</v>
      </c>
      <c r="D6281" s="6">
        <v>11290.03</v>
      </c>
      <c r="E6281" s="6">
        <v>13610.93</v>
      </c>
      <c r="F6281" s="89"/>
      <c r="G6281" s="89"/>
      <c r="H6281" s="89"/>
      <c r="I6281" s="90"/>
      <c r="J6281" s="91"/>
      <c r="K6281" s="92"/>
      <c r="L6281" s="93"/>
    </row>
    <row r="6282" spans="1:12" s="94" customFormat="1" x14ac:dyDescent="0.25">
      <c r="A6282" s="95" t="s">
        <v>11817</v>
      </c>
      <c r="B6282" s="96" t="s">
        <v>4911</v>
      </c>
      <c r="C6282" s="97" t="s">
        <v>12255</v>
      </c>
      <c r="D6282" s="6">
        <v>11290.03</v>
      </c>
      <c r="E6282" s="6">
        <v>13610.93</v>
      </c>
      <c r="F6282" s="89"/>
      <c r="G6282" s="89"/>
      <c r="H6282" s="89"/>
      <c r="I6282" s="90"/>
      <c r="J6282" s="91"/>
      <c r="K6282" s="92"/>
      <c r="L6282" s="93"/>
    </row>
    <row r="6283" spans="1:12" s="94" customFormat="1" x14ac:dyDescent="0.25">
      <c r="A6283" s="95" t="s">
        <v>11818</v>
      </c>
      <c r="B6283" s="96" t="s">
        <v>4911</v>
      </c>
      <c r="C6283" s="97" t="s">
        <v>12256</v>
      </c>
      <c r="D6283" s="6">
        <v>11290.03</v>
      </c>
      <c r="E6283" s="6">
        <v>13610.93</v>
      </c>
      <c r="F6283" s="89"/>
      <c r="G6283" s="89"/>
      <c r="H6283" s="89"/>
      <c r="I6283" s="90"/>
      <c r="J6283" s="91"/>
      <c r="K6283" s="92"/>
      <c r="L6283" s="93"/>
    </row>
    <row r="6284" spans="1:12" s="103" customFormat="1" x14ac:dyDescent="0.25">
      <c r="A6284" s="95" t="s">
        <v>11819</v>
      </c>
      <c r="B6284" s="96" t="s">
        <v>4771</v>
      </c>
      <c r="C6284" s="97" t="s">
        <v>12257</v>
      </c>
      <c r="D6284" s="6">
        <v>53016.51</v>
      </c>
      <c r="E6284" s="6">
        <v>76725.259999999995</v>
      </c>
      <c r="F6284" s="98"/>
      <c r="G6284" s="98"/>
      <c r="H6284" s="98"/>
      <c r="I6284" s="99"/>
      <c r="J6284" s="100"/>
      <c r="K6284" s="101"/>
      <c r="L6284" s="102"/>
    </row>
    <row r="6285" spans="1:12" s="94" customFormat="1" x14ac:dyDescent="0.25">
      <c r="A6285" s="95" t="s">
        <v>11820</v>
      </c>
      <c r="B6285" s="96" t="s">
        <v>4771</v>
      </c>
      <c r="C6285" s="97" t="s">
        <v>12258</v>
      </c>
      <c r="D6285" s="6">
        <v>53016.51</v>
      </c>
      <c r="E6285" s="6">
        <v>76725.259999999995</v>
      </c>
      <c r="F6285" s="89"/>
      <c r="G6285" s="89"/>
      <c r="H6285" s="89"/>
      <c r="I6285" s="90"/>
      <c r="J6285" s="91"/>
      <c r="K6285" s="92"/>
      <c r="L6285" s="93"/>
    </row>
    <row r="6286" spans="1:12" s="94" customFormat="1" x14ac:dyDescent="0.25">
      <c r="A6286" s="95" t="s">
        <v>11821</v>
      </c>
      <c r="B6286" s="96" t="s">
        <v>4911</v>
      </c>
      <c r="C6286" s="97" t="s">
        <v>12258</v>
      </c>
      <c r="D6286" s="6">
        <v>11290.03</v>
      </c>
      <c r="E6286" s="6">
        <v>13610.93</v>
      </c>
      <c r="F6286" s="89"/>
      <c r="G6286" s="89"/>
      <c r="H6286" s="89"/>
      <c r="I6286" s="90"/>
      <c r="J6286" s="91"/>
      <c r="K6286" s="92"/>
      <c r="L6286" s="93"/>
    </row>
    <row r="6287" spans="1:12" s="94" customFormat="1" x14ac:dyDescent="0.25">
      <c r="A6287" s="95" t="s">
        <v>11822</v>
      </c>
      <c r="B6287" s="96" t="s">
        <v>3482</v>
      </c>
      <c r="C6287" s="97" t="s">
        <v>12190</v>
      </c>
      <c r="D6287" s="6">
        <v>1006.46</v>
      </c>
      <c r="E6287" s="6">
        <v>1031.58</v>
      </c>
      <c r="F6287" s="89"/>
      <c r="G6287" s="89"/>
      <c r="H6287" s="89"/>
      <c r="I6287" s="90"/>
      <c r="J6287" s="91"/>
      <c r="K6287" s="92"/>
      <c r="L6287" s="93"/>
    </row>
    <row r="6288" spans="1:12" s="94" customFormat="1" x14ac:dyDescent="0.25">
      <c r="A6288" s="95" t="s">
        <v>11823</v>
      </c>
      <c r="B6288" s="96" t="s">
        <v>3482</v>
      </c>
      <c r="C6288" s="97" t="s">
        <v>12193</v>
      </c>
      <c r="D6288" s="6">
        <v>1006.46</v>
      </c>
      <c r="E6288" s="6">
        <v>1031.58</v>
      </c>
      <c r="F6288" s="89"/>
      <c r="G6288" s="89"/>
      <c r="H6288" s="89"/>
      <c r="I6288" s="90"/>
      <c r="J6288" s="91"/>
      <c r="K6288" s="92"/>
      <c r="L6288" s="93"/>
    </row>
    <row r="6289" spans="1:12" s="94" customFormat="1" x14ac:dyDescent="0.25">
      <c r="A6289" s="95" t="s">
        <v>11824</v>
      </c>
      <c r="B6289" s="96" t="s">
        <v>4436</v>
      </c>
      <c r="C6289" s="97" t="s">
        <v>12259</v>
      </c>
      <c r="D6289" s="6">
        <v>1006.46</v>
      </c>
      <c r="E6289" s="6">
        <v>1031.58</v>
      </c>
      <c r="F6289" s="89"/>
      <c r="G6289" s="89"/>
      <c r="H6289" s="89"/>
      <c r="I6289" s="90"/>
      <c r="J6289" s="91"/>
      <c r="K6289" s="92"/>
      <c r="L6289" s="93"/>
    </row>
    <row r="6290" spans="1:12" s="94" customFormat="1" x14ac:dyDescent="0.25">
      <c r="A6290" s="95" t="s">
        <v>11825</v>
      </c>
      <c r="B6290" s="96" t="s">
        <v>4436</v>
      </c>
      <c r="C6290" s="97" t="s">
        <v>12260</v>
      </c>
      <c r="D6290" s="6">
        <v>1006.46</v>
      </c>
      <c r="E6290" s="6">
        <v>1031.58</v>
      </c>
      <c r="F6290" s="89"/>
      <c r="G6290" s="89"/>
      <c r="H6290" s="89"/>
      <c r="I6290" s="90"/>
      <c r="J6290" s="91"/>
      <c r="K6290" s="92"/>
      <c r="L6290" s="93"/>
    </row>
    <row r="6291" spans="1:12" s="94" customFormat="1" x14ac:dyDescent="0.25">
      <c r="A6291" s="95" t="s">
        <v>11826</v>
      </c>
      <c r="B6291" s="96" t="s">
        <v>4436</v>
      </c>
      <c r="C6291" s="97" t="s">
        <v>12261</v>
      </c>
      <c r="D6291" s="6">
        <v>1006.46</v>
      </c>
      <c r="E6291" s="6">
        <v>1031.58</v>
      </c>
      <c r="F6291" s="89"/>
      <c r="G6291" s="89"/>
      <c r="H6291" s="89"/>
      <c r="I6291" s="90"/>
      <c r="J6291" s="91"/>
      <c r="K6291" s="92"/>
      <c r="L6291" s="93"/>
    </row>
    <row r="6292" spans="1:12" s="94" customFormat="1" x14ac:dyDescent="0.25">
      <c r="A6292" s="95" t="s">
        <v>11827</v>
      </c>
      <c r="B6292" s="96" t="s">
        <v>4436</v>
      </c>
      <c r="C6292" s="97" t="s">
        <v>12262</v>
      </c>
      <c r="D6292" s="6">
        <v>1006.46</v>
      </c>
      <c r="E6292" s="6">
        <v>1031.58</v>
      </c>
      <c r="F6292" s="89"/>
      <c r="G6292" s="89"/>
      <c r="H6292" s="89"/>
      <c r="I6292" s="90"/>
      <c r="J6292" s="91"/>
      <c r="K6292" s="92"/>
      <c r="L6292" s="93"/>
    </row>
    <row r="6293" spans="1:12" s="94" customFormat="1" x14ac:dyDescent="0.25">
      <c r="A6293" s="95" t="s">
        <v>11828</v>
      </c>
      <c r="B6293" s="96" t="s">
        <v>3482</v>
      </c>
      <c r="C6293" s="97" t="s">
        <v>12262</v>
      </c>
      <c r="D6293" s="6">
        <v>1006.46</v>
      </c>
      <c r="E6293" s="6">
        <v>1031.58</v>
      </c>
      <c r="F6293" s="89"/>
      <c r="G6293" s="89"/>
      <c r="H6293" s="89"/>
      <c r="I6293" s="90"/>
      <c r="J6293" s="91"/>
      <c r="K6293" s="92"/>
      <c r="L6293" s="93"/>
    </row>
    <row r="6294" spans="1:12" s="94" customFormat="1" x14ac:dyDescent="0.25">
      <c r="A6294" s="95" t="s">
        <v>11829</v>
      </c>
      <c r="B6294" s="96" t="s">
        <v>4436</v>
      </c>
      <c r="C6294" s="97" t="s">
        <v>12263</v>
      </c>
      <c r="D6294" s="6">
        <v>1006.46</v>
      </c>
      <c r="E6294" s="6">
        <v>1031.58</v>
      </c>
      <c r="F6294" s="89"/>
      <c r="G6294" s="89"/>
      <c r="H6294" s="89"/>
      <c r="I6294" s="90"/>
      <c r="J6294" s="91"/>
      <c r="K6294" s="92"/>
      <c r="L6294" s="93"/>
    </row>
    <row r="6295" spans="1:12" s="94" customFormat="1" x14ac:dyDescent="0.25">
      <c r="A6295" s="95" t="s">
        <v>11830</v>
      </c>
      <c r="B6295" s="96" t="s">
        <v>3482</v>
      </c>
      <c r="C6295" s="97" t="s">
        <v>12263</v>
      </c>
      <c r="D6295" s="6">
        <v>1006.46</v>
      </c>
      <c r="E6295" s="6">
        <v>1031.58</v>
      </c>
      <c r="F6295" s="89"/>
      <c r="G6295" s="89"/>
      <c r="H6295" s="89"/>
      <c r="I6295" s="90"/>
      <c r="J6295" s="91"/>
      <c r="K6295" s="92"/>
      <c r="L6295" s="93"/>
    </row>
    <row r="6296" spans="1:12" s="94" customFormat="1" x14ac:dyDescent="0.25">
      <c r="A6296" s="95" t="s">
        <v>11831</v>
      </c>
      <c r="B6296" s="96" t="s">
        <v>4436</v>
      </c>
      <c r="C6296" s="97" t="s">
        <v>12264</v>
      </c>
      <c r="D6296" s="6">
        <v>1006.46</v>
      </c>
      <c r="E6296" s="6">
        <v>1031.58</v>
      </c>
      <c r="F6296" s="89"/>
      <c r="G6296" s="89"/>
      <c r="H6296" s="89"/>
      <c r="I6296" s="90"/>
      <c r="J6296" s="91"/>
      <c r="K6296" s="92"/>
      <c r="L6296" s="93"/>
    </row>
    <row r="6297" spans="1:12" s="94" customFormat="1" x14ac:dyDescent="0.25">
      <c r="A6297" s="95" t="s">
        <v>11832</v>
      </c>
      <c r="B6297" s="96" t="s">
        <v>3482</v>
      </c>
      <c r="C6297" s="97" t="s">
        <v>12264</v>
      </c>
      <c r="D6297" s="6">
        <v>1006.46</v>
      </c>
      <c r="E6297" s="6">
        <v>1031.58</v>
      </c>
      <c r="F6297" s="89"/>
      <c r="G6297" s="89"/>
      <c r="H6297" s="89"/>
      <c r="I6297" s="90"/>
      <c r="J6297" s="91"/>
      <c r="K6297" s="92"/>
      <c r="L6297" s="93"/>
    </row>
    <row r="6298" spans="1:12" s="94" customFormat="1" x14ac:dyDescent="0.25">
      <c r="A6298" s="95" t="s">
        <v>11833</v>
      </c>
      <c r="B6298" s="96" t="s">
        <v>4436</v>
      </c>
      <c r="C6298" s="97" t="s">
        <v>12265</v>
      </c>
      <c r="D6298" s="6">
        <v>1006.46</v>
      </c>
      <c r="E6298" s="6">
        <v>1031.58</v>
      </c>
      <c r="F6298" s="89"/>
      <c r="G6298" s="89"/>
      <c r="H6298" s="89"/>
      <c r="I6298" s="90"/>
      <c r="J6298" s="91"/>
      <c r="K6298" s="92"/>
      <c r="L6298" s="93"/>
    </row>
    <row r="6299" spans="1:12" s="94" customFormat="1" x14ac:dyDescent="0.25">
      <c r="A6299" s="95" t="s">
        <v>11834</v>
      </c>
      <c r="B6299" s="96" t="s">
        <v>3482</v>
      </c>
      <c r="C6299" s="97" t="s">
        <v>12265</v>
      </c>
      <c r="D6299" s="6">
        <v>1006.46</v>
      </c>
      <c r="E6299" s="6">
        <v>1031.58</v>
      </c>
      <c r="F6299" s="89"/>
      <c r="G6299" s="89"/>
      <c r="H6299" s="89"/>
      <c r="I6299" s="90"/>
      <c r="J6299" s="91"/>
      <c r="K6299" s="92"/>
      <c r="L6299" s="93"/>
    </row>
    <row r="6300" spans="1:12" s="94" customFormat="1" x14ac:dyDescent="0.25">
      <c r="A6300" s="95" t="s">
        <v>11835</v>
      </c>
      <c r="B6300" s="96" t="s">
        <v>4436</v>
      </c>
      <c r="C6300" s="97" t="s">
        <v>12266</v>
      </c>
      <c r="D6300" s="6">
        <v>1006.46</v>
      </c>
      <c r="E6300" s="6">
        <v>1031.58</v>
      </c>
      <c r="F6300" s="89"/>
      <c r="G6300" s="89"/>
      <c r="H6300" s="89"/>
      <c r="I6300" s="90"/>
      <c r="J6300" s="91"/>
      <c r="K6300" s="92"/>
      <c r="L6300" s="93"/>
    </row>
    <row r="6301" spans="1:12" s="94" customFormat="1" x14ac:dyDescent="0.25">
      <c r="A6301" s="95" t="s">
        <v>11836</v>
      </c>
      <c r="B6301" s="96" t="s">
        <v>3482</v>
      </c>
      <c r="C6301" s="97" t="s">
        <v>12266</v>
      </c>
      <c r="D6301" s="6">
        <v>1006.46</v>
      </c>
      <c r="E6301" s="6">
        <v>1031.58</v>
      </c>
      <c r="F6301" s="89"/>
      <c r="G6301" s="89"/>
      <c r="H6301" s="89"/>
      <c r="I6301" s="90"/>
      <c r="J6301" s="91"/>
      <c r="K6301" s="92"/>
      <c r="L6301" s="93"/>
    </row>
    <row r="6302" spans="1:12" s="94" customFormat="1" x14ac:dyDescent="0.25">
      <c r="A6302" s="95" t="s">
        <v>11837</v>
      </c>
      <c r="B6302" s="96" t="s">
        <v>4436</v>
      </c>
      <c r="C6302" s="97" t="s">
        <v>12267</v>
      </c>
      <c r="D6302" s="6">
        <v>1006.46</v>
      </c>
      <c r="E6302" s="6">
        <v>1031.58</v>
      </c>
      <c r="F6302" s="89"/>
      <c r="G6302" s="89"/>
      <c r="H6302" s="89"/>
      <c r="I6302" s="90"/>
      <c r="J6302" s="91"/>
      <c r="K6302" s="92"/>
      <c r="L6302" s="93"/>
    </row>
    <row r="6303" spans="1:12" s="94" customFormat="1" x14ac:dyDescent="0.25">
      <c r="A6303" s="95" t="s">
        <v>11838</v>
      </c>
      <c r="B6303" s="96" t="s">
        <v>4436</v>
      </c>
      <c r="C6303" s="97" t="s">
        <v>12268</v>
      </c>
      <c r="D6303" s="6">
        <v>1006.46</v>
      </c>
      <c r="E6303" s="6">
        <v>1031.58</v>
      </c>
      <c r="F6303" s="89"/>
      <c r="G6303" s="89"/>
      <c r="H6303" s="89"/>
      <c r="I6303" s="90"/>
      <c r="J6303" s="91"/>
      <c r="K6303" s="92"/>
      <c r="L6303" s="93"/>
    </row>
    <row r="6304" spans="1:12" s="94" customFormat="1" x14ac:dyDescent="0.25">
      <c r="A6304" s="95" t="s">
        <v>11839</v>
      </c>
      <c r="B6304" s="96" t="s">
        <v>4436</v>
      </c>
      <c r="C6304" s="97" t="s">
        <v>12269</v>
      </c>
      <c r="D6304" s="6">
        <v>1006.46</v>
      </c>
      <c r="E6304" s="6">
        <v>1031.58</v>
      </c>
      <c r="F6304" s="89"/>
      <c r="G6304" s="89"/>
      <c r="H6304" s="89"/>
      <c r="I6304" s="90"/>
      <c r="J6304" s="91"/>
      <c r="K6304" s="92"/>
      <c r="L6304" s="93"/>
    </row>
    <row r="6305" spans="1:12" s="94" customFormat="1" x14ac:dyDescent="0.25">
      <c r="A6305" s="95" t="s">
        <v>11840</v>
      </c>
      <c r="B6305" s="96" t="s">
        <v>4436</v>
      </c>
      <c r="C6305" s="97" t="s">
        <v>12270</v>
      </c>
      <c r="D6305" s="6">
        <v>1006.46</v>
      </c>
      <c r="E6305" s="6">
        <v>1031.58</v>
      </c>
      <c r="F6305" s="89"/>
      <c r="G6305" s="89"/>
      <c r="H6305" s="89"/>
      <c r="I6305" s="90"/>
      <c r="J6305" s="91"/>
      <c r="K6305" s="92"/>
      <c r="L6305" s="93"/>
    </row>
    <row r="6306" spans="1:12" s="94" customFormat="1" x14ac:dyDescent="0.25">
      <c r="A6306" s="95" t="s">
        <v>11841</v>
      </c>
      <c r="B6306" s="96" t="s">
        <v>4436</v>
      </c>
      <c r="C6306" s="97" t="s">
        <v>12271</v>
      </c>
      <c r="D6306" s="6">
        <v>1006.46</v>
      </c>
      <c r="E6306" s="6">
        <v>1031.58</v>
      </c>
      <c r="F6306" s="89"/>
      <c r="G6306" s="89"/>
      <c r="H6306" s="89"/>
      <c r="I6306" s="90"/>
      <c r="J6306" s="91"/>
      <c r="K6306" s="92"/>
      <c r="L6306" s="93"/>
    </row>
    <row r="6307" spans="1:12" s="94" customFormat="1" x14ac:dyDescent="0.25">
      <c r="A6307" s="95" t="s">
        <v>11842</v>
      </c>
      <c r="B6307" s="96" t="s">
        <v>3482</v>
      </c>
      <c r="C6307" s="97" t="s">
        <v>12271</v>
      </c>
      <c r="D6307" s="6">
        <v>1006.46</v>
      </c>
      <c r="E6307" s="6">
        <v>1031.58</v>
      </c>
      <c r="F6307" s="89"/>
      <c r="G6307" s="89"/>
      <c r="H6307" s="89"/>
      <c r="I6307" s="90"/>
      <c r="J6307" s="91"/>
      <c r="K6307" s="92"/>
      <c r="L6307" s="93"/>
    </row>
    <row r="6308" spans="1:12" s="94" customFormat="1" x14ac:dyDescent="0.25">
      <c r="A6308" s="95" t="s">
        <v>11843</v>
      </c>
      <c r="B6308" s="96" t="s">
        <v>4436</v>
      </c>
      <c r="C6308" s="97" t="s">
        <v>12272</v>
      </c>
      <c r="D6308" s="6">
        <v>1006.46</v>
      </c>
      <c r="E6308" s="6">
        <v>1031.58</v>
      </c>
      <c r="F6308" s="89"/>
      <c r="G6308" s="89"/>
      <c r="H6308" s="89"/>
      <c r="I6308" s="90"/>
      <c r="J6308" s="91"/>
      <c r="K6308" s="92"/>
      <c r="L6308" s="93"/>
    </row>
    <row r="6309" spans="1:12" s="94" customFormat="1" x14ac:dyDescent="0.25">
      <c r="A6309" s="95" t="s">
        <v>11844</v>
      </c>
      <c r="B6309" s="96" t="s">
        <v>3482</v>
      </c>
      <c r="C6309" s="97" t="s">
        <v>12272</v>
      </c>
      <c r="D6309" s="6">
        <v>1006.46</v>
      </c>
      <c r="E6309" s="6">
        <v>1031.58</v>
      </c>
      <c r="F6309" s="89"/>
      <c r="G6309" s="89"/>
      <c r="H6309" s="89"/>
      <c r="I6309" s="90"/>
      <c r="J6309" s="91"/>
      <c r="K6309" s="92"/>
      <c r="L6309" s="93"/>
    </row>
    <row r="6310" spans="1:12" s="94" customFormat="1" x14ac:dyDescent="0.25">
      <c r="A6310" s="95" t="s">
        <v>11845</v>
      </c>
      <c r="B6310" s="96" t="s">
        <v>4436</v>
      </c>
      <c r="C6310" s="97" t="s">
        <v>12273</v>
      </c>
      <c r="D6310" s="6">
        <v>1006.46</v>
      </c>
      <c r="E6310" s="6">
        <v>1031.58</v>
      </c>
      <c r="F6310" s="89"/>
      <c r="G6310" s="89"/>
      <c r="H6310" s="89"/>
      <c r="I6310" s="90"/>
      <c r="J6310" s="91"/>
      <c r="K6310" s="92"/>
      <c r="L6310" s="93"/>
    </row>
    <row r="6311" spans="1:12" s="94" customFormat="1" x14ac:dyDescent="0.25">
      <c r="A6311" s="95" t="s">
        <v>11846</v>
      </c>
      <c r="B6311" s="96" t="s">
        <v>4436</v>
      </c>
      <c r="C6311" s="97" t="s">
        <v>12274</v>
      </c>
      <c r="D6311" s="6">
        <v>1006.46</v>
      </c>
      <c r="E6311" s="6">
        <v>1031.58</v>
      </c>
      <c r="F6311" s="89"/>
      <c r="G6311" s="89"/>
      <c r="H6311" s="89"/>
      <c r="I6311" s="90"/>
      <c r="J6311" s="91"/>
      <c r="K6311" s="92"/>
      <c r="L6311" s="93"/>
    </row>
    <row r="6312" spans="1:12" s="94" customFormat="1" x14ac:dyDescent="0.25">
      <c r="A6312" s="95" t="s">
        <v>11847</v>
      </c>
      <c r="B6312" s="96" t="s">
        <v>4436</v>
      </c>
      <c r="C6312" s="97" t="s">
        <v>12275</v>
      </c>
      <c r="D6312" s="6">
        <v>1006.46</v>
      </c>
      <c r="E6312" s="6">
        <v>1031.58</v>
      </c>
      <c r="F6312" s="89"/>
      <c r="G6312" s="89"/>
      <c r="H6312" s="89"/>
      <c r="I6312" s="90"/>
      <c r="J6312" s="91"/>
      <c r="K6312" s="92"/>
      <c r="L6312" s="93"/>
    </row>
    <row r="6313" spans="1:12" s="94" customFormat="1" x14ac:dyDescent="0.25">
      <c r="A6313" s="95" t="s">
        <v>11848</v>
      </c>
      <c r="B6313" s="96" t="s">
        <v>4436</v>
      </c>
      <c r="C6313" s="97" t="s">
        <v>12276</v>
      </c>
      <c r="D6313" s="6">
        <v>1006.46</v>
      </c>
      <c r="E6313" s="6">
        <v>1031.58</v>
      </c>
      <c r="F6313" s="89"/>
      <c r="G6313" s="89"/>
      <c r="H6313" s="89"/>
      <c r="I6313" s="90"/>
      <c r="J6313" s="91"/>
      <c r="K6313" s="92"/>
      <c r="L6313" s="93"/>
    </row>
    <row r="6314" spans="1:12" s="94" customFormat="1" x14ac:dyDescent="0.25">
      <c r="A6314" s="95" t="s">
        <v>11849</v>
      </c>
      <c r="B6314" s="96" t="s">
        <v>3482</v>
      </c>
      <c r="C6314" s="97" t="s">
        <v>12277</v>
      </c>
      <c r="D6314" s="6">
        <v>1336.72</v>
      </c>
      <c r="E6314" s="6">
        <v>1613.72</v>
      </c>
      <c r="F6314" s="89"/>
      <c r="G6314" s="89"/>
      <c r="H6314" s="89"/>
      <c r="I6314" s="90"/>
      <c r="J6314" s="91"/>
      <c r="K6314" s="92"/>
      <c r="L6314" s="93"/>
    </row>
    <row r="6315" spans="1:12" s="94" customFormat="1" x14ac:dyDescent="0.25">
      <c r="A6315" s="95" t="s">
        <v>11850</v>
      </c>
      <c r="B6315" s="96" t="s">
        <v>3482</v>
      </c>
      <c r="C6315" s="97" t="s">
        <v>12278</v>
      </c>
      <c r="D6315" s="6">
        <v>1006.46</v>
      </c>
      <c r="E6315" s="6">
        <v>1031.58</v>
      </c>
      <c r="F6315" s="89"/>
      <c r="G6315" s="89"/>
      <c r="H6315" s="89"/>
      <c r="I6315" s="90"/>
      <c r="J6315" s="91"/>
      <c r="K6315" s="92"/>
      <c r="L6315" s="93"/>
    </row>
    <row r="6316" spans="1:12" s="94" customFormat="1" x14ac:dyDescent="0.25">
      <c r="A6316" s="95" t="s">
        <v>11851</v>
      </c>
      <c r="B6316" s="96" t="s">
        <v>4436</v>
      </c>
      <c r="C6316" s="97" t="s">
        <v>12279</v>
      </c>
      <c r="D6316" s="6">
        <v>1006.46</v>
      </c>
      <c r="E6316" s="6">
        <v>1031.58</v>
      </c>
      <c r="F6316" s="89"/>
      <c r="G6316" s="89"/>
      <c r="H6316" s="89"/>
      <c r="I6316" s="90"/>
      <c r="J6316" s="91"/>
      <c r="K6316" s="92"/>
      <c r="L6316" s="93"/>
    </row>
    <row r="6317" spans="1:12" s="94" customFormat="1" x14ac:dyDescent="0.25">
      <c r="A6317" s="95" t="s">
        <v>11852</v>
      </c>
      <c r="B6317" s="96" t="s">
        <v>3482</v>
      </c>
      <c r="C6317" s="97" t="s">
        <v>12279</v>
      </c>
      <c r="D6317" s="6">
        <v>1006.46</v>
      </c>
      <c r="E6317" s="6">
        <v>1031.58</v>
      </c>
      <c r="F6317" s="89"/>
      <c r="G6317" s="89"/>
      <c r="H6317" s="89"/>
      <c r="I6317" s="90"/>
      <c r="J6317" s="91"/>
      <c r="K6317" s="92"/>
      <c r="L6317" s="93"/>
    </row>
    <row r="6318" spans="1:12" s="94" customFormat="1" x14ac:dyDescent="0.25">
      <c r="A6318" s="95" t="s">
        <v>11853</v>
      </c>
      <c r="B6318" s="96" t="s">
        <v>4436</v>
      </c>
      <c r="C6318" s="97" t="s">
        <v>12280</v>
      </c>
      <c r="D6318" s="6">
        <v>1006.46</v>
      </c>
      <c r="E6318" s="6">
        <v>1031.58</v>
      </c>
      <c r="F6318" s="89"/>
      <c r="G6318" s="89"/>
      <c r="H6318" s="89"/>
      <c r="I6318" s="90"/>
      <c r="J6318" s="91"/>
      <c r="K6318" s="92"/>
      <c r="L6318" s="93"/>
    </row>
    <row r="6319" spans="1:12" s="94" customFormat="1" x14ac:dyDescent="0.25">
      <c r="A6319" s="95" t="s">
        <v>11854</v>
      </c>
      <c r="B6319" s="96" t="s">
        <v>3482</v>
      </c>
      <c r="C6319" s="97" t="s">
        <v>12280</v>
      </c>
      <c r="D6319" s="6">
        <v>1006.46</v>
      </c>
      <c r="E6319" s="6">
        <v>1031.58</v>
      </c>
      <c r="F6319" s="89"/>
      <c r="G6319" s="89"/>
      <c r="H6319" s="89"/>
      <c r="I6319" s="90"/>
      <c r="J6319" s="91"/>
      <c r="K6319" s="92"/>
      <c r="L6319" s="93"/>
    </row>
    <row r="6320" spans="1:12" s="94" customFormat="1" x14ac:dyDescent="0.25">
      <c r="A6320" s="95" t="s">
        <v>11855</v>
      </c>
      <c r="B6320" s="96" t="s">
        <v>4436</v>
      </c>
      <c r="C6320" s="97" t="s">
        <v>12281</v>
      </c>
      <c r="D6320" s="6">
        <v>1006.46</v>
      </c>
      <c r="E6320" s="6">
        <v>1031.58</v>
      </c>
      <c r="F6320" s="89"/>
      <c r="G6320" s="89"/>
      <c r="H6320" s="89"/>
      <c r="I6320" s="90"/>
      <c r="J6320" s="91"/>
      <c r="K6320" s="92"/>
      <c r="L6320" s="93"/>
    </row>
    <row r="6321" spans="1:12" s="94" customFormat="1" x14ac:dyDescent="0.25">
      <c r="A6321" s="95" t="s">
        <v>11856</v>
      </c>
      <c r="B6321" s="96" t="s">
        <v>4436</v>
      </c>
      <c r="C6321" s="97" t="s">
        <v>12282</v>
      </c>
      <c r="D6321" s="6">
        <v>1006.46</v>
      </c>
      <c r="E6321" s="6">
        <v>1031.58</v>
      </c>
      <c r="F6321" s="89"/>
      <c r="G6321" s="89"/>
      <c r="H6321" s="89"/>
      <c r="I6321" s="90"/>
      <c r="J6321" s="91"/>
      <c r="K6321" s="92"/>
      <c r="L6321" s="93"/>
    </row>
    <row r="6322" spans="1:12" s="94" customFormat="1" x14ac:dyDescent="0.25">
      <c r="A6322" s="95" t="s">
        <v>11857</v>
      </c>
      <c r="B6322" s="96" t="s">
        <v>3482</v>
      </c>
      <c r="C6322" s="97" t="s">
        <v>12282</v>
      </c>
      <c r="D6322" s="6">
        <v>1006.46</v>
      </c>
      <c r="E6322" s="6">
        <v>1031.58</v>
      </c>
      <c r="F6322" s="89"/>
      <c r="G6322" s="89"/>
      <c r="H6322" s="89"/>
      <c r="I6322" s="90"/>
      <c r="J6322" s="91"/>
      <c r="K6322" s="92"/>
      <c r="L6322" s="93"/>
    </row>
    <row r="6323" spans="1:12" s="94" customFormat="1" x14ac:dyDescent="0.25">
      <c r="A6323" s="95" t="s">
        <v>11858</v>
      </c>
      <c r="B6323" s="96" t="s">
        <v>6380</v>
      </c>
      <c r="C6323" s="97" t="s">
        <v>12283</v>
      </c>
      <c r="D6323" s="6">
        <v>11224.92</v>
      </c>
      <c r="E6323" s="6">
        <v>9346.09</v>
      </c>
      <c r="F6323" s="89"/>
      <c r="G6323" s="89"/>
      <c r="H6323" s="89"/>
      <c r="I6323" s="90"/>
      <c r="J6323" s="91"/>
      <c r="K6323" s="92"/>
      <c r="L6323" s="93"/>
    </row>
    <row r="6324" spans="1:12" s="94" customFormat="1" x14ac:dyDescent="0.25">
      <c r="A6324" s="95" t="s">
        <v>11859</v>
      </c>
      <c r="B6324" s="96" t="s">
        <v>7280</v>
      </c>
      <c r="C6324" s="97" t="s">
        <v>12284</v>
      </c>
      <c r="D6324" s="6">
        <v>5895.69</v>
      </c>
      <c r="E6324" s="6">
        <v>5815.34</v>
      </c>
      <c r="F6324" s="89"/>
      <c r="G6324" s="89"/>
      <c r="H6324" s="89"/>
      <c r="I6324" s="90"/>
      <c r="J6324" s="91"/>
      <c r="K6324" s="92"/>
      <c r="L6324" s="93"/>
    </row>
    <row r="6325" spans="1:12" s="94" customFormat="1" x14ac:dyDescent="0.25">
      <c r="A6325" s="95" t="s">
        <v>11860</v>
      </c>
      <c r="B6325" s="96" t="s">
        <v>7280</v>
      </c>
      <c r="C6325" s="97" t="s">
        <v>12285</v>
      </c>
      <c r="D6325" s="6">
        <v>5895.69</v>
      </c>
      <c r="E6325" s="6">
        <v>5815.34</v>
      </c>
      <c r="F6325" s="89"/>
      <c r="G6325" s="89"/>
      <c r="H6325" s="89"/>
      <c r="I6325" s="90"/>
      <c r="J6325" s="91"/>
      <c r="K6325" s="92"/>
      <c r="L6325" s="93"/>
    </row>
    <row r="6326" spans="1:12" s="94" customFormat="1" x14ac:dyDescent="0.25">
      <c r="A6326" s="95" t="s">
        <v>11861</v>
      </c>
      <c r="B6326" s="96" t="s">
        <v>7280</v>
      </c>
      <c r="C6326" s="97" t="s">
        <v>12286</v>
      </c>
      <c r="D6326" s="6">
        <v>5895.69</v>
      </c>
      <c r="E6326" s="6">
        <v>5815.34</v>
      </c>
      <c r="F6326" s="89"/>
      <c r="G6326" s="89"/>
      <c r="H6326" s="89"/>
      <c r="I6326" s="90"/>
      <c r="J6326" s="91"/>
      <c r="K6326" s="92"/>
      <c r="L6326" s="93"/>
    </row>
    <row r="6327" spans="1:12" s="94" customFormat="1" x14ac:dyDescent="0.25">
      <c r="A6327" s="95" t="s">
        <v>11862</v>
      </c>
      <c r="B6327" s="96" t="s">
        <v>7280</v>
      </c>
      <c r="C6327" s="97" t="s">
        <v>12287</v>
      </c>
      <c r="D6327" s="6">
        <v>5895.69</v>
      </c>
      <c r="E6327" s="6">
        <v>5815.34</v>
      </c>
      <c r="F6327" s="89"/>
      <c r="G6327" s="89"/>
      <c r="H6327" s="89"/>
      <c r="I6327" s="90"/>
      <c r="J6327" s="91"/>
      <c r="K6327" s="92"/>
      <c r="L6327" s="93"/>
    </row>
    <row r="6328" spans="1:12" s="94" customFormat="1" x14ac:dyDescent="0.25">
      <c r="A6328" s="95" t="s">
        <v>11863</v>
      </c>
      <c r="B6328" s="96" t="s">
        <v>7280</v>
      </c>
      <c r="C6328" s="97" t="s">
        <v>12288</v>
      </c>
      <c r="D6328" s="6">
        <v>5895.69</v>
      </c>
      <c r="E6328" s="6">
        <v>5815.34</v>
      </c>
      <c r="F6328" s="89"/>
      <c r="G6328" s="89"/>
      <c r="H6328" s="89"/>
      <c r="I6328" s="90"/>
      <c r="J6328" s="91"/>
      <c r="K6328" s="92"/>
      <c r="L6328" s="93"/>
    </row>
    <row r="6329" spans="1:12" s="94" customFormat="1" x14ac:dyDescent="0.25">
      <c r="A6329" s="95" t="s">
        <v>11864</v>
      </c>
      <c r="B6329" s="96" t="s">
        <v>7280</v>
      </c>
      <c r="C6329" s="97" t="s">
        <v>12289</v>
      </c>
      <c r="D6329" s="6">
        <v>5895.69</v>
      </c>
      <c r="E6329" s="6">
        <v>5815.34</v>
      </c>
      <c r="F6329" s="89"/>
      <c r="G6329" s="89"/>
      <c r="H6329" s="89"/>
      <c r="I6329" s="90"/>
      <c r="J6329" s="91"/>
      <c r="K6329" s="92"/>
      <c r="L6329" s="93"/>
    </row>
    <row r="6330" spans="1:12" s="94" customFormat="1" x14ac:dyDescent="0.25">
      <c r="A6330" s="95" t="s">
        <v>11865</v>
      </c>
      <c r="B6330" s="96" t="s">
        <v>7280</v>
      </c>
      <c r="C6330" s="97" t="s">
        <v>12290</v>
      </c>
      <c r="D6330" s="6">
        <v>5895.69</v>
      </c>
      <c r="E6330" s="6">
        <v>5815.34</v>
      </c>
      <c r="F6330" s="89"/>
      <c r="G6330" s="89"/>
      <c r="H6330" s="89"/>
      <c r="I6330" s="90"/>
      <c r="J6330" s="91"/>
      <c r="K6330" s="92"/>
      <c r="L6330" s="93"/>
    </row>
    <row r="6331" spans="1:12" s="94" customFormat="1" x14ac:dyDescent="0.25">
      <c r="A6331" s="95" t="s">
        <v>11866</v>
      </c>
      <c r="B6331" s="96" t="s">
        <v>7280</v>
      </c>
      <c r="C6331" s="97" t="s">
        <v>12291</v>
      </c>
      <c r="D6331" s="6">
        <v>5895.69</v>
      </c>
      <c r="E6331" s="6">
        <v>5815.34</v>
      </c>
      <c r="F6331" s="89"/>
      <c r="G6331" s="89"/>
      <c r="H6331" s="89"/>
      <c r="I6331" s="90"/>
      <c r="J6331" s="91"/>
      <c r="K6331" s="92"/>
      <c r="L6331" s="93"/>
    </row>
    <row r="6332" spans="1:12" s="94" customFormat="1" x14ac:dyDescent="0.25">
      <c r="A6332" s="95" t="s">
        <v>11867</v>
      </c>
      <c r="B6332" s="96" t="s">
        <v>7280</v>
      </c>
      <c r="C6332" s="97" t="s">
        <v>12292</v>
      </c>
      <c r="D6332" s="6">
        <v>5895.69</v>
      </c>
      <c r="E6332" s="6">
        <v>5815.34</v>
      </c>
      <c r="F6332" s="89"/>
      <c r="G6332" s="89"/>
      <c r="H6332" s="89"/>
      <c r="I6332" s="90"/>
      <c r="J6332" s="91"/>
      <c r="K6332" s="92"/>
      <c r="L6332" s="93"/>
    </row>
    <row r="6333" spans="1:12" s="94" customFormat="1" x14ac:dyDescent="0.25">
      <c r="A6333" s="95" t="s">
        <v>11868</v>
      </c>
      <c r="B6333" s="96" t="s">
        <v>7280</v>
      </c>
      <c r="C6333" s="97" t="s">
        <v>12293</v>
      </c>
      <c r="D6333" s="6">
        <v>5895.69</v>
      </c>
      <c r="E6333" s="6">
        <v>5815.34</v>
      </c>
      <c r="F6333" s="89"/>
      <c r="G6333" s="89"/>
      <c r="H6333" s="89"/>
      <c r="I6333" s="90"/>
      <c r="J6333" s="91"/>
      <c r="K6333" s="92"/>
      <c r="L6333" s="93"/>
    </row>
    <row r="6334" spans="1:12" s="94" customFormat="1" x14ac:dyDescent="0.25">
      <c r="A6334" s="95" t="s">
        <v>11869</v>
      </c>
      <c r="B6334" s="96" t="s">
        <v>7280</v>
      </c>
      <c r="C6334" s="97" t="s">
        <v>12294</v>
      </c>
      <c r="D6334" s="6">
        <v>5895.69</v>
      </c>
      <c r="E6334" s="6">
        <v>5815.34</v>
      </c>
      <c r="F6334" s="89"/>
      <c r="G6334" s="89"/>
      <c r="H6334" s="89"/>
      <c r="I6334" s="90"/>
      <c r="J6334" s="91"/>
      <c r="K6334" s="92"/>
      <c r="L6334" s="93"/>
    </row>
    <row r="6335" spans="1:12" s="94" customFormat="1" x14ac:dyDescent="0.25">
      <c r="A6335" s="95" t="s">
        <v>11870</v>
      </c>
      <c r="B6335" s="96" t="s">
        <v>7280</v>
      </c>
      <c r="C6335" s="97" t="s">
        <v>12295</v>
      </c>
      <c r="D6335" s="6">
        <v>5895.69</v>
      </c>
      <c r="E6335" s="6">
        <v>5815.34</v>
      </c>
      <c r="F6335" s="89"/>
      <c r="G6335" s="89"/>
      <c r="H6335" s="89"/>
      <c r="I6335" s="90"/>
      <c r="J6335" s="91"/>
      <c r="K6335" s="92"/>
      <c r="L6335" s="93"/>
    </row>
    <row r="6336" spans="1:12" s="94" customFormat="1" x14ac:dyDescent="0.25">
      <c r="A6336" s="95" t="s">
        <v>11871</v>
      </c>
      <c r="B6336" s="96" t="s">
        <v>7280</v>
      </c>
      <c r="C6336" s="97" t="s">
        <v>12296</v>
      </c>
      <c r="D6336" s="6">
        <v>5895.69</v>
      </c>
      <c r="E6336" s="6">
        <v>5815.34</v>
      </c>
      <c r="F6336" s="89"/>
      <c r="G6336" s="89"/>
      <c r="H6336" s="89"/>
      <c r="I6336" s="90"/>
      <c r="J6336" s="91"/>
      <c r="K6336" s="92"/>
      <c r="L6336" s="93"/>
    </row>
    <row r="6337" spans="1:12" s="94" customFormat="1" x14ac:dyDescent="0.25">
      <c r="A6337" s="95" t="s">
        <v>11872</v>
      </c>
      <c r="B6337" s="96" t="s">
        <v>7280</v>
      </c>
      <c r="C6337" s="97" t="s">
        <v>12297</v>
      </c>
      <c r="D6337" s="6">
        <v>5895.69</v>
      </c>
      <c r="E6337" s="6">
        <v>5815.34</v>
      </c>
      <c r="F6337" s="89"/>
      <c r="G6337" s="89"/>
      <c r="H6337" s="89"/>
      <c r="I6337" s="90"/>
      <c r="J6337" s="91"/>
      <c r="K6337" s="92"/>
      <c r="L6337" s="93"/>
    </row>
    <row r="6338" spans="1:12" s="94" customFormat="1" x14ac:dyDescent="0.25">
      <c r="A6338" s="95" t="s">
        <v>11873</v>
      </c>
      <c r="B6338" s="96" t="s">
        <v>7280</v>
      </c>
      <c r="C6338" s="97" t="s">
        <v>12298</v>
      </c>
      <c r="D6338" s="6">
        <v>5895.69</v>
      </c>
      <c r="E6338" s="6">
        <v>5815.34</v>
      </c>
      <c r="F6338" s="89"/>
      <c r="G6338" s="89"/>
      <c r="H6338" s="89"/>
      <c r="I6338" s="90"/>
      <c r="J6338" s="91"/>
      <c r="K6338" s="92"/>
      <c r="L6338" s="93"/>
    </row>
    <row r="6339" spans="1:12" s="94" customFormat="1" x14ac:dyDescent="0.25">
      <c r="A6339" s="95" t="s">
        <v>11874</v>
      </c>
      <c r="B6339" s="96" t="s">
        <v>7280</v>
      </c>
      <c r="C6339" s="97" t="s">
        <v>12299</v>
      </c>
      <c r="D6339" s="6">
        <v>5895.69</v>
      </c>
      <c r="E6339" s="6">
        <v>5815.34</v>
      </c>
      <c r="F6339" s="89"/>
      <c r="G6339" s="89"/>
      <c r="H6339" s="89"/>
      <c r="I6339" s="90"/>
      <c r="J6339" s="91"/>
      <c r="K6339" s="92"/>
      <c r="L6339" s="93"/>
    </row>
    <row r="6340" spans="1:12" s="94" customFormat="1" x14ac:dyDescent="0.25">
      <c r="A6340" s="95" t="s">
        <v>11875</v>
      </c>
      <c r="B6340" s="96" t="s">
        <v>7280</v>
      </c>
      <c r="C6340" s="97" t="s">
        <v>12300</v>
      </c>
      <c r="D6340" s="6">
        <v>5895.69</v>
      </c>
      <c r="E6340" s="6">
        <v>5815.34</v>
      </c>
      <c r="F6340" s="89"/>
      <c r="G6340" s="89"/>
      <c r="H6340" s="89"/>
      <c r="I6340" s="90"/>
      <c r="J6340" s="91"/>
      <c r="K6340" s="92"/>
      <c r="L6340" s="93"/>
    </row>
    <row r="6341" spans="1:12" s="94" customFormat="1" x14ac:dyDescent="0.25">
      <c r="A6341" s="95" t="s">
        <v>11876</v>
      </c>
      <c r="B6341" s="96" t="s">
        <v>7280</v>
      </c>
      <c r="C6341" s="97" t="s">
        <v>12301</v>
      </c>
      <c r="D6341" s="6">
        <v>5895.69</v>
      </c>
      <c r="E6341" s="6">
        <v>5815.34</v>
      </c>
      <c r="F6341" s="89"/>
      <c r="G6341" s="89"/>
      <c r="H6341" s="89"/>
      <c r="I6341" s="90"/>
      <c r="J6341" s="91"/>
      <c r="K6341" s="92"/>
      <c r="L6341" s="93"/>
    </row>
    <row r="6342" spans="1:12" s="94" customFormat="1" x14ac:dyDescent="0.25">
      <c r="A6342" s="95" t="s">
        <v>11877</v>
      </c>
      <c r="B6342" s="96" t="s">
        <v>7280</v>
      </c>
      <c r="C6342" s="97" t="s">
        <v>12302</v>
      </c>
      <c r="D6342" s="6">
        <v>5895.69</v>
      </c>
      <c r="E6342" s="6">
        <v>5815.34</v>
      </c>
      <c r="F6342" s="89"/>
      <c r="G6342" s="89"/>
      <c r="H6342" s="89"/>
      <c r="I6342" s="90"/>
      <c r="J6342" s="91"/>
      <c r="K6342" s="92"/>
      <c r="L6342" s="93"/>
    </row>
    <row r="6343" spans="1:12" s="94" customFormat="1" x14ac:dyDescent="0.25">
      <c r="A6343" s="95" t="s">
        <v>11878</v>
      </c>
      <c r="B6343" s="96" t="s">
        <v>7280</v>
      </c>
      <c r="C6343" s="97" t="s">
        <v>12303</v>
      </c>
      <c r="D6343" s="6">
        <v>5895.69</v>
      </c>
      <c r="E6343" s="6">
        <v>5815.34</v>
      </c>
      <c r="F6343" s="89"/>
      <c r="G6343" s="89"/>
      <c r="H6343" s="89"/>
      <c r="I6343" s="90"/>
      <c r="J6343" s="91"/>
      <c r="K6343" s="92"/>
      <c r="L6343" s="93"/>
    </row>
    <row r="6344" spans="1:12" s="94" customFormat="1" x14ac:dyDescent="0.25">
      <c r="A6344" s="95" t="s">
        <v>11879</v>
      </c>
      <c r="B6344" s="96" t="s">
        <v>7280</v>
      </c>
      <c r="C6344" s="97" t="s">
        <v>12304</v>
      </c>
      <c r="D6344" s="6">
        <v>5895.69</v>
      </c>
      <c r="E6344" s="6">
        <v>5815.34</v>
      </c>
      <c r="F6344" s="89"/>
      <c r="G6344" s="89"/>
      <c r="H6344" s="89"/>
      <c r="I6344" s="90"/>
      <c r="J6344" s="91"/>
      <c r="K6344" s="92"/>
      <c r="L6344" s="93"/>
    </row>
    <row r="6345" spans="1:12" s="94" customFormat="1" x14ac:dyDescent="0.25">
      <c r="A6345" s="95" t="s">
        <v>11880</v>
      </c>
      <c r="B6345" s="96" t="s">
        <v>6594</v>
      </c>
      <c r="C6345" s="97" t="s">
        <v>12305</v>
      </c>
      <c r="D6345" s="6">
        <v>9716.51</v>
      </c>
      <c r="E6345" s="6">
        <v>9529.25</v>
      </c>
      <c r="F6345" s="89"/>
      <c r="G6345" s="89"/>
      <c r="H6345" s="89"/>
      <c r="I6345" s="90"/>
      <c r="J6345" s="91"/>
      <c r="K6345" s="92"/>
      <c r="L6345" s="93"/>
    </row>
    <row r="6346" spans="1:12" s="94" customFormat="1" x14ac:dyDescent="0.25">
      <c r="A6346" s="95" t="s">
        <v>11881</v>
      </c>
      <c r="B6346" s="96" t="s">
        <v>8697</v>
      </c>
      <c r="C6346" s="97" t="s">
        <v>12306</v>
      </c>
      <c r="D6346" s="6">
        <v>1929.32</v>
      </c>
      <c r="E6346" s="6">
        <v>1033</v>
      </c>
      <c r="F6346" s="89"/>
      <c r="G6346" s="89"/>
      <c r="H6346" s="89"/>
      <c r="I6346" s="90"/>
      <c r="J6346" s="91"/>
      <c r="K6346" s="92"/>
      <c r="L6346" s="93"/>
    </row>
    <row r="6347" spans="1:12" x14ac:dyDescent="0.25">
      <c r="A6347" s="95" t="s">
        <v>11882</v>
      </c>
      <c r="B6347" s="96" t="s">
        <v>5215</v>
      </c>
      <c r="C6347" s="97" t="s">
        <v>12307</v>
      </c>
      <c r="D6347" s="6">
        <v>1568.73</v>
      </c>
      <c r="E6347" s="6">
        <v>1689.55</v>
      </c>
    </row>
    <row r="6348" spans="1:12" x14ac:dyDescent="0.25">
      <c r="A6348" s="95" t="s">
        <v>11883</v>
      </c>
      <c r="B6348" s="96" t="s">
        <v>5215</v>
      </c>
      <c r="C6348" s="97" t="s">
        <v>12308</v>
      </c>
      <c r="D6348" s="6">
        <v>1568.73</v>
      </c>
      <c r="E6348" s="6">
        <v>1689.55</v>
      </c>
    </row>
    <row r="6349" spans="1:12" x14ac:dyDescent="0.25">
      <c r="A6349" s="95" t="s">
        <v>11884</v>
      </c>
      <c r="B6349" s="96" t="s">
        <v>5215</v>
      </c>
      <c r="C6349" s="97" t="s">
        <v>12309</v>
      </c>
      <c r="D6349" s="6">
        <v>1568.73</v>
      </c>
      <c r="E6349" s="6">
        <v>1689.55</v>
      </c>
    </row>
    <row r="6350" spans="1:12" x14ac:dyDescent="0.25">
      <c r="A6350" s="95" t="s">
        <v>11885</v>
      </c>
      <c r="B6350" s="96" t="s">
        <v>5215</v>
      </c>
      <c r="C6350" s="97" t="s">
        <v>12310</v>
      </c>
      <c r="D6350" s="6">
        <v>1008.29</v>
      </c>
      <c r="E6350" s="6">
        <v>1051.74</v>
      </c>
    </row>
    <row r="6351" spans="1:12" x14ac:dyDescent="0.25">
      <c r="A6351" s="95" t="s">
        <v>11886</v>
      </c>
      <c r="B6351" s="96" t="s">
        <v>5215</v>
      </c>
      <c r="C6351" s="97" t="s">
        <v>12311</v>
      </c>
      <c r="D6351" s="6">
        <v>1008.29</v>
      </c>
      <c r="E6351" s="6">
        <v>1051.74</v>
      </c>
    </row>
    <row r="6352" spans="1:12" x14ac:dyDescent="0.25">
      <c r="A6352" s="95" t="s">
        <v>11887</v>
      </c>
      <c r="B6352" s="96" t="s">
        <v>5215</v>
      </c>
      <c r="C6352" s="97" t="s">
        <v>12312</v>
      </c>
      <c r="D6352" s="6">
        <v>1402.9</v>
      </c>
      <c r="E6352" s="6">
        <v>1418.93</v>
      </c>
    </row>
    <row r="6353" spans="1:12" s="94" customFormat="1" x14ac:dyDescent="0.25">
      <c r="A6353" s="95" t="s">
        <v>11888</v>
      </c>
      <c r="B6353" s="96" t="s">
        <v>5215</v>
      </c>
      <c r="C6353" s="97" t="s">
        <v>12313</v>
      </c>
      <c r="D6353" s="6">
        <v>1402.9</v>
      </c>
      <c r="E6353" s="6">
        <v>1418.93</v>
      </c>
      <c r="F6353" s="89"/>
      <c r="G6353" s="89"/>
      <c r="H6353" s="89"/>
      <c r="I6353" s="90"/>
      <c r="J6353" s="91"/>
      <c r="K6353" s="92"/>
      <c r="L6353" s="93"/>
    </row>
    <row r="6354" spans="1:12" s="94" customFormat="1" x14ac:dyDescent="0.25">
      <c r="A6354" s="95" t="s">
        <v>11889</v>
      </c>
      <c r="B6354" s="96" t="s">
        <v>5215</v>
      </c>
      <c r="C6354" s="97" t="s">
        <v>12314</v>
      </c>
      <c r="D6354" s="6">
        <v>1402.9</v>
      </c>
      <c r="E6354" s="6">
        <v>1418.93</v>
      </c>
      <c r="F6354" s="89"/>
      <c r="G6354" s="89"/>
      <c r="H6354" s="89"/>
      <c r="I6354" s="90"/>
      <c r="J6354" s="91"/>
      <c r="K6354" s="92"/>
      <c r="L6354" s="93"/>
    </row>
    <row r="6355" spans="1:12" s="94" customFormat="1" x14ac:dyDescent="0.25">
      <c r="A6355" s="95" t="s">
        <v>11890</v>
      </c>
      <c r="B6355" s="96" t="s">
        <v>5215</v>
      </c>
      <c r="C6355" s="97" t="s">
        <v>12315</v>
      </c>
      <c r="D6355" s="6">
        <v>1402.9</v>
      </c>
      <c r="E6355" s="6">
        <v>1418.93</v>
      </c>
      <c r="F6355" s="89"/>
      <c r="G6355" s="89"/>
      <c r="H6355" s="89"/>
      <c r="I6355" s="90"/>
      <c r="J6355" s="91"/>
      <c r="K6355" s="92"/>
      <c r="L6355" s="93"/>
    </row>
    <row r="6356" spans="1:12" s="94" customFormat="1" x14ac:dyDescent="0.25">
      <c r="A6356" s="95" t="s">
        <v>11891</v>
      </c>
      <c r="B6356" s="96" t="s">
        <v>5215</v>
      </c>
      <c r="C6356" s="97" t="s">
        <v>12316</v>
      </c>
      <c r="D6356" s="6">
        <v>1402.9</v>
      </c>
      <c r="E6356" s="6">
        <v>1418.93</v>
      </c>
      <c r="F6356" s="89"/>
      <c r="G6356" s="89"/>
      <c r="H6356" s="89"/>
      <c r="I6356" s="90"/>
      <c r="J6356" s="91"/>
      <c r="K6356" s="92"/>
      <c r="L6356" s="93"/>
    </row>
    <row r="6357" spans="1:12" s="94" customFormat="1" x14ac:dyDescent="0.25">
      <c r="A6357" s="95" t="s">
        <v>11892</v>
      </c>
      <c r="B6357" s="96" t="s">
        <v>5215</v>
      </c>
      <c r="C6357" s="97" t="s">
        <v>12317</v>
      </c>
      <c r="D6357" s="6">
        <v>1402.9</v>
      </c>
      <c r="E6357" s="6">
        <v>1418.93</v>
      </c>
      <c r="F6357" s="89"/>
      <c r="G6357" s="89"/>
      <c r="H6357" s="89"/>
      <c r="I6357" s="90"/>
      <c r="J6357" s="91"/>
      <c r="K6357" s="92"/>
      <c r="L6357" s="93"/>
    </row>
    <row r="6358" spans="1:12" s="94" customFormat="1" x14ac:dyDescent="0.25">
      <c r="A6358" s="95" t="s">
        <v>11893</v>
      </c>
      <c r="B6358" s="96" t="s">
        <v>5215</v>
      </c>
      <c r="C6358" s="97" t="s">
        <v>12318</v>
      </c>
      <c r="D6358" s="6">
        <v>1402.9</v>
      </c>
      <c r="E6358" s="6">
        <v>1418.93</v>
      </c>
      <c r="F6358" s="89"/>
      <c r="G6358" s="89"/>
      <c r="H6358" s="89"/>
      <c r="I6358" s="90"/>
      <c r="J6358" s="91"/>
      <c r="K6358" s="92"/>
      <c r="L6358" s="93"/>
    </row>
    <row r="6359" spans="1:12" s="94" customFormat="1" x14ac:dyDescent="0.25">
      <c r="A6359" s="95" t="s">
        <v>11894</v>
      </c>
      <c r="B6359" s="96" t="s">
        <v>5215</v>
      </c>
      <c r="C6359" s="97" t="s">
        <v>12319</v>
      </c>
      <c r="D6359" s="6">
        <v>1402.9</v>
      </c>
      <c r="E6359" s="6">
        <v>1418.93</v>
      </c>
      <c r="F6359" s="89"/>
      <c r="G6359" s="89"/>
      <c r="H6359" s="89"/>
      <c r="I6359" s="90"/>
      <c r="J6359" s="91"/>
      <c r="K6359" s="92"/>
      <c r="L6359" s="93"/>
    </row>
    <row r="6360" spans="1:12" s="94" customFormat="1" x14ac:dyDescent="0.25">
      <c r="A6360" s="95" t="s">
        <v>11895</v>
      </c>
      <c r="B6360" s="96" t="s">
        <v>5215</v>
      </c>
      <c r="C6360" s="97" t="s">
        <v>12320</v>
      </c>
      <c r="D6360" s="6">
        <v>1402.9</v>
      </c>
      <c r="E6360" s="6">
        <v>1418.93</v>
      </c>
      <c r="F6360" s="89"/>
      <c r="G6360" s="89"/>
      <c r="H6360" s="89"/>
      <c r="I6360" s="90"/>
      <c r="J6360" s="91"/>
      <c r="K6360" s="92"/>
      <c r="L6360" s="93"/>
    </row>
    <row r="6361" spans="1:12" s="94" customFormat="1" x14ac:dyDescent="0.25">
      <c r="A6361" s="95" t="s">
        <v>11896</v>
      </c>
      <c r="B6361" s="96" t="s">
        <v>5215</v>
      </c>
      <c r="C6361" s="97" t="s">
        <v>12321</v>
      </c>
      <c r="D6361" s="6">
        <v>1402.9</v>
      </c>
      <c r="E6361" s="6">
        <v>1418.93</v>
      </c>
      <c r="F6361" s="89"/>
      <c r="G6361" s="89"/>
      <c r="H6361" s="89"/>
      <c r="I6361" s="90"/>
      <c r="J6361" s="91"/>
      <c r="K6361" s="92"/>
      <c r="L6361" s="93"/>
    </row>
    <row r="6362" spans="1:12" s="94" customFormat="1" x14ac:dyDescent="0.25">
      <c r="A6362" s="95" t="s">
        <v>11897</v>
      </c>
      <c r="B6362" s="96" t="s">
        <v>5215</v>
      </c>
      <c r="C6362" s="97" t="s">
        <v>12322</v>
      </c>
      <c r="D6362" s="6">
        <v>1402.9</v>
      </c>
      <c r="E6362" s="6">
        <v>1418.93</v>
      </c>
      <c r="F6362" s="89"/>
      <c r="G6362" s="89"/>
      <c r="H6362" s="89"/>
      <c r="I6362" s="90"/>
      <c r="J6362" s="91"/>
      <c r="K6362" s="92"/>
      <c r="L6362" s="93"/>
    </row>
    <row r="6363" spans="1:12" s="94" customFormat="1" x14ac:dyDescent="0.25">
      <c r="A6363" s="95" t="s">
        <v>11898</v>
      </c>
      <c r="B6363" s="96" t="s">
        <v>5215</v>
      </c>
      <c r="C6363" s="97" t="s">
        <v>12323</v>
      </c>
      <c r="D6363" s="6">
        <v>1402.9</v>
      </c>
      <c r="E6363" s="6">
        <v>1418.93</v>
      </c>
      <c r="F6363" s="89"/>
      <c r="G6363" s="89"/>
      <c r="H6363" s="89"/>
      <c r="I6363" s="90"/>
      <c r="J6363" s="91"/>
      <c r="K6363" s="92"/>
      <c r="L6363" s="93"/>
    </row>
    <row r="6364" spans="1:12" s="94" customFormat="1" x14ac:dyDescent="0.25">
      <c r="A6364" s="95" t="s">
        <v>11899</v>
      </c>
      <c r="B6364" s="96" t="s">
        <v>5215</v>
      </c>
      <c r="C6364" s="97" t="s">
        <v>12324</v>
      </c>
      <c r="D6364" s="6">
        <v>363.85</v>
      </c>
      <c r="E6364" s="6">
        <v>331.13</v>
      </c>
      <c r="F6364" s="89"/>
      <c r="G6364" s="89"/>
      <c r="H6364" s="89"/>
      <c r="I6364" s="90"/>
      <c r="J6364" s="91"/>
      <c r="K6364" s="92"/>
      <c r="L6364" s="93"/>
    </row>
    <row r="6365" spans="1:12" s="94" customFormat="1" x14ac:dyDescent="0.25">
      <c r="A6365" s="95" t="s">
        <v>11900</v>
      </c>
      <c r="B6365" s="96" t="s">
        <v>5215</v>
      </c>
      <c r="C6365" s="97" t="s">
        <v>12325</v>
      </c>
      <c r="D6365" s="6">
        <v>363.85</v>
      </c>
      <c r="E6365" s="6">
        <v>331.13</v>
      </c>
      <c r="F6365" s="89"/>
      <c r="G6365" s="89"/>
      <c r="H6365" s="89"/>
      <c r="I6365" s="90"/>
      <c r="J6365" s="91"/>
      <c r="K6365" s="92"/>
      <c r="L6365" s="93"/>
    </row>
    <row r="6366" spans="1:12" s="94" customFormat="1" x14ac:dyDescent="0.25">
      <c r="A6366" s="95" t="s">
        <v>11901</v>
      </c>
      <c r="B6366" s="96" t="s">
        <v>5215</v>
      </c>
      <c r="C6366" s="97" t="s">
        <v>12326</v>
      </c>
      <c r="D6366" s="6">
        <v>1402.9</v>
      </c>
      <c r="E6366" s="6">
        <v>1418.93</v>
      </c>
      <c r="F6366" s="89"/>
      <c r="G6366" s="89"/>
      <c r="H6366" s="89"/>
      <c r="I6366" s="90"/>
      <c r="J6366" s="91"/>
      <c r="K6366" s="92"/>
      <c r="L6366" s="93"/>
    </row>
    <row r="6367" spans="1:12" s="94" customFormat="1" x14ac:dyDescent="0.25">
      <c r="A6367" s="95" t="s">
        <v>11902</v>
      </c>
      <c r="B6367" s="96" t="s">
        <v>5215</v>
      </c>
      <c r="C6367" s="97" t="s">
        <v>12327</v>
      </c>
      <c r="D6367" s="6">
        <v>1402.9</v>
      </c>
      <c r="E6367" s="6">
        <v>1418.93</v>
      </c>
      <c r="F6367" s="89"/>
      <c r="G6367" s="89"/>
      <c r="H6367" s="89"/>
      <c r="I6367" s="90"/>
      <c r="J6367" s="91"/>
      <c r="K6367" s="92"/>
      <c r="L6367" s="93"/>
    </row>
    <row r="6368" spans="1:12" s="94" customFormat="1" x14ac:dyDescent="0.25">
      <c r="A6368" s="95" t="s">
        <v>11903</v>
      </c>
      <c r="B6368" s="96" t="s">
        <v>5215</v>
      </c>
      <c r="C6368" s="97" t="s">
        <v>12328</v>
      </c>
      <c r="D6368" s="6">
        <v>1402.9</v>
      </c>
      <c r="E6368" s="6">
        <v>1418.93</v>
      </c>
      <c r="F6368" s="89"/>
      <c r="G6368" s="89"/>
      <c r="H6368" s="89"/>
      <c r="I6368" s="90"/>
      <c r="J6368" s="91"/>
      <c r="K6368" s="92"/>
      <c r="L6368" s="93"/>
    </row>
    <row r="6369" spans="1:12" s="94" customFormat="1" x14ac:dyDescent="0.25">
      <c r="A6369" s="95" t="s">
        <v>11904</v>
      </c>
      <c r="B6369" s="96" t="s">
        <v>5215</v>
      </c>
      <c r="C6369" s="97" t="s">
        <v>12329</v>
      </c>
      <c r="D6369" s="6">
        <v>1402.9</v>
      </c>
      <c r="E6369" s="6">
        <v>1418.93</v>
      </c>
      <c r="F6369" s="89"/>
      <c r="G6369" s="89"/>
      <c r="H6369" s="89"/>
      <c r="I6369" s="90"/>
      <c r="J6369" s="91"/>
      <c r="K6369" s="92"/>
      <c r="L6369" s="93"/>
    </row>
    <row r="6370" spans="1:12" s="94" customFormat="1" x14ac:dyDescent="0.25">
      <c r="A6370" s="95" t="s">
        <v>11905</v>
      </c>
      <c r="B6370" s="96" t="s">
        <v>5215</v>
      </c>
      <c r="C6370" s="97" t="s">
        <v>12330</v>
      </c>
      <c r="D6370" s="6">
        <v>1402.9</v>
      </c>
      <c r="E6370" s="6">
        <v>1418.93</v>
      </c>
      <c r="F6370" s="89"/>
      <c r="G6370" s="89"/>
      <c r="H6370" s="89"/>
      <c r="I6370" s="90"/>
      <c r="J6370" s="91"/>
      <c r="K6370" s="92"/>
      <c r="L6370" s="93"/>
    </row>
    <row r="6371" spans="1:12" x14ac:dyDescent="0.25">
      <c r="A6371" s="95" t="s">
        <v>11906</v>
      </c>
      <c r="B6371" s="96" t="s">
        <v>5215</v>
      </c>
      <c r="C6371" s="97" t="s">
        <v>12331</v>
      </c>
      <c r="D6371" s="6">
        <v>1008.29</v>
      </c>
      <c r="E6371" s="6">
        <v>1051.74</v>
      </c>
    </row>
    <row r="6372" spans="1:12" s="103" customFormat="1" x14ac:dyDescent="0.25">
      <c r="A6372" s="95" t="s">
        <v>11907</v>
      </c>
      <c r="B6372" s="96" t="s">
        <v>5215</v>
      </c>
      <c r="C6372" s="97" t="s">
        <v>12332</v>
      </c>
      <c r="D6372" s="6">
        <v>1568.73</v>
      </c>
      <c r="E6372" s="6">
        <v>1689.55</v>
      </c>
      <c r="F6372" s="64"/>
      <c r="G6372" s="98"/>
      <c r="H6372" s="98"/>
      <c r="I6372" s="99"/>
      <c r="J6372" s="100"/>
      <c r="K6372" s="101"/>
      <c r="L6372" s="102"/>
    </row>
    <row r="6373" spans="1:12" s="94" customFormat="1" x14ac:dyDescent="0.25">
      <c r="A6373" s="95" t="s">
        <v>11908</v>
      </c>
      <c r="B6373" s="96" t="s">
        <v>5215</v>
      </c>
      <c r="C6373" s="97" t="s">
        <v>12333</v>
      </c>
      <c r="D6373" s="6">
        <v>1402.9</v>
      </c>
      <c r="E6373" s="6">
        <v>1418.93</v>
      </c>
      <c r="F6373" s="89"/>
      <c r="G6373" s="89"/>
      <c r="H6373" s="89"/>
      <c r="I6373" s="90"/>
      <c r="J6373" s="91"/>
      <c r="K6373" s="92"/>
      <c r="L6373" s="93"/>
    </row>
    <row r="6374" spans="1:12" s="94" customFormat="1" x14ac:dyDescent="0.25">
      <c r="A6374" s="95" t="s">
        <v>11909</v>
      </c>
      <c r="B6374" s="96" t="s">
        <v>5215</v>
      </c>
      <c r="C6374" s="97" t="s">
        <v>12334</v>
      </c>
      <c r="D6374" s="6">
        <v>1402.9</v>
      </c>
      <c r="E6374" s="6">
        <v>1418.93</v>
      </c>
      <c r="F6374" s="89"/>
      <c r="G6374" s="89"/>
      <c r="H6374" s="89"/>
      <c r="I6374" s="90"/>
      <c r="J6374" s="91"/>
      <c r="K6374" s="92"/>
      <c r="L6374" s="93"/>
    </row>
    <row r="6375" spans="1:12" s="103" customFormat="1" x14ac:dyDescent="0.25">
      <c r="A6375" s="95" t="s">
        <v>11910</v>
      </c>
      <c r="B6375" s="96" t="s">
        <v>5215</v>
      </c>
      <c r="C6375" s="97" t="s">
        <v>12335</v>
      </c>
      <c r="D6375" s="6">
        <v>1568.73</v>
      </c>
      <c r="E6375" s="6">
        <v>1689.55</v>
      </c>
      <c r="F6375" s="64"/>
      <c r="G6375" s="98"/>
      <c r="H6375" s="98"/>
      <c r="I6375" s="99"/>
      <c r="J6375" s="100"/>
      <c r="K6375" s="101"/>
      <c r="L6375" s="102"/>
    </row>
    <row r="6376" spans="1:12" x14ac:dyDescent="0.25">
      <c r="A6376" s="95" t="s">
        <v>11911</v>
      </c>
      <c r="B6376" s="96" t="s">
        <v>5215</v>
      </c>
      <c r="C6376" s="97" t="s">
        <v>12336</v>
      </c>
      <c r="D6376" s="6">
        <v>1402.9</v>
      </c>
      <c r="E6376" s="6">
        <v>1418.93</v>
      </c>
    </row>
    <row r="6377" spans="1:12" s="94" customFormat="1" x14ac:dyDescent="0.25">
      <c r="A6377" s="95" t="s">
        <v>11912</v>
      </c>
      <c r="B6377" s="96" t="s">
        <v>5215</v>
      </c>
      <c r="C6377" s="97" t="s">
        <v>12337</v>
      </c>
      <c r="D6377" s="6">
        <v>1402.9</v>
      </c>
      <c r="E6377" s="6">
        <v>1418.93</v>
      </c>
      <c r="F6377" s="89"/>
      <c r="G6377" s="89"/>
      <c r="H6377" s="89"/>
      <c r="I6377" s="90"/>
      <c r="J6377" s="91"/>
      <c r="K6377" s="92"/>
      <c r="L6377" s="93"/>
    </row>
    <row r="6378" spans="1:12" s="94" customFormat="1" x14ac:dyDescent="0.25">
      <c r="A6378" s="95" t="s">
        <v>11913</v>
      </c>
      <c r="B6378" s="96" t="s">
        <v>5215</v>
      </c>
      <c r="C6378" s="97" t="s">
        <v>12338</v>
      </c>
      <c r="D6378" s="6">
        <v>1402.9</v>
      </c>
      <c r="E6378" s="6">
        <v>1418.93</v>
      </c>
      <c r="F6378" s="89"/>
      <c r="G6378" s="89"/>
      <c r="H6378" s="89"/>
      <c r="I6378" s="90"/>
      <c r="J6378" s="91"/>
      <c r="K6378" s="92"/>
      <c r="L6378" s="93"/>
    </row>
    <row r="6379" spans="1:12" s="94" customFormat="1" x14ac:dyDescent="0.25">
      <c r="A6379" s="95" t="s">
        <v>11914</v>
      </c>
      <c r="B6379" s="96" t="s">
        <v>5215</v>
      </c>
      <c r="C6379" s="97" t="s">
        <v>12339</v>
      </c>
      <c r="D6379" s="6">
        <v>1402.9</v>
      </c>
      <c r="E6379" s="6">
        <v>1418.93</v>
      </c>
      <c r="F6379" s="89"/>
      <c r="G6379" s="89"/>
      <c r="H6379" s="89"/>
      <c r="I6379" s="90"/>
      <c r="J6379" s="91"/>
      <c r="K6379" s="92"/>
      <c r="L6379" s="93"/>
    </row>
    <row r="6380" spans="1:12" s="94" customFormat="1" x14ac:dyDescent="0.25">
      <c r="A6380" s="95" t="s">
        <v>11915</v>
      </c>
      <c r="B6380" s="96" t="s">
        <v>5215</v>
      </c>
      <c r="C6380" s="97" t="s">
        <v>12340</v>
      </c>
      <c r="D6380" s="6">
        <v>1402.9</v>
      </c>
      <c r="E6380" s="6">
        <v>1418.93</v>
      </c>
      <c r="F6380" s="89"/>
      <c r="G6380" s="89"/>
      <c r="H6380" s="89"/>
      <c r="I6380" s="90"/>
      <c r="J6380" s="91"/>
      <c r="K6380" s="92"/>
      <c r="L6380" s="93"/>
    </row>
    <row r="6381" spans="1:12" s="94" customFormat="1" x14ac:dyDescent="0.25">
      <c r="A6381" s="95" t="s">
        <v>11916</v>
      </c>
      <c r="B6381" s="96" t="s">
        <v>5215</v>
      </c>
      <c r="C6381" s="97" t="s">
        <v>12341</v>
      </c>
      <c r="D6381" s="6">
        <v>1402.9</v>
      </c>
      <c r="E6381" s="6">
        <v>1418.93</v>
      </c>
      <c r="F6381" s="89"/>
      <c r="G6381" s="89"/>
      <c r="H6381" s="89"/>
      <c r="I6381" s="90"/>
      <c r="J6381" s="91"/>
      <c r="K6381" s="92"/>
      <c r="L6381" s="93"/>
    </row>
    <row r="6382" spans="1:12" s="94" customFormat="1" x14ac:dyDescent="0.25">
      <c r="A6382" s="95" t="s">
        <v>11917</v>
      </c>
      <c r="B6382" s="96" t="s">
        <v>5215</v>
      </c>
      <c r="C6382" s="97" t="s">
        <v>12342</v>
      </c>
      <c r="D6382" s="6">
        <v>1402.9</v>
      </c>
      <c r="E6382" s="6">
        <v>1418.93</v>
      </c>
      <c r="F6382" s="89"/>
      <c r="G6382" s="89"/>
      <c r="H6382" s="89"/>
      <c r="I6382" s="90"/>
      <c r="J6382" s="91"/>
      <c r="K6382" s="92"/>
      <c r="L6382" s="93"/>
    </row>
    <row r="6383" spans="1:12" s="94" customFormat="1" x14ac:dyDescent="0.25">
      <c r="A6383" s="95" t="s">
        <v>11918</v>
      </c>
      <c r="B6383" s="96" t="s">
        <v>5215</v>
      </c>
      <c r="C6383" s="97" t="s">
        <v>12343</v>
      </c>
      <c r="D6383" s="6">
        <v>1402.9</v>
      </c>
      <c r="E6383" s="6">
        <v>1418.93</v>
      </c>
      <c r="F6383" s="89"/>
      <c r="G6383" s="89"/>
      <c r="H6383" s="89"/>
      <c r="I6383" s="90"/>
      <c r="J6383" s="91"/>
      <c r="K6383" s="92"/>
      <c r="L6383" s="93"/>
    </row>
    <row r="6384" spans="1:12" s="94" customFormat="1" x14ac:dyDescent="0.25">
      <c r="A6384" s="95" t="s">
        <v>11919</v>
      </c>
      <c r="B6384" s="96" t="s">
        <v>5215</v>
      </c>
      <c r="C6384" s="97" t="s">
        <v>12344</v>
      </c>
      <c r="D6384" s="6">
        <v>1402.9</v>
      </c>
      <c r="E6384" s="6">
        <v>1418.93</v>
      </c>
      <c r="F6384" s="89"/>
      <c r="G6384" s="89"/>
      <c r="H6384" s="89"/>
      <c r="I6384" s="90"/>
      <c r="J6384" s="91"/>
      <c r="K6384" s="92"/>
      <c r="L6384" s="93"/>
    </row>
    <row r="6385" spans="1:12" s="94" customFormat="1" x14ac:dyDescent="0.25">
      <c r="A6385" s="95" t="s">
        <v>11920</v>
      </c>
      <c r="B6385" s="96" t="s">
        <v>5215</v>
      </c>
      <c r="C6385" s="97" t="s">
        <v>12345</v>
      </c>
      <c r="D6385" s="6">
        <v>1402.9</v>
      </c>
      <c r="E6385" s="6">
        <v>1418.93</v>
      </c>
      <c r="F6385" s="89"/>
      <c r="G6385" s="89"/>
      <c r="H6385" s="89"/>
      <c r="I6385" s="90"/>
      <c r="J6385" s="91"/>
      <c r="K6385" s="92"/>
      <c r="L6385" s="93"/>
    </row>
    <row r="6386" spans="1:12" s="94" customFormat="1" x14ac:dyDescent="0.25">
      <c r="A6386" s="95" t="s">
        <v>11921</v>
      </c>
      <c r="B6386" s="96" t="s">
        <v>5215</v>
      </c>
      <c r="C6386" s="97" t="s">
        <v>12346</v>
      </c>
      <c r="D6386" s="6">
        <v>1402.9</v>
      </c>
      <c r="E6386" s="6">
        <v>1418.93</v>
      </c>
      <c r="F6386" s="89"/>
      <c r="G6386" s="89"/>
      <c r="H6386" s="89"/>
      <c r="I6386" s="90"/>
      <c r="J6386" s="91"/>
      <c r="K6386" s="92"/>
      <c r="L6386" s="93"/>
    </row>
    <row r="6387" spans="1:12" x14ac:dyDescent="0.25">
      <c r="A6387" s="95" t="s">
        <v>11922</v>
      </c>
      <c r="B6387" s="96" t="s">
        <v>5215</v>
      </c>
      <c r="C6387" s="97" t="s">
        <v>12347</v>
      </c>
      <c r="D6387" s="6">
        <v>1568.73</v>
      </c>
      <c r="E6387" s="6">
        <v>1689.55</v>
      </c>
    </row>
    <row r="6388" spans="1:12" x14ac:dyDescent="0.25">
      <c r="A6388" s="95" t="s">
        <v>11923</v>
      </c>
      <c r="B6388" s="96" t="s">
        <v>5215</v>
      </c>
      <c r="C6388" s="97" t="s">
        <v>12348</v>
      </c>
      <c r="D6388" s="6">
        <v>1402.9</v>
      </c>
      <c r="E6388" s="6">
        <v>1418.93</v>
      </c>
    </row>
    <row r="6389" spans="1:12" x14ac:dyDescent="0.25">
      <c r="A6389" s="95" t="s">
        <v>11924</v>
      </c>
      <c r="B6389" s="96" t="s">
        <v>5215</v>
      </c>
      <c r="C6389" s="97" t="s">
        <v>12349</v>
      </c>
      <c r="D6389" s="6">
        <v>1402.9</v>
      </c>
      <c r="E6389" s="6">
        <v>1418.93</v>
      </c>
    </row>
    <row r="6390" spans="1:12" s="94" customFormat="1" x14ac:dyDescent="0.25">
      <c r="A6390" s="95" t="s">
        <v>11925</v>
      </c>
      <c r="B6390" s="96" t="s">
        <v>5215</v>
      </c>
      <c r="C6390" s="97" t="s">
        <v>6188</v>
      </c>
      <c r="D6390" s="6">
        <v>466.58</v>
      </c>
      <c r="E6390" s="6">
        <v>366.77</v>
      </c>
      <c r="F6390" s="89"/>
      <c r="G6390" s="89"/>
      <c r="H6390" s="89"/>
      <c r="I6390" s="90"/>
      <c r="J6390" s="91"/>
      <c r="K6390" s="92"/>
      <c r="L6390" s="93"/>
    </row>
    <row r="6391" spans="1:12" x14ac:dyDescent="0.25">
      <c r="A6391" s="95" t="s">
        <v>11926</v>
      </c>
      <c r="B6391" s="96" t="s">
        <v>5215</v>
      </c>
      <c r="C6391" s="97" t="s">
        <v>12350</v>
      </c>
      <c r="D6391" s="6">
        <v>1008.29</v>
      </c>
      <c r="E6391" s="6">
        <v>1051.74</v>
      </c>
    </row>
    <row r="6392" spans="1:12" s="94" customFormat="1" x14ac:dyDescent="0.25">
      <c r="A6392" s="95" t="s">
        <v>11927</v>
      </c>
      <c r="B6392" s="96" t="s">
        <v>5215</v>
      </c>
      <c r="C6392" s="97" t="s">
        <v>12351</v>
      </c>
      <c r="D6392" s="6">
        <v>1402.9</v>
      </c>
      <c r="E6392" s="6">
        <v>1418.93</v>
      </c>
      <c r="F6392" s="89"/>
      <c r="G6392" s="89"/>
      <c r="H6392" s="89"/>
      <c r="I6392" s="90"/>
      <c r="J6392" s="91"/>
      <c r="K6392" s="92"/>
      <c r="L6392" s="93"/>
    </row>
    <row r="6393" spans="1:12" x14ac:dyDescent="0.25">
      <c r="A6393" s="95" t="s">
        <v>11928</v>
      </c>
      <c r="B6393" s="96" t="s">
        <v>5215</v>
      </c>
      <c r="C6393" s="97" t="s">
        <v>12352</v>
      </c>
      <c r="D6393" s="6">
        <v>1008.29</v>
      </c>
      <c r="E6393" s="6">
        <v>1051.74</v>
      </c>
    </row>
    <row r="6394" spans="1:12" s="94" customFormat="1" x14ac:dyDescent="0.25">
      <c r="A6394" s="95" t="s">
        <v>11929</v>
      </c>
      <c r="B6394" s="96" t="s">
        <v>5215</v>
      </c>
      <c r="C6394" s="97" t="s">
        <v>6141</v>
      </c>
      <c r="D6394" s="6">
        <v>466.58</v>
      </c>
      <c r="E6394" s="6">
        <v>366.77</v>
      </c>
      <c r="F6394" s="89"/>
      <c r="G6394" s="89"/>
      <c r="H6394" s="89"/>
      <c r="I6394" s="90"/>
      <c r="J6394" s="91"/>
      <c r="K6394" s="92"/>
      <c r="L6394" s="93"/>
    </row>
    <row r="6395" spans="1:12" s="94" customFormat="1" x14ac:dyDescent="0.25">
      <c r="A6395" s="95" t="s">
        <v>11930</v>
      </c>
      <c r="B6395" s="96" t="s">
        <v>5215</v>
      </c>
      <c r="C6395" s="97" t="s">
        <v>12353</v>
      </c>
      <c r="D6395" s="6">
        <v>363.85</v>
      </c>
      <c r="E6395" s="6">
        <v>331.13</v>
      </c>
      <c r="F6395" s="89"/>
      <c r="G6395" s="89"/>
      <c r="H6395" s="89"/>
      <c r="I6395" s="90"/>
      <c r="J6395" s="91"/>
      <c r="K6395" s="92"/>
      <c r="L6395" s="93"/>
    </row>
    <row r="6396" spans="1:12" s="94" customFormat="1" x14ac:dyDescent="0.25">
      <c r="A6396" s="95" t="s">
        <v>11931</v>
      </c>
      <c r="B6396" s="96" t="s">
        <v>5215</v>
      </c>
      <c r="C6396" s="97" t="s">
        <v>12354</v>
      </c>
      <c r="D6396" s="6">
        <v>363.85</v>
      </c>
      <c r="E6396" s="6">
        <v>331.13</v>
      </c>
      <c r="F6396" s="89"/>
      <c r="G6396" s="89"/>
      <c r="H6396" s="89"/>
      <c r="I6396" s="90"/>
      <c r="J6396" s="91"/>
      <c r="K6396" s="92"/>
      <c r="L6396" s="93"/>
    </row>
    <row r="6397" spans="1:12" s="94" customFormat="1" x14ac:dyDescent="0.25">
      <c r="A6397" s="95" t="s">
        <v>11932</v>
      </c>
      <c r="B6397" s="96" t="s">
        <v>5215</v>
      </c>
      <c r="C6397" s="97" t="s">
        <v>12355</v>
      </c>
      <c r="D6397" s="6">
        <v>1402.9</v>
      </c>
      <c r="E6397" s="6">
        <v>1418.93</v>
      </c>
      <c r="F6397" s="89"/>
      <c r="G6397" s="89"/>
      <c r="H6397" s="89"/>
      <c r="I6397" s="90"/>
      <c r="J6397" s="91"/>
      <c r="K6397" s="92"/>
      <c r="L6397" s="93"/>
    </row>
    <row r="6398" spans="1:12" s="94" customFormat="1" x14ac:dyDescent="0.25">
      <c r="A6398" s="95" t="s">
        <v>11933</v>
      </c>
      <c r="B6398" s="96" t="s">
        <v>5215</v>
      </c>
      <c r="C6398" s="97" t="s">
        <v>12356</v>
      </c>
      <c r="D6398" s="6">
        <v>1402.9</v>
      </c>
      <c r="E6398" s="6">
        <v>1418.93</v>
      </c>
      <c r="F6398" s="89"/>
      <c r="G6398" s="89"/>
      <c r="H6398" s="89"/>
      <c r="I6398" s="90"/>
      <c r="J6398" s="91"/>
      <c r="K6398" s="92"/>
      <c r="L6398" s="93"/>
    </row>
    <row r="6399" spans="1:12" s="94" customFormat="1" x14ac:dyDescent="0.25">
      <c r="A6399" s="95" t="s">
        <v>11934</v>
      </c>
      <c r="B6399" s="96" t="s">
        <v>5215</v>
      </c>
      <c r="C6399" s="97" t="s">
        <v>12357</v>
      </c>
      <c r="D6399" s="6">
        <v>1402.9</v>
      </c>
      <c r="E6399" s="6">
        <v>1418.93</v>
      </c>
      <c r="F6399" s="89"/>
      <c r="G6399" s="89"/>
      <c r="H6399" s="89"/>
      <c r="I6399" s="90"/>
      <c r="J6399" s="91"/>
      <c r="K6399" s="92"/>
      <c r="L6399" s="93"/>
    </row>
    <row r="6400" spans="1:12" x14ac:dyDescent="0.25">
      <c r="A6400" s="95" t="s">
        <v>11935</v>
      </c>
      <c r="B6400" s="96" t="s">
        <v>5215</v>
      </c>
      <c r="C6400" s="97" t="s">
        <v>12358</v>
      </c>
      <c r="D6400" s="6">
        <v>1008.29</v>
      </c>
      <c r="E6400" s="6">
        <v>1051.74</v>
      </c>
    </row>
    <row r="6401" spans="1:12" x14ac:dyDescent="0.25">
      <c r="A6401" s="95" t="s">
        <v>11936</v>
      </c>
      <c r="B6401" s="96" t="s">
        <v>5215</v>
      </c>
      <c r="C6401" s="97" t="s">
        <v>12359</v>
      </c>
      <c r="D6401" s="6">
        <v>1008.29</v>
      </c>
      <c r="E6401" s="6">
        <v>1051.74</v>
      </c>
    </row>
    <row r="6402" spans="1:12" s="94" customFormat="1" x14ac:dyDescent="0.25">
      <c r="A6402" s="95" t="s">
        <v>11937</v>
      </c>
      <c r="B6402" s="96" t="s">
        <v>5215</v>
      </c>
      <c r="C6402" s="97" t="s">
        <v>12360</v>
      </c>
      <c r="D6402" s="6">
        <v>1402.9</v>
      </c>
      <c r="E6402" s="6">
        <v>1418.93</v>
      </c>
      <c r="F6402" s="89"/>
      <c r="G6402" s="89"/>
      <c r="H6402" s="89"/>
      <c r="I6402" s="90"/>
      <c r="J6402" s="91"/>
      <c r="K6402" s="92"/>
      <c r="L6402" s="93"/>
    </row>
    <row r="6403" spans="1:12" s="94" customFormat="1" x14ac:dyDescent="0.25">
      <c r="A6403" s="95" t="s">
        <v>11938</v>
      </c>
      <c r="B6403" s="96" t="s">
        <v>5215</v>
      </c>
      <c r="C6403" s="97" t="s">
        <v>12361</v>
      </c>
      <c r="D6403" s="6">
        <v>363.85</v>
      </c>
      <c r="E6403" s="6">
        <v>331.13</v>
      </c>
      <c r="F6403" s="89"/>
      <c r="G6403" s="89"/>
      <c r="H6403" s="89"/>
      <c r="I6403" s="90"/>
      <c r="J6403" s="91"/>
      <c r="K6403" s="92"/>
      <c r="L6403" s="93"/>
    </row>
    <row r="6404" spans="1:12" s="94" customFormat="1" x14ac:dyDescent="0.25">
      <c r="A6404" s="95" t="s">
        <v>11939</v>
      </c>
      <c r="B6404" s="96" t="s">
        <v>5215</v>
      </c>
      <c r="C6404" s="97" t="s">
        <v>12362</v>
      </c>
      <c r="D6404" s="6">
        <v>1402.9</v>
      </c>
      <c r="E6404" s="6">
        <v>1418.93</v>
      </c>
      <c r="F6404" s="89"/>
      <c r="G6404" s="89"/>
      <c r="H6404" s="89"/>
      <c r="I6404" s="90"/>
      <c r="J6404" s="91"/>
      <c r="K6404" s="92"/>
      <c r="L6404" s="93"/>
    </row>
    <row r="6405" spans="1:12" x14ac:dyDescent="0.25">
      <c r="A6405" s="95" t="s">
        <v>11940</v>
      </c>
      <c r="B6405" s="96" t="s">
        <v>5215</v>
      </c>
      <c r="C6405" s="97" t="s">
        <v>12363</v>
      </c>
      <c r="D6405" s="6">
        <v>1008.29</v>
      </c>
      <c r="E6405" s="6">
        <v>1051.74</v>
      </c>
    </row>
    <row r="6406" spans="1:12" x14ac:dyDescent="0.25">
      <c r="A6406" s="95" t="s">
        <v>11941</v>
      </c>
      <c r="B6406" s="96" t="s">
        <v>12364</v>
      </c>
      <c r="C6406" s="97" t="s">
        <v>12365</v>
      </c>
      <c r="D6406" s="6">
        <v>0</v>
      </c>
      <c r="E6406" s="6">
        <v>0</v>
      </c>
    </row>
    <row r="6407" spans="1:12" x14ac:dyDescent="0.25">
      <c r="A6407" s="95" t="s">
        <v>11942</v>
      </c>
      <c r="B6407" s="96" t="s">
        <v>12364</v>
      </c>
      <c r="C6407" s="97" t="s">
        <v>12366</v>
      </c>
      <c r="D6407" s="6">
        <v>0</v>
      </c>
      <c r="E6407" s="6">
        <v>0</v>
      </c>
    </row>
    <row r="6408" spans="1:12" x14ac:dyDescent="0.25">
      <c r="A6408" s="95" t="s">
        <v>11943</v>
      </c>
      <c r="B6408" s="96" t="s">
        <v>12364</v>
      </c>
      <c r="C6408" s="97" t="s">
        <v>12367</v>
      </c>
      <c r="D6408" s="6">
        <v>0</v>
      </c>
      <c r="E6408" s="6">
        <v>0</v>
      </c>
    </row>
    <row r="6409" spans="1:12" s="94" customFormat="1" x14ac:dyDescent="0.25">
      <c r="A6409" s="95" t="s">
        <v>11944</v>
      </c>
      <c r="B6409" s="96" t="s">
        <v>4436</v>
      </c>
      <c r="C6409" s="97" t="s">
        <v>12368</v>
      </c>
      <c r="D6409" s="6">
        <v>1006.46</v>
      </c>
      <c r="E6409" s="6">
        <v>1031.58</v>
      </c>
      <c r="F6409" s="89"/>
      <c r="G6409" s="89"/>
      <c r="H6409" s="89"/>
      <c r="I6409" s="90"/>
      <c r="J6409" s="91"/>
      <c r="K6409" s="92"/>
      <c r="L6409" s="93"/>
    </row>
    <row r="6410" spans="1:12" s="94" customFormat="1" x14ac:dyDescent="0.25">
      <c r="A6410" s="95" t="s">
        <v>11945</v>
      </c>
      <c r="B6410" s="96" t="s">
        <v>4436</v>
      </c>
      <c r="C6410" s="97" t="s">
        <v>12369</v>
      </c>
      <c r="D6410" s="6">
        <v>1006.46</v>
      </c>
      <c r="E6410" s="6">
        <v>1031.58</v>
      </c>
      <c r="F6410" s="89"/>
      <c r="G6410" s="89"/>
      <c r="H6410" s="89"/>
      <c r="I6410" s="90"/>
      <c r="J6410" s="91"/>
      <c r="K6410" s="92"/>
      <c r="L6410" s="93"/>
    </row>
    <row r="6411" spans="1:12" s="94" customFormat="1" x14ac:dyDescent="0.25">
      <c r="A6411" s="95" t="s">
        <v>11946</v>
      </c>
      <c r="B6411" s="96" t="s">
        <v>6025</v>
      </c>
      <c r="C6411" s="97" t="s">
        <v>12370</v>
      </c>
      <c r="D6411" s="6">
        <v>466.58</v>
      </c>
      <c r="E6411" s="6">
        <v>366.77</v>
      </c>
      <c r="F6411" s="89"/>
      <c r="G6411" s="89"/>
      <c r="H6411" s="89"/>
      <c r="I6411" s="90"/>
      <c r="J6411" s="91"/>
      <c r="K6411" s="92"/>
      <c r="L6411" s="93"/>
    </row>
    <row r="6412" spans="1:12" s="94" customFormat="1" x14ac:dyDescent="0.25">
      <c r="A6412" s="95" t="s">
        <v>11947</v>
      </c>
      <c r="B6412" s="96" t="s">
        <v>6025</v>
      </c>
      <c r="C6412" s="97" t="s">
        <v>12371</v>
      </c>
      <c r="D6412" s="6">
        <v>491.53</v>
      </c>
      <c r="E6412" s="6">
        <v>485.9</v>
      </c>
      <c r="F6412" s="89"/>
      <c r="G6412" s="89"/>
      <c r="H6412" s="89"/>
      <c r="I6412" s="90"/>
      <c r="J6412" s="91"/>
      <c r="K6412" s="92"/>
      <c r="L6412" s="93"/>
    </row>
    <row r="6413" spans="1:12" s="94" customFormat="1" x14ac:dyDescent="0.25">
      <c r="A6413" s="95" t="s">
        <v>11948</v>
      </c>
      <c r="B6413" s="96" t="s">
        <v>6025</v>
      </c>
      <c r="C6413" s="97" t="s">
        <v>12372</v>
      </c>
      <c r="D6413" s="6">
        <v>491.53</v>
      </c>
      <c r="E6413" s="6">
        <v>485.9</v>
      </c>
      <c r="F6413" s="89"/>
      <c r="G6413" s="89"/>
      <c r="H6413" s="89"/>
      <c r="I6413" s="90"/>
      <c r="J6413" s="91"/>
      <c r="K6413" s="92"/>
      <c r="L6413" s="93"/>
    </row>
    <row r="6414" spans="1:12" s="94" customFormat="1" x14ac:dyDescent="0.25">
      <c r="A6414" s="95" t="s">
        <v>11949</v>
      </c>
      <c r="B6414" s="96" t="s">
        <v>6025</v>
      </c>
      <c r="C6414" s="97" t="s">
        <v>12373</v>
      </c>
      <c r="D6414" s="6">
        <v>491.53</v>
      </c>
      <c r="E6414" s="6">
        <v>485.9</v>
      </c>
      <c r="F6414" s="89"/>
      <c r="G6414" s="89"/>
      <c r="H6414" s="89"/>
      <c r="I6414" s="90"/>
      <c r="J6414" s="91"/>
      <c r="K6414" s="92"/>
      <c r="L6414" s="93"/>
    </row>
    <row r="6415" spans="1:12" s="94" customFormat="1" x14ac:dyDescent="0.25">
      <c r="A6415" s="95" t="s">
        <v>11950</v>
      </c>
      <c r="B6415" s="96" t="s">
        <v>6025</v>
      </c>
      <c r="C6415" s="97" t="s">
        <v>12374</v>
      </c>
      <c r="D6415" s="6">
        <v>222.49</v>
      </c>
      <c r="E6415" s="6">
        <v>273.27</v>
      </c>
      <c r="F6415" s="89"/>
      <c r="G6415" s="89"/>
      <c r="H6415" s="89"/>
      <c r="I6415" s="90"/>
      <c r="J6415" s="91"/>
      <c r="K6415" s="92"/>
      <c r="L6415" s="93"/>
    </row>
    <row r="6416" spans="1:12" s="94" customFormat="1" x14ac:dyDescent="0.25">
      <c r="A6416" s="95" t="s">
        <v>11951</v>
      </c>
      <c r="B6416" s="96" t="s">
        <v>256</v>
      </c>
      <c r="C6416" s="97" t="s">
        <v>12375</v>
      </c>
      <c r="D6416" s="6">
        <v>6628.52</v>
      </c>
      <c r="E6416" s="6">
        <v>7978.51</v>
      </c>
      <c r="F6416" s="89"/>
      <c r="G6416" s="89"/>
      <c r="H6416" s="89"/>
      <c r="I6416" s="90"/>
      <c r="J6416" s="91"/>
      <c r="K6416" s="92"/>
      <c r="L6416" s="93"/>
    </row>
    <row r="6417" spans="1:12" s="94" customFormat="1" x14ac:dyDescent="0.25">
      <c r="A6417" s="95" t="s">
        <v>11952</v>
      </c>
      <c r="B6417" s="96" t="s">
        <v>1072</v>
      </c>
      <c r="C6417" s="97" t="s">
        <v>12376</v>
      </c>
      <c r="D6417" s="6">
        <v>1314.55</v>
      </c>
      <c r="E6417" s="6">
        <v>1158.28</v>
      </c>
      <c r="F6417" s="89"/>
      <c r="G6417" s="89"/>
      <c r="H6417" s="89"/>
      <c r="I6417" s="90"/>
      <c r="J6417" s="91"/>
      <c r="K6417" s="92"/>
      <c r="L6417" s="93"/>
    </row>
    <row r="6418" spans="1:12" s="94" customFormat="1" x14ac:dyDescent="0.25">
      <c r="A6418" s="95" t="s">
        <v>11953</v>
      </c>
      <c r="B6418" s="96" t="s">
        <v>1496</v>
      </c>
      <c r="C6418" s="97" t="s">
        <v>12376</v>
      </c>
      <c r="D6418" s="6">
        <v>1831.09</v>
      </c>
      <c r="E6418" s="6">
        <v>1533.82</v>
      </c>
      <c r="F6418" s="89"/>
      <c r="G6418" s="89"/>
      <c r="H6418" s="89"/>
      <c r="I6418" s="90"/>
      <c r="J6418" s="91"/>
      <c r="K6418" s="92"/>
      <c r="L6418" s="93"/>
    </row>
    <row r="6419" spans="1:12" s="94" customFormat="1" x14ac:dyDescent="0.25">
      <c r="A6419" s="95" t="s">
        <v>11954</v>
      </c>
      <c r="B6419" s="96" t="s">
        <v>1496</v>
      </c>
      <c r="C6419" s="97" t="s">
        <v>12377</v>
      </c>
      <c r="D6419" s="6">
        <v>1831.09</v>
      </c>
      <c r="E6419" s="6">
        <v>1533.82</v>
      </c>
      <c r="F6419" s="89"/>
      <c r="G6419" s="89"/>
      <c r="H6419" s="89"/>
      <c r="I6419" s="90"/>
      <c r="J6419" s="91"/>
      <c r="K6419" s="92"/>
      <c r="L6419" s="93"/>
    </row>
    <row r="6420" spans="1:12" s="94" customFormat="1" x14ac:dyDescent="0.25">
      <c r="A6420" s="95" t="s">
        <v>11955</v>
      </c>
      <c r="B6420" s="96" t="s">
        <v>3482</v>
      </c>
      <c r="C6420" s="97" t="s">
        <v>12369</v>
      </c>
      <c r="D6420" s="6">
        <v>1006.46</v>
      </c>
      <c r="E6420" s="6">
        <v>1031.58</v>
      </c>
      <c r="F6420" s="89"/>
      <c r="G6420" s="89"/>
      <c r="H6420" s="89"/>
      <c r="I6420" s="90"/>
      <c r="J6420" s="91"/>
      <c r="K6420" s="92"/>
      <c r="L6420" s="93"/>
    </row>
    <row r="6421" spans="1:12" s="94" customFormat="1" x14ac:dyDescent="0.25">
      <c r="A6421" s="95" t="s">
        <v>11956</v>
      </c>
      <c r="B6421" s="96" t="s">
        <v>6380</v>
      </c>
      <c r="C6421" s="97" t="s">
        <v>12378</v>
      </c>
      <c r="D6421" s="6">
        <v>11224.92</v>
      </c>
      <c r="E6421" s="6">
        <v>9346.09</v>
      </c>
      <c r="F6421" s="89"/>
      <c r="G6421" s="89"/>
      <c r="H6421" s="89"/>
      <c r="I6421" s="90"/>
      <c r="J6421" s="91"/>
      <c r="K6421" s="92"/>
      <c r="L6421" s="93"/>
    </row>
    <row r="6422" spans="1:12" s="94" customFormat="1" x14ac:dyDescent="0.25">
      <c r="A6422" s="95" t="s">
        <v>11957</v>
      </c>
      <c r="B6422" s="96" t="s">
        <v>7280</v>
      </c>
      <c r="C6422" s="97" t="s">
        <v>12379</v>
      </c>
      <c r="D6422" s="6">
        <v>5895.69</v>
      </c>
      <c r="E6422" s="6">
        <v>5815.34</v>
      </c>
      <c r="F6422" s="89"/>
      <c r="G6422" s="89"/>
      <c r="H6422" s="89"/>
      <c r="I6422" s="90"/>
      <c r="J6422" s="91"/>
      <c r="K6422" s="92"/>
      <c r="L6422" s="93"/>
    </row>
    <row r="6423" spans="1:12" s="94" customFormat="1" x14ac:dyDescent="0.25">
      <c r="A6423" s="95" t="s">
        <v>11958</v>
      </c>
      <c r="B6423" s="96" t="s">
        <v>7280</v>
      </c>
      <c r="C6423" s="97" t="s">
        <v>12380</v>
      </c>
      <c r="D6423" s="6">
        <v>5895.69</v>
      </c>
      <c r="E6423" s="6">
        <v>5815.34</v>
      </c>
      <c r="F6423" s="89"/>
      <c r="G6423" s="89"/>
      <c r="H6423" s="89"/>
      <c r="I6423" s="90"/>
      <c r="J6423" s="91"/>
      <c r="K6423" s="92"/>
      <c r="L6423" s="93"/>
    </row>
    <row r="6424" spans="1:12" s="94" customFormat="1" x14ac:dyDescent="0.25">
      <c r="A6424" s="95" t="s">
        <v>11959</v>
      </c>
      <c r="B6424" s="96" t="s">
        <v>7280</v>
      </c>
      <c r="C6424" s="97" t="s">
        <v>12381</v>
      </c>
      <c r="D6424" s="6">
        <v>5895.69</v>
      </c>
      <c r="E6424" s="6">
        <v>5815.34</v>
      </c>
      <c r="F6424" s="89"/>
      <c r="G6424" s="89"/>
      <c r="H6424" s="89"/>
      <c r="I6424" s="90"/>
      <c r="J6424" s="91"/>
      <c r="K6424" s="92"/>
      <c r="L6424" s="93"/>
    </row>
    <row r="6425" spans="1:12" s="94" customFormat="1" x14ac:dyDescent="0.25">
      <c r="A6425" s="95" t="s">
        <v>11960</v>
      </c>
      <c r="B6425" s="96" t="s">
        <v>7280</v>
      </c>
      <c r="C6425" s="97" t="s">
        <v>12382</v>
      </c>
      <c r="D6425" s="6">
        <v>5895.69</v>
      </c>
      <c r="E6425" s="6">
        <v>5815.34</v>
      </c>
      <c r="F6425" s="89"/>
      <c r="G6425" s="89"/>
      <c r="H6425" s="89"/>
      <c r="I6425" s="90"/>
      <c r="J6425" s="91"/>
      <c r="K6425" s="92"/>
      <c r="L6425" s="93"/>
    </row>
    <row r="6426" spans="1:12" s="94" customFormat="1" x14ac:dyDescent="0.25">
      <c r="A6426" s="95" t="s">
        <v>11961</v>
      </c>
      <c r="B6426" s="96" t="s">
        <v>7280</v>
      </c>
      <c r="C6426" s="97" t="s">
        <v>12383</v>
      </c>
      <c r="D6426" s="6">
        <v>5895.69</v>
      </c>
      <c r="E6426" s="6">
        <v>5815.34</v>
      </c>
      <c r="F6426" s="89"/>
      <c r="G6426" s="89"/>
      <c r="H6426" s="89"/>
      <c r="I6426" s="90"/>
      <c r="J6426" s="91"/>
      <c r="K6426" s="92"/>
      <c r="L6426" s="93"/>
    </row>
    <row r="6427" spans="1:12" s="94" customFormat="1" x14ac:dyDescent="0.25">
      <c r="A6427" s="95" t="s">
        <v>11962</v>
      </c>
      <c r="B6427" s="96" t="s">
        <v>7280</v>
      </c>
      <c r="C6427" s="97" t="s">
        <v>12384</v>
      </c>
      <c r="D6427" s="6">
        <v>5895.69</v>
      </c>
      <c r="E6427" s="6">
        <v>5815.34</v>
      </c>
      <c r="F6427" s="89"/>
      <c r="G6427" s="89"/>
      <c r="H6427" s="89"/>
      <c r="I6427" s="90"/>
      <c r="J6427" s="91"/>
      <c r="K6427" s="92"/>
      <c r="L6427" s="93"/>
    </row>
    <row r="6428" spans="1:12" s="94" customFormat="1" x14ac:dyDescent="0.25">
      <c r="A6428" s="95" t="s">
        <v>11963</v>
      </c>
      <c r="B6428" s="96" t="s">
        <v>7280</v>
      </c>
      <c r="C6428" s="97" t="s">
        <v>12385</v>
      </c>
      <c r="D6428" s="6">
        <v>5895.69</v>
      </c>
      <c r="E6428" s="6">
        <v>5815.34</v>
      </c>
      <c r="F6428" s="89"/>
      <c r="G6428" s="89"/>
      <c r="H6428" s="89"/>
      <c r="I6428" s="90"/>
      <c r="J6428" s="91"/>
      <c r="K6428" s="92"/>
      <c r="L6428" s="93"/>
    </row>
    <row r="6429" spans="1:12" s="94" customFormat="1" x14ac:dyDescent="0.25">
      <c r="A6429" s="95" t="s">
        <v>11964</v>
      </c>
      <c r="B6429" s="96" t="s">
        <v>7280</v>
      </c>
      <c r="C6429" s="97" t="s">
        <v>12386</v>
      </c>
      <c r="D6429" s="6">
        <v>5895.69</v>
      </c>
      <c r="E6429" s="6">
        <v>5815.34</v>
      </c>
      <c r="F6429" s="89"/>
      <c r="G6429" s="89"/>
      <c r="H6429" s="89"/>
      <c r="I6429" s="90"/>
      <c r="J6429" s="91"/>
      <c r="K6429" s="92"/>
      <c r="L6429" s="93"/>
    </row>
    <row r="6430" spans="1:12" s="94" customFormat="1" x14ac:dyDescent="0.25">
      <c r="A6430" s="95" t="s">
        <v>11965</v>
      </c>
      <c r="B6430" s="96" t="s">
        <v>7280</v>
      </c>
      <c r="C6430" s="97" t="s">
        <v>12387</v>
      </c>
      <c r="D6430" s="6">
        <v>5895.69</v>
      </c>
      <c r="E6430" s="6">
        <v>5815.34</v>
      </c>
      <c r="F6430" s="89"/>
      <c r="G6430" s="89"/>
      <c r="H6430" s="89"/>
      <c r="I6430" s="90"/>
      <c r="J6430" s="91"/>
      <c r="K6430" s="92"/>
      <c r="L6430" s="93"/>
    </row>
    <row r="6431" spans="1:12" s="94" customFormat="1" x14ac:dyDescent="0.25">
      <c r="A6431" s="95" t="s">
        <v>11966</v>
      </c>
      <c r="B6431" s="96" t="s">
        <v>7280</v>
      </c>
      <c r="C6431" s="97" t="s">
        <v>12388</v>
      </c>
      <c r="D6431" s="6">
        <v>5895.69</v>
      </c>
      <c r="E6431" s="6">
        <v>5815.34</v>
      </c>
      <c r="F6431" s="89"/>
      <c r="G6431" s="89"/>
      <c r="H6431" s="89"/>
      <c r="I6431" s="90"/>
      <c r="J6431" s="91"/>
      <c r="K6431" s="92"/>
      <c r="L6431" s="93"/>
    </row>
    <row r="6432" spans="1:12" s="94" customFormat="1" x14ac:dyDescent="0.25">
      <c r="A6432" s="95" t="s">
        <v>11967</v>
      </c>
      <c r="B6432" s="96" t="s">
        <v>7280</v>
      </c>
      <c r="C6432" s="97" t="s">
        <v>12389</v>
      </c>
      <c r="D6432" s="6">
        <v>5895.69</v>
      </c>
      <c r="E6432" s="6">
        <v>5815.34</v>
      </c>
      <c r="F6432" s="89"/>
      <c r="G6432" s="89"/>
      <c r="H6432" s="89"/>
      <c r="I6432" s="90"/>
      <c r="J6432" s="91"/>
      <c r="K6432" s="92"/>
      <c r="L6432" s="93"/>
    </row>
    <row r="6433" spans="1:12" s="94" customFormat="1" x14ac:dyDescent="0.25">
      <c r="A6433" s="95" t="s">
        <v>11968</v>
      </c>
      <c r="B6433" s="96" t="s">
        <v>7280</v>
      </c>
      <c r="C6433" s="97" t="s">
        <v>12390</v>
      </c>
      <c r="D6433" s="6">
        <v>5895.69</v>
      </c>
      <c r="E6433" s="6">
        <v>5815.34</v>
      </c>
      <c r="F6433" s="89"/>
      <c r="G6433" s="89"/>
      <c r="H6433" s="89"/>
      <c r="I6433" s="90"/>
      <c r="J6433" s="91"/>
      <c r="K6433" s="92"/>
      <c r="L6433" s="93"/>
    </row>
    <row r="6434" spans="1:12" s="94" customFormat="1" x14ac:dyDescent="0.25">
      <c r="A6434" s="95" t="s">
        <v>11969</v>
      </c>
      <c r="B6434" s="96" t="s">
        <v>7280</v>
      </c>
      <c r="C6434" s="97" t="s">
        <v>12391</v>
      </c>
      <c r="D6434" s="6">
        <v>5895.69</v>
      </c>
      <c r="E6434" s="6">
        <v>5815.34</v>
      </c>
      <c r="F6434" s="89"/>
      <c r="G6434" s="89"/>
      <c r="H6434" s="89"/>
      <c r="I6434" s="90"/>
      <c r="J6434" s="91"/>
      <c r="K6434" s="92"/>
      <c r="L6434" s="93"/>
    </row>
    <row r="6435" spans="1:12" s="94" customFormat="1" x14ac:dyDescent="0.25">
      <c r="A6435" s="95" t="s">
        <v>11970</v>
      </c>
      <c r="B6435" s="96" t="s">
        <v>7280</v>
      </c>
      <c r="C6435" s="97" t="s">
        <v>12392</v>
      </c>
      <c r="D6435" s="6">
        <v>5895.69</v>
      </c>
      <c r="E6435" s="6">
        <v>5815.34</v>
      </c>
      <c r="F6435" s="89"/>
      <c r="G6435" s="89"/>
      <c r="H6435" s="89"/>
      <c r="I6435" s="90"/>
      <c r="J6435" s="91"/>
      <c r="K6435" s="92"/>
      <c r="L6435" s="93"/>
    </row>
    <row r="6436" spans="1:12" s="94" customFormat="1" x14ac:dyDescent="0.25">
      <c r="A6436" s="95" t="s">
        <v>11971</v>
      </c>
      <c r="B6436" s="96" t="s">
        <v>7280</v>
      </c>
      <c r="C6436" s="97" t="s">
        <v>12393</v>
      </c>
      <c r="D6436" s="6">
        <v>5895.69</v>
      </c>
      <c r="E6436" s="6">
        <v>5815.34</v>
      </c>
      <c r="F6436" s="89"/>
      <c r="G6436" s="89"/>
      <c r="H6436" s="89"/>
      <c r="I6436" s="90"/>
      <c r="J6436" s="91"/>
      <c r="K6436" s="92"/>
      <c r="L6436" s="93"/>
    </row>
    <row r="6437" spans="1:12" s="94" customFormat="1" x14ac:dyDescent="0.25">
      <c r="A6437" s="95" t="s">
        <v>11972</v>
      </c>
      <c r="B6437" s="96" t="s">
        <v>7280</v>
      </c>
      <c r="C6437" s="97" t="s">
        <v>12394</v>
      </c>
      <c r="D6437" s="6">
        <v>5895.69</v>
      </c>
      <c r="E6437" s="6">
        <v>5815.34</v>
      </c>
      <c r="F6437" s="89"/>
      <c r="G6437" s="89"/>
      <c r="H6437" s="89"/>
      <c r="I6437" s="90"/>
      <c r="J6437" s="91"/>
      <c r="K6437" s="92"/>
      <c r="L6437" s="93"/>
    </row>
    <row r="6438" spans="1:12" s="94" customFormat="1" x14ac:dyDescent="0.25">
      <c r="A6438" s="95" t="s">
        <v>11973</v>
      </c>
      <c r="B6438" s="96" t="s">
        <v>7280</v>
      </c>
      <c r="C6438" s="97" t="s">
        <v>12395</v>
      </c>
      <c r="D6438" s="6">
        <v>5895.69</v>
      </c>
      <c r="E6438" s="6">
        <v>5815.34</v>
      </c>
      <c r="F6438" s="89"/>
      <c r="G6438" s="89"/>
      <c r="H6438" s="89"/>
      <c r="I6438" s="90"/>
      <c r="J6438" s="91"/>
      <c r="K6438" s="92"/>
      <c r="L6438" s="93"/>
    </row>
    <row r="6439" spans="1:12" s="94" customFormat="1" x14ac:dyDescent="0.25">
      <c r="A6439" s="95" t="s">
        <v>11974</v>
      </c>
      <c r="B6439" s="96" t="s">
        <v>7280</v>
      </c>
      <c r="C6439" s="97" t="s">
        <v>12396</v>
      </c>
      <c r="D6439" s="6">
        <v>5895.69</v>
      </c>
      <c r="E6439" s="6">
        <v>5815.34</v>
      </c>
      <c r="F6439" s="89"/>
      <c r="G6439" s="89"/>
      <c r="H6439" s="89"/>
      <c r="I6439" s="90"/>
      <c r="J6439" s="91"/>
      <c r="K6439" s="92"/>
      <c r="L6439" s="93"/>
    </row>
    <row r="6440" spans="1:12" s="94" customFormat="1" x14ac:dyDescent="0.25">
      <c r="A6440" s="95" t="s">
        <v>11975</v>
      </c>
      <c r="B6440" s="96" t="s">
        <v>7280</v>
      </c>
      <c r="C6440" s="97" t="s">
        <v>12397</v>
      </c>
      <c r="D6440" s="6">
        <v>5895.69</v>
      </c>
      <c r="E6440" s="6">
        <v>5815.34</v>
      </c>
      <c r="F6440" s="89"/>
      <c r="G6440" s="89"/>
      <c r="H6440" s="89"/>
      <c r="I6440" s="90"/>
      <c r="J6440" s="91"/>
      <c r="K6440" s="92"/>
      <c r="L6440" s="93"/>
    </row>
    <row r="6441" spans="1:12" s="94" customFormat="1" x14ac:dyDescent="0.25">
      <c r="A6441" s="95" t="s">
        <v>11976</v>
      </c>
      <c r="B6441" s="96" t="s">
        <v>7280</v>
      </c>
      <c r="C6441" s="97" t="s">
        <v>12398</v>
      </c>
      <c r="D6441" s="6">
        <v>5895.69</v>
      </c>
      <c r="E6441" s="6">
        <v>5815.34</v>
      </c>
      <c r="F6441" s="89"/>
      <c r="G6441" s="89"/>
      <c r="H6441" s="89"/>
      <c r="I6441" s="90"/>
      <c r="J6441" s="91"/>
      <c r="K6441" s="92"/>
      <c r="L6441" s="93"/>
    </row>
    <row r="6442" spans="1:12" s="94" customFormat="1" x14ac:dyDescent="0.25">
      <c r="A6442" s="95" t="s">
        <v>11977</v>
      </c>
      <c r="B6442" s="96" t="s">
        <v>7280</v>
      </c>
      <c r="C6442" s="97" t="s">
        <v>12399</v>
      </c>
      <c r="D6442" s="6">
        <v>5895.69</v>
      </c>
      <c r="E6442" s="6">
        <v>5815.34</v>
      </c>
      <c r="F6442" s="89"/>
      <c r="G6442" s="89"/>
      <c r="H6442" s="89"/>
      <c r="I6442" s="90"/>
      <c r="J6442" s="91"/>
      <c r="K6442" s="92"/>
      <c r="L6442" s="93"/>
    </row>
    <row r="6443" spans="1:12" s="94" customFormat="1" x14ac:dyDescent="0.25">
      <c r="A6443" s="95" t="s">
        <v>11978</v>
      </c>
      <c r="B6443" s="96" t="s">
        <v>7280</v>
      </c>
      <c r="C6443" s="97" t="s">
        <v>12400</v>
      </c>
      <c r="D6443" s="6">
        <v>5895.69</v>
      </c>
      <c r="E6443" s="6">
        <v>5815.34</v>
      </c>
      <c r="F6443" s="89"/>
      <c r="G6443" s="89"/>
      <c r="H6443" s="89"/>
      <c r="I6443" s="90"/>
      <c r="J6443" s="91"/>
      <c r="K6443" s="92"/>
      <c r="L6443" s="93"/>
    </row>
    <row r="6444" spans="1:12" s="94" customFormat="1" x14ac:dyDescent="0.25">
      <c r="A6444" s="95" t="s">
        <v>11979</v>
      </c>
      <c r="B6444" s="96" t="s">
        <v>7280</v>
      </c>
      <c r="C6444" s="97" t="s">
        <v>12401</v>
      </c>
      <c r="D6444" s="6">
        <v>5895.69</v>
      </c>
      <c r="E6444" s="6">
        <v>5815.34</v>
      </c>
      <c r="F6444" s="89"/>
      <c r="G6444" s="89"/>
      <c r="H6444" s="89"/>
      <c r="I6444" s="90"/>
      <c r="J6444" s="91"/>
      <c r="K6444" s="92"/>
      <c r="L6444" s="93"/>
    </row>
    <row r="6445" spans="1:12" s="94" customFormat="1" x14ac:dyDescent="0.25">
      <c r="A6445" s="95" t="s">
        <v>11980</v>
      </c>
      <c r="B6445" s="96" t="s">
        <v>7280</v>
      </c>
      <c r="C6445" s="97" t="s">
        <v>12402</v>
      </c>
      <c r="D6445" s="6">
        <v>5895.69</v>
      </c>
      <c r="E6445" s="6">
        <v>5815.34</v>
      </c>
      <c r="F6445" s="89"/>
      <c r="G6445" s="89"/>
      <c r="H6445" s="89"/>
      <c r="I6445" s="90"/>
      <c r="J6445" s="91"/>
      <c r="K6445" s="92"/>
      <c r="L6445" s="93"/>
    </row>
    <row r="6446" spans="1:12" s="94" customFormat="1" x14ac:dyDescent="0.25">
      <c r="A6446" s="95" t="s">
        <v>11981</v>
      </c>
      <c r="B6446" s="96" t="s">
        <v>7280</v>
      </c>
      <c r="C6446" s="97" t="s">
        <v>12403</v>
      </c>
      <c r="D6446" s="6">
        <v>5895.69</v>
      </c>
      <c r="E6446" s="6">
        <v>5815.34</v>
      </c>
      <c r="F6446" s="89"/>
      <c r="G6446" s="89"/>
      <c r="H6446" s="89"/>
      <c r="I6446" s="90"/>
      <c r="J6446" s="91"/>
      <c r="K6446" s="92"/>
      <c r="L6446" s="93"/>
    </row>
    <row r="6447" spans="1:12" s="94" customFormat="1" x14ac:dyDescent="0.25">
      <c r="A6447" s="95" t="s">
        <v>11982</v>
      </c>
      <c r="B6447" s="96" t="s">
        <v>7280</v>
      </c>
      <c r="C6447" s="97" t="s">
        <v>12404</v>
      </c>
      <c r="D6447" s="6">
        <v>5895.69</v>
      </c>
      <c r="E6447" s="6">
        <v>5815.34</v>
      </c>
      <c r="F6447" s="89"/>
      <c r="G6447" s="89"/>
      <c r="H6447" s="89"/>
      <c r="I6447" s="90"/>
      <c r="J6447" s="91"/>
      <c r="K6447" s="92"/>
      <c r="L6447" s="93"/>
    </row>
    <row r="6448" spans="1:12" s="94" customFormat="1" x14ac:dyDescent="0.25">
      <c r="A6448" s="95" t="s">
        <v>11983</v>
      </c>
      <c r="B6448" s="96" t="s">
        <v>7280</v>
      </c>
      <c r="C6448" s="97" t="s">
        <v>12405</v>
      </c>
      <c r="D6448" s="6">
        <v>5895.69</v>
      </c>
      <c r="E6448" s="6">
        <v>5815.34</v>
      </c>
      <c r="F6448" s="89"/>
      <c r="G6448" s="89"/>
      <c r="H6448" s="89"/>
      <c r="I6448" s="90"/>
      <c r="J6448" s="91"/>
      <c r="K6448" s="92"/>
      <c r="L6448" s="93"/>
    </row>
    <row r="6449" spans="1:12" s="94" customFormat="1" x14ac:dyDescent="0.25">
      <c r="A6449" s="95" t="s">
        <v>11984</v>
      </c>
      <c r="B6449" s="96" t="s">
        <v>7280</v>
      </c>
      <c r="C6449" s="97" t="s">
        <v>12406</v>
      </c>
      <c r="D6449" s="6">
        <v>5895.69</v>
      </c>
      <c r="E6449" s="6">
        <v>5815.34</v>
      </c>
      <c r="F6449" s="89"/>
      <c r="G6449" s="89"/>
      <c r="H6449" s="89"/>
      <c r="I6449" s="90"/>
      <c r="J6449" s="91"/>
      <c r="K6449" s="92"/>
      <c r="L6449" s="93"/>
    </row>
    <row r="6450" spans="1:12" s="94" customFormat="1" x14ac:dyDescent="0.25">
      <c r="A6450" s="95" t="s">
        <v>11985</v>
      </c>
      <c r="B6450" s="96" t="s">
        <v>6594</v>
      </c>
      <c r="C6450" s="97" t="s">
        <v>12407</v>
      </c>
      <c r="D6450" s="6">
        <v>9716.51</v>
      </c>
      <c r="E6450" s="6">
        <v>9529.25</v>
      </c>
      <c r="F6450" s="89"/>
      <c r="G6450" s="89"/>
      <c r="H6450" s="89"/>
      <c r="I6450" s="90"/>
      <c r="J6450" s="91"/>
      <c r="K6450" s="92"/>
      <c r="L6450" s="93"/>
    </row>
    <row r="6451" spans="1:12" x14ac:dyDescent="0.25">
      <c r="A6451" s="95" t="s">
        <v>11986</v>
      </c>
      <c r="B6451" s="96" t="s">
        <v>5215</v>
      </c>
      <c r="C6451" s="97" t="s">
        <v>12408</v>
      </c>
      <c r="D6451" s="6">
        <v>1008.29</v>
      </c>
      <c r="E6451" s="6">
        <v>1051.74</v>
      </c>
    </row>
    <row r="6452" spans="1:12" x14ac:dyDescent="0.25">
      <c r="A6452" s="95" t="s">
        <v>11987</v>
      </c>
      <c r="B6452" s="96" t="s">
        <v>5215</v>
      </c>
      <c r="C6452" s="97" t="s">
        <v>12409</v>
      </c>
      <c r="D6452" s="6">
        <v>1008.29</v>
      </c>
      <c r="E6452" s="6">
        <v>1051.74</v>
      </c>
    </row>
    <row r="6453" spans="1:12" x14ac:dyDescent="0.25">
      <c r="A6453" s="95" t="s">
        <v>11988</v>
      </c>
      <c r="B6453" s="96" t="s">
        <v>5215</v>
      </c>
      <c r="C6453" s="97" t="s">
        <v>12410</v>
      </c>
      <c r="D6453" s="6">
        <v>1008.29</v>
      </c>
      <c r="E6453" s="6">
        <v>1051.74</v>
      </c>
    </row>
    <row r="6454" spans="1:12" s="94" customFormat="1" x14ac:dyDescent="0.25">
      <c r="A6454" s="95" t="s">
        <v>11989</v>
      </c>
      <c r="B6454" s="96" t="s">
        <v>5215</v>
      </c>
      <c r="C6454" s="97" t="s">
        <v>12411</v>
      </c>
      <c r="D6454" s="6">
        <v>1402.9</v>
      </c>
      <c r="E6454" s="6">
        <v>1418.93</v>
      </c>
      <c r="F6454" s="89"/>
      <c r="G6454" s="89"/>
      <c r="H6454" s="89"/>
      <c r="I6454" s="90"/>
      <c r="J6454" s="91"/>
      <c r="K6454" s="92"/>
      <c r="L6454" s="93"/>
    </row>
    <row r="6455" spans="1:12" s="94" customFormat="1" x14ac:dyDescent="0.25">
      <c r="A6455" s="95" t="s">
        <v>11990</v>
      </c>
      <c r="B6455" s="96" t="s">
        <v>5215</v>
      </c>
      <c r="C6455" s="97" t="s">
        <v>12412</v>
      </c>
      <c r="D6455" s="6">
        <v>1402.9</v>
      </c>
      <c r="E6455" s="6">
        <v>1418.93</v>
      </c>
      <c r="F6455" s="89"/>
      <c r="G6455" s="89"/>
      <c r="H6455" s="89"/>
      <c r="I6455" s="90"/>
      <c r="J6455" s="91"/>
      <c r="K6455" s="92"/>
      <c r="L6455" s="93"/>
    </row>
    <row r="6456" spans="1:12" x14ac:dyDescent="0.25">
      <c r="A6456" s="95" t="s">
        <v>11991</v>
      </c>
      <c r="B6456" s="96" t="s">
        <v>5215</v>
      </c>
      <c r="C6456" s="97" t="s">
        <v>12413</v>
      </c>
      <c r="D6456" s="6">
        <v>1568.73</v>
      </c>
      <c r="E6456" s="6">
        <v>1689.55</v>
      </c>
    </row>
    <row r="6457" spans="1:12" s="94" customFormat="1" x14ac:dyDescent="0.25">
      <c r="A6457" s="95" t="s">
        <v>11992</v>
      </c>
      <c r="B6457" s="96" t="s">
        <v>5215</v>
      </c>
      <c r="C6457" s="97" t="s">
        <v>12414</v>
      </c>
      <c r="D6457" s="6">
        <v>363.85</v>
      </c>
      <c r="E6457" s="6">
        <v>331.13</v>
      </c>
      <c r="F6457" s="89"/>
      <c r="G6457" s="89"/>
      <c r="H6457" s="89"/>
      <c r="I6457" s="90"/>
      <c r="J6457" s="91"/>
      <c r="K6457" s="92"/>
      <c r="L6457" s="93"/>
    </row>
    <row r="6458" spans="1:12" s="94" customFormat="1" x14ac:dyDescent="0.25">
      <c r="A6458" s="95" t="s">
        <v>11993</v>
      </c>
      <c r="B6458" s="96" t="s">
        <v>5215</v>
      </c>
      <c r="C6458" s="97" t="s">
        <v>12415</v>
      </c>
      <c r="D6458" s="6">
        <v>1402.9</v>
      </c>
      <c r="E6458" s="6">
        <v>1418.93</v>
      </c>
      <c r="F6458" s="89"/>
      <c r="G6458" s="89"/>
      <c r="H6458" s="89"/>
      <c r="I6458" s="90"/>
      <c r="J6458" s="91"/>
      <c r="K6458" s="92"/>
      <c r="L6458" s="93"/>
    </row>
    <row r="6459" spans="1:12" s="94" customFormat="1" x14ac:dyDescent="0.25">
      <c r="A6459" s="95" t="s">
        <v>11994</v>
      </c>
      <c r="B6459" s="96" t="s">
        <v>2016</v>
      </c>
      <c r="C6459" s="97" t="s">
        <v>12416</v>
      </c>
      <c r="D6459" s="6">
        <v>1513.82</v>
      </c>
      <c r="E6459" s="6">
        <v>1498.43</v>
      </c>
      <c r="F6459" s="89"/>
      <c r="G6459" s="89"/>
      <c r="H6459" s="89"/>
      <c r="I6459" s="90"/>
      <c r="J6459" s="91"/>
      <c r="K6459" s="92"/>
      <c r="L6459" s="93"/>
    </row>
    <row r="6460" spans="1:12" s="94" customFormat="1" x14ac:dyDescent="0.25">
      <c r="A6460" s="95" t="s">
        <v>11995</v>
      </c>
      <c r="B6460" s="96" t="s">
        <v>2016</v>
      </c>
      <c r="C6460" s="97" t="s">
        <v>12417</v>
      </c>
      <c r="D6460" s="6">
        <v>1513.82</v>
      </c>
      <c r="E6460" s="6">
        <v>1498.43</v>
      </c>
      <c r="F6460" s="89"/>
      <c r="G6460" s="89"/>
      <c r="H6460" s="89"/>
      <c r="I6460" s="90"/>
      <c r="J6460" s="91"/>
      <c r="K6460" s="92"/>
      <c r="L6460" s="93"/>
    </row>
    <row r="6461" spans="1:12" s="94" customFormat="1" x14ac:dyDescent="0.25">
      <c r="A6461" s="95" t="s">
        <v>11996</v>
      </c>
      <c r="B6461" s="96" t="s">
        <v>1072</v>
      </c>
      <c r="C6461" s="97" t="s">
        <v>12418</v>
      </c>
      <c r="D6461" s="6">
        <v>1314.55</v>
      </c>
      <c r="E6461" s="6">
        <v>1158.28</v>
      </c>
      <c r="F6461" s="89"/>
      <c r="G6461" s="89"/>
      <c r="H6461" s="89"/>
      <c r="I6461" s="90"/>
      <c r="J6461" s="91"/>
      <c r="K6461" s="92"/>
      <c r="L6461" s="93"/>
    </row>
    <row r="6462" spans="1:12" s="94" customFormat="1" x14ac:dyDescent="0.25">
      <c r="A6462" s="95" t="s">
        <v>11997</v>
      </c>
      <c r="B6462" s="96" t="s">
        <v>1496</v>
      </c>
      <c r="C6462" s="97" t="s">
        <v>12418</v>
      </c>
      <c r="D6462" s="6">
        <v>1831.09</v>
      </c>
      <c r="E6462" s="6">
        <v>1533.82</v>
      </c>
      <c r="F6462" s="89"/>
      <c r="G6462" s="89"/>
      <c r="H6462" s="89"/>
      <c r="I6462" s="90"/>
      <c r="J6462" s="91"/>
      <c r="K6462" s="92"/>
      <c r="L6462" s="93"/>
    </row>
    <row r="6463" spans="1:12" s="94" customFormat="1" x14ac:dyDescent="0.25">
      <c r="A6463" s="95" t="s">
        <v>11998</v>
      </c>
      <c r="B6463" s="96" t="s">
        <v>1496</v>
      </c>
      <c r="C6463" s="97" t="s">
        <v>12419</v>
      </c>
      <c r="D6463" s="6">
        <v>1831.09</v>
      </c>
      <c r="E6463" s="6">
        <v>1533.82</v>
      </c>
      <c r="F6463" s="89"/>
      <c r="G6463" s="89"/>
      <c r="H6463" s="89"/>
      <c r="I6463" s="90"/>
      <c r="J6463" s="91"/>
      <c r="K6463" s="92"/>
      <c r="L6463" s="93"/>
    </row>
    <row r="6464" spans="1:12" s="94" customFormat="1" x14ac:dyDescent="0.25">
      <c r="A6464" s="95" t="s">
        <v>11999</v>
      </c>
      <c r="B6464" s="96" t="s">
        <v>1072</v>
      </c>
      <c r="C6464" s="97" t="s">
        <v>12419</v>
      </c>
      <c r="D6464" s="6">
        <v>1314.55</v>
      </c>
      <c r="E6464" s="6">
        <v>1158.28</v>
      </c>
      <c r="F6464" s="89"/>
      <c r="G6464" s="89"/>
      <c r="H6464" s="89"/>
      <c r="I6464" s="90"/>
      <c r="J6464" s="91"/>
      <c r="K6464" s="92"/>
      <c r="L6464" s="93"/>
    </row>
    <row r="6465" spans="1:12" s="94" customFormat="1" x14ac:dyDescent="0.25">
      <c r="A6465" s="95" t="s">
        <v>12000</v>
      </c>
      <c r="B6465" s="96" t="s">
        <v>1072</v>
      </c>
      <c r="C6465" s="97" t="s">
        <v>12420</v>
      </c>
      <c r="D6465" s="6">
        <v>1314.55</v>
      </c>
      <c r="E6465" s="6">
        <v>1158.28</v>
      </c>
      <c r="F6465" s="89"/>
      <c r="G6465" s="89"/>
      <c r="H6465" s="89"/>
      <c r="I6465" s="90"/>
      <c r="J6465" s="91"/>
      <c r="K6465" s="92"/>
      <c r="L6465" s="93"/>
    </row>
    <row r="6466" spans="1:12" s="94" customFormat="1" x14ac:dyDescent="0.25">
      <c r="A6466" s="95" t="s">
        <v>12001</v>
      </c>
      <c r="B6466" s="96" t="s">
        <v>1496</v>
      </c>
      <c r="C6466" s="97" t="s">
        <v>12420</v>
      </c>
      <c r="D6466" s="6">
        <v>1831.09</v>
      </c>
      <c r="E6466" s="6">
        <v>1533.82</v>
      </c>
      <c r="F6466" s="89"/>
      <c r="G6466" s="89"/>
      <c r="H6466" s="89"/>
      <c r="I6466" s="90"/>
      <c r="J6466" s="91"/>
      <c r="K6466" s="92"/>
      <c r="L6466" s="93"/>
    </row>
    <row r="6467" spans="1:12" s="94" customFormat="1" x14ac:dyDescent="0.25">
      <c r="A6467" s="95" t="s">
        <v>12002</v>
      </c>
      <c r="B6467" s="96" t="s">
        <v>1072</v>
      </c>
      <c r="C6467" s="97" t="s">
        <v>12421</v>
      </c>
      <c r="D6467" s="6">
        <v>1314.55</v>
      </c>
      <c r="E6467" s="6">
        <v>1158.28</v>
      </c>
      <c r="F6467" s="89"/>
      <c r="G6467" s="89"/>
      <c r="H6467" s="89"/>
      <c r="I6467" s="90"/>
      <c r="J6467" s="91"/>
      <c r="K6467" s="92"/>
      <c r="L6467" s="93"/>
    </row>
    <row r="6468" spans="1:12" s="94" customFormat="1" x14ac:dyDescent="0.25">
      <c r="A6468" s="95" t="s">
        <v>12003</v>
      </c>
      <c r="B6468" s="96" t="s">
        <v>1496</v>
      </c>
      <c r="C6468" s="97" t="s">
        <v>12421</v>
      </c>
      <c r="D6468" s="6">
        <v>1831.09</v>
      </c>
      <c r="E6468" s="6">
        <v>1533.82</v>
      </c>
      <c r="F6468" s="89"/>
      <c r="G6468" s="89"/>
      <c r="H6468" s="89"/>
      <c r="I6468" s="90"/>
      <c r="J6468" s="91"/>
      <c r="K6468" s="92"/>
      <c r="L6468" s="93"/>
    </row>
    <row r="6469" spans="1:12" s="94" customFormat="1" x14ac:dyDescent="0.25">
      <c r="A6469" s="95" t="s">
        <v>12004</v>
      </c>
      <c r="B6469" s="96" t="s">
        <v>1072</v>
      </c>
      <c r="C6469" s="97" t="s">
        <v>12422</v>
      </c>
      <c r="D6469" s="6">
        <v>1314.55</v>
      </c>
      <c r="E6469" s="6">
        <v>1158.28</v>
      </c>
      <c r="F6469" s="89"/>
      <c r="G6469" s="89"/>
      <c r="H6469" s="89"/>
      <c r="I6469" s="90"/>
      <c r="J6469" s="91"/>
      <c r="K6469" s="92"/>
      <c r="L6469" s="93"/>
    </row>
    <row r="6470" spans="1:12" s="94" customFormat="1" x14ac:dyDescent="0.25">
      <c r="A6470" s="95" t="s">
        <v>12005</v>
      </c>
      <c r="B6470" s="96" t="s">
        <v>1496</v>
      </c>
      <c r="C6470" s="97" t="s">
        <v>12422</v>
      </c>
      <c r="D6470" s="6">
        <v>1831.09</v>
      </c>
      <c r="E6470" s="6">
        <v>1533.82</v>
      </c>
      <c r="F6470" s="89"/>
      <c r="G6470" s="89"/>
      <c r="H6470" s="89"/>
      <c r="I6470" s="90"/>
      <c r="J6470" s="91"/>
      <c r="K6470" s="92"/>
      <c r="L6470" s="93"/>
    </row>
    <row r="6471" spans="1:12" s="94" customFormat="1" x14ac:dyDescent="0.25">
      <c r="A6471" s="95" t="s">
        <v>12006</v>
      </c>
      <c r="B6471" s="96" t="s">
        <v>4476</v>
      </c>
      <c r="C6471" s="97" t="s">
        <v>12423</v>
      </c>
      <c r="D6471" s="6">
        <v>6463.62</v>
      </c>
      <c r="E6471" s="6">
        <v>7222.28</v>
      </c>
      <c r="F6471" s="89"/>
      <c r="G6471" s="89"/>
      <c r="H6471" s="89"/>
      <c r="I6471" s="90"/>
      <c r="J6471" s="91"/>
      <c r="K6471" s="92"/>
      <c r="L6471" s="93"/>
    </row>
    <row r="6472" spans="1:12" s="94" customFormat="1" x14ac:dyDescent="0.25">
      <c r="A6472" s="95" t="s">
        <v>12007</v>
      </c>
      <c r="B6472" s="96" t="s">
        <v>8697</v>
      </c>
      <c r="C6472" s="97" t="s">
        <v>12424</v>
      </c>
      <c r="D6472" s="6">
        <v>1929.32</v>
      </c>
      <c r="E6472" s="6">
        <v>1033</v>
      </c>
      <c r="F6472" s="89"/>
      <c r="G6472" s="89"/>
      <c r="H6472" s="89"/>
      <c r="I6472" s="90"/>
      <c r="J6472" s="91"/>
      <c r="K6472" s="92"/>
      <c r="L6472" s="93"/>
    </row>
    <row r="6473" spans="1:12" s="94" customFormat="1" x14ac:dyDescent="0.25">
      <c r="A6473" s="95" t="s">
        <v>12008</v>
      </c>
      <c r="B6473" s="96" t="s">
        <v>8697</v>
      </c>
      <c r="C6473" s="97" t="s">
        <v>12425</v>
      </c>
      <c r="D6473" s="6">
        <v>1929.32</v>
      </c>
      <c r="E6473" s="6">
        <v>1033</v>
      </c>
      <c r="F6473" s="89"/>
      <c r="G6473" s="89"/>
      <c r="H6473" s="89"/>
      <c r="I6473" s="90"/>
      <c r="J6473" s="91"/>
      <c r="K6473" s="92"/>
      <c r="L6473" s="93"/>
    </row>
    <row r="6474" spans="1:12" s="94" customFormat="1" x14ac:dyDescent="0.25">
      <c r="A6474" s="95" t="s">
        <v>12009</v>
      </c>
      <c r="B6474" s="96" t="s">
        <v>5215</v>
      </c>
      <c r="C6474" s="97" t="s">
        <v>12426</v>
      </c>
      <c r="D6474" s="6">
        <v>1402.9</v>
      </c>
      <c r="E6474" s="6">
        <v>1418.93</v>
      </c>
      <c r="F6474" s="89"/>
      <c r="G6474" s="89"/>
      <c r="H6474" s="89"/>
      <c r="I6474" s="90"/>
      <c r="J6474" s="91"/>
      <c r="K6474" s="92"/>
      <c r="L6474" s="93"/>
    </row>
    <row r="6475" spans="1:12" x14ac:dyDescent="0.25">
      <c r="A6475" s="95" t="s">
        <v>12010</v>
      </c>
      <c r="B6475" s="96" t="s">
        <v>5215</v>
      </c>
      <c r="C6475" s="97" t="s">
        <v>12427</v>
      </c>
      <c r="D6475" s="6">
        <v>1008.29</v>
      </c>
      <c r="E6475" s="6">
        <v>1051.74</v>
      </c>
    </row>
    <row r="6476" spans="1:12" s="94" customFormat="1" x14ac:dyDescent="0.25">
      <c r="A6476" s="95" t="s">
        <v>12011</v>
      </c>
      <c r="B6476" s="96" t="s">
        <v>5215</v>
      </c>
      <c r="C6476" s="97" t="s">
        <v>12428</v>
      </c>
      <c r="D6476" s="6">
        <v>363.85</v>
      </c>
      <c r="E6476" s="6">
        <v>331.13</v>
      </c>
      <c r="F6476" s="89"/>
      <c r="G6476" s="89"/>
      <c r="H6476" s="89"/>
      <c r="I6476" s="90"/>
      <c r="J6476" s="91"/>
      <c r="K6476" s="92"/>
      <c r="L6476" s="93"/>
    </row>
    <row r="6477" spans="1:12" s="94" customFormat="1" x14ac:dyDescent="0.25">
      <c r="A6477" s="95" t="s">
        <v>12012</v>
      </c>
      <c r="B6477" s="96" t="s">
        <v>5215</v>
      </c>
      <c r="C6477" s="97" t="s">
        <v>12429</v>
      </c>
      <c r="D6477" s="6">
        <v>1402.9</v>
      </c>
      <c r="E6477" s="6">
        <v>1418.93</v>
      </c>
      <c r="F6477" s="89"/>
      <c r="G6477" s="89"/>
      <c r="H6477" s="89"/>
      <c r="I6477" s="90"/>
      <c r="J6477" s="91"/>
      <c r="K6477" s="92"/>
      <c r="L6477" s="93"/>
    </row>
    <row r="6478" spans="1:12" s="94" customFormat="1" x14ac:dyDescent="0.25">
      <c r="A6478" s="95" t="s">
        <v>12013</v>
      </c>
      <c r="B6478" s="96" t="s">
        <v>8886</v>
      </c>
      <c r="C6478" s="97" t="s">
        <v>12430</v>
      </c>
      <c r="D6478" s="6">
        <v>517.94000000000005</v>
      </c>
      <c r="E6478" s="6">
        <v>492.2</v>
      </c>
      <c r="F6478" s="89"/>
      <c r="G6478" s="89"/>
      <c r="H6478" s="89"/>
      <c r="I6478" s="90"/>
      <c r="J6478" s="91"/>
      <c r="K6478" s="92"/>
      <c r="L6478" s="93"/>
    </row>
    <row r="6479" spans="1:12" s="94" customFormat="1" x14ac:dyDescent="0.25">
      <c r="A6479" s="95" t="s">
        <v>12014</v>
      </c>
      <c r="B6479" s="96" t="s">
        <v>2016</v>
      </c>
      <c r="C6479" s="97" t="s">
        <v>12431</v>
      </c>
      <c r="D6479" s="6">
        <v>1513.82</v>
      </c>
      <c r="E6479" s="6">
        <v>1498.43</v>
      </c>
      <c r="F6479" s="89"/>
      <c r="G6479" s="89"/>
      <c r="H6479" s="89"/>
      <c r="I6479" s="90"/>
      <c r="J6479" s="91"/>
      <c r="K6479" s="92"/>
      <c r="L6479" s="93"/>
    </row>
    <row r="6480" spans="1:12" s="94" customFormat="1" x14ac:dyDescent="0.25">
      <c r="A6480" s="95" t="s">
        <v>12015</v>
      </c>
      <c r="B6480" s="96" t="s">
        <v>4436</v>
      </c>
      <c r="C6480" s="97" t="s">
        <v>12432</v>
      </c>
      <c r="D6480" s="6">
        <v>1006.46</v>
      </c>
      <c r="E6480" s="6">
        <v>1031.58</v>
      </c>
      <c r="F6480" s="89"/>
      <c r="G6480" s="89"/>
      <c r="H6480" s="89"/>
      <c r="I6480" s="90"/>
      <c r="J6480" s="91"/>
      <c r="K6480" s="92"/>
      <c r="L6480" s="93"/>
    </row>
    <row r="6481" spans="1:12" s="94" customFormat="1" x14ac:dyDescent="0.25">
      <c r="A6481" s="95" t="s">
        <v>12016</v>
      </c>
      <c r="B6481" s="96" t="s">
        <v>4436</v>
      </c>
      <c r="C6481" s="97" t="s">
        <v>12433</v>
      </c>
      <c r="D6481" s="6">
        <v>1006.46</v>
      </c>
      <c r="E6481" s="6">
        <v>1031.58</v>
      </c>
      <c r="F6481" s="89"/>
      <c r="G6481" s="89"/>
      <c r="H6481" s="89"/>
      <c r="I6481" s="90"/>
      <c r="J6481" s="91"/>
      <c r="K6481" s="92"/>
      <c r="L6481" s="93"/>
    </row>
    <row r="6482" spans="1:12" s="94" customFormat="1" x14ac:dyDescent="0.25">
      <c r="A6482" s="95" t="s">
        <v>12017</v>
      </c>
      <c r="B6482" s="96" t="s">
        <v>4436</v>
      </c>
      <c r="C6482" s="97" t="s">
        <v>12434</v>
      </c>
      <c r="D6482" s="6">
        <v>1006.46</v>
      </c>
      <c r="E6482" s="6">
        <v>1031.58</v>
      </c>
      <c r="F6482" s="89"/>
      <c r="G6482" s="89"/>
      <c r="H6482" s="89"/>
      <c r="I6482" s="90"/>
      <c r="J6482" s="91"/>
      <c r="K6482" s="92"/>
      <c r="L6482" s="93"/>
    </row>
    <row r="6483" spans="1:12" s="94" customFormat="1" x14ac:dyDescent="0.25">
      <c r="A6483" s="95" t="s">
        <v>12018</v>
      </c>
      <c r="B6483" s="96" t="s">
        <v>4436</v>
      </c>
      <c r="C6483" s="97" t="s">
        <v>12435</v>
      </c>
      <c r="D6483" s="6">
        <v>1006.46</v>
      </c>
      <c r="E6483" s="6">
        <v>1031.58</v>
      </c>
      <c r="F6483" s="89"/>
      <c r="G6483" s="89"/>
      <c r="H6483" s="89"/>
      <c r="I6483" s="90"/>
      <c r="J6483" s="91"/>
      <c r="K6483" s="92"/>
      <c r="L6483" s="93"/>
    </row>
    <row r="6484" spans="1:12" s="94" customFormat="1" x14ac:dyDescent="0.25">
      <c r="A6484" s="95" t="s">
        <v>12019</v>
      </c>
      <c r="B6484" s="96" t="s">
        <v>4436</v>
      </c>
      <c r="C6484" s="97" t="s">
        <v>12436</v>
      </c>
      <c r="D6484" s="6">
        <v>1006.46</v>
      </c>
      <c r="E6484" s="6">
        <v>1031.58</v>
      </c>
      <c r="F6484" s="89"/>
      <c r="G6484" s="89"/>
      <c r="H6484" s="89"/>
      <c r="I6484" s="90"/>
      <c r="J6484" s="91"/>
      <c r="K6484" s="92"/>
      <c r="L6484" s="93"/>
    </row>
    <row r="6485" spans="1:12" s="94" customFormat="1" x14ac:dyDescent="0.25">
      <c r="A6485" s="95" t="s">
        <v>12020</v>
      </c>
      <c r="B6485" s="96" t="s">
        <v>1496</v>
      </c>
      <c r="C6485" s="97" t="s">
        <v>12437</v>
      </c>
      <c r="D6485" s="6">
        <v>1831.09</v>
      </c>
      <c r="E6485" s="6">
        <v>1533.82</v>
      </c>
      <c r="F6485" s="89"/>
      <c r="G6485" s="89"/>
      <c r="H6485" s="89"/>
      <c r="I6485" s="90"/>
      <c r="J6485" s="91"/>
      <c r="K6485" s="92"/>
      <c r="L6485" s="93"/>
    </row>
    <row r="6486" spans="1:12" s="94" customFormat="1" x14ac:dyDescent="0.25">
      <c r="A6486" s="95" t="s">
        <v>12021</v>
      </c>
      <c r="B6486" s="96" t="s">
        <v>1072</v>
      </c>
      <c r="C6486" s="97" t="s">
        <v>12437</v>
      </c>
      <c r="D6486" s="6">
        <v>1314.55</v>
      </c>
      <c r="E6486" s="6">
        <v>1158.28</v>
      </c>
      <c r="F6486" s="89"/>
      <c r="G6486" s="89"/>
      <c r="H6486" s="89"/>
      <c r="I6486" s="90"/>
      <c r="J6486" s="91"/>
      <c r="K6486" s="92"/>
      <c r="L6486" s="93"/>
    </row>
    <row r="6487" spans="1:12" s="94" customFormat="1" x14ac:dyDescent="0.25">
      <c r="A6487" s="95" t="s">
        <v>12022</v>
      </c>
      <c r="B6487" s="96" t="s">
        <v>1496</v>
      </c>
      <c r="C6487" s="97" t="s">
        <v>12438</v>
      </c>
      <c r="D6487" s="6">
        <v>1831.09</v>
      </c>
      <c r="E6487" s="6">
        <v>1533.82</v>
      </c>
      <c r="F6487" s="89"/>
      <c r="G6487" s="89"/>
      <c r="H6487" s="89"/>
      <c r="I6487" s="90"/>
      <c r="J6487" s="91"/>
      <c r="K6487" s="92"/>
      <c r="L6487" s="93"/>
    </row>
    <row r="6488" spans="1:12" s="94" customFormat="1" x14ac:dyDescent="0.25">
      <c r="A6488" s="95" t="s">
        <v>12023</v>
      </c>
      <c r="B6488" s="96" t="s">
        <v>1496</v>
      </c>
      <c r="C6488" s="97" t="s">
        <v>12439</v>
      </c>
      <c r="D6488" s="6">
        <v>1831.09</v>
      </c>
      <c r="E6488" s="6">
        <v>1533.82</v>
      </c>
      <c r="F6488" s="89"/>
      <c r="G6488" s="89"/>
      <c r="H6488" s="89"/>
      <c r="I6488" s="90"/>
      <c r="J6488" s="91"/>
      <c r="K6488" s="92"/>
      <c r="L6488" s="93"/>
    </row>
    <row r="6489" spans="1:12" s="94" customFormat="1" x14ac:dyDescent="0.25">
      <c r="A6489" s="95" t="s">
        <v>12024</v>
      </c>
      <c r="B6489" s="96" t="s">
        <v>1072</v>
      </c>
      <c r="C6489" s="97" t="s">
        <v>12439</v>
      </c>
      <c r="D6489" s="6">
        <v>1314.55</v>
      </c>
      <c r="E6489" s="6">
        <v>1158.28</v>
      </c>
      <c r="F6489" s="89"/>
      <c r="G6489" s="89"/>
      <c r="H6489" s="89"/>
      <c r="I6489" s="90"/>
      <c r="J6489" s="91"/>
      <c r="K6489" s="92"/>
      <c r="L6489" s="93"/>
    </row>
    <row r="6490" spans="1:12" s="94" customFormat="1" x14ac:dyDescent="0.25">
      <c r="A6490" s="95" t="s">
        <v>12025</v>
      </c>
      <c r="B6490" s="96" t="s">
        <v>1072</v>
      </c>
      <c r="C6490" s="97" t="s">
        <v>12440</v>
      </c>
      <c r="D6490" s="6">
        <v>1314.55</v>
      </c>
      <c r="E6490" s="6">
        <v>1158.28</v>
      </c>
      <c r="F6490" s="89"/>
      <c r="G6490" s="89"/>
      <c r="H6490" s="89"/>
      <c r="I6490" s="90"/>
      <c r="J6490" s="91"/>
      <c r="K6490" s="92"/>
      <c r="L6490" s="93"/>
    </row>
    <row r="6491" spans="1:12" s="94" customFormat="1" x14ac:dyDescent="0.25">
      <c r="A6491" s="95" t="s">
        <v>12026</v>
      </c>
      <c r="B6491" s="96" t="s">
        <v>1496</v>
      </c>
      <c r="C6491" s="97" t="s">
        <v>12440</v>
      </c>
      <c r="D6491" s="6">
        <v>1831.09</v>
      </c>
      <c r="E6491" s="6">
        <v>1533.82</v>
      </c>
      <c r="F6491" s="89"/>
      <c r="G6491" s="89"/>
      <c r="H6491" s="89"/>
      <c r="I6491" s="90"/>
      <c r="J6491" s="91"/>
      <c r="K6491" s="92"/>
      <c r="L6491" s="93"/>
    </row>
    <row r="6492" spans="1:12" s="94" customFormat="1" x14ac:dyDescent="0.25">
      <c r="A6492" s="95" t="s">
        <v>12027</v>
      </c>
      <c r="B6492" s="96" t="s">
        <v>1496</v>
      </c>
      <c r="C6492" s="97" t="s">
        <v>12441</v>
      </c>
      <c r="D6492" s="6">
        <v>1831.09</v>
      </c>
      <c r="E6492" s="6">
        <v>1533.82</v>
      </c>
      <c r="F6492" s="89"/>
      <c r="G6492" s="89"/>
      <c r="H6492" s="89"/>
      <c r="I6492" s="90"/>
      <c r="J6492" s="91"/>
      <c r="K6492" s="92"/>
      <c r="L6492" s="93"/>
    </row>
    <row r="6493" spans="1:12" s="94" customFormat="1" x14ac:dyDescent="0.25">
      <c r="A6493" s="95" t="s">
        <v>12028</v>
      </c>
      <c r="B6493" s="96" t="s">
        <v>7280</v>
      </c>
      <c r="C6493" s="97" t="s">
        <v>12442</v>
      </c>
      <c r="D6493" s="6">
        <v>5895.69</v>
      </c>
      <c r="E6493" s="6">
        <v>5815.34</v>
      </c>
      <c r="F6493" s="89"/>
      <c r="G6493" s="89"/>
      <c r="H6493" s="89"/>
      <c r="I6493" s="90"/>
      <c r="J6493" s="91"/>
      <c r="K6493" s="92"/>
      <c r="L6493" s="93"/>
    </row>
    <row r="6494" spans="1:12" s="94" customFormat="1" x14ac:dyDescent="0.25">
      <c r="A6494" s="95" t="s">
        <v>12029</v>
      </c>
      <c r="B6494" s="96" t="s">
        <v>7280</v>
      </c>
      <c r="C6494" s="97" t="s">
        <v>12443</v>
      </c>
      <c r="D6494" s="6">
        <v>5895.69</v>
      </c>
      <c r="E6494" s="6">
        <v>5815.34</v>
      </c>
      <c r="F6494" s="89"/>
      <c r="G6494" s="89"/>
      <c r="H6494" s="89"/>
      <c r="I6494" s="90"/>
      <c r="J6494" s="91"/>
      <c r="K6494" s="92"/>
      <c r="L6494" s="93"/>
    </row>
    <row r="6495" spans="1:12" s="94" customFormat="1" x14ac:dyDescent="0.25">
      <c r="A6495" s="95" t="s">
        <v>12030</v>
      </c>
      <c r="B6495" s="96" t="s">
        <v>7280</v>
      </c>
      <c r="C6495" s="97" t="s">
        <v>12444</v>
      </c>
      <c r="D6495" s="6">
        <v>5895.69</v>
      </c>
      <c r="E6495" s="6">
        <v>5815.34</v>
      </c>
      <c r="F6495" s="89"/>
      <c r="G6495" s="89"/>
      <c r="H6495" s="89"/>
      <c r="I6495" s="90"/>
      <c r="J6495" s="91"/>
      <c r="K6495" s="92"/>
      <c r="L6495" s="93"/>
    </row>
    <row r="6496" spans="1:12" s="94" customFormat="1" x14ac:dyDescent="0.25">
      <c r="A6496" s="95" t="s">
        <v>12031</v>
      </c>
      <c r="B6496" s="96" t="s">
        <v>7280</v>
      </c>
      <c r="C6496" s="97" t="s">
        <v>12445</v>
      </c>
      <c r="D6496" s="6">
        <v>5895.69</v>
      </c>
      <c r="E6496" s="6">
        <v>5815.34</v>
      </c>
      <c r="F6496" s="89"/>
      <c r="G6496" s="89"/>
      <c r="H6496" s="89"/>
      <c r="I6496" s="90"/>
      <c r="J6496" s="91"/>
      <c r="K6496" s="92"/>
      <c r="L6496" s="93"/>
    </row>
    <row r="6497" spans="1:12" s="94" customFormat="1" x14ac:dyDescent="0.25">
      <c r="A6497" s="95" t="s">
        <v>12032</v>
      </c>
      <c r="B6497" s="96" t="s">
        <v>8697</v>
      </c>
      <c r="C6497" s="97" t="s">
        <v>12446</v>
      </c>
      <c r="D6497" s="6">
        <v>1929.32</v>
      </c>
      <c r="E6497" s="6">
        <v>1033</v>
      </c>
      <c r="F6497" s="89"/>
      <c r="G6497" s="89"/>
      <c r="H6497" s="89"/>
      <c r="I6497" s="90"/>
      <c r="J6497" s="91"/>
      <c r="K6497" s="92"/>
      <c r="L6497" s="93"/>
    </row>
    <row r="6498" spans="1:12" s="94" customFormat="1" x14ac:dyDescent="0.25">
      <c r="A6498" s="95" t="s">
        <v>12033</v>
      </c>
      <c r="B6498" s="96" t="s">
        <v>5215</v>
      </c>
      <c r="C6498" s="97" t="s">
        <v>12447</v>
      </c>
      <c r="D6498" s="6">
        <v>1402.9</v>
      </c>
      <c r="E6498" s="6">
        <v>1418.93</v>
      </c>
      <c r="F6498" s="89"/>
      <c r="G6498" s="89"/>
      <c r="H6498" s="89"/>
      <c r="I6498" s="90"/>
      <c r="J6498" s="91"/>
      <c r="K6498" s="92"/>
      <c r="L6498" s="93"/>
    </row>
    <row r="6499" spans="1:12" s="94" customFormat="1" x14ac:dyDescent="0.25">
      <c r="A6499" s="95" t="s">
        <v>12034</v>
      </c>
      <c r="B6499" s="96" t="s">
        <v>5215</v>
      </c>
      <c r="C6499" s="97" t="s">
        <v>12448</v>
      </c>
      <c r="D6499" s="6">
        <v>1402.9</v>
      </c>
      <c r="E6499" s="6">
        <v>1418.93</v>
      </c>
      <c r="F6499" s="89"/>
      <c r="G6499" s="89"/>
      <c r="H6499" s="89"/>
      <c r="I6499" s="90"/>
      <c r="J6499" s="91"/>
      <c r="K6499" s="92"/>
      <c r="L6499" s="93"/>
    </row>
    <row r="6500" spans="1:12" s="94" customFormat="1" x14ac:dyDescent="0.25">
      <c r="A6500" s="95" t="s">
        <v>12035</v>
      </c>
      <c r="B6500" s="96" t="s">
        <v>5215</v>
      </c>
      <c r="C6500" s="97" t="s">
        <v>12449</v>
      </c>
      <c r="D6500" s="6">
        <v>1402.9</v>
      </c>
      <c r="E6500" s="6">
        <v>1418.93</v>
      </c>
      <c r="F6500" s="89"/>
      <c r="G6500" s="89"/>
      <c r="H6500" s="89"/>
      <c r="I6500" s="90"/>
      <c r="J6500" s="91"/>
      <c r="K6500" s="92"/>
      <c r="L6500" s="93"/>
    </row>
    <row r="6501" spans="1:12" s="94" customFormat="1" x14ac:dyDescent="0.25">
      <c r="A6501" s="95" t="s">
        <v>12036</v>
      </c>
      <c r="B6501" s="96" t="s">
        <v>5215</v>
      </c>
      <c r="C6501" s="97" t="s">
        <v>12450</v>
      </c>
      <c r="D6501" s="6">
        <v>1402.9</v>
      </c>
      <c r="E6501" s="6">
        <v>1418.93</v>
      </c>
      <c r="F6501" s="89"/>
      <c r="G6501" s="89"/>
      <c r="H6501" s="89"/>
      <c r="I6501" s="90"/>
      <c r="J6501" s="91"/>
      <c r="K6501" s="92"/>
      <c r="L6501" s="93"/>
    </row>
    <row r="6502" spans="1:12" s="94" customFormat="1" x14ac:dyDescent="0.25">
      <c r="A6502" s="95" t="s">
        <v>12037</v>
      </c>
      <c r="B6502" s="96" t="s">
        <v>5215</v>
      </c>
      <c r="C6502" s="97" t="s">
        <v>12451</v>
      </c>
      <c r="D6502" s="6">
        <v>1402.9</v>
      </c>
      <c r="E6502" s="6">
        <v>1418.93</v>
      </c>
      <c r="F6502" s="89"/>
      <c r="G6502" s="89"/>
      <c r="H6502" s="89"/>
      <c r="I6502" s="90"/>
      <c r="J6502" s="91"/>
      <c r="K6502" s="92"/>
      <c r="L6502" s="93"/>
    </row>
    <row r="6503" spans="1:12" s="94" customFormat="1" x14ac:dyDescent="0.25">
      <c r="A6503" s="95" t="s">
        <v>12038</v>
      </c>
      <c r="B6503" s="96" t="s">
        <v>6025</v>
      </c>
      <c r="C6503" s="97" t="s">
        <v>12452</v>
      </c>
      <c r="D6503" s="6">
        <v>466.58</v>
      </c>
      <c r="E6503" s="6">
        <v>366.77</v>
      </c>
      <c r="F6503" s="89"/>
      <c r="G6503" s="89"/>
      <c r="H6503" s="89"/>
      <c r="I6503" s="90"/>
      <c r="J6503" s="91"/>
      <c r="K6503" s="92"/>
      <c r="L6503" s="93"/>
    </row>
    <row r="6504" spans="1:12" s="94" customFormat="1" x14ac:dyDescent="0.25">
      <c r="A6504" s="95" t="s">
        <v>12039</v>
      </c>
      <c r="B6504" s="96" t="s">
        <v>1496</v>
      </c>
      <c r="C6504" s="97" t="s">
        <v>12453</v>
      </c>
      <c r="D6504" s="6">
        <v>1831.09</v>
      </c>
      <c r="E6504" s="6">
        <v>1533.82</v>
      </c>
      <c r="F6504" s="89"/>
      <c r="G6504" s="89"/>
      <c r="H6504" s="89"/>
      <c r="I6504" s="90"/>
      <c r="J6504" s="91"/>
      <c r="K6504" s="92"/>
      <c r="L6504" s="93"/>
    </row>
    <row r="6505" spans="1:12" s="94" customFormat="1" x14ac:dyDescent="0.25">
      <c r="A6505" s="95" t="s">
        <v>12040</v>
      </c>
      <c r="B6505" s="96" t="s">
        <v>5215</v>
      </c>
      <c r="C6505" s="97" t="s">
        <v>12454</v>
      </c>
      <c r="D6505" s="6">
        <v>1402.9</v>
      </c>
      <c r="E6505" s="6">
        <v>1418.93</v>
      </c>
      <c r="F6505" s="89"/>
      <c r="G6505" s="89"/>
      <c r="H6505" s="89"/>
      <c r="I6505" s="90"/>
      <c r="J6505" s="91"/>
      <c r="K6505" s="92"/>
      <c r="L6505" s="93"/>
    </row>
    <row r="6506" spans="1:12" s="94" customFormat="1" x14ac:dyDescent="0.25">
      <c r="A6506" s="95" t="s">
        <v>12041</v>
      </c>
      <c r="B6506" s="96" t="s">
        <v>5215</v>
      </c>
      <c r="C6506" s="97" t="s">
        <v>12455</v>
      </c>
      <c r="D6506" s="6">
        <v>1402.9</v>
      </c>
      <c r="E6506" s="6">
        <v>1418.93</v>
      </c>
      <c r="F6506" s="89"/>
      <c r="G6506" s="89"/>
      <c r="H6506" s="89"/>
      <c r="I6506" s="90"/>
      <c r="J6506" s="91"/>
      <c r="K6506" s="92"/>
      <c r="L6506" s="93"/>
    </row>
    <row r="6507" spans="1:12" s="94" customFormat="1" x14ac:dyDescent="0.25">
      <c r="A6507" s="95" t="s">
        <v>12042</v>
      </c>
      <c r="B6507" s="96" t="s">
        <v>3482</v>
      </c>
      <c r="C6507" s="97" t="s">
        <v>12456</v>
      </c>
      <c r="D6507" s="6">
        <v>1006.46</v>
      </c>
      <c r="E6507" s="6">
        <v>1031.58</v>
      </c>
      <c r="F6507" s="89"/>
      <c r="G6507" s="89"/>
      <c r="H6507" s="89"/>
      <c r="I6507" s="90"/>
      <c r="J6507" s="91"/>
      <c r="K6507" s="92"/>
      <c r="L6507" s="93"/>
    </row>
    <row r="6508" spans="1:12" s="94" customFormat="1" x14ac:dyDescent="0.25">
      <c r="A6508" s="95" t="s">
        <v>12043</v>
      </c>
      <c r="B6508" s="96" t="s">
        <v>3482</v>
      </c>
      <c r="C6508" s="97" t="s">
        <v>12457</v>
      </c>
      <c r="D6508" s="6">
        <v>1006.46</v>
      </c>
      <c r="E6508" s="6">
        <v>1031.58</v>
      </c>
      <c r="F6508" s="89"/>
      <c r="G6508" s="89"/>
      <c r="H6508" s="89"/>
      <c r="I6508" s="90"/>
      <c r="J6508" s="91"/>
      <c r="K6508" s="92"/>
      <c r="L6508" s="93"/>
    </row>
    <row r="6509" spans="1:12" s="94" customFormat="1" x14ac:dyDescent="0.25">
      <c r="A6509" s="95" t="s">
        <v>12044</v>
      </c>
      <c r="B6509" s="96" t="s">
        <v>4436</v>
      </c>
      <c r="C6509" s="97" t="s">
        <v>12457</v>
      </c>
      <c r="D6509" s="6">
        <v>1006.46</v>
      </c>
      <c r="E6509" s="6">
        <v>1031.58</v>
      </c>
      <c r="F6509" s="89"/>
      <c r="G6509" s="89"/>
      <c r="H6509" s="89"/>
      <c r="I6509" s="90"/>
      <c r="J6509" s="91"/>
      <c r="K6509" s="92"/>
      <c r="L6509" s="93"/>
    </row>
    <row r="6510" spans="1:12" s="94" customFormat="1" x14ac:dyDescent="0.25">
      <c r="A6510" s="95" t="s">
        <v>12045</v>
      </c>
      <c r="B6510" s="96" t="s">
        <v>3482</v>
      </c>
      <c r="C6510" s="97" t="s">
        <v>12458</v>
      </c>
      <c r="D6510" s="6">
        <v>1006.46</v>
      </c>
      <c r="E6510" s="6">
        <v>1031.58</v>
      </c>
      <c r="F6510" s="89"/>
      <c r="G6510" s="89"/>
      <c r="H6510" s="89"/>
      <c r="I6510" s="90"/>
      <c r="J6510" s="91"/>
      <c r="K6510" s="92"/>
      <c r="L6510" s="93"/>
    </row>
    <row r="6511" spans="1:12" s="94" customFormat="1" x14ac:dyDescent="0.25">
      <c r="A6511" s="95" t="s">
        <v>12046</v>
      </c>
      <c r="B6511" s="96" t="s">
        <v>3482</v>
      </c>
      <c r="C6511" s="97" t="s">
        <v>12459</v>
      </c>
      <c r="D6511" s="6">
        <v>1006.46</v>
      </c>
      <c r="E6511" s="6">
        <v>1031.58</v>
      </c>
      <c r="F6511" s="89"/>
      <c r="G6511" s="89"/>
      <c r="H6511" s="89"/>
      <c r="I6511" s="90"/>
      <c r="J6511" s="91"/>
      <c r="K6511" s="92"/>
      <c r="L6511" s="93"/>
    </row>
    <row r="6512" spans="1:12" s="94" customFormat="1" x14ac:dyDescent="0.25">
      <c r="A6512" s="95" t="s">
        <v>12047</v>
      </c>
      <c r="B6512" s="96" t="s">
        <v>3482</v>
      </c>
      <c r="C6512" s="97" t="s">
        <v>12460</v>
      </c>
      <c r="D6512" s="6">
        <v>1006.46</v>
      </c>
      <c r="E6512" s="6">
        <v>1031.58</v>
      </c>
      <c r="F6512" s="89"/>
      <c r="G6512" s="89"/>
      <c r="H6512" s="89"/>
      <c r="I6512" s="90"/>
      <c r="J6512" s="91"/>
      <c r="K6512" s="92"/>
      <c r="L6512" s="93"/>
    </row>
    <row r="6513" spans="1:12" s="94" customFormat="1" x14ac:dyDescent="0.25">
      <c r="A6513" s="95" t="s">
        <v>12048</v>
      </c>
      <c r="B6513" s="96" t="s">
        <v>3482</v>
      </c>
      <c r="C6513" s="97" t="s">
        <v>12461</v>
      </c>
      <c r="D6513" s="6">
        <v>1006.46</v>
      </c>
      <c r="E6513" s="6">
        <v>1031.58</v>
      </c>
      <c r="F6513" s="89"/>
      <c r="G6513" s="89"/>
      <c r="H6513" s="89"/>
      <c r="I6513" s="90"/>
      <c r="J6513" s="91"/>
      <c r="K6513" s="92"/>
      <c r="L6513" s="93"/>
    </row>
    <row r="6514" spans="1:12" s="94" customFormat="1" x14ac:dyDescent="0.25">
      <c r="A6514" s="95" t="s">
        <v>12049</v>
      </c>
      <c r="B6514" s="96" t="s">
        <v>4436</v>
      </c>
      <c r="C6514" s="97" t="s">
        <v>12461</v>
      </c>
      <c r="D6514" s="6">
        <v>1006.46</v>
      </c>
      <c r="E6514" s="6">
        <v>1031.58</v>
      </c>
      <c r="F6514" s="89"/>
      <c r="G6514" s="89"/>
      <c r="H6514" s="89"/>
      <c r="I6514" s="90"/>
      <c r="J6514" s="91"/>
      <c r="K6514" s="92"/>
      <c r="L6514" s="93"/>
    </row>
    <row r="6515" spans="1:12" s="94" customFormat="1" x14ac:dyDescent="0.25">
      <c r="A6515" s="95" t="s">
        <v>12050</v>
      </c>
      <c r="B6515" s="96" t="s">
        <v>3482</v>
      </c>
      <c r="C6515" s="97" t="s">
        <v>12462</v>
      </c>
      <c r="D6515" s="6">
        <v>1006.46</v>
      </c>
      <c r="E6515" s="6">
        <v>1031.58</v>
      </c>
      <c r="F6515" s="89"/>
      <c r="G6515" s="89"/>
      <c r="H6515" s="89"/>
      <c r="I6515" s="90"/>
      <c r="J6515" s="91"/>
      <c r="K6515" s="92"/>
      <c r="L6515" s="93"/>
    </row>
    <row r="6516" spans="1:12" s="94" customFormat="1" x14ac:dyDescent="0.25">
      <c r="A6516" s="95" t="s">
        <v>12051</v>
      </c>
      <c r="B6516" s="96" t="s">
        <v>4436</v>
      </c>
      <c r="C6516" s="97" t="s">
        <v>12462</v>
      </c>
      <c r="D6516" s="6">
        <v>1006.46</v>
      </c>
      <c r="E6516" s="6">
        <v>1031.58</v>
      </c>
      <c r="F6516" s="89"/>
      <c r="G6516" s="89"/>
      <c r="H6516" s="89"/>
      <c r="I6516" s="90"/>
      <c r="J6516" s="91"/>
      <c r="K6516" s="92"/>
      <c r="L6516" s="93"/>
    </row>
    <row r="6517" spans="1:12" s="94" customFormat="1" x14ac:dyDescent="0.25">
      <c r="A6517" s="95" t="s">
        <v>12052</v>
      </c>
      <c r="B6517" s="96" t="s">
        <v>4436</v>
      </c>
      <c r="C6517" s="97" t="s">
        <v>12463</v>
      </c>
      <c r="D6517" s="6">
        <v>1006.46</v>
      </c>
      <c r="E6517" s="6">
        <v>1031.58</v>
      </c>
      <c r="F6517" s="89"/>
      <c r="G6517" s="89"/>
      <c r="H6517" s="89"/>
      <c r="I6517" s="90"/>
      <c r="J6517" s="91"/>
      <c r="K6517" s="92"/>
      <c r="L6517" s="93"/>
    </row>
    <row r="6518" spans="1:12" s="94" customFormat="1" x14ac:dyDescent="0.25">
      <c r="A6518" s="95" t="s">
        <v>12053</v>
      </c>
      <c r="B6518" s="96" t="s">
        <v>6025</v>
      </c>
      <c r="C6518" s="97" t="s">
        <v>12464</v>
      </c>
      <c r="D6518" s="6">
        <v>491.53</v>
      </c>
      <c r="E6518" s="6">
        <v>485.9</v>
      </c>
      <c r="F6518" s="89"/>
      <c r="G6518" s="89"/>
      <c r="H6518" s="89"/>
      <c r="I6518" s="90"/>
      <c r="J6518" s="91"/>
      <c r="K6518" s="92"/>
      <c r="L6518" s="93"/>
    </row>
    <row r="6519" spans="1:12" s="94" customFormat="1" x14ac:dyDescent="0.25">
      <c r="A6519" s="95" t="s">
        <v>12054</v>
      </c>
      <c r="B6519" s="96" t="s">
        <v>6025</v>
      </c>
      <c r="C6519" s="97" t="s">
        <v>12465</v>
      </c>
      <c r="D6519" s="6">
        <v>491.53</v>
      </c>
      <c r="E6519" s="6">
        <v>485.9</v>
      </c>
      <c r="F6519" s="89"/>
      <c r="G6519" s="89"/>
      <c r="H6519" s="89"/>
      <c r="I6519" s="90"/>
      <c r="J6519" s="91"/>
      <c r="K6519" s="92"/>
      <c r="L6519" s="93"/>
    </row>
    <row r="6520" spans="1:12" s="94" customFormat="1" x14ac:dyDescent="0.25">
      <c r="A6520" s="95" t="s">
        <v>12055</v>
      </c>
      <c r="B6520" s="96" t="s">
        <v>6025</v>
      </c>
      <c r="C6520" s="97" t="s">
        <v>12466</v>
      </c>
      <c r="D6520" s="6">
        <v>466.58</v>
      </c>
      <c r="E6520" s="6">
        <v>366.77</v>
      </c>
      <c r="F6520" s="89"/>
      <c r="G6520" s="89"/>
      <c r="H6520" s="89"/>
      <c r="I6520" s="90"/>
      <c r="J6520" s="91"/>
      <c r="K6520" s="92"/>
      <c r="L6520" s="93"/>
    </row>
    <row r="6521" spans="1:12" s="94" customFormat="1" x14ac:dyDescent="0.25">
      <c r="A6521" s="95" t="s">
        <v>12056</v>
      </c>
      <c r="B6521" s="96" t="s">
        <v>11587</v>
      </c>
      <c r="C6521" s="97" t="s">
        <v>12467</v>
      </c>
      <c r="D6521" s="6">
        <v>9307.3700000000008</v>
      </c>
      <c r="E6521" s="6">
        <v>11609.49</v>
      </c>
      <c r="F6521" s="89"/>
      <c r="G6521" s="89"/>
      <c r="H6521" s="89"/>
      <c r="I6521" s="90"/>
      <c r="J6521" s="91"/>
      <c r="K6521" s="92"/>
      <c r="L6521" s="93"/>
    </row>
    <row r="6522" spans="1:12" s="94" customFormat="1" x14ac:dyDescent="0.25">
      <c r="A6522" s="95" t="s">
        <v>12057</v>
      </c>
      <c r="B6522" s="96" t="s">
        <v>10973</v>
      </c>
      <c r="C6522" s="97" t="s">
        <v>12468</v>
      </c>
      <c r="D6522" s="6">
        <v>1568.73</v>
      </c>
      <c r="E6522" s="6">
        <v>1689.55</v>
      </c>
      <c r="F6522" s="89"/>
      <c r="G6522" s="89"/>
      <c r="H6522" s="89"/>
      <c r="I6522" s="90"/>
      <c r="J6522" s="91"/>
      <c r="K6522" s="92"/>
      <c r="L6522" s="93"/>
    </row>
    <row r="6523" spans="1:12" s="94" customFormat="1" x14ac:dyDescent="0.25">
      <c r="A6523" s="95" t="s">
        <v>12058</v>
      </c>
      <c r="B6523" s="96" t="s">
        <v>10973</v>
      </c>
      <c r="C6523" s="97" t="s">
        <v>12469</v>
      </c>
      <c r="D6523" s="6">
        <v>1568.73</v>
      </c>
      <c r="E6523" s="6">
        <v>1689.55</v>
      </c>
      <c r="F6523" s="89"/>
      <c r="G6523" s="89"/>
      <c r="H6523" s="89"/>
      <c r="I6523" s="90"/>
      <c r="J6523" s="91"/>
      <c r="K6523" s="92"/>
      <c r="L6523" s="93"/>
    </row>
    <row r="6524" spans="1:12" s="94" customFormat="1" x14ac:dyDescent="0.25">
      <c r="A6524" s="95" t="s">
        <v>12059</v>
      </c>
      <c r="B6524" s="96" t="s">
        <v>10973</v>
      </c>
      <c r="C6524" s="97" t="s">
        <v>12470</v>
      </c>
      <c r="D6524" s="6">
        <v>4227</v>
      </c>
      <c r="E6524" s="6">
        <v>4128</v>
      </c>
      <c r="F6524" s="89"/>
      <c r="G6524" s="89"/>
      <c r="H6524" s="89"/>
      <c r="I6524" s="90"/>
      <c r="J6524" s="91"/>
      <c r="K6524" s="92"/>
      <c r="L6524" s="93"/>
    </row>
    <row r="6525" spans="1:12" s="94" customFormat="1" x14ac:dyDescent="0.25">
      <c r="A6525" s="95" t="s">
        <v>12060</v>
      </c>
      <c r="B6525" s="96" t="s">
        <v>1496</v>
      </c>
      <c r="C6525" s="97" t="s">
        <v>12471</v>
      </c>
      <c r="D6525" s="6">
        <v>1831.09</v>
      </c>
      <c r="E6525" s="6">
        <v>1533.82</v>
      </c>
      <c r="F6525" s="89"/>
      <c r="G6525" s="89"/>
      <c r="H6525" s="89"/>
      <c r="I6525" s="90"/>
      <c r="J6525" s="91"/>
      <c r="K6525" s="92"/>
      <c r="L6525" s="93"/>
    </row>
    <row r="6526" spans="1:12" s="94" customFormat="1" x14ac:dyDescent="0.25">
      <c r="A6526" s="95" t="s">
        <v>12061</v>
      </c>
      <c r="B6526" s="96" t="s">
        <v>1496</v>
      </c>
      <c r="C6526" s="97" t="s">
        <v>12472</v>
      </c>
      <c r="D6526" s="6">
        <v>1831.09</v>
      </c>
      <c r="E6526" s="6">
        <v>1533.82</v>
      </c>
      <c r="F6526" s="89"/>
      <c r="G6526" s="89"/>
      <c r="H6526" s="89"/>
      <c r="I6526" s="90"/>
      <c r="J6526" s="91"/>
      <c r="K6526" s="92"/>
      <c r="L6526" s="93"/>
    </row>
    <row r="6527" spans="1:12" s="94" customFormat="1" x14ac:dyDescent="0.25">
      <c r="A6527" s="95" t="s">
        <v>12062</v>
      </c>
      <c r="B6527" s="96" t="s">
        <v>1496</v>
      </c>
      <c r="C6527" s="97" t="s">
        <v>12473</v>
      </c>
      <c r="D6527" s="6">
        <v>1831.09</v>
      </c>
      <c r="E6527" s="6">
        <v>1533.82</v>
      </c>
      <c r="F6527" s="89"/>
      <c r="G6527" s="89"/>
      <c r="H6527" s="89"/>
      <c r="I6527" s="90"/>
      <c r="J6527" s="91"/>
      <c r="K6527" s="92"/>
      <c r="L6527" s="93"/>
    </row>
    <row r="6528" spans="1:12" s="94" customFormat="1" x14ac:dyDescent="0.25">
      <c r="A6528" s="95" t="s">
        <v>12063</v>
      </c>
      <c r="B6528" s="96" t="s">
        <v>1496</v>
      </c>
      <c r="C6528" s="97" t="s">
        <v>12474</v>
      </c>
      <c r="D6528" s="6">
        <v>1831.09</v>
      </c>
      <c r="E6528" s="6">
        <v>1533.82</v>
      </c>
      <c r="F6528" s="89"/>
      <c r="G6528" s="89"/>
      <c r="H6528" s="89"/>
      <c r="I6528" s="90"/>
      <c r="J6528" s="91"/>
      <c r="K6528" s="92"/>
      <c r="L6528" s="93"/>
    </row>
    <row r="6529" spans="1:12" s="94" customFormat="1" x14ac:dyDescent="0.25">
      <c r="A6529" s="95" t="s">
        <v>12064</v>
      </c>
      <c r="B6529" s="96" t="s">
        <v>1496</v>
      </c>
      <c r="C6529" s="97" t="s">
        <v>12475</v>
      </c>
      <c r="D6529" s="6">
        <v>1831.09</v>
      </c>
      <c r="E6529" s="6">
        <v>1533.82</v>
      </c>
      <c r="F6529" s="89"/>
      <c r="G6529" s="89"/>
      <c r="H6529" s="89"/>
      <c r="I6529" s="90"/>
      <c r="J6529" s="91"/>
      <c r="K6529" s="92"/>
      <c r="L6529" s="93"/>
    </row>
    <row r="6530" spans="1:12" s="94" customFormat="1" x14ac:dyDescent="0.25">
      <c r="A6530" s="95" t="s">
        <v>12065</v>
      </c>
      <c r="B6530" s="96" t="s">
        <v>1496</v>
      </c>
      <c r="C6530" s="97" t="s">
        <v>12476</v>
      </c>
      <c r="D6530" s="6">
        <v>1831.09</v>
      </c>
      <c r="E6530" s="6">
        <v>1533.82</v>
      </c>
      <c r="F6530" s="89"/>
      <c r="G6530" s="89"/>
      <c r="H6530" s="89"/>
      <c r="I6530" s="90"/>
      <c r="J6530" s="91"/>
      <c r="K6530" s="92"/>
      <c r="L6530" s="93"/>
    </row>
    <row r="6531" spans="1:12" s="94" customFormat="1" x14ac:dyDescent="0.25">
      <c r="A6531" s="95" t="s">
        <v>12066</v>
      </c>
      <c r="B6531" s="96" t="s">
        <v>1496</v>
      </c>
      <c r="C6531" s="97" t="s">
        <v>12477</v>
      </c>
      <c r="D6531" s="6">
        <v>1831.09</v>
      </c>
      <c r="E6531" s="6">
        <v>1533.82</v>
      </c>
      <c r="F6531" s="89"/>
      <c r="G6531" s="89"/>
      <c r="H6531" s="89"/>
      <c r="I6531" s="90"/>
      <c r="J6531" s="91"/>
      <c r="K6531" s="92"/>
      <c r="L6531" s="93"/>
    </row>
    <row r="6532" spans="1:12" s="94" customFormat="1" x14ac:dyDescent="0.25">
      <c r="A6532" s="95" t="s">
        <v>12067</v>
      </c>
      <c r="B6532" s="96" t="s">
        <v>3482</v>
      </c>
      <c r="C6532" s="97" t="s">
        <v>12478</v>
      </c>
      <c r="D6532" s="6">
        <v>1006.46</v>
      </c>
      <c r="E6532" s="6">
        <v>1031.58</v>
      </c>
      <c r="F6532" s="89"/>
      <c r="G6532" s="89"/>
      <c r="H6532" s="89"/>
      <c r="I6532" s="90"/>
      <c r="J6532" s="91"/>
      <c r="K6532" s="92"/>
      <c r="L6532" s="93"/>
    </row>
    <row r="6533" spans="1:12" s="94" customFormat="1" x14ac:dyDescent="0.25">
      <c r="A6533" s="95" t="s">
        <v>12068</v>
      </c>
      <c r="B6533" s="96" t="s">
        <v>6380</v>
      </c>
      <c r="C6533" s="97" t="s">
        <v>12479</v>
      </c>
      <c r="D6533" s="6">
        <v>11224.92</v>
      </c>
      <c r="E6533" s="6">
        <v>9346.09</v>
      </c>
      <c r="F6533" s="89"/>
      <c r="G6533" s="89"/>
      <c r="H6533" s="89"/>
      <c r="I6533" s="90"/>
      <c r="J6533" s="91"/>
      <c r="K6533" s="92"/>
      <c r="L6533" s="93"/>
    </row>
    <row r="6534" spans="1:12" s="94" customFormat="1" x14ac:dyDescent="0.25">
      <c r="A6534" s="95" t="s">
        <v>12069</v>
      </c>
      <c r="B6534" s="96" t="s">
        <v>7280</v>
      </c>
      <c r="C6534" s="97" t="s">
        <v>12480</v>
      </c>
      <c r="D6534" s="6">
        <v>5895.69</v>
      </c>
      <c r="E6534" s="6">
        <v>5815.34</v>
      </c>
      <c r="F6534" s="89"/>
      <c r="G6534" s="89"/>
      <c r="H6534" s="89"/>
      <c r="I6534" s="90"/>
      <c r="J6534" s="91"/>
      <c r="K6534" s="92"/>
      <c r="L6534" s="93"/>
    </row>
    <row r="6535" spans="1:12" s="94" customFormat="1" x14ac:dyDescent="0.25">
      <c r="A6535" s="95" t="s">
        <v>12070</v>
      </c>
      <c r="B6535" s="96" t="s">
        <v>8697</v>
      </c>
      <c r="C6535" s="97" t="s">
        <v>12481</v>
      </c>
      <c r="D6535" s="6">
        <v>1929.32</v>
      </c>
      <c r="E6535" s="6">
        <v>1033</v>
      </c>
      <c r="F6535" s="89"/>
      <c r="G6535" s="89"/>
      <c r="H6535" s="89"/>
      <c r="I6535" s="90"/>
      <c r="J6535" s="91"/>
      <c r="K6535" s="92"/>
      <c r="L6535" s="93"/>
    </row>
    <row r="6536" spans="1:12" s="94" customFormat="1" x14ac:dyDescent="0.25">
      <c r="A6536" s="95" t="s">
        <v>12071</v>
      </c>
      <c r="B6536" s="96" t="s">
        <v>5215</v>
      </c>
      <c r="C6536" s="97" t="s">
        <v>12482</v>
      </c>
      <c r="D6536" s="6">
        <v>1402.9</v>
      </c>
      <c r="E6536" s="6">
        <v>1418.93</v>
      </c>
      <c r="F6536" s="89"/>
      <c r="G6536" s="89"/>
      <c r="H6536" s="89"/>
      <c r="I6536" s="90"/>
      <c r="J6536" s="91"/>
      <c r="K6536" s="92"/>
      <c r="L6536" s="93"/>
    </row>
    <row r="6537" spans="1:12" s="94" customFormat="1" x14ac:dyDescent="0.25">
      <c r="A6537" s="95" t="s">
        <v>12072</v>
      </c>
      <c r="B6537" s="96" t="s">
        <v>5215</v>
      </c>
      <c r="C6537" s="97" t="s">
        <v>12483</v>
      </c>
      <c r="D6537" s="6">
        <v>1402.9</v>
      </c>
      <c r="E6537" s="6">
        <v>1418.93</v>
      </c>
      <c r="F6537" s="89"/>
      <c r="G6537" s="89"/>
      <c r="H6537" s="89"/>
      <c r="I6537" s="90"/>
      <c r="J6537" s="91"/>
      <c r="K6537" s="92"/>
      <c r="L6537" s="93"/>
    </row>
    <row r="6538" spans="1:12" s="94" customFormat="1" x14ac:dyDescent="0.25">
      <c r="A6538" s="95" t="s">
        <v>12073</v>
      </c>
      <c r="B6538" s="96" t="s">
        <v>5215</v>
      </c>
      <c r="C6538" s="97" t="s">
        <v>12484</v>
      </c>
      <c r="D6538" s="6">
        <v>1402.9</v>
      </c>
      <c r="E6538" s="6">
        <v>1418.93</v>
      </c>
      <c r="F6538" s="89"/>
      <c r="G6538" s="89"/>
      <c r="H6538" s="89"/>
      <c r="I6538" s="90"/>
      <c r="J6538" s="91"/>
      <c r="K6538" s="92"/>
      <c r="L6538" s="93"/>
    </row>
    <row r="6539" spans="1:12" s="94" customFormat="1" x14ac:dyDescent="0.25">
      <c r="A6539" s="95" t="s">
        <v>12074</v>
      </c>
      <c r="B6539" s="96" t="s">
        <v>5215</v>
      </c>
      <c r="C6539" s="97" t="s">
        <v>12485</v>
      </c>
      <c r="D6539" s="6">
        <v>1402.9</v>
      </c>
      <c r="E6539" s="6">
        <v>1418.93</v>
      </c>
      <c r="F6539" s="89"/>
      <c r="G6539" s="89"/>
      <c r="H6539" s="89"/>
      <c r="I6539" s="90"/>
      <c r="J6539" s="91"/>
      <c r="K6539" s="92"/>
      <c r="L6539" s="93"/>
    </row>
    <row r="6540" spans="1:12" s="94" customFormat="1" x14ac:dyDescent="0.25">
      <c r="A6540" s="95" t="s">
        <v>12075</v>
      </c>
      <c r="B6540" s="96" t="s">
        <v>5215</v>
      </c>
      <c r="C6540" s="97" t="s">
        <v>12486</v>
      </c>
      <c r="D6540" s="6">
        <v>1402.9</v>
      </c>
      <c r="E6540" s="6">
        <v>1418.93</v>
      </c>
      <c r="F6540" s="89"/>
      <c r="G6540" s="89"/>
      <c r="H6540" s="89"/>
      <c r="I6540" s="90"/>
      <c r="J6540" s="91"/>
      <c r="K6540" s="92"/>
      <c r="L6540" s="93"/>
    </row>
    <row r="6541" spans="1:12" s="94" customFormat="1" x14ac:dyDescent="0.25">
      <c r="A6541" s="95" t="s">
        <v>12076</v>
      </c>
      <c r="B6541" s="96" t="s">
        <v>5215</v>
      </c>
      <c r="C6541" s="97" t="s">
        <v>12487</v>
      </c>
      <c r="D6541" s="6">
        <v>1402.9</v>
      </c>
      <c r="E6541" s="6">
        <v>1418.93</v>
      </c>
      <c r="F6541" s="89"/>
      <c r="G6541" s="89"/>
      <c r="H6541" s="89"/>
      <c r="I6541" s="90"/>
      <c r="J6541" s="91"/>
      <c r="K6541" s="92"/>
      <c r="L6541" s="93"/>
    </row>
    <row r="6542" spans="1:12" s="94" customFormat="1" x14ac:dyDescent="0.25">
      <c r="A6542" s="95" t="s">
        <v>12077</v>
      </c>
      <c r="B6542" s="96" t="s">
        <v>5215</v>
      </c>
      <c r="C6542" s="97" t="s">
        <v>12488</v>
      </c>
      <c r="D6542" s="6">
        <v>1402.9</v>
      </c>
      <c r="E6542" s="6">
        <v>1418.93</v>
      </c>
      <c r="F6542" s="89"/>
      <c r="G6542" s="89"/>
      <c r="H6542" s="89"/>
      <c r="I6542" s="90"/>
      <c r="J6542" s="91"/>
      <c r="K6542" s="92"/>
      <c r="L6542" s="93"/>
    </row>
    <row r="6543" spans="1:12" s="94" customFormat="1" x14ac:dyDescent="0.25">
      <c r="A6543" s="95" t="s">
        <v>12078</v>
      </c>
      <c r="B6543" s="96" t="s">
        <v>6025</v>
      </c>
      <c r="C6543" s="97" t="s">
        <v>12489</v>
      </c>
      <c r="D6543" s="6">
        <v>491.53</v>
      </c>
      <c r="E6543" s="6">
        <v>485.9</v>
      </c>
      <c r="F6543" s="89"/>
      <c r="G6543" s="89"/>
      <c r="H6543" s="89"/>
      <c r="I6543" s="90"/>
      <c r="J6543" s="91"/>
      <c r="K6543" s="92"/>
      <c r="L6543" s="93"/>
    </row>
    <row r="6544" spans="1:12" s="94" customFormat="1" x14ac:dyDescent="0.25">
      <c r="A6544" s="95" t="s">
        <v>12079</v>
      </c>
      <c r="B6544" s="96" t="s">
        <v>5215</v>
      </c>
      <c r="C6544" s="97" t="s">
        <v>12490</v>
      </c>
      <c r="D6544" s="6">
        <v>1402.9</v>
      </c>
      <c r="E6544" s="6">
        <v>1418.93</v>
      </c>
      <c r="F6544" s="89"/>
      <c r="G6544" s="89"/>
      <c r="H6544" s="89"/>
      <c r="I6544" s="90"/>
      <c r="J6544" s="91"/>
      <c r="K6544" s="92"/>
      <c r="L6544" s="93"/>
    </row>
    <row r="6545" spans="1:6" ht="15" x14ac:dyDescent="0.25">
      <c r="A6545" s="105" t="s">
        <v>12492</v>
      </c>
      <c r="B6545" s="96" t="s">
        <v>4647</v>
      </c>
      <c r="C6545" s="105" t="s">
        <v>12491</v>
      </c>
      <c r="D6545" s="6">
        <v>358</v>
      </c>
      <c r="E6545" s="6">
        <v>358</v>
      </c>
      <c r="F6545" s="104"/>
    </row>
    <row r="6546" spans="1:6" ht="15" x14ac:dyDescent="0.25">
      <c r="A6546" s="105" t="s">
        <v>12494</v>
      </c>
      <c r="B6546" s="96" t="s">
        <v>4647</v>
      </c>
      <c r="C6546" s="105" t="s">
        <v>12493</v>
      </c>
      <c r="D6546" s="6">
        <v>358</v>
      </c>
      <c r="E6546" s="6">
        <v>358</v>
      </c>
      <c r="F6546" s="104"/>
    </row>
    <row r="6547" spans="1:6" ht="15" x14ac:dyDescent="0.25">
      <c r="A6547" s="105" t="s">
        <v>12496</v>
      </c>
      <c r="B6547" s="96" t="s">
        <v>4647</v>
      </c>
      <c r="C6547" s="105" t="s">
        <v>12495</v>
      </c>
      <c r="D6547" s="6">
        <v>358</v>
      </c>
      <c r="E6547" s="6">
        <v>358</v>
      </c>
      <c r="F6547" s="104"/>
    </row>
    <row r="6548" spans="1:6" ht="15" x14ac:dyDescent="0.25">
      <c r="A6548" s="105" t="s">
        <v>12498</v>
      </c>
      <c r="B6548" s="96" t="s">
        <v>21</v>
      </c>
      <c r="C6548" s="105" t="s">
        <v>12497</v>
      </c>
      <c r="D6548" s="6">
        <v>155</v>
      </c>
      <c r="E6548" s="6">
        <v>140</v>
      </c>
      <c r="F6548" s="104"/>
    </row>
    <row r="6549" spans="1:6" ht="15" x14ac:dyDescent="0.25">
      <c r="A6549" s="105" t="s">
        <v>12500</v>
      </c>
      <c r="B6549" s="96" t="s">
        <v>21</v>
      </c>
      <c r="C6549" s="105" t="s">
        <v>12499</v>
      </c>
      <c r="D6549" s="6">
        <v>63</v>
      </c>
      <c r="E6549" s="6">
        <v>60</v>
      </c>
      <c r="F6549" s="104"/>
    </row>
    <row r="6550" spans="1:6" ht="15" x14ac:dyDescent="0.25">
      <c r="A6550" s="105" t="s">
        <v>12502</v>
      </c>
      <c r="B6550" s="96" t="s">
        <v>4647</v>
      </c>
      <c r="C6550" s="105" t="s">
        <v>12501</v>
      </c>
      <c r="D6550" s="6">
        <v>358</v>
      </c>
      <c r="E6550" s="6">
        <v>358</v>
      </c>
      <c r="F6550" s="104"/>
    </row>
    <row r="6551" spans="1:6" ht="15" x14ac:dyDescent="0.25">
      <c r="A6551" s="105" t="s">
        <v>12504</v>
      </c>
      <c r="B6551" s="96" t="s">
        <v>21</v>
      </c>
      <c r="C6551" s="105" t="s">
        <v>12503</v>
      </c>
      <c r="D6551" s="6">
        <v>63</v>
      </c>
      <c r="E6551" s="6">
        <v>60</v>
      </c>
      <c r="F6551" s="104"/>
    </row>
    <row r="6552" spans="1:6" ht="15" x14ac:dyDescent="0.25">
      <c r="A6552" s="105" t="s">
        <v>12506</v>
      </c>
      <c r="B6552" s="96" t="s">
        <v>21</v>
      </c>
      <c r="C6552" s="105" t="s">
        <v>12505</v>
      </c>
      <c r="D6552" s="6">
        <v>63</v>
      </c>
      <c r="E6552" s="6">
        <v>60</v>
      </c>
      <c r="F6552" s="104"/>
    </row>
    <row r="6553" spans="1:6" ht="15" x14ac:dyDescent="0.25">
      <c r="A6553" s="105" t="s">
        <v>12508</v>
      </c>
      <c r="B6553" s="96" t="s">
        <v>21</v>
      </c>
      <c r="C6553" s="105" t="s">
        <v>12507</v>
      </c>
      <c r="D6553" s="6">
        <v>63</v>
      </c>
      <c r="E6553" s="6">
        <v>60</v>
      </c>
      <c r="F6553" s="104"/>
    </row>
    <row r="6554" spans="1:6" ht="15" x14ac:dyDescent="0.25">
      <c r="A6554" s="105" t="s">
        <v>12510</v>
      </c>
      <c r="B6554" s="96" t="s">
        <v>21</v>
      </c>
      <c r="C6554" s="105" t="s">
        <v>12509</v>
      </c>
      <c r="D6554" s="6">
        <v>155</v>
      </c>
      <c r="E6554" s="6">
        <v>140</v>
      </c>
      <c r="F6554" s="104"/>
    </row>
    <row r="6555" spans="1:6" ht="15" x14ac:dyDescent="0.25">
      <c r="A6555" s="105" t="s">
        <v>12512</v>
      </c>
      <c r="B6555" s="96" t="s">
        <v>21</v>
      </c>
      <c r="C6555" s="105" t="s">
        <v>12511</v>
      </c>
      <c r="D6555" s="6">
        <v>63</v>
      </c>
      <c r="E6555" s="6">
        <v>60</v>
      </c>
      <c r="F6555" s="104"/>
    </row>
    <row r="6556" spans="1:6" ht="15" x14ac:dyDescent="0.25">
      <c r="A6556" s="105" t="s">
        <v>12514</v>
      </c>
      <c r="B6556" s="96" t="s">
        <v>21</v>
      </c>
      <c r="C6556" s="105" t="s">
        <v>12513</v>
      </c>
      <c r="D6556" s="6">
        <v>63</v>
      </c>
      <c r="E6556" s="6">
        <v>60</v>
      </c>
      <c r="F6556" s="104"/>
    </row>
    <row r="6557" spans="1:6" ht="15" x14ac:dyDescent="0.25">
      <c r="A6557" s="105" t="s">
        <v>12516</v>
      </c>
      <c r="B6557" s="96" t="s">
        <v>21</v>
      </c>
      <c r="C6557" s="105" t="s">
        <v>12515</v>
      </c>
      <c r="D6557" s="6">
        <v>155</v>
      </c>
      <c r="E6557" s="6">
        <v>140</v>
      </c>
      <c r="F6557" s="104"/>
    </row>
    <row r="6558" spans="1:6" ht="15" x14ac:dyDescent="0.25">
      <c r="A6558" s="105" t="s">
        <v>12518</v>
      </c>
      <c r="B6558" s="96" t="s">
        <v>21</v>
      </c>
      <c r="C6558" s="105" t="s">
        <v>12517</v>
      </c>
      <c r="D6558" s="6">
        <v>63</v>
      </c>
      <c r="E6558" s="6">
        <v>60</v>
      </c>
      <c r="F6558" s="104"/>
    </row>
    <row r="6559" spans="1:6" ht="15" x14ac:dyDescent="0.25">
      <c r="A6559" s="105" t="s">
        <v>12520</v>
      </c>
      <c r="B6559" s="96" t="s">
        <v>4647</v>
      </c>
      <c r="C6559" s="105" t="s">
        <v>12519</v>
      </c>
      <c r="D6559" s="6">
        <v>358</v>
      </c>
      <c r="E6559" s="6">
        <v>358</v>
      </c>
      <c r="F6559" s="104"/>
    </row>
    <row r="6560" spans="1:6" ht="15" x14ac:dyDescent="0.25">
      <c r="A6560" s="105" t="s">
        <v>12522</v>
      </c>
      <c r="B6560" s="96" t="s">
        <v>4647</v>
      </c>
      <c r="C6560" s="105" t="s">
        <v>12521</v>
      </c>
      <c r="D6560" s="6">
        <v>358</v>
      </c>
      <c r="E6560" s="6">
        <v>358</v>
      </c>
      <c r="F6560" s="104"/>
    </row>
    <row r="6561" spans="1:6" ht="15" x14ac:dyDescent="0.25">
      <c r="A6561" s="105" t="s">
        <v>12524</v>
      </c>
      <c r="B6561" s="96" t="s">
        <v>21</v>
      </c>
      <c r="C6561" s="105" t="s">
        <v>12523</v>
      </c>
      <c r="D6561" s="6">
        <v>63</v>
      </c>
      <c r="E6561" s="6">
        <v>60</v>
      </c>
      <c r="F6561" s="104"/>
    </row>
    <row r="6562" spans="1:6" ht="15" x14ac:dyDescent="0.25">
      <c r="A6562" s="105" t="s">
        <v>12526</v>
      </c>
      <c r="B6562" s="96" t="s">
        <v>21</v>
      </c>
      <c r="C6562" s="105" t="s">
        <v>12525</v>
      </c>
      <c r="D6562" s="6">
        <v>63</v>
      </c>
      <c r="E6562" s="6">
        <v>60</v>
      </c>
      <c r="F6562" s="104"/>
    </row>
    <row r="6563" spans="1:6" ht="15" x14ac:dyDescent="0.25">
      <c r="A6563"/>
      <c r="B6563" s="65"/>
      <c r="C6563"/>
      <c r="D6563" s="6"/>
      <c r="E6563" s="6"/>
      <c r="F6563" s="10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61</vt:i4>
      </vt:variant>
    </vt:vector>
  </HeadingPairs>
  <TitlesOfParts>
    <vt:vector size="62" baseType="lpstr">
      <vt:lpstr>ΤΑ 2024_new</vt:lpstr>
      <vt:lpstr>ΑΓΡΑΝΑΠΑΥΣΗ</vt:lpstr>
      <vt:lpstr>ΑΙΓΟΠΡΟΒΑΤΑ</vt:lpstr>
      <vt:lpstr>ΑΚΡΟΔΡΥΑ_ΚΑΡΠΟΙ_ΜΕ_ΚΕΛΥΦΟΣ</vt:lpstr>
      <vt:lpstr>ΑΜΠΕΛΩΝΕΣ_ΓΙΑ_ΕΠΙΤΡΑΠΕΖΙΑ_ΧΡΗΣΗ</vt:lpstr>
      <vt:lpstr>ΑΜΠΕΛΩΝΕΣ_ΓΙΑ_ΠΑΡΑΓΩΓΗ_ΟΙΝΟΥ</vt:lpstr>
      <vt:lpstr>ΑΜΠΕΛΩΝΕΣ_ΓΙΑ_ΠΑΡΑΓΩΓΗ_ΣΤΑΦΙΔΑΣ</vt:lpstr>
      <vt:lpstr>ΑΝΘΟΚΟΜΙΚΕΣ_ΚΑΛΛΙΕΡΓΕΙΕΣ</vt:lpstr>
      <vt:lpstr>ΑΡΑΒΟΣΙΤΟΣ</vt:lpstr>
      <vt:lpstr>ΑΡΑΒΟΣΙΤΟΣ_ΕΝΣΙΡΩΣΗΣ</vt:lpstr>
      <vt:lpstr>ΑΡΩΜΑΤΙΚΑ_ΦΥΤΑ</vt:lpstr>
      <vt:lpstr>ΒΑΜΒΑΚΙ</vt:lpstr>
      <vt:lpstr>ΒΙΟΜΗΧΑΝΙΚΗ_ΚΑΝΝΑΒΗ</vt:lpstr>
      <vt:lpstr>ΒΙΟΜΗΧΑΝΙΚΗ_ΚΑΝΝΑΒΗ_ΕΚΤΟΣ_ΚΟΙΝΟΤΙΚΟΥ_ΚΑΤΑΛΟΓΟΥ</vt:lpstr>
      <vt:lpstr>ΒΟΟΕΙΔΗ</vt:lpstr>
      <vt:lpstr>ΒΟΣΚΟΤΟΠΟΙ</vt:lpstr>
      <vt:lpstr>ΓΕΩΜΗΛΑ</vt:lpstr>
      <vt:lpstr>ΓΗ_ΠΟΥ_ΔΕΝ_ΕΝΤΑΣΣΕΤΑΙ_ΣΕ_ΚΑΛΛΙΕΡΓΗΤΙΚΗ_ΔΡΑΣΤΗΡΙΟΤΗΤΑ</vt:lpstr>
      <vt:lpstr>ΓΟΥΝΟΦΟΡΑ</vt:lpstr>
      <vt:lpstr>ΔΑΣΙΚΑ_ΔΕΝΤΡΑ</vt:lpstr>
      <vt:lpstr>ΕΚΤΑΣΕΙΣ_ΜΕ_ΑΠΕ</vt:lpstr>
      <vt:lpstr>ΕΛΑΙΟΥΧΟΙ_ΣΠΟΡΟΙ</vt:lpstr>
      <vt:lpstr>ΕΛΑΙΩΝΕΣ</vt:lpstr>
      <vt:lpstr>ΕΝΕΡΓΕΙΑΚΕΣ_ΚΑΛΛΙΕΡΓΕΙΕΣ</vt:lpstr>
      <vt:lpstr>ΕΞΑΙΡΕΤΙΚΗ_ΠΕΡΙΣΤΑΣΗ</vt:lpstr>
      <vt:lpstr>ΕΣΠΕΡΙΔΟΕΙΔΗ</vt:lpstr>
      <vt:lpstr>ΖΑΧΑΡΟΤΕΥΤΛΑ</vt:lpstr>
      <vt:lpstr>ΘΗΡΑΜΑΤΑ</vt:lpstr>
      <vt:lpstr>ΘΗΡΑΜΑΤΙΚΑ_ΠΤΗΝΑ</vt:lpstr>
      <vt:lpstr>ΙΠΠΟΕΙΔΗ</vt:lpstr>
      <vt:lpstr>ΚΑΠΝΟΣ</vt:lpstr>
      <vt:lpstr>ΚΗΠΕΥΤΙΚΑ</vt:lpstr>
      <vt:lpstr>ΚΗΠΕΥΤΙΚΑ_ΥΠΟ_ΚΑΛΥΨΗ</vt:lpstr>
      <vt:lpstr>ΚΟΝΙΚΛΟΕΙΔΗ</vt:lpstr>
      <vt:lpstr>ΚΤΗΝΟΤΡΟΦΙΚΑ_ΦΥΤΑ_ΓΙΑ_ΖΩΟΤΡΟΦΕΣ</vt:lpstr>
      <vt:lpstr>ΚΥΨΕΛΕΣ_ΜΕΛΙΣΣΩΝ_ΜΕΛΛΙΣΟΣΜΗΝΗ</vt:lpstr>
      <vt:lpstr>ΛΙΝΟΣ_ΚΛΩΣΤΙΚΟΣ</vt:lpstr>
      <vt:lpstr>ΛΙΝΟΣ_ΜΗ_ΚΛΩΣΤΙΚΟΣ</vt:lpstr>
      <vt:lpstr>ΛΟΙΠΑ_ΣΙΤΗΡΑ</vt:lpstr>
      <vt:lpstr>ΛΟΙΠΕΣ_ΔΕΝΔΡΩΔΕΙΣ_ΚΑΛΛΙΕΡΓΕΙΕΣ</vt:lpstr>
      <vt:lpstr>ΛΟΙΠΕΣ_ΚΑΛΛΙΕΡΓΕΙΕΣ</vt:lpstr>
      <vt:lpstr>ΜΕΤΑΞΟΣΚΩΛΗΚΕΣ</vt:lpstr>
      <vt:lpstr>ΜΗ_ΕΠΙΛΕΞΙΜΕΣ_ΕΚΤΑΣΕΙΣ</vt:lpstr>
      <vt:lpstr>ΜΗ_ΕΠΙΛΕΞΙΜΕΣ_ΕΚΤΑΣΕΙΣ_ΑΠΟ_ΑΝΑΔΑΣΩΤΕΕΣ_ΕΚΤΑΣΕΙΣ_ΚΥΡΩΜΕΝΩΝ</vt:lpstr>
      <vt:lpstr>ΜΗ_ΕΠΙΛΕΞΙΜΕΣ_ΕΚΤΑΣΕΙΣ_ΑΠΟ_ΚΥΡΩΜΕΝΟΥΣ_ΔΑΣΙΚΟΥΣ</vt:lpstr>
      <vt:lpstr>ΜΗΛΟΕΙΔΗ</vt:lpstr>
      <vt:lpstr>ΜΠΑΝΑΝΕΣ</vt:lpstr>
      <vt:lpstr>ΟΡΝΙΘΟΕΙΔΗ</vt:lpstr>
      <vt:lpstr>ΟΣΠΡΙΑ_ΒΡΩΣΙΜΑ</vt:lpstr>
      <vt:lpstr>ΠΑΡΕΚΚΛΙΣΗ_ΑΓΡΑΝΑΠΑΥΣΗΣ</vt:lpstr>
      <vt:lpstr>ΠΟΡΤΟΚΑΛΙΑ_ΠΡΟΣ_ΧΥΜΟΠΟΙΗΣΗ</vt:lpstr>
      <vt:lpstr>ΠΥΡΗΝΟΚΑΡΠΑ</vt:lpstr>
      <vt:lpstr>ΡΟΔΑΚΙΝΙΕΣ_ΜΕΤΑΠΟΙΗΣΗΣ</vt:lpstr>
      <vt:lpstr>ΡΥΖΙ</vt:lpstr>
      <vt:lpstr>ΣΚΛΗΡΟΣ_ΣΙΤΟΣ</vt:lpstr>
      <vt:lpstr>ΣΠΑΡΑΓΓΙΑ</vt:lpstr>
      <vt:lpstr>ΣΠΟΡΟΠΑΡΑΓΩΓΗ</vt:lpstr>
      <vt:lpstr>ΤΟΜΑΤΑ_ΒΙΟΜΗΧΑΝΙΚΗ</vt:lpstr>
      <vt:lpstr>ΦΑΡΜΑΚΕΥΤΙΚΗ_ΚΑΝΝΑΒΗ</vt:lpstr>
      <vt:lpstr>ΦΥΤΩΡΙΑ</vt:lpstr>
      <vt:lpstr>ΧΟΙΡΟΙ</vt:lpstr>
      <vt:lpstr>ΧΩΡΟΙ_ΕΚΤΡΟΦΗΣ_ΣΑΛΙΓΚΑΡΙΩΝ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Aggeliki Lagogianni</dc:creator>
  <cp:lastModifiedBy>Maria Korre</cp:lastModifiedBy>
  <dcterms:created xsi:type="dcterms:W3CDTF">2026-01-23T12:39:29Z</dcterms:created>
  <dcterms:modified xsi:type="dcterms:W3CDTF">2026-05-22T09:17:19Z</dcterms:modified>
</cp:coreProperties>
</file>